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0b1cd27b9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준스탯 72종" sheetId="1" r:id="Ra6c98ee2b2dd47f9"/>
    <x:sheet xmlns:r="http://schemas.openxmlformats.org/officeDocument/2006/relationships" name="레벨 계산식" sheetId="2" r:id="Rf69818ed5619463c"/>
    <x:sheet xmlns:r="http://schemas.openxmlformats.org/officeDocument/2006/relationships" name="등급 계산식" sheetId="3" r:id="R1a0761904cc84676"/>
    <x:sheet xmlns:r="http://schemas.openxmlformats.org/officeDocument/2006/relationships" name="성장분해" sheetId="4" r:id="R555daa3ab266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6">
    <x:font>
      <x:sz val="11"/>
      <x:name val="Carlito"/>
    </x:font>
    <x:font>
      <x:sz val="11"/>
      <x:color rgb="FF243746"/>
      <x:name val="Noto Sans CJK KR"/>
    </x:font>
    <x:font>
      <x:b/>
      <x:sz val="19"/>
      <x:color rgb="FFFFFFFF"/>
      <x:name val="Noto Sans CJK KR"/>
    </x:font>
    <x:font>
      <x:sz val="11"/>
      <x:color rgb="FF536879"/>
      <x:name val="Noto Sans CJK KR"/>
    </x:font>
    <x:font>
      <x:b/>
      <x:sz val="11"/>
      <x:color rgb="FFFFFFFF"/>
      <x:name val="Noto Sans CJK KR"/>
    </x:font>
    <x:font>
      <x:sz val="11"/>
      <x:color rgb="FF1464AC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53548"/>
      </x:patternFill>
    </x:fill>
    <x:fill>
      <x:patternFill patternType="solid">
        <x:fgColor rgb="FF24516A"/>
      </x:patternFill>
    </x:fill>
    <x:fill>
      <x:patternFill patternType="solid">
        <x:fgColor rgb="FFEAF4F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45d155e004574" /><Relationship Type="http://schemas.openxmlformats.org/officeDocument/2006/relationships/theme" Target="/xl/theme/theme1.xml" Id="R4ddfa8fc6951410f" /><Relationship Type="http://schemas.openxmlformats.org/officeDocument/2006/relationships/sharedStrings" Target="/xl/sharedStrings.xml" Id="R72b8328e452a49c8" /><Relationship Type="http://schemas.openxmlformats.org/officeDocument/2006/relationships/worksheet" Target="/xl/worksheets/sheet1.xml" Id="Ra6c98ee2b2dd47f9" /><Relationship Type="http://schemas.openxmlformats.org/officeDocument/2006/relationships/worksheet" Target="/xl/worksheets/sheet2.xml" Id="Rf69818ed5619463c" /><Relationship Type="http://schemas.openxmlformats.org/officeDocument/2006/relationships/worksheet" Target="/xl/worksheets/sheet3.xml" Id="R1a0761904cc84676" /><Relationship Type="http://schemas.openxmlformats.org/officeDocument/2006/relationships/worksheet" Target="/xl/worksheets/sheet4.xml" Id="R555daa3ab2664ceb" /></Relationships>
</file>

<file path=xl/tables/table1.xml><?xml version="1.0" encoding="utf-8"?>
<x:table xmlns:x="http://schemas.openxmlformats.org/spreadsheetml/2006/main" id="1" name="BaselineStats" displayName="BaselineStats" ref="A7:L79" headerRowCount="1" totalsRowCount="0" totalsRowShown="0">
  <x:tableColumns count="12">
    <x:tableColumn id="1" name="기준ID"/>
    <x:tableColumn id="2" name="별자리"/>
    <x:tableColumn id="3" name="직업"/>
    <x:tableColumn id="4" name="공격력"/>
    <x:tableColumn id="5" name="생명력"/>
    <x:tableColumn id="6" name="방어력"/>
    <x:tableColumn id="7" name="속도"/>
    <x:tableColumn id="8" name="치명확률"/>
    <x:tableColumn id="9" name="치명피해"/>
    <x:tableColumn id="10" name="효과적중"/>
    <x:tableColumn id="11" name="효과저항"/>
    <x:tableColumn id="12" name="방향성 / 강점과 약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wthStates" displayName="GrowthStates" ref="A7:AG1807" headerRowCount="1" totalsRowCount="0" totalsRowShown="0">
  <x:tableColumns count="33">
    <x:tableColumn id="1" name="상태ID"/>
    <x:tableColumn id="2" name="기준ID"/>
    <x:tableColumn id="3" name="별자리"/>
    <x:tableColumn id="4" name="직업"/>
    <x:tableColumn id="5" name="레벨"/>
    <x:tableColumn id="6" name="등급"/>
    <x:tableColumn id="7" name="레벨 감소율"/>
    <x:tableColumn id="8" name="등급 감소율"/>
    <x:tableColumn id="9" name="잔존 비율"/>
    <x:tableColumn id="10" name="공격력"/>
    <x:tableColumn id="11" name="생명력"/>
    <x:tableColumn id="12" name="방어력"/>
    <x:tableColumn id="13" name="속도"/>
    <x:tableColumn id="14" name="치명확률"/>
    <x:tableColumn id="15" name="치명피해"/>
    <x:tableColumn id="16" name="효과적중"/>
    <x:tableColumn id="17" name="효과저항"/>
    <x:tableColumn id="18" name="레벨 감소 공격력"/>
    <x:tableColumn id="19" name="레벨 감소 생명력"/>
    <x:tableColumn id="20" name="레벨 감소 방어력"/>
    <x:tableColumn id="21" name="레벨 감소 속도"/>
    <x:tableColumn id="22" name="레벨 감소 치명확률"/>
    <x:tableColumn id="23" name="레벨 감소 치명피해"/>
    <x:tableColumn id="24" name="레벨 감소 효과적중"/>
    <x:tableColumn id="25" name="레벨 감소 효과저항"/>
    <x:tableColumn id="26" name="등급 감소 공격력"/>
    <x:tableColumn id="27" name="등급 감소 생명력"/>
    <x:tableColumn id="28" name="등급 감소 방어력"/>
    <x:tableColumn id="29" name="등급 감소 속도"/>
    <x:tableColumn id="30" name="등급 감소 치명확률"/>
    <x:tableColumn id="31" name="등급 감소 치명피해"/>
    <x:tableColumn id="32" name="등급 감소 효과적중"/>
    <x:tableColumn id="33" name="등급 감소 효과저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167744cca54d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bc199f43d4a4eb7" /></Relationships>
</file>

<file path=xl/worksheets/sheet1.xml><?xml version="1.0" encoding="utf-8"?>
<x:worksheet xmlns:x="http://schemas.openxmlformats.org/spreadsheetml/2006/main">
  <x:sheetPr>
    <x:tabColor rgb="FF168B8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77" hidden="0" customWidth="1"/>
  </x:cols>
  <x:sheetData>
    <x:row r="1" ht="42" customHeight="1">
      <x:c r="A1" s="4" t="str">
        <x:v>01  기준스탯 · 별자리 12 × 직업 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5" customHeight="1">
      <x:c r="A2" s="6" t="str">
        <x:v>기준스탯 = 아이템 적용 전, 5레벨·5등급에서 도달하는 최대 성장 스탯. 72종을 개별 입력값으로 관리하며 직업별 추가 보정은 없습니다.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5" customHeight="1">
      <x:c r="A3" s="6" t="str">
        <x:v>모든 스탯은 점수입니다. 기본 4스탯은 1~10, 치명·효과 4스탯은 0~10 정수로 저장합니다. 치명·효과의 확률·배율 환산은 이번 문서에 포함하지 않습니다.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5" customHeight="1">
      <x:c r="A4" s="6" t="str">
        <x:v>성장: 현재 점수 = 기준점수 × (70%×레벨/5 + 30%×등급/5). 소수 감소량은 유지하고 최종 합산 후 ROUND(값,0), 기본 4스탯은 최소 1을 적용합니다.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35" customHeight="1">
      <x:c r="A5" s="6" t="str">
        <x:v>파란 영역은 직접 조정할 기준값입니다. 기준ID는 1~72의 고유값이며, 성장분해의 상태ID 1~1800과 구분합니다.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3" customHeight="1">
      <x:c r="A7" s="9" t="str">
        <x:v>기준ID</x:v>
      </x:c>
      <x:c r="B7" s="9" t="str">
        <x:v>별자리</x:v>
      </x:c>
      <x:c r="C7" s="9" t="str">
        <x:v>직업</x:v>
      </x:c>
      <x:c r="D7" s="9" t="str">
        <x:v>공격력</x:v>
      </x:c>
      <x:c r="E7" s="9" t="str">
        <x:v>생명력</x:v>
      </x:c>
      <x:c r="F7" s="9" t="str">
        <x:v>방어력</x:v>
      </x:c>
      <x:c r="G7" s="9" t="str">
        <x:v>속도</x:v>
      </x:c>
      <x:c r="H7" s="9" t="str">
        <x:v>치명확률</x:v>
      </x:c>
      <x:c r="I7" s="9" t="str">
        <x:v>치명피해</x:v>
      </x:c>
      <x:c r="J7" s="9" t="str">
        <x:v>효과적중</x:v>
      </x:c>
      <x:c r="K7" s="9" t="str">
        <x:v>효과저항</x:v>
      </x:c>
      <x:c r="L7" s="9" t="str">
        <x:v>방향성 / 강점과 약점</x:v>
      </x:c>
    </x:row>
    <x:row r="8" ht="57" customHeight="1">
      <x:c r="A8" s="2" t="n">
        <x:v>1</x:v>
      </x:c>
      <x:c r="B8" s="2" t="str">
        <x:v>양자리</x:v>
      </x:c>
      <x:c r="C8" s="2" t="str">
        <x:v>기사</x:v>
      </x:c>
      <x:c r="D8" s="11" t="n">
        <x:v>7</x:v>
      </x:c>
      <x:c r="E8" s="11" t="n">
        <x:v>9</x:v>
      </x:c>
      <x:c r="F8" s="11" t="n">
        <x:v>8</x:v>
      </x:c>
      <x:c r="G8" s="11" t="n">
        <x:v>6</x:v>
      </x:c>
      <x:c r="H8" s="11" t="n">
        <x:v>4</x:v>
      </x:c>
      <x:c r="I8" s="11" t="n">
        <x:v>5</x:v>
      </x:c>
      <x:c r="J8" s="11" t="n">
        <x:v>3</x:v>
      </x:c>
      <x:c r="K8" s="11" t="n">
        <x:v>4</x:v>
      </x:c>
      <x:c r="L8" s="12" t="str">
        <x:v>생명력 중심형. 기본 4스탯 중 속도 배분은 낮다. 치명·효과에서는 치명피해에 비중을 두고 효과적중을 낮춘 구성.</x:v>
      </x:c>
    </x:row>
    <x:row r="9" ht="57" customHeight="1">
      <x:c r="A9" s="2" t="n">
        <x:v>2</x:v>
      </x:c>
      <x:c r="B9" s="2" t="str">
        <x:v>양자리</x:v>
      </x:c>
      <x:c r="C9" s="2" t="str">
        <x:v>마도사</x:v>
      </x:c>
      <x:c r="D9" s="11" t="n">
        <x:v>9</x:v>
      </x:c>
      <x:c r="E9" s="11" t="n">
        <x:v>7</x:v>
      </x:c>
      <x:c r="F9" s="11" t="n">
        <x:v>6</x:v>
      </x:c>
      <x:c r="G9" s="11" t="n">
        <x:v>7</x:v>
      </x:c>
      <x:c r="H9" s="11" t="n">
        <x:v>5</x:v>
      </x:c>
      <x:c r="I9" s="11" t="n">
        <x:v>7</x:v>
      </x:c>
      <x:c r="J9" s="11" t="n">
        <x:v>3</x:v>
      </x:c>
      <x:c r="K9" s="11" t="n">
        <x:v>1</x:v>
      </x:c>
      <x:c r="L9" s="12" t="str">
        <x:v>공격력 중심형. 기본 4스탯 중 방어력 배분은 낮다. 치명·효과에서는 치명피해에 비중을 두고 효과저항을 낮춘 구성.</x:v>
      </x:c>
    </x:row>
    <x:row r="10" ht="57" customHeight="1">
      <x:c r="A10" s="2" t="n">
        <x:v>3</x:v>
      </x:c>
      <x:c r="B10" s="2" t="str">
        <x:v>양자리</x:v>
      </x:c>
      <x:c r="C10" s="2" t="str">
        <x:v>사수</x:v>
      </x:c>
      <x:c r="D10" s="11" t="n">
        <x:v>8</x:v>
      </x:c>
      <x:c r="E10" s="11" t="n">
        <x:v>8</x:v>
      </x:c>
      <x:c r="F10" s="11" t="n">
        <x:v>6</x:v>
      </x:c>
      <x:c r="G10" s="11" t="n">
        <x:v>8</x:v>
      </x:c>
      <x:c r="H10" s="11" t="n">
        <x:v>6</x:v>
      </x:c>
      <x:c r="I10" s="11" t="n">
        <x:v>5</x:v>
      </x:c>
      <x:c r="J10" s="11" t="n">
        <x:v>4</x:v>
      </x:c>
      <x:c r="K10" s="11" t="n">
        <x:v>1</x:v>
      </x:c>
      <x:c r="L10" s="12" t="str">
        <x:v>공격력·생명력·속도 중심형. 기본 4스탯 중 방어력 배분은 낮다. 치명·효과에서는 치명확률에 비중을 두고 효과저항을 낮춘 구성.</x:v>
      </x:c>
    </x:row>
    <x:row r="11" ht="57" customHeight="1">
      <x:c r="A11" s="2" t="n">
        <x:v>4</x:v>
      </x:c>
      <x:c r="B11" s="2" t="str">
        <x:v>양자리</x:v>
      </x:c>
      <x:c r="C11" s="2" t="str">
        <x:v>정령사</x:v>
      </x:c>
      <x:c r="D11" s="11" t="n">
        <x:v>6</x:v>
      </x:c>
      <x:c r="E11" s="11" t="n">
        <x:v>9</x:v>
      </x:c>
      <x:c r="F11" s="11" t="n">
        <x:v>8</x:v>
      </x:c>
      <x:c r="G11" s="11" t="n">
        <x:v>7</x:v>
      </x:c>
      <x:c r="H11" s="11" t="n">
        <x:v>4</x:v>
      </x:c>
      <x:c r="I11" s="11" t="n">
        <x:v>5</x:v>
      </x:c>
      <x:c r="J11" s="11" t="n">
        <x:v>4</x:v>
      </x:c>
      <x:c r="K11" s="11" t="n">
        <x:v>3</x:v>
      </x:c>
      <x:c r="L11" s="12" t="str">
        <x:v>생명력 중심형. 기본 4스탯 중 공격력 배분은 낮다. 치명·효과에서는 치명피해에 비중을 두고 효과저항을 낮춘 구성.</x:v>
      </x:c>
    </x:row>
    <x:row r="12" ht="57" customHeight="1">
      <x:c r="A12" s="2" t="n">
        <x:v>5</x:v>
      </x:c>
      <x:c r="B12" s="2" t="str">
        <x:v>양자리</x:v>
      </x:c>
      <x:c r="C12" s="2" t="str">
        <x:v>도적</x:v>
      </x:c>
      <x:c r="D12" s="11" t="n">
        <x:v>9</x:v>
      </x:c>
      <x:c r="E12" s="11" t="n">
        <x:v>7</x:v>
      </x:c>
      <x:c r="F12" s="11" t="n">
        <x:v>6</x:v>
      </x:c>
      <x:c r="G12" s="11" t="n">
        <x:v>8</x:v>
      </x:c>
      <x:c r="H12" s="11" t="n">
        <x:v>6</x:v>
      </x:c>
      <x:c r="I12" s="11" t="n">
        <x:v>7</x:v>
      </x:c>
      <x:c r="J12" s="11" t="n">
        <x:v>2</x:v>
      </x:c>
      <x:c r="K12" s="11" t="n">
        <x:v>1</x:v>
      </x:c>
      <x:c r="L12" s="12" t="str">
        <x:v>공격력 중심형. 기본 4스탯 중 방어력 배분은 낮다. 치명·효과에서는 치명피해에 비중을 두고 효과저항을 낮춘 구성.</x:v>
      </x:c>
    </x:row>
    <x:row r="13" ht="57" customHeight="1">
      <x:c r="A13" s="2" t="n">
        <x:v>6</x:v>
      </x:c>
      <x:c r="B13" s="2" t="str">
        <x:v>양자리</x:v>
      </x:c>
      <x:c r="C13" s="2" t="str">
        <x:v>전사</x:v>
      </x:c>
      <x:c r="D13" s="11" t="n">
        <x:v>9</x:v>
      </x:c>
      <x:c r="E13" s="11" t="n">
        <x:v>8</x:v>
      </x:c>
      <x:c r="F13" s="11" t="n">
        <x:v>7</x:v>
      </x:c>
      <x:c r="G13" s="11" t="n">
        <x:v>7</x:v>
      </x:c>
      <x:c r="H13" s="11" t="n">
        <x:v>5</x:v>
      </x:c>
      <x:c r="I13" s="11" t="n">
        <x:v>7</x:v>
      </x:c>
      <x:c r="J13" s="11" t="n">
        <x:v>2</x:v>
      </x:c>
      <x:c r="K13" s="11" t="n">
        <x:v>2</x:v>
      </x:c>
      <x:c r="L13" s="12" t="str">
        <x:v>공격력 중심형. 기본 4스탯 중 방어력·속도 배분은 낮다. 치명·효과에서는 치명피해에 비중을 두고 효과적중·효과저항을 낮춘 구성.</x:v>
      </x:c>
    </x:row>
    <x:row r="14" ht="57" customHeight="1">
      <x:c r="A14" s="2" t="n">
        <x:v>7</x:v>
      </x:c>
      <x:c r="B14" s="2" t="str">
        <x:v>황소자리</x:v>
      </x:c>
      <x:c r="C14" s="2" t="str">
        <x:v>기사</x:v>
      </x:c>
      <x:c r="D14" s="11" t="n">
        <x:v>6</x:v>
      </x:c>
      <x:c r="E14" s="11" t="n">
        <x:v>10</x:v>
      </x:c>
      <x:c r="F14" s="11" t="n">
        <x:v>9</x:v>
      </x:c>
      <x:c r="G14" s="11" t="n">
        <x:v>5</x:v>
      </x:c>
      <x:c r="H14" s="11" t="n">
        <x:v>2</x:v>
      </x:c>
      <x:c r="I14" s="11" t="n">
        <x:v>4</x:v>
      </x:c>
      <x:c r="J14" s="11" t="n">
        <x:v>2</x:v>
      </x:c>
      <x:c r="K14" s="11" t="n">
        <x:v>8</x:v>
      </x:c>
      <x:c r="L14" s="12" t="str">
        <x:v>생명력 중심형. 기본 4스탯 중 속도 배분은 낮다. 치명·효과에서는 효과저항에 비중을 두고 치명확률·효과적중을 낮춘 구성.</x:v>
      </x:c>
    </x:row>
    <x:row r="15" ht="57" customHeight="1">
      <x:c r="A15" s="2" t="n">
        <x:v>8</x:v>
      </x:c>
      <x:c r="B15" s="2" t="str">
        <x:v>황소자리</x:v>
      </x:c>
      <x:c r="C15" s="2" t="str">
        <x:v>마도사</x:v>
      </x:c>
      <x:c r="D15" s="11" t="n">
        <x:v>8</x:v>
      </x:c>
      <x:c r="E15" s="11" t="n">
        <x:v>8</x:v>
      </x:c>
      <x:c r="F15" s="11" t="n">
        <x:v>7</x:v>
      </x:c>
      <x:c r="G15" s="11" t="n">
        <x:v>6</x:v>
      </x:c>
      <x:c r="H15" s="11" t="n">
        <x:v>3</x:v>
      </x:c>
      <x:c r="I15" s="11" t="n">
        <x:v>6</x:v>
      </x:c>
      <x:c r="J15" s="11" t="n">
        <x:v>2</x:v>
      </x:c>
      <x:c r="K15" s="11" t="n">
        <x:v>5</x:v>
      </x:c>
      <x:c r="L15" s="12" t="str">
        <x:v>공격력·생명력 중심형. 기본 4스탯 중 속도 배분은 낮다. 치명·효과에서는 치명피해에 비중을 두고 효과적중을 낮춘 구성.</x:v>
      </x:c>
    </x:row>
    <x:row r="16" ht="57" customHeight="1">
      <x:c r="A16" s="2" t="n">
        <x:v>9</x:v>
      </x:c>
      <x:c r="B16" s="2" t="str">
        <x:v>황소자리</x:v>
      </x:c>
      <x:c r="C16" s="2" t="str">
        <x:v>사수</x:v>
      </x:c>
      <x:c r="D16" s="11" t="n">
        <x:v>7</x:v>
      </x:c>
      <x:c r="E16" s="11" t="n">
        <x:v>9</x:v>
      </x:c>
      <x:c r="F16" s="11" t="n">
        <x:v>7</x:v>
      </x:c>
      <x:c r="G16" s="11" t="n">
        <x:v>7</x:v>
      </x:c>
      <x:c r="H16" s="11" t="n">
        <x:v>4</x:v>
      </x:c>
      <x:c r="I16" s="11" t="n">
        <x:v>4</x:v>
      </x:c>
      <x:c r="J16" s="11" t="n">
        <x:v>3</x:v>
      </x:c>
      <x:c r="K16" s="11" t="n">
        <x:v>5</x:v>
      </x:c>
      <x:c r="L16" s="12" t="str">
        <x:v>생명력 중심형. 기본 4스탯 중 공격력·방어력·속도 배분은 낮다. 치명·효과에서는 효과저항에 비중을 두고 효과적중을 낮춘 구성.</x:v>
      </x:c>
    </x:row>
    <x:row r="17" ht="57" customHeight="1">
      <x:c r="A17" s="2" t="n">
        <x:v>10</x:v>
      </x:c>
      <x:c r="B17" s="2" t="str">
        <x:v>황소자리</x:v>
      </x:c>
      <x:c r="C17" s="2" t="str">
        <x:v>정령사</x:v>
      </x:c>
      <x:c r="D17" s="11" t="n">
        <x:v>6</x:v>
      </x:c>
      <x:c r="E17" s="11" t="n">
        <x:v>10</x:v>
      </x:c>
      <x:c r="F17" s="11" t="n">
        <x:v>9</x:v>
      </x:c>
      <x:c r="G17" s="11" t="n">
        <x:v>6</x:v>
      </x:c>
      <x:c r="H17" s="11" t="n">
        <x:v>2</x:v>
      </x:c>
      <x:c r="I17" s="11" t="n">
        <x:v>4</x:v>
      </x:c>
      <x:c r="J17" s="11" t="n">
        <x:v>3</x:v>
      </x:c>
      <x:c r="K17" s="11" t="n">
        <x:v>7</x:v>
      </x:c>
      <x:c r="L17" s="12" t="str">
        <x:v>생명력 중심형. 기본 4스탯 중 공격력·속도 배분은 낮다. 치명·효과에서는 효과저항에 비중을 두고 치명확률을 낮춘 구성.</x:v>
      </x:c>
    </x:row>
    <x:row r="18" ht="57" customHeight="1">
      <x:c r="A18" s="2" t="n">
        <x:v>11</x:v>
      </x:c>
      <x:c r="B18" s="2" t="str">
        <x:v>황소자리</x:v>
      </x:c>
      <x:c r="C18" s="2" t="str">
        <x:v>도적</x:v>
      </x:c>
      <x:c r="D18" s="11" t="n">
        <x:v>8</x:v>
      </x:c>
      <x:c r="E18" s="11" t="n">
        <x:v>8</x:v>
      </x:c>
      <x:c r="F18" s="11" t="n">
        <x:v>7</x:v>
      </x:c>
      <x:c r="G18" s="11" t="n">
        <x:v>7</x:v>
      </x:c>
      <x:c r="H18" s="11" t="n">
        <x:v>4</x:v>
      </x:c>
      <x:c r="I18" s="11" t="n">
        <x:v>6</x:v>
      </x:c>
      <x:c r="J18" s="11" t="n">
        <x:v>1</x:v>
      </x:c>
      <x:c r="K18" s="11" t="n">
        <x:v>5</x:v>
      </x:c>
      <x:c r="L18" s="12" t="str">
        <x:v>공격력·생명력 중심형. 기본 4스탯 중 방어력·속도 배분은 낮다. 치명·효과에서는 치명피해에 비중을 두고 효과적중을 낮춘 구성.</x:v>
      </x:c>
    </x:row>
    <x:row r="19" ht="57" customHeight="1">
      <x:c r="A19" s="2" t="n">
        <x:v>12</x:v>
      </x:c>
      <x:c r="B19" s="2" t="str">
        <x:v>황소자리</x:v>
      </x:c>
      <x:c r="C19" s="2" t="str">
        <x:v>전사</x:v>
      </x:c>
      <x:c r="D19" s="11" t="n">
        <x:v>8</x:v>
      </x:c>
      <x:c r="E19" s="11" t="n">
        <x:v>9</x:v>
      </x:c>
      <x:c r="F19" s="11" t="n">
        <x:v>8</x:v>
      </x:c>
      <x:c r="G19" s="11" t="n">
        <x:v>6</x:v>
      </x:c>
      <x:c r="H19" s="11" t="n">
        <x:v>3</x:v>
      </x:c>
      <x:c r="I19" s="11" t="n">
        <x:v>6</x:v>
      </x:c>
      <x:c r="J19" s="11" t="n">
        <x:v>1</x:v>
      </x:c>
      <x:c r="K19" s="11" t="n">
        <x:v>6</x:v>
      </x:c>
      <x:c r="L19" s="12" t="str">
        <x:v>생명력 중심형. 기본 4스탯 중 속도 배분은 낮다. 치명·효과에서는 치명피해·효과저항에 비중을 두고 효과적중을 낮춘 구성.</x:v>
      </x:c>
    </x:row>
    <x:row r="20" ht="57" customHeight="1">
      <x:c r="A20" s="2" t="n">
        <x:v>13</x:v>
      </x:c>
      <x:c r="B20" s="2" t="str">
        <x:v>쌍둥이자리</x:v>
      </x:c>
      <x:c r="C20" s="2" t="str">
        <x:v>기사</x:v>
      </x:c>
      <x:c r="D20" s="11" t="n">
        <x:v>6</x:v>
      </x:c>
      <x:c r="E20" s="11" t="n">
        <x:v>7</x:v>
      </x:c>
      <x:c r="F20" s="11" t="n">
        <x:v>9</x:v>
      </x:c>
      <x:c r="G20" s="11" t="n">
        <x:v>8</x:v>
      </x:c>
      <x:c r="H20" s="11" t="n">
        <x:v>3</x:v>
      </x:c>
      <x:c r="I20" s="11" t="n">
        <x:v>3</x:v>
      </x:c>
      <x:c r="J20" s="11" t="n">
        <x:v>6</x:v>
      </x:c>
      <x:c r="K20" s="11" t="n">
        <x:v>4</x:v>
      </x:c>
      <x:c r="L20" s="12" t="str">
        <x:v>방어력 중심형. 기본 4스탯 중 공격력 배분은 낮다. 치명·효과에서는 효과적중에 비중을 두고 치명확률·치명피해을 낮춘 구성.</x:v>
      </x:c>
    </x:row>
    <x:row r="21" ht="57" customHeight="1">
      <x:c r="A21" s="2" t="n">
        <x:v>14</x:v>
      </x:c>
      <x:c r="B21" s="2" t="str">
        <x:v>쌍둥이자리</x:v>
      </x:c>
      <x:c r="C21" s="2" t="str">
        <x:v>마도사</x:v>
      </x:c>
      <x:c r="D21" s="11" t="n">
        <x:v>8</x:v>
      </x:c>
      <x:c r="E21" s="11" t="n">
        <x:v>5</x:v>
      </x:c>
      <x:c r="F21" s="11" t="n">
        <x:v>7</x:v>
      </x:c>
      <x:c r="G21" s="11" t="n">
        <x:v>9</x:v>
      </x:c>
      <x:c r="H21" s="11" t="n">
        <x:v>4</x:v>
      </x:c>
      <x:c r="I21" s="11" t="n">
        <x:v>5</x:v>
      </x:c>
      <x:c r="J21" s="11" t="n">
        <x:v>6</x:v>
      </x:c>
      <x:c r="K21" s="11" t="n">
        <x:v>1</x:v>
      </x:c>
      <x:c r="L21" s="12" t="str">
        <x:v>속도 중심형. 기본 4스탯 중 생명력 배분은 낮다. 치명·효과에서는 효과적중에 비중을 두고 효과저항을 낮춘 구성.</x:v>
      </x:c>
    </x:row>
    <x:row r="22" ht="57" customHeight="1">
      <x:c r="A22" s="2" t="n">
        <x:v>15</x:v>
      </x:c>
      <x:c r="B22" s="2" t="str">
        <x:v>쌍둥이자리</x:v>
      </x:c>
      <x:c r="C22" s="2" t="str">
        <x:v>사수</x:v>
      </x:c>
      <x:c r="D22" s="11" t="n">
        <x:v>7</x:v>
      </x:c>
      <x:c r="E22" s="11" t="n">
        <x:v>6</x:v>
      </x:c>
      <x:c r="F22" s="11" t="n">
        <x:v>7</x:v>
      </x:c>
      <x:c r="G22" s="11" t="n">
        <x:v>10</x:v>
      </x:c>
      <x:c r="H22" s="11" t="n">
        <x:v>5</x:v>
      </x:c>
      <x:c r="I22" s="11" t="n">
        <x:v>3</x:v>
      </x:c>
      <x:c r="J22" s="11" t="n">
        <x:v>7</x:v>
      </x:c>
      <x:c r="K22" s="11" t="n">
        <x:v>1</x:v>
      </x:c>
      <x:c r="L22" s="12" t="str">
        <x:v>속도 중심형. 기본 4스탯 중 생명력 배분은 낮다. 치명·효과에서는 효과적중에 비중을 두고 효과저항을 낮춘 구성.</x:v>
      </x:c>
    </x:row>
    <x:row r="23" ht="57" customHeight="1">
      <x:c r="A23" s="2" t="n">
        <x:v>16</x:v>
      </x:c>
      <x:c r="B23" s="2" t="str">
        <x:v>쌍둥이자리</x:v>
      </x:c>
      <x:c r="C23" s="2" t="str">
        <x:v>정령사</x:v>
      </x:c>
      <x:c r="D23" s="11" t="n">
        <x:v>6</x:v>
      </x:c>
      <x:c r="E23" s="11" t="n">
        <x:v>7</x:v>
      </x:c>
      <x:c r="F23" s="11" t="n">
        <x:v>9</x:v>
      </x:c>
      <x:c r="G23" s="11" t="n">
        <x:v>9</x:v>
      </x:c>
      <x:c r="H23" s="11" t="n">
        <x:v>3</x:v>
      </x:c>
      <x:c r="I23" s="11" t="n">
        <x:v>3</x:v>
      </x:c>
      <x:c r="J23" s="11" t="n">
        <x:v>7</x:v>
      </x:c>
      <x:c r="K23" s="11" t="n">
        <x:v>3</x:v>
      </x:c>
      <x:c r="L23" s="12" t="str">
        <x:v>방어력·속도 중심형. 기본 4스탯 중 공격력 배분은 낮다. 치명·효과에서는 효과적중에 비중을 두고 치명확률·치명피해·효과저항을 낮춘 구성.</x:v>
      </x:c>
    </x:row>
    <x:row r="24" ht="57" customHeight="1">
      <x:c r="A24" s="2" t="n">
        <x:v>17</x:v>
      </x:c>
      <x:c r="B24" s="2" t="str">
        <x:v>쌍둥이자리</x:v>
      </x:c>
      <x:c r="C24" s="2" t="str">
        <x:v>도적</x:v>
      </x:c>
      <x:c r="D24" s="11" t="n">
        <x:v>8</x:v>
      </x:c>
      <x:c r="E24" s="11" t="n">
        <x:v>5</x:v>
      </x:c>
      <x:c r="F24" s="11" t="n">
        <x:v>7</x:v>
      </x:c>
      <x:c r="G24" s="11" t="n">
        <x:v>10</x:v>
      </x:c>
      <x:c r="H24" s="11" t="n">
        <x:v>5</x:v>
      </x:c>
      <x:c r="I24" s="11" t="n">
        <x:v>5</x:v>
      </x:c>
      <x:c r="J24" s="11" t="n">
        <x:v>5</x:v>
      </x:c>
      <x:c r="K24" s="11" t="n">
        <x:v>1</x:v>
      </x:c>
      <x:c r="L24" s="12" t="str">
        <x:v>속도 중심형. 기본 4스탯 중 생명력 배분은 낮다. 치명·효과에서는 치명확률·치명피해·효과적중에 비중을 두고 효과저항을 낮춘 구성.</x:v>
      </x:c>
    </x:row>
    <x:row r="25" ht="57" customHeight="1">
      <x:c r="A25" s="2" t="n">
        <x:v>18</x:v>
      </x:c>
      <x:c r="B25" s="2" t="str">
        <x:v>쌍둥이자리</x:v>
      </x:c>
      <x:c r="C25" s="2" t="str">
        <x:v>전사</x:v>
      </x:c>
      <x:c r="D25" s="11" t="n">
        <x:v>8</x:v>
      </x:c>
      <x:c r="E25" s="11" t="n">
        <x:v>6</x:v>
      </x:c>
      <x:c r="F25" s="11" t="n">
        <x:v>8</x:v>
      </x:c>
      <x:c r="G25" s="11" t="n">
        <x:v>9</x:v>
      </x:c>
      <x:c r="H25" s="11" t="n">
        <x:v>4</x:v>
      </x:c>
      <x:c r="I25" s="11" t="n">
        <x:v>5</x:v>
      </x:c>
      <x:c r="J25" s="11" t="n">
        <x:v>5</x:v>
      </x:c>
      <x:c r="K25" s="11" t="n">
        <x:v>2</x:v>
      </x:c>
      <x:c r="L25" s="12" t="str">
        <x:v>속도 중심형. 기본 4스탯 중 생명력 배분은 낮다. 치명·효과에서는 치명피해·효과적중에 비중을 두고 효과저항을 낮춘 구성.</x:v>
      </x:c>
    </x:row>
    <x:row r="26" ht="57" customHeight="1">
      <x:c r="A26" s="2" t="n">
        <x:v>19</x:v>
      </x:c>
      <x:c r="B26" s="2" t="str">
        <x:v>게자리</x:v>
      </x:c>
      <x:c r="C26" s="2" t="str">
        <x:v>기사</x:v>
      </x:c>
      <x:c r="D26" s="11" t="n">
        <x:v>5</x:v>
      </x:c>
      <x:c r="E26" s="11" t="n">
        <x:v>10</x:v>
      </x:c>
      <x:c r="F26" s="11" t="n">
        <x:v>10</x:v>
      </x:c>
      <x:c r="G26" s="11" t="n">
        <x:v>5</x:v>
      </x:c>
      <x:c r="H26" s="11" t="n">
        <x:v>1</x:v>
      </x:c>
      <x:c r="I26" s="11" t="n">
        <x:v>4</x:v>
      </x:c>
      <x:c r="J26" s="11" t="n">
        <x:v>3</x:v>
      </x:c>
      <x:c r="K26" s="11" t="n">
        <x:v>8</x:v>
      </x:c>
      <x:c r="L26" s="12" t="str">
        <x:v>생명력·방어력 중심형. 기본 4스탯 중 공격력·속도 배분은 낮다. 치명·효과에서는 효과저항에 비중을 두고 치명확률을 낮춘 구성.</x:v>
      </x:c>
    </x:row>
    <x:row r="27" ht="57" customHeight="1">
      <x:c r="A27" s="2" t="n">
        <x:v>20</x:v>
      </x:c>
      <x:c r="B27" s="2" t="str">
        <x:v>게자리</x:v>
      </x:c>
      <x:c r="C27" s="2" t="str">
        <x:v>마도사</x:v>
      </x:c>
      <x:c r="D27" s="11" t="n">
        <x:v>7</x:v>
      </x:c>
      <x:c r="E27" s="11" t="n">
        <x:v>8</x:v>
      </x:c>
      <x:c r="F27" s="11" t="n">
        <x:v>8</x:v>
      </x:c>
      <x:c r="G27" s="11" t="n">
        <x:v>6</x:v>
      </x:c>
      <x:c r="H27" s="11" t="n">
        <x:v>2</x:v>
      </x:c>
      <x:c r="I27" s="11" t="n">
        <x:v>6</x:v>
      </x:c>
      <x:c r="J27" s="11" t="n">
        <x:v>3</x:v>
      </x:c>
      <x:c r="K27" s="11" t="n">
        <x:v>5</x:v>
      </x:c>
      <x:c r="L27" s="12" t="str">
        <x:v>생명력·방어력 중심형. 기본 4스탯 중 속도 배분은 낮다. 치명·효과에서는 치명피해에 비중을 두고 치명확률을 낮춘 구성.</x:v>
      </x:c>
    </x:row>
    <x:row r="28" ht="57" customHeight="1">
      <x:c r="A28" s="2" t="n">
        <x:v>21</x:v>
      </x:c>
      <x:c r="B28" s="2" t="str">
        <x:v>게자리</x:v>
      </x:c>
      <x:c r="C28" s="2" t="str">
        <x:v>사수</x:v>
      </x:c>
      <x:c r="D28" s="11" t="n">
        <x:v>6</x:v>
      </x:c>
      <x:c r="E28" s="11" t="n">
        <x:v>9</x:v>
      </x:c>
      <x:c r="F28" s="11" t="n">
        <x:v>8</x:v>
      </x:c>
      <x:c r="G28" s="11" t="n">
        <x:v>7</x:v>
      </x:c>
      <x:c r="H28" s="11" t="n">
        <x:v>3</x:v>
      </x:c>
      <x:c r="I28" s="11" t="n">
        <x:v>4</x:v>
      </x:c>
      <x:c r="J28" s="11" t="n">
        <x:v>4</x:v>
      </x:c>
      <x:c r="K28" s="11" t="n">
        <x:v>5</x:v>
      </x:c>
      <x:c r="L28" s="12" t="str">
        <x:v>생명력 중심형. 기본 4스탯 중 공격력 배분은 낮다. 치명·효과에서는 효과저항에 비중을 두고 치명확률을 낮춘 구성.</x:v>
      </x:c>
    </x:row>
    <x:row r="29" ht="57" customHeight="1">
      <x:c r="A29" s="2" t="n">
        <x:v>22</x:v>
      </x:c>
      <x:c r="B29" s="2" t="str">
        <x:v>게자리</x:v>
      </x:c>
      <x:c r="C29" s="2" t="str">
        <x:v>정령사</x:v>
      </x:c>
      <x:c r="D29" s="11" t="n">
        <x:v>5</x:v>
      </x:c>
      <x:c r="E29" s="11" t="n">
        <x:v>10</x:v>
      </x:c>
      <x:c r="F29" s="11" t="n">
        <x:v>10</x:v>
      </x:c>
      <x:c r="G29" s="11" t="n">
        <x:v>6</x:v>
      </x:c>
      <x:c r="H29" s="11" t="n">
        <x:v>1</x:v>
      </x:c>
      <x:c r="I29" s="11" t="n">
        <x:v>4</x:v>
      </x:c>
      <x:c r="J29" s="11" t="n">
        <x:v>4</x:v>
      </x:c>
      <x:c r="K29" s="11" t="n">
        <x:v>7</x:v>
      </x:c>
      <x:c r="L29" s="12" t="str">
        <x:v>생명력·방어력 중심형. 기본 4스탯 중 공격력 배분은 낮다. 치명·효과에서는 효과저항에 비중을 두고 치명확률을 낮춘 구성.</x:v>
      </x:c>
    </x:row>
    <x:row r="30" ht="57" customHeight="1">
      <x:c r="A30" s="2" t="n">
        <x:v>23</x:v>
      </x:c>
      <x:c r="B30" s="2" t="str">
        <x:v>게자리</x:v>
      </x:c>
      <x:c r="C30" s="2" t="str">
        <x:v>도적</x:v>
      </x:c>
      <x:c r="D30" s="11" t="n">
        <x:v>7</x:v>
      </x:c>
      <x:c r="E30" s="11" t="n">
        <x:v>8</x:v>
      </x:c>
      <x:c r="F30" s="11" t="n">
        <x:v>8</x:v>
      </x:c>
      <x:c r="G30" s="11" t="n">
        <x:v>7</x:v>
      </x:c>
      <x:c r="H30" s="11" t="n">
        <x:v>3</x:v>
      </x:c>
      <x:c r="I30" s="11" t="n">
        <x:v>6</x:v>
      </x:c>
      <x:c r="J30" s="11" t="n">
        <x:v>2</x:v>
      </x:c>
      <x:c r="K30" s="11" t="n">
        <x:v>5</x:v>
      </x:c>
      <x:c r="L30" s="12" t="str">
        <x:v>생명력·방어력 중심형. 기본 4스탯 중 공격력·속도 배분은 낮다. 치명·효과에서는 치명피해에 비중을 두고 효과적중을 낮춘 구성.</x:v>
      </x:c>
    </x:row>
    <x:row r="31" ht="57" customHeight="1">
      <x:c r="A31" s="2" t="n">
        <x:v>24</x:v>
      </x:c>
      <x:c r="B31" s="2" t="str">
        <x:v>게자리</x:v>
      </x:c>
      <x:c r="C31" s="2" t="str">
        <x:v>전사</x:v>
      </x:c>
      <x:c r="D31" s="11" t="n">
        <x:v>7</x:v>
      </x:c>
      <x:c r="E31" s="11" t="n">
        <x:v>9</x:v>
      </x:c>
      <x:c r="F31" s="11" t="n">
        <x:v>9</x:v>
      </x:c>
      <x:c r="G31" s="11" t="n">
        <x:v>6</x:v>
      </x:c>
      <x:c r="H31" s="11" t="n">
        <x:v>2</x:v>
      </x:c>
      <x:c r="I31" s="11" t="n">
        <x:v>6</x:v>
      </x:c>
      <x:c r="J31" s="11" t="n">
        <x:v>2</x:v>
      </x:c>
      <x:c r="K31" s="11" t="n">
        <x:v>6</x:v>
      </x:c>
      <x:c r="L31" s="12" t="str">
        <x:v>생명력·방어력 중심형. 기본 4스탯 중 속도 배분은 낮다. 치명·효과에서는 치명피해·효과저항에 비중을 두고 치명확률·효과적중을 낮춘 구성.</x:v>
      </x:c>
    </x:row>
    <x:row r="32" ht="57" customHeight="1">
      <x:c r="A32" s="2" t="n">
        <x:v>25</x:v>
      </x:c>
      <x:c r="B32" s="2" t="str">
        <x:v>사자자리</x:v>
      </x:c>
      <x:c r="C32" s="2" t="str">
        <x:v>기사</x:v>
      </x:c>
      <x:c r="D32" s="11" t="n">
        <x:v>8</x:v>
      </x:c>
      <x:c r="E32" s="11" t="n">
        <x:v>8</x:v>
      </x:c>
      <x:c r="F32" s="11" t="n">
        <x:v>8</x:v>
      </x:c>
      <x:c r="G32" s="11" t="n">
        <x:v>6</x:v>
      </x:c>
      <x:c r="H32" s="11" t="n">
        <x:v>4</x:v>
      </x:c>
      <x:c r="I32" s="11" t="n">
        <x:v>6</x:v>
      </x:c>
      <x:c r="J32" s="11" t="n">
        <x:v>2</x:v>
      </x:c>
      <x:c r="K32" s="11" t="n">
        <x:v>4</x:v>
      </x:c>
      <x:c r="L32" s="12" t="str">
        <x:v>공격력·생명력·방어력 중심형. 기본 4스탯 중 속도 배분은 낮다. 치명·효과에서는 치명피해에 비중을 두고 효과적중을 낮춘 구성.</x:v>
      </x:c>
    </x:row>
    <x:row r="33" ht="57" customHeight="1">
      <x:c r="A33" s="2" t="n">
        <x:v>26</x:v>
      </x:c>
      <x:c r="B33" s="2" t="str">
        <x:v>사자자리</x:v>
      </x:c>
      <x:c r="C33" s="2" t="str">
        <x:v>마도사</x:v>
      </x:c>
      <x:c r="D33" s="11" t="n">
        <x:v>10</x:v>
      </x:c>
      <x:c r="E33" s="11" t="n">
        <x:v>6</x:v>
      </x:c>
      <x:c r="F33" s="11" t="n">
        <x:v>6</x:v>
      </x:c>
      <x:c r="G33" s="11" t="n">
        <x:v>7</x:v>
      </x:c>
      <x:c r="H33" s="11" t="n">
        <x:v>5</x:v>
      </x:c>
      <x:c r="I33" s="11" t="n">
        <x:v>8</x:v>
      </x:c>
      <x:c r="J33" s="11" t="n">
        <x:v>2</x:v>
      </x:c>
      <x:c r="K33" s="11" t="n">
        <x:v>1</x:v>
      </x:c>
      <x:c r="L33" s="12" t="str">
        <x:v>공격력 중심형. 기본 4스탯 중 생명력·방어력 배분은 낮다. 치명·효과에서는 치명피해에 비중을 두고 효과저항을 낮춘 구성.</x:v>
      </x:c>
    </x:row>
    <x:row r="34" ht="57" customHeight="1">
      <x:c r="A34" s="2" t="n">
        <x:v>27</x:v>
      </x:c>
      <x:c r="B34" s="2" t="str">
        <x:v>사자자리</x:v>
      </x:c>
      <x:c r="C34" s="2" t="str">
        <x:v>사수</x:v>
      </x:c>
      <x:c r="D34" s="11" t="n">
        <x:v>9</x:v>
      </x:c>
      <x:c r="E34" s="11" t="n">
        <x:v>7</x:v>
      </x:c>
      <x:c r="F34" s="11" t="n">
        <x:v>6</x:v>
      </x:c>
      <x:c r="G34" s="11" t="n">
        <x:v>8</x:v>
      </x:c>
      <x:c r="H34" s="11" t="n">
        <x:v>6</x:v>
      </x:c>
      <x:c r="I34" s="11" t="n">
        <x:v>6</x:v>
      </x:c>
      <x:c r="J34" s="11" t="n">
        <x:v>3</x:v>
      </x:c>
      <x:c r="K34" s="11" t="n">
        <x:v>1</x:v>
      </x:c>
      <x:c r="L34" s="12" t="str">
        <x:v>공격력 중심형. 기본 4스탯 중 방어력 배분은 낮다. 치명·효과에서는 치명확률·치명피해에 비중을 두고 효과저항을 낮춘 구성.</x:v>
      </x:c>
    </x:row>
    <x:row r="35" ht="57" customHeight="1">
      <x:c r="A35" s="2" t="n">
        <x:v>28</x:v>
      </x:c>
      <x:c r="B35" s="2" t="str">
        <x:v>사자자리</x:v>
      </x:c>
      <x:c r="C35" s="2" t="str">
        <x:v>정령사</x:v>
      </x:c>
      <x:c r="D35" s="11" t="n">
        <x:v>7</x:v>
      </x:c>
      <x:c r="E35" s="11" t="n">
        <x:v>8</x:v>
      </x:c>
      <x:c r="F35" s="11" t="n">
        <x:v>8</x:v>
      </x:c>
      <x:c r="G35" s="11" t="n">
        <x:v>7</x:v>
      </x:c>
      <x:c r="H35" s="11" t="n">
        <x:v>4</x:v>
      </x:c>
      <x:c r="I35" s="11" t="n">
        <x:v>6</x:v>
      </x:c>
      <x:c r="J35" s="11" t="n">
        <x:v>3</x:v>
      </x:c>
      <x:c r="K35" s="11" t="n">
        <x:v>3</x:v>
      </x:c>
      <x:c r="L35" s="12" t="str">
        <x:v>생명력·방어력 중심형. 기본 4스탯 중 공격력·속도 배분은 낮다. 치명·효과에서는 치명피해에 비중을 두고 효과적중·효과저항을 낮춘 구성.</x:v>
      </x:c>
    </x:row>
    <x:row r="36" ht="57" customHeight="1">
      <x:c r="A36" s="2" t="n">
        <x:v>29</x:v>
      </x:c>
      <x:c r="B36" s="2" t="str">
        <x:v>사자자리</x:v>
      </x:c>
      <x:c r="C36" s="2" t="str">
        <x:v>도적</x:v>
      </x:c>
      <x:c r="D36" s="11" t="n">
        <x:v>10</x:v>
      </x:c>
      <x:c r="E36" s="11" t="n">
        <x:v>6</x:v>
      </x:c>
      <x:c r="F36" s="11" t="n">
        <x:v>6</x:v>
      </x:c>
      <x:c r="G36" s="11" t="n">
        <x:v>8</x:v>
      </x:c>
      <x:c r="H36" s="11" t="n">
        <x:v>6</x:v>
      </x:c>
      <x:c r="I36" s="11" t="n">
        <x:v>8</x:v>
      </x:c>
      <x:c r="J36" s="11" t="n">
        <x:v>1</x:v>
      </x:c>
      <x:c r="K36" s="11" t="n">
        <x:v>1</x:v>
      </x:c>
      <x:c r="L36" s="12" t="str">
        <x:v>공격력 중심형. 기본 4스탯 중 생명력·방어력 배분은 낮다. 치명·효과에서는 치명피해에 비중을 두고 효과적중·효과저항을 낮춘 구성.</x:v>
      </x:c>
    </x:row>
    <x:row r="37" ht="57" customHeight="1">
      <x:c r="A37" s="2" t="n">
        <x:v>30</x:v>
      </x:c>
      <x:c r="B37" s="2" t="str">
        <x:v>사자자리</x:v>
      </x:c>
      <x:c r="C37" s="2" t="str">
        <x:v>전사</x:v>
      </x:c>
      <x:c r="D37" s="11" t="n">
        <x:v>10</x:v>
      </x:c>
      <x:c r="E37" s="11" t="n">
        <x:v>7</x:v>
      </x:c>
      <x:c r="F37" s="11" t="n">
        <x:v>7</x:v>
      </x:c>
      <x:c r="G37" s="11" t="n">
        <x:v>7</x:v>
      </x:c>
      <x:c r="H37" s="11" t="n">
        <x:v>5</x:v>
      </x:c>
      <x:c r="I37" s="11" t="n">
        <x:v>8</x:v>
      </x:c>
      <x:c r="J37" s="11" t="n">
        <x:v>1</x:v>
      </x:c>
      <x:c r="K37" s="11" t="n">
        <x:v>2</x:v>
      </x:c>
      <x:c r="L37" s="12" t="str">
        <x:v>공격력 중심형. 기본 4스탯 중 생명력·방어력·속도 배분은 낮다. 치명·효과에서는 치명피해에 비중을 두고 효과적중을 낮춘 구성.</x:v>
      </x:c>
    </x:row>
    <x:row r="38" ht="57" customHeight="1">
      <x:c r="A38" s="2" t="n">
        <x:v>31</x:v>
      </x:c>
      <x:c r="B38" s="2" t="str">
        <x:v>처녀자리</x:v>
      </x:c>
      <x:c r="C38" s="2" t="str">
        <x:v>기사</x:v>
      </x:c>
      <x:c r="D38" s="11" t="n">
        <x:v>6</x:v>
      </x:c>
      <x:c r="E38" s="11" t="n">
        <x:v>9</x:v>
      </x:c>
      <x:c r="F38" s="11" t="n">
        <x:v>9</x:v>
      </x:c>
      <x:c r="G38" s="11" t="n">
        <x:v>6</x:v>
      </x:c>
      <x:c r="H38" s="11" t="n">
        <x:v>2</x:v>
      </x:c>
      <x:c r="I38" s="11" t="n">
        <x:v>3</x:v>
      </x:c>
      <x:c r="J38" s="11" t="n">
        <x:v>5</x:v>
      </x:c>
      <x:c r="K38" s="11" t="n">
        <x:v>6</x:v>
      </x:c>
      <x:c r="L38" s="12" t="str">
        <x:v>생명력·방어력 중심형. 기본 4스탯 중 공격력·속도 배분은 낮다. 치명·효과에서는 효과저항에 비중을 두고 치명확률을 낮춘 구성.</x:v>
      </x:c>
    </x:row>
    <x:row r="39" ht="57" customHeight="1">
      <x:c r="A39" s="2" t="n">
        <x:v>32</x:v>
      </x:c>
      <x:c r="B39" s="2" t="str">
        <x:v>처녀자리</x:v>
      </x:c>
      <x:c r="C39" s="2" t="str">
        <x:v>마도사</x:v>
      </x:c>
      <x:c r="D39" s="11" t="n">
        <x:v>8</x:v>
      </x:c>
      <x:c r="E39" s="11" t="n">
        <x:v>7</x:v>
      </x:c>
      <x:c r="F39" s="11" t="n">
        <x:v>7</x:v>
      </x:c>
      <x:c r="G39" s="11" t="n">
        <x:v>7</x:v>
      </x:c>
      <x:c r="H39" s="11" t="n">
        <x:v>3</x:v>
      </x:c>
      <x:c r="I39" s="11" t="n">
        <x:v>5</x:v>
      </x:c>
      <x:c r="J39" s="11" t="n">
        <x:v>5</x:v>
      </x:c>
      <x:c r="K39" s="11" t="n">
        <x:v>3</x:v>
      </x:c>
      <x:c r="L39" s="12" t="str">
        <x:v>공격력 중심형. 기본 4스탯 중 생명력·방어력·속도 배분은 낮다. 치명·효과에서는 치명피해·효과적중에 비중을 두고 치명확률·효과저항을 낮춘 구성.</x:v>
      </x:c>
    </x:row>
    <x:row r="40" ht="57" customHeight="1">
      <x:c r="A40" s="2" t="n">
        <x:v>33</x:v>
      </x:c>
      <x:c r="B40" s="2" t="str">
        <x:v>처녀자리</x:v>
      </x:c>
      <x:c r="C40" s="2" t="str">
        <x:v>사수</x:v>
      </x:c>
      <x:c r="D40" s="11" t="n">
        <x:v>7</x:v>
      </x:c>
      <x:c r="E40" s="11" t="n">
        <x:v>8</x:v>
      </x:c>
      <x:c r="F40" s="11" t="n">
        <x:v>7</x:v>
      </x:c>
      <x:c r="G40" s="11" t="n">
        <x:v>8</x:v>
      </x:c>
      <x:c r="H40" s="11" t="n">
        <x:v>4</x:v>
      </x:c>
      <x:c r="I40" s="11" t="n">
        <x:v>3</x:v>
      </x:c>
      <x:c r="J40" s="11" t="n">
        <x:v>6</x:v>
      </x:c>
      <x:c r="K40" s="11" t="n">
        <x:v>3</x:v>
      </x:c>
      <x:c r="L40" s="12" t="str">
        <x:v>생명력·속도 중심형. 기본 4스탯 중 공격력·방어력 배분은 낮다. 치명·효과에서는 효과적중에 비중을 두고 치명피해·효과저항을 낮춘 구성.</x:v>
      </x:c>
    </x:row>
    <x:row r="41" ht="57" customHeight="1">
      <x:c r="A41" s="2" t="n">
        <x:v>34</x:v>
      </x:c>
      <x:c r="B41" s="2" t="str">
        <x:v>처녀자리</x:v>
      </x:c>
      <x:c r="C41" s="2" t="str">
        <x:v>정령사</x:v>
      </x:c>
      <x:c r="D41" s="11" t="n">
        <x:v>6</x:v>
      </x:c>
      <x:c r="E41" s="11" t="n">
        <x:v>9</x:v>
      </x:c>
      <x:c r="F41" s="11" t="n">
        <x:v>9</x:v>
      </x:c>
      <x:c r="G41" s="11" t="n">
        <x:v>7</x:v>
      </x:c>
      <x:c r="H41" s="11" t="n">
        <x:v>2</x:v>
      </x:c>
      <x:c r="I41" s="11" t="n">
        <x:v>3</x:v>
      </x:c>
      <x:c r="J41" s="11" t="n">
        <x:v>6</x:v>
      </x:c>
      <x:c r="K41" s="11" t="n">
        <x:v>5</x:v>
      </x:c>
      <x:c r="L41" s="12" t="str">
        <x:v>생명력·방어력 중심형. 기본 4스탯 중 공격력 배분은 낮다. 치명·효과에서는 효과적중에 비중을 두고 치명확률을 낮춘 구성.</x:v>
      </x:c>
    </x:row>
    <x:row r="42" ht="57" customHeight="1">
      <x:c r="A42" s="2" t="n">
        <x:v>35</x:v>
      </x:c>
      <x:c r="B42" s="2" t="str">
        <x:v>처녀자리</x:v>
      </x:c>
      <x:c r="C42" s="2" t="str">
        <x:v>도적</x:v>
      </x:c>
      <x:c r="D42" s="11" t="n">
        <x:v>8</x:v>
      </x:c>
      <x:c r="E42" s="11" t="n">
        <x:v>7</x:v>
      </x:c>
      <x:c r="F42" s="11" t="n">
        <x:v>7</x:v>
      </x:c>
      <x:c r="G42" s="11" t="n">
        <x:v>8</x:v>
      </x:c>
      <x:c r="H42" s="11" t="n">
        <x:v>4</x:v>
      </x:c>
      <x:c r="I42" s="11" t="n">
        <x:v>5</x:v>
      </x:c>
      <x:c r="J42" s="11" t="n">
        <x:v>4</x:v>
      </x:c>
      <x:c r="K42" s="11" t="n">
        <x:v>3</x:v>
      </x:c>
      <x:c r="L42" s="12" t="str">
        <x:v>공격력·속도 중심형. 기본 4스탯 중 생명력·방어력 배분은 낮다. 치명·효과에서는 치명피해에 비중을 두고 효과저항을 낮춘 구성.</x:v>
      </x:c>
    </x:row>
    <x:row r="43" ht="57" customHeight="1">
      <x:c r="A43" s="2" t="n">
        <x:v>36</x:v>
      </x:c>
      <x:c r="B43" s="2" t="str">
        <x:v>처녀자리</x:v>
      </x:c>
      <x:c r="C43" s="2" t="str">
        <x:v>전사</x:v>
      </x:c>
      <x:c r="D43" s="11" t="n">
        <x:v>8</x:v>
      </x:c>
      <x:c r="E43" s="11" t="n">
        <x:v>8</x:v>
      </x:c>
      <x:c r="F43" s="11" t="n">
        <x:v>8</x:v>
      </x:c>
      <x:c r="G43" s="11" t="n">
        <x:v>7</x:v>
      </x:c>
      <x:c r="H43" s="11" t="n">
        <x:v>3</x:v>
      </x:c>
      <x:c r="I43" s="11" t="n">
        <x:v>5</x:v>
      </x:c>
      <x:c r="J43" s="11" t="n">
        <x:v>4</x:v>
      </x:c>
      <x:c r="K43" s="11" t="n">
        <x:v>4</x:v>
      </x:c>
      <x:c r="L43" s="12" t="str">
        <x:v>공격력·생명력·방어력 중심형. 기본 4스탯 중 속도 배분은 낮다. 치명·효과에서는 치명피해에 비중을 두고 치명확률을 낮춘 구성.</x:v>
      </x:c>
    </x:row>
    <x:row r="44" ht="57" customHeight="1">
      <x:c r="A44" s="2" t="n">
        <x:v>37</x:v>
      </x:c>
      <x:c r="B44" s="2" t="str">
        <x:v>천칭자리</x:v>
      </x:c>
      <x:c r="C44" s="2" t="str">
        <x:v>기사</x:v>
      </x:c>
      <x:c r="D44" s="11" t="n">
        <x:v>7</x:v>
      </x:c>
      <x:c r="E44" s="11" t="n">
        <x:v>8</x:v>
      </x:c>
      <x:c r="F44" s="11" t="n">
        <x:v>8</x:v>
      </x:c>
      <x:c r="G44" s="11" t="n">
        <x:v>7</x:v>
      </x:c>
      <x:c r="H44" s="11" t="n">
        <x:v>3</x:v>
      </x:c>
      <x:c r="I44" s="11" t="n">
        <x:v>4</x:v>
      </x:c>
      <x:c r="J44" s="11" t="n">
        <x:v>3</x:v>
      </x:c>
      <x:c r="K44" s="11" t="n">
        <x:v>6</x:v>
      </x:c>
      <x:c r="L44" s="12" t="str">
        <x:v>생명력·방어력 중심형. 기본 4스탯 중 공격력·속도 배분은 낮다. 치명·효과에서는 효과저항에 비중을 두고 치명확률·효과적중을 낮춘 구성.</x:v>
      </x:c>
    </x:row>
    <x:row r="45" ht="57" customHeight="1">
      <x:c r="A45" s="2" t="n">
        <x:v>38</x:v>
      </x:c>
      <x:c r="B45" s="2" t="str">
        <x:v>천칭자리</x:v>
      </x:c>
      <x:c r="C45" s="2" t="str">
        <x:v>마도사</x:v>
      </x:c>
      <x:c r="D45" s="11" t="n">
        <x:v>9</x:v>
      </x:c>
      <x:c r="E45" s="11" t="n">
        <x:v>6</x:v>
      </x:c>
      <x:c r="F45" s="11" t="n">
        <x:v>6</x:v>
      </x:c>
      <x:c r="G45" s="11" t="n">
        <x:v>8</x:v>
      </x:c>
      <x:c r="H45" s="11" t="n">
        <x:v>4</x:v>
      </x:c>
      <x:c r="I45" s="11" t="n">
        <x:v>6</x:v>
      </x:c>
      <x:c r="J45" s="11" t="n">
        <x:v>3</x:v>
      </x:c>
      <x:c r="K45" s="11" t="n">
        <x:v>3</x:v>
      </x:c>
      <x:c r="L45" s="12" t="str">
        <x:v>공격력 중심형. 기본 4스탯 중 생명력·방어력 배분은 낮다. 치명·효과에서는 치명피해에 비중을 두고 효과적중·효과저항을 낮춘 구성.</x:v>
      </x:c>
    </x:row>
    <x:row r="46" ht="57" customHeight="1">
      <x:c r="A46" s="2" t="n">
        <x:v>39</x:v>
      </x:c>
      <x:c r="B46" s="2" t="str">
        <x:v>천칭자리</x:v>
      </x:c>
      <x:c r="C46" s="2" t="str">
        <x:v>사수</x:v>
      </x:c>
      <x:c r="D46" s="11" t="n">
        <x:v>8</x:v>
      </x:c>
      <x:c r="E46" s="11" t="n">
        <x:v>7</x:v>
      </x:c>
      <x:c r="F46" s="11" t="n">
        <x:v>6</x:v>
      </x:c>
      <x:c r="G46" s="11" t="n">
        <x:v>9</x:v>
      </x:c>
      <x:c r="H46" s="11" t="n">
        <x:v>5</x:v>
      </x:c>
      <x:c r="I46" s="11" t="n">
        <x:v>4</x:v>
      </x:c>
      <x:c r="J46" s="11" t="n">
        <x:v>4</x:v>
      </x:c>
      <x:c r="K46" s="11" t="n">
        <x:v>3</x:v>
      </x:c>
      <x:c r="L46" s="12" t="str">
        <x:v>속도 중심형. 기본 4스탯 중 방어력 배분은 낮다. 치명·효과에서는 치명확률에 비중을 두고 효과저항을 낮춘 구성.</x:v>
      </x:c>
    </x:row>
    <x:row r="47" ht="57" customHeight="1">
      <x:c r="A47" s="2" t="n">
        <x:v>40</x:v>
      </x:c>
      <x:c r="B47" s="2" t="str">
        <x:v>천칭자리</x:v>
      </x:c>
      <x:c r="C47" s="2" t="str">
        <x:v>정령사</x:v>
      </x:c>
      <x:c r="D47" s="11" t="n">
        <x:v>6</x:v>
      </x:c>
      <x:c r="E47" s="11" t="n">
        <x:v>8</x:v>
      </x:c>
      <x:c r="F47" s="11" t="n">
        <x:v>8</x:v>
      </x:c>
      <x:c r="G47" s="11" t="n">
        <x:v>8</x:v>
      </x:c>
      <x:c r="H47" s="11" t="n">
        <x:v>3</x:v>
      </x:c>
      <x:c r="I47" s="11" t="n">
        <x:v>4</x:v>
      </x:c>
      <x:c r="J47" s="11" t="n">
        <x:v>4</x:v>
      </x:c>
      <x:c r="K47" s="11" t="n">
        <x:v>5</x:v>
      </x:c>
      <x:c r="L47" s="12" t="str">
        <x:v>생명력·방어력·속도 중심형. 기본 4스탯 중 공격력 배분은 낮다. 치명·효과에서는 효과저항에 비중을 두고 치명확률을 낮춘 구성.</x:v>
      </x:c>
    </x:row>
    <x:row r="48" ht="57" customHeight="1">
      <x:c r="A48" s="2" t="n">
        <x:v>41</x:v>
      </x:c>
      <x:c r="B48" s="2" t="str">
        <x:v>천칭자리</x:v>
      </x:c>
      <x:c r="C48" s="2" t="str">
        <x:v>도적</x:v>
      </x:c>
      <x:c r="D48" s="11" t="n">
        <x:v>9</x:v>
      </x:c>
      <x:c r="E48" s="11" t="n">
        <x:v>6</x:v>
      </x:c>
      <x:c r="F48" s="11" t="n">
        <x:v>6</x:v>
      </x:c>
      <x:c r="G48" s="11" t="n">
        <x:v>9</x:v>
      </x:c>
      <x:c r="H48" s="11" t="n">
        <x:v>5</x:v>
      </x:c>
      <x:c r="I48" s="11" t="n">
        <x:v>6</x:v>
      </x:c>
      <x:c r="J48" s="11" t="n">
        <x:v>2</x:v>
      </x:c>
      <x:c r="K48" s="11" t="n">
        <x:v>3</x:v>
      </x:c>
      <x:c r="L48" s="12" t="str">
        <x:v>공격력·속도 중심형. 기본 4스탯 중 생명력·방어력 배분은 낮다. 치명·효과에서는 치명피해에 비중을 두고 효과적중을 낮춘 구성.</x:v>
      </x:c>
    </x:row>
    <x:row r="49" ht="57" customHeight="1">
      <x:c r="A49" s="2" t="n">
        <x:v>42</x:v>
      </x:c>
      <x:c r="B49" s="2" t="str">
        <x:v>천칭자리</x:v>
      </x:c>
      <x:c r="C49" s="2" t="str">
        <x:v>전사</x:v>
      </x:c>
      <x:c r="D49" s="11" t="n">
        <x:v>9</x:v>
      </x:c>
      <x:c r="E49" s="11" t="n">
        <x:v>7</x:v>
      </x:c>
      <x:c r="F49" s="11" t="n">
        <x:v>7</x:v>
      </x:c>
      <x:c r="G49" s="11" t="n">
        <x:v>8</x:v>
      </x:c>
      <x:c r="H49" s="11" t="n">
        <x:v>4</x:v>
      </x:c>
      <x:c r="I49" s="11" t="n">
        <x:v>6</x:v>
      </x:c>
      <x:c r="J49" s="11" t="n">
        <x:v>2</x:v>
      </x:c>
      <x:c r="K49" s="11" t="n">
        <x:v>4</x:v>
      </x:c>
      <x:c r="L49" s="12" t="str">
        <x:v>공격력 중심형. 기본 4스탯 중 생명력·방어력 배분은 낮다. 치명·효과에서는 치명피해에 비중을 두고 효과적중을 낮춘 구성.</x:v>
      </x:c>
    </x:row>
    <x:row r="50" ht="57" customHeight="1">
      <x:c r="A50" s="2" t="n">
        <x:v>43</x:v>
      </x:c>
      <x:c r="B50" s="2" t="str">
        <x:v>전갈자리</x:v>
      </x:c>
      <x:c r="C50" s="2" t="str">
        <x:v>기사</x:v>
      </x:c>
      <x:c r="D50" s="11" t="n">
        <x:v>7</x:v>
      </x:c>
      <x:c r="E50" s="11" t="n">
        <x:v>7</x:v>
      </x:c>
      <x:c r="F50" s="11" t="n">
        <x:v>9</x:v>
      </x:c>
      <x:c r="G50" s="11" t="n">
        <x:v>7</x:v>
      </x:c>
      <x:c r="H50" s="11" t="n">
        <x:v>2</x:v>
      </x:c>
      <x:c r="I50" s="11" t="n">
        <x:v>5</x:v>
      </x:c>
      <x:c r="J50" s="11" t="n">
        <x:v>6</x:v>
      </x:c>
      <x:c r="K50" s="11" t="n">
        <x:v>3</x:v>
      </x:c>
      <x:c r="L50" s="12" t="str">
        <x:v>방어력 중심형. 기본 4스탯 중 공격력·생명력·속도 배분은 낮다. 치명·효과에서는 효과적중에 비중을 두고 치명확률을 낮춘 구성.</x:v>
      </x:c>
    </x:row>
    <x:row r="51" ht="57" customHeight="1">
      <x:c r="A51" s="2" t="n">
        <x:v>44</x:v>
      </x:c>
      <x:c r="B51" s="2" t="str">
        <x:v>전갈자리</x:v>
      </x:c>
      <x:c r="C51" s="2" t="str">
        <x:v>마도사</x:v>
      </x:c>
      <x:c r="D51" s="11" t="n">
        <x:v>9</x:v>
      </x:c>
      <x:c r="E51" s="11" t="n">
        <x:v>5</x:v>
      </x:c>
      <x:c r="F51" s="11" t="n">
        <x:v>7</x:v>
      </x:c>
      <x:c r="G51" s="11" t="n">
        <x:v>8</x:v>
      </x:c>
      <x:c r="H51" s="11" t="n">
        <x:v>3</x:v>
      </x:c>
      <x:c r="I51" s="11" t="n">
        <x:v>7</x:v>
      </x:c>
      <x:c r="J51" s="11" t="n">
        <x:v>6</x:v>
      </x:c>
      <x:c r="K51" s="11" t="n">
        <x:v>0</x:v>
      </x:c>
      <x:c r="L51" s="12" t="str">
        <x:v>공격력 중심형. 기본 4스탯 중 생명력 배분은 낮다. 치명·효과에서는 치명피해에 비중을 두고 효과저항을 낮춘 구성.</x:v>
      </x:c>
    </x:row>
    <x:row r="52" ht="57" customHeight="1">
      <x:c r="A52" s="2" t="n">
        <x:v>45</x:v>
      </x:c>
      <x:c r="B52" s="2" t="str">
        <x:v>전갈자리</x:v>
      </x:c>
      <x:c r="C52" s="2" t="str">
        <x:v>사수</x:v>
      </x:c>
      <x:c r="D52" s="11" t="n">
        <x:v>8</x:v>
      </x:c>
      <x:c r="E52" s="11" t="n">
        <x:v>6</x:v>
      </x:c>
      <x:c r="F52" s="11" t="n">
        <x:v>7</x:v>
      </x:c>
      <x:c r="G52" s="11" t="n">
        <x:v>9</x:v>
      </x:c>
      <x:c r="H52" s="11" t="n">
        <x:v>4</x:v>
      </x:c>
      <x:c r="I52" s="11" t="n">
        <x:v>5</x:v>
      </x:c>
      <x:c r="J52" s="11" t="n">
        <x:v>7</x:v>
      </x:c>
      <x:c r="K52" s="11" t="n">
        <x:v>0</x:v>
      </x:c>
      <x:c r="L52" s="12" t="str">
        <x:v>속도 중심형. 기본 4스탯 중 생명력 배분은 낮다. 치명·효과에서는 효과적중에 비중을 두고 효과저항을 낮춘 구성.</x:v>
      </x:c>
    </x:row>
    <x:row r="53" ht="57" customHeight="1">
      <x:c r="A53" s="2" t="n">
        <x:v>46</x:v>
      </x:c>
      <x:c r="B53" s="2" t="str">
        <x:v>전갈자리</x:v>
      </x:c>
      <x:c r="C53" s="2" t="str">
        <x:v>정령사</x:v>
      </x:c>
      <x:c r="D53" s="11" t="n">
        <x:v>6</x:v>
      </x:c>
      <x:c r="E53" s="11" t="n">
        <x:v>7</x:v>
      </x:c>
      <x:c r="F53" s="11" t="n">
        <x:v>9</x:v>
      </x:c>
      <x:c r="G53" s="11" t="n">
        <x:v>8</x:v>
      </x:c>
      <x:c r="H53" s="11" t="n">
        <x:v>2</x:v>
      </x:c>
      <x:c r="I53" s="11" t="n">
        <x:v>5</x:v>
      </x:c>
      <x:c r="J53" s="11" t="n">
        <x:v>7</x:v>
      </x:c>
      <x:c r="K53" s="11" t="n">
        <x:v>2</x:v>
      </x:c>
      <x:c r="L53" s="12" t="str">
        <x:v>방어력 중심형. 기본 4스탯 중 공격력 배분은 낮다. 치명·효과에서는 효과적중에 비중을 두고 치명확률·효과저항을 낮춘 구성.</x:v>
      </x:c>
    </x:row>
    <x:row r="54" ht="57" customHeight="1">
      <x:c r="A54" s="2" t="n">
        <x:v>47</x:v>
      </x:c>
      <x:c r="B54" s="2" t="str">
        <x:v>전갈자리</x:v>
      </x:c>
      <x:c r="C54" s="2" t="str">
        <x:v>도적</x:v>
      </x:c>
      <x:c r="D54" s="11" t="n">
        <x:v>9</x:v>
      </x:c>
      <x:c r="E54" s="11" t="n">
        <x:v>5</x:v>
      </x:c>
      <x:c r="F54" s="11" t="n">
        <x:v>7</x:v>
      </x:c>
      <x:c r="G54" s="11" t="n">
        <x:v>9</x:v>
      </x:c>
      <x:c r="H54" s="11" t="n">
        <x:v>4</x:v>
      </x:c>
      <x:c r="I54" s="11" t="n">
        <x:v>7</x:v>
      </x:c>
      <x:c r="J54" s="11" t="n">
        <x:v>5</x:v>
      </x:c>
      <x:c r="K54" s="11" t="n">
        <x:v>0</x:v>
      </x:c>
      <x:c r="L54" s="12" t="str">
        <x:v>공격력·속도 중심형. 기본 4스탯 중 생명력 배분은 낮다. 치명·효과에서는 치명피해에 비중을 두고 효과저항을 낮춘 구성.</x:v>
      </x:c>
    </x:row>
    <x:row r="55" ht="57" customHeight="1">
      <x:c r="A55" s="2" t="n">
        <x:v>48</x:v>
      </x:c>
      <x:c r="B55" s="2" t="str">
        <x:v>전갈자리</x:v>
      </x:c>
      <x:c r="C55" s="2" t="str">
        <x:v>전사</x:v>
      </x:c>
      <x:c r="D55" s="11" t="n">
        <x:v>9</x:v>
      </x:c>
      <x:c r="E55" s="11" t="n">
        <x:v>6</x:v>
      </x:c>
      <x:c r="F55" s="11" t="n">
        <x:v>8</x:v>
      </x:c>
      <x:c r="G55" s="11" t="n">
        <x:v>8</x:v>
      </x:c>
      <x:c r="H55" s="11" t="n">
        <x:v>3</x:v>
      </x:c>
      <x:c r="I55" s="11" t="n">
        <x:v>7</x:v>
      </x:c>
      <x:c r="J55" s="11" t="n">
        <x:v>5</x:v>
      </x:c>
      <x:c r="K55" s="11" t="n">
        <x:v>1</x:v>
      </x:c>
      <x:c r="L55" s="12" t="str">
        <x:v>공격력 중심형. 기본 4스탯 중 생명력 배분은 낮다. 치명·효과에서는 치명피해에 비중을 두고 효과저항을 낮춘 구성.</x:v>
      </x:c>
    </x:row>
    <x:row r="56" ht="57" customHeight="1">
      <x:c r="A56" s="2" t="n">
        <x:v>49</x:v>
      </x:c>
      <x:c r="B56" s="2" t="str">
        <x:v>사수자리</x:v>
      </x:c>
      <x:c r="C56" s="2" t="str">
        <x:v>기사</x:v>
      </x:c>
      <x:c r="D56" s="11" t="n">
        <x:v>7</x:v>
      </x:c>
      <x:c r="E56" s="11" t="n">
        <x:v>7</x:v>
      </x:c>
      <x:c r="F56" s="11" t="n">
        <x:v>8</x:v>
      </x:c>
      <x:c r="G56" s="11" t="n">
        <x:v>8</x:v>
      </x:c>
      <x:c r="H56" s="11" t="n">
        <x:v>5</x:v>
      </x:c>
      <x:c r="I56" s="11" t="n">
        <x:v>4</x:v>
      </x:c>
      <x:c r="J56" s="11" t="n">
        <x:v>4</x:v>
      </x:c>
      <x:c r="K56" s="11" t="n">
        <x:v>3</x:v>
      </x:c>
      <x:c r="L56" s="12" t="str">
        <x:v>방어력·속도 중심형. 기본 4스탯 중 공격력·생명력 배분은 낮다. 치명·효과에서는 치명확률에 비중을 두고 효과저항을 낮춘 구성.</x:v>
      </x:c>
    </x:row>
    <x:row r="57" ht="57" customHeight="1">
      <x:c r="A57" s="2" t="n">
        <x:v>50</x:v>
      </x:c>
      <x:c r="B57" s="2" t="str">
        <x:v>사수자리</x:v>
      </x:c>
      <x:c r="C57" s="2" t="str">
        <x:v>마도사</x:v>
      </x:c>
      <x:c r="D57" s="11" t="n">
        <x:v>9</x:v>
      </x:c>
      <x:c r="E57" s="11" t="n">
        <x:v>5</x:v>
      </x:c>
      <x:c r="F57" s="11" t="n">
        <x:v>6</x:v>
      </x:c>
      <x:c r="G57" s="11" t="n">
        <x:v>9</x:v>
      </x:c>
      <x:c r="H57" s="11" t="n">
        <x:v>6</x:v>
      </x:c>
      <x:c r="I57" s="11" t="n">
        <x:v>6</x:v>
      </x:c>
      <x:c r="J57" s="11" t="n">
        <x:v>4</x:v>
      </x:c>
      <x:c r="K57" s="11" t="n">
        <x:v>0</x:v>
      </x:c>
      <x:c r="L57" s="12" t="str">
        <x:v>공격력·속도 중심형. 기본 4스탯 중 생명력 배분은 낮다. 치명·효과에서는 치명확률·치명피해에 비중을 두고 효과저항을 낮춘 구성.</x:v>
      </x:c>
    </x:row>
    <x:row r="58" ht="57" customHeight="1">
      <x:c r="A58" s="2" t="n">
        <x:v>51</x:v>
      </x:c>
      <x:c r="B58" s="2" t="str">
        <x:v>사수자리</x:v>
      </x:c>
      <x:c r="C58" s="2" t="str">
        <x:v>사수</x:v>
      </x:c>
      <x:c r="D58" s="11" t="n">
        <x:v>8</x:v>
      </x:c>
      <x:c r="E58" s="11" t="n">
        <x:v>6</x:v>
      </x:c>
      <x:c r="F58" s="11" t="n">
        <x:v>6</x:v>
      </x:c>
      <x:c r="G58" s="11" t="n">
        <x:v>10</x:v>
      </x:c>
      <x:c r="H58" s="11" t="n">
        <x:v>7</x:v>
      </x:c>
      <x:c r="I58" s="11" t="n">
        <x:v>4</x:v>
      </x:c>
      <x:c r="J58" s="11" t="n">
        <x:v>5</x:v>
      </x:c>
      <x:c r="K58" s="11" t="n">
        <x:v>0</x:v>
      </x:c>
      <x:c r="L58" s="12" t="str">
        <x:v>속도 중심형. 기본 4스탯 중 생명력·방어력 배분은 낮다. 치명·효과에서는 치명확률에 비중을 두고 효과저항을 낮춘 구성.</x:v>
      </x:c>
    </x:row>
    <x:row r="59" ht="57" customHeight="1">
      <x:c r="A59" s="2" t="n">
        <x:v>52</x:v>
      </x:c>
      <x:c r="B59" s="2" t="str">
        <x:v>사수자리</x:v>
      </x:c>
      <x:c r="C59" s="2" t="str">
        <x:v>정령사</x:v>
      </x:c>
      <x:c r="D59" s="11" t="n">
        <x:v>6</x:v>
      </x:c>
      <x:c r="E59" s="11" t="n">
        <x:v>7</x:v>
      </x:c>
      <x:c r="F59" s="11" t="n">
        <x:v>8</x:v>
      </x:c>
      <x:c r="G59" s="11" t="n">
        <x:v>9</x:v>
      </x:c>
      <x:c r="H59" s="11" t="n">
        <x:v>5</x:v>
      </x:c>
      <x:c r="I59" s="11" t="n">
        <x:v>4</x:v>
      </x:c>
      <x:c r="J59" s="11" t="n">
        <x:v>5</x:v>
      </x:c>
      <x:c r="K59" s="11" t="n">
        <x:v>2</x:v>
      </x:c>
      <x:c r="L59" s="12" t="str">
        <x:v>속도 중심형. 기본 4스탯 중 공격력 배분은 낮다. 치명·효과에서는 치명확률·효과적중에 비중을 두고 효과저항을 낮춘 구성.</x:v>
      </x:c>
    </x:row>
    <x:row r="60" ht="57" customHeight="1">
      <x:c r="A60" s="2" t="n">
        <x:v>53</x:v>
      </x:c>
      <x:c r="B60" s="2" t="str">
        <x:v>사수자리</x:v>
      </x:c>
      <x:c r="C60" s="2" t="str">
        <x:v>도적</x:v>
      </x:c>
      <x:c r="D60" s="11" t="n">
        <x:v>9</x:v>
      </x:c>
      <x:c r="E60" s="11" t="n">
        <x:v>5</x:v>
      </x:c>
      <x:c r="F60" s="11" t="n">
        <x:v>6</x:v>
      </x:c>
      <x:c r="G60" s="11" t="n">
        <x:v>10</x:v>
      </x:c>
      <x:c r="H60" s="11" t="n">
        <x:v>7</x:v>
      </x:c>
      <x:c r="I60" s="11" t="n">
        <x:v>6</x:v>
      </x:c>
      <x:c r="J60" s="11" t="n">
        <x:v>3</x:v>
      </x:c>
      <x:c r="K60" s="11" t="n">
        <x:v>0</x:v>
      </x:c>
      <x:c r="L60" s="12" t="str">
        <x:v>속도 중심형. 기본 4스탯 중 생명력 배분은 낮다. 치명·효과에서는 치명확률에 비중을 두고 효과저항을 낮춘 구성.</x:v>
      </x:c>
    </x:row>
    <x:row r="61" ht="57" customHeight="1">
      <x:c r="A61" s="2" t="n">
        <x:v>54</x:v>
      </x:c>
      <x:c r="B61" s="2" t="str">
        <x:v>사수자리</x:v>
      </x:c>
      <x:c r="C61" s="2" t="str">
        <x:v>전사</x:v>
      </x:c>
      <x:c r="D61" s="11" t="n">
        <x:v>9</x:v>
      </x:c>
      <x:c r="E61" s="11" t="n">
        <x:v>6</x:v>
      </x:c>
      <x:c r="F61" s="11" t="n">
        <x:v>7</x:v>
      </x:c>
      <x:c r="G61" s="11" t="n">
        <x:v>9</x:v>
      </x:c>
      <x:c r="H61" s="11" t="n">
        <x:v>6</x:v>
      </x:c>
      <x:c r="I61" s="11" t="n">
        <x:v>6</x:v>
      </x:c>
      <x:c r="J61" s="11" t="n">
        <x:v>3</x:v>
      </x:c>
      <x:c r="K61" s="11" t="n">
        <x:v>1</x:v>
      </x:c>
      <x:c r="L61" s="12" t="str">
        <x:v>공격력·속도 중심형. 기본 4스탯 중 생명력 배분은 낮다. 치명·효과에서는 치명확률·치명피해에 비중을 두고 효과저항을 낮춘 구성.</x:v>
      </x:c>
    </x:row>
    <x:row r="62" ht="57" customHeight="1">
      <x:c r="A62" s="2" t="n">
        <x:v>55</x:v>
      </x:c>
      <x:c r="B62" s="2" t="str">
        <x:v>염소자리</x:v>
      </x:c>
      <x:c r="C62" s="2" t="str">
        <x:v>기사</x:v>
      </x:c>
      <x:c r="D62" s="11" t="n">
        <x:v>6</x:v>
      </x:c>
      <x:c r="E62" s="11" t="n">
        <x:v>9</x:v>
      </x:c>
      <x:c r="F62" s="11" t="n">
        <x:v>10</x:v>
      </x:c>
      <x:c r="G62" s="11" t="n">
        <x:v>5</x:v>
      </x:c>
      <x:c r="H62" s="11" t="n">
        <x:v>1</x:v>
      </x:c>
      <x:c r="I62" s="11" t="n">
        <x:v>5</x:v>
      </x:c>
      <x:c r="J62" s="11" t="n">
        <x:v>2</x:v>
      </x:c>
      <x:c r="K62" s="11" t="n">
        <x:v>8</x:v>
      </x:c>
      <x:c r="L62" s="12" t="str">
        <x:v>방어력 중심형. 기본 4스탯 중 속도 배분은 낮다. 치명·효과에서는 효과저항에 비중을 두고 치명확률을 낮춘 구성.</x:v>
      </x:c>
    </x:row>
    <x:row r="63" ht="57" customHeight="1">
      <x:c r="A63" s="2" t="n">
        <x:v>56</x:v>
      </x:c>
      <x:c r="B63" s="2" t="str">
        <x:v>염소자리</x:v>
      </x:c>
      <x:c r="C63" s="2" t="str">
        <x:v>마도사</x:v>
      </x:c>
      <x:c r="D63" s="11" t="n">
        <x:v>8</x:v>
      </x:c>
      <x:c r="E63" s="11" t="n">
        <x:v>7</x:v>
      </x:c>
      <x:c r="F63" s="11" t="n">
        <x:v>8</x:v>
      </x:c>
      <x:c r="G63" s="11" t="n">
        <x:v>6</x:v>
      </x:c>
      <x:c r="H63" s="11" t="n">
        <x:v>2</x:v>
      </x:c>
      <x:c r="I63" s="11" t="n">
        <x:v>7</x:v>
      </x:c>
      <x:c r="J63" s="11" t="n">
        <x:v>2</x:v>
      </x:c>
      <x:c r="K63" s="11" t="n">
        <x:v>5</x:v>
      </x:c>
      <x:c r="L63" s="12" t="str">
        <x:v>공격력·방어력 중심형. 기본 4스탯 중 속도 배분은 낮다. 치명·효과에서는 치명피해에 비중을 두고 치명확률·효과적중을 낮춘 구성.</x:v>
      </x:c>
    </x:row>
    <x:row r="64" ht="57" customHeight="1">
      <x:c r="A64" s="2" t="n">
        <x:v>57</x:v>
      </x:c>
      <x:c r="B64" s="2" t="str">
        <x:v>염소자리</x:v>
      </x:c>
      <x:c r="C64" s="2" t="str">
        <x:v>사수</x:v>
      </x:c>
      <x:c r="D64" s="11" t="n">
        <x:v>7</x:v>
      </x:c>
      <x:c r="E64" s="11" t="n">
        <x:v>8</x:v>
      </x:c>
      <x:c r="F64" s="11" t="n">
        <x:v>8</x:v>
      </x:c>
      <x:c r="G64" s="11" t="n">
        <x:v>7</x:v>
      </x:c>
      <x:c r="H64" s="11" t="n">
        <x:v>3</x:v>
      </x:c>
      <x:c r="I64" s="11" t="n">
        <x:v>5</x:v>
      </x:c>
      <x:c r="J64" s="11" t="n">
        <x:v>3</x:v>
      </x:c>
      <x:c r="K64" s="11" t="n">
        <x:v>5</x:v>
      </x:c>
      <x:c r="L64" s="12" t="str">
        <x:v>생명력·방어력 중심형. 기본 4스탯 중 공격력·속도 배분은 낮다. 치명·효과에서는 치명피해·효과저항에 비중을 두고 치명확률·효과적중을 낮춘 구성.</x:v>
      </x:c>
    </x:row>
    <x:row r="65" ht="57" customHeight="1">
      <x:c r="A65" s="2" t="n">
        <x:v>58</x:v>
      </x:c>
      <x:c r="B65" s="2" t="str">
        <x:v>염소자리</x:v>
      </x:c>
      <x:c r="C65" s="2" t="str">
        <x:v>정령사</x:v>
      </x:c>
      <x:c r="D65" s="11" t="n">
        <x:v>6</x:v>
      </x:c>
      <x:c r="E65" s="11" t="n">
        <x:v>9</x:v>
      </x:c>
      <x:c r="F65" s="11" t="n">
        <x:v>10</x:v>
      </x:c>
      <x:c r="G65" s="11" t="n">
        <x:v>6</x:v>
      </x:c>
      <x:c r="H65" s="11" t="n">
        <x:v>1</x:v>
      </x:c>
      <x:c r="I65" s="11" t="n">
        <x:v>5</x:v>
      </x:c>
      <x:c r="J65" s="11" t="n">
        <x:v>3</x:v>
      </x:c>
      <x:c r="K65" s="11" t="n">
        <x:v>7</x:v>
      </x:c>
      <x:c r="L65" s="12" t="str">
        <x:v>방어력 중심형. 기본 4스탯 중 공격력·속도 배분은 낮다. 치명·효과에서는 효과저항에 비중을 두고 치명확률을 낮춘 구성.</x:v>
      </x:c>
    </x:row>
    <x:row r="66" ht="57" customHeight="1">
      <x:c r="A66" s="2" t="n">
        <x:v>59</x:v>
      </x:c>
      <x:c r="B66" s="2" t="str">
        <x:v>염소자리</x:v>
      </x:c>
      <x:c r="C66" s="2" t="str">
        <x:v>도적</x:v>
      </x:c>
      <x:c r="D66" s="11" t="n">
        <x:v>8</x:v>
      </x:c>
      <x:c r="E66" s="11" t="n">
        <x:v>7</x:v>
      </x:c>
      <x:c r="F66" s="11" t="n">
        <x:v>8</x:v>
      </x:c>
      <x:c r="G66" s="11" t="n">
        <x:v>7</x:v>
      </x:c>
      <x:c r="H66" s="11" t="n">
        <x:v>3</x:v>
      </x:c>
      <x:c r="I66" s="11" t="n">
        <x:v>7</x:v>
      </x:c>
      <x:c r="J66" s="11" t="n">
        <x:v>1</x:v>
      </x:c>
      <x:c r="K66" s="11" t="n">
        <x:v>5</x:v>
      </x:c>
      <x:c r="L66" s="12" t="str">
        <x:v>공격력·방어력 중심형. 기본 4스탯 중 생명력·속도 배분은 낮다. 치명·효과에서는 치명피해에 비중을 두고 효과적중을 낮춘 구성.</x:v>
      </x:c>
    </x:row>
    <x:row r="67" ht="57" customHeight="1">
      <x:c r="A67" s="2" t="n">
        <x:v>60</x:v>
      </x:c>
      <x:c r="B67" s="2" t="str">
        <x:v>염소자리</x:v>
      </x:c>
      <x:c r="C67" s="2" t="str">
        <x:v>전사</x:v>
      </x:c>
      <x:c r="D67" s="11" t="n">
        <x:v>8</x:v>
      </x:c>
      <x:c r="E67" s="11" t="n">
        <x:v>8</x:v>
      </x:c>
      <x:c r="F67" s="11" t="n">
        <x:v>9</x:v>
      </x:c>
      <x:c r="G67" s="11" t="n">
        <x:v>6</x:v>
      </x:c>
      <x:c r="H67" s="11" t="n">
        <x:v>2</x:v>
      </x:c>
      <x:c r="I67" s="11" t="n">
        <x:v>7</x:v>
      </x:c>
      <x:c r="J67" s="11" t="n">
        <x:v>1</x:v>
      </x:c>
      <x:c r="K67" s="11" t="n">
        <x:v>6</x:v>
      </x:c>
      <x:c r="L67" s="12" t="str">
        <x:v>방어력 중심형. 기본 4스탯 중 속도 배분은 낮다. 치명·효과에서는 치명피해에 비중을 두고 효과적중을 낮춘 구성.</x:v>
      </x:c>
    </x:row>
    <x:row r="68" ht="57" customHeight="1">
      <x:c r="A68" s="2" t="n">
        <x:v>61</x:v>
      </x:c>
      <x:c r="B68" s="2" t="str">
        <x:v>물병자리</x:v>
      </x:c>
      <x:c r="C68" s="2" t="str">
        <x:v>기사</x:v>
      </x:c>
      <x:c r="D68" s="11" t="n">
        <x:v>6</x:v>
      </x:c>
      <x:c r="E68" s="11" t="n">
        <x:v>8</x:v>
      </x:c>
      <x:c r="F68" s="11" t="n">
        <x:v>8</x:v>
      </x:c>
      <x:c r="G68" s="11" t="n">
        <x:v>8</x:v>
      </x:c>
      <x:c r="H68" s="11" t="n">
        <x:v>3</x:v>
      </x:c>
      <x:c r="I68" s="11" t="n">
        <x:v>3</x:v>
      </x:c>
      <x:c r="J68" s="11" t="n">
        <x:v>5</x:v>
      </x:c>
      <x:c r="K68" s="11" t="n">
        <x:v>5</x:v>
      </x:c>
      <x:c r="L68" s="12" t="str">
        <x:v>생명력·방어력·속도 중심형. 기본 4스탯 중 공격력 배분은 낮다. 치명·효과에서는 효과적중·효과저항에 비중을 두고 치명확률·치명피해을 낮춘 구성.</x:v>
      </x:c>
    </x:row>
    <x:row r="69" ht="57" customHeight="1">
      <x:c r="A69" s="2" t="n">
        <x:v>62</x:v>
      </x:c>
      <x:c r="B69" s="2" t="str">
        <x:v>물병자리</x:v>
      </x:c>
      <x:c r="C69" s="2" t="str">
        <x:v>마도사</x:v>
      </x:c>
      <x:c r="D69" s="11" t="n">
        <x:v>8</x:v>
      </x:c>
      <x:c r="E69" s="11" t="n">
        <x:v>6</x:v>
      </x:c>
      <x:c r="F69" s="11" t="n">
        <x:v>6</x:v>
      </x:c>
      <x:c r="G69" s="11" t="n">
        <x:v>9</x:v>
      </x:c>
      <x:c r="H69" s="11" t="n">
        <x:v>4</x:v>
      </x:c>
      <x:c r="I69" s="11" t="n">
        <x:v>5</x:v>
      </x:c>
      <x:c r="J69" s="11" t="n">
        <x:v>5</x:v>
      </x:c>
      <x:c r="K69" s="11" t="n">
        <x:v>2</x:v>
      </x:c>
      <x:c r="L69" s="12" t="str">
        <x:v>속도 중심형. 기본 4스탯 중 생명력·방어력 배분은 낮다. 치명·효과에서는 치명피해·효과적중에 비중을 두고 효과저항을 낮춘 구성.</x:v>
      </x:c>
    </x:row>
    <x:row r="70" ht="57" customHeight="1">
      <x:c r="A70" s="2" t="n">
        <x:v>63</x:v>
      </x:c>
      <x:c r="B70" s="2" t="str">
        <x:v>물병자리</x:v>
      </x:c>
      <x:c r="C70" s="2" t="str">
        <x:v>사수</x:v>
      </x:c>
      <x:c r="D70" s="11" t="n">
        <x:v>7</x:v>
      </x:c>
      <x:c r="E70" s="11" t="n">
        <x:v>7</x:v>
      </x:c>
      <x:c r="F70" s="11" t="n">
        <x:v>6</x:v>
      </x:c>
      <x:c r="G70" s="11" t="n">
        <x:v>10</x:v>
      </x:c>
      <x:c r="H70" s="11" t="n">
        <x:v>5</x:v>
      </x:c>
      <x:c r="I70" s="11" t="n">
        <x:v>3</x:v>
      </x:c>
      <x:c r="J70" s="11" t="n">
        <x:v>6</x:v>
      </x:c>
      <x:c r="K70" s="11" t="n">
        <x:v>2</x:v>
      </x:c>
      <x:c r="L70" s="12" t="str">
        <x:v>속도 중심형. 기본 4스탯 중 방어력 배분은 낮다. 치명·효과에서는 효과적중에 비중을 두고 효과저항을 낮춘 구성.</x:v>
      </x:c>
    </x:row>
    <x:row r="71" ht="57" customHeight="1">
      <x:c r="A71" s="2" t="n">
        <x:v>64</x:v>
      </x:c>
      <x:c r="B71" s="2" t="str">
        <x:v>물병자리</x:v>
      </x:c>
      <x:c r="C71" s="2" t="str">
        <x:v>정령사</x:v>
      </x:c>
      <x:c r="D71" s="11" t="n">
        <x:v>6</x:v>
      </x:c>
      <x:c r="E71" s="11" t="n">
        <x:v>8</x:v>
      </x:c>
      <x:c r="F71" s="11" t="n">
        <x:v>8</x:v>
      </x:c>
      <x:c r="G71" s="11" t="n">
        <x:v>9</x:v>
      </x:c>
      <x:c r="H71" s="11" t="n">
        <x:v>3</x:v>
      </x:c>
      <x:c r="I71" s="11" t="n">
        <x:v>3</x:v>
      </x:c>
      <x:c r="J71" s="11" t="n">
        <x:v>6</x:v>
      </x:c>
      <x:c r="K71" s="11" t="n">
        <x:v>4</x:v>
      </x:c>
      <x:c r="L71" s="12" t="str">
        <x:v>속도 중심형. 기본 4스탯 중 공격력 배분은 낮다. 치명·효과에서는 효과적중에 비중을 두고 치명확률·치명피해을 낮춘 구성.</x:v>
      </x:c>
    </x:row>
    <x:row r="72" ht="57" customHeight="1">
      <x:c r="A72" s="2" t="n">
        <x:v>65</x:v>
      </x:c>
      <x:c r="B72" s="2" t="str">
        <x:v>물병자리</x:v>
      </x:c>
      <x:c r="C72" s="2" t="str">
        <x:v>도적</x:v>
      </x:c>
      <x:c r="D72" s="11" t="n">
        <x:v>8</x:v>
      </x:c>
      <x:c r="E72" s="11" t="n">
        <x:v>6</x:v>
      </x:c>
      <x:c r="F72" s="11" t="n">
        <x:v>6</x:v>
      </x:c>
      <x:c r="G72" s="11" t="n">
        <x:v>10</x:v>
      </x:c>
      <x:c r="H72" s="11" t="n">
        <x:v>5</x:v>
      </x:c>
      <x:c r="I72" s="11" t="n">
        <x:v>5</x:v>
      </x:c>
      <x:c r="J72" s="11" t="n">
        <x:v>4</x:v>
      </x:c>
      <x:c r="K72" s="11" t="n">
        <x:v>2</x:v>
      </x:c>
      <x:c r="L72" s="12" t="str">
        <x:v>속도 중심형. 기본 4스탯 중 생명력·방어력 배분은 낮다. 치명·효과에서는 치명확률·치명피해에 비중을 두고 효과저항을 낮춘 구성.</x:v>
      </x:c>
    </x:row>
    <x:row r="73" ht="57" customHeight="1">
      <x:c r="A73" s="2" t="n">
        <x:v>66</x:v>
      </x:c>
      <x:c r="B73" s="2" t="str">
        <x:v>물병자리</x:v>
      </x:c>
      <x:c r="C73" s="2" t="str">
        <x:v>전사</x:v>
      </x:c>
      <x:c r="D73" s="11" t="n">
        <x:v>8</x:v>
      </x:c>
      <x:c r="E73" s="11" t="n">
        <x:v>7</x:v>
      </x:c>
      <x:c r="F73" s="11" t="n">
        <x:v>7</x:v>
      </x:c>
      <x:c r="G73" s="11" t="n">
        <x:v>9</x:v>
      </x:c>
      <x:c r="H73" s="11" t="n">
        <x:v>4</x:v>
      </x:c>
      <x:c r="I73" s="11" t="n">
        <x:v>5</x:v>
      </x:c>
      <x:c r="J73" s="11" t="n">
        <x:v>4</x:v>
      </x:c>
      <x:c r="K73" s="11" t="n">
        <x:v>3</x:v>
      </x:c>
      <x:c r="L73" s="12" t="str">
        <x:v>속도 중심형. 기본 4스탯 중 생명력·방어력 배분은 낮다. 치명·효과에서는 치명피해에 비중을 두고 효과저항을 낮춘 구성.</x:v>
      </x:c>
    </x:row>
    <x:row r="74" ht="57" customHeight="1">
      <x:c r="A74" s="2" t="n">
        <x:v>67</x:v>
      </x:c>
      <x:c r="B74" s="2" t="str">
        <x:v>물고기자리</x:v>
      </x:c>
      <x:c r="C74" s="2" t="str">
        <x:v>기사</x:v>
      </x:c>
      <x:c r="D74" s="11" t="n">
        <x:v>5</x:v>
      </x:c>
      <x:c r="E74" s="11" t="n">
        <x:v>9</x:v>
      </x:c>
      <x:c r="F74" s="11" t="n">
        <x:v>9</x:v>
      </x:c>
      <x:c r="G74" s="11" t="n">
        <x:v>7</x:v>
      </x:c>
      <x:c r="H74" s="11" t="n">
        <x:v>2</x:v>
      </x:c>
      <x:c r="I74" s="11" t="n">
        <x:v>4</x:v>
      </x:c>
      <x:c r="J74" s="11" t="n">
        <x:v>4</x:v>
      </x:c>
      <x:c r="K74" s="11" t="n">
        <x:v>6</x:v>
      </x:c>
      <x:c r="L74" s="12" t="str">
        <x:v>생명력·방어력 중심형. 기본 4스탯 중 공격력 배분은 낮다. 치명·효과에서는 효과저항에 비중을 두고 치명확률을 낮춘 구성.</x:v>
      </x:c>
    </x:row>
    <x:row r="75" ht="57" customHeight="1">
      <x:c r="A75" s="2" t="n">
        <x:v>68</x:v>
      </x:c>
      <x:c r="B75" s="2" t="str">
        <x:v>물고기자리</x:v>
      </x:c>
      <x:c r="C75" s="2" t="str">
        <x:v>마도사</x:v>
      </x:c>
      <x:c r="D75" s="11" t="n">
        <x:v>7</x:v>
      </x:c>
      <x:c r="E75" s="11" t="n">
        <x:v>7</x:v>
      </x:c>
      <x:c r="F75" s="11" t="n">
        <x:v>7</x:v>
      </x:c>
      <x:c r="G75" s="11" t="n">
        <x:v>8</x:v>
      </x:c>
      <x:c r="H75" s="11" t="n">
        <x:v>3</x:v>
      </x:c>
      <x:c r="I75" s="11" t="n">
        <x:v>6</x:v>
      </x:c>
      <x:c r="J75" s="11" t="n">
        <x:v>4</x:v>
      </x:c>
      <x:c r="K75" s="11" t="n">
        <x:v>3</x:v>
      </x:c>
      <x:c r="L75" s="12" t="str">
        <x:v>속도 중심형. 기본 4스탯 중 공격력·생명력·방어력 배분은 낮다. 치명·효과에서는 치명피해에 비중을 두고 치명확률·효과저항을 낮춘 구성.</x:v>
      </x:c>
    </x:row>
    <x:row r="76" ht="57" customHeight="1">
      <x:c r="A76" s="2" t="n">
        <x:v>69</x:v>
      </x:c>
      <x:c r="B76" s="2" t="str">
        <x:v>물고기자리</x:v>
      </x:c>
      <x:c r="C76" s="2" t="str">
        <x:v>사수</x:v>
      </x:c>
      <x:c r="D76" s="11" t="n">
        <x:v>6</x:v>
      </x:c>
      <x:c r="E76" s="11" t="n">
        <x:v>8</x:v>
      </x:c>
      <x:c r="F76" s="11" t="n">
        <x:v>7</x:v>
      </x:c>
      <x:c r="G76" s="11" t="n">
        <x:v>9</x:v>
      </x:c>
      <x:c r="H76" s="11" t="n">
        <x:v>4</x:v>
      </x:c>
      <x:c r="I76" s="11" t="n">
        <x:v>4</x:v>
      </x:c>
      <x:c r="J76" s="11" t="n">
        <x:v>5</x:v>
      </x:c>
      <x:c r="K76" s="11" t="n">
        <x:v>3</x:v>
      </x:c>
      <x:c r="L76" s="12" t="str">
        <x:v>속도 중심형. 기본 4스탯 중 공격력 배분은 낮다. 치명·효과에서는 효과적중에 비중을 두고 효과저항을 낮춘 구성.</x:v>
      </x:c>
    </x:row>
    <x:row r="77" ht="57" customHeight="1">
      <x:c r="A77" s="2" t="n">
        <x:v>70</x:v>
      </x:c>
      <x:c r="B77" s="2" t="str">
        <x:v>물고기자리</x:v>
      </x:c>
      <x:c r="C77" s="2" t="str">
        <x:v>정령사</x:v>
      </x:c>
      <x:c r="D77" s="11" t="n">
        <x:v>5</x:v>
      </x:c>
      <x:c r="E77" s="11" t="n">
        <x:v>9</x:v>
      </x:c>
      <x:c r="F77" s="11" t="n">
        <x:v>9</x:v>
      </x:c>
      <x:c r="G77" s="11" t="n">
        <x:v>8</x:v>
      </x:c>
      <x:c r="H77" s="11" t="n">
        <x:v>2</x:v>
      </x:c>
      <x:c r="I77" s="11" t="n">
        <x:v>4</x:v>
      </x:c>
      <x:c r="J77" s="11" t="n">
        <x:v>5</x:v>
      </x:c>
      <x:c r="K77" s="11" t="n">
        <x:v>5</x:v>
      </x:c>
      <x:c r="L77" s="12" t="str">
        <x:v>생명력·방어력 중심형. 기본 4스탯 중 공격력 배분은 낮다. 치명·효과에서는 효과적중·효과저항에 비중을 두고 치명확률을 낮춘 구성.</x:v>
      </x:c>
    </x:row>
    <x:row r="78" ht="57" customHeight="1">
      <x:c r="A78" s="2" t="n">
        <x:v>71</x:v>
      </x:c>
      <x:c r="B78" s="2" t="str">
        <x:v>물고기자리</x:v>
      </x:c>
      <x:c r="C78" s="2" t="str">
        <x:v>도적</x:v>
      </x:c>
      <x:c r="D78" s="11" t="n">
        <x:v>7</x:v>
      </x:c>
      <x:c r="E78" s="11" t="n">
        <x:v>7</x:v>
      </x:c>
      <x:c r="F78" s="11" t="n">
        <x:v>7</x:v>
      </x:c>
      <x:c r="G78" s="11" t="n">
        <x:v>9</x:v>
      </x:c>
      <x:c r="H78" s="11" t="n">
        <x:v>4</x:v>
      </x:c>
      <x:c r="I78" s="11" t="n">
        <x:v>6</x:v>
      </x:c>
      <x:c r="J78" s="11" t="n">
        <x:v>3</x:v>
      </x:c>
      <x:c r="K78" s="11" t="n">
        <x:v>3</x:v>
      </x:c>
      <x:c r="L78" s="12" t="str">
        <x:v>속도 중심형. 기본 4스탯 중 공격력·생명력·방어력 배분은 낮다. 치명·효과에서는 치명피해에 비중을 두고 효과적중·효과저항을 낮춘 구성.</x:v>
      </x:c>
    </x:row>
    <x:row r="79" ht="57" customHeight="1">
      <x:c r="A79" s="2" t="n">
        <x:v>72</x:v>
      </x:c>
      <x:c r="B79" s="2" t="str">
        <x:v>물고기자리</x:v>
      </x:c>
      <x:c r="C79" s="2" t="str">
        <x:v>전사</x:v>
      </x:c>
      <x:c r="D79" s="11" t="n">
        <x:v>7</x:v>
      </x:c>
      <x:c r="E79" s="11" t="n">
        <x:v>8</x:v>
      </x:c>
      <x:c r="F79" s="11" t="n">
        <x:v>8</x:v>
      </x:c>
      <x:c r="G79" s="11" t="n">
        <x:v>8</x:v>
      </x:c>
      <x:c r="H79" s="11" t="n">
        <x:v>3</x:v>
      </x:c>
      <x:c r="I79" s="11" t="n">
        <x:v>6</x:v>
      </x:c>
      <x:c r="J79" s="11" t="n">
        <x:v>3</x:v>
      </x:c>
      <x:c r="K79" s="11" t="n">
        <x:v>4</x:v>
      </x:c>
      <x:c r="L79" s="12" t="str">
        <x:v>생명력·방어력·속도 중심형. 기본 4스탯 중 공격력 배분은 낮다. 치명·효과에서는 치명피해에 비중을 두고 치명확률·효과적중을 낮춘 구성.</x:v>
      </x:c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35" customHeight="1">
      <x:c r="A81" s="6" t="str">
        <x:v>밸런스 범위: 최대 성장값은 기존 72종의 수치를 유지했습니다. 같은 직업 내 별자리끼리 비교하면 모든 스탯이 우월한 조합은 없습니다.</x:v>
      </x:c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 ht="35" customHeight="1">
      <x:c r="A82" s="6" t="str">
        <x:v>낮은 성장 단계에서는 정수 반올림과 최소값 때문에 서로 다른 기준값이 같은 수치가 될 수 있습니다. 기준 점수의 균형이 실제 전투 승률의 균형을 보장하지는 않습니다.</x:v>
      </x:c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</x:sheetData>
  <x:mergeCells>
    <x:mergeCell ref="A1:L1"/>
    <x:mergeCell ref="A2:L2"/>
    <x:mergeCell ref="A3:L3"/>
    <x:mergeCell ref="A4:L4"/>
    <x:mergeCell ref="A5:L5"/>
    <x:mergeCell ref="A81:L81"/>
    <x:mergeCell ref="A82:L82"/>
  </x:mergeCells>
  <x:dataValidations count="2">
    <x:dataValidation type="whole" operator="between" sqref="D8:G79">
      <x:formula1>1</x:formula1>
      <x:formula2>10</x:formula2>
    </x:dataValidation>
    <x:dataValidation type="whole" operator="between" sqref="H8:K79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6167744cca54d7d"/>
  </x:tableParts>
</x:worksheet>
</file>

<file path=xl/worksheets/sheet2.xml><?xml version="1.0" encoding="utf-8"?>
<x:worksheet xmlns:x="http://schemas.openxmlformats.org/spreadsheetml/2006/main">
  <x:sheetPr>
    <x:tabColor rgb="FF168B89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</x:cols>
  <x:sheetData>
    <x:row r="1" ht="42" customHeight="1">
      <x:c r="A1" s="4" t="str">
        <x:v>02  레벨 감소 계산식</x:v>
      </x:c>
      <x:c r="B1" s="4"/>
      <x:c r="C1" s="4"/>
      <x:c r="D1" s="4"/>
      <x:c r="E1" s="4"/>
      <x:c r="F1" s="4"/>
      <x:c r="G1" s="4"/>
      <x:c r="H1" s="4"/>
    </x:row>
    <x:row r="2" ht="44" customHeight="1">
      <x:c r="A2" s="6" t="str">
        <x:v>레벨은 1~5입니다. 최대 5에서 한 단계 낮아질 때마다 해당 배분량의 1/5을 차감합니다. 단계 수 5로 나누며, 단계 간 간격 수 4로 나누지 않습니다.</x:v>
      </x:c>
      <x:c r="B2" s="6"/>
      <x:c r="C2" s="6"/>
      <x:c r="D2" s="6"/>
      <x:c r="E2" s="6"/>
      <x:c r="F2" s="6"/>
      <x:c r="G2" s="6"/>
      <x:c r="H2" s="6"/>
    </x:row>
    <x:row r="3" ht="28" customHeight="1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2" t="str">
        <x:v>레벨 배분 비중</x:v>
      </x:c>
      <x:c r="B4" s="13" t="n">
        <x:v>0.7</x:v>
      </x:c>
      <x:c r="C4" s="2"/>
      <x:c r="D4" s="2" t="str">
        <x:v>최대 레벨</x:v>
      </x:c>
      <x:c r="E4" s="2" t="n">
        <x:v>5</x:v>
      </x:c>
      <x:c r="F4" s="2"/>
      <x:c r="G4" s="2"/>
      <x:c r="H4" s="2"/>
    </x:row>
    <x:row r="5" ht="28" customHeight="1">
      <x:c r="A5" s="2" t="str">
        <x:v>단계당 감소율</x:v>
      </x:c>
      <x:c r="B5" s="14" t="n">
        <x:f>B4/E4</x:f>
        <x:v>0.13999999999999999</x:v>
      </x:c>
      <x:c r="C5" s="2" t="str">
        <x:v>레벨 배분 비중 ÷ 최대 레벨</x:v>
      </x:c>
      <x:c r="D5" s="2"/>
      <x:c r="E5" s="2"/>
      <x:c r="F5" s="2"/>
      <x:c r="G5" s="2"/>
      <x:c r="H5" s="2"/>
    </x:row>
    <x:row r="6" ht="28" customHeight="1">
      <x:c r="A6" s="2"/>
      <x:c r="B6" s="2"/>
      <x:c r="C6" s="2"/>
      <x:c r="D6" s="2"/>
      <x:c r="E6" s="2"/>
      <x:c r="F6" s="2"/>
      <x:c r="G6" s="2"/>
      <x:c r="H6" s="2"/>
    </x:row>
    <x:row r="7" ht="28" customHeight="1">
      <x:c r="A7" s="2"/>
      <x:c r="B7" s="2"/>
      <x:c r="C7" s="2"/>
      <x:c r="D7" s="2"/>
      <x:c r="E7" s="2"/>
      <x:c r="F7" s="2"/>
      <x:c r="G7" s="2"/>
      <x:c r="H7" s="2"/>
    </x:row>
    <x:row r="8" ht="43" customHeight="1">
      <x:c r="A8" s="9" t="str">
        <x:v>현재 레벨</x:v>
      </x:c>
      <x:c r="B8" s="9" t="str">
        <x:v>감소 단계 수</x:v>
      </x:c>
      <x:c r="C8" s="9" t="str">
        <x:v>누적 감소율</x:v>
      </x:c>
      <x:c r="D8" s="9" t="str">
        <x:v>레벨 잔존 기여율</x:v>
      </x:c>
      <x:c r="E8" s="9" t="str">
        <x:v>기준 10 감소량</x:v>
      </x:c>
      <x:c r="F8" s="9" t="str">
        <x:v>기준 10 잔존분</x:v>
      </x:c>
      <x:c r="G8" s="2"/>
      <x:c r="H8" s="2"/>
    </x:row>
    <x:row r="9" ht="28" customHeight="1">
      <x:c r="A9" s="2" t="n">
        <x:v>1</x:v>
      </x:c>
      <x:c r="B9" s="2" t="n">
        <x:f>$E$4-A9</x:f>
        <x:v>4</x:v>
      </x:c>
      <x:c r="C9" s="14" t="n">
        <x:f>B9*$B$5</x:f>
        <x:v>0.5599999999999999</x:v>
      </x:c>
      <x:c r="D9" s="14" t="n">
        <x:f>$B$4-C9</x:f>
        <x:v>0.14</x:v>
      </x:c>
      <x:c r="E9" s="15" t="n">
        <x:f>10*C9</x:f>
        <x:v>5.6</x:v>
      </x:c>
      <x:c r="F9" s="15" t="n">
        <x:f>10*D9</x:f>
        <x:v>1.4000000000000001</x:v>
      </x:c>
      <x:c r="G9" s="2"/>
      <x:c r="H9" s="2"/>
    </x:row>
    <x:row r="10" ht="28" customHeight="1">
      <x:c r="A10" s="2" t="n">
        <x:v>2</x:v>
      </x:c>
      <x:c r="B10" s="2" t="n">
        <x:f>$E$4-A10</x:f>
        <x:v>3</x:v>
      </x:c>
      <x:c r="C10" s="14" t="n">
        <x:f>B10*$B$5</x:f>
        <x:v>0.41999999999999993</x:v>
      </x:c>
      <x:c r="D10" s="14" t="n">
        <x:f>$B$4-C10</x:f>
        <x:v>0.28</x:v>
      </x:c>
      <x:c r="E10" s="15" t="n">
        <x:f>10*C10</x:f>
        <x:v>4.199999999999999</x:v>
      </x:c>
      <x:c r="F10" s="15" t="n">
        <x:f>10*D10</x:f>
        <x:v>2.8000000000000003</x:v>
      </x:c>
      <x:c r="G10" s="2"/>
      <x:c r="H10" s="2"/>
    </x:row>
    <x:row r="11" ht="28" customHeight="1">
      <x:c r="A11" s="2" t="n">
        <x:v>3</x:v>
      </x:c>
      <x:c r="B11" s="2" t="n">
        <x:f>$E$4-A11</x:f>
        <x:v>2</x:v>
      </x:c>
      <x:c r="C11" s="14" t="n">
        <x:f>B11*$B$5</x:f>
        <x:v>0.27999999999999997</x:v>
      </x:c>
      <x:c r="D11" s="14" t="n">
        <x:f>$B$4-C11</x:f>
        <x:v>0.42</x:v>
      </x:c>
      <x:c r="E11" s="15" t="n">
        <x:f>10*C11</x:f>
        <x:v>2.8</x:v>
      </x:c>
      <x:c r="F11" s="15" t="n">
        <x:f>10*D11</x:f>
        <x:v>4.2</x:v>
      </x:c>
      <x:c r="G11" s="2"/>
      <x:c r="H11" s="2"/>
    </x:row>
    <x:row r="12" ht="28" customHeight="1">
      <x:c r="A12" s="2" t="n">
        <x:v>4</x:v>
      </x:c>
      <x:c r="B12" s="2" t="n">
        <x:f>$E$4-A12</x:f>
        <x:v>1</x:v>
      </x:c>
      <x:c r="C12" s="14" t="n">
        <x:f>B12*$B$5</x:f>
        <x:v>0.13999999999999999</x:v>
      </x:c>
      <x:c r="D12" s="14" t="n">
        <x:f>$B$4-C12</x:f>
        <x:v>0.5599999999999999</x:v>
      </x:c>
      <x:c r="E12" s="15" t="n">
        <x:f>10*C12</x:f>
        <x:v>1.4</x:v>
      </x:c>
      <x:c r="F12" s="15" t="n">
        <x:f>10*D12</x:f>
        <x:v>5.6</x:v>
      </x:c>
      <x:c r="G12" s="2"/>
      <x:c r="H12" s="2"/>
    </x:row>
    <x:row r="13" ht="28" customHeight="1">
      <x:c r="A13" s="2" t="n">
        <x:v>5</x:v>
      </x:c>
      <x:c r="B13" s="2" t="n">
        <x:f>$E$4-A13</x:f>
        <x:v>0</x:v>
      </x:c>
      <x:c r="C13" s="14" t="n">
        <x:f>B13*$B$5</x:f>
        <x:v>0</x:v>
      </x:c>
      <x:c r="D13" s="14" t="n">
        <x:f>$B$4-C13</x:f>
        <x:v>0.7</x:v>
      </x:c>
      <x:c r="E13" s="15" t="n">
        <x:f>10*C13</x:f>
        <x:v>0</x:v>
      </x:c>
      <x:c r="F13" s="15" t="n">
        <x:f>10*D13</x:f>
        <x:v>7</x:v>
      </x:c>
      <x:c r="G13" s="2"/>
      <x:c r="H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</x:row>
    <x:row r="16" ht="36" customHeight="1">
      <x:c r="A16" s="6" t="str">
        <x:v>단계당 감소량 = 기준스탯 × 레벨 배분 비중 ÷ 5</x:v>
      </x:c>
      <x:c r="B16" s="6"/>
      <x:c r="C16" s="6"/>
      <x:c r="D16" s="6"/>
      <x:c r="E16" s="6"/>
      <x:c r="F16" s="6"/>
      <x:c r="G16" s="6"/>
      <x:c r="H16" s="6"/>
    </x:row>
    <x:row r="17" ht="36" customHeight="1">
      <x:c r="A17" s="6" t="str">
        <x:v>누적 감소량 = 기준스탯 × 레벨 배분 비중 ÷ 5 × (5−현재 레벨)</x:v>
      </x:c>
      <x:c r="B17" s="6"/>
      <x:c r="C17" s="6"/>
      <x:c r="D17" s="6"/>
      <x:c r="E17" s="6"/>
      <x:c r="F17" s="6"/>
      <x:c r="G17" s="6"/>
      <x:c r="H17" s="6"/>
    </x:row>
    <x:row r="18" ht="36" customHeight="1">
      <x:c r="A18" s="6" t="str">
        <x:v>레벨 잔존 기여분 = 기준스탯 × 레벨 배분 비중 × 현재 레벨 ÷ 5</x:v>
      </x:c>
      <x:c r="B18" s="6"/>
      <x:c r="C18" s="6"/>
      <x:c r="D18" s="6"/>
      <x:c r="E18" s="6"/>
      <x:c r="F18" s="6"/>
      <x:c r="G18" s="6"/>
      <x:c r="H18" s="6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</x:row>
    <x:row r="20" ht="44" customHeight="1">
      <x:c r="A20" s="6" t="str">
        <x:v>레벨과 등급 감소량을 각각 반올림하지 않습니다. 기준값에서 두 감소량을 뺀 후 한 번만 반올림하여 정수 스탯을 얻습니다.</x:v>
      </x:c>
      <x:c r="B20" s="6"/>
      <x:c r="C20" s="6"/>
      <x:c r="D20" s="6"/>
      <x:c r="E20" s="6"/>
      <x:c r="F20" s="6"/>
      <x:c r="G20" s="6"/>
      <x:c r="H20" s="6"/>
    </x:row>
    <x:row r="21" ht="44" customHeight="1">
      <x:c r="A21" s="6" t="str">
        <x:v>현재점수 = ROUND(기준값−레벨 감소량−등급 감소량, 0). 기본 4스탯은 MAX(1, 현재점수), 치명·효과 4스탯은 MAX(0, 현재점수).</x:v>
      </x:c>
      <x:c r="B21" s="6"/>
      <x:c r="C21" s="6"/>
      <x:c r="D21" s="6"/>
      <x:c r="E21" s="6"/>
      <x:c r="F21" s="6"/>
      <x:c r="G21" s="6"/>
      <x:c r="H21" s="6"/>
    </x:row>
    <x:row r="22" ht="36" customHeight="1">
      <x:c r="A22" s="6" t="str">
        <x:v>ROUND(x,0)는 소수 첫째 자리에서 반올림합니다. 장비 적용 전 고유 스탯만 계산하며, 별도의 직업·태생 등급 보정은 적용하지 않습니다.</x:v>
      </x:c>
      <x:c r="B22" s="6"/>
      <x:c r="C22" s="6"/>
      <x:c r="D22" s="6"/>
      <x:c r="E22" s="6"/>
      <x:c r="F22" s="6"/>
      <x:c r="G22" s="6"/>
      <x:c r="H22" s="6"/>
    </x:row>
    <x:row r="23" ht="36" customHeight="1">
      <x:c r="A23" s="6" t="str">
        <x:v>공격력·생명력·방어력·속도·치명확률·치명피해·효과적중·효과저항의 8개 스탯 모두 동일하게 감소합니다.</x:v>
      </x:c>
      <x:c r="B23" s="6"/>
      <x:c r="C23" s="6"/>
      <x:c r="D23" s="6"/>
      <x:c r="E23" s="6"/>
      <x:c r="F23" s="6"/>
      <x:c r="G23" s="6"/>
      <x:c r="H23" s="6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</x:row>
    <x:row r="25" ht="44" customHeight="1">
      <x:c r="A25" s="6" t="str">
        <x:v>5레벨·5등급 = 100% / 1레벨·5등급 = 44% / 5레벨·1등급 = 76% / 1레벨·1등급 = 20%. 비율은 반올림·최소값 적용 전 기준입니다.</x:v>
      </x:c>
      <x:c r="B25" s="6"/>
      <x:c r="C25" s="6"/>
      <x:c r="D25" s="6"/>
      <x:c r="E25" s="6"/>
      <x:c r="F25" s="6"/>
      <x:c r="G25" s="6"/>
      <x:c r="H25" s="6"/>
    </x:row>
    <x:row r="26" ht="44" customHeight="1">
      <x:c r="A26" s="6" t="str">
        <x:v>예시: 기준값 10, 3레벨·2등급 → 레벨 감소 2.8 + 등급 감소 1.8 → 5.4 → 최종 5. 성장분해는 모든 중간값을 수식으로 계산합니다.</x:v>
      </x:c>
      <x:c r="B26" s="6"/>
      <x:c r="C26" s="6"/>
      <x:c r="D26" s="6"/>
      <x:c r="E26" s="6"/>
      <x:c r="F26" s="6"/>
      <x:c r="G26" s="6"/>
      <x:c r="H26" s="6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</x:row>
  </x:sheetData>
  <x:mergeCells>
    <x:mergeCell ref="A1:H1"/>
    <x:mergeCell ref="A2:H2"/>
    <x:mergeCell ref="C5:H5"/>
    <x:mergeCell ref="A16:H16"/>
    <x:mergeCell ref="A17:H17"/>
    <x:mergeCell ref="A18:H18"/>
    <x:mergeCell ref="A20:H20"/>
    <x:mergeCell ref="A21:H21"/>
    <x:mergeCell ref="A22:H22"/>
    <x:mergeCell ref="A23:H23"/>
    <x:mergeCell ref="A25:H25"/>
    <x:mergeCell ref="A26:H26"/>
  </x:mergeCells>
  <x:dataValidations count="1">
    <x:dataValidation type="decimal" operator="between" sqref="B4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8B89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</x:cols>
  <x:sheetData>
    <x:row r="1" ht="42" customHeight="1">
      <x:c r="A1" s="4" t="str">
        <x:v>03  등급 감소 계산식</x:v>
      </x:c>
      <x:c r="B1" s="4"/>
      <x:c r="C1" s="4"/>
      <x:c r="D1" s="4"/>
      <x:c r="E1" s="4"/>
      <x:c r="F1" s="4"/>
      <x:c r="G1" s="4"/>
      <x:c r="H1" s="4"/>
    </x:row>
    <x:row r="2" ht="44" customHeight="1">
      <x:c r="A2" s="6" t="str">
        <x:v>등급은 1~5입니다. 최대 5에서 한 단계 낮아질 때마다 해당 배분량의 1/5을 차감합니다. 단계 수 5로 나누며, 단계 간 간격 수 4로 나누지 않습니다.</x:v>
      </x:c>
      <x:c r="B2" s="6"/>
      <x:c r="C2" s="6"/>
      <x:c r="D2" s="6"/>
      <x:c r="E2" s="6"/>
      <x:c r="F2" s="6"/>
      <x:c r="G2" s="6"/>
      <x:c r="H2" s="6"/>
    </x:row>
    <x:row r="3" ht="28" customHeight="1">
      <x:c r="A3" s="2"/>
      <x:c r="B3" s="2"/>
      <x:c r="C3" s="2"/>
      <x:c r="D3" s="2"/>
      <x:c r="E3" s="2"/>
      <x:c r="F3" s="2"/>
      <x:c r="G3" s="2"/>
      <x:c r="H3" s="2"/>
    </x:row>
    <x:row r="4" ht="28" customHeight="1">
      <x:c r="A4" s="2" t="str">
        <x:v>등급 배분 비중</x:v>
      </x:c>
      <x:c r="B4" s="14" t="n">
        <x:f>1-'레벨 계산식'!B4</x:f>
        <x:v>0.30000000000000004</x:v>
      </x:c>
      <x:c r="C4" s="2"/>
      <x:c r="D4" s="2" t="str">
        <x:v>최대 등급</x:v>
      </x:c>
      <x:c r="E4" s="2" t="n">
        <x:v>5</x:v>
      </x:c>
      <x:c r="F4" s="2"/>
      <x:c r="G4" s="2"/>
      <x:c r="H4" s="2"/>
    </x:row>
    <x:row r="5" ht="28" customHeight="1">
      <x:c r="A5" s="2" t="str">
        <x:v>단계당 감소율</x:v>
      </x:c>
      <x:c r="B5" s="14" t="n">
        <x:f>B4/E4</x:f>
        <x:v>0.06000000000000001</x:v>
      </x:c>
      <x:c r="C5" s="2" t="str">
        <x:v>등급 배분 비중 ÷ 최대 등급</x:v>
      </x:c>
      <x:c r="D5" s="2"/>
      <x:c r="E5" s="2"/>
      <x:c r="F5" s="2"/>
      <x:c r="G5" s="2"/>
      <x:c r="H5" s="2"/>
    </x:row>
    <x:row r="6" ht="28" customHeight="1">
      <x:c r="A6" s="2"/>
      <x:c r="B6" s="2"/>
      <x:c r="C6" s="2"/>
      <x:c r="D6" s="2"/>
      <x:c r="E6" s="2"/>
      <x:c r="F6" s="2"/>
      <x:c r="G6" s="2"/>
      <x:c r="H6" s="2"/>
    </x:row>
    <x:row r="7" ht="28" customHeight="1">
      <x:c r="A7" s="2"/>
      <x:c r="B7" s="2"/>
      <x:c r="C7" s="2"/>
      <x:c r="D7" s="2"/>
      <x:c r="E7" s="2"/>
      <x:c r="F7" s="2"/>
      <x:c r="G7" s="2"/>
      <x:c r="H7" s="2"/>
    </x:row>
    <x:row r="8" ht="43" customHeight="1">
      <x:c r="A8" s="9" t="str">
        <x:v>현재 등급</x:v>
      </x:c>
      <x:c r="B8" s="9" t="str">
        <x:v>감소 단계 수</x:v>
      </x:c>
      <x:c r="C8" s="9" t="str">
        <x:v>누적 감소율</x:v>
      </x:c>
      <x:c r="D8" s="9" t="str">
        <x:v>등급 잔존 기여율</x:v>
      </x:c>
      <x:c r="E8" s="9" t="str">
        <x:v>기준 10 감소량</x:v>
      </x:c>
      <x:c r="F8" s="9" t="str">
        <x:v>기준 10 잔존분</x:v>
      </x:c>
      <x:c r="G8" s="2"/>
      <x:c r="H8" s="2"/>
    </x:row>
    <x:row r="9" ht="28" customHeight="1">
      <x:c r="A9" s="2" t="n">
        <x:v>1</x:v>
      </x:c>
      <x:c r="B9" s="2" t="n">
        <x:f>$E$4-A9</x:f>
        <x:v>4</x:v>
      </x:c>
      <x:c r="C9" s="14" t="n">
        <x:f>B9*$B$5</x:f>
        <x:v>0.24000000000000005</x:v>
      </x:c>
      <x:c r="D9" s="14" t="n">
        <x:f>$B$4-C9</x:f>
        <x:v>0.06</x:v>
      </x:c>
      <x:c r="E9" s="15" t="n">
        <x:f>10*C9</x:f>
        <x:v>2.4000000000000004</x:v>
      </x:c>
      <x:c r="F9" s="15" t="n">
        <x:f>10*D9</x:f>
        <x:v>0.6</x:v>
      </x:c>
      <x:c r="G9" s="2"/>
      <x:c r="H9" s="2"/>
    </x:row>
    <x:row r="10" ht="28" customHeight="1">
      <x:c r="A10" s="2" t="n">
        <x:v>2</x:v>
      </x:c>
      <x:c r="B10" s="2" t="n">
        <x:f>$E$4-A10</x:f>
        <x:v>3</x:v>
      </x:c>
      <x:c r="C10" s="14" t="n">
        <x:f>B10*$B$5</x:f>
        <x:v>0.18000000000000005</x:v>
      </x:c>
      <x:c r="D10" s="14" t="n">
        <x:f>$B$4-C10</x:f>
        <x:v>0.12</x:v>
      </x:c>
      <x:c r="E10" s="15" t="n">
        <x:f>10*C10</x:f>
        <x:v>1.8000000000000005</x:v>
      </x:c>
      <x:c r="F10" s="15" t="n">
        <x:f>10*D10</x:f>
        <x:v>1.2</x:v>
      </x:c>
      <x:c r="G10" s="2"/>
      <x:c r="H10" s="2"/>
    </x:row>
    <x:row r="11" ht="28" customHeight="1">
      <x:c r="A11" s="2" t="n">
        <x:v>3</x:v>
      </x:c>
      <x:c r="B11" s="2" t="n">
        <x:f>$E$4-A11</x:f>
        <x:v>2</x:v>
      </x:c>
      <x:c r="C11" s="14" t="n">
        <x:f>B11*$B$5</x:f>
        <x:v>0.12000000000000002</x:v>
      </x:c>
      <x:c r="D11" s="14" t="n">
        <x:f>$B$4-C11</x:f>
        <x:v>0.18000000000000002</x:v>
      </x:c>
      <x:c r="E11" s="15" t="n">
        <x:f>10*C11</x:f>
        <x:v>1.2000000000000002</x:v>
      </x:c>
      <x:c r="F11" s="15" t="n">
        <x:f>10*D11</x:f>
        <x:v>1.8000000000000003</x:v>
      </x:c>
      <x:c r="G11" s="2"/>
      <x:c r="H11" s="2"/>
    </x:row>
    <x:row r="12" ht="28" customHeight="1">
      <x:c r="A12" s="2" t="n">
        <x:v>4</x:v>
      </x:c>
      <x:c r="B12" s="2" t="n">
        <x:f>$E$4-A12</x:f>
        <x:v>1</x:v>
      </x:c>
      <x:c r="C12" s="14" t="n">
        <x:f>B12*$B$5</x:f>
        <x:v>0.06000000000000001</x:v>
      </x:c>
      <x:c r="D12" s="14" t="n">
        <x:f>$B$4-C12</x:f>
        <x:v>0.24000000000000005</x:v>
      </x:c>
      <x:c r="E12" s="15" t="n">
        <x:f>10*C12</x:f>
        <x:v>0.6000000000000001</x:v>
      </x:c>
      <x:c r="F12" s="15" t="n">
        <x:f>10*D12</x:f>
        <x:v>2.4000000000000004</x:v>
      </x:c>
      <x:c r="G12" s="2"/>
      <x:c r="H12" s="2"/>
    </x:row>
    <x:row r="13" ht="28" customHeight="1">
      <x:c r="A13" s="2" t="n">
        <x:v>5</x:v>
      </x:c>
      <x:c r="B13" s="2" t="n">
        <x:f>$E$4-A13</x:f>
        <x:v>0</x:v>
      </x:c>
      <x:c r="C13" s="14" t="n">
        <x:f>B13*$B$5</x:f>
        <x:v>0</x:v>
      </x:c>
      <x:c r="D13" s="14" t="n">
        <x:f>$B$4-C13</x:f>
        <x:v>0.30000000000000004</x:v>
      </x:c>
      <x:c r="E13" s="15" t="n">
        <x:f>10*C13</x:f>
        <x:v>0</x:v>
      </x:c>
      <x:c r="F13" s="15" t="n">
        <x:f>10*D13</x:f>
        <x:v>3.0000000000000004</x:v>
      </x:c>
      <x:c r="G13" s="2"/>
      <x:c r="H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</x:row>
    <x:row r="16" ht="36" customHeight="1">
      <x:c r="A16" s="6" t="str">
        <x:v>단계당 감소량 = 기준스탯 × 등급 배분 비중 ÷ 5</x:v>
      </x:c>
      <x:c r="B16" s="6"/>
      <x:c r="C16" s="6"/>
      <x:c r="D16" s="6"/>
      <x:c r="E16" s="6"/>
      <x:c r="F16" s="6"/>
      <x:c r="G16" s="6"/>
      <x:c r="H16" s="6"/>
    </x:row>
    <x:row r="17" ht="36" customHeight="1">
      <x:c r="A17" s="6" t="str">
        <x:v>누적 감소량 = 기준스탯 × 등급 배분 비중 ÷ 5 × (5−현재 등급)</x:v>
      </x:c>
      <x:c r="B17" s="6"/>
      <x:c r="C17" s="6"/>
      <x:c r="D17" s="6"/>
      <x:c r="E17" s="6"/>
      <x:c r="F17" s="6"/>
      <x:c r="G17" s="6"/>
      <x:c r="H17" s="6"/>
    </x:row>
    <x:row r="18" ht="36" customHeight="1">
      <x:c r="A18" s="6" t="str">
        <x:v>등급 잔존 기여분 = 기준스탯 × 등급 배분 비중 × 현재 등급 ÷ 5</x:v>
      </x:c>
      <x:c r="B18" s="6"/>
      <x:c r="C18" s="6"/>
      <x:c r="D18" s="6"/>
      <x:c r="E18" s="6"/>
      <x:c r="F18" s="6"/>
      <x:c r="G18" s="6"/>
      <x:c r="H18" s="6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</x:row>
    <x:row r="20" ht="44" customHeight="1">
      <x:c r="A20" s="6" t="str">
        <x:v>레벨과 등급 감소량을 각각 반올림하지 않습니다. 기준값에서 두 감소량을 뺀 후 한 번만 반올림하여 정수 스탯을 얻습니다.</x:v>
      </x:c>
      <x:c r="B20" s="6"/>
      <x:c r="C20" s="6"/>
      <x:c r="D20" s="6"/>
      <x:c r="E20" s="6"/>
      <x:c r="F20" s="6"/>
      <x:c r="G20" s="6"/>
      <x:c r="H20" s="6"/>
    </x:row>
    <x:row r="21" ht="44" customHeight="1">
      <x:c r="A21" s="6" t="str">
        <x:v>현재점수 = ROUND(기준값−레벨 감소량−등급 감소량, 0). 기본 4스탯은 MAX(1, 현재점수), 치명·효과 4스탯은 MAX(0, 현재점수).</x:v>
      </x:c>
      <x:c r="B21" s="6"/>
      <x:c r="C21" s="6"/>
      <x:c r="D21" s="6"/>
      <x:c r="E21" s="6"/>
      <x:c r="F21" s="6"/>
      <x:c r="G21" s="6"/>
      <x:c r="H21" s="6"/>
    </x:row>
    <x:row r="22" ht="36" customHeight="1">
      <x:c r="A22" s="6" t="str">
        <x:v>ROUND(x,0)는 소수 첫째 자리에서 반올림합니다. 장비 적용 전 고유 스탯만 계산하며, 별도의 직업·태생 등급 보정은 적용하지 않습니다.</x:v>
      </x:c>
      <x:c r="B22" s="6"/>
      <x:c r="C22" s="6"/>
      <x:c r="D22" s="6"/>
      <x:c r="E22" s="6"/>
      <x:c r="F22" s="6"/>
      <x:c r="G22" s="6"/>
      <x:c r="H22" s="6"/>
    </x:row>
    <x:row r="23" ht="36" customHeight="1">
      <x:c r="A23" s="6" t="str">
        <x:v>공격력·생명력·방어력·속도·치명확률·치명피해·효과적중·효과저항의 8개 스탯 모두 동일하게 감소합니다.</x:v>
      </x:c>
      <x:c r="B23" s="6"/>
      <x:c r="C23" s="6"/>
      <x:c r="D23" s="6"/>
      <x:c r="E23" s="6"/>
      <x:c r="F23" s="6"/>
      <x:c r="G23" s="6"/>
      <x:c r="H23" s="6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</x:row>
    <x:row r="25" ht="44" customHeight="1">
      <x:c r="A25" s="6" t="str">
        <x:v>5레벨·5등급 = 100% / 1레벨·5등급 = 44% / 5레벨·1등급 = 76% / 1레벨·1등급 = 20%. 비율은 반올림·최소값 적용 전 기준입니다.</x:v>
      </x:c>
      <x:c r="B25" s="6"/>
      <x:c r="C25" s="6"/>
      <x:c r="D25" s="6"/>
      <x:c r="E25" s="6"/>
      <x:c r="F25" s="6"/>
      <x:c r="G25" s="6"/>
      <x:c r="H25" s="6"/>
    </x:row>
    <x:row r="26" ht="44" customHeight="1">
      <x:c r="A26" s="6" t="str">
        <x:v>예시: 기준값 10, 3레벨·2등급 → 레벨 감소 2.8 + 등급 감소 1.8 → 5.4 → 최종 5. 성장분해는 모든 중간값을 수식으로 계산합니다.</x:v>
      </x:c>
      <x:c r="B26" s="6"/>
      <x:c r="C26" s="6"/>
      <x:c r="D26" s="6"/>
      <x:c r="E26" s="6"/>
      <x:c r="F26" s="6"/>
      <x:c r="G26" s="6"/>
      <x:c r="H26" s="6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</x:row>
  </x:sheetData>
  <x:mergeCells>
    <x:mergeCell ref="A1:H1"/>
    <x:mergeCell ref="A2:H2"/>
    <x:mergeCell ref="C5:H5"/>
    <x:mergeCell ref="A16:H16"/>
    <x:mergeCell ref="A17:H17"/>
    <x:mergeCell ref="A18:H18"/>
    <x:mergeCell ref="A20:H20"/>
    <x:mergeCell ref="A21:H21"/>
    <x:mergeCell ref="A22:H22"/>
    <x:mergeCell ref="A23:H23"/>
    <x:mergeCell ref="A25:H25"/>
    <x:mergeCell ref="A26:H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8B8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4" hidden="0" customWidth="1"/>
    <x:col min="5" max="5" width="9" hidden="0" customWidth="1"/>
    <x:col min="6" max="6" width="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 ht="42" customHeight="1">
      <x:c r="A1" s="4" t="str">
        <x:v>04  성장분해 · 72종 × 5레벨 × 5등급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</x:row>
    <x:row r="2" ht="35" customHeight="1">
      <x:c r="A2" s="6" t="str">
        <x:v>1행 = 하나의 상태. 상태ID 1~1800은 중복되지 않습니다. 기준ID 1~72는 첫 시트의 기준값을 찾는 참조값이며 각 기준에 25개 상태가 연결됩니다.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</x:row>
    <x:row r="3" ht="35" customHeight="1">
      <x:c r="A3" s="6" t="str">
        <x:v>J:Q = 최종 정수 스탯 / R:Y = 레벨 누적 감소량 / Z:AG = 등급 누적 감소량. 감소량은 계산용 실수이며 화면에는 소수 둘째 자리까지 표시합니다.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6"/>
      <x:c r="AG3" s="6"/>
    </x:row>
    <x:row r="4" ht="35" customHeight="1">
      <x:c r="A4" s="6" t="str">
        <x:v>현재값 = 기준값 − 레벨 누적 감소량 − 등급 누적 감소량 → ROUND(값,0) → 최소값 적용. 5레벨·5등급에서는 모든 스탯이 기준값과 정확히 같습니다.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</x:row>
    <x:row r="5" ht="35" customHeight="1">
      <x:c r="A5" s="6" t="str">
        <x:v>상태ID = (기준ID−1)×25 + (등급−1)×5 + 레벨. 모든 등급에서 레벨 1~5가 유효합니다. 속도·치명·효과에도 같은 성장 비율을 적용합니다.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  <x:c r="AF5" s="6"/>
      <x:c r="AG5" s="6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</x:row>
    <x:row r="7" ht="43" customHeight="1">
      <x:c r="A7" s="9" t="str">
        <x:v>상태ID</x:v>
      </x:c>
      <x:c r="B7" s="9" t="str">
        <x:v>기준ID</x:v>
      </x:c>
      <x:c r="C7" s="9" t="str">
        <x:v>별자리</x:v>
      </x:c>
      <x:c r="D7" s="9" t="str">
        <x:v>직업</x:v>
      </x:c>
      <x:c r="E7" s="9" t="str">
        <x:v>레벨</x:v>
      </x:c>
      <x:c r="F7" s="9" t="str">
        <x:v>등급</x:v>
      </x:c>
      <x:c r="G7" s="9" t="str">
        <x:v>레벨 감소율</x:v>
      </x:c>
      <x:c r="H7" s="9" t="str">
        <x:v>등급 감소율</x:v>
      </x:c>
      <x:c r="I7" s="9" t="str">
        <x:v>잔존 비율</x:v>
      </x:c>
      <x:c r="J7" s="9" t="str">
        <x:v>공격력</x:v>
      </x:c>
      <x:c r="K7" s="9" t="str">
        <x:v>생명력</x:v>
      </x:c>
      <x:c r="L7" s="9" t="str">
        <x:v>방어력</x:v>
      </x:c>
      <x:c r="M7" s="9" t="str">
        <x:v>속도</x:v>
      </x:c>
      <x:c r="N7" s="9" t="str">
        <x:v>치명확률</x:v>
      </x:c>
      <x:c r="O7" s="9" t="str">
        <x:v>치명피해</x:v>
      </x:c>
      <x:c r="P7" s="9" t="str">
        <x:v>효과적중</x:v>
      </x:c>
      <x:c r="Q7" s="9" t="str">
        <x:v>효과저항</x:v>
      </x:c>
      <x:c r="R7" s="9" t="str">
        <x:v>레벨 감소 공격력</x:v>
      </x:c>
      <x:c r="S7" s="9" t="str">
        <x:v>레벨 감소 생명력</x:v>
      </x:c>
      <x:c r="T7" s="9" t="str">
        <x:v>레벨 감소 방어력</x:v>
      </x:c>
      <x:c r="U7" s="9" t="str">
        <x:v>레벨 감소 속도</x:v>
      </x:c>
      <x:c r="V7" s="9" t="str">
        <x:v>레벨 감소 치명확률</x:v>
      </x:c>
      <x:c r="W7" s="9" t="str">
        <x:v>레벨 감소 치명피해</x:v>
      </x:c>
      <x:c r="X7" s="9" t="str">
        <x:v>레벨 감소 효과적중</x:v>
      </x:c>
      <x:c r="Y7" s="9" t="str">
        <x:v>레벨 감소 효과저항</x:v>
      </x:c>
      <x:c r="Z7" s="9" t="str">
        <x:v>등급 감소 공격력</x:v>
      </x:c>
      <x:c r="AA7" s="9" t="str">
        <x:v>등급 감소 생명력</x:v>
      </x:c>
      <x:c r="AB7" s="9" t="str">
        <x:v>등급 감소 방어력</x:v>
      </x:c>
      <x:c r="AC7" s="9" t="str">
        <x:v>등급 감소 속도</x:v>
      </x:c>
      <x:c r="AD7" s="9" t="str">
        <x:v>등급 감소 치명확률</x:v>
      </x:c>
      <x:c r="AE7" s="9" t="str">
        <x:v>등급 감소 치명피해</x:v>
      </x:c>
      <x:c r="AF7" s="9" t="str">
        <x:v>등급 감소 효과적중</x:v>
      </x:c>
      <x:c r="AG7" s="9" t="str">
        <x:v>등급 감소 효과저항</x:v>
      </x:c>
    </x:row>
    <x:row r="8" ht="28" customHeight="1">
      <x:c r="A8" s="2" t="n">
        <x:v>1</x:v>
      </x:c>
      <x:c r="B8" s="2" t="n">
        <x:v>1</x:v>
      </x:c>
      <x:c r="C8" s="2" t="str">
        <x:v>양자리</x:v>
      </x:c>
      <x:c r="D8" s="2" t="str">
        <x:v>기사</x:v>
      </x:c>
      <x:c r="E8" s="2" t="n">
        <x:v>1</x:v>
      </x:c>
      <x:c r="F8" s="2" t="n">
        <x:v>1</x:v>
      </x:c>
      <x:c r="G8" s="14" t="n">
        <x:f>('레벨 계산식'!$E$4-E8)*'레벨 계산식'!$B$5</x:f>
        <x:v>0.5599999999999999</x:v>
      </x:c>
      <x:c r="H8" s="14" t="n">
        <x:f>('등급 계산식'!$E$4-F8)*'등급 계산식'!$B$5</x:f>
        <x:v>0.24000000000000005</x:v>
      </x:c>
      <x:c r="I8" s="14" t="n">
        <x:f>1-G8-H8</x:f>
        <x:v>0.2</x:v>
      </x:c>
      <x:c r="J8" s="2" t="n">
        <x:f>MAX(1,ROUND('기준스탯 72종'!D8-R8-Z8,0))</x:f>
        <x:v>1</x:v>
      </x:c>
      <x:c r="K8" s="2" t="n">
        <x:f>MAX(1,ROUND('기준스탯 72종'!E8-S8-AA8,0))</x:f>
        <x:v>2</x:v>
      </x:c>
      <x:c r="L8" s="2" t="n">
        <x:f>MAX(1,ROUND('기준스탯 72종'!F8-T8-AB8,0))</x:f>
        <x:v>2</x:v>
      </x:c>
      <x:c r="M8" s="2" t="n">
        <x:f>MAX(1,ROUND('기준스탯 72종'!G8-U8-AC8,0))</x:f>
        <x:v>1</x:v>
      </x:c>
      <x:c r="N8" s="2" t="n">
        <x:f>MAX(0,ROUND('기준스탯 72종'!H8-V8-AD8,0))</x:f>
        <x:v>1</x:v>
      </x:c>
      <x:c r="O8" s="2" t="n">
        <x:f>MAX(0,ROUND('기준스탯 72종'!I8-W8-AE8,0))</x:f>
        <x:v>1</x:v>
      </x:c>
      <x:c r="P8" s="2" t="n">
        <x:f>MAX(0,ROUND('기준스탯 72종'!J8-X8-AF8,0))</x:f>
        <x:v>1</x:v>
      </x:c>
      <x:c r="Q8" s="2" t="n">
        <x:f>MAX(0,ROUND('기준스탯 72종'!K8-Y8-AG8,0))</x:f>
        <x:v>1</x:v>
      </x:c>
      <x:c r="R8" s="15" t="n">
        <x:f>'기준스탯 72종'!D8*G8</x:f>
        <x:v>3.9199999999999995</x:v>
      </x:c>
      <x:c r="S8" s="15" t="n">
        <x:f>'기준스탯 72종'!E8*G8</x:f>
        <x:v>5.039999999999999</x:v>
      </x:c>
      <x:c r="T8" s="15" t="n">
        <x:f>'기준스탯 72종'!F8*G8</x:f>
        <x:v>4.4799999999999995</x:v>
      </x:c>
      <x:c r="U8" s="15" t="n">
        <x:f>'기준스탯 72종'!G8*G8</x:f>
        <x:v>3.3599999999999994</x:v>
      </x:c>
      <x:c r="V8" s="15" t="n">
        <x:f>'기준스탯 72종'!H8*G8</x:f>
        <x:v>2.2399999999999998</x:v>
      </x:c>
      <x:c r="W8" s="15" t="n">
        <x:f>'기준스탯 72종'!I8*G8</x:f>
        <x:v>2.8</x:v>
      </x:c>
      <x:c r="X8" s="15" t="n">
        <x:f>'기준스탯 72종'!J8*G8</x:f>
        <x:v>1.6799999999999997</x:v>
      </x:c>
      <x:c r="Y8" s="15" t="n">
        <x:f>'기준스탯 72종'!K8*G8</x:f>
        <x:v>2.2399999999999998</x:v>
      </x:c>
      <x:c r="Z8" s="15" t="n">
        <x:f>'기준스탯 72종'!D8*H8</x:f>
        <x:v>1.6800000000000004</x:v>
      </x:c>
      <x:c r="AA8" s="15" t="n">
        <x:f>'기준스탯 72종'!E8*H8</x:f>
        <x:v>2.1600000000000006</x:v>
      </x:c>
      <x:c r="AB8" s="15" t="n">
        <x:f>'기준스탯 72종'!F8*H8</x:f>
        <x:v>1.9200000000000004</x:v>
      </x:c>
      <x:c r="AC8" s="15" t="n">
        <x:f>'기준스탯 72종'!G8*H8</x:f>
        <x:v>1.4400000000000004</x:v>
      </x:c>
      <x:c r="AD8" s="15" t="n">
        <x:f>'기준스탯 72종'!H8*H8</x:f>
        <x:v>0.9600000000000002</x:v>
      </x:c>
      <x:c r="AE8" s="15" t="n">
        <x:f>'기준스탯 72종'!I8*H8</x:f>
        <x:v>1.2000000000000002</x:v>
      </x:c>
      <x:c r="AF8" s="15" t="n">
        <x:f>'기준스탯 72종'!J8*H8</x:f>
        <x:v>0.7200000000000002</x:v>
      </x:c>
      <x:c r="AG8" s="15" t="n">
        <x:f>'기준스탯 72종'!K8*H8</x:f>
        <x:v>0.9600000000000002</x:v>
      </x:c>
    </x:row>
    <x:row r="9" ht="28" customHeight="1">
      <x:c r="A9" s="2" t="n">
        <x:v>2</x:v>
      </x:c>
      <x:c r="B9" s="2" t="n">
        <x:v>1</x:v>
      </x:c>
      <x:c r="C9" s="2" t="str">
        <x:v>양자리</x:v>
      </x:c>
      <x:c r="D9" s="2" t="str">
        <x:v>기사</x:v>
      </x:c>
      <x:c r="E9" s="2" t="n">
        <x:v>2</x:v>
      </x:c>
      <x:c r="F9" s="2" t="n">
        <x:v>1</x:v>
      </x:c>
      <x:c r="G9" s="14" t="n">
        <x:f>('레벨 계산식'!$E$4-E9)*'레벨 계산식'!$B$5</x:f>
        <x:v>0.41999999999999993</x:v>
      </x:c>
      <x:c r="H9" s="14" t="n">
        <x:f>('등급 계산식'!$E$4-F9)*'등급 계산식'!$B$5</x:f>
        <x:v>0.24000000000000005</x:v>
      </x:c>
      <x:c r="I9" s="14" t="n">
        <x:f>1-G9-H9</x:f>
        <x:v>0.34</x:v>
      </x:c>
      <x:c r="J9" s="2" t="n">
        <x:f>MAX(1,ROUND('기준스탯 72종'!D8-R9-Z9,0))</x:f>
        <x:v>2</x:v>
      </x:c>
      <x:c r="K9" s="2" t="n">
        <x:f>MAX(1,ROUND('기준스탯 72종'!E8-S9-AA9,0))</x:f>
        <x:v>3</x:v>
      </x:c>
      <x:c r="L9" s="2" t="n">
        <x:f>MAX(1,ROUND('기준스탯 72종'!F8-T9-AB9,0))</x:f>
        <x:v>3</x:v>
      </x:c>
      <x:c r="M9" s="2" t="n">
        <x:f>MAX(1,ROUND('기준스탯 72종'!G8-U9-AC9,0))</x:f>
        <x:v>2</x:v>
      </x:c>
      <x:c r="N9" s="2" t="n">
        <x:f>MAX(0,ROUND('기준스탯 72종'!H8-V9-AD9,0))</x:f>
        <x:v>1</x:v>
      </x:c>
      <x:c r="O9" s="2" t="n">
        <x:f>MAX(0,ROUND('기준스탯 72종'!I8-W9-AE9,0))</x:f>
        <x:v>2</x:v>
      </x:c>
      <x:c r="P9" s="2" t="n">
        <x:f>MAX(0,ROUND('기준스탯 72종'!J8-X9-AF9,0))</x:f>
        <x:v>1</x:v>
      </x:c>
      <x:c r="Q9" s="2" t="n">
        <x:f>MAX(0,ROUND('기준스탯 72종'!K8-Y9-AG9,0))</x:f>
        <x:v>1</x:v>
      </x:c>
      <x:c r="R9" s="15" t="n">
        <x:f>'기준스탯 72종'!D8*G9</x:f>
        <x:v>2.9399999999999995</x:v>
      </x:c>
      <x:c r="S9" s="15" t="n">
        <x:f>'기준스탯 72종'!E8*G9</x:f>
        <x:v>3.7799999999999994</x:v>
      </x:c>
      <x:c r="T9" s="15" t="n">
        <x:f>'기준스탯 72종'!F8*G9</x:f>
        <x:v>3.3599999999999994</x:v>
      </x:c>
      <x:c r="U9" s="15" t="n">
        <x:f>'기준스탯 72종'!G8*G9</x:f>
        <x:v>2.5199999999999996</x:v>
      </x:c>
      <x:c r="V9" s="15" t="n">
        <x:f>'기준스탯 72종'!H8*G9</x:f>
        <x:v>1.6799999999999997</x:v>
      </x:c>
      <x:c r="W9" s="15" t="n">
        <x:f>'기준스탯 72종'!I8*G9</x:f>
        <x:v>2.0999999999999996</x:v>
      </x:c>
      <x:c r="X9" s="15" t="n">
        <x:f>'기준스탯 72종'!J8*G9</x:f>
        <x:v>1.2599999999999998</x:v>
      </x:c>
      <x:c r="Y9" s="15" t="n">
        <x:f>'기준스탯 72종'!K8*G9</x:f>
        <x:v>1.6799999999999997</x:v>
      </x:c>
      <x:c r="Z9" s="15" t="n">
        <x:f>'기준스탯 72종'!D8*H9</x:f>
        <x:v>1.6800000000000004</x:v>
      </x:c>
      <x:c r="AA9" s="15" t="n">
        <x:f>'기준스탯 72종'!E8*H9</x:f>
        <x:v>2.1600000000000006</x:v>
      </x:c>
      <x:c r="AB9" s="15" t="n">
        <x:f>'기준스탯 72종'!F8*H9</x:f>
        <x:v>1.9200000000000004</x:v>
      </x:c>
      <x:c r="AC9" s="15" t="n">
        <x:f>'기준스탯 72종'!G8*H9</x:f>
        <x:v>1.4400000000000004</x:v>
      </x:c>
      <x:c r="AD9" s="15" t="n">
        <x:f>'기준스탯 72종'!H8*H9</x:f>
        <x:v>0.9600000000000002</x:v>
      </x:c>
      <x:c r="AE9" s="15" t="n">
        <x:f>'기준스탯 72종'!I8*H9</x:f>
        <x:v>1.2000000000000002</x:v>
      </x:c>
      <x:c r="AF9" s="15" t="n">
        <x:f>'기준스탯 72종'!J8*H9</x:f>
        <x:v>0.7200000000000002</x:v>
      </x:c>
      <x:c r="AG9" s="15" t="n">
        <x:f>'기준스탯 72종'!K8*H9</x:f>
        <x:v>0.9600000000000002</x:v>
      </x:c>
    </x:row>
    <x:row r="10" ht="28" customHeight="1">
      <x:c r="A10" s="2" t="n">
        <x:v>3</x:v>
      </x:c>
      <x:c r="B10" s="2" t="n">
        <x:v>1</x:v>
      </x:c>
      <x:c r="C10" s="2" t="str">
        <x:v>양자리</x:v>
      </x:c>
      <x:c r="D10" s="2" t="str">
        <x:v>기사</x:v>
      </x:c>
      <x:c r="E10" s="2" t="n">
        <x:v>3</x:v>
      </x:c>
      <x:c r="F10" s="2" t="n">
        <x:v>1</x:v>
      </x:c>
      <x:c r="G10" s="14" t="n">
        <x:f>('레벨 계산식'!$E$4-E10)*'레벨 계산식'!$B$5</x:f>
        <x:v>0.27999999999999997</x:v>
      </x:c>
      <x:c r="H10" s="14" t="n">
        <x:f>('등급 계산식'!$E$4-F10)*'등급 계산식'!$B$5</x:f>
        <x:v>0.24000000000000005</x:v>
      </x:c>
      <x:c r="I10" s="14" t="n">
        <x:f>1-G10-H10</x:f>
        <x:v>0.4799999999999999</x:v>
      </x:c>
      <x:c r="J10" s="2" t="n">
        <x:f>MAX(1,ROUND('기준스탯 72종'!D8-R10-Z10,0))</x:f>
        <x:v>3</x:v>
      </x:c>
      <x:c r="K10" s="2" t="n">
        <x:f>MAX(1,ROUND('기준스탯 72종'!E8-S10-AA10,0))</x:f>
        <x:v>4</x:v>
      </x:c>
      <x:c r="L10" s="2" t="n">
        <x:f>MAX(1,ROUND('기준스탯 72종'!F8-T10-AB10,0))</x:f>
        <x:v>4</x:v>
      </x:c>
      <x:c r="M10" s="2" t="n">
        <x:f>MAX(1,ROUND('기준스탯 72종'!G8-U10-AC10,0))</x:f>
        <x:v>3</x:v>
      </x:c>
      <x:c r="N10" s="2" t="n">
        <x:f>MAX(0,ROUND('기준스탯 72종'!H8-V10-AD10,0))</x:f>
        <x:v>2</x:v>
      </x:c>
      <x:c r="O10" s="2" t="n">
        <x:f>MAX(0,ROUND('기준스탯 72종'!I8-W10-AE10,0))</x:f>
        <x:v>2</x:v>
      </x:c>
      <x:c r="P10" s="2" t="n">
        <x:f>MAX(0,ROUND('기준스탯 72종'!J8-X10-AF10,0))</x:f>
        <x:v>1</x:v>
      </x:c>
      <x:c r="Q10" s="2" t="n">
        <x:f>MAX(0,ROUND('기준스탯 72종'!K8-Y10-AG10,0))</x:f>
        <x:v>2</x:v>
      </x:c>
      <x:c r="R10" s="15" t="n">
        <x:f>'기준스탯 72종'!D8*G10</x:f>
        <x:v>1.9599999999999997</x:v>
      </x:c>
      <x:c r="S10" s="15" t="n">
        <x:f>'기준스탯 72종'!E8*G10</x:f>
        <x:v>2.5199999999999996</x:v>
      </x:c>
      <x:c r="T10" s="15" t="n">
        <x:f>'기준스탯 72종'!F8*G10</x:f>
        <x:v>2.2399999999999998</x:v>
      </x:c>
      <x:c r="U10" s="15" t="n">
        <x:f>'기준스탯 72종'!G8*G10</x:f>
        <x:v>1.6799999999999997</x:v>
      </x:c>
      <x:c r="V10" s="15" t="n">
        <x:f>'기준스탯 72종'!H8*G10</x:f>
        <x:v>1.1199999999999999</x:v>
      </x:c>
      <x:c r="W10" s="15" t="n">
        <x:f>'기준스탯 72종'!I8*G10</x:f>
        <x:v>1.4</x:v>
      </x:c>
      <x:c r="X10" s="15" t="n">
        <x:f>'기준스탯 72종'!J8*G10</x:f>
        <x:v>0.8399999999999999</x:v>
      </x:c>
      <x:c r="Y10" s="15" t="n">
        <x:f>'기준스탯 72종'!K8*G10</x:f>
        <x:v>1.1199999999999999</x:v>
      </x:c>
      <x:c r="Z10" s="15" t="n">
        <x:f>'기준스탯 72종'!D8*H10</x:f>
        <x:v>1.6800000000000004</x:v>
      </x:c>
      <x:c r="AA10" s="15" t="n">
        <x:f>'기준스탯 72종'!E8*H10</x:f>
        <x:v>2.1600000000000006</x:v>
      </x:c>
      <x:c r="AB10" s="15" t="n">
        <x:f>'기준스탯 72종'!F8*H10</x:f>
        <x:v>1.9200000000000004</x:v>
      </x:c>
      <x:c r="AC10" s="15" t="n">
        <x:f>'기준스탯 72종'!G8*H10</x:f>
        <x:v>1.4400000000000004</x:v>
      </x:c>
      <x:c r="AD10" s="15" t="n">
        <x:f>'기준스탯 72종'!H8*H10</x:f>
        <x:v>0.9600000000000002</x:v>
      </x:c>
      <x:c r="AE10" s="15" t="n">
        <x:f>'기준스탯 72종'!I8*H10</x:f>
        <x:v>1.2000000000000002</x:v>
      </x:c>
      <x:c r="AF10" s="15" t="n">
        <x:f>'기준스탯 72종'!J8*H10</x:f>
        <x:v>0.7200000000000002</x:v>
      </x:c>
      <x:c r="AG10" s="15" t="n">
        <x:f>'기준스탯 72종'!K8*H10</x:f>
        <x:v>0.9600000000000002</x:v>
      </x:c>
    </x:row>
    <x:row r="11" ht="28" customHeight="1">
      <x:c r="A11" s="2" t="n">
        <x:v>4</x:v>
      </x:c>
      <x:c r="B11" s="2" t="n">
        <x:v>1</x:v>
      </x:c>
      <x:c r="C11" s="2" t="str">
        <x:v>양자리</x:v>
      </x:c>
      <x:c r="D11" s="2" t="str">
        <x:v>기사</x:v>
      </x:c>
      <x:c r="E11" s="2" t="n">
        <x:v>4</x:v>
      </x:c>
      <x:c r="F11" s="2" t="n">
        <x:v>1</x:v>
      </x:c>
      <x:c r="G11" s="14" t="n">
        <x:f>('레벨 계산식'!$E$4-E11)*'레벨 계산식'!$B$5</x:f>
        <x:v>0.13999999999999999</x:v>
      </x:c>
      <x:c r="H11" s="14" t="n">
        <x:f>('등급 계산식'!$E$4-F11)*'등급 계산식'!$B$5</x:f>
        <x:v>0.24000000000000005</x:v>
      </x:c>
      <x:c r="I11" s="14" t="n">
        <x:f>1-G11-H11</x:f>
        <x:v>0.6199999999999999</x:v>
      </x:c>
      <x:c r="J11" s="2" t="n">
        <x:f>MAX(1,ROUND('기준스탯 72종'!D8-R11-Z11,0))</x:f>
        <x:v>4</x:v>
      </x:c>
      <x:c r="K11" s="2" t="n">
        <x:f>MAX(1,ROUND('기준스탯 72종'!E8-S11-AA11,0))</x:f>
        <x:v>6</x:v>
      </x:c>
      <x:c r="L11" s="2" t="n">
        <x:f>MAX(1,ROUND('기준스탯 72종'!F8-T11-AB11,0))</x:f>
        <x:v>5</x:v>
      </x:c>
      <x:c r="M11" s="2" t="n">
        <x:f>MAX(1,ROUND('기준스탯 72종'!G8-U11-AC11,0))</x:f>
        <x:v>4</x:v>
      </x:c>
      <x:c r="N11" s="2" t="n">
        <x:f>MAX(0,ROUND('기준스탯 72종'!H8-V11-AD11,0))</x:f>
        <x:v>2</x:v>
      </x:c>
      <x:c r="O11" s="2" t="n">
        <x:f>MAX(0,ROUND('기준스탯 72종'!I8-W11-AE11,0))</x:f>
        <x:v>3</x:v>
      </x:c>
      <x:c r="P11" s="2" t="n">
        <x:f>MAX(0,ROUND('기준스탯 72종'!J8-X11-AF11,0))</x:f>
        <x:v>2</x:v>
      </x:c>
      <x:c r="Q11" s="2" t="n">
        <x:f>MAX(0,ROUND('기준스탯 72종'!K8-Y11-AG11,0))</x:f>
        <x:v>2</x:v>
      </x:c>
      <x:c r="R11" s="15" t="n">
        <x:f>'기준스탯 72종'!D8*G11</x:f>
        <x:v>0.9799999999999999</x:v>
      </x:c>
      <x:c r="S11" s="15" t="n">
        <x:f>'기준스탯 72종'!E8*G11</x:f>
        <x:v>1.2599999999999998</x:v>
      </x:c>
      <x:c r="T11" s="15" t="n">
        <x:f>'기준스탯 72종'!F8*G11</x:f>
        <x:v>1.1199999999999999</x:v>
      </x:c>
      <x:c r="U11" s="15" t="n">
        <x:f>'기준스탯 72종'!G8*G11</x:f>
        <x:v>0.8399999999999999</x:v>
      </x:c>
      <x:c r="V11" s="15" t="n">
        <x:f>'기준스탯 72종'!H8*G11</x:f>
        <x:v>0.5599999999999999</x:v>
      </x:c>
      <x:c r="W11" s="15" t="n">
        <x:f>'기준스탯 72종'!I8*G11</x:f>
        <x:v>0.7</x:v>
      </x:c>
      <x:c r="X11" s="15" t="n">
        <x:f>'기준스탯 72종'!J8*G11</x:f>
        <x:v>0.41999999999999993</x:v>
      </x:c>
      <x:c r="Y11" s="15" t="n">
        <x:f>'기준스탯 72종'!K8*G11</x:f>
        <x:v>0.5599999999999999</x:v>
      </x:c>
      <x:c r="Z11" s="15" t="n">
        <x:f>'기준스탯 72종'!D8*H11</x:f>
        <x:v>1.6800000000000004</x:v>
      </x:c>
      <x:c r="AA11" s="15" t="n">
        <x:f>'기준스탯 72종'!E8*H11</x:f>
        <x:v>2.1600000000000006</x:v>
      </x:c>
      <x:c r="AB11" s="15" t="n">
        <x:f>'기준스탯 72종'!F8*H11</x:f>
        <x:v>1.9200000000000004</x:v>
      </x:c>
      <x:c r="AC11" s="15" t="n">
        <x:f>'기준스탯 72종'!G8*H11</x:f>
        <x:v>1.4400000000000004</x:v>
      </x:c>
      <x:c r="AD11" s="15" t="n">
        <x:f>'기준스탯 72종'!H8*H11</x:f>
        <x:v>0.9600000000000002</x:v>
      </x:c>
      <x:c r="AE11" s="15" t="n">
        <x:f>'기준스탯 72종'!I8*H11</x:f>
        <x:v>1.2000000000000002</x:v>
      </x:c>
      <x:c r="AF11" s="15" t="n">
        <x:f>'기준스탯 72종'!J8*H11</x:f>
        <x:v>0.7200000000000002</x:v>
      </x:c>
      <x:c r="AG11" s="15" t="n">
        <x:f>'기준스탯 72종'!K8*H11</x:f>
        <x:v>0.9600000000000002</x:v>
      </x:c>
    </x:row>
    <x:row r="12" ht="28" customHeight="1">
      <x:c r="A12" s="2" t="n">
        <x:v>5</x:v>
      </x:c>
      <x:c r="B12" s="2" t="n">
        <x:v>1</x:v>
      </x:c>
      <x:c r="C12" s="2" t="str">
        <x:v>양자리</x:v>
      </x:c>
      <x:c r="D12" s="2" t="str">
        <x:v>기사</x:v>
      </x:c>
      <x:c r="E12" s="2" t="n">
        <x:v>5</x:v>
      </x:c>
      <x:c r="F12" s="2" t="n">
        <x:v>1</x:v>
      </x:c>
      <x:c r="G12" s="14" t="n">
        <x:f>('레벨 계산식'!$E$4-E12)*'레벨 계산식'!$B$5</x:f>
        <x:v>0</x:v>
      </x:c>
      <x:c r="H12" s="14" t="n">
        <x:f>('등급 계산식'!$E$4-F12)*'등급 계산식'!$B$5</x:f>
        <x:v>0.24000000000000005</x:v>
      </x:c>
      <x:c r="I12" s="14" t="n">
        <x:f>1-G12-H12</x:f>
        <x:v>0.76</x:v>
      </x:c>
      <x:c r="J12" s="2" t="n">
        <x:f>MAX(1,ROUND('기준스탯 72종'!D8-R12-Z12,0))</x:f>
        <x:v>5</x:v>
      </x:c>
      <x:c r="K12" s="2" t="n">
        <x:f>MAX(1,ROUND('기준스탯 72종'!E8-S12-AA12,0))</x:f>
        <x:v>7</x:v>
      </x:c>
      <x:c r="L12" s="2" t="n">
        <x:f>MAX(1,ROUND('기준스탯 72종'!F8-T12-AB12,0))</x:f>
        <x:v>6</x:v>
      </x:c>
      <x:c r="M12" s="2" t="n">
        <x:f>MAX(1,ROUND('기준스탯 72종'!G8-U12-AC12,0))</x:f>
        <x:v>5</x:v>
      </x:c>
      <x:c r="N12" s="2" t="n">
        <x:f>MAX(0,ROUND('기준스탯 72종'!H8-V12-AD12,0))</x:f>
        <x:v>3</x:v>
      </x:c>
      <x:c r="O12" s="2" t="n">
        <x:f>MAX(0,ROUND('기준스탯 72종'!I8-W12-AE12,0))</x:f>
        <x:v>4</x:v>
      </x:c>
      <x:c r="P12" s="2" t="n">
        <x:f>MAX(0,ROUND('기준스탯 72종'!J8-X12-AF12,0))</x:f>
        <x:v>2</x:v>
      </x:c>
      <x:c r="Q12" s="2" t="n">
        <x:f>MAX(0,ROUND('기준스탯 72종'!K8-Y12-AG12,0))</x:f>
        <x:v>3</x:v>
      </x:c>
      <x:c r="R12" s="15" t="n">
        <x:f>'기준스탯 72종'!D8*G12</x:f>
        <x:v>0</x:v>
      </x:c>
      <x:c r="S12" s="15" t="n">
        <x:f>'기준스탯 72종'!E8*G12</x:f>
        <x:v>0</x:v>
      </x:c>
      <x:c r="T12" s="15" t="n">
        <x:f>'기준스탯 72종'!F8*G12</x:f>
        <x:v>0</x:v>
      </x:c>
      <x:c r="U12" s="15" t="n">
        <x:f>'기준스탯 72종'!G8*G12</x:f>
        <x:v>0</x:v>
      </x:c>
      <x:c r="V12" s="15" t="n">
        <x:f>'기준스탯 72종'!H8*G12</x:f>
        <x:v>0</x:v>
      </x:c>
      <x:c r="W12" s="15" t="n">
        <x:f>'기준스탯 72종'!I8*G12</x:f>
        <x:v>0</x:v>
      </x:c>
      <x:c r="X12" s="15" t="n">
        <x:f>'기준스탯 72종'!J8*G12</x:f>
        <x:v>0</x:v>
      </x:c>
      <x:c r="Y12" s="15" t="n">
        <x:f>'기준스탯 72종'!K8*G12</x:f>
        <x:v>0</x:v>
      </x:c>
      <x:c r="Z12" s="15" t="n">
        <x:f>'기준스탯 72종'!D8*H12</x:f>
        <x:v>1.6800000000000004</x:v>
      </x:c>
      <x:c r="AA12" s="15" t="n">
        <x:f>'기준스탯 72종'!E8*H12</x:f>
        <x:v>2.1600000000000006</x:v>
      </x:c>
      <x:c r="AB12" s="15" t="n">
        <x:f>'기준스탯 72종'!F8*H12</x:f>
        <x:v>1.9200000000000004</x:v>
      </x:c>
      <x:c r="AC12" s="15" t="n">
        <x:f>'기준스탯 72종'!G8*H12</x:f>
        <x:v>1.4400000000000004</x:v>
      </x:c>
      <x:c r="AD12" s="15" t="n">
        <x:f>'기준스탯 72종'!H8*H12</x:f>
        <x:v>0.9600000000000002</x:v>
      </x:c>
      <x:c r="AE12" s="15" t="n">
        <x:f>'기준스탯 72종'!I8*H12</x:f>
        <x:v>1.2000000000000002</x:v>
      </x:c>
      <x:c r="AF12" s="15" t="n">
        <x:f>'기준스탯 72종'!J8*H12</x:f>
        <x:v>0.7200000000000002</x:v>
      </x:c>
      <x:c r="AG12" s="15" t="n">
        <x:f>'기준스탯 72종'!K8*H12</x:f>
        <x:v>0.9600000000000002</x:v>
      </x:c>
    </x:row>
    <x:row r="13" ht="28" customHeight="1">
      <x:c r="A13" s="2" t="n">
        <x:v>6</x:v>
      </x:c>
      <x:c r="B13" s="2" t="n">
        <x:v>1</x:v>
      </x:c>
      <x:c r="C13" s="2" t="str">
        <x:v>양자리</x:v>
      </x:c>
      <x:c r="D13" s="2" t="str">
        <x:v>기사</x:v>
      </x:c>
      <x:c r="E13" s="2" t="n">
        <x:v>1</x:v>
      </x:c>
      <x:c r="F13" s="2" t="n">
        <x:v>2</x:v>
      </x:c>
      <x:c r="G13" s="14" t="n">
        <x:f>('레벨 계산식'!$E$4-E13)*'레벨 계산식'!$B$5</x:f>
        <x:v>0.5599999999999999</x:v>
      </x:c>
      <x:c r="H13" s="14" t="n">
        <x:f>('등급 계산식'!$E$4-F13)*'등급 계산식'!$B$5</x:f>
        <x:v>0.18000000000000005</x:v>
      </x:c>
      <x:c r="I13" s="14" t="n">
        <x:f>1-G13-H13</x:f>
        <x:v>0.26</x:v>
      </x:c>
      <x:c r="J13" s="2" t="n">
        <x:f>MAX(1,ROUND('기준스탯 72종'!D8-R13-Z13,0))</x:f>
        <x:v>2</x:v>
      </x:c>
      <x:c r="K13" s="2" t="n">
        <x:f>MAX(1,ROUND('기준스탯 72종'!E8-S13-AA13,0))</x:f>
        <x:v>2</x:v>
      </x:c>
      <x:c r="L13" s="2" t="n">
        <x:f>MAX(1,ROUND('기준스탯 72종'!F8-T13-AB13,0))</x:f>
        <x:v>2</x:v>
      </x:c>
      <x:c r="M13" s="2" t="n">
        <x:f>MAX(1,ROUND('기준스탯 72종'!G8-U13-AC13,0))</x:f>
        <x:v>2</x:v>
      </x:c>
      <x:c r="N13" s="2" t="n">
        <x:f>MAX(0,ROUND('기준스탯 72종'!H8-V13-AD13,0))</x:f>
        <x:v>1</x:v>
      </x:c>
      <x:c r="O13" s="2" t="n">
        <x:f>MAX(0,ROUND('기준스탯 72종'!I8-W13-AE13,0))</x:f>
        <x:v>1</x:v>
      </x:c>
      <x:c r="P13" s="2" t="n">
        <x:f>MAX(0,ROUND('기준스탯 72종'!J8-X13-AF13,0))</x:f>
        <x:v>1</x:v>
      </x:c>
      <x:c r="Q13" s="2" t="n">
        <x:f>MAX(0,ROUND('기준스탯 72종'!K8-Y13-AG13,0))</x:f>
        <x:v>1</x:v>
      </x:c>
      <x:c r="R13" s="15" t="n">
        <x:f>'기준스탯 72종'!D8*G13</x:f>
        <x:v>3.9199999999999995</x:v>
      </x:c>
      <x:c r="S13" s="15" t="n">
        <x:f>'기준스탯 72종'!E8*G13</x:f>
        <x:v>5.039999999999999</x:v>
      </x:c>
      <x:c r="T13" s="15" t="n">
        <x:f>'기준스탯 72종'!F8*G13</x:f>
        <x:v>4.4799999999999995</x:v>
      </x:c>
      <x:c r="U13" s="15" t="n">
        <x:f>'기준스탯 72종'!G8*G13</x:f>
        <x:v>3.3599999999999994</x:v>
      </x:c>
      <x:c r="V13" s="15" t="n">
        <x:f>'기준스탯 72종'!H8*G13</x:f>
        <x:v>2.2399999999999998</x:v>
      </x:c>
      <x:c r="W13" s="15" t="n">
        <x:f>'기준스탯 72종'!I8*G13</x:f>
        <x:v>2.8</x:v>
      </x:c>
      <x:c r="X13" s="15" t="n">
        <x:f>'기준스탯 72종'!J8*G13</x:f>
        <x:v>1.6799999999999997</x:v>
      </x:c>
      <x:c r="Y13" s="15" t="n">
        <x:f>'기준스탯 72종'!K8*G13</x:f>
        <x:v>2.2399999999999998</x:v>
      </x:c>
      <x:c r="Z13" s="15" t="n">
        <x:f>'기준스탯 72종'!D8*H13</x:f>
        <x:v>1.2600000000000002</x:v>
      </x:c>
      <x:c r="AA13" s="15" t="n">
        <x:f>'기준스탯 72종'!E8*H13</x:f>
        <x:v>1.6200000000000006</x:v>
      </x:c>
      <x:c r="AB13" s="15" t="n">
        <x:f>'기준스탯 72종'!F8*H13</x:f>
        <x:v>1.4400000000000004</x:v>
      </x:c>
      <x:c r="AC13" s="15" t="n">
        <x:f>'기준스탯 72종'!G8*H13</x:f>
        <x:v>1.0800000000000003</x:v>
      </x:c>
      <x:c r="AD13" s="15" t="n">
        <x:f>'기준스탯 72종'!H8*H13</x:f>
        <x:v>0.7200000000000002</x:v>
      </x:c>
      <x:c r="AE13" s="15" t="n">
        <x:f>'기준스탯 72종'!I8*H13</x:f>
        <x:v>0.9000000000000002</x:v>
      </x:c>
      <x:c r="AF13" s="15" t="n">
        <x:f>'기준스탯 72종'!J8*H13</x:f>
        <x:v>0.5400000000000001</x:v>
      </x:c>
      <x:c r="AG13" s="15" t="n">
        <x:f>'기준스탯 72종'!K8*H13</x:f>
        <x:v>0.7200000000000002</x:v>
      </x:c>
    </x:row>
    <x:row r="14" ht="28" customHeight="1">
      <x:c r="A14" s="2" t="n">
        <x:v>7</x:v>
      </x:c>
      <x:c r="B14" s="2" t="n">
        <x:v>1</x:v>
      </x:c>
      <x:c r="C14" s="2" t="str">
        <x:v>양자리</x:v>
      </x:c>
      <x:c r="D14" s="2" t="str">
        <x:v>기사</x:v>
      </x:c>
      <x:c r="E14" s="2" t="n">
        <x:v>2</x:v>
      </x:c>
      <x:c r="F14" s="2" t="n">
        <x:v>2</x:v>
      </x:c>
      <x:c r="G14" s="14" t="n">
        <x:f>('레벨 계산식'!$E$4-E14)*'레벨 계산식'!$B$5</x:f>
        <x:v>0.41999999999999993</x:v>
      </x:c>
      <x:c r="H14" s="14" t="n">
        <x:f>('등급 계산식'!$E$4-F14)*'등급 계산식'!$B$5</x:f>
        <x:v>0.18000000000000005</x:v>
      </x:c>
      <x:c r="I14" s="14" t="n">
        <x:f>1-G14-H14</x:f>
        <x:v>0.4</x:v>
      </x:c>
      <x:c r="J14" s="2" t="n">
        <x:f>MAX(1,ROUND('기준스탯 72종'!D8-R14-Z14,0))</x:f>
        <x:v>3</x:v>
      </x:c>
      <x:c r="K14" s="2" t="n">
        <x:f>MAX(1,ROUND('기준스탯 72종'!E8-S14-AA14,0))</x:f>
        <x:v>4</x:v>
      </x:c>
      <x:c r="L14" s="2" t="n">
        <x:f>MAX(1,ROUND('기준스탯 72종'!F8-T14-AB14,0))</x:f>
        <x:v>3</x:v>
      </x:c>
      <x:c r="M14" s="2" t="n">
        <x:f>MAX(1,ROUND('기준스탯 72종'!G8-U14-AC14,0))</x:f>
        <x:v>2</x:v>
      </x:c>
      <x:c r="N14" s="2" t="n">
        <x:f>MAX(0,ROUND('기준스탯 72종'!H8-V14-AD14,0))</x:f>
        <x:v>2</x:v>
      </x:c>
      <x:c r="O14" s="2" t="n">
        <x:f>MAX(0,ROUND('기준스탯 72종'!I8-W14-AE14,0))</x:f>
        <x:v>2</x:v>
      </x:c>
      <x:c r="P14" s="2" t="n">
        <x:f>MAX(0,ROUND('기준스탯 72종'!J8-X14-AF14,0))</x:f>
        <x:v>1</x:v>
      </x:c>
      <x:c r="Q14" s="2" t="n">
        <x:f>MAX(0,ROUND('기준스탯 72종'!K8-Y14-AG14,0))</x:f>
        <x:v>2</x:v>
      </x:c>
      <x:c r="R14" s="15" t="n">
        <x:f>'기준스탯 72종'!D8*G14</x:f>
        <x:v>2.9399999999999995</x:v>
      </x:c>
      <x:c r="S14" s="15" t="n">
        <x:f>'기준스탯 72종'!E8*G14</x:f>
        <x:v>3.7799999999999994</x:v>
      </x:c>
      <x:c r="T14" s="15" t="n">
        <x:f>'기준스탯 72종'!F8*G14</x:f>
        <x:v>3.3599999999999994</x:v>
      </x:c>
      <x:c r="U14" s="15" t="n">
        <x:f>'기준스탯 72종'!G8*G14</x:f>
        <x:v>2.5199999999999996</x:v>
      </x:c>
      <x:c r="V14" s="15" t="n">
        <x:f>'기준스탯 72종'!H8*G14</x:f>
        <x:v>1.6799999999999997</x:v>
      </x:c>
      <x:c r="W14" s="15" t="n">
        <x:f>'기준스탯 72종'!I8*G14</x:f>
        <x:v>2.0999999999999996</x:v>
      </x:c>
      <x:c r="X14" s="15" t="n">
        <x:f>'기준스탯 72종'!J8*G14</x:f>
        <x:v>1.2599999999999998</x:v>
      </x:c>
      <x:c r="Y14" s="15" t="n">
        <x:f>'기준스탯 72종'!K8*G14</x:f>
        <x:v>1.6799999999999997</x:v>
      </x:c>
      <x:c r="Z14" s="15" t="n">
        <x:f>'기준스탯 72종'!D8*H14</x:f>
        <x:v>1.2600000000000002</x:v>
      </x:c>
      <x:c r="AA14" s="15" t="n">
        <x:f>'기준스탯 72종'!E8*H14</x:f>
        <x:v>1.6200000000000006</x:v>
      </x:c>
      <x:c r="AB14" s="15" t="n">
        <x:f>'기준스탯 72종'!F8*H14</x:f>
        <x:v>1.4400000000000004</x:v>
      </x:c>
      <x:c r="AC14" s="15" t="n">
        <x:f>'기준스탯 72종'!G8*H14</x:f>
        <x:v>1.0800000000000003</x:v>
      </x:c>
      <x:c r="AD14" s="15" t="n">
        <x:f>'기준스탯 72종'!H8*H14</x:f>
        <x:v>0.7200000000000002</x:v>
      </x:c>
      <x:c r="AE14" s="15" t="n">
        <x:f>'기준스탯 72종'!I8*H14</x:f>
        <x:v>0.9000000000000002</x:v>
      </x:c>
      <x:c r="AF14" s="15" t="n">
        <x:f>'기준스탯 72종'!J8*H14</x:f>
        <x:v>0.5400000000000001</x:v>
      </x:c>
      <x:c r="AG14" s="15" t="n">
        <x:f>'기준스탯 72종'!K8*H14</x:f>
        <x:v>0.7200000000000002</x:v>
      </x:c>
    </x:row>
    <x:row r="15" ht="28" customHeight="1">
      <x:c r="A15" s="2" t="n">
        <x:v>8</x:v>
      </x:c>
      <x:c r="B15" s="2" t="n">
        <x:v>1</x:v>
      </x:c>
      <x:c r="C15" s="2" t="str">
        <x:v>양자리</x:v>
      </x:c>
      <x:c r="D15" s="2" t="str">
        <x:v>기사</x:v>
      </x:c>
      <x:c r="E15" s="2" t="n">
        <x:v>3</x:v>
      </x:c>
      <x:c r="F15" s="2" t="n">
        <x:v>2</x:v>
      </x:c>
      <x:c r="G15" s="14" t="n">
        <x:f>('레벨 계산식'!$E$4-E15)*'레벨 계산식'!$B$5</x:f>
        <x:v>0.27999999999999997</x:v>
      </x:c>
      <x:c r="H15" s="14" t="n">
        <x:f>('등급 계산식'!$E$4-F15)*'등급 계산식'!$B$5</x:f>
        <x:v>0.18000000000000005</x:v>
      </x:c>
      <x:c r="I15" s="14" t="n">
        <x:f>1-G15-H15</x:f>
        <x:v>0.5399999999999999</x:v>
      </x:c>
      <x:c r="J15" s="2" t="n">
        <x:f>MAX(1,ROUND('기준스탯 72종'!D8-R15-Z15,0))</x:f>
        <x:v>4</x:v>
      </x:c>
      <x:c r="K15" s="2" t="n">
        <x:f>MAX(1,ROUND('기준스탯 72종'!E8-S15-AA15,0))</x:f>
        <x:v>5</x:v>
      </x:c>
      <x:c r="L15" s="2" t="n">
        <x:f>MAX(1,ROUND('기준스탯 72종'!F8-T15-AB15,0))</x:f>
        <x:v>4</x:v>
      </x:c>
      <x:c r="M15" s="2" t="n">
        <x:f>MAX(1,ROUND('기준스탯 72종'!G8-U15-AC15,0))</x:f>
        <x:v>3</x:v>
      </x:c>
      <x:c r="N15" s="2" t="n">
        <x:f>MAX(0,ROUND('기준스탯 72종'!H8-V15-AD15,0))</x:f>
        <x:v>2</x:v>
      </x:c>
      <x:c r="O15" s="2" t="n">
        <x:f>MAX(0,ROUND('기준스탯 72종'!I8-W15-AE15,0))</x:f>
        <x:v>3</x:v>
      </x:c>
      <x:c r="P15" s="2" t="n">
        <x:f>MAX(0,ROUND('기준스탯 72종'!J8-X15-AF15,0))</x:f>
        <x:v>2</x:v>
      </x:c>
      <x:c r="Q15" s="2" t="n">
        <x:f>MAX(0,ROUND('기준스탯 72종'!K8-Y15-AG15,0))</x:f>
        <x:v>2</x:v>
      </x:c>
      <x:c r="R15" s="15" t="n">
        <x:f>'기준스탯 72종'!D8*G15</x:f>
        <x:v>1.9599999999999997</x:v>
      </x:c>
      <x:c r="S15" s="15" t="n">
        <x:f>'기준스탯 72종'!E8*G15</x:f>
        <x:v>2.5199999999999996</x:v>
      </x:c>
      <x:c r="T15" s="15" t="n">
        <x:f>'기준스탯 72종'!F8*G15</x:f>
        <x:v>2.2399999999999998</x:v>
      </x:c>
      <x:c r="U15" s="15" t="n">
        <x:f>'기준스탯 72종'!G8*G15</x:f>
        <x:v>1.6799999999999997</x:v>
      </x:c>
      <x:c r="V15" s="15" t="n">
        <x:f>'기준스탯 72종'!H8*G15</x:f>
        <x:v>1.1199999999999999</x:v>
      </x:c>
      <x:c r="W15" s="15" t="n">
        <x:f>'기준스탯 72종'!I8*G15</x:f>
        <x:v>1.4</x:v>
      </x:c>
      <x:c r="X15" s="15" t="n">
        <x:f>'기준스탯 72종'!J8*G15</x:f>
        <x:v>0.8399999999999999</x:v>
      </x:c>
      <x:c r="Y15" s="15" t="n">
        <x:f>'기준스탯 72종'!K8*G15</x:f>
        <x:v>1.1199999999999999</x:v>
      </x:c>
      <x:c r="Z15" s="15" t="n">
        <x:f>'기준스탯 72종'!D8*H15</x:f>
        <x:v>1.2600000000000002</x:v>
      </x:c>
      <x:c r="AA15" s="15" t="n">
        <x:f>'기준스탯 72종'!E8*H15</x:f>
        <x:v>1.6200000000000006</x:v>
      </x:c>
      <x:c r="AB15" s="15" t="n">
        <x:f>'기준스탯 72종'!F8*H15</x:f>
        <x:v>1.4400000000000004</x:v>
      </x:c>
      <x:c r="AC15" s="15" t="n">
        <x:f>'기준스탯 72종'!G8*H15</x:f>
        <x:v>1.0800000000000003</x:v>
      </x:c>
      <x:c r="AD15" s="15" t="n">
        <x:f>'기준스탯 72종'!H8*H15</x:f>
        <x:v>0.7200000000000002</x:v>
      </x:c>
      <x:c r="AE15" s="15" t="n">
        <x:f>'기준스탯 72종'!I8*H15</x:f>
        <x:v>0.9000000000000002</x:v>
      </x:c>
      <x:c r="AF15" s="15" t="n">
        <x:f>'기준스탯 72종'!J8*H15</x:f>
        <x:v>0.5400000000000001</x:v>
      </x:c>
      <x:c r="AG15" s="15" t="n">
        <x:f>'기준스탯 72종'!K8*H15</x:f>
        <x:v>0.7200000000000002</x:v>
      </x:c>
    </x:row>
    <x:row r="16" ht="28" customHeight="1">
      <x:c r="A16" s="2" t="n">
        <x:v>9</x:v>
      </x:c>
      <x:c r="B16" s="2" t="n">
        <x:v>1</x:v>
      </x:c>
      <x:c r="C16" s="2" t="str">
        <x:v>양자리</x:v>
      </x:c>
      <x:c r="D16" s="2" t="str">
        <x:v>기사</x:v>
      </x:c>
      <x:c r="E16" s="2" t="n">
        <x:v>4</x:v>
      </x:c>
      <x:c r="F16" s="2" t="n">
        <x:v>2</x:v>
      </x:c>
      <x:c r="G16" s="14" t="n">
        <x:f>('레벨 계산식'!$E$4-E16)*'레벨 계산식'!$B$5</x:f>
        <x:v>0.13999999999999999</x:v>
      </x:c>
      <x:c r="H16" s="14" t="n">
        <x:f>('등급 계산식'!$E$4-F16)*'등급 계산식'!$B$5</x:f>
        <x:v>0.18000000000000005</x:v>
      </x:c>
      <x:c r="I16" s="14" t="n">
        <x:f>1-G16-H16</x:f>
        <x:v>0.6799999999999999</x:v>
      </x:c>
      <x:c r="J16" s="2" t="n">
        <x:f>MAX(1,ROUND('기준스탯 72종'!D8-R16-Z16,0))</x:f>
        <x:v>5</x:v>
      </x:c>
      <x:c r="K16" s="2" t="n">
        <x:f>MAX(1,ROUND('기준스탯 72종'!E8-S16-AA16,0))</x:f>
        <x:v>6</x:v>
      </x:c>
      <x:c r="L16" s="2" t="n">
        <x:f>MAX(1,ROUND('기준스탯 72종'!F8-T16-AB16,0))</x:f>
        <x:v>5</x:v>
      </x:c>
      <x:c r="M16" s="2" t="n">
        <x:f>MAX(1,ROUND('기준스탯 72종'!G8-U16-AC16,0))</x:f>
        <x:v>4</x:v>
      </x:c>
      <x:c r="N16" s="2" t="n">
        <x:f>MAX(0,ROUND('기준스탯 72종'!H8-V16-AD16,0))</x:f>
        <x:v>3</x:v>
      </x:c>
      <x:c r="O16" s="2" t="n">
        <x:f>MAX(0,ROUND('기준스탯 72종'!I8-W16-AE16,0))</x:f>
        <x:v>3</x:v>
      </x:c>
      <x:c r="P16" s="2" t="n">
        <x:f>MAX(0,ROUND('기준스탯 72종'!J8-X16-AF16,0))</x:f>
        <x:v>2</x:v>
      </x:c>
      <x:c r="Q16" s="2" t="n">
        <x:f>MAX(0,ROUND('기준스탯 72종'!K8-Y16-AG16,0))</x:f>
        <x:v>3</x:v>
      </x:c>
      <x:c r="R16" s="15" t="n">
        <x:f>'기준스탯 72종'!D8*G16</x:f>
        <x:v>0.9799999999999999</x:v>
      </x:c>
      <x:c r="S16" s="15" t="n">
        <x:f>'기준스탯 72종'!E8*G16</x:f>
        <x:v>1.2599999999999998</x:v>
      </x:c>
      <x:c r="T16" s="15" t="n">
        <x:f>'기준스탯 72종'!F8*G16</x:f>
        <x:v>1.1199999999999999</x:v>
      </x:c>
      <x:c r="U16" s="15" t="n">
        <x:f>'기준스탯 72종'!G8*G16</x:f>
        <x:v>0.8399999999999999</x:v>
      </x:c>
      <x:c r="V16" s="15" t="n">
        <x:f>'기준스탯 72종'!H8*G16</x:f>
        <x:v>0.5599999999999999</x:v>
      </x:c>
      <x:c r="W16" s="15" t="n">
        <x:f>'기준스탯 72종'!I8*G16</x:f>
        <x:v>0.7</x:v>
      </x:c>
      <x:c r="X16" s="15" t="n">
        <x:f>'기준스탯 72종'!J8*G16</x:f>
        <x:v>0.41999999999999993</x:v>
      </x:c>
      <x:c r="Y16" s="15" t="n">
        <x:f>'기준스탯 72종'!K8*G16</x:f>
        <x:v>0.5599999999999999</x:v>
      </x:c>
      <x:c r="Z16" s="15" t="n">
        <x:f>'기준스탯 72종'!D8*H16</x:f>
        <x:v>1.2600000000000002</x:v>
      </x:c>
      <x:c r="AA16" s="15" t="n">
        <x:f>'기준스탯 72종'!E8*H16</x:f>
        <x:v>1.6200000000000006</x:v>
      </x:c>
      <x:c r="AB16" s="15" t="n">
        <x:f>'기준스탯 72종'!F8*H16</x:f>
        <x:v>1.4400000000000004</x:v>
      </x:c>
      <x:c r="AC16" s="15" t="n">
        <x:f>'기준스탯 72종'!G8*H16</x:f>
        <x:v>1.0800000000000003</x:v>
      </x:c>
      <x:c r="AD16" s="15" t="n">
        <x:f>'기준스탯 72종'!H8*H16</x:f>
        <x:v>0.7200000000000002</x:v>
      </x:c>
      <x:c r="AE16" s="15" t="n">
        <x:f>'기준스탯 72종'!I8*H16</x:f>
        <x:v>0.9000000000000002</x:v>
      </x:c>
      <x:c r="AF16" s="15" t="n">
        <x:f>'기준스탯 72종'!J8*H16</x:f>
        <x:v>0.5400000000000001</x:v>
      </x:c>
      <x:c r="AG16" s="15" t="n">
        <x:f>'기준스탯 72종'!K8*H16</x:f>
        <x:v>0.7200000000000002</x:v>
      </x:c>
    </x:row>
    <x:row r="17" ht="28" customHeight="1">
      <x:c r="A17" s="2" t="n">
        <x:v>10</x:v>
      </x:c>
      <x:c r="B17" s="2" t="n">
        <x:v>1</x:v>
      </x:c>
      <x:c r="C17" s="2" t="str">
        <x:v>양자리</x:v>
      </x:c>
      <x:c r="D17" s="2" t="str">
        <x:v>기사</x:v>
      </x:c>
      <x:c r="E17" s="2" t="n">
        <x:v>5</x:v>
      </x:c>
      <x:c r="F17" s="2" t="n">
        <x:v>2</x:v>
      </x:c>
      <x:c r="G17" s="14" t="n">
        <x:f>('레벨 계산식'!$E$4-E17)*'레벨 계산식'!$B$5</x:f>
        <x:v>0</x:v>
      </x:c>
      <x:c r="H17" s="14" t="n">
        <x:f>('등급 계산식'!$E$4-F17)*'등급 계산식'!$B$5</x:f>
        <x:v>0.18000000000000005</x:v>
      </x:c>
      <x:c r="I17" s="14" t="n">
        <x:f>1-G17-H17</x:f>
        <x:v>0.82</x:v>
      </x:c>
      <x:c r="J17" s="2" t="n">
        <x:f>MAX(1,ROUND('기준스탯 72종'!D8-R17-Z17,0))</x:f>
        <x:v>6</x:v>
      </x:c>
      <x:c r="K17" s="2" t="n">
        <x:f>MAX(1,ROUND('기준스탯 72종'!E8-S17-AA17,0))</x:f>
        <x:v>7</x:v>
      </x:c>
      <x:c r="L17" s="2" t="n">
        <x:f>MAX(1,ROUND('기준스탯 72종'!F8-T17-AB17,0))</x:f>
        <x:v>7</x:v>
      </x:c>
      <x:c r="M17" s="2" t="n">
        <x:f>MAX(1,ROUND('기준스탯 72종'!G8-U17-AC17,0))</x:f>
        <x:v>5</x:v>
      </x:c>
      <x:c r="N17" s="2" t="n">
        <x:f>MAX(0,ROUND('기준스탯 72종'!H8-V17-AD17,0))</x:f>
        <x:v>3</x:v>
      </x:c>
      <x:c r="O17" s="2" t="n">
        <x:f>MAX(0,ROUND('기준스탯 72종'!I8-W17-AE17,0))</x:f>
        <x:v>4</x:v>
      </x:c>
      <x:c r="P17" s="2" t="n">
        <x:f>MAX(0,ROUND('기준스탯 72종'!J8-X17-AF17,0))</x:f>
        <x:v>2</x:v>
      </x:c>
      <x:c r="Q17" s="2" t="n">
        <x:f>MAX(0,ROUND('기준스탯 72종'!K8-Y17-AG17,0))</x:f>
        <x:v>3</x:v>
      </x:c>
      <x:c r="R17" s="15" t="n">
        <x:f>'기준스탯 72종'!D8*G17</x:f>
        <x:v>0</x:v>
      </x:c>
      <x:c r="S17" s="15" t="n">
        <x:f>'기준스탯 72종'!E8*G17</x:f>
        <x:v>0</x:v>
      </x:c>
      <x:c r="T17" s="15" t="n">
        <x:f>'기준스탯 72종'!F8*G17</x:f>
        <x:v>0</x:v>
      </x:c>
      <x:c r="U17" s="15" t="n">
        <x:f>'기준스탯 72종'!G8*G17</x:f>
        <x:v>0</x:v>
      </x:c>
      <x:c r="V17" s="15" t="n">
        <x:f>'기준스탯 72종'!H8*G17</x:f>
        <x:v>0</x:v>
      </x:c>
      <x:c r="W17" s="15" t="n">
        <x:f>'기준스탯 72종'!I8*G17</x:f>
        <x:v>0</x:v>
      </x:c>
      <x:c r="X17" s="15" t="n">
        <x:f>'기준스탯 72종'!J8*G17</x:f>
        <x:v>0</x:v>
      </x:c>
      <x:c r="Y17" s="15" t="n">
        <x:f>'기준스탯 72종'!K8*G17</x:f>
        <x:v>0</x:v>
      </x:c>
      <x:c r="Z17" s="15" t="n">
        <x:f>'기준스탯 72종'!D8*H17</x:f>
        <x:v>1.2600000000000002</x:v>
      </x:c>
      <x:c r="AA17" s="15" t="n">
        <x:f>'기준스탯 72종'!E8*H17</x:f>
        <x:v>1.6200000000000006</x:v>
      </x:c>
      <x:c r="AB17" s="15" t="n">
        <x:f>'기준스탯 72종'!F8*H17</x:f>
        <x:v>1.4400000000000004</x:v>
      </x:c>
      <x:c r="AC17" s="15" t="n">
        <x:f>'기준스탯 72종'!G8*H17</x:f>
        <x:v>1.0800000000000003</x:v>
      </x:c>
      <x:c r="AD17" s="15" t="n">
        <x:f>'기준스탯 72종'!H8*H17</x:f>
        <x:v>0.7200000000000002</x:v>
      </x:c>
      <x:c r="AE17" s="15" t="n">
        <x:f>'기준스탯 72종'!I8*H17</x:f>
        <x:v>0.9000000000000002</x:v>
      </x:c>
      <x:c r="AF17" s="15" t="n">
        <x:f>'기준스탯 72종'!J8*H17</x:f>
        <x:v>0.5400000000000001</x:v>
      </x:c>
      <x:c r="AG17" s="15" t="n">
        <x:f>'기준스탯 72종'!K8*H17</x:f>
        <x:v>0.7200000000000002</x:v>
      </x:c>
    </x:row>
    <x:row r="18" ht="28" customHeight="1">
      <x:c r="A18" s="2" t="n">
        <x:v>11</x:v>
      </x:c>
      <x:c r="B18" s="2" t="n">
        <x:v>1</x:v>
      </x:c>
      <x:c r="C18" s="2" t="str">
        <x:v>양자리</x:v>
      </x:c>
      <x:c r="D18" s="2" t="str">
        <x:v>기사</x:v>
      </x:c>
      <x:c r="E18" s="2" t="n">
        <x:v>1</x:v>
      </x:c>
      <x:c r="F18" s="2" t="n">
        <x:v>3</x:v>
      </x:c>
      <x:c r="G18" s="14" t="n">
        <x:f>('레벨 계산식'!$E$4-E18)*'레벨 계산식'!$B$5</x:f>
        <x:v>0.5599999999999999</x:v>
      </x:c>
      <x:c r="H18" s="14" t="n">
        <x:f>('등급 계산식'!$E$4-F18)*'등급 계산식'!$B$5</x:f>
        <x:v>0.12000000000000002</x:v>
      </x:c>
      <x:c r="I18" s="14" t="n">
        <x:f>1-G18-H18</x:f>
        <x:v>0.32000000000000006</x:v>
      </x:c>
      <x:c r="J18" s="2" t="n">
        <x:f>MAX(1,ROUND('기준스탯 72종'!D8-R18-Z18,0))</x:f>
        <x:v>2</x:v>
      </x:c>
      <x:c r="K18" s="2" t="n">
        <x:f>MAX(1,ROUND('기준스탯 72종'!E8-S18-AA18,0))</x:f>
        <x:v>3</x:v>
      </x:c>
      <x:c r="L18" s="2" t="n">
        <x:f>MAX(1,ROUND('기준스탯 72종'!F8-T18-AB18,0))</x:f>
        <x:v>3</x:v>
      </x:c>
      <x:c r="M18" s="2" t="n">
        <x:f>MAX(1,ROUND('기준스탯 72종'!G8-U18-AC18,0))</x:f>
        <x:v>2</x:v>
      </x:c>
      <x:c r="N18" s="2" t="n">
        <x:f>MAX(0,ROUND('기준스탯 72종'!H8-V18-AD18,0))</x:f>
        <x:v>1</x:v>
      </x:c>
      <x:c r="O18" s="2" t="n">
        <x:f>MAX(0,ROUND('기준스탯 72종'!I8-W18-AE18,0))</x:f>
        <x:v>2</x:v>
      </x:c>
      <x:c r="P18" s="2" t="n">
        <x:f>MAX(0,ROUND('기준스탯 72종'!J8-X18-AF18,0))</x:f>
        <x:v>1</x:v>
      </x:c>
      <x:c r="Q18" s="2" t="n">
        <x:f>MAX(0,ROUND('기준스탯 72종'!K8-Y18-AG18,0))</x:f>
        <x:v>1</x:v>
      </x:c>
      <x:c r="R18" s="15" t="n">
        <x:f>'기준스탯 72종'!D8*G18</x:f>
        <x:v>3.9199999999999995</x:v>
      </x:c>
      <x:c r="S18" s="15" t="n">
        <x:f>'기준스탯 72종'!E8*G18</x:f>
        <x:v>5.039999999999999</x:v>
      </x:c>
      <x:c r="T18" s="15" t="n">
        <x:f>'기준스탯 72종'!F8*G18</x:f>
        <x:v>4.4799999999999995</x:v>
      </x:c>
      <x:c r="U18" s="15" t="n">
        <x:f>'기준스탯 72종'!G8*G18</x:f>
        <x:v>3.3599999999999994</x:v>
      </x:c>
      <x:c r="V18" s="15" t="n">
        <x:f>'기준스탯 72종'!H8*G18</x:f>
        <x:v>2.2399999999999998</x:v>
      </x:c>
      <x:c r="W18" s="15" t="n">
        <x:f>'기준스탯 72종'!I8*G18</x:f>
        <x:v>2.8</x:v>
      </x:c>
      <x:c r="X18" s="15" t="n">
        <x:f>'기준스탯 72종'!J8*G18</x:f>
        <x:v>1.6799999999999997</x:v>
      </x:c>
      <x:c r="Y18" s="15" t="n">
        <x:f>'기준스탯 72종'!K8*G18</x:f>
        <x:v>2.2399999999999998</x:v>
      </x:c>
      <x:c r="Z18" s="15" t="n">
        <x:f>'기준스탯 72종'!D8*H18</x:f>
        <x:v>0.8400000000000002</x:v>
      </x:c>
      <x:c r="AA18" s="15" t="n">
        <x:f>'기준스탯 72종'!E8*H18</x:f>
        <x:v>1.0800000000000003</x:v>
      </x:c>
      <x:c r="AB18" s="15" t="n">
        <x:f>'기준스탯 72종'!F8*H18</x:f>
        <x:v>0.9600000000000002</x:v>
      </x:c>
      <x:c r="AC18" s="15" t="n">
        <x:f>'기준스탯 72종'!G8*H18</x:f>
        <x:v>0.7200000000000002</x:v>
      </x:c>
      <x:c r="AD18" s="15" t="n">
        <x:f>'기준스탯 72종'!H8*H18</x:f>
        <x:v>0.4800000000000001</x:v>
      </x:c>
      <x:c r="AE18" s="15" t="n">
        <x:f>'기준스탯 72종'!I8*H18</x:f>
        <x:v>0.6000000000000001</x:v>
      </x:c>
      <x:c r="AF18" s="15" t="n">
        <x:f>'기준스탯 72종'!J8*H18</x:f>
        <x:v>0.3600000000000001</x:v>
      </x:c>
      <x:c r="AG18" s="15" t="n">
        <x:f>'기준스탯 72종'!K8*H18</x:f>
        <x:v>0.4800000000000001</x:v>
      </x:c>
    </x:row>
    <x:row r="19" ht="28" customHeight="1">
      <x:c r="A19" s="2" t="n">
        <x:v>12</x:v>
      </x:c>
      <x:c r="B19" s="2" t="n">
        <x:v>1</x:v>
      </x:c>
      <x:c r="C19" s="2" t="str">
        <x:v>양자리</x:v>
      </x:c>
      <x:c r="D19" s="2" t="str">
        <x:v>기사</x:v>
      </x:c>
      <x:c r="E19" s="2" t="n">
        <x:v>2</x:v>
      </x:c>
      <x:c r="F19" s="2" t="n">
        <x:v>3</x:v>
      </x:c>
      <x:c r="G19" s="14" t="n">
        <x:f>('레벨 계산식'!$E$4-E19)*'레벨 계산식'!$B$5</x:f>
        <x:v>0.41999999999999993</x:v>
      </x:c>
      <x:c r="H19" s="14" t="n">
        <x:f>('등급 계산식'!$E$4-F19)*'등급 계산식'!$B$5</x:f>
        <x:v>0.12000000000000002</x:v>
      </x:c>
      <x:c r="I19" s="14" t="n">
        <x:f>1-G19-H19</x:f>
        <x:v>0.4600000000000001</x:v>
      </x:c>
      <x:c r="J19" s="2" t="n">
        <x:f>MAX(1,ROUND('기준스탯 72종'!D8-R19-Z19,0))</x:f>
        <x:v>3</x:v>
      </x:c>
      <x:c r="K19" s="2" t="n">
        <x:f>MAX(1,ROUND('기준스탯 72종'!E8-S19-AA19,0))</x:f>
        <x:v>4</x:v>
      </x:c>
      <x:c r="L19" s="2" t="n">
        <x:f>MAX(1,ROUND('기준스탯 72종'!F8-T19-AB19,0))</x:f>
        <x:v>4</x:v>
      </x:c>
      <x:c r="M19" s="2" t="n">
        <x:f>MAX(1,ROUND('기준스탯 72종'!G8-U19-AC19,0))</x:f>
        <x:v>3</x:v>
      </x:c>
      <x:c r="N19" s="2" t="n">
        <x:f>MAX(0,ROUND('기준스탯 72종'!H8-V19-AD19,0))</x:f>
        <x:v>2</x:v>
      </x:c>
      <x:c r="O19" s="2" t="n">
        <x:f>MAX(0,ROUND('기준스탯 72종'!I8-W19-AE19,0))</x:f>
        <x:v>2</x:v>
      </x:c>
      <x:c r="P19" s="2" t="n">
        <x:f>MAX(0,ROUND('기준스탯 72종'!J8-X19-AF19,0))</x:f>
        <x:v>1</x:v>
      </x:c>
      <x:c r="Q19" s="2" t="n">
        <x:f>MAX(0,ROUND('기준스탯 72종'!K8-Y19-AG19,0))</x:f>
        <x:v>2</x:v>
      </x:c>
      <x:c r="R19" s="15" t="n">
        <x:f>'기준스탯 72종'!D8*G19</x:f>
        <x:v>2.9399999999999995</x:v>
      </x:c>
      <x:c r="S19" s="15" t="n">
        <x:f>'기준스탯 72종'!E8*G19</x:f>
        <x:v>3.7799999999999994</x:v>
      </x:c>
      <x:c r="T19" s="15" t="n">
        <x:f>'기준스탯 72종'!F8*G19</x:f>
        <x:v>3.3599999999999994</x:v>
      </x:c>
      <x:c r="U19" s="15" t="n">
        <x:f>'기준스탯 72종'!G8*G19</x:f>
        <x:v>2.5199999999999996</x:v>
      </x:c>
      <x:c r="V19" s="15" t="n">
        <x:f>'기준스탯 72종'!H8*G19</x:f>
        <x:v>1.6799999999999997</x:v>
      </x:c>
      <x:c r="W19" s="15" t="n">
        <x:f>'기준스탯 72종'!I8*G19</x:f>
        <x:v>2.0999999999999996</x:v>
      </x:c>
      <x:c r="X19" s="15" t="n">
        <x:f>'기준스탯 72종'!J8*G19</x:f>
        <x:v>1.2599999999999998</x:v>
      </x:c>
      <x:c r="Y19" s="15" t="n">
        <x:f>'기준스탯 72종'!K8*G19</x:f>
        <x:v>1.6799999999999997</x:v>
      </x:c>
      <x:c r="Z19" s="15" t="n">
        <x:f>'기준스탯 72종'!D8*H19</x:f>
        <x:v>0.8400000000000002</x:v>
      </x:c>
      <x:c r="AA19" s="15" t="n">
        <x:f>'기준스탯 72종'!E8*H19</x:f>
        <x:v>1.0800000000000003</x:v>
      </x:c>
      <x:c r="AB19" s="15" t="n">
        <x:f>'기준스탯 72종'!F8*H19</x:f>
        <x:v>0.9600000000000002</x:v>
      </x:c>
      <x:c r="AC19" s="15" t="n">
        <x:f>'기준스탯 72종'!G8*H19</x:f>
        <x:v>0.7200000000000002</x:v>
      </x:c>
      <x:c r="AD19" s="15" t="n">
        <x:f>'기준스탯 72종'!H8*H19</x:f>
        <x:v>0.4800000000000001</x:v>
      </x:c>
      <x:c r="AE19" s="15" t="n">
        <x:f>'기준스탯 72종'!I8*H19</x:f>
        <x:v>0.6000000000000001</x:v>
      </x:c>
      <x:c r="AF19" s="15" t="n">
        <x:f>'기준스탯 72종'!J8*H19</x:f>
        <x:v>0.3600000000000001</x:v>
      </x:c>
      <x:c r="AG19" s="15" t="n">
        <x:f>'기준스탯 72종'!K8*H19</x:f>
        <x:v>0.4800000000000001</x:v>
      </x:c>
    </x:row>
    <x:row r="20" ht="28" customHeight="1">
      <x:c r="A20" s="2" t="n">
        <x:v>13</x:v>
      </x:c>
      <x:c r="B20" s="2" t="n">
        <x:v>1</x:v>
      </x:c>
      <x:c r="C20" s="2" t="str">
        <x:v>양자리</x:v>
      </x:c>
      <x:c r="D20" s="2" t="str">
        <x:v>기사</x:v>
      </x:c>
      <x:c r="E20" s="2" t="n">
        <x:v>3</x:v>
      </x:c>
      <x:c r="F20" s="2" t="n">
        <x:v>3</x:v>
      </x:c>
      <x:c r="G20" s="14" t="n">
        <x:f>('레벨 계산식'!$E$4-E20)*'레벨 계산식'!$B$5</x:f>
        <x:v>0.27999999999999997</x:v>
      </x:c>
      <x:c r="H20" s="14" t="n">
        <x:f>('등급 계산식'!$E$4-F20)*'등급 계산식'!$B$5</x:f>
        <x:v>0.12000000000000002</x:v>
      </x:c>
      <x:c r="I20" s="14" t="n">
        <x:f>1-G20-H20</x:f>
        <x:v>0.6</x:v>
      </x:c>
      <x:c r="J20" s="2" t="n">
        <x:f>MAX(1,ROUND('기준스탯 72종'!D8-R20-Z20,0))</x:f>
        <x:v>4</x:v>
      </x:c>
      <x:c r="K20" s="2" t="n">
        <x:f>MAX(1,ROUND('기준스탯 72종'!E8-S20-AA20,0))</x:f>
        <x:v>5</x:v>
      </x:c>
      <x:c r="L20" s="2" t="n">
        <x:f>MAX(1,ROUND('기준스탯 72종'!F8-T20-AB20,0))</x:f>
        <x:v>5</x:v>
      </x:c>
      <x:c r="M20" s="2" t="n">
        <x:f>MAX(1,ROUND('기준스탯 72종'!G8-U20-AC20,0))</x:f>
        <x:v>4</x:v>
      </x:c>
      <x:c r="N20" s="2" t="n">
        <x:f>MAX(0,ROUND('기준스탯 72종'!H8-V20-AD20,0))</x:f>
        <x:v>2</x:v>
      </x:c>
      <x:c r="O20" s="2" t="n">
        <x:f>MAX(0,ROUND('기준스탯 72종'!I8-W20-AE20,0))</x:f>
        <x:v>3</x:v>
      </x:c>
      <x:c r="P20" s="2" t="n">
        <x:f>MAX(0,ROUND('기준스탯 72종'!J8-X20-AF20,0))</x:f>
        <x:v>2</x:v>
      </x:c>
      <x:c r="Q20" s="2" t="n">
        <x:f>MAX(0,ROUND('기준스탯 72종'!K8-Y20-AG20,0))</x:f>
        <x:v>2</x:v>
      </x:c>
      <x:c r="R20" s="15" t="n">
        <x:f>'기준스탯 72종'!D8*G20</x:f>
        <x:v>1.9599999999999997</x:v>
      </x:c>
      <x:c r="S20" s="15" t="n">
        <x:f>'기준스탯 72종'!E8*G20</x:f>
        <x:v>2.5199999999999996</x:v>
      </x:c>
      <x:c r="T20" s="15" t="n">
        <x:f>'기준스탯 72종'!F8*G20</x:f>
        <x:v>2.2399999999999998</x:v>
      </x:c>
      <x:c r="U20" s="15" t="n">
        <x:f>'기준스탯 72종'!G8*G20</x:f>
        <x:v>1.6799999999999997</x:v>
      </x:c>
      <x:c r="V20" s="15" t="n">
        <x:f>'기준스탯 72종'!H8*G20</x:f>
        <x:v>1.1199999999999999</x:v>
      </x:c>
      <x:c r="W20" s="15" t="n">
        <x:f>'기준스탯 72종'!I8*G20</x:f>
        <x:v>1.4</x:v>
      </x:c>
      <x:c r="X20" s="15" t="n">
        <x:f>'기준스탯 72종'!J8*G20</x:f>
        <x:v>0.8399999999999999</x:v>
      </x:c>
      <x:c r="Y20" s="15" t="n">
        <x:f>'기준스탯 72종'!K8*G20</x:f>
        <x:v>1.1199999999999999</x:v>
      </x:c>
      <x:c r="Z20" s="15" t="n">
        <x:f>'기준스탯 72종'!D8*H20</x:f>
        <x:v>0.8400000000000002</x:v>
      </x:c>
      <x:c r="AA20" s="15" t="n">
        <x:f>'기준스탯 72종'!E8*H20</x:f>
        <x:v>1.0800000000000003</x:v>
      </x:c>
      <x:c r="AB20" s="15" t="n">
        <x:f>'기준스탯 72종'!F8*H20</x:f>
        <x:v>0.9600000000000002</x:v>
      </x:c>
      <x:c r="AC20" s="15" t="n">
        <x:f>'기준스탯 72종'!G8*H20</x:f>
        <x:v>0.7200000000000002</x:v>
      </x:c>
      <x:c r="AD20" s="15" t="n">
        <x:f>'기준스탯 72종'!H8*H20</x:f>
        <x:v>0.4800000000000001</x:v>
      </x:c>
      <x:c r="AE20" s="15" t="n">
        <x:f>'기준스탯 72종'!I8*H20</x:f>
        <x:v>0.6000000000000001</x:v>
      </x:c>
      <x:c r="AF20" s="15" t="n">
        <x:f>'기준스탯 72종'!J8*H20</x:f>
        <x:v>0.3600000000000001</x:v>
      </x:c>
      <x:c r="AG20" s="15" t="n">
        <x:f>'기준스탯 72종'!K8*H20</x:f>
        <x:v>0.4800000000000001</x:v>
      </x:c>
    </x:row>
    <x:row r="21" ht="28" customHeight="1">
      <x:c r="A21" s="2" t="n">
        <x:v>14</x:v>
      </x:c>
      <x:c r="B21" s="2" t="n">
        <x:v>1</x:v>
      </x:c>
      <x:c r="C21" s="2" t="str">
        <x:v>양자리</x:v>
      </x:c>
      <x:c r="D21" s="2" t="str">
        <x:v>기사</x:v>
      </x:c>
      <x:c r="E21" s="2" t="n">
        <x:v>4</x:v>
      </x:c>
      <x:c r="F21" s="2" t="n">
        <x:v>3</x:v>
      </x:c>
      <x:c r="G21" s="14" t="n">
        <x:f>('레벨 계산식'!$E$4-E21)*'레벨 계산식'!$B$5</x:f>
        <x:v>0.13999999999999999</x:v>
      </x:c>
      <x:c r="H21" s="14" t="n">
        <x:f>('등급 계산식'!$E$4-F21)*'등급 계산식'!$B$5</x:f>
        <x:v>0.12000000000000002</x:v>
      </x:c>
      <x:c r="I21" s="14" t="n">
        <x:f>1-G21-H21</x:f>
        <x:v>0.74</x:v>
      </x:c>
      <x:c r="J21" s="2" t="n">
        <x:f>MAX(1,ROUND('기준스탯 72종'!D8-R21-Z21,0))</x:f>
        <x:v>5</x:v>
      </x:c>
      <x:c r="K21" s="2" t="n">
        <x:f>MAX(1,ROUND('기준스탯 72종'!E8-S21-AA21,0))</x:f>
        <x:v>7</x:v>
      </x:c>
      <x:c r="L21" s="2" t="n">
        <x:f>MAX(1,ROUND('기준스탯 72종'!F8-T21-AB21,0))</x:f>
        <x:v>6</x:v>
      </x:c>
      <x:c r="M21" s="2" t="n">
        <x:f>MAX(1,ROUND('기준스탯 72종'!G8-U21-AC21,0))</x:f>
        <x:v>4</x:v>
      </x:c>
      <x:c r="N21" s="2" t="n">
        <x:f>MAX(0,ROUND('기준스탯 72종'!H8-V21-AD21,0))</x:f>
        <x:v>3</x:v>
      </x:c>
      <x:c r="O21" s="2" t="n">
        <x:f>MAX(0,ROUND('기준스탯 72종'!I8-W21-AE21,0))</x:f>
        <x:v>4</x:v>
      </x:c>
      <x:c r="P21" s="2" t="n">
        <x:f>MAX(0,ROUND('기준스탯 72종'!J8-X21-AF21,0))</x:f>
        <x:v>2</x:v>
      </x:c>
      <x:c r="Q21" s="2" t="n">
        <x:f>MAX(0,ROUND('기준스탯 72종'!K8-Y21-AG21,0))</x:f>
        <x:v>3</x:v>
      </x:c>
      <x:c r="R21" s="15" t="n">
        <x:f>'기준스탯 72종'!D8*G21</x:f>
        <x:v>0.9799999999999999</x:v>
      </x:c>
      <x:c r="S21" s="15" t="n">
        <x:f>'기준스탯 72종'!E8*G21</x:f>
        <x:v>1.2599999999999998</x:v>
      </x:c>
      <x:c r="T21" s="15" t="n">
        <x:f>'기준스탯 72종'!F8*G21</x:f>
        <x:v>1.1199999999999999</x:v>
      </x:c>
      <x:c r="U21" s="15" t="n">
        <x:f>'기준스탯 72종'!G8*G21</x:f>
        <x:v>0.8399999999999999</x:v>
      </x:c>
      <x:c r="V21" s="15" t="n">
        <x:f>'기준스탯 72종'!H8*G21</x:f>
        <x:v>0.5599999999999999</x:v>
      </x:c>
      <x:c r="W21" s="15" t="n">
        <x:f>'기준스탯 72종'!I8*G21</x:f>
        <x:v>0.7</x:v>
      </x:c>
      <x:c r="X21" s="15" t="n">
        <x:f>'기준스탯 72종'!J8*G21</x:f>
        <x:v>0.41999999999999993</x:v>
      </x:c>
      <x:c r="Y21" s="15" t="n">
        <x:f>'기준스탯 72종'!K8*G21</x:f>
        <x:v>0.5599999999999999</x:v>
      </x:c>
      <x:c r="Z21" s="15" t="n">
        <x:f>'기준스탯 72종'!D8*H21</x:f>
        <x:v>0.8400000000000002</x:v>
      </x:c>
      <x:c r="AA21" s="15" t="n">
        <x:f>'기준스탯 72종'!E8*H21</x:f>
        <x:v>1.0800000000000003</x:v>
      </x:c>
      <x:c r="AB21" s="15" t="n">
        <x:f>'기준스탯 72종'!F8*H21</x:f>
        <x:v>0.9600000000000002</x:v>
      </x:c>
      <x:c r="AC21" s="15" t="n">
        <x:f>'기준스탯 72종'!G8*H21</x:f>
        <x:v>0.7200000000000002</x:v>
      </x:c>
      <x:c r="AD21" s="15" t="n">
        <x:f>'기준스탯 72종'!H8*H21</x:f>
        <x:v>0.4800000000000001</x:v>
      </x:c>
      <x:c r="AE21" s="15" t="n">
        <x:f>'기준스탯 72종'!I8*H21</x:f>
        <x:v>0.6000000000000001</x:v>
      </x:c>
      <x:c r="AF21" s="15" t="n">
        <x:f>'기준스탯 72종'!J8*H21</x:f>
        <x:v>0.3600000000000001</x:v>
      </x:c>
      <x:c r="AG21" s="15" t="n">
        <x:f>'기준스탯 72종'!K8*H21</x:f>
        <x:v>0.4800000000000001</x:v>
      </x:c>
    </x:row>
    <x:row r="22" ht="28" customHeight="1">
      <x:c r="A22" s="2" t="n">
        <x:v>15</x:v>
      </x:c>
      <x:c r="B22" s="2" t="n">
        <x:v>1</x:v>
      </x:c>
      <x:c r="C22" s="2" t="str">
        <x:v>양자리</x:v>
      </x:c>
      <x:c r="D22" s="2" t="str">
        <x:v>기사</x:v>
      </x:c>
      <x:c r="E22" s="2" t="n">
        <x:v>5</x:v>
      </x:c>
      <x:c r="F22" s="2" t="n">
        <x:v>3</x:v>
      </x:c>
      <x:c r="G22" s="14" t="n">
        <x:f>('레벨 계산식'!$E$4-E22)*'레벨 계산식'!$B$5</x:f>
        <x:v>0</x:v>
      </x:c>
      <x:c r="H22" s="14" t="n">
        <x:f>('등급 계산식'!$E$4-F22)*'등급 계산식'!$B$5</x:f>
        <x:v>0.12000000000000002</x:v>
      </x:c>
      <x:c r="I22" s="14" t="n">
        <x:f>1-G22-H22</x:f>
        <x:v>0.88</x:v>
      </x:c>
      <x:c r="J22" s="2" t="n">
        <x:f>MAX(1,ROUND('기준스탯 72종'!D8-R22-Z22,0))</x:f>
        <x:v>6</x:v>
      </x:c>
      <x:c r="K22" s="2" t="n">
        <x:f>MAX(1,ROUND('기준스탯 72종'!E8-S22-AA22,0))</x:f>
        <x:v>8</x:v>
      </x:c>
      <x:c r="L22" s="2" t="n">
        <x:f>MAX(1,ROUND('기준스탯 72종'!F8-T22-AB22,0))</x:f>
        <x:v>7</x:v>
      </x:c>
      <x:c r="M22" s="2" t="n">
        <x:f>MAX(1,ROUND('기준스탯 72종'!G8-U22-AC22,0))</x:f>
        <x:v>5</x:v>
      </x:c>
      <x:c r="N22" s="2" t="n">
        <x:f>MAX(0,ROUND('기준스탯 72종'!H8-V22-AD22,0))</x:f>
        <x:v>4</x:v>
      </x:c>
      <x:c r="O22" s="2" t="n">
        <x:f>MAX(0,ROUND('기준스탯 72종'!I8-W22-AE22,0))</x:f>
        <x:v>4</x:v>
      </x:c>
      <x:c r="P22" s="2" t="n">
        <x:f>MAX(0,ROUND('기준스탯 72종'!J8-X22-AF22,0))</x:f>
        <x:v>3</x:v>
      </x:c>
      <x:c r="Q22" s="2" t="n">
        <x:f>MAX(0,ROUND('기준스탯 72종'!K8-Y22-AG22,0))</x:f>
        <x:v>4</x:v>
      </x:c>
      <x:c r="R22" s="15" t="n">
        <x:f>'기준스탯 72종'!D8*G22</x:f>
        <x:v>0</x:v>
      </x:c>
      <x:c r="S22" s="15" t="n">
        <x:f>'기준스탯 72종'!E8*G22</x:f>
        <x:v>0</x:v>
      </x:c>
      <x:c r="T22" s="15" t="n">
        <x:f>'기준스탯 72종'!F8*G22</x:f>
        <x:v>0</x:v>
      </x:c>
      <x:c r="U22" s="15" t="n">
        <x:f>'기준스탯 72종'!G8*G22</x:f>
        <x:v>0</x:v>
      </x:c>
      <x:c r="V22" s="15" t="n">
        <x:f>'기준스탯 72종'!H8*G22</x:f>
        <x:v>0</x:v>
      </x:c>
      <x:c r="W22" s="15" t="n">
        <x:f>'기준스탯 72종'!I8*G22</x:f>
        <x:v>0</x:v>
      </x:c>
      <x:c r="X22" s="15" t="n">
        <x:f>'기준스탯 72종'!J8*G22</x:f>
        <x:v>0</x:v>
      </x:c>
      <x:c r="Y22" s="15" t="n">
        <x:f>'기준스탯 72종'!K8*G22</x:f>
        <x:v>0</x:v>
      </x:c>
      <x:c r="Z22" s="15" t="n">
        <x:f>'기준스탯 72종'!D8*H22</x:f>
        <x:v>0.8400000000000002</x:v>
      </x:c>
      <x:c r="AA22" s="15" t="n">
        <x:f>'기준스탯 72종'!E8*H22</x:f>
        <x:v>1.0800000000000003</x:v>
      </x:c>
      <x:c r="AB22" s="15" t="n">
        <x:f>'기준스탯 72종'!F8*H22</x:f>
        <x:v>0.9600000000000002</x:v>
      </x:c>
      <x:c r="AC22" s="15" t="n">
        <x:f>'기준스탯 72종'!G8*H22</x:f>
        <x:v>0.7200000000000002</x:v>
      </x:c>
      <x:c r="AD22" s="15" t="n">
        <x:f>'기준스탯 72종'!H8*H22</x:f>
        <x:v>0.4800000000000001</x:v>
      </x:c>
      <x:c r="AE22" s="15" t="n">
        <x:f>'기준스탯 72종'!I8*H22</x:f>
        <x:v>0.6000000000000001</x:v>
      </x:c>
      <x:c r="AF22" s="15" t="n">
        <x:f>'기준스탯 72종'!J8*H22</x:f>
        <x:v>0.3600000000000001</x:v>
      </x:c>
      <x:c r="AG22" s="15" t="n">
        <x:f>'기준스탯 72종'!K8*H22</x:f>
        <x:v>0.4800000000000001</x:v>
      </x:c>
    </x:row>
    <x:row r="23" ht="28" customHeight="1">
      <x:c r="A23" s="2" t="n">
        <x:v>16</x:v>
      </x:c>
      <x:c r="B23" s="2" t="n">
        <x:v>1</x:v>
      </x:c>
      <x:c r="C23" s="2" t="str">
        <x:v>양자리</x:v>
      </x:c>
      <x:c r="D23" s="2" t="str">
        <x:v>기사</x:v>
      </x:c>
      <x:c r="E23" s="2" t="n">
        <x:v>1</x:v>
      </x:c>
      <x:c r="F23" s="2" t="n">
        <x:v>4</x:v>
      </x:c>
      <x:c r="G23" s="14" t="n">
        <x:f>('레벨 계산식'!$E$4-E23)*'레벨 계산식'!$B$5</x:f>
        <x:v>0.5599999999999999</x:v>
      </x:c>
      <x:c r="H23" s="14" t="n">
        <x:f>('등급 계산식'!$E$4-F23)*'등급 계산식'!$B$5</x:f>
        <x:v>0.06000000000000001</x:v>
      </x:c>
      <x:c r="I23" s="14" t="n">
        <x:f>1-G23-H23</x:f>
        <x:v>0.38000000000000006</x:v>
      </x:c>
      <x:c r="J23" s="2" t="n">
        <x:f>MAX(1,ROUND('기준스탯 72종'!D8-R23-Z23,0))</x:f>
        <x:v>3</x:v>
      </x:c>
      <x:c r="K23" s="2" t="n">
        <x:f>MAX(1,ROUND('기준스탯 72종'!E8-S23-AA23,0))</x:f>
        <x:v>3</x:v>
      </x:c>
      <x:c r="L23" s="2" t="n">
        <x:f>MAX(1,ROUND('기준스탯 72종'!F8-T23-AB23,0))</x:f>
        <x:v>3</x:v>
      </x:c>
      <x:c r="M23" s="2" t="n">
        <x:f>MAX(1,ROUND('기준스탯 72종'!G8-U23-AC23,0))</x:f>
        <x:v>2</x:v>
      </x:c>
      <x:c r="N23" s="2" t="n">
        <x:f>MAX(0,ROUND('기준스탯 72종'!H8-V23-AD23,0))</x:f>
        <x:v>2</x:v>
      </x:c>
      <x:c r="O23" s="2" t="n">
        <x:f>MAX(0,ROUND('기준스탯 72종'!I8-W23-AE23,0))</x:f>
        <x:v>2</x:v>
      </x:c>
      <x:c r="P23" s="2" t="n">
        <x:f>MAX(0,ROUND('기준스탯 72종'!J8-X23-AF23,0))</x:f>
        <x:v>1</x:v>
      </x:c>
      <x:c r="Q23" s="2" t="n">
        <x:f>MAX(0,ROUND('기준스탯 72종'!K8-Y23-AG23,0))</x:f>
        <x:v>2</x:v>
      </x:c>
      <x:c r="R23" s="15" t="n">
        <x:f>'기준스탯 72종'!D8*G23</x:f>
        <x:v>3.9199999999999995</x:v>
      </x:c>
      <x:c r="S23" s="15" t="n">
        <x:f>'기준스탯 72종'!E8*G23</x:f>
        <x:v>5.039999999999999</x:v>
      </x:c>
      <x:c r="T23" s="15" t="n">
        <x:f>'기준스탯 72종'!F8*G23</x:f>
        <x:v>4.4799999999999995</x:v>
      </x:c>
      <x:c r="U23" s="15" t="n">
        <x:f>'기준스탯 72종'!G8*G23</x:f>
        <x:v>3.3599999999999994</x:v>
      </x:c>
      <x:c r="V23" s="15" t="n">
        <x:f>'기준스탯 72종'!H8*G23</x:f>
        <x:v>2.2399999999999998</x:v>
      </x:c>
      <x:c r="W23" s="15" t="n">
        <x:f>'기준스탯 72종'!I8*G23</x:f>
        <x:v>2.8</x:v>
      </x:c>
      <x:c r="X23" s="15" t="n">
        <x:f>'기준스탯 72종'!J8*G23</x:f>
        <x:v>1.6799999999999997</x:v>
      </x:c>
      <x:c r="Y23" s="15" t="n">
        <x:f>'기준스탯 72종'!K8*G23</x:f>
        <x:v>2.2399999999999998</x:v>
      </x:c>
      <x:c r="Z23" s="15" t="n">
        <x:f>'기준스탯 72종'!D8*H23</x:f>
        <x:v>0.4200000000000001</x:v>
      </x:c>
      <x:c r="AA23" s="15" t="n">
        <x:f>'기준스탯 72종'!E8*H23</x:f>
        <x:v>0.5400000000000001</x:v>
      </x:c>
      <x:c r="AB23" s="15" t="n">
        <x:f>'기준스탯 72종'!F8*H23</x:f>
        <x:v>0.4800000000000001</x:v>
      </x:c>
      <x:c r="AC23" s="15" t="n">
        <x:f>'기준스탯 72종'!G8*H23</x:f>
        <x:v>0.3600000000000001</x:v>
      </x:c>
      <x:c r="AD23" s="15" t="n">
        <x:f>'기준스탯 72종'!H8*H23</x:f>
        <x:v>0.24000000000000005</x:v>
      </x:c>
      <x:c r="AE23" s="15" t="n">
        <x:f>'기준스탯 72종'!I8*H23</x:f>
        <x:v>0.30000000000000004</x:v>
      </x:c>
      <x:c r="AF23" s="15" t="n">
        <x:f>'기준스탯 72종'!J8*H23</x:f>
        <x:v>0.18000000000000005</x:v>
      </x:c>
      <x:c r="AG23" s="15" t="n">
        <x:f>'기준스탯 72종'!K8*H23</x:f>
        <x:v>0.24000000000000005</x:v>
      </x:c>
    </x:row>
    <x:row r="24" ht="28" customHeight="1">
      <x:c r="A24" s="2" t="n">
        <x:v>17</x:v>
      </x:c>
      <x:c r="B24" s="2" t="n">
        <x:v>1</x:v>
      </x:c>
      <x:c r="C24" s="2" t="str">
        <x:v>양자리</x:v>
      </x:c>
      <x:c r="D24" s="2" t="str">
        <x:v>기사</x:v>
      </x:c>
      <x:c r="E24" s="2" t="n">
        <x:v>2</x:v>
      </x:c>
      <x:c r="F24" s="2" t="n">
        <x:v>4</x:v>
      </x:c>
      <x:c r="G24" s="14" t="n">
        <x:f>('레벨 계산식'!$E$4-E24)*'레벨 계산식'!$B$5</x:f>
        <x:v>0.41999999999999993</x:v>
      </x:c>
      <x:c r="H24" s="14" t="n">
        <x:f>('등급 계산식'!$E$4-F24)*'등급 계산식'!$B$5</x:f>
        <x:v>0.06000000000000001</x:v>
      </x:c>
      <x:c r="I24" s="14" t="n">
        <x:f>1-G24-H24</x:f>
        <x:v>0.52</x:v>
      </x:c>
      <x:c r="J24" s="2" t="n">
        <x:f>MAX(1,ROUND('기준스탯 72종'!D8-R24-Z24,0))</x:f>
        <x:v>4</x:v>
      </x:c>
      <x:c r="K24" s="2" t="n">
        <x:f>MAX(1,ROUND('기준스탯 72종'!E8-S24-AA24,0))</x:f>
        <x:v>5</x:v>
      </x:c>
      <x:c r="L24" s="2" t="n">
        <x:f>MAX(1,ROUND('기준스탯 72종'!F8-T24-AB24,0))</x:f>
        <x:v>4</x:v>
      </x:c>
      <x:c r="M24" s="2" t="n">
        <x:f>MAX(1,ROUND('기준스탯 72종'!G8-U24-AC24,0))</x:f>
        <x:v>3</x:v>
      </x:c>
      <x:c r="N24" s="2" t="n">
        <x:f>MAX(0,ROUND('기준스탯 72종'!H8-V24-AD24,0))</x:f>
        <x:v>2</x:v>
      </x:c>
      <x:c r="O24" s="2" t="n">
        <x:f>MAX(0,ROUND('기준스탯 72종'!I8-W24-AE24,0))</x:f>
        <x:v>3</x:v>
      </x:c>
      <x:c r="P24" s="2" t="n">
        <x:f>MAX(0,ROUND('기준스탯 72종'!J8-X24-AF24,0))</x:f>
        <x:v>2</x:v>
      </x:c>
      <x:c r="Q24" s="2" t="n">
        <x:f>MAX(0,ROUND('기준스탯 72종'!K8-Y24-AG24,0))</x:f>
        <x:v>2</x:v>
      </x:c>
      <x:c r="R24" s="15" t="n">
        <x:f>'기준스탯 72종'!D8*G24</x:f>
        <x:v>2.9399999999999995</x:v>
      </x:c>
      <x:c r="S24" s="15" t="n">
        <x:f>'기준스탯 72종'!E8*G24</x:f>
        <x:v>3.7799999999999994</x:v>
      </x:c>
      <x:c r="T24" s="15" t="n">
        <x:f>'기준스탯 72종'!F8*G24</x:f>
        <x:v>3.3599999999999994</x:v>
      </x:c>
      <x:c r="U24" s="15" t="n">
        <x:f>'기준스탯 72종'!G8*G24</x:f>
        <x:v>2.5199999999999996</x:v>
      </x:c>
      <x:c r="V24" s="15" t="n">
        <x:f>'기준스탯 72종'!H8*G24</x:f>
        <x:v>1.6799999999999997</x:v>
      </x:c>
      <x:c r="W24" s="15" t="n">
        <x:f>'기준스탯 72종'!I8*G24</x:f>
        <x:v>2.0999999999999996</x:v>
      </x:c>
      <x:c r="X24" s="15" t="n">
        <x:f>'기준스탯 72종'!J8*G24</x:f>
        <x:v>1.2599999999999998</x:v>
      </x:c>
      <x:c r="Y24" s="15" t="n">
        <x:f>'기준스탯 72종'!K8*G24</x:f>
        <x:v>1.6799999999999997</x:v>
      </x:c>
      <x:c r="Z24" s="15" t="n">
        <x:f>'기준스탯 72종'!D8*H24</x:f>
        <x:v>0.4200000000000001</x:v>
      </x:c>
      <x:c r="AA24" s="15" t="n">
        <x:f>'기준스탯 72종'!E8*H24</x:f>
        <x:v>0.5400000000000001</x:v>
      </x:c>
      <x:c r="AB24" s="15" t="n">
        <x:f>'기준스탯 72종'!F8*H24</x:f>
        <x:v>0.4800000000000001</x:v>
      </x:c>
      <x:c r="AC24" s="15" t="n">
        <x:f>'기준스탯 72종'!G8*H24</x:f>
        <x:v>0.3600000000000001</x:v>
      </x:c>
      <x:c r="AD24" s="15" t="n">
        <x:f>'기준스탯 72종'!H8*H24</x:f>
        <x:v>0.24000000000000005</x:v>
      </x:c>
      <x:c r="AE24" s="15" t="n">
        <x:f>'기준스탯 72종'!I8*H24</x:f>
        <x:v>0.30000000000000004</x:v>
      </x:c>
      <x:c r="AF24" s="15" t="n">
        <x:f>'기준스탯 72종'!J8*H24</x:f>
        <x:v>0.18000000000000005</x:v>
      </x:c>
      <x:c r="AG24" s="15" t="n">
        <x:f>'기준스탯 72종'!K8*H24</x:f>
        <x:v>0.24000000000000005</x:v>
      </x:c>
    </x:row>
    <x:row r="25" ht="28" customHeight="1">
      <x:c r="A25" s="2" t="n">
        <x:v>18</x:v>
      </x:c>
      <x:c r="B25" s="2" t="n">
        <x:v>1</x:v>
      </x:c>
      <x:c r="C25" s="2" t="str">
        <x:v>양자리</x:v>
      </x:c>
      <x:c r="D25" s="2" t="str">
        <x:v>기사</x:v>
      </x:c>
      <x:c r="E25" s="2" t="n">
        <x:v>3</x:v>
      </x:c>
      <x:c r="F25" s="2" t="n">
        <x:v>4</x:v>
      </x:c>
      <x:c r="G25" s="14" t="n">
        <x:f>('레벨 계산식'!$E$4-E25)*'레벨 계산식'!$B$5</x:f>
        <x:v>0.27999999999999997</x:v>
      </x:c>
      <x:c r="H25" s="14" t="n">
        <x:f>('등급 계산식'!$E$4-F25)*'등급 계산식'!$B$5</x:f>
        <x:v>0.06000000000000001</x:v>
      </x:c>
      <x:c r="I25" s="14" t="n">
        <x:f>1-G25-H25</x:f>
        <x:v>0.6599999999999999</x:v>
      </x:c>
      <x:c r="J25" s="2" t="n">
        <x:f>MAX(1,ROUND('기준스탯 72종'!D8-R25-Z25,0))</x:f>
        <x:v>5</x:v>
      </x:c>
      <x:c r="K25" s="2" t="n">
        <x:f>MAX(1,ROUND('기준스탯 72종'!E8-S25-AA25,0))</x:f>
        <x:v>6</x:v>
      </x:c>
      <x:c r="L25" s="2" t="n">
        <x:f>MAX(1,ROUND('기준스탯 72종'!F8-T25-AB25,0))</x:f>
        <x:v>5</x:v>
      </x:c>
      <x:c r="M25" s="2" t="n">
        <x:f>MAX(1,ROUND('기준스탯 72종'!G8-U25-AC25,0))</x:f>
        <x:v>4</x:v>
      </x:c>
      <x:c r="N25" s="2" t="n">
        <x:f>MAX(0,ROUND('기준스탯 72종'!H8-V25-AD25,0))</x:f>
        <x:v>3</x:v>
      </x:c>
      <x:c r="O25" s="2" t="n">
        <x:f>MAX(0,ROUND('기준스탯 72종'!I8-W25-AE25,0))</x:f>
        <x:v>3</x:v>
      </x:c>
      <x:c r="P25" s="2" t="n">
        <x:f>MAX(0,ROUND('기준스탯 72종'!J8-X25-AF25,0))</x:f>
        <x:v>2</x:v>
      </x:c>
      <x:c r="Q25" s="2" t="n">
        <x:f>MAX(0,ROUND('기준스탯 72종'!K8-Y25-AG25,0))</x:f>
        <x:v>3</x:v>
      </x:c>
      <x:c r="R25" s="15" t="n">
        <x:f>'기준스탯 72종'!D8*G25</x:f>
        <x:v>1.9599999999999997</x:v>
      </x:c>
      <x:c r="S25" s="15" t="n">
        <x:f>'기준스탯 72종'!E8*G25</x:f>
        <x:v>2.5199999999999996</x:v>
      </x:c>
      <x:c r="T25" s="15" t="n">
        <x:f>'기준스탯 72종'!F8*G25</x:f>
        <x:v>2.2399999999999998</x:v>
      </x:c>
      <x:c r="U25" s="15" t="n">
        <x:f>'기준스탯 72종'!G8*G25</x:f>
        <x:v>1.6799999999999997</x:v>
      </x:c>
      <x:c r="V25" s="15" t="n">
        <x:f>'기준스탯 72종'!H8*G25</x:f>
        <x:v>1.1199999999999999</x:v>
      </x:c>
      <x:c r="W25" s="15" t="n">
        <x:f>'기준스탯 72종'!I8*G25</x:f>
        <x:v>1.4</x:v>
      </x:c>
      <x:c r="X25" s="15" t="n">
        <x:f>'기준스탯 72종'!J8*G25</x:f>
        <x:v>0.8399999999999999</x:v>
      </x:c>
      <x:c r="Y25" s="15" t="n">
        <x:f>'기준스탯 72종'!K8*G25</x:f>
        <x:v>1.1199999999999999</x:v>
      </x:c>
      <x:c r="Z25" s="15" t="n">
        <x:f>'기준스탯 72종'!D8*H25</x:f>
        <x:v>0.4200000000000001</x:v>
      </x:c>
      <x:c r="AA25" s="15" t="n">
        <x:f>'기준스탯 72종'!E8*H25</x:f>
        <x:v>0.5400000000000001</x:v>
      </x:c>
      <x:c r="AB25" s="15" t="n">
        <x:f>'기준스탯 72종'!F8*H25</x:f>
        <x:v>0.4800000000000001</x:v>
      </x:c>
      <x:c r="AC25" s="15" t="n">
        <x:f>'기준스탯 72종'!G8*H25</x:f>
        <x:v>0.3600000000000001</x:v>
      </x:c>
      <x:c r="AD25" s="15" t="n">
        <x:f>'기준스탯 72종'!H8*H25</x:f>
        <x:v>0.24000000000000005</x:v>
      </x:c>
      <x:c r="AE25" s="15" t="n">
        <x:f>'기준스탯 72종'!I8*H25</x:f>
        <x:v>0.30000000000000004</x:v>
      </x:c>
      <x:c r="AF25" s="15" t="n">
        <x:f>'기준스탯 72종'!J8*H25</x:f>
        <x:v>0.18000000000000005</x:v>
      </x:c>
      <x:c r="AG25" s="15" t="n">
        <x:f>'기준스탯 72종'!K8*H25</x:f>
        <x:v>0.24000000000000005</x:v>
      </x:c>
    </x:row>
    <x:row r="26" ht="28" customHeight="1">
      <x:c r="A26" s="2" t="n">
        <x:v>19</x:v>
      </x:c>
      <x:c r="B26" s="2" t="n">
        <x:v>1</x:v>
      </x:c>
      <x:c r="C26" s="2" t="str">
        <x:v>양자리</x:v>
      </x:c>
      <x:c r="D26" s="2" t="str">
        <x:v>기사</x:v>
      </x:c>
      <x:c r="E26" s="2" t="n">
        <x:v>4</x:v>
      </x:c>
      <x:c r="F26" s="2" t="n">
        <x:v>4</x:v>
      </x:c>
      <x:c r="G26" s="14" t="n">
        <x:f>('레벨 계산식'!$E$4-E26)*'레벨 계산식'!$B$5</x:f>
        <x:v>0.13999999999999999</x:v>
      </x:c>
      <x:c r="H26" s="14" t="n">
        <x:f>('등급 계산식'!$E$4-F26)*'등급 계산식'!$B$5</x:f>
        <x:v>0.06000000000000001</x:v>
      </x:c>
      <x:c r="I26" s="14" t="n">
        <x:f>1-G26-H26</x:f>
        <x:v>0.7999999999999999</x:v>
      </x:c>
      <x:c r="J26" s="2" t="n">
        <x:f>MAX(1,ROUND('기준스탯 72종'!D8-R26-Z26,0))</x:f>
        <x:v>6</x:v>
      </x:c>
      <x:c r="K26" s="2" t="n">
        <x:f>MAX(1,ROUND('기준스탯 72종'!E8-S26-AA26,0))</x:f>
        <x:v>7</x:v>
      </x:c>
      <x:c r="L26" s="2" t="n">
        <x:f>MAX(1,ROUND('기준스탯 72종'!F8-T26-AB26,0))</x:f>
        <x:v>6</x:v>
      </x:c>
      <x:c r="M26" s="2" t="n">
        <x:f>MAX(1,ROUND('기준스탯 72종'!G8-U26-AC26,0))</x:f>
        <x:v>5</x:v>
      </x:c>
      <x:c r="N26" s="2" t="n">
        <x:f>MAX(0,ROUND('기준스탯 72종'!H8-V26-AD26,0))</x:f>
        <x:v>3</x:v>
      </x:c>
      <x:c r="O26" s="2" t="n">
        <x:f>MAX(0,ROUND('기준스탯 72종'!I8-W26-AE26,0))</x:f>
        <x:v>4</x:v>
      </x:c>
      <x:c r="P26" s="2" t="n">
        <x:f>MAX(0,ROUND('기준스탯 72종'!J8-X26-AF26,0))</x:f>
        <x:v>2</x:v>
      </x:c>
      <x:c r="Q26" s="2" t="n">
        <x:f>MAX(0,ROUND('기준스탯 72종'!K8-Y26-AG26,0))</x:f>
        <x:v>3</x:v>
      </x:c>
      <x:c r="R26" s="15" t="n">
        <x:f>'기준스탯 72종'!D8*G26</x:f>
        <x:v>0.9799999999999999</x:v>
      </x:c>
      <x:c r="S26" s="15" t="n">
        <x:f>'기준스탯 72종'!E8*G26</x:f>
        <x:v>1.2599999999999998</x:v>
      </x:c>
      <x:c r="T26" s="15" t="n">
        <x:f>'기준스탯 72종'!F8*G26</x:f>
        <x:v>1.1199999999999999</x:v>
      </x:c>
      <x:c r="U26" s="15" t="n">
        <x:f>'기준스탯 72종'!G8*G26</x:f>
        <x:v>0.8399999999999999</x:v>
      </x:c>
      <x:c r="V26" s="15" t="n">
        <x:f>'기준스탯 72종'!H8*G26</x:f>
        <x:v>0.5599999999999999</x:v>
      </x:c>
      <x:c r="W26" s="15" t="n">
        <x:f>'기준스탯 72종'!I8*G26</x:f>
        <x:v>0.7</x:v>
      </x:c>
      <x:c r="X26" s="15" t="n">
        <x:f>'기준스탯 72종'!J8*G26</x:f>
        <x:v>0.41999999999999993</x:v>
      </x:c>
      <x:c r="Y26" s="15" t="n">
        <x:f>'기준스탯 72종'!K8*G26</x:f>
        <x:v>0.5599999999999999</x:v>
      </x:c>
      <x:c r="Z26" s="15" t="n">
        <x:f>'기준스탯 72종'!D8*H26</x:f>
        <x:v>0.4200000000000001</x:v>
      </x:c>
      <x:c r="AA26" s="15" t="n">
        <x:f>'기준스탯 72종'!E8*H26</x:f>
        <x:v>0.5400000000000001</x:v>
      </x:c>
      <x:c r="AB26" s="15" t="n">
        <x:f>'기준스탯 72종'!F8*H26</x:f>
        <x:v>0.4800000000000001</x:v>
      </x:c>
      <x:c r="AC26" s="15" t="n">
        <x:f>'기준스탯 72종'!G8*H26</x:f>
        <x:v>0.3600000000000001</x:v>
      </x:c>
      <x:c r="AD26" s="15" t="n">
        <x:f>'기준스탯 72종'!H8*H26</x:f>
        <x:v>0.24000000000000005</x:v>
      </x:c>
      <x:c r="AE26" s="15" t="n">
        <x:f>'기준스탯 72종'!I8*H26</x:f>
        <x:v>0.30000000000000004</x:v>
      </x:c>
      <x:c r="AF26" s="15" t="n">
        <x:f>'기준스탯 72종'!J8*H26</x:f>
        <x:v>0.18000000000000005</x:v>
      </x:c>
      <x:c r="AG26" s="15" t="n">
        <x:f>'기준스탯 72종'!K8*H26</x:f>
        <x:v>0.24000000000000005</x:v>
      </x:c>
    </x:row>
    <x:row r="27" ht="28" customHeight="1">
      <x:c r="A27" s="2" t="n">
        <x:v>20</x:v>
      </x:c>
      <x:c r="B27" s="2" t="n">
        <x:v>1</x:v>
      </x:c>
      <x:c r="C27" s="2" t="str">
        <x:v>양자리</x:v>
      </x:c>
      <x:c r="D27" s="2" t="str">
        <x:v>기사</x:v>
      </x:c>
      <x:c r="E27" s="2" t="n">
        <x:v>5</x:v>
      </x:c>
      <x:c r="F27" s="2" t="n">
        <x:v>4</x:v>
      </x:c>
      <x:c r="G27" s="14" t="n">
        <x:f>('레벨 계산식'!$E$4-E27)*'레벨 계산식'!$B$5</x:f>
        <x:v>0</x:v>
      </x:c>
      <x:c r="H27" s="14" t="n">
        <x:f>('등급 계산식'!$E$4-F27)*'등급 계산식'!$B$5</x:f>
        <x:v>0.06000000000000001</x:v>
      </x:c>
      <x:c r="I27" s="14" t="n">
        <x:f>1-G27-H27</x:f>
        <x:v>0.94</x:v>
      </x:c>
      <x:c r="J27" s="2" t="n">
        <x:f>MAX(1,ROUND('기준스탯 72종'!D8-R27-Z27,0))</x:f>
        <x:v>7</x:v>
      </x:c>
      <x:c r="K27" s="2" t="n">
        <x:f>MAX(1,ROUND('기준스탯 72종'!E8-S27-AA27,0))</x:f>
        <x:v>8</x:v>
      </x:c>
      <x:c r="L27" s="2" t="n">
        <x:f>MAX(1,ROUND('기준스탯 72종'!F8-T27-AB27,0))</x:f>
        <x:v>8</x:v>
      </x:c>
      <x:c r="M27" s="2" t="n">
        <x:f>MAX(1,ROUND('기준스탯 72종'!G8-U27-AC27,0))</x:f>
        <x:v>6</x:v>
      </x:c>
      <x:c r="N27" s="2" t="n">
        <x:f>MAX(0,ROUND('기준스탯 72종'!H8-V27-AD27,0))</x:f>
        <x:v>4</x:v>
      </x:c>
      <x:c r="O27" s="2" t="n">
        <x:f>MAX(0,ROUND('기준스탯 72종'!I8-W27-AE27,0))</x:f>
        <x:v>5</x:v>
      </x:c>
      <x:c r="P27" s="2" t="n">
        <x:f>MAX(0,ROUND('기준스탯 72종'!J8-X27-AF27,0))</x:f>
        <x:v>3</x:v>
      </x:c>
      <x:c r="Q27" s="2" t="n">
        <x:f>MAX(0,ROUND('기준스탯 72종'!K8-Y27-AG27,0))</x:f>
        <x:v>4</x:v>
      </x:c>
      <x:c r="R27" s="15" t="n">
        <x:f>'기준스탯 72종'!D8*G27</x:f>
        <x:v>0</x:v>
      </x:c>
      <x:c r="S27" s="15" t="n">
        <x:f>'기준스탯 72종'!E8*G27</x:f>
        <x:v>0</x:v>
      </x:c>
      <x:c r="T27" s="15" t="n">
        <x:f>'기준스탯 72종'!F8*G27</x:f>
        <x:v>0</x:v>
      </x:c>
      <x:c r="U27" s="15" t="n">
        <x:f>'기준스탯 72종'!G8*G27</x:f>
        <x:v>0</x:v>
      </x:c>
      <x:c r="V27" s="15" t="n">
        <x:f>'기준스탯 72종'!H8*G27</x:f>
        <x:v>0</x:v>
      </x:c>
      <x:c r="W27" s="15" t="n">
        <x:f>'기준스탯 72종'!I8*G27</x:f>
        <x:v>0</x:v>
      </x:c>
      <x:c r="X27" s="15" t="n">
        <x:f>'기준스탯 72종'!J8*G27</x:f>
        <x:v>0</x:v>
      </x:c>
      <x:c r="Y27" s="15" t="n">
        <x:f>'기준스탯 72종'!K8*G27</x:f>
        <x:v>0</x:v>
      </x:c>
      <x:c r="Z27" s="15" t="n">
        <x:f>'기준스탯 72종'!D8*H27</x:f>
        <x:v>0.4200000000000001</x:v>
      </x:c>
      <x:c r="AA27" s="15" t="n">
        <x:f>'기준스탯 72종'!E8*H27</x:f>
        <x:v>0.5400000000000001</x:v>
      </x:c>
      <x:c r="AB27" s="15" t="n">
        <x:f>'기준스탯 72종'!F8*H27</x:f>
        <x:v>0.4800000000000001</x:v>
      </x:c>
      <x:c r="AC27" s="15" t="n">
        <x:f>'기준스탯 72종'!G8*H27</x:f>
        <x:v>0.3600000000000001</x:v>
      </x:c>
      <x:c r="AD27" s="15" t="n">
        <x:f>'기준스탯 72종'!H8*H27</x:f>
        <x:v>0.24000000000000005</x:v>
      </x:c>
      <x:c r="AE27" s="15" t="n">
        <x:f>'기준스탯 72종'!I8*H27</x:f>
        <x:v>0.30000000000000004</x:v>
      </x:c>
      <x:c r="AF27" s="15" t="n">
        <x:f>'기준스탯 72종'!J8*H27</x:f>
        <x:v>0.18000000000000005</x:v>
      </x:c>
      <x:c r="AG27" s="15" t="n">
        <x:f>'기준스탯 72종'!K8*H27</x:f>
        <x:v>0.24000000000000005</x:v>
      </x:c>
    </x:row>
    <x:row r="28" ht="28" customHeight="1">
      <x:c r="A28" s="2" t="n">
        <x:v>21</x:v>
      </x:c>
      <x:c r="B28" s="2" t="n">
        <x:v>1</x:v>
      </x:c>
      <x:c r="C28" s="2" t="str">
        <x:v>양자리</x:v>
      </x:c>
      <x:c r="D28" s="2" t="str">
        <x:v>기사</x:v>
      </x:c>
      <x:c r="E28" s="2" t="n">
        <x:v>1</x:v>
      </x:c>
      <x:c r="F28" s="2" t="n">
        <x:v>5</x:v>
      </x:c>
      <x:c r="G28" s="14" t="n">
        <x:f>('레벨 계산식'!$E$4-E28)*'레벨 계산식'!$B$5</x:f>
        <x:v>0.5599999999999999</x:v>
      </x:c>
      <x:c r="H28" s="14" t="n">
        <x:f>('등급 계산식'!$E$4-F28)*'등급 계산식'!$B$5</x:f>
        <x:v>0</x:v>
      </x:c>
      <x:c r="I28" s="14" t="n">
        <x:f>1-G28-H28</x:f>
        <x:v>0.44000000000000006</x:v>
      </x:c>
      <x:c r="J28" s="2" t="n">
        <x:f>MAX(1,ROUND('기준스탯 72종'!D8-R28-Z28,0))</x:f>
        <x:v>3</x:v>
      </x:c>
      <x:c r="K28" s="2" t="n">
        <x:f>MAX(1,ROUND('기준스탯 72종'!E8-S28-AA28,0))</x:f>
        <x:v>4</x:v>
      </x:c>
      <x:c r="L28" s="2" t="n">
        <x:f>MAX(1,ROUND('기준스탯 72종'!F8-T28-AB28,0))</x:f>
        <x:v>4</x:v>
      </x:c>
      <x:c r="M28" s="2" t="n">
        <x:f>MAX(1,ROUND('기준스탯 72종'!G8-U28-AC28,0))</x:f>
        <x:v>3</x:v>
      </x:c>
      <x:c r="N28" s="2" t="n">
        <x:f>MAX(0,ROUND('기준스탯 72종'!H8-V28-AD28,0))</x:f>
        <x:v>2</x:v>
      </x:c>
      <x:c r="O28" s="2" t="n">
        <x:f>MAX(0,ROUND('기준스탯 72종'!I8-W28-AE28,0))</x:f>
        <x:v>2</x:v>
      </x:c>
      <x:c r="P28" s="2" t="n">
        <x:f>MAX(0,ROUND('기준스탯 72종'!J8-X28-AF28,0))</x:f>
        <x:v>1</x:v>
      </x:c>
      <x:c r="Q28" s="2" t="n">
        <x:f>MAX(0,ROUND('기준스탯 72종'!K8-Y28-AG28,0))</x:f>
        <x:v>2</x:v>
      </x:c>
      <x:c r="R28" s="15" t="n">
        <x:f>'기준스탯 72종'!D8*G28</x:f>
        <x:v>3.9199999999999995</x:v>
      </x:c>
      <x:c r="S28" s="15" t="n">
        <x:f>'기준스탯 72종'!E8*G28</x:f>
        <x:v>5.039999999999999</x:v>
      </x:c>
      <x:c r="T28" s="15" t="n">
        <x:f>'기준스탯 72종'!F8*G28</x:f>
        <x:v>4.4799999999999995</x:v>
      </x:c>
      <x:c r="U28" s="15" t="n">
        <x:f>'기준스탯 72종'!G8*G28</x:f>
        <x:v>3.3599999999999994</x:v>
      </x:c>
      <x:c r="V28" s="15" t="n">
        <x:f>'기준스탯 72종'!H8*G28</x:f>
        <x:v>2.2399999999999998</x:v>
      </x:c>
      <x:c r="W28" s="15" t="n">
        <x:f>'기준스탯 72종'!I8*G28</x:f>
        <x:v>2.8</x:v>
      </x:c>
      <x:c r="X28" s="15" t="n">
        <x:f>'기준스탯 72종'!J8*G28</x:f>
        <x:v>1.6799999999999997</x:v>
      </x:c>
      <x:c r="Y28" s="15" t="n">
        <x:f>'기준스탯 72종'!K8*G28</x:f>
        <x:v>2.2399999999999998</x:v>
      </x:c>
      <x:c r="Z28" s="15" t="n">
        <x:f>'기준스탯 72종'!D8*H28</x:f>
        <x:v>0</x:v>
      </x:c>
      <x:c r="AA28" s="15" t="n">
        <x:f>'기준스탯 72종'!E8*H28</x:f>
        <x:v>0</x:v>
      </x:c>
      <x:c r="AB28" s="15" t="n">
        <x:f>'기준스탯 72종'!F8*H28</x:f>
        <x:v>0</x:v>
      </x:c>
      <x:c r="AC28" s="15" t="n">
        <x:f>'기준스탯 72종'!G8*H28</x:f>
        <x:v>0</x:v>
      </x:c>
      <x:c r="AD28" s="15" t="n">
        <x:f>'기준스탯 72종'!H8*H28</x:f>
        <x:v>0</x:v>
      </x:c>
      <x:c r="AE28" s="15" t="n">
        <x:f>'기준스탯 72종'!I8*H28</x:f>
        <x:v>0</x:v>
      </x:c>
      <x:c r="AF28" s="15" t="n">
        <x:f>'기준스탯 72종'!J8*H28</x:f>
        <x:v>0</x:v>
      </x:c>
      <x:c r="AG28" s="15" t="n">
        <x:f>'기준스탯 72종'!K8*H28</x:f>
        <x:v>0</x:v>
      </x:c>
    </x:row>
    <x:row r="29" ht="28" customHeight="1">
      <x:c r="A29" s="2" t="n">
        <x:v>22</x:v>
      </x:c>
      <x:c r="B29" s="2" t="n">
        <x:v>1</x:v>
      </x:c>
      <x:c r="C29" s="2" t="str">
        <x:v>양자리</x:v>
      </x:c>
      <x:c r="D29" s="2" t="str">
        <x:v>기사</x:v>
      </x:c>
      <x:c r="E29" s="2" t="n">
        <x:v>2</x:v>
      </x:c>
      <x:c r="F29" s="2" t="n">
        <x:v>5</x:v>
      </x:c>
      <x:c r="G29" s="14" t="n">
        <x:f>('레벨 계산식'!$E$4-E29)*'레벨 계산식'!$B$5</x:f>
        <x:v>0.41999999999999993</x:v>
      </x:c>
      <x:c r="H29" s="14" t="n">
        <x:f>('등급 계산식'!$E$4-F29)*'등급 계산식'!$B$5</x:f>
        <x:v>0</x:v>
      </x:c>
      <x:c r="I29" s="14" t="n">
        <x:f>1-G29-H29</x:f>
        <x:v>0.5800000000000001</x:v>
      </x:c>
      <x:c r="J29" s="2" t="n">
        <x:f>MAX(1,ROUND('기준스탯 72종'!D8-R29-Z29,0))</x:f>
        <x:v>4</x:v>
      </x:c>
      <x:c r="K29" s="2" t="n">
        <x:f>MAX(1,ROUND('기준스탯 72종'!E8-S29-AA29,0))</x:f>
        <x:v>5</x:v>
      </x:c>
      <x:c r="L29" s="2" t="n">
        <x:f>MAX(1,ROUND('기준스탯 72종'!F8-T29-AB29,0))</x:f>
        <x:v>5</x:v>
      </x:c>
      <x:c r="M29" s="2" t="n">
        <x:f>MAX(1,ROUND('기준스탯 72종'!G8-U29-AC29,0))</x:f>
        <x:v>3</x:v>
      </x:c>
      <x:c r="N29" s="2" t="n">
        <x:f>MAX(0,ROUND('기준스탯 72종'!H8-V29-AD29,0))</x:f>
        <x:v>2</x:v>
      </x:c>
      <x:c r="O29" s="2" t="n">
        <x:f>MAX(0,ROUND('기준스탯 72종'!I8-W29-AE29,0))</x:f>
        <x:v>3</x:v>
      </x:c>
      <x:c r="P29" s="2" t="n">
        <x:f>MAX(0,ROUND('기준스탯 72종'!J8-X29-AF29,0))</x:f>
        <x:v>2</x:v>
      </x:c>
      <x:c r="Q29" s="2" t="n">
        <x:f>MAX(0,ROUND('기준스탯 72종'!K8-Y29-AG29,0))</x:f>
        <x:v>2</x:v>
      </x:c>
      <x:c r="R29" s="15" t="n">
        <x:f>'기준스탯 72종'!D8*G29</x:f>
        <x:v>2.9399999999999995</x:v>
      </x:c>
      <x:c r="S29" s="15" t="n">
        <x:f>'기준스탯 72종'!E8*G29</x:f>
        <x:v>3.7799999999999994</x:v>
      </x:c>
      <x:c r="T29" s="15" t="n">
        <x:f>'기준스탯 72종'!F8*G29</x:f>
        <x:v>3.3599999999999994</x:v>
      </x:c>
      <x:c r="U29" s="15" t="n">
        <x:f>'기준스탯 72종'!G8*G29</x:f>
        <x:v>2.5199999999999996</x:v>
      </x:c>
      <x:c r="V29" s="15" t="n">
        <x:f>'기준스탯 72종'!H8*G29</x:f>
        <x:v>1.6799999999999997</x:v>
      </x:c>
      <x:c r="W29" s="15" t="n">
        <x:f>'기준스탯 72종'!I8*G29</x:f>
        <x:v>2.0999999999999996</x:v>
      </x:c>
      <x:c r="X29" s="15" t="n">
        <x:f>'기준스탯 72종'!J8*G29</x:f>
        <x:v>1.2599999999999998</x:v>
      </x:c>
      <x:c r="Y29" s="15" t="n">
        <x:f>'기준스탯 72종'!K8*G29</x:f>
        <x:v>1.6799999999999997</x:v>
      </x:c>
      <x:c r="Z29" s="15" t="n">
        <x:f>'기준스탯 72종'!D8*H29</x:f>
        <x:v>0</x:v>
      </x:c>
      <x:c r="AA29" s="15" t="n">
        <x:f>'기준스탯 72종'!E8*H29</x:f>
        <x:v>0</x:v>
      </x:c>
      <x:c r="AB29" s="15" t="n">
        <x:f>'기준스탯 72종'!F8*H29</x:f>
        <x:v>0</x:v>
      </x:c>
      <x:c r="AC29" s="15" t="n">
        <x:f>'기준스탯 72종'!G8*H29</x:f>
        <x:v>0</x:v>
      </x:c>
      <x:c r="AD29" s="15" t="n">
        <x:f>'기준스탯 72종'!H8*H29</x:f>
        <x:v>0</x:v>
      </x:c>
      <x:c r="AE29" s="15" t="n">
        <x:f>'기준스탯 72종'!I8*H29</x:f>
        <x:v>0</x:v>
      </x:c>
      <x:c r="AF29" s="15" t="n">
        <x:f>'기준스탯 72종'!J8*H29</x:f>
        <x:v>0</x:v>
      </x:c>
      <x:c r="AG29" s="15" t="n">
        <x:f>'기준스탯 72종'!K8*H29</x:f>
        <x:v>0</x:v>
      </x:c>
    </x:row>
    <x:row r="30" ht="28" customHeight="1">
      <x:c r="A30" s="2" t="n">
        <x:v>23</x:v>
      </x:c>
      <x:c r="B30" s="2" t="n">
        <x:v>1</x:v>
      </x:c>
      <x:c r="C30" s="2" t="str">
        <x:v>양자리</x:v>
      </x:c>
      <x:c r="D30" s="2" t="str">
        <x:v>기사</x:v>
      </x:c>
      <x:c r="E30" s="2" t="n">
        <x:v>3</x:v>
      </x:c>
      <x:c r="F30" s="2" t="n">
        <x:v>5</x:v>
      </x:c>
      <x:c r="G30" s="14" t="n">
        <x:f>('레벨 계산식'!$E$4-E30)*'레벨 계산식'!$B$5</x:f>
        <x:v>0.27999999999999997</x:v>
      </x:c>
      <x:c r="H30" s="14" t="n">
        <x:f>('등급 계산식'!$E$4-F30)*'등급 계산식'!$B$5</x:f>
        <x:v>0</x:v>
      </x:c>
      <x:c r="I30" s="14" t="n">
        <x:f>1-G30-H30</x:f>
        <x:v>0.72</x:v>
      </x:c>
      <x:c r="J30" s="2" t="n">
        <x:f>MAX(1,ROUND('기준스탯 72종'!D8-R30-Z30,0))</x:f>
        <x:v>5</x:v>
      </x:c>
      <x:c r="K30" s="2" t="n">
        <x:f>MAX(1,ROUND('기준스탯 72종'!E8-S30-AA30,0))</x:f>
        <x:v>6</x:v>
      </x:c>
      <x:c r="L30" s="2" t="n">
        <x:f>MAX(1,ROUND('기준스탯 72종'!F8-T30-AB30,0))</x:f>
        <x:v>6</x:v>
      </x:c>
      <x:c r="M30" s="2" t="n">
        <x:f>MAX(1,ROUND('기준스탯 72종'!G8-U30-AC30,0))</x:f>
        <x:v>4</x:v>
      </x:c>
      <x:c r="N30" s="2" t="n">
        <x:f>MAX(0,ROUND('기준스탯 72종'!H8-V30-AD30,0))</x:f>
        <x:v>3</x:v>
      </x:c>
      <x:c r="O30" s="2" t="n">
        <x:f>MAX(0,ROUND('기준스탯 72종'!I8-W30-AE30,0))</x:f>
        <x:v>4</x:v>
      </x:c>
      <x:c r="P30" s="2" t="n">
        <x:f>MAX(0,ROUND('기준스탯 72종'!J8-X30-AF30,0))</x:f>
        <x:v>2</x:v>
      </x:c>
      <x:c r="Q30" s="2" t="n">
        <x:f>MAX(0,ROUND('기준스탯 72종'!K8-Y30-AG30,0))</x:f>
        <x:v>3</x:v>
      </x:c>
      <x:c r="R30" s="15" t="n">
        <x:f>'기준스탯 72종'!D8*G30</x:f>
        <x:v>1.9599999999999997</x:v>
      </x:c>
      <x:c r="S30" s="15" t="n">
        <x:f>'기준스탯 72종'!E8*G30</x:f>
        <x:v>2.5199999999999996</x:v>
      </x:c>
      <x:c r="T30" s="15" t="n">
        <x:f>'기준스탯 72종'!F8*G30</x:f>
        <x:v>2.2399999999999998</x:v>
      </x:c>
      <x:c r="U30" s="15" t="n">
        <x:f>'기준스탯 72종'!G8*G30</x:f>
        <x:v>1.6799999999999997</x:v>
      </x:c>
      <x:c r="V30" s="15" t="n">
        <x:f>'기준스탯 72종'!H8*G30</x:f>
        <x:v>1.1199999999999999</x:v>
      </x:c>
      <x:c r="W30" s="15" t="n">
        <x:f>'기준스탯 72종'!I8*G30</x:f>
        <x:v>1.4</x:v>
      </x:c>
      <x:c r="X30" s="15" t="n">
        <x:f>'기준스탯 72종'!J8*G30</x:f>
        <x:v>0.8399999999999999</x:v>
      </x:c>
      <x:c r="Y30" s="15" t="n">
        <x:f>'기준스탯 72종'!K8*G30</x:f>
        <x:v>1.1199999999999999</x:v>
      </x:c>
      <x:c r="Z30" s="15" t="n">
        <x:f>'기준스탯 72종'!D8*H30</x:f>
        <x:v>0</x:v>
      </x:c>
      <x:c r="AA30" s="15" t="n">
        <x:f>'기준스탯 72종'!E8*H30</x:f>
        <x:v>0</x:v>
      </x:c>
      <x:c r="AB30" s="15" t="n">
        <x:f>'기준스탯 72종'!F8*H30</x:f>
        <x:v>0</x:v>
      </x:c>
      <x:c r="AC30" s="15" t="n">
        <x:f>'기준스탯 72종'!G8*H30</x:f>
        <x:v>0</x:v>
      </x:c>
      <x:c r="AD30" s="15" t="n">
        <x:f>'기준스탯 72종'!H8*H30</x:f>
        <x:v>0</x:v>
      </x:c>
      <x:c r="AE30" s="15" t="n">
        <x:f>'기준스탯 72종'!I8*H30</x:f>
        <x:v>0</x:v>
      </x:c>
      <x:c r="AF30" s="15" t="n">
        <x:f>'기준스탯 72종'!J8*H30</x:f>
        <x:v>0</x:v>
      </x:c>
      <x:c r="AG30" s="15" t="n">
        <x:f>'기준스탯 72종'!K8*H30</x:f>
        <x:v>0</x:v>
      </x:c>
    </x:row>
    <x:row r="31" ht="28" customHeight="1">
      <x:c r="A31" s="2" t="n">
        <x:v>24</x:v>
      </x:c>
      <x:c r="B31" s="2" t="n">
        <x:v>1</x:v>
      </x:c>
      <x:c r="C31" s="2" t="str">
        <x:v>양자리</x:v>
      </x:c>
      <x:c r="D31" s="2" t="str">
        <x:v>기사</x:v>
      </x:c>
      <x:c r="E31" s="2" t="n">
        <x:v>4</x:v>
      </x:c>
      <x:c r="F31" s="2" t="n">
        <x:v>5</x:v>
      </x:c>
      <x:c r="G31" s="14" t="n">
        <x:f>('레벨 계산식'!$E$4-E31)*'레벨 계산식'!$B$5</x:f>
        <x:v>0.13999999999999999</x:v>
      </x:c>
      <x:c r="H31" s="14" t="n">
        <x:f>('등급 계산식'!$E$4-F31)*'등급 계산식'!$B$5</x:f>
        <x:v>0</x:v>
      </x:c>
      <x:c r="I31" s="14" t="n">
        <x:f>1-G31-H31</x:f>
        <x:v>0.86</x:v>
      </x:c>
      <x:c r="J31" s="2" t="n">
        <x:f>MAX(1,ROUND('기준스탯 72종'!D8-R31-Z31,0))</x:f>
        <x:v>6</x:v>
      </x:c>
      <x:c r="K31" s="2" t="n">
        <x:f>MAX(1,ROUND('기준스탯 72종'!E8-S31-AA31,0))</x:f>
        <x:v>8</x:v>
      </x:c>
      <x:c r="L31" s="2" t="n">
        <x:f>MAX(1,ROUND('기준스탯 72종'!F8-T31-AB31,0))</x:f>
        <x:v>7</x:v>
      </x:c>
      <x:c r="M31" s="2" t="n">
        <x:f>MAX(1,ROUND('기준스탯 72종'!G8-U31-AC31,0))</x:f>
        <x:v>5</x:v>
      </x:c>
      <x:c r="N31" s="2" t="n">
        <x:f>MAX(0,ROUND('기준스탯 72종'!H8-V31-AD31,0))</x:f>
        <x:v>3</x:v>
      </x:c>
      <x:c r="O31" s="2" t="n">
        <x:f>MAX(0,ROUND('기준스탯 72종'!I8-W31-AE31,0))</x:f>
        <x:v>4</x:v>
      </x:c>
      <x:c r="P31" s="2" t="n">
        <x:f>MAX(0,ROUND('기준스탯 72종'!J8-X31-AF31,0))</x:f>
        <x:v>3</x:v>
      </x:c>
      <x:c r="Q31" s="2" t="n">
        <x:f>MAX(0,ROUND('기준스탯 72종'!K8-Y31-AG31,0))</x:f>
        <x:v>3</x:v>
      </x:c>
      <x:c r="R31" s="15" t="n">
        <x:f>'기준스탯 72종'!D8*G31</x:f>
        <x:v>0.9799999999999999</x:v>
      </x:c>
      <x:c r="S31" s="15" t="n">
        <x:f>'기준스탯 72종'!E8*G31</x:f>
        <x:v>1.2599999999999998</x:v>
      </x:c>
      <x:c r="T31" s="15" t="n">
        <x:f>'기준스탯 72종'!F8*G31</x:f>
        <x:v>1.1199999999999999</x:v>
      </x:c>
      <x:c r="U31" s="15" t="n">
        <x:f>'기준스탯 72종'!G8*G31</x:f>
        <x:v>0.8399999999999999</x:v>
      </x:c>
      <x:c r="V31" s="15" t="n">
        <x:f>'기준스탯 72종'!H8*G31</x:f>
        <x:v>0.5599999999999999</x:v>
      </x:c>
      <x:c r="W31" s="15" t="n">
        <x:f>'기준스탯 72종'!I8*G31</x:f>
        <x:v>0.7</x:v>
      </x:c>
      <x:c r="X31" s="15" t="n">
        <x:f>'기준스탯 72종'!J8*G31</x:f>
        <x:v>0.41999999999999993</x:v>
      </x:c>
      <x:c r="Y31" s="15" t="n">
        <x:f>'기준스탯 72종'!K8*G31</x:f>
        <x:v>0.5599999999999999</x:v>
      </x:c>
      <x:c r="Z31" s="15" t="n">
        <x:f>'기준스탯 72종'!D8*H31</x:f>
        <x:v>0</x:v>
      </x:c>
      <x:c r="AA31" s="15" t="n">
        <x:f>'기준스탯 72종'!E8*H31</x:f>
        <x:v>0</x:v>
      </x:c>
      <x:c r="AB31" s="15" t="n">
        <x:f>'기준스탯 72종'!F8*H31</x:f>
        <x:v>0</x:v>
      </x:c>
      <x:c r="AC31" s="15" t="n">
        <x:f>'기준스탯 72종'!G8*H31</x:f>
        <x:v>0</x:v>
      </x:c>
      <x:c r="AD31" s="15" t="n">
        <x:f>'기준스탯 72종'!H8*H31</x:f>
        <x:v>0</x:v>
      </x:c>
      <x:c r="AE31" s="15" t="n">
        <x:f>'기준스탯 72종'!I8*H31</x:f>
        <x:v>0</x:v>
      </x:c>
      <x:c r="AF31" s="15" t="n">
        <x:f>'기준스탯 72종'!J8*H31</x:f>
        <x:v>0</x:v>
      </x:c>
      <x:c r="AG31" s="15" t="n">
        <x:f>'기준스탯 72종'!K8*H31</x:f>
        <x:v>0</x:v>
      </x:c>
    </x:row>
    <x:row r="32" ht="28" customHeight="1">
      <x:c r="A32" s="2" t="n">
        <x:v>25</x:v>
      </x:c>
      <x:c r="B32" s="2" t="n">
        <x:v>1</x:v>
      </x:c>
      <x:c r="C32" s="2" t="str">
        <x:v>양자리</x:v>
      </x:c>
      <x:c r="D32" s="2" t="str">
        <x:v>기사</x:v>
      </x:c>
      <x:c r="E32" s="2" t="n">
        <x:v>5</x:v>
      </x:c>
      <x:c r="F32" s="2" t="n">
        <x:v>5</x:v>
      </x:c>
      <x:c r="G32" s="14" t="n">
        <x:f>('레벨 계산식'!$E$4-E32)*'레벨 계산식'!$B$5</x:f>
        <x:v>0</x:v>
      </x:c>
      <x:c r="H32" s="14" t="n">
        <x:f>('등급 계산식'!$E$4-F32)*'등급 계산식'!$B$5</x:f>
        <x:v>0</x:v>
      </x:c>
      <x:c r="I32" s="14" t="n">
        <x:f>1-G32-H32</x:f>
        <x:v>1</x:v>
      </x:c>
      <x:c r="J32" s="2" t="n">
        <x:f>MAX(1,ROUND('기준스탯 72종'!D8-R32-Z32,0))</x:f>
        <x:v>7</x:v>
      </x:c>
      <x:c r="K32" s="2" t="n">
        <x:f>MAX(1,ROUND('기준스탯 72종'!E8-S32-AA32,0))</x:f>
        <x:v>9</x:v>
      </x:c>
      <x:c r="L32" s="2" t="n">
        <x:f>MAX(1,ROUND('기준스탯 72종'!F8-T32-AB32,0))</x:f>
        <x:v>8</x:v>
      </x:c>
      <x:c r="M32" s="2" t="n">
        <x:f>MAX(1,ROUND('기준스탯 72종'!G8-U32-AC32,0))</x:f>
        <x:v>6</x:v>
      </x:c>
      <x:c r="N32" s="2" t="n">
        <x:f>MAX(0,ROUND('기준스탯 72종'!H8-V32-AD32,0))</x:f>
        <x:v>4</x:v>
      </x:c>
      <x:c r="O32" s="2" t="n">
        <x:f>MAX(0,ROUND('기준스탯 72종'!I8-W32-AE32,0))</x:f>
        <x:v>5</x:v>
      </x:c>
      <x:c r="P32" s="2" t="n">
        <x:f>MAX(0,ROUND('기준스탯 72종'!J8-X32-AF32,0))</x:f>
        <x:v>3</x:v>
      </x:c>
      <x:c r="Q32" s="2" t="n">
        <x:f>MAX(0,ROUND('기준스탯 72종'!K8-Y32-AG32,0))</x:f>
        <x:v>4</x:v>
      </x:c>
      <x:c r="R32" s="15" t="n">
        <x:f>'기준스탯 72종'!D8*G32</x:f>
        <x:v>0</x:v>
      </x:c>
      <x:c r="S32" s="15" t="n">
        <x:f>'기준스탯 72종'!E8*G32</x:f>
        <x:v>0</x:v>
      </x:c>
      <x:c r="T32" s="15" t="n">
        <x:f>'기준스탯 72종'!F8*G32</x:f>
        <x:v>0</x:v>
      </x:c>
      <x:c r="U32" s="15" t="n">
        <x:f>'기준스탯 72종'!G8*G32</x:f>
        <x:v>0</x:v>
      </x:c>
      <x:c r="V32" s="15" t="n">
        <x:f>'기준스탯 72종'!H8*G32</x:f>
        <x:v>0</x:v>
      </x:c>
      <x:c r="W32" s="15" t="n">
        <x:f>'기준스탯 72종'!I8*G32</x:f>
        <x:v>0</x:v>
      </x:c>
      <x:c r="X32" s="15" t="n">
        <x:f>'기준스탯 72종'!J8*G32</x:f>
        <x:v>0</x:v>
      </x:c>
      <x:c r="Y32" s="15" t="n">
        <x:f>'기준스탯 72종'!K8*G32</x:f>
        <x:v>0</x:v>
      </x:c>
      <x:c r="Z32" s="15" t="n">
        <x:f>'기준스탯 72종'!D8*H32</x:f>
        <x:v>0</x:v>
      </x:c>
      <x:c r="AA32" s="15" t="n">
        <x:f>'기준스탯 72종'!E8*H32</x:f>
        <x:v>0</x:v>
      </x:c>
      <x:c r="AB32" s="15" t="n">
        <x:f>'기준스탯 72종'!F8*H32</x:f>
        <x:v>0</x:v>
      </x:c>
      <x:c r="AC32" s="15" t="n">
        <x:f>'기준스탯 72종'!G8*H32</x:f>
        <x:v>0</x:v>
      </x:c>
      <x:c r="AD32" s="15" t="n">
        <x:f>'기준스탯 72종'!H8*H32</x:f>
        <x:v>0</x:v>
      </x:c>
      <x:c r="AE32" s="15" t="n">
        <x:f>'기준스탯 72종'!I8*H32</x:f>
        <x:v>0</x:v>
      </x:c>
      <x:c r="AF32" s="15" t="n">
        <x:f>'기준스탯 72종'!J8*H32</x:f>
        <x:v>0</x:v>
      </x:c>
      <x:c r="AG32" s="15" t="n">
        <x:f>'기준스탯 72종'!K8*H32</x:f>
        <x:v>0</x:v>
      </x:c>
    </x:row>
    <x:row r="33" ht="28" customHeight="1">
      <x:c r="A33" s="2" t="n">
        <x:v>26</x:v>
      </x:c>
      <x:c r="B33" s="2" t="n">
        <x:v>2</x:v>
      </x:c>
      <x:c r="C33" s="2" t="str">
        <x:v>양자리</x:v>
      </x:c>
      <x:c r="D33" s="2" t="str">
        <x:v>마도사</x:v>
      </x:c>
      <x:c r="E33" s="2" t="n">
        <x:v>1</x:v>
      </x:c>
      <x:c r="F33" s="2" t="n">
        <x:v>1</x:v>
      </x:c>
      <x:c r="G33" s="14" t="n">
        <x:f>('레벨 계산식'!$E$4-E33)*'레벨 계산식'!$B$5</x:f>
        <x:v>0.5599999999999999</x:v>
      </x:c>
      <x:c r="H33" s="14" t="n">
        <x:f>('등급 계산식'!$E$4-F33)*'등급 계산식'!$B$5</x:f>
        <x:v>0.24000000000000005</x:v>
      </x:c>
      <x:c r="I33" s="14" t="n">
        <x:f>1-G33-H33</x:f>
        <x:v>0.2</x:v>
      </x:c>
      <x:c r="J33" s="2" t="n">
        <x:f>MAX(1,ROUND('기준스탯 72종'!D9-R33-Z33,0))</x:f>
        <x:v>2</x:v>
      </x:c>
      <x:c r="K33" s="2" t="n">
        <x:f>MAX(1,ROUND('기준스탯 72종'!E9-S33-AA33,0))</x:f>
        <x:v>1</x:v>
      </x:c>
      <x:c r="L33" s="2" t="n">
        <x:f>MAX(1,ROUND('기준스탯 72종'!F9-T33-AB33,0))</x:f>
        <x:v>1</x:v>
      </x:c>
      <x:c r="M33" s="2" t="n">
        <x:f>MAX(1,ROUND('기준스탯 72종'!G9-U33-AC33,0))</x:f>
        <x:v>1</x:v>
      </x:c>
      <x:c r="N33" s="2" t="n">
        <x:f>MAX(0,ROUND('기준스탯 72종'!H9-V33-AD33,0))</x:f>
        <x:v>1</x:v>
      </x:c>
      <x:c r="O33" s="2" t="n">
        <x:f>MAX(0,ROUND('기준스탯 72종'!I9-W33-AE33,0))</x:f>
        <x:v>1</x:v>
      </x:c>
      <x:c r="P33" s="2" t="n">
        <x:f>MAX(0,ROUND('기준스탯 72종'!J9-X33-AF33,0))</x:f>
        <x:v>1</x:v>
      </x:c>
      <x:c r="Q33" s="2" t="n">
        <x:f>MAX(0,ROUND('기준스탯 72종'!K9-Y33-AG33,0))</x:f>
        <x:v>0</x:v>
      </x:c>
      <x:c r="R33" s="15" t="n">
        <x:f>'기준스탯 72종'!D9*G33</x:f>
        <x:v>5.039999999999999</x:v>
      </x:c>
      <x:c r="S33" s="15" t="n">
        <x:f>'기준스탯 72종'!E9*G33</x:f>
        <x:v>3.9199999999999995</x:v>
      </x:c>
      <x:c r="T33" s="15" t="n">
        <x:f>'기준스탯 72종'!F9*G33</x:f>
        <x:v>3.3599999999999994</x:v>
      </x:c>
      <x:c r="U33" s="15" t="n">
        <x:f>'기준스탯 72종'!G9*G33</x:f>
        <x:v>3.9199999999999995</x:v>
      </x:c>
      <x:c r="V33" s="15" t="n">
        <x:f>'기준스탯 72종'!H9*G33</x:f>
        <x:v>2.8</x:v>
      </x:c>
      <x:c r="W33" s="15" t="n">
        <x:f>'기준스탯 72종'!I9*G33</x:f>
        <x:v>3.9199999999999995</x:v>
      </x:c>
      <x:c r="X33" s="15" t="n">
        <x:f>'기준스탯 72종'!J9*G33</x:f>
        <x:v>1.6799999999999997</x:v>
      </x:c>
      <x:c r="Y33" s="15" t="n">
        <x:f>'기준스탯 72종'!K9*G33</x:f>
        <x:v>0.5599999999999999</x:v>
      </x:c>
      <x:c r="Z33" s="15" t="n">
        <x:f>'기준스탯 72종'!D9*H33</x:f>
        <x:v>2.1600000000000006</x:v>
      </x:c>
      <x:c r="AA33" s="15" t="n">
        <x:f>'기준스탯 72종'!E9*H33</x:f>
        <x:v>1.6800000000000004</x:v>
      </x:c>
      <x:c r="AB33" s="15" t="n">
        <x:f>'기준스탯 72종'!F9*H33</x:f>
        <x:v>1.4400000000000004</x:v>
      </x:c>
      <x:c r="AC33" s="15" t="n">
        <x:f>'기준스탯 72종'!G9*H33</x:f>
        <x:v>1.6800000000000004</x:v>
      </x:c>
      <x:c r="AD33" s="15" t="n">
        <x:f>'기준스탯 72종'!H9*H33</x:f>
        <x:v>1.2000000000000002</x:v>
      </x:c>
      <x:c r="AE33" s="15" t="n">
        <x:f>'기준스탯 72종'!I9*H33</x:f>
        <x:v>1.6800000000000004</x:v>
      </x:c>
      <x:c r="AF33" s="15" t="n">
        <x:f>'기준스탯 72종'!J9*H33</x:f>
        <x:v>0.7200000000000002</x:v>
      </x:c>
      <x:c r="AG33" s="15" t="n">
        <x:f>'기준스탯 72종'!K9*H33</x:f>
        <x:v>0.24000000000000005</x:v>
      </x:c>
    </x:row>
    <x:row r="34" ht="28" customHeight="1">
      <x:c r="A34" s="2" t="n">
        <x:v>27</x:v>
      </x:c>
      <x:c r="B34" s="2" t="n">
        <x:v>2</x:v>
      </x:c>
      <x:c r="C34" s="2" t="str">
        <x:v>양자리</x:v>
      </x:c>
      <x:c r="D34" s="2" t="str">
        <x:v>마도사</x:v>
      </x:c>
      <x:c r="E34" s="2" t="n">
        <x:v>2</x:v>
      </x:c>
      <x:c r="F34" s="2" t="n">
        <x:v>1</x:v>
      </x:c>
      <x:c r="G34" s="14" t="n">
        <x:f>('레벨 계산식'!$E$4-E34)*'레벨 계산식'!$B$5</x:f>
        <x:v>0.41999999999999993</x:v>
      </x:c>
      <x:c r="H34" s="14" t="n">
        <x:f>('등급 계산식'!$E$4-F34)*'등급 계산식'!$B$5</x:f>
        <x:v>0.24000000000000005</x:v>
      </x:c>
      <x:c r="I34" s="14" t="n">
        <x:f>1-G34-H34</x:f>
        <x:v>0.34</x:v>
      </x:c>
      <x:c r="J34" s="2" t="n">
        <x:f>MAX(1,ROUND('기준스탯 72종'!D9-R34-Z34,0))</x:f>
        <x:v>3</x:v>
      </x:c>
      <x:c r="K34" s="2" t="n">
        <x:f>MAX(1,ROUND('기준스탯 72종'!E9-S34-AA34,0))</x:f>
        <x:v>2</x:v>
      </x:c>
      <x:c r="L34" s="2" t="n">
        <x:f>MAX(1,ROUND('기준스탯 72종'!F9-T34-AB34,0))</x:f>
        <x:v>2</x:v>
      </x:c>
      <x:c r="M34" s="2" t="n">
        <x:f>MAX(1,ROUND('기준스탯 72종'!G9-U34-AC34,0))</x:f>
        <x:v>2</x:v>
      </x:c>
      <x:c r="N34" s="2" t="n">
        <x:f>MAX(0,ROUND('기준스탯 72종'!H9-V34-AD34,0))</x:f>
        <x:v>2</x:v>
      </x:c>
      <x:c r="O34" s="2" t="n">
        <x:f>MAX(0,ROUND('기준스탯 72종'!I9-W34-AE34,0))</x:f>
        <x:v>2</x:v>
      </x:c>
      <x:c r="P34" s="2" t="n">
        <x:f>MAX(0,ROUND('기준스탯 72종'!J9-X34-AF34,0))</x:f>
        <x:v>1</x:v>
      </x:c>
      <x:c r="Q34" s="2" t="n">
        <x:f>MAX(0,ROUND('기준스탯 72종'!K9-Y34-AG34,0))</x:f>
        <x:v>0</x:v>
      </x:c>
      <x:c r="R34" s="15" t="n">
        <x:f>'기준스탯 72종'!D9*G34</x:f>
        <x:v>3.7799999999999994</x:v>
      </x:c>
      <x:c r="S34" s="15" t="n">
        <x:f>'기준스탯 72종'!E9*G34</x:f>
        <x:v>2.9399999999999995</x:v>
      </x:c>
      <x:c r="T34" s="15" t="n">
        <x:f>'기준스탯 72종'!F9*G34</x:f>
        <x:v>2.5199999999999996</x:v>
      </x:c>
      <x:c r="U34" s="15" t="n">
        <x:f>'기준스탯 72종'!G9*G34</x:f>
        <x:v>2.9399999999999995</x:v>
      </x:c>
      <x:c r="V34" s="15" t="n">
        <x:f>'기준스탯 72종'!H9*G34</x:f>
        <x:v>2.0999999999999996</x:v>
      </x:c>
      <x:c r="W34" s="15" t="n">
        <x:f>'기준스탯 72종'!I9*G34</x:f>
        <x:v>2.9399999999999995</x:v>
      </x:c>
      <x:c r="X34" s="15" t="n">
        <x:f>'기준스탯 72종'!J9*G34</x:f>
        <x:v>1.2599999999999998</x:v>
      </x:c>
      <x:c r="Y34" s="15" t="n">
        <x:f>'기준스탯 72종'!K9*G34</x:f>
        <x:v>0.41999999999999993</x:v>
      </x:c>
      <x:c r="Z34" s="15" t="n">
        <x:f>'기준스탯 72종'!D9*H34</x:f>
        <x:v>2.1600000000000006</x:v>
      </x:c>
      <x:c r="AA34" s="15" t="n">
        <x:f>'기준스탯 72종'!E9*H34</x:f>
        <x:v>1.6800000000000004</x:v>
      </x:c>
      <x:c r="AB34" s="15" t="n">
        <x:f>'기준스탯 72종'!F9*H34</x:f>
        <x:v>1.4400000000000004</x:v>
      </x:c>
      <x:c r="AC34" s="15" t="n">
        <x:f>'기준스탯 72종'!G9*H34</x:f>
        <x:v>1.6800000000000004</x:v>
      </x:c>
      <x:c r="AD34" s="15" t="n">
        <x:f>'기준스탯 72종'!H9*H34</x:f>
        <x:v>1.2000000000000002</x:v>
      </x:c>
      <x:c r="AE34" s="15" t="n">
        <x:f>'기준스탯 72종'!I9*H34</x:f>
        <x:v>1.6800000000000004</x:v>
      </x:c>
      <x:c r="AF34" s="15" t="n">
        <x:f>'기준스탯 72종'!J9*H34</x:f>
        <x:v>0.7200000000000002</x:v>
      </x:c>
      <x:c r="AG34" s="15" t="n">
        <x:f>'기준스탯 72종'!K9*H34</x:f>
        <x:v>0.24000000000000005</x:v>
      </x:c>
    </x:row>
    <x:row r="35" ht="28" customHeight="1">
      <x:c r="A35" s="2" t="n">
        <x:v>28</x:v>
      </x:c>
      <x:c r="B35" s="2" t="n">
        <x:v>2</x:v>
      </x:c>
      <x:c r="C35" s="2" t="str">
        <x:v>양자리</x:v>
      </x:c>
      <x:c r="D35" s="2" t="str">
        <x:v>마도사</x:v>
      </x:c>
      <x:c r="E35" s="2" t="n">
        <x:v>3</x:v>
      </x:c>
      <x:c r="F35" s="2" t="n">
        <x:v>1</x:v>
      </x:c>
      <x:c r="G35" s="14" t="n">
        <x:f>('레벨 계산식'!$E$4-E35)*'레벨 계산식'!$B$5</x:f>
        <x:v>0.27999999999999997</x:v>
      </x:c>
      <x:c r="H35" s="14" t="n">
        <x:f>('등급 계산식'!$E$4-F35)*'등급 계산식'!$B$5</x:f>
        <x:v>0.24000000000000005</x:v>
      </x:c>
      <x:c r="I35" s="14" t="n">
        <x:f>1-G35-H35</x:f>
        <x:v>0.4799999999999999</x:v>
      </x:c>
      <x:c r="J35" s="2" t="n">
        <x:f>MAX(1,ROUND('기준스탯 72종'!D9-R35-Z35,0))</x:f>
        <x:v>4</x:v>
      </x:c>
      <x:c r="K35" s="2" t="n">
        <x:f>MAX(1,ROUND('기준스탯 72종'!E9-S35-AA35,0))</x:f>
        <x:v>3</x:v>
      </x:c>
      <x:c r="L35" s="2" t="n">
        <x:f>MAX(1,ROUND('기준스탯 72종'!F9-T35-AB35,0))</x:f>
        <x:v>3</x:v>
      </x:c>
      <x:c r="M35" s="2" t="n">
        <x:f>MAX(1,ROUND('기준스탯 72종'!G9-U35-AC35,0))</x:f>
        <x:v>3</x:v>
      </x:c>
      <x:c r="N35" s="2" t="n">
        <x:f>MAX(0,ROUND('기준스탯 72종'!H9-V35-AD35,0))</x:f>
        <x:v>2</x:v>
      </x:c>
      <x:c r="O35" s="2" t="n">
        <x:f>MAX(0,ROUND('기준스탯 72종'!I9-W35-AE35,0))</x:f>
        <x:v>3</x:v>
      </x:c>
      <x:c r="P35" s="2" t="n">
        <x:f>MAX(0,ROUND('기준스탯 72종'!J9-X35-AF35,0))</x:f>
        <x:v>1</x:v>
      </x:c>
      <x:c r="Q35" s="2" t="n">
        <x:f>MAX(0,ROUND('기준스탯 72종'!K9-Y35-AG35,0))</x:f>
        <x:v>0</x:v>
      </x:c>
      <x:c r="R35" s="15" t="n">
        <x:f>'기준스탯 72종'!D9*G35</x:f>
        <x:v>2.5199999999999996</x:v>
      </x:c>
      <x:c r="S35" s="15" t="n">
        <x:f>'기준스탯 72종'!E9*G35</x:f>
        <x:v>1.9599999999999997</x:v>
      </x:c>
      <x:c r="T35" s="15" t="n">
        <x:f>'기준스탯 72종'!F9*G35</x:f>
        <x:v>1.6799999999999997</x:v>
      </x:c>
      <x:c r="U35" s="15" t="n">
        <x:f>'기준스탯 72종'!G9*G35</x:f>
        <x:v>1.9599999999999997</x:v>
      </x:c>
      <x:c r="V35" s="15" t="n">
        <x:f>'기준스탯 72종'!H9*G35</x:f>
        <x:v>1.4</x:v>
      </x:c>
      <x:c r="W35" s="15" t="n">
        <x:f>'기준스탯 72종'!I9*G35</x:f>
        <x:v>1.9599999999999997</x:v>
      </x:c>
      <x:c r="X35" s="15" t="n">
        <x:f>'기준스탯 72종'!J9*G35</x:f>
        <x:v>0.8399999999999999</x:v>
      </x:c>
      <x:c r="Y35" s="15" t="n">
        <x:f>'기준스탯 72종'!K9*G35</x:f>
        <x:v>0.27999999999999997</x:v>
      </x:c>
      <x:c r="Z35" s="15" t="n">
        <x:f>'기준스탯 72종'!D9*H35</x:f>
        <x:v>2.1600000000000006</x:v>
      </x:c>
      <x:c r="AA35" s="15" t="n">
        <x:f>'기준스탯 72종'!E9*H35</x:f>
        <x:v>1.6800000000000004</x:v>
      </x:c>
      <x:c r="AB35" s="15" t="n">
        <x:f>'기준스탯 72종'!F9*H35</x:f>
        <x:v>1.4400000000000004</x:v>
      </x:c>
      <x:c r="AC35" s="15" t="n">
        <x:f>'기준스탯 72종'!G9*H35</x:f>
        <x:v>1.6800000000000004</x:v>
      </x:c>
      <x:c r="AD35" s="15" t="n">
        <x:f>'기준스탯 72종'!H9*H35</x:f>
        <x:v>1.2000000000000002</x:v>
      </x:c>
      <x:c r="AE35" s="15" t="n">
        <x:f>'기준스탯 72종'!I9*H35</x:f>
        <x:v>1.6800000000000004</x:v>
      </x:c>
      <x:c r="AF35" s="15" t="n">
        <x:f>'기준스탯 72종'!J9*H35</x:f>
        <x:v>0.7200000000000002</x:v>
      </x:c>
      <x:c r="AG35" s="15" t="n">
        <x:f>'기준스탯 72종'!K9*H35</x:f>
        <x:v>0.24000000000000005</x:v>
      </x:c>
    </x:row>
    <x:row r="36" ht="28" customHeight="1">
      <x:c r="A36" s="2" t="n">
        <x:v>29</x:v>
      </x:c>
      <x:c r="B36" s="2" t="n">
        <x:v>2</x:v>
      </x:c>
      <x:c r="C36" s="2" t="str">
        <x:v>양자리</x:v>
      </x:c>
      <x:c r="D36" s="2" t="str">
        <x:v>마도사</x:v>
      </x:c>
      <x:c r="E36" s="2" t="n">
        <x:v>4</x:v>
      </x:c>
      <x:c r="F36" s="2" t="n">
        <x:v>1</x:v>
      </x:c>
      <x:c r="G36" s="14" t="n">
        <x:f>('레벨 계산식'!$E$4-E36)*'레벨 계산식'!$B$5</x:f>
        <x:v>0.13999999999999999</x:v>
      </x:c>
      <x:c r="H36" s="14" t="n">
        <x:f>('등급 계산식'!$E$4-F36)*'등급 계산식'!$B$5</x:f>
        <x:v>0.24000000000000005</x:v>
      </x:c>
      <x:c r="I36" s="14" t="n">
        <x:f>1-G36-H36</x:f>
        <x:v>0.6199999999999999</x:v>
      </x:c>
      <x:c r="J36" s="2" t="n">
        <x:f>MAX(1,ROUND('기준스탯 72종'!D9-R36-Z36,0))</x:f>
        <x:v>6</x:v>
      </x:c>
      <x:c r="K36" s="2" t="n">
        <x:f>MAX(1,ROUND('기준스탯 72종'!E9-S36-AA36,0))</x:f>
        <x:v>4</x:v>
      </x:c>
      <x:c r="L36" s="2" t="n">
        <x:f>MAX(1,ROUND('기준스탯 72종'!F9-T36-AB36,0))</x:f>
        <x:v>4</x:v>
      </x:c>
      <x:c r="M36" s="2" t="n">
        <x:f>MAX(1,ROUND('기준스탯 72종'!G9-U36-AC36,0))</x:f>
        <x:v>4</x:v>
      </x:c>
      <x:c r="N36" s="2" t="n">
        <x:f>MAX(0,ROUND('기준스탯 72종'!H9-V36-AD36,0))</x:f>
        <x:v>3</x:v>
      </x:c>
      <x:c r="O36" s="2" t="n">
        <x:f>MAX(0,ROUND('기준스탯 72종'!I9-W36-AE36,0))</x:f>
        <x:v>4</x:v>
      </x:c>
      <x:c r="P36" s="2" t="n">
        <x:f>MAX(0,ROUND('기준스탯 72종'!J9-X36-AF36,0))</x:f>
        <x:v>2</x:v>
      </x:c>
      <x:c r="Q36" s="2" t="n">
        <x:f>MAX(0,ROUND('기준스탯 72종'!K9-Y36-AG36,0))</x:f>
        <x:v>1</x:v>
      </x:c>
      <x:c r="R36" s="15" t="n">
        <x:f>'기준스탯 72종'!D9*G36</x:f>
        <x:v>1.2599999999999998</x:v>
      </x:c>
      <x:c r="S36" s="15" t="n">
        <x:f>'기준스탯 72종'!E9*G36</x:f>
        <x:v>0.9799999999999999</x:v>
      </x:c>
      <x:c r="T36" s="15" t="n">
        <x:f>'기준스탯 72종'!F9*G36</x:f>
        <x:v>0.8399999999999999</x:v>
      </x:c>
      <x:c r="U36" s="15" t="n">
        <x:f>'기준스탯 72종'!G9*G36</x:f>
        <x:v>0.9799999999999999</x:v>
      </x:c>
      <x:c r="V36" s="15" t="n">
        <x:f>'기준스탯 72종'!H9*G36</x:f>
        <x:v>0.7</x:v>
      </x:c>
      <x:c r="W36" s="15" t="n">
        <x:f>'기준스탯 72종'!I9*G36</x:f>
        <x:v>0.9799999999999999</x:v>
      </x:c>
      <x:c r="X36" s="15" t="n">
        <x:f>'기준스탯 72종'!J9*G36</x:f>
        <x:v>0.41999999999999993</x:v>
      </x:c>
      <x:c r="Y36" s="15" t="n">
        <x:f>'기준스탯 72종'!K9*G36</x:f>
        <x:v>0.13999999999999999</x:v>
      </x:c>
      <x:c r="Z36" s="15" t="n">
        <x:f>'기준스탯 72종'!D9*H36</x:f>
        <x:v>2.1600000000000006</x:v>
      </x:c>
      <x:c r="AA36" s="15" t="n">
        <x:f>'기준스탯 72종'!E9*H36</x:f>
        <x:v>1.6800000000000004</x:v>
      </x:c>
      <x:c r="AB36" s="15" t="n">
        <x:f>'기준스탯 72종'!F9*H36</x:f>
        <x:v>1.4400000000000004</x:v>
      </x:c>
      <x:c r="AC36" s="15" t="n">
        <x:f>'기준스탯 72종'!G9*H36</x:f>
        <x:v>1.6800000000000004</x:v>
      </x:c>
      <x:c r="AD36" s="15" t="n">
        <x:f>'기준스탯 72종'!H9*H36</x:f>
        <x:v>1.2000000000000002</x:v>
      </x:c>
      <x:c r="AE36" s="15" t="n">
        <x:f>'기준스탯 72종'!I9*H36</x:f>
        <x:v>1.6800000000000004</x:v>
      </x:c>
      <x:c r="AF36" s="15" t="n">
        <x:f>'기준스탯 72종'!J9*H36</x:f>
        <x:v>0.7200000000000002</x:v>
      </x:c>
      <x:c r="AG36" s="15" t="n">
        <x:f>'기준스탯 72종'!K9*H36</x:f>
        <x:v>0.24000000000000005</x:v>
      </x:c>
    </x:row>
    <x:row r="37" ht="28" customHeight="1">
      <x:c r="A37" s="2" t="n">
        <x:v>30</x:v>
      </x:c>
      <x:c r="B37" s="2" t="n">
        <x:v>2</x:v>
      </x:c>
      <x:c r="C37" s="2" t="str">
        <x:v>양자리</x:v>
      </x:c>
      <x:c r="D37" s="2" t="str">
        <x:v>마도사</x:v>
      </x:c>
      <x:c r="E37" s="2" t="n">
        <x:v>5</x:v>
      </x:c>
      <x:c r="F37" s="2" t="n">
        <x:v>1</x:v>
      </x:c>
      <x:c r="G37" s="14" t="n">
        <x:f>('레벨 계산식'!$E$4-E37)*'레벨 계산식'!$B$5</x:f>
        <x:v>0</x:v>
      </x:c>
      <x:c r="H37" s="14" t="n">
        <x:f>('등급 계산식'!$E$4-F37)*'등급 계산식'!$B$5</x:f>
        <x:v>0.24000000000000005</x:v>
      </x:c>
      <x:c r="I37" s="14" t="n">
        <x:f>1-G37-H37</x:f>
        <x:v>0.76</x:v>
      </x:c>
      <x:c r="J37" s="2" t="n">
        <x:f>MAX(1,ROUND('기준스탯 72종'!D9-R37-Z37,0))</x:f>
        <x:v>7</x:v>
      </x:c>
      <x:c r="K37" s="2" t="n">
        <x:f>MAX(1,ROUND('기준스탯 72종'!E9-S37-AA37,0))</x:f>
        <x:v>5</x:v>
      </x:c>
      <x:c r="L37" s="2" t="n">
        <x:f>MAX(1,ROUND('기준스탯 72종'!F9-T37-AB37,0))</x:f>
        <x:v>5</x:v>
      </x:c>
      <x:c r="M37" s="2" t="n">
        <x:f>MAX(1,ROUND('기준스탯 72종'!G9-U37-AC37,0))</x:f>
        <x:v>5</x:v>
      </x:c>
      <x:c r="N37" s="2" t="n">
        <x:f>MAX(0,ROUND('기준스탯 72종'!H9-V37-AD37,0))</x:f>
        <x:v>4</x:v>
      </x:c>
      <x:c r="O37" s="2" t="n">
        <x:f>MAX(0,ROUND('기준스탯 72종'!I9-W37-AE37,0))</x:f>
        <x:v>5</x:v>
      </x:c>
      <x:c r="P37" s="2" t="n">
        <x:f>MAX(0,ROUND('기준스탯 72종'!J9-X37-AF37,0))</x:f>
        <x:v>2</x:v>
      </x:c>
      <x:c r="Q37" s="2" t="n">
        <x:f>MAX(0,ROUND('기준스탯 72종'!K9-Y37-AG37,0))</x:f>
        <x:v>1</x:v>
      </x:c>
      <x:c r="R37" s="15" t="n">
        <x:f>'기준스탯 72종'!D9*G37</x:f>
        <x:v>0</x:v>
      </x:c>
      <x:c r="S37" s="15" t="n">
        <x:f>'기준스탯 72종'!E9*G37</x:f>
        <x:v>0</x:v>
      </x:c>
      <x:c r="T37" s="15" t="n">
        <x:f>'기준스탯 72종'!F9*G37</x:f>
        <x:v>0</x:v>
      </x:c>
      <x:c r="U37" s="15" t="n">
        <x:f>'기준스탯 72종'!G9*G37</x:f>
        <x:v>0</x:v>
      </x:c>
      <x:c r="V37" s="15" t="n">
        <x:f>'기준스탯 72종'!H9*G37</x:f>
        <x:v>0</x:v>
      </x:c>
      <x:c r="W37" s="15" t="n">
        <x:f>'기준스탯 72종'!I9*G37</x:f>
        <x:v>0</x:v>
      </x:c>
      <x:c r="X37" s="15" t="n">
        <x:f>'기준스탯 72종'!J9*G37</x:f>
        <x:v>0</x:v>
      </x:c>
      <x:c r="Y37" s="15" t="n">
        <x:f>'기준스탯 72종'!K9*G37</x:f>
        <x:v>0</x:v>
      </x:c>
      <x:c r="Z37" s="15" t="n">
        <x:f>'기준스탯 72종'!D9*H37</x:f>
        <x:v>2.1600000000000006</x:v>
      </x:c>
      <x:c r="AA37" s="15" t="n">
        <x:f>'기준스탯 72종'!E9*H37</x:f>
        <x:v>1.6800000000000004</x:v>
      </x:c>
      <x:c r="AB37" s="15" t="n">
        <x:f>'기준스탯 72종'!F9*H37</x:f>
        <x:v>1.4400000000000004</x:v>
      </x:c>
      <x:c r="AC37" s="15" t="n">
        <x:f>'기준스탯 72종'!G9*H37</x:f>
        <x:v>1.6800000000000004</x:v>
      </x:c>
      <x:c r="AD37" s="15" t="n">
        <x:f>'기준스탯 72종'!H9*H37</x:f>
        <x:v>1.2000000000000002</x:v>
      </x:c>
      <x:c r="AE37" s="15" t="n">
        <x:f>'기준스탯 72종'!I9*H37</x:f>
        <x:v>1.6800000000000004</x:v>
      </x:c>
      <x:c r="AF37" s="15" t="n">
        <x:f>'기준스탯 72종'!J9*H37</x:f>
        <x:v>0.7200000000000002</x:v>
      </x:c>
      <x:c r="AG37" s="15" t="n">
        <x:f>'기준스탯 72종'!K9*H37</x:f>
        <x:v>0.24000000000000005</x:v>
      </x:c>
    </x:row>
    <x:row r="38" ht="28" customHeight="1">
      <x:c r="A38" s="2" t="n">
        <x:v>31</x:v>
      </x:c>
      <x:c r="B38" s="2" t="n">
        <x:v>2</x:v>
      </x:c>
      <x:c r="C38" s="2" t="str">
        <x:v>양자리</x:v>
      </x:c>
      <x:c r="D38" s="2" t="str">
        <x:v>마도사</x:v>
      </x:c>
      <x:c r="E38" s="2" t="n">
        <x:v>1</x:v>
      </x:c>
      <x:c r="F38" s="2" t="n">
        <x:v>2</x:v>
      </x:c>
      <x:c r="G38" s="14" t="n">
        <x:f>('레벨 계산식'!$E$4-E38)*'레벨 계산식'!$B$5</x:f>
        <x:v>0.5599999999999999</x:v>
      </x:c>
      <x:c r="H38" s="14" t="n">
        <x:f>('등급 계산식'!$E$4-F38)*'등급 계산식'!$B$5</x:f>
        <x:v>0.18000000000000005</x:v>
      </x:c>
      <x:c r="I38" s="14" t="n">
        <x:f>1-G38-H38</x:f>
        <x:v>0.26</x:v>
      </x:c>
      <x:c r="J38" s="2" t="n">
        <x:f>MAX(1,ROUND('기준스탯 72종'!D9-R38-Z38,0))</x:f>
        <x:v>2</x:v>
      </x:c>
      <x:c r="K38" s="2" t="n">
        <x:f>MAX(1,ROUND('기준스탯 72종'!E9-S38-AA38,0))</x:f>
        <x:v>2</x:v>
      </x:c>
      <x:c r="L38" s="2" t="n">
        <x:f>MAX(1,ROUND('기준스탯 72종'!F9-T38-AB38,0))</x:f>
        <x:v>2</x:v>
      </x:c>
      <x:c r="M38" s="2" t="n">
        <x:f>MAX(1,ROUND('기준스탯 72종'!G9-U38-AC38,0))</x:f>
        <x:v>2</x:v>
      </x:c>
      <x:c r="N38" s="2" t="n">
        <x:f>MAX(0,ROUND('기준스탯 72종'!H9-V38-AD38,0))</x:f>
        <x:v>1</x:v>
      </x:c>
      <x:c r="O38" s="2" t="n">
        <x:f>MAX(0,ROUND('기준스탯 72종'!I9-W38-AE38,0))</x:f>
        <x:v>2</x:v>
      </x:c>
      <x:c r="P38" s="2" t="n">
        <x:f>MAX(0,ROUND('기준스탯 72종'!J9-X38-AF38,0))</x:f>
        <x:v>1</x:v>
      </x:c>
      <x:c r="Q38" s="2" t="n">
        <x:f>MAX(0,ROUND('기준스탯 72종'!K9-Y38-AG38,0))</x:f>
        <x:v>0</x:v>
      </x:c>
      <x:c r="R38" s="15" t="n">
        <x:f>'기준스탯 72종'!D9*G38</x:f>
        <x:v>5.039999999999999</x:v>
      </x:c>
      <x:c r="S38" s="15" t="n">
        <x:f>'기준스탯 72종'!E9*G38</x:f>
        <x:v>3.9199999999999995</x:v>
      </x:c>
      <x:c r="T38" s="15" t="n">
        <x:f>'기준스탯 72종'!F9*G38</x:f>
        <x:v>3.3599999999999994</x:v>
      </x:c>
      <x:c r="U38" s="15" t="n">
        <x:f>'기준스탯 72종'!G9*G38</x:f>
        <x:v>3.9199999999999995</x:v>
      </x:c>
      <x:c r="V38" s="15" t="n">
        <x:f>'기준스탯 72종'!H9*G38</x:f>
        <x:v>2.8</x:v>
      </x:c>
      <x:c r="W38" s="15" t="n">
        <x:f>'기준스탯 72종'!I9*G38</x:f>
        <x:v>3.9199999999999995</x:v>
      </x:c>
      <x:c r="X38" s="15" t="n">
        <x:f>'기준스탯 72종'!J9*G38</x:f>
        <x:v>1.6799999999999997</x:v>
      </x:c>
      <x:c r="Y38" s="15" t="n">
        <x:f>'기준스탯 72종'!K9*G38</x:f>
        <x:v>0.5599999999999999</x:v>
      </x:c>
      <x:c r="Z38" s="15" t="n">
        <x:f>'기준스탯 72종'!D9*H38</x:f>
        <x:v>1.6200000000000006</x:v>
      </x:c>
      <x:c r="AA38" s="15" t="n">
        <x:f>'기준스탯 72종'!E9*H38</x:f>
        <x:v>1.2600000000000002</x:v>
      </x:c>
      <x:c r="AB38" s="15" t="n">
        <x:f>'기준스탯 72종'!F9*H38</x:f>
        <x:v>1.0800000000000003</x:v>
      </x:c>
      <x:c r="AC38" s="15" t="n">
        <x:f>'기준스탯 72종'!G9*H38</x:f>
        <x:v>1.2600000000000002</x:v>
      </x:c>
      <x:c r="AD38" s="15" t="n">
        <x:f>'기준스탯 72종'!H9*H38</x:f>
        <x:v>0.9000000000000002</x:v>
      </x:c>
      <x:c r="AE38" s="15" t="n">
        <x:f>'기준스탯 72종'!I9*H38</x:f>
        <x:v>1.2600000000000002</x:v>
      </x:c>
      <x:c r="AF38" s="15" t="n">
        <x:f>'기준스탯 72종'!J9*H38</x:f>
        <x:v>0.5400000000000001</x:v>
      </x:c>
      <x:c r="AG38" s="15" t="n">
        <x:f>'기준스탯 72종'!K9*H38</x:f>
        <x:v>0.18000000000000005</x:v>
      </x:c>
    </x:row>
    <x:row r="39" ht="28" customHeight="1">
      <x:c r="A39" s="2" t="n">
        <x:v>32</x:v>
      </x:c>
      <x:c r="B39" s="2" t="n">
        <x:v>2</x:v>
      </x:c>
      <x:c r="C39" s="2" t="str">
        <x:v>양자리</x:v>
      </x:c>
      <x:c r="D39" s="2" t="str">
        <x:v>마도사</x:v>
      </x:c>
      <x:c r="E39" s="2" t="n">
        <x:v>2</x:v>
      </x:c>
      <x:c r="F39" s="2" t="n">
        <x:v>2</x:v>
      </x:c>
      <x:c r="G39" s="14" t="n">
        <x:f>('레벨 계산식'!$E$4-E39)*'레벨 계산식'!$B$5</x:f>
        <x:v>0.41999999999999993</x:v>
      </x:c>
      <x:c r="H39" s="14" t="n">
        <x:f>('등급 계산식'!$E$4-F39)*'등급 계산식'!$B$5</x:f>
        <x:v>0.18000000000000005</x:v>
      </x:c>
      <x:c r="I39" s="14" t="n">
        <x:f>1-G39-H39</x:f>
        <x:v>0.4</x:v>
      </x:c>
      <x:c r="J39" s="2" t="n">
        <x:f>MAX(1,ROUND('기준스탯 72종'!D9-R39-Z39,0))</x:f>
        <x:v>4</x:v>
      </x:c>
      <x:c r="K39" s="2" t="n">
        <x:f>MAX(1,ROUND('기준스탯 72종'!E9-S39-AA39,0))</x:f>
        <x:v>3</x:v>
      </x:c>
      <x:c r="L39" s="2" t="n">
        <x:f>MAX(1,ROUND('기준스탯 72종'!F9-T39-AB39,0))</x:f>
        <x:v>2</x:v>
      </x:c>
      <x:c r="M39" s="2" t="n">
        <x:f>MAX(1,ROUND('기준스탯 72종'!G9-U39-AC39,0))</x:f>
        <x:v>3</x:v>
      </x:c>
      <x:c r="N39" s="2" t="n">
        <x:f>MAX(0,ROUND('기준스탯 72종'!H9-V39-AD39,0))</x:f>
        <x:v>2</x:v>
      </x:c>
      <x:c r="O39" s="2" t="n">
        <x:f>MAX(0,ROUND('기준스탯 72종'!I9-W39-AE39,0))</x:f>
        <x:v>3</x:v>
      </x:c>
      <x:c r="P39" s="2" t="n">
        <x:f>MAX(0,ROUND('기준스탯 72종'!J9-X39-AF39,0))</x:f>
        <x:v>1</x:v>
      </x:c>
      <x:c r="Q39" s="2" t="n">
        <x:f>MAX(0,ROUND('기준스탯 72종'!K9-Y39-AG39,0))</x:f>
        <x:v>0</x:v>
      </x:c>
      <x:c r="R39" s="15" t="n">
        <x:f>'기준스탯 72종'!D9*G39</x:f>
        <x:v>3.7799999999999994</x:v>
      </x:c>
      <x:c r="S39" s="15" t="n">
        <x:f>'기준스탯 72종'!E9*G39</x:f>
        <x:v>2.9399999999999995</x:v>
      </x:c>
      <x:c r="T39" s="15" t="n">
        <x:f>'기준스탯 72종'!F9*G39</x:f>
        <x:v>2.5199999999999996</x:v>
      </x:c>
      <x:c r="U39" s="15" t="n">
        <x:f>'기준스탯 72종'!G9*G39</x:f>
        <x:v>2.9399999999999995</x:v>
      </x:c>
      <x:c r="V39" s="15" t="n">
        <x:f>'기준스탯 72종'!H9*G39</x:f>
        <x:v>2.0999999999999996</x:v>
      </x:c>
      <x:c r="W39" s="15" t="n">
        <x:f>'기준스탯 72종'!I9*G39</x:f>
        <x:v>2.9399999999999995</x:v>
      </x:c>
      <x:c r="X39" s="15" t="n">
        <x:f>'기준스탯 72종'!J9*G39</x:f>
        <x:v>1.2599999999999998</x:v>
      </x:c>
      <x:c r="Y39" s="15" t="n">
        <x:f>'기준스탯 72종'!K9*G39</x:f>
        <x:v>0.41999999999999993</x:v>
      </x:c>
      <x:c r="Z39" s="15" t="n">
        <x:f>'기준스탯 72종'!D9*H39</x:f>
        <x:v>1.6200000000000006</x:v>
      </x:c>
      <x:c r="AA39" s="15" t="n">
        <x:f>'기준스탯 72종'!E9*H39</x:f>
        <x:v>1.2600000000000002</x:v>
      </x:c>
      <x:c r="AB39" s="15" t="n">
        <x:f>'기준스탯 72종'!F9*H39</x:f>
        <x:v>1.0800000000000003</x:v>
      </x:c>
      <x:c r="AC39" s="15" t="n">
        <x:f>'기준스탯 72종'!G9*H39</x:f>
        <x:v>1.2600000000000002</x:v>
      </x:c>
      <x:c r="AD39" s="15" t="n">
        <x:f>'기준스탯 72종'!H9*H39</x:f>
        <x:v>0.9000000000000002</x:v>
      </x:c>
      <x:c r="AE39" s="15" t="n">
        <x:f>'기준스탯 72종'!I9*H39</x:f>
        <x:v>1.2600000000000002</x:v>
      </x:c>
      <x:c r="AF39" s="15" t="n">
        <x:f>'기준스탯 72종'!J9*H39</x:f>
        <x:v>0.5400000000000001</x:v>
      </x:c>
      <x:c r="AG39" s="15" t="n">
        <x:f>'기준스탯 72종'!K9*H39</x:f>
        <x:v>0.18000000000000005</x:v>
      </x:c>
    </x:row>
    <x:row r="40" ht="28" customHeight="1">
      <x:c r="A40" s="2" t="n">
        <x:v>33</x:v>
      </x:c>
      <x:c r="B40" s="2" t="n">
        <x:v>2</x:v>
      </x:c>
      <x:c r="C40" s="2" t="str">
        <x:v>양자리</x:v>
      </x:c>
      <x:c r="D40" s="2" t="str">
        <x:v>마도사</x:v>
      </x:c>
      <x:c r="E40" s="2" t="n">
        <x:v>3</x:v>
      </x:c>
      <x:c r="F40" s="2" t="n">
        <x:v>2</x:v>
      </x:c>
      <x:c r="G40" s="14" t="n">
        <x:f>('레벨 계산식'!$E$4-E40)*'레벨 계산식'!$B$5</x:f>
        <x:v>0.27999999999999997</x:v>
      </x:c>
      <x:c r="H40" s="14" t="n">
        <x:f>('등급 계산식'!$E$4-F40)*'등급 계산식'!$B$5</x:f>
        <x:v>0.18000000000000005</x:v>
      </x:c>
      <x:c r="I40" s="14" t="n">
        <x:f>1-G40-H40</x:f>
        <x:v>0.5399999999999999</x:v>
      </x:c>
      <x:c r="J40" s="2" t="n">
        <x:f>MAX(1,ROUND('기준스탯 72종'!D9-R40-Z40,0))</x:f>
        <x:v>5</x:v>
      </x:c>
      <x:c r="K40" s="2" t="n">
        <x:f>MAX(1,ROUND('기준스탯 72종'!E9-S40-AA40,0))</x:f>
        <x:v>4</x:v>
      </x:c>
      <x:c r="L40" s="2" t="n">
        <x:f>MAX(1,ROUND('기준스탯 72종'!F9-T40-AB40,0))</x:f>
        <x:v>3</x:v>
      </x:c>
      <x:c r="M40" s="2" t="n">
        <x:f>MAX(1,ROUND('기준스탯 72종'!G9-U40-AC40,0))</x:f>
        <x:v>4</x:v>
      </x:c>
      <x:c r="N40" s="2" t="n">
        <x:f>MAX(0,ROUND('기준스탯 72종'!H9-V40-AD40,0))</x:f>
        <x:v>3</x:v>
      </x:c>
      <x:c r="O40" s="2" t="n">
        <x:f>MAX(0,ROUND('기준스탯 72종'!I9-W40-AE40,0))</x:f>
        <x:v>4</x:v>
      </x:c>
      <x:c r="P40" s="2" t="n">
        <x:f>MAX(0,ROUND('기준스탯 72종'!J9-X40-AF40,0))</x:f>
        <x:v>2</x:v>
      </x:c>
      <x:c r="Q40" s="2" t="n">
        <x:f>MAX(0,ROUND('기준스탯 72종'!K9-Y40-AG40,0))</x:f>
        <x:v>1</x:v>
      </x:c>
      <x:c r="R40" s="15" t="n">
        <x:f>'기준스탯 72종'!D9*G40</x:f>
        <x:v>2.5199999999999996</x:v>
      </x:c>
      <x:c r="S40" s="15" t="n">
        <x:f>'기준스탯 72종'!E9*G40</x:f>
        <x:v>1.9599999999999997</x:v>
      </x:c>
      <x:c r="T40" s="15" t="n">
        <x:f>'기준스탯 72종'!F9*G40</x:f>
        <x:v>1.6799999999999997</x:v>
      </x:c>
      <x:c r="U40" s="15" t="n">
        <x:f>'기준스탯 72종'!G9*G40</x:f>
        <x:v>1.9599999999999997</x:v>
      </x:c>
      <x:c r="V40" s="15" t="n">
        <x:f>'기준스탯 72종'!H9*G40</x:f>
        <x:v>1.4</x:v>
      </x:c>
      <x:c r="W40" s="15" t="n">
        <x:f>'기준스탯 72종'!I9*G40</x:f>
        <x:v>1.9599999999999997</x:v>
      </x:c>
      <x:c r="X40" s="15" t="n">
        <x:f>'기준스탯 72종'!J9*G40</x:f>
        <x:v>0.8399999999999999</x:v>
      </x:c>
      <x:c r="Y40" s="15" t="n">
        <x:f>'기준스탯 72종'!K9*G40</x:f>
        <x:v>0.27999999999999997</x:v>
      </x:c>
      <x:c r="Z40" s="15" t="n">
        <x:f>'기준스탯 72종'!D9*H40</x:f>
        <x:v>1.6200000000000006</x:v>
      </x:c>
      <x:c r="AA40" s="15" t="n">
        <x:f>'기준스탯 72종'!E9*H40</x:f>
        <x:v>1.2600000000000002</x:v>
      </x:c>
      <x:c r="AB40" s="15" t="n">
        <x:f>'기준스탯 72종'!F9*H40</x:f>
        <x:v>1.0800000000000003</x:v>
      </x:c>
      <x:c r="AC40" s="15" t="n">
        <x:f>'기준스탯 72종'!G9*H40</x:f>
        <x:v>1.2600000000000002</x:v>
      </x:c>
      <x:c r="AD40" s="15" t="n">
        <x:f>'기준스탯 72종'!H9*H40</x:f>
        <x:v>0.9000000000000002</x:v>
      </x:c>
      <x:c r="AE40" s="15" t="n">
        <x:f>'기준스탯 72종'!I9*H40</x:f>
        <x:v>1.2600000000000002</x:v>
      </x:c>
      <x:c r="AF40" s="15" t="n">
        <x:f>'기준스탯 72종'!J9*H40</x:f>
        <x:v>0.5400000000000001</x:v>
      </x:c>
      <x:c r="AG40" s="15" t="n">
        <x:f>'기준스탯 72종'!K9*H40</x:f>
        <x:v>0.18000000000000005</x:v>
      </x:c>
    </x:row>
    <x:row r="41" ht="28" customHeight="1">
      <x:c r="A41" s="2" t="n">
        <x:v>34</x:v>
      </x:c>
      <x:c r="B41" s="2" t="n">
        <x:v>2</x:v>
      </x:c>
      <x:c r="C41" s="2" t="str">
        <x:v>양자리</x:v>
      </x:c>
      <x:c r="D41" s="2" t="str">
        <x:v>마도사</x:v>
      </x:c>
      <x:c r="E41" s="2" t="n">
        <x:v>4</x:v>
      </x:c>
      <x:c r="F41" s="2" t="n">
        <x:v>2</x:v>
      </x:c>
      <x:c r="G41" s="14" t="n">
        <x:f>('레벨 계산식'!$E$4-E41)*'레벨 계산식'!$B$5</x:f>
        <x:v>0.13999999999999999</x:v>
      </x:c>
      <x:c r="H41" s="14" t="n">
        <x:f>('등급 계산식'!$E$4-F41)*'등급 계산식'!$B$5</x:f>
        <x:v>0.18000000000000005</x:v>
      </x:c>
      <x:c r="I41" s="14" t="n">
        <x:f>1-G41-H41</x:f>
        <x:v>0.6799999999999999</x:v>
      </x:c>
      <x:c r="J41" s="2" t="n">
        <x:f>MAX(1,ROUND('기준스탯 72종'!D9-R41-Z41,0))</x:f>
        <x:v>6</x:v>
      </x:c>
      <x:c r="K41" s="2" t="n">
        <x:f>MAX(1,ROUND('기준스탯 72종'!E9-S41-AA41,0))</x:f>
        <x:v>5</x:v>
      </x:c>
      <x:c r="L41" s="2" t="n">
        <x:f>MAX(1,ROUND('기준스탯 72종'!F9-T41-AB41,0))</x:f>
        <x:v>4</x:v>
      </x:c>
      <x:c r="M41" s="2" t="n">
        <x:f>MAX(1,ROUND('기준스탯 72종'!G9-U41-AC41,0))</x:f>
        <x:v>5</x:v>
      </x:c>
      <x:c r="N41" s="2" t="n">
        <x:f>MAX(0,ROUND('기준스탯 72종'!H9-V41-AD41,0))</x:f>
        <x:v>3</x:v>
      </x:c>
      <x:c r="O41" s="2" t="n">
        <x:f>MAX(0,ROUND('기준스탯 72종'!I9-W41-AE41,0))</x:f>
        <x:v>5</x:v>
      </x:c>
      <x:c r="P41" s="2" t="n">
        <x:f>MAX(0,ROUND('기준스탯 72종'!J9-X41-AF41,0))</x:f>
        <x:v>2</x:v>
      </x:c>
      <x:c r="Q41" s="2" t="n">
        <x:f>MAX(0,ROUND('기준스탯 72종'!K9-Y41-AG41,0))</x:f>
        <x:v>1</x:v>
      </x:c>
      <x:c r="R41" s="15" t="n">
        <x:f>'기준스탯 72종'!D9*G41</x:f>
        <x:v>1.2599999999999998</x:v>
      </x:c>
      <x:c r="S41" s="15" t="n">
        <x:f>'기준스탯 72종'!E9*G41</x:f>
        <x:v>0.9799999999999999</x:v>
      </x:c>
      <x:c r="T41" s="15" t="n">
        <x:f>'기준스탯 72종'!F9*G41</x:f>
        <x:v>0.8399999999999999</x:v>
      </x:c>
      <x:c r="U41" s="15" t="n">
        <x:f>'기준스탯 72종'!G9*G41</x:f>
        <x:v>0.9799999999999999</x:v>
      </x:c>
      <x:c r="V41" s="15" t="n">
        <x:f>'기준스탯 72종'!H9*G41</x:f>
        <x:v>0.7</x:v>
      </x:c>
      <x:c r="W41" s="15" t="n">
        <x:f>'기준스탯 72종'!I9*G41</x:f>
        <x:v>0.9799999999999999</x:v>
      </x:c>
      <x:c r="X41" s="15" t="n">
        <x:f>'기준스탯 72종'!J9*G41</x:f>
        <x:v>0.41999999999999993</x:v>
      </x:c>
      <x:c r="Y41" s="15" t="n">
        <x:f>'기준스탯 72종'!K9*G41</x:f>
        <x:v>0.13999999999999999</x:v>
      </x:c>
      <x:c r="Z41" s="15" t="n">
        <x:f>'기준스탯 72종'!D9*H41</x:f>
        <x:v>1.6200000000000006</x:v>
      </x:c>
      <x:c r="AA41" s="15" t="n">
        <x:f>'기준스탯 72종'!E9*H41</x:f>
        <x:v>1.2600000000000002</x:v>
      </x:c>
      <x:c r="AB41" s="15" t="n">
        <x:f>'기준스탯 72종'!F9*H41</x:f>
        <x:v>1.0800000000000003</x:v>
      </x:c>
      <x:c r="AC41" s="15" t="n">
        <x:f>'기준스탯 72종'!G9*H41</x:f>
        <x:v>1.2600000000000002</x:v>
      </x:c>
      <x:c r="AD41" s="15" t="n">
        <x:f>'기준스탯 72종'!H9*H41</x:f>
        <x:v>0.9000000000000002</x:v>
      </x:c>
      <x:c r="AE41" s="15" t="n">
        <x:f>'기준스탯 72종'!I9*H41</x:f>
        <x:v>1.2600000000000002</x:v>
      </x:c>
      <x:c r="AF41" s="15" t="n">
        <x:f>'기준스탯 72종'!J9*H41</x:f>
        <x:v>0.5400000000000001</x:v>
      </x:c>
      <x:c r="AG41" s="15" t="n">
        <x:f>'기준스탯 72종'!K9*H41</x:f>
        <x:v>0.18000000000000005</x:v>
      </x:c>
    </x:row>
    <x:row r="42" ht="28" customHeight="1">
      <x:c r="A42" s="2" t="n">
        <x:v>35</x:v>
      </x:c>
      <x:c r="B42" s="2" t="n">
        <x:v>2</x:v>
      </x:c>
      <x:c r="C42" s="2" t="str">
        <x:v>양자리</x:v>
      </x:c>
      <x:c r="D42" s="2" t="str">
        <x:v>마도사</x:v>
      </x:c>
      <x:c r="E42" s="2" t="n">
        <x:v>5</x:v>
      </x:c>
      <x:c r="F42" s="2" t="n">
        <x:v>2</x:v>
      </x:c>
      <x:c r="G42" s="14" t="n">
        <x:f>('레벨 계산식'!$E$4-E42)*'레벨 계산식'!$B$5</x:f>
        <x:v>0</x:v>
      </x:c>
      <x:c r="H42" s="14" t="n">
        <x:f>('등급 계산식'!$E$4-F42)*'등급 계산식'!$B$5</x:f>
        <x:v>0.18000000000000005</x:v>
      </x:c>
      <x:c r="I42" s="14" t="n">
        <x:f>1-G42-H42</x:f>
        <x:v>0.82</x:v>
      </x:c>
      <x:c r="J42" s="2" t="n">
        <x:f>MAX(1,ROUND('기준스탯 72종'!D9-R42-Z42,0))</x:f>
        <x:v>7</x:v>
      </x:c>
      <x:c r="K42" s="2" t="n">
        <x:f>MAX(1,ROUND('기준스탯 72종'!E9-S42-AA42,0))</x:f>
        <x:v>6</x:v>
      </x:c>
      <x:c r="L42" s="2" t="n">
        <x:f>MAX(1,ROUND('기준스탯 72종'!F9-T42-AB42,0))</x:f>
        <x:v>5</x:v>
      </x:c>
      <x:c r="M42" s="2" t="n">
        <x:f>MAX(1,ROUND('기준스탯 72종'!G9-U42-AC42,0))</x:f>
        <x:v>6</x:v>
      </x:c>
      <x:c r="N42" s="2" t="n">
        <x:f>MAX(0,ROUND('기준스탯 72종'!H9-V42-AD42,0))</x:f>
        <x:v>4</x:v>
      </x:c>
      <x:c r="O42" s="2" t="n">
        <x:f>MAX(0,ROUND('기준스탯 72종'!I9-W42-AE42,0))</x:f>
        <x:v>6</x:v>
      </x:c>
      <x:c r="P42" s="2" t="n">
        <x:f>MAX(0,ROUND('기준스탯 72종'!J9-X42-AF42,0))</x:f>
        <x:v>2</x:v>
      </x:c>
      <x:c r="Q42" s="2" t="n">
        <x:f>MAX(0,ROUND('기준스탯 72종'!K9-Y42-AG42,0))</x:f>
        <x:v>1</x:v>
      </x:c>
      <x:c r="R42" s="15" t="n">
        <x:f>'기준스탯 72종'!D9*G42</x:f>
        <x:v>0</x:v>
      </x:c>
      <x:c r="S42" s="15" t="n">
        <x:f>'기준스탯 72종'!E9*G42</x:f>
        <x:v>0</x:v>
      </x:c>
      <x:c r="T42" s="15" t="n">
        <x:f>'기준스탯 72종'!F9*G42</x:f>
        <x:v>0</x:v>
      </x:c>
      <x:c r="U42" s="15" t="n">
        <x:f>'기준스탯 72종'!G9*G42</x:f>
        <x:v>0</x:v>
      </x:c>
      <x:c r="V42" s="15" t="n">
        <x:f>'기준스탯 72종'!H9*G42</x:f>
        <x:v>0</x:v>
      </x:c>
      <x:c r="W42" s="15" t="n">
        <x:f>'기준스탯 72종'!I9*G42</x:f>
        <x:v>0</x:v>
      </x:c>
      <x:c r="X42" s="15" t="n">
        <x:f>'기준스탯 72종'!J9*G42</x:f>
        <x:v>0</x:v>
      </x:c>
      <x:c r="Y42" s="15" t="n">
        <x:f>'기준스탯 72종'!K9*G42</x:f>
        <x:v>0</x:v>
      </x:c>
      <x:c r="Z42" s="15" t="n">
        <x:f>'기준스탯 72종'!D9*H42</x:f>
        <x:v>1.6200000000000006</x:v>
      </x:c>
      <x:c r="AA42" s="15" t="n">
        <x:f>'기준스탯 72종'!E9*H42</x:f>
        <x:v>1.2600000000000002</x:v>
      </x:c>
      <x:c r="AB42" s="15" t="n">
        <x:f>'기준스탯 72종'!F9*H42</x:f>
        <x:v>1.0800000000000003</x:v>
      </x:c>
      <x:c r="AC42" s="15" t="n">
        <x:f>'기준스탯 72종'!G9*H42</x:f>
        <x:v>1.2600000000000002</x:v>
      </x:c>
      <x:c r="AD42" s="15" t="n">
        <x:f>'기준스탯 72종'!H9*H42</x:f>
        <x:v>0.9000000000000002</x:v>
      </x:c>
      <x:c r="AE42" s="15" t="n">
        <x:f>'기준스탯 72종'!I9*H42</x:f>
        <x:v>1.2600000000000002</x:v>
      </x:c>
      <x:c r="AF42" s="15" t="n">
        <x:f>'기준스탯 72종'!J9*H42</x:f>
        <x:v>0.5400000000000001</x:v>
      </x:c>
      <x:c r="AG42" s="15" t="n">
        <x:f>'기준스탯 72종'!K9*H42</x:f>
        <x:v>0.18000000000000005</x:v>
      </x:c>
    </x:row>
    <x:row r="43" ht="28" customHeight="1">
      <x:c r="A43" s="2" t="n">
        <x:v>36</x:v>
      </x:c>
      <x:c r="B43" s="2" t="n">
        <x:v>2</x:v>
      </x:c>
      <x:c r="C43" s="2" t="str">
        <x:v>양자리</x:v>
      </x:c>
      <x:c r="D43" s="2" t="str">
        <x:v>마도사</x:v>
      </x:c>
      <x:c r="E43" s="2" t="n">
        <x:v>1</x:v>
      </x:c>
      <x:c r="F43" s="2" t="n">
        <x:v>3</x:v>
      </x:c>
      <x:c r="G43" s="14" t="n">
        <x:f>('레벨 계산식'!$E$4-E43)*'레벨 계산식'!$B$5</x:f>
        <x:v>0.5599999999999999</x:v>
      </x:c>
      <x:c r="H43" s="14" t="n">
        <x:f>('등급 계산식'!$E$4-F43)*'등급 계산식'!$B$5</x:f>
        <x:v>0.12000000000000002</x:v>
      </x:c>
      <x:c r="I43" s="14" t="n">
        <x:f>1-G43-H43</x:f>
        <x:v>0.32000000000000006</x:v>
      </x:c>
      <x:c r="J43" s="2" t="n">
        <x:f>MAX(1,ROUND('기준스탯 72종'!D9-R43-Z43,0))</x:f>
        <x:v>3</x:v>
      </x:c>
      <x:c r="K43" s="2" t="n">
        <x:f>MAX(1,ROUND('기준스탯 72종'!E9-S43-AA43,0))</x:f>
        <x:v>2</x:v>
      </x:c>
      <x:c r="L43" s="2" t="n">
        <x:f>MAX(1,ROUND('기준스탯 72종'!F9-T43-AB43,0))</x:f>
        <x:v>2</x:v>
      </x:c>
      <x:c r="M43" s="2" t="n">
        <x:f>MAX(1,ROUND('기준스탯 72종'!G9-U43-AC43,0))</x:f>
        <x:v>2</x:v>
      </x:c>
      <x:c r="N43" s="2" t="n">
        <x:f>MAX(0,ROUND('기준스탯 72종'!H9-V43-AD43,0))</x:f>
        <x:v>2</x:v>
      </x:c>
      <x:c r="O43" s="2" t="n">
        <x:f>MAX(0,ROUND('기준스탯 72종'!I9-W43-AE43,0))</x:f>
        <x:v>2</x:v>
      </x:c>
      <x:c r="P43" s="2" t="n">
        <x:f>MAX(0,ROUND('기준스탯 72종'!J9-X43-AF43,0))</x:f>
        <x:v>1</x:v>
      </x:c>
      <x:c r="Q43" s="2" t="n">
        <x:f>MAX(0,ROUND('기준스탯 72종'!K9-Y43-AG43,0))</x:f>
        <x:v>0</x:v>
      </x:c>
      <x:c r="R43" s="15" t="n">
        <x:f>'기준스탯 72종'!D9*G43</x:f>
        <x:v>5.039999999999999</x:v>
      </x:c>
      <x:c r="S43" s="15" t="n">
        <x:f>'기준스탯 72종'!E9*G43</x:f>
        <x:v>3.9199999999999995</x:v>
      </x:c>
      <x:c r="T43" s="15" t="n">
        <x:f>'기준스탯 72종'!F9*G43</x:f>
        <x:v>3.3599999999999994</x:v>
      </x:c>
      <x:c r="U43" s="15" t="n">
        <x:f>'기준스탯 72종'!G9*G43</x:f>
        <x:v>3.9199999999999995</x:v>
      </x:c>
      <x:c r="V43" s="15" t="n">
        <x:f>'기준스탯 72종'!H9*G43</x:f>
        <x:v>2.8</x:v>
      </x:c>
      <x:c r="W43" s="15" t="n">
        <x:f>'기준스탯 72종'!I9*G43</x:f>
        <x:v>3.9199999999999995</x:v>
      </x:c>
      <x:c r="X43" s="15" t="n">
        <x:f>'기준스탯 72종'!J9*G43</x:f>
        <x:v>1.6799999999999997</x:v>
      </x:c>
      <x:c r="Y43" s="15" t="n">
        <x:f>'기준스탯 72종'!K9*G43</x:f>
        <x:v>0.5599999999999999</x:v>
      </x:c>
      <x:c r="Z43" s="15" t="n">
        <x:f>'기준스탯 72종'!D9*H43</x:f>
        <x:v>1.0800000000000003</x:v>
      </x:c>
      <x:c r="AA43" s="15" t="n">
        <x:f>'기준스탯 72종'!E9*H43</x:f>
        <x:v>0.8400000000000002</x:v>
      </x:c>
      <x:c r="AB43" s="15" t="n">
        <x:f>'기준스탯 72종'!F9*H43</x:f>
        <x:v>0.7200000000000002</x:v>
      </x:c>
      <x:c r="AC43" s="15" t="n">
        <x:f>'기준스탯 72종'!G9*H43</x:f>
        <x:v>0.8400000000000002</x:v>
      </x:c>
      <x:c r="AD43" s="15" t="n">
        <x:f>'기준스탯 72종'!H9*H43</x:f>
        <x:v>0.6000000000000001</x:v>
      </x:c>
      <x:c r="AE43" s="15" t="n">
        <x:f>'기준스탯 72종'!I9*H43</x:f>
        <x:v>0.8400000000000002</x:v>
      </x:c>
      <x:c r="AF43" s="15" t="n">
        <x:f>'기준스탯 72종'!J9*H43</x:f>
        <x:v>0.3600000000000001</x:v>
      </x:c>
      <x:c r="AG43" s="15" t="n">
        <x:f>'기준스탯 72종'!K9*H43</x:f>
        <x:v>0.12000000000000002</x:v>
      </x:c>
    </x:row>
    <x:row r="44" ht="28" customHeight="1">
      <x:c r="A44" s="2" t="n">
        <x:v>37</x:v>
      </x:c>
      <x:c r="B44" s="2" t="n">
        <x:v>2</x:v>
      </x:c>
      <x:c r="C44" s="2" t="str">
        <x:v>양자리</x:v>
      </x:c>
      <x:c r="D44" s="2" t="str">
        <x:v>마도사</x:v>
      </x:c>
      <x:c r="E44" s="2" t="n">
        <x:v>2</x:v>
      </x:c>
      <x:c r="F44" s="2" t="n">
        <x:v>3</x:v>
      </x:c>
      <x:c r="G44" s="14" t="n">
        <x:f>('레벨 계산식'!$E$4-E44)*'레벨 계산식'!$B$5</x:f>
        <x:v>0.41999999999999993</x:v>
      </x:c>
      <x:c r="H44" s="14" t="n">
        <x:f>('등급 계산식'!$E$4-F44)*'등급 계산식'!$B$5</x:f>
        <x:v>0.12000000000000002</x:v>
      </x:c>
      <x:c r="I44" s="14" t="n">
        <x:f>1-G44-H44</x:f>
        <x:v>0.4600000000000001</x:v>
      </x:c>
      <x:c r="J44" s="2" t="n">
        <x:f>MAX(1,ROUND('기준스탯 72종'!D9-R44-Z44,0))</x:f>
        <x:v>4</x:v>
      </x:c>
      <x:c r="K44" s="2" t="n">
        <x:f>MAX(1,ROUND('기준스탯 72종'!E9-S44-AA44,0))</x:f>
        <x:v>3</x:v>
      </x:c>
      <x:c r="L44" s="2" t="n">
        <x:f>MAX(1,ROUND('기준스탯 72종'!F9-T44-AB44,0))</x:f>
        <x:v>3</x:v>
      </x:c>
      <x:c r="M44" s="2" t="n">
        <x:f>MAX(1,ROUND('기준스탯 72종'!G9-U44-AC44,0))</x:f>
        <x:v>3</x:v>
      </x:c>
      <x:c r="N44" s="2" t="n">
        <x:f>MAX(0,ROUND('기준스탯 72종'!H9-V44-AD44,0))</x:f>
        <x:v>2</x:v>
      </x:c>
      <x:c r="O44" s="2" t="n">
        <x:f>MAX(0,ROUND('기준스탯 72종'!I9-W44-AE44,0))</x:f>
        <x:v>3</x:v>
      </x:c>
      <x:c r="P44" s="2" t="n">
        <x:f>MAX(0,ROUND('기준스탯 72종'!J9-X44-AF44,0))</x:f>
        <x:v>1</x:v>
      </x:c>
      <x:c r="Q44" s="2" t="n">
        <x:f>MAX(0,ROUND('기준스탯 72종'!K9-Y44-AG44,0))</x:f>
        <x:v>0</x:v>
      </x:c>
      <x:c r="R44" s="15" t="n">
        <x:f>'기준스탯 72종'!D9*G44</x:f>
        <x:v>3.7799999999999994</x:v>
      </x:c>
      <x:c r="S44" s="15" t="n">
        <x:f>'기준스탯 72종'!E9*G44</x:f>
        <x:v>2.9399999999999995</x:v>
      </x:c>
      <x:c r="T44" s="15" t="n">
        <x:f>'기준스탯 72종'!F9*G44</x:f>
        <x:v>2.5199999999999996</x:v>
      </x:c>
      <x:c r="U44" s="15" t="n">
        <x:f>'기준스탯 72종'!G9*G44</x:f>
        <x:v>2.9399999999999995</x:v>
      </x:c>
      <x:c r="V44" s="15" t="n">
        <x:f>'기준스탯 72종'!H9*G44</x:f>
        <x:v>2.0999999999999996</x:v>
      </x:c>
      <x:c r="W44" s="15" t="n">
        <x:f>'기준스탯 72종'!I9*G44</x:f>
        <x:v>2.9399999999999995</x:v>
      </x:c>
      <x:c r="X44" s="15" t="n">
        <x:f>'기준스탯 72종'!J9*G44</x:f>
        <x:v>1.2599999999999998</x:v>
      </x:c>
      <x:c r="Y44" s="15" t="n">
        <x:f>'기준스탯 72종'!K9*G44</x:f>
        <x:v>0.41999999999999993</x:v>
      </x:c>
      <x:c r="Z44" s="15" t="n">
        <x:f>'기준스탯 72종'!D9*H44</x:f>
        <x:v>1.0800000000000003</x:v>
      </x:c>
      <x:c r="AA44" s="15" t="n">
        <x:f>'기준스탯 72종'!E9*H44</x:f>
        <x:v>0.8400000000000002</x:v>
      </x:c>
      <x:c r="AB44" s="15" t="n">
        <x:f>'기준스탯 72종'!F9*H44</x:f>
        <x:v>0.7200000000000002</x:v>
      </x:c>
      <x:c r="AC44" s="15" t="n">
        <x:f>'기준스탯 72종'!G9*H44</x:f>
        <x:v>0.8400000000000002</x:v>
      </x:c>
      <x:c r="AD44" s="15" t="n">
        <x:f>'기준스탯 72종'!H9*H44</x:f>
        <x:v>0.6000000000000001</x:v>
      </x:c>
      <x:c r="AE44" s="15" t="n">
        <x:f>'기준스탯 72종'!I9*H44</x:f>
        <x:v>0.8400000000000002</x:v>
      </x:c>
      <x:c r="AF44" s="15" t="n">
        <x:f>'기준스탯 72종'!J9*H44</x:f>
        <x:v>0.3600000000000001</x:v>
      </x:c>
      <x:c r="AG44" s="15" t="n">
        <x:f>'기준스탯 72종'!K9*H44</x:f>
        <x:v>0.12000000000000002</x:v>
      </x:c>
    </x:row>
    <x:row r="45" ht="28" customHeight="1">
      <x:c r="A45" s="2" t="n">
        <x:v>38</x:v>
      </x:c>
      <x:c r="B45" s="2" t="n">
        <x:v>2</x:v>
      </x:c>
      <x:c r="C45" s="2" t="str">
        <x:v>양자리</x:v>
      </x:c>
      <x:c r="D45" s="2" t="str">
        <x:v>마도사</x:v>
      </x:c>
      <x:c r="E45" s="2" t="n">
        <x:v>3</x:v>
      </x:c>
      <x:c r="F45" s="2" t="n">
        <x:v>3</x:v>
      </x:c>
      <x:c r="G45" s="14" t="n">
        <x:f>('레벨 계산식'!$E$4-E45)*'레벨 계산식'!$B$5</x:f>
        <x:v>0.27999999999999997</x:v>
      </x:c>
      <x:c r="H45" s="14" t="n">
        <x:f>('등급 계산식'!$E$4-F45)*'등급 계산식'!$B$5</x:f>
        <x:v>0.12000000000000002</x:v>
      </x:c>
      <x:c r="I45" s="14" t="n">
        <x:f>1-G45-H45</x:f>
        <x:v>0.6</x:v>
      </x:c>
      <x:c r="J45" s="2" t="n">
        <x:f>MAX(1,ROUND('기준스탯 72종'!D9-R45-Z45,0))</x:f>
        <x:v>5</x:v>
      </x:c>
      <x:c r="K45" s="2" t="n">
        <x:f>MAX(1,ROUND('기준스탯 72종'!E9-S45-AA45,0))</x:f>
        <x:v>4</x:v>
      </x:c>
      <x:c r="L45" s="2" t="n">
        <x:f>MAX(1,ROUND('기준스탯 72종'!F9-T45-AB45,0))</x:f>
        <x:v>4</x:v>
      </x:c>
      <x:c r="M45" s="2" t="n">
        <x:f>MAX(1,ROUND('기준스탯 72종'!G9-U45-AC45,0))</x:f>
        <x:v>4</x:v>
      </x:c>
      <x:c r="N45" s="2" t="n">
        <x:f>MAX(0,ROUND('기준스탯 72종'!H9-V45-AD45,0))</x:f>
        <x:v>3</x:v>
      </x:c>
      <x:c r="O45" s="2" t="n">
        <x:f>MAX(0,ROUND('기준스탯 72종'!I9-W45-AE45,0))</x:f>
        <x:v>4</x:v>
      </x:c>
      <x:c r="P45" s="2" t="n">
        <x:f>MAX(0,ROUND('기준스탯 72종'!J9-X45-AF45,0))</x:f>
        <x:v>2</x:v>
      </x:c>
      <x:c r="Q45" s="2" t="n">
        <x:f>MAX(0,ROUND('기준스탯 72종'!K9-Y45-AG45,0))</x:f>
        <x:v>1</x:v>
      </x:c>
      <x:c r="R45" s="15" t="n">
        <x:f>'기준스탯 72종'!D9*G45</x:f>
        <x:v>2.5199999999999996</x:v>
      </x:c>
      <x:c r="S45" s="15" t="n">
        <x:f>'기준스탯 72종'!E9*G45</x:f>
        <x:v>1.9599999999999997</x:v>
      </x:c>
      <x:c r="T45" s="15" t="n">
        <x:f>'기준스탯 72종'!F9*G45</x:f>
        <x:v>1.6799999999999997</x:v>
      </x:c>
      <x:c r="U45" s="15" t="n">
        <x:f>'기준스탯 72종'!G9*G45</x:f>
        <x:v>1.9599999999999997</x:v>
      </x:c>
      <x:c r="V45" s="15" t="n">
        <x:f>'기준스탯 72종'!H9*G45</x:f>
        <x:v>1.4</x:v>
      </x:c>
      <x:c r="W45" s="15" t="n">
        <x:f>'기준스탯 72종'!I9*G45</x:f>
        <x:v>1.9599999999999997</x:v>
      </x:c>
      <x:c r="X45" s="15" t="n">
        <x:f>'기준스탯 72종'!J9*G45</x:f>
        <x:v>0.8399999999999999</x:v>
      </x:c>
      <x:c r="Y45" s="15" t="n">
        <x:f>'기준스탯 72종'!K9*G45</x:f>
        <x:v>0.27999999999999997</x:v>
      </x:c>
      <x:c r="Z45" s="15" t="n">
        <x:f>'기준스탯 72종'!D9*H45</x:f>
        <x:v>1.0800000000000003</x:v>
      </x:c>
      <x:c r="AA45" s="15" t="n">
        <x:f>'기준스탯 72종'!E9*H45</x:f>
        <x:v>0.8400000000000002</x:v>
      </x:c>
      <x:c r="AB45" s="15" t="n">
        <x:f>'기준스탯 72종'!F9*H45</x:f>
        <x:v>0.7200000000000002</x:v>
      </x:c>
      <x:c r="AC45" s="15" t="n">
        <x:f>'기준스탯 72종'!G9*H45</x:f>
        <x:v>0.8400000000000002</x:v>
      </x:c>
      <x:c r="AD45" s="15" t="n">
        <x:f>'기준스탯 72종'!H9*H45</x:f>
        <x:v>0.6000000000000001</x:v>
      </x:c>
      <x:c r="AE45" s="15" t="n">
        <x:f>'기준스탯 72종'!I9*H45</x:f>
        <x:v>0.8400000000000002</x:v>
      </x:c>
      <x:c r="AF45" s="15" t="n">
        <x:f>'기준스탯 72종'!J9*H45</x:f>
        <x:v>0.3600000000000001</x:v>
      </x:c>
      <x:c r="AG45" s="15" t="n">
        <x:f>'기준스탯 72종'!K9*H45</x:f>
        <x:v>0.12000000000000002</x:v>
      </x:c>
    </x:row>
    <x:row r="46" ht="28" customHeight="1">
      <x:c r="A46" s="2" t="n">
        <x:v>39</x:v>
      </x:c>
      <x:c r="B46" s="2" t="n">
        <x:v>2</x:v>
      </x:c>
      <x:c r="C46" s="2" t="str">
        <x:v>양자리</x:v>
      </x:c>
      <x:c r="D46" s="2" t="str">
        <x:v>마도사</x:v>
      </x:c>
      <x:c r="E46" s="2" t="n">
        <x:v>4</x:v>
      </x:c>
      <x:c r="F46" s="2" t="n">
        <x:v>3</x:v>
      </x:c>
      <x:c r="G46" s="14" t="n">
        <x:f>('레벨 계산식'!$E$4-E46)*'레벨 계산식'!$B$5</x:f>
        <x:v>0.13999999999999999</x:v>
      </x:c>
      <x:c r="H46" s="14" t="n">
        <x:f>('등급 계산식'!$E$4-F46)*'등급 계산식'!$B$5</x:f>
        <x:v>0.12000000000000002</x:v>
      </x:c>
      <x:c r="I46" s="14" t="n">
        <x:f>1-G46-H46</x:f>
        <x:v>0.74</x:v>
      </x:c>
      <x:c r="J46" s="2" t="n">
        <x:f>MAX(1,ROUND('기준스탯 72종'!D9-R46-Z46,0))</x:f>
        <x:v>7</x:v>
      </x:c>
      <x:c r="K46" s="2" t="n">
        <x:f>MAX(1,ROUND('기준스탯 72종'!E9-S46-AA46,0))</x:f>
        <x:v>5</x:v>
      </x:c>
      <x:c r="L46" s="2" t="n">
        <x:f>MAX(1,ROUND('기준스탯 72종'!F9-T46-AB46,0))</x:f>
        <x:v>4</x:v>
      </x:c>
      <x:c r="M46" s="2" t="n">
        <x:f>MAX(1,ROUND('기준스탯 72종'!G9-U46-AC46,0))</x:f>
        <x:v>5</x:v>
      </x:c>
      <x:c r="N46" s="2" t="n">
        <x:f>MAX(0,ROUND('기준스탯 72종'!H9-V46-AD46,0))</x:f>
        <x:v>4</x:v>
      </x:c>
      <x:c r="O46" s="2" t="n">
        <x:f>MAX(0,ROUND('기준스탯 72종'!I9-W46-AE46,0))</x:f>
        <x:v>5</x:v>
      </x:c>
      <x:c r="P46" s="2" t="n">
        <x:f>MAX(0,ROUND('기준스탯 72종'!J9-X46-AF46,0))</x:f>
        <x:v>2</x:v>
      </x:c>
      <x:c r="Q46" s="2" t="n">
        <x:f>MAX(0,ROUND('기준스탯 72종'!K9-Y46-AG46,0))</x:f>
        <x:v>1</x:v>
      </x:c>
      <x:c r="R46" s="15" t="n">
        <x:f>'기준스탯 72종'!D9*G46</x:f>
        <x:v>1.2599999999999998</x:v>
      </x:c>
      <x:c r="S46" s="15" t="n">
        <x:f>'기준스탯 72종'!E9*G46</x:f>
        <x:v>0.9799999999999999</x:v>
      </x:c>
      <x:c r="T46" s="15" t="n">
        <x:f>'기준스탯 72종'!F9*G46</x:f>
        <x:v>0.8399999999999999</x:v>
      </x:c>
      <x:c r="U46" s="15" t="n">
        <x:f>'기준스탯 72종'!G9*G46</x:f>
        <x:v>0.9799999999999999</x:v>
      </x:c>
      <x:c r="V46" s="15" t="n">
        <x:f>'기준스탯 72종'!H9*G46</x:f>
        <x:v>0.7</x:v>
      </x:c>
      <x:c r="W46" s="15" t="n">
        <x:f>'기준스탯 72종'!I9*G46</x:f>
        <x:v>0.9799999999999999</x:v>
      </x:c>
      <x:c r="X46" s="15" t="n">
        <x:f>'기준스탯 72종'!J9*G46</x:f>
        <x:v>0.41999999999999993</x:v>
      </x:c>
      <x:c r="Y46" s="15" t="n">
        <x:f>'기준스탯 72종'!K9*G46</x:f>
        <x:v>0.13999999999999999</x:v>
      </x:c>
      <x:c r="Z46" s="15" t="n">
        <x:f>'기준스탯 72종'!D9*H46</x:f>
        <x:v>1.0800000000000003</x:v>
      </x:c>
      <x:c r="AA46" s="15" t="n">
        <x:f>'기준스탯 72종'!E9*H46</x:f>
        <x:v>0.8400000000000002</x:v>
      </x:c>
      <x:c r="AB46" s="15" t="n">
        <x:f>'기준스탯 72종'!F9*H46</x:f>
        <x:v>0.7200000000000002</x:v>
      </x:c>
      <x:c r="AC46" s="15" t="n">
        <x:f>'기준스탯 72종'!G9*H46</x:f>
        <x:v>0.8400000000000002</x:v>
      </x:c>
      <x:c r="AD46" s="15" t="n">
        <x:f>'기준스탯 72종'!H9*H46</x:f>
        <x:v>0.6000000000000001</x:v>
      </x:c>
      <x:c r="AE46" s="15" t="n">
        <x:f>'기준스탯 72종'!I9*H46</x:f>
        <x:v>0.8400000000000002</x:v>
      </x:c>
      <x:c r="AF46" s="15" t="n">
        <x:f>'기준스탯 72종'!J9*H46</x:f>
        <x:v>0.3600000000000001</x:v>
      </x:c>
      <x:c r="AG46" s="15" t="n">
        <x:f>'기준스탯 72종'!K9*H46</x:f>
        <x:v>0.12000000000000002</x:v>
      </x:c>
    </x:row>
    <x:row r="47" ht="28" customHeight="1">
      <x:c r="A47" s="2" t="n">
        <x:v>40</x:v>
      </x:c>
      <x:c r="B47" s="2" t="n">
        <x:v>2</x:v>
      </x:c>
      <x:c r="C47" s="2" t="str">
        <x:v>양자리</x:v>
      </x:c>
      <x:c r="D47" s="2" t="str">
        <x:v>마도사</x:v>
      </x:c>
      <x:c r="E47" s="2" t="n">
        <x:v>5</x:v>
      </x:c>
      <x:c r="F47" s="2" t="n">
        <x:v>3</x:v>
      </x:c>
      <x:c r="G47" s="14" t="n">
        <x:f>('레벨 계산식'!$E$4-E47)*'레벨 계산식'!$B$5</x:f>
        <x:v>0</x:v>
      </x:c>
      <x:c r="H47" s="14" t="n">
        <x:f>('등급 계산식'!$E$4-F47)*'등급 계산식'!$B$5</x:f>
        <x:v>0.12000000000000002</x:v>
      </x:c>
      <x:c r="I47" s="14" t="n">
        <x:f>1-G47-H47</x:f>
        <x:v>0.88</x:v>
      </x:c>
      <x:c r="J47" s="2" t="n">
        <x:f>MAX(1,ROUND('기준스탯 72종'!D9-R47-Z47,0))</x:f>
        <x:v>8</x:v>
      </x:c>
      <x:c r="K47" s="2" t="n">
        <x:f>MAX(1,ROUND('기준스탯 72종'!E9-S47-AA47,0))</x:f>
        <x:v>6</x:v>
      </x:c>
      <x:c r="L47" s="2" t="n">
        <x:f>MAX(1,ROUND('기준스탯 72종'!F9-T47-AB47,0))</x:f>
        <x:v>5</x:v>
      </x:c>
      <x:c r="M47" s="2" t="n">
        <x:f>MAX(1,ROUND('기준스탯 72종'!G9-U47-AC47,0))</x:f>
        <x:v>6</x:v>
      </x:c>
      <x:c r="N47" s="2" t="n">
        <x:f>MAX(0,ROUND('기준스탯 72종'!H9-V47-AD47,0))</x:f>
        <x:v>4</x:v>
      </x:c>
      <x:c r="O47" s="2" t="n">
        <x:f>MAX(0,ROUND('기준스탯 72종'!I9-W47-AE47,0))</x:f>
        <x:v>6</x:v>
      </x:c>
      <x:c r="P47" s="2" t="n">
        <x:f>MAX(0,ROUND('기준스탯 72종'!J9-X47-AF47,0))</x:f>
        <x:v>3</x:v>
      </x:c>
      <x:c r="Q47" s="2" t="n">
        <x:f>MAX(0,ROUND('기준스탯 72종'!K9-Y47-AG47,0))</x:f>
        <x:v>1</x:v>
      </x:c>
      <x:c r="R47" s="15" t="n">
        <x:f>'기준스탯 72종'!D9*G47</x:f>
        <x:v>0</x:v>
      </x:c>
      <x:c r="S47" s="15" t="n">
        <x:f>'기준스탯 72종'!E9*G47</x:f>
        <x:v>0</x:v>
      </x:c>
      <x:c r="T47" s="15" t="n">
        <x:f>'기준스탯 72종'!F9*G47</x:f>
        <x:v>0</x:v>
      </x:c>
      <x:c r="U47" s="15" t="n">
        <x:f>'기준스탯 72종'!G9*G47</x:f>
        <x:v>0</x:v>
      </x:c>
      <x:c r="V47" s="15" t="n">
        <x:f>'기준스탯 72종'!H9*G47</x:f>
        <x:v>0</x:v>
      </x:c>
      <x:c r="W47" s="15" t="n">
        <x:f>'기준스탯 72종'!I9*G47</x:f>
        <x:v>0</x:v>
      </x:c>
      <x:c r="X47" s="15" t="n">
        <x:f>'기준스탯 72종'!J9*G47</x:f>
        <x:v>0</x:v>
      </x:c>
      <x:c r="Y47" s="15" t="n">
        <x:f>'기준스탯 72종'!K9*G47</x:f>
        <x:v>0</x:v>
      </x:c>
      <x:c r="Z47" s="15" t="n">
        <x:f>'기준스탯 72종'!D9*H47</x:f>
        <x:v>1.0800000000000003</x:v>
      </x:c>
      <x:c r="AA47" s="15" t="n">
        <x:f>'기준스탯 72종'!E9*H47</x:f>
        <x:v>0.8400000000000002</x:v>
      </x:c>
      <x:c r="AB47" s="15" t="n">
        <x:f>'기준스탯 72종'!F9*H47</x:f>
        <x:v>0.7200000000000002</x:v>
      </x:c>
      <x:c r="AC47" s="15" t="n">
        <x:f>'기준스탯 72종'!G9*H47</x:f>
        <x:v>0.8400000000000002</x:v>
      </x:c>
      <x:c r="AD47" s="15" t="n">
        <x:f>'기준스탯 72종'!H9*H47</x:f>
        <x:v>0.6000000000000001</x:v>
      </x:c>
      <x:c r="AE47" s="15" t="n">
        <x:f>'기준스탯 72종'!I9*H47</x:f>
        <x:v>0.8400000000000002</x:v>
      </x:c>
      <x:c r="AF47" s="15" t="n">
        <x:f>'기준스탯 72종'!J9*H47</x:f>
        <x:v>0.3600000000000001</x:v>
      </x:c>
      <x:c r="AG47" s="15" t="n">
        <x:f>'기준스탯 72종'!K9*H47</x:f>
        <x:v>0.12000000000000002</x:v>
      </x:c>
    </x:row>
    <x:row r="48" ht="28" customHeight="1">
      <x:c r="A48" s="2" t="n">
        <x:v>41</x:v>
      </x:c>
      <x:c r="B48" s="2" t="n">
        <x:v>2</x:v>
      </x:c>
      <x:c r="C48" s="2" t="str">
        <x:v>양자리</x:v>
      </x:c>
      <x:c r="D48" s="2" t="str">
        <x:v>마도사</x:v>
      </x:c>
      <x:c r="E48" s="2" t="n">
        <x:v>1</x:v>
      </x:c>
      <x:c r="F48" s="2" t="n">
        <x:v>4</x:v>
      </x:c>
      <x:c r="G48" s="14" t="n">
        <x:f>('레벨 계산식'!$E$4-E48)*'레벨 계산식'!$B$5</x:f>
        <x:v>0.5599999999999999</x:v>
      </x:c>
      <x:c r="H48" s="14" t="n">
        <x:f>('등급 계산식'!$E$4-F48)*'등급 계산식'!$B$5</x:f>
        <x:v>0.06000000000000001</x:v>
      </x:c>
      <x:c r="I48" s="14" t="n">
        <x:f>1-G48-H48</x:f>
        <x:v>0.38000000000000006</x:v>
      </x:c>
      <x:c r="J48" s="2" t="n">
        <x:f>MAX(1,ROUND('기준스탯 72종'!D9-R48-Z48,0))</x:f>
        <x:v>3</x:v>
      </x:c>
      <x:c r="K48" s="2" t="n">
        <x:f>MAX(1,ROUND('기준스탯 72종'!E9-S48-AA48,0))</x:f>
        <x:v>3</x:v>
      </x:c>
      <x:c r="L48" s="2" t="n">
        <x:f>MAX(1,ROUND('기준스탯 72종'!F9-T48-AB48,0))</x:f>
        <x:v>2</x:v>
      </x:c>
      <x:c r="M48" s="2" t="n">
        <x:f>MAX(1,ROUND('기준스탯 72종'!G9-U48-AC48,0))</x:f>
        <x:v>3</x:v>
      </x:c>
      <x:c r="N48" s="2" t="n">
        <x:f>MAX(0,ROUND('기준스탯 72종'!H9-V48-AD48,0))</x:f>
        <x:v>2</x:v>
      </x:c>
      <x:c r="O48" s="2" t="n">
        <x:f>MAX(0,ROUND('기준스탯 72종'!I9-W48-AE48,0))</x:f>
        <x:v>3</x:v>
      </x:c>
      <x:c r="P48" s="2" t="n">
        <x:f>MAX(0,ROUND('기준스탯 72종'!J9-X48-AF48,0))</x:f>
        <x:v>1</x:v>
      </x:c>
      <x:c r="Q48" s="2" t="n">
        <x:f>MAX(0,ROUND('기준스탯 72종'!K9-Y48-AG48,0))</x:f>
        <x:v>0</x:v>
      </x:c>
      <x:c r="R48" s="15" t="n">
        <x:f>'기준스탯 72종'!D9*G48</x:f>
        <x:v>5.039999999999999</x:v>
      </x:c>
      <x:c r="S48" s="15" t="n">
        <x:f>'기준스탯 72종'!E9*G48</x:f>
        <x:v>3.9199999999999995</x:v>
      </x:c>
      <x:c r="T48" s="15" t="n">
        <x:f>'기준스탯 72종'!F9*G48</x:f>
        <x:v>3.3599999999999994</x:v>
      </x:c>
      <x:c r="U48" s="15" t="n">
        <x:f>'기준스탯 72종'!G9*G48</x:f>
        <x:v>3.9199999999999995</x:v>
      </x:c>
      <x:c r="V48" s="15" t="n">
        <x:f>'기준스탯 72종'!H9*G48</x:f>
        <x:v>2.8</x:v>
      </x:c>
      <x:c r="W48" s="15" t="n">
        <x:f>'기준스탯 72종'!I9*G48</x:f>
        <x:v>3.9199999999999995</x:v>
      </x:c>
      <x:c r="X48" s="15" t="n">
        <x:f>'기준스탯 72종'!J9*G48</x:f>
        <x:v>1.6799999999999997</x:v>
      </x:c>
      <x:c r="Y48" s="15" t="n">
        <x:f>'기준스탯 72종'!K9*G48</x:f>
        <x:v>0.5599999999999999</x:v>
      </x:c>
      <x:c r="Z48" s="15" t="n">
        <x:f>'기준스탯 72종'!D9*H48</x:f>
        <x:v>0.5400000000000001</x:v>
      </x:c>
      <x:c r="AA48" s="15" t="n">
        <x:f>'기준스탯 72종'!E9*H48</x:f>
        <x:v>0.4200000000000001</x:v>
      </x:c>
      <x:c r="AB48" s="15" t="n">
        <x:f>'기준스탯 72종'!F9*H48</x:f>
        <x:v>0.3600000000000001</x:v>
      </x:c>
      <x:c r="AC48" s="15" t="n">
        <x:f>'기준스탯 72종'!G9*H48</x:f>
        <x:v>0.4200000000000001</x:v>
      </x:c>
      <x:c r="AD48" s="15" t="n">
        <x:f>'기준스탯 72종'!H9*H48</x:f>
        <x:v>0.30000000000000004</x:v>
      </x:c>
      <x:c r="AE48" s="15" t="n">
        <x:f>'기준스탯 72종'!I9*H48</x:f>
        <x:v>0.4200000000000001</x:v>
      </x:c>
      <x:c r="AF48" s="15" t="n">
        <x:f>'기준스탯 72종'!J9*H48</x:f>
        <x:v>0.18000000000000005</x:v>
      </x:c>
      <x:c r="AG48" s="15" t="n">
        <x:f>'기준스탯 72종'!K9*H48</x:f>
        <x:v>0.06000000000000001</x:v>
      </x:c>
    </x:row>
    <x:row r="49" ht="28" customHeight="1">
      <x:c r="A49" s="2" t="n">
        <x:v>42</x:v>
      </x:c>
      <x:c r="B49" s="2" t="n">
        <x:v>2</x:v>
      </x:c>
      <x:c r="C49" s="2" t="str">
        <x:v>양자리</x:v>
      </x:c>
      <x:c r="D49" s="2" t="str">
        <x:v>마도사</x:v>
      </x:c>
      <x:c r="E49" s="2" t="n">
        <x:v>2</x:v>
      </x:c>
      <x:c r="F49" s="2" t="n">
        <x:v>4</x:v>
      </x:c>
      <x:c r="G49" s="14" t="n">
        <x:f>('레벨 계산식'!$E$4-E49)*'레벨 계산식'!$B$5</x:f>
        <x:v>0.41999999999999993</x:v>
      </x:c>
      <x:c r="H49" s="14" t="n">
        <x:f>('등급 계산식'!$E$4-F49)*'등급 계산식'!$B$5</x:f>
        <x:v>0.06000000000000001</x:v>
      </x:c>
      <x:c r="I49" s="14" t="n">
        <x:f>1-G49-H49</x:f>
        <x:v>0.52</x:v>
      </x:c>
      <x:c r="J49" s="2" t="n">
        <x:f>MAX(1,ROUND('기준스탯 72종'!D9-R49-Z49,0))</x:f>
        <x:v>5</x:v>
      </x:c>
      <x:c r="K49" s="2" t="n">
        <x:f>MAX(1,ROUND('기준스탯 72종'!E9-S49-AA49,0))</x:f>
        <x:v>4</x:v>
      </x:c>
      <x:c r="L49" s="2" t="n">
        <x:f>MAX(1,ROUND('기준스탯 72종'!F9-T49-AB49,0))</x:f>
        <x:v>3</x:v>
      </x:c>
      <x:c r="M49" s="2" t="n">
        <x:f>MAX(1,ROUND('기준스탯 72종'!G9-U49-AC49,0))</x:f>
        <x:v>4</x:v>
      </x:c>
      <x:c r="N49" s="2" t="n">
        <x:f>MAX(0,ROUND('기준스탯 72종'!H9-V49-AD49,0))</x:f>
        <x:v>3</x:v>
      </x:c>
      <x:c r="O49" s="2" t="n">
        <x:f>MAX(0,ROUND('기준스탯 72종'!I9-W49-AE49,0))</x:f>
        <x:v>4</x:v>
      </x:c>
      <x:c r="P49" s="2" t="n">
        <x:f>MAX(0,ROUND('기준스탯 72종'!J9-X49-AF49,0))</x:f>
        <x:v>2</x:v>
      </x:c>
      <x:c r="Q49" s="2" t="n">
        <x:f>MAX(0,ROUND('기준스탯 72종'!K9-Y49-AG49,0))</x:f>
        <x:v>1</x:v>
      </x:c>
      <x:c r="R49" s="15" t="n">
        <x:f>'기준스탯 72종'!D9*G49</x:f>
        <x:v>3.7799999999999994</x:v>
      </x:c>
      <x:c r="S49" s="15" t="n">
        <x:f>'기준스탯 72종'!E9*G49</x:f>
        <x:v>2.9399999999999995</x:v>
      </x:c>
      <x:c r="T49" s="15" t="n">
        <x:f>'기준스탯 72종'!F9*G49</x:f>
        <x:v>2.5199999999999996</x:v>
      </x:c>
      <x:c r="U49" s="15" t="n">
        <x:f>'기준스탯 72종'!G9*G49</x:f>
        <x:v>2.9399999999999995</x:v>
      </x:c>
      <x:c r="V49" s="15" t="n">
        <x:f>'기준스탯 72종'!H9*G49</x:f>
        <x:v>2.0999999999999996</x:v>
      </x:c>
      <x:c r="W49" s="15" t="n">
        <x:f>'기준스탯 72종'!I9*G49</x:f>
        <x:v>2.9399999999999995</x:v>
      </x:c>
      <x:c r="X49" s="15" t="n">
        <x:f>'기준스탯 72종'!J9*G49</x:f>
        <x:v>1.2599999999999998</x:v>
      </x:c>
      <x:c r="Y49" s="15" t="n">
        <x:f>'기준스탯 72종'!K9*G49</x:f>
        <x:v>0.41999999999999993</x:v>
      </x:c>
      <x:c r="Z49" s="15" t="n">
        <x:f>'기준스탯 72종'!D9*H49</x:f>
        <x:v>0.5400000000000001</x:v>
      </x:c>
      <x:c r="AA49" s="15" t="n">
        <x:f>'기준스탯 72종'!E9*H49</x:f>
        <x:v>0.4200000000000001</x:v>
      </x:c>
      <x:c r="AB49" s="15" t="n">
        <x:f>'기준스탯 72종'!F9*H49</x:f>
        <x:v>0.3600000000000001</x:v>
      </x:c>
      <x:c r="AC49" s="15" t="n">
        <x:f>'기준스탯 72종'!G9*H49</x:f>
        <x:v>0.4200000000000001</x:v>
      </x:c>
      <x:c r="AD49" s="15" t="n">
        <x:f>'기준스탯 72종'!H9*H49</x:f>
        <x:v>0.30000000000000004</x:v>
      </x:c>
      <x:c r="AE49" s="15" t="n">
        <x:f>'기준스탯 72종'!I9*H49</x:f>
        <x:v>0.4200000000000001</x:v>
      </x:c>
      <x:c r="AF49" s="15" t="n">
        <x:f>'기준스탯 72종'!J9*H49</x:f>
        <x:v>0.18000000000000005</x:v>
      </x:c>
      <x:c r="AG49" s="15" t="n">
        <x:f>'기준스탯 72종'!K9*H49</x:f>
        <x:v>0.06000000000000001</x:v>
      </x:c>
    </x:row>
    <x:row r="50" ht="28" customHeight="1">
      <x:c r="A50" s="2" t="n">
        <x:v>43</x:v>
      </x:c>
      <x:c r="B50" s="2" t="n">
        <x:v>2</x:v>
      </x:c>
      <x:c r="C50" s="2" t="str">
        <x:v>양자리</x:v>
      </x:c>
      <x:c r="D50" s="2" t="str">
        <x:v>마도사</x:v>
      </x:c>
      <x:c r="E50" s="2" t="n">
        <x:v>3</x:v>
      </x:c>
      <x:c r="F50" s="2" t="n">
        <x:v>4</x:v>
      </x:c>
      <x:c r="G50" s="14" t="n">
        <x:f>('레벨 계산식'!$E$4-E50)*'레벨 계산식'!$B$5</x:f>
        <x:v>0.27999999999999997</x:v>
      </x:c>
      <x:c r="H50" s="14" t="n">
        <x:f>('등급 계산식'!$E$4-F50)*'등급 계산식'!$B$5</x:f>
        <x:v>0.06000000000000001</x:v>
      </x:c>
      <x:c r="I50" s="14" t="n">
        <x:f>1-G50-H50</x:f>
        <x:v>0.6599999999999999</x:v>
      </x:c>
      <x:c r="J50" s="2" t="n">
        <x:f>MAX(1,ROUND('기준스탯 72종'!D9-R50-Z50,0))</x:f>
        <x:v>6</x:v>
      </x:c>
      <x:c r="K50" s="2" t="n">
        <x:f>MAX(1,ROUND('기준스탯 72종'!E9-S50-AA50,0))</x:f>
        <x:v>5</x:v>
      </x:c>
      <x:c r="L50" s="2" t="n">
        <x:f>MAX(1,ROUND('기준스탯 72종'!F9-T50-AB50,0))</x:f>
        <x:v>4</x:v>
      </x:c>
      <x:c r="M50" s="2" t="n">
        <x:f>MAX(1,ROUND('기준스탯 72종'!G9-U50-AC50,0))</x:f>
        <x:v>5</x:v>
      </x:c>
      <x:c r="N50" s="2" t="n">
        <x:f>MAX(0,ROUND('기준스탯 72종'!H9-V50-AD50,0))</x:f>
        <x:v>3</x:v>
      </x:c>
      <x:c r="O50" s="2" t="n">
        <x:f>MAX(0,ROUND('기준스탯 72종'!I9-W50-AE50,0))</x:f>
        <x:v>5</x:v>
      </x:c>
      <x:c r="P50" s="2" t="n">
        <x:f>MAX(0,ROUND('기준스탯 72종'!J9-X50-AF50,0))</x:f>
        <x:v>2</x:v>
      </x:c>
      <x:c r="Q50" s="2" t="n">
        <x:f>MAX(0,ROUND('기준스탯 72종'!K9-Y50-AG50,0))</x:f>
        <x:v>1</x:v>
      </x:c>
      <x:c r="R50" s="15" t="n">
        <x:f>'기준스탯 72종'!D9*G50</x:f>
        <x:v>2.5199999999999996</x:v>
      </x:c>
      <x:c r="S50" s="15" t="n">
        <x:f>'기준스탯 72종'!E9*G50</x:f>
        <x:v>1.9599999999999997</x:v>
      </x:c>
      <x:c r="T50" s="15" t="n">
        <x:f>'기준스탯 72종'!F9*G50</x:f>
        <x:v>1.6799999999999997</x:v>
      </x:c>
      <x:c r="U50" s="15" t="n">
        <x:f>'기준스탯 72종'!G9*G50</x:f>
        <x:v>1.9599999999999997</x:v>
      </x:c>
      <x:c r="V50" s="15" t="n">
        <x:f>'기준스탯 72종'!H9*G50</x:f>
        <x:v>1.4</x:v>
      </x:c>
      <x:c r="W50" s="15" t="n">
        <x:f>'기준스탯 72종'!I9*G50</x:f>
        <x:v>1.9599999999999997</x:v>
      </x:c>
      <x:c r="X50" s="15" t="n">
        <x:f>'기준스탯 72종'!J9*G50</x:f>
        <x:v>0.8399999999999999</x:v>
      </x:c>
      <x:c r="Y50" s="15" t="n">
        <x:f>'기준스탯 72종'!K9*G50</x:f>
        <x:v>0.27999999999999997</x:v>
      </x:c>
      <x:c r="Z50" s="15" t="n">
        <x:f>'기준스탯 72종'!D9*H50</x:f>
        <x:v>0.5400000000000001</x:v>
      </x:c>
      <x:c r="AA50" s="15" t="n">
        <x:f>'기준스탯 72종'!E9*H50</x:f>
        <x:v>0.4200000000000001</x:v>
      </x:c>
      <x:c r="AB50" s="15" t="n">
        <x:f>'기준스탯 72종'!F9*H50</x:f>
        <x:v>0.3600000000000001</x:v>
      </x:c>
      <x:c r="AC50" s="15" t="n">
        <x:f>'기준스탯 72종'!G9*H50</x:f>
        <x:v>0.4200000000000001</x:v>
      </x:c>
      <x:c r="AD50" s="15" t="n">
        <x:f>'기준스탯 72종'!H9*H50</x:f>
        <x:v>0.30000000000000004</x:v>
      </x:c>
      <x:c r="AE50" s="15" t="n">
        <x:f>'기준스탯 72종'!I9*H50</x:f>
        <x:v>0.4200000000000001</x:v>
      </x:c>
      <x:c r="AF50" s="15" t="n">
        <x:f>'기준스탯 72종'!J9*H50</x:f>
        <x:v>0.18000000000000005</x:v>
      </x:c>
      <x:c r="AG50" s="15" t="n">
        <x:f>'기준스탯 72종'!K9*H50</x:f>
        <x:v>0.06000000000000001</x:v>
      </x:c>
    </x:row>
    <x:row r="51" ht="28" customHeight="1">
      <x:c r="A51" s="2" t="n">
        <x:v>44</x:v>
      </x:c>
      <x:c r="B51" s="2" t="n">
        <x:v>2</x:v>
      </x:c>
      <x:c r="C51" s="2" t="str">
        <x:v>양자리</x:v>
      </x:c>
      <x:c r="D51" s="2" t="str">
        <x:v>마도사</x:v>
      </x:c>
      <x:c r="E51" s="2" t="n">
        <x:v>4</x:v>
      </x:c>
      <x:c r="F51" s="2" t="n">
        <x:v>4</x:v>
      </x:c>
      <x:c r="G51" s="14" t="n">
        <x:f>('레벨 계산식'!$E$4-E51)*'레벨 계산식'!$B$5</x:f>
        <x:v>0.13999999999999999</x:v>
      </x:c>
      <x:c r="H51" s="14" t="n">
        <x:f>('등급 계산식'!$E$4-F51)*'등급 계산식'!$B$5</x:f>
        <x:v>0.06000000000000001</x:v>
      </x:c>
      <x:c r="I51" s="14" t="n">
        <x:f>1-G51-H51</x:f>
        <x:v>0.7999999999999999</x:v>
      </x:c>
      <x:c r="J51" s="2" t="n">
        <x:f>MAX(1,ROUND('기준스탯 72종'!D9-R51-Z51,0))</x:f>
        <x:v>7</x:v>
      </x:c>
      <x:c r="K51" s="2" t="n">
        <x:f>MAX(1,ROUND('기준스탯 72종'!E9-S51-AA51,0))</x:f>
        <x:v>6</x:v>
      </x:c>
      <x:c r="L51" s="2" t="n">
        <x:f>MAX(1,ROUND('기준스탯 72종'!F9-T51-AB51,0))</x:f>
        <x:v>5</x:v>
      </x:c>
      <x:c r="M51" s="2" t="n">
        <x:f>MAX(1,ROUND('기준스탯 72종'!G9-U51-AC51,0))</x:f>
        <x:v>6</x:v>
      </x:c>
      <x:c r="N51" s="2" t="n">
        <x:f>MAX(0,ROUND('기준스탯 72종'!H9-V51-AD51,0))</x:f>
        <x:v>4</x:v>
      </x:c>
      <x:c r="O51" s="2" t="n">
        <x:f>MAX(0,ROUND('기준스탯 72종'!I9-W51-AE51,0))</x:f>
        <x:v>6</x:v>
      </x:c>
      <x:c r="P51" s="2" t="n">
        <x:f>MAX(0,ROUND('기준스탯 72종'!J9-X51-AF51,0))</x:f>
        <x:v>2</x:v>
      </x:c>
      <x:c r="Q51" s="2" t="n">
        <x:f>MAX(0,ROUND('기준스탯 72종'!K9-Y51-AG51,0))</x:f>
        <x:v>1</x:v>
      </x:c>
      <x:c r="R51" s="15" t="n">
        <x:f>'기준스탯 72종'!D9*G51</x:f>
        <x:v>1.2599999999999998</x:v>
      </x:c>
      <x:c r="S51" s="15" t="n">
        <x:f>'기준스탯 72종'!E9*G51</x:f>
        <x:v>0.9799999999999999</x:v>
      </x:c>
      <x:c r="T51" s="15" t="n">
        <x:f>'기준스탯 72종'!F9*G51</x:f>
        <x:v>0.8399999999999999</x:v>
      </x:c>
      <x:c r="U51" s="15" t="n">
        <x:f>'기준스탯 72종'!G9*G51</x:f>
        <x:v>0.9799999999999999</x:v>
      </x:c>
      <x:c r="V51" s="15" t="n">
        <x:f>'기준스탯 72종'!H9*G51</x:f>
        <x:v>0.7</x:v>
      </x:c>
      <x:c r="W51" s="15" t="n">
        <x:f>'기준스탯 72종'!I9*G51</x:f>
        <x:v>0.9799999999999999</x:v>
      </x:c>
      <x:c r="X51" s="15" t="n">
        <x:f>'기준스탯 72종'!J9*G51</x:f>
        <x:v>0.41999999999999993</x:v>
      </x:c>
      <x:c r="Y51" s="15" t="n">
        <x:f>'기준스탯 72종'!K9*G51</x:f>
        <x:v>0.13999999999999999</x:v>
      </x:c>
      <x:c r="Z51" s="15" t="n">
        <x:f>'기준스탯 72종'!D9*H51</x:f>
        <x:v>0.5400000000000001</x:v>
      </x:c>
      <x:c r="AA51" s="15" t="n">
        <x:f>'기준스탯 72종'!E9*H51</x:f>
        <x:v>0.4200000000000001</x:v>
      </x:c>
      <x:c r="AB51" s="15" t="n">
        <x:f>'기준스탯 72종'!F9*H51</x:f>
        <x:v>0.3600000000000001</x:v>
      </x:c>
      <x:c r="AC51" s="15" t="n">
        <x:f>'기준스탯 72종'!G9*H51</x:f>
        <x:v>0.4200000000000001</x:v>
      </x:c>
      <x:c r="AD51" s="15" t="n">
        <x:f>'기준스탯 72종'!H9*H51</x:f>
        <x:v>0.30000000000000004</x:v>
      </x:c>
      <x:c r="AE51" s="15" t="n">
        <x:f>'기준스탯 72종'!I9*H51</x:f>
        <x:v>0.4200000000000001</x:v>
      </x:c>
      <x:c r="AF51" s="15" t="n">
        <x:f>'기준스탯 72종'!J9*H51</x:f>
        <x:v>0.18000000000000005</x:v>
      </x:c>
      <x:c r="AG51" s="15" t="n">
        <x:f>'기준스탯 72종'!K9*H51</x:f>
        <x:v>0.06000000000000001</x:v>
      </x:c>
    </x:row>
    <x:row r="52" ht="28" customHeight="1">
      <x:c r="A52" s="2" t="n">
        <x:v>45</x:v>
      </x:c>
      <x:c r="B52" s="2" t="n">
        <x:v>2</x:v>
      </x:c>
      <x:c r="C52" s="2" t="str">
        <x:v>양자리</x:v>
      </x:c>
      <x:c r="D52" s="2" t="str">
        <x:v>마도사</x:v>
      </x:c>
      <x:c r="E52" s="2" t="n">
        <x:v>5</x:v>
      </x:c>
      <x:c r="F52" s="2" t="n">
        <x:v>4</x:v>
      </x:c>
      <x:c r="G52" s="14" t="n">
        <x:f>('레벨 계산식'!$E$4-E52)*'레벨 계산식'!$B$5</x:f>
        <x:v>0</x:v>
      </x:c>
      <x:c r="H52" s="14" t="n">
        <x:f>('등급 계산식'!$E$4-F52)*'등급 계산식'!$B$5</x:f>
        <x:v>0.06000000000000001</x:v>
      </x:c>
      <x:c r="I52" s="14" t="n">
        <x:f>1-G52-H52</x:f>
        <x:v>0.94</x:v>
      </x:c>
      <x:c r="J52" s="2" t="n">
        <x:f>MAX(1,ROUND('기준스탯 72종'!D9-R52-Z52,0))</x:f>
        <x:v>8</x:v>
      </x:c>
      <x:c r="K52" s="2" t="n">
        <x:f>MAX(1,ROUND('기준스탯 72종'!E9-S52-AA52,0))</x:f>
        <x:v>7</x:v>
      </x:c>
      <x:c r="L52" s="2" t="n">
        <x:f>MAX(1,ROUND('기준스탯 72종'!F9-T52-AB52,0))</x:f>
        <x:v>6</x:v>
      </x:c>
      <x:c r="M52" s="2" t="n">
        <x:f>MAX(1,ROUND('기준스탯 72종'!G9-U52-AC52,0))</x:f>
        <x:v>7</x:v>
      </x:c>
      <x:c r="N52" s="2" t="n">
        <x:f>MAX(0,ROUND('기준스탯 72종'!H9-V52-AD52,0))</x:f>
        <x:v>5</x:v>
      </x:c>
      <x:c r="O52" s="2" t="n">
        <x:f>MAX(0,ROUND('기준스탯 72종'!I9-W52-AE52,0))</x:f>
        <x:v>7</x:v>
      </x:c>
      <x:c r="P52" s="2" t="n">
        <x:f>MAX(0,ROUND('기준스탯 72종'!J9-X52-AF52,0))</x:f>
        <x:v>3</x:v>
      </x:c>
      <x:c r="Q52" s="2" t="n">
        <x:f>MAX(0,ROUND('기준스탯 72종'!K9-Y52-AG52,0))</x:f>
        <x:v>1</x:v>
      </x:c>
      <x:c r="R52" s="15" t="n">
        <x:f>'기준스탯 72종'!D9*G52</x:f>
        <x:v>0</x:v>
      </x:c>
      <x:c r="S52" s="15" t="n">
        <x:f>'기준스탯 72종'!E9*G52</x:f>
        <x:v>0</x:v>
      </x:c>
      <x:c r="T52" s="15" t="n">
        <x:f>'기준스탯 72종'!F9*G52</x:f>
        <x:v>0</x:v>
      </x:c>
      <x:c r="U52" s="15" t="n">
        <x:f>'기준스탯 72종'!G9*G52</x:f>
        <x:v>0</x:v>
      </x:c>
      <x:c r="V52" s="15" t="n">
        <x:f>'기준스탯 72종'!H9*G52</x:f>
        <x:v>0</x:v>
      </x:c>
      <x:c r="W52" s="15" t="n">
        <x:f>'기준스탯 72종'!I9*G52</x:f>
        <x:v>0</x:v>
      </x:c>
      <x:c r="X52" s="15" t="n">
        <x:f>'기준스탯 72종'!J9*G52</x:f>
        <x:v>0</x:v>
      </x:c>
      <x:c r="Y52" s="15" t="n">
        <x:f>'기준스탯 72종'!K9*G52</x:f>
        <x:v>0</x:v>
      </x:c>
      <x:c r="Z52" s="15" t="n">
        <x:f>'기준스탯 72종'!D9*H52</x:f>
        <x:v>0.5400000000000001</x:v>
      </x:c>
      <x:c r="AA52" s="15" t="n">
        <x:f>'기준스탯 72종'!E9*H52</x:f>
        <x:v>0.4200000000000001</x:v>
      </x:c>
      <x:c r="AB52" s="15" t="n">
        <x:f>'기준스탯 72종'!F9*H52</x:f>
        <x:v>0.3600000000000001</x:v>
      </x:c>
      <x:c r="AC52" s="15" t="n">
        <x:f>'기준스탯 72종'!G9*H52</x:f>
        <x:v>0.4200000000000001</x:v>
      </x:c>
      <x:c r="AD52" s="15" t="n">
        <x:f>'기준스탯 72종'!H9*H52</x:f>
        <x:v>0.30000000000000004</x:v>
      </x:c>
      <x:c r="AE52" s="15" t="n">
        <x:f>'기준스탯 72종'!I9*H52</x:f>
        <x:v>0.4200000000000001</x:v>
      </x:c>
      <x:c r="AF52" s="15" t="n">
        <x:f>'기준스탯 72종'!J9*H52</x:f>
        <x:v>0.18000000000000005</x:v>
      </x:c>
      <x:c r="AG52" s="15" t="n">
        <x:f>'기준스탯 72종'!K9*H52</x:f>
        <x:v>0.06000000000000001</x:v>
      </x:c>
    </x:row>
    <x:row r="53" ht="28" customHeight="1">
      <x:c r="A53" s="2" t="n">
        <x:v>46</x:v>
      </x:c>
      <x:c r="B53" s="2" t="n">
        <x:v>2</x:v>
      </x:c>
      <x:c r="C53" s="2" t="str">
        <x:v>양자리</x:v>
      </x:c>
      <x:c r="D53" s="2" t="str">
        <x:v>마도사</x:v>
      </x:c>
      <x:c r="E53" s="2" t="n">
        <x:v>1</x:v>
      </x:c>
      <x:c r="F53" s="2" t="n">
        <x:v>5</x:v>
      </x:c>
      <x:c r="G53" s="14" t="n">
        <x:f>('레벨 계산식'!$E$4-E53)*'레벨 계산식'!$B$5</x:f>
        <x:v>0.5599999999999999</x:v>
      </x:c>
      <x:c r="H53" s="14" t="n">
        <x:f>('등급 계산식'!$E$4-F53)*'등급 계산식'!$B$5</x:f>
        <x:v>0</x:v>
      </x:c>
      <x:c r="I53" s="14" t="n">
        <x:f>1-G53-H53</x:f>
        <x:v>0.44000000000000006</x:v>
      </x:c>
      <x:c r="J53" s="2" t="n">
        <x:f>MAX(1,ROUND('기준스탯 72종'!D9-R53-Z53,0))</x:f>
        <x:v>4</x:v>
      </x:c>
      <x:c r="K53" s="2" t="n">
        <x:f>MAX(1,ROUND('기준스탯 72종'!E9-S53-AA53,0))</x:f>
        <x:v>3</x:v>
      </x:c>
      <x:c r="L53" s="2" t="n">
        <x:f>MAX(1,ROUND('기준스탯 72종'!F9-T53-AB53,0))</x:f>
        <x:v>3</x:v>
      </x:c>
      <x:c r="M53" s="2" t="n">
        <x:f>MAX(1,ROUND('기준스탯 72종'!G9-U53-AC53,0))</x:f>
        <x:v>3</x:v>
      </x:c>
      <x:c r="N53" s="2" t="n">
        <x:f>MAX(0,ROUND('기준스탯 72종'!H9-V53-AD53,0))</x:f>
        <x:v>2</x:v>
      </x:c>
      <x:c r="O53" s="2" t="n">
        <x:f>MAX(0,ROUND('기준스탯 72종'!I9-W53-AE53,0))</x:f>
        <x:v>3</x:v>
      </x:c>
      <x:c r="P53" s="2" t="n">
        <x:f>MAX(0,ROUND('기준스탯 72종'!J9-X53-AF53,0))</x:f>
        <x:v>1</x:v>
      </x:c>
      <x:c r="Q53" s="2" t="n">
        <x:f>MAX(0,ROUND('기준스탯 72종'!K9-Y53-AG53,0))</x:f>
        <x:v>0</x:v>
      </x:c>
      <x:c r="R53" s="15" t="n">
        <x:f>'기준스탯 72종'!D9*G53</x:f>
        <x:v>5.039999999999999</x:v>
      </x:c>
      <x:c r="S53" s="15" t="n">
        <x:f>'기준스탯 72종'!E9*G53</x:f>
        <x:v>3.9199999999999995</x:v>
      </x:c>
      <x:c r="T53" s="15" t="n">
        <x:f>'기준스탯 72종'!F9*G53</x:f>
        <x:v>3.3599999999999994</x:v>
      </x:c>
      <x:c r="U53" s="15" t="n">
        <x:f>'기준스탯 72종'!G9*G53</x:f>
        <x:v>3.9199999999999995</x:v>
      </x:c>
      <x:c r="V53" s="15" t="n">
        <x:f>'기준스탯 72종'!H9*G53</x:f>
        <x:v>2.8</x:v>
      </x:c>
      <x:c r="W53" s="15" t="n">
        <x:f>'기준스탯 72종'!I9*G53</x:f>
        <x:v>3.9199999999999995</x:v>
      </x:c>
      <x:c r="X53" s="15" t="n">
        <x:f>'기준스탯 72종'!J9*G53</x:f>
        <x:v>1.6799999999999997</x:v>
      </x:c>
      <x:c r="Y53" s="15" t="n">
        <x:f>'기준스탯 72종'!K9*G53</x:f>
        <x:v>0.5599999999999999</x:v>
      </x:c>
      <x:c r="Z53" s="15" t="n">
        <x:f>'기준스탯 72종'!D9*H53</x:f>
        <x:v>0</x:v>
      </x:c>
      <x:c r="AA53" s="15" t="n">
        <x:f>'기준스탯 72종'!E9*H53</x:f>
        <x:v>0</x:v>
      </x:c>
      <x:c r="AB53" s="15" t="n">
        <x:f>'기준스탯 72종'!F9*H53</x:f>
        <x:v>0</x:v>
      </x:c>
      <x:c r="AC53" s="15" t="n">
        <x:f>'기준스탯 72종'!G9*H53</x:f>
        <x:v>0</x:v>
      </x:c>
      <x:c r="AD53" s="15" t="n">
        <x:f>'기준스탯 72종'!H9*H53</x:f>
        <x:v>0</x:v>
      </x:c>
      <x:c r="AE53" s="15" t="n">
        <x:f>'기준스탯 72종'!I9*H53</x:f>
        <x:v>0</x:v>
      </x:c>
      <x:c r="AF53" s="15" t="n">
        <x:f>'기준스탯 72종'!J9*H53</x:f>
        <x:v>0</x:v>
      </x:c>
      <x:c r="AG53" s="15" t="n">
        <x:f>'기준스탯 72종'!K9*H53</x:f>
        <x:v>0</x:v>
      </x:c>
    </x:row>
    <x:row r="54" ht="28" customHeight="1">
      <x:c r="A54" s="2" t="n">
        <x:v>47</x:v>
      </x:c>
      <x:c r="B54" s="2" t="n">
        <x:v>2</x:v>
      </x:c>
      <x:c r="C54" s="2" t="str">
        <x:v>양자리</x:v>
      </x:c>
      <x:c r="D54" s="2" t="str">
        <x:v>마도사</x:v>
      </x:c>
      <x:c r="E54" s="2" t="n">
        <x:v>2</x:v>
      </x:c>
      <x:c r="F54" s="2" t="n">
        <x:v>5</x:v>
      </x:c>
      <x:c r="G54" s="14" t="n">
        <x:f>('레벨 계산식'!$E$4-E54)*'레벨 계산식'!$B$5</x:f>
        <x:v>0.41999999999999993</x:v>
      </x:c>
      <x:c r="H54" s="14" t="n">
        <x:f>('등급 계산식'!$E$4-F54)*'등급 계산식'!$B$5</x:f>
        <x:v>0</x:v>
      </x:c>
      <x:c r="I54" s="14" t="n">
        <x:f>1-G54-H54</x:f>
        <x:v>0.5800000000000001</x:v>
      </x:c>
      <x:c r="J54" s="2" t="n">
        <x:f>MAX(1,ROUND('기준스탯 72종'!D9-R54-Z54,0))</x:f>
        <x:v>5</x:v>
      </x:c>
      <x:c r="K54" s="2" t="n">
        <x:f>MAX(1,ROUND('기준스탯 72종'!E9-S54-AA54,0))</x:f>
        <x:v>4</x:v>
      </x:c>
      <x:c r="L54" s="2" t="n">
        <x:f>MAX(1,ROUND('기준스탯 72종'!F9-T54-AB54,0))</x:f>
        <x:v>3</x:v>
      </x:c>
      <x:c r="M54" s="2" t="n">
        <x:f>MAX(1,ROUND('기준스탯 72종'!G9-U54-AC54,0))</x:f>
        <x:v>4</x:v>
      </x:c>
      <x:c r="N54" s="2" t="n">
        <x:f>MAX(0,ROUND('기준스탯 72종'!H9-V54-AD54,0))</x:f>
        <x:v>3</x:v>
      </x:c>
      <x:c r="O54" s="2" t="n">
        <x:f>MAX(0,ROUND('기준스탯 72종'!I9-W54-AE54,0))</x:f>
        <x:v>4</x:v>
      </x:c>
      <x:c r="P54" s="2" t="n">
        <x:f>MAX(0,ROUND('기준스탯 72종'!J9-X54-AF54,0))</x:f>
        <x:v>2</x:v>
      </x:c>
      <x:c r="Q54" s="2" t="n">
        <x:f>MAX(0,ROUND('기준스탯 72종'!K9-Y54-AG54,0))</x:f>
        <x:v>1</x:v>
      </x:c>
      <x:c r="R54" s="15" t="n">
        <x:f>'기준스탯 72종'!D9*G54</x:f>
        <x:v>3.7799999999999994</x:v>
      </x:c>
      <x:c r="S54" s="15" t="n">
        <x:f>'기준스탯 72종'!E9*G54</x:f>
        <x:v>2.9399999999999995</x:v>
      </x:c>
      <x:c r="T54" s="15" t="n">
        <x:f>'기준스탯 72종'!F9*G54</x:f>
        <x:v>2.5199999999999996</x:v>
      </x:c>
      <x:c r="U54" s="15" t="n">
        <x:f>'기준스탯 72종'!G9*G54</x:f>
        <x:v>2.9399999999999995</x:v>
      </x:c>
      <x:c r="V54" s="15" t="n">
        <x:f>'기준스탯 72종'!H9*G54</x:f>
        <x:v>2.0999999999999996</x:v>
      </x:c>
      <x:c r="W54" s="15" t="n">
        <x:f>'기준스탯 72종'!I9*G54</x:f>
        <x:v>2.9399999999999995</x:v>
      </x:c>
      <x:c r="X54" s="15" t="n">
        <x:f>'기준스탯 72종'!J9*G54</x:f>
        <x:v>1.2599999999999998</x:v>
      </x:c>
      <x:c r="Y54" s="15" t="n">
        <x:f>'기준스탯 72종'!K9*G54</x:f>
        <x:v>0.41999999999999993</x:v>
      </x:c>
      <x:c r="Z54" s="15" t="n">
        <x:f>'기준스탯 72종'!D9*H54</x:f>
        <x:v>0</x:v>
      </x:c>
      <x:c r="AA54" s="15" t="n">
        <x:f>'기준스탯 72종'!E9*H54</x:f>
        <x:v>0</x:v>
      </x:c>
      <x:c r="AB54" s="15" t="n">
        <x:f>'기준스탯 72종'!F9*H54</x:f>
        <x:v>0</x:v>
      </x:c>
      <x:c r="AC54" s="15" t="n">
        <x:f>'기준스탯 72종'!G9*H54</x:f>
        <x:v>0</x:v>
      </x:c>
      <x:c r="AD54" s="15" t="n">
        <x:f>'기준스탯 72종'!H9*H54</x:f>
        <x:v>0</x:v>
      </x:c>
      <x:c r="AE54" s="15" t="n">
        <x:f>'기준스탯 72종'!I9*H54</x:f>
        <x:v>0</x:v>
      </x:c>
      <x:c r="AF54" s="15" t="n">
        <x:f>'기준스탯 72종'!J9*H54</x:f>
        <x:v>0</x:v>
      </x:c>
      <x:c r="AG54" s="15" t="n">
        <x:f>'기준스탯 72종'!K9*H54</x:f>
        <x:v>0</x:v>
      </x:c>
    </x:row>
    <x:row r="55" ht="28" customHeight="1">
      <x:c r="A55" s="2" t="n">
        <x:v>48</x:v>
      </x:c>
      <x:c r="B55" s="2" t="n">
        <x:v>2</x:v>
      </x:c>
      <x:c r="C55" s="2" t="str">
        <x:v>양자리</x:v>
      </x:c>
      <x:c r="D55" s="2" t="str">
        <x:v>마도사</x:v>
      </x:c>
      <x:c r="E55" s="2" t="n">
        <x:v>3</x:v>
      </x:c>
      <x:c r="F55" s="2" t="n">
        <x:v>5</x:v>
      </x:c>
      <x:c r="G55" s="14" t="n">
        <x:f>('레벨 계산식'!$E$4-E55)*'레벨 계산식'!$B$5</x:f>
        <x:v>0.27999999999999997</x:v>
      </x:c>
      <x:c r="H55" s="14" t="n">
        <x:f>('등급 계산식'!$E$4-F55)*'등급 계산식'!$B$5</x:f>
        <x:v>0</x:v>
      </x:c>
      <x:c r="I55" s="14" t="n">
        <x:f>1-G55-H55</x:f>
        <x:v>0.72</x:v>
      </x:c>
      <x:c r="J55" s="2" t="n">
        <x:f>MAX(1,ROUND('기준스탯 72종'!D9-R55-Z55,0))</x:f>
        <x:v>6</x:v>
      </x:c>
      <x:c r="K55" s="2" t="n">
        <x:f>MAX(1,ROUND('기준스탯 72종'!E9-S55-AA55,0))</x:f>
        <x:v>5</x:v>
      </x:c>
      <x:c r="L55" s="2" t="n">
        <x:f>MAX(1,ROUND('기준스탯 72종'!F9-T55-AB55,0))</x:f>
        <x:v>4</x:v>
      </x:c>
      <x:c r="M55" s="2" t="n">
        <x:f>MAX(1,ROUND('기준스탯 72종'!G9-U55-AC55,0))</x:f>
        <x:v>5</x:v>
      </x:c>
      <x:c r="N55" s="2" t="n">
        <x:f>MAX(0,ROUND('기준스탯 72종'!H9-V55-AD55,0))</x:f>
        <x:v>4</x:v>
      </x:c>
      <x:c r="O55" s="2" t="n">
        <x:f>MAX(0,ROUND('기준스탯 72종'!I9-W55-AE55,0))</x:f>
        <x:v>5</x:v>
      </x:c>
      <x:c r="P55" s="2" t="n">
        <x:f>MAX(0,ROUND('기준스탯 72종'!J9-X55-AF55,0))</x:f>
        <x:v>2</x:v>
      </x:c>
      <x:c r="Q55" s="2" t="n">
        <x:f>MAX(0,ROUND('기준스탯 72종'!K9-Y55-AG55,0))</x:f>
        <x:v>1</x:v>
      </x:c>
      <x:c r="R55" s="15" t="n">
        <x:f>'기준스탯 72종'!D9*G55</x:f>
        <x:v>2.5199999999999996</x:v>
      </x:c>
      <x:c r="S55" s="15" t="n">
        <x:f>'기준스탯 72종'!E9*G55</x:f>
        <x:v>1.9599999999999997</x:v>
      </x:c>
      <x:c r="T55" s="15" t="n">
        <x:f>'기준스탯 72종'!F9*G55</x:f>
        <x:v>1.6799999999999997</x:v>
      </x:c>
      <x:c r="U55" s="15" t="n">
        <x:f>'기준스탯 72종'!G9*G55</x:f>
        <x:v>1.9599999999999997</x:v>
      </x:c>
      <x:c r="V55" s="15" t="n">
        <x:f>'기준스탯 72종'!H9*G55</x:f>
        <x:v>1.4</x:v>
      </x:c>
      <x:c r="W55" s="15" t="n">
        <x:f>'기준스탯 72종'!I9*G55</x:f>
        <x:v>1.9599999999999997</x:v>
      </x:c>
      <x:c r="X55" s="15" t="n">
        <x:f>'기준스탯 72종'!J9*G55</x:f>
        <x:v>0.8399999999999999</x:v>
      </x:c>
      <x:c r="Y55" s="15" t="n">
        <x:f>'기준스탯 72종'!K9*G55</x:f>
        <x:v>0.27999999999999997</x:v>
      </x:c>
      <x:c r="Z55" s="15" t="n">
        <x:f>'기준스탯 72종'!D9*H55</x:f>
        <x:v>0</x:v>
      </x:c>
      <x:c r="AA55" s="15" t="n">
        <x:f>'기준스탯 72종'!E9*H55</x:f>
        <x:v>0</x:v>
      </x:c>
      <x:c r="AB55" s="15" t="n">
        <x:f>'기준스탯 72종'!F9*H55</x:f>
        <x:v>0</x:v>
      </x:c>
      <x:c r="AC55" s="15" t="n">
        <x:f>'기준스탯 72종'!G9*H55</x:f>
        <x:v>0</x:v>
      </x:c>
      <x:c r="AD55" s="15" t="n">
        <x:f>'기준스탯 72종'!H9*H55</x:f>
        <x:v>0</x:v>
      </x:c>
      <x:c r="AE55" s="15" t="n">
        <x:f>'기준스탯 72종'!I9*H55</x:f>
        <x:v>0</x:v>
      </x:c>
      <x:c r="AF55" s="15" t="n">
        <x:f>'기준스탯 72종'!J9*H55</x:f>
        <x:v>0</x:v>
      </x:c>
      <x:c r="AG55" s="15" t="n">
        <x:f>'기준스탯 72종'!K9*H55</x:f>
        <x:v>0</x:v>
      </x:c>
    </x:row>
    <x:row r="56" ht="28" customHeight="1">
      <x:c r="A56" s="2" t="n">
        <x:v>49</x:v>
      </x:c>
      <x:c r="B56" s="2" t="n">
        <x:v>2</x:v>
      </x:c>
      <x:c r="C56" s="2" t="str">
        <x:v>양자리</x:v>
      </x:c>
      <x:c r="D56" s="2" t="str">
        <x:v>마도사</x:v>
      </x:c>
      <x:c r="E56" s="2" t="n">
        <x:v>4</x:v>
      </x:c>
      <x:c r="F56" s="2" t="n">
        <x:v>5</x:v>
      </x:c>
      <x:c r="G56" s="14" t="n">
        <x:f>('레벨 계산식'!$E$4-E56)*'레벨 계산식'!$B$5</x:f>
        <x:v>0.13999999999999999</x:v>
      </x:c>
      <x:c r="H56" s="14" t="n">
        <x:f>('등급 계산식'!$E$4-F56)*'등급 계산식'!$B$5</x:f>
        <x:v>0</x:v>
      </x:c>
      <x:c r="I56" s="14" t="n">
        <x:f>1-G56-H56</x:f>
        <x:v>0.86</x:v>
      </x:c>
      <x:c r="J56" s="2" t="n">
        <x:f>MAX(1,ROUND('기준스탯 72종'!D9-R56-Z56,0))</x:f>
        <x:v>8</x:v>
      </x:c>
      <x:c r="K56" s="2" t="n">
        <x:f>MAX(1,ROUND('기준스탯 72종'!E9-S56-AA56,0))</x:f>
        <x:v>6</x:v>
      </x:c>
      <x:c r="L56" s="2" t="n">
        <x:f>MAX(1,ROUND('기준스탯 72종'!F9-T56-AB56,0))</x:f>
        <x:v>5</x:v>
      </x:c>
      <x:c r="M56" s="2" t="n">
        <x:f>MAX(1,ROUND('기준스탯 72종'!G9-U56-AC56,0))</x:f>
        <x:v>6</x:v>
      </x:c>
      <x:c r="N56" s="2" t="n">
        <x:f>MAX(0,ROUND('기준스탯 72종'!H9-V56-AD56,0))</x:f>
        <x:v>4</x:v>
      </x:c>
      <x:c r="O56" s="2" t="n">
        <x:f>MAX(0,ROUND('기준스탯 72종'!I9-W56-AE56,0))</x:f>
        <x:v>6</x:v>
      </x:c>
      <x:c r="P56" s="2" t="n">
        <x:f>MAX(0,ROUND('기준스탯 72종'!J9-X56-AF56,0))</x:f>
        <x:v>3</x:v>
      </x:c>
      <x:c r="Q56" s="2" t="n">
        <x:f>MAX(0,ROUND('기준스탯 72종'!K9-Y56-AG56,0))</x:f>
        <x:v>1</x:v>
      </x:c>
      <x:c r="R56" s="15" t="n">
        <x:f>'기준스탯 72종'!D9*G56</x:f>
        <x:v>1.2599999999999998</x:v>
      </x:c>
      <x:c r="S56" s="15" t="n">
        <x:f>'기준스탯 72종'!E9*G56</x:f>
        <x:v>0.9799999999999999</x:v>
      </x:c>
      <x:c r="T56" s="15" t="n">
        <x:f>'기준스탯 72종'!F9*G56</x:f>
        <x:v>0.8399999999999999</x:v>
      </x:c>
      <x:c r="U56" s="15" t="n">
        <x:f>'기준스탯 72종'!G9*G56</x:f>
        <x:v>0.9799999999999999</x:v>
      </x:c>
      <x:c r="V56" s="15" t="n">
        <x:f>'기준스탯 72종'!H9*G56</x:f>
        <x:v>0.7</x:v>
      </x:c>
      <x:c r="W56" s="15" t="n">
        <x:f>'기준스탯 72종'!I9*G56</x:f>
        <x:v>0.9799999999999999</x:v>
      </x:c>
      <x:c r="X56" s="15" t="n">
        <x:f>'기준스탯 72종'!J9*G56</x:f>
        <x:v>0.41999999999999993</x:v>
      </x:c>
      <x:c r="Y56" s="15" t="n">
        <x:f>'기준스탯 72종'!K9*G56</x:f>
        <x:v>0.13999999999999999</x:v>
      </x:c>
      <x:c r="Z56" s="15" t="n">
        <x:f>'기준스탯 72종'!D9*H56</x:f>
        <x:v>0</x:v>
      </x:c>
      <x:c r="AA56" s="15" t="n">
        <x:f>'기준스탯 72종'!E9*H56</x:f>
        <x:v>0</x:v>
      </x:c>
      <x:c r="AB56" s="15" t="n">
        <x:f>'기준스탯 72종'!F9*H56</x:f>
        <x:v>0</x:v>
      </x:c>
      <x:c r="AC56" s="15" t="n">
        <x:f>'기준스탯 72종'!G9*H56</x:f>
        <x:v>0</x:v>
      </x:c>
      <x:c r="AD56" s="15" t="n">
        <x:f>'기준스탯 72종'!H9*H56</x:f>
        <x:v>0</x:v>
      </x:c>
      <x:c r="AE56" s="15" t="n">
        <x:f>'기준스탯 72종'!I9*H56</x:f>
        <x:v>0</x:v>
      </x:c>
      <x:c r="AF56" s="15" t="n">
        <x:f>'기준스탯 72종'!J9*H56</x:f>
        <x:v>0</x:v>
      </x:c>
      <x:c r="AG56" s="15" t="n">
        <x:f>'기준스탯 72종'!K9*H56</x:f>
        <x:v>0</x:v>
      </x:c>
    </x:row>
    <x:row r="57" ht="28" customHeight="1">
      <x:c r="A57" s="2" t="n">
        <x:v>50</x:v>
      </x:c>
      <x:c r="B57" s="2" t="n">
        <x:v>2</x:v>
      </x:c>
      <x:c r="C57" s="2" t="str">
        <x:v>양자리</x:v>
      </x:c>
      <x:c r="D57" s="2" t="str">
        <x:v>마도사</x:v>
      </x:c>
      <x:c r="E57" s="2" t="n">
        <x:v>5</x:v>
      </x:c>
      <x:c r="F57" s="2" t="n">
        <x:v>5</x:v>
      </x:c>
      <x:c r="G57" s="14" t="n">
        <x:f>('레벨 계산식'!$E$4-E57)*'레벨 계산식'!$B$5</x:f>
        <x:v>0</x:v>
      </x:c>
      <x:c r="H57" s="14" t="n">
        <x:f>('등급 계산식'!$E$4-F57)*'등급 계산식'!$B$5</x:f>
        <x:v>0</x:v>
      </x:c>
      <x:c r="I57" s="14" t="n">
        <x:f>1-G57-H57</x:f>
        <x:v>1</x:v>
      </x:c>
      <x:c r="J57" s="2" t="n">
        <x:f>MAX(1,ROUND('기준스탯 72종'!D9-R57-Z57,0))</x:f>
        <x:v>9</x:v>
      </x:c>
      <x:c r="K57" s="2" t="n">
        <x:f>MAX(1,ROUND('기준스탯 72종'!E9-S57-AA57,0))</x:f>
        <x:v>7</x:v>
      </x:c>
      <x:c r="L57" s="2" t="n">
        <x:f>MAX(1,ROUND('기준스탯 72종'!F9-T57-AB57,0))</x:f>
        <x:v>6</x:v>
      </x:c>
      <x:c r="M57" s="2" t="n">
        <x:f>MAX(1,ROUND('기준스탯 72종'!G9-U57-AC57,0))</x:f>
        <x:v>7</x:v>
      </x:c>
      <x:c r="N57" s="2" t="n">
        <x:f>MAX(0,ROUND('기준스탯 72종'!H9-V57-AD57,0))</x:f>
        <x:v>5</x:v>
      </x:c>
      <x:c r="O57" s="2" t="n">
        <x:f>MAX(0,ROUND('기준스탯 72종'!I9-W57-AE57,0))</x:f>
        <x:v>7</x:v>
      </x:c>
      <x:c r="P57" s="2" t="n">
        <x:f>MAX(0,ROUND('기준스탯 72종'!J9-X57-AF57,0))</x:f>
        <x:v>3</x:v>
      </x:c>
      <x:c r="Q57" s="2" t="n">
        <x:f>MAX(0,ROUND('기준스탯 72종'!K9-Y57-AG57,0))</x:f>
        <x:v>1</x:v>
      </x:c>
      <x:c r="R57" s="15" t="n">
        <x:f>'기준스탯 72종'!D9*G57</x:f>
        <x:v>0</x:v>
      </x:c>
      <x:c r="S57" s="15" t="n">
        <x:f>'기준스탯 72종'!E9*G57</x:f>
        <x:v>0</x:v>
      </x:c>
      <x:c r="T57" s="15" t="n">
        <x:f>'기준스탯 72종'!F9*G57</x:f>
        <x:v>0</x:v>
      </x:c>
      <x:c r="U57" s="15" t="n">
        <x:f>'기준스탯 72종'!G9*G57</x:f>
        <x:v>0</x:v>
      </x:c>
      <x:c r="V57" s="15" t="n">
        <x:f>'기준스탯 72종'!H9*G57</x:f>
        <x:v>0</x:v>
      </x:c>
      <x:c r="W57" s="15" t="n">
        <x:f>'기준스탯 72종'!I9*G57</x:f>
        <x:v>0</x:v>
      </x:c>
      <x:c r="X57" s="15" t="n">
        <x:f>'기준스탯 72종'!J9*G57</x:f>
        <x:v>0</x:v>
      </x:c>
      <x:c r="Y57" s="15" t="n">
        <x:f>'기준스탯 72종'!K9*G57</x:f>
        <x:v>0</x:v>
      </x:c>
      <x:c r="Z57" s="15" t="n">
        <x:f>'기준스탯 72종'!D9*H57</x:f>
        <x:v>0</x:v>
      </x:c>
      <x:c r="AA57" s="15" t="n">
        <x:f>'기준스탯 72종'!E9*H57</x:f>
        <x:v>0</x:v>
      </x:c>
      <x:c r="AB57" s="15" t="n">
        <x:f>'기준스탯 72종'!F9*H57</x:f>
        <x:v>0</x:v>
      </x:c>
      <x:c r="AC57" s="15" t="n">
        <x:f>'기준스탯 72종'!G9*H57</x:f>
        <x:v>0</x:v>
      </x:c>
      <x:c r="AD57" s="15" t="n">
        <x:f>'기준스탯 72종'!H9*H57</x:f>
        <x:v>0</x:v>
      </x:c>
      <x:c r="AE57" s="15" t="n">
        <x:f>'기준스탯 72종'!I9*H57</x:f>
        <x:v>0</x:v>
      </x:c>
      <x:c r="AF57" s="15" t="n">
        <x:f>'기준스탯 72종'!J9*H57</x:f>
        <x:v>0</x:v>
      </x:c>
      <x:c r="AG57" s="15" t="n">
        <x:f>'기준스탯 72종'!K9*H57</x:f>
        <x:v>0</x:v>
      </x:c>
    </x:row>
    <x:row r="58" ht="28" customHeight="1">
      <x:c r="A58" s="2" t="n">
        <x:v>51</x:v>
      </x:c>
      <x:c r="B58" s="2" t="n">
        <x:v>3</x:v>
      </x:c>
      <x:c r="C58" s="2" t="str">
        <x:v>양자리</x:v>
      </x:c>
      <x:c r="D58" s="2" t="str">
        <x:v>사수</x:v>
      </x:c>
      <x:c r="E58" s="2" t="n">
        <x:v>1</x:v>
      </x:c>
      <x:c r="F58" s="2" t="n">
        <x:v>1</x:v>
      </x:c>
      <x:c r="G58" s="14" t="n">
        <x:f>('레벨 계산식'!$E$4-E58)*'레벨 계산식'!$B$5</x:f>
        <x:v>0.5599999999999999</x:v>
      </x:c>
      <x:c r="H58" s="14" t="n">
        <x:f>('등급 계산식'!$E$4-F58)*'등급 계산식'!$B$5</x:f>
        <x:v>0.24000000000000005</x:v>
      </x:c>
      <x:c r="I58" s="14" t="n">
        <x:f>1-G58-H58</x:f>
        <x:v>0.2</x:v>
      </x:c>
      <x:c r="J58" s="2" t="n">
        <x:f>MAX(1,ROUND('기준스탯 72종'!D10-R58-Z58,0))</x:f>
        <x:v>2</x:v>
      </x:c>
      <x:c r="K58" s="2" t="n">
        <x:f>MAX(1,ROUND('기준스탯 72종'!E10-S58-AA58,0))</x:f>
        <x:v>2</x:v>
      </x:c>
      <x:c r="L58" s="2" t="n">
        <x:f>MAX(1,ROUND('기준스탯 72종'!F10-T58-AB58,0))</x:f>
        <x:v>1</x:v>
      </x:c>
      <x:c r="M58" s="2" t="n">
        <x:f>MAX(1,ROUND('기준스탯 72종'!G10-U58-AC58,0))</x:f>
        <x:v>2</x:v>
      </x:c>
      <x:c r="N58" s="2" t="n">
        <x:f>MAX(0,ROUND('기준스탯 72종'!H10-V58-AD58,0))</x:f>
        <x:v>1</x:v>
      </x:c>
      <x:c r="O58" s="2" t="n">
        <x:f>MAX(0,ROUND('기준스탯 72종'!I10-W58-AE58,0))</x:f>
        <x:v>1</x:v>
      </x:c>
      <x:c r="P58" s="2" t="n">
        <x:f>MAX(0,ROUND('기준스탯 72종'!J10-X58-AF58,0))</x:f>
        <x:v>1</x:v>
      </x:c>
      <x:c r="Q58" s="2" t="n">
        <x:f>MAX(0,ROUND('기준스탯 72종'!K10-Y58-AG58,0))</x:f>
        <x:v>0</x:v>
      </x:c>
      <x:c r="R58" s="15" t="n">
        <x:f>'기준스탯 72종'!D10*G58</x:f>
        <x:v>4.4799999999999995</x:v>
      </x:c>
      <x:c r="S58" s="15" t="n">
        <x:f>'기준스탯 72종'!E10*G58</x:f>
        <x:v>4.4799999999999995</x:v>
      </x:c>
      <x:c r="T58" s="15" t="n">
        <x:f>'기준스탯 72종'!F10*G58</x:f>
        <x:v>3.3599999999999994</x:v>
      </x:c>
      <x:c r="U58" s="15" t="n">
        <x:f>'기준스탯 72종'!G10*G58</x:f>
        <x:v>4.4799999999999995</x:v>
      </x:c>
      <x:c r="V58" s="15" t="n">
        <x:f>'기준스탯 72종'!H10*G58</x:f>
        <x:v>3.3599999999999994</x:v>
      </x:c>
      <x:c r="W58" s="15" t="n">
        <x:f>'기준스탯 72종'!I10*G58</x:f>
        <x:v>2.8</x:v>
      </x:c>
      <x:c r="X58" s="15" t="n">
        <x:f>'기준스탯 72종'!J10*G58</x:f>
        <x:v>2.2399999999999998</x:v>
      </x:c>
      <x:c r="Y58" s="15" t="n">
        <x:f>'기준스탯 72종'!K10*G58</x:f>
        <x:v>0.5599999999999999</x:v>
      </x:c>
      <x:c r="Z58" s="15" t="n">
        <x:f>'기준스탯 72종'!D10*H58</x:f>
        <x:v>1.9200000000000004</x:v>
      </x:c>
      <x:c r="AA58" s="15" t="n">
        <x:f>'기준스탯 72종'!E10*H58</x:f>
        <x:v>1.9200000000000004</x:v>
      </x:c>
      <x:c r="AB58" s="15" t="n">
        <x:f>'기준스탯 72종'!F10*H58</x:f>
        <x:v>1.4400000000000004</x:v>
      </x:c>
      <x:c r="AC58" s="15" t="n">
        <x:f>'기준스탯 72종'!G10*H58</x:f>
        <x:v>1.9200000000000004</x:v>
      </x:c>
      <x:c r="AD58" s="15" t="n">
        <x:f>'기준스탯 72종'!H10*H58</x:f>
        <x:v>1.4400000000000004</x:v>
      </x:c>
      <x:c r="AE58" s="15" t="n">
        <x:f>'기준스탯 72종'!I10*H58</x:f>
        <x:v>1.2000000000000002</x:v>
      </x:c>
      <x:c r="AF58" s="15" t="n">
        <x:f>'기준스탯 72종'!J10*H58</x:f>
        <x:v>0.9600000000000002</x:v>
      </x:c>
      <x:c r="AG58" s="15" t="n">
        <x:f>'기준스탯 72종'!K10*H58</x:f>
        <x:v>0.24000000000000005</x:v>
      </x:c>
    </x:row>
    <x:row r="59" ht="28" customHeight="1">
      <x:c r="A59" s="2" t="n">
        <x:v>52</x:v>
      </x:c>
      <x:c r="B59" s="2" t="n">
        <x:v>3</x:v>
      </x:c>
      <x:c r="C59" s="2" t="str">
        <x:v>양자리</x:v>
      </x:c>
      <x:c r="D59" s="2" t="str">
        <x:v>사수</x:v>
      </x:c>
      <x:c r="E59" s="2" t="n">
        <x:v>2</x:v>
      </x:c>
      <x:c r="F59" s="2" t="n">
        <x:v>1</x:v>
      </x:c>
      <x:c r="G59" s="14" t="n">
        <x:f>('레벨 계산식'!$E$4-E59)*'레벨 계산식'!$B$5</x:f>
        <x:v>0.41999999999999993</x:v>
      </x:c>
      <x:c r="H59" s="14" t="n">
        <x:f>('등급 계산식'!$E$4-F59)*'등급 계산식'!$B$5</x:f>
        <x:v>0.24000000000000005</x:v>
      </x:c>
      <x:c r="I59" s="14" t="n">
        <x:f>1-G59-H59</x:f>
        <x:v>0.34</x:v>
      </x:c>
      <x:c r="J59" s="2" t="n">
        <x:f>MAX(1,ROUND('기준스탯 72종'!D10-R59-Z59,0))</x:f>
        <x:v>3</x:v>
      </x:c>
      <x:c r="K59" s="2" t="n">
        <x:f>MAX(1,ROUND('기준스탯 72종'!E10-S59-AA59,0))</x:f>
        <x:v>3</x:v>
      </x:c>
      <x:c r="L59" s="2" t="n">
        <x:f>MAX(1,ROUND('기준스탯 72종'!F10-T59-AB59,0))</x:f>
        <x:v>2</x:v>
      </x:c>
      <x:c r="M59" s="2" t="n">
        <x:f>MAX(1,ROUND('기준스탯 72종'!G10-U59-AC59,0))</x:f>
        <x:v>3</x:v>
      </x:c>
      <x:c r="N59" s="2" t="n">
        <x:f>MAX(0,ROUND('기준스탯 72종'!H10-V59-AD59,0))</x:f>
        <x:v>2</x:v>
      </x:c>
      <x:c r="O59" s="2" t="n">
        <x:f>MAX(0,ROUND('기준스탯 72종'!I10-W59-AE59,0))</x:f>
        <x:v>2</x:v>
      </x:c>
      <x:c r="P59" s="2" t="n">
        <x:f>MAX(0,ROUND('기준스탯 72종'!J10-X59-AF59,0))</x:f>
        <x:v>1</x:v>
      </x:c>
      <x:c r="Q59" s="2" t="n">
        <x:f>MAX(0,ROUND('기준스탯 72종'!K10-Y59-AG59,0))</x:f>
        <x:v>0</x:v>
      </x:c>
      <x:c r="R59" s="15" t="n">
        <x:f>'기준스탯 72종'!D10*G59</x:f>
        <x:v>3.3599999999999994</x:v>
      </x:c>
      <x:c r="S59" s="15" t="n">
        <x:f>'기준스탯 72종'!E10*G59</x:f>
        <x:v>3.3599999999999994</x:v>
      </x:c>
      <x:c r="T59" s="15" t="n">
        <x:f>'기준스탯 72종'!F10*G59</x:f>
        <x:v>2.5199999999999996</x:v>
      </x:c>
      <x:c r="U59" s="15" t="n">
        <x:f>'기준스탯 72종'!G10*G59</x:f>
        <x:v>3.3599999999999994</x:v>
      </x:c>
      <x:c r="V59" s="15" t="n">
        <x:f>'기준스탯 72종'!H10*G59</x:f>
        <x:v>2.5199999999999996</x:v>
      </x:c>
      <x:c r="W59" s="15" t="n">
        <x:f>'기준스탯 72종'!I10*G59</x:f>
        <x:v>2.0999999999999996</x:v>
      </x:c>
      <x:c r="X59" s="15" t="n">
        <x:f>'기준스탯 72종'!J10*G59</x:f>
        <x:v>1.6799999999999997</x:v>
      </x:c>
      <x:c r="Y59" s="15" t="n">
        <x:f>'기준스탯 72종'!K10*G59</x:f>
        <x:v>0.41999999999999993</x:v>
      </x:c>
      <x:c r="Z59" s="15" t="n">
        <x:f>'기준스탯 72종'!D10*H59</x:f>
        <x:v>1.9200000000000004</x:v>
      </x:c>
      <x:c r="AA59" s="15" t="n">
        <x:f>'기준스탯 72종'!E10*H59</x:f>
        <x:v>1.9200000000000004</x:v>
      </x:c>
      <x:c r="AB59" s="15" t="n">
        <x:f>'기준스탯 72종'!F10*H59</x:f>
        <x:v>1.4400000000000004</x:v>
      </x:c>
      <x:c r="AC59" s="15" t="n">
        <x:f>'기준스탯 72종'!G10*H59</x:f>
        <x:v>1.9200000000000004</x:v>
      </x:c>
      <x:c r="AD59" s="15" t="n">
        <x:f>'기준스탯 72종'!H10*H59</x:f>
        <x:v>1.4400000000000004</x:v>
      </x:c>
      <x:c r="AE59" s="15" t="n">
        <x:f>'기준스탯 72종'!I10*H59</x:f>
        <x:v>1.2000000000000002</x:v>
      </x:c>
      <x:c r="AF59" s="15" t="n">
        <x:f>'기준스탯 72종'!J10*H59</x:f>
        <x:v>0.9600000000000002</x:v>
      </x:c>
      <x:c r="AG59" s="15" t="n">
        <x:f>'기준스탯 72종'!K10*H59</x:f>
        <x:v>0.24000000000000005</x:v>
      </x:c>
    </x:row>
    <x:row r="60" ht="28" customHeight="1">
      <x:c r="A60" s="2" t="n">
        <x:v>53</x:v>
      </x:c>
      <x:c r="B60" s="2" t="n">
        <x:v>3</x:v>
      </x:c>
      <x:c r="C60" s="2" t="str">
        <x:v>양자리</x:v>
      </x:c>
      <x:c r="D60" s="2" t="str">
        <x:v>사수</x:v>
      </x:c>
      <x:c r="E60" s="2" t="n">
        <x:v>3</x:v>
      </x:c>
      <x:c r="F60" s="2" t="n">
        <x:v>1</x:v>
      </x:c>
      <x:c r="G60" s="14" t="n">
        <x:f>('레벨 계산식'!$E$4-E60)*'레벨 계산식'!$B$5</x:f>
        <x:v>0.27999999999999997</x:v>
      </x:c>
      <x:c r="H60" s="14" t="n">
        <x:f>('등급 계산식'!$E$4-F60)*'등급 계산식'!$B$5</x:f>
        <x:v>0.24000000000000005</x:v>
      </x:c>
      <x:c r="I60" s="14" t="n">
        <x:f>1-G60-H60</x:f>
        <x:v>0.4799999999999999</x:v>
      </x:c>
      <x:c r="J60" s="2" t="n">
        <x:f>MAX(1,ROUND('기준스탯 72종'!D10-R60-Z60,0))</x:f>
        <x:v>4</x:v>
      </x:c>
      <x:c r="K60" s="2" t="n">
        <x:f>MAX(1,ROUND('기준스탯 72종'!E10-S60-AA60,0))</x:f>
        <x:v>4</x:v>
      </x:c>
      <x:c r="L60" s="2" t="n">
        <x:f>MAX(1,ROUND('기준스탯 72종'!F10-T60-AB60,0))</x:f>
        <x:v>3</x:v>
      </x:c>
      <x:c r="M60" s="2" t="n">
        <x:f>MAX(1,ROUND('기준스탯 72종'!G10-U60-AC60,0))</x:f>
        <x:v>4</x:v>
      </x:c>
      <x:c r="N60" s="2" t="n">
        <x:f>MAX(0,ROUND('기준스탯 72종'!H10-V60-AD60,0))</x:f>
        <x:v>3</x:v>
      </x:c>
      <x:c r="O60" s="2" t="n">
        <x:f>MAX(0,ROUND('기준스탯 72종'!I10-W60-AE60,0))</x:f>
        <x:v>2</x:v>
      </x:c>
      <x:c r="P60" s="2" t="n">
        <x:f>MAX(0,ROUND('기준스탯 72종'!J10-X60-AF60,0))</x:f>
        <x:v>2</x:v>
      </x:c>
      <x:c r="Q60" s="2" t="n">
        <x:f>MAX(0,ROUND('기준스탯 72종'!K10-Y60-AG60,0))</x:f>
        <x:v>0</x:v>
      </x:c>
      <x:c r="R60" s="15" t="n">
        <x:f>'기준스탯 72종'!D10*G60</x:f>
        <x:v>2.2399999999999998</x:v>
      </x:c>
      <x:c r="S60" s="15" t="n">
        <x:f>'기준스탯 72종'!E10*G60</x:f>
        <x:v>2.2399999999999998</x:v>
      </x:c>
      <x:c r="T60" s="15" t="n">
        <x:f>'기준스탯 72종'!F10*G60</x:f>
        <x:v>1.6799999999999997</x:v>
      </x:c>
      <x:c r="U60" s="15" t="n">
        <x:f>'기준스탯 72종'!G10*G60</x:f>
        <x:v>2.2399999999999998</x:v>
      </x:c>
      <x:c r="V60" s="15" t="n">
        <x:f>'기준스탯 72종'!H10*G60</x:f>
        <x:v>1.6799999999999997</x:v>
      </x:c>
      <x:c r="W60" s="15" t="n">
        <x:f>'기준스탯 72종'!I10*G60</x:f>
        <x:v>1.4</x:v>
      </x:c>
      <x:c r="X60" s="15" t="n">
        <x:f>'기준스탯 72종'!J10*G60</x:f>
        <x:v>1.1199999999999999</x:v>
      </x:c>
      <x:c r="Y60" s="15" t="n">
        <x:f>'기준스탯 72종'!K10*G60</x:f>
        <x:v>0.27999999999999997</x:v>
      </x:c>
      <x:c r="Z60" s="15" t="n">
        <x:f>'기준스탯 72종'!D10*H60</x:f>
        <x:v>1.9200000000000004</x:v>
      </x:c>
      <x:c r="AA60" s="15" t="n">
        <x:f>'기준스탯 72종'!E10*H60</x:f>
        <x:v>1.9200000000000004</x:v>
      </x:c>
      <x:c r="AB60" s="15" t="n">
        <x:f>'기준스탯 72종'!F10*H60</x:f>
        <x:v>1.4400000000000004</x:v>
      </x:c>
      <x:c r="AC60" s="15" t="n">
        <x:f>'기준스탯 72종'!G10*H60</x:f>
        <x:v>1.9200000000000004</x:v>
      </x:c>
      <x:c r="AD60" s="15" t="n">
        <x:f>'기준스탯 72종'!H10*H60</x:f>
        <x:v>1.4400000000000004</x:v>
      </x:c>
      <x:c r="AE60" s="15" t="n">
        <x:f>'기준스탯 72종'!I10*H60</x:f>
        <x:v>1.2000000000000002</x:v>
      </x:c>
      <x:c r="AF60" s="15" t="n">
        <x:f>'기준스탯 72종'!J10*H60</x:f>
        <x:v>0.9600000000000002</x:v>
      </x:c>
      <x:c r="AG60" s="15" t="n">
        <x:f>'기준스탯 72종'!K10*H60</x:f>
        <x:v>0.24000000000000005</x:v>
      </x:c>
    </x:row>
    <x:row r="61" ht="28" customHeight="1">
      <x:c r="A61" s="2" t="n">
        <x:v>54</x:v>
      </x:c>
      <x:c r="B61" s="2" t="n">
        <x:v>3</x:v>
      </x:c>
      <x:c r="C61" s="2" t="str">
        <x:v>양자리</x:v>
      </x:c>
      <x:c r="D61" s="2" t="str">
        <x:v>사수</x:v>
      </x:c>
      <x:c r="E61" s="2" t="n">
        <x:v>4</x:v>
      </x:c>
      <x:c r="F61" s="2" t="n">
        <x:v>1</x:v>
      </x:c>
      <x:c r="G61" s="14" t="n">
        <x:f>('레벨 계산식'!$E$4-E61)*'레벨 계산식'!$B$5</x:f>
        <x:v>0.13999999999999999</x:v>
      </x:c>
      <x:c r="H61" s="14" t="n">
        <x:f>('등급 계산식'!$E$4-F61)*'등급 계산식'!$B$5</x:f>
        <x:v>0.24000000000000005</x:v>
      </x:c>
      <x:c r="I61" s="14" t="n">
        <x:f>1-G61-H61</x:f>
        <x:v>0.6199999999999999</x:v>
      </x:c>
      <x:c r="J61" s="2" t="n">
        <x:f>MAX(1,ROUND('기준스탯 72종'!D10-R61-Z61,0))</x:f>
        <x:v>5</x:v>
      </x:c>
      <x:c r="K61" s="2" t="n">
        <x:f>MAX(1,ROUND('기준스탯 72종'!E10-S61-AA61,0))</x:f>
        <x:v>5</x:v>
      </x:c>
      <x:c r="L61" s="2" t="n">
        <x:f>MAX(1,ROUND('기준스탯 72종'!F10-T61-AB61,0))</x:f>
        <x:v>4</x:v>
      </x:c>
      <x:c r="M61" s="2" t="n">
        <x:f>MAX(1,ROUND('기준스탯 72종'!G10-U61-AC61,0))</x:f>
        <x:v>5</x:v>
      </x:c>
      <x:c r="N61" s="2" t="n">
        <x:f>MAX(0,ROUND('기준스탯 72종'!H10-V61-AD61,0))</x:f>
        <x:v>4</x:v>
      </x:c>
      <x:c r="O61" s="2" t="n">
        <x:f>MAX(0,ROUND('기준스탯 72종'!I10-W61-AE61,0))</x:f>
        <x:v>3</x:v>
      </x:c>
      <x:c r="P61" s="2" t="n">
        <x:f>MAX(0,ROUND('기준스탯 72종'!J10-X61-AF61,0))</x:f>
        <x:v>2</x:v>
      </x:c>
      <x:c r="Q61" s="2" t="n">
        <x:f>MAX(0,ROUND('기준스탯 72종'!K10-Y61-AG61,0))</x:f>
        <x:v>1</x:v>
      </x:c>
      <x:c r="R61" s="15" t="n">
        <x:f>'기준스탯 72종'!D10*G61</x:f>
        <x:v>1.1199999999999999</x:v>
      </x:c>
      <x:c r="S61" s="15" t="n">
        <x:f>'기준스탯 72종'!E10*G61</x:f>
        <x:v>1.1199999999999999</x:v>
      </x:c>
      <x:c r="T61" s="15" t="n">
        <x:f>'기준스탯 72종'!F10*G61</x:f>
        <x:v>0.8399999999999999</x:v>
      </x:c>
      <x:c r="U61" s="15" t="n">
        <x:f>'기준스탯 72종'!G10*G61</x:f>
        <x:v>1.1199999999999999</x:v>
      </x:c>
      <x:c r="V61" s="15" t="n">
        <x:f>'기준스탯 72종'!H10*G61</x:f>
        <x:v>0.8399999999999999</x:v>
      </x:c>
      <x:c r="W61" s="15" t="n">
        <x:f>'기준스탯 72종'!I10*G61</x:f>
        <x:v>0.7</x:v>
      </x:c>
      <x:c r="X61" s="15" t="n">
        <x:f>'기준스탯 72종'!J10*G61</x:f>
        <x:v>0.5599999999999999</x:v>
      </x:c>
      <x:c r="Y61" s="15" t="n">
        <x:f>'기준스탯 72종'!K10*G61</x:f>
        <x:v>0.13999999999999999</x:v>
      </x:c>
      <x:c r="Z61" s="15" t="n">
        <x:f>'기준스탯 72종'!D10*H61</x:f>
        <x:v>1.9200000000000004</x:v>
      </x:c>
      <x:c r="AA61" s="15" t="n">
        <x:f>'기준스탯 72종'!E10*H61</x:f>
        <x:v>1.9200000000000004</x:v>
      </x:c>
      <x:c r="AB61" s="15" t="n">
        <x:f>'기준스탯 72종'!F10*H61</x:f>
        <x:v>1.4400000000000004</x:v>
      </x:c>
      <x:c r="AC61" s="15" t="n">
        <x:f>'기준스탯 72종'!G10*H61</x:f>
        <x:v>1.9200000000000004</x:v>
      </x:c>
      <x:c r="AD61" s="15" t="n">
        <x:f>'기준스탯 72종'!H10*H61</x:f>
        <x:v>1.4400000000000004</x:v>
      </x:c>
      <x:c r="AE61" s="15" t="n">
        <x:f>'기준스탯 72종'!I10*H61</x:f>
        <x:v>1.2000000000000002</x:v>
      </x:c>
      <x:c r="AF61" s="15" t="n">
        <x:f>'기준스탯 72종'!J10*H61</x:f>
        <x:v>0.9600000000000002</x:v>
      </x:c>
      <x:c r="AG61" s="15" t="n">
        <x:f>'기준스탯 72종'!K10*H61</x:f>
        <x:v>0.24000000000000005</x:v>
      </x:c>
    </x:row>
    <x:row r="62" ht="28" customHeight="1">
      <x:c r="A62" s="2" t="n">
        <x:v>55</x:v>
      </x:c>
      <x:c r="B62" s="2" t="n">
        <x:v>3</x:v>
      </x:c>
      <x:c r="C62" s="2" t="str">
        <x:v>양자리</x:v>
      </x:c>
      <x:c r="D62" s="2" t="str">
        <x:v>사수</x:v>
      </x:c>
      <x:c r="E62" s="2" t="n">
        <x:v>5</x:v>
      </x:c>
      <x:c r="F62" s="2" t="n">
        <x:v>1</x:v>
      </x:c>
      <x:c r="G62" s="14" t="n">
        <x:f>('레벨 계산식'!$E$4-E62)*'레벨 계산식'!$B$5</x:f>
        <x:v>0</x:v>
      </x:c>
      <x:c r="H62" s="14" t="n">
        <x:f>('등급 계산식'!$E$4-F62)*'등급 계산식'!$B$5</x:f>
        <x:v>0.24000000000000005</x:v>
      </x:c>
      <x:c r="I62" s="14" t="n">
        <x:f>1-G62-H62</x:f>
        <x:v>0.76</x:v>
      </x:c>
      <x:c r="J62" s="2" t="n">
        <x:f>MAX(1,ROUND('기준스탯 72종'!D10-R62-Z62,0))</x:f>
        <x:v>6</x:v>
      </x:c>
      <x:c r="K62" s="2" t="n">
        <x:f>MAX(1,ROUND('기준스탯 72종'!E10-S62-AA62,0))</x:f>
        <x:v>6</x:v>
      </x:c>
      <x:c r="L62" s="2" t="n">
        <x:f>MAX(1,ROUND('기준스탯 72종'!F10-T62-AB62,0))</x:f>
        <x:v>5</x:v>
      </x:c>
      <x:c r="M62" s="2" t="n">
        <x:f>MAX(1,ROUND('기준스탯 72종'!G10-U62-AC62,0))</x:f>
        <x:v>6</x:v>
      </x:c>
      <x:c r="N62" s="2" t="n">
        <x:f>MAX(0,ROUND('기준스탯 72종'!H10-V62-AD62,0))</x:f>
        <x:v>5</x:v>
      </x:c>
      <x:c r="O62" s="2" t="n">
        <x:f>MAX(0,ROUND('기준스탯 72종'!I10-W62-AE62,0))</x:f>
        <x:v>4</x:v>
      </x:c>
      <x:c r="P62" s="2" t="n">
        <x:f>MAX(0,ROUND('기준스탯 72종'!J10-X62-AF62,0))</x:f>
        <x:v>3</x:v>
      </x:c>
      <x:c r="Q62" s="2" t="n">
        <x:f>MAX(0,ROUND('기준스탯 72종'!K10-Y62-AG62,0))</x:f>
        <x:v>1</x:v>
      </x:c>
      <x:c r="R62" s="15" t="n">
        <x:f>'기준스탯 72종'!D10*G62</x:f>
        <x:v>0</x:v>
      </x:c>
      <x:c r="S62" s="15" t="n">
        <x:f>'기준스탯 72종'!E10*G62</x:f>
        <x:v>0</x:v>
      </x:c>
      <x:c r="T62" s="15" t="n">
        <x:f>'기준스탯 72종'!F10*G62</x:f>
        <x:v>0</x:v>
      </x:c>
      <x:c r="U62" s="15" t="n">
        <x:f>'기준스탯 72종'!G10*G62</x:f>
        <x:v>0</x:v>
      </x:c>
      <x:c r="V62" s="15" t="n">
        <x:f>'기준스탯 72종'!H10*G62</x:f>
        <x:v>0</x:v>
      </x:c>
      <x:c r="W62" s="15" t="n">
        <x:f>'기준스탯 72종'!I10*G62</x:f>
        <x:v>0</x:v>
      </x:c>
      <x:c r="X62" s="15" t="n">
        <x:f>'기준스탯 72종'!J10*G62</x:f>
        <x:v>0</x:v>
      </x:c>
      <x:c r="Y62" s="15" t="n">
        <x:f>'기준스탯 72종'!K10*G62</x:f>
        <x:v>0</x:v>
      </x:c>
      <x:c r="Z62" s="15" t="n">
        <x:f>'기준스탯 72종'!D10*H62</x:f>
        <x:v>1.9200000000000004</x:v>
      </x:c>
      <x:c r="AA62" s="15" t="n">
        <x:f>'기준스탯 72종'!E10*H62</x:f>
        <x:v>1.9200000000000004</x:v>
      </x:c>
      <x:c r="AB62" s="15" t="n">
        <x:f>'기준스탯 72종'!F10*H62</x:f>
        <x:v>1.4400000000000004</x:v>
      </x:c>
      <x:c r="AC62" s="15" t="n">
        <x:f>'기준스탯 72종'!G10*H62</x:f>
        <x:v>1.9200000000000004</x:v>
      </x:c>
      <x:c r="AD62" s="15" t="n">
        <x:f>'기준스탯 72종'!H10*H62</x:f>
        <x:v>1.4400000000000004</x:v>
      </x:c>
      <x:c r="AE62" s="15" t="n">
        <x:f>'기준스탯 72종'!I10*H62</x:f>
        <x:v>1.2000000000000002</x:v>
      </x:c>
      <x:c r="AF62" s="15" t="n">
        <x:f>'기준스탯 72종'!J10*H62</x:f>
        <x:v>0.9600000000000002</x:v>
      </x:c>
      <x:c r="AG62" s="15" t="n">
        <x:f>'기준스탯 72종'!K10*H62</x:f>
        <x:v>0.24000000000000005</x:v>
      </x:c>
    </x:row>
    <x:row r="63" ht="28" customHeight="1">
      <x:c r="A63" s="2" t="n">
        <x:v>56</x:v>
      </x:c>
      <x:c r="B63" s="2" t="n">
        <x:v>3</x:v>
      </x:c>
      <x:c r="C63" s="2" t="str">
        <x:v>양자리</x:v>
      </x:c>
      <x:c r="D63" s="2" t="str">
        <x:v>사수</x:v>
      </x:c>
      <x:c r="E63" s="2" t="n">
        <x:v>1</x:v>
      </x:c>
      <x:c r="F63" s="2" t="n">
        <x:v>2</x:v>
      </x:c>
      <x:c r="G63" s="14" t="n">
        <x:f>('레벨 계산식'!$E$4-E63)*'레벨 계산식'!$B$5</x:f>
        <x:v>0.5599999999999999</x:v>
      </x:c>
      <x:c r="H63" s="14" t="n">
        <x:f>('등급 계산식'!$E$4-F63)*'등급 계산식'!$B$5</x:f>
        <x:v>0.18000000000000005</x:v>
      </x:c>
      <x:c r="I63" s="14" t="n">
        <x:f>1-G63-H63</x:f>
        <x:v>0.26</x:v>
      </x:c>
      <x:c r="J63" s="2" t="n">
        <x:f>MAX(1,ROUND('기준스탯 72종'!D10-R63-Z63,0))</x:f>
        <x:v>2</x:v>
      </x:c>
      <x:c r="K63" s="2" t="n">
        <x:f>MAX(1,ROUND('기준스탯 72종'!E10-S63-AA63,0))</x:f>
        <x:v>2</x:v>
      </x:c>
      <x:c r="L63" s="2" t="n">
        <x:f>MAX(1,ROUND('기준스탯 72종'!F10-T63-AB63,0))</x:f>
        <x:v>2</x:v>
      </x:c>
      <x:c r="M63" s="2" t="n">
        <x:f>MAX(1,ROUND('기준스탯 72종'!G10-U63-AC63,0))</x:f>
        <x:v>2</x:v>
      </x:c>
      <x:c r="N63" s="2" t="n">
        <x:f>MAX(0,ROUND('기준스탯 72종'!H10-V63-AD63,0))</x:f>
        <x:v>2</x:v>
      </x:c>
      <x:c r="O63" s="2" t="n">
        <x:f>MAX(0,ROUND('기준스탯 72종'!I10-W63-AE63,0))</x:f>
        <x:v>1</x:v>
      </x:c>
      <x:c r="P63" s="2" t="n">
        <x:f>MAX(0,ROUND('기준스탯 72종'!J10-X63-AF63,0))</x:f>
        <x:v>1</x:v>
      </x:c>
      <x:c r="Q63" s="2" t="n">
        <x:f>MAX(0,ROUND('기준스탯 72종'!K10-Y63-AG63,0))</x:f>
        <x:v>0</x:v>
      </x:c>
      <x:c r="R63" s="15" t="n">
        <x:f>'기준스탯 72종'!D10*G63</x:f>
        <x:v>4.4799999999999995</x:v>
      </x:c>
      <x:c r="S63" s="15" t="n">
        <x:f>'기준스탯 72종'!E10*G63</x:f>
        <x:v>4.4799999999999995</x:v>
      </x:c>
      <x:c r="T63" s="15" t="n">
        <x:f>'기준스탯 72종'!F10*G63</x:f>
        <x:v>3.3599999999999994</x:v>
      </x:c>
      <x:c r="U63" s="15" t="n">
        <x:f>'기준스탯 72종'!G10*G63</x:f>
        <x:v>4.4799999999999995</x:v>
      </x:c>
      <x:c r="V63" s="15" t="n">
        <x:f>'기준스탯 72종'!H10*G63</x:f>
        <x:v>3.3599999999999994</x:v>
      </x:c>
      <x:c r="W63" s="15" t="n">
        <x:f>'기준스탯 72종'!I10*G63</x:f>
        <x:v>2.8</x:v>
      </x:c>
      <x:c r="X63" s="15" t="n">
        <x:f>'기준스탯 72종'!J10*G63</x:f>
        <x:v>2.2399999999999998</x:v>
      </x:c>
      <x:c r="Y63" s="15" t="n">
        <x:f>'기준스탯 72종'!K10*G63</x:f>
        <x:v>0.5599999999999999</x:v>
      </x:c>
      <x:c r="Z63" s="15" t="n">
        <x:f>'기준스탯 72종'!D10*H63</x:f>
        <x:v>1.4400000000000004</x:v>
      </x:c>
      <x:c r="AA63" s="15" t="n">
        <x:f>'기준스탯 72종'!E10*H63</x:f>
        <x:v>1.4400000000000004</x:v>
      </x:c>
      <x:c r="AB63" s="15" t="n">
        <x:f>'기준스탯 72종'!F10*H63</x:f>
        <x:v>1.0800000000000003</x:v>
      </x:c>
      <x:c r="AC63" s="15" t="n">
        <x:f>'기준스탯 72종'!G10*H63</x:f>
        <x:v>1.4400000000000004</x:v>
      </x:c>
      <x:c r="AD63" s="15" t="n">
        <x:f>'기준스탯 72종'!H10*H63</x:f>
        <x:v>1.0800000000000003</x:v>
      </x:c>
      <x:c r="AE63" s="15" t="n">
        <x:f>'기준스탯 72종'!I10*H63</x:f>
        <x:v>0.9000000000000002</x:v>
      </x:c>
      <x:c r="AF63" s="15" t="n">
        <x:f>'기준스탯 72종'!J10*H63</x:f>
        <x:v>0.7200000000000002</x:v>
      </x:c>
      <x:c r="AG63" s="15" t="n">
        <x:f>'기준스탯 72종'!K10*H63</x:f>
        <x:v>0.18000000000000005</x:v>
      </x:c>
    </x:row>
    <x:row r="64" ht="28" customHeight="1">
      <x:c r="A64" s="2" t="n">
        <x:v>57</x:v>
      </x:c>
      <x:c r="B64" s="2" t="n">
        <x:v>3</x:v>
      </x:c>
      <x:c r="C64" s="2" t="str">
        <x:v>양자리</x:v>
      </x:c>
      <x:c r="D64" s="2" t="str">
        <x:v>사수</x:v>
      </x:c>
      <x:c r="E64" s="2" t="n">
        <x:v>2</x:v>
      </x:c>
      <x:c r="F64" s="2" t="n">
        <x:v>2</x:v>
      </x:c>
      <x:c r="G64" s="14" t="n">
        <x:f>('레벨 계산식'!$E$4-E64)*'레벨 계산식'!$B$5</x:f>
        <x:v>0.41999999999999993</x:v>
      </x:c>
      <x:c r="H64" s="14" t="n">
        <x:f>('등급 계산식'!$E$4-F64)*'등급 계산식'!$B$5</x:f>
        <x:v>0.18000000000000005</x:v>
      </x:c>
      <x:c r="I64" s="14" t="n">
        <x:f>1-G64-H64</x:f>
        <x:v>0.4</x:v>
      </x:c>
      <x:c r="J64" s="2" t="n">
        <x:f>MAX(1,ROUND('기준스탯 72종'!D10-R64-Z64,0))</x:f>
        <x:v>3</x:v>
      </x:c>
      <x:c r="K64" s="2" t="n">
        <x:f>MAX(1,ROUND('기준스탯 72종'!E10-S64-AA64,0))</x:f>
        <x:v>3</x:v>
      </x:c>
      <x:c r="L64" s="2" t="n">
        <x:f>MAX(1,ROUND('기준스탯 72종'!F10-T64-AB64,0))</x:f>
        <x:v>2</x:v>
      </x:c>
      <x:c r="M64" s="2" t="n">
        <x:f>MAX(1,ROUND('기준스탯 72종'!G10-U64-AC64,0))</x:f>
        <x:v>3</x:v>
      </x:c>
      <x:c r="N64" s="2" t="n">
        <x:f>MAX(0,ROUND('기준스탯 72종'!H10-V64-AD64,0))</x:f>
        <x:v>2</x:v>
      </x:c>
      <x:c r="O64" s="2" t="n">
        <x:f>MAX(0,ROUND('기준스탯 72종'!I10-W64-AE64,0))</x:f>
        <x:v>2</x:v>
      </x:c>
      <x:c r="P64" s="2" t="n">
        <x:f>MAX(0,ROUND('기준스탯 72종'!J10-X64-AF64,0))</x:f>
        <x:v>2</x:v>
      </x:c>
      <x:c r="Q64" s="2" t="n">
        <x:f>MAX(0,ROUND('기준스탯 72종'!K10-Y64-AG64,0))</x:f>
        <x:v>0</x:v>
      </x:c>
      <x:c r="R64" s="15" t="n">
        <x:f>'기준스탯 72종'!D10*G64</x:f>
        <x:v>3.3599999999999994</x:v>
      </x:c>
      <x:c r="S64" s="15" t="n">
        <x:f>'기준스탯 72종'!E10*G64</x:f>
        <x:v>3.3599999999999994</x:v>
      </x:c>
      <x:c r="T64" s="15" t="n">
        <x:f>'기준스탯 72종'!F10*G64</x:f>
        <x:v>2.5199999999999996</x:v>
      </x:c>
      <x:c r="U64" s="15" t="n">
        <x:f>'기준스탯 72종'!G10*G64</x:f>
        <x:v>3.3599999999999994</x:v>
      </x:c>
      <x:c r="V64" s="15" t="n">
        <x:f>'기준스탯 72종'!H10*G64</x:f>
        <x:v>2.5199999999999996</x:v>
      </x:c>
      <x:c r="W64" s="15" t="n">
        <x:f>'기준스탯 72종'!I10*G64</x:f>
        <x:v>2.0999999999999996</x:v>
      </x:c>
      <x:c r="X64" s="15" t="n">
        <x:f>'기준스탯 72종'!J10*G64</x:f>
        <x:v>1.6799999999999997</x:v>
      </x:c>
      <x:c r="Y64" s="15" t="n">
        <x:f>'기준스탯 72종'!K10*G64</x:f>
        <x:v>0.41999999999999993</x:v>
      </x:c>
      <x:c r="Z64" s="15" t="n">
        <x:f>'기준스탯 72종'!D10*H64</x:f>
        <x:v>1.4400000000000004</x:v>
      </x:c>
      <x:c r="AA64" s="15" t="n">
        <x:f>'기준스탯 72종'!E10*H64</x:f>
        <x:v>1.4400000000000004</x:v>
      </x:c>
      <x:c r="AB64" s="15" t="n">
        <x:f>'기준스탯 72종'!F10*H64</x:f>
        <x:v>1.0800000000000003</x:v>
      </x:c>
      <x:c r="AC64" s="15" t="n">
        <x:f>'기준스탯 72종'!G10*H64</x:f>
        <x:v>1.4400000000000004</x:v>
      </x:c>
      <x:c r="AD64" s="15" t="n">
        <x:f>'기준스탯 72종'!H10*H64</x:f>
        <x:v>1.0800000000000003</x:v>
      </x:c>
      <x:c r="AE64" s="15" t="n">
        <x:f>'기준스탯 72종'!I10*H64</x:f>
        <x:v>0.9000000000000002</x:v>
      </x:c>
      <x:c r="AF64" s="15" t="n">
        <x:f>'기준스탯 72종'!J10*H64</x:f>
        <x:v>0.7200000000000002</x:v>
      </x:c>
      <x:c r="AG64" s="15" t="n">
        <x:f>'기준스탯 72종'!K10*H64</x:f>
        <x:v>0.18000000000000005</x:v>
      </x:c>
    </x:row>
    <x:row r="65" ht="28" customHeight="1">
      <x:c r="A65" s="2" t="n">
        <x:v>58</x:v>
      </x:c>
      <x:c r="B65" s="2" t="n">
        <x:v>3</x:v>
      </x:c>
      <x:c r="C65" s="2" t="str">
        <x:v>양자리</x:v>
      </x:c>
      <x:c r="D65" s="2" t="str">
        <x:v>사수</x:v>
      </x:c>
      <x:c r="E65" s="2" t="n">
        <x:v>3</x:v>
      </x:c>
      <x:c r="F65" s="2" t="n">
        <x:v>2</x:v>
      </x:c>
      <x:c r="G65" s="14" t="n">
        <x:f>('레벨 계산식'!$E$4-E65)*'레벨 계산식'!$B$5</x:f>
        <x:v>0.27999999999999997</x:v>
      </x:c>
      <x:c r="H65" s="14" t="n">
        <x:f>('등급 계산식'!$E$4-F65)*'등급 계산식'!$B$5</x:f>
        <x:v>0.18000000000000005</x:v>
      </x:c>
      <x:c r="I65" s="14" t="n">
        <x:f>1-G65-H65</x:f>
        <x:v>0.5399999999999999</x:v>
      </x:c>
      <x:c r="J65" s="2" t="n">
        <x:f>MAX(1,ROUND('기준스탯 72종'!D10-R65-Z65,0))</x:f>
        <x:v>4</x:v>
      </x:c>
      <x:c r="K65" s="2" t="n">
        <x:f>MAX(1,ROUND('기준스탯 72종'!E10-S65-AA65,0))</x:f>
        <x:v>4</x:v>
      </x:c>
      <x:c r="L65" s="2" t="n">
        <x:f>MAX(1,ROUND('기준스탯 72종'!F10-T65-AB65,0))</x:f>
        <x:v>3</x:v>
      </x:c>
      <x:c r="M65" s="2" t="n">
        <x:f>MAX(1,ROUND('기준스탯 72종'!G10-U65-AC65,0))</x:f>
        <x:v>4</x:v>
      </x:c>
      <x:c r="N65" s="2" t="n">
        <x:f>MAX(0,ROUND('기준스탯 72종'!H10-V65-AD65,0))</x:f>
        <x:v>3</x:v>
      </x:c>
      <x:c r="O65" s="2" t="n">
        <x:f>MAX(0,ROUND('기준스탯 72종'!I10-W65-AE65,0))</x:f>
        <x:v>3</x:v>
      </x:c>
      <x:c r="P65" s="2" t="n">
        <x:f>MAX(0,ROUND('기준스탯 72종'!J10-X65-AF65,0))</x:f>
        <x:v>2</x:v>
      </x:c>
      <x:c r="Q65" s="2" t="n">
        <x:f>MAX(0,ROUND('기준스탯 72종'!K10-Y65-AG65,0))</x:f>
        <x:v>1</x:v>
      </x:c>
      <x:c r="R65" s="15" t="n">
        <x:f>'기준스탯 72종'!D10*G65</x:f>
        <x:v>2.2399999999999998</x:v>
      </x:c>
      <x:c r="S65" s="15" t="n">
        <x:f>'기준스탯 72종'!E10*G65</x:f>
        <x:v>2.2399999999999998</x:v>
      </x:c>
      <x:c r="T65" s="15" t="n">
        <x:f>'기준스탯 72종'!F10*G65</x:f>
        <x:v>1.6799999999999997</x:v>
      </x:c>
      <x:c r="U65" s="15" t="n">
        <x:f>'기준스탯 72종'!G10*G65</x:f>
        <x:v>2.2399999999999998</x:v>
      </x:c>
      <x:c r="V65" s="15" t="n">
        <x:f>'기준스탯 72종'!H10*G65</x:f>
        <x:v>1.6799999999999997</x:v>
      </x:c>
      <x:c r="W65" s="15" t="n">
        <x:f>'기준스탯 72종'!I10*G65</x:f>
        <x:v>1.4</x:v>
      </x:c>
      <x:c r="X65" s="15" t="n">
        <x:f>'기준스탯 72종'!J10*G65</x:f>
        <x:v>1.1199999999999999</x:v>
      </x:c>
      <x:c r="Y65" s="15" t="n">
        <x:f>'기준스탯 72종'!K10*G65</x:f>
        <x:v>0.27999999999999997</x:v>
      </x:c>
      <x:c r="Z65" s="15" t="n">
        <x:f>'기준스탯 72종'!D10*H65</x:f>
        <x:v>1.4400000000000004</x:v>
      </x:c>
      <x:c r="AA65" s="15" t="n">
        <x:f>'기준스탯 72종'!E10*H65</x:f>
        <x:v>1.4400000000000004</x:v>
      </x:c>
      <x:c r="AB65" s="15" t="n">
        <x:f>'기준스탯 72종'!F10*H65</x:f>
        <x:v>1.0800000000000003</x:v>
      </x:c>
      <x:c r="AC65" s="15" t="n">
        <x:f>'기준스탯 72종'!G10*H65</x:f>
        <x:v>1.4400000000000004</x:v>
      </x:c>
      <x:c r="AD65" s="15" t="n">
        <x:f>'기준스탯 72종'!H10*H65</x:f>
        <x:v>1.0800000000000003</x:v>
      </x:c>
      <x:c r="AE65" s="15" t="n">
        <x:f>'기준스탯 72종'!I10*H65</x:f>
        <x:v>0.9000000000000002</x:v>
      </x:c>
      <x:c r="AF65" s="15" t="n">
        <x:f>'기준스탯 72종'!J10*H65</x:f>
        <x:v>0.7200000000000002</x:v>
      </x:c>
      <x:c r="AG65" s="15" t="n">
        <x:f>'기준스탯 72종'!K10*H65</x:f>
        <x:v>0.18000000000000005</x:v>
      </x:c>
    </x:row>
    <x:row r="66" ht="28" customHeight="1">
      <x:c r="A66" s="2" t="n">
        <x:v>59</x:v>
      </x:c>
      <x:c r="B66" s="2" t="n">
        <x:v>3</x:v>
      </x:c>
      <x:c r="C66" s="2" t="str">
        <x:v>양자리</x:v>
      </x:c>
      <x:c r="D66" s="2" t="str">
        <x:v>사수</x:v>
      </x:c>
      <x:c r="E66" s="2" t="n">
        <x:v>4</x:v>
      </x:c>
      <x:c r="F66" s="2" t="n">
        <x:v>2</x:v>
      </x:c>
      <x:c r="G66" s="14" t="n">
        <x:f>('레벨 계산식'!$E$4-E66)*'레벨 계산식'!$B$5</x:f>
        <x:v>0.13999999999999999</x:v>
      </x:c>
      <x:c r="H66" s="14" t="n">
        <x:f>('등급 계산식'!$E$4-F66)*'등급 계산식'!$B$5</x:f>
        <x:v>0.18000000000000005</x:v>
      </x:c>
      <x:c r="I66" s="14" t="n">
        <x:f>1-G66-H66</x:f>
        <x:v>0.6799999999999999</x:v>
      </x:c>
      <x:c r="J66" s="2" t="n">
        <x:f>MAX(1,ROUND('기준스탯 72종'!D10-R66-Z66,0))</x:f>
        <x:v>5</x:v>
      </x:c>
      <x:c r="K66" s="2" t="n">
        <x:f>MAX(1,ROUND('기준스탯 72종'!E10-S66-AA66,0))</x:f>
        <x:v>5</x:v>
      </x:c>
      <x:c r="L66" s="2" t="n">
        <x:f>MAX(1,ROUND('기준스탯 72종'!F10-T66-AB66,0))</x:f>
        <x:v>4</x:v>
      </x:c>
      <x:c r="M66" s="2" t="n">
        <x:f>MAX(1,ROUND('기준스탯 72종'!G10-U66-AC66,0))</x:f>
        <x:v>5</x:v>
      </x:c>
      <x:c r="N66" s="2" t="n">
        <x:f>MAX(0,ROUND('기준스탯 72종'!H10-V66-AD66,0))</x:f>
        <x:v>4</x:v>
      </x:c>
      <x:c r="O66" s="2" t="n">
        <x:f>MAX(0,ROUND('기준스탯 72종'!I10-W66-AE66,0))</x:f>
        <x:v>3</x:v>
      </x:c>
      <x:c r="P66" s="2" t="n">
        <x:f>MAX(0,ROUND('기준스탯 72종'!J10-X66-AF66,0))</x:f>
        <x:v>3</x:v>
      </x:c>
      <x:c r="Q66" s="2" t="n">
        <x:f>MAX(0,ROUND('기준스탯 72종'!K10-Y66-AG66,0))</x:f>
        <x:v>1</x:v>
      </x:c>
      <x:c r="R66" s="15" t="n">
        <x:f>'기준스탯 72종'!D10*G66</x:f>
        <x:v>1.1199999999999999</x:v>
      </x:c>
      <x:c r="S66" s="15" t="n">
        <x:f>'기준스탯 72종'!E10*G66</x:f>
        <x:v>1.1199999999999999</x:v>
      </x:c>
      <x:c r="T66" s="15" t="n">
        <x:f>'기준스탯 72종'!F10*G66</x:f>
        <x:v>0.8399999999999999</x:v>
      </x:c>
      <x:c r="U66" s="15" t="n">
        <x:f>'기준스탯 72종'!G10*G66</x:f>
        <x:v>1.1199999999999999</x:v>
      </x:c>
      <x:c r="V66" s="15" t="n">
        <x:f>'기준스탯 72종'!H10*G66</x:f>
        <x:v>0.8399999999999999</x:v>
      </x:c>
      <x:c r="W66" s="15" t="n">
        <x:f>'기준스탯 72종'!I10*G66</x:f>
        <x:v>0.7</x:v>
      </x:c>
      <x:c r="X66" s="15" t="n">
        <x:f>'기준스탯 72종'!J10*G66</x:f>
        <x:v>0.5599999999999999</x:v>
      </x:c>
      <x:c r="Y66" s="15" t="n">
        <x:f>'기준스탯 72종'!K10*G66</x:f>
        <x:v>0.13999999999999999</x:v>
      </x:c>
      <x:c r="Z66" s="15" t="n">
        <x:f>'기준스탯 72종'!D10*H66</x:f>
        <x:v>1.4400000000000004</x:v>
      </x:c>
      <x:c r="AA66" s="15" t="n">
        <x:f>'기준스탯 72종'!E10*H66</x:f>
        <x:v>1.4400000000000004</x:v>
      </x:c>
      <x:c r="AB66" s="15" t="n">
        <x:f>'기준스탯 72종'!F10*H66</x:f>
        <x:v>1.0800000000000003</x:v>
      </x:c>
      <x:c r="AC66" s="15" t="n">
        <x:f>'기준스탯 72종'!G10*H66</x:f>
        <x:v>1.4400000000000004</x:v>
      </x:c>
      <x:c r="AD66" s="15" t="n">
        <x:f>'기준스탯 72종'!H10*H66</x:f>
        <x:v>1.0800000000000003</x:v>
      </x:c>
      <x:c r="AE66" s="15" t="n">
        <x:f>'기준스탯 72종'!I10*H66</x:f>
        <x:v>0.9000000000000002</x:v>
      </x:c>
      <x:c r="AF66" s="15" t="n">
        <x:f>'기준스탯 72종'!J10*H66</x:f>
        <x:v>0.7200000000000002</x:v>
      </x:c>
      <x:c r="AG66" s="15" t="n">
        <x:f>'기준스탯 72종'!K10*H66</x:f>
        <x:v>0.18000000000000005</x:v>
      </x:c>
    </x:row>
    <x:row r="67" ht="28" customHeight="1">
      <x:c r="A67" s="2" t="n">
        <x:v>60</x:v>
      </x:c>
      <x:c r="B67" s="2" t="n">
        <x:v>3</x:v>
      </x:c>
      <x:c r="C67" s="2" t="str">
        <x:v>양자리</x:v>
      </x:c>
      <x:c r="D67" s="2" t="str">
        <x:v>사수</x:v>
      </x:c>
      <x:c r="E67" s="2" t="n">
        <x:v>5</x:v>
      </x:c>
      <x:c r="F67" s="2" t="n">
        <x:v>2</x:v>
      </x:c>
      <x:c r="G67" s="14" t="n">
        <x:f>('레벨 계산식'!$E$4-E67)*'레벨 계산식'!$B$5</x:f>
        <x:v>0</x:v>
      </x:c>
      <x:c r="H67" s="14" t="n">
        <x:f>('등급 계산식'!$E$4-F67)*'등급 계산식'!$B$5</x:f>
        <x:v>0.18000000000000005</x:v>
      </x:c>
      <x:c r="I67" s="14" t="n">
        <x:f>1-G67-H67</x:f>
        <x:v>0.82</x:v>
      </x:c>
      <x:c r="J67" s="2" t="n">
        <x:f>MAX(1,ROUND('기준스탯 72종'!D10-R67-Z67,0))</x:f>
        <x:v>7</x:v>
      </x:c>
      <x:c r="K67" s="2" t="n">
        <x:f>MAX(1,ROUND('기준스탯 72종'!E10-S67-AA67,0))</x:f>
        <x:v>7</x:v>
      </x:c>
      <x:c r="L67" s="2" t="n">
        <x:f>MAX(1,ROUND('기준스탯 72종'!F10-T67-AB67,0))</x:f>
        <x:v>5</x:v>
      </x:c>
      <x:c r="M67" s="2" t="n">
        <x:f>MAX(1,ROUND('기준스탯 72종'!G10-U67-AC67,0))</x:f>
        <x:v>7</x:v>
      </x:c>
      <x:c r="N67" s="2" t="n">
        <x:f>MAX(0,ROUND('기준스탯 72종'!H10-V67-AD67,0))</x:f>
        <x:v>5</x:v>
      </x:c>
      <x:c r="O67" s="2" t="n">
        <x:f>MAX(0,ROUND('기준스탯 72종'!I10-W67-AE67,0))</x:f>
        <x:v>4</x:v>
      </x:c>
      <x:c r="P67" s="2" t="n">
        <x:f>MAX(0,ROUND('기준스탯 72종'!J10-X67-AF67,0))</x:f>
        <x:v>3</x:v>
      </x:c>
      <x:c r="Q67" s="2" t="n">
        <x:f>MAX(0,ROUND('기준스탯 72종'!K10-Y67-AG67,0))</x:f>
        <x:v>1</x:v>
      </x:c>
      <x:c r="R67" s="15" t="n">
        <x:f>'기준스탯 72종'!D10*G67</x:f>
        <x:v>0</x:v>
      </x:c>
      <x:c r="S67" s="15" t="n">
        <x:f>'기준스탯 72종'!E10*G67</x:f>
        <x:v>0</x:v>
      </x:c>
      <x:c r="T67" s="15" t="n">
        <x:f>'기준스탯 72종'!F10*G67</x:f>
        <x:v>0</x:v>
      </x:c>
      <x:c r="U67" s="15" t="n">
        <x:f>'기준스탯 72종'!G10*G67</x:f>
        <x:v>0</x:v>
      </x:c>
      <x:c r="V67" s="15" t="n">
        <x:f>'기준스탯 72종'!H10*G67</x:f>
        <x:v>0</x:v>
      </x:c>
      <x:c r="W67" s="15" t="n">
        <x:f>'기준스탯 72종'!I10*G67</x:f>
        <x:v>0</x:v>
      </x:c>
      <x:c r="X67" s="15" t="n">
        <x:f>'기준스탯 72종'!J10*G67</x:f>
        <x:v>0</x:v>
      </x:c>
      <x:c r="Y67" s="15" t="n">
        <x:f>'기준스탯 72종'!K10*G67</x:f>
        <x:v>0</x:v>
      </x:c>
      <x:c r="Z67" s="15" t="n">
        <x:f>'기준스탯 72종'!D10*H67</x:f>
        <x:v>1.4400000000000004</x:v>
      </x:c>
      <x:c r="AA67" s="15" t="n">
        <x:f>'기준스탯 72종'!E10*H67</x:f>
        <x:v>1.4400000000000004</x:v>
      </x:c>
      <x:c r="AB67" s="15" t="n">
        <x:f>'기준스탯 72종'!F10*H67</x:f>
        <x:v>1.0800000000000003</x:v>
      </x:c>
      <x:c r="AC67" s="15" t="n">
        <x:f>'기준스탯 72종'!G10*H67</x:f>
        <x:v>1.4400000000000004</x:v>
      </x:c>
      <x:c r="AD67" s="15" t="n">
        <x:f>'기준스탯 72종'!H10*H67</x:f>
        <x:v>1.0800000000000003</x:v>
      </x:c>
      <x:c r="AE67" s="15" t="n">
        <x:f>'기준스탯 72종'!I10*H67</x:f>
        <x:v>0.9000000000000002</x:v>
      </x:c>
      <x:c r="AF67" s="15" t="n">
        <x:f>'기준스탯 72종'!J10*H67</x:f>
        <x:v>0.7200000000000002</x:v>
      </x:c>
      <x:c r="AG67" s="15" t="n">
        <x:f>'기준스탯 72종'!K10*H67</x:f>
        <x:v>0.18000000000000005</x:v>
      </x:c>
    </x:row>
    <x:row r="68" ht="28" customHeight="1">
      <x:c r="A68" s="2" t="n">
        <x:v>61</x:v>
      </x:c>
      <x:c r="B68" s="2" t="n">
        <x:v>3</x:v>
      </x:c>
      <x:c r="C68" s="2" t="str">
        <x:v>양자리</x:v>
      </x:c>
      <x:c r="D68" s="2" t="str">
        <x:v>사수</x:v>
      </x:c>
      <x:c r="E68" s="2" t="n">
        <x:v>1</x:v>
      </x:c>
      <x:c r="F68" s="2" t="n">
        <x:v>3</x:v>
      </x:c>
      <x:c r="G68" s="14" t="n">
        <x:f>('레벨 계산식'!$E$4-E68)*'레벨 계산식'!$B$5</x:f>
        <x:v>0.5599999999999999</x:v>
      </x:c>
      <x:c r="H68" s="14" t="n">
        <x:f>('등급 계산식'!$E$4-F68)*'등급 계산식'!$B$5</x:f>
        <x:v>0.12000000000000002</x:v>
      </x:c>
      <x:c r="I68" s="14" t="n">
        <x:f>1-G68-H68</x:f>
        <x:v>0.32000000000000006</x:v>
      </x:c>
      <x:c r="J68" s="2" t="n">
        <x:f>MAX(1,ROUND('기준스탯 72종'!D10-R68-Z68,0))</x:f>
        <x:v>3</x:v>
      </x:c>
      <x:c r="K68" s="2" t="n">
        <x:f>MAX(1,ROUND('기준스탯 72종'!E10-S68-AA68,0))</x:f>
        <x:v>3</x:v>
      </x:c>
      <x:c r="L68" s="2" t="n">
        <x:f>MAX(1,ROUND('기준스탯 72종'!F10-T68-AB68,0))</x:f>
        <x:v>2</x:v>
      </x:c>
      <x:c r="M68" s="2" t="n">
        <x:f>MAX(1,ROUND('기준스탯 72종'!G10-U68-AC68,0))</x:f>
        <x:v>3</x:v>
      </x:c>
      <x:c r="N68" s="2" t="n">
        <x:f>MAX(0,ROUND('기준스탯 72종'!H10-V68-AD68,0))</x:f>
        <x:v>2</x:v>
      </x:c>
      <x:c r="O68" s="2" t="n">
        <x:f>MAX(0,ROUND('기준스탯 72종'!I10-W68-AE68,0))</x:f>
        <x:v>2</x:v>
      </x:c>
      <x:c r="P68" s="2" t="n">
        <x:f>MAX(0,ROUND('기준스탯 72종'!J10-X68-AF68,0))</x:f>
        <x:v>1</x:v>
      </x:c>
      <x:c r="Q68" s="2" t="n">
        <x:f>MAX(0,ROUND('기준스탯 72종'!K10-Y68-AG68,0))</x:f>
        <x:v>0</x:v>
      </x:c>
      <x:c r="R68" s="15" t="n">
        <x:f>'기준스탯 72종'!D10*G68</x:f>
        <x:v>4.4799999999999995</x:v>
      </x:c>
      <x:c r="S68" s="15" t="n">
        <x:f>'기준스탯 72종'!E10*G68</x:f>
        <x:v>4.4799999999999995</x:v>
      </x:c>
      <x:c r="T68" s="15" t="n">
        <x:f>'기준스탯 72종'!F10*G68</x:f>
        <x:v>3.3599999999999994</x:v>
      </x:c>
      <x:c r="U68" s="15" t="n">
        <x:f>'기준스탯 72종'!G10*G68</x:f>
        <x:v>4.4799999999999995</x:v>
      </x:c>
      <x:c r="V68" s="15" t="n">
        <x:f>'기준스탯 72종'!H10*G68</x:f>
        <x:v>3.3599999999999994</x:v>
      </x:c>
      <x:c r="W68" s="15" t="n">
        <x:f>'기준스탯 72종'!I10*G68</x:f>
        <x:v>2.8</x:v>
      </x:c>
      <x:c r="X68" s="15" t="n">
        <x:f>'기준스탯 72종'!J10*G68</x:f>
        <x:v>2.2399999999999998</x:v>
      </x:c>
      <x:c r="Y68" s="15" t="n">
        <x:f>'기준스탯 72종'!K10*G68</x:f>
        <x:v>0.5599999999999999</x:v>
      </x:c>
      <x:c r="Z68" s="15" t="n">
        <x:f>'기준스탯 72종'!D10*H68</x:f>
        <x:v>0.9600000000000002</x:v>
      </x:c>
      <x:c r="AA68" s="15" t="n">
        <x:f>'기준스탯 72종'!E10*H68</x:f>
        <x:v>0.9600000000000002</x:v>
      </x:c>
      <x:c r="AB68" s="15" t="n">
        <x:f>'기준스탯 72종'!F10*H68</x:f>
        <x:v>0.7200000000000002</x:v>
      </x:c>
      <x:c r="AC68" s="15" t="n">
        <x:f>'기준스탯 72종'!G10*H68</x:f>
        <x:v>0.9600000000000002</x:v>
      </x:c>
      <x:c r="AD68" s="15" t="n">
        <x:f>'기준스탯 72종'!H10*H68</x:f>
        <x:v>0.7200000000000002</x:v>
      </x:c>
      <x:c r="AE68" s="15" t="n">
        <x:f>'기준스탯 72종'!I10*H68</x:f>
        <x:v>0.6000000000000001</x:v>
      </x:c>
      <x:c r="AF68" s="15" t="n">
        <x:f>'기준스탯 72종'!J10*H68</x:f>
        <x:v>0.4800000000000001</x:v>
      </x:c>
      <x:c r="AG68" s="15" t="n">
        <x:f>'기준스탯 72종'!K10*H68</x:f>
        <x:v>0.12000000000000002</x:v>
      </x:c>
    </x:row>
    <x:row r="69" ht="28" customHeight="1">
      <x:c r="A69" s="2" t="n">
        <x:v>62</x:v>
      </x:c>
      <x:c r="B69" s="2" t="n">
        <x:v>3</x:v>
      </x:c>
      <x:c r="C69" s="2" t="str">
        <x:v>양자리</x:v>
      </x:c>
      <x:c r="D69" s="2" t="str">
        <x:v>사수</x:v>
      </x:c>
      <x:c r="E69" s="2" t="n">
        <x:v>2</x:v>
      </x:c>
      <x:c r="F69" s="2" t="n">
        <x:v>3</x:v>
      </x:c>
      <x:c r="G69" s="14" t="n">
        <x:f>('레벨 계산식'!$E$4-E69)*'레벨 계산식'!$B$5</x:f>
        <x:v>0.41999999999999993</x:v>
      </x:c>
      <x:c r="H69" s="14" t="n">
        <x:f>('등급 계산식'!$E$4-F69)*'등급 계산식'!$B$5</x:f>
        <x:v>0.12000000000000002</x:v>
      </x:c>
      <x:c r="I69" s="14" t="n">
        <x:f>1-G69-H69</x:f>
        <x:v>0.4600000000000001</x:v>
      </x:c>
      <x:c r="J69" s="2" t="n">
        <x:f>MAX(1,ROUND('기준스탯 72종'!D10-R69-Z69,0))</x:f>
        <x:v>4</x:v>
      </x:c>
      <x:c r="K69" s="2" t="n">
        <x:f>MAX(1,ROUND('기준스탯 72종'!E10-S69-AA69,0))</x:f>
        <x:v>4</x:v>
      </x:c>
      <x:c r="L69" s="2" t="n">
        <x:f>MAX(1,ROUND('기준스탯 72종'!F10-T69-AB69,0))</x:f>
        <x:v>3</x:v>
      </x:c>
      <x:c r="M69" s="2" t="n">
        <x:f>MAX(1,ROUND('기준스탯 72종'!G10-U69-AC69,0))</x:f>
        <x:v>4</x:v>
      </x:c>
      <x:c r="N69" s="2" t="n">
        <x:f>MAX(0,ROUND('기준스탯 72종'!H10-V69-AD69,0))</x:f>
        <x:v>3</x:v>
      </x:c>
      <x:c r="O69" s="2" t="n">
        <x:f>MAX(0,ROUND('기준스탯 72종'!I10-W69-AE69,0))</x:f>
        <x:v>2</x:v>
      </x:c>
      <x:c r="P69" s="2" t="n">
        <x:f>MAX(0,ROUND('기준스탯 72종'!J10-X69-AF69,0))</x:f>
        <x:v>2</x:v>
      </x:c>
      <x:c r="Q69" s="2" t="n">
        <x:f>MAX(0,ROUND('기준스탯 72종'!K10-Y69-AG69,0))</x:f>
        <x:v>0</x:v>
      </x:c>
      <x:c r="R69" s="15" t="n">
        <x:f>'기준스탯 72종'!D10*G69</x:f>
        <x:v>3.3599999999999994</x:v>
      </x:c>
      <x:c r="S69" s="15" t="n">
        <x:f>'기준스탯 72종'!E10*G69</x:f>
        <x:v>3.3599999999999994</x:v>
      </x:c>
      <x:c r="T69" s="15" t="n">
        <x:f>'기준스탯 72종'!F10*G69</x:f>
        <x:v>2.5199999999999996</x:v>
      </x:c>
      <x:c r="U69" s="15" t="n">
        <x:f>'기준스탯 72종'!G10*G69</x:f>
        <x:v>3.3599999999999994</x:v>
      </x:c>
      <x:c r="V69" s="15" t="n">
        <x:f>'기준스탯 72종'!H10*G69</x:f>
        <x:v>2.5199999999999996</x:v>
      </x:c>
      <x:c r="W69" s="15" t="n">
        <x:f>'기준스탯 72종'!I10*G69</x:f>
        <x:v>2.0999999999999996</x:v>
      </x:c>
      <x:c r="X69" s="15" t="n">
        <x:f>'기준스탯 72종'!J10*G69</x:f>
        <x:v>1.6799999999999997</x:v>
      </x:c>
      <x:c r="Y69" s="15" t="n">
        <x:f>'기준스탯 72종'!K10*G69</x:f>
        <x:v>0.41999999999999993</x:v>
      </x:c>
      <x:c r="Z69" s="15" t="n">
        <x:f>'기준스탯 72종'!D10*H69</x:f>
        <x:v>0.9600000000000002</x:v>
      </x:c>
      <x:c r="AA69" s="15" t="n">
        <x:f>'기준스탯 72종'!E10*H69</x:f>
        <x:v>0.9600000000000002</x:v>
      </x:c>
      <x:c r="AB69" s="15" t="n">
        <x:f>'기준스탯 72종'!F10*H69</x:f>
        <x:v>0.7200000000000002</x:v>
      </x:c>
      <x:c r="AC69" s="15" t="n">
        <x:f>'기준스탯 72종'!G10*H69</x:f>
        <x:v>0.9600000000000002</x:v>
      </x:c>
      <x:c r="AD69" s="15" t="n">
        <x:f>'기준스탯 72종'!H10*H69</x:f>
        <x:v>0.7200000000000002</x:v>
      </x:c>
      <x:c r="AE69" s="15" t="n">
        <x:f>'기준스탯 72종'!I10*H69</x:f>
        <x:v>0.6000000000000001</x:v>
      </x:c>
      <x:c r="AF69" s="15" t="n">
        <x:f>'기준스탯 72종'!J10*H69</x:f>
        <x:v>0.4800000000000001</x:v>
      </x:c>
      <x:c r="AG69" s="15" t="n">
        <x:f>'기준스탯 72종'!K10*H69</x:f>
        <x:v>0.12000000000000002</x:v>
      </x:c>
    </x:row>
    <x:row r="70" ht="28" customHeight="1">
      <x:c r="A70" s="2" t="n">
        <x:v>63</x:v>
      </x:c>
      <x:c r="B70" s="2" t="n">
        <x:v>3</x:v>
      </x:c>
      <x:c r="C70" s="2" t="str">
        <x:v>양자리</x:v>
      </x:c>
      <x:c r="D70" s="2" t="str">
        <x:v>사수</x:v>
      </x:c>
      <x:c r="E70" s="2" t="n">
        <x:v>3</x:v>
      </x:c>
      <x:c r="F70" s="2" t="n">
        <x:v>3</x:v>
      </x:c>
      <x:c r="G70" s="14" t="n">
        <x:f>('레벨 계산식'!$E$4-E70)*'레벨 계산식'!$B$5</x:f>
        <x:v>0.27999999999999997</x:v>
      </x:c>
      <x:c r="H70" s="14" t="n">
        <x:f>('등급 계산식'!$E$4-F70)*'등급 계산식'!$B$5</x:f>
        <x:v>0.12000000000000002</x:v>
      </x:c>
      <x:c r="I70" s="14" t="n">
        <x:f>1-G70-H70</x:f>
        <x:v>0.6</x:v>
      </x:c>
      <x:c r="J70" s="2" t="n">
        <x:f>MAX(1,ROUND('기준스탯 72종'!D10-R70-Z70,0))</x:f>
        <x:v>5</x:v>
      </x:c>
      <x:c r="K70" s="2" t="n">
        <x:f>MAX(1,ROUND('기준스탯 72종'!E10-S70-AA70,0))</x:f>
        <x:v>5</x:v>
      </x:c>
      <x:c r="L70" s="2" t="n">
        <x:f>MAX(1,ROUND('기준스탯 72종'!F10-T70-AB70,0))</x:f>
        <x:v>4</x:v>
      </x:c>
      <x:c r="M70" s="2" t="n">
        <x:f>MAX(1,ROUND('기준스탯 72종'!G10-U70-AC70,0))</x:f>
        <x:v>5</x:v>
      </x:c>
      <x:c r="N70" s="2" t="n">
        <x:f>MAX(0,ROUND('기준스탯 72종'!H10-V70-AD70,0))</x:f>
        <x:v>4</x:v>
      </x:c>
      <x:c r="O70" s="2" t="n">
        <x:f>MAX(0,ROUND('기준스탯 72종'!I10-W70-AE70,0))</x:f>
        <x:v>3</x:v>
      </x:c>
      <x:c r="P70" s="2" t="n">
        <x:f>MAX(0,ROUND('기준스탯 72종'!J10-X70-AF70,0))</x:f>
        <x:v>2</x:v>
      </x:c>
      <x:c r="Q70" s="2" t="n">
        <x:f>MAX(0,ROUND('기준스탯 72종'!K10-Y70-AG70,0))</x:f>
        <x:v>1</x:v>
      </x:c>
      <x:c r="R70" s="15" t="n">
        <x:f>'기준스탯 72종'!D10*G70</x:f>
        <x:v>2.2399999999999998</x:v>
      </x:c>
      <x:c r="S70" s="15" t="n">
        <x:f>'기준스탯 72종'!E10*G70</x:f>
        <x:v>2.2399999999999998</x:v>
      </x:c>
      <x:c r="T70" s="15" t="n">
        <x:f>'기준스탯 72종'!F10*G70</x:f>
        <x:v>1.6799999999999997</x:v>
      </x:c>
      <x:c r="U70" s="15" t="n">
        <x:f>'기준스탯 72종'!G10*G70</x:f>
        <x:v>2.2399999999999998</x:v>
      </x:c>
      <x:c r="V70" s="15" t="n">
        <x:f>'기준스탯 72종'!H10*G70</x:f>
        <x:v>1.6799999999999997</x:v>
      </x:c>
      <x:c r="W70" s="15" t="n">
        <x:f>'기준스탯 72종'!I10*G70</x:f>
        <x:v>1.4</x:v>
      </x:c>
      <x:c r="X70" s="15" t="n">
        <x:f>'기준스탯 72종'!J10*G70</x:f>
        <x:v>1.1199999999999999</x:v>
      </x:c>
      <x:c r="Y70" s="15" t="n">
        <x:f>'기준스탯 72종'!K10*G70</x:f>
        <x:v>0.27999999999999997</x:v>
      </x:c>
      <x:c r="Z70" s="15" t="n">
        <x:f>'기준스탯 72종'!D10*H70</x:f>
        <x:v>0.9600000000000002</x:v>
      </x:c>
      <x:c r="AA70" s="15" t="n">
        <x:f>'기준스탯 72종'!E10*H70</x:f>
        <x:v>0.9600000000000002</x:v>
      </x:c>
      <x:c r="AB70" s="15" t="n">
        <x:f>'기준스탯 72종'!F10*H70</x:f>
        <x:v>0.7200000000000002</x:v>
      </x:c>
      <x:c r="AC70" s="15" t="n">
        <x:f>'기준스탯 72종'!G10*H70</x:f>
        <x:v>0.9600000000000002</x:v>
      </x:c>
      <x:c r="AD70" s="15" t="n">
        <x:f>'기준스탯 72종'!H10*H70</x:f>
        <x:v>0.7200000000000002</x:v>
      </x:c>
      <x:c r="AE70" s="15" t="n">
        <x:f>'기준스탯 72종'!I10*H70</x:f>
        <x:v>0.6000000000000001</x:v>
      </x:c>
      <x:c r="AF70" s="15" t="n">
        <x:f>'기준스탯 72종'!J10*H70</x:f>
        <x:v>0.4800000000000001</x:v>
      </x:c>
      <x:c r="AG70" s="15" t="n">
        <x:f>'기준스탯 72종'!K10*H70</x:f>
        <x:v>0.12000000000000002</x:v>
      </x:c>
    </x:row>
    <x:row r="71" ht="28" customHeight="1">
      <x:c r="A71" s="2" t="n">
        <x:v>64</x:v>
      </x:c>
      <x:c r="B71" s="2" t="n">
        <x:v>3</x:v>
      </x:c>
      <x:c r="C71" s="2" t="str">
        <x:v>양자리</x:v>
      </x:c>
      <x:c r="D71" s="2" t="str">
        <x:v>사수</x:v>
      </x:c>
      <x:c r="E71" s="2" t="n">
        <x:v>4</x:v>
      </x:c>
      <x:c r="F71" s="2" t="n">
        <x:v>3</x:v>
      </x:c>
      <x:c r="G71" s="14" t="n">
        <x:f>('레벨 계산식'!$E$4-E71)*'레벨 계산식'!$B$5</x:f>
        <x:v>0.13999999999999999</x:v>
      </x:c>
      <x:c r="H71" s="14" t="n">
        <x:f>('등급 계산식'!$E$4-F71)*'등급 계산식'!$B$5</x:f>
        <x:v>0.12000000000000002</x:v>
      </x:c>
      <x:c r="I71" s="14" t="n">
        <x:f>1-G71-H71</x:f>
        <x:v>0.74</x:v>
      </x:c>
      <x:c r="J71" s="2" t="n">
        <x:f>MAX(1,ROUND('기준스탯 72종'!D10-R71-Z71,0))</x:f>
        <x:v>6</x:v>
      </x:c>
      <x:c r="K71" s="2" t="n">
        <x:f>MAX(1,ROUND('기준스탯 72종'!E10-S71-AA71,0))</x:f>
        <x:v>6</x:v>
      </x:c>
      <x:c r="L71" s="2" t="n">
        <x:f>MAX(1,ROUND('기준스탯 72종'!F10-T71-AB71,0))</x:f>
        <x:v>4</x:v>
      </x:c>
      <x:c r="M71" s="2" t="n">
        <x:f>MAX(1,ROUND('기준스탯 72종'!G10-U71-AC71,0))</x:f>
        <x:v>6</x:v>
      </x:c>
      <x:c r="N71" s="2" t="n">
        <x:f>MAX(0,ROUND('기준스탯 72종'!H10-V71-AD71,0))</x:f>
        <x:v>4</x:v>
      </x:c>
      <x:c r="O71" s="2" t="n">
        <x:f>MAX(0,ROUND('기준스탯 72종'!I10-W71-AE71,0))</x:f>
        <x:v>4</x:v>
      </x:c>
      <x:c r="P71" s="2" t="n">
        <x:f>MAX(0,ROUND('기준스탯 72종'!J10-X71-AF71,0))</x:f>
        <x:v>3</x:v>
      </x:c>
      <x:c r="Q71" s="2" t="n">
        <x:f>MAX(0,ROUND('기준스탯 72종'!K10-Y71-AG71,0))</x:f>
        <x:v>1</x:v>
      </x:c>
      <x:c r="R71" s="15" t="n">
        <x:f>'기준스탯 72종'!D10*G71</x:f>
        <x:v>1.1199999999999999</x:v>
      </x:c>
      <x:c r="S71" s="15" t="n">
        <x:f>'기준스탯 72종'!E10*G71</x:f>
        <x:v>1.1199999999999999</x:v>
      </x:c>
      <x:c r="T71" s="15" t="n">
        <x:f>'기준스탯 72종'!F10*G71</x:f>
        <x:v>0.8399999999999999</x:v>
      </x:c>
      <x:c r="U71" s="15" t="n">
        <x:f>'기준스탯 72종'!G10*G71</x:f>
        <x:v>1.1199999999999999</x:v>
      </x:c>
      <x:c r="V71" s="15" t="n">
        <x:f>'기준스탯 72종'!H10*G71</x:f>
        <x:v>0.8399999999999999</x:v>
      </x:c>
      <x:c r="W71" s="15" t="n">
        <x:f>'기준스탯 72종'!I10*G71</x:f>
        <x:v>0.7</x:v>
      </x:c>
      <x:c r="X71" s="15" t="n">
        <x:f>'기준스탯 72종'!J10*G71</x:f>
        <x:v>0.5599999999999999</x:v>
      </x:c>
      <x:c r="Y71" s="15" t="n">
        <x:f>'기준스탯 72종'!K10*G71</x:f>
        <x:v>0.13999999999999999</x:v>
      </x:c>
      <x:c r="Z71" s="15" t="n">
        <x:f>'기준스탯 72종'!D10*H71</x:f>
        <x:v>0.9600000000000002</x:v>
      </x:c>
      <x:c r="AA71" s="15" t="n">
        <x:f>'기준스탯 72종'!E10*H71</x:f>
        <x:v>0.9600000000000002</x:v>
      </x:c>
      <x:c r="AB71" s="15" t="n">
        <x:f>'기준스탯 72종'!F10*H71</x:f>
        <x:v>0.7200000000000002</x:v>
      </x:c>
      <x:c r="AC71" s="15" t="n">
        <x:f>'기준스탯 72종'!G10*H71</x:f>
        <x:v>0.9600000000000002</x:v>
      </x:c>
      <x:c r="AD71" s="15" t="n">
        <x:f>'기준스탯 72종'!H10*H71</x:f>
        <x:v>0.7200000000000002</x:v>
      </x:c>
      <x:c r="AE71" s="15" t="n">
        <x:f>'기준스탯 72종'!I10*H71</x:f>
        <x:v>0.6000000000000001</x:v>
      </x:c>
      <x:c r="AF71" s="15" t="n">
        <x:f>'기준스탯 72종'!J10*H71</x:f>
        <x:v>0.4800000000000001</x:v>
      </x:c>
      <x:c r="AG71" s="15" t="n">
        <x:f>'기준스탯 72종'!K10*H71</x:f>
        <x:v>0.12000000000000002</x:v>
      </x:c>
    </x:row>
    <x:row r="72" ht="28" customHeight="1">
      <x:c r="A72" s="2" t="n">
        <x:v>65</x:v>
      </x:c>
      <x:c r="B72" s="2" t="n">
        <x:v>3</x:v>
      </x:c>
      <x:c r="C72" s="2" t="str">
        <x:v>양자리</x:v>
      </x:c>
      <x:c r="D72" s="2" t="str">
        <x:v>사수</x:v>
      </x:c>
      <x:c r="E72" s="2" t="n">
        <x:v>5</x:v>
      </x:c>
      <x:c r="F72" s="2" t="n">
        <x:v>3</x:v>
      </x:c>
      <x:c r="G72" s="14" t="n">
        <x:f>('레벨 계산식'!$E$4-E72)*'레벨 계산식'!$B$5</x:f>
        <x:v>0</x:v>
      </x:c>
      <x:c r="H72" s="14" t="n">
        <x:f>('등급 계산식'!$E$4-F72)*'등급 계산식'!$B$5</x:f>
        <x:v>0.12000000000000002</x:v>
      </x:c>
      <x:c r="I72" s="14" t="n">
        <x:f>1-G72-H72</x:f>
        <x:v>0.88</x:v>
      </x:c>
      <x:c r="J72" s="2" t="n">
        <x:f>MAX(1,ROUND('기준스탯 72종'!D10-R72-Z72,0))</x:f>
        <x:v>7</x:v>
      </x:c>
      <x:c r="K72" s="2" t="n">
        <x:f>MAX(1,ROUND('기준스탯 72종'!E10-S72-AA72,0))</x:f>
        <x:v>7</x:v>
      </x:c>
      <x:c r="L72" s="2" t="n">
        <x:f>MAX(1,ROUND('기준스탯 72종'!F10-T72-AB72,0))</x:f>
        <x:v>5</x:v>
      </x:c>
      <x:c r="M72" s="2" t="n">
        <x:f>MAX(1,ROUND('기준스탯 72종'!G10-U72-AC72,0))</x:f>
        <x:v>7</x:v>
      </x:c>
      <x:c r="N72" s="2" t="n">
        <x:f>MAX(0,ROUND('기준스탯 72종'!H10-V72-AD72,0))</x:f>
        <x:v>5</x:v>
      </x:c>
      <x:c r="O72" s="2" t="n">
        <x:f>MAX(0,ROUND('기준스탯 72종'!I10-W72-AE72,0))</x:f>
        <x:v>4</x:v>
      </x:c>
      <x:c r="P72" s="2" t="n">
        <x:f>MAX(0,ROUND('기준스탯 72종'!J10-X72-AF72,0))</x:f>
        <x:v>4</x:v>
      </x:c>
      <x:c r="Q72" s="2" t="n">
        <x:f>MAX(0,ROUND('기준스탯 72종'!K10-Y72-AG72,0))</x:f>
        <x:v>1</x:v>
      </x:c>
      <x:c r="R72" s="15" t="n">
        <x:f>'기준스탯 72종'!D10*G72</x:f>
        <x:v>0</x:v>
      </x:c>
      <x:c r="S72" s="15" t="n">
        <x:f>'기준스탯 72종'!E10*G72</x:f>
        <x:v>0</x:v>
      </x:c>
      <x:c r="T72" s="15" t="n">
        <x:f>'기준스탯 72종'!F10*G72</x:f>
        <x:v>0</x:v>
      </x:c>
      <x:c r="U72" s="15" t="n">
        <x:f>'기준스탯 72종'!G10*G72</x:f>
        <x:v>0</x:v>
      </x:c>
      <x:c r="V72" s="15" t="n">
        <x:f>'기준스탯 72종'!H10*G72</x:f>
        <x:v>0</x:v>
      </x:c>
      <x:c r="W72" s="15" t="n">
        <x:f>'기준스탯 72종'!I10*G72</x:f>
        <x:v>0</x:v>
      </x:c>
      <x:c r="X72" s="15" t="n">
        <x:f>'기준스탯 72종'!J10*G72</x:f>
        <x:v>0</x:v>
      </x:c>
      <x:c r="Y72" s="15" t="n">
        <x:f>'기준스탯 72종'!K10*G72</x:f>
        <x:v>0</x:v>
      </x:c>
      <x:c r="Z72" s="15" t="n">
        <x:f>'기준스탯 72종'!D10*H72</x:f>
        <x:v>0.9600000000000002</x:v>
      </x:c>
      <x:c r="AA72" s="15" t="n">
        <x:f>'기준스탯 72종'!E10*H72</x:f>
        <x:v>0.9600000000000002</x:v>
      </x:c>
      <x:c r="AB72" s="15" t="n">
        <x:f>'기준스탯 72종'!F10*H72</x:f>
        <x:v>0.7200000000000002</x:v>
      </x:c>
      <x:c r="AC72" s="15" t="n">
        <x:f>'기준스탯 72종'!G10*H72</x:f>
        <x:v>0.9600000000000002</x:v>
      </x:c>
      <x:c r="AD72" s="15" t="n">
        <x:f>'기준스탯 72종'!H10*H72</x:f>
        <x:v>0.7200000000000002</x:v>
      </x:c>
      <x:c r="AE72" s="15" t="n">
        <x:f>'기준스탯 72종'!I10*H72</x:f>
        <x:v>0.6000000000000001</x:v>
      </x:c>
      <x:c r="AF72" s="15" t="n">
        <x:f>'기준스탯 72종'!J10*H72</x:f>
        <x:v>0.4800000000000001</x:v>
      </x:c>
      <x:c r="AG72" s="15" t="n">
        <x:f>'기준스탯 72종'!K10*H72</x:f>
        <x:v>0.12000000000000002</x:v>
      </x:c>
    </x:row>
    <x:row r="73" ht="28" customHeight="1">
      <x:c r="A73" s="2" t="n">
        <x:v>66</x:v>
      </x:c>
      <x:c r="B73" s="2" t="n">
        <x:v>3</x:v>
      </x:c>
      <x:c r="C73" s="2" t="str">
        <x:v>양자리</x:v>
      </x:c>
      <x:c r="D73" s="2" t="str">
        <x:v>사수</x:v>
      </x:c>
      <x:c r="E73" s="2" t="n">
        <x:v>1</x:v>
      </x:c>
      <x:c r="F73" s="2" t="n">
        <x:v>4</x:v>
      </x:c>
      <x:c r="G73" s="14" t="n">
        <x:f>('레벨 계산식'!$E$4-E73)*'레벨 계산식'!$B$5</x:f>
        <x:v>0.5599999999999999</x:v>
      </x:c>
      <x:c r="H73" s="14" t="n">
        <x:f>('등급 계산식'!$E$4-F73)*'등급 계산식'!$B$5</x:f>
        <x:v>0.06000000000000001</x:v>
      </x:c>
      <x:c r="I73" s="14" t="n">
        <x:f>1-G73-H73</x:f>
        <x:v>0.38000000000000006</x:v>
      </x:c>
      <x:c r="J73" s="2" t="n">
        <x:f>MAX(1,ROUND('기준스탯 72종'!D10-R73-Z73,0))</x:f>
        <x:v>3</x:v>
      </x:c>
      <x:c r="K73" s="2" t="n">
        <x:f>MAX(1,ROUND('기준스탯 72종'!E10-S73-AA73,0))</x:f>
        <x:v>3</x:v>
      </x:c>
      <x:c r="L73" s="2" t="n">
        <x:f>MAX(1,ROUND('기준스탯 72종'!F10-T73-AB73,0))</x:f>
        <x:v>2</x:v>
      </x:c>
      <x:c r="M73" s="2" t="n">
        <x:f>MAX(1,ROUND('기준스탯 72종'!G10-U73-AC73,0))</x:f>
        <x:v>3</x:v>
      </x:c>
      <x:c r="N73" s="2" t="n">
        <x:f>MAX(0,ROUND('기준스탯 72종'!H10-V73-AD73,0))</x:f>
        <x:v>2</x:v>
      </x:c>
      <x:c r="O73" s="2" t="n">
        <x:f>MAX(0,ROUND('기준스탯 72종'!I10-W73-AE73,0))</x:f>
        <x:v>2</x:v>
      </x:c>
      <x:c r="P73" s="2" t="n">
        <x:f>MAX(0,ROUND('기준스탯 72종'!J10-X73-AF73,0))</x:f>
        <x:v>2</x:v>
      </x:c>
      <x:c r="Q73" s="2" t="n">
        <x:f>MAX(0,ROUND('기준스탯 72종'!K10-Y73-AG73,0))</x:f>
        <x:v>0</x:v>
      </x:c>
      <x:c r="R73" s="15" t="n">
        <x:f>'기준스탯 72종'!D10*G73</x:f>
        <x:v>4.4799999999999995</x:v>
      </x:c>
      <x:c r="S73" s="15" t="n">
        <x:f>'기준스탯 72종'!E10*G73</x:f>
        <x:v>4.4799999999999995</x:v>
      </x:c>
      <x:c r="T73" s="15" t="n">
        <x:f>'기준스탯 72종'!F10*G73</x:f>
        <x:v>3.3599999999999994</x:v>
      </x:c>
      <x:c r="U73" s="15" t="n">
        <x:f>'기준스탯 72종'!G10*G73</x:f>
        <x:v>4.4799999999999995</x:v>
      </x:c>
      <x:c r="V73" s="15" t="n">
        <x:f>'기준스탯 72종'!H10*G73</x:f>
        <x:v>3.3599999999999994</x:v>
      </x:c>
      <x:c r="W73" s="15" t="n">
        <x:f>'기준스탯 72종'!I10*G73</x:f>
        <x:v>2.8</x:v>
      </x:c>
      <x:c r="X73" s="15" t="n">
        <x:f>'기준스탯 72종'!J10*G73</x:f>
        <x:v>2.2399999999999998</x:v>
      </x:c>
      <x:c r="Y73" s="15" t="n">
        <x:f>'기준스탯 72종'!K10*G73</x:f>
        <x:v>0.5599999999999999</x:v>
      </x:c>
      <x:c r="Z73" s="15" t="n">
        <x:f>'기준스탯 72종'!D10*H73</x:f>
        <x:v>0.4800000000000001</x:v>
      </x:c>
      <x:c r="AA73" s="15" t="n">
        <x:f>'기준스탯 72종'!E10*H73</x:f>
        <x:v>0.4800000000000001</x:v>
      </x:c>
      <x:c r="AB73" s="15" t="n">
        <x:f>'기준스탯 72종'!F10*H73</x:f>
        <x:v>0.3600000000000001</x:v>
      </x:c>
      <x:c r="AC73" s="15" t="n">
        <x:f>'기준스탯 72종'!G10*H73</x:f>
        <x:v>0.4800000000000001</x:v>
      </x:c>
      <x:c r="AD73" s="15" t="n">
        <x:f>'기준스탯 72종'!H10*H73</x:f>
        <x:v>0.3600000000000001</x:v>
      </x:c>
      <x:c r="AE73" s="15" t="n">
        <x:f>'기준스탯 72종'!I10*H73</x:f>
        <x:v>0.30000000000000004</x:v>
      </x:c>
      <x:c r="AF73" s="15" t="n">
        <x:f>'기준스탯 72종'!J10*H73</x:f>
        <x:v>0.24000000000000005</x:v>
      </x:c>
      <x:c r="AG73" s="15" t="n">
        <x:f>'기준스탯 72종'!K10*H73</x:f>
        <x:v>0.06000000000000001</x:v>
      </x:c>
    </x:row>
    <x:row r="74" ht="28" customHeight="1">
      <x:c r="A74" s="2" t="n">
        <x:v>67</x:v>
      </x:c>
      <x:c r="B74" s="2" t="n">
        <x:v>3</x:v>
      </x:c>
      <x:c r="C74" s="2" t="str">
        <x:v>양자리</x:v>
      </x:c>
      <x:c r="D74" s="2" t="str">
        <x:v>사수</x:v>
      </x:c>
      <x:c r="E74" s="2" t="n">
        <x:v>2</x:v>
      </x:c>
      <x:c r="F74" s="2" t="n">
        <x:v>4</x:v>
      </x:c>
      <x:c r="G74" s="14" t="n">
        <x:f>('레벨 계산식'!$E$4-E74)*'레벨 계산식'!$B$5</x:f>
        <x:v>0.41999999999999993</x:v>
      </x:c>
      <x:c r="H74" s="14" t="n">
        <x:f>('등급 계산식'!$E$4-F74)*'등급 계산식'!$B$5</x:f>
        <x:v>0.06000000000000001</x:v>
      </x:c>
      <x:c r="I74" s="14" t="n">
        <x:f>1-G74-H74</x:f>
        <x:v>0.52</x:v>
      </x:c>
      <x:c r="J74" s="2" t="n">
        <x:f>MAX(1,ROUND('기준스탯 72종'!D10-R74-Z74,0))</x:f>
        <x:v>4</x:v>
      </x:c>
      <x:c r="K74" s="2" t="n">
        <x:f>MAX(1,ROUND('기준스탯 72종'!E10-S74-AA74,0))</x:f>
        <x:v>4</x:v>
      </x:c>
      <x:c r="L74" s="2" t="n">
        <x:f>MAX(1,ROUND('기준스탯 72종'!F10-T74-AB74,0))</x:f>
        <x:v>3</x:v>
      </x:c>
      <x:c r="M74" s="2" t="n">
        <x:f>MAX(1,ROUND('기준스탯 72종'!G10-U74-AC74,0))</x:f>
        <x:v>4</x:v>
      </x:c>
      <x:c r="N74" s="2" t="n">
        <x:f>MAX(0,ROUND('기준스탯 72종'!H10-V74-AD74,0))</x:f>
        <x:v>3</x:v>
      </x:c>
      <x:c r="O74" s="2" t="n">
        <x:f>MAX(0,ROUND('기준스탯 72종'!I10-W74-AE74,0))</x:f>
        <x:v>3</x:v>
      </x:c>
      <x:c r="P74" s="2" t="n">
        <x:f>MAX(0,ROUND('기준스탯 72종'!J10-X74-AF74,0))</x:f>
        <x:v>2</x:v>
      </x:c>
      <x:c r="Q74" s="2" t="n">
        <x:f>MAX(0,ROUND('기준스탯 72종'!K10-Y74-AG74,0))</x:f>
        <x:v>1</x:v>
      </x:c>
      <x:c r="R74" s="15" t="n">
        <x:f>'기준스탯 72종'!D10*G74</x:f>
        <x:v>3.3599999999999994</x:v>
      </x:c>
      <x:c r="S74" s="15" t="n">
        <x:f>'기준스탯 72종'!E10*G74</x:f>
        <x:v>3.3599999999999994</x:v>
      </x:c>
      <x:c r="T74" s="15" t="n">
        <x:f>'기준스탯 72종'!F10*G74</x:f>
        <x:v>2.5199999999999996</x:v>
      </x:c>
      <x:c r="U74" s="15" t="n">
        <x:f>'기준스탯 72종'!G10*G74</x:f>
        <x:v>3.3599999999999994</x:v>
      </x:c>
      <x:c r="V74" s="15" t="n">
        <x:f>'기준스탯 72종'!H10*G74</x:f>
        <x:v>2.5199999999999996</x:v>
      </x:c>
      <x:c r="W74" s="15" t="n">
        <x:f>'기준스탯 72종'!I10*G74</x:f>
        <x:v>2.0999999999999996</x:v>
      </x:c>
      <x:c r="X74" s="15" t="n">
        <x:f>'기준스탯 72종'!J10*G74</x:f>
        <x:v>1.6799999999999997</x:v>
      </x:c>
      <x:c r="Y74" s="15" t="n">
        <x:f>'기준스탯 72종'!K10*G74</x:f>
        <x:v>0.41999999999999993</x:v>
      </x:c>
      <x:c r="Z74" s="15" t="n">
        <x:f>'기준스탯 72종'!D10*H74</x:f>
        <x:v>0.4800000000000001</x:v>
      </x:c>
      <x:c r="AA74" s="15" t="n">
        <x:f>'기준스탯 72종'!E10*H74</x:f>
        <x:v>0.4800000000000001</x:v>
      </x:c>
      <x:c r="AB74" s="15" t="n">
        <x:f>'기준스탯 72종'!F10*H74</x:f>
        <x:v>0.3600000000000001</x:v>
      </x:c>
      <x:c r="AC74" s="15" t="n">
        <x:f>'기준스탯 72종'!G10*H74</x:f>
        <x:v>0.4800000000000001</x:v>
      </x:c>
      <x:c r="AD74" s="15" t="n">
        <x:f>'기준스탯 72종'!H10*H74</x:f>
        <x:v>0.3600000000000001</x:v>
      </x:c>
      <x:c r="AE74" s="15" t="n">
        <x:f>'기준스탯 72종'!I10*H74</x:f>
        <x:v>0.30000000000000004</x:v>
      </x:c>
      <x:c r="AF74" s="15" t="n">
        <x:f>'기준스탯 72종'!J10*H74</x:f>
        <x:v>0.24000000000000005</x:v>
      </x:c>
      <x:c r="AG74" s="15" t="n">
        <x:f>'기준스탯 72종'!K10*H74</x:f>
        <x:v>0.06000000000000001</x:v>
      </x:c>
    </x:row>
    <x:row r="75" ht="28" customHeight="1">
      <x:c r="A75" s="2" t="n">
        <x:v>68</x:v>
      </x:c>
      <x:c r="B75" s="2" t="n">
        <x:v>3</x:v>
      </x:c>
      <x:c r="C75" s="2" t="str">
        <x:v>양자리</x:v>
      </x:c>
      <x:c r="D75" s="2" t="str">
        <x:v>사수</x:v>
      </x:c>
      <x:c r="E75" s="2" t="n">
        <x:v>3</x:v>
      </x:c>
      <x:c r="F75" s="2" t="n">
        <x:v>4</x:v>
      </x:c>
      <x:c r="G75" s="14" t="n">
        <x:f>('레벨 계산식'!$E$4-E75)*'레벨 계산식'!$B$5</x:f>
        <x:v>0.27999999999999997</x:v>
      </x:c>
      <x:c r="H75" s="14" t="n">
        <x:f>('등급 계산식'!$E$4-F75)*'등급 계산식'!$B$5</x:f>
        <x:v>0.06000000000000001</x:v>
      </x:c>
      <x:c r="I75" s="14" t="n">
        <x:f>1-G75-H75</x:f>
        <x:v>0.6599999999999999</x:v>
      </x:c>
      <x:c r="J75" s="2" t="n">
        <x:f>MAX(1,ROUND('기준스탯 72종'!D10-R75-Z75,0))</x:f>
        <x:v>5</x:v>
      </x:c>
      <x:c r="K75" s="2" t="n">
        <x:f>MAX(1,ROUND('기준스탯 72종'!E10-S75-AA75,0))</x:f>
        <x:v>5</x:v>
      </x:c>
      <x:c r="L75" s="2" t="n">
        <x:f>MAX(1,ROUND('기준스탯 72종'!F10-T75-AB75,0))</x:f>
        <x:v>4</x:v>
      </x:c>
      <x:c r="M75" s="2" t="n">
        <x:f>MAX(1,ROUND('기준스탯 72종'!G10-U75-AC75,0))</x:f>
        <x:v>5</x:v>
      </x:c>
      <x:c r="N75" s="2" t="n">
        <x:f>MAX(0,ROUND('기준스탯 72종'!H10-V75-AD75,0))</x:f>
        <x:v>4</x:v>
      </x:c>
      <x:c r="O75" s="2" t="n">
        <x:f>MAX(0,ROUND('기준스탯 72종'!I10-W75-AE75,0))</x:f>
        <x:v>3</x:v>
      </x:c>
      <x:c r="P75" s="2" t="n">
        <x:f>MAX(0,ROUND('기준스탯 72종'!J10-X75-AF75,0))</x:f>
        <x:v>3</x:v>
      </x:c>
      <x:c r="Q75" s="2" t="n">
        <x:f>MAX(0,ROUND('기준스탯 72종'!K10-Y75-AG75,0))</x:f>
        <x:v>1</x:v>
      </x:c>
      <x:c r="R75" s="15" t="n">
        <x:f>'기준스탯 72종'!D10*G75</x:f>
        <x:v>2.2399999999999998</x:v>
      </x:c>
      <x:c r="S75" s="15" t="n">
        <x:f>'기준스탯 72종'!E10*G75</x:f>
        <x:v>2.2399999999999998</x:v>
      </x:c>
      <x:c r="T75" s="15" t="n">
        <x:f>'기준스탯 72종'!F10*G75</x:f>
        <x:v>1.6799999999999997</x:v>
      </x:c>
      <x:c r="U75" s="15" t="n">
        <x:f>'기준스탯 72종'!G10*G75</x:f>
        <x:v>2.2399999999999998</x:v>
      </x:c>
      <x:c r="V75" s="15" t="n">
        <x:f>'기준스탯 72종'!H10*G75</x:f>
        <x:v>1.6799999999999997</x:v>
      </x:c>
      <x:c r="W75" s="15" t="n">
        <x:f>'기준스탯 72종'!I10*G75</x:f>
        <x:v>1.4</x:v>
      </x:c>
      <x:c r="X75" s="15" t="n">
        <x:f>'기준스탯 72종'!J10*G75</x:f>
        <x:v>1.1199999999999999</x:v>
      </x:c>
      <x:c r="Y75" s="15" t="n">
        <x:f>'기준스탯 72종'!K10*G75</x:f>
        <x:v>0.27999999999999997</x:v>
      </x:c>
      <x:c r="Z75" s="15" t="n">
        <x:f>'기준스탯 72종'!D10*H75</x:f>
        <x:v>0.4800000000000001</x:v>
      </x:c>
      <x:c r="AA75" s="15" t="n">
        <x:f>'기준스탯 72종'!E10*H75</x:f>
        <x:v>0.4800000000000001</x:v>
      </x:c>
      <x:c r="AB75" s="15" t="n">
        <x:f>'기준스탯 72종'!F10*H75</x:f>
        <x:v>0.3600000000000001</x:v>
      </x:c>
      <x:c r="AC75" s="15" t="n">
        <x:f>'기준스탯 72종'!G10*H75</x:f>
        <x:v>0.4800000000000001</x:v>
      </x:c>
      <x:c r="AD75" s="15" t="n">
        <x:f>'기준스탯 72종'!H10*H75</x:f>
        <x:v>0.3600000000000001</x:v>
      </x:c>
      <x:c r="AE75" s="15" t="n">
        <x:f>'기준스탯 72종'!I10*H75</x:f>
        <x:v>0.30000000000000004</x:v>
      </x:c>
      <x:c r="AF75" s="15" t="n">
        <x:f>'기준스탯 72종'!J10*H75</x:f>
        <x:v>0.24000000000000005</x:v>
      </x:c>
      <x:c r="AG75" s="15" t="n">
        <x:f>'기준스탯 72종'!K10*H75</x:f>
        <x:v>0.06000000000000001</x:v>
      </x:c>
    </x:row>
    <x:row r="76" ht="28" customHeight="1">
      <x:c r="A76" s="2" t="n">
        <x:v>69</x:v>
      </x:c>
      <x:c r="B76" s="2" t="n">
        <x:v>3</x:v>
      </x:c>
      <x:c r="C76" s="2" t="str">
        <x:v>양자리</x:v>
      </x:c>
      <x:c r="D76" s="2" t="str">
        <x:v>사수</x:v>
      </x:c>
      <x:c r="E76" s="2" t="n">
        <x:v>4</x:v>
      </x:c>
      <x:c r="F76" s="2" t="n">
        <x:v>4</x:v>
      </x:c>
      <x:c r="G76" s="14" t="n">
        <x:f>('레벨 계산식'!$E$4-E76)*'레벨 계산식'!$B$5</x:f>
        <x:v>0.13999999999999999</x:v>
      </x:c>
      <x:c r="H76" s="14" t="n">
        <x:f>('등급 계산식'!$E$4-F76)*'등급 계산식'!$B$5</x:f>
        <x:v>0.06000000000000001</x:v>
      </x:c>
      <x:c r="I76" s="14" t="n">
        <x:f>1-G76-H76</x:f>
        <x:v>0.7999999999999999</x:v>
      </x:c>
      <x:c r="J76" s="2" t="n">
        <x:f>MAX(1,ROUND('기준스탯 72종'!D10-R76-Z76,0))</x:f>
        <x:v>6</x:v>
      </x:c>
      <x:c r="K76" s="2" t="n">
        <x:f>MAX(1,ROUND('기준스탯 72종'!E10-S76-AA76,0))</x:f>
        <x:v>6</x:v>
      </x:c>
      <x:c r="L76" s="2" t="n">
        <x:f>MAX(1,ROUND('기준스탯 72종'!F10-T76-AB76,0))</x:f>
        <x:v>5</x:v>
      </x:c>
      <x:c r="M76" s="2" t="n">
        <x:f>MAX(1,ROUND('기준스탯 72종'!G10-U76-AC76,0))</x:f>
        <x:v>6</x:v>
      </x:c>
      <x:c r="N76" s="2" t="n">
        <x:f>MAX(0,ROUND('기준스탯 72종'!H10-V76-AD76,0))</x:f>
        <x:v>5</x:v>
      </x:c>
      <x:c r="O76" s="2" t="n">
        <x:f>MAX(0,ROUND('기준스탯 72종'!I10-W76-AE76,0))</x:f>
        <x:v>4</x:v>
      </x:c>
      <x:c r="P76" s="2" t="n">
        <x:f>MAX(0,ROUND('기준스탯 72종'!J10-X76-AF76,0))</x:f>
        <x:v>3</x:v>
      </x:c>
      <x:c r="Q76" s="2" t="n">
        <x:f>MAX(0,ROUND('기준스탯 72종'!K10-Y76-AG76,0))</x:f>
        <x:v>1</x:v>
      </x:c>
      <x:c r="R76" s="15" t="n">
        <x:f>'기준스탯 72종'!D10*G76</x:f>
        <x:v>1.1199999999999999</x:v>
      </x:c>
      <x:c r="S76" s="15" t="n">
        <x:f>'기준스탯 72종'!E10*G76</x:f>
        <x:v>1.1199999999999999</x:v>
      </x:c>
      <x:c r="T76" s="15" t="n">
        <x:f>'기준스탯 72종'!F10*G76</x:f>
        <x:v>0.8399999999999999</x:v>
      </x:c>
      <x:c r="U76" s="15" t="n">
        <x:f>'기준스탯 72종'!G10*G76</x:f>
        <x:v>1.1199999999999999</x:v>
      </x:c>
      <x:c r="V76" s="15" t="n">
        <x:f>'기준스탯 72종'!H10*G76</x:f>
        <x:v>0.8399999999999999</x:v>
      </x:c>
      <x:c r="W76" s="15" t="n">
        <x:f>'기준스탯 72종'!I10*G76</x:f>
        <x:v>0.7</x:v>
      </x:c>
      <x:c r="X76" s="15" t="n">
        <x:f>'기준스탯 72종'!J10*G76</x:f>
        <x:v>0.5599999999999999</x:v>
      </x:c>
      <x:c r="Y76" s="15" t="n">
        <x:f>'기준스탯 72종'!K10*G76</x:f>
        <x:v>0.13999999999999999</x:v>
      </x:c>
      <x:c r="Z76" s="15" t="n">
        <x:f>'기준스탯 72종'!D10*H76</x:f>
        <x:v>0.4800000000000001</x:v>
      </x:c>
      <x:c r="AA76" s="15" t="n">
        <x:f>'기준스탯 72종'!E10*H76</x:f>
        <x:v>0.4800000000000001</x:v>
      </x:c>
      <x:c r="AB76" s="15" t="n">
        <x:f>'기준스탯 72종'!F10*H76</x:f>
        <x:v>0.3600000000000001</x:v>
      </x:c>
      <x:c r="AC76" s="15" t="n">
        <x:f>'기준스탯 72종'!G10*H76</x:f>
        <x:v>0.4800000000000001</x:v>
      </x:c>
      <x:c r="AD76" s="15" t="n">
        <x:f>'기준스탯 72종'!H10*H76</x:f>
        <x:v>0.3600000000000001</x:v>
      </x:c>
      <x:c r="AE76" s="15" t="n">
        <x:f>'기준스탯 72종'!I10*H76</x:f>
        <x:v>0.30000000000000004</x:v>
      </x:c>
      <x:c r="AF76" s="15" t="n">
        <x:f>'기준스탯 72종'!J10*H76</x:f>
        <x:v>0.24000000000000005</x:v>
      </x:c>
      <x:c r="AG76" s="15" t="n">
        <x:f>'기준스탯 72종'!K10*H76</x:f>
        <x:v>0.06000000000000001</x:v>
      </x:c>
    </x:row>
    <x:row r="77" ht="28" customHeight="1">
      <x:c r="A77" s="2" t="n">
        <x:v>70</x:v>
      </x:c>
      <x:c r="B77" s="2" t="n">
        <x:v>3</x:v>
      </x:c>
      <x:c r="C77" s="2" t="str">
        <x:v>양자리</x:v>
      </x:c>
      <x:c r="D77" s="2" t="str">
        <x:v>사수</x:v>
      </x:c>
      <x:c r="E77" s="2" t="n">
        <x:v>5</x:v>
      </x:c>
      <x:c r="F77" s="2" t="n">
        <x:v>4</x:v>
      </x:c>
      <x:c r="G77" s="14" t="n">
        <x:f>('레벨 계산식'!$E$4-E77)*'레벨 계산식'!$B$5</x:f>
        <x:v>0</x:v>
      </x:c>
      <x:c r="H77" s="14" t="n">
        <x:f>('등급 계산식'!$E$4-F77)*'등급 계산식'!$B$5</x:f>
        <x:v>0.06000000000000001</x:v>
      </x:c>
      <x:c r="I77" s="14" t="n">
        <x:f>1-G77-H77</x:f>
        <x:v>0.94</x:v>
      </x:c>
      <x:c r="J77" s="2" t="n">
        <x:f>MAX(1,ROUND('기준스탯 72종'!D10-R77-Z77,0))</x:f>
        <x:v>8</x:v>
      </x:c>
      <x:c r="K77" s="2" t="n">
        <x:f>MAX(1,ROUND('기준스탯 72종'!E10-S77-AA77,0))</x:f>
        <x:v>8</x:v>
      </x:c>
      <x:c r="L77" s="2" t="n">
        <x:f>MAX(1,ROUND('기준스탯 72종'!F10-T77-AB77,0))</x:f>
        <x:v>6</x:v>
      </x:c>
      <x:c r="M77" s="2" t="n">
        <x:f>MAX(1,ROUND('기준스탯 72종'!G10-U77-AC77,0))</x:f>
        <x:v>8</x:v>
      </x:c>
      <x:c r="N77" s="2" t="n">
        <x:f>MAX(0,ROUND('기준스탯 72종'!H10-V77-AD77,0))</x:f>
        <x:v>6</x:v>
      </x:c>
      <x:c r="O77" s="2" t="n">
        <x:f>MAX(0,ROUND('기준스탯 72종'!I10-W77-AE77,0))</x:f>
        <x:v>5</x:v>
      </x:c>
      <x:c r="P77" s="2" t="n">
        <x:f>MAX(0,ROUND('기준스탯 72종'!J10-X77-AF77,0))</x:f>
        <x:v>4</x:v>
      </x:c>
      <x:c r="Q77" s="2" t="n">
        <x:f>MAX(0,ROUND('기준스탯 72종'!K10-Y77-AG77,0))</x:f>
        <x:v>1</x:v>
      </x:c>
      <x:c r="R77" s="15" t="n">
        <x:f>'기준스탯 72종'!D10*G77</x:f>
        <x:v>0</x:v>
      </x:c>
      <x:c r="S77" s="15" t="n">
        <x:f>'기준스탯 72종'!E10*G77</x:f>
        <x:v>0</x:v>
      </x:c>
      <x:c r="T77" s="15" t="n">
        <x:f>'기준스탯 72종'!F10*G77</x:f>
        <x:v>0</x:v>
      </x:c>
      <x:c r="U77" s="15" t="n">
        <x:f>'기준스탯 72종'!G10*G77</x:f>
        <x:v>0</x:v>
      </x:c>
      <x:c r="V77" s="15" t="n">
        <x:f>'기준스탯 72종'!H10*G77</x:f>
        <x:v>0</x:v>
      </x:c>
      <x:c r="W77" s="15" t="n">
        <x:f>'기준스탯 72종'!I10*G77</x:f>
        <x:v>0</x:v>
      </x:c>
      <x:c r="X77" s="15" t="n">
        <x:f>'기준스탯 72종'!J10*G77</x:f>
        <x:v>0</x:v>
      </x:c>
      <x:c r="Y77" s="15" t="n">
        <x:f>'기준스탯 72종'!K10*G77</x:f>
        <x:v>0</x:v>
      </x:c>
      <x:c r="Z77" s="15" t="n">
        <x:f>'기준스탯 72종'!D10*H77</x:f>
        <x:v>0.4800000000000001</x:v>
      </x:c>
      <x:c r="AA77" s="15" t="n">
        <x:f>'기준스탯 72종'!E10*H77</x:f>
        <x:v>0.4800000000000001</x:v>
      </x:c>
      <x:c r="AB77" s="15" t="n">
        <x:f>'기준스탯 72종'!F10*H77</x:f>
        <x:v>0.3600000000000001</x:v>
      </x:c>
      <x:c r="AC77" s="15" t="n">
        <x:f>'기준스탯 72종'!G10*H77</x:f>
        <x:v>0.4800000000000001</x:v>
      </x:c>
      <x:c r="AD77" s="15" t="n">
        <x:f>'기준스탯 72종'!H10*H77</x:f>
        <x:v>0.3600000000000001</x:v>
      </x:c>
      <x:c r="AE77" s="15" t="n">
        <x:f>'기준스탯 72종'!I10*H77</x:f>
        <x:v>0.30000000000000004</x:v>
      </x:c>
      <x:c r="AF77" s="15" t="n">
        <x:f>'기준스탯 72종'!J10*H77</x:f>
        <x:v>0.24000000000000005</x:v>
      </x:c>
      <x:c r="AG77" s="15" t="n">
        <x:f>'기준스탯 72종'!K10*H77</x:f>
        <x:v>0.06000000000000001</x:v>
      </x:c>
    </x:row>
    <x:row r="78" ht="28" customHeight="1">
      <x:c r="A78" s="2" t="n">
        <x:v>71</x:v>
      </x:c>
      <x:c r="B78" s="2" t="n">
        <x:v>3</x:v>
      </x:c>
      <x:c r="C78" s="2" t="str">
        <x:v>양자리</x:v>
      </x:c>
      <x:c r="D78" s="2" t="str">
        <x:v>사수</x:v>
      </x:c>
      <x:c r="E78" s="2" t="n">
        <x:v>1</x:v>
      </x:c>
      <x:c r="F78" s="2" t="n">
        <x:v>5</x:v>
      </x:c>
      <x:c r="G78" s="14" t="n">
        <x:f>('레벨 계산식'!$E$4-E78)*'레벨 계산식'!$B$5</x:f>
        <x:v>0.5599999999999999</x:v>
      </x:c>
      <x:c r="H78" s="14" t="n">
        <x:f>('등급 계산식'!$E$4-F78)*'등급 계산식'!$B$5</x:f>
        <x:v>0</x:v>
      </x:c>
      <x:c r="I78" s="14" t="n">
        <x:f>1-G78-H78</x:f>
        <x:v>0.44000000000000006</x:v>
      </x:c>
      <x:c r="J78" s="2" t="n">
        <x:f>MAX(1,ROUND('기준스탯 72종'!D10-R78-Z78,0))</x:f>
        <x:v>4</x:v>
      </x:c>
      <x:c r="K78" s="2" t="n">
        <x:f>MAX(1,ROUND('기준스탯 72종'!E10-S78-AA78,0))</x:f>
        <x:v>4</x:v>
      </x:c>
      <x:c r="L78" s="2" t="n">
        <x:f>MAX(1,ROUND('기준스탯 72종'!F10-T78-AB78,0))</x:f>
        <x:v>3</x:v>
      </x:c>
      <x:c r="M78" s="2" t="n">
        <x:f>MAX(1,ROUND('기준스탯 72종'!G10-U78-AC78,0))</x:f>
        <x:v>4</x:v>
      </x:c>
      <x:c r="N78" s="2" t="n">
        <x:f>MAX(0,ROUND('기준스탯 72종'!H10-V78-AD78,0))</x:f>
        <x:v>3</x:v>
      </x:c>
      <x:c r="O78" s="2" t="n">
        <x:f>MAX(0,ROUND('기준스탯 72종'!I10-W78-AE78,0))</x:f>
        <x:v>2</x:v>
      </x:c>
      <x:c r="P78" s="2" t="n">
        <x:f>MAX(0,ROUND('기준스탯 72종'!J10-X78-AF78,0))</x:f>
        <x:v>2</x:v>
      </x:c>
      <x:c r="Q78" s="2" t="n">
        <x:f>MAX(0,ROUND('기준스탯 72종'!K10-Y78-AG78,0))</x:f>
        <x:v>0</x:v>
      </x:c>
      <x:c r="R78" s="15" t="n">
        <x:f>'기준스탯 72종'!D10*G78</x:f>
        <x:v>4.4799999999999995</x:v>
      </x:c>
      <x:c r="S78" s="15" t="n">
        <x:f>'기준스탯 72종'!E10*G78</x:f>
        <x:v>4.4799999999999995</x:v>
      </x:c>
      <x:c r="T78" s="15" t="n">
        <x:f>'기준스탯 72종'!F10*G78</x:f>
        <x:v>3.3599999999999994</x:v>
      </x:c>
      <x:c r="U78" s="15" t="n">
        <x:f>'기준스탯 72종'!G10*G78</x:f>
        <x:v>4.4799999999999995</x:v>
      </x:c>
      <x:c r="V78" s="15" t="n">
        <x:f>'기준스탯 72종'!H10*G78</x:f>
        <x:v>3.3599999999999994</x:v>
      </x:c>
      <x:c r="W78" s="15" t="n">
        <x:f>'기준스탯 72종'!I10*G78</x:f>
        <x:v>2.8</x:v>
      </x:c>
      <x:c r="X78" s="15" t="n">
        <x:f>'기준스탯 72종'!J10*G78</x:f>
        <x:v>2.2399999999999998</x:v>
      </x:c>
      <x:c r="Y78" s="15" t="n">
        <x:f>'기준스탯 72종'!K10*G78</x:f>
        <x:v>0.5599999999999999</x:v>
      </x:c>
      <x:c r="Z78" s="15" t="n">
        <x:f>'기준스탯 72종'!D10*H78</x:f>
        <x:v>0</x:v>
      </x:c>
      <x:c r="AA78" s="15" t="n">
        <x:f>'기준스탯 72종'!E10*H78</x:f>
        <x:v>0</x:v>
      </x:c>
      <x:c r="AB78" s="15" t="n">
        <x:f>'기준스탯 72종'!F10*H78</x:f>
        <x:v>0</x:v>
      </x:c>
      <x:c r="AC78" s="15" t="n">
        <x:f>'기준스탯 72종'!G10*H78</x:f>
        <x:v>0</x:v>
      </x:c>
      <x:c r="AD78" s="15" t="n">
        <x:f>'기준스탯 72종'!H10*H78</x:f>
        <x:v>0</x:v>
      </x:c>
      <x:c r="AE78" s="15" t="n">
        <x:f>'기준스탯 72종'!I10*H78</x:f>
        <x:v>0</x:v>
      </x:c>
      <x:c r="AF78" s="15" t="n">
        <x:f>'기준스탯 72종'!J10*H78</x:f>
        <x:v>0</x:v>
      </x:c>
      <x:c r="AG78" s="15" t="n">
        <x:f>'기준스탯 72종'!K10*H78</x:f>
        <x:v>0</x:v>
      </x:c>
    </x:row>
    <x:row r="79" ht="28" customHeight="1">
      <x:c r="A79" s="2" t="n">
        <x:v>72</x:v>
      </x:c>
      <x:c r="B79" s="2" t="n">
        <x:v>3</x:v>
      </x:c>
      <x:c r="C79" s="2" t="str">
        <x:v>양자리</x:v>
      </x:c>
      <x:c r="D79" s="2" t="str">
        <x:v>사수</x:v>
      </x:c>
      <x:c r="E79" s="2" t="n">
        <x:v>2</x:v>
      </x:c>
      <x:c r="F79" s="2" t="n">
        <x:v>5</x:v>
      </x:c>
      <x:c r="G79" s="14" t="n">
        <x:f>('레벨 계산식'!$E$4-E79)*'레벨 계산식'!$B$5</x:f>
        <x:v>0.41999999999999993</x:v>
      </x:c>
      <x:c r="H79" s="14" t="n">
        <x:f>('등급 계산식'!$E$4-F79)*'등급 계산식'!$B$5</x:f>
        <x:v>0</x:v>
      </x:c>
      <x:c r="I79" s="14" t="n">
        <x:f>1-G79-H79</x:f>
        <x:v>0.5800000000000001</x:v>
      </x:c>
      <x:c r="J79" s="2" t="n">
        <x:f>MAX(1,ROUND('기준스탯 72종'!D10-R79-Z79,0))</x:f>
        <x:v>5</x:v>
      </x:c>
      <x:c r="K79" s="2" t="n">
        <x:f>MAX(1,ROUND('기준스탯 72종'!E10-S79-AA79,0))</x:f>
        <x:v>5</x:v>
      </x:c>
      <x:c r="L79" s="2" t="n">
        <x:f>MAX(1,ROUND('기준스탯 72종'!F10-T79-AB79,0))</x:f>
        <x:v>3</x:v>
      </x:c>
      <x:c r="M79" s="2" t="n">
        <x:f>MAX(1,ROUND('기준스탯 72종'!G10-U79-AC79,0))</x:f>
        <x:v>5</x:v>
      </x:c>
      <x:c r="N79" s="2" t="n">
        <x:f>MAX(0,ROUND('기준스탯 72종'!H10-V79-AD79,0))</x:f>
        <x:v>3</x:v>
      </x:c>
      <x:c r="O79" s="2" t="n">
        <x:f>MAX(0,ROUND('기준스탯 72종'!I10-W79-AE79,0))</x:f>
        <x:v>3</x:v>
      </x:c>
      <x:c r="P79" s="2" t="n">
        <x:f>MAX(0,ROUND('기준스탯 72종'!J10-X79-AF79,0))</x:f>
        <x:v>2</x:v>
      </x:c>
      <x:c r="Q79" s="2" t="n">
        <x:f>MAX(0,ROUND('기준스탯 72종'!K10-Y79-AG79,0))</x:f>
        <x:v>1</x:v>
      </x:c>
      <x:c r="R79" s="15" t="n">
        <x:f>'기준스탯 72종'!D10*G79</x:f>
        <x:v>3.3599999999999994</x:v>
      </x:c>
      <x:c r="S79" s="15" t="n">
        <x:f>'기준스탯 72종'!E10*G79</x:f>
        <x:v>3.3599999999999994</x:v>
      </x:c>
      <x:c r="T79" s="15" t="n">
        <x:f>'기준스탯 72종'!F10*G79</x:f>
        <x:v>2.5199999999999996</x:v>
      </x:c>
      <x:c r="U79" s="15" t="n">
        <x:f>'기준스탯 72종'!G10*G79</x:f>
        <x:v>3.3599999999999994</x:v>
      </x:c>
      <x:c r="V79" s="15" t="n">
        <x:f>'기준스탯 72종'!H10*G79</x:f>
        <x:v>2.5199999999999996</x:v>
      </x:c>
      <x:c r="W79" s="15" t="n">
        <x:f>'기준스탯 72종'!I10*G79</x:f>
        <x:v>2.0999999999999996</x:v>
      </x:c>
      <x:c r="X79" s="15" t="n">
        <x:f>'기준스탯 72종'!J10*G79</x:f>
        <x:v>1.6799999999999997</x:v>
      </x:c>
      <x:c r="Y79" s="15" t="n">
        <x:f>'기준스탯 72종'!K10*G79</x:f>
        <x:v>0.41999999999999993</x:v>
      </x:c>
      <x:c r="Z79" s="15" t="n">
        <x:f>'기준스탯 72종'!D10*H79</x:f>
        <x:v>0</x:v>
      </x:c>
      <x:c r="AA79" s="15" t="n">
        <x:f>'기준스탯 72종'!E10*H79</x:f>
        <x:v>0</x:v>
      </x:c>
      <x:c r="AB79" s="15" t="n">
        <x:f>'기준스탯 72종'!F10*H79</x:f>
        <x:v>0</x:v>
      </x:c>
      <x:c r="AC79" s="15" t="n">
        <x:f>'기준스탯 72종'!G10*H79</x:f>
        <x:v>0</x:v>
      </x:c>
      <x:c r="AD79" s="15" t="n">
        <x:f>'기준스탯 72종'!H10*H79</x:f>
        <x:v>0</x:v>
      </x:c>
      <x:c r="AE79" s="15" t="n">
        <x:f>'기준스탯 72종'!I10*H79</x:f>
        <x:v>0</x:v>
      </x:c>
      <x:c r="AF79" s="15" t="n">
        <x:f>'기준스탯 72종'!J10*H79</x:f>
        <x:v>0</x:v>
      </x:c>
      <x:c r="AG79" s="15" t="n">
        <x:f>'기준스탯 72종'!K10*H79</x:f>
        <x:v>0</x:v>
      </x:c>
    </x:row>
    <x:row r="80" ht="28" customHeight="1">
      <x:c r="A80" s="2" t="n">
        <x:v>73</x:v>
      </x:c>
      <x:c r="B80" s="2" t="n">
        <x:v>3</x:v>
      </x:c>
      <x:c r="C80" s="2" t="str">
        <x:v>양자리</x:v>
      </x:c>
      <x:c r="D80" s="2" t="str">
        <x:v>사수</x:v>
      </x:c>
      <x:c r="E80" s="2" t="n">
        <x:v>3</x:v>
      </x:c>
      <x:c r="F80" s="2" t="n">
        <x:v>5</x:v>
      </x:c>
      <x:c r="G80" s="14" t="n">
        <x:f>('레벨 계산식'!$E$4-E80)*'레벨 계산식'!$B$5</x:f>
        <x:v>0.27999999999999997</x:v>
      </x:c>
      <x:c r="H80" s="14" t="n">
        <x:f>('등급 계산식'!$E$4-F80)*'등급 계산식'!$B$5</x:f>
        <x:v>0</x:v>
      </x:c>
      <x:c r="I80" s="14" t="n">
        <x:f>1-G80-H80</x:f>
        <x:v>0.72</x:v>
      </x:c>
      <x:c r="J80" s="2" t="n">
        <x:f>MAX(1,ROUND('기준스탯 72종'!D10-R80-Z80,0))</x:f>
        <x:v>6</x:v>
      </x:c>
      <x:c r="K80" s="2" t="n">
        <x:f>MAX(1,ROUND('기준스탯 72종'!E10-S80-AA80,0))</x:f>
        <x:v>6</x:v>
      </x:c>
      <x:c r="L80" s="2" t="n">
        <x:f>MAX(1,ROUND('기준스탯 72종'!F10-T80-AB80,0))</x:f>
        <x:v>4</x:v>
      </x:c>
      <x:c r="M80" s="2" t="n">
        <x:f>MAX(1,ROUND('기준스탯 72종'!G10-U80-AC80,0))</x:f>
        <x:v>6</x:v>
      </x:c>
      <x:c r="N80" s="2" t="n">
        <x:f>MAX(0,ROUND('기준스탯 72종'!H10-V80-AD80,0))</x:f>
        <x:v>4</x:v>
      </x:c>
      <x:c r="O80" s="2" t="n">
        <x:f>MAX(0,ROUND('기준스탯 72종'!I10-W80-AE80,0))</x:f>
        <x:v>4</x:v>
      </x:c>
      <x:c r="P80" s="2" t="n">
        <x:f>MAX(0,ROUND('기준스탯 72종'!J10-X80-AF80,0))</x:f>
        <x:v>3</x:v>
      </x:c>
      <x:c r="Q80" s="2" t="n">
        <x:f>MAX(0,ROUND('기준스탯 72종'!K10-Y80-AG80,0))</x:f>
        <x:v>1</x:v>
      </x:c>
      <x:c r="R80" s="15" t="n">
        <x:f>'기준스탯 72종'!D10*G80</x:f>
        <x:v>2.2399999999999998</x:v>
      </x:c>
      <x:c r="S80" s="15" t="n">
        <x:f>'기준스탯 72종'!E10*G80</x:f>
        <x:v>2.2399999999999998</x:v>
      </x:c>
      <x:c r="T80" s="15" t="n">
        <x:f>'기준스탯 72종'!F10*G80</x:f>
        <x:v>1.6799999999999997</x:v>
      </x:c>
      <x:c r="U80" s="15" t="n">
        <x:f>'기준스탯 72종'!G10*G80</x:f>
        <x:v>2.2399999999999998</x:v>
      </x:c>
      <x:c r="V80" s="15" t="n">
        <x:f>'기준스탯 72종'!H10*G80</x:f>
        <x:v>1.6799999999999997</x:v>
      </x:c>
      <x:c r="W80" s="15" t="n">
        <x:f>'기준스탯 72종'!I10*G80</x:f>
        <x:v>1.4</x:v>
      </x:c>
      <x:c r="X80" s="15" t="n">
        <x:f>'기준스탯 72종'!J10*G80</x:f>
        <x:v>1.1199999999999999</x:v>
      </x:c>
      <x:c r="Y80" s="15" t="n">
        <x:f>'기준스탯 72종'!K10*G80</x:f>
        <x:v>0.27999999999999997</x:v>
      </x:c>
      <x:c r="Z80" s="15" t="n">
        <x:f>'기준스탯 72종'!D10*H80</x:f>
        <x:v>0</x:v>
      </x:c>
      <x:c r="AA80" s="15" t="n">
        <x:f>'기준스탯 72종'!E10*H80</x:f>
        <x:v>0</x:v>
      </x:c>
      <x:c r="AB80" s="15" t="n">
        <x:f>'기준스탯 72종'!F10*H80</x:f>
        <x:v>0</x:v>
      </x:c>
      <x:c r="AC80" s="15" t="n">
        <x:f>'기준스탯 72종'!G10*H80</x:f>
        <x:v>0</x:v>
      </x:c>
      <x:c r="AD80" s="15" t="n">
        <x:f>'기준스탯 72종'!H10*H80</x:f>
        <x:v>0</x:v>
      </x:c>
      <x:c r="AE80" s="15" t="n">
        <x:f>'기준스탯 72종'!I10*H80</x:f>
        <x:v>0</x:v>
      </x:c>
      <x:c r="AF80" s="15" t="n">
        <x:f>'기준스탯 72종'!J10*H80</x:f>
        <x:v>0</x:v>
      </x:c>
      <x:c r="AG80" s="15" t="n">
        <x:f>'기준스탯 72종'!K10*H80</x:f>
        <x:v>0</x:v>
      </x:c>
    </x:row>
    <x:row r="81" ht="28" customHeight="1">
      <x:c r="A81" s="2" t="n">
        <x:v>74</x:v>
      </x:c>
      <x:c r="B81" s="2" t="n">
        <x:v>3</x:v>
      </x:c>
      <x:c r="C81" s="2" t="str">
        <x:v>양자리</x:v>
      </x:c>
      <x:c r="D81" s="2" t="str">
        <x:v>사수</x:v>
      </x:c>
      <x:c r="E81" s="2" t="n">
        <x:v>4</x:v>
      </x:c>
      <x:c r="F81" s="2" t="n">
        <x:v>5</x:v>
      </x:c>
      <x:c r="G81" s="14" t="n">
        <x:f>('레벨 계산식'!$E$4-E81)*'레벨 계산식'!$B$5</x:f>
        <x:v>0.13999999999999999</x:v>
      </x:c>
      <x:c r="H81" s="14" t="n">
        <x:f>('등급 계산식'!$E$4-F81)*'등급 계산식'!$B$5</x:f>
        <x:v>0</x:v>
      </x:c>
      <x:c r="I81" s="14" t="n">
        <x:f>1-G81-H81</x:f>
        <x:v>0.86</x:v>
      </x:c>
      <x:c r="J81" s="2" t="n">
        <x:f>MAX(1,ROUND('기준스탯 72종'!D10-R81-Z81,0))</x:f>
        <x:v>7</x:v>
      </x:c>
      <x:c r="K81" s="2" t="n">
        <x:f>MAX(1,ROUND('기준스탯 72종'!E10-S81-AA81,0))</x:f>
        <x:v>7</x:v>
      </x:c>
      <x:c r="L81" s="2" t="n">
        <x:f>MAX(1,ROUND('기준스탯 72종'!F10-T81-AB81,0))</x:f>
        <x:v>5</x:v>
      </x:c>
      <x:c r="M81" s="2" t="n">
        <x:f>MAX(1,ROUND('기준스탯 72종'!G10-U81-AC81,0))</x:f>
        <x:v>7</x:v>
      </x:c>
      <x:c r="N81" s="2" t="n">
        <x:f>MAX(0,ROUND('기준스탯 72종'!H10-V81-AD81,0))</x:f>
        <x:v>5</x:v>
      </x:c>
      <x:c r="O81" s="2" t="n">
        <x:f>MAX(0,ROUND('기준스탯 72종'!I10-W81-AE81,0))</x:f>
        <x:v>4</x:v>
      </x:c>
      <x:c r="P81" s="2" t="n">
        <x:f>MAX(0,ROUND('기준스탯 72종'!J10-X81-AF81,0))</x:f>
        <x:v>3</x:v>
      </x:c>
      <x:c r="Q81" s="2" t="n">
        <x:f>MAX(0,ROUND('기준스탯 72종'!K10-Y81-AG81,0))</x:f>
        <x:v>1</x:v>
      </x:c>
      <x:c r="R81" s="15" t="n">
        <x:f>'기준스탯 72종'!D10*G81</x:f>
        <x:v>1.1199999999999999</x:v>
      </x:c>
      <x:c r="S81" s="15" t="n">
        <x:f>'기준스탯 72종'!E10*G81</x:f>
        <x:v>1.1199999999999999</x:v>
      </x:c>
      <x:c r="T81" s="15" t="n">
        <x:f>'기준스탯 72종'!F10*G81</x:f>
        <x:v>0.8399999999999999</x:v>
      </x:c>
      <x:c r="U81" s="15" t="n">
        <x:f>'기준스탯 72종'!G10*G81</x:f>
        <x:v>1.1199999999999999</x:v>
      </x:c>
      <x:c r="V81" s="15" t="n">
        <x:f>'기준스탯 72종'!H10*G81</x:f>
        <x:v>0.8399999999999999</x:v>
      </x:c>
      <x:c r="W81" s="15" t="n">
        <x:f>'기준스탯 72종'!I10*G81</x:f>
        <x:v>0.7</x:v>
      </x:c>
      <x:c r="X81" s="15" t="n">
        <x:f>'기준스탯 72종'!J10*G81</x:f>
        <x:v>0.5599999999999999</x:v>
      </x:c>
      <x:c r="Y81" s="15" t="n">
        <x:f>'기준스탯 72종'!K10*G81</x:f>
        <x:v>0.13999999999999999</x:v>
      </x:c>
      <x:c r="Z81" s="15" t="n">
        <x:f>'기준스탯 72종'!D10*H81</x:f>
        <x:v>0</x:v>
      </x:c>
      <x:c r="AA81" s="15" t="n">
        <x:f>'기준스탯 72종'!E10*H81</x:f>
        <x:v>0</x:v>
      </x:c>
      <x:c r="AB81" s="15" t="n">
        <x:f>'기준스탯 72종'!F10*H81</x:f>
        <x:v>0</x:v>
      </x:c>
      <x:c r="AC81" s="15" t="n">
        <x:f>'기준스탯 72종'!G10*H81</x:f>
        <x:v>0</x:v>
      </x:c>
      <x:c r="AD81" s="15" t="n">
        <x:f>'기준스탯 72종'!H10*H81</x:f>
        <x:v>0</x:v>
      </x:c>
      <x:c r="AE81" s="15" t="n">
        <x:f>'기준스탯 72종'!I10*H81</x:f>
        <x:v>0</x:v>
      </x:c>
      <x:c r="AF81" s="15" t="n">
        <x:f>'기준스탯 72종'!J10*H81</x:f>
        <x:v>0</x:v>
      </x:c>
      <x:c r="AG81" s="15" t="n">
        <x:f>'기준스탯 72종'!K10*H81</x:f>
        <x:v>0</x:v>
      </x:c>
    </x:row>
    <x:row r="82" ht="28" customHeight="1">
      <x:c r="A82" s="2" t="n">
        <x:v>75</x:v>
      </x:c>
      <x:c r="B82" s="2" t="n">
        <x:v>3</x:v>
      </x:c>
      <x:c r="C82" s="2" t="str">
        <x:v>양자리</x:v>
      </x:c>
      <x:c r="D82" s="2" t="str">
        <x:v>사수</x:v>
      </x:c>
      <x:c r="E82" s="2" t="n">
        <x:v>5</x:v>
      </x:c>
      <x:c r="F82" s="2" t="n">
        <x:v>5</x:v>
      </x:c>
      <x:c r="G82" s="14" t="n">
        <x:f>('레벨 계산식'!$E$4-E82)*'레벨 계산식'!$B$5</x:f>
        <x:v>0</x:v>
      </x:c>
      <x:c r="H82" s="14" t="n">
        <x:f>('등급 계산식'!$E$4-F82)*'등급 계산식'!$B$5</x:f>
        <x:v>0</x:v>
      </x:c>
      <x:c r="I82" s="14" t="n">
        <x:f>1-G82-H82</x:f>
        <x:v>1</x:v>
      </x:c>
      <x:c r="J82" s="2" t="n">
        <x:f>MAX(1,ROUND('기준스탯 72종'!D10-R82-Z82,0))</x:f>
        <x:v>8</x:v>
      </x:c>
      <x:c r="K82" s="2" t="n">
        <x:f>MAX(1,ROUND('기준스탯 72종'!E10-S82-AA82,0))</x:f>
        <x:v>8</x:v>
      </x:c>
      <x:c r="L82" s="2" t="n">
        <x:f>MAX(1,ROUND('기준스탯 72종'!F10-T82-AB82,0))</x:f>
        <x:v>6</x:v>
      </x:c>
      <x:c r="M82" s="2" t="n">
        <x:f>MAX(1,ROUND('기준스탯 72종'!G10-U82-AC82,0))</x:f>
        <x:v>8</x:v>
      </x:c>
      <x:c r="N82" s="2" t="n">
        <x:f>MAX(0,ROUND('기준스탯 72종'!H10-V82-AD82,0))</x:f>
        <x:v>6</x:v>
      </x:c>
      <x:c r="O82" s="2" t="n">
        <x:f>MAX(0,ROUND('기준스탯 72종'!I10-W82-AE82,0))</x:f>
        <x:v>5</x:v>
      </x:c>
      <x:c r="P82" s="2" t="n">
        <x:f>MAX(0,ROUND('기준스탯 72종'!J10-X82-AF82,0))</x:f>
        <x:v>4</x:v>
      </x:c>
      <x:c r="Q82" s="2" t="n">
        <x:f>MAX(0,ROUND('기준스탯 72종'!K10-Y82-AG82,0))</x:f>
        <x:v>1</x:v>
      </x:c>
      <x:c r="R82" s="15" t="n">
        <x:f>'기준스탯 72종'!D10*G82</x:f>
        <x:v>0</x:v>
      </x:c>
      <x:c r="S82" s="15" t="n">
        <x:f>'기준스탯 72종'!E10*G82</x:f>
        <x:v>0</x:v>
      </x:c>
      <x:c r="T82" s="15" t="n">
        <x:f>'기준스탯 72종'!F10*G82</x:f>
        <x:v>0</x:v>
      </x:c>
      <x:c r="U82" s="15" t="n">
        <x:f>'기준스탯 72종'!G10*G82</x:f>
        <x:v>0</x:v>
      </x:c>
      <x:c r="V82" s="15" t="n">
        <x:f>'기준스탯 72종'!H10*G82</x:f>
        <x:v>0</x:v>
      </x:c>
      <x:c r="W82" s="15" t="n">
        <x:f>'기준스탯 72종'!I10*G82</x:f>
        <x:v>0</x:v>
      </x:c>
      <x:c r="X82" s="15" t="n">
        <x:f>'기준스탯 72종'!J10*G82</x:f>
        <x:v>0</x:v>
      </x:c>
      <x:c r="Y82" s="15" t="n">
        <x:f>'기준스탯 72종'!K10*G82</x:f>
        <x:v>0</x:v>
      </x:c>
      <x:c r="Z82" s="15" t="n">
        <x:f>'기준스탯 72종'!D10*H82</x:f>
        <x:v>0</x:v>
      </x:c>
      <x:c r="AA82" s="15" t="n">
        <x:f>'기준스탯 72종'!E10*H82</x:f>
        <x:v>0</x:v>
      </x:c>
      <x:c r="AB82" s="15" t="n">
        <x:f>'기준스탯 72종'!F10*H82</x:f>
        <x:v>0</x:v>
      </x:c>
      <x:c r="AC82" s="15" t="n">
        <x:f>'기준스탯 72종'!G10*H82</x:f>
        <x:v>0</x:v>
      </x:c>
      <x:c r="AD82" s="15" t="n">
        <x:f>'기준스탯 72종'!H10*H82</x:f>
        <x:v>0</x:v>
      </x:c>
      <x:c r="AE82" s="15" t="n">
        <x:f>'기준스탯 72종'!I10*H82</x:f>
        <x:v>0</x:v>
      </x:c>
      <x:c r="AF82" s="15" t="n">
        <x:f>'기준스탯 72종'!J10*H82</x:f>
        <x:v>0</x:v>
      </x:c>
      <x:c r="AG82" s="15" t="n">
        <x:f>'기준스탯 72종'!K10*H82</x:f>
        <x:v>0</x:v>
      </x:c>
    </x:row>
    <x:row r="83" ht="28" customHeight="1">
      <x:c r="A83" s="2" t="n">
        <x:v>76</x:v>
      </x:c>
      <x:c r="B83" s="2" t="n">
        <x:v>4</x:v>
      </x:c>
      <x:c r="C83" s="2" t="str">
        <x:v>양자리</x:v>
      </x:c>
      <x:c r="D83" s="2" t="str">
        <x:v>정령사</x:v>
      </x:c>
      <x:c r="E83" s="2" t="n">
        <x:v>1</x:v>
      </x:c>
      <x:c r="F83" s="2" t="n">
        <x:v>1</x:v>
      </x:c>
      <x:c r="G83" s="14" t="n">
        <x:f>('레벨 계산식'!$E$4-E83)*'레벨 계산식'!$B$5</x:f>
        <x:v>0.5599999999999999</x:v>
      </x:c>
      <x:c r="H83" s="14" t="n">
        <x:f>('등급 계산식'!$E$4-F83)*'등급 계산식'!$B$5</x:f>
        <x:v>0.24000000000000005</x:v>
      </x:c>
      <x:c r="I83" s="14" t="n">
        <x:f>1-G83-H83</x:f>
        <x:v>0.2</x:v>
      </x:c>
      <x:c r="J83" s="2" t="n">
        <x:f>MAX(1,ROUND('기준스탯 72종'!D11-R83-Z83,0))</x:f>
        <x:v>1</x:v>
      </x:c>
      <x:c r="K83" s="2" t="n">
        <x:f>MAX(1,ROUND('기준스탯 72종'!E11-S83-AA83,0))</x:f>
        <x:v>2</x:v>
      </x:c>
      <x:c r="L83" s="2" t="n">
        <x:f>MAX(1,ROUND('기준스탯 72종'!F11-T83-AB83,0))</x:f>
        <x:v>2</x:v>
      </x:c>
      <x:c r="M83" s="2" t="n">
        <x:f>MAX(1,ROUND('기준스탯 72종'!G11-U83-AC83,0))</x:f>
        <x:v>1</x:v>
      </x:c>
      <x:c r="N83" s="2" t="n">
        <x:f>MAX(0,ROUND('기준스탯 72종'!H11-V83-AD83,0))</x:f>
        <x:v>1</x:v>
      </x:c>
      <x:c r="O83" s="2" t="n">
        <x:f>MAX(0,ROUND('기준스탯 72종'!I11-W83-AE83,0))</x:f>
        <x:v>1</x:v>
      </x:c>
      <x:c r="P83" s="2" t="n">
        <x:f>MAX(0,ROUND('기준스탯 72종'!J11-X83-AF83,0))</x:f>
        <x:v>1</x:v>
      </x:c>
      <x:c r="Q83" s="2" t="n">
        <x:f>MAX(0,ROUND('기준스탯 72종'!K11-Y83-AG83,0))</x:f>
        <x:v>1</x:v>
      </x:c>
      <x:c r="R83" s="15" t="n">
        <x:f>'기준스탯 72종'!D11*G83</x:f>
        <x:v>3.3599999999999994</x:v>
      </x:c>
      <x:c r="S83" s="15" t="n">
        <x:f>'기준스탯 72종'!E11*G83</x:f>
        <x:v>5.039999999999999</x:v>
      </x:c>
      <x:c r="T83" s="15" t="n">
        <x:f>'기준스탯 72종'!F11*G83</x:f>
        <x:v>4.4799999999999995</x:v>
      </x:c>
      <x:c r="U83" s="15" t="n">
        <x:f>'기준스탯 72종'!G11*G83</x:f>
        <x:v>3.9199999999999995</x:v>
      </x:c>
      <x:c r="V83" s="15" t="n">
        <x:f>'기준스탯 72종'!H11*G83</x:f>
        <x:v>2.2399999999999998</x:v>
      </x:c>
      <x:c r="W83" s="15" t="n">
        <x:f>'기준스탯 72종'!I11*G83</x:f>
        <x:v>2.8</x:v>
      </x:c>
      <x:c r="X83" s="15" t="n">
        <x:f>'기준스탯 72종'!J11*G83</x:f>
        <x:v>2.2399999999999998</x:v>
      </x:c>
      <x:c r="Y83" s="15" t="n">
        <x:f>'기준스탯 72종'!K11*G83</x:f>
        <x:v>1.6799999999999997</x:v>
      </x:c>
      <x:c r="Z83" s="15" t="n">
        <x:f>'기준스탯 72종'!D11*H83</x:f>
        <x:v>1.4400000000000004</x:v>
      </x:c>
      <x:c r="AA83" s="15" t="n">
        <x:f>'기준스탯 72종'!E11*H83</x:f>
        <x:v>2.1600000000000006</x:v>
      </x:c>
      <x:c r="AB83" s="15" t="n">
        <x:f>'기준스탯 72종'!F11*H83</x:f>
        <x:v>1.9200000000000004</x:v>
      </x:c>
      <x:c r="AC83" s="15" t="n">
        <x:f>'기준스탯 72종'!G11*H83</x:f>
        <x:v>1.6800000000000004</x:v>
      </x:c>
      <x:c r="AD83" s="15" t="n">
        <x:f>'기준스탯 72종'!H11*H83</x:f>
        <x:v>0.9600000000000002</x:v>
      </x:c>
      <x:c r="AE83" s="15" t="n">
        <x:f>'기준스탯 72종'!I11*H83</x:f>
        <x:v>1.2000000000000002</x:v>
      </x:c>
      <x:c r="AF83" s="15" t="n">
        <x:f>'기준스탯 72종'!J11*H83</x:f>
        <x:v>0.9600000000000002</x:v>
      </x:c>
      <x:c r="AG83" s="15" t="n">
        <x:f>'기준스탯 72종'!K11*H83</x:f>
        <x:v>0.7200000000000002</x:v>
      </x:c>
    </x:row>
    <x:row r="84" ht="28" customHeight="1">
      <x:c r="A84" s="2" t="n">
        <x:v>77</x:v>
      </x:c>
      <x:c r="B84" s="2" t="n">
        <x:v>4</x:v>
      </x:c>
      <x:c r="C84" s="2" t="str">
        <x:v>양자리</x:v>
      </x:c>
      <x:c r="D84" s="2" t="str">
        <x:v>정령사</x:v>
      </x:c>
      <x:c r="E84" s="2" t="n">
        <x:v>2</x:v>
      </x:c>
      <x:c r="F84" s="2" t="n">
        <x:v>1</x:v>
      </x:c>
      <x:c r="G84" s="14" t="n">
        <x:f>('레벨 계산식'!$E$4-E84)*'레벨 계산식'!$B$5</x:f>
        <x:v>0.41999999999999993</x:v>
      </x:c>
      <x:c r="H84" s="14" t="n">
        <x:f>('등급 계산식'!$E$4-F84)*'등급 계산식'!$B$5</x:f>
        <x:v>0.24000000000000005</x:v>
      </x:c>
      <x:c r="I84" s="14" t="n">
        <x:f>1-G84-H84</x:f>
        <x:v>0.34</x:v>
      </x:c>
      <x:c r="J84" s="2" t="n">
        <x:f>MAX(1,ROUND('기준스탯 72종'!D11-R84-Z84,0))</x:f>
        <x:v>2</x:v>
      </x:c>
      <x:c r="K84" s="2" t="n">
        <x:f>MAX(1,ROUND('기준스탯 72종'!E11-S84-AA84,0))</x:f>
        <x:v>3</x:v>
      </x:c>
      <x:c r="L84" s="2" t="n">
        <x:f>MAX(1,ROUND('기준스탯 72종'!F11-T84-AB84,0))</x:f>
        <x:v>3</x:v>
      </x:c>
      <x:c r="M84" s="2" t="n">
        <x:f>MAX(1,ROUND('기준스탯 72종'!G11-U84-AC84,0))</x:f>
        <x:v>2</x:v>
      </x:c>
      <x:c r="N84" s="2" t="n">
        <x:f>MAX(0,ROUND('기준스탯 72종'!H11-V84-AD84,0))</x:f>
        <x:v>1</x:v>
      </x:c>
      <x:c r="O84" s="2" t="n">
        <x:f>MAX(0,ROUND('기준스탯 72종'!I11-W84-AE84,0))</x:f>
        <x:v>2</x:v>
      </x:c>
      <x:c r="P84" s="2" t="n">
        <x:f>MAX(0,ROUND('기준스탯 72종'!J11-X84-AF84,0))</x:f>
        <x:v>1</x:v>
      </x:c>
      <x:c r="Q84" s="2" t="n">
        <x:f>MAX(0,ROUND('기준스탯 72종'!K11-Y84-AG84,0))</x:f>
        <x:v>1</x:v>
      </x:c>
      <x:c r="R84" s="15" t="n">
        <x:f>'기준스탯 72종'!D11*G84</x:f>
        <x:v>2.5199999999999996</x:v>
      </x:c>
      <x:c r="S84" s="15" t="n">
        <x:f>'기준스탯 72종'!E11*G84</x:f>
        <x:v>3.7799999999999994</x:v>
      </x:c>
      <x:c r="T84" s="15" t="n">
        <x:f>'기준스탯 72종'!F11*G84</x:f>
        <x:v>3.3599999999999994</x:v>
      </x:c>
      <x:c r="U84" s="15" t="n">
        <x:f>'기준스탯 72종'!G11*G84</x:f>
        <x:v>2.9399999999999995</x:v>
      </x:c>
      <x:c r="V84" s="15" t="n">
        <x:f>'기준스탯 72종'!H11*G84</x:f>
        <x:v>1.6799999999999997</x:v>
      </x:c>
      <x:c r="W84" s="15" t="n">
        <x:f>'기준스탯 72종'!I11*G84</x:f>
        <x:v>2.0999999999999996</x:v>
      </x:c>
      <x:c r="X84" s="15" t="n">
        <x:f>'기준스탯 72종'!J11*G84</x:f>
        <x:v>1.6799999999999997</x:v>
      </x:c>
      <x:c r="Y84" s="15" t="n">
        <x:f>'기준스탯 72종'!K11*G84</x:f>
        <x:v>1.2599999999999998</x:v>
      </x:c>
      <x:c r="Z84" s="15" t="n">
        <x:f>'기준스탯 72종'!D11*H84</x:f>
        <x:v>1.4400000000000004</x:v>
      </x:c>
      <x:c r="AA84" s="15" t="n">
        <x:f>'기준스탯 72종'!E11*H84</x:f>
        <x:v>2.1600000000000006</x:v>
      </x:c>
      <x:c r="AB84" s="15" t="n">
        <x:f>'기준스탯 72종'!F11*H84</x:f>
        <x:v>1.9200000000000004</x:v>
      </x:c>
      <x:c r="AC84" s="15" t="n">
        <x:f>'기준스탯 72종'!G11*H84</x:f>
        <x:v>1.6800000000000004</x:v>
      </x:c>
      <x:c r="AD84" s="15" t="n">
        <x:f>'기준스탯 72종'!H11*H84</x:f>
        <x:v>0.9600000000000002</x:v>
      </x:c>
      <x:c r="AE84" s="15" t="n">
        <x:f>'기준스탯 72종'!I11*H84</x:f>
        <x:v>1.2000000000000002</x:v>
      </x:c>
      <x:c r="AF84" s="15" t="n">
        <x:f>'기준스탯 72종'!J11*H84</x:f>
        <x:v>0.9600000000000002</x:v>
      </x:c>
      <x:c r="AG84" s="15" t="n">
        <x:f>'기준스탯 72종'!K11*H84</x:f>
        <x:v>0.7200000000000002</x:v>
      </x:c>
    </x:row>
    <x:row r="85" ht="28" customHeight="1">
      <x:c r="A85" s="2" t="n">
        <x:v>78</x:v>
      </x:c>
      <x:c r="B85" s="2" t="n">
        <x:v>4</x:v>
      </x:c>
      <x:c r="C85" s="2" t="str">
        <x:v>양자리</x:v>
      </x:c>
      <x:c r="D85" s="2" t="str">
        <x:v>정령사</x:v>
      </x:c>
      <x:c r="E85" s="2" t="n">
        <x:v>3</x:v>
      </x:c>
      <x:c r="F85" s="2" t="n">
        <x:v>1</x:v>
      </x:c>
      <x:c r="G85" s="14" t="n">
        <x:f>('레벨 계산식'!$E$4-E85)*'레벨 계산식'!$B$5</x:f>
        <x:v>0.27999999999999997</x:v>
      </x:c>
      <x:c r="H85" s="14" t="n">
        <x:f>('등급 계산식'!$E$4-F85)*'등급 계산식'!$B$5</x:f>
        <x:v>0.24000000000000005</x:v>
      </x:c>
      <x:c r="I85" s="14" t="n">
        <x:f>1-G85-H85</x:f>
        <x:v>0.4799999999999999</x:v>
      </x:c>
      <x:c r="J85" s="2" t="n">
        <x:f>MAX(1,ROUND('기준스탯 72종'!D11-R85-Z85,0))</x:f>
        <x:v>3</x:v>
      </x:c>
      <x:c r="K85" s="2" t="n">
        <x:f>MAX(1,ROUND('기준스탯 72종'!E11-S85-AA85,0))</x:f>
        <x:v>4</x:v>
      </x:c>
      <x:c r="L85" s="2" t="n">
        <x:f>MAX(1,ROUND('기준스탯 72종'!F11-T85-AB85,0))</x:f>
        <x:v>4</x:v>
      </x:c>
      <x:c r="M85" s="2" t="n">
        <x:f>MAX(1,ROUND('기준스탯 72종'!G11-U85-AC85,0))</x:f>
        <x:v>3</x:v>
      </x:c>
      <x:c r="N85" s="2" t="n">
        <x:f>MAX(0,ROUND('기준스탯 72종'!H11-V85-AD85,0))</x:f>
        <x:v>2</x:v>
      </x:c>
      <x:c r="O85" s="2" t="n">
        <x:f>MAX(0,ROUND('기준스탯 72종'!I11-W85-AE85,0))</x:f>
        <x:v>2</x:v>
      </x:c>
      <x:c r="P85" s="2" t="n">
        <x:f>MAX(0,ROUND('기준스탯 72종'!J11-X85-AF85,0))</x:f>
        <x:v>2</x:v>
      </x:c>
      <x:c r="Q85" s="2" t="n">
        <x:f>MAX(0,ROUND('기준스탯 72종'!K11-Y85-AG85,0))</x:f>
        <x:v>1</x:v>
      </x:c>
      <x:c r="R85" s="15" t="n">
        <x:f>'기준스탯 72종'!D11*G85</x:f>
        <x:v>1.6799999999999997</x:v>
      </x:c>
      <x:c r="S85" s="15" t="n">
        <x:f>'기준스탯 72종'!E11*G85</x:f>
        <x:v>2.5199999999999996</x:v>
      </x:c>
      <x:c r="T85" s="15" t="n">
        <x:f>'기준스탯 72종'!F11*G85</x:f>
        <x:v>2.2399999999999998</x:v>
      </x:c>
      <x:c r="U85" s="15" t="n">
        <x:f>'기준스탯 72종'!G11*G85</x:f>
        <x:v>1.9599999999999997</x:v>
      </x:c>
      <x:c r="V85" s="15" t="n">
        <x:f>'기준스탯 72종'!H11*G85</x:f>
        <x:v>1.1199999999999999</x:v>
      </x:c>
      <x:c r="W85" s="15" t="n">
        <x:f>'기준스탯 72종'!I11*G85</x:f>
        <x:v>1.4</x:v>
      </x:c>
      <x:c r="X85" s="15" t="n">
        <x:f>'기준스탯 72종'!J11*G85</x:f>
        <x:v>1.1199999999999999</x:v>
      </x:c>
      <x:c r="Y85" s="15" t="n">
        <x:f>'기준스탯 72종'!K11*G85</x:f>
        <x:v>0.8399999999999999</x:v>
      </x:c>
      <x:c r="Z85" s="15" t="n">
        <x:f>'기준스탯 72종'!D11*H85</x:f>
        <x:v>1.4400000000000004</x:v>
      </x:c>
      <x:c r="AA85" s="15" t="n">
        <x:f>'기준스탯 72종'!E11*H85</x:f>
        <x:v>2.1600000000000006</x:v>
      </x:c>
      <x:c r="AB85" s="15" t="n">
        <x:f>'기준스탯 72종'!F11*H85</x:f>
        <x:v>1.9200000000000004</x:v>
      </x:c>
      <x:c r="AC85" s="15" t="n">
        <x:f>'기준스탯 72종'!G11*H85</x:f>
        <x:v>1.6800000000000004</x:v>
      </x:c>
      <x:c r="AD85" s="15" t="n">
        <x:f>'기준스탯 72종'!H11*H85</x:f>
        <x:v>0.9600000000000002</x:v>
      </x:c>
      <x:c r="AE85" s="15" t="n">
        <x:f>'기준스탯 72종'!I11*H85</x:f>
        <x:v>1.2000000000000002</x:v>
      </x:c>
      <x:c r="AF85" s="15" t="n">
        <x:f>'기준스탯 72종'!J11*H85</x:f>
        <x:v>0.9600000000000002</x:v>
      </x:c>
      <x:c r="AG85" s="15" t="n">
        <x:f>'기준스탯 72종'!K11*H85</x:f>
        <x:v>0.7200000000000002</x:v>
      </x:c>
    </x:row>
    <x:row r="86" ht="28" customHeight="1">
      <x:c r="A86" s="2" t="n">
        <x:v>79</x:v>
      </x:c>
      <x:c r="B86" s="2" t="n">
        <x:v>4</x:v>
      </x:c>
      <x:c r="C86" s="2" t="str">
        <x:v>양자리</x:v>
      </x:c>
      <x:c r="D86" s="2" t="str">
        <x:v>정령사</x:v>
      </x:c>
      <x:c r="E86" s="2" t="n">
        <x:v>4</x:v>
      </x:c>
      <x:c r="F86" s="2" t="n">
        <x:v>1</x:v>
      </x:c>
      <x:c r="G86" s="14" t="n">
        <x:f>('레벨 계산식'!$E$4-E86)*'레벨 계산식'!$B$5</x:f>
        <x:v>0.13999999999999999</x:v>
      </x:c>
      <x:c r="H86" s="14" t="n">
        <x:f>('등급 계산식'!$E$4-F86)*'등급 계산식'!$B$5</x:f>
        <x:v>0.24000000000000005</x:v>
      </x:c>
      <x:c r="I86" s="14" t="n">
        <x:f>1-G86-H86</x:f>
        <x:v>0.6199999999999999</x:v>
      </x:c>
      <x:c r="J86" s="2" t="n">
        <x:f>MAX(1,ROUND('기준스탯 72종'!D11-R86-Z86,0))</x:f>
        <x:v>4</x:v>
      </x:c>
      <x:c r="K86" s="2" t="n">
        <x:f>MAX(1,ROUND('기준스탯 72종'!E11-S86-AA86,0))</x:f>
        <x:v>6</x:v>
      </x:c>
      <x:c r="L86" s="2" t="n">
        <x:f>MAX(1,ROUND('기준스탯 72종'!F11-T86-AB86,0))</x:f>
        <x:v>5</x:v>
      </x:c>
      <x:c r="M86" s="2" t="n">
        <x:f>MAX(1,ROUND('기준스탯 72종'!G11-U86-AC86,0))</x:f>
        <x:v>4</x:v>
      </x:c>
      <x:c r="N86" s="2" t="n">
        <x:f>MAX(0,ROUND('기준스탯 72종'!H11-V86-AD86,0))</x:f>
        <x:v>2</x:v>
      </x:c>
      <x:c r="O86" s="2" t="n">
        <x:f>MAX(0,ROUND('기준스탯 72종'!I11-W86-AE86,0))</x:f>
        <x:v>3</x:v>
      </x:c>
      <x:c r="P86" s="2" t="n">
        <x:f>MAX(0,ROUND('기준스탯 72종'!J11-X86-AF86,0))</x:f>
        <x:v>2</x:v>
      </x:c>
      <x:c r="Q86" s="2" t="n">
        <x:f>MAX(0,ROUND('기준스탯 72종'!K11-Y86-AG86,0))</x:f>
        <x:v>2</x:v>
      </x:c>
      <x:c r="R86" s="15" t="n">
        <x:f>'기준스탯 72종'!D11*G86</x:f>
        <x:v>0.8399999999999999</x:v>
      </x:c>
      <x:c r="S86" s="15" t="n">
        <x:f>'기준스탯 72종'!E11*G86</x:f>
        <x:v>1.2599999999999998</x:v>
      </x:c>
      <x:c r="T86" s="15" t="n">
        <x:f>'기준스탯 72종'!F11*G86</x:f>
        <x:v>1.1199999999999999</x:v>
      </x:c>
      <x:c r="U86" s="15" t="n">
        <x:f>'기준스탯 72종'!G11*G86</x:f>
        <x:v>0.9799999999999999</x:v>
      </x:c>
      <x:c r="V86" s="15" t="n">
        <x:f>'기준스탯 72종'!H11*G86</x:f>
        <x:v>0.5599999999999999</x:v>
      </x:c>
      <x:c r="W86" s="15" t="n">
        <x:f>'기준스탯 72종'!I11*G86</x:f>
        <x:v>0.7</x:v>
      </x:c>
      <x:c r="X86" s="15" t="n">
        <x:f>'기준스탯 72종'!J11*G86</x:f>
        <x:v>0.5599999999999999</x:v>
      </x:c>
      <x:c r="Y86" s="15" t="n">
        <x:f>'기준스탯 72종'!K11*G86</x:f>
        <x:v>0.41999999999999993</x:v>
      </x:c>
      <x:c r="Z86" s="15" t="n">
        <x:f>'기준스탯 72종'!D11*H86</x:f>
        <x:v>1.4400000000000004</x:v>
      </x:c>
      <x:c r="AA86" s="15" t="n">
        <x:f>'기준스탯 72종'!E11*H86</x:f>
        <x:v>2.1600000000000006</x:v>
      </x:c>
      <x:c r="AB86" s="15" t="n">
        <x:f>'기준스탯 72종'!F11*H86</x:f>
        <x:v>1.9200000000000004</x:v>
      </x:c>
      <x:c r="AC86" s="15" t="n">
        <x:f>'기준스탯 72종'!G11*H86</x:f>
        <x:v>1.6800000000000004</x:v>
      </x:c>
      <x:c r="AD86" s="15" t="n">
        <x:f>'기준스탯 72종'!H11*H86</x:f>
        <x:v>0.9600000000000002</x:v>
      </x:c>
      <x:c r="AE86" s="15" t="n">
        <x:f>'기준스탯 72종'!I11*H86</x:f>
        <x:v>1.2000000000000002</x:v>
      </x:c>
      <x:c r="AF86" s="15" t="n">
        <x:f>'기준스탯 72종'!J11*H86</x:f>
        <x:v>0.9600000000000002</x:v>
      </x:c>
      <x:c r="AG86" s="15" t="n">
        <x:f>'기준스탯 72종'!K11*H86</x:f>
        <x:v>0.7200000000000002</x:v>
      </x:c>
    </x:row>
    <x:row r="87" ht="28" customHeight="1">
      <x:c r="A87" s="2" t="n">
        <x:v>80</x:v>
      </x:c>
      <x:c r="B87" s="2" t="n">
        <x:v>4</x:v>
      </x:c>
      <x:c r="C87" s="2" t="str">
        <x:v>양자리</x:v>
      </x:c>
      <x:c r="D87" s="2" t="str">
        <x:v>정령사</x:v>
      </x:c>
      <x:c r="E87" s="2" t="n">
        <x:v>5</x:v>
      </x:c>
      <x:c r="F87" s="2" t="n">
        <x:v>1</x:v>
      </x:c>
      <x:c r="G87" s="14" t="n">
        <x:f>('레벨 계산식'!$E$4-E87)*'레벨 계산식'!$B$5</x:f>
        <x:v>0</x:v>
      </x:c>
      <x:c r="H87" s="14" t="n">
        <x:f>('등급 계산식'!$E$4-F87)*'등급 계산식'!$B$5</x:f>
        <x:v>0.24000000000000005</x:v>
      </x:c>
      <x:c r="I87" s="14" t="n">
        <x:f>1-G87-H87</x:f>
        <x:v>0.76</x:v>
      </x:c>
      <x:c r="J87" s="2" t="n">
        <x:f>MAX(1,ROUND('기준스탯 72종'!D11-R87-Z87,0))</x:f>
        <x:v>5</x:v>
      </x:c>
      <x:c r="K87" s="2" t="n">
        <x:f>MAX(1,ROUND('기준스탯 72종'!E11-S87-AA87,0))</x:f>
        <x:v>7</x:v>
      </x:c>
      <x:c r="L87" s="2" t="n">
        <x:f>MAX(1,ROUND('기준스탯 72종'!F11-T87-AB87,0))</x:f>
        <x:v>6</x:v>
      </x:c>
      <x:c r="M87" s="2" t="n">
        <x:f>MAX(1,ROUND('기준스탯 72종'!G11-U87-AC87,0))</x:f>
        <x:v>5</x:v>
      </x:c>
      <x:c r="N87" s="2" t="n">
        <x:f>MAX(0,ROUND('기준스탯 72종'!H11-V87-AD87,0))</x:f>
        <x:v>3</x:v>
      </x:c>
      <x:c r="O87" s="2" t="n">
        <x:f>MAX(0,ROUND('기준스탯 72종'!I11-W87-AE87,0))</x:f>
        <x:v>4</x:v>
      </x:c>
      <x:c r="P87" s="2" t="n">
        <x:f>MAX(0,ROUND('기준스탯 72종'!J11-X87-AF87,0))</x:f>
        <x:v>3</x:v>
      </x:c>
      <x:c r="Q87" s="2" t="n">
        <x:f>MAX(0,ROUND('기준스탯 72종'!K11-Y87-AG87,0))</x:f>
        <x:v>2</x:v>
      </x:c>
      <x:c r="R87" s="15" t="n">
        <x:f>'기준스탯 72종'!D11*G87</x:f>
        <x:v>0</x:v>
      </x:c>
      <x:c r="S87" s="15" t="n">
        <x:f>'기준스탯 72종'!E11*G87</x:f>
        <x:v>0</x:v>
      </x:c>
      <x:c r="T87" s="15" t="n">
        <x:f>'기준스탯 72종'!F11*G87</x:f>
        <x:v>0</x:v>
      </x:c>
      <x:c r="U87" s="15" t="n">
        <x:f>'기준스탯 72종'!G11*G87</x:f>
        <x:v>0</x:v>
      </x:c>
      <x:c r="V87" s="15" t="n">
        <x:f>'기준스탯 72종'!H11*G87</x:f>
        <x:v>0</x:v>
      </x:c>
      <x:c r="W87" s="15" t="n">
        <x:f>'기준스탯 72종'!I11*G87</x:f>
        <x:v>0</x:v>
      </x:c>
      <x:c r="X87" s="15" t="n">
        <x:f>'기준스탯 72종'!J11*G87</x:f>
        <x:v>0</x:v>
      </x:c>
      <x:c r="Y87" s="15" t="n">
        <x:f>'기준스탯 72종'!K11*G87</x:f>
        <x:v>0</x:v>
      </x:c>
      <x:c r="Z87" s="15" t="n">
        <x:f>'기준스탯 72종'!D11*H87</x:f>
        <x:v>1.4400000000000004</x:v>
      </x:c>
      <x:c r="AA87" s="15" t="n">
        <x:f>'기준스탯 72종'!E11*H87</x:f>
        <x:v>2.1600000000000006</x:v>
      </x:c>
      <x:c r="AB87" s="15" t="n">
        <x:f>'기준스탯 72종'!F11*H87</x:f>
        <x:v>1.9200000000000004</x:v>
      </x:c>
      <x:c r="AC87" s="15" t="n">
        <x:f>'기준스탯 72종'!G11*H87</x:f>
        <x:v>1.6800000000000004</x:v>
      </x:c>
      <x:c r="AD87" s="15" t="n">
        <x:f>'기준스탯 72종'!H11*H87</x:f>
        <x:v>0.9600000000000002</x:v>
      </x:c>
      <x:c r="AE87" s="15" t="n">
        <x:f>'기준스탯 72종'!I11*H87</x:f>
        <x:v>1.2000000000000002</x:v>
      </x:c>
      <x:c r="AF87" s="15" t="n">
        <x:f>'기준스탯 72종'!J11*H87</x:f>
        <x:v>0.9600000000000002</x:v>
      </x:c>
      <x:c r="AG87" s="15" t="n">
        <x:f>'기준스탯 72종'!K11*H87</x:f>
        <x:v>0.7200000000000002</x:v>
      </x:c>
    </x:row>
    <x:row r="88" ht="28" customHeight="1">
      <x:c r="A88" s="2" t="n">
        <x:v>81</x:v>
      </x:c>
      <x:c r="B88" s="2" t="n">
        <x:v>4</x:v>
      </x:c>
      <x:c r="C88" s="2" t="str">
        <x:v>양자리</x:v>
      </x:c>
      <x:c r="D88" s="2" t="str">
        <x:v>정령사</x:v>
      </x:c>
      <x:c r="E88" s="2" t="n">
        <x:v>1</x:v>
      </x:c>
      <x:c r="F88" s="2" t="n">
        <x:v>2</x:v>
      </x:c>
      <x:c r="G88" s="14" t="n">
        <x:f>('레벨 계산식'!$E$4-E88)*'레벨 계산식'!$B$5</x:f>
        <x:v>0.5599999999999999</x:v>
      </x:c>
      <x:c r="H88" s="14" t="n">
        <x:f>('등급 계산식'!$E$4-F88)*'등급 계산식'!$B$5</x:f>
        <x:v>0.18000000000000005</x:v>
      </x:c>
      <x:c r="I88" s="14" t="n">
        <x:f>1-G88-H88</x:f>
        <x:v>0.26</x:v>
      </x:c>
      <x:c r="J88" s="2" t="n">
        <x:f>MAX(1,ROUND('기준스탯 72종'!D11-R88-Z88,0))</x:f>
        <x:v>2</x:v>
      </x:c>
      <x:c r="K88" s="2" t="n">
        <x:f>MAX(1,ROUND('기준스탯 72종'!E11-S88-AA88,0))</x:f>
        <x:v>2</x:v>
      </x:c>
      <x:c r="L88" s="2" t="n">
        <x:f>MAX(1,ROUND('기준스탯 72종'!F11-T88-AB88,0))</x:f>
        <x:v>2</x:v>
      </x:c>
      <x:c r="M88" s="2" t="n">
        <x:f>MAX(1,ROUND('기준스탯 72종'!G11-U88-AC88,0))</x:f>
        <x:v>2</x:v>
      </x:c>
      <x:c r="N88" s="2" t="n">
        <x:f>MAX(0,ROUND('기준스탯 72종'!H11-V88-AD88,0))</x:f>
        <x:v>1</x:v>
      </x:c>
      <x:c r="O88" s="2" t="n">
        <x:f>MAX(0,ROUND('기준스탯 72종'!I11-W88-AE88,0))</x:f>
        <x:v>1</x:v>
      </x:c>
      <x:c r="P88" s="2" t="n">
        <x:f>MAX(0,ROUND('기준스탯 72종'!J11-X88-AF88,0))</x:f>
        <x:v>1</x:v>
      </x:c>
      <x:c r="Q88" s="2" t="n">
        <x:f>MAX(0,ROUND('기준스탯 72종'!K11-Y88-AG88,0))</x:f>
        <x:v>1</x:v>
      </x:c>
      <x:c r="R88" s="15" t="n">
        <x:f>'기준스탯 72종'!D11*G88</x:f>
        <x:v>3.3599999999999994</x:v>
      </x:c>
      <x:c r="S88" s="15" t="n">
        <x:f>'기준스탯 72종'!E11*G88</x:f>
        <x:v>5.039999999999999</x:v>
      </x:c>
      <x:c r="T88" s="15" t="n">
        <x:f>'기준스탯 72종'!F11*G88</x:f>
        <x:v>4.4799999999999995</x:v>
      </x:c>
      <x:c r="U88" s="15" t="n">
        <x:f>'기준스탯 72종'!G11*G88</x:f>
        <x:v>3.9199999999999995</x:v>
      </x:c>
      <x:c r="V88" s="15" t="n">
        <x:f>'기준스탯 72종'!H11*G88</x:f>
        <x:v>2.2399999999999998</x:v>
      </x:c>
      <x:c r="W88" s="15" t="n">
        <x:f>'기준스탯 72종'!I11*G88</x:f>
        <x:v>2.8</x:v>
      </x:c>
      <x:c r="X88" s="15" t="n">
        <x:f>'기준스탯 72종'!J11*G88</x:f>
        <x:v>2.2399999999999998</x:v>
      </x:c>
      <x:c r="Y88" s="15" t="n">
        <x:f>'기준스탯 72종'!K11*G88</x:f>
        <x:v>1.6799999999999997</x:v>
      </x:c>
      <x:c r="Z88" s="15" t="n">
        <x:f>'기준스탯 72종'!D11*H88</x:f>
        <x:v>1.0800000000000003</x:v>
      </x:c>
      <x:c r="AA88" s="15" t="n">
        <x:f>'기준스탯 72종'!E11*H88</x:f>
        <x:v>1.6200000000000006</x:v>
      </x:c>
      <x:c r="AB88" s="15" t="n">
        <x:f>'기준스탯 72종'!F11*H88</x:f>
        <x:v>1.4400000000000004</x:v>
      </x:c>
      <x:c r="AC88" s="15" t="n">
        <x:f>'기준스탯 72종'!G11*H88</x:f>
        <x:v>1.2600000000000002</x:v>
      </x:c>
      <x:c r="AD88" s="15" t="n">
        <x:f>'기준스탯 72종'!H11*H88</x:f>
        <x:v>0.7200000000000002</x:v>
      </x:c>
      <x:c r="AE88" s="15" t="n">
        <x:f>'기준스탯 72종'!I11*H88</x:f>
        <x:v>0.9000000000000002</x:v>
      </x:c>
      <x:c r="AF88" s="15" t="n">
        <x:f>'기준스탯 72종'!J11*H88</x:f>
        <x:v>0.7200000000000002</x:v>
      </x:c>
      <x:c r="AG88" s="15" t="n">
        <x:f>'기준스탯 72종'!K11*H88</x:f>
        <x:v>0.5400000000000001</x:v>
      </x:c>
    </x:row>
    <x:row r="89" ht="28" customHeight="1">
      <x:c r="A89" s="2" t="n">
        <x:v>82</x:v>
      </x:c>
      <x:c r="B89" s="2" t="n">
        <x:v>4</x:v>
      </x:c>
      <x:c r="C89" s="2" t="str">
        <x:v>양자리</x:v>
      </x:c>
      <x:c r="D89" s="2" t="str">
        <x:v>정령사</x:v>
      </x:c>
      <x:c r="E89" s="2" t="n">
        <x:v>2</x:v>
      </x:c>
      <x:c r="F89" s="2" t="n">
        <x:v>2</x:v>
      </x:c>
      <x:c r="G89" s="14" t="n">
        <x:f>('레벨 계산식'!$E$4-E89)*'레벨 계산식'!$B$5</x:f>
        <x:v>0.41999999999999993</x:v>
      </x:c>
      <x:c r="H89" s="14" t="n">
        <x:f>('등급 계산식'!$E$4-F89)*'등급 계산식'!$B$5</x:f>
        <x:v>0.18000000000000005</x:v>
      </x:c>
      <x:c r="I89" s="14" t="n">
        <x:f>1-G89-H89</x:f>
        <x:v>0.4</x:v>
      </x:c>
      <x:c r="J89" s="2" t="n">
        <x:f>MAX(1,ROUND('기준스탯 72종'!D11-R89-Z89,0))</x:f>
        <x:v>2</x:v>
      </x:c>
      <x:c r="K89" s="2" t="n">
        <x:f>MAX(1,ROUND('기준스탯 72종'!E11-S89-AA89,0))</x:f>
        <x:v>4</x:v>
      </x:c>
      <x:c r="L89" s="2" t="n">
        <x:f>MAX(1,ROUND('기준스탯 72종'!F11-T89-AB89,0))</x:f>
        <x:v>3</x:v>
      </x:c>
      <x:c r="M89" s="2" t="n">
        <x:f>MAX(1,ROUND('기준스탯 72종'!G11-U89-AC89,0))</x:f>
        <x:v>3</x:v>
      </x:c>
      <x:c r="N89" s="2" t="n">
        <x:f>MAX(0,ROUND('기준스탯 72종'!H11-V89-AD89,0))</x:f>
        <x:v>2</x:v>
      </x:c>
      <x:c r="O89" s="2" t="n">
        <x:f>MAX(0,ROUND('기준스탯 72종'!I11-W89-AE89,0))</x:f>
        <x:v>2</x:v>
      </x:c>
      <x:c r="P89" s="2" t="n">
        <x:f>MAX(0,ROUND('기준스탯 72종'!J11-X89-AF89,0))</x:f>
        <x:v>2</x:v>
      </x:c>
      <x:c r="Q89" s="2" t="n">
        <x:f>MAX(0,ROUND('기준스탯 72종'!K11-Y89-AG89,0))</x:f>
        <x:v>1</x:v>
      </x:c>
      <x:c r="R89" s="15" t="n">
        <x:f>'기준스탯 72종'!D11*G89</x:f>
        <x:v>2.5199999999999996</x:v>
      </x:c>
      <x:c r="S89" s="15" t="n">
        <x:f>'기준스탯 72종'!E11*G89</x:f>
        <x:v>3.7799999999999994</x:v>
      </x:c>
      <x:c r="T89" s="15" t="n">
        <x:f>'기준스탯 72종'!F11*G89</x:f>
        <x:v>3.3599999999999994</x:v>
      </x:c>
      <x:c r="U89" s="15" t="n">
        <x:f>'기준스탯 72종'!G11*G89</x:f>
        <x:v>2.9399999999999995</x:v>
      </x:c>
      <x:c r="V89" s="15" t="n">
        <x:f>'기준스탯 72종'!H11*G89</x:f>
        <x:v>1.6799999999999997</x:v>
      </x:c>
      <x:c r="W89" s="15" t="n">
        <x:f>'기준스탯 72종'!I11*G89</x:f>
        <x:v>2.0999999999999996</x:v>
      </x:c>
      <x:c r="X89" s="15" t="n">
        <x:f>'기준스탯 72종'!J11*G89</x:f>
        <x:v>1.6799999999999997</x:v>
      </x:c>
      <x:c r="Y89" s="15" t="n">
        <x:f>'기준스탯 72종'!K11*G89</x:f>
        <x:v>1.2599999999999998</x:v>
      </x:c>
      <x:c r="Z89" s="15" t="n">
        <x:f>'기준스탯 72종'!D11*H89</x:f>
        <x:v>1.0800000000000003</x:v>
      </x:c>
      <x:c r="AA89" s="15" t="n">
        <x:f>'기준스탯 72종'!E11*H89</x:f>
        <x:v>1.6200000000000006</x:v>
      </x:c>
      <x:c r="AB89" s="15" t="n">
        <x:f>'기준스탯 72종'!F11*H89</x:f>
        <x:v>1.4400000000000004</x:v>
      </x:c>
      <x:c r="AC89" s="15" t="n">
        <x:f>'기준스탯 72종'!G11*H89</x:f>
        <x:v>1.2600000000000002</x:v>
      </x:c>
      <x:c r="AD89" s="15" t="n">
        <x:f>'기준스탯 72종'!H11*H89</x:f>
        <x:v>0.7200000000000002</x:v>
      </x:c>
      <x:c r="AE89" s="15" t="n">
        <x:f>'기준스탯 72종'!I11*H89</x:f>
        <x:v>0.9000000000000002</x:v>
      </x:c>
      <x:c r="AF89" s="15" t="n">
        <x:f>'기준스탯 72종'!J11*H89</x:f>
        <x:v>0.7200000000000002</x:v>
      </x:c>
      <x:c r="AG89" s="15" t="n">
        <x:f>'기준스탯 72종'!K11*H89</x:f>
        <x:v>0.5400000000000001</x:v>
      </x:c>
    </x:row>
    <x:row r="90" ht="28" customHeight="1">
      <x:c r="A90" s="2" t="n">
        <x:v>83</x:v>
      </x:c>
      <x:c r="B90" s="2" t="n">
        <x:v>4</x:v>
      </x:c>
      <x:c r="C90" s="2" t="str">
        <x:v>양자리</x:v>
      </x:c>
      <x:c r="D90" s="2" t="str">
        <x:v>정령사</x:v>
      </x:c>
      <x:c r="E90" s="2" t="n">
        <x:v>3</x:v>
      </x:c>
      <x:c r="F90" s="2" t="n">
        <x:v>2</x:v>
      </x:c>
      <x:c r="G90" s="14" t="n">
        <x:f>('레벨 계산식'!$E$4-E90)*'레벨 계산식'!$B$5</x:f>
        <x:v>0.27999999999999997</x:v>
      </x:c>
      <x:c r="H90" s="14" t="n">
        <x:f>('등급 계산식'!$E$4-F90)*'등급 계산식'!$B$5</x:f>
        <x:v>0.18000000000000005</x:v>
      </x:c>
      <x:c r="I90" s="14" t="n">
        <x:f>1-G90-H90</x:f>
        <x:v>0.5399999999999999</x:v>
      </x:c>
      <x:c r="J90" s="2" t="n">
        <x:f>MAX(1,ROUND('기준스탯 72종'!D11-R90-Z90,0))</x:f>
        <x:v>3</x:v>
      </x:c>
      <x:c r="K90" s="2" t="n">
        <x:f>MAX(1,ROUND('기준스탯 72종'!E11-S90-AA90,0))</x:f>
        <x:v>5</x:v>
      </x:c>
      <x:c r="L90" s="2" t="n">
        <x:f>MAX(1,ROUND('기준스탯 72종'!F11-T90-AB90,0))</x:f>
        <x:v>4</x:v>
      </x:c>
      <x:c r="M90" s="2" t="n">
        <x:f>MAX(1,ROUND('기준스탯 72종'!G11-U90-AC90,0))</x:f>
        <x:v>4</x:v>
      </x:c>
      <x:c r="N90" s="2" t="n">
        <x:f>MAX(0,ROUND('기준스탯 72종'!H11-V90-AD90,0))</x:f>
        <x:v>2</x:v>
      </x:c>
      <x:c r="O90" s="2" t="n">
        <x:f>MAX(0,ROUND('기준스탯 72종'!I11-W90-AE90,0))</x:f>
        <x:v>3</x:v>
      </x:c>
      <x:c r="P90" s="2" t="n">
        <x:f>MAX(0,ROUND('기준스탯 72종'!J11-X90-AF90,0))</x:f>
        <x:v>2</x:v>
      </x:c>
      <x:c r="Q90" s="2" t="n">
        <x:f>MAX(0,ROUND('기준스탯 72종'!K11-Y90-AG90,0))</x:f>
        <x:v>2</x:v>
      </x:c>
      <x:c r="R90" s="15" t="n">
        <x:f>'기준스탯 72종'!D11*G90</x:f>
        <x:v>1.6799999999999997</x:v>
      </x:c>
      <x:c r="S90" s="15" t="n">
        <x:f>'기준스탯 72종'!E11*G90</x:f>
        <x:v>2.5199999999999996</x:v>
      </x:c>
      <x:c r="T90" s="15" t="n">
        <x:f>'기준스탯 72종'!F11*G90</x:f>
        <x:v>2.2399999999999998</x:v>
      </x:c>
      <x:c r="U90" s="15" t="n">
        <x:f>'기준스탯 72종'!G11*G90</x:f>
        <x:v>1.9599999999999997</x:v>
      </x:c>
      <x:c r="V90" s="15" t="n">
        <x:f>'기준스탯 72종'!H11*G90</x:f>
        <x:v>1.1199999999999999</x:v>
      </x:c>
      <x:c r="W90" s="15" t="n">
        <x:f>'기준스탯 72종'!I11*G90</x:f>
        <x:v>1.4</x:v>
      </x:c>
      <x:c r="X90" s="15" t="n">
        <x:f>'기준스탯 72종'!J11*G90</x:f>
        <x:v>1.1199999999999999</x:v>
      </x:c>
      <x:c r="Y90" s="15" t="n">
        <x:f>'기준스탯 72종'!K11*G90</x:f>
        <x:v>0.8399999999999999</x:v>
      </x:c>
      <x:c r="Z90" s="15" t="n">
        <x:f>'기준스탯 72종'!D11*H90</x:f>
        <x:v>1.0800000000000003</x:v>
      </x:c>
      <x:c r="AA90" s="15" t="n">
        <x:f>'기준스탯 72종'!E11*H90</x:f>
        <x:v>1.6200000000000006</x:v>
      </x:c>
      <x:c r="AB90" s="15" t="n">
        <x:f>'기준스탯 72종'!F11*H90</x:f>
        <x:v>1.4400000000000004</x:v>
      </x:c>
      <x:c r="AC90" s="15" t="n">
        <x:f>'기준스탯 72종'!G11*H90</x:f>
        <x:v>1.2600000000000002</x:v>
      </x:c>
      <x:c r="AD90" s="15" t="n">
        <x:f>'기준스탯 72종'!H11*H90</x:f>
        <x:v>0.7200000000000002</x:v>
      </x:c>
      <x:c r="AE90" s="15" t="n">
        <x:f>'기준스탯 72종'!I11*H90</x:f>
        <x:v>0.9000000000000002</x:v>
      </x:c>
      <x:c r="AF90" s="15" t="n">
        <x:f>'기준스탯 72종'!J11*H90</x:f>
        <x:v>0.7200000000000002</x:v>
      </x:c>
      <x:c r="AG90" s="15" t="n">
        <x:f>'기준스탯 72종'!K11*H90</x:f>
        <x:v>0.5400000000000001</x:v>
      </x:c>
    </x:row>
    <x:row r="91" ht="28" customHeight="1">
      <x:c r="A91" s="2" t="n">
        <x:v>84</x:v>
      </x:c>
      <x:c r="B91" s="2" t="n">
        <x:v>4</x:v>
      </x:c>
      <x:c r="C91" s="2" t="str">
        <x:v>양자리</x:v>
      </x:c>
      <x:c r="D91" s="2" t="str">
        <x:v>정령사</x:v>
      </x:c>
      <x:c r="E91" s="2" t="n">
        <x:v>4</x:v>
      </x:c>
      <x:c r="F91" s="2" t="n">
        <x:v>2</x:v>
      </x:c>
      <x:c r="G91" s="14" t="n">
        <x:f>('레벨 계산식'!$E$4-E91)*'레벨 계산식'!$B$5</x:f>
        <x:v>0.13999999999999999</x:v>
      </x:c>
      <x:c r="H91" s="14" t="n">
        <x:f>('등급 계산식'!$E$4-F91)*'등급 계산식'!$B$5</x:f>
        <x:v>0.18000000000000005</x:v>
      </x:c>
      <x:c r="I91" s="14" t="n">
        <x:f>1-G91-H91</x:f>
        <x:v>0.6799999999999999</x:v>
      </x:c>
      <x:c r="J91" s="2" t="n">
        <x:f>MAX(1,ROUND('기준스탯 72종'!D11-R91-Z91,0))</x:f>
        <x:v>4</x:v>
      </x:c>
      <x:c r="K91" s="2" t="n">
        <x:f>MAX(1,ROUND('기준스탯 72종'!E11-S91-AA91,0))</x:f>
        <x:v>6</x:v>
      </x:c>
      <x:c r="L91" s="2" t="n">
        <x:f>MAX(1,ROUND('기준스탯 72종'!F11-T91-AB91,0))</x:f>
        <x:v>5</x:v>
      </x:c>
      <x:c r="M91" s="2" t="n">
        <x:f>MAX(1,ROUND('기준스탯 72종'!G11-U91-AC91,0))</x:f>
        <x:v>5</x:v>
      </x:c>
      <x:c r="N91" s="2" t="n">
        <x:f>MAX(0,ROUND('기준스탯 72종'!H11-V91-AD91,0))</x:f>
        <x:v>3</x:v>
      </x:c>
      <x:c r="O91" s="2" t="n">
        <x:f>MAX(0,ROUND('기준스탯 72종'!I11-W91-AE91,0))</x:f>
        <x:v>3</x:v>
      </x:c>
      <x:c r="P91" s="2" t="n">
        <x:f>MAX(0,ROUND('기준스탯 72종'!J11-X91-AF91,0))</x:f>
        <x:v>3</x:v>
      </x:c>
      <x:c r="Q91" s="2" t="n">
        <x:f>MAX(0,ROUND('기준스탯 72종'!K11-Y91-AG91,0))</x:f>
        <x:v>2</x:v>
      </x:c>
      <x:c r="R91" s="15" t="n">
        <x:f>'기준스탯 72종'!D11*G91</x:f>
        <x:v>0.8399999999999999</x:v>
      </x:c>
      <x:c r="S91" s="15" t="n">
        <x:f>'기준스탯 72종'!E11*G91</x:f>
        <x:v>1.2599999999999998</x:v>
      </x:c>
      <x:c r="T91" s="15" t="n">
        <x:f>'기준스탯 72종'!F11*G91</x:f>
        <x:v>1.1199999999999999</x:v>
      </x:c>
      <x:c r="U91" s="15" t="n">
        <x:f>'기준스탯 72종'!G11*G91</x:f>
        <x:v>0.9799999999999999</x:v>
      </x:c>
      <x:c r="V91" s="15" t="n">
        <x:f>'기준스탯 72종'!H11*G91</x:f>
        <x:v>0.5599999999999999</x:v>
      </x:c>
      <x:c r="W91" s="15" t="n">
        <x:f>'기준스탯 72종'!I11*G91</x:f>
        <x:v>0.7</x:v>
      </x:c>
      <x:c r="X91" s="15" t="n">
        <x:f>'기준스탯 72종'!J11*G91</x:f>
        <x:v>0.5599999999999999</x:v>
      </x:c>
      <x:c r="Y91" s="15" t="n">
        <x:f>'기준스탯 72종'!K11*G91</x:f>
        <x:v>0.41999999999999993</x:v>
      </x:c>
      <x:c r="Z91" s="15" t="n">
        <x:f>'기준스탯 72종'!D11*H91</x:f>
        <x:v>1.0800000000000003</x:v>
      </x:c>
      <x:c r="AA91" s="15" t="n">
        <x:f>'기준스탯 72종'!E11*H91</x:f>
        <x:v>1.6200000000000006</x:v>
      </x:c>
      <x:c r="AB91" s="15" t="n">
        <x:f>'기준스탯 72종'!F11*H91</x:f>
        <x:v>1.4400000000000004</x:v>
      </x:c>
      <x:c r="AC91" s="15" t="n">
        <x:f>'기준스탯 72종'!G11*H91</x:f>
        <x:v>1.2600000000000002</x:v>
      </x:c>
      <x:c r="AD91" s="15" t="n">
        <x:f>'기준스탯 72종'!H11*H91</x:f>
        <x:v>0.7200000000000002</x:v>
      </x:c>
      <x:c r="AE91" s="15" t="n">
        <x:f>'기준스탯 72종'!I11*H91</x:f>
        <x:v>0.9000000000000002</x:v>
      </x:c>
      <x:c r="AF91" s="15" t="n">
        <x:f>'기준스탯 72종'!J11*H91</x:f>
        <x:v>0.7200000000000002</x:v>
      </x:c>
      <x:c r="AG91" s="15" t="n">
        <x:f>'기준스탯 72종'!K11*H91</x:f>
        <x:v>0.5400000000000001</x:v>
      </x:c>
    </x:row>
    <x:row r="92" ht="28" customHeight="1">
      <x:c r="A92" s="2" t="n">
        <x:v>85</x:v>
      </x:c>
      <x:c r="B92" s="2" t="n">
        <x:v>4</x:v>
      </x:c>
      <x:c r="C92" s="2" t="str">
        <x:v>양자리</x:v>
      </x:c>
      <x:c r="D92" s="2" t="str">
        <x:v>정령사</x:v>
      </x:c>
      <x:c r="E92" s="2" t="n">
        <x:v>5</x:v>
      </x:c>
      <x:c r="F92" s="2" t="n">
        <x:v>2</x:v>
      </x:c>
      <x:c r="G92" s="14" t="n">
        <x:f>('레벨 계산식'!$E$4-E92)*'레벨 계산식'!$B$5</x:f>
        <x:v>0</x:v>
      </x:c>
      <x:c r="H92" s="14" t="n">
        <x:f>('등급 계산식'!$E$4-F92)*'등급 계산식'!$B$5</x:f>
        <x:v>0.18000000000000005</x:v>
      </x:c>
      <x:c r="I92" s="14" t="n">
        <x:f>1-G92-H92</x:f>
        <x:v>0.82</x:v>
      </x:c>
      <x:c r="J92" s="2" t="n">
        <x:f>MAX(1,ROUND('기준스탯 72종'!D11-R92-Z92,0))</x:f>
        <x:v>5</x:v>
      </x:c>
      <x:c r="K92" s="2" t="n">
        <x:f>MAX(1,ROUND('기준스탯 72종'!E11-S92-AA92,0))</x:f>
        <x:v>7</x:v>
      </x:c>
      <x:c r="L92" s="2" t="n">
        <x:f>MAX(1,ROUND('기준스탯 72종'!F11-T92-AB92,0))</x:f>
        <x:v>7</x:v>
      </x:c>
      <x:c r="M92" s="2" t="n">
        <x:f>MAX(1,ROUND('기준스탯 72종'!G11-U92-AC92,0))</x:f>
        <x:v>6</x:v>
      </x:c>
      <x:c r="N92" s="2" t="n">
        <x:f>MAX(0,ROUND('기준스탯 72종'!H11-V92-AD92,0))</x:f>
        <x:v>3</x:v>
      </x:c>
      <x:c r="O92" s="2" t="n">
        <x:f>MAX(0,ROUND('기준스탯 72종'!I11-W92-AE92,0))</x:f>
        <x:v>4</x:v>
      </x:c>
      <x:c r="P92" s="2" t="n">
        <x:f>MAX(0,ROUND('기준스탯 72종'!J11-X92-AF92,0))</x:f>
        <x:v>3</x:v>
      </x:c>
      <x:c r="Q92" s="2" t="n">
        <x:f>MAX(0,ROUND('기준스탯 72종'!K11-Y92-AG92,0))</x:f>
        <x:v>2</x:v>
      </x:c>
      <x:c r="R92" s="15" t="n">
        <x:f>'기준스탯 72종'!D11*G92</x:f>
        <x:v>0</x:v>
      </x:c>
      <x:c r="S92" s="15" t="n">
        <x:f>'기준스탯 72종'!E11*G92</x:f>
        <x:v>0</x:v>
      </x:c>
      <x:c r="T92" s="15" t="n">
        <x:f>'기준스탯 72종'!F11*G92</x:f>
        <x:v>0</x:v>
      </x:c>
      <x:c r="U92" s="15" t="n">
        <x:f>'기준스탯 72종'!G11*G92</x:f>
        <x:v>0</x:v>
      </x:c>
      <x:c r="V92" s="15" t="n">
        <x:f>'기준스탯 72종'!H11*G92</x:f>
        <x:v>0</x:v>
      </x:c>
      <x:c r="W92" s="15" t="n">
        <x:f>'기준스탯 72종'!I11*G92</x:f>
        <x:v>0</x:v>
      </x:c>
      <x:c r="X92" s="15" t="n">
        <x:f>'기준스탯 72종'!J11*G92</x:f>
        <x:v>0</x:v>
      </x:c>
      <x:c r="Y92" s="15" t="n">
        <x:f>'기준스탯 72종'!K11*G92</x:f>
        <x:v>0</x:v>
      </x:c>
      <x:c r="Z92" s="15" t="n">
        <x:f>'기준스탯 72종'!D11*H92</x:f>
        <x:v>1.0800000000000003</x:v>
      </x:c>
      <x:c r="AA92" s="15" t="n">
        <x:f>'기준스탯 72종'!E11*H92</x:f>
        <x:v>1.6200000000000006</x:v>
      </x:c>
      <x:c r="AB92" s="15" t="n">
        <x:f>'기준스탯 72종'!F11*H92</x:f>
        <x:v>1.4400000000000004</x:v>
      </x:c>
      <x:c r="AC92" s="15" t="n">
        <x:f>'기준스탯 72종'!G11*H92</x:f>
        <x:v>1.2600000000000002</x:v>
      </x:c>
      <x:c r="AD92" s="15" t="n">
        <x:f>'기준스탯 72종'!H11*H92</x:f>
        <x:v>0.7200000000000002</x:v>
      </x:c>
      <x:c r="AE92" s="15" t="n">
        <x:f>'기준스탯 72종'!I11*H92</x:f>
        <x:v>0.9000000000000002</x:v>
      </x:c>
      <x:c r="AF92" s="15" t="n">
        <x:f>'기준스탯 72종'!J11*H92</x:f>
        <x:v>0.7200000000000002</x:v>
      </x:c>
      <x:c r="AG92" s="15" t="n">
        <x:f>'기준스탯 72종'!K11*H92</x:f>
        <x:v>0.5400000000000001</x:v>
      </x:c>
    </x:row>
    <x:row r="93" ht="28" customHeight="1">
      <x:c r="A93" s="2" t="n">
        <x:v>86</x:v>
      </x:c>
      <x:c r="B93" s="2" t="n">
        <x:v>4</x:v>
      </x:c>
      <x:c r="C93" s="2" t="str">
        <x:v>양자리</x:v>
      </x:c>
      <x:c r="D93" s="2" t="str">
        <x:v>정령사</x:v>
      </x:c>
      <x:c r="E93" s="2" t="n">
        <x:v>1</x:v>
      </x:c>
      <x:c r="F93" s="2" t="n">
        <x:v>3</x:v>
      </x:c>
      <x:c r="G93" s="14" t="n">
        <x:f>('레벨 계산식'!$E$4-E93)*'레벨 계산식'!$B$5</x:f>
        <x:v>0.5599999999999999</x:v>
      </x:c>
      <x:c r="H93" s="14" t="n">
        <x:f>('등급 계산식'!$E$4-F93)*'등급 계산식'!$B$5</x:f>
        <x:v>0.12000000000000002</x:v>
      </x:c>
      <x:c r="I93" s="14" t="n">
        <x:f>1-G93-H93</x:f>
        <x:v>0.32000000000000006</x:v>
      </x:c>
      <x:c r="J93" s="2" t="n">
        <x:f>MAX(1,ROUND('기준스탯 72종'!D11-R93-Z93,0))</x:f>
        <x:v>2</x:v>
      </x:c>
      <x:c r="K93" s="2" t="n">
        <x:f>MAX(1,ROUND('기준스탯 72종'!E11-S93-AA93,0))</x:f>
        <x:v>3</x:v>
      </x:c>
      <x:c r="L93" s="2" t="n">
        <x:f>MAX(1,ROUND('기준스탯 72종'!F11-T93-AB93,0))</x:f>
        <x:v>3</x:v>
      </x:c>
      <x:c r="M93" s="2" t="n">
        <x:f>MAX(1,ROUND('기준스탯 72종'!G11-U93-AC93,0))</x:f>
        <x:v>2</x:v>
      </x:c>
      <x:c r="N93" s="2" t="n">
        <x:f>MAX(0,ROUND('기준스탯 72종'!H11-V93-AD93,0))</x:f>
        <x:v>1</x:v>
      </x:c>
      <x:c r="O93" s="2" t="n">
        <x:f>MAX(0,ROUND('기준스탯 72종'!I11-W93-AE93,0))</x:f>
        <x:v>2</x:v>
      </x:c>
      <x:c r="P93" s="2" t="n">
        <x:f>MAX(0,ROUND('기준스탯 72종'!J11-X93-AF93,0))</x:f>
        <x:v>1</x:v>
      </x:c>
      <x:c r="Q93" s="2" t="n">
        <x:f>MAX(0,ROUND('기준스탯 72종'!K11-Y93-AG93,0))</x:f>
        <x:v>1</x:v>
      </x:c>
      <x:c r="R93" s="15" t="n">
        <x:f>'기준스탯 72종'!D11*G93</x:f>
        <x:v>3.3599999999999994</x:v>
      </x:c>
      <x:c r="S93" s="15" t="n">
        <x:f>'기준스탯 72종'!E11*G93</x:f>
        <x:v>5.039999999999999</x:v>
      </x:c>
      <x:c r="T93" s="15" t="n">
        <x:f>'기준스탯 72종'!F11*G93</x:f>
        <x:v>4.4799999999999995</x:v>
      </x:c>
      <x:c r="U93" s="15" t="n">
        <x:f>'기준스탯 72종'!G11*G93</x:f>
        <x:v>3.9199999999999995</x:v>
      </x:c>
      <x:c r="V93" s="15" t="n">
        <x:f>'기준스탯 72종'!H11*G93</x:f>
        <x:v>2.2399999999999998</x:v>
      </x:c>
      <x:c r="W93" s="15" t="n">
        <x:f>'기준스탯 72종'!I11*G93</x:f>
        <x:v>2.8</x:v>
      </x:c>
      <x:c r="X93" s="15" t="n">
        <x:f>'기준스탯 72종'!J11*G93</x:f>
        <x:v>2.2399999999999998</x:v>
      </x:c>
      <x:c r="Y93" s="15" t="n">
        <x:f>'기준스탯 72종'!K11*G93</x:f>
        <x:v>1.6799999999999997</x:v>
      </x:c>
      <x:c r="Z93" s="15" t="n">
        <x:f>'기준스탯 72종'!D11*H93</x:f>
        <x:v>0.7200000000000002</x:v>
      </x:c>
      <x:c r="AA93" s="15" t="n">
        <x:f>'기준스탯 72종'!E11*H93</x:f>
        <x:v>1.0800000000000003</x:v>
      </x:c>
      <x:c r="AB93" s="15" t="n">
        <x:f>'기준스탯 72종'!F11*H93</x:f>
        <x:v>0.9600000000000002</x:v>
      </x:c>
      <x:c r="AC93" s="15" t="n">
        <x:f>'기준스탯 72종'!G11*H93</x:f>
        <x:v>0.8400000000000002</x:v>
      </x:c>
      <x:c r="AD93" s="15" t="n">
        <x:f>'기준스탯 72종'!H11*H93</x:f>
        <x:v>0.4800000000000001</x:v>
      </x:c>
      <x:c r="AE93" s="15" t="n">
        <x:f>'기준스탯 72종'!I11*H93</x:f>
        <x:v>0.6000000000000001</x:v>
      </x:c>
      <x:c r="AF93" s="15" t="n">
        <x:f>'기준스탯 72종'!J11*H93</x:f>
        <x:v>0.4800000000000001</x:v>
      </x:c>
      <x:c r="AG93" s="15" t="n">
        <x:f>'기준스탯 72종'!K11*H93</x:f>
        <x:v>0.3600000000000001</x:v>
      </x:c>
    </x:row>
    <x:row r="94" ht="28" customHeight="1">
      <x:c r="A94" s="2" t="n">
        <x:v>87</x:v>
      </x:c>
      <x:c r="B94" s="2" t="n">
        <x:v>4</x:v>
      </x:c>
      <x:c r="C94" s="2" t="str">
        <x:v>양자리</x:v>
      </x:c>
      <x:c r="D94" s="2" t="str">
        <x:v>정령사</x:v>
      </x:c>
      <x:c r="E94" s="2" t="n">
        <x:v>2</x:v>
      </x:c>
      <x:c r="F94" s="2" t="n">
        <x:v>3</x:v>
      </x:c>
      <x:c r="G94" s="14" t="n">
        <x:f>('레벨 계산식'!$E$4-E94)*'레벨 계산식'!$B$5</x:f>
        <x:v>0.41999999999999993</x:v>
      </x:c>
      <x:c r="H94" s="14" t="n">
        <x:f>('등급 계산식'!$E$4-F94)*'등급 계산식'!$B$5</x:f>
        <x:v>0.12000000000000002</x:v>
      </x:c>
      <x:c r="I94" s="14" t="n">
        <x:f>1-G94-H94</x:f>
        <x:v>0.4600000000000001</x:v>
      </x:c>
      <x:c r="J94" s="2" t="n">
        <x:f>MAX(1,ROUND('기준스탯 72종'!D11-R94-Z94,0))</x:f>
        <x:v>3</x:v>
      </x:c>
      <x:c r="K94" s="2" t="n">
        <x:f>MAX(1,ROUND('기준스탯 72종'!E11-S94-AA94,0))</x:f>
        <x:v>4</x:v>
      </x:c>
      <x:c r="L94" s="2" t="n">
        <x:f>MAX(1,ROUND('기준스탯 72종'!F11-T94-AB94,0))</x:f>
        <x:v>4</x:v>
      </x:c>
      <x:c r="M94" s="2" t="n">
        <x:f>MAX(1,ROUND('기준스탯 72종'!G11-U94-AC94,0))</x:f>
        <x:v>3</x:v>
      </x:c>
      <x:c r="N94" s="2" t="n">
        <x:f>MAX(0,ROUND('기준스탯 72종'!H11-V94-AD94,0))</x:f>
        <x:v>2</x:v>
      </x:c>
      <x:c r="O94" s="2" t="n">
        <x:f>MAX(0,ROUND('기준스탯 72종'!I11-W94-AE94,0))</x:f>
        <x:v>2</x:v>
      </x:c>
      <x:c r="P94" s="2" t="n">
        <x:f>MAX(0,ROUND('기준스탯 72종'!J11-X94-AF94,0))</x:f>
        <x:v>2</x:v>
      </x:c>
      <x:c r="Q94" s="2" t="n">
        <x:f>MAX(0,ROUND('기준스탯 72종'!K11-Y94-AG94,0))</x:f>
        <x:v>1</x:v>
      </x:c>
      <x:c r="R94" s="15" t="n">
        <x:f>'기준스탯 72종'!D11*G94</x:f>
        <x:v>2.5199999999999996</x:v>
      </x:c>
      <x:c r="S94" s="15" t="n">
        <x:f>'기준스탯 72종'!E11*G94</x:f>
        <x:v>3.7799999999999994</x:v>
      </x:c>
      <x:c r="T94" s="15" t="n">
        <x:f>'기준스탯 72종'!F11*G94</x:f>
        <x:v>3.3599999999999994</x:v>
      </x:c>
      <x:c r="U94" s="15" t="n">
        <x:f>'기준스탯 72종'!G11*G94</x:f>
        <x:v>2.9399999999999995</x:v>
      </x:c>
      <x:c r="V94" s="15" t="n">
        <x:f>'기준스탯 72종'!H11*G94</x:f>
        <x:v>1.6799999999999997</x:v>
      </x:c>
      <x:c r="W94" s="15" t="n">
        <x:f>'기준스탯 72종'!I11*G94</x:f>
        <x:v>2.0999999999999996</x:v>
      </x:c>
      <x:c r="X94" s="15" t="n">
        <x:f>'기준스탯 72종'!J11*G94</x:f>
        <x:v>1.6799999999999997</x:v>
      </x:c>
      <x:c r="Y94" s="15" t="n">
        <x:f>'기준스탯 72종'!K11*G94</x:f>
        <x:v>1.2599999999999998</x:v>
      </x:c>
      <x:c r="Z94" s="15" t="n">
        <x:f>'기준스탯 72종'!D11*H94</x:f>
        <x:v>0.7200000000000002</x:v>
      </x:c>
      <x:c r="AA94" s="15" t="n">
        <x:f>'기준스탯 72종'!E11*H94</x:f>
        <x:v>1.0800000000000003</x:v>
      </x:c>
      <x:c r="AB94" s="15" t="n">
        <x:f>'기준스탯 72종'!F11*H94</x:f>
        <x:v>0.9600000000000002</x:v>
      </x:c>
      <x:c r="AC94" s="15" t="n">
        <x:f>'기준스탯 72종'!G11*H94</x:f>
        <x:v>0.8400000000000002</x:v>
      </x:c>
      <x:c r="AD94" s="15" t="n">
        <x:f>'기준스탯 72종'!H11*H94</x:f>
        <x:v>0.4800000000000001</x:v>
      </x:c>
      <x:c r="AE94" s="15" t="n">
        <x:f>'기준스탯 72종'!I11*H94</x:f>
        <x:v>0.6000000000000001</x:v>
      </x:c>
      <x:c r="AF94" s="15" t="n">
        <x:f>'기준스탯 72종'!J11*H94</x:f>
        <x:v>0.4800000000000001</x:v>
      </x:c>
      <x:c r="AG94" s="15" t="n">
        <x:f>'기준스탯 72종'!K11*H94</x:f>
        <x:v>0.3600000000000001</x:v>
      </x:c>
    </x:row>
    <x:row r="95" ht="28" customHeight="1">
      <x:c r="A95" s="2" t="n">
        <x:v>88</x:v>
      </x:c>
      <x:c r="B95" s="2" t="n">
        <x:v>4</x:v>
      </x:c>
      <x:c r="C95" s="2" t="str">
        <x:v>양자리</x:v>
      </x:c>
      <x:c r="D95" s="2" t="str">
        <x:v>정령사</x:v>
      </x:c>
      <x:c r="E95" s="2" t="n">
        <x:v>3</x:v>
      </x:c>
      <x:c r="F95" s="2" t="n">
        <x:v>3</x:v>
      </x:c>
      <x:c r="G95" s="14" t="n">
        <x:f>('레벨 계산식'!$E$4-E95)*'레벨 계산식'!$B$5</x:f>
        <x:v>0.27999999999999997</x:v>
      </x:c>
      <x:c r="H95" s="14" t="n">
        <x:f>('등급 계산식'!$E$4-F95)*'등급 계산식'!$B$5</x:f>
        <x:v>0.12000000000000002</x:v>
      </x:c>
      <x:c r="I95" s="14" t="n">
        <x:f>1-G95-H95</x:f>
        <x:v>0.6</x:v>
      </x:c>
      <x:c r="J95" s="2" t="n">
        <x:f>MAX(1,ROUND('기준스탯 72종'!D11-R95-Z95,0))</x:f>
        <x:v>4</x:v>
      </x:c>
      <x:c r="K95" s="2" t="n">
        <x:f>MAX(1,ROUND('기준스탯 72종'!E11-S95-AA95,0))</x:f>
        <x:v>5</x:v>
      </x:c>
      <x:c r="L95" s="2" t="n">
        <x:f>MAX(1,ROUND('기준스탯 72종'!F11-T95-AB95,0))</x:f>
        <x:v>5</x:v>
      </x:c>
      <x:c r="M95" s="2" t="n">
        <x:f>MAX(1,ROUND('기준스탯 72종'!G11-U95-AC95,0))</x:f>
        <x:v>4</x:v>
      </x:c>
      <x:c r="N95" s="2" t="n">
        <x:f>MAX(0,ROUND('기준스탯 72종'!H11-V95-AD95,0))</x:f>
        <x:v>2</x:v>
      </x:c>
      <x:c r="O95" s="2" t="n">
        <x:f>MAX(0,ROUND('기준스탯 72종'!I11-W95-AE95,0))</x:f>
        <x:v>3</x:v>
      </x:c>
      <x:c r="P95" s="2" t="n">
        <x:f>MAX(0,ROUND('기준스탯 72종'!J11-X95-AF95,0))</x:f>
        <x:v>2</x:v>
      </x:c>
      <x:c r="Q95" s="2" t="n">
        <x:f>MAX(0,ROUND('기준스탯 72종'!K11-Y95-AG95,0))</x:f>
        <x:v>2</x:v>
      </x:c>
      <x:c r="R95" s="15" t="n">
        <x:f>'기준스탯 72종'!D11*G95</x:f>
        <x:v>1.6799999999999997</x:v>
      </x:c>
      <x:c r="S95" s="15" t="n">
        <x:f>'기준스탯 72종'!E11*G95</x:f>
        <x:v>2.5199999999999996</x:v>
      </x:c>
      <x:c r="T95" s="15" t="n">
        <x:f>'기준스탯 72종'!F11*G95</x:f>
        <x:v>2.2399999999999998</x:v>
      </x:c>
      <x:c r="U95" s="15" t="n">
        <x:f>'기준스탯 72종'!G11*G95</x:f>
        <x:v>1.9599999999999997</x:v>
      </x:c>
      <x:c r="V95" s="15" t="n">
        <x:f>'기준스탯 72종'!H11*G95</x:f>
        <x:v>1.1199999999999999</x:v>
      </x:c>
      <x:c r="W95" s="15" t="n">
        <x:f>'기준스탯 72종'!I11*G95</x:f>
        <x:v>1.4</x:v>
      </x:c>
      <x:c r="X95" s="15" t="n">
        <x:f>'기준스탯 72종'!J11*G95</x:f>
        <x:v>1.1199999999999999</x:v>
      </x:c>
      <x:c r="Y95" s="15" t="n">
        <x:f>'기준스탯 72종'!K11*G95</x:f>
        <x:v>0.8399999999999999</x:v>
      </x:c>
      <x:c r="Z95" s="15" t="n">
        <x:f>'기준스탯 72종'!D11*H95</x:f>
        <x:v>0.7200000000000002</x:v>
      </x:c>
      <x:c r="AA95" s="15" t="n">
        <x:f>'기준스탯 72종'!E11*H95</x:f>
        <x:v>1.0800000000000003</x:v>
      </x:c>
      <x:c r="AB95" s="15" t="n">
        <x:f>'기준스탯 72종'!F11*H95</x:f>
        <x:v>0.9600000000000002</x:v>
      </x:c>
      <x:c r="AC95" s="15" t="n">
        <x:f>'기준스탯 72종'!G11*H95</x:f>
        <x:v>0.8400000000000002</x:v>
      </x:c>
      <x:c r="AD95" s="15" t="n">
        <x:f>'기준스탯 72종'!H11*H95</x:f>
        <x:v>0.4800000000000001</x:v>
      </x:c>
      <x:c r="AE95" s="15" t="n">
        <x:f>'기준스탯 72종'!I11*H95</x:f>
        <x:v>0.6000000000000001</x:v>
      </x:c>
      <x:c r="AF95" s="15" t="n">
        <x:f>'기준스탯 72종'!J11*H95</x:f>
        <x:v>0.4800000000000001</x:v>
      </x:c>
      <x:c r="AG95" s="15" t="n">
        <x:f>'기준스탯 72종'!K11*H95</x:f>
        <x:v>0.3600000000000001</x:v>
      </x:c>
    </x:row>
    <x:row r="96" ht="28" customHeight="1">
      <x:c r="A96" s="2" t="n">
        <x:v>89</x:v>
      </x:c>
      <x:c r="B96" s="2" t="n">
        <x:v>4</x:v>
      </x:c>
      <x:c r="C96" s="2" t="str">
        <x:v>양자리</x:v>
      </x:c>
      <x:c r="D96" s="2" t="str">
        <x:v>정령사</x:v>
      </x:c>
      <x:c r="E96" s="2" t="n">
        <x:v>4</x:v>
      </x:c>
      <x:c r="F96" s="2" t="n">
        <x:v>3</x:v>
      </x:c>
      <x:c r="G96" s="14" t="n">
        <x:f>('레벨 계산식'!$E$4-E96)*'레벨 계산식'!$B$5</x:f>
        <x:v>0.13999999999999999</x:v>
      </x:c>
      <x:c r="H96" s="14" t="n">
        <x:f>('등급 계산식'!$E$4-F96)*'등급 계산식'!$B$5</x:f>
        <x:v>0.12000000000000002</x:v>
      </x:c>
      <x:c r="I96" s="14" t="n">
        <x:f>1-G96-H96</x:f>
        <x:v>0.74</x:v>
      </x:c>
      <x:c r="J96" s="2" t="n">
        <x:f>MAX(1,ROUND('기준스탯 72종'!D11-R96-Z96,0))</x:f>
        <x:v>4</x:v>
      </x:c>
      <x:c r="K96" s="2" t="n">
        <x:f>MAX(1,ROUND('기준스탯 72종'!E11-S96-AA96,0))</x:f>
        <x:v>7</x:v>
      </x:c>
      <x:c r="L96" s="2" t="n">
        <x:f>MAX(1,ROUND('기준스탯 72종'!F11-T96-AB96,0))</x:f>
        <x:v>6</x:v>
      </x:c>
      <x:c r="M96" s="2" t="n">
        <x:f>MAX(1,ROUND('기준스탯 72종'!G11-U96-AC96,0))</x:f>
        <x:v>5</x:v>
      </x:c>
      <x:c r="N96" s="2" t="n">
        <x:f>MAX(0,ROUND('기준스탯 72종'!H11-V96-AD96,0))</x:f>
        <x:v>3</x:v>
      </x:c>
      <x:c r="O96" s="2" t="n">
        <x:f>MAX(0,ROUND('기준스탯 72종'!I11-W96-AE96,0))</x:f>
        <x:v>4</x:v>
      </x:c>
      <x:c r="P96" s="2" t="n">
        <x:f>MAX(0,ROUND('기준스탯 72종'!J11-X96-AF96,0))</x:f>
        <x:v>3</x:v>
      </x:c>
      <x:c r="Q96" s="2" t="n">
        <x:f>MAX(0,ROUND('기준스탯 72종'!K11-Y96-AG96,0))</x:f>
        <x:v>2</x:v>
      </x:c>
      <x:c r="R96" s="15" t="n">
        <x:f>'기준스탯 72종'!D11*G96</x:f>
        <x:v>0.8399999999999999</x:v>
      </x:c>
      <x:c r="S96" s="15" t="n">
        <x:f>'기준스탯 72종'!E11*G96</x:f>
        <x:v>1.2599999999999998</x:v>
      </x:c>
      <x:c r="T96" s="15" t="n">
        <x:f>'기준스탯 72종'!F11*G96</x:f>
        <x:v>1.1199999999999999</x:v>
      </x:c>
      <x:c r="U96" s="15" t="n">
        <x:f>'기준스탯 72종'!G11*G96</x:f>
        <x:v>0.9799999999999999</x:v>
      </x:c>
      <x:c r="V96" s="15" t="n">
        <x:f>'기준스탯 72종'!H11*G96</x:f>
        <x:v>0.5599999999999999</x:v>
      </x:c>
      <x:c r="W96" s="15" t="n">
        <x:f>'기준스탯 72종'!I11*G96</x:f>
        <x:v>0.7</x:v>
      </x:c>
      <x:c r="X96" s="15" t="n">
        <x:f>'기준스탯 72종'!J11*G96</x:f>
        <x:v>0.5599999999999999</x:v>
      </x:c>
      <x:c r="Y96" s="15" t="n">
        <x:f>'기준스탯 72종'!K11*G96</x:f>
        <x:v>0.41999999999999993</x:v>
      </x:c>
      <x:c r="Z96" s="15" t="n">
        <x:f>'기준스탯 72종'!D11*H96</x:f>
        <x:v>0.7200000000000002</x:v>
      </x:c>
      <x:c r="AA96" s="15" t="n">
        <x:f>'기준스탯 72종'!E11*H96</x:f>
        <x:v>1.0800000000000003</x:v>
      </x:c>
      <x:c r="AB96" s="15" t="n">
        <x:f>'기준스탯 72종'!F11*H96</x:f>
        <x:v>0.9600000000000002</x:v>
      </x:c>
      <x:c r="AC96" s="15" t="n">
        <x:f>'기준스탯 72종'!G11*H96</x:f>
        <x:v>0.8400000000000002</x:v>
      </x:c>
      <x:c r="AD96" s="15" t="n">
        <x:f>'기준스탯 72종'!H11*H96</x:f>
        <x:v>0.4800000000000001</x:v>
      </x:c>
      <x:c r="AE96" s="15" t="n">
        <x:f>'기준스탯 72종'!I11*H96</x:f>
        <x:v>0.6000000000000001</x:v>
      </x:c>
      <x:c r="AF96" s="15" t="n">
        <x:f>'기준스탯 72종'!J11*H96</x:f>
        <x:v>0.4800000000000001</x:v>
      </x:c>
      <x:c r="AG96" s="15" t="n">
        <x:f>'기준스탯 72종'!K11*H96</x:f>
        <x:v>0.3600000000000001</x:v>
      </x:c>
    </x:row>
    <x:row r="97" ht="28" customHeight="1">
      <x:c r="A97" s="2" t="n">
        <x:v>90</x:v>
      </x:c>
      <x:c r="B97" s="2" t="n">
        <x:v>4</x:v>
      </x:c>
      <x:c r="C97" s="2" t="str">
        <x:v>양자리</x:v>
      </x:c>
      <x:c r="D97" s="2" t="str">
        <x:v>정령사</x:v>
      </x:c>
      <x:c r="E97" s="2" t="n">
        <x:v>5</x:v>
      </x:c>
      <x:c r="F97" s="2" t="n">
        <x:v>3</x:v>
      </x:c>
      <x:c r="G97" s="14" t="n">
        <x:f>('레벨 계산식'!$E$4-E97)*'레벨 계산식'!$B$5</x:f>
        <x:v>0</x:v>
      </x:c>
      <x:c r="H97" s="14" t="n">
        <x:f>('등급 계산식'!$E$4-F97)*'등급 계산식'!$B$5</x:f>
        <x:v>0.12000000000000002</x:v>
      </x:c>
      <x:c r="I97" s="14" t="n">
        <x:f>1-G97-H97</x:f>
        <x:v>0.88</x:v>
      </x:c>
      <x:c r="J97" s="2" t="n">
        <x:f>MAX(1,ROUND('기준스탯 72종'!D11-R97-Z97,0))</x:f>
        <x:v>5</x:v>
      </x:c>
      <x:c r="K97" s="2" t="n">
        <x:f>MAX(1,ROUND('기준스탯 72종'!E11-S97-AA97,0))</x:f>
        <x:v>8</x:v>
      </x:c>
      <x:c r="L97" s="2" t="n">
        <x:f>MAX(1,ROUND('기준스탯 72종'!F11-T97-AB97,0))</x:f>
        <x:v>7</x:v>
      </x:c>
      <x:c r="M97" s="2" t="n">
        <x:f>MAX(1,ROUND('기준스탯 72종'!G11-U97-AC97,0))</x:f>
        <x:v>6</x:v>
      </x:c>
      <x:c r="N97" s="2" t="n">
        <x:f>MAX(0,ROUND('기준스탯 72종'!H11-V97-AD97,0))</x:f>
        <x:v>4</x:v>
      </x:c>
      <x:c r="O97" s="2" t="n">
        <x:f>MAX(0,ROUND('기준스탯 72종'!I11-W97-AE97,0))</x:f>
        <x:v>4</x:v>
      </x:c>
      <x:c r="P97" s="2" t="n">
        <x:f>MAX(0,ROUND('기준스탯 72종'!J11-X97-AF97,0))</x:f>
        <x:v>4</x:v>
      </x:c>
      <x:c r="Q97" s="2" t="n">
        <x:f>MAX(0,ROUND('기준스탯 72종'!K11-Y97-AG97,0))</x:f>
        <x:v>3</x:v>
      </x:c>
      <x:c r="R97" s="15" t="n">
        <x:f>'기준스탯 72종'!D11*G97</x:f>
        <x:v>0</x:v>
      </x:c>
      <x:c r="S97" s="15" t="n">
        <x:f>'기준스탯 72종'!E11*G97</x:f>
        <x:v>0</x:v>
      </x:c>
      <x:c r="T97" s="15" t="n">
        <x:f>'기준스탯 72종'!F11*G97</x:f>
        <x:v>0</x:v>
      </x:c>
      <x:c r="U97" s="15" t="n">
        <x:f>'기준스탯 72종'!G11*G97</x:f>
        <x:v>0</x:v>
      </x:c>
      <x:c r="V97" s="15" t="n">
        <x:f>'기준스탯 72종'!H11*G97</x:f>
        <x:v>0</x:v>
      </x:c>
      <x:c r="W97" s="15" t="n">
        <x:f>'기준스탯 72종'!I11*G97</x:f>
        <x:v>0</x:v>
      </x:c>
      <x:c r="X97" s="15" t="n">
        <x:f>'기준스탯 72종'!J11*G97</x:f>
        <x:v>0</x:v>
      </x:c>
      <x:c r="Y97" s="15" t="n">
        <x:f>'기준스탯 72종'!K11*G97</x:f>
        <x:v>0</x:v>
      </x:c>
      <x:c r="Z97" s="15" t="n">
        <x:f>'기준스탯 72종'!D11*H97</x:f>
        <x:v>0.7200000000000002</x:v>
      </x:c>
      <x:c r="AA97" s="15" t="n">
        <x:f>'기준스탯 72종'!E11*H97</x:f>
        <x:v>1.0800000000000003</x:v>
      </x:c>
      <x:c r="AB97" s="15" t="n">
        <x:f>'기준스탯 72종'!F11*H97</x:f>
        <x:v>0.9600000000000002</x:v>
      </x:c>
      <x:c r="AC97" s="15" t="n">
        <x:f>'기준스탯 72종'!G11*H97</x:f>
        <x:v>0.8400000000000002</x:v>
      </x:c>
      <x:c r="AD97" s="15" t="n">
        <x:f>'기준스탯 72종'!H11*H97</x:f>
        <x:v>0.4800000000000001</x:v>
      </x:c>
      <x:c r="AE97" s="15" t="n">
        <x:f>'기준스탯 72종'!I11*H97</x:f>
        <x:v>0.6000000000000001</x:v>
      </x:c>
      <x:c r="AF97" s="15" t="n">
        <x:f>'기준스탯 72종'!J11*H97</x:f>
        <x:v>0.4800000000000001</x:v>
      </x:c>
      <x:c r="AG97" s="15" t="n">
        <x:f>'기준스탯 72종'!K11*H97</x:f>
        <x:v>0.3600000000000001</x:v>
      </x:c>
    </x:row>
    <x:row r="98" ht="28" customHeight="1">
      <x:c r="A98" s="2" t="n">
        <x:v>91</x:v>
      </x:c>
      <x:c r="B98" s="2" t="n">
        <x:v>4</x:v>
      </x:c>
      <x:c r="C98" s="2" t="str">
        <x:v>양자리</x:v>
      </x:c>
      <x:c r="D98" s="2" t="str">
        <x:v>정령사</x:v>
      </x:c>
      <x:c r="E98" s="2" t="n">
        <x:v>1</x:v>
      </x:c>
      <x:c r="F98" s="2" t="n">
        <x:v>4</x:v>
      </x:c>
      <x:c r="G98" s="14" t="n">
        <x:f>('레벨 계산식'!$E$4-E98)*'레벨 계산식'!$B$5</x:f>
        <x:v>0.5599999999999999</x:v>
      </x:c>
      <x:c r="H98" s="14" t="n">
        <x:f>('등급 계산식'!$E$4-F98)*'등급 계산식'!$B$5</x:f>
        <x:v>0.06000000000000001</x:v>
      </x:c>
      <x:c r="I98" s="14" t="n">
        <x:f>1-G98-H98</x:f>
        <x:v>0.38000000000000006</x:v>
      </x:c>
      <x:c r="J98" s="2" t="n">
        <x:f>MAX(1,ROUND('기준스탯 72종'!D11-R98-Z98,0))</x:f>
        <x:v>2</x:v>
      </x:c>
      <x:c r="K98" s="2" t="n">
        <x:f>MAX(1,ROUND('기준스탯 72종'!E11-S98-AA98,0))</x:f>
        <x:v>3</x:v>
      </x:c>
      <x:c r="L98" s="2" t="n">
        <x:f>MAX(1,ROUND('기준스탯 72종'!F11-T98-AB98,0))</x:f>
        <x:v>3</x:v>
      </x:c>
      <x:c r="M98" s="2" t="n">
        <x:f>MAX(1,ROUND('기준스탯 72종'!G11-U98-AC98,0))</x:f>
        <x:v>3</x:v>
      </x:c>
      <x:c r="N98" s="2" t="n">
        <x:f>MAX(0,ROUND('기준스탯 72종'!H11-V98-AD98,0))</x:f>
        <x:v>2</x:v>
      </x:c>
      <x:c r="O98" s="2" t="n">
        <x:f>MAX(0,ROUND('기준스탯 72종'!I11-W98-AE98,0))</x:f>
        <x:v>2</x:v>
      </x:c>
      <x:c r="P98" s="2" t="n">
        <x:f>MAX(0,ROUND('기준스탯 72종'!J11-X98-AF98,0))</x:f>
        <x:v>2</x:v>
      </x:c>
      <x:c r="Q98" s="2" t="n">
        <x:f>MAX(0,ROUND('기준스탯 72종'!K11-Y98-AG98,0))</x:f>
        <x:v>1</x:v>
      </x:c>
      <x:c r="R98" s="15" t="n">
        <x:f>'기준스탯 72종'!D11*G98</x:f>
        <x:v>3.3599999999999994</x:v>
      </x:c>
      <x:c r="S98" s="15" t="n">
        <x:f>'기준스탯 72종'!E11*G98</x:f>
        <x:v>5.039999999999999</x:v>
      </x:c>
      <x:c r="T98" s="15" t="n">
        <x:f>'기준스탯 72종'!F11*G98</x:f>
        <x:v>4.4799999999999995</x:v>
      </x:c>
      <x:c r="U98" s="15" t="n">
        <x:f>'기준스탯 72종'!G11*G98</x:f>
        <x:v>3.9199999999999995</x:v>
      </x:c>
      <x:c r="V98" s="15" t="n">
        <x:f>'기준스탯 72종'!H11*G98</x:f>
        <x:v>2.2399999999999998</x:v>
      </x:c>
      <x:c r="W98" s="15" t="n">
        <x:f>'기준스탯 72종'!I11*G98</x:f>
        <x:v>2.8</x:v>
      </x:c>
      <x:c r="X98" s="15" t="n">
        <x:f>'기준스탯 72종'!J11*G98</x:f>
        <x:v>2.2399999999999998</x:v>
      </x:c>
      <x:c r="Y98" s="15" t="n">
        <x:f>'기준스탯 72종'!K11*G98</x:f>
        <x:v>1.6799999999999997</x:v>
      </x:c>
      <x:c r="Z98" s="15" t="n">
        <x:f>'기준스탯 72종'!D11*H98</x:f>
        <x:v>0.3600000000000001</x:v>
      </x:c>
      <x:c r="AA98" s="15" t="n">
        <x:f>'기준스탯 72종'!E11*H98</x:f>
        <x:v>0.5400000000000001</x:v>
      </x:c>
      <x:c r="AB98" s="15" t="n">
        <x:f>'기준스탯 72종'!F11*H98</x:f>
        <x:v>0.4800000000000001</x:v>
      </x:c>
      <x:c r="AC98" s="15" t="n">
        <x:f>'기준스탯 72종'!G11*H98</x:f>
        <x:v>0.4200000000000001</x:v>
      </x:c>
      <x:c r="AD98" s="15" t="n">
        <x:f>'기준스탯 72종'!H11*H98</x:f>
        <x:v>0.24000000000000005</x:v>
      </x:c>
      <x:c r="AE98" s="15" t="n">
        <x:f>'기준스탯 72종'!I11*H98</x:f>
        <x:v>0.30000000000000004</x:v>
      </x:c>
      <x:c r="AF98" s="15" t="n">
        <x:f>'기준스탯 72종'!J11*H98</x:f>
        <x:v>0.24000000000000005</x:v>
      </x:c>
      <x:c r="AG98" s="15" t="n">
        <x:f>'기준스탯 72종'!K11*H98</x:f>
        <x:v>0.18000000000000005</x:v>
      </x:c>
    </x:row>
    <x:row r="99" ht="28" customHeight="1">
      <x:c r="A99" s="2" t="n">
        <x:v>92</x:v>
      </x:c>
      <x:c r="B99" s="2" t="n">
        <x:v>4</x:v>
      </x:c>
      <x:c r="C99" s="2" t="str">
        <x:v>양자리</x:v>
      </x:c>
      <x:c r="D99" s="2" t="str">
        <x:v>정령사</x:v>
      </x:c>
      <x:c r="E99" s="2" t="n">
        <x:v>2</x:v>
      </x:c>
      <x:c r="F99" s="2" t="n">
        <x:v>4</x:v>
      </x:c>
      <x:c r="G99" s="14" t="n">
        <x:f>('레벨 계산식'!$E$4-E99)*'레벨 계산식'!$B$5</x:f>
        <x:v>0.41999999999999993</x:v>
      </x:c>
      <x:c r="H99" s="14" t="n">
        <x:f>('등급 계산식'!$E$4-F99)*'등급 계산식'!$B$5</x:f>
        <x:v>0.06000000000000001</x:v>
      </x:c>
      <x:c r="I99" s="14" t="n">
        <x:f>1-G99-H99</x:f>
        <x:v>0.52</x:v>
      </x:c>
      <x:c r="J99" s="2" t="n">
        <x:f>MAX(1,ROUND('기준스탯 72종'!D11-R99-Z99,0))</x:f>
        <x:v>3</x:v>
      </x:c>
      <x:c r="K99" s="2" t="n">
        <x:f>MAX(1,ROUND('기준스탯 72종'!E11-S99-AA99,0))</x:f>
        <x:v>5</x:v>
      </x:c>
      <x:c r="L99" s="2" t="n">
        <x:f>MAX(1,ROUND('기준스탯 72종'!F11-T99-AB99,0))</x:f>
        <x:v>4</x:v>
      </x:c>
      <x:c r="M99" s="2" t="n">
        <x:f>MAX(1,ROUND('기준스탯 72종'!G11-U99-AC99,0))</x:f>
        <x:v>4</x:v>
      </x:c>
      <x:c r="N99" s="2" t="n">
        <x:f>MAX(0,ROUND('기준스탯 72종'!H11-V99-AD99,0))</x:f>
        <x:v>2</x:v>
      </x:c>
      <x:c r="O99" s="2" t="n">
        <x:f>MAX(0,ROUND('기준스탯 72종'!I11-W99-AE99,0))</x:f>
        <x:v>3</x:v>
      </x:c>
      <x:c r="P99" s="2" t="n">
        <x:f>MAX(0,ROUND('기준스탯 72종'!J11-X99-AF99,0))</x:f>
        <x:v>2</x:v>
      </x:c>
      <x:c r="Q99" s="2" t="n">
        <x:f>MAX(0,ROUND('기준스탯 72종'!K11-Y99-AG99,0))</x:f>
        <x:v>2</x:v>
      </x:c>
      <x:c r="R99" s="15" t="n">
        <x:f>'기준스탯 72종'!D11*G99</x:f>
        <x:v>2.5199999999999996</x:v>
      </x:c>
      <x:c r="S99" s="15" t="n">
        <x:f>'기준스탯 72종'!E11*G99</x:f>
        <x:v>3.7799999999999994</x:v>
      </x:c>
      <x:c r="T99" s="15" t="n">
        <x:f>'기준스탯 72종'!F11*G99</x:f>
        <x:v>3.3599999999999994</x:v>
      </x:c>
      <x:c r="U99" s="15" t="n">
        <x:f>'기준스탯 72종'!G11*G99</x:f>
        <x:v>2.9399999999999995</x:v>
      </x:c>
      <x:c r="V99" s="15" t="n">
        <x:f>'기준스탯 72종'!H11*G99</x:f>
        <x:v>1.6799999999999997</x:v>
      </x:c>
      <x:c r="W99" s="15" t="n">
        <x:f>'기준스탯 72종'!I11*G99</x:f>
        <x:v>2.0999999999999996</x:v>
      </x:c>
      <x:c r="X99" s="15" t="n">
        <x:f>'기준스탯 72종'!J11*G99</x:f>
        <x:v>1.6799999999999997</x:v>
      </x:c>
      <x:c r="Y99" s="15" t="n">
        <x:f>'기준스탯 72종'!K11*G99</x:f>
        <x:v>1.2599999999999998</x:v>
      </x:c>
      <x:c r="Z99" s="15" t="n">
        <x:f>'기준스탯 72종'!D11*H99</x:f>
        <x:v>0.3600000000000001</x:v>
      </x:c>
      <x:c r="AA99" s="15" t="n">
        <x:f>'기준스탯 72종'!E11*H99</x:f>
        <x:v>0.5400000000000001</x:v>
      </x:c>
      <x:c r="AB99" s="15" t="n">
        <x:f>'기준스탯 72종'!F11*H99</x:f>
        <x:v>0.4800000000000001</x:v>
      </x:c>
      <x:c r="AC99" s="15" t="n">
        <x:f>'기준스탯 72종'!G11*H99</x:f>
        <x:v>0.4200000000000001</x:v>
      </x:c>
      <x:c r="AD99" s="15" t="n">
        <x:f>'기준스탯 72종'!H11*H99</x:f>
        <x:v>0.24000000000000005</x:v>
      </x:c>
      <x:c r="AE99" s="15" t="n">
        <x:f>'기준스탯 72종'!I11*H99</x:f>
        <x:v>0.30000000000000004</x:v>
      </x:c>
      <x:c r="AF99" s="15" t="n">
        <x:f>'기준스탯 72종'!J11*H99</x:f>
        <x:v>0.24000000000000005</x:v>
      </x:c>
      <x:c r="AG99" s="15" t="n">
        <x:f>'기준스탯 72종'!K11*H99</x:f>
        <x:v>0.18000000000000005</x:v>
      </x:c>
    </x:row>
    <x:row r="100" ht="28" customHeight="1">
      <x:c r="A100" s="2" t="n">
        <x:v>93</x:v>
      </x:c>
      <x:c r="B100" s="2" t="n">
        <x:v>4</x:v>
      </x:c>
      <x:c r="C100" s="2" t="str">
        <x:v>양자리</x:v>
      </x:c>
      <x:c r="D100" s="2" t="str">
        <x:v>정령사</x:v>
      </x:c>
      <x:c r="E100" s="2" t="n">
        <x:v>3</x:v>
      </x:c>
      <x:c r="F100" s="2" t="n">
        <x:v>4</x:v>
      </x:c>
      <x:c r="G100" s="14" t="n">
        <x:f>('레벨 계산식'!$E$4-E100)*'레벨 계산식'!$B$5</x:f>
        <x:v>0.27999999999999997</x:v>
      </x:c>
      <x:c r="H100" s="14" t="n">
        <x:f>('등급 계산식'!$E$4-F100)*'등급 계산식'!$B$5</x:f>
        <x:v>0.06000000000000001</x:v>
      </x:c>
      <x:c r="I100" s="14" t="n">
        <x:f>1-G100-H100</x:f>
        <x:v>0.6599999999999999</x:v>
      </x:c>
      <x:c r="J100" s="2" t="n">
        <x:f>MAX(1,ROUND('기준스탯 72종'!D11-R100-Z100,0))</x:f>
        <x:v>4</x:v>
      </x:c>
      <x:c r="K100" s="2" t="n">
        <x:f>MAX(1,ROUND('기준스탯 72종'!E11-S100-AA100,0))</x:f>
        <x:v>6</x:v>
      </x:c>
      <x:c r="L100" s="2" t="n">
        <x:f>MAX(1,ROUND('기준스탯 72종'!F11-T100-AB100,0))</x:f>
        <x:v>5</x:v>
      </x:c>
      <x:c r="M100" s="2" t="n">
        <x:f>MAX(1,ROUND('기준스탯 72종'!G11-U100-AC100,0))</x:f>
        <x:v>5</x:v>
      </x:c>
      <x:c r="N100" s="2" t="n">
        <x:f>MAX(0,ROUND('기준스탯 72종'!H11-V100-AD100,0))</x:f>
        <x:v>3</x:v>
      </x:c>
      <x:c r="O100" s="2" t="n">
        <x:f>MAX(0,ROUND('기준스탯 72종'!I11-W100-AE100,0))</x:f>
        <x:v>3</x:v>
      </x:c>
      <x:c r="P100" s="2" t="n">
        <x:f>MAX(0,ROUND('기준스탯 72종'!J11-X100-AF100,0))</x:f>
        <x:v>3</x:v>
      </x:c>
      <x:c r="Q100" s="2" t="n">
        <x:f>MAX(0,ROUND('기준스탯 72종'!K11-Y100-AG100,0))</x:f>
        <x:v>2</x:v>
      </x:c>
      <x:c r="R100" s="15" t="n">
        <x:f>'기준스탯 72종'!D11*G100</x:f>
        <x:v>1.6799999999999997</x:v>
      </x:c>
      <x:c r="S100" s="15" t="n">
        <x:f>'기준스탯 72종'!E11*G100</x:f>
        <x:v>2.5199999999999996</x:v>
      </x:c>
      <x:c r="T100" s="15" t="n">
        <x:f>'기준스탯 72종'!F11*G100</x:f>
        <x:v>2.2399999999999998</x:v>
      </x:c>
      <x:c r="U100" s="15" t="n">
        <x:f>'기준스탯 72종'!G11*G100</x:f>
        <x:v>1.9599999999999997</x:v>
      </x:c>
      <x:c r="V100" s="15" t="n">
        <x:f>'기준스탯 72종'!H11*G100</x:f>
        <x:v>1.1199999999999999</x:v>
      </x:c>
      <x:c r="W100" s="15" t="n">
        <x:f>'기준스탯 72종'!I11*G100</x:f>
        <x:v>1.4</x:v>
      </x:c>
      <x:c r="X100" s="15" t="n">
        <x:f>'기준스탯 72종'!J11*G100</x:f>
        <x:v>1.1199999999999999</x:v>
      </x:c>
      <x:c r="Y100" s="15" t="n">
        <x:f>'기준스탯 72종'!K11*G100</x:f>
        <x:v>0.8399999999999999</x:v>
      </x:c>
      <x:c r="Z100" s="15" t="n">
        <x:f>'기준스탯 72종'!D11*H100</x:f>
        <x:v>0.3600000000000001</x:v>
      </x:c>
      <x:c r="AA100" s="15" t="n">
        <x:f>'기준스탯 72종'!E11*H100</x:f>
        <x:v>0.5400000000000001</x:v>
      </x:c>
      <x:c r="AB100" s="15" t="n">
        <x:f>'기준스탯 72종'!F11*H100</x:f>
        <x:v>0.4800000000000001</x:v>
      </x:c>
      <x:c r="AC100" s="15" t="n">
        <x:f>'기준스탯 72종'!G11*H100</x:f>
        <x:v>0.4200000000000001</x:v>
      </x:c>
      <x:c r="AD100" s="15" t="n">
        <x:f>'기준스탯 72종'!H11*H100</x:f>
        <x:v>0.24000000000000005</x:v>
      </x:c>
      <x:c r="AE100" s="15" t="n">
        <x:f>'기준스탯 72종'!I11*H100</x:f>
        <x:v>0.30000000000000004</x:v>
      </x:c>
      <x:c r="AF100" s="15" t="n">
        <x:f>'기준스탯 72종'!J11*H100</x:f>
        <x:v>0.24000000000000005</x:v>
      </x:c>
      <x:c r="AG100" s="15" t="n">
        <x:f>'기준스탯 72종'!K11*H100</x:f>
        <x:v>0.18000000000000005</x:v>
      </x:c>
    </x:row>
    <x:row r="101" ht="28" customHeight="1">
      <x:c r="A101" s="2" t="n">
        <x:v>94</x:v>
      </x:c>
      <x:c r="B101" s="2" t="n">
        <x:v>4</x:v>
      </x:c>
      <x:c r="C101" s="2" t="str">
        <x:v>양자리</x:v>
      </x:c>
      <x:c r="D101" s="2" t="str">
        <x:v>정령사</x:v>
      </x:c>
      <x:c r="E101" s="2" t="n">
        <x:v>4</x:v>
      </x:c>
      <x:c r="F101" s="2" t="n">
        <x:v>4</x:v>
      </x:c>
      <x:c r="G101" s="14" t="n">
        <x:f>('레벨 계산식'!$E$4-E101)*'레벨 계산식'!$B$5</x:f>
        <x:v>0.13999999999999999</x:v>
      </x:c>
      <x:c r="H101" s="14" t="n">
        <x:f>('등급 계산식'!$E$4-F101)*'등급 계산식'!$B$5</x:f>
        <x:v>0.06000000000000001</x:v>
      </x:c>
      <x:c r="I101" s="14" t="n">
        <x:f>1-G101-H101</x:f>
        <x:v>0.7999999999999999</x:v>
      </x:c>
      <x:c r="J101" s="2" t="n">
        <x:f>MAX(1,ROUND('기준스탯 72종'!D11-R101-Z101,0))</x:f>
        <x:v>5</x:v>
      </x:c>
      <x:c r="K101" s="2" t="n">
        <x:f>MAX(1,ROUND('기준스탯 72종'!E11-S101-AA101,0))</x:f>
        <x:v>7</x:v>
      </x:c>
      <x:c r="L101" s="2" t="n">
        <x:f>MAX(1,ROUND('기준스탯 72종'!F11-T101-AB101,0))</x:f>
        <x:v>6</x:v>
      </x:c>
      <x:c r="M101" s="2" t="n">
        <x:f>MAX(1,ROUND('기준스탯 72종'!G11-U101-AC101,0))</x:f>
        <x:v>6</x:v>
      </x:c>
      <x:c r="N101" s="2" t="n">
        <x:f>MAX(0,ROUND('기준스탯 72종'!H11-V101-AD101,0))</x:f>
        <x:v>3</x:v>
      </x:c>
      <x:c r="O101" s="2" t="n">
        <x:f>MAX(0,ROUND('기준스탯 72종'!I11-W101-AE101,0))</x:f>
        <x:v>4</x:v>
      </x:c>
      <x:c r="P101" s="2" t="n">
        <x:f>MAX(0,ROUND('기준스탯 72종'!J11-X101-AF101,0))</x:f>
        <x:v>3</x:v>
      </x:c>
      <x:c r="Q101" s="2" t="n">
        <x:f>MAX(0,ROUND('기준스탯 72종'!K11-Y101-AG101,0))</x:f>
        <x:v>2</x:v>
      </x:c>
      <x:c r="R101" s="15" t="n">
        <x:f>'기준스탯 72종'!D11*G101</x:f>
        <x:v>0.8399999999999999</x:v>
      </x:c>
      <x:c r="S101" s="15" t="n">
        <x:f>'기준스탯 72종'!E11*G101</x:f>
        <x:v>1.2599999999999998</x:v>
      </x:c>
      <x:c r="T101" s="15" t="n">
        <x:f>'기준스탯 72종'!F11*G101</x:f>
        <x:v>1.1199999999999999</x:v>
      </x:c>
      <x:c r="U101" s="15" t="n">
        <x:f>'기준스탯 72종'!G11*G101</x:f>
        <x:v>0.9799999999999999</x:v>
      </x:c>
      <x:c r="V101" s="15" t="n">
        <x:f>'기준스탯 72종'!H11*G101</x:f>
        <x:v>0.5599999999999999</x:v>
      </x:c>
      <x:c r="W101" s="15" t="n">
        <x:f>'기준스탯 72종'!I11*G101</x:f>
        <x:v>0.7</x:v>
      </x:c>
      <x:c r="X101" s="15" t="n">
        <x:f>'기준스탯 72종'!J11*G101</x:f>
        <x:v>0.5599999999999999</x:v>
      </x:c>
      <x:c r="Y101" s="15" t="n">
        <x:f>'기준스탯 72종'!K11*G101</x:f>
        <x:v>0.41999999999999993</x:v>
      </x:c>
      <x:c r="Z101" s="15" t="n">
        <x:f>'기준스탯 72종'!D11*H101</x:f>
        <x:v>0.3600000000000001</x:v>
      </x:c>
      <x:c r="AA101" s="15" t="n">
        <x:f>'기준스탯 72종'!E11*H101</x:f>
        <x:v>0.5400000000000001</x:v>
      </x:c>
      <x:c r="AB101" s="15" t="n">
        <x:f>'기준스탯 72종'!F11*H101</x:f>
        <x:v>0.4800000000000001</x:v>
      </x:c>
      <x:c r="AC101" s="15" t="n">
        <x:f>'기준스탯 72종'!G11*H101</x:f>
        <x:v>0.4200000000000001</x:v>
      </x:c>
      <x:c r="AD101" s="15" t="n">
        <x:f>'기준스탯 72종'!H11*H101</x:f>
        <x:v>0.24000000000000005</x:v>
      </x:c>
      <x:c r="AE101" s="15" t="n">
        <x:f>'기준스탯 72종'!I11*H101</x:f>
        <x:v>0.30000000000000004</x:v>
      </x:c>
      <x:c r="AF101" s="15" t="n">
        <x:f>'기준스탯 72종'!J11*H101</x:f>
        <x:v>0.24000000000000005</x:v>
      </x:c>
      <x:c r="AG101" s="15" t="n">
        <x:f>'기준스탯 72종'!K11*H101</x:f>
        <x:v>0.18000000000000005</x:v>
      </x:c>
    </x:row>
    <x:row r="102" ht="28" customHeight="1">
      <x:c r="A102" s="2" t="n">
        <x:v>95</x:v>
      </x:c>
      <x:c r="B102" s="2" t="n">
        <x:v>4</x:v>
      </x:c>
      <x:c r="C102" s="2" t="str">
        <x:v>양자리</x:v>
      </x:c>
      <x:c r="D102" s="2" t="str">
        <x:v>정령사</x:v>
      </x:c>
      <x:c r="E102" s="2" t="n">
        <x:v>5</x:v>
      </x:c>
      <x:c r="F102" s="2" t="n">
        <x:v>4</x:v>
      </x:c>
      <x:c r="G102" s="14" t="n">
        <x:f>('레벨 계산식'!$E$4-E102)*'레벨 계산식'!$B$5</x:f>
        <x:v>0</x:v>
      </x:c>
      <x:c r="H102" s="14" t="n">
        <x:f>('등급 계산식'!$E$4-F102)*'등급 계산식'!$B$5</x:f>
        <x:v>0.06000000000000001</x:v>
      </x:c>
      <x:c r="I102" s="14" t="n">
        <x:f>1-G102-H102</x:f>
        <x:v>0.94</x:v>
      </x:c>
      <x:c r="J102" s="2" t="n">
        <x:f>MAX(1,ROUND('기준스탯 72종'!D11-R102-Z102,0))</x:f>
        <x:v>6</x:v>
      </x:c>
      <x:c r="K102" s="2" t="n">
        <x:f>MAX(1,ROUND('기준스탯 72종'!E11-S102-AA102,0))</x:f>
        <x:v>8</x:v>
      </x:c>
      <x:c r="L102" s="2" t="n">
        <x:f>MAX(1,ROUND('기준스탯 72종'!F11-T102-AB102,0))</x:f>
        <x:v>8</x:v>
      </x:c>
      <x:c r="M102" s="2" t="n">
        <x:f>MAX(1,ROUND('기준스탯 72종'!G11-U102-AC102,0))</x:f>
        <x:v>7</x:v>
      </x:c>
      <x:c r="N102" s="2" t="n">
        <x:f>MAX(0,ROUND('기준스탯 72종'!H11-V102-AD102,0))</x:f>
        <x:v>4</x:v>
      </x:c>
      <x:c r="O102" s="2" t="n">
        <x:f>MAX(0,ROUND('기준스탯 72종'!I11-W102-AE102,0))</x:f>
        <x:v>5</x:v>
      </x:c>
      <x:c r="P102" s="2" t="n">
        <x:f>MAX(0,ROUND('기준스탯 72종'!J11-X102-AF102,0))</x:f>
        <x:v>4</x:v>
      </x:c>
      <x:c r="Q102" s="2" t="n">
        <x:f>MAX(0,ROUND('기준스탯 72종'!K11-Y102-AG102,0))</x:f>
        <x:v>3</x:v>
      </x:c>
      <x:c r="R102" s="15" t="n">
        <x:f>'기준스탯 72종'!D11*G102</x:f>
        <x:v>0</x:v>
      </x:c>
      <x:c r="S102" s="15" t="n">
        <x:f>'기준스탯 72종'!E11*G102</x:f>
        <x:v>0</x:v>
      </x:c>
      <x:c r="T102" s="15" t="n">
        <x:f>'기준스탯 72종'!F11*G102</x:f>
        <x:v>0</x:v>
      </x:c>
      <x:c r="U102" s="15" t="n">
        <x:f>'기준스탯 72종'!G11*G102</x:f>
        <x:v>0</x:v>
      </x:c>
      <x:c r="V102" s="15" t="n">
        <x:f>'기준스탯 72종'!H11*G102</x:f>
        <x:v>0</x:v>
      </x:c>
      <x:c r="W102" s="15" t="n">
        <x:f>'기준스탯 72종'!I11*G102</x:f>
        <x:v>0</x:v>
      </x:c>
      <x:c r="X102" s="15" t="n">
        <x:f>'기준스탯 72종'!J11*G102</x:f>
        <x:v>0</x:v>
      </x:c>
      <x:c r="Y102" s="15" t="n">
        <x:f>'기준스탯 72종'!K11*G102</x:f>
        <x:v>0</x:v>
      </x:c>
      <x:c r="Z102" s="15" t="n">
        <x:f>'기준스탯 72종'!D11*H102</x:f>
        <x:v>0.3600000000000001</x:v>
      </x:c>
      <x:c r="AA102" s="15" t="n">
        <x:f>'기준스탯 72종'!E11*H102</x:f>
        <x:v>0.5400000000000001</x:v>
      </x:c>
      <x:c r="AB102" s="15" t="n">
        <x:f>'기준스탯 72종'!F11*H102</x:f>
        <x:v>0.4800000000000001</x:v>
      </x:c>
      <x:c r="AC102" s="15" t="n">
        <x:f>'기준스탯 72종'!G11*H102</x:f>
        <x:v>0.4200000000000001</x:v>
      </x:c>
      <x:c r="AD102" s="15" t="n">
        <x:f>'기준스탯 72종'!H11*H102</x:f>
        <x:v>0.24000000000000005</x:v>
      </x:c>
      <x:c r="AE102" s="15" t="n">
        <x:f>'기준스탯 72종'!I11*H102</x:f>
        <x:v>0.30000000000000004</x:v>
      </x:c>
      <x:c r="AF102" s="15" t="n">
        <x:f>'기준스탯 72종'!J11*H102</x:f>
        <x:v>0.24000000000000005</x:v>
      </x:c>
      <x:c r="AG102" s="15" t="n">
        <x:f>'기준스탯 72종'!K11*H102</x:f>
        <x:v>0.18000000000000005</x:v>
      </x:c>
    </x:row>
    <x:row r="103" ht="28" customHeight="1">
      <x:c r="A103" s="2" t="n">
        <x:v>96</x:v>
      </x:c>
      <x:c r="B103" s="2" t="n">
        <x:v>4</x:v>
      </x:c>
      <x:c r="C103" s="2" t="str">
        <x:v>양자리</x:v>
      </x:c>
      <x:c r="D103" s="2" t="str">
        <x:v>정령사</x:v>
      </x:c>
      <x:c r="E103" s="2" t="n">
        <x:v>1</x:v>
      </x:c>
      <x:c r="F103" s="2" t="n">
        <x:v>5</x:v>
      </x:c>
      <x:c r="G103" s="14" t="n">
        <x:f>('레벨 계산식'!$E$4-E103)*'레벨 계산식'!$B$5</x:f>
        <x:v>0.5599999999999999</x:v>
      </x:c>
      <x:c r="H103" s="14" t="n">
        <x:f>('등급 계산식'!$E$4-F103)*'등급 계산식'!$B$5</x:f>
        <x:v>0</x:v>
      </x:c>
      <x:c r="I103" s="14" t="n">
        <x:f>1-G103-H103</x:f>
        <x:v>0.44000000000000006</x:v>
      </x:c>
      <x:c r="J103" s="2" t="n">
        <x:f>MAX(1,ROUND('기준스탯 72종'!D11-R103-Z103,0))</x:f>
        <x:v>3</x:v>
      </x:c>
      <x:c r="K103" s="2" t="n">
        <x:f>MAX(1,ROUND('기준스탯 72종'!E11-S103-AA103,0))</x:f>
        <x:v>4</x:v>
      </x:c>
      <x:c r="L103" s="2" t="n">
        <x:f>MAX(1,ROUND('기준스탯 72종'!F11-T103-AB103,0))</x:f>
        <x:v>4</x:v>
      </x:c>
      <x:c r="M103" s="2" t="n">
        <x:f>MAX(1,ROUND('기준스탯 72종'!G11-U103-AC103,0))</x:f>
        <x:v>3</x:v>
      </x:c>
      <x:c r="N103" s="2" t="n">
        <x:f>MAX(0,ROUND('기준스탯 72종'!H11-V103-AD103,0))</x:f>
        <x:v>2</x:v>
      </x:c>
      <x:c r="O103" s="2" t="n">
        <x:f>MAX(0,ROUND('기준스탯 72종'!I11-W103-AE103,0))</x:f>
        <x:v>2</x:v>
      </x:c>
      <x:c r="P103" s="2" t="n">
        <x:f>MAX(0,ROUND('기준스탯 72종'!J11-X103-AF103,0))</x:f>
        <x:v>2</x:v>
      </x:c>
      <x:c r="Q103" s="2" t="n">
        <x:f>MAX(0,ROUND('기준스탯 72종'!K11-Y103-AG103,0))</x:f>
        <x:v>1</x:v>
      </x:c>
      <x:c r="R103" s="15" t="n">
        <x:f>'기준스탯 72종'!D11*G103</x:f>
        <x:v>3.3599999999999994</x:v>
      </x:c>
      <x:c r="S103" s="15" t="n">
        <x:f>'기준스탯 72종'!E11*G103</x:f>
        <x:v>5.039999999999999</x:v>
      </x:c>
      <x:c r="T103" s="15" t="n">
        <x:f>'기준스탯 72종'!F11*G103</x:f>
        <x:v>4.4799999999999995</x:v>
      </x:c>
      <x:c r="U103" s="15" t="n">
        <x:f>'기준스탯 72종'!G11*G103</x:f>
        <x:v>3.9199999999999995</x:v>
      </x:c>
      <x:c r="V103" s="15" t="n">
        <x:f>'기준스탯 72종'!H11*G103</x:f>
        <x:v>2.2399999999999998</x:v>
      </x:c>
      <x:c r="W103" s="15" t="n">
        <x:f>'기준스탯 72종'!I11*G103</x:f>
        <x:v>2.8</x:v>
      </x:c>
      <x:c r="X103" s="15" t="n">
        <x:f>'기준스탯 72종'!J11*G103</x:f>
        <x:v>2.2399999999999998</x:v>
      </x:c>
      <x:c r="Y103" s="15" t="n">
        <x:f>'기준스탯 72종'!K11*G103</x:f>
        <x:v>1.6799999999999997</x:v>
      </x:c>
      <x:c r="Z103" s="15" t="n">
        <x:f>'기준스탯 72종'!D11*H103</x:f>
        <x:v>0</x:v>
      </x:c>
      <x:c r="AA103" s="15" t="n">
        <x:f>'기준스탯 72종'!E11*H103</x:f>
        <x:v>0</x:v>
      </x:c>
      <x:c r="AB103" s="15" t="n">
        <x:f>'기준스탯 72종'!F11*H103</x:f>
        <x:v>0</x:v>
      </x:c>
      <x:c r="AC103" s="15" t="n">
        <x:f>'기준스탯 72종'!G11*H103</x:f>
        <x:v>0</x:v>
      </x:c>
      <x:c r="AD103" s="15" t="n">
        <x:f>'기준스탯 72종'!H11*H103</x:f>
        <x:v>0</x:v>
      </x:c>
      <x:c r="AE103" s="15" t="n">
        <x:f>'기준스탯 72종'!I11*H103</x:f>
        <x:v>0</x:v>
      </x:c>
      <x:c r="AF103" s="15" t="n">
        <x:f>'기준스탯 72종'!J11*H103</x:f>
        <x:v>0</x:v>
      </x:c>
      <x:c r="AG103" s="15" t="n">
        <x:f>'기준스탯 72종'!K11*H103</x:f>
        <x:v>0</x:v>
      </x:c>
    </x:row>
    <x:row r="104" ht="28" customHeight="1">
      <x:c r="A104" s="2" t="n">
        <x:v>97</x:v>
      </x:c>
      <x:c r="B104" s="2" t="n">
        <x:v>4</x:v>
      </x:c>
      <x:c r="C104" s="2" t="str">
        <x:v>양자리</x:v>
      </x:c>
      <x:c r="D104" s="2" t="str">
        <x:v>정령사</x:v>
      </x:c>
      <x:c r="E104" s="2" t="n">
        <x:v>2</x:v>
      </x:c>
      <x:c r="F104" s="2" t="n">
        <x:v>5</x:v>
      </x:c>
      <x:c r="G104" s="14" t="n">
        <x:f>('레벨 계산식'!$E$4-E104)*'레벨 계산식'!$B$5</x:f>
        <x:v>0.41999999999999993</x:v>
      </x:c>
      <x:c r="H104" s="14" t="n">
        <x:f>('등급 계산식'!$E$4-F104)*'등급 계산식'!$B$5</x:f>
        <x:v>0</x:v>
      </x:c>
      <x:c r="I104" s="14" t="n">
        <x:f>1-G104-H104</x:f>
        <x:v>0.5800000000000001</x:v>
      </x:c>
      <x:c r="J104" s="2" t="n">
        <x:f>MAX(1,ROUND('기준스탯 72종'!D11-R104-Z104,0))</x:f>
        <x:v>3</x:v>
      </x:c>
      <x:c r="K104" s="2" t="n">
        <x:f>MAX(1,ROUND('기준스탯 72종'!E11-S104-AA104,0))</x:f>
        <x:v>5</x:v>
      </x:c>
      <x:c r="L104" s="2" t="n">
        <x:f>MAX(1,ROUND('기준스탯 72종'!F11-T104-AB104,0))</x:f>
        <x:v>5</x:v>
      </x:c>
      <x:c r="M104" s="2" t="n">
        <x:f>MAX(1,ROUND('기준스탯 72종'!G11-U104-AC104,0))</x:f>
        <x:v>4</x:v>
      </x:c>
      <x:c r="N104" s="2" t="n">
        <x:f>MAX(0,ROUND('기준스탯 72종'!H11-V104-AD104,0))</x:f>
        <x:v>2</x:v>
      </x:c>
      <x:c r="O104" s="2" t="n">
        <x:f>MAX(0,ROUND('기준스탯 72종'!I11-W104-AE104,0))</x:f>
        <x:v>3</x:v>
      </x:c>
      <x:c r="P104" s="2" t="n">
        <x:f>MAX(0,ROUND('기준스탯 72종'!J11-X104-AF104,0))</x:f>
        <x:v>2</x:v>
      </x:c>
      <x:c r="Q104" s="2" t="n">
        <x:f>MAX(0,ROUND('기준스탯 72종'!K11-Y104-AG104,0))</x:f>
        <x:v>2</x:v>
      </x:c>
      <x:c r="R104" s="15" t="n">
        <x:f>'기준스탯 72종'!D11*G104</x:f>
        <x:v>2.5199999999999996</x:v>
      </x:c>
      <x:c r="S104" s="15" t="n">
        <x:f>'기준스탯 72종'!E11*G104</x:f>
        <x:v>3.7799999999999994</x:v>
      </x:c>
      <x:c r="T104" s="15" t="n">
        <x:f>'기준스탯 72종'!F11*G104</x:f>
        <x:v>3.3599999999999994</x:v>
      </x:c>
      <x:c r="U104" s="15" t="n">
        <x:f>'기준스탯 72종'!G11*G104</x:f>
        <x:v>2.9399999999999995</x:v>
      </x:c>
      <x:c r="V104" s="15" t="n">
        <x:f>'기준스탯 72종'!H11*G104</x:f>
        <x:v>1.6799999999999997</x:v>
      </x:c>
      <x:c r="W104" s="15" t="n">
        <x:f>'기준스탯 72종'!I11*G104</x:f>
        <x:v>2.0999999999999996</x:v>
      </x:c>
      <x:c r="X104" s="15" t="n">
        <x:f>'기준스탯 72종'!J11*G104</x:f>
        <x:v>1.6799999999999997</x:v>
      </x:c>
      <x:c r="Y104" s="15" t="n">
        <x:f>'기준스탯 72종'!K11*G104</x:f>
        <x:v>1.2599999999999998</x:v>
      </x:c>
      <x:c r="Z104" s="15" t="n">
        <x:f>'기준스탯 72종'!D11*H104</x:f>
        <x:v>0</x:v>
      </x:c>
      <x:c r="AA104" s="15" t="n">
        <x:f>'기준스탯 72종'!E11*H104</x:f>
        <x:v>0</x:v>
      </x:c>
      <x:c r="AB104" s="15" t="n">
        <x:f>'기준스탯 72종'!F11*H104</x:f>
        <x:v>0</x:v>
      </x:c>
      <x:c r="AC104" s="15" t="n">
        <x:f>'기준스탯 72종'!G11*H104</x:f>
        <x:v>0</x:v>
      </x:c>
      <x:c r="AD104" s="15" t="n">
        <x:f>'기준스탯 72종'!H11*H104</x:f>
        <x:v>0</x:v>
      </x:c>
      <x:c r="AE104" s="15" t="n">
        <x:f>'기준스탯 72종'!I11*H104</x:f>
        <x:v>0</x:v>
      </x:c>
      <x:c r="AF104" s="15" t="n">
        <x:f>'기준스탯 72종'!J11*H104</x:f>
        <x:v>0</x:v>
      </x:c>
      <x:c r="AG104" s="15" t="n">
        <x:f>'기준스탯 72종'!K11*H104</x:f>
        <x:v>0</x:v>
      </x:c>
    </x:row>
    <x:row r="105" ht="28" customHeight="1">
      <x:c r="A105" s="2" t="n">
        <x:v>98</x:v>
      </x:c>
      <x:c r="B105" s="2" t="n">
        <x:v>4</x:v>
      </x:c>
      <x:c r="C105" s="2" t="str">
        <x:v>양자리</x:v>
      </x:c>
      <x:c r="D105" s="2" t="str">
        <x:v>정령사</x:v>
      </x:c>
      <x:c r="E105" s="2" t="n">
        <x:v>3</x:v>
      </x:c>
      <x:c r="F105" s="2" t="n">
        <x:v>5</x:v>
      </x:c>
      <x:c r="G105" s="14" t="n">
        <x:f>('레벨 계산식'!$E$4-E105)*'레벨 계산식'!$B$5</x:f>
        <x:v>0.27999999999999997</x:v>
      </x:c>
      <x:c r="H105" s="14" t="n">
        <x:f>('등급 계산식'!$E$4-F105)*'등급 계산식'!$B$5</x:f>
        <x:v>0</x:v>
      </x:c>
      <x:c r="I105" s="14" t="n">
        <x:f>1-G105-H105</x:f>
        <x:v>0.72</x:v>
      </x:c>
      <x:c r="J105" s="2" t="n">
        <x:f>MAX(1,ROUND('기준스탯 72종'!D11-R105-Z105,0))</x:f>
        <x:v>4</x:v>
      </x:c>
      <x:c r="K105" s="2" t="n">
        <x:f>MAX(1,ROUND('기준스탯 72종'!E11-S105-AA105,0))</x:f>
        <x:v>6</x:v>
      </x:c>
      <x:c r="L105" s="2" t="n">
        <x:f>MAX(1,ROUND('기준스탯 72종'!F11-T105-AB105,0))</x:f>
        <x:v>6</x:v>
      </x:c>
      <x:c r="M105" s="2" t="n">
        <x:f>MAX(1,ROUND('기준스탯 72종'!G11-U105-AC105,0))</x:f>
        <x:v>5</x:v>
      </x:c>
      <x:c r="N105" s="2" t="n">
        <x:f>MAX(0,ROUND('기준스탯 72종'!H11-V105-AD105,0))</x:f>
        <x:v>3</x:v>
      </x:c>
      <x:c r="O105" s="2" t="n">
        <x:f>MAX(0,ROUND('기준스탯 72종'!I11-W105-AE105,0))</x:f>
        <x:v>4</x:v>
      </x:c>
      <x:c r="P105" s="2" t="n">
        <x:f>MAX(0,ROUND('기준스탯 72종'!J11-X105-AF105,0))</x:f>
        <x:v>3</x:v>
      </x:c>
      <x:c r="Q105" s="2" t="n">
        <x:f>MAX(0,ROUND('기준스탯 72종'!K11-Y105-AG105,0))</x:f>
        <x:v>2</x:v>
      </x:c>
      <x:c r="R105" s="15" t="n">
        <x:f>'기준스탯 72종'!D11*G105</x:f>
        <x:v>1.6799999999999997</x:v>
      </x:c>
      <x:c r="S105" s="15" t="n">
        <x:f>'기준스탯 72종'!E11*G105</x:f>
        <x:v>2.5199999999999996</x:v>
      </x:c>
      <x:c r="T105" s="15" t="n">
        <x:f>'기준스탯 72종'!F11*G105</x:f>
        <x:v>2.2399999999999998</x:v>
      </x:c>
      <x:c r="U105" s="15" t="n">
        <x:f>'기준스탯 72종'!G11*G105</x:f>
        <x:v>1.9599999999999997</x:v>
      </x:c>
      <x:c r="V105" s="15" t="n">
        <x:f>'기준스탯 72종'!H11*G105</x:f>
        <x:v>1.1199999999999999</x:v>
      </x:c>
      <x:c r="W105" s="15" t="n">
        <x:f>'기준스탯 72종'!I11*G105</x:f>
        <x:v>1.4</x:v>
      </x:c>
      <x:c r="X105" s="15" t="n">
        <x:f>'기준스탯 72종'!J11*G105</x:f>
        <x:v>1.1199999999999999</x:v>
      </x:c>
      <x:c r="Y105" s="15" t="n">
        <x:f>'기준스탯 72종'!K11*G105</x:f>
        <x:v>0.8399999999999999</x:v>
      </x:c>
      <x:c r="Z105" s="15" t="n">
        <x:f>'기준스탯 72종'!D11*H105</x:f>
        <x:v>0</x:v>
      </x:c>
      <x:c r="AA105" s="15" t="n">
        <x:f>'기준스탯 72종'!E11*H105</x:f>
        <x:v>0</x:v>
      </x:c>
      <x:c r="AB105" s="15" t="n">
        <x:f>'기준스탯 72종'!F11*H105</x:f>
        <x:v>0</x:v>
      </x:c>
      <x:c r="AC105" s="15" t="n">
        <x:f>'기준스탯 72종'!G11*H105</x:f>
        <x:v>0</x:v>
      </x:c>
      <x:c r="AD105" s="15" t="n">
        <x:f>'기준스탯 72종'!H11*H105</x:f>
        <x:v>0</x:v>
      </x:c>
      <x:c r="AE105" s="15" t="n">
        <x:f>'기준스탯 72종'!I11*H105</x:f>
        <x:v>0</x:v>
      </x:c>
      <x:c r="AF105" s="15" t="n">
        <x:f>'기준스탯 72종'!J11*H105</x:f>
        <x:v>0</x:v>
      </x:c>
      <x:c r="AG105" s="15" t="n">
        <x:f>'기준스탯 72종'!K11*H105</x:f>
        <x:v>0</x:v>
      </x:c>
    </x:row>
    <x:row r="106" ht="28" customHeight="1">
      <x:c r="A106" s="2" t="n">
        <x:v>99</x:v>
      </x:c>
      <x:c r="B106" s="2" t="n">
        <x:v>4</x:v>
      </x:c>
      <x:c r="C106" s="2" t="str">
        <x:v>양자리</x:v>
      </x:c>
      <x:c r="D106" s="2" t="str">
        <x:v>정령사</x:v>
      </x:c>
      <x:c r="E106" s="2" t="n">
        <x:v>4</x:v>
      </x:c>
      <x:c r="F106" s="2" t="n">
        <x:v>5</x:v>
      </x:c>
      <x:c r="G106" s="14" t="n">
        <x:f>('레벨 계산식'!$E$4-E106)*'레벨 계산식'!$B$5</x:f>
        <x:v>0.13999999999999999</x:v>
      </x:c>
      <x:c r="H106" s="14" t="n">
        <x:f>('등급 계산식'!$E$4-F106)*'등급 계산식'!$B$5</x:f>
        <x:v>0</x:v>
      </x:c>
      <x:c r="I106" s="14" t="n">
        <x:f>1-G106-H106</x:f>
        <x:v>0.86</x:v>
      </x:c>
      <x:c r="J106" s="2" t="n">
        <x:f>MAX(1,ROUND('기준스탯 72종'!D11-R106-Z106,0))</x:f>
        <x:v>5</x:v>
      </x:c>
      <x:c r="K106" s="2" t="n">
        <x:f>MAX(1,ROUND('기준스탯 72종'!E11-S106-AA106,0))</x:f>
        <x:v>8</x:v>
      </x:c>
      <x:c r="L106" s="2" t="n">
        <x:f>MAX(1,ROUND('기준스탯 72종'!F11-T106-AB106,0))</x:f>
        <x:v>7</x:v>
      </x:c>
      <x:c r="M106" s="2" t="n">
        <x:f>MAX(1,ROUND('기준스탯 72종'!G11-U106-AC106,0))</x:f>
        <x:v>6</x:v>
      </x:c>
      <x:c r="N106" s="2" t="n">
        <x:f>MAX(0,ROUND('기준스탯 72종'!H11-V106-AD106,0))</x:f>
        <x:v>3</x:v>
      </x:c>
      <x:c r="O106" s="2" t="n">
        <x:f>MAX(0,ROUND('기준스탯 72종'!I11-W106-AE106,0))</x:f>
        <x:v>4</x:v>
      </x:c>
      <x:c r="P106" s="2" t="n">
        <x:f>MAX(0,ROUND('기준스탯 72종'!J11-X106-AF106,0))</x:f>
        <x:v>3</x:v>
      </x:c>
      <x:c r="Q106" s="2" t="n">
        <x:f>MAX(0,ROUND('기준스탯 72종'!K11-Y106-AG106,0))</x:f>
        <x:v>3</x:v>
      </x:c>
      <x:c r="R106" s="15" t="n">
        <x:f>'기준스탯 72종'!D11*G106</x:f>
        <x:v>0.8399999999999999</x:v>
      </x:c>
      <x:c r="S106" s="15" t="n">
        <x:f>'기준스탯 72종'!E11*G106</x:f>
        <x:v>1.2599999999999998</x:v>
      </x:c>
      <x:c r="T106" s="15" t="n">
        <x:f>'기준스탯 72종'!F11*G106</x:f>
        <x:v>1.1199999999999999</x:v>
      </x:c>
      <x:c r="U106" s="15" t="n">
        <x:f>'기준스탯 72종'!G11*G106</x:f>
        <x:v>0.9799999999999999</x:v>
      </x:c>
      <x:c r="V106" s="15" t="n">
        <x:f>'기준스탯 72종'!H11*G106</x:f>
        <x:v>0.5599999999999999</x:v>
      </x:c>
      <x:c r="W106" s="15" t="n">
        <x:f>'기준스탯 72종'!I11*G106</x:f>
        <x:v>0.7</x:v>
      </x:c>
      <x:c r="X106" s="15" t="n">
        <x:f>'기준스탯 72종'!J11*G106</x:f>
        <x:v>0.5599999999999999</x:v>
      </x:c>
      <x:c r="Y106" s="15" t="n">
        <x:f>'기준스탯 72종'!K11*G106</x:f>
        <x:v>0.41999999999999993</x:v>
      </x:c>
      <x:c r="Z106" s="15" t="n">
        <x:f>'기준스탯 72종'!D11*H106</x:f>
        <x:v>0</x:v>
      </x:c>
      <x:c r="AA106" s="15" t="n">
        <x:f>'기준스탯 72종'!E11*H106</x:f>
        <x:v>0</x:v>
      </x:c>
      <x:c r="AB106" s="15" t="n">
        <x:f>'기준스탯 72종'!F11*H106</x:f>
        <x:v>0</x:v>
      </x:c>
      <x:c r="AC106" s="15" t="n">
        <x:f>'기준스탯 72종'!G11*H106</x:f>
        <x:v>0</x:v>
      </x:c>
      <x:c r="AD106" s="15" t="n">
        <x:f>'기준스탯 72종'!H11*H106</x:f>
        <x:v>0</x:v>
      </x:c>
      <x:c r="AE106" s="15" t="n">
        <x:f>'기준스탯 72종'!I11*H106</x:f>
        <x:v>0</x:v>
      </x:c>
      <x:c r="AF106" s="15" t="n">
        <x:f>'기준스탯 72종'!J11*H106</x:f>
        <x:v>0</x:v>
      </x:c>
      <x:c r="AG106" s="15" t="n">
        <x:f>'기준스탯 72종'!K11*H106</x:f>
        <x:v>0</x:v>
      </x:c>
    </x:row>
    <x:row r="107" ht="28" customHeight="1">
      <x:c r="A107" s="2" t="n">
        <x:v>100</x:v>
      </x:c>
      <x:c r="B107" s="2" t="n">
        <x:v>4</x:v>
      </x:c>
      <x:c r="C107" s="2" t="str">
        <x:v>양자리</x:v>
      </x:c>
      <x:c r="D107" s="2" t="str">
        <x:v>정령사</x:v>
      </x:c>
      <x:c r="E107" s="2" t="n">
        <x:v>5</x:v>
      </x:c>
      <x:c r="F107" s="2" t="n">
        <x:v>5</x:v>
      </x:c>
      <x:c r="G107" s="14" t="n">
        <x:f>('레벨 계산식'!$E$4-E107)*'레벨 계산식'!$B$5</x:f>
        <x:v>0</x:v>
      </x:c>
      <x:c r="H107" s="14" t="n">
        <x:f>('등급 계산식'!$E$4-F107)*'등급 계산식'!$B$5</x:f>
        <x:v>0</x:v>
      </x:c>
      <x:c r="I107" s="14" t="n">
        <x:f>1-G107-H107</x:f>
        <x:v>1</x:v>
      </x:c>
      <x:c r="J107" s="2" t="n">
        <x:f>MAX(1,ROUND('기준스탯 72종'!D11-R107-Z107,0))</x:f>
        <x:v>6</x:v>
      </x:c>
      <x:c r="K107" s="2" t="n">
        <x:f>MAX(1,ROUND('기준스탯 72종'!E11-S107-AA107,0))</x:f>
        <x:v>9</x:v>
      </x:c>
      <x:c r="L107" s="2" t="n">
        <x:f>MAX(1,ROUND('기준스탯 72종'!F11-T107-AB107,0))</x:f>
        <x:v>8</x:v>
      </x:c>
      <x:c r="M107" s="2" t="n">
        <x:f>MAX(1,ROUND('기준스탯 72종'!G11-U107-AC107,0))</x:f>
        <x:v>7</x:v>
      </x:c>
      <x:c r="N107" s="2" t="n">
        <x:f>MAX(0,ROUND('기준스탯 72종'!H11-V107-AD107,0))</x:f>
        <x:v>4</x:v>
      </x:c>
      <x:c r="O107" s="2" t="n">
        <x:f>MAX(0,ROUND('기준스탯 72종'!I11-W107-AE107,0))</x:f>
        <x:v>5</x:v>
      </x:c>
      <x:c r="P107" s="2" t="n">
        <x:f>MAX(0,ROUND('기준스탯 72종'!J11-X107-AF107,0))</x:f>
        <x:v>4</x:v>
      </x:c>
      <x:c r="Q107" s="2" t="n">
        <x:f>MAX(0,ROUND('기준스탯 72종'!K11-Y107-AG107,0))</x:f>
        <x:v>3</x:v>
      </x:c>
      <x:c r="R107" s="15" t="n">
        <x:f>'기준스탯 72종'!D11*G107</x:f>
        <x:v>0</x:v>
      </x:c>
      <x:c r="S107" s="15" t="n">
        <x:f>'기준스탯 72종'!E11*G107</x:f>
        <x:v>0</x:v>
      </x:c>
      <x:c r="T107" s="15" t="n">
        <x:f>'기준스탯 72종'!F11*G107</x:f>
        <x:v>0</x:v>
      </x:c>
      <x:c r="U107" s="15" t="n">
        <x:f>'기준스탯 72종'!G11*G107</x:f>
        <x:v>0</x:v>
      </x:c>
      <x:c r="V107" s="15" t="n">
        <x:f>'기준스탯 72종'!H11*G107</x:f>
        <x:v>0</x:v>
      </x:c>
      <x:c r="W107" s="15" t="n">
        <x:f>'기준스탯 72종'!I11*G107</x:f>
        <x:v>0</x:v>
      </x:c>
      <x:c r="X107" s="15" t="n">
        <x:f>'기준스탯 72종'!J11*G107</x:f>
        <x:v>0</x:v>
      </x:c>
      <x:c r="Y107" s="15" t="n">
        <x:f>'기준스탯 72종'!K11*G107</x:f>
        <x:v>0</x:v>
      </x:c>
      <x:c r="Z107" s="15" t="n">
        <x:f>'기준스탯 72종'!D11*H107</x:f>
        <x:v>0</x:v>
      </x:c>
      <x:c r="AA107" s="15" t="n">
        <x:f>'기준스탯 72종'!E11*H107</x:f>
        <x:v>0</x:v>
      </x:c>
      <x:c r="AB107" s="15" t="n">
        <x:f>'기준스탯 72종'!F11*H107</x:f>
        <x:v>0</x:v>
      </x:c>
      <x:c r="AC107" s="15" t="n">
        <x:f>'기준스탯 72종'!G11*H107</x:f>
        <x:v>0</x:v>
      </x:c>
      <x:c r="AD107" s="15" t="n">
        <x:f>'기준스탯 72종'!H11*H107</x:f>
        <x:v>0</x:v>
      </x:c>
      <x:c r="AE107" s="15" t="n">
        <x:f>'기준스탯 72종'!I11*H107</x:f>
        <x:v>0</x:v>
      </x:c>
      <x:c r="AF107" s="15" t="n">
        <x:f>'기준스탯 72종'!J11*H107</x:f>
        <x:v>0</x:v>
      </x:c>
      <x:c r="AG107" s="15" t="n">
        <x:f>'기준스탯 72종'!K11*H107</x:f>
        <x:v>0</x:v>
      </x:c>
    </x:row>
    <x:row r="108" ht="28" customHeight="1">
      <x:c r="A108" s="2" t="n">
        <x:v>101</x:v>
      </x:c>
      <x:c r="B108" s="2" t="n">
        <x:v>5</x:v>
      </x:c>
      <x:c r="C108" s="2" t="str">
        <x:v>양자리</x:v>
      </x:c>
      <x:c r="D108" s="2" t="str">
        <x:v>도적</x:v>
      </x:c>
      <x:c r="E108" s="2" t="n">
        <x:v>1</x:v>
      </x:c>
      <x:c r="F108" s="2" t="n">
        <x:v>1</x:v>
      </x:c>
      <x:c r="G108" s="14" t="n">
        <x:f>('레벨 계산식'!$E$4-E108)*'레벨 계산식'!$B$5</x:f>
        <x:v>0.5599999999999999</x:v>
      </x:c>
      <x:c r="H108" s="14" t="n">
        <x:f>('등급 계산식'!$E$4-F108)*'등급 계산식'!$B$5</x:f>
        <x:v>0.24000000000000005</x:v>
      </x:c>
      <x:c r="I108" s="14" t="n">
        <x:f>1-G108-H108</x:f>
        <x:v>0.2</x:v>
      </x:c>
      <x:c r="J108" s="2" t="n">
        <x:f>MAX(1,ROUND('기준스탯 72종'!D12-R108-Z108,0))</x:f>
        <x:v>2</x:v>
      </x:c>
      <x:c r="K108" s="2" t="n">
        <x:f>MAX(1,ROUND('기준스탯 72종'!E12-S108-AA108,0))</x:f>
        <x:v>1</x:v>
      </x:c>
      <x:c r="L108" s="2" t="n">
        <x:f>MAX(1,ROUND('기준스탯 72종'!F12-T108-AB108,0))</x:f>
        <x:v>1</x:v>
      </x:c>
      <x:c r="M108" s="2" t="n">
        <x:f>MAX(1,ROUND('기준스탯 72종'!G12-U108-AC108,0))</x:f>
        <x:v>2</x:v>
      </x:c>
      <x:c r="N108" s="2" t="n">
        <x:f>MAX(0,ROUND('기준스탯 72종'!H12-V108-AD108,0))</x:f>
        <x:v>1</x:v>
      </x:c>
      <x:c r="O108" s="2" t="n">
        <x:f>MAX(0,ROUND('기준스탯 72종'!I12-W108-AE108,0))</x:f>
        <x:v>1</x:v>
      </x:c>
      <x:c r="P108" s="2" t="n">
        <x:f>MAX(0,ROUND('기준스탯 72종'!J12-X108-AF108,0))</x:f>
        <x:v>0</x:v>
      </x:c>
      <x:c r="Q108" s="2" t="n">
        <x:f>MAX(0,ROUND('기준스탯 72종'!K12-Y108-AG108,0))</x:f>
        <x:v>0</x:v>
      </x:c>
      <x:c r="R108" s="15" t="n">
        <x:f>'기준스탯 72종'!D12*G108</x:f>
        <x:v>5.039999999999999</x:v>
      </x:c>
      <x:c r="S108" s="15" t="n">
        <x:f>'기준스탯 72종'!E12*G108</x:f>
        <x:v>3.9199999999999995</x:v>
      </x:c>
      <x:c r="T108" s="15" t="n">
        <x:f>'기준스탯 72종'!F12*G108</x:f>
        <x:v>3.3599999999999994</x:v>
      </x:c>
      <x:c r="U108" s="15" t="n">
        <x:f>'기준스탯 72종'!G12*G108</x:f>
        <x:v>4.4799999999999995</x:v>
      </x:c>
      <x:c r="V108" s="15" t="n">
        <x:f>'기준스탯 72종'!H12*G108</x:f>
        <x:v>3.3599999999999994</x:v>
      </x:c>
      <x:c r="W108" s="15" t="n">
        <x:f>'기준스탯 72종'!I12*G108</x:f>
        <x:v>3.9199999999999995</x:v>
      </x:c>
      <x:c r="X108" s="15" t="n">
        <x:f>'기준스탯 72종'!J12*G108</x:f>
        <x:v>1.1199999999999999</x:v>
      </x:c>
      <x:c r="Y108" s="15" t="n">
        <x:f>'기준스탯 72종'!K12*G108</x:f>
        <x:v>0.5599999999999999</x:v>
      </x:c>
      <x:c r="Z108" s="15" t="n">
        <x:f>'기준스탯 72종'!D12*H108</x:f>
        <x:v>2.1600000000000006</x:v>
      </x:c>
      <x:c r="AA108" s="15" t="n">
        <x:f>'기준스탯 72종'!E12*H108</x:f>
        <x:v>1.6800000000000004</x:v>
      </x:c>
      <x:c r="AB108" s="15" t="n">
        <x:f>'기준스탯 72종'!F12*H108</x:f>
        <x:v>1.4400000000000004</x:v>
      </x:c>
      <x:c r="AC108" s="15" t="n">
        <x:f>'기준스탯 72종'!G12*H108</x:f>
        <x:v>1.9200000000000004</x:v>
      </x:c>
      <x:c r="AD108" s="15" t="n">
        <x:f>'기준스탯 72종'!H12*H108</x:f>
        <x:v>1.4400000000000004</x:v>
      </x:c>
      <x:c r="AE108" s="15" t="n">
        <x:f>'기준스탯 72종'!I12*H108</x:f>
        <x:v>1.6800000000000004</x:v>
      </x:c>
      <x:c r="AF108" s="15" t="n">
        <x:f>'기준스탯 72종'!J12*H108</x:f>
        <x:v>0.4800000000000001</x:v>
      </x:c>
      <x:c r="AG108" s="15" t="n">
        <x:f>'기준스탯 72종'!K12*H108</x:f>
        <x:v>0.24000000000000005</x:v>
      </x:c>
    </x:row>
    <x:row r="109" ht="28" customHeight="1">
      <x:c r="A109" s="2" t="n">
        <x:v>102</x:v>
      </x:c>
      <x:c r="B109" s="2" t="n">
        <x:v>5</x:v>
      </x:c>
      <x:c r="C109" s="2" t="str">
        <x:v>양자리</x:v>
      </x:c>
      <x:c r="D109" s="2" t="str">
        <x:v>도적</x:v>
      </x:c>
      <x:c r="E109" s="2" t="n">
        <x:v>2</x:v>
      </x:c>
      <x:c r="F109" s="2" t="n">
        <x:v>1</x:v>
      </x:c>
      <x:c r="G109" s="14" t="n">
        <x:f>('레벨 계산식'!$E$4-E109)*'레벨 계산식'!$B$5</x:f>
        <x:v>0.41999999999999993</x:v>
      </x:c>
      <x:c r="H109" s="14" t="n">
        <x:f>('등급 계산식'!$E$4-F109)*'등급 계산식'!$B$5</x:f>
        <x:v>0.24000000000000005</x:v>
      </x:c>
      <x:c r="I109" s="14" t="n">
        <x:f>1-G109-H109</x:f>
        <x:v>0.34</x:v>
      </x:c>
      <x:c r="J109" s="2" t="n">
        <x:f>MAX(1,ROUND('기준스탯 72종'!D12-R109-Z109,0))</x:f>
        <x:v>3</x:v>
      </x:c>
      <x:c r="K109" s="2" t="n">
        <x:f>MAX(1,ROUND('기준스탯 72종'!E12-S109-AA109,0))</x:f>
        <x:v>2</x:v>
      </x:c>
      <x:c r="L109" s="2" t="n">
        <x:f>MAX(1,ROUND('기준스탯 72종'!F12-T109-AB109,0))</x:f>
        <x:v>2</x:v>
      </x:c>
      <x:c r="M109" s="2" t="n">
        <x:f>MAX(1,ROUND('기준스탯 72종'!G12-U109-AC109,0))</x:f>
        <x:v>3</x:v>
      </x:c>
      <x:c r="N109" s="2" t="n">
        <x:f>MAX(0,ROUND('기준스탯 72종'!H12-V109-AD109,0))</x:f>
        <x:v>2</x:v>
      </x:c>
      <x:c r="O109" s="2" t="n">
        <x:f>MAX(0,ROUND('기준스탯 72종'!I12-W109-AE109,0))</x:f>
        <x:v>2</x:v>
      </x:c>
      <x:c r="P109" s="2" t="n">
        <x:f>MAX(0,ROUND('기준스탯 72종'!J12-X109-AF109,0))</x:f>
        <x:v>1</x:v>
      </x:c>
      <x:c r="Q109" s="2" t="n">
        <x:f>MAX(0,ROUND('기준스탯 72종'!K12-Y109-AG109,0))</x:f>
        <x:v>0</x:v>
      </x:c>
      <x:c r="R109" s="15" t="n">
        <x:f>'기준스탯 72종'!D12*G109</x:f>
        <x:v>3.7799999999999994</x:v>
      </x:c>
      <x:c r="S109" s="15" t="n">
        <x:f>'기준스탯 72종'!E12*G109</x:f>
        <x:v>2.9399999999999995</x:v>
      </x:c>
      <x:c r="T109" s="15" t="n">
        <x:f>'기준스탯 72종'!F12*G109</x:f>
        <x:v>2.5199999999999996</x:v>
      </x:c>
      <x:c r="U109" s="15" t="n">
        <x:f>'기준스탯 72종'!G12*G109</x:f>
        <x:v>3.3599999999999994</x:v>
      </x:c>
      <x:c r="V109" s="15" t="n">
        <x:f>'기준스탯 72종'!H12*G109</x:f>
        <x:v>2.5199999999999996</x:v>
      </x:c>
      <x:c r="W109" s="15" t="n">
        <x:f>'기준스탯 72종'!I12*G109</x:f>
        <x:v>2.9399999999999995</x:v>
      </x:c>
      <x:c r="X109" s="15" t="n">
        <x:f>'기준스탯 72종'!J12*G109</x:f>
        <x:v>0.8399999999999999</x:v>
      </x:c>
      <x:c r="Y109" s="15" t="n">
        <x:f>'기준스탯 72종'!K12*G109</x:f>
        <x:v>0.41999999999999993</x:v>
      </x:c>
      <x:c r="Z109" s="15" t="n">
        <x:f>'기준스탯 72종'!D12*H109</x:f>
        <x:v>2.1600000000000006</x:v>
      </x:c>
      <x:c r="AA109" s="15" t="n">
        <x:f>'기준스탯 72종'!E12*H109</x:f>
        <x:v>1.6800000000000004</x:v>
      </x:c>
      <x:c r="AB109" s="15" t="n">
        <x:f>'기준스탯 72종'!F12*H109</x:f>
        <x:v>1.4400000000000004</x:v>
      </x:c>
      <x:c r="AC109" s="15" t="n">
        <x:f>'기준스탯 72종'!G12*H109</x:f>
        <x:v>1.9200000000000004</x:v>
      </x:c>
      <x:c r="AD109" s="15" t="n">
        <x:f>'기준스탯 72종'!H12*H109</x:f>
        <x:v>1.4400000000000004</x:v>
      </x:c>
      <x:c r="AE109" s="15" t="n">
        <x:f>'기준스탯 72종'!I12*H109</x:f>
        <x:v>1.6800000000000004</x:v>
      </x:c>
      <x:c r="AF109" s="15" t="n">
        <x:f>'기준스탯 72종'!J12*H109</x:f>
        <x:v>0.4800000000000001</x:v>
      </x:c>
      <x:c r="AG109" s="15" t="n">
        <x:f>'기준스탯 72종'!K12*H109</x:f>
        <x:v>0.24000000000000005</x:v>
      </x:c>
    </x:row>
    <x:row r="110" ht="28" customHeight="1">
      <x:c r="A110" s="2" t="n">
        <x:v>103</x:v>
      </x:c>
      <x:c r="B110" s="2" t="n">
        <x:v>5</x:v>
      </x:c>
      <x:c r="C110" s="2" t="str">
        <x:v>양자리</x:v>
      </x:c>
      <x:c r="D110" s="2" t="str">
        <x:v>도적</x:v>
      </x:c>
      <x:c r="E110" s="2" t="n">
        <x:v>3</x:v>
      </x:c>
      <x:c r="F110" s="2" t="n">
        <x:v>1</x:v>
      </x:c>
      <x:c r="G110" s="14" t="n">
        <x:f>('레벨 계산식'!$E$4-E110)*'레벨 계산식'!$B$5</x:f>
        <x:v>0.27999999999999997</x:v>
      </x:c>
      <x:c r="H110" s="14" t="n">
        <x:f>('등급 계산식'!$E$4-F110)*'등급 계산식'!$B$5</x:f>
        <x:v>0.24000000000000005</x:v>
      </x:c>
      <x:c r="I110" s="14" t="n">
        <x:f>1-G110-H110</x:f>
        <x:v>0.4799999999999999</x:v>
      </x:c>
      <x:c r="J110" s="2" t="n">
        <x:f>MAX(1,ROUND('기준스탯 72종'!D12-R110-Z110,0))</x:f>
        <x:v>4</x:v>
      </x:c>
      <x:c r="K110" s="2" t="n">
        <x:f>MAX(1,ROUND('기준스탯 72종'!E12-S110-AA110,0))</x:f>
        <x:v>3</x:v>
      </x:c>
      <x:c r="L110" s="2" t="n">
        <x:f>MAX(1,ROUND('기준스탯 72종'!F12-T110-AB110,0))</x:f>
        <x:v>3</x:v>
      </x:c>
      <x:c r="M110" s="2" t="n">
        <x:f>MAX(1,ROUND('기준스탯 72종'!G12-U110-AC110,0))</x:f>
        <x:v>4</x:v>
      </x:c>
      <x:c r="N110" s="2" t="n">
        <x:f>MAX(0,ROUND('기준스탯 72종'!H12-V110-AD110,0))</x:f>
        <x:v>3</x:v>
      </x:c>
      <x:c r="O110" s="2" t="n">
        <x:f>MAX(0,ROUND('기준스탯 72종'!I12-W110-AE110,0))</x:f>
        <x:v>3</x:v>
      </x:c>
      <x:c r="P110" s="2" t="n">
        <x:f>MAX(0,ROUND('기준스탯 72종'!J12-X110-AF110,0))</x:f>
        <x:v>1</x:v>
      </x:c>
      <x:c r="Q110" s="2" t="n">
        <x:f>MAX(0,ROUND('기준스탯 72종'!K12-Y110-AG110,0))</x:f>
        <x:v>0</x:v>
      </x:c>
      <x:c r="R110" s="15" t="n">
        <x:f>'기준스탯 72종'!D12*G110</x:f>
        <x:v>2.5199999999999996</x:v>
      </x:c>
      <x:c r="S110" s="15" t="n">
        <x:f>'기준스탯 72종'!E12*G110</x:f>
        <x:v>1.9599999999999997</x:v>
      </x:c>
      <x:c r="T110" s="15" t="n">
        <x:f>'기준스탯 72종'!F12*G110</x:f>
        <x:v>1.6799999999999997</x:v>
      </x:c>
      <x:c r="U110" s="15" t="n">
        <x:f>'기준스탯 72종'!G12*G110</x:f>
        <x:v>2.2399999999999998</x:v>
      </x:c>
      <x:c r="V110" s="15" t="n">
        <x:f>'기준스탯 72종'!H12*G110</x:f>
        <x:v>1.6799999999999997</x:v>
      </x:c>
      <x:c r="W110" s="15" t="n">
        <x:f>'기준스탯 72종'!I12*G110</x:f>
        <x:v>1.9599999999999997</x:v>
      </x:c>
      <x:c r="X110" s="15" t="n">
        <x:f>'기준스탯 72종'!J12*G110</x:f>
        <x:v>0.5599999999999999</x:v>
      </x:c>
      <x:c r="Y110" s="15" t="n">
        <x:f>'기준스탯 72종'!K12*G110</x:f>
        <x:v>0.27999999999999997</x:v>
      </x:c>
      <x:c r="Z110" s="15" t="n">
        <x:f>'기준스탯 72종'!D12*H110</x:f>
        <x:v>2.1600000000000006</x:v>
      </x:c>
      <x:c r="AA110" s="15" t="n">
        <x:f>'기준스탯 72종'!E12*H110</x:f>
        <x:v>1.6800000000000004</x:v>
      </x:c>
      <x:c r="AB110" s="15" t="n">
        <x:f>'기준스탯 72종'!F12*H110</x:f>
        <x:v>1.4400000000000004</x:v>
      </x:c>
      <x:c r="AC110" s="15" t="n">
        <x:f>'기준스탯 72종'!G12*H110</x:f>
        <x:v>1.9200000000000004</x:v>
      </x:c>
      <x:c r="AD110" s="15" t="n">
        <x:f>'기준스탯 72종'!H12*H110</x:f>
        <x:v>1.4400000000000004</x:v>
      </x:c>
      <x:c r="AE110" s="15" t="n">
        <x:f>'기준스탯 72종'!I12*H110</x:f>
        <x:v>1.6800000000000004</x:v>
      </x:c>
      <x:c r="AF110" s="15" t="n">
        <x:f>'기준스탯 72종'!J12*H110</x:f>
        <x:v>0.4800000000000001</x:v>
      </x:c>
      <x:c r="AG110" s="15" t="n">
        <x:f>'기준스탯 72종'!K12*H110</x:f>
        <x:v>0.24000000000000005</x:v>
      </x:c>
    </x:row>
    <x:row r="111" ht="28" customHeight="1">
      <x:c r="A111" s="2" t="n">
        <x:v>104</x:v>
      </x:c>
      <x:c r="B111" s="2" t="n">
        <x:v>5</x:v>
      </x:c>
      <x:c r="C111" s="2" t="str">
        <x:v>양자리</x:v>
      </x:c>
      <x:c r="D111" s="2" t="str">
        <x:v>도적</x:v>
      </x:c>
      <x:c r="E111" s="2" t="n">
        <x:v>4</x:v>
      </x:c>
      <x:c r="F111" s="2" t="n">
        <x:v>1</x:v>
      </x:c>
      <x:c r="G111" s="14" t="n">
        <x:f>('레벨 계산식'!$E$4-E111)*'레벨 계산식'!$B$5</x:f>
        <x:v>0.13999999999999999</x:v>
      </x:c>
      <x:c r="H111" s="14" t="n">
        <x:f>('등급 계산식'!$E$4-F111)*'등급 계산식'!$B$5</x:f>
        <x:v>0.24000000000000005</x:v>
      </x:c>
      <x:c r="I111" s="14" t="n">
        <x:f>1-G111-H111</x:f>
        <x:v>0.6199999999999999</x:v>
      </x:c>
      <x:c r="J111" s="2" t="n">
        <x:f>MAX(1,ROUND('기준스탯 72종'!D12-R111-Z111,0))</x:f>
        <x:v>6</x:v>
      </x:c>
      <x:c r="K111" s="2" t="n">
        <x:f>MAX(1,ROUND('기준스탯 72종'!E12-S111-AA111,0))</x:f>
        <x:v>4</x:v>
      </x:c>
      <x:c r="L111" s="2" t="n">
        <x:f>MAX(1,ROUND('기준스탯 72종'!F12-T111-AB111,0))</x:f>
        <x:v>4</x:v>
      </x:c>
      <x:c r="M111" s="2" t="n">
        <x:f>MAX(1,ROUND('기준스탯 72종'!G12-U111-AC111,0))</x:f>
        <x:v>5</x:v>
      </x:c>
      <x:c r="N111" s="2" t="n">
        <x:f>MAX(0,ROUND('기준스탯 72종'!H12-V111-AD111,0))</x:f>
        <x:v>4</x:v>
      </x:c>
      <x:c r="O111" s="2" t="n">
        <x:f>MAX(0,ROUND('기준스탯 72종'!I12-W111-AE111,0))</x:f>
        <x:v>4</x:v>
      </x:c>
      <x:c r="P111" s="2" t="n">
        <x:f>MAX(0,ROUND('기준스탯 72종'!J12-X111-AF111,0))</x:f>
        <x:v>1</x:v>
      </x:c>
      <x:c r="Q111" s="2" t="n">
        <x:f>MAX(0,ROUND('기준스탯 72종'!K12-Y111-AG111,0))</x:f>
        <x:v>1</x:v>
      </x:c>
      <x:c r="R111" s="15" t="n">
        <x:f>'기준스탯 72종'!D12*G111</x:f>
        <x:v>1.2599999999999998</x:v>
      </x:c>
      <x:c r="S111" s="15" t="n">
        <x:f>'기준스탯 72종'!E12*G111</x:f>
        <x:v>0.9799999999999999</x:v>
      </x:c>
      <x:c r="T111" s="15" t="n">
        <x:f>'기준스탯 72종'!F12*G111</x:f>
        <x:v>0.8399999999999999</x:v>
      </x:c>
      <x:c r="U111" s="15" t="n">
        <x:f>'기준스탯 72종'!G12*G111</x:f>
        <x:v>1.1199999999999999</x:v>
      </x:c>
      <x:c r="V111" s="15" t="n">
        <x:f>'기준스탯 72종'!H12*G111</x:f>
        <x:v>0.8399999999999999</x:v>
      </x:c>
      <x:c r="W111" s="15" t="n">
        <x:f>'기준스탯 72종'!I12*G111</x:f>
        <x:v>0.9799999999999999</x:v>
      </x:c>
      <x:c r="X111" s="15" t="n">
        <x:f>'기준스탯 72종'!J12*G111</x:f>
        <x:v>0.27999999999999997</x:v>
      </x:c>
      <x:c r="Y111" s="15" t="n">
        <x:f>'기준스탯 72종'!K12*G111</x:f>
        <x:v>0.13999999999999999</x:v>
      </x:c>
      <x:c r="Z111" s="15" t="n">
        <x:f>'기준스탯 72종'!D12*H111</x:f>
        <x:v>2.1600000000000006</x:v>
      </x:c>
      <x:c r="AA111" s="15" t="n">
        <x:f>'기준스탯 72종'!E12*H111</x:f>
        <x:v>1.6800000000000004</x:v>
      </x:c>
      <x:c r="AB111" s="15" t="n">
        <x:f>'기준스탯 72종'!F12*H111</x:f>
        <x:v>1.4400000000000004</x:v>
      </x:c>
      <x:c r="AC111" s="15" t="n">
        <x:f>'기준스탯 72종'!G12*H111</x:f>
        <x:v>1.9200000000000004</x:v>
      </x:c>
      <x:c r="AD111" s="15" t="n">
        <x:f>'기준스탯 72종'!H12*H111</x:f>
        <x:v>1.4400000000000004</x:v>
      </x:c>
      <x:c r="AE111" s="15" t="n">
        <x:f>'기준스탯 72종'!I12*H111</x:f>
        <x:v>1.6800000000000004</x:v>
      </x:c>
      <x:c r="AF111" s="15" t="n">
        <x:f>'기준스탯 72종'!J12*H111</x:f>
        <x:v>0.4800000000000001</x:v>
      </x:c>
      <x:c r="AG111" s="15" t="n">
        <x:f>'기준스탯 72종'!K12*H111</x:f>
        <x:v>0.24000000000000005</x:v>
      </x:c>
    </x:row>
    <x:row r="112" ht="28" customHeight="1">
      <x:c r="A112" s="2" t="n">
        <x:v>105</x:v>
      </x:c>
      <x:c r="B112" s="2" t="n">
        <x:v>5</x:v>
      </x:c>
      <x:c r="C112" s="2" t="str">
        <x:v>양자리</x:v>
      </x:c>
      <x:c r="D112" s="2" t="str">
        <x:v>도적</x:v>
      </x:c>
      <x:c r="E112" s="2" t="n">
        <x:v>5</x:v>
      </x:c>
      <x:c r="F112" s="2" t="n">
        <x:v>1</x:v>
      </x:c>
      <x:c r="G112" s="14" t="n">
        <x:f>('레벨 계산식'!$E$4-E112)*'레벨 계산식'!$B$5</x:f>
        <x:v>0</x:v>
      </x:c>
      <x:c r="H112" s="14" t="n">
        <x:f>('등급 계산식'!$E$4-F112)*'등급 계산식'!$B$5</x:f>
        <x:v>0.24000000000000005</x:v>
      </x:c>
      <x:c r="I112" s="14" t="n">
        <x:f>1-G112-H112</x:f>
        <x:v>0.76</x:v>
      </x:c>
      <x:c r="J112" s="2" t="n">
        <x:f>MAX(1,ROUND('기준스탯 72종'!D12-R112-Z112,0))</x:f>
        <x:v>7</x:v>
      </x:c>
      <x:c r="K112" s="2" t="n">
        <x:f>MAX(1,ROUND('기준스탯 72종'!E12-S112-AA112,0))</x:f>
        <x:v>5</x:v>
      </x:c>
      <x:c r="L112" s="2" t="n">
        <x:f>MAX(1,ROUND('기준스탯 72종'!F12-T112-AB112,0))</x:f>
        <x:v>5</x:v>
      </x:c>
      <x:c r="M112" s="2" t="n">
        <x:f>MAX(1,ROUND('기준스탯 72종'!G12-U112-AC112,0))</x:f>
        <x:v>6</x:v>
      </x:c>
      <x:c r="N112" s="2" t="n">
        <x:f>MAX(0,ROUND('기준스탯 72종'!H12-V112-AD112,0))</x:f>
        <x:v>5</x:v>
      </x:c>
      <x:c r="O112" s="2" t="n">
        <x:f>MAX(0,ROUND('기준스탯 72종'!I12-W112-AE112,0))</x:f>
        <x:v>5</x:v>
      </x:c>
      <x:c r="P112" s="2" t="n">
        <x:f>MAX(0,ROUND('기준스탯 72종'!J12-X112-AF112,0))</x:f>
        <x:v>2</x:v>
      </x:c>
      <x:c r="Q112" s="2" t="n">
        <x:f>MAX(0,ROUND('기준스탯 72종'!K12-Y112-AG112,0))</x:f>
        <x:v>1</x:v>
      </x:c>
      <x:c r="R112" s="15" t="n">
        <x:f>'기준스탯 72종'!D12*G112</x:f>
        <x:v>0</x:v>
      </x:c>
      <x:c r="S112" s="15" t="n">
        <x:f>'기준스탯 72종'!E12*G112</x:f>
        <x:v>0</x:v>
      </x:c>
      <x:c r="T112" s="15" t="n">
        <x:f>'기준스탯 72종'!F12*G112</x:f>
        <x:v>0</x:v>
      </x:c>
      <x:c r="U112" s="15" t="n">
        <x:f>'기준스탯 72종'!G12*G112</x:f>
        <x:v>0</x:v>
      </x:c>
      <x:c r="V112" s="15" t="n">
        <x:f>'기준스탯 72종'!H12*G112</x:f>
        <x:v>0</x:v>
      </x:c>
      <x:c r="W112" s="15" t="n">
        <x:f>'기준스탯 72종'!I12*G112</x:f>
        <x:v>0</x:v>
      </x:c>
      <x:c r="X112" s="15" t="n">
        <x:f>'기준스탯 72종'!J12*G112</x:f>
        <x:v>0</x:v>
      </x:c>
      <x:c r="Y112" s="15" t="n">
        <x:f>'기준스탯 72종'!K12*G112</x:f>
        <x:v>0</x:v>
      </x:c>
      <x:c r="Z112" s="15" t="n">
        <x:f>'기준스탯 72종'!D12*H112</x:f>
        <x:v>2.1600000000000006</x:v>
      </x:c>
      <x:c r="AA112" s="15" t="n">
        <x:f>'기준스탯 72종'!E12*H112</x:f>
        <x:v>1.6800000000000004</x:v>
      </x:c>
      <x:c r="AB112" s="15" t="n">
        <x:f>'기준스탯 72종'!F12*H112</x:f>
        <x:v>1.4400000000000004</x:v>
      </x:c>
      <x:c r="AC112" s="15" t="n">
        <x:f>'기준스탯 72종'!G12*H112</x:f>
        <x:v>1.9200000000000004</x:v>
      </x:c>
      <x:c r="AD112" s="15" t="n">
        <x:f>'기준스탯 72종'!H12*H112</x:f>
        <x:v>1.4400000000000004</x:v>
      </x:c>
      <x:c r="AE112" s="15" t="n">
        <x:f>'기준스탯 72종'!I12*H112</x:f>
        <x:v>1.6800000000000004</x:v>
      </x:c>
      <x:c r="AF112" s="15" t="n">
        <x:f>'기준스탯 72종'!J12*H112</x:f>
        <x:v>0.4800000000000001</x:v>
      </x:c>
      <x:c r="AG112" s="15" t="n">
        <x:f>'기준스탯 72종'!K12*H112</x:f>
        <x:v>0.24000000000000005</x:v>
      </x:c>
    </x:row>
    <x:row r="113" ht="28" customHeight="1">
      <x:c r="A113" s="2" t="n">
        <x:v>106</x:v>
      </x:c>
      <x:c r="B113" s="2" t="n">
        <x:v>5</x:v>
      </x:c>
      <x:c r="C113" s="2" t="str">
        <x:v>양자리</x:v>
      </x:c>
      <x:c r="D113" s="2" t="str">
        <x:v>도적</x:v>
      </x:c>
      <x:c r="E113" s="2" t="n">
        <x:v>1</x:v>
      </x:c>
      <x:c r="F113" s="2" t="n">
        <x:v>2</x:v>
      </x:c>
      <x:c r="G113" s="14" t="n">
        <x:f>('레벨 계산식'!$E$4-E113)*'레벨 계산식'!$B$5</x:f>
        <x:v>0.5599999999999999</x:v>
      </x:c>
      <x:c r="H113" s="14" t="n">
        <x:f>('등급 계산식'!$E$4-F113)*'등급 계산식'!$B$5</x:f>
        <x:v>0.18000000000000005</x:v>
      </x:c>
      <x:c r="I113" s="14" t="n">
        <x:f>1-G113-H113</x:f>
        <x:v>0.26</x:v>
      </x:c>
      <x:c r="J113" s="2" t="n">
        <x:f>MAX(1,ROUND('기준스탯 72종'!D12-R113-Z113,0))</x:f>
        <x:v>2</x:v>
      </x:c>
      <x:c r="K113" s="2" t="n">
        <x:f>MAX(1,ROUND('기준스탯 72종'!E12-S113-AA113,0))</x:f>
        <x:v>2</x:v>
      </x:c>
      <x:c r="L113" s="2" t="n">
        <x:f>MAX(1,ROUND('기준스탯 72종'!F12-T113-AB113,0))</x:f>
        <x:v>2</x:v>
      </x:c>
      <x:c r="M113" s="2" t="n">
        <x:f>MAX(1,ROUND('기준스탯 72종'!G12-U113-AC113,0))</x:f>
        <x:v>2</x:v>
      </x:c>
      <x:c r="N113" s="2" t="n">
        <x:f>MAX(0,ROUND('기준스탯 72종'!H12-V113-AD113,0))</x:f>
        <x:v>2</x:v>
      </x:c>
      <x:c r="O113" s="2" t="n">
        <x:f>MAX(0,ROUND('기준스탯 72종'!I12-W113-AE113,0))</x:f>
        <x:v>2</x:v>
      </x:c>
      <x:c r="P113" s="2" t="n">
        <x:f>MAX(0,ROUND('기준스탯 72종'!J12-X113-AF113,0))</x:f>
        <x:v>1</x:v>
      </x:c>
      <x:c r="Q113" s="2" t="n">
        <x:f>MAX(0,ROUND('기준스탯 72종'!K12-Y113-AG113,0))</x:f>
        <x:v>0</x:v>
      </x:c>
      <x:c r="R113" s="15" t="n">
        <x:f>'기준스탯 72종'!D12*G113</x:f>
        <x:v>5.039999999999999</x:v>
      </x:c>
      <x:c r="S113" s="15" t="n">
        <x:f>'기준스탯 72종'!E12*G113</x:f>
        <x:v>3.9199999999999995</x:v>
      </x:c>
      <x:c r="T113" s="15" t="n">
        <x:f>'기준스탯 72종'!F12*G113</x:f>
        <x:v>3.3599999999999994</x:v>
      </x:c>
      <x:c r="U113" s="15" t="n">
        <x:f>'기준스탯 72종'!G12*G113</x:f>
        <x:v>4.4799999999999995</x:v>
      </x:c>
      <x:c r="V113" s="15" t="n">
        <x:f>'기준스탯 72종'!H12*G113</x:f>
        <x:v>3.3599999999999994</x:v>
      </x:c>
      <x:c r="W113" s="15" t="n">
        <x:f>'기준스탯 72종'!I12*G113</x:f>
        <x:v>3.9199999999999995</x:v>
      </x:c>
      <x:c r="X113" s="15" t="n">
        <x:f>'기준스탯 72종'!J12*G113</x:f>
        <x:v>1.1199999999999999</x:v>
      </x:c>
      <x:c r="Y113" s="15" t="n">
        <x:f>'기준스탯 72종'!K12*G113</x:f>
        <x:v>0.5599999999999999</x:v>
      </x:c>
      <x:c r="Z113" s="15" t="n">
        <x:f>'기준스탯 72종'!D12*H113</x:f>
        <x:v>1.6200000000000006</x:v>
      </x:c>
      <x:c r="AA113" s="15" t="n">
        <x:f>'기준스탯 72종'!E12*H113</x:f>
        <x:v>1.2600000000000002</x:v>
      </x:c>
      <x:c r="AB113" s="15" t="n">
        <x:f>'기준스탯 72종'!F12*H113</x:f>
        <x:v>1.0800000000000003</x:v>
      </x:c>
      <x:c r="AC113" s="15" t="n">
        <x:f>'기준스탯 72종'!G12*H113</x:f>
        <x:v>1.4400000000000004</x:v>
      </x:c>
      <x:c r="AD113" s="15" t="n">
        <x:f>'기준스탯 72종'!H12*H113</x:f>
        <x:v>1.0800000000000003</x:v>
      </x:c>
      <x:c r="AE113" s="15" t="n">
        <x:f>'기준스탯 72종'!I12*H113</x:f>
        <x:v>1.2600000000000002</x:v>
      </x:c>
      <x:c r="AF113" s="15" t="n">
        <x:f>'기준스탯 72종'!J12*H113</x:f>
        <x:v>0.3600000000000001</x:v>
      </x:c>
      <x:c r="AG113" s="15" t="n">
        <x:f>'기준스탯 72종'!K12*H113</x:f>
        <x:v>0.18000000000000005</x:v>
      </x:c>
    </x:row>
    <x:row r="114" ht="28" customHeight="1">
      <x:c r="A114" s="2" t="n">
        <x:v>107</x:v>
      </x:c>
      <x:c r="B114" s="2" t="n">
        <x:v>5</x:v>
      </x:c>
      <x:c r="C114" s="2" t="str">
        <x:v>양자리</x:v>
      </x:c>
      <x:c r="D114" s="2" t="str">
        <x:v>도적</x:v>
      </x:c>
      <x:c r="E114" s="2" t="n">
        <x:v>2</x:v>
      </x:c>
      <x:c r="F114" s="2" t="n">
        <x:v>2</x:v>
      </x:c>
      <x:c r="G114" s="14" t="n">
        <x:f>('레벨 계산식'!$E$4-E114)*'레벨 계산식'!$B$5</x:f>
        <x:v>0.41999999999999993</x:v>
      </x:c>
      <x:c r="H114" s="14" t="n">
        <x:f>('등급 계산식'!$E$4-F114)*'등급 계산식'!$B$5</x:f>
        <x:v>0.18000000000000005</x:v>
      </x:c>
      <x:c r="I114" s="14" t="n">
        <x:f>1-G114-H114</x:f>
        <x:v>0.4</x:v>
      </x:c>
      <x:c r="J114" s="2" t="n">
        <x:f>MAX(1,ROUND('기준스탯 72종'!D12-R114-Z114,0))</x:f>
        <x:v>4</x:v>
      </x:c>
      <x:c r="K114" s="2" t="n">
        <x:f>MAX(1,ROUND('기준스탯 72종'!E12-S114-AA114,0))</x:f>
        <x:v>3</x:v>
      </x:c>
      <x:c r="L114" s="2" t="n">
        <x:f>MAX(1,ROUND('기준스탯 72종'!F12-T114-AB114,0))</x:f>
        <x:v>2</x:v>
      </x:c>
      <x:c r="M114" s="2" t="n">
        <x:f>MAX(1,ROUND('기준스탯 72종'!G12-U114-AC114,0))</x:f>
        <x:v>3</x:v>
      </x:c>
      <x:c r="N114" s="2" t="n">
        <x:f>MAX(0,ROUND('기준스탯 72종'!H12-V114-AD114,0))</x:f>
        <x:v>2</x:v>
      </x:c>
      <x:c r="O114" s="2" t="n">
        <x:f>MAX(0,ROUND('기준스탯 72종'!I12-W114-AE114,0))</x:f>
        <x:v>3</x:v>
      </x:c>
      <x:c r="P114" s="2" t="n">
        <x:f>MAX(0,ROUND('기준스탯 72종'!J12-X114-AF114,0))</x:f>
        <x:v>1</x:v>
      </x:c>
      <x:c r="Q114" s="2" t="n">
        <x:f>MAX(0,ROUND('기준스탯 72종'!K12-Y114-AG114,0))</x:f>
        <x:v>0</x:v>
      </x:c>
      <x:c r="R114" s="15" t="n">
        <x:f>'기준스탯 72종'!D12*G114</x:f>
        <x:v>3.7799999999999994</x:v>
      </x:c>
      <x:c r="S114" s="15" t="n">
        <x:f>'기준스탯 72종'!E12*G114</x:f>
        <x:v>2.9399999999999995</x:v>
      </x:c>
      <x:c r="T114" s="15" t="n">
        <x:f>'기준스탯 72종'!F12*G114</x:f>
        <x:v>2.5199999999999996</x:v>
      </x:c>
      <x:c r="U114" s="15" t="n">
        <x:f>'기준스탯 72종'!G12*G114</x:f>
        <x:v>3.3599999999999994</x:v>
      </x:c>
      <x:c r="V114" s="15" t="n">
        <x:f>'기준스탯 72종'!H12*G114</x:f>
        <x:v>2.5199999999999996</x:v>
      </x:c>
      <x:c r="W114" s="15" t="n">
        <x:f>'기준스탯 72종'!I12*G114</x:f>
        <x:v>2.9399999999999995</x:v>
      </x:c>
      <x:c r="X114" s="15" t="n">
        <x:f>'기준스탯 72종'!J12*G114</x:f>
        <x:v>0.8399999999999999</x:v>
      </x:c>
      <x:c r="Y114" s="15" t="n">
        <x:f>'기준스탯 72종'!K12*G114</x:f>
        <x:v>0.41999999999999993</x:v>
      </x:c>
      <x:c r="Z114" s="15" t="n">
        <x:f>'기준스탯 72종'!D12*H114</x:f>
        <x:v>1.6200000000000006</x:v>
      </x:c>
      <x:c r="AA114" s="15" t="n">
        <x:f>'기준스탯 72종'!E12*H114</x:f>
        <x:v>1.2600000000000002</x:v>
      </x:c>
      <x:c r="AB114" s="15" t="n">
        <x:f>'기준스탯 72종'!F12*H114</x:f>
        <x:v>1.0800000000000003</x:v>
      </x:c>
      <x:c r="AC114" s="15" t="n">
        <x:f>'기준스탯 72종'!G12*H114</x:f>
        <x:v>1.4400000000000004</x:v>
      </x:c>
      <x:c r="AD114" s="15" t="n">
        <x:f>'기준스탯 72종'!H12*H114</x:f>
        <x:v>1.0800000000000003</x:v>
      </x:c>
      <x:c r="AE114" s="15" t="n">
        <x:f>'기준스탯 72종'!I12*H114</x:f>
        <x:v>1.2600000000000002</x:v>
      </x:c>
      <x:c r="AF114" s="15" t="n">
        <x:f>'기준스탯 72종'!J12*H114</x:f>
        <x:v>0.3600000000000001</x:v>
      </x:c>
      <x:c r="AG114" s="15" t="n">
        <x:f>'기준스탯 72종'!K12*H114</x:f>
        <x:v>0.18000000000000005</x:v>
      </x:c>
    </x:row>
    <x:row r="115" ht="28" customHeight="1">
      <x:c r="A115" s="2" t="n">
        <x:v>108</x:v>
      </x:c>
      <x:c r="B115" s="2" t="n">
        <x:v>5</x:v>
      </x:c>
      <x:c r="C115" s="2" t="str">
        <x:v>양자리</x:v>
      </x:c>
      <x:c r="D115" s="2" t="str">
        <x:v>도적</x:v>
      </x:c>
      <x:c r="E115" s="2" t="n">
        <x:v>3</x:v>
      </x:c>
      <x:c r="F115" s="2" t="n">
        <x:v>2</x:v>
      </x:c>
      <x:c r="G115" s="14" t="n">
        <x:f>('레벨 계산식'!$E$4-E115)*'레벨 계산식'!$B$5</x:f>
        <x:v>0.27999999999999997</x:v>
      </x:c>
      <x:c r="H115" s="14" t="n">
        <x:f>('등급 계산식'!$E$4-F115)*'등급 계산식'!$B$5</x:f>
        <x:v>0.18000000000000005</x:v>
      </x:c>
      <x:c r="I115" s="14" t="n">
        <x:f>1-G115-H115</x:f>
        <x:v>0.5399999999999999</x:v>
      </x:c>
      <x:c r="J115" s="2" t="n">
        <x:f>MAX(1,ROUND('기준스탯 72종'!D12-R115-Z115,0))</x:f>
        <x:v>5</x:v>
      </x:c>
      <x:c r="K115" s="2" t="n">
        <x:f>MAX(1,ROUND('기준스탯 72종'!E12-S115-AA115,0))</x:f>
        <x:v>4</x:v>
      </x:c>
      <x:c r="L115" s="2" t="n">
        <x:f>MAX(1,ROUND('기준스탯 72종'!F12-T115-AB115,0))</x:f>
        <x:v>3</x:v>
      </x:c>
      <x:c r="M115" s="2" t="n">
        <x:f>MAX(1,ROUND('기준스탯 72종'!G12-U115-AC115,0))</x:f>
        <x:v>4</x:v>
      </x:c>
      <x:c r="N115" s="2" t="n">
        <x:f>MAX(0,ROUND('기준스탯 72종'!H12-V115-AD115,0))</x:f>
        <x:v>3</x:v>
      </x:c>
      <x:c r="O115" s="2" t="n">
        <x:f>MAX(0,ROUND('기준스탯 72종'!I12-W115-AE115,0))</x:f>
        <x:v>4</x:v>
      </x:c>
      <x:c r="P115" s="2" t="n">
        <x:f>MAX(0,ROUND('기준스탯 72종'!J12-X115-AF115,0))</x:f>
        <x:v>1</x:v>
      </x:c>
      <x:c r="Q115" s="2" t="n">
        <x:f>MAX(0,ROUND('기준스탯 72종'!K12-Y115-AG115,0))</x:f>
        <x:v>1</x:v>
      </x:c>
      <x:c r="R115" s="15" t="n">
        <x:f>'기준스탯 72종'!D12*G115</x:f>
        <x:v>2.5199999999999996</x:v>
      </x:c>
      <x:c r="S115" s="15" t="n">
        <x:f>'기준스탯 72종'!E12*G115</x:f>
        <x:v>1.9599999999999997</x:v>
      </x:c>
      <x:c r="T115" s="15" t="n">
        <x:f>'기준스탯 72종'!F12*G115</x:f>
        <x:v>1.6799999999999997</x:v>
      </x:c>
      <x:c r="U115" s="15" t="n">
        <x:f>'기준스탯 72종'!G12*G115</x:f>
        <x:v>2.2399999999999998</x:v>
      </x:c>
      <x:c r="V115" s="15" t="n">
        <x:f>'기준스탯 72종'!H12*G115</x:f>
        <x:v>1.6799999999999997</x:v>
      </x:c>
      <x:c r="W115" s="15" t="n">
        <x:f>'기준스탯 72종'!I12*G115</x:f>
        <x:v>1.9599999999999997</x:v>
      </x:c>
      <x:c r="X115" s="15" t="n">
        <x:f>'기준스탯 72종'!J12*G115</x:f>
        <x:v>0.5599999999999999</x:v>
      </x:c>
      <x:c r="Y115" s="15" t="n">
        <x:f>'기준스탯 72종'!K12*G115</x:f>
        <x:v>0.27999999999999997</x:v>
      </x:c>
      <x:c r="Z115" s="15" t="n">
        <x:f>'기준스탯 72종'!D12*H115</x:f>
        <x:v>1.6200000000000006</x:v>
      </x:c>
      <x:c r="AA115" s="15" t="n">
        <x:f>'기준스탯 72종'!E12*H115</x:f>
        <x:v>1.2600000000000002</x:v>
      </x:c>
      <x:c r="AB115" s="15" t="n">
        <x:f>'기준스탯 72종'!F12*H115</x:f>
        <x:v>1.0800000000000003</x:v>
      </x:c>
      <x:c r="AC115" s="15" t="n">
        <x:f>'기준스탯 72종'!G12*H115</x:f>
        <x:v>1.4400000000000004</x:v>
      </x:c>
      <x:c r="AD115" s="15" t="n">
        <x:f>'기준스탯 72종'!H12*H115</x:f>
        <x:v>1.0800000000000003</x:v>
      </x:c>
      <x:c r="AE115" s="15" t="n">
        <x:f>'기준스탯 72종'!I12*H115</x:f>
        <x:v>1.2600000000000002</x:v>
      </x:c>
      <x:c r="AF115" s="15" t="n">
        <x:f>'기준스탯 72종'!J12*H115</x:f>
        <x:v>0.3600000000000001</x:v>
      </x:c>
      <x:c r="AG115" s="15" t="n">
        <x:f>'기준스탯 72종'!K12*H115</x:f>
        <x:v>0.18000000000000005</x:v>
      </x:c>
    </x:row>
    <x:row r="116" ht="28" customHeight="1">
      <x:c r="A116" s="2" t="n">
        <x:v>109</x:v>
      </x:c>
      <x:c r="B116" s="2" t="n">
        <x:v>5</x:v>
      </x:c>
      <x:c r="C116" s="2" t="str">
        <x:v>양자리</x:v>
      </x:c>
      <x:c r="D116" s="2" t="str">
        <x:v>도적</x:v>
      </x:c>
      <x:c r="E116" s="2" t="n">
        <x:v>4</x:v>
      </x:c>
      <x:c r="F116" s="2" t="n">
        <x:v>2</x:v>
      </x:c>
      <x:c r="G116" s="14" t="n">
        <x:f>('레벨 계산식'!$E$4-E116)*'레벨 계산식'!$B$5</x:f>
        <x:v>0.13999999999999999</x:v>
      </x:c>
      <x:c r="H116" s="14" t="n">
        <x:f>('등급 계산식'!$E$4-F116)*'등급 계산식'!$B$5</x:f>
        <x:v>0.18000000000000005</x:v>
      </x:c>
      <x:c r="I116" s="14" t="n">
        <x:f>1-G116-H116</x:f>
        <x:v>0.6799999999999999</x:v>
      </x:c>
      <x:c r="J116" s="2" t="n">
        <x:f>MAX(1,ROUND('기준스탯 72종'!D12-R116-Z116,0))</x:f>
        <x:v>6</x:v>
      </x:c>
      <x:c r="K116" s="2" t="n">
        <x:f>MAX(1,ROUND('기준스탯 72종'!E12-S116-AA116,0))</x:f>
        <x:v>5</x:v>
      </x:c>
      <x:c r="L116" s="2" t="n">
        <x:f>MAX(1,ROUND('기준스탯 72종'!F12-T116-AB116,0))</x:f>
        <x:v>4</x:v>
      </x:c>
      <x:c r="M116" s="2" t="n">
        <x:f>MAX(1,ROUND('기준스탯 72종'!G12-U116-AC116,0))</x:f>
        <x:v>5</x:v>
      </x:c>
      <x:c r="N116" s="2" t="n">
        <x:f>MAX(0,ROUND('기준스탯 72종'!H12-V116-AD116,0))</x:f>
        <x:v>4</x:v>
      </x:c>
      <x:c r="O116" s="2" t="n">
        <x:f>MAX(0,ROUND('기준스탯 72종'!I12-W116-AE116,0))</x:f>
        <x:v>5</x:v>
      </x:c>
      <x:c r="P116" s="2" t="n">
        <x:f>MAX(0,ROUND('기준스탯 72종'!J12-X116-AF116,0))</x:f>
        <x:v>1</x:v>
      </x:c>
      <x:c r="Q116" s="2" t="n">
        <x:f>MAX(0,ROUND('기준스탯 72종'!K12-Y116-AG116,0))</x:f>
        <x:v>1</x:v>
      </x:c>
      <x:c r="R116" s="15" t="n">
        <x:f>'기준스탯 72종'!D12*G116</x:f>
        <x:v>1.2599999999999998</x:v>
      </x:c>
      <x:c r="S116" s="15" t="n">
        <x:f>'기준스탯 72종'!E12*G116</x:f>
        <x:v>0.9799999999999999</x:v>
      </x:c>
      <x:c r="T116" s="15" t="n">
        <x:f>'기준스탯 72종'!F12*G116</x:f>
        <x:v>0.8399999999999999</x:v>
      </x:c>
      <x:c r="U116" s="15" t="n">
        <x:f>'기준스탯 72종'!G12*G116</x:f>
        <x:v>1.1199999999999999</x:v>
      </x:c>
      <x:c r="V116" s="15" t="n">
        <x:f>'기준스탯 72종'!H12*G116</x:f>
        <x:v>0.8399999999999999</x:v>
      </x:c>
      <x:c r="W116" s="15" t="n">
        <x:f>'기준스탯 72종'!I12*G116</x:f>
        <x:v>0.9799999999999999</x:v>
      </x:c>
      <x:c r="X116" s="15" t="n">
        <x:f>'기준스탯 72종'!J12*G116</x:f>
        <x:v>0.27999999999999997</x:v>
      </x:c>
      <x:c r="Y116" s="15" t="n">
        <x:f>'기준스탯 72종'!K12*G116</x:f>
        <x:v>0.13999999999999999</x:v>
      </x:c>
      <x:c r="Z116" s="15" t="n">
        <x:f>'기준스탯 72종'!D12*H116</x:f>
        <x:v>1.6200000000000006</x:v>
      </x:c>
      <x:c r="AA116" s="15" t="n">
        <x:f>'기준스탯 72종'!E12*H116</x:f>
        <x:v>1.2600000000000002</x:v>
      </x:c>
      <x:c r="AB116" s="15" t="n">
        <x:f>'기준스탯 72종'!F12*H116</x:f>
        <x:v>1.0800000000000003</x:v>
      </x:c>
      <x:c r="AC116" s="15" t="n">
        <x:f>'기준스탯 72종'!G12*H116</x:f>
        <x:v>1.4400000000000004</x:v>
      </x:c>
      <x:c r="AD116" s="15" t="n">
        <x:f>'기준스탯 72종'!H12*H116</x:f>
        <x:v>1.0800000000000003</x:v>
      </x:c>
      <x:c r="AE116" s="15" t="n">
        <x:f>'기준스탯 72종'!I12*H116</x:f>
        <x:v>1.2600000000000002</x:v>
      </x:c>
      <x:c r="AF116" s="15" t="n">
        <x:f>'기준스탯 72종'!J12*H116</x:f>
        <x:v>0.3600000000000001</x:v>
      </x:c>
      <x:c r="AG116" s="15" t="n">
        <x:f>'기준스탯 72종'!K12*H116</x:f>
        <x:v>0.18000000000000005</x:v>
      </x:c>
    </x:row>
    <x:row r="117" ht="28" customHeight="1">
      <x:c r="A117" s="2" t="n">
        <x:v>110</x:v>
      </x:c>
      <x:c r="B117" s="2" t="n">
        <x:v>5</x:v>
      </x:c>
      <x:c r="C117" s="2" t="str">
        <x:v>양자리</x:v>
      </x:c>
      <x:c r="D117" s="2" t="str">
        <x:v>도적</x:v>
      </x:c>
      <x:c r="E117" s="2" t="n">
        <x:v>5</x:v>
      </x:c>
      <x:c r="F117" s="2" t="n">
        <x:v>2</x:v>
      </x:c>
      <x:c r="G117" s="14" t="n">
        <x:f>('레벨 계산식'!$E$4-E117)*'레벨 계산식'!$B$5</x:f>
        <x:v>0</x:v>
      </x:c>
      <x:c r="H117" s="14" t="n">
        <x:f>('등급 계산식'!$E$4-F117)*'등급 계산식'!$B$5</x:f>
        <x:v>0.18000000000000005</x:v>
      </x:c>
      <x:c r="I117" s="14" t="n">
        <x:f>1-G117-H117</x:f>
        <x:v>0.82</x:v>
      </x:c>
      <x:c r="J117" s="2" t="n">
        <x:f>MAX(1,ROUND('기준스탯 72종'!D12-R117-Z117,0))</x:f>
        <x:v>7</x:v>
      </x:c>
      <x:c r="K117" s="2" t="n">
        <x:f>MAX(1,ROUND('기준스탯 72종'!E12-S117-AA117,0))</x:f>
        <x:v>6</x:v>
      </x:c>
      <x:c r="L117" s="2" t="n">
        <x:f>MAX(1,ROUND('기준스탯 72종'!F12-T117-AB117,0))</x:f>
        <x:v>5</x:v>
      </x:c>
      <x:c r="M117" s="2" t="n">
        <x:f>MAX(1,ROUND('기준스탯 72종'!G12-U117-AC117,0))</x:f>
        <x:v>7</x:v>
      </x:c>
      <x:c r="N117" s="2" t="n">
        <x:f>MAX(0,ROUND('기준스탯 72종'!H12-V117-AD117,0))</x:f>
        <x:v>5</x:v>
      </x:c>
      <x:c r="O117" s="2" t="n">
        <x:f>MAX(0,ROUND('기준스탯 72종'!I12-W117-AE117,0))</x:f>
        <x:v>6</x:v>
      </x:c>
      <x:c r="P117" s="2" t="n">
        <x:f>MAX(0,ROUND('기준스탯 72종'!J12-X117-AF117,0))</x:f>
        <x:v>2</x:v>
      </x:c>
      <x:c r="Q117" s="2" t="n">
        <x:f>MAX(0,ROUND('기준스탯 72종'!K12-Y117-AG117,0))</x:f>
        <x:v>1</x:v>
      </x:c>
      <x:c r="R117" s="15" t="n">
        <x:f>'기준스탯 72종'!D12*G117</x:f>
        <x:v>0</x:v>
      </x:c>
      <x:c r="S117" s="15" t="n">
        <x:f>'기준스탯 72종'!E12*G117</x:f>
        <x:v>0</x:v>
      </x:c>
      <x:c r="T117" s="15" t="n">
        <x:f>'기준스탯 72종'!F12*G117</x:f>
        <x:v>0</x:v>
      </x:c>
      <x:c r="U117" s="15" t="n">
        <x:f>'기준스탯 72종'!G12*G117</x:f>
        <x:v>0</x:v>
      </x:c>
      <x:c r="V117" s="15" t="n">
        <x:f>'기준스탯 72종'!H12*G117</x:f>
        <x:v>0</x:v>
      </x:c>
      <x:c r="W117" s="15" t="n">
        <x:f>'기준스탯 72종'!I12*G117</x:f>
        <x:v>0</x:v>
      </x:c>
      <x:c r="X117" s="15" t="n">
        <x:f>'기준스탯 72종'!J12*G117</x:f>
        <x:v>0</x:v>
      </x:c>
      <x:c r="Y117" s="15" t="n">
        <x:f>'기준스탯 72종'!K12*G117</x:f>
        <x:v>0</x:v>
      </x:c>
      <x:c r="Z117" s="15" t="n">
        <x:f>'기준스탯 72종'!D12*H117</x:f>
        <x:v>1.6200000000000006</x:v>
      </x:c>
      <x:c r="AA117" s="15" t="n">
        <x:f>'기준스탯 72종'!E12*H117</x:f>
        <x:v>1.2600000000000002</x:v>
      </x:c>
      <x:c r="AB117" s="15" t="n">
        <x:f>'기준스탯 72종'!F12*H117</x:f>
        <x:v>1.0800000000000003</x:v>
      </x:c>
      <x:c r="AC117" s="15" t="n">
        <x:f>'기준스탯 72종'!G12*H117</x:f>
        <x:v>1.4400000000000004</x:v>
      </x:c>
      <x:c r="AD117" s="15" t="n">
        <x:f>'기준스탯 72종'!H12*H117</x:f>
        <x:v>1.0800000000000003</x:v>
      </x:c>
      <x:c r="AE117" s="15" t="n">
        <x:f>'기준스탯 72종'!I12*H117</x:f>
        <x:v>1.2600000000000002</x:v>
      </x:c>
      <x:c r="AF117" s="15" t="n">
        <x:f>'기준스탯 72종'!J12*H117</x:f>
        <x:v>0.3600000000000001</x:v>
      </x:c>
      <x:c r="AG117" s="15" t="n">
        <x:f>'기준스탯 72종'!K12*H117</x:f>
        <x:v>0.18000000000000005</x:v>
      </x:c>
    </x:row>
    <x:row r="118" ht="28" customHeight="1">
      <x:c r="A118" s="2" t="n">
        <x:v>111</x:v>
      </x:c>
      <x:c r="B118" s="2" t="n">
        <x:v>5</x:v>
      </x:c>
      <x:c r="C118" s="2" t="str">
        <x:v>양자리</x:v>
      </x:c>
      <x:c r="D118" s="2" t="str">
        <x:v>도적</x:v>
      </x:c>
      <x:c r="E118" s="2" t="n">
        <x:v>1</x:v>
      </x:c>
      <x:c r="F118" s="2" t="n">
        <x:v>3</x:v>
      </x:c>
      <x:c r="G118" s="14" t="n">
        <x:f>('레벨 계산식'!$E$4-E118)*'레벨 계산식'!$B$5</x:f>
        <x:v>0.5599999999999999</x:v>
      </x:c>
      <x:c r="H118" s="14" t="n">
        <x:f>('등급 계산식'!$E$4-F118)*'등급 계산식'!$B$5</x:f>
        <x:v>0.12000000000000002</x:v>
      </x:c>
      <x:c r="I118" s="14" t="n">
        <x:f>1-G118-H118</x:f>
        <x:v>0.32000000000000006</x:v>
      </x:c>
      <x:c r="J118" s="2" t="n">
        <x:f>MAX(1,ROUND('기준스탯 72종'!D12-R118-Z118,0))</x:f>
        <x:v>3</x:v>
      </x:c>
      <x:c r="K118" s="2" t="n">
        <x:f>MAX(1,ROUND('기준스탯 72종'!E12-S118-AA118,0))</x:f>
        <x:v>2</x:v>
      </x:c>
      <x:c r="L118" s="2" t="n">
        <x:f>MAX(1,ROUND('기준스탯 72종'!F12-T118-AB118,0))</x:f>
        <x:v>2</x:v>
      </x:c>
      <x:c r="M118" s="2" t="n">
        <x:f>MAX(1,ROUND('기준스탯 72종'!G12-U118-AC118,0))</x:f>
        <x:v>3</x:v>
      </x:c>
      <x:c r="N118" s="2" t="n">
        <x:f>MAX(0,ROUND('기준스탯 72종'!H12-V118-AD118,0))</x:f>
        <x:v>2</x:v>
      </x:c>
      <x:c r="O118" s="2" t="n">
        <x:f>MAX(0,ROUND('기준스탯 72종'!I12-W118-AE118,0))</x:f>
        <x:v>2</x:v>
      </x:c>
      <x:c r="P118" s="2" t="n">
        <x:f>MAX(0,ROUND('기준스탯 72종'!J12-X118-AF118,0))</x:f>
        <x:v>1</x:v>
      </x:c>
      <x:c r="Q118" s="2" t="n">
        <x:f>MAX(0,ROUND('기준스탯 72종'!K12-Y118-AG118,0))</x:f>
        <x:v>0</x:v>
      </x:c>
      <x:c r="R118" s="15" t="n">
        <x:f>'기준스탯 72종'!D12*G118</x:f>
        <x:v>5.039999999999999</x:v>
      </x:c>
      <x:c r="S118" s="15" t="n">
        <x:f>'기준스탯 72종'!E12*G118</x:f>
        <x:v>3.9199999999999995</x:v>
      </x:c>
      <x:c r="T118" s="15" t="n">
        <x:f>'기준스탯 72종'!F12*G118</x:f>
        <x:v>3.3599999999999994</x:v>
      </x:c>
      <x:c r="U118" s="15" t="n">
        <x:f>'기준스탯 72종'!G12*G118</x:f>
        <x:v>4.4799999999999995</x:v>
      </x:c>
      <x:c r="V118" s="15" t="n">
        <x:f>'기준스탯 72종'!H12*G118</x:f>
        <x:v>3.3599999999999994</x:v>
      </x:c>
      <x:c r="W118" s="15" t="n">
        <x:f>'기준스탯 72종'!I12*G118</x:f>
        <x:v>3.9199999999999995</x:v>
      </x:c>
      <x:c r="X118" s="15" t="n">
        <x:f>'기준스탯 72종'!J12*G118</x:f>
        <x:v>1.1199999999999999</x:v>
      </x:c>
      <x:c r="Y118" s="15" t="n">
        <x:f>'기준스탯 72종'!K12*G118</x:f>
        <x:v>0.5599999999999999</x:v>
      </x:c>
      <x:c r="Z118" s="15" t="n">
        <x:f>'기준스탯 72종'!D12*H118</x:f>
        <x:v>1.0800000000000003</x:v>
      </x:c>
      <x:c r="AA118" s="15" t="n">
        <x:f>'기준스탯 72종'!E12*H118</x:f>
        <x:v>0.8400000000000002</x:v>
      </x:c>
      <x:c r="AB118" s="15" t="n">
        <x:f>'기준스탯 72종'!F12*H118</x:f>
        <x:v>0.7200000000000002</x:v>
      </x:c>
      <x:c r="AC118" s="15" t="n">
        <x:f>'기준스탯 72종'!G12*H118</x:f>
        <x:v>0.9600000000000002</x:v>
      </x:c>
      <x:c r="AD118" s="15" t="n">
        <x:f>'기준스탯 72종'!H12*H118</x:f>
        <x:v>0.7200000000000002</x:v>
      </x:c>
      <x:c r="AE118" s="15" t="n">
        <x:f>'기준스탯 72종'!I12*H118</x:f>
        <x:v>0.8400000000000002</x:v>
      </x:c>
      <x:c r="AF118" s="15" t="n">
        <x:f>'기준스탯 72종'!J12*H118</x:f>
        <x:v>0.24000000000000005</x:v>
      </x:c>
      <x:c r="AG118" s="15" t="n">
        <x:f>'기준스탯 72종'!K12*H118</x:f>
        <x:v>0.12000000000000002</x:v>
      </x:c>
    </x:row>
    <x:row r="119" ht="28" customHeight="1">
      <x:c r="A119" s="2" t="n">
        <x:v>112</x:v>
      </x:c>
      <x:c r="B119" s="2" t="n">
        <x:v>5</x:v>
      </x:c>
      <x:c r="C119" s="2" t="str">
        <x:v>양자리</x:v>
      </x:c>
      <x:c r="D119" s="2" t="str">
        <x:v>도적</x:v>
      </x:c>
      <x:c r="E119" s="2" t="n">
        <x:v>2</x:v>
      </x:c>
      <x:c r="F119" s="2" t="n">
        <x:v>3</x:v>
      </x:c>
      <x:c r="G119" s="14" t="n">
        <x:f>('레벨 계산식'!$E$4-E119)*'레벨 계산식'!$B$5</x:f>
        <x:v>0.41999999999999993</x:v>
      </x:c>
      <x:c r="H119" s="14" t="n">
        <x:f>('등급 계산식'!$E$4-F119)*'등급 계산식'!$B$5</x:f>
        <x:v>0.12000000000000002</x:v>
      </x:c>
      <x:c r="I119" s="14" t="n">
        <x:f>1-G119-H119</x:f>
        <x:v>0.4600000000000001</x:v>
      </x:c>
      <x:c r="J119" s="2" t="n">
        <x:f>MAX(1,ROUND('기준스탯 72종'!D12-R119-Z119,0))</x:f>
        <x:v>4</x:v>
      </x:c>
      <x:c r="K119" s="2" t="n">
        <x:f>MAX(1,ROUND('기준스탯 72종'!E12-S119-AA119,0))</x:f>
        <x:v>3</x:v>
      </x:c>
      <x:c r="L119" s="2" t="n">
        <x:f>MAX(1,ROUND('기준스탯 72종'!F12-T119-AB119,0))</x:f>
        <x:v>3</x:v>
      </x:c>
      <x:c r="M119" s="2" t="n">
        <x:f>MAX(1,ROUND('기준스탯 72종'!G12-U119-AC119,0))</x:f>
        <x:v>4</x:v>
      </x:c>
      <x:c r="N119" s="2" t="n">
        <x:f>MAX(0,ROUND('기준스탯 72종'!H12-V119-AD119,0))</x:f>
        <x:v>3</x:v>
      </x:c>
      <x:c r="O119" s="2" t="n">
        <x:f>MAX(0,ROUND('기준스탯 72종'!I12-W119-AE119,0))</x:f>
        <x:v>3</x:v>
      </x:c>
      <x:c r="P119" s="2" t="n">
        <x:f>MAX(0,ROUND('기준스탯 72종'!J12-X119-AF119,0))</x:f>
        <x:v>1</x:v>
      </x:c>
      <x:c r="Q119" s="2" t="n">
        <x:f>MAX(0,ROUND('기준스탯 72종'!K12-Y119-AG119,0))</x:f>
        <x:v>0</x:v>
      </x:c>
      <x:c r="R119" s="15" t="n">
        <x:f>'기준스탯 72종'!D12*G119</x:f>
        <x:v>3.7799999999999994</x:v>
      </x:c>
      <x:c r="S119" s="15" t="n">
        <x:f>'기준스탯 72종'!E12*G119</x:f>
        <x:v>2.9399999999999995</x:v>
      </x:c>
      <x:c r="T119" s="15" t="n">
        <x:f>'기준스탯 72종'!F12*G119</x:f>
        <x:v>2.5199999999999996</x:v>
      </x:c>
      <x:c r="U119" s="15" t="n">
        <x:f>'기준스탯 72종'!G12*G119</x:f>
        <x:v>3.3599999999999994</x:v>
      </x:c>
      <x:c r="V119" s="15" t="n">
        <x:f>'기준스탯 72종'!H12*G119</x:f>
        <x:v>2.5199999999999996</x:v>
      </x:c>
      <x:c r="W119" s="15" t="n">
        <x:f>'기준스탯 72종'!I12*G119</x:f>
        <x:v>2.9399999999999995</x:v>
      </x:c>
      <x:c r="X119" s="15" t="n">
        <x:f>'기준스탯 72종'!J12*G119</x:f>
        <x:v>0.8399999999999999</x:v>
      </x:c>
      <x:c r="Y119" s="15" t="n">
        <x:f>'기준스탯 72종'!K12*G119</x:f>
        <x:v>0.41999999999999993</x:v>
      </x:c>
      <x:c r="Z119" s="15" t="n">
        <x:f>'기준스탯 72종'!D12*H119</x:f>
        <x:v>1.0800000000000003</x:v>
      </x:c>
      <x:c r="AA119" s="15" t="n">
        <x:f>'기준스탯 72종'!E12*H119</x:f>
        <x:v>0.8400000000000002</x:v>
      </x:c>
      <x:c r="AB119" s="15" t="n">
        <x:f>'기준스탯 72종'!F12*H119</x:f>
        <x:v>0.7200000000000002</x:v>
      </x:c>
      <x:c r="AC119" s="15" t="n">
        <x:f>'기준스탯 72종'!G12*H119</x:f>
        <x:v>0.9600000000000002</x:v>
      </x:c>
      <x:c r="AD119" s="15" t="n">
        <x:f>'기준스탯 72종'!H12*H119</x:f>
        <x:v>0.7200000000000002</x:v>
      </x:c>
      <x:c r="AE119" s="15" t="n">
        <x:f>'기준스탯 72종'!I12*H119</x:f>
        <x:v>0.8400000000000002</x:v>
      </x:c>
      <x:c r="AF119" s="15" t="n">
        <x:f>'기준스탯 72종'!J12*H119</x:f>
        <x:v>0.24000000000000005</x:v>
      </x:c>
      <x:c r="AG119" s="15" t="n">
        <x:f>'기준스탯 72종'!K12*H119</x:f>
        <x:v>0.12000000000000002</x:v>
      </x:c>
    </x:row>
    <x:row r="120" ht="28" customHeight="1">
      <x:c r="A120" s="2" t="n">
        <x:v>113</x:v>
      </x:c>
      <x:c r="B120" s="2" t="n">
        <x:v>5</x:v>
      </x:c>
      <x:c r="C120" s="2" t="str">
        <x:v>양자리</x:v>
      </x:c>
      <x:c r="D120" s="2" t="str">
        <x:v>도적</x:v>
      </x:c>
      <x:c r="E120" s="2" t="n">
        <x:v>3</x:v>
      </x:c>
      <x:c r="F120" s="2" t="n">
        <x:v>3</x:v>
      </x:c>
      <x:c r="G120" s="14" t="n">
        <x:f>('레벨 계산식'!$E$4-E120)*'레벨 계산식'!$B$5</x:f>
        <x:v>0.27999999999999997</x:v>
      </x:c>
      <x:c r="H120" s="14" t="n">
        <x:f>('등급 계산식'!$E$4-F120)*'등급 계산식'!$B$5</x:f>
        <x:v>0.12000000000000002</x:v>
      </x:c>
      <x:c r="I120" s="14" t="n">
        <x:f>1-G120-H120</x:f>
        <x:v>0.6</x:v>
      </x:c>
      <x:c r="J120" s="2" t="n">
        <x:f>MAX(1,ROUND('기준스탯 72종'!D12-R120-Z120,0))</x:f>
        <x:v>5</x:v>
      </x:c>
      <x:c r="K120" s="2" t="n">
        <x:f>MAX(1,ROUND('기준스탯 72종'!E12-S120-AA120,0))</x:f>
        <x:v>4</x:v>
      </x:c>
      <x:c r="L120" s="2" t="n">
        <x:f>MAX(1,ROUND('기준스탯 72종'!F12-T120-AB120,0))</x:f>
        <x:v>4</x:v>
      </x:c>
      <x:c r="M120" s="2" t="n">
        <x:f>MAX(1,ROUND('기준스탯 72종'!G12-U120-AC120,0))</x:f>
        <x:v>5</x:v>
      </x:c>
      <x:c r="N120" s="2" t="n">
        <x:f>MAX(0,ROUND('기준스탯 72종'!H12-V120-AD120,0))</x:f>
        <x:v>4</x:v>
      </x:c>
      <x:c r="O120" s="2" t="n">
        <x:f>MAX(0,ROUND('기준스탯 72종'!I12-W120-AE120,0))</x:f>
        <x:v>4</x:v>
      </x:c>
      <x:c r="P120" s="2" t="n">
        <x:f>MAX(0,ROUND('기준스탯 72종'!J12-X120-AF120,0))</x:f>
        <x:v>1</x:v>
      </x:c>
      <x:c r="Q120" s="2" t="n">
        <x:f>MAX(0,ROUND('기준스탯 72종'!K12-Y120-AG120,0))</x:f>
        <x:v>1</x:v>
      </x:c>
      <x:c r="R120" s="15" t="n">
        <x:f>'기준스탯 72종'!D12*G120</x:f>
        <x:v>2.5199999999999996</x:v>
      </x:c>
      <x:c r="S120" s="15" t="n">
        <x:f>'기준스탯 72종'!E12*G120</x:f>
        <x:v>1.9599999999999997</x:v>
      </x:c>
      <x:c r="T120" s="15" t="n">
        <x:f>'기준스탯 72종'!F12*G120</x:f>
        <x:v>1.6799999999999997</x:v>
      </x:c>
      <x:c r="U120" s="15" t="n">
        <x:f>'기준스탯 72종'!G12*G120</x:f>
        <x:v>2.2399999999999998</x:v>
      </x:c>
      <x:c r="V120" s="15" t="n">
        <x:f>'기준스탯 72종'!H12*G120</x:f>
        <x:v>1.6799999999999997</x:v>
      </x:c>
      <x:c r="W120" s="15" t="n">
        <x:f>'기준스탯 72종'!I12*G120</x:f>
        <x:v>1.9599999999999997</x:v>
      </x:c>
      <x:c r="X120" s="15" t="n">
        <x:f>'기준스탯 72종'!J12*G120</x:f>
        <x:v>0.5599999999999999</x:v>
      </x:c>
      <x:c r="Y120" s="15" t="n">
        <x:f>'기준스탯 72종'!K12*G120</x:f>
        <x:v>0.27999999999999997</x:v>
      </x:c>
      <x:c r="Z120" s="15" t="n">
        <x:f>'기준스탯 72종'!D12*H120</x:f>
        <x:v>1.0800000000000003</x:v>
      </x:c>
      <x:c r="AA120" s="15" t="n">
        <x:f>'기준스탯 72종'!E12*H120</x:f>
        <x:v>0.8400000000000002</x:v>
      </x:c>
      <x:c r="AB120" s="15" t="n">
        <x:f>'기준스탯 72종'!F12*H120</x:f>
        <x:v>0.7200000000000002</x:v>
      </x:c>
      <x:c r="AC120" s="15" t="n">
        <x:f>'기준스탯 72종'!G12*H120</x:f>
        <x:v>0.9600000000000002</x:v>
      </x:c>
      <x:c r="AD120" s="15" t="n">
        <x:f>'기준스탯 72종'!H12*H120</x:f>
        <x:v>0.7200000000000002</x:v>
      </x:c>
      <x:c r="AE120" s="15" t="n">
        <x:f>'기준스탯 72종'!I12*H120</x:f>
        <x:v>0.8400000000000002</x:v>
      </x:c>
      <x:c r="AF120" s="15" t="n">
        <x:f>'기준스탯 72종'!J12*H120</x:f>
        <x:v>0.24000000000000005</x:v>
      </x:c>
      <x:c r="AG120" s="15" t="n">
        <x:f>'기준스탯 72종'!K12*H120</x:f>
        <x:v>0.12000000000000002</x:v>
      </x:c>
    </x:row>
    <x:row r="121" ht="28" customHeight="1">
      <x:c r="A121" s="2" t="n">
        <x:v>114</x:v>
      </x:c>
      <x:c r="B121" s="2" t="n">
        <x:v>5</x:v>
      </x:c>
      <x:c r="C121" s="2" t="str">
        <x:v>양자리</x:v>
      </x:c>
      <x:c r="D121" s="2" t="str">
        <x:v>도적</x:v>
      </x:c>
      <x:c r="E121" s="2" t="n">
        <x:v>4</x:v>
      </x:c>
      <x:c r="F121" s="2" t="n">
        <x:v>3</x:v>
      </x:c>
      <x:c r="G121" s="14" t="n">
        <x:f>('레벨 계산식'!$E$4-E121)*'레벨 계산식'!$B$5</x:f>
        <x:v>0.13999999999999999</x:v>
      </x:c>
      <x:c r="H121" s="14" t="n">
        <x:f>('등급 계산식'!$E$4-F121)*'등급 계산식'!$B$5</x:f>
        <x:v>0.12000000000000002</x:v>
      </x:c>
      <x:c r="I121" s="14" t="n">
        <x:f>1-G121-H121</x:f>
        <x:v>0.74</x:v>
      </x:c>
      <x:c r="J121" s="2" t="n">
        <x:f>MAX(1,ROUND('기준스탯 72종'!D12-R121-Z121,0))</x:f>
        <x:v>7</x:v>
      </x:c>
      <x:c r="K121" s="2" t="n">
        <x:f>MAX(1,ROUND('기준스탯 72종'!E12-S121-AA121,0))</x:f>
        <x:v>5</x:v>
      </x:c>
      <x:c r="L121" s="2" t="n">
        <x:f>MAX(1,ROUND('기준스탯 72종'!F12-T121-AB121,0))</x:f>
        <x:v>4</x:v>
      </x:c>
      <x:c r="M121" s="2" t="n">
        <x:f>MAX(1,ROUND('기준스탯 72종'!G12-U121-AC121,0))</x:f>
        <x:v>6</x:v>
      </x:c>
      <x:c r="N121" s="2" t="n">
        <x:f>MAX(0,ROUND('기준스탯 72종'!H12-V121-AD121,0))</x:f>
        <x:v>4</x:v>
      </x:c>
      <x:c r="O121" s="2" t="n">
        <x:f>MAX(0,ROUND('기준스탯 72종'!I12-W121-AE121,0))</x:f>
        <x:v>5</x:v>
      </x:c>
      <x:c r="P121" s="2" t="n">
        <x:f>MAX(0,ROUND('기준스탯 72종'!J12-X121-AF121,0))</x:f>
        <x:v>1</x:v>
      </x:c>
      <x:c r="Q121" s="2" t="n">
        <x:f>MAX(0,ROUND('기준스탯 72종'!K12-Y121-AG121,0))</x:f>
        <x:v>1</x:v>
      </x:c>
      <x:c r="R121" s="15" t="n">
        <x:f>'기준스탯 72종'!D12*G121</x:f>
        <x:v>1.2599999999999998</x:v>
      </x:c>
      <x:c r="S121" s="15" t="n">
        <x:f>'기준스탯 72종'!E12*G121</x:f>
        <x:v>0.9799999999999999</x:v>
      </x:c>
      <x:c r="T121" s="15" t="n">
        <x:f>'기준스탯 72종'!F12*G121</x:f>
        <x:v>0.8399999999999999</x:v>
      </x:c>
      <x:c r="U121" s="15" t="n">
        <x:f>'기준스탯 72종'!G12*G121</x:f>
        <x:v>1.1199999999999999</x:v>
      </x:c>
      <x:c r="V121" s="15" t="n">
        <x:f>'기준스탯 72종'!H12*G121</x:f>
        <x:v>0.8399999999999999</x:v>
      </x:c>
      <x:c r="W121" s="15" t="n">
        <x:f>'기준스탯 72종'!I12*G121</x:f>
        <x:v>0.9799999999999999</x:v>
      </x:c>
      <x:c r="X121" s="15" t="n">
        <x:f>'기준스탯 72종'!J12*G121</x:f>
        <x:v>0.27999999999999997</x:v>
      </x:c>
      <x:c r="Y121" s="15" t="n">
        <x:f>'기준스탯 72종'!K12*G121</x:f>
        <x:v>0.13999999999999999</x:v>
      </x:c>
      <x:c r="Z121" s="15" t="n">
        <x:f>'기준스탯 72종'!D12*H121</x:f>
        <x:v>1.0800000000000003</x:v>
      </x:c>
      <x:c r="AA121" s="15" t="n">
        <x:f>'기준스탯 72종'!E12*H121</x:f>
        <x:v>0.8400000000000002</x:v>
      </x:c>
      <x:c r="AB121" s="15" t="n">
        <x:f>'기준스탯 72종'!F12*H121</x:f>
        <x:v>0.7200000000000002</x:v>
      </x:c>
      <x:c r="AC121" s="15" t="n">
        <x:f>'기준스탯 72종'!G12*H121</x:f>
        <x:v>0.9600000000000002</x:v>
      </x:c>
      <x:c r="AD121" s="15" t="n">
        <x:f>'기준스탯 72종'!H12*H121</x:f>
        <x:v>0.7200000000000002</x:v>
      </x:c>
      <x:c r="AE121" s="15" t="n">
        <x:f>'기준스탯 72종'!I12*H121</x:f>
        <x:v>0.8400000000000002</x:v>
      </x:c>
      <x:c r="AF121" s="15" t="n">
        <x:f>'기준스탯 72종'!J12*H121</x:f>
        <x:v>0.24000000000000005</x:v>
      </x:c>
      <x:c r="AG121" s="15" t="n">
        <x:f>'기준스탯 72종'!K12*H121</x:f>
        <x:v>0.12000000000000002</x:v>
      </x:c>
    </x:row>
    <x:row r="122" ht="28" customHeight="1">
      <x:c r="A122" s="2" t="n">
        <x:v>115</x:v>
      </x:c>
      <x:c r="B122" s="2" t="n">
        <x:v>5</x:v>
      </x:c>
      <x:c r="C122" s="2" t="str">
        <x:v>양자리</x:v>
      </x:c>
      <x:c r="D122" s="2" t="str">
        <x:v>도적</x:v>
      </x:c>
      <x:c r="E122" s="2" t="n">
        <x:v>5</x:v>
      </x:c>
      <x:c r="F122" s="2" t="n">
        <x:v>3</x:v>
      </x:c>
      <x:c r="G122" s="14" t="n">
        <x:f>('레벨 계산식'!$E$4-E122)*'레벨 계산식'!$B$5</x:f>
        <x:v>0</x:v>
      </x:c>
      <x:c r="H122" s="14" t="n">
        <x:f>('등급 계산식'!$E$4-F122)*'등급 계산식'!$B$5</x:f>
        <x:v>0.12000000000000002</x:v>
      </x:c>
      <x:c r="I122" s="14" t="n">
        <x:f>1-G122-H122</x:f>
        <x:v>0.88</x:v>
      </x:c>
      <x:c r="J122" s="2" t="n">
        <x:f>MAX(1,ROUND('기준스탯 72종'!D12-R122-Z122,0))</x:f>
        <x:v>8</x:v>
      </x:c>
      <x:c r="K122" s="2" t="n">
        <x:f>MAX(1,ROUND('기준스탯 72종'!E12-S122-AA122,0))</x:f>
        <x:v>6</x:v>
      </x:c>
      <x:c r="L122" s="2" t="n">
        <x:f>MAX(1,ROUND('기준스탯 72종'!F12-T122-AB122,0))</x:f>
        <x:v>5</x:v>
      </x:c>
      <x:c r="M122" s="2" t="n">
        <x:f>MAX(1,ROUND('기준스탯 72종'!G12-U122-AC122,0))</x:f>
        <x:v>7</x:v>
      </x:c>
      <x:c r="N122" s="2" t="n">
        <x:f>MAX(0,ROUND('기준스탯 72종'!H12-V122-AD122,0))</x:f>
        <x:v>5</x:v>
      </x:c>
      <x:c r="O122" s="2" t="n">
        <x:f>MAX(0,ROUND('기준스탯 72종'!I12-W122-AE122,0))</x:f>
        <x:v>6</x:v>
      </x:c>
      <x:c r="P122" s="2" t="n">
        <x:f>MAX(0,ROUND('기준스탯 72종'!J12-X122-AF122,0))</x:f>
        <x:v>2</x:v>
      </x:c>
      <x:c r="Q122" s="2" t="n">
        <x:f>MAX(0,ROUND('기준스탯 72종'!K12-Y122-AG122,0))</x:f>
        <x:v>1</x:v>
      </x:c>
      <x:c r="R122" s="15" t="n">
        <x:f>'기준스탯 72종'!D12*G122</x:f>
        <x:v>0</x:v>
      </x:c>
      <x:c r="S122" s="15" t="n">
        <x:f>'기준스탯 72종'!E12*G122</x:f>
        <x:v>0</x:v>
      </x:c>
      <x:c r="T122" s="15" t="n">
        <x:f>'기준스탯 72종'!F12*G122</x:f>
        <x:v>0</x:v>
      </x:c>
      <x:c r="U122" s="15" t="n">
        <x:f>'기준스탯 72종'!G12*G122</x:f>
        <x:v>0</x:v>
      </x:c>
      <x:c r="V122" s="15" t="n">
        <x:f>'기준스탯 72종'!H12*G122</x:f>
        <x:v>0</x:v>
      </x:c>
      <x:c r="W122" s="15" t="n">
        <x:f>'기준스탯 72종'!I12*G122</x:f>
        <x:v>0</x:v>
      </x:c>
      <x:c r="X122" s="15" t="n">
        <x:f>'기준스탯 72종'!J12*G122</x:f>
        <x:v>0</x:v>
      </x:c>
      <x:c r="Y122" s="15" t="n">
        <x:f>'기준스탯 72종'!K12*G122</x:f>
        <x:v>0</x:v>
      </x:c>
      <x:c r="Z122" s="15" t="n">
        <x:f>'기준스탯 72종'!D12*H122</x:f>
        <x:v>1.0800000000000003</x:v>
      </x:c>
      <x:c r="AA122" s="15" t="n">
        <x:f>'기준스탯 72종'!E12*H122</x:f>
        <x:v>0.8400000000000002</x:v>
      </x:c>
      <x:c r="AB122" s="15" t="n">
        <x:f>'기준스탯 72종'!F12*H122</x:f>
        <x:v>0.7200000000000002</x:v>
      </x:c>
      <x:c r="AC122" s="15" t="n">
        <x:f>'기준스탯 72종'!G12*H122</x:f>
        <x:v>0.9600000000000002</x:v>
      </x:c>
      <x:c r="AD122" s="15" t="n">
        <x:f>'기준스탯 72종'!H12*H122</x:f>
        <x:v>0.7200000000000002</x:v>
      </x:c>
      <x:c r="AE122" s="15" t="n">
        <x:f>'기준스탯 72종'!I12*H122</x:f>
        <x:v>0.8400000000000002</x:v>
      </x:c>
      <x:c r="AF122" s="15" t="n">
        <x:f>'기준스탯 72종'!J12*H122</x:f>
        <x:v>0.24000000000000005</x:v>
      </x:c>
      <x:c r="AG122" s="15" t="n">
        <x:f>'기준스탯 72종'!K12*H122</x:f>
        <x:v>0.12000000000000002</x:v>
      </x:c>
    </x:row>
    <x:row r="123" ht="28" customHeight="1">
      <x:c r="A123" s="2" t="n">
        <x:v>116</x:v>
      </x:c>
      <x:c r="B123" s="2" t="n">
        <x:v>5</x:v>
      </x:c>
      <x:c r="C123" s="2" t="str">
        <x:v>양자리</x:v>
      </x:c>
      <x:c r="D123" s="2" t="str">
        <x:v>도적</x:v>
      </x:c>
      <x:c r="E123" s="2" t="n">
        <x:v>1</x:v>
      </x:c>
      <x:c r="F123" s="2" t="n">
        <x:v>4</x:v>
      </x:c>
      <x:c r="G123" s="14" t="n">
        <x:f>('레벨 계산식'!$E$4-E123)*'레벨 계산식'!$B$5</x:f>
        <x:v>0.5599999999999999</x:v>
      </x:c>
      <x:c r="H123" s="14" t="n">
        <x:f>('등급 계산식'!$E$4-F123)*'등급 계산식'!$B$5</x:f>
        <x:v>0.06000000000000001</x:v>
      </x:c>
      <x:c r="I123" s="14" t="n">
        <x:f>1-G123-H123</x:f>
        <x:v>0.38000000000000006</x:v>
      </x:c>
      <x:c r="J123" s="2" t="n">
        <x:f>MAX(1,ROUND('기준스탯 72종'!D12-R123-Z123,0))</x:f>
        <x:v>3</x:v>
      </x:c>
      <x:c r="K123" s="2" t="n">
        <x:f>MAX(1,ROUND('기준스탯 72종'!E12-S123-AA123,0))</x:f>
        <x:v>3</x:v>
      </x:c>
      <x:c r="L123" s="2" t="n">
        <x:f>MAX(1,ROUND('기준스탯 72종'!F12-T123-AB123,0))</x:f>
        <x:v>2</x:v>
      </x:c>
      <x:c r="M123" s="2" t="n">
        <x:f>MAX(1,ROUND('기준스탯 72종'!G12-U123-AC123,0))</x:f>
        <x:v>3</x:v>
      </x:c>
      <x:c r="N123" s="2" t="n">
        <x:f>MAX(0,ROUND('기준스탯 72종'!H12-V123-AD123,0))</x:f>
        <x:v>2</x:v>
      </x:c>
      <x:c r="O123" s="2" t="n">
        <x:f>MAX(0,ROUND('기준스탯 72종'!I12-W123-AE123,0))</x:f>
        <x:v>3</x:v>
      </x:c>
      <x:c r="P123" s="2" t="n">
        <x:f>MAX(0,ROUND('기준스탯 72종'!J12-X123-AF123,0))</x:f>
        <x:v>1</x:v>
      </x:c>
      <x:c r="Q123" s="2" t="n">
        <x:f>MAX(0,ROUND('기준스탯 72종'!K12-Y123-AG123,0))</x:f>
        <x:v>0</x:v>
      </x:c>
      <x:c r="R123" s="15" t="n">
        <x:f>'기준스탯 72종'!D12*G123</x:f>
        <x:v>5.039999999999999</x:v>
      </x:c>
      <x:c r="S123" s="15" t="n">
        <x:f>'기준스탯 72종'!E12*G123</x:f>
        <x:v>3.9199999999999995</x:v>
      </x:c>
      <x:c r="T123" s="15" t="n">
        <x:f>'기준스탯 72종'!F12*G123</x:f>
        <x:v>3.3599999999999994</x:v>
      </x:c>
      <x:c r="U123" s="15" t="n">
        <x:f>'기준스탯 72종'!G12*G123</x:f>
        <x:v>4.4799999999999995</x:v>
      </x:c>
      <x:c r="V123" s="15" t="n">
        <x:f>'기준스탯 72종'!H12*G123</x:f>
        <x:v>3.3599999999999994</x:v>
      </x:c>
      <x:c r="W123" s="15" t="n">
        <x:f>'기준스탯 72종'!I12*G123</x:f>
        <x:v>3.9199999999999995</x:v>
      </x:c>
      <x:c r="X123" s="15" t="n">
        <x:f>'기준스탯 72종'!J12*G123</x:f>
        <x:v>1.1199999999999999</x:v>
      </x:c>
      <x:c r="Y123" s="15" t="n">
        <x:f>'기준스탯 72종'!K12*G123</x:f>
        <x:v>0.5599999999999999</x:v>
      </x:c>
      <x:c r="Z123" s="15" t="n">
        <x:f>'기준스탯 72종'!D12*H123</x:f>
        <x:v>0.5400000000000001</x:v>
      </x:c>
      <x:c r="AA123" s="15" t="n">
        <x:f>'기준스탯 72종'!E12*H123</x:f>
        <x:v>0.4200000000000001</x:v>
      </x:c>
      <x:c r="AB123" s="15" t="n">
        <x:f>'기준스탯 72종'!F12*H123</x:f>
        <x:v>0.3600000000000001</x:v>
      </x:c>
      <x:c r="AC123" s="15" t="n">
        <x:f>'기준스탯 72종'!G12*H123</x:f>
        <x:v>0.4800000000000001</x:v>
      </x:c>
      <x:c r="AD123" s="15" t="n">
        <x:f>'기준스탯 72종'!H12*H123</x:f>
        <x:v>0.3600000000000001</x:v>
      </x:c>
      <x:c r="AE123" s="15" t="n">
        <x:f>'기준스탯 72종'!I12*H123</x:f>
        <x:v>0.4200000000000001</x:v>
      </x:c>
      <x:c r="AF123" s="15" t="n">
        <x:f>'기준스탯 72종'!J12*H123</x:f>
        <x:v>0.12000000000000002</x:v>
      </x:c>
      <x:c r="AG123" s="15" t="n">
        <x:f>'기준스탯 72종'!K12*H123</x:f>
        <x:v>0.06000000000000001</x:v>
      </x:c>
    </x:row>
    <x:row r="124" ht="28" customHeight="1">
      <x:c r="A124" s="2" t="n">
        <x:v>117</x:v>
      </x:c>
      <x:c r="B124" s="2" t="n">
        <x:v>5</x:v>
      </x:c>
      <x:c r="C124" s="2" t="str">
        <x:v>양자리</x:v>
      </x:c>
      <x:c r="D124" s="2" t="str">
        <x:v>도적</x:v>
      </x:c>
      <x:c r="E124" s="2" t="n">
        <x:v>2</x:v>
      </x:c>
      <x:c r="F124" s="2" t="n">
        <x:v>4</x:v>
      </x:c>
      <x:c r="G124" s="14" t="n">
        <x:f>('레벨 계산식'!$E$4-E124)*'레벨 계산식'!$B$5</x:f>
        <x:v>0.41999999999999993</x:v>
      </x:c>
      <x:c r="H124" s="14" t="n">
        <x:f>('등급 계산식'!$E$4-F124)*'등급 계산식'!$B$5</x:f>
        <x:v>0.06000000000000001</x:v>
      </x:c>
      <x:c r="I124" s="14" t="n">
        <x:f>1-G124-H124</x:f>
        <x:v>0.52</x:v>
      </x:c>
      <x:c r="J124" s="2" t="n">
        <x:f>MAX(1,ROUND('기준스탯 72종'!D12-R124-Z124,0))</x:f>
        <x:v>5</x:v>
      </x:c>
      <x:c r="K124" s="2" t="n">
        <x:f>MAX(1,ROUND('기준스탯 72종'!E12-S124-AA124,0))</x:f>
        <x:v>4</x:v>
      </x:c>
      <x:c r="L124" s="2" t="n">
        <x:f>MAX(1,ROUND('기준스탯 72종'!F12-T124-AB124,0))</x:f>
        <x:v>3</x:v>
      </x:c>
      <x:c r="M124" s="2" t="n">
        <x:f>MAX(1,ROUND('기준스탯 72종'!G12-U124-AC124,0))</x:f>
        <x:v>4</x:v>
      </x:c>
      <x:c r="N124" s="2" t="n">
        <x:f>MAX(0,ROUND('기준스탯 72종'!H12-V124-AD124,0))</x:f>
        <x:v>3</x:v>
      </x:c>
      <x:c r="O124" s="2" t="n">
        <x:f>MAX(0,ROUND('기준스탯 72종'!I12-W124-AE124,0))</x:f>
        <x:v>4</x:v>
      </x:c>
      <x:c r="P124" s="2" t="n">
        <x:f>MAX(0,ROUND('기준스탯 72종'!J12-X124-AF124,0))</x:f>
        <x:v>1</x:v>
      </x:c>
      <x:c r="Q124" s="2" t="n">
        <x:f>MAX(0,ROUND('기준스탯 72종'!K12-Y124-AG124,0))</x:f>
        <x:v>1</x:v>
      </x:c>
      <x:c r="R124" s="15" t="n">
        <x:f>'기준스탯 72종'!D12*G124</x:f>
        <x:v>3.7799999999999994</x:v>
      </x:c>
      <x:c r="S124" s="15" t="n">
        <x:f>'기준스탯 72종'!E12*G124</x:f>
        <x:v>2.9399999999999995</x:v>
      </x:c>
      <x:c r="T124" s="15" t="n">
        <x:f>'기준스탯 72종'!F12*G124</x:f>
        <x:v>2.5199999999999996</x:v>
      </x:c>
      <x:c r="U124" s="15" t="n">
        <x:f>'기준스탯 72종'!G12*G124</x:f>
        <x:v>3.3599999999999994</x:v>
      </x:c>
      <x:c r="V124" s="15" t="n">
        <x:f>'기준스탯 72종'!H12*G124</x:f>
        <x:v>2.5199999999999996</x:v>
      </x:c>
      <x:c r="W124" s="15" t="n">
        <x:f>'기준스탯 72종'!I12*G124</x:f>
        <x:v>2.9399999999999995</x:v>
      </x:c>
      <x:c r="X124" s="15" t="n">
        <x:f>'기준스탯 72종'!J12*G124</x:f>
        <x:v>0.8399999999999999</x:v>
      </x:c>
      <x:c r="Y124" s="15" t="n">
        <x:f>'기준스탯 72종'!K12*G124</x:f>
        <x:v>0.41999999999999993</x:v>
      </x:c>
      <x:c r="Z124" s="15" t="n">
        <x:f>'기준스탯 72종'!D12*H124</x:f>
        <x:v>0.5400000000000001</x:v>
      </x:c>
      <x:c r="AA124" s="15" t="n">
        <x:f>'기준스탯 72종'!E12*H124</x:f>
        <x:v>0.4200000000000001</x:v>
      </x:c>
      <x:c r="AB124" s="15" t="n">
        <x:f>'기준스탯 72종'!F12*H124</x:f>
        <x:v>0.3600000000000001</x:v>
      </x:c>
      <x:c r="AC124" s="15" t="n">
        <x:f>'기준스탯 72종'!G12*H124</x:f>
        <x:v>0.4800000000000001</x:v>
      </x:c>
      <x:c r="AD124" s="15" t="n">
        <x:f>'기준스탯 72종'!H12*H124</x:f>
        <x:v>0.3600000000000001</x:v>
      </x:c>
      <x:c r="AE124" s="15" t="n">
        <x:f>'기준스탯 72종'!I12*H124</x:f>
        <x:v>0.4200000000000001</x:v>
      </x:c>
      <x:c r="AF124" s="15" t="n">
        <x:f>'기준스탯 72종'!J12*H124</x:f>
        <x:v>0.12000000000000002</x:v>
      </x:c>
      <x:c r="AG124" s="15" t="n">
        <x:f>'기준스탯 72종'!K12*H124</x:f>
        <x:v>0.06000000000000001</x:v>
      </x:c>
    </x:row>
    <x:row r="125" ht="28" customHeight="1">
      <x:c r="A125" s="2" t="n">
        <x:v>118</x:v>
      </x:c>
      <x:c r="B125" s="2" t="n">
        <x:v>5</x:v>
      </x:c>
      <x:c r="C125" s="2" t="str">
        <x:v>양자리</x:v>
      </x:c>
      <x:c r="D125" s="2" t="str">
        <x:v>도적</x:v>
      </x:c>
      <x:c r="E125" s="2" t="n">
        <x:v>3</x:v>
      </x:c>
      <x:c r="F125" s="2" t="n">
        <x:v>4</x:v>
      </x:c>
      <x:c r="G125" s="14" t="n">
        <x:f>('레벨 계산식'!$E$4-E125)*'레벨 계산식'!$B$5</x:f>
        <x:v>0.27999999999999997</x:v>
      </x:c>
      <x:c r="H125" s="14" t="n">
        <x:f>('등급 계산식'!$E$4-F125)*'등급 계산식'!$B$5</x:f>
        <x:v>0.06000000000000001</x:v>
      </x:c>
      <x:c r="I125" s="14" t="n">
        <x:f>1-G125-H125</x:f>
        <x:v>0.6599999999999999</x:v>
      </x:c>
      <x:c r="J125" s="2" t="n">
        <x:f>MAX(1,ROUND('기준스탯 72종'!D12-R125-Z125,0))</x:f>
        <x:v>6</x:v>
      </x:c>
      <x:c r="K125" s="2" t="n">
        <x:f>MAX(1,ROUND('기준스탯 72종'!E12-S125-AA125,0))</x:f>
        <x:v>5</x:v>
      </x:c>
      <x:c r="L125" s="2" t="n">
        <x:f>MAX(1,ROUND('기준스탯 72종'!F12-T125-AB125,0))</x:f>
        <x:v>4</x:v>
      </x:c>
      <x:c r="M125" s="2" t="n">
        <x:f>MAX(1,ROUND('기준스탯 72종'!G12-U125-AC125,0))</x:f>
        <x:v>5</x:v>
      </x:c>
      <x:c r="N125" s="2" t="n">
        <x:f>MAX(0,ROUND('기준스탯 72종'!H12-V125-AD125,0))</x:f>
        <x:v>4</x:v>
      </x:c>
      <x:c r="O125" s="2" t="n">
        <x:f>MAX(0,ROUND('기준스탯 72종'!I12-W125-AE125,0))</x:f>
        <x:v>5</x:v>
      </x:c>
      <x:c r="P125" s="2" t="n">
        <x:f>MAX(0,ROUND('기준스탯 72종'!J12-X125-AF125,0))</x:f>
        <x:v>1</x:v>
      </x:c>
      <x:c r="Q125" s="2" t="n">
        <x:f>MAX(0,ROUND('기준스탯 72종'!K12-Y125-AG125,0))</x:f>
        <x:v>1</x:v>
      </x:c>
      <x:c r="R125" s="15" t="n">
        <x:f>'기준스탯 72종'!D12*G125</x:f>
        <x:v>2.5199999999999996</x:v>
      </x:c>
      <x:c r="S125" s="15" t="n">
        <x:f>'기준스탯 72종'!E12*G125</x:f>
        <x:v>1.9599999999999997</x:v>
      </x:c>
      <x:c r="T125" s="15" t="n">
        <x:f>'기준스탯 72종'!F12*G125</x:f>
        <x:v>1.6799999999999997</x:v>
      </x:c>
      <x:c r="U125" s="15" t="n">
        <x:f>'기준스탯 72종'!G12*G125</x:f>
        <x:v>2.2399999999999998</x:v>
      </x:c>
      <x:c r="V125" s="15" t="n">
        <x:f>'기준스탯 72종'!H12*G125</x:f>
        <x:v>1.6799999999999997</x:v>
      </x:c>
      <x:c r="W125" s="15" t="n">
        <x:f>'기준스탯 72종'!I12*G125</x:f>
        <x:v>1.9599999999999997</x:v>
      </x:c>
      <x:c r="X125" s="15" t="n">
        <x:f>'기준스탯 72종'!J12*G125</x:f>
        <x:v>0.5599999999999999</x:v>
      </x:c>
      <x:c r="Y125" s="15" t="n">
        <x:f>'기준스탯 72종'!K12*G125</x:f>
        <x:v>0.27999999999999997</x:v>
      </x:c>
      <x:c r="Z125" s="15" t="n">
        <x:f>'기준스탯 72종'!D12*H125</x:f>
        <x:v>0.5400000000000001</x:v>
      </x:c>
      <x:c r="AA125" s="15" t="n">
        <x:f>'기준스탯 72종'!E12*H125</x:f>
        <x:v>0.4200000000000001</x:v>
      </x:c>
      <x:c r="AB125" s="15" t="n">
        <x:f>'기준스탯 72종'!F12*H125</x:f>
        <x:v>0.3600000000000001</x:v>
      </x:c>
      <x:c r="AC125" s="15" t="n">
        <x:f>'기준스탯 72종'!G12*H125</x:f>
        <x:v>0.4800000000000001</x:v>
      </x:c>
      <x:c r="AD125" s="15" t="n">
        <x:f>'기준스탯 72종'!H12*H125</x:f>
        <x:v>0.3600000000000001</x:v>
      </x:c>
      <x:c r="AE125" s="15" t="n">
        <x:f>'기준스탯 72종'!I12*H125</x:f>
        <x:v>0.4200000000000001</x:v>
      </x:c>
      <x:c r="AF125" s="15" t="n">
        <x:f>'기준스탯 72종'!J12*H125</x:f>
        <x:v>0.12000000000000002</x:v>
      </x:c>
      <x:c r="AG125" s="15" t="n">
        <x:f>'기준스탯 72종'!K12*H125</x:f>
        <x:v>0.06000000000000001</x:v>
      </x:c>
    </x:row>
    <x:row r="126" ht="28" customHeight="1">
      <x:c r="A126" s="2" t="n">
        <x:v>119</x:v>
      </x:c>
      <x:c r="B126" s="2" t="n">
        <x:v>5</x:v>
      </x:c>
      <x:c r="C126" s="2" t="str">
        <x:v>양자리</x:v>
      </x:c>
      <x:c r="D126" s="2" t="str">
        <x:v>도적</x:v>
      </x:c>
      <x:c r="E126" s="2" t="n">
        <x:v>4</x:v>
      </x:c>
      <x:c r="F126" s="2" t="n">
        <x:v>4</x:v>
      </x:c>
      <x:c r="G126" s="14" t="n">
        <x:f>('레벨 계산식'!$E$4-E126)*'레벨 계산식'!$B$5</x:f>
        <x:v>0.13999999999999999</x:v>
      </x:c>
      <x:c r="H126" s="14" t="n">
        <x:f>('등급 계산식'!$E$4-F126)*'등급 계산식'!$B$5</x:f>
        <x:v>0.06000000000000001</x:v>
      </x:c>
      <x:c r="I126" s="14" t="n">
        <x:f>1-G126-H126</x:f>
        <x:v>0.7999999999999999</x:v>
      </x:c>
      <x:c r="J126" s="2" t="n">
        <x:f>MAX(1,ROUND('기준스탯 72종'!D12-R126-Z126,0))</x:f>
        <x:v>7</x:v>
      </x:c>
      <x:c r="K126" s="2" t="n">
        <x:f>MAX(1,ROUND('기준스탯 72종'!E12-S126-AA126,0))</x:f>
        <x:v>6</x:v>
      </x:c>
      <x:c r="L126" s="2" t="n">
        <x:f>MAX(1,ROUND('기준스탯 72종'!F12-T126-AB126,0))</x:f>
        <x:v>5</x:v>
      </x:c>
      <x:c r="M126" s="2" t="n">
        <x:f>MAX(1,ROUND('기준스탯 72종'!G12-U126-AC126,0))</x:f>
        <x:v>6</x:v>
      </x:c>
      <x:c r="N126" s="2" t="n">
        <x:f>MAX(0,ROUND('기준스탯 72종'!H12-V126-AD126,0))</x:f>
        <x:v>5</x:v>
      </x:c>
      <x:c r="O126" s="2" t="n">
        <x:f>MAX(0,ROUND('기준스탯 72종'!I12-W126-AE126,0))</x:f>
        <x:v>6</x:v>
      </x:c>
      <x:c r="P126" s="2" t="n">
        <x:f>MAX(0,ROUND('기준스탯 72종'!J12-X126-AF126,0))</x:f>
        <x:v>2</x:v>
      </x:c>
      <x:c r="Q126" s="2" t="n">
        <x:f>MAX(0,ROUND('기준스탯 72종'!K12-Y126-AG126,0))</x:f>
        <x:v>1</x:v>
      </x:c>
      <x:c r="R126" s="15" t="n">
        <x:f>'기준스탯 72종'!D12*G126</x:f>
        <x:v>1.2599999999999998</x:v>
      </x:c>
      <x:c r="S126" s="15" t="n">
        <x:f>'기준스탯 72종'!E12*G126</x:f>
        <x:v>0.9799999999999999</x:v>
      </x:c>
      <x:c r="T126" s="15" t="n">
        <x:f>'기준스탯 72종'!F12*G126</x:f>
        <x:v>0.8399999999999999</x:v>
      </x:c>
      <x:c r="U126" s="15" t="n">
        <x:f>'기준스탯 72종'!G12*G126</x:f>
        <x:v>1.1199999999999999</x:v>
      </x:c>
      <x:c r="V126" s="15" t="n">
        <x:f>'기준스탯 72종'!H12*G126</x:f>
        <x:v>0.8399999999999999</x:v>
      </x:c>
      <x:c r="W126" s="15" t="n">
        <x:f>'기준스탯 72종'!I12*G126</x:f>
        <x:v>0.9799999999999999</x:v>
      </x:c>
      <x:c r="X126" s="15" t="n">
        <x:f>'기준스탯 72종'!J12*G126</x:f>
        <x:v>0.27999999999999997</x:v>
      </x:c>
      <x:c r="Y126" s="15" t="n">
        <x:f>'기준스탯 72종'!K12*G126</x:f>
        <x:v>0.13999999999999999</x:v>
      </x:c>
      <x:c r="Z126" s="15" t="n">
        <x:f>'기준스탯 72종'!D12*H126</x:f>
        <x:v>0.5400000000000001</x:v>
      </x:c>
      <x:c r="AA126" s="15" t="n">
        <x:f>'기준스탯 72종'!E12*H126</x:f>
        <x:v>0.4200000000000001</x:v>
      </x:c>
      <x:c r="AB126" s="15" t="n">
        <x:f>'기준스탯 72종'!F12*H126</x:f>
        <x:v>0.3600000000000001</x:v>
      </x:c>
      <x:c r="AC126" s="15" t="n">
        <x:f>'기준스탯 72종'!G12*H126</x:f>
        <x:v>0.4800000000000001</x:v>
      </x:c>
      <x:c r="AD126" s="15" t="n">
        <x:f>'기준스탯 72종'!H12*H126</x:f>
        <x:v>0.3600000000000001</x:v>
      </x:c>
      <x:c r="AE126" s="15" t="n">
        <x:f>'기준스탯 72종'!I12*H126</x:f>
        <x:v>0.4200000000000001</x:v>
      </x:c>
      <x:c r="AF126" s="15" t="n">
        <x:f>'기준스탯 72종'!J12*H126</x:f>
        <x:v>0.12000000000000002</x:v>
      </x:c>
      <x:c r="AG126" s="15" t="n">
        <x:f>'기준스탯 72종'!K12*H126</x:f>
        <x:v>0.06000000000000001</x:v>
      </x:c>
    </x:row>
    <x:row r="127" ht="28" customHeight="1">
      <x:c r="A127" s="2" t="n">
        <x:v>120</x:v>
      </x:c>
      <x:c r="B127" s="2" t="n">
        <x:v>5</x:v>
      </x:c>
      <x:c r="C127" s="2" t="str">
        <x:v>양자리</x:v>
      </x:c>
      <x:c r="D127" s="2" t="str">
        <x:v>도적</x:v>
      </x:c>
      <x:c r="E127" s="2" t="n">
        <x:v>5</x:v>
      </x:c>
      <x:c r="F127" s="2" t="n">
        <x:v>4</x:v>
      </x:c>
      <x:c r="G127" s="14" t="n">
        <x:f>('레벨 계산식'!$E$4-E127)*'레벨 계산식'!$B$5</x:f>
        <x:v>0</x:v>
      </x:c>
      <x:c r="H127" s="14" t="n">
        <x:f>('등급 계산식'!$E$4-F127)*'등급 계산식'!$B$5</x:f>
        <x:v>0.06000000000000001</x:v>
      </x:c>
      <x:c r="I127" s="14" t="n">
        <x:f>1-G127-H127</x:f>
        <x:v>0.94</x:v>
      </x:c>
      <x:c r="J127" s="2" t="n">
        <x:f>MAX(1,ROUND('기준스탯 72종'!D12-R127-Z127,0))</x:f>
        <x:v>8</x:v>
      </x:c>
      <x:c r="K127" s="2" t="n">
        <x:f>MAX(1,ROUND('기준스탯 72종'!E12-S127-AA127,0))</x:f>
        <x:v>7</x:v>
      </x:c>
      <x:c r="L127" s="2" t="n">
        <x:f>MAX(1,ROUND('기준스탯 72종'!F12-T127-AB127,0))</x:f>
        <x:v>6</x:v>
      </x:c>
      <x:c r="M127" s="2" t="n">
        <x:f>MAX(1,ROUND('기준스탯 72종'!G12-U127-AC127,0))</x:f>
        <x:v>8</x:v>
      </x:c>
      <x:c r="N127" s="2" t="n">
        <x:f>MAX(0,ROUND('기준스탯 72종'!H12-V127-AD127,0))</x:f>
        <x:v>6</x:v>
      </x:c>
      <x:c r="O127" s="2" t="n">
        <x:f>MAX(0,ROUND('기준스탯 72종'!I12-W127-AE127,0))</x:f>
        <x:v>7</x:v>
      </x:c>
      <x:c r="P127" s="2" t="n">
        <x:f>MAX(0,ROUND('기준스탯 72종'!J12-X127-AF127,0))</x:f>
        <x:v>2</x:v>
      </x:c>
      <x:c r="Q127" s="2" t="n">
        <x:f>MAX(0,ROUND('기준스탯 72종'!K12-Y127-AG127,0))</x:f>
        <x:v>1</x:v>
      </x:c>
      <x:c r="R127" s="15" t="n">
        <x:f>'기준스탯 72종'!D12*G127</x:f>
        <x:v>0</x:v>
      </x:c>
      <x:c r="S127" s="15" t="n">
        <x:f>'기준스탯 72종'!E12*G127</x:f>
        <x:v>0</x:v>
      </x:c>
      <x:c r="T127" s="15" t="n">
        <x:f>'기준스탯 72종'!F12*G127</x:f>
        <x:v>0</x:v>
      </x:c>
      <x:c r="U127" s="15" t="n">
        <x:f>'기준스탯 72종'!G12*G127</x:f>
        <x:v>0</x:v>
      </x:c>
      <x:c r="V127" s="15" t="n">
        <x:f>'기준스탯 72종'!H12*G127</x:f>
        <x:v>0</x:v>
      </x:c>
      <x:c r="W127" s="15" t="n">
        <x:f>'기준스탯 72종'!I12*G127</x:f>
        <x:v>0</x:v>
      </x:c>
      <x:c r="X127" s="15" t="n">
        <x:f>'기준스탯 72종'!J12*G127</x:f>
        <x:v>0</x:v>
      </x:c>
      <x:c r="Y127" s="15" t="n">
        <x:f>'기준스탯 72종'!K12*G127</x:f>
        <x:v>0</x:v>
      </x:c>
      <x:c r="Z127" s="15" t="n">
        <x:f>'기준스탯 72종'!D12*H127</x:f>
        <x:v>0.5400000000000001</x:v>
      </x:c>
      <x:c r="AA127" s="15" t="n">
        <x:f>'기준스탯 72종'!E12*H127</x:f>
        <x:v>0.4200000000000001</x:v>
      </x:c>
      <x:c r="AB127" s="15" t="n">
        <x:f>'기준스탯 72종'!F12*H127</x:f>
        <x:v>0.3600000000000001</x:v>
      </x:c>
      <x:c r="AC127" s="15" t="n">
        <x:f>'기준스탯 72종'!G12*H127</x:f>
        <x:v>0.4800000000000001</x:v>
      </x:c>
      <x:c r="AD127" s="15" t="n">
        <x:f>'기준스탯 72종'!H12*H127</x:f>
        <x:v>0.3600000000000001</x:v>
      </x:c>
      <x:c r="AE127" s="15" t="n">
        <x:f>'기준스탯 72종'!I12*H127</x:f>
        <x:v>0.4200000000000001</x:v>
      </x:c>
      <x:c r="AF127" s="15" t="n">
        <x:f>'기준스탯 72종'!J12*H127</x:f>
        <x:v>0.12000000000000002</x:v>
      </x:c>
      <x:c r="AG127" s="15" t="n">
        <x:f>'기준스탯 72종'!K12*H127</x:f>
        <x:v>0.06000000000000001</x:v>
      </x:c>
    </x:row>
    <x:row r="128" ht="28" customHeight="1">
      <x:c r="A128" s="2" t="n">
        <x:v>121</x:v>
      </x:c>
      <x:c r="B128" s="2" t="n">
        <x:v>5</x:v>
      </x:c>
      <x:c r="C128" s="2" t="str">
        <x:v>양자리</x:v>
      </x:c>
      <x:c r="D128" s="2" t="str">
        <x:v>도적</x:v>
      </x:c>
      <x:c r="E128" s="2" t="n">
        <x:v>1</x:v>
      </x:c>
      <x:c r="F128" s="2" t="n">
        <x:v>5</x:v>
      </x:c>
      <x:c r="G128" s="14" t="n">
        <x:f>('레벨 계산식'!$E$4-E128)*'레벨 계산식'!$B$5</x:f>
        <x:v>0.5599999999999999</x:v>
      </x:c>
      <x:c r="H128" s="14" t="n">
        <x:f>('등급 계산식'!$E$4-F128)*'등급 계산식'!$B$5</x:f>
        <x:v>0</x:v>
      </x:c>
      <x:c r="I128" s="14" t="n">
        <x:f>1-G128-H128</x:f>
        <x:v>0.44000000000000006</x:v>
      </x:c>
      <x:c r="J128" s="2" t="n">
        <x:f>MAX(1,ROUND('기준스탯 72종'!D12-R128-Z128,0))</x:f>
        <x:v>4</x:v>
      </x:c>
      <x:c r="K128" s="2" t="n">
        <x:f>MAX(1,ROUND('기준스탯 72종'!E12-S128-AA128,0))</x:f>
        <x:v>3</x:v>
      </x:c>
      <x:c r="L128" s="2" t="n">
        <x:f>MAX(1,ROUND('기준스탯 72종'!F12-T128-AB128,0))</x:f>
        <x:v>3</x:v>
      </x:c>
      <x:c r="M128" s="2" t="n">
        <x:f>MAX(1,ROUND('기준스탯 72종'!G12-U128-AC128,0))</x:f>
        <x:v>4</x:v>
      </x:c>
      <x:c r="N128" s="2" t="n">
        <x:f>MAX(0,ROUND('기준스탯 72종'!H12-V128-AD128,0))</x:f>
        <x:v>3</x:v>
      </x:c>
      <x:c r="O128" s="2" t="n">
        <x:f>MAX(0,ROUND('기준스탯 72종'!I12-W128-AE128,0))</x:f>
        <x:v>3</x:v>
      </x:c>
      <x:c r="P128" s="2" t="n">
        <x:f>MAX(0,ROUND('기준스탯 72종'!J12-X128-AF128,0))</x:f>
        <x:v>1</x:v>
      </x:c>
      <x:c r="Q128" s="2" t="n">
        <x:f>MAX(0,ROUND('기준스탯 72종'!K12-Y128-AG128,0))</x:f>
        <x:v>0</x:v>
      </x:c>
      <x:c r="R128" s="15" t="n">
        <x:f>'기준스탯 72종'!D12*G128</x:f>
        <x:v>5.039999999999999</x:v>
      </x:c>
      <x:c r="S128" s="15" t="n">
        <x:f>'기준스탯 72종'!E12*G128</x:f>
        <x:v>3.9199999999999995</x:v>
      </x:c>
      <x:c r="T128" s="15" t="n">
        <x:f>'기준스탯 72종'!F12*G128</x:f>
        <x:v>3.3599999999999994</x:v>
      </x:c>
      <x:c r="U128" s="15" t="n">
        <x:f>'기준스탯 72종'!G12*G128</x:f>
        <x:v>4.4799999999999995</x:v>
      </x:c>
      <x:c r="V128" s="15" t="n">
        <x:f>'기준스탯 72종'!H12*G128</x:f>
        <x:v>3.3599999999999994</x:v>
      </x:c>
      <x:c r="W128" s="15" t="n">
        <x:f>'기준스탯 72종'!I12*G128</x:f>
        <x:v>3.9199999999999995</x:v>
      </x:c>
      <x:c r="X128" s="15" t="n">
        <x:f>'기준스탯 72종'!J12*G128</x:f>
        <x:v>1.1199999999999999</x:v>
      </x:c>
      <x:c r="Y128" s="15" t="n">
        <x:f>'기준스탯 72종'!K12*G128</x:f>
        <x:v>0.5599999999999999</x:v>
      </x:c>
      <x:c r="Z128" s="15" t="n">
        <x:f>'기준스탯 72종'!D12*H128</x:f>
        <x:v>0</x:v>
      </x:c>
      <x:c r="AA128" s="15" t="n">
        <x:f>'기준스탯 72종'!E12*H128</x:f>
        <x:v>0</x:v>
      </x:c>
      <x:c r="AB128" s="15" t="n">
        <x:f>'기준스탯 72종'!F12*H128</x:f>
        <x:v>0</x:v>
      </x:c>
      <x:c r="AC128" s="15" t="n">
        <x:f>'기준스탯 72종'!G12*H128</x:f>
        <x:v>0</x:v>
      </x:c>
      <x:c r="AD128" s="15" t="n">
        <x:f>'기준스탯 72종'!H12*H128</x:f>
        <x:v>0</x:v>
      </x:c>
      <x:c r="AE128" s="15" t="n">
        <x:f>'기준스탯 72종'!I12*H128</x:f>
        <x:v>0</x:v>
      </x:c>
      <x:c r="AF128" s="15" t="n">
        <x:f>'기준스탯 72종'!J12*H128</x:f>
        <x:v>0</x:v>
      </x:c>
      <x:c r="AG128" s="15" t="n">
        <x:f>'기준스탯 72종'!K12*H128</x:f>
        <x:v>0</x:v>
      </x:c>
    </x:row>
    <x:row r="129" ht="28" customHeight="1">
      <x:c r="A129" s="2" t="n">
        <x:v>122</x:v>
      </x:c>
      <x:c r="B129" s="2" t="n">
        <x:v>5</x:v>
      </x:c>
      <x:c r="C129" s="2" t="str">
        <x:v>양자리</x:v>
      </x:c>
      <x:c r="D129" s="2" t="str">
        <x:v>도적</x:v>
      </x:c>
      <x:c r="E129" s="2" t="n">
        <x:v>2</x:v>
      </x:c>
      <x:c r="F129" s="2" t="n">
        <x:v>5</x:v>
      </x:c>
      <x:c r="G129" s="14" t="n">
        <x:f>('레벨 계산식'!$E$4-E129)*'레벨 계산식'!$B$5</x:f>
        <x:v>0.41999999999999993</x:v>
      </x:c>
      <x:c r="H129" s="14" t="n">
        <x:f>('등급 계산식'!$E$4-F129)*'등급 계산식'!$B$5</x:f>
        <x:v>0</x:v>
      </x:c>
      <x:c r="I129" s="14" t="n">
        <x:f>1-G129-H129</x:f>
        <x:v>0.5800000000000001</x:v>
      </x:c>
      <x:c r="J129" s="2" t="n">
        <x:f>MAX(1,ROUND('기준스탯 72종'!D12-R129-Z129,0))</x:f>
        <x:v>5</x:v>
      </x:c>
      <x:c r="K129" s="2" t="n">
        <x:f>MAX(1,ROUND('기준스탯 72종'!E12-S129-AA129,0))</x:f>
        <x:v>4</x:v>
      </x:c>
      <x:c r="L129" s="2" t="n">
        <x:f>MAX(1,ROUND('기준스탯 72종'!F12-T129-AB129,0))</x:f>
        <x:v>3</x:v>
      </x:c>
      <x:c r="M129" s="2" t="n">
        <x:f>MAX(1,ROUND('기준스탯 72종'!G12-U129-AC129,0))</x:f>
        <x:v>5</x:v>
      </x:c>
      <x:c r="N129" s="2" t="n">
        <x:f>MAX(0,ROUND('기준스탯 72종'!H12-V129-AD129,0))</x:f>
        <x:v>3</x:v>
      </x:c>
      <x:c r="O129" s="2" t="n">
        <x:f>MAX(0,ROUND('기준스탯 72종'!I12-W129-AE129,0))</x:f>
        <x:v>4</x:v>
      </x:c>
      <x:c r="P129" s="2" t="n">
        <x:f>MAX(0,ROUND('기준스탯 72종'!J12-X129-AF129,0))</x:f>
        <x:v>1</x:v>
      </x:c>
      <x:c r="Q129" s="2" t="n">
        <x:f>MAX(0,ROUND('기준스탯 72종'!K12-Y129-AG129,0))</x:f>
        <x:v>1</x:v>
      </x:c>
      <x:c r="R129" s="15" t="n">
        <x:f>'기준스탯 72종'!D12*G129</x:f>
        <x:v>3.7799999999999994</x:v>
      </x:c>
      <x:c r="S129" s="15" t="n">
        <x:f>'기준스탯 72종'!E12*G129</x:f>
        <x:v>2.9399999999999995</x:v>
      </x:c>
      <x:c r="T129" s="15" t="n">
        <x:f>'기준스탯 72종'!F12*G129</x:f>
        <x:v>2.5199999999999996</x:v>
      </x:c>
      <x:c r="U129" s="15" t="n">
        <x:f>'기준스탯 72종'!G12*G129</x:f>
        <x:v>3.3599999999999994</x:v>
      </x:c>
      <x:c r="V129" s="15" t="n">
        <x:f>'기준스탯 72종'!H12*G129</x:f>
        <x:v>2.5199999999999996</x:v>
      </x:c>
      <x:c r="W129" s="15" t="n">
        <x:f>'기준스탯 72종'!I12*G129</x:f>
        <x:v>2.9399999999999995</x:v>
      </x:c>
      <x:c r="X129" s="15" t="n">
        <x:f>'기준스탯 72종'!J12*G129</x:f>
        <x:v>0.8399999999999999</x:v>
      </x:c>
      <x:c r="Y129" s="15" t="n">
        <x:f>'기준스탯 72종'!K12*G129</x:f>
        <x:v>0.41999999999999993</x:v>
      </x:c>
      <x:c r="Z129" s="15" t="n">
        <x:f>'기준스탯 72종'!D12*H129</x:f>
        <x:v>0</x:v>
      </x:c>
      <x:c r="AA129" s="15" t="n">
        <x:f>'기준스탯 72종'!E12*H129</x:f>
        <x:v>0</x:v>
      </x:c>
      <x:c r="AB129" s="15" t="n">
        <x:f>'기준스탯 72종'!F12*H129</x:f>
        <x:v>0</x:v>
      </x:c>
      <x:c r="AC129" s="15" t="n">
        <x:f>'기준스탯 72종'!G12*H129</x:f>
        <x:v>0</x:v>
      </x:c>
      <x:c r="AD129" s="15" t="n">
        <x:f>'기준스탯 72종'!H12*H129</x:f>
        <x:v>0</x:v>
      </x:c>
      <x:c r="AE129" s="15" t="n">
        <x:f>'기준스탯 72종'!I12*H129</x:f>
        <x:v>0</x:v>
      </x:c>
      <x:c r="AF129" s="15" t="n">
        <x:f>'기준스탯 72종'!J12*H129</x:f>
        <x:v>0</x:v>
      </x:c>
      <x:c r="AG129" s="15" t="n">
        <x:f>'기준스탯 72종'!K12*H129</x:f>
        <x:v>0</x:v>
      </x:c>
    </x:row>
    <x:row r="130" ht="28" customHeight="1">
      <x:c r="A130" s="2" t="n">
        <x:v>123</x:v>
      </x:c>
      <x:c r="B130" s="2" t="n">
        <x:v>5</x:v>
      </x:c>
      <x:c r="C130" s="2" t="str">
        <x:v>양자리</x:v>
      </x:c>
      <x:c r="D130" s="2" t="str">
        <x:v>도적</x:v>
      </x:c>
      <x:c r="E130" s="2" t="n">
        <x:v>3</x:v>
      </x:c>
      <x:c r="F130" s="2" t="n">
        <x:v>5</x:v>
      </x:c>
      <x:c r="G130" s="14" t="n">
        <x:f>('레벨 계산식'!$E$4-E130)*'레벨 계산식'!$B$5</x:f>
        <x:v>0.27999999999999997</x:v>
      </x:c>
      <x:c r="H130" s="14" t="n">
        <x:f>('등급 계산식'!$E$4-F130)*'등급 계산식'!$B$5</x:f>
        <x:v>0</x:v>
      </x:c>
      <x:c r="I130" s="14" t="n">
        <x:f>1-G130-H130</x:f>
        <x:v>0.72</x:v>
      </x:c>
      <x:c r="J130" s="2" t="n">
        <x:f>MAX(1,ROUND('기준스탯 72종'!D12-R130-Z130,0))</x:f>
        <x:v>6</x:v>
      </x:c>
      <x:c r="K130" s="2" t="n">
        <x:f>MAX(1,ROUND('기준스탯 72종'!E12-S130-AA130,0))</x:f>
        <x:v>5</x:v>
      </x:c>
      <x:c r="L130" s="2" t="n">
        <x:f>MAX(1,ROUND('기준스탯 72종'!F12-T130-AB130,0))</x:f>
        <x:v>4</x:v>
      </x:c>
      <x:c r="M130" s="2" t="n">
        <x:f>MAX(1,ROUND('기준스탯 72종'!G12-U130-AC130,0))</x:f>
        <x:v>6</x:v>
      </x:c>
      <x:c r="N130" s="2" t="n">
        <x:f>MAX(0,ROUND('기준스탯 72종'!H12-V130-AD130,0))</x:f>
        <x:v>4</x:v>
      </x:c>
      <x:c r="O130" s="2" t="n">
        <x:f>MAX(0,ROUND('기준스탯 72종'!I12-W130-AE130,0))</x:f>
        <x:v>5</x:v>
      </x:c>
      <x:c r="P130" s="2" t="n">
        <x:f>MAX(0,ROUND('기준스탯 72종'!J12-X130-AF130,0))</x:f>
        <x:v>1</x:v>
      </x:c>
      <x:c r="Q130" s="2" t="n">
        <x:f>MAX(0,ROUND('기준스탯 72종'!K12-Y130-AG130,0))</x:f>
        <x:v>1</x:v>
      </x:c>
      <x:c r="R130" s="15" t="n">
        <x:f>'기준스탯 72종'!D12*G130</x:f>
        <x:v>2.5199999999999996</x:v>
      </x:c>
      <x:c r="S130" s="15" t="n">
        <x:f>'기준스탯 72종'!E12*G130</x:f>
        <x:v>1.9599999999999997</x:v>
      </x:c>
      <x:c r="T130" s="15" t="n">
        <x:f>'기준스탯 72종'!F12*G130</x:f>
        <x:v>1.6799999999999997</x:v>
      </x:c>
      <x:c r="U130" s="15" t="n">
        <x:f>'기준스탯 72종'!G12*G130</x:f>
        <x:v>2.2399999999999998</x:v>
      </x:c>
      <x:c r="V130" s="15" t="n">
        <x:f>'기준스탯 72종'!H12*G130</x:f>
        <x:v>1.6799999999999997</x:v>
      </x:c>
      <x:c r="W130" s="15" t="n">
        <x:f>'기준스탯 72종'!I12*G130</x:f>
        <x:v>1.9599999999999997</x:v>
      </x:c>
      <x:c r="X130" s="15" t="n">
        <x:f>'기준스탯 72종'!J12*G130</x:f>
        <x:v>0.5599999999999999</x:v>
      </x:c>
      <x:c r="Y130" s="15" t="n">
        <x:f>'기준스탯 72종'!K12*G130</x:f>
        <x:v>0.27999999999999997</x:v>
      </x:c>
      <x:c r="Z130" s="15" t="n">
        <x:f>'기준스탯 72종'!D12*H130</x:f>
        <x:v>0</x:v>
      </x:c>
      <x:c r="AA130" s="15" t="n">
        <x:f>'기준스탯 72종'!E12*H130</x:f>
        <x:v>0</x:v>
      </x:c>
      <x:c r="AB130" s="15" t="n">
        <x:f>'기준스탯 72종'!F12*H130</x:f>
        <x:v>0</x:v>
      </x:c>
      <x:c r="AC130" s="15" t="n">
        <x:f>'기준스탯 72종'!G12*H130</x:f>
        <x:v>0</x:v>
      </x:c>
      <x:c r="AD130" s="15" t="n">
        <x:f>'기준스탯 72종'!H12*H130</x:f>
        <x:v>0</x:v>
      </x:c>
      <x:c r="AE130" s="15" t="n">
        <x:f>'기준스탯 72종'!I12*H130</x:f>
        <x:v>0</x:v>
      </x:c>
      <x:c r="AF130" s="15" t="n">
        <x:f>'기준스탯 72종'!J12*H130</x:f>
        <x:v>0</x:v>
      </x:c>
      <x:c r="AG130" s="15" t="n">
        <x:f>'기준스탯 72종'!K12*H130</x:f>
        <x:v>0</x:v>
      </x:c>
    </x:row>
    <x:row r="131" ht="28" customHeight="1">
      <x:c r="A131" s="2" t="n">
        <x:v>124</x:v>
      </x:c>
      <x:c r="B131" s="2" t="n">
        <x:v>5</x:v>
      </x:c>
      <x:c r="C131" s="2" t="str">
        <x:v>양자리</x:v>
      </x:c>
      <x:c r="D131" s="2" t="str">
        <x:v>도적</x:v>
      </x:c>
      <x:c r="E131" s="2" t="n">
        <x:v>4</x:v>
      </x:c>
      <x:c r="F131" s="2" t="n">
        <x:v>5</x:v>
      </x:c>
      <x:c r="G131" s="14" t="n">
        <x:f>('레벨 계산식'!$E$4-E131)*'레벨 계산식'!$B$5</x:f>
        <x:v>0.13999999999999999</x:v>
      </x:c>
      <x:c r="H131" s="14" t="n">
        <x:f>('등급 계산식'!$E$4-F131)*'등급 계산식'!$B$5</x:f>
        <x:v>0</x:v>
      </x:c>
      <x:c r="I131" s="14" t="n">
        <x:f>1-G131-H131</x:f>
        <x:v>0.86</x:v>
      </x:c>
      <x:c r="J131" s="2" t="n">
        <x:f>MAX(1,ROUND('기준스탯 72종'!D12-R131-Z131,0))</x:f>
        <x:v>8</x:v>
      </x:c>
      <x:c r="K131" s="2" t="n">
        <x:f>MAX(1,ROUND('기준스탯 72종'!E12-S131-AA131,0))</x:f>
        <x:v>6</x:v>
      </x:c>
      <x:c r="L131" s="2" t="n">
        <x:f>MAX(1,ROUND('기준스탯 72종'!F12-T131-AB131,0))</x:f>
        <x:v>5</x:v>
      </x:c>
      <x:c r="M131" s="2" t="n">
        <x:f>MAX(1,ROUND('기준스탯 72종'!G12-U131-AC131,0))</x:f>
        <x:v>7</x:v>
      </x:c>
      <x:c r="N131" s="2" t="n">
        <x:f>MAX(0,ROUND('기준스탯 72종'!H12-V131-AD131,0))</x:f>
        <x:v>5</x:v>
      </x:c>
      <x:c r="O131" s="2" t="n">
        <x:f>MAX(0,ROUND('기준스탯 72종'!I12-W131-AE131,0))</x:f>
        <x:v>6</x:v>
      </x:c>
      <x:c r="P131" s="2" t="n">
        <x:f>MAX(0,ROUND('기준스탯 72종'!J12-X131-AF131,0))</x:f>
        <x:v>2</x:v>
      </x:c>
      <x:c r="Q131" s="2" t="n">
        <x:f>MAX(0,ROUND('기준스탯 72종'!K12-Y131-AG131,0))</x:f>
        <x:v>1</x:v>
      </x:c>
      <x:c r="R131" s="15" t="n">
        <x:f>'기준스탯 72종'!D12*G131</x:f>
        <x:v>1.2599999999999998</x:v>
      </x:c>
      <x:c r="S131" s="15" t="n">
        <x:f>'기준스탯 72종'!E12*G131</x:f>
        <x:v>0.9799999999999999</x:v>
      </x:c>
      <x:c r="T131" s="15" t="n">
        <x:f>'기준스탯 72종'!F12*G131</x:f>
        <x:v>0.8399999999999999</x:v>
      </x:c>
      <x:c r="U131" s="15" t="n">
        <x:f>'기준스탯 72종'!G12*G131</x:f>
        <x:v>1.1199999999999999</x:v>
      </x:c>
      <x:c r="V131" s="15" t="n">
        <x:f>'기준스탯 72종'!H12*G131</x:f>
        <x:v>0.8399999999999999</x:v>
      </x:c>
      <x:c r="W131" s="15" t="n">
        <x:f>'기준스탯 72종'!I12*G131</x:f>
        <x:v>0.9799999999999999</x:v>
      </x:c>
      <x:c r="X131" s="15" t="n">
        <x:f>'기준스탯 72종'!J12*G131</x:f>
        <x:v>0.27999999999999997</x:v>
      </x:c>
      <x:c r="Y131" s="15" t="n">
        <x:f>'기준스탯 72종'!K12*G131</x:f>
        <x:v>0.13999999999999999</x:v>
      </x:c>
      <x:c r="Z131" s="15" t="n">
        <x:f>'기준스탯 72종'!D12*H131</x:f>
        <x:v>0</x:v>
      </x:c>
      <x:c r="AA131" s="15" t="n">
        <x:f>'기준스탯 72종'!E12*H131</x:f>
        <x:v>0</x:v>
      </x:c>
      <x:c r="AB131" s="15" t="n">
        <x:f>'기준스탯 72종'!F12*H131</x:f>
        <x:v>0</x:v>
      </x:c>
      <x:c r="AC131" s="15" t="n">
        <x:f>'기준스탯 72종'!G12*H131</x:f>
        <x:v>0</x:v>
      </x:c>
      <x:c r="AD131" s="15" t="n">
        <x:f>'기준스탯 72종'!H12*H131</x:f>
        <x:v>0</x:v>
      </x:c>
      <x:c r="AE131" s="15" t="n">
        <x:f>'기준스탯 72종'!I12*H131</x:f>
        <x:v>0</x:v>
      </x:c>
      <x:c r="AF131" s="15" t="n">
        <x:f>'기준스탯 72종'!J12*H131</x:f>
        <x:v>0</x:v>
      </x:c>
      <x:c r="AG131" s="15" t="n">
        <x:f>'기준스탯 72종'!K12*H131</x:f>
        <x:v>0</x:v>
      </x:c>
    </x:row>
    <x:row r="132" ht="28" customHeight="1">
      <x:c r="A132" s="2" t="n">
        <x:v>125</x:v>
      </x:c>
      <x:c r="B132" s="2" t="n">
        <x:v>5</x:v>
      </x:c>
      <x:c r="C132" s="2" t="str">
        <x:v>양자리</x:v>
      </x:c>
      <x:c r="D132" s="2" t="str">
        <x:v>도적</x:v>
      </x:c>
      <x:c r="E132" s="2" t="n">
        <x:v>5</x:v>
      </x:c>
      <x:c r="F132" s="2" t="n">
        <x:v>5</x:v>
      </x:c>
      <x:c r="G132" s="14" t="n">
        <x:f>('레벨 계산식'!$E$4-E132)*'레벨 계산식'!$B$5</x:f>
        <x:v>0</x:v>
      </x:c>
      <x:c r="H132" s="14" t="n">
        <x:f>('등급 계산식'!$E$4-F132)*'등급 계산식'!$B$5</x:f>
        <x:v>0</x:v>
      </x:c>
      <x:c r="I132" s="14" t="n">
        <x:f>1-G132-H132</x:f>
        <x:v>1</x:v>
      </x:c>
      <x:c r="J132" s="2" t="n">
        <x:f>MAX(1,ROUND('기준스탯 72종'!D12-R132-Z132,0))</x:f>
        <x:v>9</x:v>
      </x:c>
      <x:c r="K132" s="2" t="n">
        <x:f>MAX(1,ROUND('기준스탯 72종'!E12-S132-AA132,0))</x:f>
        <x:v>7</x:v>
      </x:c>
      <x:c r="L132" s="2" t="n">
        <x:f>MAX(1,ROUND('기준스탯 72종'!F12-T132-AB132,0))</x:f>
        <x:v>6</x:v>
      </x:c>
      <x:c r="M132" s="2" t="n">
        <x:f>MAX(1,ROUND('기준스탯 72종'!G12-U132-AC132,0))</x:f>
        <x:v>8</x:v>
      </x:c>
      <x:c r="N132" s="2" t="n">
        <x:f>MAX(0,ROUND('기준스탯 72종'!H12-V132-AD132,0))</x:f>
        <x:v>6</x:v>
      </x:c>
      <x:c r="O132" s="2" t="n">
        <x:f>MAX(0,ROUND('기준스탯 72종'!I12-W132-AE132,0))</x:f>
        <x:v>7</x:v>
      </x:c>
      <x:c r="P132" s="2" t="n">
        <x:f>MAX(0,ROUND('기준스탯 72종'!J12-X132-AF132,0))</x:f>
        <x:v>2</x:v>
      </x:c>
      <x:c r="Q132" s="2" t="n">
        <x:f>MAX(0,ROUND('기준스탯 72종'!K12-Y132-AG132,0))</x:f>
        <x:v>1</x:v>
      </x:c>
      <x:c r="R132" s="15" t="n">
        <x:f>'기준스탯 72종'!D12*G132</x:f>
        <x:v>0</x:v>
      </x:c>
      <x:c r="S132" s="15" t="n">
        <x:f>'기준스탯 72종'!E12*G132</x:f>
        <x:v>0</x:v>
      </x:c>
      <x:c r="T132" s="15" t="n">
        <x:f>'기준스탯 72종'!F12*G132</x:f>
        <x:v>0</x:v>
      </x:c>
      <x:c r="U132" s="15" t="n">
        <x:f>'기준스탯 72종'!G12*G132</x:f>
        <x:v>0</x:v>
      </x:c>
      <x:c r="V132" s="15" t="n">
        <x:f>'기준스탯 72종'!H12*G132</x:f>
        <x:v>0</x:v>
      </x:c>
      <x:c r="W132" s="15" t="n">
        <x:f>'기준스탯 72종'!I12*G132</x:f>
        <x:v>0</x:v>
      </x:c>
      <x:c r="X132" s="15" t="n">
        <x:f>'기준스탯 72종'!J12*G132</x:f>
        <x:v>0</x:v>
      </x:c>
      <x:c r="Y132" s="15" t="n">
        <x:f>'기준스탯 72종'!K12*G132</x:f>
        <x:v>0</x:v>
      </x:c>
      <x:c r="Z132" s="15" t="n">
        <x:f>'기준스탯 72종'!D12*H132</x:f>
        <x:v>0</x:v>
      </x:c>
      <x:c r="AA132" s="15" t="n">
        <x:f>'기준스탯 72종'!E12*H132</x:f>
        <x:v>0</x:v>
      </x:c>
      <x:c r="AB132" s="15" t="n">
        <x:f>'기준스탯 72종'!F12*H132</x:f>
        <x:v>0</x:v>
      </x:c>
      <x:c r="AC132" s="15" t="n">
        <x:f>'기준스탯 72종'!G12*H132</x:f>
        <x:v>0</x:v>
      </x:c>
      <x:c r="AD132" s="15" t="n">
        <x:f>'기준스탯 72종'!H12*H132</x:f>
        <x:v>0</x:v>
      </x:c>
      <x:c r="AE132" s="15" t="n">
        <x:f>'기준스탯 72종'!I12*H132</x:f>
        <x:v>0</x:v>
      </x:c>
      <x:c r="AF132" s="15" t="n">
        <x:f>'기준스탯 72종'!J12*H132</x:f>
        <x:v>0</x:v>
      </x:c>
      <x:c r="AG132" s="15" t="n">
        <x:f>'기준스탯 72종'!K12*H132</x:f>
        <x:v>0</x:v>
      </x:c>
    </x:row>
    <x:row r="133" ht="28" customHeight="1">
      <x:c r="A133" s="2" t="n">
        <x:v>126</x:v>
      </x:c>
      <x:c r="B133" s="2" t="n">
        <x:v>6</x:v>
      </x:c>
      <x:c r="C133" s="2" t="str">
        <x:v>양자리</x:v>
      </x:c>
      <x:c r="D133" s="2" t="str">
        <x:v>전사</x:v>
      </x:c>
      <x:c r="E133" s="2" t="n">
        <x:v>1</x:v>
      </x:c>
      <x:c r="F133" s="2" t="n">
        <x:v>1</x:v>
      </x:c>
      <x:c r="G133" s="14" t="n">
        <x:f>('레벨 계산식'!$E$4-E133)*'레벨 계산식'!$B$5</x:f>
        <x:v>0.5599999999999999</x:v>
      </x:c>
      <x:c r="H133" s="14" t="n">
        <x:f>('등급 계산식'!$E$4-F133)*'등급 계산식'!$B$5</x:f>
        <x:v>0.24000000000000005</x:v>
      </x:c>
      <x:c r="I133" s="14" t="n">
        <x:f>1-G133-H133</x:f>
        <x:v>0.2</x:v>
      </x:c>
      <x:c r="J133" s="2" t="n">
        <x:f>MAX(1,ROUND('기준스탯 72종'!D13-R133-Z133,0))</x:f>
        <x:v>2</x:v>
      </x:c>
      <x:c r="K133" s="2" t="n">
        <x:f>MAX(1,ROUND('기준스탯 72종'!E13-S133-AA133,0))</x:f>
        <x:v>2</x:v>
      </x:c>
      <x:c r="L133" s="2" t="n">
        <x:f>MAX(1,ROUND('기준스탯 72종'!F13-T133-AB133,0))</x:f>
        <x:v>1</x:v>
      </x:c>
      <x:c r="M133" s="2" t="n">
        <x:f>MAX(1,ROUND('기준스탯 72종'!G13-U133-AC133,0))</x:f>
        <x:v>1</x:v>
      </x:c>
      <x:c r="N133" s="2" t="n">
        <x:f>MAX(0,ROUND('기준스탯 72종'!H13-V133-AD133,0))</x:f>
        <x:v>1</x:v>
      </x:c>
      <x:c r="O133" s="2" t="n">
        <x:f>MAX(0,ROUND('기준스탯 72종'!I13-W133-AE133,0))</x:f>
        <x:v>1</x:v>
      </x:c>
      <x:c r="P133" s="2" t="n">
        <x:f>MAX(0,ROUND('기준스탯 72종'!J13-X133-AF133,0))</x:f>
        <x:v>0</x:v>
      </x:c>
      <x:c r="Q133" s="2" t="n">
        <x:f>MAX(0,ROUND('기준스탯 72종'!K13-Y133-AG133,0))</x:f>
        <x:v>0</x:v>
      </x:c>
      <x:c r="R133" s="15" t="n">
        <x:f>'기준스탯 72종'!D13*G133</x:f>
        <x:v>5.039999999999999</x:v>
      </x:c>
      <x:c r="S133" s="15" t="n">
        <x:f>'기준스탯 72종'!E13*G133</x:f>
        <x:v>4.4799999999999995</x:v>
      </x:c>
      <x:c r="T133" s="15" t="n">
        <x:f>'기준스탯 72종'!F13*G133</x:f>
        <x:v>3.9199999999999995</x:v>
      </x:c>
      <x:c r="U133" s="15" t="n">
        <x:f>'기준스탯 72종'!G13*G133</x:f>
        <x:v>3.9199999999999995</x:v>
      </x:c>
      <x:c r="V133" s="15" t="n">
        <x:f>'기준스탯 72종'!H13*G133</x:f>
        <x:v>2.8</x:v>
      </x:c>
      <x:c r="W133" s="15" t="n">
        <x:f>'기준스탯 72종'!I13*G133</x:f>
        <x:v>3.9199999999999995</x:v>
      </x:c>
      <x:c r="X133" s="15" t="n">
        <x:f>'기준스탯 72종'!J13*G133</x:f>
        <x:v>1.1199999999999999</x:v>
      </x:c>
      <x:c r="Y133" s="15" t="n">
        <x:f>'기준스탯 72종'!K13*G133</x:f>
        <x:v>1.1199999999999999</x:v>
      </x:c>
      <x:c r="Z133" s="15" t="n">
        <x:f>'기준스탯 72종'!D13*H133</x:f>
        <x:v>2.1600000000000006</x:v>
      </x:c>
      <x:c r="AA133" s="15" t="n">
        <x:f>'기준스탯 72종'!E13*H133</x:f>
        <x:v>1.9200000000000004</x:v>
      </x:c>
      <x:c r="AB133" s="15" t="n">
        <x:f>'기준스탯 72종'!F13*H133</x:f>
        <x:v>1.6800000000000004</x:v>
      </x:c>
      <x:c r="AC133" s="15" t="n">
        <x:f>'기준스탯 72종'!G13*H133</x:f>
        <x:v>1.6800000000000004</x:v>
      </x:c>
      <x:c r="AD133" s="15" t="n">
        <x:f>'기준스탯 72종'!H13*H133</x:f>
        <x:v>1.2000000000000002</x:v>
      </x:c>
      <x:c r="AE133" s="15" t="n">
        <x:f>'기준스탯 72종'!I13*H133</x:f>
        <x:v>1.6800000000000004</x:v>
      </x:c>
      <x:c r="AF133" s="15" t="n">
        <x:f>'기준스탯 72종'!J13*H133</x:f>
        <x:v>0.4800000000000001</x:v>
      </x:c>
      <x:c r="AG133" s="15" t="n">
        <x:f>'기준스탯 72종'!K13*H133</x:f>
        <x:v>0.4800000000000001</x:v>
      </x:c>
    </x:row>
    <x:row r="134" ht="28" customHeight="1">
      <x:c r="A134" s="2" t="n">
        <x:v>127</x:v>
      </x:c>
      <x:c r="B134" s="2" t="n">
        <x:v>6</x:v>
      </x:c>
      <x:c r="C134" s="2" t="str">
        <x:v>양자리</x:v>
      </x:c>
      <x:c r="D134" s="2" t="str">
        <x:v>전사</x:v>
      </x:c>
      <x:c r="E134" s="2" t="n">
        <x:v>2</x:v>
      </x:c>
      <x:c r="F134" s="2" t="n">
        <x:v>1</x:v>
      </x:c>
      <x:c r="G134" s="14" t="n">
        <x:f>('레벨 계산식'!$E$4-E134)*'레벨 계산식'!$B$5</x:f>
        <x:v>0.41999999999999993</x:v>
      </x:c>
      <x:c r="H134" s="14" t="n">
        <x:f>('등급 계산식'!$E$4-F134)*'등급 계산식'!$B$5</x:f>
        <x:v>0.24000000000000005</x:v>
      </x:c>
      <x:c r="I134" s="14" t="n">
        <x:f>1-G134-H134</x:f>
        <x:v>0.34</x:v>
      </x:c>
      <x:c r="J134" s="2" t="n">
        <x:f>MAX(1,ROUND('기준스탯 72종'!D13-R134-Z134,0))</x:f>
        <x:v>3</x:v>
      </x:c>
      <x:c r="K134" s="2" t="n">
        <x:f>MAX(1,ROUND('기준스탯 72종'!E13-S134-AA134,0))</x:f>
        <x:v>3</x:v>
      </x:c>
      <x:c r="L134" s="2" t="n">
        <x:f>MAX(1,ROUND('기준스탯 72종'!F13-T134-AB134,0))</x:f>
        <x:v>2</x:v>
      </x:c>
      <x:c r="M134" s="2" t="n">
        <x:f>MAX(1,ROUND('기준스탯 72종'!G13-U134-AC134,0))</x:f>
        <x:v>2</x:v>
      </x:c>
      <x:c r="N134" s="2" t="n">
        <x:f>MAX(0,ROUND('기준스탯 72종'!H13-V134-AD134,0))</x:f>
        <x:v>2</x:v>
      </x:c>
      <x:c r="O134" s="2" t="n">
        <x:f>MAX(0,ROUND('기준스탯 72종'!I13-W134-AE134,0))</x:f>
        <x:v>2</x:v>
      </x:c>
      <x:c r="P134" s="2" t="n">
        <x:f>MAX(0,ROUND('기준스탯 72종'!J13-X134-AF134,0))</x:f>
        <x:v>1</x:v>
      </x:c>
      <x:c r="Q134" s="2" t="n">
        <x:f>MAX(0,ROUND('기준스탯 72종'!K13-Y134-AG134,0))</x:f>
        <x:v>1</x:v>
      </x:c>
      <x:c r="R134" s="15" t="n">
        <x:f>'기준스탯 72종'!D13*G134</x:f>
        <x:v>3.7799999999999994</x:v>
      </x:c>
      <x:c r="S134" s="15" t="n">
        <x:f>'기준스탯 72종'!E13*G134</x:f>
        <x:v>3.3599999999999994</x:v>
      </x:c>
      <x:c r="T134" s="15" t="n">
        <x:f>'기준스탯 72종'!F13*G134</x:f>
        <x:v>2.9399999999999995</x:v>
      </x:c>
      <x:c r="U134" s="15" t="n">
        <x:f>'기준스탯 72종'!G13*G134</x:f>
        <x:v>2.9399999999999995</x:v>
      </x:c>
      <x:c r="V134" s="15" t="n">
        <x:f>'기준스탯 72종'!H13*G134</x:f>
        <x:v>2.0999999999999996</x:v>
      </x:c>
      <x:c r="W134" s="15" t="n">
        <x:f>'기준스탯 72종'!I13*G134</x:f>
        <x:v>2.9399999999999995</x:v>
      </x:c>
      <x:c r="X134" s="15" t="n">
        <x:f>'기준스탯 72종'!J13*G134</x:f>
        <x:v>0.8399999999999999</x:v>
      </x:c>
      <x:c r="Y134" s="15" t="n">
        <x:f>'기준스탯 72종'!K13*G134</x:f>
        <x:v>0.8399999999999999</x:v>
      </x:c>
      <x:c r="Z134" s="15" t="n">
        <x:f>'기준스탯 72종'!D13*H134</x:f>
        <x:v>2.1600000000000006</x:v>
      </x:c>
      <x:c r="AA134" s="15" t="n">
        <x:f>'기준스탯 72종'!E13*H134</x:f>
        <x:v>1.9200000000000004</x:v>
      </x:c>
      <x:c r="AB134" s="15" t="n">
        <x:f>'기준스탯 72종'!F13*H134</x:f>
        <x:v>1.6800000000000004</x:v>
      </x:c>
      <x:c r="AC134" s="15" t="n">
        <x:f>'기준스탯 72종'!G13*H134</x:f>
        <x:v>1.6800000000000004</x:v>
      </x:c>
      <x:c r="AD134" s="15" t="n">
        <x:f>'기준스탯 72종'!H13*H134</x:f>
        <x:v>1.2000000000000002</x:v>
      </x:c>
      <x:c r="AE134" s="15" t="n">
        <x:f>'기준스탯 72종'!I13*H134</x:f>
        <x:v>1.6800000000000004</x:v>
      </x:c>
      <x:c r="AF134" s="15" t="n">
        <x:f>'기준스탯 72종'!J13*H134</x:f>
        <x:v>0.4800000000000001</x:v>
      </x:c>
      <x:c r="AG134" s="15" t="n">
        <x:f>'기준스탯 72종'!K13*H134</x:f>
        <x:v>0.4800000000000001</x:v>
      </x:c>
    </x:row>
    <x:row r="135" ht="28" customHeight="1">
      <x:c r="A135" s="2" t="n">
        <x:v>128</x:v>
      </x:c>
      <x:c r="B135" s="2" t="n">
        <x:v>6</x:v>
      </x:c>
      <x:c r="C135" s="2" t="str">
        <x:v>양자리</x:v>
      </x:c>
      <x:c r="D135" s="2" t="str">
        <x:v>전사</x:v>
      </x:c>
      <x:c r="E135" s="2" t="n">
        <x:v>3</x:v>
      </x:c>
      <x:c r="F135" s="2" t="n">
        <x:v>1</x:v>
      </x:c>
      <x:c r="G135" s="14" t="n">
        <x:f>('레벨 계산식'!$E$4-E135)*'레벨 계산식'!$B$5</x:f>
        <x:v>0.27999999999999997</x:v>
      </x:c>
      <x:c r="H135" s="14" t="n">
        <x:f>('등급 계산식'!$E$4-F135)*'등급 계산식'!$B$5</x:f>
        <x:v>0.24000000000000005</x:v>
      </x:c>
      <x:c r="I135" s="14" t="n">
        <x:f>1-G135-H135</x:f>
        <x:v>0.4799999999999999</x:v>
      </x:c>
      <x:c r="J135" s="2" t="n">
        <x:f>MAX(1,ROUND('기준스탯 72종'!D13-R135-Z135,0))</x:f>
        <x:v>4</x:v>
      </x:c>
      <x:c r="K135" s="2" t="n">
        <x:f>MAX(1,ROUND('기준스탯 72종'!E13-S135-AA135,0))</x:f>
        <x:v>4</x:v>
      </x:c>
      <x:c r="L135" s="2" t="n">
        <x:f>MAX(1,ROUND('기준스탯 72종'!F13-T135-AB135,0))</x:f>
        <x:v>3</x:v>
      </x:c>
      <x:c r="M135" s="2" t="n">
        <x:f>MAX(1,ROUND('기준스탯 72종'!G13-U135-AC135,0))</x:f>
        <x:v>3</x:v>
      </x:c>
      <x:c r="N135" s="2" t="n">
        <x:f>MAX(0,ROUND('기준스탯 72종'!H13-V135-AD135,0))</x:f>
        <x:v>2</x:v>
      </x:c>
      <x:c r="O135" s="2" t="n">
        <x:f>MAX(0,ROUND('기준스탯 72종'!I13-W135-AE135,0))</x:f>
        <x:v>3</x:v>
      </x:c>
      <x:c r="P135" s="2" t="n">
        <x:f>MAX(0,ROUND('기준스탯 72종'!J13-X135-AF135,0))</x:f>
        <x:v>1</x:v>
      </x:c>
      <x:c r="Q135" s="2" t="n">
        <x:f>MAX(0,ROUND('기준스탯 72종'!K13-Y135-AG135,0))</x:f>
        <x:v>1</x:v>
      </x:c>
      <x:c r="R135" s="15" t="n">
        <x:f>'기준스탯 72종'!D13*G135</x:f>
        <x:v>2.5199999999999996</x:v>
      </x:c>
      <x:c r="S135" s="15" t="n">
        <x:f>'기준스탯 72종'!E13*G135</x:f>
        <x:v>2.2399999999999998</x:v>
      </x:c>
      <x:c r="T135" s="15" t="n">
        <x:f>'기준스탯 72종'!F13*G135</x:f>
        <x:v>1.9599999999999997</x:v>
      </x:c>
      <x:c r="U135" s="15" t="n">
        <x:f>'기준스탯 72종'!G13*G135</x:f>
        <x:v>1.9599999999999997</x:v>
      </x:c>
      <x:c r="V135" s="15" t="n">
        <x:f>'기준스탯 72종'!H13*G135</x:f>
        <x:v>1.4</x:v>
      </x:c>
      <x:c r="W135" s="15" t="n">
        <x:f>'기준스탯 72종'!I13*G135</x:f>
        <x:v>1.9599999999999997</x:v>
      </x:c>
      <x:c r="X135" s="15" t="n">
        <x:f>'기준스탯 72종'!J13*G135</x:f>
        <x:v>0.5599999999999999</x:v>
      </x:c>
      <x:c r="Y135" s="15" t="n">
        <x:f>'기준스탯 72종'!K13*G135</x:f>
        <x:v>0.5599999999999999</x:v>
      </x:c>
      <x:c r="Z135" s="15" t="n">
        <x:f>'기준스탯 72종'!D13*H135</x:f>
        <x:v>2.1600000000000006</x:v>
      </x:c>
      <x:c r="AA135" s="15" t="n">
        <x:f>'기준스탯 72종'!E13*H135</x:f>
        <x:v>1.9200000000000004</x:v>
      </x:c>
      <x:c r="AB135" s="15" t="n">
        <x:f>'기준스탯 72종'!F13*H135</x:f>
        <x:v>1.6800000000000004</x:v>
      </x:c>
      <x:c r="AC135" s="15" t="n">
        <x:f>'기준스탯 72종'!G13*H135</x:f>
        <x:v>1.6800000000000004</x:v>
      </x:c>
      <x:c r="AD135" s="15" t="n">
        <x:f>'기준스탯 72종'!H13*H135</x:f>
        <x:v>1.2000000000000002</x:v>
      </x:c>
      <x:c r="AE135" s="15" t="n">
        <x:f>'기준스탯 72종'!I13*H135</x:f>
        <x:v>1.6800000000000004</x:v>
      </x:c>
      <x:c r="AF135" s="15" t="n">
        <x:f>'기준스탯 72종'!J13*H135</x:f>
        <x:v>0.4800000000000001</x:v>
      </x:c>
      <x:c r="AG135" s="15" t="n">
        <x:f>'기준스탯 72종'!K13*H135</x:f>
        <x:v>0.4800000000000001</x:v>
      </x:c>
    </x:row>
    <x:row r="136" ht="28" customHeight="1">
      <x:c r="A136" s="2" t="n">
        <x:v>129</x:v>
      </x:c>
      <x:c r="B136" s="2" t="n">
        <x:v>6</x:v>
      </x:c>
      <x:c r="C136" s="2" t="str">
        <x:v>양자리</x:v>
      </x:c>
      <x:c r="D136" s="2" t="str">
        <x:v>전사</x:v>
      </x:c>
      <x:c r="E136" s="2" t="n">
        <x:v>4</x:v>
      </x:c>
      <x:c r="F136" s="2" t="n">
        <x:v>1</x:v>
      </x:c>
      <x:c r="G136" s="14" t="n">
        <x:f>('레벨 계산식'!$E$4-E136)*'레벨 계산식'!$B$5</x:f>
        <x:v>0.13999999999999999</x:v>
      </x:c>
      <x:c r="H136" s="14" t="n">
        <x:f>('등급 계산식'!$E$4-F136)*'등급 계산식'!$B$5</x:f>
        <x:v>0.24000000000000005</x:v>
      </x:c>
      <x:c r="I136" s="14" t="n">
        <x:f>1-G136-H136</x:f>
        <x:v>0.6199999999999999</x:v>
      </x:c>
      <x:c r="J136" s="2" t="n">
        <x:f>MAX(1,ROUND('기준스탯 72종'!D13-R136-Z136,0))</x:f>
        <x:v>6</x:v>
      </x:c>
      <x:c r="K136" s="2" t="n">
        <x:f>MAX(1,ROUND('기준스탯 72종'!E13-S136-AA136,0))</x:f>
        <x:v>5</x:v>
      </x:c>
      <x:c r="L136" s="2" t="n">
        <x:f>MAX(1,ROUND('기준스탯 72종'!F13-T136-AB136,0))</x:f>
        <x:v>4</x:v>
      </x:c>
      <x:c r="M136" s="2" t="n">
        <x:f>MAX(1,ROUND('기준스탯 72종'!G13-U136-AC136,0))</x:f>
        <x:v>4</x:v>
      </x:c>
      <x:c r="N136" s="2" t="n">
        <x:f>MAX(0,ROUND('기준스탯 72종'!H13-V136-AD136,0))</x:f>
        <x:v>3</x:v>
      </x:c>
      <x:c r="O136" s="2" t="n">
        <x:f>MAX(0,ROUND('기준스탯 72종'!I13-W136-AE136,0))</x:f>
        <x:v>4</x:v>
      </x:c>
      <x:c r="P136" s="2" t="n">
        <x:f>MAX(0,ROUND('기준스탯 72종'!J13-X136-AF136,0))</x:f>
        <x:v>1</x:v>
      </x:c>
      <x:c r="Q136" s="2" t="n">
        <x:f>MAX(0,ROUND('기준스탯 72종'!K13-Y136-AG136,0))</x:f>
        <x:v>1</x:v>
      </x:c>
      <x:c r="R136" s="15" t="n">
        <x:f>'기준스탯 72종'!D13*G136</x:f>
        <x:v>1.2599999999999998</x:v>
      </x:c>
      <x:c r="S136" s="15" t="n">
        <x:f>'기준스탯 72종'!E13*G136</x:f>
        <x:v>1.1199999999999999</x:v>
      </x:c>
      <x:c r="T136" s="15" t="n">
        <x:f>'기준스탯 72종'!F13*G136</x:f>
        <x:v>0.9799999999999999</x:v>
      </x:c>
      <x:c r="U136" s="15" t="n">
        <x:f>'기준스탯 72종'!G13*G136</x:f>
        <x:v>0.9799999999999999</x:v>
      </x:c>
      <x:c r="V136" s="15" t="n">
        <x:f>'기준스탯 72종'!H13*G136</x:f>
        <x:v>0.7</x:v>
      </x:c>
      <x:c r="W136" s="15" t="n">
        <x:f>'기준스탯 72종'!I13*G136</x:f>
        <x:v>0.9799999999999999</x:v>
      </x:c>
      <x:c r="X136" s="15" t="n">
        <x:f>'기준스탯 72종'!J13*G136</x:f>
        <x:v>0.27999999999999997</x:v>
      </x:c>
      <x:c r="Y136" s="15" t="n">
        <x:f>'기준스탯 72종'!K13*G136</x:f>
        <x:v>0.27999999999999997</x:v>
      </x:c>
      <x:c r="Z136" s="15" t="n">
        <x:f>'기준스탯 72종'!D13*H136</x:f>
        <x:v>2.1600000000000006</x:v>
      </x:c>
      <x:c r="AA136" s="15" t="n">
        <x:f>'기준스탯 72종'!E13*H136</x:f>
        <x:v>1.9200000000000004</x:v>
      </x:c>
      <x:c r="AB136" s="15" t="n">
        <x:f>'기준스탯 72종'!F13*H136</x:f>
        <x:v>1.6800000000000004</x:v>
      </x:c>
      <x:c r="AC136" s="15" t="n">
        <x:f>'기준스탯 72종'!G13*H136</x:f>
        <x:v>1.6800000000000004</x:v>
      </x:c>
      <x:c r="AD136" s="15" t="n">
        <x:f>'기준스탯 72종'!H13*H136</x:f>
        <x:v>1.2000000000000002</x:v>
      </x:c>
      <x:c r="AE136" s="15" t="n">
        <x:f>'기준스탯 72종'!I13*H136</x:f>
        <x:v>1.6800000000000004</x:v>
      </x:c>
      <x:c r="AF136" s="15" t="n">
        <x:f>'기준스탯 72종'!J13*H136</x:f>
        <x:v>0.4800000000000001</x:v>
      </x:c>
      <x:c r="AG136" s="15" t="n">
        <x:f>'기준스탯 72종'!K13*H136</x:f>
        <x:v>0.4800000000000001</x:v>
      </x:c>
    </x:row>
    <x:row r="137" ht="28" customHeight="1">
      <x:c r="A137" s="2" t="n">
        <x:v>130</x:v>
      </x:c>
      <x:c r="B137" s="2" t="n">
        <x:v>6</x:v>
      </x:c>
      <x:c r="C137" s="2" t="str">
        <x:v>양자리</x:v>
      </x:c>
      <x:c r="D137" s="2" t="str">
        <x:v>전사</x:v>
      </x:c>
      <x:c r="E137" s="2" t="n">
        <x:v>5</x:v>
      </x:c>
      <x:c r="F137" s="2" t="n">
        <x:v>1</x:v>
      </x:c>
      <x:c r="G137" s="14" t="n">
        <x:f>('레벨 계산식'!$E$4-E137)*'레벨 계산식'!$B$5</x:f>
        <x:v>0</x:v>
      </x:c>
      <x:c r="H137" s="14" t="n">
        <x:f>('등급 계산식'!$E$4-F137)*'등급 계산식'!$B$5</x:f>
        <x:v>0.24000000000000005</x:v>
      </x:c>
      <x:c r="I137" s="14" t="n">
        <x:f>1-G137-H137</x:f>
        <x:v>0.76</x:v>
      </x:c>
      <x:c r="J137" s="2" t="n">
        <x:f>MAX(1,ROUND('기준스탯 72종'!D13-R137-Z137,0))</x:f>
        <x:v>7</x:v>
      </x:c>
      <x:c r="K137" s="2" t="n">
        <x:f>MAX(1,ROUND('기준스탯 72종'!E13-S137-AA137,0))</x:f>
        <x:v>6</x:v>
      </x:c>
      <x:c r="L137" s="2" t="n">
        <x:f>MAX(1,ROUND('기준스탯 72종'!F13-T137-AB137,0))</x:f>
        <x:v>5</x:v>
      </x:c>
      <x:c r="M137" s="2" t="n">
        <x:f>MAX(1,ROUND('기준스탯 72종'!G13-U137-AC137,0))</x:f>
        <x:v>5</x:v>
      </x:c>
      <x:c r="N137" s="2" t="n">
        <x:f>MAX(0,ROUND('기준스탯 72종'!H13-V137-AD137,0))</x:f>
        <x:v>4</x:v>
      </x:c>
      <x:c r="O137" s="2" t="n">
        <x:f>MAX(0,ROUND('기준스탯 72종'!I13-W137-AE137,0))</x:f>
        <x:v>5</x:v>
      </x:c>
      <x:c r="P137" s="2" t="n">
        <x:f>MAX(0,ROUND('기준스탯 72종'!J13-X137-AF137,0))</x:f>
        <x:v>2</x:v>
      </x:c>
      <x:c r="Q137" s="2" t="n">
        <x:f>MAX(0,ROUND('기준스탯 72종'!K13-Y137-AG137,0))</x:f>
        <x:v>2</x:v>
      </x:c>
      <x:c r="R137" s="15" t="n">
        <x:f>'기준스탯 72종'!D13*G137</x:f>
        <x:v>0</x:v>
      </x:c>
      <x:c r="S137" s="15" t="n">
        <x:f>'기준스탯 72종'!E13*G137</x:f>
        <x:v>0</x:v>
      </x:c>
      <x:c r="T137" s="15" t="n">
        <x:f>'기준스탯 72종'!F13*G137</x:f>
        <x:v>0</x:v>
      </x:c>
      <x:c r="U137" s="15" t="n">
        <x:f>'기준스탯 72종'!G13*G137</x:f>
        <x:v>0</x:v>
      </x:c>
      <x:c r="V137" s="15" t="n">
        <x:f>'기준스탯 72종'!H13*G137</x:f>
        <x:v>0</x:v>
      </x:c>
      <x:c r="W137" s="15" t="n">
        <x:f>'기준스탯 72종'!I13*G137</x:f>
        <x:v>0</x:v>
      </x:c>
      <x:c r="X137" s="15" t="n">
        <x:f>'기준스탯 72종'!J13*G137</x:f>
        <x:v>0</x:v>
      </x:c>
      <x:c r="Y137" s="15" t="n">
        <x:f>'기준스탯 72종'!K13*G137</x:f>
        <x:v>0</x:v>
      </x:c>
      <x:c r="Z137" s="15" t="n">
        <x:f>'기준스탯 72종'!D13*H137</x:f>
        <x:v>2.1600000000000006</x:v>
      </x:c>
      <x:c r="AA137" s="15" t="n">
        <x:f>'기준스탯 72종'!E13*H137</x:f>
        <x:v>1.9200000000000004</x:v>
      </x:c>
      <x:c r="AB137" s="15" t="n">
        <x:f>'기준스탯 72종'!F13*H137</x:f>
        <x:v>1.6800000000000004</x:v>
      </x:c>
      <x:c r="AC137" s="15" t="n">
        <x:f>'기준스탯 72종'!G13*H137</x:f>
        <x:v>1.6800000000000004</x:v>
      </x:c>
      <x:c r="AD137" s="15" t="n">
        <x:f>'기준스탯 72종'!H13*H137</x:f>
        <x:v>1.2000000000000002</x:v>
      </x:c>
      <x:c r="AE137" s="15" t="n">
        <x:f>'기준스탯 72종'!I13*H137</x:f>
        <x:v>1.6800000000000004</x:v>
      </x:c>
      <x:c r="AF137" s="15" t="n">
        <x:f>'기준스탯 72종'!J13*H137</x:f>
        <x:v>0.4800000000000001</x:v>
      </x:c>
      <x:c r="AG137" s="15" t="n">
        <x:f>'기준스탯 72종'!K13*H137</x:f>
        <x:v>0.4800000000000001</x:v>
      </x:c>
    </x:row>
    <x:row r="138" ht="28" customHeight="1">
      <x:c r="A138" s="2" t="n">
        <x:v>131</x:v>
      </x:c>
      <x:c r="B138" s="2" t="n">
        <x:v>6</x:v>
      </x:c>
      <x:c r="C138" s="2" t="str">
        <x:v>양자리</x:v>
      </x:c>
      <x:c r="D138" s="2" t="str">
        <x:v>전사</x:v>
      </x:c>
      <x:c r="E138" s="2" t="n">
        <x:v>1</x:v>
      </x:c>
      <x:c r="F138" s="2" t="n">
        <x:v>2</x:v>
      </x:c>
      <x:c r="G138" s="14" t="n">
        <x:f>('레벨 계산식'!$E$4-E138)*'레벨 계산식'!$B$5</x:f>
        <x:v>0.5599999999999999</x:v>
      </x:c>
      <x:c r="H138" s="14" t="n">
        <x:f>('등급 계산식'!$E$4-F138)*'등급 계산식'!$B$5</x:f>
        <x:v>0.18000000000000005</x:v>
      </x:c>
      <x:c r="I138" s="14" t="n">
        <x:f>1-G138-H138</x:f>
        <x:v>0.26</x:v>
      </x:c>
      <x:c r="J138" s="2" t="n">
        <x:f>MAX(1,ROUND('기준스탯 72종'!D13-R138-Z138,0))</x:f>
        <x:v>2</x:v>
      </x:c>
      <x:c r="K138" s="2" t="n">
        <x:f>MAX(1,ROUND('기준스탯 72종'!E13-S138-AA138,0))</x:f>
        <x:v>2</x:v>
      </x:c>
      <x:c r="L138" s="2" t="n">
        <x:f>MAX(1,ROUND('기준스탯 72종'!F13-T138-AB138,0))</x:f>
        <x:v>2</x:v>
      </x:c>
      <x:c r="M138" s="2" t="n">
        <x:f>MAX(1,ROUND('기준스탯 72종'!G13-U138-AC138,0))</x:f>
        <x:v>2</x:v>
      </x:c>
      <x:c r="N138" s="2" t="n">
        <x:f>MAX(0,ROUND('기준스탯 72종'!H13-V138-AD138,0))</x:f>
        <x:v>1</x:v>
      </x:c>
      <x:c r="O138" s="2" t="n">
        <x:f>MAX(0,ROUND('기준스탯 72종'!I13-W138-AE138,0))</x:f>
        <x:v>2</x:v>
      </x:c>
      <x:c r="P138" s="2" t="n">
        <x:f>MAX(0,ROUND('기준스탯 72종'!J13-X138-AF138,0))</x:f>
        <x:v>1</x:v>
      </x:c>
      <x:c r="Q138" s="2" t="n">
        <x:f>MAX(0,ROUND('기준스탯 72종'!K13-Y138-AG138,0))</x:f>
        <x:v>1</x:v>
      </x:c>
      <x:c r="R138" s="15" t="n">
        <x:f>'기준스탯 72종'!D13*G138</x:f>
        <x:v>5.039999999999999</x:v>
      </x:c>
      <x:c r="S138" s="15" t="n">
        <x:f>'기준스탯 72종'!E13*G138</x:f>
        <x:v>4.4799999999999995</x:v>
      </x:c>
      <x:c r="T138" s="15" t="n">
        <x:f>'기준스탯 72종'!F13*G138</x:f>
        <x:v>3.9199999999999995</x:v>
      </x:c>
      <x:c r="U138" s="15" t="n">
        <x:f>'기준스탯 72종'!G13*G138</x:f>
        <x:v>3.9199999999999995</x:v>
      </x:c>
      <x:c r="V138" s="15" t="n">
        <x:f>'기준스탯 72종'!H13*G138</x:f>
        <x:v>2.8</x:v>
      </x:c>
      <x:c r="W138" s="15" t="n">
        <x:f>'기준스탯 72종'!I13*G138</x:f>
        <x:v>3.9199999999999995</x:v>
      </x:c>
      <x:c r="X138" s="15" t="n">
        <x:f>'기준스탯 72종'!J13*G138</x:f>
        <x:v>1.1199999999999999</x:v>
      </x:c>
      <x:c r="Y138" s="15" t="n">
        <x:f>'기준스탯 72종'!K13*G138</x:f>
        <x:v>1.1199999999999999</x:v>
      </x:c>
      <x:c r="Z138" s="15" t="n">
        <x:f>'기준스탯 72종'!D13*H138</x:f>
        <x:v>1.6200000000000006</x:v>
      </x:c>
      <x:c r="AA138" s="15" t="n">
        <x:f>'기준스탯 72종'!E13*H138</x:f>
        <x:v>1.4400000000000004</x:v>
      </x:c>
      <x:c r="AB138" s="15" t="n">
        <x:f>'기준스탯 72종'!F13*H138</x:f>
        <x:v>1.2600000000000002</x:v>
      </x:c>
      <x:c r="AC138" s="15" t="n">
        <x:f>'기준스탯 72종'!G13*H138</x:f>
        <x:v>1.2600000000000002</x:v>
      </x:c>
      <x:c r="AD138" s="15" t="n">
        <x:f>'기준스탯 72종'!H13*H138</x:f>
        <x:v>0.9000000000000002</x:v>
      </x:c>
      <x:c r="AE138" s="15" t="n">
        <x:f>'기준스탯 72종'!I13*H138</x:f>
        <x:v>1.2600000000000002</x:v>
      </x:c>
      <x:c r="AF138" s="15" t="n">
        <x:f>'기준스탯 72종'!J13*H138</x:f>
        <x:v>0.3600000000000001</x:v>
      </x:c>
      <x:c r="AG138" s="15" t="n">
        <x:f>'기준스탯 72종'!K13*H138</x:f>
        <x:v>0.3600000000000001</x:v>
      </x:c>
    </x:row>
    <x:row r="139" ht="28" customHeight="1">
      <x:c r="A139" s="2" t="n">
        <x:v>132</x:v>
      </x:c>
      <x:c r="B139" s="2" t="n">
        <x:v>6</x:v>
      </x:c>
      <x:c r="C139" s="2" t="str">
        <x:v>양자리</x:v>
      </x:c>
      <x:c r="D139" s="2" t="str">
        <x:v>전사</x:v>
      </x:c>
      <x:c r="E139" s="2" t="n">
        <x:v>2</x:v>
      </x:c>
      <x:c r="F139" s="2" t="n">
        <x:v>2</x:v>
      </x:c>
      <x:c r="G139" s="14" t="n">
        <x:f>('레벨 계산식'!$E$4-E139)*'레벨 계산식'!$B$5</x:f>
        <x:v>0.41999999999999993</x:v>
      </x:c>
      <x:c r="H139" s="14" t="n">
        <x:f>('등급 계산식'!$E$4-F139)*'등급 계산식'!$B$5</x:f>
        <x:v>0.18000000000000005</x:v>
      </x:c>
      <x:c r="I139" s="14" t="n">
        <x:f>1-G139-H139</x:f>
        <x:v>0.4</x:v>
      </x:c>
      <x:c r="J139" s="2" t="n">
        <x:f>MAX(1,ROUND('기준스탯 72종'!D13-R139-Z139,0))</x:f>
        <x:v>4</x:v>
      </x:c>
      <x:c r="K139" s="2" t="n">
        <x:f>MAX(1,ROUND('기준스탯 72종'!E13-S139-AA139,0))</x:f>
        <x:v>3</x:v>
      </x:c>
      <x:c r="L139" s="2" t="n">
        <x:f>MAX(1,ROUND('기준스탯 72종'!F13-T139-AB139,0))</x:f>
        <x:v>3</x:v>
      </x:c>
      <x:c r="M139" s="2" t="n">
        <x:f>MAX(1,ROUND('기준스탯 72종'!G13-U139-AC139,0))</x:f>
        <x:v>3</x:v>
      </x:c>
      <x:c r="N139" s="2" t="n">
        <x:f>MAX(0,ROUND('기준스탯 72종'!H13-V139-AD139,0))</x:f>
        <x:v>2</x:v>
      </x:c>
      <x:c r="O139" s="2" t="n">
        <x:f>MAX(0,ROUND('기준스탯 72종'!I13-W139-AE139,0))</x:f>
        <x:v>3</x:v>
      </x:c>
      <x:c r="P139" s="2" t="n">
        <x:f>MAX(0,ROUND('기준스탯 72종'!J13-X139-AF139,0))</x:f>
        <x:v>1</x:v>
      </x:c>
      <x:c r="Q139" s="2" t="n">
        <x:f>MAX(0,ROUND('기준스탯 72종'!K13-Y139-AG139,0))</x:f>
        <x:v>1</x:v>
      </x:c>
      <x:c r="R139" s="15" t="n">
        <x:f>'기준스탯 72종'!D13*G139</x:f>
        <x:v>3.7799999999999994</x:v>
      </x:c>
      <x:c r="S139" s="15" t="n">
        <x:f>'기준스탯 72종'!E13*G139</x:f>
        <x:v>3.3599999999999994</x:v>
      </x:c>
      <x:c r="T139" s="15" t="n">
        <x:f>'기준스탯 72종'!F13*G139</x:f>
        <x:v>2.9399999999999995</x:v>
      </x:c>
      <x:c r="U139" s="15" t="n">
        <x:f>'기준스탯 72종'!G13*G139</x:f>
        <x:v>2.9399999999999995</x:v>
      </x:c>
      <x:c r="V139" s="15" t="n">
        <x:f>'기준스탯 72종'!H13*G139</x:f>
        <x:v>2.0999999999999996</x:v>
      </x:c>
      <x:c r="W139" s="15" t="n">
        <x:f>'기준스탯 72종'!I13*G139</x:f>
        <x:v>2.9399999999999995</x:v>
      </x:c>
      <x:c r="X139" s="15" t="n">
        <x:f>'기준스탯 72종'!J13*G139</x:f>
        <x:v>0.8399999999999999</x:v>
      </x:c>
      <x:c r="Y139" s="15" t="n">
        <x:f>'기준스탯 72종'!K13*G139</x:f>
        <x:v>0.8399999999999999</x:v>
      </x:c>
      <x:c r="Z139" s="15" t="n">
        <x:f>'기준스탯 72종'!D13*H139</x:f>
        <x:v>1.6200000000000006</x:v>
      </x:c>
      <x:c r="AA139" s="15" t="n">
        <x:f>'기준스탯 72종'!E13*H139</x:f>
        <x:v>1.4400000000000004</x:v>
      </x:c>
      <x:c r="AB139" s="15" t="n">
        <x:f>'기준스탯 72종'!F13*H139</x:f>
        <x:v>1.2600000000000002</x:v>
      </x:c>
      <x:c r="AC139" s="15" t="n">
        <x:f>'기준스탯 72종'!G13*H139</x:f>
        <x:v>1.2600000000000002</x:v>
      </x:c>
      <x:c r="AD139" s="15" t="n">
        <x:f>'기준스탯 72종'!H13*H139</x:f>
        <x:v>0.9000000000000002</x:v>
      </x:c>
      <x:c r="AE139" s="15" t="n">
        <x:f>'기준스탯 72종'!I13*H139</x:f>
        <x:v>1.2600000000000002</x:v>
      </x:c>
      <x:c r="AF139" s="15" t="n">
        <x:f>'기준스탯 72종'!J13*H139</x:f>
        <x:v>0.3600000000000001</x:v>
      </x:c>
      <x:c r="AG139" s="15" t="n">
        <x:f>'기준스탯 72종'!K13*H139</x:f>
        <x:v>0.3600000000000001</x:v>
      </x:c>
    </x:row>
    <x:row r="140" ht="28" customHeight="1">
      <x:c r="A140" s="2" t="n">
        <x:v>133</x:v>
      </x:c>
      <x:c r="B140" s="2" t="n">
        <x:v>6</x:v>
      </x:c>
      <x:c r="C140" s="2" t="str">
        <x:v>양자리</x:v>
      </x:c>
      <x:c r="D140" s="2" t="str">
        <x:v>전사</x:v>
      </x:c>
      <x:c r="E140" s="2" t="n">
        <x:v>3</x:v>
      </x:c>
      <x:c r="F140" s="2" t="n">
        <x:v>2</x:v>
      </x:c>
      <x:c r="G140" s="14" t="n">
        <x:f>('레벨 계산식'!$E$4-E140)*'레벨 계산식'!$B$5</x:f>
        <x:v>0.27999999999999997</x:v>
      </x:c>
      <x:c r="H140" s="14" t="n">
        <x:f>('등급 계산식'!$E$4-F140)*'등급 계산식'!$B$5</x:f>
        <x:v>0.18000000000000005</x:v>
      </x:c>
      <x:c r="I140" s="14" t="n">
        <x:f>1-G140-H140</x:f>
        <x:v>0.5399999999999999</x:v>
      </x:c>
      <x:c r="J140" s="2" t="n">
        <x:f>MAX(1,ROUND('기준스탯 72종'!D13-R140-Z140,0))</x:f>
        <x:v>5</x:v>
      </x:c>
      <x:c r="K140" s="2" t="n">
        <x:f>MAX(1,ROUND('기준스탯 72종'!E13-S140-AA140,0))</x:f>
        <x:v>4</x:v>
      </x:c>
      <x:c r="L140" s="2" t="n">
        <x:f>MAX(1,ROUND('기준스탯 72종'!F13-T140-AB140,0))</x:f>
        <x:v>4</x:v>
      </x:c>
      <x:c r="M140" s="2" t="n">
        <x:f>MAX(1,ROUND('기준스탯 72종'!G13-U140-AC140,0))</x:f>
        <x:v>4</x:v>
      </x:c>
      <x:c r="N140" s="2" t="n">
        <x:f>MAX(0,ROUND('기준스탯 72종'!H13-V140-AD140,0))</x:f>
        <x:v>3</x:v>
      </x:c>
      <x:c r="O140" s="2" t="n">
        <x:f>MAX(0,ROUND('기준스탯 72종'!I13-W140-AE140,0))</x:f>
        <x:v>4</x:v>
      </x:c>
      <x:c r="P140" s="2" t="n">
        <x:f>MAX(0,ROUND('기준스탯 72종'!J13-X140-AF140,0))</x:f>
        <x:v>1</x:v>
      </x:c>
      <x:c r="Q140" s="2" t="n">
        <x:f>MAX(0,ROUND('기준스탯 72종'!K13-Y140-AG140,0))</x:f>
        <x:v>1</x:v>
      </x:c>
      <x:c r="R140" s="15" t="n">
        <x:f>'기준스탯 72종'!D13*G140</x:f>
        <x:v>2.5199999999999996</x:v>
      </x:c>
      <x:c r="S140" s="15" t="n">
        <x:f>'기준스탯 72종'!E13*G140</x:f>
        <x:v>2.2399999999999998</x:v>
      </x:c>
      <x:c r="T140" s="15" t="n">
        <x:f>'기준스탯 72종'!F13*G140</x:f>
        <x:v>1.9599999999999997</x:v>
      </x:c>
      <x:c r="U140" s="15" t="n">
        <x:f>'기준스탯 72종'!G13*G140</x:f>
        <x:v>1.9599999999999997</x:v>
      </x:c>
      <x:c r="V140" s="15" t="n">
        <x:f>'기준스탯 72종'!H13*G140</x:f>
        <x:v>1.4</x:v>
      </x:c>
      <x:c r="W140" s="15" t="n">
        <x:f>'기준스탯 72종'!I13*G140</x:f>
        <x:v>1.9599999999999997</x:v>
      </x:c>
      <x:c r="X140" s="15" t="n">
        <x:f>'기준스탯 72종'!J13*G140</x:f>
        <x:v>0.5599999999999999</x:v>
      </x:c>
      <x:c r="Y140" s="15" t="n">
        <x:f>'기준스탯 72종'!K13*G140</x:f>
        <x:v>0.5599999999999999</x:v>
      </x:c>
      <x:c r="Z140" s="15" t="n">
        <x:f>'기준스탯 72종'!D13*H140</x:f>
        <x:v>1.6200000000000006</x:v>
      </x:c>
      <x:c r="AA140" s="15" t="n">
        <x:f>'기준스탯 72종'!E13*H140</x:f>
        <x:v>1.4400000000000004</x:v>
      </x:c>
      <x:c r="AB140" s="15" t="n">
        <x:f>'기준스탯 72종'!F13*H140</x:f>
        <x:v>1.2600000000000002</x:v>
      </x:c>
      <x:c r="AC140" s="15" t="n">
        <x:f>'기준스탯 72종'!G13*H140</x:f>
        <x:v>1.2600000000000002</x:v>
      </x:c>
      <x:c r="AD140" s="15" t="n">
        <x:f>'기준스탯 72종'!H13*H140</x:f>
        <x:v>0.9000000000000002</x:v>
      </x:c>
      <x:c r="AE140" s="15" t="n">
        <x:f>'기준스탯 72종'!I13*H140</x:f>
        <x:v>1.2600000000000002</x:v>
      </x:c>
      <x:c r="AF140" s="15" t="n">
        <x:f>'기준스탯 72종'!J13*H140</x:f>
        <x:v>0.3600000000000001</x:v>
      </x:c>
      <x:c r="AG140" s="15" t="n">
        <x:f>'기준스탯 72종'!K13*H140</x:f>
        <x:v>0.3600000000000001</x:v>
      </x:c>
    </x:row>
    <x:row r="141" ht="28" customHeight="1">
      <x:c r="A141" s="2" t="n">
        <x:v>134</x:v>
      </x:c>
      <x:c r="B141" s="2" t="n">
        <x:v>6</x:v>
      </x:c>
      <x:c r="C141" s="2" t="str">
        <x:v>양자리</x:v>
      </x:c>
      <x:c r="D141" s="2" t="str">
        <x:v>전사</x:v>
      </x:c>
      <x:c r="E141" s="2" t="n">
        <x:v>4</x:v>
      </x:c>
      <x:c r="F141" s="2" t="n">
        <x:v>2</x:v>
      </x:c>
      <x:c r="G141" s="14" t="n">
        <x:f>('레벨 계산식'!$E$4-E141)*'레벨 계산식'!$B$5</x:f>
        <x:v>0.13999999999999999</x:v>
      </x:c>
      <x:c r="H141" s="14" t="n">
        <x:f>('등급 계산식'!$E$4-F141)*'등급 계산식'!$B$5</x:f>
        <x:v>0.18000000000000005</x:v>
      </x:c>
      <x:c r="I141" s="14" t="n">
        <x:f>1-G141-H141</x:f>
        <x:v>0.6799999999999999</x:v>
      </x:c>
      <x:c r="J141" s="2" t="n">
        <x:f>MAX(1,ROUND('기준스탯 72종'!D13-R141-Z141,0))</x:f>
        <x:v>6</x:v>
      </x:c>
      <x:c r="K141" s="2" t="n">
        <x:f>MAX(1,ROUND('기준스탯 72종'!E13-S141-AA141,0))</x:f>
        <x:v>5</x:v>
      </x:c>
      <x:c r="L141" s="2" t="n">
        <x:f>MAX(1,ROUND('기준스탯 72종'!F13-T141-AB141,0))</x:f>
        <x:v>5</x:v>
      </x:c>
      <x:c r="M141" s="2" t="n">
        <x:f>MAX(1,ROUND('기준스탯 72종'!G13-U141-AC141,0))</x:f>
        <x:v>5</x:v>
      </x:c>
      <x:c r="N141" s="2" t="n">
        <x:f>MAX(0,ROUND('기준스탯 72종'!H13-V141-AD141,0))</x:f>
        <x:v>3</x:v>
      </x:c>
      <x:c r="O141" s="2" t="n">
        <x:f>MAX(0,ROUND('기준스탯 72종'!I13-W141-AE141,0))</x:f>
        <x:v>5</x:v>
      </x:c>
      <x:c r="P141" s="2" t="n">
        <x:f>MAX(0,ROUND('기준스탯 72종'!J13-X141-AF141,0))</x:f>
        <x:v>1</x:v>
      </x:c>
      <x:c r="Q141" s="2" t="n">
        <x:f>MAX(0,ROUND('기준스탯 72종'!K13-Y141-AG141,0))</x:f>
        <x:v>1</x:v>
      </x:c>
      <x:c r="R141" s="15" t="n">
        <x:f>'기준스탯 72종'!D13*G141</x:f>
        <x:v>1.2599999999999998</x:v>
      </x:c>
      <x:c r="S141" s="15" t="n">
        <x:f>'기준스탯 72종'!E13*G141</x:f>
        <x:v>1.1199999999999999</x:v>
      </x:c>
      <x:c r="T141" s="15" t="n">
        <x:f>'기준스탯 72종'!F13*G141</x:f>
        <x:v>0.9799999999999999</x:v>
      </x:c>
      <x:c r="U141" s="15" t="n">
        <x:f>'기준스탯 72종'!G13*G141</x:f>
        <x:v>0.9799999999999999</x:v>
      </x:c>
      <x:c r="V141" s="15" t="n">
        <x:f>'기준스탯 72종'!H13*G141</x:f>
        <x:v>0.7</x:v>
      </x:c>
      <x:c r="W141" s="15" t="n">
        <x:f>'기준스탯 72종'!I13*G141</x:f>
        <x:v>0.9799999999999999</x:v>
      </x:c>
      <x:c r="X141" s="15" t="n">
        <x:f>'기준스탯 72종'!J13*G141</x:f>
        <x:v>0.27999999999999997</x:v>
      </x:c>
      <x:c r="Y141" s="15" t="n">
        <x:f>'기준스탯 72종'!K13*G141</x:f>
        <x:v>0.27999999999999997</x:v>
      </x:c>
      <x:c r="Z141" s="15" t="n">
        <x:f>'기준스탯 72종'!D13*H141</x:f>
        <x:v>1.6200000000000006</x:v>
      </x:c>
      <x:c r="AA141" s="15" t="n">
        <x:f>'기준스탯 72종'!E13*H141</x:f>
        <x:v>1.4400000000000004</x:v>
      </x:c>
      <x:c r="AB141" s="15" t="n">
        <x:f>'기준스탯 72종'!F13*H141</x:f>
        <x:v>1.2600000000000002</x:v>
      </x:c>
      <x:c r="AC141" s="15" t="n">
        <x:f>'기준스탯 72종'!G13*H141</x:f>
        <x:v>1.2600000000000002</x:v>
      </x:c>
      <x:c r="AD141" s="15" t="n">
        <x:f>'기준스탯 72종'!H13*H141</x:f>
        <x:v>0.9000000000000002</x:v>
      </x:c>
      <x:c r="AE141" s="15" t="n">
        <x:f>'기준스탯 72종'!I13*H141</x:f>
        <x:v>1.2600000000000002</x:v>
      </x:c>
      <x:c r="AF141" s="15" t="n">
        <x:f>'기준스탯 72종'!J13*H141</x:f>
        <x:v>0.3600000000000001</x:v>
      </x:c>
      <x:c r="AG141" s="15" t="n">
        <x:f>'기준스탯 72종'!K13*H141</x:f>
        <x:v>0.3600000000000001</x:v>
      </x:c>
    </x:row>
    <x:row r="142" ht="28" customHeight="1">
      <x:c r="A142" s="2" t="n">
        <x:v>135</x:v>
      </x:c>
      <x:c r="B142" s="2" t="n">
        <x:v>6</x:v>
      </x:c>
      <x:c r="C142" s="2" t="str">
        <x:v>양자리</x:v>
      </x:c>
      <x:c r="D142" s="2" t="str">
        <x:v>전사</x:v>
      </x:c>
      <x:c r="E142" s="2" t="n">
        <x:v>5</x:v>
      </x:c>
      <x:c r="F142" s="2" t="n">
        <x:v>2</x:v>
      </x:c>
      <x:c r="G142" s="14" t="n">
        <x:f>('레벨 계산식'!$E$4-E142)*'레벨 계산식'!$B$5</x:f>
        <x:v>0</x:v>
      </x:c>
      <x:c r="H142" s="14" t="n">
        <x:f>('등급 계산식'!$E$4-F142)*'등급 계산식'!$B$5</x:f>
        <x:v>0.18000000000000005</x:v>
      </x:c>
      <x:c r="I142" s="14" t="n">
        <x:f>1-G142-H142</x:f>
        <x:v>0.82</x:v>
      </x:c>
      <x:c r="J142" s="2" t="n">
        <x:f>MAX(1,ROUND('기준스탯 72종'!D13-R142-Z142,0))</x:f>
        <x:v>7</x:v>
      </x:c>
      <x:c r="K142" s="2" t="n">
        <x:f>MAX(1,ROUND('기준스탯 72종'!E13-S142-AA142,0))</x:f>
        <x:v>7</x:v>
      </x:c>
      <x:c r="L142" s="2" t="n">
        <x:f>MAX(1,ROUND('기준스탯 72종'!F13-T142-AB142,0))</x:f>
        <x:v>6</x:v>
      </x:c>
      <x:c r="M142" s="2" t="n">
        <x:f>MAX(1,ROUND('기준스탯 72종'!G13-U142-AC142,0))</x:f>
        <x:v>6</x:v>
      </x:c>
      <x:c r="N142" s="2" t="n">
        <x:f>MAX(0,ROUND('기준스탯 72종'!H13-V142-AD142,0))</x:f>
        <x:v>4</x:v>
      </x:c>
      <x:c r="O142" s="2" t="n">
        <x:f>MAX(0,ROUND('기준스탯 72종'!I13-W142-AE142,0))</x:f>
        <x:v>6</x:v>
      </x:c>
      <x:c r="P142" s="2" t="n">
        <x:f>MAX(0,ROUND('기준스탯 72종'!J13-X142-AF142,0))</x:f>
        <x:v>2</x:v>
      </x:c>
      <x:c r="Q142" s="2" t="n">
        <x:f>MAX(0,ROUND('기준스탯 72종'!K13-Y142-AG142,0))</x:f>
        <x:v>2</x:v>
      </x:c>
      <x:c r="R142" s="15" t="n">
        <x:f>'기준스탯 72종'!D13*G142</x:f>
        <x:v>0</x:v>
      </x:c>
      <x:c r="S142" s="15" t="n">
        <x:f>'기준스탯 72종'!E13*G142</x:f>
        <x:v>0</x:v>
      </x:c>
      <x:c r="T142" s="15" t="n">
        <x:f>'기준스탯 72종'!F13*G142</x:f>
        <x:v>0</x:v>
      </x:c>
      <x:c r="U142" s="15" t="n">
        <x:f>'기준스탯 72종'!G13*G142</x:f>
        <x:v>0</x:v>
      </x:c>
      <x:c r="V142" s="15" t="n">
        <x:f>'기준스탯 72종'!H13*G142</x:f>
        <x:v>0</x:v>
      </x:c>
      <x:c r="W142" s="15" t="n">
        <x:f>'기준스탯 72종'!I13*G142</x:f>
        <x:v>0</x:v>
      </x:c>
      <x:c r="X142" s="15" t="n">
        <x:f>'기준스탯 72종'!J13*G142</x:f>
        <x:v>0</x:v>
      </x:c>
      <x:c r="Y142" s="15" t="n">
        <x:f>'기준스탯 72종'!K13*G142</x:f>
        <x:v>0</x:v>
      </x:c>
      <x:c r="Z142" s="15" t="n">
        <x:f>'기준스탯 72종'!D13*H142</x:f>
        <x:v>1.6200000000000006</x:v>
      </x:c>
      <x:c r="AA142" s="15" t="n">
        <x:f>'기준스탯 72종'!E13*H142</x:f>
        <x:v>1.4400000000000004</x:v>
      </x:c>
      <x:c r="AB142" s="15" t="n">
        <x:f>'기준스탯 72종'!F13*H142</x:f>
        <x:v>1.2600000000000002</x:v>
      </x:c>
      <x:c r="AC142" s="15" t="n">
        <x:f>'기준스탯 72종'!G13*H142</x:f>
        <x:v>1.2600000000000002</x:v>
      </x:c>
      <x:c r="AD142" s="15" t="n">
        <x:f>'기준스탯 72종'!H13*H142</x:f>
        <x:v>0.9000000000000002</x:v>
      </x:c>
      <x:c r="AE142" s="15" t="n">
        <x:f>'기준스탯 72종'!I13*H142</x:f>
        <x:v>1.2600000000000002</x:v>
      </x:c>
      <x:c r="AF142" s="15" t="n">
        <x:f>'기준스탯 72종'!J13*H142</x:f>
        <x:v>0.3600000000000001</x:v>
      </x:c>
      <x:c r="AG142" s="15" t="n">
        <x:f>'기준스탯 72종'!K13*H142</x:f>
        <x:v>0.3600000000000001</x:v>
      </x:c>
    </x:row>
    <x:row r="143" ht="28" customHeight="1">
      <x:c r="A143" s="2" t="n">
        <x:v>136</x:v>
      </x:c>
      <x:c r="B143" s="2" t="n">
        <x:v>6</x:v>
      </x:c>
      <x:c r="C143" s="2" t="str">
        <x:v>양자리</x:v>
      </x:c>
      <x:c r="D143" s="2" t="str">
        <x:v>전사</x:v>
      </x:c>
      <x:c r="E143" s="2" t="n">
        <x:v>1</x:v>
      </x:c>
      <x:c r="F143" s="2" t="n">
        <x:v>3</x:v>
      </x:c>
      <x:c r="G143" s="14" t="n">
        <x:f>('레벨 계산식'!$E$4-E143)*'레벨 계산식'!$B$5</x:f>
        <x:v>0.5599999999999999</x:v>
      </x:c>
      <x:c r="H143" s="14" t="n">
        <x:f>('등급 계산식'!$E$4-F143)*'등급 계산식'!$B$5</x:f>
        <x:v>0.12000000000000002</x:v>
      </x:c>
      <x:c r="I143" s="14" t="n">
        <x:f>1-G143-H143</x:f>
        <x:v>0.32000000000000006</x:v>
      </x:c>
      <x:c r="J143" s="2" t="n">
        <x:f>MAX(1,ROUND('기준스탯 72종'!D13-R143-Z143,0))</x:f>
        <x:v>3</x:v>
      </x:c>
      <x:c r="K143" s="2" t="n">
        <x:f>MAX(1,ROUND('기준스탯 72종'!E13-S143-AA143,0))</x:f>
        <x:v>3</x:v>
      </x:c>
      <x:c r="L143" s="2" t="n">
        <x:f>MAX(1,ROUND('기준스탯 72종'!F13-T143-AB143,0))</x:f>
        <x:v>2</x:v>
      </x:c>
      <x:c r="M143" s="2" t="n">
        <x:f>MAX(1,ROUND('기준스탯 72종'!G13-U143-AC143,0))</x:f>
        <x:v>2</x:v>
      </x:c>
      <x:c r="N143" s="2" t="n">
        <x:f>MAX(0,ROUND('기준스탯 72종'!H13-V143-AD143,0))</x:f>
        <x:v>2</x:v>
      </x:c>
      <x:c r="O143" s="2" t="n">
        <x:f>MAX(0,ROUND('기준스탯 72종'!I13-W143-AE143,0))</x:f>
        <x:v>2</x:v>
      </x:c>
      <x:c r="P143" s="2" t="n">
        <x:f>MAX(0,ROUND('기준스탯 72종'!J13-X143-AF143,0))</x:f>
        <x:v>1</x:v>
      </x:c>
      <x:c r="Q143" s="2" t="n">
        <x:f>MAX(0,ROUND('기준스탯 72종'!K13-Y143-AG143,0))</x:f>
        <x:v>1</x:v>
      </x:c>
      <x:c r="R143" s="15" t="n">
        <x:f>'기준스탯 72종'!D13*G143</x:f>
        <x:v>5.039999999999999</x:v>
      </x:c>
      <x:c r="S143" s="15" t="n">
        <x:f>'기준스탯 72종'!E13*G143</x:f>
        <x:v>4.4799999999999995</x:v>
      </x:c>
      <x:c r="T143" s="15" t="n">
        <x:f>'기준스탯 72종'!F13*G143</x:f>
        <x:v>3.9199999999999995</x:v>
      </x:c>
      <x:c r="U143" s="15" t="n">
        <x:f>'기준스탯 72종'!G13*G143</x:f>
        <x:v>3.9199999999999995</x:v>
      </x:c>
      <x:c r="V143" s="15" t="n">
        <x:f>'기준스탯 72종'!H13*G143</x:f>
        <x:v>2.8</x:v>
      </x:c>
      <x:c r="W143" s="15" t="n">
        <x:f>'기준스탯 72종'!I13*G143</x:f>
        <x:v>3.9199999999999995</x:v>
      </x:c>
      <x:c r="X143" s="15" t="n">
        <x:f>'기준스탯 72종'!J13*G143</x:f>
        <x:v>1.1199999999999999</x:v>
      </x:c>
      <x:c r="Y143" s="15" t="n">
        <x:f>'기준스탯 72종'!K13*G143</x:f>
        <x:v>1.1199999999999999</x:v>
      </x:c>
      <x:c r="Z143" s="15" t="n">
        <x:f>'기준스탯 72종'!D13*H143</x:f>
        <x:v>1.0800000000000003</x:v>
      </x:c>
      <x:c r="AA143" s="15" t="n">
        <x:f>'기준스탯 72종'!E13*H143</x:f>
        <x:v>0.9600000000000002</x:v>
      </x:c>
      <x:c r="AB143" s="15" t="n">
        <x:f>'기준스탯 72종'!F13*H143</x:f>
        <x:v>0.8400000000000002</x:v>
      </x:c>
      <x:c r="AC143" s="15" t="n">
        <x:f>'기준스탯 72종'!G13*H143</x:f>
        <x:v>0.8400000000000002</x:v>
      </x:c>
      <x:c r="AD143" s="15" t="n">
        <x:f>'기준스탯 72종'!H13*H143</x:f>
        <x:v>0.6000000000000001</x:v>
      </x:c>
      <x:c r="AE143" s="15" t="n">
        <x:f>'기준스탯 72종'!I13*H143</x:f>
        <x:v>0.8400000000000002</x:v>
      </x:c>
      <x:c r="AF143" s="15" t="n">
        <x:f>'기준스탯 72종'!J13*H143</x:f>
        <x:v>0.24000000000000005</x:v>
      </x:c>
      <x:c r="AG143" s="15" t="n">
        <x:f>'기준스탯 72종'!K13*H143</x:f>
        <x:v>0.24000000000000005</x:v>
      </x:c>
    </x:row>
    <x:row r="144" ht="28" customHeight="1">
      <x:c r="A144" s="2" t="n">
        <x:v>137</x:v>
      </x:c>
      <x:c r="B144" s="2" t="n">
        <x:v>6</x:v>
      </x:c>
      <x:c r="C144" s="2" t="str">
        <x:v>양자리</x:v>
      </x:c>
      <x:c r="D144" s="2" t="str">
        <x:v>전사</x:v>
      </x:c>
      <x:c r="E144" s="2" t="n">
        <x:v>2</x:v>
      </x:c>
      <x:c r="F144" s="2" t="n">
        <x:v>3</x:v>
      </x:c>
      <x:c r="G144" s="14" t="n">
        <x:f>('레벨 계산식'!$E$4-E144)*'레벨 계산식'!$B$5</x:f>
        <x:v>0.41999999999999993</x:v>
      </x:c>
      <x:c r="H144" s="14" t="n">
        <x:f>('등급 계산식'!$E$4-F144)*'등급 계산식'!$B$5</x:f>
        <x:v>0.12000000000000002</x:v>
      </x:c>
      <x:c r="I144" s="14" t="n">
        <x:f>1-G144-H144</x:f>
        <x:v>0.4600000000000001</x:v>
      </x:c>
      <x:c r="J144" s="2" t="n">
        <x:f>MAX(1,ROUND('기준스탯 72종'!D13-R144-Z144,0))</x:f>
        <x:v>4</x:v>
      </x:c>
      <x:c r="K144" s="2" t="n">
        <x:f>MAX(1,ROUND('기준스탯 72종'!E13-S144-AA144,0))</x:f>
        <x:v>4</x:v>
      </x:c>
      <x:c r="L144" s="2" t="n">
        <x:f>MAX(1,ROUND('기준스탯 72종'!F13-T144-AB144,0))</x:f>
        <x:v>3</x:v>
      </x:c>
      <x:c r="M144" s="2" t="n">
        <x:f>MAX(1,ROUND('기준스탯 72종'!G13-U144-AC144,0))</x:f>
        <x:v>3</x:v>
      </x:c>
      <x:c r="N144" s="2" t="n">
        <x:f>MAX(0,ROUND('기준스탯 72종'!H13-V144-AD144,0))</x:f>
        <x:v>2</x:v>
      </x:c>
      <x:c r="O144" s="2" t="n">
        <x:f>MAX(0,ROUND('기준스탯 72종'!I13-W144-AE144,0))</x:f>
        <x:v>3</x:v>
      </x:c>
      <x:c r="P144" s="2" t="n">
        <x:f>MAX(0,ROUND('기준스탯 72종'!J13-X144-AF144,0))</x:f>
        <x:v>1</x:v>
      </x:c>
      <x:c r="Q144" s="2" t="n">
        <x:f>MAX(0,ROUND('기준스탯 72종'!K13-Y144-AG144,0))</x:f>
        <x:v>1</x:v>
      </x:c>
      <x:c r="R144" s="15" t="n">
        <x:f>'기준스탯 72종'!D13*G144</x:f>
        <x:v>3.7799999999999994</x:v>
      </x:c>
      <x:c r="S144" s="15" t="n">
        <x:f>'기준스탯 72종'!E13*G144</x:f>
        <x:v>3.3599999999999994</x:v>
      </x:c>
      <x:c r="T144" s="15" t="n">
        <x:f>'기준스탯 72종'!F13*G144</x:f>
        <x:v>2.9399999999999995</x:v>
      </x:c>
      <x:c r="U144" s="15" t="n">
        <x:f>'기준스탯 72종'!G13*G144</x:f>
        <x:v>2.9399999999999995</x:v>
      </x:c>
      <x:c r="V144" s="15" t="n">
        <x:f>'기준스탯 72종'!H13*G144</x:f>
        <x:v>2.0999999999999996</x:v>
      </x:c>
      <x:c r="W144" s="15" t="n">
        <x:f>'기준스탯 72종'!I13*G144</x:f>
        <x:v>2.9399999999999995</x:v>
      </x:c>
      <x:c r="X144" s="15" t="n">
        <x:f>'기준스탯 72종'!J13*G144</x:f>
        <x:v>0.8399999999999999</x:v>
      </x:c>
      <x:c r="Y144" s="15" t="n">
        <x:f>'기준스탯 72종'!K13*G144</x:f>
        <x:v>0.8399999999999999</x:v>
      </x:c>
      <x:c r="Z144" s="15" t="n">
        <x:f>'기준스탯 72종'!D13*H144</x:f>
        <x:v>1.0800000000000003</x:v>
      </x:c>
      <x:c r="AA144" s="15" t="n">
        <x:f>'기준스탯 72종'!E13*H144</x:f>
        <x:v>0.9600000000000002</x:v>
      </x:c>
      <x:c r="AB144" s="15" t="n">
        <x:f>'기준스탯 72종'!F13*H144</x:f>
        <x:v>0.8400000000000002</x:v>
      </x:c>
      <x:c r="AC144" s="15" t="n">
        <x:f>'기준스탯 72종'!G13*H144</x:f>
        <x:v>0.8400000000000002</x:v>
      </x:c>
      <x:c r="AD144" s="15" t="n">
        <x:f>'기준스탯 72종'!H13*H144</x:f>
        <x:v>0.6000000000000001</x:v>
      </x:c>
      <x:c r="AE144" s="15" t="n">
        <x:f>'기준스탯 72종'!I13*H144</x:f>
        <x:v>0.8400000000000002</x:v>
      </x:c>
      <x:c r="AF144" s="15" t="n">
        <x:f>'기준스탯 72종'!J13*H144</x:f>
        <x:v>0.24000000000000005</x:v>
      </x:c>
      <x:c r="AG144" s="15" t="n">
        <x:f>'기준스탯 72종'!K13*H144</x:f>
        <x:v>0.24000000000000005</x:v>
      </x:c>
    </x:row>
    <x:row r="145" ht="28" customHeight="1">
      <x:c r="A145" s="2" t="n">
        <x:v>138</x:v>
      </x:c>
      <x:c r="B145" s="2" t="n">
        <x:v>6</x:v>
      </x:c>
      <x:c r="C145" s="2" t="str">
        <x:v>양자리</x:v>
      </x:c>
      <x:c r="D145" s="2" t="str">
        <x:v>전사</x:v>
      </x:c>
      <x:c r="E145" s="2" t="n">
        <x:v>3</x:v>
      </x:c>
      <x:c r="F145" s="2" t="n">
        <x:v>3</x:v>
      </x:c>
      <x:c r="G145" s="14" t="n">
        <x:f>('레벨 계산식'!$E$4-E145)*'레벨 계산식'!$B$5</x:f>
        <x:v>0.27999999999999997</x:v>
      </x:c>
      <x:c r="H145" s="14" t="n">
        <x:f>('등급 계산식'!$E$4-F145)*'등급 계산식'!$B$5</x:f>
        <x:v>0.12000000000000002</x:v>
      </x:c>
      <x:c r="I145" s="14" t="n">
        <x:f>1-G145-H145</x:f>
        <x:v>0.6</x:v>
      </x:c>
      <x:c r="J145" s="2" t="n">
        <x:f>MAX(1,ROUND('기준스탯 72종'!D13-R145-Z145,0))</x:f>
        <x:v>5</x:v>
      </x:c>
      <x:c r="K145" s="2" t="n">
        <x:f>MAX(1,ROUND('기준스탯 72종'!E13-S145-AA145,0))</x:f>
        <x:v>5</x:v>
      </x:c>
      <x:c r="L145" s="2" t="n">
        <x:f>MAX(1,ROUND('기준스탯 72종'!F13-T145-AB145,0))</x:f>
        <x:v>4</x:v>
      </x:c>
      <x:c r="M145" s="2" t="n">
        <x:f>MAX(1,ROUND('기준스탯 72종'!G13-U145-AC145,0))</x:f>
        <x:v>4</x:v>
      </x:c>
      <x:c r="N145" s="2" t="n">
        <x:f>MAX(0,ROUND('기준스탯 72종'!H13-V145-AD145,0))</x:f>
        <x:v>3</x:v>
      </x:c>
      <x:c r="O145" s="2" t="n">
        <x:f>MAX(0,ROUND('기준스탯 72종'!I13-W145-AE145,0))</x:f>
        <x:v>4</x:v>
      </x:c>
      <x:c r="P145" s="2" t="n">
        <x:f>MAX(0,ROUND('기준스탯 72종'!J13-X145-AF145,0))</x:f>
        <x:v>1</x:v>
      </x:c>
      <x:c r="Q145" s="2" t="n">
        <x:f>MAX(0,ROUND('기준스탯 72종'!K13-Y145-AG145,0))</x:f>
        <x:v>1</x:v>
      </x:c>
      <x:c r="R145" s="15" t="n">
        <x:f>'기준스탯 72종'!D13*G145</x:f>
        <x:v>2.5199999999999996</x:v>
      </x:c>
      <x:c r="S145" s="15" t="n">
        <x:f>'기준스탯 72종'!E13*G145</x:f>
        <x:v>2.2399999999999998</x:v>
      </x:c>
      <x:c r="T145" s="15" t="n">
        <x:f>'기준스탯 72종'!F13*G145</x:f>
        <x:v>1.9599999999999997</x:v>
      </x:c>
      <x:c r="U145" s="15" t="n">
        <x:f>'기준스탯 72종'!G13*G145</x:f>
        <x:v>1.9599999999999997</x:v>
      </x:c>
      <x:c r="V145" s="15" t="n">
        <x:f>'기준스탯 72종'!H13*G145</x:f>
        <x:v>1.4</x:v>
      </x:c>
      <x:c r="W145" s="15" t="n">
        <x:f>'기준스탯 72종'!I13*G145</x:f>
        <x:v>1.9599999999999997</x:v>
      </x:c>
      <x:c r="X145" s="15" t="n">
        <x:f>'기준스탯 72종'!J13*G145</x:f>
        <x:v>0.5599999999999999</x:v>
      </x:c>
      <x:c r="Y145" s="15" t="n">
        <x:f>'기준스탯 72종'!K13*G145</x:f>
        <x:v>0.5599999999999999</x:v>
      </x:c>
      <x:c r="Z145" s="15" t="n">
        <x:f>'기준스탯 72종'!D13*H145</x:f>
        <x:v>1.0800000000000003</x:v>
      </x:c>
      <x:c r="AA145" s="15" t="n">
        <x:f>'기준스탯 72종'!E13*H145</x:f>
        <x:v>0.9600000000000002</x:v>
      </x:c>
      <x:c r="AB145" s="15" t="n">
        <x:f>'기준스탯 72종'!F13*H145</x:f>
        <x:v>0.8400000000000002</x:v>
      </x:c>
      <x:c r="AC145" s="15" t="n">
        <x:f>'기준스탯 72종'!G13*H145</x:f>
        <x:v>0.8400000000000002</x:v>
      </x:c>
      <x:c r="AD145" s="15" t="n">
        <x:f>'기준스탯 72종'!H13*H145</x:f>
        <x:v>0.6000000000000001</x:v>
      </x:c>
      <x:c r="AE145" s="15" t="n">
        <x:f>'기준스탯 72종'!I13*H145</x:f>
        <x:v>0.8400000000000002</x:v>
      </x:c>
      <x:c r="AF145" s="15" t="n">
        <x:f>'기준스탯 72종'!J13*H145</x:f>
        <x:v>0.24000000000000005</x:v>
      </x:c>
      <x:c r="AG145" s="15" t="n">
        <x:f>'기준스탯 72종'!K13*H145</x:f>
        <x:v>0.24000000000000005</x:v>
      </x:c>
    </x:row>
    <x:row r="146" ht="28" customHeight="1">
      <x:c r="A146" s="2" t="n">
        <x:v>139</x:v>
      </x:c>
      <x:c r="B146" s="2" t="n">
        <x:v>6</x:v>
      </x:c>
      <x:c r="C146" s="2" t="str">
        <x:v>양자리</x:v>
      </x:c>
      <x:c r="D146" s="2" t="str">
        <x:v>전사</x:v>
      </x:c>
      <x:c r="E146" s="2" t="n">
        <x:v>4</x:v>
      </x:c>
      <x:c r="F146" s="2" t="n">
        <x:v>3</x:v>
      </x:c>
      <x:c r="G146" s="14" t="n">
        <x:f>('레벨 계산식'!$E$4-E146)*'레벨 계산식'!$B$5</x:f>
        <x:v>0.13999999999999999</x:v>
      </x:c>
      <x:c r="H146" s="14" t="n">
        <x:f>('등급 계산식'!$E$4-F146)*'등급 계산식'!$B$5</x:f>
        <x:v>0.12000000000000002</x:v>
      </x:c>
      <x:c r="I146" s="14" t="n">
        <x:f>1-G146-H146</x:f>
        <x:v>0.74</x:v>
      </x:c>
      <x:c r="J146" s="2" t="n">
        <x:f>MAX(1,ROUND('기준스탯 72종'!D13-R146-Z146,0))</x:f>
        <x:v>7</x:v>
      </x:c>
      <x:c r="K146" s="2" t="n">
        <x:f>MAX(1,ROUND('기준스탯 72종'!E13-S146-AA146,0))</x:f>
        <x:v>6</x:v>
      </x:c>
      <x:c r="L146" s="2" t="n">
        <x:f>MAX(1,ROUND('기준스탯 72종'!F13-T146-AB146,0))</x:f>
        <x:v>5</x:v>
      </x:c>
      <x:c r="M146" s="2" t="n">
        <x:f>MAX(1,ROUND('기준스탯 72종'!G13-U146-AC146,0))</x:f>
        <x:v>5</x:v>
      </x:c>
      <x:c r="N146" s="2" t="n">
        <x:f>MAX(0,ROUND('기준스탯 72종'!H13-V146-AD146,0))</x:f>
        <x:v>4</x:v>
      </x:c>
      <x:c r="O146" s="2" t="n">
        <x:f>MAX(0,ROUND('기준스탯 72종'!I13-W146-AE146,0))</x:f>
        <x:v>5</x:v>
      </x:c>
      <x:c r="P146" s="2" t="n">
        <x:f>MAX(0,ROUND('기준스탯 72종'!J13-X146-AF146,0))</x:f>
        <x:v>1</x:v>
      </x:c>
      <x:c r="Q146" s="2" t="n">
        <x:f>MAX(0,ROUND('기준스탯 72종'!K13-Y146-AG146,0))</x:f>
        <x:v>1</x:v>
      </x:c>
      <x:c r="R146" s="15" t="n">
        <x:f>'기준스탯 72종'!D13*G146</x:f>
        <x:v>1.2599999999999998</x:v>
      </x:c>
      <x:c r="S146" s="15" t="n">
        <x:f>'기준스탯 72종'!E13*G146</x:f>
        <x:v>1.1199999999999999</x:v>
      </x:c>
      <x:c r="T146" s="15" t="n">
        <x:f>'기준스탯 72종'!F13*G146</x:f>
        <x:v>0.9799999999999999</x:v>
      </x:c>
      <x:c r="U146" s="15" t="n">
        <x:f>'기준스탯 72종'!G13*G146</x:f>
        <x:v>0.9799999999999999</x:v>
      </x:c>
      <x:c r="V146" s="15" t="n">
        <x:f>'기준스탯 72종'!H13*G146</x:f>
        <x:v>0.7</x:v>
      </x:c>
      <x:c r="W146" s="15" t="n">
        <x:f>'기준스탯 72종'!I13*G146</x:f>
        <x:v>0.9799999999999999</x:v>
      </x:c>
      <x:c r="X146" s="15" t="n">
        <x:f>'기준스탯 72종'!J13*G146</x:f>
        <x:v>0.27999999999999997</x:v>
      </x:c>
      <x:c r="Y146" s="15" t="n">
        <x:f>'기준스탯 72종'!K13*G146</x:f>
        <x:v>0.27999999999999997</x:v>
      </x:c>
      <x:c r="Z146" s="15" t="n">
        <x:f>'기준스탯 72종'!D13*H146</x:f>
        <x:v>1.0800000000000003</x:v>
      </x:c>
      <x:c r="AA146" s="15" t="n">
        <x:f>'기준스탯 72종'!E13*H146</x:f>
        <x:v>0.9600000000000002</x:v>
      </x:c>
      <x:c r="AB146" s="15" t="n">
        <x:f>'기준스탯 72종'!F13*H146</x:f>
        <x:v>0.8400000000000002</x:v>
      </x:c>
      <x:c r="AC146" s="15" t="n">
        <x:f>'기준스탯 72종'!G13*H146</x:f>
        <x:v>0.8400000000000002</x:v>
      </x:c>
      <x:c r="AD146" s="15" t="n">
        <x:f>'기준스탯 72종'!H13*H146</x:f>
        <x:v>0.6000000000000001</x:v>
      </x:c>
      <x:c r="AE146" s="15" t="n">
        <x:f>'기준스탯 72종'!I13*H146</x:f>
        <x:v>0.8400000000000002</x:v>
      </x:c>
      <x:c r="AF146" s="15" t="n">
        <x:f>'기준스탯 72종'!J13*H146</x:f>
        <x:v>0.24000000000000005</x:v>
      </x:c>
      <x:c r="AG146" s="15" t="n">
        <x:f>'기준스탯 72종'!K13*H146</x:f>
        <x:v>0.24000000000000005</x:v>
      </x:c>
    </x:row>
    <x:row r="147" ht="28" customHeight="1">
      <x:c r="A147" s="2" t="n">
        <x:v>140</x:v>
      </x:c>
      <x:c r="B147" s="2" t="n">
        <x:v>6</x:v>
      </x:c>
      <x:c r="C147" s="2" t="str">
        <x:v>양자리</x:v>
      </x:c>
      <x:c r="D147" s="2" t="str">
        <x:v>전사</x:v>
      </x:c>
      <x:c r="E147" s="2" t="n">
        <x:v>5</x:v>
      </x:c>
      <x:c r="F147" s="2" t="n">
        <x:v>3</x:v>
      </x:c>
      <x:c r="G147" s="14" t="n">
        <x:f>('레벨 계산식'!$E$4-E147)*'레벨 계산식'!$B$5</x:f>
        <x:v>0</x:v>
      </x:c>
      <x:c r="H147" s="14" t="n">
        <x:f>('등급 계산식'!$E$4-F147)*'등급 계산식'!$B$5</x:f>
        <x:v>0.12000000000000002</x:v>
      </x:c>
      <x:c r="I147" s="14" t="n">
        <x:f>1-G147-H147</x:f>
        <x:v>0.88</x:v>
      </x:c>
      <x:c r="J147" s="2" t="n">
        <x:f>MAX(1,ROUND('기준스탯 72종'!D13-R147-Z147,0))</x:f>
        <x:v>8</x:v>
      </x:c>
      <x:c r="K147" s="2" t="n">
        <x:f>MAX(1,ROUND('기준스탯 72종'!E13-S147-AA147,0))</x:f>
        <x:v>7</x:v>
      </x:c>
      <x:c r="L147" s="2" t="n">
        <x:f>MAX(1,ROUND('기준스탯 72종'!F13-T147-AB147,0))</x:f>
        <x:v>6</x:v>
      </x:c>
      <x:c r="M147" s="2" t="n">
        <x:f>MAX(1,ROUND('기준스탯 72종'!G13-U147-AC147,0))</x:f>
        <x:v>6</x:v>
      </x:c>
      <x:c r="N147" s="2" t="n">
        <x:f>MAX(0,ROUND('기준스탯 72종'!H13-V147-AD147,0))</x:f>
        <x:v>4</x:v>
      </x:c>
      <x:c r="O147" s="2" t="n">
        <x:f>MAX(0,ROUND('기준스탯 72종'!I13-W147-AE147,0))</x:f>
        <x:v>6</x:v>
      </x:c>
      <x:c r="P147" s="2" t="n">
        <x:f>MAX(0,ROUND('기준스탯 72종'!J13-X147-AF147,0))</x:f>
        <x:v>2</x:v>
      </x:c>
      <x:c r="Q147" s="2" t="n">
        <x:f>MAX(0,ROUND('기준스탯 72종'!K13-Y147-AG147,0))</x:f>
        <x:v>2</x:v>
      </x:c>
      <x:c r="R147" s="15" t="n">
        <x:f>'기준스탯 72종'!D13*G147</x:f>
        <x:v>0</x:v>
      </x:c>
      <x:c r="S147" s="15" t="n">
        <x:f>'기준스탯 72종'!E13*G147</x:f>
        <x:v>0</x:v>
      </x:c>
      <x:c r="T147" s="15" t="n">
        <x:f>'기준스탯 72종'!F13*G147</x:f>
        <x:v>0</x:v>
      </x:c>
      <x:c r="U147" s="15" t="n">
        <x:f>'기준스탯 72종'!G13*G147</x:f>
        <x:v>0</x:v>
      </x:c>
      <x:c r="V147" s="15" t="n">
        <x:f>'기준스탯 72종'!H13*G147</x:f>
        <x:v>0</x:v>
      </x:c>
      <x:c r="W147" s="15" t="n">
        <x:f>'기준스탯 72종'!I13*G147</x:f>
        <x:v>0</x:v>
      </x:c>
      <x:c r="X147" s="15" t="n">
        <x:f>'기준스탯 72종'!J13*G147</x:f>
        <x:v>0</x:v>
      </x:c>
      <x:c r="Y147" s="15" t="n">
        <x:f>'기준스탯 72종'!K13*G147</x:f>
        <x:v>0</x:v>
      </x:c>
      <x:c r="Z147" s="15" t="n">
        <x:f>'기준스탯 72종'!D13*H147</x:f>
        <x:v>1.0800000000000003</x:v>
      </x:c>
      <x:c r="AA147" s="15" t="n">
        <x:f>'기준스탯 72종'!E13*H147</x:f>
        <x:v>0.9600000000000002</x:v>
      </x:c>
      <x:c r="AB147" s="15" t="n">
        <x:f>'기준스탯 72종'!F13*H147</x:f>
        <x:v>0.8400000000000002</x:v>
      </x:c>
      <x:c r="AC147" s="15" t="n">
        <x:f>'기준스탯 72종'!G13*H147</x:f>
        <x:v>0.8400000000000002</x:v>
      </x:c>
      <x:c r="AD147" s="15" t="n">
        <x:f>'기준스탯 72종'!H13*H147</x:f>
        <x:v>0.6000000000000001</x:v>
      </x:c>
      <x:c r="AE147" s="15" t="n">
        <x:f>'기준스탯 72종'!I13*H147</x:f>
        <x:v>0.8400000000000002</x:v>
      </x:c>
      <x:c r="AF147" s="15" t="n">
        <x:f>'기준스탯 72종'!J13*H147</x:f>
        <x:v>0.24000000000000005</x:v>
      </x:c>
      <x:c r="AG147" s="15" t="n">
        <x:f>'기준스탯 72종'!K13*H147</x:f>
        <x:v>0.24000000000000005</x:v>
      </x:c>
    </x:row>
    <x:row r="148" ht="28" customHeight="1">
      <x:c r="A148" s="2" t="n">
        <x:v>141</x:v>
      </x:c>
      <x:c r="B148" s="2" t="n">
        <x:v>6</x:v>
      </x:c>
      <x:c r="C148" s="2" t="str">
        <x:v>양자리</x:v>
      </x:c>
      <x:c r="D148" s="2" t="str">
        <x:v>전사</x:v>
      </x:c>
      <x:c r="E148" s="2" t="n">
        <x:v>1</x:v>
      </x:c>
      <x:c r="F148" s="2" t="n">
        <x:v>4</x:v>
      </x:c>
      <x:c r="G148" s="14" t="n">
        <x:f>('레벨 계산식'!$E$4-E148)*'레벨 계산식'!$B$5</x:f>
        <x:v>0.5599999999999999</x:v>
      </x:c>
      <x:c r="H148" s="14" t="n">
        <x:f>('등급 계산식'!$E$4-F148)*'등급 계산식'!$B$5</x:f>
        <x:v>0.06000000000000001</x:v>
      </x:c>
      <x:c r="I148" s="14" t="n">
        <x:f>1-G148-H148</x:f>
        <x:v>0.38000000000000006</x:v>
      </x:c>
      <x:c r="J148" s="2" t="n">
        <x:f>MAX(1,ROUND('기준스탯 72종'!D13-R148-Z148,0))</x:f>
        <x:v>3</x:v>
      </x:c>
      <x:c r="K148" s="2" t="n">
        <x:f>MAX(1,ROUND('기준스탯 72종'!E13-S148-AA148,0))</x:f>
        <x:v>3</x:v>
      </x:c>
      <x:c r="L148" s="2" t="n">
        <x:f>MAX(1,ROUND('기준스탯 72종'!F13-T148-AB148,0))</x:f>
        <x:v>3</x:v>
      </x:c>
      <x:c r="M148" s="2" t="n">
        <x:f>MAX(1,ROUND('기준스탯 72종'!G13-U148-AC148,0))</x:f>
        <x:v>3</x:v>
      </x:c>
      <x:c r="N148" s="2" t="n">
        <x:f>MAX(0,ROUND('기준스탯 72종'!H13-V148-AD148,0))</x:f>
        <x:v>2</x:v>
      </x:c>
      <x:c r="O148" s="2" t="n">
        <x:f>MAX(0,ROUND('기준스탯 72종'!I13-W148-AE148,0))</x:f>
        <x:v>3</x:v>
      </x:c>
      <x:c r="P148" s="2" t="n">
        <x:f>MAX(0,ROUND('기준스탯 72종'!J13-X148-AF148,0))</x:f>
        <x:v>1</x:v>
      </x:c>
      <x:c r="Q148" s="2" t="n">
        <x:f>MAX(0,ROUND('기준스탯 72종'!K13-Y148-AG148,0))</x:f>
        <x:v>1</x:v>
      </x:c>
      <x:c r="R148" s="15" t="n">
        <x:f>'기준스탯 72종'!D13*G148</x:f>
        <x:v>5.039999999999999</x:v>
      </x:c>
      <x:c r="S148" s="15" t="n">
        <x:f>'기준스탯 72종'!E13*G148</x:f>
        <x:v>4.4799999999999995</x:v>
      </x:c>
      <x:c r="T148" s="15" t="n">
        <x:f>'기준스탯 72종'!F13*G148</x:f>
        <x:v>3.9199999999999995</x:v>
      </x:c>
      <x:c r="U148" s="15" t="n">
        <x:f>'기준스탯 72종'!G13*G148</x:f>
        <x:v>3.9199999999999995</x:v>
      </x:c>
      <x:c r="V148" s="15" t="n">
        <x:f>'기준스탯 72종'!H13*G148</x:f>
        <x:v>2.8</x:v>
      </x:c>
      <x:c r="W148" s="15" t="n">
        <x:f>'기준스탯 72종'!I13*G148</x:f>
        <x:v>3.9199999999999995</x:v>
      </x:c>
      <x:c r="X148" s="15" t="n">
        <x:f>'기준스탯 72종'!J13*G148</x:f>
        <x:v>1.1199999999999999</x:v>
      </x:c>
      <x:c r="Y148" s="15" t="n">
        <x:f>'기준스탯 72종'!K13*G148</x:f>
        <x:v>1.1199999999999999</x:v>
      </x:c>
      <x:c r="Z148" s="15" t="n">
        <x:f>'기준스탯 72종'!D13*H148</x:f>
        <x:v>0.5400000000000001</x:v>
      </x:c>
      <x:c r="AA148" s="15" t="n">
        <x:f>'기준스탯 72종'!E13*H148</x:f>
        <x:v>0.4800000000000001</x:v>
      </x:c>
      <x:c r="AB148" s="15" t="n">
        <x:f>'기준스탯 72종'!F13*H148</x:f>
        <x:v>0.4200000000000001</x:v>
      </x:c>
      <x:c r="AC148" s="15" t="n">
        <x:f>'기준스탯 72종'!G13*H148</x:f>
        <x:v>0.4200000000000001</x:v>
      </x:c>
      <x:c r="AD148" s="15" t="n">
        <x:f>'기준스탯 72종'!H13*H148</x:f>
        <x:v>0.30000000000000004</x:v>
      </x:c>
      <x:c r="AE148" s="15" t="n">
        <x:f>'기준스탯 72종'!I13*H148</x:f>
        <x:v>0.4200000000000001</x:v>
      </x:c>
      <x:c r="AF148" s="15" t="n">
        <x:f>'기준스탯 72종'!J13*H148</x:f>
        <x:v>0.12000000000000002</x:v>
      </x:c>
      <x:c r="AG148" s="15" t="n">
        <x:f>'기준스탯 72종'!K13*H148</x:f>
        <x:v>0.12000000000000002</x:v>
      </x:c>
    </x:row>
    <x:row r="149" ht="28" customHeight="1">
      <x:c r="A149" s="2" t="n">
        <x:v>142</x:v>
      </x:c>
      <x:c r="B149" s="2" t="n">
        <x:v>6</x:v>
      </x:c>
      <x:c r="C149" s="2" t="str">
        <x:v>양자리</x:v>
      </x:c>
      <x:c r="D149" s="2" t="str">
        <x:v>전사</x:v>
      </x:c>
      <x:c r="E149" s="2" t="n">
        <x:v>2</x:v>
      </x:c>
      <x:c r="F149" s="2" t="n">
        <x:v>4</x:v>
      </x:c>
      <x:c r="G149" s="14" t="n">
        <x:f>('레벨 계산식'!$E$4-E149)*'레벨 계산식'!$B$5</x:f>
        <x:v>0.41999999999999993</x:v>
      </x:c>
      <x:c r="H149" s="14" t="n">
        <x:f>('등급 계산식'!$E$4-F149)*'등급 계산식'!$B$5</x:f>
        <x:v>0.06000000000000001</x:v>
      </x:c>
      <x:c r="I149" s="14" t="n">
        <x:f>1-G149-H149</x:f>
        <x:v>0.52</x:v>
      </x:c>
      <x:c r="J149" s="2" t="n">
        <x:f>MAX(1,ROUND('기준스탯 72종'!D13-R149-Z149,0))</x:f>
        <x:v>5</x:v>
      </x:c>
      <x:c r="K149" s="2" t="n">
        <x:f>MAX(1,ROUND('기준스탯 72종'!E13-S149-AA149,0))</x:f>
        <x:v>4</x:v>
      </x:c>
      <x:c r="L149" s="2" t="n">
        <x:f>MAX(1,ROUND('기준스탯 72종'!F13-T149-AB149,0))</x:f>
        <x:v>4</x:v>
      </x:c>
      <x:c r="M149" s="2" t="n">
        <x:f>MAX(1,ROUND('기준스탯 72종'!G13-U149-AC149,0))</x:f>
        <x:v>4</x:v>
      </x:c>
      <x:c r="N149" s="2" t="n">
        <x:f>MAX(0,ROUND('기준스탯 72종'!H13-V149-AD149,0))</x:f>
        <x:v>3</x:v>
      </x:c>
      <x:c r="O149" s="2" t="n">
        <x:f>MAX(0,ROUND('기준스탯 72종'!I13-W149-AE149,0))</x:f>
        <x:v>4</x:v>
      </x:c>
      <x:c r="P149" s="2" t="n">
        <x:f>MAX(0,ROUND('기준스탯 72종'!J13-X149-AF149,0))</x:f>
        <x:v>1</x:v>
      </x:c>
      <x:c r="Q149" s="2" t="n">
        <x:f>MAX(0,ROUND('기준스탯 72종'!K13-Y149-AG149,0))</x:f>
        <x:v>1</x:v>
      </x:c>
      <x:c r="R149" s="15" t="n">
        <x:f>'기준스탯 72종'!D13*G149</x:f>
        <x:v>3.7799999999999994</x:v>
      </x:c>
      <x:c r="S149" s="15" t="n">
        <x:f>'기준스탯 72종'!E13*G149</x:f>
        <x:v>3.3599999999999994</x:v>
      </x:c>
      <x:c r="T149" s="15" t="n">
        <x:f>'기준스탯 72종'!F13*G149</x:f>
        <x:v>2.9399999999999995</x:v>
      </x:c>
      <x:c r="U149" s="15" t="n">
        <x:f>'기준스탯 72종'!G13*G149</x:f>
        <x:v>2.9399999999999995</x:v>
      </x:c>
      <x:c r="V149" s="15" t="n">
        <x:f>'기준스탯 72종'!H13*G149</x:f>
        <x:v>2.0999999999999996</x:v>
      </x:c>
      <x:c r="W149" s="15" t="n">
        <x:f>'기준스탯 72종'!I13*G149</x:f>
        <x:v>2.9399999999999995</x:v>
      </x:c>
      <x:c r="X149" s="15" t="n">
        <x:f>'기준스탯 72종'!J13*G149</x:f>
        <x:v>0.8399999999999999</x:v>
      </x:c>
      <x:c r="Y149" s="15" t="n">
        <x:f>'기준스탯 72종'!K13*G149</x:f>
        <x:v>0.8399999999999999</x:v>
      </x:c>
      <x:c r="Z149" s="15" t="n">
        <x:f>'기준스탯 72종'!D13*H149</x:f>
        <x:v>0.5400000000000001</x:v>
      </x:c>
      <x:c r="AA149" s="15" t="n">
        <x:f>'기준스탯 72종'!E13*H149</x:f>
        <x:v>0.4800000000000001</x:v>
      </x:c>
      <x:c r="AB149" s="15" t="n">
        <x:f>'기준스탯 72종'!F13*H149</x:f>
        <x:v>0.4200000000000001</x:v>
      </x:c>
      <x:c r="AC149" s="15" t="n">
        <x:f>'기준스탯 72종'!G13*H149</x:f>
        <x:v>0.4200000000000001</x:v>
      </x:c>
      <x:c r="AD149" s="15" t="n">
        <x:f>'기준스탯 72종'!H13*H149</x:f>
        <x:v>0.30000000000000004</x:v>
      </x:c>
      <x:c r="AE149" s="15" t="n">
        <x:f>'기준스탯 72종'!I13*H149</x:f>
        <x:v>0.4200000000000001</x:v>
      </x:c>
      <x:c r="AF149" s="15" t="n">
        <x:f>'기준스탯 72종'!J13*H149</x:f>
        <x:v>0.12000000000000002</x:v>
      </x:c>
      <x:c r="AG149" s="15" t="n">
        <x:f>'기준스탯 72종'!K13*H149</x:f>
        <x:v>0.12000000000000002</x:v>
      </x:c>
    </x:row>
    <x:row r="150" ht="28" customHeight="1">
      <x:c r="A150" s="2" t="n">
        <x:v>143</x:v>
      </x:c>
      <x:c r="B150" s="2" t="n">
        <x:v>6</x:v>
      </x:c>
      <x:c r="C150" s="2" t="str">
        <x:v>양자리</x:v>
      </x:c>
      <x:c r="D150" s="2" t="str">
        <x:v>전사</x:v>
      </x:c>
      <x:c r="E150" s="2" t="n">
        <x:v>3</x:v>
      </x:c>
      <x:c r="F150" s="2" t="n">
        <x:v>4</x:v>
      </x:c>
      <x:c r="G150" s="14" t="n">
        <x:f>('레벨 계산식'!$E$4-E150)*'레벨 계산식'!$B$5</x:f>
        <x:v>0.27999999999999997</x:v>
      </x:c>
      <x:c r="H150" s="14" t="n">
        <x:f>('등급 계산식'!$E$4-F150)*'등급 계산식'!$B$5</x:f>
        <x:v>0.06000000000000001</x:v>
      </x:c>
      <x:c r="I150" s="14" t="n">
        <x:f>1-G150-H150</x:f>
        <x:v>0.6599999999999999</x:v>
      </x:c>
      <x:c r="J150" s="2" t="n">
        <x:f>MAX(1,ROUND('기준스탯 72종'!D13-R150-Z150,0))</x:f>
        <x:v>6</x:v>
      </x:c>
      <x:c r="K150" s="2" t="n">
        <x:f>MAX(1,ROUND('기준스탯 72종'!E13-S150-AA150,0))</x:f>
        <x:v>5</x:v>
      </x:c>
      <x:c r="L150" s="2" t="n">
        <x:f>MAX(1,ROUND('기준스탯 72종'!F13-T150-AB150,0))</x:f>
        <x:v>5</x:v>
      </x:c>
      <x:c r="M150" s="2" t="n">
        <x:f>MAX(1,ROUND('기준스탯 72종'!G13-U150-AC150,0))</x:f>
        <x:v>5</x:v>
      </x:c>
      <x:c r="N150" s="2" t="n">
        <x:f>MAX(0,ROUND('기준스탯 72종'!H13-V150-AD150,0))</x:f>
        <x:v>3</x:v>
      </x:c>
      <x:c r="O150" s="2" t="n">
        <x:f>MAX(0,ROUND('기준스탯 72종'!I13-W150-AE150,0))</x:f>
        <x:v>5</x:v>
      </x:c>
      <x:c r="P150" s="2" t="n">
        <x:f>MAX(0,ROUND('기준스탯 72종'!J13-X150-AF150,0))</x:f>
        <x:v>1</x:v>
      </x:c>
      <x:c r="Q150" s="2" t="n">
        <x:f>MAX(0,ROUND('기준스탯 72종'!K13-Y150-AG150,0))</x:f>
        <x:v>1</x:v>
      </x:c>
      <x:c r="R150" s="15" t="n">
        <x:f>'기준스탯 72종'!D13*G150</x:f>
        <x:v>2.5199999999999996</x:v>
      </x:c>
      <x:c r="S150" s="15" t="n">
        <x:f>'기준스탯 72종'!E13*G150</x:f>
        <x:v>2.2399999999999998</x:v>
      </x:c>
      <x:c r="T150" s="15" t="n">
        <x:f>'기준스탯 72종'!F13*G150</x:f>
        <x:v>1.9599999999999997</x:v>
      </x:c>
      <x:c r="U150" s="15" t="n">
        <x:f>'기준스탯 72종'!G13*G150</x:f>
        <x:v>1.9599999999999997</x:v>
      </x:c>
      <x:c r="V150" s="15" t="n">
        <x:f>'기준스탯 72종'!H13*G150</x:f>
        <x:v>1.4</x:v>
      </x:c>
      <x:c r="W150" s="15" t="n">
        <x:f>'기준스탯 72종'!I13*G150</x:f>
        <x:v>1.9599999999999997</x:v>
      </x:c>
      <x:c r="X150" s="15" t="n">
        <x:f>'기준스탯 72종'!J13*G150</x:f>
        <x:v>0.5599999999999999</x:v>
      </x:c>
      <x:c r="Y150" s="15" t="n">
        <x:f>'기준스탯 72종'!K13*G150</x:f>
        <x:v>0.5599999999999999</x:v>
      </x:c>
      <x:c r="Z150" s="15" t="n">
        <x:f>'기준스탯 72종'!D13*H150</x:f>
        <x:v>0.5400000000000001</x:v>
      </x:c>
      <x:c r="AA150" s="15" t="n">
        <x:f>'기준스탯 72종'!E13*H150</x:f>
        <x:v>0.4800000000000001</x:v>
      </x:c>
      <x:c r="AB150" s="15" t="n">
        <x:f>'기준스탯 72종'!F13*H150</x:f>
        <x:v>0.4200000000000001</x:v>
      </x:c>
      <x:c r="AC150" s="15" t="n">
        <x:f>'기준스탯 72종'!G13*H150</x:f>
        <x:v>0.4200000000000001</x:v>
      </x:c>
      <x:c r="AD150" s="15" t="n">
        <x:f>'기준스탯 72종'!H13*H150</x:f>
        <x:v>0.30000000000000004</x:v>
      </x:c>
      <x:c r="AE150" s="15" t="n">
        <x:f>'기준스탯 72종'!I13*H150</x:f>
        <x:v>0.4200000000000001</x:v>
      </x:c>
      <x:c r="AF150" s="15" t="n">
        <x:f>'기준스탯 72종'!J13*H150</x:f>
        <x:v>0.12000000000000002</x:v>
      </x:c>
      <x:c r="AG150" s="15" t="n">
        <x:f>'기준스탯 72종'!K13*H150</x:f>
        <x:v>0.12000000000000002</x:v>
      </x:c>
    </x:row>
    <x:row r="151" ht="28" customHeight="1">
      <x:c r="A151" s="2" t="n">
        <x:v>144</x:v>
      </x:c>
      <x:c r="B151" s="2" t="n">
        <x:v>6</x:v>
      </x:c>
      <x:c r="C151" s="2" t="str">
        <x:v>양자리</x:v>
      </x:c>
      <x:c r="D151" s="2" t="str">
        <x:v>전사</x:v>
      </x:c>
      <x:c r="E151" s="2" t="n">
        <x:v>4</x:v>
      </x:c>
      <x:c r="F151" s="2" t="n">
        <x:v>4</x:v>
      </x:c>
      <x:c r="G151" s="14" t="n">
        <x:f>('레벨 계산식'!$E$4-E151)*'레벨 계산식'!$B$5</x:f>
        <x:v>0.13999999999999999</x:v>
      </x:c>
      <x:c r="H151" s="14" t="n">
        <x:f>('등급 계산식'!$E$4-F151)*'등급 계산식'!$B$5</x:f>
        <x:v>0.06000000000000001</x:v>
      </x:c>
      <x:c r="I151" s="14" t="n">
        <x:f>1-G151-H151</x:f>
        <x:v>0.7999999999999999</x:v>
      </x:c>
      <x:c r="J151" s="2" t="n">
        <x:f>MAX(1,ROUND('기준스탯 72종'!D13-R151-Z151,0))</x:f>
        <x:v>7</x:v>
      </x:c>
      <x:c r="K151" s="2" t="n">
        <x:f>MAX(1,ROUND('기준스탯 72종'!E13-S151-AA151,0))</x:f>
        <x:v>6</x:v>
      </x:c>
      <x:c r="L151" s="2" t="n">
        <x:f>MAX(1,ROUND('기준스탯 72종'!F13-T151-AB151,0))</x:f>
        <x:v>6</x:v>
      </x:c>
      <x:c r="M151" s="2" t="n">
        <x:f>MAX(1,ROUND('기준스탯 72종'!G13-U151-AC151,0))</x:f>
        <x:v>6</x:v>
      </x:c>
      <x:c r="N151" s="2" t="n">
        <x:f>MAX(0,ROUND('기준스탯 72종'!H13-V151-AD151,0))</x:f>
        <x:v>4</x:v>
      </x:c>
      <x:c r="O151" s="2" t="n">
        <x:f>MAX(0,ROUND('기준스탯 72종'!I13-W151-AE151,0))</x:f>
        <x:v>6</x:v>
      </x:c>
      <x:c r="P151" s="2" t="n">
        <x:f>MAX(0,ROUND('기준스탯 72종'!J13-X151-AF151,0))</x:f>
        <x:v>2</x:v>
      </x:c>
      <x:c r="Q151" s="2" t="n">
        <x:f>MAX(0,ROUND('기준스탯 72종'!K13-Y151-AG151,0))</x:f>
        <x:v>2</x:v>
      </x:c>
      <x:c r="R151" s="15" t="n">
        <x:f>'기준스탯 72종'!D13*G151</x:f>
        <x:v>1.2599999999999998</x:v>
      </x:c>
      <x:c r="S151" s="15" t="n">
        <x:f>'기준스탯 72종'!E13*G151</x:f>
        <x:v>1.1199999999999999</x:v>
      </x:c>
      <x:c r="T151" s="15" t="n">
        <x:f>'기준스탯 72종'!F13*G151</x:f>
        <x:v>0.9799999999999999</x:v>
      </x:c>
      <x:c r="U151" s="15" t="n">
        <x:f>'기준스탯 72종'!G13*G151</x:f>
        <x:v>0.9799999999999999</x:v>
      </x:c>
      <x:c r="V151" s="15" t="n">
        <x:f>'기준스탯 72종'!H13*G151</x:f>
        <x:v>0.7</x:v>
      </x:c>
      <x:c r="W151" s="15" t="n">
        <x:f>'기준스탯 72종'!I13*G151</x:f>
        <x:v>0.9799999999999999</x:v>
      </x:c>
      <x:c r="X151" s="15" t="n">
        <x:f>'기준스탯 72종'!J13*G151</x:f>
        <x:v>0.27999999999999997</x:v>
      </x:c>
      <x:c r="Y151" s="15" t="n">
        <x:f>'기준스탯 72종'!K13*G151</x:f>
        <x:v>0.27999999999999997</x:v>
      </x:c>
      <x:c r="Z151" s="15" t="n">
        <x:f>'기준스탯 72종'!D13*H151</x:f>
        <x:v>0.5400000000000001</x:v>
      </x:c>
      <x:c r="AA151" s="15" t="n">
        <x:f>'기준스탯 72종'!E13*H151</x:f>
        <x:v>0.4800000000000001</x:v>
      </x:c>
      <x:c r="AB151" s="15" t="n">
        <x:f>'기준스탯 72종'!F13*H151</x:f>
        <x:v>0.4200000000000001</x:v>
      </x:c>
      <x:c r="AC151" s="15" t="n">
        <x:f>'기준스탯 72종'!G13*H151</x:f>
        <x:v>0.4200000000000001</x:v>
      </x:c>
      <x:c r="AD151" s="15" t="n">
        <x:f>'기준스탯 72종'!H13*H151</x:f>
        <x:v>0.30000000000000004</x:v>
      </x:c>
      <x:c r="AE151" s="15" t="n">
        <x:f>'기준스탯 72종'!I13*H151</x:f>
        <x:v>0.4200000000000001</x:v>
      </x:c>
      <x:c r="AF151" s="15" t="n">
        <x:f>'기준스탯 72종'!J13*H151</x:f>
        <x:v>0.12000000000000002</x:v>
      </x:c>
      <x:c r="AG151" s="15" t="n">
        <x:f>'기준스탯 72종'!K13*H151</x:f>
        <x:v>0.12000000000000002</x:v>
      </x:c>
    </x:row>
    <x:row r="152" ht="28" customHeight="1">
      <x:c r="A152" s="2" t="n">
        <x:v>145</x:v>
      </x:c>
      <x:c r="B152" s="2" t="n">
        <x:v>6</x:v>
      </x:c>
      <x:c r="C152" s="2" t="str">
        <x:v>양자리</x:v>
      </x:c>
      <x:c r="D152" s="2" t="str">
        <x:v>전사</x:v>
      </x:c>
      <x:c r="E152" s="2" t="n">
        <x:v>5</x:v>
      </x:c>
      <x:c r="F152" s="2" t="n">
        <x:v>4</x:v>
      </x:c>
      <x:c r="G152" s="14" t="n">
        <x:f>('레벨 계산식'!$E$4-E152)*'레벨 계산식'!$B$5</x:f>
        <x:v>0</x:v>
      </x:c>
      <x:c r="H152" s="14" t="n">
        <x:f>('등급 계산식'!$E$4-F152)*'등급 계산식'!$B$5</x:f>
        <x:v>0.06000000000000001</x:v>
      </x:c>
      <x:c r="I152" s="14" t="n">
        <x:f>1-G152-H152</x:f>
        <x:v>0.94</x:v>
      </x:c>
      <x:c r="J152" s="2" t="n">
        <x:f>MAX(1,ROUND('기준스탯 72종'!D13-R152-Z152,0))</x:f>
        <x:v>8</x:v>
      </x:c>
      <x:c r="K152" s="2" t="n">
        <x:f>MAX(1,ROUND('기준스탯 72종'!E13-S152-AA152,0))</x:f>
        <x:v>8</x:v>
      </x:c>
      <x:c r="L152" s="2" t="n">
        <x:f>MAX(1,ROUND('기준스탯 72종'!F13-T152-AB152,0))</x:f>
        <x:v>7</x:v>
      </x:c>
      <x:c r="M152" s="2" t="n">
        <x:f>MAX(1,ROUND('기준스탯 72종'!G13-U152-AC152,0))</x:f>
        <x:v>7</x:v>
      </x:c>
      <x:c r="N152" s="2" t="n">
        <x:f>MAX(0,ROUND('기준스탯 72종'!H13-V152-AD152,0))</x:f>
        <x:v>5</x:v>
      </x:c>
      <x:c r="O152" s="2" t="n">
        <x:f>MAX(0,ROUND('기준스탯 72종'!I13-W152-AE152,0))</x:f>
        <x:v>7</x:v>
      </x:c>
      <x:c r="P152" s="2" t="n">
        <x:f>MAX(0,ROUND('기준스탯 72종'!J13-X152-AF152,0))</x:f>
        <x:v>2</x:v>
      </x:c>
      <x:c r="Q152" s="2" t="n">
        <x:f>MAX(0,ROUND('기준스탯 72종'!K13-Y152-AG152,0))</x:f>
        <x:v>2</x:v>
      </x:c>
      <x:c r="R152" s="15" t="n">
        <x:f>'기준스탯 72종'!D13*G152</x:f>
        <x:v>0</x:v>
      </x:c>
      <x:c r="S152" s="15" t="n">
        <x:f>'기준스탯 72종'!E13*G152</x:f>
        <x:v>0</x:v>
      </x:c>
      <x:c r="T152" s="15" t="n">
        <x:f>'기준스탯 72종'!F13*G152</x:f>
        <x:v>0</x:v>
      </x:c>
      <x:c r="U152" s="15" t="n">
        <x:f>'기준스탯 72종'!G13*G152</x:f>
        <x:v>0</x:v>
      </x:c>
      <x:c r="V152" s="15" t="n">
        <x:f>'기준스탯 72종'!H13*G152</x:f>
        <x:v>0</x:v>
      </x:c>
      <x:c r="W152" s="15" t="n">
        <x:f>'기준스탯 72종'!I13*G152</x:f>
        <x:v>0</x:v>
      </x:c>
      <x:c r="X152" s="15" t="n">
        <x:f>'기준스탯 72종'!J13*G152</x:f>
        <x:v>0</x:v>
      </x:c>
      <x:c r="Y152" s="15" t="n">
        <x:f>'기준스탯 72종'!K13*G152</x:f>
        <x:v>0</x:v>
      </x:c>
      <x:c r="Z152" s="15" t="n">
        <x:f>'기준스탯 72종'!D13*H152</x:f>
        <x:v>0.5400000000000001</x:v>
      </x:c>
      <x:c r="AA152" s="15" t="n">
        <x:f>'기준스탯 72종'!E13*H152</x:f>
        <x:v>0.4800000000000001</x:v>
      </x:c>
      <x:c r="AB152" s="15" t="n">
        <x:f>'기준스탯 72종'!F13*H152</x:f>
        <x:v>0.4200000000000001</x:v>
      </x:c>
      <x:c r="AC152" s="15" t="n">
        <x:f>'기준스탯 72종'!G13*H152</x:f>
        <x:v>0.4200000000000001</x:v>
      </x:c>
      <x:c r="AD152" s="15" t="n">
        <x:f>'기준스탯 72종'!H13*H152</x:f>
        <x:v>0.30000000000000004</x:v>
      </x:c>
      <x:c r="AE152" s="15" t="n">
        <x:f>'기준스탯 72종'!I13*H152</x:f>
        <x:v>0.4200000000000001</x:v>
      </x:c>
      <x:c r="AF152" s="15" t="n">
        <x:f>'기준스탯 72종'!J13*H152</x:f>
        <x:v>0.12000000000000002</x:v>
      </x:c>
      <x:c r="AG152" s="15" t="n">
        <x:f>'기준스탯 72종'!K13*H152</x:f>
        <x:v>0.12000000000000002</x:v>
      </x:c>
    </x:row>
    <x:row r="153" ht="28" customHeight="1">
      <x:c r="A153" s="2" t="n">
        <x:v>146</x:v>
      </x:c>
      <x:c r="B153" s="2" t="n">
        <x:v>6</x:v>
      </x:c>
      <x:c r="C153" s="2" t="str">
        <x:v>양자리</x:v>
      </x:c>
      <x:c r="D153" s="2" t="str">
        <x:v>전사</x:v>
      </x:c>
      <x:c r="E153" s="2" t="n">
        <x:v>1</x:v>
      </x:c>
      <x:c r="F153" s="2" t="n">
        <x:v>5</x:v>
      </x:c>
      <x:c r="G153" s="14" t="n">
        <x:f>('레벨 계산식'!$E$4-E153)*'레벨 계산식'!$B$5</x:f>
        <x:v>0.5599999999999999</x:v>
      </x:c>
      <x:c r="H153" s="14" t="n">
        <x:f>('등급 계산식'!$E$4-F153)*'등급 계산식'!$B$5</x:f>
        <x:v>0</x:v>
      </x:c>
      <x:c r="I153" s="14" t="n">
        <x:f>1-G153-H153</x:f>
        <x:v>0.44000000000000006</x:v>
      </x:c>
      <x:c r="J153" s="2" t="n">
        <x:f>MAX(1,ROUND('기준스탯 72종'!D13-R153-Z153,0))</x:f>
        <x:v>4</x:v>
      </x:c>
      <x:c r="K153" s="2" t="n">
        <x:f>MAX(1,ROUND('기준스탯 72종'!E13-S153-AA153,0))</x:f>
        <x:v>4</x:v>
      </x:c>
      <x:c r="L153" s="2" t="n">
        <x:f>MAX(1,ROUND('기준스탯 72종'!F13-T153-AB153,0))</x:f>
        <x:v>3</x:v>
      </x:c>
      <x:c r="M153" s="2" t="n">
        <x:f>MAX(1,ROUND('기준스탯 72종'!G13-U153-AC153,0))</x:f>
        <x:v>3</x:v>
      </x:c>
      <x:c r="N153" s="2" t="n">
        <x:f>MAX(0,ROUND('기준스탯 72종'!H13-V153-AD153,0))</x:f>
        <x:v>2</x:v>
      </x:c>
      <x:c r="O153" s="2" t="n">
        <x:f>MAX(0,ROUND('기준스탯 72종'!I13-W153-AE153,0))</x:f>
        <x:v>3</x:v>
      </x:c>
      <x:c r="P153" s="2" t="n">
        <x:f>MAX(0,ROUND('기준스탯 72종'!J13-X153-AF153,0))</x:f>
        <x:v>1</x:v>
      </x:c>
      <x:c r="Q153" s="2" t="n">
        <x:f>MAX(0,ROUND('기준스탯 72종'!K13-Y153-AG153,0))</x:f>
        <x:v>1</x:v>
      </x:c>
      <x:c r="R153" s="15" t="n">
        <x:f>'기준스탯 72종'!D13*G153</x:f>
        <x:v>5.039999999999999</x:v>
      </x:c>
      <x:c r="S153" s="15" t="n">
        <x:f>'기준스탯 72종'!E13*G153</x:f>
        <x:v>4.4799999999999995</x:v>
      </x:c>
      <x:c r="T153" s="15" t="n">
        <x:f>'기준스탯 72종'!F13*G153</x:f>
        <x:v>3.9199999999999995</x:v>
      </x:c>
      <x:c r="U153" s="15" t="n">
        <x:f>'기준스탯 72종'!G13*G153</x:f>
        <x:v>3.9199999999999995</x:v>
      </x:c>
      <x:c r="V153" s="15" t="n">
        <x:f>'기준스탯 72종'!H13*G153</x:f>
        <x:v>2.8</x:v>
      </x:c>
      <x:c r="W153" s="15" t="n">
        <x:f>'기준스탯 72종'!I13*G153</x:f>
        <x:v>3.9199999999999995</x:v>
      </x:c>
      <x:c r="X153" s="15" t="n">
        <x:f>'기준스탯 72종'!J13*G153</x:f>
        <x:v>1.1199999999999999</x:v>
      </x:c>
      <x:c r="Y153" s="15" t="n">
        <x:f>'기준스탯 72종'!K13*G153</x:f>
        <x:v>1.1199999999999999</x:v>
      </x:c>
      <x:c r="Z153" s="15" t="n">
        <x:f>'기준스탯 72종'!D13*H153</x:f>
        <x:v>0</x:v>
      </x:c>
      <x:c r="AA153" s="15" t="n">
        <x:f>'기준스탯 72종'!E13*H153</x:f>
        <x:v>0</x:v>
      </x:c>
      <x:c r="AB153" s="15" t="n">
        <x:f>'기준스탯 72종'!F13*H153</x:f>
        <x:v>0</x:v>
      </x:c>
      <x:c r="AC153" s="15" t="n">
        <x:f>'기준스탯 72종'!G13*H153</x:f>
        <x:v>0</x:v>
      </x:c>
      <x:c r="AD153" s="15" t="n">
        <x:f>'기준스탯 72종'!H13*H153</x:f>
        <x:v>0</x:v>
      </x:c>
      <x:c r="AE153" s="15" t="n">
        <x:f>'기준스탯 72종'!I13*H153</x:f>
        <x:v>0</x:v>
      </x:c>
      <x:c r="AF153" s="15" t="n">
        <x:f>'기준스탯 72종'!J13*H153</x:f>
        <x:v>0</x:v>
      </x:c>
      <x:c r="AG153" s="15" t="n">
        <x:f>'기준스탯 72종'!K13*H153</x:f>
        <x:v>0</x:v>
      </x:c>
    </x:row>
    <x:row r="154" ht="28" customHeight="1">
      <x:c r="A154" s="2" t="n">
        <x:v>147</x:v>
      </x:c>
      <x:c r="B154" s="2" t="n">
        <x:v>6</x:v>
      </x:c>
      <x:c r="C154" s="2" t="str">
        <x:v>양자리</x:v>
      </x:c>
      <x:c r="D154" s="2" t="str">
        <x:v>전사</x:v>
      </x:c>
      <x:c r="E154" s="2" t="n">
        <x:v>2</x:v>
      </x:c>
      <x:c r="F154" s="2" t="n">
        <x:v>5</x:v>
      </x:c>
      <x:c r="G154" s="14" t="n">
        <x:f>('레벨 계산식'!$E$4-E154)*'레벨 계산식'!$B$5</x:f>
        <x:v>0.41999999999999993</x:v>
      </x:c>
      <x:c r="H154" s="14" t="n">
        <x:f>('등급 계산식'!$E$4-F154)*'등급 계산식'!$B$5</x:f>
        <x:v>0</x:v>
      </x:c>
      <x:c r="I154" s="14" t="n">
        <x:f>1-G154-H154</x:f>
        <x:v>0.5800000000000001</x:v>
      </x:c>
      <x:c r="J154" s="2" t="n">
        <x:f>MAX(1,ROUND('기준스탯 72종'!D13-R154-Z154,0))</x:f>
        <x:v>5</x:v>
      </x:c>
      <x:c r="K154" s="2" t="n">
        <x:f>MAX(1,ROUND('기준스탯 72종'!E13-S154-AA154,0))</x:f>
        <x:v>5</x:v>
      </x:c>
      <x:c r="L154" s="2" t="n">
        <x:f>MAX(1,ROUND('기준스탯 72종'!F13-T154-AB154,0))</x:f>
        <x:v>4</x:v>
      </x:c>
      <x:c r="M154" s="2" t="n">
        <x:f>MAX(1,ROUND('기준스탯 72종'!G13-U154-AC154,0))</x:f>
        <x:v>4</x:v>
      </x:c>
      <x:c r="N154" s="2" t="n">
        <x:f>MAX(0,ROUND('기준스탯 72종'!H13-V154-AD154,0))</x:f>
        <x:v>3</x:v>
      </x:c>
      <x:c r="O154" s="2" t="n">
        <x:f>MAX(0,ROUND('기준스탯 72종'!I13-W154-AE154,0))</x:f>
        <x:v>4</x:v>
      </x:c>
      <x:c r="P154" s="2" t="n">
        <x:f>MAX(0,ROUND('기준스탯 72종'!J13-X154-AF154,0))</x:f>
        <x:v>1</x:v>
      </x:c>
      <x:c r="Q154" s="2" t="n">
        <x:f>MAX(0,ROUND('기준스탯 72종'!K13-Y154-AG154,0))</x:f>
        <x:v>1</x:v>
      </x:c>
      <x:c r="R154" s="15" t="n">
        <x:f>'기준스탯 72종'!D13*G154</x:f>
        <x:v>3.7799999999999994</x:v>
      </x:c>
      <x:c r="S154" s="15" t="n">
        <x:f>'기준스탯 72종'!E13*G154</x:f>
        <x:v>3.3599999999999994</x:v>
      </x:c>
      <x:c r="T154" s="15" t="n">
        <x:f>'기준스탯 72종'!F13*G154</x:f>
        <x:v>2.9399999999999995</x:v>
      </x:c>
      <x:c r="U154" s="15" t="n">
        <x:f>'기준스탯 72종'!G13*G154</x:f>
        <x:v>2.9399999999999995</x:v>
      </x:c>
      <x:c r="V154" s="15" t="n">
        <x:f>'기준스탯 72종'!H13*G154</x:f>
        <x:v>2.0999999999999996</x:v>
      </x:c>
      <x:c r="W154" s="15" t="n">
        <x:f>'기준스탯 72종'!I13*G154</x:f>
        <x:v>2.9399999999999995</x:v>
      </x:c>
      <x:c r="X154" s="15" t="n">
        <x:f>'기준스탯 72종'!J13*G154</x:f>
        <x:v>0.8399999999999999</x:v>
      </x:c>
      <x:c r="Y154" s="15" t="n">
        <x:f>'기준스탯 72종'!K13*G154</x:f>
        <x:v>0.8399999999999999</x:v>
      </x:c>
      <x:c r="Z154" s="15" t="n">
        <x:f>'기준스탯 72종'!D13*H154</x:f>
        <x:v>0</x:v>
      </x:c>
      <x:c r="AA154" s="15" t="n">
        <x:f>'기준스탯 72종'!E13*H154</x:f>
        <x:v>0</x:v>
      </x:c>
      <x:c r="AB154" s="15" t="n">
        <x:f>'기준스탯 72종'!F13*H154</x:f>
        <x:v>0</x:v>
      </x:c>
      <x:c r="AC154" s="15" t="n">
        <x:f>'기준스탯 72종'!G13*H154</x:f>
        <x:v>0</x:v>
      </x:c>
      <x:c r="AD154" s="15" t="n">
        <x:f>'기준스탯 72종'!H13*H154</x:f>
        <x:v>0</x:v>
      </x:c>
      <x:c r="AE154" s="15" t="n">
        <x:f>'기준스탯 72종'!I13*H154</x:f>
        <x:v>0</x:v>
      </x:c>
      <x:c r="AF154" s="15" t="n">
        <x:f>'기준스탯 72종'!J13*H154</x:f>
        <x:v>0</x:v>
      </x:c>
      <x:c r="AG154" s="15" t="n">
        <x:f>'기준스탯 72종'!K13*H154</x:f>
        <x:v>0</x:v>
      </x:c>
    </x:row>
    <x:row r="155" ht="28" customHeight="1">
      <x:c r="A155" s="2" t="n">
        <x:v>148</x:v>
      </x:c>
      <x:c r="B155" s="2" t="n">
        <x:v>6</x:v>
      </x:c>
      <x:c r="C155" s="2" t="str">
        <x:v>양자리</x:v>
      </x:c>
      <x:c r="D155" s="2" t="str">
        <x:v>전사</x:v>
      </x:c>
      <x:c r="E155" s="2" t="n">
        <x:v>3</x:v>
      </x:c>
      <x:c r="F155" s="2" t="n">
        <x:v>5</x:v>
      </x:c>
      <x:c r="G155" s="14" t="n">
        <x:f>('레벨 계산식'!$E$4-E155)*'레벨 계산식'!$B$5</x:f>
        <x:v>0.27999999999999997</x:v>
      </x:c>
      <x:c r="H155" s="14" t="n">
        <x:f>('등급 계산식'!$E$4-F155)*'등급 계산식'!$B$5</x:f>
        <x:v>0</x:v>
      </x:c>
      <x:c r="I155" s="14" t="n">
        <x:f>1-G155-H155</x:f>
        <x:v>0.72</x:v>
      </x:c>
      <x:c r="J155" s="2" t="n">
        <x:f>MAX(1,ROUND('기준스탯 72종'!D13-R155-Z155,0))</x:f>
        <x:v>6</x:v>
      </x:c>
      <x:c r="K155" s="2" t="n">
        <x:f>MAX(1,ROUND('기준스탯 72종'!E13-S155-AA155,0))</x:f>
        <x:v>6</x:v>
      </x:c>
      <x:c r="L155" s="2" t="n">
        <x:f>MAX(1,ROUND('기준스탯 72종'!F13-T155-AB155,0))</x:f>
        <x:v>5</x:v>
      </x:c>
      <x:c r="M155" s="2" t="n">
        <x:f>MAX(1,ROUND('기준스탯 72종'!G13-U155-AC155,0))</x:f>
        <x:v>5</x:v>
      </x:c>
      <x:c r="N155" s="2" t="n">
        <x:f>MAX(0,ROUND('기준스탯 72종'!H13-V155-AD155,0))</x:f>
        <x:v>4</x:v>
      </x:c>
      <x:c r="O155" s="2" t="n">
        <x:f>MAX(0,ROUND('기준스탯 72종'!I13-W155-AE155,0))</x:f>
        <x:v>5</x:v>
      </x:c>
      <x:c r="P155" s="2" t="n">
        <x:f>MAX(0,ROUND('기준스탯 72종'!J13-X155-AF155,0))</x:f>
        <x:v>1</x:v>
      </x:c>
      <x:c r="Q155" s="2" t="n">
        <x:f>MAX(0,ROUND('기준스탯 72종'!K13-Y155-AG155,0))</x:f>
        <x:v>1</x:v>
      </x:c>
      <x:c r="R155" s="15" t="n">
        <x:f>'기준스탯 72종'!D13*G155</x:f>
        <x:v>2.5199999999999996</x:v>
      </x:c>
      <x:c r="S155" s="15" t="n">
        <x:f>'기준스탯 72종'!E13*G155</x:f>
        <x:v>2.2399999999999998</x:v>
      </x:c>
      <x:c r="T155" s="15" t="n">
        <x:f>'기준스탯 72종'!F13*G155</x:f>
        <x:v>1.9599999999999997</x:v>
      </x:c>
      <x:c r="U155" s="15" t="n">
        <x:f>'기준스탯 72종'!G13*G155</x:f>
        <x:v>1.9599999999999997</x:v>
      </x:c>
      <x:c r="V155" s="15" t="n">
        <x:f>'기준스탯 72종'!H13*G155</x:f>
        <x:v>1.4</x:v>
      </x:c>
      <x:c r="W155" s="15" t="n">
        <x:f>'기준스탯 72종'!I13*G155</x:f>
        <x:v>1.9599999999999997</x:v>
      </x:c>
      <x:c r="X155" s="15" t="n">
        <x:f>'기준스탯 72종'!J13*G155</x:f>
        <x:v>0.5599999999999999</x:v>
      </x:c>
      <x:c r="Y155" s="15" t="n">
        <x:f>'기준스탯 72종'!K13*G155</x:f>
        <x:v>0.5599999999999999</x:v>
      </x:c>
      <x:c r="Z155" s="15" t="n">
        <x:f>'기준스탯 72종'!D13*H155</x:f>
        <x:v>0</x:v>
      </x:c>
      <x:c r="AA155" s="15" t="n">
        <x:f>'기준스탯 72종'!E13*H155</x:f>
        <x:v>0</x:v>
      </x:c>
      <x:c r="AB155" s="15" t="n">
        <x:f>'기준스탯 72종'!F13*H155</x:f>
        <x:v>0</x:v>
      </x:c>
      <x:c r="AC155" s="15" t="n">
        <x:f>'기준스탯 72종'!G13*H155</x:f>
        <x:v>0</x:v>
      </x:c>
      <x:c r="AD155" s="15" t="n">
        <x:f>'기준스탯 72종'!H13*H155</x:f>
        <x:v>0</x:v>
      </x:c>
      <x:c r="AE155" s="15" t="n">
        <x:f>'기준스탯 72종'!I13*H155</x:f>
        <x:v>0</x:v>
      </x:c>
      <x:c r="AF155" s="15" t="n">
        <x:f>'기준스탯 72종'!J13*H155</x:f>
        <x:v>0</x:v>
      </x:c>
      <x:c r="AG155" s="15" t="n">
        <x:f>'기준스탯 72종'!K13*H155</x:f>
        <x:v>0</x:v>
      </x:c>
    </x:row>
    <x:row r="156" ht="28" customHeight="1">
      <x:c r="A156" s="2" t="n">
        <x:v>149</x:v>
      </x:c>
      <x:c r="B156" s="2" t="n">
        <x:v>6</x:v>
      </x:c>
      <x:c r="C156" s="2" t="str">
        <x:v>양자리</x:v>
      </x:c>
      <x:c r="D156" s="2" t="str">
        <x:v>전사</x:v>
      </x:c>
      <x:c r="E156" s="2" t="n">
        <x:v>4</x:v>
      </x:c>
      <x:c r="F156" s="2" t="n">
        <x:v>5</x:v>
      </x:c>
      <x:c r="G156" s="14" t="n">
        <x:f>('레벨 계산식'!$E$4-E156)*'레벨 계산식'!$B$5</x:f>
        <x:v>0.13999999999999999</x:v>
      </x:c>
      <x:c r="H156" s="14" t="n">
        <x:f>('등급 계산식'!$E$4-F156)*'등급 계산식'!$B$5</x:f>
        <x:v>0</x:v>
      </x:c>
      <x:c r="I156" s="14" t="n">
        <x:f>1-G156-H156</x:f>
        <x:v>0.86</x:v>
      </x:c>
      <x:c r="J156" s="2" t="n">
        <x:f>MAX(1,ROUND('기준스탯 72종'!D13-R156-Z156,0))</x:f>
        <x:v>8</x:v>
      </x:c>
      <x:c r="K156" s="2" t="n">
        <x:f>MAX(1,ROUND('기준스탯 72종'!E13-S156-AA156,0))</x:f>
        <x:v>7</x:v>
      </x:c>
      <x:c r="L156" s="2" t="n">
        <x:f>MAX(1,ROUND('기준스탯 72종'!F13-T156-AB156,0))</x:f>
        <x:v>6</x:v>
      </x:c>
      <x:c r="M156" s="2" t="n">
        <x:f>MAX(1,ROUND('기준스탯 72종'!G13-U156-AC156,0))</x:f>
        <x:v>6</x:v>
      </x:c>
      <x:c r="N156" s="2" t="n">
        <x:f>MAX(0,ROUND('기준스탯 72종'!H13-V156-AD156,0))</x:f>
        <x:v>4</x:v>
      </x:c>
      <x:c r="O156" s="2" t="n">
        <x:f>MAX(0,ROUND('기준스탯 72종'!I13-W156-AE156,0))</x:f>
        <x:v>6</x:v>
      </x:c>
      <x:c r="P156" s="2" t="n">
        <x:f>MAX(0,ROUND('기준스탯 72종'!J13-X156-AF156,0))</x:f>
        <x:v>2</x:v>
      </x:c>
      <x:c r="Q156" s="2" t="n">
        <x:f>MAX(0,ROUND('기준스탯 72종'!K13-Y156-AG156,0))</x:f>
        <x:v>2</x:v>
      </x:c>
      <x:c r="R156" s="15" t="n">
        <x:f>'기준스탯 72종'!D13*G156</x:f>
        <x:v>1.2599999999999998</x:v>
      </x:c>
      <x:c r="S156" s="15" t="n">
        <x:f>'기준스탯 72종'!E13*G156</x:f>
        <x:v>1.1199999999999999</x:v>
      </x:c>
      <x:c r="T156" s="15" t="n">
        <x:f>'기준스탯 72종'!F13*G156</x:f>
        <x:v>0.9799999999999999</x:v>
      </x:c>
      <x:c r="U156" s="15" t="n">
        <x:f>'기준스탯 72종'!G13*G156</x:f>
        <x:v>0.9799999999999999</x:v>
      </x:c>
      <x:c r="V156" s="15" t="n">
        <x:f>'기준스탯 72종'!H13*G156</x:f>
        <x:v>0.7</x:v>
      </x:c>
      <x:c r="W156" s="15" t="n">
        <x:f>'기준스탯 72종'!I13*G156</x:f>
        <x:v>0.9799999999999999</x:v>
      </x:c>
      <x:c r="X156" s="15" t="n">
        <x:f>'기준스탯 72종'!J13*G156</x:f>
        <x:v>0.27999999999999997</x:v>
      </x:c>
      <x:c r="Y156" s="15" t="n">
        <x:f>'기준스탯 72종'!K13*G156</x:f>
        <x:v>0.27999999999999997</x:v>
      </x:c>
      <x:c r="Z156" s="15" t="n">
        <x:f>'기준스탯 72종'!D13*H156</x:f>
        <x:v>0</x:v>
      </x:c>
      <x:c r="AA156" s="15" t="n">
        <x:f>'기준스탯 72종'!E13*H156</x:f>
        <x:v>0</x:v>
      </x:c>
      <x:c r="AB156" s="15" t="n">
        <x:f>'기준스탯 72종'!F13*H156</x:f>
        <x:v>0</x:v>
      </x:c>
      <x:c r="AC156" s="15" t="n">
        <x:f>'기준스탯 72종'!G13*H156</x:f>
        <x:v>0</x:v>
      </x:c>
      <x:c r="AD156" s="15" t="n">
        <x:f>'기준스탯 72종'!H13*H156</x:f>
        <x:v>0</x:v>
      </x:c>
      <x:c r="AE156" s="15" t="n">
        <x:f>'기준스탯 72종'!I13*H156</x:f>
        <x:v>0</x:v>
      </x:c>
      <x:c r="AF156" s="15" t="n">
        <x:f>'기준스탯 72종'!J13*H156</x:f>
        <x:v>0</x:v>
      </x:c>
      <x:c r="AG156" s="15" t="n">
        <x:f>'기준스탯 72종'!K13*H156</x:f>
        <x:v>0</x:v>
      </x:c>
    </x:row>
    <x:row r="157" ht="28" customHeight="1">
      <x:c r="A157" s="2" t="n">
        <x:v>150</x:v>
      </x:c>
      <x:c r="B157" s="2" t="n">
        <x:v>6</x:v>
      </x:c>
      <x:c r="C157" s="2" t="str">
        <x:v>양자리</x:v>
      </x:c>
      <x:c r="D157" s="2" t="str">
        <x:v>전사</x:v>
      </x:c>
      <x:c r="E157" s="2" t="n">
        <x:v>5</x:v>
      </x:c>
      <x:c r="F157" s="2" t="n">
        <x:v>5</x:v>
      </x:c>
      <x:c r="G157" s="14" t="n">
        <x:f>('레벨 계산식'!$E$4-E157)*'레벨 계산식'!$B$5</x:f>
        <x:v>0</x:v>
      </x:c>
      <x:c r="H157" s="14" t="n">
        <x:f>('등급 계산식'!$E$4-F157)*'등급 계산식'!$B$5</x:f>
        <x:v>0</x:v>
      </x:c>
      <x:c r="I157" s="14" t="n">
        <x:f>1-G157-H157</x:f>
        <x:v>1</x:v>
      </x:c>
      <x:c r="J157" s="2" t="n">
        <x:f>MAX(1,ROUND('기준스탯 72종'!D13-R157-Z157,0))</x:f>
        <x:v>9</x:v>
      </x:c>
      <x:c r="K157" s="2" t="n">
        <x:f>MAX(1,ROUND('기준스탯 72종'!E13-S157-AA157,0))</x:f>
        <x:v>8</x:v>
      </x:c>
      <x:c r="L157" s="2" t="n">
        <x:f>MAX(1,ROUND('기준스탯 72종'!F13-T157-AB157,0))</x:f>
        <x:v>7</x:v>
      </x:c>
      <x:c r="M157" s="2" t="n">
        <x:f>MAX(1,ROUND('기준스탯 72종'!G13-U157-AC157,0))</x:f>
        <x:v>7</x:v>
      </x:c>
      <x:c r="N157" s="2" t="n">
        <x:f>MAX(0,ROUND('기준스탯 72종'!H13-V157-AD157,0))</x:f>
        <x:v>5</x:v>
      </x:c>
      <x:c r="O157" s="2" t="n">
        <x:f>MAX(0,ROUND('기준스탯 72종'!I13-W157-AE157,0))</x:f>
        <x:v>7</x:v>
      </x:c>
      <x:c r="P157" s="2" t="n">
        <x:f>MAX(0,ROUND('기준스탯 72종'!J13-X157-AF157,0))</x:f>
        <x:v>2</x:v>
      </x:c>
      <x:c r="Q157" s="2" t="n">
        <x:f>MAX(0,ROUND('기준스탯 72종'!K13-Y157-AG157,0))</x:f>
        <x:v>2</x:v>
      </x:c>
      <x:c r="R157" s="15" t="n">
        <x:f>'기준스탯 72종'!D13*G157</x:f>
        <x:v>0</x:v>
      </x:c>
      <x:c r="S157" s="15" t="n">
        <x:f>'기준스탯 72종'!E13*G157</x:f>
        <x:v>0</x:v>
      </x:c>
      <x:c r="T157" s="15" t="n">
        <x:f>'기준스탯 72종'!F13*G157</x:f>
        <x:v>0</x:v>
      </x:c>
      <x:c r="U157" s="15" t="n">
        <x:f>'기준스탯 72종'!G13*G157</x:f>
        <x:v>0</x:v>
      </x:c>
      <x:c r="V157" s="15" t="n">
        <x:f>'기준스탯 72종'!H13*G157</x:f>
        <x:v>0</x:v>
      </x:c>
      <x:c r="W157" s="15" t="n">
        <x:f>'기준스탯 72종'!I13*G157</x:f>
        <x:v>0</x:v>
      </x:c>
      <x:c r="X157" s="15" t="n">
        <x:f>'기준스탯 72종'!J13*G157</x:f>
        <x:v>0</x:v>
      </x:c>
      <x:c r="Y157" s="15" t="n">
        <x:f>'기준스탯 72종'!K13*G157</x:f>
        <x:v>0</x:v>
      </x:c>
      <x:c r="Z157" s="15" t="n">
        <x:f>'기준스탯 72종'!D13*H157</x:f>
        <x:v>0</x:v>
      </x:c>
      <x:c r="AA157" s="15" t="n">
        <x:f>'기준스탯 72종'!E13*H157</x:f>
        <x:v>0</x:v>
      </x:c>
      <x:c r="AB157" s="15" t="n">
        <x:f>'기준스탯 72종'!F13*H157</x:f>
        <x:v>0</x:v>
      </x:c>
      <x:c r="AC157" s="15" t="n">
        <x:f>'기준스탯 72종'!G13*H157</x:f>
        <x:v>0</x:v>
      </x:c>
      <x:c r="AD157" s="15" t="n">
        <x:f>'기준스탯 72종'!H13*H157</x:f>
        <x:v>0</x:v>
      </x:c>
      <x:c r="AE157" s="15" t="n">
        <x:f>'기준스탯 72종'!I13*H157</x:f>
        <x:v>0</x:v>
      </x:c>
      <x:c r="AF157" s="15" t="n">
        <x:f>'기준스탯 72종'!J13*H157</x:f>
        <x:v>0</x:v>
      </x:c>
      <x:c r="AG157" s="15" t="n">
        <x:f>'기준스탯 72종'!K13*H157</x:f>
        <x:v>0</x:v>
      </x:c>
    </x:row>
    <x:row r="158" ht="28" customHeight="1">
      <x:c r="A158" s="2" t="n">
        <x:v>151</x:v>
      </x:c>
      <x:c r="B158" s="2" t="n">
        <x:v>7</x:v>
      </x:c>
      <x:c r="C158" s="2" t="str">
        <x:v>황소자리</x:v>
      </x:c>
      <x:c r="D158" s="2" t="str">
        <x:v>기사</x:v>
      </x:c>
      <x:c r="E158" s="2" t="n">
        <x:v>1</x:v>
      </x:c>
      <x:c r="F158" s="2" t="n">
        <x:v>1</x:v>
      </x:c>
      <x:c r="G158" s="14" t="n">
        <x:f>('레벨 계산식'!$E$4-E158)*'레벨 계산식'!$B$5</x:f>
        <x:v>0.5599999999999999</x:v>
      </x:c>
      <x:c r="H158" s="14" t="n">
        <x:f>('등급 계산식'!$E$4-F158)*'등급 계산식'!$B$5</x:f>
        <x:v>0.24000000000000005</x:v>
      </x:c>
      <x:c r="I158" s="14" t="n">
        <x:f>1-G158-H158</x:f>
        <x:v>0.2</x:v>
      </x:c>
      <x:c r="J158" s="2" t="n">
        <x:f>MAX(1,ROUND('기준스탯 72종'!D14-R158-Z158,0))</x:f>
        <x:v>1</x:v>
      </x:c>
      <x:c r="K158" s="2" t="n">
        <x:f>MAX(1,ROUND('기준스탯 72종'!E14-S158-AA158,0))</x:f>
        <x:v>2</x:v>
      </x:c>
      <x:c r="L158" s="2" t="n">
        <x:f>MAX(1,ROUND('기준스탯 72종'!F14-T158-AB158,0))</x:f>
        <x:v>2</x:v>
      </x:c>
      <x:c r="M158" s="2" t="n">
        <x:f>MAX(1,ROUND('기준스탯 72종'!G14-U158-AC158,0))</x:f>
        <x:v>1</x:v>
      </x:c>
      <x:c r="N158" s="2" t="n">
        <x:f>MAX(0,ROUND('기준스탯 72종'!H14-V158-AD158,0))</x:f>
        <x:v>0</x:v>
      </x:c>
      <x:c r="O158" s="2" t="n">
        <x:f>MAX(0,ROUND('기준스탯 72종'!I14-W158-AE158,0))</x:f>
        <x:v>1</x:v>
      </x:c>
      <x:c r="P158" s="2" t="n">
        <x:f>MAX(0,ROUND('기준스탯 72종'!J14-X158-AF158,0))</x:f>
        <x:v>0</x:v>
      </x:c>
      <x:c r="Q158" s="2" t="n">
        <x:f>MAX(0,ROUND('기준스탯 72종'!K14-Y158-AG158,0))</x:f>
        <x:v>2</x:v>
      </x:c>
      <x:c r="R158" s="15" t="n">
        <x:f>'기준스탯 72종'!D14*G158</x:f>
        <x:v>3.3599999999999994</x:v>
      </x:c>
      <x:c r="S158" s="15" t="n">
        <x:f>'기준스탯 72종'!E14*G158</x:f>
        <x:v>5.6</x:v>
      </x:c>
      <x:c r="T158" s="15" t="n">
        <x:f>'기준스탯 72종'!F14*G158</x:f>
        <x:v>5.039999999999999</x:v>
      </x:c>
      <x:c r="U158" s="15" t="n">
        <x:f>'기준스탯 72종'!G14*G158</x:f>
        <x:v>2.8</x:v>
      </x:c>
      <x:c r="V158" s="15" t="n">
        <x:f>'기준스탯 72종'!H14*G158</x:f>
        <x:v>1.1199999999999999</x:v>
      </x:c>
      <x:c r="W158" s="15" t="n">
        <x:f>'기준스탯 72종'!I14*G158</x:f>
        <x:v>2.2399999999999998</x:v>
      </x:c>
      <x:c r="X158" s="15" t="n">
        <x:f>'기준스탯 72종'!J14*G158</x:f>
        <x:v>1.1199999999999999</x:v>
      </x:c>
      <x:c r="Y158" s="15" t="n">
        <x:f>'기준스탯 72종'!K14*G158</x:f>
        <x:v>4.4799999999999995</x:v>
      </x:c>
      <x:c r="Z158" s="15" t="n">
        <x:f>'기준스탯 72종'!D14*H158</x:f>
        <x:v>1.4400000000000004</x:v>
      </x:c>
      <x:c r="AA158" s="15" t="n">
        <x:f>'기준스탯 72종'!E14*H158</x:f>
        <x:v>2.4000000000000004</x:v>
      </x:c>
      <x:c r="AB158" s="15" t="n">
        <x:f>'기준스탯 72종'!F14*H158</x:f>
        <x:v>2.1600000000000006</x:v>
      </x:c>
      <x:c r="AC158" s="15" t="n">
        <x:f>'기준스탯 72종'!G14*H158</x:f>
        <x:v>1.2000000000000002</x:v>
      </x:c>
      <x:c r="AD158" s="15" t="n">
        <x:f>'기준스탯 72종'!H14*H158</x:f>
        <x:v>0.4800000000000001</x:v>
      </x:c>
      <x:c r="AE158" s="15" t="n">
        <x:f>'기준스탯 72종'!I14*H158</x:f>
        <x:v>0.9600000000000002</x:v>
      </x:c>
      <x:c r="AF158" s="15" t="n">
        <x:f>'기준스탯 72종'!J14*H158</x:f>
        <x:v>0.4800000000000001</x:v>
      </x:c>
      <x:c r="AG158" s="15" t="n">
        <x:f>'기준스탯 72종'!K14*H158</x:f>
        <x:v>1.9200000000000004</x:v>
      </x:c>
    </x:row>
    <x:row r="159" ht="28" customHeight="1">
      <x:c r="A159" s="2" t="n">
        <x:v>152</x:v>
      </x:c>
      <x:c r="B159" s="2" t="n">
        <x:v>7</x:v>
      </x:c>
      <x:c r="C159" s="2" t="str">
        <x:v>황소자리</x:v>
      </x:c>
      <x:c r="D159" s="2" t="str">
        <x:v>기사</x:v>
      </x:c>
      <x:c r="E159" s="2" t="n">
        <x:v>2</x:v>
      </x:c>
      <x:c r="F159" s="2" t="n">
        <x:v>1</x:v>
      </x:c>
      <x:c r="G159" s="14" t="n">
        <x:f>('레벨 계산식'!$E$4-E159)*'레벨 계산식'!$B$5</x:f>
        <x:v>0.41999999999999993</x:v>
      </x:c>
      <x:c r="H159" s="14" t="n">
        <x:f>('등급 계산식'!$E$4-F159)*'등급 계산식'!$B$5</x:f>
        <x:v>0.24000000000000005</x:v>
      </x:c>
      <x:c r="I159" s="14" t="n">
        <x:f>1-G159-H159</x:f>
        <x:v>0.34</x:v>
      </x:c>
      <x:c r="J159" s="2" t="n">
        <x:f>MAX(1,ROUND('기준스탯 72종'!D14-R159-Z159,0))</x:f>
        <x:v>2</x:v>
      </x:c>
      <x:c r="K159" s="2" t="n">
        <x:f>MAX(1,ROUND('기준스탯 72종'!E14-S159-AA159,0))</x:f>
        <x:v>3</x:v>
      </x:c>
      <x:c r="L159" s="2" t="n">
        <x:f>MAX(1,ROUND('기준스탯 72종'!F14-T159-AB159,0))</x:f>
        <x:v>3</x:v>
      </x:c>
      <x:c r="M159" s="2" t="n">
        <x:f>MAX(1,ROUND('기준스탯 72종'!G14-U159-AC159,0))</x:f>
        <x:v>2</x:v>
      </x:c>
      <x:c r="N159" s="2" t="n">
        <x:f>MAX(0,ROUND('기준스탯 72종'!H14-V159-AD159,0))</x:f>
        <x:v>1</x:v>
      </x:c>
      <x:c r="O159" s="2" t="n">
        <x:f>MAX(0,ROUND('기준스탯 72종'!I14-W159-AE159,0))</x:f>
        <x:v>1</x:v>
      </x:c>
      <x:c r="P159" s="2" t="n">
        <x:f>MAX(0,ROUND('기준스탯 72종'!J14-X159-AF159,0))</x:f>
        <x:v>1</x:v>
      </x:c>
      <x:c r="Q159" s="2" t="n">
        <x:f>MAX(0,ROUND('기준스탯 72종'!K14-Y159-AG159,0))</x:f>
        <x:v>3</x:v>
      </x:c>
      <x:c r="R159" s="15" t="n">
        <x:f>'기준스탯 72종'!D14*G159</x:f>
        <x:v>2.5199999999999996</x:v>
      </x:c>
      <x:c r="S159" s="15" t="n">
        <x:f>'기준스탯 72종'!E14*G159</x:f>
        <x:v>4.199999999999999</x:v>
      </x:c>
      <x:c r="T159" s="15" t="n">
        <x:f>'기준스탯 72종'!F14*G159</x:f>
        <x:v>3.7799999999999994</x:v>
      </x:c>
      <x:c r="U159" s="15" t="n">
        <x:f>'기준스탯 72종'!G14*G159</x:f>
        <x:v>2.0999999999999996</x:v>
      </x:c>
      <x:c r="V159" s="15" t="n">
        <x:f>'기준스탯 72종'!H14*G159</x:f>
        <x:v>0.8399999999999999</x:v>
      </x:c>
      <x:c r="W159" s="15" t="n">
        <x:f>'기준스탯 72종'!I14*G159</x:f>
        <x:v>1.6799999999999997</x:v>
      </x:c>
      <x:c r="X159" s="15" t="n">
        <x:f>'기준스탯 72종'!J14*G159</x:f>
        <x:v>0.8399999999999999</x:v>
      </x:c>
      <x:c r="Y159" s="15" t="n">
        <x:f>'기준스탯 72종'!K14*G159</x:f>
        <x:v>3.3599999999999994</x:v>
      </x:c>
      <x:c r="Z159" s="15" t="n">
        <x:f>'기준스탯 72종'!D14*H159</x:f>
        <x:v>1.4400000000000004</x:v>
      </x:c>
      <x:c r="AA159" s="15" t="n">
        <x:f>'기준스탯 72종'!E14*H159</x:f>
        <x:v>2.4000000000000004</x:v>
      </x:c>
      <x:c r="AB159" s="15" t="n">
        <x:f>'기준스탯 72종'!F14*H159</x:f>
        <x:v>2.1600000000000006</x:v>
      </x:c>
      <x:c r="AC159" s="15" t="n">
        <x:f>'기준스탯 72종'!G14*H159</x:f>
        <x:v>1.2000000000000002</x:v>
      </x:c>
      <x:c r="AD159" s="15" t="n">
        <x:f>'기준스탯 72종'!H14*H159</x:f>
        <x:v>0.4800000000000001</x:v>
      </x:c>
      <x:c r="AE159" s="15" t="n">
        <x:f>'기준스탯 72종'!I14*H159</x:f>
        <x:v>0.9600000000000002</x:v>
      </x:c>
      <x:c r="AF159" s="15" t="n">
        <x:f>'기준스탯 72종'!J14*H159</x:f>
        <x:v>0.4800000000000001</x:v>
      </x:c>
      <x:c r="AG159" s="15" t="n">
        <x:f>'기준스탯 72종'!K14*H159</x:f>
        <x:v>1.9200000000000004</x:v>
      </x:c>
    </x:row>
    <x:row r="160" ht="28" customHeight="1">
      <x:c r="A160" s="2" t="n">
        <x:v>153</x:v>
      </x:c>
      <x:c r="B160" s="2" t="n">
        <x:v>7</x:v>
      </x:c>
      <x:c r="C160" s="2" t="str">
        <x:v>황소자리</x:v>
      </x:c>
      <x:c r="D160" s="2" t="str">
        <x:v>기사</x:v>
      </x:c>
      <x:c r="E160" s="2" t="n">
        <x:v>3</x:v>
      </x:c>
      <x:c r="F160" s="2" t="n">
        <x:v>1</x:v>
      </x:c>
      <x:c r="G160" s="14" t="n">
        <x:f>('레벨 계산식'!$E$4-E160)*'레벨 계산식'!$B$5</x:f>
        <x:v>0.27999999999999997</x:v>
      </x:c>
      <x:c r="H160" s="14" t="n">
        <x:f>('등급 계산식'!$E$4-F160)*'등급 계산식'!$B$5</x:f>
        <x:v>0.24000000000000005</x:v>
      </x:c>
      <x:c r="I160" s="14" t="n">
        <x:f>1-G160-H160</x:f>
        <x:v>0.4799999999999999</x:v>
      </x:c>
      <x:c r="J160" s="2" t="n">
        <x:f>MAX(1,ROUND('기준스탯 72종'!D14-R160-Z160,0))</x:f>
        <x:v>3</x:v>
      </x:c>
      <x:c r="K160" s="2" t="n">
        <x:f>MAX(1,ROUND('기준스탯 72종'!E14-S160-AA160,0))</x:f>
        <x:v>5</x:v>
      </x:c>
      <x:c r="L160" s="2" t="n">
        <x:f>MAX(1,ROUND('기준스탯 72종'!F14-T160-AB160,0))</x:f>
        <x:v>4</x:v>
      </x:c>
      <x:c r="M160" s="2" t="n">
        <x:f>MAX(1,ROUND('기준스탯 72종'!G14-U160-AC160,0))</x:f>
        <x:v>2</x:v>
      </x:c>
      <x:c r="N160" s="2" t="n">
        <x:f>MAX(0,ROUND('기준스탯 72종'!H14-V160-AD160,0))</x:f>
        <x:v>1</x:v>
      </x:c>
      <x:c r="O160" s="2" t="n">
        <x:f>MAX(0,ROUND('기준스탯 72종'!I14-W160-AE160,0))</x:f>
        <x:v>2</x:v>
      </x:c>
      <x:c r="P160" s="2" t="n">
        <x:f>MAX(0,ROUND('기준스탯 72종'!J14-X160-AF160,0))</x:f>
        <x:v>1</x:v>
      </x:c>
      <x:c r="Q160" s="2" t="n">
        <x:f>MAX(0,ROUND('기준스탯 72종'!K14-Y160-AG160,0))</x:f>
        <x:v>4</x:v>
      </x:c>
      <x:c r="R160" s="15" t="n">
        <x:f>'기준스탯 72종'!D14*G160</x:f>
        <x:v>1.6799999999999997</x:v>
      </x:c>
      <x:c r="S160" s="15" t="n">
        <x:f>'기준스탯 72종'!E14*G160</x:f>
        <x:v>2.8</x:v>
      </x:c>
      <x:c r="T160" s="15" t="n">
        <x:f>'기준스탯 72종'!F14*G160</x:f>
        <x:v>2.5199999999999996</x:v>
      </x:c>
      <x:c r="U160" s="15" t="n">
        <x:f>'기준스탯 72종'!G14*G160</x:f>
        <x:v>1.4</x:v>
      </x:c>
      <x:c r="V160" s="15" t="n">
        <x:f>'기준스탯 72종'!H14*G160</x:f>
        <x:v>0.5599999999999999</x:v>
      </x:c>
      <x:c r="W160" s="15" t="n">
        <x:f>'기준스탯 72종'!I14*G160</x:f>
        <x:v>1.1199999999999999</x:v>
      </x:c>
      <x:c r="X160" s="15" t="n">
        <x:f>'기준스탯 72종'!J14*G160</x:f>
        <x:v>0.5599999999999999</x:v>
      </x:c>
      <x:c r="Y160" s="15" t="n">
        <x:f>'기준스탯 72종'!K14*G160</x:f>
        <x:v>2.2399999999999998</x:v>
      </x:c>
      <x:c r="Z160" s="15" t="n">
        <x:f>'기준스탯 72종'!D14*H160</x:f>
        <x:v>1.4400000000000004</x:v>
      </x:c>
      <x:c r="AA160" s="15" t="n">
        <x:f>'기준스탯 72종'!E14*H160</x:f>
        <x:v>2.4000000000000004</x:v>
      </x:c>
      <x:c r="AB160" s="15" t="n">
        <x:f>'기준스탯 72종'!F14*H160</x:f>
        <x:v>2.1600000000000006</x:v>
      </x:c>
      <x:c r="AC160" s="15" t="n">
        <x:f>'기준스탯 72종'!G14*H160</x:f>
        <x:v>1.2000000000000002</x:v>
      </x:c>
      <x:c r="AD160" s="15" t="n">
        <x:f>'기준스탯 72종'!H14*H160</x:f>
        <x:v>0.4800000000000001</x:v>
      </x:c>
      <x:c r="AE160" s="15" t="n">
        <x:f>'기준스탯 72종'!I14*H160</x:f>
        <x:v>0.9600000000000002</x:v>
      </x:c>
      <x:c r="AF160" s="15" t="n">
        <x:f>'기준스탯 72종'!J14*H160</x:f>
        <x:v>0.4800000000000001</x:v>
      </x:c>
      <x:c r="AG160" s="15" t="n">
        <x:f>'기준스탯 72종'!K14*H160</x:f>
        <x:v>1.9200000000000004</x:v>
      </x:c>
    </x:row>
    <x:row r="161" ht="28" customHeight="1">
      <x:c r="A161" s="2" t="n">
        <x:v>154</x:v>
      </x:c>
      <x:c r="B161" s="2" t="n">
        <x:v>7</x:v>
      </x:c>
      <x:c r="C161" s="2" t="str">
        <x:v>황소자리</x:v>
      </x:c>
      <x:c r="D161" s="2" t="str">
        <x:v>기사</x:v>
      </x:c>
      <x:c r="E161" s="2" t="n">
        <x:v>4</x:v>
      </x:c>
      <x:c r="F161" s="2" t="n">
        <x:v>1</x:v>
      </x:c>
      <x:c r="G161" s="14" t="n">
        <x:f>('레벨 계산식'!$E$4-E161)*'레벨 계산식'!$B$5</x:f>
        <x:v>0.13999999999999999</x:v>
      </x:c>
      <x:c r="H161" s="14" t="n">
        <x:f>('등급 계산식'!$E$4-F161)*'등급 계산식'!$B$5</x:f>
        <x:v>0.24000000000000005</x:v>
      </x:c>
      <x:c r="I161" s="14" t="n">
        <x:f>1-G161-H161</x:f>
        <x:v>0.6199999999999999</x:v>
      </x:c>
      <x:c r="J161" s="2" t="n">
        <x:f>MAX(1,ROUND('기준스탯 72종'!D14-R161-Z161,0))</x:f>
        <x:v>4</x:v>
      </x:c>
      <x:c r="K161" s="2" t="n">
        <x:f>MAX(1,ROUND('기준스탯 72종'!E14-S161-AA161,0))</x:f>
        <x:v>6</x:v>
      </x:c>
      <x:c r="L161" s="2" t="n">
        <x:f>MAX(1,ROUND('기준스탯 72종'!F14-T161-AB161,0))</x:f>
        <x:v>6</x:v>
      </x:c>
      <x:c r="M161" s="2" t="n">
        <x:f>MAX(1,ROUND('기준스탯 72종'!G14-U161-AC161,0))</x:f>
        <x:v>3</x:v>
      </x:c>
      <x:c r="N161" s="2" t="n">
        <x:f>MAX(0,ROUND('기준스탯 72종'!H14-V161-AD161,0))</x:f>
        <x:v>1</x:v>
      </x:c>
      <x:c r="O161" s="2" t="n">
        <x:f>MAX(0,ROUND('기준스탯 72종'!I14-W161-AE161,0))</x:f>
        <x:v>2</x:v>
      </x:c>
      <x:c r="P161" s="2" t="n">
        <x:f>MAX(0,ROUND('기준스탯 72종'!J14-X161-AF161,0))</x:f>
        <x:v>1</x:v>
      </x:c>
      <x:c r="Q161" s="2" t="n">
        <x:f>MAX(0,ROUND('기준스탯 72종'!K14-Y161-AG161,0))</x:f>
        <x:v>5</x:v>
      </x:c>
      <x:c r="R161" s="15" t="n">
        <x:f>'기준스탯 72종'!D14*G161</x:f>
        <x:v>0.8399999999999999</x:v>
      </x:c>
      <x:c r="S161" s="15" t="n">
        <x:f>'기준스탯 72종'!E14*G161</x:f>
        <x:v>1.4</x:v>
      </x:c>
      <x:c r="T161" s="15" t="n">
        <x:f>'기준스탯 72종'!F14*G161</x:f>
        <x:v>1.2599999999999998</x:v>
      </x:c>
      <x:c r="U161" s="15" t="n">
        <x:f>'기준스탯 72종'!G14*G161</x:f>
        <x:v>0.7</x:v>
      </x:c>
      <x:c r="V161" s="15" t="n">
        <x:f>'기준스탯 72종'!H14*G161</x:f>
        <x:v>0.27999999999999997</x:v>
      </x:c>
      <x:c r="W161" s="15" t="n">
        <x:f>'기준스탯 72종'!I14*G161</x:f>
        <x:v>0.5599999999999999</x:v>
      </x:c>
      <x:c r="X161" s="15" t="n">
        <x:f>'기준스탯 72종'!J14*G161</x:f>
        <x:v>0.27999999999999997</x:v>
      </x:c>
      <x:c r="Y161" s="15" t="n">
        <x:f>'기준스탯 72종'!K14*G161</x:f>
        <x:v>1.1199999999999999</x:v>
      </x:c>
      <x:c r="Z161" s="15" t="n">
        <x:f>'기준스탯 72종'!D14*H161</x:f>
        <x:v>1.4400000000000004</x:v>
      </x:c>
      <x:c r="AA161" s="15" t="n">
        <x:f>'기준스탯 72종'!E14*H161</x:f>
        <x:v>2.4000000000000004</x:v>
      </x:c>
      <x:c r="AB161" s="15" t="n">
        <x:f>'기준스탯 72종'!F14*H161</x:f>
        <x:v>2.1600000000000006</x:v>
      </x:c>
      <x:c r="AC161" s="15" t="n">
        <x:f>'기준스탯 72종'!G14*H161</x:f>
        <x:v>1.2000000000000002</x:v>
      </x:c>
      <x:c r="AD161" s="15" t="n">
        <x:f>'기준스탯 72종'!H14*H161</x:f>
        <x:v>0.4800000000000001</x:v>
      </x:c>
      <x:c r="AE161" s="15" t="n">
        <x:f>'기준스탯 72종'!I14*H161</x:f>
        <x:v>0.9600000000000002</x:v>
      </x:c>
      <x:c r="AF161" s="15" t="n">
        <x:f>'기준스탯 72종'!J14*H161</x:f>
        <x:v>0.4800000000000001</x:v>
      </x:c>
      <x:c r="AG161" s="15" t="n">
        <x:f>'기준스탯 72종'!K14*H161</x:f>
        <x:v>1.9200000000000004</x:v>
      </x:c>
    </x:row>
    <x:row r="162" ht="28" customHeight="1">
      <x:c r="A162" s="2" t="n">
        <x:v>155</x:v>
      </x:c>
      <x:c r="B162" s="2" t="n">
        <x:v>7</x:v>
      </x:c>
      <x:c r="C162" s="2" t="str">
        <x:v>황소자리</x:v>
      </x:c>
      <x:c r="D162" s="2" t="str">
        <x:v>기사</x:v>
      </x:c>
      <x:c r="E162" s="2" t="n">
        <x:v>5</x:v>
      </x:c>
      <x:c r="F162" s="2" t="n">
        <x:v>1</x:v>
      </x:c>
      <x:c r="G162" s="14" t="n">
        <x:f>('레벨 계산식'!$E$4-E162)*'레벨 계산식'!$B$5</x:f>
        <x:v>0</x:v>
      </x:c>
      <x:c r="H162" s="14" t="n">
        <x:f>('등급 계산식'!$E$4-F162)*'등급 계산식'!$B$5</x:f>
        <x:v>0.24000000000000005</x:v>
      </x:c>
      <x:c r="I162" s="14" t="n">
        <x:f>1-G162-H162</x:f>
        <x:v>0.76</x:v>
      </x:c>
      <x:c r="J162" s="2" t="n">
        <x:f>MAX(1,ROUND('기준스탯 72종'!D14-R162-Z162,0))</x:f>
        <x:v>5</x:v>
      </x:c>
      <x:c r="K162" s="2" t="n">
        <x:f>MAX(1,ROUND('기준스탯 72종'!E14-S162-AA162,0))</x:f>
        <x:v>8</x:v>
      </x:c>
      <x:c r="L162" s="2" t="n">
        <x:f>MAX(1,ROUND('기준스탯 72종'!F14-T162-AB162,0))</x:f>
        <x:v>7</x:v>
      </x:c>
      <x:c r="M162" s="2" t="n">
        <x:f>MAX(1,ROUND('기준스탯 72종'!G14-U162-AC162,0))</x:f>
        <x:v>4</x:v>
      </x:c>
      <x:c r="N162" s="2" t="n">
        <x:f>MAX(0,ROUND('기준스탯 72종'!H14-V162-AD162,0))</x:f>
        <x:v>2</x:v>
      </x:c>
      <x:c r="O162" s="2" t="n">
        <x:f>MAX(0,ROUND('기준스탯 72종'!I14-W162-AE162,0))</x:f>
        <x:v>3</x:v>
      </x:c>
      <x:c r="P162" s="2" t="n">
        <x:f>MAX(0,ROUND('기준스탯 72종'!J14-X162-AF162,0))</x:f>
        <x:v>2</x:v>
      </x:c>
      <x:c r="Q162" s="2" t="n">
        <x:f>MAX(0,ROUND('기준스탯 72종'!K14-Y162-AG162,0))</x:f>
        <x:v>6</x:v>
      </x:c>
      <x:c r="R162" s="15" t="n">
        <x:f>'기준스탯 72종'!D14*G162</x:f>
        <x:v>0</x:v>
      </x:c>
      <x:c r="S162" s="15" t="n">
        <x:f>'기준스탯 72종'!E14*G162</x:f>
        <x:v>0</x:v>
      </x:c>
      <x:c r="T162" s="15" t="n">
        <x:f>'기준스탯 72종'!F14*G162</x:f>
        <x:v>0</x:v>
      </x:c>
      <x:c r="U162" s="15" t="n">
        <x:f>'기준스탯 72종'!G14*G162</x:f>
        <x:v>0</x:v>
      </x:c>
      <x:c r="V162" s="15" t="n">
        <x:f>'기준스탯 72종'!H14*G162</x:f>
        <x:v>0</x:v>
      </x:c>
      <x:c r="W162" s="15" t="n">
        <x:f>'기준스탯 72종'!I14*G162</x:f>
        <x:v>0</x:v>
      </x:c>
      <x:c r="X162" s="15" t="n">
        <x:f>'기준스탯 72종'!J14*G162</x:f>
        <x:v>0</x:v>
      </x:c>
      <x:c r="Y162" s="15" t="n">
        <x:f>'기준스탯 72종'!K14*G162</x:f>
        <x:v>0</x:v>
      </x:c>
      <x:c r="Z162" s="15" t="n">
        <x:f>'기준스탯 72종'!D14*H162</x:f>
        <x:v>1.4400000000000004</x:v>
      </x:c>
      <x:c r="AA162" s="15" t="n">
        <x:f>'기준스탯 72종'!E14*H162</x:f>
        <x:v>2.4000000000000004</x:v>
      </x:c>
      <x:c r="AB162" s="15" t="n">
        <x:f>'기준스탯 72종'!F14*H162</x:f>
        <x:v>2.1600000000000006</x:v>
      </x:c>
      <x:c r="AC162" s="15" t="n">
        <x:f>'기준스탯 72종'!G14*H162</x:f>
        <x:v>1.2000000000000002</x:v>
      </x:c>
      <x:c r="AD162" s="15" t="n">
        <x:f>'기준스탯 72종'!H14*H162</x:f>
        <x:v>0.4800000000000001</x:v>
      </x:c>
      <x:c r="AE162" s="15" t="n">
        <x:f>'기준스탯 72종'!I14*H162</x:f>
        <x:v>0.9600000000000002</x:v>
      </x:c>
      <x:c r="AF162" s="15" t="n">
        <x:f>'기준스탯 72종'!J14*H162</x:f>
        <x:v>0.4800000000000001</x:v>
      </x:c>
      <x:c r="AG162" s="15" t="n">
        <x:f>'기준스탯 72종'!K14*H162</x:f>
        <x:v>1.9200000000000004</x:v>
      </x:c>
    </x:row>
    <x:row r="163" ht="28" customHeight="1">
      <x:c r="A163" s="2" t="n">
        <x:v>156</x:v>
      </x:c>
      <x:c r="B163" s="2" t="n">
        <x:v>7</x:v>
      </x:c>
      <x:c r="C163" s="2" t="str">
        <x:v>황소자리</x:v>
      </x:c>
      <x:c r="D163" s="2" t="str">
        <x:v>기사</x:v>
      </x:c>
      <x:c r="E163" s="2" t="n">
        <x:v>1</x:v>
      </x:c>
      <x:c r="F163" s="2" t="n">
        <x:v>2</x:v>
      </x:c>
      <x:c r="G163" s="14" t="n">
        <x:f>('레벨 계산식'!$E$4-E163)*'레벨 계산식'!$B$5</x:f>
        <x:v>0.5599999999999999</x:v>
      </x:c>
      <x:c r="H163" s="14" t="n">
        <x:f>('등급 계산식'!$E$4-F163)*'등급 계산식'!$B$5</x:f>
        <x:v>0.18000000000000005</x:v>
      </x:c>
      <x:c r="I163" s="14" t="n">
        <x:f>1-G163-H163</x:f>
        <x:v>0.26</x:v>
      </x:c>
      <x:c r="J163" s="2" t="n">
        <x:f>MAX(1,ROUND('기준스탯 72종'!D14-R163-Z163,0))</x:f>
        <x:v>2</x:v>
      </x:c>
      <x:c r="K163" s="2" t="n">
        <x:f>MAX(1,ROUND('기준스탯 72종'!E14-S163-AA163,0))</x:f>
        <x:v>3</x:v>
      </x:c>
      <x:c r="L163" s="2" t="n">
        <x:f>MAX(1,ROUND('기준스탯 72종'!F14-T163-AB163,0))</x:f>
        <x:v>2</x:v>
      </x:c>
      <x:c r="M163" s="2" t="n">
        <x:f>MAX(1,ROUND('기준스탯 72종'!G14-U163-AC163,0))</x:f>
        <x:v>1</x:v>
      </x:c>
      <x:c r="N163" s="2" t="n">
        <x:f>MAX(0,ROUND('기준스탯 72종'!H14-V163-AD163,0))</x:f>
        <x:v>1</x:v>
      </x:c>
      <x:c r="O163" s="2" t="n">
        <x:f>MAX(0,ROUND('기준스탯 72종'!I14-W163-AE163,0))</x:f>
        <x:v>1</x:v>
      </x:c>
      <x:c r="P163" s="2" t="n">
        <x:f>MAX(0,ROUND('기준스탯 72종'!J14-X163-AF163,0))</x:f>
        <x:v>1</x:v>
      </x:c>
      <x:c r="Q163" s="2" t="n">
        <x:f>MAX(0,ROUND('기준스탯 72종'!K14-Y163-AG163,0))</x:f>
        <x:v>2</x:v>
      </x:c>
      <x:c r="R163" s="15" t="n">
        <x:f>'기준스탯 72종'!D14*G163</x:f>
        <x:v>3.3599999999999994</x:v>
      </x:c>
      <x:c r="S163" s="15" t="n">
        <x:f>'기준스탯 72종'!E14*G163</x:f>
        <x:v>5.6</x:v>
      </x:c>
      <x:c r="T163" s="15" t="n">
        <x:f>'기준스탯 72종'!F14*G163</x:f>
        <x:v>5.039999999999999</x:v>
      </x:c>
      <x:c r="U163" s="15" t="n">
        <x:f>'기준스탯 72종'!G14*G163</x:f>
        <x:v>2.8</x:v>
      </x:c>
      <x:c r="V163" s="15" t="n">
        <x:f>'기준스탯 72종'!H14*G163</x:f>
        <x:v>1.1199999999999999</x:v>
      </x:c>
      <x:c r="W163" s="15" t="n">
        <x:f>'기준스탯 72종'!I14*G163</x:f>
        <x:v>2.2399999999999998</x:v>
      </x:c>
      <x:c r="X163" s="15" t="n">
        <x:f>'기준스탯 72종'!J14*G163</x:f>
        <x:v>1.1199999999999999</x:v>
      </x:c>
      <x:c r="Y163" s="15" t="n">
        <x:f>'기준스탯 72종'!K14*G163</x:f>
        <x:v>4.4799999999999995</x:v>
      </x:c>
      <x:c r="Z163" s="15" t="n">
        <x:f>'기준스탯 72종'!D14*H163</x:f>
        <x:v>1.0800000000000003</x:v>
      </x:c>
      <x:c r="AA163" s="15" t="n">
        <x:f>'기준스탯 72종'!E14*H163</x:f>
        <x:v>1.8000000000000005</x:v>
      </x:c>
      <x:c r="AB163" s="15" t="n">
        <x:f>'기준스탯 72종'!F14*H163</x:f>
        <x:v>1.6200000000000006</x:v>
      </x:c>
      <x:c r="AC163" s="15" t="n">
        <x:f>'기준스탯 72종'!G14*H163</x:f>
        <x:v>0.9000000000000002</x:v>
      </x:c>
      <x:c r="AD163" s="15" t="n">
        <x:f>'기준스탯 72종'!H14*H163</x:f>
        <x:v>0.3600000000000001</x:v>
      </x:c>
      <x:c r="AE163" s="15" t="n">
        <x:f>'기준스탯 72종'!I14*H163</x:f>
        <x:v>0.7200000000000002</x:v>
      </x:c>
      <x:c r="AF163" s="15" t="n">
        <x:f>'기준스탯 72종'!J14*H163</x:f>
        <x:v>0.3600000000000001</x:v>
      </x:c>
      <x:c r="AG163" s="15" t="n">
        <x:f>'기준스탯 72종'!K14*H163</x:f>
        <x:v>1.4400000000000004</x:v>
      </x:c>
    </x:row>
    <x:row r="164" ht="28" customHeight="1">
      <x:c r="A164" s="2" t="n">
        <x:v>157</x:v>
      </x:c>
      <x:c r="B164" s="2" t="n">
        <x:v>7</x:v>
      </x:c>
      <x:c r="C164" s="2" t="str">
        <x:v>황소자리</x:v>
      </x:c>
      <x:c r="D164" s="2" t="str">
        <x:v>기사</x:v>
      </x:c>
      <x:c r="E164" s="2" t="n">
        <x:v>2</x:v>
      </x:c>
      <x:c r="F164" s="2" t="n">
        <x:v>2</x:v>
      </x:c>
      <x:c r="G164" s="14" t="n">
        <x:f>('레벨 계산식'!$E$4-E164)*'레벨 계산식'!$B$5</x:f>
        <x:v>0.41999999999999993</x:v>
      </x:c>
      <x:c r="H164" s="14" t="n">
        <x:f>('등급 계산식'!$E$4-F164)*'등급 계산식'!$B$5</x:f>
        <x:v>0.18000000000000005</x:v>
      </x:c>
      <x:c r="I164" s="14" t="n">
        <x:f>1-G164-H164</x:f>
        <x:v>0.4</x:v>
      </x:c>
      <x:c r="J164" s="2" t="n">
        <x:f>MAX(1,ROUND('기준스탯 72종'!D14-R164-Z164,0))</x:f>
        <x:v>2</x:v>
      </x:c>
      <x:c r="K164" s="2" t="n">
        <x:f>MAX(1,ROUND('기준스탯 72종'!E14-S164-AA164,0))</x:f>
        <x:v>4</x:v>
      </x:c>
      <x:c r="L164" s="2" t="n">
        <x:f>MAX(1,ROUND('기준스탯 72종'!F14-T164-AB164,0))</x:f>
        <x:v>4</x:v>
      </x:c>
      <x:c r="M164" s="2" t="n">
        <x:f>MAX(1,ROUND('기준스탯 72종'!G14-U164-AC164,0))</x:f>
        <x:v>2</x:v>
      </x:c>
      <x:c r="N164" s="2" t="n">
        <x:f>MAX(0,ROUND('기준스탯 72종'!H14-V164-AD164,0))</x:f>
        <x:v>1</x:v>
      </x:c>
      <x:c r="O164" s="2" t="n">
        <x:f>MAX(0,ROUND('기준스탯 72종'!I14-W164-AE164,0))</x:f>
        <x:v>2</x:v>
      </x:c>
      <x:c r="P164" s="2" t="n">
        <x:f>MAX(0,ROUND('기준스탯 72종'!J14-X164-AF164,0))</x:f>
        <x:v>1</x:v>
      </x:c>
      <x:c r="Q164" s="2" t="n">
        <x:f>MAX(0,ROUND('기준스탯 72종'!K14-Y164-AG164,0))</x:f>
        <x:v>3</x:v>
      </x:c>
      <x:c r="R164" s="15" t="n">
        <x:f>'기준스탯 72종'!D14*G164</x:f>
        <x:v>2.5199999999999996</x:v>
      </x:c>
      <x:c r="S164" s="15" t="n">
        <x:f>'기준스탯 72종'!E14*G164</x:f>
        <x:v>4.199999999999999</x:v>
      </x:c>
      <x:c r="T164" s="15" t="n">
        <x:f>'기준스탯 72종'!F14*G164</x:f>
        <x:v>3.7799999999999994</x:v>
      </x:c>
      <x:c r="U164" s="15" t="n">
        <x:f>'기준스탯 72종'!G14*G164</x:f>
        <x:v>2.0999999999999996</x:v>
      </x:c>
      <x:c r="V164" s="15" t="n">
        <x:f>'기준스탯 72종'!H14*G164</x:f>
        <x:v>0.8399999999999999</x:v>
      </x:c>
      <x:c r="W164" s="15" t="n">
        <x:f>'기준스탯 72종'!I14*G164</x:f>
        <x:v>1.6799999999999997</x:v>
      </x:c>
      <x:c r="X164" s="15" t="n">
        <x:f>'기준스탯 72종'!J14*G164</x:f>
        <x:v>0.8399999999999999</x:v>
      </x:c>
      <x:c r="Y164" s="15" t="n">
        <x:f>'기준스탯 72종'!K14*G164</x:f>
        <x:v>3.3599999999999994</x:v>
      </x:c>
      <x:c r="Z164" s="15" t="n">
        <x:f>'기준스탯 72종'!D14*H164</x:f>
        <x:v>1.0800000000000003</x:v>
      </x:c>
      <x:c r="AA164" s="15" t="n">
        <x:f>'기준스탯 72종'!E14*H164</x:f>
        <x:v>1.8000000000000005</x:v>
      </x:c>
      <x:c r="AB164" s="15" t="n">
        <x:f>'기준스탯 72종'!F14*H164</x:f>
        <x:v>1.6200000000000006</x:v>
      </x:c>
      <x:c r="AC164" s="15" t="n">
        <x:f>'기준스탯 72종'!G14*H164</x:f>
        <x:v>0.9000000000000002</x:v>
      </x:c>
      <x:c r="AD164" s="15" t="n">
        <x:f>'기준스탯 72종'!H14*H164</x:f>
        <x:v>0.3600000000000001</x:v>
      </x:c>
      <x:c r="AE164" s="15" t="n">
        <x:f>'기준스탯 72종'!I14*H164</x:f>
        <x:v>0.7200000000000002</x:v>
      </x:c>
      <x:c r="AF164" s="15" t="n">
        <x:f>'기준스탯 72종'!J14*H164</x:f>
        <x:v>0.3600000000000001</x:v>
      </x:c>
      <x:c r="AG164" s="15" t="n">
        <x:f>'기준스탯 72종'!K14*H164</x:f>
        <x:v>1.4400000000000004</x:v>
      </x:c>
    </x:row>
    <x:row r="165" ht="28" customHeight="1">
      <x:c r="A165" s="2" t="n">
        <x:v>158</x:v>
      </x:c>
      <x:c r="B165" s="2" t="n">
        <x:v>7</x:v>
      </x:c>
      <x:c r="C165" s="2" t="str">
        <x:v>황소자리</x:v>
      </x:c>
      <x:c r="D165" s="2" t="str">
        <x:v>기사</x:v>
      </x:c>
      <x:c r="E165" s="2" t="n">
        <x:v>3</x:v>
      </x:c>
      <x:c r="F165" s="2" t="n">
        <x:v>2</x:v>
      </x:c>
      <x:c r="G165" s="14" t="n">
        <x:f>('레벨 계산식'!$E$4-E165)*'레벨 계산식'!$B$5</x:f>
        <x:v>0.27999999999999997</x:v>
      </x:c>
      <x:c r="H165" s="14" t="n">
        <x:f>('등급 계산식'!$E$4-F165)*'등급 계산식'!$B$5</x:f>
        <x:v>0.18000000000000005</x:v>
      </x:c>
      <x:c r="I165" s="14" t="n">
        <x:f>1-G165-H165</x:f>
        <x:v>0.5399999999999999</x:v>
      </x:c>
      <x:c r="J165" s="2" t="n">
        <x:f>MAX(1,ROUND('기준스탯 72종'!D14-R165-Z165,0))</x:f>
        <x:v>3</x:v>
      </x:c>
      <x:c r="K165" s="2" t="n">
        <x:f>MAX(1,ROUND('기준스탯 72종'!E14-S165-AA165,0))</x:f>
        <x:v>5</x:v>
      </x:c>
      <x:c r="L165" s="2" t="n">
        <x:f>MAX(1,ROUND('기준스탯 72종'!F14-T165-AB165,0))</x:f>
        <x:v>5</x:v>
      </x:c>
      <x:c r="M165" s="2" t="n">
        <x:f>MAX(1,ROUND('기준스탯 72종'!G14-U165-AC165,0))</x:f>
        <x:v>3</x:v>
      </x:c>
      <x:c r="N165" s="2" t="n">
        <x:f>MAX(0,ROUND('기준스탯 72종'!H14-V165-AD165,0))</x:f>
        <x:v>1</x:v>
      </x:c>
      <x:c r="O165" s="2" t="n">
        <x:f>MAX(0,ROUND('기준스탯 72종'!I14-W165-AE165,0))</x:f>
        <x:v>2</x:v>
      </x:c>
      <x:c r="P165" s="2" t="n">
        <x:f>MAX(0,ROUND('기준스탯 72종'!J14-X165-AF165,0))</x:f>
        <x:v>1</x:v>
      </x:c>
      <x:c r="Q165" s="2" t="n">
        <x:f>MAX(0,ROUND('기준스탯 72종'!K14-Y165-AG165,0))</x:f>
        <x:v>4</x:v>
      </x:c>
      <x:c r="R165" s="15" t="n">
        <x:f>'기준스탯 72종'!D14*G165</x:f>
        <x:v>1.6799999999999997</x:v>
      </x:c>
      <x:c r="S165" s="15" t="n">
        <x:f>'기준스탯 72종'!E14*G165</x:f>
        <x:v>2.8</x:v>
      </x:c>
      <x:c r="T165" s="15" t="n">
        <x:f>'기준스탯 72종'!F14*G165</x:f>
        <x:v>2.5199999999999996</x:v>
      </x:c>
      <x:c r="U165" s="15" t="n">
        <x:f>'기준스탯 72종'!G14*G165</x:f>
        <x:v>1.4</x:v>
      </x:c>
      <x:c r="V165" s="15" t="n">
        <x:f>'기준스탯 72종'!H14*G165</x:f>
        <x:v>0.5599999999999999</x:v>
      </x:c>
      <x:c r="W165" s="15" t="n">
        <x:f>'기준스탯 72종'!I14*G165</x:f>
        <x:v>1.1199999999999999</x:v>
      </x:c>
      <x:c r="X165" s="15" t="n">
        <x:f>'기준스탯 72종'!J14*G165</x:f>
        <x:v>0.5599999999999999</x:v>
      </x:c>
      <x:c r="Y165" s="15" t="n">
        <x:f>'기준스탯 72종'!K14*G165</x:f>
        <x:v>2.2399999999999998</x:v>
      </x:c>
      <x:c r="Z165" s="15" t="n">
        <x:f>'기준스탯 72종'!D14*H165</x:f>
        <x:v>1.0800000000000003</x:v>
      </x:c>
      <x:c r="AA165" s="15" t="n">
        <x:f>'기준스탯 72종'!E14*H165</x:f>
        <x:v>1.8000000000000005</x:v>
      </x:c>
      <x:c r="AB165" s="15" t="n">
        <x:f>'기준스탯 72종'!F14*H165</x:f>
        <x:v>1.6200000000000006</x:v>
      </x:c>
      <x:c r="AC165" s="15" t="n">
        <x:f>'기준스탯 72종'!G14*H165</x:f>
        <x:v>0.9000000000000002</x:v>
      </x:c>
      <x:c r="AD165" s="15" t="n">
        <x:f>'기준스탯 72종'!H14*H165</x:f>
        <x:v>0.3600000000000001</x:v>
      </x:c>
      <x:c r="AE165" s="15" t="n">
        <x:f>'기준스탯 72종'!I14*H165</x:f>
        <x:v>0.7200000000000002</x:v>
      </x:c>
      <x:c r="AF165" s="15" t="n">
        <x:f>'기준스탯 72종'!J14*H165</x:f>
        <x:v>0.3600000000000001</x:v>
      </x:c>
      <x:c r="AG165" s="15" t="n">
        <x:f>'기준스탯 72종'!K14*H165</x:f>
        <x:v>1.4400000000000004</x:v>
      </x:c>
    </x:row>
    <x:row r="166" ht="28" customHeight="1">
      <x:c r="A166" s="2" t="n">
        <x:v>159</x:v>
      </x:c>
      <x:c r="B166" s="2" t="n">
        <x:v>7</x:v>
      </x:c>
      <x:c r="C166" s="2" t="str">
        <x:v>황소자리</x:v>
      </x:c>
      <x:c r="D166" s="2" t="str">
        <x:v>기사</x:v>
      </x:c>
      <x:c r="E166" s="2" t="n">
        <x:v>4</x:v>
      </x:c>
      <x:c r="F166" s="2" t="n">
        <x:v>2</x:v>
      </x:c>
      <x:c r="G166" s="14" t="n">
        <x:f>('레벨 계산식'!$E$4-E166)*'레벨 계산식'!$B$5</x:f>
        <x:v>0.13999999999999999</x:v>
      </x:c>
      <x:c r="H166" s="14" t="n">
        <x:f>('등급 계산식'!$E$4-F166)*'등급 계산식'!$B$5</x:f>
        <x:v>0.18000000000000005</x:v>
      </x:c>
      <x:c r="I166" s="14" t="n">
        <x:f>1-G166-H166</x:f>
        <x:v>0.6799999999999999</x:v>
      </x:c>
      <x:c r="J166" s="2" t="n">
        <x:f>MAX(1,ROUND('기준스탯 72종'!D14-R166-Z166,0))</x:f>
        <x:v>4</x:v>
      </x:c>
      <x:c r="K166" s="2" t="n">
        <x:f>MAX(1,ROUND('기준스탯 72종'!E14-S166-AA166,0))</x:f>
        <x:v>7</x:v>
      </x:c>
      <x:c r="L166" s="2" t="n">
        <x:f>MAX(1,ROUND('기준스탯 72종'!F14-T166-AB166,0))</x:f>
        <x:v>6</x:v>
      </x:c>
      <x:c r="M166" s="2" t="n">
        <x:f>MAX(1,ROUND('기준스탯 72종'!G14-U166-AC166,0))</x:f>
        <x:v>3</x:v>
      </x:c>
      <x:c r="N166" s="2" t="n">
        <x:f>MAX(0,ROUND('기준스탯 72종'!H14-V166-AD166,0))</x:f>
        <x:v>1</x:v>
      </x:c>
      <x:c r="O166" s="2" t="n">
        <x:f>MAX(0,ROUND('기준스탯 72종'!I14-W166-AE166,0))</x:f>
        <x:v>3</x:v>
      </x:c>
      <x:c r="P166" s="2" t="n">
        <x:f>MAX(0,ROUND('기준스탯 72종'!J14-X166-AF166,0))</x:f>
        <x:v>1</x:v>
      </x:c>
      <x:c r="Q166" s="2" t="n">
        <x:f>MAX(0,ROUND('기준스탯 72종'!K14-Y166-AG166,0))</x:f>
        <x:v>5</x:v>
      </x:c>
      <x:c r="R166" s="15" t="n">
        <x:f>'기준스탯 72종'!D14*G166</x:f>
        <x:v>0.8399999999999999</x:v>
      </x:c>
      <x:c r="S166" s="15" t="n">
        <x:f>'기준스탯 72종'!E14*G166</x:f>
        <x:v>1.4</x:v>
      </x:c>
      <x:c r="T166" s="15" t="n">
        <x:f>'기준스탯 72종'!F14*G166</x:f>
        <x:v>1.2599999999999998</x:v>
      </x:c>
      <x:c r="U166" s="15" t="n">
        <x:f>'기준스탯 72종'!G14*G166</x:f>
        <x:v>0.7</x:v>
      </x:c>
      <x:c r="V166" s="15" t="n">
        <x:f>'기준스탯 72종'!H14*G166</x:f>
        <x:v>0.27999999999999997</x:v>
      </x:c>
      <x:c r="W166" s="15" t="n">
        <x:f>'기준스탯 72종'!I14*G166</x:f>
        <x:v>0.5599999999999999</x:v>
      </x:c>
      <x:c r="X166" s="15" t="n">
        <x:f>'기준스탯 72종'!J14*G166</x:f>
        <x:v>0.27999999999999997</x:v>
      </x:c>
      <x:c r="Y166" s="15" t="n">
        <x:f>'기준스탯 72종'!K14*G166</x:f>
        <x:v>1.1199999999999999</x:v>
      </x:c>
      <x:c r="Z166" s="15" t="n">
        <x:f>'기준스탯 72종'!D14*H166</x:f>
        <x:v>1.0800000000000003</x:v>
      </x:c>
      <x:c r="AA166" s="15" t="n">
        <x:f>'기준스탯 72종'!E14*H166</x:f>
        <x:v>1.8000000000000005</x:v>
      </x:c>
      <x:c r="AB166" s="15" t="n">
        <x:f>'기준스탯 72종'!F14*H166</x:f>
        <x:v>1.6200000000000006</x:v>
      </x:c>
      <x:c r="AC166" s="15" t="n">
        <x:f>'기준스탯 72종'!G14*H166</x:f>
        <x:v>0.9000000000000002</x:v>
      </x:c>
      <x:c r="AD166" s="15" t="n">
        <x:f>'기준스탯 72종'!H14*H166</x:f>
        <x:v>0.3600000000000001</x:v>
      </x:c>
      <x:c r="AE166" s="15" t="n">
        <x:f>'기준스탯 72종'!I14*H166</x:f>
        <x:v>0.7200000000000002</x:v>
      </x:c>
      <x:c r="AF166" s="15" t="n">
        <x:f>'기준스탯 72종'!J14*H166</x:f>
        <x:v>0.3600000000000001</x:v>
      </x:c>
      <x:c r="AG166" s="15" t="n">
        <x:f>'기준스탯 72종'!K14*H166</x:f>
        <x:v>1.4400000000000004</x:v>
      </x:c>
    </x:row>
    <x:row r="167" ht="28" customHeight="1">
      <x:c r="A167" s="2" t="n">
        <x:v>160</x:v>
      </x:c>
      <x:c r="B167" s="2" t="n">
        <x:v>7</x:v>
      </x:c>
      <x:c r="C167" s="2" t="str">
        <x:v>황소자리</x:v>
      </x:c>
      <x:c r="D167" s="2" t="str">
        <x:v>기사</x:v>
      </x:c>
      <x:c r="E167" s="2" t="n">
        <x:v>5</x:v>
      </x:c>
      <x:c r="F167" s="2" t="n">
        <x:v>2</x:v>
      </x:c>
      <x:c r="G167" s="14" t="n">
        <x:f>('레벨 계산식'!$E$4-E167)*'레벨 계산식'!$B$5</x:f>
        <x:v>0</x:v>
      </x:c>
      <x:c r="H167" s="14" t="n">
        <x:f>('등급 계산식'!$E$4-F167)*'등급 계산식'!$B$5</x:f>
        <x:v>0.18000000000000005</x:v>
      </x:c>
      <x:c r="I167" s="14" t="n">
        <x:f>1-G167-H167</x:f>
        <x:v>0.82</x:v>
      </x:c>
      <x:c r="J167" s="2" t="n">
        <x:f>MAX(1,ROUND('기준스탯 72종'!D14-R167-Z167,0))</x:f>
        <x:v>5</x:v>
      </x:c>
      <x:c r="K167" s="2" t="n">
        <x:f>MAX(1,ROUND('기준스탯 72종'!E14-S167-AA167,0))</x:f>
        <x:v>8</x:v>
      </x:c>
      <x:c r="L167" s="2" t="n">
        <x:f>MAX(1,ROUND('기준스탯 72종'!F14-T167-AB167,0))</x:f>
        <x:v>7</x:v>
      </x:c>
      <x:c r="M167" s="2" t="n">
        <x:f>MAX(1,ROUND('기준스탯 72종'!G14-U167-AC167,0))</x:f>
        <x:v>4</x:v>
      </x:c>
      <x:c r="N167" s="2" t="n">
        <x:f>MAX(0,ROUND('기준스탯 72종'!H14-V167-AD167,0))</x:f>
        <x:v>2</x:v>
      </x:c>
      <x:c r="O167" s="2" t="n">
        <x:f>MAX(0,ROUND('기준스탯 72종'!I14-W167-AE167,0))</x:f>
        <x:v>3</x:v>
      </x:c>
      <x:c r="P167" s="2" t="n">
        <x:f>MAX(0,ROUND('기준스탯 72종'!J14-X167-AF167,0))</x:f>
        <x:v>2</x:v>
      </x:c>
      <x:c r="Q167" s="2" t="n">
        <x:f>MAX(0,ROUND('기준스탯 72종'!K14-Y167-AG167,0))</x:f>
        <x:v>7</x:v>
      </x:c>
      <x:c r="R167" s="15" t="n">
        <x:f>'기준스탯 72종'!D14*G167</x:f>
        <x:v>0</x:v>
      </x:c>
      <x:c r="S167" s="15" t="n">
        <x:f>'기준스탯 72종'!E14*G167</x:f>
        <x:v>0</x:v>
      </x:c>
      <x:c r="T167" s="15" t="n">
        <x:f>'기준스탯 72종'!F14*G167</x:f>
        <x:v>0</x:v>
      </x:c>
      <x:c r="U167" s="15" t="n">
        <x:f>'기준스탯 72종'!G14*G167</x:f>
        <x:v>0</x:v>
      </x:c>
      <x:c r="V167" s="15" t="n">
        <x:f>'기준스탯 72종'!H14*G167</x:f>
        <x:v>0</x:v>
      </x:c>
      <x:c r="W167" s="15" t="n">
        <x:f>'기준스탯 72종'!I14*G167</x:f>
        <x:v>0</x:v>
      </x:c>
      <x:c r="X167" s="15" t="n">
        <x:f>'기준스탯 72종'!J14*G167</x:f>
        <x:v>0</x:v>
      </x:c>
      <x:c r="Y167" s="15" t="n">
        <x:f>'기준스탯 72종'!K14*G167</x:f>
        <x:v>0</x:v>
      </x:c>
      <x:c r="Z167" s="15" t="n">
        <x:f>'기준스탯 72종'!D14*H167</x:f>
        <x:v>1.0800000000000003</x:v>
      </x:c>
      <x:c r="AA167" s="15" t="n">
        <x:f>'기준스탯 72종'!E14*H167</x:f>
        <x:v>1.8000000000000005</x:v>
      </x:c>
      <x:c r="AB167" s="15" t="n">
        <x:f>'기준스탯 72종'!F14*H167</x:f>
        <x:v>1.6200000000000006</x:v>
      </x:c>
      <x:c r="AC167" s="15" t="n">
        <x:f>'기준스탯 72종'!G14*H167</x:f>
        <x:v>0.9000000000000002</x:v>
      </x:c>
      <x:c r="AD167" s="15" t="n">
        <x:f>'기준스탯 72종'!H14*H167</x:f>
        <x:v>0.3600000000000001</x:v>
      </x:c>
      <x:c r="AE167" s="15" t="n">
        <x:f>'기준스탯 72종'!I14*H167</x:f>
        <x:v>0.7200000000000002</x:v>
      </x:c>
      <x:c r="AF167" s="15" t="n">
        <x:f>'기준스탯 72종'!J14*H167</x:f>
        <x:v>0.3600000000000001</x:v>
      </x:c>
      <x:c r="AG167" s="15" t="n">
        <x:f>'기준스탯 72종'!K14*H167</x:f>
        <x:v>1.4400000000000004</x:v>
      </x:c>
    </x:row>
    <x:row r="168" ht="28" customHeight="1">
      <x:c r="A168" s="2" t="n">
        <x:v>161</x:v>
      </x:c>
      <x:c r="B168" s="2" t="n">
        <x:v>7</x:v>
      </x:c>
      <x:c r="C168" s="2" t="str">
        <x:v>황소자리</x:v>
      </x:c>
      <x:c r="D168" s="2" t="str">
        <x:v>기사</x:v>
      </x:c>
      <x:c r="E168" s="2" t="n">
        <x:v>1</x:v>
      </x:c>
      <x:c r="F168" s="2" t="n">
        <x:v>3</x:v>
      </x:c>
      <x:c r="G168" s="14" t="n">
        <x:f>('레벨 계산식'!$E$4-E168)*'레벨 계산식'!$B$5</x:f>
        <x:v>0.5599999999999999</x:v>
      </x:c>
      <x:c r="H168" s="14" t="n">
        <x:f>('등급 계산식'!$E$4-F168)*'등급 계산식'!$B$5</x:f>
        <x:v>0.12000000000000002</x:v>
      </x:c>
      <x:c r="I168" s="14" t="n">
        <x:f>1-G168-H168</x:f>
        <x:v>0.32000000000000006</x:v>
      </x:c>
      <x:c r="J168" s="2" t="n">
        <x:f>MAX(1,ROUND('기준스탯 72종'!D14-R168-Z168,0))</x:f>
        <x:v>2</x:v>
      </x:c>
      <x:c r="K168" s="2" t="n">
        <x:f>MAX(1,ROUND('기준스탯 72종'!E14-S168-AA168,0))</x:f>
        <x:v>3</x:v>
      </x:c>
      <x:c r="L168" s="2" t="n">
        <x:f>MAX(1,ROUND('기준스탯 72종'!F14-T168-AB168,0))</x:f>
        <x:v>3</x:v>
      </x:c>
      <x:c r="M168" s="2" t="n">
        <x:f>MAX(1,ROUND('기준스탯 72종'!G14-U168-AC168,0))</x:f>
        <x:v>2</x:v>
      </x:c>
      <x:c r="N168" s="2" t="n">
        <x:f>MAX(0,ROUND('기준스탯 72종'!H14-V168-AD168,0))</x:f>
        <x:v>1</x:v>
      </x:c>
      <x:c r="O168" s="2" t="n">
        <x:f>MAX(0,ROUND('기준스탯 72종'!I14-W168-AE168,0))</x:f>
        <x:v>1</x:v>
      </x:c>
      <x:c r="P168" s="2" t="n">
        <x:f>MAX(0,ROUND('기준스탯 72종'!J14-X168-AF168,0))</x:f>
        <x:v>1</x:v>
      </x:c>
      <x:c r="Q168" s="2" t="n">
        <x:f>MAX(0,ROUND('기준스탯 72종'!K14-Y168-AG168,0))</x:f>
        <x:v>3</x:v>
      </x:c>
      <x:c r="R168" s="15" t="n">
        <x:f>'기준스탯 72종'!D14*G168</x:f>
        <x:v>3.3599999999999994</x:v>
      </x:c>
      <x:c r="S168" s="15" t="n">
        <x:f>'기준스탯 72종'!E14*G168</x:f>
        <x:v>5.6</x:v>
      </x:c>
      <x:c r="T168" s="15" t="n">
        <x:f>'기준스탯 72종'!F14*G168</x:f>
        <x:v>5.039999999999999</x:v>
      </x:c>
      <x:c r="U168" s="15" t="n">
        <x:f>'기준스탯 72종'!G14*G168</x:f>
        <x:v>2.8</x:v>
      </x:c>
      <x:c r="V168" s="15" t="n">
        <x:f>'기준스탯 72종'!H14*G168</x:f>
        <x:v>1.1199999999999999</x:v>
      </x:c>
      <x:c r="W168" s="15" t="n">
        <x:f>'기준스탯 72종'!I14*G168</x:f>
        <x:v>2.2399999999999998</x:v>
      </x:c>
      <x:c r="X168" s="15" t="n">
        <x:f>'기준스탯 72종'!J14*G168</x:f>
        <x:v>1.1199999999999999</x:v>
      </x:c>
      <x:c r="Y168" s="15" t="n">
        <x:f>'기준스탯 72종'!K14*G168</x:f>
        <x:v>4.4799999999999995</x:v>
      </x:c>
      <x:c r="Z168" s="15" t="n">
        <x:f>'기준스탯 72종'!D14*H168</x:f>
        <x:v>0.7200000000000002</x:v>
      </x:c>
      <x:c r="AA168" s="15" t="n">
        <x:f>'기준스탯 72종'!E14*H168</x:f>
        <x:v>1.2000000000000002</x:v>
      </x:c>
      <x:c r="AB168" s="15" t="n">
        <x:f>'기준스탯 72종'!F14*H168</x:f>
        <x:v>1.0800000000000003</x:v>
      </x:c>
      <x:c r="AC168" s="15" t="n">
        <x:f>'기준스탯 72종'!G14*H168</x:f>
        <x:v>0.6000000000000001</x:v>
      </x:c>
      <x:c r="AD168" s="15" t="n">
        <x:f>'기준스탯 72종'!H14*H168</x:f>
        <x:v>0.24000000000000005</x:v>
      </x:c>
      <x:c r="AE168" s="15" t="n">
        <x:f>'기준스탯 72종'!I14*H168</x:f>
        <x:v>0.4800000000000001</x:v>
      </x:c>
      <x:c r="AF168" s="15" t="n">
        <x:f>'기준스탯 72종'!J14*H168</x:f>
        <x:v>0.24000000000000005</x:v>
      </x:c>
      <x:c r="AG168" s="15" t="n">
        <x:f>'기준스탯 72종'!K14*H168</x:f>
        <x:v>0.9600000000000002</x:v>
      </x:c>
    </x:row>
    <x:row r="169" ht="28" customHeight="1">
      <x:c r="A169" s="2" t="n">
        <x:v>162</x:v>
      </x:c>
      <x:c r="B169" s="2" t="n">
        <x:v>7</x:v>
      </x:c>
      <x:c r="C169" s="2" t="str">
        <x:v>황소자리</x:v>
      </x:c>
      <x:c r="D169" s="2" t="str">
        <x:v>기사</x:v>
      </x:c>
      <x:c r="E169" s="2" t="n">
        <x:v>2</x:v>
      </x:c>
      <x:c r="F169" s="2" t="n">
        <x:v>3</x:v>
      </x:c>
      <x:c r="G169" s="14" t="n">
        <x:f>('레벨 계산식'!$E$4-E169)*'레벨 계산식'!$B$5</x:f>
        <x:v>0.41999999999999993</x:v>
      </x:c>
      <x:c r="H169" s="14" t="n">
        <x:f>('등급 계산식'!$E$4-F169)*'등급 계산식'!$B$5</x:f>
        <x:v>0.12000000000000002</x:v>
      </x:c>
      <x:c r="I169" s="14" t="n">
        <x:f>1-G169-H169</x:f>
        <x:v>0.4600000000000001</x:v>
      </x:c>
      <x:c r="J169" s="2" t="n">
        <x:f>MAX(1,ROUND('기준스탯 72종'!D14-R169-Z169,0))</x:f>
        <x:v>3</x:v>
      </x:c>
      <x:c r="K169" s="2" t="n">
        <x:f>MAX(1,ROUND('기준스탯 72종'!E14-S169-AA169,0))</x:f>
        <x:v>5</x:v>
      </x:c>
      <x:c r="L169" s="2" t="n">
        <x:f>MAX(1,ROUND('기준스탯 72종'!F14-T169-AB169,0))</x:f>
        <x:v>4</x:v>
      </x:c>
      <x:c r="M169" s="2" t="n">
        <x:f>MAX(1,ROUND('기준스탯 72종'!G14-U169-AC169,0))</x:f>
        <x:v>2</x:v>
      </x:c>
      <x:c r="N169" s="2" t="n">
        <x:f>MAX(0,ROUND('기준스탯 72종'!H14-V169-AD169,0))</x:f>
        <x:v>1</x:v>
      </x:c>
      <x:c r="O169" s="2" t="n">
        <x:f>MAX(0,ROUND('기준스탯 72종'!I14-W169-AE169,0))</x:f>
        <x:v>2</x:v>
      </x:c>
      <x:c r="P169" s="2" t="n">
        <x:f>MAX(0,ROUND('기준스탯 72종'!J14-X169-AF169,0))</x:f>
        <x:v>1</x:v>
      </x:c>
      <x:c r="Q169" s="2" t="n">
        <x:f>MAX(0,ROUND('기준스탯 72종'!K14-Y169-AG169,0))</x:f>
        <x:v>4</x:v>
      </x:c>
      <x:c r="R169" s="15" t="n">
        <x:f>'기준스탯 72종'!D14*G169</x:f>
        <x:v>2.5199999999999996</x:v>
      </x:c>
      <x:c r="S169" s="15" t="n">
        <x:f>'기준스탯 72종'!E14*G169</x:f>
        <x:v>4.199999999999999</x:v>
      </x:c>
      <x:c r="T169" s="15" t="n">
        <x:f>'기준스탯 72종'!F14*G169</x:f>
        <x:v>3.7799999999999994</x:v>
      </x:c>
      <x:c r="U169" s="15" t="n">
        <x:f>'기준스탯 72종'!G14*G169</x:f>
        <x:v>2.0999999999999996</x:v>
      </x:c>
      <x:c r="V169" s="15" t="n">
        <x:f>'기준스탯 72종'!H14*G169</x:f>
        <x:v>0.8399999999999999</x:v>
      </x:c>
      <x:c r="W169" s="15" t="n">
        <x:f>'기준스탯 72종'!I14*G169</x:f>
        <x:v>1.6799999999999997</x:v>
      </x:c>
      <x:c r="X169" s="15" t="n">
        <x:f>'기준스탯 72종'!J14*G169</x:f>
        <x:v>0.8399999999999999</x:v>
      </x:c>
      <x:c r="Y169" s="15" t="n">
        <x:f>'기준스탯 72종'!K14*G169</x:f>
        <x:v>3.3599999999999994</x:v>
      </x:c>
      <x:c r="Z169" s="15" t="n">
        <x:f>'기준스탯 72종'!D14*H169</x:f>
        <x:v>0.7200000000000002</x:v>
      </x:c>
      <x:c r="AA169" s="15" t="n">
        <x:f>'기준스탯 72종'!E14*H169</x:f>
        <x:v>1.2000000000000002</x:v>
      </x:c>
      <x:c r="AB169" s="15" t="n">
        <x:f>'기준스탯 72종'!F14*H169</x:f>
        <x:v>1.0800000000000003</x:v>
      </x:c>
      <x:c r="AC169" s="15" t="n">
        <x:f>'기준스탯 72종'!G14*H169</x:f>
        <x:v>0.6000000000000001</x:v>
      </x:c>
      <x:c r="AD169" s="15" t="n">
        <x:f>'기준스탯 72종'!H14*H169</x:f>
        <x:v>0.24000000000000005</x:v>
      </x:c>
      <x:c r="AE169" s="15" t="n">
        <x:f>'기준스탯 72종'!I14*H169</x:f>
        <x:v>0.4800000000000001</x:v>
      </x:c>
      <x:c r="AF169" s="15" t="n">
        <x:f>'기준스탯 72종'!J14*H169</x:f>
        <x:v>0.24000000000000005</x:v>
      </x:c>
      <x:c r="AG169" s="15" t="n">
        <x:f>'기준스탯 72종'!K14*H169</x:f>
        <x:v>0.9600000000000002</x:v>
      </x:c>
    </x:row>
    <x:row r="170" ht="28" customHeight="1">
      <x:c r="A170" s="2" t="n">
        <x:v>163</x:v>
      </x:c>
      <x:c r="B170" s="2" t="n">
        <x:v>7</x:v>
      </x:c>
      <x:c r="C170" s="2" t="str">
        <x:v>황소자리</x:v>
      </x:c>
      <x:c r="D170" s="2" t="str">
        <x:v>기사</x:v>
      </x:c>
      <x:c r="E170" s="2" t="n">
        <x:v>3</x:v>
      </x:c>
      <x:c r="F170" s="2" t="n">
        <x:v>3</x:v>
      </x:c>
      <x:c r="G170" s="14" t="n">
        <x:f>('레벨 계산식'!$E$4-E170)*'레벨 계산식'!$B$5</x:f>
        <x:v>0.27999999999999997</x:v>
      </x:c>
      <x:c r="H170" s="14" t="n">
        <x:f>('등급 계산식'!$E$4-F170)*'등급 계산식'!$B$5</x:f>
        <x:v>0.12000000000000002</x:v>
      </x:c>
      <x:c r="I170" s="14" t="n">
        <x:f>1-G170-H170</x:f>
        <x:v>0.6</x:v>
      </x:c>
      <x:c r="J170" s="2" t="n">
        <x:f>MAX(1,ROUND('기준스탯 72종'!D14-R170-Z170,0))</x:f>
        <x:v>4</x:v>
      </x:c>
      <x:c r="K170" s="2" t="n">
        <x:f>MAX(1,ROUND('기준스탯 72종'!E14-S170-AA170,0))</x:f>
        <x:v>6</x:v>
      </x:c>
      <x:c r="L170" s="2" t="n">
        <x:f>MAX(1,ROUND('기준스탯 72종'!F14-T170-AB170,0))</x:f>
        <x:v>5</x:v>
      </x:c>
      <x:c r="M170" s="2" t="n">
        <x:f>MAX(1,ROUND('기준스탯 72종'!G14-U170-AC170,0))</x:f>
        <x:v>3</x:v>
      </x:c>
      <x:c r="N170" s="2" t="n">
        <x:f>MAX(0,ROUND('기준스탯 72종'!H14-V170-AD170,0))</x:f>
        <x:v>1</x:v>
      </x:c>
      <x:c r="O170" s="2" t="n">
        <x:f>MAX(0,ROUND('기준스탯 72종'!I14-W170-AE170,0))</x:f>
        <x:v>2</x:v>
      </x:c>
      <x:c r="P170" s="2" t="n">
        <x:f>MAX(0,ROUND('기준스탯 72종'!J14-X170-AF170,0))</x:f>
        <x:v>1</x:v>
      </x:c>
      <x:c r="Q170" s="2" t="n">
        <x:f>MAX(0,ROUND('기준스탯 72종'!K14-Y170-AG170,0))</x:f>
        <x:v>5</x:v>
      </x:c>
      <x:c r="R170" s="15" t="n">
        <x:f>'기준스탯 72종'!D14*G170</x:f>
        <x:v>1.6799999999999997</x:v>
      </x:c>
      <x:c r="S170" s="15" t="n">
        <x:f>'기준스탯 72종'!E14*G170</x:f>
        <x:v>2.8</x:v>
      </x:c>
      <x:c r="T170" s="15" t="n">
        <x:f>'기준스탯 72종'!F14*G170</x:f>
        <x:v>2.5199999999999996</x:v>
      </x:c>
      <x:c r="U170" s="15" t="n">
        <x:f>'기준스탯 72종'!G14*G170</x:f>
        <x:v>1.4</x:v>
      </x:c>
      <x:c r="V170" s="15" t="n">
        <x:f>'기준스탯 72종'!H14*G170</x:f>
        <x:v>0.5599999999999999</x:v>
      </x:c>
      <x:c r="W170" s="15" t="n">
        <x:f>'기준스탯 72종'!I14*G170</x:f>
        <x:v>1.1199999999999999</x:v>
      </x:c>
      <x:c r="X170" s="15" t="n">
        <x:f>'기준스탯 72종'!J14*G170</x:f>
        <x:v>0.5599999999999999</x:v>
      </x:c>
      <x:c r="Y170" s="15" t="n">
        <x:f>'기준스탯 72종'!K14*G170</x:f>
        <x:v>2.2399999999999998</x:v>
      </x:c>
      <x:c r="Z170" s="15" t="n">
        <x:f>'기준스탯 72종'!D14*H170</x:f>
        <x:v>0.7200000000000002</x:v>
      </x:c>
      <x:c r="AA170" s="15" t="n">
        <x:f>'기준스탯 72종'!E14*H170</x:f>
        <x:v>1.2000000000000002</x:v>
      </x:c>
      <x:c r="AB170" s="15" t="n">
        <x:f>'기준스탯 72종'!F14*H170</x:f>
        <x:v>1.0800000000000003</x:v>
      </x:c>
      <x:c r="AC170" s="15" t="n">
        <x:f>'기준스탯 72종'!G14*H170</x:f>
        <x:v>0.6000000000000001</x:v>
      </x:c>
      <x:c r="AD170" s="15" t="n">
        <x:f>'기준스탯 72종'!H14*H170</x:f>
        <x:v>0.24000000000000005</x:v>
      </x:c>
      <x:c r="AE170" s="15" t="n">
        <x:f>'기준스탯 72종'!I14*H170</x:f>
        <x:v>0.4800000000000001</x:v>
      </x:c>
      <x:c r="AF170" s="15" t="n">
        <x:f>'기준스탯 72종'!J14*H170</x:f>
        <x:v>0.24000000000000005</x:v>
      </x:c>
      <x:c r="AG170" s="15" t="n">
        <x:f>'기준스탯 72종'!K14*H170</x:f>
        <x:v>0.9600000000000002</x:v>
      </x:c>
    </x:row>
    <x:row r="171" ht="28" customHeight="1">
      <x:c r="A171" s="2" t="n">
        <x:v>164</x:v>
      </x:c>
      <x:c r="B171" s="2" t="n">
        <x:v>7</x:v>
      </x:c>
      <x:c r="C171" s="2" t="str">
        <x:v>황소자리</x:v>
      </x:c>
      <x:c r="D171" s="2" t="str">
        <x:v>기사</x:v>
      </x:c>
      <x:c r="E171" s="2" t="n">
        <x:v>4</x:v>
      </x:c>
      <x:c r="F171" s="2" t="n">
        <x:v>3</x:v>
      </x:c>
      <x:c r="G171" s="14" t="n">
        <x:f>('레벨 계산식'!$E$4-E171)*'레벨 계산식'!$B$5</x:f>
        <x:v>0.13999999999999999</x:v>
      </x:c>
      <x:c r="H171" s="14" t="n">
        <x:f>('등급 계산식'!$E$4-F171)*'등급 계산식'!$B$5</x:f>
        <x:v>0.12000000000000002</x:v>
      </x:c>
      <x:c r="I171" s="14" t="n">
        <x:f>1-G171-H171</x:f>
        <x:v>0.74</x:v>
      </x:c>
      <x:c r="J171" s="2" t="n">
        <x:f>MAX(1,ROUND('기준스탯 72종'!D14-R171-Z171,0))</x:f>
        <x:v>4</x:v>
      </x:c>
      <x:c r="K171" s="2" t="n">
        <x:f>MAX(1,ROUND('기준스탯 72종'!E14-S171-AA171,0))</x:f>
        <x:v>7</x:v>
      </x:c>
      <x:c r="L171" s="2" t="n">
        <x:f>MAX(1,ROUND('기준스탯 72종'!F14-T171-AB171,0))</x:f>
        <x:v>7</x:v>
      </x:c>
      <x:c r="M171" s="2" t="n">
        <x:f>MAX(1,ROUND('기준스탯 72종'!G14-U171-AC171,0))</x:f>
        <x:v>4</x:v>
      </x:c>
      <x:c r="N171" s="2" t="n">
        <x:f>MAX(0,ROUND('기준스탯 72종'!H14-V171-AD171,0))</x:f>
        <x:v>1</x:v>
      </x:c>
      <x:c r="O171" s="2" t="n">
        <x:f>MAX(0,ROUND('기준스탯 72종'!I14-W171-AE171,0))</x:f>
        <x:v>3</x:v>
      </x:c>
      <x:c r="P171" s="2" t="n">
        <x:f>MAX(0,ROUND('기준스탯 72종'!J14-X171-AF171,0))</x:f>
        <x:v>1</x:v>
      </x:c>
      <x:c r="Q171" s="2" t="n">
        <x:f>MAX(0,ROUND('기준스탯 72종'!K14-Y171-AG171,0))</x:f>
        <x:v>6</x:v>
      </x:c>
      <x:c r="R171" s="15" t="n">
        <x:f>'기준스탯 72종'!D14*G171</x:f>
        <x:v>0.8399999999999999</x:v>
      </x:c>
      <x:c r="S171" s="15" t="n">
        <x:f>'기준스탯 72종'!E14*G171</x:f>
        <x:v>1.4</x:v>
      </x:c>
      <x:c r="T171" s="15" t="n">
        <x:f>'기준스탯 72종'!F14*G171</x:f>
        <x:v>1.2599999999999998</x:v>
      </x:c>
      <x:c r="U171" s="15" t="n">
        <x:f>'기준스탯 72종'!G14*G171</x:f>
        <x:v>0.7</x:v>
      </x:c>
      <x:c r="V171" s="15" t="n">
        <x:f>'기준스탯 72종'!H14*G171</x:f>
        <x:v>0.27999999999999997</x:v>
      </x:c>
      <x:c r="W171" s="15" t="n">
        <x:f>'기준스탯 72종'!I14*G171</x:f>
        <x:v>0.5599999999999999</x:v>
      </x:c>
      <x:c r="X171" s="15" t="n">
        <x:f>'기준스탯 72종'!J14*G171</x:f>
        <x:v>0.27999999999999997</x:v>
      </x:c>
      <x:c r="Y171" s="15" t="n">
        <x:f>'기준스탯 72종'!K14*G171</x:f>
        <x:v>1.1199999999999999</x:v>
      </x:c>
      <x:c r="Z171" s="15" t="n">
        <x:f>'기준스탯 72종'!D14*H171</x:f>
        <x:v>0.7200000000000002</x:v>
      </x:c>
      <x:c r="AA171" s="15" t="n">
        <x:f>'기준스탯 72종'!E14*H171</x:f>
        <x:v>1.2000000000000002</x:v>
      </x:c>
      <x:c r="AB171" s="15" t="n">
        <x:f>'기준스탯 72종'!F14*H171</x:f>
        <x:v>1.0800000000000003</x:v>
      </x:c>
      <x:c r="AC171" s="15" t="n">
        <x:f>'기준스탯 72종'!G14*H171</x:f>
        <x:v>0.6000000000000001</x:v>
      </x:c>
      <x:c r="AD171" s="15" t="n">
        <x:f>'기준스탯 72종'!H14*H171</x:f>
        <x:v>0.24000000000000005</x:v>
      </x:c>
      <x:c r="AE171" s="15" t="n">
        <x:f>'기준스탯 72종'!I14*H171</x:f>
        <x:v>0.4800000000000001</x:v>
      </x:c>
      <x:c r="AF171" s="15" t="n">
        <x:f>'기준스탯 72종'!J14*H171</x:f>
        <x:v>0.24000000000000005</x:v>
      </x:c>
      <x:c r="AG171" s="15" t="n">
        <x:f>'기준스탯 72종'!K14*H171</x:f>
        <x:v>0.9600000000000002</x:v>
      </x:c>
    </x:row>
    <x:row r="172" ht="28" customHeight="1">
      <x:c r="A172" s="2" t="n">
        <x:v>165</x:v>
      </x:c>
      <x:c r="B172" s="2" t="n">
        <x:v>7</x:v>
      </x:c>
      <x:c r="C172" s="2" t="str">
        <x:v>황소자리</x:v>
      </x:c>
      <x:c r="D172" s="2" t="str">
        <x:v>기사</x:v>
      </x:c>
      <x:c r="E172" s="2" t="n">
        <x:v>5</x:v>
      </x:c>
      <x:c r="F172" s="2" t="n">
        <x:v>3</x:v>
      </x:c>
      <x:c r="G172" s="14" t="n">
        <x:f>('레벨 계산식'!$E$4-E172)*'레벨 계산식'!$B$5</x:f>
        <x:v>0</x:v>
      </x:c>
      <x:c r="H172" s="14" t="n">
        <x:f>('등급 계산식'!$E$4-F172)*'등급 계산식'!$B$5</x:f>
        <x:v>0.12000000000000002</x:v>
      </x:c>
      <x:c r="I172" s="14" t="n">
        <x:f>1-G172-H172</x:f>
        <x:v>0.88</x:v>
      </x:c>
      <x:c r="J172" s="2" t="n">
        <x:f>MAX(1,ROUND('기준스탯 72종'!D14-R172-Z172,0))</x:f>
        <x:v>5</x:v>
      </x:c>
      <x:c r="K172" s="2" t="n">
        <x:f>MAX(1,ROUND('기준스탯 72종'!E14-S172-AA172,0))</x:f>
        <x:v>9</x:v>
      </x:c>
      <x:c r="L172" s="2" t="n">
        <x:f>MAX(1,ROUND('기준스탯 72종'!F14-T172-AB172,0))</x:f>
        <x:v>8</x:v>
      </x:c>
      <x:c r="M172" s="2" t="n">
        <x:f>MAX(1,ROUND('기준스탯 72종'!G14-U172-AC172,0))</x:f>
        <x:v>4</x:v>
      </x:c>
      <x:c r="N172" s="2" t="n">
        <x:f>MAX(0,ROUND('기준스탯 72종'!H14-V172-AD172,0))</x:f>
        <x:v>2</x:v>
      </x:c>
      <x:c r="O172" s="2" t="n">
        <x:f>MAX(0,ROUND('기준스탯 72종'!I14-W172-AE172,0))</x:f>
        <x:v>4</x:v>
      </x:c>
      <x:c r="P172" s="2" t="n">
        <x:f>MAX(0,ROUND('기준스탯 72종'!J14-X172-AF172,0))</x:f>
        <x:v>2</x:v>
      </x:c>
      <x:c r="Q172" s="2" t="n">
        <x:f>MAX(0,ROUND('기준스탯 72종'!K14-Y172-AG172,0))</x:f>
        <x:v>7</x:v>
      </x:c>
      <x:c r="R172" s="15" t="n">
        <x:f>'기준스탯 72종'!D14*G172</x:f>
        <x:v>0</x:v>
      </x:c>
      <x:c r="S172" s="15" t="n">
        <x:f>'기준스탯 72종'!E14*G172</x:f>
        <x:v>0</x:v>
      </x:c>
      <x:c r="T172" s="15" t="n">
        <x:f>'기준스탯 72종'!F14*G172</x:f>
        <x:v>0</x:v>
      </x:c>
      <x:c r="U172" s="15" t="n">
        <x:f>'기준스탯 72종'!G14*G172</x:f>
        <x:v>0</x:v>
      </x:c>
      <x:c r="V172" s="15" t="n">
        <x:f>'기준스탯 72종'!H14*G172</x:f>
        <x:v>0</x:v>
      </x:c>
      <x:c r="W172" s="15" t="n">
        <x:f>'기준스탯 72종'!I14*G172</x:f>
        <x:v>0</x:v>
      </x:c>
      <x:c r="X172" s="15" t="n">
        <x:f>'기준스탯 72종'!J14*G172</x:f>
        <x:v>0</x:v>
      </x:c>
      <x:c r="Y172" s="15" t="n">
        <x:f>'기준스탯 72종'!K14*G172</x:f>
        <x:v>0</x:v>
      </x:c>
      <x:c r="Z172" s="15" t="n">
        <x:f>'기준스탯 72종'!D14*H172</x:f>
        <x:v>0.7200000000000002</x:v>
      </x:c>
      <x:c r="AA172" s="15" t="n">
        <x:f>'기준스탯 72종'!E14*H172</x:f>
        <x:v>1.2000000000000002</x:v>
      </x:c>
      <x:c r="AB172" s="15" t="n">
        <x:f>'기준스탯 72종'!F14*H172</x:f>
        <x:v>1.0800000000000003</x:v>
      </x:c>
      <x:c r="AC172" s="15" t="n">
        <x:f>'기준스탯 72종'!G14*H172</x:f>
        <x:v>0.6000000000000001</x:v>
      </x:c>
      <x:c r="AD172" s="15" t="n">
        <x:f>'기준스탯 72종'!H14*H172</x:f>
        <x:v>0.24000000000000005</x:v>
      </x:c>
      <x:c r="AE172" s="15" t="n">
        <x:f>'기준스탯 72종'!I14*H172</x:f>
        <x:v>0.4800000000000001</x:v>
      </x:c>
      <x:c r="AF172" s="15" t="n">
        <x:f>'기준스탯 72종'!J14*H172</x:f>
        <x:v>0.24000000000000005</x:v>
      </x:c>
      <x:c r="AG172" s="15" t="n">
        <x:f>'기준스탯 72종'!K14*H172</x:f>
        <x:v>0.9600000000000002</x:v>
      </x:c>
    </x:row>
    <x:row r="173" ht="28" customHeight="1">
      <x:c r="A173" s="2" t="n">
        <x:v>166</x:v>
      </x:c>
      <x:c r="B173" s="2" t="n">
        <x:v>7</x:v>
      </x:c>
      <x:c r="C173" s="2" t="str">
        <x:v>황소자리</x:v>
      </x:c>
      <x:c r="D173" s="2" t="str">
        <x:v>기사</x:v>
      </x:c>
      <x:c r="E173" s="2" t="n">
        <x:v>1</x:v>
      </x:c>
      <x:c r="F173" s="2" t="n">
        <x:v>4</x:v>
      </x:c>
      <x:c r="G173" s="14" t="n">
        <x:f>('레벨 계산식'!$E$4-E173)*'레벨 계산식'!$B$5</x:f>
        <x:v>0.5599999999999999</x:v>
      </x:c>
      <x:c r="H173" s="14" t="n">
        <x:f>('등급 계산식'!$E$4-F173)*'등급 계산식'!$B$5</x:f>
        <x:v>0.06000000000000001</x:v>
      </x:c>
      <x:c r="I173" s="14" t="n">
        <x:f>1-G173-H173</x:f>
        <x:v>0.38000000000000006</x:v>
      </x:c>
      <x:c r="J173" s="2" t="n">
        <x:f>MAX(1,ROUND('기준스탯 72종'!D14-R173-Z173,0))</x:f>
        <x:v>2</x:v>
      </x:c>
      <x:c r="K173" s="2" t="n">
        <x:f>MAX(1,ROUND('기준스탯 72종'!E14-S173-AA173,0))</x:f>
        <x:v>4</x:v>
      </x:c>
      <x:c r="L173" s="2" t="n">
        <x:f>MAX(1,ROUND('기준스탯 72종'!F14-T173-AB173,0))</x:f>
        <x:v>3</x:v>
      </x:c>
      <x:c r="M173" s="2" t="n">
        <x:f>MAX(1,ROUND('기준스탯 72종'!G14-U173-AC173,0))</x:f>
        <x:v>2</x:v>
      </x:c>
      <x:c r="N173" s="2" t="n">
        <x:f>MAX(0,ROUND('기준스탯 72종'!H14-V173-AD173,0))</x:f>
        <x:v>1</x:v>
      </x:c>
      <x:c r="O173" s="2" t="n">
        <x:f>MAX(0,ROUND('기준스탯 72종'!I14-W173-AE173,0))</x:f>
        <x:v>2</x:v>
      </x:c>
      <x:c r="P173" s="2" t="n">
        <x:f>MAX(0,ROUND('기준스탯 72종'!J14-X173-AF173,0))</x:f>
        <x:v>1</x:v>
      </x:c>
      <x:c r="Q173" s="2" t="n">
        <x:f>MAX(0,ROUND('기준스탯 72종'!K14-Y173-AG173,0))</x:f>
        <x:v>3</x:v>
      </x:c>
      <x:c r="R173" s="15" t="n">
        <x:f>'기준스탯 72종'!D14*G173</x:f>
        <x:v>3.3599999999999994</x:v>
      </x:c>
      <x:c r="S173" s="15" t="n">
        <x:f>'기준스탯 72종'!E14*G173</x:f>
        <x:v>5.6</x:v>
      </x:c>
      <x:c r="T173" s="15" t="n">
        <x:f>'기준스탯 72종'!F14*G173</x:f>
        <x:v>5.039999999999999</x:v>
      </x:c>
      <x:c r="U173" s="15" t="n">
        <x:f>'기준스탯 72종'!G14*G173</x:f>
        <x:v>2.8</x:v>
      </x:c>
      <x:c r="V173" s="15" t="n">
        <x:f>'기준스탯 72종'!H14*G173</x:f>
        <x:v>1.1199999999999999</x:v>
      </x:c>
      <x:c r="W173" s="15" t="n">
        <x:f>'기준스탯 72종'!I14*G173</x:f>
        <x:v>2.2399999999999998</x:v>
      </x:c>
      <x:c r="X173" s="15" t="n">
        <x:f>'기준스탯 72종'!J14*G173</x:f>
        <x:v>1.1199999999999999</x:v>
      </x:c>
      <x:c r="Y173" s="15" t="n">
        <x:f>'기준스탯 72종'!K14*G173</x:f>
        <x:v>4.4799999999999995</x:v>
      </x:c>
      <x:c r="Z173" s="15" t="n">
        <x:f>'기준스탯 72종'!D14*H173</x:f>
        <x:v>0.3600000000000001</x:v>
      </x:c>
      <x:c r="AA173" s="15" t="n">
        <x:f>'기준스탯 72종'!E14*H173</x:f>
        <x:v>0.6000000000000001</x:v>
      </x:c>
      <x:c r="AB173" s="15" t="n">
        <x:f>'기준스탯 72종'!F14*H173</x:f>
        <x:v>0.5400000000000001</x:v>
      </x:c>
      <x:c r="AC173" s="15" t="n">
        <x:f>'기준스탯 72종'!G14*H173</x:f>
        <x:v>0.30000000000000004</x:v>
      </x:c>
      <x:c r="AD173" s="15" t="n">
        <x:f>'기준스탯 72종'!H14*H173</x:f>
        <x:v>0.12000000000000002</x:v>
      </x:c>
      <x:c r="AE173" s="15" t="n">
        <x:f>'기준스탯 72종'!I14*H173</x:f>
        <x:v>0.24000000000000005</x:v>
      </x:c>
      <x:c r="AF173" s="15" t="n">
        <x:f>'기준스탯 72종'!J14*H173</x:f>
        <x:v>0.12000000000000002</x:v>
      </x:c>
      <x:c r="AG173" s="15" t="n">
        <x:f>'기준스탯 72종'!K14*H173</x:f>
        <x:v>0.4800000000000001</x:v>
      </x:c>
    </x:row>
    <x:row r="174" ht="28" customHeight="1">
      <x:c r="A174" s="2" t="n">
        <x:v>167</x:v>
      </x:c>
      <x:c r="B174" s="2" t="n">
        <x:v>7</x:v>
      </x:c>
      <x:c r="C174" s="2" t="str">
        <x:v>황소자리</x:v>
      </x:c>
      <x:c r="D174" s="2" t="str">
        <x:v>기사</x:v>
      </x:c>
      <x:c r="E174" s="2" t="n">
        <x:v>2</x:v>
      </x:c>
      <x:c r="F174" s="2" t="n">
        <x:v>4</x:v>
      </x:c>
      <x:c r="G174" s="14" t="n">
        <x:f>('레벨 계산식'!$E$4-E174)*'레벨 계산식'!$B$5</x:f>
        <x:v>0.41999999999999993</x:v>
      </x:c>
      <x:c r="H174" s="14" t="n">
        <x:f>('등급 계산식'!$E$4-F174)*'등급 계산식'!$B$5</x:f>
        <x:v>0.06000000000000001</x:v>
      </x:c>
      <x:c r="I174" s="14" t="n">
        <x:f>1-G174-H174</x:f>
        <x:v>0.52</x:v>
      </x:c>
      <x:c r="J174" s="2" t="n">
        <x:f>MAX(1,ROUND('기준스탯 72종'!D14-R174-Z174,0))</x:f>
        <x:v>3</x:v>
      </x:c>
      <x:c r="K174" s="2" t="n">
        <x:f>MAX(1,ROUND('기준스탯 72종'!E14-S174-AA174,0))</x:f>
        <x:v>5</x:v>
      </x:c>
      <x:c r="L174" s="2" t="n">
        <x:f>MAX(1,ROUND('기준스탯 72종'!F14-T174-AB174,0))</x:f>
        <x:v>5</x:v>
      </x:c>
      <x:c r="M174" s="2" t="n">
        <x:f>MAX(1,ROUND('기준스탯 72종'!G14-U174-AC174,0))</x:f>
        <x:v>3</x:v>
      </x:c>
      <x:c r="N174" s="2" t="n">
        <x:f>MAX(0,ROUND('기준스탯 72종'!H14-V174-AD174,0))</x:f>
        <x:v>1</x:v>
      </x:c>
      <x:c r="O174" s="2" t="n">
        <x:f>MAX(0,ROUND('기준스탯 72종'!I14-W174-AE174,0))</x:f>
        <x:v>2</x:v>
      </x:c>
      <x:c r="P174" s="2" t="n">
        <x:f>MAX(0,ROUND('기준스탯 72종'!J14-X174-AF174,0))</x:f>
        <x:v>1</x:v>
      </x:c>
      <x:c r="Q174" s="2" t="n">
        <x:f>MAX(0,ROUND('기준스탯 72종'!K14-Y174-AG174,0))</x:f>
        <x:v>4</x:v>
      </x:c>
      <x:c r="R174" s="15" t="n">
        <x:f>'기준스탯 72종'!D14*G174</x:f>
        <x:v>2.5199999999999996</x:v>
      </x:c>
      <x:c r="S174" s="15" t="n">
        <x:f>'기준스탯 72종'!E14*G174</x:f>
        <x:v>4.199999999999999</x:v>
      </x:c>
      <x:c r="T174" s="15" t="n">
        <x:f>'기준스탯 72종'!F14*G174</x:f>
        <x:v>3.7799999999999994</x:v>
      </x:c>
      <x:c r="U174" s="15" t="n">
        <x:f>'기준스탯 72종'!G14*G174</x:f>
        <x:v>2.0999999999999996</x:v>
      </x:c>
      <x:c r="V174" s="15" t="n">
        <x:f>'기준스탯 72종'!H14*G174</x:f>
        <x:v>0.8399999999999999</x:v>
      </x:c>
      <x:c r="W174" s="15" t="n">
        <x:f>'기준스탯 72종'!I14*G174</x:f>
        <x:v>1.6799999999999997</x:v>
      </x:c>
      <x:c r="X174" s="15" t="n">
        <x:f>'기준스탯 72종'!J14*G174</x:f>
        <x:v>0.8399999999999999</x:v>
      </x:c>
      <x:c r="Y174" s="15" t="n">
        <x:f>'기준스탯 72종'!K14*G174</x:f>
        <x:v>3.3599999999999994</x:v>
      </x:c>
      <x:c r="Z174" s="15" t="n">
        <x:f>'기준스탯 72종'!D14*H174</x:f>
        <x:v>0.3600000000000001</x:v>
      </x:c>
      <x:c r="AA174" s="15" t="n">
        <x:f>'기준스탯 72종'!E14*H174</x:f>
        <x:v>0.6000000000000001</x:v>
      </x:c>
      <x:c r="AB174" s="15" t="n">
        <x:f>'기준스탯 72종'!F14*H174</x:f>
        <x:v>0.5400000000000001</x:v>
      </x:c>
      <x:c r="AC174" s="15" t="n">
        <x:f>'기준스탯 72종'!G14*H174</x:f>
        <x:v>0.30000000000000004</x:v>
      </x:c>
      <x:c r="AD174" s="15" t="n">
        <x:f>'기준스탯 72종'!H14*H174</x:f>
        <x:v>0.12000000000000002</x:v>
      </x:c>
      <x:c r="AE174" s="15" t="n">
        <x:f>'기준스탯 72종'!I14*H174</x:f>
        <x:v>0.24000000000000005</x:v>
      </x:c>
      <x:c r="AF174" s="15" t="n">
        <x:f>'기준스탯 72종'!J14*H174</x:f>
        <x:v>0.12000000000000002</x:v>
      </x:c>
      <x:c r="AG174" s="15" t="n">
        <x:f>'기준스탯 72종'!K14*H174</x:f>
        <x:v>0.4800000000000001</x:v>
      </x:c>
    </x:row>
    <x:row r="175" ht="28" customHeight="1">
      <x:c r="A175" s="2" t="n">
        <x:v>168</x:v>
      </x:c>
      <x:c r="B175" s="2" t="n">
        <x:v>7</x:v>
      </x:c>
      <x:c r="C175" s="2" t="str">
        <x:v>황소자리</x:v>
      </x:c>
      <x:c r="D175" s="2" t="str">
        <x:v>기사</x:v>
      </x:c>
      <x:c r="E175" s="2" t="n">
        <x:v>3</x:v>
      </x:c>
      <x:c r="F175" s="2" t="n">
        <x:v>4</x:v>
      </x:c>
      <x:c r="G175" s="14" t="n">
        <x:f>('레벨 계산식'!$E$4-E175)*'레벨 계산식'!$B$5</x:f>
        <x:v>0.27999999999999997</x:v>
      </x:c>
      <x:c r="H175" s="14" t="n">
        <x:f>('등급 계산식'!$E$4-F175)*'등급 계산식'!$B$5</x:f>
        <x:v>0.06000000000000001</x:v>
      </x:c>
      <x:c r="I175" s="14" t="n">
        <x:f>1-G175-H175</x:f>
        <x:v>0.6599999999999999</x:v>
      </x:c>
      <x:c r="J175" s="2" t="n">
        <x:f>MAX(1,ROUND('기준스탯 72종'!D14-R175-Z175,0))</x:f>
        <x:v>4</x:v>
      </x:c>
      <x:c r="K175" s="2" t="n">
        <x:f>MAX(1,ROUND('기준스탯 72종'!E14-S175-AA175,0))</x:f>
        <x:v>7</x:v>
      </x:c>
      <x:c r="L175" s="2" t="n">
        <x:f>MAX(1,ROUND('기준스탯 72종'!F14-T175-AB175,0))</x:f>
        <x:v>6</x:v>
      </x:c>
      <x:c r="M175" s="2" t="n">
        <x:f>MAX(1,ROUND('기준스탯 72종'!G14-U175-AC175,0))</x:f>
        <x:v>3</x:v>
      </x:c>
      <x:c r="N175" s="2" t="n">
        <x:f>MAX(0,ROUND('기준스탯 72종'!H14-V175-AD175,0))</x:f>
        <x:v>1</x:v>
      </x:c>
      <x:c r="O175" s="2" t="n">
        <x:f>MAX(0,ROUND('기준스탯 72종'!I14-W175-AE175,0))</x:f>
        <x:v>3</x:v>
      </x:c>
      <x:c r="P175" s="2" t="n">
        <x:f>MAX(0,ROUND('기준스탯 72종'!J14-X175-AF175,0))</x:f>
        <x:v>1</x:v>
      </x:c>
      <x:c r="Q175" s="2" t="n">
        <x:f>MAX(0,ROUND('기준스탯 72종'!K14-Y175-AG175,0))</x:f>
        <x:v>5</x:v>
      </x:c>
      <x:c r="R175" s="15" t="n">
        <x:f>'기준스탯 72종'!D14*G175</x:f>
        <x:v>1.6799999999999997</x:v>
      </x:c>
      <x:c r="S175" s="15" t="n">
        <x:f>'기준스탯 72종'!E14*G175</x:f>
        <x:v>2.8</x:v>
      </x:c>
      <x:c r="T175" s="15" t="n">
        <x:f>'기준스탯 72종'!F14*G175</x:f>
        <x:v>2.5199999999999996</x:v>
      </x:c>
      <x:c r="U175" s="15" t="n">
        <x:f>'기준스탯 72종'!G14*G175</x:f>
        <x:v>1.4</x:v>
      </x:c>
      <x:c r="V175" s="15" t="n">
        <x:f>'기준스탯 72종'!H14*G175</x:f>
        <x:v>0.5599999999999999</x:v>
      </x:c>
      <x:c r="W175" s="15" t="n">
        <x:f>'기준스탯 72종'!I14*G175</x:f>
        <x:v>1.1199999999999999</x:v>
      </x:c>
      <x:c r="X175" s="15" t="n">
        <x:f>'기준스탯 72종'!J14*G175</x:f>
        <x:v>0.5599999999999999</x:v>
      </x:c>
      <x:c r="Y175" s="15" t="n">
        <x:f>'기준스탯 72종'!K14*G175</x:f>
        <x:v>2.2399999999999998</x:v>
      </x:c>
      <x:c r="Z175" s="15" t="n">
        <x:f>'기준스탯 72종'!D14*H175</x:f>
        <x:v>0.3600000000000001</x:v>
      </x:c>
      <x:c r="AA175" s="15" t="n">
        <x:f>'기준스탯 72종'!E14*H175</x:f>
        <x:v>0.6000000000000001</x:v>
      </x:c>
      <x:c r="AB175" s="15" t="n">
        <x:f>'기준스탯 72종'!F14*H175</x:f>
        <x:v>0.5400000000000001</x:v>
      </x:c>
      <x:c r="AC175" s="15" t="n">
        <x:f>'기준스탯 72종'!G14*H175</x:f>
        <x:v>0.30000000000000004</x:v>
      </x:c>
      <x:c r="AD175" s="15" t="n">
        <x:f>'기준스탯 72종'!H14*H175</x:f>
        <x:v>0.12000000000000002</x:v>
      </x:c>
      <x:c r="AE175" s="15" t="n">
        <x:f>'기준스탯 72종'!I14*H175</x:f>
        <x:v>0.24000000000000005</x:v>
      </x:c>
      <x:c r="AF175" s="15" t="n">
        <x:f>'기준스탯 72종'!J14*H175</x:f>
        <x:v>0.12000000000000002</x:v>
      </x:c>
      <x:c r="AG175" s="15" t="n">
        <x:f>'기준스탯 72종'!K14*H175</x:f>
        <x:v>0.4800000000000001</x:v>
      </x:c>
    </x:row>
    <x:row r="176" ht="28" customHeight="1">
      <x:c r="A176" s="2" t="n">
        <x:v>169</x:v>
      </x:c>
      <x:c r="B176" s="2" t="n">
        <x:v>7</x:v>
      </x:c>
      <x:c r="C176" s="2" t="str">
        <x:v>황소자리</x:v>
      </x:c>
      <x:c r="D176" s="2" t="str">
        <x:v>기사</x:v>
      </x:c>
      <x:c r="E176" s="2" t="n">
        <x:v>4</x:v>
      </x:c>
      <x:c r="F176" s="2" t="n">
        <x:v>4</x:v>
      </x:c>
      <x:c r="G176" s="14" t="n">
        <x:f>('레벨 계산식'!$E$4-E176)*'레벨 계산식'!$B$5</x:f>
        <x:v>0.13999999999999999</x:v>
      </x:c>
      <x:c r="H176" s="14" t="n">
        <x:f>('등급 계산식'!$E$4-F176)*'등급 계산식'!$B$5</x:f>
        <x:v>0.06000000000000001</x:v>
      </x:c>
      <x:c r="I176" s="14" t="n">
        <x:f>1-G176-H176</x:f>
        <x:v>0.7999999999999999</x:v>
      </x:c>
      <x:c r="J176" s="2" t="n">
        <x:f>MAX(1,ROUND('기준스탯 72종'!D14-R176-Z176,0))</x:f>
        <x:v>5</x:v>
      </x:c>
      <x:c r="K176" s="2" t="n">
        <x:f>MAX(1,ROUND('기준스탯 72종'!E14-S176-AA176,0))</x:f>
        <x:v>8</x:v>
      </x:c>
      <x:c r="L176" s="2" t="n">
        <x:f>MAX(1,ROUND('기준스탯 72종'!F14-T176-AB176,0))</x:f>
        <x:v>7</x:v>
      </x:c>
      <x:c r="M176" s="2" t="n">
        <x:f>MAX(1,ROUND('기준스탯 72종'!G14-U176-AC176,0))</x:f>
        <x:v>4</x:v>
      </x:c>
      <x:c r="N176" s="2" t="n">
        <x:f>MAX(0,ROUND('기준스탯 72종'!H14-V176-AD176,0))</x:f>
        <x:v>2</x:v>
      </x:c>
      <x:c r="O176" s="2" t="n">
        <x:f>MAX(0,ROUND('기준스탯 72종'!I14-W176-AE176,0))</x:f>
        <x:v>3</x:v>
      </x:c>
      <x:c r="P176" s="2" t="n">
        <x:f>MAX(0,ROUND('기준스탯 72종'!J14-X176-AF176,0))</x:f>
        <x:v>2</x:v>
      </x:c>
      <x:c r="Q176" s="2" t="n">
        <x:f>MAX(0,ROUND('기준스탯 72종'!K14-Y176-AG176,0))</x:f>
        <x:v>6</x:v>
      </x:c>
      <x:c r="R176" s="15" t="n">
        <x:f>'기준스탯 72종'!D14*G176</x:f>
        <x:v>0.8399999999999999</x:v>
      </x:c>
      <x:c r="S176" s="15" t="n">
        <x:f>'기준스탯 72종'!E14*G176</x:f>
        <x:v>1.4</x:v>
      </x:c>
      <x:c r="T176" s="15" t="n">
        <x:f>'기준스탯 72종'!F14*G176</x:f>
        <x:v>1.2599999999999998</x:v>
      </x:c>
      <x:c r="U176" s="15" t="n">
        <x:f>'기준스탯 72종'!G14*G176</x:f>
        <x:v>0.7</x:v>
      </x:c>
      <x:c r="V176" s="15" t="n">
        <x:f>'기준스탯 72종'!H14*G176</x:f>
        <x:v>0.27999999999999997</x:v>
      </x:c>
      <x:c r="W176" s="15" t="n">
        <x:f>'기준스탯 72종'!I14*G176</x:f>
        <x:v>0.5599999999999999</x:v>
      </x:c>
      <x:c r="X176" s="15" t="n">
        <x:f>'기준스탯 72종'!J14*G176</x:f>
        <x:v>0.27999999999999997</x:v>
      </x:c>
      <x:c r="Y176" s="15" t="n">
        <x:f>'기준스탯 72종'!K14*G176</x:f>
        <x:v>1.1199999999999999</x:v>
      </x:c>
      <x:c r="Z176" s="15" t="n">
        <x:f>'기준스탯 72종'!D14*H176</x:f>
        <x:v>0.3600000000000001</x:v>
      </x:c>
      <x:c r="AA176" s="15" t="n">
        <x:f>'기준스탯 72종'!E14*H176</x:f>
        <x:v>0.6000000000000001</x:v>
      </x:c>
      <x:c r="AB176" s="15" t="n">
        <x:f>'기준스탯 72종'!F14*H176</x:f>
        <x:v>0.5400000000000001</x:v>
      </x:c>
      <x:c r="AC176" s="15" t="n">
        <x:f>'기준스탯 72종'!G14*H176</x:f>
        <x:v>0.30000000000000004</x:v>
      </x:c>
      <x:c r="AD176" s="15" t="n">
        <x:f>'기준스탯 72종'!H14*H176</x:f>
        <x:v>0.12000000000000002</x:v>
      </x:c>
      <x:c r="AE176" s="15" t="n">
        <x:f>'기준스탯 72종'!I14*H176</x:f>
        <x:v>0.24000000000000005</x:v>
      </x:c>
      <x:c r="AF176" s="15" t="n">
        <x:f>'기준스탯 72종'!J14*H176</x:f>
        <x:v>0.12000000000000002</x:v>
      </x:c>
      <x:c r="AG176" s="15" t="n">
        <x:f>'기준스탯 72종'!K14*H176</x:f>
        <x:v>0.4800000000000001</x:v>
      </x:c>
    </x:row>
    <x:row r="177" ht="28" customHeight="1">
      <x:c r="A177" s="2" t="n">
        <x:v>170</x:v>
      </x:c>
      <x:c r="B177" s="2" t="n">
        <x:v>7</x:v>
      </x:c>
      <x:c r="C177" s="2" t="str">
        <x:v>황소자리</x:v>
      </x:c>
      <x:c r="D177" s="2" t="str">
        <x:v>기사</x:v>
      </x:c>
      <x:c r="E177" s="2" t="n">
        <x:v>5</x:v>
      </x:c>
      <x:c r="F177" s="2" t="n">
        <x:v>4</x:v>
      </x:c>
      <x:c r="G177" s="14" t="n">
        <x:f>('레벨 계산식'!$E$4-E177)*'레벨 계산식'!$B$5</x:f>
        <x:v>0</x:v>
      </x:c>
      <x:c r="H177" s="14" t="n">
        <x:f>('등급 계산식'!$E$4-F177)*'등급 계산식'!$B$5</x:f>
        <x:v>0.06000000000000001</x:v>
      </x:c>
      <x:c r="I177" s="14" t="n">
        <x:f>1-G177-H177</x:f>
        <x:v>0.94</x:v>
      </x:c>
      <x:c r="J177" s="2" t="n">
        <x:f>MAX(1,ROUND('기준스탯 72종'!D14-R177-Z177,0))</x:f>
        <x:v>6</x:v>
      </x:c>
      <x:c r="K177" s="2" t="n">
        <x:f>MAX(1,ROUND('기준스탯 72종'!E14-S177-AA177,0))</x:f>
        <x:v>9</x:v>
      </x:c>
      <x:c r="L177" s="2" t="n">
        <x:f>MAX(1,ROUND('기준스탯 72종'!F14-T177-AB177,0))</x:f>
        <x:v>8</x:v>
      </x:c>
      <x:c r="M177" s="2" t="n">
        <x:f>MAX(1,ROUND('기준스탯 72종'!G14-U177-AC177,0))</x:f>
        <x:v>5</x:v>
      </x:c>
      <x:c r="N177" s="2" t="n">
        <x:f>MAX(0,ROUND('기준스탯 72종'!H14-V177-AD177,0))</x:f>
        <x:v>2</x:v>
      </x:c>
      <x:c r="O177" s="2" t="n">
        <x:f>MAX(0,ROUND('기준스탯 72종'!I14-W177-AE177,0))</x:f>
        <x:v>4</x:v>
      </x:c>
      <x:c r="P177" s="2" t="n">
        <x:f>MAX(0,ROUND('기준스탯 72종'!J14-X177-AF177,0))</x:f>
        <x:v>2</x:v>
      </x:c>
      <x:c r="Q177" s="2" t="n">
        <x:f>MAX(0,ROUND('기준스탯 72종'!K14-Y177-AG177,0))</x:f>
        <x:v>8</x:v>
      </x:c>
      <x:c r="R177" s="15" t="n">
        <x:f>'기준스탯 72종'!D14*G177</x:f>
        <x:v>0</x:v>
      </x:c>
      <x:c r="S177" s="15" t="n">
        <x:f>'기준스탯 72종'!E14*G177</x:f>
        <x:v>0</x:v>
      </x:c>
      <x:c r="T177" s="15" t="n">
        <x:f>'기준스탯 72종'!F14*G177</x:f>
        <x:v>0</x:v>
      </x:c>
      <x:c r="U177" s="15" t="n">
        <x:f>'기준스탯 72종'!G14*G177</x:f>
        <x:v>0</x:v>
      </x:c>
      <x:c r="V177" s="15" t="n">
        <x:f>'기준스탯 72종'!H14*G177</x:f>
        <x:v>0</x:v>
      </x:c>
      <x:c r="W177" s="15" t="n">
        <x:f>'기준스탯 72종'!I14*G177</x:f>
        <x:v>0</x:v>
      </x:c>
      <x:c r="X177" s="15" t="n">
        <x:f>'기준스탯 72종'!J14*G177</x:f>
        <x:v>0</x:v>
      </x:c>
      <x:c r="Y177" s="15" t="n">
        <x:f>'기준스탯 72종'!K14*G177</x:f>
        <x:v>0</x:v>
      </x:c>
      <x:c r="Z177" s="15" t="n">
        <x:f>'기준스탯 72종'!D14*H177</x:f>
        <x:v>0.3600000000000001</x:v>
      </x:c>
      <x:c r="AA177" s="15" t="n">
        <x:f>'기준스탯 72종'!E14*H177</x:f>
        <x:v>0.6000000000000001</x:v>
      </x:c>
      <x:c r="AB177" s="15" t="n">
        <x:f>'기준스탯 72종'!F14*H177</x:f>
        <x:v>0.5400000000000001</x:v>
      </x:c>
      <x:c r="AC177" s="15" t="n">
        <x:f>'기준스탯 72종'!G14*H177</x:f>
        <x:v>0.30000000000000004</x:v>
      </x:c>
      <x:c r="AD177" s="15" t="n">
        <x:f>'기준스탯 72종'!H14*H177</x:f>
        <x:v>0.12000000000000002</x:v>
      </x:c>
      <x:c r="AE177" s="15" t="n">
        <x:f>'기준스탯 72종'!I14*H177</x:f>
        <x:v>0.24000000000000005</x:v>
      </x:c>
      <x:c r="AF177" s="15" t="n">
        <x:f>'기준스탯 72종'!J14*H177</x:f>
        <x:v>0.12000000000000002</x:v>
      </x:c>
      <x:c r="AG177" s="15" t="n">
        <x:f>'기준스탯 72종'!K14*H177</x:f>
        <x:v>0.4800000000000001</x:v>
      </x:c>
    </x:row>
    <x:row r="178" ht="28" customHeight="1">
      <x:c r="A178" s="2" t="n">
        <x:v>171</x:v>
      </x:c>
      <x:c r="B178" s="2" t="n">
        <x:v>7</x:v>
      </x:c>
      <x:c r="C178" s="2" t="str">
        <x:v>황소자리</x:v>
      </x:c>
      <x:c r="D178" s="2" t="str">
        <x:v>기사</x:v>
      </x:c>
      <x:c r="E178" s="2" t="n">
        <x:v>1</x:v>
      </x:c>
      <x:c r="F178" s="2" t="n">
        <x:v>5</x:v>
      </x:c>
      <x:c r="G178" s="14" t="n">
        <x:f>('레벨 계산식'!$E$4-E178)*'레벨 계산식'!$B$5</x:f>
        <x:v>0.5599999999999999</x:v>
      </x:c>
      <x:c r="H178" s="14" t="n">
        <x:f>('등급 계산식'!$E$4-F178)*'등급 계산식'!$B$5</x:f>
        <x:v>0</x:v>
      </x:c>
      <x:c r="I178" s="14" t="n">
        <x:f>1-G178-H178</x:f>
        <x:v>0.44000000000000006</x:v>
      </x:c>
      <x:c r="J178" s="2" t="n">
        <x:f>MAX(1,ROUND('기준스탯 72종'!D14-R178-Z178,0))</x:f>
        <x:v>3</x:v>
      </x:c>
      <x:c r="K178" s="2" t="n">
        <x:f>MAX(1,ROUND('기준스탯 72종'!E14-S178-AA178,0))</x:f>
        <x:v>4</x:v>
      </x:c>
      <x:c r="L178" s="2" t="n">
        <x:f>MAX(1,ROUND('기준스탯 72종'!F14-T178-AB178,0))</x:f>
        <x:v>4</x:v>
      </x:c>
      <x:c r="M178" s="2" t="n">
        <x:f>MAX(1,ROUND('기준스탯 72종'!G14-U178-AC178,0))</x:f>
        <x:v>2</x:v>
      </x:c>
      <x:c r="N178" s="2" t="n">
        <x:f>MAX(0,ROUND('기준스탯 72종'!H14-V178-AD178,0))</x:f>
        <x:v>1</x:v>
      </x:c>
      <x:c r="O178" s="2" t="n">
        <x:f>MAX(0,ROUND('기준스탯 72종'!I14-W178-AE178,0))</x:f>
        <x:v>2</x:v>
      </x:c>
      <x:c r="P178" s="2" t="n">
        <x:f>MAX(0,ROUND('기준스탯 72종'!J14-X178-AF178,0))</x:f>
        <x:v>1</x:v>
      </x:c>
      <x:c r="Q178" s="2" t="n">
        <x:f>MAX(0,ROUND('기준스탯 72종'!K14-Y178-AG178,0))</x:f>
        <x:v>4</x:v>
      </x:c>
      <x:c r="R178" s="15" t="n">
        <x:f>'기준스탯 72종'!D14*G178</x:f>
        <x:v>3.3599999999999994</x:v>
      </x:c>
      <x:c r="S178" s="15" t="n">
        <x:f>'기준스탯 72종'!E14*G178</x:f>
        <x:v>5.6</x:v>
      </x:c>
      <x:c r="T178" s="15" t="n">
        <x:f>'기준스탯 72종'!F14*G178</x:f>
        <x:v>5.039999999999999</x:v>
      </x:c>
      <x:c r="U178" s="15" t="n">
        <x:f>'기준스탯 72종'!G14*G178</x:f>
        <x:v>2.8</x:v>
      </x:c>
      <x:c r="V178" s="15" t="n">
        <x:f>'기준스탯 72종'!H14*G178</x:f>
        <x:v>1.1199999999999999</x:v>
      </x:c>
      <x:c r="W178" s="15" t="n">
        <x:f>'기준스탯 72종'!I14*G178</x:f>
        <x:v>2.2399999999999998</x:v>
      </x:c>
      <x:c r="X178" s="15" t="n">
        <x:f>'기준스탯 72종'!J14*G178</x:f>
        <x:v>1.1199999999999999</x:v>
      </x:c>
      <x:c r="Y178" s="15" t="n">
        <x:f>'기준스탯 72종'!K14*G178</x:f>
        <x:v>4.4799999999999995</x:v>
      </x:c>
      <x:c r="Z178" s="15" t="n">
        <x:f>'기준스탯 72종'!D14*H178</x:f>
        <x:v>0</x:v>
      </x:c>
      <x:c r="AA178" s="15" t="n">
        <x:f>'기준스탯 72종'!E14*H178</x:f>
        <x:v>0</x:v>
      </x:c>
      <x:c r="AB178" s="15" t="n">
        <x:f>'기준스탯 72종'!F14*H178</x:f>
        <x:v>0</x:v>
      </x:c>
      <x:c r="AC178" s="15" t="n">
        <x:f>'기준스탯 72종'!G14*H178</x:f>
        <x:v>0</x:v>
      </x:c>
      <x:c r="AD178" s="15" t="n">
        <x:f>'기준스탯 72종'!H14*H178</x:f>
        <x:v>0</x:v>
      </x:c>
      <x:c r="AE178" s="15" t="n">
        <x:f>'기준스탯 72종'!I14*H178</x:f>
        <x:v>0</x:v>
      </x:c>
      <x:c r="AF178" s="15" t="n">
        <x:f>'기준스탯 72종'!J14*H178</x:f>
        <x:v>0</x:v>
      </x:c>
      <x:c r="AG178" s="15" t="n">
        <x:f>'기준스탯 72종'!K14*H178</x:f>
        <x:v>0</x:v>
      </x:c>
    </x:row>
    <x:row r="179" ht="28" customHeight="1">
      <x:c r="A179" s="2" t="n">
        <x:v>172</x:v>
      </x:c>
      <x:c r="B179" s="2" t="n">
        <x:v>7</x:v>
      </x:c>
      <x:c r="C179" s="2" t="str">
        <x:v>황소자리</x:v>
      </x:c>
      <x:c r="D179" s="2" t="str">
        <x:v>기사</x:v>
      </x:c>
      <x:c r="E179" s="2" t="n">
        <x:v>2</x:v>
      </x:c>
      <x:c r="F179" s="2" t="n">
        <x:v>5</x:v>
      </x:c>
      <x:c r="G179" s="14" t="n">
        <x:f>('레벨 계산식'!$E$4-E179)*'레벨 계산식'!$B$5</x:f>
        <x:v>0.41999999999999993</x:v>
      </x:c>
      <x:c r="H179" s="14" t="n">
        <x:f>('등급 계산식'!$E$4-F179)*'등급 계산식'!$B$5</x:f>
        <x:v>0</x:v>
      </x:c>
      <x:c r="I179" s="14" t="n">
        <x:f>1-G179-H179</x:f>
        <x:v>0.5800000000000001</x:v>
      </x:c>
      <x:c r="J179" s="2" t="n">
        <x:f>MAX(1,ROUND('기준스탯 72종'!D14-R179-Z179,0))</x:f>
        <x:v>3</x:v>
      </x:c>
      <x:c r="K179" s="2" t="n">
        <x:f>MAX(1,ROUND('기준스탯 72종'!E14-S179-AA179,0))</x:f>
        <x:v>6</x:v>
      </x:c>
      <x:c r="L179" s="2" t="n">
        <x:f>MAX(1,ROUND('기준스탯 72종'!F14-T179-AB179,0))</x:f>
        <x:v>5</x:v>
      </x:c>
      <x:c r="M179" s="2" t="n">
        <x:f>MAX(1,ROUND('기준스탯 72종'!G14-U179-AC179,0))</x:f>
        <x:v>3</x:v>
      </x:c>
      <x:c r="N179" s="2" t="n">
        <x:f>MAX(0,ROUND('기준스탯 72종'!H14-V179-AD179,0))</x:f>
        <x:v>1</x:v>
      </x:c>
      <x:c r="O179" s="2" t="n">
        <x:f>MAX(0,ROUND('기준스탯 72종'!I14-W179-AE179,0))</x:f>
        <x:v>2</x:v>
      </x:c>
      <x:c r="P179" s="2" t="n">
        <x:f>MAX(0,ROUND('기준스탯 72종'!J14-X179-AF179,0))</x:f>
        <x:v>1</x:v>
      </x:c>
      <x:c r="Q179" s="2" t="n">
        <x:f>MAX(0,ROUND('기준스탯 72종'!K14-Y179-AG179,0))</x:f>
        <x:v>5</x:v>
      </x:c>
      <x:c r="R179" s="15" t="n">
        <x:f>'기준스탯 72종'!D14*G179</x:f>
        <x:v>2.5199999999999996</x:v>
      </x:c>
      <x:c r="S179" s="15" t="n">
        <x:f>'기준스탯 72종'!E14*G179</x:f>
        <x:v>4.199999999999999</x:v>
      </x:c>
      <x:c r="T179" s="15" t="n">
        <x:f>'기준스탯 72종'!F14*G179</x:f>
        <x:v>3.7799999999999994</x:v>
      </x:c>
      <x:c r="U179" s="15" t="n">
        <x:f>'기준스탯 72종'!G14*G179</x:f>
        <x:v>2.0999999999999996</x:v>
      </x:c>
      <x:c r="V179" s="15" t="n">
        <x:f>'기준스탯 72종'!H14*G179</x:f>
        <x:v>0.8399999999999999</x:v>
      </x:c>
      <x:c r="W179" s="15" t="n">
        <x:f>'기준스탯 72종'!I14*G179</x:f>
        <x:v>1.6799999999999997</x:v>
      </x:c>
      <x:c r="X179" s="15" t="n">
        <x:f>'기준스탯 72종'!J14*G179</x:f>
        <x:v>0.8399999999999999</x:v>
      </x:c>
      <x:c r="Y179" s="15" t="n">
        <x:f>'기준스탯 72종'!K14*G179</x:f>
        <x:v>3.3599999999999994</x:v>
      </x:c>
      <x:c r="Z179" s="15" t="n">
        <x:f>'기준스탯 72종'!D14*H179</x:f>
        <x:v>0</x:v>
      </x:c>
      <x:c r="AA179" s="15" t="n">
        <x:f>'기준스탯 72종'!E14*H179</x:f>
        <x:v>0</x:v>
      </x:c>
      <x:c r="AB179" s="15" t="n">
        <x:f>'기준스탯 72종'!F14*H179</x:f>
        <x:v>0</x:v>
      </x:c>
      <x:c r="AC179" s="15" t="n">
        <x:f>'기준스탯 72종'!G14*H179</x:f>
        <x:v>0</x:v>
      </x:c>
      <x:c r="AD179" s="15" t="n">
        <x:f>'기준스탯 72종'!H14*H179</x:f>
        <x:v>0</x:v>
      </x:c>
      <x:c r="AE179" s="15" t="n">
        <x:f>'기준스탯 72종'!I14*H179</x:f>
        <x:v>0</x:v>
      </x:c>
      <x:c r="AF179" s="15" t="n">
        <x:f>'기준스탯 72종'!J14*H179</x:f>
        <x:v>0</x:v>
      </x:c>
      <x:c r="AG179" s="15" t="n">
        <x:f>'기준스탯 72종'!K14*H179</x:f>
        <x:v>0</x:v>
      </x:c>
    </x:row>
    <x:row r="180" ht="28" customHeight="1">
      <x:c r="A180" s="2" t="n">
        <x:v>173</x:v>
      </x:c>
      <x:c r="B180" s="2" t="n">
        <x:v>7</x:v>
      </x:c>
      <x:c r="C180" s="2" t="str">
        <x:v>황소자리</x:v>
      </x:c>
      <x:c r="D180" s="2" t="str">
        <x:v>기사</x:v>
      </x:c>
      <x:c r="E180" s="2" t="n">
        <x:v>3</x:v>
      </x:c>
      <x:c r="F180" s="2" t="n">
        <x:v>5</x:v>
      </x:c>
      <x:c r="G180" s="14" t="n">
        <x:f>('레벨 계산식'!$E$4-E180)*'레벨 계산식'!$B$5</x:f>
        <x:v>0.27999999999999997</x:v>
      </x:c>
      <x:c r="H180" s="14" t="n">
        <x:f>('등급 계산식'!$E$4-F180)*'등급 계산식'!$B$5</x:f>
        <x:v>0</x:v>
      </x:c>
      <x:c r="I180" s="14" t="n">
        <x:f>1-G180-H180</x:f>
        <x:v>0.72</x:v>
      </x:c>
      <x:c r="J180" s="2" t="n">
        <x:f>MAX(1,ROUND('기준스탯 72종'!D14-R180-Z180,0))</x:f>
        <x:v>4</x:v>
      </x:c>
      <x:c r="K180" s="2" t="n">
        <x:f>MAX(1,ROUND('기준스탯 72종'!E14-S180-AA180,0))</x:f>
        <x:v>7</x:v>
      </x:c>
      <x:c r="L180" s="2" t="n">
        <x:f>MAX(1,ROUND('기준스탯 72종'!F14-T180-AB180,0))</x:f>
        <x:v>6</x:v>
      </x:c>
      <x:c r="M180" s="2" t="n">
        <x:f>MAX(1,ROUND('기준스탯 72종'!G14-U180-AC180,0))</x:f>
        <x:v>4</x:v>
      </x:c>
      <x:c r="N180" s="2" t="n">
        <x:f>MAX(0,ROUND('기준스탯 72종'!H14-V180-AD180,0))</x:f>
        <x:v>1</x:v>
      </x:c>
      <x:c r="O180" s="2" t="n">
        <x:f>MAX(0,ROUND('기준스탯 72종'!I14-W180-AE180,0))</x:f>
        <x:v>3</x:v>
      </x:c>
      <x:c r="P180" s="2" t="n">
        <x:f>MAX(0,ROUND('기준스탯 72종'!J14-X180-AF180,0))</x:f>
        <x:v>1</x:v>
      </x:c>
      <x:c r="Q180" s="2" t="n">
        <x:f>MAX(0,ROUND('기준스탯 72종'!K14-Y180-AG180,0))</x:f>
        <x:v>6</x:v>
      </x:c>
      <x:c r="R180" s="15" t="n">
        <x:f>'기준스탯 72종'!D14*G180</x:f>
        <x:v>1.6799999999999997</x:v>
      </x:c>
      <x:c r="S180" s="15" t="n">
        <x:f>'기준스탯 72종'!E14*G180</x:f>
        <x:v>2.8</x:v>
      </x:c>
      <x:c r="T180" s="15" t="n">
        <x:f>'기준스탯 72종'!F14*G180</x:f>
        <x:v>2.5199999999999996</x:v>
      </x:c>
      <x:c r="U180" s="15" t="n">
        <x:f>'기준스탯 72종'!G14*G180</x:f>
        <x:v>1.4</x:v>
      </x:c>
      <x:c r="V180" s="15" t="n">
        <x:f>'기준스탯 72종'!H14*G180</x:f>
        <x:v>0.5599999999999999</x:v>
      </x:c>
      <x:c r="W180" s="15" t="n">
        <x:f>'기준스탯 72종'!I14*G180</x:f>
        <x:v>1.1199999999999999</x:v>
      </x:c>
      <x:c r="X180" s="15" t="n">
        <x:f>'기준스탯 72종'!J14*G180</x:f>
        <x:v>0.5599999999999999</x:v>
      </x:c>
      <x:c r="Y180" s="15" t="n">
        <x:f>'기준스탯 72종'!K14*G180</x:f>
        <x:v>2.2399999999999998</x:v>
      </x:c>
      <x:c r="Z180" s="15" t="n">
        <x:f>'기준스탯 72종'!D14*H180</x:f>
        <x:v>0</x:v>
      </x:c>
      <x:c r="AA180" s="15" t="n">
        <x:f>'기준스탯 72종'!E14*H180</x:f>
        <x:v>0</x:v>
      </x:c>
      <x:c r="AB180" s="15" t="n">
        <x:f>'기준스탯 72종'!F14*H180</x:f>
        <x:v>0</x:v>
      </x:c>
      <x:c r="AC180" s="15" t="n">
        <x:f>'기준스탯 72종'!G14*H180</x:f>
        <x:v>0</x:v>
      </x:c>
      <x:c r="AD180" s="15" t="n">
        <x:f>'기준스탯 72종'!H14*H180</x:f>
        <x:v>0</x:v>
      </x:c>
      <x:c r="AE180" s="15" t="n">
        <x:f>'기준스탯 72종'!I14*H180</x:f>
        <x:v>0</x:v>
      </x:c>
      <x:c r="AF180" s="15" t="n">
        <x:f>'기준스탯 72종'!J14*H180</x:f>
        <x:v>0</x:v>
      </x:c>
      <x:c r="AG180" s="15" t="n">
        <x:f>'기준스탯 72종'!K14*H180</x:f>
        <x:v>0</x:v>
      </x:c>
    </x:row>
    <x:row r="181" ht="28" customHeight="1">
      <x:c r="A181" s="2" t="n">
        <x:v>174</x:v>
      </x:c>
      <x:c r="B181" s="2" t="n">
        <x:v>7</x:v>
      </x:c>
      <x:c r="C181" s="2" t="str">
        <x:v>황소자리</x:v>
      </x:c>
      <x:c r="D181" s="2" t="str">
        <x:v>기사</x:v>
      </x:c>
      <x:c r="E181" s="2" t="n">
        <x:v>4</x:v>
      </x:c>
      <x:c r="F181" s="2" t="n">
        <x:v>5</x:v>
      </x:c>
      <x:c r="G181" s="14" t="n">
        <x:f>('레벨 계산식'!$E$4-E181)*'레벨 계산식'!$B$5</x:f>
        <x:v>0.13999999999999999</x:v>
      </x:c>
      <x:c r="H181" s="14" t="n">
        <x:f>('등급 계산식'!$E$4-F181)*'등급 계산식'!$B$5</x:f>
        <x:v>0</x:v>
      </x:c>
      <x:c r="I181" s="14" t="n">
        <x:f>1-G181-H181</x:f>
        <x:v>0.86</x:v>
      </x:c>
      <x:c r="J181" s="2" t="n">
        <x:f>MAX(1,ROUND('기준스탯 72종'!D14-R181-Z181,0))</x:f>
        <x:v>5</x:v>
      </x:c>
      <x:c r="K181" s="2" t="n">
        <x:f>MAX(1,ROUND('기준스탯 72종'!E14-S181-AA181,0))</x:f>
        <x:v>9</x:v>
      </x:c>
      <x:c r="L181" s="2" t="n">
        <x:f>MAX(1,ROUND('기준스탯 72종'!F14-T181-AB181,0))</x:f>
        <x:v>8</x:v>
      </x:c>
      <x:c r="M181" s="2" t="n">
        <x:f>MAX(1,ROUND('기준스탯 72종'!G14-U181-AC181,0))</x:f>
        <x:v>4</x:v>
      </x:c>
      <x:c r="N181" s="2" t="n">
        <x:f>MAX(0,ROUND('기준스탯 72종'!H14-V181-AD181,0))</x:f>
        <x:v>2</x:v>
      </x:c>
      <x:c r="O181" s="2" t="n">
        <x:f>MAX(0,ROUND('기준스탯 72종'!I14-W181-AE181,0))</x:f>
        <x:v>3</x:v>
      </x:c>
      <x:c r="P181" s="2" t="n">
        <x:f>MAX(0,ROUND('기준스탯 72종'!J14-X181-AF181,0))</x:f>
        <x:v>2</x:v>
      </x:c>
      <x:c r="Q181" s="2" t="n">
        <x:f>MAX(0,ROUND('기준스탯 72종'!K14-Y181-AG181,0))</x:f>
        <x:v>7</x:v>
      </x:c>
      <x:c r="R181" s="15" t="n">
        <x:f>'기준스탯 72종'!D14*G181</x:f>
        <x:v>0.8399999999999999</x:v>
      </x:c>
      <x:c r="S181" s="15" t="n">
        <x:f>'기준스탯 72종'!E14*G181</x:f>
        <x:v>1.4</x:v>
      </x:c>
      <x:c r="T181" s="15" t="n">
        <x:f>'기준스탯 72종'!F14*G181</x:f>
        <x:v>1.2599999999999998</x:v>
      </x:c>
      <x:c r="U181" s="15" t="n">
        <x:f>'기준스탯 72종'!G14*G181</x:f>
        <x:v>0.7</x:v>
      </x:c>
      <x:c r="V181" s="15" t="n">
        <x:f>'기준스탯 72종'!H14*G181</x:f>
        <x:v>0.27999999999999997</x:v>
      </x:c>
      <x:c r="W181" s="15" t="n">
        <x:f>'기준스탯 72종'!I14*G181</x:f>
        <x:v>0.5599999999999999</x:v>
      </x:c>
      <x:c r="X181" s="15" t="n">
        <x:f>'기준스탯 72종'!J14*G181</x:f>
        <x:v>0.27999999999999997</x:v>
      </x:c>
      <x:c r="Y181" s="15" t="n">
        <x:f>'기준스탯 72종'!K14*G181</x:f>
        <x:v>1.1199999999999999</x:v>
      </x:c>
      <x:c r="Z181" s="15" t="n">
        <x:f>'기준스탯 72종'!D14*H181</x:f>
        <x:v>0</x:v>
      </x:c>
      <x:c r="AA181" s="15" t="n">
        <x:f>'기준스탯 72종'!E14*H181</x:f>
        <x:v>0</x:v>
      </x:c>
      <x:c r="AB181" s="15" t="n">
        <x:f>'기준스탯 72종'!F14*H181</x:f>
        <x:v>0</x:v>
      </x:c>
      <x:c r="AC181" s="15" t="n">
        <x:f>'기준스탯 72종'!G14*H181</x:f>
        <x:v>0</x:v>
      </x:c>
      <x:c r="AD181" s="15" t="n">
        <x:f>'기준스탯 72종'!H14*H181</x:f>
        <x:v>0</x:v>
      </x:c>
      <x:c r="AE181" s="15" t="n">
        <x:f>'기준스탯 72종'!I14*H181</x:f>
        <x:v>0</x:v>
      </x:c>
      <x:c r="AF181" s="15" t="n">
        <x:f>'기준스탯 72종'!J14*H181</x:f>
        <x:v>0</x:v>
      </x:c>
      <x:c r="AG181" s="15" t="n">
        <x:f>'기준스탯 72종'!K14*H181</x:f>
        <x:v>0</x:v>
      </x:c>
    </x:row>
    <x:row r="182" ht="28" customHeight="1">
      <x:c r="A182" s="2" t="n">
        <x:v>175</x:v>
      </x:c>
      <x:c r="B182" s="2" t="n">
        <x:v>7</x:v>
      </x:c>
      <x:c r="C182" s="2" t="str">
        <x:v>황소자리</x:v>
      </x:c>
      <x:c r="D182" s="2" t="str">
        <x:v>기사</x:v>
      </x:c>
      <x:c r="E182" s="2" t="n">
        <x:v>5</x:v>
      </x:c>
      <x:c r="F182" s="2" t="n">
        <x:v>5</x:v>
      </x:c>
      <x:c r="G182" s="14" t="n">
        <x:f>('레벨 계산식'!$E$4-E182)*'레벨 계산식'!$B$5</x:f>
        <x:v>0</x:v>
      </x:c>
      <x:c r="H182" s="14" t="n">
        <x:f>('등급 계산식'!$E$4-F182)*'등급 계산식'!$B$5</x:f>
        <x:v>0</x:v>
      </x:c>
      <x:c r="I182" s="14" t="n">
        <x:f>1-G182-H182</x:f>
        <x:v>1</x:v>
      </x:c>
      <x:c r="J182" s="2" t="n">
        <x:f>MAX(1,ROUND('기준스탯 72종'!D14-R182-Z182,0))</x:f>
        <x:v>6</x:v>
      </x:c>
      <x:c r="K182" s="2" t="n">
        <x:f>MAX(1,ROUND('기준스탯 72종'!E14-S182-AA182,0))</x:f>
        <x:v>10</x:v>
      </x:c>
      <x:c r="L182" s="2" t="n">
        <x:f>MAX(1,ROUND('기준스탯 72종'!F14-T182-AB182,0))</x:f>
        <x:v>9</x:v>
      </x:c>
      <x:c r="M182" s="2" t="n">
        <x:f>MAX(1,ROUND('기준스탯 72종'!G14-U182-AC182,0))</x:f>
        <x:v>5</x:v>
      </x:c>
      <x:c r="N182" s="2" t="n">
        <x:f>MAX(0,ROUND('기준스탯 72종'!H14-V182-AD182,0))</x:f>
        <x:v>2</x:v>
      </x:c>
      <x:c r="O182" s="2" t="n">
        <x:f>MAX(0,ROUND('기준스탯 72종'!I14-W182-AE182,0))</x:f>
        <x:v>4</x:v>
      </x:c>
      <x:c r="P182" s="2" t="n">
        <x:f>MAX(0,ROUND('기준스탯 72종'!J14-X182-AF182,0))</x:f>
        <x:v>2</x:v>
      </x:c>
      <x:c r="Q182" s="2" t="n">
        <x:f>MAX(0,ROUND('기준스탯 72종'!K14-Y182-AG182,0))</x:f>
        <x:v>8</x:v>
      </x:c>
      <x:c r="R182" s="15" t="n">
        <x:f>'기준스탯 72종'!D14*G182</x:f>
        <x:v>0</x:v>
      </x:c>
      <x:c r="S182" s="15" t="n">
        <x:f>'기준스탯 72종'!E14*G182</x:f>
        <x:v>0</x:v>
      </x:c>
      <x:c r="T182" s="15" t="n">
        <x:f>'기준스탯 72종'!F14*G182</x:f>
        <x:v>0</x:v>
      </x:c>
      <x:c r="U182" s="15" t="n">
        <x:f>'기준스탯 72종'!G14*G182</x:f>
        <x:v>0</x:v>
      </x:c>
      <x:c r="V182" s="15" t="n">
        <x:f>'기준스탯 72종'!H14*G182</x:f>
        <x:v>0</x:v>
      </x:c>
      <x:c r="W182" s="15" t="n">
        <x:f>'기준스탯 72종'!I14*G182</x:f>
        <x:v>0</x:v>
      </x:c>
      <x:c r="X182" s="15" t="n">
        <x:f>'기준스탯 72종'!J14*G182</x:f>
        <x:v>0</x:v>
      </x:c>
      <x:c r="Y182" s="15" t="n">
        <x:f>'기준스탯 72종'!K14*G182</x:f>
        <x:v>0</x:v>
      </x:c>
      <x:c r="Z182" s="15" t="n">
        <x:f>'기준스탯 72종'!D14*H182</x:f>
        <x:v>0</x:v>
      </x:c>
      <x:c r="AA182" s="15" t="n">
        <x:f>'기준스탯 72종'!E14*H182</x:f>
        <x:v>0</x:v>
      </x:c>
      <x:c r="AB182" s="15" t="n">
        <x:f>'기준스탯 72종'!F14*H182</x:f>
        <x:v>0</x:v>
      </x:c>
      <x:c r="AC182" s="15" t="n">
        <x:f>'기준스탯 72종'!G14*H182</x:f>
        <x:v>0</x:v>
      </x:c>
      <x:c r="AD182" s="15" t="n">
        <x:f>'기준스탯 72종'!H14*H182</x:f>
        <x:v>0</x:v>
      </x:c>
      <x:c r="AE182" s="15" t="n">
        <x:f>'기준스탯 72종'!I14*H182</x:f>
        <x:v>0</x:v>
      </x:c>
      <x:c r="AF182" s="15" t="n">
        <x:f>'기준스탯 72종'!J14*H182</x:f>
        <x:v>0</x:v>
      </x:c>
      <x:c r="AG182" s="15" t="n">
        <x:f>'기준스탯 72종'!K14*H182</x:f>
        <x:v>0</x:v>
      </x:c>
    </x:row>
    <x:row r="183" ht="28" customHeight="1">
      <x:c r="A183" s="2" t="n">
        <x:v>176</x:v>
      </x:c>
      <x:c r="B183" s="2" t="n">
        <x:v>8</x:v>
      </x:c>
      <x:c r="C183" s="2" t="str">
        <x:v>황소자리</x:v>
      </x:c>
      <x:c r="D183" s="2" t="str">
        <x:v>마도사</x:v>
      </x:c>
      <x:c r="E183" s="2" t="n">
        <x:v>1</x:v>
      </x:c>
      <x:c r="F183" s="2" t="n">
        <x:v>1</x:v>
      </x:c>
      <x:c r="G183" s="14" t="n">
        <x:f>('레벨 계산식'!$E$4-E183)*'레벨 계산식'!$B$5</x:f>
        <x:v>0.5599999999999999</x:v>
      </x:c>
      <x:c r="H183" s="14" t="n">
        <x:f>('등급 계산식'!$E$4-F183)*'등급 계산식'!$B$5</x:f>
        <x:v>0.24000000000000005</x:v>
      </x:c>
      <x:c r="I183" s="14" t="n">
        <x:f>1-G183-H183</x:f>
        <x:v>0.2</x:v>
      </x:c>
      <x:c r="J183" s="2" t="n">
        <x:f>MAX(1,ROUND('기준스탯 72종'!D15-R183-Z183,0))</x:f>
        <x:v>2</x:v>
      </x:c>
      <x:c r="K183" s="2" t="n">
        <x:f>MAX(1,ROUND('기준스탯 72종'!E15-S183-AA183,0))</x:f>
        <x:v>2</x:v>
      </x:c>
      <x:c r="L183" s="2" t="n">
        <x:f>MAX(1,ROUND('기준스탯 72종'!F15-T183-AB183,0))</x:f>
        <x:v>1</x:v>
      </x:c>
      <x:c r="M183" s="2" t="n">
        <x:f>MAX(1,ROUND('기준스탯 72종'!G15-U183-AC183,0))</x:f>
        <x:v>1</x:v>
      </x:c>
      <x:c r="N183" s="2" t="n">
        <x:f>MAX(0,ROUND('기준스탯 72종'!H15-V183-AD183,0))</x:f>
        <x:v>1</x:v>
      </x:c>
      <x:c r="O183" s="2" t="n">
        <x:f>MAX(0,ROUND('기준스탯 72종'!I15-W183-AE183,0))</x:f>
        <x:v>1</x:v>
      </x:c>
      <x:c r="P183" s="2" t="n">
        <x:f>MAX(0,ROUND('기준스탯 72종'!J15-X183-AF183,0))</x:f>
        <x:v>0</x:v>
      </x:c>
      <x:c r="Q183" s="2" t="n">
        <x:f>MAX(0,ROUND('기준스탯 72종'!K15-Y183-AG183,0))</x:f>
        <x:v>1</x:v>
      </x:c>
      <x:c r="R183" s="15" t="n">
        <x:f>'기준스탯 72종'!D15*G183</x:f>
        <x:v>4.4799999999999995</x:v>
      </x:c>
      <x:c r="S183" s="15" t="n">
        <x:f>'기준스탯 72종'!E15*G183</x:f>
        <x:v>4.4799999999999995</x:v>
      </x:c>
      <x:c r="T183" s="15" t="n">
        <x:f>'기준스탯 72종'!F15*G183</x:f>
        <x:v>3.9199999999999995</x:v>
      </x:c>
      <x:c r="U183" s="15" t="n">
        <x:f>'기준스탯 72종'!G15*G183</x:f>
        <x:v>3.3599999999999994</x:v>
      </x:c>
      <x:c r="V183" s="15" t="n">
        <x:f>'기준스탯 72종'!H15*G183</x:f>
        <x:v>1.6799999999999997</x:v>
      </x:c>
      <x:c r="W183" s="15" t="n">
        <x:f>'기준스탯 72종'!I15*G183</x:f>
        <x:v>3.3599999999999994</x:v>
      </x:c>
      <x:c r="X183" s="15" t="n">
        <x:f>'기준스탯 72종'!J15*G183</x:f>
        <x:v>1.1199999999999999</x:v>
      </x:c>
      <x:c r="Y183" s="15" t="n">
        <x:f>'기준스탯 72종'!K15*G183</x:f>
        <x:v>2.8</x:v>
      </x:c>
      <x:c r="Z183" s="15" t="n">
        <x:f>'기준스탯 72종'!D15*H183</x:f>
        <x:v>1.9200000000000004</x:v>
      </x:c>
      <x:c r="AA183" s="15" t="n">
        <x:f>'기준스탯 72종'!E15*H183</x:f>
        <x:v>1.9200000000000004</x:v>
      </x:c>
      <x:c r="AB183" s="15" t="n">
        <x:f>'기준스탯 72종'!F15*H183</x:f>
        <x:v>1.6800000000000004</x:v>
      </x:c>
      <x:c r="AC183" s="15" t="n">
        <x:f>'기준스탯 72종'!G15*H183</x:f>
        <x:v>1.4400000000000004</x:v>
      </x:c>
      <x:c r="AD183" s="15" t="n">
        <x:f>'기준스탯 72종'!H15*H183</x:f>
        <x:v>0.7200000000000002</x:v>
      </x:c>
      <x:c r="AE183" s="15" t="n">
        <x:f>'기준스탯 72종'!I15*H183</x:f>
        <x:v>1.4400000000000004</x:v>
      </x:c>
      <x:c r="AF183" s="15" t="n">
        <x:f>'기준스탯 72종'!J15*H183</x:f>
        <x:v>0.4800000000000001</x:v>
      </x:c>
      <x:c r="AG183" s="15" t="n">
        <x:f>'기준스탯 72종'!K15*H183</x:f>
        <x:v>1.2000000000000002</x:v>
      </x:c>
    </x:row>
    <x:row r="184" ht="28" customHeight="1">
      <x:c r="A184" s="2" t="n">
        <x:v>177</x:v>
      </x:c>
      <x:c r="B184" s="2" t="n">
        <x:v>8</x:v>
      </x:c>
      <x:c r="C184" s="2" t="str">
        <x:v>황소자리</x:v>
      </x:c>
      <x:c r="D184" s="2" t="str">
        <x:v>마도사</x:v>
      </x:c>
      <x:c r="E184" s="2" t="n">
        <x:v>2</x:v>
      </x:c>
      <x:c r="F184" s="2" t="n">
        <x:v>1</x:v>
      </x:c>
      <x:c r="G184" s="14" t="n">
        <x:f>('레벨 계산식'!$E$4-E184)*'레벨 계산식'!$B$5</x:f>
        <x:v>0.41999999999999993</x:v>
      </x:c>
      <x:c r="H184" s="14" t="n">
        <x:f>('등급 계산식'!$E$4-F184)*'등급 계산식'!$B$5</x:f>
        <x:v>0.24000000000000005</x:v>
      </x:c>
      <x:c r="I184" s="14" t="n">
        <x:f>1-G184-H184</x:f>
        <x:v>0.34</x:v>
      </x:c>
      <x:c r="J184" s="2" t="n">
        <x:f>MAX(1,ROUND('기준스탯 72종'!D15-R184-Z184,0))</x:f>
        <x:v>3</x:v>
      </x:c>
      <x:c r="K184" s="2" t="n">
        <x:f>MAX(1,ROUND('기준스탯 72종'!E15-S184-AA184,0))</x:f>
        <x:v>3</x:v>
      </x:c>
      <x:c r="L184" s="2" t="n">
        <x:f>MAX(1,ROUND('기준스탯 72종'!F15-T184-AB184,0))</x:f>
        <x:v>2</x:v>
      </x:c>
      <x:c r="M184" s="2" t="n">
        <x:f>MAX(1,ROUND('기준스탯 72종'!G15-U184-AC184,0))</x:f>
        <x:v>2</x:v>
      </x:c>
      <x:c r="N184" s="2" t="n">
        <x:f>MAX(0,ROUND('기준스탯 72종'!H15-V184-AD184,0))</x:f>
        <x:v>1</x:v>
      </x:c>
      <x:c r="O184" s="2" t="n">
        <x:f>MAX(0,ROUND('기준스탯 72종'!I15-W184-AE184,0))</x:f>
        <x:v>2</x:v>
      </x:c>
      <x:c r="P184" s="2" t="n">
        <x:f>MAX(0,ROUND('기준스탯 72종'!J15-X184-AF184,0))</x:f>
        <x:v>1</x:v>
      </x:c>
      <x:c r="Q184" s="2" t="n">
        <x:f>MAX(0,ROUND('기준스탯 72종'!K15-Y184-AG184,0))</x:f>
        <x:v>2</x:v>
      </x:c>
      <x:c r="R184" s="15" t="n">
        <x:f>'기준스탯 72종'!D15*G184</x:f>
        <x:v>3.3599999999999994</x:v>
      </x:c>
      <x:c r="S184" s="15" t="n">
        <x:f>'기준스탯 72종'!E15*G184</x:f>
        <x:v>3.3599999999999994</x:v>
      </x:c>
      <x:c r="T184" s="15" t="n">
        <x:f>'기준스탯 72종'!F15*G184</x:f>
        <x:v>2.9399999999999995</x:v>
      </x:c>
      <x:c r="U184" s="15" t="n">
        <x:f>'기준스탯 72종'!G15*G184</x:f>
        <x:v>2.5199999999999996</x:v>
      </x:c>
      <x:c r="V184" s="15" t="n">
        <x:f>'기준스탯 72종'!H15*G184</x:f>
        <x:v>1.2599999999999998</x:v>
      </x:c>
      <x:c r="W184" s="15" t="n">
        <x:f>'기준스탯 72종'!I15*G184</x:f>
        <x:v>2.5199999999999996</x:v>
      </x:c>
      <x:c r="X184" s="15" t="n">
        <x:f>'기준스탯 72종'!J15*G184</x:f>
        <x:v>0.8399999999999999</x:v>
      </x:c>
      <x:c r="Y184" s="15" t="n">
        <x:f>'기준스탯 72종'!K15*G184</x:f>
        <x:v>2.0999999999999996</x:v>
      </x:c>
      <x:c r="Z184" s="15" t="n">
        <x:f>'기준스탯 72종'!D15*H184</x:f>
        <x:v>1.9200000000000004</x:v>
      </x:c>
      <x:c r="AA184" s="15" t="n">
        <x:f>'기준스탯 72종'!E15*H184</x:f>
        <x:v>1.9200000000000004</x:v>
      </x:c>
      <x:c r="AB184" s="15" t="n">
        <x:f>'기준스탯 72종'!F15*H184</x:f>
        <x:v>1.6800000000000004</x:v>
      </x:c>
      <x:c r="AC184" s="15" t="n">
        <x:f>'기준스탯 72종'!G15*H184</x:f>
        <x:v>1.4400000000000004</x:v>
      </x:c>
      <x:c r="AD184" s="15" t="n">
        <x:f>'기준스탯 72종'!H15*H184</x:f>
        <x:v>0.7200000000000002</x:v>
      </x:c>
      <x:c r="AE184" s="15" t="n">
        <x:f>'기준스탯 72종'!I15*H184</x:f>
        <x:v>1.4400000000000004</x:v>
      </x:c>
      <x:c r="AF184" s="15" t="n">
        <x:f>'기준스탯 72종'!J15*H184</x:f>
        <x:v>0.4800000000000001</x:v>
      </x:c>
      <x:c r="AG184" s="15" t="n">
        <x:f>'기준스탯 72종'!K15*H184</x:f>
        <x:v>1.2000000000000002</x:v>
      </x:c>
    </x:row>
    <x:row r="185" ht="28" customHeight="1">
      <x:c r="A185" s="2" t="n">
        <x:v>178</x:v>
      </x:c>
      <x:c r="B185" s="2" t="n">
        <x:v>8</x:v>
      </x:c>
      <x:c r="C185" s="2" t="str">
        <x:v>황소자리</x:v>
      </x:c>
      <x:c r="D185" s="2" t="str">
        <x:v>마도사</x:v>
      </x:c>
      <x:c r="E185" s="2" t="n">
        <x:v>3</x:v>
      </x:c>
      <x:c r="F185" s="2" t="n">
        <x:v>1</x:v>
      </x:c>
      <x:c r="G185" s="14" t="n">
        <x:f>('레벨 계산식'!$E$4-E185)*'레벨 계산식'!$B$5</x:f>
        <x:v>0.27999999999999997</x:v>
      </x:c>
      <x:c r="H185" s="14" t="n">
        <x:f>('등급 계산식'!$E$4-F185)*'등급 계산식'!$B$5</x:f>
        <x:v>0.24000000000000005</x:v>
      </x:c>
      <x:c r="I185" s="14" t="n">
        <x:f>1-G185-H185</x:f>
        <x:v>0.4799999999999999</x:v>
      </x:c>
      <x:c r="J185" s="2" t="n">
        <x:f>MAX(1,ROUND('기준스탯 72종'!D15-R185-Z185,0))</x:f>
        <x:v>4</x:v>
      </x:c>
      <x:c r="K185" s="2" t="n">
        <x:f>MAX(1,ROUND('기준스탯 72종'!E15-S185-AA185,0))</x:f>
        <x:v>4</x:v>
      </x:c>
      <x:c r="L185" s="2" t="n">
        <x:f>MAX(1,ROUND('기준스탯 72종'!F15-T185-AB185,0))</x:f>
        <x:v>3</x:v>
      </x:c>
      <x:c r="M185" s="2" t="n">
        <x:f>MAX(1,ROUND('기준스탯 72종'!G15-U185-AC185,0))</x:f>
        <x:v>3</x:v>
      </x:c>
      <x:c r="N185" s="2" t="n">
        <x:f>MAX(0,ROUND('기준스탯 72종'!H15-V185-AD185,0))</x:f>
        <x:v>1</x:v>
      </x:c>
      <x:c r="O185" s="2" t="n">
        <x:f>MAX(0,ROUND('기준스탯 72종'!I15-W185-AE185,0))</x:f>
        <x:v>3</x:v>
      </x:c>
      <x:c r="P185" s="2" t="n">
        <x:f>MAX(0,ROUND('기준스탯 72종'!J15-X185-AF185,0))</x:f>
        <x:v>1</x:v>
      </x:c>
      <x:c r="Q185" s="2" t="n">
        <x:f>MAX(0,ROUND('기준스탯 72종'!K15-Y185-AG185,0))</x:f>
        <x:v>2</x:v>
      </x:c>
      <x:c r="R185" s="15" t="n">
        <x:f>'기준스탯 72종'!D15*G185</x:f>
        <x:v>2.2399999999999998</x:v>
      </x:c>
      <x:c r="S185" s="15" t="n">
        <x:f>'기준스탯 72종'!E15*G185</x:f>
        <x:v>2.2399999999999998</x:v>
      </x:c>
      <x:c r="T185" s="15" t="n">
        <x:f>'기준스탯 72종'!F15*G185</x:f>
        <x:v>1.9599999999999997</x:v>
      </x:c>
      <x:c r="U185" s="15" t="n">
        <x:f>'기준스탯 72종'!G15*G185</x:f>
        <x:v>1.6799999999999997</x:v>
      </x:c>
      <x:c r="V185" s="15" t="n">
        <x:f>'기준스탯 72종'!H15*G185</x:f>
        <x:v>0.8399999999999999</x:v>
      </x:c>
      <x:c r="W185" s="15" t="n">
        <x:f>'기준스탯 72종'!I15*G185</x:f>
        <x:v>1.6799999999999997</x:v>
      </x:c>
      <x:c r="X185" s="15" t="n">
        <x:f>'기준스탯 72종'!J15*G185</x:f>
        <x:v>0.5599999999999999</x:v>
      </x:c>
      <x:c r="Y185" s="15" t="n">
        <x:f>'기준스탯 72종'!K15*G185</x:f>
        <x:v>1.4</x:v>
      </x:c>
      <x:c r="Z185" s="15" t="n">
        <x:f>'기준스탯 72종'!D15*H185</x:f>
        <x:v>1.9200000000000004</x:v>
      </x:c>
      <x:c r="AA185" s="15" t="n">
        <x:f>'기준스탯 72종'!E15*H185</x:f>
        <x:v>1.9200000000000004</x:v>
      </x:c>
      <x:c r="AB185" s="15" t="n">
        <x:f>'기준스탯 72종'!F15*H185</x:f>
        <x:v>1.6800000000000004</x:v>
      </x:c>
      <x:c r="AC185" s="15" t="n">
        <x:f>'기준스탯 72종'!G15*H185</x:f>
        <x:v>1.4400000000000004</x:v>
      </x:c>
      <x:c r="AD185" s="15" t="n">
        <x:f>'기준스탯 72종'!H15*H185</x:f>
        <x:v>0.7200000000000002</x:v>
      </x:c>
      <x:c r="AE185" s="15" t="n">
        <x:f>'기준스탯 72종'!I15*H185</x:f>
        <x:v>1.4400000000000004</x:v>
      </x:c>
      <x:c r="AF185" s="15" t="n">
        <x:f>'기준스탯 72종'!J15*H185</x:f>
        <x:v>0.4800000000000001</x:v>
      </x:c>
      <x:c r="AG185" s="15" t="n">
        <x:f>'기준스탯 72종'!K15*H185</x:f>
        <x:v>1.2000000000000002</x:v>
      </x:c>
    </x:row>
    <x:row r="186" ht="28" customHeight="1">
      <x:c r="A186" s="2" t="n">
        <x:v>179</x:v>
      </x:c>
      <x:c r="B186" s="2" t="n">
        <x:v>8</x:v>
      </x:c>
      <x:c r="C186" s="2" t="str">
        <x:v>황소자리</x:v>
      </x:c>
      <x:c r="D186" s="2" t="str">
        <x:v>마도사</x:v>
      </x:c>
      <x:c r="E186" s="2" t="n">
        <x:v>4</x:v>
      </x:c>
      <x:c r="F186" s="2" t="n">
        <x:v>1</x:v>
      </x:c>
      <x:c r="G186" s="14" t="n">
        <x:f>('레벨 계산식'!$E$4-E186)*'레벨 계산식'!$B$5</x:f>
        <x:v>0.13999999999999999</x:v>
      </x:c>
      <x:c r="H186" s="14" t="n">
        <x:f>('등급 계산식'!$E$4-F186)*'등급 계산식'!$B$5</x:f>
        <x:v>0.24000000000000005</x:v>
      </x:c>
      <x:c r="I186" s="14" t="n">
        <x:f>1-G186-H186</x:f>
        <x:v>0.6199999999999999</x:v>
      </x:c>
      <x:c r="J186" s="2" t="n">
        <x:f>MAX(1,ROUND('기준스탯 72종'!D15-R186-Z186,0))</x:f>
        <x:v>5</x:v>
      </x:c>
      <x:c r="K186" s="2" t="n">
        <x:f>MAX(1,ROUND('기준스탯 72종'!E15-S186-AA186,0))</x:f>
        <x:v>5</x:v>
      </x:c>
      <x:c r="L186" s="2" t="n">
        <x:f>MAX(1,ROUND('기준스탯 72종'!F15-T186-AB186,0))</x:f>
        <x:v>4</x:v>
      </x:c>
      <x:c r="M186" s="2" t="n">
        <x:f>MAX(1,ROUND('기준스탯 72종'!G15-U186-AC186,0))</x:f>
        <x:v>4</x:v>
      </x:c>
      <x:c r="N186" s="2" t="n">
        <x:f>MAX(0,ROUND('기준스탯 72종'!H15-V186-AD186,0))</x:f>
        <x:v>2</x:v>
      </x:c>
      <x:c r="O186" s="2" t="n">
        <x:f>MAX(0,ROUND('기준스탯 72종'!I15-W186-AE186,0))</x:f>
        <x:v>4</x:v>
      </x:c>
      <x:c r="P186" s="2" t="n">
        <x:f>MAX(0,ROUND('기준스탯 72종'!J15-X186-AF186,0))</x:f>
        <x:v>1</x:v>
      </x:c>
      <x:c r="Q186" s="2" t="n">
        <x:f>MAX(0,ROUND('기준스탯 72종'!K15-Y186-AG186,0))</x:f>
        <x:v>3</x:v>
      </x:c>
      <x:c r="R186" s="15" t="n">
        <x:f>'기준스탯 72종'!D15*G186</x:f>
        <x:v>1.1199999999999999</x:v>
      </x:c>
      <x:c r="S186" s="15" t="n">
        <x:f>'기준스탯 72종'!E15*G186</x:f>
        <x:v>1.1199999999999999</x:v>
      </x:c>
      <x:c r="T186" s="15" t="n">
        <x:f>'기준스탯 72종'!F15*G186</x:f>
        <x:v>0.9799999999999999</x:v>
      </x:c>
      <x:c r="U186" s="15" t="n">
        <x:f>'기준스탯 72종'!G15*G186</x:f>
        <x:v>0.8399999999999999</x:v>
      </x:c>
      <x:c r="V186" s="15" t="n">
        <x:f>'기준스탯 72종'!H15*G186</x:f>
        <x:v>0.41999999999999993</x:v>
      </x:c>
      <x:c r="W186" s="15" t="n">
        <x:f>'기준스탯 72종'!I15*G186</x:f>
        <x:v>0.8399999999999999</x:v>
      </x:c>
      <x:c r="X186" s="15" t="n">
        <x:f>'기준스탯 72종'!J15*G186</x:f>
        <x:v>0.27999999999999997</x:v>
      </x:c>
      <x:c r="Y186" s="15" t="n">
        <x:f>'기준스탯 72종'!K15*G186</x:f>
        <x:v>0.7</x:v>
      </x:c>
      <x:c r="Z186" s="15" t="n">
        <x:f>'기준스탯 72종'!D15*H186</x:f>
        <x:v>1.9200000000000004</x:v>
      </x:c>
      <x:c r="AA186" s="15" t="n">
        <x:f>'기준스탯 72종'!E15*H186</x:f>
        <x:v>1.9200000000000004</x:v>
      </x:c>
      <x:c r="AB186" s="15" t="n">
        <x:f>'기준스탯 72종'!F15*H186</x:f>
        <x:v>1.6800000000000004</x:v>
      </x:c>
      <x:c r="AC186" s="15" t="n">
        <x:f>'기준스탯 72종'!G15*H186</x:f>
        <x:v>1.4400000000000004</x:v>
      </x:c>
      <x:c r="AD186" s="15" t="n">
        <x:f>'기준스탯 72종'!H15*H186</x:f>
        <x:v>0.7200000000000002</x:v>
      </x:c>
      <x:c r="AE186" s="15" t="n">
        <x:f>'기준스탯 72종'!I15*H186</x:f>
        <x:v>1.4400000000000004</x:v>
      </x:c>
      <x:c r="AF186" s="15" t="n">
        <x:f>'기준스탯 72종'!J15*H186</x:f>
        <x:v>0.4800000000000001</x:v>
      </x:c>
      <x:c r="AG186" s="15" t="n">
        <x:f>'기준스탯 72종'!K15*H186</x:f>
        <x:v>1.2000000000000002</x:v>
      </x:c>
    </x:row>
    <x:row r="187" ht="28" customHeight="1">
      <x:c r="A187" s="2" t="n">
        <x:v>180</x:v>
      </x:c>
      <x:c r="B187" s="2" t="n">
        <x:v>8</x:v>
      </x:c>
      <x:c r="C187" s="2" t="str">
        <x:v>황소자리</x:v>
      </x:c>
      <x:c r="D187" s="2" t="str">
        <x:v>마도사</x:v>
      </x:c>
      <x:c r="E187" s="2" t="n">
        <x:v>5</x:v>
      </x:c>
      <x:c r="F187" s="2" t="n">
        <x:v>1</x:v>
      </x:c>
      <x:c r="G187" s="14" t="n">
        <x:f>('레벨 계산식'!$E$4-E187)*'레벨 계산식'!$B$5</x:f>
        <x:v>0</x:v>
      </x:c>
      <x:c r="H187" s="14" t="n">
        <x:f>('등급 계산식'!$E$4-F187)*'등급 계산식'!$B$5</x:f>
        <x:v>0.24000000000000005</x:v>
      </x:c>
      <x:c r="I187" s="14" t="n">
        <x:f>1-G187-H187</x:f>
        <x:v>0.76</x:v>
      </x:c>
      <x:c r="J187" s="2" t="n">
        <x:f>MAX(1,ROUND('기준스탯 72종'!D15-R187-Z187,0))</x:f>
        <x:v>6</x:v>
      </x:c>
      <x:c r="K187" s="2" t="n">
        <x:f>MAX(1,ROUND('기준스탯 72종'!E15-S187-AA187,0))</x:f>
        <x:v>6</x:v>
      </x:c>
      <x:c r="L187" s="2" t="n">
        <x:f>MAX(1,ROUND('기준스탯 72종'!F15-T187-AB187,0))</x:f>
        <x:v>5</x:v>
      </x:c>
      <x:c r="M187" s="2" t="n">
        <x:f>MAX(1,ROUND('기준스탯 72종'!G15-U187-AC187,0))</x:f>
        <x:v>5</x:v>
      </x:c>
      <x:c r="N187" s="2" t="n">
        <x:f>MAX(0,ROUND('기준스탯 72종'!H15-V187-AD187,0))</x:f>
        <x:v>2</x:v>
      </x:c>
      <x:c r="O187" s="2" t="n">
        <x:f>MAX(0,ROUND('기준스탯 72종'!I15-W187-AE187,0))</x:f>
        <x:v>5</x:v>
      </x:c>
      <x:c r="P187" s="2" t="n">
        <x:f>MAX(0,ROUND('기준스탯 72종'!J15-X187-AF187,0))</x:f>
        <x:v>2</x:v>
      </x:c>
      <x:c r="Q187" s="2" t="n">
        <x:f>MAX(0,ROUND('기준스탯 72종'!K15-Y187-AG187,0))</x:f>
        <x:v>4</x:v>
      </x:c>
      <x:c r="R187" s="15" t="n">
        <x:f>'기준스탯 72종'!D15*G187</x:f>
        <x:v>0</x:v>
      </x:c>
      <x:c r="S187" s="15" t="n">
        <x:f>'기준스탯 72종'!E15*G187</x:f>
        <x:v>0</x:v>
      </x:c>
      <x:c r="T187" s="15" t="n">
        <x:f>'기준스탯 72종'!F15*G187</x:f>
        <x:v>0</x:v>
      </x:c>
      <x:c r="U187" s="15" t="n">
        <x:f>'기준스탯 72종'!G15*G187</x:f>
        <x:v>0</x:v>
      </x:c>
      <x:c r="V187" s="15" t="n">
        <x:f>'기준스탯 72종'!H15*G187</x:f>
        <x:v>0</x:v>
      </x:c>
      <x:c r="W187" s="15" t="n">
        <x:f>'기준스탯 72종'!I15*G187</x:f>
        <x:v>0</x:v>
      </x:c>
      <x:c r="X187" s="15" t="n">
        <x:f>'기준스탯 72종'!J15*G187</x:f>
        <x:v>0</x:v>
      </x:c>
      <x:c r="Y187" s="15" t="n">
        <x:f>'기준스탯 72종'!K15*G187</x:f>
        <x:v>0</x:v>
      </x:c>
      <x:c r="Z187" s="15" t="n">
        <x:f>'기준스탯 72종'!D15*H187</x:f>
        <x:v>1.9200000000000004</x:v>
      </x:c>
      <x:c r="AA187" s="15" t="n">
        <x:f>'기준스탯 72종'!E15*H187</x:f>
        <x:v>1.9200000000000004</x:v>
      </x:c>
      <x:c r="AB187" s="15" t="n">
        <x:f>'기준스탯 72종'!F15*H187</x:f>
        <x:v>1.6800000000000004</x:v>
      </x:c>
      <x:c r="AC187" s="15" t="n">
        <x:f>'기준스탯 72종'!G15*H187</x:f>
        <x:v>1.4400000000000004</x:v>
      </x:c>
      <x:c r="AD187" s="15" t="n">
        <x:f>'기준스탯 72종'!H15*H187</x:f>
        <x:v>0.7200000000000002</x:v>
      </x:c>
      <x:c r="AE187" s="15" t="n">
        <x:f>'기준스탯 72종'!I15*H187</x:f>
        <x:v>1.4400000000000004</x:v>
      </x:c>
      <x:c r="AF187" s="15" t="n">
        <x:f>'기준스탯 72종'!J15*H187</x:f>
        <x:v>0.4800000000000001</x:v>
      </x:c>
      <x:c r="AG187" s="15" t="n">
        <x:f>'기준스탯 72종'!K15*H187</x:f>
        <x:v>1.2000000000000002</x:v>
      </x:c>
    </x:row>
    <x:row r="188" ht="28" customHeight="1">
      <x:c r="A188" s="2" t="n">
        <x:v>181</x:v>
      </x:c>
      <x:c r="B188" s="2" t="n">
        <x:v>8</x:v>
      </x:c>
      <x:c r="C188" s="2" t="str">
        <x:v>황소자리</x:v>
      </x:c>
      <x:c r="D188" s="2" t="str">
        <x:v>마도사</x:v>
      </x:c>
      <x:c r="E188" s="2" t="n">
        <x:v>1</x:v>
      </x:c>
      <x:c r="F188" s="2" t="n">
        <x:v>2</x:v>
      </x:c>
      <x:c r="G188" s="14" t="n">
        <x:f>('레벨 계산식'!$E$4-E188)*'레벨 계산식'!$B$5</x:f>
        <x:v>0.5599999999999999</x:v>
      </x:c>
      <x:c r="H188" s="14" t="n">
        <x:f>('등급 계산식'!$E$4-F188)*'등급 계산식'!$B$5</x:f>
        <x:v>0.18000000000000005</x:v>
      </x:c>
      <x:c r="I188" s="14" t="n">
        <x:f>1-G188-H188</x:f>
        <x:v>0.26</x:v>
      </x:c>
      <x:c r="J188" s="2" t="n">
        <x:f>MAX(1,ROUND('기준스탯 72종'!D15-R188-Z188,0))</x:f>
        <x:v>2</x:v>
      </x:c>
      <x:c r="K188" s="2" t="n">
        <x:f>MAX(1,ROUND('기준스탯 72종'!E15-S188-AA188,0))</x:f>
        <x:v>2</x:v>
      </x:c>
      <x:c r="L188" s="2" t="n">
        <x:f>MAX(1,ROUND('기준스탯 72종'!F15-T188-AB188,0))</x:f>
        <x:v>2</x:v>
      </x:c>
      <x:c r="M188" s="2" t="n">
        <x:f>MAX(1,ROUND('기준스탯 72종'!G15-U188-AC188,0))</x:f>
        <x:v>2</x:v>
      </x:c>
      <x:c r="N188" s="2" t="n">
        <x:f>MAX(0,ROUND('기준스탯 72종'!H15-V188-AD188,0))</x:f>
        <x:v>1</x:v>
      </x:c>
      <x:c r="O188" s="2" t="n">
        <x:f>MAX(0,ROUND('기준스탯 72종'!I15-W188-AE188,0))</x:f>
        <x:v>2</x:v>
      </x:c>
      <x:c r="P188" s="2" t="n">
        <x:f>MAX(0,ROUND('기준스탯 72종'!J15-X188-AF188,0))</x:f>
        <x:v>1</x:v>
      </x:c>
      <x:c r="Q188" s="2" t="n">
        <x:f>MAX(0,ROUND('기준스탯 72종'!K15-Y188-AG188,0))</x:f>
        <x:v>1</x:v>
      </x:c>
      <x:c r="R188" s="15" t="n">
        <x:f>'기준스탯 72종'!D15*G188</x:f>
        <x:v>4.4799999999999995</x:v>
      </x:c>
      <x:c r="S188" s="15" t="n">
        <x:f>'기준스탯 72종'!E15*G188</x:f>
        <x:v>4.4799999999999995</x:v>
      </x:c>
      <x:c r="T188" s="15" t="n">
        <x:f>'기준스탯 72종'!F15*G188</x:f>
        <x:v>3.9199999999999995</x:v>
      </x:c>
      <x:c r="U188" s="15" t="n">
        <x:f>'기준스탯 72종'!G15*G188</x:f>
        <x:v>3.3599999999999994</x:v>
      </x:c>
      <x:c r="V188" s="15" t="n">
        <x:f>'기준스탯 72종'!H15*G188</x:f>
        <x:v>1.6799999999999997</x:v>
      </x:c>
      <x:c r="W188" s="15" t="n">
        <x:f>'기준스탯 72종'!I15*G188</x:f>
        <x:v>3.3599999999999994</x:v>
      </x:c>
      <x:c r="X188" s="15" t="n">
        <x:f>'기준스탯 72종'!J15*G188</x:f>
        <x:v>1.1199999999999999</x:v>
      </x:c>
      <x:c r="Y188" s="15" t="n">
        <x:f>'기준스탯 72종'!K15*G188</x:f>
        <x:v>2.8</x:v>
      </x:c>
      <x:c r="Z188" s="15" t="n">
        <x:f>'기준스탯 72종'!D15*H188</x:f>
        <x:v>1.4400000000000004</x:v>
      </x:c>
      <x:c r="AA188" s="15" t="n">
        <x:f>'기준스탯 72종'!E15*H188</x:f>
        <x:v>1.4400000000000004</x:v>
      </x:c>
      <x:c r="AB188" s="15" t="n">
        <x:f>'기준스탯 72종'!F15*H188</x:f>
        <x:v>1.2600000000000002</x:v>
      </x:c>
      <x:c r="AC188" s="15" t="n">
        <x:f>'기준스탯 72종'!G15*H188</x:f>
        <x:v>1.0800000000000003</x:v>
      </x:c>
      <x:c r="AD188" s="15" t="n">
        <x:f>'기준스탯 72종'!H15*H188</x:f>
        <x:v>0.5400000000000001</x:v>
      </x:c>
      <x:c r="AE188" s="15" t="n">
        <x:f>'기준스탯 72종'!I15*H188</x:f>
        <x:v>1.0800000000000003</x:v>
      </x:c>
      <x:c r="AF188" s="15" t="n">
        <x:f>'기준스탯 72종'!J15*H188</x:f>
        <x:v>0.3600000000000001</x:v>
      </x:c>
      <x:c r="AG188" s="15" t="n">
        <x:f>'기준스탯 72종'!K15*H188</x:f>
        <x:v>0.9000000000000002</x:v>
      </x:c>
    </x:row>
    <x:row r="189" ht="28" customHeight="1">
      <x:c r="A189" s="2" t="n">
        <x:v>182</x:v>
      </x:c>
      <x:c r="B189" s="2" t="n">
        <x:v>8</x:v>
      </x:c>
      <x:c r="C189" s="2" t="str">
        <x:v>황소자리</x:v>
      </x:c>
      <x:c r="D189" s="2" t="str">
        <x:v>마도사</x:v>
      </x:c>
      <x:c r="E189" s="2" t="n">
        <x:v>2</x:v>
      </x:c>
      <x:c r="F189" s="2" t="n">
        <x:v>2</x:v>
      </x:c>
      <x:c r="G189" s="14" t="n">
        <x:f>('레벨 계산식'!$E$4-E189)*'레벨 계산식'!$B$5</x:f>
        <x:v>0.41999999999999993</x:v>
      </x:c>
      <x:c r="H189" s="14" t="n">
        <x:f>('등급 계산식'!$E$4-F189)*'등급 계산식'!$B$5</x:f>
        <x:v>0.18000000000000005</x:v>
      </x:c>
      <x:c r="I189" s="14" t="n">
        <x:f>1-G189-H189</x:f>
        <x:v>0.4</x:v>
      </x:c>
      <x:c r="J189" s="2" t="n">
        <x:f>MAX(1,ROUND('기준스탯 72종'!D15-R189-Z189,0))</x:f>
        <x:v>3</x:v>
      </x:c>
      <x:c r="K189" s="2" t="n">
        <x:f>MAX(1,ROUND('기준스탯 72종'!E15-S189-AA189,0))</x:f>
        <x:v>3</x:v>
      </x:c>
      <x:c r="L189" s="2" t="n">
        <x:f>MAX(1,ROUND('기준스탯 72종'!F15-T189-AB189,0))</x:f>
        <x:v>3</x:v>
      </x:c>
      <x:c r="M189" s="2" t="n">
        <x:f>MAX(1,ROUND('기준스탯 72종'!G15-U189-AC189,0))</x:f>
        <x:v>2</x:v>
      </x:c>
      <x:c r="N189" s="2" t="n">
        <x:f>MAX(0,ROUND('기준스탯 72종'!H15-V189-AD189,0))</x:f>
        <x:v>1</x:v>
      </x:c>
      <x:c r="O189" s="2" t="n">
        <x:f>MAX(0,ROUND('기준스탯 72종'!I15-W189-AE189,0))</x:f>
        <x:v>2</x:v>
      </x:c>
      <x:c r="P189" s="2" t="n">
        <x:f>MAX(0,ROUND('기준스탯 72종'!J15-X189-AF189,0))</x:f>
        <x:v>1</x:v>
      </x:c>
      <x:c r="Q189" s="2" t="n">
        <x:f>MAX(0,ROUND('기준스탯 72종'!K15-Y189-AG189,0))</x:f>
        <x:v>2</x:v>
      </x:c>
      <x:c r="R189" s="15" t="n">
        <x:f>'기준스탯 72종'!D15*G189</x:f>
        <x:v>3.3599999999999994</x:v>
      </x:c>
      <x:c r="S189" s="15" t="n">
        <x:f>'기준스탯 72종'!E15*G189</x:f>
        <x:v>3.3599999999999994</x:v>
      </x:c>
      <x:c r="T189" s="15" t="n">
        <x:f>'기준스탯 72종'!F15*G189</x:f>
        <x:v>2.9399999999999995</x:v>
      </x:c>
      <x:c r="U189" s="15" t="n">
        <x:f>'기준스탯 72종'!G15*G189</x:f>
        <x:v>2.5199999999999996</x:v>
      </x:c>
      <x:c r="V189" s="15" t="n">
        <x:f>'기준스탯 72종'!H15*G189</x:f>
        <x:v>1.2599999999999998</x:v>
      </x:c>
      <x:c r="W189" s="15" t="n">
        <x:f>'기준스탯 72종'!I15*G189</x:f>
        <x:v>2.5199999999999996</x:v>
      </x:c>
      <x:c r="X189" s="15" t="n">
        <x:f>'기준스탯 72종'!J15*G189</x:f>
        <x:v>0.8399999999999999</x:v>
      </x:c>
      <x:c r="Y189" s="15" t="n">
        <x:f>'기준스탯 72종'!K15*G189</x:f>
        <x:v>2.0999999999999996</x:v>
      </x:c>
      <x:c r="Z189" s="15" t="n">
        <x:f>'기준스탯 72종'!D15*H189</x:f>
        <x:v>1.4400000000000004</x:v>
      </x:c>
      <x:c r="AA189" s="15" t="n">
        <x:f>'기준스탯 72종'!E15*H189</x:f>
        <x:v>1.4400000000000004</x:v>
      </x:c>
      <x:c r="AB189" s="15" t="n">
        <x:f>'기준스탯 72종'!F15*H189</x:f>
        <x:v>1.2600000000000002</x:v>
      </x:c>
      <x:c r="AC189" s="15" t="n">
        <x:f>'기준스탯 72종'!G15*H189</x:f>
        <x:v>1.0800000000000003</x:v>
      </x:c>
      <x:c r="AD189" s="15" t="n">
        <x:f>'기준스탯 72종'!H15*H189</x:f>
        <x:v>0.5400000000000001</x:v>
      </x:c>
      <x:c r="AE189" s="15" t="n">
        <x:f>'기준스탯 72종'!I15*H189</x:f>
        <x:v>1.0800000000000003</x:v>
      </x:c>
      <x:c r="AF189" s="15" t="n">
        <x:f>'기준스탯 72종'!J15*H189</x:f>
        <x:v>0.3600000000000001</x:v>
      </x:c>
      <x:c r="AG189" s="15" t="n">
        <x:f>'기준스탯 72종'!K15*H189</x:f>
        <x:v>0.9000000000000002</x:v>
      </x:c>
    </x:row>
    <x:row r="190" ht="28" customHeight="1">
      <x:c r="A190" s="2" t="n">
        <x:v>183</x:v>
      </x:c>
      <x:c r="B190" s="2" t="n">
        <x:v>8</x:v>
      </x:c>
      <x:c r="C190" s="2" t="str">
        <x:v>황소자리</x:v>
      </x:c>
      <x:c r="D190" s="2" t="str">
        <x:v>마도사</x:v>
      </x:c>
      <x:c r="E190" s="2" t="n">
        <x:v>3</x:v>
      </x:c>
      <x:c r="F190" s="2" t="n">
        <x:v>2</x:v>
      </x:c>
      <x:c r="G190" s="14" t="n">
        <x:f>('레벨 계산식'!$E$4-E190)*'레벨 계산식'!$B$5</x:f>
        <x:v>0.27999999999999997</x:v>
      </x:c>
      <x:c r="H190" s="14" t="n">
        <x:f>('등급 계산식'!$E$4-F190)*'등급 계산식'!$B$5</x:f>
        <x:v>0.18000000000000005</x:v>
      </x:c>
      <x:c r="I190" s="14" t="n">
        <x:f>1-G190-H190</x:f>
        <x:v>0.5399999999999999</x:v>
      </x:c>
      <x:c r="J190" s="2" t="n">
        <x:f>MAX(1,ROUND('기준스탯 72종'!D15-R190-Z190,0))</x:f>
        <x:v>4</x:v>
      </x:c>
      <x:c r="K190" s="2" t="n">
        <x:f>MAX(1,ROUND('기준스탯 72종'!E15-S190-AA190,0))</x:f>
        <x:v>4</x:v>
      </x:c>
      <x:c r="L190" s="2" t="n">
        <x:f>MAX(1,ROUND('기준스탯 72종'!F15-T190-AB190,0))</x:f>
        <x:v>4</x:v>
      </x:c>
      <x:c r="M190" s="2" t="n">
        <x:f>MAX(1,ROUND('기준스탯 72종'!G15-U190-AC190,0))</x:f>
        <x:v>3</x:v>
      </x:c>
      <x:c r="N190" s="2" t="n">
        <x:f>MAX(0,ROUND('기준스탯 72종'!H15-V190-AD190,0))</x:f>
        <x:v>2</x:v>
      </x:c>
      <x:c r="O190" s="2" t="n">
        <x:f>MAX(0,ROUND('기준스탯 72종'!I15-W190-AE190,0))</x:f>
        <x:v>3</x:v>
      </x:c>
      <x:c r="P190" s="2" t="n">
        <x:f>MAX(0,ROUND('기준스탯 72종'!J15-X190-AF190,0))</x:f>
        <x:v>1</x:v>
      </x:c>
      <x:c r="Q190" s="2" t="n">
        <x:f>MAX(0,ROUND('기준스탯 72종'!K15-Y190-AG190,0))</x:f>
        <x:v>3</x:v>
      </x:c>
      <x:c r="R190" s="15" t="n">
        <x:f>'기준스탯 72종'!D15*G190</x:f>
        <x:v>2.2399999999999998</x:v>
      </x:c>
      <x:c r="S190" s="15" t="n">
        <x:f>'기준스탯 72종'!E15*G190</x:f>
        <x:v>2.2399999999999998</x:v>
      </x:c>
      <x:c r="T190" s="15" t="n">
        <x:f>'기준스탯 72종'!F15*G190</x:f>
        <x:v>1.9599999999999997</x:v>
      </x:c>
      <x:c r="U190" s="15" t="n">
        <x:f>'기준스탯 72종'!G15*G190</x:f>
        <x:v>1.6799999999999997</x:v>
      </x:c>
      <x:c r="V190" s="15" t="n">
        <x:f>'기준스탯 72종'!H15*G190</x:f>
        <x:v>0.8399999999999999</x:v>
      </x:c>
      <x:c r="W190" s="15" t="n">
        <x:f>'기준스탯 72종'!I15*G190</x:f>
        <x:v>1.6799999999999997</x:v>
      </x:c>
      <x:c r="X190" s="15" t="n">
        <x:f>'기준스탯 72종'!J15*G190</x:f>
        <x:v>0.5599999999999999</x:v>
      </x:c>
      <x:c r="Y190" s="15" t="n">
        <x:f>'기준스탯 72종'!K15*G190</x:f>
        <x:v>1.4</x:v>
      </x:c>
      <x:c r="Z190" s="15" t="n">
        <x:f>'기준스탯 72종'!D15*H190</x:f>
        <x:v>1.4400000000000004</x:v>
      </x:c>
      <x:c r="AA190" s="15" t="n">
        <x:f>'기준스탯 72종'!E15*H190</x:f>
        <x:v>1.4400000000000004</x:v>
      </x:c>
      <x:c r="AB190" s="15" t="n">
        <x:f>'기준스탯 72종'!F15*H190</x:f>
        <x:v>1.2600000000000002</x:v>
      </x:c>
      <x:c r="AC190" s="15" t="n">
        <x:f>'기준스탯 72종'!G15*H190</x:f>
        <x:v>1.0800000000000003</x:v>
      </x:c>
      <x:c r="AD190" s="15" t="n">
        <x:f>'기준스탯 72종'!H15*H190</x:f>
        <x:v>0.5400000000000001</x:v>
      </x:c>
      <x:c r="AE190" s="15" t="n">
        <x:f>'기준스탯 72종'!I15*H190</x:f>
        <x:v>1.0800000000000003</x:v>
      </x:c>
      <x:c r="AF190" s="15" t="n">
        <x:f>'기준스탯 72종'!J15*H190</x:f>
        <x:v>0.3600000000000001</x:v>
      </x:c>
      <x:c r="AG190" s="15" t="n">
        <x:f>'기준스탯 72종'!K15*H190</x:f>
        <x:v>0.9000000000000002</x:v>
      </x:c>
    </x:row>
    <x:row r="191" ht="28" customHeight="1">
      <x:c r="A191" s="2" t="n">
        <x:v>184</x:v>
      </x:c>
      <x:c r="B191" s="2" t="n">
        <x:v>8</x:v>
      </x:c>
      <x:c r="C191" s="2" t="str">
        <x:v>황소자리</x:v>
      </x:c>
      <x:c r="D191" s="2" t="str">
        <x:v>마도사</x:v>
      </x:c>
      <x:c r="E191" s="2" t="n">
        <x:v>4</x:v>
      </x:c>
      <x:c r="F191" s="2" t="n">
        <x:v>2</x:v>
      </x:c>
      <x:c r="G191" s="14" t="n">
        <x:f>('레벨 계산식'!$E$4-E191)*'레벨 계산식'!$B$5</x:f>
        <x:v>0.13999999999999999</x:v>
      </x:c>
      <x:c r="H191" s="14" t="n">
        <x:f>('등급 계산식'!$E$4-F191)*'등급 계산식'!$B$5</x:f>
        <x:v>0.18000000000000005</x:v>
      </x:c>
      <x:c r="I191" s="14" t="n">
        <x:f>1-G191-H191</x:f>
        <x:v>0.6799999999999999</x:v>
      </x:c>
      <x:c r="J191" s="2" t="n">
        <x:f>MAX(1,ROUND('기준스탯 72종'!D15-R191-Z191,0))</x:f>
        <x:v>5</x:v>
      </x:c>
      <x:c r="K191" s="2" t="n">
        <x:f>MAX(1,ROUND('기준스탯 72종'!E15-S191-AA191,0))</x:f>
        <x:v>5</x:v>
      </x:c>
      <x:c r="L191" s="2" t="n">
        <x:f>MAX(1,ROUND('기준스탯 72종'!F15-T191-AB191,0))</x:f>
        <x:v>5</x:v>
      </x:c>
      <x:c r="M191" s="2" t="n">
        <x:f>MAX(1,ROUND('기준스탯 72종'!G15-U191-AC191,0))</x:f>
        <x:v>4</x:v>
      </x:c>
      <x:c r="N191" s="2" t="n">
        <x:f>MAX(0,ROUND('기준스탯 72종'!H15-V191-AD191,0))</x:f>
        <x:v>2</x:v>
      </x:c>
      <x:c r="O191" s="2" t="n">
        <x:f>MAX(0,ROUND('기준스탯 72종'!I15-W191-AE191,0))</x:f>
        <x:v>4</x:v>
      </x:c>
      <x:c r="P191" s="2" t="n">
        <x:f>MAX(0,ROUND('기준스탯 72종'!J15-X191-AF191,0))</x:f>
        <x:v>1</x:v>
      </x:c>
      <x:c r="Q191" s="2" t="n">
        <x:f>MAX(0,ROUND('기준스탯 72종'!K15-Y191-AG191,0))</x:f>
        <x:v>3</x:v>
      </x:c>
      <x:c r="R191" s="15" t="n">
        <x:f>'기준스탯 72종'!D15*G191</x:f>
        <x:v>1.1199999999999999</x:v>
      </x:c>
      <x:c r="S191" s="15" t="n">
        <x:f>'기준스탯 72종'!E15*G191</x:f>
        <x:v>1.1199999999999999</x:v>
      </x:c>
      <x:c r="T191" s="15" t="n">
        <x:f>'기준스탯 72종'!F15*G191</x:f>
        <x:v>0.9799999999999999</x:v>
      </x:c>
      <x:c r="U191" s="15" t="n">
        <x:f>'기준스탯 72종'!G15*G191</x:f>
        <x:v>0.8399999999999999</x:v>
      </x:c>
      <x:c r="V191" s="15" t="n">
        <x:f>'기준스탯 72종'!H15*G191</x:f>
        <x:v>0.41999999999999993</x:v>
      </x:c>
      <x:c r="W191" s="15" t="n">
        <x:f>'기준스탯 72종'!I15*G191</x:f>
        <x:v>0.8399999999999999</x:v>
      </x:c>
      <x:c r="X191" s="15" t="n">
        <x:f>'기준스탯 72종'!J15*G191</x:f>
        <x:v>0.27999999999999997</x:v>
      </x:c>
      <x:c r="Y191" s="15" t="n">
        <x:f>'기준스탯 72종'!K15*G191</x:f>
        <x:v>0.7</x:v>
      </x:c>
      <x:c r="Z191" s="15" t="n">
        <x:f>'기준스탯 72종'!D15*H191</x:f>
        <x:v>1.4400000000000004</x:v>
      </x:c>
      <x:c r="AA191" s="15" t="n">
        <x:f>'기준스탯 72종'!E15*H191</x:f>
        <x:v>1.4400000000000004</x:v>
      </x:c>
      <x:c r="AB191" s="15" t="n">
        <x:f>'기준스탯 72종'!F15*H191</x:f>
        <x:v>1.2600000000000002</x:v>
      </x:c>
      <x:c r="AC191" s="15" t="n">
        <x:f>'기준스탯 72종'!G15*H191</x:f>
        <x:v>1.0800000000000003</x:v>
      </x:c>
      <x:c r="AD191" s="15" t="n">
        <x:f>'기준스탯 72종'!H15*H191</x:f>
        <x:v>0.5400000000000001</x:v>
      </x:c>
      <x:c r="AE191" s="15" t="n">
        <x:f>'기준스탯 72종'!I15*H191</x:f>
        <x:v>1.0800000000000003</x:v>
      </x:c>
      <x:c r="AF191" s="15" t="n">
        <x:f>'기준스탯 72종'!J15*H191</x:f>
        <x:v>0.3600000000000001</x:v>
      </x:c>
      <x:c r="AG191" s="15" t="n">
        <x:f>'기준스탯 72종'!K15*H191</x:f>
        <x:v>0.9000000000000002</x:v>
      </x:c>
    </x:row>
    <x:row r="192" ht="28" customHeight="1">
      <x:c r="A192" s="2" t="n">
        <x:v>185</x:v>
      </x:c>
      <x:c r="B192" s="2" t="n">
        <x:v>8</x:v>
      </x:c>
      <x:c r="C192" s="2" t="str">
        <x:v>황소자리</x:v>
      </x:c>
      <x:c r="D192" s="2" t="str">
        <x:v>마도사</x:v>
      </x:c>
      <x:c r="E192" s="2" t="n">
        <x:v>5</x:v>
      </x:c>
      <x:c r="F192" s="2" t="n">
        <x:v>2</x:v>
      </x:c>
      <x:c r="G192" s="14" t="n">
        <x:f>('레벨 계산식'!$E$4-E192)*'레벨 계산식'!$B$5</x:f>
        <x:v>0</x:v>
      </x:c>
      <x:c r="H192" s="14" t="n">
        <x:f>('등급 계산식'!$E$4-F192)*'등급 계산식'!$B$5</x:f>
        <x:v>0.18000000000000005</x:v>
      </x:c>
      <x:c r="I192" s="14" t="n">
        <x:f>1-G192-H192</x:f>
        <x:v>0.82</x:v>
      </x:c>
      <x:c r="J192" s="2" t="n">
        <x:f>MAX(1,ROUND('기준스탯 72종'!D15-R192-Z192,0))</x:f>
        <x:v>7</x:v>
      </x:c>
      <x:c r="K192" s="2" t="n">
        <x:f>MAX(1,ROUND('기준스탯 72종'!E15-S192-AA192,0))</x:f>
        <x:v>7</x:v>
      </x:c>
      <x:c r="L192" s="2" t="n">
        <x:f>MAX(1,ROUND('기준스탯 72종'!F15-T192-AB192,0))</x:f>
        <x:v>6</x:v>
      </x:c>
      <x:c r="M192" s="2" t="n">
        <x:f>MAX(1,ROUND('기준스탯 72종'!G15-U192-AC192,0))</x:f>
        <x:v>5</x:v>
      </x:c>
      <x:c r="N192" s="2" t="n">
        <x:f>MAX(0,ROUND('기준스탯 72종'!H15-V192-AD192,0))</x:f>
        <x:v>2</x:v>
      </x:c>
      <x:c r="O192" s="2" t="n">
        <x:f>MAX(0,ROUND('기준스탯 72종'!I15-W192-AE192,0))</x:f>
        <x:v>5</x:v>
      </x:c>
      <x:c r="P192" s="2" t="n">
        <x:f>MAX(0,ROUND('기준스탯 72종'!J15-X192-AF192,0))</x:f>
        <x:v>2</x:v>
      </x:c>
      <x:c r="Q192" s="2" t="n">
        <x:f>MAX(0,ROUND('기준스탯 72종'!K15-Y192-AG192,0))</x:f>
        <x:v>4</x:v>
      </x:c>
      <x:c r="R192" s="15" t="n">
        <x:f>'기준스탯 72종'!D15*G192</x:f>
        <x:v>0</x:v>
      </x:c>
      <x:c r="S192" s="15" t="n">
        <x:f>'기준스탯 72종'!E15*G192</x:f>
        <x:v>0</x:v>
      </x:c>
      <x:c r="T192" s="15" t="n">
        <x:f>'기준스탯 72종'!F15*G192</x:f>
        <x:v>0</x:v>
      </x:c>
      <x:c r="U192" s="15" t="n">
        <x:f>'기준스탯 72종'!G15*G192</x:f>
        <x:v>0</x:v>
      </x:c>
      <x:c r="V192" s="15" t="n">
        <x:f>'기준스탯 72종'!H15*G192</x:f>
        <x:v>0</x:v>
      </x:c>
      <x:c r="W192" s="15" t="n">
        <x:f>'기준스탯 72종'!I15*G192</x:f>
        <x:v>0</x:v>
      </x:c>
      <x:c r="X192" s="15" t="n">
        <x:f>'기준스탯 72종'!J15*G192</x:f>
        <x:v>0</x:v>
      </x:c>
      <x:c r="Y192" s="15" t="n">
        <x:f>'기준스탯 72종'!K15*G192</x:f>
        <x:v>0</x:v>
      </x:c>
      <x:c r="Z192" s="15" t="n">
        <x:f>'기준스탯 72종'!D15*H192</x:f>
        <x:v>1.4400000000000004</x:v>
      </x:c>
      <x:c r="AA192" s="15" t="n">
        <x:f>'기준스탯 72종'!E15*H192</x:f>
        <x:v>1.4400000000000004</x:v>
      </x:c>
      <x:c r="AB192" s="15" t="n">
        <x:f>'기준스탯 72종'!F15*H192</x:f>
        <x:v>1.2600000000000002</x:v>
      </x:c>
      <x:c r="AC192" s="15" t="n">
        <x:f>'기준스탯 72종'!G15*H192</x:f>
        <x:v>1.0800000000000003</x:v>
      </x:c>
      <x:c r="AD192" s="15" t="n">
        <x:f>'기준스탯 72종'!H15*H192</x:f>
        <x:v>0.5400000000000001</x:v>
      </x:c>
      <x:c r="AE192" s="15" t="n">
        <x:f>'기준스탯 72종'!I15*H192</x:f>
        <x:v>1.0800000000000003</x:v>
      </x:c>
      <x:c r="AF192" s="15" t="n">
        <x:f>'기준스탯 72종'!J15*H192</x:f>
        <x:v>0.3600000000000001</x:v>
      </x:c>
      <x:c r="AG192" s="15" t="n">
        <x:f>'기준스탯 72종'!K15*H192</x:f>
        <x:v>0.9000000000000002</x:v>
      </x:c>
    </x:row>
    <x:row r="193" ht="28" customHeight="1">
      <x:c r="A193" s="2" t="n">
        <x:v>186</x:v>
      </x:c>
      <x:c r="B193" s="2" t="n">
        <x:v>8</x:v>
      </x:c>
      <x:c r="C193" s="2" t="str">
        <x:v>황소자리</x:v>
      </x:c>
      <x:c r="D193" s="2" t="str">
        <x:v>마도사</x:v>
      </x:c>
      <x:c r="E193" s="2" t="n">
        <x:v>1</x:v>
      </x:c>
      <x:c r="F193" s="2" t="n">
        <x:v>3</x:v>
      </x:c>
      <x:c r="G193" s="14" t="n">
        <x:f>('레벨 계산식'!$E$4-E193)*'레벨 계산식'!$B$5</x:f>
        <x:v>0.5599999999999999</x:v>
      </x:c>
      <x:c r="H193" s="14" t="n">
        <x:f>('등급 계산식'!$E$4-F193)*'등급 계산식'!$B$5</x:f>
        <x:v>0.12000000000000002</x:v>
      </x:c>
      <x:c r="I193" s="14" t="n">
        <x:f>1-G193-H193</x:f>
        <x:v>0.32000000000000006</x:v>
      </x:c>
      <x:c r="J193" s="2" t="n">
        <x:f>MAX(1,ROUND('기준스탯 72종'!D15-R193-Z193,0))</x:f>
        <x:v>3</x:v>
      </x:c>
      <x:c r="K193" s="2" t="n">
        <x:f>MAX(1,ROUND('기준스탯 72종'!E15-S193-AA193,0))</x:f>
        <x:v>3</x:v>
      </x:c>
      <x:c r="L193" s="2" t="n">
        <x:f>MAX(1,ROUND('기준스탯 72종'!F15-T193-AB193,0))</x:f>
        <x:v>2</x:v>
      </x:c>
      <x:c r="M193" s="2" t="n">
        <x:f>MAX(1,ROUND('기준스탯 72종'!G15-U193-AC193,0))</x:f>
        <x:v>2</x:v>
      </x:c>
      <x:c r="N193" s="2" t="n">
        <x:f>MAX(0,ROUND('기준스탯 72종'!H15-V193-AD193,0))</x:f>
        <x:v>1</x:v>
      </x:c>
      <x:c r="O193" s="2" t="n">
        <x:f>MAX(0,ROUND('기준스탯 72종'!I15-W193-AE193,0))</x:f>
        <x:v>2</x:v>
      </x:c>
      <x:c r="P193" s="2" t="n">
        <x:f>MAX(0,ROUND('기준스탯 72종'!J15-X193-AF193,0))</x:f>
        <x:v>1</x:v>
      </x:c>
      <x:c r="Q193" s="2" t="n">
        <x:f>MAX(0,ROUND('기준스탯 72종'!K15-Y193-AG193,0))</x:f>
        <x:v>2</x:v>
      </x:c>
      <x:c r="R193" s="15" t="n">
        <x:f>'기준스탯 72종'!D15*G193</x:f>
        <x:v>4.4799999999999995</x:v>
      </x:c>
      <x:c r="S193" s="15" t="n">
        <x:f>'기준스탯 72종'!E15*G193</x:f>
        <x:v>4.4799999999999995</x:v>
      </x:c>
      <x:c r="T193" s="15" t="n">
        <x:f>'기준스탯 72종'!F15*G193</x:f>
        <x:v>3.9199999999999995</x:v>
      </x:c>
      <x:c r="U193" s="15" t="n">
        <x:f>'기준스탯 72종'!G15*G193</x:f>
        <x:v>3.3599999999999994</x:v>
      </x:c>
      <x:c r="V193" s="15" t="n">
        <x:f>'기준스탯 72종'!H15*G193</x:f>
        <x:v>1.6799999999999997</x:v>
      </x:c>
      <x:c r="W193" s="15" t="n">
        <x:f>'기준스탯 72종'!I15*G193</x:f>
        <x:v>3.3599999999999994</x:v>
      </x:c>
      <x:c r="X193" s="15" t="n">
        <x:f>'기준스탯 72종'!J15*G193</x:f>
        <x:v>1.1199999999999999</x:v>
      </x:c>
      <x:c r="Y193" s="15" t="n">
        <x:f>'기준스탯 72종'!K15*G193</x:f>
        <x:v>2.8</x:v>
      </x:c>
      <x:c r="Z193" s="15" t="n">
        <x:f>'기준스탯 72종'!D15*H193</x:f>
        <x:v>0.9600000000000002</x:v>
      </x:c>
      <x:c r="AA193" s="15" t="n">
        <x:f>'기준스탯 72종'!E15*H193</x:f>
        <x:v>0.9600000000000002</x:v>
      </x:c>
      <x:c r="AB193" s="15" t="n">
        <x:f>'기준스탯 72종'!F15*H193</x:f>
        <x:v>0.8400000000000002</x:v>
      </x:c>
      <x:c r="AC193" s="15" t="n">
        <x:f>'기준스탯 72종'!G15*H193</x:f>
        <x:v>0.7200000000000002</x:v>
      </x:c>
      <x:c r="AD193" s="15" t="n">
        <x:f>'기준스탯 72종'!H15*H193</x:f>
        <x:v>0.3600000000000001</x:v>
      </x:c>
      <x:c r="AE193" s="15" t="n">
        <x:f>'기준스탯 72종'!I15*H193</x:f>
        <x:v>0.7200000000000002</x:v>
      </x:c>
      <x:c r="AF193" s="15" t="n">
        <x:f>'기준스탯 72종'!J15*H193</x:f>
        <x:v>0.24000000000000005</x:v>
      </x:c>
      <x:c r="AG193" s="15" t="n">
        <x:f>'기준스탯 72종'!K15*H193</x:f>
        <x:v>0.6000000000000001</x:v>
      </x:c>
    </x:row>
    <x:row r="194" ht="28" customHeight="1">
      <x:c r="A194" s="2" t="n">
        <x:v>187</x:v>
      </x:c>
      <x:c r="B194" s="2" t="n">
        <x:v>8</x:v>
      </x:c>
      <x:c r="C194" s="2" t="str">
        <x:v>황소자리</x:v>
      </x:c>
      <x:c r="D194" s="2" t="str">
        <x:v>마도사</x:v>
      </x:c>
      <x:c r="E194" s="2" t="n">
        <x:v>2</x:v>
      </x:c>
      <x:c r="F194" s="2" t="n">
        <x:v>3</x:v>
      </x:c>
      <x:c r="G194" s="14" t="n">
        <x:f>('레벨 계산식'!$E$4-E194)*'레벨 계산식'!$B$5</x:f>
        <x:v>0.41999999999999993</x:v>
      </x:c>
      <x:c r="H194" s="14" t="n">
        <x:f>('등급 계산식'!$E$4-F194)*'등급 계산식'!$B$5</x:f>
        <x:v>0.12000000000000002</x:v>
      </x:c>
      <x:c r="I194" s="14" t="n">
        <x:f>1-G194-H194</x:f>
        <x:v>0.4600000000000001</x:v>
      </x:c>
      <x:c r="J194" s="2" t="n">
        <x:f>MAX(1,ROUND('기준스탯 72종'!D15-R194-Z194,0))</x:f>
        <x:v>4</x:v>
      </x:c>
      <x:c r="K194" s="2" t="n">
        <x:f>MAX(1,ROUND('기준스탯 72종'!E15-S194-AA194,0))</x:f>
        <x:v>4</x:v>
      </x:c>
      <x:c r="L194" s="2" t="n">
        <x:f>MAX(1,ROUND('기준스탯 72종'!F15-T194-AB194,0))</x:f>
        <x:v>3</x:v>
      </x:c>
      <x:c r="M194" s="2" t="n">
        <x:f>MAX(1,ROUND('기준스탯 72종'!G15-U194-AC194,0))</x:f>
        <x:v>3</x:v>
      </x:c>
      <x:c r="N194" s="2" t="n">
        <x:f>MAX(0,ROUND('기준스탯 72종'!H15-V194-AD194,0))</x:f>
        <x:v>1</x:v>
      </x:c>
      <x:c r="O194" s="2" t="n">
        <x:f>MAX(0,ROUND('기준스탯 72종'!I15-W194-AE194,0))</x:f>
        <x:v>3</x:v>
      </x:c>
      <x:c r="P194" s="2" t="n">
        <x:f>MAX(0,ROUND('기준스탯 72종'!J15-X194-AF194,0))</x:f>
        <x:v>1</x:v>
      </x:c>
      <x:c r="Q194" s="2" t="n">
        <x:f>MAX(0,ROUND('기준스탯 72종'!K15-Y194-AG194,0))</x:f>
        <x:v>2</x:v>
      </x:c>
      <x:c r="R194" s="15" t="n">
        <x:f>'기준스탯 72종'!D15*G194</x:f>
        <x:v>3.3599999999999994</x:v>
      </x:c>
      <x:c r="S194" s="15" t="n">
        <x:f>'기준스탯 72종'!E15*G194</x:f>
        <x:v>3.3599999999999994</x:v>
      </x:c>
      <x:c r="T194" s="15" t="n">
        <x:f>'기준스탯 72종'!F15*G194</x:f>
        <x:v>2.9399999999999995</x:v>
      </x:c>
      <x:c r="U194" s="15" t="n">
        <x:f>'기준스탯 72종'!G15*G194</x:f>
        <x:v>2.5199999999999996</x:v>
      </x:c>
      <x:c r="V194" s="15" t="n">
        <x:f>'기준스탯 72종'!H15*G194</x:f>
        <x:v>1.2599999999999998</x:v>
      </x:c>
      <x:c r="W194" s="15" t="n">
        <x:f>'기준스탯 72종'!I15*G194</x:f>
        <x:v>2.5199999999999996</x:v>
      </x:c>
      <x:c r="X194" s="15" t="n">
        <x:f>'기준스탯 72종'!J15*G194</x:f>
        <x:v>0.8399999999999999</x:v>
      </x:c>
      <x:c r="Y194" s="15" t="n">
        <x:f>'기준스탯 72종'!K15*G194</x:f>
        <x:v>2.0999999999999996</x:v>
      </x:c>
      <x:c r="Z194" s="15" t="n">
        <x:f>'기준스탯 72종'!D15*H194</x:f>
        <x:v>0.9600000000000002</x:v>
      </x:c>
      <x:c r="AA194" s="15" t="n">
        <x:f>'기준스탯 72종'!E15*H194</x:f>
        <x:v>0.9600000000000002</x:v>
      </x:c>
      <x:c r="AB194" s="15" t="n">
        <x:f>'기준스탯 72종'!F15*H194</x:f>
        <x:v>0.8400000000000002</x:v>
      </x:c>
      <x:c r="AC194" s="15" t="n">
        <x:f>'기준스탯 72종'!G15*H194</x:f>
        <x:v>0.7200000000000002</x:v>
      </x:c>
      <x:c r="AD194" s="15" t="n">
        <x:f>'기준스탯 72종'!H15*H194</x:f>
        <x:v>0.3600000000000001</x:v>
      </x:c>
      <x:c r="AE194" s="15" t="n">
        <x:f>'기준스탯 72종'!I15*H194</x:f>
        <x:v>0.7200000000000002</x:v>
      </x:c>
      <x:c r="AF194" s="15" t="n">
        <x:f>'기준스탯 72종'!J15*H194</x:f>
        <x:v>0.24000000000000005</x:v>
      </x:c>
      <x:c r="AG194" s="15" t="n">
        <x:f>'기준스탯 72종'!K15*H194</x:f>
        <x:v>0.6000000000000001</x:v>
      </x:c>
    </x:row>
    <x:row r="195" ht="28" customHeight="1">
      <x:c r="A195" s="2" t="n">
        <x:v>188</x:v>
      </x:c>
      <x:c r="B195" s="2" t="n">
        <x:v>8</x:v>
      </x:c>
      <x:c r="C195" s="2" t="str">
        <x:v>황소자리</x:v>
      </x:c>
      <x:c r="D195" s="2" t="str">
        <x:v>마도사</x:v>
      </x:c>
      <x:c r="E195" s="2" t="n">
        <x:v>3</x:v>
      </x:c>
      <x:c r="F195" s="2" t="n">
        <x:v>3</x:v>
      </x:c>
      <x:c r="G195" s="14" t="n">
        <x:f>('레벨 계산식'!$E$4-E195)*'레벨 계산식'!$B$5</x:f>
        <x:v>0.27999999999999997</x:v>
      </x:c>
      <x:c r="H195" s="14" t="n">
        <x:f>('등급 계산식'!$E$4-F195)*'등급 계산식'!$B$5</x:f>
        <x:v>0.12000000000000002</x:v>
      </x:c>
      <x:c r="I195" s="14" t="n">
        <x:f>1-G195-H195</x:f>
        <x:v>0.6</x:v>
      </x:c>
      <x:c r="J195" s="2" t="n">
        <x:f>MAX(1,ROUND('기준스탯 72종'!D15-R195-Z195,0))</x:f>
        <x:v>5</x:v>
      </x:c>
      <x:c r="K195" s="2" t="n">
        <x:f>MAX(1,ROUND('기준스탯 72종'!E15-S195-AA195,0))</x:f>
        <x:v>5</x:v>
      </x:c>
      <x:c r="L195" s="2" t="n">
        <x:f>MAX(1,ROUND('기준스탯 72종'!F15-T195-AB195,0))</x:f>
        <x:v>4</x:v>
      </x:c>
      <x:c r="M195" s="2" t="n">
        <x:f>MAX(1,ROUND('기준스탯 72종'!G15-U195-AC195,0))</x:f>
        <x:v>4</x:v>
      </x:c>
      <x:c r="N195" s="2" t="n">
        <x:f>MAX(0,ROUND('기준스탯 72종'!H15-V195-AD195,0))</x:f>
        <x:v>2</x:v>
      </x:c>
      <x:c r="O195" s="2" t="n">
        <x:f>MAX(0,ROUND('기준스탯 72종'!I15-W195-AE195,0))</x:f>
        <x:v>4</x:v>
      </x:c>
      <x:c r="P195" s="2" t="n">
        <x:f>MAX(0,ROUND('기준스탯 72종'!J15-X195-AF195,0))</x:f>
        <x:v>1</x:v>
      </x:c>
      <x:c r="Q195" s="2" t="n">
        <x:f>MAX(0,ROUND('기준스탯 72종'!K15-Y195-AG195,0))</x:f>
        <x:v>3</x:v>
      </x:c>
      <x:c r="R195" s="15" t="n">
        <x:f>'기준스탯 72종'!D15*G195</x:f>
        <x:v>2.2399999999999998</x:v>
      </x:c>
      <x:c r="S195" s="15" t="n">
        <x:f>'기준스탯 72종'!E15*G195</x:f>
        <x:v>2.2399999999999998</x:v>
      </x:c>
      <x:c r="T195" s="15" t="n">
        <x:f>'기준스탯 72종'!F15*G195</x:f>
        <x:v>1.9599999999999997</x:v>
      </x:c>
      <x:c r="U195" s="15" t="n">
        <x:f>'기준스탯 72종'!G15*G195</x:f>
        <x:v>1.6799999999999997</x:v>
      </x:c>
      <x:c r="V195" s="15" t="n">
        <x:f>'기준스탯 72종'!H15*G195</x:f>
        <x:v>0.8399999999999999</x:v>
      </x:c>
      <x:c r="W195" s="15" t="n">
        <x:f>'기준스탯 72종'!I15*G195</x:f>
        <x:v>1.6799999999999997</x:v>
      </x:c>
      <x:c r="X195" s="15" t="n">
        <x:f>'기준스탯 72종'!J15*G195</x:f>
        <x:v>0.5599999999999999</x:v>
      </x:c>
      <x:c r="Y195" s="15" t="n">
        <x:f>'기준스탯 72종'!K15*G195</x:f>
        <x:v>1.4</x:v>
      </x:c>
      <x:c r="Z195" s="15" t="n">
        <x:f>'기준스탯 72종'!D15*H195</x:f>
        <x:v>0.9600000000000002</x:v>
      </x:c>
      <x:c r="AA195" s="15" t="n">
        <x:f>'기준스탯 72종'!E15*H195</x:f>
        <x:v>0.9600000000000002</x:v>
      </x:c>
      <x:c r="AB195" s="15" t="n">
        <x:f>'기준스탯 72종'!F15*H195</x:f>
        <x:v>0.8400000000000002</x:v>
      </x:c>
      <x:c r="AC195" s="15" t="n">
        <x:f>'기준스탯 72종'!G15*H195</x:f>
        <x:v>0.7200000000000002</x:v>
      </x:c>
      <x:c r="AD195" s="15" t="n">
        <x:f>'기준스탯 72종'!H15*H195</x:f>
        <x:v>0.3600000000000001</x:v>
      </x:c>
      <x:c r="AE195" s="15" t="n">
        <x:f>'기준스탯 72종'!I15*H195</x:f>
        <x:v>0.7200000000000002</x:v>
      </x:c>
      <x:c r="AF195" s="15" t="n">
        <x:f>'기준스탯 72종'!J15*H195</x:f>
        <x:v>0.24000000000000005</x:v>
      </x:c>
      <x:c r="AG195" s="15" t="n">
        <x:f>'기준스탯 72종'!K15*H195</x:f>
        <x:v>0.6000000000000001</x:v>
      </x:c>
    </x:row>
    <x:row r="196" ht="28" customHeight="1">
      <x:c r="A196" s="2" t="n">
        <x:v>189</x:v>
      </x:c>
      <x:c r="B196" s="2" t="n">
        <x:v>8</x:v>
      </x:c>
      <x:c r="C196" s="2" t="str">
        <x:v>황소자리</x:v>
      </x:c>
      <x:c r="D196" s="2" t="str">
        <x:v>마도사</x:v>
      </x:c>
      <x:c r="E196" s="2" t="n">
        <x:v>4</x:v>
      </x:c>
      <x:c r="F196" s="2" t="n">
        <x:v>3</x:v>
      </x:c>
      <x:c r="G196" s="14" t="n">
        <x:f>('레벨 계산식'!$E$4-E196)*'레벨 계산식'!$B$5</x:f>
        <x:v>0.13999999999999999</x:v>
      </x:c>
      <x:c r="H196" s="14" t="n">
        <x:f>('등급 계산식'!$E$4-F196)*'등급 계산식'!$B$5</x:f>
        <x:v>0.12000000000000002</x:v>
      </x:c>
      <x:c r="I196" s="14" t="n">
        <x:f>1-G196-H196</x:f>
        <x:v>0.74</x:v>
      </x:c>
      <x:c r="J196" s="2" t="n">
        <x:f>MAX(1,ROUND('기준스탯 72종'!D15-R196-Z196,0))</x:f>
        <x:v>6</x:v>
      </x:c>
      <x:c r="K196" s="2" t="n">
        <x:f>MAX(1,ROUND('기준스탯 72종'!E15-S196-AA196,0))</x:f>
        <x:v>6</x:v>
      </x:c>
      <x:c r="L196" s="2" t="n">
        <x:f>MAX(1,ROUND('기준스탯 72종'!F15-T196-AB196,0))</x:f>
        <x:v>5</x:v>
      </x:c>
      <x:c r="M196" s="2" t="n">
        <x:f>MAX(1,ROUND('기준스탯 72종'!G15-U196-AC196,0))</x:f>
        <x:v>4</x:v>
      </x:c>
      <x:c r="N196" s="2" t="n">
        <x:f>MAX(0,ROUND('기준스탯 72종'!H15-V196-AD196,0))</x:f>
        <x:v>2</x:v>
      </x:c>
      <x:c r="O196" s="2" t="n">
        <x:f>MAX(0,ROUND('기준스탯 72종'!I15-W196-AE196,0))</x:f>
        <x:v>4</x:v>
      </x:c>
      <x:c r="P196" s="2" t="n">
        <x:f>MAX(0,ROUND('기준스탯 72종'!J15-X196-AF196,0))</x:f>
        <x:v>1</x:v>
      </x:c>
      <x:c r="Q196" s="2" t="n">
        <x:f>MAX(0,ROUND('기준스탯 72종'!K15-Y196-AG196,0))</x:f>
        <x:v>4</x:v>
      </x:c>
      <x:c r="R196" s="15" t="n">
        <x:f>'기준스탯 72종'!D15*G196</x:f>
        <x:v>1.1199999999999999</x:v>
      </x:c>
      <x:c r="S196" s="15" t="n">
        <x:f>'기준스탯 72종'!E15*G196</x:f>
        <x:v>1.1199999999999999</x:v>
      </x:c>
      <x:c r="T196" s="15" t="n">
        <x:f>'기준스탯 72종'!F15*G196</x:f>
        <x:v>0.9799999999999999</x:v>
      </x:c>
      <x:c r="U196" s="15" t="n">
        <x:f>'기준스탯 72종'!G15*G196</x:f>
        <x:v>0.8399999999999999</x:v>
      </x:c>
      <x:c r="V196" s="15" t="n">
        <x:f>'기준스탯 72종'!H15*G196</x:f>
        <x:v>0.41999999999999993</x:v>
      </x:c>
      <x:c r="W196" s="15" t="n">
        <x:f>'기준스탯 72종'!I15*G196</x:f>
        <x:v>0.8399999999999999</x:v>
      </x:c>
      <x:c r="X196" s="15" t="n">
        <x:f>'기준스탯 72종'!J15*G196</x:f>
        <x:v>0.27999999999999997</x:v>
      </x:c>
      <x:c r="Y196" s="15" t="n">
        <x:f>'기준스탯 72종'!K15*G196</x:f>
        <x:v>0.7</x:v>
      </x:c>
      <x:c r="Z196" s="15" t="n">
        <x:f>'기준스탯 72종'!D15*H196</x:f>
        <x:v>0.9600000000000002</x:v>
      </x:c>
      <x:c r="AA196" s="15" t="n">
        <x:f>'기준스탯 72종'!E15*H196</x:f>
        <x:v>0.9600000000000002</x:v>
      </x:c>
      <x:c r="AB196" s="15" t="n">
        <x:f>'기준스탯 72종'!F15*H196</x:f>
        <x:v>0.8400000000000002</x:v>
      </x:c>
      <x:c r="AC196" s="15" t="n">
        <x:f>'기준스탯 72종'!G15*H196</x:f>
        <x:v>0.7200000000000002</x:v>
      </x:c>
      <x:c r="AD196" s="15" t="n">
        <x:f>'기준스탯 72종'!H15*H196</x:f>
        <x:v>0.3600000000000001</x:v>
      </x:c>
      <x:c r="AE196" s="15" t="n">
        <x:f>'기준스탯 72종'!I15*H196</x:f>
        <x:v>0.7200000000000002</x:v>
      </x:c>
      <x:c r="AF196" s="15" t="n">
        <x:f>'기준스탯 72종'!J15*H196</x:f>
        <x:v>0.24000000000000005</x:v>
      </x:c>
      <x:c r="AG196" s="15" t="n">
        <x:f>'기준스탯 72종'!K15*H196</x:f>
        <x:v>0.6000000000000001</x:v>
      </x:c>
    </x:row>
    <x:row r="197" ht="28" customHeight="1">
      <x:c r="A197" s="2" t="n">
        <x:v>190</x:v>
      </x:c>
      <x:c r="B197" s="2" t="n">
        <x:v>8</x:v>
      </x:c>
      <x:c r="C197" s="2" t="str">
        <x:v>황소자리</x:v>
      </x:c>
      <x:c r="D197" s="2" t="str">
        <x:v>마도사</x:v>
      </x:c>
      <x:c r="E197" s="2" t="n">
        <x:v>5</x:v>
      </x:c>
      <x:c r="F197" s="2" t="n">
        <x:v>3</x:v>
      </x:c>
      <x:c r="G197" s="14" t="n">
        <x:f>('레벨 계산식'!$E$4-E197)*'레벨 계산식'!$B$5</x:f>
        <x:v>0</x:v>
      </x:c>
      <x:c r="H197" s="14" t="n">
        <x:f>('등급 계산식'!$E$4-F197)*'등급 계산식'!$B$5</x:f>
        <x:v>0.12000000000000002</x:v>
      </x:c>
      <x:c r="I197" s="14" t="n">
        <x:f>1-G197-H197</x:f>
        <x:v>0.88</x:v>
      </x:c>
      <x:c r="J197" s="2" t="n">
        <x:f>MAX(1,ROUND('기준스탯 72종'!D15-R197-Z197,0))</x:f>
        <x:v>7</x:v>
      </x:c>
      <x:c r="K197" s="2" t="n">
        <x:f>MAX(1,ROUND('기준스탯 72종'!E15-S197-AA197,0))</x:f>
        <x:v>7</x:v>
      </x:c>
      <x:c r="L197" s="2" t="n">
        <x:f>MAX(1,ROUND('기준스탯 72종'!F15-T197-AB197,0))</x:f>
        <x:v>6</x:v>
      </x:c>
      <x:c r="M197" s="2" t="n">
        <x:f>MAX(1,ROUND('기준스탯 72종'!G15-U197-AC197,0))</x:f>
        <x:v>5</x:v>
      </x:c>
      <x:c r="N197" s="2" t="n">
        <x:f>MAX(0,ROUND('기준스탯 72종'!H15-V197-AD197,0))</x:f>
        <x:v>3</x:v>
      </x:c>
      <x:c r="O197" s="2" t="n">
        <x:f>MAX(0,ROUND('기준스탯 72종'!I15-W197-AE197,0))</x:f>
        <x:v>5</x:v>
      </x:c>
      <x:c r="P197" s="2" t="n">
        <x:f>MAX(0,ROUND('기준스탯 72종'!J15-X197-AF197,0))</x:f>
        <x:v>2</x:v>
      </x:c>
      <x:c r="Q197" s="2" t="n">
        <x:f>MAX(0,ROUND('기준스탯 72종'!K15-Y197-AG197,0))</x:f>
        <x:v>4</x:v>
      </x:c>
      <x:c r="R197" s="15" t="n">
        <x:f>'기준스탯 72종'!D15*G197</x:f>
        <x:v>0</x:v>
      </x:c>
      <x:c r="S197" s="15" t="n">
        <x:f>'기준스탯 72종'!E15*G197</x:f>
        <x:v>0</x:v>
      </x:c>
      <x:c r="T197" s="15" t="n">
        <x:f>'기준스탯 72종'!F15*G197</x:f>
        <x:v>0</x:v>
      </x:c>
      <x:c r="U197" s="15" t="n">
        <x:f>'기준스탯 72종'!G15*G197</x:f>
        <x:v>0</x:v>
      </x:c>
      <x:c r="V197" s="15" t="n">
        <x:f>'기준스탯 72종'!H15*G197</x:f>
        <x:v>0</x:v>
      </x:c>
      <x:c r="W197" s="15" t="n">
        <x:f>'기준스탯 72종'!I15*G197</x:f>
        <x:v>0</x:v>
      </x:c>
      <x:c r="X197" s="15" t="n">
        <x:f>'기준스탯 72종'!J15*G197</x:f>
        <x:v>0</x:v>
      </x:c>
      <x:c r="Y197" s="15" t="n">
        <x:f>'기준스탯 72종'!K15*G197</x:f>
        <x:v>0</x:v>
      </x:c>
      <x:c r="Z197" s="15" t="n">
        <x:f>'기준스탯 72종'!D15*H197</x:f>
        <x:v>0.9600000000000002</x:v>
      </x:c>
      <x:c r="AA197" s="15" t="n">
        <x:f>'기준스탯 72종'!E15*H197</x:f>
        <x:v>0.9600000000000002</x:v>
      </x:c>
      <x:c r="AB197" s="15" t="n">
        <x:f>'기준스탯 72종'!F15*H197</x:f>
        <x:v>0.8400000000000002</x:v>
      </x:c>
      <x:c r="AC197" s="15" t="n">
        <x:f>'기준스탯 72종'!G15*H197</x:f>
        <x:v>0.7200000000000002</x:v>
      </x:c>
      <x:c r="AD197" s="15" t="n">
        <x:f>'기준스탯 72종'!H15*H197</x:f>
        <x:v>0.3600000000000001</x:v>
      </x:c>
      <x:c r="AE197" s="15" t="n">
        <x:f>'기준스탯 72종'!I15*H197</x:f>
        <x:v>0.7200000000000002</x:v>
      </x:c>
      <x:c r="AF197" s="15" t="n">
        <x:f>'기준스탯 72종'!J15*H197</x:f>
        <x:v>0.24000000000000005</x:v>
      </x:c>
      <x:c r="AG197" s="15" t="n">
        <x:f>'기준스탯 72종'!K15*H197</x:f>
        <x:v>0.6000000000000001</x:v>
      </x:c>
    </x:row>
    <x:row r="198" ht="28" customHeight="1">
      <x:c r="A198" s="2" t="n">
        <x:v>191</x:v>
      </x:c>
      <x:c r="B198" s="2" t="n">
        <x:v>8</x:v>
      </x:c>
      <x:c r="C198" s="2" t="str">
        <x:v>황소자리</x:v>
      </x:c>
      <x:c r="D198" s="2" t="str">
        <x:v>마도사</x:v>
      </x:c>
      <x:c r="E198" s="2" t="n">
        <x:v>1</x:v>
      </x:c>
      <x:c r="F198" s="2" t="n">
        <x:v>4</x:v>
      </x:c>
      <x:c r="G198" s="14" t="n">
        <x:f>('레벨 계산식'!$E$4-E198)*'레벨 계산식'!$B$5</x:f>
        <x:v>0.5599999999999999</x:v>
      </x:c>
      <x:c r="H198" s="14" t="n">
        <x:f>('등급 계산식'!$E$4-F198)*'등급 계산식'!$B$5</x:f>
        <x:v>0.06000000000000001</x:v>
      </x:c>
      <x:c r="I198" s="14" t="n">
        <x:f>1-G198-H198</x:f>
        <x:v>0.38000000000000006</x:v>
      </x:c>
      <x:c r="J198" s="2" t="n">
        <x:f>MAX(1,ROUND('기준스탯 72종'!D15-R198-Z198,0))</x:f>
        <x:v>3</x:v>
      </x:c>
      <x:c r="K198" s="2" t="n">
        <x:f>MAX(1,ROUND('기준스탯 72종'!E15-S198-AA198,0))</x:f>
        <x:v>3</x:v>
      </x:c>
      <x:c r="L198" s="2" t="n">
        <x:f>MAX(1,ROUND('기준스탯 72종'!F15-T198-AB198,0))</x:f>
        <x:v>3</x:v>
      </x:c>
      <x:c r="M198" s="2" t="n">
        <x:f>MAX(1,ROUND('기준스탯 72종'!G15-U198-AC198,0))</x:f>
        <x:v>2</x:v>
      </x:c>
      <x:c r="N198" s="2" t="n">
        <x:f>MAX(0,ROUND('기준스탯 72종'!H15-V198-AD198,0))</x:f>
        <x:v>1</x:v>
      </x:c>
      <x:c r="O198" s="2" t="n">
        <x:f>MAX(0,ROUND('기준스탯 72종'!I15-W198-AE198,0))</x:f>
        <x:v>2</x:v>
      </x:c>
      <x:c r="P198" s="2" t="n">
        <x:f>MAX(0,ROUND('기준스탯 72종'!J15-X198-AF198,0))</x:f>
        <x:v>1</x:v>
      </x:c>
      <x:c r="Q198" s="2" t="n">
        <x:f>MAX(0,ROUND('기준스탯 72종'!K15-Y198-AG198,0))</x:f>
        <x:v>2</x:v>
      </x:c>
      <x:c r="R198" s="15" t="n">
        <x:f>'기준스탯 72종'!D15*G198</x:f>
        <x:v>4.4799999999999995</x:v>
      </x:c>
      <x:c r="S198" s="15" t="n">
        <x:f>'기준스탯 72종'!E15*G198</x:f>
        <x:v>4.4799999999999995</x:v>
      </x:c>
      <x:c r="T198" s="15" t="n">
        <x:f>'기준스탯 72종'!F15*G198</x:f>
        <x:v>3.9199999999999995</x:v>
      </x:c>
      <x:c r="U198" s="15" t="n">
        <x:f>'기준스탯 72종'!G15*G198</x:f>
        <x:v>3.3599999999999994</x:v>
      </x:c>
      <x:c r="V198" s="15" t="n">
        <x:f>'기준스탯 72종'!H15*G198</x:f>
        <x:v>1.6799999999999997</x:v>
      </x:c>
      <x:c r="W198" s="15" t="n">
        <x:f>'기준스탯 72종'!I15*G198</x:f>
        <x:v>3.3599999999999994</x:v>
      </x:c>
      <x:c r="X198" s="15" t="n">
        <x:f>'기준스탯 72종'!J15*G198</x:f>
        <x:v>1.1199999999999999</x:v>
      </x:c>
      <x:c r="Y198" s="15" t="n">
        <x:f>'기준스탯 72종'!K15*G198</x:f>
        <x:v>2.8</x:v>
      </x:c>
      <x:c r="Z198" s="15" t="n">
        <x:f>'기준스탯 72종'!D15*H198</x:f>
        <x:v>0.4800000000000001</x:v>
      </x:c>
      <x:c r="AA198" s="15" t="n">
        <x:f>'기준스탯 72종'!E15*H198</x:f>
        <x:v>0.4800000000000001</x:v>
      </x:c>
      <x:c r="AB198" s="15" t="n">
        <x:f>'기준스탯 72종'!F15*H198</x:f>
        <x:v>0.4200000000000001</x:v>
      </x:c>
      <x:c r="AC198" s="15" t="n">
        <x:f>'기준스탯 72종'!G15*H198</x:f>
        <x:v>0.3600000000000001</x:v>
      </x:c>
      <x:c r="AD198" s="15" t="n">
        <x:f>'기준스탯 72종'!H15*H198</x:f>
        <x:v>0.18000000000000005</x:v>
      </x:c>
      <x:c r="AE198" s="15" t="n">
        <x:f>'기준스탯 72종'!I15*H198</x:f>
        <x:v>0.3600000000000001</x:v>
      </x:c>
      <x:c r="AF198" s="15" t="n">
        <x:f>'기준스탯 72종'!J15*H198</x:f>
        <x:v>0.12000000000000002</x:v>
      </x:c>
      <x:c r="AG198" s="15" t="n">
        <x:f>'기준스탯 72종'!K15*H198</x:f>
        <x:v>0.30000000000000004</x:v>
      </x:c>
    </x:row>
    <x:row r="199" ht="28" customHeight="1">
      <x:c r="A199" s="2" t="n">
        <x:v>192</x:v>
      </x:c>
      <x:c r="B199" s="2" t="n">
        <x:v>8</x:v>
      </x:c>
      <x:c r="C199" s="2" t="str">
        <x:v>황소자리</x:v>
      </x:c>
      <x:c r="D199" s="2" t="str">
        <x:v>마도사</x:v>
      </x:c>
      <x:c r="E199" s="2" t="n">
        <x:v>2</x:v>
      </x:c>
      <x:c r="F199" s="2" t="n">
        <x:v>4</x:v>
      </x:c>
      <x:c r="G199" s="14" t="n">
        <x:f>('레벨 계산식'!$E$4-E199)*'레벨 계산식'!$B$5</x:f>
        <x:v>0.41999999999999993</x:v>
      </x:c>
      <x:c r="H199" s="14" t="n">
        <x:f>('등급 계산식'!$E$4-F199)*'등급 계산식'!$B$5</x:f>
        <x:v>0.06000000000000001</x:v>
      </x:c>
      <x:c r="I199" s="14" t="n">
        <x:f>1-G199-H199</x:f>
        <x:v>0.52</x:v>
      </x:c>
      <x:c r="J199" s="2" t="n">
        <x:f>MAX(1,ROUND('기준스탯 72종'!D15-R199-Z199,0))</x:f>
        <x:v>4</x:v>
      </x:c>
      <x:c r="K199" s="2" t="n">
        <x:f>MAX(1,ROUND('기준스탯 72종'!E15-S199-AA199,0))</x:f>
        <x:v>4</x:v>
      </x:c>
      <x:c r="L199" s="2" t="n">
        <x:f>MAX(1,ROUND('기준스탯 72종'!F15-T199-AB199,0))</x:f>
        <x:v>4</x:v>
      </x:c>
      <x:c r="M199" s="2" t="n">
        <x:f>MAX(1,ROUND('기준스탯 72종'!G15-U199-AC199,0))</x:f>
        <x:v>3</x:v>
      </x:c>
      <x:c r="N199" s="2" t="n">
        <x:f>MAX(0,ROUND('기준스탯 72종'!H15-V199-AD199,0))</x:f>
        <x:v>2</x:v>
      </x:c>
      <x:c r="O199" s="2" t="n">
        <x:f>MAX(0,ROUND('기준스탯 72종'!I15-W199-AE199,0))</x:f>
        <x:v>3</x:v>
      </x:c>
      <x:c r="P199" s="2" t="n">
        <x:f>MAX(0,ROUND('기준스탯 72종'!J15-X199-AF199,0))</x:f>
        <x:v>1</x:v>
      </x:c>
      <x:c r="Q199" s="2" t="n">
        <x:f>MAX(0,ROUND('기준스탯 72종'!K15-Y199-AG199,0))</x:f>
        <x:v>3</x:v>
      </x:c>
      <x:c r="R199" s="15" t="n">
        <x:f>'기준스탯 72종'!D15*G199</x:f>
        <x:v>3.3599999999999994</x:v>
      </x:c>
      <x:c r="S199" s="15" t="n">
        <x:f>'기준스탯 72종'!E15*G199</x:f>
        <x:v>3.3599999999999994</x:v>
      </x:c>
      <x:c r="T199" s="15" t="n">
        <x:f>'기준스탯 72종'!F15*G199</x:f>
        <x:v>2.9399999999999995</x:v>
      </x:c>
      <x:c r="U199" s="15" t="n">
        <x:f>'기준스탯 72종'!G15*G199</x:f>
        <x:v>2.5199999999999996</x:v>
      </x:c>
      <x:c r="V199" s="15" t="n">
        <x:f>'기준스탯 72종'!H15*G199</x:f>
        <x:v>1.2599999999999998</x:v>
      </x:c>
      <x:c r="W199" s="15" t="n">
        <x:f>'기준스탯 72종'!I15*G199</x:f>
        <x:v>2.5199999999999996</x:v>
      </x:c>
      <x:c r="X199" s="15" t="n">
        <x:f>'기준스탯 72종'!J15*G199</x:f>
        <x:v>0.8399999999999999</x:v>
      </x:c>
      <x:c r="Y199" s="15" t="n">
        <x:f>'기준스탯 72종'!K15*G199</x:f>
        <x:v>2.0999999999999996</x:v>
      </x:c>
      <x:c r="Z199" s="15" t="n">
        <x:f>'기준스탯 72종'!D15*H199</x:f>
        <x:v>0.4800000000000001</x:v>
      </x:c>
      <x:c r="AA199" s="15" t="n">
        <x:f>'기준스탯 72종'!E15*H199</x:f>
        <x:v>0.4800000000000001</x:v>
      </x:c>
      <x:c r="AB199" s="15" t="n">
        <x:f>'기준스탯 72종'!F15*H199</x:f>
        <x:v>0.4200000000000001</x:v>
      </x:c>
      <x:c r="AC199" s="15" t="n">
        <x:f>'기준스탯 72종'!G15*H199</x:f>
        <x:v>0.3600000000000001</x:v>
      </x:c>
      <x:c r="AD199" s="15" t="n">
        <x:f>'기준스탯 72종'!H15*H199</x:f>
        <x:v>0.18000000000000005</x:v>
      </x:c>
      <x:c r="AE199" s="15" t="n">
        <x:f>'기준스탯 72종'!I15*H199</x:f>
        <x:v>0.3600000000000001</x:v>
      </x:c>
      <x:c r="AF199" s="15" t="n">
        <x:f>'기준스탯 72종'!J15*H199</x:f>
        <x:v>0.12000000000000002</x:v>
      </x:c>
      <x:c r="AG199" s="15" t="n">
        <x:f>'기준스탯 72종'!K15*H199</x:f>
        <x:v>0.30000000000000004</x:v>
      </x:c>
    </x:row>
    <x:row r="200" ht="28" customHeight="1">
      <x:c r="A200" s="2" t="n">
        <x:v>193</x:v>
      </x:c>
      <x:c r="B200" s="2" t="n">
        <x:v>8</x:v>
      </x:c>
      <x:c r="C200" s="2" t="str">
        <x:v>황소자리</x:v>
      </x:c>
      <x:c r="D200" s="2" t="str">
        <x:v>마도사</x:v>
      </x:c>
      <x:c r="E200" s="2" t="n">
        <x:v>3</x:v>
      </x:c>
      <x:c r="F200" s="2" t="n">
        <x:v>4</x:v>
      </x:c>
      <x:c r="G200" s="14" t="n">
        <x:f>('레벨 계산식'!$E$4-E200)*'레벨 계산식'!$B$5</x:f>
        <x:v>0.27999999999999997</x:v>
      </x:c>
      <x:c r="H200" s="14" t="n">
        <x:f>('등급 계산식'!$E$4-F200)*'등급 계산식'!$B$5</x:f>
        <x:v>0.06000000000000001</x:v>
      </x:c>
      <x:c r="I200" s="14" t="n">
        <x:f>1-G200-H200</x:f>
        <x:v>0.6599999999999999</x:v>
      </x:c>
      <x:c r="J200" s="2" t="n">
        <x:f>MAX(1,ROUND('기준스탯 72종'!D15-R200-Z200,0))</x:f>
        <x:v>5</x:v>
      </x:c>
      <x:c r="K200" s="2" t="n">
        <x:f>MAX(1,ROUND('기준스탯 72종'!E15-S200-AA200,0))</x:f>
        <x:v>5</x:v>
      </x:c>
      <x:c r="L200" s="2" t="n">
        <x:f>MAX(1,ROUND('기준스탯 72종'!F15-T200-AB200,0))</x:f>
        <x:v>5</x:v>
      </x:c>
      <x:c r="M200" s="2" t="n">
        <x:f>MAX(1,ROUND('기준스탯 72종'!G15-U200-AC200,0))</x:f>
        <x:v>4</x:v>
      </x:c>
      <x:c r="N200" s="2" t="n">
        <x:f>MAX(0,ROUND('기준스탯 72종'!H15-V200-AD200,0))</x:f>
        <x:v>2</x:v>
      </x:c>
      <x:c r="O200" s="2" t="n">
        <x:f>MAX(0,ROUND('기준스탯 72종'!I15-W200-AE200,0))</x:f>
        <x:v>4</x:v>
      </x:c>
      <x:c r="P200" s="2" t="n">
        <x:f>MAX(0,ROUND('기준스탯 72종'!J15-X200-AF200,0))</x:f>
        <x:v>1</x:v>
      </x:c>
      <x:c r="Q200" s="2" t="n">
        <x:f>MAX(0,ROUND('기준스탯 72종'!K15-Y200-AG200,0))</x:f>
        <x:v>3</x:v>
      </x:c>
      <x:c r="R200" s="15" t="n">
        <x:f>'기준스탯 72종'!D15*G200</x:f>
        <x:v>2.2399999999999998</x:v>
      </x:c>
      <x:c r="S200" s="15" t="n">
        <x:f>'기준스탯 72종'!E15*G200</x:f>
        <x:v>2.2399999999999998</x:v>
      </x:c>
      <x:c r="T200" s="15" t="n">
        <x:f>'기준스탯 72종'!F15*G200</x:f>
        <x:v>1.9599999999999997</x:v>
      </x:c>
      <x:c r="U200" s="15" t="n">
        <x:f>'기준스탯 72종'!G15*G200</x:f>
        <x:v>1.6799999999999997</x:v>
      </x:c>
      <x:c r="V200" s="15" t="n">
        <x:f>'기준스탯 72종'!H15*G200</x:f>
        <x:v>0.8399999999999999</x:v>
      </x:c>
      <x:c r="W200" s="15" t="n">
        <x:f>'기준스탯 72종'!I15*G200</x:f>
        <x:v>1.6799999999999997</x:v>
      </x:c>
      <x:c r="X200" s="15" t="n">
        <x:f>'기준스탯 72종'!J15*G200</x:f>
        <x:v>0.5599999999999999</x:v>
      </x:c>
      <x:c r="Y200" s="15" t="n">
        <x:f>'기준스탯 72종'!K15*G200</x:f>
        <x:v>1.4</x:v>
      </x:c>
      <x:c r="Z200" s="15" t="n">
        <x:f>'기준스탯 72종'!D15*H200</x:f>
        <x:v>0.4800000000000001</x:v>
      </x:c>
      <x:c r="AA200" s="15" t="n">
        <x:f>'기준스탯 72종'!E15*H200</x:f>
        <x:v>0.4800000000000001</x:v>
      </x:c>
      <x:c r="AB200" s="15" t="n">
        <x:f>'기준스탯 72종'!F15*H200</x:f>
        <x:v>0.4200000000000001</x:v>
      </x:c>
      <x:c r="AC200" s="15" t="n">
        <x:f>'기준스탯 72종'!G15*H200</x:f>
        <x:v>0.3600000000000001</x:v>
      </x:c>
      <x:c r="AD200" s="15" t="n">
        <x:f>'기준스탯 72종'!H15*H200</x:f>
        <x:v>0.18000000000000005</x:v>
      </x:c>
      <x:c r="AE200" s="15" t="n">
        <x:f>'기준스탯 72종'!I15*H200</x:f>
        <x:v>0.3600000000000001</x:v>
      </x:c>
      <x:c r="AF200" s="15" t="n">
        <x:f>'기준스탯 72종'!J15*H200</x:f>
        <x:v>0.12000000000000002</x:v>
      </x:c>
      <x:c r="AG200" s="15" t="n">
        <x:f>'기준스탯 72종'!K15*H200</x:f>
        <x:v>0.30000000000000004</x:v>
      </x:c>
    </x:row>
    <x:row r="201" ht="28" customHeight="1">
      <x:c r="A201" s="2" t="n">
        <x:v>194</x:v>
      </x:c>
      <x:c r="B201" s="2" t="n">
        <x:v>8</x:v>
      </x:c>
      <x:c r="C201" s="2" t="str">
        <x:v>황소자리</x:v>
      </x:c>
      <x:c r="D201" s="2" t="str">
        <x:v>마도사</x:v>
      </x:c>
      <x:c r="E201" s="2" t="n">
        <x:v>4</x:v>
      </x:c>
      <x:c r="F201" s="2" t="n">
        <x:v>4</x:v>
      </x:c>
      <x:c r="G201" s="14" t="n">
        <x:f>('레벨 계산식'!$E$4-E201)*'레벨 계산식'!$B$5</x:f>
        <x:v>0.13999999999999999</x:v>
      </x:c>
      <x:c r="H201" s="14" t="n">
        <x:f>('등급 계산식'!$E$4-F201)*'등급 계산식'!$B$5</x:f>
        <x:v>0.06000000000000001</x:v>
      </x:c>
      <x:c r="I201" s="14" t="n">
        <x:f>1-G201-H201</x:f>
        <x:v>0.7999999999999999</x:v>
      </x:c>
      <x:c r="J201" s="2" t="n">
        <x:f>MAX(1,ROUND('기준스탯 72종'!D15-R201-Z201,0))</x:f>
        <x:v>6</x:v>
      </x:c>
      <x:c r="K201" s="2" t="n">
        <x:f>MAX(1,ROUND('기준스탯 72종'!E15-S201-AA201,0))</x:f>
        <x:v>6</x:v>
      </x:c>
      <x:c r="L201" s="2" t="n">
        <x:f>MAX(1,ROUND('기준스탯 72종'!F15-T201-AB201,0))</x:f>
        <x:v>6</x:v>
      </x:c>
      <x:c r="M201" s="2" t="n">
        <x:f>MAX(1,ROUND('기준스탯 72종'!G15-U201-AC201,0))</x:f>
        <x:v>5</x:v>
      </x:c>
      <x:c r="N201" s="2" t="n">
        <x:f>MAX(0,ROUND('기준스탯 72종'!H15-V201-AD201,0))</x:f>
        <x:v>2</x:v>
      </x:c>
      <x:c r="O201" s="2" t="n">
        <x:f>MAX(0,ROUND('기준스탯 72종'!I15-W201-AE201,0))</x:f>
        <x:v>5</x:v>
      </x:c>
      <x:c r="P201" s="2" t="n">
        <x:f>MAX(0,ROUND('기준스탯 72종'!J15-X201-AF201,0))</x:f>
        <x:v>2</x:v>
      </x:c>
      <x:c r="Q201" s="2" t="n">
        <x:f>MAX(0,ROUND('기준스탯 72종'!K15-Y201-AG201,0))</x:f>
        <x:v>4</x:v>
      </x:c>
      <x:c r="R201" s="15" t="n">
        <x:f>'기준스탯 72종'!D15*G201</x:f>
        <x:v>1.1199999999999999</x:v>
      </x:c>
      <x:c r="S201" s="15" t="n">
        <x:f>'기준스탯 72종'!E15*G201</x:f>
        <x:v>1.1199999999999999</x:v>
      </x:c>
      <x:c r="T201" s="15" t="n">
        <x:f>'기준스탯 72종'!F15*G201</x:f>
        <x:v>0.9799999999999999</x:v>
      </x:c>
      <x:c r="U201" s="15" t="n">
        <x:f>'기준스탯 72종'!G15*G201</x:f>
        <x:v>0.8399999999999999</x:v>
      </x:c>
      <x:c r="V201" s="15" t="n">
        <x:f>'기준스탯 72종'!H15*G201</x:f>
        <x:v>0.41999999999999993</x:v>
      </x:c>
      <x:c r="W201" s="15" t="n">
        <x:f>'기준스탯 72종'!I15*G201</x:f>
        <x:v>0.8399999999999999</x:v>
      </x:c>
      <x:c r="X201" s="15" t="n">
        <x:f>'기준스탯 72종'!J15*G201</x:f>
        <x:v>0.27999999999999997</x:v>
      </x:c>
      <x:c r="Y201" s="15" t="n">
        <x:f>'기준스탯 72종'!K15*G201</x:f>
        <x:v>0.7</x:v>
      </x:c>
      <x:c r="Z201" s="15" t="n">
        <x:f>'기준스탯 72종'!D15*H201</x:f>
        <x:v>0.4800000000000001</x:v>
      </x:c>
      <x:c r="AA201" s="15" t="n">
        <x:f>'기준스탯 72종'!E15*H201</x:f>
        <x:v>0.4800000000000001</x:v>
      </x:c>
      <x:c r="AB201" s="15" t="n">
        <x:f>'기준스탯 72종'!F15*H201</x:f>
        <x:v>0.4200000000000001</x:v>
      </x:c>
      <x:c r="AC201" s="15" t="n">
        <x:f>'기준스탯 72종'!G15*H201</x:f>
        <x:v>0.3600000000000001</x:v>
      </x:c>
      <x:c r="AD201" s="15" t="n">
        <x:f>'기준스탯 72종'!H15*H201</x:f>
        <x:v>0.18000000000000005</x:v>
      </x:c>
      <x:c r="AE201" s="15" t="n">
        <x:f>'기준스탯 72종'!I15*H201</x:f>
        <x:v>0.3600000000000001</x:v>
      </x:c>
      <x:c r="AF201" s="15" t="n">
        <x:f>'기준스탯 72종'!J15*H201</x:f>
        <x:v>0.12000000000000002</x:v>
      </x:c>
      <x:c r="AG201" s="15" t="n">
        <x:f>'기준스탯 72종'!K15*H201</x:f>
        <x:v>0.30000000000000004</x:v>
      </x:c>
    </x:row>
    <x:row r="202" ht="28" customHeight="1">
      <x:c r="A202" s="2" t="n">
        <x:v>195</x:v>
      </x:c>
      <x:c r="B202" s="2" t="n">
        <x:v>8</x:v>
      </x:c>
      <x:c r="C202" s="2" t="str">
        <x:v>황소자리</x:v>
      </x:c>
      <x:c r="D202" s="2" t="str">
        <x:v>마도사</x:v>
      </x:c>
      <x:c r="E202" s="2" t="n">
        <x:v>5</x:v>
      </x:c>
      <x:c r="F202" s="2" t="n">
        <x:v>4</x:v>
      </x:c>
      <x:c r="G202" s="14" t="n">
        <x:f>('레벨 계산식'!$E$4-E202)*'레벨 계산식'!$B$5</x:f>
        <x:v>0</x:v>
      </x:c>
      <x:c r="H202" s="14" t="n">
        <x:f>('등급 계산식'!$E$4-F202)*'등급 계산식'!$B$5</x:f>
        <x:v>0.06000000000000001</x:v>
      </x:c>
      <x:c r="I202" s="14" t="n">
        <x:f>1-G202-H202</x:f>
        <x:v>0.94</x:v>
      </x:c>
      <x:c r="J202" s="2" t="n">
        <x:f>MAX(1,ROUND('기준스탯 72종'!D15-R202-Z202,0))</x:f>
        <x:v>8</x:v>
      </x:c>
      <x:c r="K202" s="2" t="n">
        <x:f>MAX(1,ROUND('기준스탯 72종'!E15-S202-AA202,0))</x:f>
        <x:v>8</x:v>
      </x:c>
      <x:c r="L202" s="2" t="n">
        <x:f>MAX(1,ROUND('기준스탯 72종'!F15-T202-AB202,0))</x:f>
        <x:v>7</x:v>
      </x:c>
      <x:c r="M202" s="2" t="n">
        <x:f>MAX(1,ROUND('기준스탯 72종'!G15-U202-AC202,0))</x:f>
        <x:v>6</x:v>
      </x:c>
      <x:c r="N202" s="2" t="n">
        <x:f>MAX(0,ROUND('기준스탯 72종'!H15-V202-AD202,0))</x:f>
        <x:v>3</x:v>
      </x:c>
      <x:c r="O202" s="2" t="n">
        <x:f>MAX(0,ROUND('기준스탯 72종'!I15-W202-AE202,0))</x:f>
        <x:v>6</x:v>
      </x:c>
      <x:c r="P202" s="2" t="n">
        <x:f>MAX(0,ROUND('기준스탯 72종'!J15-X202-AF202,0))</x:f>
        <x:v>2</x:v>
      </x:c>
      <x:c r="Q202" s="2" t="n">
        <x:f>MAX(0,ROUND('기준스탯 72종'!K15-Y202-AG202,0))</x:f>
        <x:v>5</x:v>
      </x:c>
      <x:c r="R202" s="15" t="n">
        <x:f>'기준스탯 72종'!D15*G202</x:f>
        <x:v>0</x:v>
      </x:c>
      <x:c r="S202" s="15" t="n">
        <x:f>'기준스탯 72종'!E15*G202</x:f>
        <x:v>0</x:v>
      </x:c>
      <x:c r="T202" s="15" t="n">
        <x:f>'기준스탯 72종'!F15*G202</x:f>
        <x:v>0</x:v>
      </x:c>
      <x:c r="U202" s="15" t="n">
        <x:f>'기준스탯 72종'!G15*G202</x:f>
        <x:v>0</x:v>
      </x:c>
      <x:c r="V202" s="15" t="n">
        <x:f>'기준스탯 72종'!H15*G202</x:f>
        <x:v>0</x:v>
      </x:c>
      <x:c r="W202" s="15" t="n">
        <x:f>'기준스탯 72종'!I15*G202</x:f>
        <x:v>0</x:v>
      </x:c>
      <x:c r="X202" s="15" t="n">
        <x:f>'기준스탯 72종'!J15*G202</x:f>
        <x:v>0</x:v>
      </x:c>
      <x:c r="Y202" s="15" t="n">
        <x:f>'기준스탯 72종'!K15*G202</x:f>
        <x:v>0</x:v>
      </x:c>
      <x:c r="Z202" s="15" t="n">
        <x:f>'기준스탯 72종'!D15*H202</x:f>
        <x:v>0.4800000000000001</x:v>
      </x:c>
      <x:c r="AA202" s="15" t="n">
        <x:f>'기준스탯 72종'!E15*H202</x:f>
        <x:v>0.4800000000000001</x:v>
      </x:c>
      <x:c r="AB202" s="15" t="n">
        <x:f>'기준스탯 72종'!F15*H202</x:f>
        <x:v>0.4200000000000001</x:v>
      </x:c>
      <x:c r="AC202" s="15" t="n">
        <x:f>'기준스탯 72종'!G15*H202</x:f>
        <x:v>0.3600000000000001</x:v>
      </x:c>
      <x:c r="AD202" s="15" t="n">
        <x:f>'기준스탯 72종'!H15*H202</x:f>
        <x:v>0.18000000000000005</x:v>
      </x:c>
      <x:c r="AE202" s="15" t="n">
        <x:f>'기준스탯 72종'!I15*H202</x:f>
        <x:v>0.3600000000000001</x:v>
      </x:c>
      <x:c r="AF202" s="15" t="n">
        <x:f>'기준스탯 72종'!J15*H202</x:f>
        <x:v>0.12000000000000002</x:v>
      </x:c>
      <x:c r="AG202" s="15" t="n">
        <x:f>'기준스탯 72종'!K15*H202</x:f>
        <x:v>0.30000000000000004</x:v>
      </x:c>
    </x:row>
    <x:row r="203" ht="28" customHeight="1">
      <x:c r="A203" s="2" t="n">
        <x:v>196</x:v>
      </x:c>
      <x:c r="B203" s="2" t="n">
        <x:v>8</x:v>
      </x:c>
      <x:c r="C203" s="2" t="str">
        <x:v>황소자리</x:v>
      </x:c>
      <x:c r="D203" s="2" t="str">
        <x:v>마도사</x:v>
      </x:c>
      <x:c r="E203" s="2" t="n">
        <x:v>1</x:v>
      </x:c>
      <x:c r="F203" s="2" t="n">
        <x:v>5</x:v>
      </x:c>
      <x:c r="G203" s="14" t="n">
        <x:f>('레벨 계산식'!$E$4-E203)*'레벨 계산식'!$B$5</x:f>
        <x:v>0.5599999999999999</x:v>
      </x:c>
      <x:c r="H203" s="14" t="n">
        <x:f>('등급 계산식'!$E$4-F203)*'등급 계산식'!$B$5</x:f>
        <x:v>0</x:v>
      </x:c>
      <x:c r="I203" s="14" t="n">
        <x:f>1-G203-H203</x:f>
        <x:v>0.44000000000000006</x:v>
      </x:c>
      <x:c r="J203" s="2" t="n">
        <x:f>MAX(1,ROUND('기준스탯 72종'!D15-R203-Z203,0))</x:f>
        <x:v>4</x:v>
      </x:c>
      <x:c r="K203" s="2" t="n">
        <x:f>MAX(1,ROUND('기준스탯 72종'!E15-S203-AA203,0))</x:f>
        <x:v>4</x:v>
      </x:c>
      <x:c r="L203" s="2" t="n">
        <x:f>MAX(1,ROUND('기준스탯 72종'!F15-T203-AB203,0))</x:f>
        <x:v>3</x:v>
      </x:c>
      <x:c r="M203" s="2" t="n">
        <x:f>MAX(1,ROUND('기준스탯 72종'!G15-U203-AC203,0))</x:f>
        <x:v>3</x:v>
      </x:c>
      <x:c r="N203" s="2" t="n">
        <x:f>MAX(0,ROUND('기준스탯 72종'!H15-V203-AD203,0))</x:f>
        <x:v>1</x:v>
      </x:c>
      <x:c r="O203" s="2" t="n">
        <x:f>MAX(0,ROUND('기준스탯 72종'!I15-W203-AE203,0))</x:f>
        <x:v>3</x:v>
      </x:c>
      <x:c r="P203" s="2" t="n">
        <x:f>MAX(0,ROUND('기준스탯 72종'!J15-X203-AF203,0))</x:f>
        <x:v>1</x:v>
      </x:c>
      <x:c r="Q203" s="2" t="n">
        <x:f>MAX(0,ROUND('기준스탯 72종'!K15-Y203-AG203,0))</x:f>
        <x:v>2</x:v>
      </x:c>
      <x:c r="R203" s="15" t="n">
        <x:f>'기준스탯 72종'!D15*G203</x:f>
        <x:v>4.4799999999999995</x:v>
      </x:c>
      <x:c r="S203" s="15" t="n">
        <x:f>'기준스탯 72종'!E15*G203</x:f>
        <x:v>4.4799999999999995</x:v>
      </x:c>
      <x:c r="T203" s="15" t="n">
        <x:f>'기준스탯 72종'!F15*G203</x:f>
        <x:v>3.9199999999999995</x:v>
      </x:c>
      <x:c r="U203" s="15" t="n">
        <x:f>'기준스탯 72종'!G15*G203</x:f>
        <x:v>3.3599999999999994</x:v>
      </x:c>
      <x:c r="V203" s="15" t="n">
        <x:f>'기준스탯 72종'!H15*G203</x:f>
        <x:v>1.6799999999999997</x:v>
      </x:c>
      <x:c r="W203" s="15" t="n">
        <x:f>'기준스탯 72종'!I15*G203</x:f>
        <x:v>3.3599999999999994</x:v>
      </x:c>
      <x:c r="X203" s="15" t="n">
        <x:f>'기준스탯 72종'!J15*G203</x:f>
        <x:v>1.1199999999999999</x:v>
      </x:c>
      <x:c r="Y203" s="15" t="n">
        <x:f>'기준스탯 72종'!K15*G203</x:f>
        <x:v>2.8</x:v>
      </x:c>
      <x:c r="Z203" s="15" t="n">
        <x:f>'기준스탯 72종'!D15*H203</x:f>
        <x:v>0</x:v>
      </x:c>
      <x:c r="AA203" s="15" t="n">
        <x:f>'기준스탯 72종'!E15*H203</x:f>
        <x:v>0</x:v>
      </x:c>
      <x:c r="AB203" s="15" t="n">
        <x:f>'기준스탯 72종'!F15*H203</x:f>
        <x:v>0</x:v>
      </x:c>
      <x:c r="AC203" s="15" t="n">
        <x:f>'기준스탯 72종'!G15*H203</x:f>
        <x:v>0</x:v>
      </x:c>
      <x:c r="AD203" s="15" t="n">
        <x:f>'기준스탯 72종'!H15*H203</x:f>
        <x:v>0</x:v>
      </x:c>
      <x:c r="AE203" s="15" t="n">
        <x:f>'기준스탯 72종'!I15*H203</x:f>
        <x:v>0</x:v>
      </x:c>
      <x:c r="AF203" s="15" t="n">
        <x:f>'기준스탯 72종'!J15*H203</x:f>
        <x:v>0</x:v>
      </x:c>
      <x:c r="AG203" s="15" t="n">
        <x:f>'기준스탯 72종'!K15*H203</x:f>
        <x:v>0</x:v>
      </x:c>
    </x:row>
    <x:row r="204" ht="28" customHeight="1">
      <x:c r="A204" s="2" t="n">
        <x:v>197</x:v>
      </x:c>
      <x:c r="B204" s="2" t="n">
        <x:v>8</x:v>
      </x:c>
      <x:c r="C204" s="2" t="str">
        <x:v>황소자리</x:v>
      </x:c>
      <x:c r="D204" s="2" t="str">
        <x:v>마도사</x:v>
      </x:c>
      <x:c r="E204" s="2" t="n">
        <x:v>2</x:v>
      </x:c>
      <x:c r="F204" s="2" t="n">
        <x:v>5</x:v>
      </x:c>
      <x:c r="G204" s="14" t="n">
        <x:f>('레벨 계산식'!$E$4-E204)*'레벨 계산식'!$B$5</x:f>
        <x:v>0.41999999999999993</x:v>
      </x:c>
      <x:c r="H204" s="14" t="n">
        <x:f>('등급 계산식'!$E$4-F204)*'등급 계산식'!$B$5</x:f>
        <x:v>0</x:v>
      </x:c>
      <x:c r="I204" s="14" t="n">
        <x:f>1-G204-H204</x:f>
        <x:v>0.5800000000000001</x:v>
      </x:c>
      <x:c r="J204" s="2" t="n">
        <x:f>MAX(1,ROUND('기준스탯 72종'!D15-R204-Z204,0))</x:f>
        <x:v>5</x:v>
      </x:c>
      <x:c r="K204" s="2" t="n">
        <x:f>MAX(1,ROUND('기준스탯 72종'!E15-S204-AA204,0))</x:f>
        <x:v>5</x:v>
      </x:c>
      <x:c r="L204" s="2" t="n">
        <x:f>MAX(1,ROUND('기준스탯 72종'!F15-T204-AB204,0))</x:f>
        <x:v>4</x:v>
      </x:c>
      <x:c r="M204" s="2" t="n">
        <x:f>MAX(1,ROUND('기준스탯 72종'!G15-U204-AC204,0))</x:f>
        <x:v>3</x:v>
      </x:c>
      <x:c r="N204" s="2" t="n">
        <x:f>MAX(0,ROUND('기준스탯 72종'!H15-V204-AD204,0))</x:f>
        <x:v>2</x:v>
      </x:c>
      <x:c r="O204" s="2" t="n">
        <x:f>MAX(0,ROUND('기준스탯 72종'!I15-W204-AE204,0))</x:f>
        <x:v>3</x:v>
      </x:c>
      <x:c r="P204" s="2" t="n">
        <x:f>MAX(0,ROUND('기준스탯 72종'!J15-X204-AF204,0))</x:f>
        <x:v>1</x:v>
      </x:c>
      <x:c r="Q204" s="2" t="n">
        <x:f>MAX(0,ROUND('기준스탯 72종'!K15-Y204-AG204,0))</x:f>
        <x:v>3</x:v>
      </x:c>
      <x:c r="R204" s="15" t="n">
        <x:f>'기준스탯 72종'!D15*G204</x:f>
        <x:v>3.3599999999999994</x:v>
      </x:c>
      <x:c r="S204" s="15" t="n">
        <x:f>'기준스탯 72종'!E15*G204</x:f>
        <x:v>3.3599999999999994</x:v>
      </x:c>
      <x:c r="T204" s="15" t="n">
        <x:f>'기준스탯 72종'!F15*G204</x:f>
        <x:v>2.9399999999999995</x:v>
      </x:c>
      <x:c r="U204" s="15" t="n">
        <x:f>'기준스탯 72종'!G15*G204</x:f>
        <x:v>2.5199999999999996</x:v>
      </x:c>
      <x:c r="V204" s="15" t="n">
        <x:f>'기준스탯 72종'!H15*G204</x:f>
        <x:v>1.2599999999999998</x:v>
      </x:c>
      <x:c r="W204" s="15" t="n">
        <x:f>'기준스탯 72종'!I15*G204</x:f>
        <x:v>2.5199999999999996</x:v>
      </x:c>
      <x:c r="X204" s="15" t="n">
        <x:f>'기준스탯 72종'!J15*G204</x:f>
        <x:v>0.8399999999999999</x:v>
      </x:c>
      <x:c r="Y204" s="15" t="n">
        <x:f>'기준스탯 72종'!K15*G204</x:f>
        <x:v>2.0999999999999996</x:v>
      </x:c>
      <x:c r="Z204" s="15" t="n">
        <x:f>'기준스탯 72종'!D15*H204</x:f>
        <x:v>0</x:v>
      </x:c>
      <x:c r="AA204" s="15" t="n">
        <x:f>'기준스탯 72종'!E15*H204</x:f>
        <x:v>0</x:v>
      </x:c>
      <x:c r="AB204" s="15" t="n">
        <x:f>'기준스탯 72종'!F15*H204</x:f>
        <x:v>0</x:v>
      </x:c>
      <x:c r="AC204" s="15" t="n">
        <x:f>'기준스탯 72종'!G15*H204</x:f>
        <x:v>0</x:v>
      </x:c>
      <x:c r="AD204" s="15" t="n">
        <x:f>'기준스탯 72종'!H15*H204</x:f>
        <x:v>0</x:v>
      </x:c>
      <x:c r="AE204" s="15" t="n">
        <x:f>'기준스탯 72종'!I15*H204</x:f>
        <x:v>0</x:v>
      </x:c>
      <x:c r="AF204" s="15" t="n">
        <x:f>'기준스탯 72종'!J15*H204</x:f>
        <x:v>0</x:v>
      </x:c>
      <x:c r="AG204" s="15" t="n">
        <x:f>'기준스탯 72종'!K15*H204</x:f>
        <x:v>0</x:v>
      </x:c>
    </x:row>
    <x:row r="205" ht="28" customHeight="1">
      <x:c r="A205" s="2" t="n">
        <x:v>198</x:v>
      </x:c>
      <x:c r="B205" s="2" t="n">
        <x:v>8</x:v>
      </x:c>
      <x:c r="C205" s="2" t="str">
        <x:v>황소자리</x:v>
      </x:c>
      <x:c r="D205" s="2" t="str">
        <x:v>마도사</x:v>
      </x:c>
      <x:c r="E205" s="2" t="n">
        <x:v>3</x:v>
      </x:c>
      <x:c r="F205" s="2" t="n">
        <x:v>5</x:v>
      </x:c>
      <x:c r="G205" s="14" t="n">
        <x:f>('레벨 계산식'!$E$4-E205)*'레벨 계산식'!$B$5</x:f>
        <x:v>0.27999999999999997</x:v>
      </x:c>
      <x:c r="H205" s="14" t="n">
        <x:f>('등급 계산식'!$E$4-F205)*'등급 계산식'!$B$5</x:f>
        <x:v>0</x:v>
      </x:c>
      <x:c r="I205" s="14" t="n">
        <x:f>1-G205-H205</x:f>
        <x:v>0.72</x:v>
      </x:c>
      <x:c r="J205" s="2" t="n">
        <x:f>MAX(1,ROUND('기준스탯 72종'!D15-R205-Z205,0))</x:f>
        <x:v>6</x:v>
      </x:c>
      <x:c r="K205" s="2" t="n">
        <x:f>MAX(1,ROUND('기준스탯 72종'!E15-S205-AA205,0))</x:f>
        <x:v>6</x:v>
      </x:c>
      <x:c r="L205" s="2" t="n">
        <x:f>MAX(1,ROUND('기준스탯 72종'!F15-T205-AB205,0))</x:f>
        <x:v>5</x:v>
      </x:c>
      <x:c r="M205" s="2" t="n">
        <x:f>MAX(1,ROUND('기준스탯 72종'!G15-U205-AC205,0))</x:f>
        <x:v>4</x:v>
      </x:c>
      <x:c r="N205" s="2" t="n">
        <x:f>MAX(0,ROUND('기준스탯 72종'!H15-V205-AD205,0))</x:f>
        <x:v>2</x:v>
      </x:c>
      <x:c r="O205" s="2" t="n">
        <x:f>MAX(0,ROUND('기준스탯 72종'!I15-W205-AE205,0))</x:f>
        <x:v>4</x:v>
      </x:c>
      <x:c r="P205" s="2" t="n">
        <x:f>MAX(0,ROUND('기준스탯 72종'!J15-X205-AF205,0))</x:f>
        <x:v>1</x:v>
      </x:c>
      <x:c r="Q205" s="2" t="n">
        <x:f>MAX(0,ROUND('기준스탯 72종'!K15-Y205-AG205,0))</x:f>
        <x:v>4</x:v>
      </x:c>
      <x:c r="R205" s="15" t="n">
        <x:f>'기준스탯 72종'!D15*G205</x:f>
        <x:v>2.2399999999999998</x:v>
      </x:c>
      <x:c r="S205" s="15" t="n">
        <x:f>'기준스탯 72종'!E15*G205</x:f>
        <x:v>2.2399999999999998</x:v>
      </x:c>
      <x:c r="T205" s="15" t="n">
        <x:f>'기준스탯 72종'!F15*G205</x:f>
        <x:v>1.9599999999999997</x:v>
      </x:c>
      <x:c r="U205" s="15" t="n">
        <x:f>'기준스탯 72종'!G15*G205</x:f>
        <x:v>1.6799999999999997</x:v>
      </x:c>
      <x:c r="V205" s="15" t="n">
        <x:f>'기준스탯 72종'!H15*G205</x:f>
        <x:v>0.8399999999999999</x:v>
      </x:c>
      <x:c r="W205" s="15" t="n">
        <x:f>'기준스탯 72종'!I15*G205</x:f>
        <x:v>1.6799999999999997</x:v>
      </x:c>
      <x:c r="X205" s="15" t="n">
        <x:f>'기준스탯 72종'!J15*G205</x:f>
        <x:v>0.5599999999999999</x:v>
      </x:c>
      <x:c r="Y205" s="15" t="n">
        <x:f>'기준스탯 72종'!K15*G205</x:f>
        <x:v>1.4</x:v>
      </x:c>
      <x:c r="Z205" s="15" t="n">
        <x:f>'기준스탯 72종'!D15*H205</x:f>
        <x:v>0</x:v>
      </x:c>
      <x:c r="AA205" s="15" t="n">
        <x:f>'기준스탯 72종'!E15*H205</x:f>
        <x:v>0</x:v>
      </x:c>
      <x:c r="AB205" s="15" t="n">
        <x:f>'기준스탯 72종'!F15*H205</x:f>
        <x:v>0</x:v>
      </x:c>
      <x:c r="AC205" s="15" t="n">
        <x:f>'기준스탯 72종'!G15*H205</x:f>
        <x:v>0</x:v>
      </x:c>
      <x:c r="AD205" s="15" t="n">
        <x:f>'기준스탯 72종'!H15*H205</x:f>
        <x:v>0</x:v>
      </x:c>
      <x:c r="AE205" s="15" t="n">
        <x:f>'기준스탯 72종'!I15*H205</x:f>
        <x:v>0</x:v>
      </x:c>
      <x:c r="AF205" s="15" t="n">
        <x:f>'기준스탯 72종'!J15*H205</x:f>
        <x:v>0</x:v>
      </x:c>
      <x:c r="AG205" s="15" t="n">
        <x:f>'기준스탯 72종'!K15*H205</x:f>
        <x:v>0</x:v>
      </x:c>
    </x:row>
    <x:row r="206" ht="28" customHeight="1">
      <x:c r="A206" s="2" t="n">
        <x:v>199</x:v>
      </x:c>
      <x:c r="B206" s="2" t="n">
        <x:v>8</x:v>
      </x:c>
      <x:c r="C206" s="2" t="str">
        <x:v>황소자리</x:v>
      </x:c>
      <x:c r="D206" s="2" t="str">
        <x:v>마도사</x:v>
      </x:c>
      <x:c r="E206" s="2" t="n">
        <x:v>4</x:v>
      </x:c>
      <x:c r="F206" s="2" t="n">
        <x:v>5</x:v>
      </x:c>
      <x:c r="G206" s="14" t="n">
        <x:f>('레벨 계산식'!$E$4-E206)*'레벨 계산식'!$B$5</x:f>
        <x:v>0.13999999999999999</x:v>
      </x:c>
      <x:c r="H206" s="14" t="n">
        <x:f>('등급 계산식'!$E$4-F206)*'등급 계산식'!$B$5</x:f>
        <x:v>0</x:v>
      </x:c>
      <x:c r="I206" s="14" t="n">
        <x:f>1-G206-H206</x:f>
        <x:v>0.86</x:v>
      </x:c>
      <x:c r="J206" s="2" t="n">
        <x:f>MAX(1,ROUND('기준스탯 72종'!D15-R206-Z206,0))</x:f>
        <x:v>7</x:v>
      </x:c>
      <x:c r="K206" s="2" t="n">
        <x:f>MAX(1,ROUND('기준스탯 72종'!E15-S206-AA206,0))</x:f>
        <x:v>7</x:v>
      </x:c>
      <x:c r="L206" s="2" t="n">
        <x:f>MAX(1,ROUND('기준스탯 72종'!F15-T206-AB206,0))</x:f>
        <x:v>6</x:v>
      </x:c>
      <x:c r="M206" s="2" t="n">
        <x:f>MAX(1,ROUND('기준스탯 72종'!G15-U206-AC206,0))</x:f>
        <x:v>5</x:v>
      </x:c>
      <x:c r="N206" s="2" t="n">
        <x:f>MAX(0,ROUND('기준스탯 72종'!H15-V206-AD206,0))</x:f>
        <x:v>3</x:v>
      </x:c>
      <x:c r="O206" s="2" t="n">
        <x:f>MAX(0,ROUND('기준스탯 72종'!I15-W206-AE206,0))</x:f>
        <x:v>5</x:v>
      </x:c>
      <x:c r="P206" s="2" t="n">
        <x:f>MAX(0,ROUND('기준스탯 72종'!J15-X206-AF206,0))</x:f>
        <x:v>2</x:v>
      </x:c>
      <x:c r="Q206" s="2" t="n">
        <x:f>MAX(0,ROUND('기준스탯 72종'!K15-Y206-AG206,0))</x:f>
        <x:v>4</x:v>
      </x:c>
      <x:c r="R206" s="15" t="n">
        <x:f>'기준스탯 72종'!D15*G206</x:f>
        <x:v>1.1199999999999999</x:v>
      </x:c>
      <x:c r="S206" s="15" t="n">
        <x:f>'기준스탯 72종'!E15*G206</x:f>
        <x:v>1.1199999999999999</x:v>
      </x:c>
      <x:c r="T206" s="15" t="n">
        <x:f>'기준스탯 72종'!F15*G206</x:f>
        <x:v>0.9799999999999999</x:v>
      </x:c>
      <x:c r="U206" s="15" t="n">
        <x:f>'기준스탯 72종'!G15*G206</x:f>
        <x:v>0.8399999999999999</x:v>
      </x:c>
      <x:c r="V206" s="15" t="n">
        <x:f>'기준스탯 72종'!H15*G206</x:f>
        <x:v>0.41999999999999993</x:v>
      </x:c>
      <x:c r="W206" s="15" t="n">
        <x:f>'기준스탯 72종'!I15*G206</x:f>
        <x:v>0.8399999999999999</x:v>
      </x:c>
      <x:c r="X206" s="15" t="n">
        <x:f>'기준스탯 72종'!J15*G206</x:f>
        <x:v>0.27999999999999997</x:v>
      </x:c>
      <x:c r="Y206" s="15" t="n">
        <x:f>'기준스탯 72종'!K15*G206</x:f>
        <x:v>0.7</x:v>
      </x:c>
      <x:c r="Z206" s="15" t="n">
        <x:f>'기준스탯 72종'!D15*H206</x:f>
        <x:v>0</x:v>
      </x:c>
      <x:c r="AA206" s="15" t="n">
        <x:f>'기준스탯 72종'!E15*H206</x:f>
        <x:v>0</x:v>
      </x:c>
      <x:c r="AB206" s="15" t="n">
        <x:f>'기준스탯 72종'!F15*H206</x:f>
        <x:v>0</x:v>
      </x:c>
      <x:c r="AC206" s="15" t="n">
        <x:f>'기준스탯 72종'!G15*H206</x:f>
        <x:v>0</x:v>
      </x:c>
      <x:c r="AD206" s="15" t="n">
        <x:f>'기준스탯 72종'!H15*H206</x:f>
        <x:v>0</x:v>
      </x:c>
      <x:c r="AE206" s="15" t="n">
        <x:f>'기준스탯 72종'!I15*H206</x:f>
        <x:v>0</x:v>
      </x:c>
      <x:c r="AF206" s="15" t="n">
        <x:f>'기준스탯 72종'!J15*H206</x:f>
        <x:v>0</x:v>
      </x:c>
      <x:c r="AG206" s="15" t="n">
        <x:f>'기준스탯 72종'!K15*H206</x:f>
        <x:v>0</x:v>
      </x:c>
    </x:row>
    <x:row r="207" ht="28" customHeight="1">
      <x:c r="A207" s="2" t="n">
        <x:v>200</x:v>
      </x:c>
      <x:c r="B207" s="2" t="n">
        <x:v>8</x:v>
      </x:c>
      <x:c r="C207" s="2" t="str">
        <x:v>황소자리</x:v>
      </x:c>
      <x:c r="D207" s="2" t="str">
        <x:v>마도사</x:v>
      </x:c>
      <x:c r="E207" s="2" t="n">
        <x:v>5</x:v>
      </x:c>
      <x:c r="F207" s="2" t="n">
        <x:v>5</x:v>
      </x:c>
      <x:c r="G207" s="14" t="n">
        <x:f>('레벨 계산식'!$E$4-E207)*'레벨 계산식'!$B$5</x:f>
        <x:v>0</x:v>
      </x:c>
      <x:c r="H207" s="14" t="n">
        <x:f>('등급 계산식'!$E$4-F207)*'등급 계산식'!$B$5</x:f>
        <x:v>0</x:v>
      </x:c>
      <x:c r="I207" s="14" t="n">
        <x:f>1-G207-H207</x:f>
        <x:v>1</x:v>
      </x:c>
      <x:c r="J207" s="2" t="n">
        <x:f>MAX(1,ROUND('기준스탯 72종'!D15-R207-Z207,0))</x:f>
        <x:v>8</x:v>
      </x:c>
      <x:c r="K207" s="2" t="n">
        <x:f>MAX(1,ROUND('기준스탯 72종'!E15-S207-AA207,0))</x:f>
        <x:v>8</x:v>
      </x:c>
      <x:c r="L207" s="2" t="n">
        <x:f>MAX(1,ROUND('기준스탯 72종'!F15-T207-AB207,0))</x:f>
        <x:v>7</x:v>
      </x:c>
      <x:c r="M207" s="2" t="n">
        <x:f>MAX(1,ROUND('기준스탯 72종'!G15-U207-AC207,0))</x:f>
        <x:v>6</x:v>
      </x:c>
      <x:c r="N207" s="2" t="n">
        <x:f>MAX(0,ROUND('기준스탯 72종'!H15-V207-AD207,0))</x:f>
        <x:v>3</x:v>
      </x:c>
      <x:c r="O207" s="2" t="n">
        <x:f>MAX(0,ROUND('기준스탯 72종'!I15-W207-AE207,0))</x:f>
        <x:v>6</x:v>
      </x:c>
      <x:c r="P207" s="2" t="n">
        <x:f>MAX(0,ROUND('기준스탯 72종'!J15-X207-AF207,0))</x:f>
        <x:v>2</x:v>
      </x:c>
      <x:c r="Q207" s="2" t="n">
        <x:f>MAX(0,ROUND('기준스탯 72종'!K15-Y207-AG207,0))</x:f>
        <x:v>5</x:v>
      </x:c>
      <x:c r="R207" s="15" t="n">
        <x:f>'기준스탯 72종'!D15*G207</x:f>
        <x:v>0</x:v>
      </x:c>
      <x:c r="S207" s="15" t="n">
        <x:f>'기준스탯 72종'!E15*G207</x:f>
        <x:v>0</x:v>
      </x:c>
      <x:c r="T207" s="15" t="n">
        <x:f>'기준스탯 72종'!F15*G207</x:f>
        <x:v>0</x:v>
      </x:c>
      <x:c r="U207" s="15" t="n">
        <x:f>'기준스탯 72종'!G15*G207</x:f>
        <x:v>0</x:v>
      </x:c>
      <x:c r="V207" s="15" t="n">
        <x:f>'기준스탯 72종'!H15*G207</x:f>
        <x:v>0</x:v>
      </x:c>
      <x:c r="W207" s="15" t="n">
        <x:f>'기준스탯 72종'!I15*G207</x:f>
        <x:v>0</x:v>
      </x:c>
      <x:c r="X207" s="15" t="n">
        <x:f>'기준스탯 72종'!J15*G207</x:f>
        <x:v>0</x:v>
      </x:c>
      <x:c r="Y207" s="15" t="n">
        <x:f>'기준스탯 72종'!K15*G207</x:f>
        <x:v>0</x:v>
      </x:c>
      <x:c r="Z207" s="15" t="n">
        <x:f>'기준스탯 72종'!D15*H207</x:f>
        <x:v>0</x:v>
      </x:c>
      <x:c r="AA207" s="15" t="n">
        <x:f>'기준스탯 72종'!E15*H207</x:f>
        <x:v>0</x:v>
      </x:c>
      <x:c r="AB207" s="15" t="n">
        <x:f>'기준스탯 72종'!F15*H207</x:f>
        <x:v>0</x:v>
      </x:c>
      <x:c r="AC207" s="15" t="n">
        <x:f>'기준스탯 72종'!G15*H207</x:f>
        <x:v>0</x:v>
      </x:c>
      <x:c r="AD207" s="15" t="n">
        <x:f>'기준스탯 72종'!H15*H207</x:f>
        <x:v>0</x:v>
      </x:c>
      <x:c r="AE207" s="15" t="n">
        <x:f>'기준스탯 72종'!I15*H207</x:f>
        <x:v>0</x:v>
      </x:c>
      <x:c r="AF207" s="15" t="n">
        <x:f>'기준스탯 72종'!J15*H207</x:f>
        <x:v>0</x:v>
      </x:c>
      <x:c r="AG207" s="15" t="n">
        <x:f>'기준스탯 72종'!K15*H207</x:f>
        <x:v>0</x:v>
      </x:c>
    </x:row>
    <x:row r="208" ht="28" customHeight="1">
      <x:c r="A208" s="2" t="n">
        <x:v>201</x:v>
      </x:c>
      <x:c r="B208" s="2" t="n">
        <x:v>9</x:v>
      </x:c>
      <x:c r="C208" s="2" t="str">
        <x:v>황소자리</x:v>
      </x:c>
      <x:c r="D208" s="2" t="str">
        <x:v>사수</x:v>
      </x:c>
      <x:c r="E208" s="2" t="n">
        <x:v>1</x:v>
      </x:c>
      <x:c r="F208" s="2" t="n">
        <x:v>1</x:v>
      </x:c>
      <x:c r="G208" s="14" t="n">
        <x:f>('레벨 계산식'!$E$4-E208)*'레벨 계산식'!$B$5</x:f>
        <x:v>0.5599999999999999</x:v>
      </x:c>
      <x:c r="H208" s="14" t="n">
        <x:f>('등급 계산식'!$E$4-F208)*'등급 계산식'!$B$5</x:f>
        <x:v>0.24000000000000005</x:v>
      </x:c>
      <x:c r="I208" s="14" t="n">
        <x:f>1-G208-H208</x:f>
        <x:v>0.2</x:v>
      </x:c>
      <x:c r="J208" s="2" t="n">
        <x:f>MAX(1,ROUND('기준스탯 72종'!D16-R208-Z208,0))</x:f>
        <x:v>1</x:v>
      </x:c>
      <x:c r="K208" s="2" t="n">
        <x:f>MAX(1,ROUND('기준스탯 72종'!E16-S208-AA208,0))</x:f>
        <x:v>2</x:v>
      </x:c>
      <x:c r="L208" s="2" t="n">
        <x:f>MAX(1,ROUND('기준스탯 72종'!F16-T208-AB208,0))</x:f>
        <x:v>1</x:v>
      </x:c>
      <x:c r="M208" s="2" t="n">
        <x:f>MAX(1,ROUND('기준스탯 72종'!G16-U208-AC208,0))</x:f>
        <x:v>1</x:v>
      </x:c>
      <x:c r="N208" s="2" t="n">
        <x:f>MAX(0,ROUND('기준스탯 72종'!H16-V208-AD208,0))</x:f>
        <x:v>1</x:v>
      </x:c>
      <x:c r="O208" s="2" t="n">
        <x:f>MAX(0,ROUND('기준스탯 72종'!I16-W208-AE208,0))</x:f>
        <x:v>1</x:v>
      </x:c>
      <x:c r="P208" s="2" t="n">
        <x:f>MAX(0,ROUND('기준스탯 72종'!J16-X208-AF208,0))</x:f>
        <x:v>1</x:v>
      </x:c>
      <x:c r="Q208" s="2" t="n">
        <x:f>MAX(0,ROUND('기준스탯 72종'!K16-Y208-AG208,0))</x:f>
        <x:v>1</x:v>
      </x:c>
      <x:c r="R208" s="15" t="n">
        <x:f>'기준스탯 72종'!D16*G208</x:f>
        <x:v>3.9199999999999995</x:v>
      </x:c>
      <x:c r="S208" s="15" t="n">
        <x:f>'기준스탯 72종'!E16*G208</x:f>
        <x:v>5.039999999999999</x:v>
      </x:c>
      <x:c r="T208" s="15" t="n">
        <x:f>'기준스탯 72종'!F16*G208</x:f>
        <x:v>3.9199999999999995</x:v>
      </x:c>
      <x:c r="U208" s="15" t="n">
        <x:f>'기준스탯 72종'!G16*G208</x:f>
        <x:v>3.9199999999999995</x:v>
      </x:c>
      <x:c r="V208" s="15" t="n">
        <x:f>'기준스탯 72종'!H16*G208</x:f>
        <x:v>2.2399999999999998</x:v>
      </x:c>
      <x:c r="W208" s="15" t="n">
        <x:f>'기준스탯 72종'!I16*G208</x:f>
        <x:v>2.2399999999999998</x:v>
      </x:c>
      <x:c r="X208" s="15" t="n">
        <x:f>'기준스탯 72종'!J16*G208</x:f>
        <x:v>1.6799999999999997</x:v>
      </x:c>
      <x:c r="Y208" s="15" t="n">
        <x:f>'기준스탯 72종'!K16*G208</x:f>
        <x:v>2.8</x:v>
      </x:c>
      <x:c r="Z208" s="15" t="n">
        <x:f>'기준스탯 72종'!D16*H208</x:f>
        <x:v>1.6800000000000004</x:v>
      </x:c>
      <x:c r="AA208" s="15" t="n">
        <x:f>'기준스탯 72종'!E16*H208</x:f>
        <x:v>2.1600000000000006</x:v>
      </x:c>
      <x:c r="AB208" s="15" t="n">
        <x:f>'기준스탯 72종'!F16*H208</x:f>
        <x:v>1.6800000000000004</x:v>
      </x:c>
      <x:c r="AC208" s="15" t="n">
        <x:f>'기준스탯 72종'!G16*H208</x:f>
        <x:v>1.6800000000000004</x:v>
      </x:c>
      <x:c r="AD208" s="15" t="n">
        <x:f>'기준스탯 72종'!H16*H208</x:f>
        <x:v>0.9600000000000002</x:v>
      </x:c>
      <x:c r="AE208" s="15" t="n">
        <x:f>'기준스탯 72종'!I16*H208</x:f>
        <x:v>0.9600000000000002</x:v>
      </x:c>
      <x:c r="AF208" s="15" t="n">
        <x:f>'기준스탯 72종'!J16*H208</x:f>
        <x:v>0.7200000000000002</x:v>
      </x:c>
      <x:c r="AG208" s="15" t="n">
        <x:f>'기준스탯 72종'!K16*H208</x:f>
        <x:v>1.2000000000000002</x:v>
      </x:c>
    </x:row>
    <x:row r="209" ht="28" customHeight="1">
      <x:c r="A209" s="2" t="n">
        <x:v>202</x:v>
      </x:c>
      <x:c r="B209" s="2" t="n">
        <x:v>9</x:v>
      </x:c>
      <x:c r="C209" s="2" t="str">
        <x:v>황소자리</x:v>
      </x:c>
      <x:c r="D209" s="2" t="str">
        <x:v>사수</x:v>
      </x:c>
      <x:c r="E209" s="2" t="n">
        <x:v>2</x:v>
      </x:c>
      <x:c r="F209" s="2" t="n">
        <x:v>1</x:v>
      </x:c>
      <x:c r="G209" s="14" t="n">
        <x:f>('레벨 계산식'!$E$4-E209)*'레벨 계산식'!$B$5</x:f>
        <x:v>0.41999999999999993</x:v>
      </x:c>
      <x:c r="H209" s="14" t="n">
        <x:f>('등급 계산식'!$E$4-F209)*'등급 계산식'!$B$5</x:f>
        <x:v>0.24000000000000005</x:v>
      </x:c>
      <x:c r="I209" s="14" t="n">
        <x:f>1-G209-H209</x:f>
        <x:v>0.34</x:v>
      </x:c>
      <x:c r="J209" s="2" t="n">
        <x:f>MAX(1,ROUND('기준스탯 72종'!D16-R209-Z209,0))</x:f>
        <x:v>2</x:v>
      </x:c>
      <x:c r="K209" s="2" t="n">
        <x:f>MAX(1,ROUND('기준스탯 72종'!E16-S209-AA209,0))</x:f>
        <x:v>3</x:v>
      </x:c>
      <x:c r="L209" s="2" t="n">
        <x:f>MAX(1,ROUND('기준스탯 72종'!F16-T209-AB209,0))</x:f>
        <x:v>2</x:v>
      </x:c>
      <x:c r="M209" s="2" t="n">
        <x:f>MAX(1,ROUND('기준스탯 72종'!G16-U209-AC209,0))</x:f>
        <x:v>2</x:v>
      </x:c>
      <x:c r="N209" s="2" t="n">
        <x:f>MAX(0,ROUND('기준스탯 72종'!H16-V209-AD209,0))</x:f>
        <x:v>1</x:v>
      </x:c>
      <x:c r="O209" s="2" t="n">
        <x:f>MAX(0,ROUND('기준스탯 72종'!I16-W209-AE209,0))</x:f>
        <x:v>1</x:v>
      </x:c>
      <x:c r="P209" s="2" t="n">
        <x:f>MAX(0,ROUND('기준스탯 72종'!J16-X209-AF209,0))</x:f>
        <x:v>1</x:v>
      </x:c>
      <x:c r="Q209" s="2" t="n">
        <x:f>MAX(0,ROUND('기준스탯 72종'!K16-Y209-AG209,0))</x:f>
        <x:v>2</x:v>
      </x:c>
      <x:c r="R209" s="15" t="n">
        <x:f>'기준스탯 72종'!D16*G209</x:f>
        <x:v>2.9399999999999995</x:v>
      </x:c>
      <x:c r="S209" s="15" t="n">
        <x:f>'기준스탯 72종'!E16*G209</x:f>
        <x:v>3.7799999999999994</x:v>
      </x:c>
      <x:c r="T209" s="15" t="n">
        <x:f>'기준스탯 72종'!F16*G209</x:f>
        <x:v>2.9399999999999995</x:v>
      </x:c>
      <x:c r="U209" s="15" t="n">
        <x:f>'기준스탯 72종'!G16*G209</x:f>
        <x:v>2.9399999999999995</x:v>
      </x:c>
      <x:c r="V209" s="15" t="n">
        <x:f>'기준스탯 72종'!H16*G209</x:f>
        <x:v>1.6799999999999997</x:v>
      </x:c>
      <x:c r="W209" s="15" t="n">
        <x:f>'기준스탯 72종'!I16*G209</x:f>
        <x:v>1.6799999999999997</x:v>
      </x:c>
      <x:c r="X209" s="15" t="n">
        <x:f>'기준스탯 72종'!J16*G209</x:f>
        <x:v>1.2599999999999998</x:v>
      </x:c>
      <x:c r="Y209" s="15" t="n">
        <x:f>'기준스탯 72종'!K16*G209</x:f>
        <x:v>2.0999999999999996</x:v>
      </x:c>
      <x:c r="Z209" s="15" t="n">
        <x:f>'기준스탯 72종'!D16*H209</x:f>
        <x:v>1.6800000000000004</x:v>
      </x:c>
      <x:c r="AA209" s="15" t="n">
        <x:f>'기준스탯 72종'!E16*H209</x:f>
        <x:v>2.1600000000000006</x:v>
      </x:c>
      <x:c r="AB209" s="15" t="n">
        <x:f>'기준스탯 72종'!F16*H209</x:f>
        <x:v>1.6800000000000004</x:v>
      </x:c>
      <x:c r="AC209" s="15" t="n">
        <x:f>'기준스탯 72종'!G16*H209</x:f>
        <x:v>1.6800000000000004</x:v>
      </x:c>
      <x:c r="AD209" s="15" t="n">
        <x:f>'기준스탯 72종'!H16*H209</x:f>
        <x:v>0.9600000000000002</x:v>
      </x:c>
      <x:c r="AE209" s="15" t="n">
        <x:f>'기준스탯 72종'!I16*H209</x:f>
        <x:v>0.9600000000000002</x:v>
      </x:c>
      <x:c r="AF209" s="15" t="n">
        <x:f>'기준스탯 72종'!J16*H209</x:f>
        <x:v>0.7200000000000002</x:v>
      </x:c>
      <x:c r="AG209" s="15" t="n">
        <x:f>'기준스탯 72종'!K16*H209</x:f>
        <x:v>1.2000000000000002</x:v>
      </x:c>
    </x:row>
    <x:row r="210" ht="28" customHeight="1">
      <x:c r="A210" s="2" t="n">
        <x:v>203</x:v>
      </x:c>
      <x:c r="B210" s="2" t="n">
        <x:v>9</x:v>
      </x:c>
      <x:c r="C210" s="2" t="str">
        <x:v>황소자리</x:v>
      </x:c>
      <x:c r="D210" s="2" t="str">
        <x:v>사수</x:v>
      </x:c>
      <x:c r="E210" s="2" t="n">
        <x:v>3</x:v>
      </x:c>
      <x:c r="F210" s="2" t="n">
        <x:v>1</x:v>
      </x:c>
      <x:c r="G210" s="14" t="n">
        <x:f>('레벨 계산식'!$E$4-E210)*'레벨 계산식'!$B$5</x:f>
        <x:v>0.27999999999999997</x:v>
      </x:c>
      <x:c r="H210" s="14" t="n">
        <x:f>('등급 계산식'!$E$4-F210)*'등급 계산식'!$B$5</x:f>
        <x:v>0.24000000000000005</x:v>
      </x:c>
      <x:c r="I210" s="14" t="n">
        <x:f>1-G210-H210</x:f>
        <x:v>0.4799999999999999</x:v>
      </x:c>
      <x:c r="J210" s="2" t="n">
        <x:f>MAX(1,ROUND('기준스탯 72종'!D16-R210-Z210,0))</x:f>
        <x:v>3</x:v>
      </x:c>
      <x:c r="K210" s="2" t="n">
        <x:f>MAX(1,ROUND('기준스탯 72종'!E16-S210-AA210,0))</x:f>
        <x:v>4</x:v>
      </x:c>
      <x:c r="L210" s="2" t="n">
        <x:f>MAX(1,ROUND('기준스탯 72종'!F16-T210-AB210,0))</x:f>
        <x:v>3</x:v>
      </x:c>
      <x:c r="M210" s="2" t="n">
        <x:f>MAX(1,ROUND('기준스탯 72종'!G16-U210-AC210,0))</x:f>
        <x:v>3</x:v>
      </x:c>
      <x:c r="N210" s="2" t="n">
        <x:f>MAX(0,ROUND('기준스탯 72종'!H16-V210-AD210,0))</x:f>
        <x:v>2</x:v>
      </x:c>
      <x:c r="O210" s="2" t="n">
        <x:f>MAX(0,ROUND('기준스탯 72종'!I16-W210-AE210,0))</x:f>
        <x:v>2</x:v>
      </x:c>
      <x:c r="P210" s="2" t="n">
        <x:f>MAX(0,ROUND('기준스탯 72종'!J16-X210-AF210,0))</x:f>
        <x:v>1</x:v>
      </x:c>
      <x:c r="Q210" s="2" t="n">
        <x:f>MAX(0,ROUND('기준스탯 72종'!K16-Y210-AG210,0))</x:f>
        <x:v>2</x:v>
      </x:c>
      <x:c r="R210" s="15" t="n">
        <x:f>'기준스탯 72종'!D16*G210</x:f>
        <x:v>1.9599999999999997</x:v>
      </x:c>
      <x:c r="S210" s="15" t="n">
        <x:f>'기준스탯 72종'!E16*G210</x:f>
        <x:v>2.5199999999999996</x:v>
      </x:c>
      <x:c r="T210" s="15" t="n">
        <x:f>'기준스탯 72종'!F16*G210</x:f>
        <x:v>1.9599999999999997</x:v>
      </x:c>
      <x:c r="U210" s="15" t="n">
        <x:f>'기준스탯 72종'!G16*G210</x:f>
        <x:v>1.9599999999999997</x:v>
      </x:c>
      <x:c r="V210" s="15" t="n">
        <x:f>'기준스탯 72종'!H16*G210</x:f>
        <x:v>1.1199999999999999</x:v>
      </x:c>
      <x:c r="W210" s="15" t="n">
        <x:f>'기준스탯 72종'!I16*G210</x:f>
        <x:v>1.1199999999999999</x:v>
      </x:c>
      <x:c r="X210" s="15" t="n">
        <x:f>'기준스탯 72종'!J16*G210</x:f>
        <x:v>0.8399999999999999</x:v>
      </x:c>
      <x:c r="Y210" s="15" t="n">
        <x:f>'기준스탯 72종'!K16*G210</x:f>
        <x:v>1.4</x:v>
      </x:c>
      <x:c r="Z210" s="15" t="n">
        <x:f>'기준스탯 72종'!D16*H210</x:f>
        <x:v>1.6800000000000004</x:v>
      </x:c>
      <x:c r="AA210" s="15" t="n">
        <x:f>'기준스탯 72종'!E16*H210</x:f>
        <x:v>2.1600000000000006</x:v>
      </x:c>
      <x:c r="AB210" s="15" t="n">
        <x:f>'기준스탯 72종'!F16*H210</x:f>
        <x:v>1.6800000000000004</x:v>
      </x:c>
      <x:c r="AC210" s="15" t="n">
        <x:f>'기준스탯 72종'!G16*H210</x:f>
        <x:v>1.6800000000000004</x:v>
      </x:c>
      <x:c r="AD210" s="15" t="n">
        <x:f>'기준스탯 72종'!H16*H210</x:f>
        <x:v>0.9600000000000002</x:v>
      </x:c>
      <x:c r="AE210" s="15" t="n">
        <x:f>'기준스탯 72종'!I16*H210</x:f>
        <x:v>0.9600000000000002</x:v>
      </x:c>
      <x:c r="AF210" s="15" t="n">
        <x:f>'기준스탯 72종'!J16*H210</x:f>
        <x:v>0.7200000000000002</x:v>
      </x:c>
      <x:c r="AG210" s="15" t="n">
        <x:f>'기준스탯 72종'!K16*H210</x:f>
        <x:v>1.2000000000000002</x:v>
      </x:c>
    </x:row>
    <x:row r="211" ht="28" customHeight="1">
      <x:c r="A211" s="2" t="n">
        <x:v>204</x:v>
      </x:c>
      <x:c r="B211" s="2" t="n">
        <x:v>9</x:v>
      </x:c>
      <x:c r="C211" s="2" t="str">
        <x:v>황소자리</x:v>
      </x:c>
      <x:c r="D211" s="2" t="str">
        <x:v>사수</x:v>
      </x:c>
      <x:c r="E211" s="2" t="n">
        <x:v>4</x:v>
      </x:c>
      <x:c r="F211" s="2" t="n">
        <x:v>1</x:v>
      </x:c>
      <x:c r="G211" s="14" t="n">
        <x:f>('레벨 계산식'!$E$4-E211)*'레벨 계산식'!$B$5</x:f>
        <x:v>0.13999999999999999</x:v>
      </x:c>
      <x:c r="H211" s="14" t="n">
        <x:f>('등급 계산식'!$E$4-F211)*'등급 계산식'!$B$5</x:f>
        <x:v>0.24000000000000005</x:v>
      </x:c>
      <x:c r="I211" s="14" t="n">
        <x:f>1-G211-H211</x:f>
        <x:v>0.6199999999999999</x:v>
      </x:c>
      <x:c r="J211" s="2" t="n">
        <x:f>MAX(1,ROUND('기준스탯 72종'!D16-R211-Z211,0))</x:f>
        <x:v>4</x:v>
      </x:c>
      <x:c r="K211" s="2" t="n">
        <x:f>MAX(1,ROUND('기준스탯 72종'!E16-S211-AA211,0))</x:f>
        <x:v>6</x:v>
      </x:c>
      <x:c r="L211" s="2" t="n">
        <x:f>MAX(1,ROUND('기준스탯 72종'!F16-T211-AB211,0))</x:f>
        <x:v>4</x:v>
      </x:c>
      <x:c r="M211" s="2" t="n">
        <x:f>MAX(1,ROUND('기준스탯 72종'!G16-U211-AC211,0))</x:f>
        <x:v>4</x:v>
      </x:c>
      <x:c r="N211" s="2" t="n">
        <x:f>MAX(0,ROUND('기준스탯 72종'!H16-V211-AD211,0))</x:f>
        <x:v>2</x:v>
      </x:c>
      <x:c r="O211" s="2" t="n">
        <x:f>MAX(0,ROUND('기준스탯 72종'!I16-W211-AE211,0))</x:f>
        <x:v>2</x:v>
      </x:c>
      <x:c r="P211" s="2" t="n">
        <x:f>MAX(0,ROUND('기준스탯 72종'!J16-X211-AF211,0))</x:f>
        <x:v>2</x:v>
      </x:c>
      <x:c r="Q211" s="2" t="n">
        <x:f>MAX(0,ROUND('기준스탯 72종'!K16-Y211-AG211,0))</x:f>
        <x:v>3</x:v>
      </x:c>
      <x:c r="R211" s="15" t="n">
        <x:f>'기준스탯 72종'!D16*G211</x:f>
        <x:v>0.9799999999999999</x:v>
      </x:c>
      <x:c r="S211" s="15" t="n">
        <x:f>'기준스탯 72종'!E16*G211</x:f>
        <x:v>1.2599999999999998</x:v>
      </x:c>
      <x:c r="T211" s="15" t="n">
        <x:f>'기준스탯 72종'!F16*G211</x:f>
        <x:v>0.9799999999999999</x:v>
      </x:c>
      <x:c r="U211" s="15" t="n">
        <x:f>'기준스탯 72종'!G16*G211</x:f>
        <x:v>0.9799999999999999</x:v>
      </x:c>
      <x:c r="V211" s="15" t="n">
        <x:f>'기준스탯 72종'!H16*G211</x:f>
        <x:v>0.5599999999999999</x:v>
      </x:c>
      <x:c r="W211" s="15" t="n">
        <x:f>'기준스탯 72종'!I16*G211</x:f>
        <x:v>0.5599999999999999</x:v>
      </x:c>
      <x:c r="X211" s="15" t="n">
        <x:f>'기준스탯 72종'!J16*G211</x:f>
        <x:v>0.41999999999999993</x:v>
      </x:c>
      <x:c r="Y211" s="15" t="n">
        <x:f>'기준스탯 72종'!K16*G211</x:f>
        <x:v>0.7</x:v>
      </x:c>
      <x:c r="Z211" s="15" t="n">
        <x:f>'기준스탯 72종'!D16*H211</x:f>
        <x:v>1.6800000000000004</x:v>
      </x:c>
      <x:c r="AA211" s="15" t="n">
        <x:f>'기준스탯 72종'!E16*H211</x:f>
        <x:v>2.1600000000000006</x:v>
      </x:c>
      <x:c r="AB211" s="15" t="n">
        <x:f>'기준스탯 72종'!F16*H211</x:f>
        <x:v>1.6800000000000004</x:v>
      </x:c>
      <x:c r="AC211" s="15" t="n">
        <x:f>'기준스탯 72종'!G16*H211</x:f>
        <x:v>1.6800000000000004</x:v>
      </x:c>
      <x:c r="AD211" s="15" t="n">
        <x:f>'기준스탯 72종'!H16*H211</x:f>
        <x:v>0.9600000000000002</x:v>
      </x:c>
      <x:c r="AE211" s="15" t="n">
        <x:f>'기준스탯 72종'!I16*H211</x:f>
        <x:v>0.9600000000000002</x:v>
      </x:c>
      <x:c r="AF211" s="15" t="n">
        <x:f>'기준스탯 72종'!J16*H211</x:f>
        <x:v>0.7200000000000002</x:v>
      </x:c>
      <x:c r="AG211" s="15" t="n">
        <x:f>'기준스탯 72종'!K16*H211</x:f>
        <x:v>1.2000000000000002</x:v>
      </x:c>
    </x:row>
    <x:row r="212" ht="28" customHeight="1">
      <x:c r="A212" s="2" t="n">
        <x:v>205</x:v>
      </x:c>
      <x:c r="B212" s="2" t="n">
        <x:v>9</x:v>
      </x:c>
      <x:c r="C212" s="2" t="str">
        <x:v>황소자리</x:v>
      </x:c>
      <x:c r="D212" s="2" t="str">
        <x:v>사수</x:v>
      </x:c>
      <x:c r="E212" s="2" t="n">
        <x:v>5</x:v>
      </x:c>
      <x:c r="F212" s="2" t="n">
        <x:v>1</x:v>
      </x:c>
      <x:c r="G212" s="14" t="n">
        <x:f>('레벨 계산식'!$E$4-E212)*'레벨 계산식'!$B$5</x:f>
        <x:v>0</x:v>
      </x:c>
      <x:c r="H212" s="14" t="n">
        <x:f>('등급 계산식'!$E$4-F212)*'등급 계산식'!$B$5</x:f>
        <x:v>0.24000000000000005</x:v>
      </x:c>
      <x:c r="I212" s="14" t="n">
        <x:f>1-G212-H212</x:f>
        <x:v>0.76</x:v>
      </x:c>
      <x:c r="J212" s="2" t="n">
        <x:f>MAX(1,ROUND('기준스탯 72종'!D16-R212-Z212,0))</x:f>
        <x:v>5</x:v>
      </x:c>
      <x:c r="K212" s="2" t="n">
        <x:f>MAX(1,ROUND('기준스탯 72종'!E16-S212-AA212,0))</x:f>
        <x:v>7</x:v>
      </x:c>
      <x:c r="L212" s="2" t="n">
        <x:f>MAX(1,ROUND('기준스탯 72종'!F16-T212-AB212,0))</x:f>
        <x:v>5</x:v>
      </x:c>
      <x:c r="M212" s="2" t="n">
        <x:f>MAX(1,ROUND('기준스탯 72종'!G16-U212-AC212,0))</x:f>
        <x:v>5</x:v>
      </x:c>
      <x:c r="N212" s="2" t="n">
        <x:f>MAX(0,ROUND('기준스탯 72종'!H16-V212-AD212,0))</x:f>
        <x:v>3</x:v>
      </x:c>
      <x:c r="O212" s="2" t="n">
        <x:f>MAX(0,ROUND('기준스탯 72종'!I16-W212-AE212,0))</x:f>
        <x:v>3</x:v>
      </x:c>
      <x:c r="P212" s="2" t="n">
        <x:f>MAX(0,ROUND('기준스탯 72종'!J16-X212-AF212,0))</x:f>
        <x:v>2</x:v>
      </x:c>
      <x:c r="Q212" s="2" t="n">
        <x:f>MAX(0,ROUND('기준스탯 72종'!K16-Y212-AG212,0))</x:f>
        <x:v>4</x:v>
      </x:c>
      <x:c r="R212" s="15" t="n">
        <x:f>'기준스탯 72종'!D16*G212</x:f>
        <x:v>0</x:v>
      </x:c>
      <x:c r="S212" s="15" t="n">
        <x:f>'기준스탯 72종'!E16*G212</x:f>
        <x:v>0</x:v>
      </x:c>
      <x:c r="T212" s="15" t="n">
        <x:f>'기준스탯 72종'!F16*G212</x:f>
        <x:v>0</x:v>
      </x:c>
      <x:c r="U212" s="15" t="n">
        <x:f>'기준스탯 72종'!G16*G212</x:f>
        <x:v>0</x:v>
      </x:c>
      <x:c r="V212" s="15" t="n">
        <x:f>'기준스탯 72종'!H16*G212</x:f>
        <x:v>0</x:v>
      </x:c>
      <x:c r="W212" s="15" t="n">
        <x:f>'기준스탯 72종'!I16*G212</x:f>
        <x:v>0</x:v>
      </x:c>
      <x:c r="X212" s="15" t="n">
        <x:f>'기준스탯 72종'!J16*G212</x:f>
        <x:v>0</x:v>
      </x:c>
      <x:c r="Y212" s="15" t="n">
        <x:f>'기준스탯 72종'!K16*G212</x:f>
        <x:v>0</x:v>
      </x:c>
      <x:c r="Z212" s="15" t="n">
        <x:f>'기준스탯 72종'!D16*H212</x:f>
        <x:v>1.6800000000000004</x:v>
      </x:c>
      <x:c r="AA212" s="15" t="n">
        <x:f>'기준스탯 72종'!E16*H212</x:f>
        <x:v>2.1600000000000006</x:v>
      </x:c>
      <x:c r="AB212" s="15" t="n">
        <x:f>'기준스탯 72종'!F16*H212</x:f>
        <x:v>1.6800000000000004</x:v>
      </x:c>
      <x:c r="AC212" s="15" t="n">
        <x:f>'기준스탯 72종'!G16*H212</x:f>
        <x:v>1.6800000000000004</x:v>
      </x:c>
      <x:c r="AD212" s="15" t="n">
        <x:f>'기준스탯 72종'!H16*H212</x:f>
        <x:v>0.9600000000000002</x:v>
      </x:c>
      <x:c r="AE212" s="15" t="n">
        <x:f>'기준스탯 72종'!I16*H212</x:f>
        <x:v>0.9600000000000002</x:v>
      </x:c>
      <x:c r="AF212" s="15" t="n">
        <x:f>'기준스탯 72종'!J16*H212</x:f>
        <x:v>0.7200000000000002</x:v>
      </x:c>
      <x:c r="AG212" s="15" t="n">
        <x:f>'기준스탯 72종'!K16*H212</x:f>
        <x:v>1.2000000000000002</x:v>
      </x:c>
    </x:row>
    <x:row r="213" ht="28" customHeight="1">
      <x:c r="A213" s="2" t="n">
        <x:v>206</x:v>
      </x:c>
      <x:c r="B213" s="2" t="n">
        <x:v>9</x:v>
      </x:c>
      <x:c r="C213" s="2" t="str">
        <x:v>황소자리</x:v>
      </x:c>
      <x:c r="D213" s="2" t="str">
        <x:v>사수</x:v>
      </x:c>
      <x:c r="E213" s="2" t="n">
        <x:v>1</x:v>
      </x:c>
      <x:c r="F213" s="2" t="n">
        <x:v>2</x:v>
      </x:c>
      <x:c r="G213" s="14" t="n">
        <x:f>('레벨 계산식'!$E$4-E213)*'레벨 계산식'!$B$5</x:f>
        <x:v>0.5599999999999999</x:v>
      </x:c>
      <x:c r="H213" s="14" t="n">
        <x:f>('등급 계산식'!$E$4-F213)*'등급 계산식'!$B$5</x:f>
        <x:v>0.18000000000000005</x:v>
      </x:c>
      <x:c r="I213" s="14" t="n">
        <x:f>1-G213-H213</x:f>
        <x:v>0.26</x:v>
      </x:c>
      <x:c r="J213" s="2" t="n">
        <x:f>MAX(1,ROUND('기준스탯 72종'!D16-R213-Z213,0))</x:f>
        <x:v>2</x:v>
      </x:c>
      <x:c r="K213" s="2" t="n">
        <x:f>MAX(1,ROUND('기준스탯 72종'!E16-S213-AA213,0))</x:f>
        <x:v>2</x:v>
      </x:c>
      <x:c r="L213" s="2" t="n">
        <x:f>MAX(1,ROUND('기준스탯 72종'!F16-T213-AB213,0))</x:f>
        <x:v>2</x:v>
      </x:c>
      <x:c r="M213" s="2" t="n">
        <x:f>MAX(1,ROUND('기준스탯 72종'!G16-U213-AC213,0))</x:f>
        <x:v>2</x:v>
      </x:c>
      <x:c r="N213" s="2" t="n">
        <x:f>MAX(0,ROUND('기준스탯 72종'!H16-V213-AD213,0))</x:f>
        <x:v>1</x:v>
      </x:c>
      <x:c r="O213" s="2" t="n">
        <x:f>MAX(0,ROUND('기준스탯 72종'!I16-W213-AE213,0))</x:f>
        <x:v>1</x:v>
      </x:c>
      <x:c r="P213" s="2" t="n">
        <x:f>MAX(0,ROUND('기준스탯 72종'!J16-X213-AF213,0))</x:f>
        <x:v>1</x:v>
      </x:c>
      <x:c r="Q213" s="2" t="n">
        <x:f>MAX(0,ROUND('기준스탯 72종'!K16-Y213-AG213,0))</x:f>
        <x:v>1</x:v>
      </x:c>
      <x:c r="R213" s="15" t="n">
        <x:f>'기준스탯 72종'!D16*G213</x:f>
        <x:v>3.9199999999999995</x:v>
      </x:c>
      <x:c r="S213" s="15" t="n">
        <x:f>'기준스탯 72종'!E16*G213</x:f>
        <x:v>5.039999999999999</x:v>
      </x:c>
      <x:c r="T213" s="15" t="n">
        <x:f>'기준스탯 72종'!F16*G213</x:f>
        <x:v>3.9199999999999995</x:v>
      </x:c>
      <x:c r="U213" s="15" t="n">
        <x:f>'기준스탯 72종'!G16*G213</x:f>
        <x:v>3.9199999999999995</x:v>
      </x:c>
      <x:c r="V213" s="15" t="n">
        <x:f>'기준스탯 72종'!H16*G213</x:f>
        <x:v>2.2399999999999998</x:v>
      </x:c>
      <x:c r="W213" s="15" t="n">
        <x:f>'기준스탯 72종'!I16*G213</x:f>
        <x:v>2.2399999999999998</x:v>
      </x:c>
      <x:c r="X213" s="15" t="n">
        <x:f>'기준스탯 72종'!J16*G213</x:f>
        <x:v>1.6799999999999997</x:v>
      </x:c>
      <x:c r="Y213" s="15" t="n">
        <x:f>'기준스탯 72종'!K16*G213</x:f>
        <x:v>2.8</x:v>
      </x:c>
      <x:c r="Z213" s="15" t="n">
        <x:f>'기준스탯 72종'!D16*H213</x:f>
        <x:v>1.2600000000000002</x:v>
      </x:c>
      <x:c r="AA213" s="15" t="n">
        <x:f>'기준스탯 72종'!E16*H213</x:f>
        <x:v>1.6200000000000006</x:v>
      </x:c>
      <x:c r="AB213" s="15" t="n">
        <x:f>'기준스탯 72종'!F16*H213</x:f>
        <x:v>1.2600000000000002</x:v>
      </x:c>
      <x:c r="AC213" s="15" t="n">
        <x:f>'기준스탯 72종'!G16*H213</x:f>
        <x:v>1.2600000000000002</x:v>
      </x:c>
      <x:c r="AD213" s="15" t="n">
        <x:f>'기준스탯 72종'!H16*H213</x:f>
        <x:v>0.7200000000000002</x:v>
      </x:c>
      <x:c r="AE213" s="15" t="n">
        <x:f>'기준스탯 72종'!I16*H213</x:f>
        <x:v>0.7200000000000002</x:v>
      </x:c>
      <x:c r="AF213" s="15" t="n">
        <x:f>'기준스탯 72종'!J16*H213</x:f>
        <x:v>0.5400000000000001</x:v>
      </x:c>
      <x:c r="AG213" s="15" t="n">
        <x:f>'기준스탯 72종'!K16*H213</x:f>
        <x:v>0.9000000000000002</x:v>
      </x:c>
    </x:row>
    <x:row r="214" ht="28" customHeight="1">
      <x:c r="A214" s="2" t="n">
        <x:v>207</x:v>
      </x:c>
      <x:c r="B214" s="2" t="n">
        <x:v>9</x:v>
      </x:c>
      <x:c r="C214" s="2" t="str">
        <x:v>황소자리</x:v>
      </x:c>
      <x:c r="D214" s="2" t="str">
        <x:v>사수</x:v>
      </x:c>
      <x:c r="E214" s="2" t="n">
        <x:v>2</x:v>
      </x:c>
      <x:c r="F214" s="2" t="n">
        <x:v>2</x:v>
      </x:c>
      <x:c r="G214" s="14" t="n">
        <x:f>('레벨 계산식'!$E$4-E214)*'레벨 계산식'!$B$5</x:f>
        <x:v>0.41999999999999993</x:v>
      </x:c>
      <x:c r="H214" s="14" t="n">
        <x:f>('등급 계산식'!$E$4-F214)*'등급 계산식'!$B$5</x:f>
        <x:v>0.18000000000000005</x:v>
      </x:c>
      <x:c r="I214" s="14" t="n">
        <x:f>1-G214-H214</x:f>
        <x:v>0.4</x:v>
      </x:c>
      <x:c r="J214" s="2" t="n">
        <x:f>MAX(1,ROUND('기준스탯 72종'!D16-R214-Z214,0))</x:f>
        <x:v>3</x:v>
      </x:c>
      <x:c r="K214" s="2" t="n">
        <x:f>MAX(1,ROUND('기준스탯 72종'!E16-S214-AA214,0))</x:f>
        <x:v>4</x:v>
      </x:c>
      <x:c r="L214" s="2" t="n">
        <x:f>MAX(1,ROUND('기준스탯 72종'!F16-T214-AB214,0))</x:f>
        <x:v>3</x:v>
      </x:c>
      <x:c r="M214" s="2" t="n">
        <x:f>MAX(1,ROUND('기준스탯 72종'!G16-U214-AC214,0))</x:f>
        <x:v>3</x:v>
      </x:c>
      <x:c r="N214" s="2" t="n">
        <x:f>MAX(0,ROUND('기준스탯 72종'!H16-V214-AD214,0))</x:f>
        <x:v>2</x:v>
      </x:c>
      <x:c r="O214" s="2" t="n">
        <x:f>MAX(0,ROUND('기준스탯 72종'!I16-W214-AE214,0))</x:f>
        <x:v>2</x:v>
      </x:c>
      <x:c r="P214" s="2" t="n">
        <x:f>MAX(0,ROUND('기준스탯 72종'!J16-X214-AF214,0))</x:f>
        <x:v>1</x:v>
      </x:c>
      <x:c r="Q214" s="2" t="n">
        <x:f>MAX(0,ROUND('기준스탯 72종'!K16-Y214-AG214,0))</x:f>
        <x:v>2</x:v>
      </x:c>
      <x:c r="R214" s="15" t="n">
        <x:f>'기준스탯 72종'!D16*G214</x:f>
        <x:v>2.9399999999999995</x:v>
      </x:c>
      <x:c r="S214" s="15" t="n">
        <x:f>'기준스탯 72종'!E16*G214</x:f>
        <x:v>3.7799999999999994</x:v>
      </x:c>
      <x:c r="T214" s="15" t="n">
        <x:f>'기준스탯 72종'!F16*G214</x:f>
        <x:v>2.9399999999999995</x:v>
      </x:c>
      <x:c r="U214" s="15" t="n">
        <x:f>'기준스탯 72종'!G16*G214</x:f>
        <x:v>2.9399999999999995</x:v>
      </x:c>
      <x:c r="V214" s="15" t="n">
        <x:f>'기준스탯 72종'!H16*G214</x:f>
        <x:v>1.6799999999999997</x:v>
      </x:c>
      <x:c r="W214" s="15" t="n">
        <x:f>'기준스탯 72종'!I16*G214</x:f>
        <x:v>1.6799999999999997</x:v>
      </x:c>
      <x:c r="X214" s="15" t="n">
        <x:f>'기준스탯 72종'!J16*G214</x:f>
        <x:v>1.2599999999999998</x:v>
      </x:c>
      <x:c r="Y214" s="15" t="n">
        <x:f>'기준스탯 72종'!K16*G214</x:f>
        <x:v>2.0999999999999996</x:v>
      </x:c>
      <x:c r="Z214" s="15" t="n">
        <x:f>'기준스탯 72종'!D16*H214</x:f>
        <x:v>1.2600000000000002</x:v>
      </x:c>
      <x:c r="AA214" s="15" t="n">
        <x:f>'기준스탯 72종'!E16*H214</x:f>
        <x:v>1.6200000000000006</x:v>
      </x:c>
      <x:c r="AB214" s="15" t="n">
        <x:f>'기준스탯 72종'!F16*H214</x:f>
        <x:v>1.2600000000000002</x:v>
      </x:c>
      <x:c r="AC214" s="15" t="n">
        <x:f>'기준스탯 72종'!G16*H214</x:f>
        <x:v>1.2600000000000002</x:v>
      </x:c>
      <x:c r="AD214" s="15" t="n">
        <x:f>'기준스탯 72종'!H16*H214</x:f>
        <x:v>0.7200000000000002</x:v>
      </x:c>
      <x:c r="AE214" s="15" t="n">
        <x:f>'기준스탯 72종'!I16*H214</x:f>
        <x:v>0.7200000000000002</x:v>
      </x:c>
      <x:c r="AF214" s="15" t="n">
        <x:f>'기준스탯 72종'!J16*H214</x:f>
        <x:v>0.5400000000000001</x:v>
      </x:c>
      <x:c r="AG214" s="15" t="n">
        <x:f>'기준스탯 72종'!K16*H214</x:f>
        <x:v>0.9000000000000002</x:v>
      </x:c>
    </x:row>
    <x:row r="215" ht="28" customHeight="1">
      <x:c r="A215" s="2" t="n">
        <x:v>208</x:v>
      </x:c>
      <x:c r="B215" s="2" t="n">
        <x:v>9</x:v>
      </x:c>
      <x:c r="C215" s="2" t="str">
        <x:v>황소자리</x:v>
      </x:c>
      <x:c r="D215" s="2" t="str">
        <x:v>사수</x:v>
      </x:c>
      <x:c r="E215" s="2" t="n">
        <x:v>3</x:v>
      </x:c>
      <x:c r="F215" s="2" t="n">
        <x:v>2</x:v>
      </x:c>
      <x:c r="G215" s="14" t="n">
        <x:f>('레벨 계산식'!$E$4-E215)*'레벨 계산식'!$B$5</x:f>
        <x:v>0.27999999999999997</x:v>
      </x:c>
      <x:c r="H215" s="14" t="n">
        <x:f>('등급 계산식'!$E$4-F215)*'등급 계산식'!$B$5</x:f>
        <x:v>0.18000000000000005</x:v>
      </x:c>
      <x:c r="I215" s="14" t="n">
        <x:f>1-G215-H215</x:f>
        <x:v>0.5399999999999999</x:v>
      </x:c>
      <x:c r="J215" s="2" t="n">
        <x:f>MAX(1,ROUND('기준스탯 72종'!D16-R215-Z215,0))</x:f>
        <x:v>4</x:v>
      </x:c>
      <x:c r="K215" s="2" t="n">
        <x:f>MAX(1,ROUND('기준스탯 72종'!E16-S215-AA215,0))</x:f>
        <x:v>5</x:v>
      </x:c>
      <x:c r="L215" s="2" t="n">
        <x:f>MAX(1,ROUND('기준스탯 72종'!F16-T215-AB215,0))</x:f>
        <x:v>4</x:v>
      </x:c>
      <x:c r="M215" s="2" t="n">
        <x:f>MAX(1,ROUND('기준스탯 72종'!G16-U215-AC215,0))</x:f>
        <x:v>4</x:v>
      </x:c>
      <x:c r="N215" s="2" t="n">
        <x:f>MAX(0,ROUND('기준스탯 72종'!H16-V215-AD215,0))</x:f>
        <x:v>2</x:v>
      </x:c>
      <x:c r="O215" s="2" t="n">
        <x:f>MAX(0,ROUND('기준스탯 72종'!I16-W215-AE215,0))</x:f>
        <x:v>2</x:v>
      </x:c>
      <x:c r="P215" s="2" t="n">
        <x:f>MAX(0,ROUND('기준스탯 72종'!J16-X215-AF215,0))</x:f>
        <x:v>2</x:v>
      </x:c>
      <x:c r="Q215" s="2" t="n">
        <x:f>MAX(0,ROUND('기준스탯 72종'!K16-Y215-AG215,0))</x:f>
        <x:v>3</x:v>
      </x:c>
      <x:c r="R215" s="15" t="n">
        <x:f>'기준스탯 72종'!D16*G215</x:f>
        <x:v>1.9599999999999997</x:v>
      </x:c>
      <x:c r="S215" s="15" t="n">
        <x:f>'기준스탯 72종'!E16*G215</x:f>
        <x:v>2.5199999999999996</x:v>
      </x:c>
      <x:c r="T215" s="15" t="n">
        <x:f>'기준스탯 72종'!F16*G215</x:f>
        <x:v>1.9599999999999997</x:v>
      </x:c>
      <x:c r="U215" s="15" t="n">
        <x:f>'기준스탯 72종'!G16*G215</x:f>
        <x:v>1.9599999999999997</x:v>
      </x:c>
      <x:c r="V215" s="15" t="n">
        <x:f>'기준스탯 72종'!H16*G215</x:f>
        <x:v>1.1199999999999999</x:v>
      </x:c>
      <x:c r="W215" s="15" t="n">
        <x:f>'기준스탯 72종'!I16*G215</x:f>
        <x:v>1.1199999999999999</x:v>
      </x:c>
      <x:c r="X215" s="15" t="n">
        <x:f>'기준스탯 72종'!J16*G215</x:f>
        <x:v>0.8399999999999999</x:v>
      </x:c>
      <x:c r="Y215" s="15" t="n">
        <x:f>'기준스탯 72종'!K16*G215</x:f>
        <x:v>1.4</x:v>
      </x:c>
      <x:c r="Z215" s="15" t="n">
        <x:f>'기준스탯 72종'!D16*H215</x:f>
        <x:v>1.2600000000000002</x:v>
      </x:c>
      <x:c r="AA215" s="15" t="n">
        <x:f>'기준스탯 72종'!E16*H215</x:f>
        <x:v>1.6200000000000006</x:v>
      </x:c>
      <x:c r="AB215" s="15" t="n">
        <x:f>'기준스탯 72종'!F16*H215</x:f>
        <x:v>1.2600000000000002</x:v>
      </x:c>
      <x:c r="AC215" s="15" t="n">
        <x:f>'기준스탯 72종'!G16*H215</x:f>
        <x:v>1.2600000000000002</x:v>
      </x:c>
      <x:c r="AD215" s="15" t="n">
        <x:f>'기준스탯 72종'!H16*H215</x:f>
        <x:v>0.7200000000000002</x:v>
      </x:c>
      <x:c r="AE215" s="15" t="n">
        <x:f>'기준스탯 72종'!I16*H215</x:f>
        <x:v>0.7200000000000002</x:v>
      </x:c>
      <x:c r="AF215" s="15" t="n">
        <x:f>'기준스탯 72종'!J16*H215</x:f>
        <x:v>0.5400000000000001</x:v>
      </x:c>
      <x:c r="AG215" s="15" t="n">
        <x:f>'기준스탯 72종'!K16*H215</x:f>
        <x:v>0.9000000000000002</x:v>
      </x:c>
    </x:row>
    <x:row r="216" ht="28" customHeight="1">
      <x:c r="A216" s="2" t="n">
        <x:v>209</x:v>
      </x:c>
      <x:c r="B216" s="2" t="n">
        <x:v>9</x:v>
      </x:c>
      <x:c r="C216" s="2" t="str">
        <x:v>황소자리</x:v>
      </x:c>
      <x:c r="D216" s="2" t="str">
        <x:v>사수</x:v>
      </x:c>
      <x:c r="E216" s="2" t="n">
        <x:v>4</x:v>
      </x:c>
      <x:c r="F216" s="2" t="n">
        <x:v>2</x:v>
      </x:c>
      <x:c r="G216" s="14" t="n">
        <x:f>('레벨 계산식'!$E$4-E216)*'레벨 계산식'!$B$5</x:f>
        <x:v>0.13999999999999999</x:v>
      </x:c>
      <x:c r="H216" s="14" t="n">
        <x:f>('등급 계산식'!$E$4-F216)*'등급 계산식'!$B$5</x:f>
        <x:v>0.18000000000000005</x:v>
      </x:c>
      <x:c r="I216" s="14" t="n">
        <x:f>1-G216-H216</x:f>
        <x:v>0.6799999999999999</x:v>
      </x:c>
      <x:c r="J216" s="2" t="n">
        <x:f>MAX(1,ROUND('기준스탯 72종'!D16-R216-Z216,0))</x:f>
        <x:v>5</x:v>
      </x:c>
      <x:c r="K216" s="2" t="n">
        <x:f>MAX(1,ROUND('기준스탯 72종'!E16-S216-AA216,0))</x:f>
        <x:v>6</x:v>
      </x:c>
      <x:c r="L216" s="2" t="n">
        <x:f>MAX(1,ROUND('기준스탯 72종'!F16-T216-AB216,0))</x:f>
        <x:v>5</x:v>
      </x:c>
      <x:c r="M216" s="2" t="n">
        <x:f>MAX(1,ROUND('기준스탯 72종'!G16-U216-AC216,0))</x:f>
        <x:v>5</x:v>
      </x:c>
      <x:c r="N216" s="2" t="n">
        <x:f>MAX(0,ROUND('기준스탯 72종'!H16-V216-AD216,0))</x:f>
        <x:v>3</x:v>
      </x:c>
      <x:c r="O216" s="2" t="n">
        <x:f>MAX(0,ROUND('기준스탯 72종'!I16-W216-AE216,0))</x:f>
        <x:v>3</x:v>
      </x:c>
      <x:c r="P216" s="2" t="n">
        <x:f>MAX(0,ROUND('기준스탯 72종'!J16-X216-AF216,0))</x:f>
        <x:v>2</x:v>
      </x:c>
      <x:c r="Q216" s="2" t="n">
        <x:f>MAX(0,ROUND('기준스탯 72종'!K16-Y216-AG216,0))</x:f>
        <x:v>3</x:v>
      </x:c>
      <x:c r="R216" s="15" t="n">
        <x:f>'기준스탯 72종'!D16*G216</x:f>
        <x:v>0.9799999999999999</x:v>
      </x:c>
      <x:c r="S216" s="15" t="n">
        <x:f>'기준스탯 72종'!E16*G216</x:f>
        <x:v>1.2599999999999998</x:v>
      </x:c>
      <x:c r="T216" s="15" t="n">
        <x:f>'기준스탯 72종'!F16*G216</x:f>
        <x:v>0.9799999999999999</x:v>
      </x:c>
      <x:c r="U216" s="15" t="n">
        <x:f>'기준스탯 72종'!G16*G216</x:f>
        <x:v>0.9799999999999999</x:v>
      </x:c>
      <x:c r="V216" s="15" t="n">
        <x:f>'기준스탯 72종'!H16*G216</x:f>
        <x:v>0.5599999999999999</x:v>
      </x:c>
      <x:c r="W216" s="15" t="n">
        <x:f>'기준스탯 72종'!I16*G216</x:f>
        <x:v>0.5599999999999999</x:v>
      </x:c>
      <x:c r="X216" s="15" t="n">
        <x:f>'기준스탯 72종'!J16*G216</x:f>
        <x:v>0.41999999999999993</x:v>
      </x:c>
      <x:c r="Y216" s="15" t="n">
        <x:f>'기준스탯 72종'!K16*G216</x:f>
        <x:v>0.7</x:v>
      </x:c>
      <x:c r="Z216" s="15" t="n">
        <x:f>'기준스탯 72종'!D16*H216</x:f>
        <x:v>1.2600000000000002</x:v>
      </x:c>
      <x:c r="AA216" s="15" t="n">
        <x:f>'기준스탯 72종'!E16*H216</x:f>
        <x:v>1.6200000000000006</x:v>
      </x:c>
      <x:c r="AB216" s="15" t="n">
        <x:f>'기준스탯 72종'!F16*H216</x:f>
        <x:v>1.2600000000000002</x:v>
      </x:c>
      <x:c r="AC216" s="15" t="n">
        <x:f>'기준스탯 72종'!G16*H216</x:f>
        <x:v>1.2600000000000002</x:v>
      </x:c>
      <x:c r="AD216" s="15" t="n">
        <x:f>'기준스탯 72종'!H16*H216</x:f>
        <x:v>0.7200000000000002</x:v>
      </x:c>
      <x:c r="AE216" s="15" t="n">
        <x:f>'기준스탯 72종'!I16*H216</x:f>
        <x:v>0.7200000000000002</x:v>
      </x:c>
      <x:c r="AF216" s="15" t="n">
        <x:f>'기준스탯 72종'!J16*H216</x:f>
        <x:v>0.5400000000000001</x:v>
      </x:c>
      <x:c r="AG216" s="15" t="n">
        <x:f>'기준스탯 72종'!K16*H216</x:f>
        <x:v>0.9000000000000002</x:v>
      </x:c>
    </x:row>
    <x:row r="217" ht="28" customHeight="1">
      <x:c r="A217" s="2" t="n">
        <x:v>210</x:v>
      </x:c>
      <x:c r="B217" s="2" t="n">
        <x:v>9</x:v>
      </x:c>
      <x:c r="C217" s="2" t="str">
        <x:v>황소자리</x:v>
      </x:c>
      <x:c r="D217" s="2" t="str">
        <x:v>사수</x:v>
      </x:c>
      <x:c r="E217" s="2" t="n">
        <x:v>5</x:v>
      </x:c>
      <x:c r="F217" s="2" t="n">
        <x:v>2</x:v>
      </x:c>
      <x:c r="G217" s="14" t="n">
        <x:f>('레벨 계산식'!$E$4-E217)*'레벨 계산식'!$B$5</x:f>
        <x:v>0</x:v>
      </x:c>
      <x:c r="H217" s="14" t="n">
        <x:f>('등급 계산식'!$E$4-F217)*'등급 계산식'!$B$5</x:f>
        <x:v>0.18000000000000005</x:v>
      </x:c>
      <x:c r="I217" s="14" t="n">
        <x:f>1-G217-H217</x:f>
        <x:v>0.82</x:v>
      </x:c>
      <x:c r="J217" s="2" t="n">
        <x:f>MAX(1,ROUND('기준스탯 72종'!D16-R217-Z217,0))</x:f>
        <x:v>6</x:v>
      </x:c>
      <x:c r="K217" s="2" t="n">
        <x:f>MAX(1,ROUND('기준스탯 72종'!E16-S217-AA217,0))</x:f>
        <x:v>7</x:v>
      </x:c>
      <x:c r="L217" s="2" t="n">
        <x:f>MAX(1,ROUND('기준스탯 72종'!F16-T217-AB217,0))</x:f>
        <x:v>6</x:v>
      </x:c>
      <x:c r="M217" s="2" t="n">
        <x:f>MAX(1,ROUND('기준스탯 72종'!G16-U217-AC217,0))</x:f>
        <x:v>6</x:v>
      </x:c>
      <x:c r="N217" s="2" t="n">
        <x:f>MAX(0,ROUND('기준스탯 72종'!H16-V217-AD217,0))</x:f>
        <x:v>3</x:v>
      </x:c>
      <x:c r="O217" s="2" t="n">
        <x:f>MAX(0,ROUND('기준스탯 72종'!I16-W217-AE217,0))</x:f>
        <x:v>3</x:v>
      </x:c>
      <x:c r="P217" s="2" t="n">
        <x:f>MAX(0,ROUND('기준스탯 72종'!J16-X217-AF217,0))</x:f>
        <x:v>2</x:v>
      </x:c>
      <x:c r="Q217" s="2" t="n">
        <x:f>MAX(0,ROUND('기준스탯 72종'!K16-Y217-AG217,0))</x:f>
        <x:v>4</x:v>
      </x:c>
      <x:c r="R217" s="15" t="n">
        <x:f>'기준스탯 72종'!D16*G217</x:f>
        <x:v>0</x:v>
      </x:c>
      <x:c r="S217" s="15" t="n">
        <x:f>'기준스탯 72종'!E16*G217</x:f>
        <x:v>0</x:v>
      </x:c>
      <x:c r="T217" s="15" t="n">
        <x:f>'기준스탯 72종'!F16*G217</x:f>
        <x:v>0</x:v>
      </x:c>
      <x:c r="U217" s="15" t="n">
        <x:f>'기준스탯 72종'!G16*G217</x:f>
        <x:v>0</x:v>
      </x:c>
      <x:c r="V217" s="15" t="n">
        <x:f>'기준스탯 72종'!H16*G217</x:f>
        <x:v>0</x:v>
      </x:c>
      <x:c r="W217" s="15" t="n">
        <x:f>'기준스탯 72종'!I16*G217</x:f>
        <x:v>0</x:v>
      </x:c>
      <x:c r="X217" s="15" t="n">
        <x:f>'기준스탯 72종'!J16*G217</x:f>
        <x:v>0</x:v>
      </x:c>
      <x:c r="Y217" s="15" t="n">
        <x:f>'기준스탯 72종'!K16*G217</x:f>
        <x:v>0</x:v>
      </x:c>
      <x:c r="Z217" s="15" t="n">
        <x:f>'기준스탯 72종'!D16*H217</x:f>
        <x:v>1.2600000000000002</x:v>
      </x:c>
      <x:c r="AA217" s="15" t="n">
        <x:f>'기준스탯 72종'!E16*H217</x:f>
        <x:v>1.6200000000000006</x:v>
      </x:c>
      <x:c r="AB217" s="15" t="n">
        <x:f>'기준스탯 72종'!F16*H217</x:f>
        <x:v>1.2600000000000002</x:v>
      </x:c>
      <x:c r="AC217" s="15" t="n">
        <x:f>'기준스탯 72종'!G16*H217</x:f>
        <x:v>1.2600000000000002</x:v>
      </x:c>
      <x:c r="AD217" s="15" t="n">
        <x:f>'기준스탯 72종'!H16*H217</x:f>
        <x:v>0.7200000000000002</x:v>
      </x:c>
      <x:c r="AE217" s="15" t="n">
        <x:f>'기준스탯 72종'!I16*H217</x:f>
        <x:v>0.7200000000000002</x:v>
      </x:c>
      <x:c r="AF217" s="15" t="n">
        <x:f>'기준스탯 72종'!J16*H217</x:f>
        <x:v>0.5400000000000001</x:v>
      </x:c>
      <x:c r="AG217" s="15" t="n">
        <x:f>'기준스탯 72종'!K16*H217</x:f>
        <x:v>0.9000000000000002</x:v>
      </x:c>
    </x:row>
    <x:row r="218" ht="28" customHeight="1">
      <x:c r="A218" s="2" t="n">
        <x:v>211</x:v>
      </x:c>
      <x:c r="B218" s="2" t="n">
        <x:v>9</x:v>
      </x:c>
      <x:c r="C218" s="2" t="str">
        <x:v>황소자리</x:v>
      </x:c>
      <x:c r="D218" s="2" t="str">
        <x:v>사수</x:v>
      </x:c>
      <x:c r="E218" s="2" t="n">
        <x:v>1</x:v>
      </x:c>
      <x:c r="F218" s="2" t="n">
        <x:v>3</x:v>
      </x:c>
      <x:c r="G218" s="14" t="n">
        <x:f>('레벨 계산식'!$E$4-E218)*'레벨 계산식'!$B$5</x:f>
        <x:v>0.5599999999999999</x:v>
      </x:c>
      <x:c r="H218" s="14" t="n">
        <x:f>('등급 계산식'!$E$4-F218)*'등급 계산식'!$B$5</x:f>
        <x:v>0.12000000000000002</x:v>
      </x:c>
      <x:c r="I218" s="14" t="n">
        <x:f>1-G218-H218</x:f>
        <x:v>0.32000000000000006</x:v>
      </x:c>
      <x:c r="J218" s="2" t="n">
        <x:f>MAX(1,ROUND('기준스탯 72종'!D16-R218-Z218,0))</x:f>
        <x:v>2</x:v>
      </x:c>
      <x:c r="K218" s="2" t="n">
        <x:f>MAX(1,ROUND('기준스탯 72종'!E16-S218-AA218,0))</x:f>
        <x:v>3</x:v>
      </x:c>
      <x:c r="L218" s="2" t="n">
        <x:f>MAX(1,ROUND('기준스탯 72종'!F16-T218-AB218,0))</x:f>
        <x:v>2</x:v>
      </x:c>
      <x:c r="M218" s="2" t="n">
        <x:f>MAX(1,ROUND('기준스탯 72종'!G16-U218-AC218,0))</x:f>
        <x:v>2</x:v>
      </x:c>
      <x:c r="N218" s="2" t="n">
        <x:f>MAX(0,ROUND('기준스탯 72종'!H16-V218-AD218,0))</x:f>
        <x:v>1</x:v>
      </x:c>
      <x:c r="O218" s="2" t="n">
        <x:f>MAX(0,ROUND('기준스탯 72종'!I16-W218-AE218,0))</x:f>
        <x:v>1</x:v>
      </x:c>
      <x:c r="P218" s="2" t="n">
        <x:f>MAX(0,ROUND('기준스탯 72종'!J16-X218-AF218,0))</x:f>
        <x:v>1</x:v>
      </x:c>
      <x:c r="Q218" s="2" t="n">
        <x:f>MAX(0,ROUND('기준스탯 72종'!K16-Y218-AG218,0))</x:f>
        <x:v>2</x:v>
      </x:c>
      <x:c r="R218" s="15" t="n">
        <x:f>'기준스탯 72종'!D16*G218</x:f>
        <x:v>3.9199999999999995</x:v>
      </x:c>
      <x:c r="S218" s="15" t="n">
        <x:f>'기준스탯 72종'!E16*G218</x:f>
        <x:v>5.039999999999999</x:v>
      </x:c>
      <x:c r="T218" s="15" t="n">
        <x:f>'기준스탯 72종'!F16*G218</x:f>
        <x:v>3.9199999999999995</x:v>
      </x:c>
      <x:c r="U218" s="15" t="n">
        <x:f>'기준스탯 72종'!G16*G218</x:f>
        <x:v>3.9199999999999995</x:v>
      </x:c>
      <x:c r="V218" s="15" t="n">
        <x:f>'기준스탯 72종'!H16*G218</x:f>
        <x:v>2.2399999999999998</x:v>
      </x:c>
      <x:c r="W218" s="15" t="n">
        <x:f>'기준스탯 72종'!I16*G218</x:f>
        <x:v>2.2399999999999998</x:v>
      </x:c>
      <x:c r="X218" s="15" t="n">
        <x:f>'기준스탯 72종'!J16*G218</x:f>
        <x:v>1.6799999999999997</x:v>
      </x:c>
      <x:c r="Y218" s="15" t="n">
        <x:f>'기준스탯 72종'!K16*G218</x:f>
        <x:v>2.8</x:v>
      </x:c>
      <x:c r="Z218" s="15" t="n">
        <x:f>'기준스탯 72종'!D16*H218</x:f>
        <x:v>0.8400000000000002</x:v>
      </x:c>
      <x:c r="AA218" s="15" t="n">
        <x:f>'기준스탯 72종'!E16*H218</x:f>
        <x:v>1.0800000000000003</x:v>
      </x:c>
      <x:c r="AB218" s="15" t="n">
        <x:f>'기준스탯 72종'!F16*H218</x:f>
        <x:v>0.8400000000000002</x:v>
      </x:c>
      <x:c r="AC218" s="15" t="n">
        <x:f>'기준스탯 72종'!G16*H218</x:f>
        <x:v>0.8400000000000002</x:v>
      </x:c>
      <x:c r="AD218" s="15" t="n">
        <x:f>'기준스탯 72종'!H16*H218</x:f>
        <x:v>0.4800000000000001</x:v>
      </x:c>
      <x:c r="AE218" s="15" t="n">
        <x:f>'기준스탯 72종'!I16*H218</x:f>
        <x:v>0.4800000000000001</x:v>
      </x:c>
      <x:c r="AF218" s="15" t="n">
        <x:f>'기준스탯 72종'!J16*H218</x:f>
        <x:v>0.3600000000000001</x:v>
      </x:c>
      <x:c r="AG218" s="15" t="n">
        <x:f>'기준스탯 72종'!K16*H218</x:f>
        <x:v>0.6000000000000001</x:v>
      </x:c>
    </x:row>
    <x:row r="219" ht="28" customHeight="1">
      <x:c r="A219" s="2" t="n">
        <x:v>212</x:v>
      </x:c>
      <x:c r="B219" s="2" t="n">
        <x:v>9</x:v>
      </x:c>
      <x:c r="C219" s="2" t="str">
        <x:v>황소자리</x:v>
      </x:c>
      <x:c r="D219" s="2" t="str">
        <x:v>사수</x:v>
      </x:c>
      <x:c r="E219" s="2" t="n">
        <x:v>2</x:v>
      </x:c>
      <x:c r="F219" s="2" t="n">
        <x:v>3</x:v>
      </x:c>
      <x:c r="G219" s="14" t="n">
        <x:f>('레벨 계산식'!$E$4-E219)*'레벨 계산식'!$B$5</x:f>
        <x:v>0.41999999999999993</x:v>
      </x:c>
      <x:c r="H219" s="14" t="n">
        <x:f>('등급 계산식'!$E$4-F219)*'등급 계산식'!$B$5</x:f>
        <x:v>0.12000000000000002</x:v>
      </x:c>
      <x:c r="I219" s="14" t="n">
        <x:f>1-G219-H219</x:f>
        <x:v>0.4600000000000001</x:v>
      </x:c>
      <x:c r="J219" s="2" t="n">
        <x:f>MAX(1,ROUND('기준스탯 72종'!D16-R219-Z219,0))</x:f>
        <x:v>3</x:v>
      </x:c>
      <x:c r="K219" s="2" t="n">
        <x:f>MAX(1,ROUND('기준스탯 72종'!E16-S219-AA219,0))</x:f>
        <x:v>4</x:v>
      </x:c>
      <x:c r="L219" s="2" t="n">
        <x:f>MAX(1,ROUND('기준스탯 72종'!F16-T219-AB219,0))</x:f>
        <x:v>3</x:v>
      </x:c>
      <x:c r="M219" s="2" t="n">
        <x:f>MAX(1,ROUND('기준스탯 72종'!G16-U219-AC219,0))</x:f>
        <x:v>3</x:v>
      </x:c>
      <x:c r="N219" s="2" t="n">
        <x:f>MAX(0,ROUND('기준스탯 72종'!H16-V219-AD219,0))</x:f>
        <x:v>2</x:v>
      </x:c>
      <x:c r="O219" s="2" t="n">
        <x:f>MAX(0,ROUND('기준스탯 72종'!I16-W219-AE219,0))</x:f>
        <x:v>2</x:v>
      </x:c>
      <x:c r="P219" s="2" t="n">
        <x:f>MAX(0,ROUND('기준스탯 72종'!J16-X219-AF219,0))</x:f>
        <x:v>1</x:v>
      </x:c>
      <x:c r="Q219" s="2" t="n">
        <x:f>MAX(0,ROUND('기준스탯 72종'!K16-Y219-AG219,0))</x:f>
        <x:v>2</x:v>
      </x:c>
      <x:c r="R219" s="15" t="n">
        <x:f>'기준스탯 72종'!D16*G219</x:f>
        <x:v>2.9399999999999995</x:v>
      </x:c>
      <x:c r="S219" s="15" t="n">
        <x:f>'기준스탯 72종'!E16*G219</x:f>
        <x:v>3.7799999999999994</x:v>
      </x:c>
      <x:c r="T219" s="15" t="n">
        <x:f>'기준스탯 72종'!F16*G219</x:f>
        <x:v>2.9399999999999995</x:v>
      </x:c>
      <x:c r="U219" s="15" t="n">
        <x:f>'기준스탯 72종'!G16*G219</x:f>
        <x:v>2.9399999999999995</x:v>
      </x:c>
      <x:c r="V219" s="15" t="n">
        <x:f>'기준스탯 72종'!H16*G219</x:f>
        <x:v>1.6799999999999997</x:v>
      </x:c>
      <x:c r="W219" s="15" t="n">
        <x:f>'기준스탯 72종'!I16*G219</x:f>
        <x:v>1.6799999999999997</x:v>
      </x:c>
      <x:c r="X219" s="15" t="n">
        <x:f>'기준스탯 72종'!J16*G219</x:f>
        <x:v>1.2599999999999998</x:v>
      </x:c>
      <x:c r="Y219" s="15" t="n">
        <x:f>'기준스탯 72종'!K16*G219</x:f>
        <x:v>2.0999999999999996</x:v>
      </x:c>
      <x:c r="Z219" s="15" t="n">
        <x:f>'기준스탯 72종'!D16*H219</x:f>
        <x:v>0.8400000000000002</x:v>
      </x:c>
      <x:c r="AA219" s="15" t="n">
        <x:f>'기준스탯 72종'!E16*H219</x:f>
        <x:v>1.0800000000000003</x:v>
      </x:c>
      <x:c r="AB219" s="15" t="n">
        <x:f>'기준스탯 72종'!F16*H219</x:f>
        <x:v>0.8400000000000002</x:v>
      </x:c>
      <x:c r="AC219" s="15" t="n">
        <x:f>'기준스탯 72종'!G16*H219</x:f>
        <x:v>0.8400000000000002</x:v>
      </x:c>
      <x:c r="AD219" s="15" t="n">
        <x:f>'기준스탯 72종'!H16*H219</x:f>
        <x:v>0.4800000000000001</x:v>
      </x:c>
      <x:c r="AE219" s="15" t="n">
        <x:f>'기준스탯 72종'!I16*H219</x:f>
        <x:v>0.4800000000000001</x:v>
      </x:c>
      <x:c r="AF219" s="15" t="n">
        <x:f>'기준스탯 72종'!J16*H219</x:f>
        <x:v>0.3600000000000001</x:v>
      </x:c>
      <x:c r="AG219" s="15" t="n">
        <x:f>'기준스탯 72종'!K16*H219</x:f>
        <x:v>0.6000000000000001</x:v>
      </x:c>
    </x:row>
    <x:row r="220" ht="28" customHeight="1">
      <x:c r="A220" s="2" t="n">
        <x:v>213</x:v>
      </x:c>
      <x:c r="B220" s="2" t="n">
        <x:v>9</x:v>
      </x:c>
      <x:c r="C220" s="2" t="str">
        <x:v>황소자리</x:v>
      </x:c>
      <x:c r="D220" s="2" t="str">
        <x:v>사수</x:v>
      </x:c>
      <x:c r="E220" s="2" t="n">
        <x:v>3</x:v>
      </x:c>
      <x:c r="F220" s="2" t="n">
        <x:v>3</x:v>
      </x:c>
      <x:c r="G220" s="14" t="n">
        <x:f>('레벨 계산식'!$E$4-E220)*'레벨 계산식'!$B$5</x:f>
        <x:v>0.27999999999999997</x:v>
      </x:c>
      <x:c r="H220" s="14" t="n">
        <x:f>('등급 계산식'!$E$4-F220)*'등급 계산식'!$B$5</x:f>
        <x:v>0.12000000000000002</x:v>
      </x:c>
      <x:c r="I220" s="14" t="n">
        <x:f>1-G220-H220</x:f>
        <x:v>0.6</x:v>
      </x:c>
      <x:c r="J220" s="2" t="n">
        <x:f>MAX(1,ROUND('기준스탯 72종'!D16-R220-Z220,0))</x:f>
        <x:v>4</x:v>
      </x:c>
      <x:c r="K220" s="2" t="n">
        <x:f>MAX(1,ROUND('기준스탯 72종'!E16-S220-AA220,0))</x:f>
        <x:v>5</x:v>
      </x:c>
      <x:c r="L220" s="2" t="n">
        <x:f>MAX(1,ROUND('기준스탯 72종'!F16-T220-AB220,0))</x:f>
        <x:v>4</x:v>
      </x:c>
      <x:c r="M220" s="2" t="n">
        <x:f>MAX(1,ROUND('기준스탯 72종'!G16-U220-AC220,0))</x:f>
        <x:v>4</x:v>
      </x:c>
      <x:c r="N220" s="2" t="n">
        <x:f>MAX(0,ROUND('기준스탯 72종'!H16-V220-AD220,0))</x:f>
        <x:v>2</x:v>
      </x:c>
      <x:c r="O220" s="2" t="n">
        <x:f>MAX(0,ROUND('기준스탯 72종'!I16-W220-AE220,0))</x:f>
        <x:v>2</x:v>
      </x:c>
      <x:c r="P220" s="2" t="n">
        <x:f>MAX(0,ROUND('기준스탯 72종'!J16-X220-AF220,0))</x:f>
        <x:v>2</x:v>
      </x:c>
      <x:c r="Q220" s="2" t="n">
        <x:f>MAX(0,ROUND('기준스탯 72종'!K16-Y220-AG220,0))</x:f>
        <x:v>3</x:v>
      </x:c>
      <x:c r="R220" s="15" t="n">
        <x:f>'기준스탯 72종'!D16*G220</x:f>
        <x:v>1.9599999999999997</x:v>
      </x:c>
      <x:c r="S220" s="15" t="n">
        <x:f>'기준스탯 72종'!E16*G220</x:f>
        <x:v>2.5199999999999996</x:v>
      </x:c>
      <x:c r="T220" s="15" t="n">
        <x:f>'기준스탯 72종'!F16*G220</x:f>
        <x:v>1.9599999999999997</x:v>
      </x:c>
      <x:c r="U220" s="15" t="n">
        <x:f>'기준스탯 72종'!G16*G220</x:f>
        <x:v>1.9599999999999997</x:v>
      </x:c>
      <x:c r="V220" s="15" t="n">
        <x:f>'기준스탯 72종'!H16*G220</x:f>
        <x:v>1.1199999999999999</x:v>
      </x:c>
      <x:c r="W220" s="15" t="n">
        <x:f>'기준스탯 72종'!I16*G220</x:f>
        <x:v>1.1199999999999999</x:v>
      </x:c>
      <x:c r="X220" s="15" t="n">
        <x:f>'기준스탯 72종'!J16*G220</x:f>
        <x:v>0.8399999999999999</x:v>
      </x:c>
      <x:c r="Y220" s="15" t="n">
        <x:f>'기준스탯 72종'!K16*G220</x:f>
        <x:v>1.4</x:v>
      </x:c>
      <x:c r="Z220" s="15" t="n">
        <x:f>'기준스탯 72종'!D16*H220</x:f>
        <x:v>0.8400000000000002</x:v>
      </x:c>
      <x:c r="AA220" s="15" t="n">
        <x:f>'기준스탯 72종'!E16*H220</x:f>
        <x:v>1.0800000000000003</x:v>
      </x:c>
      <x:c r="AB220" s="15" t="n">
        <x:f>'기준스탯 72종'!F16*H220</x:f>
        <x:v>0.8400000000000002</x:v>
      </x:c>
      <x:c r="AC220" s="15" t="n">
        <x:f>'기준스탯 72종'!G16*H220</x:f>
        <x:v>0.8400000000000002</x:v>
      </x:c>
      <x:c r="AD220" s="15" t="n">
        <x:f>'기준스탯 72종'!H16*H220</x:f>
        <x:v>0.4800000000000001</x:v>
      </x:c>
      <x:c r="AE220" s="15" t="n">
        <x:f>'기준스탯 72종'!I16*H220</x:f>
        <x:v>0.4800000000000001</x:v>
      </x:c>
      <x:c r="AF220" s="15" t="n">
        <x:f>'기준스탯 72종'!J16*H220</x:f>
        <x:v>0.3600000000000001</x:v>
      </x:c>
      <x:c r="AG220" s="15" t="n">
        <x:f>'기준스탯 72종'!K16*H220</x:f>
        <x:v>0.6000000000000001</x:v>
      </x:c>
    </x:row>
    <x:row r="221" ht="28" customHeight="1">
      <x:c r="A221" s="2" t="n">
        <x:v>214</x:v>
      </x:c>
      <x:c r="B221" s="2" t="n">
        <x:v>9</x:v>
      </x:c>
      <x:c r="C221" s="2" t="str">
        <x:v>황소자리</x:v>
      </x:c>
      <x:c r="D221" s="2" t="str">
        <x:v>사수</x:v>
      </x:c>
      <x:c r="E221" s="2" t="n">
        <x:v>4</x:v>
      </x:c>
      <x:c r="F221" s="2" t="n">
        <x:v>3</x:v>
      </x:c>
      <x:c r="G221" s="14" t="n">
        <x:f>('레벨 계산식'!$E$4-E221)*'레벨 계산식'!$B$5</x:f>
        <x:v>0.13999999999999999</x:v>
      </x:c>
      <x:c r="H221" s="14" t="n">
        <x:f>('등급 계산식'!$E$4-F221)*'등급 계산식'!$B$5</x:f>
        <x:v>0.12000000000000002</x:v>
      </x:c>
      <x:c r="I221" s="14" t="n">
        <x:f>1-G221-H221</x:f>
        <x:v>0.74</x:v>
      </x:c>
      <x:c r="J221" s="2" t="n">
        <x:f>MAX(1,ROUND('기준스탯 72종'!D16-R221-Z221,0))</x:f>
        <x:v>5</x:v>
      </x:c>
      <x:c r="K221" s="2" t="n">
        <x:f>MAX(1,ROUND('기준스탯 72종'!E16-S221-AA221,0))</x:f>
        <x:v>7</x:v>
      </x:c>
      <x:c r="L221" s="2" t="n">
        <x:f>MAX(1,ROUND('기준스탯 72종'!F16-T221-AB221,0))</x:f>
        <x:v>5</x:v>
      </x:c>
      <x:c r="M221" s="2" t="n">
        <x:f>MAX(1,ROUND('기준스탯 72종'!G16-U221-AC221,0))</x:f>
        <x:v>5</x:v>
      </x:c>
      <x:c r="N221" s="2" t="n">
        <x:f>MAX(0,ROUND('기준스탯 72종'!H16-V221-AD221,0))</x:f>
        <x:v>3</x:v>
      </x:c>
      <x:c r="O221" s="2" t="n">
        <x:f>MAX(0,ROUND('기준스탯 72종'!I16-W221-AE221,0))</x:f>
        <x:v>3</x:v>
      </x:c>
      <x:c r="P221" s="2" t="n">
        <x:f>MAX(0,ROUND('기준스탯 72종'!J16-X221-AF221,0))</x:f>
        <x:v>2</x:v>
      </x:c>
      <x:c r="Q221" s="2" t="n">
        <x:f>MAX(0,ROUND('기준스탯 72종'!K16-Y221-AG221,0))</x:f>
        <x:v>4</x:v>
      </x:c>
      <x:c r="R221" s="15" t="n">
        <x:f>'기준스탯 72종'!D16*G221</x:f>
        <x:v>0.9799999999999999</x:v>
      </x:c>
      <x:c r="S221" s="15" t="n">
        <x:f>'기준스탯 72종'!E16*G221</x:f>
        <x:v>1.2599999999999998</x:v>
      </x:c>
      <x:c r="T221" s="15" t="n">
        <x:f>'기준스탯 72종'!F16*G221</x:f>
        <x:v>0.9799999999999999</x:v>
      </x:c>
      <x:c r="U221" s="15" t="n">
        <x:f>'기준스탯 72종'!G16*G221</x:f>
        <x:v>0.9799999999999999</x:v>
      </x:c>
      <x:c r="V221" s="15" t="n">
        <x:f>'기준스탯 72종'!H16*G221</x:f>
        <x:v>0.5599999999999999</x:v>
      </x:c>
      <x:c r="W221" s="15" t="n">
        <x:f>'기준스탯 72종'!I16*G221</x:f>
        <x:v>0.5599999999999999</x:v>
      </x:c>
      <x:c r="X221" s="15" t="n">
        <x:f>'기준스탯 72종'!J16*G221</x:f>
        <x:v>0.41999999999999993</x:v>
      </x:c>
      <x:c r="Y221" s="15" t="n">
        <x:f>'기준스탯 72종'!K16*G221</x:f>
        <x:v>0.7</x:v>
      </x:c>
      <x:c r="Z221" s="15" t="n">
        <x:f>'기준스탯 72종'!D16*H221</x:f>
        <x:v>0.8400000000000002</x:v>
      </x:c>
      <x:c r="AA221" s="15" t="n">
        <x:f>'기준스탯 72종'!E16*H221</x:f>
        <x:v>1.0800000000000003</x:v>
      </x:c>
      <x:c r="AB221" s="15" t="n">
        <x:f>'기준스탯 72종'!F16*H221</x:f>
        <x:v>0.8400000000000002</x:v>
      </x:c>
      <x:c r="AC221" s="15" t="n">
        <x:f>'기준스탯 72종'!G16*H221</x:f>
        <x:v>0.8400000000000002</x:v>
      </x:c>
      <x:c r="AD221" s="15" t="n">
        <x:f>'기준스탯 72종'!H16*H221</x:f>
        <x:v>0.4800000000000001</x:v>
      </x:c>
      <x:c r="AE221" s="15" t="n">
        <x:f>'기준스탯 72종'!I16*H221</x:f>
        <x:v>0.4800000000000001</x:v>
      </x:c>
      <x:c r="AF221" s="15" t="n">
        <x:f>'기준스탯 72종'!J16*H221</x:f>
        <x:v>0.3600000000000001</x:v>
      </x:c>
      <x:c r="AG221" s="15" t="n">
        <x:f>'기준스탯 72종'!K16*H221</x:f>
        <x:v>0.6000000000000001</x:v>
      </x:c>
    </x:row>
    <x:row r="222" ht="28" customHeight="1">
      <x:c r="A222" s="2" t="n">
        <x:v>215</x:v>
      </x:c>
      <x:c r="B222" s="2" t="n">
        <x:v>9</x:v>
      </x:c>
      <x:c r="C222" s="2" t="str">
        <x:v>황소자리</x:v>
      </x:c>
      <x:c r="D222" s="2" t="str">
        <x:v>사수</x:v>
      </x:c>
      <x:c r="E222" s="2" t="n">
        <x:v>5</x:v>
      </x:c>
      <x:c r="F222" s="2" t="n">
        <x:v>3</x:v>
      </x:c>
      <x:c r="G222" s="14" t="n">
        <x:f>('레벨 계산식'!$E$4-E222)*'레벨 계산식'!$B$5</x:f>
        <x:v>0</x:v>
      </x:c>
      <x:c r="H222" s="14" t="n">
        <x:f>('등급 계산식'!$E$4-F222)*'등급 계산식'!$B$5</x:f>
        <x:v>0.12000000000000002</x:v>
      </x:c>
      <x:c r="I222" s="14" t="n">
        <x:f>1-G222-H222</x:f>
        <x:v>0.88</x:v>
      </x:c>
      <x:c r="J222" s="2" t="n">
        <x:f>MAX(1,ROUND('기준스탯 72종'!D16-R222-Z222,0))</x:f>
        <x:v>6</x:v>
      </x:c>
      <x:c r="K222" s="2" t="n">
        <x:f>MAX(1,ROUND('기준스탯 72종'!E16-S222-AA222,0))</x:f>
        <x:v>8</x:v>
      </x:c>
      <x:c r="L222" s="2" t="n">
        <x:f>MAX(1,ROUND('기준스탯 72종'!F16-T222-AB222,0))</x:f>
        <x:v>6</x:v>
      </x:c>
      <x:c r="M222" s="2" t="n">
        <x:f>MAX(1,ROUND('기준스탯 72종'!G16-U222-AC222,0))</x:f>
        <x:v>6</x:v>
      </x:c>
      <x:c r="N222" s="2" t="n">
        <x:f>MAX(0,ROUND('기준스탯 72종'!H16-V222-AD222,0))</x:f>
        <x:v>4</x:v>
      </x:c>
      <x:c r="O222" s="2" t="n">
        <x:f>MAX(0,ROUND('기준스탯 72종'!I16-W222-AE222,0))</x:f>
        <x:v>4</x:v>
      </x:c>
      <x:c r="P222" s="2" t="n">
        <x:f>MAX(0,ROUND('기준스탯 72종'!J16-X222-AF222,0))</x:f>
        <x:v>3</x:v>
      </x:c>
      <x:c r="Q222" s="2" t="n">
        <x:f>MAX(0,ROUND('기준스탯 72종'!K16-Y222-AG222,0))</x:f>
        <x:v>4</x:v>
      </x:c>
      <x:c r="R222" s="15" t="n">
        <x:f>'기준스탯 72종'!D16*G222</x:f>
        <x:v>0</x:v>
      </x:c>
      <x:c r="S222" s="15" t="n">
        <x:f>'기준스탯 72종'!E16*G222</x:f>
        <x:v>0</x:v>
      </x:c>
      <x:c r="T222" s="15" t="n">
        <x:f>'기준스탯 72종'!F16*G222</x:f>
        <x:v>0</x:v>
      </x:c>
      <x:c r="U222" s="15" t="n">
        <x:f>'기준스탯 72종'!G16*G222</x:f>
        <x:v>0</x:v>
      </x:c>
      <x:c r="V222" s="15" t="n">
        <x:f>'기준스탯 72종'!H16*G222</x:f>
        <x:v>0</x:v>
      </x:c>
      <x:c r="W222" s="15" t="n">
        <x:f>'기준스탯 72종'!I16*G222</x:f>
        <x:v>0</x:v>
      </x:c>
      <x:c r="X222" s="15" t="n">
        <x:f>'기준스탯 72종'!J16*G222</x:f>
        <x:v>0</x:v>
      </x:c>
      <x:c r="Y222" s="15" t="n">
        <x:f>'기준스탯 72종'!K16*G222</x:f>
        <x:v>0</x:v>
      </x:c>
      <x:c r="Z222" s="15" t="n">
        <x:f>'기준스탯 72종'!D16*H222</x:f>
        <x:v>0.8400000000000002</x:v>
      </x:c>
      <x:c r="AA222" s="15" t="n">
        <x:f>'기준스탯 72종'!E16*H222</x:f>
        <x:v>1.0800000000000003</x:v>
      </x:c>
      <x:c r="AB222" s="15" t="n">
        <x:f>'기준스탯 72종'!F16*H222</x:f>
        <x:v>0.8400000000000002</x:v>
      </x:c>
      <x:c r="AC222" s="15" t="n">
        <x:f>'기준스탯 72종'!G16*H222</x:f>
        <x:v>0.8400000000000002</x:v>
      </x:c>
      <x:c r="AD222" s="15" t="n">
        <x:f>'기준스탯 72종'!H16*H222</x:f>
        <x:v>0.4800000000000001</x:v>
      </x:c>
      <x:c r="AE222" s="15" t="n">
        <x:f>'기준스탯 72종'!I16*H222</x:f>
        <x:v>0.4800000000000001</x:v>
      </x:c>
      <x:c r="AF222" s="15" t="n">
        <x:f>'기준스탯 72종'!J16*H222</x:f>
        <x:v>0.3600000000000001</x:v>
      </x:c>
      <x:c r="AG222" s="15" t="n">
        <x:f>'기준스탯 72종'!K16*H222</x:f>
        <x:v>0.6000000000000001</x:v>
      </x:c>
    </x:row>
    <x:row r="223" ht="28" customHeight="1">
      <x:c r="A223" s="2" t="n">
        <x:v>216</x:v>
      </x:c>
      <x:c r="B223" s="2" t="n">
        <x:v>9</x:v>
      </x:c>
      <x:c r="C223" s="2" t="str">
        <x:v>황소자리</x:v>
      </x:c>
      <x:c r="D223" s="2" t="str">
        <x:v>사수</x:v>
      </x:c>
      <x:c r="E223" s="2" t="n">
        <x:v>1</x:v>
      </x:c>
      <x:c r="F223" s="2" t="n">
        <x:v>4</x:v>
      </x:c>
      <x:c r="G223" s="14" t="n">
        <x:f>('레벨 계산식'!$E$4-E223)*'레벨 계산식'!$B$5</x:f>
        <x:v>0.5599999999999999</x:v>
      </x:c>
      <x:c r="H223" s="14" t="n">
        <x:f>('등급 계산식'!$E$4-F223)*'등급 계산식'!$B$5</x:f>
        <x:v>0.06000000000000001</x:v>
      </x:c>
      <x:c r="I223" s="14" t="n">
        <x:f>1-G223-H223</x:f>
        <x:v>0.38000000000000006</x:v>
      </x:c>
      <x:c r="J223" s="2" t="n">
        <x:f>MAX(1,ROUND('기준스탯 72종'!D16-R223-Z223,0))</x:f>
        <x:v>3</x:v>
      </x:c>
      <x:c r="K223" s="2" t="n">
        <x:f>MAX(1,ROUND('기준스탯 72종'!E16-S223-AA223,0))</x:f>
        <x:v>3</x:v>
      </x:c>
      <x:c r="L223" s="2" t="n">
        <x:f>MAX(1,ROUND('기준스탯 72종'!F16-T223-AB223,0))</x:f>
        <x:v>3</x:v>
      </x:c>
      <x:c r="M223" s="2" t="n">
        <x:f>MAX(1,ROUND('기준스탯 72종'!G16-U223-AC223,0))</x:f>
        <x:v>3</x:v>
      </x:c>
      <x:c r="N223" s="2" t="n">
        <x:f>MAX(0,ROUND('기준스탯 72종'!H16-V223-AD223,0))</x:f>
        <x:v>2</x:v>
      </x:c>
      <x:c r="O223" s="2" t="n">
        <x:f>MAX(0,ROUND('기준스탯 72종'!I16-W223-AE223,0))</x:f>
        <x:v>2</x:v>
      </x:c>
      <x:c r="P223" s="2" t="n">
        <x:f>MAX(0,ROUND('기준스탯 72종'!J16-X223-AF223,0))</x:f>
        <x:v>1</x:v>
      </x:c>
      <x:c r="Q223" s="2" t="n">
        <x:f>MAX(0,ROUND('기준스탯 72종'!K16-Y223-AG223,0))</x:f>
        <x:v>2</x:v>
      </x:c>
      <x:c r="R223" s="15" t="n">
        <x:f>'기준스탯 72종'!D16*G223</x:f>
        <x:v>3.9199999999999995</x:v>
      </x:c>
      <x:c r="S223" s="15" t="n">
        <x:f>'기준스탯 72종'!E16*G223</x:f>
        <x:v>5.039999999999999</x:v>
      </x:c>
      <x:c r="T223" s="15" t="n">
        <x:f>'기준스탯 72종'!F16*G223</x:f>
        <x:v>3.9199999999999995</x:v>
      </x:c>
      <x:c r="U223" s="15" t="n">
        <x:f>'기준스탯 72종'!G16*G223</x:f>
        <x:v>3.9199999999999995</x:v>
      </x:c>
      <x:c r="V223" s="15" t="n">
        <x:f>'기준스탯 72종'!H16*G223</x:f>
        <x:v>2.2399999999999998</x:v>
      </x:c>
      <x:c r="W223" s="15" t="n">
        <x:f>'기준스탯 72종'!I16*G223</x:f>
        <x:v>2.2399999999999998</x:v>
      </x:c>
      <x:c r="X223" s="15" t="n">
        <x:f>'기준스탯 72종'!J16*G223</x:f>
        <x:v>1.6799999999999997</x:v>
      </x:c>
      <x:c r="Y223" s="15" t="n">
        <x:f>'기준스탯 72종'!K16*G223</x:f>
        <x:v>2.8</x:v>
      </x:c>
      <x:c r="Z223" s="15" t="n">
        <x:f>'기준스탯 72종'!D16*H223</x:f>
        <x:v>0.4200000000000001</x:v>
      </x:c>
      <x:c r="AA223" s="15" t="n">
        <x:f>'기준스탯 72종'!E16*H223</x:f>
        <x:v>0.5400000000000001</x:v>
      </x:c>
      <x:c r="AB223" s="15" t="n">
        <x:f>'기준스탯 72종'!F16*H223</x:f>
        <x:v>0.4200000000000001</x:v>
      </x:c>
      <x:c r="AC223" s="15" t="n">
        <x:f>'기준스탯 72종'!G16*H223</x:f>
        <x:v>0.4200000000000001</x:v>
      </x:c>
      <x:c r="AD223" s="15" t="n">
        <x:f>'기준스탯 72종'!H16*H223</x:f>
        <x:v>0.24000000000000005</x:v>
      </x:c>
      <x:c r="AE223" s="15" t="n">
        <x:f>'기준스탯 72종'!I16*H223</x:f>
        <x:v>0.24000000000000005</x:v>
      </x:c>
      <x:c r="AF223" s="15" t="n">
        <x:f>'기준스탯 72종'!J16*H223</x:f>
        <x:v>0.18000000000000005</x:v>
      </x:c>
      <x:c r="AG223" s="15" t="n">
        <x:f>'기준스탯 72종'!K16*H223</x:f>
        <x:v>0.30000000000000004</x:v>
      </x:c>
    </x:row>
    <x:row r="224" ht="28" customHeight="1">
      <x:c r="A224" s="2" t="n">
        <x:v>217</x:v>
      </x:c>
      <x:c r="B224" s="2" t="n">
        <x:v>9</x:v>
      </x:c>
      <x:c r="C224" s="2" t="str">
        <x:v>황소자리</x:v>
      </x:c>
      <x:c r="D224" s="2" t="str">
        <x:v>사수</x:v>
      </x:c>
      <x:c r="E224" s="2" t="n">
        <x:v>2</x:v>
      </x:c>
      <x:c r="F224" s="2" t="n">
        <x:v>4</x:v>
      </x:c>
      <x:c r="G224" s="14" t="n">
        <x:f>('레벨 계산식'!$E$4-E224)*'레벨 계산식'!$B$5</x:f>
        <x:v>0.41999999999999993</x:v>
      </x:c>
      <x:c r="H224" s="14" t="n">
        <x:f>('등급 계산식'!$E$4-F224)*'등급 계산식'!$B$5</x:f>
        <x:v>0.06000000000000001</x:v>
      </x:c>
      <x:c r="I224" s="14" t="n">
        <x:f>1-G224-H224</x:f>
        <x:v>0.52</x:v>
      </x:c>
      <x:c r="J224" s="2" t="n">
        <x:f>MAX(1,ROUND('기준스탯 72종'!D16-R224-Z224,0))</x:f>
        <x:v>4</x:v>
      </x:c>
      <x:c r="K224" s="2" t="n">
        <x:f>MAX(1,ROUND('기준스탯 72종'!E16-S224-AA224,0))</x:f>
        <x:v>5</x:v>
      </x:c>
      <x:c r="L224" s="2" t="n">
        <x:f>MAX(1,ROUND('기준스탯 72종'!F16-T224-AB224,0))</x:f>
        <x:v>4</x:v>
      </x:c>
      <x:c r="M224" s="2" t="n">
        <x:f>MAX(1,ROUND('기준스탯 72종'!G16-U224-AC224,0))</x:f>
        <x:v>4</x:v>
      </x:c>
      <x:c r="N224" s="2" t="n">
        <x:f>MAX(0,ROUND('기준스탯 72종'!H16-V224-AD224,0))</x:f>
        <x:v>2</x:v>
      </x:c>
      <x:c r="O224" s="2" t="n">
        <x:f>MAX(0,ROUND('기준스탯 72종'!I16-W224-AE224,0))</x:f>
        <x:v>2</x:v>
      </x:c>
      <x:c r="P224" s="2" t="n">
        <x:f>MAX(0,ROUND('기준스탯 72종'!J16-X224-AF224,0))</x:f>
        <x:v>2</x:v>
      </x:c>
      <x:c r="Q224" s="2" t="n">
        <x:f>MAX(0,ROUND('기준스탯 72종'!K16-Y224-AG224,0))</x:f>
        <x:v>3</x:v>
      </x:c>
      <x:c r="R224" s="15" t="n">
        <x:f>'기준스탯 72종'!D16*G224</x:f>
        <x:v>2.9399999999999995</x:v>
      </x:c>
      <x:c r="S224" s="15" t="n">
        <x:f>'기준스탯 72종'!E16*G224</x:f>
        <x:v>3.7799999999999994</x:v>
      </x:c>
      <x:c r="T224" s="15" t="n">
        <x:f>'기준스탯 72종'!F16*G224</x:f>
        <x:v>2.9399999999999995</x:v>
      </x:c>
      <x:c r="U224" s="15" t="n">
        <x:f>'기준스탯 72종'!G16*G224</x:f>
        <x:v>2.9399999999999995</x:v>
      </x:c>
      <x:c r="V224" s="15" t="n">
        <x:f>'기준스탯 72종'!H16*G224</x:f>
        <x:v>1.6799999999999997</x:v>
      </x:c>
      <x:c r="W224" s="15" t="n">
        <x:f>'기준스탯 72종'!I16*G224</x:f>
        <x:v>1.6799999999999997</x:v>
      </x:c>
      <x:c r="X224" s="15" t="n">
        <x:f>'기준스탯 72종'!J16*G224</x:f>
        <x:v>1.2599999999999998</x:v>
      </x:c>
      <x:c r="Y224" s="15" t="n">
        <x:f>'기준스탯 72종'!K16*G224</x:f>
        <x:v>2.0999999999999996</x:v>
      </x:c>
      <x:c r="Z224" s="15" t="n">
        <x:f>'기준스탯 72종'!D16*H224</x:f>
        <x:v>0.4200000000000001</x:v>
      </x:c>
      <x:c r="AA224" s="15" t="n">
        <x:f>'기준스탯 72종'!E16*H224</x:f>
        <x:v>0.5400000000000001</x:v>
      </x:c>
      <x:c r="AB224" s="15" t="n">
        <x:f>'기준스탯 72종'!F16*H224</x:f>
        <x:v>0.4200000000000001</x:v>
      </x:c>
      <x:c r="AC224" s="15" t="n">
        <x:f>'기준스탯 72종'!G16*H224</x:f>
        <x:v>0.4200000000000001</x:v>
      </x:c>
      <x:c r="AD224" s="15" t="n">
        <x:f>'기준스탯 72종'!H16*H224</x:f>
        <x:v>0.24000000000000005</x:v>
      </x:c>
      <x:c r="AE224" s="15" t="n">
        <x:f>'기준스탯 72종'!I16*H224</x:f>
        <x:v>0.24000000000000005</x:v>
      </x:c>
      <x:c r="AF224" s="15" t="n">
        <x:f>'기준스탯 72종'!J16*H224</x:f>
        <x:v>0.18000000000000005</x:v>
      </x:c>
      <x:c r="AG224" s="15" t="n">
        <x:f>'기준스탯 72종'!K16*H224</x:f>
        <x:v>0.30000000000000004</x:v>
      </x:c>
    </x:row>
    <x:row r="225" ht="28" customHeight="1">
      <x:c r="A225" s="2" t="n">
        <x:v>218</x:v>
      </x:c>
      <x:c r="B225" s="2" t="n">
        <x:v>9</x:v>
      </x:c>
      <x:c r="C225" s="2" t="str">
        <x:v>황소자리</x:v>
      </x:c>
      <x:c r="D225" s="2" t="str">
        <x:v>사수</x:v>
      </x:c>
      <x:c r="E225" s="2" t="n">
        <x:v>3</x:v>
      </x:c>
      <x:c r="F225" s="2" t="n">
        <x:v>4</x:v>
      </x:c>
      <x:c r="G225" s="14" t="n">
        <x:f>('레벨 계산식'!$E$4-E225)*'레벨 계산식'!$B$5</x:f>
        <x:v>0.27999999999999997</x:v>
      </x:c>
      <x:c r="H225" s="14" t="n">
        <x:f>('등급 계산식'!$E$4-F225)*'등급 계산식'!$B$5</x:f>
        <x:v>0.06000000000000001</x:v>
      </x:c>
      <x:c r="I225" s="14" t="n">
        <x:f>1-G225-H225</x:f>
        <x:v>0.6599999999999999</x:v>
      </x:c>
      <x:c r="J225" s="2" t="n">
        <x:f>MAX(1,ROUND('기준스탯 72종'!D16-R225-Z225,0))</x:f>
        <x:v>5</x:v>
      </x:c>
      <x:c r="K225" s="2" t="n">
        <x:f>MAX(1,ROUND('기준스탯 72종'!E16-S225-AA225,0))</x:f>
        <x:v>6</x:v>
      </x:c>
      <x:c r="L225" s="2" t="n">
        <x:f>MAX(1,ROUND('기준스탯 72종'!F16-T225-AB225,0))</x:f>
        <x:v>5</x:v>
      </x:c>
      <x:c r="M225" s="2" t="n">
        <x:f>MAX(1,ROUND('기준스탯 72종'!G16-U225-AC225,0))</x:f>
        <x:v>5</x:v>
      </x:c>
      <x:c r="N225" s="2" t="n">
        <x:f>MAX(0,ROUND('기준스탯 72종'!H16-V225-AD225,0))</x:f>
        <x:v>3</x:v>
      </x:c>
      <x:c r="O225" s="2" t="n">
        <x:f>MAX(0,ROUND('기준스탯 72종'!I16-W225-AE225,0))</x:f>
        <x:v>3</x:v>
      </x:c>
      <x:c r="P225" s="2" t="n">
        <x:f>MAX(0,ROUND('기준스탯 72종'!J16-X225-AF225,0))</x:f>
        <x:v>2</x:v>
      </x:c>
      <x:c r="Q225" s="2" t="n">
        <x:f>MAX(0,ROUND('기준스탯 72종'!K16-Y225-AG225,0))</x:f>
        <x:v>3</x:v>
      </x:c>
      <x:c r="R225" s="15" t="n">
        <x:f>'기준스탯 72종'!D16*G225</x:f>
        <x:v>1.9599999999999997</x:v>
      </x:c>
      <x:c r="S225" s="15" t="n">
        <x:f>'기준스탯 72종'!E16*G225</x:f>
        <x:v>2.5199999999999996</x:v>
      </x:c>
      <x:c r="T225" s="15" t="n">
        <x:f>'기준스탯 72종'!F16*G225</x:f>
        <x:v>1.9599999999999997</x:v>
      </x:c>
      <x:c r="U225" s="15" t="n">
        <x:f>'기준스탯 72종'!G16*G225</x:f>
        <x:v>1.9599999999999997</x:v>
      </x:c>
      <x:c r="V225" s="15" t="n">
        <x:f>'기준스탯 72종'!H16*G225</x:f>
        <x:v>1.1199999999999999</x:v>
      </x:c>
      <x:c r="W225" s="15" t="n">
        <x:f>'기준스탯 72종'!I16*G225</x:f>
        <x:v>1.1199999999999999</x:v>
      </x:c>
      <x:c r="X225" s="15" t="n">
        <x:f>'기준스탯 72종'!J16*G225</x:f>
        <x:v>0.8399999999999999</x:v>
      </x:c>
      <x:c r="Y225" s="15" t="n">
        <x:f>'기준스탯 72종'!K16*G225</x:f>
        <x:v>1.4</x:v>
      </x:c>
      <x:c r="Z225" s="15" t="n">
        <x:f>'기준스탯 72종'!D16*H225</x:f>
        <x:v>0.4200000000000001</x:v>
      </x:c>
      <x:c r="AA225" s="15" t="n">
        <x:f>'기준스탯 72종'!E16*H225</x:f>
        <x:v>0.5400000000000001</x:v>
      </x:c>
      <x:c r="AB225" s="15" t="n">
        <x:f>'기준스탯 72종'!F16*H225</x:f>
        <x:v>0.4200000000000001</x:v>
      </x:c>
      <x:c r="AC225" s="15" t="n">
        <x:f>'기준스탯 72종'!G16*H225</x:f>
        <x:v>0.4200000000000001</x:v>
      </x:c>
      <x:c r="AD225" s="15" t="n">
        <x:f>'기준스탯 72종'!H16*H225</x:f>
        <x:v>0.24000000000000005</x:v>
      </x:c>
      <x:c r="AE225" s="15" t="n">
        <x:f>'기준스탯 72종'!I16*H225</x:f>
        <x:v>0.24000000000000005</x:v>
      </x:c>
      <x:c r="AF225" s="15" t="n">
        <x:f>'기준스탯 72종'!J16*H225</x:f>
        <x:v>0.18000000000000005</x:v>
      </x:c>
      <x:c r="AG225" s="15" t="n">
        <x:f>'기준스탯 72종'!K16*H225</x:f>
        <x:v>0.30000000000000004</x:v>
      </x:c>
    </x:row>
    <x:row r="226" ht="28" customHeight="1">
      <x:c r="A226" s="2" t="n">
        <x:v>219</x:v>
      </x:c>
      <x:c r="B226" s="2" t="n">
        <x:v>9</x:v>
      </x:c>
      <x:c r="C226" s="2" t="str">
        <x:v>황소자리</x:v>
      </x:c>
      <x:c r="D226" s="2" t="str">
        <x:v>사수</x:v>
      </x:c>
      <x:c r="E226" s="2" t="n">
        <x:v>4</x:v>
      </x:c>
      <x:c r="F226" s="2" t="n">
        <x:v>4</x:v>
      </x:c>
      <x:c r="G226" s="14" t="n">
        <x:f>('레벨 계산식'!$E$4-E226)*'레벨 계산식'!$B$5</x:f>
        <x:v>0.13999999999999999</x:v>
      </x:c>
      <x:c r="H226" s="14" t="n">
        <x:f>('등급 계산식'!$E$4-F226)*'등급 계산식'!$B$5</x:f>
        <x:v>0.06000000000000001</x:v>
      </x:c>
      <x:c r="I226" s="14" t="n">
        <x:f>1-G226-H226</x:f>
        <x:v>0.7999999999999999</x:v>
      </x:c>
      <x:c r="J226" s="2" t="n">
        <x:f>MAX(1,ROUND('기준스탯 72종'!D16-R226-Z226,0))</x:f>
        <x:v>6</x:v>
      </x:c>
      <x:c r="K226" s="2" t="n">
        <x:f>MAX(1,ROUND('기준스탯 72종'!E16-S226-AA226,0))</x:f>
        <x:v>7</x:v>
      </x:c>
      <x:c r="L226" s="2" t="n">
        <x:f>MAX(1,ROUND('기준스탯 72종'!F16-T226-AB226,0))</x:f>
        <x:v>6</x:v>
      </x:c>
      <x:c r="M226" s="2" t="n">
        <x:f>MAX(1,ROUND('기준스탯 72종'!G16-U226-AC226,0))</x:f>
        <x:v>6</x:v>
      </x:c>
      <x:c r="N226" s="2" t="n">
        <x:f>MAX(0,ROUND('기준스탯 72종'!H16-V226-AD226,0))</x:f>
        <x:v>3</x:v>
      </x:c>
      <x:c r="O226" s="2" t="n">
        <x:f>MAX(0,ROUND('기준스탯 72종'!I16-W226-AE226,0))</x:f>
        <x:v>3</x:v>
      </x:c>
      <x:c r="P226" s="2" t="n">
        <x:f>MAX(0,ROUND('기준스탯 72종'!J16-X226-AF226,0))</x:f>
        <x:v>2</x:v>
      </x:c>
      <x:c r="Q226" s="2" t="n">
        <x:f>MAX(0,ROUND('기준스탯 72종'!K16-Y226-AG226,0))</x:f>
        <x:v>4</x:v>
      </x:c>
      <x:c r="R226" s="15" t="n">
        <x:f>'기준스탯 72종'!D16*G226</x:f>
        <x:v>0.9799999999999999</x:v>
      </x:c>
      <x:c r="S226" s="15" t="n">
        <x:f>'기준스탯 72종'!E16*G226</x:f>
        <x:v>1.2599999999999998</x:v>
      </x:c>
      <x:c r="T226" s="15" t="n">
        <x:f>'기준스탯 72종'!F16*G226</x:f>
        <x:v>0.9799999999999999</x:v>
      </x:c>
      <x:c r="U226" s="15" t="n">
        <x:f>'기준스탯 72종'!G16*G226</x:f>
        <x:v>0.9799999999999999</x:v>
      </x:c>
      <x:c r="V226" s="15" t="n">
        <x:f>'기준스탯 72종'!H16*G226</x:f>
        <x:v>0.5599999999999999</x:v>
      </x:c>
      <x:c r="W226" s="15" t="n">
        <x:f>'기준스탯 72종'!I16*G226</x:f>
        <x:v>0.5599999999999999</x:v>
      </x:c>
      <x:c r="X226" s="15" t="n">
        <x:f>'기준스탯 72종'!J16*G226</x:f>
        <x:v>0.41999999999999993</x:v>
      </x:c>
      <x:c r="Y226" s="15" t="n">
        <x:f>'기준스탯 72종'!K16*G226</x:f>
        <x:v>0.7</x:v>
      </x:c>
      <x:c r="Z226" s="15" t="n">
        <x:f>'기준스탯 72종'!D16*H226</x:f>
        <x:v>0.4200000000000001</x:v>
      </x:c>
      <x:c r="AA226" s="15" t="n">
        <x:f>'기준스탯 72종'!E16*H226</x:f>
        <x:v>0.5400000000000001</x:v>
      </x:c>
      <x:c r="AB226" s="15" t="n">
        <x:f>'기준스탯 72종'!F16*H226</x:f>
        <x:v>0.4200000000000001</x:v>
      </x:c>
      <x:c r="AC226" s="15" t="n">
        <x:f>'기준스탯 72종'!G16*H226</x:f>
        <x:v>0.4200000000000001</x:v>
      </x:c>
      <x:c r="AD226" s="15" t="n">
        <x:f>'기준스탯 72종'!H16*H226</x:f>
        <x:v>0.24000000000000005</x:v>
      </x:c>
      <x:c r="AE226" s="15" t="n">
        <x:f>'기준스탯 72종'!I16*H226</x:f>
        <x:v>0.24000000000000005</x:v>
      </x:c>
      <x:c r="AF226" s="15" t="n">
        <x:f>'기준스탯 72종'!J16*H226</x:f>
        <x:v>0.18000000000000005</x:v>
      </x:c>
      <x:c r="AG226" s="15" t="n">
        <x:f>'기준스탯 72종'!K16*H226</x:f>
        <x:v>0.30000000000000004</x:v>
      </x:c>
    </x:row>
    <x:row r="227" ht="28" customHeight="1">
      <x:c r="A227" s="2" t="n">
        <x:v>220</x:v>
      </x:c>
      <x:c r="B227" s="2" t="n">
        <x:v>9</x:v>
      </x:c>
      <x:c r="C227" s="2" t="str">
        <x:v>황소자리</x:v>
      </x:c>
      <x:c r="D227" s="2" t="str">
        <x:v>사수</x:v>
      </x:c>
      <x:c r="E227" s="2" t="n">
        <x:v>5</x:v>
      </x:c>
      <x:c r="F227" s="2" t="n">
        <x:v>4</x:v>
      </x:c>
      <x:c r="G227" s="14" t="n">
        <x:f>('레벨 계산식'!$E$4-E227)*'레벨 계산식'!$B$5</x:f>
        <x:v>0</x:v>
      </x:c>
      <x:c r="H227" s="14" t="n">
        <x:f>('등급 계산식'!$E$4-F227)*'등급 계산식'!$B$5</x:f>
        <x:v>0.06000000000000001</x:v>
      </x:c>
      <x:c r="I227" s="14" t="n">
        <x:f>1-G227-H227</x:f>
        <x:v>0.94</x:v>
      </x:c>
      <x:c r="J227" s="2" t="n">
        <x:f>MAX(1,ROUND('기준스탯 72종'!D16-R227-Z227,0))</x:f>
        <x:v>7</x:v>
      </x:c>
      <x:c r="K227" s="2" t="n">
        <x:f>MAX(1,ROUND('기준스탯 72종'!E16-S227-AA227,0))</x:f>
        <x:v>8</x:v>
      </x:c>
      <x:c r="L227" s="2" t="n">
        <x:f>MAX(1,ROUND('기준스탯 72종'!F16-T227-AB227,0))</x:f>
        <x:v>7</x:v>
      </x:c>
      <x:c r="M227" s="2" t="n">
        <x:f>MAX(1,ROUND('기준스탯 72종'!G16-U227-AC227,0))</x:f>
        <x:v>7</x:v>
      </x:c>
      <x:c r="N227" s="2" t="n">
        <x:f>MAX(0,ROUND('기준스탯 72종'!H16-V227-AD227,0))</x:f>
        <x:v>4</x:v>
      </x:c>
      <x:c r="O227" s="2" t="n">
        <x:f>MAX(0,ROUND('기준스탯 72종'!I16-W227-AE227,0))</x:f>
        <x:v>4</x:v>
      </x:c>
      <x:c r="P227" s="2" t="n">
        <x:f>MAX(0,ROUND('기준스탯 72종'!J16-X227-AF227,0))</x:f>
        <x:v>3</x:v>
      </x:c>
      <x:c r="Q227" s="2" t="n">
        <x:f>MAX(0,ROUND('기준스탯 72종'!K16-Y227-AG227,0))</x:f>
        <x:v>5</x:v>
      </x:c>
      <x:c r="R227" s="15" t="n">
        <x:f>'기준스탯 72종'!D16*G227</x:f>
        <x:v>0</x:v>
      </x:c>
      <x:c r="S227" s="15" t="n">
        <x:f>'기준스탯 72종'!E16*G227</x:f>
        <x:v>0</x:v>
      </x:c>
      <x:c r="T227" s="15" t="n">
        <x:f>'기준스탯 72종'!F16*G227</x:f>
        <x:v>0</x:v>
      </x:c>
      <x:c r="U227" s="15" t="n">
        <x:f>'기준스탯 72종'!G16*G227</x:f>
        <x:v>0</x:v>
      </x:c>
      <x:c r="V227" s="15" t="n">
        <x:f>'기준스탯 72종'!H16*G227</x:f>
        <x:v>0</x:v>
      </x:c>
      <x:c r="W227" s="15" t="n">
        <x:f>'기준스탯 72종'!I16*G227</x:f>
        <x:v>0</x:v>
      </x:c>
      <x:c r="X227" s="15" t="n">
        <x:f>'기준스탯 72종'!J16*G227</x:f>
        <x:v>0</x:v>
      </x:c>
      <x:c r="Y227" s="15" t="n">
        <x:f>'기준스탯 72종'!K16*G227</x:f>
        <x:v>0</x:v>
      </x:c>
      <x:c r="Z227" s="15" t="n">
        <x:f>'기준스탯 72종'!D16*H227</x:f>
        <x:v>0.4200000000000001</x:v>
      </x:c>
      <x:c r="AA227" s="15" t="n">
        <x:f>'기준스탯 72종'!E16*H227</x:f>
        <x:v>0.5400000000000001</x:v>
      </x:c>
      <x:c r="AB227" s="15" t="n">
        <x:f>'기준스탯 72종'!F16*H227</x:f>
        <x:v>0.4200000000000001</x:v>
      </x:c>
      <x:c r="AC227" s="15" t="n">
        <x:f>'기준스탯 72종'!G16*H227</x:f>
        <x:v>0.4200000000000001</x:v>
      </x:c>
      <x:c r="AD227" s="15" t="n">
        <x:f>'기준스탯 72종'!H16*H227</x:f>
        <x:v>0.24000000000000005</x:v>
      </x:c>
      <x:c r="AE227" s="15" t="n">
        <x:f>'기준스탯 72종'!I16*H227</x:f>
        <x:v>0.24000000000000005</x:v>
      </x:c>
      <x:c r="AF227" s="15" t="n">
        <x:f>'기준스탯 72종'!J16*H227</x:f>
        <x:v>0.18000000000000005</x:v>
      </x:c>
      <x:c r="AG227" s="15" t="n">
        <x:f>'기준스탯 72종'!K16*H227</x:f>
        <x:v>0.30000000000000004</x:v>
      </x:c>
    </x:row>
    <x:row r="228" ht="28" customHeight="1">
      <x:c r="A228" s="2" t="n">
        <x:v>221</x:v>
      </x:c>
      <x:c r="B228" s="2" t="n">
        <x:v>9</x:v>
      </x:c>
      <x:c r="C228" s="2" t="str">
        <x:v>황소자리</x:v>
      </x:c>
      <x:c r="D228" s="2" t="str">
        <x:v>사수</x:v>
      </x:c>
      <x:c r="E228" s="2" t="n">
        <x:v>1</x:v>
      </x:c>
      <x:c r="F228" s="2" t="n">
        <x:v>5</x:v>
      </x:c>
      <x:c r="G228" s="14" t="n">
        <x:f>('레벨 계산식'!$E$4-E228)*'레벨 계산식'!$B$5</x:f>
        <x:v>0.5599999999999999</x:v>
      </x:c>
      <x:c r="H228" s="14" t="n">
        <x:f>('등급 계산식'!$E$4-F228)*'등급 계산식'!$B$5</x:f>
        <x:v>0</x:v>
      </x:c>
      <x:c r="I228" s="14" t="n">
        <x:f>1-G228-H228</x:f>
        <x:v>0.44000000000000006</x:v>
      </x:c>
      <x:c r="J228" s="2" t="n">
        <x:f>MAX(1,ROUND('기준스탯 72종'!D16-R228-Z228,0))</x:f>
        <x:v>3</x:v>
      </x:c>
      <x:c r="K228" s="2" t="n">
        <x:f>MAX(1,ROUND('기준스탯 72종'!E16-S228-AA228,0))</x:f>
        <x:v>4</x:v>
      </x:c>
      <x:c r="L228" s="2" t="n">
        <x:f>MAX(1,ROUND('기준스탯 72종'!F16-T228-AB228,0))</x:f>
        <x:v>3</x:v>
      </x:c>
      <x:c r="M228" s="2" t="n">
        <x:f>MAX(1,ROUND('기준스탯 72종'!G16-U228-AC228,0))</x:f>
        <x:v>3</x:v>
      </x:c>
      <x:c r="N228" s="2" t="n">
        <x:f>MAX(0,ROUND('기준스탯 72종'!H16-V228-AD228,0))</x:f>
        <x:v>2</x:v>
      </x:c>
      <x:c r="O228" s="2" t="n">
        <x:f>MAX(0,ROUND('기준스탯 72종'!I16-W228-AE228,0))</x:f>
        <x:v>2</x:v>
      </x:c>
      <x:c r="P228" s="2" t="n">
        <x:f>MAX(0,ROUND('기준스탯 72종'!J16-X228-AF228,0))</x:f>
        <x:v>1</x:v>
      </x:c>
      <x:c r="Q228" s="2" t="n">
        <x:f>MAX(0,ROUND('기준스탯 72종'!K16-Y228-AG228,0))</x:f>
        <x:v>2</x:v>
      </x:c>
      <x:c r="R228" s="15" t="n">
        <x:f>'기준스탯 72종'!D16*G228</x:f>
        <x:v>3.9199999999999995</x:v>
      </x:c>
      <x:c r="S228" s="15" t="n">
        <x:f>'기준스탯 72종'!E16*G228</x:f>
        <x:v>5.039999999999999</x:v>
      </x:c>
      <x:c r="T228" s="15" t="n">
        <x:f>'기준스탯 72종'!F16*G228</x:f>
        <x:v>3.9199999999999995</x:v>
      </x:c>
      <x:c r="U228" s="15" t="n">
        <x:f>'기준스탯 72종'!G16*G228</x:f>
        <x:v>3.9199999999999995</x:v>
      </x:c>
      <x:c r="V228" s="15" t="n">
        <x:f>'기준스탯 72종'!H16*G228</x:f>
        <x:v>2.2399999999999998</x:v>
      </x:c>
      <x:c r="W228" s="15" t="n">
        <x:f>'기준스탯 72종'!I16*G228</x:f>
        <x:v>2.2399999999999998</x:v>
      </x:c>
      <x:c r="X228" s="15" t="n">
        <x:f>'기준스탯 72종'!J16*G228</x:f>
        <x:v>1.6799999999999997</x:v>
      </x:c>
      <x:c r="Y228" s="15" t="n">
        <x:f>'기준스탯 72종'!K16*G228</x:f>
        <x:v>2.8</x:v>
      </x:c>
      <x:c r="Z228" s="15" t="n">
        <x:f>'기준스탯 72종'!D16*H228</x:f>
        <x:v>0</x:v>
      </x:c>
      <x:c r="AA228" s="15" t="n">
        <x:f>'기준스탯 72종'!E16*H228</x:f>
        <x:v>0</x:v>
      </x:c>
      <x:c r="AB228" s="15" t="n">
        <x:f>'기준스탯 72종'!F16*H228</x:f>
        <x:v>0</x:v>
      </x:c>
      <x:c r="AC228" s="15" t="n">
        <x:f>'기준스탯 72종'!G16*H228</x:f>
        <x:v>0</x:v>
      </x:c>
      <x:c r="AD228" s="15" t="n">
        <x:f>'기준스탯 72종'!H16*H228</x:f>
        <x:v>0</x:v>
      </x:c>
      <x:c r="AE228" s="15" t="n">
        <x:f>'기준스탯 72종'!I16*H228</x:f>
        <x:v>0</x:v>
      </x:c>
      <x:c r="AF228" s="15" t="n">
        <x:f>'기준스탯 72종'!J16*H228</x:f>
        <x:v>0</x:v>
      </x:c>
      <x:c r="AG228" s="15" t="n">
        <x:f>'기준스탯 72종'!K16*H228</x:f>
        <x:v>0</x:v>
      </x:c>
    </x:row>
    <x:row r="229" ht="28" customHeight="1">
      <x:c r="A229" s="2" t="n">
        <x:v>222</x:v>
      </x:c>
      <x:c r="B229" s="2" t="n">
        <x:v>9</x:v>
      </x:c>
      <x:c r="C229" s="2" t="str">
        <x:v>황소자리</x:v>
      </x:c>
      <x:c r="D229" s="2" t="str">
        <x:v>사수</x:v>
      </x:c>
      <x:c r="E229" s="2" t="n">
        <x:v>2</x:v>
      </x:c>
      <x:c r="F229" s="2" t="n">
        <x:v>5</x:v>
      </x:c>
      <x:c r="G229" s="14" t="n">
        <x:f>('레벨 계산식'!$E$4-E229)*'레벨 계산식'!$B$5</x:f>
        <x:v>0.41999999999999993</x:v>
      </x:c>
      <x:c r="H229" s="14" t="n">
        <x:f>('등급 계산식'!$E$4-F229)*'등급 계산식'!$B$5</x:f>
        <x:v>0</x:v>
      </x:c>
      <x:c r="I229" s="14" t="n">
        <x:f>1-G229-H229</x:f>
        <x:v>0.5800000000000001</x:v>
      </x:c>
      <x:c r="J229" s="2" t="n">
        <x:f>MAX(1,ROUND('기준스탯 72종'!D16-R229-Z229,0))</x:f>
        <x:v>4</x:v>
      </x:c>
      <x:c r="K229" s="2" t="n">
        <x:f>MAX(1,ROUND('기준스탯 72종'!E16-S229-AA229,0))</x:f>
        <x:v>5</x:v>
      </x:c>
      <x:c r="L229" s="2" t="n">
        <x:f>MAX(1,ROUND('기준스탯 72종'!F16-T229-AB229,0))</x:f>
        <x:v>4</x:v>
      </x:c>
      <x:c r="M229" s="2" t="n">
        <x:f>MAX(1,ROUND('기준스탯 72종'!G16-U229-AC229,0))</x:f>
        <x:v>4</x:v>
      </x:c>
      <x:c r="N229" s="2" t="n">
        <x:f>MAX(0,ROUND('기준스탯 72종'!H16-V229-AD229,0))</x:f>
        <x:v>2</x:v>
      </x:c>
      <x:c r="O229" s="2" t="n">
        <x:f>MAX(0,ROUND('기준스탯 72종'!I16-W229-AE229,0))</x:f>
        <x:v>2</x:v>
      </x:c>
      <x:c r="P229" s="2" t="n">
        <x:f>MAX(0,ROUND('기준스탯 72종'!J16-X229-AF229,0))</x:f>
        <x:v>2</x:v>
      </x:c>
      <x:c r="Q229" s="2" t="n">
        <x:f>MAX(0,ROUND('기준스탯 72종'!K16-Y229-AG229,0))</x:f>
        <x:v>3</x:v>
      </x:c>
      <x:c r="R229" s="15" t="n">
        <x:f>'기준스탯 72종'!D16*G229</x:f>
        <x:v>2.9399999999999995</x:v>
      </x:c>
      <x:c r="S229" s="15" t="n">
        <x:f>'기준스탯 72종'!E16*G229</x:f>
        <x:v>3.7799999999999994</x:v>
      </x:c>
      <x:c r="T229" s="15" t="n">
        <x:f>'기준스탯 72종'!F16*G229</x:f>
        <x:v>2.9399999999999995</x:v>
      </x:c>
      <x:c r="U229" s="15" t="n">
        <x:f>'기준스탯 72종'!G16*G229</x:f>
        <x:v>2.9399999999999995</x:v>
      </x:c>
      <x:c r="V229" s="15" t="n">
        <x:f>'기준스탯 72종'!H16*G229</x:f>
        <x:v>1.6799999999999997</x:v>
      </x:c>
      <x:c r="W229" s="15" t="n">
        <x:f>'기준스탯 72종'!I16*G229</x:f>
        <x:v>1.6799999999999997</x:v>
      </x:c>
      <x:c r="X229" s="15" t="n">
        <x:f>'기준스탯 72종'!J16*G229</x:f>
        <x:v>1.2599999999999998</x:v>
      </x:c>
      <x:c r="Y229" s="15" t="n">
        <x:f>'기준스탯 72종'!K16*G229</x:f>
        <x:v>2.0999999999999996</x:v>
      </x:c>
      <x:c r="Z229" s="15" t="n">
        <x:f>'기준스탯 72종'!D16*H229</x:f>
        <x:v>0</x:v>
      </x:c>
      <x:c r="AA229" s="15" t="n">
        <x:f>'기준스탯 72종'!E16*H229</x:f>
        <x:v>0</x:v>
      </x:c>
      <x:c r="AB229" s="15" t="n">
        <x:f>'기준스탯 72종'!F16*H229</x:f>
        <x:v>0</x:v>
      </x:c>
      <x:c r="AC229" s="15" t="n">
        <x:f>'기준스탯 72종'!G16*H229</x:f>
        <x:v>0</x:v>
      </x:c>
      <x:c r="AD229" s="15" t="n">
        <x:f>'기준스탯 72종'!H16*H229</x:f>
        <x:v>0</x:v>
      </x:c>
      <x:c r="AE229" s="15" t="n">
        <x:f>'기준스탯 72종'!I16*H229</x:f>
        <x:v>0</x:v>
      </x:c>
      <x:c r="AF229" s="15" t="n">
        <x:f>'기준스탯 72종'!J16*H229</x:f>
        <x:v>0</x:v>
      </x:c>
      <x:c r="AG229" s="15" t="n">
        <x:f>'기준스탯 72종'!K16*H229</x:f>
        <x:v>0</x:v>
      </x:c>
    </x:row>
    <x:row r="230" ht="28" customHeight="1">
      <x:c r="A230" s="2" t="n">
        <x:v>223</x:v>
      </x:c>
      <x:c r="B230" s="2" t="n">
        <x:v>9</x:v>
      </x:c>
      <x:c r="C230" s="2" t="str">
        <x:v>황소자리</x:v>
      </x:c>
      <x:c r="D230" s="2" t="str">
        <x:v>사수</x:v>
      </x:c>
      <x:c r="E230" s="2" t="n">
        <x:v>3</x:v>
      </x:c>
      <x:c r="F230" s="2" t="n">
        <x:v>5</x:v>
      </x:c>
      <x:c r="G230" s="14" t="n">
        <x:f>('레벨 계산식'!$E$4-E230)*'레벨 계산식'!$B$5</x:f>
        <x:v>0.27999999999999997</x:v>
      </x:c>
      <x:c r="H230" s="14" t="n">
        <x:f>('등급 계산식'!$E$4-F230)*'등급 계산식'!$B$5</x:f>
        <x:v>0</x:v>
      </x:c>
      <x:c r="I230" s="14" t="n">
        <x:f>1-G230-H230</x:f>
        <x:v>0.72</x:v>
      </x:c>
      <x:c r="J230" s="2" t="n">
        <x:f>MAX(1,ROUND('기준스탯 72종'!D16-R230-Z230,0))</x:f>
        <x:v>5</x:v>
      </x:c>
      <x:c r="K230" s="2" t="n">
        <x:f>MAX(1,ROUND('기준스탯 72종'!E16-S230-AA230,0))</x:f>
        <x:v>6</x:v>
      </x:c>
      <x:c r="L230" s="2" t="n">
        <x:f>MAX(1,ROUND('기준스탯 72종'!F16-T230-AB230,0))</x:f>
        <x:v>5</x:v>
      </x:c>
      <x:c r="M230" s="2" t="n">
        <x:f>MAX(1,ROUND('기준스탯 72종'!G16-U230-AC230,0))</x:f>
        <x:v>5</x:v>
      </x:c>
      <x:c r="N230" s="2" t="n">
        <x:f>MAX(0,ROUND('기준스탯 72종'!H16-V230-AD230,0))</x:f>
        <x:v>3</x:v>
      </x:c>
      <x:c r="O230" s="2" t="n">
        <x:f>MAX(0,ROUND('기준스탯 72종'!I16-W230-AE230,0))</x:f>
        <x:v>3</x:v>
      </x:c>
      <x:c r="P230" s="2" t="n">
        <x:f>MAX(0,ROUND('기준스탯 72종'!J16-X230-AF230,0))</x:f>
        <x:v>2</x:v>
      </x:c>
      <x:c r="Q230" s="2" t="n">
        <x:f>MAX(0,ROUND('기준스탯 72종'!K16-Y230-AG230,0))</x:f>
        <x:v>4</x:v>
      </x:c>
      <x:c r="R230" s="15" t="n">
        <x:f>'기준스탯 72종'!D16*G230</x:f>
        <x:v>1.9599999999999997</x:v>
      </x:c>
      <x:c r="S230" s="15" t="n">
        <x:f>'기준스탯 72종'!E16*G230</x:f>
        <x:v>2.5199999999999996</x:v>
      </x:c>
      <x:c r="T230" s="15" t="n">
        <x:f>'기준스탯 72종'!F16*G230</x:f>
        <x:v>1.9599999999999997</x:v>
      </x:c>
      <x:c r="U230" s="15" t="n">
        <x:f>'기준스탯 72종'!G16*G230</x:f>
        <x:v>1.9599999999999997</x:v>
      </x:c>
      <x:c r="V230" s="15" t="n">
        <x:f>'기준스탯 72종'!H16*G230</x:f>
        <x:v>1.1199999999999999</x:v>
      </x:c>
      <x:c r="W230" s="15" t="n">
        <x:f>'기준스탯 72종'!I16*G230</x:f>
        <x:v>1.1199999999999999</x:v>
      </x:c>
      <x:c r="X230" s="15" t="n">
        <x:f>'기준스탯 72종'!J16*G230</x:f>
        <x:v>0.8399999999999999</x:v>
      </x:c>
      <x:c r="Y230" s="15" t="n">
        <x:f>'기준스탯 72종'!K16*G230</x:f>
        <x:v>1.4</x:v>
      </x:c>
      <x:c r="Z230" s="15" t="n">
        <x:f>'기준스탯 72종'!D16*H230</x:f>
        <x:v>0</x:v>
      </x:c>
      <x:c r="AA230" s="15" t="n">
        <x:f>'기준스탯 72종'!E16*H230</x:f>
        <x:v>0</x:v>
      </x:c>
      <x:c r="AB230" s="15" t="n">
        <x:f>'기준스탯 72종'!F16*H230</x:f>
        <x:v>0</x:v>
      </x:c>
      <x:c r="AC230" s="15" t="n">
        <x:f>'기준스탯 72종'!G16*H230</x:f>
        <x:v>0</x:v>
      </x:c>
      <x:c r="AD230" s="15" t="n">
        <x:f>'기준스탯 72종'!H16*H230</x:f>
        <x:v>0</x:v>
      </x:c>
      <x:c r="AE230" s="15" t="n">
        <x:f>'기준스탯 72종'!I16*H230</x:f>
        <x:v>0</x:v>
      </x:c>
      <x:c r="AF230" s="15" t="n">
        <x:f>'기준스탯 72종'!J16*H230</x:f>
        <x:v>0</x:v>
      </x:c>
      <x:c r="AG230" s="15" t="n">
        <x:f>'기준스탯 72종'!K16*H230</x:f>
        <x:v>0</x:v>
      </x:c>
    </x:row>
    <x:row r="231" ht="28" customHeight="1">
      <x:c r="A231" s="2" t="n">
        <x:v>224</x:v>
      </x:c>
      <x:c r="B231" s="2" t="n">
        <x:v>9</x:v>
      </x:c>
      <x:c r="C231" s="2" t="str">
        <x:v>황소자리</x:v>
      </x:c>
      <x:c r="D231" s="2" t="str">
        <x:v>사수</x:v>
      </x:c>
      <x:c r="E231" s="2" t="n">
        <x:v>4</x:v>
      </x:c>
      <x:c r="F231" s="2" t="n">
        <x:v>5</x:v>
      </x:c>
      <x:c r="G231" s="14" t="n">
        <x:f>('레벨 계산식'!$E$4-E231)*'레벨 계산식'!$B$5</x:f>
        <x:v>0.13999999999999999</x:v>
      </x:c>
      <x:c r="H231" s="14" t="n">
        <x:f>('등급 계산식'!$E$4-F231)*'등급 계산식'!$B$5</x:f>
        <x:v>0</x:v>
      </x:c>
      <x:c r="I231" s="14" t="n">
        <x:f>1-G231-H231</x:f>
        <x:v>0.86</x:v>
      </x:c>
      <x:c r="J231" s="2" t="n">
        <x:f>MAX(1,ROUND('기준스탯 72종'!D16-R231-Z231,0))</x:f>
        <x:v>6</x:v>
      </x:c>
      <x:c r="K231" s="2" t="n">
        <x:f>MAX(1,ROUND('기준스탯 72종'!E16-S231-AA231,0))</x:f>
        <x:v>8</x:v>
      </x:c>
      <x:c r="L231" s="2" t="n">
        <x:f>MAX(1,ROUND('기준스탯 72종'!F16-T231-AB231,0))</x:f>
        <x:v>6</x:v>
      </x:c>
      <x:c r="M231" s="2" t="n">
        <x:f>MAX(1,ROUND('기준스탯 72종'!G16-U231-AC231,0))</x:f>
        <x:v>6</x:v>
      </x:c>
      <x:c r="N231" s="2" t="n">
        <x:f>MAX(0,ROUND('기준스탯 72종'!H16-V231-AD231,0))</x:f>
        <x:v>3</x:v>
      </x:c>
      <x:c r="O231" s="2" t="n">
        <x:f>MAX(0,ROUND('기준스탯 72종'!I16-W231-AE231,0))</x:f>
        <x:v>3</x:v>
      </x:c>
      <x:c r="P231" s="2" t="n">
        <x:f>MAX(0,ROUND('기준스탯 72종'!J16-X231-AF231,0))</x:f>
        <x:v>3</x:v>
      </x:c>
      <x:c r="Q231" s="2" t="n">
        <x:f>MAX(0,ROUND('기준스탯 72종'!K16-Y231-AG231,0))</x:f>
        <x:v>4</x:v>
      </x:c>
      <x:c r="R231" s="15" t="n">
        <x:f>'기준스탯 72종'!D16*G231</x:f>
        <x:v>0.9799999999999999</x:v>
      </x:c>
      <x:c r="S231" s="15" t="n">
        <x:f>'기준스탯 72종'!E16*G231</x:f>
        <x:v>1.2599999999999998</x:v>
      </x:c>
      <x:c r="T231" s="15" t="n">
        <x:f>'기준스탯 72종'!F16*G231</x:f>
        <x:v>0.9799999999999999</x:v>
      </x:c>
      <x:c r="U231" s="15" t="n">
        <x:f>'기준스탯 72종'!G16*G231</x:f>
        <x:v>0.9799999999999999</x:v>
      </x:c>
      <x:c r="V231" s="15" t="n">
        <x:f>'기준스탯 72종'!H16*G231</x:f>
        <x:v>0.5599999999999999</x:v>
      </x:c>
      <x:c r="W231" s="15" t="n">
        <x:f>'기준스탯 72종'!I16*G231</x:f>
        <x:v>0.5599999999999999</x:v>
      </x:c>
      <x:c r="X231" s="15" t="n">
        <x:f>'기준스탯 72종'!J16*G231</x:f>
        <x:v>0.41999999999999993</x:v>
      </x:c>
      <x:c r="Y231" s="15" t="n">
        <x:f>'기준스탯 72종'!K16*G231</x:f>
        <x:v>0.7</x:v>
      </x:c>
      <x:c r="Z231" s="15" t="n">
        <x:f>'기준스탯 72종'!D16*H231</x:f>
        <x:v>0</x:v>
      </x:c>
      <x:c r="AA231" s="15" t="n">
        <x:f>'기준스탯 72종'!E16*H231</x:f>
        <x:v>0</x:v>
      </x:c>
      <x:c r="AB231" s="15" t="n">
        <x:f>'기준스탯 72종'!F16*H231</x:f>
        <x:v>0</x:v>
      </x:c>
      <x:c r="AC231" s="15" t="n">
        <x:f>'기준스탯 72종'!G16*H231</x:f>
        <x:v>0</x:v>
      </x:c>
      <x:c r="AD231" s="15" t="n">
        <x:f>'기준스탯 72종'!H16*H231</x:f>
        <x:v>0</x:v>
      </x:c>
      <x:c r="AE231" s="15" t="n">
        <x:f>'기준스탯 72종'!I16*H231</x:f>
        <x:v>0</x:v>
      </x:c>
      <x:c r="AF231" s="15" t="n">
        <x:f>'기준스탯 72종'!J16*H231</x:f>
        <x:v>0</x:v>
      </x:c>
      <x:c r="AG231" s="15" t="n">
        <x:f>'기준스탯 72종'!K16*H231</x:f>
        <x:v>0</x:v>
      </x:c>
    </x:row>
    <x:row r="232" ht="28" customHeight="1">
      <x:c r="A232" s="2" t="n">
        <x:v>225</x:v>
      </x:c>
      <x:c r="B232" s="2" t="n">
        <x:v>9</x:v>
      </x:c>
      <x:c r="C232" s="2" t="str">
        <x:v>황소자리</x:v>
      </x:c>
      <x:c r="D232" s="2" t="str">
        <x:v>사수</x:v>
      </x:c>
      <x:c r="E232" s="2" t="n">
        <x:v>5</x:v>
      </x:c>
      <x:c r="F232" s="2" t="n">
        <x:v>5</x:v>
      </x:c>
      <x:c r="G232" s="14" t="n">
        <x:f>('레벨 계산식'!$E$4-E232)*'레벨 계산식'!$B$5</x:f>
        <x:v>0</x:v>
      </x:c>
      <x:c r="H232" s="14" t="n">
        <x:f>('등급 계산식'!$E$4-F232)*'등급 계산식'!$B$5</x:f>
        <x:v>0</x:v>
      </x:c>
      <x:c r="I232" s="14" t="n">
        <x:f>1-G232-H232</x:f>
        <x:v>1</x:v>
      </x:c>
      <x:c r="J232" s="2" t="n">
        <x:f>MAX(1,ROUND('기준스탯 72종'!D16-R232-Z232,0))</x:f>
        <x:v>7</x:v>
      </x:c>
      <x:c r="K232" s="2" t="n">
        <x:f>MAX(1,ROUND('기준스탯 72종'!E16-S232-AA232,0))</x:f>
        <x:v>9</x:v>
      </x:c>
      <x:c r="L232" s="2" t="n">
        <x:f>MAX(1,ROUND('기준스탯 72종'!F16-T232-AB232,0))</x:f>
        <x:v>7</x:v>
      </x:c>
      <x:c r="M232" s="2" t="n">
        <x:f>MAX(1,ROUND('기준스탯 72종'!G16-U232-AC232,0))</x:f>
        <x:v>7</x:v>
      </x:c>
      <x:c r="N232" s="2" t="n">
        <x:f>MAX(0,ROUND('기준스탯 72종'!H16-V232-AD232,0))</x:f>
        <x:v>4</x:v>
      </x:c>
      <x:c r="O232" s="2" t="n">
        <x:f>MAX(0,ROUND('기준스탯 72종'!I16-W232-AE232,0))</x:f>
        <x:v>4</x:v>
      </x:c>
      <x:c r="P232" s="2" t="n">
        <x:f>MAX(0,ROUND('기준스탯 72종'!J16-X232-AF232,0))</x:f>
        <x:v>3</x:v>
      </x:c>
      <x:c r="Q232" s="2" t="n">
        <x:f>MAX(0,ROUND('기준스탯 72종'!K16-Y232-AG232,0))</x:f>
        <x:v>5</x:v>
      </x:c>
      <x:c r="R232" s="15" t="n">
        <x:f>'기준스탯 72종'!D16*G232</x:f>
        <x:v>0</x:v>
      </x:c>
      <x:c r="S232" s="15" t="n">
        <x:f>'기준스탯 72종'!E16*G232</x:f>
        <x:v>0</x:v>
      </x:c>
      <x:c r="T232" s="15" t="n">
        <x:f>'기준스탯 72종'!F16*G232</x:f>
        <x:v>0</x:v>
      </x:c>
      <x:c r="U232" s="15" t="n">
        <x:f>'기준스탯 72종'!G16*G232</x:f>
        <x:v>0</x:v>
      </x:c>
      <x:c r="V232" s="15" t="n">
        <x:f>'기준스탯 72종'!H16*G232</x:f>
        <x:v>0</x:v>
      </x:c>
      <x:c r="W232" s="15" t="n">
        <x:f>'기준스탯 72종'!I16*G232</x:f>
        <x:v>0</x:v>
      </x:c>
      <x:c r="X232" s="15" t="n">
        <x:f>'기준스탯 72종'!J16*G232</x:f>
        <x:v>0</x:v>
      </x:c>
      <x:c r="Y232" s="15" t="n">
        <x:f>'기준스탯 72종'!K16*G232</x:f>
        <x:v>0</x:v>
      </x:c>
      <x:c r="Z232" s="15" t="n">
        <x:f>'기준스탯 72종'!D16*H232</x:f>
        <x:v>0</x:v>
      </x:c>
      <x:c r="AA232" s="15" t="n">
        <x:f>'기준스탯 72종'!E16*H232</x:f>
        <x:v>0</x:v>
      </x:c>
      <x:c r="AB232" s="15" t="n">
        <x:f>'기준스탯 72종'!F16*H232</x:f>
        <x:v>0</x:v>
      </x:c>
      <x:c r="AC232" s="15" t="n">
        <x:f>'기준스탯 72종'!G16*H232</x:f>
        <x:v>0</x:v>
      </x:c>
      <x:c r="AD232" s="15" t="n">
        <x:f>'기준스탯 72종'!H16*H232</x:f>
        <x:v>0</x:v>
      </x:c>
      <x:c r="AE232" s="15" t="n">
        <x:f>'기준스탯 72종'!I16*H232</x:f>
        <x:v>0</x:v>
      </x:c>
      <x:c r="AF232" s="15" t="n">
        <x:f>'기준스탯 72종'!J16*H232</x:f>
        <x:v>0</x:v>
      </x:c>
      <x:c r="AG232" s="15" t="n">
        <x:f>'기준스탯 72종'!K16*H232</x:f>
        <x:v>0</x:v>
      </x:c>
    </x:row>
    <x:row r="233" ht="28" customHeight="1">
      <x:c r="A233" s="2" t="n">
        <x:v>226</x:v>
      </x:c>
      <x:c r="B233" s="2" t="n">
        <x:v>10</x:v>
      </x:c>
      <x:c r="C233" s="2" t="str">
        <x:v>황소자리</x:v>
      </x:c>
      <x:c r="D233" s="2" t="str">
        <x:v>정령사</x:v>
      </x:c>
      <x:c r="E233" s="2" t="n">
        <x:v>1</x:v>
      </x:c>
      <x:c r="F233" s="2" t="n">
        <x:v>1</x:v>
      </x:c>
      <x:c r="G233" s="14" t="n">
        <x:f>('레벨 계산식'!$E$4-E233)*'레벨 계산식'!$B$5</x:f>
        <x:v>0.5599999999999999</x:v>
      </x:c>
      <x:c r="H233" s="14" t="n">
        <x:f>('등급 계산식'!$E$4-F233)*'등급 계산식'!$B$5</x:f>
        <x:v>0.24000000000000005</x:v>
      </x:c>
      <x:c r="I233" s="14" t="n">
        <x:f>1-G233-H233</x:f>
        <x:v>0.2</x:v>
      </x:c>
      <x:c r="J233" s="2" t="n">
        <x:f>MAX(1,ROUND('기준스탯 72종'!D17-R233-Z233,0))</x:f>
        <x:v>1</x:v>
      </x:c>
      <x:c r="K233" s="2" t="n">
        <x:f>MAX(1,ROUND('기준스탯 72종'!E17-S233-AA233,0))</x:f>
        <x:v>2</x:v>
      </x:c>
      <x:c r="L233" s="2" t="n">
        <x:f>MAX(1,ROUND('기준스탯 72종'!F17-T233-AB233,0))</x:f>
        <x:v>2</x:v>
      </x:c>
      <x:c r="M233" s="2" t="n">
        <x:f>MAX(1,ROUND('기준스탯 72종'!G17-U233-AC233,0))</x:f>
        <x:v>1</x:v>
      </x:c>
      <x:c r="N233" s="2" t="n">
        <x:f>MAX(0,ROUND('기준스탯 72종'!H17-V233-AD233,0))</x:f>
        <x:v>0</x:v>
      </x:c>
      <x:c r="O233" s="2" t="n">
        <x:f>MAX(0,ROUND('기준스탯 72종'!I17-W233-AE233,0))</x:f>
        <x:v>1</x:v>
      </x:c>
      <x:c r="P233" s="2" t="n">
        <x:f>MAX(0,ROUND('기준스탯 72종'!J17-X233-AF233,0))</x:f>
        <x:v>1</x:v>
      </x:c>
      <x:c r="Q233" s="2" t="n">
        <x:f>MAX(0,ROUND('기준스탯 72종'!K17-Y233-AG233,0))</x:f>
        <x:v>1</x:v>
      </x:c>
      <x:c r="R233" s="15" t="n">
        <x:f>'기준스탯 72종'!D17*G233</x:f>
        <x:v>3.3599999999999994</x:v>
      </x:c>
      <x:c r="S233" s="15" t="n">
        <x:f>'기준스탯 72종'!E17*G233</x:f>
        <x:v>5.6</x:v>
      </x:c>
      <x:c r="T233" s="15" t="n">
        <x:f>'기준스탯 72종'!F17*G233</x:f>
        <x:v>5.039999999999999</x:v>
      </x:c>
      <x:c r="U233" s="15" t="n">
        <x:f>'기준스탯 72종'!G17*G233</x:f>
        <x:v>3.3599999999999994</x:v>
      </x:c>
      <x:c r="V233" s="15" t="n">
        <x:f>'기준스탯 72종'!H17*G233</x:f>
        <x:v>1.1199999999999999</x:v>
      </x:c>
      <x:c r="W233" s="15" t="n">
        <x:f>'기준스탯 72종'!I17*G233</x:f>
        <x:v>2.2399999999999998</x:v>
      </x:c>
      <x:c r="X233" s="15" t="n">
        <x:f>'기준스탯 72종'!J17*G233</x:f>
        <x:v>1.6799999999999997</x:v>
      </x:c>
      <x:c r="Y233" s="15" t="n">
        <x:f>'기준스탯 72종'!K17*G233</x:f>
        <x:v>3.9199999999999995</x:v>
      </x:c>
      <x:c r="Z233" s="15" t="n">
        <x:f>'기준스탯 72종'!D17*H233</x:f>
        <x:v>1.4400000000000004</x:v>
      </x:c>
      <x:c r="AA233" s="15" t="n">
        <x:f>'기준스탯 72종'!E17*H233</x:f>
        <x:v>2.4000000000000004</x:v>
      </x:c>
      <x:c r="AB233" s="15" t="n">
        <x:f>'기준스탯 72종'!F17*H233</x:f>
        <x:v>2.1600000000000006</x:v>
      </x:c>
      <x:c r="AC233" s="15" t="n">
        <x:f>'기준스탯 72종'!G17*H233</x:f>
        <x:v>1.4400000000000004</x:v>
      </x:c>
      <x:c r="AD233" s="15" t="n">
        <x:f>'기준스탯 72종'!H17*H233</x:f>
        <x:v>0.4800000000000001</x:v>
      </x:c>
      <x:c r="AE233" s="15" t="n">
        <x:f>'기준스탯 72종'!I17*H233</x:f>
        <x:v>0.9600000000000002</x:v>
      </x:c>
      <x:c r="AF233" s="15" t="n">
        <x:f>'기준스탯 72종'!J17*H233</x:f>
        <x:v>0.7200000000000002</x:v>
      </x:c>
      <x:c r="AG233" s="15" t="n">
        <x:f>'기준스탯 72종'!K17*H233</x:f>
        <x:v>1.6800000000000004</x:v>
      </x:c>
    </x:row>
    <x:row r="234" ht="28" customHeight="1">
      <x:c r="A234" s="2" t="n">
        <x:v>227</x:v>
      </x:c>
      <x:c r="B234" s="2" t="n">
        <x:v>10</x:v>
      </x:c>
      <x:c r="C234" s="2" t="str">
        <x:v>황소자리</x:v>
      </x:c>
      <x:c r="D234" s="2" t="str">
        <x:v>정령사</x:v>
      </x:c>
      <x:c r="E234" s="2" t="n">
        <x:v>2</x:v>
      </x:c>
      <x:c r="F234" s="2" t="n">
        <x:v>1</x:v>
      </x:c>
      <x:c r="G234" s="14" t="n">
        <x:f>('레벨 계산식'!$E$4-E234)*'레벨 계산식'!$B$5</x:f>
        <x:v>0.41999999999999993</x:v>
      </x:c>
      <x:c r="H234" s="14" t="n">
        <x:f>('등급 계산식'!$E$4-F234)*'등급 계산식'!$B$5</x:f>
        <x:v>0.24000000000000005</x:v>
      </x:c>
      <x:c r="I234" s="14" t="n">
        <x:f>1-G234-H234</x:f>
        <x:v>0.34</x:v>
      </x:c>
      <x:c r="J234" s="2" t="n">
        <x:f>MAX(1,ROUND('기준스탯 72종'!D17-R234-Z234,0))</x:f>
        <x:v>2</x:v>
      </x:c>
      <x:c r="K234" s="2" t="n">
        <x:f>MAX(1,ROUND('기준스탯 72종'!E17-S234-AA234,0))</x:f>
        <x:v>3</x:v>
      </x:c>
      <x:c r="L234" s="2" t="n">
        <x:f>MAX(1,ROUND('기준스탯 72종'!F17-T234-AB234,0))</x:f>
        <x:v>3</x:v>
      </x:c>
      <x:c r="M234" s="2" t="n">
        <x:f>MAX(1,ROUND('기준스탯 72종'!G17-U234-AC234,0))</x:f>
        <x:v>2</x:v>
      </x:c>
      <x:c r="N234" s="2" t="n">
        <x:f>MAX(0,ROUND('기준스탯 72종'!H17-V234-AD234,0))</x:f>
        <x:v>1</x:v>
      </x:c>
      <x:c r="O234" s="2" t="n">
        <x:f>MAX(0,ROUND('기준스탯 72종'!I17-W234-AE234,0))</x:f>
        <x:v>1</x:v>
      </x:c>
      <x:c r="P234" s="2" t="n">
        <x:f>MAX(0,ROUND('기준스탯 72종'!J17-X234-AF234,0))</x:f>
        <x:v>1</x:v>
      </x:c>
      <x:c r="Q234" s="2" t="n">
        <x:f>MAX(0,ROUND('기준스탯 72종'!K17-Y234-AG234,0))</x:f>
        <x:v>2</x:v>
      </x:c>
      <x:c r="R234" s="15" t="n">
        <x:f>'기준스탯 72종'!D17*G234</x:f>
        <x:v>2.5199999999999996</x:v>
      </x:c>
      <x:c r="S234" s="15" t="n">
        <x:f>'기준스탯 72종'!E17*G234</x:f>
        <x:v>4.199999999999999</x:v>
      </x:c>
      <x:c r="T234" s="15" t="n">
        <x:f>'기준스탯 72종'!F17*G234</x:f>
        <x:v>3.7799999999999994</x:v>
      </x:c>
      <x:c r="U234" s="15" t="n">
        <x:f>'기준스탯 72종'!G17*G234</x:f>
        <x:v>2.5199999999999996</x:v>
      </x:c>
      <x:c r="V234" s="15" t="n">
        <x:f>'기준스탯 72종'!H17*G234</x:f>
        <x:v>0.8399999999999999</x:v>
      </x:c>
      <x:c r="W234" s="15" t="n">
        <x:f>'기준스탯 72종'!I17*G234</x:f>
        <x:v>1.6799999999999997</x:v>
      </x:c>
      <x:c r="X234" s="15" t="n">
        <x:f>'기준스탯 72종'!J17*G234</x:f>
        <x:v>1.2599999999999998</x:v>
      </x:c>
      <x:c r="Y234" s="15" t="n">
        <x:f>'기준스탯 72종'!K17*G234</x:f>
        <x:v>2.9399999999999995</x:v>
      </x:c>
      <x:c r="Z234" s="15" t="n">
        <x:f>'기준스탯 72종'!D17*H234</x:f>
        <x:v>1.4400000000000004</x:v>
      </x:c>
      <x:c r="AA234" s="15" t="n">
        <x:f>'기준스탯 72종'!E17*H234</x:f>
        <x:v>2.4000000000000004</x:v>
      </x:c>
      <x:c r="AB234" s="15" t="n">
        <x:f>'기준스탯 72종'!F17*H234</x:f>
        <x:v>2.1600000000000006</x:v>
      </x:c>
      <x:c r="AC234" s="15" t="n">
        <x:f>'기준스탯 72종'!G17*H234</x:f>
        <x:v>1.4400000000000004</x:v>
      </x:c>
      <x:c r="AD234" s="15" t="n">
        <x:f>'기준스탯 72종'!H17*H234</x:f>
        <x:v>0.4800000000000001</x:v>
      </x:c>
      <x:c r="AE234" s="15" t="n">
        <x:f>'기준스탯 72종'!I17*H234</x:f>
        <x:v>0.9600000000000002</x:v>
      </x:c>
      <x:c r="AF234" s="15" t="n">
        <x:f>'기준스탯 72종'!J17*H234</x:f>
        <x:v>0.7200000000000002</x:v>
      </x:c>
      <x:c r="AG234" s="15" t="n">
        <x:f>'기준스탯 72종'!K17*H234</x:f>
        <x:v>1.6800000000000004</x:v>
      </x:c>
    </x:row>
    <x:row r="235" ht="28" customHeight="1">
      <x:c r="A235" s="2" t="n">
        <x:v>228</x:v>
      </x:c>
      <x:c r="B235" s="2" t="n">
        <x:v>10</x:v>
      </x:c>
      <x:c r="C235" s="2" t="str">
        <x:v>황소자리</x:v>
      </x:c>
      <x:c r="D235" s="2" t="str">
        <x:v>정령사</x:v>
      </x:c>
      <x:c r="E235" s="2" t="n">
        <x:v>3</x:v>
      </x:c>
      <x:c r="F235" s="2" t="n">
        <x:v>1</x:v>
      </x:c>
      <x:c r="G235" s="14" t="n">
        <x:f>('레벨 계산식'!$E$4-E235)*'레벨 계산식'!$B$5</x:f>
        <x:v>0.27999999999999997</x:v>
      </x:c>
      <x:c r="H235" s="14" t="n">
        <x:f>('등급 계산식'!$E$4-F235)*'등급 계산식'!$B$5</x:f>
        <x:v>0.24000000000000005</x:v>
      </x:c>
      <x:c r="I235" s="14" t="n">
        <x:f>1-G235-H235</x:f>
        <x:v>0.4799999999999999</x:v>
      </x:c>
      <x:c r="J235" s="2" t="n">
        <x:f>MAX(1,ROUND('기준스탯 72종'!D17-R235-Z235,0))</x:f>
        <x:v>3</x:v>
      </x:c>
      <x:c r="K235" s="2" t="n">
        <x:f>MAX(1,ROUND('기준스탯 72종'!E17-S235-AA235,0))</x:f>
        <x:v>5</x:v>
      </x:c>
      <x:c r="L235" s="2" t="n">
        <x:f>MAX(1,ROUND('기준스탯 72종'!F17-T235-AB235,0))</x:f>
        <x:v>4</x:v>
      </x:c>
      <x:c r="M235" s="2" t="n">
        <x:f>MAX(1,ROUND('기준스탯 72종'!G17-U235-AC235,0))</x:f>
        <x:v>3</x:v>
      </x:c>
      <x:c r="N235" s="2" t="n">
        <x:f>MAX(0,ROUND('기준스탯 72종'!H17-V235-AD235,0))</x:f>
        <x:v>1</x:v>
      </x:c>
      <x:c r="O235" s="2" t="n">
        <x:f>MAX(0,ROUND('기준스탯 72종'!I17-W235-AE235,0))</x:f>
        <x:v>2</x:v>
      </x:c>
      <x:c r="P235" s="2" t="n">
        <x:f>MAX(0,ROUND('기준스탯 72종'!J17-X235-AF235,0))</x:f>
        <x:v>1</x:v>
      </x:c>
      <x:c r="Q235" s="2" t="n">
        <x:f>MAX(0,ROUND('기준스탯 72종'!K17-Y235-AG235,0))</x:f>
        <x:v>3</x:v>
      </x:c>
      <x:c r="R235" s="15" t="n">
        <x:f>'기준스탯 72종'!D17*G235</x:f>
        <x:v>1.6799999999999997</x:v>
      </x:c>
      <x:c r="S235" s="15" t="n">
        <x:f>'기준스탯 72종'!E17*G235</x:f>
        <x:v>2.8</x:v>
      </x:c>
      <x:c r="T235" s="15" t="n">
        <x:f>'기준스탯 72종'!F17*G235</x:f>
        <x:v>2.5199999999999996</x:v>
      </x:c>
      <x:c r="U235" s="15" t="n">
        <x:f>'기준스탯 72종'!G17*G235</x:f>
        <x:v>1.6799999999999997</x:v>
      </x:c>
      <x:c r="V235" s="15" t="n">
        <x:f>'기준스탯 72종'!H17*G235</x:f>
        <x:v>0.5599999999999999</x:v>
      </x:c>
      <x:c r="W235" s="15" t="n">
        <x:f>'기준스탯 72종'!I17*G235</x:f>
        <x:v>1.1199999999999999</x:v>
      </x:c>
      <x:c r="X235" s="15" t="n">
        <x:f>'기준스탯 72종'!J17*G235</x:f>
        <x:v>0.8399999999999999</x:v>
      </x:c>
      <x:c r="Y235" s="15" t="n">
        <x:f>'기준스탯 72종'!K17*G235</x:f>
        <x:v>1.9599999999999997</x:v>
      </x:c>
      <x:c r="Z235" s="15" t="n">
        <x:f>'기준스탯 72종'!D17*H235</x:f>
        <x:v>1.4400000000000004</x:v>
      </x:c>
      <x:c r="AA235" s="15" t="n">
        <x:f>'기준스탯 72종'!E17*H235</x:f>
        <x:v>2.4000000000000004</x:v>
      </x:c>
      <x:c r="AB235" s="15" t="n">
        <x:f>'기준스탯 72종'!F17*H235</x:f>
        <x:v>2.1600000000000006</x:v>
      </x:c>
      <x:c r="AC235" s="15" t="n">
        <x:f>'기준스탯 72종'!G17*H235</x:f>
        <x:v>1.4400000000000004</x:v>
      </x:c>
      <x:c r="AD235" s="15" t="n">
        <x:f>'기준스탯 72종'!H17*H235</x:f>
        <x:v>0.4800000000000001</x:v>
      </x:c>
      <x:c r="AE235" s="15" t="n">
        <x:f>'기준스탯 72종'!I17*H235</x:f>
        <x:v>0.9600000000000002</x:v>
      </x:c>
      <x:c r="AF235" s="15" t="n">
        <x:f>'기준스탯 72종'!J17*H235</x:f>
        <x:v>0.7200000000000002</x:v>
      </x:c>
      <x:c r="AG235" s="15" t="n">
        <x:f>'기준스탯 72종'!K17*H235</x:f>
        <x:v>1.6800000000000004</x:v>
      </x:c>
    </x:row>
    <x:row r="236" ht="28" customHeight="1">
      <x:c r="A236" s="2" t="n">
        <x:v>229</x:v>
      </x:c>
      <x:c r="B236" s="2" t="n">
        <x:v>10</x:v>
      </x:c>
      <x:c r="C236" s="2" t="str">
        <x:v>황소자리</x:v>
      </x:c>
      <x:c r="D236" s="2" t="str">
        <x:v>정령사</x:v>
      </x:c>
      <x:c r="E236" s="2" t="n">
        <x:v>4</x:v>
      </x:c>
      <x:c r="F236" s="2" t="n">
        <x:v>1</x:v>
      </x:c>
      <x:c r="G236" s="14" t="n">
        <x:f>('레벨 계산식'!$E$4-E236)*'레벨 계산식'!$B$5</x:f>
        <x:v>0.13999999999999999</x:v>
      </x:c>
      <x:c r="H236" s="14" t="n">
        <x:f>('등급 계산식'!$E$4-F236)*'등급 계산식'!$B$5</x:f>
        <x:v>0.24000000000000005</x:v>
      </x:c>
      <x:c r="I236" s="14" t="n">
        <x:f>1-G236-H236</x:f>
        <x:v>0.6199999999999999</x:v>
      </x:c>
      <x:c r="J236" s="2" t="n">
        <x:f>MAX(1,ROUND('기준스탯 72종'!D17-R236-Z236,0))</x:f>
        <x:v>4</x:v>
      </x:c>
      <x:c r="K236" s="2" t="n">
        <x:f>MAX(1,ROUND('기준스탯 72종'!E17-S236-AA236,0))</x:f>
        <x:v>6</x:v>
      </x:c>
      <x:c r="L236" s="2" t="n">
        <x:f>MAX(1,ROUND('기준스탯 72종'!F17-T236-AB236,0))</x:f>
        <x:v>6</x:v>
      </x:c>
      <x:c r="M236" s="2" t="n">
        <x:f>MAX(1,ROUND('기준스탯 72종'!G17-U236-AC236,0))</x:f>
        <x:v>4</x:v>
      </x:c>
      <x:c r="N236" s="2" t="n">
        <x:f>MAX(0,ROUND('기준스탯 72종'!H17-V236-AD236,0))</x:f>
        <x:v>1</x:v>
      </x:c>
      <x:c r="O236" s="2" t="n">
        <x:f>MAX(0,ROUND('기준스탯 72종'!I17-W236-AE236,0))</x:f>
        <x:v>2</x:v>
      </x:c>
      <x:c r="P236" s="2" t="n">
        <x:f>MAX(0,ROUND('기준스탯 72종'!J17-X236-AF236,0))</x:f>
        <x:v>2</x:v>
      </x:c>
      <x:c r="Q236" s="2" t="n">
        <x:f>MAX(0,ROUND('기준스탯 72종'!K17-Y236-AG236,0))</x:f>
        <x:v>4</x:v>
      </x:c>
      <x:c r="R236" s="15" t="n">
        <x:f>'기준스탯 72종'!D17*G236</x:f>
        <x:v>0.8399999999999999</x:v>
      </x:c>
      <x:c r="S236" s="15" t="n">
        <x:f>'기준스탯 72종'!E17*G236</x:f>
        <x:v>1.4</x:v>
      </x:c>
      <x:c r="T236" s="15" t="n">
        <x:f>'기준스탯 72종'!F17*G236</x:f>
        <x:v>1.2599999999999998</x:v>
      </x:c>
      <x:c r="U236" s="15" t="n">
        <x:f>'기준스탯 72종'!G17*G236</x:f>
        <x:v>0.8399999999999999</x:v>
      </x:c>
      <x:c r="V236" s="15" t="n">
        <x:f>'기준스탯 72종'!H17*G236</x:f>
        <x:v>0.27999999999999997</x:v>
      </x:c>
      <x:c r="W236" s="15" t="n">
        <x:f>'기준스탯 72종'!I17*G236</x:f>
        <x:v>0.5599999999999999</x:v>
      </x:c>
      <x:c r="X236" s="15" t="n">
        <x:f>'기준스탯 72종'!J17*G236</x:f>
        <x:v>0.41999999999999993</x:v>
      </x:c>
      <x:c r="Y236" s="15" t="n">
        <x:f>'기준스탯 72종'!K17*G236</x:f>
        <x:v>0.9799999999999999</x:v>
      </x:c>
      <x:c r="Z236" s="15" t="n">
        <x:f>'기준스탯 72종'!D17*H236</x:f>
        <x:v>1.4400000000000004</x:v>
      </x:c>
      <x:c r="AA236" s="15" t="n">
        <x:f>'기준스탯 72종'!E17*H236</x:f>
        <x:v>2.4000000000000004</x:v>
      </x:c>
      <x:c r="AB236" s="15" t="n">
        <x:f>'기준스탯 72종'!F17*H236</x:f>
        <x:v>2.1600000000000006</x:v>
      </x:c>
      <x:c r="AC236" s="15" t="n">
        <x:f>'기준스탯 72종'!G17*H236</x:f>
        <x:v>1.4400000000000004</x:v>
      </x:c>
      <x:c r="AD236" s="15" t="n">
        <x:f>'기준스탯 72종'!H17*H236</x:f>
        <x:v>0.4800000000000001</x:v>
      </x:c>
      <x:c r="AE236" s="15" t="n">
        <x:f>'기준스탯 72종'!I17*H236</x:f>
        <x:v>0.9600000000000002</x:v>
      </x:c>
      <x:c r="AF236" s="15" t="n">
        <x:f>'기준스탯 72종'!J17*H236</x:f>
        <x:v>0.7200000000000002</x:v>
      </x:c>
      <x:c r="AG236" s="15" t="n">
        <x:f>'기준스탯 72종'!K17*H236</x:f>
        <x:v>1.6800000000000004</x:v>
      </x:c>
    </x:row>
    <x:row r="237" ht="28" customHeight="1">
      <x:c r="A237" s="2" t="n">
        <x:v>230</x:v>
      </x:c>
      <x:c r="B237" s="2" t="n">
        <x:v>10</x:v>
      </x:c>
      <x:c r="C237" s="2" t="str">
        <x:v>황소자리</x:v>
      </x:c>
      <x:c r="D237" s="2" t="str">
        <x:v>정령사</x:v>
      </x:c>
      <x:c r="E237" s="2" t="n">
        <x:v>5</x:v>
      </x:c>
      <x:c r="F237" s="2" t="n">
        <x:v>1</x:v>
      </x:c>
      <x:c r="G237" s="14" t="n">
        <x:f>('레벨 계산식'!$E$4-E237)*'레벨 계산식'!$B$5</x:f>
        <x:v>0</x:v>
      </x:c>
      <x:c r="H237" s="14" t="n">
        <x:f>('등급 계산식'!$E$4-F237)*'등급 계산식'!$B$5</x:f>
        <x:v>0.24000000000000005</x:v>
      </x:c>
      <x:c r="I237" s="14" t="n">
        <x:f>1-G237-H237</x:f>
        <x:v>0.76</x:v>
      </x:c>
      <x:c r="J237" s="2" t="n">
        <x:f>MAX(1,ROUND('기준스탯 72종'!D17-R237-Z237,0))</x:f>
        <x:v>5</x:v>
      </x:c>
      <x:c r="K237" s="2" t="n">
        <x:f>MAX(1,ROUND('기준스탯 72종'!E17-S237-AA237,0))</x:f>
        <x:v>8</x:v>
      </x:c>
      <x:c r="L237" s="2" t="n">
        <x:f>MAX(1,ROUND('기준스탯 72종'!F17-T237-AB237,0))</x:f>
        <x:v>7</x:v>
      </x:c>
      <x:c r="M237" s="2" t="n">
        <x:f>MAX(1,ROUND('기준스탯 72종'!G17-U237-AC237,0))</x:f>
        <x:v>5</x:v>
      </x:c>
      <x:c r="N237" s="2" t="n">
        <x:f>MAX(0,ROUND('기준스탯 72종'!H17-V237-AD237,0))</x:f>
        <x:v>2</x:v>
      </x:c>
      <x:c r="O237" s="2" t="n">
        <x:f>MAX(0,ROUND('기준스탯 72종'!I17-W237-AE237,0))</x:f>
        <x:v>3</x:v>
      </x:c>
      <x:c r="P237" s="2" t="n">
        <x:f>MAX(0,ROUND('기준스탯 72종'!J17-X237-AF237,0))</x:f>
        <x:v>2</x:v>
      </x:c>
      <x:c r="Q237" s="2" t="n">
        <x:f>MAX(0,ROUND('기준스탯 72종'!K17-Y237-AG237,0))</x:f>
        <x:v>5</x:v>
      </x:c>
      <x:c r="R237" s="15" t="n">
        <x:f>'기준스탯 72종'!D17*G237</x:f>
        <x:v>0</x:v>
      </x:c>
      <x:c r="S237" s="15" t="n">
        <x:f>'기준스탯 72종'!E17*G237</x:f>
        <x:v>0</x:v>
      </x:c>
      <x:c r="T237" s="15" t="n">
        <x:f>'기준스탯 72종'!F17*G237</x:f>
        <x:v>0</x:v>
      </x:c>
      <x:c r="U237" s="15" t="n">
        <x:f>'기준스탯 72종'!G17*G237</x:f>
        <x:v>0</x:v>
      </x:c>
      <x:c r="V237" s="15" t="n">
        <x:f>'기준스탯 72종'!H17*G237</x:f>
        <x:v>0</x:v>
      </x:c>
      <x:c r="W237" s="15" t="n">
        <x:f>'기준스탯 72종'!I17*G237</x:f>
        <x:v>0</x:v>
      </x:c>
      <x:c r="X237" s="15" t="n">
        <x:f>'기준스탯 72종'!J17*G237</x:f>
        <x:v>0</x:v>
      </x:c>
      <x:c r="Y237" s="15" t="n">
        <x:f>'기준스탯 72종'!K17*G237</x:f>
        <x:v>0</x:v>
      </x:c>
      <x:c r="Z237" s="15" t="n">
        <x:f>'기준스탯 72종'!D17*H237</x:f>
        <x:v>1.4400000000000004</x:v>
      </x:c>
      <x:c r="AA237" s="15" t="n">
        <x:f>'기준스탯 72종'!E17*H237</x:f>
        <x:v>2.4000000000000004</x:v>
      </x:c>
      <x:c r="AB237" s="15" t="n">
        <x:f>'기준스탯 72종'!F17*H237</x:f>
        <x:v>2.1600000000000006</x:v>
      </x:c>
      <x:c r="AC237" s="15" t="n">
        <x:f>'기준스탯 72종'!G17*H237</x:f>
        <x:v>1.4400000000000004</x:v>
      </x:c>
      <x:c r="AD237" s="15" t="n">
        <x:f>'기준스탯 72종'!H17*H237</x:f>
        <x:v>0.4800000000000001</x:v>
      </x:c>
      <x:c r="AE237" s="15" t="n">
        <x:f>'기준스탯 72종'!I17*H237</x:f>
        <x:v>0.9600000000000002</x:v>
      </x:c>
      <x:c r="AF237" s="15" t="n">
        <x:f>'기준스탯 72종'!J17*H237</x:f>
        <x:v>0.7200000000000002</x:v>
      </x:c>
      <x:c r="AG237" s="15" t="n">
        <x:f>'기준스탯 72종'!K17*H237</x:f>
        <x:v>1.6800000000000004</x:v>
      </x:c>
    </x:row>
    <x:row r="238" ht="28" customHeight="1">
      <x:c r="A238" s="2" t="n">
        <x:v>231</x:v>
      </x:c>
      <x:c r="B238" s="2" t="n">
        <x:v>10</x:v>
      </x:c>
      <x:c r="C238" s="2" t="str">
        <x:v>황소자리</x:v>
      </x:c>
      <x:c r="D238" s="2" t="str">
        <x:v>정령사</x:v>
      </x:c>
      <x:c r="E238" s="2" t="n">
        <x:v>1</x:v>
      </x:c>
      <x:c r="F238" s="2" t="n">
        <x:v>2</x:v>
      </x:c>
      <x:c r="G238" s="14" t="n">
        <x:f>('레벨 계산식'!$E$4-E238)*'레벨 계산식'!$B$5</x:f>
        <x:v>0.5599999999999999</x:v>
      </x:c>
      <x:c r="H238" s="14" t="n">
        <x:f>('등급 계산식'!$E$4-F238)*'등급 계산식'!$B$5</x:f>
        <x:v>0.18000000000000005</x:v>
      </x:c>
      <x:c r="I238" s="14" t="n">
        <x:f>1-G238-H238</x:f>
        <x:v>0.26</x:v>
      </x:c>
      <x:c r="J238" s="2" t="n">
        <x:f>MAX(1,ROUND('기준스탯 72종'!D17-R238-Z238,0))</x:f>
        <x:v>2</x:v>
      </x:c>
      <x:c r="K238" s="2" t="n">
        <x:f>MAX(1,ROUND('기준스탯 72종'!E17-S238-AA238,0))</x:f>
        <x:v>3</x:v>
      </x:c>
      <x:c r="L238" s="2" t="n">
        <x:f>MAX(1,ROUND('기준스탯 72종'!F17-T238-AB238,0))</x:f>
        <x:v>2</x:v>
      </x:c>
      <x:c r="M238" s="2" t="n">
        <x:f>MAX(1,ROUND('기준스탯 72종'!G17-U238-AC238,0))</x:f>
        <x:v>2</x:v>
      </x:c>
      <x:c r="N238" s="2" t="n">
        <x:f>MAX(0,ROUND('기준스탯 72종'!H17-V238-AD238,0))</x:f>
        <x:v>1</x:v>
      </x:c>
      <x:c r="O238" s="2" t="n">
        <x:f>MAX(0,ROUND('기준스탯 72종'!I17-W238-AE238,0))</x:f>
        <x:v>1</x:v>
      </x:c>
      <x:c r="P238" s="2" t="n">
        <x:f>MAX(0,ROUND('기준스탯 72종'!J17-X238-AF238,0))</x:f>
        <x:v>1</x:v>
      </x:c>
      <x:c r="Q238" s="2" t="n">
        <x:f>MAX(0,ROUND('기준스탯 72종'!K17-Y238-AG238,0))</x:f>
        <x:v>2</x:v>
      </x:c>
      <x:c r="R238" s="15" t="n">
        <x:f>'기준스탯 72종'!D17*G238</x:f>
        <x:v>3.3599999999999994</x:v>
      </x:c>
      <x:c r="S238" s="15" t="n">
        <x:f>'기준스탯 72종'!E17*G238</x:f>
        <x:v>5.6</x:v>
      </x:c>
      <x:c r="T238" s="15" t="n">
        <x:f>'기준스탯 72종'!F17*G238</x:f>
        <x:v>5.039999999999999</x:v>
      </x:c>
      <x:c r="U238" s="15" t="n">
        <x:f>'기준스탯 72종'!G17*G238</x:f>
        <x:v>3.3599999999999994</x:v>
      </x:c>
      <x:c r="V238" s="15" t="n">
        <x:f>'기준스탯 72종'!H17*G238</x:f>
        <x:v>1.1199999999999999</x:v>
      </x:c>
      <x:c r="W238" s="15" t="n">
        <x:f>'기준스탯 72종'!I17*G238</x:f>
        <x:v>2.2399999999999998</x:v>
      </x:c>
      <x:c r="X238" s="15" t="n">
        <x:f>'기준스탯 72종'!J17*G238</x:f>
        <x:v>1.6799999999999997</x:v>
      </x:c>
      <x:c r="Y238" s="15" t="n">
        <x:f>'기준스탯 72종'!K17*G238</x:f>
        <x:v>3.9199999999999995</x:v>
      </x:c>
      <x:c r="Z238" s="15" t="n">
        <x:f>'기준스탯 72종'!D17*H238</x:f>
        <x:v>1.0800000000000003</x:v>
      </x:c>
      <x:c r="AA238" s="15" t="n">
        <x:f>'기준스탯 72종'!E17*H238</x:f>
        <x:v>1.8000000000000005</x:v>
      </x:c>
      <x:c r="AB238" s="15" t="n">
        <x:f>'기준스탯 72종'!F17*H238</x:f>
        <x:v>1.6200000000000006</x:v>
      </x:c>
      <x:c r="AC238" s="15" t="n">
        <x:f>'기준스탯 72종'!G17*H238</x:f>
        <x:v>1.0800000000000003</x:v>
      </x:c>
      <x:c r="AD238" s="15" t="n">
        <x:f>'기준스탯 72종'!H17*H238</x:f>
        <x:v>0.3600000000000001</x:v>
      </x:c>
      <x:c r="AE238" s="15" t="n">
        <x:f>'기준스탯 72종'!I17*H238</x:f>
        <x:v>0.7200000000000002</x:v>
      </x:c>
      <x:c r="AF238" s="15" t="n">
        <x:f>'기준스탯 72종'!J17*H238</x:f>
        <x:v>0.5400000000000001</x:v>
      </x:c>
      <x:c r="AG238" s="15" t="n">
        <x:f>'기준스탯 72종'!K17*H238</x:f>
        <x:v>1.2600000000000002</x:v>
      </x:c>
    </x:row>
    <x:row r="239" ht="28" customHeight="1">
      <x:c r="A239" s="2" t="n">
        <x:v>232</x:v>
      </x:c>
      <x:c r="B239" s="2" t="n">
        <x:v>10</x:v>
      </x:c>
      <x:c r="C239" s="2" t="str">
        <x:v>황소자리</x:v>
      </x:c>
      <x:c r="D239" s="2" t="str">
        <x:v>정령사</x:v>
      </x:c>
      <x:c r="E239" s="2" t="n">
        <x:v>2</x:v>
      </x:c>
      <x:c r="F239" s="2" t="n">
        <x:v>2</x:v>
      </x:c>
      <x:c r="G239" s="14" t="n">
        <x:f>('레벨 계산식'!$E$4-E239)*'레벨 계산식'!$B$5</x:f>
        <x:v>0.41999999999999993</x:v>
      </x:c>
      <x:c r="H239" s="14" t="n">
        <x:f>('등급 계산식'!$E$4-F239)*'등급 계산식'!$B$5</x:f>
        <x:v>0.18000000000000005</x:v>
      </x:c>
      <x:c r="I239" s="14" t="n">
        <x:f>1-G239-H239</x:f>
        <x:v>0.4</x:v>
      </x:c>
      <x:c r="J239" s="2" t="n">
        <x:f>MAX(1,ROUND('기준스탯 72종'!D17-R239-Z239,0))</x:f>
        <x:v>2</x:v>
      </x:c>
      <x:c r="K239" s="2" t="n">
        <x:f>MAX(1,ROUND('기준스탯 72종'!E17-S239-AA239,0))</x:f>
        <x:v>4</x:v>
      </x:c>
      <x:c r="L239" s="2" t="n">
        <x:f>MAX(1,ROUND('기준스탯 72종'!F17-T239-AB239,0))</x:f>
        <x:v>4</x:v>
      </x:c>
      <x:c r="M239" s="2" t="n">
        <x:f>MAX(1,ROUND('기준스탯 72종'!G17-U239-AC239,0))</x:f>
        <x:v>2</x:v>
      </x:c>
      <x:c r="N239" s="2" t="n">
        <x:f>MAX(0,ROUND('기준스탯 72종'!H17-V239-AD239,0))</x:f>
        <x:v>1</x:v>
      </x:c>
      <x:c r="O239" s="2" t="n">
        <x:f>MAX(0,ROUND('기준스탯 72종'!I17-W239-AE239,0))</x:f>
        <x:v>2</x:v>
      </x:c>
      <x:c r="P239" s="2" t="n">
        <x:f>MAX(0,ROUND('기준스탯 72종'!J17-X239-AF239,0))</x:f>
        <x:v>1</x:v>
      </x:c>
      <x:c r="Q239" s="2" t="n">
        <x:f>MAX(0,ROUND('기준스탯 72종'!K17-Y239-AG239,0))</x:f>
        <x:v>3</x:v>
      </x:c>
      <x:c r="R239" s="15" t="n">
        <x:f>'기준스탯 72종'!D17*G239</x:f>
        <x:v>2.5199999999999996</x:v>
      </x:c>
      <x:c r="S239" s="15" t="n">
        <x:f>'기준스탯 72종'!E17*G239</x:f>
        <x:v>4.199999999999999</x:v>
      </x:c>
      <x:c r="T239" s="15" t="n">
        <x:f>'기준스탯 72종'!F17*G239</x:f>
        <x:v>3.7799999999999994</x:v>
      </x:c>
      <x:c r="U239" s="15" t="n">
        <x:f>'기준스탯 72종'!G17*G239</x:f>
        <x:v>2.5199999999999996</x:v>
      </x:c>
      <x:c r="V239" s="15" t="n">
        <x:f>'기준스탯 72종'!H17*G239</x:f>
        <x:v>0.8399999999999999</x:v>
      </x:c>
      <x:c r="W239" s="15" t="n">
        <x:f>'기준스탯 72종'!I17*G239</x:f>
        <x:v>1.6799999999999997</x:v>
      </x:c>
      <x:c r="X239" s="15" t="n">
        <x:f>'기준스탯 72종'!J17*G239</x:f>
        <x:v>1.2599999999999998</x:v>
      </x:c>
      <x:c r="Y239" s="15" t="n">
        <x:f>'기준스탯 72종'!K17*G239</x:f>
        <x:v>2.9399999999999995</x:v>
      </x:c>
      <x:c r="Z239" s="15" t="n">
        <x:f>'기준스탯 72종'!D17*H239</x:f>
        <x:v>1.0800000000000003</x:v>
      </x:c>
      <x:c r="AA239" s="15" t="n">
        <x:f>'기준스탯 72종'!E17*H239</x:f>
        <x:v>1.8000000000000005</x:v>
      </x:c>
      <x:c r="AB239" s="15" t="n">
        <x:f>'기준스탯 72종'!F17*H239</x:f>
        <x:v>1.6200000000000006</x:v>
      </x:c>
      <x:c r="AC239" s="15" t="n">
        <x:f>'기준스탯 72종'!G17*H239</x:f>
        <x:v>1.0800000000000003</x:v>
      </x:c>
      <x:c r="AD239" s="15" t="n">
        <x:f>'기준스탯 72종'!H17*H239</x:f>
        <x:v>0.3600000000000001</x:v>
      </x:c>
      <x:c r="AE239" s="15" t="n">
        <x:f>'기준스탯 72종'!I17*H239</x:f>
        <x:v>0.7200000000000002</x:v>
      </x:c>
      <x:c r="AF239" s="15" t="n">
        <x:f>'기준스탯 72종'!J17*H239</x:f>
        <x:v>0.5400000000000001</x:v>
      </x:c>
      <x:c r="AG239" s="15" t="n">
        <x:f>'기준스탯 72종'!K17*H239</x:f>
        <x:v>1.2600000000000002</x:v>
      </x:c>
    </x:row>
    <x:row r="240" ht="28" customHeight="1">
      <x:c r="A240" s="2" t="n">
        <x:v>233</x:v>
      </x:c>
      <x:c r="B240" s="2" t="n">
        <x:v>10</x:v>
      </x:c>
      <x:c r="C240" s="2" t="str">
        <x:v>황소자리</x:v>
      </x:c>
      <x:c r="D240" s="2" t="str">
        <x:v>정령사</x:v>
      </x:c>
      <x:c r="E240" s="2" t="n">
        <x:v>3</x:v>
      </x:c>
      <x:c r="F240" s="2" t="n">
        <x:v>2</x:v>
      </x:c>
      <x:c r="G240" s="14" t="n">
        <x:f>('레벨 계산식'!$E$4-E240)*'레벨 계산식'!$B$5</x:f>
        <x:v>0.27999999999999997</x:v>
      </x:c>
      <x:c r="H240" s="14" t="n">
        <x:f>('등급 계산식'!$E$4-F240)*'등급 계산식'!$B$5</x:f>
        <x:v>0.18000000000000005</x:v>
      </x:c>
      <x:c r="I240" s="14" t="n">
        <x:f>1-G240-H240</x:f>
        <x:v>0.5399999999999999</x:v>
      </x:c>
      <x:c r="J240" s="2" t="n">
        <x:f>MAX(1,ROUND('기준스탯 72종'!D17-R240-Z240,0))</x:f>
        <x:v>3</x:v>
      </x:c>
      <x:c r="K240" s="2" t="n">
        <x:f>MAX(1,ROUND('기준스탯 72종'!E17-S240-AA240,0))</x:f>
        <x:v>5</x:v>
      </x:c>
      <x:c r="L240" s="2" t="n">
        <x:f>MAX(1,ROUND('기준스탯 72종'!F17-T240-AB240,0))</x:f>
        <x:v>5</x:v>
      </x:c>
      <x:c r="M240" s="2" t="n">
        <x:f>MAX(1,ROUND('기준스탯 72종'!G17-U240-AC240,0))</x:f>
        <x:v>3</x:v>
      </x:c>
      <x:c r="N240" s="2" t="n">
        <x:f>MAX(0,ROUND('기준스탯 72종'!H17-V240-AD240,0))</x:f>
        <x:v>1</x:v>
      </x:c>
      <x:c r="O240" s="2" t="n">
        <x:f>MAX(0,ROUND('기준스탯 72종'!I17-W240-AE240,0))</x:f>
        <x:v>2</x:v>
      </x:c>
      <x:c r="P240" s="2" t="n">
        <x:f>MAX(0,ROUND('기준스탯 72종'!J17-X240-AF240,0))</x:f>
        <x:v>2</x:v>
      </x:c>
      <x:c r="Q240" s="2" t="n">
        <x:f>MAX(0,ROUND('기준스탯 72종'!K17-Y240-AG240,0))</x:f>
        <x:v>4</x:v>
      </x:c>
      <x:c r="R240" s="15" t="n">
        <x:f>'기준스탯 72종'!D17*G240</x:f>
        <x:v>1.6799999999999997</x:v>
      </x:c>
      <x:c r="S240" s="15" t="n">
        <x:f>'기준스탯 72종'!E17*G240</x:f>
        <x:v>2.8</x:v>
      </x:c>
      <x:c r="T240" s="15" t="n">
        <x:f>'기준스탯 72종'!F17*G240</x:f>
        <x:v>2.5199999999999996</x:v>
      </x:c>
      <x:c r="U240" s="15" t="n">
        <x:f>'기준스탯 72종'!G17*G240</x:f>
        <x:v>1.6799999999999997</x:v>
      </x:c>
      <x:c r="V240" s="15" t="n">
        <x:f>'기준스탯 72종'!H17*G240</x:f>
        <x:v>0.5599999999999999</x:v>
      </x:c>
      <x:c r="W240" s="15" t="n">
        <x:f>'기준스탯 72종'!I17*G240</x:f>
        <x:v>1.1199999999999999</x:v>
      </x:c>
      <x:c r="X240" s="15" t="n">
        <x:f>'기준스탯 72종'!J17*G240</x:f>
        <x:v>0.8399999999999999</x:v>
      </x:c>
      <x:c r="Y240" s="15" t="n">
        <x:f>'기준스탯 72종'!K17*G240</x:f>
        <x:v>1.9599999999999997</x:v>
      </x:c>
      <x:c r="Z240" s="15" t="n">
        <x:f>'기준스탯 72종'!D17*H240</x:f>
        <x:v>1.0800000000000003</x:v>
      </x:c>
      <x:c r="AA240" s="15" t="n">
        <x:f>'기준스탯 72종'!E17*H240</x:f>
        <x:v>1.8000000000000005</x:v>
      </x:c>
      <x:c r="AB240" s="15" t="n">
        <x:f>'기준스탯 72종'!F17*H240</x:f>
        <x:v>1.6200000000000006</x:v>
      </x:c>
      <x:c r="AC240" s="15" t="n">
        <x:f>'기준스탯 72종'!G17*H240</x:f>
        <x:v>1.0800000000000003</x:v>
      </x:c>
      <x:c r="AD240" s="15" t="n">
        <x:f>'기준스탯 72종'!H17*H240</x:f>
        <x:v>0.3600000000000001</x:v>
      </x:c>
      <x:c r="AE240" s="15" t="n">
        <x:f>'기준스탯 72종'!I17*H240</x:f>
        <x:v>0.7200000000000002</x:v>
      </x:c>
      <x:c r="AF240" s="15" t="n">
        <x:f>'기준스탯 72종'!J17*H240</x:f>
        <x:v>0.5400000000000001</x:v>
      </x:c>
      <x:c r="AG240" s="15" t="n">
        <x:f>'기준스탯 72종'!K17*H240</x:f>
        <x:v>1.2600000000000002</x:v>
      </x:c>
    </x:row>
    <x:row r="241" ht="28" customHeight="1">
      <x:c r="A241" s="2" t="n">
        <x:v>234</x:v>
      </x:c>
      <x:c r="B241" s="2" t="n">
        <x:v>10</x:v>
      </x:c>
      <x:c r="C241" s="2" t="str">
        <x:v>황소자리</x:v>
      </x:c>
      <x:c r="D241" s="2" t="str">
        <x:v>정령사</x:v>
      </x:c>
      <x:c r="E241" s="2" t="n">
        <x:v>4</x:v>
      </x:c>
      <x:c r="F241" s="2" t="n">
        <x:v>2</x:v>
      </x:c>
      <x:c r="G241" s="14" t="n">
        <x:f>('레벨 계산식'!$E$4-E241)*'레벨 계산식'!$B$5</x:f>
        <x:v>0.13999999999999999</x:v>
      </x:c>
      <x:c r="H241" s="14" t="n">
        <x:f>('등급 계산식'!$E$4-F241)*'등급 계산식'!$B$5</x:f>
        <x:v>0.18000000000000005</x:v>
      </x:c>
      <x:c r="I241" s="14" t="n">
        <x:f>1-G241-H241</x:f>
        <x:v>0.6799999999999999</x:v>
      </x:c>
      <x:c r="J241" s="2" t="n">
        <x:f>MAX(1,ROUND('기준스탯 72종'!D17-R241-Z241,0))</x:f>
        <x:v>4</x:v>
      </x:c>
      <x:c r="K241" s="2" t="n">
        <x:f>MAX(1,ROUND('기준스탯 72종'!E17-S241-AA241,0))</x:f>
        <x:v>7</x:v>
      </x:c>
      <x:c r="L241" s="2" t="n">
        <x:f>MAX(1,ROUND('기준스탯 72종'!F17-T241-AB241,0))</x:f>
        <x:v>6</x:v>
      </x:c>
      <x:c r="M241" s="2" t="n">
        <x:f>MAX(1,ROUND('기준스탯 72종'!G17-U241-AC241,0))</x:f>
        <x:v>4</x:v>
      </x:c>
      <x:c r="N241" s="2" t="n">
        <x:f>MAX(0,ROUND('기준스탯 72종'!H17-V241-AD241,0))</x:f>
        <x:v>1</x:v>
      </x:c>
      <x:c r="O241" s="2" t="n">
        <x:f>MAX(0,ROUND('기준스탯 72종'!I17-W241-AE241,0))</x:f>
        <x:v>3</x:v>
      </x:c>
      <x:c r="P241" s="2" t="n">
        <x:f>MAX(0,ROUND('기준스탯 72종'!J17-X241-AF241,0))</x:f>
        <x:v>2</x:v>
      </x:c>
      <x:c r="Q241" s="2" t="n">
        <x:f>MAX(0,ROUND('기준스탯 72종'!K17-Y241-AG241,0))</x:f>
        <x:v>5</x:v>
      </x:c>
      <x:c r="R241" s="15" t="n">
        <x:f>'기준스탯 72종'!D17*G241</x:f>
        <x:v>0.8399999999999999</x:v>
      </x:c>
      <x:c r="S241" s="15" t="n">
        <x:f>'기준스탯 72종'!E17*G241</x:f>
        <x:v>1.4</x:v>
      </x:c>
      <x:c r="T241" s="15" t="n">
        <x:f>'기준스탯 72종'!F17*G241</x:f>
        <x:v>1.2599999999999998</x:v>
      </x:c>
      <x:c r="U241" s="15" t="n">
        <x:f>'기준스탯 72종'!G17*G241</x:f>
        <x:v>0.8399999999999999</x:v>
      </x:c>
      <x:c r="V241" s="15" t="n">
        <x:f>'기준스탯 72종'!H17*G241</x:f>
        <x:v>0.27999999999999997</x:v>
      </x:c>
      <x:c r="W241" s="15" t="n">
        <x:f>'기준스탯 72종'!I17*G241</x:f>
        <x:v>0.5599999999999999</x:v>
      </x:c>
      <x:c r="X241" s="15" t="n">
        <x:f>'기준스탯 72종'!J17*G241</x:f>
        <x:v>0.41999999999999993</x:v>
      </x:c>
      <x:c r="Y241" s="15" t="n">
        <x:f>'기준스탯 72종'!K17*G241</x:f>
        <x:v>0.9799999999999999</x:v>
      </x:c>
      <x:c r="Z241" s="15" t="n">
        <x:f>'기준스탯 72종'!D17*H241</x:f>
        <x:v>1.0800000000000003</x:v>
      </x:c>
      <x:c r="AA241" s="15" t="n">
        <x:f>'기준스탯 72종'!E17*H241</x:f>
        <x:v>1.8000000000000005</x:v>
      </x:c>
      <x:c r="AB241" s="15" t="n">
        <x:f>'기준스탯 72종'!F17*H241</x:f>
        <x:v>1.6200000000000006</x:v>
      </x:c>
      <x:c r="AC241" s="15" t="n">
        <x:f>'기준스탯 72종'!G17*H241</x:f>
        <x:v>1.0800000000000003</x:v>
      </x:c>
      <x:c r="AD241" s="15" t="n">
        <x:f>'기준스탯 72종'!H17*H241</x:f>
        <x:v>0.3600000000000001</x:v>
      </x:c>
      <x:c r="AE241" s="15" t="n">
        <x:f>'기준스탯 72종'!I17*H241</x:f>
        <x:v>0.7200000000000002</x:v>
      </x:c>
      <x:c r="AF241" s="15" t="n">
        <x:f>'기준스탯 72종'!J17*H241</x:f>
        <x:v>0.5400000000000001</x:v>
      </x:c>
      <x:c r="AG241" s="15" t="n">
        <x:f>'기준스탯 72종'!K17*H241</x:f>
        <x:v>1.2600000000000002</x:v>
      </x:c>
    </x:row>
    <x:row r="242" ht="28" customHeight="1">
      <x:c r="A242" s="2" t="n">
        <x:v>235</x:v>
      </x:c>
      <x:c r="B242" s="2" t="n">
        <x:v>10</x:v>
      </x:c>
      <x:c r="C242" s="2" t="str">
        <x:v>황소자리</x:v>
      </x:c>
      <x:c r="D242" s="2" t="str">
        <x:v>정령사</x:v>
      </x:c>
      <x:c r="E242" s="2" t="n">
        <x:v>5</x:v>
      </x:c>
      <x:c r="F242" s="2" t="n">
        <x:v>2</x:v>
      </x:c>
      <x:c r="G242" s="14" t="n">
        <x:f>('레벨 계산식'!$E$4-E242)*'레벨 계산식'!$B$5</x:f>
        <x:v>0</x:v>
      </x:c>
      <x:c r="H242" s="14" t="n">
        <x:f>('등급 계산식'!$E$4-F242)*'등급 계산식'!$B$5</x:f>
        <x:v>0.18000000000000005</x:v>
      </x:c>
      <x:c r="I242" s="14" t="n">
        <x:f>1-G242-H242</x:f>
        <x:v>0.82</x:v>
      </x:c>
      <x:c r="J242" s="2" t="n">
        <x:f>MAX(1,ROUND('기준스탯 72종'!D17-R242-Z242,0))</x:f>
        <x:v>5</x:v>
      </x:c>
      <x:c r="K242" s="2" t="n">
        <x:f>MAX(1,ROUND('기준스탯 72종'!E17-S242-AA242,0))</x:f>
        <x:v>8</x:v>
      </x:c>
      <x:c r="L242" s="2" t="n">
        <x:f>MAX(1,ROUND('기준스탯 72종'!F17-T242-AB242,0))</x:f>
        <x:v>7</x:v>
      </x:c>
      <x:c r="M242" s="2" t="n">
        <x:f>MAX(1,ROUND('기준스탯 72종'!G17-U242-AC242,0))</x:f>
        <x:v>5</x:v>
      </x:c>
      <x:c r="N242" s="2" t="n">
        <x:f>MAX(0,ROUND('기준스탯 72종'!H17-V242-AD242,0))</x:f>
        <x:v>2</x:v>
      </x:c>
      <x:c r="O242" s="2" t="n">
        <x:f>MAX(0,ROUND('기준스탯 72종'!I17-W242-AE242,0))</x:f>
        <x:v>3</x:v>
      </x:c>
      <x:c r="P242" s="2" t="n">
        <x:f>MAX(0,ROUND('기준스탯 72종'!J17-X242-AF242,0))</x:f>
        <x:v>2</x:v>
      </x:c>
      <x:c r="Q242" s="2" t="n">
        <x:f>MAX(0,ROUND('기준스탯 72종'!K17-Y242-AG242,0))</x:f>
        <x:v>6</x:v>
      </x:c>
      <x:c r="R242" s="15" t="n">
        <x:f>'기준스탯 72종'!D17*G242</x:f>
        <x:v>0</x:v>
      </x:c>
      <x:c r="S242" s="15" t="n">
        <x:f>'기준스탯 72종'!E17*G242</x:f>
        <x:v>0</x:v>
      </x:c>
      <x:c r="T242" s="15" t="n">
        <x:f>'기준스탯 72종'!F17*G242</x:f>
        <x:v>0</x:v>
      </x:c>
      <x:c r="U242" s="15" t="n">
        <x:f>'기준스탯 72종'!G17*G242</x:f>
        <x:v>0</x:v>
      </x:c>
      <x:c r="V242" s="15" t="n">
        <x:f>'기준스탯 72종'!H17*G242</x:f>
        <x:v>0</x:v>
      </x:c>
      <x:c r="W242" s="15" t="n">
        <x:f>'기준스탯 72종'!I17*G242</x:f>
        <x:v>0</x:v>
      </x:c>
      <x:c r="X242" s="15" t="n">
        <x:f>'기준스탯 72종'!J17*G242</x:f>
        <x:v>0</x:v>
      </x:c>
      <x:c r="Y242" s="15" t="n">
        <x:f>'기준스탯 72종'!K17*G242</x:f>
        <x:v>0</x:v>
      </x:c>
      <x:c r="Z242" s="15" t="n">
        <x:f>'기준스탯 72종'!D17*H242</x:f>
        <x:v>1.0800000000000003</x:v>
      </x:c>
      <x:c r="AA242" s="15" t="n">
        <x:f>'기준스탯 72종'!E17*H242</x:f>
        <x:v>1.8000000000000005</x:v>
      </x:c>
      <x:c r="AB242" s="15" t="n">
        <x:f>'기준스탯 72종'!F17*H242</x:f>
        <x:v>1.6200000000000006</x:v>
      </x:c>
      <x:c r="AC242" s="15" t="n">
        <x:f>'기준스탯 72종'!G17*H242</x:f>
        <x:v>1.0800000000000003</x:v>
      </x:c>
      <x:c r="AD242" s="15" t="n">
        <x:f>'기준스탯 72종'!H17*H242</x:f>
        <x:v>0.3600000000000001</x:v>
      </x:c>
      <x:c r="AE242" s="15" t="n">
        <x:f>'기준스탯 72종'!I17*H242</x:f>
        <x:v>0.7200000000000002</x:v>
      </x:c>
      <x:c r="AF242" s="15" t="n">
        <x:f>'기준스탯 72종'!J17*H242</x:f>
        <x:v>0.5400000000000001</x:v>
      </x:c>
      <x:c r="AG242" s="15" t="n">
        <x:f>'기준스탯 72종'!K17*H242</x:f>
        <x:v>1.2600000000000002</x:v>
      </x:c>
    </x:row>
    <x:row r="243" ht="28" customHeight="1">
      <x:c r="A243" s="2" t="n">
        <x:v>236</x:v>
      </x:c>
      <x:c r="B243" s="2" t="n">
        <x:v>10</x:v>
      </x:c>
      <x:c r="C243" s="2" t="str">
        <x:v>황소자리</x:v>
      </x:c>
      <x:c r="D243" s="2" t="str">
        <x:v>정령사</x:v>
      </x:c>
      <x:c r="E243" s="2" t="n">
        <x:v>1</x:v>
      </x:c>
      <x:c r="F243" s="2" t="n">
        <x:v>3</x:v>
      </x:c>
      <x:c r="G243" s="14" t="n">
        <x:f>('레벨 계산식'!$E$4-E243)*'레벨 계산식'!$B$5</x:f>
        <x:v>0.5599999999999999</x:v>
      </x:c>
      <x:c r="H243" s="14" t="n">
        <x:f>('등급 계산식'!$E$4-F243)*'등급 계산식'!$B$5</x:f>
        <x:v>0.12000000000000002</x:v>
      </x:c>
      <x:c r="I243" s="14" t="n">
        <x:f>1-G243-H243</x:f>
        <x:v>0.32000000000000006</x:v>
      </x:c>
      <x:c r="J243" s="2" t="n">
        <x:f>MAX(1,ROUND('기준스탯 72종'!D17-R243-Z243,0))</x:f>
        <x:v>2</x:v>
      </x:c>
      <x:c r="K243" s="2" t="n">
        <x:f>MAX(1,ROUND('기준스탯 72종'!E17-S243-AA243,0))</x:f>
        <x:v>3</x:v>
      </x:c>
      <x:c r="L243" s="2" t="n">
        <x:f>MAX(1,ROUND('기준스탯 72종'!F17-T243-AB243,0))</x:f>
        <x:v>3</x:v>
      </x:c>
      <x:c r="M243" s="2" t="n">
        <x:f>MAX(1,ROUND('기준스탯 72종'!G17-U243-AC243,0))</x:f>
        <x:v>2</x:v>
      </x:c>
      <x:c r="N243" s="2" t="n">
        <x:f>MAX(0,ROUND('기준스탯 72종'!H17-V243-AD243,0))</x:f>
        <x:v>1</x:v>
      </x:c>
      <x:c r="O243" s="2" t="n">
        <x:f>MAX(0,ROUND('기준스탯 72종'!I17-W243-AE243,0))</x:f>
        <x:v>1</x:v>
      </x:c>
      <x:c r="P243" s="2" t="n">
        <x:f>MAX(0,ROUND('기준스탯 72종'!J17-X243-AF243,0))</x:f>
        <x:v>1</x:v>
      </x:c>
      <x:c r="Q243" s="2" t="n">
        <x:f>MAX(0,ROUND('기준스탯 72종'!K17-Y243-AG243,0))</x:f>
        <x:v>2</x:v>
      </x:c>
      <x:c r="R243" s="15" t="n">
        <x:f>'기준스탯 72종'!D17*G243</x:f>
        <x:v>3.3599999999999994</x:v>
      </x:c>
      <x:c r="S243" s="15" t="n">
        <x:f>'기준스탯 72종'!E17*G243</x:f>
        <x:v>5.6</x:v>
      </x:c>
      <x:c r="T243" s="15" t="n">
        <x:f>'기준스탯 72종'!F17*G243</x:f>
        <x:v>5.039999999999999</x:v>
      </x:c>
      <x:c r="U243" s="15" t="n">
        <x:f>'기준스탯 72종'!G17*G243</x:f>
        <x:v>3.3599999999999994</x:v>
      </x:c>
      <x:c r="V243" s="15" t="n">
        <x:f>'기준스탯 72종'!H17*G243</x:f>
        <x:v>1.1199999999999999</x:v>
      </x:c>
      <x:c r="W243" s="15" t="n">
        <x:f>'기준스탯 72종'!I17*G243</x:f>
        <x:v>2.2399999999999998</x:v>
      </x:c>
      <x:c r="X243" s="15" t="n">
        <x:f>'기준스탯 72종'!J17*G243</x:f>
        <x:v>1.6799999999999997</x:v>
      </x:c>
      <x:c r="Y243" s="15" t="n">
        <x:f>'기준스탯 72종'!K17*G243</x:f>
        <x:v>3.9199999999999995</x:v>
      </x:c>
      <x:c r="Z243" s="15" t="n">
        <x:f>'기준스탯 72종'!D17*H243</x:f>
        <x:v>0.7200000000000002</x:v>
      </x:c>
      <x:c r="AA243" s="15" t="n">
        <x:f>'기준스탯 72종'!E17*H243</x:f>
        <x:v>1.2000000000000002</x:v>
      </x:c>
      <x:c r="AB243" s="15" t="n">
        <x:f>'기준스탯 72종'!F17*H243</x:f>
        <x:v>1.0800000000000003</x:v>
      </x:c>
      <x:c r="AC243" s="15" t="n">
        <x:f>'기준스탯 72종'!G17*H243</x:f>
        <x:v>0.7200000000000002</x:v>
      </x:c>
      <x:c r="AD243" s="15" t="n">
        <x:f>'기준스탯 72종'!H17*H243</x:f>
        <x:v>0.24000000000000005</x:v>
      </x:c>
      <x:c r="AE243" s="15" t="n">
        <x:f>'기준스탯 72종'!I17*H243</x:f>
        <x:v>0.4800000000000001</x:v>
      </x:c>
      <x:c r="AF243" s="15" t="n">
        <x:f>'기준스탯 72종'!J17*H243</x:f>
        <x:v>0.3600000000000001</x:v>
      </x:c>
      <x:c r="AG243" s="15" t="n">
        <x:f>'기준스탯 72종'!K17*H243</x:f>
        <x:v>0.8400000000000002</x:v>
      </x:c>
    </x:row>
    <x:row r="244" ht="28" customHeight="1">
      <x:c r="A244" s="2" t="n">
        <x:v>237</x:v>
      </x:c>
      <x:c r="B244" s="2" t="n">
        <x:v>10</x:v>
      </x:c>
      <x:c r="C244" s="2" t="str">
        <x:v>황소자리</x:v>
      </x:c>
      <x:c r="D244" s="2" t="str">
        <x:v>정령사</x:v>
      </x:c>
      <x:c r="E244" s="2" t="n">
        <x:v>2</x:v>
      </x:c>
      <x:c r="F244" s="2" t="n">
        <x:v>3</x:v>
      </x:c>
      <x:c r="G244" s="14" t="n">
        <x:f>('레벨 계산식'!$E$4-E244)*'레벨 계산식'!$B$5</x:f>
        <x:v>0.41999999999999993</x:v>
      </x:c>
      <x:c r="H244" s="14" t="n">
        <x:f>('등급 계산식'!$E$4-F244)*'등급 계산식'!$B$5</x:f>
        <x:v>0.12000000000000002</x:v>
      </x:c>
      <x:c r="I244" s="14" t="n">
        <x:f>1-G244-H244</x:f>
        <x:v>0.4600000000000001</x:v>
      </x:c>
      <x:c r="J244" s="2" t="n">
        <x:f>MAX(1,ROUND('기준스탯 72종'!D17-R244-Z244,0))</x:f>
        <x:v>3</x:v>
      </x:c>
      <x:c r="K244" s="2" t="n">
        <x:f>MAX(1,ROUND('기준스탯 72종'!E17-S244-AA244,0))</x:f>
        <x:v>5</x:v>
      </x:c>
      <x:c r="L244" s="2" t="n">
        <x:f>MAX(1,ROUND('기준스탯 72종'!F17-T244-AB244,0))</x:f>
        <x:v>4</x:v>
      </x:c>
      <x:c r="M244" s="2" t="n">
        <x:f>MAX(1,ROUND('기준스탯 72종'!G17-U244-AC244,0))</x:f>
        <x:v>3</x:v>
      </x:c>
      <x:c r="N244" s="2" t="n">
        <x:f>MAX(0,ROUND('기준스탯 72종'!H17-V244-AD244,0))</x:f>
        <x:v>1</x:v>
      </x:c>
      <x:c r="O244" s="2" t="n">
        <x:f>MAX(0,ROUND('기준스탯 72종'!I17-W244-AE244,0))</x:f>
        <x:v>2</x:v>
      </x:c>
      <x:c r="P244" s="2" t="n">
        <x:f>MAX(0,ROUND('기준스탯 72종'!J17-X244-AF244,0))</x:f>
        <x:v>1</x:v>
      </x:c>
      <x:c r="Q244" s="2" t="n">
        <x:f>MAX(0,ROUND('기준스탯 72종'!K17-Y244-AG244,0))</x:f>
        <x:v>3</x:v>
      </x:c>
      <x:c r="R244" s="15" t="n">
        <x:f>'기준스탯 72종'!D17*G244</x:f>
        <x:v>2.5199999999999996</x:v>
      </x:c>
      <x:c r="S244" s="15" t="n">
        <x:f>'기준스탯 72종'!E17*G244</x:f>
        <x:v>4.199999999999999</x:v>
      </x:c>
      <x:c r="T244" s="15" t="n">
        <x:f>'기준스탯 72종'!F17*G244</x:f>
        <x:v>3.7799999999999994</x:v>
      </x:c>
      <x:c r="U244" s="15" t="n">
        <x:f>'기준스탯 72종'!G17*G244</x:f>
        <x:v>2.5199999999999996</x:v>
      </x:c>
      <x:c r="V244" s="15" t="n">
        <x:f>'기준스탯 72종'!H17*G244</x:f>
        <x:v>0.8399999999999999</x:v>
      </x:c>
      <x:c r="W244" s="15" t="n">
        <x:f>'기준스탯 72종'!I17*G244</x:f>
        <x:v>1.6799999999999997</x:v>
      </x:c>
      <x:c r="X244" s="15" t="n">
        <x:f>'기준스탯 72종'!J17*G244</x:f>
        <x:v>1.2599999999999998</x:v>
      </x:c>
      <x:c r="Y244" s="15" t="n">
        <x:f>'기준스탯 72종'!K17*G244</x:f>
        <x:v>2.9399999999999995</x:v>
      </x:c>
      <x:c r="Z244" s="15" t="n">
        <x:f>'기준스탯 72종'!D17*H244</x:f>
        <x:v>0.7200000000000002</x:v>
      </x:c>
      <x:c r="AA244" s="15" t="n">
        <x:f>'기준스탯 72종'!E17*H244</x:f>
        <x:v>1.2000000000000002</x:v>
      </x:c>
      <x:c r="AB244" s="15" t="n">
        <x:f>'기준스탯 72종'!F17*H244</x:f>
        <x:v>1.0800000000000003</x:v>
      </x:c>
      <x:c r="AC244" s="15" t="n">
        <x:f>'기준스탯 72종'!G17*H244</x:f>
        <x:v>0.7200000000000002</x:v>
      </x:c>
      <x:c r="AD244" s="15" t="n">
        <x:f>'기준스탯 72종'!H17*H244</x:f>
        <x:v>0.24000000000000005</x:v>
      </x:c>
      <x:c r="AE244" s="15" t="n">
        <x:f>'기준스탯 72종'!I17*H244</x:f>
        <x:v>0.4800000000000001</x:v>
      </x:c>
      <x:c r="AF244" s="15" t="n">
        <x:f>'기준스탯 72종'!J17*H244</x:f>
        <x:v>0.3600000000000001</x:v>
      </x:c>
      <x:c r="AG244" s="15" t="n">
        <x:f>'기준스탯 72종'!K17*H244</x:f>
        <x:v>0.8400000000000002</x:v>
      </x:c>
    </x:row>
    <x:row r="245" ht="28" customHeight="1">
      <x:c r="A245" s="2" t="n">
        <x:v>238</x:v>
      </x:c>
      <x:c r="B245" s="2" t="n">
        <x:v>10</x:v>
      </x:c>
      <x:c r="C245" s="2" t="str">
        <x:v>황소자리</x:v>
      </x:c>
      <x:c r="D245" s="2" t="str">
        <x:v>정령사</x:v>
      </x:c>
      <x:c r="E245" s="2" t="n">
        <x:v>3</x:v>
      </x:c>
      <x:c r="F245" s="2" t="n">
        <x:v>3</x:v>
      </x:c>
      <x:c r="G245" s="14" t="n">
        <x:f>('레벨 계산식'!$E$4-E245)*'레벨 계산식'!$B$5</x:f>
        <x:v>0.27999999999999997</x:v>
      </x:c>
      <x:c r="H245" s="14" t="n">
        <x:f>('등급 계산식'!$E$4-F245)*'등급 계산식'!$B$5</x:f>
        <x:v>0.12000000000000002</x:v>
      </x:c>
      <x:c r="I245" s="14" t="n">
        <x:f>1-G245-H245</x:f>
        <x:v>0.6</x:v>
      </x:c>
      <x:c r="J245" s="2" t="n">
        <x:f>MAX(1,ROUND('기준스탯 72종'!D17-R245-Z245,0))</x:f>
        <x:v>4</x:v>
      </x:c>
      <x:c r="K245" s="2" t="n">
        <x:f>MAX(1,ROUND('기준스탯 72종'!E17-S245-AA245,0))</x:f>
        <x:v>6</x:v>
      </x:c>
      <x:c r="L245" s="2" t="n">
        <x:f>MAX(1,ROUND('기준스탯 72종'!F17-T245-AB245,0))</x:f>
        <x:v>5</x:v>
      </x:c>
      <x:c r="M245" s="2" t="n">
        <x:f>MAX(1,ROUND('기준스탯 72종'!G17-U245-AC245,0))</x:f>
        <x:v>4</x:v>
      </x:c>
      <x:c r="N245" s="2" t="n">
        <x:f>MAX(0,ROUND('기준스탯 72종'!H17-V245-AD245,0))</x:f>
        <x:v>1</x:v>
      </x:c>
      <x:c r="O245" s="2" t="n">
        <x:f>MAX(0,ROUND('기준스탯 72종'!I17-W245-AE245,0))</x:f>
        <x:v>2</x:v>
      </x:c>
      <x:c r="P245" s="2" t="n">
        <x:f>MAX(0,ROUND('기준스탯 72종'!J17-X245-AF245,0))</x:f>
        <x:v>2</x:v>
      </x:c>
      <x:c r="Q245" s="2" t="n">
        <x:f>MAX(0,ROUND('기준스탯 72종'!K17-Y245-AG245,0))</x:f>
        <x:v>4</x:v>
      </x:c>
      <x:c r="R245" s="15" t="n">
        <x:f>'기준스탯 72종'!D17*G245</x:f>
        <x:v>1.6799999999999997</x:v>
      </x:c>
      <x:c r="S245" s="15" t="n">
        <x:f>'기준스탯 72종'!E17*G245</x:f>
        <x:v>2.8</x:v>
      </x:c>
      <x:c r="T245" s="15" t="n">
        <x:f>'기준스탯 72종'!F17*G245</x:f>
        <x:v>2.5199999999999996</x:v>
      </x:c>
      <x:c r="U245" s="15" t="n">
        <x:f>'기준스탯 72종'!G17*G245</x:f>
        <x:v>1.6799999999999997</x:v>
      </x:c>
      <x:c r="V245" s="15" t="n">
        <x:f>'기준스탯 72종'!H17*G245</x:f>
        <x:v>0.5599999999999999</x:v>
      </x:c>
      <x:c r="W245" s="15" t="n">
        <x:f>'기준스탯 72종'!I17*G245</x:f>
        <x:v>1.1199999999999999</x:v>
      </x:c>
      <x:c r="X245" s="15" t="n">
        <x:f>'기준스탯 72종'!J17*G245</x:f>
        <x:v>0.8399999999999999</x:v>
      </x:c>
      <x:c r="Y245" s="15" t="n">
        <x:f>'기준스탯 72종'!K17*G245</x:f>
        <x:v>1.9599999999999997</x:v>
      </x:c>
      <x:c r="Z245" s="15" t="n">
        <x:f>'기준스탯 72종'!D17*H245</x:f>
        <x:v>0.7200000000000002</x:v>
      </x:c>
      <x:c r="AA245" s="15" t="n">
        <x:f>'기준스탯 72종'!E17*H245</x:f>
        <x:v>1.2000000000000002</x:v>
      </x:c>
      <x:c r="AB245" s="15" t="n">
        <x:f>'기준스탯 72종'!F17*H245</x:f>
        <x:v>1.0800000000000003</x:v>
      </x:c>
      <x:c r="AC245" s="15" t="n">
        <x:f>'기준스탯 72종'!G17*H245</x:f>
        <x:v>0.7200000000000002</x:v>
      </x:c>
      <x:c r="AD245" s="15" t="n">
        <x:f>'기준스탯 72종'!H17*H245</x:f>
        <x:v>0.24000000000000005</x:v>
      </x:c>
      <x:c r="AE245" s="15" t="n">
        <x:f>'기준스탯 72종'!I17*H245</x:f>
        <x:v>0.4800000000000001</x:v>
      </x:c>
      <x:c r="AF245" s="15" t="n">
        <x:f>'기준스탯 72종'!J17*H245</x:f>
        <x:v>0.3600000000000001</x:v>
      </x:c>
      <x:c r="AG245" s="15" t="n">
        <x:f>'기준스탯 72종'!K17*H245</x:f>
        <x:v>0.8400000000000002</x:v>
      </x:c>
    </x:row>
    <x:row r="246" ht="28" customHeight="1">
      <x:c r="A246" s="2" t="n">
        <x:v>239</x:v>
      </x:c>
      <x:c r="B246" s="2" t="n">
        <x:v>10</x:v>
      </x:c>
      <x:c r="C246" s="2" t="str">
        <x:v>황소자리</x:v>
      </x:c>
      <x:c r="D246" s="2" t="str">
        <x:v>정령사</x:v>
      </x:c>
      <x:c r="E246" s="2" t="n">
        <x:v>4</x:v>
      </x:c>
      <x:c r="F246" s="2" t="n">
        <x:v>3</x:v>
      </x:c>
      <x:c r="G246" s="14" t="n">
        <x:f>('레벨 계산식'!$E$4-E246)*'레벨 계산식'!$B$5</x:f>
        <x:v>0.13999999999999999</x:v>
      </x:c>
      <x:c r="H246" s="14" t="n">
        <x:f>('등급 계산식'!$E$4-F246)*'등급 계산식'!$B$5</x:f>
        <x:v>0.12000000000000002</x:v>
      </x:c>
      <x:c r="I246" s="14" t="n">
        <x:f>1-G246-H246</x:f>
        <x:v>0.74</x:v>
      </x:c>
      <x:c r="J246" s="2" t="n">
        <x:f>MAX(1,ROUND('기준스탯 72종'!D17-R246-Z246,0))</x:f>
        <x:v>4</x:v>
      </x:c>
      <x:c r="K246" s="2" t="n">
        <x:f>MAX(1,ROUND('기준스탯 72종'!E17-S246-AA246,0))</x:f>
        <x:v>7</x:v>
      </x:c>
      <x:c r="L246" s="2" t="n">
        <x:f>MAX(1,ROUND('기준스탯 72종'!F17-T246-AB246,0))</x:f>
        <x:v>7</x:v>
      </x:c>
      <x:c r="M246" s="2" t="n">
        <x:f>MAX(1,ROUND('기준스탯 72종'!G17-U246-AC246,0))</x:f>
        <x:v>4</x:v>
      </x:c>
      <x:c r="N246" s="2" t="n">
        <x:f>MAX(0,ROUND('기준스탯 72종'!H17-V246-AD246,0))</x:f>
        <x:v>1</x:v>
      </x:c>
      <x:c r="O246" s="2" t="n">
        <x:f>MAX(0,ROUND('기준스탯 72종'!I17-W246-AE246,0))</x:f>
        <x:v>3</x:v>
      </x:c>
      <x:c r="P246" s="2" t="n">
        <x:f>MAX(0,ROUND('기준스탯 72종'!J17-X246-AF246,0))</x:f>
        <x:v>2</x:v>
      </x:c>
      <x:c r="Q246" s="2" t="n">
        <x:f>MAX(0,ROUND('기준스탯 72종'!K17-Y246-AG246,0))</x:f>
        <x:v>5</x:v>
      </x:c>
      <x:c r="R246" s="15" t="n">
        <x:f>'기준스탯 72종'!D17*G246</x:f>
        <x:v>0.8399999999999999</x:v>
      </x:c>
      <x:c r="S246" s="15" t="n">
        <x:f>'기준스탯 72종'!E17*G246</x:f>
        <x:v>1.4</x:v>
      </x:c>
      <x:c r="T246" s="15" t="n">
        <x:f>'기준스탯 72종'!F17*G246</x:f>
        <x:v>1.2599999999999998</x:v>
      </x:c>
      <x:c r="U246" s="15" t="n">
        <x:f>'기준스탯 72종'!G17*G246</x:f>
        <x:v>0.8399999999999999</x:v>
      </x:c>
      <x:c r="V246" s="15" t="n">
        <x:f>'기준스탯 72종'!H17*G246</x:f>
        <x:v>0.27999999999999997</x:v>
      </x:c>
      <x:c r="W246" s="15" t="n">
        <x:f>'기준스탯 72종'!I17*G246</x:f>
        <x:v>0.5599999999999999</x:v>
      </x:c>
      <x:c r="X246" s="15" t="n">
        <x:f>'기준스탯 72종'!J17*G246</x:f>
        <x:v>0.41999999999999993</x:v>
      </x:c>
      <x:c r="Y246" s="15" t="n">
        <x:f>'기준스탯 72종'!K17*G246</x:f>
        <x:v>0.9799999999999999</x:v>
      </x:c>
      <x:c r="Z246" s="15" t="n">
        <x:f>'기준스탯 72종'!D17*H246</x:f>
        <x:v>0.7200000000000002</x:v>
      </x:c>
      <x:c r="AA246" s="15" t="n">
        <x:f>'기준스탯 72종'!E17*H246</x:f>
        <x:v>1.2000000000000002</x:v>
      </x:c>
      <x:c r="AB246" s="15" t="n">
        <x:f>'기준스탯 72종'!F17*H246</x:f>
        <x:v>1.0800000000000003</x:v>
      </x:c>
      <x:c r="AC246" s="15" t="n">
        <x:f>'기준스탯 72종'!G17*H246</x:f>
        <x:v>0.7200000000000002</x:v>
      </x:c>
      <x:c r="AD246" s="15" t="n">
        <x:f>'기준스탯 72종'!H17*H246</x:f>
        <x:v>0.24000000000000005</x:v>
      </x:c>
      <x:c r="AE246" s="15" t="n">
        <x:f>'기준스탯 72종'!I17*H246</x:f>
        <x:v>0.4800000000000001</x:v>
      </x:c>
      <x:c r="AF246" s="15" t="n">
        <x:f>'기준스탯 72종'!J17*H246</x:f>
        <x:v>0.3600000000000001</x:v>
      </x:c>
      <x:c r="AG246" s="15" t="n">
        <x:f>'기준스탯 72종'!K17*H246</x:f>
        <x:v>0.8400000000000002</x:v>
      </x:c>
    </x:row>
    <x:row r="247" ht="28" customHeight="1">
      <x:c r="A247" s="2" t="n">
        <x:v>240</x:v>
      </x:c>
      <x:c r="B247" s="2" t="n">
        <x:v>10</x:v>
      </x:c>
      <x:c r="C247" s="2" t="str">
        <x:v>황소자리</x:v>
      </x:c>
      <x:c r="D247" s="2" t="str">
        <x:v>정령사</x:v>
      </x:c>
      <x:c r="E247" s="2" t="n">
        <x:v>5</x:v>
      </x:c>
      <x:c r="F247" s="2" t="n">
        <x:v>3</x:v>
      </x:c>
      <x:c r="G247" s="14" t="n">
        <x:f>('레벨 계산식'!$E$4-E247)*'레벨 계산식'!$B$5</x:f>
        <x:v>0</x:v>
      </x:c>
      <x:c r="H247" s="14" t="n">
        <x:f>('등급 계산식'!$E$4-F247)*'등급 계산식'!$B$5</x:f>
        <x:v>0.12000000000000002</x:v>
      </x:c>
      <x:c r="I247" s="14" t="n">
        <x:f>1-G247-H247</x:f>
        <x:v>0.88</x:v>
      </x:c>
      <x:c r="J247" s="2" t="n">
        <x:f>MAX(1,ROUND('기준스탯 72종'!D17-R247-Z247,0))</x:f>
        <x:v>5</x:v>
      </x:c>
      <x:c r="K247" s="2" t="n">
        <x:f>MAX(1,ROUND('기준스탯 72종'!E17-S247-AA247,0))</x:f>
        <x:v>9</x:v>
      </x:c>
      <x:c r="L247" s="2" t="n">
        <x:f>MAX(1,ROUND('기준스탯 72종'!F17-T247-AB247,0))</x:f>
        <x:v>8</x:v>
      </x:c>
      <x:c r="M247" s="2" t="n">
        <x:f>MAX(1,ROUND('기준스탯 72종'!G17-U247-AC247,0))</x:f>
        <x:v>5</x:v>
      </x:c>
      <x:c r="N247" s="2" t="n">
        <x:f>MAX(0,ROUND('기준스탯 72종'!H17-V247-AD247,0))</x:f>
        <x:v>2</x:v>
      </x:c>
      <x:c r="O247" s="2" t="n">
        <x:f>MAX(0,ROUND('기준스탯 72종'!I17-W247-AE247,0))</x:f>
        <x:v>4</x:v>
      </x:c>
      <x:c r="P247" s="2" t="n">
        <x:f>MAX(0,ROUND('기준스탯 72종'!J17-X247-AF247,0))</x:f>
        <x:v>3</x:v>
      </x:c>
      <x:c r="Q247" s="2" t="n">
        <x:f>MAX(0,ROUND('기준스탯 72종'!K17-Y247-AG247,0))</x:f>
        <x:v>6</x:v>
      </x:c>
      <x:c r="R247" s="15" t="n">
        <x:f>'기준스탯 72종'!D17*G247</x:f>
        <x:v>0</x:v>
      </x:c>
      <x:c r="S247" s="15" t="n">
        <x:f>'기준스탯 72종'!E17*G247</x:f>
        <x:v>0</x:v>
      </x:c>
      <x:c r="T247" s="15" t="n">
        <x:f>'기준스탯 72종'!F17*G247</x:f>
        <x:v>0</x:v>
      </x:c>
      <x:c r="U247" s="15" t="n">
        <x:f>'기준스탯 72종'!G17*G247</x:f>
        <x:v>0</x:v>
      </x:c>
      <x:c r="V247" s="15" t="n">
        <x:f>'기준스탯 72종'!H17*G247</x:f>
        <x:v>0</x:v>
      </x:c>
      <x:c r="W247" s="15" t="n">
        <x:f>'기준스탯 72종'!I17*G247</x:f>
        <x:v>0</x:v>
      </x:c>
      <x:c r="X247" s="15" t="n">
        <x:f>'기준스탯 72종'!J17*G247</x:f>
        <x:v>0</x:v>
      </x:c>
      <x:c r="Y247" s="15" t="n">
        <x:f>'기준스탯 72종'!K17*G247</x:f>
        <x:v>0</x:v>
      </x:c>
      <x:c r="Z247" s="15" t="n">
        <x:f>'기준스탯 72종'!D17*H247</x:f>
        <x:v>0.7200000000000002</x:v>
      </x:c>
      <x:c r="AA247" s="15" t="n">
        <x:f>'기준스탯 72종'!E17*H247</x:f>
        <x:v>1.2000000000000002</x:v>
      </x:c>
      <x:c r="AB247" s="15" t="n">
        <x:f>'기준스탯 72종'!F17*H247</x:f>
        <x:v>1.0800000000000003</x:v>
      </x:c>
      <x:c r="AC247" s="15" t="n">
        <x:f>'기준스탯 72종'!G17*H247</x:f>
        <x:v>0.7200000000000002</x:v>
      </x:c>
      <x:c r="AD247" s="15" t="n">
        <x:f>'기준스탯 72종'!H17*H247</x:f>
        <x:v>0.24000000000000005</x:v>
      </x:c>
      <x:c r="AE247" s="15" t="n">
        <x:f>'기준스탯 72종'!I17*H247</x:f>
        <x:v>0.4800000000000001</x:v>
      </x:c>
      <x:c r="AF247" s="15" t="n">
        <x:f>'기준스탯 72종'!J17*H247</x:f>
        <x:v>0.3600000000000001</x:v>
      </x:c>
      <x:c r="AG247" s="15" t="n">
        <x:f>'기준스탯 72종'!K17*H247</x:f>
        <x:v>0.8400000000000002</x:v>
      </x:c>
    </x:row>
    <x:row r="248" ht="28" customHeight="1">
      <x:c r="A248" s="2" t="n">
        <x:v>241</x:v>
      </x:c>
      <x:c r="B248" s="2" t="n">
        <x:v>10</x:v>
      </x:c>
      <x:c r="C248" s="2" t="str">
        <x:v>황소자리</x:v>
      </x:c>
      <x:c r="D248" s="2" t="str">
        <x:v>정령사</x:v>
      </x:c>
      <x:c r="E248" s="2" t="n">
        <x:v>1</x:v>
      </x:c>
      <x:c r="F248" s="2" t="n">
        <x:v>4</x:v>
      </x:c>
      <x:c r="G248" s="14" t="n">
        <x:f>('레벨 계산식'!$E$4-E248)*'레벨 계산식'!$B$5</x:f>
        <x:v>0.5599999999999999</x:v>
      </x:c>
      <x:c r="H248" s="14" t="n">
        <x:f>('등급 계산식'!$E$4-F248)*'등급 계산식'!$B$5</x:f>
        <x:v>0.06000000000000001</x:v>
      </x:c>
      <x:c r="I248" s="14" t="n">
        <x:f>1-G248-H248</x:f>
        <x:v>0.38000000000000006</x:v>
      </x:c>
      <x:c r="J248" s="2" t="n">
        <x:f>MAX(1,ROUND('기준스탯 72종'!D17-R248-Z248,0))</x:f>
        <x:v>2</x:v>
      </x:c>
      <x:c r="K248" s="2" t="n">
        <x:f>MAX(1,ROUND('기준스탯 72종'!E17-S248-AA248,0))</x:f>
        <x:v>4</x:v>
      </x:c>
      <x:c r="L248" s="2" t="n">
        <x:f>MAX(1,ROUND('기준스탯 72종'!F17-T248-AB248,0))</x:f>
        <x:v>3</x:v>
      </x:c>
      <x:c r="M248" s="2" t="n">
        <x:f>MAX(1,ROUND('기준스탯 72종'!G17-U248-AC248,0))</x:f>
        <x:v>2</x:v>
      </x:c>
      <x:c r="N248" s="2" t="n">
        <x:f>MAX(0,ROUND('기준스탯 72종'!H17-V248-AD248,0))</x:f>
        <x:v>1</x:v>
      </x:c>
      <x:c r="O248" s="2" t="n">
        <x:f>MAX(0,ROUND('기준스탯 72종'!I17-W248-AE248,0))</x:f>
        <x:v>2</x:v>
      </x:c>
      <x:c r="P248" s="2" t="n">
        <x:f>MAX(0,ROUND('기준스탯 72종'!J17-X248-AF248,0))</x:f>
        <x:v>1</x:v>
      </x:c>
      <x:c r="Q248" s="2" t="n">
        <x:f>MAX(0,ROUND('기준스탯 72종'!K17-Y248-AG248,0))</x:f>
        <x:v>3</x:v>
      </x:c>
      <x:c r="R248" s="15" t="n">
        <x:f>'기준스탯 72종'!D17*G248</x:f>
        <x:v>3.3599999999999994</x:v>
      </x:c>
      <x:c r="S248" s="15" t="n">
        <x:f>'기준스탯 72종'!E17*G248</x:f>
        <x:v>5.6</x:v>
      </x:c>
      <x:c r="T248" s="15" t="n">
        <x:f>'기준스탯 72종'!F17*G248</x:f>
        <x:v>5.039999999999999</x:v>
      </x:c>
      <x:c r="U248" s="15" t="n">
        <x:f>'기준스탯 72종'!G17*G248</x:f>
        <x:v>3.3599999999999994</x:v>
      </x:c>
      <x:c r="V248" s="15" t="n">
        <x:f>'기준스탯 72종'!H17*G248</x:f>
        <x:v>1.1199999999999999</x:v>
      </x:c>
      <x:c r="W248" s="15" t="n">
        <x:f>'기준스탯 72종'!I17*G248</x:f>
        <x:v>2.2399999999999998</x:v>
      </x:c>
      <x:c r="X248" s="15" t="n">
        <x:f>'기준스탯 72종'!J17*G248</x:f>
        <x:v>1.6799999999999997</x:v>
      </x:c>
      <x:c r="Y248" s="15" t="n">
        <x:f>'기준스탯 72종'!K17*G248</x:f>
        <x:v>3.9199999999999995</x:v>
      </x:c>
      <x:c r="Z248" s="15" t="n">
        <x:f>'기준스탯 72종'!D17*H248</x:f>
        <x:v>0.3600000000000001</x:v>
      </x:c>
      <x:c r="AA248" s="15" t="n">
        <x:f>'기준스탯 72종'!E17*H248</x:f>
        <x:v>0.6000000000000001</x:v>
      </x:c>
      <x:c r="AB248" s="15" t="n">
        <x:f>'기준스탯 72종'!F17*H248</x:f>
        <x:v>0.5400000000000001</x:v>
      </x:c>
      <x:c r="AC248" s="15" t="n">
        <x:f>'기준스탯 72종'!G17*H248</x:f>
        <x:v>0.3600000000000001</x:v>
      </x:c>
      <x:c r="AD248" s="15" t="n">
        <x:f>'기준스탯 72종'!H17*H248</x:f>
        <x:v>0.12000000000000002</x:v>
      </x:c>
      <x:c r="AE248" s="15" t="n">
        <x:f>'기준스탯 72종'!I17*H248</x:f>
        <x:v>0.24000000000000005</x:v>
      </x:c>
      <x:c r="AF248" s="15" t="n">
        <x:f>'기준스탯 72종'!J17*H248</x:f>
        <x:v>0.18000000000000005</x:v>
      </x:c>
      <x:c r="AG248" s="15" t="n">
        <x:f>'기준스탯 72종'!K17*H248</x:f>
        <x:v>0.4200000000000001</x:v>
      </x:c>
    </x:row>
    <x:row r="249" ht="28" customHeight="1">
      <x:c r="A249" s="2" t="n">
        <x:v>242</x:v>
      </x:c>
      <x:c r="B249" s="2" t="n">
        <x:v>10</x:v>
      </x:c>
      <x:c r="C249" s="2" t="str">
        <x:v>황소자리</x:v>
      </x:c>
      <x:c r="D249" s="2" t="str">
        <x:v>정령사</x:v>
      </x:c>
      <x:c r="E249" s="2" t="n">
        <x:v>2</x:v>
      </x:c>
      <x:c r="F249" s="2" t="n">
        <x:v>4</x:v>
      </x:c>
      <x:c r="G249" s="14" t="n">
        <x:f>('레벨 계산식'!$E$4-E249)*'레벨 계산식'!$B$5</x:f>
        <x:v>0.41999999999999993</x:v>
      </x:c>
      <x:c r="H249" s="14" t="n">
        <x:f>('등급 계산식'!$E$4-F249)*'등급 계산식'!$B$5</x:f>
        <x:v>0.06000000000000001</x:v>
      </x:c>
      <x:c r="I249" s="14" t="n">
        <x:f>1-G249-H249</x:f>
        <x:v>0.52</x:v>
      </x:c>
      <x:c r="J249" s="2" t="n">
        <x:f>MAX(1,ROUND('기준스탯 72종'!D17-R249-Z249,0))</x:f>
        <x:v>3</x:v>
      </x:c>
      <x:c r="K249" s="2" t="n">
        <x:f>MAX(1,ROUND('기준스탯 72종'!E17-S249-AA249,0))</x:f>
        <x:v>5</x:v>
      </x:c>
      <x:c r="L249" s="2" t="n">
        <x:f>MAX(1,ROUND('기준스탯 72종'!F17-T249-AB249,0))</x:f>
        <x:v>5</x:v>
      </x:c>
      <x:c r="M249" s="2" t="n">
        <x:f>MAX(1,ROUND('기준스탯 72종'!G17-U249-AC249,0))</x:f>
        <x:v>3</x:v>
      </x:c>
      <x:c r="N249" s="2" t="n">
        <x:f>MAX(0,ROUND('기준스탯 72종'!H17-V249-AD249,0))</x:f>
        <x:v>1</x:v>
      </x:c>
      <x:c r="O249" s="2" t="n">
        <x:f>MAX(0,ROUND('기준스탯 72종'!I17-W249-AE249,0))</x:f>
        <x:v>2</x:v>
      </x:c>
      <x:c r="P249" s="2" t="n">
        <x:f>MAX(0,ROUND('기준스탯 72종'!J17-X249-AF249,0))</x:f>
        <x:v>2</x:v>
      </x:c>
      <x:c r="Q249" s="2" t="n">
        <x:f>MAX(0,ROUND('기준스탯 72종'!K17-Y249-AG249,0))</x:f>
        <x:v>4</x:v>
      </x:c>
      <x:c r="R249" s="15" t="n">
        <x:f>'기준스탯 72종'!D17*G249</x:f>
        <x:v>2.5199999999999996</x:v>
      </x:c>
      <x:c r="S249" s="15" t="n">
        <x:f>'기준스탯 72종'!E17*G249</x:f>
        <x:v>4.199999999999999</x:v>
      </x:c>
      <x:c r="T249" s="15" t="n">
        <x:f>'기준스탯 72종'!F17*G249</x:f>
        <x:v>3.7799999999999994</x:v>
      </x:c>
      <x:c r="U249" s="15" t="n">
        <x:f>'기준스탯 72종'!G17*G249</x:f>
        <x:v>2.5199999999999996</x:v>
      </x:c>
      <x:c r="V249" s="15" t="n">
        <x:f>'기준스탯 72종'!H17*G249</x:f>
        <x:v>0.8399999999999999</x:v>
      </x:c>
      <x:c r="W249" s="15" t="n">
        <x:f>'기준스탯 72종'!I17*G249</x:f>
        <x:v>1.6799999999999997</x:v>
      </x:c>
      <x:c r="X249" s="15" t="n">
        <x:f>'기준스탯 72종'!J17*G249</x:f>
        <x:v>1.2599999999999998</x:v>
      </x:c>
      <x:c r="Y249" s="15" t="n">
        <x:f>'기준스탯 72종'!K17*G249</x:f>
        <x:v>2.9399999999999995</x:v>
      </x:c>
      <x:c r="Z249" s="15" t="n">
        <x:f>'기준스탯 72종'!D17*H249</x:f>
        <x:v>0.3600000000000001</x:v>
      </x:c>
      <x:c r="AA249" s="15" t="n">
        <x:f>'기준스탯 72종'!E17*H249</x:f>
        <x:v>0.6000000000000001</x:v>
      </x:c>
      <x:c r="AB249" s="15" t="n">
        <x:f>'기준스탯 72종'!F17*H249</x:f>
        <x:v>0.5400000000000001</x:v>
      </x:c>
      <x:c r="AC249" s="15" t="n">
        <x:f>'기준스탯 72종'!G17*H249</x:f>
        <x:v>0.3600000000000001</x:v>
      </x:c>
      <x:c r="AD249" s="15" t="n">
        <x:f>'기준스탯 72종'!H17*H249</x:f>
        <x:v>0.12000000000000002</x:v>
      </x:c>
      <x:c r="AE249" s="15" t="n">
        <x:f>'기준스탯 72종'!I17*H249</x:f>
        <x:v>0.24000000000000005</x:v>
      </x:c>
      <x:c r="AF249" s="15" t="n">
        <x:f>'기준스탯 72종'!J17*H249</x:f>
        <x:v>0.18000000000000005</x:v>
      </x:c>
      <x:c r="AG249" s="15" t="n">
        <x:f>'기준스탯 72종'!K17*H249</x:f>
        <x:v>0.4200000000000001</x:v>
      </x:c>
    </x:row>
    <x:row r="250" ht="28" customHeight="1">
      <x:c r="A250" s="2" t="n">
        <x:v>243</x:v>
      </x:c>
      <x:c r="B250" s="2" t="n">
        <x:v>10</x:v>
      </x:c>
      <x:c r="C250" s="2" t="str">
        <x:v>황소자리</x:v>
      </x:c>
      <x:c r="D250" s="2" t="str">
        <x:v>정령사</x:v>
      </x:c>
      <x:c r="E250" s="2" t="n">
        <x:v>3</x:v>
      </x:c>
      <x:c r="F250" s="2" t="n">
        <x:v>4</x:v>
      </x:c>
      <x:c r="G250" s="14" t="n">
        <x:f>('레벨 계산식'!$E$4-E250)*'레벨 계산식'!$B$5</x:f>
        <x:v>0.27999999999999997</x:v>
      </x:c>
      <x:c r="H250" s="14" t="n">
        <x:f>('등급 계산식'!$E$4-F250)*'등급 계산식'!$B$5</x:f>
        <x:v>0.06000000000000001</x:v>
      </x:c>
      <x:c r="I250" s="14" t="n">
        <x:f>1-G250-H250</x:f>
        <x:v>0.6599999999999999</x:v>
      </x:c>
      <x:c r="J250" s="2" t="n">
        <x:f>MAX(1,ROUND('기준스탯 72종'!D17-R250-Z250,0))</x:f>
        <x:v>4</x:v>
      </x:c>
      <x:c r="K250" s="2" t="n">
        <x:f>MAX(1,ROUND('기준스탯 72종'!E17-S250-AA250,0))</x:f>
        <x:v>7</x:v>
      </x:c>
      <x:c r="L250" s="2" t="n">
        <x:f>MAX(1,ROUND('기준스탯 72종'!F17-T250-AB250,0))</x:f>
        <x:v>6</x:v>
      </x:c>
      <x:c r="M250" s="2" t="n">
        <x:f>MAX(1,ROUND('기준스탯 72종'!G17-U250-AC250,0))</x:f>
        <x:v>4</x:v>
      </x:c>
      <x:c r="N250" s="2" t="n">
        <x:f>MAX(0,ROUND('기준스탯 72종'!H17-V250-AD250,0))</x:f>
        <x:v>1</x:v>
      </x:c>
      <x:c r="O250" s="2" t="n">
        <x:f>MAX(0,ROUND('기준스탯 72종'!I17-W250-AE250,0))</x:f>
        <x:v>3</x:v>
      </x:c>
      <x:c r="P250" s="2" t="n">
        <x:f>MAX(0,ROUND('기준스탯 72종'!J17-X250-AF250,0))</x:f>
        <x:v>2</x:v>
      </x:c>
      <x:c r="Q250" s="2" t="n">
        <x:f>MAX(0,ROUND('기준스탯 72종'!K17-Y250-AG250,0))</x:f>
        <x:v>5</x:v>
      </x:c>
      <x:c r="R250" s="15" t="n">
        <x:f>'기준스탯 72종'!D17*G250</x:f>
        <x:v>1.6799999999999997</x:v>
      </x:c>
      <x:c r="S250" s="15" t="n">
        <x:f>'기준스탯 72종'!E17*G250</x:f>
        <x:v>2.8</x:v>
      </x:c>
      <x:c r="T250" s="15" t="n">
        <x:f>'기준스탯 72종'!F17*G250</x:f>
        <x:v>2.5199999999999996</x:v>
      </x:c>
      <x:c r="U250" s="15" t="n">
        <x:f>'기준스탯 72종'!G17*G250</x:f>
        <x:v>1.6799999999999997</x:v>
      </x:c>
      <x:c r="V250" s="15" t="n">
        <x:f>'기준스탯 72종'!H17*G250</x:f>
        <x:v>0.5599999999999999</x:v>
      </x:c>
      <x:c r="W250" s="15" t="n">
        <x:f>'기준스탯 72종'!I17*G250</x:f>
        <x:v>1.1199999999999999</x:v>
      </x:c>
      <x:c r="X250" s="15" t="n">
        <x:f>'기준스탯 72종'!J17*G250</x:f>
        <x:v>0.8399999999999999</x:v>
      </x:c>
      <x:c r="Y250" s="15" t="n">
        <x:f>'기준스탯 72종'!K17*G250</x:f>
        <x:v>1.9599999999999997</x:v>
      </x:c>
      <x:c r="Z250" s="15" t="n">
        <x:f>'기준스탯 72종'!D17*H250</x:f>
        <x:v>0.3600000000000001</x:v>
      </x:c>
      <x:c r="AA250" s="15" t="n">
        <x:f>'기준스탯 72종'!E17*H250</x:f>
        <x:v>0.6000000000000001</x:v>
      </x:c>
      <x:c r="AB250" s="15" t="n">
        <x:f>'기준스탯 72종'!F17*H250</x:f>
        <x:v>0.5400000000000001</x:v>
      </x:c>
      <x:c r="AC250" s="15" t="n">
        <x:f>'기준스탯 72종'!G17*H250</x:f>
        <x:v>0.3600000000000001</x:v>
      </x:c>
      <x:c r="AD250" s="15" t="n">
        <x:f>'기준스탯 72종'!H17*H250</x:f>
        <x:v>0.12000000000000002</x:v>
      </x:c>
      <x:c r="AE250" s="15" t="n">
        <x:f>'기준스탯 72종'!I17*H250</x:f>
        <x:v>0.24000000000000005</x:v>
      </x:c>
      <x:c r="AF250" s="15" t="n">
        <x:f>'기준스탯 72종'!J17*H250</x:f>
        <x:v>0.18000000000000005</x:v>
      </x:c>
      <x:c r="AG250" s="15" t="n">
        <x:f>'기준스탯 72종'!K17*H250</x:f>
        <x:v>0.4200000000000001</x:v>
      </x:c>
    </x:row>
    <x:row r="251" ht="28" customHeight="1">
      <x:c r="A251" s="2" t="n">
        <x:v>244</x:v>
      </x:c>
      <x:c r="B251" s="2" t="n">
        <x:v>10</x:v>
      </x:c>
      <x:c r="C251" s="2" t="str">
        <x:v>황소자리</x:v>
      </x:c>
      <x:c r="D251" s="2" t="str">
        <x:v>정령사</x:v>
      </x:c>
      <x:c r="E251" s="2" t="n">
        <x:v>4</x:v>
      </x:c>
      <x:c r="F251" s="2" t="n">
        <x:v>4</x:v>
      </x:c>
      <x:c r="G251" s="14" t="n">
        <x:f>('레벨 계산식'!$E$4-E251)*'레벨 계산식'!$B$5</x:f>
        <x:v>0.13999999999999999</x:v>
      </x:c>
      <x:c r="H251" s="14" t="n">
        <x:f>('등급 계산식'!$E$4-F251)*'등급 계산식'!$B$5</x:f>
        <x:v>0.06000000000000001</x:v>
      </x:c>
      <x:c r="I251" s="14" t="n">
        <x:f>1-G251-H251</x:f>
        <x:v>0.7999999999999999</x:v>
      </x:c>
      <x:c r="J251" s="2" t="n">
        <x:f>MAX(1,ROUND('기준스탯 72종'!D17-R251-Z251,0))</x:f>
        <x:v>5</x:v>
      </x:c>
      <x:c r="K251" s="2" t="n">
        <x:f>MAX(1,ROUND('기준스탯 72종'!E17-S251-AA251,0))</x:f>
        <x:v>8</x:v>
      </x:c>
      <x:c r="L251" s="2" t="n">
        <x:f>MAX(1,ROUND('기준스탯 72종'!F17-T251-AB251,0))</x:f>
        <x:v>7</x:v>
      </x:c>
      <x:c r="M251" s="2" t="n">
        <x:f>MAX(1,ROUND('기준스탯 72종'!G17-U251-AC251,0))</x:f>
        <x:v>5</x:v>
      </x:c>
      <x:c r="N251" s="2" t="n">
        <x:f>MAX(0,ROUND('기준스탯 72종'!H17-V251-AD251,0))</x:f>
        <x:v>2</x:v>
      </x:c>
      <x:c r="O251" s="2" t="n">
        <x:f>MAX(0,ROUND('기준스탯 72종'!I17-W251-AE251,0))</x:f>
        <x:v>3</x:v>
      </x:c>
      <x:c r="P251" s="2" t="n">
        <x:f>MAX(0,ROUND('기준스탯 72종'!J17-X251-AF251,0))</x:f>
        <x:v>2</x:v>
      </x:c>
      <x:c r="Q251" s="2" t="n">
        <x:f>MAX(0,ROUND('기준스탯 72종'!K17-Y251-AG251,0))</x:f>
        <x:v>6</x:v>
      </x:c>
      <x:c r="R251" s="15" t="n">
        <x:f>'기준스탯 72종'!D17*G251</x:f>
        <x:v>0.8399999999999999</x:v>
      </x:c>
      <x:c r="S251" s="15" t="n">
        <x:f>'기준스탯 72종'!E17*G251</x:f>
        <x:v>1.4</x:v>
      </x:c>
      <x:c r="T251" s="15" t="n">
        <x:f>'기준스탯 72종'!F17*G251</x:f>
        <x:v>1.2599999999999998</x:v>
      </x:c>
      <x:c r="U251" s="15" t="n">
        <x:f>'기준스탯 72종'!G17*G251</x:f>
        <x:v>0.8399999999999999</x:v>
      </x:c>
      <x:c r="V251" s="15" t="n">
        <x:f>'기준스탯 72종'!H17*G251</x:f>
        <x:v>0.27999999999999997</x:v>
      </x:c>
      <x:c r="W251" s="15" t="n">
        <x:f>'기준스탯 72종'!I17*G251</x:f>
        <x:v>0.5599999999999999</x:v>
      </x:c>
      <x:c r="X251" s="15" t="n">
        <x:f>'기준스탯 72종'!J17*G251</x:f>
        <x:v>0.41999999999999993</x:v>
      </x:c>
      <x:c r="Y251" s="15" t="n">
        <x:f>'기준스탯 72종'!K17*G251</x:f>
        <x:v>0.9799999999999999</x:v>
      </x:c>
      <x:c r="Z251" s="15" t="n">
        <x:f>'기준스탯 72종'!D17*H251</x:f>
        <x:v>0.3600000000000001</x:v>
      </x:c>
      <x:c r="AA251" s="15" t="n">
        <x:f>'기준스탯 72종'!E17*H251</x:f>
        <x:v>0.6000000000000001</x:v>
      </x:c>
      <x:c r="AB251" s="15" t="n">
        <x:f>'기준스탯 72종'!F17*H251</x:f>
        <x:v>0.5400000000000001</x:v>
      </x:c>
      <x:c r="AC251" s="15" t="n">
        <x:f>'기준스탯 72종'!G17*H251</x:f>
        <x:v>0.3600000000000001</x:v>
      </x:c>
      <x:c r="AD251" s="15" t="n">
        <x:f>'기준스탯 72종'!H17*H251</x:f>
        <x:v>0.12000000000000002</x:v>
      </x:c>
      <x:c r="AE251" s="15" t="n">
        <x:f>'기준스탯 72종'!I17*H251</x:f>
        <x:v>0.24000000000000005</x:v>
      </x:c>
      <x:c r="AF251" s="15" t="n">
        <x:f>'기준스탯 72종'!J17*H251</x:f>
        <x:v>0.18000000000000005</x:v>
      </x:c>
      <x:c r="AG251" s="15" t="n">
        <x:f>'기준스탯 72종'!K17*H251</x:f>
        <x:v>0.4200000000000001</x:v>
      </x:c>
    </x:row>
    <x:row r="252" ht="28" customHeight="1">
      <x:c r="A252" s="2" t="n">
        <x:v>245</x:v>
      </x:c>
      <x:c r="B252" s="2" t="n">
        <x:v>10</x:v>
      </x:c>
      <x:c r="C252" s="2" t="str">
        <x:v>황소자리</x:v>
      </x:c>
      <x:c r="D252" s="2" t="str">
        <x:v>정령사</x:v>
      </x:c>
      <x:c r="E252" s="2" t="n">
        <x:v>5</x:v>
      </x:c>
      <x:c r="F252" s="2" t="n">
        <x:v>4</x:v>
      </x:c>
      <x:c r="G252" s="14" t="n">
        <x:f>('레벨 계산식'!$E$4-E252)*'레벨 계산식'!$B$5</x:f>
        <x:v>0</x:v>
      </x:c>
      <x:c r="H252" s="14" t="n">
        <x:f>('등급 계산식'!$E$4-F252)*'등급 계산식'!$B$5</x:f>
        <x:v>0.06000000000000001</x:v>
      </x:c>
      <x:c r="I252" s="14" t="n">
        <x:f>1-G252-H252</x:f>
        <x:v>0.94</x:v>
      </x:c>
      <x:c r="J252" s="2" t="n">
        <x:f>MAX(1,ROUND('기준스탯 72종'!D17-R252-Z252,0))</x:f>
        <x:v>6</x:v>
      </x:c>
      <x:c r="K252" s="2" t="n">
        <x:f>MAX(1,ROUND('기준스탯 72종'!E17-S252-AA252,0))</x:f>
        <x:v>9</x:v>
      </x:c>
      <x:c r="L252" s="2" t="n">
        <x:f>MAX(1,ROUND('기준스탯 72종'!F17-T252-AB252,0))</x:f>
        <x:v>8</x:v>
      </x:c>
      <x:c r="M252" s="2" t="n">
        <x:f>MAX(1,ROUND('기준스탯 72종'!G17-U252-AC252,0))</x:f>
        <x:v>6</x:v>
      </x:c>
      <x:c r="N252" s="2" t="n">
        <x:f>MAX(0,ROUND('기준스탯 72종'!H17-V252-AD252,0))</x:f>
        <x:v>2</x:v>
      </x:c>
      <x:c r="O252" s="2" t="n">
        <x:f>MAX(0,ROUND('기준스탯 72종'!I17-W252-AE252,0))</x:f>
        <x:v>4</x:v>
      </x:c>
      <x:c r="P252" s="2" t="n">
        <x:f>MAX(0,ROUND('기준스탯 72종'!J17-X252-AF252,0))</x:f>
        <x:v>3</x:v>
      </x:c>
      <x:c r="Q252" s="2" t="n">
        <x:f>MAX(0,ROUND('기준스탯 72종'!K17-Y252-AG252,0))</x:f>
        <x:v>7</x:v>
      </x:c>
      <x:c r="R252" s="15" t="n">
        <x:f>'기준스탯 72종'!D17*G252</x:f>
        <x:v>0</x:v>
      </x:c>
      <x:c r="S252" s="15" t="n">
        <x:f>'기준스탯 72종'!E17*G252</x:f>
        <x:v>0</x:v>
      </x:c>
      <x:c r="T252" s="15" t="n">
        <x:f>'기준스탯 72종'!F17*G252</x:f>
        <x:v>0</x:v>
      </x:c>
      <x:c r="U252" s="15" t="n">
        <x:f>'기준스탯 72종'!G17*G252</x:f>
        <x:v>0</x:v>
      </x:c>
      <x:c r="V252" s="15" t="n">
        <x:f>'기준스탯 72종'!H17*G252</x:f>
        <x:v>0</x:v>
      </x:c>
      <x:c r="W252" s="15" t="n">
        <x:f>'기준스탯 72종'!I17*G252</x:f>
        <x:v>0</x:v>
      </x:c>
      <x:c r="X252" s="15" t="n">
        <x:f>'기준스탯 72종'!J17*G252</x:f>
        <x:v>0</x:v>
      </x:c>
      <x:c r="Y252" s="15" t="n">
        <x:f>'기준스탯 72종'!K17*G252</x:f>
        <x:v>0</x:v>
      </x:c>
      <x:c r="Z252" s="15" t="n">
        <x:f>'기준스탯 72종'!D17*H252</x:f>
        <x:v>0.3600000000000001</x:v>
      </x:c>
      <x:c r="AA252" s="15" t="n">
        <x:f>'기준스탯 72종'!E17*H252</x:f>
        <x:v>0.6000000000000001</x:v>
      </x:c>
      <x:c r="AB252" s="15" t="n">
        <x:f>'기준스탯 72종'!F17*H252</x:f>
        <x:v>0.5400000000000001</x:v>
      </x:c>
      <x:c r="AC252" s="15" t="n">
        <x:f>'기준스탯 72종'!G17*H252</x:f>
        <x:v>0.3600000000000001</x:v>
      </x:c>
      <x:c r="AD252" s="15" t="n">
        <x:f>'기준스탯 72종'!H17*H252</x:f>
        <x:v>0.12000000000000002</x:v>
      </x:c>
      <x:c r="AE252" s="15" t="n">
        <x:f>'기준스탯 72종'!I17*H252</x:f>
        <x:v>0.24000000000000005</x:v>
      </x:c>
      <x:c r="AF252" s="15" t="n">
        <x:f>'기준스탯 72종'!J17*H252</x:f>
        <x:v>0.18000000000000005</x:v>
      </x:c>
      <x:c r="AG252" s="15" t="n">
        <x:f>'기준스탯 72종'!K17*H252</x:f>
        <x:v>0.4200000000000001</x:v>
      </x:c>
    </x:row>
    <x:row r="253" ht="28" customHeight="1">
      <x:c r="A253" s="2" t="n">
        <x:v>246</x:v>
      </x:c>
      <x:c r="B253" s="2" t="n">
        <x:v>10</x:v>
      </x:c>
      <x:c r="C253" s="2" t="str">
        <x:v>황소자리</x:v>
      </x:c>
      <x:c r="D253" s="2" t="str">
        <x:v>정령사</x:v>
      </x:c>
      <x:c r="E253" s="2" t="n">
        <x:v>1</x:v>
      </x:c>
      <x:c r="F253" s="2" t="n">
        <x:v>5</x:v>
      </x:c>
      <x:c r="G253" s="14" t="n">
        <x:f>('레벨 계산식'!$E$4-E253)*'레벨 계산식'!$B$5</x:f>
        <x:v>0.5599999999999999</x:v>
      </x:c>
      <x:c r="H253" s="14" t="n">
        <x:f>('등급 계산식'!$E$4-F253)*'등급 계산식'!$B$5</x:f>
        <x:v>0</x:v>
      </x:c>
      <x:c r="I253" s="14" t="n">
        <x:f>1-G253-H253</x:f>
        <x:v>0.44000000000000006</x:v>
      </x:c>
      <x:c r="J253" s="2" t="n">
        <x:f>MAX(1,ROUND('기준스탯 72종'!D17-R253-Z253,0))</x:f>
        <x:v>3</x:v>
      </x:c>
      <x:c r="K253" s="2" t="n">
        <x:f>MAX(1,ROUND('기준스탯 72종'!E17-S253-AA253,0))</x:f>
        <x:v>4</x:v>
      </x:c>
      <x:c r="L253" s="2" t="n">
        <x:f>MAX(1,ROUND('기준스탯 72종'!F17-T253-AB253,0))</x:f>
        <x:v>4</x:v>
      </x:c>
      <x:c r="M253" s="2" t="n">
        <x:f>MAX(1,ROUND('기준스탯 72종'!G17-U253-AC253,0))</x:f>
        <x:v>3</x:v>
      </x:c>
      <x:c r="N253" s="2" t="n">
        <x:f>MAX(0,ROUND('기준스탯 72종'!H17-V253-AD253,0))</x:f>
        <x:v>1</x:v>
      </x:c>
      <x:c r="O253" s="2" t="n">
        <x:f>MAX(0,ROUND('기준스탯 72종'!I17-W253-AE253,0))</x:f>
        <x:v>2</x:v>
      </x:c>
      <x:c r="P253" s="2" t="n">
        <x:f>MAX(0,ROUND('기준스탯 72종'!J17-X253-AF253,0))</x:f>
        <x:v>1</x:v>
      </x:c>
      <x:c r="Q253" s="2" t="n">
        <x:f>MAX(0,ROUND('기준스탯 72종'!K17-Y253-AG253,0))</x:f>
        <x:v>3</x:v>
      </x:c>
      <x:c r="R253" s="15" t="n">
        <x:f>'기준스탯 72종'!D17*G253</x:f>
        <x:v>3.3599999999999994</x:v>
      </x:c>
      <x:c r="S253" s="15" t="n">
        <x:f>'기준스탯 72종'!E17*G253</x:f>
        <x:v>5.6</x:v>
      </x:c>
      <x:c r="T253" s="15" t="n">
        <x:f>'기준스탯 72종'!F17*G253</x:f>
        <x:v>5.039999999999999</x:v>
      </x:c>
      <x:c r="U253" s="15" t="n">
        <x:f>'기준스탯 72종'!G17*G253</x:f>
        <x:v>3.3599999999999994</x:v>
      </x:c>
      <x:c r="V253" s="15" t="n">
        <x:f>'기준스탯 72종'!H17*G253</x:f>
        <x:v>1.1199999999999999</x:v>
      </x:c>
      <x:c r="W253" s="15" t="n">
        <x:f>'기준스탯 72종'!I17*G253</x:f>
        <x:v>2.2399999999999998</x:v>
      </x:c>
      <x:c r="X253" s="15" t="n">
        <x:f>'기준스탯 72종'!J17*G253</x:f>
        <x:v>1.6799999999999997</x:v>
      </x:c>
      <x:c r="Y253" s="15" t="n">
        <x:f>'기준스탯 72종'!K17*G253</x:f>
        <x:v>3.9199999999999995</x:v>
      </x:c>
      <x:c r="Z253" s="15" t="n">
        <x:f>'기준스탯 72종'!D17*H253</x:f>
        <x:v>0</x:v>
      </x:c>
      <x:c r="AA253" s="15" t="n">
        <x:f>'기준스탯 72종'!E17*H253</x:f>
        <x:v>0</x:v>
      </x:c>
      <x:c r="AB253" s="15" t="n">
        <x:f>'기준스탯 72종'!F17*H253</x:f>
        <x:v>0</x:v>
      </x:c>
      <x:c r="AC253" s="15" t="n">
        <x:f>'기준스탯 72종'!G17*H253</x:f>
        <x:v>0</x:v>
      </x:c>
      <x:c r="AD253" s="15" t="n">
        <x:f>'기준스탯 72종'!H17*H253</x:f>
        <x:v>0</x:v>
      </x:c>
      <x:c r="AE253" s="15" t="n">
        <x:f>'기준스탯 72종'!I17*H253</x:f>
        <x:v>0</x:v>
      </x:c>
      <x:c r="AF253" s="15" t="n">
        <x:f>'기준스탯 72종'!J17*H253</x:f>
        <x:v>0</x:v>
      </x:c>
      <x:c r="AG253" s="15" t="n">
        <x:f>'기준스탯 72종'!K17*H253</x:f>
        <x:v>0</x:v>
      </x:c>
    </x:row>
    <x:row r="254" ht="28" customHeight="1">
      <x:c r="A254" s="2" t="n">
        <x:v>247</x:v>
      </x:c>
      <x:c r="B254" s="2" t="n">
        <x:v>10</x:v>
      </x:c>
      <x:c r="C254" s="2" t="str">
        <x:v>황소자리</x:v>
      </x:c>
      <x:c r="D254" s="2" t="str">
        <x:v>정령사</x:v>
      </x:c>
      <x:c r="E254" s="2" t="n">
        <x:v>2</x:v>
      </x:c>
      <x:c r="F254" s="2" t="n">
        <x:v>5</x:v>
      </x:c>
      <x:c r="G254" s="14" t="n">
        <x:f>('레벨 계산식'!$E$4-E254)*'레벨 계산식'!$B$5</x:f>
        <x:v>0.41999999999999993</x:v>
      </x:c>
      <x:c r="H254" s="14" t="n">
        <x:f>('등급 계산식'!$E$4-F254)*'등급 계산식'!$B$5</x:f>
        <x:v>0</x:v>
      </x:c>
      <x:c r="I254" s="14" t="n">
        <x:f>1-G254-H254</x:f>
        <x:v>0.5800000000000001</x:v>
      </x:c>
      <x:c r="J254" s="2" t="n">
        <x:f>MAX(1,ROUND('기준스탯 72종'!D17-R254-Z254,0))</x:f>
        <x:v>3</x:v>
      </x:c>
      <x:c r="K254" s="2" t="n">
        <x:f>MAX(1,ROUND('기준스탯 72종'!E17-S254-AA254,0))</x:f>
        <x:v>6</x:v>
      </x:c>
      <x:c r="L254" s="2" t="n">
        <x:f>MAX(1,ROUND('기준스탯 72종'!F17-T254-AB254,0))</x:f>
        <x:v>5</x:v>
      </x:c>
      <x:c r="M254" s="2" t="n">
        <x:f>MAX(1,ROUND('기준스탯 72종'!G17-U254-AC254,0))</x:f>
        <x:v>3</x:v>
      </x:c>
      <x:c r="N254" s="2" t="n">
        <x:f>MAX(0,ROUND('기준스탯 72종'!H17-V254-AD254,0))</x:f>
        <x:v>1</x:v>
      </x:c>
      <x:c r="O254" s="2" t="n">
        <x:f>MAX(0,ROUND('기준스탯 72종'!I17-W254-AE254,0))</x:f>
        <x:v>2</x:v>
      </x:c>
      <x:c r="P254" s="2" t="n">
        <x:f>MAX(0,ROUND('기준스탯 72종'!J17-X254-AF254,0))</x:f>
        <x:v>2</x:v>
      </x:c>
      <x:c r="Q254" s="2" t="n">
        <x:f>MAX(0,ROUND('기준스탯 72종'!K17-Y254-AG254,0))</x:f>
        <x:v>4</x:v>
      </x:c>
      <x:c r="R254" s="15" t="n">
        <x:f>'기준스탯 72종'!D17*G254</x:f>
        <x:v>2.5199999999999996</x:v>
      </x:c>
      <x:c r="S254" s="15" t="n">
        <x:f>'기준스탯 72종'!E17*G254</x:f>
        <x:v>4.199999999999999</x:v>
      </x:c>
      <x:c r="T254" s="15" t="n">
        <x:f>'기준스탯 72종'!F17*G254</x:f>
        <x:v>3.7799999999999994</x:v>
      </x:c>
      <x:c r="U254" s="15" t="n">
        <x:f>'기준스탯 72종'!G17*G254</x:f>
        <x:v>2.5199999999999996</x:v>
      </x:c>
      <x:c r="V254" s="15" t="n">
        <x:f>'기준스탯 72종'!H17*G254</x:f>
        <x:v>0.8399999999999999</x:v>
      </x:c>
      <x:c r="W254" s="15" t="n">
        <x:f>'기준스탯 72종'!I17*G254</x:f>
        <x:v>1.6799999999999997</x:v>
      </x:c>
      <x:c r="X254" s="15" t="n">
        <x:f>'기준스탯 72종'!J17*G254</x:f>
        <x:v>1.2599999999999998</x:v>
      </x:c>
      <x:c r="Y254" s="15" t="n">
        <x:f>'기준스탯 72종'!K17*G254</x:f>
        <x:v>2.9399999999999995</x:v>
      </x:c>
      <x:c r="Z254" s="15" t="n">
        <x:f>'기준스탯 72종'!D17*H254</x:f>
        <x:v>0</x:v>
      </x:c>
      <x:c r="AA254" s="15" t="n">
        <x:f>'기준스탯 72종'!E17*H254</x:f>
        <x:v>0</x:v>
      </x:c>
      <x:c r="AB254" s="15" t="n">
        <x:f>'기준스탯 72종'!F17*H254</x:f>
        <x:v>0</x:v>
      </x:c>
      <x:c r="AC254" s="15" t="n">
        <x:f>'기준스탯 72종'!G17*H254</x:f>
        <x:v>0</x:v>
      </x:c>
      <x:c r="AD254" s="15" t="n">
        <x:f>'기준스탯 72종'!H17*H254</x:f>
        <x:v>0</x:v>
      </x:c>
      <x:c r="AE254" s="15" t="n">
        <x:f>'기준스탯 72종'!I17*H254</x:f>
        <x:v>0</x:v>
      </x:c>
      <x:c r="AF254" s="15" t="n">
        <x:f>'기준스탯 72종'!J17*H254</x:f>
        <x:v>0</x:v>
      </x:c>
      <x:c r="AG254" s="15" t="n">
        <x:f>'기준스탯 72종'!K17*H254</x:f>
        <x:v>0</x:v>
      </x:c>
    </x:row>
    <x:row r="255" ht="28" customHeight="1">
      <x:c r="A255" s="2" t="n">
        <x:v>248</x:v>
      </x:c>
      <x:c r="B255" s="2" t="n">
        <x:v>10</x:v>
      </x:c>
      <x:c r="C255" s="2" t="str">
        <x:v>황소자리</x:v>
      </x:c>
      <x:c r="D255" s="2" t="str">
        <x:v>정령사</x:v>
      </x:c>
      <x:c r="E255" s="2" t="n">
        <x:v>3</x:v>
      </x:c>
      <x:c r="F255" s="2" t="n">
        <x:v>5</x:v>
      </x:c>
      <x:c r="G255" s="14" t="n">
        <x:f>('레벨 계산식'!$E$4-E255)*'레벨 계산식'!$B$5</x:f>
        <x:v>0.27999999999999997</x:v>
      </x:c>
      <x:c r="H255" s="14" t="n">
        <x:f>('등급 계산식'!$E$4-F255)*'등급 계산식'!$B$5</x:f>
        <x:v>0</x:v>
      </x:c>
      <x:c r="I255" s="14" t="n">
        <x:f>1-G255-H255</x:f>
        <x:v>0.72</x:v>
      </x:c>
      <x:c r="J255" s="2" t="n">
        <x:f>MAX(1,ROUND('기준스탯 72종'!D17-R255-Z255,0))</x:f>
        <x:v>4</x:v>
      </x:c>
      <x:c r="K255" s="2" t="n">
        <x:f>MAX(1,ROUND('기준스탯 72종'!E17-S255-AA255,0))</x:f>
        <x:v>7</x:v>
      </x:c>
      <x:c r="L255" s="2" t="n">
        <x:f>MAX(1,ROUND('기준스탯 72종'!F17-T255-AB255,0))</x:f>
        <x:v>6</x:v>
      </x:c>
      <x:c r="M255" s="2" t="n">
        <x:f>MAX(1,ROUND('기준스탯 72종'!G17-U255-AC255,0))</x:f>
        <x:v>4</x:v>
      </x:c>
      <x:c r="N255" s="2" t="n">
        <x:f>MAX(0,ROUND('기준스탯 72종'!H17-V255-AD255,0))</x:f>
        <x:v>1</x:v>
      </x:c>
      <x:c r="O255" s="2" t="n">
        <x:f>MAX(0,ROUND('기준스탯 72종'!I17-W255-AE255,0))</x:f>
        <x:v>3</x:v>
      </x:c>
      <x:c r="P255" s="2" t="n">
        <x:f>MAX(0,ROUND('기준스탯 72종'!J17-X255-AF255,0))</x:f>
        <x:v>2</x:v>
      </x:c>
      <x:c r="Q255" s="2" t="n">
        <x:f>MAX(0,ROUND('기준스탯 72종'!K17-Y255-AG255,0))</x:f>
        <x:v>5</x:v>
      </x:c>
      <x:c r="R255" s="15" t="n">
        <x:f>'기준스탯 72종'!D17*G255</x:f>
        <x:v>1.6799999999999997</x:v>
      </x:c>
      <x:c r="S255" s="15" t="n">
        <x:f>'기준스탯 72종'!E17*G255</x:f>
        <x:v>2.8</x:v>
      </x:c>
      <x:c r="T255" s="15" t="n">
        <x:f>'기준스탯 72종'!F17*G255</x:f>
        <x:v>2.5199999999999996</x:v>
      </x:c>
      <x:c r="U255" s="15" t="n">
        <x:f>'기준스탯 72종'!G17*G255</x:f>
        <x:v>1.6799999999999997</x:v>
      </x:c>
      <x:c r="V255" s="15" t="n">
        <x:f>'기준스탯 72종'!H17*G255</x:f>
        <x:v>0.5599999999999999</x:v>
      </x:c>
      <x:c r="W255" s="15" t="n">
        <x:f>'기준스탯 72종'!I17*G255</x:f>
        <x:v>1.1199999999999999</x:v>
      </x:c>
      <x:c r="X255" s="15" t="n">
        <x:f>'기준스탯 72종'!J17*G255</x:f>
        <x:v>0.8399999999999999</x:v>
      </x:c>
      <x:c r="Y255" s="15" t="n">
        <x:f>'기준스탯 72종'!K17*G255</x:f>
        <x:v>1.9599999999999997</x:v>
      </x:c>
      <x:c r="Z255" s="15" t="n">
        <x:f>'기준스탯 72종'!D17*H255</x:f>
        <x:v>0</x:v>
      </x:c>
      <x:c r="AA255" s="15" t="n">
        <x:f>'기준스탯 72종'!E17*H255</x:f>
        <x:v>0</x:v>
      </x:c>
      <x:c r="AB255" s="15" t="n">
        <x:f>'기준스탯 72종'!F17*H255</x:f>
        <x:v>0</x:v>
      </x:c>
      <x:c r="AC255" s="15" t="n">
        <x:f>'기준스탯 72종'!G17*H255</x:f>
        <x:v>0</x:v>
      </x:c>
      <x:c r="AD255" s="15" t="n">
        <x:f>'기준스탯 72종'!H17*H255</x:f>
        <x:v>0</x:v>
      </x:c>
      <x:c r="AE255" s="15" t="n">
        <x:f>'기준스탯 72종'!I17*H255</x:f>
        <x:v>0</x:v>
      </x:c>
      <x:c r="AF255" s="15" t="n">
        <x:f>'기준스탯 72종'!J17*H255</x:f>
        <x:v>0</x:v>
      </x:c>
      <x:c r="AG255" s="15" t="n">
        <x:f>'기준스탯 72종'!K17*H255</x:f>
        <x:v>0</x:v>
      </x:c>
    </x:row>
    <x:row r="256" ht="28" customHeight="1">
      <x:c r="A256" s="2" t="n">
        <x:v>249</x:v>
      </x:c>
      <x:c r="B256" s="2" t="n">
        <x:v>10</x:v>
      </x:c>
      <x:c r="C256" s="2" t="str">
        <x:v>황소자리</x:v>
      </x:c>
      <x:c r="D256" s="2" t="str">
        <x:v>정령사</x:v>
      </x:c>
      <x:c r="E256" s="2" t="n">
        <x:v>4</x:v>
      </x:c>
      <x:c r="F256" s="2" t="n">
        <x:v>5</x:v>
      </x:c>
      <x:c r="G256" s="14" t="n">
        <x:f>('레벨 계산식'!$E$4-E256)*'레벨 계산식'!$B$5</x:f>
        <x:v>0.13999999999999999</x:v>
      </x:c>
      <x:c r="H256" s="14" t="n">
        <x:f>('등급 계산식'!$E$4-F256)*'등급 계산식'!$B$5</x:f>
        <x:v>0</x:v>
      </x:c>
      <x:c r="I256" s="14" t="n">
        <x:f>1-G256-H256</x:f>
        <x:v>0.86</x:v>
      </x:c>
      <x:c r="J256" s="2" t="n">
        <x:f>MAX(1,ROUND('기준스탯 72종'!D17-R256-Z256,0))</x:f>
        <x:v>5</x:v>
      </x:c>
      <x:c r="K256" s="2" t="n">
        <x:f>MAX(1,ROUND('기준스탯 72종'!E17-S256-AA256,0))</x:f>
        <x:v>9</x:v>
      </x:c>
      <x:c r="L256" s="2" t="n">
        <x:f>MAX(1,ROUND('기준스탯 72종'!F17-T256-AB256,0))</x:f>
        <x:v>8</x:v>
      </x:c>
      <x:c r="M256" s="2" t="n">
        <x:f>MAX(1,ROUND('기준스탯 72종'!G17-U256-AC256,0))</x:f>
        <x:v>5</x:v>
      </x:c>
      <x:c r="N256" s="2" t="n">
        <x:f>MAX(0,ROUND('기준스탯 72종'!H17-V256-AD256,0))</x:f>
        <x:v>2</x:v>
      </x:c>
      <x:c r="O256" s="2" t="n">
        <x:f>MAX(0,ROUND('기준스탯 72종'!I17-W256-AE256,0))</x:f>
        <x:v>3</x:v>
      </x:c>
      <x:c r="P256" s="2" t="n">
        <x:f>MAX(0,ROUND('기준스탯 72종'!J17-X256-AF256,0))</x:f>
        <x:v>3</x:v>
      </x:c>
      <x:c r="Q256" s="2" t="n">
        <x:f>MAX(0,ROUND('기준스탯 72종'!K17-Y256-AG256,0))</x:f>
        <x:v>6</x:v>
      </x:c>
      <x:c r="R256" s="15" t="n">
        <x:f>'기준스탯 72종'!D17*G256</x:f>
        <x:v>0.8399999999999999</x:v>
      </x:c>
      <x:c r="S256" s="15" t="n">
        <x:f>'기준스탯 72종'!E17*G256</x:f>
        <x:v>1.4</x:v>
      </x:c>
      <x:c r="T256" s="15" t="n">
        <x:f>'기준스탯 72종'!F17*G256</x:f>
        <x:v>1.2599999999999998</x:v>
      </x:c>
      <x:c r="U256" s="15" t="n">
        <x:f>'기준스탯 72종'!G17*G256</x:f>
        <x:v>0.8399999999999999</x:v>
      </x:c>
      <x:c r="V256" s="15" t="n">
        <x:f>'기준스탯 72종'!H17*G256</x:f>
        <x:v>0.27999999999999997</x:v>
      </x:c>
      <x:c r="W256" s="15" t="n">
        <x:f>'기준스탯 72종'!I17*G256</x:f>
        <x:v>0.5599999999999999</x:v>
      </x:c>
      <x:c r="X256" s="15" t="n">
        <x:f>'기준스탯 72종'!J17*G256</x:f>
        <x:v>0.41999999999999993</x:v>
      </x:c>
      <x:c r="Y256" s="15" t="n">
        <x:f>'기준스탯 72종'!K17*G256</x:f>
        <x:v>0.9799999999999999</x:v>
      </x:c>
      <x:c r="Z256" s="15" t="n">
        <x:f>'기준스탯 72종'!D17*H256</x:f>
        <x:v>0</x:v>
      </x:c>
      <x:c r="AA256" s="15" t="n">
        <x:f>'기준스탯 72종'!E17*H256</x:f>
        <x:v>0</x:v>
      </x:c>
      <x:c r="AB256" s="15" t="n">
        <x:f>'기준스탯 72종'!F17*H256</x:f>
        <x:v>0</x:v>
      </x:c>
      <x:c r="AC256" s="15" t="n">
        <x:f>'기준스탯 72종'!G17*H256</x:f>
        <x:v>0</x:v>
      </x:c>
      <x:c r="AD256" s="15" t="n">
        <x:f>'기준스탯 72종'!H17*H256</x:f>
        <x:v>0</x:v>
      </x:c>
      <x:c r="AE256" s="15" t="n">
        <x:f>'기준스탯 72종'!I17*H256</x:f>
        <x:v>0</x:v>
      </x:c>
      <x:c r="AF256" s="15" t="n">
        <x:f>'기준스탯 72종'!J17*H256</x:f>
        <x:v>0</x:v>
      </x:c>
      <x:c r="AG256" s="15" t="n">
        <x:f>'기준스탯 72종'!K17*H256</x:f>
        <x:v>0</x:v>
      </x:c>
    </x:row>
    <x:row r="257" ht="28" customHeight="1">
      <x:c r="A257" s="2" t="n">
        <x:v>250</x:v>
      </x:c>
      <x:c r="B257" s="2" t="n">
        <x:v>10</x:v>
      </x:c>
      <x:c r="C257" s="2" t="str">
        <x:v>황소자리</x:v>
      </x:c>
      <x:c r="D257" s="2" t="str">
        <x:v>정령사</x:v>
      </x:c>
      <x:c r="E257" s="2" t="n">
        <x:v>5</x:v>
      </x:c>
      <x:c r="F257" s="2" t="n">
        <x:v>5</x:v>
      </x:c>
      <x:c r="G257" s="14" t="n">
        <x:f>('레벨 계산식'!$E$4-E257)*'레벨 계산식'!$B$5</x:f>
        <x:v>0</x:v>
      </x:c>
      <x:c r="H257" s="14" t="n">
        <x:f>('등급 계산식'!$E$4-F257)*'등급 계산식'!$B$5</x:f>
        <x:v>0</x:v>
      </x:c>
      <x:c r="I257" s="14" t="n">
        <x:f>1-G257-H257</x:f>
        <x:v>1</x:v>
      </x:c>
      <x:c r="J257" s="2" t="n">
        <x:f>MAX(1,ROUND('기준스탯 72종'!D17-R257-Z257,0))</x:f>
        <x:v>6</x:v>
      </x:c>
      <x:c r="K257" s="2" t="n">
        <x:f>MAX(1,ROUND('기준스탯 72종'!E17-S257-AA257,0))</x:f>
        <x:v>10</x:v>
      </x:c>
      <x:c r="L257" s="2" t="n">
        <x:f>MAX(1,ROUND('기준스탯 72종'!F17-T257-AB257,0))</x:f>
        <x:v>9</x:v>
      </x:c>
      <x:c r="M257" s="2" t="n">
        <x:f>MAX(1,ROUND('기준스탯 72종'!G17-U257-AC257,0))</x:f>
        <x:v>6</x:v>
      </x:c>
      <x:c r="N257" s="2" t="n">
        <x:f>MAX(0,ROUND('기준스탯 72종'!H17-V257-AD257,0))</x:f>
        <x:v>2</x:v>
      </x:c>
      <x:c r="O257" s="2" t="n">
        <x:f>MAX(0,ROUND('기준스탯 72종'!I17-W257-AE257,0))</x:f>
        <x:v>4</x:v>
      </x:c>
      <x:c r="P257" s="2" t="n">
        <x:f>MAX(0,ROUND('기준스탯 72종'!J17-X257-AF257,0))</x:f>
        <x:v>3</x:v>
      </x:c>
      <x:c r="Q257" s="2" t="n">
        <x:f>MAX(0,ROUND('기준스탯 72종'!K17-Y257-AG257,0))</x:f>
        <x:v>7</x:v>
      </x:c>
      <x:c r="R257" s="15" t="n">
        <x:f>'기준스탯 72종'!D17*G257</x:f>
        <x:v>0</x:v>
      </x:c>
      <x:c r="S257" s="15" t="n">
        <x:f>'기준스탯 72종'!E17*G257</x:f>
        <x:v>0</x:v>
      </x:c>
      <x:c r="T257" s="15" t="n">
        <x:f>'기준스탯 72종'!F17*G257</x:f>
        <x:v>0</x:v>
      </x:c>
      <x:c r="U257" s="15" t="n">
        <x:f>'기준스탯 72종'!G17*G257</x:f>
        <x:v>0</x:v>
      </x:c>
      <x:c r="V257" s="15" t="n">
        <x:f>'기준스탯 72종'!H17*G257</x:f>
        <x:v>0</x:v>
      </x:c>
      <x:c r="W257" s="15" t="n">
        <x:f>'기준스탯 72종'!I17*G257</x:f>
        <x:v>0</x:v>
      </x:c>
      <x:c r="X257" s="15" t="n">
        <x:f>'기준스탯 72종'!J17*G257</x:f>
        <x:v>0</x:v>
      </x:c>
      <x:c r="Y257" s="15" t="n">
        <x:f>'기준스탯 72종'!K17*G257</x:f>
        <x:v>0</x:v>
      </x:c>
      <x:c r="Z257" s="15" t="n">
        <x:f>'기준스탯 72종'!D17*H257</x:f>
        <x:v>0</x:v>
      </x:c>
      <x:c r="AA257" s="15" t="n">
        <x:f>'기준스탯 72종'!E17*H257</x:f>
        <x:v>0</x:v>
      </x:c>
      <x:c r="AB257" s="15" t="n">
        <x:f>'기준스탯 72종'!F17*H257</x:f>
        <x:v>0</x:v>
      </x:c>
      <x:c r="AC257" s="15" t="n">
        <x:f>'기준스탯 72종'!G17*H257</x:f>
        <x:v>0</x:v>
      </x:c>
      <x:c r="AD257" s="15" t="n">
        <x:f>'기준스탯 72종'!H17*H257</x:f>
        <x:v>0</x:v>
      </x:c>
      <x:c r="AE257" s="15" t="n">
        <x:f>'기준스탯 72종'!I17*H257</x:f>
        <x:v>0</x:v>
      </x:c>
      <x:c r="AF257" s="15" t="n">
        <x:f>'기준스탯 72종'!J17*H257</x:f>
        <x:v>0</x:v>
      </x:c>
      <x:c r="AG257" s="15" t="n">
        <x:f>'기준스탯 72종'!K17*H257</x:f>
        <x:v>0</x:v>
      </x:c>
    </x:row>
    <x:row r="258" ht="28" customHeight="1">
      <x:c r="A258" s="2" t="n">
        <x:v>251</x:v>
      </x:c>
      <x:c r="B258" s="2" t="n">
        <x:v>11</x:v>
      </x:c>
      <x:c r="C258" s="2" t="str">
        <x:v>황소자리</x:v>
      </x:c>
      <x:c r="D258" s="2" t="str">
        <x:v>도적</x:v>
      </x:c>
      <x:c r="E258" s="2" t="n">
        <x:v>1</x:v>
      </x:c>
      <x:c r="F258" s="2" t="n">
        <x:v>1</x:v>
      </x:c>
      <x:c r="G258" s="14" t="n">
        <x:f>('레벨 계산식'!$E$4-E258)*'레벨 계산식'!$B$5</x:f>
        <x:v>0.5599999999999999</x:v>
      </x:c>
      <x:c r="H258" s="14" t="n">
        <x:f>('등급 계산식'!$E$4-F258)*'등급 계산식'!$B$5</x:f>
        <x:v>0.24000000000000005</x:v>
      </x:c>
      <x:c r="I258" s="14" t="n">
        <x:f>1-G258-H258</x:f>
        <x:v>0.2</x:v>
      </x:c>
      <x:c r="J258" s="2" t="n">
        <x:f>MAX(1,ROUND('기준스탯 72종'!D18-R258-Z258,0))</x:f>
        <x:v>2</x:v>
      </x:c>
      <x:c r="K258" s="2" t="n">
        <x:f>MAX(1,ROUND('기준스탯 72종'!E18-S258-AA258,0))</x:f>
        <x:v>2</x:v>
      </x:c>
      <x:c r="L258" s="2" t="n">
        <x:f>MAX(1,ROUND('기준스탯 72종'!F18-T258-AB258,0))</x:f>
        <x:v>1</x:v>
      </x:c>
      <x:c r="M258" s="2" t="n">
        <x:f>MAX(1,ROUND('기준스탯 72종'!G18-U258-AC258,0))</x:f>
        <x:v>1</x:v>
      </x:c>
      <x:c r="N258" s="2" t="n">
        <x:f>MAX(0,ROUND('기준스탯 72종'!H18-V258-AD258,0))</x:f>
        <x:v>1</x:v>
      </x:c>
      <x:c r="O258" s="2" t="n">
        <x:f>MAX(0,ROUND('기준스탯 72종'!I18-W258-AE258,0))</x:f>
        <x:v>1</x:v>
      </x:c>
      <x:c r="P258" s="2" t="n">
        <x:f>MAX(0,ROUND('기준스탯 72종'!J18-X258-AF258,0))</x:f>
        <x:v>0</x:v>
      </x:c>
      <x:c r="Q258" s="2" t="n">
        <x:f>MAX(0,ROUND('기준스탯 72종'!K18-Y258-AG258,0))</x:f>
        <x:v>1</x:v>
      </x:c>
      <x:c r="R258" s="15" t="n">
        <x:f>'기준스탯 72종'!D18*G258</x:f>
        <x:v>4.4799999999999995</x:v>
      </x:c>
      <x:c r="S258" s="15" t="n">
        <x:f>'기준스탯 72종'!E18*G258</x:f>
        <x:v>4.4799999999999995</x:v>
      </x:c>
      <x:c r="T258" s="15" t="n">
        <x:f>'기준스탯 72종'!F18*G258</x:f>
        <x:v>3.9199999999999995</x:v>
      </x:c>
      <x:c r="U258" s="15" t="n">
        <x:f>'기준스탯 72종'!G18*G258</x:f>
        <x:v>3.9199999999999995</x:v>
      </x:c>
      <x:c r="V258" s="15" t="n">
        <x:f>'기준스탯 72종'!H18*G258</x:f>
        <x:v>2.2399999999999998</x:v>
      </x:c>
      <x:c r="W258" s="15" t="n">
        <x:f>'기준스탯 72종'!I18*G258</x:f>
        <x:v>3.3599999999999994</x:v>
      </x:c>
      <x:c r="X258" s="15" t="n">
        <x:f>'기준스탯 72종'!J18*G258</x:f>
        <x:v>0.5599999999999999</x:v>
      </x:c>
      <x:c r="Y258" s="15" t="n">
        <x:f>'기준스탯 72종'!K18*G258</x:f>
        <x:v>2.8</x:v>
      </x:c>
      <x:c r="Z258" s="15" t="n">
        <x:f>'기준스탯 72종'!D18*H258</x:f>
        <x:v>1.9200000000000004</x:v>
      </x:c>
      <x:c r="AA258" s="15" t="n">
        <x:f>'기준스탯 72종'!E18*H258</x:f>
        <x:v>1.9200000000000004</x:v>
      </x:c>
      <x:c r="AB258" s="15" t="n">
        <x:f>'기준스탯 72종'!F18*H258</x:f>
        <x:v>1.6800000000000004</x:v>
      </x:c>
      <x:c r="AC258" s="15" t="n">
        <x:f>'기준스탯 72종'!G18*H258</x:f>
        <x:v>1.6800000000000004</x:v>
      </x:c>
      <x:c r="AD258" s="15" t="n">
        <x:f>'기준스탯 72종'!H18*H258</x:f>
        <x:v>0.9600000000000002</x:v>
      </x:c>
      <x:c r="AE258" s="15" t="n">
        <x:f>'기준스탯 72종'!I18*H258</x:f>
        <x:v>1.4400000000000004</x:v>
      </x:c>
      <x:c r="AF258" s="15" t="n">
        <x:f>'기준스탯 72종'!J18*H258</x:f>
        <x:v>0.24000000000000005</x:v>
      </x:c>
      <x:c r="AG258" s="15" t="n">
        <x:f>'기준스탯 72종'!K18*H258</x:f>
        <x:v>1.2000000000000002</x:v>
      </x:c>
    </x:row>
    <x:row r="259" ht="28" customHeight="1">
      <x:c r="A259" s="2" t="n">
        <x:v>252</x:v>
      </x:c>
      <x:c r="B259" s="2" t="n">
        <x:v>11</x:v>
      </x:c>
      <x:c r="C259" s="2" t="str">
        <x:v>황소자리</x:v>
      </x:c>
      <x:c r="D259" s="2" t="str">
        <x:v>도적</x:v>
      </x:c>
      <x:c r="E259" s="2" t="n">
        <x:v>2</x:v>
      </x:c>
      <x:c r="F259" s="2" t="n">
        <x:v>1</x:v>
      </x:c>
      <x:c r="G259" s="14" t="n">
        <x:f>('레벨 계산식'!$E$4-E259)*'레벨 계산식'!$B$5</x:f>
        <x:v>0.41999999999999993</x:v>
      </x:c>
      <x:c r="H259" s="14" t="n">
        <x:f>('등급 계산식'!$E$4-F259)*'등급 계산식'!$B$5</x:f>
        <x:v>0.24000000000000005</x:v>
      </x:c>
      <x:c r="I259" s="14" t="n">
        <x:f>1-G259-H259</x:f>
        <x:v>0.34</x:v>
      </x:c>
      <x:c r="J259" s="2" t="n">
        <x:f>MAX(1,ROUND('기준스탯 72종'!D18-R259-Z259,0))</x:f>
        <x:v>3</x:v>
      </x:c>
      <x:c r="K259" s="2" t="n">
        <x:f>MAX(1,ROUND('기준스탯 72종'!E18-S259-AA259,0))</x:f>
        <x:v>3</x:v>
      </x:c>
      <x:c r="L259" s="2" t="n">
        <x:f>MAX(1,ROUND('기준스탯 72종'!F18-T259-AB259,0))</x:f>
        <x:v>2</x:v>
      </x:c>
      <x:c r="M259" s="2" t="n">
        <x:f>MAX(1,ROUND('기준스탯 72종'!G18-U259-AC259,0))</x:f>
        <x:v>2</x:v>
      </x:c>
      <x:c r="N259" s="2" t="n">
        <x:f>MAX(0,ROUND('기준스탯 72종'!H18-V259-AD259,0))</x:f>
        <x:v>1</x:v>
      </x:c>
      <x:c r="O259" s="2" t="n">
        <x:f>MAX(0,ROUND('기준스탯 72종'!I18-W259-AE259,0))</x:f>
        <x:v>2</x:v>
      </x:c>
      <x:c r="P259" s="2" t="n">
        <x:f>MAX(0,ROUND('기준스탯 72종'!J18-X259-AF259,0))</x:f>
        <x:v>0</x:v>
      </x:c>
      <x:c r="Q259" s="2" t="n">
        <x:f>MAX(0,ROUND('기준스탯 72종'!K18-Y259-AG259,0))</x:f>
        <x:v>2</x:v>
      </x:c>
      <x:c r="R259" s="15" t="n">
        <x:f>'기준스탯 72종'!D18*G259</x:f>
        <x:v>3.3599999999999994</x:v>
      </x:c>
      <x:c r="S259" s="15" t="n">
        <x:f>'기준스탯 72종'!E18*G259</x:f>
        <x:v>3.3599999999999994</x:v>
      </x:c>
      <x:c r="T259" s="15" t="n">
        <x:f>'기준스탯 72종'!F18*G259</x:f>
        <x:v>2.9399999999999995</x:v>
      </x:c>
      <x:c r="U259" s="15" t="n">
        <x:f>'기준스탯 72종'!G18*G259</x:f>
        <x:v>2.9399999999999995</x:v>
      </x:c>
      <x:c r="V259" s="15" t="n">
        <x:f>'기준스탯 72종'!H18*G259</x:f>
        <x:v>1.6799999999999997</x:v>
      </x:c>
      <x:c r="W259" s="15" t="n">
        <x:f>'기준스탯 72종'!I18*G259</x:f>
        <x:v>2.5199999999999996</x:v>
      </x:c>
      <x:c r="X259" s="15" t="n">
        <x:f>'기준스탯 72종'!J18*G259</x:f>
        <x:v>0.41999999999999993</x:v>
      </x:c>
      <x:c r="Y259" s="15" t="n">
        <x:f>'기준스탯 72종'!K18*G259</x:f>
        <x:v>2.0999999999999996</x:v>
      </x:c>
      <x:c r="Z259" s="15" t="n">
        <x:f>'기준스탯 72종'!D18*H259</x:f>
        <x:v>1.9200000000000004</x:v>
      </x:c>
      <x:c r="AA259" s="15" t="n">
        <x:f>'기준스탯 72종'!E18*H259</x:f>
        <x:v>1.9200000000000004</x:v>
      </x:c>
      <x:c r="AB259" s="15" t="n">
        <x:f>'기준스탯 72종'!F18*H259</x:f>
        <x:v>1.6800000000000004</x:v>
      </x:c>
      <x:c r="AC259" s="15" t="n">
        <x:f>'기준스탯 72종'!G18*H259</x:f>
        <x:v>1.6800000000000004</x:v>
      </x:c>
      <x:c r="AD259" s="15" t="n">
        <x:f>'기준스탯 72종'!H18*H259</x:f>
        <x:v>0.9600000000000002</x:v>
      </x:c>
      <x:c r="AE259" s="15" t="n">
        <x:f>'기준스탯 72종'!I18*H259</x:f>
        <x:v>1.4400000000000004</x:v>
      </x:c>
      <x:c r="AF259" s="15" t="n">
        <x:f>'기준스탯 72종'!J18*H259</x:f>
        <x:v>0.24000000000000005</x:v>
      </x:c>
      <x:c r="AG259" s="15" t="n">
        <x:f>'기준스탯 72종'!K18*H259</x:f>
        <x:v>1.2000000000000002</x:v>
      </x:c>
    </x:row>
    <x:row r="260" ht="28" customHeight="1">
      <x:c r="A260" s="2" t="n">
        <x:v>253</x:v>
      </x:c>
      <x:c r="B260" s="2" t="n">
        <x:v>11</x:v>
      </x:c>
      <x:c r="C260" s="2" t="str">
        <x:v>황소자리</x:v>
      </x:c>
      <x:c r="D260" s="2" t="str">
        <x:v>도적</x:v>
      </x:c>
      <x:c r="E260" s="2" t="n">
        <x:v>3</x:v>
      </x:c>
      <x:c r="F260" s="2" t="n">
        <x:v>1</x:v>
      </x:c>
      <x:c r="G260" s="14" t="n">
        <x:f>('레벨 계산식'!$E$4-E260)*'레벨 계산식'!$B$5</x:f>
        <x:v>0.27999999999999997</x:v>
      </x:c>
      <x:c r="H260" s="14" t="n">
        <x:f>('등급 계산식'!$E$4-F260)*'등급 계산식'!$B$5</x:f>
        <x:v>0.24000000000000005</x:v>
      </x:c>
      <x:c r="I260" s="14" t="n">
        <x:f>1-G260-H260</x:f>
        <x:v>0.4799999999999999</x:v>
      </x:c>
      <x:c r="J260" s="2" t="n">
        <x:f>MAX(1,ROUND('기준스탯 72종'!D18-R260-Z260,0))</x:f>
        <x:v>4</x:v>
      </x:c>
      <x:c r="K260" s="2" t="n">
        <x:f>MAX(1,ROUND('기준스탯 72종'!E18-S260-AA260,0))</x:f>
        <x:v>4</x:v>
      </x:c>
      <x:c r="L260" s="2" t="n">
        <x:f>MAX(1,ROUND('기준스탯 72종'!F18-T260-AB260,0))</x:f>
        <x:v>3</x:v>
      </x:c>
      <x:c r="M260" s="2" t="n">
        <x:f>MAX(1,ROUND('기준스탯 72종'!G18-U260-AC260,0))</x:f>
        <x:v>3</x:v>
      </x:c>
      <x:c r="N260" s="2" t="n">
        <x:f>MAX(0,ROUND('기준스탯 72종'!H18-V260-AD260,0))</x:f>
        <x:v>2</x:v>
      </x:c>
      <x:c r="O260" s="2" t="n">
        <x:f>MAX(0,ROUND('기준스탯 72종'!I18-W260-AE260,0))</x:f>
        <x:v>3</x:v>
      </x:c>
      <x:c r="P260" s="2" t="n">
        <x:f>MAX(0,ROUND('기준스탯 72종'!J18-X260-AF260,0))</x:f>
        <x:v>0</x:v>
      </x:c>
      <x:c r="Q260" s="2" t="n">
        <x:f>MAX(0,ROUND('기준스탯 72종'!K18-Y260-AG260,0))</x:f>
        <x:v>2</x:v>
      </x:c>
      <x:c r="R260" s="15" t="n">
        <x:f>'기준스탯 72종'!D18*G260</x:f>
        <x:v>2.2399999999999998</x:v>
      </x:c>
      <x:c r="S260" s="15" t="n">
        <x:f>'기준스탯 72종'!E18*G260</x:f>
        <x:v>2.2399999999999998</x:v>
      </x:c>
      <x:c r="T260" s="15" t="n">
        <x:f>'기준스탯 72종'!F18*G260</x:f>
        <x:v>1.9599999999999997</x:v>
      </x:c>
      <x:c r="U260" s="15" t="n">
        <x:f>'기준스탯 72종'!G18*G260</x:f>
        <x:v>1.9599999999999997</x:v>
      </x:c>
      <x:c r="V260" s="15" t="n">
        <x:f>'기준스탯 72종'!H18*G260</x:f>
        <x:v>1.1199999999999999</x:v>
      </x:c>
      <x:c r="W260" s="15" t="n">
        <x:f>'기준스탯 72종'!I18*G260</x:f>
        <x:v>1.6799999999999997</x:v>
      </x:c>
      <x:c r="X260" s="15" t="n">
        <x:f>'기준스탯 72종'!J18*G260</x:f>
        <x:v>0.27999999999999997</x:v>
      </x:c>
      <x:c r="Y260" s="15" t="n">
        <x:f>'기준스탯 72종'!K18*G260</x:f>
        <x:v>1.4</x:v>
      </x:c>
      <x:c r="Z260" s="15" t="n">
        <x:f>'기준스탯 72종'!D18*H260</x:f>
        <x:v>1.9200000000000004</x:v>
      </x:c>
      <x:c r="AA260" s="15" t="n">
        <x:f>'기준스탯 72종'!E18*H260</x:f>
        <x:v>1.9200000000000004</x:v>
      </x:c>
      <x:c r="AB260" s="15" t="n">
        <x:f>'기준스탯 72종'!F18*H260</x:f>
        <x:v>1.6800000000000004</x:v>
      </x:c>
      <x:c r="AC260" s="15" t="n">
        <x:f>'기준스탯 72종'!G18*H260</x:f>
        <x:v>1.6800000000000004</x:v>
      </x:c>
      <x:c r="AD260" s="15" t="n">
        <x:f>'기준스탯 72종'!H18*H260</x:f>
        <x:v>0.9600000000000002</x:v>
      </x:c>
      <x:c r="AE260" s="15" t="n">
        <x:f>'기준스탯 72종'!I18*H260</x:f>
        <x:v>1.4400000000000004</x:v>
      </x:c>
      <x:c r="AF260" s="15" t="n">
        <x:f>'기준스탯 72종'!J18*H260</x:f>
        <x:v>0.24000000000000005</x:v>
      </x:c>
      <x:c r="AG260" s="15" t="n">
        <x:f>'기준스탯 72종'!K18*H260</x:f>
        <x:v>1.2000000000000002</x:v>
      </x:c>
    </x:row>
    <x:row r="261" ht="28" customHeight="1">
      <x:c r="A261" s="2" t="n">
        <x:v>254</x:v>
      </x:c>
      <x:c r="B261" s="2" t="n">
        <x:v>11</x:v>
      </x:c>
      <x:c r="C261" s="2" t="str">
        <x:v>황소자리</x:v>
      </x:c>
      <x:c r="D261" s="2" t="str">
        <x:v>도적</x:v>
      </x:c>
      <x:c r="E261" s="2" t="n">
        <x:v>4</x:v>
      </x:c>
      <x:c r="F261" s="2" t="n">
        <x:v>1</x:v>
      </x:c>
      <x:c r="G261" s="14" t="n">
        <x:f>('레벨 계산식'!$E$4-E261)*'레벨 계산식'!$B$5</x:f>
        <x:v>0.13999999999999999</x:v>
      </x:c>
      <x:c r="H261" s="14" t="n">
        <x:f>('등급 계산식'!$E$4-F261)*'등급 계산식'!$B$5</x:f>
        <x:v>0.24000000000000005</x:v>
      </x:c>
      <x:c r="I261" s="14" t="n">
        <x:f>1-G261-H261</x:f>
        <x:v>0.6199999999999999</x:v>
      </x:c>
      <x:c r="J261" s="2" t="n">
        <x:f>MAX(1,ROUND('기준스탯 72종'!D18-R261-Z261,0))</x:f>
        <x:v>5</x:v>
      </x:c>
      <x:c r="K261" s="2" t="n">
        <x:f>MAX(1,ROUND('기준스탯 72종'!E18-S261-AA261,0))</x:f>
        <x:v>5</x:v>
      </x:c>
      <x:c r="L261" s="2" t="n">
        <x:f>MAX(1,ROUND('기준스탯 72종'!F18-T261-AB261,0))</x:f>
        <x:v>4</x:v>
      </x:c>
      <x:c r="M261" s="2" t="n">
        <x:f>MAX(1,ROUND('기준스탯 72종'!G18-U261-AC261,0))</x:f>
        <x:v>4</x:v>
      </x:c>
      <x:c r="N261" s="2" t="n">
        <x:f>MAX(0,ROUND('기준스탯 72종'!H18-V261-AD261,0))</x:f>
        <x:v>2</x:v>
      </x:c>
      <x:c r="O261" s="2" t="n">
        <x:f>MAX(0,ROUND('기준스탯 72종'!I18-W261-AE261,0))</x:f>
        <x:v>4</x:v>
      </x:c>
      <x:c r="P261" s="2" t="n">
        <x:f>MAX(0,ROUND('기준스탯 72종'!J18-X261-AF261,0))</x:f>
        <x:v>1</x:v>
      </x:c>
      <x:c r="Q261" s="2" t="n">
        <x:f>MAX(0,ROUND('기준스탯 72종'!K18-Y261-AG261,0))</x:f>
        <x:v>3</x:v>
      </x:c>
      <x:c r="R261" s="15" t="n">
        <x:f>'기준스탯 72종'!D18*G261</x:f>
        <x:v>1.1199999999999999</x:v>
      </x:c>
      <x:c r="S261" s="15" t="n">
        <x:f>'기준스탯 72종'!E18*G261</x:f>
        <x:v>1.1199999999999999</x:v>
      </x:c>
      <x:c r="T261" s="15" t="n">
        <x:f>'기준스탯 72종'!F18*G261</x:f>
        <x:v>0.9799999999999999</x:v>
      </x:c>
      <x:c r="U261" s="15" t="n">
        <x:f>'기준스탯 72종'!G18*G261</x:f>
        <x:v>0.9799999999999999</x:v>
      </x:c>
      <x:c r="V261" s="15" t="n">
        <x:f>'기준스탯 72종'!H18*G261</x:f>
        <x:v>0.5599999999999999</x:v>
      </x:c>
      <x:c r="W261" s="15" t="n">
        <x:f>'기준스탯 72종'!I18*G261</x:f>
        <x:v>0.8399999999999999</x:v>
      </x:c>
      <x:c r="X261" s="15" t="n">
        <x:f>'기준스탯 72종'!J18*G261</x:f>
        <x:v>0.13999999999999999</x:v>
      </x:c>
      <x:c r="Y261" s="15" t="n">
        <x:f>'기준스탯 72종'!K18*G261</x:f>
        <x:v>0.7</x:v>
      </x:c>
      <x:c r="Z261" s="15" t="n">
        <x:f>'기준스탯 72종'!D18*H261</x:f>
        <x:v>1.9200000000000004</x:v>
      </x:c>
      <x:c r="AA261" s="15" t="n">
        <x:f>'기준스탯 72종'!E18*H261</x:f>
        <x:v>1.9200000000000004</x:v>
      </x:c>
      <x:c r="AB261" s="15" t="n">
        <x:f>'기준스탯 72종'!F18*H261</x:f>
        <x:v>1.6800000000000004</x:v>
      </x:c>
      <x:c r="AC261" s="15" t="n">
        <x:f>'기준스탯 72종'!G18*H261</x:f>
        <x:v>1.6800000000000004</x:v>
      </x:c>
      <x:c r="AD261" s="15" t="n">
        <x:f>'기준스탯 72종'!H18*H261</x:f>
        <x:v>0.9600000000000002</x:v>
      </x:c>
      <x:c r="AE261" s="15" t="n">
        <x:f>'기준스탯 72종'!I18*H261</x:f>
        <x:v>1.4400000000000004</x:v>
      </x:c>
      <x:c r="AF261" s="15" t="n">
        <x:f>'기준스탯 72종'!J18*H261</x:f>
        <x:v>0.24000000000000005</x:v>
      </x:c>
      <x:c r="AG261" s="15" t="n">
        <x:f>'기준스탯 72종'!K18*H261</x:f>
        <x:v>1.2000000000000002</x:v>
      </x:c>
    </x:row>
    <x:row r="262" ht="28" customHeight="1">
      <x:c r="A262" s="2" t="n">
        <x:v>255</x:v>
      </x:c>
      <x:c r="B262" s="2" t="n">
        <x:v>11</x:v>
      </x:c>
      <x:c r="C262" s="2" t="str">
        <x:v>황소자리</x:v>
      </x:c>
      <x:c r="D262" s="2" t="str">
        <x:v>도적</x:v>
      </x:c>
      <x:c r="E262" s="2" t="n">
        <x:v>5</x:v>
      </x:c>
      <x:c r="F262" s="2" t="n">
        <x:v>1</x:v>
      </x:c>
      <x:c r="G262" s="14" t="n">
        <x:f>('레벨 계산식'!$E$4-E262)*'레벨 계산식'!$B$5</x:f>
        <x:v>0</x:v>
      </x:c>
      <x:c r="H262" s="14" t="n">
        <x:f>('등급 계산식'!$E$4-F262)*'등급 계산식'!$B$5</x:f>
        <x:v>0.24000000000000005</x:v>
      </x:c>
      <x:c r="I262" s="14" t="n">
        <x:f>1-G262-H262</x:f>
        <x:v>0.76</x:v>
      </x:c>
      <x:c r="J262" s="2" t="n">
        <x:f>MAX(1,ROUND('기준스탯 72종'!D18-R262-Z262,0))</x:f>
        <x:v>6</x:v>
      </x:c>
      <x:c r="K262" s="2" t="n">
        <x:f>MAX(1,ROUND('기준스탯 72종'!E18-S262-AA262,0))</x:f>
        <x:v>6</x:v>
      </x:c>
      <x:c r="L262" s="2" t="n">
        <x:f>MAX(1,ROUND('기준스탯 72종'!F18-T262-AB262,0))</x:f>
        <x:v>5</x:v>
      </x:c>
      <x:c r="M262" s="2" t="n">
        <x:f>MAX(1,ROUND('기준스탯 72종'!G18-U262-AC262,0))</x:f>
        <x:v>5</x:v>
      </x:c>
      <x:c r="N262" s="2" t="n">
        <x:f>MAX(0,ROUND('기준스탯 72종'!H18-V262-AD262,0))</x:f>
        <x:v>3</x:v>
      </x:c>
      <x:c r="O262" s="2" t="n">
        <x:f>MAX(0,ROUND('기준스탯 72종'!I18-W262-AE262,0))</x:f>
        <x:v>5</x:v>
      </x:c>
      <x:c r="P262" s="2" t="n">
        <x:f>MAX(0,ROUND('기준스탯 72종'!J18-X262-AF262,0))</x:f>
        <x:v>1</x:v>
      </x:c>
      <x:c r="Q262" s="2" t="n">
        <x:f>MAX(0,ROUND('기준스탯 72종'!K18-Y262-AG262,0))</x:f>
        <x:v>4</x:v>
      </x:c>
      <x:c r="R262" s="15" t="n">
        <x:f>'기준스탯 72종'!D18*G262</x:f>
        <x:v>0</x:v>
      </x:c>
      <x:c r="S262" s="15" t="n">
        <x:f>'기준스탯 72종'!E18*G262</x:f>
        <x:v>0</x:v>
      </x:c>
      <x:c r="T262" s="15" t="n">
        <x:f>'기준스탯 72종'!F18*G262</x:f>
        <x:v>0</x:v>
      </x:c>
      <x:c r="U262" s="15" t="n">
        <x:f>'기준스탯 72종'!G18*G262</x:f>
        <x:v>0</x:v>
      </x:c>
      <x:c r="V262" s="15" t="n">
        <x:f>'기준스탯 72종'!H18*G262</x:f>
        <x:v>0</x:v>
      </x:c>
      <x:c r="W262" s="15" t="n">
        <x:f>'기준스탯 72종'!I18*G262</x:f>
        <x:v>0</x:v>
      </x:c>
      <x:c r="X262" s="15" t="n">
        <x:f>'기준스탯 72종'!J18*G262</x:f>
        <x:v>0</x:v>
      </x:c>
      <x:c r="Y262" s="15" t="n">
        <x:f>'기준스탯 72종'!K18*G262</x:f>
        <x:v>0</x:v>
      </x:c>
      <x:c r="Z262" s="15" t="n">
        <x:f>'기준스탯 72종'!D18*H262</x:f>
        <x:v>1.9200000000000004</x:v>
      </x:c>
      <x:c r="AA262" s="15" t="n">
        <x:f>'기준스탯 72종'!E18*H262</x:f>
        <x:v>1.9200000000000004</x:v>
      </x:c>
      <x:c r="AB262" s="15" t="n">
        <x:f>'기준스탯 72종'!F18*H262</x:f>
        <x:v>1.6800000000000004</x:v>
      </x:c>
      <x:c r="AC262" s="15" t="n">
        <x:f>'기준스탯 72종'!G18*H262</x:f>
        <x:v>1.6800000000000004</x:v>
      </x:c>
      <x:c r="AD262" s="15" t="n">
        <x:f>'기준스탯 72종'!H18*H262</x:f>
        <x:v>0.9600000000000002</x:v>
      </x:c>
      <x:c r="AE262" s="15" t="n">
        <x:f>'기준스탯 72종'!I18*H262</x:f>
        <x:v>1.4400000000000004</x:v>
      </x:c>
      <x:c r="AF262" s="15" t="n">
        <x:f>'기준스탯 72종'!J18*H262</x:f>
        <x:v>0.24000000000000005</x:v>
      </x:c>
      <x:c r="AG262" s="15" t="n">
        <x:f>'기준스탯 72종'!K18*H262</x:f>
        <x:v>1.2000000000000002</x:v>
      </x:c>
    </x:row>
    <x:row r="263" ht="28" customHeight="1">
      <x:c r="A263" s="2" t="n">
        <x:v>256</x:v>
      </x:c>
      <x:c r="B263" s="2" t="n">
        <x:v>11</x:v>
      </x:c>
      <x:c r="C263" s="2" t="str">
        <x:v>황소자리</x:v>
      </x:c>
      <x:c r="D263" s="2" t="str">
        <x:v>도적</x:v>
      </x:c>
      <x:c r="E263" s="2" t="n">
        <x:v>1</x:v>
      </x:c>
      <x:c r="F263" s="2" t="n">
        <x:v>2</x:v>
      </x:c>
      <x:c r="G263" s="14" t="n">
        <x:f>('레벨 계산식'!$E$4-E263)*'레벨 계산식'!$B$5</x:f>
        <x:v>0.5599999999999999</x:v>
      </x:c>
      <x:c r="H263" s="14" t="n">
        <x:f>('등급 계산식'!$E$4-F263)*'등급 계산식'!$B$5</x:f>
        <x:v>0.18000000000000005</x:v>
      </x:c>
      <x:c r="I263" s="14" t="n">
        <x:f>1-G263-H263</x:f>
        <x:v>0.26</x:v>
      </x:c>
      <x:c r="J263" s="2" t="n">
        <x:f>MAX(1,ROUND('기준스탯 72종'!D18-R263-Z263,0))</x:f>
        <x:v>2</x:v>
      </x:c>
      <x:c r="K263" s="2" t="n">
        <x:f>MAX(1,ROUND('기준스탯 72종'!E18-S263-AA263,0))</x:f>
        <x:v>2</x:v>
      </x:c>
      <x:c r="L263" s="2" t="n">
        <x:f>MAX(1,ROUND('기준스탯 72종'!F18-T263-AB263,0))</x:f>
        <x:v>2</x:v>
      </x:c>
      <x:c r="M263" s="2" t="n">
        <x:f>MAX(1,ROUND('기준스탯 72종'!G18-U263-AC263,0))</x:f>
        <x:v>2</x:v>
      </x:c>
      <x:c r="N263" s="2" t="n">
        <x:f>MAX(0,ROUND('기준스탯 72종'!H18-V263-AD263,0))</x:f>
        <x:v>1</x:v>
      </x:c>
      <x:c r="O263" s="2" t="n">
        <x:f>MAX(0,ROUND('기준스탯 72종'!I18-W263-AE263,0))</x:f>
        <x:v>2</x:v>
      </x:c>
      <x:c r="P263" s="2" t="n">
        <x:f>MAX(0,ROUND('기준스탯 72종'!J18-X263-AF263,0))</x:f>
        <x:v>0</x:v>
      </x:c>
      <x:c r="Q263" s="2" t="n">
        <x:f>MAX(0,ROUND('기준스탯 72종'!K18-Y263-AG263,0))</x:f>
        <x:v>1</x:v>
      </x:c>
      <x:c r="R263" s="15" t="n">
        <x:f>'기준스탯 72종'!D18*G263</x:f>
        <x:v>4.4799999999999995</x:v>
      </x:c>
      <x:c r="S263" s="15" t="n">
        <x:f>'기준스탯 72종'!E18*G263</x:f>
        <x:v>4.4799999999999995</x:v>
      </x:c>
      <x:c r="T263" s="15" t="n">
        <x:f>'기준스탯 72종'!F18*G263</x:f>
        <x:v>3.9199999999999995</x:v>
      </x:c>
      <x:c r="U263" s="15" t="n">
        <x:f>'기준스탯 72종'!G18*G263</x:f>
        <x:v>3.9199999999999995</x:v>
      </x:c>
      <x:c r="V263" s="15" t="n">
        <x:f>'기준스탯 72종'!H18*G263</x:f>
        <x:v>2.2399999999999998</x:v>
      </x:c>
      <x:c r="W263" s="15" t="n">
        <x:f>'기준스탯 72종'!I18*G263</x:f>
        <x:v>3.3599999999999994</x:v>
      </x:c>
      <x:c r="X263" s="15" t="n">
        <x:f>'기준스탯 72종'!J18*G263</x:f>
        <x:v>0.5599999999999999</x:v>
      </x:c>
      <x:c r="Y263" s="15" t="n">
        <x:f>'기준스탯 72종'!K18*G263</x:f>
        <x:v>2.8</x:v>
      </x:c>
      <x:c r="Z263" s="15" t="n">
        <x:f>'기준스탯 72종'!D18*H263</x:f>
        <x:v>1.4400000000000004</x:v>
      </x:c>
      <x:c r="AA263" s="15" t="n">
        <x:f>'기준스탯 72종'!E18*H263</x:f>
        <x:v>1.4400000000000004</x:v>
      </x:c>
      <x:c r="AB263" s="15" t="n">
        <x:f>'기준스탯 72종'!F18*H263</x:f>
        <x:v>1.2600000000000002</x:v>
      </x:c>
      <x:c r="AC263" s="15" t="n">
        <x:f>'기준스탯 72종'!G18*H263</x:f>
        <x:v>1.2600000000000002</x:v>
      </x:c>
      <x:c r="AD263" s="15" t="n">
        <x:f>'기준스탯 72종'!H18*H263</x:f>
        <x:v>0.7200000000000002</x:v>
      </x:c>
      <x:c r="AE263" s="15" t="n">
        <x:f>'기준스탯 72종'!I18*H263</x:f>
        <x:v>1.0800000000000003</x:v>
      </x:c>
      <x:c r="AF263" s="15" t="n">
        <x:f>'기준스탯 72종'!J18*H263</x:f>
        <x:v>0.18000000000000005</x:v>
      </x:c>
      <x:c r="AG263" s="15" t="n">
        <x:f>'기준스탯 72종'!K18*H263</x:f>
        <x:v>0.9000000000000002</x:v>
      </x:c>
    </x:row>
    <x:row r="264" ht="28" customHeight="1">
      <x:c r="A264" s="2" t="n">
        <x:v>257</x:v>
      </x:c>
      <x:c r="B264" s="2" t="n">
        <x:v>11</x:v>
      </x:c>
      <x:c r="C264" s="2" t="str">
        <x:v>황소자리</x:v>
      </x:c>
      <x:c r="D264" s="2" t="str">
        <x:v>도적</x:v>
      </x:c>
      <x:c r="E264" s="2" t="n">
        <x:v>2</x:v>
      </x:c>
      <x:c r="F264" s="2" t="n">
        <x:v>2</x:v>
      </x:c>
      <x:c r="G264" s="14" t="n">
        <x:f>('레벨 계산식'!$E$4-E264)*'레벨 계산식'!$B$5</x:f>
        <x:v>0.41999999999999993</x:v>
      </x:c>
      <x:c r="H264" s="14" t="n">
        <x:f>('등급 계산식'!$E$4-F264)*'등급 계산식'!$B$5</x:f>
        <x:v>0.18000000000000005</x:v>
      </x:c>
      <x:c r="I264" s="14" t="n">
        <x:f>1-G264-H264</x:f>
        <x:v>0.4</x:v>
      </x:c>
      <x:c r="J264" s="2" t="n">
        <x:f>MAX(1,ROUND('기준스탯 72종'!D18-R264-Z264,0))</x:f>
        <x:v>3</x:v>
      </x:c>
      <x:c r="K264" s="2" t="n">
        <x:f>MAX(1,ROUND('기준스탯 72종'!E18-S264-AA264,0))</x:f>
        <x:v>3</x:v>
      </x:c>
      <x:c r="L264" s="2" t="n">
        <x:f>MAX(1,ROUND('기준스탯 72종'!F18-T264-AB264,0))</x:f>
        <x:v>3</x:v>
      </x:c>
      <x:c r="M264" s="2" t="n">
        <x:f>MAX(1,ROUND('기준스탯 72종'!G18-U264-AC264,0))</x:f>
        <x:v>3</x:v>
      </x:c>
      <x:c r="N264" s="2" t="n">
        <x:f>MAX(0,ROUND('기준스탯 72종'!H18-V264-AD264,0))</x:f>
        <x:v>2</x:v>
      </x:c>
      <x:c r="O264" s="2" t="n">
        <x:f>MAX(0,ROUND('기준스탯 72종'!I18-W264-AE264,0))</x:f>
        <x:v>2</x:v>
      </x:c>
      <x:c r="P264" s="2" t="n">
        <x:f>MAX(0,ROUND('기준스탯 72종'!J18-X264-AF264,0))</x:f>
        <x:v>0</x:v>
      </x:c>
      <x:c r="Q264" s="2" t="n">
        <x:f>MAX(0,ROUND('기준스탯 72종'!K18-Y264-AG264,0))</x:f>
        <x:v>2</x:v>
      </x:c>
      <x:c r="R264" s="15" t="n">
        <x:f>'기준스탯 72종'!D18*G264</x:f>
        <x:v>3.3599999999999994</x:v>
      </x:c>
      <x:c r="S264" s="15" t="n">
        <x:f>'기준스탯 72종'!E18*G264</x:f>
        <x:v>3.3599999999999994</x:v>
      </x:c>
      <x:c r="T264" s="15" t="n">
        <x:f>'기준스탯 72종'!F18*G264</x:f>
        <x:v>2.9399999999999995</x:v>
      </x:c>
      <x:c r="U264" s="15" t="n">
        <x:f>'기준스탯 72종'!G18*G264</x:f>
        <x:v>2.9399999999999995</x:v>
      </x:c>
      <x:c r="V264" s="15" t="n">
        <x:f>'기준스탯 72종'!H18*G264</x:f>
        <x:v>1.6799999999999997</x:v>
      </x:c>
      <x:c r="W264" s="15" t="n">
        <x:f>'기준스탯 72종'!I18*G264</x:f>
        <x:v>2.5199999999999996</x:v>
      </x:c>
      <x:c r="X264" s="15" t="n">
        <x:f>'기준스탯 72종'!J18*G264</x:f>
        <x:v>0.41999999999999993</x:v>
      </x:c>
      <x:c r="Y264" s="15" t="n">
        <x:f>'기준스탯 72종'!K18*G264</x:f>
        <x:v>2.0999999999999996</x:v>
      </x:c>
      <x:c r="Z264" s="15" t="n">
        <x:f>'기준스탯 72종'!D18*H264</x:f>
        <x:v>1.4400000000000004</x:v>
      </x:c>
      <x:c r="AA264" s="15" t="n">
        <x:f>'기준스탯 72종'!E18*H264</x:f>
        <x:v>1.4400000000000004</x:v>
      </x:c>
      <x:c r="AB264" s="15" t="n">
        <x:f>'기준스탯 72종'!F18*H264</x:f>
        <x:v>1.2600000000000002</x:v>
      </x:c>
      <x:c r="AC264" s="15" t="n">
        <x:f>'기준스탯 72종'!G18*H264</x:f>
        <x:v>1.2600000000000002</x:v>
      </x:c>
      <x:c r="AD264" s="15" t="n">
        <x:f>'기준스탯 72종'!H18*H264</x:f>
        <x:v>0.7200000000000002</x:v>
      </x:c>
      <x:c r="AE264" s="15" t="n">
        <x:f>'기준스탯 72종'!I18*H264</x:f>
        <x:v>1.0800000000000003</x:v>
      </x:c>
      <x:c r="AF264" s="15" t="n">
        <x:f>'기준스탯 72종'!J18*H264</x:f>
        <x:v>0.18000000000000005</x:v>
      </x:c>
      <x:c r="AG264" s="15" t="n">
        <x:f>'기준스탯 72종'!K18*H264</x:f>
        <x:v>0.9000000000000002</x:v>
      </x:c>
    </x:row>
    <x:row r="265" ht="28" customHeight="1">
      <x:c r="A265" s="2" t="n">
        <x:v>258</x:v>
      </x:c>
      <x:c r="B265" s="2" t="n">
        <x:v>11</x:v>
      </x:c>
      <x:c r="C265" s="2" t="str">
        <x:v>황소자리</x:v>
      </x:c>
      <x:c r="D265" s="2" t="str">
        <x:v>도적</x:v>
      </x:c>
      <x:c r="E265" s="2" t="n">
        <x:v>3</x:v>
      </x:c>
      <x:c r="F265" s="2" t="n">
        <x:v>2</x:v>
      </x:c>
      <x:c r="G265" s="14" t="n">
        <x:f>('레벨 계산식'!$E$4-E265)*'레벨 계산식'!$B$5</x:f>
        <x:v>0.27999999999999997</x:v>
      </x:c>
      <x:c r="H265" s="14" t="n">
        <x:f>('등급 계산식'!$E$4-F265)*'등급 계산식'!$B$5</x:f>
        <x:v>0.18000000000000005</x:v>
      </x:c>
      <x:c r="I265" s="14" t="n">
        <x:f>1-G265-H265</x:f>
        <x:v>0.5399999999999999</x:v>
      </x:c>
      <x:c r="J265" s="2" t="n">
        <x:f>MAX(1,ROUND('기준스탯 72종'!D18-R265-Z265,0))</x:f>
        <x:v>4</x:v>
      </x:c>
      <x:c r="K265" s="2" t="n">
        <x:f>MAX(1,ROUND('기준스탯 72종'!E18-S265-AA265,0))</x:f>
        <x:v>4</x:v>
      </x:c>
      <x:c r="L265" s="2" t="n">
        <x:f>MAX(1,ROUND('기준스탯 72종'!F18-T265-AB265,0))</x:f>
        <x:v>4</x:v>
      </x:c>
      <x:c r="M265" s="2" t="n">
        <x:f>MAX(1,ROUND('기준스탯 72종'!G18-U265-AC265,0))</x:f>
        <x:v>4</x:v>
      </x:c>
      <x:c r="N265" s="2" t="n">
        <x:f>MAX(0,ROUND('기준스탯 72종'!H18-V265-AD265,0))</x:f>
        <x:v>2</x:v>
      </x:c>
      <x:c r="O265" s="2" t="n">
        <x:f>MAX(0,ROUND('기준스탯 72종'!I18-W265-AE265,0))</x:f>
        <x:v>3</x:v>
      </x:c>
      <x:c r="P265" s="2" t="n">
        <x:f>MAX(0,ROUND('기준스탯 72종'!J18-X265-AF265,0))</x:f>
        <x:v>1</x:v>
      </x:c>
      <x:c r="Q265" s="2" t="n">
        <x:f>MAX(0,ROUND('기준스탯 72종'!K18-Y265-AG265,0))</x:f>
        <x:v>3</x:v>
      </x:c>
      <x:c r="R265" s="15" t="n">
        <x:f>'기준스탯 72종'!D18*G265</x:f>
        <x:v>2.2399999999999998</x:v>
      </x:c>
      <x:c r="S265" s="15" t="n">
        <x:f>'기준스탯 72종'!E18*G265</x:f>
        <x:v>2.2399999999999998</x:v>
      </x:c>
      <x:c r="T265" s="15" t="n">
        <x:f>'기준스탯 72종'!F18*G265</x:f>
        <x:v>1.9599999999999997</x:v>
      </x:c>
      <x:c r="U265" s="15" t="n">
        <x:f>'기준스탯 72종'!G18*G265</x:f>
        <x:v>1.9599999999999997</x:v>
      </x:c>
      <x:c r="V265" s="15" t="n">
        <x:f>'기준스탯 72종'!H18*G265</x:f>
        <x:v>1.1199999999999999</x:v>
      </x:c>
      <x:c r="W265" s="15" t="n">
        <x:f>'기준스탯 72종'!I18*G265</x:f>
        <x:v>1.6799999999999997</x:v>
      </x:c>
      <x:c r="X265" s="15" t="n">
        <x:f>'기준스탯 72종'!J18*G265</x:f>
        <x:v>0.27999999999999997</x:v>
      </x:c>
      <x:c r="Y265" s="15" t="n">
        <x:f>'기준스탯 72종'!K18*G265</x:f>
        <x:v>1.4</x:v>
      </x:c>
      <x:c r="Z265" s="15" t="n">
        <x:f>'기준스탯 72종'!D18*H265</x:f>
        <x:v>1.4400000000000004</x:v>
      </x:c>
      <x:c r="AA265" s="15" t="n">
        <x:f>'기준스탯 72종'!E18*H265</x:f>
        <x:v>1.4400000000000004</x:v>
      </x:c>
      <x:c r="AB265" s="15" t="n">
        <x:f>'기준스탯 72종'!F18*H265</x:f>
        <x:v>1.2600000000000002</x:v>
      </x:c>
      <x:c r="AC265" s="15" t="n">
        <x:f>'기준스탯 72종'!G18*H265</x:f>
        <x:v>1.2600000000000002</x:v>
      </x:c>
      <x:c r="AD265" s="15" t="n">
        <x:f>'기준스탯 72종'!H18*H265</x:f>
        <x:v>0.7200000000000002</x:v>
      </x:c>
      <x:c r="AE265" s="15" t="n">
        <x:f>'기준스탯 72종'!I18*H265</x:f>
        <x:v>1.0800000000000003</x:v>
      </x:c>
      <x:c r="AF265" s="15" t="n">
        <x:f>'기준스탯 72종'!J18*H265</x:f>
        <x:v>0.18000000000000005</x:v>
      </x:c>
      <x:c r="AG265" s="15" t="n">
        <x:f>'기준스탯 72종'!K18*H265</x:f>
        <x:v>0.9000000000000002</x:v>
      </x:c>
    </x:row>
    <x:row r="266" ht="28" customHeight="1">
      <x:c r="A266" s="2" t="n">
        <x:v>259</x:v>
      </x:c>
      <x:c r="B266" s="2" t="n">
        <x:v>11</x:v>
      </x:c>
      <x:c r="C266" s="2" t="str">
        <x:v>황소자리</x:v>
      </x:c>
      <x:c r="D266" s="2" t="str">
        <x:v>도적</x:v>
      </x:c>
      <x:c r="E266" s="2" t="n">
        <x:v>4</x:v>
      </x:c>
      <x:c r="F266" s="2" t="n">
        <x:v>2</x:v>
      </x:c>
      <x:c r="G266" s="14" t="n">
        <x:f>('레벨 계산식'!$E$4-E266)*'레벨 계산식'!$B$5</x:f>
        <x:v>0.13999999999999999</x:v>
      </x:c>
      <x:c r="H266" s="14" t="n">
        <x:f>('등급 계산식'!$E$4-F266)*'등급 계산식'!$B$5</x:f>
        <x:v>0.18000000000000005</x:v>
      </x:c>
      <x:c r="I266" s="14" t="n">
        <x:f>1-G266-H266</x:f>
        <x:v>0.6799999999999999</x:v>
      </x:c>
      <x:c r="J266" s="2" t="n">
        <x:f>MAX(1,ROUND('기준스탯 72종'!D18-R266-Z266,0))</x:f>
        <x:v>5</x:v>
      </x:c>
      <x:c r="K266" s="2" t="n">
        <x:f>MAX(1,ROUND('기준스탯 72종'!E18-S266-AA266,0))</x:f>
        <x:v>5</x:v>
      </x:c>
      <x:c r="L266" s="2" t="n">
        <x:f>MAX(1,ROUND('기준스탯 72종'!F18-T266-AB266,0))</x:f>
        <x:v>5</x:v>
      </x:c>
      <x:c r="M266" s="2" t="n">
        <x:f>MAX(1,ROUND('기준스탯 72종'!G18-U266-AC266,0))</x:f>
        <x:v>5</x:v>
      </x:c>
      <x:c r="N266" s="2" t="n">
        <x:f>MAX(0,ROUND('기준스탯 72종'!H18-V266-AD266,0))</x:f>
        <x:v>3</x:v>
      </x:c>
      <x:c r="O266" s="2" t="n">
        <x:f>MAX(0,ROUND('기준스탯 72종'!I18-W266-AE266,0))</x:f>
        <x:v>4</x:v>
      </x:c>
      <x:c r="P266" s="2" t="n">
        <x:f>MAX(0,ROUND('기준스탯 72종'!J18-X266-AF266,0))</x:f>
        <x:v>1</x:v>
      </x:c>
      <x:c r="Q266" s="2" t="n">
        <x:f>MAX(0,ROUND('기준스탯 72종'!K18-Y266-AG266,0))</x:f>
        <x:v>3</x:v>
      </x:c>
      <x:c r="R266" s="15" t="n">
        <x:f>'기준스탯 72종'!D18*G266</x:f>
        <x:v>1.1199999999999999</x:v>
      </x:c>
      <x:c r="S266" s="15" t="n">
        <x:f>'기준스탯 72종'!E18*G266</x:f>
        <x:v>1.1199999999999999</x:v>
      </x:c>
      <x:c r="T266" s="15" t="n">
        <x:f>'기준스탯 72종'!F18*G266</x:f>
        <x:v>0.9799999999999999</x:v>
      </x:c>
      <x:c r="U266" s="15" t="n">
        <x:f>'기준스탯 72종'!G18*G266</x:f>
        <x:v>0.9799999999999999</x:v>
      </x:c>
      <x:c r="V266" s="15" t="n">
        <x:f>'기준스탯 72종'!H18*G266</x:f>
        <x:v>0.5599999999999999</x:v>
      </x:c>
      <x:c r="W266" s="15" t="n">
        <x:f>'기준스탯 72종'!I18*G266</x:f>
        <x:v>0.8399999999999999</x:v>
      </x:c>
      <x:c r="X266" s="15" t="n">
        <x:f>'기준스탯 72종'!J18*G266</x:f>
        <x:v>0.13999999999999999</x:v>
      </x:c>
      <x:c r="Y266" s="15" t="n">
        <x:f>'기준스탯 72종'!K18*G266</x:f>
        <x:v>0.7</x:v>
      </x:c>
      <x:c r="Z266" s="15" t="n">
        <x:f>'기준스탯 72종'!D18*H266</x:f>
        <x:v>1.4400000000000004</x:v>
      </x:c>
      <x:c r="AA266" s="15" t="n">
        <x:f>'기준스탯 72종'!E18*H266</x:f>
        <x:v>1.4400000000000004</x:v>
      </x:c>
      <x:c r="AB266" s="15" t="n">
        <x:f>'기준스탯 72종'!F18*H266</x:f>
        <x:v>1.2600000000000002</x:v>
      </x:c>
      <x:c r="AC266" s="15" t="n">
        <x:f>'기준스탯 72종'!G18*H266</x:f>
        <x:v>1.2600000000000002</x:v>
      </x:c>
      <x:c r="AD266" s="15" t="n">
        <x:f>'기준스탯 72종'!H18*H266</x:f>
        <x:v>0.7200000000000002</x:v>
      </x:c>
      <x:c r="AE266" s="15" t="n">
        <x:f>'기준스탯 72종'!I18*H266</x:f>
        <x:v>1.0800000000000003</x:v>
      </x:c>
      <x:c r="AF266" s="15" t="n">
        <x:f>'기준스탯 72종'!J18*H266</x:f>
        <x:v>0.18000000000000005</x:v>
      </x:c>
      <x:c r="AG266" s="15" t="n">
        <x:f>'기준스탯 72종'!K18*H266</x:f>
        <x:v>0.9000000000000002</x:v>
      </x:c>
    </x:row>
    <x:row r="267" ht="28" customHeight="1">
      <x:c r="A267" s="2" t="n">
        <x:v>260</x:v>
      </x:c>
      <x:c r="B267" s="2" t="n">
        <x:v>11</x:v>
      </x:c>
      <x:c r="C267" s="2" t="str">
        <x:v>황소자리</x:v>
      </x:c>
      <x:c r="D267" s="2" t="str">
        <x:v>도적</x:v>
      </x:c>
      <x:c r="E267" s="2" t="n">
        <x:v>5</x:v>
      </x:c>
      <x:c r="F267" s="2" t="n">
        <x:v>2</x:v>
      </x:c>
      <x:c r="G267" s="14" t="n">
        <x:f>('레벨 계산식'!$E$4-E267)*'레벨 계산식'!$B$5</x:f>
        <x:v>0</x:v>
      </x:c>
      <x:c r="H267" s="14" t="n">
        <x:f>('등급 계산식'!$E$4-F267)*'등급 계산식'!$B$5</x:f>
        <x:v>0.18000000000000005</x:v>
      </x:c>
      <x:c r="I267" s="14" t="n">
        <x:f>1-G267-H267</x:f>
        <x:v>0.82</x:v>
      </x:c>
      <x:c r="J267" s="2" t="n">
        <x:f>MAX(1,ROUND('기준스탯 72종'!D18-R267-Z267,0))</x:f>
        <x:v>7</x:v>
      </x:c>
      <x:c r="K267" s="2" t="n">
        <x:f>MAX(1,ROUND('기준스탯 72종'!E18-S267-AA267,0))</x:f>
        <x:v>7</x:v>
      </x:c>
      <x:c r="L267" s="2" t="n">
        <x:f>MAX(1,ROUND('기준스탯 72종'!F18-T267-AB267,0))</x:f>
        <x:v>6</x:v>
      </x:c>
      <x:c r="M267" s="2" t="n">
        <x:f>MAX(1,ROUND('기준스탯 72종'!G18-U267-AC267,0))</x:f>
        <x:v>6</x:v>
      </x:c>
      <x:c r="N267" s="2" t="n">
        <x:f>MAX(0,ROUND('기준스탯 72종'!H18-V267-AD267,0))</x:f>
        <x:v>3</x:v>
      </x:c>
      <x:c r="O267" s="2" t="n">
        <x:f>MAX(0,ROUND('기준스탯 72종'!I18-W267-AE267,0))</x:f>
        <x:v>5</x:v>
      </x:c>
      <x:c r="P267" s="2" t="n">
        <x:f>MAX(0,ROUND('기준스탯 72종'!J18-X267-AF267,0))</x:f>
        <x:v>1</x:v>
      </x:c>
      <x:c r="Q267" s="2" t="n">
        <x:f>MAX(0,ROUND('기준스탯 72종'!K18-Y267-AG267,0))</x:f>
        <x:v>4</x:v>
      </x:c>
      <x:c r="R267" s="15" t="n">
        <x:f>'기준스탯 72종'!D18*G267</x:f>
        <x:v>0</x:v>
      </x:c>
      <x:c r="S267" s="15" t="n">
        <x:f>'기준스탯 72종'!E18*G267</x:f>
        <x:v>0</x:v>
      </x:c>
      <x:c r="T267" s="15" t="n">
        <x:f>'기준스탯 72종'!F18*G267</x:f>
        <x:v>0</x:v>
      </x:c>
      <x:c r="U267" s="15" t="n">
        <x:f>'기준스탯 72종'!G18*G267</x:f>
        <x:v>0</x:v>
      </x:c>
      <x:c r="V267" s="15" t="n">
        <x:f>'기준스탯 72종'!H18*G267</x:f>
        <x:v>0</x:v>
      </x:c>
      <x:c r="W267" s="15" t="n">
        <x:f>'기준스탯 72종'!I18*G267</x:f>
        <x:v>0</x:v>
      </x:c>
      <x:c r="X267" s="15" t="n">
        <x:f>'기준스탯 72종'!J18*G267</x:f>
        <x:v>0</x:v>
      </x:c>
      <x:c r="Y267" s="15" t="n">
        <x:f>'기준스탯 72종'!K18*G267</x:f>
        <x:v>0</x:v>
      </x:c>
      <x:c r="Z267" s="15" t="n">
        <x:f>'기준스탯 72종'!D18*H267</x:f>
        <x:v>1.4400000000000004</x:v>
      </x:c>
      <x:c r="AA267" s="15" t="n">
        <x:f>'기준스탯 72종'!E18*H267</x:f>
        <x:v>1.4400000000000004</x:v>
      </x:c>
      <x:c r="AB267" s="15" t="n">
        <x:f>'기준스탯 72종'!F18*H267</x:f>
        <x:v>1.2600000000000002</x:v>
      </x:c>
      <x:c r="AC267" s="15" t="n">
        <x:f>'기준스탯 72종'!G18*H267</x:f>
        <x:v>1.2600000000000002</x:v>
      </x:c>
      <x:c r="AD267" s="15" t="n">
        <x:f>'기준스탯 72종'!H18*H267</x:f>
        <x:v>0.7200000000000002</x:v>
      </x:c>
      <x:c r="AE267" s="15" t="n">
        <x:f>'기준스탯 72종'!I18*H267</x:f>
        <x:v>1.0800000000000003</x:v>
      </x:c>
      <x:c r="AF267" s="15" t="n">
        <x:f>'기준스탯 72종'!J18*H267</x:f>
        <x:v>0.18000000000000005</x:v>
      </x:c>
      <x:c r="AG267" s="15" t="n">
        <x:f>'기준스탯 72종'!K18*H267</x:f>
        <x:v>0.9000000000000002</x:v>
      </x:c>
    </x:row>
    <x:row r="268" ht="28" customHeight="1">
      <x:c r="A268" s="2" t="n">
        <x:v>261</x:v>
      </x:c>
      <x:c r="B268" s="2" t="n">
        <x:v>11</x:v>
      </x:c>
      <x:c r="C268" s="2" t="str">
        <x:v>황소자리</x:v>
      </x:c>
      <x:c r="D268" s="2" t="str">
        <x:v>도적</x:v>
      </x:c>
      <x:c r="E268" s="2" t="n">
        <x:v>1</x:v>
      </x:c>
      <x:c r="F268" s="2" t="n">
        <x:v>3</x:v>
      </x:c>
      <x:c r="G268" s="14" t="n">
        <x:f>('레벨 계산식'!$E$4-E268)*'레벨 계산식'!$B$5</x:f>
        <x:v>0.5599999999999999</x:v>
      </x:c>
      <x:c r="H268" s="14" t="n">
        <x:f>('등급 계산식'!$E$4-F268)*'등급 계산식'!$B$5</x:f>
        <x:v>0.12000000000000002</x:v>
      </x:c>
      <x:c r="I268" s="14" t="n">
        <x:f>1-G268-H268</x:f>
        <x:v>0.32000000000000006</x:v>
      </x:c>
      <x:c r="J268" s="2" t="n">
        <x:f>MAX(1,ROUND('기준스탯 72종'!D18-R268-Z268,0))</x:f>
        <x:v>3</x:v>
      </x:c>
      <x:c r="K268" s="2" t="n">
        <x:f>MAX(1,ROUND('기준스탯 72종'!E18-S268-AA268,0))</x:f>
        <x:v>3</x:v>
      </x:c>
      <x:c r="L268" s="2" t="n">
        <x:f>MAX(1,ROUND('기준스탯 72종'!F18-T268-AB268,0))</x:f>
        <x:v>2</x:v>
      </x:c>
      <x:c r="M268" s="2" t="n">
        <x:f>MAX(1,ROUND('기준스탯 72종'!G18-U268-AC268,0))</x:f>
        <x:v>2</x:v>
      </x:c>
      <x:c r="N268" s="2" t="n">
        <x:f>MAX(0,ROUND('기준스탯 72종'!H18-V268-AD268,0))</x:f>
        <x:v>1</x:v>
      </x:c>
      <x:c r="O268" s="2" t="n">
        <x:f>MAX(0,ROUND('기준스탯 72종'!I18-W268-AE268,0))</x:f>
        <x:v>2</x:v>
      </x:c>
      <x:c r="P268" s="2" t="n">
        <x:f>MAX(0,ROUND('기준스탯 72종'!J18-X268-AF268,0))</x:f>
        <x:v>0</x:v>
      </x:c>
      <x:c r="Q268" s="2" t="n">
        <x:f>MAX(0,ROUND('기준스탯 72종'!K18-Y268-AG268,0))</x:f>
        <x:v>2</x:v>
      </x:c>
      <x:c r="R268" s="15" t="n">
        <x:f>'기준스탯 72종'!D18*G268</x:f>
        <x:v>4.4799999999999995</x:v>
      </x:c>
      <x:c r="S268" s="15" t="n">
        <x:f>'기준스탯 72종'!E18*G268</x:f>
        <x:v>4.4799999999999995</x:v>
      </x:c>
      <x:c r="T268" s="15" t="n">
        <x:f>'기준스탯 72종'!F18*G268</x:f>
        <x:v>3.9199999999999995</x:v>
      </x:c>
      <x:c r="U268" s="15" t="n">
        <x:f>'기준스탯 72종'!G18*G268</x:f>
        <x:v>3.9199999999999995</x:v>
      </x:c>
      <x:c r="V268" s="15" t="n">
        <x:f>'기준스탯 72종'!H18*G268</x:f>
        <x:v>2.2399999999999998</x:v>
      </x:c>
      <x:c r="W268" s="15" t="n">
        <x:f>'기준스탯 72종'!I18*G268</x:f>
        <x:v>3.3599999999999994</x:v>
      </x:c>
      <x:c r="X268" s="15" t="n">
        <x:f>'기준스탯 72종'!J18*G268</x:f>
        <x:v>0.5599999999999999</x:v>
      </x:c>
      <x:c r="Y268" s="15" t="n">
        <x:f>'기준스탯 72종'!K18*G268</x:f>
        <x:v>2.8</x:v>
      </x:c>
      <x:c r="Z268" s="15" t="n">
        <x:f>'기준스탯 72종'!D18*H268</x:f>
        <x:v>0.9600000000000002</x:v>
      </x:c>
      <x:c r="AA268" s="15" t="n">
        <x:f>'기준스탯 72종'!E18*H268</x:f>
        <x:v>0.9600000000000002</x:v>
      </x:c>
      <x:c r="AB268" s="15" t="n">
        <x:f>'기준스탯 72종'!F18*H268</x:f>
        <x:v>0.8400000000000002</x:v>
      </x:c>
      <x:c r="AC268" s="15" t="n">
        <x:f>'기준스탯 72종'!G18*H268</x:f>
        <x:v>0.8400000000000002</x:v>
      </x:c>
      <x:c r="AD268" s="15" t="n">
        <x:f>'기준스탯 72종'!H18*H268</x:f>
        <x:v>0.4800000000000001</x:v>
      </x:c>
      <x:c r="AE268" s="15" t="n">
        <x:f>'기준스탯 72종'!I18*H268</x:f>
        <x:v>0.7200000000000002</x:v>
      </x:c>
      <x:c r="AF268" s="15" t="n">
        <x:f>'기준스탯 72종'!J18*H268</x:f>
        <x:v>0.12000000000000002</x:v>
      </x:c>
      <x:c r="AG268" s="15" t="n">
        <x:f>'기준스탯 72종'!K18*H268</x:f>
        <x:v>0.6000000000000001</x:v>
      </x:c>
    </x:row>
    <x:row r="269" ht="28" customHeight="1">
      <x:c r="A269" s="2" t="n">
        <x:v>262</x:v>
      </x:c>
      <x:c r="B269" s="2" t="n">
        <x:v>11</x:v>
      </x:c>
      <x:c r="C269" s="2" t="str">
        <x:v>황소자리</x:v>
      </x:c>
      <x:c r="D269" s="2" t="str">
        <x:v>도적</x:v>
      </x:c>
      <x:c r="E269" s="2" t="n">
        <x:v>2</x:v>
      </x:c>
      <x:c r="F269" s="2" t="n">
        <x:v>3</x:v>
      </x:c>
      <x:c r="G269" s="14" t="n">
        <x:f>('레벨 계산식'!$E$4-E269)*'레벨 계산식'!$B$5</x:f>
        <x:v>0.41999999999999993</x:v>
      </x:c>
      <x:c r="H269" s="14" t="n">
        <x:f>('등급 계산식'!$E$4-F269)*'등급 계산식'!$B$5</x:f>
        <x:v>0.12000000000000002</x:v>
      </x:c>
      <x:c r="I269" s="14" t="n">
        <x:f>1-G269-H269</x:f>
        <x:v>0.4600000000000001</x:v>
      </x:c>
      <x:c r="J269" s="2" t="n">
        <x:f>MAX(1,ROUND('기준스탯 72종'!D18-R269-Z269,0))</x:f>
        <x:v>4</x:v>
      </x:c>
      <x:c r="K269" s="2" t="n">
        <x:f>MAX(1,ROUND('기준스탯 72종'!E18-S269-AA269,0))</x:f>
        <x:v>4</x:v>
      </x:c>
      <x:c r="L269" s="2" t="n">
        <x:f>MAX(1,ROUND('기준스탯 72종'!F18-T269-AB269,0))</x:f>
        <x:v>3</x:v>
      </x:c>
      <x:c r="M269" s="2" t="n">
        <x:f>MAX(1,ROUND('기준스탯 72종'!G18-U269-AC269,0))</x:f>
        <x:v>3</x:v>
      </x:c>
      <x:c r="N269" s="2" t="n">
        <x:f>MAX(0,ROUND('기준스탯 72종'!H18-V269-AD269,0))</x:f>
        <x:v>2</x:v>
      </x:c>
      <x:c r="O269" s="2" t="n">
        <x:f>MAX(0,ROUND('기준스탯 72종'!I18-W269-AE269,0))</x:f>
        <x:v>3</x:v>
      </x:c>
      <x:c r="P269" s="2" t="n">
        <x:f>MAX(0,ROUND('기준스탯 72종'!J18-X269-AF269,0))</x:f>
        <x:v>0</x:v>
      </x:c>
      <x:c r="Q269" s="2" t="n">
        <x:f>MAX(0,ROUND('기준스탯 72종'!K18-Y269-AG269,0))</x:f>
        <x:v>2</x:v>
      </x:c>
      <x:c r="R269" s="15" t="n">
        <x:f>'기준스탯 72종'!D18*G269</x:f>
        <x:v>3.3599999999999994</x:v>
      </x:c>
      <x:c r="S269" s="15" t="n">
        <x:f>'기준스탯 72종'!E18*G269</x:f>
        <x:v>3.3599999999999994</x:v>
      </x:c>
      <x:c r="T269" s="15" t="n">
        <x:f>'기준스탯 72종'!F18*G269</x:f>
        <x:v>2.9399999999999995</x:v>
      </x:c>
      <x:c r="U269" s="15" t="n">
        <x:f>'기준스탯 72종'!G18*G269</x:f>
        <x:v>2.9399999999999995</x:v>
      </x:c>
      <x:c r="V269" s="15" t="n">
        <x:f>'기준스탯 72종'!H18*G269</x:f>
        <x:v>1.6799999999999997</x:v>
      </x:c>
      <x:c r="W269" s="15" t="n">
        <x:f>'기준스탯 72종'!I18*G269</x:f>
        <x:v>2.5199999999999996</x:v>
      </x:c>
      <x:c r="X269" s="15" t="n">
        <x:f>'기준스탯 72종'!J18*G269</x:f>
        <x:v>0.41999999999999993</x:v>
      </x:c>
      <x:c r="Y269" s="15" t="n">
        <x:f>'기준스탯 72종'!K18*G269</x:f>
        <x:v>2.0999999999999996</x:v>
      </x:c>
      <x:c r="Z269" s="15" t="n">
        <x:f>'기준스탯 72종'!D18*H269</x:f>
        <x:v>0.9600000000000002</x:v>
      </x:c>
      <x:c r="AA269" s="15" t="n">
        <x:f>'기준스탯 72종'!E18*H269</x:f>
        <x:v>0.9600000000000002</x:v>
      </x:c>
      <x:c r="AB269" s="15" t="n">
        <x:f>'기준스탯 72종'!F18*H269</x:f>
        <x:v>0.8400000000000002</x:v>
      </x:c>
      <x:c r="AC269" s="15" t="n">
        <x:f>'기준스탯 72종'!G18*H269</x:f>
        <x:v>0.8400000000000002</x:v>
      </x:c>
      <x:c r="AD269" s="15" t="n">
        <x:f>'기준스탯 72종'!H18*H269</x:f>
        <x:v>0.4800000000000001</x:v>
      </x:c>
      <x:c r="AE269" s="15" t="n">
        <x:f>'기준스탯 72종'!I18*H269</x:f>
        <x:v>0.7200000000000002</x:v>
      </x:c>
      <x:c r="AF269" s="15" t="n">
        <x:f>'기준스탯 72종'!J18*H269</x:f>
        <x:v>0.12000000000000002</x:v>
      </x:c>
      <x:c r="AG269" s="15" t="n">
        <x:f>'기준스탯 72종'!K18*H269</x:f>
        <x:v>0.6000000000000001</x:v>
      </x:c>
    </x:row>
    <x:row r="270" ht="28" customHeight="1">
      <x:c r="A270" s="2" t="n">
        <x:v>263</x:v>
      </x:c>
      <x:c r="B270" s="2" t="n">
        <x:v>11</x:v>
      </x:c>
      <x:c r="C270" s="2" t="str">
        <x:v>황소자리</x:v>
      </x:c>
      <x:c r="D270" s="2" t="str">
        <x:v>도적</x:v>
      </x:c>
      <x:c r="E270" s="2" t="n">
        <x:v>3</x:v>
      </x:c>
      <x:c r="F270" s="2" t="n">
        <x:v>3</x:v>
      </x:c>
      <x:c r="G270" s="14" t="n">
        <x:f>('레벨 계산식'!$E$4-E270)*'레벨 계산식'!$B$5</x:f>
        <x:v>0.27999999999999997</x:v>
      </x:c>
      <x:c r="H270" s="14" t="n">
        <x:f>('등급 계산식'!$E$4-F270)*'등급 계산식'!$B$5</x:f>
        <x:v>0.12000000000000002</x:v>
      </x:c>
      <x:c r="I270" s="14" t="n">
        <x:f>1-G270-H270</x:f>
        <x:v>0.6</x:v>
      </x:c>
      <x:c r="J270" s="2" t="n">
        <x:f>MAX(1,ROUND('기준스탯 72종'!D18-R270-Z270,0))</x:f>
        <x:v>5</x:v>
      </x:c>
      <x:c r="K270" s="2" t="n">
        <x:f>MAX(1,ROUND('기준스탯 72종'!E18-S270-AA270,0))</x:f>
        <x:v>5</x:v>
      </x:c>
      <x:c r="L270" s="2" t="n">
        <x:f>MAX(1,ROUND('기준스탯 72종'!F18-T270-AB270,0))</x:f>
        <x:v>4</x:v>
      </x:c>
      <x:c r="M270" s="2" t="n">
        <x:f>MAX(1,ROUND('기준스탯 72종'!G18-U270-AC270,0))</x:f>
        <x:v>4</x:v>
      </x:c>
      <x:c r="N270" s="2" t="n">
        <x:f>MAX(0,ROUND('기준스탯 72종'!H18-V270-AD270,0))</x:f>
        <x:v>2</x:v>
      </x:c>
      <x:c r="O270" s="2" t="n">
        <x:f>MAX(0,ROUND('기준스탯 72종'!I18-W270-AE270,0))</x:f>
        <x:v>4</x:v>
      </x:c>
      <x:c r="P270" s="2" t="n">
        <x:f>MAX(0,ROUND('기준스탯 72종'!J18-X270-AF270,0))</x:f>
        <x:v>1</x:v>
      </x:c>
      <x:c r="Q270" s="2" t="n">
        <x:f>MAX(0,ROUND('기준스탯 72종'!K18-Y270-AG270,0))</x:f>
        <x:v>3</x:v>
      </x:c>
      <x:c r="R270" s="15" t="n">
        <x:f>'기준스탯 72종'!D18*G270</x:f>
        <x:v>2.2399999999999998</x:v>
      </x:c>
      <x:c r="S270" s="15" t="n">
        <x:f>'기준스탯 72종'!E18*G270</x:f>
        <x:v>2.2399999999999998</x:v>
      </x:c>
      <x:c r="T270" s="15" t="n">
        <x:f>'기준스탯 72종'!F18*G270</x:f>
        <x:v>1.9599999999999997</x:v>
      </x:c>
      <x:c r="U270" s="15" t="n">
        <x:f>'기준스탯 72종'!G18*G270</x:f>
        <x:v>1.9599999999999997</x:v>
      </x:c>
      <x:c r="V270" s="15" t="n">
        <x:f>'기준스탯 72종'!H18*G270</x:f>
        <x:v>1.1199999999999999</x:v>
      </x:c>
      <x:c r="W270" s="15" t="n">
        <x:f>'기준스탯 72종'!I18*G270</x:f>
        <x:v>1.6799999999999997</x:v>
      </x:c>
      <x:c r="X270" s="15" t="n">
        <x:f>'기준스탯 72종'!J18*G270</x:f>
        <x:v>0.27999999999999997</x:v>
      </x:c>
      <x:c r="Y270" s="15" t="n">
        <x:f>'기준스탯 72종'!K18*G270</x:f>
        <x:v>1.4</x:v>
      </x:c>
      <x:c r="Z270" s="15" t="n">
        <x:f>'기준스탯 72종'!D18*H270</x:f>
        <x:v>0.9600000000000002</x:v>
      </x:c>
      <x:c r="AA270" s="15" t="n">
        <x:f>'기준스탯 72종'!E18*H270</x:f>
        <x:v>0.9600000000000002</x:v>
      </x:c>
      <x:c r="AB270" s="15" t="n">
        <x:f>'기준스탯 72종'!F18*H270</x:f>
        <x:v>0.8400000000000002</x:v>
      </x:c>
      <x:c r="AC270" s="15" t="n">
        <x:f>'기준스탯 72종'!G18*H270</x:f>
        <x:v>0.8400000000000002</x:v>
      </x:c>
      <x:c r="AD270" s="15" t="n">
        <x:f>'기준스탯 72종'!H18*H270</x:f>
        <x:v>0.4800000000000001</x:v>
      </x:c>
      <x:c r="AE270" s="15" t="n">
        <x:f>'기준스탯 72종'!I18*H270</x:f>
        <x:v>0.7200000000000002</x:v>
      </x:c>
      <x:c r="AF270" s="15" t="n">
        <x:f>'기준스탯 72종'!J18*H270</x:f>
        <x:v>0.12000000000000002</x:v>
      </x:c>
      <x:c r="AG270" s="15" t="n">
        <x:f>'기준스탯 72종'!K18*H270</x:f>
        <x:v>0.6000000000000001</x:v>
      </x:c>
    </x:row>
    <x:row r="271" ht="28" customHeight="1">
      <x:c r="A271" s="2" t="n">
        <x:v>264</x:v>
      </x:c>
      <x:c r="B271" s="2" t="n">
        <x:v>11</x:v>
      </x:c>
      <x:c r="C271" s="2" t="str">
        <x:v>황소자리</x:v>
      </x:c>
      <x:c r="D271" s="2" t="str">
        <x:v>도적</x:v>
      </x:c>
      <x:c r="E271" s="2" t="n">
        <x:v>4</x:v>
      </x:c>
      <x:c r="F271" s="2" t="n">
        <x:v>3</x:v>
      </x:c>
      <x:c r="G271" s="14" t="n">
        <x:f>('레벨 계산식'!$E$4-E271)*'레벨 계산식'!$B$5</x:f>
        <x:v>0.13999999999999999</x:v>
      </x:c>
      <x:c r="H271" s="14" t="n">
        <x:f>('등급 계산식'!$E$4-F271)*'등급 계산식'!$B$5</x:f>
        <x:v>0.12000000000000002</x:v>
      </x:c>
      <x:c r="I271" s="14" t="n">
        <x:f>1-G271-H271</x:f>
        <x:v>0.74</x:v>
      </x:c>
      <x:c r="J271" s="2" t="n">
        <x:f>MAX(1,ROUND('기준스탯 72종'!D18-R271-Z271,0))</x:f>
        <x:v>6</x:v>
      </x:c>
      <x:c r="K271" s="2" t="n">
        <x:f>MAX(1,ROUND('기준스탯 72종'!E18-S271-AA271,0))</x:f>
        <x:v>6</x:v>
      </x:c>
      <x:c r="L271" s="2" t="n">
        <x:f>MAX(1,ROUND('기준스탯 72종'!F18-T271-AB271,0))</x:f>
        <x:v>5</x:v>
      </x:c>
      <x:c r="M271" s="2" t="n">
        <x:f>MAX(1,ROUND('기준스탯 72종'!G18-U271-AC271,0))</x:f>
        <x:v>5</x:v>
      </x:c>
      <x:c r="N271" s="2" t="n">
        <x:f>MAX(0,ROUND('기준스탯 72종'!H18-V271-AD271,0))</x:f>
        <x:v>3</x:v>
      </x:c>
      <x:c r="O271" s="2" t="n">
        <x:f>MAX(0,ROUND('기준스탯 72종'!I18-W271-AE271,0))</x:f>
        <x:v>4</x:v>
      </x:c>
      <x:c r="P271" s="2" t="n">
        <x:f>MAX(0,ROUND('기준스탯 72종'!J18-X271-AF271,0))</x:f>
        <x:v>1</x:v>
      </x:c>
      <x:c r="Q271" s="2" t="n">
        <x:f>MAX(0,ROUND('기준스탯 72종'!K18-Y271-AG271,0))</x:f>
        <x:v>4</x:v>
      </x:c>
      <x:c r="R271" s="15" t="n">
        <x:f>'기준스탯 72종'!D18*G271</x:f>
        <x:v>1.1199999999999999</x:v>
      </x:c>
      <x:c r="S271" s="15" t="n">
        <x:f>'기준스탯 72종'!E18*G271</x:f>
        <x:v>1.1199999999999999</x:v>
      </x:c>
      <x:c r="T271" s="15" t="n">
        <x:f>'기준스탯 72종'!F18*G271</x:f>
        <x:v>0.9799999999999999</x:v>
      </x:c>
      <x:c r="U271" s="15" t="n">
        <x:f>'기준스탯 72종'!G18*G271</x:f>
        <x:v>0.9799999999999999</x:v>
      </x:c>
      <x:c r="V271" s="15" t="n">
        <x:f>'기준스탯 72종'!H18*G271</x:f>
        <x:v>0.5599999999999999</x:v>
      </x:c>
      <x:c r="W271" s="15" t="n">
        <x:f>'기준스탯 72종'!I18*G271</x:f>
        <x:v>0.8399999999999999</x:v>
      </x:c>
      <x:c r="X271" s="15" t="n">
        <x:f>'기준스탯 72종'!J18*G271</x:f>
        <x:v>0.13999999999999999</x:v>
      </x:c>
      <x:c r="Y271" s="15" t="n">
        <x:f>'기준스탯 72종'!K18*G271</x:f>
        <x:v>0.7</x:v>
      </x:c>
      <x:c r="Z271" s="15" t="n">
        <x:f>'기준스탯 72종'!D18*H271</x:f>
        <x:v>0.9600000000000002</x:v>
      </x:c>
      <x:c r="AA271" s="15" t="n">
        <x:f>'기준스탯 72종'!E18*H271</x:f>
        <x:v>0.9600000000000002</x:v>
      </x:c>
      <x:c r="AB271" s="15" t="n">
        <x:f>'기준스탯 72종'!F18*H271</x:f>
        <x:v>0.8400000000000002</x:v>
      </x:c>
      <x:c r="AC271" s="15" t="n">
        <x:f>'기준스탯 72종'!G18*H271</x:f>
        <x:v>0.8400000000000002</x:v>
      </x:c>
      <x:c r="AD271" s="15" t="n">
        <x:f>'기준스탯 72종'!H18*H271</x:f>
        <x:v>0.4800000000000001</x:v>
      </x:c>
      <x:c r="AE271" s="15" t="n">
        <x:f>'기준스탯 72종'!I18*H271</x:f>
        <x:v>0.7200000000000002</x:v>
      </x:c>
      <x:c r="AF271" s="15" t="n">
        <x:f>'기준스탯 72종'!J18*H271</x:f>
        <x:v>0.12000000000000002</x:v>
      </x:c>
      <x:c r="AG271" s="15" t="n">
        <x:f>'기준스탯 72종'!K18*H271</x:f>
        <x:v>0.6000000000000001</x:v>
      </x:c>
    </x:row>
    <x:row r="272" ht="28" customHeight="1">
      <x:c r="A272" s="2" t="n">
        <x:v>265</x:v>
      </x:c>
      <x:c r="B272" s="2" t="n">
        <x:v>11</x:v>
      </x:c>
      <x:c r="C272" s="2" t="str">
        <x:v>황소자리</x:v>
      </x:c>
      <x:c r="D272" s="2" t="str">
        <x:v>도적</x:v>
      </x:c>
      <x:c r="E272" s="2" t="n">
        <x:v>5</x:v>
      </x:c>
      <x:c r="F272" s="2" t="n">
        <x:v>3</x:v>
      </x:c>
      <x:c r="G272" s="14" t="n">
        <x:f>('레벨 계산식'!$E$4-E272)*'레벨 계산식'!$B$5</x:f>
        <x:v>0</x:v>
      </x:c>
      <x:c r="H272" s="14" t="n">
        <x:f>('등급 계산식'!$E$4-F272)*'등급 계산식'!$B$5</x:f>
        <x:v>0.12000000000000002</x:v>
      </x:c>
      <x:c r="I272" s="14" t="n">
        <x:f>1-G272-H272</x:f>
        <x:v>0.88</x:v>
      </x:c>
      <x:c r="J272" s="2" t="n">
        <x:f>MAX(1,ROUND('기준스탯 72종'!D18-R272-Z272,0))</x:f>
        <x:v>7</x:v>
      </x:c>
      <x:c r="K272" s="2" t="n">
        <x:f>MAX(1,ROUND('기준스탯 72종'!E18-S272-AA272,0))</x:f>
        <x:v>7</x:v>
      </x:c>
      <x:c r="L272" s="2" t="n">
        <x:f>MAX(1,ROUND('기준스탯 72종'!F18-T272-AB272,0))</x:f>
        <x:v>6</x:v>
      </x:c>
      <x:c r="M272" s="2" t="n">
        <x:f>MAX(1,ROUND('기준스탯 72종'!G18-U272-AC272,0))</x:f>
        <x:v>6</x:v>
      </x:c>
      <x:c r="N272" s="2" t="n">
        <x:f>MAX(0,ROUND('기준스탯 72종'!H18-V272-AD272,0))</x:f>
        <x:v>4</x:v>
      </x:c>
      <x:c r="O272" s="2" t="n">
        <x:f>MAX(0,ROUND('기준스탯 72종'!I18-W272-AE272,0))</x:f>
        <x:v>5</x:v>
      </x:c>
      <x:c r="P272" s="2" t="n">
        <x:f>MAX(0,ROUND('기준스탯 72종'!J18-X272-AF272,0))</x:f>
        <x:v>1</x:v>
      </x:c>
      <x:c r="Q272" s="2" t="n">
        <x:f>MAX(0,ROUND('기준스탯 72종'!K18-Y272-AG272,0))</x:f>
        <x:v>4</x:v>
      </x:c>
      <x:c r="R272" s="15" t="n">
        <x:f>'기준스탯 72종'!D18*G272</x:f>
        <x:v>0</x:v>
      </x:c>
      <x:c r="S272" s="15" t="n">
        <x:f>'기준스탯 72종'!E18*G272</x:f>
        <x:v>0</x:v>
      </x:c>
      <x:c r="T272" s="15" t="n">
        <x:f>'기준스탯 72종'!F18*G272</x:f>
        <x:v>0</x:v>
      </x:c>
      <x:c r="U272" s="15" t="n">
        <x:f>'기준스탯 72종'!G18*G272</x:f>
        <x:v>0</x:v>
      </x:c>
      <x:c r="V272" s="15" t="n">
        <x:f>'기준스탯 72종'!H18*G272</x:f>
        <x:v>0</x:v>
      </x:c>
      <x:c r="W272" s="15" t="n">
        <x:f>'기준스탯 72종'!I18*G272</x:f>
        <x:v>0</x:v>
      </x:c>
      <x:c r="X272" s="15" t="n">
        <x:f>'기준스탯 72종'!J18*G272</x:f>
        <x:v>0</x:v>
      </x:c>
      <x:c r="Y272" s="15" t="n">
        <x:f>'기준스탯 72종'!K18*G272</x:f>
        <x:v>0</x:v>
      </x:c>
      <x:c r="Z272" s="15" t="n">
        <x:f>'기준스탯 72종'!D18*H272</x:f>
        <x:v>0.9600000000000002</x:v>
      </x:c>
      <x:c r="AA272" s="15" t="n">
        <x:f>'기준스탯 72종'!E18*H272</x:f>
        <x:v>0.9600000000000002</x:v>
      </x:c>
      <x:c r="AB272" s="15" t="n">
        <x:f>'기준스탯 72종'!F18*H272</x:f>
        <x:v>0.8400000000000002</x:v>
      </x:c>
      <x:c r="AC272" s="15" t="n">
        <x:f>'기준스탯 72종'!G18*H272</x:f>
        <x:v>0.8400000000000002</x:v>
      </x:c>
      <x:c r="AD272" s="15" t="n">
        <x:f>'기준스탯 72종'!H18*H272</x:f>
        <x:v>0.4800000000000001</x:v>
      </x:c>
      <x:c r="AE272" s="15" t="n">
        <x:f>'기준스탯 72종'!I18*H272</x:f>
        <x:v>0.7200000000000002</x:v>
      </x:c>
      <x:c r="AF272" s="15" t="n">
        <x:f>'기준스탯 72종'!J18*H272</x:f>
        <x:v>0.12000000000000002</x:v>
      </x:c>
      <x:c r="AG272" s="15" t="n">
        <x:f>'기준스탯 72종'!K18*H272</x:f>
        <x:v>0.6000000000000001</x:v>
      </x:c>
    </x:row>
    <x:row r="273" ht="28" customHeight="1">
      <x:c r="A273" s="2" t="n">
        <x:v>266</x:v>
      </x:c>
      <x:c r="B273" s="2" t="n">
        <x:v>11</x:v>
      </x:c>
      <x:c r="C273" s="2" t="str">
        <x:v>황소자리</x:v>
      </x:c>
      <x:c r="D273" s="2" t="str">
        <x:v>도적</x:v>
      </x:c>
      <x:c r="E273" s="2" t="n">
        <x:v>1</x:v>
      </x:c>
      <x:c r="F273" s="2" t="n">
        <x:v>4</x:v>
      </x:c>
      <x:c r="G273" s="14" t="n">
        <x:f>('레벨 계산식'!$E$4-E273)*'레벨 계산식'!$B$5</x:f>
        <x:v>0.5599999999999999</x:v>
      </x:c>
      <x:c r="H273" s="14" t="n">
        <x:f>('등급 계산식'!$E$4-F273)*'등급 계산식'!$B$5</x:f>
        <x:v>0.06000000000000001</x:v>
      </x:c>
      <x:c r="I273" s="14" t="n">
        <x:f>1-G273-H273</x:f>
        <x:v>0.38000000000000006</x:v>
      </x:c>
      <x:c r="J273" s="2" t="n">
        <x:f>MAX(1,ROUND('기준스탯 72종'!D18-R273-Z273,0))</x:f>
        <x:v>3</x:v>
      </x:c>
      <x:c r="K273" s="2" t="n">
        <x:f>MAX(1,ROUND('기준스탯 72종'!E18-S273-AA273,0))</x:f>
        <x:v>3</x:v>
      </x:c>
      <x:c r="L273" s="2" t="n">
        <x:f>MAX(1,ROUND('기준스탯 72종'!F18-T273-AB273,0))</x:f>
        <x:v>3</x:v>
      </x:c>
      <x:c r="M273" s="2" t="n">
        <x:f>MAX(1,ROUND('기준스탯 72종'!G18-U273-AC273,0))</x:f>
        <x:v>3</x:v>
      </x:c>
      <x:c r="N273" s="2" t="n">
        <x:f>MAX(0,ROUND('기준스탯 72종'!H18-V273-AD273,0))</x:f>
        <x:v>2</x:v>
      </x:c>
      <x:c r="O273" s="2" t="n">
        <x:f>MAX(0,ROUND('기준스탯 72종'!I18-W273-AE273,0))</x:f>
        <x:v>2</x:v>
      </x:c>
      <x:c r="P273" s="2" t="n">
        <x:f>MAX(0,ROUND('기준스탯 72종'!J18-X273-AF273,0))</x:f>
        <x:v>0</x:v>
      </x:c>
      <x:c r="Q273" s="2" t="n">
        <x:f>MAX(0,ROUND('기준스탯 72종'!K18-Y273-AG273,0))</x:f>
        <x:v>2</x:v>
      </x:c>
      <x:c r="R273" s="15" t="n">
        <x:f>'기준스탯 72종'!D18*G273</x:f>
        <x:v>4.4799999999999995</x:v>
      </x:c>
      <x:c r="S273" s="15" t="n">
        <x:f>'기준스탯 72종'!E18*G273</x:f>
        <x:v>4.4799999999999995</x:v>
      </x:c>
      <x:c r="T273" s="15" t="n">
        <x:f>'기준스탯 72종'!F18*G273</x:f>
        <x:v>3.9199999999999995</x:v>
      </x:c>
      <x:c r="U273" s="15" t="n">
        <x:f>'기준스탯 72종'!G18*G273</x:f>
        <x:v>3.9199999999999995</x:v>
      </x:c>
      <x:c r="V273" s="15" t="n">
        <x:f>'기준스탯 72종'!H18*G273</x:f>
        <x:v>2.2399999999999998</x:v>
      </x:c>
      <x:c r="W273" s="15" t="n">
        <x:f>'기준스탯 72종'!I18*G273</x:f>
        <x:v>3.3599999999999994</x:v>
      </x:c>
      <x:c r="X273" s="15" t="n">
        <x:f>'기준스탯 72종'!J18*G273</x:f>
        <x:v>0.5599999999999999</x:v>
      </x:c>
      <x:c r="Y273" s="15" t="n">
        <x:f>'기준스탯 72종'!K18*G273</x:f>
        <x:v>2.8</x:v>
      </x:c>
      <x:c r="Z273" s="15" t="n">
        <x:f>'기준스탯 72종'!D18*H273</x:f>
        <x:v>0.4800000000000001</x:v>
      </x:c>
      <x:c r="AA273" s="15" t="n">
        <x:f>'기준스탯 72종'!E18*H273</x:f>
        <x:v>0.4800000000000001</x:v>
      </x:c>
      <x:c r="AB273" s="15" t="n">
        <x:f>'기준스탯 72종'!F18*H273</x:f>
        <x:v>0.4200000000000001</x:v>
      </x:c>
      <x:c r="AC273" s="15" t="n">
        <x:f>'기준스탯 72종'!G18*H273</x:f>
        <x:v>0.4200000000000001</x:v>
      </x:c>
      <x:c r="AD273" s="15" t="n">
        <x:f>'기준스탯 72종'!H18*H273</x:f>
        <x:v>0.24000000000000005</x:v>
      </x:c>
      <x:c r="AE273" s="15" t="n">
        <x:f>'기준스탯 72종'!I18*H273</x:f>
        <x:v>0.3600000000000001</x:v>
      </x:c>
      <x:c r="AF273" s="15" t="n">
        <x:f>'기준스탯 72종'!J18*H273</x:f>
        <x:v>0.06000000000000001</x:v>
      </x:c>
      <x:c r="AG273" s="15" t="n">
        <x:f>'기준스탯 72종'!K18*H273</x:f>
        <x:v>0.30000000000000004</x:v>
      </x:c>
    </x:row>
    <x:row r="274" ht="28" customHeight="1">
      <x:c r="A274" s="2" t="n">
        <x:v>267</x:v>
      </x:c>
      <x:c r="B274" s="2" t="n">
        <x:v>11</x:v>
      </x:c>
      <x:c r="C274" s="2" t="str">
        <x:v>황소자리</x:v>
      </x:c>
      <x:c r="D274" s="2" t="str">
        <x:v>도적</x:v>
      </x:c>
      <x:c r="E274" s="2" t="n">
        <x:v>2</x:v>
      </x:c>
      <x:c r="F274" s="2" t="n">
        <x:v>4</x:v>
      </x:c>
      <x:c r="G274" s="14" t="n">
        <x:f>('레벨 계산식'!$E$4-E274)*'레벨 계산식'!$B$5</x:f>
        <x:v>0.41999999999999993</x:v>
      </x:c>
      <x:c r="H274" s="14" t="n">
        <x:f>('등급 계산식'!$E$4-F274)*'등급 계산식'!$B$5</x:f>
        <x:v>0.06000000000000001</x:v>
      </x:c>
      <x:c r="I274" s="14" t="n">
        <x:f>1-G274-H274</x:f>
        <x:v>0.52</x:v>
      </x:c>
      <x:c r="J274" s="2" t="n">
        <x:f>MAX(1,ROUND('기준스탯 72종'!D18-R274-Z274,0))</x:f>
        <x:v>4</x:v>
      </x:c>
      <x:c r="K274" s="2" t="n">
        <x:f>MAX(1,ROUND('기준스탯 72종'!E18-S274-AA274,0))</x:f>
        <x:v>4</x:v>
      </x:c>
      <x:c r="L274" s="2" t="n">
        <x:f>MAX(1,ROUND('기준스탯 72종'!F18-T274-AB274,0))</x:f>
        <x:v>4</x:v>
      </x:c>
      <x:c r="M274" s="2" t="n">
        <x:f>MAX(1,ROUND('기준스탯 72종'!G18-U274-AC274,0))</x:f>
        <x:v>4</x:v>
      </x:c>
      <x:c r="N274" s="2" t="n">
        <x:f>MAX(0,ROUND('기준스탯 72종'!H18-V274-AD274,0))</x:f>
        <x:v>2</x:v>
      </x:c>
      <x:c r="O274" s="2" t="n">
        <x:f>MAX(0,ROUND('기준스탯 72종'!I18-W274-AE274,0))</x:f>
        <x:v>3</x:v>
      </x:c>
      <x:c r="P274" s="2" t="n">
        <x:f>MAX(0,ROUND('기준스탯 72종'!J18-X274-AF274,0))</x:f>
        <x:v>1</x:v>
      </x:c>
      <x:c r="Q274" s="2" t="n">
        <x:f>MAX(0,ROUND('기준스탯 72종'!K18-Y274-AG274,0))</x:f>
        <x:v>3</x:v>
      </x:c>
      <x:c r="R274" s="15" t="n">
        <x:f>'기준스탯 72종'!D18*G274</x:f>
        <x:v>3.3599999999999994</x:v>
      </x:c>
      <x:c r="S274" s="15" t="n">
        <x:f>'기준스탯 72종'!E18*G274</x:f>
        <x:v>3.3599999999999994</x:v>
      </x:c>
      <x:c r="T274" s="15" t="n">
        <x:f>'기준스탯 72종'!F18*G274</x:f>
        <x:v>2.9399999999999995</x:v>
      </x:c>
      <x:c r="U274" s="15" t="n">
        <x:f>'기준스탯 72종'!G18*G274</x:f>
        <x:v>2.9399999999999995</x:v>
      </x:c>
      <x:c r="V274" s="15" t="n">
        <x:f>'기준스탯 72종'!H18*G274</x:f>
        <x:v>1.6799999999999997</x:v>
      </x:c>
      <x:c r="W274" s="15" t="n">
        <x:f>'기준스탯 72종'!I18*G274</x:f>
        <x:v>2.5199999999999996</x:v>
      </x:c>
      <x:c r="X274" s="15" t="n">
        <x:f>'기준스탯 72종'!J18*G274</x:f>
        <x:v>0.41999999999999993</x:v>
      </x:c>
      <x:c r="Y274" s="15" t="n">
        <x:f>'기준스탯 72종'!K18*G274</x:f>
        <x:v>2.0999999999999996</x:v>
      </x:c>
      <x:c r="Z274" s="15" t="n">
        <x:f>'기준스탯 72종'!D18*H274</x:f>
        <x:v>0.4800000000000001</x:v>
      </x:c>
      <x:c r="AA274" s="15" t="n">
        <x:f>'기준스탯 72종'!E18*H274</x:f>
        <x:v>0.4800000000000001</x:v>
      </x:c>
      <x:c r="AB274" s="15" t="n">
        <x:f>'기준스탯 72종'!F18*H274</x:f>
        <x:v>0.4200000000000001</x:v>
      </x:c>
      <x:c r="AC274" s="15" t="n">
        <x:f>'기준스탯 72종'!G18*H274</x:f>
        <x:v>0.4200000000000001</x:v>
      </x:c>
      <x:c r="AD274" s="15" t="n">
        <x:f>'기준스탯 72종'!H18*H274</x:f>
        <x:v>0.24000000000000005</x:v>
      </x:c>
      <x:c r="AE274" s="15" t="n">
        <x:f>'기준스탯 72종'!I18*H274</x:f>
        <x:v>0.3600000000000001</x:v>
      </x:c>
      <x:c r="AF274" s="15" t="n">
        <x:f>'기준스탯 72종'!J18*H274</x:f>
        <x:v>0.06000000000000001</x:v>
      </x:c>
      <x:c r="AG274" s="15" t="n">
        <x:f>'기준스탯 72종'!K18*H274</x:f>
        <x:v>0.30000000000000004</x:v>
      </x:c>
    </x:row>
    <x:row r="275" ht="28" customHeight="1">
      <x:c r="A275" s="2" t="n">
        <x:v>268</x:v>
      </x:c>
      <x:c r="B275" s="2" t="n">
        <x:v>11</x:v>
      </x:c>
      <x:c r="C275" s="2" t="str">
        <x:v>황소자리</x:v>
      </x:c>
      <x:c r="D275" s="2" t="str">
        <x:v>도적</x:v>
      </x:c>
      <x:c r="E275" s="2" t="n">
        <x:v>3</x:v>
      </x:c>
      <x:c r="F275" s="2" t="n">
        <x:v>4</x:v>
      </x:c>
      <x:c r="G275" s="14" t="n">
        <x:f>('레벨 계산식'!$E$4-E275)*'레벨 계산식'!$B$5</x:f>
        <x:v>0.27999999999999997</x:v>
      </x:c>
      <x:c r="H275" s="14" t="n">
        <x:f>('등급 계산식'!$E$4-F275)*'등급 계산식'!$B$5</x:f>
        <x:v>0.06000000000000001</x:v>
      </x:c>
      <x:c r="I275" s="14" t="n">
        <x:f>1-G275-H275</x:f>
        <x:v>0.6599999999999999</x:v>
      </x:c>
      <x:c r="J275" s="2" t="n">
        <x:f>MAX(1,ROUND('기준스탯 72종'!D18-R275-Z275,0))</x:f>
        <x:v>5</x:v>
      </x:c>
      <x:c r="K275" s="2" t="n">
        <x:f>MAX(1,ROUND('기준스탯 72종'!E18-S275-AA275,0))</x:f>
        <x:v>5</x:v>
      </x:c>
      <x:c r="L275" s="2" t="n">
        <x:f>MAX(1,ROUND('기준스탯 72종'!F18-T275-AB275,0))</x:f>
        <x:v>5</x:v>
      </x:c>
      <x:c r="M275" s="2" t="n">
        <x:f>MAX(1,ROUND('기준스탯 72종'!G18-U275-AC275,0))</x:f>
        <x:v>5</x:v>
      </x:c>
      <x:c r="N275" s="2" t="n">
        <x:f>MAX(0,ROUND('기준스탯 72종'!H18-V275-AD275,0))</x:f>
        <x:v>3</x:v>
      </x:c>
      <x:c r="O275" s="2" t="n">
        <x:f>MAX(0,ROUND('기준스탯 72종'!I18-W275-AE275,0))</x:f>
        <x:v>4</x:v>
      </x:c>
      <x:c r="P275" s="2" t="n">
        <x:f>MAX(0,ROUND('기준스탯 72종'!J18-X275-AF275,0))</x:f>
        <x:v>1</x:v>
      </x:c>
      <x:c r="Q275" s="2" t="n">
        <x:f>MAX(0,ROUND('기준스탯 72종'!K18-Y275-AG275,0))</x:f>
        <x:v>3</x:v>
      </x:c>
      <x:c r="R275" s="15" t="n">
        <x:f>'기준스탯 72종'!D18*G275</x:f>
        <x:v>2.2399999999999998</x:v>
      </x:c>
      <x:c r="S275" s="15" t="n">
        <x:f>'기준스탯 72종'!E18*G275</x:f>
        <x:v>2.2399999999999998</x:v>
      </x:c>
      <x:c r="T275" s="15" t="n">
        <x:f>'기준스탯 72종'!F18*G275</x:f>
        <x:v>1.9599999999999997</x:v>
      </x:c>
      <x:c r="U275" s="15" t="n">
        <x:f>'기준스탯 72종'!G18*G275</x:f>
        <x:v>1.9599999999999997</x:v>
      </x:c>
      <x:c r="V275" s="15" t="n">
        <x:f>'기준스탯 72종'!H18*G275</x:f>
        <x:v>1.1199999999999999</x:v>
      </x:c>
      <x:c r="W275" s="15" t="n">
        <x:f>'기준스탯 72종'!I18*G275</x:f>
        <x:v>1.6799999999999997</x:v>
      </x:c>
      <x:c r="X275" s="15" t="n">
        <x:f>'기준스탯 72종'!J18*G275</x:f>
        <x:v>0.27999999999999997</x:v>
      </x:c>
      <x:c r="Y275" s="15" t="n">
        <x:f>'기준스탯 72종'!K18*G275</x:f>
        <x:v>1.4</x:v>
      </x:c>
      <x:c r="Z275" s="15" t="n">
        <x:f>'기준스탯 72종'!D18*H275</x:f>
        <x:v>0.4800000000000001</x:v>
      </x:c>
      <x:c r="AA275" s="15" t="n">
        <x:f>'기준스탯 72종'!E18*H275</x:f>
        <x:v>0.4800000000000001</x:v>
      </x:c>
      <x:c r="AB275" s="15" t="n">
        <x:f>'기준스탯 72종'!F18*H275</x:f>
        <x:v>0.4200000000000001</x:v>
      </x:c>
      <x:c r="AC275" s="15" t="n">
        <x:f>'기준스탯 72종'!G18*H275</x:f>
        <x:v>0.4200000000000001</x:v>
      </x:c>
      <x:c r="AD275" s="15" t="n">
        <x:f>'기준스탯 72종'!H18*H275</x:f>
        <x:v>0.24000000000000005</x:v>
      </x:c>
      <x:c r="AE275" s="15" t="n">
        <x:f>'기준스탯 72종'!I18*H275</x:f>
        <x:v>0.3600000000000001</x:v>
      </x:c>
      <x:c r="AF275" s="15" t="n">
        <x:f>'기준스탯 72종'!J18*H275</x:f>
        <x:v>0.06000000000000001</x:v>
      </x:c>
      <x:c r="AG275" s="15" t="n">
        <x:f>'기준스탯 72종'!K18*H275</x:f>
        <x:v>0.30000000000000004</x:v>
      </x:c>
    </x:row>
    <x:row r="276" ht="28" customHeight="1">
      <x:c r="A276" s="2" t="n">
        <x:v>269</x:v>
      </x:c>
      <x:c r="B276" s="2" t="n">
        <x:v>11</x:v>
      </x:c>
      <x:c r="C276" s="2" t="str">
        <x:v>황소자리</x:v>
      </x:c>
      <x:c r="D276" s="2" t="str">
        <x:v>도적</x:v>
      </x:c>
      <x:c r="E276" s="2" t="n">
        <x:v>4</x:v>
      </x:c>
      <x:c r="F276" s="2" t="n">
        <x:v>4</x:v>
      </x:c>
      <x:c r="G276" s="14" t="n">
        <x:f>('레벨 계산식'!$E$4-E276)*'레벨 계산식'!$B$5</x:f>
        <x:v>0.13999999999999999</x:v>
      </x:c>
      <x:c r="H276" s="14" t="n">
        <x:f>('등급 계산식'!$E$4-F276)*'등급 계산식'!$B$5</x:f>
        <x:v>0.06000000000000001</x:v>
      </x:c>
      <x:c r="I276" s="14" t="n">
        <x:f>1-G276-H276</x:f>
        <x:v>0.7999999999999999</x:v>
      </x:c>
      <x:c r="J276" s="2" t="n">
        <x:f>MAX(1,ROUND('기준스탯 72종'!D18-R276-Z276,0))</x:f>
        <x:v>6</x:v>
      </x:c>
      <x:c r="K276" s="2" t="n">
        <x:f>MAX(1,ROUND('기준스탯 72종'!E18-S276-AA276,0))</x:f>
        <x:v>6</x:v>
      </x:c>
      <x:c r="L276" s="2" t="n">
        <x:f>MAX(1,ROUND('기준스탯 72종'!F18-T276-AB276,0))</x:f>
        <x:v>6</x:v>
      </x:c>
      <x:c r="M276" s="2" t="n">
        <x:f>MAX(1,ROUND('기준스탯 72종'!G18-U276-AC276,0))</x:f>
        <x:v>6</x:v>
      </x:c>
      <x:c r="N276" s="2" t="n">
        <x:f>MAX(0,ROUND('기준스탯 72종'!H18-V276-AD276,0))</x:f>
        <x:v>3</x:v>
      </x:c>
      <x:c r="O276" s="2" t="n">
        <x:f>MAX(0,ROUND('기준스탯 72종'!I18-W276-AE276,0))</x:f>
        <x:v>5</x:v>
      </x:c>
      <x:c r="P276" s="2" t="n">
        <x:f>MAX(0,ROUND('기준스탯 72종'!J18-X276-AF276,0))</x:f>
        <x:v>1</x:v>
      </x:c>
      <x:c r="Q276" s="2" t="n">
        <x:f>MAX(0,ROUND('기준스탯 72종'!K18-Y276-AG276,0))</x:f>
        <x:v>4</x:v>
      </x:c>
      <x:c r="R276" s="15" t="n">
        <x:f>'기준스탯 72종'!D18*G276</x:f>
        <x:v>1.1199999999999999</x:v>
      </x:c>
      <x:c r="S276" s="15" t="n">
        <x:f>'기준스탯 72종'!E18*G276</x:f>
        <x:v>1.1199999999999999</x:v>
      </x:c>
      <x:c r="T276" s="15" t="n">
        <x:f>'기준스탯 72종'!F18*G276</x:f>
        <x:v>0.9799999999999999</x:v>
      </x:c>
      <x:c r="U276" s="15" t="n">
        <x:f>'기준스탯 72종'!G18*G276</x:f>
        <x:v>0.9799999999999999</x:v>
      </x:c>
      <x:c r="V276" s="15" t="n">
        <x:f>'기준스탯 72종'!H18*G276</x:f>
        <x:v>0.5599999999999999</x:v>
      </x:c>
      <x:c r="W276" s="15" t="n">
        <x:f>'기준스탯 72종'!I18*G276</x:f>
        <x:v>0.8399999999999999</x:v>
      </x:c>
      <x:c r="X276" s="15" t="n">
        <x:f>'기준스탯 72종'!J18*G276</x:f>
        <x:v>0.13999999999999999</x:v>
      </x:c>
      <x:c r="Y276" s="15" t="n">
        <x:f>'기준스탯 72종'!K18*G276</x:f>
        <x:v>0.7</x:v>
      </x:c>
      <x:c r="Z276" s="15" t="n">
        <x:f>'기준스탯 72종'!D18*H276</x:f>
        <x:v>0.4800000000000001</x:v>
      </x:c>
      <x:c r="AA276" s="15" t="n">
        <x:f>'기준스탯 72종'!E18*H276</x:f>
        <x:v>0.4800000000000001</x:v>
      </x:c>
      <x:c r="AB276" s="15" t="n">
        <x:f>'기준스탯 72종'!F18*H276</x:f>
        <x:v>0.4200000000000001</x:v>
      </x:c>
      <x:c r="AC276" s="15" t="n">
        <x:f>'기준스탯 72종'!G18*H276</x:f>
        <x:v>0.4200000000000001</x:v>
      </x:c>
      <x:c r="AD276" s="15" t="n">
        <x:f>'기준스탯 72종'!H18*H276</x:f>
        <x:v>0.24000000000000005</x:v>
      </x:c>
      <x:c r="AE276" s="15" t="n">
        <x:f>'기준스탯 72종'!I18*H276</x:f>
        <x:v>0.3600000000000001</x:v>
      </x:c>
      <x:c r="AF276" s="15" t="n">
        <x:f>'기준스탯 72종'!J18*H276</x:f>
        <x:v>0.06000000000000001</x:v>
      </x:c>
      <x:c r="AG276" s="15" t="n">
        <x:f>'기준스탯 72종'!K18*H276</x:f>
        <x:v>0.30000000000000004</x:v>
      </x:c>
    </x:row>
    <x:row r="277" ht="28" customHeight="1">
      <x:c r="A277" s="2" t="n">
        <x:v>270</x:v>
      </x:c>
      <x:c r="B277" s="2" t="n">
        <x:v>11</x:v>
      </x:c>
      <x:c r="C277" s="2" t="str">
        <x:v>황소자리</x:v>
      </x:c>
      <x:c r="D277" s="2" t="str">
        <x:v>도적</x:v>
      </x:c>
      <x:c r="E277" s="2" t="n">
        <x:v>5</x:v>
      </x:c>
      <x:c r="F277" s="2" t="n">
        <x:v>4</x:v>
      </x:c>
      <x:c r="G277" s="14" t="n">
        <x:f>('레벨 계산식'!$E$4-E277)*'레벨 계산식'!$B$5</x:f>
        <x:v>0</x:v>
      </x:c>
      <x:c r="H277" s="14" t="n">
        <x:f>('등급 계산식'!$E$4-F277)*'등급 계산식'!$B$5</x:f>
        <x:v>0.06000000000000001</x:v>
      </x:c>
      <x:c r="I277" s="14" t="n">
        <x:f>1-G277-H277</x:f>
        <x:v>0.94</x:v>
      </x:c>
      <x:c r="J277" s="2" t="n">
        <x:f>MAX(1,ROUND('기준스탯 72종'!D18-R277-Z277,0))</x:f>
        <x:v>8</x:v>
      </x:c>
      <x:c r="K277" s="2" t="n">
        <x:f>MAX(1,ROUND('기준스탯 72종'!E18-S277-AA277,0))</x:f>
        <x:v>8</x:v>
      </x:c>
      <x:c r="L277" s="2" t="n">
        <x:f>MAX(1,ROUND('기준스탯 72종'!F18-T277-AB277,0))</x:f>
        <x:v>7</x:v>
      </x:c>
      <x:c r="M277" s="2" t="n">
        <x:f>MAX(1,ROUND('기준스탯 72종'!G18-U277-AC277,0))</x:f>
        <x:v>7</x:v>
      </x:c>
      <x:c r="N277" s="2" t="n">
        <x:f>MAX(0,ROUND('기준스탯 72종'!H18-V277-AD277,0))</x:f>
        <x:v>4</x:v>
      </x:c>
      <x:c r="O277" s="2" t="n">
        <x:f>MAX(0,ROUND('기준스탯 72종'!I18-W277-AE277,0))</x:f>
        <x:v>6</x:v>
      </x:c>
      <x:c r="P277" s="2" t="n">
        <x:f>MAX(0,ROUND('기준스탯 72종'!J18-X277-AF277,0))</x:f>
        <x:v>1</x:v>
      </x:c>
      <x:c r="Q277" s="2" t="n">
        <x:f>MAX(0,ROUND('기준스탯 72종'!K18-Y277-AG277,0))</x:f>
        <x:v>5</x:v>
      </x:c>
      <x:c r="R277" s="15" t="n">
        <x:f>'기준스탯 72종'!D18*G277</x:f>
        <x:v>0</x:v>
      </x:c>
      <x:c r="S277" s="15" t="n">
        <x:f>'기준스탯 72종'!E18*G277</x:f>
        <x:v>0</x:v>
      </x:c>
      <x:c r="T277" s="15" t="n">
        <x:f>'기준스탯 72종'!F18*G277</x:f>
        <x:v>0</x:v>
      </x:c>
      <x:c r="U277" s="15" t="n">
        <x:f>'기준스탯 72종'!G18*G277</x:f>
        <x:v>0</x:v>
      </x:c>
      <x:c r="V277" s="15" t="n">
        <x:f>'기준스탯 72종'!H18*G277</x:f>
        <x:v>0</x:v>
      </x:c>
      <x:c r="W277" s="15" t="n">
        <x:f>'기준스탯 72종'!I18*G277</x:f>
        <x:v>0</x:v>
      </x:c>
      <x:c r="X277" s="15" t="n">
        <x:f>'기준스탯 72종'!J18*G277</x:f>
        <x:v>0</x:v>
      </x:c>
      <x:c r="Y277" s="15" t="n">
        <x:f>'기준스탯 72종'!K18*G277</x:f>
        <x:v>0</x:v>
      </x:c>
      <x:c r="Z277" s="15" t="n">
        <x:f>'기준스탯 72종'!D18*H277</x:f>
        <x:v>0.4800000000000001</x:v>
      </x:c>
      <x:c r="AA277" s="15" t="n">
        <x:f>'기준스탯 72종'!E18*H277</x:f>
        <x:v>0.4800000000000001</x:v>
      </x:c>
      <x:c r="AB277" s="15" t="n">
        <x:f>'기준스탯 72종'!F18*H277</x:f>
        <x:v>0.4200000000000001</x:v>
      </x:c>
      <x:c r="AC277" s="15" t="n">
        <x:f>'기준스탯 72종'!G18*H277</x:f>
        <x:v>0.4200000000000001</x:v>
      </x:c>
      <x:c r="AD277" s="15" t="n">
        <x:f>'기준스탯 72종'!H18*H277</x:f>
        <x:v>0.24000000000000005</x:v>
      </x:c>
      <x:c r="AE277" s="15" t="n">
        <x:f>'기준스탯 72종'!I18*H277</x:f>
        <x:v>0.3600000000000001</x:v>
      </x:c>
      <x:c r="AF277" s="15" t="n">
        <x:f>'기준스탯 72종'!J18*H277</x:f>
        <x:v>0.06000000000000001</x:v>
      </x:c>
      <x:c r="AG277" s="15" t="n">
        <x:f>'기준스탯 72종'!K18*H277</x:f>
        <x:v>0.30000000000000004</x:v>
      </x:c>
    </x:row>
    <x:row r="278" ht="28" customHeight="1">
      <x:c r="A278" s="2" t="n">
        <x:v>271</x:v>
      </x:c>
      <x:c r="B278" s="2" t="n">
        <x:v>11</x:v>
      </x:c>
      <x:c r="C278" s="2" t="str">
        <x:v>황소자리</x:v>
      </x:c>
      <x:c r="D278" s="2" t="str">
        <x:v>도적</x:v>
      </x:c>
      <x:c r="E278" s="2" t="n">
        <x:v>1</x:v>
      </x:c>
      <x:c r="F278" s="2" t="n">
        <x:v>5</x:v>
      </x:c>
      <x:c r="G278" s="14" t="n">
        <x:f>('레벨 계산식'!$E$4-E278)*'레벨 계산식'!$B$5</x:f>
        <x:v>0.5599999999999999</x:v>
      </x:c>
      <x:c r="H278" s="14" t="n">
        <x:f>('등급 계산식'!$E$4-F278)*'등급 계산식'!$B$5</x:f>
        <x:v>0</x:v>
      </x:c>
      <x:c r="I278" s="14" t="n">
        <x:f>1-G278-H278</x:f>
        <x:v>0.44000000000000006</x:v>
      </x:c>
      <x:c r="J278" s="2" t="n">
        <x:f>MAX(1,ROUND('기준스탯 72종'!D18-R278-Z278,0))</x:f>
        <x:v>4</x:v>
      </x:c>
      <x:c r="K278" s="2" t="n">
        <x:f>MAX(1,ROUND('기준스탯 72종'!E18-S278-AA278,0))</x:f>
        <x:v>4</x:v>
      </x:c>
      <x:c r="L278" s="2" t="n">
        <x:f>MAX(1,ROUND('기준스탯 72종'!F18-T278-AB278,0))</x:f>
        <x:v>3</x:v>
      </x:c>
      <x:c r="M278" s="2" t="n">
        <x:f>MAX(1,ROUND('기준스탯 72종'!G18-U278-AC278,0))</x:f>
        <x:v>3</x:v>
      </x:c>
      <x:c r="N278" s="2" t="n">
        <x:f>MAX(0,ROUND('기준스탯 72종'!H18-V278-AD278,0))</x:f>
        <x:v>2</x:v>
      </x:c>
      <x:c r="O278" s="2" t="n">
        <x:f>MAX(0,ROUND('기준스탯 72종'!I18-W278-AE278,0))</x:f>
        <x:v>3</x:v>
      </x:c>
      <x:c r="P278" s="2" t="n">
        <x:f>MAX(0,ROUND('기준스탯 72종'!J18-X278-AF278,0))</x:f>
        <x:v>0</x:v>
      </x:c>
      <x:c r="Q278" s="2" t="n">
        <x:f>MAX(0,ROUND('기준스탯 72종'!K18-Y278-AG278,0))</x:f>
        <x:v>2</x:v>
      </x:c>
      <x:c r="R278" s="15" t="n">
        <x:f>'기준스탯 72종'!D18*G278</x:f>
        <x:v>4.4799999999999995</x:v>
      </x:c>
      <x:c r="S278" s="15" t="n">
        <x:f>'기준스탯 72종'!E18*G278</x:f>
        <x:v>4.4799999999999995</x:v>
      </x:c>
      <x:c r="T278" s="15" t="n">
        <x:f>'기준스탯 72종'!F18*G278</x:f>
        <x:v>3.9199999999999995</x:v>
      </x:c>
      <x:c r="U278" s="15" t="n">
        <x:f>'기준스탯 72종'!G18*G278</x:f>
        <x:v>3.9199999999999995</x:v>
      </x:c>
      <x:c r="V278" s="15" t="n">
        <x:f>'기준스탯 72종'!H18*G278</x:f>
        <x:v>2.2399999999999998</x:v>
      </x:c>
      <x:c r="W278" s="15" t="n">
        <x:f>'기준스탯 72종'!I18*G278</x:f>
        <x:v>3.3599999999999994</x:v>
      </x:c>
      <x:c r="X278" s="15" t="n">
        <x:f>'기준스탯 72종'!J18*G278</x:f>
        <x:v>0.5599999999999999</x:v>
      </x:c>
      <x:c r="Y278" s="15" t="n">
        <x:f>'기준스탯 72종'!K18*G278</x:f>
        <x:v>2.8</x:v>
      </x:c>
      <x:c r="Z278" s="15" t="n">
        <x:f>'기준스탯 72종'!D18*H278</x:f>
        <x:v>0</x:v>
      </x:c>
      <x:c r="AA278" s="15" t="n">
        <x:f>'기준스탯 72종'!E18*H278</x:f>
        <x:v>0</x:v>
      </x:c>
      <x:c r="AB278" s="15" t="n">
        <x:f>'기준스탯 72종'!F18*H278</x:f>
        <x:v>0</x:v>
      </x:c>
      <x:c r="AC278" s="15" t="n">
        <x:f>'기준스탯 72종'!G18*H278</x:f>
        <x:v>0</x:v>
      </x:c>
      <x:c r="AD278" s="15" t="n">
        <x:f>'기준스탯 72종'!H18*H278</x:f>
        <x:v>0</x:v>
      </x:c>
      <x:c r="AE278" s="15" t="n">
        <x:f>'기준스탯 72종'!I18*H278</x:f>
        <x:v>0</x:v>
      </x:c>
      <x:c r="AF278" s="15" t="n">
        <x:f>'기준스탯 72종'!J18*H278</x:f>
        <x:v>0</x:v>
      </x:c>
      <x:c r="AG278" s="15" t="n">
        <x:f>'기준스탯 72종'!K18*H278</x:f>
        <x:v>0</x:v>
      </x:c>
    </x:row>
    <x:row r="279" ht="28" customHeight="1">
      <x:c r="A279" s="2" t="n">
        <x:v>272</x:v>
      </x:c>
      <x:c r="B279" s="2" t="n">
        <x:v>11</x:v>
      </x:c>
      <x:c r="C279" s="2" t="str">
        <x:v>황소자리</x:v>
      </x:c>
      <x:c r="D279" s="2" t="str">
        <x:v>도적</x:v>
      </x:c>
      <x:c r="E279" s="2" t="n">
        <x:v>2</x:v>
      </x:c>
      <x:c r="F279" s="2" t="n">
        <x:v>5</x:v>
      </x:c>
      <x:c r="G279" s="14" t="n">
        <x:f>('레벨 계산식'!$E$4-E279)*'레벨 계산식'!$B$5</x:f>
        <x:v>0.41999999999999993</x:v>
      </x:c>
      <x:c r="H279" s="14" t="n">
        <x:f>('등급 계산식'!$E$4-F279)*'등급 계산식'!$B$5</x:f>
        <x:v>0</x:v>
      </x:c>
      <x:c r="I279" s="14" t="n">
        <x:f>1-G279-H279</x:f>
        <x:v>0.5800000000000001</x:v>
      </x:c>
      <x:c r="J279" s="2" t="n">
        <x:f>MAX(1,ROUND('기준스탯 72종'!D18-R279-Z279,0))</x:f>
        <x:v>5</x:v>
      </x:c>
      <x:c r="K279" s="2" t="n">
        <x:f>MAX(1,ROUND('기준스탯 72종'!E18-S279-AA279,0))</x:f>
        <x:v>5</x:v>
      </x:c>
      <x:c r="L279" s="2" t="n">
        <x:f>MAX(1,ROUND('기준스탯 72종'!F18-T279-AB279,0))</x:f>
        <x:v>4</x:v>
      </x:c>
      <x:c r="M279" s="2" t="n">
        <x:f>MAX(1,ROUND('기준스탯 72종'!G18-U279-AC279,0))</x:f>
        <x:v>4</x:v>
      </x:c>
      <x:c r="N279" s="2" t="n">
        <x:f>MAX(0,ROUND('기준스탯 72종'!H18-V279-AD279,0))</x:f>
        <x:v>2</x:v>
      </x:c>
      <x:c r="O279" s="2" t="n">
        <x:f>MAX(0,ROUND('기준스탯 72종'!I18-W279-AE279,0))</x:f>
        <x:v>3</x:v>
      </x:c>
      <x:c r="P279" s="2" t="n">
        <x:f>MAX(0,ROUND('기준스탯 72종'!J18-X279-AF279,0))</x:f>
        <x:v>1</x:v>
      </x:c>
      <x:c r="Q279" s="2" t="n">
        <x:f>MAX(0,ROUND('기준스탯 72종'!K18-Y279-AG279,0))</x:f>
        <x:v>3</x:v>
      </x:c>
      <x:c r="R279" s="15" t="n">
        <x:f>'기준스탯 72종'!D18*G279</x:f>
        <x:v>3.3599999999999994</x:v>
      </x:c>
      <x:c r="S279" s="15" t="n">
        <x:f>'기준스탯 72종'!E18*G279</x:f>
        <x:v>3.3599999999999994</x:v>
      </x:c>
      <x:c r="T279" s="15" t="n">
        <x:f>'기준스탯 72종'!F18*G279</x:f>
        <x:v>2.9399999999999995</x:v>
      </x:c>
      <x:c r="U279" s="15" t="n">
        <x:f>'기준스탯 72종'!G18*G279</x:f>
        <x:v>2.9399999999999995</x:v>
      </x:c>
      <x:c r="V279" s="15" t="n">
        <x:f>'기준스탯 72종'!H18*G279</x:f>
        <x:v>1.6799999999999997</x:v>
      </x:c>
      <x:c r="W279" s="15" t="n">
        <x:f>'기준스탯 72종'!I18*G279</x:f>
        <x:v>2.5199999999999996</x:v>
      </x:c>
      <x:c r="X279" s="15" t="n">
        <x:f>'기준스탯 72종'!J18*G279</x:f>
        <x:v>0.41999999999999993</x:v>
      </x:c>
      <x:c r="Y279" s="15" t="n">
        <x:f>'기준스탯 72종'!K18*G279</x:f>
        <x:v>2.0999999999999996</x:v>
      </x:c>
      <x:c r="Z279" s="15" t="n">
        <x:f>'기준스탯 72종'!D18*H279</x:f>
        <x:v>0</x:v>
      </x:c>
      <x:c r="AA279" s="15" t="n">
        <x:f>'기준스탯 72종'!E18*H279</x:f>
        <x:v>0</x:v>
      </x:c>
      <x:c r="AB279" s="15" t="n">
        <x:f>'기준스탯 72종'!F18*H279</x:f>
        <x:v>0</x:v>
      </x:c>
      <x:c r="AC279" s="15" t="n">
        <x:f>'기준스탯 72종'!G18*H279</x:f>
        <x:v>0</x:v>
      </x:c>
      <x:c r="AD279" s="15" t="n">
        <x:f>'기준스탯 72종'!H18*H279</x:f>
        <x:v>0</x:v>
      </x:c>
      <x:c r="AE279" s="15" t="n">
        <x:f>'기준스탯 72종'!I18*H279</x:f>
        <x:v>0</x:v>
      </x:c>
      <x:c r="AF279" s="15" t="n">
        <x:f>'기준스탯 72종'!J18*H279</x:f>
        <x:v>0</x:v>
      </x:c>
      <x:c r="AG279" s="15" t="n">
        <x:f>'기준스탯 72종'!K18*H279</x:f>
        <x:v>0</x:v>
      </x:c>
    </x:row>
    <x:row r="280" ht="28" customHeight="1">
      <x:c r="A280" s="2" t="n">
        <x:v>273</x:v>
      </x:c>
      <x:c r="B280" s="2" t="n">
        <x:v>11</x:v>
      </x:c>
      <x:c r="C280" s="2" t="str">
        <x:v>황소자리</x:v>
      </x:c>
      <x:c r="D280" s="2" t="str">
        <x:v>도적</x:v>
      </x:c>
      <x:c r="E280" s="2" t="n">
        <x:v>3</x:v>
      </x:c>
      <x:c r="F280" s="2" t="n">
        <x:v>5</x:v>
      </x:c>
      <x:c r="G280" s="14" t="n">
        <x:f>('레벨 계산식'!$E$4-E280)*'레벨 계산식'!$B$5</x:f>
        <x:v>0.27999999999999997</x:v>
      </x:c>
      <x:c r="H280" s="14" t="n">
        <x:f>('등급 계산식'!$E$4-F280)*'등급 계산식'!$B$5</x:f>
        <x:v>0</x:v>
      </x:c>
      <x:c r="I280" s="14" t="n">
        <x:f>1-G280-H280</x:f>
        <x:v>0.72</x:v>
      </x:c>
      <x:c r="J280" s="2" t="n">
        <x:f>MAX(1,ROUND('기준스탯 72종'!D18-R280-Z280,0))</x:f>
        <x:v>6</x:v>
      </x:c>
      <x:c r="K280" s="2" t="n">
        <x:f>MAX(1,ROUND('기준스탯 72종'!E18-S280-AA280,0))</x:f>
        <x:v>6</x:v>
      </x:c>
      <x:c r="L280" s="2" t="n">
        <x:f>MAX(1,ROUND('기준스탯 72종'!F18-T280-AB280,0))</x:f>
        <x:v>5</x:v>
      </x:c>
      <x:c r="M280" s="2" t="n">
        <x:f>MAX(1,ROUND('기준스탯 72종'!G18-U280-AC280,0))</x:f>
        <x:v>5</x:v>
      </x:c>
      <x:c r="N280" s="2" t="n">
        <x:f>MAX(0,ROUND('기준스탯 72종'!H18-V280-AD280,0))</x:f>
        <x:v>3</x:v>
      </x:c>
      <x:c r="O280" s="2" t="n">
        <x:f>MAX(0,ROUND('기준스탯 72종'!I18-W280-AE280,0))</x:f>
        <x:v>4</x:v>
      </x:c>
      <x:c r="P280" s="2" t="n">
        <x:f>MAX(0,ROUND('기준스탯 72종'!J18-X280-AF280,0))</x:f>
        <x:v>1</x:v>
      </x:c>
      <x:c r="Q280" s="2" t="n">
        <x:f>MAX(0,ROUND('기준스탯 72종'!K18-Y280-AG280,0))</x:f>
        <x:v>4</x:v>
      </x:c>
      <x:c r="R280" s="15" t="n">
        <x:f>'기준스탯 72종'!D18*G280</x:f>
        <x:v>2.2399999999999998</x:v>
      </x:c>
      <x:c r="S280" s="15" t="n">
        <x:f>'기준스탯 72종'!E18*G280</x:f>
        <x:v>2.2399999999999998</x:v>
      </x:c>
      <x:c r="T280" s="15" t="n">
        <x:f>'기준스탯 72종'!F18*G280</x:f>
        <x:v>1.9599999999999997</x:v>
      </x:c>
      <x:c r="U280" s="15" t="n">
        <x:f>'기준스탯 72종'!G18*G280</x:f>
        <x:v>1.9599999999999997</x:v>
      </x:c>
      <x:c r="V280" s="15" t="n">
        <x:f>'기준스탯 72종'!H18*G280</x:f>
        <x:v>1.1199999999999999</x:v>
      </x:c>
      <x:c r="W280" s="15" t="n">
        <x:f>'기준스탯 72종'!I18*G280</x:f>
        <x:v>1.6799999999999997</x:v>
      </x:c>
      <x:c r="X280" s="15" t="n">
        <x:f>'기준스탯 72종'!J18*G280</x:f>
        <x:v>0.27999999999999997</x:v>
      </x:c>
      <x:c r="Y280" s="15" t="n">
        <x:f>'기준스탯 72종'!K18*G280</x:f>
        <x:v>1.4</x:v>
      </x:c>
      <x:c r="Z280" s="15" t="n">
        <x:f>'기준스탯 72종'!D18*H280</x:f>
        <x:v>0</x:v>
      </x:c>
      <x:c r="AA280" s="15" t="n">
        <x:f>'기준스탯 72종'!E18*H280</x:f>
        <x:v>0</x:v>
      </x:c>
      <x:c r="AB280" s="15" t="n">
        <x:f>'기준스탯 72종'!F18*H280</x:f>
        <x:v>0</x:v>
      </x:c>
      <x:c r="AC280" s="15" t="n">
        <x:f>'기준스탯 72종'!G18*H280</x:f>
        <x:v>0</x:v>
      </x:c>
      <x:c r="AD280" s="15" t="n">
        <x:f>'기준스탯 72종'!H18*H280</x:f>
        <x:v>0</x:v>
      </x:c>
      <x:c r="AE280" s="15" t="n">
        <x:f>'기준스탯 72종'!I18*H280</x:f>
        <x:v>0</x:v>
      </x:c>
      <x:c r="AF280" s="15" t="n">
        <x:f>'기준스탯 72종'!J18*H280</x:f>
        <x:v>0</x:v>
      </x:c>
      <x:c r="AG280" s="15" t="n">
        <x:f>'기준스탯 72종'!K18*H280</x:f>
        <x:v>0</x:v>
      </x:c>
    </x:row>
    <x:row r="281" ht="28" customHeight="1">
      <x:c r="A281" s="2" t="n">
        <x:v>274</x:v>
      </x:c>
      <x:c r="B281" s="2" t="n">
        <x:v>11</x:v>
      </x:c>
      <x:c r="C281" s="2" t="str">
        <x:v>황소자리</x:v>
      </x:c>
      <x:c r="D281" s="2" t="str">
        <x:v>도적</x:v>
      </x:c>
      <x:c r="E281" s="2" t="n">
        <x:v>4</x:v>
      </x:c>
      <x:c r="F281" s="2" t="n">
        <x:v>5</x:v>
      </x:c>
      <x:c r="G281" s="14" t="n">
        <x:f>('레벨 계산식'!$E$4-E281)*'레벨 계산식'!$B$5</x:f>
        <x:v>0.13999999999999999</x:v>
      </x:c>
      <x:c r="H281" s="14" t="n">
        <x:f>('등급 계산식'!$E$4-F281)*'등급 계산식'!$B$5</x:f>
        <x:v>0</x:v>
      </x:c>
      <x:c r="I281" s="14" t="n">
        <x:f>1-G281-H281</x:f>
        <x:v>0.86</x:v>
      </x:c>
      <x:c r="J281" s="2" t="n">
        <x:f>MAX(1,ROUND('기준스탯 72종'!D18-R281-Z281,0))</x:f>
        <x:v>7</x:v>
      </x:c>
      <x:c r="K281" s="2" t="n">
        <x:f>MAX(1,ROUND('기준스탯 72종'!E18-S281-AA281,0))</x:f>
        <x:v>7</x:v>
      </x:c>
      <x:c r="L281" s="2" t="n">
        <x:f>MAX(1,ROUND('기준스탯 72종'!F18-T281-AB281,0))</x:f>
        <x:v>6</x:v>
      </x:c>
      <x:c r="M281" s="2" t="n">
        <x:f>MAX(1,ROUND('기준스탯 72종'!G18-U281-AC281,0))</x:f>
        <x:v>6</x:v>
      </x:c>
      <x:c r="N281" s="2" t="n">
        <x:f>MAX(0,ROUND('기준스탯 72종'!H18-V281-AD281,0))</x:f>
        <x:v>3</x:v>
      </x:c>
      <x:c r="O281" s="2" t="n">
        <x:f>MAX(0,ROUND('기준스탯 72종'!I18-W281-AE281,0))</x:f>
        <x:v>5</x:v>
      </x:c>
      <x:c r="P281" s="2" t="n">
        <x:f>MAX(0,ROUND('기준스탯 72종'!J18-X281-AF281,0))</x:f>
        <x:v>1</x:v>
      </x:c>
      <x:c r="Q281" s="2" t="n">
        <x:f>MAX(0,ROUND('기준스탯 72종'!K18-Y281-AG281,0))</x:f>
        <x:v>4</x:v>
      </x:c>
      <x:c r="R281" s="15" t="n">
        <x:f>'기준스탯 72종'!D18*G281</x:f>
        <x:v>1.1199999999999999</x:v>
      </x:c>
      <x:c r="S281" s="15" t="n">
        <x:f>'기준스탯 72종'!E18*G281</x:f>
        <x:v>1.1199999999999999</x:v>
      </x:c>
      <x:c r="T281" s="15" t="n">
        <x:f>'기준스탯 72종'!F18*G281</x:f>
        <x:v>0.9799999999999999</x:v>
      </x:c>
      <x:c r="U281" s="15" t="n">
        <x:f>'기준스탯 72종'!G18*G281</x:f>
        <x:v>0.9799999999999999</x:v>
      </x:c>
      <x:c r="V281" s="15" t="n">
        <x:f>'기준스탯 72종'!H18*G281</x:f>
        <x:v>0.5599999999999999</x:v>
      </x:c>
      <x:c r="W281" s="15" t="n">
        <x:f>'기준스탯 72종'!I18*G281</x:f>
        <x:v>0.8399999999999999</x:v>
      </x:c>
      <x:c r="X281" s="15" t="n">
        <x:f>'기준스탯 72종'!J18*G281</x:f>
        <x:v>0.13999999999999999</x:v>
      </x:c>
      <x:c r="Y281" s="15" t="n">
        <x:f>'기준스탯 72종'!K18*G281</x:f>
        <x:v>0.7</x:v>
      </x:c>
      <x:c r="Z281" s="15" t="n">
        <x:f>'기준스탯 72종'!D18*H281</x:f>
        <x:v>0</x:v>
      </x:c>
      <x:c r="AA281" s="15" t="n">
        <x:f>'기준스탯 72종'!E18*H281</x:f>
        <x:v>0</x:v>
      </x:c>
      <x:c r="AB281" s="15" t="n">
        <x:f>'기준스탯 72종'!F18*H281</x:f>
        <x:v>0</x:v>
      </x:c>
      <x:c r="AC281" s="15" t="n">
        <x:f>'기준스탯 72종'!G18*H281</x:f>
        <x:v>0</x:v>
      </x:c>
      <x:c r="AD281" s="15" t="n">
        <x:f>'기준스탯 72종'!H18*H281</x:f>
        <x:v>0</x:v>
      </x:c>
      <x:c r="AE281" s="15" t="n">
        <x:f>'기준스탯 72종'!I18*H281</x:f>
        <x:v>0</x:v>
      </x:c>
      <x:c r="AF281" s="15" t="n">
        <x:f>'기준스탯 72종'!J18*H281</x:f>
        <x:v>0</x:v>
      </x:c>
      <x:c r="AG281" s="15" t="n">
        <x:f>'기준스탯 72종'!K18*H281</x:f>
        <x:v>0</x:v>
      </x:c>
    </x:row>
    <x:row r="282" ht="28" customHeight="1">
      <x:c r="A282" s="2" t="n">
        <x:v>275</x:v>
      </x:c>
      <x:c r="B282" s="2" t="n">
        <x:v>11</x:v>
      </x:c>
      <x:c r="C282" s="2" t="str">
        <x:v>황소자리</x:v>
      </x:c>
      <x:c r="D282" s="2" t="str">
        <x:v>도적</x:v>
      </x:c>
      <x:c r="E282" s="2" t="n">
        <x:v>5</x:v>
      </x:c>
      <x:c r="F282" s="2" t="n">
        <x:v>5</x:v>
      </x:c>
      <x:c r="G282" s="14" t="n">
        <x:f>('레벨 계산식'!$E$4-E282)*'레벨 계산식'!$B$5</x:f>
        <x:v>0</x:v>
      </x:c>
      <x:c r="H282" s="14" t="n">
        <x:f>('등급 계산식'!$E$4-F282)*'등급 계산식'!$B$5</x:f>
        <x:v>0</x:v>
      </x:c>
      <x:c r="I282" s="14" t="n">
        <x:f>1-G282-H282</x:f>
        <x:v>1</x:v>
      </x:c>
      <x:c r="J282" s="2" t="n">
        <x:f>MAX(1,ROUND('기준스탯 72종'!D18-R282-Z282,0))</x:f>
        <x:v>8</x:v>
      </x:c>
      <x:c r="K282" s="2" t="n">
        <x:f>MAX(1,ROUND('기준스탯 72종'!E18-S282-AA282,0))</x:f>
        <x:v>8</x:v>
      </x:c>
      <x:c r="L282" s="2" t="n">
        <x:f>MAX(1,ROUND('기준스탯 72종'!F18-T282-AB282,0))</x:f>
        <x:v>7</x:v>
      </x:c>
      <x:c r="M282" s="2" t="n">
        <x:f>MAX(1,ROUND('기준스탯 72종'!G18-U282-AC282,0))</x:f>
        <x:v>7</x:v>
      </x:c>
      <x:c r="N282" s="2" t="n">
        <x:f>MAX(0,ROUND('기준스탯 72종'!H18-V282-AD282,0))</x:f>
        <x:v>4</x:v>
      </x:c>
      <x:c r="O282" s="2" t="n">
        <x:f>MAX(0,ROUND('기준스탯 72종'!I18-W282-AE282,0))</x:f>
        <x:v>6</x:v>
      </x:c>
      <x:c r="P282" s="2" t="n">
        <x:f>MAX(0,ROUND('기준스탯 72종'!J18-X282-AF282,0))</x:f>
        <x:v>1</x:v>
      </x:c>
      <x:c r="Q282" s="2" t="n">
        <x:f>MAX(0,ROUND('기준스탯 72종'!K18-Y282-AG282,0))</x:f>
        <x:v>5</x:v>
      </x:c>
      <x:c r="R282" s="15" t="n">
        <x:f>'기준스탯 72종'!D18*G282</x:f>
        <x:v>0</x:v>
      </x:c>
      <x:c r="S282" s="15" t="n">
        <x:f>'기준스탯 72종'!E18*G282</x:f>
        <x:v>0</x:v>
      </x:c>
      <x:c r="T282" s="15" t="n">
        <x:f>'기준스탯 72종'!F18*G282</x:f>
        <x:v>0</x:v>
      </x:c>
      <x:c r="U282" s="15" t="n">
        <x:f>'기준스탯 72종'!G18*G282</x:f>
        <x:v>0</x:v>
      </x:c>
      <x:c r="V282" s="15" t="n">
        <x:f>'기준스탯 72종'!H18*G282</x:f>
        <x:v>0</x:v>
      </x:c>
      <x:c r="W282" s="15" t="n">
        <x:f>'기준스탯 72종'!I18*G282</x:f>
        <x:v>0</x:v>
      </x:c>
      <x:c r="X282" s="15" t="n">
        <x:f>'기준스탯 72종'!J18*G282</x:f>
        <x:v>0</x:v>
      </x:c>
      <x:c r="Y282" s="15" t="n">
        <x:f>'기준스탯 72종'!K18*G282</x:f>
        <x:v>0</x:v>
      </x:c>
      <x:c r="Z282" s="15" t="n">
        <x:f>'기준스탯 72종'!D18*H282</x:f>
        <x:v>0</x:v>
      </x:c>
      <x:c r="AA282" s="15" t="n">
        <x:f>'기준스탯 72종'!E18*H282</x:f>
        <x:v>0</x:v>
      </x:c>
      <x:c r="AB282" s="15" t="n">
        <x:f>'기준스탯 72종'!F18*H282</x:f>
        <x:v>0</x:v>
      </x:c>
      <x:c r="AC282" s="15" t="n">
        <x:f>'기준스탯 72종'!G18*H282</x:f>
        <x:v>0</x:v>
      </x:c>
      <x:c r="AD282" s="15" t="n">
        <x:f>'기준스탯 72종'!H18*H282</x:f>
        <x:v>0</x:v>
      </x:c>
      <x:c r="AE282" s="15" t="n">
        <x:f>'기준스탯 72종'!I18*H282</x:f>
        <x:v>0</x:v>
      </x:c>
      <x:c r="AF282" s="15" t="n">
        <x:f>'기준스탯 72종'!J18*H282</x:f>
        <x:v>0</x:v>
      </x:c>
      <x:c r="AG282" s="15" t="n">
        <x:f>'기준스탯 72종'!K18*H282</x:f>
        <x:v>0</x:v>
      </x:c>
    </x:row>
    <x:row r="283" ht="28" customHeight="1">
      <x:c r="A283" s="2" t="n">
        <x:v>276</x:v>
      </x:c>
      <x:c r="B283" s="2" t="n">
        <x:v>12</x:v>
      </x:c>
      <x:c r="C283" s="2" t="str">
        <x:v>황소자리</x:v>
      </x:c>
      <x:c r="D283" s="2" t="str">
        <x:v>전사</x:v>
      </x:c>
      <x:c r="E283" s="2" t="n">
        <x:v>1</x:v>
      </x:c>
      <x:c r="F283" s="2" t="n">
        <x:v>1</x:v>
      </x:c>
      <x:c r="G283" s="14" t="n">
        <x:f>('레벨 계산식'!$E$4-E283)*'레벨 계산식'!$B$5</x:f>
        <x:v>0.5599999999999999</x:v>
      </x:c>
      <x:c r="H283" s="14" t="n">
        <x:f>('등급 계산식'!$E$4-F283)*'등급 계산식'!$B$5</x:f>
        <x:v>0.24000000000000005</x:v>
      </x:c>
      <x:c r="I283" s="14" t="n">
        <x:f>1-G283-H283</x:f>
        <x:v>0.2</x:v>
      </x:c>
      <x:c r="J283" s="2" t="n">
        <x:f>MAX(1,ROUND('기준스탯 72종'!D19-R283-Z283,0))</x:f>
        <x:v>2</x:v>
      </x:c>
      <x:c r="K283" s="2" t="n">
        <x:f>MAX(1,ROUND('기준스탯 72종'!E19-S283-AA283,0))</x:f>
        <x:v>2</x:v>
      </x:c>
      <x:c r="L283" s="2" t="n">
        <x:f>MAX(1,ROUND('기준스탯 72종'!F19-T283-AB283,0))</x:f>
        <x:v>2</x:v>
      </x:c>
      <x:c r="M283" s="2" t="n">
        <x:f>MAX(1,ROUND('기준스탯 72종'!G19-U283-AC283,0))</x:f>
        <x:v>1</x:v>
      </x:c>
      <x:c r="N283" s="2" t="n">
        <x:f>MAX(0,ROUND('기준스탯 72종'!H19-V283-AD283,0))</x:f>
        <x:v>1</x:v>
      </x:c>
      <x:c r="O283" s="2" t="n">
        <x:f>MAX(0,ROUND('기준스탯 72종'!I19-W283-AE283,0))</x:f>
        <x:v>1</x:v>
      </x:c>
      <x:c r="P283" s="2" t="n">
        <x:f>MAX(0,ROUND('기준스탯 72종'!J19-X283-AF283,0))</x:f>
        <x:v>0</x:v>
      </x:c>
      <x:c r="Q283" s="2" t="n">
        <x:f>MAX(0,ROUND('기준스탯 72종'!K19-Y283-AG283,0))</x:f>
        <x:v>1</x:v>
      </x:c>
      <x:c r="R283" s="15" t="n">
        <x:f>'기준스탯 72종'!D19*G283</x:f>
        <x:v>4.4799999999999995</x:v>
      </x:c>
      <x:c r="S283" s="15" t="n">
        <x:f>'기준스탯 72종'!E19*G283</x:f>
        <x:v>5.039999999999999</x:v>
      </x:c>
      <x:c r="T283" s="15" t="n">
        <x:f>'기준스탯 72종'!F19*G283</x:f>
        <x:v>4.4799999999999995</x:v>
      </x:c>
      <x:c r="U283" s="15" t="n">
        <x:f>'기준스탯 72종'!G19*G283</x:f>
        <x:v>3.3599999999999994</x:v>
      </x:c>
      <x:c r="V283" s="15" t="n">
        <x:f>'기준스탯 72종'!H19*G283</x:f>
        <x:v>1.6799999999999997</x:v>
      </x:c>
      <x:c r="W283" s="15" t="n">
        <x:f>'기준스탯 72종'!I19*G283</x:f>
        <x:v>3.3599999999999994</x:v>
      </x:c>
      <x:c r="X283" s="15" t="n">
        <x:f>'기준스탯 72종'!J19*G283</x:f>
        <x:v>0.5599999999999999</x:v>
      </x:c>
      <x:c r="Y283" s="15" t="n">
        <x:f>'기준스탯 72종'!K19*G283</x:f>
        <x:v>3.3599999999999994</x:v>
      </x:c>
      <x:c r="Z283" s="15" t="n">
        <x:f>'기준스탯 72종'!D19*H283</x:f>
        <x:v>1.9200000000000004</x:v>
      </x:c>
      <x:c r="AA283" s="15" t="n">
        <x:f>'기준스탯 72종'!E19*H283</x:f>
        <x:v>2.1600000000000006</x:v>
      </x:c>
      <x:c r="AB283" s="15" t="n">
        <x:f>'기준스탯 72종'!F19*H283</x:f>
        <x:v>1.9200000000000004</x:v>
      </x:c>
      <x:c r="AC283" s="15" t="n">
        <x:f>'기준스탯 72종'!G19*H283</x:f>
        <x:v>1.4400000000000004</x:v>
      </x:c>
      <x:c r="AD283" s="15" t="n">
        <x:f>'기준스탯 72종'!H19*H283</x:f>
        <x:v>0.7200000000000002</x:v>
      </x:c>
      <x:c r="AE283" s="15" t="n">
        <x:f>'기준스탯 72종'!I19*H283</x:f>
        <x:v>1.4400000000000004</x:v>
      </x:c>
      <x:c r="AF283" s="15" t="n">
        <x:f>'기준스탯 72종'!J19*H283</x:f>
        <x:v>0.24000000000000005</x:v>
      </x:c>
      <x:c r="AG283" s="15" t="n">
        <x:f>'기준스탯 72종'!K19*H283</x:f>
        <x:v>1.4400000000000004</x:v>
      </x:c>
    </x:row>
    <x:row r="284" ht="28" customHeight="1">
      <x:c r="A284" s="2" t="n">
        <x:v>277</x:v>
      </x:c>
      <x:c r="B284" s="2" t="n">
        <x:v>12</x:v>
      </x:c>
      <x:c r="C284" s="2" t="str">
        <x:v>황소자리</x:v>
      </x:c>
      <x:c r="D284" s="2" t="str">
        <x:v>전사</x:v>
      </x:c>
      <x:c r="E284" s="2" t="n">
        <x:v>2</x:v>
      </x:c>
      <x:c r="F284" s="2" t="n">
        <x:v>1</x:v>
      </x:c>
      <x:c r="G284" s="14" t="n">
        <x:f>('레벨 계산식'!$E$4-E284)*'레벨 계산식'!$B$5</x:f>
        <x:v>0.41999999999999993</x:v>
      </x:c>
      <x:c r="H284" s="14" t="n">
        <x:f>('등급 계산식'!$E$4-F284)*'등급 계산식'!$B$5</x:f>
        <x:v>0.24000000000000005</x:v>
      </x:c>
      <x:c r="I284" s="14" t="n">
        <x:f>1-G284-H284</x:f>
        <x:v>0.34</x:v>
      </x:c>
      <x:c r="J284" s="2" t="n">
        <x:f>MAX(1,ROUND('기준스탯 72종'!D19-R284-Z284,0))</x:f>
        <x:v>3</x:v>
      </x:c>
      <x:c r="K284" s="2" t="n">
        <x:f>MAX(1,ROUND('기준스탯 72종'!E19-S284-AA284,0))</x:f>
        <x:v>3</x:v>
      </x:c>
      <x:c r="L284" s="2" t="n">
        <x:f>MAX(1,ROUND('기준스탯 72종'!F19-T284-AB284,0))</x:f>
        <x:v>3</x:v>
      </x:c>
      <x:c r="M284" s="2" t="n">
        <x:f>MAX(1,ROUND('기준스탯 72종'!G19-U284-AC284,0))</x:f>
        <x:v>2</x:v>
      </x:c>
      <x:c r="N284" s="2" t="n">
        <x:f>MAX(0,ROUND('기준스탯 72종'!H19-V284-AD284,0))</x:f>
        <x:v>1</x:v>
      </x:c>
      <x:c r="O284" s="2" t="n">
        <x:f>MAX(0,ROUND('기준스탯 72종'!I19-W284-AE284,0))</x:f>
        <x:v>2</x:v>
      </x:c>
      <x:c r="P284" s="2" t="n">
        <x:f>MAX(0,ROUND('기준스탯 72종'!J19-X284-AF284,0))</x:f>
        <x:v>0</x:v>
      </x:c>
      <x:c r="Q284" s="2" t="n">
        <x:f>MAX(0,ROUND('기준스탯 72종'!K19-Y284-AG284,0))</x:f>
        <x:v>2</x:v>
      </x:c>
      <x:c r="R284" s="15" t="n">
        <x:f>'기준스탯 72종'!D19*G284</x:f>
        <x:v>3.3599999999999994</x:v>
      </x:c>
      <x:c r="S284" s="15" t="n">
        <x:f>'기준스탯 72종'!E19*G284</x:f>
        <x:v>3.7799999999999994</x:v>
      </x:c>
      <x:c r="T284" s="15" t="n">
        <x:f>'기준스탯 72종'!F19*G284</x:f>
        <x:v>3.3599999999999994</x:v>
      </x:c>
      <x:c r="U284" s="15" t="n">
        <x:f>'기준스탯 72종'!G19*G284</x:f>
        <x:v>2.5199999999999996</x:v>
      </x:c>
      <x:c r="V284" s="15" t="n">
        <x:f>'기준스탯 72종'!H19*G284</x:f>
        <x:v>1.2599999999999998</x:v>
      </x:c>
      <x:c r="W284" s="15" t="n">
        <x:f>'기준스탯 72종'!I19*G284</x:f>
        <x:v>2.5199999999999996</x:v>
      </x:c>
      <x:c r="X284" s="15" t="n">
        <x:f>'기준스탯 72종'!J19*G284</x:f>
        <x:v>0.41999999999999993</x:v>
      </x:c>
      <x:c r="Y284" s="15" t="n">
        <x:f>'기준스탯 72종'!K19*G284</x:f>
        <x:v>2.5199999999999996</x:v>
      </x:c>
      <x:c r="Z284" s="15" t="n">
        <x:f>'기준스탯 72종'!D19*H284</x:f>
        <x:v>1.9200000000000004</x:v>
      </x:c>
      <x:c r="AA284" s="15" t="n">
        <x:f>'기준스탯 72종'!E19*H284</x:f>
        <x:v>2.1600000000000006</x:v>
      </x:c>
      <x:c r="AB284" s="15" t="n">
        <x:f>'기준스탯 72종'!F19*H284</x:f>
        <x:v>1.9200000000000004</x:v>
      </x:c>
      <x:c r="AC284" s="15" t="n">
        <x:f>'기준스탯 72종'!G19*H284</x:f>
        <x:v>1.4400000000000004</x:v>
      </x:c>
      <x:c r="AD284" s="15" t="n">
        <x:f>'기준스탯 72종'!H19*H284</x:f>
        <x:v>0.7200000000000002</x:v>
      </x:c>
      <x:c r="AE284" s="15" t="n">
        <x:f>'기준스탯 72종'!I19*H284</x:f>
        <x:v>1.4400000000000004</x:v>
      </x:c>
      <x:c r="AF284" s="15" t="n">
        <x:f>'기준스탯 72종'!J19*H284</x:f>
        <x:v>0.24000000000000005</x:v>
      </x:c>
      <x:c r="AG284" s="15" t="n">
        <x:f>'기준스탯 72종'!K19*H284</x:f>
        <x:v>1.4400000000000004</x:v>
      </x:c>
    </x:row>
    <x:row r="285" ht="28" customHeight="1">
      <x:c r="A285" s="2" t="n">
        <x:v>278</x:v>
      </x:c>
      <x:c r="B285" s="2" t="n">
        <x:v>12</x:v>
      </x:c>
      <x:c r="C285" s="2" t="str">
        <x:v>황소자리</x:v>
      </x:c>
      <x:c r="D285" s="2" t="str">
        <x:v>전사</x:v>
      </x:c>
      <x:c r="E285" s="2" t="n">
        <x:v>3</x:v>
      </x:c>
      <x:c r="F285" s="2" t="n">
        <x:v>1</x:v>
      </x:c>
      <x:c r="G285" s="14" t="n">
        <x:f>('레벨 계산식'!$E$4-E285)*'레벨 계산식'!$B$5</x:f>
        <x:v>0.27999999999999997</x:v>
      </x:c>
      <x:c r="H285" s="14" t="n">
        <x:f>('등급 계산식'!$E$4-F285)*'등급 계산식'!$B$5</x:f>
        <x:v>0.24000000000000005</x:v>
      </x:c>
      <x:c r="I285" s="14" t="n">
        <x:f>1-G285-H285</x:f>
        <x:v>0.4799999999999999</x:v>
      </x:c>
      <x:c r="J285" s="2" t="n">
        <x:f>MAX(1,ROUND('기준스탯 72종'!D19-R285-Z285,0))</x:f>
        <x:v>4</x:v>
      </x:c>
      <x:c r="K285" s="2" t="n">
        <x:f>MAX(1,ROUND('기준스탯 72종'!E19-S285-AA285,0))</x:f>
        <x:v>4</x:v>
      </x:c>
      <x:c r="L285" s="2" t="n">
        <x:f>MAX(1,ROUND('기준스탯 72종'!F19-T285-AB285,0))</x:f>
        <x:v>4</x:v>
      </x:c>
      <x:c r="M285" s="2" t="n">
        <x:f>MAX(1,ROUND('기준스탯 72종'!G19-U285-AC285,0))</x:f>
        <x:v>3</x:v>
      </x:c>
      <x:c r="N285" s="2" t="n">
        <x:f>MAX(0,ROUND('기준스탯 72종'!H19-V285-AD285,0))</x:f>
        <x:v>1</x:v>
      </x:c>
      <x:c r="O285" s="2" t="n">
        <x:f>MAX(0,ROUND('기준스탯 72종'!I19-W285-AE285,0))</x:f>
        <x:v>3</x:v>
      </x:c>
      <x:c r="P285" s="2" t="n">
        <x:f>MAX(0,ROUND('기준스탯 72종'!J19-X285-AF285,0))</x:f>
        <x:v>0</x:v>
      </x:c>
      <x:c r="Q285" s="2" t="n">
        <x:f>MAX(0,ROUND('기준스탯 72종'!K19-Y285-AG285,0))</x:f>
        <x:v>3</x:v>
      </x:c>
      <x:c r="R285" s="15" t="n">
        <x:f>'기준스탯 72종'!D19*G285</x:f>
        <x:v>2.2399999999999998</x:v>
      </x:c>
      <x:c r="S285" s="15" t="n">
        <x:f>'기준스탯 72종'!E19*G285</x:f>
        <x:v>2.5199999999999996</x:v>
      </x:c>
      <x:c r="T285" s="15" t="n">
        <x:f>'기준스탯 72종'!F19*G285</x:f>
        <x:v>2.2399999999999998</x:v>
      </x:c>
      <x:c r="U285" s="15" t="n">
        <x:f>'기준스탯 72종'!G19*G285</x:f>
        <x:v>1.6799999999999997</x:v>
      </x:c>
      <x:c r="V285" s="15" t="n">
        <x:f>'기준스탯 72종'!H19*G285</x:f>
        <x:v>0.8399999999999999</x:v>
      </x:c>
      <x:c r="W285" s="15" t="n">
        <x:f>'기준스탯 72종'!I19*G285</x:f>
        <x:v>1.6799999999999997</x:v>
      </x:c>
      <x:c r="X285" s="15" t="n">
        <x:f>'기준스탯 72종'!J19*G285</x:f>
        <x:v>0.27999999999999997</x:v>
      </x:c>
      <x:c r="Y285" s="15" t="n">
        <x:f>'기준스탯 72종'!K19*G285</x:f>
        <x:v>1.6799999999999997</x:v>
      </x:c>
      <x:c r="Z285" s="15" t="n">
        <x:f>'기준스탯 72종'!D19*H285</x:f>
        <x:v>1.9200000000000004</x:v>
      </x:c>
      <x:c r="AA285" s="15" t="n">
        <x:f>'기준스탯 72종'!E19*H285</x:f>
        <x:v>2.1600000000000006</x:v>
      </x:c>
      <x:c r="AB285" s="15" t="n">
        <x:f>'기준스탯 72종'!F19*H285</x:f>
        <x:v>1.9200000000000004</x:v>
      </x:c>
      <x:c r="AC285" s="15" t="n">
        <x:f>'기준스탯 72종'!G19*H285</x:f>
        <x:v>1.4400000000000004</x:v>
      </x:c>
      <x:c r="AD285" s="15" t="n">
        <x:f>'기준스탯 72종'!H19*H285</x:f>
        <x:v>0.7200000000000002</x:v>
      </x:c>
      <x:c r="AE285" s="15" t="n">
        <x:f>'기준스탯 72종'!I19*H285</x:f>
        <x:v>1.4400000000000004</x:v>
      </x:c>
      <x:c r="AF285" s="15" t="n">
        <x:f>'기준스탯 72종'!J19*H285</x:f>
        <x:v>0.24000000000000005</x:v>
      </x:c>
      <x:c r="AG285" s="15" t="n">
        <x:f>'기준스탯 72종'!K19*H285</x:f>
        <x:v>1.4400000000000004</x:v>
      </x:c>
    </x:row>
    <x:row r="286" ht="28" customHeight="1">
      <x:c r="A286" s="2" t="n">
        <x:v>279</x:v>
      </x:c>
      <x:c r="B286" s="2" t="n">
        <x:v>12</x:v>
      </x:c>
      <x:c r="C286" s="2" t="str">
        <x:v>황소자리</x:v>
      </x:c>
      <x:c r="D286" s="2" t="str">
        <x:v>전사</x:v>
      </x:c>
      <x:c r="E286" s="2" t="n">
        <x:v>4</x:v>
      </x:c>
      <x:c r="F286" s="2" t="n">
        <x:v>1</x:v>
      </x:c>
      <x:c r="G286" s="14" t="n">
        <x:f>('레벨 계산식'!$E$4-E286)*'레벨 계산식'!$B$5</x:f>
        <x:v>0.13999999999999999</x:v>
      </x:c>
      <x:c r="H286" s="14" t="n">
        <x:f>('등급 계산식'!$E$4-F286)*'등급 계산식'!$B$5</x:f>
        <x:v>0.24000000000000005</x:v>
      </x:c>
      <x:c r="I286" s="14" t="n">
        <x:f>1-G286-H286</x:f>
        <x:v>0.6199999999999999</x:v>
      </x:c>
      <x:c r="J286" s="2" t="n">
        <x:f>MAX(1,ROUND('기준스탯 72종'!D19-R286-Z286,0))</x:f>
        <x:v>5</x:v>
      </x:c>
      <x:c r="K286" s="2" t="n">
        <x:f>MAX(1,ROUND('기준스탯 72종'!E19-S286-AA286,0))</x:f>
        <x:v>6</x:v>
      </x:c>
      <x:c r="L286" s="2" t="n">
        <x:f>MAX(1,ROUND('기준스탯 72종'!F19-T286-AB286,0))</x:f>
        <x:v>5</x:v>
      </x:c>
      <x:c r="M286" s="2" t="n">
        <x:f>MAX(1,ROUND('기준스탯 72종'!G19-U286-AC286,0))</x:f>
        <x:v>4</x:v>
      </x:c>
      <x:c r="N286" s="2" t="n">
        <x:f>MAX(0,ROUND('기준스탯 72종'!H19-V286-AD286,0))</x:f>
        <x:v>2</x:v>
      </x:c>
      <x:c r="O286" s="2" t="n">
        <x:f>MAX(0,ROUND('기준스탯 72종'!I19-W286-AE286,0))</x:f>
        <x:v>4</x:v>
      </x:c>
      <x:c r="P286" s="2" t="n">
        <x:f>MAX(0,ROUND('기준스탯 72종'!J19-X286-AF286,0))</x:f>
        <x:v>1</x:v>
      </x:c>
      <x:c r="Q286" s="2" t="n">
        <x:f>MAX(0,ROUND('기준스탯 72종'!K19-Y286-AG286,0))</x:f>
        <x:v>4</x:v>
      </x:c>
      <x:c r="R286" s="15" t="n">
        <x:f>'기준스탯 72종'!D19*G286</x:f>
        <x:v>1.1199999999999999</x:v>
      </x:c>
      <x:c r="S286" s="15" t="n">
        <x:f>'기준스탯 72종'!E19*G286</x:f>
        <x:v>1.2599999999999998</x:v>
      </x:c>
      <x:c r="T286" s="15" t="n">
        <x:f>'기준스탯 72종'!F19*G286</x:f>
        <x:v>1.1199999999999999</x:v>
      </x:c>
      <x:c r="U286" s="15" t="n">
        <x:f>'기준스탯 72종'!G19*G286</x:f>
        <x:v>0.8399999999999999</x:v>
      </x:c>
      <x:c r="V286" s="15" t="n">
        <x:f>'기준스탯 72종'!H19*G286</x:f>
        <x:v>0.41999999999999993</x:v>
      </x:c>
      <x:c r="W286" s="15" t="n">
        <x:f>'기준스탯 72종'!I19*G286</x:f>
        <x:v>0.8399999999999999</x:v>
      </x:c>
      <x:c r="X286" s="15" t="n">
        <x:f>'기준스탯 72종'!J19*G286</x:f>
        <x:v>0.13999999999999999</x:v>
      </x:c>
      <x:c r="Y286" s="15" t="n">
        <x:f>'기준스탯 72종'!K19*G286</x:f>
        <x:v>0.8399999999999999</x:v>
      </x:c>
      <x:c r="Z286" s="15" t="n">
        <x:f>'기준스탯 72종'!D19*H286</x:f>
        <x:v>1.9200000000000004</x:v>
      </x:c>
      <x:c r="AA286" s="15" t="n">
        <x:f>'기준스탯 72종'!E19*H286</x:f>
        <x:v>2.1600000000000006</x:v>
      </x:c>
      <x:c r="AB286" s="15" t="n">
        <x:f>'기준스탯 72종'!F19*H286</x:f>
        <x:v>1.9200000000000004</x:v>
      </x:c>
      <x:c r="AC286" s="15" t="n">
        <x:f>'기준스탯 72종'!G19*H286</x:f>
        <x:v>1.4400000000000004</x:v>
      </x:c>
      <x:c r="AD286" s="15" t="n">
        <x:f>'기준스탯 72종'!H19*H286</x:f>
        <x:v>0.7200000000000002</x:v>
      </x:c>
      <x:c r="AE286" s="15" t="n">
        <x:f>'기준스탯 72종'!I19*H286</x:f>
        <x:v>1.4400000000000004</x:v>
      </x:c>
      <x:c r="AF286" s="15" t="n">
        <x:f>'기준스탯 72종'!J19*H286</x:f>
        <x:v>0.24000000000000005</x:v>
      </x:c>
      <x:c r="AG286" s="15" t="n">
        <x:f>'기준스탯 72종'!K19*H286</x:f>
        <x:v>1.4400000000000004</x:v>
      </x:c>
    </x:row>
    <x:row r="287" ht="28" customHeight="1">
      <x:c r="A287" s="2" t="n">
        <x:v>280</x:v>
      </x:c>
      <x:c r="B287" s="2" t="n">
        <x:v>12</x:v>
      </x:c>
      <x:c r="C287" s="2" t="str">
        <x:v>황소자리</x:v>
      </x:c>
      <x:c r="D287" s="2" t="str">
        <x:v>전사</x:v>
      </x:c>
      <x:c r="E287" s="2" t="n">
        <x:v>5</x:v>
      </x:c>
      <x:c r="F287" s="2" t="n">
        <x:v>1</x:v>
      </x:c>
      <x:c r="G287" s="14" t="n">
        <x:f>('레벨 계산식'!$E$4-E287)*'레벨 계산식'!$B$5</x:f>
        <x:v>0</x:v>
      </x:c>
      <x:c r="H287" s="14" t="n">
        <x:f>('등급 계산식'!$E$4-F287)*'등급 계산식'!$B$5</x:f>
        <x:v>0.24000000000000005</x:v>
      </x:c>
      <x:c r="I287" s="14" t="n">
        <x:f>1-G287-H287</x:f>
        <x:v>0.76</x:v>
      </x:c>
      <x:c r="J287" s="2" t="n">
        <x:f>MAX(1,ROUND('기준스탯 72종'!D19-R287-Z287,0))</x:f>
        <x:v>6</x:v>
      </x:c>
      <x:c r="K287" s="2" t="n">
        <x:f>MAX(1,ROUND('기준스탯 72종'!E19-S287-AA287,0))</x:f>
        <x:v>7</x:v>
      </x:c>
      <x:c r="L287" s="2" t="n">
        <x:f>MAX(1,ROUND('기준스탯 72종'!F19-T287-AB287,0))</x:f>
        <x:v>6</x:v>
      </x:c>
      <x:c r="M287" s="2" t="n">
        <x:f>MAX(1,ROUND('기준스탯 72종'!G19-U287-AC287,0))</x:f>
        <x:v>5</x:v>
      </x:c>
      <x:c r="N287" s="2" t="n">
        <x:f>MAX(0,ROUND('기준스탯 72종'!H19-V287-AD287,0))</x:f>
        <x:v>2</x:v>
      </x:c>
      <x:c r="O287" s="2" t="n">
        <x:f>MAX(0,ROUND('기준스탯 72종'!I19-W287-AE287,0))</x:f>
        <x:v>5</x:v>
      </x:c>
      <x:c r="P287" s="2" t="n">
        <x:f>MAX(0,ROUND('기준스탯 72종'!J19-X287-AF287,0))</x:f>
        <x:v>1</x:v>
      </x:c>
      <x:c r="Q287" s="2" t="n">
        <x:f>MAX(0,ROUND('기준스탯 72종'!K19-Y287-AG287,0))</x:f>
        <x:v>5</x:v>
      </x:c>
      <x:c r="R287" s="15" t="n">
        <x:f>'기준스탯 72종'!D19*G287</x:f>
        <x:v>0</x:v>
      </x:c>
      <x:c r="S287" s="15" t="n">
        <x:f>'기준스탯 72종'!E19*G287</x:f>
        <x:v>0</x:v>
      </x:c>
      <x:c r="T287" s="15" t="n">
        <x:f>'기준스탯 72종'!F19*G287</x:f>
        <x:v>0</x:v>
      </x:c>
      <x:c r="U287" s="15" t="n">
        <x:f>'기준스탯 72종'!G19*G287</x:f>
        <x:v>0</x:v>
      </x:c>
      <x:c r="V287" s="15" t="n">
        <x:f>'기준스탯 72종'!H19*G287</x:f>
        <x:v>0</x:v>
      </x:c>
      <x:c r="W287" s="15" t="n">
        <x:f>'기준스탯 72종'!I19*G287</x:f>
        <x:v>0</x:v>
      </x:c>
      <x:c r="X287" s="15" t="n">
        <x:f>'기준스탯 72종'!J19*G287</x:f>
        <x:v>0</x:v>
      </x:c>
      <x:c r="Y287" s="15" t="n">
        <x:f>'기준스탯 72종'!K19*G287</x:f>
        <x:v>0</x:v>
      </x:c>
      <x:c r="Z287" s="15" t="n">
        <x:f>'기준스탯 72종'!D19*H287</x:f>
        <x:v>1.9200000000000004</x:v>
      </x:c>
      <x:c r="AA287" s="15" t="n">
        <x:f>'기준스탯 72종'!E19*H287</x:f>
        <x:v>2.1600000000000006</x:v>
      </x:c>
      <x:c r="AB287" s="15" t="n">
        <x:f>'기준스탯 72종'!F19*H287</x:f>
        <x:v>1.9200000000000004</x:v>
      </x:c>
      <x:c r="AC287" s="15" t="n">
        <x:f>'기준스탯 72종'!G19*H287</x:f>
        <x:v>1.4400000000000004</x:v>
      </x:c>
      <x:c r="AD287" s="15" t="n">
        <x:f>'기준스탯 72종'!H19*H287</x:f>
        <x:v>0.7200000000000002</x:v>
      </x:c>
      <x:c r="AE287" s="15" t="n">
        <x:f>'기준스탯 72종'!I19*H287</x:f>
        <x:v>1.4400000000000004</x:v>
      </x:c>
      <x:c r="AF287" s="15" t="n">
        <x:f>'기준스탯 72종'!J19*H287</x:f>
        <x:v>0.24000000000000005</x:v>
      </x:c>
      <x:c r="AG287" s="15" t="n">
        <x:f>'기준스탯 72종'!K19*H287</x:f>
        <x:v>1.4400000000000004</x:v>
      </x:c>
    </x:row>
    <x:row r="288" ht="28" customHeight="1">
      <x:c r="A288" s="2" t="n">
        <x:v>281</x:v>
      </x:c>
      <x:c r="B288" s="2" t="n">
        <x:v>12</x:v>
      </x:c>
      <x:c r="C288" s="2" t="str">
        <x:v>황소자리</x:v>
      </x:c>
      <x:c r="D288" s="2" t="str">
        <x:v>전사</x:v>
      </x:c>
      <x:c r="E288" s="2" t="n">
        <x:v>1</x:v>
      </x:c>
      <x:c r="F288" s="2" t="n">
        <x:v>2</x:v>
      </x:c>
      <x:c r="G288" s="14" t="n">
        <x:f>('레벨 계산식'!$E$4-E288)*'레벨 계산식'!$B$5</x:f>
        <x:v>0.5599999999999999</x:v>
      </x:c>
      <x:c r="H288" s="14" t="n">
        <x:f>('등급 계산식'!$E$4-F288)*'등급 계산식'!$B$5</x:f>
        <x:v>0.18000000000000005</x:v>
      </x:c>
      <x:c r="I288" s="14" t="n">
        <x:f>1-G288-H288</x:f>
        <x:v>0.26</x:v>
      </x:c>
      <x:c r="J288" s="2" t="n">
        <x:f>MAX(1,ROUND('기준스탯 72종'!D19-R288-Z288,0))</x:f>
        <x:v>2</x:v>
      </x:c>
      <x:c r="K288" s="2" t="n">
        <x:f>MAX(1,ROUND('기준스탯 72종'!E19-S288-AA288,0))</x:f>
        <x:v>2</x:v>
      </x:c>
      <x:c r="L288" s="2" t="n">
        <x:f>MAX(1,ROUND('기준스탯 72종'!F19-T288-AB288,0))</x:f>
        <x:v>2</x:v>
      </x:c>
      <x:c r="M288" s="2" t="n">
        <x:f>MAX(1,ROUND('기준스탯 72종'!G19-U288-AC288,0))</x:f>
        <x:v>2</x:v>
      </x:c>
      <x:c r="N288" s="2" t="n">
        <x:f>MAX(0,ROUND('기준스탯 72종'!H19-V288-AD288,0))</x:f>
        <x:v>1</x:v>
      </x:c>
      <x:c r="O288" s="2" t="n">
        <x:f>MAX(0,ROUND('기준스탯 72종'!I19-W288-AE288,0))</x:f>
        <x:v>2</x:v>
      </x:c>
      <x:c r="P288" s="2" t="n">
        <x:f>MAX(0,ROUND('기준스탯 72종'!J19-X288-AF288,0))</x:f>
        <x:v>0</x:v>
      </x:c>
      <x:c r="Q288" s="2" t="n">
        <x:f>MAX(0,ROUND('기준스탯 72종'!K19-Y288-AG288,0))</x:f>
        <x:v>2</x:v>
      </x:c>
      <x:c r="R288" s="15" t="n">
        <x:f>'기준스탯 72종'!D19*G288</x:f>
        <x:v>4.4799999999999995</x:v>
      </x:c>
      <x:c r="S288" s="15" t="n">
        <x:f>'기준스탯 72종'!E19*G288</x:f>
        <x:v>5.039999999999999</x:v>
      </x:c>
      <x:c r="T288" s="15" t="n">
        <x:f>'기준스탯 72종'!F19*G288</x:f>
        <x:v>4.4799999999999995</x:v>
      </x:c>
      <x:c r="U288" s="15" t="n">
        <x:f>'기준스탯 72종'!G19*G288</x:f>
        <x:v>3.3599999999999994</x:v>
      </x:c>
      <x:c r="V288" s="15" t="n">
        <x:f>'기준스탯 72종'!H19*G288</x:f>
        <x:v>1.6799999999999997</x:v>
      </x:c>
      <x:c r="W288" s="15" t="n">
        <x:f>'기준스탯 72종'!I19*G288</x:f>
        <x:v>3.3599999999999994</x:v>
      </x:c>
      <x:c r="X288" s="15" t="n">
        <x:f>'기준스탯 72종'!J19*G288</x:f>
        <x:v>0.5599999999999999</x:v>
      </x:c>
      <x:c r="Y288" s="15" t="n">
        <x:f>'기준스탯 72종'!K19*G288</x:f>
        <x:v>3.3599999999999994</x:v>
      </x:c>
      <x:c r="Z288" s="15" t="n">
        <x:f>'기준스탯 72종'!D19*H288</x:f>
        <x:v>1.4400000000000004</x:v>
      </x:c>
      <x:c r="AA288" s="15" t="n">
        <x:f>'기준스탯 72종'!E19*H288</x:f>
        <x:v>1.6200000000000006</x:v>
      </x:c>
      <x:c r="AB288" s="15" t="n">
        <x:f>'기준스탯 72종'!F19*H288</x:f>
        <x:v>1.4400000000000004</x:v>
      </x:c>
      <x:c r="AC288" s="15" t="n">
        <x:f>'기준스탯 72종'!G19*H288</x:f>
        <x:v>1.0800000000000003</x:v>
      </x:c>
      <x:c r="AD288" s="15" t="n">
        <x:f>'기준스탯 72종'!H19*H288</x:f>
        <x:v>0.5400000000000001</x:v>
      </x:c>
      <x:c r="AE288" s="15" t="n">
        <x:f>'기준스탯 72종'!I19*H288</x:f>
        <x:v>1.0800000000000003</x:v>
      </x:c>
      <x:c r="AF288" s="15" t="n">
        <x:f>'기준스탯 72종'!J19*H288</x:f>
        <x:v>0.18000000000000005</x:v>
      </x:c>
      <x:c r="AG288" s="15" t="n">
        <x:f>'기준스탯 72종'!K19*H288</x:f>
        <x:v>1.0800000000000003</x:v>
      </x:c>
    </x:row>
    <x:row r="289" ht="28" customHeight="1">
      <x:c r="A289" s="2" t="n">
        <x:v>282</x:v>
      </x:c>
      <x:c r="B289" s="2" t="n">
        <x:v>12</x:v>
      </x:c>
      <x:c r="C289" s="2" t="str">
        <x:v>황소자리</x:v>
      </x:c>
      <x:c r="D289" s="2" t="str">
        <x:v>전사</x:v>
      </x:c>
      <x:c r="E289" s="2" t="n">
        <x:v>2</x:v>
      </x:c>
      <x:c r="F289" s="2" t="n">
        <x:v>2</x:v>
      </x:c>
      <x:c r="G289" s="14" t="n">
        <x:f>('레벨 계산식'!$E$4-E289)*'레벨 계산식'!$B$5</x:f>
        <x:v>0.41999999999999993</x:v>
      </x:c>
      <x:c r="H289" s="14" t="n">
        <x:f>('등급 계산식'!$E$4-F289)*'등급 계산식'!$B$5</x:f>
        <x:v>0.18000000000000005</x:v>
      </x:c>
      <x:c r="I289" s="14" t="n">
        <x:f>1-G289-H289</x:f>
        <x:v>0.4</x:v>
      </x:c>
      <x:c r="J289" s="2" t="n">
        <x:f>MAX(1,ROUND('기준스탯 72종'!D19-R289-Z289,0))</x:f>
        <x:v>3</x:v>
      </x:c>
      <x:c r="K289" s="2" t="n">
        <x:f>MAX(1,ROUND('기준스탯 72종'!E19-S289-AA289,0))</x:f>
        <x:v>4</x:v>
      </x:c>
      <x:c r="L289" s="2" t="n">
        <x:f>MAX(1,ROUND('기준스탯 72종'!F19-T289-AB289,0))</x:f>
        <x:v>3</x:v>
      </x:c>
      <x:c r="M289" s="2" t="n">
        <x:f>MAX(1,ROUND('기준스탯 72종'!G19-U289-AC289,0))</x:f>
        <x:v>2</x:v>
      </x:c>
      <x:c r="N289" s="2" t="n">
        <x:f>MAX(0,ROUND('기준스탯 72종'!H19-V289-AD289,0))</x:f>
        <x:v>1</x:v>
      </x:c>
      <x:c r="O289" s="2" t="n">
        <x:f>MAX(0,ROUND('기준스탯 72종'!I19-W289-AE289,0))</x:f>
        <x:v>2</x:v>
      </x:c>
      <x:c r="P289" s="2" t="n">
        <x:f>MAX(0,ROUND('기준스탯 72종'!J19-X289-AF289,0))</x:f>
        <x:v>0</x:v>
      </x:c>
      <x:c r="Q289" s="2" t="n">
        <x:f>MAX(0,ROUND('기준스탯 72종'!K19-Y289-AG289,0))</x:f>
        <x:v>2</x:v>
      </x:c>
      <x:c r="R289" s="15" t="n">
        <x:f>'기준스탯 72종'!D19*G289</x:f>
        <x:v>3.3599999999999994</x:v>
      </x:c>
      <x:c r="S289" s="15" t="n">
        <x:f>'기준스탯 72종'!E19*G289</x:f>
        <x:v>3.7799999999999994</x:v>
      </x:c>
      <x:c r="T289" s="15" t="n">
        <x:f>'기준스탯 72종'!F19*G289</x:f>
        <x:v>3.3599999999999994</x:v>
      </x:c>
      <x:c r="U289" s="15" t="n">
        <x:f>'기준스탯 72종'!G19*G289</x:f>
        <x:v>2.5199999999999996</x:v>
      </x:c>
      <x:c r="V289" s="15" t="n">
        <x:f>'기준스탯 72종'!H19*G289</x:f>
        <x:v>1.2599999999999998</x:v>
      </x:c>
      <x:c r="W289" s="15" t="n">
        <x:f>'기준스탯 72종'!I19*G289</x:f>
        <x:v>2.5199999999999996</x:v>
      </x:c>
      <x:c r="X289" s="15" t="n">
        <x:f>'기준스탯 72종'!J19*G289</x:f>
        <x:v>0.41999999999999993</x:v>
      </x:c>
      <x:c r="Y289" s="15" t="n">
        <x:f>'기준스탯 72종'!K19*G289</x:f>
        <x:v>2.5199999999999996</x:v>
      </x:c>
      <x:c r="Z289" s="15" t="n">
        <x:f>'기준스탯 72종'!D19*H289</x:f>
        <x:v>1.4400000000000004</x:v>
      </x:c>
      <x:c r="AA289" s="15" t="n">
        <x:f>'기준스탯 72종'!E19*H289</x:f>
        <x:v>1.6200000000000006</x:v>
      </x:c>
      <x:c r="AB289" s="15" t="n">
        <x:f>'기준스탯 72종'!F19*H289</x:f>
        <x:v>1.4400000000000004</x:v>
      </x:c>
      <x:c r="AC289" s="15" t="n">
        <x:f>'기준스탯 72종'!G19*H289</x:f>
        <x:v>1.0800000000000003</x:v>
      </x:c>
      <x:c r="AD289" s="15" t="n">
        <x:f>'기준스탯 72종'!H19*H289</x:f>
        <x:v>0.5400000000000001</x:v>
      </x:c>
      <x:c r="AE289" s="15" t="n">
        <x:f>'기준스탯 72종'!I19*H289</x:f>
        <x:v>1.0800000000000003</x:v>
      </x:c>
      <x:c r="AF289" s="15" t="n">
        <x:f>'기준스탯 72종'!J19*H289</x:f>
        <x:v>0.18000000000000005</x:v>
      </x:c>
      <x:c r="AG289" s="15" t="n">
        <x:f>'기준스탯 72종'!K19*H289</x:f>
        <x:v>1.0800000000000003</x:v>
      </x:c>
    </x:row>
    <x:row r="290" ht="28" customHeight="1">
      <x:c r="A290" s="2" t="n">
        <x:v>283</x:v>
      </x:c>
      <x:c r="B290" s="2" t="n">
        <x:v>12</x:v>
      </x:c>
      <x:c r="C290" s="2" t="str">
        <x:v>황소자리</x:v>
      </x:c>
      <x:c r="D290" s="2" t="str">
        <x:v>전사</x:v>
      </x:c>
      <x:c r="E290" s="2" t="n">
        <x:v>3</x:v>
      </x:c>
      <x:c r="F290" s="2" t="n">
        <x:v>2</x:v>
      </x:c>
      <x:c r="G290" s="14" t="n">
        <x:f>('레벨 계산식'!$E$4-E290)*'레벨 계산식'!$B$5</x:f>
        <x:v>0.27999999999999997</x:v>
      </x:c>
      <x:c r="H290" s="14" t="n">
        <x:f>('등급 계산식'!$E$4-F290)*'등급 계산식'!$B$5</x:f>
        <x:v>0.18000000000000005</x:v>
      </x:c>
      <x:c r="I290" s="14" t="n">
        <x:f>1-G290-H290</x:f>
        <x:v>0.5399999999999999</x:v>
      </x:c>
      <x:c r="J290" s="2" t="n">
        <x:f>MAX(1,ROUND('기준스탯 72종'!D19-R290-Z290,0))</x:f>
        <x:v>4</x:v>
      </x:c>
      <x:c r="K290" s="2" t="n">
        <x:f>MAX(1,ROUND('기준스탯 72종'!E19-S290-AA290,0))</x:f>
        <x:v>5</x:v>
      </x:c>
      <x:c r="L290" s="2" t="n">
        <x:f>MAX(1,ROUND('기준스탯 72종'!F19-T290-AB290,0))</x:f>
        <x:v>4</x:v>
      </x:c>
      <x:c r="M290" s="2" t="n">
        <x:f>MAX(1,ROUND('기준스탯 72종'!G19-U290-AC290,0))</x:f>
        <x:v>3</x:v>
      </x:c>
      <x:c r="N290" s="2" t="n">
        <x:f>MAX(0,ROUND('기준스탯 72종'!H19-V290-AD290,0))</x:f>
        <x:v>2</x:v>
      </x:c>
      <x:c r="O290" s="2" t="n">
        <x:f>MAX(0,ROUND('기준스탯 72종'!I19-W290-AE290,0))</x:f>
        <x:v>3</x:v>
      </x:c>
      <x:c r="P290" s="2" t="n">
        <x:f>MAX(0,ROUND('기준스탯 72종'!J19-X290-AF290,0))</x:f>
        <x:v>1</x:v>
      </x:c>
      <x:c r="Q290" s="2" t="n">
        <x:f>MAX(0,ROUND('기준스탯 72종'!K19-Y290-AG290,0))</x:f>
        <x:v>3</x:v>
      </x:c>
      <x:c r="R290" s="15" t="n">
        <x:f>'기준스탯 72종'!D19*G290</x:f>
        <x:v>2.2399999999999998</x:v>
      </x:c>
      <x:c r="S290" s="15" t="n">
        <x:f>'기준스탯 72종'!E19*G290</x:f>
        <x:v>2.5199999999999996</x:v>
      </x:c>
      <x:c r="T290" s="15" t="n">
        <x:f>'기준스탯 72종'!F19*G290</x:f>
        <x:v>2.2399999999999998</x:v>
      </x:c>
      <x:c r="U290" s="15" t="n">
        <x:f>'기준스탯 72종'!G19*G290</x:f>
        <x:v>1.6799999999999997</x:v>
      </x:c>
      <x:c r="V290" s="15" t="n">
        <x:f>'기준스탯 72종'!H19*G290</x:f>
        <x:v>0.8399999999999999</x:v>
      </x:c>
      <x:c r="W290" s="15" t="n">
        <x:f>'기준스탯 72종'!I19*G290</x:f>
        <x:v>1.6799999999999997</x:v>
      </x:c>
      <x:c r="X290" s="15" t="n">
        <x:f>'기준스탯 72종'!J19*G290</x:f>
        <x:v>0.27999999999999997</x:v>
      </x:c>
      <x:c r="Y290" s="15" t="n">
        <x:f>'기준스탯 72종'!K19*G290</x:f>
        <x:v>1.6799999999999997</x:v>
      </x:c>
      <x:c r="Z290" s="15" t="n">
        <x:f>'기준스탯 72종'!D19*H290</x:f>
        <x:v>1.4400000000000004</x:v>
      </x:c>
      <x:c r="AA290" s="15" t="n">
        <x:f>'기준스탯 72종'!E19*H290</x:f>
        <x:v>1.6200000000000006</x:v>
      </x:c>
      <x:c r="AB290" s="15" t="n">
        <x:f>'기준스탯 72종'!F19*H290</x:f>
        <x:v>1.4400000000000004</x:v>
      </x:c>
      <x:c r="AC290" s="15" t="n">
        <x:f>'기준스탯 72종'!G19*H290</x:f>
        <x:v>1.0800000000000003</x:v>
      </x:c>
      <x:c r="AD290" s="15" t="n">
        <x:f>'기준스탯 72종'!H19*H290</x:f>
        <x:v>0.5400000000000001</x:v>
      </x:c>
      <x:c r="AE290" s="15" t="n">
        <x:f>'기준스탯 72종'!I19*H290</x:f>
        <x:v>1.0800000000000003</x:v>
      </x:c>
      <x:c r="AF290" s="15" t="n">
        <x:f>'기준스탯 72종'!J19*H290</x:f>
        <x:v>0.18000000000000005</x:v>
      </x:c>
      <x:c r="AG290" s="15" t="n">
        <x:f>'기준스탯 72종'!K19*H290</x:f>
        <x:v>1.0800000000000003</x:v>
      </x:c>
    </x:row>
    <x:row r="291" ht="28" customHeight="1">
      <x:c r="A291" s="2" t="n">
        <x:v>284</x:v>
      </x:c>
      <x:c r="B291" s="2" t="n">
        <x:v>12</x:v>
      </x:c>
      <x:c r="C291" s="2" t="str">
        <x:v>황소자리</x:v>
      </x:c>
      <x:c r="D291" s="2" t="str">
        <x:v>전사</x:v>
      </x:c>
      <x:c r="E291" s="2" t="n">
        <x:v>4</x:v>
      </x:c>
      <x:c r="F291" s="2" t="n">
        <x:v>2</x:v>
      </x:c>
      <x:c r="G291" s="14" t="n">
        <x:f>('레벨 계산식'!$E$4-E291)*'레벨 계산식'!$B$5</x:f>
        <x:v>0.13999999999999999</x:v>
      </x:c>
      <x:c r="H291" s="14" t="n">
        <x:f>('등급 계산식'!$E$4-F291)*'등급 계산식'!$B$5</x:f>
        <x:v>0.18000000000000005</x:v>
      </x:c>
      <x:c r="I291" s="14" t="n">
        <x:f>1-G291-H291</x:f>
        <x:v>0.6799999999999999</x:v>
      </x:c>
      <x:c r="J291" s="2" t="n">
        <x:f>MAX(1,ROUND('기준스탯 72종'!D19-R291-Z291,0))</x:f>
        <x:v>5</x:v>
      </x:c>
      <x:c r="K291" s="2" t="n">
        <x:f>MAX(1,ROUND('기준스탯 72종'!E19-S291-AA291,0))</x:f>
        <x:v>6</x:v>
      </x:c>
      <x:c r="L291" s="2" t="n">
        <x:f>MAX(1,ROUND('기준스탯 72종'!F19-T291-AB291,0))</x:f>
        <x:v>5</x:v>
      </x:c>
      <x:c r="M291" s="2" t="n">
        <x:f>MAX(1,ROUND('기준스탯 72종'!G19-U291-AC291,0))</x:f>
        <x:v>4</x:v>
      </x:c>
      <x:c r="N291" s="2" t="n">
        <x:f>MAX(0,ROUND('기준스탯 72종'!H19-V291-AD291,0))</x:f>
        <x:v>2</x:v>
      </x:c>
      <x:c r="O291" s="2" t="n">
        <x:f>MAX(0,ROUND('기준스탯 72종'!I19-W291-AE291,0))</x:f>
        <x:v>4</x:v>
      </x:c>
      <x:c r="P291" s="2" t="n">
        <x:f>MAX(0,ROUND('기준스탯 72종'!J19-X291-AF291,0))</x:f>
        <x:v>1</x:v>
      </x:c>
      <x:c r="Q291" s="2" t="n">
        <x:f>MAX(0,ROUND('기준스탯 72종'!K19-Y291-AG291,0))</x:f>
        <x:v>4</x:v>
      </x:c>
      <x:c r="R291" s="15" t="n">
        <x:f>'기준스탯 72종'!D19*G291</x:f>
        <x:v>1.1199999999999999</x:v>
      </x:c>
      <x:c r="S291" s="15" t="n">
        <x:f>'기준스탯 72종'!E19*G291</x:f>
        <x:v>1.2599999999999998</x:v>
      </x:c>
      <x:c r="T291" s="15" t="n">
        <x:f>'기준스탯 72종'!F19*G291</x:f>
        <x:v>1.1199999999999999</x:v>
      </x:c>
      <x:c r="U291" s="15" t="n">
        <x:f>'기준스탯 72종'!G19*G291</x:f>
        <x:v>0.8399999999999999</x:v>
      </x:c>
      <x:c r="V291" s="15" t="n">
        <x:f>'기준스탯 72종'!H19*G291</x:f>
        <x:v>0.41999999999999993</x:v>
      </x:c>
      <x:c r="W291" s="15" t="n">
        <x:f>'기준스탯 72종'!I19*G291</x:f>
        <x:v>0.8399999999999999</x:v>
      </x:c>
      <x:c r="X291" s="15" t="n">
        <x:f>'기준스탯 72종'!J19*G291</x:f>
        <x:v>0.13999999999999999</x:v>
      </x:c>
      <x:c r="Y291" s="15" t="n">
        <x:f>'기준스탯 72종'!K19*G291</x:f>
        <x:v>0.8399999999999999</x:v>
      </x:c>
      <x:c r="Z291" s="15" t="n">
        <x:f>'기준스탯 72종'!D19*H291</x:f>
        <x:v>1.4400000000000004</x:v>
      </x:c>
      <x:c r="AA291" s="15" t="n">
        <x:f>'기준스탯 72종'!E19*H291</x:f>
        <x:v>1.6200000000000006</x:v>
      </x:c>
      <x:c r="AB291" s="15" t="n">
        <x:f>'기준스탯 72종'!F19*H291</x:f>
        <x:v>1.4400000000000004</x:v>
      </x:c>
      <x:c r="AC291" s="15" t="n">
        <x:f>'기준스탯 72종'!G19*H291</x:f>
        <x:v>1.0800000000000003</x:v>
      </x:c>
      <x:c r="AD291" s="15" t="n">
        <x:f>'기준스탯 72종'!H19*H291</x:f>
        <x:v>0.5400000000000001</x:v>
      </x:c>
      <x:c r="AE291" s="15" t="n">
        <x:f>'기준스탯 72종'!I19*H291</x:f>
        <x:v>1.0800000000000003</x:v>
      </x:c>
      <x:c r="AF291" s="15" t="n">
        <x:f>'기준스탯 72종'!J19*H291</x:f>
        <x:v>0.18000000000000005</x:v>
      </x:c>
      <x:c r="AG291" s="15" t="n">
        <x:f>'기준스탯 72종'!K19*H291</x:f>
        <x:v>1.0800000000000003</x:v>
      </x:c>
    </x:row>
    <x:row r="292" ht="28" customHeight="1">
      <x:c r="A292" s="2" t="n">
        <x:v>285</x:v>
      </x:c>
      <x:c r="B292" s="2" t="n">
        <x:v>12</x:v>
      </x:c>
      <x:c r="C292" s="2" t="str">
        <x:v>황소자리</x:v>
      </x:c>
      <x:c r="D292" s="2" t="str">
        <x:v>전사</x:v>
      </x:c>
      <x:c r="E292" s="2" t="n">
        <x:v>5</x:v>
      </x:c>
      <x:c r="F292" s="2" t="n">
        <x:v>2</x:v>
      </x:c>
      <x:c r="G292" s="14" t="n">
        <x:f>('레벨 계산식'!$E$4-E292)*'레벨 계산식'!$B$5</x:f>
        <x:v>0</x:v>
      </x:c>
      <x:c r="H292" s="14" t="n">
        <x:f>('등급 계산식'!$E$4-F292)*'등급 계산식'!$B$5</x:f>
        <x:v>0.18000000000000005</x:v>
      </x:c>
      <x:c r="I292" s="14" t="n">
        <x:f>1-G292-H292</x:f>
        <x:v>0.82</x:v>
      </x:c>
      <x:c r="J292" s="2" t="n">
        <x:f>MAX(1,ROUND('기준스탯 72종'!D19-R292-Z292,0))</x:f>
        <x:v>7</x:v>
      </x:c>
      <x:c r="K292" s="2" t="n">
        <x:f>MAX(1,ROUND('기준스탯 72종'!E19-S292-AA292,0))</x:f>
        <x:v>7</x:v>
      </x:c>
      <x:c r="L292" s="2" t="n">
        <x:f>MAX(1,ROUND('기준스탯 72종'!F19-T292-AB292,0))</x:f>
        <x:v>7</x:v>
      </x:c>
      <x:c r="M292" s="2" t="n">
        <x:f>MAX(1,ROUND('기준스탯 72종'!G19-U292-AC292,0))</x:f>
        <x:v>5</x:v>
      </x:c>
      <x:c r="N292" s="2" t="n">
        <x:f>MAX(0,ROUND('기준스탯 72종'!H19-V292-AD292,0))</x:f>
        <x:v>2</x:v>
      </x:c>
      <x:c r="O292" s="2" t="n">
        <x:f>MAX(0,ROUND('기준스탯 72종'!I19-W292-AE292,0))</x:f>
        <x:v>5</x:v>
      </x:c>
      <x:c r="P292" s="2" t="n">
        <x:f>MAX(0,ROUND('기준스탯 72종'!J19-X292-AF292,0))</x:f>
        <x:v>1</x:v>
      </x:c>
      <x:c r="Q292" s="2" t="n">
        <x:f>MAX(0,ROUND('기준스탯 72종'!K19-Y292-AG292,0))</x:f>
        <x:v>5</x:v>
      </x:c>
      <x:c r="R292" s="15" t="n">
        <x:f>'기준스탯 72종'!D19*G292</x:f>
        <x:v>0</x:v>
      </x:c>
      <x:c r="S292" s="15" t="n">
        <x:f>'기준스탯 72종'!E19*G292</x:f>
        <x:v>0</x:v>
      </x:c>
      <x:c r="T292" s="15" t="n">
        <x:f>'기준스탯 72종'!F19*G292</x:f>
        <x:v>0</x:v>
      </x:c>
      <x:c r="U292" s="15" t="n">
        <x:f>'기준스탯 72종'!G19*G292</x:f>
        <x:v>0</x:v>
      </x:c>
      <x:c r="V292" s="15" t="n">
        <x:f>'기준스탯 72종'!H19*G292</x:f>
        <x:v>0</x:v>
      </x:c>
      <x:c r="W292" s="15" t="n">
        <x:f>'기준스탯 72종'!I19*G292</x:f>
        <x:v>0</x:v>
      </x:c>
      <x:c r="X292" s="15" t="n">
        <x:f>'기준스탯 72종'!J19*G292</x:f>
        <x:v>0</x:v>
      </x:c>
      <x:c r="Y292" s="15" t="n">
        <x:f>'기준스탯 72종'!K19*G292</x:f>
        <x:v>0</x:v>
      </x:c>
      <x:c r="Z292" s="15" t="n">
        <x:f>'기준스탯 72종'!D19*H292</x:f>
        <x:v>1.4400000000000004</x:v>
      </x:c>
      <x:c r="AA292" s="15" t="n">
        <x:f>'기준스탯 72종'!E19*H292</x:f>
        <x:v>1.6200000000000006</x:v>
      </x:c>
      <x:c r="AB292" s="15" t="n">
        <x:f>'기준스탯 72종'!F19*H292</x:f>
        <x:v>1.4400000000000004</x:v>
      </x:c>
      <x:c r="AC292" s="15" t="n">
        <x:f>'기준스탯 72종'!G19*H292</x:f>
        <x:v>1.0800000000000003</x:v>
      </x:c>
      <x:c r="AD292" s="15" t="n">
        <x:f>'기준스탯 72종'!H19*H292</x:f>
        <x:v>0.5400000000000001</x:v>
      </x:c>
      <x:c r="AE292" s="15" t="n">
        <x:f>'기준스탯 72종'!I19*H292</x:f>
        <x:v>1.0800000000000003</x:v>
      </x:c>
      <x:c r="AF292" s="15" t="n">
        <x:f>'기준스탯 72종'!J19*H292</x:f>
        <x:v>0.18000000000000005</x:v>
      </x:c>
      <x:c r="AG292" s="15" t="n">
        <x:f>'기준스탯 72종'!K19*H292</x:f>
        <x:v>1.0800000000000003</x:v>
      </x:c>
    </x:row>
    <x:row r="293" ht="28" customHeight="1">
      <x:c r="A293" s="2" t="n">
        <x:v>286</x:v>
      </x:c>
      <x:c r="B293" s="2" t="n">
        <x:v>12</x:v>
      </x:c>
      <x:c r="C293" s="2" t="str">
        <x:v>황소자리</x:v>
      </x:c>
      <x:c r="D293" s="2" t="str">
        <x:v>전사</x:v>
      </x:c>
      <x:c r="E293" s="2" t="n">
        <x:v>1</x:v>
      </x:c>
      <x:c r="F293" s="2" t="n">
        <x:v>3</x:v>
      </x:c>
      <x:c r="G293" s="14" t="n">
        <x:f>('레벨 계산식'!$E$4-E293)*'레벨 계산식'!$B$5</x:f>
        <x:v>0.5599999999999999</x:v>
      </x:c>
      <x:c r="H293" s="14" t="n">
        <x:f>('등급 계산식'!$E$4-F293)*'등급 계산식'!$B$5</x:f>
        <x:v>0.12000000000000002</x:v>
      </x:c>
      <x:c r="I293" s="14" t="n">
        <x:f>1-G293-H293</x:f>
        <x:v>0.32000000000000006</x:v>
      </x:c>
      <x:c r="J293" s="2" t="n">
        <x:f>MAX(1,ROUND('기준스탯 72종'!D19-R293-Z293,0))</x:f>
        <x:v>3</x:v>
      </x:c>
      <x:c r="K293" s="2" t="n">
        <x:f>MAX(1,ROUND('기준스탯 72종'!E19-S293-AA293,0))</x:f>
        <x:v>3</x:v>
      </x:c>
      <x:c r="L293" s="2" t="n">
        <x:f>MAX(1,ROUND('기준스탯 72종'!F19-T293-AB293,0))</x:f>
        <x:v>3</x:v>
      </x:c>
      <x:c r="M293" s="2" t="n">
        <x:f>MAX(1,ROUND('기준스탯 72종'!G19-U293-AC293,0))</x:f>
        <x:v>2</x:v>
      </x:c>
      <x:c r="N293" s="2" t="n">
        <x:f>MAX(0,ROUND('기준스탯 72종'!H19-V293-AD293,0))</x:f>
        <x:v>1</x:v>
      </x:c>
      <x:c r="O293" s="2" t="n">
        <x:f>MAX(0,ROUND('기준스탯 72종'!I19-W293-AE293,0))</x:f>
        <x:v>2</x:v>
      </x:c>
      <x:c r="P293" s="2" t="n">
        <x:f>MAX(0,ROUND('기준스탯 72종'!J19-X293-AF293,0))</x:f>
        <x:v>0</x:v>
      </x:c>
      <x:c r="Q293" s="2" t="n">
        <x:f>MAX(0,ROUND('기준스탯 72종'!K19-Y293-AG293,0))</x:f>
        <x:v>2</x:v>
      </x:c>
      <x:c r="R293" s="15" t="n">
        <x:f>'기준스탯 72종'!D19*G293</x:f>
        <x:v>4.4799999999999995</x:v>
      </x:c>
      <x:c r="S293" s="15" t="n">
        <x:f>'기준스탯 72종'!E19*G293</x:f>
        <x:v>5.039999999999999</x:v>
      </x:c>
      <x:c r="T293" s="15" t="n">
        <x:f>'기준스탯 72종'!F19*G293</x:f>
        <x:v>4.4799999999999995</x:v>
      </x:c>
      <x:c r="U293" s="15" t="n">
        <x:f>'기준스탯 72종'!G19*G293</x:f>
        <x:v>3.3599999999999994</x:v>
      </x:c>
      <x:c r="V293" s="15" t="n">
        <x:f>'기준스탯 72종'!H19*G293</x:f>
        <x:v>1.6799999999999997</x:v>
      </x:c>
      <x:c r="W293" s="15" t="n">
        <x:f>'기준스탯 72종'!I19*G293</x:f>
        <x:v>3.3599999999999994</x:v>
      </x:c>
      <x:c r="X293" s="15" t="n">
        <x:f>'기준스탯 72종'!J19*G293</x:f>
        <x:v>0.5599999999999999</x:v>
      </x:c>
      <x:c r="Y293" s="15" t="n">
        <x:f>'기준스탯 72종'!K19*G293</x:f>
        <x:v>3.3599999999999994</x:v>
      </x:c>
      <x:c r="Z293" s="15" t="n">
        <x:f>'기준스탯 72종'!D19*H293</x:f>
        <x:v>0.9600000000000002</x:v>
      </x:c>
      <x:c r="AA293" s="15" t="n">
        <x:f>'기준스탯 72종'!E19*H293</x:f>
        <x:v>1.0800000000000003</x:v>
      </x:c>
      <x:c r="AB293" s="15" t="n">
        <x:f>'기준스탯 72종'!F19*H293</x:f>
        <x:v>0.9600000000000002</x:v>
      </x:c>
      <x:c r="AC293" s="15" t="n">
        <x:f>'기준스탯 72종'!G19*H293</x:f>
        <x:v>0.7200000000000002</x:v>
      </x:c>
      <x:c r="AD293" s="15" t="n">
        <x:f>'기준스탯 72종'!H19*H293</x:f>
        <x:v>0.3600000000000001</x:v>
      </x:c>
      <x:c r="AE293" s="15" t="n">
        <x:f>'기준스탯 72종'!I19*H293</x:f>
        <x:v>0.7200000000000002</x:v>
      </x:c>
      <x:c r="AF293" s="15" t="n">
        <x:f>'기준스탯 72종'!J19*H293</x:f>
        <x:v>0.12000000000000002</x:v>
      </x:c>
      <x:c r="AG293" s="15" t="n">
        <x:f>'기준스탯 72종'!K19*H293</x:f>
        <x:v>0.7200000000000002</x:v>
      </x:c>
    </x:row>
    <x:row r="294" ht="28" customHeight="1">
      <x:c r="A294" s="2" t="n">
        <x:v>287</x:v>
      </x:c>
      <x:c r="B294" s="2" t="n">
        <x:v>12</x:v>
      </x:c>
      <x:c r="C294" s="2" t="str">
        <x:v>황소자리</x:v>
      </x:c>
      <x:c r="D294" s="2" t="str">
        <x:v>전사</x:v>
      </x:c>
      <x:c r="E294" s="2" t="n">
        <x:v>2</x:v>
      </x:c>
      <x:c r="F294" s="2" t="n">
        <x:v>3</x:v>
      </x:c>
      <x:c r="G294" s="14" t="n">
        <x:f>('레벨 계산식'!$E$4-E294)*'레벨 계산식'!$B$5</x:f>
        <x:v>0.41999999999999993</x:v>
      </x:c>
      <x:c r="H294" s="14" t="n">
        <x:f>('등급 계산식'!$E$4-F294)*'등급 계산식'!$B$5</x:f>
        <x:v>0.12000000000000002</x:v>
      </x:c>
      <x:c r="I294" s="14" t="n">
        <x:f>1-G294-H294</x:f>
        <x:v>0.4600000000000001</x:v>
      </x:c>
      <x:c r="J294" s="2" t="n">
        <x:f>MAX(1,ROUND('기준스탯 72종'!D19-R294-Z294,0))</x:f>
        <x:v>4</x:v>
      </x:c>
      <x:c r="K294" s="2" t="n">
        <x:f>MAX(1,ROUND('기준스탯 72종'!E19-S294-AA294,0))</x:f>
        <x:v>4</x:v>
      </x:c>
      <x:c r="L294" s="2" t="n">
        <x:f>MAX(1,ROUND('기준스탯 72종'!F19-T294-AB294,0))</x:f>
        <x:v>4</x:v>
      </x:c>
      <x:c r="M294" s="2" t="n">
        <x:f>MAX(1,ROUND('기준스탯 72종'!G19-U294-AC294,0))</x:f>
        <x:v>3</x:v>
      </x:c>
      <x:c r="N294" s="2" t="n">
        <x:f>MAX(0,ROUND('기준스탯 72종'!H19-V294-AD294,0))</x:f>
        <x:v>1</x:v>
      </x:c>
      <x:c r="O294" s="2" t="n">
        <x:f>MAX(0,ROUND('기준스탯 72종'!I19-W294-AE294,0))</x:f>
        <x:v>3</x:v>
      </x:c>
      <x:c r="P294" s="2" t="n">
        <x:f>MAX(0,ROUND('기준스탯 72종'!J19-X294-AF294,0))</x:f>
        <x:v>0</x:v>
      </x:c>
      <x:c r="Q294" s="2" t="n">
        <x:f>MAX(0,ROUND('기준스탯 72종'!K19-Y294-AG294,0))</x:f>
        <x:v>3</x:v>
      </x:c>
      <x:c r="R294" s="15" t="n">
        <x:f>'기준스탯 72종'!D19*G294</x:f>
        <x:v>3.3599999999999994</x:v>
      </x:c>
      <x:c r="S294" s="15" t="n">
        <x:f>'기준스탯 72종'!E19*G294</x:f>
        <x:v>3.7799999999999994</x:v>
      </x:c>
      <x:c r="T294" s="15" t="n">
        <x:f>'기준스탯 72종'!F19*G294</x:f>
        <x:v>3.3599999999999994</x:v>
      </x:c>
      <x:c r="U294" s="15" t="n">
        <x:f>'기준스탯 72종'!G19*G294</x:f>
        <x:v>2.5199999999999996</x:v>
      </x:c>
      <x:c r="V294" s="15" t="n">
        <x:f>'기준스탯 72종'!H19*G294</x:f>
        <x:v>1.2599999999999998</x:v>
      </x:c>
      <x:c r="W294" s="15" t="n">
        <x:f>'기준스탯 72종'!I19*G294</x:f>
        <x:v>2.5199999999999996</x:v>
      </x:c>
      <x:c r="X294" s="15" t="n">
        <x:f>'기준스탯 72종'!J19*G294</x:f>
        <x:v>0.41999999999999993</x:v>
      </x:c>
      <x:c r="Y294" s="15" t="n">
        <x:f>'기준스탯 72종'!K19*G294</x:f>
        <x:v>2.5199999999999996</x:v>
      </x:c>
      <x:c r="Z294" s="15" t="n">
        <x:f>'기준스탯 72종'!D19*H294</x:f>
        <x:v>0.9600000000000002</x:v>
      </x:c>
      <x:c r="AA294" s="15" t="n">
        <x:f>'기준스탯 72종'!E19*H294</x:f>
        <x:v>1.0800000000000003</x:v>
      </x:c>
      <x:c r="AB294" s="15" t="n">
        <x:f>'기준스탯 72종'!F19*H294</x:f>
        <x:v>0.9600000000000002</x:v>
      </x:c>
      <x:c r="AC294" s="15" t="n">
        <x:f>'기준스탯 72종'!G19*H294</x:f>
        <x:v>0.7200000000000002</x:v>
      </x:c>
      <x:c r="AD294" s="15" t="n">
        <x:f>'기준스탯 72종'!H19*H294</x:f>
        <x:v>0.3600000000000001</x:v>
      </x:c>
      <x:c r="AE294" s="15" t="n">
        <x:f>'기준스탯 72종'!I19*H294</x:f>
        <x:v>0.7200000000000002</x:v>
      </x:c>
      <x:c r="AF294" s="15" t="n">
        <x:f>'기준스탯 72종'!J19*H294</x:f>
        <x:v>0.12000000000000002</x:v>
      </x:c>
      <x:c r="AG294" s="15" t="n">
        <x:f>'기준스탯 72종'!K19*H294</x:f>
        <x:v>0.7200000000000002</x:v>
      </x:c>
    </x:row>
    <x:row r="295" ht="28" customHeight="1">
      <x:c r="A295" s="2" t="n">
        <x:v>288</x:v>
      </x:c>
      <x:c r="B295" s="2" t="n">
        <x:v>12</x:v>
      </x:c>
      <x:c r="C295" s="2" t="str">
        <x:v>황소자리</x:v>
      </x:c>
      <x:c r="D295" s="2" t="str">
        <x:v>전사</x:v>
      </x:c>
      <x:c r="E295" s="2" t="n">
        <x:v>3</x:v>
      </x:c>
      <x:c r="F295" s="2" t="n">
        <x:v>3</x:v>
      </x:c>
      <x:c r="G295" s="14" t="n">
        <x:f>('레벨 계산식'!$E$4-E295)*'레벨 계산식'!$B$5</x:f>
        <x:v>0.27999999999999997</x:v>
      </x:c>
      <x:c r="H295" s="14" t="n">
        <x:f>('등급 계산식'!$E$4-F295)*'등급 계산식'!$B$5</x:f>
        <x:v>0.12000000000000002</x:v>
      </x:c>
      <x:c r="I295" s="14" t="n">
        <x:f>1-G295-H295</x:f>
        <x:v>0.6</x:v>
      </x:c>
      <x:c r="J295" s="2" t="n">
        <x:f>MAX(1,ROUND('기준스탯 72종'!D19-R295-Z295,0))</x:f>
        <x:v>5</x:v>
      </x:c>
      <x:c r="K295" s="2" t="n">
        <x:f>MAX(1,ROUND('기준스탯 72종'!E19-S295-AA295,0))</x:f>
        <x:v>5</x:v>
      </x:c>
      <x:c r="L295" s="2" t="n">
        <x:f>MAX(1,ROUND('기준스탯 72종'!F19-T295-AB295,0))</x:f>
        <x:v>5</x:v>
      </x:c>
      <x:c r="M295" s="2" t="n">
        <x:f>MAX(1,ROUND('기준스탯 72종'!G19-U295-AC295,0))</x:f>
        <x:v>4</x:v>
      </x:c>
      <x:c r="N295" s="2" t="n">
        <x:f>MAX(0,ROUND('기준스탯 72종'!H19-V295-AD295,0))</x:f>
        <x:v>2</x:v>
      </x:c>
      <x:c r="O295" s="2" t="n">
        <x:f>MAX(0,ROUND('기준스탯 72종'!I19-W295-AE295,0))</x:f>
        <x:v>4</x:v>
      </x:c>
      <x:c r="P295" s="2" t="n">
        <x:f>MAX(0,ROUND('기준스탯 72종'!J19-X295-AF295,0))</x:f>
        <x:v>1</x:v>
      </x:c>
      <x:c r="Q295" s="2" t="n">
        <x:f>MAX(0,ROUND('기준스탯 72종'!K19-Y295-AG295,0))</x:f>
        <x:v>4</x:v>
      </x:c>
      <x:c r="R295" s="15" t="n">
        <x:f>'기준스탯 72종'!D19*G295</x:f>
        <x:v>2.2399999999999998</x:v>
      </x:c>
      <x:c r="S295" s="15" t="n">
        <x:f>'기준스탯 72종'!E19*G295</x:f>
        <x:v>2.5199999999999996</x:v>
      </x:c>
      <x:c r="T295" s="15" t="n">
        <x:f>'기준스탯 72종'!F19*G295</x:f>
        <x:v>2.2399999999999998</x:v>
      </x:c>
      <x:c r="U295" s="15" t="n">
        <x:f>'기준스탯 72종'!G19*G295</x:f>
        <x:v>1.6799999999999997</x:v>
      </x:c>
      <x:c r="V295" s="15" t="n">
        <x:f>'기준스탯 72종'!H19*G295</x:f>
        <x:v>0.8399999999999999</x:v>
      </x:c>
      <x:c r="W295" s="15" t="n">
        <x:f>'기준스탯 72종'!I19*G295</x:f>
        <x:v>1.6799999999999997</x:v>
      </x:c>
      <x:c r="X295" s="15" t="n">
        <x:f>'기준스탯 72종'!J19*G295</x:f>
        <x:v>0.27999999999999997</x:v>
      </x:c>
      <x:c r="Y295" s="15" t="n">
        <x:f>'기준스탯 72종'!K19*G295</x:f>
        <x:v>1.6799999999999997</x:v>
      </x:c>
      <x:c r="Z295" s="15" t="n">
        <x:f>'기준스탯 72종'!D19*H295</x:f>
        <x:v>0.9600000000000002</x:v>
      </x:c>
      <x:c r="AA295" s="15" t="n">
        <x:f>'기준스탯 72종'!E19*H295</x:f>
        <x:v>1.0800000000000003</x:v>
      </x:c>
      <x:c r="AB295" s="15" t="n">
        <x:f>'기준스탯 72종'!F19*H295</x:f>
        <x:v>0.9600000000000002</x:v>
      </x:c>
      <x:c r="AC295" s="15" t="n">
        <x:f>'기준스탯 72종'!G19*H295</x:f>
        <x:v>0.7200000000000002</x:v>
      </x:c>
      <x:c r="AD295" s="15" t="n">
        <x:f>'기준스탯 72종'!H19*H295</x:f>
        <x:v>0.3600000000000001</x:v>
      </x:c>
      <x:c r="AE295" s="15" t="n">
        <x:f>'기준스탯 72종'!I19*H295</x:f>
        <x:v>0.7200000000000002</x:v>
      </x:c>
      <x:c r="AF295" s="15" t="n">
        <x:f>'기준스탯 72종'!J19*H295</x:f>
        <x:v>0.12000000000000002</x:v>
      </x:c>
      <x:c r="AG295" s="15" t="n">
        <x:f>'기준스탯 72종'!K19*H295</x:f>
        <x:v>0.7200000000000002</x:v>
      </x:c>
    </x:row>
    <x:row r="296" ht="28" customHeight="1">
      <x:c r="A296" s="2" t="n">
        <x:v>289</x:v>
      </x:c>
      <x:c r="B296" s="2" t="n">
        <x:v>12</x:v>
      </x:c>
      <x:c r="C296" s="2" t="str">
        <x:v>황소자리</x:v>
      </x:c>
      <x:c r="D296" s="2" t="str">
        <x:v>전사</x:v>
      </x:c>
      <x:c r="E296" s="2" t="n">
        <x:v>4</x:v>
      </x:c>
      <x:c r="F296" s="2" t="n">
        <x:v>3</x:v>
      </x:c>
      <x:c r="G296" s="14" t="n">
        <x:f>('레벨 계산식'!$E$4-E296)*'레벨 계산식'!$B$5</x:f>
        <x:v>0.13999999999999999</x:v>
      </x:c>
      <x:c r="H296" s="14" t="n">
        <x:f>('등급 계산식'!$E$4-F296)*'등급 계산식'!$B$5</x:f>
        <x:v>0.12000000000000002</x:v>
      </x:c>
      <x:c r="I296" s="14" t="n">
        <x:f>1-G296-H296</x:f>
        <x:v>0.74</x:v>
      </x:c>
      <x:c r="J296" s="2" t="n">
        <x:f>MAX(1,ROUND('기준스탯 72종'!D19-R296-Z296,0))</x:f>
        <x:v>6</x:v>
      </x:c>
      <x:c r="K296" s="2" t="n">
        <x:f>MAX(1,ROUND('기준스탯 72종'!E19-S296-AA296,0))</x:f>
        <x:v>7</x:v>
      </x:c>
      <x:c r="L296" s="2" t="n">
        <x:f>MAX(1,ROUND('기준스탯 72종'!F19-T296-AB296,0))</x:f>
        <x:v>6</x:v>
      </x:c>
      <x:c r="M296" s="2" t="n">
        <x:f>MAX(1,ROUND('기준스탯 72종'!G19-U296-AC296,0))</x:f>
        <x:v>4</x:v>
      </x:c>
      <x:c r="N296" s="2" t="n">
        <x:f>MAX(0,ROUND('기준스탯 72종'!H19-V296-AD296,0))</x:f>
        <x:v>2</x:v>
      </x:c>
      <x:c r="O296" s="2" t="n">
        <x:f>MAX(0,ROUND('기준스탯 72종'!I19-W296-AE296,0))</x:f>
        <x:v>4</x:v>
      </x:c>
      <x:c r="P296" s="2" t="n">
        <x:f>MAX(0,ROUND('기준스탯 72종'!J19-X296-AF296,0))</x:f>
        <x:v>1</x:v>
      </x:c>
      <x:c r="Q296" s="2" t="n">
        <x:f>MAX(0,ROUND('기준스탯 72종'!K19-Y296-AG296,0))</x:f>
        <x:v>4</x:v>
      </x:c>
      <x:c r="R296" s="15" t="n">
        <x:f>'기준스탯 72종'!D19*G296</x:f>
        <x:v>1.1199999999999999</x:v>
      </x:c>
      <x:c r="S296" s="15" t="n">
        <x:f>'기준스탯 72종'!E19*G296</x:f>
        <x:v>1.2599999999999998</x:v>
      </x:c>
      <x:c r="T296" s="15" t="n">
        <x:f>'기준스탯 72종'!F19*G296</x:f>
        <x:v>1.1199999999999999</x:v>
      </x:c>
      <x:c r="U296" s="15" t="n">
        <x:f>'기준스탯 72종'!G19*G296</x:f>
        <x:v>0.8399999999999999</x:v>
      </x:c>
      <x:c r="V296" s="15" t="n">
        <x:f>'기준스탯 72종'!H19*G296</x:f>
        <x:v>0.41999999999999993</x:v>
      </x:c>
      <x:c r="W296" s="15" t="n">
        <x:f>'기준스탯 72종'!I19*G296</x:f>
        <x:v>0.8399999999999999</x:v>
      </x:c>
      <x:c r="X296" s="15" t="n">
        <x:f>'기준스탯 72종'!J19*G296</x:f>
        <x:v>0.13999999999999999</x:v>
      </x:c>
      <x:c r="Y296" s="15" t="n">
        <x:f>'기준스탯 72종'!K19*G296</x:f>
        <x:v>0.8399999999999999</x:v>
      </x:c>
      <x:c r="Z296" s="15" t="n">
        <x:f>'기준스탯 72종'!D19*H296</x:f>
        <x:v>0.9600000000000002</x:v>
      </x:c>
      <x:c r="AA296" s="15" t="n">
        <x:f>'기준스탯 72종'!E19*H296</x:f>
        <x:v>1.0800000000000003</x:v>
      </x:c>
      <x:c r="AB296" s="15" t="n">
        <x:f>'기준스탯 72종'!F19*H296</x:f>
        <x:v>0.9600000000000002</x:v>
      </x:c>
      <x:c r="AC296" s="15" t="n">
        <x:f>'기준스탯 72종'!G19*H296</x:f>
        <x:v>0.7200000000000002</x:v>
      </x:c>
      <x:c r="AD296" s="15" t="n">
        <x:f>'기준스탯 72종'!H19*H296</x:f>
        <x:v>0.3600000000000001</x:v>
      </x:c>
      <x:c r="AE296" s="15" t="n">
        <x:f>'기준스탯 72종'!I19*H296</x:f>
        <x:v>0.7200000000000002</x:v>
      </x:c>
      <x:c r="AF296" s="15" t="n">
        <x:f>'기준스탯 72종'!J19*H296</x:f>
        <x:v>0.12000000000000002</x:v>
      </x:c>
      <x:c r="AG296" s="15" t="n">
        <x:f>'기준스탯 72종'!K19*H296</x:f>
        <x:v>0.7200000000000002</x:v>
      </x:c>
    </x:row>
    <x:row r="297" ht="28" customHeight="1">
      <x:c r="A297" s="2" t="n">
        <x:v>290</x:v>
      </x:c>
      <x:c r="B297" s="2" t="n">
        <x:v>12</x:v>
      </x:c>
      <x:c r="C297" s="2" t="str">
        <x:v>황소자리</x:v>
      </x:c>
      <x:c r="D297" s="2" t="str">
        <x:v>전사</x:v>
      </x:c>
      <x:c r="E297" s="2" t="n">
        <x:v>5</x:v>
      </x:c>
      <x:c r="F297" s="2" t="n">
        <x:v>3</x:v>
      </x:c>
      <x:c r="G297" s="14" t="n">
        <x:f>('레벨 계산식'!$E$4-E297)*'레벨 계산식'!$B$5</x:f>
        <x:v>0</x:v>
      </x:c>
      <x:c r="H297" s="14" t="n">
        <x:f>('등급 계산식'!$E$4-F297)*'등급 계산식'!$B$5</x:f>
        <x:v>0.12000000000000002</x:v>
      </x:c>
      <x:c r="I297" s="14" t="n">
        <x:f>1-G297-H297</x:f>
        <x:v>0.88</x:v>
      </x:c>
      <x:c r="J297" s="2" t="n">
        <x:f>MAX(1,ROUND('기준스탯 72종'!D19-R297-Z297,0))</x:f>
        <x:v>7</x:v>
      </x:c>
      <x:c r="K297" s="2" t="n">
        <x:f>MAX(1,ROUND('기준스탯 72종'!E19-S297-AA297,0))</x:f>
        <x:v>8</x:v>
      </x:c>
      <x:c r="L297" s="2" t="n">
        <x:f>MAX(1,ROUND('기준스탯 72종'!F19-T297-AB297,0))</x:f>
        <x:v>7</x:v>
      </x:c>
      <x:c r="M297" s="2" t="n">
        <x:f>MAX(1,ROUND('기준스탯 72종'!G19-U297-AC297,0))</x:f>
        <x:v>5</x:v>
      </x:c>
      <x:c r="N297" s="2" t="n">
        <x:f>MAX(0,ROUND('기준스탯 72종'!H19-V297-AD297,0))</x:f>
        <x:v>3</x:v>
      </x:c>
      <x:c r="O297" s="2" t="n">
        <x:f>MAX(0,ROUND('기준스탯 72종'!I19-W297-AE297,0))</x:f>
        <x:v>5</x:v>
      </x:c>
      <x:c r="P297" s="2" t="n">
        <x:f>MAX(0,ROUND('기준스탯 72종'!J19-X297-AF297,0))</x:f>
        <x:v>1</x:v>
      </x:c>
      <x:c r="Q297" s="2" t="n">
        <x:f>MAX(0,ROUND('기준스탯 72종'!K19-Y297-AG297,0))</x:f>
        <x:v>5</x:v>
      </x:c>
      <x:c r="R297" s="15" t="n">
        <x:f>'기준스탯 72종'!D19*G297</x:f>
        <x:v>0</x:v>
      </x:c>
      <x:c r="S297" s="15" t="n">
        <x:f>'기준스탯 72종'!E19*G297</x:f>
        <x:v>0</x:v>
      </x:c>
      <x:c r="T297" s="15" t="n">
        <x:f>'기준스탯 72종'!F19*G297</x:f>
        <x:v>0</x:v>
      </x:c>
      <x:c r="U297" s="15" t="n">
        <x:f>'기준스탯 72종'!G19*G297</x:f>
        <x:v>0</x:v>
      </x:c>
      <x:c r="V297" s="15" t="n">
        <x:f>'기준스탯 72종'!H19*G297</x:f>
        <x:v>0</x:v>
      </x:c>
      <x:c r="W297" s="15" t="n">
        <x:f>'기준스탯 72종'!I19*G297</x:f>
        <x:v>0</x:v>
      </x:c>
      <x:c r="X297" s="15" t="n">
        <x:f>'기준스탯 72종'!J19*G297</x:f>
        <x:v>0</x:v>
      </x:c>
      <x:c r="Y297" s="15" t="n">
        <x:f>'기준스탯 72종'!K19*G297</x:f>
        <x:v>0</x:v>
      </x:c>
      <x:c r="Z297" s="15" t="n">
        <x:f>'기준스탯 72종'!D19*H297</x:f>
        <x:v>0.9600000000000002</x:v>
      </x:c>
      <x:c r="AA297" s="15" t="n">
        <x:f>'기준스탯 72종'!E19*H297</x:f>
        <x:v>1.0800000000000003</x:v>
      </x:c>
      <x:c r="AB297" s="15" t="n">
        <x:f>'기준스탯 72종'!F19*H297</x:f>
        <x:v>0.9600000000000002</x:v>
      </x:c>
      <x:c r="AC297" s="15" t="n">
        <x:f>'기준스탯 72종'!G19*H297</x:f>
        <x:v>0.7200000000000002</x:v>
      </x:c>
      <x:c r="AD297" s="15" t="n">
        <x:f>'기준스탯 72종'!H19*H297</x:f>
        <x:v>0.3600000000000001</x:v>
      </x:c>
      <x:c r="AE297" s="15" t="n">
        <x:f>'기준스탯 72종'!I19*H297</x:f>
        <x:v>0.7200000000000002</x:v>
      </x:c>
      <x:c r="AF297" s="15" t="n">
        <x:f>'기준스탯 72종'!J19*H297</x:f>
        <x:v>0.12000000000000002</x:v>
      </x:c>
      <x:c r="AG297" s="15" t="n">
        <x:f>'기준스탯 72종'!K19*H297</x:f>
        <x:v>0.7200000000000002</x:v>
      </x:c>
    </x:row>
    <x:row r="298" ht="28" customHeight="1">
      <x:c r="A298" s="2" t="n">
        <x:v>291</x:v>
      </x:c>
      <x:c r="B298" s="2" t="n">
        <x:v>12</x:v>
      </x:c>
      <x:c r="C298" s="2" t="str">
        <x:v>황소자리</x:v>
      </x:c>
      <x:c r="D298" s="2" t="str">
        <x:v>전사</x:v>
      </x:c>
      <x:c r="E298" s="2" t="n">
        <x:v>1</x:v>
      </x:c>
      <x:c r="F298" s="2" t="n">
        <x:v>4</x:v>
      </x:c>
      <x:c r="G298" s="14" t="n">
        <x:f>('레벨 계산식'!$E$4-E298)*'레벨 계산식'!$B$5</x:f>
        <x:v>0.5599999999999999</x:v>
      </x:c>
      <x:c r="H298" s="14" t="n">
        <x:f>('등급 계산식'!$E$4-F298)*'등급 계산식'!$B$5</x:f>
        <x:v>0.06000000000000001</x:v>
      </x:c>
      <x:c r="I298" s="14" t="n">
        <x:f>1-G298-H298</x:f>
        <x:v>0.38000000000000006</x:v>
      </x:c>
      <x:c r="J298" s="2" t="n">
        <x:f>MAX(1,ROUND('기준스탯 72종'!D19-R298-Z298,0))</x:f>
        <x:v>3</x:v>
      </x:c>
      <x:c r="K298" s="2" t="n">
        <x:f>MAX(1,ROUND('기준스탯 72종'!E19-S298-AA298,0))</x:f>
        <x:v>3</x:v>
      </x:c>
      <x:c r="L298" s="2" t="n">
        <x:f>MAX(1,ROUND('기준스탯 72종'!F19-T298-AB298,0))</x:f>
        <x:v>3</x:v>
      </x:c>
      <x:c r="M298" s="2" t="n">
        <x:f>MAX(1,ROUND('기준스탯 72종'!G19-U298-AC298,0))</x:f>
        <x:v>2</x:v>
      </x:c>
      <x:c r="N298" s="2" t="n">
        <x:f>MAX(0,ROUND('기준스탯 72종'!H19-V298-AD298,0))</x:f>
        <x:v>1</x:v>
      </x:c>
      <x:c r="O298" s="2" t="n">
        <x:f>MAX(0,ROUND('기준스탯 72종'!I19-W298-AE298,0))</x:f>
        <x:v>2</x:v>
      </x:c>
      <x:c r="P298" s="2" t="n">
        <x:f>MAX(0,ROUND('기준스탯 72종'!J19-X298-AF298,0))</x:f>
        <x:v>0</x:v>
      </x:c>
      <x:c r="Q298" s="2" t="n">
        <x:f>MAX(0,ROUND('기준스탯 72종'!K19-Y298-AG298,0))</x:f>
        <x:v>2</x:v>
      </x:c>
      <x:c r="R298" s="15" t="n">
        <x:f>'기준스탯 72종'!D19*G298</x:f>
        <x:v>4.4799999999999995</x:v>
      </x:c>
      <x:c r="S298" s="15" t="n">
        <x:f>'기준스탯 72종'!E19*G298</x:f>
        <x:v>5.039999999999999</x:v>
      </x:c>
      <x:c r="T298" s="15" t="n">
        <x:f>'기준스탯 72종'!F19*G298</x:f>
        <x:v>4.4799999999999995</x:v>
      </x:c>
      <x:c r="U298" s="15" t="n">
        <x:f>'기준스탯 72종'!G19*G298</x:f>
        <x:v>3.3599999999999994</x:v>
      </x:c>
      <x:c r="V298" s="15" t="n">
        <x:f>'기준스탯 72종'!H19*G298</x:f>
        <x:v>1.6799999999999997</x:v>
      </x:c>
      <x:c r="W298" s="15" t="n">
        <x:f>'기준스탯 72종'!I19*G298</x:f>
        <x:v>3.3599999999999994</x:v>
      </x:c>
      <x:c r="X298" s="15" t="n">
        <x:f>'기준스탯 72종'!J19*G298</x:f>
        <x:v>0.5599999999999999</x:v>
      </x:c>
      <x:c r="Y298" s="15" t="n">
        <x:f>'기준스탯 72종'!K19*G298</x:f>
        <x:v>3.3599999999999994</x:v>
      </x:c>
      <x:c r="Z298" s="15" t="n">
        <x:f>'기준스탯 72종'!D19*H298</x:f>
        <x:v>0.4800000000000001</x:v>
      </x:c>
      <x:c r="AA298" s="15" t="n">
        <x:f>'기준스탯 72종'!E19*H298</x:f>
        <x:v>0.5400000000000001</x:v>
      </x:c>
      <x:c r="AB298" s="15" t="n">
        <x:f>'기준스탯 72종'!F19*H298</x:f>
        <x:v>0.4800000000000001</x:v>
      </x:c>
      <x:c r="AC298" s="15" t="n">
        <x:f>'기준스탯 72종'!G19*H298</x:f>
        <x:v>0.3600000000000001</x:v>
      </x:c>
      <x:c r="AD298" s="15" t="n">
        <x:f>'기준스탯 72종'!H19*H298</x:f>
        <x:v>0.18000000000000005</x:v>
      </x:c>
      <x:c r="AE298" s="15" t="n">
        <x:f>'기준스탯 72종'!I19*H298</x:f>
        <x:v>0.3600000000000001</x:v>
      </x:c>
      <x:c r="AF298" s="15" t="n">
        <x:f>'기준스탯 72종'!J19*H298</x:f>
        <x:v>0.06000000000000001</x:v>
      </x:c>
      <x:c r="AG298" s="15" t="n">
        <x:f>'기준스탯 72종'!K19*H298</x:f>
        <x:v>0.3600000000000001</x:v>
      </x:c>
    </x:row>
    <x:row r="299" ht="28" customHeight="1">
      <x:c r="A299" s="2" t="n">
        <x:v>292</x:v>
      </x:c>
      <x:c r="B299" s="2" t="n">
        <x:v>12</x:v>
      </x:c>
      <x:c r="C299" s="2" t="str">
        <x:v>황소자리</x:v>
      </x:c>
      <x:c r="D299" s="2" t="str">
        <x:v>전사</x:v>
      </x:c>
      <x:c r="E299" s="2" t="n">
        <x:v>2</x:v>
      </x:c>
      <x:c r="F299" s="2" t="n">
        <x:v>4</x:v>
      </x:c>
      <x:c r="G299" s="14" t="n">
        <x:f>('레벨 계산식'!$E$4-E299)*'레벨 계산식'!$B$5</x:f>
        <x:v>0.41999999999999993</x:v>
      </x:c>
      <x:c r="H299" s="14" t="n">
        <x:f>('등급 계산식'!$E$4-F299)*'등급 계산식'!$B$5</x:f>
        <x:v>0.06000000000000001</x:v>
      </x:c>
      <x:c r="I299" s="14" t="n">
        <x:f>1-G299-H299</x:f>
        <x:v>0.52</x:v>
      </x:c>
      <x:c r="J299" s="2" t="n">
        <x:f>MAX(1,ROUND('기준스탯 72종'!D19-R299-Z299,0))</x:f>
        <x:v>4</x:v>
      </x:c>
      <x:c r="K299" s="2" t="n">
        <x:f>MAX(1,ROUND('기준스탯 72종'!E19-S299-AA299,0))</x:f>
        <x:v>5</x:v>
      </x:c>
      <x:c r="L299" s="2" t="n">
        <x:f>MAX(1,ROUND('기준스탯 72종'!F19-T299-AB299,0))</x:f>
        <x:v>4</x:v>
      </x:c>
      <x:c r="M299" s="2" t="n">
        <x:f>MAX(1,ROUND('기준스탯 72종'!G19-U299-AC299,0))</x:f>
        <x:v>3</x:v>
      </x:c>
      <x:c r="N299" s="2" t="n">
        <x:f>MAX(0,ROUND('기준스탯 72종'!H19-V299-AD299,0))</x:f>
        <x:v>2</x:v>
      </x:c>
      <x:c r="O299" s="2" t="n">
        <x:f>MAX(0,ROUND('기준스탯 72종'!I19-W299-AE299,0))</x:f>
        <x:v>3</x:v>
      </x:c>
      <x:c r="P299" s="2" t="n">
        <x:f>MAX(0,ROUND('기준스탯 72종'!J19-X299-AF299,0))</x:f>
        <x:v>1</x:v>
      </x:c>
      <x:c r="Q299" s="2" t="n">
        <x:f>MAX(0,ROUND('기준스탯 72종'!K19-Y299-AG299,0))</x:f>
        <x:v>3</x:v>
      </x:c>
      <x:c r="R299" s="15" t="n">
        <x:f>'기준스탯 72종'!D19*G299</x:f>
        <x:v>3.3599999999999994</x:v>
      </x:c>
      <x:c r="S299" s="15" t="n">
        <x:f>'기준스탯 72종'!E19*G299</x:f>
        <x:v>3.7799999999999994</x:v>
      </x:c>
      <x:c r="T299" s="15" t="n">
        <x:f>'기준스탯 72종'!F19*G299</x:f>
        <x:v>3.3599999999999994</x:v>
      </x:c>
      <x:c r="U299" s="15" t="n">
        <x:f>'기준스탯 72종'!G19*G299</x:f>
        <x:v>2.5199999999999996</x:v>
      </x:c>
      <x:c r="V299" s="15" t="n">
        <x:f>'기준스탯 72종'!H19*G299</x:f>
        <x:v>1.2599999999999998</x:v>
      </x:c>
      <x:c r="W299" s="15" t="n">
        <x:f>'기준스탯 72종'!I19*G299</x:f>
        <x:v>2.5199999999999996</x:v>
      </x:c>
      <x:c r="X299" s="15" t="n">
        <x:f>'기준스탯 72종'!J19*G299</x:f>
        <x:v>0.41999999999999993</x:v>
      </x:c>
      <x:c r="Y299" s="15" t="n">
        <x:f>'기준스탯 72종'!K19*G299</x:f>
        <x:v>2.5199999999999996</x:v>
      </x:c>
      <x:c r="Z299" s="15" t="n">
        <x:f>'기준스탯 72종'!D19*H299</x:f>
        <x:v>0.4800000000000001</x:v>
      </x:c>
      <x:c r="AA299" s="15" t="n">
        <x:f>'기준스탯 72종'!E19*H299</x:f>
        <x:v>0.5400000000000001</x:v>
      </x:c>
      <x:c r="AB299" s="15" t="n">
        <x:f>'기준스탯 72종'!F19*H299</x:f>
        <x:v>0.4800000000000001</x:v>
      </x:c>
      <x:c r="AC299" s="15" t="n">
        <x:f>'기준스탯 72종'!G19*H299</x:f>
        <x:v>0.3600000000000001</x:v>
      </x:c>
      <x:c r="AD299" s="15" t="n">
        <x:f>'기준스탯 72종'!H19*H299</x:f>
        <x:v>0.18000000000000005</x:v>
      </x:c>
      <x:c r="AE299" s="15" t="n">
        <x:f>'기준스탯 72종'!I19*H299</x:f>
        <x:v>0.3600000000000001</x:v>
      </x:c>
      <x:c r="AF299" s="15" t="n">
        <x:f>'기준스탯 72종'!J19*H299</x:f>
        <x:v>0.06000000000000001</x:v>
      </x:c>
      <x:c r="AG299" s="15" t="n">
        <x:f>'기준스탯 72종'!K19*H299</x:f>
        <x:v>0.3600000000000001</x:v>
      </x:c>
    </x:row>
    <x:row r="300" ht="28" customHeight="1">
      <x:c r="A300" s="2" t="n">
        <x:v>293</x:v>
      </x:c>
      <x:c r="B300" s="2" t="n">
        <x:v>12</x:v>
      </x:c>
      <x:c r="C300" s="2" t="str">
        <x:v>황소자리</x:v>
      </x:c>
      <x:c r="D300" s="2" t="str">
        <x:v>전사</x:v>
      </x:c>
      <x:c r="E300" s="2" t="n">
        <x:v>3</x:v>
      </x:c>
      <x:c r="F300" s="2" t="n">
        <x:v>4</x:v>
      </x:c>
      <x:c r="G300" s="14" t="n">
        <x:f>('레벨 계산식'!$E$4-E300)*'레벨 계산식'!$B$5</x:f>
        <x:v>0.27999999999999997</x:v>
      </x:c>
      <x:c r="H300" s="14" t="n">
        <x:f>('등급 계산식'!$E$4-F300)*'등급 계산식'!$B$5</x:f>
        <x:v>0.06000000000000001</x:v>
      </x:c>
      <x:c r="I300" s="14" t="n">
        <x:f>1-G300-H300</x:f>
        <x:v>0.6599999999999999</x:v>
      </x:c>
      <x:c r="J300" s="2" t="n">
        <x:f>MAX(1,ROUND('기준스탯 72종'!D19-R300-Z300,0))</x:f>
        <x:v>5</x:v>
      </x:c>
      <x:c r="K300" s="2" t="n">
        <x:f>MAX(1,ROUND('기준스탯 72종'!E19-S300-AA300,0))</x:f>
        <x:v>6</x:v>
      </x:c>
      <x:c r="L300" s="2" t="n">
        <x:f>MAX(1,ROUND('기준스탯 72종'!F19-T300-AB300,0))</x:f>
        <x:v>5</x:v>
      </x:c>
      <x:c r="M300" s="2" t="n">
        <x:f>MAX(1,ROUND('기준스탯 72종'!G19-U300-AC300,0))</x:f>
        <x:v>4</x:v>
      </x:c>
      <x:c r="N300" s="2" t="n">
        <x:f>MAX(0,ROUND('기준스탯 72종'!H19-V300-AD300,0))</x:f>
        <x:v>2</x:v>
      </x:c>
      <x:c r="O300" s="2" t="n">
        <x:f>MAX(0,ROUND('기준스탯 72종'!I19-W300-AE300,0))</x:f>
        <x:v>4</x:v>
      </x:c>
      <x:c r="P300" s="2" t="n">
        <x:f>MAX(0,ROUND('기준스탯 72종'!J19-X300-AF300,0))</x:f>
        <x:v>1</x:v>
      </x:c>
      <x:c r="Q300" s="2" t="n">
        <x:f>MAX(0,ROUND('기준스탯 72종'!K19-Y300-AG300,0))</x:f>
        <x:v>4</x:v>
      </x:c>
      <x:c r="R300" s="15" t="n">
        <x:f>'기준스탯 72종'!D19*G300</x:f>
        <x:v>2.2399999999999998</x:v>
      </x:c>
      <x:c r="S300" s="15" t="n">
        <x:f>'기준스탯 72종'!E19*G300</x:f>
        <x:v>2.5199999999999996</x:v>
      </x:c>
      <x:c r="T300" s="15" t="n">
        <x:f>'기준스탯 72종'!F19*G300</x:f>
        <x:v>2.2399999999999998</x:v>
      </x:c>
      <x:c r="U300" s="15" t="n">
        <x:f>'기준스탯 72종'!G19*G300</x:f>
        <x:v>1.6799999999999997</x:v>
      </x:c>
      <x:c r="V300" s="15" t="n">
        <x:f>'기준스탯 72종'!H19*G300</x:f>
        <x:v>0.8399999999999999</x:v>
      </x:c>
      <x:c r="W300" s="15" t="n">
        <x:f>'기준스탯 72종'!I19*G300</x:f>
        <x:v>1.6799999999999997</x:v>
      </x:c>
      <x:c r="X300" s="15" t="n">
        <x:f>'기준스탯 72종'!J19*G300</x:f>
        <x:v>0.27999999999999997</x:v>
      </x:c>
      <x:c r="Y300" s="15" t="n">
        <x:f>'기준스탯 72종'!K19*G300</x:f>
        <x:v>1.6799999999999997</x:v>
      </x:c>
      <x:c r="Z300" s="15" t="n">
        <x:f>'기준스탯 72종'!D19*H300</x:f>
        <x:v>0.4800000000000001</x:v>
      </x:c>
      <x:c r="AA300" s="15" t="n">
        <x:f>'기준스탯 72종'!E19*H300</x:f>
        <x:v>0.5400000000000001</x:v>
      </x:c>
      <x:c r="AB300" s="15" t="n">
        <x:f>'기준스탯 72종'!F19*H300</x:f>
        <x:v>0.4800000000000001</x:v>
      </x:c>
      <x:c r="AC300" s="15" t="n">
        <x:f>'기준스탯 72종'!G19*H300</x:f>
        <x:v>0.3600000000000001</x:v>
      </x:c>
      <x:c r="AD300" s="15" t="n">
        <x:f>'기준스탯 72종'!H19*H300</x:f>
        <x:v>0.18000000000000005</x:v>
      </x:c>
      <x:c r="AE300" s="15" t="n">
        <x:f>'기준스탯 72종'!I19*H300</x:f>
        <x:v>0.3600000000000001</x:v>
      </x:c>
      <x:c r="AF300" s="15" t="n">
        <x:f>'기준스탯 72종'!J19*H300</x:f>
        <x:v>0.06000000000000001</x:v>
      </x:c>
      <x:c r="AG300" s="15" t="n">
        <x:f>'기준스탯 72종'!K19*H300</x:f>
        <x:v>0.3600000000000001</x:v>
      </x:c>
    </x:row>
    <x:row r="301" ht="28" customHeight="1">
      <x:c r="A301" s="2" t="n">
        <x:v>294</x:v>
      </x:c>
      <x:c r="B301" s="2" t="n">
        <x:v>12</x:v>
      </x:c>
      <x:c r="C301" s="2" t="str">
        <x:v>황소자리</x:v>
      </x:c>
      <x:c r="D301" s="2" t="str">
        <x:v>전사</x:v>
      </x:c>
      <x:c r="E301" s="2" t="n">
        <x:v>4</x:v>
      </x:c>
      <x:c r="F301" s="2" t="n">
        <x:v>4</x:v>
      </x:c>
      <x:c r="G301" s="14" t="n">
        <x:f>('레벨 계산식'!$E$4-E301)*'레벨 계산식'!$B$5</x:f>
        <x:v>0.13999999999999999</x:v>
      </x:c>
      <x:c r="H301" s="14" t="n">
        <x:f>('등급 계산식'!$E$4-F301)*'등급 계산식'!$B$5</x:f>
        <x:v>0.06000000000000001</x:v>
      </x:c>
      <x:c r="I301" s="14" t="n">
        <x:f>1-G301-H301</x:f>
        <x:v>0.7999999999999999</x:v>
      </x:c>
      <x:c r="J301" s="2" t="n">
        <x:f>MAX(1,ROUND('기준스탯 72종'!D19-R301-Z301,0))</x:f>
        <x:v>6</x:v>
      </x:c>
      <x:c r="K301" s="2" t="n">
        <x:f>MAX(1,ROUND('기준스탯 72종'!E19-S301-AA301,0))</x:f>
        <x:v>7</x:v>
      </x:c>
      <x:c r="L301" s="2" t="n">
        <x:f>MAX(1,ROUND('기준스탯 72종'!F19-T301-AB301,0))</x:f>
        <x:v>6</x:v>
      </x:c>
      <x:c r="M301" s="2" t="n">
        <x:f>MAX(1,ROUND('기준스탯 72종'!G19-U301-AC301,0))</x:f>
        <x:v>5</x:v>
      </x:c>
      <x:c r="N301" s="2" t="n">
        <x:f>MAX(0,ROUND('기준스탯 72종'!H19-V301-AD301,0))</x:f>
        <x:v>2</x:v>
      </x:c>
      <x:c r="O301" s="2" t="n">
        <x:f>MAX(0,ROUND('기준스탯 72종'!I19-W301-AE301,0))</x:f>
        <x:v>5</x:v>
      </x:c>
      <x:c r="P301" s="2" t="n">
        <x:f>MAX(0,ROUND('기준스탯 72종'!J19-X301-AF301,0))</x:f>
        <x:v>1</x:v>
      </x:c>
      <x:c r="Q301" s="2" t="n">
        <x:f>MAX(0,ROUND('기준스탯 72종'!K19-Y301-AG301,0))</x:f>
        <x:v>5</x:v>
      </x:c>
      <x:c r="R301" s="15" t="n">
        <x:f>'기준스탯 72종'!D19*G301</x:f>
        <x:v>1.1199999999999999</x:v>
      </x:c>
      <x:c r="S301" s="15" t="n">
        <x:f>'기준스탯 72종'!E19*G301</x:f>
        <x:v>1.2599999999999998</x:v>
      </x:c>
      <x:c r="T301" s="15" t="n">
        <x:f>'기준스탯 72종'!F19*G301</x:f>
        <x:v>1.1199999999999999</x:v>
      </x:c>
      <x:c r="U301" s="15" t="n">
        <x:f>'기준스탯 72종'!G19*G301</x:f>
        <x:v>0.8399999999999999</x:v>
      </x:c>
      <x:c r="V301" s="15" t="n">
        <x:f>'기준스탯 72종'!H19*G301</x:f>
        <x:v>0.41999999999999993</x:v>
      </x:c>
      <x:c r="W301" s="15" t="n">
        <x:f>'기준스탯 72종'!I19*G301</x:f>
        <x:v>0.8399999999999999</x:v>
      </x:c>
      <x:c r="X301" s="15" t="n">
        <x:f>'기준스탯 72종'!J19*G301</x:f>
        <x:v>0.13999999999999999</x:v>
      </x:c>
      <x:c r="Y301" s="15" t="n">
        <x:f>'기준스탯 72종'!K19*G301</x:f>
        <x:v>0.8399999999999999</x:v>
      </x:c>
      <x:c r="Z301" s="15" t="n">
        <x:f>'기준스탯 72종'!D19*H301</x:f>
        <x:v>0.4800000000000001</x:v>
      </x:c>
      <x:c r="AA301" s="15" t="n">
        <x:f>'기준스탯 72종'!E19*H301</x:f>
        <x:v>0.5400000000000001</x:v>
      </x:c>
      <x:c r="AB301" s="15" t="n">
        <x:f>'기준스탯 72종'!F19*H301</x:f>
        <x:v>0.4800000000000001</x:v>
      </x:c>
      <x:c r="AC301" s="15" t="n">
        <x:f>'기준스탯 72종'!G19*H301</x:f>
        <x:v>0.3600000000000001</x:v>
      </x:c>
      <x:c r="AD301" s="15" t="n">
        <x:f>'기준스탯 72종'!H19*H301</x:f>
        <x:v>0.18000000000000005</x:v>
      </x:c>
      <x:c r="AE301" s="15" t="n">
        <x:f>'기준스탯 72종'!I19*H301</x:f>
        <x:v>0.3600000000000001</x:v>
      </x:c>
      <x:c r="AF301" s="15" t="n">
        <x:f>'기준스탯 72종'!J19*H301</x:f>
        <x:v>0.06000000000000001</x:v>
      </x:c>
      <x:c r="AG301" s="15" t="n">
        <x:f>'기준스탯 72종'!K19*H301</x:f>
        <x:v>0.3600000000000001</x:v>
      </x:c>
    </x:row>
    <x:row r="302" ht="28" customHeight="1">
      <x:c r="A302" s="2" t="n">
        <x:v>295</x:v>
      </x:c>
      <x:c r="B302" s="2" t="n">
        <x:v>12</x:v>
      </x:c>
      <x:c r="C302" s="2" t="str">
        <x:v>황소자리</x:v>
      </x:c>
      <x:c r="D302" s="2" t="str">
        <x:v>전사</x:v>
      </x:c>
      <x:c r="E302" s="2" t="n">
        <x:v>5</x:v>
      </x:c>
      <x:c r="F302" s="2" t="n">
        <x:v>4</x:v>
      </x:c>
      <x:c r="G302" s="14" t="n">
        <x:f>('레벨 계산식'!$E$4-E302)*'레벨 계산식'!$B$5</x:f>
        <x:v>0</x:v>
      </x:c>
      <x:c r="H302" s="14" t="n">
        <x:f>('등급 계산식'!$E$4-F302)*'등급 계산식'!$B$5</x:f>
        <x:v>0.06000000000000001</x:v>
      </x:c>
      <x:c r="I302" s="14" t="n">
        <x:f>1-G302-H302</x:f>
        <x:v>0.94</x:v>
      </x:c>
      <x:c r="J302" s="2" t="n">
        <x:f>MAX(1,ROUND('기준스탯 72종'!D19-R302-Z302,0))</x:f>
        <x:v>8</x:v>
      </x:c>
      <x:c r="K302" s="2" t="n">
        <x:f>MAX(1,ROUND('기준스탯 72종'!E19-S302-AA302,0))</x:f>
        <x:v>8</x:v>
      </x:c>
      <x:c r="L302" s="2" t="n">
        <x:f>MAX(1,ROUND('기준스탯 72종'!F19-T302-AB302,0))</x:f>
        <x:v>8</x:v>
      </x:c>
      <x:c r="M302" s="2" t="n">
        <x:f>MAX(1,ROUND('기준스탯 72종'!G19-U302-AC302,0))</x:f>
        <x:v>6</x:v>
      </x:c>
      <x:c r="N302" s="2" t="n">
        <x:f>MAX(0,ROUND('기준스탯 72종'!H19-V302-AD302,0))</x:f>
        <x:v>3</x:v>
      </x:c>
      <x:c r="O302" s="2" t="n">
        <x:f>MAX(0,ROUND('기준스탯 72종'!I19-W302-AE302,0))</x:f>
        <x:v>6</x:v>
      </x:c>
      <x:c r="P302" s="2" t="n">
        <x:f>MAX(0,ROUND('기준스탯 72종'!J19-X302-AF302,0))</x:f>
        <x:v>1</x:v>
      </x:c>
      <x:c r="Q302" s="2" t="n">
        <x:f>MAX(0,ROUND('기준스탯 72종'!K19-Y302-AG302,0))</x:f>
        <x:v>6</x:v>
      </x:c>
      <x:c r="R302" s="15" t="n">
        <x:f>'기준스탯 72종'!D19*G302</x:f>
        <x:v>0</x:v>
      </x:c>
      <x:c r="S302" s="15" t="n">
        <x:f>'기준스탯 72종'!E19*G302</x:f>
        <x:v>0</x:v>
      </x:c>
      <x:c r="T302" s="15" t="n">
        <x:f>'기준스탯 72종'!F19*G302</x:f>
        <x:v>0</x:v>
      </x:c>
      <x:c r="U302" s="15" t="n">
        <x:f>'기준스탯 72종'!G19*G302</x:f>
        <x:v>0</x:v>
      </x:c>
      <x:c r="V302" s="15" t="n">
        <x:f>'기준스탯 72종'!H19*G302</x:f>
        <x:v>0</x:v>
      </x:c>
      <x:c r="W302" s="15" t="n">
        <x:f>'기준스탯 72종'!I19*G302</x:f>
        <x:v>0</x:v>
      </x:c>
      <x:c r="X302" s="15" t="n">
        <x:f>'기준스탯 72종'!J19*G302</x:f>
        <x:v>0</x:v>
      </x:c>
      <x:c r="Y302" s="15" t="n">
        <x:f>'기준스탯 72종'!K19*G302</x:f>
        <x:v>0</x:v>
      </x:c>
      <x:c r="Z302" s="15" t="n">
        <x:f>'기준스탯 72종'!D19*H302</x:f>
        <x:v>0.4800000000000001</x:v>
      </x:c>
      <x:c r="AA302" s="15" t="n">
        <x:f>'기준스탯 72종'!E19*H302</x:f>
        <x:v>0.5400000000000001</x:v>
      </x:c>
      <x:c r="AB302" s="15" t="n">
        <x:f>'기준스탯 72종'!F19*H302</x:f>
        <x:v>0.4800000000000001</x:v>
      </x:c>
      <x:c r="AC302" s="15" t="n">
        <x:f>'기준스탯 72종'!G19*H302</x:f>
        <x:v>0.3600000000000001</x:v>
      </x:c>
      <x:c r="AD302" s="15" t="n">
        <x:f>'기준스탯 72종'!H19*H302</x:f>
        <x:v>0.18000000000000005</x:v>
      </x:c>
      <x:c r="AE302" s="15" t="n">
        <x:f>'기준스탯 72종'!I19*H302</x:f>
        <x:v>0.3600000000000001</x:v>
      </x:c>
      <x:c r="AF302" s="15" t="n">
        <x:f>'기준스탯 72종'!J19*H302</x:f>
        <x:v>0.06000000000000001</x:v>
      </x:c>
      <x:c r="AG302" s="15" t="n">
        <x:f>'기준스탯 72종'!K19*H302</x:f>
        <x:v>0.3600000000000001</x:v>
      </x:c>
    </x:row>
    <x:row r="303" ht="28" customHeight="1">
      <x:c r="A303" s="2" t="n">
        <x:v>296</x:v>
      </x:c>
      <x:c r="B303" s="2" t="n">
        <x:v>12</x:v>
      </x:c>
      <x:c r="C303" s="2" t="str">
        <x:v>황소자리</x:v>
      </x:c>
      <x:c r="D303" s="2" t="str">
        <x:v>전사</x:v>
      </x:c>
      <x:c r="E303" s="2" t="n">
        <x:v>1</x:v>
      </x:c>
      <x:c r="F303" s="2" t="n">
        <x:v>5</x:v>
      </x:c>
      <x:c r="G303" s="14" t="n">
        <x:f>('레벨 계산식'!$E$4-E303)*'레벨 계산식'!$B$5</x:f>
        <x:v>0.5599999999999999</x:v>
      </x:c>
      <x:c r="H303" s="14" t="n">
        <x:f>('등급 계산식'!$E$4-F303)*'등급 계산식'!$B$5</x:f>
        <x:v>0</x:v>
      </x:c>
      <x:c r="I303" s="14" t="n">
        <x:f>1-G303-H303</x:f>
        <x:v>0.44000000000000006</x:v>
      </x:c>
      <x:c r="J303" s="2" t="n">
        <x:f>MAX(1,ROUND('기준스탯 72종'!D19-R303-Z303,0))</x:f>
        <x:v>4</x:v>
      </x:c>
      <x:c r="K303" s="2" t="n">
        <x:f>MAX(1,ROUND('기준스탯 72종'!E19-S303-AA303,0))</x:f>
        <x:v>4</x:v>
      </x:c>
      <x:c r="L303" s="2" t="n">
        <x:f>MAX(1,ROUND('기준스탯 72종'!F19-T303-AB303,0))</x:f>
        <x:v>4</x:v>
      </x:c>
      <x:c r="M303" s="2" t="n">
        <x:f>MAX(1,ROUND('기준스탯 72종'!G19-U303-AC303,0))</x:f>
        <x:v>3</x:v>
      </x:c>
      <x:c r="N303" s="2" t="n">
        <x:f>MAX(0,ROUND('기준스탯 72종'!H19-V303-AD303,0))</x:f>
        <x:v>1</x:v>
      </x:c>
      <x:c r="O303" s="2" t="n">
        <x:f>MAX(0,ROUND('기준스탯 72종'!I19-W303-AE303,0))</x:f>
        <x:v>3</x:v>
      </x:c>
      <x:c r="P303" s="2" t="n">
        <x:f>MAX(0,ROUND('기준스탯 72종'!J19-X303-AF303,0))</x:f>
        <x:v>0</x:v>
      </x:c>
      <x:c r="Q303" s="2" t="n">
        <x:f>MAX(0,ROUND('기준스탯 72종'!K19-Y303-AG303,0))</x:f>
        <x:v>3</x:v>
      </x:c>
      <x:c r="R303" s="15" t="n">
        <x:f>'기준스탯 72종'!D19*G303</x:f>
        <x:v>4.4799999999999995</x:v>
      </x:c>
      <x:c r="S303" s="15" t="n">
        <x:f>'기준스탯 72종'!E19*G303</x:f>
        <x:v>5.039999999999999</x:v>
      </x:c>
      <x:c r="T303" s="15" t="n">
        <x:f>'기준스탯 72종'!F19*G303</x:f>
        <x:v>4.4799999999999995</x:v>
      </x:c>
      <x:c r="U303" s="15" t="n">
        <x:f>'기준스탯 72종'!G19*G303</x:f>
        <x:v>3.3599999999999994</x:v>
      </x:c>
      <x:c r="V303" s="15" t="n">
        <x:f>'기준스탯 72종'!H19*G303</x:f>
        <x:v>1.6799999999999997</x:v>
      </x:c>
      <x:c r="W303" s="15" t="n">
        <x:f>'기준스탯 72종'!I19*G303</x:f>
        <x:v>3.3599999999999994</x:v>
      </x:c>
      <x:c r="X303" s="15" t="n">
        <x:f>'기준스탯 72종'!J19*G303</x:f>
        <x:v>0.5599999999999999</x:v>
      </x:c>
      <x:c r="Y303" s="15" t="n">
        <x:f>'기준스탯 72종'!K19*G303</x:f>
        <x:v>3.3599999999999994</x:v>
      </x:c>
      <x:c r="Z303" s="15" t="n">
        <x:f>'기준스탯 72종'!D19*H303</x:f>
        <x:v>0</x:v>
      </x:c>
      <x:c r="AA303" s="15" t="n">
        <x:f>'기준스탯 72종'!E19*H303</x:f>
        <x:v>0</x:v>
      </x:c>
      <x:c r="AB303" s="15" t="n">
        <x:f>'기준스탯 72종'!F19*H303</x:f>
        <x:v>0</x:v>
      </x:c>
      <x:c r="AC303" s="15" t="n">
        <x:f>'기준스탯 72종'!G19*H303</x:f>
        <x:v>0</x:v>
      </x:c>
      <x:c r="AD303" s="15" t="n">
        <x:f>'기준스탯 72종'!H19*H303</x:f>
        <x:v>0</x:v>
      </x:c>
      <x:c r="AE303" s="15" t="n">
        <x:f>'기준스탯 72종'!I19*H303</x:f>
        <x:v>0</x:v>
      </x:c>
      <x:c r="AF303" s="15" t="n">
        <x:f>'기준스탯 72종'!J19*H303</x:f>
        <x:v>0</x:v>
      </x:c>
      <x:c r="AG303" s="15" t="n">
        <x:f>'기준스탯 72종'!K19*H303</x:f>
        <x:v>0</x:v>
      </x:c>
    </x:row>
    <x:row r="304" ht="28" customHeight="1">
      <x:c r="A304" s="2" t="n">
        <x:v>297</x:v>
      </x:c>
      <x:c r="B304" s="2" t="n">
        <x:v>12</x:v>
      </x:c>
      <x:c r="C304" s="2" t="str">
        <x:v>황소자리</x:v>
      </x:c>
      <x:c r="D304" s="2" t="str">
        <x:v>전사</x:v>
      </x:c>
      <x:c r="E304" s="2" t="n">
        <x:v>2</x:v>
      </x:c>
      <x:c r="F304" s="2" t="n">
        <x:v>5</x:v>
      </x:c>
      <x:c r="G304" s="14" t="n">
        <x:f>('레벨 계산식'!$E$4-E304)*'레벨 계산식'!$B$5</x:f>
        <x:v>0.41999999999999993</x:v>
      </x:c>
      <x:c r="H304" s="14" t="n">
        <x:f>('등급 계산식'!$E$4-F304)*'등급 계산식'!$B$5</x:f>
        <x:v>0</x:v>
      </x:c>
      <x:c r="I304" s="14" t="n">
        <x:f>1-G304-H304</x:f>
        <x:v>0.5800000000000001</x:v>
      </x:c>
      <x:c r="J304" s="2" t="n">
        <x:f>MAX(1,ROUND('기준스탯 72종'!D19-R304-Z304,0))</x:f>
        <x:v>5</x:v>
      </x:c>
      <x:c r="K304" s="2" t="n">
        <x:f>MAX(1,ROUND('기준스탯 72종'!E19-S304-AA304,0))</x:f>
        <x:v>5</x:v>
      </x:c>
      <x:c r="L304" s="2" t="n">
        <x:f>MAX(1,ROUND('기준스탯 72종'!F19-T304-AB304,0))</x:f>
        <x:v>5</x:v>
      </x:c>
      <x:c r="M304" s="2" t="n">
        <x:f>MAX(1,ROUND('기준스탯 72종'!G19-U304-AC304,0))</x:f>
        <x:v>3</x:v>
      </x:c>
      <x:c r="N304" s="2" t="n">
        <x:f>MAX(0,ROUND('기준스탯 72종'!H19-V304-AD304,0))</x:f>
        <x:v>2</x:v>
      </x:c>
      <x:c r="O304" s="2" t="n">
        <x:f>MAX(0,ROUND('기준스탯 72종'!I19-W304-AE304,0))</x:f>
        <x:v>3</x:v>
      </x:c>
      <x:c r="P304" s="2" t="n">
        <x:f>MAX(0,ROUND('기준스탯 72종'!J19-X304-AF304,0))</x:f>
        <x:v>1</x:v>
      </x:c>
      <x:c r="Q304" s="2" t="n">
        <x:f>MAX(0,ROUND('기준스탯 72종'!K19-Y304-AG304,0))</x:f>
        <x:v>3</x:v>
      </x:c>
      <x:c r="R304" s="15" t="n">
        <x:f>'기준스탯 72종'!D19*G304</x:f>
        <x:v>3.3599999999999994</x:v>
      </x:c>
      <x:c r="S304" s="15" t="n">
        <x:f>'기준스탯 72종'!E19*G304</x:f>
        <x:v>3.7799999999999994</x:v>
      </x:c>
      <x:c r="T304" s="15" t="n">
        <x:f>'기준스탯 72종'!F19*G304</x:f>
        <x:v>3.3599999999999994</x:v>
      </x:c>
      <x:c r="U304" s="15" t="n">
        <x:f>'기준스탯 72종'!G19*G304</x:f>
        <x:v>2.5199999999999996</x:v>
      </x:c>
      <x:c r="V304" s="15" t="n">
        <x:f>'기준스탯 72종'!H19*G304</x:f>
        <x:v>1.2599999999999998</x:v>
      </x:c>
      <x:c r="W304" s="15" t="n">
        <x:f>'기준스탯 72종'!I19*G304</x:f>
        <x:v>2.5199999999999996</x:v>
      </x:c>
      <x:c r="X304" s="15" t="n">
        <x:f>'기준스탯 72종'!J19*G304</x:f>
        <x:v>0.41999999999999993</x:v>
      </x:c>
      <x:c r="Y304" s="15" t="n">
        <x:f>'기준스탯 72종'!K19*G304</x:f>
        <x:v>2.5199999999999996</x:v>
      </x:c>
      <x:c r="Z304" s="15" t="n">
        <x:f>'기준스탯 72종'!D19*H304</x:f>
        <x:v>0</x:v>
      </x:c>
      <x:c r="AA304" s="15" t="n">
        <x:f>'기준스탯 72종'!E19*H304</x:f>
        <x:v>0</x:v>
      </x:c>
      <x:c r="AB304" s="15" t="n">
        <x:f>'기준스탯 72종'!F19*H304</x:f>
        <x:v>0</x:v>
      </x:c>
      <x:c r="AC304" s="15" t="n">
        <x:f>'기준스탯 72종'!G19*H304</x:f>
        <x:v>0</x:v>
      </x:c>
      <x:c r="AD304" s="15" t="n">
        <x:f>'기준스탯 72종'!H19*H304</x:f>
        <x:v>0</x:v>
      </x:c>
      <x:c r="AE304" s="15" t="n">
        <x:f>'기준스탯 72종'!I19*H304</x:f>
        <x:v>0</x:v>
      </x:c>
      <x:c r="AF304" s="15" t="n">
        <x:f>'기준스탯 72종'!J19*H304</x:f>
        <x:v>0</x:v>
      </x:c>
      <x:c r="AG304" s="15" t="n">
        <x:f>'기준스탯 72종'!K19*H304</x:f>
        <x:v>0</x:v>
      </x:c>
    </x:row>
    <x:row r="305" ht="28" customHeight="1">
      <x:c r="A305" s="2" t="n">
        <x:v>298</x:v>
      </x:c>
      <x:c r="B305" s="2" t="n">
        <x:v>12</x:v>
      </x:c>
      <x:c r="C305" s="2" t="str">
        <x:v>황소자리</x:v>
      </x:c>
      <x:c r="D305" s="2" t="str">
        <x:v>전사</x:v>
      </x:c>
      <x:c r="E305" s="2" t="n">
        <x:v>3</x:v>
      </x:c>
      <x:c r="F305" s="2" t="n">
        <x:v>5</x:v>
      </x:c>
      <x:c r="G305" s="14" t="n">
        <x:f>('레벨 계산식'!$E$4-E305)*'레벨 계산식'!$B$5</x:f>
        <x:v>0.27999999999999997</x:v>
      </x:c>
      <x:c r="H305" s="14" t="n">
        <x:f>('등급 계산식'!$E$4-F305)*'등급 계산식'!$B$5</x:f>
        <x:v>0</x:v>
      </x:c>
      <x:c r="I305" s="14" t="n">
        <x:f>1-G305-H305</x:f>
        <x:v>0.72</x:v>
      </x:c>
      <x:c r="J305" s="2" t="n">
        <x:f>MAX(1,ROUND('기준스탯 72종'!D19-R305-Z305,0))</x:f>
        <x:v>6</x:v>
      </x:c>
      <x:c r="K305" s="2" t="n">
        <x:f>MAX(1,ROUND('기준스탯 72종'!E19-S305-AA305,0))</x:f>
        <x:v>6</x:v>
      </x:c>
      <x:c r="L305" s="2" t="n">
        <x:f>MAX(1,ROUND('기준스탯 72종'!F19-T305-AB305,0))</x:f>
        <x:v>6</x:v>
      </x:c>
      <x:c r="M305" s="2" t="n">
        <x:f>MAX(1,ROUND('기준스탯 72종'!G19-U305-AC305,0))</x:f>
        <x:v>4</x:v>
      </x:c>
      <x:c r="N305" s="2" t="n">
        <x:f>MAX(0,ROUND('기준스탯 72종'!H19-V305-AD305,0))</x:f>
        <x:v>2</x:v>
      </x:c>
      <x:c r="O305" s="2" t="n">
        <x:f>MAX(0,ROUND('기준스탯 72종'!I19-W305-AE305,0))</x:f>
        <x:v>4</x:v>
      </x:c>
      <x:c r="P305" s="2" t="n">
        <x:f>MAX(0,ROUND('기준스탯 72종'!J19-X305-AF305,0))</x:f>
        <x:v>1</x:v>
      </x:c>
      <x:c r="Q305" s="2" t="n">
        <x:f>MAX(0,ROUND('기준스탯 72종'!K19-Y305-AG305,0))</x:f>
        <x:v>4</x:v>
      </x:c>
      <x:c r="R305" s="15" t="n">
        <x:f>'기준스탯 72종'!D19*G305</x:f>
        <x:v>2.2399999999999998</x:v>
      </x:c>
      <x:c r="S305" s="15" t="n">
        <x:f>'기준스탯 72종'!E19*G305</x:f>
        <x:v>2.5199999999999996</x:v>
      </x:c>
      <x:c r="T305" s="15" t="n">
        <x:f>'기준스탯 72종'!F19*G305</x:f>
        <x:v>2.2399999999999998</x:v>
      </x:c>
      <x:c r="U305" s="15" t="n">
        <x:f>'기준스탯 72종'!G19*G305</x:f>
        <x:v>1.6799999999999997</x:v>
      </x:c>
      <x:c r="V305" s="15" t="n">
        <x:f>'기준스탯 72종'!H19*G305</x:f>
        <x:v>0.8399999999999999</x:v>
      </x:c>
      <x:c r="W305" s="15" t="n">
        <x:f>'기준스탯 72종'!I19*G305</x:f>
        <x:v>1.6799999999999997</x:v>
      </x:c>
      <x:c r="X305" s="15" t="n">
        <x:f>'기준스탯 72종'!J19*G305</x:f>
        <x:v>0.27999999999999997</x:v>
      </x:c>
      <x:c r="Y305" s="15" t="n">
        <x:f>'기준스탯 72종'!K19*G305</x:f>
        <x:v>1.6799999999999997</x:v>
      </x:c>
      <x:c r="Z305" s="15" t="n">
        <x:f>'기준스탯 72종'!D19*H305</x:f>
        <x:v>0</x:v>
      </x:c>
      <x:c r="AA305" s="15" t="n">
        <x:f>'기준스탯 72종'!E19*H305</x:f>
        <x:v>0</x:v>
      </x:c>
      <x:c r="AB305" s="15" t="n">
        <x:f>'기준스탯 72종'!F19*H305</x:f>
        <x:v>0</x:v>
      </x:c>
      <x:c r="AC305" s="15" t="n">
        <x:f>'기준스탯 72종'!G19*H305</x:f>
        <x:v>0</x:v>
      </x:c>
      <x:c r="AD305" s="15" t="n">
        <x:f>'기준스탯 72종'!H19*H305</x:f>
        <x:v>0</x:v>
      </x:c>
      <x:c r="AE305" s="15" t="n">
        <x:f>'기준스탯 72종'!I19*H305</x:f>
        <x:v>0</x:v>
      </x:c>
      <x:c r="AF305" s="15" t="n">
        <x:f>'기준스탯 72종'!J19*H305</x:f>
        <x:v>0</x:v>
      </x:c>
      <x:c r="AG305" s="15" t="n">
        <x:f>'기준스탯 72종'!K19*H305</x:f>
        <x:v>0</x:v>
      </x:c>
    </x:row>
    <x:row r="306" ht="28" customHeight="1">
      <x:c r="A306" s="2" t="n">
        <x:v>299</x:v>
      </x:c>
      <x:c r="B306" s="2" t="n">
        <x:v>12</x:v>
      </x:c>
      <x:c r="C306" s="2" t="str">
        <x:v>황소자리</x:v>
      </x:c>
      <x:c r="D306" s="2" t="str">
        <x:v>전사</x:v>
      </x:c>
      <x:c r="E306" s="2" t="n">
        <x:v>4</x:v>
      </x:c>
      <x:c r="F306" s="2" t="n">
        <x:v>5</x:v>
      </x:c>
      <x:c r="G306" s="14" t="n">
        <x:f>('레벨 계산식'!$E$4-E306)*'레벨 계산식'!$B$5</x:f>
        <x:v>0.13999999999999999</x:v>
      </x:c>
      <x:c r="H306" s="14" t="n">
        <x:f>('등급 계산식'!$E$4-F306)*'등급 계산식'!$B$5</x:f>
        <x:v>0</x:v>
      </x:c>
      <x:c r="I306" s="14" t="n">
        <x:f>1-G306-H306</x:f>
        <x:v>0.86</x:v>
      </x:c>
      <x:c r="J306" s="2" t="n">
        <x:f>MAX(1,ROUND('기준스탯 72종'!D19-R306-Z306,0))</x:f>
        <x:v>7</x:v>
      </x:c>
      <x:c r="K306" s="2" t="n">
        <x:f>MAX(1,ROUND('기준스탯 72종'!E19-S306-AA306,0))</x:f>
        <x:v>8</x:v>
      </x:c>
      <x:c r="L306" s="2" t="n">
        <x:f>MAX(1,ROUND('기준스탯 72종'!F19-T306-AB306,0))</x:f>
        <x:v>7</x:v>
      </x:c>
      <x:c r="M306" s="2" t="n">
        <x:f>MAX(1,ROUND('기준스탯 72종'!G19-U306-AC306,0))</x:f>
        <x:v>5</x:v>
      </x:c>
      <x:c r="N306" s="2" t="n">
        <x:f>MAX(0,ROUND('기준스탯 72종'!H19-V306-AD306,0))</x:f>
        <x:v>3</x:v>
      </x:c>
      <x:c r="O306" s="2" t="n">
        <x:f>MAX(0,ROUND('기준스탯 72종'!I19-W306-AE306,0))</x:f>
        <x:v>5</x:v>
      </x:c>
      <x:c r="P306" s="2" t="n">
        <x:f>MAX(0,ROUND('기준스탯 72종'!J19-X306-AF306,0))</x:f>
        <x:v>1</x:v>
      </x:c>
      <x:c r="Q306" s="2" t="n">
        <x:f>MAX(0,ROUND('기준스탯 72종'!K19-Y306-AG306,0))</x:f>
        <x:v>5</x:v>
      </x:c>
      <x:c r="R306" s="15" t="n">
        <x:f>'기준스탯 72종'!D19*G306</x:f>
        <x:v>1.1199999999999999</x:v>
      </x:c>
      <x:c r="S306" s="15" t="n">
        <x:f>'기준스탯 72종'!E19*G306</x:f>
        <x:v>1.2599999999999998</x:v>
      </x:c>
      <x:c r="T306" s="15" t="n">
        <x:f>'기준스탯 72종'!F19*G306</x:f>
        <x:v>1.1199999999999999</x:v>
      </x:c>
      <x:c r="U306" s="15" t="n">
        <x:f>'기준스탯 72종'!G19*G306</x:f>
        <x:v>0.8399999999999999</x:v>
      </x:c>
      <x:c r="V306" s="15" t="n">
        <x:f>'기준스탯 72종'!H19*G306</x:f>
        <x:v>0.41999999999999993</x:v>
      </x:c>
      <x:c r="W306" s="15" t="n">
        <x:f>'기준스탯 72종'!I19*G306</x:f>
        <x:v>0.8399999999999999</x:v>
      </x:c>
      <x:c r="X306" s="15" t="n">
        <x:f>'기준스탯 72종'!J19*G306</x:f>
        <x:v>0.13999999999999999</x:v>
      </x:c>
      <x:c r="Y306" s="15" t="n">
        <x:f>'기준스탯 72종'!K19*G306</x:f>
        <x:v>0.8399999999999999</x:v>
      </x:c>
      <x:c r="Z306" s="15" t="n">
        <x:f>'기준스탯 72종'!D19*H306</x:f>
        <x:v>0</x:v>
      </x:c>
      <x:c r="AA306" s="15" t="n">
        <x:f>'기준스탯 72종'!E19*H306</x:f>
        <x:v>0</x:v>
      </x:c>
      <x:c r="AB306" s="15" t="n">
        <x:f>'기준스탯 72종'!F19*H306</x:f>
        <x:v>0</x:v>
      </x:c>
      <x:c r="AC306" s="15" t="n">
        <x:f>'기준스탯 72종'!G19*H306</x:f>
        <x:v>0</x:v>
      </x:c>
      <x:c r="AD306" s="15" t="n">
        <x:f>'기준스탯 72종'!H19*H306</x:f>
        <x:v>0</x:v>
      </x:c>
      <x:c r="AE306" s="15" t="n">
        <x:f>'기준스탯 72종'!I19*H306</x:f>
        <x:v>0</x:v>
      </x:c>
      <x:c r="AF306" s="15" t="n">
        <x:f>'기준스탯 72종'!J19*H306</x:f>
        <x:v>0</x:v>
      </x:c>
      <x:c r="AG306" s="15" t="n">
        <x:f>'기준스탯 72종'!K19*H306</x:f>
        <x:v>0</x:v>
      </x:c>
    </x:row>
    <x:row r="307" ht="28" customHeight="1">
      <x:c r="A307" s="2" t="n">
        <x:v>300</x:v>
      </x:c>
      <x:c r="B307" s="2" t="n">
        <x:v>12</x:v>
      </x:c>
      <x:c r="C307" s="2" t="str">
        <x:v>황소자리</x:v>
      </x:c>
      <x:c r="D307" s="2" t="str">
        <x:v>전사</x:v>
      </x:c>
      <x:c r="E307" s="2" t="n">
        <x:v>5</x:v>
      </x:c>
      <x:c r="F307" s="2" t="n">
        <x:v>5</x:v>
      </x:c>
      <x:c r="G307" s="14" t="n">
        <x:f>('레벨 계산식'!$E$4-E307)*'레벨 계산식'!$B$5</x:f>
        <x:v>0</x:v>
      </x:c>
      <x:c r="H307" s="14" t="n">
        <x:f>('등급 계산식'!$E$4-F307)*'등급 계산식'!$B$5</x:f>
        <x:v>0</x:v>
      </x:c>
      <x:c r="I307" s="14" t="n">
        <x:f>1-G307-H307</x:f>
        <x:v>1</x:v>
      </x:c>
      <x:c r="J307" s="2" t="n">
        <x:f>MAX(1,ROUND('기준스탯 72종'!D19-R307-Z307,0))</x:f>
        <x:v>8</x:v>
      </x:c>
      <x:c r="K307" s="2" t="n">
        <x:f>MAX(1,ROUND('기준스탯 72종'!E19-S307-AA307,0))</x:f>
        <x:v>9</x:v>
      </x:c>
      <x:c r="L307" s="2" t="n">
        <x:f>MAX(1,ROUND('기준스탯 72종'!F19-T307-AB307,0))</x:f>
        <x:v>8</x:v>
      </x:c>
      <x:c r="M307" s="2" t="n">
        <x:f>MAX(1,ROUND('기준스탯 72종'!G19-U307-AC307,0))</x:f>
        <x:v>6</x:v>
      </x:c>
      <x:c r="N307" s="2" t="n">
        <x:f>MAX(0,ROUND('기준스탯 72종'!H19-V307-AD307,0))</x:f>
        <x:v>3</x:v>
      </x:c>
      <x:c r="O307" s="2" t="n">
        <x:f>MAX(0,ROUND('기준스탯 72종'!I19-W307-AE307,0))</x:f>
        <x:v>6</x:v>
      </x:c>
      <x:c r="P307" s="2" t="n">
        <x:f>MAX(0,ROUND('기준스탯 72종'!J19-X307-AF307,0))</x:f>
        <x:v>1</x:v>
      </x:c>
      <x:c r="Q307" s="2" t="n">
        <x:f>MAX(0,ROUND('기준스탯 72종'!K19-Y307-AG307,0))</x:f>
        <x:v>6</x:v>
      </x:c>
      <x:c r="R307" s="15" t="n">
        <x:f>'기준스탯 72종'!D19*G307</x:f>
        <x:v>0</x:v>
      </x:c>
      <x:c r="S307" s="15" t="n">
        <x:f>'기준스탯 72종'!E19*G307</x:f>
        <x:v>0</x:v>
      </x:c>
      <x:c r="T307" s="15" t="n">
        <x:f>'기준스탯 72종'!F19*G307</x:f>
        <x:v>0</x:v>
      </x:c>
      <x:c r="U307" s="15" t="n">
        <x:f>'기준스탯 72종'!G19*G307</x:f>
        <x:v>0</x:v>
      </x:c>
      <x:c r="V307" s="15" t="n">
        <x:f>'기준스탯 72종'!H19*G307</x:f>
        <x:v>0</x:v>
      </x:c>
      <x:c r="W307" s="15" t="n">
        <x:f>'기준스탯 72종'!I19*G307</x:f>
        <x:v>0</x:v>
      </x:c>
      <x:c r="X307" s="15" t="n">
        <x:f>'기준스탯 72종'!J19*G307</x:f>
        <x:v>0</x:v>
      </x:c>
      <x:c r="Y307" s="15" t="n">
        <x:f>'기준스탯 72종'!K19*G307</x:f>
        <x:v>0</x:v>
      </x:c>
      <x:c r="Z307" s="15" t="n">
        <x:f>'기준스탯 72종'!D19*H307</x:f>
        <x:v>0</x:v>
      </x:c>
      <x:c r="AA307" s="15" t="n">
        <x:f>'기준스탯 72종'!E19*H307</x:f>
        <x:v>0</x:v>
      </x:c>
      <x:c r="AB307" s="15" t="n">
        <x:f>'기준스탯 72종'!F19*H307</x:f>
        <x:v>0</x:v>
      </x:c>
      <x:c r="AC307" s="15" t="n">
        <x:f>'기준스탯 72종'!G19*H307</x:f>
        <x:v>0</x:v>
      </x:c>
      <x:c r="AD307" s="15" t="n">
        <x:f>'기준스탯 72종'!H19*H307</x:f>
        <x:v>0</x:v>
      </x:c>
      <x:c r="AE307" s="15" t="n">
        <x:f>'기준스탯 72종'!I19*H307</x:f>
        <x:v>0</x:v>
      </x:c>
      <x:c r="AF307" s="15" t="n">
        <x:f>'기준스탯 72종'!J19*H307</x:f>
        <x:v>0</x:v>
      </x:c>
      <x:c r="AG307" s="15" t="n">
        <x:f>'기준스탯 72종'!K19*H307</x:f>
        <x:v>0</x:v>
      </x:c>
    </x:row>
    <x:row r="308" ht="28" customHeight="1">
      <x:c r="A308" s="2" t="n">
        <x:v>301</x:v>
      </x:c>
      <x:c r="B308" s="2" t="n">
        <x:v>13</x:v>
      </x:c>
      <x:c r="C308" s="2" t="str">
        <x:v>쌍둥이자리</x:v>
      </x:c>
      <x:c r="D308" s="2" t="str">
        <x:v>기사</x:v>
      </x:c>
      <x:c r="E308" s="2" t="n">
        <x:v>1</x:v>
      </x:c>
      <x:c r="F308" s="2" t="n">
        <x:v>1</x:v>
      </x:c>
      <x:c r="G308" s="14" t="n">
        <x:f>('레벨 계산식'!$E$4-E308)*'레벨 계산식'!$B$5</x:f>
        <x:v>0.5599999999999999</x:v>
      </x:c>
      <x:c r="H308" s="14" t="n">
        <x:f>('등급 계산식'!$E$4-F308)*'등급 계산식'!$B$5</x:f>
        <x:v>0.24000000000000005</x:v>
      </x:c>
      <x:c r="I308" s="14" t="n">
        <x:f>1-G308-H308</x:f>
        <x:v>0.2</x:v>
      </x:c>
      <x:c r="J308" s="2" t="n">
        <x:f>MAX(1,ROUND('기준스탯 72종'!D20-R308-Z308,0))</x:f>
        <x:v>1</x:v>
      </x:c>
      <x:c r="K308" s="2" t="n">
        <x:f>MAX(1,ROUND('기준스탯 72종'!E20-S308-AA308,0))</x:f>
        <x:v>1</x:v>
      </x:c>
      <x:c r="L308" s="2" t="n">
        <x:f>MAX(1,ROUND('기준스탯 72종'!F20-T308-AB308,0))</x:f>
        <x:v>2</x:v>
      </x:c>
      <x:c r="M308" s="2" t="n">
        <x:f>MAX(1,ROUND('기준스탯 72종'!G20-U308-AC308,0))</x:f>
        <x:v>2</x:v>
      </x:c>
      <x:c r="N308" s="2" t="n">
        <x:f>MAX(0,ROUND('기준스탯 72종'!H20-V308-AD308,0))</x:f>
        <x:v>1</x:v>
      </x:c>
      <x:c r="O308" s="2" t="n">
        <x:f>MAX(0,ROUND('기준스탯 72종'!I20-W308-AE308,0))</x:f>
        <x:v>1</x:v>
      </x:c>
      <x:c r="P308" s="2" t="n">
        <x:f>MAX(0,ROUND('기준스탯 72종'!J20-X308-AF308,0))</x:f>
        <x:v>1</x:v>
      </x:c>
      <x:c r="Q308" s="2" t="n">
        <x:f>MAX(0,ROUND('기준스탯 72종'!K20-Y308-AG308,0))</x:f>
        <x:v>1</x:v>
      </x:c>
      <x:c r="R308" s="15" t="n">
        <x:f>'기준스탯 72종'!D20*G308</x:f>
        <x:v>3.3599999999999994</x:v>
      </x:c>
      <x:c r="S308" s="15" t="n">
        <x:f>'기준스탯 72종'!E20*G308</x:f>
        <x:v>3.9199999999999995</x:v>
      </x:c>
      <x:c r="T308" s="15" t="n">
        <x:f>'기준스탯 72종'!F20*G308</x:f>
        <x:v>5.039999999999999</x:v>
      </x:c>
      <x:c r="U308" s="15" t="n">
        <x:f>'기준스탯 72종'!G20*G308</x:f>
        <x:v>4.4799999999999995</x:v>
      </x:c>
      <x:c r="V308" s="15" t="n">
        <x:f>'기준스탯 72종'!H20*G308</x:f>
        <x:v>1.6799999999999997</x:v>
      </x:c>
      <x:c r="W308" s="15" t="n">
        <x:f>'기준스탯 72종'!I20*G308</x:f>
        <x:v>1.6799999999999997</x:v>
      </x:c>
      <x:c r="X308" s="15" t="n">
        <x:f>'기준스탯 72종'!J20*G308</x:f>
        <x:v>3.3599999999999994</x:v>
      </x:c>
      <x:c r="Y308" s="15" t="n">
        <x:f>'기준스탯 72종'!K20*G308</x:f>
        <x:v>2.2399999999999998</x:v>
      </x:c>
      <x:c r="Z308" s="15" t="n">
        <x:f>'기준스탯 72종'!D20*H308</x:f>
        <x:v>1.4400000000000004</x:v>
      </x:c>
      <x:c r="AA308" s="15" t="n">
        <x:f>'기준스탯 72종'!E20*H308</x:f>
        <x:v>1.6800000000000004</x:v>
      </x:c>
      <x:c r="AB308" s="15" t="n">
        <x:f>'기준스탯 72종'!F20*H308</x:f>
        <x:v>2.1600000000000006</x:v>
      </x:c>
      <x:c r="AC308" s="15" t="n">
        <x:f>'기준스탯 72종'!G20*H308</x:f>
        <x:v>1.9200000000000004</x:v>
      </x:c>
      <x:c r="AD308" s="15" t="n">
        <x:f>'기준스탯 72종'!H20*H308</x:f>
        <x:v>0.7200000000000002</x:v>
      </x:c>
      <x:c r="AE308" s="15" t="n">
        <x:f>'기준스탯 72종'!I20*H308</x:f>
        <x:v>0.7200000000000002</x:v>
      </x:c>
      <x:c r="AF308" s="15" t="n">
        <x:f>'기준스탯 72종'!J20*H308</x:f>
        <x:v>1.4400000000000004</x:v>
      </x:c>
      <x:c r="AG308" s="15" t="n">
        <x:f>'기준스탯 72종'!K20*H308</x:f>
        <x:v>0.9600000000000002</x:v>
      </x:c>
    </x:row>
    <x:row r="309" ht="28" customHeight="1">
      <x:c r="A309" s="2" t="n">
        <x:v>302</x:v>
      </x:c>
      <x:c r="B309" s="2" t="n">
        <x:v>13</x:v>
      </x:c>
      <x:c r="C309" s="2" t="str">
        <x:v>쌍둥이자리</x:v>
      </x:c>
      <x:c r="D309" s="2" t="str">
        <x:v>기사</x:v>
      </x:c>
      <x:c r="E309" s="2" t="n">
        <x:v>2</x:v>
      </x:c>
      <x:c r="F309" s="2" t="n">
        <x:v>1</x:v>
      </x:c>
      <x:c r="G309" s="14" t="n">
        <x:f>('레벨 계산식'!$E$4-E309)*'레벨 계산식'!$B$5</x:f>
        <x:v>0.41999999999999993</x:v>
      </x:c>
      <x:c r="H309" s="14" t="n">
        <x:f>('등급 계산식'!$E$4-F309)*'등급 계산식'!$B$5</x:f>
        <x:v>0.24000000000000005</x:v>
      </x:c>
      <x:c r="I309" s="14" t="n">
        <x:f>1-G309-H309</x:f>
        <x:v>0.34</x:v>
      </x:c>
      <x:c r="J309" s="2" t="n">
        <x:f>MAX(1,ROUND('기준스탯 72종'!D20-R309-Z309,0))</x:f>
        <x:v>2</x:v>
      </x:c>
      <x:c r="K309" s="2" t="n">
        <x:f>MAX(1,ROUND('기준스탯 72종'!E20-S309-AA309,0))</x:f>
        <x:v>2</x:v>
      </x:c>
      <x:c r="L309" s="2" t="n">
        <x:f>MAX(1,ROUND('기준스탯 72종'!F20-T309-AB309,0))</x:f>
        <x:v>3</x:v>
      </x:c>
      <x:c r="M309" s="2" t="n">
        <x:f>MAX(1,ROUND('기준스탯 72종'!G20-U309-AC309,0))</x:f>
        <x:v>3</x:v>
      </x:c>
      <x:c r="N309" s="2" t="n">
        <x:f>MAX(0,ROUND('기준스탯 72종'!H20-V309-AD309,0))</x:f>
        <x:v>1</x:v>
      </x:c>
      <x:c r="O309" s="2" t="n">
        <x:f>MAX(0,ROUND('기준스탯 72종'!I20-W309-AE309,0))</x:f>
        <x:v>1</x:v>
      </x:c>
      <x:c r="P309" s="2" t="n">
        <x:f>MAX(0,ROUND('기준스탯 72종'!J20-X309-AF309,0))</x:f>
        <x:v>2</x:v>
      </x:c>
      <x:c r="Q309" s="2" t="n">
        <x:f>MAX(0,ROUND('기준스탯 72종'!K20-Y309-AG309,0))</x:f>
        <x:v>1</x:v>
      </x:c>
      <x:c r="R309" s="15" t="n">
        <x:f>'기준스탯 72종'!D20*G309</x:f>
        <x:v>2.5199999999999996</x:v>
      </x:c>
      <x:c r="S309" s="15" t="n">
        <x:f>'기준스탯 72종'!E20*G309</x:f>
        <x:v>2.9399999999999995</x:v>
      </x:c>
      <x:c r="T309" s="15" t="n">
        <x:f>'기준스탯 72종'!F20*G309</x:f>
        <x:v>3.7799999999999994</x:v>
      </x:c>
      <x:c r="U309" s="15" t="n">
        <x:f>'기준스탯 72종'!G20*G309</x:f>
        <x:v>3.3599999999999994</x:v>
      </x:c>
      <x:c r="V309" s="15" t="n">
        <x:f>'기준스탯 72종'!H20*G309</x:f>
        <x:v>1.2599999999999998</x:v>
      </x:c>
      <x:c r="W309" s="15" t="n">
        <x:f>'기준스탯 72종'!I20*G309</x:f>
        <x:v>1.2599999999999998</x:v>
      </x:c>
      <x:c r="X309" s="15" t="n">
        <x:f>'기준스탯 72종'!J20*G309</x:f>
        <x:v>2.5199999999999996</x:v>
      </x:c>
      <x:c r="Y309" s="15" t="n">
        <x:f>'기준스탯 72종'!K20*G309</x:f>
        <x:v>1.6799999999999997</x:v>
      </x:c>
      <x:c r="Z309" s="15" t="n">
        <x:f>'기준스탯 72종'!D20*H309</x:f>
        <x:v>1.4400000000000004</x:v>
      </x:c>
      <x:c r="AA309" s="15" t="n">
        <x:f>'기준스탯 72종'!E20*H309</x:f>
        <x:v>1.6800000000000004</x:v>
      </x:c>
      <x:c r="AB309" s="15" t="n">
        <x:f>'기준스탯 72종'!F20*H309</x:f>
        <x:v>2.1600000000000006</x:v>
      </x:c>
      <x:c r="AC309" s="15" t="n">
        <x:f>'기준스탯 72종'!G20*H309</x:f>
        <x:v>1.9200000000000004</x:v>
      </x:c>
      <x:c r="AD309" s="15" t="n">
        <x:f>'기준스탯 72종'!H20*H309</x:f>
        <x:v>0.7200000000000002</x:v>
      </x:c>
      <x:c r="AE309" s="15" t="n">
        <x:f>'기준스탯 72종'!I20*H309</x:f>
        <x:v>0.7200000000000002</x:v>
      </x:c>
      <x:c r="AF309" s="15" t="n">
        <x:f>'기준스탯 72종'!J20*H309</x:f>
        <x:v>1.4400000000000004</x:v>
      </x:c>
      <x:c r="AG309" s="15" t="n">
        <x:f>'기준스탯 72종'!K20*H309</x:f>
        <x:v>0.9600000000000002</x:v>
      </x:c>
    </x:row>
    <x:row r="310" ht="28" customHeight="1">
      <x:c r="A310" s="2" t="n">
        <x:v>303</x:v>
      </x:c>
      <x:c r="B310" s="2" t="n">
        <x:v>13</x:v>
      </x:c>
      <x:c r="C310" s="2" t="str">
        <x:v>쌍둥이자리</x:v>
      </x:c>
      <x:c r="D310" s="2" t="str">
        <x:v>기사</x:v>
      </x:c>
      <x:c r="E310" s="2" t="n">
        <x:v>3</x:v>
      </x:c>
      <x:c r="F310" s="2" t="n">
        <x:v>1</x:v>
      </x:c>
      <x:c r="G310" s="14" t="n">
        <x:f>('레벨 계산식'!$E$4-E310)*'레벨 계산식'!$B$5</x:f>
        <x:v>0.27999999999999997</x:v>
      </x:c>
      <x:c r="H310" s="14" t="n">
        <x:f>('등급 계산식'!$E$4-F310)*'등급 계산식'!$B$5</x:f>
        <x:v>0.24000000000000005</x:v>
      </x:c>
      <x:c r="I310" s="14" t="n">
        <x:f>1-G310-H310</x:f>
        <x:v>0.4799999999999999</x:v>
      </x:c>
      <x:c r="J310" s="2" t="n">
        <x:f>MAX(1,ROUND('기준스탯 72종'!D20-R310-Z310,0))</x:f>
        <x:v>3</x:v>
      </x:c>
      <x:c r="K310" s="2" t="n">
        <x:f>MAX(1,ROUND('기준스탯 72종'!E20-S310-AA310,0))</x:f>
        <x:v>3</x:v>
      </x:c>
      <x:c r="L310" s="2" t="n">
        <x:f>MAX(1,ROUND('기준스탯 72종'!F20-T310-AB310,0))</x:f>
        <x:v>4</x:v>
      </x:c>
      <x:c r="M310" s="2" t="n">
        <x:f>MAX(1,ROUND('기준스탯 72종'!G20-U310-AC310,0))</x:f>
        <x:v>4</x:v>
      </x:c>
      <x:c r="N310" s="2" t="n">
        <x:f>MAX(0,ROUND('기준스탯 72종'!H20-V310-AD310,0))</x:f>
        <x:v>1</x:v>
      </x:c>
      <x:c r="O310" s="2" t="n">
        <x:f>MAX(0,ROUND('기준스탯 72종'!I20-W310-AE310,0))</x:f>
        <x:v>1</x:v>
      </x:c>
      <x:c r="P310" s="2" t="n">
        <x:f>MAX(0,ROUND('기준스탯 72종'!J20-X310-AF310,0))</x:f>
        <x:v>3</x:v>
      </x:c>
      <x:c r="Q310" s="2" t="n">
        <x:f>MAX(0,ROUND('기준스탯 72종'!K20-Y310-AG310,0))</x:f>
        <x:v>2</x:v>
      </x:c>
      <x:c r="R310" s="15" t="n">
        <x:f>'기준스탯 72종'!D20*G310</x:f>
        <x:v>1.6799999999999997</x:v>
      </x:c>
      <x:c r="S310" s="15" t="n">
        <x:f>'기준스탯 72종'!E20*G310</x:f>
        <x:v>1.9599999999999997</x:v>
      </x:c>
      <x:c r="T310" s="15" t="n">
        <x:f>'기준스탯 72종'!F20*G310</x:f>
        <x:v>2.5199999999999996</x:v>
      </x:c>
      <x:c r="U310" s="15" t="n">
        <x:f>'기준스탯 72종'!G20*G310</x:f>
        <x:v>2.2399999999999998</x:v>
      </x:c>
      <x:c r="V310" s="15" t="n">
        <x:f>'기준스탯 72종'!H20*G310</x:f>
        <x:v>0.8399999999999999</x:v>
      </x:c>
      <x:c r="W310" s="15" t="n">
        <x:f>'기준스탯 72종'!I20*G310</x:f>
        <x:v>0.8399999999999999</x:v>
      </x:c>
      <x:c r="X310" s="15" t="n">
        <x:f>'기준스탯 72종'!J20*G310</x:f>
        <x:v>1.6799999999999997</x:v>
      </x:c>
      <x:c r="Y310" s="15" t="n">
        <x:f>'기준스탯 72종'!K20*G310</x:f>
        <x:v>1.1199999999999999</x:v>
      </x:c>
      <x:c r="Z310" s="15" t="n">
        <x:f>'기준스탯 72종'!D20*H310</x:f>
        <x:v>1.4400000000000004</x:v>
      </x:c>
      <x:c r="AA310" s="15" t="n">
        <x:f>'기준스탯 72종'!E20*H310</x:f>
        <x:v>1.6800000000000004</x:v>
      </x:c>
      <x:c r="AB310" s="15" t="n">
        <x:f>'기준스탯 72종'!F20*H310</x:f>
        <x:v>2.1600000000000006</x:v>
      </x:c>
      <x:c r="AC310" s="15" t="n">
        <x:f>'기준스탯 72종'!G20*H310</x:f>
        <x:v>1.9200000000000004</x:v>
      </x:c>
      <x:c r="AD310" s="15" t="n">
        <x:f>'기준스탯 72종'!H20*H310</x:f>
        <x:v>0.7200000000000002</x:v>
      </x:c>
      <x:c r="AE310" s="15" t="n">
        <x:f>'기준스탯 72종'!I20*H310</x:f>
        <x:v>0.7200000000000002</x:v>
      </x:c>
      <x:c r="AF310" s="15" t="n">
        <x:f>'기준스탯 72종'!J20*H310</x:f>
        <x:v>1.4400000000000004</x:v>
      </x:c>
      <x:c r="AG310" s="15" t="n">
        <x:f>'기준스탯 72종'!K20*H310</x:f>
        <x:v>0.9600000000000002</x:v>
      </x:c>
    </x:row>
    <x:row r="311" ht="28" customHeight="1">
      <x:c r="A311" s="2" t="n">
        <x:v>304</x:v>
      </x:c>
      <x:c r="B311" s="2" t="n">
        <x:v>13</x:v>
      </x:c>
      <x:c r="C311" s="2" t="str">
        <x:v>쌍둥이자리</x:v>
      </x:c>
      <x:c r="D311" s="2" t="str">
        <x:v>기사</x:v>
      </x:c>
      <x:c r="E311" s="2" t="n">
        <x:v>4</x:v>
      </x:c>
      <x:c r="F311" s="2" t="n">
        <x:v>1</x:v>
      </x:c>
      <x:c r="G311" s="14" t="n">
        <x:f>('레벨 계산식'!$E$4-E311)*'레벨 계산식'!$B$5</x:f>
        <x:v>0.13999999999999999</x:v>
      </x:c>
      <x:c r="H311" s="14" t="n">
        <x:f>('등급 계산식'!$E$4-F311)*'등급 계산식'!$B$5</x:f>
        <x:v>0.24000000000000005</x:v>
      </x:c>
      <x:c r="I311" s="14" t="n">
        <x:f>1-G311-H311</x:f>
        <x:v>0.6199999999999999</x:v>
      </x:c>
      <x:c r="J311" s="2" t="n">
        <x:f>MAX(1,ROUND('기준스탯 72종'!D20-R311-Z311,0))</x:f>
        <x:v>4</x:v>
      </x:c>
      <x:c r="K311" s="2" t="n">
        <x:f>MAX(1,ROUND('기준스탯 72종'!E20-S311-AA311,0))</x:f>
        <x:v>4</x:v>
      </x:c>
      <x:c r="L311" s="2" t="n">
        <x:f>MAX(1,ROUND('기준스탯 72종'!F20-T311-AB311,0))</x:f>
        <x:v>6</x:v>
      </x:c>
      <x:c r="M311" s="2" t="n">
        <x:f>MAX(1,ROUND('기준스탯 72종'!G20-U311-AC311,0))</x:f>
        <x:v>5</x:v>
      </x:c>
      <x:c r="N311" s="2" t="n">
        <x:f>MAX(0,ROUND('기준스탯 72종'!H20-V311-AD311,0))</x:f>
        <x:v>2</x:v>
      </x:c>
      <x:c r="O311" s="2" t="n">
        <x:f>MAX(0,ROUND('기준스탯 72종'!I20-W311-AE311,0))</x:f>
        <x:v>2</x:v>
      </x:c>
      <x:c r="P311" s="2" t="n">
        <x:f>MAX(0,ROUND('기준스탯 72종'!J20-X311-AF311,0))</x:f>
        <x:v>4</x:v>
      </x:c>
      <x:c r="Q311" s="2" t="n">
        <x:f>MAX(0,ROUND('기준스탯 72종'!K20-Y311-AG311,0))</x:f>
        <x:v>2</x:v>
      </x:c>
      <x:c r="R311" s="15" t="n">
        <x:f>'기준스탯 72종'!D20*G311</x:f>
        <x:v>0.8399999999999999</x:v>
      </x:c>
      <x:c r="S311" s="15" t="n">
        <x:f>'기준스탯 72종'!E20*G311</x:f>
        <x:v>0.9799999999999999</x:v>
      </x:c>
      <x:c r="T311" s="15" t="n">
        <x:f>'기준스탯 72종'!F20*G311</x:f>
        <x:v>1.2599999999999998</x:v>
      </x:c>
      <x:c r="U311" s="15" t="n">
        <x:f>'기준스탯 72종'!G20*G311</x:f>
        <x:v>1.1199999999999999</x:v>
      </x:c>
      <x:c r="V311" s="15" t="n">
        <x:f>'기준스탯 72종'!H20*G311</x:f>
        <x:v>0.41999999999999993</x:v>
      </x:c>
      <x:c r="W311" s="15" t="n">
        <x:f>'기준스탯 72종'!I20*G311</x:f>
        <x:v>0.41999999999999993</x:v>
      </x:c>
      <x:c r="X311" s="15" t="n">
        <x:f>'기준스탯 72종'!J20*G311</x:f>
        <x:v>0.8399999999999999</x:v>
      </x:c>
      <x:c r="Y311" s="15" t="n">
        <x:f>'기준스탯 72종'!K20*G311</x:f>
        <x:v>0.5599999999999999</x:v>
      </x:c>
      <x:c r="Z311" s="15" t="n">
        <x:f>'기준스탯 72종'!D20*H311</x:f>
        <x:v>1.4400000000000004</x:v>
      </x:c>
      <x:c r="AA311" s="15" t="n">
        <x:f>'기준스탯 72종'!E20*H311</x:f>
        <x:v>1.6800000000000004</x:v>
      </x:c>
      <x:c r="AB311" s="15" t="n">
        <x:f>'기준스탯 72종'!F20*H311</x:f>
        <x:v>2.1600000000000006</x:v>
      </x:c>
      <x:c r="AC311" s="15" t="n">
        <x:f>'기준스탯 72종'!G20*H311</x:f>
        <x:v>1.9200000000000004</x:v>
      </x:c>
      <x:c r="AD311" s="15" t="n">
        <x:f>'기준스탯 72종'!H20*H311</x:f>
        <x:v>0.7200000000000002</x:v>
      </x:c>
      <x:c r="AE311" s="15" t="n">
        <x:f>'기준스탯 72종'!I20*H311</x:f>
        <x:v>0.7200000000000002</x:v>
      </x:c>
      <x:c r="AF311" s="15" t="n">
        <x:f>'기준스탯 72종'!J20*H311</x:f>
        <x:v>1.4400000000000004</x:v>
      </x:c>
      <x:c r="AG311" s="15" t="n">
        <x:f>'기준스탯 72종'!K20*H311</x:f>
        <x:v>0.9600000000000002</x:v>
      </x:c>
    </x:row>
    <x:row r="312" ht="28" customHeight="1">
      <x:c r="A312" s="2" t="n">
        <x:v>305</x:v>
      </x:c>
      <x:c r="B312" s="2" t="n">
        <x:v>13</x:v>
      </x:c>
      <x:c r="C312" s="2" t="str">
        <x:v>쌍둥이자리</x:v>
      </x:c>
      <x:c r="D312" s="2" t="str">
        <x:v>기사</x:v>
      </x:c>
      <x:c r="E312" s="2" t="n">
        <x:v>5</x:v>
      </x:c>
      <x:c r="F312" s="2" t="n">
        <x:v>1</x:v>
      </x:c>
      <x:c r="G312" s="14" t="n">
        <x:f>('레벨 계산식'!$E$4-E312)*'레벨 계산식'!$B$5</x:f>
        <x:v>0</x:v>
      </x:c>
      <x:c r="H312" s="14" t="n">
        <x:f>('등급 계산식'!$E$4-F312)*'등급 계산식'!$B$5</x:f>
        <x:v>0.24000000000000005</x:v>
      </x:c>
      <x:c r="I312" s="14" t="n">
        <x:f>1-G312-H312</x:f>
        <x:v>0.76</x:v>
      </x:c>
      <x:c r="J312" s="2" t="n">
        <x:f>MAX(1,ROUND('기준스탯 72종'!D20-R312-Z312,0))</x:f>
        <x:v>5</x:v>
      </x:c>
      <x:c r="K312" s="2" t="n">
        <x:f>MAX(1,ROUND('기준스탯 72종'!E20-S312-AA312,0))</x:f>
        <x:v>5</x:v>
      </x:c>
      <x:c r="L312" s="2" t="n">
        <x:f>MAX(1,ROUND('기준스탯 72종'!F20-T312-AB312,0))</x:f>
        <x:v>7</x:v>
      </x:c>
      <x:c r="M312" s="2" t="n">
        <x:f>MAX(1,ROUND('기준스탯 72종'!G20-U312-AC312,0))</x:f>
        <x:v>6</x:v>
      </x:c>
      <x:c r="N312" s="2" t="n">
        <x:f>MAX(0,ROUND('기준스탯 72종'!H20-V312-AD312,0))</x:f>
        <x:v>2</x:v>
      </x:c>
      <x:c r="O312" s="2" t="n">
        <x:f>MAX(0,ROUND('기준스탯 72종'!I20-W312-AE312,0))</x:f>
        <x:v>2</x:v>
      </x:c>
      <x:c r="P312" s="2" t="n">
        <x:f>MAX(0,ROUND('기준스탯 72종'!J20-X312-AF312,0))</x:f>
        <x:v>5</x:v>
      </x:c>
      <x:c r="Q312" s="2" t="n">
        <x:f>MAX(0,ROUND('기준스탯 72종'!K20-Y312-AG312,0))</x:f>
        <x:v>3</x:v>
      </x:c>
      <x:c r="R312" s="15" t="n">
        <x:f>'기준스탯 72종'!D20*G312</x:f>
        <x:v>0</x:v>
      </x:c>
      <x:c r="S312" s="15" t="n">
        <x:f>'기준스탯 72종'!E20*G312</x:f>
        <x:v>0</x:v>
      </x:c>
      <x:c r="T312" s="15" t="n">
        <x:f>'기준스탯 72종'!F20*G312</x:f>
        <x:v>0</x:v>
      </x:c>
      <x:c r="U312" s="15" t="n">
        <x:f>'기준스탯 72종'!G20*G312</x:f>
        <x:v>0</x:v>
      </x:c>
      <x:c r="V312" s="15" t="n">
        <x:f>'기준스탯 72종'!H20*G312</x:f>
        <x:v>0</x:v>
      </x:c>
      <x:c r="W312" s="15" t="n">
        <x:f>'기준스탯 72종'!I20*G312</x:f>
        <x:v>0</x:v>
      </x:c>
      <x:c r="X312" s="15" t="n">
        <x:f>'기준스탯 72종'!J20*G312</x:f>
        <x:v>0</x:v>
      </x:c>
      <x:c r="Y312" s="15" t="n">
        <x:f>'기준스탯 72종'!K20*G312</x:f>
        <x:v>0</x:v>
      </x:c>
      <x:c r="Z312" s="15" t="n">
        <x:f>'기준스탯 72종'!D20*H312</x:f>
        <x:v>1.4400000000000004</x:v>
      </x:c>
      <x:c r="AA312" s="15" t="n">
        <x:f>'기준스탯 72종'!E20*H312</x:f>
        <x:v>1.6800000000000004</x:v>
      </x:c>
      <x:c r="AB312" s="15" t="n">
        <x:f>'기준스탯 72종'!F20*H312</x:f>
        <x:v>2.1600000000000006</x:v>
      </x:c>
      <x:c r="AC312" s="15" t="n">
        <x:f>'기준스탯 72종'!G20*H312</x:f>
        <x:v>1.9200000000000004</x:v>
      </x:c>
      <x:c r="AD312" s="15" t="n">
        <x:f>'기준스탯 72종'!H20*H312</x:f>
        <x:v>0.7200000000000002</x:v>
      </x:c>
      <x:c r="AE312" s="15" t="n">
        <x:f>'기준스탯 72종'!I20*H312</x:f>
        <x:v>0.7200000000000002</x:v>
      </x:c>
      <x:c r="AF312" s="15" t="n">
        <x:f>'기준스탯 72종'!J20*H312</x:f>
        <x:v>1.4400000000000004</x:v>
      </x:c>
      <x:c r="AG312" s="15" t="n">
        <x:f>'기준스탯 72종'!K20*H312</x:f>
        <x:v>0.9600000000000002</x:v>
      </x:c>
    </x:row>
    <x:row r="313" ht="28" customHeight="1">
      <x:c r="A313" s="2" t="n">
        <x:v>306</x:v>
      </x:c>
      <x:c r="B313" s="2" t="n">
        <x:v>13</x:v>
      </x:c>
      <x:c r="C313" s="2" t="str">
        <x:v>쌍둥이자리</x:v>
      </x:c>
      <x:c r="D313" s="2" t="str">
        <x:v>기사</x:v>
      </x:c>
      <x:c r="E313" s="2" t="n">
        <x:v>1</x:v>
      </x:c>
      <x:c r="F313" s="2" t="n">
        <x:v>2</x:v>
      </x:c>
      <x:c r="G313" s="14" t="n">
        <x:f>('레벨 계산식'!$E$4-E313)*'레벨 계산식'!$B$5</x:f>
        <x:v>0.5599999999999999</x:v>
      </x:c>
      <x:c r="H313" s="14" t="n">
        <x:f>('등급 계산식'!$E$4-F313)*'등급 계산식'!$B$5</x:f>
        <x:v>0.18000000000000005</x:v>
      </x:c>
      <x:c r="I313" s="14" t="n">
        <x:f>1-G313-H313</x:f>
        <x:v>0.26</x:v>
      </x:c>
      <x:c r="J313" s="2" t="n">
        <x:f>MAX(1,ROUND('기준스탯 72종'!D20-R313-Z313,0))</x:f>
        <x:v>2</x:v>
      </x:c>
      <x:c r="K313" s="2" t="n">
        <x:f>MAX(1,ROUND('기준스탯 72종'!E20-S313-AA313,0))</x:f>
        <x:v>2</x:v>
      </x:c>
      <x:c r="L313" s="2" t="n">
        <x:f>MAX(1,ROUND('기준스탯 72종'!F20-T313-AB313,0))</x:f>
        <x:v>2</x:v>
      </x:c>
      <x:c r="M313" s="2" t="n">
        <x:f>MAX(1,ROUND('기준스탯 72종'!G20-U313-AC313,0))</x:f>
        <x:v>2</x:v>
      </x:c>
      <x:c r="N313" s="2" t="n">
        <x:f>MAX(0,ROUND('기준스탯 72종'!H20-V313-AD313,0))</x:f>
        <x:v>1</x:v>
      </x:c>
      <x:c r="O313" s="2" t="n">
        <x:f>MAX(0,ROUND('기준스탯 72종'!I20-W313-AE313,0))</x:f>
        <x:v>1</x:v>
      </x:c>
      <x:c r="P313" s="2" t="n">
        <x:f>MAX(0,ROUND('기준스탯 72종'!J20-X313-AF313,0))</x:f>
        <x:v>2</x:v>
      </x:c>
      <x:c r="Q313" s="2" t="n">
        <x:f>MAX(0,ROUND('기준스탯 72종'!K20-Y313-AG313,0))</x:f>
        <x:v>1</x:v>
      </x:c>
      <x:c r="R313" s="15" t="n">
        <x:f>'기준스탯 72종'!D20*G313</x:f>
        <x:v>3.3599999999999994</x:v>
      </x:c>
      <x:c r="S313" s="15" t="n">
        <x:f>'기준스탯 72종'!E20*G313</x:f>
        <x:v>3.9199999999999995</x:v>
      </x:c>
      <x:c r="T313" s="15" t="n">
        <x:f>'기준스탯 72종'!F20*G313</x:f>
        <x:v>5.039999999999999</x:v>
      </x:c>
      <x:c r="U313" s="15" t="n">
        <x:f>'기준스탯 72종'!G20*G313</x:f>
        <x:v>4.4799999999999995</x:v>
      </x:c>
      <x:c r="V313" s="15" t="n">
        <x:f>'기준스탯 72종'!H20*G313</x:f>
        <x:v>1.6799999999999997</x:v>
      </x:c>
      <x:c r="W313" s="15" t="n">
        <x:f>'기준스탯 72종'!I20*G313</x:f>
        <x:v>1.6799999999999997</x:v>
      </x:c>
      <x:c r="X313" s="15" t="n">
        <x:f>'기준스탯 72종'!J20*G313</x:f>
        <x:v>3.3599999999999994</x:v>
      </x:c>
      <x:c r="Y313" s="15" t="n">
        <x:f>'기준스탯 72종'!K20*G313</x:f>
        <x:v>2.2399999999999998</x:v>
      </x:c>
      <x:c r="Z313" s="15" t="n">
        <x:f>'기준스탯 72종'!D20*H313</x:f>
        <x:v>1.0800000000000003</x:v>
      </x:c>
      <x:c r="AA313" s="15" t="n">
        <x:f>'기준스탯 72종'!E20*H313</x:f>
        <x:v>1.2600000000000002</x:v>
      </x:c>
      <x:c r="AB313" s="15" t="n">
        <x:f>'기준스탯 72종'!F20*H313</x:f>
        <x:v>1.6200000000000006</x:v>
      </x:c>
      <x:c r="AC313" s="15" t="n">
        <x:f>'기준스탯 72종'!G20*H313</x:f>
        <x:v>1.4400000000000004</x:v>
      </x:c>
      <x:c r="AD313" s="15" t="n">
        <x:f>'기준스탯 72종'!H20*H313</x:f>
        <x:v>0.5400000000000001</x:v>
      </x:c>
      <x:c r="AE313" s="15" t="n">
        <x:f>'기준스탯 72종'!I20*H313</x:f>
        <x:v>0.5400000000000001</x:v>
      </x:c>
      <x:c r="AF313" s="15" t="n">
        <x:f>'기준스탯 72종'!J20*H313</x:f>
        <x:v>1.0800000000000003</x:v>
      </x:c>
      <x:c r="AG313" s="15" t="n">
        <x:f>'기준스탯 72종'!K20*H313</x:f>
        <x:v>0.7200000000000002</x:v>
      </x:c>
    </x:row>
    <x:row r="314" ht="28" customHeight="1">
      <x:c r="A314" s="2" t="n">
        <x:v>307</x:v>
      </x:c>
      <x:c r="B314" s="2" t="n">
        <x:v>13</x:v>
      </x:c>
      <x:c r="C314" s="2" t="str">
        <x:v>쌍둥이자리</x:v>
      </x:c>
      <x:c r="D314" s="2" t="str">
        <x:v>기사</x:v>
      </x:c>
      <x:c r="E314" s="2" t="n">
        <x:v>2</x:v>
      </x:c>
      <x:c r="F314" s="2" t="n">
        <x:v>2</x:v>
      </x:c>
      <x:c r="G314" s="14" t="n">
        <x:f>('레벨 계산식'!$E$4-E314)*'레벨 계산식'!$B$5</x:f>
        <x:v>0.41999999999999993</x:v>
      </x:c>
      <x:c r="H314" s="14" t="n">
        <x:f>('등급 계산식'!$E$4-F314)*'등급 계산식'!$B$5</x:f>
        <x:v>0.18000000000000005</x:v>
      </x:c>
      <x:c r="I314" s="14" t="n">
        <x:f>1-G314-H314</x:f>
        <x:v>0.4</x:v>
      </x:c>
      <x:c r="J314" s="2" t="n">
        <x:f>MAX(1,ROUND('기준스탯 72종'!D20-R314-Z314,0))</x:f>
        <x:v>2</x:v>
      </x:c>
      <x:c r="K314" s="2" t="n">
        <x:f>MAX(1,ROUND('기준스탯 72종'!E20-S314-AA314,0))</x:f>
        <x:v>3</x:v>
      </x:c>
      <x:c r="L314" s="2" t="n">
        <x:f>MAX(1,ROUND('기준스탯 72종'!F20-T314-AB314,0))</x:f>
        <x:v>4</x:v>
      </x:c>
      <x:c r="M314" s="2" t="n">
        <x:f>MAX(1,ROUND('기준스탯 72종'!G20-U314-AC314,0))</x:f>
        <x:v>3</x:v>
      </x:c>
      <x:c r="N314" s="2" t="n">
        <x:f>MAX(0,ROUND('기준스탯 72종'!H20-V314-AD314,0))</x:f>
        <x:v>1</x:v>
      </x:c>
      <x:c r="O314" s="2" t="n">
        <x:f>MAX(0,ROUND('기준스탯 72종'!I20-W314-AE314,0))</x:f>
        <x:v>1</x:v>
      </x:c>
      <x:c r="P314" s="2" t="n">
        <x:f>MAX(0,ROUND('기준스탯 72종'!J20-X314-AF314,0))</x:f>
        <x:v>2</x:v>
      </x:c>
      <x:c r="Q314" s="2" t="n">
        <x:f>MAX(0,ROUND('기준스탯 72종'!K20-Y314-AG314,0))</x:f>
        <x:v>2</x:v>
      </x:c>
      <x:c r="R314" s="15" t="n">
        <x:f>'기준스탯 72종'!D20*G314</x:f>
        <x:v>2.5199999999999996</x:v>
      </x:c>
      <x:c r="S314" s="15" t="n">
        <x:f>'기준스탯 72종'!E20*G314</x:f>
        <x:v>2.9399999999999995</x:v>
      </x:c>
      <x:c r="T314" s="15" t="n">
        <x:f>'기준스탯 72종'!F20*G314</x:f>
        <x:v>3.7799999999999994</x:v>
      </x:c>
      <x:c r="U314" s="15" t="n">
        <x:f>'기준스탯 72종'!G20*G314</x:f>
        <x:v>3.3599999999999994</x:v>
      </x:c>
      <x:c r="V314" s="15" t="n">
        <x:f>'기준스탯 72종'!H20*G314</x:f>
        <x:v>1.2599999999999998</x:v>
      </x:c>
      <x:c r="W314" s="15" t="n">
        <x:f>'기준스탯 72종'!I20*G314</x:f>
        <x:v>1.2599999999999998</x:v>
      </x:c>
      <x:c r="X314" s="15" t="n">
        <x:f>'기준스탯 72종'!J20*G314</x:f>
        <x:v>2.5199999999999996</x:v>
      </x:c>
      <x:c r="Y314" s="15" t="n">
        <x:f>'기준스탯 72종'!K20*G314</x:f>
        <x:v>1.6799999999999997</x:v>
      </x:c>
      <x:c r="Z314" s="15" t="n">
        <x:f>'기준스탯 72종'!D20*H314</x:f>
        <x:v>1.0800000000000003</x:v>
      </x:c>
      <x:c r="AA314" s="15" t="n">
        <x:f>'기준스탯 72종'!E20*H314</x:f>
        <x:v>1.2600000000000002</x:v>
      </x:c>
      <x:c r="AB314" s="15" t="n">
        <x:f>'기준스탯 72종'!F20*H314</x:f>
        <x:v>1.6200000000000006</x:v>
      </x:c>
      <x:c r="AC314" s="15" t="n">
        <x:f>'기준스탯 72종'!G20*H314</x:f>
        <x:v>1.4400000000000004</x:v>
      </x:c>
      <x:c r="AD314" s="15" t="n">
        <x:f>'기준스탯 72종'!H20*H314</x:f>
        <x:v>0.5400000000000001</x:v>
      </x:c>
      <x:c r="AE314" s="15" t="n">
        <x:f>'기준스탯 72종'!I20*H314</x:f>
        <x:v>0.5400000000000001</x:v>
      </x:c>
      <x:c r="AF314" s="15" t="n">
        <x:f>'기준스탯 72종'!J20*H314</x:f>
        <x:v>1.0800000000000003</x:v>
      </x:c>
      <x:c r="AG314" s="15" t="n">
        <x:f>'기준스탯 72종'!K20*H314</x:f>
        <x:v>0.7200000000000002</x:v>
      </x:c>
    </x:row>
    <x:row r="315" ht="28" customHeight="1">
      <x:c r="A315" s="2" t="n">
        <x:v>308</x:v>
      </x:c>
      <x:c r="B315" s="2" t="n">
        <x:v>13</x:v>
      </x:c>
      <x:c r="C315" s="2" t="str">
        <x:v>쌍둥이자리</x:v>
      </x:c>
      <x:c r="D315" s="2" t="str">
        <x:v>기사</x:v>
      </x:c>
      <x:c r="E315" s="2" t="n">
        <x:v>3</x:v>
      </x:c>
      <x:c r="F315" s="2" t="n">
        <x:v>2</x:v>
      </x:c>
      <x:c r="G315" s="14" t="n">
        <x:f>('레벨 계산식'!$E$4-E315)*'레벨 계산식'!$B$5</x:f>
        <x:v>0.27999999999999997</x:v>
      </x:c>
      <x:c r="H315" s="14" t="n">
        <x:f>('등급 계산식'!$E$4-F315)*'등급 계산식'!$B$5</x:f>
        <x:v>0.18000000000000005</x:v>
      </x:c>
      <x:c r="I315" s="14" t="n">
        <x:f>1-G315-H315</x:f>
        <x:v>0.5399999999999999</x:v>
      </x:c>
      <x:c r="J315" s="2" t="n">
        <x:f>MAX(1,ROUND('기준스탯 72종'!D20-R315-Z315,0))</x:f>
        <x:v>3</x:v>
      </x:c>
      <x:c r="K315" s="2" t="n">
        <x:f>MAX(1,ROUND('기준스탯 72종'!E20-S315-AA315,0))</x:f>
        <x:v>4</x:v>
      </x:c>
      <x:c r="L315" s="2" t="n">
        <x:f>MAX(1,ROUND('기준스탯 72종'!F20-T315-AB315,0))</x:f>
        <x:v>5</x:v>
      </x:c>
      <x:c r="M315" s="2" t="n">
        <x:f>MAX(1,ROUND('기준스탯 72종'!G20-U315-AC315,0))</x:f>
        <x:v>4</x:v>
      </x:c>
      <x:c r="N315" s="2" t="n">
        <x:f>MAX(0,ROUND('기준스탯 72종'!H20-V315-AD315,0))</x:f>
        <x:v>2</x:v>
      </x:c>
      <x:c r="O315" s="2" t="n">
        <x:f>MAX(0,ROUND('기준스탯 72종'!I20-W315-AE315,0))</x:f>
        <x:v>2</x:v>
      </x:c>
      <x:c r="P315" s="2" t="n">
        <x:f>MAX(0,ROUND('기준스탯 72종'!J20-X315-AF315,0))</x:f>
        <x:v>3</x:v>
      </x:c>
      <x:c r="Q315" s="2" t="n">
        <x:f>MAX(0,ROUND('기준스탯 72종'!K20-Y315-AG315,0))</x:f>
        <x:v>2</x:v>
      </x:c>
      <x:c r="R315" s="15" t="n">
        <x:f>'기준스탯 72종'!D20*G315</x:f>
        <x:v>1.6799999999999997</x:v>
      </x:c>
      <x:c r="S315" s="15" t="n">
        <x:f>'기준스탯 72종'!E20*G315</x:f>
        <x:v>1.9599999999999997</x:v>
      </x:c>
      <x:c r="T315" s="15" t="n">
        <x:f>'기준스탯 72종'!F20*G315</x:f>
        <x:v>2.5199999999999996</x:v>
      </x:c>
      <x:c r="U315" s="15" t="n">
        <x:f>'기준스탯 72종'!G20*G315</x:f>
        <x:v>2.2399999999999998</x:v>
      </x:c>
      <x:c r="V315" s="15" t="n">
        <x:f>'기준스탯 72종'!H20*G315</x:f>
        <x:v>0.8399999999999999</x:v>
      </x:c>
      <x:c r="W315" s="15" t="n">
        <x:f>'기준스탯 72종'!I20*G315</x:f>
        <x:v>0.8399999999999999</x:v>
      </x:c>
      <x:c r="X315" s="15" t="n">
        <x:f>'기준스탯 72종'!J20*G315</x:f>
        <x:v>1.6799999999999997</x:v>
      </x:c>
      <x:c r="Y315" s="15" t="n">
        <x:f>'기준스탯 72종'!K20*G315</x:f>
        <x:v>1.1199999999999999</x:v>
      </x:c>
      <x:c r="Z315" s="15" t="n">
        <x:f>'기준스탯 72종'!D20*H315</x:f>
        <x:v>1.0800000000000003</x:v>
      </x:c>
      <x:c r="AA315" s="15" t="n">
        <x:f>'기준스탯 72종'!E20*H315</x:f>
        <x:v>1.2600000000000002</x:v>
      </x:c>
      <x:c r="AB315" s="15" t="n">
        <x:f>'기준스탯 72종'!F20*H315</x:f>
        <x:v>1.6200000000000006</x:v>
      </x:c>
      <x:c r="AC315" s="15" t="n">
        <x:f>'기준스탯 72종'!G20*H315</x:f>
        <x:v>1.4400000000000004</x:v>
      </x:c>
      <x:c r="AD315" s="15" t="n">
        <x:f>'기준스탯 72종'!H20*H315</x:f>
        <x:v>0.5400000000000001</x:v>
      </x:c>
      <x:c r="AE315" s="15" t="n">
        <x:f>'기준스탯 72종'!I20*H315</x:f>
        <x:v>0.5400000000000001</x:v>
      </x:c>
      <x:c r="AF315" s="15" t="n">
        <x:f>'기준스탯 72종'!J20*H315</x:f>
        <x:v>1.0800000000000003</x:v>
      </x:c>
      <x:c r="AG315" s="15" t="n">
        <x:f>'기준스탯 72종'!K20*H315</x:f>
        <x:v>0.7200000000000002</x:v>
      </x:c>
    </x:row>
    <x:row r="316" ht="28" customHeight="1">
      <x:c r="A316" s="2" t="n">
        <x:v>309</x:v>
      </x:c>
      <x:c r="B316" s="2" t="n">
        <x:v>13</x:v>
      </x:c>
      <x:c r="C316" s="2" t="str">
        <x:v>쌍둥이자리</x:v>
      </x:c>
      <x:c r="D316" s="2" t="str">
        <x:v>기사</x:v>
      </x:c>
      <x:c r="E316" s="2" t="n">
        <x:v>4</x:v>
      </x:c>
      <x:c r="F316" s="2" t="n">
        <x:v>2</x:v>
      </x:c>
      <x:c r="G316" s="14" t="n">
        <x:f>('레벨 계산식'!$E$4-E316)*'레벨 계산식'!$B$5</x:f>
        <x:v>0.13999999999999999</x:v>
      </x:c>
      <x:c r="H316" s="14" t="n">
        <x:f>('등급 계산식'!$E$4-F316)*'등급 계산식'!$B$5</x:f>
        <x:v>0.18000000000000005</x:v>
      </x:c>
      <x:c r="I316" s="14" t="n">
        <x:f>1-G316-H316</x:f>
        <x:v>0.6799999999999999</x:v>
      </x:c>
      <x:c r="J316" s="2" t="n">
        <x:f>MAX(1,ROUND('기준스탯 72종'!D20-R316-Z316,0))</x:f>
        <x:v>4</x:v>
      </x:c>
      <x:c r="K316" s="2" t="n">
        <x:f>MAX(1,ROUND('기준스탯 72종'!E20-S316-AA316,0))</x:f>
        <x:v>5</x:v>
      </x:c>
      <x:c r="L316" s="2" t="n">
        <x:f>MAX(1,ROUND('기준스탯 72종'!F20-T316-AB316,0))</x:f>
        <x:v>6</x:v>
      </x:c>
      <x:c r="M316" s="2" t="n">
        <x:f>MAX(1,ROUND('기준스탯 72종'!G20-U316-AC316,0))</x:f>
        <x:v>5</x:v>
      </x:c>
      <x:c r="N316" s="2" t="n">
        <x:f>MAX(0,ROUND('기준스탯 72종'!H20-V316-AD316,0))</x:f>
        <x:v>2</x:v>
      </x:c>
      <x:c r="O316" s="2" t="n">
        <x:f>MAX(0,ROUND('기준스탯 72종'!I20-W316-AE316,0))</x:f>
        <x:v>2</x:v>
      </x:c>
      <x:c r="P316" s="2" t="n">
        <x:f>MAX(0,ROUND('기준스탯 72종'!J20-X316-AF316,0))</x:f>
        <x:v>4</x:v>
      </x:c>
      <x:c r="Q316" s="2" t="n">
        <x:f>MAX(0,ROUND('기준스탯 72종'!K20-Y316-AG316,0))</x:f>
        <x:v>3</x:v>
      </x:c>
      <x:c r="R316" s="15" t="n">
        <x:f>'기준스탯 72종'!D20*G316</x:f>
        <x:v>0.8399999999999999</x:v>
      </x:c>
      <x:c r="S316" s="15" t="n">
        <x:f>'기준스탯 72종'!E20*G316</x:f>
        <x:v>0.9799999999999999</x:v>
      </x:c>
      <x:c r="T316" s="15" t="n">
        <x:f>'기준스탯 72종'!F20*G316</x:f>
        <x:v>1.2599999999999998</x:v>
      </x:c>
      <x:c r="U316" s="15" t="n">
        <x:f>'기준스탯 72종'!G20*G316</x:f>
        <x:v>1.1199999999999999</x:v>
      </x:c>
      <x:c r="V316" s="15" t="n">
        <x:f>'기준스탯 72종'!H20*G316</x:f>
        <x:v>0.41999999999999993</x:v>
      </x:c>
      <x:c r="W316" s="15" t="n">
        <x:f>'기준스탯 72종'!I20*G316</x:f>
        <x:v>0.41999999999999993</x:v>
      </x:c>
      <x:c r="X316" s="15" t="n">
        <x:f>'기준스탯 72종'!J20*G316</x:f>
        <x:v>0.8399999999999999</x:v>
      </x:c>
      <x:c r="Y316" s="15" t="n">
        <x:f>'기준스탯 72종'!K20*G316</x:f>
        <x:v>0.5599999999999999</x:v>
      </x:c>
      <x:c r="Z316" s="15" t="n">
        <x:f>'기준스탯 72종'!D20*H316</x:f>
        <x:v>1.0800000000000003</x:v>
      </x:c>
      <x:c r="AA316" s="15" t="n">
        <x:f>'기준스탯 72종'!E20*H316</x:f>
        <x:v>1.2600000000000002</x:v>
      </x:c>
      <x:c r="AB316" s="15" t="n">
        <x:f>'기준스탯 72종'!F20*H316</x:f>
        <x:v>1.6200000000000006</x:v>
      </x:c>
      <x:c r="AC316" s="15" t="n">
        <x:f>'기준스탯 72종'!G20*H316</x:f>
        <x:v>1.4400000000000004</x:v>
      </x:c>
      <x:c r="AD316" s="15" t="n">
        <x:f>'기준스탯 72종'!H20*H316</x:f>
        <x:v>0.5400000000000001</x:v>
      </x:c>
      <x:c r="AE316" s="15" t="n">
        <x:f>'기준스탯 72종'!I20*H316</x:f>
        <x:v>0.5400000000000001</x:v>
      </x:c>
      <x:c r="AF316" s="15" t="n">
        <x:f>'기준스탯 72종'!J20*H316</x:f>
        <x:v>1.0800000000000003</x:v>
      </x:c>
      <x:c r="AG316" s="15" t="n">
        <x:f>'기준스탯 72종'!K20*H316</x:f>
        <x:v>0.7200000000000002</x:v>
      </x:c>
    </x:row>
    <x:row r="317" ht="28" customHeight="1">
      <x:c r="A317" s="2" t="n">
        <x:v>310</x:v>
      </x:c>
      <x:c r="B317" s="2" t="n">
        <x:v>13</x:v>
      </x:c>
      <x:c r="C317" s="2" t="str">
        <x:v>쌍둥이자리</x:v>
      </x:c>
      <x:c r="D317" s="2" t="str">
        <x:v>기사</x:v>
      </x:c>
      <x:c r="E317" s="2" t="n">
        <x:v>5</x:v>
      </x:c>
      <x:c r="F317" s="2" t="n">
        <x:v>2</x:v>
      </x:c>
      <x:c r="G317" s="14" t="n">
        <x:f>('레벨 계산식'!$E$4-E317)*'레벨 계산식'!$B$5</x:f>
        <x:v>0</x:v>
      </x:c>
      <x:c r="H317" s="14" t="n">
        <x:f>('등급 계산식'!$E$4-F317)*'등급 계산식'!$B$5</x:f>
        <x:v>0.18000000000000005</x:v>
      </x:c>
      <x:c r="I317" s="14" t="n">
        <x:f>1-G317-H317</x:f>
        <x:v>0.82</x:v>
      </x:c>
      <x:c r="J317" s="2" t="n">
        <x:f>MAX(1,ROUND('기준스탯 72종'!D20-R317-Z317,0))</x:f>
        <x:v>5</x:v>
      </x:c>
      <x:c r="K317" s="2" t="n">
        <x:f>MAX(1,ROUND('기준스탯 72종'!E20-S317-AA317,0))</x:f>
        <x:v>6</x:v>
      </x:c>
      <x:c r="L317" s="2" t="n">
        <x:f>MAX(1,ROUND('기준스탯 72종'!F20-T317-AB317,0))</x:f>
        <x:v>7</x:v>
      </x:c>
      <x:c r="M317" s="2" t="n">
        <x:f>MAX(1,ROUND('기준스탯 72종'!G20-U317-AC317,0))</x:f>
        <x:v>7</x:v>
      </x:c>
      <x:c r="N317" s="2" t="n">
        <x:f>MAX(0,ROUND('기준스탯 72종'!H20-V317-AD317,0))</x:f>
        <x:v>2</x:v>
      </x:c>
      <x:c r="O317" s="2" t="n">
        <x:f>MAX(0,ROUND('기준스탯 72종'!I20-W317-AE317,0))</x:f>
        <x:v>2</x:v>
      </x:c>
      <x:c r="P317" s="2" t="n">
        <x:f>MAX(0,ROUND('기준스탯 72종'!J20-X317-AF317,0))</x:f>
        <x:v>5</x:v>
      </x:c>
      <x:c r="Q317" s="2" t="n">
        <x:f>MAX(0,ROUND('기준스탯 72종'!K20-Y317-AG317,0))</x:f>
        <x:v>3</x:v>
      </x:c>
      <x:c r="R317" s="15" t="n">
        <x:f>'기준스탯 72종'!D20*G317</x:f>
        <x:v>0</x:v>
      </x:c>
      <x:c r="S317" s="15" t="n">
        <x:f>'기준스탯 72종'!E20*G317</x:f>
        <x:v>0</x:v>
      </x:c>
      <x:c r="T317" s="15" t="n">
        <x:f>'기준스탯 72종'!F20*G317</x:f>
        <x:v>0</x:v>
      </x:c>
      <x:c r="U317" s="15" t="n">
        <x:f>'기준스탯 72종'!G20*G317</x:f>
        <x:v>0</x:v>
      </x:c>
      <x:c r="V317" s="15" t="n">
        <x:f>'기준스탯 72종'!H20*G317</x:f>
        <x:v>0</x:v>
      </x:c>
      <x:c r="W317" s="15" t="n">
        <x:f>'기준스탯 72종'!I20*G317</x:f>
        <x:v>0</x:v>
      </x:c>
      <x:c r="X317" s="15" t="n">
        <x:f>'기준스탯 72종'!J20*G317</x:f>
        <x:v>0</x:v>
      </x:c>
      <x:c r="Y317" s="15" t="n">
        <x:f>'기준스탯 72종'!K20*G317</x:f>
        <x:v>0</x:v>
      </x:c>
      <x:c r="Z317" s="15" t="n">
        <x:f>'기준스탯 72종'!D20*H317</x:f>
        <x:v>1.0800000000000003</x:v>
      </x:c>
      <x:c r="AA317" s="15" t="n">
        <x:f>'기준스탯 72종'!E20*H317</x:f>
        <x:v>1.2600000000000002</x:v>
      </x:c>
      <x:c r="AB317" s="15" t="n">
        <x:f>'기준스탯 72종'!F20*H317</x:f>
        <x:v>1.6200000000000006</x:v>
      </x:c>
      <x:c r="AC317" s="15" t="n">
        <x:f>'기준스탯 72종'!G20*H317</x:f>
        <x:v>1.4400000000000004</x:v>
      </x:c>
      <x:c r="AD317" s="15" t="n">
        <x:f>'기준스탯 72종'!H20*H317</x:f>
        <x:v>0.5400000000000001</x:v>
      </x:c>
      <x:c r="AE317" s="15" t="n">
        <x:f>'기준스탯 72종'!I20*H317</x:f>
        <x:v>0.5400000000000001</x:v>
      </x:c>
      <x:c r="AF317" s="15" t="n">
        <x:f>'기준스탯 72종'!J20*H317</x:f>
        <x:v>1.0800000000000003</x:v>
      </x:c>
      <x:c r="AG317" s="15" t="n">
        <x:f>'기준스탯 72종'!K20*H317</x:f>
        <x:v>0.7200000000000002</x:v>
      </x:c>
    </x:row>
    <x:row r="318" ht="28" customHeight="1">
      <x:c r="A318" s="2" t="n">
        <x:v>311</x:v>
      </x:c>
      <x:c r="B318" s="2" t="n">
        <x:v>13</x:v>
      </x:c>
      <x:c r="C318" s="2" t="str">
        <x:v>쌍둥이자리</x:v>
      </x:c>
      <x:c r="D318" s="2" t="str">
        <x:v>기사</x:v>
      </x:c>
      <x:c r="E318" s="2" t="n">
        <x:v>1</x:v>
      </x:c>
      <x:c r="F318" s="2" t="n">
        <x:v>3</x:v>
      </x:c>
      <x:c r="G318" s="14" t="n">
        <x:f>('레벨 계산식'!$E$4-E318)*'레벨 계산식'!$B$5</x:f>
        <x:v>0.5599999999999999</x:v>
      </x:c>
      <x:c r="H318" s="14" t="n">
        <x:f>('등급 계산식'!$E$4-F318)*'등급 계산식'!$B$5</x:f>
        <x:v>0.12000000000000002</x:v>
      </x:c>
      <x:c r="I318" s="14" t="n">
        <x:f>1-G318-H318</x:f>
        <x:v>0.32000000000000006</x:v>
      </x:c>
      <x:c r="J318" s="2" t="n">
        <x:f>MAX(1,ROUND('기준스탯 72종'!D20-R318-Z318,0))</x:f>
        <x:v>2</x:v>
      </x:c>
      <x:c r="K318" s="2" t="n">
        <x:f>MAX(1,ROUND('기준스탯 72종'!E20-S318-AA318,0))</x:f>
        <x:v>2</x:v>
      </x:c>
      <x:c r="L318" s="2" t="n">
        <x:f>MAX(1,ROUND('기준스탯 72종'!F20-T318-AB318,0))</x:f>
        <x:v>3</x:v>
      </x:c>
      <x:c r="M318" s="2" t="n">
        <x:f>MAX(1,ROUND('기준스탯 72종'!G20-U318-AC318,0))</x:f>
        <x:v>3</x:v>
      </x:c>
      <x:c r="N318" s="2" t="n">
        <x:f>MAX(0,ROUND('기준스탯 72종'!H20-V318-AD318,0))</x:f>
        <x:v>1</x:v>
      </x:c>
      <x:c r="O318" s="2" t="n">
        <x:f>MAX(0,ROUND('기준스탯 72종'!I20-W318-AE318,0))</x:f>
        <x:v>1</x:v>
      </x:c>
      <x:c r="P318" s="2" t="n">
        <x:f>MAX(0,ROUND('기준스탯 72종'!J20-X318-AF318,0))</x:f>
        <x:v>2</x:v>
      </x:c>
      <x:c r="Q318" s="2" t="n">
        <x:f>MAX(0,ROUND('기준스탯 72종'!K20-Y318-AG318,0))</x:f>
        <x:v>1</x:v>
      </x:c>
      <x:c r="R318" s="15" t="n">
        <x:f>'기준스탯 72종'!D20*G318</x:f>
        <x:v>3.3599999999999994</x:v>
      </x:c>
      <x:c r="S318" s="15" t="n">
        <x:f>'기준스탯 72종'!E20*G318</x:f>
        <x:v>3.9199999999999995</x:v>
      </x:c>
      <x:c r="T318" s="15" t="n">
        <x:f>'기준스탯 72종'!F20*G318</x:f>
        <x:v>5.039999999999999</x:v>
      </x:c>
      <x:c r="U318" s="15" t="n">
        <x:f>'기준스탯 72종'!G20*G318</x:f>
        <x:v>4.4799999999999995</x:v>
      </x:c>
      <x:c r="V318" s="15" t="n">
        <x:f>'기준스탯 72종'!H20*G318</x:f>
        <x:v>1.6799999999999997</x:v>
      </x:c>
      <x:c r="W318" s="15" t="n">
        <x:f>'기준스탯 72종'!I20*G318</x:f>
        <x:v>1.6799999999999997</x:v>
      </x:c>
      <x:c r="X318" s="15" t="n">
        <x:f>'기준스탯 72종'!J20*G318</x:f>
        <x:v>3.3599999999999994</x:v>
      </x:c>
      <x:c r="Y318" s="15" t="n">
        <x:f>'기준스탯 72종'!K20*G318</x:f>
        <x:v>2.2399999999999998</x:v>
      </x:c>
      <x:c r="Z318" s="15" t="n">
        <x:f>'기준스탯 72종'!D20*H318</x:f>
        <x:v>0.7200000000000002</x:v>
      </x:c>
      <x:c r="AA318" s="15" t="n">
        <x:f>'기준스탯 72종'!E20*H318</x:f>
        <x:v>0.8400000000000002</x:v>
      </x:c>
      <x:c r="AB318" s="15" t="n">
        <x:f>'기준스탯 72종'!F20*H318</x:f>
        <x:v>1.0800000000000003</x:v>
      </x:c>
      <x:c r="AC318" s="15" t="n">
        <x:f>'기준스탯 72종'!G20*H318</x:f>
        <x:v>0.9600000000000002</x:v>
      </x:c>
      <x:c r="AD318" s="15" t="n">
        <x:f>'기준스탯 72종'!H20*H318</x:f>
        <x:v>0.3600000000000001</x:v>
      </x:c>
      <x:c r="AE318" s="15" t="n">
        <x:f>'기준스탯 72종'!I20*H318</x:f>
        <x:v>0.3600000000000001</x:v>
      </x:c>
      <x:c r="AF318" s="15" t="n">
        <x:f>'기준스탯 72종'!J20*H318</x:f>
        <x:v>0.7200000000000002</x:v>
      </x:c>
      <x:c r="AG318" s="15" t="n">
        <x:f>'기준스탯 72종'!K20*H318</x:f>
        <x:v>0.4800000000000001</x:v>
      </x:c>
    </x:row>
    <x:row r="319" ht="28" customHeight="1">
      <x:c r="A319" s="2" t="n">
        <x:v>312</x:v>
      </x:c>
      <x:c r="B319" s="2" t="n">
        <x:v>13</x:v>
      </x:c>
      <x:c r="C319" s="2" t="str">
        <x:v>쌍둥이자리</x:v>
      </x:c>
      <x:c r="D319" s="2" t="str">
        <x:v>기사</x:v>
      </x:c>
      <x:c r="E319" s="2" t="n">
        <x:v>2</x:v>
      </x:c>
      <x:c r="F319" s="2" t="n">
        <x:v>3</x:v>
      </x:c>
      <x:c r="G319" s="14" t="n">
        <x:f>('레벨 계산식'!$E$4-E319)*'레벨 계산식'!$B$5</x:f>
        <x:v>0.41999999999999993</x:v>
      </x:c>
      <x:c r="H319" s="14" t="n">
        <x:f>('등급 계산식'!$E$4-F319)*'등급 계산식'!$B$5</x:f>
        <x:v>0.12000000000000002</x:v>
      </x:c>
      <x:c r="I319" s="14" t="n">
        <x:f>1-G319-H319</x:f>
        <x:v>0.4600000000000001</x:v>
      </x:c>
      <x:c r="J319" s="2" t="n">
        <x:f>MAX(1,ROUND('기준스탯 72종'!D20-R319-Z319,0))</x:f>
        <x:v>3</x:v>
      </x:c>
      <x:c r="K319" s="2" t="n">
        <x:f>MAX(1,ROUND('기준스탯 72종'!E20-S319-AA319,0))</x:f>
        <x:v>3</x:v>
      </x:c>
      <x:c r="L319" s="2" t="n">
        <x:f>MAX(1,ROUND('기준스탯 72종'!F20-T319-AB319,0))</x:f>
        <x:v>4</x:v>
      </x:c>
      <x:c r="M319" s="2" t="n">
        <x:f>MAX(1,ROUND('기준스탯 72종'!G20-U319-AC319,0))</x:f>
        <x:v>4</x:v>
      </x:c>
      <x:c r="N319" s="2" t="n">
        <x:f>MAX(0,ROUND('기준스탯 72종'!H20-V319-AD319,0))</x:f>
        <x:v>1</x:v>
      </x:c>
      <x:c r="O319" s="2" t="n">
        <x:f>MAX(0,ROUND('기준스탯 72종'!I20-W319-AE319,0))</x:f>
        <x:v>1</x:v>
      </x:c>
      <x:c r="P319" s="2" t="n">
        <x:f>MAX(0,ROUND('기준스탯 72종'!J20-X319-AF319,0))</x:f>
        <x:v>3</x:v>
      </x:c>
      <x:c r="Q319" s="2" t="n">
        <x:f>MAX(0,ROUND('기준스탯 72종'!K20-Y319-AG319,0))</x:f>
        <x:v>2</x:v>
      </x:c>
      <x:c r="R319" s="15" t="n">
        <x:f>'기준스탯 72종'!D20*G319</x:f>
        <x:v>2.5199999999999996</x:v>
      </x:c>
      <x:c r="S319" s="15" t="n">
        <x:f>'기준스탯 72종'!E20*G319</x:f>
        <x:v>2.9399999999999995</x:v>
      </x:c>
      <x:c r="T319" s="15" t="n">
        <x:f>'기준스탯 72종'!F20*G319</x:f>
        <x:v>3.7799999999999994</x:v>
      </x:c>
      <x:c r="U319" s="15" t="n">
        <x:f>'기준스탯 72종'!G20*G319</x:f>
        <x:v>3.3599999999999994</x:v>
      </x:c>
      <x:c r="V319" s="15" t="n">
        <x:f>'기준스탯 72종'!H20*G319</x:f>
        <x:v>1.2599999999999998</x:v>
      </x:c>
      <x:c r="W319" s="15" t="n">
        <x:f>'기준스탯 72종'!I20*G319</x:f>
        <x:v>1.2599999999999998</x:v>
      </x:c>
      <x:c r="X319" s="15" t="n">
        <x:f>'기준스탯 72종'!J20*G319</x:f>
        <x:v>2.5199999999999996</x:v>
      </x:c>
      <x:c r="Y319" s="15" t="n">
        <x:f>'기준스탯 72종'!K20*G319</x:f>
        <x:v>1.6799999999999997</x:v>
      </x:c>
      <x:c r="Z319" s="15" t="n">
        <x:f>'기준스탯 72종'!D20*H319</x:f>
        <x:v>0.7200000000000002</x:v>
      </x:c>
      <x:c r="AA319" s="15" t="n">
        <x:f>'기준스탯 72종'!E20*H319</x:f>
        <x:v>0.8400000000000002</x:v>
      </x:c>
      <x:c r="AB319" s="15" t="n">
        <x:f>'기준스탯 72종'!F20*H319</x:f>
        <x:v>1.0800000000000003</x:v>
      </x:c>
      <x:c r="AC319" s="15" t="n">
        <x:f>'기준스탯 72종'!G20*H319</x:f>
        <x:v>0.9600000000000002</x:v>
      </x:c>
      <x:c r="AD319" s="15" t="n">
        <x:f>'기준스탯 72종'!H20*H319</x:f>
        <x:v>0.3600000000000001</x:v>
      </x:c>
      <x:c r="AE319" s="15" t="n">
        <x:f>'기준스탯 72종'!I20*H319</x:f>
        <x:v>0.3600000000000001</x:v>
      </x:c>
      <x:c r="AF319" s="15" t="n">
        <x:f>'기준스탯 72종'!J20*H319</x:f>
        <x:v>0.7200000000000002</x:v>
      </x:c>
      <x:c r="AG319" s="15" t="n">
        <x:f>'기준스탯 72종'!K20*H319</x:f>
        <x:v>0.4800000000000001</x:v>
      </x:c>
    </x:row>
    <x:row r="320" ht="28" customHeight="1">
      <x:c r="A320" s="2" t="n">
        <x:v>313</x:v>
      </x:c>
      <x:c r="B320" s="2" t="n">
        <x:v>13</x:v>
      </x:c>
      <x:c r="C320" s="2" t="str">
        <x:v>쌍둥이자리</x:v>
      </x:c>
      <x:c r="D320" s="2" t="str">
        <x:v>기사</x:v>
      </x:c>
      <x:c r="E320" s="2" t="n">
        <x:v>3</x:v>
      </x:c>
      <x:c r="F320" s="2" t="n">
        <x:v>3</x:v>
      </x:c>
      <x:c r="G320" s="14" t="n">
        <x:f>('레벨 계산식'!$E$4-E320)*'레벨 계산식'!$B$5</x:f>
        <x:v>0.27999999999999997</x:v>
      </x:c>
      <x:c r="H320" s="14" t="n">
        <x:f>('등급 계산식'!$E$4-F320)*'등급 계산식'!$B$5</x:f>
        <x:v>0.12000000000000002</x:v>
      </x:c>
      <x:c r="I320" s="14" t="n">
        <x:f>1-G320-H320</x:f>
        <x:v>0.6</x:v>
      </x:c>
      <x:c r="J320" s="2" t="n">
        <x:f>MAX(1,ROUND('기준스탯 72종'!D20-R320-Z320,0))</x:f>
        <x:v>4</x:v>
      </x:c>
      <x:c r="K320" s="2" t="n">
        <x:f>MAX(1,ROUND('기준스탯 72종'!E20-S320-AA320,0))</x:f>
        <x:v>4</x:v>
      </x:c>
      <x:c r="L320" s="2" t="n">
        <x:f>MAX(1,ROUND('기준스탯 72종'!F20-T320-AB320,0))</x:f>
        <x:v>5</x:v>
      </x:c>
      <x:c r="M320" s="2" t="n">
        <x:f>MAX(1,ROUND('기준스탯 72종'!G20-U320-AC320,0))</x:f>
        <x:v>5</x:v>
      </x:c>
      <x:c r="N320" s="2" t="n">
        <x:f>MAX(0,ROUND('기준스탯 72종'!H20-V320-AD320,0))</x:f>
        <x:v>2</x:v>
      </x:c>
      <x:c r="O320" s="2" t="n">
        <x:f>MAX(0,ROUND('기준스탯 72종'!I20-W320-AE320,0))</x:f>
        <x:v>2</x:v>
      </x:c>
      <x:c r="P320" s="2" t="n">
        <x:f>MAX(0,ROUND('기준스탯 72종'!J20-X320-AF320,0))</x:f>
        <x:v>4</x:v>
      </x:c>
      <x:c r="Q320" s="2" t="n">
        <x:f>MAX(0,ROUND('기준스탯 72종'!K20-Y320-AG320,0))</x:f>
        <x:v>2</x:v>
      </x:c>
      <x:c r="R320" s="15" t="n">
        <x:f>'기준스탯 72종'!D20*G320</x:f>
        <x:v>1.6799999999999997</x:v>
      </x:c>
      <x:c r="S320" s="15" t="n">
        <x:f>'기준스탯 72종'!E20*G320</x:f>
        <x:v>1.9599999999999997</x:v>
      </x:c>
      <x:c r="T320" s="15" t="n">
        <x:f>'기준스탯 72종'!F20*G320</x:f>
        <x:v>2.5199999999999996</x:v>
      </x:c>
      <x:c r="U320" s="15" t="n">
        <x:f>'기준스탯 72종'!G20*G320</x:f>
        <x:v>2.2399999999999998</x:v>
      </x:c>
      <x:c r="V320" s="15" t="n">
        <x:f>'기준스탯 72종'!H20*G320</x:f>
        <x:v>0.8399999999999999</x:v>
      </x:c>
      <x:c r="W320" s="15" t="n">
        <x:f>'기준스탯 72종'!I20*G320</x:f>
        <x:v>0.8399999999999999</x:v>
      </x:c>
      <x:c r="X320" s="15" t="n">
        <x:f>'기준스탯 72종'!J20*G320</x:f>
        <x:v>1.6799999999999997</x:v>
      </x:c>
      <x:c r="Y320" s="15" t="n">
        <x:f>'기준스탯 72종'!K20*G320</x:f>
        <x:v>1.1199999999999999</x:v>
      </x:c>
      <x:c r="Z320" s="15" t="n">
        <x:f>'기준스탯 72종'!D20*H320</x:f>
        <x:v>0.7200000000000002</x:v>
      </x:c>
      <x:c r="AA320" s="15" t="n">
        <x:f>'기준스탯 72종'!E20*H320</x:f>
        <x:v>0.8400000000000002</x:v>
      </x:c>
      <x:c r="AB320" s="15" t="n">
        <x:f>'기준스탯 72종'!F20*H320</x:f>
        <x:v>1.0800000000000003</x:v>
      </x:c>
      <x:c r="AC320" s="15" t="n">
        <x:f>'기준스탯 72종'!G20*H320</x:f>
        <x:v>0.9600000000000002</x:v>
      </x:c>
      <x:c r="AD320" s="15" t="n">
        <x:f>'기준스탯 72종'!H20*H320</x:f>
        <x:v>0.3600000000000001</x:v>
      </x:c>
      <x:c r="AE320" s="15" t="n">
        <x:f>'기준스탯 72종'!I20*H320</x:f>
        <x:v>0.3600000000000001</x:v>
      </x:c>
      <x:c r="AF320" s="15" t="n">
        <x:f>'기준스탯 72종'!J20*H320</x:f>
        <x:v>0.7200000000000002</x:v>
      </x:c>
      <x:c r="AG320" s="15" t="n">
        <x:f>'기준스탯 72종'!K20*H320</x:f>
        <x:v>0.4800000000000001</x:v>
      </x:c>
    </x:row>
    <x:row r="321" ht="28" customHeight="1">
      <x:c r="A321" s="2" t="n">
        <x:v>314</x:v>
      </x:c>
      <x:c r="B321" s="2" t="n">
        <x:v>13</x:v>
      </x:c>
      <x:c r="C321" s="2" t="str">
        <x:v>쌍둥이자리</x:v>
      </x:c>
      <x:c r="D321" s="2" t="str">
        <x:v>기사</x:v>
      </x:c>
      <x:c r="E321" s="2" t="n">
        <x:v>4</x:v>
      </x:c>
      <x:c r="F321" s="2" t="n">
        <x:v>3</x:v>
      </x:c>
      <x:c r="G321" s="14" t="n">
        <x:f>('레벨 계산식'!$E$4-E321)*'레벨 계산식'!$B$5</x:f>
        <x:v>0.13999999999999999</x:v>
      </x:c>
      <x:c r="H321" s="14" t="n">
        <x:f>('등급 계산식'!$E$4-F321)*'등급 계산식'!$B$5</x:f>
        <x:v>0.12000000000000002</x:v>
      </x:c>
      <x:c r="I321" s="14" t="n">
        <x:f>1-G321-H321</x:f>
        <x:v>0.74</x:v>
      </x:c>
      <x:c r="J321" s="2" t="n">
        <x:f>MAX(1,ROUND('기준스탯 72종'!D20-R321-Z321,0))</x:f>
        <x:v>4</x:v>
      </x:c>
      <x:c r="K321" s="2" t="n">
        <x:f>MAX(1,ROUND('기준스탯 72종'!E20-S321-AA321,0))</x:f>
        <x:v>5</x:v>
      </x:c>
      <x:c r="L321" s="2" t="n">
        <x:f>MAX(1,ROUND('기준스탯 72종'!F20-T321-AB321,0))</x:f>
        <x:v>7</x:v>
      </x:c>
      <x:c r="M321" s="2" t="n">
        <x:f>MAX(1,ROUND('기준스탯 72종'!G20-U321-AC321,0))</x:f>
        <x:v>6</x:v>
      </x:c>
      <x:c r="N321" s="2" t="n">
        <x:f>MAX(0,ROUND('기준스탯 72종'!H20-V321-AD321,0))</x:f>
        <x:v>2</x:v>
      </x:c>
      <x:c r="O321" s="2" t="n">
        <x:f>MAX(0,ROUND('기준스탯 72종'!I20-W321-AE321,0))</x:f>
        <x:v>2</x:v>
      </x:c>
      <x:c r="P321" s="2" t="n">
        <x:f>MAX(0,ROUND('기준스탯 72종'!J20-X321-AF321,0))</x:f>
        <x:v>4</x:v>
      </x:c>
      <x:c r="Q321" s="2" t="n">
        <x:f>MAX(0,ROUND('기준스탯 72종'!K20-Y321-AG321,0))</x:f>
        <x:v>3</x:v>
      </x:c>
      <x:c r="R321" s="15" t="n">
        <x:f>'기준스탯 72종'!D20*G321</x:f>
        <x:v>0.8399999999999999</x:v>
      </x:c>
      <x:c r="S321" s="15" t="n">
        <x:f>'기준스탯 72종'!E20*G321</x:f>
        <x:v>0.9799999999999999</x:v>
      </x:c>
      <x:c r="T321" s="15" t="n">
        <x:f>'기준스탯 72종'!F20*G321</x:f>
        <x:v>1.2599999999999998</x:v>
      </x:c>
      <x:c r="U321" s="15" t="n">
        <x:f>'기준스탯 72종'!G20*G321</x:f>
        <x:v>1.1199999999999999</x:v>
      </x:c>
      <x:c r="V321" s="15" t="n">
        <x:f>'기준스탯 72종'!H20*G321</x:f>
        <x:v>0.41999999999999993</x:v>
      </x:c>
      <x:c r="W321" s="15" t="n">
        <x:f>'기준스탯 72종'!I20*G321</x:f>
        <x:v>0.41999999999999993</x:v>
      </x:c>
      <x:c r="X321" s="15" t="n">
        <x:f>'기준스탯 72종'!J20*G321</x:f>
        <x:v>0.8399999999999999</x:v>
      </x:c>
      <x:c r="Y321" s="15" t="n">
        <x:f>'기준스탯 72종'!K20*G321</x:f>
        <x:v>0.5599999999999999</x:v>
      </x:c>
      <x:c r="Z321" s="15" t="n">
        <x:f>'기준스탯 72종'!D20*H321</x:f>
        <x:v>0.7200000000000002</x:v>
      </x:c>
      <x:c r="AA321" s="15" t="n">
        <x:f>'기준스탯 72종'!E20*H321</x:f>
        <x:v>0.8400000000000002</x:v>
      </x:c>
      <x:c r="AB321" s="15" t="n">
        <x:f>'기준스탯 72종'!F20*H321</x:f>
        <x:v>1.0800000000000003</x:v>
      </x:c>
      <x:c r="AC321" s="15" t="n">
        <x:f>'기준스탯 72종'!G20*H321</x:f>
        <x:v>0.9600000000000002</x:v>
      </x:c>
      <x:c r="AD321" s="15" t="n">
        <x:f>'기준스탯 72종'!H20*H321</x:f>
        <x:v>0.3600000000000001</x:v>
      </x:c>
      <x:c r="AE321" s="15" t="n">
        <x:f>'기준스탯 72종'!I20*H321</x:f>
        <x:v>0.3600000000000001</x:v>
      </x:c>
      <x:c r="AF321" s="15" t="n">
        <x:f>'기준스탯 72종'!J20*H321</x:f>
        <x:v>0.7200000000000002</x:v>
      </x:c>
      <x:c r="AG321" s="15" t="n">
        <x:f>'기준스탯 72종'!K20*H321</x:f>
        <x:v>0.4800000000000001</x:v>
      </x:c>
    </x:row>
    <x:row r="322" ht="28" customHeight="1">
      <x:c r="A322" s="2" t="n">
        <x:v>315</x:v>
      </x:c>
      <x:c r="B322" s="2" t="n">
        <x:v>13</x:v>
      </x:c>
      <x:c r="C322" s="2" t="str">
        <x:v>쌍둥이자리</x:v>
      </x:c>
      <x:c r="D322" s="2" t="str">
        <x:v>기사</x:v>
      </x:c>
      <x:c r="E322" s="2" t="n">
        <x:v>5</x:v>
      </x:c>
      <x:c r="F322" s="2" t="n">
        <x:v>3</x:v>
      </x:c>
      <x:c r="G322" s="14" t="n">
        <x:f>('레벨 계산식'!$E$4-E322)*'레벨 계산식'!$B$5</x:f>
        <x:v>0</x:v>
      </x:c>
      <x:c r="H322" s="14" t="n">
        <x:f>('등급 계산식'!$E$4-F322)*'등급 계산식'!$B$5</x:f>
        <x:v>0.12000000000000002</x:v>
      </x:c>
      <x:c r="I322" s="14" t="n">
        <x:f>1-G322-H322</x:f>
        <x:v>0.88</x:v>
      </x:c>
      <x:c r="J322" s="2" t="n">
        <x:f>MAX(1,ROUND('기준스탯 72종'!D20-R322-Z322,0))</x:f>
        <x:v>5</x:v>
      </x:c>
      <x:c r="K322" s="2" t="n">
        <x:f>MAX(1,ROUND('기준스탯 72종'!E20-S322-AA322,0))</x:f>
        <x:v>6</x:v>
      </x:c>
      <x:c r="L322" s="2" t="n">
        <x:f>MAX(1,ROUND('기준스탯 72종'!F20-T322-AB322,0))</x:f>
        <x:v>8</x:v>
      </x:c>
      <x:c r="M322" s="2" t="n">
        <x:f>MAX(1,ROUND('기준스탯 72종'!G20-U322-AC322,0))</x:f>
        <x:v>7</x:v>
      </x:c>
      <x:c r="N322" s="2" t="n">
        <x:f>MAX(0,ROUND('기준스탯 72종'!H20-V322-AD322,0))</x:f>
        <x:v>3</x:v>
      </x:c>
      <x:c r="O322" s="2" t="n">
        <x:f>MAX(0,ROUND('기준스탯 72종'!I20-W322-AE322,0))</x:f>
        <x:v>3</x:v>
      </x:c>
      <x:c r="P322" s="2" t="n">
        <x:f>MAX(0,ROUND('기준스탯 72종'!J20-X322-AF322,0))</x:f>
        <x:v>5</x:v>
      </x:c>
      <x:c r="Q322" s="2" t="n">
        <x:f>MAX(0,ROUND('기준스탯 72종'!K20-Y322-AG322,0))</x:f>
        <x:v>4</x:v>
      </x:c>
      <x:c r="R322" s="15" t="n">
        <x:f>'기준스탯 72종'!D20*G322</x:f>
        <x:v>0</x:v>
      </x:c>
      <x:c r="S322" s="15" t="n">
        <x:f>'기준스탯 72종'!E20*G322</x:f>
        <x:v>0</x:v>
      </x:c>
      <x:c r="T322" s="15" t="n">
        <x:f>'기준스탯 72종'!F20*G322</x:f>
        <x:v>0</x:v>
      </x:c>
      <x:c r="U322" s="15" t="n">
        <x:f>'기준스탯 72종'!G20*G322</x:f>
        <x:v>0</x:v>
      </x:c>
      <x:c r="V322" s="15" t="n">
        <x:f>'기준스탯 72종'!H20*G322</x:f>
        <x:v>0</x:v>
      </x:c>
      <x:c r="W322" s="15" t="n">
        <x:f>'기준스탯 72종'!I20*G322</x:f>
        <x:v>0</x:v>
      </x:c>
      <x:c r="X322" s="15" t="n">
        <x:f>'기준스탯 72종'!J20*G322</x:f>
        <x:v>0</x:v>
      </x:c>
      <x:c r="Y322" s="15" t="n">
        <x:f>'기준스탯 72종'!K20*G322</x:f>
        <x:v>0</x:v>
      </x:c>
      <x:c r="Z322" s="15" t="n">
        <x:f>'기준스탯 72종'!D20*H322</x:f>
        <x:v>0.7200000000000002</x:v>
      </x:c>
      <x:c r="AA322" s="15" t="n">
        <x:f>'기준스탯 72종'!E20*H322</x:f>
        <x:v>0.8400000000000002</x:v>
      </x:c>
      <x:c r="AB322" s="15" t="n">
        <x:f>'기준스탯 72종'!F20*H322</x:f>
        <x:v>1.0800000000000003</x:v>
      </x:c>
      <x:c r="AC322" s="15" t="n">
        <x:f>'기준스탯 72종'!G20*H322</x:f>
        <x:v>0.9600000000000002</x:v>
      </x:c>
      <x:c r="AD322" s="15" t="n">
        <x:f>'기준스탯 72종'!H20*H322</x:f>
        <x:v>0.3600000000000001</x:v>
      </x:c>
      <x:c r="AE322" s="15" t="n">
        <x:f>'기준스탯 72종'!I20*H322</x:f>
        <x:v>0.3600000000000001</x:v>
      </x:c>
      <x:c r="AF322" s="15" t="n">
        <x:f>'기준스탯 72종'!J20*H322</x:f>
        <x:v>0.7200000000000002</x:v>
      </x:c>
      <x:c r="AG322" s="15" t="n">
        <x:f>'기준스탯 72종'!K20*H322</x:f>
        <x:v>0.4800000000000001</x:v>
      </x:c>
    </x:row>
    <x:row r="323" ht="28" customHeight="1">
      <x:c r="A323" s="2" t="n">
        <x:v>316</x:v>
      </x:c>
      <x:c r="B323" s="2" t="n">
        <x:v>13</x:v>
      </x:c>
      <x:c r="C323" s="2" t="str">
        <x:v>쌍둥이자리</x:v>
      </x:c>
      <x:c r="D323" s="2" t="str">
        <x:v>기사</x:v>
      </x:c>
      <x:c r="E323" s="2" t="n">
        <x:v>1</x:v>
      </x:c>
      <x:c r="F323" s="2" t="n">
        <x:v>4</x:v>
      </x:c>
      <x:c r="G323" s="14" t="n">
        <x:f>('레벨 계산식'!$E$4-E323)*'레벨 계산식'!$B$5</x:f>
        <x:v>0.5599999999999999</x:v>
      </x:c>
      <x:c r="H323" s="14" t="n">
        <x:f>('등급 계산식'!$E$4-F323)*'등급 계산식'!$B$5</x:f>
        <x:v>0.06000000000000001</x:v>
      </x:c>
      <x:c r="I323" s="14" t="n">
        <x:f>1-G323-H323</x:f>
        <x:v>0.38000000000000006</x:v>
      </x:c>
      <x:c r="J323" s="2" t="n">
        <x:f>MAX(1,ROUND('기준스탯 72종'!D20-R323-Z323,0))</x:f>
        <x:v>2</x:v>
      </x:c>
      <x:c r="K323" s="2" t="n">
        <x:f>MAX(1,ROUND('기준스탯 72종'!E20-S323-AA323,0))</x:f>
        <x:v>3</x:v>
      </x:c>
      <x:c r="L323" s="2" t="n">
        <x:f>MAX(1,ROUND('기준스탯 72종'!F20-T323-AB323,0))</x:f>
        <x:v>3</x:v>
      </x:c>
      <x:c r="M323" s="2" t="n">
        <x:f>MAX(1,ROUND('기준스탯 72종'!G20-U323-AC323,0))</x:f>
        <x:v>3</x:v>
      </x:c>
      <x:c r="N323" s="2" t="n">
        <x:f>MAX(0,ROUND('기준스탯 72종'!H20-V323-AD323,0))</x:f>
        <x:v>1</x:v>
      </x:c>
      <x:c r="O323" s="2" t="n">
        <x:f>MAX(0,ROUND('기준스탯 72종'!I20-W323-AE323,0))</x:f>
        <x:v>1</x:v>
      </x:c>
      <x:c r="P323" s="2" t="n">
        <x:f>MAX(0,ROUND('기준스탯 72종'!J20-X323-AF323,0))</x:f>
        <x:v>2</x:v>
      </x:c>
      <x:c r="Q323" s="2" t="n">
        <x:f>MAX(0,ROUND('기준스탯 72종'!K20-Y323-AG323,0))</x:f>
        <x:v>2</x:v>
      </x:c>
      <x:c r="R323" s="15" t="n">
        <x:f>'기준스탯 72종'!D20*G323</x:f>
        <x:v>3.3599999999999994</x:v>
      </x:c>
      <x:c r="S323" s="15" t="n">
        <x:f>'기준스탯 72종'!E20*G323</x:f>
        <x:v>3.9199999999999995</x:v>
      </x:c>
      <x:c r="T323" s="15" t="n">
        <x:f>'기준스탯 72종'!F20*G323</x:f>
        <x:v>5.039999999999999</x:v>
      </x:c>
      <x:c r="U323" s="15" t="n">
        <x:f>'기준스탯 72종'!G20*G323</x:f>
        <x:v>4.4799999999999995</x:v>
      </x:c>
      <x:c r="V323" s="15" t="n">
        <x:f>'기준스탯 72종'!H20*G323</x:f>
        <x:v>1.6799999999999997</x:v>
      </x:c>
      <x:c r="W323" s="15" t="n">
        <x:f>'기준스탯 72종'!I20*G323</x:f>
        <x:v>1.6799999999999997</x:v>
      </x:c>
      <x:c r="X323" s="15" t="n">
        <x:f>'기준스탯 72종'!J20*G323</x:f>
        <x:v>3.3599999999999994</x:v>
      </x:c>
      <x:c r="Y323" s="15" t="n">
        <x:f>'기준스탯 72종'!K20*G323</x:f>
        <x:v>2.2399999999999998</x:v>
      </x:c>
      <x:c r="Z323" s="15" t="n">
        <x:f>'기준스탯 72종'!D20*H323</x:f>
        <x:v>0.3600000000000001</x:v>
      </x:c>
      <x:c r="AA323" s="15" t="n">
        <x:f>'기준스탯 72종'!E20*H323</x:f>
        <x:v>0.4200000000000001</x:v>
      </x:c>
      <x:c r="AB323" s="15" t="n">
        <x:f>'기준스탯 72종'!F20*H323</x:f>
        <x:v>0.5400000000000001</x:v>
      </x:c>
      <x:c r="AC323" s="15" t="n">
        <x:f>'기준스탯 72종'!G20*H323</x:f>
        <x:v>0.4800000000000001</x:v>
      </x:c>
      <x:c r="AD323" s="15" t="n">
        <x:f>'기준스탯 72종'!H20*H323</x:f>
        <x:v>0.18000000000000005</x:v>
      </x:c>
      <x:c r="AE323" s="15" t="n">
        <x:f>'기준스탯 72종'!I20*H323</x:f>
        <x:v>0.18000000000000005</x:v>
      </x:c>
      <x:c r="AF323" s="15" t="n">
        <x:f>'기준스탯 72종'!J20*H323</x:f>
        <x:v>0.3600000000000001</x:v>
      </x:c>
      <x:c r="AG323" s="15" t="n">
        <x:f>'기준스탯 72종'!K20*H323</x:f>
        <x:v>0.24000000000000005</x:v>
      </x:c>
    </x:row>
    <x:row r="324" ht="28" customHeight="1">
      <x:c r="A324" s="2" t="n">
        <x:v>317</x:v>
      </x:c>
      <x:c r="B324" s="2" t="n">
        <x:v>13</x:v>
      </x:c>
      <x:c r="C324" s="2" t="str">
        <x:v>쌍둥이자리</x:v>
      </x:c>
      <x:c r="D324" s="2" t="str">
        <x:v>기사</x:v>
      </x:c>
      <x:c r="E324" s="2" t="n">
        <x:v>2</x:v>
      </x:c>
      <x:c r="F324" s="2" t="n">
        <x:v>4</x:v>
      </x:c>
      <x:c r="G324" s="14" t="n">
        <x:f>('레벨 계산식'!$E$4-E324)*'레벨 계산식'!$B$5</x:f>
        <x:v>0.41999999999999993</x:v>
      </x:c>
      <x:c r="H324" s="14" t="n">
        <x:f>('등급 계산식'!$E$4-F324)*'등급 계산식'!$B$5</x:f>
        <x:v>0.06000000000000001</x:v>
      </x:c>
      <x:c r="I324" s="14" t="n">
        <x:f>1-G324-H324</x:f>
        <x:v>0.52</x:v>
      </x:c>
      <x:c r="J324" s="2" t="n">
        <x:f>MAX(1,ROUND('기준스탯 72종'!D20-R324-Z324,0))</x:f>
        <x:v>3</x:v>
      </x:c>
      <x:c r="K324" s="2" t="n">
        <x:f>MAX(1,ROUND('기준스탯 72종'!E20-S324-AA324,0))</x:f>
        <x:v>4</x:v>
      </x:c>
      <x:c r="L324" s="2" t="n">
        <x:f>MAX(1,ROUND('기준스탯 72종'!F20-T324-AB324,0))</x:f>
        <x:v>5</x:v>
      </x:c>
      <x:c r="M324" s="2" t="n">
        <x:f>MAX(1,ROUND('기준스탯 72종'!G20-U324-AC324,0))</x:f>
        <x:v>4</x:v>
      </x:c>
      <x:c r="N324" s="2" t="n">
        <x:f>MAX(0,ROUND('기준스탯 72종'!H20-V324-AD324,0))</x:f>
        <x:v>2</x:v>
      </x:c>
      <x:c r="O324" s="2" t="n">
        <x:f>MAX(0,ROUND('기준스탯 72종'!I20-W324-AE324,0))</x:f>
        <x:v>2</x:v>
      </x:c>
      <x:c r="P324" s="2" t="n">
        <x:f>MAX(0,ROUND('기준스탯 72종'!J20-X324-AF324,0))</x:f>
        <x:v>3</x:v>
      </x:c>
      <x:c r="Q324" s="2" t="n">
        <x:f>MAX(0,ROUND('기준스탯 72종'!K20-Y324-AG324,0))</x:f>
        <x:v>2</x:v>
      </x:c>
      <x:c r="R324" s="15" t="n">
        <x:f>'기준스탯 72종'!D20*G324</x:f>
        <x:v>2.5199999999999996</x:v>
      </x:c>
      <x:c r="S324" s="15" t="n">
        <x:f>'기준스탯 72종'!E20*G324</x:f>
        <x:v>2.9399999999999995</x:v>
      </x:c>
      <x:c r="T324" s="15" t="n">
        <x:f>'기준스탯 72종'!F20*G324</x:f>
        <x:v>3.7799999999999994</x:v>
      </x:c>
      <x:c r="U324" s="15" t="n">
        <x:f>'기준스탯 72종'!G20*G324</x:f>
        <x:v>3.3599999999999994</x:v>
      </x:c>
      <x:c r="V324" s="15" t="n">
        <x:f>'기준스탯 72종'!H20*G324</x:f>
        <x:v>1.2599999999999998</x:v>
      </x:c>
      <x:c r="W324" s="15" t="n">
        <x:f>'기준스탯 72종'!I20*G324</x:f>
        <x:v>1.2599999999999998</x:v>
      </x:c>
      <x:c r="X324" s="15" t="n">
        <x:f>'기준스탯 72종'!J20*G324</x:f>
        <x:v>2.5199999999999996</x:v>
      </x:c>
      <x:c r="Y324" s="15" t="n">
        <x:f>'기준스탯 72종'!K20*G324</x:f>
        <x:v>1.6799999999999997</x:v>
      </x:c>
      <x:c r="Z324" s="15" t="n">
        <x:f>'기준스탯 72종'!D20*H324</x:f>
        <x:v>0.3600000000000001</x:v>
      </x:c>
      <x:c r="AA324" s="15" t="n">
        <x:f>'기준스탯 72종'!E20*H324</x:f>
        <x:v>0.4200000000000001</x:v>
      </x:c>
      <x:c r="AB324" s="15" t="n">
        <x:f>'기준스탯 72종'!F20*H324</x:f>
        <x:v>0.5400000000000001</x:v>
      </x:c>
      <x:c r="AC324" s="15" t="n">
        <x:f>'기준스탯 72종'!G20*H324</x:f>
        <x:v>0.4800000000000001</x:v>
      </x:c>
      <x:c r="AD324" s="15" t="n">
        <x:f>'기준스탯 72종'!H20*H324</x:f>
        <x:v>0.18000000000000005</x:v>
      </x:c>
      <x:c r="AE324" s="15" t="n">
        <x:f>'기준스탯 72종'!I20*H324</x:f>
        <x:v>0.18000000000000005</x:v>
      </x:c>
      <x:c r="AF324" s="15" t="n">
        <x:f>'기준스탯 72종'!J20*H324</x:f>
        <x:v>0.3600000000000001</x:v>
      </x:c>
      <x:c r="AG324" s="15" t="n">
        <x:f>'기준스탯 72종'!K20*H324</x:f>
        <x:v>0.24000000000000005</x:v>
      </x:c>
    </x:row>
    <x:row r="325" ht="28" customHeight="1">
      <x:c r="A325" s="2" t="n">
        <x:v>318</x:v>
      </x:c>
      <x:c r="B325" s="2" t="n">
        <x:v>13</x:v>
      </x:c>
      <x:c r="C325" s="2" t="str">
        <x:v>쌍둥이자리</x:v>
      </x:c>
      <x:c r="D325" s="2" t="str">
        <x:v>기사</x:v>
      </x:c>
      <x:c r="E325" s="2" t="n">
        <x:v>3</x:v>
      </x:c>
      <x:c r="F325" s="2" t="n">
        <x:v>4</x:v>
      </x:c>
      <x:c r="G325" s="14" t="n">
        <x:f>('레벨 계산식'!$E$4-E325)*'레벨 계산식'!$B$5</x:f>
        <x:v>0.27999999999999997</x:v>
      </x:c>
      <x:c r="H325" s="14" t="n">
        <x:f>('등급 계산식'!$E$4-F325)*'등급 계산식'!$B$5</x:f>
        <x:v>0.06000000000000001</x:v>
      </x:c>
      <x:c r="I325" s="14" t="n">
        <x:f>1-G325-H325</x:f>
        <x:v>0.6599999999999999</x:v>
      </x:c>
      <x:c r="J325" s="2" t="n">
        <x:f>MAX(1,ROUND('기준스탯 72종'!D20-R325-Z325,0))</x:f>
        <x:v>4</x:v>
      </x:c>
      <x:c r="K325" s="2" t="n">
        <x:f>MAX(1,ROUND('기준스탯 72종'!E20-S325-AA325,0))</x:f>
        <x:v>5</x:v>
      </x:c>
      <x:c r="L325" s="2" t="n">
        <x:f>MAX(1,ROUND('기준스탯 72종'!F20-T325-AB325,0))</x:f>
        <x:v>6</x:v>
      </x:c>
      <x:c r="M325" s="2" t="n">
        <x:f>MAX(1,ROUND('기준스탯 72종'!G20-U325-AC325,0))</x:f>
        <x:v>5</x:v>
      </x:c>
      <x:c r="N325" s="2" t="n">
        <x:f>MAX(0,ROUND('기준스탯 72종'!H20-V325-AD325,0))</x:f>
        <x:v>2</x:v>
      </x:c>
      <x:c r="O325" s="2" t="n">
        <x:f>MAX(0,ROUND('기준스탯 72종'!I20-W325-AE325,0))</x:f>
        <x:v>2</x:v>
      </x:c>
      <x:c r="P325" s="2" t="n">
        <x:f>MAX(0,ROUND('기준스탯 72종'!J20-X325-AF325,0))</x:f>
        <x:v>4</x:v>
      </x:c>
      <x:c r="Q325" s="2" t="n">
        <x:f>MAX(0,ROUND('기준스탯 72종'!K20-Y325-AG325,0))</x:f>
        <x:v>3</x:v>
      </x:c>
      <x:c r="R325" s="15" t="n">
        <x:f>'기준스탯 72종'!D20*G325</x:f>
        <x:v>1.6799999999999997</x:v>
      </x:c>
      <x:c r="S325" s="15" t="n">
        <x:f>'기준스탯 72종'!E20*G325</x:f>
        <x:v>1.9599999999999997</x:v>
      </x:c>
      <x:c r="T325" s="15" t="n">
        <x:f>'기준스탯 72종'!F20*G325</x:f>
        <x:v>2.5199999999999996</x:v>
      </x:c>
      <x:c r="U325" s="15" t="n">
        <x:f>'기준스탯 72종'!G20*G325</x:f>
        <x:v>2.2399999999999998</x:v>
      </x:c>
      <x:c r="V325" s="15" t="n">
        <x:f>'기준스탯 72종'!H20*G325</x:f>
        <x:v>0.8399999999999999</x:v>
      </x:c>
      <x:c r="W325" s="15" t="n">
        <x:f>'기준스탯 72종'!I20*G325</x:f>
        <x:v>0.8399999999999999</x:v>
      </x:c>
      <x:c r="X325" s="15" t="n">
        <x:f>'기준스탯 72종'!J20*G325</x:f>
        <x:v>1.6799999999999997</x:v>
      </x:c>
      <x:c r="Y325" s="15" t="n">
        <x:f>'기준스탯 72종'!K20*G325</x:f>
        <x:v>1.1199999999999999</x:v>
      </x:c>
      <x:c r="Z325" s="15" t="n">
        <x:f>'기준스탯 72종'!D20*H325</x:f>
        <x:v>0.3600000000000001</x:v>
      </x:c>
      <x:c r="AA325" s="15" t="n">
        <x:f>'기준스탯 72종'!E20*H325</x:f>
        <x:v>0.4200000000000001</x:v>
      </x:c>
      <x:c r="AB325" s="15" t="n">
        <x:f>'기준스탯 72종'!F20*H325</x:f>
        <x:v>0.5400000000000001</x:v>
      </x:c>
      <x:c r="AC325" s="15" t="n">
        <x:f>'기준스탯 72종'!G20*H325</x:f>
        <x:v>0.4800000000000001</x:v>
      </x:c>
      <x:c r="AD325" s="15" t="n">
        <x:f>'기준스탯 72종'!H20*H325</x:f>
        <x:v>0.18000000000000005</x:v>
      </x:c>
      <x:c r="AE325" s="15" t="n">
        <x:f>'기준스탯 72종'!I20*H325</x:f>
        <x:v>0.18000000000000005</x:v>
      </x:c>
      <x:c r="AF325" s="15" t="n">
        <x:f>'기준스탯 72종'!J20*H325</x:f>
        <x:v>0.3600000000000001</x:v>
      </x:c>
      <x:c r="AG325" s="15" t="n">
        <x:f>'기준스탯 72종'!K20*H325</x:f>
        <x:v>0.24000000000000005</x:v>
      </x:c>
    </x:row>
    <x:row r="326" ht="28" customHeight="1">
      <x:c r="A326" s="2" t="n">
        <x:v>319</x:v>
      </x:c>
      <x:c r="B326" s="2" t="n">
        <x:v>13</x:v>
      </x:c>
      <x:c r="C326" s="2" t="str">
        <x:v>쌍둥이자리</x:v>
      </x:c>
      <x:c r="D326" s="2" t="str">
        <x:v>기사</x:v>
      </x:c>
      <x:c r="E326" s="2" t="n">
        <x:v>4</x:v>
      </x:c>
      <x:c r="F326" s="2" t="n">
        <x:v>4</x:v>
      </x:c>
      <x:c r="G326" s="14" t="n">
        <x:f>('레벨 계산식'!$E$4-E326)*'레벨 계산식'!$B$5</x:f>
        <x:v>0.13999999999999999</x:v>
      </x:c>
      <x:c r="H326" s="14" t="n">
        <x:f>('등급 계산식'!$E$4-F326)*'등급 계산식'!$B$5</x:f>
        <x:v>0.06000000000000001</x:v>
      </x:c>
      <x:c r="I326" s="14" t="n">
        <x:f>1-G326-H326</x:f>
        <x:v>0.7999999999999999</x:v>
      </x:c>
      <x:c r="J326" s="2" t="n">
        <x:f>MAX(1,ROUND('기준스탯 72종'!D20-R326-Z326,0))</x:f>
        <x:v>5</x:v>
      </x:c>
      <x:c r="K326" s="2" t="n">
        <x:f>MAX(1,ROUND('기준스탯 72종'!E20-S326-AA326,0))</x:f>
        <x:v>6</x:v>
      </x:c>
      <x:c r="L326" s="2" t="n">
        <x:f>MAX(1,ROUND('기준스탯 72종'!F20-T326-AB326,0))</x:f>
        <x:v>7</x:v>
      </x:c>
      <x:c r="M326" s="2" t="n">
        <x:f>MAX(1,ROUND('기준스탯 72종'!G20-U326-AC326,0))</x:f>
        <x:v>6</x:v>
      </x:c>
      <x:c r="N326" s="2" t="n">
        <x:f>MAX(0,ROUND('기준스탯 72종'!H20-V326-AD326,0))</x:f>
        <x:v>2</x:v>
      </x:c>
      <x:c r="O326" s="2" t="n">
        <x:f>MAX(0,ROUND('기준스탯 72종'!I20-W326-AE326,0))</x:f>
        <x:v>2</x:v>
      </x:c>
      <x:c r="P326" s="2" t="n">
        <x:f>MAX(0,ROUND('기준스탯 72종'!J20-X326-AF326,0))</x:f>
        <x:v>5</x:v>
      </x:c>
      <x:c r="Q326" s="2" t="n">
        <x:f>MAX(0,ROUND('기준스탯 72종'!K20-Y326-AG326,0))</x:f>
        <x:v>3</x:v>
      </x:c>
      <x:c r="R326" s="15" t="n">
        <x:f>'기준스탯 72종'!D20*G326</x:f>
        <x:v>0.8399999999999999</x:v>
      </x:c>
      <x:c r="S326" s="15" t="n">
        <x:f>'기준스탯 72종'!E20*G326</x:f>
        <x:v>0.9799999999999999</x:v>
      </x:c>
      <x:c r="T326" s="15" t="n">
        <x:f>'기준스탯 72종'!F20*G326</x:f>
        <x:v>1.2599999999999998</x:v>
      </x:c>
      <x:c r="U326" s="15" t="n">
        <x:f>'기준스탯 72종'!G20*G326</x:f>
        <x:v>1.1199999999999999</x:v>
      </x:c>
      <x:c r="V326" s="15" t="n">
        <x:f>'기준스탯 72종'!H20*G326</x:f>
        <x:v>0.41999999999999993</x:v>
      </x:c>
      <x:c r="W326" s="15" t="n">
        <x:f>'기준스탯 72종'!I20*G326</x:f>
        <x:v>0.41999999999999993</x:v>
      </x:c>
      <x:c r="X326" s="15" t="n">
        <x:f>'기준스탯 72종'!J20*G326</x:f>
        <x:v>0.8399999999999999</x:v>
      </x:c>
      <x:c r="Y326" s="15" t="n">
        <x:f>'기준스탯 72종'!K20*G326</x:f>
        <x:v>0.5599999999999999</x:v>
      </x:c>
      <x:c r="Z326" s="15" t="n">
        <x:f>'기준스탯 72종'!D20*H326</x:f>
        <x:v>0.3600000000000001</x:v>
      </x:c>
      <x:c r="AA326" s="15" t="n">
        <x:f>'기준스탯 72종'!E20*H326</x:f>
        <x:v>0.4200000000000001</x:v>
      </x:c>
      <x:c r="AB326" s="15" t="n">
        <x:f>'기준스탯 72종'!F20*H326</x:f>
        <x:v>0.5400000000000001</x:v>
      </x:c>
      <x:c r="AC326" s="15" t="n">
        <x:f>'기준스탯 72종'!G20*H326</x:f>
        <x:v>0.4800000000000001</x:v>
      </x:c>
      <x:c r="AD326" s="15" t="n">
        <x:f>'기준스탯 72종'!H20*H326</x:f>
        <x:v>0.18000000000000005</x:v>
      </x:c>
      <x:c r="AE326" s="15" t="n">
        <x:f>'기준스탯 72종'!I20*H326</x:f>
        <x:v>0.18000000000000005</x:v>
      </x:c>
      <x:c r="AF326" s="15" t="n">
        <x:f>'기준스탯 72종'!J20*H326</x:f>
        <x:v>0.3600000000000001</x:v>
      </x:c>
      <x:c r="AG326" s="15" t="n">
        <x:f>'기준스탯 72종'!K20*H326</x:f>
        <x:v>0.24000000000000005</x:v>
      </x:c>
    </x:row>
    <x:row r="327" ht="28" customHeight="1">
      <x:c r="A327" s="2" t="n">
        <x:v>320</x:v>
      </x:c>
      <x:c r="B327" s="2" t="n">
        <x:v>13</x:v>
      </x:c>
      <x:c r="C327" s="2" t="str">
        <x:v>쌍둥이자리</x:v>
      </x:c>
      <x:c r="D327" s="2" t="str">
        <x:v>기사</x:v>
      </x:c>
      <x:c r="E327" s="2" t="n">
        <x:v>5</x:v>
      </x:c>
      <x:c r="F327" s="2" t="n">
        <x:v>4</x:v>
      </x:c>
      <x:c r="G327" s="14" t="n">
        <x:f>('레벨 계산식'!$E$4-E327)*'레벨 계산식'!$B$5</x:f>
        <x:v>0</x:v>
      </x:c>
      <x:c r="H327" s="14" t="n">
        <x:f>('등급 계산식'!$E$4-F327)*'등급 계산식'!$B$5</x:f>
        <x:v>0.06000000000000001</x:v>
      </x:c>
      <x:c r="I327" s="14" t="n">
        <x:f>1-G327-H327</x:f>
        <x:v>0.94</x:v>
      </x:c>
      <x:c r="J327" s="2" t="n">
        <x:f>MAX(1,ROUND('기준스탯 72종'!D20-R327-Z327,0))</x:f>
        <x:v>6</x:v>
      </x:c>
      <x:c r="K327" s="2" t="n">
        <x:f>MAX(1,ROUND('기준스탯 72종'!E20-S327-AA327,0))</x:f>
        <x:v>7</x:v>
      </x:c>
      <x:c r="L327" s="2" t="n">
        <x:f>MAX(1,ROUND('기준스탯 72종'!F20-T327-AB327,0))</x:f>
        <x:v>8</x:v>
      </x:c>
      <x:c r="M327" s="2" t="n">
        <x:f>MAX(1,ROUND('기준스탯 72종'!G20-U327-AC327,0))</x:f>
        <x:v>8</x:v>
      </x:c>
      <x:c r="N327" s="2" t="n">
        <x:f>MAX(0,ROUND('기준스탯 72종'!H20-V327-AD327,0))</x:f>
        <x:v>3</x:v>
      </x:c>
      <x:c r="O327" s="2" t="n">
        <x:f>MAX(0,ROUND('기준스탯 72종'!I20-W327-AE327,0))</x:f>
        <x:v>3</x:v>
      </x:c>
      <x:c r="P327" s="2" t="n">
        <x:f>MAX(0,ROUND('기준스탯 72종'!J20-X327-AF327,0))</x:f>
        <x:v>6</x:v>
      </x:c>
      <x:c r="Q327" s="2" t="n">
        <x:f>MAX(0,ROUND('기준스탯 72종'!K20-Y327-AG327,0))</x:f>
        <x:v>4</x:v>
      </x:c>
      <x:c r="R327" s="15" t="n">
        <x:f>'기준스탯 72종'!D20*G327</x:f>
        <x:v>0</x:v>
      </x:c>
      <x:c r="S327" s="15" t="n">
        <x:f>'기준스탯 72종'!E20*G327</x:f>
        <x:v>0</x:v>
      </x:c>
      <x:c r="T327" s="15" t="n">
        <x:f>'기준스탯 72종'!F20*G327</x:f>
        <x:v>0</x:v>
      </x:c>
      <x:c r="U327" s="15" t="n">
        <x:f>'기준스탯 72종'!G20*G327</x:f>
        <x:v>0</x:v>
      </x:c>
      <x:c r="V327" s="15" t="n">
        <x:f>'기준스탯 72종'!H20*G327</x:f>
        <x:v>0</x:v>
      </x:c>
      <x:c r="W327" s="15" t="n">
        <x:f>'기준스탯 72종'!I20*G327</x:f>
        <x:v>0</x:v>
      </x:c>
      <x:c r="X327" s="15" t="n">
        <x:f>'기준스탯 72종'!J20*G327</x:f>
        <x:v>0</x:v>
      </x:c>
      <x:c r="Y327" s="15" t="n">
        <x:f>'기준스탯 72종'!K20*G327</x:f>
        <x:v>0</x:v>
      </x:c>
      <x:c r="Z327" s="15" t="n">
        <x:f>'기준스탯 72종'!D20*H327</x:f>
        <x:v>0.3600000000000001</x:v>
      </x:c>
      <x:c r="AA327" s="15" t="n">
        <x:f>'기준스탯 72종'!E20*H327</x:f>
        <x:v>0.4200000000000001</x:v>
      </x:c>
      <x:c r="AB327" s="15" t="n">
        <x:f>'기준스탯 72종'!F20*H327</x:f>
        <x:v>0.5400000000000001</x:v>
      </x:c>
      <x:c r="AC327" s="15" t="n">
        <x:f>'기준스탯 72종'!G20*H327</x:f>
        <x:v>0.4800000000000001</x:v>
      </x:c>
      <x:c r="AD327" s="15" t="n">
        <x:f>'기준스탯 72종'!H20*H327</x:f>
        <x:v>0.18000000000000005</x:v>
      </x:c>
      <x:c r="AE327" s="15" t="n">
        <x:f>'기준스탯 72종'!I20*H327</x:f>
        <x:v>0.18000000000000005</x:v>
      </x:c>
      <x:c r="AF327" s="15" t="n">
        <x:f>'기준스탯 72종'!J20*H327</x:f>
        <x:v>0.3600000000000001</x:v>
      </x:c>
      <x:c r="AG327" s="15" t="n">
        <x:f>'기준스탯 72종'!K20*H327</x:f>
        <x:v>0.24000000000000005</x:v>
      </x:c>
    </x:row>
    <x:row r="328" ht="28" customHeight="1">
      <x:c r="A328" s="2" t="n">
        <x:v>321</x:v>
      </x:c>
      <x:c r="B328" s="2" t="n">
        <x:v>13</x:v>
      </x:c>
      <x:c r="C328" s="2" t="str">
        <x:v>쌍둥이자리</x:v>
      </x:c>
      <x:c r="D328" s="2" t="str">
        <x:v>기사</x:v>
      </x:c>
      <x:c r="E328" s="2" t="n">
        <x:v>1</x:v>
      </x:c>
      <x:c r="F328" s="2" t="n">
        <x:v>5</x:v>
      </x:c>
      <x:c r="G328" s="14" t="n">
        <x:f>('레벨 계산식'!$E$4-E328)*'레벨 계산식'!$B$5</x:f>
        <x:v>0.5599999999999999</x:v>
      </x:c>
      <x:c r="H328" s="14" t="n">
        <x:f>('등급 계산식'!$E$4-F328)*'등급 계산식'!$B$5</x:f>
        <x:v>0</x:v>
      </x:c>
      <x:c r="I328" s="14" t="n">
        <x:f>1-G328-H328</x:f>
        <x:v>0.44000000000000006</x:v>
      </x:c>
      <x:c r="J328" s="2" t="n">
        <x:f>MAX(1,ROUND('기준스탯 72종'!D20-R328-Z328,0))</x:f>
        <x:v>3</x:v>
      </x:c>
      <x:c r="K328" s="2" t="n">
        <x:f>MAX(1,ROUND('기준스탯 72종'!E20-S328-AA328,0))</x:f>
        <x:v>3</x:v>
      </x:c>
      <x:c r="L328" s="2" t="n">
        <x:f>MAX(1,ROUND('기준스탯 72종'!F20-T328-AB328,0))</x:f>
        <x:v>4</x:v>
      </x:c>
      <x:c r="M328" s="2" t="n">
        <x:f>MAX(1,ROUND('기준스탯 72종'!G20-U328-AC328,0))</x:f>
        <x:v>4</x:v>
      </x:c>
      <x:c r="N328" s="2" t="n">
        <x:f>MAX(0,ROUND('기준스탯 72종'!H20-V328-AD328,0))</x:f>
        <x:v>1</x:v>
      </x:c>
      <x:c r="O328" s="2" t="n">
        <x:f>MAX(0,ROUND('기준스탯 72종'!I20-W328-AE328,0))</x:f>
        <x:v>1</x:v>
      </x:c>
      <x:c r="P328" s="2" t="n">
        <x:f>MAX(0,ROUND('기준스탯 72종'!J20-X328-AF328,0))</x:f>
        <x:v>3</x:v>
      </x:c>
      <x:c r="Q328" s="2" t="n">
        <x:f>MAX(0,ROUND('기준스탯 72종'!K20-Y328-AG328,0))</x:f>
        <x:v>2</x:v>
      </x:c>
      <x:c r="R328" s="15" t="n">
        <x:f>'기준스탯 72종'!D20*G328</x:f>
        <x:v>3.3599999999999994</x:v>
      </x:c>
      <x:c r="S328" s="15" t="n">
        <x:f>'기준스탯 72종'!E20*G328</x:f>
        <x:v>3.9199999999999995</x:v>
      </x:c>
      <x:c r="T328" s="15" t="n">
        <x:f>'기준스탯 72종'!F20*G328</x:f>
        <x:v>5.039999999999999</x:v>
      </x:c>
      <x:c r="U328" s="15" t="n">
        <x:f>'기준스탯 72종'!G20*G328</x:f>
        <x:v>4.4799999999999995</x:v>
      </x:c>
      <x:c r="V328" s="15" t="n">
        <x:f>'기준스탯 72종'!H20*G328</x:f>
        <x:v>1.6799999999999997</x:v>
      </x:c>
      <x:c r="W328" s="15" t="n">
        <x:f>'기준스탯 72종'!I20*G328</x:f>
        <x:v>1.6799999999999997</x:v>
      </x:c>
      <x:c r="X328" s="15" t="n">
        <x:f>'기준스탯 72종'!J20*G328</x:f>
        <x:v>3.3599999999999994</x:v>
      </x:c>
      <x:c r="Y328" s="15" t="n">
        <x:f>'기준스탯 72종'!K20*G328</x:f>
        <x:v>2.2399999999999998</x:v>
      </x:c>
      <x:c r="Z328" s="15" t="n">
        <x:f>'기준스탯 72종'!D20*H328</x:f>
        <x:v>0</x:v>
      </x:c>
      <x:c r="AA328" s="15" t="n">
        <x:f>'기준스탯 72종'!E20*H328</x:f>
        <x:v>0</x:v>
      </x:c>
      <x:c r="AB328" s="15" t="n">
        <x:f>'기준스탯 72종'!F20*H328</x:f>
        <x:v>0</x:v>
      </x:c>
      <x:c r="AC328" s="15" t="n">
        <x:f>'기준스탯 72종'!G20*H328</x:f>
        <x:v>0</x:v>
      </x:c>
      <x:c r="AD328" s="15" t="n">
        <x:f>'기준스탯 72종'!H20*H328</x:f>
        <x:v>0</x:v>
      </x:c>
      <x:c r="AE328" s="15" t="n">
        <x:f>'기준스탯 72종'!I20*H328</x:f>
        <x:v>0</x:v>
      </x:c>
      <x:c r="AF328" s="15" t="n">
        <x:f>'기준스탯 72종'!J20*H328</x:f>
        <x:v>0</x:v>
      </x:c>
      <x:c r="AG328" s="15" t="n">
        <x:f>'기준스탯 72종'!K20*H328</x:f>
        <x:v>0</x:v>
      </x:c>
    </x:row>
    <x:row r="329" ht="28" customHeight="1">
      <x:c r="A329" s="2" t="n">
        <x:v>322</x:v>
      </x:c>
      <x:c r="B329" s="2" t="n">
        <x:v>13</x:v>
      </x:c>
      <x:c r="C329" s="2" t="str">
        <x:v>쌍둥이자리</x:v>
      </x:c>
      <x:c r="D329" s="2" t="str">
        <x:v>기사</x:v>
      </x:c>
      <x:c r="E329" s="2" t="n">
        <x:v>2</x:v>
      </x:c>
      <x:c r="F329" s="2" t="n">
        <x:v>5</x:v>
      </x:c>
      <x:c r="G329" s="14" t="n">
        <x:f>('레벨 계산식'!$E$4-E329)*'레벨 계산식'!$B$5</x:f>
        <x:v>0.41999999999999993</x:v>
      </x:c>
      <x:c r="H329" s="14" t="n">
        <x:f>('등급 계산식'!$E$4-F329)*'등급 계산식'!$B$5</x:f>
        <x:v>0</x:v>
      </x:c>
      <x:c r="I329" s="14" t="n">
        <x:f>1-G329-H329</x:f>
        <x:v>0.5800000000000001</x:v>
      </x:c>
      <x:c r="J329" s="2" t="n">
        <x:f>MAX(1,ROUND('기준스탯 72종'!D20-R329-Z329,0))</x:f>
        <x:v>3</x:v>
      </x:c>
      <x:c r="K329" s="2" t="n">
        <x:f>MAX(1,ROUND('기준스탯 72종'!E20-S329-AA329,0))</x:f>
        <x:v>4</x:v>
      </x:c>
      <x:c r="L329" s="2" t="n">
        <x:f>MAX(1,ROUND('기준스탯 72종'!F20-T329-AB329,0))</x:f>
        <x:v>5</x:v>
      </x:c>
      <x:c r="M329" s="2" t="n">
        <x:f>MAX(1,ROUND('기준스탯 72종'!G20-U329-AC329,0))</x:f>
        <x:v>5</x:v>
      </x:c>
      <x:c r="N329" s="2" t="n">
        <x:f>MAX(0,ROUND('기준스탯 72종'!H20-V329-AD329,0))</x:f>
        <x:v>2</x:v>
      </x:c>
      <x:c r="O329" s="2" t="n">
        <x:f>MAX(0,ROUND('기준스탯 72종'!I20-W329-AE329,0))</x:f>
        <x:v>2</x:v>
      </x:c>
      <x:c r="P329" s="2" t="n">
        <x:f>MAX(0,ROUND('기준스탯 72종'!J20-X329-AF329,0))</x:f>
        <x:v>3</x:v>
      </x:c>
      <x:c r="Q329" s="2" t="n">
        <x:f>MAX(0,ROUND('기준스탯 72종'!K20-Y329-AG329,0))</x:f>
        <x:v>2</x:v>
      </x:c>
      <x:c r="R329" s="15" t="n">
        <x:f>'기준스탯 72종'!D20*G329</x:f>
        <x:v>2.5199999999999996</x:v>
      </x:c>
      <x:c r="S329" s="15" t="n">
        <x:f>'기준스탯 72종'!E20*G329</x:f>
        <x:v>2.9399999999999995</x:v>
      </x:c>
      <x:c r="T329" s="15" t="n">
        <x:f>'기준스탯 72종'!F20*G329</x:f>
        <x:v>3.7799999999999994</x:v>
      </x:c>
      <x:c r="U329" s="15" t="n">
        <x:f>'기준스탯 72종'!G20*G329</x:f>
        <x:v>3.3599999999999994</x:v>
      </x:c>
      <x:c r="V329" s="15" t="n">
        <x:f>'기준스탯 72종'!H20*G329</x:f>
        <x:v>1.2599999999999998</x:v>
      </x:c>
      <x:c r="W329" s="15" t="n">
        <x:f>'기준스탯 72종'!I20*G329</x:f>
        <x:v>1.2599999999999998</x:v>
      </x:c>
      <x:c r="X329" s="15" t="n">
        <x:f>'기준스탯 72종'!J20*G329</x:f>
        <x:v>2.5199999999999996</x:v>
      </x:c>
      <x:c r="Y329" s="15" t="n">
        <x:f>'기준스탯 72종'!K20*G329</x:f>
        <x:v>1.6799999999999997</x:v>
      </x:c>
      <x:c r="Z329" s="15" t="n">
        <x:f>'기준스탯 72종'!D20*H329</x:f>
        <x:v>0</x:v>
      </x:c>
      <x:c r="AA329" s="15" t="n">
        <x:f>'기준스탯 72종'!E20*H329</x:f>
        <x:v>0</x:v>
      </x:c>
      <x:c r="AB329" s="15" t="n">
        <x:f>'기준스탯 72종'!F20*H329</x:f>
        <x:v>0</x:v>
      </x:c>
      <x:c r="AC329" s="15" t="n">
        <x:f>'기준스탯 72종'!G20*H329</x:f>
        <x:v>0</x:v>
      </x:c>
      <x:c r="AD329" s="15" t="n">
        <x:f>'기준스탯 72종'!H20*H329</x:f>
        <x:v>0</x:v>
      </x:c>
      <x:c r="AE329" s="15" t="n">
        <x:f>'기준스탯 72종'!I20*H329</x:f>
        <x:v>0</x:v>
      </x:c>
      <x:c r="AF329" s="15" t="n">
        <x:f>'기준스탯 72종'!J20*H329</x:f>
        <x:v>0</x:v>
      </x:c>
      <x:c r="AG329" s="15" t="n">
        <x:f>'기준스탯 72종'!K20*H329</x:f>
        <x:v>0</x:v>
      </x:c>
    </x:row>
    <x:row r="330" ht="28" customHeight="1">
      <x:c r="A330" s="2" t="n">
        <x:v>323</x:v>
      </x:c>
      <x:c r="B330" s="2" t="n">
        <x:v>13</x:v>
      </x:c>
      <x:c r="C330" s="2" t="str">
        <x:v>쌍둥이자리</x:v>
      </x:c>
      <x:c r="D330" s="2" t="str">
        <x:v>기사</x:v>
      </x:c>
      <x:c r="E330" s="2" t="n">
        <x:v>3</x:v>
      </x:c>
      <x:c r="F330" s="2" t="n">
        <x:v>5</x:v>
      </x:c>
      <x:c r="G330" s="14" t="n">
        <x:f>('레벨 계산식'!$E$4-E330)*'레벨 계산식'!$B$5</x:f>
        <x:v>0.27999999999999997</x:v>
      </x:c>
      <x:c r="H330" s="14" t="n">
        <x:f>('등급 계산식'!$E$4-F330)*'등급 계산식'!$B$5</x:f>
        <x:v>0</x:v>
      </x:c>
      <x:c r="I330" s="14" t="n">
        <x:f>1-G330-H330</x:f>
        <x:v>0.72</x:v>
      </x:c>
      <x:c r="J330" s="2" t="n">
        <x:f>MAX(1,ROUND('기준스탯 72종'!D20-R330-Z330,0))</x:f>
        <x:v>4</x:v>
      </x:c>
      <x:c r="K330" s="2" t="n">
        <x:f>MAX(1,ROUND('기준스탯 72종'!E20-S330-AA330,0))</x:f>
        <x:v>5</x:v>
      </x:c>
      <x:c r="L330" s="2" t="n">
        <x:f>MAX(1,ROUND('기준스탯 72종'!F20-T330-AB330,0))</x:f>
        <x:v>6</x:v>
      </x:c>
      <x:c r="M330" s="2" t="n">
        <x:f>MAX(1,ROUND('기준스탯 72종'!G20-U330-AC330,0))</x:f>
        <x:v>6</x:v>
      </x:c>
      <x:c r="N330" s="2" t="n">
        <x:f>MAX(0,ROUND('기준스탯 72종'!H20-V330-AD330,0))</x:f>
        <x:v>2</x:v>
      </x:c>
      <x:c r="O330" s="2" t="n">
        <x:f>MAX(0,ROUND('기준스탯 72종'!I20-W330-AE330,0))</x:f>
        <x:v>2</x:v>
      </x:c>
      <x:c r="P330" s="2" t="n">
        <x:f>MAX(0,ROUND('기준스탯 72종'!J20-X330-AF330,0))</x:f>
        <x:v>4</x:v>
      </x:c>
      <x:c r="Q330" s="2" t="n">
        <x:f>MAX(0,ROUND('기준스탯 72종'!K20-Y330-AG330,0))</x:f>
        <x:v>3</x:v>
      </x:c>
      <x:c r="R330" s="15" t="n">
        <x:f>'기준스탯 72종'!D20*G330</x:f>
        <x:v>1.6799999999999997</x:v>
      </x:c>
      <x:c r="S330" s="15" t="n">
        <x:f>'기준스탯 72종'!E20*G330</x:f>
        <x:v>1.9599999999999997</x:v>
      </x:c>
      <x:c r="T330" s="15" t="n">
        <x:f>'기준스탯 72종'!F20*G330</x:f>
        <x:v>2.5199999999999996</x:v>
      </x:c>
      <x:c r="U330" s="15" t="n">
        <x:f>'기준스탯 72종'!G20*G330</x:f>
        <x:v>2.2399999999999998</x:v>
      </x:c>
      <x:c r="V330" s="15" t="n">
        <x:f>'기준스탯 72종'!H20*G330</x:f>
        <x:v>0.8399999999999999</x:v>
      </x:c>
      <x:c r="W330" s="15" t="n">
        <x:f>'기준스탯 72종'!I20*G330</x:f>
        <x:v>0.8399999999999999</x:v>
      </x:c>
      <x:c r="X330" s="15" t="n">
        <x:f>'기준스탯 72종'!J20*G330</x:f>
        <x:v>1.6799999999999997</x:v>
      </x:c>
      <x:c r="Y330" s="15" t="n">
        <x:f>'기준스탯 72종'!K20*G330</x:f>
        <x:v>1.1199999999999999</x:v>
      </x:c>
      <x:c r="Z330" s="15" t="n">
        <x:f>'기준스탯 72종'!D20*H330</x:f>
        <x:v>0</x:v>
      </x:c>
      <x:c r="AA330" s="15" t="n">
        <x:f>'기준스탯 72종'!E20*H330</x:f>
        <x:v>0</x:v>
      </x:c>
      <x:c r="AB330" s="15" t="n">
        <x:f>'기준스탯 72종'!F20*H330</x:f>
        <x:v>0</x:v>
      </x:c>
      <x:c r="AC330" s="15" t="n">
        <x:f>'기준스탯 72종'!G20*H330</x:f>
        <x:v>0</x:v>
      </x:c>
      <x:c r="AD330" s="15" t="n">
        <x:f>'기준스탯 72종'!H20*H330</x:f>
        <x:v>0</x:v>
      </x:c>
      <x:c r="AE330" s="15" t="n">
        <x:f>'기준스탯 72종'!I20*H330</x:f>
        <x:v>0</x:v>
      </x:c>
      <x:c r="AF330" s="15" t="n">
        <x:f>'기준스탯 72종'!J20*H330</x:f>
        <x:v>0</x:v>
      </x:c>
      <x:c r="AG330" s="15" t="n">
        <x:f>'기준스탯 72종'!K20*H330</x:f>
        <x:v>0</x:v>
      </x:c>
    </x:row>
    <x:row r="331" ht="28" customHeight="1">
      <x:c r="A331" s="2" t="n">
        <x:v>324</x:v>
      </x:c>
      <x:c r="B331" s="2" t="n">
        <x:v>13</x:v>
      </x:c>
      <x:c r="C331" s="2" t="str">
        <x:v>쌍둥이자리</x:v>
      </x:c>
      <x:c r="D331" s="2" t="str">
        <x:v>기사</x:v>
      </x:c>
      <x:c r="E331" s="2" t="n">
        <x:v>4</x:v>
      </x:c>
      <x:c r="F331" s="2" t="n">
        <x:v>5</x:v>
      </x:c>
      <x:c r="G331" s="14" t="n">
        <x:f>('레벨 계산식'!$E$4-E331)*'레벨 계산식'!$B$5</x:f>
        <x:v>0.13999999999999999</x:v>
      </x:c>
      <x:c r="H331" s="14" t="n">
        <x:f>('등급 계산식'!$E$4-F331)*'등급 계산식'!$B$5</x:f>
        <x:v>0</x:v>
      </x:c>
      <x:c r="I331" s="14" t="n">
        <x:f>1-G331-H331</x:f>
        <x:v>0.86</x:v>
      </x:c>
      <x:c r="J331" s="2" t="n">
        <x:f>MAX(1,ROUND('기준스탯 72종'!D20-R331-Z331,0))</x:f>
        <x:v>5</x:v>
      </x:c>
      <x:c r="K331" s="2" t="n">
        <x:f>MAX(1,ROUND('기준스탯 72종'!E20-S331-AA331,0))</x:f>
        <x:v>6</x:v>
      </x:c>
      <x:c r="L331" s="2" t="n">
        <x:f>MAX(1,ROUND('기준스탯 72종'!F20-T331-AB331,0))</x:f>
        <x:v>8</x:v>
      </x:c>
      <x:c r="M331" s="2" t="n">
        <x:f>MAX(1,ROUND('기준스탯 72종'!G20-U331-AC331,0))</x:f>
        <x:v>7</x:v>
      </x:c>
      <x:c r="N331" s="2" t="n">
        <x:f>MAX(0,ROUND('기준스탯 72종'!H20-V331-AD331,0))</x:f>
        <x:v>3</x:v>
      </x:c>
      <x:c r="O331" s="2" t="n">
        <x:f>MAX(0,ROUND('기준스탯 72종'!I20-W331-AE331,0))</x:f>
        <x:v>3</x:v>
      </x:c>
      <x:c r="P331" s="2" t="n">
        <x:f>MAX(0,ROUND('기준스탯 72종'!J20-X331-AF331,0))</x:f>
        <x:v>5</x:v>
      </x:c>
      <x:c r="Q331" s="2" t="n">
        <x:f>MAX(0,ROUND('기준스탯 72종'!K20-Y331-AG331,0))</x:f>
        <x:v>3</x:v>
      </x:c>
      <x:c r="R331" s="15" t="n">
        <x:f>'기준스탯 72종'!D20*G331</x:f>
        <x:v>0.8399999999999999</x:v>
      </x:c>
      <x:c r="S331" s="15" t="n">
        <x:f>'기준스탯 72종'!E20*G331</x:f>
        <x:v>0.9799999999999999</x:v>
      </x:c>
      <x:c r="T331" s="15" t="n">
        <x:f>'기준스탯 72종'!F20*G331</x:f>
        <x:v>1.2599999999999998</x:v>
      </x:c>
      <x:c r="U331" s="15" t="n">
        <x:f>'기준스탯 72종'!G20*G331</x:f>
        <x:v>1.1199999999999999</x:v>
      </x:c>
      <x:c r="V331" s="15" t="n">
        <x:f>'기준스탯 72종'!H20*G331</x:f>
        <x:v>0.41999999999999993</x:v>
      </x:c>
      <x:c r="W331" s="15" t="n">
        <x:f>'기준스탯 72종'!I20*G331</x:f>
        <x:v>0.41999999999999993</x:v>
      </x:c>
      <x:c r="X331" s="15" t="n">
        <x:f>'기준스탯 72종'!J20*G331</x:f>
        <x:v>0.8399999999999999</x:v>
      </x:c>
      <x:c r="Y331" s="15" t="n">
        <x:f>'기준스탯 72종'!K20*G331</x:f>
        <x:v>0.5599999999999999</x:v>
      </x:c>
      <x:c r="Z331" s="15" t="n">
        <x:f>'기준스탯 72종'!D20*H331</x:f>
        <x:v>0</x:v>
      </x:c>
      <x:c r="AA331" s="15" t="n">
        <x:f>'기준스탯 72종'!E20*H331</x:f>
        <x:v>0</x:v>
      </x:c>
      <x:c r="AB331" s="15" t="n">
        <x:f>'기준스탯 72종'!F20*H331</x:f>
        <x:v>0</x:v>
      </x:c>
      <x:c r="AC331" s="15" t="n">
        <x:f>'기준스탯 72종'!G20*H331</x:f>
        <x:v>0</x:v>
      </x:c>
      <x:c r="AD331" s="15" t="n">
        <x:f>'기준스탯 72종'!H20*H331</x:f>
        <x:v>0</x:v>
      </x:c>
      <x:c r="AE331" s="15" t="n">
        <x:f>'기준스탯 72종'!I20*H331</x:f>
        <x:v>0</x:v>
      </x:c>
      <x:c r="AF331" s="15" t="n">
        <x:f>'기준스탯 72종'!J20*H331</x:f>
        <x:v>0</x:v>
      </x:c>
      <x:c r="AG331" s="15" t="n">
        <x:f>'기준스탯 72종'!K20*H331</x:f>
        <x:v>0</x:v>
      </x:c>
    </x:row>
    <x:row r="332" ht="28" customHeight="1">
      <x:c r="A332" s="2" t="n">
        <x:v>325</x:v>
      </x:c>
      <x:c r="B332" s="2" t="n">
        <x:v>13</x:v>
      </x:c>
      <x:c r="C332" s="2" t="str">
        <x:v>쌍둥이자리</x:v>
      </x:c>
      <x:c r="D332" s="2" t="str">
        <x:v>기사</x:v>
      </x:c>
      <x:c r="E332" s="2" t="n">
        <x:v>5</x:v>
      </x:c>
      <x:c r="F332" s="2" t="n">
        <x:v>5</x:v>
      </x:c>
      <x:c r="G332" s="14" t="n">
        <x:f>('레벨 계산식'!$E$4-E332)*'레벨 계산식'!$B$5</x:f>
        <x:v>0</x:v>
      </x:c>
      <x:c r="H332" s="14" t="n">
        <x:f>('등급 계산식'!$E$4-F332)*'등급 계산식'!$B$5</x:f>
        <x:v>0</x:v>
      </x:c>
      <x:c r="I332" s="14" t="n">
        <x:f>1-G332-H332</x:f>
        <x:v>1</x:v>
      </x:c>
      <x:c r="J332" s="2" t="n">
        <x:f>MAX(1,ROUND('기준스탯 72종'!D20-R332-Z332,0))</x:f>
        <x:v>6</x:v>
      </x:c>
      <x:c r="K332" s="2" t="n">
        <x:f>MAX(1,ROUND('기준스탯 72종'!E20-S332-AA332,0))</x:f>
        <x:v>7</x:v>
      </x:c>
      <x:c r="L332" s="2" t="n">
        <x:f>MAX(1,ROUND('기준스탯 72종'!F20-T332-AB332,0))</x:f>
        <x:v>9</x:v>
      </x:c>
      <x:c r="M332" s="2" t="n">
        <x:f>MAX(1,ROUND('기준스탯 72종'!G20-U332-AC332,0))</x:f>
        <x:v>8</x:v>
      </x:c>
      <x:c r="N332" s="2" t="n">
        <x:f>MAX(0,ROUND('기준스탯 72종'!H20-V332-AD332,0))</x:f>
        <x:v>3</x:v>
      </x:c>
      <x:c r="O332" s="2" t="n">
        <x:f>MAX(0,ROUND('기준스탯 72종'!I20-W332-AE332,0))</x:f>
        <x:v>3</x:v>
      </x:c>
      <x:c r="P332" s="2" t="n">
        <x:f>MAX(0,ROUND('기준스탯 72종'!J20-X332-AF332,0))</x:f>
        <x:v>6</x:v>
      </x:c>
      <x:c r="Q332" s="2" t="n">
        <x:f>MAX(0,ROUND('기준스탯 72종'!K20-Y332-AG332,0))</x:f>
        <x:v>4</x:v>
      </x:c>
      <x:c r="R332" s="15" t="n">
        <x:f>'기준스탯 72종'!D20*G332</x:f>
        <x:v>0</x:v>
      </x:c>
      <x:c r="S332" s="15" t="n">
        <x:f>'기준스탯 72종'!E20*G332</x:f>
        <x:v>0</x:v>
      </x:c>
      <x:c r="T332" s="15" t="n">
        <x:f>'기준스탯 72종'!F20*G332</x:f>
        <x:v>0</x:v>
      </x:c>
      <x:c r="U332" s="15" t="n">
        <x:f>'기준스탯 72종'!G20*G332</x:f>
        <x:v>0</x:v>
      </x:c>
      <x:c r="V332" s="15" t="n">
        <x:f>'기준스탯 72종'!H20*G332</x:f>
        <x:v>0</x:v>
      </x:c>
      <x:c r="W332" s="15" t="n">
        <x:f>'기준스탯 72종'!I20*G332</x:f>
        <x:v>0</x:v>
      </x:c>
      <x:c r="X332" s="15" t="n">
        <x:f>'기준스탯 72종'!J20*G332</x:f>
        <x:v>0</x:v>
      </x:c>
      <x:c r="Y332" s="15" t="n">
        <x:f>'기준스탯 72종'!K20*G332</x:f>
        <x:v>0</x:v>
      </x:c>
      <x:c r="Z332" s="15" t="n">
        <x:f>'기준스탯 72종'!D20*H332</x:f>
        <x:v>0</x:v>
      </x:c>
      <x:c r="AA332" s="15" t="n">
        <x:f>'기준스탯 72종'!E20*H332</x:f>
        <x:v>0</x:v>
      </x:c>
      <x:c r="AB332" s="15" t="n">
        <x:f>'기준스탯 72종'!F20*H332</x:f>
        <x:v>0</x:v>
      </x:c>
      <x:c r="AC332" s="15" t="n">
        <x:f>'기준스탯 72종'!G20*H332</x:f>
        <x:v>0</x:v>
      </x:c>
      <x:c r="AD332" s="15" t="n">
        <x:f>'기준스탯 72종'!H20*H332</x:f>
        <x:v>0</x:v>
      </x:c>
      <x:c r="AE332" s="15" t="n">
        <x:f>'기준스탯 72종'!I20*H332</x:f>
        <x:v>0</x:v>
      </x:c>
      <x:c r="AF332" s="15" t="n">
        <x:f>'기준스탯 72종'!J20*H332</x:f>
        <x:v>0</x:v>
      </x:c>
      <x:c r="AG332" s="15" t="n">
        <x:f>'기준스탯 72종'!K20*H332</x:f>
        <x:v>0</x:v>
      </x:c>
    </x:row>
    <x:row r="333" ht="28" customHeight="1">
      <x:c r="A333" s="2" t="n">
        <x:v>326</x:v>
      </x:c>
      <x:c r="B333" s="2" t="n">
        <x:v>14</x:v>
      </x:c>
      <x:c r="C333" s="2" t="str">
        <x:v>쌍둥이자리</x:v>
      </x:c>
      <x:c r="D333" s="2" t="str">
        <x:v>마도사</x:v>
      </x:c>
      <x:c r="E333" s="2" t="n">
        <x:v>1</x:v>
      </x:c>
      <x:c r="F333" s="2" t="n">
        <x:v>1</x:v>
      </x:c>
      <x:c r="G333" s="14" t="n">
        <x:f>('레벨 계산식'!$E$4-E333)*'레벨 계산식'!$B$5</x:f>
        <x:v>0.5599999999999999</x:v>
      </x:c>
      <x:c r="H333" s="14" t="n">
        <x:f>('등급 계산식'!$E$4-F333)*'등급 계산식'!$B$5</x:f>
        <x:v>0.24000000000000005</x:v>
      </x:c>
      <x:c r="I333" s="14" t="n">
        <x:f>1-G333-H333</x:f>
        <x:v>0.2</x:v>
      </x:c>
      <x:c r="J333" s="2" t="n">
        <x:f>MAX(1,ROUND('기준스탯 72종'!D21-R333-Z333,0))</x:f>
        <x:v>2</x:v>
      </x:c>
      <x:c r="K333" s="2" t="n">
        <x:f>MAX(1,ROUND('기준스탯 72종'!E21-S333-AA333,0))</x:f>
        <x:v>1</x:v>
      </x:c>
      <x:c r="L333" s="2" t="n">
        <x:f>MAX(1,ROUND('기준스탯 72종'!F21-T333-AB333,0))</x:f>
        <x:v>1</x:v>
      </x:c>
      <x:c r="M333" s="2" t="n">
        <x:f>MAX(1,ROUND('기준스탯 72종'!G21-U333-AC333,0))</x:f>
        <x:v>2</x:v>
      </x:c>
      <x:c r="N333" s="2" t="n">
        <x:f>MAX(0,ROUND('기준스탯 72종'!H21-V333-AD333,0))</x:f>
        <x:v>1</x:v>
      </x:c>
      <x:c r="O333" s="2" t="n">
        <x:f>MAX(0,ROUND('기준스탯 72종'!I21-W333-AE333,0))</x:f>
        <x:v>1</x:v>
      </x:c>
      <x:c r="P333" s="2" t="n">
        <x:f>MAX(0,ROUND('기준스탯 72종'!J21-X333-AF333,0))</x:f>
        <x:v>1</x:v>
      </x:c>
      <x:c r="Q333" s="2" t="n">
        <x:f>MAX(0,ROUND('기준스탯 72종'!K21-Y333-AG333,0))</x:f>
        <x:v>0</x:v>
      </x:c>
      <x:c r="R333" s="15" t="n">
        <x:f>'기준스탯 72종'!D21*G333</x:f>
        <x:v>4.4799999999999995</x:v>
      </x:c>
      <x:c r="S333" s="15" t="n">
        <x:f>'기준스탯 72종'!E21*G333</x:f>
        <x:v>2.8</x:v>
      </x:c>
      <x:c r="T333" s="15" t="n">
        <x:f>'기준스탯 72종'!F21*G333</x:f>
        <x:v>3.9199999999999995</x:v>
      </x:c>
      <x:c r="U333" s="15" t="n">
        <x:f>'기준스탯 72종'!G21*G333</x:f>
        <x:v>5.039999999999999</x:v>
      </x:c>
      <x:c r="V333" s="15" t="n">
        <x:f>'기준스탯 72종'!H21*G333</x:f>
        <x:v>2.2399999999999998</x:v>
      </x:c>
      <x:c r="W333" s="15" t="n">
        <x:f>'기준스탯 72종'!I21*G333</x:f>
        <x:v>2.8</x:v>
      </x:c>
      <x:c r="X333" s="15" t="n">
        <x:f>'기준스탯 72종'!J21*G333</x:f>
        <x:v>3.3599999999999994</x:v>
      </x:c>
      <x:c r="Y333" s="15" t="n">
        <x:f>'기준스탯 72종'!K21*G333</x:f>
        <x:v>0.5599999999999999</x:v>
      </x:c>
      <x:c r="Z333" s="15" t="n">
        <x:f>'기준스탯 72종'!D21*H333</x:f>
        <x:v>1.9200000000000004</x:v>
      </x:c>
      <x:c r="AA333" s="15" t="n">
        <x:f>'기준스탯 72종'!E21*H333</x:f>
        <x:v>1.2000000000000002</x:v>
      </x:c>
      <x:c r="AB333" s="15" t="n">
        <x:f>'기준스탯 72종'!F21*H333</x:f>
        <x:v>1.6800000000000004</x:v>
      </x:c>
      <x:c r="AC333" s="15" t="n">
        <x:f>'기준스탯 72종'!G21*H333</x:f>
        <x:v>2.1600000000000006</x:v>
      </x:c>
      <x:c r="AD333" s="15" t="n">
        <x:f>'기준스탯 72종'!H21*H333</x:f>
        <x:v>0.9600000000000002</x:v>
      </x:c>
      <x:c r="AE333" s="15" t="n">
        <x:f>'기준스탯 72종'!I21*H333</x:f>
        <x:v>1.2000000000000002</x:v>
      </x:c>
      <x:c r="AF333" s="15" t="n">
        <x:f>'기준스탯 72종'!J21*H333</x:f>
        <x:v>1.4400000000000004</x:v>
      </x:c>
      <x:c r="AG333" s="15" t="n">
        <x:f>'기준스탯 72종'!K21*H333</x:f>
        <x:v>0.24000000000000005</x:v>
      </x:c>
    </x:row>
    <x:row r="334" ht="28" customHeight="1">
      <x:c r="A334" s="2" t="n">
        <x:v>327</x:v>
      </x:c>
      <x:c r="B334" s="2" t="n">
        <x:v>14</x:v>
      </x:c>
      <x:c r="C334" s="2" t="str">
        <x:v>쌍둥이자리</x:v>
      </x:c>
      <x:c r="D334" s="2" t="str">
        <x:v>마도사</x:v>
      </x:c>
      <x:c r="E334" s="2" t="n">
        <x:v>2</x:v>
      </x:c>
      <x:c r="F334" s="2" t="n">
        <x:v>1</x:v>
      </x:c>
      <x:c r="G334" s="14" t="n">
        <x:f>('레벨 계산식'!$E$4-E334)*'레벨 계산식'!$B$5</x:f>
        <x:v>0.41999999999999993</x:v>
      </x:c>
      <x:c r="H334" s="14" t="n">
        <x:f>('등급 계산식'!$E$4-F334)*'등급 계산식'!$B$5</x:f>
        <x:v>0.24000000000000005</x:v>
      </x:c>
      <x:c r="I334" s="14" t="n">
        <x:f>1-G334-H334</x:f>
        <x:v>0.34</x:v>
      </x:c>
      <x:c r="J334" s="2" t="n">
        <x:f>MAX(1,ROUND('기준스탯 72종'!D21-R334-Z334,0))</x:f>
        <x:v>3</x:v>
      </x:c>
      <x:c r="K334" s="2" t="n">
        <x:f>MAX(1,ROUND('기준스탯 72종'!E21-S334-AA334,0))</x:f>
        <x:v>2</x:v>
      </x:c>
      <x:c r="L334" s="2" t="n">
        <x:f>MAX(1,ROUND('기준스탯 72종'!F21-T334-AB334,0))</x:f>
        <x:v>2</x:v>
      </x:c>
      <x:c r="M334" s="2" t="n">
        <x:f>MAX(1,ROUND('기준스탯 72종'!G21-U334-AC334,0))</x:f>
        <x:v>3</x:v>
      </x:c>
      <x:c r="N334" s="2" t="n">
        <x:f>MAX(0,ROUND('기준스탯 72종'!H21-V334-AD334,0))</x:f>
        <x:v>1</x:v>
      </x:c>
      <x:c r="O334" s="2" t="n">
        <x:f>MAX(0,ROUND('기준스탯 72종'!I21-W334-AE334,0))</x:f>
        <x:v>2</x:v>
      </x:c>
      <x:c r="P334" s="2" t="n">
        <x:f>MAX(0,ROUND('기준스탯 72종'!J21-X334-AF334,0))</x:f>
        <x:v>2</x:v>
      </x:c>
      <x:c r="Q334" s="2" t="n">
        <x:f>MAX(0,ROUND('기준스탯 72종'!K21-Y334-AG334,0))</x:f>
        <x:v>0</x:v>
      </x:c>
      <x:c r="R334" s="15" t="n">
        <x:f>'기준스탯 72종'!D21*G334</x:f>
        <x:v>3.3599999999999994</x:v>
      </x:c>
      <x:c r="S334" s="15" t="n">
        <x:f>'기준스탯 72종'!E21*G334</x:f>
        <x:v>2.0999999999999996</x:v>
      </x:c>
      <x:c r="T334" s="15" t="n">
        <x:f>'기준스탯 72종'!F21*G334</x:f>
        <x:v>2.9399999999999995</x:v>
      </x:c>
      <x:c r="U334" s="15" t="n">
        <x:f>'기준스탯 72종'!G21*G334</x:f>
        <x:v>3.7799999999999994</x:v>
      </x:c>
      <x:c r="V334" s="15" t="n">
        <x:f>'기준스탯 72종'!H21*G334</x:f>
        <x:v>1.6799999999999997</x:v>
      </x:c>
      <x:c r="W334" s="15" t="n">
        <x:f>'기준스탯 72종'!I21*G334</x:f>
        <x:v>2.0999999999999996</x:v>
      </x:c>
      <x:c r="X334" s="15" t="n">
        <x:f>'기준스탯 72종'!J21*G334</x:f>
        <x:v>2.5199999999999996</x:v>
      </x:c>
      <x:c r="Y334" s="15" t="n">
        <x:f>'기준스탯 72종'!K21*G334</x:f>
        <x:v>0.41999999999999993</x:v>
      </x:c>
      <x:c r="Z334" s="15" t="n">
        <x:f>'기준스탯 72종'!D21*H334</x:f>
        <x:v>1.9200000000000004</x:v>
      </x:c>
      <x:c r="AA334" s="15" t="n">
        <x:f>'기준스탯 72종'!E21*H334</x:f>
        <x:v>1.2000000000000002</x:v>
      </x:c>
      <x:c r="AB334" s="15" t="n">
        <x:f>'기준스탯 72종'!F21*H334</x:f>
        <x:v>1.6800000000000004</x:v>
      </x:c>
      <x:c r="AC334" s="15" t="n">
        <x:f>'기준스탯 72종'!G21*H334</x:f>
        <x:v>2.1600000000000006</x:v>
      </x:c>
      <x:c r="AD334" s="15" t="n">
        <x:f>'기준스탯 72종'!H21*H334</x:f>
        <x:v>0.9600000000000002</x:v>
      </x:c>
      <x:c r="AE334" s="15" t="n">
        <x:f>'기준스탯 72종'!I21*H334</x:f>
        <x:v>1.2000000000000002</x:v>
      </x:c>
      <x:c r="AF334" s="15" t="n">
        <x:f>'기준스탯 72종'!J21*H334</x:f>
        <x:v>1.4400000000000004</x:v>
      </x:c>
      <x:c r="AG334" s="15" t="n">
        <x:f>'기준스탯 72종'!K21*H334</x:f>
        <x:v>0.24000000000000005</x:v>
      </x:c>
    </x:row>
    <x:row r="335" ht="28" customHeight="1">
      <x:c r="A335" s="2" t="n">
        <x:v>328</x:v>
      </x:c>
      <x:c r="B335" s="2" t="n">
        <x:v>14</x:v>
      </x:c>
      <x:c r="C335" s="2" t="str">
        <x:v>쌍둥이자리</x:v>
      </x:c>
      <x:c r="D335" s="2" t="str">
        <x:v>마도사</x:v>
      </x:c>
      <x:c r="E335" s="2" t="n">
        <x:v>3</x:v>
      </x:c>
      <x:c r="F335" s="2" t="n">
        <x:v>1</x:v>
      </x:c>
      <x:c r="G335" s="14" t="n">
        <x:f>('레벨 계산식'!$E$4-E335)*'레벨 계산식'!$B$5</x:f>
        <x:v>0.27999999999999997</x:v>
      </x:c>
      <x:c r="H335" s="14" t="n">
        <x:f>('등급 계산식'!$E$4-F335)*'등급 계산식'!$B$5</x:f>
        <x:v>0.24000000000000005</x:v>
      </x:c>
      <x:c r="I335" s="14" t="n">
        <x:f>1-G335-H335</x:f>
        <x:v>0.4799999999999999</x:v>
      </x:c>
      <x:c r="J335" s="2" t="n">
        <x:f>MAX(1,ROUND('기준스탯 72종'!D21-R335-Z335,0))</x:f>
        <x:v>4</x:v>
      </x:c>
      <x:c r="K335" s="2" t="n">
        <x:f>MAX(1,ROUND('기준스탯 72종'!E21-S335-AA335,0))</x:f>
        <x:v>2</x:v>
      </x:c>
      <x:c r="L335" s="2" t="n">
        <x:f>MAX(1,ROUND('기준스탯 72종'!F21-T335-AB335,0))</x:f>
        <x:v>3</x:v>
      </x:c>
      <x:c r="M335" s="2" t="n">
        <x:f>MAX(1,ROUND('기준스탯 72종'!G21-U335-AC335,0))</x:f>
        <x:v>4</x:v>
      </x:c>
      <x:c r="N335" s="2" t="n">
        <x:f>MAX(0,ROUND('기준스탯 72종'!H21-V335-AD335,0))</x:f>
        <x:v>2</x:v>
      </x:c>
      <x:c r="O335" s="2" t="n">
        <x:f>MAX(0,ROUND('기준스탯 72종'!I21-W335-AE335,0))</x:f>
        <x:v>2</x:v>
      </x:c>
      <x:c r="P335" s="2" t="n">
        <x:f>MAX(0,ROUND('기준스탯 72종'!J21-X335-AF335,0))</x:f>
        <x:v>3</x:v>
      </x:c>
      <x:c r="Q335" s="2" t="n">
        <x:f>MAX(0,ROUND('기준스탯 72종'!K21-Y335-AG335,0))</x:f>
        <x:v>0</x:v>
      </x:c>
      <x:c r="R335" s="15" t="n">
        <x:f>'기준스탯 72종'!D21*G335</x:f>
        <x:v>2.2399999999999998</x:v>
      </x:c>
      <x:c r="S335" s="15" t="n">
        <x:f>'기준스탯 72종'!E21*G335</x:f>
        <x:v>1.4</x:v>
      </x:c>
      <x:c r="T335" s="15" t="n">
        <x:f>'기준스탯 72종'!F21*G335</x:f>
        <x:v>1.9599999999999997</x:v>
      </x:c>
      <x:c r="U335" s="15" t="n">
        <x:f>'기준스탯 72종'!G21*G335</x:f>
        <x:v>2.5199999999999996</x:v>
      </x:c>
      <x:c r="V335" s="15" t="n">
        <x:f>'기준스탯 72종'!H21*G335</x:f>
        <x:v>1.1199999999999999</x:v>
      </x:c>
      <x:c r="W335" s="15" t="n">
        <x:f>'기준스탯 72종'!I21*G335</x:f>
        <x:v>1.4</x:v>
      </x:c>
      <x:c r="X335" s="15" t="n">
        <x:f>'기준스탯 72종'!J21*G335</x:f>
        <x:v>1.6799999999999997</x:v>
      </x:c>
      <x:c r="Y335" s="15" t="n">
        <x:f>'기준스탯 72종'!K21*G335</x:f>
        <x:v>0.27999999999999997</x:v>
      </x:c>
      <x:c r="Z335" s="15" t="n">
        <x:f>'기준스탯 72종'!D21*H335</x:f>
        <x:v>1.9200000000000004</x:v>
      </x:c>
      <x:c r="AA335" s="15" t="n">
        <x:f>'기준스탯 72종'!E21*H335</x:f>
        <x:v>1.2000000000000002</x:v>
      </x:c>
      <x:c r="AB335" s="15" t="n">
        <x:f>'기준스탯 72종'!F21*H335</x:f>
        <x:v>1.6800000000000004</x:v>
      </x:c>
      <x:c r="AC335" s="15" t="n">
        <x:f>'기준스탯 72종'!G21*H335</x:f>
        <x:v>2.1600000000000006</x:v>
      </x:c>
      <x:c r="AD335" s="15" t="n">
        <x:f>'기준스탯 72종'!H21*H335</x:f>
        <x:v>0.9600000000000002</x:v>
      </x:c>
      <x:c r="AE335" s="15" t="n">
        <x:f>'기준스탯 72종'!I21*H335</x:f>
        <x:v>1.2000000000000002</x:v>
      </x:c>
      <x:c r="AF335" s="15" t="n">
        <x:f>'기준스탯 72종'!J21*H335</x:f>
        <x:v>1.4400000000000004</x:v>
      </x:c>
      <x:c r="AG335" s="15" t="n">
        <x:f>'기준스탯 72종'!K21*H335</x:f>
        <x:v>0.24000000000000005</x:v>
      </x:c>
    </x:row>
    <x:row r="336" ht="28" customHeight="1">
      <x:c r="A336" s="2" t="n">
        <x:v>329</x:v>
      </x:c>
      <x:c r="B336" s="2" t="n">
        <x:v>14</x:v>
      </x:c>
      <x:c r="C336" s="2" t="str">
        <x:v>쌍둥이자리</x:v>
      </x:c>
      <x:c r="D336" s="2" t="str">
        <x:v>마도사</x:v>
      </x:c>
      <x:c r="E336" s="2" t="n">
        <x:v>4</x:v>
      </x:c>
      <x:c r="F336" s="2" t="n">
        <x:v>1</x:v>
      </x:c>
      <x:c r="G336" s="14" t="n">
        <x:f>('레벨 계산식'!$E$4-E336)*'레벨 계산식'!$B$5</x:f>
        <x:v>0.13999999999999999</x:v>
      </x:c>
      <x:c r="H336" s="14" t="n">
        <x:f>('등급 계산식'!$E$4-F336)*'등급 계산식'!$B$5</x:f>
        <x:v>0.24000000000000005</x:v>
      </x:c>
      <x:c r="I336" s="14" t="n">
        <x:f>1-G336-H336</x:f>
        <x:v>0.6199999999999999</x:v>
      </x:c>
      <x:c r="J336" s="2" t="n">
        <x:f>MAX(1,ROUND('기준스탯 72종'!D21-R336-Z336,0))</x:f>
        <x:v>5</x:v>
      </x:c>
      <x:c r="K336" s="2" t="n">
        <x:f>MAX(1,ROUND('기준스탯 72종'!E21-S336-AA336,0))</x:f>
        <x:v>3</x:v>
      </x:c>
      <x:c r="L336" s="2" t="n">
        <x:f>MAX(1,ROUND('기준스탯 72종'!F21-T336-AB336,0))</x:f>
        <x:v>4</x:v>
      </x:c>
      <x:c r="M336" s="2" t="n">
        <x:f>MAX(1,ROUND('기준스탯 72종'!G21-U336-AC336,0))</x:f>
        <x:v>6</x:v>
      </x:c>
      <x:c r="N336" s="2" t="n">
        <x:f>MAX(0,ROUND('기준스탯 72종'!H21-V336-AD336,0))</x:f>
        <x:v>2</x:v>
      </x:c>
      <x:c r="O336" s="2" t="n">
        <x:f>MAX(0,ROUND('기준스탯 72종'!I21-W336-AE336,0))</x:f>
        <x:v>3</x:v>
      </x:c>
      <x:c r="P336" s="2" t="n">
        <x:f>MAX(0,ROUND('기준스탯 72종'!J21-X336-AF336,0))</x:f>
        <x:v>4</x:v>
      </x:c>
      <x:c r="Q336" s="2" t="n">
        <x:f>MAX(0,ROUND('기준스탯 72종'!K21-Y336-AG336,0))</x:f>
        <x:v>1</x:v>
      </x:c>
      <x:c r="R336" s="15" t="n">
        <x:f>'기준스탯 72종'!D21*G336</x:f>
        <x:v>1.1199999999999999</x:v>
      </x:c>
      <x:c r="S336" s="15" t="n">
        <x:f>'기준스탯 72종'!E21*G336</x:f>
        <x:v>0.7</x:v>
      </x:c>
      <x:c r="T336" s="15" t="n">
        <x:f>'기준스탯 72종'!F21*G336</x:f>
        <x:v>0.9799999999999999</x:v>
      </x:c>
      <x:c r="U336" s="15" t="n">
        <x:f>'기준스탯 72종'!G21*G336</x:f>
        <x:v>1.2599999999999998</x:v>
      </x:c>
      <x:c r="V336" s="15" t="n">
        <x:f>'기준스탯 72종'!H21*G336</x:f>
        <x:v>0.5599999999999999</x:v>
      </x:c>
      <x:c r="W336" s="15" t="n">
        <x:f>'기준스탯 72종'!I21*G336</x:f>
        <x:v>0.7</x:v>
      </x:c>
      <x:c r="X336" s="15" t="n">
        <x:f>'기준스탯 72종'!J21*G336</x:f>
        <x:v>0.8399999999999999</x:v>
      </x:c>
      <x:c r="Y336" s="15" t="n">
        <x:f>'기준스탯 72종'!K21*G336</x:f>
        <x:v>0.13999999999999999</x:v>
      </x:c>
      <x:c r="Z336" s="15" t="n">
        <x:f>'기준스탯 72종'!D21*H336</x:f>
        <x:v>1.9200000000000004</x:v>
      </x:c>
      <x:c r="AA336" s="15" t="n">
        <x:f>'기준스탯 72종'!E21*H336</x:f>
        <x:v>1.2000000000000002</x:v>
      </x:c>
      <x:c r="AB336" s="15" t="n">
        <x:f>'기준스탯 72종'!F21*H336</x:f>
        <x:v>1.6800000000000004</x:v>
      </x:c>
      <x:c r="AC336" s="15" t="n">
        <x:f>'기준스탯 72종'!G21*H336</x:f>
        <x:v>2.1600000000000006</x:v>
      </x:c>
      <x:c r="AD336" s="15" t="n">
        <x:f>'기준스탯 72종'!H21*H336</x:f>
        <x:v>0.9600000000000002</x:v>
      </x:c>
      <x:c r="AE336" s="15" t="n">
        <x:f>'기준스탯 72종'!I21*H336</x:f>
        <x:v>1.2000000000000002</x:v>
      </x:c>
      <x:c r="AF336" s="15" t="n">
        <x:f>'기준스탯 72종'!J21*H336</x:f>
        <x:v>1.4400000000000004</x:v>
      </x:c>
      <x:c r="AG336" s="15" t="n">
        <x:f>'기준스탯 72종'!K21*H336</x:f>
        <x:v>0.24000000000000005</x:v>
      </x:c>
    </x:row>
    <x:row r="337" ht="28" customHeight="1">
      <x:c r="A337" s="2" t="n">
        <x:v>330</x:v>
      </x:c>
      <x:c r="B337" s="2" t="n">
        <x:v>14</x:v>
      </x:c>
      <x:c r="C337" s="2" t="str">
        <x:v>쌍둥이자리</x:v>
      </x:c>
      <x:c r="D337" s="2" t="str">
        <x:v>마도사</x:v>
      </x:c>
      <x:c r="E337" s="2" t="n">
        <x:v>5</x:v>
      </x:c>
      <x:c r="F337" s="2" t="n">
        <x:v>1</x:v>
      </x:c>
      <x:c r="G337" s="14" t="n">
        <x:f>('레벨 계산식'!$E$4-E337)*'레벨 계산식'!$B$5</x:f>
        <x:v>0</x:v>
      </x:c>
      <x:c r="H337" s="14" t="n">
        <x:f>('등급 계산식'!$E$4-F337)*'등급 계산식'!$B$5</x:f>
        <x:v>0.24000000000000005</x:v>
      </x:c>
      <x:c r="I337" s="14" t="n">
        <x:f>1-G337-H337</x:f>
        <x:v>0.76</x:v>
      </x:c>
      <x:c r="J337" s="2" t="n">
        <x:f>MAX(1,ROUND('기준스탯 72종'!D21-R337-Z337,0))</x:f>
        <x:v>6</x:v>
      </x:c>
      <x:c r="K337" s="2" t="n">
        <x:f>MAX(1,ROUND('기준스탯 72종'!E21-S337-AA337,0))</x:f>
        <x:v>4</x:v>
      </x:c>
      <x:c r="L337" s="2" t="n">
        <x:f>MAX(1,ROUND('기준스탯 72종'!F21-T337-AB337,0))</x:f>
        <x:v>5</x:v>
      </x:c>
      <x:c r="M337" s="2" t="n">
        <x:f>MAX(1,ROUND('기준스탯 72종'!G21-U337-AC337,0))</x:f>
        <x:v>7</x:v>
      </x:c>
      <x:c r="N337" s="2" t="n">
        <x:f>MAX(0,ROUND('기준스탯 72종'!H21-V337-AD337,0))</x:f>
        <x:v>3</x:v>
      </x:c>
      <x:c r="O337" s="2" t="n">
        <x:f>MAX(0,ROUND('기준스탯 72종'!I21-W337-AE337,0))</x:f>
        <x:v>4</x:v>
      </x:c>
      <x:c r="P337" s="2" t="n">
        <x:f>MAX(0,ROUND('기준스탯 72종'!J21-X337-AF337,0))</x:f>
        <x:v>5</x:v>
      </x:c>
      <x:c r="Q337" s="2" t="n">
        <x:f>MAX(0,ROUND('기준스탯 72종'!K21-Y337-AG337,0))</x:f>
        <x:v>1</x:v>
      </x:c>
      <x:c r="R337" s="15" t="n">
        <x:f>'기준스탯 72종'!D21*G337</x:f>
        <x:v>0</x:v>
      </x:c>
      <x:c r="S337" s="15" t="n">
        <x:f>'기준스탯 72종'!E21*G337</x:f>
        <x:v>0</x:v>
      </x:c>
      <x:c r="T337" s="15" t="n">
        <x:f>'기준스탯 72종'!F21*G337</x:f>
        <x:v>0</x:v>
      </x:c>
      <x:c r="U337" s="15" t="n">
        <x:f>'기준스탯 72종'!G21*G337</x:f>
        <x:v>0</x:v>
      </x:c>
      <x:c r="V337" s="15" t="n">
        <x:f>'기준스탯 72종'!H21*G337</x:f>
        <x:v>0</x:v>
      </x:c>
      <x:c r="W337" s="15" t="n">
        <x:f>'기준스탯 72종'!I21*G337</x:f>
        <x:v>0</x:v>
      </x:c>
      <x:c r="X337" s="15" t="n">
        <x:f>'기준스탯 72종'!J21*G337</x:f>
        <x:v>0</x:v>
      </x:c>
      <x:c r="Y337" s="15" t="n">
        <x:f>'기준스탯 72종'!K21*G337</x:f>
        <x:v>0</x:v>
      </x:c>
      <x:c r="Z337" s="15" t="n">
        <x:f>'기준스탯 72종'!D21*H337</x:f>
        <x:v>1.9200000000000004</x:v>
      </x:c>
      <x:c r="AA337" s="15" t="n">
        <x:f>'기준스탯 72종'!E21*H337</x:f>
        <x:v>1.2000000000000002</x:v>
      </x:c>
      <x:c r="AB337" s="15" t="n">
        <x:f>'기준스탯 72종'!F21*H337</x:f>
        <x:v>1.6800000000000004</x:v>
      </x:c>
      <x:c r="AC337" s="15" t="n">
        <x:f>'기준스탯 72종'!G21*H337</x:f>
        <x:v>2.1600000000000006</x:v>
      </x:c>
      <x:c r="AD337" s="15" t="n">
        <x:f>'기준스탯 72종'!H21*H337</x:f>
        <x:v>0.9600000000000002</x:v>
      </x:c>
      <x:c r="AE337" s="15" t="n">
        <x:f>'기준스탯 72종'!I21*H337</x:f>
        <x:v>1.2000000000000002</x:v>
      </x:c>
      <x:c r="AF337" s="15" t="n">
        <x:f>'기준스탯 72종'!J21*H337</x:f>
        <x:v>1.4400000000000004</x:v>
      </x:c>
      <x:c r="AG337" s="15" t="n">
        <x:f>'기준스탯 72종'!K21*H337</x:f>
        <x:v>0.24000000000000005</x:v>
      </x:c>
    </x:row>
    <x:row r="338" ht="28" customHeight="1">
      <x:c r="A338" s="2" t="n">
        <x:v>331</x:v>
      </x:c>
      <x:c r="B338" s="2" t="n">
        <x:v>14</x:v>
      </x:c>
      <x:c r="C338" s="2" t="str">
        <x:v>쌍둥이자리</x:v>
      </x:c>
      <x:c r="D338" s="2" t="str">
        <x:v>마도사</x:v>
      </x:c>
      <x:c r="E338" s="2" t="n">
        <x:v>1</x:v>
      </x:c>
      <x:c r="F338" s="2" t="n">
        <x:v>2</x:v>
      </x:c>
      <x:c r="G338" s="14" t="n">
        <x:f>('레벨 계산식'!$E$4-E338)*'레벨 계산식'!$B$5</x:f>
        <x:v>0.5599999999999999</x:v>
      </x:c>
      <x:c r="H338" s="14" t="n">
        <x:f>('등급 계산식'!$E$4-F338)*'등급 계산식'!$B$5</x:f>
        <x:v>0.18000000000000005</x:v>
      </x:c>
      <x:c r="I338" s="14" t="n">
        <x:f>1-G338-H338</x:f>
        <x:v>0.26</x:v>
      </x:c>
      <x:c r="J338" s="2" t="n">
        <x:f>MAX(1,ROUND('기준스탯 72종'!D21-R338-Z338,0))</x:f>
        <x:v>2</x:v>
      </x:c>
      <x:c r="K338" s="2" t="n">
        <x:f>MAX(1,ROUND('기준스탯 72종'!E21-S338-AA338,0))</x:f>
        <x:v>1</x:v>
      </x:c>
      <x:c r="L338" s="2" t="n">
        <x:f>MAX(1,ROUND('기준스탯 72종'!F21-T338-AB338,0))</x:f>
        <x:v>2</x:v>
      </x:c>
      <x:c r="M338" s="2" t="n">
        <x:f>MAX(1,ROUND('기준스탯 72종'!G21-U338-AC338,0))</x:f>
        <x:v>2</x:v>
      </x:c>
      <x:c r="N338" s="2" t="n">
        <x:f>MAX(0,ROUND('기준스탯 72종'!H21-V338-AD338,0))</x:f>
        <x:v>1</x:v>
      </x:c>
      <x:c r="O338" s="2" t="n">
        <x:f>MAX(0,ROUND('기준스탯 72종'!I21-W338-AE338,0))</x:f>
        <x:v>1</x:v>
      </x:c>
      <x:c r="P338" s="2" t="n">
        <x:f>MAX(0,ROUND('기준스탯 72종'!J21-X338-AF338,0))</x:f>
        <x:v>2</x:v>
      </x:c>
      <x:c r="Q338" s="2" t="n">
        <x:f>MAX(0,ROUND('기준스탯 72종'!K21-Y338-AG338,0))</x:f>
        <x:v>0</x:v>
      </x:c>
      <x:c r="R338" s="15" t="n">
        <x:f>'기준스탯 72종'!D21*G338</x:f>
        <x:v>4.4799999999999995</x:v>
      </x:c>
      <x:c r="S338" s="15" t="n">
        <x:f>'기준스탯 72종'!E21*G338</x:f>
        <x:v>2.8</x:v>
      </x:c>
      <x:c r="T338" s="15" t="n">
        <x:f>'기준스탯 72종'!F21*G338</x:f>
        <x:v>3.9199999999999995</x:v>
      </x:c>
      <x:c r="U338" s="15" t="n">
        <x:f>'기준스탯 72종'!G21*G338</x:f>
        <x:v>5.039999999999999</x:v>
      </x:c>
      <x:c r="V338" s="15" t="n">
        <x:f>'기준스탯 72종'!H21*G338</x:f>
        <x:v>2.2399999999999998</x:v>
      </x:c>
      <x:c r="W338" s="15" t="n">
        <x:f>'기준스탯 72종'!I21*G338</x:f>
        <x:v>2.8</x:v>
      </x:c>
      <x:c r="X338" s="15" t="n">
        <x:f>'기준스탯 72종'!J21*G338</x:f>
        <x:v>3.3599999999999994</x:v>
      </x:c>
      <x:c r="Y338" s="15" t="n">
        <x:f>'기준스탯 72종'!K21*G338</x:f>
        <x:v>0.5599999999999999</x:v>
      </x:c>
      <x:c r="Z338" s="15" t="n">
        <x:f>'기준스탯 72종'!D21*H338</x:f>
        <x:v>1.4400000000000004</x:v>
      </x:c>
      <x:c r="AA338" s="15" t="n">
        <x:f>'기준스탯 72종'!E21*H338</x:f>
        <x:v>0.9000000000000002</x:v>
      </x:c>
      <x:c r="AB338" s="15" t="n">
        <x:f>'기준스탯 72종'!F21*H338</x:f>
        <x:v>1.2600000000000002</x:v>
      </x:c>
      <x:c r="AC338" s="15" t="n">
        <x:f>'기준스탯 72종'!G21*H338</x:f>
        <x:v>1.6200000000000006</x:v>
      </x:c>
      <x:c r="AD338" s="15" t="n">
        <x:f>'기준스탯 72종'!H21*H338</x:f>
        <x:v>0.7200000000000002</x:v>
      </x:c>
      <x:c r="AE338" s="15" t="n">
        <x:f>'기준스탯 72종'!I21*H338</x:f>
        <x:v>0.9000000000000002</x:v>
      </x:c>
      <x:c r="AF338" s="15" t="n">
        <x:f>'기준스탯 72종'!J21*H338</x:f>
        <x:v>1.0800000000000003</x:v>
      </x:c>
      <x:c r="AG338" s="15" t="n">
        <x:f>'기준스탯 72종'!K21*H338</x:f>
        <x:v>0.18000000000000005</x:v>
      </x:c>
    </x:row>
    <x:row r="339" ht="28" customHeight="1">
      <x:c r="A339" s="2" t="n">
        <x:v>332</x:v>
      </x:c>
      <x:c r="B339" s="2" t="n">
        <x:v>14</x:v>
      </x:c>
      <x:c r="C339" s="2" t="str">
        <x:v>쌍둥이자리</x:v>
      </x:c>
      <x:c r="D339" s="2" t="str">
        <x:v>마도사</x:v>
      </x:c>
      <x:c r="E339" s="2" t="n">
        <x:v>2</x:v>
      </x:c>
      <x:c r="F339" s="2" t="n">
        <x:v>2</x:v>
      </x:c>
      <x:c r="G339" s="14" t="n">
        <x:f>('레벨 계산식'!$E$4-E339)*'레벨 계산식'!$B$5</x:f>
        <x:v>0.41999999999999993</x:v>
      </x:c>
      <x:c r="H339" s="14" t="n">
        <x:f>('등급 계산식'!$E$4-F339)*'등급 계산식'!$B$5</x:f>
        <x:v>0.18000000000000005</x:v>
      </x:c>
      <x:c r="I339" s="14" t="n">
        <x:f>1-G339-H339</x:f>
        <x:v>0.4</x:v>
      </x:c>
      <x:c r="J339" s="2" t="n">
        <x:f>MAX(1,ROUND('기준스탯 72종'!D21-R339-Z339,0))</x:f>
        <x:v>3</x:v>
      </x:c>
      <x:c r="K339" s="2" t="n">
        <x:f>MAX(1,ROUND('기준스탯 72종'!E21-S339-AA339,0))</x:f>
        <x:v>2</x:v>
      </x:c>
      <x:c r="L339" s="2" t="n">
        <x:f>MAX(1,ROUND('기준스탯 72종'!F21-T339-AB339,0))</x:f>
        <x:v>3</x:v>
      </x:c>
      <x:c r="M339" s="2" t="n">
        <x:f>MAX(1,ROUND('기준스탯 72종'!G21-U339-AC339,0))</x:f>
        <x:v>4</x:v>
      </x:c>
      <x:c r="N339" s="2" t="n">
        <x:f>MAX(0,ROUND('기준스탯 72종'!H21-V339-AD339,0))</x:f>
        <x:v>2</x:v>
      </x:c>
      <x:c r="O339" s="2" t="n">
        <x:f>MAX(0,ROUND('기준스탯 72종'!I21-W339-AE339,0))</x:f>
        <x:v>2</x:v>
      </x:c>
      <x:c r="P339" s="2" t="n">
        <x:f>MAX(0,ROUND('기준스탯 72종'!J21-X339-AF339,0))</x:f>
        <x:v>2</x:v>
      </x:c>
      <x:c r="Q339" s="2" t="n">
        <x:f>MAX(0,ROUND('기준스탯 72종'!K21-Y339-AG339,0))</x:f>
        <x:v>0</x:v>
      </x:c>
      <x:c r="R339" s="15" t="n">
        <x:f>'기준스탯 72종'!D21*G339</x:f>
        <x:v>3.3599999999999994</x:v>
      </x:c>
      <x:c r="S339" s="15" t="n">
        <x:f>'기준스탯 72종'!E21*G339</x:f>
        <x:v>2.0999999999999996</x:v>
      </x:c>
      <x:c r="T339" s="15" t="n">
        <x:f>'기준스탯 72종'!F21*G339</x:f>
        <x:v>2.9399999999999995</x:v>
      </x:c>
      <x:c r="U339" s="15" t="n">
        <x:f>'기준스탯 72종'!G21*G339</x:f>
        <x:v>3.7799999999999994</x:v>
      </x:c>
      <x:c r="V339" s="15" t="n">
        <x:f>'기준스탯 72종'!H21*G339</x:f>
        <x:v>1.6799999999999997</x:v>
      </x:c>
      <x:c r="W339" s="15" t="n">
        <x:f>'기준스탯 72종'!I21*G339</x:f>
        <x:v>2.0999999999999996</x:v>
      </x:c>
      <x:c r="X339" s="15" t="n">
        <x:f>'기준스탯 72종'!J21*G339</x:f>
        <x:v>2.5199999999999996</x:v>
      </x:c>
      <x:c r="Y339" s="15" t="n">
        <x:f>'기준스탯 72종'!K21*G339</x:f>
        <x:v>0.41999999999999993</x:v>
      </x:c>
      <x:c r="Z339" s="15" t="n">
        <x:f>'기준스탯 72종'!D21*H339</x:f>
        <x:v>1.4400000000000004</x:v>
      </x:c>
      <x:c r="AA339" s="15" t="n">
        <x:f>'기준스탯 72종'!E21*H339</x:f>
        <x:v>0.9000000000000002</x:v>
      </x:c>
      <x:c r="AB339" s="15" t="n">
        <x:f>'기준스탯 72종'!F21*H339</x:f>
        <x:v>1.2600000000000002</x:v>
      </x:c>
      <x:c r="AC339" s="15" t="n">
        <x:f>'기준스탯 72종'!G21*H339</x:f>
        <x:v>1.6200000000000006</x:v>
      </x:c>
      <x:c r="AD339" s="15" t="n">
        <x:f>'기준스탯 72종'!H21*H339</x:f>
        <x:v>0.7200000000000002</x:v>
      </x:c>
      <x:c r="AE339" s="15" t="n">
        <x:f>'기준스탯 72종'!I21*H339</x:f>
        <x:v>0.9000000000000002</x:v>
      </x:c>
      <x:c r="AF339" s="15" t="n">
        <x:f>'기준스탯 72종'!J21*H339</x:f>
        <x:v>1.0800000000000003</x:v>
      </x:c>
      <x:c r="AG339" s="15" t="n">
        <x:f>'기준스탯 72종'!K21*H339</x:f>
        <x:v>0.18000000000000005</x:v>
      </x:c>
    </x:row>
    <x:row r="340" ht="28" customHeight="1">
      <x:c r="A340" s="2" t="n">
        <x:v>333</x:v>
      </x:c>
      <x:c r="B340" s="2" t="n">
        <x:v>14</x:v>
      </x:c>
      <x:c r="C340" s="2" t="str">
        <x:v>쌍둥이자리</x:v>
      </x:c>
      <x:c r="D340" s="2" t="str">
        <x:v>마도사</x:v>
      </x:c>
      <x:c r="E340" s="2" t="n">
        <x:v>3</x:v>
      </x:c>
      <x:c r="F340" s="2" t="n">
        <x:v>2</x:v>
      </x:c>
      <x:c r="G340" s="14" t="n">
        <x:f>('레벨 계산식'!$E$4-E340)*'레벨 계산식'!$B$5</x:f>
        <x:v>0.27999999999999997</x:v>
      </x:c>
      <x:c r="H340" s="14" t="n">
        <x:f>('등급 계산식'!$E$4-F340)*'등급 계산식'!$B$5</x:f>
        <x:v>0.18000000000000005</x:v>
      </x:c>
      <x:c r="I340" s="14" t="n">
        <x:f>1-G340-H340</x:f>
        <x:v>0.5399999999999999</x:v>
      </x:c>
      <x:c r="J340" s="2" t="n">
        <x:f>MAX(1,ROUND('기준스탯 72종'!D21-R340-Z340,0))</x:f>
        <x:v>4</x:v>
      </x:c>
      <x:c r="K340" s="2" t="n">
        <x:f>MAX(1,ROUND('기준스탯 72종'!E21-S340-AA340,0))</x:f>
        <x:v>3</x:v>
      </x:c>
      <x:c r="L340" s="2" t="n">
        <x:f>MAX(1,ROUND('기준스탯 72종'!F21-T340-AB340,0))</x:f>
        <x:v>4</x:v>
      </x:c>
      <x:c r="M340" s="2" t="n">
        <x:f>MAX(1,ROUND('기준스탯 72종'!G21-U340-AC340,0))</x:f>
        <x:v>5</x:v>
      </x:c>
      <x:c r="N340" s="2" t="n">
        <x:f>MAX(0,ROUND('기준스탯 72종'!H21-V340-AD340,0))</x:f>
        <x:v>2</x:v>
      </x:c>
      <x:c r="O340" s="2" t="n">
        <x:f>MAX(0,ROUND('기준스탯 72종'!I21-W340-AE340,0))</x:f>
        <x:v>3</x:v>
      </x:c>
      <x:c r="P340" s="2" t="n">
        <x:f>MAX(0,ROUND('기준스탯 72종'!J21-X340-AF340,0))</x:f>
        <x:v>3</x:v>
      </x:c>
      <x:c r="Q340" s="2" t="n">
        <x:f>MAX(0,ROUND('기준스탯 72종'!K21-Y340-AG340,0))</x:f>
        <x:v>1</x:v>
      </x:c>
      <x:c r="R340" s="15" t="n">
        <x:f>'기준스탯 72종'!D21*G340</x:f>
        <x:v>2.2399999999999998</x:v>
      </x:c>
      <x:c r="S340" s="15" t="n">
        <x:f>'기준스탯 72종'!E21*G340</x:f>
        <x:v>1.4</x:v>
      </x:c>
      <x:c r="T340" s="15" t="n">
        <x:f>'기준스탯 72종'!F21*G340</x:f>
        <x:v>1.9599999999999997</x:v>
      </x:c>
      <x:c r="U340" s="15" t="n">
        <x:f>'기준스탯 72종'!G21*G340</x:f>
        <x:v>2.5199999999999996</x:v>
      </x:c>
      <x:c r="V340" s="15" t="n">
        <x:f>'기준스탯 72종'!H21*G340</x:f>
        <x:v>1.1199999999999999</x:v>
      </x:c>
      <x:c r="W340" s="15" t="n">
        <x:f>'기준스탯 72종'!I21*G340</x:f>
        <x:v>1.4</x:v>
      </x:c>
      <x:c r="X340" s="15" t="n">
        <x:f>'기준스탯 72종'!J21*G340</x:f>
        <x:v>1.6799999999999997</x:v>
      </x:c>
      <x:c r="Y340" s="15" t="n">
        <x:f>'기준스탯 72종'!K21*G340</x:f>
        <x:v>0.27999999999999997</x:v>
      </x:c>
      <x:c r="Z340" s="15" t="n">
        <x:f>'기준스탯 72종'!D21*H340</x:f>
        <x:v>1.4400000000000004</x:v>
      </x:c>
      <x:c r="AA340" s="15" t="n">
        <x:f>'기준스탯 72종'!E21*H340</x:f>
        <x:v>0.9000000000000002</x:v>
      </x:c>
      <x:c r="AB340" s="15" t="n">
        <x:f>'기준스탯 72종'!F21*H340</x:f>
        <x:v>1.2600000000000002</x:v>
      </x:c>
      <x:c r="AC340" s="15" t="n">
        <x:f>'기준스탯 72종'!G21*H340</x:f>
        <x:v>1.6200000000000006</x:v>
      </x:c>
      <x:c r="AD340" s="15" t="n">
        <x:f>'기준스탯 72종'!H21*H340</x:f>
        <x:v>0.7200000000000002</x:v>
      </x:c>
      <x:c r="AE340" s="15" t="n">
        <x:f>'기준스탯 72종'!I21*H340</x:f>
        <x:v>0.9000000000000002</x:v>
      </x:c>
      <x:c r="AF340" s="15" t="n">
        <x:f>'기준스탯 72종'!J21*H340</x:f>
        <x:v>1.0800000000000003</x:v>
      </x:c>
      <x:c r="AG340" s="15" t="n">
        <x:f>'기준스탯 72종'!K21*H340</x:f>
        <x:v>0.18000000000000005</x:v>
      </x:c>
    </x:row>
    <x:row r="341" ht="28" customHeight="1">
      <x:c r="A341" s="2" t="n">
        <x:v>334</x:v>
      </x:c>
      <x:c r="B341" s="2" t="n">
        <x:v>14</x:v>
      </x:c>
      <x:c r="C341" s="2" t="str">
        <x:v>쌍둥이자리</x:v>
      </x:c>
      <x:c r="D341" s="2" t="str">
        <x:v>마도사</x:v>
      </x:c>
      <x:c r="E341" s="2" t="n">
        <x:v>4</x:v>
      </x:c>
      <x:c r="F341" s="2" t="n">
        <x:v>2</x:v>
      </x:c>
      <x:c r="G341" s="14" t="n">
        <x:f>('레벨 계산식'!$E$4-E341)*'레벨 계산식'!$B$5</x:f>
        <x:v>0.13999999999999999</x:v>
      </x:c>
      <x:c r="H341" s="14" t="n">
        <x:f>('등급 계산식'!$E$4-F341)*'등급 계산식'!$B$5</x:f>
        <x:v>0.18000000000000005</x:v>
      </x:c>
      <x:c r="I341" s="14" t="n">
        <x:f>1-G341-H341</x:f>
        <x:v>0.6799999999999999</x:v>
      </x:c>
      <x:c r="J341" s="2" t="n">
        <x:f>MAX(1,ROUND('기준스탯 72종'!D21-R341-Z341,0))</x:f>
        <x:v>5</x:v>
      </x:c>
      <x:c r="K341" s="2" t="n">
        <x:f>MAX(1,ROUND('기준스탯 72종'!E21-S341-AA341,0))</x:f>
        <x:v>3</x:v>
      </x:c>
      <x:c r="L341" s="2" t="n">
        <x:f>MAX(1,ROUND('기준스탯 72종'!F21-T341-AB341,0))</x:f>
        <x:v>5</x:v>
      </x:c>
      <x:c r="M341" s="2" t="n">
        <x:f>MAX(1,ROUND('기준스탯 72종'!G21-U341-AC341,0))</x:f>
        <x:v>6</x:v>
      </x:c>
      <x:c r="N341" s="2" t="n">
        <x:f>MAX(0,ROUND('기준스탯 72종'!H21-V341-AD341,0))</x:f>
        <x:v>3</x:v>
      </x:c>
      <x:c r="O341" s="2" t="n">
        <x:f>MAX(0,ROUND('기준스탯 72종'!I21-W341-AE341,0))</x:f>
        <x:v>3</x:v>
      </x:c>
      <x:c r="P341" s="2" t="n">
        <x:f>MAX(0,ROUND('기준스탯 72종'!J21-X341-AF341,0))</x:f>
        <x:v>4</x:v>
      </x:c>
      <x:c r="Q341" s="2" t="n">
        <x:f>MAX(0,ROUND('기준스탯 72종'!K21-Y341-AG341,0))</x:f>
        <x:v>1</x:v>
      </x:c>
      <x:c r="R341" s="15" t="n">
        <x:f>'기준스탯 72종'!D21*G341</x:f>
        <x:v>1.1199999999999999</x:v>
      </x:c>
      <x:c r="S341" s="15" t="n">
        <x:f>'기준스탯 72종'!E21*G341</x:f>
        <x:v>0.7</x:v>
      </x:c>
      <x:c r="T341" s="15" t="n">
        <x:f>'기준스탯 72종'!F21*G341</x:f>
        <x:v>0.9799999999999999</x:v>
      </x:c>
      <x:c r="U341" s="15" t="n">
        <x:f>'기준스탯 72종'!G21*G341</x:f>
        <x:v>1.2599999999999998</x:v>
      </x:c>
      <x:c r="V341" s="15" t="n">
        <x:f>'기준스탯 72종'!H21*G341</x:f>
        <x:v>0.5599999999999999</x:v>
      </x:c>
      <x:c r="W341" s="15" t="n">
        <x:f>'기준스탯 72종'!I21*G341</x:f>
        <x:v>0.7</x:v>
      </x:c>
      <x:c r="X341" s="15" t="n">
        <x:f>'기준스탯 72종'!J21*G341</x:f>
        <x:v>0.8399999999999999</x:v>
      </x:c>
      <x:c r="Y341" s="15" t="n">
        <x:f>'기준스탯 72종'!K21*G341</x:f>
        <x:v>0.13999999999999999</x:v>
      </x:c>
      <x:c r="Z341" s="15" t="n">
        <x:f>'기준스탯 72종'!D21*H341</x:f>
        <x:v>1.4400000000000004</x:v>
      </x:c>
      <x:c r="AA341" s="15" t="n">
        <x:f>'기준스탯 72종'!E21*H341</x:f>
        <x:v>0.9000000000000002</x:v>
      </x:c>
      <x:c r="AB341" s="15" t="n">
        <x:f>'기준스탯 72종'!F21*H341</x:f>
        <x:v>1.2600000000000002</x:v>
      </x:c>
      <x:c r="AC341" s="15" t="n">
        <x:f>'기준스탯 72종'!G21*H341</x:f>
        <x:v>1.6200000000000006</x:v>
      </x:c>
      <x:c r="AD341" s="15" t="n">
        <x:f>'기준스탯 72종'!H21*H341</x:f>
        <x:v>0.7200000000000002</x:v>
      </x:c>
      <x:c r="AE341" s="15" t="n">
        <x:f>'기준스탯 72종'!I21*H341</x:f>
        <x:v>0.9000000000000002</x:v>
      </x:c>
      <x:c r="AF341" s="15" t="n">
        <x:f>'기준스탯 72종'!J21*H341</x:f>
        <x:v>1.0800000000000003</x:v>
      </x:c>
      <x:c r="AG341" s="15" t="n">
        <x:f>'기준스탯 72종'!K21*H341</x:f>
        <x:v>0.18000000000000005</x:v>
      </x:c>
    </x:row>
    <x:row r="342" ht="28" customHeight="1">
      <x:c r="A342" s="2" t="n">
        <x:v>335</x:v>
      </x:c>
      <x:c r="B342" s="2" t="n">
        <x:v>14</x:v>
      </x:c>
      <x:c r="C342" s="2" t="str">
        <x:v>쌍둥이자리</x:v>
      </x:c>
      <x:c r="D342" s="2" t="str">
        <x:v>마도사</x:v>
      </x:c>
      <x:c r="E342" s="2" t="n">
        <x:v>5</x:v>
      </x:c>
      <x:c r="F342" s="2" t="n">
        <x:v>2</x:v>
      </x:c>
      <x:c r="G342" s="14" t="n">
        <x:f>('레벨 계산식'!$E$4-E342)*'레벨 계산식'!$B$5</x:f>
        <x:v>0</x:v>
      </x:c>
      <x:c r="H342" s="14" t="n">
        <x:f>('등급 계산식'!$E$4-F342)*'등급 계산식'!$B$5</x:f>
        <x:v>0.18000000000000005</x:v>
      </x:c>
      <x:c r="I342" s="14" t="n">
        <x:f>1-G342-H342</x:f>
        <x:v>0.82</x:v>
      </x:c>
      <x:c r="J342" s="2" t="n">
        <x:f>MAX(1,ROUND('기준스탯 72종'!D21-R342-Z342,0))</x:f>
        <x:v>7</x:v>
      </x:c>
      <x:c r="K342" s="2" t="n">
        <x:f>MAX(1,ROUND('기준스탯 72종'!E21-S342-AA342,0))</x:f>
        <x:v>4</x:v>
      </x:c>
      <x:c r="L342" s="2" t="n">
        <x:f>MAX(1,ROUND('기준스탯 72종'!F21-T342-AB342,0))</x:f>
        <x:v>6</x:v>
      </x:c>
      <x:c r="M342" s="2" t="n">
        <x:f>MAX(1,ROUND('기준스탯 72종'!G21-U342-AC342,0))</x:f>
        <x:v>7</x:v>
      </x:c>
      <x:c r="N342" s="2" t="n">
        <x:f>MAX(0,ROUND('기준스탯 72종'!H21-V342-AD342,0))</x:f>
        <x:v>3</x:v>
      </x:c>
      <x:c r="O342" s="2" t="n">
        <x:f>MAX(0,ROUND('기준스탯 72종'!I21-W342-AE342,0))</x:f>
        <x:v>4</x:v>
      </x:c>
      <x:c r="P342" s="2" t="n">
        <x:f>MAX(0,ROUND('기준스탯 72종'!J21-X342-AF342,0))</x:f>
        <x:v>5</x:v>
      </x:c>
      <x:c r="Q342" s="2" t="n">
        <x:f>MAX(0,ROUND('기준스탯 72종'!K21-Y342-AG342,0))</x:f>
        <x:v>1</x:v>
      </x:c>
      <x:c r="R342" s="15" t="n">
        <x:f>'기준스탯 72종'!D21*G342</x:f>
        <x:v>0</x:v>
      </x:c>
      <x:c r="S342" s="15" t="n">
        <x:f>'기준스탯 72종'!E21*G342</x:f>
        <x:v>0</x:v>
      </x:c>
      <x:c r="T342" s="15" t="n">
        <x:f>'기준스탯 72종'!F21*G342</x:f>
        <x:v>0</x:v>
      </x:c>
      <x:c r="U342" s="15" t="n">
        <x:f>'기준스탯 72종'!G21*G342</x:f>
        <x:v>0</x:v>
      </x:c>
      <x:c r="V342" s="15" t="n">
        <x:f>'기준스탯 72종'!H21*G342</x:f>
        <x:v>0</x:v>
      </x:c>
      <x:c r="W342" s="15" t="n">
        <x:f>'기준스탯 72종'!I21*G342</x:f>
        <x:v>0</x:v>
      </x:c>
      <x:c r="X342" s="15" t="n">
        <x:f>'기준스탯 72종'!J21*G342</x:f>
        <x:v>0</x:v>
      </x:c>
      <x:c r="Y342" s="15" t="n">
        <x:f>'기준스탯 72종'!K21*G342</x:f>
        <x:v>0</x:v>
      </x:c>
      <x:c r="Z342" s="15" t="n">
        <x:f>'기준스탯 72종'!D21*H342</x:f>
        <x:v>1.4400000000000004</x:v>
      </x:c>
      <x:c r="AA342" s="15" t="n">
        <x:f>'기준스탯 72종'!E21*H342</x:f>
        <x:v>0.9000000000000002</x:v>
      </x:c>
      <x:c r="AB342" s="15" t="n">
        <x:f>'기준스탯 72종'!F21*H342</x:f>
        <x:v>1.2600000000000002</x:v>
      </x:c>
      <x:c r="AC342" s="15" t="n">
        <x:f>'기준스탯 72종'!G21*H342</x:f>
        <x:v>1.6200000000000006</x:v>
      </x:c>
      <x:c r="AD342" s="15" t="n">
        <x:f>'기준스탯 72종'!H21*H342</x:f>
        <x:v>0.7200000000000002</x:v>
      </x:c>
      <x:c r="AE342" s="15" t="n">
        <x:f>'기준스탯 72종'!I21*H342</x:f>
        <x:v>0.9000000000000002</x:v>
      </x:c>
      <x:c r="AF342" s="15" t="n">
        <x:f>'기준스탯 72종'!J21*H342</x:f>
        <x:v>1.0800000000000003</x:v>
      </x:c>
      <x:c r="AG342" s="15" t="n">
        <x:f>'기준스탯 72종'!K21*H342</x:f>
        <x:v>0.18000000000000005</x:v>
      </x:c>
    </x:row>
    <x:row r="343" ht="28" customHeight="1">
      <x:c r="A343" s="2" t="n">
        <x:v>336</x:v>
      </x:c>
      <x:c r="B343" s="2" t="n">
        <x:v>14</x:v>
      </x:c>
      <x:c r="C343" s="2" t="str">
        <x:v>쌍둥이자리</x:v>
      </x:c>
      <x:c r="D343" s="2" t="str">
        <x:v>마도사</x:v>
      </x:c>
      <x:c r="E343" s="2" t="n">
        <x:v>1</x:v>
      </x:c>
      <x:c r="F343" s="2" t="n">
        <x:v>3</x:v>
      </x:c>
      <x:c r="G343" s="14" t="n">
        <x:f>('레벨 계산식'!$E$4-E343)*'레벨 계산식'!$B$5</x:f>
        <x:v>0.5599999999999999</x:v>
      </x:c>
      <x:c r="H343" s="14" t="n">
        <x:f>('등급 계산식'!$E$4-F343)*'등급 계산식'!$B$5</x:f>
        <x:v>0.12000000000000002</x:v>
      </x:c>
      <x:c r="I343" s="14" t="n">
        <x:f>1-G343-H343</x:f>
        <x:v>0.32000000000000006</x:v>
      </x:c>
      <x:c r="J343" s="2" t="n">
        <x:f>MAX(1,ROUND('기준스탯 72종'!D21-R343-Z343,0))</x:f>
        <x:v>3</x:v>
      </x:c>
      <x:c r="K343" s="2" t="n">
        <x:f>MAX(1,ROUND('기준스탯 72종'!E21-S343-AA343,0))</x:f>
        <x:v>2</x:v>
      </x:c>
      <x:c r="L343" s="2" t="n">
        <x:f>MAX(1,ROUND('기준스탯 72종'!F21-T343-AB343,0))</x:f>
        <x:v>2</x:v>
      </x:c>
      <x:c r="M343" s="2" t="n">
        <x:f>MAX(1,ROUND('기준스탯 72종'!G21-U343-AC343,0))</x:f>
        <x:v>3</x:v>
      </x:c>
      <x:c r="N343" s="2" t="n">
        <x:f>MAX(0,ROUND('기준스탯 72종'!H21-V343-AD343,0))</x:f>
        <x:v>1</x:v>
      </x:c>
      <x:c r="O343" s="2" t="n">
        <x:f>MAX(0,ROUND('기준스탯 72종'!I21-W343-AE343,0))</x:f>
        <x:v>2</x:v>
      </x:c>
      <x:c r="P343" s="2" t="n">
        <x:f>MAX(0,ROUND('기준스탯 72종'!J21-X343-AF343,0))</x:f>
        <x:v>2</x:v>
      </x:c>
      <x:c r="Q343" s="2" t="n">
        <x:f>MAX(0,ROUND('기준스탯 72종'!K21-Y343-AG343,0))</x:f>
        <x:v>0</x:v>
      </x:c>
      <x:c r="R343" s="15" t="n">
        <x:f>'기준스탯 72종'!D21*G343</x:f>
        <x:v>4.4799999999999995</x:v>
      </x:c>
      <x:c r="S343" s="15" t="n">
        <x:f>'기준스탯 72종'!E21*G343</x:f>
        <x:v>2.8</x:v>
      </x:c>
      <x:c r="T343" s="15" t="n">
        <x:f>'기준스탯 72종'!F21*G343</x:f>
        <x:v>3.9199999999999995</x:v>
      </x:c>
      <x:c r="U343" s="15" t="n">
        <x:f>'기준스탯 72종'!G21*G343</x:f>
        <x:v>5.039999999999999</x:v>
      </x:c>
      <x:c r="V343" s="15" t="n">
        <x:f>'기준스탯 72종'!H21*G343</x:f>
        <x:v>2.2399999999999998</x:v>
      </x:c>
      <x:c r="W343" s="15" t="n">
        <x:f>'기준스탯 72종'!I21*G343</x:f>
        <x:v>2.8</x:v>
      </x:c>
      <x:c r="X343" s="15" t="n">
        <x:f>'기준스탯 72종'!J21*G343</x:f>
        <x:v>3.3599999999999994</x:v>
      </x:c>
      <x:c r="Y343" s="15" t="n">
        <x:f>'기준스탯 72종'!K21*G343</x:f>
        <x:v>0.5599999999999999</x:v>
      </x:c>
      <x:c r="Z343" s="15" t="n">
        <x:f>'기준스탯 72종'!D21*H343</x:f>
        <x:v>0.9600000000000002</x:v>
      </x:c>
      <x:c r="AA343" s="15" t="n">
        <x:f>'기준스탯 72종'!E21*H343</x:f>
        <x:v>0.6000000000000001</x:v>
      </x:c>
      <x:c r="AB343" s="15" t="n">
        <x:f>'기준스탯 72종'!F21*H343</x:f>
        <x:v>0.8400000000000002</x:v>
      </x:c>
      <x:c r="AC343" s="15" t="n">
        <x:f>'기준스탯 72종'!G21*H343</x:f>
        <x:v>1.0800000000000003</x:v>
      </x:c>
      <x:c r="AD343" s="15" t="n">
        <x:f>'기준스탯 72종'!H21*H343</x:f>
        <x:v>0.4800000000000001</x:v>
      </x:c>
      <x:c r="AE343" s="15" t="n">
        <x:f>'기준스탯 72종'!I21*H343</x:f>
        <x:v>0.6000000000000001</x:v>
      </x:c>
      <x:c r="AF343" s="15" t="n">
        <x:f>'기준스탯 72종'!J21*H343</x:f>
        <x:v>0.7200000000000002</x:v>
      </x:c>
      <x:c r="AG343" s="15" t="n">
        <x:f>'기준스탯 72종'!K21*H343</x:f>
        <x:v>0.12000000000000002</x:v>
      </x:c>
    </x:row>
    <x:row r="344" ht="28" customHeight="1">
      <x:c r="A344" s="2" t="n">
        <x:v>337</x:v>
      </x:c>
      <x:c r="B344" s="2" t="n">
        <x:v>14</x:v>
      </x:c>
      <x:c r="C344" s="2" t="str">
        <x:v>쌍둥이자리</x:v>
      </x:c>
      <x:c r="D344" s="2" t="str">
        <x:v>마도사</x:v>
      </x:c>
      <x:c r="E344" s="2" t="n">
        <x:v>2</x:v>
      </x:c>
      <x:c r="F344" s="2" t="n">
        <x:v>3</x:v>
      </x:c>
      <x:c r="G344" s="14" t="n">
        <x:f>('레벨 계산식'!$E$4-E344)*'레벨 계산식'!$B$5</x:f>
        <x:v>0.41999999999999993</x:v>
      </x:c>
      <x:c r="H344" s="14" t="n">
        <x:f>('등급 계산식'!$E$4-F344)*'등급 계산식'!$B$5</x:f>
        <x:v>0.12000000000000002</x:v>
      </x:c>
      <x:c r="I344" s="14" t="n">
        <x:f>1-G344-H344</x:f>
        <x:v>0.4600000000000001</x:v>
      </x:c>
      <x:c r="J344" s="2" t="n">
        <x:f>MAX(1,ROUND('기준스탯 72종'!D21-R344-Z344,0))</x:f>
        <x:v>4</x:v>
      </x:c>
      <x:c r="K344" s="2" t="n">
        <x:f>MAX(1,ROUND('기준스탯 72종'!E21-S344-AA344,0))</x:f>
        <x:v>2</x:v>
      </x:c>
      <x:c r="L344" s="2" t="n">
        <x:f>MAX(1,ROUND('기준스탯 72종'!F21-T344-AB344,0))</x:f>
        <x:v>3</x:v>
      </x:c>
      <x:c r="M344" s="2" t="n">
        <x:f>MAX(1,ROUND('기준스탯 72종'!G21-U344-AC344,0))</x:f>
        <x:v>4</x:v>
      </x:c>
      <x:c r="N344" s="2" t="n">
        <x:f>MAX(0,ROUND('기준스탯 72종'!H21-V344-AD344,0))</x:f>
        <x:v>2</x:v>
      </x:c>
      <x:c r="O344" s="2" t="n">
        <x:f>MAX(0,ROUND('기준스탯 72종'!I21-W344-AE344,0))</x:f>
        <x:v>2</x:v>
      </x:c>
      <x:c r="P344" s="2" t="n">
        <x:f>MAX(0,ROUND('기준스탯 72종'!J21-X344-AF344,0))</x:f>
        <x:v>3</x:v>
      </x:c>
      <x:c r="Q344" s="2" t="n">
        <x:f>MAX(0,ROUND('기준스탯 72종'!K21-Y344-AG344,0))</x:f>
        <x:v>0</x:v>
      </x:c>
      <x:c r="R344" s="15" t="n">
        <x:f>'기준스탯 72종'!D21*G344</x:f>
        <x:v>3.3599999999999994</x:v>
      </x:c>
      <x:c r="S344" s="15" t="n">
        <x:f>'기준스탯 72종'!E21*G344</x:f>
        <x:v>2.0999999999999996</x:v>
      </x:c>
      <x:c r="T344" s="15" t="n">
        <x:f>'기준스탯 72종'!F21*G344</x:f>
        <x:v>2.9399999999999995</x:v>
      </x:c>
      <x:c r="U344" s="15" t="n">
        <x:f>'기준스탯 72종'!G21*G344</x:f>
        <x:v>3.7799999999999994</x:v>
      </x:c>
      <x:c r="V344" s="15" t="n">
        <x:f>'기준스탯 72종'!H21*G344</x:f>
        <x:v>1.6799999999999997</x:v>
      </x:c>
      <x:c r="W344" s="15" t="n">
        <x:f>'기준스탯 72종'!I21*G344</x:f>
        <x:v>2.0999999999999996</x:v>
      </x:c>
      <x:c r="X344" s="15" t="n">
        <x:f>'기준스탯 72종'!J21*G344</x:f>
        <x:v>2.5199999999999996</x:v>
      </x:c>
      <x:c r="Y344" s="15" t="n">
        <x:f>'기준스탯 72종'!K21*G344</x:f>
        <x:v>0.41999999999999993</x:v>
      </x:c>
      <x:c r="Z344" s="15" t="n">
        <x:f>'기준스탯 72종'!D21*H344</x:f>
        <x:v>0.9600000000000002</x:v>
      </x:c>
      <x:c r="AA344" s="15" t="n">
        <x:f>'기준스탯 72종'!E21*H344</x:f>
        <x:v>0.6000000000000001</x:v>
      </x:c>
      <x:c r="AB344" s="15" t="n">
        <x:f>'기준스탯 72종'!F21*H344</x:f>
        <x:v>0.8400000000000002</x:v>
      </x:c>
      <x:c r="AC344" s="15" t="n">
        <x:f>'기준스탯 72종'!G21*H344</x:f>
        <x:v>1.0800000000000003</x:v>
      </x:c>
      <x:c r="AD344" s="15" t="n">
        <x:f>'기준스탯 72종'!H21*H344</x:f>
        <x:v>0.4800000000000001</x:v>
      </x:c>
      <x:c r="AE344" s="15" t="n">
        <x:f>'기준스탯 72종'!I21*H344</x:f>
        <x:v>0.6000000000000001</x:v>
      </x:c>
      <x:c r="AF344" s="15" t="n">
        <x:f>'기준스탯 72종'!J21*H344</x:f>
        <x:v>0.7200000000000002</x:v>
      </x:c>
      <x:c r="AG344" s="15" t="n">
        <x:f>'기준스탯 72종'!K21*H344</x:f>
        <x:v>0.12000000000000002</x:v>
      </x:c>
    </x:row>
    <x:row r="345" ht="28" customHeight="1">
      <x:c r="A345" s="2" t="n">
        <x:v>338</x:v>
      </x:c>
      <x:c r="B345" s="2" t="n">
        <x:v>14</x:v>
      </x:c>
      <x:c r="C345" s="2" t="str">
        <x:v>쌍둥이자리</x:v>
      </x:c>
      <x:c r="D345" s="2" t="str">
        <x:v>마도사</x:v>
      </x:c>
      <x:c r="E345" s="2" t="n">
        <x:v>3</x:v>
      </x:c>
      <x:c r="F345" s="2" t="n">
        <x:v>3</x:v>
      </x:c>
      <x:c r="G345" s="14" t="n">
        <x:f>('레벨 계산식'!$E$4-E345)*'레벨 계산식'!$B$5</x:f>
        <x:v>0.27999999999999997</x:v>
      </x:c>
      <x:c r="H345" s="14" t="n">
        <x:f>('등급 계산식'!$E$4-F345)*'등급 계산식'!$B$5</x:f>
        <x:v>0.12000000000000002</x:v>
      </x:c>
      <x:c r="I345" s="14" t="n">
        <x:f>1-G345-H345</x:f>
        <x:v>0.6</x:v>
      </x:c>
      <x:c r="J345" s="2" t="n">
        <x:f>MAX(1,ROUND('기준스탯 72종'!D21-R345-Z345,0))</x:f>
        <x:v>5</x:v>
      </x:c>
      <x:c r="K345" s="2" t="n">
        <x:f>MAX(1,ROUND('기준스탯 72종'!E21-S345-AA345,0))</x:f>
        <x:v>3</x:v>
      </x:c>
      <x:c r="L345" s="2" t="n">
        <x:f>MAX(1,ROUND('기준스탯 72종'!F21-T345-AB345,0))</x:f>
        <x:v>4</x:v>
      </x:c>
      <x:c r="M345" s="2" t="n">
        <x:f>MAX(1,ROUND('기준스탯 72종'!G21-U345-AC345,0))</x:f>
        <x:v>5</x:v>
      </x:c>
      <x:c r="N345" s="2" t="n">
        <x:f>MAX(0,ROUND('기준스탯 72종'!H21-V345-AD345,0))</x:f>
        <x:v>2</x:v>
      </x:c>
      <x:c r="O345" s="2" t="n">
        <x:f>MAX(0,ROUND('기준스탯 72종'!I21-W345-AE345,0))</x:f>
        <x:v>3</x:v>
      </x:c>
      <x:c r="P345" s="2" t="n">
        <x:f>MAX(0,ROUND('기준스탯 72종'!J21-X345-AF345,0))</x:f>
        <x:v>4</x:v>
      </x:c>
      <x:c r="Q345" s="2" t="n">
        <x:f>MAX(0,ROUND('기준스탯 72종'!K21-Y345-AG345,0))</x:f>
        <x:v>1</x:v>
      </x:c>
      <x:c r="R345" s="15" t="n">
        <x:f>'기준스탯 72종'!D21*G345</x:f>
        <x:v>2.2399999999999998</x:v>
      </x:c>
      <x:c r="S345" s="15" t="n">
        <x:f>'기준스탯 72종'!E21*G345</x:f>
        <x:v>1.4</x:v>
      </x:c>
      <x:c r="T345" s="15" t="n">
        <x:f>'기준스탯 72종'!F21*G345</x:f>
        <x:v>1.9599999999999997</x:v>
      </x:c>
      <x:c r="U345" s="15" t="n">
        <x:f>'기준스탯 72종'!G21*G345</x:f>
        <x:v>2.5199999999999996</x:v>
      </x:c>
      <x:c r="V345" s="15" t="n">
        <x:f>'기준스탯 72종'!H21*G345</x:f>
        <x:v>1.1199999999999999</x:v>
      </x:c>
      <x:c r="W345" s="15" t="n">
        <x:f>'기준스탯 72종'!I21*G345</x:f>
        <x:v>1.4</x:v>
      </x:c>
      <x:c r="X345" s="15" t="n">
        <x:f>'기준스탯 72종'!J21*G345</x:f>
        <x:v>1.6799999999999997</x:v>
      </x:c>
      <x:c r="Y345" s="15" t="n">
        <x:f>'기준스탯 72종'!K21*G345</x:f>
        <x:v>0.27999999999999997</x:v>
      </x:c>
      <x:c r="Z345" s="15" t="n">
        <x:f>'기준스탯 72종'!D21*H345</x:f>
        <x:v>0.9600000000000002</x:v>
      </x:c>
      <x:c r="AA345" s="15" t="n">
        <x:f>'기준스탯 72종'!E21*H345</x:f>
        <x:v>0.6000000000000001</x:v>
      </x:c>
      <x:c r="AB345" s="15" t="n">
        <x:f>'기준스탯 72종'!F21*H345</x:f>
        <x:v>0.8400000000000002</x:v>
      </x:c>
      <x:c r="AC345" s="15" t="n">
        <x:f>'기준스탯 72종'!G21*H345</x:f>
        <x:v>1.0800000000000003</x:v>
      </x:c>
      <x:c r="AD345" s="15" t="n">
        <x:f>'기준스탯 72종'!H21*H345</x:f>
        <x:v>0.4800000000000001</x:v>
      </x:c>
      <x:c r="AE345" s="15" t="n">
        <x:f>'기준스탯 72종'!I21*H345</x:f>
        <x:v>0.6000000000000001</x:v>
      </x:c>
      <x:c r="AF345" s="15" t="n">
        <x:f>'기준스탯 72종'!J21*H345</x:f>
        <x:v>0.7200000000000002</x:v>
      </x:c>
      <x:c r="AG345" s="15" t="n">
        <x:f>'기준스탯 72종'!K21*H345</x:f>
        <x:v>0.12000000000000002</x:v>
      </x:c>
    </x:row>
    <x:row r="346" ht="28" customHeight="1">
      <x:c r="A346" s="2" t="n">
        <x:v>339</x:v>
      </x:c>
      <x:c r="B346" s="2" t="n">
        <x:v>14</x:v>
      </x:c>
      <x:c r="C346" s="2" t="str">
        <x:v>쌍둥이자리</x:v>
      </x:c>
      <x:c r="D346" s="2" t="str">
        <x:v>마도사</x:v>
      </x:c>
      <x:c r="E346" s="2" t="n">
        <x:v>4</x:v>
      </x:c>
      <x:c r="F346" s="2" t="n">
        <x:v>3</x:v>
      </x:c>
      <x:c r="G346" s="14" t="n">
        <x:f>('레벨 계산식'!$E$4-E346)*'레벨 계산식'!$B$5</x:f>
        <x:v>0.13999999999999999</x:v>
      </x:c>
      <x:c r="H346" s="14" t="n">
        <x:f>('등급 계산식'!$E$4-F346)*'등급 계산식'!$B$5</x:f>
        <x:v>0.12000000000000002</x:v>
      </x:c>
      <x:c r="I346" s="14" t="n">
        <x:f>1-G346-H346</x:f>
        <x:v>0.74</x:v>
      </x:c>
      <x:c r="J346" s="2" t="n">
        <x:f>MAX(1,ROUND('기준스탯 72종'!D21-R346-Z346,0))</x:f>
        <x:v>6</x:v>
      </x:c>
      <x:c r="K346" s="2" t="n">
        <x:f>MAX(1,ROUND('기준스탯 72종'!E21-S346-AA346,0))</x:f>
        <x:v>4</x:v>
      </x:c>
      <x:c r="L346" s="2" t="n">
        <x:f>MAX(1,ROUND('기준스탯 72종'!F21-T346-AB346,0))</x:f>
        <x:v>5</x:v>
      </x:c>
      <x:c r="M346" s="2" t="n">
        <x:f>MAX(1,ROUND('기준스탯 72종'!G21-U346-AC346,0))</x:f>
        <x:v>7</x:v>
      </x:c>
      <x:c r="N346" s="2" t="n">
        <x:f>MAX(0,ROUND('기준스탯 72종'!H21-V346-AD346,0))</x:f>
        <x:v>3</x:v>
      </x:c>
      <x:c r="O346" s="2" t="n">
        <x:f>MAX(0,ROUND('기준스탯 72종'!I21-W346-AE346,0))</x:f>
        <x:v>4</x:v>
      </x:c>
      <x:c r="P346" s="2" t="n">
        <x:f>MAX(0,ROUND('기준스탯 72종'!J21-X346-AF346,0))</x:f>
        <x:v>4</x:v>
      </x:c>
      <x:c r="Q346" s="2" t="n">
        <x:f>MAX(0,ROUND('기준스탯 72종'!K21-Y346-AG346,0))</x:f>
        <x:v>1</x:v>
      </x:c>
      <x:c r="R346" s="15" t="n">
        <x:f>'기준스탯 72종'!D21*G346</x:f>
        <x:v>1.1199999999999999</x:v>
      </x:c>
      <x:c r="S346" s="15" t="n">
        <x:f>'기준스탯 72종'!E21*G346</x:f>
        <x:v>0.7</x:v>
      </x:c>
      <x:c r="T346" s="15" t="n">
        <x:f>'기준스탯 72종'!F21*G346</x:f>
        <x:v>0.9799999999999999</x:v>
      </x:c>
      <x:c r="U346" s="15" t="n">
        <x:f>'기준스탯 72종'!G21*G346</x:f>
        <x:v>1.2599999999999998</x:v>
      </x:c>
      <x:c r="V346" s="15" t="n">
        <x:f>'기준스탯 72종'!H21*G346</x:f>
        <x:v>0.5599999999999999</x:v>
      </x:c>
      <x:c r="W346" s="15" t="n">
        <x:f>'기준스탯 72종'!I21*G346</x:f>
        <x:v>0.7</x:v>
      </x:c>
      <x:c r="X346" s="15" t="n">
        <x:f>'기준스탯 72종'!J21*G346</x:f>
        <x:v>0.8399999999999999</x:v>
      </x:c>
      <x:c r="Y346" s="15" t="n">
        <x:f>'기준스탯 72종'!K21*G346</x:f>
        <x:v>0.13999999999999999</x:v>
      </x:c>
      <x:c r="Z346" s="15" t="n">
        <x:f>'기준스탯 72종'!D21*H346</x:f>
        <x:v>0.9600000000000002</x:v>
      </x:c>
      <x:c r="AA346" s="15" t="n">
        <x:f>'기준스탯 72종'!E21*H346</x:f>
        <x:v>0.6000000000000001</x:v>
      </x:c>
      <x:c r="AB346" s="15" t="n">
        <x:f>'기준스탯 72종'!F21*H346</x:f>
        <x:v>0.8400000000000002</x:v>
      </x:c>
      <x:c r="AC346" s="15" t="n">
        <x:f>'기준스탯 72종'!G21*H346</x:f>
        <x:v>1.0800000000000003</x:v>
      </x:c>
      <x:c r="AD346" s="15" t="n">
        <x:f>'기준스탯 72종'!H21*H346</x:f>
        <x:v>0.4800000000000001</x:v>
      </x:c>
      <x:c r="AE346" s="15" t="n">
        <x:f>'기준스탯 72종'!I21*H346</x:f>
        <x:v>0.6000000000000001</x:v>
      </x:c>
      <x:c r="AF346" s="15" t="n">
        <x:f>'기준스탯 72종'!J21*H346</x:f>
        <x:v>0.7200000000000002</x:v>
      </x:c>
      <x:c r="AG346" s="15" t="n">
        <x:f>'기준스탯 72종'!K21*H346</x:f>
        <x:v>0.12000000000000002</x:v>
      </x:c>
    </x:row>
    <x:row r="347" ht="28" customHeight="1">
      <x:c r="A347" s="2" t="n">
        <x:v>340</x:v>
      </x:c>
      <x:c r="B347" s="2" t="n">
        <x:v>14</x:v>
      </x:c>
      <x:c r="C347" s="2" t="str">
        <x:v>쌍둥이자리</x:v>
      </x:c>
      <x:c r="D347" s="2" t="str">
        <x:v>마도사</x:v>
      </x:c>
      <x:c r="E347" s="2" t="n">
        <x:v>5</x:v>
      </x:c>
      <x:c r="F347" s="2" t="n">
        <x:v>3</x:v>
      </x:c>
      <x:c r="G347" s="14" t="n">
        <x:f>('레벨 계산식'!$E$4-E347)*'레벨 계산식'!$B$5</x:f>
        <x:v>0</x:v>
      </x:c>
      <x:c r="H347" s="14" t="n">
        <x:f>('등급 계산식'!$E$4-F347)*'등급 계산식'!$B$5</x:f>
        <x:v>0.12000000000000002</x:v>
      </x:c>
      <x:c r="I347" s="14" t="n">
        <x:f>1-G347-H347</x:f>
        <x:v>0.88</x:v>
      </x:c>
      <x:c r="J347" s="2" t="n">
        <x:f>MAX(1,ROUND('기준스탯 72종'!D21-R347-Z347,0))</x:f>
        <x:v>7</x:v>
      </x:c>
      <x:c r="K347" s="2" t="n">
        <x:f>MAX(1,ROUND('기준스탯 72종'!E21-S347-AA347,0))</x:f>
        <x:v>4</x:v>
      </x:c>
      <x:c r="L347" s="2" t="n">
        <x:f>MAX(1,ROUND('기준스탯 72종'!F21-T347-AB347,0))</x:f>
        <x:v>6</x:v>
      </x:c>
      <x:c r="M347" s="2" t="n">
        <x:f>MAX(1,ROUND('기준스탯 72종'!G21-U347-AC347,0))</x:f>
        <x:v>8</x:v>
      </x:c>
      <x:c r="N347" s="2" t="n">
        <x:f>MAX(0,ROUND('기준스탯 72종'!H21-V347-AD347,0))</x:f>
        <x:v>4</x:v>
      </x:c>
      <x:c r="O347" s="2" t="n">
        <x:f>MAX(0,ROUND('기준스탯 72종'!I21-W347-AE347,0))</x:f>
        <x:v>4</x:v>
      </x:c>
      <x:c r="P347" s="2" t="n">
        <x:f>MAX(0,ROUND('기준스탯 72종'!J21-X347-AF347,0))</x:f>
        <x:v>5</x:v>
      </x:c>
      <x:c r="Q347" s="2" t="n">
        <x:f>MAX(0,ROUND('기준스탯 72종'!K21-Y347-AG347,0))</x:f>
        <x:v>1</x:v>
      </x:c>
      <x:c r="R347" s="15" t="n">
        <x:f>'기준스탯 72종'!D21*G347</x:f>
        <x:v>0</x:v>
      </x:c>
      <x:c r="S347" s="15" t="n">
        <x:f>'기준스탯 72종'!E21*G347</x:f>
        <x:v>0</x:v>
      </x:c>
      <x:c r="T347" s="15" t="n">
        <x:f>'기준스탯 72종'!F21*G347</x:f>
        <x:v>0</x:v>
      </x:c>
      <x:c r="U347" s="15" t="n">
        <x:f>'기준스탯 72종'!G21*G347</x:f>
        <x:v>0</x:v>
      </x:c>
      <x:c r="V347" s="15" t="n">
        <x:f>'기준스탯 72종'!H21*G347</x:f>
        <x:v>0</x:v>
      </x:c>
      <x:c r="W347" s="15" t="n">
        <x:f>'기준스탯 72종'!I21*G347</x:f>
        <x:v>0</x:v>
      </x:c>
      <x:c r="X347" s="15" t="n">
        <x:f>'기준스탯 72종'!J21*G347</x:f>
        <x:v>0</x:v>
      </x:c>
      <x:c r="Y347" s="15" t="n">
        <x:f>'기준스탯 72종'!K21*G347</x:f>
        <x:v>0</x:v>
      </x:c>
      <x:c r="Z347" s="15" t="n">
        <x:f>'기준스탯 72종'!D21*H347</x:f>
        <x:v>0.9600000000000002</x:v>
      </x:c>
      <x:c r="AA347" s="15" t="n">
        <x:f>'기준스탯 72종'!E21*H347</x:f>
        <x:v>0.6000000000000001</x:v>
      </x:c>
      <x:c r="AB347" s="15" t="n">
        <x:f>'기준스탯 72종'!F21*H347</x:f>
        <x:v>0.8400000000000002</x:v>
      </x:c>
      <x:c r="AC347" s="15" t="n">
        <x:f>'기준스탯 72종'!G21*H347</x:f>
        <x:v>1.0800000000000003</x:v>
      </x:c>
      <x:c r="AD347" s="15" t="n">
        <x:f>'기준스탯 72종'!H21*H347</x:f>
        <x:v>0.4800000000000001</x:v>
      </x:c>
      <x:c r="AE347" s="15" t="n">
        <x:f>'기준스탯 72종'!I21*H347</x:f>
        <x:v>0.6000000000000001</x:v>
      </x:c>
      <x:c r="AF347" s="15" t="n">
        <x:f>'기준스탯 72종'!J21*H347</x:f>
        <x:v>0.7200000000000002</x:v>
      </x:c>
      <x:c r="AG347" s="15" t="n">
        <x:f>'기준스탯 72종'!K21*H347</x:f>
        <x:v>0.12000000000000002</x:v>
      </x:c>
    </x:row>
    <x:row r="348" ht="28" customHeight="1">
      <x:c r="A348" s="2" t="n">
        <x:v>341</x:v>
      </x:c>
      <x:c r="B348" s="2" t="n">
        <x:v>14</x:v>
      </x:c>
      <x:c r="C348" s="2" t="str">
        <x:v>쌍둥이자리</x:v>
      </x:c>
      <x:c r="D348" s="2" t="str">
        <x:v>마도사</x:v>
      </x:c>
      <x:c r="E348" s="2" t="n">
        <x:v>1</x:v>
      </x:c>
      <x:c r="F348" s="2" t="n">
        <x:v>4</x:v>
      </x:c>
      <x:c r="G348" s="14" t="n">
        <x:f>('레벨 계산식'!$E$4-E348)*'레벨 계산식'!$B$5</x:f>
        <x:v>0.5599999999999999</x:v>
      </x:c>
      <x:c r="H348" s="14" t="n">
        <x:f>('등급 계산식'!$E$4-F348)*'등급 계산식'!$B$5</x:f>
        <x:v>0.06000000000000001</x:v>
      </x:c>
      <x:c r="I348" s="14" t="n">
        <x:f>1-G348-H348</x:f>
        <x:v>0.38000000000000006</x:v>
      </x:c>
      <x:c r="J348" s="2" t="n">
        <x:f>MAX(1,ROUND('기준스탯 72종'!D21-R348-Z348,0))</x:f>
        <x:v>3</x:v>
      </x:c>
      <x:c r="K348" s="2" t="n">
        <x:f>MAX(1,ROUND('기준스탯 72종'!E21-S348-AA348,0))</x:f>
        <x:v>2</x:v>
      </x:c>
      <x:c r="L348" s="2" t="n">
        <x:f>MAX(1,ROUND('기준스탯 72종'!F21-T348-AB348,0))</x:f>
        <x:v>3</x:v>
      </x:c>
      <x:c r="M348" s="2" t="n">
        <x:f>MAX(1,ROUND('기준스탯 72종'!G21-U348-AC348,0))</x:f>
        <x:v>3</x:v>
      </x:c>
      <x:c r="N348" s="2" t="n">
        <x:f>MAX(0,ROUND('기준스탯 72종'!H21-V348-AD348,0))</x:f>
        <x:v>2</x:v>
      </x:c>
      <x:c r="O348" s="2" t="n">
        <x:f>MAX(0,ROUND('기준스탯 72종'!I21-W348-AE348,0))</x:f>
        <x:v>2</x:v>
      </x:c>
      <x:c r="P348" s="2" t="n">
        <x:f>MAX(0,ROUND('기준스탯 72종'!J21-X348-AF348,0))</x:f>
        <x:v>2</x:v>
      </x:c>
      <x:c r="Q348" s="2" t="n">
        <x:f>MAX(0,ROUND('기준스탯 72종'!K21-Y348-AG348,0))</x:f>
        <x:v>0</x:v>
      </x:c>
      <x:c r="R348" s="15" t="n">
        <x:f>'기준스탯 72종'!D21*G348</x:f>
        <x:v>4.4799999999999995</x:v>
      </x:c>
      <x:c r="S348" s="15" t="n">
        <x:f>'기준스탯 72종'!E21*G348</x:f>
        <x:v>2.8</x:v>
      </x:c>
      <x:c r="T348" s="15" t="n">
        <x:f>'기준스탯 72종'!F21*G348</x:f>
        <x:v>3.9199999999999995</x:v>
      </x:c>
      <x:c r="U348" s="15" t="n">
        <x:f>'기준스탯 72종'!G21*G348</x:f>
        <x:v>5.039999999999999</x:v>
      </x:c>
      <x:c r="V348" s="15" t="n">
        <x:f>'기준스탯 72종'!H21*G348</x:f>
        <x:v>2.2399999999999998</x:v>
      </x:c>
      <x:c r="W348" s="15" t="n">
        <x:f>'기준스탯 72종'!I21*G348</x:f>
        <x:v>2.8</x:v>
      </x:c>
      <x:c r="X348" s="15" t="n">
        <x:f>'기준스탯 72종'!J21*G348</x:f>
        <x:v>3.3599999999999994</x:v>
      </x:c>
      <x:c r="Y348" s="15" t="n">
        <x:f>'기준스탯 72종'!K21*G348</x:f>
        <x:v>0.5599999999999999</x:v>
      </x:c>
      <x:c r="Z348" s="15" t="n">
        <x:f>'기준스탯 72종'!D21*H348</x:f>
        <x:v>0.4800000000000001</x:v>
      </x:c>
      <x:c r="AA348" s="15" t="n">
        <x:f>'기준스탯 72종'!E21*H348</x:f>
        <x:v>0.30000000000000004</x:v>
      </x:c>
      <x:c r="AB348" s="15" t="n">
        <x:f>'기준스탯 72종'!F21*H348</x:f>
        <x:v>0.4200000000000001</x:v>
      </x:c>
      <x:c r="AC348" s="15" t="n">
        <x:f>'기준스탯 72종'!G21*H348</x:f>
        <x:v>0.5400000000000001</x:v>
      </x:c>
      <x:c r="AD348" s="15" t="n">
        <x:f>'기준스탯 72종'!H21*H348</x:f>
        <x:v>0.24000000000000005</x:v>
      </x:c>
      <x:c r="AE348" s="15" t="n">
        <x:f>'기준스탯 72종'!I21*H348</x:f>
        <x:v>0.30000000000000004</x:v>
      </x:c>
      <x:c r="AF348" s="15" t="n">
        <x:f>'기준스탯 72종'!J21*H348</x:f>
        <x:v>0.3600000000000001</x:v>
      </x:c>
      <x:c r="AG348" s="15" t="n">
        <x:f>'기준스탯 72종'!K21*H348</x:f>
        <x:v>0.06000000000000001</x:v>
      </x:c>
    </x:row>
    <x:row r="349" ht="28" customHeight="1">
      <x:c r="A349" s="2" t="n">
        <x:v>342</x:v>
      </x:c>
      <x:c r="B349" s="2" t="n">
        <x:v>14</x:v>
      </x:c>
      <x:c r="C349" s="2" t="str">
        <x:v>쌍둥이자리</x:v>
      </x:c>
      <x:c r="D349" s="2" t="str">
        <x:v>마도사</x:v>
      </x:c>
      <x:c r="E349" s="2" t="n">
        <x:v>2</x:v>
      </x:c>
      <x:c r="F349" s="2" t="n">
        <x:v>4</x:v>
      </x:c>
      <x:c r="G349" s="14" t="n">
        <x:f>('레벨 계산식'!$E$4-E349)*'레벨 계산식'!$B$5</x:f>
        <x:v>0.41999999999999993</x:v>
      </x:c>
      <x:c r="H349" s="14" t="n">
        <x:f>('등급 계산식'!$E$4-F349)*'등급 계산식'!$B$5</x:f>
        <x:v>0.06000000000000001</x:v>
      </x:c>
      <x:c r="I349" s="14" t="n">
        <x:f>1-G349-H349</x:f>
        <x:v>0.52</x:v>
      </x:c>
      <x:c r="J349" s="2" t="n">
        <x:f>MAX(1,ROUND('기준스탯 72종'!D21-R349-Z349,0))</x:f>
        <x:v>4</x:v>
      </x:c>
      <x:c r="K349" s="2" t="n">
        <x:f>MAX(1,ROUND('기준스탯 72종'!E21-S349-AA349,0))</x:f>
        <x:v>3</x:v>
      </x:c>
      <x:c r="L349" s="2" t="n">
        <x:f>MAX(1,ROUND('기준스탯 72종'!F21-T349-AB349,0))</x:f>
        <x:v>4</x:v>
      </x:c>
      <x:c r="M349" s="2" t="n">
        <x:f>MAX(1,ROUND('기준스탯 72종'!G21-U349-AC349,0))</x:f>
        <x:v>5</x:v>
      </x:c>
      <x:c r="N349" s="2" t="n">
        <x:f>MAX(0,ROUND('기준스탯 72종'!H21-V349-AD349,0))</x:f>
        <x:v>2</x:v>
      </x:c>
      <x:c r="O349" s="2" t="n">
        <x:f>MAX(0,ROUND('기준스탯 72종'!I21-W349-AE349,0))</x:f>
        <x:v>3</x:v>
      </x:c>
      <x:c r="P349" s="2" t="n">
        <x:f>MAX(0,ROUND('기준스탯 72종'!J21-X349-AF349,0))</x:f>
        <x:v>3</x:v>
      </x:c>
      <x:c r="Q349" s="2" t="n">
        <x:f>MAX(0,ROUND('기준스탯 72종'!K21-Y349-AG349,0))</x:f>
        <x:v>1</x:v>
      </x:c>
      <x:c r="R349" s="15" t="n">
        <x:f>'기준스탯 72종'!D21*G349</x:f>
        <x:v>3.3599999999999994</x:v>
      </x:c>
      <x:c r="S349" s="15" t="n">
        <x:f>'기준스탯 72종'!E21*G349</x:f>
        <x:v>2.0999999999999996</x:v>
      </x:c>
      <x:c r="T349" s="15" t="n">
        <x:f>'기준스탯 72종'!F21*G349</x:f>
        <x:v>2.9399999999999995</x:v>
      </x:c>
      <x:c r="U349" s="15" t="n">
        <x:f>'기준스탯 72종'!G21*G349</x:f>
        <x:v>3.7799999999999994</x:v>
      </x:c>
      <x:c r="V349" s="15" t="n">
        <x:f>'기준스탯 72종'!H21*G349</x:f>
        <x:v>1.6799999999999997</x:v>
      </x:c>
      <x:c r="W349" s="15" t="n">
        <x:f>'기준스탯 72종'!I21*G349</x:f>
        <x:v>2.0999999999999996</x:v>
      </x:c>
      <x:c r="X349" s="15" t="n">
        <x:f>'기준스탯 72종'!J21*G349</x:f>
        <x:v>2.5199999999999996</x:v>
      </x:c>
      <x:c r="Y349" s="15" t="n">
        <x:f>'기준스탯 72종'!K21*G349</x:f>
        <x:v>0.41999999999999993</x:v>
      </x:c>
      <x:c r="Z349" s="15" t="n">
        <x:f>'기준스탯 72종'!D21*H349</x:f>
        <x:v>0.4800000000000001</x:v>
      </x:c>
      <x:c r="AA349" s="15" t="n">
        <x:f>'기준스탯 72종'!E21*H349</x:f>
        <x:v>0.30000000000000004</x:v>
      </x:c>
      <x:c r="AB349" s="15" t="n">
        <x:f>'기준스탯 72종'!F21*H349</x:f>
        <x:v>0.4200000000000001</x:v>
      </x:c>
      <x:c r="AC349" s="15" t="n">
        <x:f>'기준스탯 72종'!G21*H349</x:f>
        <x:v>0.5400000000000001</x:v>
      </x:c>
      <x:c r="AD349" s="15" t="n">
        <x:f>'기준스탯 72종'!H21*H349</x:f>
        <x:v>0.24000000000000005</x:v>
      </x:c>
      <x:c r="AE349" s="15" t="n">
        <x:f>'기준스탯 72종'!I21*H349</x:f>
        <x:v>0.30000000000000004</x:v>
      </x:c>
      <x:c r="AF349" s="15" t="n">
        <x:f>'기준스탯 72종'!J21*H349</x:f>
        <x:v>0.3600000000000001</x:v>
      </x:c>
      <x:c r="AG349" s="15" t="n">
        <x:f>'기준스탯 72종'!K21*H349</x:f>
        <x:v>0.06000000000000001</x:v>
      </x:c>
    </x:row>
    <x:row r="350" ht="28" customHeight="1">
      <x:c r="A350" s="2" t="n">
        <x:v>343</x:v>
      </x:c>
      <x:c r="B350" s="2" t="n">
        <x:v>14</x:v>
      </x:c>
      <x:c r="C350" s="2" t="str">
        <x:v>쌍둥이자리</x:v>
      </x:c>
      <x:c r="D350" s="2" t="str">
        <x:v>마도사</x:v>
      </x:c>
      <x:c r="E350" s="2" t="n">
        <x:v>3</x:v>
      </x:c>
      <x:c r="F350" s="2" t="n">
        <x:v>4</x:v>
      </x:c>
      <x:c r="G350" s="14" t="n">
        <x:f>('레벨 계산식'!$E$4-E350)*'레벨 계산식'!$B$5</x:f>
        <x:v>0.27999999999999997</x:v>
      </x:c>
      <x:c r="H350" s="14" t="n">
        <x:f>('등급 계산식'!$E$4-F350)*'등급 계산식'!$B$5</x:f>
        <x:v>0.06000000000000001</x:v>
      </x:c>
      <x:c r="I350" s="14" t="n">
        <x:f>1-G350-H350</x:f>
        <x:v>0.6599999999999999</x:v>
      </x:c>
      <x:c r="J350" s="2" t="n">
        <x:f>MAX(1,ROUND('기준스탯 72종'!D21-R350-Z350,0))</x:f>
        <x:v>5</x:v>
      </x:c>
      <x:c r="K350" s="2" t="n">
        <x:f>MAX(1,ROUND('기준스탯 72종'!E21-S350-AA350,0))</x:f>
        <x:v>3</x:v>
      </x:c>
      <x:c r="L350" s="2" t="n">
        <x:f>MAX(1,ROUND('기준스탯 72종'!F21-T350-AB350,0))</x:f>
        <x:v>5</x:v>
      </x:c>
      <x:c r="M350" s="2" t="n">
        <x:f>MAX(1,ROUND('기준스탯 72종'!G21-U350-AC350,0))</x:f>
        <x:v>6</x:v>
      </x:c>
      <x:c r="N350" s="2" t="n">
        <x:f>MAX(0,ROUND('기준스탯 72종'!H21-V350-AD350,0))</x:f>
        <x:v>3</x:v>
      </x:c>
      <x:c r="O350" s="2" t="n">
        <x:f>MAX(0,ROUND('기준스탯 72종'!I21-W350-AE350,0))</x:f>
        <x:v>3</x:v>
      </x:c>
      <x:c r="P350" s="2" t="n">
        <x:f>MAX(0,ROUND('기준스탯 72종'!J21-X350-AF350,0))</x:f>
        <x:v>4</x:v>
      </x:c>
      <x:c r="Q350" s="2" t="n">
        <x:f>MAX(0,ROUND('기준스탯 72종'!K21-Y350-AG350,0))</x:f>
        <x:v>1</x:v>
      </x:c>
      <x:c r="R350" s="15" t="n">
        <x:f>'기준스탯 72종'!D21*G350</x:f>
        <x:v>2.2399999999999998</x:v>
      </x:c>
      <x:c r="S350" s="15" t="n">
        <x:f>'기준스탯 72종'!E21*G350</x:f>
        <x:v>1.4</x:v>
      </x:c>
      <x:c r="T350" s="15" t="n">
        <x:f>'기준스탯 72종'!F21*G350</x:f>
        <x:v>1.9599999999999997</x:v>
      </x:c>
      <x:c r="U350" s="15" t="n">
        <x:f>'기준스탯 72종'!G21*G350</x:f>
        <x:v>2.5199999999999996</x:v>
      </x:c>
      <x:c r="V350" s="15" t="n">
        <x:f>'기준스탯 72종'!H21*G350</x:f>
        <x:v>1.1199999999999999</x:v>
      </x:c>
      <x:c r="W350" s="15" t="n">
        <x:f>'기준스탯 72종'!I21*G350</x:f>
        <x:v>1.4</x:v>
      </x:c>
      <x:c r="X350" s="15" t="n">
        <x:f>'기준스탯 72종'!J21*G350</x:f>
        <x:v>1.6799999999999997</x:v>
      </x:c>
      <x:c r="Y350" s="15" t="n">
        <x:f>'기준스탯 72종'!K21*G350</x:f>
        <x:v>0.27999999999999997</x:v>
      </x:c>
      <x:c r="Z350" s="15" t="n">
        <x:f>'기준스탯 72종'!D21*H350</x:f>
        <x:v>0.4800000000000001</x:v>
      </x:c>
      <x:c r="AA350" s="15" t="n">
        <x:f>'기준스탯 72종'!E21*H350</x:f>
        <x:v>0.30000000000000004</x:v>
      </x:c>
      <x:c r="AB350" s="15" t="n">
        <x:f>'기준스탯 72종'!F21*H350</x:f>
        <x:v>0.4200000000000001</x:v>
      </x:c>
      <x:c r="AC350" s="15" t="n">
        <x:f>'기준스탯 72종'!G21*H350</x:f>
        <x:v>0.5400000000000001</x:v>
      </x:c>
      <x:c r="AD350" s="15" t="n">
        <x:f>'기준스탯 72종'!H21*H350</x:f>
        <x:v>0.24000000000000005</x:v>
      </x:c>
      <x:c r="AE350" s="15" t="n">
        <x:f>'기준스탯 72종'!I21*H350</x:f>
        <x:v>0.30000000000000004</x:v>
      </x:c>
      <x:c r="AF350" s="15" t="n">
        <x:f>'기준스탯 72종'!J21*H350</x:f>
        <x:v>0.3600000000000001</x:v>
      </x:c>
      <x:c r="AG350" s="15" t="n">
        <x:f>'기준스탯 72종'!K21*H350</x:f>
        <x:v>0.06000000000000001</x:v>
      </x:c>
    </x:row>
    <x:row r="351" ht="28" customHeight="1">
      <x:c r="A351" s="2" t="n">
        <x:v>344</x:v>
      </x:c>
      <x:c r="B351" s="2" t="n">
        <x:v>14</x:v>
      </x:c>
      <x:c r="C351" s="2" t="str">
        <x:v>쌍둥이자리</x:v>
      </x:c>
      <x:c r="D351" s="2" t="str">
        <x:v>마도사</x:v>
      </x:c>
      <x:c r="E351" s="2" t="n">
        <x:v>4</x:v>
      </x:c>
      <x:c r="F351" s="2" t="n">
        <x:v>4</x:v>
      </x:c>
      <x:c r="G351" s="14" t="n">
        <x:f>('레벨 계산식'!$E$4-E351)*'레벨 계산식'!$B$5</x:f>
        <x:v>0.13999999999999999</x:v>
      </x:c>
      <x:c r="H351" s="14" t="n">
        <x:f>('등급 계산식'!$E$4-F351)*'등급 계산식'!$B$5</x:f>
        <x:v>0.06000000000000001</x:v>
      </x:c>
      <x:c r="I351" s="14" t="n">
        <x:f>1-G351-H351</x:f>
        <x:v>0.7999999999999999</x:v>
      </x:c>
      <x:c r="J351" s="2" t="n">
        <x:f>MAX(1,ROUND('기준스탯 72종'!D21-R351-Z351,0))</x:f>
        <x:v>6</x:v>
      </x:c>
      <x:c r="K351" s="2" t="n">
        <x:f>MAX(1,ROUND('기준스탯 72종'!E21-S351-AA351,0))</x:f>
        <x:v>4</x:v>
      </x:c>
      <x:c r="L351" s="2" t="n">
        <x:f>MAX(1,ROUND('기준스탯 72종'!F21-T351-AB351,0))</x:f>
        <x:v>6</x:v>
      </x:c>
      <x:c r="M351" s="2" t="n">
        <x:f>MAX(1,ROUND('기준스탯 72종'!G21-U351-AC351,0))</x:f>
        <x:v>7</x:v>
      </x:c>
      <x:c r="N351" s="2" t="n">
        <x:f>MAX(0,ROUND('기준스탯 72종'!H21-V351-AD351,0))</x:f>
        <x:v>3</x:v>
      </x:c>
      <x:c r="O351" s="2" t="n">
        <x:f>MAX(0,ROUND('기준스탯 72종'!I21-W351-AE351,0))</x:f>
        <x:v>4</x:v>
      </x:c>
      <x:c r="P351" s="2" t="n">
        <x:f>MAX(0,ROUND('기준스탯 72종'!J21-X351-AF351,0))</x:f>
        <x:v>5</x:v>
      </x:c>
      <x:c r="Q351" s="2" t="n">
        <x:f>MAX(0,ROUND('기준스탯 72종'!K21-Y351-AG351,0))</x:f>
        <x:v>1</x:v>
      </x:c>
      <x:c r="R351" s="15" t="n">
        <x:f>'기준스탯 72종'!D21*G351</x:f>
        <x:v>1.1199999999999999</x:v>
      </x:c>
      <x:c r="S351" s="15" t="n">
        <x:f>'기준스탯 72종'!E21*G351</x:f>
        <x:v>0.7</x:v>
      </x:c>
      <x:c r="T351" s="15" t="n">
        <x:f>'기준스탯 72종'!F21*G351</x:f>
        <x:v>0.9799999999999999</x:v>
      </x:c>
      <x:c r="U351" s="15" t="n">
        <x:f>'기준스탯 72종'!G21*G351</x:f>
        <x:v>1.2599999999999998</x:v>
      </x:c>
      <x:c r="V351" s="15" t="n">
        <x:f>'기준스탯 72종'!H21*G351</x:f>
        <x:v>0.5599999999999999</x:v>
      </x:c>
      <x:c r="W351" s="15" t="n">
        <x:f>'기준스탯 72종'!I21*G351</x:f>
        <x:v>0.7</x:v>
      </x:c>
      <x:c r="X351" s="15" t="n">
        <x:f>'기준스탯 72종'!J21*G351</x:f>
        <x:v>0.8399999999999999</x:v>
      </x:c>
      <x:c r="Y351" s="15" t="n">
        <x:f>'기준스탯 72종'!K21*G351</x:f>
        <x:v>0.13999999999999999</x:v>
      </x:c>
      <x:c r="Z351" s="15" t="n">
        <x:f>'기준스탯 72종'!D21*H351</x:f>
        <x:v>0.4800000000000001</x:v>
      </x:c>
      <x:c r="AA351" s="15" t="n">
        <x:f>'기준스탯 72종'!E21*H351</x:f>
        <x:v>0.30000000000000004</x:v>
      </x:c>
      <x:c r="AB351" s="15" t="n">
        <x:f>'기준스탯 72종'!F21*H351</x:f>
        <x:v>0.4200000000000001</x:v>
      </x:c>
      <x:c r="AC351" s="15" t="n">
        <x:f>'기준스탯 72종'!G21*H351</x:f>
        <x:v>0.5400000000000001</x:v>
      </x:c>
      <x:c r="AD351" s="15" t="n">
        <x:f>'기준스탯 72종'!H21*H351</x:f>
        <x:v>0.24000000000000005</x:v>
      </x:c>
      <x:c r="AE351" s="15" t="n">
        <x:f>'기준스탯 72종'!I21*H351</x:f>
        <x:v>0.30000000000000004</x:v>
      </x:c>
      <x:c r="AF351" s="15" t="n">
        <x:f>'기준스탯 72종'!J21*H351</x:f>
        <x:v>0.3600000000000001</x:v>
      </x:c>
      <x:c r="AG351" s="15" t="n">
        <x:f>'기준스탯 72종'!K21*H351</x:f>
        <x:v>0.06000000000000001</x:v>
      </x:c>
    </x:row>
    <x:row r="352" ht="28" customHeight="1">
      <x:c r="A352" s="2" t="n">
        <x:v>345</x:v>
      </x:c>
      <x:c r="B352" s="2" t="n">
        <x:v>14</x:v>
      </x:c>
      <x:c r="C352" s="2" t="str">
        <x:v>쌍둥이자리</x:v>
      </x:c>
      <x:c r="D352" s="2" t="str">
        <x:v>마도사</x:v>
      </x:c>
      <x:c r="E352" s="2" t="n">
        <x:v>5</x:v>
      </x:c>
      <x:c r="F352" s="2" t="n">
        <x:v>4</x:v>
      </x:c>
      <x:c r="G352" s="14" t="n">
        <x:f>('레벨 계산식'!$E$4-E352)*'레벨 계산식'!$B$5</x:f>
        <x:v>0</x:v>
      </x:c>
      <x:c r="H352" s="14" t="n">
        <x:f>('등급 계산식'!$E$4-F352)*'등급 계산식'!$B$5</x:f>
        <x:v>0.06000000000000001</x:v>
      </x:c>
      <x:c r="I352" s="14" t="n">
        <x:f>1-G352-H352</x:f>
        <x:v>0.94</x:v>
      </x:c>
      <x:c r="J352" s="2" t="n">
        <x:f>MAX(1,ROUND('기준스탯 72종'!D21-R352-Z352,0))</x:f>
        <x:v>8</x:v>
      </x:c>
      <x:c r="K352" s="2" t="n">
        <x:f>MAX(1,ROUND('기준스탯 72종'!E21-S352-AA352,0))</x:f>
        <x:v>5</x:v>
      </x:c>
      <x:c r="L352" s="2" t="n">
        <x:f>MAX(1,ROUND('기준스탯 72종'!F21-T352-AB352,0))</x:f>
        <x:v>7</x:v>
      </x:c>
      <x:c r="M352" s="2" t="n">
        <x:f>MAX(1,ROUND('기준스탯 72종'!G21-U352-AC352,0))</x:f>
        <x:v>8</x:v>
      </x:c>
      <x:c r="N352" s="2" t="n">
        <x:f>MAX(0,ROUND('기준스탯 72종'!H21-V352-AD352,0))</x:f>
        <x:v>4</x:v>
      </x:c>
      <x:c r="O352" s="2" t="n">
        <x:f>MAX(0,ROUND('기준스탯 72종'!I21-W352-AE352,0))</x:f>
        <x:v>5</x:v>
      </x:c>
      <x:c r="P352" s="2" t="n">
        <x:f>MAX(0,ROUND('기준스탯 72종'!J21-X352-AF352,0))</x:f>
        <x:v>6</x:v>
      </x:c>
      <x:c r="Q352" s="2" t="n">
        <x:f>MAX(0,ROUND('기준스탯 72종'!K21-Y352-AG352,0))</x:f>
        <x:v>1</x:v>
      </x:c>
      <x:c r="R352" s="15" t="n">
        <x:f>'기준스탯 72종'!D21*G352</x:f>
        <x:v>0</x:v>
      </x:c>
      <x:c r="S352" s="15" t="n">
        <x:f>'기준스탯 72종'!E21*G352</x:f>
        <x:v>0</x:v>
      </x:c>
      <x:c r="T352" s="15" t="n">
        <x:f>'기준스탯 72종'!F21*G352</x:f>
        <x:v>0</x:v>
      </x:c>
      <x:c r="U352" s="15" t="n">
        <x:f>'기준스탯 72종'!G21*G352</x:f>
        <x:v>0</x:v>
      </x:c>
      <x:c r="V352" s="15" t="n">
        <x:f>'기준스탯 72종'!H21*G352</x:f>
        <x:v>0</x:v>
      </x:c>
      <x:c r="W352" s="15" t="n">
        <x:f>'기준스탯 72종'!I21*G352</x:f>
        <x:v>0</x:v>
      </x:c>
      <x:c r="X352" s="15" t="n">
        <x:f>'기준스탯 72종'!J21*G352</x:f>
        <x:v>0</x:v>
      </x:c>
      <x:c r="Y352" s="15" t="n">
        <x:f>'기준스탯 72종'!K21*G352</x:f>
        <x:v>0</x:v>
      </x:c>
      <x:c r="Z352" s="15" t="n">
        <x:f>'기준스탯 72종'!D21*H352</x:f>
        <x:v>0.4800000000000001</x:v>
      </x:c>
      <x:c r="AA352" s="15" t="n">
        <x:f>'기준스탯 72종'!E21*H352</x:f>
        <x:v>0.30000000000000004</x:v>
      </x:c>
      <x:c r="AB352" s="15" t="n">
        <x:f>'기준스탯 72종'!F21*H352</x:f>
        <x:v>0.4200000000000001</x:v>
      </x:c>
      <x:c r="AC352" s="15" t="n">
        <x:f>'기준스탯 72종'!G21*H352</x:f>
        <x:v>0.5400000000000001</x:v>
      </x:c>
      <x:c r="AD352" s="15" t="n">
        <x:f>'기준스탯 72종'!H21*H352</x:f>
        <x:v>0.24000000000000005</x:v>
      </x:c>
      <x:c r="AE352" s="15" t="n">
        <x:f>'기준스탯 72종'!I21*H352</x:f>
        <x:v>0.30000000000000004</x:v>
      </x:c>
      <x:c r="AF352" s="15" t="n">
        <x:f>'기준스탯 72종'!J21*H352</x:f>
        <x:v>0.3600000000000001</x:v>
      </x:c>
      <x:c r="AG352" s="15" t="n">
        <x:f>'기준스탯 72종'!K21*H352</x:f>
        <x:v>0.06000000000000001</x:v>
      </x:c>
    </x:row>
    <x:row r="353" ht="28" customHeight="1">
      <x:c r="A353" s="2" t="n">
        <x:v>346</x:v>
      </x:c>
      <x:c r="B353" s="2" t="n">
        <x:v>14</x:v>
      </x:c>
      <x:c r="C353" s="2" t="str">
        <x:v>쌍둥이자리</x:v>
      </x:c>
      <x:c r="D353" s="2" t="str">
        <x:v>마도사</x:v>
      </x:c>
      <x:c r="E353" s="2" t="n">
        <x:v>1</x:v>
      </x:c>
      <x:c r="F353" s="2" t="n">
        <x:v>5</x:v>
      </x:c>
      <x:c r="G353" s="14" t="n">
        <x:f>('레벨 계산식'!$E$4-E353)*'레벨 계산식'!$B$5</x:f>
        <x:v>0.5599999999999999</x:v>
      </x:c>
      <x:c r="H353" s="14" t="n">
        <x:f>('등급 계산식'!$E$4-F353)*'등급 계산식'!$B$5</x:f>
        <x:v>0</x:v>
      </x:c>
      <x:c r="I353" s="14" t="n">
        <x:f>1-G353-H353</x:f>
        <x:v>0.44000000000000006</x:v>
      </x:c>
      <x:c r="J353" s="2" t="n">
        <x:f>MAX(1,ROUND('기준스탯 72종'!D21-R353-Z353,0))</x:f>
        <x:v>4</x:v>
      </x:c>
      <x:c r="K353" s="2" t="n">
        <x:f>MAX(1,ROUND('기준스탯 72종'!E21-S353-AA353,0))</x:f>
        <x:v>2</x:v>
      </x:c>
      <x:c r="L353" s="2" t="n">
        <x:f>MAX(1,ROUND('기준스탯 72종'!F21-T353-AB353,0))</x:f>
        <x:v>3</x:v>
      </x:c>
      <x:c r="M353" s="2" t="n">
        <x:f>MAX(1,ROUND('기준스탯 72종'!G21-U353-AC353,0))</x:f>
        <x:v>4</x:v>
      </x:c>
      <x:c r="N353" s="2" t="n">
        <x:f>MAX(0,ROUND('기준스탯 72종'!H21-V353-AD353,0))</x:f>
        <x:v>2</x:v>
      </x:c>
      <x:c r="O353" s="2" t="n">
        <x:f>MAX(0,ROUND('기준스탯 72종'!I21-W353-AE353,0))</x:f>
        <x:v>2</x:v>
      </x:c>
      <x:c r="P353" s="2" t="n">
        <x:f>MAX(0,ROUND('기준스탯 72종'!J21-X353-AF353,0))</x:f>
        <x:v>3</x:v>
      </x:c>
      <x:c r="Q353" s="2" t="n">
        <x:f>MAX(0,ROUND('기준스탯 72종'!K21-Y353-AG353,0))</x:f>
        <x:v>0</x:v>
      </x:c>
      <x:c r="R353" s="15" t="n">
        <x:f>'기준스탯 72종'!D21*G353</x:f>
        <x:v>4.4799999999999995</x:v>
      </x:c>
      <x:c r="S353" s="15" t="n">
        <x:f>'기준스탯 72종'!E21*G353</x:f>
        <x:v>2.8</x:v>
      </x:c>
      <x:c r="T353" s="15" t="n">
        <x:f>'기준스탯 72종'!F21*G353</x:f>
        <x:v>3.9199999999999995</x:v>
      </x:c>
      <x:c r="U353" s="15" t="n">
        <x:f>'기준스탯 72종'!G21*G353</x:f>
        <x:v>5.039999999999999</x:v>
      </x:c>
      <x:c r="V353" s="15" t="n">
        <x:f>'기준스탯 72종'!H21*G353</x:f>
        <x:v>2.2399999999999998</x:v>
      </x:c>
      <x:c r="W353" s="15" t="n">
        <x:f>'기준스탯 72종'!I21*G353</x:f>
        <x:v>2.8</x:v>
      </x:c>
      <x:c r="X353" s="15" t="n">
        <x:f>'기준스탯 72종'!J21*G353</x:f>
        <x:v>3.3599999999999994</x:v>
      </x:c>
      <x:c r="Y353" s="15" t="n">
        <x:f>'기준스탯 72종'!K21*G353</x:f>
        <x:v>0.5599999999999999</x:v>
      </x:c>
      <x:c r="Z353" s="15" t="n">
        <x:f>'기준스탯 72종'!D21*H353</x:f>
        <x:v>0</x:v>
      </x:c>
      <x:c r="AA353" s="15" t="n">
        <x:f>'기준스탯 72종'!E21*H353</x:f>
        <x:v>0</x:v>
      </x:c>
      <x:c r="AB353" s="15" t="n">
        <x:f>'기준스탯 72종'!F21*H353</x:f>
        <x:v>0</x:v>
      </x:c>
      <x:c r="AC353" s="15" t="n">
        <x:f>'기준스탯 72종'!G21*H353</x:f>
        <x:v>0</x:v>
      </x:c>
      <x:c r="AD353" s="15" t="n">
        <x:f>'기준스탯 72종'!H21*H353</x:f>
        <x:v>0</x:v>
      </x:c>
      <x:c r="AE353" s="15" t="n">
        <x:f>'기준스탯 72종'!I21*H353</x:f>
        <x:v>0</x:v>
      </x:c>
      <x:c r="AF353" s="15" t="n">
        <x:f>'기준스탯 72종'!J21*H353</x:f>
        <x:v>0</x:v>
      </x:c>
      <x:c r="AG353" s="15" t="n">
        <x:f>'기준스탯 72종'!K21*H353</x:f>
        <x:v>0</x:v>
      </x:c>
    </x:row>
    <x:row r="354" ht="28" customHeight="1">
      <x:c r="A354" s="2" t="n">
        <x:v>347</x:v>
      </x:c>
      <x:c r="B354" s="2" t="n">
        <x:v>14</x:v>
      </x:c>
      <x:c r="C354" s="2" t="str">
        <x:v>쌍둥이자리</x:v>
      </x:c>
      <x:c r="D354" s="2" t="str">
        <x:v>마도사</x:v>
      </x:c>
      <x:c r="E354" s="2" t="n">
        <x:v>2</x:v>
      </x:c>
      <x:c r="F354" s="2" t="n">
        <x:v>5</x:v>
      </x:c>
      <x:c r="G354" s="14" t="n">
        <x:f>('레벨 계산식'!$E$4-E354)*'레벨 계산식'!$B$5</x:f>
        <x:v>0.41999999999999993</x:v>
      </x:c>
      <x:c r="H354" s="14" t="n">
        <x:f>('등급 계산식'!$E$4-F354)*'등급 계산식'!$B$5</x:f>
        <x:v>0</x:v>
      </x:c>
      <x:c r="I354" s="14" t="n">
        <x:f>1-G354-H354</x:f>
        <x:v>0.5800000000000001</x:v>
      </x:c>
      <x:c r="J354" s="2" t="n">
        <x:f>MAX(1,ROUND('기준스탯 72종'!D21-R354-Z354,0))</x:f>
        <x:v>5</x:v>
      </x:c>
      <x:c r="K354" s="2" t="n">
        <x:f>MAX(1,ROUND('기준스탯 72종'!E21-S354-AA354,0))</x:f>
        <x:v>3</x:v>
      </x:c>
      <x:c r="L354" s="2" t="n">
        <x:f>MAX(1,ROUND('기준스탯 72종'!F21-T354-AB354,0))</x:f>
        <x:v>4</x:v>
      </x:c>
      <x:c r="M354" s="2" t="n">
        <x:f>MAX(1,ROUND('기준스탯 72종'!G21-U354-AC354,0))</x:f>
        <x:v>5</x:v>
      </x:c>
      <x:c r="N354" s="2" t="n">
        <x:f>MAX(0,ROUND('기준스탯 72종'!H21-V354-AD354,0))</x:f>
        <x:v>2</x:v>
      </x:c>
      <x:c r="O354" s="2" t="n">
        <x:f>MAX(0,ROUND('기준스탯 72종'!I21-W354-AE354,0))</x:f>
        <x:v>3</x:v>
      </x:c>
      <x:c r="P354" s="2" t="n">
        <x:f>MAX(0,ROUND('기준스탯 72종'!J21-X354-AF354,0))</x:f>
        <x:v>3</x:v>
      </x:c>
      <x:c r="Q354" s="2" t="n">
        <x:f>MAX(0,ROUND('기준스탯 72종'!K21-Y354-AG354,0))</x:f>
        <x:v>1</x:v>
      </x:c>
      <x:c r="R354" s="15" t="n">
        <x:f>'기준스탯 72종'!D21*G354</x:f>
        <x:v>3.3599999999999994</x:v>
      </x:c>
      <x:c r="S354" s="15" t="n">
        <x:f>'기준스탯 72종'!E21*G354</x:f>
        <x:v>2.0999999999999996</x:v>
      </x:c>
      <x:c r="T354" s="15" t="n">
        <x:f>'기준스탯 72종'!F21*G354</x:f>
        <x:v>2.9399999999999995</x:v>
      </x:c>
      <x:c r="U354" s="15" t="n">
        <x:f>'기준스탯 72종'!G21*G354</x:f>
        <x:v>3.7799999999999994</x:v>
      </x:c>
      <x:c r="V354" s="15" t="n">
        <x:f>'기준스탯 72종'!H21*G354</x:f>
        <x:v>1.6799999999999997</x:v>
      </x:c>
      <x:c r="W354" s="15" t="n">
        <x:f>'기준스탯 72종'!I21*G354</x:f>
        <x:v>2.0999999999999996</x:v>
      </x:c>
      <x:c r="X354" s="15" t="n">
        <x:f>'기준스탯 72종'!J21*G354</x:f>
        <x:v>2.5199999999999996</x:v>
      </x:c>
      <x:c r="Y354" s="15" t="n">
        <x:f>'기준스탯 72종'!K21*G354</x:f>
        <x:v>0.41999999999999993</x:v>
      </x:c>
      <x:c r="Z354" s="15" t="n">
        <x:f>'기준스탯 72종'!D21*H354</x:f>
        <x:v>0</x:v>
      </x:c>
      <x:c r="AA354" s="15" t="n">
        <x:f>'기준스탯 72종'!E21*H354</x:f>
        <x:v>0</x:v>
      </x:c>
      <x:c r="AB354" s="15" t="n">
        <x:f>'기준스탯 72종'!F21*H354</x:f>
        <x:v>0</x:v>
      </x:c>
      <x:c r="AC354" s="15" t="n">
        <x:f>'기준스탯 72종'!G21*H354</x:f>
        <x:v>0</x:v>
      </x:c>
      <x:c r="AD354" s="15" t="n">
        <x:f>'기준스탯 72종'!H21*H354</x:f>
        <x:v>0</x:v>
      </x:c>
      <x:c r="AE354" s="15" t="n">
        <x:f>'기준스탯 72종'!I21*H354</x:f>
        <x:v>0</x:v>
      </x:c>
      <x:c r="AF354" s="15" t="n">
        <x:f>'기준스탯 72종'!J21*H354</x:f>
        <x:v>0</x:v>
      </x:c>
      <x:c r="AG354" s="15" t="n">
        <x:f>'기준스탯 72종'!K21*H354</x:f>
        <x:v>0</x:v>
      </x:c>
    </x:row>
    <x:row r="355" ht="28" customHeight="1">
      <x:c r="A355" s="2" t="n">
        <x:v>348</x:v>
      </x:c>
      <x:c r="B355" s="2" t="n">
        <x:v>14</x:v>
      </x:c>
      <x:c r="C355" s="2" t="str">
        <x:v>쌍둥이자리</x:v>
      </x:c>
      <x:c r="D355" s="2" t="str">
        <x:v>마도사</x:v>
      </x:c>
      <x:c r="E355" s="2" t="n">
        <x:v>3</x:v>
      </x:c>
      <x:c r="F355" s="2" t="n">
        <x:v>5</x:v>
      </x:c>
      <x:c r="G355" s="14" t="n">
        <x:f>('레벨 계산식'!$E$4-E355)*'레벨 계산식'!$B$5</x:f>
        <x:v>0.27999999999999997</x:v>
      </x:c>
      <x:c r="H355" s="14" t="n">
        <x:f>('등급 계산식'!$E$4-F355)*'등급 계산식'!$B$5</x:f>
        <x:v>0</x:v>
      </x:c>
      <x:c r="I355" s="14" t="n">
        <x:f>1-G355-H355</x:f>
        <x:v>0.72</x:v>
      </x:c>
      <x:c r="J355" s="2" t="n">
        <x:f>MAX(1,ROUND('기준스탯 72종'!D21-R355-Z355,0))</x:f>
        <x:v>6</x:v>
      </x:c>
      <x:c r="K355" s="2" t="n">
        <x:f>MAX(1,ROUND('기준스탯 72종'!E21-S355-AA355,0))</x:f>
        <x:v>4</x:v>
      </x:c>
      <x:c r="L355" s="2" t="n">
        <x:f>MAX(1,ROUND('기준스탯 72종'!F21-T355-AB355,0))</x:f>
        <x:v>5</x:v>
      </x:c>
      <x:c r="M355" s="2" t="n">
        <x:f>MAX(1,ROUND('기준스탯 72종'!G21-U355-AC355,0))</x:f>
        <x:v>6</x:v>
      </x:c>
      <x:c r="N355" s="2" t="n">
        <x:f>MAX(0,ROUND('기준스탯 72종'!H21-V355-AD355,0))</x:f>
        <x:v>3</x:v>
      </x:c>
      <x:c r="O355" s="2" t="n">
        <x:f>MAX(0,ROUND('기준스탯 72종'!I21-W355-AE355,0))</x:f>
        <x:v>4</x:v>
      </x:c>
      <x:c r="P355" s="2" t="n">
        <x:f>MAX(0,ROUND('기준스탯 72종'!J21-X355-AF355,0))</x:f>
        <x:v>4</x:v>
      </x:c>
      <x:c r="Q355" s="2" t="n">
        <x:f>MAX(0,ROUND('기준스탯 72종'!K21-Y355-AG355,0))</x:f>
        <x:v>1</x:v>
      </x:c>
      <x:c r="R355" s="15" t="n">
        <x:f>'기준스탯 72종'!D21*G355</x:f>
        <x:v>2.2399999999999998</x:v>
      </x:c>
      <x:c r="S355" s="15" t="n">
        <x:f>'기준스탯 72종'!E21*G355</x:f>
        <x:v>1.4</x:v>
      </x:c>
      <x:c r="T355" s="15" t="n">
        <x:f>'기준스탯 72종'!F21*G355</x:f>
        <x:v>1.9599999999999997</x:v>
      </x:c>
      <x:c r="U355" s="15" t="n">
        <x:f>'기준스탯 72종'!G21*G355</x:f>
        <x:v>2.5199999999999996</x:v>
      </x:c>
      <x:c r="V355" s="15" t="n">
        <x:f>'기준스탯 72종'!H21*G355</x:f>
        <x:v>1.1199999999999999</x:v>
      </x:c>
      <x:c r="W355" s="15" t="n">
        <x:f>'기준스탯 72종'!I21*G355</x:f>
        <x:v>1.4</x:v>
      </x:c>
      <x:c r="X355" s="15" t="n">
        <x:f>'기준스탯 72종'!J21*G355</x:f>
        <x:v>1.6799999999999997</x:v>
      </x:c>
      <x:c r="Y355" s="15" t="n">
        <x:f>'기준스탯 72종'!K21*G355</x:f>
        <x:v>0.27999999999999997</x:v>
      </x:c>
      <x:c r="Z355" s="15" t="n">
        <x:f>'기준스탯 72종'!D21*H355</x:f>
        <x:v>0</x:v>
      </x:c>
      <x:c r="AA355" s="15" t="n">
        <x:f>'기준스탯 72종'!E21*H355</x:f>
        <x:v>0</x:v>
      </x:c>
      <x:c r="AB355" s="15" t="n">
        <x:f>'기준스탯 72종'!F21*H355</x:f>
        <x:v>0</x:v>
      </x:c>
      <x:c r="AC355" s="15" t="n">
        <x:f>'기준스탯 72종'!G21*H355</x:f>
        <x:v>0</x:v>
      </x:c>
      <x:c r="AD355" s="15" t="n">
        <x:f>'기준스탯 72종'!H21*H355</x:f>
        <x:v>0</x:v>
      </x:c>
      <x:c r="AE355" s="15" t="n">
        <x:f>'기준스탯 72종'!I21*H355</x:f>
        <x:v>0</x:v>
      </x:c>
      <x:c r="AF355" s="15" t="n">
        <x:f>'기준스탯 72종'!J21*H355</x:f>
        <x:v>0</x:v>
      </x:c>
      <x:c r="AG355" s="15" t="n">
        <x:f>'기준스탯 72종'!K21*H355</x:f>
        <x:v>0</x:v>
      </x:c>
    </x:row>
    <x:row r="356" ht="28" customHeight="1">
      <x:c r="A356" s="2" t="n">
        <x:v>349</x:v>
      </x:c>
      <x:c r="B356" s="2" t="n">
        <x:v>14</x:v>
      </x:c>
      <x:c r="C356" s="2" t="str">
        <x:v>쌍둥이자리</x:v>
      </x:c>
      <x:c r="D356" s="2" t="str">
        <x:v>마도사</x:v>
      </x:c>
      <x:c r="E356" s="2" t="n">
        <x:v>4</x:v>
      </x:c>
      <x:c r="F356" s="2" t="n">
        <x:v>5</x:v>
      </x:c>
      <x:c r="G356" s="14" t="n">
        <x:f>('레벨 계산식'!$E$4-E356)*'레벨 계산식'!$B$5</x:f>
        <x:v>0.13999999999999999</x:v>
      </x:c>
      <x:c r="H356" s="14" t="n">
        <x:f>('등급 계산식'!$E$4-F356)*'등급 계산식'!$B$5</x:f>
        <x:v>0</x:v>
      </x:c>
      <x:c r="I356" s="14" t="n">
        <x:f>1-G356-H356</x:f>
        <x:v>0.86</x:v>
      </x:c>
      <x:c r="J356" s="2" t="n">
        <x:f>MAX(1,ROUND('기준스탯 72종'!D21-R356-Z356,0))</x:f>
        <x:v>7</x:v>
      </x:c>
      <x:c r="K356" s="2" t="n">
        <x:f>MAX(1,ROUND('기준스탯 72종'!E21-S356-AA356,0))</x:f>
        <x:v>4</x:v>
      </x:c>
      <x:c r="L356" s="2" t="n">
        <x:f>MAX(1,ROUND('기준스탯 72종'!F21-T356-AB356,0))</x:f>
        <x:v>6</x:v>
      </x:c>
      <x:c r="M356" s="2" t="n">
        <x:f>MAX(1,ROUND('기준스탯 72종'!G21-U356-AC356,0))</x:f>
        <x:v>8</x:v>
      </x:c>
      <x:c r="N356" s="2" t="n">
        <x:f>MAX(0,ROUND('기준스탯 72종'!H21-V356-AD356,0))</x:f>
        <x:v>3</x:v>
      </x:c>
      <x:c r="O356" s="2" t="n">
        <x:f>MAX(0,ROUND('기준스탯 72종'!I21-W356-AE356,0))</x:f>
        <x:v>4</x:v>
      </x:c>
      <x:c r="P356" s="2" t="n">
        <x:f>MAX(0,ROUND('기준스탯 72종'!J21-X356-AF356,0))</x:f>
        <x:v>5</x:v>
      </x:c>
      <x:c r="Q356" s="2" t="n">
        <x:f>MAX(0,ROUND('기준스탯 72종'!K21-Y356-AG356,0))</x:f>
        <x:v>1</x:v>
      </x:c>
      <x:c r="R356" s="15" t="n">
        <x:f>'기준스탯 72종'!D21*G356</x:f>
        <x:v>1.1199999999999999</x:v>
      </x:c>
      <x:c r="S356" s="15" t="n">
        <x:f>'기준스탯 72종'!E21*G356</x:f>
        <x:v>0.7</x:v>
      </x:c>
      <x:c r="T356" s="15" t="n">
        <x:f>'기준스탯 72종'!F21*G356</x:f>
        <x:v>0.9799999999999999</x:v>
      </x:c>
      <x:c r="U356" s="15" t="n">
        <x:f>'기준스탯 72종'!G21*G356</x:f>
        <x:v>1.2599999999999998</x:v>
      </x:c>
      <x:c r="V356" s="15" t="n">
        <x:f>'기준스탯 72종'!H21*G356</x:f>
        <x:v>0.5599999999999999</x:v>
      </x:c>
      <x:c r="W356" s="15" t="n">
        <x:f>'기준스탯 72종'!I21*G356</x:f>
        <x:v>0.7</x:v>
      </x:c>
      <x:c r="X356" s="15" t="n">
        <x:f>'기준스탯 72종'!J21*G356</x:f>
        <x:v>0.8399999999999999</x:v>
      </x:c>
      <x:c r="Y356" s="15" t="n">
        <x:f>'기준스탯 72종'!K21*G356</x:f>
        <x:v>0.13999999999999999</x:v>
      </x:c>
      <x:c r="Z356" s="15" t="n">
        <x:f>'기준스탯 72종'!D21*H356</x:f>
        <x:v>0</x:v>
      </x:c>
      <x:c r="AA356" s="15" t="n">
        <x:f>'기준스탯 72종'!E21*H356</x:f>
        <x:v>0</x:v>
      </x:c>
      <x:c r="AB356" s="15" t="n">
        <x:f>'기준스탯 72종'!F21*H356</x:f>
        <x:v>0</x:v>
      </x:c>
      <x:c r="AC356" s="15" t="n">
        <x:f>'기준스탯 72종'!G21*H356</x:f>
        <x:v>0</x:v>
      </x:c>
      <x:c r="AD356" s="15" t="n">
        <x:f>'기준스탯 72종'!H21*H356</x:f>
        <x:v>0</x:v>
      </x:c>
      <x:c r="AE356" s="15" t="n">
        <x:f>'기준스탯 72종'!I21*H356</x:f>
        <x:v>0</x:v>
      </x:c>
      <x:c r="AF356" s="15" t="n">
        <x:f>'기준스탯 72종'!J21*H356</x:f>
        <x:v>0</x:v>
      </x:c>
      <x:c r="AG356" s="15" t="n">
        <x:f>'기준스탯 72종'!K21*H356</x:f>
        <x:v>0</x:v>
      </x:c>
    </x:row>
    <x:row r="357" ht="28" customHeight="1">
      <x:c r="A357" s="2" t="n">
        <x:v>350</x:v>
      </x:c>
      <x:c r="B357" s="2" t="n">
        <x:v>14</x:v>
      </x:c>
      <x:c r="C357" s="2" t="str">
        <x:v>쌍둥이자리</x:v>
      </x:c>
      <x:c r="D357" s="2" t="str">
        <x:v>마도사</x:v>
      </x:c>
      <x:c r="E357" s="2" t="n">
        <x:v>5</x:v>
      </x:c>
      <x:c r="F357" s="2" t="n">
        <x:v>5</x:v>
      </x:c>
      <x:c r="G357" s="14" t="n">
        <x:f>('레벨 계산식'!$E$4-E357)*'레벨 계산식'!$B$5</x:f>
        <x:v>0</x:v>
      </x:c>
      <x:c r="H357" s="14" t="n">
        <x:f>('등급 계산식'!$E$4-F357)*'등급 계산식'!$B$5</x:f>
        <x:v>0</x:v>
      </x:c>
      <x:c r="I357" s="14" t="n">
        <x:f>1-G357-H357</x:f>
        <x:v>1</x:v>
      </x:c>
      <x:c r="J357" s="2" t="n">
        <x:f>MAX(1,ROUND('기준스탯 72종'!D21-R357-Z357,0))</x:f>
        <x:v>8</x:v>
      </x:c>
      <x:c r="K357" s="2" t="n">
        <x:f>MAX(1,ROUND('기준스탯 72종'!E21-S357-AA357,0))</x:f>
        <x:v>5</x:v>
      </x:c>
      <x:c r="L357" s="2" t="n">
        <x:f>MAX(1,ROUND('기준스탯 72종'!F21-T357-AB357,0))</x:f>
        <x:v>7</x:v>
      </x:c>
      <x:c r="M357" s="2" t="n">
        <x:f>MAX(1,ROUND('기준스탯 72종'!G21-U357-AC357,0))</x:f>
        <x:v>9</x:v>
      </x:c>
      <x:c r="N357" s="2" t="n">
        <x:f>MAX(0,ROUND('기준스탯 72종'!H21-V357-AD357,0))</x:f>
        <x:v>4</x:v>
      </x:c>
      <x:c r="O357" s="2" t="n">
        <x:f>MAX(0,ROUND('기준스탯 72종'!I21-W357-AE357,0))</x:f>
        <x:v>5</x:v>
      </x:c>
      <x:c r="P357" s="2" t="n">
        <x:f>MAX(0,ROUND('기준스탯 72종'!J21-X357-AF357,0))</x:f>
        <x:v>6</x:v>
      </x:c>
      <x:c r="Q357" s="2" t="n">
        <x:f>MAX(0,ROUND('기준스탯 72종'!K21-Y357-AG357,0))</x:f>
        <x:v>1</x:v>
      </x:c>
      <x:c r="R357" s="15" t="n">
        <x:f>'기준스탯 72종'!D21*G357</x:f>
        <x:v>0</x:v>
      </x:c>
      <x:c r="S357" s="15" t="n">
        <x:f>'기준스탯 72종'!E21*G357</x:f>
        <x:v>0</x:v>
      </x:c>
      <x:c r="T357" s="15" t="n">
        <x:f>'기준스탯 72종'!F21*G357</x:f>
        <x:v>0</x:v>
      </x:c>
      <x:c r="U357" s="15" t="n">
        <x:f>'기준스탯 72종'!G21*G357</x:f>
        <x:v>0</x:v>
      </x:c>
      <x:c r="V357" s="15" t="n">
        <x:f>'기준스탯 72종'!H21*G357</x:f>
        <x:v>0</x:v>
      </x:c>
      <x:c r="W357" s="15" t="n">
        <x:f>'기준스탯 72종'!I21*G357</x:f>
        <x:v>0</x:v>
      </x:c>
      <x:c r="X357" s="15" t="n">
        <x:f>'기준스탯 72종'!J21*G357</x:f>
        <x:v>0</x:v>
      </x:c>
      <x:c r="Y357" s="15" t="n">
        <x:f>'기준스탯 72종'!K21*G357</x:f>
        <x:v>0</x:v>
      </x:c>
      <x:c r="Z357" s="15" t="n">
        <x:f>'기준스탯 72종'!D21*H357</x:f>
        <x:v>0</x:v>
      </x:c>
      <x:c r="AA357" s="15" t="n">
        <x:f>'기준스탯 72종'!E21*H357</x:f>
        <x:v>0</x:v>
      </x:c>
      <x:c r="AB357" s="15" t="n">
        <x:f>'기준스탯 72종'!F21*H357</x:f>
        <x:v>0</x:v>
      </x:c>
      <x:c r="AC357" s="15" t="n">
        <x:f>'기준스탯 72종'!G21*H357</x:f>
        <x:v>0</x:v>
      </x:c>
      <x:c r="AD357" s="15" t="n">
        <x:f>'기준스탯 72종'!H21*H357</x:f>
        <x:v>0</x:v>
      </x:c>
      <x:c r="AE357" s="15" t="n">
        <x:f>'기준스탯 72종'!I21*H357</x:f>
        <x:v>0</x:v>
      </x:c>
      <x:c r="AF357" s="15" t="n">
        <x:f>'기준스탯 72종'!J21*H357</x:f>
        <x:v>0</x:v>
      </x:c>
      <x:c r="AG357" s="15" t="n">
        <x:f>'기준스탯 72종'!K21*H357</x:f>
        <x:v>0</x:v>
      </x:c>
    </x:row>
    <x:row r="358" ht="28" customHeight="1">
      <x:c r="A358" s="2" t="n">
        <x:v>351</x:v>
      </x:c>
      <x:c r="B358" s="2" t="n">
        <x:v>15</x:v>
      </x:c>
      <x:c r="C358" s="2" t="str">
        <x:v>쌍둥이자리</x:v>
      </x:c>
      <x:c r="D358" s="2" t="str">
        <x:v>사수</x:v>
      </x:c>
      <x:c r="E358" s="2" t="n">
        <x:v>1</x:v>
      </x:c>
      <x:c r="F358" s="2" t="n">
        <x:v>1</x:v>
      </x:c>
      <x:c r="G358" s="14" t="n">
        <x:f>('레벨 계산식'!$E$4-E358)*'레벨 계산식'!$B$5</x:f>
        <x:v>0.5599999999999999</x:v>
      </x:c>
      <x:c r="H358" s="14" t="n">
        <x:f>('등급 계산식'!$E$4-F358)*'등급 계산식'!$B$5</x:f>
        <x:v>0.24000000000000005</x:v>
      </x:c>
      <x:c r="I358" s="14" t="n">
        <x:f>1-G358-H358</x:f>
        <x:v>0.2</x:v>
      </x:c>
      <x:c r="J358" s="2" t="n">
        <x:f>MAX(1,ROUND('기준스탯 72종'!D22-R358-Z358,0))</x:f>
        <x:v>1</x:v>
      </x:c>
      <x:c r="K358" s="2" t="n">
        <x:f>MAX(1,ROUND('기준스탯 72종'!E22-S358-AA358,0))</x:f>
        <x:v>1</x:v>
      </x:c>
      <x:c r="L358" s="2" t="n">
        <x:f>MAX(1,ROUND('기준스탯 72종'!F22-T358-AB358,0))</x:f>
        <x:v>1</x:v>
      </x:c>
      <x:c r="M358" s="2" t="n">
        <x:f>MAX(1,ROUND('기준스탯 72종'!G22-U358-AC358,0))</x:f>
        <x:v>2</x:v>
      </x:c>
      <x:c r="N358" s="2" t="n">
        <x:f>MAX(0,ROUND('기준스탯 72종'!H22-V358-AD358,0))</x:f>
        <x:v>1</x:v>
      </x:c>
      <x:c r="O358" s="2" t="n">
        <x:f>MAX(0,ROUND('기준스탯 72종'!I22-W358-AE358,0))</x:f>
        <x:v>1</x:v>
      </x:c>
      <x:c r="P358" s="2" t="n">
        <x:f>MAX(0,ROUND('기준스탯 72종'!J22-X358-AF358,0))</x:f>
        <x:v>1</x:v>
      </x:c>
      <x:c r="Q358" s="2" t="n">
        <x:f>MAX(0,ROUND('기준스탯 72종'!K22-Y358-AG358,0))</x:f>
        <x:v>0</x:v>
      </x:c>
      <x:c r="R358" s="15" t="n">
        <x:f>'기준스탯 72종'!D22*G358</x:f>
        <x:v>3.9199999999999995</x:v>
      </x:c>
      <x:c r="S358" s="15" t="n">
        <x:f>'기준스탯 72종'!E22*G358</x:f>
        <x:v>3.3599999999999994</x:v>
      </x:c>
      <x:c r="T358" s="15" t="n">
        <x:f>'기준스탯 72종'!F22*G358</x:f>
        <x:v>3.9199999999999995</x:v>
      </x:c>
      <x:c r="U358" s="15" t="n">
        <x:f>'기준스탯 72종'!G22*G358</x:f>
        <x:v>5.6</x:v>
      </x:c>
      <x:c r="V358" s="15" t="n">
        <x:f>'기준스탯 72종'!H22*G358</x:f>
        <x:v>2.8</x:v>
      </x:c>
      <x:c r="W358" s="15" t="n">
        <x:f>'기준스탯 72종'!I22*G358</x:f>
        <x:v>1.6799999999999997</x:v>
      </x:c>
      <x:c r="X358" s="15" t="n">
        <x:f>'기준스탯 72종'!J22*G358</x:f>
        <x:v>3.9199999999999995</x:v>
      </x:c>
      <x:c r="Y358" s="15" t="n">
        <x:f>'기준스탯 72종'!K22*G358</x:f>
        <x:v>0.5599999999999999</x:v>
      </x:c>
      <x:c r="Z358" s="15" t="n">
        <x:f>'기준스탯 72종'!D22*H358</x:f>
        <x:v>1.6800000000000004</x:v>
      </x:c>
      <x:c r="AA358" s="15" t="n">
        <x:f>'기준스탯 72종'!E22*H358</x:f>
        <x:v>1.4400000000000004</x:v>
      </x:c>
      <x:c r="AB358" s="15" t="n">
        <x:f>'기준스탯 72종'!F22*H358</x:f>
        <x:v>1.6800000000000004</x:v>
      </x:c>
      <x:c r="AC358" s="15" t="n">
        <x:f>'기준스탯 72종'!G22*H358</x:f>
        <x:v>2.4000000000000004</x:v>
      </x:c>
      <x:c r="AD358" s="15" t="n">
        <x:f>'기준스탯 72종'!H22*H358</x:f>
        <x:v>1.2000000000000002</x:v>
      </x:c>
      <x:c r="AE358" s="15" t="n">
        <x:f>'기준스탯 72종'!I22*H358</x:f>
        <x:v>0.7200000000000002</x:v>
      </x:c>
      <x:c r="AF358" s="15" t="n">
        <x:f>'기준스탯 72종'!J22*H358</x:f>
        <x:v>1.6800000000000004</x:v>
      </x:c>
      <x:c r="AG358" s="15" t="n">
        <x:f>'기준스탯 72종'!K22*H358</x:f>
        <x:v>0.24000000000000005</x:v>
      </x:c>
    </x:row>
    <x:row r="359" ht="28" customHeight="1">
      <x:c r="A359" s="2" t="n">
        <x:v>352</x:v>
      </x:c>
      <x:c r="B359" s="2" t="n">
        <x:v>15</x:v>
      </x:c>
      <x:c r="C359" s="2" t="str">
        <x:v>쌍둥이자리</x:v>
      </x:c>
      <x:c r="D359" s="2" t="str">
        <x:v>사수</x:v>
      </x:c>
      <x:c r="E359" s="2" t="n">
        <x:v>2</x:v>
      </x:c>
      <x:c r="F359" s="2" t="n">
        <x:v>1</x:v>
      </x:c>
      <x:c r="G359" s="14" t="n">
        <x:f>('레벨 계산식'!$E$4-E359)*'레벨 계산식'!$B$5</x:f>
        <x:v>0.41999999999999993</x:v>
      </x:c>
      <x:c r="H359" s="14" t="n">
        <x:f>('등급 계산식'!$E$4-F359)*'등급 계산식'!$B$5</x:f>
        <x:v>0.24000000000000005</x:v>
      </x:c>
      <x:c r="I359" s="14" t="n">
        <x:f>1-G359-H359</x:f>
        <x:v>0.34</x:v>
      </x:c>
      <x:c r="J359" s="2" t="n">
        <x:f>MAX(1,ROUND('기준스탯 72종'!D22-R359-Z359,0))</x:f>
        <x:v>2</x:v>
      </x:c>
      <x:c r="K359" s="2" t="n">
        <x:f>MAX(1,ROUND('기준스탯 72종'!E22-S359-AA359,0))</x:f>
        <x:v>2</x:v>
      </x:c>
      <x:c r="L359" s="2" t="n">
        <x:f>MAX(1,ROUND('기준스탯 72종'!F22-T359-AB359,0))</x:f>
        <x:v>2</x:v>
      </x:c>
      <x:c r="M359" s="2" t="n">
        <x:f>MAX(1,ROUND('기준스탯 72종'!G22-U359-AC359,0))</x:f>
        <x:v>3</x:v>
      </x:c>
      <x:c r="N359" s="2" t="n">
        <x:f>MAX(0,ROUND('기준스탯 72종'!H22-V359-AD359,0))</x:f>
        <x:v>2</x:v>
      </x:c>
      <x:c r="O359" s="2" t="n">
        <x:f>MAX(0,ROUND('기준스탯 72종'!I22-W359-AE359,0))</x:f>
        <x:v>1</x:v>
      </x:c>
      <x:c r="P359" s="2" t="n">
        <x:f>MAX(0,ROUND('기준스탯 72종'!J22-X359-AF359,0))</x:f>
        <x:v>2</x:v>
      </x:c>
      <x:c r="Q359" s="2" t="n">
        <x:f>MAX(0,ROUND('기준스탯 72종'!K22-Y359-AG359,0))</x:f>
        <x:v>0</x:v>
      </x:c>
      <x:c r="R359" s="15" t="n">
        <x:f>'기준스탯 72종'!D22*G359</x:f>
        <x:v>2.9399999999999995</x:v>
      </x:c>
      <x:c r="S359" s="15" t="n">
        <x:f>'기준스탯 72종'!E22*G359</x:f>
        <x:v>2.5199999999999996</x:v>
      </x:c>
      <x:c r="T359" s="15" t="n">
        <x:f>'기준스탯 72종'!F22*G359</x:f>
        <x:v>2.9399999999999995</x:v>
      </x:c>
      <x:c r="U359" s="15" t="n">
        <x:f>'기준스탯 72종'!G22*G359</x:f>
        <x:v>4.199999999999999</x:v>
      </x:c>
      <x:c r="V359" s="15" t="n">
        <x:f>'기준스탯 72종'!H22*G359</x:f>
        <x:v>2.0999999999999996</x:v>
      </x:c>
      <x:c r="W359" s="15" t="n">
        <x:f>'기준스탯 72종'!I22*G359</x:f>
        <x:v>1.2599999999999998</x:v>
      </x:c>
      <x:c r="X359" s="15" t="n">
        <x:f>'기준스탯 72종'!J22*G359</x:f>
        <x:v>2.9399999999999995</x:v>
      </x:c>
      <x:c r="Y359" s="15" t="n">
        <x:f>'기준스탯 72종'!K22*G359</x:f>
        <x:v>0.41999999999999993</x:v>
      </x:c>
      <x:c r="Z359" s="15" t="n">
        <x:f>'기준스탯 72종'!D22*H359</x:f>
        <x:v>1.6800000000000004</x:v>
      </x:c>
      <x:c r="AA359" s="15" t="n">
        <x:f>'기준스탯 72종'!E22*H359</x:f>
        <x:v>1.4400000000000004</x:v>
      </x:c>
      <x:c r="AB359" s="15" t="n">
        <x:f>'기준스탯 72종'!F22*H359</x:f>
        <x:v>1.6800000000000004</x:v>
      </x:c>
      <x:c r="AC359" s="15" t="n">
        <x:f>'기준스탯 72종'!G22*H359</x:f>
        <x:v>2.4000000000000004</x:v>
      </x:c>
      <x:c r="AD359" s="15" t="n">
        <x:f>'기준스탯 72종'!H22*H359</x:f>
        <x:v>1.2000000000000002</x:v>
      </x:c>
      <x:c r="AE359" s="15" t="n">
        <x:f>'기준스탯 72종'!I22*H359</x:f>
        <x:v>0.7200000000000002</x:v>
      </x:c>
      <x:c r="AF359" s="15" t="n">
        <x:f>'기준스탯 72종'!J22*H359</x:f>
        <x:v>1.6800000000000004</x:v>
      </x:c>
      <x:c r="AG359" s="15" t="n">
        <x:f>'기준스탯 72종'!K22*H359</x:f>
        <x:v>0.24000000000000005</x:v>
      </x:c>
    </x:row>
    <x:row r="360" ht="28" customHeight="1">
      <x:c r="A360" s="2" t="n">
        <x:v>353</x:v>
      </x:c>
      <x:c r="B360" s="2" t="n">
        <x:v>15</x:v>
      </x:c>
      <x:c r="C360" s="2" t="str">
        <x:v>쌍둥이자리</x:v>
      </x:c>
      <x:c r="D360" s="2" t="str">
        <x:v>사수</x:v>
      </x:c>
      <x:c r="E360" s="2" t="n">
        <x:v>3</x:v>
      </x:c>
      <x:c r="F360" s="2" t="n">
        <x:v>1</x:v>
      </x:c>
      <x:c r="G360" s="14" t="n">
        <x:f>('레벨 계산식'!$E$4-E360)*'레벨 계산식'!$B$5</x:f>
        <x:v>0.27999999999999997</x:v>
      </x:c>
      <x:c r="H360" s="14" t="n">
        <x:f>('등급 계산식'!$E$4-F360)*'등급 계산식'!$B$5</x:f>
        <x:v>0.24000000000000005</x:v>
      </x:c>
      <x:c r="I360" s="14" t="n">
        <x:f>1-G360-H360</x:f>
        <x:v>0.4799999999999999</x:v>
      </x:c>
      <x:c r="J360" s="2" t="n">
        <x:f>MAX(1,ROUND('기준스탯 72종'!D22-R360-Z360,0))</x:f>
        <x:v>3</x:v>
      </x:c>
      <x:c r="K360" s="2" t="n">
        <x:f>MAX(1,ROUND('기준스탯 72종'!E22-S360-AA360,0))</x:f>
        <x:v>3</x:v>
      </x:c>
      <x:c r="L360" s="2" t="n">
        <x:f>MAX(1,ROUND('기준스탯 72종'!F22-T360-AB360,0))</x:f>
        <x:v>3</x:v>
      </x:c>
      <x:c r="M360" s="2" t="n">
        <x:f>MAX(1,ROUND('기준스탯 72종'!G22-U360-AC360,0))</x:f>
        <x:v>5</x:v>
      </x:c>
      <x:c r="N360" s="2" t="n">
        <x:f>MAX(0,ROUND('기준스탯 72종'!H22-V360-AD360,0))</x:f>
        <x:v>2</x:v>
      </x:c>
      <x:c r="O360" s="2" t="n">
        <x:f>MAX(0,ROUND('기준스탯 72종'!I22-W360-AE360,0))</x:f>
        <x:v>1</x:v>
      </x:c>
      <x:c r="P360" s="2" t="n">
        <x:f>MAX(0,ROUND('기준스탯 72종'!J22-X360-AF360,0))</x:f>
        <x:v>3</x:v>
      </x:c>
      <x:c r="Q360" s="2" t="n">
        <x:f>MAX(0,ROUND('기준스탯 72종'!K22-Y360-AG360,0))</x:f>
        <x:v>0</x:v>
      </x:c>
      <x:c r="R360" s="15" t="n">
        <x:f>'기준스탯 72종'!D22*G360</x:f>
        <x:v>1.9599999999999997</x:v>
      </x:c>
      <x:c r="S360" s="15" t="n">
        <x:f>'기준스탯 72종'!E22*G360</x:f>
        <x:v>1.6799999999999997</x:v>
      </x:c>
      <x:c r="T360" s="15" t="n">
        <x:f>'기준스탯 72종'!F22*G360</x:f>
        <x:v>1.9599999999999997</x:v>
      </x:c>
      <x:c r="U360" s="15" t="n">
        <x:f>'기준스탯 72종'!G22*G360</x:f>
        <x:v>2.8</x:v>
      </x:c>
      <x:c r="V360" s="15" t="n">
        <x:f>'기준스탯 72종'!H22*G360</x:f>
        <x:v>1.4</x:v>
      </x:c>
      <x:c r="W360" s="15" t="n">
        <x:f>'기준스탯 72종'!I22*G360</x:f>
        <x:v>0.8399999999999999</x:v>
      </x:c>
      <x:c r="X360" s="15" t="n">
        <x:f>'기준스탯 72종'!J22*G360</x:f>
        <x:v>1.9599999999999997</x:v>
      </x:c>
      <x:c r="Y360" s="15" t="n">
        <x:f>'기준스탯 72종'!K22*G360</x:f>
        <x:v>0.27999999999999997</x:v>
      </x:c>
      <x:c r="Z360" s="15" t="n">
        <x:f>'기준스탯 72종'!D22*H360</x:f>
        <x:v>1.6800000000000004</x:v>
      </x:c>
      <x:c r="AA360" s="15" t="n">
        <x:f>'기준스탯 72종'!E22*H360</x:f>
        <x:v>1.4400000000000004</x:v>
      </x:c>
      <x:c r="AB360" s="15" t="n">
        <x:f>'기준스탯 72종'!F22*H360</x:f>
        <x:v>1.6800000000000004</x:v>
      </x:c>
      <x:c r="AC360" s="15" t="n">
        <x:f>'기준스탯 72종'!G22*H360</x:f>
        <x:v>2.4000000000000004</x:v>
      </x:c>
      <x:c r="AD360" s="15" t="n">
        <x:f>'기준스탯 72종'!H22*H360</x:f>
        <x:v>1.2000000000000002</x:v>
      </x:c>
      <x:c r="AE360" s="15" t="n">
        <x:f>'기준스탯 72종'!I22*H360</x:f>
        <x:v>0.7200000000000002</x:v>
      </x:c>
      <x:c r="AF360" s="15" t="n">
        <x:f>'기준스탯 72종'!J22*H360</x:f>
        <x:v>1.6800000000000004</x:v>
      </x:c>
      <x:c r="AG360" s="15" t="n">
        <x:f>'기준스탯 72종'!K22*H360</x:f>
        <x:v>0.24000000000000005</x:v>
      </x:c>
    </x:row>
    <x:row r="361" ht="28" customHeight="1">
      <x:c r="A361" s="2" t="n">
        <x:v>354</x:v>
      </x:c>
      <x:c r="B361" s="2" t="n">
        <x:v>15</x:v>
      </x:c>
      <x:c r="C361" s="2" t="str">
        <x:v>쌍둥이자리</x:v>
      </x:c>
      <x:c r="D361" s="2" t="str">
        <x:v>사수</x:v>
      </x:c>
      <x:c r="E361" s="2" t="n">
        <x:v>4</x:v>
      </x:c>
      <x:c r="F361" s="2" t="n">
        <x:v>1</x:v>
      </x:c>
      <x:c r="G361" s="14" t="n">
        <x:f>('레벨 계산식'!$E$4-E361)*'레벨 계산식'!$B$5</x:f>
        <x:v>0.13999999999999999</x:v>
      </x:c>
      <x:c r="H361" s="14" t="n">
        <x:f>('등급 계산식'!$E$4-F361)*'등급 계산식'!$B$5</x:f>
        <x:v>0.24000000000000005</x:v>
      </x:c>
      <x:c r="I361" s="14" t="n">
        <x:f>1-G361-H361</x:f>
        <x:v>0.6199999999999999</x:v>
      </x:c>
      <x:c r="J361" s="2" t="n">
        <x:f>MAX(1,ROUND('기준스탯 72종'!D22-R361-Z361,0))</x:f>
        <x:v>4</x:v>
      </x:c>
      <x:c r="K361" s="2" t="n">
        <x:f>MAX(1,ROUND('기준스탯 72종'!E22-S361-AA361,0))</x:f>
        <x:v>4</x:v>
      </x:c>
      <x:c r="L361" s="2" t="n">
        <x:f>MAX(1,ROUND('기준스탯 72종'!F22-T361-AB361,0))</x:f>
        <x:v>4</x:v>
      </x:c>
      <x:c r="M361" s="2" t="n">
        <x:f>MAX(1,ROUND('기준스탯 72종'!G22-U361-AC361,0))</x:f>
        <x:v>6</x:v>
      </x:c>
      <x:c r="N361" s="2" t="n">
        <x:f>MAX(0,ROUND('기준스탯 72종'!H22-V361-AD361,0))</x:f>
        <x:v>3</x:v>
      </x:c>
      <x:c r="O361" s="2" t="n">
        <x:f>MAX(0,ROUND('기준스탯 72종'!I22-W361-AE361,0))</x:f>
        <x:v>2</x:v>
      </x:c>
      <x:c r="P361" s="2" t="n">
        <x:f>MAX(0,ROUND('기준스탯 72종'!J22-X361-AF361,0))</x:f>
        <x:v>4</x:v>
      </x:c>
      <x:c r="Q361" s="2" t="n">
        <x:f>MAX(0,ROUND('기준스탯 72종'!K22-Y361-AG361,0))</x:f>
        <x:v>1</x:v>
      </x:c>
      <x:c r="R361" s="15" t="n">
        <x:f>'기준스탯 72종'!D22*G361</x:f>
        <x:v>0.9799999999999999</x:v>
      </x:c>
      <x:c r="S361" s="15" t="n">
        <x:f>'기준스탯 72종'!E22*G361</x:f>
        <x:v>0.8399999999999999</x:v>
      </x:c>
      <x:c r="T361" s="15" t="n">
        <x:f>'기준스탯 72종'!F22*G361</x:f>
        <x:v>0.9799999999999999</x:v>
      </x:c>
      <x:c r="U361" s="15" t="n">
        <x:f>'기준스탯 72종'!G22*G361</x:f>
        <x:v>1.4</x:v>
      </x:c>
      <x:c r="V361" s="15" t="n">
        <x:f>'기준스탯 72종'!H22*G361</x:f>
        <x:v>0.7</x:v>
      </x:c>
      <x:c r="W361" s="15" t="n">
        <x:f>'기준스탯 72종'!I22*G361</x:f>
        <x:v>0.41999999999999993</x:v>
      </x:c>
      <x:c r="X361" s="15" t="n">
        <x:f>'기준스탯 72종'!J22*G361</x:f>
        <x:v>0.9799999999999999</x:v>
      </x:c>
      <x:c r="Y361" s="15" t="n">
        <x:f>'기준스탯 72종'!K22*G361</x:f>
        <x:v>0.13999999999999999</x:v>
      </x:c>
      <x:c r="Z361" s="15" t="n">
        <x:f>'기준스탯 72종'!D22*H361</x:f>
        <x:v>1.6800000000000004</x:v>
      </x:c>
      <x:c r="AA361" s="15" t="n">
        <x:f>'기준스탯 72종'!E22*H361</x:f>
        <x:v>1.4400000000000004</x:v>
      </x:c>
      <x:c r="AB361" s="15" t="n">
        <x:f>'기준스탯 72종'!F22*H361</x:f>
        <x:v>1.6800000000000004</x:v>
      </x:c>
      <x:c r="AC361" s="15" t="n">
        <x:f>'기준스탯 72종'!G22*H361</x:f>
        <x:v>2.4000000000000004</x:v>
      </x:c>
      <x:c r="AD361" s="15" t="n">
        <x:f>'기준스탯 72종'!H22*H361</x:f>
        <x:v>1.2000000000000002</x:v>
      </x:c>
      <x:c r="AE361" s="15" t="n">
        <x:f>'기준스탯 72종'!I22*H361</x:f>
        <x:v>0.7200000000000002</x:v>
      </x:c>
      <x:c r="AF361" s="15" t="n">
        <x:f>'기준스탯 72종'!J22*H361</x:f>
        <x:v>1.6800000000000004</x:v>
      </x:c>
      <x:c r="AG361" s="15" t="n">
        <x:f>'기준스탯 72종'!K22*H361</x:f>
        <x:v>0.24000000000000005</x:v>
      </x:c>
    </x:row>
    <x:row r="362" ht="28" customHeight="1">
      <x:c r="A362" s="2" t="n">
        <x:v>355</x:v>
      </x:c>
      <x:c r="B362" s="2" t="n">
        <x:v>15</x:v>
      </x:c>
      <x:c r="C362" s="2" t="str">
        <x:v>쌍둥이자리</x:v>
      </x:c>
      <x:c r="D362" s="2" t="str">
        <x:v>사수</x:v>
      </x:c>
      <x:c r="E362" s="2" t="n">
        <x:v>5</x:v>
      </x:c>
      <x:c r="F362" s="2" t="n">
        <x:v>1</x:v>
      </x:c>
      <x:c r="G362" s="14" t="n">
        <x:f>('레벨 계산식'!$E$4-E362)*'레벨 계산식'!$B$5</x:f>
        <x:v>0</x:v>
      </x:c>
      <x:c r="H362" s="14" t="n">
        <x:f>('등급 계산식'!$E$4-F362)*'등급 계산식'!$B$5</x:f>
        <x:v>0.24000000000000005</x:v>
      </x:c>
      <x:c r="I362" s="14" t="n">
        <x:f>1-G362-H362</x:f>
        <x:v>0.76</x:v>
      </x:c>
      <x:c r="J362" s="2" t="n">
        <x:f>MAX(1,ROUND('기준스탯 72종'!D22-R362-Z362,0))</x:f>
        <x:v>5</x:v>
      </x:c>
      <x:c r="K362" s="2" t="n">
        <x:f>MAX(1,ROUND('기준스탯 72종'!E22-S362-AA362,0))</x:f>
        <x:v>5</x:v>
      </x:c>
      <x:c r="L362" s="2" t="n">
        <x:f>MAX(1,ROUND('기준스탯 72종'!F22-T362-AB362,0))</x:f>
        <x:v>5</x:v>
      </x:c>
      <x:c r="M362" s="2" t="n">
        <x:f>MAX(1,ROUND('기준스탯 72종'!G22-U362-AC362,0))</x:f>
        <x:v>8</x:v>
      </x:c>
      <x:c r="N362" s="2" t="n">
        <x:f>MAX(0,ROUND('기준스탯 72종'!H22-V362-AD362,0))</x:f>
        <x:v>4</x:v>
      </x:c>
      <x:c r="O362" s="2" t="n">
        <x:f>MAX(0,ROUND('기준스탯 72종'!I22-W362-AE362,0))</x:f>
        <x:v>2</x:v>
      </x:c>
      <x:c r="P362" s="2" t="n">
        <x:f>MAX(0,ROUND('기준스탯 72종'!J22-X362-AF362,0))</x:f>
        <x:v>5</x:v>
      </x:c>
      <x:c r="Q362" s="2" t="n">
        <x:f>MAX(0,ROUND('기준스탯 72종'!K22-Y362-AG362,0))</x:f>
        <x:v>1</x:v>
      </x:c>
      <x:c r="R362" s="15" t="n">
        <x:f>'기준스탯 72종'!D22*G362</x:f>
        <x:v>0</x:v>
      </x:c>
      <x:c r="S362" s="15" t="n">
        <x:f>'기준스탯 72종'!E22*G362</x:f>
        <x:v>0</x:v>
      </x:c>
      <x:c r="T362" s="15" t="n">
        <x:f>'기준스탯 72종'!F22*G362</x:f>
        <x:v>0</x:v>
      </x:c>
      <x:c r="U362" s="15" t="n">
        <x:f>'기준스탯 72종'!G22*G362</x:f>
        <x:v>0</x:v>
      </x:c>
      <x:c r="V362" s="15" t="n">
        <x:f>'기준스탯 72종'!H22*G362</x:f>
        <x:v>0</x:v>
      </x:c>
      <x:c r="W362" s="15" t="n">
        <x:f>'기준스탯 72종'!I22*G362</x:f>
        <x:v>0</x:v>
      </x:c>
      <x:c r="X362" s="15" t="n">
        <x:f>'기준스탯 72종'!J22*G362</x:f>
        <x:v>0</x:v>
      </x:c>
      <x:c r="Y362" s="15" t="n">
        <x:f>'기준스탯 72종'!K22*G362</x:f>
        <x:v>0</x:v>
      </x:c>
      <x:c r="Z362" s="15" t="n">
        <x:f>'기준스탯 72종'!D22*H362</x:f>
        <x:v>1.6800000000000004</x:v>
      </x:c>
      <x:c r="AA362" s="15" t="n">
        <x:f>'기준스탯 72종'!E22*H362</x:f>
        <x:v>1.4400000000000004</x:v>
      </x:c>
      <x:c r="AB362" s="15" t="n">
        <x:f>'기준스탯 72종'!F22*H362</x:f>
        <x:v>1.6800000000000004</x:v>
      </x:c>
      <x:c r="AC362" s="15" t="n">
        <x:f>'기준스탯 72종'!G22*H362</x:f>
        <x:v>2.4000000000000004</x:v>
      </x:c>
      <x:c r="AD362" s="15" t="n">
        <x:f>'기준스탯 72종'!H22*H362</x:f>
        <x:v>1.2000000000000002</x:v>
      </x:c>
      <x:c r="AE362" s="15" t="n">
        <x:f>'기준스탯 72종'!I22*H362</x:f>
        <x:v>0.7200000000000002</x:v>
      </x:c>
      <x:c r="AF362" s="15" t="n">
        <x:f>'기준스탯 72종'!J22*H362</x:f>
        <x:v>1.6800000000000004</x:v>
      </x:c>
      <x:c r="AG362" s="15" t="n">
        <x:f>'기준스탯 72종'!K22*H362</x:f>
        <x:v>0.24000000000000005</x:v>
      </x:c>
    </x:row>
    <x:row r="363" ht="28" customHeight="1">
      <x:c r="A363" s="2" t="n">
        <x:v>356</x:v>
      </x:c>
      <x:c r="B363" s="2" t="n">
        <x:v>15</x:v>
      </x:c>
      <x:c r="C363" s="2" t="str">
        <x:v>쌍둥이자리</x:v>
      </x:c>
      <x:c r="D363" s="2" t="str">
        <x:v>사수</x:v>
      </x:c>
      <x:c r="E363" s="2" t="n">
        <x:v>1</x:v>
      </x:c>
      <x:c r="F363" s="2" t="n">
        <x:v>2</x:v>
      </x:c>
      <x:c r="G363" s="14" t="n">
        <x:f>('레벨 계산식'!$E$4-E363)*'레벨 계산식'!$B$5</x:f>
        <x:v>0.5599999999999999</x:v>
      </x:c>
      <x:c r="H363" s="14" t="n">
        <x:f>('등급 계산식'!$E$4-F363)*'등급 계산식'!$B$5</x:f>
        <x:v>0.18000000000000005</x:v>
      </x:c>
      <x:c r="I363" s="14" t="n">
        <x:f>1-G363-H363</x:f>
        <x:v>0.26</x:v>
      </x:c>
      <x:c r="J363" s="2" t="n">
        <x:f>MAX(1,ROUND('기준스탯 72종'!D22-R363-Z363,0))</x:f>
        <x:v>2</x:v>
      </x:c>
      <x:c r="K363" s="2" t="n">
        <x:f>MAX(1,ROUND('기준스탯 72종'!E22-S363-AA363,0))</x:f>
        <x:v>2</x:v>
      </x:c>
      <x:c r="L363" s="2" t="n">
        <x:f>MAX(1,ROUND('기준스탯 72종'!F22-T363-AB363,0))</x:f>
        <x:v>2</x:v>
      </x:c>
      <x:c r="M363" s="2" t="n">
        <x:f>MAX(1,ROUND('기준스탯 72종'!G22-U363-AC363,0))</x:f>
        <x:v>3</x:v>
      </x:c>
      <x:c r="N363" s="2" t="n">
        <x:f>MAX(0,ROUND('기준스탯 72종'!H22-V363-AD363,0))</x:f>
        <x:v>1</x:v>
      </x:c>
      <x:c r="O363" s="2" t="n">
        <x:f>MAX(0,ROUND('기준스탯 72종'!I22-W363-AE363,0))</x:f>
        <x:v>1</x:v>
      </x:c>
      <x:c r="P363" s="2" t="n">
        <x:f>MAX(0,ROUND('기준스탯 72종'!J22-X363-AF363,0))</x:f>
        <x:v>2</x:v>
      </x:c>
      <x:c r="Q363" s="2" t="n">
        <x:f>MAX(0,ROUND('기준스탯 72종'!K22-Y363-AG363,0))</x:f>
        <x:v>0</x:v>
      </x:c>
      <x:c r="R363" s="15" t="n">
        <x:f>'기준스탯 72종'!D22*G363</x:f>
        <x:v>3.9199999999999995</x:v>
      </x:c>
      <x:c r="S363" s="15" t="n">
        <x:f>'기준스탯 72종'!E22*G363</x:f>
        <x:v>3.3599999999999994</x:v>
      </x:c>
      <x:c r="T363" s="15" t="n">
        <x:f>'기준스탯 72종'!F22*G363</x:f>
        <x:v>3.9199999999999995</x:v>
      </x:c>
      <x:c r="U363" s="15" t="n">
        <x:f>'기준스탯 72종'!G22*G363</x:f>
        <x:v>5.6</x:v>
      </x:c>
      <x:c r="V363" s="15" t="n">
        <x:f>'기준스탯 72종'!H22*G363</x:f>
        <x:v>2.8</x:v>
      </x:c>
      <x:c r="W363" s="15" t="n">
        <x:f>'기준스탯 72종'!I22*G363</x:f>
        <x:v>1.6799999999999997</x:v>
      </x:c>
      <x:c r="X363" s="15" t="n">
        <x:f>'기준스탯 72종'!J22*G363</x:f>
        <x:v>3.9199999999999995</x:v>
      </x:c>
      <x:c r="Y363" s="15" t="n">
        <x:f>'기준스탯 72종'!K22*G363</x:f>
        <x:v>0.5599999999999999</x:v>
      </x:c>
      <x:c r="Z363" s="15" t="n">
        <x:f>'기준스탯 72종'!D22*H363</x:f>
        <x:v>1.2600000000000002</x:v>
      </x:c>
      <x:c r="AA363" s="15" t="n">
        <x:f>'기준스탯 72종'!E22*H363</x:f>
        <x:v>1.0800000000000003</x:v>
      </x:c>
      <x:c r="AB363" s="15" t="n">
        <x:f>'기준스탯 72종'!F22*H363</x:f>
        <x:v>1.2600000000000002</x:v>
      </x:c>
      <x:c r="AC363" s="15" t="n">
        <x:f>'기준스탯 72종'!G22*H363</x:f>
        <x:v>1.8000000000000005</x:v>
      </x:c>
      <x:c r="AD363" s="15" t="n">
        <x:f>'기준스탯 72종'!H22*H363</x:f>
        <x:v>0.9000000000000002</x:v>
      </x:c>
      <x:c r="AE363" s="15" t="n">
        <x:f>'기준스탯 72종'!I22*H363</x:f>
        <x:v>0.5400000000000001</x:v>
      </x:c>
      <x:c r="AF363" s="15" t="n">
        <x:f>'기준스탯 72종'!J22*H363</x:f>
        <x:v>1.2600000000000002</x:v>
      </x:c>
      <x:c r="AG363" s="15" t="n">
        <x:f>'기준스탯 72종'!K22*H363</x:f>
        <x:v>0.18000000000000005</x:v>
      </x:c>
    </x:row>
    <x:row r="364" ht="28" customHeight="1">
      <x:c r="A364" s="2" t="n">
        <x:v>357</x:v>
      </x:c>
      <x:c r="B364" s="2" t="n">
        <x:v>15</x:v>
      </x:c>
      <x:c r="C364" s="2" t="str">
        <x:v>쌍둥이자리</x:v>
      </x:c>
      <x:c r="D364" s="2" t="str">
        <x:v>사수</x:v>
      </x:c>
      <x:c r="E364" s="2" t="n">
        <x:v>2</x:v>
      </x:c>
      <x:c r="F364" s="2" t="n">
        <x:v>2</x:v>
      </x:c>
      <x:c r="G364" s="14" t="n">
        <x:f>('레벨 계산식'!$E$4-E364)*'레벨 계산식'!$B$5</x:f>
        <x:v>0.41999999999999993</x:v>
      </x:c>
      <x:c r="H364" s="14" t="n">
        <x:f>('등급 계산식'!$E$4-F364)*'등급 계산식'!$B$5</x:f>
        <x:v>0.18000000000000005</x:v>
      </x:c>
      <x:c r="I364" s="14" t="n">
        <x:f>1-G364-H364</x:f>
        <x:v>0.4</x:v>
      </x:c>
      <x:c r="J364" s="2" t="n">
        <x:f>MAX(1,ROUND('기준스탯 72종'!D22-R364-Z364,0))</x:f>
        <x:v>3</x:v>
      </x:c>
      <x:c r="K364" s="2" t="n">
        <x:f>MAX(1,ROUND('기준스탯 72종'!E22-S364-AA364,0))</x:f>
        <x:v>2</x:v>
      </x:c>
      <x:c r="L364" s="2" t="n">
        <x:f>MAX(1,ROUND('기준스탯 72종'!F22-T364-AB364,0))</x:f>
        <x:v>3</x:v>
      </x:c>
      <x:c r="M364" s="2" t="n">
        <x:f>MAX(1,ROUND('기준스탯 72종'!G22-U364-AC364,0))</x:f>
        <x:v>4</x:v>
      </x:c>
      <x:c r="N364" s="2" t="n">
        <x:f>MAX(0,ROUND('기준스탯 72종'!H22-V364-AD364,0))</x:f>
        <x:v>2</x:v>
      </x:c>
      <x:c r="O364" s="2" t="n">
        <x:f>MAX(0,ROUND('기준스탯 72종'!I22-W364-AE364,0))</x:f>
        <x:v>1</x:v>
      </x:c>
      <x:c r="P364" s="2" t="n">
        <x:f>MAX(0,ROUND('기준스탯 72종'!J22-X364-AF364,0))</x:f>
        <x:v>3</x:v>
      </x:c>
      <x:c r="Q364" s="2" t="n">
        <x:f>MAX(0,ROUND('기준스탯 72종'!K22-Y364-AG364,0))</x:f>
        <x:v>0</x:v>
      </x:c>
      <x:c r="R364" s="15" t="n">
        <x:f>'기준스탯 72종'!D22*G364</x:f>
        <x:v>2.9399999999999995</x:v>
      </x:c>
      <x:c r="S364" s="15" t="n">
        <x:f>'기준스탯 72종'!E22*G364</x:f>
        <x:v>2.5199999999999996</x:v>
      </x:c>
      <x:c r="T364" s="15" t="n">
        <x:f>'기준스탯 72종'!F22*G364</x:f>
        <x:v>2.9399999999999995</x:v>
      </x:c>
      <x:c r="U364" s="15" t="n">
        <x:f>'기준스탯 72종'!G22*G364</x:f>
        <x:v>4.199999999999999</x:v>
      </x:c>
      <x:c r="V364" s="15" t="n">
        <x:f>'기준스탯 72종'!H22*G364</x:f>
        <x:v>2.0999999999999996</x:v>
      </x:c>
      <x:c r="W364" s="15" t="n">
        <x:f>'기준스탯 72종'!I22*G364</x:f>
        <x:v>1.2599999999999998</x:v>
      </x:c>
      <x:c r="X364" s="15" t="n">
        <x:f>'기준스탯 72종'!J22*G364</x:f>
        <x:v>2.9399999999999995</x:v>
      </x:c>
      <x:c r="Y364" s="15" t="n">
        <x:f>'기준스탯 72종'!K22*G364</x:f>
        <x:v>0.41999999999999993</x:v>
      </x:c>
      <x:c r="Z364" s="15" t="n">
        <x:f>'기준스탯 72종'!D22*H364</x:f>
        <x:v>1.2600000000000002</x:v>
      </x:c>
      <x:c r="AA364" s="15" t="n">
        <x:f>'기준스탯 72종'!E22*H364</x:f>
        <x:v>1.0800000000000003</x:v>
      </x:c>
      <x:c r="AB364" s="15" t="n">
        <x:f>'기준스탯 72종'!F22*H364</x:f>
        <x:v>1.2600000000000002</x:v>
      </x:c>
      <x:c r="AC364" s="15" t="n">
        <x:f>'기준스탯 72종'!G22*H364</x:f>
        <x:v>1.8000000000000005</x:v>
      </x:c>
      <x:c r="AD364" s="15" t="n">
        <x:f>'기준스탯 72종'!H22*H364</x:f>
        <x:v>0.9000000000000002</x:v>
      </x:c>
      <x:c r="AE364" s="15" t="n">
        <x:f>'기준스탯 72종'!I22*H364</x:f>
        <x:v>0.5400000000000001</x:v>
      </x:c>
      <x:c r="AF364" s="15" t="n">
        <x:f>'기준스탯 72종'!J22*H364</x:f>
        <x:v>1.2600000000000002</x:v>
      </x:c>
      <x:c r="AG364" s="15" t="n">
        <x:f>'기준스탯 72종'!K22*H364</x:f>
        <x:v>0.18000000000000005</x:v>
      </x:c>
    </x:row>
    <x:row r="365" ht="28" customHeight="1">
      <x:c r="A365" s="2" t="n">
        <x:v>358</x:v>
      </x:c>
      <x:c r="B365" s="2" t="n">
        <x:v>15</x:v>
      </x:c>
      <x:c r="C365" s="2" t="str">
        <x:v>쌍둥이자리</x:v>
      </x:c>
      <x:c r="D365" s="2" t="str">
        <x:v>사수</x:v>
      </x:c>
      <x:c r="E365" s="2" t="n">
        <x:v>3</x:v>
      </x:c>
      <x:c r="F365" s="2" t="n">
        <x:v>2</x:v>
      </x:c>
      <x:c r="G365" s="14" t="n">
        <x:f>('레벨 계산식'!$E$4-E365)*'레벨 계산식'!$B$5</x:f>
        <x:v>0.27999999999999997</x:v>
      </x:c>
      <x:c r="H365" s="14" t="n">
        <x:f>('등급 계산식'!$E$4-F365)*'등급 계산식'!$B$5</x:f>
        <x:v>0.18000000000000005</x:v>
      </x:c>
      <x:c r="I365" s="14" t="n">
        <x:f>1-G365-H365</x:f>
        <x:v>0.5399999999999999</x:v>
      </x:c>
      <x:c r="J365" s="2" t="n">
        <x:f>MAX(1,ROUND('기준스탯 72종'!D22-R365-Z365,0))</x:f>
        <x:v>4</x:v>
      </x:c>
      <x:c r="K365" s="2" t="n">
        <x:f>MAX(1,ROUND('기준스탯 72종'!E22-S365-AA365,0))</x:f>
        <x:v>3</x:v>
      </x:c>
      <x:c r="L365" s="2" t="n">
        <x:f>MAX(1,ROUND('기준스탯 72종'!F22-T365-AB365,0))</x:f>
        <x:v>4</x:v>
      </x:c>
      <x:c r="M365" s="2" t="n">
        <x:f>MAX(1,ROUND('기준스탯 72종'!G22-U365-AC365,0))</x:f>
        <x:v>5</x:v>
      </x:c>
      <x:c r="N365" s="2" t="n">
        <x:f>MAX(0,ROUND('기준스탯 72종'!H22-V365-AD365,0))</x:f>
        <x:v>3</x:v>
      </x:c>
      <x:c r="O365" s="2" t="n">
        <x:f>MAX(0,ROUND('기준스탯 72종'!I22-W365-AE365,0))</x:f>
        <x:v>2</x:v>
      </x:c>
      <x:c r="P365" s="2" t="n">
        <x:f>MAX(0,ROUND('기준스탯 72종'!J22-X365-AF365,0))</x:f>
        <x:v>4</x:v>
      </x:c>
      <x:c r="Q365" s="2" t="n">
        <x:f>MAX(0,ROUND('기준스탯 72종'!K22-Y365-AG365,0))</x:f>
        <x:v>1</x:v>
      </x:c>
      <x:c r="R365" s="15" t="n">
        <x:f>'기준스탯 72종'!D22*G365</x:f>
        <x:v>1.9599999999999997</x:v>
      </x:c>
      <x:c r="S365" s="15" t="n">
        <x:f>'기준스탯 72종'!E22*G365</x:f>
        <x:v>1.6799999999999997</x:v>
      </x:c>
      <x:c r="T365" s="15" t="n">
        <x:f>'기준스탯 72종'!F22*G365</x:f>
        <x:v>1.9599999999999997</x:v>
      </x:c>
      <x:c r="U365" s="15" t="n">
        <x:f>'기준스탯 72종'!G22*G365</x:f>
        <x:v>2.8</x:v>
      </x:c>
      <x:c r="V365" s="15" t="n">
        <x:f>'기준스탯 72종'!H22*G365</x:f>
        <x:v>1.4</x:v>
      </x:c>
      <x:c r="W365" s="15" t="n">
        <x:f>'기준스탯 72종'!I22*G365</x:f>
        <x:v>0.8399999999999999</x:v>
      </x:c>
      <x:c r="X365" s="15" t="n">
        <x:f>'기준스탯 72종'!J22*G365</x:f>
        <x:v>1.9599999999999997</x:v>
      </x:c>
      <x:c r="Y365" s="15" t="n">
        <x:f>'기준스탯 72종'!K22*G365</x:f>
        <x:v>0.27999999999999997</x:v>
      </x:c>
      <x:c r="Z365" s="15" t="n">
        <x:f>'기준스탯 72종'!D22*H365</x:f>
        <x:v>1.2600000000000002</x:v>
      </x:c>
      <x:c r="AA365" s="15" t="n">
        <x:f>'기준스탯 72종'!E22*H365</x:f>
        <x:v>1.0800000000000003</x:v>
      </x:c>
      <x:c r="AB365" s="15" t="n">
        <x:f>'기준스탯 72종'!F22*H365</x:f>
        <x:v>1.2600000000000002</x:v>
      </x:c>
      <x:c r="AC365" s="15" t="n">
        <x:f>'기준스탯 72종'!G22*H365</x:f>
        <x:v>1.8000000000000005</x:v>
      </x:c>
      <x:c r="AD365" s="15" t="n">
        <x:f>'기준스탯 72종'!H22*H365</x:f>
        <x:v>0.9000000000000002</x:v>
      </x:c>
      <x:c r="AE365" s="15" t="n">
        <x:f>'기준스탯 72종'!I22*H365</x:f>
        <x:v>0.5400000000000001</x:v>
      </x:c>
      <x:c r="AF365" s="15" t="n">
        <x:f>'기준스탯 72종'!J22*H365</x:f>
        <x:v>1.2600000000000002</x:v>
      </x:c>
      <x:c r="AG365" s="15" t="n">
        <x:f>'기준스탯 72종'!K22*H365</x:f>
        <x:v>0.18000000000000005</x:v>
      </x:c>
    </x:row>
    <x:row r="366" ht="28" customHeight="1">
      <x:c r="A366" s="2" t="n">
        <x:v>359</x:v>
      </x:c>
      <x:c r="B366" s="2" t="n">
        <x:v>15</x:v>
      </x:c>
      <x:c r="C366" s="2" t="str">
        <x:v>쌍둥이자리</x:v>
      </x:c>
      <x:c r="D366" s="2" t="str">
        <x:v>사수</x:v>
      </x:c>
      <x:c r="E366" s="2" t="n">
        <x:v>4</x:v>
      </x:c>
      <x:c r="F366" s="2" t="n">
        <x:v>2</x:v>
      </x:c>
      <x:c r="G366" s="14" t="n">
        <x:f>('레벨 계산식'!$E$4-E366)*'레벨 계산식'!$B$5</x:f>
        <x:v>0.13999999999999999</x:v>
      </x:c>
      <x:c r="H366" s="14" t="n">
        <x:f>('등급 계산식'!$E$4-F366)*'등급 계산식'!$B$5</x:f>
        <x:v>0.18000000000000005</x:v>
      </x:c>
      <x:c r="I366" s="14" t="n">
        <x:f>1-G366-H366</x:f>
        <x:v>0.6799999999999999</x:v>
      </x:c>
      <x:c r="J366" s="2" t="n">
        <x:f>MAX(1,ROUND('기준스탯 72종'!D22-R366-Z366,0))</x:f>
        <x:v>5</x:v>
      </x:c>
      <x:c r="K366" s="2" t="n">
        <x:f>MAX(1,ROUND('기준스탯 72종'!E22-S366-AA366,0))</x:f>
        <x:v>4</x:v>
      </x:c>
      <x:c r="L366" s="2" t="n">
        <x:f>MAX(1,ROUND('기준스탯 72종'!F22-T366-AB366,0))</x:f>
        <x:v>5</x:v>
      </x:c>
      <x:c r="M366" s="2" t="n">
        <x:f>MAX(1,ROUND('기준스탯 72종'!G22-U366-AC366,0))</x:f>
        <x:v>7</x:v>
      </x:c>
      <x:c r="N366" s="2" t="n">
        <x:f>MAX(0,ROUND('기준스탯 72종'!H22-V366-AD366,0))</x:f>
        <x:v>3</x:v>
      </x:c>
      <x:c r="O366" s="2" t="n">
        <x:f>MAX(0,ROUND('기준스탯 72종'!I22-W366-AE366,0))</x:f>
        <x:v>2</x:v>
      </x:c>
      <x:c r="P366" s="2" t="n">
        <x:f>MAX(0,ROUND('기준스탯 72종'!J22-X366-AF366,0))</x:f>
        <x:v>5</x:v>
      </x:c>
      <x:c r="Q366" s="2" t="n">
        <x:f>MAX(0,ROUND('기준스탯 72종'!K22-Y366-AG366,0))</x:f>
        <x:v>1</x:v>
      </x:c>
      <x:c r="R366" s="15" t="n">
        <x:f>'기준스탯 72종'!D22*G366</x:f>
        <x:v>0.9799999999999999</x:v>
      </x:c>
      <x:c r="S366" s="15" t="n">
        <x:f>'기준스탯 72종'!E22*G366</x:f>
        <x:v>0.8399999999999999</x:v>
      </x:c>
      <x:c r="T366" s="15" t="n">
        <x:f>'기준스탯 72종'!F22*G366</x:f>
        <x:v>0.9799999999999999</x:v>
      </x:c>
      <x:c r="U366" s="15" t="n">
        <x:f>'기준스탯 72종'!G22*G366</x:f>
        <x:v>1.4</x:v>
      </x:c>
      <x:c r="V366" s="15" t="n">
        <x:f>'기준스탯 72종'!H22*G366</x:f>
        <x:v>0.7</x:v>
      </x:c>
      <x:c r="W366" s="15" t="n">
        <x:f>'기준스탯 72종'!I22*G366</x:f>
        <x:v>0.41999999999999993</x:v>
      </x:c>
      <x:c r="X366" s="15" t="n">
        <x:f>'기준스탯 72종'!J22*G366</x:f>
        <x:v>0.9799999999999999</x:v>
      </x:c>
      <x:c r="Y366" s="15" t="n">
        <x:f>'기준스탯 72종'!K22*G366</x:f>
        <x:v>0.13999999999999999</x:v>
      </x:c>
      <x:c r="Z366" s="15" t="n">
        <x:f>'기준스탯 72종'!D22*H366</x:f>
        <x:v>1.2600000000000002</x:v>
      </x:c>
      <x:c r="AA366" s="15" t="n">
        <x:f>'기준스탯 72종'!E22*H366</x:f>
        <x:v>1.0800000000000003</x:v>
      </x:c>
      <x:c r="AB366" s="15" t="n">
        <x:f>'기준스탯 72종'!F22*H366</x:f>
        <x:v>1.2600000000000002</x:v>
      </x:c>
      <x:c r="AC366" s="15" t="n">
        <x:f>'기준스탯 72종'!G22*H366</x:f>
        <x:v>1.8000000000000005</x:v>
      </x:c>
      <x:c r="AD366" s="15" t="n">
        <x:f>'기준스탯 72종'!H22*H366</x:f>
        <x:v>0.9000000000000002</x:v>
      </x:c>
      <x:c r="AE366" s="15" t="n">
        <x:f>'기준스탯 72종'!I22*H366</x:f>
        <x:v>0.5400000000000001</x:v>
      </x:c>
      <x:c r="AF366" s="15" t="n">
        <x:f>'기준스탯 72종'!J22*H366</x:f>
        <x:v>1.2600000000000002</x:v>
      </x:c>
      <x:c r="AG366" s="15" t="n">
        <x:f>'기준스탯 72종'!K22*H366</x:f>
        <x:v>0.18000000000000005</x:v>
      </x:c>
    </x:row>
    <x:row r="367" ht="28" customHeight="1">
      <x:c r="A367" s="2" t="n">
        <x:v>360</x:v>
      </x:c>
      <x:c r="B367" s="2" t="n">
        <x:v>15</x:v>
      </x:c>
      <x:c r="C367" s="2" t="str">
        <x:v>쌍둥이자리</x:v>
      </x:c>
      <x:c r="D367" s="2" t="str">
        <x:v>사수</x:v>
      </x:c>
      <x:c r="E367" s="2" t="n">
        <x:v>5</x:v>
      </x:c>
      <x:c r="F367" s="2" t="n">
        <x:v>2</x:v>
      </x:c>
      <x:c r="G367" s="14" t="n">
        <x:f>('레벨 계산식'!$E$4-E367)*'레벨 계산식'!$B$5</x:f>
        <x:v>0</x:v>
      </x:c>
      <x:c r="H367" s="14" t="n">
        <x:f>('등급 계산식'!$E$4-F367)*'등급 계산식'!$B$5</x:f>
        <x:v>0.18000000000000005</x:v>
      </x:c>
      <x:c r="I367" s="14" t="n">
        <x:f>1-G367-H367</x:f>
        <x:v>0.82</x:v>
      </x:c>
      <x:c r="J367" s="2" t="n">
        <x:f>MAX(1,ROUND('기준스탯 72종'!D22-R367-Z367,0))</x:f>
        <x:v>6</x:v>
      </x:c>
      <x:c r="K367" s="2" t="n">
        <x:f>MAX(1,ROUND('기준스탯 72종'!E22-S367-AA367,0))</x:f>
        <x:v>5</x:v>
      </x:c>
      <x:c r="L367" s="2" t="n">
        <x:f>MAX(1,ROUND('기준스탯 72종'!F22-T367-AB367,0))</x:f>
        <x:v>6</x:v>
      </x:c>
      <x:c r="M367" s="2" t="n">
        <x:f>MAX(1,ROUND('기준스탯 72종'!G22-U367-AC367,0))</x:f>
        <x:v>8</x:v>
      </x:c>
      <x:c r="N367" s="2" t="n">
        <x:f>MAX(0,ROUND('기준스탯 72종'!H22-V367-AD367,0))</x:f>
        <x:v>4</x:v>
      </x:c>
      <x:c r="O367" s="2" t="n">
        <x:f>MAX(0,ROUND('기준스탯 72종'!I22-W367-AE367,0))</x:f>
        <x:v>2</x:v>
      </x:c>
      <x:c r="P367" s="2" t="n">
        <x:f>MAX(0,ROUND('기준스탯 72종'!J22-X367-AF367,0))</x:f>
        <x:v>6</x:v>
      </x:c>
      <x:c r="Q367" s="2" t="n">
        <x:f>MAX(0,ROUND('기준스탯 72종'!K22-Y367-AG367,0))</x:f>
        <x:v>1</x:v>
      </x:c>
      <x:c r="R367" s="15" t="n">
        <x:f>'기준스탯 72종'!D22*G367</x:f>
        <x:v>0</x:v>
      </x:c>
      <x:c r="S367" s="15" t="n">
        <x:f>'기준스탯 72종'!E22*G367</x:f>
        <x:v>0</x:v>
      </x:c>
      <x:c r="T367" s="15" t="n">
        <x:f>'기준스탯 72종'!F22*G367</x:f>
        <x:v>0</x:v>
      </x:c>
      <x:c r="U367" s="15" t="n">
        <x:f>'기준스탯 72종'!G22*G367</x:f>
        <x:v>0</x:v>
      </x:c>
      <x:c r="V367" s="15" t="n">
        <x:f>'기준스탯 72종'!H22*G367</x:f>
        <x:v>0</x:v>
      </x:c>
      <x:c r="W367" s="15" t="n">
        <x:f>'기준스탯 72종'!I22*G367</x:f>
        <x:v>0</x:v>
      </x:c>
      <x:c r="X367" s="15" t="n">
        <x:f>'기준스탯 72종'!J22*G367</x:f>
        <x:v>0</x:v>
      </x:c>
      <x:c r="Y367" s="15" t="n">
        <x:f>'기준스탯 72종'!K22*G367</x:f>
        <x:v>0</x:v>
      </x:c>
      <x:c r="Z367" s="15" t="n">
        <x:f>'기준스탯 72종'!D22*H367</x:f>
        <x:v>1.2600000000000002</x:v>
      </x:c>
      <x:c r="AA367" s="15" t="n">
        <x:f>'기준스탯 72종'!E22*H367</x:f>
        <x:v>1.0800000000000003</x:v>
      </x:c>
      <x:c r="AB367" s="15" t="n">
        <x:f>'기준스탯 72종'!F22*H367</x:f>
        <x:v>1.2600000000000002</x:v>
      </x:c>
      <x:c r="AC367" s="15" t="n">
        <x:f>'기준스탯 72종'!G22*H367</x:f>
        <x:v>1.8000000000000005</x:v>
      </x:c>
      <x:c r="AD367" s="15" t="n">
        <x:f>'기준스탯 72종'!H22*H367</x:f>
        <x:v>0.9000000000000002</x:v>
      </x:c>
      <x:c r="AE367" s="15" t="n">
        <x:f>'기준스탯 72종'!I22*H367</x:f>
        <x:v>0.5400000000000001</x:v>
      </x:c>
      <x:c r="AF367" s="15" t="n">
        <x:f>'기준스탯 72종'!J22*H367</x:f>
        <x:v>1.2600000000000002</x:v>
      </x:c>
      <x:c r="AG367" s="15" t="n">
        <x:f>'기준스탯 72종'!K22*H367</x:f>
        <x:v>0.18000000000000005</x:v>
      </x:c>
    </x:row>
    <x:row r="368" ht="28" customHeight="1">
      <x:c r="A368" s="2" t="n">
        <x:v>361</x:v>
      </x:c>
      <x:c r="B368" s="2" t="n">
        <x:v>15</x:v>
      </x:c>
      <x:c r="C368" s="2" t="str">
        <x:v>쌍둥이자리</x:v>
      </x:c>
      <x:c r="D368" s="2" t="str">
        <x:v>사수</x:v>
      </x:c>
      <x:c r="E368" s="2" t="n">
        <x:v>1</x:v>
      </x:c>
      <x:c r="F368" s="2" t="n">
        <x:v>3</x:v>
      </x:c>
      <x:c r="G368" s="14" t="n">
        <x:f>('레벨 계산식'!$E$4-E368)*'레벨 계산식'!$B$5</x:f>
        <x:v>0.5599999999999999</x:v>
      </x:c>
      <x:c r="H368" s="14" t="n">
        <x:f>('등급 계산식'!$E$4-F368)*'등급 계산식'!$B$5</x:f>
        <x:v>0.12000000000000002</x:v>
      </x:c>
      <x:c r="I368" s="14" t="n">
        <x:f>1-G368-H368</x:f>
        <x:v>0.32000000000000006</x:v>
      </x:c>
      <x:c r="J368" s="2" t="n">
        <x:f>MAX(1,ROUND('기준스탯 72종'!D22-R368-Z368,0))</x:f>
        <x:v>2</x:v>
      </x:c>
      <x:c r="K368" s="2" t="n">
        <x:f>MAX(1,ROUND('기준스탯 72종'!E22-S368-AA368,0))</x:f>
        <x:v>2</x:v>
      </x:c>
      <x:c r="L368" s="2" t="n">
        <x:f>MAX(1,ROUND('기준스탯 72종'!F22-T368-AB368,0))</x:f>
        <x:v>2</x:v>
      </x:c>
      <x:c r="M368" s="2" t="n">
        <x:f>MAX(1,ROUND('기준스탯 72종'!G22-U368-AC368,0))</x:f>
        <x:v>3</x:v>
      </x:c>
      <x:c r="N368" s="2" t="n">
        <x:f>MAX(0,ROUND('기준스탯 72종'!H22-V368-AD368,0))</x:f>
        <x:v>2</x:v>
      </x:c>
      <x:c r="O368" s="2" t="n">
        <x:f>MAX(0,ROUND('기준스탯 72종'!I22-W368-AE368,0))</x:f>
        <x:v>1</x:v>
      </x:c>
      <x:c r="P368" s="2" t="n">
        <x:f>MAX(0,ROUND('기준스탯 72종'!J22-X368-AF368,0))</x:f>
        <x:v>2</x:v>
      </x:c>
      <x:c r="Q368" s="2" t="n">
        <x:f>MAX(0,ROUND('기준스탯 72종'!K22-Y368-AG368,0))</x:f>
        <x:v>0</x:v>
      </x:c>
      <x:c r="R368" s="15" t="n">
        <x:f>'기준스탯 72종'!D22*G368</x:f>
        <x:v>3.9199999999999995</x:v>
      </x:c>
      <x:c r="S368" s="15" t="n">
        <x:f>'기준스탯 72종'!E22*G368</x:f>
        <x:v>3.3599999999999994</x:v>
      </x:c>
      <x:c r="T368" s="15" t="n">
        <x:f>'기준스탯 72종'!F22*G368</x:f>
        <x:v>3.9199999999999995</x:v>
      </x:c>
      <x:c r="U368" s="15" t="n">
        <x:f>'기준스탯 72종'!G22*G368</x:f>
        <x:v>5.6</x:v>
      </x:c>
      <x:c r="V368" s="15" t="n">
        <x:f>'기준스탯 72종'!H22*G368</x:f>
        <x:v>2.8</x:v>
      </x:c>
      <x:c r="W368" s="15" t="n">
        <x:f>'기준스탯 72종'!I22*G368</x:f>
        <x:v>1.6799999999999997</x:v>
      </x:c>
      <x:c r="X368" s="15" t="n">
        <x:f>'기준스탯 72종'!J22*G368</x:f>
        <x:v>3.9199999999999995</x:v>
      </x:c>
      <x:c r="Y368" s="15" t="n">
        <x:f>'기준스탯 72종'!K22*G368</x:f>
        <x:v>0.5599999999999999</x:v>
      </x:c>
      <x:c r="Z368" s="15" t="n">
        <x:f>'기준스탯 72종'!D22*H368</x:f>
        <x:v>0.8400000000000002</x:v>
      </x:c>
      <x:c r="AA368" s="15" t="n">
        <x:f>'기준스탯 72종'!E22*H368</x:f>
        <x:v>0.7200000000000002</x:v>
      </x:c>
      <x:c r="AB368" s="15" t="n">
        <x:f>'기준스탯 72종'!F22*H368</x:f>
        <x:v>0.8400000000000002</x:v>
      </x:c>
      <x:c r="AC368" s="15" t="n">
        <x:f>'기준스탯 72종'!G22*H368</x:f>
        <x:v>1.2000000000000002</x:v>
      </x:c>
      <x:c r="AD368" s="15" t="n">
        <x:f>'기준스탯 72종'!H22*H368</x:f>
        <x:v>0.6000000000000001</x:v>
      </x:c>
      <x:c r="AE368" s="15" t="n">
        <x:f>'기준스탯 72종'!I22*H368</x:f>
        <x:v>0.3600000000000001</x:v>
      </x:c>
      <x:c r="AF368" s="15" t="n">
        <x:f>'기준스탯 72종'!J22*H368</x:f>
        <x:v>0.8400000000000002</x:v>
      </x:c>
      <x:c r="AG368" s="15" t="n">
        <x:f>'기준스탯 72종'!K22*H368</x:f>
        <x:v>0.12000000000000002</x:v>
      </x:c>
    </x:row>
    <x:row r="369" ht="28" customHeight="1">
      <x:c r="A369" s="2" t="n">
        <x:v>362</x:v>
      </x:c>
      <x:c r="B369" s="2" t="n">
        <x:v>15</x:v>
      </x:c>
      <x:c r="C369" s="2" t="str">
        <x:v>쌍둥이자리</x:v>
      </x:c>
      <x:c r="D369" s="2" t="str">
        <x:v>사수</x:v>
      </x:c>
      <x:c r="E369" s="2" t="n">
        <x:v>2</x:v>
      </x:c>
      <x:c r="F369" s="2" t="n">
        <x:v>3</x:v>
      </x:c>
      <x:c r="G369" s="14" t="n">
        <x:f>('레벨 계산식'!$E$4-E369)*'레벨 계산식'!$B$5</x:f>
        <x:v>0.41999999999999993</x:v>
      </x:c>
      <x:c r="H369" s="14" t="n">
        <x:f>('등급 계산식'!$E$4-F369)*'등급 계산식'!$B$5</x:f>
        <x:v>0.12000000000000002</x:v>
      </x:c>
      <x:c r="I369" s="14" t="n">
        <x:f>1-G369-H369</x:f>
        <x:v>0.4600000000000001</x:v>
      </x:c>
      <x:c r="J369" s="2" t="n">
        <x:f>MAX(1,ROUND('기준스탯 72종'!D22-R369-Z369,0))</x:f>
        <x:v>3</x:v>
      </x:c>
      <x:c r="K369" s="2" t="n">
        <x:f>MAX(1,ROUND('기준스탯 72종'!E22-S369-AA369,0))</x:f>
        <x:v>3</x:v>
      </x:c>
      <x:c r="L369" s="2" t="n">
        <x:f>MAX(1,ROUND('기준스탯 72종'!F22-T369-AB369,0))</x:f>
        <x:v>3</x:v>
      </x:c>
      <x:c r="M369" s="2" t="n">
        <x:f>MAX(1,ROUND('기준스탯 72종'!G22-U369-AC369,0))</x:f>
        <x:v>5</x:v>
      </x:c>
      <x:c r="N369" s="2" t="n">
        <x:f>MAX(0,ROUND('기준스탯 72종'!H22-V369-AD369,0))</x:f>
        <x:v>2</x:v>
      </x:c>
      <x:c r="O369" s="2" t="n">
        <x:f>MAX(0,ROUND('기준스탯 72종'!I22-W369-AE369,0))</x:f>
        <x:v>1</x:v>
      </x:c>
      <x:c r="P369" s="2" t="n">
        <x:f>MAX(0,ROUND('기준스탯 72종'!J22-X369-AF369,0))</x:f>
        <x:v>3</x:v>
      </x:c>
      <x:c r="Q369" s="2" t="n">
        <x:f>MAX(0,ROUND('기준스탯 72종'!K22-Y369-AG369,0))</x:f>
        <x:v>0</x:v>
      </x:c>
      <x:c r="R369" s="15" t="n">
        <x:f>'기준스탯 72종'!D22*G369</x:f>
        <x:v>2.9399999999999995</x:v>
      </x:c>
      <x:c r="S369" s="15" t="n">
        <x:f>'기준스탯 72종'!E22*G369</x:f>
        <x:v>2.5199999999999996</x:v>
      </x:c>
      <x:c r="T369" s="15" t="n">
        <x:f>'기준스탯 72종'!F22*G369</x:f>
        <x:v>2.9399999999999995</x:v>
      </x:c>
      <x:c r="U369" s="15" t="n">
        <x:f>'기준스탯 72종'!G22*G369</x:f>
        <x:v>4.199999999999999</x:v>
      </x:c>
      <x:c r="V369" s="15" t="n">
        <x:f>'기준스탯 72종'!H22*G369</x:f>
        <x:v>2.0999999999999996</x:v>
      </x:c>
      <x:c r="W369" s="15" t="n">
        <x:f>'기준스탯 72종'!I22*G369</x:f>
        <x:v>1.2599999999999998</x:v>
      </x:c>
      <x:c r="X369" s="15" t="n">
        <x:f>'기준스탯 72종'!J22*G369</x:f>
        <x:v>2.9399999999999995</x:v>
      </x:c>
      <x:c r="Y369" s="15" t="n">
        <x:f>'기준스탯 72종'!K22*G369</x:f>
        <x:v>0.41999999999999993</x:v>
      </x:c>
      <x:c r="Z369" s="15" t="n">
        <x:f>'기준스탯 72종'!D22*H369</x:f>
        <x:v>0.8400000000000002</x:v>
      </x:c>
      <x:c r="AA369" s="15" t="n">
        <x:f>'기준스탯 72종'!E22*H369</x:f>
        <x:v>0.7200000000000002</x:v>
      </x:c>
      <x:c r="AB369" s="15" t="n">
        <x:f>'기준스탯 72종'!F22*H369</x:f>
        <x:v>0.8400000000000002</x:v>
      </x:c>
      <x:c r="AC369" s="15" t="n">
        <x:f>'기준스탯 72종'!G22*H369</x:f>
        <x:v>1.2000000000000002</x:v>
      </x:c>
      <x:c r="AD369" s="15" t="n">
        <x:f>'기준스탯 72종'!H22*H369</x:f>
        <x:v>0.6000000000000001</x:v>
      </x:c>
      <x:c r="AE369" s="15" t="n">
        <x:f>'기준스탯 72종'!I22*H369</x:f>
        <x:v>0.3600000000000001</x:v>
      </x:c>
      <x:c r="AF369" s="15" t="n">
        <x:f>'기준스탯 72종'!J22*H369</x:f>
        <x:v>0.8400000000000002</x:v>
      </x:c>
      <x:c r="AG369" s="15" t="n">
        <x:f>'기준스탯 72종'!K22*H369</x:f>
        <x:v>0.12000000000000002</x:v>
      </x:c>
    </x:row>
    <x:row r="370" ht="28" customHeight="1">
      <x:c r="A370" s="2" t="n">
        <x:v>363</x:v>
      </x:c>
      <x:c r="B370" s="2" t="n">
        <x:v>15</x:v>
      </x:c>
      <x:c r="C370" s="2" t="str">
        <x:v>쌍둥이자리</x:v>
      </x:c>
      <x:c r="D370" s="2" t="str">
        <x:v>사수</x:v>
      </x:c>
      <x:c r="E370" s="2" t="n">
        <x:v>3</x:v>
      </x:c>
      <x:c r="F370" s="2" t="n">
        <x:v>3</x:v>
      </x:c>
      <x:c r="G370" s="14" t="n">
        <x:f>('레벨 계산식'!$E$4-E370)*'레벨 계산식'!$B$5</x:f>
        <x:v>0.27999999999999997</x:v>
      </x:c>
      <x:c r="H370" s="14" t="n">
        <x:f>('등급 계산식'!$E$4-F370)*'등급 계산식'!$B$5</x:f>
        <x:v>0.12000000000000002</x:v>
      </x:c>
      <x:c r="I370" s="14" t="n">
        <x:f>1-G370-H370</x:f>
        <x:v>0.6</x:v>
      </x:c>
      <x:c r="J370" s="2" t="n">
        <x:f>MAX(1,ROUND('기준스탯 72종'!D22-R370-Z370,0))</x:f>
        <x:v>4</x:v>
      </x:c>
      <x:c r="K370" s="2" t="n">
        <x:f>MAX(1,ROUND('기준스탯 72종'!E22-S370-AA370,0))</x:f>
        <x:v>4</x:v>
      </x:c>
      <x:c r="L370" s="2" t="n">
        <x:f>MAX(1,ROUND('기준스탯 72종'!F22-T370-AB370,0))</x:f>
        <x:v>4</x:v>
      </x:c>
      <x:c r="M370" s="2" t="n">
        <x:f>MAX(1,ROUND('기준스탯 72종'!G22-U370-AC370,0))</x:f>
        <x:v>6</x:v>
      </x:c>
      <x:c r="N370" s="2" t="n">
        <x:f>MAX(0,ROUND('기준스탯 72종'!H22-V370-AD370,0))</x:f>
        <x:v>3</x:v>
      </x:c>
      <x:c r="O370" s="2" t="n">
        <x:f>MAX(0,ROUND('기준스탯 72종'!I22-W370-AE370,0))</x:f>
        <x:v>2</x:v>
      </x:c>
      <x:c r="P370" s="2" t="n">
        <x:f>MAX(0,ROUND('기준스탯 72종'!J22-X370-AF370,0))</x:f>
        <x:v>4</x:v>
      </x:c>
      <x:c r="Q370" s="2" t="n">
        <x:f>MAX(0,ROUND('기준스탯 72종'!K22-Y370-AG370,0))</x:f>
        <x:v>1</x:v>
      </x:c>
      <x:c r="R370" s="15" t="n">
        <x:f>'기준스탯 72종'!D22*G370</x:f>
        <x:v>1.9599999999999997</x:v>
      </x:c>
      <x:c r="S370" s="15" t="n">
        <x:f>'기준스탯 72종'!E22*G370</x:f>
        <x:v>1.6799999999999997</x:v>
      </x:c>
      <x:c r="T370" s="15" t="n">
        <x:f>'기준스탯 72종'!F22*G370</x:f>
        <x:v>1.9599999999999997</x:v>
      </x:c>
      <x:c r="U370" s="15" t="n">
        <x:f>'기준스탯 72종'!G22*G370</x:f>
        <x:v>2.8</x:v>
      </x:c>
      <x:c r="V370" s="15" t="n">
        <x:f>'기준스탯 72종'!H22*G370</x:f>
        <x:v>1.4</x:v>
      </x:c>
      <x:c r="W370" s="15" t="n">
        <x:f>'기준스탯 72종'!I22*G370</x:f>
        <x:v>0.8399999999999999</x:v>
      </x:c>
      <x:c r="X370" s="15" t="n">
        <x:f>'기준스탯 72종'!J22*G370</x:f>
        <x:v>1.9599999999999997</x:v>
      </x:c>
      <x:c r="Y370" s="15" t="n">
        <x:f>'기준스탯 72종'!K22*G370</x:f>
        <x:v>0.27999999999999997</x:v>
      </x:c>
      <x:c r="Z370" s="15" t="n">
        <x:f>'기준스탯 72종'!D22*H370</x:f>
        <x:v>0.8400000000000002</x:v>
      </x:c>
      <x:c r="AA370" s="15" t="n">
        <x:f>'기준스탯 72종'!E22*H370</x:f>
        <x:v>0.7200000000000002</x:v>
      </x:c>
      <x:c r="AB370" s="15" t="n">
        <x:f>'기준스탯 72종'!F22*H370</x:f>
        <x:v>0.8400000000000002</x:v>
      </x:c>
      <x:c r="AC370" s="15" t="n">
        <x:f>'기준스탯 72종'!G22*H370</x:f>
        <x:v>1.2000000000000002</x:v>
      </x:c>
      <x:c r="AD370" s="15" t="n">
        <x:f>'기준스탯 72종'!H22*H370</x:f>
        <x:v>0.6000000000000001</x:v>
      </x:c>
      <x:c r="AE370" s="15" t="n">
        <x:f>'기준스탯 72종'!I22*H370</x:f>
        <x:v>0.3600000000000001</x:v>
      </x:c>
      <x:c r="AF370" s="15" t="n">
        <x:f>'기준스탯 72종'!J22*H370</x:f>
        <x:v>0.8400000000000002</x:v>
      </x:c>
      <x:c r="AG370" s="15" t="n">
        <x:f>'기준스탯 72종'!K22*H370</x:f>
        <x:v>0.12000000000000002</x:v>
      </x:c>
    </x:row>
    <x:row r="371" ht="28" customHeight="1">
      <x:c r="A371" s="2" t="n">
        <x:v>364</x:v>
      </x:c>
      <x:c r="B371" s="2" t="n">
        <x:v>15</x:v>
      </x:c>
      <x:c r="C371" s="2" t="str">
        <x:v>쌍둥이자리</x:v>
      </x:c>
      <x:c r="D371" s="2" t="str">
        <x:v>사수</x:v>
      </x:c>
      <x:c r="E371" s="2" t="n">
        <x:v>4</x:v>
      </x:c>
      <x:c r="F371" s="2" t="n">
        <x:v>3</x:v>
      </x:c>
      <x:c r="G371" s="14" t="n">
        <x:f>('레벨 계산식'!$E$4-E371)*'레벨 계산식'!$B$5</x:f>
        <x:v>0.13999999999999999</x:v>
      </x:c>
      <x:c r="H371" s="14" t="n">
        <x:f>('등급 계산식'!$E$4-F371)*'등급 계산식'!$B$5</x:f>
        <x:v>0.12000000000000002</x:v>
      </x:c>
      <x:c r="I371" s="14" t="n">
        <x:f>1-G371-H371</x:f>
        <x:v>0.74</x:v>
      </x:c>
      <x:c r="J371" s="2" t="n">
        <x:f>MAX(1,ROUND('기준스탯 72종'!D22-R371-Z371,0))</x:f>
        <x:v>5</x:v>
      </x:c>
      <x:c r="K371" s="2" t="n">
        <x:f>MAX(1,ROUND('기준스탯 72종'!E22-S371-AA371,0))</x:f>
        <x:v>4</x:v>
      </x:c>
      <x:c r="L371" s="2" t="n">
        <x:f>MAX(1,ROUND('기준스탯 72종'!F22-T371-AB371,0))</x:f>
        <x:v>5</x:v>
      </x:c>
      <x:c r="M371" s="2" t="n">
        <x:f>MAX(1,ROUND('기준스탯 72종'!G22-U371-AC371,0))</x:f>
        <x:v>7</x:v>
      </x:c>
      <x:c r="N371" s="2" t="n">
        <x:f>MAX(0,ROUND('기준스탯 72종'!H22-V371-AD371,0))</x:f>
        <x:v>4</x:v>
      </x:c>
      <x:c r="O371" s="2" t="n">
        <x:f>MAX(0,ROUND('기준스탯 72종'!I22-W371-AE371,0))</x:f>
        <x:v>2</x:v>
      </x:c>
      <x:c r="P371" s="2" t="n">
        <x:f>MAX(0,ROUND('기준스탯 72종'!J22-X371-AF371,0))</x:f>
        <x:v>5</x:v>
      </x:c>
      <x:c r="Q371" s="2" t="n">
        <x:f>MAX(0,ROUND('기준스탯 72종'!K22-Y371-AG371,0))</x:f>
        <x:v>1</x:v>
      </x:c>
      <x:c r="R371" s="15" t="n">
        <x:f>'기준스탯 72종'!D22*G371</x:f>
        <x:v>0.9799999999999999</x:v>
      </x:c>
      <x:c r="S371" s="15" t="n">
        <x:f>'기준스탯 72종'!E22*G371</x:f>
        <x:v>0.8399999999999999</x:v>
      </x:c>
      <x:c r="T371" s="15" t="n">
        <x:f>'기준스탯 72종'!F22*G371</x:f>
        <x:v>0.9799999999999999</x:v>
      </x:c>
      <x:c r="U371" s="15" t="n">
        <x:f>'기준스탯 72종'!G22*G371</x:f>
        <x:v>1.4</x:v>
      </x:c>
      <x:c r="V371" s="15" t="n">
        <x:f>'기준스탯 72종'!H22*G371</x:f>
        <x:v>0.7</x:v>
      </x:c>
      <x:c r="W371" s="15" t="n">
        <x:f>'기준스탯 72종'!I22*G371</x:f>
        <x:v>0.41999999999999993</x:v>
      </x:c>
      <x:c r="X371" s="15" t="n">
        <x:f>'기준스탯 72종'!J22*G371</x:f>
        <x:v>0.9799999999999999</x:v>
      </x:c>
      <x:c r="Y371" s="15" t="n">
        <x:f>'기준스탯 72종'!K22*G371</x:f>
        <x:v>0.13999999999999999</x:v>
      </x:c>
      <x:c r="Z371" s="15" t="n">
        <x:f>'기준스탯 72종'!D22*H371</x:f>
        <x:v>0.8400000000000002</x:v>
      </x:c>
      <x:c r="AA371" s="15" t="n">
        <x:f>'기준스탯 72종'!E22*H371</x:f>
        <x:v>0.7200000000000002</x:v>
      </x:c>
      <x:c r="AB371" s="15" t="n">
        <x:f>'기준스탯 72종'!F22*H371</x:f>
        <x:v>0.8400000000000002</x:v>
      </x:c>
      <x:c r="AC371" s="15" t="n">
        <x:f>'기준스탯 72종'!G22*H371</x:f>
        <x:v>1.2000000000000002</x:v>
      </x:c>
      <x:c r="AD371" s="15" t="n">
        <x:f>'기준스탯 72종'!H22*H371</x:f>
        <x:v>0.6000000000000001</x:v>
      </x:c>
      <x:c r="AE371" s="15" t="n">
        <x:f>'기준스탯 72종'!I22*H371</x:f>
        <x:v>0.3600000000000001</x:v>
      </x:c>
      <x:c r="AF371" s="15" t="n">
        <x:f>'기준스탯 72종'!J22*H371</x:f>
        <x:v>0.8400000000000002</x:v>
      </x:c>
      <x:c r="AG371" s="15" t="n">
        <x:f>'기준스탯 72종'!K22*H371</x:f>
        <x:v>0.12000000000000002</x:v>
      </x:c>
    </x:row>
    <x:row r="372" ht="28" customHeight="1">
      <x:c r="A372" s="2" t="n">
        <x:v>365</x:v>
      </x:c>
      <x:c r="B372" s="2" t="n">
        <x:v>15</x:v>
      </x:c>
      <x:c r="C372" s="2" t="str">
        <x:v>쌍둥이자리</x:v>
      </x:c>
      <x:c r="D372" s="2" t="str">
        <x:v>사수</x:v>
      </x:c>
      <x:c r="E372" s="2" t="n">
        <x:v>5</x:v>
      </x:c>
      <x:c r="F372" s="2" t="n">
        <x:v>3</x:v>
      </x:c>
      <x:c r="G372" s="14" t="n">
        <x:f>('레벨 계산식'!$E$4-E372)*'레벨 계산식'!$B$5</x:f>
        <x:v>0</x:v>
      </x:c>
      <x:c r="H372" s="14" t="n">
        <x:f>('등급 계산식'!$E$4-F372)*'등급 계산식'!$B$5</x:f>
        <x:v>0.12000000000000002</x:v>
      </x:c>
      <x:c r="I372" s="14" t="n">
        <x:f>1-G372-H372</x:f>
        <x:v>0.88</x:v>
      </x:c>
      <x:c r="J372" s="2" t="n">
        <x:f>MAX(1,ROUND('기준스탯 72종'!D22-R372-Z372,0))</x:f>
        <x:v>6</x:v>
      </x:c>
      <x:c r="K372" s="2" t="n">
        <x:f>MAX(1,ROUND('기준스탯 72종'!E22-S372-AA372,0))</x:f>
        <x:v>5</x:v>
      </x:c>
      <x:c r="L372" s="2" t="n">
        <x:f>MAX(1,ROUND('기준스탯 72종'!F22-T372-AB372,0))</x:f>
        <x:v>6</x:v>
      </x:c>
      <x:c r="M372" s="2" t="n">
        <x:f>MAX(1,ROUND('기준스탯 72종'!G22-U372-AC372,0))</x:f>
        <x:v>9</x:v>
      </x:c>
      <x:c r="N372" s="2" t="n">
        <x:f>MAX(0,ROUND('기준스탯 72종'!H22-V372-AD372,0))</x:f>
        <x:v>4</x:v>
      </x:c>
      <x:c r="O372" s="2" t="n">
        <x:f>MAX(0,ROUND('기준스탯 72종'!I22-W372-AE372,0))</x:f>
        <x:v>3</x:v>
      </x:c>
      <x:c r="P372" s="2" t="n">
        <x:f>MAX(0,ROUND('기준스탯 72종'!J22-X372-AF372,0))</x:f>
        <x:v>6</x:v>
      </x:c>
      <x:c r="Q372" s="2" t="n">
        <x:f>MAX(0,ROUND('기준스탯 72종'!K22-Y372-AG372,0))</x:f>
        <x:v>1</x:v>
      </x:c>
      <x:c r="R372" s="15" t="n">
        <x:f>'기준스탯 72종'!D22*G372</x:f>
        <x:v>0</x:v>
      </x:c>
      <x:c r="S372" s="15" t="n">
        <x:f>'기준스탯 72종'!E22*G372</x:f>
        <x:v>0</x:v>
      </x:c>
      <x:c r="T372" s="15" t="n">
        <x:f>'기준스탯 72종'!F22*G372</x:f>
        <x:v>0</x:v>
      </x:c>
      <x:c r="U372" s="15" t="n">
        <x:f>'기준스탯 72종'!G22*G372</x:f>
        <x:v>0</x:v>
      </x:c>
      <x:c r="V372" s="15" t="n">
        <x:f>'기준스탯 72종'!H22*G372</x:f>
        <x:v>0</x:v>
      </x:c>
      <x:c r="W372" s="15" t="n">
        <x:f>'기준스탯 72종'!I22*G372</x:f>
        <x:v>0</x:v>
      </x:c>
      <x:c r="X372" s="15" t="n">
        <x:f>'기준스탯 72종'!J22*G372</x:f>
        <x:v>0</x:v>
      </x:c>
      <x:c r="Y372" s="15" t="n">
        <x:f>'기준스탯 72종'!K22*G372</x:f>
        <x:v>0</x:v>
      </x:c>
      <x:c r="Z372" s="15" t="n">
        <x:f>'기준스탯 72종'!D22*H372</x:f>
        <x:v>0.8400000000000002</x:v>
      </x:c>
      <x:c r="AA372" s="15" t="n">
        <x:f>'기준스탯 72종'!E22*H372</x:f>
        <x:v>0.7200000000000002</x:v>
      </x:c>
      <x:c r="AB372" s="15" t="n">
        <x:f>'기준스탯 72종'!F22*H372</x:f>
        <x:v>0.8400000000000002</x:v>
      </x:c>
      <x:c r="AC372" s="15" t="n">
        <x:f>'기준스탯 72종'!G22*H372</x:f>
        <x:v>1.2000000000000002</x:v>
      </x:c>
      <x:c r="AD372" s="15" t="n">
        <x:f>'기준스탯 72종'!H22*H372</x:f>
        <x:v>0.6000000000000001</x:v>
      </x:c>
      <x:c r="AE372" s="15" t="n">
        <x:f>'기준스탯 72종'!I22*H372</x:f>
        <x:v>0.3600000000000001</x:v>
      </x:c>
      <x:c r="AF372" s="15" t="n">
        <x:f>'기준스탯 72종'!J22*H372</x:f>
        <x:v>0.8400000000000002</x:v>
      </x:c>
      <x:c r="AG372" s="15" t="n">
        <x:f>'기준스탯 72종'!K22*H372</x:f>
        <x:v>0.12000000000000002</x:v>
      </x:c>
    </x:row>
    <x:row r="373" ht="28" customHeight="1">
      <x:c r="A373" s="2" t="n">
        <x:v>366</x:v>
      </x:c>
      <x:c r="B373" s="2" t="n">
        <x:v>15</x:v>
      </x:c>
      <x:c r="C373" s="2" t="str">
        <x:v>쌍둥이자리</x:v>
      </x:c>
      <x:c r="D373" s="2" t="str">
        <x:v>사수</x:v>
      </x:c>
      <x:c r="E373" s="2" t="n">
        <x:v>1</x:v>
      </x:c>
      <x:c r="F373" s="2" t="n">
        <x:v>4</x:v>
      </x:c>
      <x:c r="G373" s="14" t="n">
        <x:f>('레벨 계산식'!$E$4-E373)*'레벨 계산식'!$B$5</x:f>
        <x:v>0.5599999999999999</x:v>
      </x:c>
      <x:c r="H373" s="14" t="n">
        <x:f>('등급 계산식'!$E$4-F373)*'등급 계산식'!$B$5</x:f>
        <x:v>0.06000000000000001</x:v>
      </x:c>
      <x:c r="I373" s="14" t="n">
        <x:f>1-G373-H373</x:f>
        <x:v>0.38000000000000006</x:v>
      </x:c>
      <x:c r="J373" s="2" t="n">
        <x:f>MAX(1,ROUND('기준스탯 72종'!D22-R373-Z373,0))</x:f>
        <x:v>3</x:v>
      </x:c>
      <x:c r="K373" s="2" t="n">
        <x:f>MAX(1,ROUND('기준스탯 72종'!E22-S373-AA373,0))</x:f>
        <x:v>2</x:v>
      </x:c>
      <x:c r="L373" s="2" t="n">
        <x:f>MAX(1,ROUND('기준스탯 72종'!F22-T373-AB373,0))</x:f>
        <x:v>3</x:v>
      </x:c>
      <x:c r="M373" s="2" t="n">
        <x:f>MAX(1,ROUND('기준스탯 72종'!G22-U373-AC373,0))</x:f>
        <x:v>4</x:v>
      </x:c>
      <x:c r="N373" s="2" t="n">
        <x:f>MAX(0,ROUND('기준스탯 72종'!H22-V373-AD373,0))</x:f>
        <x:v>2</x:v>
      </x:c>
      <x:c r="O373" s="2" t="n">
        <x:f>MAX(0,ROUND('기준스탯 72종'!I22-W373-AE373,0))</x:f>
        <x:v>1</x:v>
      </x:c>
      <x:c r="P373" s="2" t="n">
        <x:f>MAX(0,ROUND('기준스탯 72종'!J22-X373-AF373,0))</x:f>
        <x:v>3</x:v>
      </x:c>
      <x:c r="Q373" s="2" t="n">
        <x:f>MAX(0,ROUND('기준스탯 72종'!K22-Y373-AG373,0))</x:f>
        <x:v>0</x:v>
      </x:c>
      <x:c r="R373" s="15" t="n">
        <x:f>'기준스탯 72종'!D22*G373</x:f>
        <x:v>3.9199999999999995</x:v>
      </x:c>
      <x:c r="S373" s="15" t="n">
        <x:f>'기준스탯 72종'!E22*G373</x:f>
        <x:v>3.3599999999999994</x:v>
      </x:c>
      <x:c r="T373" s="15" t="n">
        <x:f>'기준스탯 72종'!F22*G373</x:f>
        <x:v>3.9199999999999995</x:v>
      </x:c>
      <x:c r="U373" s="15" t="n">
        <x:f>'기준스탯 72종'!G22*G373</x:f>
        <x:v>5.6</x:v>
      </x:c>
      <x:c r="V373" s="15" t="n">
        <x:f>'기준스탯 72종'!H22*G373</x:f>
        <x:v>2.8</x:v>
      </x:c>
      <x:c r="W373" s="15" t="n">
        <x:f>'기준스탯 72종'!I22*G373</x:f>
        <x:v>1.6799999999999997</x:v>
      </x:c>
      <x:c r="X373" s="15" t="n">
        <x:f>'기준스탯 72종'!J22*G373</x:f>
        <x:v>3.9199999999999995</x:v>
      </x:c>
      <x:c r="Y373" s="15" t="n">
        <x:f>'기준스탯 72종'!K22*G373</x:f>
        <x:v>0.5599999999999999</x:v>
      </x:c>
      <x:c r="Z373" s="15" t="n">
        <x:f>'기준스탯 72종'!D22*H373</x:f>
        <x:v>0.4200000000000001</x:v>
      </x:c>
      <x:c r="AA373" s="15" t="n">
        <x:f>'기준스탯 72종'!E22*H373</x:f>
        <x:v>0.3600000000000001</x:v>
      </x:c>
      <x:c r="AB373" s="15" t="n">
        <x:f>'기준스탯 72종'!F22*H373</x:f>
        <x:v>0.4200000000000001</x:v>
      </x:c>
      <x:c r="AC373" s="15" t="n">
        <x:f>'기준스탯 72종'!G22*H373</x:f>
        <x:v>0.6000000000000001</x:v>
      </x:c>
      <x:c r="AD373" s="15" t="n">
        <x:f>'기준스탯 72종'!H22*H373</x:f>
        <x:v>0.30000000000000004</x:v>
      </x:c>
      <x:c r="AE373" s="15" t="n">
        <x:f>'기준스탯 72종'!I22*H373</x:f>
        <x:v>0.18000000000000005</x:v>
      </x:c>
      <x:c r="AF373" s="15" t="n">
        <x:f>'기준스탯 72종'!J22*H373</x:f>
        <x:v>0.4200000000000001</x:v>
      </x:c>
      <x:c r="AG373" s="15" t="n">
        <x:f>'기준스탯 72종'!K22*H373</x:f>
        <x:v>0.06000000000000001</x:v>
      </x:c>
    </x:row>
    <x:row r="374" ht="28" customHeight="1">
      <x:c r="A374" s="2" t="n">
        <x:v>367</x:v>
      </x:c>
      <x:c r="B374" s="2" t="n">
        <x:v>15</x:v>
      </x:c>
      <x:c r="C374" s="2" t="str">
        <x:v>쌍둥이자리</x:v>
      </x:c>
      <x:c r="D374" s="2" t="str">
        <x:v>사수</x:v>
      </x:c>
      <x:c r="E374" s="2" t="n">
        <x:v>2</x:v>
      </x:c>
      <x:c r="F374" s="2" t="n">
        <x:v>4</x:v>
      </x:c>
      <x:c r="G374" s="14" t="n">
        <x:f>('레벨 계산식'!$E$4-E374)*'레벨 계산식'!$B$5</x:f>
        <x:v>0.41999999999999993</x:v>
      </x:c>
      <x:c r="H374" s="14" t="n">
        <x:f>('등급 계산식'!$E$4-F374)*'등급 계산식'!$B$5</x:f>
        <x:v>0.06000000000000001</x:v>
      </x:c>
      <x:c r="I374" s="14" t="n">
        <x:f>1-G374-H374</x:f>
        <x:v>0.52</x:v>
      </x:c>
      <x:c r="J374" s="2" t="n">
        <x:f>MAX(1,ROUND('기준스탯 72종'!D22-R374-Z374,0))</x:f>
        <x:v>4</x:v>
      </x:c>
      <x:c r="K374" s="2" t="n">
        <x:f>MAX(1,ROUND('기준스탯 72종'!E22-S374-AA374,0))</x:f>
        <x:v>3</x:v>
      </x:c>
      <x:c r="L374" s="2" t="n">
        <x:f>MAX(1,ROUND('기준스탯 72종'!F22-T374-AB374,0))</x:f>
        <x:v>4</x:v>
      </x:c>
      <x:c r="M374" s="2" t="n">
        <x:f>MAX(1,ROUND('기준스탯 72종'!G22-U374-AC374,0))</x:f>
        <x:v>5</x:v>
      </x:c>
      <x:c r="N374" s="2" t="n">
        <x:f>MAX(0,ROUND('기준스탯 72종'!H22-V374-AD374,0))</x:f>
        <x:v>3</x:v>
      </x:c>
      <x:c r="O374" s="2" t="n">
        <x:f>MAX(0,ROUND('기준스탯 72종'!I22-W374-AE374,0))</x:f>
        <x:v>2</x:v>
      </x:c>
      <x:c r="P374" s="2" t="n">
        <x:f>MAX(0,ROUND('기준스탯 72종'!J22-X374-AF374,0))</x:f>
        <x:v>4</x:v>
      </x:c>
      <x:c r="Q374" s="2" t="n">
        <x:f>MAX(0,ROUND('기준스탯 72종'!K22-Y374-AG374,0))</x:f>
        <x:v>1</x:v>
      </x:c>
      <x:c r="R374" s="15" t="n">
        <x:f>'기준스탯 72종'!D22*G374</x:f>
        <x:v>2.9399999999999995</x:v>
      </x:c>
      <x:c r="S374" s="15" t="n">
        <x:f>'기준스탯 72종'!E22*G374</x:f>
        <x:v>2.5199999999999996</x:v>
      </x:c>
      <x:c r="T374" s="15" t="n">
        <x:f>'기준스탯 72종'!F22*G374</x:f>
        <x:v>2.9399999999999995</x:v>
      </x:c>
      <x:c r="U374" s="15" t="n">
        <x:f>'기준스탯 72종'!G22*G374</x:f>
        <x:v>4.199999999999999</x:v>
      </x:c>
      <x:c r="V374" s="15" t="n">
        <x:f>'기준스탯 72종'!H22*G374</x:f>
        <x:v>2.0999999999999996</x:v>
      </x:c>
      <x:c r="W374" s="15" t="n">
        <x:f>'기준스탯 72종'!I22*G374</x:f>
        <x:v>1.2599999999999998</x:v>
      </x:c>
      <x:c r="X374" s="15" t="n">
        <x:f>'기준스탯 72종'!J22*G374</x:f>
        <x:v>2.9399999999999995</x:v>
      </x:c>
      <x:c r="Y374" s="15" t="n">
        <x:f>'기준스탯 72종'!K22*G374</x:f>
        <x:v>0.41999999999999993</x:v>
      </x:c>
      <x:c r="Z374" s="15" t="n">
        <x:f>'기준스탯 72종'!D22*H374</x:f>
        <x:v>0.4200000000000001</x:v>
      </x:c>
      <x:c r="AA374" s="15" t="n">
        <x:f>'기준스탯 72종'!E22*H374</x:f>
        <x:v>0.3600000000000001</x:v>
      </x:c>
      <x:c r="AB374" s="15" t="n">
        <x:f>'기준스탯 72종'!F22*H374</x:f>
        <x:v>0.4200000000000001</x:v>
      </x:c>
      <x:c r="AC374" s="15" t="n">
        <x:f>'기준스탯 72종'!G22*H374</x:f>
        <x:v>0.6000000000000001</x:v>
      </x:c>
      <x:c r="AD374" s="15" t="n">
        <x:f>'기준스탯 72종'!H22*H374</x:f>
        <x:v>0.30000000000000004</x:v>
      </x:c>
      <x:c r="AE374" s="15" t="n">
        <x:f>'기준스탯 72종'!I22*H374</x:f>
        <x:v>0.18000000000000005</x:v>
      </x:c>
      <x:c r="AF374" s="15" t="n">
        <x:f>'기준스탯 72종'!J22*H374</x:f>
        <x:v>0.4200000000000001</x:v>
      </x:c>
      <x:c r="AG374" s="15" t="n">
        <x:f>'기준스탯 72종'!K22*H374</x:f>
        <x:v>0.06000000000000001</x:v>
      </x:c>
    </x:row>
    <x:row r="375" ht="28" customHeight="1">
      <x:c r="A375" s="2" t="n">
        <x:v>368</x:v>
      </x:c>
      <x:c r="B375" s="2" t="n">
        <x:v>15</x:v>
      </x:c>
      <x:c r="C375" s="2" t="str">
        <x:v>쌍둥이자리</x:v>
      </x:c>
      <x:c r="D375" s="2" t="str">
        <x:v>사수</x:v>
      </x:c>
      <x:c r="E375" s="2" t="n">
        <x:v>3</x:v>
      </x:c>
      <x:c r="F375" s="2" t="n">
        <x:v>4</x:v>
      </x:c>
      <x:c r="G375" s="14" t="n">
        <x:f>('레벨 계산식'!$E$4-E375)*'레벨 계산식'!$B$5</x:f>
        <x:v>0.27999999999999997</x:v>
      </x:c>
      <x:c r="H375" s="14" t="n">
        <x:f>('등급 계산식'!$E$4-F375)*'등급 계산식'!$B$5</x:f>
        <x:v>0.06000000000000001</x:v>
      </x:c>
      <x:c r="I375" s="14" t="n">
        <x:f>1-G375-H375</x:f>
        <x:v>0.6599999999999999</x:v>
      </x:c>
      <x:c r="J375" s="2" t="n">
        <x:f>MAX(1,ROUND('기준스탯 72종'!D22-R375-Z375,0))</x:f>
        <x:v>5</x:v>
      </x:c>
      <x:c r="K375" s="2" t="n">
        <x:f>MAX(1,ROUND('기준스탯 72종'!E22-S375-AA375,0))</x:f>
        <x:v>4</x:v>
      </x:c>
      <x:c r="L375" s="2" t="n">
        <x:f>MAX(1,ROUND('기준스탯 72종'!F22-T375-AB375,0))</x:f>
        <x:v>5</x:v>
      </x:c>
      <x:c r="M375" s="2" t="n">
        <x:f>MAX(1,ROUND('기준스탯 72종'!G22-U375-AC375,0))</x:f>
        <x:v>7</x:v>
      </x:c>
      <x:c r="N375" s="2" t="n">
        <x:f>MAX(0,ROUND('기준스탯 72종'!H22-V375-AD375,0))</x:f>
        <x:v>3</x:v>
      </x:c>
      <x:c r="O375" s="2" t="n">
        <x:f>MAX(0,ROUND('기준스탯 72종'!I22-W375-AE375,0))</x:f>
        <x:v>2</x:v>
      </x:c>
      <x:c r="P375" s="2" t="n">
        <x:f>MAX(0,ROUND('기준스탯 72종'!J22-X375-AF375,0))</x:f>
        <x:v>5</x:v>
      </x:c>
      <x:c r="Q375" s="2" t="n">
        <x:f>MAX(0,ROUND('기준스탯 72종'!K22-Y375-AG375,0))</x:f>
        <x:v>1</x:v>
      </x:c>
      <x:c r="R375" s="15" t="n">
        <x:f>'기준스탯 72종'!D22*G375</x:f>
        <x:v>1.9599999999999997</x:v>
      </x:c>
      <x:c r="S375" s="15" t="n">
        <x:f>'기준스탯 72종'!E22*G375</x:f>
        <x:v>1.6799999999999997</x:v>
      </x:c>
      <x:c r="T375" s="15" t="n">
        <x:f>'기준스탯 72종'!F22*G375</x:f>
        <x:v>1.9599999999999997</x:v>
      </x:c>
      <x:c r="U375" s="15" t="n">
        <x:f>'기준스탯 72종'!G22*G375</x:f>
        <x:v>2.8</x:v>
      </x:c>
      <x:c r="V375" s="15" t="n">
        <x:f>'기준스탯 72종'!H22*G375</x:f>
        <x:v>1.4</x:v>
      </x:c>
      <x:c r="W375" s="15" t="n">
        <x:f>'기준스탯 72종'!I22*G375</x:f>
        <x:v>0.8399999999999999</x:v>
      </x:c>
      <x:c r="X375" s="15" t="n">
        <x:f>'기준스탯 72종'!J22*G375</x:f>
        <x:v>1.9599999999999997</x:v>
      </x:c>
      <x:c r="Y375" s="15" t="n">
        <x:f>'기준스탯 72종'!K22*G375</x:f>
        <x:v>0.27999999999999997</x:v>
      </x:c>
      <x:c r="Z375" s="15" t="n">
        <x:f>'기준스탯 72종'!D22*H375</x:f>
        <x:v>0.4200000000000001</x:v>
      </x:c>
      <x:c r="AA375" s="15" t="n">
        <x:f>'기준스탯 72종'!E22*H375</x:f>
        <x:v>0.3600000000000001</x:v>
      </x:c>
      <x:c r="AB375" s="15" t="n">
        <x:f>'기준스탯 72종'!F22*H375</x:f>
        <x:v>0.4200000000000001</x:v>
      </x:c>
      <x:c r="AC375" s="15" t="n">
        <x:f>'기준스탯 72종'!G22*H375</x:f>
        <x:v>0.6000000000000001</x:v>
      </x:c>
      <x:c r="AD375" s="15" t="n">
        <x:f>'기준스탯 72종'!H22*H375</x:f>
        <x:v>0.30000000000000004</x:v>
      </x:c>
      <x:c r="AE375" s="15" t="n">
        <x:f>'기준스탯 72종'!I22*H375</x:f>
        <x:v>0.18000000000000005</x:v>
      </x:c>
      <x:c r="AF375" s="15" t="n">
        <x:f>'기준스탯 72종'!J22*H375</x:f>
        <x:v>0.4200000000000001</x:v>
      </x:c>
      <x:c r="AG375" s="15" t="n">
        <x:f>'기준스탯 72종'!K22*H375</x:f>
        <x:v>0.06000000000000001</x:v>
      </x:c>
    </x:row>
    <x:row r="376" ht="28" customHeight="1">
      <x:c r="A376" s="2" t="n">
        <x:v>369</x:v>
      </x:c>
      <x:c r="B376" s="2" t="n">
        <x:v>15</x:v>
      </x:c>
      <x:c r="C376" s="2" t="str">
        <x:v>쌍둥이자리</x:v>
      </x:c>
      <x:c r="D376" s="2" t="str">
        <x:v>사수</x:v>
      </x:c>
      <x:c r="E376" s="2" t="n">
        <x:v>4</x:v>
      </x:c>
      <x:c r="F376" s="2" t="n">
        <x:v>4</x:v>
      </x:c>
      <x:c r="G376" s="14" t="n">
        <x:f>('레벨 계산식'!$E$4-E376)*'레벨 계산식'!$B$5</x:f>
        <x:v>0.13999999999999999</x:v>
      </x:c>
      <x:c r="H376" s="14" t="n">
        <x:f>('등급 계산식'!$E$4-F376)*'등급 계산식'!$B$5</x:f>
        <x:v>0.06000000000000001</x:v>
      </x:c>
      <x:c r="I376" s="14" t="n">
        <x:f>1-G376-H376</x:f>
        <x:v>0.7999999999999999</x:v>
      </x:c>
      <x:c r="J376" s="2" t="n">
        <x:f>MAX(1,ROUND('기준스탯 72종'!D22-R376-Z376,0))</x:f>
        <x:v>6</x:v>
      </x:c>
      <x:c r="K376" s="2" t="n">
        <x:f>MAX(1,ROUND('기준스탯 72종'!E22-S376-AA376,0))</x:f>
        <x:v>5</x:v>
      </x:c>
      <x:c r="L376" s="2" t="n">
        <x:f>MAX(1,ROUND('기준스탯 72종'!F22-T376-AB376,0))</x:f>
        <x:v>6</x:v>
      </x:c>
      <x:c r="M376" s="2" t="n">
        <x:f>MAX(1,ROUND('기준스탯 72종'!G22-U376-AC376,0))</x:f>
        <x:v>8</x:v>
      </x:c>
      <x:c r="N376" s="2" t="n">
        <x:f>MAX(0,ROUND('기준스탯 72종'!H22-V376-AD376,0))</x:f>
        <x:v>4</x:v>
      </x:c>
      <x:c r="O376" s="2" t="n">
        <x:f>MAX(0,ROUND('기준스탯 72종'!I22-W376-AE376,0))</x:f>
        <x:v>2</x:v>
      </x:c>
      <x:c r="P376" s="2" t="n">
        <x:f>MAX(0,ROUND('기준스탯 72종'!J22-X376-AF376,0))</x:f>
        <x:v>6</x:v>
      </x:c>
      <x:c r="Q376" s="2" t="n">
        <x:f>MAX(0,ROUND('기준스탯 72종'!K22-Y376-AG376,0))</x:f>
        <x:v>1</x:v>
      </x:c>
      <x:c r="R376" s="15" t="n">
        <x:f>'기준스탯 72종'!D22*G376</x:f>
        <x:v>0.9799999999999999</x:v>
      </x:c>
      <x:c r="S376" s="15" t="n">
        <x:f>'기준스탯 72종'!E22*G376</x:f>
        <x:v>0.8399999999999999</x:v>
      </x:c>
      <x:c r="T376" s="15" t="n">
        <x:f>'기준스탯 72종'!F22*G376</x:f>
        <x:v>0.9799999999999999</x:v>
      </x:c>
      <x:c r="U376" s="15" t="n">
        <x:f>'기준스탯 72종'!G22*G376</x:f>
        <x:v>1.4</x:v>
      </x:c>
      <x:c r="V376" s="15" t="n">
        <x:f>'기준스탯 72종'!H22*G376</x:f>
        <x:v>0.7</x:v>
      </x:c>
      <x:c r="W376" s="15" t="n">
        <x:f>'기준스탯 72종'!I22*G376</x:f>
        <x:v>0.41999999999999993</x:v>
      </x:c>
      <x:c r="X376" s="15" t="n">
        <x:f>'기준스탯 72종'!J22*G376</x:f>
        <x:v>0.9799999999999999</x:v>
      </x:c>
      <x:c r="Y376" s="15" t="n">
        <x:f>'기준스탯 72종'!K22*G376</x:f>
        <x:v>0.13999999999999999</x:v>
      </x:c>
      <x:c r="Z376" s="15" t="n">
        <x:f>'기준스탯 72종'!D22*H376</x:f>
        <x:v>0.4200000000000001</x:v>
      </x:c>
      <x:c r="AA376" s="15" t="n">
        <x:f>'기준스탯 72종'!E22*H376</x:f>
        <x:v>0.3600000000000001</x:v>
      </x:c>
      <x:c r="AB376" s="15" t="n">
        <x:f>'기준스탯 72종'!F22*H376</x:f>
        <x:v>0.4200000000000001</x:v>
      </x:c>
      <x:c r="AC376" s="15" t="n">
        <x:f>'기준스탯 72종'!G22*H376</x:f>
        <x:v>0.6000000000000001</x:v>
      </x:c>
      <x:c r="AD376" s="15" t="n">
        <x:f>'기준스탯 72종'!H22*H376</x:f>
        <x:v>0.30000000000000004</x:v>
      </x:c>
      <x:c r="AE376" s="15" t="n">
        <x:f>'기준스탯 72종'!I22*H376</x:f>
        <x:v>0.18000000000000005</x:v>
      </x:c>
      <x:c r="AF376" s="15" t="n">
        <x:f>'기준스탯 72종'!J22*H376</x:f>
        <x:v>0.4200000000000001</x:v>
      </x:c>
      <x:c r="AG376" s="15" t="n">
        <x:f>'기준스탯 72종'!K22*H376</x:f>
        <x:v>0.06000000000000001</x:v>
      </x:c>
    </x:row>
    <x:row r="377" ht="28" customHeight="1">
      <x:c r="A377" s="2" t="n">
        <x:v>370</x:v>
      </x:c>
      <x:c r="B377" s="2" t="n">
        <x:v>15</x:v>
      </x:c>
      <x:c r="C377" s="2" t="str">
        <x:v>쌍둥이자리</x:v>
      </x:c>
      <x:c r="D377" s="2" t="str">
        <x:v>사수</x:v>
      </x:c>
      <x:c r="E377" s="2" t="n">
        <x:v>5</x:v>
      </x:c>
      <x:c r="F377" s="2" t="n">
        <x:v>4</x:v>
      </x:c>
      <x:c r="G377" s="14" t="n">
        <x:f>('레벨 계산식'!$E$4-E377)*'레벨 계산식'!$B$5</x:f>
        <x:v>0</x:v>
      </x:c>
      <x:c r="H377" s="14" t="n">
        <x:f>('등급 계산식'!$E$4-F377)*'등급 계산식'!$B$5</x:f>
        <x:v>0.06000000000000001</x:v>
      </x:c>
      <x:c r="I377" s="14" t="n">
        <x:f>1-G377-H377</x:f>
        <x:v>0.94</x:v>
      </x:c>
      <x:c r="J377" s="2" t="n">
        <x:f>MAX(1,ROUND('기준스탯 72종'!D22-R377-Z377,0))</x:f>
        <x:v>7</x:v>
      </x:c>
      <x:c r="K377" s="2" t="n">
        <x:f>MAX(1,ROUND('기준스탯 72종'!E22-S377-AA377,0))</x:f>
        <x:v>6</x:v>
      </x:c>
      <x:c r="L377" s="2" t="n">
        <x:f>MAX(1,ROUND('기준스탯 72종'!F22-T377-AB377,0))</x:f>
        <x:v>7</x:v>
      </x:c>
      <x:c r="M377" s="2" t="n">
        <x:f>MAX(1,ROUND('기준스탯 72종'!G22-U377-AC377,0))</x:f>
        <x:v>9</x:v>
      </x:c>
      <x:c r="N377" s="2" t="n">
        <x:f>MAX(0,ROUND('기준스탯 72종'!H22-V377-AD377,0))</x:f>
        <x:v>5</x:v>
      </x:c>
      <x:c r="O377" s="2" t="n">
        <x:f>MAX(0,ROUND('기준스탯 72종'!I22-W377-AE377,0))</x:f>
        <x:v>3</x:v>
      </x:c>
      <x:c r="P377" s="2" t="n">
        <x:f>MAX(0,ROUND('기준스탯 72종'!J22-X377-AF377,0))</x:f>
        <x:v>7</x:v>
      </x:c>
      <x:c r="Q377" s="2" t="n">
        <x:f>MAX(0,ROUND('기준스탯 72종'!K22-Y377-AG377,0))</x:f>
        <x:v>1</x:v>
      </x:c>
      <x:c r="R377" s="15" t="n">
        <x:f>'기준스탯 72종'!D22*G377</x:f>
        <x:v>0</x:v>
      </x:c>
      <x:c r="S377" s="15" t="n">
        <x:f>'기준스탯 72종'!E22*G377</x:f>
        <x:v>0</x:v>
      </x:c>
      <x:c r="T377" s="15" t="n">
        <x:f>'기준스탯 72종'!F22*G377</x:f>
        <x:v>0</x:v>
      </x:c>
      <x:c r="U377" s="15" t="n">
        <x:f>'기준스탯 72종'!G22*G377</x:f>
        <x:v>0</x:v>
      </x:c>
      <x:c r="V377" s="15" t="n">
        <x:f>'기준스탯 72종'!H22*G377</x:f>
        <x:v>0</x:v>
      </x:c>
      <x:c r="W377" s="15" t="n">
        <x:f>'기준스탯 72종'!I22*G377</x:f>
        <x:v>0</x:v>
      </x:c>
      <x:c r="X377" s="15" t="n">
        <x:f>'기준스탯 72종'!J22*G377</x:f>
        <x:v>0</x:v>
      </x:c>
      <x:c r="Y377" s="15" t="n">
        <x:f>'기준스탯 72종'!K22*G377</x:f>
        <x:v>0</x:v>
      </x:c>
      <x:c r="Z377" s="15" t="n">
        <x:f>'기준스탯 72종'!D22*H377</x:f>
        <x:v>0.4200000000000001</x:v>
      </x:c>
      <x:c r="AA377" s="15" t="n">
        <x:f>'기준스탯 72종'!E22*H377</x:f>
        <x:v>0.3600000000000001</x:v>
      </x:c>
      <x:c r="AB377" s="15" t="n">
        <x:f>'기준스탯 72종'!F22*H377</x:f>
        <x:v>0.4200000000000001</x:v>
      </x:c>
      <x:c r="AC377" s="15" t="n">
        <x:f>'기준스탯 72종'!G22*H377</x:f>
        <x:v>0.6000000000000001</x:v>
      </x:c>
      <x:c r="AD377" s="15" t="n">
        <x:f>'기준스탯 72종'!H22*H377</x:f>
        <x:v>0.30000000000000004</x:v>
      </x:c>
      <x:c r="AE377" s="15" t="n">
        <x:f>'기준스탯 72종'!I22*H377</x:f>
        <x:v>0.18000000000000005</x:v>
      </x:c>
      <x:c r="AF377" s="15" t="n">
        <x:f>'기준스탯 72종'!J22*H377</x:f>
        <x:v>0.4200000000000001</x:v>
      </x:c>
      <x:c r="AG377" s="15" t="n">
        <x:f>'기준스탯 72종'!K22*H377</x:f>
        <x:v>0.06000000000000001</x:v>
      </x:c>
    </x:row>
    <x:row r="378" ht="28" customHeight="1">
      <x:c r="A378" s="2" t="n">
        <x:v>371</x:v>
      </x:c>
      <x:c r="B378" s="2" t="n">
        <x:v>15</x:v>
      </x:c>
      <x:c r="C378" s="2" t="str">
        <x:v>쌍둥이자리</x:v>
      </x:c>
      <x:c r="D378" s="2" t="str">
        <x:v>사수</x:v>
      </x:c>
      <x:c r="E378" s="2" t="n">
        <x:v>1</x:v>
      </x:c>
      <x:c r="F378" s="2" t="n">
        <x:v>5</x:v>
      </x:c>
      <x:c r="G378" s="14" t="n">
        <x:f>('레벨 계산식'!$E$4-E378)*'레벨 계산식'!$B$5</x:f>
        <x:v>0.5599999999999999</x:v>
      </x:c>
      <x:c r="H378" s="14" t="n">
        <x:f>('등급 계산식'!$E$4-F378)*'등급 계산식'!$B$5</x:f>
        <x:v>0</x:v>
      </x:c>
      <x:c r="I378" s="14" t="n">
        <x:f>1-G378-H378</x:f>
        <x:v>0.44000000000000006</x:v>
      </x:c>
      <x:c r="J378" s="2" t="n">
        <x:f>MAX(1,ROUND('기준스탯 72종'!D22-R378-Z378,0))</x:f>
        <x:v>3</x:v>
      </x:c>
      <x:c r="K378" s="2" t="n">
        <x:f>MAX(1,ROUND('기준스탯 72종'!E22-S378-AA378,0))</x:f>
        <x:v>3</x:v>
      </x:c>
      <x:c r="L378" s="2" t="n">
        <x:f>MAX(1,ROUND('기준스탯 72종'!F22-T378-AB378,0))</x:f>
        <x:v>3</x:v>
      </x:c>
      <x:c r="M378" s="2" t="n">
        <x:f>MAX(1,ROUND('기준스탯 72종'!G22-U378-AC378,0))</x:f>
        <x:v>4</x:v>
      </x:c>
      <x:c r="N378" s="2" t="n">
        <x:f>MAX(0,ROUND('기준스탯 72종'!H22-V378-AD378,0))</x:f>
        <x:v>2</x:v>
      </x:c>
      <x:c r="O378" s="2" t="n">
        <x:f>MAX(0,ROUND('기준스탯 72종'!I22-W378-AE378,0))</x:f>
        <x:v>1</x:v>
      </x:c>
      <x:c r="P378" s="2" t="n">
        <x:f>MAX(0,ROUND('기준스탯 72종'!J22-X378-AF378,0))</x:f>
        <x:v>3</x:v>
      </x:c>
      <x:c r="Q378" s="2" t="n">
        <x:f>MAX(0,ROUND('기준스탯 72종'!K22-Y378-AG378,0))</x:f>
        <x:v>0</x:v>
      </x:c>
      <x:c r="R378" s="15" t="n">
        <x:f>'기준스탯 72종'!D22*G378</x:f>
        <x:v>3.9199999999999995</x:v>
      </x:c>
      <x:c r="S378" s="15" t="n">
        <x:f>'기준스탯 72종'!E22*G378</x:f>
        <x:v>3.3599999999999994</x:v>
      </x:c>
      <x:c r="T378" s="15" t="n">
        <x:f>'기준스탯 72종'!F22*G378</x:f>
        <x:v>3.9199999999999995</x:v>
      </x:c>
      <x:c r="U378" s="15" t="n">
        <x:f>'기준스탯 72종'!G22*G378</x:f>
        <x:v>5.6</x:v>
      </x:c>
      <x:c r="V378" s="15" t="n">
        <x:f>'기준스탯 72종'!H22*G378</x:f>
        <x:v>2.8</x:v>
      </x:c>
      <x:c r="W378" s="15" t="n">
        <x:f>'기준스탯 72종'!I22*G378</x:f>
        <x:v>1.6799999999999997</x:v>
      </x:c>
      <x:c r="X378" s="15" t="n">
        <x:f>'기준스탯 72종'!J22*G378</x:f>
        <x:v>3.9199999999999995</x:v>
      </x:c>
      <x:c r="Y378" s="15" t="n">
        <x:f>'기준스탯 72종'!K22*G378</x:f>
        <x:v>0.5599999999999999</x:v>
      </x:c>
      <x:c r="Z378" s="15" t="n">
        <x:f>'기준스탯 72종'!D22*H378</x:f>
        <x:v>0</x:v>
      </x:c>
      <x:c r="AA378" s="15" t="n">
        <x:f>'기준스탯 72종'!E22*H378</x:f>
        <x:v>0</x:v>
      </x:c>
      <x:c r="AB378" s="15" t="n">
        <x:f>'기준스탯 72종'!F22*H378</x:f>
        <x:v>0</x:v>
      </x:c>
      <x:c r="AC378" s="15" t="n">
        <x:f>'기준스탯 72종'!G22*H378</x:f>
        <x:v>0</x:v>
      </x:c>
      <x:c r="AD378" s="15" t="n">
        <x:f>'기준스탯 72종'!H22*H378</x:f>
        <x:v>0</x:v>
      </x:c>
      <x:c r="AE378" s="15" t="n">
        <x:f>'기준스탯 72종'!I22*H378</x:f>
        <x:v>0</x:v>
      </x:c>
      <x:c r="AF378" s="15" t="n">
        <x:f>'기준스탯 72종'!J22*H378</x:f>
        <x:v>0</x:v>
      </x:c>
      <x:c r="AG378" s="15" t="n">
        <x:f>'기준스탯 72종'!K22*H378</x:f>
        <x:v>0</x:v>
      </x:c>
    </x:row>
    <x:row r="379" ht="28" customHeight="1">
      <x:c r="A379" s="2" t="n">
        <x:v>372</x:v>
      </x:c>
      <x:c r="B379" s="2" t="n">
        <x:v>15</x:v>
      </x:c>
      <x:c r="C379" s="2" t="str">
        <x:v>쌍둥이자리</x:v>
      </x:c>
      <x:c r="D379" s="2" t="str">
        <x:v>사수</x:v>
      </x:c>
      <x:c r="E379" s="2" t="n">
        <x:v>2</x:v>
      </x:c>
      <x:c r="F379" s="2" t="n">
        <x:v>5</x:v>
      </x:c>
      <x:c r="G379" s="14" t="n">
        <x:f>('레벨 계산식'!$E$4-E379)*'레벨 계산식'!$B$5</x:f>
        <x:v>0.41999999999999993</x:v>
      </x:c>
      <x:c r="H379" s="14" t="n">
        <x:f>('등급 계산식'!$E$4-F379)*'등급 계산식'!$B$5</x:f>
        <x:v>0</x:v>
      </x:c>
      <x:c r="I379" s="14" t="n">
        <x:f>1-G379-H379</x:f>
        <x:v>0.5800000000000001</x:v>
      </x:c>
      <x:c r="J379" s="2" t="n">
        <x:f>MAX(1,ROUND('기준스탯 72종'!D22-R379-Z379,0))</x:f>
        <x:v>4</x:v>
      </x:c>
      <x:c r="K379" s="2" t="n">
        <x:f>MAX(1,ROUND('기준스탯 72종'!E22-S379-AA379,0))</x:f>
        <x:v>3</x:v>
      </x:c>
      <x:c r="L379" s="2" t="n">
        <x:f>MAX(1,ROUND('기준스탯 72종'!F22-T379-AB379,0))</x:f>
        <x:v>4</x:v>
      </x:c>
      <x:c r="M379" s="2" t="n">
        <x:f>MAX(1,ROUND('기준스탯 72종'!G22-U379-AC379,0))</x:f>
        <x:v>6</x:v>
      </x:c>
      <x:c r="N379" s="2" t="n">
        <x:f>MAX(0,ROUND('기준스탯 72종'!H22-V379-AD379,0))</x:f>
        <x:v>3</x:v>
      </x:c>
      <x:c r="O379" s="2" t="n">
        <x:f>MAX(0,ROUND('기준스탯 72종'!I22-W379-AE379,0))</x:f>
        <x:v>2</x:v>
      </x:c>
      <x:c r="P379" s="2" t="n">
        <x:f>MAX(0,ROUND('기준스탯 72종'!J22-X379-AF379,0))</x:f>
        <x:v>4</x:v>
      </x:c>
      <x:c r="Q379" s="2" t="n">
        <x:f>MAX(0,ROUND('기준스탯 72종'!K22-Y379-AG379,0))</x:f>
        <x:v>1</x:v>
      </x:c>
      <x:c r="R379" s="15" t="n">
        <x:f>'기준스탯 72종'!D22*G379</x:f>
        <x:v>2.9399999999999995</x:v>
      </x:c>
      <x:c r="S379" s="15" t="n">
        <x:f>'기준스탯 72종'!E22*G379</x:f>
        <x:v>2.5199999999999996</x:v>
      </x:c>
      <x:c r="T379" s="15" t="n">
        <x:f>'기준스탯 72종'!F22*G379</x:f>
        <x:v>2.9399999999999995</x:v>
      </x:c>
      <x:c r="U379" s="15" t="n">
        <x:f>'기준스탯 72종'!G22*G379</x:f>
        <x:v>4.199999999999999</x:v>
      </x:c>
      <x:c r="V379" s="15" t="n">
        <x:f>'기준스탯 72종'!H22*G379</x:f>
        <x:v>2.0999999999999996</x:v>
      </x:c>
      <x:c r="W379" s="15" t="n">
        <x:f>'기준스탯 72종'!I22*G379</x:f>
        <x:v>1.2599999999999998</x:v>
      </x:c>
      <x:c r="X379" s="15" t="n">
        <x:f>'기준스탯 72종'!J22*G379</x:f>
        <x:v>2.9399999999999995</x:v>
      </x:c>
      <x:c r="Y379" s="15" t="n">
        <x:f>'기준스탯 72종'!K22*G379</x:f>
        <x:v>0.41999999999999993</x:v>
      </x:c>
      <x:c r="Z379" s="15" t="n">
        <x:f>'기준스탯 72종'!D22*H379</x:f>
        <x:v>0</x:v>
      </x:c>
      <x:c r="AA379" s="15" t="n">
        <x:f>'기준스탯 72종'!E22*H379</x:f>
        <x:v>0</x:v>
      </x:c>
      <x:c r="AB379" s="15" t="n">
        <x:f>'기준스탯 72종'!F22*H379</x:f>
        <x:v>0</x:v>
      </x:c>
      <x:c r="AC379" s="15" t="n">
        <x:f>'기준스탯 72종'!G22*H379</x:f>
        <x:v>0</x:v>
      </x:c>
      <x:c r="AD379" s="15" t="n">
        <x:f>'기준스탯 72종'!H22*H379</x:f>
        <x:v>0</x:v>
      </x:c>
      <x:c r="AE379" s="15" t="n">
        <x:f>'기준스탯 72종'!I22*H379</x:f>
        <x:v>0</x:v>
      </x:c>
      <x:c r="AF379" s="15" t="n">
        <x:f>'기준스탯 72종'!J22*H379</x:f>
        <x:v>0</x:v>
      </x:c>
      <x:c r="AG379" s="15" t="n">
        <x:f>'기준스탯 72종'!K22*H379</x:f>
        <x:v>0</x:v>
      </x:c>
    </x:row>
    <x:row r="380" ht="28" customHeight="1">
      <x:c r="A380" s="2" t="n">
        <x:v>373</x:v>
      </x:c>
      <x:c r="B380" s="2" t="n">
        <x:v>15</x:v>
      </x:c>
      <x:c r="C380" s="2" t="str">
        <x:v>쌍둥이자리</x:v>
      </x:c>
      <x:c r="D380" s="2" t="str">
        <x:v>사수</x:v>
      </x:c>
      <x:c r="E380" s="2" t="n">
        <x:v>3</x:v>
      </x:c>
      <x:c r="F380" s="2" t="n">
        <x:v>5</x:v>
      </x:c>
      <x:c r="G380" s="14" t="n">
        <x:f>('레벨 계산식'!$E$4-E380)*'레벨 계산식'!$B$5</x:f>
        <x:v>0.27999999999999997</x:v>
      </x:c>
      <x:c r="H380" s="14" t="n">
        <x:f>('등급 계산식'!$E$4-F380)*'등급 계산식'!$B$5</x:f>
        <x:v>0</x:v>
      </x:c>
      <x:c r="I380" s="14" t="n">
        <x:f>1-G380-H380</x:f>
        <x:v>0.72</x:v>
      </x:c>
      <x:c r="J380" s="2" t="n">
        <x:f>MAX(1,ROUND('기준스탯 72종'!D22-R380-Z380,0))</x:f>
        <x:v>5</x:v>
      </x:c>
      <x:c r="K380" s="2" t="n">
        <x:f>MAX(1,ROUND('기준스탯 72종'!E22-S380-AA380,0))</x:f>
        <x:v>4</x:v>
      </x:c>
      <x:c r="L380" s="2" t="n">
        <x:f>MAX(1,ROUND('기준스탯 72종'!F22-T380-AB380,0))</x:f>
        <x:v>5</x:v>
      </x:c>
      <x:c r="M380" s="2" t="n">
        <x:f>MAX(1,ROUND('기준스탯 72종'!G22-U380-AC380,0))</x:f>
        <x:v>7</x:v>
      </x:c>
      <x:c r="N380" s="2" t="n">
        <x:f>MAX(0,ROUND('기준스탯 72종'!H22-V380-AD380,0))</x:f>
        <x:v>4</x:v>
      </x:c>
      <x:c r="O380" s="2" t="n">
        <x:f>MAX(0,ROUND('기준스탯 72종'!I22-W380-AE380,0))</x:f>
        <x:v>2</x:v>
      </x:c>
      <x:c r="P380" s="2" t="n">
        <x:f>MAX(0,ROUND('기준스탯 72종'!J22-X380-AF380,0))</x:f>
        <x:v>5</x:v>
      </x:c>
      <x:c r="Q380" s="2" t="n">
        <x:f>MAX(0,ROUND('기준스탯 72종'!K22-Y380-AG380,0))</x:f>
        <x:v>1</x:v>
      </x:c>
      <x:c r="R380" s="15" t="n">
        <x:f>'기준스탯 72종'!D22*G380</x:f>
        <x:v>1.9599999999999997</x:v>
      </x:c>
      <x:c r="S380" s="15" t="n">
        <x:f>'기준스탯 72종'!E22*G380</x:f>
        <x:v>1.6799999999999997</x:v>
      </x:c>
      <x:c r="T380" s="15" t="n">
        <x:f>'기준스탯 72종'!F22*G380</x:f>
        <x:v>1.9599999999999997</x:v>
      </x:c>
      <x:c r="U380" s="15" t="n">
        <x:f>'기준스탯 72종'!G22*G380</x:f>
        <x:v>2.8</x:v>
      </x:c>
      <x:c r="V380" s="15" t="n">
        <x:f>'기준스탯 72종'!H22*G380</x:f>
        <x:v>1.4</x:v>
      </x:c>
      <x:c r="W380" s="15" t="n">
        <x:f>'기준스탯 72종'!I22*G380</x:f>
        <x:v>0.8399999999999999</x:v>
      </x:c>
      <x:c r="X380" s="15" t="n">
        <x:f>'기준스탯 72종'!J22*G380</x:f>
        <x:v>1.9599999999999997</x:v>
      </x:c>
      <x:c r="Y380" s="15" t="n">
        <x:f>'기준스탯 72종'!K22*G380</x:f>
        <x:v>0.27999999999999997</x:v>
      </x:c>
      <x:c r="Z380" s="15" t="n">
        <x:f>'기준스탯 72종'!D22*H380</x:f>
        <x:v>0</x:v>
      </x:c>
      <x:c r="AA380" s="15" t="n">
        <x:f>'기준스탯 72종'!E22*H380</x:f>
        <x:v>0</x:v>
      </x:c>
      <x:c r="AB380" s="15" t="n">
        <x:f>'기준스탯 72종'!F22*H380</x:f>
        <x:v>0</x:v>
      </x:c>
      <x:c r="AC380" s="15" t="n">
        <x:f>'기준스탯 72종'!G22*H380</x:f>
        <x:v>0</x:v>
      </x:c>
      <x:c r="AD380" s="15" t="n">
        <x:f>'기준스탯 72종'!H22*H380</x:f>
        <x:v>0</x:v>
      </x:c>
      <x:c r="AE380" s="15" t="n">
        <x:f>'기준스탯 72종'!I22*H380</x:f>
        <x:v>0</x:v>
      </x:c>
      <x:c r="AF380" s="15" t="n">
        <x:f>'기준스탯 72종'!J22*H380</x:f>
        <x:v>0</x:v>
      </x:c>
      <x:c r="AG380" s="15" t="n">
        <x:f>'기준스탯 72종'!K22*H380</x:f>
        <x:v>0</x:v>
      </x:c>
    </x:row>
    <x:row r="381" ht="28" customHeight="1">
      <x:c r="A381" s="2" t="n">
        <x:v>374</x:v>
      </x:c>
      <x:c r="B381" s="2" t="n">
        <x:v>15</x:v>
      </x:c>
      <x:c r="C381" s="2" t="str">
        <x:v>쌍둥이자리</x:v>
      </x:c>
      <x:c r="D381" s="2" t="str">
        <x:v>사수</x:v>
      </x:c>
      <x:c r="E381" s="2" t="n">
        <x:v>4</x:v>
      </x:c>
      <x:c r="F381" s="2" t="n">
        <x:v>5</x:v>
      </x:c>
      <x:c r="G381" s="14" t="n">
        <x:f>('레벨 계산식'!$E$4-E381)*'레벨 계산식'!$B$5</x:f>
        <x:v>0.13999999999999999</x:v>
      </x:c>
      <x:c r="H381" s="14" t="n">
        <x:f>('등급 계산식'!$E$4-F381)*'등급 계산식'!$B$5</x:f>
        <x:v>0</x:v>
      </x:c>
      <x:c r="I381" s="14" t="n">
        <x:f>1-G381-H381</x:f>
        <x:v>0.86</x:v>
      </x:c>
      <x:c r="J381" s="2" t="n">
        <x:f>MAX(1,ROUND('기준스탯 72종'!D22-R381-Z381,0))</x:f>
        <x:v>6</x:v>
      </x:c>
      <x:c r="K381" s="2" t="n">
        <x:f>MAX(1,ROUND('기준스탯 72종'!E22-S381-AA381,0))</x:f>
        <x:v>5</x:v>
      </x:c>
      <x:c r="L381" s="2" t="n">
        <x:f>MAX(1,ROUND('기준스탯 72종'!F22-T381-AB381,0))</x:f>
        <x:v>6</x:v>
      </x:c>
      <x:c r="M381" s="2" t="n">
        <x:f>MAX(1,ROUND('기준스탯 72종'!G22-U381-AC381,0))</x:f>
        <x:v>9</x:v>
      </x:c>
      <x:c r="N381" s="2" t="n">
        <x:f>MAX(0,ROUND('기준스탯 72종'!H22-V381-AD381,0))</x:f>
        <x:v>4</x:v>
      </x:c>
      <x:c r="O381" s="2" t="n">
        <x:f>MAX(0,ROUND('기준스탯 72종'!I22-W381-AE381,0))</x:f>
        <x:v>3</x:v>
      </x:c>
      <x:c r="P381" s="2" t="n">
        <x:f>MAX(0,ROUND('기준스탯 72종'!J22-X381-AF381,0))</x:f>
        <x:v>6</x:v>
      </x:c>
      <x:c r="Q381" s="2" t="n">
        <x:f>MAX(0,ROUND('기준스탯 72종'!K22-Y381-AG381,0))</x:f>
        <x:v>1</x:v>
      </x:c>
      <x:c r="R381" s="15" t="n">
        <x:f>'기준스탯 72종'!D22*G381</x:f>
        <x:v>0.9799999999999999</x:v>
      </x:c>
      <x:c r="S381" s="15" t="n">
        <x:f>'기준스탯 72종'!E22*G381</x:f>
        <x:v>0.8399999999999999</x:v>
      </x:c>
      <x:c r="T381" s="15" t="n">
        <x:f>'기준스탯 72종'!F22*G381</x:f>
        <x:v>0.9799999999999999</x:v>
      </x:c>
      <x:c r="U381" s="15" t="n">
        <x:f>'기준스탯 72종'!G22*G381</x:f>
        <x:v>1.4</x:v>
      </x:c>
      <x:c r="V381" s="15" t="n">
        <x:f>'기준스탯 72종'!H22*G381</x:f>
        <x:v>0.7</x:v>
      </x:c>
      <x:c r="W381" s="15" t="n">
        <x:f>'기준스탯 72종'!I22*G381</x:f>
        <x:v>0.41999999999999993</x:v>
      </x:c>
      <x:c r="X381" s="15" t="n">
        <x:f>'기준스탯 72종'!J22*G381</x:f>
        <x:v>0.9799999999999999</x:v>
      </x:c>
      <x:c r="Y381" s="15" t="n">
        <x:f>'기준스탯 72종'!K22*G381</x:f>
        <x:v>0.13999999999999999</x:v>
      </x:c>
      <x:c r="Z381" s="15" t="n">
        <x:f>'기준스탯 72종'!D22*H381</x:f>
        <x:v>0</x:v>
      </x:c>
      <x:c r="AA381" s="15" t="n">
        <x:f>'기준스탯 72종'!E22*H381</x:f>
        <x:v>0</x:v>
      </x:c>
      <x:c r="AB381" s="15" t="n">
        <x:f>'기준스탯 72종'!F22*H381</x:f>
        <x:v>0</x:v>
      </x:c>
      <x:c r="AC381" s="15" t="n">
        <x:f>'기준스탯 72종'!G22*H381</x:f>
        <x:v>0</x:v>
      </x:c>
      <x:c r="AD381" s="15" t="n">
        <x:f>'기준스탯 72종'!H22*H381</x:f>
        <x:v>0</x:v>
      </x:c>
      <x:c r="AE381" s="15" t="n">
        <x:f>'기준스탯 72종'!I22*H381</x:f>
        <x:v>0</x:v>
      </x:c>
      <x:c r="AF381" s="15" t="n">
        <x:f>'기준스탯 72종'!J22*H381</x:f>
        <x:v>0</x:v>
      </x:c>
      <x:c r="AG381" s="15" t="n">
        <x:f>'기준스탯 72종'!K22*H381</x:f>
        <x:v>0</x:v>
      </x:c>
    </x:row>
    <x:row r="382" ht="28" customHeight="1">
      <x:c r="A382" s="2" t="n">
        <x:v>375</x:v>
      </x:c>
      <x:c r="B382" s="2" t="n">
        <x:v>15</x:v>
      </x:c>
      <x:c r="C382" s="2" t="str">
        <x:v>쌍둥이자리</x:v>
      </x:c>
      <x:c r="D382" s="2" t="str">
        <x:v>사수</x:v>
      </x:c>
      <x:c r="E382" s="2" t="n">
        <x:v>5</x:v>
      </x:c>
      <x:c r="F382" s="2" t="n">
        <x:v>5</x:v>
      </x:c>
      <x:c r="G382" s="14" t="n">
        <x:f>('레벨 계산식'!$E$4-E382)*'레벨 계산식'!$B$5</x:f>
        <x:v>0</x:v>
      </x:c>
      <x:c r="H382" s="14" t="n">
        <x:f>('등급 계산식'!$E$4-F382)*'등급 계산식'!$B$5</x:f>
        <x:v>0</x:v>
      </x:c>
      <x:c r="I382" s="14" t="n">
        <x:f>1-G382-H382</x:f>
        <x:v>1</x:v>
      </x:c>
      <x:c r="J382" s="2" t="n">
        <x:f>MAX(1,ROUND('기준스탯 72종'!D22-R382-Z382,0))</x:f>
        <x:v>7</x:v>
      </x:c>
      <x:c r="K382" s="2" t="n">
        <x:f>MAX(1,ROUND('기준스탯 72종'!E22-S382-AA382,0))</x:f>
        <x:v>6</x:v>
      </x:c>
      <x:c r="L382" s="2" t="n">
        <x:f>MAX(1,ROUND('기준스탯 72종'!F22-T382-AB382,0))</x:f>
        <x:v>7</x:v>
      </x:c>
      <x:c r="M382" s="2" t="n">
        <x:f>MAX(1,ROUND('기준스탯 72종'!G22-U382-AC382,0))</x:f>
        <x:v>10</x:v>
      </x:c>
      <x:c r="N382" s="2" t="n">
        <x:f>MAX(0,ROUND('기준스탯 72종'!H22-V382-AD382,0))</x:f>
        <x:v>5</x:v>
      </x:c>
      <x:c r="O382" s="2" t="n">
        <x:f>MAX(0,ROUND('기준스탯 72종'!I22-W382-AE382,0))</x:f>
        <x:v>3</x:v>
      </x:c>
      <x:c r="P382" s="2" t="n">
        <x:f>MAX(0,ROUND('기준스탯 72종'!J22-X382-AF382,0))</x:f>
        <x:v>7</x:v>
      </x:c>
      <x:c r="Q382" s="2" t="n">
        <x:f>MAX(0,ROUND('기준스탯 72종'!K22-Y382-AG382,0))</x:f>
        <x:v>1</x:v>
      </x:c>
      <x:c r="R382" s="15" t="n">
        <x:f>'기준스탯 72종'!D22*G382</x:f>
        <x:v>0</x:v>
      </x:c>
      <x:c r="S382" s="15" t="n">
        <x:f>'기준스탯 72종'!E22*G382</x:f>
        <x:v>0</x:v>
      </x:c>
      <x:c r="T382" s="15" t="n">
        <x:f>'기준스탯 72종'!F22*G382</x:f>
        <x:v>0</x:v>
      </x:c>
      <x:c r="U382" s="15" t="n">
        <x:f>'기준스탯 72종'!G22*G382</x:f>
        <x:v>0</x:v>
      </x:c>
      <x:c r="V382" s="15" t="n">
        <x:f>'기준스탯 72종'!H22*G382</x:f>
        <x:v>0</x:v>
      </x:c>
      <x:c r="W382" s="15" t="n">
        <x:f>'기준스탯 72종'!I22*G382</x:f>
        <x:v>0</x:v>
      </x:c>
      <x:c r="X382" s="15" t="n">
        <x:f>'기준스탯 72종'!J22*G382</x:f>
        <x:v>0</x:v>
      </x:c>
      <x:c r="Y382" s="15" t="n">
        <x:f>'기준스탯 72종'!K22*G382</x:f>
        <x:v>0</x:v>
      </x:c>
      <x:c r="Z382" s="15" t="n">
        <x:f>'기준스탯 72종'!D22*H382</x:f>
        <x:v>0</x:v>
      </x:c>
      <x:c r="AA382" s="15" t="n">
        <x:f>'기준스탯 72종'!E22*H382</x:f>
        <x:v>0</x:v>
      </x:c>
      <x:c r="AB382" s="15" t="n">
        <x:f>'기준스탯 72종'!F22*H382</x:f>
        <x:v>0</x:v>
      </x:c>
      <x:c r="AC382" s="15" t="n">
        <x:f>'기준스탯 72종'!G22*H382</x:f>
        <x:v>0</x:v>
      </x:c>
      <x:c r="AD382" s="15" t="n">
        <x:f>'기준스탯 72종'!H22*H382</x:f>
        <x:v>0</x:v>
      </x:c>
      <x:c r="AE382" s="15" t="n">
        <x:f>'기준스탯 72종'!I22*H382</x:f>
        <x:v>0</x:v>
      </x:c>
      <x:c r="AF382" s="15" t="n">
        <x:f>'기준스탯 72종'!J22*H382</x:f>
        <x:v>0</x:v>
      </x:c>
      <x:c r="AG382" s="15" t="n">
        <x:f>'기준스탯 72종'!K22*H382</x:f>
        <x:v>0</x:v>
      </x:c>
    </x:row>
    <x:row r="383" ht="28" customHeight="1">
      <x:c r="A383" s="2" t="n">
        <x:v>376</x:v>
      </x:c>
      <x:c r="B383" s="2" t="n">
        <x:v>16</x:v>
      </x:c>
      <x:c r="C383" s="2" t="str">
        <x:v>쌍둥이자리</x:v>
      </x:c>
      <x:c r="D383" s="2" t="str">
        <x:v>정령사</x:v>
      </x:c>
      <x:c r="E383" s="2" t="n">
        <x:v>1</x:v>
      </x:c>
      <x:c r="F383" s="2" t="n">
        <x:v>1</x:v>
      </x:c>
      <x:c r="G383" s="14" t="n">
        <x:f>('레벨 계산식'!$E$4-E383)*'레벨 계산식'!$B$5</x:f>
        <x:v>0.5599999999999999</x:v>
      </x:c>
      <x:c r="H383" s="14" t="n">
        <x:f>('등급 계산식'!$E$4-F383)*'등급 계산식'!$B$5</x:f>
        <x:v>0.24000000000000005</x:v>
      </x:c>
      <x:c r="I383" s="14" t="n">
        <x:f>1-G383-H383</x:f>
        <x:v>0.2</x:v>
      </x:c>
      <x:c r="J383" s="2" t="n">
        <x:f>MAX(1,ROUND('기준스탯 72종'!D23-R383-Z383,0))</x:f>
        <x:v>1</x:v>
      </x:c>
      <x:c r="K383" s="2" t="n">
        <x:f>MAX(1,ROUND('기준스탯 72종'!E23-S383-AA383,0))</x:f>
        <x:v>1</x:v>
      </x:c>
      <x:c r="L383" s="2" t="n">
        <x:f>MAX(1,ROUND('기준스탯 72종'!F23-T383-AB383,0))</x:f>
        <x:v>2</x:v>
      </x:c>
      <x:c r="M383" s="2" t="n">
        <x:f>MAX(1,ROUND('기준스탯 72종'!G23-U383-AC383,0))</x:f>
        <x:v>2</x:v>
      </x:c>
      <x:c r="N383" s="2" t="n">
        <x:f>MAX(0,ROUND('기준스탯 72종'!H23-V383-AD383,0))</x:f>
        <x:v>1</x:v>
      </x:c>
      <x:c r="O383" s="2" t="n">
        <x:f>MAX(0,ROUND('기준스탯 72종'!I23-W383-AE383,0))</x:f>
        <x:v>1</x:v>
      </x:c>
      <x:c r="P383" s="2" t="n">
        <x:f>MAX(0,ROUND('기준스탯 72종'!J23-X383-AF383,0))</x:f>
        <x:v>1</x:v>
      </x:c>
      <x:c r="Q383" s="2" t="n">
        <x:f>MAX(0,ROUND('기준스탯 72종'!K23-Y383-AG383,0))</x:f>
        <x:v>1</x:v>
      </x:c>
      <x:c r="R383" s="15" t="n">
        <x:f>'기준스탯 72종'!D23*G383</x:f>
        <x:v>3.3599999999999994</x:v>
      </x:c>
      <x:c r="S383" s="15" t="n">
        <x:f>'기준스탯 72종'!E23*G383</x:f>
        <x:v>3.9199999999999995</x:v>
      </x:c>
      <x:c r="T383" s="15" t="n">
        <x:f>'기준스탯 72종'!F23*G383</x:f>
        <x:v>5.039999999999999</x:v>
      </x:c>
      <x:c r="U383" s="15" t="n">
        <x:f>'기준스탯 72종'!G23*G383</x:f>
        <x:v>5.039999999999999</x:v>
      </x:c>
      <x:c r="V383" s="15" t="n">
        <x:f>'기준스탯 72종'!H23*G383</x:f>
        <x:v>1.6799999999999997</x:v>
      </x:c>
      <x:c r="W383" s="15" t="n">
        <x:f>'기준스탯 72종'!I23*G383</x:f>
        <x:v>1.6799999999999997</x:v>
      </x:c>
      <x:c r="X383" s="15" t="n">
        <x:f>'기준스탯 72종'!J23*G383</x:f>
        <x:v>3.9199999999999995</x:v>
      </x:c>
      <x:c r="Y383" s="15" t="n">
        <x:f>'기준스탯 72종'!K23*G383</x:f>
        <x:v>1.6799999999999997</x:v>
      </x:c>
      <x:c r="Z383" s="15" t="n">
        <x:f>'기준스탯 72종'!D23*H383</x:f>
        <x:v>1.4400000000000004</x:v>
      </x:c>
      <x:c r="AA383" s="15" t="n">
        <x:f>'기준스탯 72종'!E23*H383</x:f>
        <x:v>1.6800000000000004</x:v>
      </x:c>
      <x:c r="AB383" s="15" t="n">
        <x:f>'기준스탯 72종'!F23*H383</x:f>
        <x:v>2.1600000000000006</x:v>
      </x:c>
      <x:c r="AC383" s="15" t="n">
        <x:f>'기준스탯 72종'!G23*H383</x:f>
        <x:v>2.1600000000000006</x:v>
      </x:c>
      <x:c r="AD383" s="15" t="n">
        <x:f>'기준스탯 72종'!H23*H383</x:f>
        <x:v>0.7200000000000002</x:v>
      </x:c>
      <x:c r="AE383" s="15" t="n">
        <x:f>'기준스탯 72종'!I23*H383</x:f>
        <x:v>0.7200000000000002</x:v>
      </x:c>
      <x:c r="AF383" s="15" t="n">
        <x:f>'기준스탯 72종'!J23*H383</x:f>
        <x:v>1.6800000000000004</x:v>
      </x:c>
      <x:c r="AG383" s="15" t="n">
        <x:f>'기준스탯 72종'!K23*H383</x:f>
        <x:v>0.7200000000000002</x:v>
      </x:c>
    </x:row>
    <x:row r="384" ht="28" customHeight="1">
      <x:c r="A384" s="2" t="n">
        <x:v>377</x:v>
      </x:c>
      <x:c r="B384" s="2" t="n">
        <x:v>16</x:v>
      </x:c>
      <x:c r="C384" s="2" t="str">
        <x:v>쌍둥이자리</x:v>
      </x:c>
      <x:c r="D384" s="2" t="str">
        <x:v>정령사</x:v>
      </x:c>
      <x:c r="E384" s="2" t="n">
        <x:v>2</x:v>
      </x:c>
      <x:c r="F384" s="2" t="n">
        <x:v>1</x:v>
      </x:c>
      <x:c r="G384" s="14" t="n">
        <x:f>('레벨 계산식'!$E$4-E384)*'레벨 계산식'!$B$5</x:f>
        <x:v>0.41999999999999993</x:v>
      </x:c>
      <x:c r="H384" s="14" t="n">
        <x:f>('등급 계산식'!$E$4-F384)*'등급 계산식'!$B$5</x:f>
        <x:v>0.24000000000000005</x:v>
      </x:c>
      <x:c r="I384" s="14" t="n">
        <x:f>1-G384-H384</x:f>
        <x:v>0.34</x:v>
      </x:c>
      <x:c r="J384" s="2" t="n">
        <x:f>MAX(1,ROUND('기준스탯 72종'!D23-R384-Z384,0))</x:f>
        <x:v>2</x:v>
      </x:c>
      <x:c r="K384" s="2" t="n">
        <x:f>MAX(1,ROUND('기준스탯 72종'!E23-S384-AA384,0))</x:f>
        <x:v>2</x:v>
      </x:c>
      <x:c r="L384" s="2" t="n">
        <x:f>MAX(1,ROUND('기준스탯 72종'!F23-T384-AB384,0))</x:f>
        <x:v>3</x:v>
      </x:c>
      <x:c r="M384" s="2" t="n">
        <x:f>MAX(1,ROUND('기준스탯 72종'!G23-U384-AC384,0))</x:f>
        <x:v>3</x:v>
      </x:c>
      <x:c r="N384" s="2" t="n">
        <x:f>MAX(0,ROUND('기준스탯 72종'!H23-V384-AD384,0))</x:f>
        <x:v>1</x:v>
      </x:c>
      <x:c r="O384" s="2" t="n">
        <x:f>MAX(0,ROUND('기준스탯 72종'!I23-W384-AE384,0))</x:f>
        <x:v>1</x:v>
      </x:c>
      <x:c r="P384" s="2" t="n">
        <x:f>MAX(0,ROUND('기준스탯 72종'!J23-X384-AF384,0))</x:f>
        <x:v>2</x:v>
      </x:c>
      <x:c r="Q384" s="2" t="n">
        <x:f>MAX(0,ROUND('기준스탯 72종'!K23-Y384-AG384,0))</x:f>
        <x:v>1</x:v>
      </x:c>
      <x:c r="R384" s="15" t="n">
        <x:f>'기준스탯 72종'!D23*G384</x:f>
        <x:v>2.5199999999999996</x:v>
      </x:c>
      <x:c r="S384" s="15" t="n">
        <x:f>'기준스탯 72종'!E23*G384</x:f>
        <x:v>2.9399999999999995</x:v>
      </x:c>
      <x:c r="T384" s="15" t="n">
        <x:f>'기준스탯 72종'!F23*G384</x:f>
        <x:v>3.7799999999999994</x:v>
      </x:c>
      <x:c r="U384" s="15" t="n">
        <x:f>'기준스탯 72종'!G23*G384</x:f>
        <x:v>3.7799999999999994</x:v>
      </x:c>
      <x:c r="V384" s="15" t="n">
        <x:f>'기준스탯 72종'!H23*G384</x:f>
        <x:v>1.2599999999999998</x:v>
      </x:c>
      <x:c r="W384" s="15" t="n">
        <x:f>'기준스탯 72종'!I23*G384</x:f>
        <x:v>1.2599999999999998</x:v>
      </x:c>
      <x:c r="X384" s="15" t="n">
        <x:f>'기준스탯 72종'!J23*G384</x:f>
        <x:v>2.9399999999999995</x:v>
      </x:c>
      <x:c r="Y384" s="15" t="n">
        <x:f>'기준스탯 72종'!K23*G384</x:f>
        <x:v>1.2599999999999998</x:v>
      </x:c>
      <x:c r="Z384" s="15" t="n">
        <x:f>'기준스탯 72종'!D23*H384</x:f>
        <x:v>1.4400000000000004</x:v>
      </x:c>
      <x:c r="AA384" s="15" t="n">
        <x:f>'기준스탯 72종'!E23*H384</x:f>
        <x:v>1.6800000000000004</x:v>
      </x:c>
      <x:c r="AB384" s="15" t="n">
        <x:f>'기준스탯 72종'!F23*H384</x:f>
        <x:v>2.1600000000000006</x:v>
      </x:c>
      <x:c r="AC384" s="15" t="n">
        <x:f>'기준스탯 72종'!G23*H384</x:f>
        <x:v>2.1600000000000006</x:v>
      </x:c>
      <x:c r="AD384" s="15" t="n">
        <x:f>'기준스탯 72종'!H23*H384</x:f>
        <x:v>0.7200000000000002</x:v>
      </x:c>
      <x:c r="AE384" s="15" t="n">
        <x:f>'기준스탯 72종'!I23*H384</x:f>
        <x:v>0.7200000000000002</x:v>
      </x:c>
      <x:c r="AF384" s="15" t="n">
        <x:f>'기준스탯 72종'!J23*H384</x:f>
        <x:v>1.6800000000000004</x:v>
      </x:c>
      <x:c r="AG384" s="15" t="n">
        <x:f>'기준스탯 72종'!K23*H384</x:f>
        <x:v>0.7200000000000002</x:v>
      </x:c>
    </x:row>
    <x:row r="385" ht="28" customHeight="1">
      <x:c r="A385" s="2" t="n">
        <x:v>378</x:v>
      </x:c>
      <x:c r="B385" s="2" t="n">
        <x:v>16</x:v>
      </x:c>
      <x:c r="C385" s="2" t="str">
        <x:v>쌍둥이자리</x:v>
      </x:c>
      <x:c r="D385" s="2" t="str">
        <x:v>정령사</x:v>
      </x:c>
      <x:c r="E385" s="2" t="n">
        <x:v>3</x:v>
      </x:c>
      <x:c r="F385" s="2" t="n">
        <x:v>1</x:v>
      </x:c>
      <x:c r="G385" s="14" t="n">
        <x:f>('레벨 계산식'!$E$4-E385)*'레벨 계산식'!$B$5</x:f>
        <x:v>0.27999999999999997</x:v>
      </x:c>
      <x:c r="H385" s="14" t="n">
        <x:f>('등급 계산식'!$E$4-F385)*'등급 계산식'!$B$5</x:f>
        <x:v>0.24000000000000005</x:v>
      </x:c>
      <x:c r="I385" s="14" t="n">
        <x:f>1-G385-H385</x:f>
        <x:v>0.4799999999999999</x:v>
      </x:c>
      <x:c r="J385" s="2" t="n">
        <x:f>MAX(1,ROUND('기준스탯 72종'!D23-R385-Z385,0))</x:f>
        <x:v>3</x:v>
      </x:c>
      <x:c r="K385" s="2" t="n">
        <x:f>MAX(1,ROUND('기준스탯 72종'!E23-S385-AA385,0))</x:f>
        <x:v>3</x:v>
      </x:c>
      <x:c r="L385" s="2" t="n">
        <x:f>MAX(1,ROUND('기준스탯 72종'!F23-T385-AB385,0))</x:f>
        <x:v>4</x:v>
      </x:c>
      <x:c r="M385" s="2" t="n">
        <x:f>MAX(1,ROUND('기준스탯 72종'!G23-U385-AC385,0))</x:f>
        <x:v>4</x:v>
      </x:c>
      <x:c r="N385" s="2" t="n">
        <x:f>MAX(0,ROUND('기준스탯 72종'!H23-V385-AD385,0))</x:f>
        <x:v>1</x:v>
      </x:c>
      <x:c r="O385" s="2" t="n">
        <x:f>MAX(0,ROUND('기준스탯 72종'!I23-W385-AE385,0))</x:f>
        <x:v>1</x:v>
      </x:c>
      <x:c r="P385" s="2" t="n">
        <x:f>MAX(0,ROUND('기준스탯 72종'!J23-X385-AF385,0))</x:f>
        <x:v>3</x:v>
      </x:c>
      <x:c r="Q385" s="2" t="n">
        <x:f>MAX(0,ROUND('기준스탯 72종'!K23-Y385-AG385,0))</x:f>
        <x:v>1</x:v>
      </x:c>
      <x:c r="R385" s="15" t="n">
        <x:f>'기준스탯 72종'!D23*G385</x:f>
        <x:v>1.6799999999999997</x:v>
      </x:c>
      <x:c r="S385" s="15" t="n">
        <x:f>'기준스탯 72종'!E23*G385</x:f>
        <x:v>1.9599999999999997</x:v>
      </x:c>
      <x:c r="T385" s="15" t="n">
        <x:f>'기준스탯 72종'!F23*G385</x:f>
        <x:v>2.5199999999999996</x:v>
      </x:c>
      <x:c r="U385" s="15" t="n">
        <x:f>'기준스탯 72종'!G23*G385</x:f>
        <x:v>2.5199999999999996</x:v>
      </x:c>
      <x:c r="V385" s="15" t="n">
        <x:f>'기준스탯 72종'!H23*G385</x:f>
        <x:v>0.8399999999999999</x:v>
      </x:c>
      <x:c r="W385" s="15" t="n">
        <x:f>'기준스탯 72종'!I23*G385</x:f>
        <x:v>0.8399999999999999</x:v>
      </x:c>
      <x:c r="X385" s="15" t="n">
        <x:f>'기준스탯 72종'!J23*G385</x:f>
        <x:v>1.9599999999999997</x:v>
      </x:c>
      <x:c r="Y385" s="15" t="n">
        <x:f>'기준스탯 72종'!K23*G385</x:f>
        <x:v>0.8399999999999999</x:v>
      </x:c>
      <x:c r="Z385" s="15" t="n">
        <x:f>'기준스탯 72종'!D23*H385</x:f>
        <x:v>1.4400000000000004</x:v>
      </x:c>
      <x:c r="AA385" s="15" t="n">
        <x:f>'기준스탯 72종'!E23*H385</x:f>
        <x:v>1.6800000000000004</x:v>
      </x:c>
      <x:c r="AB385" s="15" t="n">
        <x:f>'기준스탯 72종'!F23*H385</x:f>
        <x:v>2.1600000000000006</x:v>
      </x:c>
      <x:c r="AC385" s="15" t="n">
        <x:f>'기준스탯 72종'!G23*H385</x:f>
        <x:v>2.1600000000000006</x:v>
      </x:c>
      <x:c r="AD385" s="15" t="n">
        <x:f>'기준스탯 72종'!H23*H385</x:f>
        <x:v>0.7200000000000002</x:v>
      </x:c>
      <x:c r="AE385" s="15" t="n">
        <x:f>'기준스탯 72종'!I23*H385</x:f>
        <x:v>0.7200000000000002</x:v>
      </x:c>
      <x:c r="AF385" s="15" t="n">
        <x:f>'기준스탯 72종'!J23*H385</x:f>
        <x:v>1.6800000000000004</x:v>
      </x:c>
      <x:c r="AG385" s="15" t="n">
        <x:f>'기준스탯 72종'!K23*H385</x:f>
        <x:v>0.7200000000000002</x:v>
      </x:c>
    </x:row>
    <x:row r="386" ht="28" customHeight="1">
      <x:c r="A386" s="2" t="n">
        <x:v>379</x:v>
      </x:c>
      <x:c r="B386" s="2" t="n">
        <x:v>16</x:v>
      </x:c>
      <x:c r="C386" s="2" t="str">
        <x:v>쌍둥이자리</x:v>
      </x:c>
      <x:c r="D386" s="2" t="str">
        <x:v>정령사</x:v>
      </x:c>
      <x:c r="E386" s="2" t="n">
        <x:v>4</x:v>
      </x:c>
      <x:c r="F386" s="2" t="n">
        <x:v>1</x:v>
      </x:c>
      <x:c r="G386" s="14" t="n">
        <x:f>('레벨 계산식'!$E$4-E386)*'레벨 계산식'!$B$5</x:f>
        <x:v>0.13999999999999999</x:v>
      </x:c>
      <x:c r="H386" s="14" t="n">
        <x:f>('등급 계산식'!$E$4-F386)*'등급 계산식'!$B$5</x:f>
        <x:v>0.24000000000000005</x:v>
      </x:c>
      <x:c r="I386" s="14" t="n">
        <x:f>1-G386-H386</x:f>
        <x:v>0.6199999999999999</x:v>
      </x:c>
      <x:c r="J386" s="2" t="n">
        <x:f>MAX(1,ROUND('기준스탯 72종'!D23-R386-Z386,0))</x:f>
        <x:v>4</x:v>
      </x:c>
      <x:c r="K386" s="2" t="n">
        <x:f>MAX(1,ROUND('기준스탯 72종'!E23-S386-AA386,0))</x:f>
        <x:v>4</x:v>
      </x:c>
      <x:c r="L386" s="2" t="n">
        <x:f>MAX(1,ROUND('기준스탯 72종'!F23-T386-AB386,0))</x:f>
        <x:v>6</x:v>
      </x:c>
      <x:c r="M386" s="2" t="n">
        <x:f>MAX(1,ROUND('기준스탯 72종'!G23-U386-AC386,0))</x:f>
        <x:v>6</x:v>
      </x:c>
      <x:c r="N386" s="2" t="n">
        <x:f>MAX(0,ROUND('기준스탯 72종'!H23-V386-AD386,0))</x:f>
        <x:v>2</x:v>
      </x:c>
      <x:c r="O386" s="2" t="n">
        <x:f>MAX(0,ROUND('기준스탯 72종'!I23-W386-AE386,0))</x:f>
        <x:v>2</x:v>
      </x:c>
      <x:c r="P386" s="2" t="n">
        <x:f>MAX(0,ROUND('기준스탯 72종'!J23-X386-AF386,0))</x:f>
        <x:v>4</x:v>
      </x:c>
      <x:c r="Q386" s="2" t="n">
        <x:f>MAX(0,ROUND('기준스탯 72종'!K23-Y386-AG386,0))</x:f>
        <x:v>2</x:v>
      </x:c>
      <x:c r="R386" s="15" t="n">
        <x:f>'기준스탯 72종'!D23*G386</x:f>
        <x:v>0.8399999999999999</x:v>
      </x:c>
      <x:c r="S386" s="15" t="n">
        <x:f>'기준스탯 72종'!E23*G386</x:f>
        <x:v>0.9799999999999999</x:v>
      </x:c>
      <x:c r="T386" s="15" t="n">
        <x:f>'기준스탯 72종'!F23*G386</x:f>
        <x:v>1.2599999999999998</x:v>
      </x:c>
      <x:c r="U386" s="15" t="n">
        <x:f>'기준스탯 72종'!G23*G386</x:f>
        <x:v>1.2599999999999998</x:v>
      </x:c>
      <x:c r="V386" s="15" t="n">
        <x:f>'기준스탯 72종'!H23*G386</x:f>
        <x:v>0.41999999999999993</x:v>
      </x:c>
      <x:c r="W386" s="15" t="n">
        <x:f>'기준스탯 72종'!I23*G386</x:f>
        <x:v>0.41999999999999993</x:v>
      </x:c>
      <x:c r="X386" s="15" t="n">
        <x:f>'기준스탯 72종'!J23*G386</x:f>
        <x:v>0.9799999999999999</x:v>
      </x:c>
      <x:c r="Y386" s="15" t="n">
        <x:f>'기준스탯 72종'!K23*G386</x:f>
        <x:v>0.41999999999999993</x:v>
      </x:c>
      <x:c r="Z386" s="15" t="n">
        <x:f>'기준스탯 72종'!D23*H386</x:f>
        <x:v>1.4400000000000004</x:v>
      </x:c>
      <x:c r="AA386" s="15" t="n">
        <x:f>'기준스탯 72종'!E23*H386</x:f>
        <x:v>1.6800000000000004</x:v>
      </x:c>
      <x:c r="AB386" s="15" t="n">
        <x:f>'기준스탯 72종'!F23*H386</x:f>
        <x:v>2.1600000000000006</x:v>
      </x:c>
      <x:c r="AC386" s="15" t="n">
        <x:f>'기준스탯 72종'!G23*H386</x:f>
        <x:v>2.1600000000000006</x:v>
      </x:c>
      <x:c r="AD386" s="15" t="n">
        <x:f>'기준스탯 72종'!H23*H386</x:f>
        <x:v>0.7200000000000002</x:v>
      </x:c>
      <x:c r="AE386" s="15" t="n">
        <x:f>'기준스탯 72종'!I23*H386</x:f>
        <x:v>0.7200000000000002</x:v>
      </x:c>
      <x:c r="AF386" s="15" t="n">
        <x:f>'기준스탯 72종'!J23*H386</x:f>
        <x:v>1.6800000000000004</x:v>
      </x:c>
      <x:c r="AG386" s="15" t="n">
        <x:f>'기준스탯 72종'!K23*H386</x:f>
        <x:v>0.7200000000000002</x:v>
      </x:c>
    </x:row>
    <x:row r="387" ht="28" customHeight="1">
      <x:c r="A387" s="2" t="n">
        <x:v>380</x:v>
      </x:c>
      <x:c r="B387" s="2" t="n">
        <x:v>16</x:v>
      </x:c>
      <x:c r="C387" s="2" t="str">
        <x:v>쌍둥이자리</x:v>
      </x:c>
      <x:c r="D387" s="2" t="str">
        <x:v>정령사</x:v>
      </x:c>
      <x:c r="E387" s="2" t="n">
        <x:v>5</x:v>
      </x:c>
      <x:c r="F387" s="2" t="n">
        <x:v>1</x:v>
      </x:c>
      <x:c r="G387" s="14" t="n">
        <x:f>('레벨 계산식'!$E$4-E387)*'레벨 계산식'!$B$5</x:f>
        <x:v>0</x:v>
      </x:c>
      <x:c r="H387" s="14" t="n">
        <x:f>('등급 계산식'!$E$4-F387)*'등급 계산식'!$B$5</x:f>
        <x:v>0.24000000000000005</x:v>
      </x:c>
      <x:c r="I387" s="14" t="n">
        <x:f>1-G387-H387</x:f>
        <x:v>0.76</x:v>
      </x:c>
      <x:c r="J387" s="2" t="n">
        <x:f>MAX(1,ROUND('기준스탯 72종'!D23-R387-Z387,0))</x:f>
        <x:v>5</x:v>
      </x:c>
      <x:c r="K387" s="2" t="n">
        <x:f>MAX(1,ROUND('기준스탯 72종'!E23-S387-AA387,0))</x:f>
        <x:v>5</x:v>
      </x:c>
      <x:c r="L387" s="2" t="n">
        <x:f>MAX(1,ROUND('기준스탯 72종'!F23-T387-AB387,0))</x:f>
        <x:v>7</x:v>
      </x:c>
      <x:c r="M387" s="2" t="n">
        <x:f>MAX(1,ROUND('기준스탯 72종'!G23-U387-AC387,0))</x:f>
        <x:v>7</x:v>
      </x:c>
      <x:c r="N387" s="2" t="n">
        <x:f>MAX(0,ROUND('기준스탯 72종'!H23-V387-AD387,0))</x:f>
        <x:v>2</x:v>
      </x:c>
      <x:c r="O387" s="2" t="n">
        <x:f>MAX(0,ROUND('기준스탯 72종'!I23-W387-AE387,0))</x:f>
        <x:v>2</x:v>
      </x:c>
      <x:c r="P387" s="2" t="n">
        <x:f>MAX(0,ROUND('기준스탯 72종'!J23-X387-AF387,0))</x:f>
        <x:v>5</x:v>
      </x:c>
      <x:c r="Q387" s="2" t="n">
        <x:f>MAX(0,ROUND('기준스탯 72종'!K23-Y387-AG387,0))</x:f>
        <x:v>2</x:v>
      </x:c>
      <x:c r="R387" s="15" t="n">
        <x:f>'기준스탯 72종'!D23*G387</x:f>
        <x:v>0</x:v>
      </x:c>
      <x:c r="S387" s="15" t="n">
        <x:f>'기준스탯 72종'!E23*G387</x:f>
        <x:v>0</x:v>
      </x:c>
      <x:c r="T387" s="15" t="n">
        <x:f>'기준스탯 72종'!F23*G387</x:f>
        <x:v>0</x:v>
      </x:c>
      <x:c r="U387" s="15" t="n">
        <x:f>'기준스탯 72종'!G23*G387</x:f>
        <x:v>0</x:v>
      </x:c>
      <x:c r="V387" s="15" t="n">
        <x:f>'기준스탯 72종'!H23*G387</x:f>
        <x:v>0</x:v>
      </x:c>
      <x:c r="W387" s="15" t="n">
        <x:f>'기준스탯 72종'!I23*G387</x:f>
        <x:v>0</x:v>
      </x:c>
      <x:c r="X387" s="15" t="n">
        <x:f>'기준스탯 72종'!J23*G387</x:f>
        <x:v>0</x:v>
      </x:c>
      <x:c r="Y387" s="15" t="n">
        <x:f>'기준스탯 72종'!K23*G387</x:f>
        <x:v>0</x:v>
      </x:c>
      <x:c r="Z387" s="15" t="n">
        <x:f>'기준스탯 72종'!D23*H387</x:f>
        <x:v>1.4400000000000004</x:v>
      </x:c>
      <x:c r="AA387" s="15" t="n">
        <x:f>'기준스탯 72종'!E23*H387</x:f>
        <x:v>1.6800000000000004</x:v>
      </x:c>
      <x:c r="AB387" s="15" t="n">
        <x:f>'기준스탯 72종'!F23*H387</x:f>
        <x:v>2.1600000000000006</x:v>
      </x:c>
      <x:c r="AC387" s="15" t="n">
        <x:f>'기준스탯 72종'!G23*H387</x:f>
        <x:v>2.1600000000000006</x:v>
      </x:c>
      <x:c r="AD387" s="15" t="n">
        <x:f>'기준스탯 72종'!H23*H387</x:f>
        <x:v>0.7200000000000002</x:v>
      </x:c>
      <x:c r="AE387" s="15" t="n">
        <x:f>'기준스탯 72종'!I23*H387</x:f>
        <x:v>0.7200000000000002</x:v>
      </x:c>
      <x:c r="AF387" s="15" t="n">
        <x:f>'기준스탯 72종'!J23*H387</x:f>
        <x:v>1.6800000000000004</x:v>
      </x:c>
      <x:c r="AG387" s="15" t="n">
        <x:f>'기준스탯 72종'!K23*H387</x:f>
        <x:v>0.7200000000000002</x:v>
      </x:c>
    </x:row>
    <x:row r="388" ht="28" customHeight="1">
      <x:c r="A388" s="2" t="n">
        <x:v>381</x:v>
      </x:c>
      <x:c r="B388" s="2" t="n">
        <x:v>16</x:v>
      </x:c>
      <x:c r="C388" s="2" t="str">
        <x:v>쌍둥이자리</x:v>
      </x:c>
      <x:c r="D388" s="2" t="str">
        <x:v>정령사</x:v>
      </x:c>
      <x:c r="E388" s="2" t="n">
        <x:v>1</x:v>
      </x:c>
      <x:c r="F388" s="2" t="n">
        <x:v>2</x:v>
      </x:c>
      <x:c r="G388" s="14" t="n">
        <x:f>('레벨 계산식'!$E$4-E388)*'레벨 계산식'!$B$5</x:f>
        <x:v>0.5599999999999999</x:v>
      </x:c>
      <x:c r="H388" s="14" t="n">
        <x:f>('등급 계산식'!$E$4-F388)*'등급 계산식'!$B$5</x:f>
        <x:v>0.18000000000000005</x:v>
      </x:c>
      <x:c r="I388" s="14" t="n">
        <x:f>1-G388-H388</x:f>
        <x:v>0.26</x:v>
      </x:c>
      <x:c r="J388" s="2" t="n">
        <x:f>MAX(1,ROUND('기준스탯 72종'!D23-R388-Z388,0))</x:f>
        <x:v>2</x:v>
      </x:c>
      <x:c r="K388" s="2" t="n">
        <x:f>MAX(1,ROUND('기준스탯 72종'!E23-S388-AA388,0))</x:f>
        <x:v>2</x:v>
      </x:c>
      <x:c r="L388" s="2" t="n">
        <x:f>MAX(1,ROUND('기준스탯 72종'!F23-T388-AB388,0))</x:f>
        <x:v>2</x:v>
      </x:c>
      <x:c r="M388" s="2" t="n">
        <x:f>MAX(1,ROUND('기준스탯 72종'!G23-U388-AC388,0))</x:f>
        <x:v>2</x:v>
      </x:c>
      <x:c r="N388" s="2" t="n">
        <x:f>MAX(0,ROUND('기준스탯 72종'!H23-V388-AD388,0))</x:f>
        <x:v>1</x:v>
      </x:c>
      <x:c r="O388" s="2" t="n">
        <x:f>MAX(0,ROUND('기준스탯 72종'!I23-W388-AE388,0))</x:f>
        <x:v>1</x:v>
      </x:c>
      <x:c r="P388" s="2" t="n">
        <x:f>MAX(0,ROUND('기준스탯 72종'!J23-X388-AF388,0))</x:f>
        <x:v>2</x:v>
      </x:c>
      <x:c r="Q388" s="2" t="n">
        <x:f>MAX(0,ROUND('기준스탯 72종'!K23-Y388-AG388,0))</x:f>
        <x:v>1</x:v>
      </x:c>
      <x:c r="R388" s="15" t="n">
        <x:f>'기준스탯 72종'!D23*G388</x:f>
        <x:v>3.3599999999999994</x:v>
      </x:c>
      <x:c r="S388" s="15" t="n">
        <x:f>'기준스탯 72종'!E23*G388</x:f>
        <x:v>3.9199999999999995</x:v>
      </x:c>
      <x:c r="T388" s="15" t="n">
        <x:f>'기준스탯 72종'!F23*G388</x:f>
        <x:v>5.039999999999999</x:v>
      </x:c>
      <x:c r="U388" s="15" t="n">
        <x:f>'기준스탯 72종'!G23*G388</x:f>
        <x:v>5.039999999999999</x:v>
      </x:c>
      <x:c r="V388" s="15" t="n">
        <x:f>'기준스탯 72종'!H23*G388</x:f>
        <x:v>1.6799999999999997</x:v>
      </x:c>
      <x:c r="W388" s="15" t="n">
        <x:f>'기준스탯 72종'!I23*G388</x:f>
        <x:v>1.6799999999999997</x:v>
      </x:c>
      <x:c r="X388" s="15" t="n">
        <x:f>'기준스탯 72종'!J23*G388</x:f>
        <x:v>3.9199999999999995</x:v>
      </x:c>
      <x:c r="Y388" s="15" t="n">
        <x:f>'기준스탯 72종'!K23*G388</x:f>
        <x:v>1.6799999999999997</x:v>
      </x:c>
      <x:c r="Z388" s="15" t="n">
        <x:f>'기준스탯 72종'!D23*H388</x:f>
        <x:v>1.0800000000000003</x:v>
      </x:c>
      <x:c r="AA388" s="15" t="n">
        <x:f>'기준스탯 72종'!E23*H388</x:f>
        <x:v>1.2600000000000002</x:v>
      </x:c>
      <x:c r="AB388" s="15" t="n">
        <x:f>'기준스탯 72종'!F23*H388</x:f>
        <x:v>1.6200000000000006</x:v>
      </x:c>
      <x:c r="AC388" s="15" t="n">
        <x:f>'기준스탯 72종'!G23*H388</x:f>
        <x:v>1.6200000000000006</x:v>
      </x:c>
      <x:c r="AD388" s="15" t="n">
        <x:f>'기준스탯 72종'!H23*H388</x:f>
        <x:v>0.5400000000000001</x:v>
      </x:c>
      <x:c r="AE388" s="15" t="n">
        <x:f>'기준스탯 72종'!I23*H388</x:f>
        <x:v>0.5400000000000001</x:v>
      </x:c>
      <x:c r="AF388" s="15" t="n">
        <x:f>'기준스탯 72종'!J23*H388</x:f>
        <x:v>1.2600000000000002</x:v>
      </x:c>
      <x:c r="AG388" s="15" t="n">
        <x:f>'기준스탯 72종'!K23*H388</x:f>
        <x:v>0.5400000000000001</x:v>
      </x:c>
    </x:row>
    <x:row r="389" ht="28" customHeight="1">
      <x:c r="A389" s="2" t="n">
        <x:v>382</x:v>
      </x:c>
      <x:c r="B389" s="2" t="n">
        <x:v>16</x:v>
      </x:c>
      <x:c r="C389" s="2" t="str">
        <x:v>쌍둥이자리</x:v>
      </x:c>
      <x:c r="D389" s="2" t="str">
        <x:v>정령사</x:v>
      </x:c>
      <x:c r="E389" s="2" t="n">
        <x:v>2</x:v>
      </x:c>
      <x:c r="F389" s="2" t="n">
        <x:v>2</x:v>
      </x:c>
      <x:c r="G389" s="14" t="n">
        <x:f>('레벨 계산식'!$E$4-E389)*'레벨 계산식'!$B$5</x:f>
        <x:v>0.41999999999999993</x:v>
      </x:c>
      <x:c r="H389" s="14" t="n">
        <x:f>('등급 계산식'!$E$4-F389)*'등급 계산식'!$B$5</x:f>
        <x:v>0.18000000000000005</x:v>
      </x:c>
      <x:c r="I389" s="14" t="n">
        <x:f>1-G389-H389</x:f>
        <x:v>0.4</x:v>
      </x:c>
      <x:c r="J389" s="2" t="n">
        <x:f>MAX(1,ROUND('기준스탯 72종'!D23-R389-Z389,0))</x:f>
        <x:v>2</x:v>
      </x:c>
      <x:c r="K389" s="2" t="n">
        <x:f>MAX(1,ROUND('기준스탯 72종'!E23-S389-AA389,0))</x:f>
        <x:v>3</x:v>
      </x:c>
      <x:c r="L389" s="2" t="n">
        <x:f>MAX(1,ROUND('기준스탯 72종'!F23-T389-AB389,0))</x:f>
        <x:v>4</x:v>
      </x:c>
      <x:c r="M389" s="2" t="n">
        <x:f>MAX(1,ROUND('기준스탯 72종'!G23-U389-AC389,0))</x:f>
        <x:v>4</x:v>
      </x:c>
      <x:c r="N389" s="2" t="n">
        <x:f>MAX(0,ROUND('기준스탯 72종'!H23-V389-AD389,0))</x:f>
        <x:v>1</x:v>
      </x:c>
      <x:c r="O389" s="2" t="n">
        <x:f>MAX(0,ROUND('기준스탯 72종'!I23-W389-AE389,0))</x:f>
        <x:v>1</x:v>
      </x:c>
      <x:c r="P389" s="2" t="n">
        <x:f>MAX(0,ROUND('기준스탯 72종'!J23-X389-AF389,0))</x:f>
        <x:v>3</x:v>
      </x:c>
      <x:c r="Q389" s="2" t="n">
        <x:f>MAX(0,ROUND('기준스탯 72종'!K23-Y389-AG389,0))</x:f>
        <x:v>1</x:v>
      </x:c>
      <x:c r="R389" s="15" t="n">
        <x:f>'기준스탯 72종'!D23*G389</x:f>
        <x:v>2.5199999999999996</x:v>
      </x:c>
      <x:c r="S389" s="15" t="n">
        <x:f>'기준스탯 72종'!E23*G389</x:f>
        <x:v>2.9399999999999995</x:v>
      </x:c>
      <x:c r="T389" s="15" t="n">
        <x:f>'기준스탯 72종'!F23*G389</x:f>
        <x:v>3.7799999999999994</x:v>
      </x:c>
      <x:c r="U389" s="15" t="n">
        <x:f>'기준스탯 72종'!G23*G389</x:f>
        <x:v>3.7799999999999994</x:v>
      </x:c>
      <x:c r="V389" s="15" t="n">
        <x:f>'기준스탯 72종'!H23*G389</x:f>
        <x:v>1.2599999999999998</x:v>
      </x:c>
      <x:c r="W389" s="15" t="n">
        <x:f>'기준스탯 72종'!I23*G389</x:f>
        <x:v>1.2599999999999998</x:v>
      </x:c>
      <x:c r="X389" s="15" t="n">
        <x:f>'기준스탯 72종'!J23*G389</x:f>
        <x:v>2.9399999999999995</x:v>
      </x:c>
      <x:c r="Y389" s="15" t="n">
        <x:f>'기준스탯 72종'!K23*G389</x:f>
        <x:v>1.2599999999999998</x:v>
      </x:c>
      <x:c r="Z389" s="15" t="n">
        <x:f>'기준스탯 72종'!D23*H389</x:f>
        <x:v>1.0800000000000003</x:v>
      </x:c>
      <x:c r="AA389" s="15" t="n">
        <x:f>'기준스탯 72종'!E23*H389</x:f>
        <x:v>1.2600000000000002</x:v>
      </x:c>
      <x:c r="AB389" s="15" t="n">
        <x:f>'기준스탯 72종'!F23*H389</x:f>
        <x:v>1.6200000000000006</x:v>
      </x:c>
      <x:c r="AC389" s="15" t="n">
        <x:f>'기준스탯 72종'!G23*H389</x:f>
        <x:v>1.6200000000000006</x:v>
      </x:c>
      <x:c r="AD389" s="15" t="n">
        <x:f>'기준스탯 72종'!H23*H389</x:f>
        <x:v>0.5400000000000001</x:v>
      </x:c>
      <x:c r="AE389" s="15" t="n">
        <x:f>'기준스탯 72종'!I23*H389</x:f>
        <x:v>0.5400000000000001</x:v>
      </x:c>
      <x:c r="AF389" s="15" t="n">
        <x:f>'기준스탯 72종'!J23*H389</x:f>
        <x:v>1.2600000000000002</x:v>
      </x:c>
      <x:c r="AG389" s="15" t="n">
        <x:f>'기준스탯 72종'!K23*H389</x:f>
        <x:v>0.5400000000000001</x:v>
      </x:c>
    </x:row>
    <x:row r="390" ht="28" customHeight="1">
      <x:c r="A390" s="2" t="n">
        <x:v>383</x:v>
      </x:c>
      <x:c r="B390" s="2" t="n">
        <x:v>16</x:v>
      </x:c>
      <x:c r="C390" s="2" t="str">
        <x:v>쌍둥이자리</x:v>
      </x:c>
      <x:c r="D390" s="2" t="str">
        <x:v>정령사</x:v>
      </x:c>
      <x:c r="E390" s="2" t="n">
        <x:v>3</x:v>
      </x:c>
      <x:c r="F390" s="2" t="n">
        <x:v>2</x:v>
      </x:c>
      <x:c r="G390" s="14" t="n">
        <x:f>('레벨 계산식'!$E$4-E390)*'레벨 계산식'!$B$5</x:f>
        <x:v>0.27999999999999997</x:v>
      </x:c>
      <x:c r="H390" s="14" t="n">
        <x:f>('등급 계산식'!$E$4-F390)*'등급 계산식'!$B$5</x:f>
        <x:v>0.18000000000000005</x:v>
      </x:c>
      <x:c r="I390" s="14" t="n">
        <x:f>1-G390-H390</x:f>
        <x:v>0.5399999999999999</x:v>
      </x:c>
      <x:c r="J390" s="2" t="n">
        <x:f>MAX(1,ROUND('기준스탯 72종'!D23-R390-Z390,0))</x:f>
        <x:v>3</x:v>
      </x:c>
      <x:c r="K390" s="2" t="n">
        <x:f>MAX(1,ROUND('기준스탯 72종'!E23-S390-AA390,0))</x:f>
        <x:v>4</x:v>
      </x:c>
      <x:c r="L390" s="2" t="n">
        <x:f>MAX(1,ROUND('기준스탯 72종'!F23-T390-AB390,0))</x:f>
        <x:v>5</x:v>
      </x:c>
      <x:c r="M390" s="2" t="n">
        <x:f>MAX(1,ROUND('기준스탯 72종'!G23-U390-AC390,0))</x:f>
        <x:v>5</x:v>
      </x:c>
      <x:c r="N390" s="2" t="n">
        <x:f>MAX(0,ROUND('기준스탯 72종'!H23-V390-AD390,0))</x:f>
        <x:v>2</x:v>
      </x:c>
      <x:c r="O390" s="2" t="n">
        <x:f>MAX(0,ROUND('기준스탯 72종'!I23-W390-AE390,0))</x:f>
        <x:v>2</x:v>
      </x:c>
      <x:c r="P390" s="2" t="n">
        <x:f>MAX(0,ROUND('기준스탯 72종'!J23-X390-AF390,0))</x:f>
        <x:v>4</x:v>
      </x:c>
      <x:c r="Q390" s="2" t="n">
        <x:f>MAX(0,ROUND('기준스탯 72종'!K23-Y390-AG390,0))</x:f>
        <x:v>2</x:v>
      </x:c>
      <x:c r="R390" s="15" t="n">
        <x:f>'기준스탯 72종'!D23*G390</x:f>
        <x:v>1.6799999999999997</x:v>
      </x:c>
      <x:c r="S390" s="15" t="n">
        <x:f>'기준스탯 72종'!E23*G390</x:f>
        <x:v>1.9599999999999997</x:v>
      </x:c>
      <x:c r="T390" s="15" t="n">
        <x:f>'기준스탯 72종'!F23*G390</x:f>
        <x:v>2.5199999999999996</x:v>
      </x:c>
      <x:c r="U390" s="15" t="n">
        <x:f>'기준스탯 72종'!G23*G390</x:f>
        <x:v>2.5199999999999996</x:v>
      </x:c>
      <x:c r="V390" s="15" t="n">
        <x:f>'기준스탯 72종'!H23*G390</x:f>
        <x:v>0.8399999999999999</x:v>
      </x:c>
      <x:c r="W390" s="15" t="n">
        <x:f>'기준스탯 72종'!I23*G390</x:f>
        <x:v>0.8399999999999999</x:v>
      </x:c>
      <x:c r="X390" s="15" t="n">
        <x:f>'기준스탯 72종'!J23*G390</x:f>
        <x:v>1.9599999999999997</x:v>
      </x:c>
      <x:c r="Y390" s="15" t="n">
        <x:f>'기준스탯 72종'!K23*G390</x:f>
        <x:v>0.8399999999999999</x:v>
      </x:c>
      <x:c r="Z390" s="15" t="n">
        <x:f>'기준스탯 72종'!D23*H390</x:f>
        <x:v>1.0800000000000003</x:v>
      </x:c>
      <x:c r="AA390" s="15" t="n">
        <x:f>'기준스탯 72종'!E23*H390</x:f>
        <x:v>1.2600000000000002</x:v>
      </x:c>
      <x:c r="AB390" s="15" t="n">
        <x:f>'기준스탯 72종'!F23*H390</x:f>
        <x:v>1.6200000000000006</x:v>
      </x:c>
      <x:c r="AC390" s="15" t="n">
        <x:f>'기준스탯 72종'!G23*H390</x:f>
        <x:v>1.6200000000000006</x:v>
      </x:c>
      <x:c r="AD390" s="15" t="n">
        <x:f>'기준스탯 72종'!H23*H390</x:f>
        <x:v>0.5400000000000001</x:v>
      </x:c>
      <x:c r="AE390" s="15" t="n">
        <x:f>'기준스탯 72종'!I23*H390</x:f>
        <x:v>0.5400000000000001</x:v>
      </x:c>
      <x:c r="AF390" s="15" t="n">
        <x:f>'기준스탯 72종'!J23*H390</x:f>
        <x:v>1.2600000000000002</x:v>
      </x:c>
      <x:c r="AG390" s="15" t="n">
        <x:f>'기준스탯 72종'!K23*H390</x:f>
        <x:v>0.5400000000000001</x:v>
      </x:c>
    </x:row>
    <x:row r="391" ht="28" customHeight="1">
      <x:c r="A391" s="2" t="n">
        <x:v>384</x:v>
      </x:c>
      <x:c r="B391" s="2" t="n">
        <x:v>16</x:v>
      </x:c>
      <x:c r="C391" s="2" t="str">
        <x:v>쌍둥이자리</x:v>
      </x:c>
      <x:c r="D391" s="2" t="str">
        <x:v>정령사</x:v>
      </x:c>
      <x:c r="E391" s="2" t="n">
        <x:v>4</x:v>
      </x:c>
      <x:c r="F391" s="2" t="n">
        <x:v>2</x:v>
      </x:c>
      <x:c r="G391" s="14" t="n">
        <x:f>('레벨 계산식'!$E$4-E391)*'레벨 계산식'!$B$5</x:f>
        <x:v>0.13999999999999999</x:v>
      </x:c>
      <x:c r="H391" s="14" t="n">
        <x:f>('등급 계산식'!$E$4-F391)*'등급 계산식'!$B$5</x:f>
        <x:v>0.18000000000000005</x:v>
      </x:c>
      <x:c r="I391" s="14" t="n">
        <x:f>1-G391-H391</x:f>
        <x:v>0.6799999999999999</x:v>
      </x:c>
      <x:c r="J391" s="2" t="n">
        <x:f>MAX(1,ROUND('기준스탯 72종'!D23-R391-Z391,0))</x:f>
        <x:v>4</x:v>
      </x:c>
      <x:c r="K391" s="2" t="n">
        <x:f>MAX(1,ROUND('기준스탯 72종'!E23-S391-AA391,0))</x:f>
        <x:v>5</x:v>
      </x:c>
      <x:c r="L391" s="2" t="n">
        <x:f>MAX(1,ROUND('기준스탯 72종'!F23-T391-AB391,0))</x:f>
        <x:v>6</x:v>
      </x:c>
      <x:c r="M391" s="2" t="n">
        <x:f>MAX(1,ROUND('기준스탯 72종'!G23-U391-AC391,0))</x:f>
        <x:v>6</x:v>
      </x:c>
      <x:c r="N391" s="2" t="n">
        <x:f>MAX(0,ROUND('기준스탯 72종'!H23-V391-AD391,0))</x:f>
        <x:v>2</x:v>
      </x:c>
      <x:c r="O391" s="2" t="n">
        <x:f>MAX(0,ROUND('기준스탯 72종'!I23-W391-AE391,0))</x:f>
        <x:v>2</x:v>
      </x:c>
      <x:c r="P391" s="2" t="n">
        <x:f>MAX(0,ROUND('기준스탯 72종'!J23-X391-AF391,0))</x:f>
        <x:v>5</x:v>
      </x:c>
      <x:c r="Q391" s="2" t="n">
        <x:f>MAX(0,ROUND('기준스탯 72종'!K23-Y391-AG391,0))</x:f>
        <x:v>2</x:v>
      </x:c>
      <x:c r="R391" s="15" t="n">
        <x:f>'기준스탯 72종'!D23*G391</x:f>
        <x:v>0.8399999999999999</x:v>
      </x:c>
      <x:c r="S391" s="15" t="n">
        <x:f>'기준스탯 72종'!E23*G391</x:f>
        <x:v>0.9799999999999999</x:v>
      </x:c>
      <x:c r="T391" s="15" t="n">
        <x:f>'기준스탯 72종'!F23*G391</x:f>
        <x:v>1.2599999999999998</x:v>
      </x:c>
      <x:c r="U391" s="15" t="n">
        <x:f>'기준스탯 72종'!G23*G391</x:f>
        <x:v>1.2599999999999998</x:v>
      </x:c>
      <x:c r="V391" s="15" t="n">
        <x:f>'기준스탯 72종'!H23*G391</x:f>
        <x:v>0.41999999999999993</x:v>
      </x:c>
      <x:c r="W391" s="15" t="n">
        <x:f>'기준스탯 72종'!I23*G391</x:f>
        <x:v>0.41999999999999993</x:v>
      </x:c>
      <x:c r="X391" s="15" t="n">
        <x:f>'기준스탯 72종'!J23*G391</x:f>
        <x:v>0.9799999999999999</x:v>
      </x:c>
      <x:c r="Y391" s="15" t="n">
        <x:f>'기준스탯 72종'!K23*G391</x:f>
        <x:v>0.41999999999999993</x:v>
      </x:c>
      <x:c r="Z391" s="15" t="n">
        <x:f>'기준스탯 72종'!D23*H391</x:f>
        <x:v>1.0800000000000003</x:v>
      </x:c>
      <x:c r="AA391" s="15" t="n">
        <x:f>'기준스탯 72종'!E23*H391</x:f>
        <x:v>1.2600000000000002</x:v>
      </x:c>
      <x:c r="AB391" s="15" t="n">
        <x:f>'기준스탯 72종'!F23*H391</x:f>
        <x:v>1.6200000000000006</x:v>
      </x:c>
      <x:c r="AC391" s="15" t="n">
        <x:f>'기준스탯 72종'!G23*H391</x:f>
        <x:v>1.6200000000000006</x:v>
      </x:c>
      <x:c r="AD391" s="15" t="n">
        <x:f>'기준스탯 72종'!H23*H391</x:f>
        <x:v>0.5400000000000001</x:v>
      </x:c>
      <x:c r="AE391" s="15" t="n">
        <x:f>'기준스탯 72종'!I23*H391</x:f>
        <x:v>0.5400000000000001</x:v>
      </x:c>
      <x:c r="AF391" s="15" t="n">
        <x:f>'기준스탯 72종'!J23*H391</x:f>
        <x:v>1.2600000000000002</x:v>
      </x:c>
      <x:c r="AG391" s="15" t="n">
        <x:f>'기준스탯 72종'!K23*H391</x:f>
        <x:v>0.5400000000000001</x:v>
      </x:c>
    </x:row>
    <x:row r="392" ht="28" customHeight="1">
      <x:c r="A392" s="2" t="n">
        <x:v>385</x:v>
      </x:c>
      <x:c r="B392" s="2" t="n">
        <x:v>16</x:v>
      </x:c>
      <x:c r="C392" s="2" t="str">
        <x:v>쌍둥이자리</x:v>
      </x:c>
      <x:c r="D392" s="2" t="str">
        <x:v>정령사</x:v>
      </x:c>
      <x:c r="E392" s="2" t="n">
        <x:v>5</x:v>
      </x:c>
      <x:c r="F392" s="2" t="n">
        <x:v>2</x:v>
      </x:c>
      <x:c r="G392" s="14" t="n">
        <x:f>('레벨 계산식'!$E$4-E392)*'레벨 계산식'!$B$5</x:f>
        <x:v>0</x:v>
      </x:c>
      <x:c r="H392" s="14" t="n">
        <x:f>('등급 계산식'!$E$4-F392)*'등급 계산식'!$B$5</x:f>
        <x:v>0.18000000000000005</x:v>
      </x:c>
      <x:c r="I392" s="14" t="n">
        <x:f>1-G392-H392</x:f>
        <x:v>0.82</x:v>
      </x:c>
      <x:c r="J392" s="2" t="n">
        <x:f>MAX(1,ROUND('기준스탯 72종'!D23-R392-Z392,0))</x:f>
        <x:v>5</x:v>
      </x:c>
      <x:c r="K392" s="2" t="n">
        <x:f>MAX(1,ROUND('기준스탯 72종'!E23-S392-AA392,0))</x:f>
        <x:v>6</x:v>
      </x:c>
      <x:c r="L392" s="2" t="n">
        <x:f>MAX(1,ROUND('기준스탯 72종'!F23-T392-AB392,0))</x:f>
        <x:v>7</x:v>
      </x:c>
      <x:c r="M392" s="2" t="n">
        <x:f>MAX(1,ROUND('기준스탯 72종'!G23-U392-AC392,0))</x:f>
        <x:v>7</x:v>
      </x:c>
      <x:c r="N392" s="2" t="n">
        <x:f>MAX(0,ROUND('기준스탯 72종'!H23-V392-AD392,0))</x:f>
        <x:v>2</x:v>
      </x:c>
      <x:c r="O392" s="2" t="n">
        <x:f>MAX(0,ROUND('기준스탯 72종'!I23-W392-AE392,0))</x:f>
        <x:v>2</x:v>
      </x:c>
      <x:c r="P392" s="2" t="n">
        <x:f>MAX(0,ROUND('기준스탯 72종'!J23-X392-AF392,0))</x:f>
        <x:v>6</x:v>
      </x:c>
      <x:c r="Q392" s="2" t="n">
        <x:f>MAX(0,ROUND('기준스탯 72종'!K23-Y392-AG392,0))</x:f>
        <x:v>2</x:v>
      </x:c>
      <x:c r="R392" s="15" t="n">
        <x:f>'기준스탯 72종'!D23*G392</x:f>
        <x:v>0</x:v>
      </x:c>
      <x:c r="S392" s="15" t="n">
        <x:f>'기준스탯 72종'!E23*G392</x:f>
        <x:v>0</x:v>
      </x:c>
      <x:c r="T392" s="15" t="n">
        <x:f>'기준스탯 72종'!F23*G392</x:f>
        <x:v>0</x:v>
      </x:c>
      <x:c r="U392" s="15" t="n">
        <x:f>'기준스탯 72종'!G23*G392</x:f>
        <x:v>0</x:v>
      </x:c>
      <x:c r="V392" s="15" t="n">
        <x:f>'기준스탯 72종'!H23*G392</x:f>
        <x:v>0</x:v>
      </x:c>
      <x:c r="W392" s="15" t="n">
        <x:f>'기준스탯 72종'!I23*G392</x:f>
        <x:v>0</x:v>
      </x:c>
      <x:c r="X392" s="15" t="n">
        <x:f>'기준스탯 72종'!J23*G392</x:f>
        <x:v>0</x:v>
      </x:c>
      <x:c r="Y392" s="15" t="n">
        <x:f>'기준스탯 72종'!K23*G392</x:f>
        <x:v>0</x:v>
      </x:c>
      <x:c r="Z392" s="15" t="n">
        <x:f>'기준스탯 72종'!D23*H392</x:f>
        <x:v>1.0800000000000003</x:v>
      </x:c>
      <x:c r="AA392" s="15" t="n">
        <x:f>'기준스탯 72종'!E23*H392</x:f>
        <x:v>1.2600000000000002</x:v>
      </x:c>
      <x:c r="AB392" s="15" t="n">
        <x:f>'기준스탯 72종'!F23*H392</x:f>
        <x:v>1.6200000000000006</x:v>
      </x:c>
      <x:c r="AC392" s="15" t="n">
        <x:f>'기준스탯 72종'!G23*H392</x:f>
        <x:v>1.6200000000000006</x:v>
      </x:c>
      <x:c r="AD392" s="15" t="n">
        <x:f>'기준스탯 72종'!H23*H392</x:f>
        <x:v>0.5400000000000001</x:v>
      </x:c>
      <x:c r="AE392" s="15" t="n">
        <x:f>'기준스탯 72종'!I23*H392</x:f>
        <x:v>0.5400000000000001</x:v>
      </x:c>
      <x:c r="AF392" s="15" t="n">
        <x:f>'기준스탯 72종'!J23*H392</x:f>
        <x:v>1.2600000000000002</x:v>
      </x:c>
      <x:c r="AG392" s="15" t="n">
        <x:f>'기준스탯 72종'!K23*H392</x:f>
        <x:v>0.5400000000000001</x:v>
      </x:c>
    </x:row>
    <x:row r="393" ht="28" customHeight="1">
      <x:c r="A393" s="2" t="n">
        <x:v>386</x:v>
      </x:c>
      <x:c r="B393" s="2" t="n">
        <x:v>16</x:v>
      </x:c>
      <x:c r="C393" s="2" t="str">
        <x:v>쌍둥이자리</x:v>
      </x:c>
      <x:c r="D393" s="2" t="str">
        <x:v>정령사</x:v>
      </x:c>
      <x:c r="E393" s="2" t="n">
        <x:v>1</x:v>
      </x:c>
      <x:c r="F393" s="2" t="n">
        <x:v>3</x:v>
      </x:c>
      <x:c r="G393" s="14" t="n">
        <x:f>('레벨 계산식'!$E$4-E393)*'레벨 계산식'!$B$5</x:f>
        <x:v>0.5599999999999999</x:v>
      </x:c>
      <x:c r="H393" s="14" t="n">
        <x:f>('등급 계산식'!$E$4-F393)*'등급 계산식'!$B$5</x:f>
        <x:v>0.12000000000000002</x:v>
      </x:c>
      <x:c r="I393" s="14" t="n">
        <x:f>1-G393-H393</x:f>
        <x:v>0.32000000000000006</x:v>
      </x:c>
      <x:c r="J393" s="2" t="n">
        <x:f>MAX(1,ROUND('기준스탯 72종'!D23-R393-Z393,0))</x:f>
        <x:v>2</x:v>
      </x:c>
      <x:c r="K393" s="2" t="n">
        <x:f>MAX(1,ROUND('기준스탯 72종'!E23-S393-AA393,0))</x:f>
        <x:v>2</x:v>
      </x:c>
      <x:c r="L393" s="2" t="n">
        <x:f>MAX(1,ROUND('기준스탯 72종'!F23-T393-AB393,0))</x:f>
        <x:v>3</x:v>
      </x:c>
      <x:c r="M393" s="2" t="n">
        <x:f>MAX(1,ROUND('기준스탯 72종'!G23-U393-AC393,0))</x:f>
        <x:v>3</x:v>
      </x:c>
      <x:c r="N393" s="2" t="n">
        <x:f>MAX(0,ROUND('기준스탯 72종'!H23-V393-AD393,0))</x:f>
        <x:v>1</x:v>
      </x:c>
      <x:c r="O393" s="2" t="n">
        <x:f>MAX(0,ROUND('기준스탯 72종'!I23-W393-AE393,0))</x:f>
        <x:v>1</x:v>
      </x:c>
      <x:c r="P393" s="2" t="n">
        <x:f>MAX(0,ROUND('기준스탯 72종'!J23-X393-AF393,0))</x:f>
        <x:v>2</x:v>
      </x:c>
      <x:c r="Q393" s="2" t="n">
        <x:f>MAX(0,ROUND('기준스탯 72종'!K23-Y393-AG393,0))</x:f>
        <x:v>1</x:v>
      </x:c>
      <x:c r="R393" s="15" t="n">
        <x:f>'기준스탯 72종'!D23*G393</x:f>
        <x:v>3.3599999999999994</x:v>
      </x:c>
      <x:c r="S393" s="15" t="n">
        <x:f>'기준스탯 72종'!E23*G393</x:f>
        <x:v>3.9199999999999995</x:v>
      </x:c>
      <x:c r="T393" s="15" t="n">
        <x:f>'기준스탯 72종'!F23*G393</x:f>
        <x:v>5.039999999999999</x:v>
      </x:c>
      <x:c r="U393" s="15" t="n">
        <x:f>'기준스탯 72종'!G23*G393</x:f>
        <x:v>5.039999999999999</x:v>
      </x:c>
      <x:c r="V393" s="15" t="n">
        <x:f>'기준스탯 72종'!H23*G393</x:f>
        <x:v>1.6799999999999997</x:v>
      </x:c>
      <x:c r="W393" s="15" t="n">
        <x:f>'기준스탯 72종'!I23*G393</x:f>
        <x:v>1.6799999999999997</x:v>
      </x:c>
      <x:c r="X393" s="15" t="n">
        <x:f>'기준스탯 72종'!J23*G393</x:f>
        <x:v>3.9199999999999995</x:v>
      </x:c>
      <x:c r="Y393" s="15" t="n">
        <x:f>'기준스탯 72종'!K23*G393</x:f>
        <x:v>1.6799999999999997</x:v>
      </x:c>
      <x:c r="Z393" s="15" t="n">
        <x:f>'기준스탯 72종'!D23*H393</x:f>
        <x:v>0.7200000000000002</x:v>
      </x:c>
      <x:c r="AA393" s="15" t="n">
        <x:f>'기준스탯 72종'!E23*H393</x:f>
        <x:v>0.8400000000000002</x:v>
      </x:c>
      <x:c r="AB393" s="15" t="n">
        <x:f>'기준스탯 72종'!F23*H393</x:f>
        <x:v>1.0800000000000003</x:v>
      </x:c>
      <x:c r="AC393" s="15" t="n">
        <x:f>'기준스탯 72종'!G23*H393</x:f>
        <x:v>1.0800000000000003</x:v>
      </x:c>
      <x:c r="AD393" s="15" t="n">
        <x:f>'기준스탯 72종'!H23*H393</x:f>
        <x:v>0.3600000000000001</x:v>
      </x:c>
      <x:c r="AE393" s="15" t="n">
        <x:f>'기준스탯 72종'!I23*H393</x:f>
        <x:v>0.3600000000000001</x:v>
      </x:c>
      <x:c r="AF393" s="15" t="n">
        <x:f>'기준스탯 72종'!J23*H393</x:f>
        <x:v>0.8400000000000002</x:v>
      </x:c>
      <x:c r="AG393" s="15" t="n">
        <x:f>'기준스탯 72종'!K23*H393</x:f>
        <x:v>0.3600000000000001</x:v>
      </x:c>
    </x:row>
    <x:row r="394" ht="28" customHeight="1">
      <x:c r="A394" s="2" t="n">
        <x:v>387</x:v>
      </x:c>
      <x:c r="B394" s="2" t="n">
        <x:v>16</x:v>
      </x:c>
      <x:c r="C394" s="2" t="str">
        <x:v>쌍둥이자리</x:v>
      </x:c>
      <x:c r="D394" s="2" t="str">
        <x:v>정령사</x:v>
      </x:c>
      <x:c r="E394" s="2" t="n">
        <x:v>2</x:v>
      </x:c>
      <x:c r="F394" s="2" t="n">
        <x:v>3</x:v>
      </x:c>
      <x:c r="G394" s="14" t="n">
        <x:f>('레벨 계산식'!$E$4-E394)*'레벨 계산식'!$B$5</x:f>
        <x:v>0.41999999999999993</x:v>
      </x:c>
      <x:c r="H394" s="14" t="n">
        <x:f>('등급 계산식'!$E$4-F394)*'등급 계산식'!$B$5</x:f>
        <x:v>0.12000000000000002</x:v>
      </x:c>
      <x:c r="I394" s="14" t="n">
        <x:f>1-G394-H394</x:f>
        <x:v>0.4600000000000001</x:v>
      </x:c>
      <x:c r="J394" s="2" t="n">
        <x:f>MAX(1,ROUND('기준스탯 72종'!D23-R394-Z394,0))</x:f>
        <x:v>3</x:v>
      </x:c>
      <x:c r="K394" s="2" t="n">
        <x:f>MAX(1,ROUND('기준스탯 72종'!E23-S394-AA394,0))</x:f>
        <x:v>3</x:v>
      </x:c>
      <x:c r="L394" s="2" t="n">
        <x:f>MAX(1,ROUND('기준스탯 72종'!F23-T394-AB394,0))</x:f>
        <x:v>4</x:v>
      </x:c>
      <x:c r="M394" s="2" t="n">
        <x:f>MAX(1,ROUND('기준스탯 72종'!G23-U394-AC394,0))</x:f>
        <x:v>4</x:v>
      </x:c>
      <x:c r="N394" s="2" t="n">
        <x:f>MAX(0,ROUND('기준스탯 72종'!H23-V394-AD394,0))</x:f>
        <x:v>1</x:v>
      </x:c>
      <x:c r="O394" s="2" t="n">
        <x:f>MAX(0,ROUND('기준스탯 72종'!I23-W394-AE394,0))</x:f>
        <x:v>1</x:v>
      </x:c>
      <x:c r="P394" s="2" t="n">
        <x:f>MAX(0,ROUND('기준스탯 72종'!J23-X394-AF394,0))</x:f>
        <x:v>3</x:v>
      </x:c>
      <x:c r="Q394" s="2" t="n">
        <x:f>MAX(0,ROUND('기준스탯 72종'!K23-Y394-AG394,0))</x:f>
        <x:v>1</x:v>
      </x:c>
      <x:c r="R394" s="15" t="n">
        <x:f>'기준스탯 72종'!D23*G394</x:f>
        <x:v>2.5199999999999996</x:v>
      </x:c>
      <x:c r="S394" s="15" t="n">
        <x:f>'기준스탯 72종'!E23*G394</x:f>
        <x:v>2.9399999999999995</x:v>
      </x:c>
      <x:c r="T394" s="15" t="n">
        <x:f>'기준스탯 72종'!F23*G394</x:f>
        <x:v>3.7799999999999994</x:v>
      </x:c>
      <x:c r="U394" s="15" t="n">
        <x:f>'기준스탯 72종'!G23*G394</x:f>
        <x:v>3.7799999999999994</x:v>
      </x:c>
      <x:c r="V394" s="15" t="n">
        <x:f>'기준스탯 72종'!H23*G394</x:f>
        <x:v>1.2599999999999998</x:v>
      </x:c>
      <x:c r="W394" s="15" t="n">
        <x:f>'기준스탯 72종'!I23*G394</x:f>
        <x:v>1.2599999999999998</x:v>
      </x:c>
      <x:c r="X394" s="15" t="n">
        <x:f>'기준스탯 72종'!J23*G394</x:f>
        <x:v>2.9399999999999995</x:v>
      </x:c>
      <x:c r="Y394" s="15" t="n">
        <x:f>'기준스탯 72종'!K23*G394</x:f>
        <x:v>1.2599999999999998</x:v>
      </x:c>
      <x:c r="Z394" s="15" t="n">
        <x:f>'기준스탯 72종'!D23*H394</x:f>
        <x:v>0.7200000000000002</x:v>
      </x:c>
      <x:c r="AA394" s="15" t="n">
        <x:f>'기준스탯 72종'!E23*H394</x:f>
        <x:v>0.8400000000000002</x:v>
      </x:c>
      <x:c r="AB394" s="15" t="n">
        <x:f>'기준스탯 72종'!F23*H394</x:f>
        <x:v>1.0800000000000003</x:v>
      </x:c>
      <x:c r="AC394" s="15" t="n">
        <x:f>'기준스탯 72종'!G23*H394</x:f>
        <x:v>1.0800000000000003</x:v>
      </x:c>
      <x:c r="AD394" s="15" t="n">
        <x:f>'기준스탯 72종'!H23*H394</x:f>
        <x:v>0.3600000000000001</x:v>
      </x:c>
      <x:c r="AE394" s="15" t="n">
        <x:f>'기준스탯 72종'!I23*H394</x:f>
        <x:v>0.3600000000000001</x:v>
      </x:c>
      <x:c r="AF394" s="15" t="n">
        <x:f>'기준스탯 72종'!J23*H394</x:f>
        <x:v>0.8400000000000002</x:v>
      </x:c>
      <x:c r="AG394" s="15" t="n">
        <x:f>'기준스탯 72종'!K23*H394</x:f>
        <x:v>0.3600000000000001</x:v>
      </x:c>
    </x:row>
    <x:row r="395" ht="28" customHeight="1">
      <x:c r="A395" s="2" t="n">
        <x:v>388</x:v>
      </x:c>
      <x:c r="B395" s="2" t="n">
        <x:v>16</x:v>
      </x:c>
      <x:c r="C395" s="2" t="str">
        <x:v>쌍둥이자리</x:v>
      </x:c>
      <x:c r="D395" s="2" t="str">
        <x:v>정령사</x:v>
      </x:c>
      <x:c r="E395" s="2" t="n">
        <x:v>3</x:v>
      </x:c>
      <x:c r="F395" s="2" t="n">
        <x:v>3</x:v>
      </x:c>
      <x:c r="G395" s="14" t="n">
        <x:f>('레벨 계산식'!$E$4-E395)*'레벨 계산식'!$B$5</x:f>
        <x:v>0.27999999999999997</x:v>
      </x:c>
      <x:c r="H395" s="14" t="n">
        <x:f>('등급 계산식'!$E$4-F395)*'등급 계산식'!$B$5</x:f>
        <x:v>0.12000000000000002</x:v>
      </x:c>
      <x:c r="I395" s="14" t="n">
        <x:f>1-G395-H395</x:f>
        <x:v>0.6</x:v>
      </x:c>
      <x:c r="J395" s="2" t="n">
        <x:f>MAX(1,ROUND('기준스탯 72종'!D23-R395-Z395,0))</x:f>
        <x:v>4</x:v>
      </x:c>
      <x:c r="K395" s="2" t="n">
        <x:f>MAX(1,ROUND('기준스탯 72종'!E23-S395-AA395,0))</x:f>
        <x:v>4</x:v>
      </x:c>
      <x:c r="L395" s="2" t="n">
        <x:f>MAX(1,ROUND('기준스탯 72종'!F23-T395-AB395,0))</x:f>
        <x:v>5</x:v>
      </x:c>
      <x:c r="M395" s="2" t="n">
        <x:f>MAX(1,ROUND('기준스탯 72종'!G23-U395-AC395,0))</x:f>
        <x:v>5</x:v>
      </x:c>
      <x:c r="N395" s="2" t="n">
        <x:f>MAX(0,ROUND('기준스탯 72종'!H23-V395-AD395,0))</x:f>
        <x:v>2</x:v>
      </x:c>
      <x:c r="O395" s="2" t="n">
        <x:f>MAX(0,ROUND('기준스탯 72종'!I23-W395-AE395,0))</x:f>
        <x:v>2</x:v>
      </x:c>
      <x:c r="P395" s="2" t="n">
        <x:f>MAX(0,ROUND('기준스탯 72종'!J23-X395-AF395,0))</x:f>
        <x:v>4</x:v>
      </x:c>
      <x:c r="Q395" s="2" t="n">
        <x:f>MAX(0,ROUND('기준스탯 72종'!K23-Y395-AG395,0))</x:f>
        <x:v>2</x:v>
      </x:c>
      <x:c r="R395" s="15" t="n">
        <x:f>'기준스탯 72종'!D23*G395</x:f>
        <x:v>1.6799999999999997</x:v>
      </x:c>
      <x:c r="S395" s="15" t="n">
        <x:f>'기준스탯 72종'!E23*G395</x:f>
        <x:v>1.9599999999999997</x:v>
      </x:c>
      <x:c r="T395" s="15" t="n">
        <x:f>'기준스탯 72종'!F23*G395</x:f>
        <x:v>2.5199999999999996</x:v>
      </x:c>
      <x:c r="U395" s="15" t="n">
        <x:f>'기준스탯 72종'!G23*G395</x:f>
        <x:v>2.5199999999999996</x:v>
      </x:c>
      <x:c r="V395" s="15" t="n">
        <x:f>'기준스탯 72종'!H23*G395</x:f>
        <x:v>0.8399999999999999</x:v>
      </x:c>
      <x:c r="W395" s="15" t="n">
        <x:f>'기준스탯 72종'!I23*G395</x:f>
        <x:v>0.8399999999999999</x:v>
      </x:c>
      <x:c r="X395" s="15" t="n">
        <x:f>'기준스탯 72종'!J23*G395</x:f>
        <x:v>1.9599999999999997</x:v>
      </x:c>
      <x:c r="Y395" s="15" t="n">
        <x:f>'기준스탯 72종'!K23*G395</x:f>
        <x:v>0.8399999999999999</x:v>
      </x:c>
      <x:c r="Z395" s="15" t="n">
        <x:f>'기준스탯 72종'!D23*H395</x:f>
        <x:v>0.7200000000000002</x:v>
      </x:c>
      <x:c r="AA395" s="15" t="n">
        <x:f>'기준스탯 72종'!E23*H395</x:f>
        <x:v>0.8400000000000002</x:v>
      </x:c>
      <x:c r="AB395" s="15" t="n">
        <x:f>'기준스탯 72종'!F23*H395</x:f>
        <x:v>1.0800000000000003</x:v>
      </x:c>
      <x:c r="AC395" s="15" t="n">
        <x:f>'기준스탯 72종'!G23*H395</x:f>
        <x:v>1.0800000000000003</x:v>
      </x:c>
      <x:c r="AD395" s="15" t="n">
        <x:f>'기준스탯 72종'!H23*H395</x:f>
        <x:v>0.3600000000000001</x:v>
      </x:c>
      <x:c r="AE395" s="15" t="n">
        <x:f>'기준스탯 72종'!I23*H395</x:f>
        <x:v>0.3600000000000001</x:v>
      </x:c>
      <x:c r="AF395" s="15" t="n">
        <x:f>'기준스탯 72종'!J23*H395</x:f>
        <x:v>0.8400000000000002</x:v>
      </x:c>
      <x:c r="AG395" s="15" t="n">
        <x:f>'기준스탯 72종'!K23*H395</x:f>
        <x:v>0.3600000000000001</x:v>
      </x:c>
    </x:row>
    <x:row r="396" ht="28" customHeight="1">
      <x:c r="A396" s="2" t="n">
        <x:v>389</x:v>
      </x:c>
      <x:c r="B396" s="2" t="n">
        <x:v>16</x:v>
      </x:c>
      <x:c r="C396" s="2" t="str">
        <x:v>쌍둥이자리</x:v>
      </x:c>
      <x:c r="D396" s="2" t="str">
        <x:v>정령사</x:v>
      </x:c>
      <x:c r="E396" s="2" t="n">
        <x:v>4</x:v>
      </x:c>
      <x:c r="F396" s="2" t="n">
        <x:v>3</x:v>
      </x:c>
      <x:c r="G396" s="14" t="n">
        <x:f>('레벨 계산식'!$E$4-E396)*'레벨 계산식'!$B$5</x:f>
        <x:v>0.13999999999999999</x:v>
      </x:c>
      <x:c r="H396" s="14" t="n">
        <x:f>('등급 계산식'!$E$4-F396)*'등급 계산식'!$B$5</x:f>
        <x:v>0.12000000000000002</x:v>
      </x:c>
      <x:c r="I396" s="14" t="n">
        <x:f>1-G396-H396</x:f>
        <x:v>0.74</x:v>
      </x:c>
      <x:c r="J396" s="2" t="n">
        <x:f>MAX(1,ROUND('기준스탯 72종'!D23-R396-Z396,0))</x:f>
        <x:v>4</x:v>
      </x:c>
      <x:c r="K396" s="2" t="n">
        <x:f>MAX(1,ROUND('기준스탯 72종'!E23-S396-AA396,0))</x:f>
        <x:v>5</x:v>
      </x:c>
      <x:c r="L396" s="2" t="n">
        <x:f>MAX(1,ROUND('기준스탯 72종'!F23-T396-AB396,0))</x:f>
        <x:v>7</x:v>
      </x:c>
      <x:c r="M396" s="2" t="n">
        <x:f>MAX(1,ROUND('기준스탯 72종'!G23-U396-AC396,0))</x:f>
        <x:v>7</x:v>
      </x:c>
      <x:c r="N396" s="2" t="n">
        <x:f>MAX(0,ROUND('기준스탯 72종'!H23-V396-AD396,0))</x:f>
        <x:v>2</x:v>
      </x:c>
      <x:c r="O396" s="2" t="n">
        <x:f>MAX(0,ROUND('기준스탯 72종'!I23-W396-AE396,0))</x:f>
        <x:v>2</x:v>
      </x:c>
      <x:c r="P396" s="2" t="n">
        <x:f>MAX(0,ROUND('기준스탯 72종'!J23-X396-AF396,0))</x:f>
        <x:v>5</x:v>
      </x:c>
      <x:c r="Q396" s="2" t="n">
        <x:f>MAX(0,ROUND('기준스탯 72종'!K23-Y396-AG396,0))</x:f>
        <x:v>2</x:v>
      </x:c>
      <x:c r="R396" s="15" t="n">
        <x:f>'기준스탯 72종'!D23*G396</x:f>
        <x:v>0.8399999999999999</x:v>
      </x:c>
      <x:c r="S396" s="15" t="n">
        <x:f>'기준스탯 72종'!E23*G396</x:f>
        <x:v>0.9799999999999999</x:v>
      </x:c>
      <x:c r="T396" s="15" t="n">
        <x:f>'기준스탯 72종'!F23*G396</x:f>
        <x:v>1.2599999999999998</x:v>
      </x:c>
      <x:c r="U396" s="15" t="n">
        <x:f>'기준스탯 72종'!G23*G396</x:f>
        <x:v>1.2599999999999998</x:v>
      </x:c>
      <x:c r="V396" s="15" t="n">
        <x:f>'기준스탯 72종'!H23*G396</x:f>
        <x:v>0.41999999999999993</x:v>
      </x:c>
      <x:c r="W396" s="15" t="n">
        <x:f>'기준스탯 72종'!I23*G396</x:f>
        <x:v>0.41999999999999993</x:v>
      </x:c>
      <x:c r="X396" s="15" t="n">
        <x:f>'기준스탯 72종'!J23*G396</x:f>
        <x:v>0.9799999999999999</x:v>
      </x:c>
      <x:c r="Y396" s="15" t="n">
        <x:f>'기준스탯 72종'!K23*G396</x:f>
        <x:v>0.41999999999999993</x:v>
      </x:c>
      <x:c r="Z396" s="15" t="n">
        <x:f>'기준스탯 72종'!D23*H396</x:f>
        <x:v>0.7200000000000002</x:v>
      </x:c>
      <x:c r="AA396" s="15" t="n">
        <x:f>'기준스탯 72종'!E23*H396</x:f>
        <x:v>0.8400000000000002</x:v>
      </x:c>
      <x:c r="AB396" s="15" t="n">
        <x:f>'기준스탯 72종'!F23*H396</x:f>
        <x:v>1.0800000000000003</x:v>
      </x:c>
      <x:c r="AC396" s="15" t="n">
        <x:f>'기준스탯 72종'!G23*H396</x:f>
        <x:v>1.0800000000000003</x:v>
      </x:c>
      <x:c r="AD396" s="15" t="n">
        <x:f>'기준스탯 72종'!H23*H396</x:f>
        <x:v>0.3600000000000001</x:v>
      </x:c>
      <x:c r="AE396" s="15" t="n">
        <x:f>'기준스탯 72종'!I23*H396</x:f>
        <x:v>0.3600000000000001</x:v>
      </x:c>
      <x:c r="AF396" s="15" t="n">
        <x:f>'기준스탯 72종'!J23*H396</x:f>
        <x:v>0.8400000000000002</x:v>
      </x:c>
      <x:c r="AG396" s="15" t="n">
        <x:f>'기준스탯 72종'!K23*H396</x:f>
        <x:v>0.3600000000000001</x:v>
      </x:c>
    </x:row>
    <x:row r="397" ht="28" customHeight="1">
      <x:c r="A397" s="2" t="n">
        <x:v>390</x:v>
      </x:c>
      <x:c r="B397" s="2" t="n">
        <x:v>16</x:v>
      </x:c>
      <x:c r="C397" s="2" t="str">
        <x:v>쌍둥이자리</x:v>
      </x:c>
      <x:c r="D397" s="2" t="str">
        <x:v>정령사</x:v>
      </x:c>
      <x:c r="E397" s="2" t="n">
        <x:v>5</x:v>
      </x:c>
      <x:c r="F397" s="2" t="n">
        <x:v>3</x:v>
      </x:c>
      <x:c r="G397" s="14" t="n">
        <x:f>('레벨 계산식'!$E$4-E397)*'레벨 계산식'!$B$5</x:f>
        <x:v>0</x:v>
      </x:c>
      <x:c r="H397" s="14" t="n">
        <x:f>('등급 계산식'!$E$4-F397)*'등급 계산식'!$B$5</x:f>
        <x:v>0.12000000000000002</x:v>
      </x:c>
      <x:c r="I397" s="14" t="n">
        <x:f>1-G397-H397</x:f>
        <x:v>0.88</x:v>
      </x:c>
      <x:c r="J397" s="2" t="n">
        <x:f>MAX(1,ROUND('기준스탯 72종'!D23-R397-Z397,0))</x:f>
        <x:v>5</x:v>
      </x:c>
      <x:c r="K397" s="2" t="n">
        <x:f>MAX(1,ROUND('기준스탯 72종'!E23-S397-AA397,0))</x:f>
        <x:v>6</x:v>
      </x:c>
      <x:c r="L397" s="2" t="n">
        <x:f>MAX(1,ROUND('기준스탯 72종'!F23-T397-AB397,0))</x:f>
        <x:v>8</x:v>
      </x:c>
      <x:c r="M397" s="2" t="n">
        <x:f>MAX(1,ROUND('기준스탯 72종'!G23-U397-AC397,0))</x:f>
        <x:v>8</x:v>
      </x:c>
      <x:c r="N397" s="2" t="n">
        <x:f>MAX(0,ROUND('기준스탯 72종'!H23-V397-AD397,0))</x:f>
        <x:v>3</x:v>
      </x:c>
      <x:c r="O397" s="2" t="n">
        <x:f>MAX(0,ROUND('기준스탯 72종'!I23-W397-AE397,0))</x:f>
        <x:v>3</x:v>
      </x:c>
      <x:c r="P397" s="2" t="n">
        <x:f>MAX(0,ROUND('기준스탯 72종'!J23-X397-AF397,0))</x:f>
        <x:v>6</x:v>
      </x:c>
      <x:c r="Q397" s="2" t="n">
        <x:f>MAX(0,ROUND('기준스탯 72종'!K23-Y397-AG397,0))</x:f>
        <x:v>3</x:v>
      </x:c>
      <x:c r="R397" s="15" t="n">
        <x:f>'기준스탯 72종'!D23*G397</x:f>
        <x:v>0</x:v>
      </x:c>
      <x:c r="S397" s="15" t="n">
        <x:f>'기준스탯 72종'!E23*G397</x:f>
        <x:v>0</x:v>
      </x:c>
      <x:c r="T397" s="15" t="n">
        <x:f>'기준스탯 72종'!F23*G397</x:f>
        <x:v>0</x:v>
      </x:c>
      <x:c r="U397" s="15" t="n">
        <x:f>'기준스탯 72종'!G23*G397</x:f>
        <x:v>0</x:v>
      </x:c>
      <x:c r="V397" s="15" t="n">
        <x:f>'기준스탯 72종'!H23*G397</x:f>
        <x:v>0</x:v>
      </x:c>
      <x:c r="W397" s="15" t="n">
        <x:f>'기준스탯 72종'!I23*G397</x:f>
        <x:v>0</x:v>
      </x:c>
      <x:c r="X397" s="15" t="n">
        <x:f>'기준스탯 72종'!J23*G397</x:f>
        <x:v>0</x:v>
      </x:c>
      <x:c r="Y397" s="15" t="n">
        <x:f>'기준스탯 72종'!K23*G397</x:f>
        <x:v>0</x:v>
      </x:c>
      <x:c r="Z397" s="15" t="n">
        <x:f>'기준스탯 72종'!D23*H397</x:f>
        <x:v>0.7200000000000002</x:v>
      </x:c>
      <x:c r="AA397" s="15" t="n">
        <x:f>'기준스탯 72종'!E23*H397</x:f>
        <x:v>0.8400000000000002</x:v>
      </x:c>
      <x:c r="AB397" s="15" t="n">
        <x:f>'기준스탯 72종'!F23*H397</x:f>
        <x:v>1.0800000000000003</x:v>
      </x:c>
      <x:c r="AC397" s="15" t="n">
        <x:f>'기준스탯 72종'!G23*H397</x:f>
        <x:v>1.0800000000000003</x:v>
      </x:c>
      <x:c r="AD397" s="15" t="n">
        <x:f>'기준스탯 72종'!H23*H397</x:f>
        <x:v>0.3600000000000001</x:v>
      </x:c>
      <x:c r="AE397" s="15" t="n">
        <x:f>'기준스탯 72종'!I23*H397</x:f>
        <x:v>0.3600000000000001</x:v>
      </x:c>
      <x:c r="AF397" s="15" t="n">
        <x:f>'기준스탯 72종'!J23*H397</x:f>
        <x:v>0.8400000000000002</x:v>
      </x:c>
      <x:c r="AG397" s="15" t="n">
        <x:f>'기준스탯 72종'!K23*H397</x:f>
        <x:v>0.3600000000000001</x:v>
      </x:c>
    </x:row>
    <x:row r="398" ht="28" customHeight="1">
      <x:c r="A398" s="2" t="n">
        <x:v>391</x:v>
      </x:c>
      <x:c r="B398" s="2" t="n">
        <x:v>16</x:v>
      </x:c>
      <x:c r="C398" s="2" t="str">
        <x:v>쌍둥이자리</x:v>
      </x:c>
      <x:c r="D398" s="2" t="str">
        <x:v>정령사</x:v>
      </x:c>
      <x:c r="E398" s="2" t="n">
        <x:v>1</x:v>
      </x:c>
      <x:c r="F398" s="2" t="n">
        <x:v>4</x:v>
      </x:c>
      <x:c r="G398" s="14" t="n">
        <x:f>('레벨 계산식'!$E$4-E398)*'레벨 계산식'!$B$5</x:f>
        <x:v>0.5599999999999999</x:v>
      </x:c>
      <x:c r="H398" s="14" t="n">
        <x:f>('등급 계산식'!$E$4-F398)*'등급 계산식'!$B$5</x:f>
        <x:v>0.06000000000000001</x:v>
      </x:c>
      <x:c r="I398" s="14" t="n">
        <x:f>1-G398-H398</x:f>
        <x:v>0.38000000000000006</x:v>
      </x:c>
      <x:c r="J398" s="2" t="n">
        <x:f>MAX(1,ROUND('기준스탯 72종'!D23-R398-Z398,0))</x:f>
        <x:v>2</x:v>
      </x:c>
      <x:c r="K398" s="2" t="n">
        <x:f>MAX(1,ROUND('기준스탯 72종'!E23-S398-AA398,0))</x:f>
        <x:v>3</x:v>
      </x:c>
      <x:c r="L398" s="2" t="n">
        <x:f>MAX(1,ROUND('기준스탯 72종'!F23-T398-AB398,0))</x:f>
        <x:v>3</x:v>
      </x:c>
      <x:c r="M398" s="2" t="n">
        <x:f>MAX(1,ROUND('기준스탯 72종'!G23-U398-AC398,0))</x:f>
        <x:v>3</x:v>
      </x:c>
      <x:c r="N398" s="2" t="n">
        <x:f>MAX(0,ROUND('기준스탯 72종'!H23-V398-AD398,0))</x:f>
        <x:v>1</x:v>
      </x:c>
      <x:c r="O398" s="2" t="n">
        <x:f>MAX(0,ROUND('기준스탯 72종'!I23-W398-AE398,0))</x:f>
        <x:v>1</x:v>
      </x:c>
      <x:c r="P398" s="2" t="n">
        <x:f>MAX(0,ROUND('기준스탯 72종'!J23-X398-AF398,0))</x:f>
        <x:v>3</x:v>
      </x:c>
      <x:c r="Q398" s="2" t="n">
        <x:f>MAX(0,ROUND('기준스탯 72종'!K23-Y398-AG398,0))</x:f>
        <x:v>1</x:v>
      </x:c>
      <x:c r="R398" s="15" t="n">
        <x:f>'기준스탯 72종'!D23*G398</x:f>
        <x:v>3.3599999999999994</x:v>
      </x:c>
      <x:c r="S398" s="15" t="n">
        <x:f>'기준스탯 72종'!E23*G398</x:f>
        <x:v>3.9199999999999995</x:v>
      </x:c>
      <x:c r="T398" s="15" t="n">
        <x:f>'기준스탯 72종'!F23*G398</x:f>
        <x:v>5.039999999999999</x:v>
      </x:c>
      <x:c r="U398" s="15" t="n">
        <x:f>'기준스탯 72종'!G23*G398</x:f>
        <x:v>5.039999999999999</x:v>
      </x:c>
      <x:c r="V398" s="15" t="n">
        <x:f>'기준스탯 72종'!H23*G398</x:f>
        <x:v>1.6799999999999997</x:v>
      </x:c>
      <x:c r="W398" s="15" t="n">
        <x:f>'기준스탯 72종'!I23*G398</x:f>
        <x:v>1.6799999999999997</x:v>
      </x:c>
      <x:c r="X398" s="15" t="n">
        <x:f>'기준스탯 72종'!J23*G398</x:f>
        <x:v>3.9199999999999995</x:v>
      </x:c>
      <x:c r="Y398" s="15" t="n">
        <x:f>'기준스탯 72종'!K23*G398</x:f>
        <x:v>1.6799999999999997</x:v>
      </x:c>
      <x:c r="Z398" s="15" t="n">
        <x:f>'기준스탯 72종'!D23*H398</x:f>
        <x:v>0.3600000000000001</x:v>
      </x:c>
      <x:c r="AA398" s="15" t="n">
        <x:f>'기준스탯 72종'!E23*H398</x:f>
        <x:v>0.4200000000000001</x:v>
      </x:c>
      <x:c r="AB398" s="15" t="n">
        <x:f>'기준스탯 72종'!F23*H398</x:f>
        <x:v>0.5400000000000001</x:v>
      </x:c>
      <x:c r="AC398" s="15" t="n">
        <x:f>'기준스탯 72종'!G23*H398</x:f>
        <x:v>0.5400000000000001</x:v>
      </x:c>
      <x:c r="AD398" s="15" t="n">
        <x:f>'기준스탯 72종'!H23*H398</x:f>
        <x:v>0.18000000000000005</x:v>
      </x:c>
      <x:c r="AE398" s="15" t="n">
        <x:f>'기준스탯 72종'!I23*H398</x:f>
        <x:v>0.18000000000000005</x:v>
      </x:c>
      <x:c r="AF398" s="15" t="n">
        <x:f>'기준스탯 72종'!J23*H398</x:f>
        <x:v>0.4200000000000001</x:v>
      </x:c>
      <x:c r="AG398" s="15" t="n">
        <x:f>'기준스탯 72종'!K23*H398</x:f>
        <x:v>0.18000000000000005</x:v>
      </x:c>
    </x:row>
    <x:row r="399" ht="28" customHeight="1">
      <x:c r="A399" s="2" t="n">
        <x:v>392</x:v>
      </x:c>
      <x:c r="B399" s="2" t="n">
        <x:v>16</x:v>
      </x:c>
      <x:c r="C399" s="2" t="str">
        <x:v>쌍둥이자리</x:v>
      </x:c>
      <x:c r="D399" s="2" t="str">
        <x:v>정령사</x:v>
      </x:c>
      <x:c r="E399" s="2" t="n">
        <x:v>2</x:v>
      </x:c>
      <x:c r="F399" s="2" t="n">
        <x:v>4</x:v>
      </x:c>
      <x:c r="G399" s="14" t="n">
        <x:f>('레벨 계산식'!$E$4-E399)*'레벨 계산식'!$B$5</x:f>
        <x:v>0.41999999999999993</x:v>
      </x:c>
      <x:c r="H399" s="14" t="n">
        <x:f>('등급 계산식'!$E$4-F399)*'등급 계산식'!$B$5</x:f>
        <x:v>0.06000000000000001</x:v>
      </x:c>
      <x:c r="I399" s="14" t="n">
        <x:f>1-G399-H399</x:f>
        <x:v>0.52</x:v>
      </x:c>
      <x:c r="J399" s="2" t="n">
        <x:f>MAX(1,ROUND('기준스탯 72종'!D23-R399-Z399,0))</x:f>
        <x:v>3</x:v>
      </x:c>
      <x:c r="K399" s="2" t="n">
        <x:f>MAX(1,ROUND('기준스탯 72종'!E23-S399-AA399,0))</x:f>
        <x:v>4</x:v>
      </x:c>
      <x:c r="L399" s="2" t="n">
        <x:f>MAX(1,ROUND('기준스탯 72종'!F23-T399-AB399,0))</x:f>
        <x:v>5</x:v>
      </x:c>
      <x:c r="M399" s="2" t="n">
        <x:f>MAX(1,ROUND('기준스탯 72종'!G23-U399-AC399,0))</x:f>
        <x:v>5</x:v>
      </x:c>
      <x:c r="N399" s="2" t="n">
        <x:f>MAX(0,ROUND('기준스탯 72종'!H23-V399-AD399,0))</x:f>
        <x:v>2</x:v>
      </x:c>
      <x:c r="O399" s="2" t="n">
        <x:f>MAX(0,ROUND('기준스탯 72종'!I23-W399-AE399,0))</x:f>
        <x:v>2</x:v>
      </x:c>
      <x:c r="P399" s="2" t="n">
        <x:f>MAX(0,ROUND('기준스탯 72종'!J23-X399-AF399,0))</x:f>
        <x:v>4</x:v>
      </x:c>
      <x:c r="Q399" s="2" t="n">
        <x:f>MAX(0,ROUND('기준스탯 72종'!K23-Y399-AG399,0))</x:f>
        <x:v>2</x:v>
      </x:c>
      <x:c r="R399" s="15" t="n">
        <x:f>'기준스탯 72종'!D23*G399</x:f>
        <x:v>2.5199999999999996</x:v>
      </x:c>
      <x:c r="S399" s="15" t="n">
        <x:f>'기준스탯 72종'!E23*G399</x:f>
        <x:v>2.9399999999999995</x:v>
      </x:c>
      <x:c r="T399" s="15" t="n">
        <x:f>'기준스탯 72종'!F23*G399</x:f>
        <x:v>3.7799999999999994</x:v>
      </x:c>
      <x:c r="U399" s="15" t="n">
        <x:f>'기준스탯 72종'!G23*G399</x:f>
        <x:v>3.7799999999999994</x:v>
      </x:c>
      <x:c r="V399" s="15" t="n">
        <x:f>'기준스탯 72종'!H23*G399</x:f>
        <x:v>1.2599999999999998</x:v>
      </x:c>
      <x:c r="W399" s="15" t="n">
        <x:f>'기준스탯 72종'!I23*G399</x:f>
        <x:v>1.2599999999999998</x:v>
      </x:c>
      <x:c r="X399" s="15" t="n">
        <x:f>'기준스탯 72종'!J23*G399</x:f>
        <x:v>2.9399999999999995</x:v>
      </x:c>
      <x:c r="Y399" s="15" t="n">
        <x:f>'기준스탯 72종'!K23*G399</x:f>
        <x:v>1.2599999999999998</x:v>
      </x:c>
      <x:c r="Z399" s="15" t="n">
        <x:f>'기준스탯 72종'!D23*H399</x:f>
        <x:v>0.3600000000000001</x:v>
      </x:c>
      <x:c r="AA399" s="15" t="n">
        <x:f>'기준스탯 72종'!E23*H399</x:f>
        <x:v>0.4200000000000001</x:v>
      </x:c>
      <x:c r="AB399" s="15" t="n">
        <x:f>'기준스탯 72종'!F23*H399</x:f>
        <x:v>0.5400000000000001</x:v>
      </x:c>
      <x:c r="AC399" s="15" t="n">
        <x:f>'기준스탯 72종'!G23*H399</x:f>
        <x:v>0.5400000000000001</x:v>
      </x:c>
      <x:c r="AD399" s="15" t="n">
        <x:f>'기준스탯 72종'!H23*H399</x:f>
        <x:v>0.18000000000000005</x:v>
      </x:c>
      <x:c r="AE399" s="15" t="n">
        <x:f>'기준스탯 72종'!I23*H399</x:f>
        <x:v>0.18000000000000005</x:v>
      </x:c>
      <x:c r="AF399" s="15" t="n">
        <x:f>'기준스탯 72종'!J23*H399</x:f>
        <x:v>0.4200000000000001</x:v>
      </x:c>
      <x:c r="AG399" s="15" t="n">
        <x:f>'기준스탯 72종'!K23*H399</x:f>
        <x:v>0.18000000000000005</x:v>
      </x:c>
    </x:row>
    <x:row r="400" ht="28" customHeight="1">
      <x:c r="A400" s="2" t="n">
        <x:v>393</x:v>
      </x:c>
      <x:c r="B400" s="2" t="n">
        <x:v>16</x:v>
      </x:c>
      <x:c r="C400" s="2" t="str">
        <x:v>쌍둥이자리</x:v>
      </x:c>
      <x:c r="D400" s="2" t="str">
        <x:v>정령사</x:v>
      </x:c>
      <x:c r="E400" s="2" t="n">
        <x:v>3</x:v>
      </x:c>
      <x:c r="F400" s="2" t="n">
        <x:v>4</x:v>
      </x:c>
      <x:c r="G400" s="14" t="n">
        <x:f>('레벨 계산식'!$E$4-E400)*'레벨 계산식'!$B$5</x:f>
        <x:v>0.27999999999999997</x:v>
      </x:c>
      <x:c r="H400" s="14" t="n">
        <x:f>('등급 계산식'!$E$4-F400)*'등급 계산식'!$B$5</x:f>
        <x:v>0.06000000000000001</x:v>
      </x:c>
      <x:c r="I400" s="14" t="n">
        <x:f>1-G400-H400</x:f>
        <x:v>0.6599999999999999</x:v>
      </x:c>
      <x:c r="J400" s="2" t="n">
        <x:f>MAX(1,ROUND('기준스탯 72종'!D23-R400-Z400,0))</x:f>
        <x:v>4</x:v>
      </x:c>
      <x:c r="K400" s="2" t="n">
        <x:f>MAX(1,ROUND('기준스탯 72종'!E23-S400-AA400,0))</x:f>
        <x:v>5</x:v>
      </x:c>
      <x:c r="L400" s="2" t="n">
        <x:f>MAX(1,ROUND('기준스탯 72종'!F23-T400-AB400,0))</x:f>
        <x:v>6</x:v>
      </x:c>
      <x:c r="M400" s="2" t="n">
        <x:f>MAX(1,ROUND('기준스탯 72종'!G23-U400-AC400,0))</x:f>
        <x:v>6</x:v>
      </x:c>
      <x:c r="N400" s="2" t="n">
        <x:f>MAX(0,ROUND('기준스탯 72종'!H23-V400-AD400,0))</x:f>
        <x:v>2</x:v>
      </x:c>
      <x:c r="O400" s="2" t="n">
        <x:f>MAX(0,ROUND('기준스탯 72종'!I23-W400-AE400,0))</x:f>
        <x:v>2</x:v>
      </x:c>
      <x:c r="P400" s="2" t="n">
        <x:f>MAX(0,ROUND('기준스탯 72종'!J23-X400-AF400,0))</x:f>
        <x:v>5</x:v>
      </x:c>
      <x:c r="Q400" s="2" t="n">
        <x:f>MAX(0,ROUND('기준스탯 72종'!K23-Y400-AG400,0))</x:f>
        <x:v>2</x:v>
      </x:c>
      <x:c r="R400" s="15" t="n">
        <x:f>'기준스탯 72종'!D23*G400</x:f>
        <x:v>1.6799999999999997</x:v>
      </x:c>
      <x:c r="S400" s="15" t="n">
        <x:f>'기준스탯 72종'!E23*G400</x:f>
        <x:v>1.9599999999999997</x:v>
      </x:c>
      <x:c r="T400" s="15" t="n">
        <x:f>'기준스탯 72종'!F23*G400</x:f>
        <x:v>2.5199999999999996</x:v>
      </x:c>
      <x:c r="U400" s="15" t="n">
        <x:f>'기준스탯 72종'!G23*G400</x:f>
        <x:v>2.5199999999999996</x:v>
      </x:c>
      <x:c r="V400" s="15" t="n">
        <x:f>'기준스탯 72종'!H23*G400</x:f>
        <x:v>0.8399999999999999</x:v>
      </x:c>
      <x:c r="W400" s="15" t="n">
        <x:f>'기준스탯 72종'!I23*G400</x:f>
        <x:v>0.8399999999999999</x:v>
      </x:c>
      <x:c r="X400" s="15" t="n">
        <x:f>'기준스탯 72종'!J23*G400</x:f>
        <x:v>1.9599999999999997</x:v>
      </x:c>
      <x:c r="Y400" s="15" t="n">
        <x:f>'기준스탯 72종'!K23*G400</x:f>
        <x:v>0.8399999999999999</x:v>
      </x:c>
      <x:c r="Z400" s="15" t="n">
        <x:f>'기준스탯 72종'!D23*H400</x:f>
        <x:v>0.3600000000000001</x:v>
      </x:c>
      <x:c r="AA400" s="15" t="n">
        <x:f>'기준스탯 72종'!E23*H400</x:f>
        <x:v>0.4200000000000001</x:v>
      </x:c>
      <x:c r="AB400" s="15" t="n">
        <x:f>'기준스탯 72종'!F23*H400</x:f>
        <x:v>0.5400000000000001</x:v>
      </x:c>
      <x:c r="AC400" s="15" t="n">
        <x:f>'기준스탯 72종'!G23*H400</x:f>
        <x:v>0.5400000000000001</x:v>
      </x:c>
      <x:c r="AD400" s="15" t="n">
        <x:f>'기준스탯 72종'!H23*H400</x:f>
        <x:v>0.18000000000000005</x:v>
      </x:c>
      <x:c r="AE400" s="15" t="n">
        <x:f>'기준스탯 72종'!I23*H400</x:f>
        <x:v>0.18000000000000005</x:v>
      </x:c>
      <x:c r="AF400" s="15" t="n">
        <x:f>'기준스탯 72종'!J23*H400</x:f>
        <x:v>0.4200000000000001</x:v>
      </x:c>
      <x:c r="AG400" s="15" t="n">
        <x:f>'기준스탯 72종'!K23*H400</x:f>
        <x:v>0.18000000000000005</x:v>
      </x:c>
    </x:row>
    <x:row r="401" ht="28" customHeight="1">
      <x:c r="A401" s="2" t="n">
        <x:v>394</x:v>
      </x:c>
      <x:c r="B401" s="2" t="n">
        <x:v>16</x:v>
      </x:c>
      <x:c r="C401" s="2" t="str">
        <x:v>쌍둥이자리</x:v>
      </x:c>
      <x:c r="D401" s="2" t="str">
        <x:v>정령사</x:v>
      </x:c>
      <x:c r="E401" s="2" t="n">
        <x:v>4</x:v>
      </x:c>
      <x:c r="F401" s="2" t="n">
        <x:v>4</x:v>
      </x:c>
      <x:c r="G401" s="14" t="n">
        <x:f>('레벨 계산식'!$E$4-E401)*'레벨 계산식'!$B$5</x:f>
        <x:v>0.13999999999999999</x:v>
      </x:c>
      <x:c r="H401" s="14" t="n">
        <x:f>('등급 계산식'!$E$4-F401)*'등급 계산식'!$B$5</x:f>
        <x:v>0.06000000000000001</x:v>
      </x:c>
      <x:c r="I401" s="14" t="n">
        <x:f>1-G401-H401</x:f>
        <x:v>0.7999999999999999</x:v>
      </x:c>
      <x:c r="J401" s="2" t="n">
        <x:f>MAX(1,ROUND('기준스탯 72종'!D23-R401-Z401,0))</x:f>
        <x:v>5</x:v>
      </x:c>
      <x:c r="K401" s="2" t="n">
        <x:f>MAX(1,ROUND('기준스탯 72종'!E23-S401-AA401,0))</x:f>
        <x:v>6</x:v>
      </x:c>
      <x:c r="L401" s="2" t="n">
        <x:f>MAX(1,ROUND('기준스탯 72종'!F23-T401-AB401,0))</x:f>
        <x:v>7</x:v>
      </x:c>
      <x:c r="M401" s="2" t="n">
        <x:f>MAX(1,ROUND('기준스탯 72종'!G23-U401-AC401,0))</x:f>
        <x:v>7</x:v>
      </x:c>
      <x:c r="N401" s="2" t="n">
        <x:f>MAX(0,ROUND('기준스탯 72종'!H23-V401-AD401,0))</x:f>
        <x:v>2</x:v>
      </x:c>
      <x:c r="O401" s="2" t="n">
        <x:f>MAX(0,ROUND('기준스탯 72종'!I23-W401-AE401,0))</x:f>
        <x:v>2</x:v>
      </x:c>
      <x:c r="P401" s="2" t="n">
        <x:f>MAX(0,ROUND('기준스탯 72종'!J23-X401-AF401,0))</x:f>
        <x:v>6</x:v>
      </x:c>
      <x:c r="Q401" s="2" t="n">
        <x:f>MAX(0,ROUND('기준스탯 72종'!K23-Y401-AG401,0))</x:f>
        <x:v>2</x:v>
      </x:c>
      <x:c r="R401" s="15" t="n">
        <x:f>'기준스탯 72종'!D23*G401</x:f>
        <x:v>0.8399999999999999</x:v>
      </x:c>
      <x:c r="S401" s="15" t="n">
        <x:f>'기준스탯 72종'!E23*G401</x:f>
        <x:v>0.9799999999999999</x:v>
      </x:c>
      <x:c r="T401" s="15" t="n">
        <x:f>'기준스탯 72종'!F23*G401</x:f>
        <x:v>1.2599999999999998</x:v>
      </x:c>
      <x:c r="U401" s="15" t="n">
        <x:f>'기준스탯 72종'!G23*G401</x:f>
        <x:v>1.2599999999999998</x:v>
      </x:c>
      <x:c r="V401" s="15" t="n">
        <x:f>'기준스탯 72종'!H23*G401</x:f>
        <x:v>0.41999999999999993</x:v>
      </x:c>
      <x:c r="W401" s="15" t="n">
        <x:f>'기준스탯 72종'!I23*G401</x:f>
        <x:v>0.41999999999999993</x:v>
      </x:c>
      <x:c r="X401" s="15" t="n">
        <x:f>'기준스탯 72종'!J23*G401</x:f>
        <x:v>0.9799999999999999</x:v>
      </x:c>
      <x:c r="Y401" s="15" t="n">
        <x:f>'기준스탯 72종'!K23*G401</x:f>
        <x:v>0.41999999999999993</x:v>
      </x:c>
      <x:c r="Z401" s="15" t="n">
        <x:f>'기준스탯 72종'!D23*H401</x:f>
        <x:v>0.3600000000000001</x:v>
      </x:c>
      <x:c r="AA401" s="15" t="n">
        <x:f>'기준스탯 72종'!E23*H401</x:f>
        <x:v>0.4200000000000001</x:v>
      </x:c>
      <x:c r="AB401" s="15" t="n">
        <x:f>'기준스탯 72종'!F23*H401</x:f>
        <x:v>0.5400000000000001</x:v>
      </x:c>
      <x:c r="AC401" s="15" t="n">
        <x:f>'기준스탯 72종'!G23*H401</x:f>
        <x:v>0.5400000000000001</x:v>
      </x:c>
      <x:c r="AD401" s="15" t="n">
        <x:f>'기준스탯 72종'!H23*H401</x:f>
        <x:v>0.18000000000000005</x:v>
      </x:c>
      <x:c r="AE401" s="15" t="n">
        <x:f>'기준스탯 72종'!I23*H401</x:f>
        <x:v>0.18000000000000005</x:v>
      </x:c>
      <x:c r="AF401" s="15" t="n">
        <x:f>'기준스탯 72종'!J23*H401</x:f>
        <x:v>0.4200000000000001</x:v>
      </x:c>
      <x:c r="AG401" s="15" t="n">
        <x:f>'기준스탯 72종'!K23*H401</x:f>
        <x:v>0.18000000000000005</x:v>
      </x:c>
    </x:row>
    <x:row r="402" ht="28" customHeight="1">
      <x:c r="A402" s="2" t="n">
        <x:v>395</x:v>
      </x:c>
      <x:c r="B402" s="2" t="n">
        <x:v>16</x:v>
      </x:c>
      <x:c r="C402" s="2" t="str">
        <x:v>쌍둥이자리</x:v>
      </x:c>
      <x:c r="D402" s="2" t="str">
        <x:v>정령사</x:v>
      </x:c>
      <x:c r="E402" s="2" t="n">
        <x:v>5</x:v>
      </x:c>
      <x:c r="F402" s="2" t="n">
        <x:v>4</x:v>
      </x:c>
      <x:c r="G402" s="14" t="n">
        <x:f>('레벨 계산식'!$E$4-E402)*'레벨 계산식'!$B$5</x:f>
        <x:v>0</x:v>
      </x:c>
      <x:c r="H402" s="14" t="n">
        <x:f>('등급 계산식'!$E$4-F402)*'등급 계산식'!$B$5</x:f>
        <x:v>0.06000000000000001</x:v>
      </x:c>
      <x:c r="I402" s="14" t="n">
        <x:f>1-G402-H402</x:f>
        <x:v>0.94</x:v>
      </x:c>
      <x:c r="J402" s="2" t="n">
        <x:f>MAX(1,ROUND('기준스탯 72종'!D23-R402-Z402,0))</x:f>
        <x:v>6</x:v>
      </x:c>
      <x:c r="K402" s="2" t="n">
        <x:f>MAX(1,ROUND('기준스탯 72종'!E23-S402-AA402,0))</x:f>
        <x:v>7</x:v>
      </x:c>
      <x:c r="L402" s="2" t="n">
        <x:f>MAX(1,ROUND('기준스탯 72종'!F23-T402-AB402,0))</x:f>
        <x:v>8</x:v>
      </x:c>
      <x:c r="M402" s="2" t="n">
        <x:f>MAX(1,ROUND('기준스탯 72종'!G23-U402-AC402,0))</x:f>
        <x:v>8</x:v>
      </x:c>
      <x:c r="N402" s="2" t="n">
        <x:f>MAX(0,ROUND('기준스탯 72종'!H23-V402-AD402,0))</x:f>
        <x:v>3</x:v>
      </x:c>
      <x:c r="O402" s="2" t="n">
        <x:f>MAX(0,ROUND('기준스탯 72종'!I23-W402-AE402,0))</x:f>
        <x:v>3</x:v>
      </x:c>
      <x:c r="P402" s="2" t="n">
        <x:f>MAX(0,ROUND('기준스탯 72종'!J23-X402-AF402,0))</x:f>
        <x:v>7</x:v>
      </x:c>
      <x:c r="Q402" s="2" t="n">
        <x:f>MAX(0,ROUND('기준스탯 72종'!K23-Y402-AG402,0))</x:f>
        <x:v>3</x:v>
      </x:c>
      <x:c r="R402" s="15" t="n">
        <x:f>'기준스탯 72종'!D23*G402</x:f>
        <x:v>0</x:v>
      </x:c>
      <x:c r="S402" s="15" t="n">
        <x:f>'기준스탯 72종'!E23*G402</x:f>
        <x:v>0</x:v>
      </x:c>
      <x:c r="T402" s="15" t="n">
        <x:f>'기준스탯 72종'!F23*G402</x:f>
        <x:v>0</x:v>
      </x:c>
      <x:c r="U402" s="15" t="n">
        <x:f>'기준스탯 72종'!G23*G402</x:f>
        <x:v>0</x:v>
      </x:c>
      <x:c r="V402" s="15" t="n">
        <x:f>'기준스탯 72종'!H23*G402</x:f>
        <x:v>0</x:v>
      </x:c>
      <x:c r="W402" s="15" t="n">
        <x:f>'기준스탯 72종'!I23*G402</x:f>
        <x:v>0</x:v>
      </x:c>
      <x:c r="X402" s="15" t="n">
        <x:f>'기준스탯 72종'!J23*G402</x:f>
        <x:v>0</x:v>
      </x:c>
      <x:c r="Y402" s="15" t="n">
        <x:f>'기준스탯 72종'!K23*G402</x:f>
        <x:v>0</x:v>
      </x:c>
      <x:c r="Z402" s="15" t="n">
        <x:f>'기준스탯 72종'!D23*H402</x:f>
        <x:v>0.3600000000000001</x:v>
      </x:c>
      <x:c r="AA402" s="15" t="n">
        <x:f>'기준스탯 72종'!E23*H402</x:f>
        <x:v>0.4200000000000001</x:v>
      </x:c>
      <x:c r="AB402" s="15" t="n">
        <x:f>'기준스탯 72종'!F23*H402</x:f>
        <x:v>0.5400000000000001</x:v>
      </x:c>
      <x:c r="AC402" s="15" t="n">
        <x:f>'기준스탯 72종'!G23*H402</x:f>
        <x:v>0.5400000000000001</x:v>
      </x:c>
      <x:c r="AD402" s="15" t="n">
        <x:f>'기준스탯 72종'!H23*H402</x:f>
        <x:v>0.18000000000000005</x:v>
      </x:c>
      <x:c r="AE402" s="15" t="n">
        <x:f>'기준스탯 72종'!I23*H402</x:f>
        <x:v>0.18000000000000005</x:v>
      </x:c>
      <x:c r="AF402" s="15" t="n">
        <x:f>'기준스탯 72종'!J23*H402</x:f>
        <x:v>0.4200000000000001</x:v>
      </x:c>
      <x:c r="AG402" s="15" t="n">
        <x:f>'기준스탯 72종'!K23*H402</x:f>
        <x:v>0.18000000000000005</x:v>
      </x:c>
    </x:row>
    <x:row r="403" ht="28" customHeight="1">
      <x:c r="A403" s="2" t="n">
        <x:v>396</x:v>
      </x:c>
      <x:c r="B403" s="2" t="n">
        <x:v>16</x:v>
      </x:c>
      <x:c r="C403" s="2" t="str">
        <x:v>쌍둥이자리</x:v>
      </x:c>
      <x:c r="D403" s="2" t="str">
        <x:v>정령사</x:v>
      </x:c>
      <x:c r="E403" s="2" t="n">
        <x:v>1</x:v>
      </x:c>
      <x:c r="F403" s="2" t="n">
        <x:v>5</x:v>
      </x:c>
      <x:c r="G403" s="14" t="n">
        <x:f>('레벨 계산식'!$E$4-E403)*'레벨 계산식'!$B$5</x:f>
        <x:v>0.5599999999999999</x:v>
      </x:c>
      <x:c r="H403" s="14" t="n">
        <x:f>('등급 계산식'!$E$4-F403)*'등급 계산식'!$B$5</x:f>
        <x:v>0</x:v>
      </x:c>
      <x:c r="I403" s="14" t="n">
        <x:f>1-G403-H403</x:f>
        <x:v>0.44000000000000006</x:v>
      </x:c>
      <x:c r="J403" s="2" t="n">
        <x:f>MAX(1,ROUND('기준스탯 72종'!D23-R403-Z403,0))</x:f>
        <x:v>3</x:v>
      </x:c>
      <x:c r="K403" s="2" t="n">
        <x:f>MAX(1,ROUND('기준스탯 72종'!E23-S403-AA403,0))</x:f>
        <x:v>3</x:v>
      </x:c>
      <x:c r="L403" s="2" t="n">
        <x:f>MAX(1,ROUND('기준스탯 72종'!F23-T403-AB403,0))</x:f>
        <x:v>4</x:v>
      </x:c>
      <x:c r="M403" s="2" t="n">
        <x:f>MAX(1,ROUND('기준스탯 72종'!G23-U403-AC403,0))</x:f>
        <x:v>4</x:v>
      </x:c>
      <x:c r="N403" s="2" t="n">
        <x:f>MAX(0,ROUND('기준스탯 72종'!H23-V403-AD403,0))</x:f>
        <x:v>1</x:v>
      </x:c>
      <x:c r="O403" s="2" t="n">
        <x:f>MAX(0,ROUND('기준스탯 72종'!I23-W403-AE403,0))</x:f>
        <x:v>1</x:v>
      </x:c>
      <x:c r="P403" s="2" t="n">
        <x:f>MAX(0,ROUND('기준스탯 72종'!J23-X403-AF403,0))</x:f>
        <x:v>3</x:v>
      </x:c>
      <x:c r="Q403" s="2" t="n">
        <x:f>MAX(0,ROUND('기준스탯 72종'!K23-Y403-AG403,0))</x:f>
        <x:v>1</x:v>
      </x:c>
      <x:c r="R403" s="15" t="n">
        <x:f>'기준스탯 72종'!D23*G403</x:f>
        <x:v>3.3599999999999994</x:v>
      </x:c>
      <x:c r="S403" s="15" t="n">
        <x:f>'기준스탯 72종'!E23*G403</x:f>
        <x:v>3.9199999999999995</x:v>
      </x:c>
      <x:c r="T403" s="15" t="n">
        <x:f>'기준스탯 72종'!F23*G403</x:f>
        <x:v>5.039999999999999</x:v>
      </x:c>
      <x:c r="U403" s="15" t="n">
        <x:f>'기준스탯 72종'!G23*G403</x:f>
        <x:v>5.039999999999999</x:v>
      </x:c>
      <x:c r="V403" s="15" t="n">
        <x:f>'기준스탯 72종'!H23*G403</x:f>
        <x:v>1.6799999999999997</x:v>
      </x:c>
      <x:c r="W403" s="15" t="n">
        <x:f>'기준스탯 72종'!I23*G403</x:f>
        <x:v>1.6799999999999997</x:v>
      </x:c>
      <x:c r="X403" s="15" t="n">
        <x:f>'기준스탯 72종'!J23*G403</x:f>
        <x:v>3.9199999999999995</x:v>
      </x:c>
      <x:c r="Y403" s="15" t="n">
        <x:f>'기준스탯 72종'!K23*G403</x:f>
        <x:v>1.6799999999999997</x:v>
      </x:c>
      <x:c r="Z403" s="15" t="n">
        <x:f>'기준스탯 72종'!D23*H403</x:f>
        <x:v>0</x:v>
      </x:c>
      <x:c r="AA403" s="15" t="n">
        <x:f>'기준스탯 72종'!E23*H403</x:f>
        <x:v>0</x:v>
      </x:c>
      <x:c r="AB403" s="15" t="n">
        <x:f>'기준스탯 72종'!F23*H403</x:f>
        <x:v>0</x:v>
      </x:c>
      <x:c r="AC403" s="15" t="n">
        <x:f>'기준스탯 72종'!G23*H403</x:f>
        <x:v>0</x:v>
      </x:c>
      <x:c r="AD403" s="15" t="n">
        <x:f>'기준스탯 72종'!H23*H403</x:f>
        <x:v>0</x:v>
      </x:c>
      <x:c r="AE403" s="15" t="n">
        <x:f>'기준스탯 72종'!I23*H403</x:f>
        <x:v>0</x:v>
      </x:c>
      <x:c r="AF403" s="15" t="n">
        <x:f>'기준스탯 72종'!J23*H403</x:f>
        <x:v>0</x:v>
      </x:c>
      <x:c r="AG403" s="15" t="n">
        <x:f>'기준스탯 72종'!K23*H403</x:f>
        <x:v>0</x:v>
      </x:c>
    </x:row>
    <x:row r="404" ht="28" customHeight="1">
      <x:c r="A404" s="2" t="n">
        <x:v>397</x:v>
      </x:c>
      <x:c r="B404" s="2" t="n">
        <x:v>16</x:v>
      </x:c>
      <x:c r="C404" s="2" t="str">
        <x:v>쌍둥이자리</x:v>
      </x:c>
      <x:c r="D404" s="2" t="str">
        <x:v>정령사</x:v>
      </x:c>
      <x:c r="E404" s="2" t="n">
        <x:v>2</x:v>
      </x:c>
      <x:c r="F404" s="2" t="n">
        <x:v>5</x:v>
      </x:c>
      <x:c r="G404" s="14" t="n">
        <x:f>('레벨 계산식'!$E$4-E404)*'레벨 계산식'!$B$5</x:f>
        <x:v>0.41999999999999993</x:v>
      </x:c>
      <x:c r="H404" s="14" t="n">
        <x:f>('등급 계산식'!$E$4-F404)*'등급 계산식'!$B$5</x:f>
        <x:v>0</x:v>
      </x:c>
      <x:c r="I404" s="14" t="n">
        <x:f>1-G404-H404</x:f>
        <x:v>0.5800000000000001</x:v>
      </x:c>
      <x:c r="J404" s="2" t="n">
        <x:f>MAX(1,ROUND('기준스탯 72종'!D23-R404-Z404,0))</x:f>
        <x:v>3</x:v>
      </x:c>
      <x:c r="K404" s="2" t="n">
        <x:f>MAX(1,ROUND('기준스탯 72종'!E23-S404-AA404,0))</x:f>
        <x:v>4</x:v>
      </x:c>
      <x:c r="L404" s="2" t="n">
        <x:f>MAX(1,ROUND('기준스탯 72종'!F23-T404-AB404,0))</x:f>
        <x:v>5</x:v>
      </x:c>
      <x:c r="M404" s="2" t="n">
        <x:f>MAX(1,ROUND('기준스탯 72종'!G23-U404-AC404,0))</x:f>
        <x:v>5</x:v>
      </x:c>
      <x:c r="N404" s="2" t="n">
        <x:f>MAX(0,ROUND('기준스탯 72종'!H23-V404-AD404,0))</x:f>
        <x:v>2</x:v>
      </x:c>
      <x:c r="O404" s="2" t="n">
        <x:f>MAX(0,ROUND('기준스탯 72종'!I23-W404-AE404,0))</x:f>
        <x:v>2</x:v>
      </x:c>
      <x:c r="P404" s="2" t="n">
        <x:f>MAX(0,ROUND('기준스탯 72종'!J23-X404-AF404,0))</x:f>
        <x:v>4</x:v>
      </x:c>
      <x:c r="Q404" s="2" t="n">
        <x:f>MAX(0,ROUND('기준스탯 72종'!K23-Y404-AG404,0))</x:f>
        <x:v>2</x:v>
      </x:c>
      <x:c r="R404" s="15" t="n">
        <x:f>'기준스탯 72종'!D23*G404</x:f>
        <x:v>2.5199999999999996</x:v>
      </x:c>
      <x:c r="S404" s="15" t="n">
        <x:f>'기준스탯 72종'!E23*G404</x:f>
        <x:v>2.9399999999999995</x:v>
      </x:c>
      <x:c r="T404" s="15" t="n">
        <x:f>'기준스탯 72종'!F23*G404</x:f>
        <x:v>3.7799999999999994</x:v>
      </x:c>
      <x:c r="U404" s="15" t="n">
        <x:f>'기준스탯 72종'!G23*G404</x:f>
        <x:v>3.7799999999999994</x:v>
      </x:c>
      <x:c r="V404" s="15" t="n">
        <x:f>'기준스탯 72종'!H23*G404</x:f>
        <x:v>1.2599999999999998</x:v>
      </x:c>
      <x:c r="W404" s="15" t="n">
        <x:f>'기준스탯 72종'!I23*G404</x:f>
        <x:v>1.2599999999999998</x:v>
      </x:c>
      <x:c r="X404" s="15" t="n">
        <x:f>'기준스탯 72종'!J23*G404</x:f>
        <x:v>2.9399999999999995</x:v>
      </x:c>
      <x:c r="Y404" s="15" t="n">
        <x:f>'기준스탯 72종'!K23*G404</x:f>
        <x:v>1.2599999999999998</x:v>
      </x:c>
      <x:c r="Z404" s="15" t="n">
        <x:f>'기준스탯 72종'!D23*H404</x:f>
        <x:v>0</x:v>
      </x:c>
      <x:c r="AA404" s="15" t="n">
        <x:f>'기준스탯 72종'!E23*H404</x:f>
        <x:v>0</x:v>
      </x:c>
      <x:c r="AB404" s="15" t="n">
        <x:f>'기준스탯 72종'!F23*H404</x:f>
        <x:v>0</x:v>
      </x:c>
      <x:c r="AC404" s="15" t="n">
        <x:f>'기준스탯 72종'!G23*H404</x:f>
        <x:v>0</x:v>
      </x:c>
      <x:c r="AD404" s="15" t="n">
        <x:f>'기준스탯 72종'!H23*H404</x:f>
        <x:v>0</x:v>
      </x:c>
      <x:c r="AE404" s="15" t="n">
        <x:f>'기준스탯 72종'!I23*H404</x:f>
        <x:v>0</x:v>
      </x:c>
      <x:c r="AF404" s="15" t="n">
        <x:f>'기준스탯 72종'!J23*H404</x:f>
        <x:v>0</x:v>
      </x:c>
      <x:c r="AG404" s="15" t="n">
        <x:f>'기준스탯 72종'!K23*H404</x:f>
        <x:v>0</x:v>
      </x:c>
    </x:row>
    <x:row r="405" ht="28" customHeight="1">
      <x:c r="A405" s="2" t="n">
        <x:v>398</x:v>
      </x:c>
      <x:c r="B405" s="2" t="n">
        <x:v>16</x:v>
      </x:c>
      <x:c r="C405" s="2" t="str">
        <x:v>쌍둥이자리</x:v>
      </x:c>
      <x:c r="D405" s="2" t="str">
        <x:v>정령사</x:v>
      </x:c>
      <x:c r="E405" s="2" t="n">
        <x:v>3</x:v>
      </x:c>
      <x:c r="F405" s="2" t="n">
        <x:v>5</x:v>
      </x:c>
      <x:c r="G405" s="14" t="n">
        <x:f>('레벨 계산식'!$E$4-E405)*'레벨 계산식'!$B$5</x:f>
        <x:v>0.27999999999999997</x:v>
      </x:c>
      <x:c r="H405" s="14" t="n">
        <x:f>('등급 계산식'!$E$4-F405)*'등급 계산식'!$B$5</x:f>
        <x:v>0</x:v>
      </x:c>
      <x:c r="I405" s="14" t="n">
        <x:f>1-G405-H405</x:f>
        <x:v>0.72</x:v>
      </x:c>
      <x:c r="J405" s="2" t="n">
        <x:f>MAX(1,ROUND('기준스탯 72종'!D23-R405-Z405,0))</x:f>
        <x:v>4</x:v>
      </x:c>
      <x:c r="K405" s="2" t="n">
        <x:f>MAX(1,ROUND('기준스탯 72종'!E23-S405-AA405,0))</x:f>
        <x:v>5</x:v>
      </x:c>
      <x:c r="L405" s="2" t="n">
        <x:f>MAX(1,ROUND('기준스탯 72종'!F23-T405-AB405,0))</x:f>
        <x:v>6</x:v>
      </x:c>
      <x:c r="M405" s="2" t="n">
        <x:f>MAX(1,ROUND('기준스탯 72종'!G23-U405-AC405,0))</x:f>
        <x:v>6</x:v>
      </x:c>
      <x:c r="N405" s="2" t="n">
        <x:f>MAX(0,ROUND('기준스탯 72종'!H23-V405-AD405,0))</x:f>
        <x:v>2</x:v>
      </x:c>
      <x:c r="O405" s="2" t="n">
        <x:f>MAX(0,ROUND('기준스탯 72종'!I23-W405-AE405,0))</x:f>
        <x:v>2</x:v>
      </x:c>
      <x:c r="P405" s="2" t="n">
        <x:f>MAX(0,ROUND('기준스탯 72종'!J23-X405-AF405,0))</x:f>
        <x:v>5</x:v>
      </x:c>
      <x:c r="Q405" s="2" t="n">
        <x:f>MAX(0,ROUND('기준스탯 72종'!K23-Y405-AG405,0))</x:f>
        <x:v>2</x:v>
      </x:c>
      <x:c r="R405" s="15" t="n">
        <x:f>'기준스탯 72종'!D23*G405</x:f>
        <x:v>1.6799999999999997</x:v>
      </x:c>
      <x:c r="S405" s="15" t="n">
        <x:f>'기준스탯 72종'!E23*G405</x:f>
        <x:v>1.9599999999999997</x:v>
      </x:c>
      <x:c r="T405" s="15" t="n">
        <x:f>'기준스탯 72종'!F23*G405</x:f>
        <x:v>2.5199999999999996</x:v>
      </x:c>
      <x:c r="U405" s="15" t="n">
        <x:f>'기준스탯 72종'!G23*G405</x:f>
        <x:v>2.5199999999999996</x:v>
      </x:c>
      <x:c r="V405" s="15" t="n">
        <x:f>'기준스탯 72종'!H23*G405</x:f>
        <x:v>0.8399999999999999</x:v>
      </x:c>
      <x:c r="W405" s="15" t="n">
        <x:f>'기준스탯 72종'!I23*G405</x:f>
        <x:v>0.8399999999999999</x:v>
      </x:c>
      <x:c r="X405" s="15" t="n">
        <x:f>'기준스탯 72종'!J23*G405</x:f>
        <x:v>1.9599999999999997</x:v>
      </x:c>
      <x:c r="Y405" s="15" t="n">
        <x:f>'기준스탯 72종'!K23*G405</x:f>
        <x:v>0.8399999999999999</x:v>
      </x:c>
      <x:c r="Z405" s="15" t="n">
        <x:f>'기준스탯 72종'!D23*H405</x:f>
        <x:v>0</x:v>
      </x:c>
      <x:c r="AA405" s="15" t="n">
        <x:f>'기준스탯 72종'!E23*H405</x:f>
        <x:v>0</x:v>
      </x:c>
      <x:c r="AB405" s="15" t="n">
        <x:f>'기준스탯 72종'!F23*H405</x:f>
        <x:v>0</x:v>
      </x:c>
      <x:c r="AC405" s="15" t="n">
        <x:f>'기준스탯 72종'!G23*H405</x:f>
        <x:v>0</x:v>
      </x:c>
      <x:c r="AD405" s="15" t="n">
        <x:f>'기준스탯 72종'!H23*H405</x:f>
        <x:v>0</x:v>
      </x:c>
      <x:c r="AE405" s="15" t="n">
        <x:f>'기준스탯 72종'!I23*H405</x:f>
        <x:v>0</x:v>
      </x:c>
      <x:c r="AF405" s="15" t="n">
        <x:f>'기준스탯 72종'!J23*H405</x:f>
        <x:v>0</x:v>
      </x:c>
      <x:c r="AG405" s="15" t="n">
        <x:f>'기준스탯 72종'!K23*H405</x:f>
        <x:v>0</x:v>
      </x:c>
    </x:row>
    <x:row r="406" ht="28" customHeight="1">
      <x:c r="A406" s="2" t="n">
        <x:v>399</x:v>
      </x:c>
      <x:c r="B406" s="2" t="n">
        <x:v>16</x:v>
      </x:c>
      <x:c r="C406" s="2" t="str">
        <x:v>쌍둥이자리</x:v>
      </x:c>
      <x:c r="D406" s="2" t="str">
        <x:v>정령사</x:v>
      </x:c>
      <x:c r="E406" s="2" t="n">
        <x:v>4</x:v>
      </x:c>
      <x:c r="F406" s="2" t="n">
        <x:v>5</x:v>
      </x:c>
      <x:c r="G406" s="14" t="n">
        <x:f>('레벨 계산식'!$E$4-E406)*'레벨 계산식'!$B$5</x:f>
        <x:v>0.13999999999999999</x:v>
      </x:c>
      <x:c r="H406" s="14" t="n">
        <x:f>('등급 계산식'!$E$4-F406)*'등급 계산식'!$B$5</x:f>
        <x:v>0</x:v>
      </x:c>
      <x:c r="I406" s="14" t="n">
        <x:f>1-G406-H406</x:f>
        <x:v>0.86</x:v>
      </x:c>
      <x:c r="J406" s="2" t="n">
        <x:f>MAX(1,ROUND('기준스탯 72종'!D23-R406-Z406,0))</x:f>
        <x:v>5</x:v>
      </x:c>
      <x:c r="K406" s="2" t="n">
        <x:f>MAX(1,ROUND('기준스탯 72종'!E23-S406-AA406,0))</x:f>
        <x:v>6</x:v>
      </x:c>
      <x:c r="L406" s="2" t="n">
        <x:f>MAX(1,ROUND('기준스탯 72종'!F23-T406-AB406,0))</x:f>
        <x:v>8</x:v>
      </x:c>
      <x:c r="M406" s="2" t="n">
        <x:f>MAX(1,ROUND('기준스탯 72종'!G23-U406-AC406,0))</x:f>
        <x:v>8</x:v>
      </x:c>
      <x:c r="N406" s="2" t="n">
        <x:f>MAX(0,ROUND('기준스탯 72종'!H23-V406-AD406,0))</x:f>
        <x:v>3</x:v>
      </x:c>
      <x:c r="O406" s="2" t="n">
        <x:f>MAX(0,ROUND('기준스탯 72종'!I23-W406-AE406,0))</x:f>
        <x:v>3</x:v>
      </x:c>
      <x:c r="P406" s="2" t="n">
        <x:f>MAX(0,ROUND('기준스탯 72종'!J23-X406-AF406,0))</x:f>
        <x:v>6</x:v>
      </x:c>
      <x:c r="Q406" s="2" t="n">
        <x:f>MAX(0,ROUND('기준스탯 72종'!K23-Y406-AG406,0))</x:f>
        <x:v>3</x:v>
      </x:c>
      <x:c r="R406" s="15" t="n">
        <x:f>'기준스탯 72종'!D23*G406</x:f>
        <x:v>0.8399999999999999</x:v>
      </x:c>
      <x:c r="S406" s="15" t="n">
        <x:f>'기준스탯 72종'!E23*G406</x:f>
        <x:v>0.9799999999999999</x:v>
      </x:c>
      <x:c r="T406" s="15" t="n">
        <x:f>'기준스탯 72종'!F23*G406</x:f>
        <x:v>1.2599999999999998</x:v>
      </x:c>
      <x:c r="U406" s="15" t="n">
        <x:f>'기준스탯 72종'!G23*G406</x:f>
        <x:v>1.2599999999999998</x:v>
      </x:c>
      <x:c r="V406" s="15" t="n">
        <x:f>'기준스탯 72종'!H23*G406</x:f>
        <x:v>0.41999999999999993</x:v>
      </x:c>
      <x:c r="W406" s="15" t="n">
        <x:f>'기준스탯 72종'!I23*G406</x:f>
        <x:v>0.41999999999999993</x:v>
      </x:c>
      <x:c r="X406" s="15" t="n">
        <x:f>'기준스탯 72종'!J23*G406</x:f>
        <x:v>0.9799999999999999</x:v>
      </x:c>
      <x:c r="Y406" s="15" t="n">
        <x:f>'기준스탯 72종'!K23*G406</x:f>
        <x:v>0.41999999999999993</x:v>
      </x:c>
      <x:c r="Z406" s="15" t="n">
        <x:f>'기준스탯 72종'!D23*H406</x:f>
        <x:v>0</x:v>
      </x:c>
      <x:c r="AA406" s="15" t="n">
        <x:f>'기준스탯 72종'!E23*H406</x:f>
        <x:v>0</x:v>
      </x:c>
      <x:c r="AB406" s="15" t="n">
        <x:f>'기준스탯 72종'!F23*H406</x:f>
        <x:v>0</x:v>
      </x:c>
      <x:c r="AC406" s="15" t="n">
        <x:f>'기준스탯 72종'!G23*H406</x:f>
        <x:v>0</x:v>
      </x:c>
      <x:c r="AD406" s="15" t="n">
        <x:f>'기준스탯 72종'!H23*H406</x:f>
        <x:v>0</x:v>
      </x:c>
      <x:c r="AE406" s="15" t="n">
        <x:f>'기준스탯 72종'!I23*H406</x:f>
        <x:v>0</x:v>
      </x:c>
      <x:c r="AF406" s="15" t="n">
        <x:f>'기준스탯 72종'!J23*H406</x:f>
        <x:v>0</x:v>
      </x:c>
      <x:c r="AG406" s="15" t="n">
        <x:f>'기준스탯 72종'!K23*H406</x:f>
        <x:v>0</x:v>
      </x:c>
    </x:row>
    <x:row r="407" ht="28" customHeight="1">
      <x:c r="A407" s="2" t="n">
        <x:v>400</x:v>
      </x:c>
      <x:c r="B407" s="2" t="n">
        <x:v>16</x:v>
      </x:c>
      <x:c r="C407" s="2" t="str">
        <x:v>쌍둥이자리</x:v>
      </x:c>
      <x:c r="D407" s="2" t="str">
        <x:v>정령사</x:v>
      </x:c>
      <x:c r="E407" s="2" t="n">
        <x:v>5</x:v>
      </x:c>
      <x:c r="F407" s="2" t="n">
        <x:v>5</x:v>
      </x:c>
      <x:c r="G407" s="14" t="n">
        <x:f>('레벨 계산식'!$E$4-E407)*'레벨 계산식'!$B$5</x:f>
        <x:v>0</x:v>
      </x:c>
      <x:c r="H407" s="14" t="n">
        <x:f>('등급 계산식'!$E$4-F407)*'등급 계산식'!$B$5</x:f>
        <x:v>0</x:v>
      </x:c>
      <x:c r="I407" s="14" t="n">
        <x:f>1-G407-H407</x:f>
        <x:v>1</x:v>
      </x:c>
      <x:c r="J407" s="2" t="n">
        <x:f>MAX(1,ROUND('기준스탯 72종'!D23-R407-Z407,0))</x:f>
        <x:v>6</x:v>
      </x:c>
      <x:c r="K407" s="2" t="n">
        <x:f>MAX(1,ROUND('기준스탯 72종'!E23-S407-AA407,0))</x:f>
        <x:v>7</x:v>
      </x:c>
      <x:c r="L407" s="2" t="n">
        <x:f>MAX(1,ROUND('기준스탯 72종'!F23-T407-AB407,0))</x:f>
        <x:v>9</x:v>
      </x:c>
      <x:c r="M407" s="2" t="n">
        <x:f>MAX(1,ROUND('기준스탯 72종'!G23-U407-AC407,0))</x:f>
        <x:v>9</x:v>
      </x:c>
      <x:c r="N407" s="2" t="n">
        <x:f>MAX(0,ROUND('기준스탯 72종'!H23-V407-AD407,0))</x:f>
        <x:v>3</x:v>
      </x:c>
      <x:c r="O407" s="2" t="n">
        <x:f>MAX(0,ROUND('기준스탯 72종'!I23-W407-AE407,0))</x:f>
        <x:v>3</x:v>
      </x:c>
      <x:c r="P407" s="2" t="n">
        <x:f>MAX(0,ROUND('기준스탯 72종'!J23-X407-AF407,0))</x:f>
        <x:v>7</x:v>
      </x:c>
      <x:c r="Q407" s="2" t="n">
        <x:f>MAX(0,ROUND('기준스탯 72종'!K23-Y407-AG407,0))</x:f>
        <x:v>3</x:v>
      </x:c>
      <x:c r="R407" s="15" t="n">
        <x:f>'기준스탯 72종'!D23*G407</x:f>
        <x:v>0</x:v>
      </x:c>
      <x:c r="S407" s="15" t="n">
        <x:f>'기준스탯 72종'!E23*G407</x:f>
        <x:v>0</x:v>
      </x:c>
      <x:c r="T407" s="15" t="n">
        <x:f>'기준스탯 72종'!F23*G407</x:f>
        <x:v>0</x:v>
      </x:c>
      <x:c r="U407" s="15" t="n">
        <x:f>'기준스탯 72종'!G23*G407</x:f>
        <x:v>0</x:v>
      </x:c>
      <x:c r="V407" s="15" t="n">
        <x:f>'기준스탯 72종'!H23*G407</x:f>
        <x:v>0</x:v>
      </x:c>
      <x:c r="W407" s="15" t="n">
        <x:f>'기준스탯 72종'!I23*G407</x:f>
        <x:v>0</x:v>
      </x:c>
      <x:c r="X407" s="15" t="n">
        <x:f>'기준스탯 72종'!J23*G407</x:f>
        <x:v>0</x:v>
      </x:c>
      <x:c r="Y407" s="15" t="n">
        <x:f>'기준스탯 72종'!K23*G407</x:f>
        <x:v>0</x:v>
      </x:c>
      <x:c r="Z407" s="15" t="n">
        <x:f>'기준스탯 72종'!D23*H407</x:f>
        <x:v>0</x:v>
      </x:c>
      <x:c r="AA407" s="15" t="n">
        <x:f>'기준스탯 72종'!E23*H407</x:f>
        <x:v>0</x:v>
      </x:c>
      <x:c r="AB407" s="15" t="n">
        <x:f>'기준스탯 72종'!F23*H407</x:f>
        <x:v>0</x:v>
      </x:c>
      <x:c r="AC407" s="15" t="n">
        <x:f>'기준스탯 72종'!G23*H407</x:f>
        <x:v>0</x:v>
      </x:c>
      <x:c r="AD407" s="15" t="n">
        <x:f>'기준스탯 72종'!H23*H407</x:f>
        <x:v>0</x:v>
      </x:c>
      <x:c r="AE407" s="15" t="n">
        <x:f>'기준스탯 72종'!I23*H407</x:f>
        <x:v>0</x:v>
      </x:c>
      <x:c r="AF407" s="15" t="n">
        <x:f>'기준스탯 72종'!J23*H407</x:f>
        <x:v>0</x:v>
      </x:c>
      <x:c r="AG407" s="15" t="n">
        <x:f>'기준스탯 72종'!K23*H407</x:f>
        <x:v>0</x:v>
      </x:c>
    </x:row>
    <x:row r="408" ht="28" customHeight="1">
      <x:c r="A408" s="2" t="n">
        <x:v>401</x:v>
      </x:c>
      <x:c r="B408" s="2" t="n">
        <x:v>17</x:v>
      </x:c>
      <x:c r="C408" s="2" t="str">
        <x:v>쌍둥이자리</x:v>
      </x:c>
      <x:c r="D408" s="2" t="str">
        <x:v>도적</x:v>
      </x:c>
      <x:c r="E408" s="2" t="n">
        <x:v>1</x:v>
      </x:c>
      <x:c r="F408" s="2" t="n">
        <x:v>1</x:v>
      </x:c>
      <x:c r="G408" s="14" t="n">
        <x:f>('레벨 계산식'!$E$4-E408)*'레벨 계산식'!$B$5</x:f>
        <x:v>0.5599999999999999</x:v>
      </x:c>
      <x:c r="H408" s="14" t="n">
        <x:f>('등급 계산식'!$E$4-F408)*'등급 계산식'!$B$5</x:f>
        <x:v>0.24000000000000005</x:v>
      </x:c>
      <x:c r="I408" s="14" t="n">
        <x:f>1-G408-H408</x:f>
        <x:v>0.2</x:v>
      </x:c>
      <x:c r="J408" s="2" t="n">
        <x:f>MAX(1,ROUND('기준스탯 72종'!D24-R408-Z408,0))</x:f>
        <x:v>2</x:v>
      </x:c>
      <x:c r="K408" s="2" t="n">
        <x:f>MAX(1,ROUND('기준스탯 72종'!E24-S408-AA408,0))</x:f>
        <x:v>1</x:v>
      </x:c>
      <x:c r="L408" s="2" t="n">
        <x:f>MAX(1,ROUND('기준스탯 72종'!F24-T408-AB408,0))</x:f>
        <x:v>1</x:v>
      </x:c>
      <x:c r="M408" s="2" t="n">
        <x:f>MAX(1,ROUND('기준스탯 72종'!G24-U408-AC408,0))</x:f>
        <x:v>2</x:v>
      </x:c>
      <x:c r="N408" s="2" t="n">
        <x:f>MAX(0,ROUND('기준스탯 72종'!H24-V408-AD408,0))</x:f>
        <x:v>1</x:v>
      </x:c>
      <x:c r="O408" s="2" t="n">
        <x:f>MAX(0,ROUND('기준스탯 72종'!I24-W408-AE408,0))</x:f>
        <x:v>1</x:v>
      </x:c>
      <x:c r="P408" s="2" t="n">
        <x:f>MAX(0,ROUND('기준스탯 72종'!J24-X408-AF408,0))</x:f>
        <x:v>1</x:v>
      </x:c>
      <x:c r="Q408" s="2" t="n">
        <x:f>MAX(0,ROUND('기준스탯 72종'!K24-Y408-AG408,0))</x:f>
        <x:v>0</x:v>
      </x:c>
      <x:c r="R408" s="15" t="n">
        <x:f>'기준스탯 72종'!D24*G408</x:f>
        <x:v>4.4799999999999995</x:v>
      </x:c>
      <x:c r="S408" s="15" t="n">
        <x:f>'기준스탯 72종'!E24*G408</x:f>
        <x:v>2.8</x:v>
      </x:c>
      <x:c r="T408" s="15" t="n">
        <x:f>'기준스탯 72종'!F24*G408</x:f>
        <x:v>3.9199999999999995</x:v>
      </x:c>
      <x:c r="U408" s="15" t="n">
        <x:f>'기준스탯 72종'!G24*G408</x:f>
        <x:v>5.6</x:v>
      </x:c>
      <x:c r="V408" s="15" t="n">
        <x:f>'기준스탯 72종'!H24*G408</x:f>
        <x:v>2.8</x:v>
      </x:c>
      <x:c r="W408" s="15" t="n">
        <x:f>'기준스탯 72종'!I24*G408</x:f>
        <x:v>2.8</x:v>
      </x:c>
      <x:c r="X408" s="15" t="n">
        <x:f>'기준스탯 72종'!J24*G408</x:f>
        <x:v>2.8</x:v>
      </x:c>
      <x:c r="Y408" s="15" t="n">
        <x:f>'기준스탯 72종'!K24*G408</x:f>
        <x:v>0.5599999999999999</x:v>
      </x:c>
      <x:c r="Z408" s="15" t="n">
        <x:f>'기준스탯 72종'!D24*H408</x:f>
        <x:v>1.9200000000000004</x:v>
      </x:c>
      <x:c r="AA408" s="15" t="n">
        <x:f>'기준스탯 72종'!E24*H408</x:f>
        <x:v>1.2000000000000002</x:v>
      </x:c>
      <x:c r="AB408" s="15" t="n">
        <x:f>'기준스탯 72종'!F24*H408</x:f>
        <x:v>1.6800000000000004</x:v>
      </x:c>
      <x:c r="AC408" s="15" t="n">
        <x:f>'기준스탯 72종'!G24*H408</x:f>
        <x:v>2.4000000000000004</x:v>
      </x:c>
      <x:c r="AD408" s="15" t="n">
        <x:f>'기준스탯 72종'!H24*H408</x:f>
        <x:v>1.2000000000000002</x:v>
      </x:c>
      <x:c r="AE408" s="15" t="n">
        <x:f>'기준스탯 72종'!I24*H408</x:f>
        <x:v>1.2000000000000002</x:v>
      </x:c>
      <x:c r="AF408" s="15" t="n">
        <x:f>'기준스탯 72종'!J24*H408</x:f>
        <x:v>1.2000000000000002</x:v>
      </x:c>
      <x:c r="AG408" s="15" t="n">
        <x:f>'기준스탯 72종'!K24*H408</x:f>
        <x:v>0.24000000000000005</x:v>
      </x:c>
    </x:row>
    <x:row r="409" ht="28" customHeight="1">
      <x:c r="A409" s="2" t="n">
        <x:v>402</x:v>
      </x:c>
      <x:c r="B409" s="2" t="n">
        <x:v>17</x:v>
      </x:c>
      <x:c r="C409" s="2" t="str">
        <x:v>쌍둥이자리</x:v>
      </x:c>
      <x:c r="D409" s="2" t="str">
        <x:v>도적</x:v>
      </x:c>
      <x:c r="E409" s="2" t="n">
        <x:v>2</x:v>
      </x:c>
      <x:c r="F409" s="2" t="n">
        <x:v>1</x:v>
      </x:c>
      <x:c r="G409" s="14" t="n">
        <x:f>('레벨 계산식'!$E$4-E409)*'레벨 계산식'!$B$5</x:f>
        <x:v>0.41999999999999993</x:v>
      </x:c>
      <x:c r="H409" s="14" t="n">
        <x:f>('등급 계산식'!$E$4-F409)*'등급 계산식'!$B$5</x:f>
        <x:v>0.24000000000000005</x:v>
      </x:c>
      <x:c r="I409" s="14" t="n">
        <x:f>1-G409-H409</x:f>
        <x:v>0.34</x:v>
      </x:c>
      <x:c r="J409" s="2" t="n">
        <x:f>MAX(1,ROUND('기준스탯 72종'!D24-R409-Z409,0))</x:f>
        <x:v>3</x:v>
      </x:c>
      <x:c r="K409" s="2" t="n">
        <x:f>MAX(1,ROUND('기준스탯 72종'!E24-S409-AA409,0))</x:f>
        <x:v>2</x:v>
      </x:c>
      <x:c r="L409" s="2" t="n">
        <x:f>MAX(1,ROUND('기준스탯 72종'!F24-T409-AB409,0))</x:f>
        <x:v>2</x:v>
      </x:c>
      <x:c r="M409" s="2" t="n">
        <x:f>MAX(1,ROUND('기준스탯 72종'!G24-U409-AC409,0))</x:f>
        <x:v>3</x:v>
      </x:c>
      <x:c r="N409" s="2" t="n">
        <x:f>MAX(0,ROUND('기준스탯 72종'!H24-V409-AD409,0))</x:f>
        <x:v>2</x:v>
      </x:c>
      <x:c r="O409" s="2" t="n">
        <x:f>MAX(0,ROUND('기준스탯 72종'!I24-W409-AE409,0))</x:f>
        <x:v>2</x:v>
      </x:c>
      <x:c r="P409" s="2" t="n">
        <x:f>MAX(0,ROUND('기준스탯 72종'!J24-X409-AF409,0))</x:f>
        <x:v>2</x:v>
      </x:c>
      <x:c r="Q409" s="2" t="n">
        <x:f>MAX(0,ROUND('기준스탯 72종'!K24-Y409-AG409,0))</x:f>
        <x:v>0</x:v>
      </x:c>
      <x:c r="R409" s="15" t="n">
        <x:f>'기준스탯 72종'!D24*G409</x:f>
        <x:v>3.3599999999999994</x:v>
      </x:c>
      <x:c r="S409" s="15" t="n">
        <x:f>'기준스탯 72종'!E24*G409</x:f>
        <x:v>2.0999999999999996</x:v>
      </x:c>
      <x:c r="T409" s="15" t="n">
        <x:f>'기준스탯 72종'!F24*G409</x:f>
        <x:v>2.9399999999999995</x:v>
      </x:c>
      <x:c r="U409" s="15" t="n">
        <x:f>'기준스탯 72종'!G24*G409</x:f>
        <x:v>4.199999999999999</x:v>
      </x:c>
      <x:c r="V409" s="15" t="n">
        <x:f>'기준스탯 72종'!H24*G409</x:f>
        <x:v>2.0999999999999996</x:v>
      </x:c>
      <x:c r="W409" s="15" t="n">
        <x:f>'기준스탯 72종'!I24*G409</x:f>
        <x:v>2.0999999999999996</x:v>
      </x:c>
      <x:c r="X409" s="15" t="n">
        <x:f>'기준스탯 72종'!J24*G409</x:f>
        <x:v>2.0999999999999996</x:v>
      </x:c>
      <x:c r="Y409" s="15" t="n">
        <x:f>'기준스탯 72종'!K24*G409</x:f>
        <x:v>0.41999999999999993</x:v>
      </x:c>
      <x:c r="Z409" s="15" t="n">
        <x:f>'기준스탯 72종'!D24*H409</x:f>
        <x:v>1.9200000000000004</x:v>
      </x:c>
      <x:c r="AA409" s="15" t="n">
        <x:f>'기준스탯 72종'!E24*H409</x:f>
        <x:v>1.2000000000000002</x:v>
      </x:c>
      <x:c r="AB409" s="15" t="n">
        <x:f>'기준스탯 72종'!F24*H409</x:f>
        <x:v>1.6800000000000004</x:v>
      </x:c>
      <x:c r="AC409" s="15" t="n">
        <x:f>'기준스탯 72종'!G24*H409</x:f>
        <x:v>2.4000000000000004</x:v>
      </x:c>
      <x:c r="AD409" s="15" t="n">
        <x:f>'기준스탯 72종'!H24*H409</x:f>
        <x:v>1.2000000000000002</x:v>
      </x:c>
      <x:c r="AE409" s="15" t="n">
        <x:f>'기준스탯 72종'!I24*H409</x:f>
        <x:v>1.2000000000000002</x:v>
      </x:c>
      <x:c r="AF409" s="15" t="n">
        <x:f>'기준스탯 72종'!J24*H409</x:f>
        <x:v>1.2000000000000002</x:v>
      </x:c>
      <x:c r="AG409" s="15" t="n">
        <x:f>'기준스탯 72종'!K24*H409</x:f>
        <x:v>0.24000000000000005</x:v>
      </x:c>
    </x:row>
    <x:row r="410" ht="28" customHeight="1">
      <x:c r="A410" s="2" t="n">
        <x:v>403</x:v>
      </x:c>
      <x:c r="B410" s="2" t="n">
        <x:v>17</x:v>
      </x:c>
      <x:c r="C410" s="2" t="str">
        <x:v>쌍둥이자리</x:v>
      </x:c>
      <x:c r="D410" s="2" t="str">
        <x:v>도적</x:v>
      </x:c>
      <x:c r="E410" s="2" t="n">
        <x:v>3</x:v>
      </x:c>
      <x:c r="F410" s="2" t="n">
        <x:v>1</x:v>
      </x:c>
      <x:c r="G410" s="14" t="n">
        <x:f>('레벨 계산식'!$E$4-E410)*'레벨 계산식'!$B$5</x:f>
        <x:v>0.27999999999999997</x:v>
      </x:c>
      <x:c r="H410" s="14" t="n">
        <x:f>('등급 계산식'!$E$4-F410)*'등급 계산식'!$B$5</x:f>
        <x:v>0.24000000000000005</x:v>
      </x:c>
      <x:c r="I410" s="14" t="n">
        <x:f>1-G410-H410</x:f>
        <x:v>0.4799999999999999</x:v>
      </x:c>
      <x:c r="J410" s="2" t="n">
        <x:f>MAX(1,ROUND('기준스탯 72종'!D24-R410-Z410,0))</x:f>
        <x:v>4</x:v>
      </x:c>
      <x:c r="K410" s="2" t="n">
        <x:f>MAX(1,ROUND('기준스탯 72종'!E24-S410-AA410,0))</x:f>
        <x:v>2</x:v>
      </x:c>
      <x:c r="L410" s="2" t="n">
        <x:f>MAX(1,ROUND('기준스탯 72종'!F24-T410-AB410,0))</x:f>
        <x:v>3</x:v>
      </x:c>
      <x:c r="M410" s="2" t="n">
        <x:f>MAX(1,ROUND('기준스탯 72종'!G24-U410-AC410,0))</x:f>
        <x:v>5</x:v>
      </x:c>
      <x:c r="N410" s="2" t="n">
        <x:f>MAX(0,ROUND('기준스탯 72종'!H24-V410-AD410,0))</x:f>
        <x:v>2</x:v>
      </x:c>
      <x:c r="O410" s="2" t="n">
        <x:f>MAX(0,ROUND('기준스탯 72종'!I24-W410-AE410,0))</x:f>
        <x:v>2</x:v>
      </x:c>
      <x:c r="P410" s="2" t="n">
        <x:f>MAX(0,ROUND('기준스탯 72종'!J24-X410-AF410,0))</x:f>
        <x:v>2</x:v>
      </x:c>
      <x:c r="Q410" s="2" t="n">
        <x:f>MAX(0,ROUND('기준스탯 72종'!K24-Y410-AG410,0))</x:f>
        <x:v>0</x:v>
      </x:c>
      <x:c r="R410" s="15" t="n">
        <x:f>'기준스탯 72종'!D24*G410</x:f>
        <x:v>2.2399999999999998</x:v>
      </x:c>
      <x:c r="S410" s="15" t="n">
        <x:f>'기준스탯 72종'!E24*G410</x:f>
        <x:v>1.4</x:v>
      </x:c>
      <x:c r="T410" s="15" t="n">
        <x:f>'기준스탯 72종'!F24*G410</x:f>
        <x:v>1.9599999999999997</x:v>
      </x:c>
      <x:c r="U410" s="15" t="n">
        <x:f>'기준스탯 72종'!G24*G410</x:f>
        <x:v>2.8</x:v>
      </x:c>
      <x:c r="V410" s="15" t="n">
        <x:f>'기준스탯 72종'!H24*G410</x:f>
        <x:v>1.4</x:v>
      </x:c>
      <x:c r="W410" s="15" t="n">
        <x:f>'기준스탯 72종'!I24*G410</x:f>
        <x:v>1.4</x:v>
      </x:c>
      <x:c r="X410" s="15" t="n">
        <x:f>'기준스탯 72종'!J24*G410</x:f>
        <x:v>1.4</x:v>
      </x:c>
      <x:c r="Y410" s="15" t="n">
        <x:f>'기준스탯 72종'!K24*G410</x:f>
        <x:v>0.27999999999999997</x:v>
      </x:c>
      <x:c r="Z410" s="15" t="n">
        <x:f>'기준스탯 72종'!D24*H410</x:f>
        <x:v>1.9200000000000004</x:v>
      </x:c>
      <x:c r="AA410" s="15" t="n">
        <x:f>'기준스탯 72종'!E24*H410</x:f>
        <x:v>1.2000000000000002</x:v>
      </x:c>
      <x:c r="AB410" s="15" t="n">
        <x:f>'기준스탯 72종'!F24*H410</x:f>
        <x:v>1.6800000000000004</x:v>
      </x:c>
      <x:c r="AC410" s="15" t="n">
        <x:f>'기준스탯 72종'!G24*H410</x:f>
        <x:v>2.4000000000000004</x:v>
      </x:c>
      <x:c r="AD410" s="15" t="n">
        <x:f>'기준스탯 72종'!H24*H410</x:f>
        <x:v>1.2000000000000002</x:v>
      </x:c>
      <x:c r="AE410" s="15" t="n">
        <x:f>'기준스탯 72종'!I24*H410</x:f>
        <x:v>1.2000000000000002</x:v>
      </x:c>
      <x:c r="AF410" s="15" t="n">
        <x:f>'기준스탯 72종'!J24*H410</x:f>
        <x:v>1.2000000000000002</x:v>
      </x:c>
      <x:c r="AG410" s="15" t="n">
        <x:f>'기준스탯 72종'!K24*H410</x:f>
        <x:v>0.24000000000000005</x:v>
      </x:c>
    </x:row>
    <x:row r="411" ht="28" customHeight="1">
      <x:c r="A411" s="2" t="n">
        <x:v>404</x:v>
      </x:c>
      <x:c r="B411" s="2" t="n">
        <x:v>17</x:v>
      </x:c>
      <x:c r="C411" s="2" t="str">
        <x:v>쌍둥이자리</x:v>
      </x:c>
      <x:c r="D411" s="2" t="str">
        <x:v>도적</x:v>
      </x:c>
      <x:c r="E411" s="2" t="n">
        <x:v>4</x:v>
      </x:c>
      <x:c r="F411" s="2" t="n">
        <x:v>1</x:v>
      </x:c>
      <x:c r="G411" s="14" t="n">
        <x:f>('레벨 계산식'!$E$4-E411)*'레벨 계산식'!$B$5</x:f>
        <x:v>0.13999999999999999</x:v>
      </x:c>
      <x:c r="H411" s="14" t="n">
        <x:f>('등급 계산식'!$E$4-F411)*'등급 계산식'!$B$5</x:f>
        <x:v>0.24000000000000005</x:v>
      </x:c>
      <x:c r="I411" s="14" t="n">
        <x:f>1-G411-H411</x:f>
        <x:v>0.6199999999999999</x:v>
      </x:c>
      <x:c r="J411" s="2" t="n">
        <x:f>MAX(1,ROUND('기준스탯 72종'!D24-R411-Z411,0))</x:f>
        <x:v>5</x:v>
      </x:c>
      <x:c r="K411" s="2" t="n">
        <x:f>MAX(1,ROUND('기준스탯 72종'!E24-S411-AA411,0))</x:f>
        <x:v>3</x:v>
      </x:c>
      <x:c r="L411" s="2" t="n">
        <x:f>MAX(1,ROUND('기준스탯 72종'!F24-T411-AB411,0))</x:f>
        <x:v>4</x:v>
      </x:c>
      <x:c r="M411" s="2" t="n">
        <x:f>MAX(1,ROUND('기준스탯 72종'!G24-U411-AC411,0))</x:f>
        <x:v>6</x:v>
      </x:c>
      <x:c r="N411" s="2" t="n">
        <x:f>MAX(0,ROUND('기준스탯 72종'!H24-V411-AD411,0))</x:f>
        <x:v>3</x:v>
      </x:c>
      <x:c r="O411" s="2" t="n">
        <x:f>MAX(0,ROUND('기준스탯 72종'!I24-W411-AE411,0))</x:f>
        <x:v>3</x:v>
      </x:c>
      <x:c r="P411" s="2" t="n">
        <x:f>MAX(0,ROUND('기준스탯 72종'!J24-X411-AF411,0))</x:f>
        <x:v>3</x:v>
      </x:c>
      <x:c r="Q411" s="2" t="n">
        <x:f>MAX(0,ROUND('기준스탯 72종'!K24-Y411-AG411,0))</x:f>
        <x:v>1</x:v>
      </x:c>
      <x:c r="R411" s="15" t="n">
        <x:f>'기준스탯 72종'!D24*G411</x:f>
        <x:v>1.1199999999999999</x:v>
      </x:c>
      <x:c r="S411" s="15" t="n">
        <x:f>'기준스탯 72종'!E24*G411</x:f>
        <x:v>0.7</x:v>
      </x:c>
      <x:c r="T411" s="15" t="n">
        <x:f>'기준스탯 72종'!F24*G411</x:f>
        <x:v>0.9799999999999999</x:v>
      </x:c>
      <x:c r="U411" s="15" t="n">
        <x:f>'기준스탯 72종'!G24*G411</x:f>
        <x:v>1.4</x:v>
      </x:c>
      <x:c r="V411" s="15" t="n">
        <x:f>'기준스탯 72종'!H24*G411</x:f>
        <x:v>0.7</x:v>
      </x:c>
      <x:c r="W411" s="15" t="n">
        <x:f>'기준스탯 72종'!I24*G411</x:f>
        <x:v>0.7</x:v>
      </x:c>
      <x:c r="X411" s="15" t="n">
        <x:f>'기준스탯 72종'!J24*G411</x:f>
        <x:v>0.7</x:v>
      </x:c>
      <x:c r="Y411" s="15" t="n">
        <x:f>'기준스탯 72종'!K24*G411</x:f>
        <x:v>0.13999999999999999</x:v>
      </x:c>
      <x:c r="Z411" s="15" t="n">
        <x:f>'기준스탯 72종'!D24*H411</x:f>
        <x:v>1.9200000000000004</x:v>
      </x:c>
      <x:c r="AA411" s="15" t="n">
        <x:f>'기준스탯 72종'!E24*H411</x:f>
        <x:v>1.2000000000000002</x:v>
      </x:c>
      <x:c r="AB411" s="15" t="n">
        <x:f>'기준스탯 72종'!F24*H411</x:f>
        <x:v>1.6800000000000004</x:v>
      </x:c>
      <x:c r="AC411" s="15" t="n">
        <x:f>'기준스탯 72종'!G24*H411</x:f>
        <x:v>2.4000000000000004</x:v>
      </x:c>
      <x:c r="AD411" s="15" t="n">
        <x:f>'기준스탯 72종'!H24*H411</x:f>
        <x:v>1.2000000000000002</x:v>
      </x:c>
      <x:c r="AE411" s="15" t="n">
        <x:f>'기준스탯 72종'!I24*H411</x:f>
        <x:v>1.2000000000000002</x:v>
      </x:c>
      <x:c r="AF411" s="15" t="n">
        <x:f>'기준스탯 72종'!J24*H411</x:f>
        <x:v>1.2000000000000002</x:v>
      </x:c>
      <x:c r="AG411" s="15" t="n">
        <x:f>'기준스탯 72종'!K24*H411</x:f>
        <x:v>0.24000000000000005</x:v>
      </x:c>
    </x:row>
    <x:row r="412" ht="28" customHeight="1">
      <x:c r="A412" s="2" t="n">
        <x:v>405</x:v>
      </x:c>
      <x:c r="B412" s="2" t="n">
        <x:v>17</x:v>
      </x:c>
      <x:c r="C412" s="2" t="str">
        <x:v>쌍둥이자리</x:v>
      </x:c>
      <x:c r="D412" s="2" t="str">
        <x:v>도적</x:v>
      </x:c>
      <x:c r="E412" s="2" t="n">
        <x:v>5</x:v>
      </x:c>
      <x:c r="F412" s="2" t="n">
        <x:v>1</x:v>
      </x:c>
      <x:c r="G412" s="14" t="n">
        <x:f>('레벨 계산식'!$E$4-E412)*'레벨 계산식'!$B$5</x:f>
        <x:v>0</x:v>
      </x:c>
      <x:c r="H412" s="14" t="n">
        <x:f>('등급 계산식'!$E$4-F412)*'등급 계산식'!$B$5</x:f>
        <x:v>0.24000000000000005</x:v>
      </x:c>
      <x:c r="I412" s="14" t="n">
        <x:f>1-G412-H412</x:f>
        <x:v>0.76</x:v>
      </x:c>
      <x:c r="J412" s="2" t="n">
        <x:f>MAX(1,ROUND('기준스탯 72종'!D24-R412-Z412,0))</x:f>
        <x:v>6</x:v>
      </x:c>
      <x:c r="K412" s="2" t="n">
        <x:f>MAX(1,ROUND('기준스탯 72종'!E24-S412-AA412,0))</x:f>
        <x:v>4</x:v>
      </x:c>
      <x:c r="L412" s="2" t="n">
        <x:f>MAX(1,ROUND('기준스탯 72종'!F24-T412-AB412,0))</x:f>
        <x:v>5</x:v>
      </x:c>
      <x:c r="M412" s="2" t="n">
        <x:f>MAX(1,ROUND('기준스탯 72종'!G24-U412-AC412,0))</x:f>
        <x:v>8</x:v>
      </x:c>
      <x:c r="N412" s="2" t="n">
        <x:f>MAX(0,ROUND('기준스탯 72종'!H24-V412-AD412,0))</x:f>
        <x:v>4</x:v>
      </x:c>
      <x:c r="O412" s="2" t="n">
        <x:f>MAX(0,ROUND('기준스탯 72종'!I24-W412-AE412,0))</x:f>
        <x:v>4</x:v>
      </x:c>
      <x:c r="P412" s="2" t="n">
        <x:f>MAX(0,ROUND('기준스탯 72종'!J24-X412-AF412,0))</x:f>
        <x:v>4</x:v>
      </x:c>
      <x:c r="Q412" s="2" t="n">
        <x:f>MAX(0,ROUND('기준스탯 72종'!K24-Y412-AG412,0))</x:f>
        <x:v>1</x:v>
      </x:c>
      <x:c r="R412" s="15" t="n">
        <x:f>'기준스탯 72종'!D24*G412</x:f>
        <x:v>0</x:v>
      </x:c>
      <x:c r="S412" s="15" t="n">
        <x:f>'기준스탯 72종'!E24*G412</x:f>
        <x:v>0</x:v>
      </x:c>
      <x:c r="T412" s="15" t="n">
        <x:f>'기준스탯 72종'!F24*G412</x:f>
        <x:v>0</x:v>
      </x:c>
      <x:c r="U412" s="15" t="n">
        <x:f>'기준스탯 72종'!G24*G412</x:f>
        <x:v>0</x:v>
      </x:c>
      <x:c r="V412" s="15" t="n">
        <x:f>'기준스탯 72종'!H24*G412</x:f>
        <x:v>0</x:v>
      </x:c>
      <x:c r="W412" s="15" t="n">
        <x:f>'기준스탯 72종'!I24*G412</x:f>
        <x:v>0</x:v>
      </x:c>
      <x:c r="X412" s="15" t="n">
        <x:f>'기준스탯 72종'!J24*G412</x:f>
        <x:v>0</x:v>
      </x:c>
      <x:c r="Y412" s="15" t="n">
        <x:f>'기준스탯 72종'!K24*G412</x:f>
        <x:v>0</x:v>
      </x:c>
      <x:c r="Z412" s="15" t="n">
        <x:f>'기준스탯 72종'!D24*H412</x:f>
        <x:v>1.9200000000000004</x:v>
      </x:c>
      <x:c r="AA412" s="15" t="n">
        <x:f>'기준스탯 72종'!E24*H412</x:f>
        <x:v>1.2000000000000002</x:v>
      </x:c>
      <x:c r="AB412" s="15" t="n">
        <x:f>'기준스탯 72종'!F24*H412</x:f>
        <x:v>1.6800000000000004</x:v>
      </x:c>
      <x:c r="AC412" s="15" t="n">
        <x:f>'기준스탯 72종'!G24*H412</x:f>
        <x:v>2.4000000000000004</x:v>
      </x:c>
      <x:c r="AD412" s="15" t="n">
        <x:f>'기준스탯 72종'!H24*H412</x:f>
        <x:v>1.2000000000000002</x:v>
      </x:c>
      <x:c r="AE412" s="15" t="n">
        <x:f>'기준스탯 72종'!I24*H412</x:f>
        <x:v>1.2000000000000002</x:v>
      </x:c>
      <x:c r="AF412" s="15" t="n">
        <x:f>'기준스탯 72종'!J24*H412</x:f>
        <x:v>1.2000000000000002</x:v>
      </x:c>
      <x:c r="AG412" s="15" t="n">
        <x:f>'기준스탯 72종'!K24*H412</x:f>
        <x:v>0.24000000000000005</x:v>
      </x:c>
    </x:row>
    <x:row r="413" ht="28" customHeight="1">
      <x:c r="A413" s="2" t="n">
        <x:v>406</x:v>
      </x:c>
      <x:c r="B413" s="2" t="n">
        <x:v>17</x:v>
      </x:c>
      <x:c r="C413" s="2" t="str">
        <x:v>쌍둥이자리</x:v>
      </x:c>
      <x:c r="D413" s="2" t="str">
        <x:v>도적</x:v>
      </x:c>
      <x:c r="E413" s="2" t="n">
        <x:v>1</x:v>
      </x:c>
      <x:c r="F413" s="2" t="n">
        <x:v>2</x:v>
      </x:c>
      <x:c r="G413" s="14" t="n">
        <x:f>('레벨 계산식'!$E$4-E413)*'레벨 계산식'!$B$5</x:f>
        <x:v>0.5599999999999999</x:v>
      </x:c>
      <x:c r="H413" s="14" t="n">
        <x:f>('등급 계산식'!$E$4-F413)*'등급 계산식'!$B$5</x:f>
        <x:v>0.18000000000000005</x:v>
      </x:c>
      <x:c r="I413" s="14" t="n">
        <x:f>1-G413-H413</x:f>
        <x:v>0.26</x:v>
      </x:c>
      <x:c r="J413" s="2" t="n">
        <x:f>MAX(1,ROUND('기준스탯 72종'!D24-R413-Z413,0))</x:f>
        <x:v>2</x:v>
      </x:c>
      <x:c r="K413" s="2" t="n">
        <x:f>MAX(1,ROUND('기준스탯 72종'!E24-S413-AA413,0))</x:f>
        <x:v>1</x:v>
      </x:c>
      <x:c r="L413" s="2" t="n">
        <x:f>MAX(1,ROUND('기준스탯 72종'!F24-T413-AB413,0))</x:f>
        <x:v>2</x:v>
      </x:c>
      <x:c r="M413" s="2" t="n">
        <x:f>MAX(1,ROUND('기준스탯 72종'!G24-U413-AC413,0))</x:f>
        <x:v>3</x:v>
      </x:c>
      <x:c r="N413" s="2" t="n">
        <x:f>MAX(0,ROUND('기준스탯 72종'!H24-V413-AD413,0))</x:f>
        <x:v>1</x:v>
      </x:c>
      <x:c r="O413" s="2" t="n">
        <x:f>MAX(0,ROUND('기준스탯 72종'!I24-W413-AE413,0))</x:f>
        <x:v>1</x:v>
      </x:c>
      <x:c r="P413" s="2" t="n">
        <x:f>MAX(0,ROUND('기준스탯 72종'!J24-X413-AF413,0))</x:f>
        <x:v>1</x:v>
      </x:c>
      <x:c r="Q413" s="2" t="n">
        <x:f>MAX(0,ROUND('기준스탯 72종'!K24-Y413-AG413,0))</x:f>
        <x:v>0</x:v>
      </x:c>
      <x:c r="R413" s="15" t="n">
        <x:f>'기준스탯 72종'!D24*G413</x:f>
        <x:v>4.4799999999999995</x:v>
      </x:c>
      <x:c r="S413" s="15" t="n">
        <x:f>'기준스탯 72종'!E24*G413</x:f>
        <x:v>2.8</x:v>
      </x:c>
      <x:c r="T413" s="15" t="n">
        <x:f>'기준스탯 72종'!F24*G413</x:f>
        <x:v>3.9199999999999995</x:v>
      </x:c>
      <x:c r="U413" s="15" t="n">
        <x:f>'기준스탯 72종'!G24*G413</x:f>
        <x:v>5.6</x:v>
      </x:c>
      <x:c r="V413" s="15" t="n">
        <x:f>'기준스탯 72종'!H24*G413</x:f>
        <x:v>2.8</x:v>
      </x:c>
      <x:c r="W413" s="15" t="n">
        <x:f>'기준스탯 72종'!I24*G413</x:f>
        <x:v>2.8</x:v>
      </x:c>
      <x:c r="X413" s="15" t="n">
        <x:f>'기준스탯 72종'!J24*G413</x:f>
        <x:v>2.8</x:v>
      </x:c>
      <x:c r="Y413" s="15" t="n">
        <x:f>'기준스탯 72종'!K24*G413</x:f>
        <x:v>0.5599999999999999</x:v>
      </x:c>
      <x:c r="Z413" s="15" t="n">
        <x:f>'기준스탯 72종'!D24*H413</x:f>
        <x:v>1.4400000000000004</x:v>
      </x:c>
      <x:c r="AA413" s="15" t="n">
        <x:f>'기준스탯 72종'!E24*H413</x:f>
        <x:v>0.9000000000000002</x:v>
      </x:c>
      <x:c r="AB413" s="15" t="n">
        <x:f>'기준스탯 72종'!F24*H413</x:f>
        <x:v>1.2600000000000002</x:v>
      </x:c>
      <x:c r="AC413" s="15" t="n">
        <x:f>'기준스탯 72종'!G24*H413</x:f>
        <x:v>1.8000000000000005</x:v>
      </x:c>
      <x:c r="AD413" s="15" t="n">
        <x:f>'기준스탯 72종'!H24*H413</x:f>
        <x:v>0.9000000000000002</x:v>
      </x:c>
      <x:c r="AE413" s="15" t="n">
        <x:f>'기준스탯 72종'!I24*H413</x:f>
        <x:v>0.9000000000000002</x:v>
      </x:c>
      <x:c r="AF413" s="15" t="n">
        <x:f>'기준스탯 72종'!J24*H413</x:f>
        <x:v>0.9000000000000002</x:v>
      </x:c>
      <x:c r="AG413" s="15" t="n">
        <x:f>'기준스탯 72종'!K24*H413</x:f>
        <x:v>0.18000000000000005</x:v>
      </x:c>
    </x:row>
    <x:row r="414" ht="28" customHeight="1">
      <x:c r="A414" s="2" t="n">
        <x:v>407</x:v>
      </x:c>
      <x:c r="B414" s="2" t="n">
        <x:v>17</x:v>
      </x:c>
      <x:c r="C414" s="2" t="str">
        <x:v>쌍둥이자리</x:v>
      </x:c>
      <x:c r="D414" s="2" t="str">
        <x:v>도적</x:v>
      </x:c>
      <x:c r="E414" s="2" t="n">
        <x:v>2</x:v>
      </x:c>
      <x:c r="F414" s="2" t="n">
        <x:v>2</x:v>
      </x:c>
      <x:c r="G414" s="14" t="n">
        <x:f>('레벨 계산식'!$E$4-E414)*'레벨 계산식'!$B$5</x:f>
        <x:v>0.41999999999999993</x:v>
      </x:c>
      <x:c r="H414" s="14" t="n">
        <x:f>('등급 계산식'!$E$4-F414)*'등급 계산식'!$B$5</x:f>
        <x:v>0.18000000000000005</x:v>
      </x:c>
      <x:c r="I414" s="14" t="n">
        <x:f>1-G414-H414</x:f>
        <x:v>0.4</x:v>
      </x:c>
      <x:c r="J414" s="2" t="n">
        <x:f>MAX(1,ROUND('기준스탯 72종'!D24-R414-Z414,0))</x:f>
        <x:v>3</x:v>
      </x:c>
      <x:c r="K414" s="2" t="n">
        <x:f>MAX(1,ROUND('기준스탯 72종'!E24-S414-AA414,0))</x:f>
        <x:v>2</x:v>
      </x:c>
      <x:c r="L414" s="2" t="n">
        <x:f>MAX(1,ROUND('기준스탯 72종'!F24-T414-AB414,0))</x:f>
        <x:v>3</x:v>
      </x:c>
      <x:c r="M414" s="2" t="n">
        <x:f>MAX(1,ROUND('기준스탯 72종'!G24-U414-AC414,0))</x:f>
        <x:v>4</x:v>
      </x:c>
      <x:c r="N414" s="2" t="n">
        <x:f>MAX(0,ROUND('기준스탯 72종'!H24-V414-AD414,0))</x:f>
        <x:v>2</x:v>
      </x:c>
      <x:c r="O414" s="2" t="n">
        <x:f>MAX(0,ROUND('기준스탯 72종'!I24-W414-AE414,0))</x:f>
        <x:v>2</x:v>
      </x:c>
      <x:c r="P414" s="2" t="n">
        <x:f>MAX(0,ROUND('기준스탯 72종'!J24-X414-AF414,0))</x:f>
        <x:v>2</x:v>
      </x:c>
      <x:c r="Q414" s="2" t="n">
        <x:f>MAX(0,ROUND('기준스탯 72종'!K24-Y414-AG414,0))</x:f>
        <x:v>0</x:v>
      </x:c>
      <x:c r="R414" s="15" t="n">
        <x:f>'기준스탯 72종'!D24*G414</x:f>
        <x:v>3.3599999999999994</x:v>
      </x:c>
      <x:c r="S414" s="15" t="n">
        <x:f>'기준스탯 72종'!E24*G414</x:f>
        <x:v>2.0999999999999996</x:v>
      </x:c>
      <x:c r="T414" s="15" t="n">
        <x:f>'기준스탯 72종'!F24*G414</x:f>
        <x:v>2.9399999999999995</x:v>
      </x:c>
      <x:c r="U414" s="15" t="n">
        <x:f>'기준스탯 72종'!G24*G414</x:f>
        <x:v>4.199999999999999</x:v>
      </x:c>
      <x:c r="V414" s="15" t="n">
        <x:f>'기준스탯 72종'!H24*G414</x:f>
        <x:v>2.0999999999999996</x:v>
      </x:c>
      <x:c r="W414" s="15" t="n">
        <x:f>'기준스탯 72종'!I24*G414</x:f>
        <x:v>2.0999999999999996</x:v>
      </x:c>
      <x:c r="X414" s="15" t="n">
        <x:f>'기준스탯 72종'!J24*G414</x:f>
        <x:v>2.0999999999999996</x:v>
      </x:c>
      <x:c r="Y414" s="15" t="n">
        <x:f>'기준스탯 72종'!K24*G414</x:f>
        <x:v>0.41999999999999993</x:v>
      </x:c>
      <x:c r="Z414" s="15" t="n">
        <x:f>'기준스탯 72종'!D24*H414</x:f>
        <x:v>1.4400000000000004</x:v>
      </x:c>
      <x:c r="AA414" s="15" t="n">
        <x:f>'기준스탯 72종'!E24*H414</x:f>
        <x:v>0.9000000000000002</x:v>
      </x:c>
      <x:c r="AB414" s="15" t="n">
        <x:f>'기준스탯 72종'!F24*H414</x:f>
        <x:v>1.2600000000000002</x:v>
      </x:c>
      <x:c r="AC414" s="15" t="n">
        <x:f>'기준스탯 72종'!G24*H414</x:f>
        <x:v>1.8000000000000005</x:v>
      </x:c>
      <x:c r="AD414" s="15" t="n">
        <x:f>'기준스탯 72종'!H24*H414</x:f>
        <x:v>0.9000000000000002</x:v>
      </x:c>
      <x:c r="AE414" s="15" t="n">
        <x:f>'기준스탯 72종'!I24*H414</x:f>
        <x:v>0.9000000000000002</x:v>
      </x:c>
      <x:c r="AF414" s="15" t="n">
        <x:f>'기준스탯 72종'!J24*H414</x:f>
        <x:v>0.9000000000000002</x:v>
      </x:c>
      <x:c r="AG414" s="15" t="n">
        <x:f>'기준스탯 72종'!K24*H414</x:f>
        <x:v>0.18000000000000005</x:v>
      </x:c>
    </x:row>
    <x:row r="415" ht="28" customHeight="1">
      <x:c r="A415" s="2" t="n">
        <x:v>408</x:v>
      </x:c>
      <x:c r="B415" s="2" t="n">
        <x:v>17</x:v>
      </x:c>
      <x:c r="C415" s="2" t="str">
        <x:v>쌍둥이자리</x:v>
      </x:c>
      <x:c r="D415" s="2" t="str">
        <x:v>도적</x:v>
      </x:c>
      <x:c r="E415" s="2" t="n">
        <x:v>3</x:v>
      </x:c>
      <x:c r="F415" s="2" t="n">
        <x:v>2</x:v>
      </x:c>
      <x:c r="G415" s="14" t="n">
        <x:f>('레벨 계산식'!$E$4-E415)*'레벨 계산식'!$B$5</x:f>
        <x:v>0.27999999999999997</x:v>
      </x:c>
      <x:c r="H415" s="14" t="n">
        <x:f>('등급 계산식'!$E$4-F415)*'등급 계산식'!$B$5</x:f>
        <x:v>0.18000000000000005</x:v>
      </x:c>
      <x:c r="I415" s="14" t="n">
        <x:f>1-G415-H415</x:f>
        <x:v>0.5399999999999999</x:v>
      </x:c>
      <x:c r="J415" s="2" t="n">
        <x:f>MAX(1,ROUND('기준스탯 72종'!D24-R415-Z415,0))</x:f>
        <x:v>4</x:v>
      </x:c>
      <x:c r="K415" s="2" t="n">
        <x:f>MAX(1,ROUND('기준스탯 72종'!E24-S415-AA415,0))</x:f>
        <x:v>3</x:v>
      </x:c>
      <x:c r="L415" s="2" t="n">
        <x:f>MAX(1,ROUND('기준스탯 72종'!F24-T415-AB415,0))</x:f>
        <x:v>4</x:v>
      </x:c>
      <x:c r="M415" s="2" t="n">
        <x:f>MAX(1,ROUND('기준스탯 72종'!G24-U415-AC415,0))</x:f>
        <x:v>5</x:v>
      </x:c>
      <x:c r="N415" s="2" t="n">
        <x:f>MAX(0,ROUND('기준스탯 72종'!H24-V415-AD415,0))</x:f>
        <x:v>3</x:v>
      </x:c>
      <x:c r="O415" s="2" t="n">
        <x:f>MAX(0,ROUND('기준스탯 72종'!I24-W415-AE415,0))</x:f>
        <x:v>3</x:v>
      </x:c>
      <x:c r="P415" s="2" t="n">
        <x:f>MAX(0,ROUND('기준스탯 72종'!J24-X415-AF415,0))</x:f>
        <x:v>3</x:v>
      </x:c>
      <x:c r="Q415" s="2" t="n">
        <x:f>MAX(0,ROUND('기준스탯 72종'!K24-Y415-AG415,0))</x:f>
        <x:v>1</x:v>
      </x:c>
      <x:c r="R415" s="15" t="n">
        <x:f>'기준스탯 72종'!D24*G415</x:f>
        <x:v>2.2399999999999998</x:v>
      </x:c>
      <x:c r="S415" s="15" t="n">
        <x:f>'기준스탯 72종'!E24*G415</x:f>
        <x:v>1.4</x:v>
      </x:c>
      <x:c r="T415" s="15" t="n">
        <x:f>'기준스탯 72종'!F24*G415</x:f>
        <x:v>1.9599999999999997</x:v>
      </x:c>
      <x:c r="U415" s="15" t="n">
        <x:f>'기준스탯 72종'!G24*G415</x:f>
        <x:v>2.8</x:v>
      </x:c>
      <x:c r="V415" s="15" t="n">
        <x:f>'기준스탯 72종'!H24*G415</x:f>
        <x:v>1.4</x:v>
      </x:c>
      <x:c r="W415" s="15" t="n">
        <x:f>'기준스탯 72종'!I24*G415</x:f>
        <x:v>1.4</x:v>
      </x:c>
      <x:c r="X415" s="15" t="n">
        <x:f>'기준스탯 72종'!J24*G415</x:f>
        <x:v>1.4</x:v>
      </x:c>
      <x:c r="Y415" s="15" t="n">
        <x:f>'기준스탯 72종'!K24*G415</x:f>
        <x:v>0.27999999999999997</x:v>
      </x:c>
      <x:c r="Z415" s="15" t="n">
        <x:f>'기준스탯 72종'!D24*H415</x:f>
        <x:v>1.4400000000000004</x:v>
      </x:c>
      <x:c r="AA415" s="15" t="n">
        <x:f>'기준스탯 72종'!E24*H415</x:f>
        <x:v>0.9000000000000002</x:v>
      </x:c>
      <x:c r="AB415" s="15" t="n">
        <x:f>'기준스탯 72종'!F24*H415</x:f>
        <x:v>1.2600000000000002</x:v>
      </x:c>
      <x:c r="AC415" s="15" t="n">
        <x:f>'기준스탯 72종'!G24*H415</x:f>
        <x:v>1.8000000000000005</x:v>
      </x:c>
      <x:c r="AD415" s="15" t="n">
        <x:f>'기준스탯 72종'!H24*H415</x:f>
        <x:v>0.9000000000000002</x:v>
      </x:c>
      <x:c r="AE415" s="15" t="n">
        <x:f>'기준스탯 72종'!I24*H415</x:f>
        <x:v>0.9000000000000002</x:v>
      </x:c>
      <x:c r="AF415" s="15" t="n">
        <x:f>'기준스탯 72종'!J24*H415</x:f>
        <x:v>0.9000000000000002</x:v>
      </x:c>
      <x:c r="AG415" s="15" t="n">
        <x:f>'기준스탯 72종'!K24*H415</x:f>
        <x:v>0.18000000000000005</x:v>
      </x:c>
    </x:row>
    <x:row r="416" ht="28" customHeight="1">
      <x:c r="A416" s="2" t="n">
        <x:v>409</x:v>
      </x:c>
      <x:c r="B416" s="2" t="n">
        <x:v>17</x:v>
      </x:c>
      <x:c r="C416" s="2" t="str">
        <x:v>쌍둥이자리</x:v>
      </x:c>
      <x:c r="D416" s="2" t="str">
        <x:v>도적</x:v>
      </x:c>
      <x:c r="E416" s="2" t="n">
        <x:v>4</x:v>
      </x:c>
      <x:c r="F416" s="2" t="n">
        <x:v>2</x:v>
      </x:c>
      <x:c r="G416" s="14" t="n">
        <x:f>('레벨 계산식'!$E$4-E416)*'레벨 계산식'!$B$5</x:f>
        <x:v>0.13999999999999999</x:v>
      </x:c>
      <x:c r="H416" s="14" t="n">
        <x:f>('등급 계산식'!$E$4-F416)*'등급 계산식'!$B$5</x:f>
        <x:v>0.18000000000000005</x:v>
      </x:c>
      <x:c r="I416" s="14" t="n">
        <x:f>1-G416-H416</x:f>
        <x:v>0.6799999999999999</x:v>
      </x:c>
      <x:c r="J416" s="2" t="n">
        <x:f>MAX(1,ROUND('기준스탯 72종'!D24-R416-Z416,0))</x:f>
        <x:v>5</x:v>
      </x:c>
      <x:c r="K416" s="2" t="n">
        <x:f>MAX(1,ROUND('기준스탯 72종'!E24-S416-AA416,0))</x:f>
        <x:v>3</x:v>
      </x:c>
      <x:c r="L416" s="2" t="n">
        <x:f>MAX(1,ROUND('기준스탯 72종'!F24-T416-AB416,0))</x:f>
        <x:v>5</x:v>
      </x:c>
      <x:c r="M416" s="2" t="n">
        <x:f>MAX(1,ROUND('기준스탯 72종'!G24-U416-AC416,0))</x:f>
        <x:v>7</x:v>
      </x:c>
      <x:c r="N416" s="2" t="n">
        <x:f>MAX(0,ROUND('기준스탯 72종'!H24-V416-AD416,0))</x:f>
        <x:v>3</x:v>
      </x:c>
      <x:c r="O416" s="2" t="n">
        <x:f>MAX(0,ROUND('기준스탯 72종'!I24-W416-AE416,0))</x:f>
        <x:v>3</x:v>
      </x:c>
      <x:c r="P416" s="2" t="n">
        <x:f>MAX(0,ROUND('기준스탯 72종'!J24-X416-AF416,0))</x:f>
        <x:v>3</x:v>
      </x:c>
      <x:c r="Q416" s="2" t="n">
        <x:f>MAX(0,ROUND('기준스탯 72종'!K24-Y416-AG416,0))</x:f>
        <x:v>1</x:v>
      </x:c>
      <x:c r="R416" s="15" t="n">
        <x:f>'기준스탯 72종'!D24*G416</x:f>
        <x:v>1.1199999999999999</x:v>
      </x:c>
      <x:c r="S416" s="15" t="n">
        <x:f>'기준스탯 72종'!E24*G416</x:f>
        <x:v>0.7</x:v>
      </x:c>
      <x:c r="T416" s="15" t="n">
        <x:f>'기준스탯 72종'!F24*G416</x:f>
        <x:v>0.9799999999999999</x:v>
      </x:c>
      <x:c r="U416" s="15" t="n">
        <x:f>'기준스탯 72종'!G24*G416</x:f>
        <x:v>1.4</x:v>
      </x:c>
      <x:c r="V416" s="15" t="n">
        <x:f>'기준스탯 72종'!H24*G416</x:f>
        <x:v>0.7</x:v>
      </x:c>
      <x:c r="W416" s="15" t="n">
        <x:f>'기준스탯 72종'!I24*G416</x:f>
        <x:v>0.7</x:v>
      </x:c>
      <x:c r="X416" s="15" t="n">
        <x:f>'기준스탯 72종'!J24*G416</x:f>
        <x:v>0.7</x:v>
      </x:c>
      <x:c r="Y416" s="15" t="n">
        <x:f>'기준스탯 72종'!K24*G416</x:f>
        <x:v>0.13999999999999999</x:v>
      </x:c>
      <x:c r="Z416" s="15" t="n">
        <x:f>'기준스탯 72종'!D24*H416</x:f>
        <x:v>1.4400000000000004</x:v>
      </x:c>
      <x:c r="AA416" s="15" t="n">
        <x:f>'기준스탯 72종'!E24*H416</x:f>
        <x:v>0.9000000000000002</x:v>
      </x:c>
      <x:c r="AB416" s="15" t="n">
        <x:f>'기준스탯 72종'!F24*H416</x:f>
        <x:v>1.2600000000000002</x:v>
      </x:c>
      <x:c r="AC416" s="15" t="n">
        <x:f>'기준스탯 72종'!G24*H416</x:f>
        <x:v>1.8000000000000005</x:v>
      </x:c>
      <x:c r="AD416" s="15" t="n">
        <x:f>'기준스탯 72종'!H24*H416</x:f>
        <x:v>0.9000000000000002</x:v>
      </x:c>
      <x:c r="AE416" s="15" t="n">
        <x:f>'기준스탯 72종'!I24*H416</x:f>
        <x:v>0.9000000000000002</x:v>
      </x:c>
      <x:c r="AF416" s="15" t="n">
        <x:f>'기준스탯 72종'!J24*H416</x:f>
        <x:v>0.9000000000000002</x:v>
      </x:c>
      <x:c r="AG416" s="15" t="n">
        <x:f>'기준스탯 72종'!K24*H416</x:f>
        <x:v>0.18000000000000005</x:v>
      </x:c>
    </x:row>
    <x:row r="417" ht="28" customHeight="1">
      <x:c r="A417" s="2" t="n">
        <x:v>410</x:v>
      </x:c>
      <x:c r="B417" s="2" t="n">
        <x:v>17</x:v>
      </x:c>
      <x:c r="C417" s="2" t="str">
        <x:v>쌍둥이자리</x:v>
      </x:c>
      <x:c r="D417" s="2" t="str">
        <x:v>도적</x:v>
      </x:c>
      <x:c r="E417" s="2" t="n">
        <x:v>5</x:v>
      </x:c>
      <x:c r="F417" s="2" t="n">
        <x:v>2</x:v>
      </x:c>
      <x:c r="G417" s="14" t="n">
        <x:f>('레벨 계산식'!$E$4-E417)*'레벨 계산식'!$B$5</x:f>
        <x:v>0</x:v>
      </x:c>
      <x:c r="H417" s="14" t="n">
        <x:f>('등급 계산식'!$E$4-F417)*'등급 계산식'!$B$5</x:f>
        <x:v>0.18000000000000005</x:v>
      </x:c>
      <x:c r="I417" s="14" t="n">
        <x:f>1-G417-H417</x:f>
        <x:v>0.82</x:v>
      </x:c>
      <x:c r="J417" s="2" t="n">
        <x:f>MAX(1,ROUND('기준스탯 72종'!D24-R417-Z417,0))</x:f>
        <x:v>7</x:v>
      </x:c>
      <x:c r="K417" s="2" t="n">
        <x:f>MAX(1,ROUND('기준스탯 72종'!E24-S417-AA417,0))</x:f>
        <x:v>4</x:v>
      </x:c>
      <x:c r="L417" s="2" t="n">
        <x:f>MAX(1,ROUND('기준스탯 72종'!F24-T417-AB417,0))</x:f>
        <x:v>6</x:v>
      </x:c>
      <x:c r="M417" s="2" t="n">
        <x:f>MAX(1,ROUND('기준스탯 72종'!G24-U417-AC417,0))</x:f>
        <x:v>8</x:v>
      </x:c>
      <x:c r="N417" s="2" t="n">
        <x:f>MAX(0,ROUND('기준스탯 72종'!H24-V417-AD417,0))</x:f>
        <x:v>4</x:v>
      </x:c>
      <x:c r="O417" s="2" t="n">
        <x:f>MAX(0,ROUND('기준스탯 72종'!I24-W417-AE417,0))</x:f>
        <x:v>4</x:v>
      </x:c>
      <x:c r="P417" s="2" t="n">
        <x:f>MAX(0,ROUND('기준스탯 72종'!J24-X417-AF417,0))</x:f>
        <x:v>4</x:v>
      </x:c>
      <x:c r="Q417" s="2" t="n">
        <x:f>MAX(0,ROUND('기준스탯 72종'!K24-Y417-AG417,0))</x:f>
        <x:v>1</x:v>
      </x:c>
      <x:c r="R417" s="15" t="n">
        <x:f>'기준스탯 72종'!D24*G417</x:f>
        <x:v>0</x:v>
      </x:c>
      <x:c r="S417" s="15" t="n">
        <x:f>'기준스탯 72종'!E24*G417</x:f>
        <x:v>0</x:v>
      </x:c>
      <x:c r="T417" s="15" t="n">
        <x:f>'기준스탯 72종'!F24*G417</x:f>
        <x:v>0</x:v>
      </x:c>
      <x:c r="U417" s="15" t="n">
        <x:f>'기준스탯 72종'!G24*G417</x:f>
        <x:v>0</x:v>
      </x:c>
      <x:c r="V417" s="15" t="n">
        <x:f>'기준스탯 72종'!H24*G417</x:f>
        <x:v>0</x:v>
      </x:c>
      <x:c r="W417" s="15" t="n">
        <x:f>'기준스탯 72종'!I24*G417</x:f>
        <x:v>0</x:v>
      </x:c>
      <x:c r="X417" s="15" t="n">
        <x:f>'기준스탯 72종'!J24*G417</x:f>
        <x:v>0</x:v>
      </x:c>
      <x:c r="Y417" s="15" t="n">
        <x:f>'기준스탯 72종'!K24*G417</x:f>
        <x:v>0</x:v>
      </x:c>
      <x:c r="Z417" s="15" t="n">
        <x:f>'기준스탯 72종'!D24*H417</x:f>
        <x:v>1.4400000000000004</x:v>
      </x:c>
      <x:c r="AA417" s="15" t="n">
        <x:f>'기준스탯 72종'!E24*H417</x:f>
        <x:v>0.9000000000000002</x:v>
      </x:c>
      <x:c r="AB417" s="15" t="n">
        <x:f>'기준스탯 72종'!F24*H417</x:f>
        <x:v>1.2600000000000002</x:v>
      </x:c>
      <x:c r="AC417" s="15" t="n">
        <x:f>'기준스탯 72종'!G24*H417</x:f>
        <x:v>1.8000000000000005</x:v>
      </x:c>
      <x:c r="AD417" s="15" t="n">
        <x:f>'기준스탯 72종'!H24*H417</x:f>
        <x:v>0.9000000000000002</x:v>
      </x:c>
      <x:c r="AE417" s="15" t="n">
        <x:f>'기준스탯 72종'!I24*H417</x:f>
        <x:v>0.9000000000000002</x:v>
      </x:c>
      <x:c r="AF417" s="15" t="n">
        <x:f>'기준스탯 72종'!J24*H417</x:f>
        <x:v>0.9000000000000002</x:v>
      </x:c>
      <x:c r="AG417" s="15" t="n">
        <x:f>'기준스탯 72종'!K24*H417</x:f>
        <x:v>0.18000000000000005</x:v>
      </x:c>
    </x:row>
    <x:row r="418" ht="28" customHeight="1">
      <x:c r="A418" s="2" t="n">
        <x:v>411</x:v>
      </x:c>
      <x:c r="B418" s="2" t="n">
        <x:v>17</x:v>
      </x:c>
      <x:c r="C418" s="2" t="str">
        <x:v>쌍둥이자리</x:v>
      </x:c>
      <x:c r="D418" s="2" t="str">
        <x:v>도적</x:v>
      </x:c>
      <x:c r="E418" s="2" t="n">
        <x:v>1</x:v>
      </x:c>
      <x:c r="F418" s="2" t="n">
        <x:v>3</x:v>
      </x:c>
      <x:c r="G418" s="14" t="n">
        <x:f>('레벨 계산식'!$E$4-E418)*'레벨 계산식'!$B$5</x:f>
        <x:v>0.5599999999999999</x:v>
      </x:c>
      <x:c r="H418" s="14" t="n">
        <x:f>('등급 계산식'!$E$4-F418)*'등급 계산식'!$B$5</x:f>
        <x:v>0.12000000000000002</x:v>
      </x:c>
      <x:c r="I418" s="14" t="n">
        <x:f>1-G418-H418</x:f>
        <x:v>0.32000000000000006</x:v>
      </x:c>
      <x:c r="J418" s="2" t="n">
        <x:f>MAX(1,ROUND('기준스탯 72종'!D24-R418-Z418,0))</x:f>
        <x:v>3</x:v>
      </x:c>
      <x:c r="K418" s="2" t="n">
        <x:f>MAX(1,ROUND('기준스탯 72종'!E24-S418-AA418,0))</x:f>
        <x:v>2</x:v>
      </x:c>
      <x:c r="L418" s="2" t="n">
        <x:f>MAX(1,ROUND('기준스탯 72종'!F24-T418-AB418,0))</x:f>
        <x:v>2</x:v>
      </x:c>
      <x:c r="M418" s="2" t="n">
        <x:f>MAX(1,ROUND('기준스탯 72종'!G24-U418-AC418,0))</x:f>
        <x:v>3</x:v>
      </x:c>
      <x:c r="N418" s="2" t="n">
        <x:f>MAX(0,ROUND('기준스탯 72종'!H24-V418-AD418,0))</x:f>
        <x:v>2</x:v>
      </x:c>
      <x:c r="O418" s="2" t="n">
        <x:f>MAX(0,ROUND('기준스탯 72종'!I24-W418-AE418,0))</x:f>
        <x:v>2</x:v>
      </x:c>
      <x:c r="P418" s="2" t="n">
        <x:f>MAX(0,ROUND('기준스탯 72종'!J24-X418-AF418,0))</x:f>
        <x:v>2</x:v>
      </x:c>
      <x:c r="Q418" s="2" t="n">
        <x:f>MAX(0,ROUND('기준스탯 72종'!K24-Y418-AG418,0))</x:f>
        <x:v>0</x:v>
      </x:c>
      <x:c r="R418" s="15" t="n">
        <x:f>'기준스탯 72종'!D24*G418</x:f>
        <x:v>4.4799999999999995</x:v>
      </x:c>
      <x:c r="S418" s="15" t="n">
        <x:f>'기준스탯 72종'!E24*G418</x:f>
        <x:v>2.8</x:v>
      </x:c>
      <x:c r="T418" s="15" t="n">
        <x:f>'기준스탯 72종'!F24*G418</x:f>
        <x:v>3.9199999999999995</x:v>
      </x:c>
      <x:c r="U418" s="15" t="n">
        <x:f>'기준스탯 72종'!G24*G418</x:f>
        <x:v>5.6</x:v>
      </x:c>
      <x:c r="V418" s="15" t="n">
        <x:f>'기준스탯 72종'!H24*G418</x:f>
        <x:v>2.8</x:v>
      </x:c>
      <x:c r="W418" s="15" t="n">
        <x:f>'기준스탯 72종'!I24*G418</x:f>
        <x:v>2.8</x:v>
      </x:c>
      <x:c r="X418" s="15" t="n">
        <x:f>'기준스탯 72종'!J24*G418</x:f>
        <x:v>2.8</x:v>
      </x:c>
      <x:c r="Y418" s="15" t="n">
        <x:f>'기준스탯 72종'!K24*G418</x:f>
        <x:v>0.5599999999999999</x:v>
      </x:c>
      <x:c r="Z418" s="15" t="n">
        <x:f>'기준스탯 72종'!D24*H418</x:f>
        <x:v>0.9600000000000002</x:v>
      </x:c>
      <x:c r="AA418" s="15" t="n">
        <x:f>'기준스탯 72종'!E24*H418</x:f>
        <x:v>0.6000000000000001</x:v>
      </x:c>
      <x:c r="AB418" s="15" t="n">
        <x:f>'기준스탯 72종'!F24*H418</x:f>
        <x:v>0.8400000000000002</x:v>
      </x:c>
      <x:c r="AC418" s="15" t="n">
        <x:f>'기준스탯 72종'!G24*H418</x:f>
        <x:v>1.2000000000000002</x:v>
      </x:c>
      <x:c r="AD418" s="15" t="n">
        <x:f>'기준스탯 72종'!H24*H418</x:f>
        <x:v>0.6000000000000001</x:v>
      </x:c>
      <x:c r="AE418" s="15" t="n">
        <x:f>'기준스탯 72종'!I24*H418</x:f>
        <x:v>0.6000000000000001</x:v>
      </x:c>
      <x:c r="AF418" s="15" t="n">
        <x:f>'기준스탯 72종'!J24*H418</x:f>
        <x:v>0.6000000000000001</x:v>
      </x:c>
      <x:c r="AG418" s="15" t="n">
        <x:f>'기준스탯 72종'!K24*H418</x:f>
        <x:v>0.12000000000000002</x:v>
      </x:c>
    </x:row>
    <x:row r="419" ht="28" customHeight="1">
      <x:c r="A419" s="2" t="n">
        <x:v>412</x:v>
      </x:c>
      <x:c r="B419" s="2" t="n">
        <x:v>17</x:v>
      </x:c>
      <x:c r="C419" s="2" t="str">
        <x:v>쌍둥이자리</x:v>
      </x:c>
      <x:c r="D419" s="2" t="str">
        <x:v>도적</x:v>
      </x:c>
      <x:c r="E419" s="2" t="n">
        <x:v>2</x:v>
      </x:c>
      <x:c r="F419" s="2" t="n">
        <x:v>3</x:v>
      </x:c>
      <x:c r="G419" s="14" t="n">
        <x:f>('레벨 계산식'!$E$4-E419)*'레벨 계산식'!$B$5</x:f>
        <x:v>0.41999999999999993</x:v>
      </x:c>
      <x:c r="H419" s="14" t="n">
        <x:f>('등급 계산식'!$E$4-F419)*'등급 계산식'!$B$5</x:f>
        <x:v>0.12000000000000002</x:v>
      </x:c>
      <x:c r="I419" s="14" t="n">
        <x:f>1-G419-H419</x:f>
        <x:v>0.4600000000000001</x:v>
      </x:c>
      <x:c r="J419" s="2" t="n">
        <x:f>MAX(1,ROUND('기준스탯 72종'!D24-R419-Z419,0))</x:f>
        <x:v>4</x:v>
      </x:c>
      <x:c r="K419" s="2" t="n">
        <x:f>MAX(1,ROUND('기준스탯 72종'!E24-S419-AA419,0))</x:f>
        <x:v>2</x:v>
      </x:c>
      <x:c r="L419" s="2" t="n">
        <x:f>MAX(1,ROUND('기준스탯 72종'!F24-T419-AB419,0))</x:f>
        <x:v>3</x:v>
      </x:c>
      <x:c r="M419" s="2" t="n">
        <x:f>MAX(1,ROUND('기준스탯 72종'!G24-U419-AC419,0))</x:f>
        <x:v>5</x:v>
      </x:c>
      <x:c r="N419" s="2" t="n">
        <x:f>MAX(0,ROUND('기준스탯 72종'!H24-V419-AD419,0))</x:f>
        <x:v>2</x:v>
      </x:c>
      <x:c r="O419" s="2" t="n">
        <x:f>MAX(0,ROUND('기준스탯 72종'!I24-W419-AE419,0))</x:f>
        <x:v>2</x:v>
      </x:c>
      <x:c r="P419" s="2" t="n">
        <x:f>MAX(0,ROUND('기준스탯 72종'!J24-X419-AF419,0))</x:f>
        <x:v>2</x:v>
      </x:c>
      <x:c r="Q419" s="2" t="n">
        <x:f>MAX(0,ROUND('기준스탯 72종'!K24-Y419-AG419,0))</x:f>
        <x:v>0</x:v>
      </x:c>
      <x:c r="R419" s="15" t="n">
        <x:f>'기준스탯 72종'!D24*G419</x:f>
        <x:v>3.3599999999999994</x:v>
      </x:c>
      <x:c r="S419" s="15" t="n">
        <x:f>'기준스탯 72종'!E24*G419</x:f>
        <x:v>2.0999999999999996</x:v>
      </x:c>
      <x:c r="T419" s="15" t="n">
        <x:f>'기준스탯 72종'!F24*G419</x:f>
        <x:v>2.9399999999999995</x:v>
      </x:c>
      <x:c r="U419" s="15" t="n">
        <x:f>'기준스탯 72종'!G24*G419</x:f>
        <x:v>4.199999999999999</x:v>
      </x:c>
      <x:c r="V419" s="15" t="n">
        <x:f>'기준스탯 72종'!H24*G419</x:f>
        <x:v>2.0999999999999996</x:v>
      </x:c>
      <x:c r="W419" s="15" t="n">
        <x:f>'기준스탯 72종'!I24*G419</x:f>
        <x:v>2.0999999999999996</x:v>
      </x:c>
      <x:c r="X419" s="15" t="n">
        <x:f>'기준스탯 72종'!J24*G419</x:f>
        <x:v>2.0999999999999996</x:v>
      </x:c>
      <x:c r="Y419" s="15" t="n">
        <x:f>'기준스탯 72종'!K24*G419</x:f>
        <x:v>0.41999999999999993</x:v>
      </x:c>
      <x:c r="Z419" s="15" t="n">
        <x:f>'기준스탯 72종'!D24*H419</x:f>
        <x:v>0.9600000000000002</x:v>
      </x:c>
      <x:c r="AA419" s="15" t="n">
        <x:f>'기준스탯 72종'!E24*H419</x:f>
        <x:v>0.6000000000000001</x:v>
      </x:c>
      <x:c r="AB419" s="15" t="n">
        <x:f>'기준스탯 72종'!F24*H419</x:f>
        <x:v>0.8400000000000002</x:v>
      </x:c>
      <x:c r="AC419" s="15" t="n">
        <x:f>'기준스탯 72종'!G24*H419</x:f>
        <x:v>1.2000000000000002</x:v>
      </x:c>
      <x:c r="AD419" s="15" t="n">
        <x:f>'기준스탯 72종'!H24*H419</x:f>
        <x:v>0.6000000000000001</x:v>
      </x:c>
      <x:c r="AE419" s="15" t="n">
        <x:f>'기준스탯 72종'!I24*H419</x:f>
        <x:v>0.6000000000000001</x:v>
      </x:c>
      <x:c r="AF419" s="15" t="n">
        <x:f>'기준스탯 72종'!J24*H419</x:f>
        <x:v>0.6000000000000001</x:v>
      </x:c>
      <x:c r="AG419" s="15" t="n">
        <x:f>'기준스탯 72종'!K24*H419</x:f>
        <x:v>0.12000000000000002</x:v>
      </x:c>
    </x:row>
    <x:row r="420" ht="28" customHeight="1">
      <x:c r="A420" s="2" t="n">
        <x:v>413</x:v>
      </x:c>
      <x:c r="B420" s="2" t="n">
        <x:v>17</x:v>
      </x:c>
      <x:c r="C420" s="2" t="str">
        <x:v>쌍둥이자리</x:v>
      </x:c>
      <x:c r="D420" s="2" t="str">
        <x:v>도적</x:v>
      </x:c>
      <x:c r="E420" s="2" t="n">
        <x:v>3</x:v>
      </x:c>
      <x:c r="F420" s="2" t="n">
        <x:v>3</x:v>
      </x:c>
      <x:c r="G420" s="14" t="n">
        <x:f>('레벨 계산식'!$E$4-E420)*'레벨 계산식'!$B$5</x:f>
        <x:v>0.27999999999999997</x:v>
      </x:c>
      <x:c r="H420" s="14" t="n">
        <x:f>('등급 계산식'!$E$4-F420)*'등급 계산식'!$B$5</x:f>
        <x:v>0.12000000000000002</x:v>
      </x:c>
      <x:c r="I420" s="14" t="n">
        <x:f>1-G420-H420</x:f>
        <x:v>0.6</x:v>
      </x:c>
      <x:c r="J420" s="2" t="n">
        <x:f>MAX(1,ROUND('기준스탯 72종'!D24-R420-Z420,0))</x:f>
        <x:v>5</x:v>
      </x:c>
      <x:c r="K420" s="2" t="n">
        <x:f>MAX(1,ROUND('기준스탯 72종'!E24-S420-AA420,0))</x:f>
        <x:v>3</x:v>
      </x:c>
      <x:c r="L420" s="2" t="n">
        <x:f>MAX(1,ROUND('기준스탯 72종'!F24-T420-AB420,0))</x:f>
        <x:v>4</x:v>
      </x:c>
      <x:c r="M420" s="2" t="n">
        <x:f>MAX(1,ROUND('기준스탯 72종'!G24-U420-AC420,0))</x:f>
        <x:v>6</x:v>
      </x:c>
      <x:c r="N420" s="2" t="n">
        <x:f>MAX(0,ROUND('기준스탯 72종'!H24-V420-AD420,0))</x:f>
        <x:v>3</x:v>
      </x:c>
      <x:c r="O420" s="2" t="n">
        <x:f>MAX(0,ROUND('기준스탯 72종'!I24-W420-AE420,0))</x:f>
        <x:v>3</x:v>
      </x:c>
      <x:c r="P420" s="2" t="n">
        <x:f>MAX(0,ROUND('기준스탯 72종'!J24-X420-AF420,0))</x:f>
        <x:v>3</x:v>
      </x:c>
      <x:c r="Q420" s="2" t="n">
        <x:f>MAX(0,ROUND('기준스탯 72종'!K24-Y420-AG420,0))</x:f>
        <x:v>1</x:v>
      </x:c>
      <x:c r="R420" s="15" t="n">
        <x:f>'기준스탯 72종'!D24*G420</x:f>
        <x:v>2.2399999999999998</x:v>
      </x:c>
      <x:c r="S420" s="15" t="n">
        <x:f>'기준스탯 72종'!E24*G420</x:f>
        <x:v>1.4</x:v>
      </x:c>
      <x:c r="T420" s="15" t="n">
        <x:f>'기준스탯 72종'!F24*G420</x:f>
        <x:v>1.9599999999999997</x:v>
      </x:c>
      <x:c r="U420" s="15" t="n">
        <x:f>'기준스탯 72종'!G24*G420</x:f>
        <x:v>2.8</x:v>
      </x:c>
      <x:c r="V420" s="15" t="n">
        <x:f>'기준스탯 72종'!H24*G420</x:f>
        <x:v>1.4</x:v>
      </x:c>
      <x:c r="W420" s="15" t="n">
        <x:f>'기준스탯 72종'!I24*G420</x:f>
        <x:v>1.4</x:v>
      </x:c>
      <x:c r="X420" s="15" t="n">
        <x:f>'기준스탯 72종'!J24*G420</x:f>
        <x:v>1.4</x:v>
      </x:c>
      <x:c r="Y420" s="15" t="n">
        <x:f>'기준스탯 72종'!K24*G420</x:f>
        <x:v>0.27999999999999997</x:v>
      </x:c>
      <x:c r="Z420" s="15" t="n">
        <x:f>'기준스탯 72종'!D24*H420</x:f>
        <x:v>0.9600000000000002</x:v>
      </x:c>
      <x:c r="AA420" s="15" t="n">
        <x:f>'기준스탯 72종'!E24*H420</x:f>
        <x:v>0.6000000000000001</x:v>
      </x:c>
      <x:c r="AB420" s="15" t="n">
        <x:f>'기준스탯 72종'!F24*H420</x:f>
        <x:v>0.8400000000000002</x:v>
      </x:c>
      <x:c r="AC420" s="15" t="n">
        <x:f>'기준스탯 72종'!G24*H420</x:f>
        <x:v>1.2000000000000002</x:v>
      </x:c>
      <x:c r="AD420" s="15" t="n">
        <x:f>'기준스탯 72종'!H24*H420</x:f>
        <x:v>0.6000000000000001</x:v>
      </x:c>
      <x:c r="AE420" s="15" t="n">
        <x:f>'기준스탯 72종'!I24*H420</x:f>
        <x:v>0.6000000000000001</x:v>
      </x:c>
      <x:c r="AF420" s="15" t="n">
        <x:f>'기준스탯 72종'!J24*H420</x:f>
        <x:v>0.6000000000000001</x:v>
      </x:c>
      <x:c r="AG420" s="15" t="n">
        <x:f>'기준스탯 72종'!K24*H420</x:f>
        <x:v>0.12000000000000002</x:v>
      </x:c>
    </x:row>
    <x:row r="421" ht="28" customHeight="1">
      <x:c r="A421" s="2" t="n">
        <x:v>414</x:v>
      </x:c>
      <x:c r="B421" s="2" t="n">
        <x:v>17</x:v>
      </x:c>
      <x:c r="C421" s="2" t="str">
        <x:v>쌍둥이자리</x:v>
      </x:c>
      <x:c r="D421" s="2" t="str">
        <x:v>도적</x:v>
      </x:c>
      <x:c r="E421" s="2" t="n">
        <x:v>4</x:v>
      </x:c>
      <x:c r="F421" s="2" t="n">
        <x:v>3</x:v>
      </x:c>
      <x:c r="G421" s="14" t="n">
        <x:f>('레벨 계산식'!$E$4-E421)*'레벨 계산식'!$B$5</x:f>
        <x:v>0.13999999999999999</x:v>
      </x:c>
      <x:c r="H421" s="14" t="n">
        <x:f>('등급 계산식'!$E$4-F421)*'등급 계산식'!$B$5</x:f>
        <x:v>0.12000000000000002</x:v>
      </x:c>
      <x:c r="I421" s="14" t="n">
        <x:f>1-G421-H421</x:f>
        <x:v>0.74</x:v>
      </x:c>
      <x:c r="J421" s="2" t="n">
        <x:f>MAX(1,ROUND('기준스탯 72종'!D24-R421-Z421,0))</x:f>
        <x:v>6</x:v>
      </x:c>
      <x:c r="K421" s="2" t="n">
        <x:f>MAX(1,ROUND('기준스탯 72종'!E24-S421-AA421,0))</x:f>
        <x:v>4</x:v>
      </x:c>
      <x:c r="L421" s="2" t="n">
        <x:f>MAX(1,ROUND('기준스탯 72종'!F24-T421-AB421,0))</x:f>
        <x:v>5</x:v>
      </x:c>
      <x:c r="M421" s="2" t="n">
        <x:f>MAX(1,ROUND('기준스탯 72종'!G24-U421-AC421,0))</x:f>
        <x:v>7</x:v>
      </x:c>
      <x:c r="N421" s="2" t="n">
        <x:f>MAX(0,ROUND('기준스탯 72종'!H24-V421-AD421,0))</x:f>
        <x:v>4</x:v>
      </x:c>
      <x:c r="O421" s="2" t="n">
        <x:f>MAX(0,ROUND('기준스탯 72종'!I24-W421-AE421,0))</x:f>
        <x:v>4</x:v>
      </x:c>
      <x:c r="P421" s="2" t="n">
        <x:f>MAX(0,ROUND('기준스탯 72종'!J24-X421-AF421,0))</x:f>
        <x:v>4</x:v>
      </x:c>
      <x:c r="Q421" s="2" t="n">
        <x:f>MAX(0,ROUND('기준스탯 72종'!K24-Y421-AG421,0))</x:f>
        <x:v>1</x:v>
      </x:c>
      <x:c r="R421" s="15" t="n">
        <x:f>'기준스탯 72종'!D24*G421</x:f>
        <x:v>1.1199999999999999</x:v>
      </x:c>
      <x:c r="S421" s="15" t="n">
        <x:f>'기준스탯 72종'!E24*G421</x:f>
        <x:v>0.7</x:v>
      </x:c>
      <x:c r="T421" s="15" t="n">
        <x:f>'기준스탯 72종'!F24*G421</x:f>
        <x:v>0.9799999999999999</x:v>
      </x:c>
      <x:c r="U421" s="15" t="n">
        <x:f>'기준스탯 72종'!G24*G421</x:f>
        <x:v>1.4</x:v>
      </x:c>
      <x:c r="V421" s="15" t="n">
        <x:f>'기준스탯 72종'!H24*G421</x:f>
        <x:v>0.7</x:v>
      </x:c>
      <x:c r="W421" s="15" t="n">
        <x:f>'기준스탯 72종'!I24*G421</x:f>
        <x:v>0.7</x:v>
      </x:c>
      <x:c r="X421" s="15" t="n">
        <x:f>'기준스탯 72종'!J24*G421</x:f>
        <x:v>0.7</x:v>
      </x:c>
      <x:c r="Y421" s="15" t="n">
        <x:f>'기준스탯 72종'!K24*G421</x:f>
        <x:v>0.13999999999999999</x:v>
      </x:c>
      <x:c r="Z421" s="15" t="n">
        <x:f>'기준스탯 72종'!D24*H421</x:f>
        <x:v>0.9600000000000002</x:v>
      </x:c>
      <x:c r="AA421" s="15" t="n">
        <x:f>'기준스탯 72종'!E24*H421</x:f>
        <x:v>0.6000000000000001</x:v>
      </x:c>
      <x:c r="AB421" s="15" t="n">
        <x:f>'기준스탯 72종'!F24*H421</x:f>
        <x:v>0.8400000000000002</x:v>
      </x:c>
      <x:c r="AC421" s="15" t="n">
        <x:f>'기준스탯 72종'!G24*H421</x:f>
        <x:v>1.2000000000000002</x:v>
      </x:c>
      <x:c r="AD421" s="15" t="n">
        <x:f>'기준스탯 72종'!H24*H421</x:f>
        <x:v>0.6000000000000001</x:v>
      </x:c>
      <x:c r="AE421" s="15" t="n">
        <x:f>'기준스탯 72종'!I24*H421</x:f>
        <x:v>0.6000000000000001</x:v>
      </x:c>
      <x:c r="AF421" s="15" t="n">
        <x:f>'기준스탯 72종'!J24*H421</x:f>
        <x:v>0.6000000000000001</x:v>
      </x:c>
      <x:c r="AG421" s="15" t="n">
        <x:f>'기준스탯 72종'!K24*H421</x:f>
        <x:v>0.12000000000000002</x:v>
      </x:c>
    </x:row>
    <x:row r="422" ht="28" customHeight="1">
      <x:c r="A422" s="2" t="n">
        <x:v>415</x:v>
      </x:c>
      <x:c r="B422" s="2" t="n">
        <x:v>17</x:v>
      </x:c>
      <x:c r="C422" s="2" t="str">
        <x:v>쌍둥이자리</x:v>
      </x:c>
      <x:c r="D422" s="2" t="str">
        <x:v>도적</x:v>
      </x:c>
      <x:c r="E422" s="2" t="n">
        <x:v>5</x:v>
      </x:c>
      <x:c r="F422" s="2" t="n">
        <x:v>3</x:v>
      </x:c>
      <x:c r="G422" s="14" t="n">
        <x:f>('레벨 계산식'!$E$4-E422)*'레벨 계산식'!$B$5</x:f>
        <x:v>0</x:v>
      </x:c>
      <x:c r="H422" s="14" t="n">
        <x:f>('등급 계산식'!$E$4-F422)*'등급 계산식'!$B$5</x:f>
        <x:v>0.12000000000000002</x:v>
      </x:c>
      <x:c r="I422" s="14" t="n">
        <x:f>1-G422-H422</x:f>
        <x:v>0.88</x:v>
      </x:c>
      <x:c r="J422" s="2" t="n">
        <x:f>MAX(1,ROUND('기준스탯 72종'!D24-R422-Z422,0))</x:f>
        <x:v>7</x:v>
      </x:c>
      <x:c r="K422" s="2" t="n">
        <x:f>MAX(1,ROUND('기준스탯 72종'!E24-S422-AA422,0))</x:f>
        <x:v>4</x:v>
      </x:c>
      <x:c r="L422" s="2" t="n">
        <x:f>MAX(1,ROUND('기준스탯 72종'!F24-T422-AB422,0))</x:f>
        <x:v>6</x:v>
      </x:c>
      <x:c r="M422" s="2" t="n">
        <x:f>MAX(1,ROUND('기준스탯 72종'!G24-U422-AC422,0))</x:f>
        <x:v>9</x:v>
      </x:c>
      <x:c r="N422" s="2" t="n">
        <x:f>MAX(0,ROUND('기준스탯 72종'!H24-V422-AD422,0))</x:f>
        <x:v>4</x:v>
      </x:c>
      <x:c r="O422" s="2" t="n">
        <x:f>MAX(0,ROUND('기준스탯 72종'!I24-W422-AE422,0))</x:f>
        <x:v>4</x:v>
      </x:c>
      <x:c r="P422" s="2" t="n">
        <x:f>MAX(0,ROUND('기준스탯 72종'!J24-X422-AF422,0))</x:f>
        <x:v>4</x:v>
      </x:c>
      <x:c r="Q422" s="2" t="n">
        <x:f>MAX(0,ROUND('기준스탯 72종'!K24-Y422-AG422,0))</x:f>
        <x:v>1</x:v>
      </x:c>
      <x:c r="R422" s="15" t="n">
        <x:f>'기준스탯 72종'!D24*G422</x:f>
        <x:v>0</x:v>
      </x:c>
      <x:c r="S422" s="15" t="n">
        <x:f>'기준스탯 72종'!E24*G422</x:f>
        <x:v>0</x:v>
      </x:c>
      <x:c r="T422" s="15" t="n">
        <x:f>'기준스탯 72종'!F24*G422</x:f>
        <x:v>0</x:v>
      </x:c>
      <x:c r="U422" s="15" t="n">
        <x:f>'기준스탯 72종'!G24*G422</x:f>
        <x:v>0</x:v>
      </x:c>
      <x:c r="V422" s="15" t="n">
        <x:f>'기준스탯 72종'!H24*G422</x:f>
        <x:v>0</x:v>
      </x:c>
      <x:c r="W422" s="15" t="n">
        <x:f>'기준스탯 72종'!I24*G422</x:f>
        <x:v>0</x:v>
      </x:c>
      <x:c r="X422" s="15" t="n">
        <x:f>'기준스탯 72종'!J24*G422</x:f>
        <x:v>0</x:v>
      </x:c>
      <x:c r="Y422" s="15" t="n">
        <x:f>'기준스탯 72종'!K24*G422</x:f>
        <x:v>0</x:v>
      </x:c>
      <x:c r="Z422" s="15" t="n">
        <x:f>'기준스탯 72종'!D24*H422</x:f>
        <x:v>0.9600000000000002</x:v>
      </x:c>
      <x:c r="AA422" s="15" t="n">
        <x:f>'기준스탯 72종'!E24*H422</x:f>
        <x:v>0.6000000000000001</x:v>
      </x:c>
      <x:c r="AB422" s="15" t="n">
        <x:f>'기준스탯 72종'!F24*H422</x:f>
        <x:v>0.8400000000000002</x:v>
      </x:c>
      <x:c r="AC422" s="15" t="n">
        <x:f>'기준스탯 72종'!G24*H422</x:f>
        <x:v>1.2000000000000002</x:v>
      </x:c>
      <x:c r="AD422" s="15" t="n">
        <x:f>'기준스탯 72종'!H24*H422</x:f>
        <x:v>0.6000000000000001</x:v>
      </x:c>
      <x:c r="AE422" s="15" t="n">
        <x:f>'기준스탯 72종'!I24*H422</x:f>
        <x:v>0.6000000000000001</x:v>
      </x:c>
      <x:c r="AF422" s="15" t="n">
        <x:f>'기준스탯 72종'!J24*H422</x:f>
        <x:v>0.6000000000000001</x:v>
      </x:c>
      <x:c r="AG422" s="15" t="n">
        <x:f>'기준스탯 72종'!K24*H422</x:f>
        <x:v>0.12000000000000002</x:v>
      </x:c>
    </x:row>
    <x:row r="423" ht="28" customHeight="1">
      <x:c r="A423" s="2" t="n">
        <x:v>416</x:v>
      </x:c>
      <x:c r="B423" s="2" t="n">
        <x:v>17</x:v>
      </x:c>
      <x:c r="C423" s="2" t="str">
        <x:v>쌍둥이자리</x:v>
      </x:c>
      <x:c r="D423" s="2" t="str">
        <x:v>도적</x:v>
      </x:c>
      <x:c r="E423" s="2" t="n">
        <x:v>1</x:v>
      </x:c>
      <x:c r="F423" s="2" t="n">
        <x:v>4</x:v>
      </x:c>
      <x:c r="G423" s="14" t="n">
        <x:f>('레벨 계산식'!$E$4-E423)*'레벨 계산식'!$B$5</x:f>
        <x:v>0.5599999999999999</x:v>
      </x:c>
      <x:c r="H423" s="14" t="n">
        <x:f>('등급 계산식'!$E$4-F423)*'등급 계산식'!$B$5</x:f>
        <x:v>0.06000000000000001</x:v>
      </x:c>
      <x:c r="I423" s="14" t="n">
        <x:f>1-G423-H423</x:f>
        <x:v>0.38000000000000006</x:v>
      </x:c>
      <x:c r="J423" s="2" t="n">
        <x:f>MAX(1,ROUND('기준스탯 72종'!D24-R423-Z423,0))</x:f>
        <x:v>3</x:v>
      </x:c>
      <x:c r="K423" s="2" t="n">
        <x:f>MAX(1,ROUND('기준스탯 72종'!E24-S423-AA423,0))</x:f>
        <x:v>2</x:v>
      </x:c>
      <x:c r="L423" s="2" t="n">
        <x:f>MAX(1,ROUND('기준스탯 72종'!F24-T423-AB423,0))</x:f>
        <x:v>3</x:v>
      </x:c>
      <x:c r="M423" s="2" t="n">
        <x:f>MAX(1,ROUND('기준스탯 72종'!G24-U423-AC423,0))</x:f>
        <x:v>4</x:v>
      </x:c>
      <x:c r="N423" s="2" t="n">
        <x:f>MAX(0,ROUND('기준스탯 72종'!H24-V423-AD423,0))</x:f>
        <x:v>2</x:v>
      </x:c>
      <x:c r="O423" s="2" t="n">
        <x:f>MAX(0,ROUND('기준스탯 72종'!I24-W423-AE423,0))</x:f>
        <x:v>2</x:v>
      </x:c>
      <x:c r="P423" s="2" t="n">
        <x:f>MAX(0,ROUND('기준스탯 72종'!J24-X423-AF423,0))</x:f>
        <x:v>2</x:v>
      </x:c>
      <x:c r="Q423" s="2" t="n">
        <x:f>MAX(0,ROUND('기준스탯 72종'!K24-Y423-AG423,0))</x:f>
        <x:v>0</x:v>
      </x:c>
      <x:c r="R423" s="15" t="n">
        <x:f>'기준스탯 72종'!D24*G423</x:f>
        <x:v>4.4799999999999995</x:v>
      </x:c>
      <x:c r="S423" s="15" t="n">
        <x:f>'기준스탯 72종'!E24*G423</x:f>
        <x:v>2.8</x:v>
      </x:c>
      <x:c r="T423" s="15" t="n">
        <x:f>'기준스탯 72종'!F24*G423</x:f>
        <x:v>3.9199999999999995</x:v>
      </x:c>
      <x:c r="U423" s="15" t="n">
        <x:f>'기준스탯 72종'!G24*G423</x:f>
        <x:v>5.6</x:v>
      </x:c>
      <x:c r="V423" s="15" t="n">
        <x:f>'기준스탯 72종'!H24*G423</x:f>
        <x:v>2.8</x:v>
      </x:c>
      <x:c r="W423" s="15" t="n">
        <x:f>'기준스탯 72종'!I24*G423</x:f>
        <x:v>2.8</x:v>
      </x:c>
      <x:c r="X423" s="15" t="n">
        <x:f>'기준스탯 72종'!J24*G423</x:f>
        <x:v>2.8</x:v>
      </x:c>
      <x:c r="Y423" s="15" t="n">
        <x:f>'기준스탯 72종'!K24*G423</x:f>
        <x:v>0.5599999999999999</x:v>
      </x:c>
      <x:c r="Z423" s="15" t="n">
        <x:f>'기준스탯 72종'!D24*H423</x:f>
        <x:v>0.4800000000000001</x:v>
      </x:c>
      <x:c r="AA423" s="15" t="n">
        <x:f>'기준스탯 72종'!E24*H423</x:f>
        <x:v>0.30000000000000004</x:v>
      </x:c>
      <x:c r="AB423" s="15" t="n">
        <x:f>'기준스탯 72종'!F24*H423</x:f>
        <x:v>0.4200000000000001</x:v>
      </x:c>
      <x:c r="AC423" s="15" t="n">
        <x:f>'기준스탯 72종'!G24*H423</x:f>
        <x:v>0.6000000000000001</x:v>
      </x:c>
      <x:c r="AD423" s="15" t="n">
        <x:f>'기준스탯 72종'!H24*H423</x:f>
        <x:v>0.30000000000000004</x:v>
      </x:c>
      <x:c r="AE423" s="15" t="n">
        <x:f>'기준스탯 72종'!I24*H423</x:f>
        <x:v>0.30000000000000004</x:v>
      </x:c>
      <x:c r="AF423" s="15" t="n">
        <x:f>'기준스탯 72종'!J24*H423</x:f>
        <x:v>0.30000000000000004</x:v>
      </x:c>
      <x:c r="AG423" s="15" t="n">
        <x:f>'기준스탯 72종'!K24*H423</x:f>
        <x:v>0.06000000000000001</x:v>
      </x:c>
    </x:row>
    <x:row r="424" ht="28" customHeight="1">
      <x:c r="A424" s="2" t="n">
        <x:v>417</x:v>
      </x:c>
      <x:c r="B424" s="2" t="n">
        <x:v>17</x:v>
      </x:c>
      <x:c r="C424" s="2" t="str">
        <x:v>쌍둥이자리</x:v>
      </x:c>
      <x:c r="D424" s="2" t="str">
        <x:v>도적</x:v>
      </x:c>
      <x:c r="E424" s="2" t="n">
        <x:v>2</x:v>
      </x:c>
      <x:c r="F424" s="2" t="n">
        <x:v>4</x:v>
      </x:c>
      <x:c r="G424" s="14" t="n">
        <x:f>('레벨 계산식'!$E$4-E424)*'레벨 계산식'!$B$5</x:f>
        <x:v>0.41999999999999993</x:v>
      </x:c>
      <x:c r="H424" s="14" t="n">
        <x:f>('등급 계산식'!$E$4-F424)*'등급 계산식'!$B$5</x:f>
        <x:v>0.06000000000000001</x:v>
      </x:c>
      <x:c r="I424" s="14" t="n">
        <x:f>1-G424-H424</x:f>
        <x:v>0.52</x:v>
      </x:c>
      <x:c r="J424" s="2" t="n">
        <x:f>MAX(1,ROUND('기준스탯 72종'!D24-R424-Z424,0))</x:f>
        <x:v>4</x:v>
      </x:c>
      <x:c r="K424" s="2" t="n">
        <x:f>MAX(1,ROUND('기준스탯 72종'!E24-S424-AA424,0))</x:f>
        <x:v>3</x:v>
      </x:c>
      <x:c r="L424" s="2" t="n">
        <x:f>MAX(1,ROUND('기준스탯 72종'!F24-T424-AB424,0))</x:f>
        <x:v>4</x:v>
      </x:c>
      <x:c r="M424" s="2" t="n">
        <x:f>MAX(1,ROUND('기준스탯 72종'!G24-U424-AC424,0))</x:f>
        <x:v>5</x:v>
      </x:c>
      <x:c r="N424" s="2" t="n">
        <x:f>MAX(0,ROUND('기준스탯 72종'!H24-V424-AD424,0))</x:f>
        <x:v>3</x:v>
      </x:c>
      <x:c r="O424" s="2" t="n">
        <x:f>MAX(0,ROUND('기준스탯 72종'!I24-W424-AE424,0))</x:f>
        <x:v>3</x:v>
      </x:c>
      <x:c r="P424" s="2" t="n">
        <x:f>MAX(0,ROUND('기준스탯 72종'!J24-X424-AF424,0))</x:f>
        <x:v>3</x:v>
      </x:c>
      <x:c r="Q424" s="2" t="n">
        <x:f>MAX(0,ROUND('기준스탯 72종'!K24-Y424-AG424,0))</x:f>
        <x:v>1</x:v>
      </x:c>
      <x:c r="R424" s="15" t="n">
        <x:f>'기준스탯 72종'!D24*G424</x:f>
        <x:v>3.3599999999999994</x:v>
      </x:c>
      <x:c r="S424" s="15" t="n">
        <x:f>'기준스탯 72종'!E24*G424</x:f>
        <x:v>2.0999999999999996</x:v>
      </x:c>
      <x:c r="T424" s="15" t="n">
        <x:f>'기준스탯 72종'!F24*G424</x:f>
        <x:v>2.9399999999999995</x:v>
      </x:c>
      <x:c r="U424" s="15" t="n">
        <x:f>'기준스탯 72종'!G24*G424</x:f>
        <x:v>4.199999999999999</x:v>
      </x:c>
      <x:c r="V424" s="15" t="n">
        <x:f>'기준스탯 72종'!H24*G424</x:f>
        <x:v>2.0999999999999996</x:v>
      </x:c>
      <x:c r="W424" s="15" t="n">
        <x:f>'기준스탯 72종'!I24*G424</x:f>
        <x:v>2.0999999999999996</x:v>
      </x:c>
      <x:c r="X424" s="15" t="n">
        <x:f>'기준스탯 72종'!J24*G424</x:f>
        <x:v>2.0999999999999996</x:v>
      </x:c>
      <x:c r="Y424" s="15" t="n">
        <x:f>'기준스탯 72종'!K24*G424</x:f>
        <x:v>0.41999999999999993</x:v>
      </x:c>
      <x:c r="Z424" s="15" t="n">
        <x:f>'기준스탯 72종'!D24*H424</x:f>
        <x:v>0.4800000000000001</x:v>
      </x:c>
      <x:c r="AA424" s="15" t="n">
        <x:f>'기준스탯 72종'!E24*H424</x:f>
        <x:v>0.30000000000000004</x:v>
      </x:c>
      <x:c r="AB424" s="15" t="n">
        <x:f>'기준스탯 72종'!F24*H424</x:f>
        <x:v>0.4200000000000001</x:v>
      </x:c>
      <x:c r="AC424" s="15" t="n">
        <x:f>'기준스탯 72종'!G24*H424</x:f>
        <x:v>0.6000000000000001</x:v>
      </x:c>
      <x:c r="AD424" s="15" t="n">
        <x:f>'기준스탯 72종'!H24*H424</x:f>
        <x:v>0.30000000000000004</x:v>
      </x:c>
      <x:c r="AE424" s="15" t="n">
        <x:f>'기준스탯 72종'!I24*H424</x:f>
        <x:v>0.30000000000000004</x:v>
      </x:c>
      <x:c r="AF424" s="15" t="n">
        <x:f>'기준스탯 72종'!J24*H424</x:f>
        <x:v>0.30000000000000004</x:v>
      </x:c>
      <x:c r="AG424" s="15" t="n">
        <x:f>'기준스탯 72종'!K24*H424</x:f>
        <x:v>0.06000000000000001</x:v>
      </x:c>
    </x:row>
    <x:row r="425" ht="28" customHeight="1">
      <x:c r="A425" s="2" t="n">
        <x:v>418</x:v>
      </x:c>
      <x:c r="B425" s="2" t="n">
        <x:v>17</x:v>
      </x:c>
      <x:c r="C425" s="2" t="str">
        <x:v>쌍둥이자리</x:v>
      </x:c>
      <x:c r="D425" s="2" t="str">
        <x:v>도적</x:v>
      </x:c>
      <x:c r="E425" s="2" t="n">
        <x:v>3</x:v>
      </x:c>
      <x:c r="F425" s="2" t="n">
        <x:v>4</x:v>
      </x:c>
      <x:c r="G425" s="14" t="n">
        <x:f>('레벨 계산식'!$E$4-E425)*'레벨 계산식'!$B$5</x:f>
        <x:v>0.27999999999999997</x:v>
      </x:c>
      <x:c r="H425" s="14" t="n">
        <x:f>('등급 계산식'!$E$4-F425)*'등급 계산식'!$B$5</x:f>
        <x:v>0.06000000000000001</x:v>
      </x:c>
      <x:c r="I425" s="14" t="n">
        <x:f>1-G425-H425</x:f>
        <x:v>0.6599999999999999</x:v>
      </x:c>
      <x:c r="J425" s="2" t="n">
        <x:f>MAX(1,ROUND('기준스탯 72종'!D24-R425-Z425,0))</x:f>
        <x:v>5</x:v>
      </x:c>
      <x:c r="K425" s="2" t="n">
        <x:f>MAX(1,ROUND('기준스탯 72종'!E24-S425-AA425,0))</x:f>
        <x:v>3</x:v>
      </x:c>
      <x:c r="L425" s="2" t="n">
        <x:f>MAX(1,ROUND('기준스탯 72종'!F24-T425-AB425,0))</x:f>
        <x:v>5</x:v>
      </x:c>
      <x:c r="M425" s="2" t="n">
        <x:f>MAX(1,ROUND('기준스탯 72종'!G24-U425-AC425,0))</x:f>
        <x:v>7</x:v>
      </x:c>
      <x:c r="N425" s="2" t="n">
        <x:f>MAX(0,ROUND('기준스탯 72종'!H24-V425-AD425,0))</x:f>
        <x:v>3</x:v>
      </x:c>
      <x:c r="O425" s="2" t="n">
        <x:f>MAX(0,ROUND('기준스탯 72종'!I24-W425-AE425,0))</x:f>
        <x:v>3</x:v>
      </x:c>
      <x:c r="P425" s="2" t="n">
        <x:f>MAX(0,ROUND('기준스탯 72종'!J24-X425-AF425,0))</x:f>
        <x:v>3</x:v>
      </x:c>
      <x:c r="Q425" s="2" t="n">
        <x:f>MAX(0,ROUND('기준스탯 72종'!K24-Y425-AG425,0))</x:f>
        <x:v>1</x:v>
      </x:c>
      <x:c r="R425" s="15" t="n">
        <x:f>'기준스탯 72종'!D24*G425</x:f>
        <x:v>2.2399999999999998</x:v>
      </x:c>
      <x:c r="S425" s="15" t="n">
        <x:f>'기준스탯 72종'!E24*G425</x:f>
        <x:v>1.4</x:v>
      </x:c>
      <x:c r="T425" s="15" t="n">
        <x:f>'기준스탯 72종'!F24*G425</x:f>
        <x:v>1.9599999999999997</x:v>
      </x:c>
      <x:c r="U425" s="15" t="n">
        <x:f>'기준스탯 72종'!G24*G425</x:f>
        <x:v>2.8</x:v>
      </x:c>
      <x:c r="V425" s="15" t="n">
        <x:f>'기준스탯 72종'!H24*G425</x:f>
        <x:v>1.4</x:v>
      </x:c>
      <x:c r="W425" s="15" t="n">
        <x:f>'기준스탯 72종'!I24*G425</x:f>
        <x:v>1.4</x:v>
      </x:c>
      <x:c r="X425" s="15" t="n">
        <x:f>'기준스탯 72종'!J24*G425</x:f>
        <x:v>1.4</x:v>
      </x:c>
      <x:c r="Y425" s="15" t="n">
        <x:f>'기준스탯 72종'!K24*G425</x:f>
        <x:v>0.27999999999999997</x:v>
      </x:c>
      <x:c r="Z425" s="15" t="n">
        <x:f>'기준스탯 72종'!D24*H425</x:f>
        <x:v>0.4800000000000001</x:v>
      </x:c>
      <x:c r="AA425" s="15" t="n">
        <x:f>'기준스탯 72종'!E24*H425</x:f>
        <x:v>0.30000000000000004</x:v>
      </x:c>
      <x:c r="AB425" s="15" t="n">
        <x:f>'기준스탯 72종'!F24*H425</x:f>
        <x:v>0.4200000000000001</x:v>
      </x:c>
      <x:c r="AC425" s="15" t="n">
        <x:f>'기준스탯 72종'!G24*H425</x:f>
        <x:v>0.6000000000000001</x:v>
      </x:c>
      <x:c r="AD425" s="15" t="n">
        <x:f>'기준스탯 72종'!H24*H425</x:f>
        <x:v>0.30000000000000004</x:v>
      </x:c>
      <x:c r="AE425" s="15" t="n">
        <x:f>'기준스탯 72종'!I24*H425</x:f>
        <x:v>0.30000000000000004</x:v>
      </x:c>
      <x:c r="AF425" s="15" t="n">
        <x:f>'기준스탯 72종'!J24*H425</x:f>
        <x:v>0.30000000000000004</x:v>
      </x:c>
      <x:c r="AG425" s="15" t="n">
        <x:f>'기준스탯 72종'!K24*H425</x:f>
        <x:v>0.06000000000000001</x:v>
      </x:c>
    </x:row>
    <x:row r="426" ht="28" customHeight="1">
      <x:c r="A426" s="2" t="n">
        <x:v>419</x:v>
      </x:c>
      <x:c r="B426" s="2" t="n">
        <x:v>17</x:v>
      </x:c>
      <x:c r="C426" s="2" t="str">
        <x:v>쌍둥이자리</x:v>
      </x:c>
      <x:c r="D426" s="2" t="str">
        <x:v>도적</x:v>
      </x:c>
      <x:c r="E426" s="2" t="n">
        <x:v>4</x:v>
      </x:c>
      <x:c r="F426" s="2" t="n">
        <x:v>4</x:v>
      </x:c>
      <x:c r="G426" s="14" t="n">
        <x:f>('레벨 계산식'!$E$4-E426)*'레벨 계산식'!$B$5</x:f>
        <x:v>0.13999999999999999</x:v>
      </x:c>
      <x:c r="H426" s="14" t="n">
        <x:f>('등급 계산식'!$E$4-F426)*'등급 계산식'!$B$5</x:f>
        <x:v>0.06000000000000001</x:v>
      </x:c>
      <x:c r="I426" s="14" t="n">
        <x:f>1-G426-H426</x:f>
        <x:v>0.7999999999999999</x:v>
      </x:c>
      <x:c r="J426" s="2" t="n">
        <x:f>MAX(1,ROUND('기준스탯 72종'!D24-R426-Z426,0))</x:f>
        <x:v>6</x:v>
      </x:c>
      <x:c r="K426" s="2" t="n">
        <x:f>MAX(1,ROUND('기준스탯 72종'!E24-S426-AA426,0))</x:f>
        <x:v>4</x:v>
      </x:c>
      <x:c r="L426" s="2" t="n">
        <x:f>MAX(1,ROUND('기준스탯 72종'!F24-T426-AB426,0))</x:f>
        <x:v>6</x:v>
      </x:c>
      <x:c r="M426" s="2" t="n">
        <x:f>MAX(1,ROUND('기준스탯 72종'!G24-U426-AC426,0))</x:f>
        <x:v>8</x:v>
      </x:c>
      <x:c r="N426" s="2" t="n">
        <x:f>MAX(0,ROUND('기준스탯 72종'!H24-V426-AD426,0))</x:f>
        <x:v>4</x:v>
      </x:c>
      <x:c r="O426" s="2" t="n">
        <x:f>MAX(0,ROUND('기준스탯 72종'!I24-W426-AE426,0))</x:f>
        <x:v>4</x:v>
      </x:c>
      <x:c r="P426" s="2" t="n">
        <x:f>MAX(0,ROUND('기준스탯 72종'!J24-X426-AF426,0))</x:f>
        <x:v>4</x:v>
      </x:c>
      <x:c r="Q426" s="2" t="n">
        <x:f>MAX(0,ROUND('기준스탯 72종'!K24-Y426-AG426,0))</x:f>
        <x:v>1</x:v>
      </x:c>
      <x:c r="R426" s="15" t="n">
        <x:f>'기준스탯 72종'!D24*G426</x:f>
        <x:v>1.1199999999999999</x:v>
      </x:c>
      <x:c r="S426" s="15" t="n">
        <x:f>'기준스탯 72종'!E24*G426</x:f>
        <x:v>0.7</x:v>
      </x:c>
      <x:c r="T426" s="15" t="n">
        <x:f>'기준스탯 72종'!F24*G426</x:f>
        <x:v>0.9799999999999999</x:v>
      </x:c>
      <x:c r="U426" s="15" t="n">
        <x:f>'기준스탯 72종'!G24*G426</x:f>
        <x:v>1.4</x:v>
      </x:c>
      <x:c r="V426" s="15" t="n">
        <x:f>'기준스탯 72종'!H24*G426</x:f>
        <x:v>0.7</x:v>
      </x:c>
      <x:c r="W426" s="15" t="n">
        <x:f>'기준스탯 72종'!I24*G426</x:f>
        <x:v>0.7</x:v>
      </x:c>
      <x:c r="X426" s="15" t="n">
        <x:f>'기준스탯 72종'!J24*G426</x:f>
        <x:v>0.7</x:v>
      </x:c>
      <x:c r="Y426" s="15" t="n">
        <x:f>'기준스탯 72종'!K24*G426</x:f>
        <x:v>0.13999999999999999</x:v>
      </x:c>
      <x:c r="Z426" s="15" t="n">
        <x:f>'기준스탯 72종'!D24*H426</x:f>
        <x:v>0.4800000000000001</x:v>
      </x:c>
      <x:c r="AA426" s="15" t="n">
        <x:f>'기준스탯 72종'!E24*H426</x:f>
        <x:v>0.30000000000000004</x:v>
      </x:c>
      <x:c r="AB426" s="15" t="n">
        <x:f>'기준스탯 72종'!F24*H426</x:f>
        <x:v>0.4200000000000001</x:v>
      </x:c>
      <x:c r="AC426" s="15" t="n">
        <x:f>'기준스탯 72종'!G24*H426</x:f>
        <x:v>0.6000000000000001</x:v>
      </x:c>
      <x:c r="AD426" s="15" t="n">
        <x:f>'기준스탯 72종'!H24*H426</x:f>
        <x:v>0.30000000000000004</x:v>
      </x:c>
      <x:c r="AE426" s="15" t="n">
        <x:f>'기준스탯 72종'!I24*H426</x:f>
        <x:v>0.30000000000000004</x:v>
      </x:c>
      <x:c r="AF426" s="15" t="n">
        <x:f>'기준스탯 72종'!J24*H426</x:f>
        <x:v>0.30000000000000004</x:v>
      </x:c>
      <x:c r="AG426" s="15" t="n">
        <x:f>'기준스탯 72종'!K24*H426</x:f>
        <x:v>0.06000000000000001</x:v>
      </x:c>
    </x:row>
    <x:row r="427" ht="28" customHeight="1">
      <x:c r="A427" s="2" t="n">
        <x:v>420</x:v>
      </x:c>
      <x:c r="B427" s="2" t="n">
        <x:v>17</x:v>
      </x:c>
      <x:c r="C427" s="2" t="str">
        <x:v>쌍둥이자리</x:v>
      </x:c>
      <x:c r="D427" s="2" t="str">
        <x:v>도적</x:v>
      </x:c>
      <x:c r="E427" s="2" t="n">
        <x:v>5</x:v>
      </x:c>
      <x:c r="F427" s="2" t="n">
        <x:v>4</x:v>
      </x:c>
      <x:c r="G427" s="14" t="n">
        <x:f>('레벨 계산식'!$E$4-E427)*'레벨 계산식'!$B$5</x:f>
        <x:v>0</x:v>
      </x:c>
      <x:c r="H427" s="14" t="n">
        <x:f>('등급 계산식'!$E$4-F427)*'등급 계산식'!$B$5</x:f>
        <x:v>0.06000000000000001</x:v>
      </x:c>
      <x:c r="I427" s="14" t="n">
        <x:f>1-G427-H427</x:f>
        <x:v>0.94</x:v>
      </x:c>
      <x:c r="J427" s="2" t="n">
        <x:f>MAX(1,ROUND('기준스탯 72종'!D24-R427-Z427,0))</x:f>
        <x:v>8</x:v>
      </x:c>
      <x:c r="K427" s="2" t="n">
        <x:f>MAX(1,ROUND('기준스탯 72종'!E24-S427-AA427,0))</x:f>
        <x:v>5</x:v>
      </x:c>
      <x:c r="L427" s="2" t="n">
        <x:f>MAX(1,ROUND('기준스탯 72종'!F24-T427-AB427,0))</x:f>
        <x:v>7</x:v>
      </x:c>
      <x:c r="M427" s="2" t="n">
        <x:f>MAX(1,ROUND('기준스탯 72종'!G24-U427-AC427,0))</x:f>
        <x:v>9</x:v>
      </x:c>
      <x:c r="N427" s="2" t="n">
        <x:f>MAX(0,ROUND('기준스탯 72종'!H24-V427-AD427,0))</x:f>
        <x:v>5</x:v>
      </x:c>
      <x:c r="O427" s="2" t="n">
        <x:f>MAX(0,ROUND('기준스탯 72종'!I24-W427-AE427,0))</x:f>
        <x:v>5</x:v>
      </x:c>
      <x:c r="P427" s="2" t="n">
        <x:f>MAX(0,ROUND('기준스탯 72종'!J24-X427-AF427,0))</x:f>
        <x:v>5</x:v>
      </x:c>
      <x:c r="Q427" s="2" t="n">
        <x:f>MAX(0,ROUND('기준스탯 72종'!K24-Y427-AG427,0))</x:f>
        <x:v>1</x:v>
      </x:c>
      <x:c r="R427" s="15" t="n">
        <x:f>'기준스탯 72종'!D24*G427</x:f>
        <x:v>0</x:v>
      </x:c>
      <x:c r="S427" s="15" t="n">
        <x:f>'기준스탯 72종'!E24*G427</x:f>
        <x:v>0</x:v>
      </x:c>
      <x:c r="T427" s="15" t="n">
        <x:f>'기준스탯 72종'!F24*G427</x:f>
        <x:v>0</x:v>
      </x:c>
      <x:c r="U427" s="15" t="n">
        <x:f>'기준스탯 72종'!G24*G427</x:f>
        <x:v>0</x:v>
      </x:c>
      <x:c r="V427" s="15" t="n">
        <x:f>'기준스탯 72종'!H24*G427</x:f>
        <x:v>0</x:v>
      </x:c>
      <x:c r="W427" s="15" t="n">
        <x:f>'기준스탯 72종'!I24*G427</x:f>
        <x:v>0</x:v>
      </x:c>
      <x:c r="X427" s="15" t="n">
        <x:f>'기준스탯 72종'!J24*G427</x:f>
        <x:v>0</x:v>
      </x:c>
      <x:c r="Y427" s="15" t="n">
        <x:f>'기준스탯 72종'!K24*G427</x:f>
        <x:v>0</x:v>
      </x:c>
      <x:c r="Z427" s="15" t="n">
        <x:f>'기준스탯 72종'!D24*H427</x:f>
        <x:v>0.4800000000000001</x:v>
      </x:c>
      <x:c r="AA427" s="15" t="n">
        <x:f>'기준스탯 72종'!E24*H427</x:f>
        <x:v>0.30000000000000004</x:v>
      </x:c>
      <x:c r="AB427" s="15" t="n">
        <x:f>'기준스탯 72종'!F24*H427</x:f>
        <x:v>0.4200000000000001</x:v>
      </x:c>
      <x:c r="AC427" s="15" t="n">
        <x:f>'기준스탯 72종'!G24*H427</x:f>
        <x:v>0.6000000000000001</x:v>
      </x:c>
      <x:c r="AD427" s="15" t="n">
        <x:f>'기준스탯 72종'!H24*H427</x:f>
        <x:v>0.30000000000000004</x:v>
      </x:c>
      <x:c r="AE427" s="15" t="n">
        <x:f>'기준스탯 72종'!I24*H427</x:f>
        <x:v>0.30000000000000004</x:v>
      </x:c>
      <x:c r="AF427" s="15" t="n">
        <x:f>'기준스탯 72종'!J24*H427</x:f>
        <x:v>0.30000000000000004</x:v>
      </x:c>
      <x:c r="AG427" s="15" t="n">
        <x:f>'기준스탯 72종'!K24*H427</x:f>
        <x:v>0.06000000000000001</x:v>
      </x:c>
    </x:row>
    <x:row r="428" ht="28" customHeight="1">
      <x:c r="A428" s="2" t="n">
        <x:v>421</x:v>
      </x:c>
      <x:c r="B428" s="2" t="n">
        <x:v>17</x:v>
      </x:c>
      <x:c r="C428" s="2" t="str">
        <x:v>쌍둥이자리</x:v>
      </x:c>
      <x:c r="D428" s="2" t="str">
        <x:v>도적</x:v>
      </x:c>
      <x:c r="E428" s="2" t="n">
        <x:v>1</x:v>
      </x:c>
      <x:c r="F428" s="2" t="n">
        <x:v>5</x:v>
      </x:c>
      <x:c r="G428" s="14" t="n">
        <x:f>('레벨 계산식'!$E$4-E428)*'레벨 계산식'!$B$5</x:f>
        <x:v>0.5599999999999999</x:v>
      </x:c>
      <x:c r="H428" s="14" t="n">
        <x:f>('등급 계산식'!$E$4-F428)*'등급 계산식'!$B$5</x:f>
        <x:v>0</x:v>
      </x:c>
      <x:c r="I428" s="14" t="n">
        <x:f>1-G428-H428</x:f>
        <x:v>0.44000000000000006</x:v>
      </x:c>
      <x:c r="J428" s="2" t="n">
        <x:f>MAX(1,ROUND('기준스탯 72종'!D24-R428-Z428,0))</x:f>
        <x:v>4</x:v>
      </x:c>
      <x:c r="K428" s="2" t="n">
        <x:f>MAX(1,ROUND('기준스탯 72종'!E24-S428-AA428,0))</x:f>
        <x:v>2</x:v>
      </x:c>
      <x:c r="L428" s="2" t="n">
        <x:f>MAX(1,ROUND('기준스탯 72종'!F24-T428-AB428,0))</x:f>
        <x:v>3</x:v>
      </x:c>
      <x:c r="M428" s="2" t="n">
        <x:f>MAX(1,ROUND('기준스탯 72종'!G24-U428-AC428,0))</x:f>
        <x:v>4</x:v>
      </x:c>
      <x:c r="N428" s="2" t="n">
        <x:f>MAX(0,ROUND('기준스탯 72종'!H24-V428-AD428,0))</x:f>
        <x:v>2</x:v>
      </x:c>
      <x:c r="O428" s="2" t="n">
        <x:f>MAX(0,ROUND('기준스탯 72종'!I24-W428-AE428,0))</x:f>
        <x:v>2</x:v>
      </x:c>
      <x:c r="P428" s="2" t="n">
        <x:f>MAX(0,ROUND('기준스탯 72종'!J24-X428-AF428,0))</x:f>
        <x:v>2</x:v>
      </x:c>
      <x:c r="Q428" s="2" t="n">
        <x:f>MAX(0,ROUND('기준스탯 72종'!K24-Y428-AG428,0))</x:f>
        <x:v>0</x:v>
      </x:c>
      <x:c r="R428" s="15" t="n">
        <x:f>'기준스탯 72종'!D24*G428</x:f>
        <x:v>4.4799999999999995</x:v>
      </x:c>
      <x:c r="S428" s="15" t="n">
        <x:f>'기준스탯 72종'!E24*G428</x:f>
        <x:v>2.8</x:v>
      </x:c>
      <x:c r="T428" s="15" t="n">
        <x:f>'기준스탯 72종'!F24*G428</x:f>
        <x:v>3.9199999999999995</x:v>
      </x:c>
      <x:c r="U428" s="15" t="n">
        <x:f>'기준스탯 72종'!G24*G428</x:f>
        <x:v>5.6</x:v>
      </x:c>
      <x:c r="V428" s="15" t="n">
        <x:f>'기준스탯 72종'!H24*G428</x:f>
        <x:v>2.8</x:v>
      </x:c>
      <x:c r="W428" s="15" t="n">
        <x:f>'기준스탯 72종'!I24*G428</x:f>
        <x:v>2.8</x:v>
      </x:c>
      <x:c r="X428" s="15" t="n">
        <x:f>'기준스탯 72종'!J24*G428</x:f>
        <x:v>2.8</x:v>
      </x:c>
      <x:c r="Y428" s="15" t="n">
        <x:f>'기준스탯 72종'!K24*G428</x:f>
        <x:v>0.5599999999999999</x:v>
      </x:c>
      <x:c r="Z428" s="15" t="n">
        <x:f>'기준스탯 72종'!D24*H428</x:f>
        <x:v>0</x:v>
      </x:c>
      <x:c r="AA428" s="15" t="n">
        <x:f>'기준스탯 72종'!E24*H428</x:f>
        <x:v>0</x:v>
      </x:c>
      <x:c r="AB428" s="15" t="n">
        <x:f>'기준스탯 72종'!F24*H428</x:f>
        <x:v>0</x:v>
      </x:c>
      <x:c r="AC428" s="15" t="n">
        <x:f>'기준스탯 72종'!G24*H428</x:f>
        <x:v>0</x:v>
      </x:c>
      <x:c r="AD428" s="15" t="n">
        <x:f>'기준스탯 72종'!H24*H428</x:f>
        <x:v>0</x:v>
      </x:c>
      <x:c r="AE428" s="15" t="n">
        <x:f>'기준스탯 72종'!I24*H428</x:f>
        <x:v>0</x:v>
      </x:c>
      <x:c r="AF428" s="15" t="n">
        <x:f>'기준스탯 72종'!J24*H428</x:f>
        <x:v>0</x:v>
      </x:c>
      <x:c r="AG428" s="15" t="n">
        <x:f>'기준스탯 72종'!K24*H428</x:f>
        <x:v>0</x:v>
      </x:c>
    </x:row>
    <x:row r="429" ht="28" customHeight="1">
      <x:c r="A429" s="2" t="n">
        <x:v>422</x:v>
      </x:c>
      <x:c r="B429" s="2" t="n">
        <x:v>17</x:v>
      </x:c>
      <x:c r="C429" s="2" t="str">
        <x:v>쌍둥이자리</x:v>
      </x:c>
      <x:c r="D429" s="2" t="str">
        <x:v>도적</x:v>
      </x:c>
      <x:c r="E429" s="2" t="n">
        <x:v>2</x:v>
      </x:c>
      <x:c r="F429" s="2" t="n">
        <x:v>5</x:v>
      </x:c>
      <x:c r="G429" s="14" t="n">
        <x:f>('레벨 계산식'!$E$4-E429)*'레벨 계산식'!$B$5</x:f>
        <x:v>0.41999999999999993</x:v>
      </x:c>
      <x:c r="H429" s="14" t="n">
        <x:f>('등급 계산식'!$E$4-F429)*'등급 계산식'!$B$5</x:f>
        <x:v>0</x:v>
      </x:c>
      <x:c r="I429" s="14" t="n">
        <x:f>1-G429-H429</x:f>
        <x:v>0.5800000000000001</x:v>
      </x:c>
      <x:c r="J429" s="2" t="n">
        <x:f>MAX(1,ROUND('기준스탯 72종'!D24-R429-Z429,0))</x:f>
        <x:v>5</x:v>
      </x:c>
      <x:c r="K429" s="2" t="n">
        <x:f>MAX(1,ROUND('기준스탯 72종'!E24-S429-AA429,0))</x:f>
        <x:v>3</x:v>
      </x:c>
      <x:c r="L429" s="2" t="n">
        <x:f>MAX(1,ROUND('기준스탯 72종'!F24-T429-AB429,0))</x:f>
        <x:v>4</x:v>
      </x:c>
      <x:c r="M429" s="2" t="n">
        <x:f>MAX(1,ROUND('기준스탯 72종'!G24-U429-AC429,0))</x:f>
        <x:v>6</x:v>
      </x:c>
      <x:c r="N429" s="2" t="n">
        <x:f>MAX(0,ROUND('기준스탯 72종'!H24-V429-AD429,0))</x:f>
        <x:v>3</x:v>
      </x:c>
      <x:c r="O429" s="2" t="n">
        <x:f>MAX(0,ROUND('기준스탯 72종'!I24-W429-AE429,0))</x:f>
        <x:v>3</x:v>
      </x:c>
      <x:c r="P429" s="2" t="n">
        <x:f>MAX(0,ROUND('기준스탯 72종'!J24-X429-AF429,0))</x:f>
        <x:v>3</x:v>
      </x:c>
      <x:c r="Q429" s="2" t="n">
        <x:f>MAX(0,ROUND('기준스탯 72종'!K24-Y429-AG429,0))</x:f>
        <x:v>1</x:v>
      </x:c>
      <x:c r="R429" s="15" t="n">
        <x:f>'기준스탯 72종'!D24*G429</x:f>
        <x:v>3.3599999999999994</x:v>
      </x:c>
      <x:c r="S429" s="15" t="n">
        <x:f>'기준스탯 72종'!E24*G429</x:f>
        <x:v>2.0999999999999996</x:v>
      </x:c>
      <x:c r="T429" s="15" t="n">
        <x:f>'기준스탯 72종'!F24*G429</x:f>
        <x:v>2.9399999999999995</x:v>
      </x:c>
      <x:c r="U429" s="15" t="n">
        <x:f>'기준스탯 72종'!G24*G429</x:f>
        <x:v>4.199999999999999</x:v>
      </x:c>
      <x:c r="V429" s="15" t="n">
        <x:f>'기준스탯 72종'!H24*G429</x:f>
        <x:v>2.0999999999999996</x:v>
      </x:c>
      <x:c r="W429" s="15" t="n">
        <x:f>'기준스탯 72종'!I24*G429</x:f>
        <x:v>2.0999999999999996</x:v>
      </x:c>
      <x:c r="X429" s="15" t="n">
        <x:f>'기준스탯 72종'!J24*G429</x:f>
        <x:v>2.0999999999999996</x:v>
      </x:c>
      <x:c r="Y429" s="15" t="n">
        <x:f>'기준스탯 72종'!K24*G429</x:f>
        <x:v>0.41999999999999993</x:v>
      </x:c>
      <x:c r="Z429" s="15" t="n">
        <x:f>'기준스탯 72종'!D24*H429</x:f>
        <x:v>0</x:v>
      </x:c>
      <x:c r="AA429" s="15" t="n">
        <x:f>'기준스탯 72종'!E24*H429</x:f>
        <x:v>0</x:v>
      </x:c>
      <x:c r="AB429" s="15" t="n">
        <x:f>'기준스탯 72종'!F24*H429</x:f>
        <x:v>0</x:v>
      </x:c>
      <x:c r="AC429" s="15" t="n">
        <x:f>'기준스탯 72종'!G24*H429</x:f>
        <x:v>0</x:v>
      </x:c>
      <x:c r="AD429" s="15" t="n">
        <x:f>'기준스탯 72종'!H24*H429</x:f>
        <x:v>0</x:v>
      </x:c>
      <x:c r="AE429" s="15" t="n">
        <x:f>'기준스탯 72종'!I24*H429</x:f>
        <x:v>0</x:v>
      </x:c>
      <x:c r="AF429" s="15" t="n">
        <x:f>'기준스탯 72종'!J24*H429</x:f>
        <x:v>0</x:v>
      </x:c>
      <x:c r="AG429" s="15" t="n">
        <x:f>'기준스탯 72종'!K24*H429</x:f>
        <x:v>0</x:v>
      </x:c>
    </x:row>
    <x:row r="430" ht="28" customHeight="1">
      <x:c r="A430" s="2" t="n">
        <x:v>423</x:v>
      </x:c>
      <x:c r="B430" s="2" t="n">
        <x:v>17</x:v>
      </x:c>
      <x:c r="C430" s="2" t="str">
        <x:v>쌍둥이자리</x:v>
      </x:c>
      <x:c r="D430" s="2" t="str">
        <x:v>도적</x:v>
      </x:c>
      <x:c r="E430" s="2" t="n">
        <x:v>3</x:v>
      </x:c>
      <x:c r="F430" s="2" t="n">
        <x:v>5</x:v>
      </x:c>
      <x:c r="G430" s="14" t="n">
        <x:f>('레벨 계산식'!$E$4-E430)*'레벨 계산식'!$B$5</x:f>
        <x:v>0.27999999999999997</x:v>
      </x:c>
      <x:c r="H430" s="14" t="n">
        <x:f>('등급 계산식'!$E$4-F430)*'등급 계산식'!$B$5</x:f>
        <x:v>0</x:v>
      </x:c>
      <x:c r="I430" s="14" t="n">
        <x:f>1-G430-H430</x:f>
        <x:v>0.72</x:v>
      </x:c>
      <x:c r="J430" s="2" t="n">
        <x:f>MAX(1,ROUND('기준스탯 72종'!D24-R430-Z430,0))</x:f>
        <x:v>6</x:v>
      </x:c>
      <x:c r="K430" s="2" t="n">
        <x:f>MAX(1,ROUND('기준스탯 72종'!E24-S430-AA430,0))</x:f>
        <x:v>4</x:v>
      </x:c>
      <x:c r="L430" s="2" t="n">
        <x:f>MAX(1,ROUND('기준스탯 72종'!F24-T430-AB430,0))</x:f>
        <x:v>5</x:v>
      </x:c>
      <x:c r="M430" s="2" t="n">
        <x:f>MAX(1,ROUND('기준스탯 72종'!G24-U430-AC430,0))</x:f>
        <x:v>7</x:v>
      </x:c>
      <x:c r="N430" s="2" t="n">
        <x:f>MAX(0,ROUND('기준스탯 72종'!H24-V430-AD430,0))</x:f>
        <x:v>4</x:v>
      </x:c>
      <x:c r="O430" s="2" t="n">
        <x:f>MAX(0,ROUND('기준스탯 72종'!I24-W430-AE430,0))</x:f>
        <x:v>4</x:v>
      </x:c>
      <x:c r="P430" s="2" t="n">
        <x:f>MAX(0,ROUND('기준스탯 72종'!J24-X430-AF430,0))</x:f>
        <x:v>4</x:v>
      </x:c>
      <x:c r="Q430" s="2" t="n">
        <x:f>MAX(0,ROUND('기준스탯 72종'!K24-Y430-AG430,0))</x:f>
        <x:v>1</x:v>
      </x:c>
      <x:c r="R430" s="15" t="n">
        <x:f>'기준스탯 72종'!D24*G430</x:f>
        <x:v>2.2399999999999998</x:v>
      </x:c>
      <x:c r="S430" s="15" t="n">
        <x:f>'기준스탯 72종'!E24*G430</x:f>
        <x:v>1.4</x:v>
      </x:c>
      <x:c r="T430" s="15" t="n">
        <x:f>'기준스탯 72종'!F24*G430</x:f>
        <x:v>1.9599999999999997</x:v>
      </x:c>
      <x:c r="U430" s="15" t="n">
        <x:f>'기준스탯 72종'!G24*G430</x:f>
        <x:v>2.8</x:v>
      </x:c>
      <x:c r="V430" s="15" t="n">
        <x:f>'기준스탯 72종'!H24*G430</x:f>
        <x:v>1.4</x:v>
      </x:c>
      <x:c r="W430" s="15" t="n">
        <x:f>'기준스탯 72종'!I24*G430</x:f>
        <x:v>1.4</x:v>
      </x:c>
      <x:c r="X430" s="15" t="n">
        <x:f>'기준스탯 72종'!J24*G430</x:f>
        <x:v>1.4</x:v>
      </x:c>
      <x:c r="Y430" s="15" t="n">
        <x:f>'기준스탯 72종'!K24*G430</x:f>
        <x:v>0.27999999999999997</x:v>
      </x:c>
      <x:c r="Z430" s="15" t="n">
        <x:f>'기준스탯 72종'!D24*H430</x:f>
        <x:v>0</x:v>
      </x:c>
      <x:c r="AA430" s="15" t="n">
        <x:f>'기준스탯 72종'!E24*H430</x:f>
        <x:v>0</x:v>
      </x:c>
      <x:c r="AB430" s="15" t="n">
        <x:f>'기준스탯 72종'!F24*H430</x:f>
        <x:v>0</x:v>
      </x:c>
      <x:c r="AC430" s="15" t="n">
        <x:f>'기준스탯 72종'!G24*H430</x:f>
        <x:v>0</x:v>
      </x:c>
      <x:c r="AD430" s="15" t="n">
        <x:f>'기준스탯 72종'!H24*H430</x:f>
        <x:v>0</x:v>
      </x:c>
      <x:c r="AE430" s="15" t="n">
        <x:f>'기준스탯 72종'!I24*H430</x:f>
        <x:v>0</x:v>
      </x:c>
      <x:c r="AF430" s="15" t="n">
        <x:f>'기준스탯 72종'!J24*H430</x:f>
        <x:v>0</x:v>
      </x:c>
      <x:c r="AG430" s="15" t="n">
        <x:f>'기준스탯 72종'!K24*H430</x:f>
        <x:v>0</x:v>
      </x:c>
    </x:row>
    <x:row r="431" ht="28" customHeight="1">
      <x:c r="A431" s="2" t="n">
        <x:v>424</x:v>
      </x:c>
      <x:c r="B431" s="2" t="n">
        <x:v>17</x:v>
      </x:c>
      <x:c r="C431" s="2" t="str">
        <x:v>쌍둥이자리</x:v>
      </x:c>
      <x:c r="D431" s="2" t="str">
        <x:v>도적</x:v>
      </x:c>
      <x:c r="E431" s="2" t="n">
        <x:v>4</x:v>
      </x:c>
      <x:c r="F431" s="2" t="n">
        <x:v>5</x:v>
      </x:c>
      <x:c r="G431" s="14" t="n">
        <x:f>('레벨 계산식'!$E$4-E431)*'레벨 계산식'!$B$5</x:f>
        <x:v>0.13999999999999999</x:v>
      </x:c>
      <x:c r="H431" s="14" t="n">
        <x:f>('등급 계산식'!$E$4-F431)*'등급 계산식'!$B$5</x:f>
        <x:v>0</x:v>
      </x:c>
      <x:c r="I431" s="14" t="n">
        <x:f>1-G431-H431</x:f>
        <x:v>0.86</x:v>
      </x:c>
      <x:c r="J431" s="2" t="n">
        <x:f>MAX(1,ROUND('기준스탯 72종'!D24-R431-Z431,0))</x:f>
        <x:v>7</x:v>
      </x:c>
      <x:c r="K431" s="2" t="n">
        <x:f>MAX(1,ROUND('기준스탯 72종'!E24-S431-AA431,0))</x:f>
        <x:v>4</x:v>
      </x:c>
      <x:c r="L431" s="2" t="n">
        <x:f>MAX(1,ROUND('기준스탯 72종'!F24-T431-AB431,0))</x:f>
        <x:v>6</x:v>
      </x:c>
      <x:c r="M431" s="2" t="n">
        <x:f>MAX(1,ROUND('기준스탯 72종'!G24-U431-AC431,0))</x:f>
        <x:v>9</x:v>
      </x:c>
      <x:c r="N431" s="2" t="n">
        <x:f>MAX(0,ROUND('기준스탯 72종'!H24-V431-AD431,0))</x:f>
        <x:v>4</x:v>
      </x:c>
      <x:c r="O431" s="2" t="n">
        <x:f>MAX(0,ROUND('기준스탯 72종'!I24-W431-AE431,0))</x:f>
        <x:v>4</x:v>
      </x:c>
      <x:c r="P431" s="2" t="n">
        <x:f>MAX(0,ROUND('기준스탯 72종'!J24-X431-AF431,0))</x:f>
        <x:v>4</x:v>
      </x:c>
      <x:c r="Q431" s="2" t="n">
        <x:f>MAX(0,ROUND('기준스탯 72종'!K24-Y431-AG431,0))</x:f>
        <x:v>1</x:v>
      </x:c>
      <x:c r="R431" s="15" t="n">
        <x:f>'기준스탯 72종'!D24*G431</x:f>
        <x:v>1.1199999999999999</x:v>
      </x:c>
      <x:c r="S431" s="15" t="n">
        <x:f>'기준스탯 72종'!E24*G431</x:f>
        <x:v>0.7</x:v>
      </x:c>
      <x:c r="T431" s="15" t="n">
        <x:f>'기준스탯 72종'!F24*G431</x:f>
        <x:v>0.9799999999999999</x:v>
      </x:c>
      <x:c r="U431" s="15" t="n">
        <x:f>'기준스탯 72종'!G24*G431</x:f>
        <x:v>1.4</x:v>
      </x:c>
      <x:c r="V431" s="15" t="n">
        <x:f>'기준스탯 72종'!H24*G431</x:f>
        <x:v>0.7</x:v>
      </x:c>
      <x:c r="W431" s="15" t="n">
        <x:f>'기준스탯 72종'!I24*G431</x:f>
        <x:v>0.7</x:v>
      </x:c>
      <x:c r="X431" s="15" t="n">
        <x:f>'기준스탯 72종'!J24*G431</x:f>
        <x:v>0.7</x:v>
      </x:c>
      <x:c r="Y431" s="15" t="n">
        <x:f>'기준스탯 72종'!K24*G431</x:f>
        <x:v>0.13999999999999999</x:v>
      </x:c>
      <x:c r="Z431" s="15" t="n">
        <x:f>'기준스탯 72종'!D24*H431</x:f>
        <x:v>0</x:v>
      </x:c>
      <x:c r="AA431" s="15" t="n">
        <x:f>'기준스탯 72종'!E24*H431</x:f>
        <x:v>0</x:v>
      </x:c>
      <x:c r="AB431" s="15" t="n">
        <x:f>'기준스탯 72종'!F24*H431</x:f>
        <x:v>0</x:v>
      </x:c>
      <x:c r="AC431" s="15" t="n">
        <x:f>'기준스탯 72종'!G24*H431</x:f>
        <x:v>0</x:v>
      </x:c>
      <x:c r="AD431" s="15" t="n">
        <x:f>'기준스탯 72종'!H24*H431</x:f>
        <x:v>0</x:v>
      </x:c>
      <x:c r="AE431" s="15" t="n">
        <x:f>'기준스탯 72종'!I24*H431</x:f>
        <x:v>0</x:v>
      </x:c>
      <x:c r="AF431" s="15" t="n">
        <x:f>'기준스탯 72종'!J24*H431</x:f>
        <x:v>0</x:v>
      </x:c>
      <x:c r="AG431" s="15" t="n">
        <x:f>'기준스탯 72종'!K24*H431</x:f>
        <x:v>0</x:v>
      </x:c>
    </x:row>
    <x:row r="432" ht="28" customHeight="1">
      <x:c r="A432" s="2" t="n">
        <x:v>425</x:v>
      </x:c>
      <x:c r="B432" s="2" t="n">
        <x:v>17</x:v>
      </x:c>
      <x:c r="C432" s="2" t="str">
        <x:v>쌍둥이자리</x:v>
      </x:c>
      <x:c r="D432" s="2" t="str">
        <x:v>도적</x:v>
      </x:c>
      <x:c r="E432" s="2" t="n">
        <x:v>5</x:v>
      </x:c>
      <x:c r="F432" s="2" t="n">
        <x:v>5</x:v>
      </x:c>
      <x:c r="G432" s="14" t="n">
        <x:f>('레벨 계산식'!$E$4-E432)*'레벨 계산식'!$B$5</x:f>
        <x:v>0</x:v>
      </x:c>
      <x:c r="H432" s="14" t="n">
        <x:f>('등급 계산식'!$E$4-F432)*'등급 계산식'!$B$5</x:f>
        <x:v>0</x:v>
      </x:c>
      <x:c r="I432" s="14" t="n">
        <x:f>1-G432-H432</x:f>
        <x:v>1</x:v>
      </x:c>
      <x:c r="J432" s="2" t="n">
        <x:f>MAX(1,ROUND('기준스탯 72종'!D24-R432-Z432,0))</x:f>
        <x:v>8</x:v>
      </x:c>
      <x:c r="K432" s="2" t="n">
        <x:f>MAX(1,ROUND('기준스탯 72종'!E24-S432-AA432,0))</x:f>
        <x:v>5</x:v>
      </x:c>
      <x:c r="L432" s="2" t="n">
        <x:f>MAX(1,ROUND('기준스탯 72종'!F24-T432-AB432,0))</x:f>
        <x:v>7</x:v>
      </x:c>
      <x:c r="M432" s="2" t="n">
        <x:f>MAX(1,ROUND('기준스탯 72종'!G24-U432-AC432,0))</x:f>
        <x:v>10</x:v>
      </x:c>
      <x:c r="N432" s="2" t="n">
        <x:f>MAX(0,ROUND('기준스탯 72종'!H24-V432-AD432,0))</x:f>
        <x:v>5</x:v>
      </x:c>
      <x:c r="O432" s="2" t="n">
        <x:f>MAX(0,ROUND('기준스탯 72종'!I24-W432-AE432,0))</x:f>
        <x:v>5</x:v>
      </x:c>
      <x:c r="P432" s="2" t="n">
        <x:f>MAX(0,ROUND('기준스탯 72종'!J24-X432-AF432,0))</x:f>
        <x:v>5</x:v>
      </x:c>
      <x:c r="Q432" s="2" t="n">
        <x:f>MAX(0,ROUND('기준스탯 72종'!K24-Y432-AG432,0))</x:f>
        <x:v>1</x:v>
      </x:c>
      <x:c r="R432" s="15" t="n">
        <x:f>'기준스탯 72종'!D24*G432</x:f>
        <x:v>0</x:v>
      </x:c>
      <x:c r="S432" s="15" t="n">
        <x:f>'기준스탯 72종'!E24*G432</x:f>
        <x:v>0</x:v>
      </x:c>
      <x:c r="T432" s="15" t="n">
        <x:f>'기준스탯 72종'!F24*G432</x:f>
        <x:v>0</x:v>
      </x:c>
      <x:c r="U432" s="15" t="n">
        <x:f>'기준스탯 72종'!G24*G432</x:f>
        <x:v>0</x:v>
      </x:c>
      <x:c r="V432" s="15" t="n">
        <x:f>'기준스탯 72종'!H24*G432</x:f>
        <x:v>0</x:v>
      </x:c>
      <x:c r="W432" s="15" t="n">
        <x:f>'기준스탯 72종'!I24*G432</x:f>
        <x:v>0</x:v>
      </x:c>
      <x:c r="X432" s="15" t="n">
        <x:f>'기준스탯 72종'!J24*G432</x:f>
        <x:v>0</x:v>
      </x:c>
      <x:c r="Y432" s="15" t="n">
        <x:f>'기준스탯 72종'!K24*G432</x:f>
        <x:v>0</x:v>
      </x:c>
      <x:c r="Z432" s="15" t="n">
        <x:f>'기준스탯 72종'!D24*H432</x:f>
        <x:v>0</x:v>
      </x:c>
      <x:c r="AA432" s="15" t="n">
        <x:f>'기준스탯 72종'!E24*H432</x:f>
        <x:v>0</x:v>
      </x:c>
      <x:c r="AB432" s="15" t="n">
        <x:f>'기준스탯 72종'!F24*H432</x:f>
        <x:v>0</x:v>
      </x:c>
      <x:c r="AC432" s="15" t="n">
        <x:f>'기준스탯 72종'!G24*H432</x:f>
        <x:v>0</x:v>
      </x:c>
      <x:c r="AD432" s="15" t="n">
        <x:f>'기준스탯 72종'!H24*H432</x:f>
        <x:v>0</x:v>
      </x:c>
      <x:c r="AE432" s="15" t="n">
        <x:f>'기준스탯 72종'!I24*H432</x:f>
        <x:v>0</x:v>
      </x:c>
      <x:c r="AF432" s="15" t="n">
        <x:f>'기준스탯 72종'!J24*H432</x:f>
        <x:v>0</x:v>
      </x:c>
      <x:c r="AG432" s="15" t="n">
        <x:f>'기준스탯 72종'!K24*H432</x:f>
        <x:v>0</x:v>
      </x:c>
    </x:row>
    <x:row r="433" ht="28" customHeight="1">
      <x:c r="A433" s="2" t="n">
        <x:v>426</x:v>
      </x:c>
      <x:c r="B433" s="2" t="n">
        <x:v>18</x:v>
      </x:c>
      <x:c r="C433" s="2" t="str">
        <x:v>쌍둥이자리</x:v>
      </x:c>
      <x:c r="D433" s="2" t="str">
        <x:v>전사</x:v>
      </x:c>
      <x:c r="E433" s="2" t="n">
        <x:v>1</x:v>
      </x:c>
      <x:c r="F433" s="2" t="n">
        <x:v>1</x:v>
      </x:c>
      <x:c r="G433" s="14" t="n">
        <x:f>('레벨 계산식'!$E$4-E433)*'레벨 계산식'!$B$5</x:f>
        <x:v>0.5599999999999999</x:v>
      </x:c>
      <x:c r="H433" s="14" t="n">
        <x:f>('등급 계산식'!$E$4-F433)*'등급 계산식'!$B$5</x:f>
        <x:v>0.24000000000000005</x:v>
      </x:c>
      <x:c r="I433" s="14" t="n">
        <x:f>1-G433-H433</x:f>
        <x:v>0.2</x:v>
      </x:c>
      <x:c r="J433" s="2" t="n">
        <x:f>MAX(1,ROUND('기준스탯 72종'!D25-R433-Z433,0))</x:f>
        <x:v>2</x:v>
      </x:c>
      <x:c r="K433" s="2" t="n">
        <x:f>MAX(1,ROUND('기준스탯 72종'!E25-S433-AA433,0))</x:f>
        <x:v>1</x:v>
      </x:c>
      <x:c r="L433" s="2" t="n">
        <x:f>MAX(1,ROUND('기준스탯 72종'!F25-T433-AB433,0))</x:f>
        <x:v>2</x:v>
      </x:c>
      <x:c r="M433" s="2" t="n">
        <x:f>MAX(1,ROUND('기준스탯 72종'!G25-U433-AC433,0))</x:f>
        <x:v>2</x:v>
      </x:c>
      <x:c r="N433" s="2" t="n">
        <x:f>MAX(0,ROUND('기준스탯 72종'!H25-V433-AD433,0))</x:f>
        <x:v>1</x:v>
      </x:c>
      <x:c r="O433" s="2" t="n">
        <x:f>MAX(0,ROUND('기준스탯 72종'!I25-W433-AE433,0))</x:f>
        <x:v>1</x:v>
      </x:c>
      <x:c r="P433" s="2" t="n">
        <x:f>MAX(0,ROUND('기준스탯 72종'!J25-X433-AF433,0))</x:f>
        <x:v>1</x:v>
      </x:c>
      <x:c r="Q433" s="2" t="n">
        <x:f>MAX(0,ROUND('기준스탯 72종'!K25-Y433-AG433,0))</x:f>
        <x:v>0</x:v>
      </x:c>
      <x:c r="R433" s="15" t="n">
        <x:f>'기준스탯 72종'!D25*G433</x:f>
        <x:v>4.4799999999999995</x:v>
      </x:c>
      <x:c r="S433" s="15" t="n">
        <x:f>'기준스탯 72종'!E25*G433</x:f>
        <x:v>3.3599999999999994</x:v>
      </x:c>
      <x:c r="T433" s="15" t="n">
        <x:f>'기준스탯 72종'!F25*G433</x:f>
        <x:v>4.4799999999999995</x:v>
      </x:c>
      <x:c r="U433" s="15" t="n">
        <x:f>'기준스탯 72종'!G25*G433</x:f>
        <x:v>5.039999999999999</x:v>
      </x:c>
      <x:c r="V433" s="15" t="n">
        <x:f>'기준스탯 72종'!H25*G433</x:f>
        <x:v>2.2399999999999998</x:v>
      </x:c>
      <x:c r="W433" s="15" t="n">
        <x:f>'기준스탯 72종'!I25*G433</x:f>
        <x:v>2.8</x:v>
      </x:c>
      <x:c r="X433" s="15" t="n">
        <x:f>'기준스탯 72종'!J25*G433</x:f>
        <x:v>2.8</x:v>
      </x:c>
      <x:c r="Y433" s="15" t="n">
        <x:f>'기준스탯 72종'!K25*G433</x:f>
        <x:v>1.1199999999999999</x:v>
      </x:c>
      <x:c r="Z433" s="15" t="n">
        <x:f>'기준스탯 72종'!D25*H433</x:f>
        <x:v>1.9200000000000004</x:v>
      </x:c>
      <x:c r="AA433" s="15" t="n">
        <x:f>'기준스탯 72종'!E25*H433</x:f>
        <x:v>1.4400000000000004</x:v>
      </x:c>
      <x:c r="AB433" s="15" t="n">
        <x:f>'기준스탯 72종'!F25*H433</x:f>
        <x:v>1.9200000000000004</x:v>
      </x:c>
      <x:c r="AC433" s="15" t="n">
        <x:f>'기준스탯 72종'!G25*H433</x:f>
        <x:v>2.1600000000000006</x:v>
      </x:c>
      <x:c r="AD433" s="15" t="n">
        <x:f>'기준스탯 72종'!H25*H433</x:f>
        <x:v>0.9600000000000002</x:v>
      </x:c>
      <x:c r="AE433" s="15" t="n">
        <x:f>'기준스탯 72종'!I25*H433</x:f>
        <x:v>1.2000000000000002</x:v>
      </x:c>
      <x:c r="AF433" s="15" t="n">
        <x:f>'기준스탯 72종'!J25*H433</x:f>
        <x:v>1.2000000000000002</x:v>
      </x:c>
      <x:c r="AG433" s="15" t="n">
        <x:f>'기준스탯 72종'!K25*H433</x:f>
        <x:v>0.4800000000000001</x:v>
      </x:c>
    </x:row>
    <x:row r="434" ht="28" customHeight="1">
      <x:c r="A434" s="2" t="n">
        <x:v>427</x:v>
      </x:c>
      <x:c r="B434" s="2" t="n">
        <x:v>18</x:v>
      </x:c>
      <x:c r="C434" s="2" t="str">
        <x:v>쌍둥이자리</x:v>
      </x:c>
      <x:c r="D434" s="2" t="str">
        <x:v>전사</x:v>
      </x:c>
      <x:c r="E434" s="2" t="n">
        <x:v>2</x:v>
      </x:c>
      <x:c r="F434" s="2" t="n">
        <x:v>1</x:v>
      </x:c>
      <x:c r="G434" s="14" t="n">
        <x:f>('레벨 계산식'!$E$4-E434)*'레벨 계산식'!$B$5</x:f>
        <x:v>0.41999999999999993</x:v>
      </x:c>
      <x:c r="H434" s="14" t="n">
        <x:f>('등급 계산식'!$E$4-F434)*'등급 계산식'!$B$5</x:f>
        <x:v>0.24000000000000005</x:v>
      </x:c>
      <x:c r="I434" s="14" t="n">
        <x:f>1-G434-H434</x:f>
        <x:v>0.34</x:v>
      </x:c>
      <x:c r="J434" s="2" t="n">
        <x:f>MAX(1,ROUND('기준스탯 72종'!D25-R434-Z434,0))</x:f>
        <x:v>3</x:v>
      </x:c>
      <x:c r="K434" s="2" t="n">
        <x:f>MAX(1,ROUND('기준스탯 72종'!E25-S434-AA434,0))</x:f>
        <x:v>2</x:v>
      </x:c>
      <x:c r="L434" s="2" t="n">
        <x:f>MAX(1,ROUND('기준스탯 72종'!F25-T434-AB434,0))</x:f>
        <x:v>3</x:v>
      </x:c>
      <x:c r="M434" s="2" t="n">
        <x:f>MAX(1,ROUND('기준스탯 72종'!G25-U434-AC434,0))</x:f>
        <x:v>3</x:v>
      </x:c>
      <x:c r="N434" s="2" t="n">
        <x:f>MAX(0,ROUND('기준스탯 72종'!H25-V434-AD434,0))</x:f>
        <x:v>1</x:v>
      </x:c>
      <x:c r="O434" s="2" t="n">
        <x:f>MAX(0,ROUND('기준스탯 72종'!I25-W434-AE434,0))</x:f>
        <x:v>2</x:v>
      </x:c>
      <x:c r="P434" s="2" t="n">
        <x:f>MAX(0,ROUND('기준스탯 72종'!J25-X434-AF434,0))</x:f>
        <x:v>2</x:v>
      </x:c>
      <x:c r="Q434" s="2" t="n">
        <x:f>MAX(0,ROUND('기준스탯 72종'!K25-Y434-AG434,0))</x:f>
        <x:v>1</x:v>
      </x:c>
      <x:c r="R434" s="15" t="n">
        <x:f>'기준스탯 72종'!D25*G434</x:f>
        <x:v>3.3599999999999994</x:v>
      </x:c>
      <x:c r="S434" s="15" t="n">
        <x:f>'기준스탯 72종'!E25*G434</x:f>
        <x:v>2.5199999999999996</x:v>
      </x:c>
      <x:c r="T434" s="15" t="n">
        <x:f>'기준스탯 72종'!F25*G434</x:f>
        <x:v>3.3599999999999994</x:v>
      </x:c>
      <x:c r="U434" s="15" t="n">
        <x:f>'기준스탯 72종'!G25*G434</x:f>
        <x:v>3.7799999999999994</x:v>
      </x:c>
      <x:c r="V434" s="15" t="n">
        <x:f>'기준스탯 72종'!H25*G434</x:f>
        <x:v>1.6799999999999997</x:v>
      </x:c>
      <x:c r="W434" s="15" t="n">
        <x:f>'기준스탯 72종'!I25*G434</x:f>
        <x:v>2.0999999999999996</x:v>
      </x:c>
      <x:c r="X434" s="15" t="n">
        <x:f>'기준스탯 72종'!J25*G434</x:f>
        <x:v>2.0999999999999996</x:v>
      </x:c>
      <x:c r="Y434" s="15" t="n">
        <x:f>'기준스탯 72종'!K25*G434</x:f>
        <x:v>0.8399999999999999</x:v>
      </x:c>
      <x:c r="Z434" s="15" t="n">
        <x:f>'기준스탯 72종'!D25*H434</x:f>
        <x:v>1.9200000000000004</x:v>
      </x:c>
      <x:c r="AA434" s="15" t="n">
        <x:f>'기준스탯 72종'!E25*H434</x:f>
        <x:v>1.4400000000000004</x:v>
      </x:c>
      <x:c r="AB434" s="15" t="n">
        <x:f>'기준스탯 72종'!F25*H434</x:f>
        <x:v>1.9200000000000004</x:v>
      </x:c>
      <x:c r="AC434" s="15" t="n">
        <x:f>'기준스탯 72종'!G25*H434</x:f>
        <x:v>2.1600000000000006</x:v>
      </x:c>
      <x:c r="AD434" s="15" t="n">
        <x:f>'기준스탯 72종'!H25*H434</x:f>
        <x:v>0.9600000000000002</x:v>
      </x:c>
      <x:c r="AE434" s="15" t="n">
        <x:f>'기준스탯 72종'!I25*H434</x:f>
        <x:v>1.2000000000000002</x:v>
      </x:c>
      <x:c r="AF434" s="15" t="n">
        <x:f>'기준스탯 72종'!J25*H434</x:f>
        <x:v>1.2000000000000002</x:v>
      </x:c>
      <x:c r="AG434" s="15" t="n">
        <x:f>'기준스탯 72종'!K25*H434</x:f>
        <x:v>0.4800000000000001</x:v>
      </x:c>
    </x:row>
    <x:row r="435" ht="28" customHeight="1">
      <x:c r="A435" s="2" t="n">
        <x:v>428</x:v>
      </x:c>
      <x:c r="B435" s="2" t="n">
        <x:v>18</x:v>
      </x:c>
      <x:c r="C435" s="2" t="str">
        <x:v>쌍둥이자리</x:v>
      </x:c>
      <x:c r="D435" s="2" t="str">
        <x:v>전사</x:v>
      </x:c>
      <x:c r="E435" s="2" t="n">
        <x:v>3</x:v>
      </x:c>
      <x:c r="F435" s="2" t="n">
        <x:v>1</x:v>
      </x:c>
      <x:c r="G435" s="14" t="n">
        <x:f>('레벨 계산식'!$E$4-E435)*'레벨 계산식'!$B$5</x:f>
        <x:v>0.27999999999999997</x:v>
      </x:c>
      <x:c r="H435" s="14" t="n">
        <x:f>('등급 계산식'!$E$4-F435)*'등급 계산식'!$B$5</x:f>
        <x:v>0.24000000000000005</x:v>
      </x:c>
      <x:c r="I435" s="14" t="n">
        <x:f>1-G435-H435</x:f>
        <x:v>0.4799999999999999</x:v>
      </x:c>
      <x:c r="J435" s="2" t="n">
        <x:f>MAX(1,ROUND('기준스탯 72종'!D25-R435-Z435,0))</x:f>
        <x:v>4</x:v>
      </x:c>
      <x:c r="K435" s="2" t="n">
        <x:f>MAX(1,ROUND('기준스탯 72종'!E25-S435-AA435,0))</x:f>
        <x:v>3</x:v>
      </x:c>
      <x:c r="L435" s="2" t="n">
        <x:f>MAX(1,ROUND('기준스탯 72종'!F25-T435-AB435,0))</x:f>
        <x:v>4</x:v>
      </x:c>
      <x:c r="M435" s="2" t="n">
        <x:f>MAX(1,ROUND('기준스탯 72종'!G25-U435-AC435,0))</x:f>
        <x:v>4</x:v>
      </x:c>
      <x:c r="N435" s="2" t="n">
        <x:f>MAX(0,ROUND('기준스탯 72종'!H25-V435-AD435,0))</x:f>
        <x:v>2</x:v>
      </x:c>
      <x:c r="O435" s="2" t="n">
        <x:f>MAX(0,ROUND('기준스탯 72종'!I25-W435-AE435,0))</x:f>
        <x:v>2</x:v>
      </x:c>
      <x:c r="P435" s="2" t="n">
        <x:f>MAX(0,ROUND('기준스탯 72종'!J25-X435-AF435,0))</x:f>
        <x:v>2</x:v>
      </x:c>
      <x:c r="Q435" s="2" t="n">
        <x:f>MAX(0,ROUND('기준스탯 72종'!K25-Y435-AG435,0))</x:f>
        <x:v>1</x:v>
      </x:c>
      <x:c r="R435" s="15" t="n">
        <x:f>'기준스탯 72종'!D25*G435</x:f>
        <x:v>2.2399999999999998</x:v>
      </x:c>
      <x:c r="S435" s="15" t="n">
        <x:f>'기준스탯 72종'!E25*G435</x:f>
        <x:v>1.6799999999999997</x:v>
      </x:c>
      <x:c r="T435" s="15" t="n">
        <x:f>'기준스탯 72종'!F25*G435</x:f>
        <x:v>2.2399999999999998</x:v>
      </x:c>
      <x:c r="U435" s="15" t="n">
        <x:f>'기준스탯 72종'!G25*G435</x:f>
        <x:v>2.5199999999999996</x:v>
      </x:c>
      <x:c r="V435" s="15" t="n">
        <x:f>'기준스탯 72종'!H25*G435</x:f>
        <x:v>1.1199999999999999</x:v>
      </x:c>
      <x:c r="W435" s="15" t="n">
        <x:f>'기준스탯 72종'!I25*G435</x:f>
        <x:v>1.4</x:v>
      </x:c>
      <x:c r="X435" s="15" t="n">
        <x:f>'기준스탯 72종'!J25*G435</x:f>
        <x:v>1.4</x:v>
      </x:c>
      <x:c r="Y435" s="15" t="n">
        <x:f>'기준스탯 72종'!K25*G435</x:f>
        <x:v>0.5599999999999999</x:v>
      </x:c>
      <x:c r="Z435" s="15" t="n">
        <x:f>'기준스탯 72종'!D25*H435</x:f>
        <x:v>1.9200000000000004</x:v>
      </x:c>
      <x:c r="AA435" s="15" t="n">
        <x:f>'기준스탯 72종'!E25*H435</x:f>
        <x:v>1.4400000000000004</x:v>
      </x:c>
      <x:c r="AB435" s="15" t="n">
        <x:f>'기준스탯 72종'!F25*H435</x:f>
        <x:v>1.9200000000000004</x:v>
      </x:c>
      <x:c r="AC435" s="15" t="n">
        <x:f>'기준스탯 72종'!G25*H435</x:f>
        <x:v>2.1600000000000006</x:v>
      </x:c>
      <x:c r="AD435" s="15" t="n">
        <x:f>'기준스탯 72종'!H25*H435</x:f>
        <x:v>0.9600000000000002</x:v>
      </x:c>
      <x:c r="AE435" s="15" t="n">
        <x:f>'기준스탯 72종'!I25*H435</x:f>
        <x:v>1.2000000000000002</x:v>
      </x:c>
      <x:c r="AF435" s="15" t="n">
        <x:f>'기준스탯 72종'!J25*H435</x:f>
        <x:v>1.2000000000000002</x:v>
      </x:c>
      <x:c r="AG435" s="15" t="n">
        <x:f>'기준스탯 72종'!K25*H435</x:f>
        <x:v>0.4800000000000001</x:v>
      </x:c>
    </x:row>
    <x:row r="436" ht="28" customHeight="1">
      <x:c r="A436" s="2" t="n">
        <x:v>429</x:v>
      </x:c>
      <x:c r="B436" s="2" t="n">
        <x:v>18</x:v>
      </x:c>
      <x:c r="C436" s="2" t="str">
        <x:v>쌍둥이자리</x:v>
      </x:c>
      <x:c r="D436" s="2" t="str">
        <x:v>전사</x:v>
      </x:c>
      <x:c r="E436" s="2" t="n">
        <x:v>4</x:v>
      </x:c>
      <x:c r="F436" s="2" t="n">
        <x:v>1</x:v>
      </x:c>
      <x:c r="G436" s="14" t="n">
        <x:f>('레벨 계산식'!$E$4-E436)*'레벨 계산식'!$B$5</x:f>
        <x:v>0.13999999999999999</x:v>
      </x:c>
      <x:c r="H436" s="14" t="n">
        <x:f>('등급 계산식'!$E$4-F436)*'등급 계산식'!$B$5</x:f>
        <x:v>0.24000000000000005</x:v>
      </x:c>
      <x:c r="I436" s="14" t="n">
        <x:f>1-G436-H436</x:f>
        <x:v>0.6199999999999999</x:v>
      </x:c>
      <x:c r="J436" s="2" t="n">
        <x:f>MAX(1,ROUND('기준스탯 72종'!D25-R436-Z436,0))</x:f>
        <x:v>5</x:v>
      </x:c>
      <x:c r="K436" s="2" t="n">
        <x:f>MAX(1,ROUND('기준스탯 72종'!E25-S436-AA436,0))</x:f>
        <x:v>4</x:v>
      </x:c>
      <x:c r="L436" s="2" t="n">
        <x:f>MAX(1,ROUND('기준스탯 72종'!F25-T436-AB436,0))</x:f>
        <x:v>5</x:v>
      </x:c>
      <x:c r="M436" s="2" t="n">
        <x:f>MAX(1,ROUND('기준스탯 72종'!G25-U436-AC436,0))</x:f>
        <x:v>6</x:v>
      </x:c>
      <x:c r="N436" s="2" t="n">
        <x:f>MAX(0,ROUND('기준스탯 72종'!H25-V436-AD436,0))</x:f>
        <x:v>2</x:v>
      </x:c>
      <x:c r="O436" s="2" t="n">
        <x:f>MAX(0,ROUND('기준스탯 72종'!I25-W436-AE436,0))</x:f>
        <x:v>3</x:v>
      </x:c>
      <x:c r="P436" s="2" t="n">
        <x:f>MAX(0,ROUND('기준스탯 72종'!J25-X436-AF436,0))</x:f>
        <x:v>3</x:v>
      </x:c>
      <x:c r="Q436" s="2" t="n">
        <x:f>MAX(0,ROUND('기준스탯 72종'!K25-Y436-AG436,0))</x:f>
        <x:v>1</x:v>
      </x:c>
      <x:c r="R436" s="15" t="n">
        <x:f>'기준스탯 72종'!D25*G436</x:f>
        <x:v>1.1199999999999999</x:v>
      </x:c>
      <x:c r="S436" s="15" t="n">
        <x:f>'기준스탯 72종'!E25*G436</x:f>
        <x:v>0.8399999999999999</x:v>
      </x:c>
      <x:c r="T436" s="15" t="n">
        <x:f>'기준스탯 72종'!F25*G436</x:f>
        <x:v>1.1199999999999999</x:v>
      </x:c>
      <x:c r="U436" s="15" t="n">
        <x:f>'기준스탯 72종'!G25*G436</x:f>
        <x:v>1.2599999999999998</x:v>
      </x:c>
      <x:c r="V436" s="15" t="n">
        <x:f>'기준스탯 72종'!H25*G436</x:f>
        <x:v>0.5599999999999999</x:v>
      </x:c>
      <x:c r="W436" s="15" t="n">
        <x:f>'기준스탯 72종'!I25*G436</x:f>
        <x:v>0.7</x:v>
      </x:c>
      <x:c r="X436" s="15" t="n">
        <x:f>'기준스탯 72종'!J25*G436</x:f>
        <x:v>0.7</x:v>
      </x:c>
      <x:c r="Y436" s="15" t="n">
        <x:f>'기준스탯 72종'!K25*G436</x:f>
        <x:v>0.27999999999999997</x:v>
      </x:c>
      <x:c r="Z436" s="15" t="n">
        <x:f>'기준스탯 72종'!D25*H436</x:f>
        <x:v>1.9200000000000004</x:v>
      </x:c>
      <x:c r="AA436" s="15" t="n">
        <x:f>'기준스탯 72종'!E25*H436</x:f>
        <x:v>1.4400000000000004</x:v>
      </x:c>
      <x:c r="AB436" s="15" t="n">
        <x:f>'기준스탯 72종'!F25*H436</x:f>
        <x:v>1.9200000000000004</x:v>
      </x:c>
      <x:c r="AC436" s="15" t="n">
        <x:f>'기준스탯 72종'!G25*H436</x:f>
        <x:v>2.1600000000000006</x:v>
      </x:c>
      <x:c r="AD436" s="15" t="n">
        <x:f>'기준스탯 72종'!H25*H436</x:f>
        <x:v>0.9600000000000002</x:v>
      </x:c>
      <x:c r="AE436" s="15" t="n">
        <x:f>'기준스탯 72종'!I25*H436</x:f>
        <x:v>1.2000000000000002</x:v>
      </x:c>
      <x:c r="AF436" s="15" t="n">
        <x:f>'기준스탯 72종'!J25*H436</x:f>
        <x:v>1.2000000000000002</x:v>
      </x:c>
      <x:c r="AG436" s="15" t="n">
        <x:f>'기준스탯 72종'!K25*H436</x:f>
        <x:v>0.4800000000000001</x:v>
      </x:c>
    </x:row>
    <x:row r="437" ht="28" customHeight="1">
      <x:c r="A437" s="2" t="n">
        <x:v>430</x:v>
      </x:c>
      <x:c r="B437" s="2" t="n">
        <x:v>18</x:v>
      </x:c>
      <x:c r="C437" s="2" t="str">
        <x:v>쌍둥이자리</x:v>
      </x:c>
      <x:c r="D437" s="2" t="str">
        <x:v>전사</x:v>
      </x:c>
      <x:c r="E437" s="2" t="n">
        <x:v>5</x:v>
      </x:c>
      <x:c r="F437" s="2" t="n">
        <x:v>1</x:v>
      </x:c>
      <x:c r="G437" s="14" t="n">
        <x:f>('레벨 계산식'!$E$4-E437)*'레벨 계산식'!$B$5</x:f>
        <x:v>0</x:v>
      </x:c>
      <x:c r="H437" s="14" t="n">
        <x:f>('등급 계산식'!$E$4-F437)*'등급 계산식'!$B$5</x:f>
        <x:v>0.24000000000000005</x:v>
      </x:c>
      <x:c r="I437" s="14" t="n">
        <x:f>1-G437-H437</x:f>
        <x:v>0.76</x:v>
      </x:c>
      <x:c r="J437" s="2" t="n">
        <x:f>MAX(1,ROUND('기준스탯 72종'!D25-R437-Z437,0))</x:f>
        <x:v>6</x:v>
      </x:c>
      <x:c r="K437" s="2" t="n">
        <x:f>MAX(1,ROUND('기준스탯 72종'!E25-S437-AA437,0))</x:f>
        <x:v>5</x:v>
      </x:c>
      <x:c r="L437" s="2" t="n">
        <x:f>MAX(1,ROUND('기준스탯 72종'!F25-T437-AB437,0))</x:f>
        <x:v>6</x:v>
      </x:c>
      <x:c r="M437" s="2" t="n">
        <x:f>MAX(1,ROUND('기준스탯 72종'!G25-U437-AC437,0))</x:f>
        <x:v>7</x:v>
      </x:c>
      <x:c r="N437" s="2" t="n">
        <x:f>MAX(0,ROUND('기준스탯 72종'!H25-V437-AD437,0))</x:f>
        <x:v>3</x:v>
      </x:c>
      <x:c r="O437" s="2" t="n">
        <x:f>MAX(0,ROUND('기준스탯 72종'!I25-W437-AE437,0))</x:f>
        <x:v>4</x:v>
      </x:c>
      <x:c r="P437" s="2" t="n">
        <x:f>MAX(0,ROUND('기준스탯 72종'!J25-X437-AF437,0))</x:f>
        <x:v>4</x:v>
      </x:c>
      <x:c r="Q437" s="2" t="n">
        <x:f>MAX(0,ROUND('기준스탯 72종'!K25-Y437-AG437,0))</x:f>
        <x:v>2</x:v>
      </x:c>
      <x:c r="R437" s="15" t="n">
        <x:f>'기준스탯 72종'!D25*G437</x:f>
        <x:v>0</x:v>
      </x:c>
      <x:c r="S437" s="15" t="n">
        <x:f>'기준스탯 72종'!E25*G437</x:f>
        <x:v>0</x:v>
      </x:c>
      <x:c r="T437" s="15" t="n">
        <x:f>'기준스탯 72종'!F25*G437</x:f>
        <x:v>0</x:v>
      </x:c>
      <x:c r="U437" s="15" t="n">
        <x:f>'기준스탯 72종'!G25*G437</x:f>
        <x:v>0</x:v>
      </x:c>
      <x:c r="V437" s="15" t="n">
        <x:f>'기준스탯 72종'!H25*G437</x:f>
        <x:v>0</x:v>
      </x:c>
      <x:c r="W437" s="15" t="n">
        <x:f>'기준스탯 72종'!I25*G437</x:f>
        <x:v>0</x:v>
      </x:c>
      <x:c r="X437" s="15" t="n">
        <x:f>'기준스탯 72종'!J25*G437</x:f>
        <x:v>0</x:v>
      </x:c>
      <x:c r="Y437" s="15" t="n">
        <x:f>'기준스탯 72종'!K25*G437</x:f>
        <x:v>0</x:v>
      </x:c>
      <x:c r="Z437" s="15" t="n">
        <x:f>'기준스탯 72종'!D25*H437</x:f>
        <x:v>1.9200000000000004</x:v>
      </x:c>
      <x:c r="AA437" s="15" t="n">
        <x:f>'기준스탯 72종'!E25*H437</x:f>
        <x:v>1.4400000000000004</x:v>
      </x:c>
      <x:c r="AB437" s="15" t="n">
        <x:f>'기준스탯 72종'!F25*H437</x:f>
        <x:v>1.9200000000000004</x:v>
      </x:c>
      <x:c r="AC437" s="15" t="n">
        <x:f>'기준스탯 72종'!G25*H437</x:f>
        <x:v>2.1600000000000006</x:v>
      </x:c>
      <x:c r="AD437" s="15" t="n">
        <x:f>'기준스탯 72종'!H25*H437</x:f>
        <x:v>0.9600000000000002</x:v>
      </x:c>
      <x:c r="AE437" s="15" t="n">
        <x:f>'기준스탯 72종'!I25*H437</x:f>
        <x:v>1.2000000000000002</x:v>
      </x:c>
      <x:c r="AF437" s="15" t="n">
        <x:f>'기준스탯 72종'!J25*H437</x:f>
        <x:v>1.2000000000000002</x:v>
      </x:c>
      <x:c r="AG437" s="15" t="n">
        <x:f>'기준스탯 72종'!K25*H437</x:f>
        <x:v>0.4800000000000001</x:v>
      </x:c>
    </x:row>
    <x:row r="438" ht="28" customHeight="1">
      <x:c r="A438" s="2" t="n">
        <x:v>431</x:v>
      </x:c>
      <x:c r="B438" s="2" t="n">
        <x:v>18</x:v>
      </x:c>
      <x:c r="C438" s="2" t="str">
        <x:v>쌍둥이자리</x:v>
      </x:c>
      <x:c r="D438" s="2" t="str">
        <x:v>전사</x:v>
      </x:c>
      <x:c r="E438" s="2" t="n">
        <x:v>1</x:v>
      </x:c>
      <x:c r="F438" s="2" t="n">
        <x:v>2</x:v>
      </x:c>
      <x:c r="G438" s="14" t="n">
        <x:f>('레벨 계산식'!$E$4-E438)*'레벨 계산식'!$B$5</x:f>
        <x:v>0.5599999999999999</x:v>
      </x:c>
      <x:c r="H438" s="14" t="n">
        <x:f>('등급 계산식'!$E$4-F438)*'등급 계산식'!$B$5</x:f>
        <x:v>0.18000000000000005</x:v>
      </x:c>
      <x:c r="I438" s="14" t="n">
        <x:f>1-G438-H438</x:f>
        <x:v>0.26</x:v>
      </x:c>
      <x:c r="J438" s="2" t="n">
        <x:f>MAX(1,ROUND('기준스탯 72종'!D25-R438-Z438,0))</x:f>
        <x:v>2</x:v>
      </x:c>
      <x:c r="K438" s="2" t="n">
        <x:f>MAX(1,ROUND('기준스탯 72종'!E25-S438-AA438,0))</x:f>
        <x:v>2</x:v>
      </x:c>
      <x:c r="L438" s="2" t="n">
        <x:f>MAX(1,ROUND('기준스탯 72종'!F25-T438-AB438,0))</x:f>
        <x:v>2</x:v>
      </x:c>
      <x:c r="M438" s="2" t="n">
        <x:f>MAX(1,ROUND('기준스탯 72종'!G25-U438-AC438,0))</x:f>
        <x:v>2</x:v>
      </x:c>
      <x:c r="N438" s="2" t="n">
        <x:f>MAX(0,ROUND('기준스탯 72종'!H25-V438-AD438,0))</x:f>
        <x:v>1</x:v>
      </x:c>
      <x:c r="O438" s="2" t="n">
        <x:f>MAX(0,ROUND('기준스탯 72종'!I25-W438-AE438,0))</x:f>
        <x:v>1</x:v>
      </x:c>
      <x:c r="P438" s="2" t="n">
        <x:f>MAX(0,ROUND('기준스탯 72종'!J25-X438-AF438,0))</x:f>
        <x:v>1</x:v>
      </x:c>
      <x:c r="Q438" s="2" t="n">
        <x:f>MAX(0,ROUND('기준스탯 72종'!K25-Y438-AG438,0))</x:f>
        <x:v>1</x:v>
      </x:c>
      <x:c r="R438" s="15" t="n">
        <x:f>'기준스탯 72종'!D25*G438</x:f>
        <x:v>4.4799999999999995</x:v>
      </x:c>
      <x:c r="S438" s="15" t="n">
        <x:f>'기준스탯 72종'!E25*G438</x:f>
        <x:v>3.3599999999999994</x:v>
      </x:c>
      <x:c r="T438" s="15" t="n">
        <x:f>'기준스탯 72종'!F25*G438</x:f>
        <x:v>4.4799999999999995</x:v>
      </x:c>
      <x:c r="U438" s="15" t="n">
        <x:f>'기준스탯 72종'!G25*G438</x:f>
        <x:v>5.039999999999999</x:v>
      </x:c>
      <x:c r="V438" s="15" t="n">
        <x:f>'기준스탯 72종'!H25*G438</x:f>
        <x:v>2.2399999999999998</x:v>
      </x:c>
      <x:c r="W438" s="15" t="n">
        <x:f>'기준스탯 72종'!I25*G438</x:f>
        <x:v>2.8</x:v>
      </x:c>
      <x:c r="X438" s="15" t="n">
        <x:f>'기준스탯 72종'!J25*G438</x:f>
        <x:v>2.8</x:v>
      </x:c>
      <x:c r="Y438" s="15" t="n">
        <x:f>'기준스탯 72종'!K25*G438</x:f>
        <x:v>1.1199999999999999</x:v>
      </x:c>
      <x:c r="Z438" s="15" t="n">
        <x:f>'기준스탯 72종'!D25*H438</x:f>
        <x:v>1.4400000000000004</x:v>
      </x:c>
      <x:c r="AA438" s="15" t="n">
        <x:f>'기준스탯 72종'!E25*H438</x:f>
        <x:v>1.0800000000000003</x:v>
      </x:c>
      <x:c r="AB438" s="15" t="n">
        <x:f>'기준스탯 72종'!F25*H438</x:f>
        <x:v>1.4400000000000004</x:v>
      </x:c>
      <x:c r="AC438" s="15" t="n">
        <x:f>'기준스탯 72종'!G25*H438</x:f>
        <x:v>1.6200000000000006</x:v>
      </x:c>
      <x:c r="AD438" s="15" t="n">
        <x:f>'기준스탯 72종'!H25*H438</x:f>
        <x:v>0.7200000000000002</x:v>
      </x:c>
      <x:c r="AE438" s="15" t="n">
        <x:f>'기준스탯 72종'!I25*H438</x:f>
        <x:v>0.9000000000000002</x:v>
      </x:c>
      <x:c r="AF438" s="15" t="n">
        <x:f>'기준스탯 72종'!J25*H438</x:f>
        <x:v>0.9000000000000002</x:v>
      </x:c>
      <x:c r="AG438" s="15" t="n">
        <x:f>'기준스탯 72종'!K25*H438</x:f>
        <x:v>0.3600000000000001</x:v>
      </x:c>
    </x:row>
    <x:row r="439" ht="28" customHeight="1">
      <x:c r="A439" s="2" t="n">
        <x:v>432</x:v>
      </x:c>
      <x:c r="B439" s="2" t="n">
        <x:v>18</x:v>
      </x:c>
      <x:c r="C439" s="2" t="str">
        <x:v>쌍둥이자리</x:v>
      </x:c>
      <x:c r="D439" s="2" t="str">
        <x:v>전사</x:v>
      </x:c>
      <x:c r="E439" s="2" t="n">
        <x:v>2</x:v>
      </x:c>
      <x:c r="F439" s="2" t="n">
        <x:v>2</x:v>
      </x:c>
      <x:c r="G439" s="14" t="n">
        <x:f>('레벨 계산식'!$E$4-E439)*'레벨 계산식'!$B$5</x:f>
        <x:v>0.41999999999999993</x:v>
      </x:c>
      <x:c r="H439" s="14" t="n">
        <x:f>('등급 계산식'!$E$4-F439)*'등급 계산식'!$B$5</x:f>
        <x:v>0.18000000000000005</x:v>
      </x:c>
      <x:c r="I439" s="14" t="n">
        <x:f>1-G439-H439</x:f>
        <x:v>0.4</x:v>
      </x:c>
      <x:c r="J439" s="2" t="n">
        <x:f>MAX(1,ROUND('기준스탯 72종'!D25-R439-Z439,0))</x:f>
        <x:v>3</x:v>
      </x:c>
      <x:c r="K439" s="2" t="n">
        <x:f>MAX(1,ROUND('기준스탯 72종'!E25-S439-AA439,0))</x:f>
        <x:v>2</x:v>
      </x:c>
      <x:c r="L439" s="2" t="n">
        <x:f>MAX(1,ROUND('기준스탯 72종'!F25-T439-AB439,0))</x:f>
        <x:v>3</x:v>
      </x:c>
      <x:c r="M439" s="2" t="n">
        <x:f>MAX(1,ROUND('기준스탯 72종'!G25-U439-AC439,0))</x:f>
        <x:v>4</x:v>
      </x:c>
      <x:c r="N439" s="2" t="n">
        <x:f>MAX(0,ROUND('기준스탯 72종'!H25-V439-AD439,0))</x:f>
        <x:v>2</x:v>
      </x:c>
      <x:c r="O439" s="2" t="n">
        <x:f>MAX(0,ROUND('기준스탯 72종'!I25-W439-AE439,0))</x:f>
        <x:v>2</x:v>
      </x:c>
      <x:c r="P439" s="2" t="n">
        <x:f>MAX(0,ROUND('기준스탯 72종'!J25-X439-AF439,0))</x:f>
        <x:v>2</x:v>
      </x:c>
      <x:c r="Q439" s="2" t="n">
        <x:f>MAX(0,ROUND('기준스탯 72종'!K25-Y439-AG439,0))</x:f>
        <x:v>1</x:v>
      </x:c>
      <x:c r="R439" s="15" t="n">
        <x:f>'기준스탯 72종'!D25*G439</x:f>
        <x:v>3.3599999999999994</x:v>
      </x:c>
      <x:c r="S439" s="15" t="n">
        <x:f>'기준스탯 72종'!E25*G439</x:f>
        <x:v>2.5199999999999996</x:v>
      </x:c>
      <x:c r="T439" s="15" t="n">
        <x:f>'기준스탯 72종'!F25*G439</x:f>
        <x:v>3.3599999999999994</x:v>
      </x:c>
      <x:c r="U439" s="15" t="n">
        <x:f>'기준스탯 72종'!G25*G439</x:f>
        <x:v>3.7799999999999994</x:v>
      </x:c>
      <x:c r="V439" s="15" t="n">
        <x:f>'기준스탯 72종'!H25*G439</x:f>
        <x:v>1.6799999999999997</x:v>
      </x:c>
      <x:c r="W439" s="15" t="n">
        <x:f>'기준스탯 72종'!I25*G439</x:f>
        <x:v>2.0999999999999996</x:v>
      </x:c>
      <x:c r="X439" s="15" t="n">
        <x:f>'기준스탯 72종'!J25*G439</x:f>
        <x:v>2.0999999999999996</x:v>
      </x:c>
      <x:c r="Y439" s="15" t="n">
        <x:f>'기준스탯 72종'!K25*G439</x:f>
        <x:v>0.8399999999999999</x:v>
      </x:c>
      <x:c r="Z439" s="15" t="n">
        <x:f>'기준스탯 72종'!D25*H439</x:f>
        <x:v>1.4400000000000004</x:v>
      </x:c>
      <x:c r="AA439" s="15" t="n">
        <x:f>'기준스탯 72종'!E25*H439</x:f>
        <x:v>1.0800000000000003</x:v>
      </x:c>
      <x:c r="AB439" s="15" t="n">
        <x:f>'기준스탯 72종'!F25*H439</x:f>
        <x:v>1.4400000000000004</x:v>
      </x:c>
      <x:c r="AC439" s="15" t="n">
        <x:f>'기준스탯 72종'!G25*H439</x:f>
        <x:v>1.6200000000000006</x:v>
      </x:c>
      <x:c r="AD439" s="15" t="n">
        <x:f>'기준스탯 72종'!H25*H439</x:f>
        <x:v>0.7200000000000002</x:v>
      </x:c>
      <x:c r="AE439" s="15" t="n">
        <x:f>'기준스탯 72종'!I25*H439</x:f>
        <x:v>0.9000000000000002</x:v>
      </x:c>
      <x:c r="AF439" s="15" t="n">
        <x:f>'기준스탯 72종'!J25*H439</x:f>
        <x:v>0.9000000000000002</x:v>
      </x:c>
      <x:c r="AG439" s="15" t="n">
        <x:f>'기준스탯 72종'!K25*H439</x:f>
        <x:v>0.3600000000000001</x:v>
      </x:c>
    </x:row>
    <x:row r="440" ht="28" customHeight="1">
      <x:c r="A440" s="2" t="n">
        <x:v>433</x:v>
      </x:c>
      <x:c r="B440" s="2" t="n">
        <x:v>18</x:v>
      </x:c>
      <x:c r="C440" s="2" t="str">
        <x:v>쌍둥이자리</x:v>
      </x:c>
      <x:c r="D440" s="2" t="str">
        <x:v>전사</x:v>
      </x:c>
      <x:c r="E440" s="2" t="n">
        <x:v>3</x:v>
      </x:c>
      <x:c r="F440" s="2" t="n">
        <x:v>2</x:v>
      </x:c>
      <x:c r="G440" s="14" t="n">
        <x:f>('레벨 계산식'!$E$4-E440)*'레벨 계산식'!$B$5</x:f>
        <x:v>0.27999999999999997</x:v>
      </x:c>
      <x:c r="H440" s="14" t="n">
        <x:f>('등급 계산식'!$E$4-F440)*'등급 계산식'!$B$5</x:f>
        <x:v>0.18000000000000005</x:v>
      </x:c>
      <x:c r="I440" s="14" t="n">
        <x:f>1-G440-H440</x:f>
        <x:v>0.5399999999999999</x:v>
      </x:c>
      <x:c r="J440" s="2" t="n">
        <x:f>MAX(1,ROUND('기준스탯 72종'!D25-R440-Z440,0))</x:f>
        <x:v>4</x:v>
      </x:c>
      <x:c r="K440" s="2" t="n">
        <x:f>MAX(1,ROUND('기준스탯 72종'!E25-S440-AA440,0))</x:f>
        <x:v>3</x:v>
      </x:c>
      <x:c r="L440" s="2" t="n">
        <x:f>MAX(1,ROUND('기준스탯 72종'!F25-T440-AB440,0))</x:f>
        <x:v>4</x:v>
      </x:c>
      <x:c r="M440" s="2" t="n">
        <x:f>MAX(1,ROUND('기준스탯 72종'!G25-U440-AC440,0))</x:f>
        <x:v>5</x:v>
      </x:c>
      <x:c r="N440" s="2" t="n">
        <x:f>MAX(0,ROUND('기준스탯 72종'!H25-V440-AD440,0))</x:f>
        <x:v>2</x:v>
      </x:c>
      <x:c r="O440" s="2" t="n">
        <x:f>MAX(0,ROUND('기준스탯 72종'!I25-W440-AE440,0))</x:f>
        <x:v>3</x:v>
      </x:c>
      <x:c r="P440" s="2" t="n">
        <x:f>MAX(0,ROUND('기준스탯 72종'!J25-X440-AF440,0))</x:f>
        <x:v>3</x:v>
      </x:c>
      <x:c r="Q440" s="2" t="n">
        <x:f>MAX(0,ROUND('기준스탯 72종'!K25-Y440-AG440,0))</x:f>
        <x:v>1</x:v>
      </x:c>
      <x:c r="R440" s="15" t="n">
        <x:f>'기준스탯 72종'!D25*G440</x:f>
        <x:v>2.2399999999999998</x:v>
      </x:c>
      <x:c r="S440" s="15" t="n">
        <x:f>'기준스탯 72종'!E25*G440</x:f>
        <x:v>1.6799999999999997</x:v>
      </x:c>
      <x:c r="T440" s="15" t="n">
        <x:f>'기준스탯 72종'!F25*G440</x:f>
        <x:v>2.2399999999999998</x:v>
      </x:c>
      <x:c r="U440" s="15" t="n">
        <x:f>'기준스탯 72종'!G25*G440</x:f>
        <x:v>2.5199999999999996</x:v>
      </x:c>
      <x:c r="V440" s="15" t="n">
        <x:f>'기준스탯 72종'!H25*G440</x:f>
        <x:v>1.1199999999999999</x:v>
      </x:c>
      <x:c r="W440" s="15" t="n">
        <x:f>'기준스탯 72종'!I25*G440</x:f>
        <x:v>1.4</x:v>
      </x:c>
      <x:c r="X440" s="15" t="n">
        <x:f>'기준스탯 72종'!J25*G440</x:f>
        <x:v>1.4</x:v>
      </x:c>
      <x:c r="Y440" s="15" t="n">
        <x:f>'기준스탯 72종'!K25*G440</x:f>
        <x:v>0.5599999999999999</x:v>
      </x:c>
      <x:c r="Z440" s="15" t="n">
        <x:f>'기준스탯 72종'!D25*H440</x:f>
        <x:v>1.4400000000000004</x:v>
      </x:c>
      <x:c r="AA440" s="15" t="n">
        <x:f>'기준스탯 72종'!E25*H440</x:f>
        <x:v>1.0800000000000003</x:v>
      </x:c>
      <x:c r="AB440" s="15" t="n">
        <x:f>'기준스탯 72종'!F25*H440</x:f>
        <x:v>1.4400000000000004</x:v>
      </x:c>
      <x:c r="AC440" s="15" t="n">
        <x:f>'기준스탯 72종'!G25*H440</x:f>
        <x:v>1.6200000000000006</x:v>
      </x:c>
      <x:c r="AD440" s="15" t="n">
        <x:f>'기준스탯 72종'!H25*H440</x:f>
        <x:v>0.7200000000000002</x:v>
      </x:c>
      <x:c r="AE440" s="15" t="n">
        <x:f>'기준스탯 72종'!I25*H440</x:f>
        <x:v>0.9000000000000002</x:v>
      </x:c>
      <x:c r="AF440" s="15" t="n">
        <x:f>'기준스탯 72종'!J25*H440</x:f>
        <x:v>0.9000000000000002</x:v>
      </x:c>
      <x:c r="AG440" s="15" t="n">
        <x:f>'기준스탯 72종'!K25*H440</x:f>
        <x:v>0.3600000000000001</x:v>
      </x:c>
    </x:row>
    <x:row r="441" ht="28" customHeight="1">
      <x:c r="A441" s="2" t="n">
        <x:v>434</x:v>
      </x:c>
      <x:c r="B441" s="2" t="n">
        <x:v>18</x:v>
      </x:c>
      <x:c r="C441" s="2" t="str">
        <x:v>쌍둥이자리</x:v>
      </x:c>
      <x:c r="D441" s="2" t="str">
        <x:v>전사</x:v>
      </x:c>
      <x:c r="E441" s="2" t="n">
        <x:v>4</x:v>
      </x:c>
      <x:c r="F441" s="2" t="n">
        <x:v>2</x:v>
      </x:c>
      <x:c r="G441" s="14" t="n">
        <x:f>('레벨 계산식'!$E$4-E441)*'레벨 계산식'!$B$5</x:f>
        <x:v>0.13999999999999999</x:v>
      </x:c>
      <x:c r="H441" s="14" t="n">
        <x:f>('등급 계산식'!$E$4-F441)*'등급 계산식'!$B$5</x:f>
        <x:v>0.18000000000000005</x:v>
      </x:c>
      <x:c r="I441" s="14" t="n">
        <x:f>1-G441-H441</x:f>
        <x:v>0.6799999999999999</x:v>
      </x:c>
      <x:c r="J441" s="2" t="n">
        <x:f>MAX(1,ROUND('기준스탯 72종'!D25-R441-Z441,0))</x:f>
        <x:v>5</x:v>
      </x:c>
      <x:c r="K441" s="2" t="n">
        <x:f>MAX(1,ROUND('기준스탯 72종'!E25-S441-AA441,0))</x:f>
        <x:v>4</x:v>
      </x:c>
      <x:c r="L441" s="2" t="n">
        <x:f>MAX(1,ROUND('기준스탯 72종'!F25-T441-AB441,0))</x:f>
        <x:v>5</x:v>
      </x:c>
      <x:c r="M441" s="2" t="n">
        <x:f>MAX(1,ROUND('기준스탯 72종'!G25-U441-AC441,0))</x:f>
        <x:v>6</x:v>
      </x:c>
      <x:c r="N441" s="2" t="n">
        <x:f>MAX(0,ROUND('기준스탯 72종'!H25-V441-AD441,0))</x:f>
        <x:v>3</x:v>
      </x:c>
      <x:c r="O441" s="2" t="n">
        <x:f>MAX(0,ROUND('기준스탯 72종'!I25-W441-AE441,0))</x:f>
        <x:v>3</x:v>
      </x:c>
      <x:c r="P441" s="2" t="n">
        <x:f>MAX(0,ROUND('기준스탯 72종'!J25-X441-AF441,0))</x:f>
        <x:v>3</x:v>
      </x:c>
      <x:c r="Q441" s="2" t="n">
        <x:f>MAX(0,ROUND('기준스탯 72종'!K25-Y441-AG441,0))</x:f>
        <x:v>1</x:v>
      </x:c>
      <x:c r="R441" s="15" t="n">
        <x:f>'기준스탯 72종'!D25*G441</x:f>
        <x:v>1.1199999999999999</x:v>
      </x:c>
      <x:c r="S441" s="15" t="n">
        <x:f>'기준스탯 72종'!E25*G441</x:f>
        <x:v>0.8399999999999999</x:v>
      </x:c>
      <x:c r="T441" s="15" t="n">
        <x:f>'기준스탯 72종'!F25*G441</x:f>
        <x:v>1.1199999999999999</x:v>
      </x:c>
      <x:c r="U441" s="15" t="n">
        <x:f>'기준스탯 72종'!G25*G441</x:f>
        <x:v>1.2599999999999998</x:v>
      </x:c>
      <x:c r="V441" s="15" t="n">
        <x:f>'기준스탯 72종'!H25*G441</x:f>
        <x:v>0.5599999999999999</x:v>
      </x:c>
      <x:c r="W441" s="15" t="n">
        <x:f>'기준스탯 72종'!I25*G441</x:f>
        <x:v>0.7</x:v>
      </x:c>
      <x:c r="X441" s="15" t="n">
        <x:f>'기준스탯 72종'!J25*G441</x:f>
        <x:v>0.7</x:v>
      </x:c>
      <x:c r="Y441" s="15" t="n">
        <x:f>'기준스탯 72종'!K25*G441</x:f>
        <x:v>0.27999999999999997</x:v>
      </x:c>
      <x:c r="Z441" s="15" t="n">
        <x:f>'기준스탯 72종'!D25*H441</x:f>
        <x:v>1.4400000000000004</x:v>
      </x:c>
      <x:c r="AA441" s="15" t="n">
        <x:f>'기준스탯 72종'!E25*H441</x:f>
        <x:v>1.0800000000000003</x:v>
      </x:c>
      <x:c r="AB441" s="15" t="n">
        <x:f>'기준스탯 72종'!F25*H441</x:f>
        <x:v>1.4400000000000004</x:v>
      </x:c>
      <x:c r="AC441" s="15" t="n">
        <x:f>'기준스탯 72종'!G25*H441</x:f>
        <x:v>1.6200000000000006</x:v>
      </x:c>
      <x:c r="AD441" s="15" t="n">
        <x:f>'기준스탯 72종'!H25*H441</x:f>
        <x:v>0.7200000000000002</x:v>
      </x:c>
      <x:c r="AE441" s="15" t="n">
        <x:f>'기준스탯 72종'!I25*H441</x:f>
        <x:v>0.9000000000000002</x:v>
      </x:c>
      <x:c r="AF441" s="15" t="n">
        <x:f>'기준스탯 72종'!J25*H441</x:f>
        <x:v>0.9000000000000002</x:v>
      </x:c>
      <x:c r="AG441" s="15" t="n">
        <x:f>'기준스탯 72종'!K25*H441</x:f>
        <x:v>0.3600000000000001</x:v>
      </x:c>
    </x:row>
    <x:row r="442" ht="28" customHeight="1">
      <x:c r="A442" s="2" t="n">
        <x:v>435</x:v>
      </x:c>
      <x:c r="B442" s="2" t="n">
        <x:v>18</x:v>
      </x:c>
      <x:c r="C442" s="2" t="str">
        <x:v>쌍둥이자리</x:v>
      </x:c>
      <x:c r="D442" s="2" t="str">
        <x:v>전사</x:v>
      </x:c>
      <x:c r="E442" s="2" t="n">
        <x:v>5</x:v>
      </x:c>
      <x:c r="F442" s="2" t="n">
        <x:v>2</x:v>
      </x:c>
      <x:c r="G442" s="14" t="n">
        <x:f>('레벨 계산식'!$E$4-E442)*'레벨 계산식'!$B$5</x:f>
        <x:v>0</x:v>
      </x:c>
      <x:c r="H442" s="14" t="n">
        <x:f>('등급 계산식'!$E$4-F442)*'등급 계산식'!$B$5</x:f>
        <x:v>0.18000000000000005</x:v>
      </x:c>
      <x:c r="I442" s="14" t="n">
        <x:f>1-G442-H442</x:f>
        <x:v>0.82</x:v>
      </x:c>
      <x:c r="J442" s="2" t="n">
        <x:f>MAX(1,ROUND('기준스탯 72종'!D25-R442-Z442,0))</x:f>
        <x:v>7</x:v>
      </x:c>
      <x:c r="K442" s="2" t="n">
        <x:f>MAX(1,ROUND('기준스탯 72종'!E25-S442-AA442,0))</x:f>
        <x:v>5</x:v>
      </x:c>
      <x:c r="L442" s="2" t="n">
        <x:f>MAX(1,ROUND('기준스탯 72종'!F25-T442-AB442,0))</x:f>
        <x:v>7</x:v>
      </x:c>
      <x:c r="M442" s="2" t="n">
        <x:f>MAX(1,ROUND('기준스탯 72종'!G25-U442-AC442,0))</x:f>
        <x:v>7</x:v>
      </x:c>
      <x:c r="N442" s="2" t="n">
        <x:f>MAX(0,ROUND('기준스탯 72종'!H25-V442-AD442,0))</x:f>
        <x:v>3</x:v>
      </x:c>
      <x:c r="O442" s="2" t="n">
        <x:f>MAX(0,ROUND('기준스탯 72종'!I25-W442-AE442,0))</x:f>
        <x:v>4</x:v>
      </x:c>
      <x:c r="P442" s="2" t="n">
        <x:f>MAX(0,ROUND('기준스탯 72종'!J25-X442-AF442,0))</x:f>
        <x:v>4</x:v>
      </x:c>
      <x:c r="Q442" s="2" t="n">
        <x:f>MAX(0,ROUND('기준스탯 72종'!K25-Y442-AG442,0))</x:f>
        <x:v>2</x:v>
      </x:c>
      <x:c r="R442" s="15" t="n">
        <x:f>'기준스탯 72종'!D25*G442</x:f>
        <x:v>0</x:v>
      </x:c>
      <x:c r="S442" s="15" t="n">
        <x:f>'기준스탯 72종'!E25*G442</x:f>
        <x:v>0</x:v>
      </x:c>
      <x:c r="T442" s="15" t="n">
        <x:f>'기준스탯 72종'!F25*G442</x:f>
        <x:v>0</x:v>
      </x:c>
      <x:c r="U442" s="15" t="n">
        <x:f>'기준스탯 72종'!G25*G442</x:f>
        <x:v>0</x:v>
      </x:c>
      <x:c r="V442" s="15" t="n">
        <x:f>'기준스탯 72종'!H25*G442</x:f>
        <x:v>0</x:v>
      </x:c>
      <x:c r="W442" s="15" t="n">
        <x:f>'기준스탯 72종'!I25*G442</x:f>
        <x:v>0</x:v>
      </x:c>
      <x:c r="X442" s="15" t="n">
        <x:f>'기준스탯 72종'!J25*G442</x:f>
        <x:v>0</x:v>
      </x:c>
      <x:c r="Y442" s="15" t="n">
        <x:f>'기준스탯 72종'!K25*G442</x:f>
        <x:v>0</x:v>
      </x:c>
      <x:c r="Z442" s="15" t="n">
        <x:f>'기준스탯 72종'!D25*H442</x:f>
        <x:v>1.4400000000000004</x:v>
      </x:c>
      <x:c r="AA442" s="15" t="n">
        <x:f>'기준스탯 72종'!E25*H442</x:f>
        <x:v>1.0800000000000003</x:v>
      </x:c>
      <x:c r="AB442" s="15" t="n">
        <x:f>'기준스탯 72종'!F25*H442</x:f>
        <x:v>1.4400000000000004</x:v>
      </x:c>
      <x:c r="AC442" s="15" t="n">
        <x:f>'기준스탯 72종'!G25*H442</x:f>
        <x:v>1.6200000000000006</x:v>
      </x:c>
      <x:c r="AD442" s="15" t="n">
        <x:f>'기준스탯 72종'!H25*H442</x:f>
        <x:v>0.7200000000000002</x:v>
      </x:c>
      <x:c r="AE442" s="15" t="n">
        <x:f>'기준스탯 72종'!I25*H442</x:f>
        <x:v>0.9000000000000002</x:v>
      </x:c>
      <x:c r="AF442" s="15" t="n">
        <x:f>'기준스탯 72종'!J25*H442</x:f>
        <x:v>0.9000000000000002</x:v>
      </x:c>
      <x:c r="AG442" s="15" t="n">
        <x:f>'기준스탯 72종'!K25*H442</x:f>
        <x:v>0.3600000000000001</x:v>
      </x:c>
    </x:row>
    <x:row r="443" ht="28" customHeight="1">
      <x:c r="A443" s="2" t="n">
        <x:v>436</x:v>
      </x:c>
      <x:c r="B443" s="2" t="n">
        <x:v>18</x:v>
      </x:c>
      <x:c r="C443" s="2" t="str">
        <x:v>쌍둥이자리</x:v>
      </x:c>
      <x:c r="D443" s="2" t="str">
        <x:v>전사</x:v>
      </x:c>
      <x:c r="E443" s="2" t="n">
        <x:v>1</x:v>
      </x:c>
      <x:c r="F443" s="2" t="n">
        <x:v>3</x:v>
      </x:c>
      <x:c r="G443" s="14" t="n">
        <x:f>('레벨 계산식'!$E$4-E443)*'레벨 계산식'!$B$5</x:f>
        <x:v>0.5599999999999999</x:v>
      </x:c>
      <x:c r="H443" s="14" t="n">
        <x:f>('등급 계산식'!$E$4-F443)*'등급 계산식'!$B$5</x:f>
        <x:v>0.12000000000000002</x:v>
      </x:c>
      <x:c r="I443" s="14" t="n">
        <x:f>1-G443-H443</x:f>
        <x:v>0.32000000000000006</x:v>
      </x:c>
      <x:c r="J443" s="2" t="n">
        <x:f>MAX(1,ROUND('기준스탯 72종'!D25-R443-Z443,0))</x:f>
        <x:v>3</x:v>
      </x:c>
      <x:c r="K443" s="2" t="n">
        <x:f>MAX(1,ROUND('기준스탯 72종'!E25-S443-AA443,0))</x:f>
        <x:v>2</x:v>
      </x:c>
      <x:c r="L443" s="2" t="n">
        <x:f>MAX(1,ROUND('기준스탯 72종'!F25-T443-AB443,0))</x:f>
        <x:v>3</x:v>
      </x:c>
      <x:c r="M443" s="2" t="n">
        <x:f>MAX(1,ROUND('기준스탯 72종'!G25-U443-AC443,0))</x:f>
        <x:v>3</x:v>
      </x:c>
      <x:c r="N443" s="2" t="n">
        <x:f>MAX(0,ROUND('기준스탯 72종'!H25-V443-AD443,0))</x:f>
        <x:v>1</x:v>
      </x:c>
      <x:c r="O443" s="2" t="n">
        <x:f>MAX(0,ROUND('기준스탯 72종'!I25-W443-AE443,0))</x:f>
        <x:v>2</x:v>
      </x:c>
      <x:c r="P443" s="2" t="n">
        <x:f>MAX(0,ROUND('기준스탯 72종'!J25-X443-AF443,0))</x:f>
        <x:v>2</x:v>
      </x:c>
      <x:c r="Q443" s="2" t="n">
        <x:f>MAX(0,ROUND('기준스탯 72종'!K25-Y443-AG443,0))</x:f>
        <x:v>1</x:v>
      </x:c>
      <x:c r="R443" s="15" t="n">
        <x:f>'기준스탯 72종'!D25*G443</x:f>
        <x:v>4.4799999999999995</x:v>
      </x:c>
      <x:c r="S443" s="15" t="n">
        <x:f>'기준스탯 72종'!E25*G443</x:f>
        <x:v>3.3599999999999994</x:v>
      </x:c>
      <x:c r="T443" s="15" t="n">
        <x:f>'기준스탯 72종'!F25*G443</x:f>
        <x:v>4.4799999999999995</x:v>
      </x:c>
      <x:c r="U443" s="15" t="n">
        <x:f>'기준스탯 72종'!G25*G443</x:f>
        <x:v>5.039999999999999</x:v>
      </x:c>
      <x:c r="V443" s="15" t="n">
        <x:f>'기준스탯 72종'!H25*G443</x:f>
        <x:v>2.2399999999999998</x:v>
      </x:c>
      <x:c r="W443" s="15" t="n">
        <x:f>'기준스탯 72종'!I25*G443</x:f>
        <x:v>2.8</x:v>
      </x:c>
      <x:c r="X443" s="15" t="n">
        <x:f>'기준스탯 72종'!J25*G443</x:f>
        <x:v>2.8</x:v>
      </x:c>
      <x:c r="Y443" s="15" t="n">
        <x:f>'기준스탯 72종'!K25*G443</x:f>
        <x:v>1.1199999999999999</x:v>
      </x:c>
      <x:c r="Z443" s="15" t="n">
        <x:f>'기준스탯 72종'!D25*H443</x:f>
        <x:v>0.9600000000000002</x:v>
      </x:c>
      <x:c r="AA443" s="15" t="n">
        <x:f>'기준스탯 72종'!E25*H443</x:f>
        <x:v>0.7200000000000002</x:v>
      </x:c>
      <x:c r="AB443" s="15" t="n">
        <x:f>'기준스탯 72종'!F25*H443</x:f>
        <x:v>0.9600000000000002</x:v>
      </x:c>
      <x:c r="AC443" s="15" t="n">
        <x:f>'기준스탯 72종'!G25*H443</x:f>
        <x:v>1.0800000000000003</x:v>
      </x:c>
      <x:c r="AD443" s="15" t="n">
        <x:f>'기준스탯 72종'!H25*H443</x:f>
        <x:v>0.4800000000000001</x:v>
      </x:c>
      <x:c r="AE443" s="15" t="n">
        <x:f>'기준스탯 72종'!I25*H443</x:f>
        <x:v>0.6000000000000001</x:v>
      </x:c>
      <x:c r="AF443" s="15" t="n">
        <x:f>'기준스탯 72종'!J25*H443</x:f>
        <x:v>0.6000000000000001</x:v>
      </x:c>
      <x:c r="AG443" s="15" t="n">
        <x:f>'기준스탯 72종'!K25*H443</x:f>
        <x:v>0.24000000000000005</x:v>
      </x:c>
    </x:row>
    <x:row r="444" ht="28" customHeight="1">
      <x:c r="A444" s="2" t="n">
        <x:v>437</x:v>
      </x:c>
      <x:c r="B444" s="2" t="n">
        <x:v>18</x:v>
      </x:c>
      <x:c r="C444" s="2" t="str">
        <x:v>쌍둥이자리</x:v>
      </x:c>
      <x:c r="D444" s="2" t="str">
        <x:v>전사</x:v>
      </x:c>
      <x:c r="E444" s="2" t="n">
        <x:v>2</x:v>
      </x:c>
      <x:c r="F444" s="2" t="n">
        <x:v>3</x:v>
      </x:c>
      <x:c r="G444" s="14" t="n">
        <x:f>('레벨 계산식'!$E$4-E444)*'레벨 계산식'!$B$5</x:f>
        <x:v>0.41999999999999993</x:v>
      </x:c>
      <x:c r="H444" s="14" t="n">
        <x:f>('등급 계산식'!$E$4-F444)*'등급 계산식'!$B$5</x:f>
        <x:v>0.12000000000000002</x:v>
      </x:c>
      <x:c r="I444" s="14" t="n">
        <x:f>1-G444-H444</x:f>
        <x:v>0.4600000000000001</x:v>
      </x:c>
      <x:c r="J444" s="2" t="n">
        <x:f>MAX(1,ROUND('기준스탯 72종'!D25-R444-Z444,0))</x:f>
        <x:v>4</x:v>
      </x:c>
      <x:c r="K444" s="2" t="n">
        <x:f>MAX(1,ROUND('기준스탯 72종'!E25-S444-AA444,0))</x:f>
        <x:v>3</x:v>
      </x:c>
      <x:c r="L444" s="2" t="n">
        <x:f>MAX(1,ROUND('기준스탯 72종'!F25-T444-AB444,0))</x:f>
        <x:v>4</x:v>
      </x:c>
      <x:c r="M444" s="2" t="n">
        <x:f>MAX(1,ROUND('기준스탯 72종'!G25-U444-AC444,0))</x:f>
        <x:v>4</x:v>
      </x:c>
      <x:c r="N444" s="2" t="n">
        <x:f>MAX(0,ROUND('기준스탯 72종'!H25-V444-AD444,0))</x:f>
        <x:v>2</x:v>
      </x:c>
      <x:c r="O444" s="2" t="n">
        <x:f>MAX(0,ROUND('기준스탯 72종'!I25-W444-AE444,0))</x:f>
        <x:v>2</x:v>
      </x:c>
      <x:c r="P444" s="2" t="n">
        <x:f>MAX(0,ROUND('기준스탯 72종'!J25-X444-AF444,0))</x:f>
        <x:v>2</x:v>
      </x:c>
      <x:c r="Q444" s="2" t="n">
        <x:f>MAX(0,ROUND('기준스탯 72종'!K25-Y444-AG444,0))</x:f>
        <x:v>1</x:v>
      </x:c>
      <x:c r="R444" s="15" t="n">
        <x:f>'기준스탯 72종'!D25*G444</x:f>
        <x:v>3.3599999999999994</x:v>
      </x:c>
      <x:c r="S444" s="15" t="n">
        <x:f>'기준스탯 72종'!E25*G444</x:f>
        <x:v>2.5199999999999996</x:v>
      </x:c>
      <x:c r="T444" s="15" t="n">
        <x:f>'기준스탯 72종'!F25*G444</x:f>
        <x:v>3.3599999999999994</x:v>
      </x:c>
      <x:c r="U444" s="15" t="n">
        <x:f>'기준스탯 72종'!G25*G444</x:f>
        <x:v>3.7799999999999994</x:v>
      </x:c>
      <x:c r="V444" s="15" t="n">
        <x:f>'기준스탯 72종'!H25*G444</x:f>
        <x:v>1.6799999999999997</x:v>
      </x:c>
      <x:c r="W444" s="15" t="n">
        <x:f>'기준스탯 72종'!I25*G444</x:f>
        <x:v>2.0999999999999996</x:v>
      </x:c>
      <x:c r="X444" s="15" t="n">
        <x:f>'기준스탯 72종'!J25*G444</x:f>
        <x:v>2.0999999999999996</x:v>
      </x:c>
      <x:c r="Y444" s="15" t="n">
        <x:f>'기준스탯 72종'!K25*G444</x:f>
        <x:v>0.8399999999999999</x:v>
      </x:c>
      <x:c r="Z444" s="15" t="n">
        <x:f>'기준스탯 72종'!D25*H444</x:f>
        <x:v>0.9600000000000002</x:v>
      </x:c>
      <x:c r="AA444" s="15" t="n">
        <x:f>'기준스탯 72종'!E25*H444</x:f>
        <x:v>0.7200000000000002</x:v>
      </x:c>
      <x:c r="AB444" s="15" t="n">
        <x:f>'기준스탯 72종'!F25*H444</x:f>
        <x:v>0.9600000000000002</x:v>
      </x:c>
      <x:c r="AC444" s="15" t="n">
        <x:f>'기준스탯 72종'!G25*H444</x:f>
        <x:v>1.0800000000000003</x:v>
      </x:c>
      <x:c r="AD444" s="15" t="n">
        <x:f>'기준스탯 72종'!H25*H444</x:f>
        <x:v>0.4800000000000001</x:v>
      </x:c>
      <x:c r="AE444" s="15" t="n">
        <x:f>'기준스탯 72종'!I25*H444</x:f>
        <x:v>0.6000000000000001</x:v>
      </x:c>
      <x:c r="AF444" s="15" t="n">
        <x:f>'기준스탯 72종'!J25*H444</x:f>
        <x:v>0.6000000000000001</x:v>
      </x:c>
      <x:c r="AG444" s="15" t="n">
        <x:f>'기준스탯 72종'!K25*H444</x:f>
        <x:v>0.24000000000000005</x:v>
      </x:c>
    </x:row>
    <x:row r="445" ht="28" customHeight="1">
      <x:c r="A445" s="2" t="n">
        <x:v>438</x:v>
      </x:c>
      <x:c r="B445" s="2" t="n">
        <x:v>18</x:v>
      </x:c>
      <x:c r="C445" s="2" t="str">
        <x:v>쌍둥이자리</x:v>
      </x:c>
      <x:c r="D445" s="2" t="str">
        <x:v>전사</x:v>
      </x:c>
      <x:c r="E445" s="2" t="n">
        <x:v>3</x:v>
      </x:c>
      <x:c r="F445" s="2" t="n">
        <x:v>3</x:v>
      </x:c>
      <x:c r="G445" s="14" t="n">
        <x:f>('레벨 계산식'!$E$4-E445)*'레벨 계산식'!$B$5</x:f>
        <x:v>0.27999999999999997</x:v>
      </x:c>
      <x:c r="H445" s="14" t="n">
        <x:f>('등급 계산식'!$E$4-F445)*'등급 계산식'!$B$5</x:f>
        <x:v>0.12000000000000002</x:v>
      </x:c>
      <x:c r="I445" s="14" t="n">
        <x:f>1-G445-H445</x:f>
        <x:v>0.6</x:v>
      </x:c>
      <x:c r="J445" s="2" t="n">
        <x:f>MAX(1,ROUND('기준스탯 72종'!D25-R445-Z445,0))</x:f>
        <x:v>5</x:v>
      </x:c>
      <x:c r="K445" s="2" t="n">
        <x:f>MAX(1,ROUND('기준스탯 72종'!E25-S445-AA445,0))</x:f>
        <x:v>4</x:v>
      </x:c>
      <x:c r="L445" s="2" t="n">
        <x:f>MAX(1,ROUND('기준스탯 72종'!F25-T445-AB445,0))</x:f>
        <x:v>5</x:v>
      </x:c>
      <x:c r="M445" s="2" t="n">
        <x:f>MAX(1,ROUND('기준스탯 72종'!G25-U445-AC445,0))</x:f>
        <x:v>5</x:v>
      </x:c>
      <x:c r="N445" s="2" t="n">
        <x:f>MAX(0,ROUND('기준스탯 72종'!H25-V445-AD445,0))</x:f>
        <x:v>2</x:v>
      </x:c>
      <x:c r="O445" s="2" t="n">
        <x:f>MAX(0,ROUND('기준스탯 72종'!I25-W445-AE445,0))</x:f>
        <x:v>3</x:v>
      </x:c>
      <x:c r="P445" s="2" t="n">
        <x:f>MAX(0,ROUND('기준스탯 72종'!J25-X445-AF445,0))</x:f>
        <x:v>3</x:v>
      </x:c>
      <x:c r="Q445" s="2" t="n">
        <x:f>MAX(0,ROUND('기준스탯 72종'!K25-Y445-AG445,0))</x:f>
        <x:v>1</x:v>
      </x:c>
      <x:c r="R445" s="15" t="n">
        <x:f>'기준스탯 72종'!D25*G445</x:f>
        <x:v>2.2399999999999998</x:v>
      </x:c>
      <x:c r="S445" s="15" t="n">
        <x:f>'기준스탯 72종'!E25*G445</x:f>
        <x:v>1.6799999999999997</x:v>
      </x:c>
      <x:c r="T445" s="15" t="n">
        <x:f>'기준스탯 72종'!F25*G445</x:f>
        <x:v>2.2399999999999998</x:v>
      </x:c>
      <x:c r="U445" s="15" t="n">
        <x:f>'기준스탯 72종'!G25*G445</x:f>
        <x:v>2.5199999999999996</x:v>
      </x:c>
      <x:c r="V445" s="15" t="n">
        <x:f>'기준스탯 72종'!H25*G445</x:f>
        <x:v>1.1199999999999999</x:v>
      </x:c>
      <x:c r="W445" s="15" t="n">
        <x:f>'기준스탯 72종'!I25*G445</x:f>
        <x:v>1.4</x:v>
      </x:c>
      <x:c r="X445" s="15" t="n">
        <x:f>'기준스탯 72종'!J25*G445</x:f>
        <x:v>1.4</x:v>
      </x:c>
      <x:c r="Y445" s="15" t="n">
        <x:f>'기준스탯 72종'!K25*G445</x:f>
        <x:v>0.5599999999999999</x:v>
      </x:c>
      <x:c r="Z445" s="15" t="n">
        <x:f>'기준스탯 72종'!D25*H445</x:f>
        <x:v>0.9600000000000002</x:v>
      </x:c>
      <x:c r="AA445" s="15" t="n">
        <x:f>'기준스탯 72종'!E25*H445</x:f>
        <x:v>0.7200000000000002</x:v>
      </x:c>
      <x:c r="AB445" s="15" t="n">
        <x:f>'기준스탯 72종'!F25*H445</x:f>
        <x:v>0.9600000000000002</x:v>
      </x:c>
      <x:c r="AC445" s="15" t="n">
        <x:f>'기준스탯 72종'!G25*H445</x:f>
        <x:v>1.0800000000000003</x:v>
      </x:c>
      <x:c r="AD445" s="15" t="n">
        <x:f>'기준스탯 72종'!H25*H445</x:f>
        <x:v>0.4800000000000001</x:v>
      </x:c>
      <x:c r="AE445" s="15" t="n">
        <x:f>'기준스탯 72종'!I25*H445</x:f>
        <x:v>0.6000000000000001</x:v>
      </x:c>
      <x:c r="AF445" s="15" t="n">
        <x:f>'기준스탯 72종'!J25*H445</x:f>
        <x:v>0.6000000000000001</x:v>
      </x:c>
      <x:c r="AG445" s="15" t="n">
        <x:f>'기준스탯 72종'!K25*H445</x:f>
        <x:v>0.24000000000000005</x:v>
      </x:c>
    </x:row>
    <x:row r="446" ht="28" customHeight="1">
      <x:c r="A446" s="2" t="n">
        <x:v>439</x:v>
      </x:c>
      <x:c r="B446" s="2" t="n">
        <x:v>18</x:v>
      </x:c>
      <x:c r="C446" s="2" t="str">
        <x:v>쌍둥이자리</x:v>
      </x:c>
      <x:c r="D446" s="2" t="str">
        <x:v>전사</x:v>
      </x:c>
      <x:c r="E446" s="2" t="n">
        <x:v>4</x:v>
      </x:c>
      <x:c r="F446" s="2" t="n">
        <x:v>3</x:v>
      </x:c>
      <x:c r="G446" s="14" t="n">
        <x:f>('레벨 계산식'!$E$4-E446)*'레벨 계산식'!$B$5</x:f>
        <x:v>0.13999999999999999</x:v>
      </x:c>
      <x:c r="H446" s="14" t="n">
        <x:f>('등급 계산식'!$E$4-F446)*'등급 계산식'!$B$5</x:f>
        <x:v>0.12000000000000002</x:v>
      </x:c>
      <x:c r="I446" s="14" t="n">
        <x:f>1-G446-H446</x:f>
        <x:v>0.74</x:v>
      </x:c>
      <x:c r="J446" s="2" t="n">
        <x:f>MAX(1,ROUND('기준스탯 72종'!D25-R446-Z446,0))</x:f>
        <x:v>6</x:v>
      </x:c>
      <x:c r="K446" s="2" t="n">
        <x:f>MAX(1,ROUND('기준스탯 72종'!E25-S446-AA446,0))</x:f>
        <x:v>4</x:v>
      </x:c>
      <x:c r="L446" s="2" t="n">
        <x:f>MAX(1,ROUND('기준스탯 72종'!F25-T446-AB446,0))</x:f>
        <x:v>6</x:v>
      </x:c>
      <x:c r="M446" s="2" t="n">
        <x:f>MAX(1,ROUND('기준스탯 72종'!G25-U446-AC446,0))</x:f>
        <x:v>7</x:v>
      </x:c>
      <x:c r="N446" s="2" t="n">
        <x:f>MAX(0,ROUND('기준스탯 72종'!H25-V446-AD446,0))</x:f>
        <x:v>3</x:v>
      </x:c>
      <x:c r="O446" s="2" t="n">
        <x:f>MAX(0,ROUND('기준스탯 72종'!I25-W446-AE446,0))</x:f>
        <x:v>4</x:v>
      </x:c>
      <x:c r="P446" s="2" t="n">
        <x:f>MAX(0,ROUND('기준스탯 72종'!J25-X446-AF446,0))</x:f>
        <x:v>4</x:v>
      </x:c>
      <x:c r="Q446" s="2" t="n">
        <x:f>MAX(0,ROUND('기준스탯 72종'!K25-Y446-AG446,0))</x:f>
        <x:v>1</x:v>
      </x:c>
      <x:c r="R446" s="15" t="n">
        <x:f>'기준스탯 72종'!D25*G446</x:f>
        <x:v>1.1199999999999999</x:v>
      </x:c>
      <x:c r="S446" s="15" t="n">
        <x:f>'기준스탯 72종'!E25*G446</x:f>
        <x:v>0.8399999999999999</x:v>
      </x:c>
      <x:c r="T446" s="15" t="n">
        <x:f>'기준스탯 72종'!F25*G446</x:f>
        <x:v>1.1199999999999999</x:v>
      </x:c>
      <x:c r="U446" s="15" t="n">
        <x:f>'기준스탯 72종'!G25*G446</x:f>
        <x:v>1.2599999999999998</x:v>
      </x:c>
      <x:c r="V446" s="15" t="n">
        <x:f>'기준스탯 72종'!H25*G446</x:f>
        <x:v>0.5599999999999999</x:v>
      </x:c>
      <x:c r="W446" s="15" t="n">
        <x:f>'기준스탯 72종'!I25*G446</x:f>
        <x:v>0.7</x:v>
      </x:c>
      <x:c r="X446" s="15" t="n">
        <x:f>'기준스탯 72종'!J25*G446</x:f>
        <x:v>0.7</x:v>
      </x:c>
      <x:c r="Y446" s="15" t="n">
        <x:f>'기준스탯 72종'!K25*G446</x:f>
        <x:v>0.27999999999999997</x:v>
      </x:c>
      <x:c r="Z446" s="15" t="n">
        <x:f>'기준스탯 72종'!D25*H446</x:f>
        <x:v>0.9600000000000002</x:v>
      </x:c>
      <x:c r="AA446" s="15" t="n">
        <x:f>'기준스탯 72종'!E25*H446</x:f>
        <x:v>0.7200000000000002</x:v>
      </x:c>
      <x:c r="AB446" s="15" t="n">
        <x:f>'기준스탯 72종'!F25*H446</x:f>
        <x:v>0.9600000000000002</x:v>
      </x:c>
      <x:c r="AC446" s="15" t="n">
        <x:f>'기준스탯 72종'!G25*H446</x:f>
        <x:v>1.0800000000000003</x:v>
      </x:c>
      <x:c r="AD446" s="15" t="n">
        <x:f>'기준스탯 72종'!H25*H446</x:f>
        <x:v>0.4800000000000001</x:v>
      </x:c>
      <x:c r="AE446" s="15" t="n">
        <x:f>'기준스탯 72종'!I25*H446</x:f>
        <x:v>0.6000000000000001</x:v>
      </x:c>
      <x:c r="AF446" s="15" t="n">
        <x:f>'기준스탯 72종'!J25*H446</x:f>
        <x:v>0.6000000000000001</x:v>
      </x:c>
      <x:c r="AG446" s="15" t="n">
        <x:f>'기준스탯 72종'!K25*H446</x:f>
        <x:v>0.24000000000000005</x:v>
      </x:c>
    </x:row>
    <x:row r="447" ht="28" customHeight="1">
      <x:c r="A447" s="2" t="n">
        <x:v>440</x:v>
      </x:c>
      <x:c r="B447" s="2" t="n">
        <x:v>18</x:v>
      </x:c>
      <x:c r="C447" s="2" t="str">
        <x:v>쌍둥이자리</x:v>
      </x:c>
      <x:c r="D447" s="2" t="str">
        <x:v>전사</x:v>
      </x:c>
      <x:c r="E447" s="2" t="n">
        <x:v>5</x:v>
      </x:c>
      <x:c r="F447" s="2" t="n">
        <x:v>3</x:v>
      </x:c>
      <x:c r="G447" s="14" t="n">
        <x:f>('레벨 계산식'!$E$4-E447)*'레벨 계산식'!$B$5</x:f>
        <x:v>0</x:v>
      </x:c>
      <x:c r="H447" s="14" t="n">
        <x:f>('등급 계산식'!$E$4-F447)*'등급 계산식'!$B$5</x:f>
        <x:v>0.12000000000000002</x:v>
      </x:c>
      <x:c r="I447" s="14" t="n">
        <x:f>1-G447-H447</x:f>
        <x:v>0.88</x:v>
      </x:c>
      <x:c r="J447" s="2" t="n">
        <x:f>MAX(1,ROUND('기준스탯 72종'!D25-R447-Z447,0))</x:f>
        <x:v>7</x:v>
      </x:c>
      <x:c r="K447" s="2" t="n">
        <x:f>MAX(1,ROUND('기준스탯 72종'!E25-S447-AA447,0))</x:f>
        <x:v>5</x:v>
      </x:c>
      <x:c r="L447" s="2" t="n">
        <x:f>MAX(1,ROUND('기준스탯 72종'!F25-T447-AB447,0))</x:f>
        <x:v>7</x:v>
      </x:c>
      <x:c r="M447" s="2" t="n">
        <x:f>MAX(1,ROUND('기준스탯 72종'!G25-U447-AC447,0))</x:f>
        <x:v>8</x:v>
      </x:c>
      <x:c r="N447" s="2" t="n">
        <x:f>MAX(0,ROUND('기준스탯 72종'!H25-V447-AD447,0))</x:f>
        <x:v>4</x:v>
      </x:c>
      <x:c r="O447" s="2" t="n">
        <x:f>MAX(0,ROUND('기준스탯 72종'!I25-W447-AE447,0))</x:f>
        <x:v>4</x:v>
      </x:c>
      <x:c r="P447" s="2" t="n">
        <x:f>MAX(0,ROUND('기준스탯 72종'!J25-X447-AF447,0))</x:f>
        <x:v>4</x:v>
      </x:c>
      <x:c r="Q447" s="2" t="n">
        <x:f>MAX(0,ROUND('기준스탯 72종'!K25-Y447-AG447,0))</x:f>
        <x:v>2</x:v>
      </x:c>
      <x:c r="R447" s="15" t="n">
        <x:f>'기준스탯 72종'!D25*G447</x:f>
        <x:v>0</x:v>
      </x:c>
      <x:c r="S447" s="15" t="n">
        <x:f>'기준스탯 72종'!E25*G447</x:f>
        <x:v>0</x:v>
      </x:c>
      <x:c r="T447" s="15" t="n">
        <x:f>'기준스탯 72종'!F25*G447</x:f>
        <x:v>0</x:v>
      </x:c>
      <x:c r="U447" s="15" t="n">
        <x:f>'기준스탯 72종'!G25*G447</x:f>
        <x:v>0</x:v>
      </x:c>
      <x:c r="V447" s="15" t="n">
        <x:f>'기준스탯 72종'!H25*G447</x:f>
        <x:v>0</x:v>
      </x:c>
      <x:c r="W447" s="15" t="n">
        <x:f>'기준스탯 72종'!I25*G447</x:f>
        <x:v>0</x:v>
      </x:c>
      <x:c r="X447" s="15" t="n">
        <x:f>'기준스탯 72종'!J25*G447</x:f>
        <x:v>0</x:v>
      </x:c>
      <x:c r="Y447" s="15" t="n">
        <x:f>'기준스탯 72종'!K25*G447</x:f>
        <x:v>0</x:v>
      </x:c>
      <x:c r="Z447" s="15" t="n">
        <x:f>'기준스탯 72종'!D25*H447</x:f>
        <x:v>0.9600000000000002</x:v>
      </x:c>
      <x:c r="AA447" s="15" t="n">
        <x:f>'기준스탯 72종'!E25*H447</x:f>
        <x:v>0.7200000000000002</x:v>
      </x:c>
      <x:c r="AB447" s="15" t="n">
        <x:f>'기준스탯 72종'!F25*H447</x:f>
        <x:v>0.9600000000000002</x:v>
      </x:c>
      <x:c r="AC447" s="15" t="n">
        <x:f>'기준스탯 72종'!G25*H447</x:f>
        <x:v>1.0800000000000003</x:v>
      </x:c>
      <x:c r="AD447" s="15" t="n">
        <x:f>'기준스탯 72종'!H25*H447</x:f>
        <x:v>0.4800000000000001</x:v>
      </x:c>
      <x:c r="AE447" s="15" t="n">
        <x:f>'기준스탯 72종'!I25*H447</x:f>
        <x:v>0.6000000000000001</x:v>
      </x:c>
      <x:c r="AF447" s="15" t="n">
        <x:f>'기준스탯 72종'!J25*H447</x:f>
        <x:v>0.6000000000000001</x:v>
      </x:c>
      <x:c r="AG447" s="15" t="n">
        <x:f>'기준스탯 72종'!K25*H447</x:f>
        <x:v>0.24000000000000005</x:v>
      </x:c>
    </x:row>
    <x:row r="448" ht="28" customHeight="1">
      <x:c r="A448" s="2" t="n">
        <x:v>441</x:v>
      </x:c>
      <x:c r="B448" s="2" t="n">
        <x:v>18</x:v>
      </x:c>
      <x:c r="C448" s="2" t="str">
        <x:v>쌍둥이자리</x:v>
      </x:c>
      <x:c r="D448" s="2" t="str">
        <x:v>전사</x:v>
      </x:c>
      <x:c r="E448" s="2" t="n">
        <x:v>1</x:v>
      </x:c>
      <x:c r="F448" s="2" t="n">
        <x:v>4</x:v>
      </x:c>
      <x:c r="G448" s="14" t="n">
        <x:f>('레벨 계산식'!$E$4-E448)*'레벨 계산식'!$B$5</x:f>
        <x:v>0.5599999999999999</x:v>
      </x:c>
      <x:c r="H448" s="14" t="n">
        <x:f>('등급 계산식'!$E$4-F448)*'등급 계산식'!$B$5</x:f>
        <x:v>0.06000000000000001</x:v>
      </x:c>
      <x:c r="I448" s="14" t="n">
        <x:f>1-G448-H448</x:f>
        <x:v>0.38000000000000006</x:v>
      </x:c>
      <x:c r="J448" s="2" t="n">
        <x:f>MAX(1,ROUND('기준스탯 72종'!D25-R448-Z448,0))</x:f>
        <x:v>3</x:v>
      </x:c>
      <x:c r="K448" s="2" t="n">
        <x:f>MAX(1,ROUND('기준스탯 72종'!E25-S448-AA448,0))</x:f>
        <x:v>2</x:v>
      </x:c>
      <x:c r="L448" s="2" t="n">
        <x:f>MAX(1,ROUND('기준스탯 72종'!F25-T448-AB448,0))</x:f>
        <x:v>3</x:v>
      </x:c>
      <x:c r="M448" s="2" t="n">
        <x:f>MAX(1,ROUND('기준스탯 72종'!G25-U448-AC448,0))</x:f>
        <x:v>3</x:v>
      </x:c>
      <x:c r="N448" s="2" t="n">
        <x:f>MAX(0,ROUND('기준스탯 72종'!H25-V448-AD448,0))</x:f>
        <x:v>2</x:v>
      </x:c>
      <x:c r="O448" s="2" t="n">
        <x:f>MAX(0,ROUND('기준스탯 72종'!I25-W448-AE448,0))</x:f>
        <x:v>2</x:v>
      </x:c>
      <x:c r="P448" s="2" t="n">
        <x:f>MAX(0,ROUND('기준스탯 72종'!J25-X448-AF448,0))</x:f>
        <x:v>2</x:v>
      </x:c>
      <x:c r="Q448" s="2" t="n">
        <x:f>MAX(0,ROUND('기준스탯 72종'!K25-Y448-AG448,0))</x:f>
        <x:v>1</x:v>
      </x:c>
      <x:c r="R448" s="15" t="n">
        <x:f>'기준스탯 72종'!D25*G448</x:f>
        <x:v>4.4799999999999995</x:v>
      </x:c>
      <x:c r="S448" s="15" t="n">
        <x:f>'기준스탯 72종'!E25*G448</x:f>
        <x:v>3.3599999999999994</x:v>
      </x:c>
      <x:c r="T448" s="15" t="n">
        <x:f>'기준스탯 72종'!F25*G448</x:f>
        <x:v>4.4799999999999995</x:v>
      </x:c>
      <x:c r="U448" s="15" t="n">
        <x:f>'기준스탯 72종'!G25*G448</x:f>
        <x:v>5.039999999999999</x:v>
      </x:c>
      <x:c r="V448" s="15" t="n">
        <x:f>'기준스탯 72종'!H25*G448</x:f>
        <x:v>2.2399999999999998</x:v>
      </x:c>
      <x:c r="W448" s="15" t="n">
        <x:f>'기준스탯 72종'!I25*G448</x:f>
        <x:v>2.8</x:v>
      </x:c>
      <x:c r="X448" s="15" t="n">
        <x:f>'기준스탯 72종'!J25*G448</x:f>
        <x:v>2.8</x:v>
      </x:c>
      <x:c r="Y448" s="15" t="n">
        <x:f>'기준스탯 72종'!K25*G448</x:f>
        <x:v>1.1199999999999999</x:v>
      </x:c>
      <x:c r="Z448" s="15" t="n">
        <x:f>'기준스탯 72종'!D25*H448</x:f>
        <x:v>0.4800000000000001</x:v>
      </x:c>
      <x:c r="AA448" s="15" t="n">
        <x:f>'기준스탯 72종'!E25*H448</x:f>
        <x:v>0.3600000000000001</x:v>
      </x:c>
      <x:c r="AB448" s="15" t="n">
        <x:f>'기준스탯 72종'!F25*H448</x:f>
        <x:v>0.4800000000000001</x:v>
      </x:c>
      <x:c r="AC448" s="15" t="n">
        <x:f>'기준스탯 72종'!G25*H448</x:f>
        <x:v>0.5400000000000001</x:v>
      </x:c>
      <x:c r="AD448" s="15" t="n">
        <x:f>'기준스탯 72종'!H25*H448</x:f>
        <x:v>0.24000000000000005</x:v>
      </x:c>
      <x:c r="AE448" s="15" t="n">
        <x:f>'기준스탯 72종'!I25*H448</x:f>
        <x:v>0.30000000000000004</x:v>
      </x:c>
      <x:c r="AF448" s="15" t="n">
        <x:f>'기준스탯 72종'!J25*H448</x:f>
        <x:v>0.30000000000000004</x:v>
      </x:c>
      <x:c r="AG448" s="15" t="n">
        <x:f>'기준스탯 72종'!K25*H448</x:f>
        <x:v>0.12000000000000002</x:v>
      </x:c>
    </x:row>
    <x:row r="449" ht="28" customHeight="1">
      <x:c r="A449" s="2" t="n">
        <x:v>442</x:v>
      </x:c>
      <x:c r="B449" s="2" t="n">
        <x:v>18</x:v>
      </x:c>
      <x:c r="C449" s="2" t="str">
        <x:v>쌍둥이자리</x:v>
      </x:c>
      <x:c r="D449" s="2" t="str">
        <x:v>전사</x:v>
      </x:c>
      <x:c r="E449" s="2" t="n">
        <x:v>2</x:v>
      </x:c>
      <x:c r="F449" s="2" t="n">
        <x:v>4</x:v>
      </x:c>
      <x:c r="G449" s="14" t="n">
        <x:f>('레벨 계산식'!$E$4-E449)*'레벨 계산식'!$B$5</x:f>
        <x:v>0.41999999999999993</x:v>
      </x:c>
      <x:c r="H449" s="14" t="n">
        <x:f>('등급 계산식'!$E$4-F449)*'등급 계산식'!$B$5</x:f>
        <x:v>0.06000000000000001</x:v>
      </x:c>
      <x:c r="I449" s="14" t="n">
        <x:f>1-G449-H449</x:f>
        <x:v>0.52</x:v>
      </x:c>
      <x:c r="J449" s="2" t="n">
        <x:f>MAX(1,ROUND('기준스탯 72종'!D25-R449-Z449,0))</x:f>
        <x:v>4</x:v>
      </x:c>
      <x:c r="K449" s="2" t="n">
        <x:f>MAX(1,ROUND('기준스탯 72종'!E25-S449-AA449,0))</x:f>
        <x:v>3</x:v>
      </x:c>
      <x:c r="L449" s="2" t="n">
        <x:f>MAX(1,ROUND('기준스탯 72종'!F25-T449-AB449,0))</x:f>
        <x:v>4</x:v>
      </x:c>
      <x:c r="M449" s="2" t="n">
        <x:f>MAX(1,ROUND('기준스탯 72종'!G25-U449-AC449,0))</x:f>
        <x:v>5</x:v>
      </x:c>
      <x:c r="N449" s="2" t="n">
        <x:f>MAX(0,ROUND('기준스탯 72종'!H25-V449-AD449,0))</x:f>
        <x:v>2</x:v>
      </x:c>
      <x:c r="O449" s="2" t="n">
        <x:f>MAX(0,ROUND('기준스탯 72종'!I25-W449-AE449,0))</x:f>
        <x:v>3</x:v>
      </x:c>
      <x:c r="P449" s="2" t="n">
        <x:f>MAX(0,ROUND('기준스탯 72종'!J25-X449-AF449,0))</x:f>
        <x:v>3</x:v>
      </x:c>
      <x:c r="Q449" s="2" t="n">
        <x:f>MAX(0,ROUND('기준스탯 72종'!K25-Y449-AG449,0))</x:f>
        <x:v>1</x:v>
      </x:c>
      <x:c r="R449" s="15" t="n">
        <x:f>'기준스탯 72종'!D25*G449</x:f>
        <x:v>3.3599999999999994</x:v>
      </x:c>
      <x:c r="S449" s="15" t="n">
        <x:f>'기준스탯 72종'!E25*G449</x:f>
        <x:v>2.5199999999999996</x:v>
      </x:c>
      <x:c r="T449" s="15" t="n">
        <x:f>'기준스탯 72종'!F25*G449</x:f>
        <x:v>3.3599999999999994</x:v>
      </x:c>
      <x:c r="U449" s="15" t="n">
        <x:f>'기준스탯 72종'!G25*G449</x:f>
        <x:v>3.7799999999999994</x:v>
      </x:c>
      <x:c r="V449" s="15" t="n">
        <x:f>'기준스탯 72종'!H25*G449</x:f>
        <x:v>1.6799999999999997</x:v>
      </x:c>
      <x:c r="W449" s="15" t="n">
        <x:f>'기준스탯 72종'!I25*G449</x:f>
        <x:v>2.0999999999999996</x:v>
      </x:c>
      <x:c r="X449" s="15" t="n">
        <x:f>'기준스탯 72종'!J25*G449</x:f>
        <x:v>2.0999999999999996</x:v>
      </x:c>
      <x:c r="Y449" s="15" t="n">
        <x:f>'기준스탯 72종'!K25*G449</x:f>
        <x:v>0.8399999999999999</x:v>
      </x:c>
      <x:c r="Z449" s="15" t="n">
        <x:f>'기준스탯 72종'!D25*H449</x:f>
        <x:v>0.4800000000000001</x:v>
      </x:c>
      <x:c r="AA449" s="15" t="n">
        <x:f>'기준스탯 72종'!E25*H449</x:f>
        <x:v>0.3600000000000001</x:v>
      </x:c>
      <x:c r="AB449" s="15" t="n">
        <x:f>'기준스탯 72종'!F25*H449</x:f>
        <x:v>0.4800000000000001</x:v>
      </x:c>
      <x:c r="AC449" s="15" t="n">
        <x:f>'기준스탯 72종'!G25*H449</x:f>
        <x:v>0.5400000000000001</x:v>
      </x:c>
      <x:c r="AD449" s="15" t="n">
        <x:f>'기준스탯 72종'!H25*H449</x:f>
        <x:v>0.24000000000000005</x:v>
      </x:c>
      <x:c r="AE449" s="15" t="n">
        <x:f>'기준스탯 72종'!I25*H449</x:f>
        <x:v>0.30000000000000004</x:v>
      </x:c>
      <x:c r="AF449" s="15" t="n">
        <x:f>'기준스탯 72종'!J25*H449</x:f>
        <x:v>0.30000000000000004</x:v>
      </x:c>
      <x:c r="AG449" s="15" t="n">
        <x:f>'기준스탯 72종'!K25*H449</x:f>
        <x:v>0.12000000000000002</x:v>
      </x:c>
    </x:row>
    <x:row r="450" ht="28" customHeight="1">
      <x:c r="A450" s="2" t="n">
        <x:v>443</x:v>
      </x:c>
      <x:c r="B450" s="2" t="n">
        <x:v>18</x:v>
      </x:c>
      <x:c r="C450" s="2" t="str">
        <x:v>쌍둥이자리</x:v>
      </x:c>
      <x:c r="D450" s="2" t="str">
        <x:v>전사</x:v>
      </x:c>
      <x:c r="E450" s="2" t="n">
        <x:v>3</x:v>
      </x:c>
      <x:c r="F450" s="2" t="n">
        <x:v>4</x:v>
      </x:c>
      <x:c r="G450" s="14" t="n">
        <x:f>('레벨 계산식'!$E$4-E450)*'레벨 계산식'!$B$5</x:f>
        <x:v>0.27999999999999997</x:v>
      </x:c>
      <x:c r="H450" s="14" t="n">
        <x:f>('등급 계산식'!$E$4-F450)*'등급 계산식'!$B$5</x:f>
        <x:v>0.06000000000000001</x:v>
      </x:c>
      <x:c r="I450" s="14" t="n">
        <x:f>1-G450-H450</x:f>
        <x:v>0.6599999999999999</x:v>
      </x:c>
      <x:c r="J450" s="2" t="n">
        <x:f>MAX(1,ROUND('기준스탯 72종'!D25-R450-Z450,0))</x:f>
        <x:v>5</x:v>
      </x:c>
      <x:c r="K450" s="2" t="n">
        <x:f>MAX(1,ROUND('기준스탯 72종'!E25-S450-AA450,0))</x:f>
        <x:v>4</x:v>
      </x:c>
      <x:c r="L450" s="2" t="n">
        <x:f>MAX(1,ROUND('기준스탯 72종'!F25-T450-AB450,0))</x:f>
        <x:v>5</x:v>
      </x:c>
      <x:c r="M450" s="2" t="n">
        <x:f>MAX(1,ROUND('기준스탯 72종'!G25-U450-AC450,0))</x:f>
        <x:v>6</x:v>
      </x:c>
      <x:c r="N450" s="2" t="n">
        <x:f>MAX(0,ROUND('기준스탯 72종'!H25-V450-AD450,0))</x:f>
        <x:v>3</x:v>
      </x:c>
      <x:c r="O450" s="2" t="n">
        <x:f>MAX(0,ROUND('기준스탯 72종'!I25-W450-AE450,0))</x:f>
        <x:v>3</x:v>
      </x:c>
      <x:c r="P450" s="2" t="n">
        <x:f>MAX(0,ROUND('기준스탯 72종'!J25-X450-AF450,0))</x:f>
        <x:v>3</x:v>
      </x:c>
      <x:c r="Q450" s="2" t="n">
        <x:f>MAX(0,ROUND('기준스탯 72종'!K25-Y450-AG450,0))</x:f>
        <x:v>1</x:v>
      </x:c>
      <x:c r="R450" s="15" t="n">
        <x:f>'기준스탯 72종'!D25*G450</x:f>
        <x:v>2.2399999999999998</x:v>
      </x:c>
      <x:c r="S450" s="15" t="n">
        <x:f>'기준스탯 72종'!E25*G450</x:f>
        <x:v>1.6799999999999997</x:v>
      </x:c>
      <x:c r="T450" s="15" t="n">
        <x:f>'기준스탯 72종'!F25*G450</x:f>
        <x:v>2.2399999999999998</x:v>
      </x:c>
      <x:c r="U450" s="15" t="n">
        <x:f>'기준스탯 72종'!G25*G450</x:f>
        <x:v>2.5199999999999996</x:v>
      </x:c>
      <x:c r="V450" s="15" t="n">
        <x:f>'기준스탯 72종'!H25*G450</x:f>
        <x:v>1.1199999999999999</x:v>
      </x:c>
      <x:c r="W450" s="15" t="n">
        <x:f>'기준스탯 72종'!I25*G450</x:f>
        <x:v>1.4</x:v>
      </x:c>
      <x:c r="X450" s="15" t="n">
        <x:f>'기준스탯 72종'!J25*G450</x:f>
        <x:v>1.4</x:v>
      </x:c>
      <x:c r="Y450" s="15" t="n">
        <x:f>'기준스탯 72종'!K25*G450</x:f>
        <x:v>0.5599999999999999</x:v>
      </x:c>
      <x:c r="Z450" s="15" t="n">
        <x:f>'기준스탯 72종'!D25*H450</x:f>
        <x:v>0.4800000000000001</x:v>
      </x:c>
      <x:c r="AA450" s="15" t="n">
        <x:f>'기준스탯 72종'!E25*H450</x:f>
        <x:v>0.3600000000000001</x:v>
      </x:c>
      <x:c r="AB450" s="15" t="n">
        <x:f>'기준스탯 72종'!F25*H450</x:f>
        <x:v>0.4800000000000001</x:v>
      </x:c>
      <x:c r="AC450" s="15" t="n">
        <x:f>'기준스탯 72종'!G25*H450</x:f>
        <x:v>0.5400000000000001</x:v>
      </x:c>
      <x:c r="AD450" s="15" t="n">
        <x:f>'기준스탯 72종'!H25*H450</x:f>
        <x:v>0.24000000000000005</x:v>
      </x:c>
      <x:c r="AE450" s="15" t="n">
        <x:f>'기준스탯 72종'!I25*H450</x:f>
        <x:v>0.30000000000000004</x:v>
      </x:c>
      <x:c r="AF450" s="15" t="n">
        <x:f>'기준스탯 72종'!J25*H450</x:f>
        <x:v>0.30000000000000004</x:v>
      </x:c>
      <x:c r="AG450" s="15" t="n">
        <x:f>'기준스탯 72종'!K25*H450</x:f>
        <x:v>0.12000000000000002</x:v>
      </x:c>
    </x:row>
    <x:row r="451" ht="28" customHeight="1">
      <x:c r="A451" s="2" t="n">
        <x:v>444</x:v>
      </x:c>
      <x:c r="B451" s="2" t="n">
        <x:v>18</x:v>
      </x:c>
      <x:c r="C451" s="2" t="str">
        <x:v>쌍둥이자리</x:v>
      </x:c>
      <x:c r="D451" s="2" t="str">
        <x:v>전사</x:v>
      </x:c>
      <x:c r="E451" s="2" t="n">
        <x:v>4</x:v>
      </x:c>
      <x:c r="F451" s="2" t="n">
        <x:v>4</x:v>
      </x:c>
      <x:c r="G451" s="14" t="n">
        <x:f>('레벨 계산식'!$E$4-E451)*'레벨 계산식'!$B$5</x:f>
        <x:v>0.13999999999999999</x:v>
      </x:c>
      <x:c r="H451" s="14" t="n">
        <x:f>('등급 계산식'!$E$4-F451)*'등급 계산식'!$B$5</x:f>
        <x:v>0.06000000000000001</x:v>
      </x:c>
      <x:c r="I451" s="14" t="n">
        <x:f>1-G451-H451</x:f>
        <x:v>0.7999999999999999</x:v>
      </x:c>
      <x:c r="J451" s="2" t="n">
        <x:f>MAX(1,ROUND('기준스탯 72종'!D25-R451-Z451,0))</x:f>
        <x:v>6</x:v>
      </x:c>
      <x:c r="K451" s="2" t="n">
        <x:f>MAX(1,ROUND('기준스탯 72종'!E25-S451-AA451,0))</x:f>
        <x:v>5</x:v>
      </x:c>
      <x:c r="L451" s="2" t="n">
        <x:f>MAX(1,ROUND('기준스탯 72종'!F25-T451-AB451,0))</x:f>
        <x:v>6</x:v>
      </x:c>
      <x:c r="M451" s="2" t="n">
        <x:f>MAX(1,ROUND('기준스탯 72종'!G25-U451-AC451,0))</x:f>
        <x:v>7</x:v>
      </x:c>
      <x:c r="N451" s="2" t="n">
        <x:f>MAX(0,ROUND('기준스탯 72종'!H25-V451-AD451,0))</x:f>
        <x:v>3</x:v>
      </x:c>
      <x:c r="O451" s="2" t="n">
        <x:f>MAX(0,ROUND('기준스탯 72종'!I25-W451-AE451,0))</x:f>
        <x:v>4</x:v>
      </x:c>
      <x:c r="P451" s="2" t="n">
        <x:f>MAX(0,ROUND('기준스탯 72종'!J25-X451-AF451,0))</x:f>
        <x:v>4</x:v>
      </x:c>
      <x:c r="Q451" s="2" t="n">
        <x:f>MAX(0,ROUND('기준스탯 72종'!K25-Y451-AG451,0))</x:f>
        <x:v>2</x:v>
      </x:c>
      <x:c r="R451" s="15" t="n">
        <x:f>'기준스탯 72종'!D25*G451</x:f>
        <x:v>1.1199999999999999</x:v>
      </x:c>
      <x:c r="S451" s="15" t="n">
        <x:f>'기준스탯 72종'!E25*G451</x:f>
        <x:v>0.8399999999999999</x:v>
      </x:c>
      <x:c r="T451" s="15" t="n">
        <x:f>'기준스탯 72종'!F25*G451</x:f>
        <x:v>1.1199999999999999</x:v>
      </x:c>
      <x:c r="U451" s="15" t="n">
        <x:f>'기준스탯 72종'!G25*G451</x:f>
        <x:v>1.2599999999999998</x:v>
      </x:c>
      <x:c r="V451" s="15" t="n">
        <x:f>'기준스탯 72종'!H25*G451</x:f>
        <x:v>0.5599999999999999</x:v>
      </x:c>
      <x:c r="W451" s="15" t="n">
        <x:f>'기준스탯 72종'!I25*G451</x:f>
        <x:v>0.7</x:v>
      </x:c>
      <x:c r="X451" s="15" t="n">
        <x:f>'기준스탯 72종'!J25*G451</x:f>
        <x:v>0.7</x:v>
      </x:c>
      <x:c r="Y451" s="15" t="n">
        <x:f>'기준스탯 72종'!K25*G451</x:f>
        <x:v>0.27999999999999997</x:v>
      </x:c>
      <x:c r="Z451" s="15" t="n">
        <x:f>'기준스탯 72종'!D25*H451</x:f>
        <x:v>0.4800000000000001</x:v>
      </x:c>
      <x:c r="AA451" s="15" t="n">
        <x:f>'기준스탯 72종'!E25*H451</x:f>
        <x:v>0.3600000000000001</x:v>
      </x:c>
      <x:c r="AB451" s="15" t="n">
        <x:f>'기준스탯 72종'!F25*H451</x:f>
        <x:v>0.4800000000000001</x:v>
      </x:c>
      <x:c r="AC451" s="15" t="n">
        <x:f>'기준스탯 72종'!G25*H451</x:f>
        <x:v>0.5400000000000001</x:v>
      </x:c>
      <x:c r="AD451" s="15" t="n">
        <x:f>'기준스탯 72종'!H25*H451</x:f>
        <x:v>0.24000000000000005</x:v>
      </x:c>
      <x:c r="AE451" s="15" t="n">
        <x:f>'기준스탯 72종'!I25*H451</x:f>
        <x:v>0.30000000000000004</x:v>
      </x:c>
      <x:c r="AF451" s="15" t="n">
        <x:f>'기준스탯 72종'!J25*H451</x:f>
        <x:v>0.30000000000000004</x:v>
      </x:c>
      <x:c r="AG451" s="15" t="n">
        <x:f>'기준스탯 72종'!K25*H451</x:f>
        <x:v>0.12000000000000002</x:v>
      </x:c>
    </x:row>
    <x:row r="452" ht="28" customHeight="1">
      <x:c r="A452" s="2" t="n">
        <x:v>445</x:v>
      </x:c>
      <x:c r="B452" s="2" t="n">
        <x:v>18</x:v>
      </x:c>
      <x:c r="C452" s="2" t="str">
        <x:v>쌍둥이자리</x:v>
      </x:c>
      <x:c r="D452" s="2" t="str">
        <x:v>전사</x:v>
      </x:c>
      <x:c r="E452" s="2" t="n">
        <x:v>5</x:v>
      </x:c>
      <x:c r="F452" s="2" t="n">
        <x:v>4</x:v>
      </x:c>
      <x:c r="G452" s="14" t="n">
        <x:f>('레벨 계산식'!$E$4-E452)*'레벨 계산식'!$B$5</x:f>
        <x:v>0</x:v>
      </x:c>
      <x:c r="H452" s="14" t="n">
        <x:f>('등급 계산식'!$E$4-F452)*'등급 계산식'!$B$5</x:f>
        <x:v>0.06000000000000001</x:v>
      </x:c>
      <x:c r="I452" s="14" t="n">
        <x:f>1-G452-H452</x:f>
        <x:v>0.94</x:v>
      </x:c>
      <x:c r="J452" s="2" t="n">
        <x:f>MAX(1,ROUND('기준스탯 72종'!D25-R452-Z452,0))</x:f>
        <x:v>8</x:v>
      </x:c>
      <x:c r="K452" s="2" t="n">
        <x:f>MAX(1,ROUND('기준스탯 72종'!E25-S452-AA452,0))</x:f>
        <x:v>6</x:v>
      </x:c>
      <x:c r="L452" s="2" t="n">
        <x:f>MAX(1,ROUND('기준스탯 72종'!F25-T452-AB452,0))</x:f>
        <x:v>8</x:v>
      </x:c>
      <x:c r="M452" s="2" t="n">
        <x:f>MAX(1,ROUND('기준스탯 72종'!G25-U452-AC452,0))</x:f>
        <x:v>8</x:v>
      </x:c>
      <x:c r="N452" s="2" t="n">
        <x:f>MAX(0,ROUND('기준스탯 72종'!H25-V452-AD452,0))</x:f>
        <x:v>4</x:v>
      </x:c>
      <x:c r="O452" s="2" t="n">
        <x:f>MAX(0,ROUND('기준스탯 72종'!I25-W452-AE452,0))</x:f>
        <x:v>5</x:v>
      </x:c>
      <x:c r="P452" s="2" t="n">
        <x:f>MAX(0,ROUND('기준스탯 72종'!J25-X452-AF452,0))</x:f>
        <x:v>5</x:v>
      </x:c>
      <x:c r="Q452" s="2" t="n">
        <x:f>MAX(0,ROUND('기준스탯 72종'!K25-Y452-AG452,0))</x:f>
        <x:v>2</x:v>
      </x:c>
      <x:c r="R452" s="15" t="n">
        <x:f>'기준스탯 72종'!D25*G452</x:f>
        <x:v>0</x:v>
      </x:c>
      <x:c r="S452" s="15" t="n">
        <x:f>'기준스탯 72종'!E25*G452</x:f>
        <x:v>0</x:v>
      </x:c>
      <x:c r="T452" s="15" t="n">
        <x:f>'기준스탯 72종'!F25*G452</x:f>
        <x:v>0</x:v>
      </x:c>
      <x:c r="U452" s="15" t="n">
        <x:f>'기준스탯 72종'!G25*G452</x:f>
        <x:v>0</x:v>
      </x:c>
      <x:c r="V452" s="15" t="n">
        <x:f>'기준스탯 72종'!H25*G452</x:f>
        <x:v>0</x:v>
      </x:c>
      <x:c r="W452" s="15" t="n">
        <x:f>'기준스탯 72종'!I25*G452</x:f>
        <x:v>0</x:v>
      </x:c>
      <x:c r="X452" s="15" t="n">
        <x:f>'기준스탯 72종'!J25*G452</x:f>
        <x:v>0</x:v>
      </x:c>
      <x:c r="Y452" s="15" t="n">
        <x:f>'기준스탯 72종'!K25*G452</x:f>
        <x:v>0</x:v>
      </x:c>
      <x:c r="Z452" s="15" t="n">
        <x:f>'기준스탯 72종'!D25*H452</x:f>
        <x:v>0.4800000000000001</x:v>
      </x:c>
      <x:c r="AA452" s="15" t="n">
        <x:f>'기준스탯 72종'!E25*H452</x:f>
        <x:v>0.3600000000000001</x:v>
      </x:c>
      <x:c r="AB452" s="15" t="n">
        <x:f>'기준스탯 72종'!F25*H452</x:f>
        <x:v>0.4800000000000001</x:v>
      </x:c>
      <x:c r="AC452" s="15" t="n">
        <x:f>'기준스탯 72종'!G25*H452</x:f>
        <x:v>0.5400000000000001</x:v>
      </x:c>
      <x:c r="AD452" s="15" t="n">
        <x:f>'기준스탯 72종'!H25*H452</x:f>
        <x:v>0.24000000000000005</x:v>
      </x:c>
      <x:c r="AE452" s="15" t="n">
        <x:f>'기준스탯 72종'!I25*H452</x:f>
        <x:v>0.30000000000000004</x:v>
      </x:c>
      <x:c r="AF452" s="15" t="n">
        <x:f>'기준스탯 72종'!J25*H452</x:f>
        <x:v>0.30000000000000004</x:v>
      </x:c>
      <x:c r="AG452" s="15" t="n">
        <x:f>'기준스탯 72종'!K25*H452</x:f>
        <x:v>0.12000000000000002</x:v>
      </x:c>
    </x:row>
    <x:row r="453" ht="28" customHeight="1">
      <x:c r="A453" s="2" t="n">
        <x:v>446</x:v>
      </x:c>
      <x:c r="B453" s="2" t="n">
        <x:v>18</x:v>
      </x:c>
      <x:c r="C453" s="2" t="str">
        <x:v>쌍둥이자리</x:v>
      </x:c>
      <x:c r="D453" s="2" t="str">
        <x:v>전사</x:v>
      </x:c>
      <x:c r="E453" s="2" t="n">
        <x:v>1</x:v>
      </x:c>
      <x:c r="F453" s="2" t="n">
        <x:v>5</x:v>
      </x:c>
      <x:c r="G453" s="14" t="n">
        <x:f>('레벨 계산식'!$E$4-E453)*'레벨 계산식'!$B$5</x:f>
        <x:v>0.5599999999999999</x:v>
      </x:c>
      <x:c r="H453" s="14" t="n">
        <x:f>('등급 계산식'!$E$4-F453)*'등급 계산식'!$B$5</x:f>
        <x:v>0</x:v>
      </x:c>
      <x:c r="I453" s="14" t="n">
        <x:f>1-G453-H453</x:f>
        <x:v>0.44000000000000006</x:v>
      </x:c>
      <x:c r="J453" s="2" t="n">
        <x:f>MAX(1,ROUND('기준스탯 72종'!D25-R453-Z453,0))</x:f>
        <x:v>4</x:v>
      </x:c>
      <x:c r="K453" s="2" t="n">
        <x:f>MAX(1,ROUND('기준스탯 72종'!E25-S453-AA453,0))</x:f>
        <x:v>3</x:v>
      </x:c>
      <x:c r="L453" s="2" t="n">
        <x:f>MAX(1,ROUND('기준스탯 72종'!F25-T453-AB453,0))</x:f>
        <x:v>4</x:v>
      </x:c>
      <x:c r="M453" s="2" t="n">
        <x:f>MAX(1,ROUND('기준스탯 72종'!G25-U453-AC453,0))</x:f>
        <x:v>4</x:v>
      </x:c>
      <x:c r="N453" s="2" t="n">
        <x:f>MAX(0,ROUND('기준스탯 72종'!H25-V453-AD453,0))</x:f>
        <x:v>2</x:v>
      </x:c>
      <x:c r="O453" s="2" t="n">
        <x:f>MAX(0,ROUND('기준스탯 72종'!I25-W453-AE453,0))</x:f>
        <x:v>2</x:v>
      </x:c>
      <x:c r="P453" s="2" t="n">
        <x:f>MAX(0,ROUND('기준스탯 72종'!J25-X453-AF453,0))</x:f>
        <x:v>2</x:v>
      </x:c>
      <x:c r="Q453" s="2" t="n">
        <x:f>MAX(0,ROUND('기준스탯 72종'!K25-Y453-AG453,0))</x:f>
        <x:v>1</x:v>
      </x:c>
      <x:c r="R453" s="15" t="n">
        <x:f>'기준스탯 72종'!D25*G453</x:f>
        <x:v>4.4799999999999995</x:v>
      </x:c>
      <x:c r="S453" s="15" t="n">
        <x:f>'기준스탯 72종'!E25*G453</x:f>
        <x:v>3.3599999999999994</x:v>
      </x:c>
      <x:c r="T453" s="15" t="n">
        <x:f>'기준스탯 72종'!F25*G453</x:f>
        <x:v>4.4799999999999995</x:v>
      </x:c>
      <x:c r="U453" s="15" t="n">
        <x:f>'기준스탯 72종'!G25*G453</x:f>
        <x:v>5.039999999999999</x:v>
      </x:c>
      <x:c r="V453" s="15" t="n">
        <x:f>'기준스탯 72종'!H25*G453</x:f>
        <x:v>2.2399999999999998</x:v>
      </x:c>
      <x:c r="W453" s="15" t="n">
        <x:f>'기준스탯 72종'!I25*G453</x:f>
        <x:v>2.8</x:v>
      </x:c>
      <x:c r="X453" s="15" t="n">
        <x:f>'기준스탯 72종'!J25*G453</x:f>
        <x:v>2.8</x:v>
      </x:c>
      <x:c r="Y453" s="15" t="n">
        <x:f>'기준스탯 72종'!K25*G453</x:f>
        <x:v>1.1199999999999999</x:v>
      </x:c>
      <x:c r="Z453" s="15" t="n">
        <x:f>'기준스탯 72종'!D25*H453</x:f>
        <x:v>0</x:v>
      </x:c>
      <x:c r="AA453" s="15" t="n">
        <x:f>'기준스탯 72종'!E25*H453</x:f>
        <x:v>0</x:v>
      </x:c>
      <x:c r="AB453" s="15" t="n">
        <x:f>'기준스탯 72종'!F25*H453</x:f>
        <x:v>0</x:v>
      </x:c>
      <x:c r="AC453" s="15" t="n">
        <x:f>'기준스탯 72종'!G25*H453</x:f>
        <x:v>0</x:v>
      </x:c>
      <x:c r="AD453" s="15" t="n">
        <x:f>'기준스탯 72종'!H25*H453</x:f>
        <x:v>0</x:v>
      </x:c>
      <x:c r="AE453" s="15" t="n">
        <x:f>'기준스탯 72종'!I25*H453</x:f>
        <x:v>0</x:v>
      </x:c>
      <x:c r="AF453" s="15" t="n">
        <x:f>'기준스탯 72종'!J25*H453</x:f>
        <x:v>0</x:v>
      </x:c>
      <x:c r="AG453" s="15" t="n">
        <x:f>'기준스탯 72종'!K25*H453</x:f>
        <x:v>0</x:v>
      </x:c>
    </x:row>
    <x:row r="454" ht="28" customHeight="1">
      <x:c r="A454" s="2" t="n">
        <x:v>447</x:v>
      </x:c>
      <x:c r="B454" s="2" t="n">
        <x:v>18</x:v>
      </x:c>
      <x:c r="C454" s="2" t="str">
        <x:v>쌍둥이자리</x:v>
      </x:c>
      <x:c r="D454" s="2" t="str">
        <x:v>전사</x:v>
      </x:c>
      <x:c r="E454" s="2" t="n">
        <x:v>2</x:v>
      </x:c>
      <x:c r="F454" s="2" t="n">
        <x:v>5</x:v>
      </x:c>
      <x:c r="G454" s="14" t="n">
        <x:f>('레벨 계산식'!$E$4-E454)*'레벨 계산식'!$B$5</x:f>
        <x:v>0.41999999999999993</x:v>
      </x:c>
      <x:c r="H454" s="14" t="n">
        <x:f>('등급 계산식'!$E$4-F454)*'등급 계산식'!$B$5</x:f>
        <x:v>0</x:v>
      </x:c>
      <x:c r="I454" s="14" t="n">
        <x:f>1-G454-H454</x:f>
        <x:v>0.5800000000000001</x:v>
      </x:c>
      <x:c r="J454" s="2" t="n">
        <x:f>MAX(1,ROUND('기준스탯 72종'!D25-R454-Z454,0))</x:f>
        <x:v>5</x:v>
      </x:c>
      <x:c r="K454" s="2" t="n">
        <x:f>MAX(1,ROUND('기준스탯 72종'!E25-S454-AA454,0))</x:f>
        <x:v>3</x:v>
      </x:c>
      <x:c r="L454" s="2" t="n">
        <x:f>MAX(1,ROUND('기준스탯 72종'!F25-T454-AB454,0))</x:f>
        <x:v>5</x:v>
      </x:c>
      <x:c r="M454" s="2" t="n">
        <x:f>MAX(1,ROUND('기준스탯 72종'!G25-U454-AC454,0))</x:f>
        <x:v>5</x:v>
      </x:c>
      <x:c r="N454" s="2" t="n">
        <x:f>MAX(0,ROUND('기준스탯 72종'!H25-V454-AD454,0))</x:f>
        <x:v>2</x:v>
      </x:c>
      <x:c r="O454" s="2" t="n">
        <x:f>MAX(0,ROUND('기준스탯 72종'!I25-W454-AE454,0))</x:f>
        <x:v>3</x:v>
      </x:c>
      <x:c r="P454" s="2" t="n">
        <x:f>MAX(0,ROUND('기준스탯 72종'!J25-X454-AF454,0))</x:f>
        <x:v>3</x:v>
      </x:c>
      <x:c r="Q454" s="2" t="n">
        <x:f>MAX(0,ROUND('기준스탯 72종'!K25-Y454-AG454,0))</x:f>
        <x:v>1</x:v>
      </x:c>
      <x:c r="R454" s="15" t="n">
        <x:f>'기준스탯 72종'!D25*G454</x:f>
        <x:v>3.3599999999999994</x:v>
      </x:c>
      <x:c r="S454" s="15" t="n">
        <x:f>'기준스탯 72종'!E25*G454</x:f>
        <x:v>2.5199999999999996</x:v>
      </x:c>
      <x:c r="T454" s="15" t="n">
        <x:f>'기준스탯 72종'!F25*G454</x:f>
        <x:v>3.3599999999999994</x:v>
      </x:c>
      <x:c r="U454" s="15" t="n">
        <x:f>'기준스탯 72종'!G25*G454</x:f>
        <x:v>3.7799999999999994</x:v>
      </x:c>
      <x:c r="V454" s="15" t="n">
        <x:f>'기준스탯 72종'!H25*G454</x:f>
        <x:v>1.6799999999999997</x:v>
      </x:c>
      <x:c r="W454" s="15" t="n">
        <x:f>'기준스탯 72종'!I25*G454</x:f>
        <x:v>2.0999999999999996</x:v>
      </x:c>
      <x:c r="X454" s="15" t="n">
        <x:f>'기준스탯 72종'!J25*G454</x:f>
        <x:v>2.0999999999999996</x:v>
      </x:c>
      <x:c r="Y454" s="15" t="n">
        <x:f>'기준스탯 72종'!K25*G454</x:f>
        <x:v>0.8399999999999999</x:v>
      </x:c>
      <x:c r="Z454" s="15" t="n">
        <x:f>'기준스탯 72종'!D25*H454</x:f>
        <x:v>0</x:v>
      </x:c>
      <x:c r="AA454" s="15" t="n">
        <x:f>'기준스탯 72종'!E25*H454</x:f>
        <x:v>0</x:v>
      </x:c>
      <x:c r="AB454" s="15" t="n">
        <x:f>'기준스탯 72종'!F25*H454</x:f>
        <x:v>0</x:v>
      </x:c>
      <x:c r="AC454" s="15" t="n">
        <x:f>'기준스탯 72종'!G25*H454</x:f>
        <x:v>0</x:v>
      </x:c>
      <x:c r="AD454" s="15" t="n">
        <x:f>'기준스탯 72종'!H25*H454</x:f>
        <x:v>0</x:v>
      </x:c>
      <x:c r="AE454" s="15" t="n">
        <x:f>'기준스탯 72종'!I25*H454</x:f>
        <x:v>0</x:v>
      </x:c>
      <x:c r="AF454" s="15" t="n">
        <x:f>'기준스탯 72종'!J25*H454</x:f>
        <x:v>0</x:v>
      </x:c>
      <x:c r="AG454" s="15" t="n">
        <x:f>'기준스탯 72종'!K25*H454</x:f>
        <x:v>0</x:v>
      </x:c>
    </x:row>
    <x:row r="455" ht="28" customHeight="1">
      <x:c r="A455" s="2" t="n">
        <x:v>448</x:v>
      </x:c>
      <x:c r="B455" s="2" t="n">
        <x:v>18</x:v>
      </x:c>
      <x:c r="C455" s="2" t="str">
        <x:v>쌍둥이자리</x:v>
      </x:c>
      <x:c r="D455" s="2" t="str">
        <x:v>전사</x:v>
      </x:c>
      <x:c r="E455" s="2" t="n">
        <x:v>3</x:v>
      </x:c>
      <x:c r="F455" s="2" t="n">
        <x:v>5</x:v>
      </x:c>
      <x:c r="G455" s="14" t="n">
        <x:f>('레벨 계산식'!$E$4-E455)*'레벨 계산식'!$B$5</x:f>
        <x:v>0.27999999999999997</x:v>
      </x:c>
      <x:c r="H455" s="14" t="n">
        <x:f>('등급 계산식'!$E$4-F455)*'등급 계산식'!$B$5</x:f>
        <x:v>0</x:v>
      </x:c>
      <x:c r="I455" s="14" t="n">
        <x:f>1-G455-H455</x:f>
        <x:v>0.72</x:v>
      </x:c>
      <x:c r="J455" s="2" t="n">
        <x:f>MAX(1,ROUND('기준스탯 72종'!D25-R455-Z455,0))</x:f>
        <x:v>6</x:v>
      </x:c>
      <x:c r="K455" s="2" t="n">
        <x:f>MAX(1,ROUND('기준스탯 72종'!E25-S455-AA455,0))</x:f>
        <x:v>4</x:v>
      </x:c>
      <x:c r="L455" s="2" t="n">
        <x:f>MAX(1,ROUND('기준스탯 72종'!F25-T455-AB455,0))</x:f>
        <x:v>6</x:v>
      </x:c>
      <x:c r="M455" s="2" t="n">
        <x:f>MAX(1,ROUND('기준스탯 72종'!G25-U455-AC455,0))</x:f>
        <x:v>6</x:v>
      </x:c>
      <x:c r="N455" s="2" t="n">
        <x:f>MAX(0,ROUND('기준스탯 72종'!H25-V455-AD455,0))</x:f>
        <x:v>3</x:v>
      </x:c>
      <x:c r="O455" s="2" t="n">
        <x:f>MAX(0,ROUND('기준스탯 72종'!I25-W455-AE455,0))</x:f>
        <x:v>4</x:v>
      </x:c>
      <x:c r="P455" s="2" t="n">
        <x:f>MAX(0,ROUND('기준스탯 72종'!J25-X455-AF455,0))</x:f>
        <x:v>4</x:v>
      </x:c>
      <x:c r="Q455" s="2" t="n">
        <x:f>MAX(0,ROUND('기준스탯 72종'!K25-Y455-AG455,0))</x:f>
        <x:v>1</x:v>
      </x:c>
      <x:c r="R455" s="15" t="n">
        <x:f>'기준스탯 72종'!D25*G455</x:f>
        <x:v>2.2399999999999998</x:v>
      </x:c>
      <x:c r="S455" s="15" t="n">
        <x:f>'기준스탯 72종'!E25*G455</x:f>
        <x:v>1.6799999999999997</x:v>
      </x:c>
      <x:c r="T455" s="15" t="n">
        <x:f>'기준스탯 72종'!F25*G455</x:f>
        <x:v>2.2399999999999998</x:v>
      </x:c>
      <x:c r="U455" s="15" t="n">
        <x:f>'기준스탯 72종'!G25*G455</x:f>
        <x:v>2.5199999999999996</x:v>
      </x:c>
      <x:c r="V455" s="15" t="n">
        <x:f>'기준스탯 72종'!H25*G455</x:f>
        <x:v>1.1199999999999999</x:v>
      </x:c>
      <x:c r="W455" s="15" t="n">
        <x:f>'기준스탯 72종'!I25*G455</x:f>
        <x:v>1.4</x:v>
      </x:c>
      <x:c r="X455" s="15" t="n">
        <x:f>'기준스탯 72종'!J25*G455</x:f>
        <x:v>1.4</x:v>
      </x:c>
      <x:c r="Y455" s="15" t="n">
        <x:f>'기준스탯 72종'!K25*G455</x:f>
        <x:v>0.5599999999999999</x:v>
      </x:c>
      <x:c r="Z455" s="15" t="n">
        <x:f>'기준스탯 72종'!D25*H455</x:f>
        <x:v>0</x:v>
      </x:c>
      <x:c r="AA455" s="15" t="n">
        <x:f>'기준스탯 72종'!E25*H455</x:f>
        <x:v>0</x:v>
      </x:c>
      <x:c r="AB455" s="15" t="n">
        <x:f>'기준스탯 72종'!F25*H455</x:f>
        <x:v>0</x:v>
      </x:c>
      <x:c r="AC455" s="15" t="n">
        <x:f>'기준스탯 72종'!G25*H455</x:f>
        <x:v>0</x:v>
      </x:c>
      <x:c r="AD455" s="15" t="n">
        <x:f>'기준스탯 72종'!H25*H455</x:f>
        <x:v>0</x:v>
      </x:c>
      <x:c r="AE455" s="15" t="n">
        <x:f>'기준스탯 72종'!I25*H455</x:f>
        <x:v>0</x:v>
      </x:c>
      <x:c r="AF455" s="15" t="n">
        <x:f>'기준스탯 72종'!J25*H455</x:f>
        <x:v>0</x:v>
      </x:c>
      <x:c r="AG455" s="15" t="n">
        <x:f>'기준스탯 72종'!K25*H455</x:f>
        <x:v>0</x:v>
      </x:c>
    </x:row>
    <x:row r="456" ht="28" customHeight="1">
      <x:c r="A456" s="2" t="n">
        <x:v>449</x:v>
      </x:c>
      <x:c r="B456" s="2" t="n">
        <x:v>18</x:v>
      </x:c>
      <x:c r="C456" s="2" t="str">
        <x:v>쌍둥이자리</x:v>
      </x:c>
      <x:c r="D456" s="2" t="str">
        <x:v>전사</x:v>
      </x:c>
      <x:c r="E456" s="2" t="n">
        <x:v>4</x:v>
      </x:c>
      <x:c r="F456" s="2" t="n">
        <x:v>5</x:v>
      </x:c>
      <x:c r="G456" s="14" t="n">
        <x:f>('레벨 계산식'!$E$4-E456)*'레벨 계산식'!$B$5</x:f>
        <x:v>0.13999999999999999</x:v>
      </x:c>
      <x:c r="H456" s="14" t="n">
        <x:f>('등급 계산식'!$E$4-F456)*'등급 계산식'!$B$5</x:f>
        <x:v>0</x:v>
      </x:c>
      <x:c r="I456" s="14" t="n">
        <x:f>1-G456-H456</x:f>
        <x:v>0.86</x:v>
      </x:c>
      <x:c r="J456" s="2" t="n">
        <x:f>MAX(1,ROUND('기준스탯 72종'!D25-R456-Z456,0))</x:f>
        <x:v>7</x:v>
      </x:c>
      <x:c r="K456" s="2" t="n">
        <x:f>MAX(1,ROUND('기준스탯 72종'!E25-S456-AA456,0))</x:f>
        <x:v>5</x:v>
      </x:c>
      <x:c r="L456" s="2" t="n">
        <x:f>MAX(1,ROUND('기준스탯 72종'!F25-T456-AB456,0))</x:f>
        <x:v>7</x:v>
      </x:c>
      <x:c r="M456" s="2" t="n">
        <x:f>MAX(1,ROUND('기준스탯 72종'!G25-U456-AC456,0))</x:f>
        <x:v>8</x:v>
      </x:c>
      <x:c r="N456" s="2" t="n">
        <x:f>MAX(0,ROUND('기준스탯 72종'!H25-V456-AD456,0))</x:f>
        <x:v>3</x:v>
      </x:c>
      <x:c r="O456" s="2" t="n">
        <x:f>MAX(0,ROUND('기준스탯 72종'!I25-W456-AE456,0))</x:f>
        <x:v>4</x:v>
      </x:c>
      <x:c r="P456" s="2" t="n">
        <x:f>MAX(0,ROUND('기준스탯 72종'!J25-X456-AF456,0))</x:f>
        <x:v>4</x:v>
      </x:c>
      <x:c r="Q456" s="2" t="n">
        <x:f>MAX(0,ROUND('기준스탯 72종'!K25-Y456-AG456,0))</x:f>
        <x:v>2</x:v>
      </x:c>
      <x:c r="R456" s="15" t="n">
        <x:f>'기준스탯 72종'!D25*G456</x:f>
        <x:v>1.1199999999999999</x:v>
      </x:c>
      <x:c r="S456" s="15" t="n">
        <x:f>'기준스탯 72종'!E25*G456</x:f>
        <x:v>0.8399999999999999</x:v>
      </x:c>
      <x:c r="T456" s="15" t="n">
        <x:f>'기준스탯 72종'!F25*G456</x:f>
        <x:v>1.1199999999999999</x:v>
      </x:c>
      <x:c r="U456" s="15" t="n">
        <x:f>'기준스탯 72종'!G25*G456</x:f>
        <x:v>1.2599999999999998</x:v>
      </x:c>
      <x:c r="V456" s="15" t="n">
        <x:f>'기준스탯 72종'!H25*G456</x:f>
        <x:v>0.5599999999999999</x:v>
      </x:c>
      <x:c r="W456" s="15" t="n">
        <x:f>'기준스탯 72종'!I25*G456</x:f>
        <x:v>0.7</x:v>
      </x:c>
      <x:c r="X456" s="15" t="n">
        <x:f>'기준스탯 72종'!J25*G456</x:f>
        <x:v>0.7</x:v>
      </x:c>
      <x:c r="Y456" s="15" t="n">
        <x:f>'기준스탯 72종'!K25*G456</x:f>
        <x:v>0.27999999999999997</x:v>
      </x:c>
      <x:c r="Z456" s="15" t="n">
        <x:f>'기준스탯 72종'!D25*H456</x:f>
        <x:v>0</x:v>
      </x:c>
      <x:c r="AA456" s="15" t="n">
        <x:f>'기준스탯 72종'!E25*H456</x:f>
        <x:v>0</x:v>
      </x:c>
      <x:c r="AB456" s="15" t="n">
        <x:f>'기준스탯 72종'!F25*H456</x:f>
        <x:v>0</x:v>
      </x:c>
      <x:c r="AC456" s="15" t="n">
        <x:f>'기준스탯 72종'!G25*H456</x:f>
        <x:v>0</x:v>
      </x:c>
      <x:c r="AD456" s="15" t="n">
        <x:f>'기준스탯 72종'!H25*H456</x:f>
        <x:v>0</x:v>
      </x:c>
      <x:c r="AE456" s="15" t="n">
        <x:f>'기준스탯 72종'!I25*H456</x:f>
        <x:v>0</x:v>
      </x:c>
      <x:c r="AF456" s="15" t="n">
        <x:f>'기준스탯 72종'!J25*H456</x:f>
        <x:v>0</x:v>
      </x:c>
      <x:c r="AG456" s="15" t="n">
        <x:f>'기준스탯 72종'!K25*H456</x:f>
        <x:v>0</x:v>
      </x:c>
    </x:row>
    <x:row r="457" ht="28" customHeight="1">
      <x:c r="A457" s="2" t="n">
        <x:v>450</x:v>
      </x:c>
      <x:c r="B457" s="2" t="n">
        <x:v>18</x:v>
      </x:c>
      <x:c r="C457" s="2" t="str">
        <x:v>쌍둥이자리</x:v>
      </x:c>
      <x:c r="D457" s="2" t="str">
        <x:v>전사</x:v>
      </x:c>
      <x:c r="E457" s="2" t="n">
        <x:v>5</x:v>
      </x:c>
      <x:c r="F457" s="2" t="n">
        <x:v>5</x:v>
      </x:c>
      <x:c r="G457" s="14" t="n">
        <x:f>('레벨 계산식'!$E$4-E457)*'레벨 계산식'!$B$5</x:f>
        <x:v>0</x:v>
      </x:c>
      <x:c r="H457" s="14" t="n">
        <x:f>('등급 계산식'!$E$4-F457)*'등급 계산식'!$B$5</x:f>
        <x:v>0</x:v>
      </x:c>
      <x:c r="I457" s="14" t="n">
        <x:f>1-G457-H457</x:f>
        <x:v>1</x:v>
      </x:c>
      <x:c r="J457" s="2" t="n">
        <x:f>MAX(1,ROUND('기준스탯 72종'!D25-R457-Z457,0))</x:f>
        <x:v>8</x:v>
      </x:c>
      <x:c r="K457" s="2" t="n">
        <x:f>MAX(1,ROUND('기준스탯 72종'!E25-S457-AA457,0))</x:f>
        <x:v>6</x:v>
      </x:c>
      <x:c r="L457" s="2" t="n">
        <x:f>MAX(1,ROUND('기준스탯 72종'!F25-T457-AB457,0))</x:f>
        <x:v>8</x:v>
      </x:c>
      <x:c r="M457" s="2" t="n">
        <x:f>MAX(1,ROUND('기준스탯 72종'!G25-U457-AC457,0))</x:f>
        <x:v>9</x:v>
      </x:c>
      <x:c r="N457" s="2" t="n">
        <x:f>MAX(0,ROUND('기준스탯 72종'!H25-V457-AD457,0))</x:f>
        <x:v>4</x:v>
      </x:c>
      <x:c r="O457" s="2" t="n">
        <x:f>MAX(0,ROUND('기준스탯 72종'!I25-W457-AE457,0))</x:f>
        <x:v>5</x:v>
      </x:c>
      <x:c r="P457" s="2" t="n">
        <x:f>MAX(0,ROUND('기준스탯 72종'!J25-X457-AF457,0))</x:f>
        <x:v>5</x:v>
      </x:c>
      <x:c r="Q457" s="2" t="n">
        <x:f>MAX(0,ROUND('기준스탯 72종'!K25-Y457-AG457,0))</x:f>
        <x:v>2</x:v>
      </x:c>
      <x:c r="R457" s="15" t="n">
        <x:f>'기준스탯 72종'!D25*G457</x:f>
        <x:v>0</x:v>
      </x:c>
      <x:c r="S457" s="15" t="n">
        <x:f>'기준스탯 72종'!E25*G457</x:f>
        <x:v>0</x:v>
      </x:c>
      <x:c r="T457" s="15" t="n">
        <x:f>'기준스탯 72종'!F25*G457</x:f>
        <x:v>0</x:v>
      </x:c>
      <x:c r="U457" s="15" t="n">
        <x:f>'기준스탯 72종'!G25*G457</x:f>
        <x:v>0</x:v>
      </x:c>
      <x:c r="V457" s="15" t="n">
        <x:f>'기준스탯 72종'!H25*G457</x:f>
        <x:v>0</x:v>
      </x:c>
      <x:c r="W457" s="15" t="n">
        <x:f>'기준스탯 72종'!I25*G457</x:f>
        <x:v>0</x:v>
      </x:c>
      <x:c r="X457" s="15" t="n">
        <x:f>'기준스탯 72종'!J25*G457</x:f>
        <x:v>0</x:v>
      </x:c>
      <x:c r="Y457" s="15" t="n">
        <x:f>'기준스탯 72종'!K25*G457</x:f>
        <x:v>0</x:v>
      </x:c>
      <x:c r="Z457" s="15" t="n">
        <x:f>'기준스탯 72종'!D25*H457</x:f>
        <x:v>0</x:v>
      </x:c>
      <x:c r="AA457" s="15" t="n">
        <x:f>'기준스탯 72종'!E25*H457</x:f>
        <x:v>0</x:v>
      </x:c>
      <x:c r="AB457" s="15" t="n">
        <x:f>'기준스탯 72종'!F25*H457</x:f>
        <x:v>0</x:v>
      </x:c>
      <x:c r="AC457" s="15" t="n">
        <x:f>'기준스탯 72종'!G25*H457</x:f>
        <x:v>0</x:v>
      </x:c>
      <x:c r="AD457" s="15" t="n">
        <x:f>'기준스탯 72종'!H25*H457</x:f>
        <x:v>0</x:v>
      </x:c>
      <x:c r="AE457" s="15" t="n">
        <x:f>'기준스탯 72종'!I25*H457</x:f>
        <x:v>0</x:v>
      </x:c>
      <x:c r="AF457" s="15" t="n">
        <x:f>'기준스탯 72종'!J25*H457</x:f>
        <x:v>0</x:v>
      </x:c>
      <x:c r="AG457" s="15" t="n">
        <x:f>'기준스탯 72종'!K25*H457</x:f>
        <x:v>0</x:v>
      </x:c>
    </x:row>
    <x:row r="458" ht="28" customHeight="1">
      <x:c r="A458" s="2" t="n">
        <x:v>451</x:v>
      </x:c>
      <x:c r="B458" s="2" t="n">
        <x:v>19</x:v>
      </x:c>
      <x:c r="C458" s="2" t="str">
        <x:v>게자리</x:v>
      </x:c>
      <x:c r="D458" s="2" t="str">
        <x:v>기사</x:v>
      </x:c>
      <x:c r="E458" s="2" t="n">
        <x:v>1</x:v>
      </x:c>
      <x:c r="F458" s="2" t="n">
        <x:v>1</x:v>
      </x:c>
      <x:c r="G458" s="14" t="n">
        <x:f>('레벨 계산식'!$E$4-E458)*'레벨 계산식'!$B$5</x:f>
        <x:v>0.5599999999999999</x:v>
      </x:c>
      <x:c r="H458" s="14" t="n">
        <x:f>('등급 계산식'!$E$4-F458)*'등급 계산식'!$B$5</x:f>
        <x:v>0.24000000000000005</x:v>
      </x:c>
      <x:c r="I458" s="14" t="n">
        <x:f>1-G458-H458</x:f>
        <x:v>0.2</x:v>
      </x:c>
      <x:c r="J458" s="2" t="n">
        <x:f>MAX(1,ROUND('기준스탯 72종'!D26-R458-Z458,0))</x:f>
        <x:v>1</x:v>
      </x:c>
      <x:c r="K458" s="2" t="n">
        <x:f>MAX(1,ROUND('기준스탯 72종'!E26-S458-AA458,0))</x:f>
        <x:v>2</x:v>
      </x:c>
      <x:c r="L458" s="2" t="n">
        <x:f>MAX(1,ROUND('기준스탯 72종'!F26-T458-AB458,0))</x:f>
        <x:v>2</x:v>
      </x:c>
      <x:c r="M458" s="2" t="n">
        <x:f>MAX(1,ROUND('기준스탯 72종'!G26-U458-AC458,0))</x:f>
        <x:v>1</x:v>
      </x:c>
      <x:c r="N458" s="2" t="n">
        <x:f>MAX(0,ROUND('기준스탯 72종'!H26-V458-AD458,0))</x:f>
        <x:v>0</x:v>
      </x:c>
      <x:c r="O458" s="2" t="n">
        <x:f>MAX(0,ROUND('기준스탯 72종'!I26-W458-AE458,0))</x:f>
        <x:v>1</x:v>
      </x:c>
      <x:c r="P458" s="2" t="n">
        <x:f>MAX(0,ROUND('기준스탯 72종'!J26-X458-AF458,0))</x:f>
        <x:v>1</x:v>
      </x:c>
      <x:c r="Q458" s="2" t="n">
        <x:f>MAX(0,ROUND('기준스탯 72종'!K26-Y458-AG458,0))</x:f>
        <x:v>2</x:v>
      </x:c>
      <x:c r="R458" s="15" t="n">
        <x:f>'기준스탯 72종'!D26*G458</x:f>
        <x:v>2.8</x:v>
      </x:c>
      <x:c r="S458" s="15" t="n">
        <x:f>'기준스탯 72종'!E26*G458</x:f>
        <x:v>5.6</x:v>
      </x:c>
      <x:c r="T458" s="15" t="n">
        <x:f>'기준스탯 72종'!F26*G458</x:f>
        <x:v>5.6</x:v>
      </x:c>
      <x:c r="U458" s="15" t="n">
        <x:f>'기준스탯 72종'!G26*G458</x:f>
        <x:v>2.8</x:v>
      </x:c>
      <x:c r="V458" s="15" t="n">
        <x:f>'기준스탯 72종'!H26*G458</x:f>
        <x:v>0.5599999999999999</x:v>
      </x:c>
      <x:c r="W458" s="15" t="n">
        <x:f>'기준스탯 72종'!I26*G458</x:f>
        <x:v>2.2399999999999998</x:v>
      </x:c>
      <x:c r="X458" s="15" t="n">
        <x:f>'기준스탯 72종'!J26*G458</x:f>
        <x:v>1.6799999999999997</x:v>
      </x:c>
      <x:c r="Y458" s="15" t="n">
        <x:f>'기준스탯 72종'!K26*G458</x:f>
        <x:v>4.4799999999999995</x:v>
      </x:c>
      <x:c r="Z458" s="15" t="n">
        <x:f>'기준스탯 72종'!D26*H458</x:f>
        <x:v>1.2000000000000002</x:v>
      </x:c>
      <x:c r="AA458" s="15" t="n">
        <x:f>'기준스탯 72종'!E26*H458</x:f>
        <x:v>2.4000000000000004</x:v>
      </x:c>
      <x:c r="AB458" s="15" t="n">
        <x:f>'기준스탯 72종'!F26*H458</x:f>
        <x:v>2.4000000000000004</x:v>
      </x:c>
      <x:c r="AC458" s="15" t="n">
        <x:f>'기준스탯 72종'!G26*H458</x:f>
        <x:v>1.2000000000000002</x:v>
      </x:c>
      <x:c r="AD458" s="15" t="n">
        <x:f>'기준스탯 72종'!H26*H458</x:f>
        <x:v>0.24000000000000005</x:v>
      </x:c>
      <x:c r="AE458" s="15" t="n">
        <x:f>'기준스탯 72종'!I26*H458</x:f>
        <x:v>0.9600000000000002</x:v>
      </x:c>
      <x:c r="AF458" s="15" t="n">
        <x:f>'기준스탯 72종'!J26*H458</x:f>
        <x:v>0.7200000000000002</x:v>
      </x:c>
      <x:c r="AG458" s="15" t="n">
        <x:f>'기준스탯 72종'!K26*H458</x:f>
        <x:v>1.9200000000000004</x:v>
      </x:c>
    </x:row>
    <x:row r="459" ht="28" customHeight="1">
      <x:c r="A459" s="2" t="n">
        <x:v>452</x:v>
      </x:c>
      <x:c r="B459" s="2" t="n">
        <x:v>19</x:v>
      </x:c>
      <x:c r="C459" s="2" t="str">
        <x:v>게자리</x:v>
      </x:c>
      <x:c r="D459" s="2" t="str">
        <x:v>기사</x:v>
      </x:c>
      <x:c r="E459" s="2" t="n">
        <x:v>2</x:v>
      </x:c>
      <x:c r="F459" s="2" t="n">
        <x:v>1</x:v>
      </x:c>
      <x:c r="G459" s="14" t="n">
        <x:f>('레벨 계산식'!$E$4-E459)*'레벨 계산식'!$B$5</x:f>
        <x:v>0.41999999999999993</x:v>
      </x:c>
      <x:c r="H459" s="14" t="n">
        <x:f>('등급 계산식'!$E$4-F459)*'등급 계산식'!$B$5</x:f>
        <x:v>0.24000000000000005</x:v>
      </x:c>
      <x:c r="I459" s="14" t="n">
        <x:f>1-G459-H459</x:f>
        <x:v>0.34</x:v>
      </x:c>
      <x:c r="J459" s="2" t="n">
        <x:f>MAX(1,ROUND('기준스탯 72종'!D26-R459-Z459,0))</x:f>
        <x:v>2</x:v>
      </x:c>
      <x:c r="K459" s="2" t="n">
        <x:f>MAX(1,ROUND('기준스탯 72종'!E26-S459-AA459,0))</x:f>
        <x:v>3</x:v>
      </x:c>
      <x:c r="L459" s="2" t="n">
        <x:f>MAX(1,ROUND('기준스탯 72종'!F26-T459-AB459,0))</x:f>
        <x:v>3</x:v>
      </x:c>
      <x:c r="M459" s="2" t="n">
        <x:f>MAX(1,ROUND('기준스탯 72종'!G26-U459-AC459,0))</x:f>
        <x:v>2</x:v>
      </x:c>
      <x:c r="N459" s="2" t="n">
        <x:f>MAX(0,ROUND('기준스탯 72종'!H26-V459-AD459,0))</x:f>
        <x:v>0</x:v>
      </x:c>
      <x:c r="O459" s="2" t="n">
        <x:f>MAX(0,ROUND('기준스탯 72종'!I26-W459-AE459,0))</x:f>
        <x:v>1</x:v>
      </x:c>
      <x:c r="P459" s="2" t="n">
        <x:f>MAX(0,ROUND('기준스탯 72종'!J26-X459-AF459,0))</x:f>
        <x:v>1</x:v>
      </x:c>
      <x:c r="Q459" s="2" t="n">
        <x:f>MAX(0,ROUND('기준스탯 72종'!K26-Y459-AG459,0))</x:f>
        <x:v>3</x:v>
      </x:c>
      <x:c r="R459" s="15" t="n">
        <x:f>'기준스탯 72종'!D26*G459</x:f>
        <x:v>2.0999999999999996</x:v>
      </x:c>
      <x:c r="S459" s="15" t="n">
        <x:f>'기준스탯 72종'!E26*G459</x:f>
        <x:v>4.199999999999999</x:v>
      </x:c>
      <x:c r="T459" s="15" t="n">
        <x:f>'기준스탯 72종'!F26*G459</x:f>
        <x:v>4.199999999999999</x:v>
      </x:c>
      <x:c r="U459" s="15" t="n">
        <x:f>'기준스탯 72종'!G26*G459</x:f>
        <x:v>2.0999999999999996</x:v>
      </x:c>
      <x:c r="V459" s="15" t="n">
        <x:f>'기준스탯 72종'!H26*G459</x:f>
        <x:v>0.41999999999999993</x:v>
      </x:c>
      <x:c r="W459" s="15" t="n">
        <x:f>'기준스탯 72종'!I26*G459</x:f>
        <x:v>1.6799999999999997</x:v>
      </x:c>
      <x:c r="X459" s="15" t="n">
        <x:f>'기준스탯 72종'!J26*G459</x:f>
        <x:v>1.2599999999999998</x:v>
      </x:c>
      <x:c r="Y459" s="15" t="n">
        <x:f>'기준스탯 72종'!K26*G459</x:f>
        <x:v>3.3599999999999994</x:v>
      </x:c>
      <x:c r="Z459" s="15" t="n">
        <x:f>'기준스탯 72종'!D26*H459</x:f>
        <x:v>1.2000000000000002</x:v>
      </x:c>
      <x:c r="AA459" s="15" t="n">
        <x:f>'기준스탯 72종'!E26*H459</x:f>
        <x:v>2.4000000000000004</x:v>
      </x:c>
      <x:c r="AB459" s="15" t="n">
        <x:f>'기준스탯 72종'!F26*H459</x:f>
        <x:v>2.4000000000000004</x:v>
      </x:c>
      <x:c r="AC459" s="15" t="n">
        <x:f>'기준스탯 72종'!G26*H459</x:f>
        <x:v>1.2000000000000002</x:v>
      </x:c>
      <x:c r="AD459" s="15" t="n">
        <x:f>'기준스탯 72종'!H26*H459</x:f>
        <x:v>0.24000000000000005</x:v>
      </x:c>
      <x:c r="AE459" s="15" t="n">
        <x:f>'기준스탯 72종'!I26*H459</x:f>
        <x:v>0.9600000000000002</x:v>
      </x:c>
      <x:c r="AF459" s="15" t="n">
        <x:f>'기준스탯 72종'!J26*H459</x:f>
        <x:v>0.7200000000000002</x:v>
      </x:c>
      <x:c r="AG459" s="15" t="n">
        <x:f>'기준스탯 72종'!K26*H459</x:f>
        <x:v>1.9200000000000004</x:v>
      </x:c>
    </x:row>
    <x:row r="460" ht="28" customHeight="1">
      <x:c r="A460" s="2" t="n">
        <x:v>453</x:v>
      </x:c>
      <x:c r="B460" s="2" t="n">
        <x:v>19</x:v>
      </x:c>
      <x:c r="C460" s="2" t="str">
        <x:v>게자리</x:v>
      </x:c>
      <x:c r="D460" s="2" t="str">
        <x:v>기사</x:v>
      </x:c>
      <x:c r="E460" s="2" t="n">
        <x:v>3</x:v>
      </x:c>
      <x:c r="F460" s="2" t="n">
        <x:v>1</x:v>
      </x:c>
      <x:c r="G460" s="14" t="n">
        <x:f>('레벨 계산식'!$E$4-E460)*'레벨 계산식'!$B$5</x:f>
        <x:v>0.27999999999999997</x:v>
      </x:c>
      <x:c r="H460" s="14" t="n">
        <x:f>('등급 계산식'!$E$4-F460)*'등급 계산식'!$B$5</x:f>
        <x:v>0.24000000000000005</x:v>
      </x:c>
      <x:c r="I460" s="14" t="n">
        <x:f>1-G460-H460</x:f>
        <x:v>0.4799999999999999</x:v>
      </x:c>
      <x:c r="J460" s="2" t="n">
        <x:f>MAX(1,ROUND('기준스탯 72종'!D26-R460-Z460,0))</x:f>
        <x:v>2</x:v>
      </x:c>
      <x:c r="K460" s="2" t="n">
        <x:f>MAX(1,ROUND('기준스탯 72종'!E26-S460-AA460,0))</x:f>
        <x:v>5</x:v>
      </x:c>
      <x:c r="L460" s="2" t="n">
        <x:f>MAX(1,ROUND('기준스탯 72종'!F26-T460-AB460,0))</x:f>
        <x:v>5</x:v>
      </x:c>
      <x:c r="M460" s="2" t="n">
        <x:f>MAX(1,ROUND('기준스탯 72종'!G26-U460-AC460,0))</x:f>
        <x:v>2</x:v>
      </x:c>
      <x:c r="N460" s="2" t="n">
        <x:f>MAX(0,ROUND('기준스탯 72종'!H26-V460-AD460,0))</x:f>
        <x:v>0</x:v>
      </x:c>
      <x:c r="O460" s="2" t="n">
        <x:f>MAX(0,ROUND('기준스탯 72종'!I26-W460-AE460,0))</x:f>
        <x:v>2</x:v>
      </x:c>
      <x:c r="P460" s="2" t="n">
        <x:f>MAX(0,ROUND('기준스탯 72종'!J26-X460-AF460,0))</x:f>
        <x:v>1</x:v>
      </x:c>
      <x:c r="Q460" s="2" t="n">
        <x:f>MAX(0,ROUND('기준스탯 72종'!K26-Y460-AG460,0))</x:f>
        <x:v>4</x:v>
      </x:c>
      <x:c r="R460" s="15" t="n">
        <x:f>'기준스탯 72종'!D26*G460</x:f>
        <x:v>1.4</x:v>
      </x:c>
      <x:c r="S460" s="15" t="n">
        <x:f>'기준스탯 72종'!E26*G460</x:f>
        <x:v>2.8</x:v>
      </x:c>
      <x:c r="T460" s="15" t="n">
        <x:f>'기준스탯 72종'!F26*G460</x:f>
        <x:v>2.8</x:v>
      </x:c>
      <x:c r="U460" s="15" t="n">
        <x:f>'기준스탯 72종'!G26*G460</x:f>
        <x:v>1.4</x:v>
      </x:c>
      <x:c r="V460" s="15" t="n">
        <x:f>'기준스탯 72종'!H26*G460</x:f>
        <x:v>0.27999999999999997</x:v>
      </x:c>
      <x:c r="W460" s="15" t="n">
        <x:f>'기준스탯 72종'!I26*G460</x:f>
        <x:v>1.1199999999999999</x:v>
      </x:c>
      <x:c r="X460" s="15" t="n">
        <x:f>'기준스탯 72종'!J26*G460</x:f>
        <x:v>0.8399999999999999</x:v>
      </x:c>
      <x:c r="Y460" s="15" t="n">
        <x:f>'기준스탯 72종'!K26*G460</x:f>
        <x:v>2.2399999999999998</x:v>
      </x:c>
      <x:c r="Z460" s="15" t="n">
        <x:f>'기준스탯 72종'!D26*H460</x:f>
        <x:v>1.2000000000000002</x:v>
      </x:c>
      <x:c r="AA460" s="15" t="n">
        <x:f>'기준스탯 72종'!E26*H460</x:f>
        <x:v>2.4000000000000004</x:v>
      </x:c>
      <x:c r="AB460" s="15" t="n">
        <x:f>'기준스탯 72종'!F26*H460</x:f>
        <x:v>2.4000000000000004</x:v>
      </x:c>
      <x:c r="AC460" s="15" t="n">
        <x:f>'기준스탯 72종'!G26*H460</x:f>
        <x:v>1.2000000000000002</x:v>
      </x:c>
      <x:c r="AD460" s="15" t="n">
        <x:f>'기준스탯 72종'!H26*H460</x:f>
        <x:v>0.24000000000000005</x:v>
      </x:c>
      <x:c r="AE460" s="15" t="n">
        <x:f>'기준스탯 72종'!I26*H460</x:f>
        <x:v>0.9600000000000002</x:v>
      </x:c>
      <x:c r="AF460" s="15" t="n">
        <x:f>'기준스탯 72종'!J26*H460</x:f>
        <x:v>0.7200000000000002</x:v>
      </x:c>
      <x:c r="AG460" s="15" t="n">
        <x:f>'기준스탯 72종'!K26*H460</x:f>
        <x:v>1.9200000000000004</x:v>
      </x:c>
    </x:row>
    <x:row r="461" ht="28" customHeight="1">
      <x:c r="A461" s="2" t="n">
        <x:v>454</x:v>
      </x:c>
      <x:c r="B461" s="2" t="n">
        <x:v>19</x:v>
      </x:c>
      <x:c r="C461" s="2" t="str">
        <x:v>게자리</x:v>
      </x:c>
      <x:c r="D461" s="2" t="str">
        <x:v>기사</x:v>
      </x:c>
      <x:c r="E461" s="2" t="n">
        <x:v>4</x:v>
      </x:c>
      <x:c r="F461" s="2" t="n">
        <x:v>1</x:v>
      </x:c>
      <x:c r="G461" s="14" t="n">
        <x:f>('레벨 계산식'!$E$4-E461)*'레벨 계산식'!$B$5</x:f>
        <x:v>0.13999999999999999</x:v>
      </x:c>
      <x:c r="H461" s="14" t="n">
        <x:f>('등급 계산식'!$E$4-F461)*'등급 계산식'!$B$5</x:f>
        <x:v>0.24000000000000005</x:v>
      </x:c>
      <x:c r="I461" s="14" t="n">
        <x:f>1-G461-H461</x:f>
        <x:v>0.6199999999999999</x:v>
      </x:c>
      <x:c r="J461" s="2" t="n">
        <x:f>MAX(1,ROUND('기준스탯 72종'!D26-R461-Z461,0))</x:f>
        <x:v>3</x:v>
      </x:c>
      <x:c r="K461" s="2" t="n">
        <x:f>MAX(1,ROUND('기준스탯 72종'!E26-S461-AA461,0))</x:f>
        <x:v>6</x:v>
      </x:c>
      <x:c r="L461" s="2" t="n">
        <x:f>MAX(1,ROUND('기준스탯 72종'!F26-T461-AB461,0))</x:f>
        <x:v>6</x:v>
      </x:c>
      <x:c r="M461" s="2" t="n">
        <x:f>MAX(1,ROUND('기준스탯 72종'!G26-U461-AC461,0))</x:f>
        <x:v>3</x:v>
      </x:c>
      <x:c r="N461" s="2" t="n">
        <x:f>MAX(0,ROUND('기준스탯 72종'!H26-V461-AD461,0))</x:f>
        <x:v>1</x:v>
      </x:c>
      <x:c r="O461" s="2" t="n">
        <x:f>MAX(0,ROUND('기준스탯 72종'!I26-W461-AE461,0))</x:f>
        <x:v>2</x:v>
      </x:c>
      <x:c r="P461" s="2" t="n">
        <x:f>MAX(0,ROUND('기준스탯 72종'!J26-X461-AF461,0))</x:f>
        <x:v>2</x:v>
      </x:c>
      <x:c r="Q461" s="2" t="n">
        <x:f>MAX(0,ROUND('기준스탯 72종'!K26-Y461-AG461,0))</x:f>
        <x:v>5</x:v>
      </x:c>
      <x:c r="R461" s="15" t="n">
        <x:f>'기준스탯 72종'!D26*G461</x:f>
        <x:v>0.7</x:v>
      </x:c>
      <x:c r="S461" s="15" t="n">
        <x:f>'기준스탯 72종'!E26*G461</x:f>
        <x:v>1.4</x:v>
      </x:c>
      <x:c r="T461" s="15" t="n">
        <x:f>'기준스탯 72종'!F26*G461</x:f>
        <x:v>1.4</x:v>
      </x:c>
      <x:c r="U461" s="15" t="n">
        <x:f>'기준스탯 72종'!G26*G461</x:f>
        <x:v>0.7</x:v>
      </x:c>
      <x:c r="V461" s="15" t="n">
        <x:f>'기준스탯 72종'!H26*G461</x:f>
        <x:v>0.13999999999999999</x:v>
      </x:c>
      <x:c r="W461" s="15" t="n">
        <x:f>'기준스탯 72종'!I26*G461</x:f>
        <x:v>0.5599999999999999</x:v>
      </x:c>
      <x:c r="X461" s="15" t="n">
        <x:f>'기준스탯 72종'!J26*G461</x:f>
        <x:v>0.41999999999999993</x:v>
      </x:c>
      <x:c r="Y461" s="15" t="n">
        <x:f>'기준스탯 72종'!K26*G461</x:f>
        <x:v>1.1199999999999999</x:v>
      </x:c>
      <x:c r="Z461" s="15" t="n">
        <x:f>'기준스탯 72종'!D26*H461</x:f>
        <x:v>1.2000000000000002</x:v>
      </x:c>
      <x:c r="AA461" s="15" t="n">
        <x:f>'기준스탯 72종'!E26*H461</x:f>
        <x:v>2.4000000000000004</x:v>
      </x:c>
      <x:c r="AB461" s="15" t="n">
        <x:f>'기준스탯 72종'!F26*H461</x:f>
        <x:v>2.4000000000000004</x:v>
      </x:c>
      <x:c r="AC461" s="15" t="n">
        <x:f>'기준스탯 72종'!G26*H461</x:f>
        <x:v>1.2000000000000002</x:v>
      </x:c>
      <x:c r="AD461" s="15" t="n">
        <x:f>'기준스탯 72종'!H26*H461</x:f>
        <x:v>0.24000000000000005</x:v>
      </x:c>
      <x:c r="AE461" s="15" t="n">
        <x:f>'기준스탯 72종'!I26*H461</x:f>
        <x:v>0.9600000000000002</x:v>
      </x:c>
      <x:c r="AF461" s="15" t="n">
        <x:f>'기준스탯 72종'!J26*H461</x:f>
        <x:v>0.7200000000000002</x:v>
      </x:c>
      <x:c r="AG461" s="15" t="n">
        <x:f>'기준스탯 72종'!K26*H461</x:f>
        <x:v>1.9200000000000004</x:v>
      </x:c>
    </x:row>
    <x:row r="462" ht="28" customHeight="1">
      <x:c r="A462" s="2" t="n">
        <x:v>455</x:v>
      </x:c>
      <x:c r="B462" s="2" t="n">
        <x:v>19</x:v>
      </x:c>
      <x:c r="C462" s="2" t="str">
        <x:v>게자리</x:v>
      </x:c>
      <x:c r="D462" s="2" t="str">
        <x:v>기사</x:v>
      </x:c>
      <x:c r="E462" s="2" t="n">
        <x:v>5</x:v>
      </x:c>
      <x:c r="F462" s="2" t="n">
        <x:v>1</x:v>
      </x:c>
      <x:c r="G462" s="14" t="n">
        <x:f>('레벨 계산식'!$E$4-E462)*'레벨 계산식'!$B$5</x:f>
        <x:v>0</x:v>
      </x:c>
      <x:c r="H462" s="14" t="n">
        <x:f>('등급 계산식'!$E$4-F462)*'등급 계산식'!$B$5</x:f>
        <x:v>0.24000000000000005</x:v>
      </x:c>
      <x:c r="I462" s="14" t="n">
        <x:f>1-G462-H462</x:f>
        <x:v>0.76</x:v>
      </x:c>
      <x:c r="J462" s="2" t="n">
        <x:f>MAX(1,ROUND('기준스탯 72종'!D26-R462-Z462,0))</x:f>
        <x:v>4</x:v>
      </x:c>
      <x:c r="K462" s="2" t="n">
        <x:f>MAX(1,ROUND('기준스탯 72종'!E26-S462-AA462,0))</x:f>
        <x:v>8</x:v>
      </x:c>
      <x:c r="L462" s="2" t="n">
        <x:f>MAX(1,ROUND('기준스탯 72종'!F26-T462-AB462,0))</x:f>
        <x:v>8</x:v>
      </x:c>
      <x:c r="M462" s="2" t="n">
        <x:f>MAX(1,ROUND('기준스탯 72종'!G26-U462-AC462,0))</x:f>
        <x:v>4</x:v>
      </x:c>
      <x:c r="N462" s="2" t="n">
        <x:f>MAX(0,ROUND('기준스탯 72종'!H26-V462-AD462,0))</x:f>
        <x:v>1</x:v>
      </x:c>
      <x:c r="O462" s="2" t="n">
        <x:f>MAX(0,ROUND('기준스탯 72종'!I26-W462-AE462,0))</x:f>
        <x:v>3</x:v>
      </x:c>
      <x:c r="P462" s="2" t="n">
        <x:f>MAX(0,ROUND('기준스탯 72종'!J26-X462-AF462,0))</x:f>
        <x:v>2</x:v>
      </x:c>
      <x:c r="Q462" s="2" t="n">
        <x:f>MAX(0,ROUND('기준스탯 72종'!K26-Y462-AG462,0))</x:f>
        <x:v>6</x:v>
      </x:c>
      <x:c r="R462" s="15" t="n">
        <x:f>'기준스탯 72종'!D26*G462</x:f>
        <x:v>0</x:v>
      </x:c>
      <x:c r="S462" s="15" t="n">
        <x:f>'기준스탯 72종'!E26*G462</x:f>
        <x:v>0</x:v>
      </x:c>
      <x:c r="T462" s="15" t="n">
        <x:f>'기준스탯 72종'!F26*G462</x:f>
        <x:v>0</x:v>
      </x:c>
      <x:c r="U462" s="15" t="n">
        <x:f>'기준스탯 72종'!G26*G462</x:f>
        <x:v>0</x:v>
      </x:c>
      <x:c r="V462" s="15" t="n">
        <x:f>'기준스탯 72종'!H26*G462</x:f>
        <x:v>0</x:v>
      </x:c>
      <x:c r="W462" s="15" t="n">
        <x:f>'기준스탯 72종'!I26*G462</x:f>
        <x:v>0</x:v>
      </x:c>
      <x:c r="X462" s="15" t="n">
        <x:f>'기준스탯 72종'!J26*G462</x:f>
        <x:v>0</x:v>
      </x:c>
      <x:c r="Y462" s="15" t="n">
        <x:f>'기준스탯 72종'!K26*G462</x:f>
        <x:v>0</x:v>
      </x:c>
      <x:c r="Z462" s="15" t="n">
        <x:f>'기준스탯 72종'!D26*H462</x:f>
        <x:v>1.2000000000000002</x:v>
      </x:c>
      <x:c r="AA462" s="15" t="n">
        <x:f>'기준스탯 72종'!E26*H462</x:f>
        <x:v>2.4000000000000004</x:v>
      </x:c>
      <x:c r="AB462" s="15" t="n">
        <x:f>'기준스탯 72종'!F26*H462</x:f>
        <x:v>2.4000000000000004</x:v>
      </x:c>
      <x:c r="AC462" s="15" t="n">
        <x:f>'기준스탯 72종'!G26*H462</x:f>
        <x:v>1.2000000000000002</x:v>
      </x:c>
      <x:c r="AD462" s="15" t="n">
        <x:f>'기준스탯 72종'!H26*H462</x:f>
        <x:v>0.24000000000000005</x:v>
      </x:c>
      <x:c r="AE462" s="15" t="n">
        <x:f>'기준스탯 72종'!I26*H462</x:f>
        <x:v>0.9600000000000002</x:v>
      </x:c>
      <x:c r="AF462" s="15" t="n">
        <x:f>'기준스탯 72종'!J26*H462</x:f>
        <x:v>0.7200000000000002</x:v>
      </x:c>
      <x:c r="AG462" s="15" t="n">
        <x:f>'기준스탯 72종'!K26*H462</x:f>
        <x:v>1.9200000000000004</x:v>
      </x:c>
    </x:row>
    <x:row r="463" ht="28" customHeight="1">
      <x:c r="A463" s="2" t="n">
        <x:v>456</x:v>
      </x:c>
      <x:c r="B463" s="2" t="n">
        <x:v>19</x:v>
      </x:c>
      <x:c r="C463" s="2" t="str">
        <x:v>게자리</x:v>
      </x:c>
      <x:c r="D463" s="2" t="str">
        <x:v>기사</x:v>
      </x:c>
      <x:c r="E463" s="2" t="n">
        <x:v>1</x:v>
      </x:c>
      <x:c r="F463" s="2" t="n">
        <x:v>2</x:v>
      </x:c>
      <x:c r="G463" s="14" t="n">
        <x:f>('레벨 계산식'!$E$4-E463)*'레벨 계산식'!$B$5</x:f>
        <x:v>0.5599999999999999</x:v>
      </x:c>
      <x:c r="H463" s="14" t="n">
        <x:f>('등급 계산식'!$E$4-F463)*'등급 계산식'!$B$5</x:f>
        <x:v>0.18000000000000005</x:v>
      </x:c>
      <x:c r="I463" s="14" t="n">
        <x:f>1-G463-H463</x:f>
        <x:v>0.26</x:v>
      </x:c>
      <x:c r="J463" s="2" t="n">
        <x:f>MAX(1,ROUND('기준스탯 72종'!D26-R463-Z463,0))</x:f>
        <x:v>1</x:v>
      </x:c>
      <x:c r="K463" s="2" t="n">
        <x:f>MAX(1,ROUND('기준스탯 72종'!E26-S463-AA463,0))</x:f>
        <x:v>3</x:v>
      </x:c>
      <x:c r="L463" s="2" t="n">
        <x:f>MAX(1,ROUND('기준스탯 72종'!F26-T463-AB463,0))</x:f>
        <x:v>3</x:v>
      </x:c>
      <x:c r="M463" s="2" t="n">
        <x:f>MAX(1,ROUND('기준스탯 72종'!G26-U463-AC463,0))</x:f>
        <x:v>1</x:v>
      </x:c>
      <x:c r="N463" s="2" t="n">
        <x:f>MAX(0,ROUND('기준스탯 72종'!H26-V463-AD463,0))</x:f>
        <x:v>0</x:v>
      </x:c>
      <x:c r="O463" s="2" t="n">
        <x:f>MAX(0,ROUND('기준스탯 72종'!I26-W463-AE463,0))</x:f>
        <x:v>1</x:v>
      </x:c>
      <x:c r="P463" s="2" t="n">
        <x:f>MAX(0,ROUND('기준스탯 72종'!J26-X463-AF463,0))</x:f>
        <x:v>1</x:v>
      </x:c>
      <x:c r="Q463" s="2" t="n">
        <x:f>MAX(0,ROUND('기준스탯 72종'!K26-Y463-AG463,0))</x:f>
        <x:v>2</x:v>
      </x:c>
      <x:c r="R463" s="15" t="n">
        <x:f>'기준스탯 72종'!D26*G463</x:f>
        <x:v>2.8</x:v>
      </x:c>
      <x:c r="S463" s="15" t="n">
        <x:f>'기준스탯 72종'!E26*G463</x:f>
        <x:v>5.6</x:v>
      </x:c>
      <x:c r="T463" s="15" t="n">
        <x:f>'기준스탯 72종'!F26*G463</x:f>
        <x:v>5.6</x:v>
      </x:c>
      <x:c r="U463" s="15" t="n">
        <x:f>'기준스탯 72종'!G26*G463</x:f>
        <x:v>2.8</x:v>
      </x:c>
      <x:c r="V463" s="15" t="n">
        <x:f>'기준스탯 72종'!H26*G463</x:f>
        <x:v>0.5599999999999999</x:v>
      </x:c>
      <x:c r="W463" s="15" t="n">
        <x:f>'기준스탯 72종'!I26*G463</x:f>
        <x:v>2.2399999999999998</x:v>
      </x:c>
      <x:c r="X463" s="15" t="n">
        <x:f>'기준스탯 72종'!J26*G463</x:f>
        <x:v>1.6799999999999997</x:v>
      </x:c>
      <x:c r="Y463" s="15" t="n">
        <x:f>'기준스탯 72종'!K26*G463</x:f>
        <x:v>4.4799999999999995</x:v>
      </x:c>
      <x:c r="Z463" s="15" t="n">
        <x:f>'기준스탯 72종'!D26*H463</x:f>
        <x:v>0.9000000000000002</x:v>
      </x:c>
      <x:c r="AA463" s="15" t="n">
        <x:f>'기준스탯 72종'!E26*H463</x:f>
        <x:v>1.8000000000000005</x:v>
      </x:c>
      <x:c r="AB463" s="15" t="n">
        <x:f>'기준스탯 72종'!F26*H463</x:f>
        <x:v>1.8000000000000005</x:v>
      </x:c>
      <x:c r="AC463" s="15" t="n">
        <x:f>'기준스탯 72종'!G26*H463</x:f>
        <x:v>0.9000000000000002</x:v>
      </x:c>
      <x:c r="AD463" s="15" t="n">
        <x:f>'기준스탯 72종'!H26*H463</x:f>
        <x:v>0.18000000000000005</x:v>
      </x:c>
      <x:c r="AE463" s="15" t="n">
        <x:f>'기준스탯 72종'!I26*H463</x:f>
        <x:v>0.7200000000000002</x:v>
      </x:c>
      <x:c r="AF463" s="15" t="n">
        <x:f>'기준스탯 72종'!J26*H463</x:f>
        <x:v>0.5400000000000001</x:v>
      </x:c>
      <x:c r="AG463" s="15" t="n">
        <x:f>'기준스탯 72종'!K26*H463</x:f>
        <x:v>1.4400000000000004</x:v>
      </x:c>
    </x:row>
    <x:row r="464" ht="28" customHeight="1">
      <x:c r="A464" s="2" t="n">
        <x:v>457</x:v>
      </x:c>
      <x:c r="B464" s="2" t="n">
        <x:v>19</x:v>
      </x:c>
      <x:c r="C464" s="2" t="str">
        <x:v>게자리</x:v>
      </x:c>
      <x:c r="D464" s="2" t="str">
        <x:v>기사</x:v>
      </x:c>
      <x:c r="E464" s="2" t="n">
        <x:v>2</x:v>
      </x:c>
      <x:c r="F464" s="2" t="n">
        <x:v>2</x:v>
      </x:c>
      <x:c r="G464" s="14" t="n">
        <x:f>('레벨 계산식'!$E$4-E464)*'레벨 계산식'!$B$5</x:f>
        <x:v>0.41999999999999993</x:v>
      </x:c>
      <x:c r="H464" s="14" t="n">
        <x:f>('등급 계산식'!$E$4-F464)*'등급 계산식'!$B$5</x:f>
        <x:v>0.18000000000000005</x:v>
      </x:c>
      <x:c r="I464" s="14" t="n">
        <x:f>1-G464-H464</x:f>
        <x:v>0.4</x:v>
      </x:c>
      <x:c r="J464" s="2" t="n">
        <x:f>MAX(1,ROUND('기준스탯 72종'!D26-R464-Z464,0))</x:f>
        <x:v>2</x:v>
      </x:c>
      <x:c r="K464" s="2" t="n">
        <x:f>MAX(1,ROUND('기준스탯 72종'!E26-S464-AA464,0))</x:f>
        <x:v>4</x:v>
      </x:c>
      <x:c r="L464" s="2" t="n">
        <x:f>MAX(1,ROUND('기준스탯 72종'!F26-T464-AB464,0))</x:f>
        <x:v>4</x:v>
      </x:c>
      <x:c r="M464" s="2" t="n">
        <x:f>MAX(1,ROUND('기준스탯 72종'!G26-U464-AC464,0))</x:f>
        <x:v>2</x:v>
      </x:c>
      <x:c r="N464" s="2" t="n">
        <x:f>MAX(0,ROUND('기준스탯 72종'!H26-V464-AD464,0))</x:f>
        <x:v>0</x:v>
      </x:c>
      <x:c r="O464" s="2" t="n">
        <x:f>MAX(0,ROUND('기준스탯 72종'!I26-W464-AE464,0))</x:f>
        <x:v>2</x:v>
      </x:c>
      <x:c r="P464" s="2" t="n">
        <x:f>MAX(0,ROUND('기준스탯 72종'!J26-X464-AF464,0))</x:f>
        <x:v>1</x:v>
      </x:c>
      <x:c r="Q464" s="2" t="n">
        <x:f>MAX(0,ROUND('기준스탯 72종'!K26-Y464-AG464,0))</x:f>
        <x:v>3</x:v>
      </x:c>
      <x:c r="R464" s="15" t="n">
        <x:f>'기준스탯 72종'!D26*G464</x:f>
        <x:v>2.0999999999999996</x:v>
      </x:c>
      <x:c r="S464" s="15" t="n">
        <x:f>'기준스탯 72종'!E26*G464</x:f>
        <x:v>4.199999999999999</x:v>
      </x:c>
      <x:c r="T464" s="15" t="n">
        <x:f>'기준스탯 72종'!F26*G464</x:f>
        <x:v>4.199999999999999</x:v>
      </x:c>
      <x:c r="U464" s="15" t="n">
        <x:f>'기준스탯 72종'!G26*G464</x:f>
        <x:v>2.0999999999999996</x:v>
      </x:c>
      <x:c r="V464" s="15" t="n">
        <x:f>'기준스탯 72종'!H26*G464</x:f>
        <x:v>0.41999999999999993</x:v>
      </x:c>
      <x:c r="W464" s="15" t="n">
        <x:f>'기준스탯 72종'!I26*G464</x:f>
        <x:v>1.6799999999999997</x:v>
      </x:c>
      <x:c r="X464" s="15" t="n">
        <x:f>'기준스탯 72종'!J26*G464</x:f>
        <x:v>1.2599999999999998</x:v>
      </x:c>
      <x:c r="Y464" s="15" t="n">
        <x:f>'기준스탯 72종'!K26*G464</x:f>
        <x:v>3.3599999999999994</x:v>
      </x:c>
      <x:c r="Z464" s="15" t="n">
        <x:f>'기준스탯 72종'!D26*H464</x:f>
        <x:v>0.9000000000000002</x:v>
      </x:c>
      <x:c r="AA464" s="15" t="n">
        <x:f>'기준스탯 72종'!E26*H464</x:f>
        <x:v>1.8000000000000005</x:v>
      </x:c>
      <x:c r="AB464" s="15" t="n">
        <x:f>'기준스탯 72종'!F26*H464</x:f>
        <x:v>1.8000000000000005</x:v>
      </x:c>
      <x:c r="AC464" s="15" t="n">
        <x:f>'기준스탯 72종'!G26*H464</x:f>
        <x:v>0.9000000000000002</x:v>
      </x:c>
      <x:c r="AD464" s="15" t="n">
        <x:f>'기준스탯 72종'!H26*H464</x:f>
        <x:v>0.18000000000000005</x:v>
      </x:c>
      <x:c r="AE464" s="15" t="n">
        <x:f>'기준스탯 72종'!I26*H464</x:f>
        <x:v>0.7200000000000002</x:v>
      </x:c>
      <x:c r="AF464" s="15" t="n">
        <x:f>'기준스탯 72종'!J26*H464</x:f>
        <x:v>0.5400000000000001</x:v>
      </x:c>
      <x:c r="AG464" s="15" t="n">
        <x:f>'기준스탯 72종'!K26*H464</x:f>
        <x:v>1.4400000000000004</x:v>
      </x:c>
    </x:row>
    <x:row r="465" ht="28" customHeight="1">
      <x:c r="A465" s="2" t="n">
        <x:v>458</x:v>
      </x:c>
      <x:c r="B465" s="2" t="n">
        <x:v>19</x:v>
      </x:c>
      <x:c r="C465" s="2" t="str">
        <x:v>게자리</x:v>
      </x:c>
      <x:c r="D465" s="2" t="str">
        <x:v>기사</x:v>
      </x:c>
      <x:c r="E465" s="2" t="n">
        <x:v>3</x:v>
      </x:c>
      <x:c r="F465" s="2" t="n">
        <x:v>2</x:v>
      </x:c>
      <x:c r="G465" s="14" t="n">
        <x:f>('레벨 계산식'!$E$4-E465)*'레벨 계산식'!$B$5</x:f>
        <x:v>0.27999999999999997</x:v>
      </x:c>
      <x:c r="H465" s="14" t="n">
        <x:f>('등급 계산식'!$E$4-F465)*'등급 계산식'!$B$5</x:f>
        <x:v>0.18000000000000005</x:v>
      </x:c>
      <x:c r="I465" s="14" t="n">
        <x:f>1-G465-H465</x:f>
        <x:v>0.5399999999999999</x:v>
      </x:c>
      <x:c r="J465" s="2" t="n">
        <x:f>MAX(1,ROUND('기준스탯 72종'!D26-R465-Z465,0))</x:f>
        <x:v>3</x:v>
      </x:c>
      <x:c r="K465" s="2" t="n">
        <x:f>MAX(1,ROUND('기준스탯 72종'!E26-S465-AA465,0))</x:f>
        <x:v>5</x:v>
      </x:c>
      <x:c r="L465" s="2" t="n">
        <x:f>MAX(1,ROUND('기준스탯 72종'!F26-T465-AB465,0))</x:f>
        <x:v>5</x:v>
      </x:c>
      <x:c r="M465" s="2" t="n">
        <x:f>MAX(1,ROUND('기준스탯 72종'!G26-U465-AC465,0))</x:f>
        <x:v>3</x:v>
      </x:c>
      <x:c r="N465" s="2" t="n">
        <x:f>MAX(0,ROUND('기준스탯 72종'!H26-V465-AD465,0))</x:f>
        <x:v>1</x:v>
      </x:c>
      <x:c r="O465" s="2" t="n">
        <x:f>MAX(0,ROUND('기준스탯 72종'!I26-W465-AE465,0))</x:f>
        <x:v>2</x:v>
      </x:c>
      <x:c r="P465" s="2" t="n">
        <x:f>MAX(0,ROUND('기준스탯 72종'!J26-X465-AF465,0))</x:f>
        <x:v>2</x:v>
      </x:c>
      <x:c r="Q465" s="2" t="n">
        <x:f>MAX(0,ROUND('기준스탯 72종'!K26-Y465-AG465,0))</x:f>
        <x:v>4</x:v>
      </x:c>
      <x:c r="R465" s="15" t="n">
        <x:f>'기준스탯 72종'!D26*G465</x:f>
        <x:v>1.4</x:v>
      </x:c>
      <x:c r="S465" s="15" t="n">
        <x:f>'기준스탯 72종'!E26*G465</x:f>
        <x:v>2.8</x:v>
      </x:c>
      <x:c r="T465" s="15" t="n">
        <x:f>'기준스탯 72종'!F26*G465</x:f>
        <x:v>2.8</x:v>
      </x:c>
      <x:c r="U465" s="15" t="n">
        <x:f>'기준스탯 72종'!G26*G465</x:f>
        <x:v>1.4</x:v>
      </x:c>
      <x:c r="V465" s="15" t="n">
        <x:f>'기준스탯 72종'!H26*G465</x:f>
        <x:v>0.27999999999999997</x:v>
      </x:c>
      <x:c r="W465" s="15" t="n">
        <x:f>'기준스탯 72종'!I26*G465</x:f>
        <x:v>1.1199999999999999</x:v>
      </x:c>
      <x:c r="X465" s="15" t="n">
        <x:f>'기준스탯 72종'!J26*G465</x:f>
        <x:v>0.8399999999999999</x:v>
      </x:c>
      <x:c r="Y465" s="15" t="n">
        <x:f>'기준스탯 72종'!K26*G465</x:f>
        <x:v>2.2399999999999998</x:v>
      </x:c>
      <x:c r="Z465" s="15" t="n">
        <x:f>'기준스탯 72종'!D26*H465</x:f>
        <x:v>0.9000000000000002</x:v>
      </x:c>
      <x:c r="AA465" s="15" t="n">
        <x:f>'기준스탯 72종'!E26*H465</x:f>
        <x:v>1.8000000000000005</x:v>
      </x:c>
      <x:c r="AB465" s="15" t="n">
        <x:f>'기준스탯 72종'!F26*H465</x:f>
        <x:v>1.8000000000000005</x:v>
      </x:c>
      <x:c r="AC465" s="15" t="n">
        <x:f>'기준스탯 72종'!G26*H465</x:f>
        <x:v>0.9000000000000002</x:v>
      </x:c>
      <x:c r="AD465" s="15" t="n">
        <x:f>'기준스탯 72종'!H26*H465</x:f>
        <x:v>0.18000000000000005</x:v>
      </x:c>
      <x:c r="AE465" s="15" t="n">
        <x:f>'기준스탯 72종'!I26*H465</x:f>
        <x:v>0.7200000000000002</x:v>
      </x:c>
      <x:c r="AF465" s="15" t="n">
        <x:f>'기준스탯 72종'!J26*H465</x:f>
        <x:v>0.5400000000000001</x:v>
      </x:c>
      <x:c r="AG465" s="15" t="n">
        <x:f>'기준스탯 72종'!K26*H465</x:f>
        <x:v>1.4400000000000004</x:v>
      </x:c>
    </x:row>
    <x:row r="466" ht="28" customHeight="1">
      <x:c r="A466" s="2" t="n">
        <x:v>459</x:v>
      </x:c>
      <x:c r="B466" s="2" t="n">
        <x:v>19</x:v>
      </x:c>
      <x:c r="C466" s="2" t="str">
        <x:v>게자리</x:v>
      </x:c>
      <x:c r="D466" s="2" t="str">
        <x:v>기사</x:v>
      </x:c>
      <x:c r="E466" s="2" t="n">
        <x:v>4</x:v>
      </x:c>
      <x:c r="F466" s="2" t="n">
        <x:v>2</x:v>
      </x:c>
      <x:c r="G466" s="14" t="n">
        <x:f>('레벨 계산식'!$E$4-E466)*'레벨 계산식'!$B$5</x:f>
        <x:v>0.13999999999999999</x:v>
      </x:c>
      <x:c r="H466" s="14" t="n">
        <x:f>('등급 계산식'!$E$4-F466)*'등급 계산식'!$B$5</x:f>
        <x:v>0.18000000000000005</x:v>
      </x:c>
      <x:c r="I466" s="14" t="n">
        <x:f>1-G466-H466</x:f>
        <x:v>0.6799999999999999</x:v>
      </x:c>
      <x:c r="J466" s="2" t="n">
        <x:f>MAX(1,ROUND('기준스탯 72종'!D26-R466-Z466,0))</x:f>
        <x:v>3</x:v>
      </x:c>
      <x:c r="K466" s="2" t="n">
        <x:f>MAX(1,ROUND('기준스탯 72종'!E26-S466-AA466,0))</x:f>
        <x:v>7</x:v>
      </x:c>
      <x:c r="L466" s="2" t="n">
        <x:f>MAX(1,ROUND('기준스탯 72종'!F26-T466-AB466,0))</x:f>
        <x:v>7</x:v>
      </x:c>
      <x:c r="M466" s="2" t="n">
        <x:f>MAX(1,ROUND('기준스탯 72종'!G26-U466-AC466,0))</x:f>
        <x:v>3</x:v>
      </x:c>
      <x:c r="N466" s="2" t="n">
        <x:f>MAX(0,ROUND('기준스탯 72종'!H26-V466-AD466,0))</x:f>
        <x:v>1</x:v>
      </x:c>
      <x:c r="O466" s="2" t="n">
        <x:f>MAX(0,ROUND('기준스탯 72종'!I26-W466-AE466,0))</x:f>
        <x:v>3</x:v>
      </x:c>
      <x:c r="P466" s="2" t="n">
        <x:f>MAX(0,ROUND('기준스탯 72종'!J26-X466-AF466,0))</x:f>
        <x:v>2</x:v>
      </x:c>
      <x:c r="Q466" s="2" t="n">
        <x:f>MAX(0,ROUND('기준스탯 72종'!K26-Y466-AG466,0))</x:f>
        <x:v>5</x:v>
      </x:c>
      <x:c r="R466" s="15" t="n">
        <x:f>'기준스탯 72종'!D26*G466</x:f>
        <x:v>0.7</x:v>
      </x:c>
      <x:c r="S466" s="15" t="n">
        <x:f>'기준스탯 72종'!E26*G466</x:f>
        <x:v>1.4</x:v>
      </x:c>
      <x:c r="T466" s="15" t="n">
        <x:f>'기준스탯 72종'!F26*G466</x:f>
        <x:v>1.4</x:v>
      </x:c>
      <x:c r="U466" s="15" t="n">
        <x:f>'기준스탯 72종'!G26*G466</x:f>
        <x:v>0.7</x:v>
      </x:c>
      <x:c r="V466" s="15" t="n">
        <x:f>'기준스탯 72종'!H26*G466</x:f>
        <x:v>0.13999999999999999</x:v>
      </x:c>
      <x:c r="W466" s="15" t="n">
        <x:f>'기준스탯 72종'!I26*G466</x:f>
        <x:v>0.5599999999999999</x:v>
      </x:c>
      <x:c r="X466" s="15" t="n">
        <x:f>'기준스탯 72종'!J26*G466</x:f>
        <x:v>0.41999999999999993</x:v>
      </x:c>
      <x:c r="Y466" s="15" t="n">
        <x:f>'기준스탯 72종'!K26*G466</x:f>
        <x:v>1.1199999999999999</x:v>
      </x:c>
      <x:c r="Z466" s="15" t="n">
        <x:f>'기준스탯 72종'!D26*H466</x:f>
        <x:v>0.9000000000000002</x:v>
      </x:c>
      <x:c r="AA466" s="15" t="n">
        <x:f>'기준스탯 72종'!E26*H466</x:f>
        <x:v>1.8000000000000005</x:v>
      </x:c>
      <x:c r="AB466" s="15" t="n">
        <x:f>'기준스탯 72종'!F26*H466</x:f>
        <x:v>1.8000000000000005</x:v>
      </x:c>
      <x:c r="AC466" s="15" t="n">
        <x:f>'기준스탯 72종'!G26*H466</x:f>
        <x:v>0.9000000000000002</x:v>
      </x:c>
      <x:c r="AD466" s="15" t="n">
        <x:f>'기준스탯 72종'!H26*H466</x:f>
        <x:v>0.18000000000000005</x:v>
      </x:c>
      <x:c r="AE466" s="15" t="n">
        <x:f>'기준스탯 72종'!I26*H466</x:f>
        <x:v>0.7200000000000002</x:v>
      </x:c>
      <x:c r="AF466" s="15" t="n">
        <x:f>'기준스탯 72종'!J26*H466</x:f>
        <x:v>0.5400000000000001</x:v>
      </x:c>
      <x:c r="AG466" s="15" t="n">
        <x:f>'기준스탯 72종'!K26*H466</x:f>
        <x:v>1.4400000000000004</x:v>
      </x:c>
    </x:row>
    <x:row r="467" ht="28" customHeight="1">
      <x:c r="A467" s="2" t="n">
        <x:v>460</x:v>
      </x:c>
      <x:c r="B467" s="2" t="n">
        <x:v>19</x:v>
      </x:c>
      <x:c r="C467" s="2" t="str">
        <x:v>게자리</x:v>
      </x:c>
      <x:c r="D467" s="2" t="str">
        <x:v>기사</x:v>
      </x:c>
      <x:c r="E467" s="2" t="n">
        <x:v>5</x:v>
      </x:c>
      <x:c r="F467" s="2" t="n">
        <x:v>2</x:v>
      </x:c>
      <x:c r="G467" s="14" t="n">
        <x:f>('레벨 계산식'!$E$4-E467)*'레벨 계산식'!$B$5</x:f>
        <x:v>0</x:v>
      </x:c>
      <x:c r="H467" s="14" t="n">
        <x:f>('등급 계산식'!$E$4-F467)*'등급 계산식'!$B$5</x:f>
        <x:v>0.18000000000000005</x:v>
      </x:c>
      <x:c r="I467" s="14" t="n">
        <x:f>1-G467-H467</x:f>
        <x:v>0.82</x:v>
      </x:c>
      <x:c r="J467" s="2" t="n">
        <x:f>MAX(1,ROUND('기준스탯 72종'!D26-R467-Z467,0))</x:f>
        <x:v>4</x:v>
      </x:c>
      <x:c r="K467" s="2" t="n">
        <x:f>MAX(1,ROUND('기준스탯 72종'!E26-S467-AA467,0))</x:f>
        <x:v>8</x:v>
      </x:c>
      <x:c r="L467" s="2" t="n">
        <x:f>MAX(1,ROUND('기준스탯 72종'!F26-T467-AB467,0))</x:f>
        <x:v>8</x:v>
      </x:c>
      <x:c r="M467" s="2" t="n">
        <x:f>MAX(1,ROUND('기준스탯 72종'!G26-U467-AC467,0))</x:f>
        <x:v>4</x:v>
      </x:c>
      <x:c r="N467" s="2" t="n">
        <x:f>MAX(0,ROUND('기준스탯 72종'!H26-V467-AD467,0))</x:f>
        <x:v>1</x:v>
      </x:c>
      <x:c r="O467" s="2" t="n">
        <x:f>MAX(0,ROUND('기준스탯 72종'!I26-W467-AE467,0))</x:f>
        <x:v>3</x:v>
      </x:c>
      <x:c r="P467" s="2" t="n">
        <x:f>MAX(0,ROUND('기준스탯 72종'!J26-X467-AF467,0))</x:f>
        <x:v>2</x:v>
      </x:c>
      <x:c r="Q467" s="2" t="n">
        <x:f>MAX(0,ROUND('기준스탯 72종'!K26-Y467-AG467,0))</x:f>
        <x:v>7</x:v>
      </x:c>
      <x:c r="R467" s="15" t="n">
        <x:f>'기준스탯 72종'!D26*G467</x:f>
        <x:v>0</x:v>
      </x:c>
      <x:c r="S467" s="15" t="n">
        <x:f>'기준스탯 72종'!E26*G467</x:f>
        <x:v>0</x:v>
      </x:c>
      <x:c r="T467" s="15" t="n">
        <x:f>'기준스탯 72종'!F26*G467</x:f>
        <x:v>0</x:v>
      </x:c>
      <x:c r="U467" s="15" t="n">
        <x:f>'기준스탯 72종'!G26*G467</x:f>
        <x:v>0</x:v>
      </x:c>
      <x:c r="V467" s="15" t="n">
        <x:f>'기준스탯 72종'!H26*G467</x:f>
        <x:v>0</x:v>
      </x:c>
      <x:c r="W467" s="15" t="n">
        <x:f>'기준스탯 72종'!I26*G467</x:f>
        <x:v>0</x:v>
      </x:c>
      <x:c r="X467" s="15" t="n">
        <x:f>'기준스탯 72종'!J26*G467</x:f>
        <x:v>0</x:v>
      </x:c>
      <x:c r="Y467" s="15" t="n">
        <x:f>'기준스탯 72종'!K26*G467</x:f>
        <x:v>0</x:v>
      </x:c>
      <x:c r="Z467" s="15" t="n">
        <x:f>'기준스탯 72종'!D26*H467</x:f>
        <x:v>0.9000000000000002</x:v>
      </x:c>
      <x:c r="AA467" s="15" t="n">
        <x:f>'기준스탯 72종'!E26*H467</x:f>
        <x:v>1.8000000000000005</x:v>
      </x:c>
      <x:c r="AB467" s="15" t="n">
        <x:f>'기준스탯 72종'!F26*H467</x:f>
        <x:v>1.8000000000000005</x:v>
      </x:c>
      <x:c r="AC467" s="15" t="n">
        <x:f>'기준스탯 72종'!G26*H467</x:f>
        <x:v>0.9000000000000002</x:v>
      </x:c>
      <x:c r="AD467" s="15" t="n">
        <x:f>'기준스탯 72종'!H26*H467</x:f>
        <x:v>0.18000000000000005</x:v>
      </x:c>
      <x:c r="AE467" s="15" t="n">
        <x:f>'기준스탯 72종'!I26*H467</x:f>
        <x:v>0.7200000000000002</x:v>
      </x:c>
      <x:c r="AF467" s="15" t="n">
        <x:f>'기준스탯 72종'!J26*H467</x:f>
        <x:v>0.5400000000000001</x:v>
      </x:c>
      <x:c r="AG467" s="15" t="n">
        <x:f>'기준스탯 72종'!K26*H467</x:f>
        <x:v>1.4400000000000004</x:v>
      </x:c>
    </x:row>
    <x:row r="468" ht="28" customHeight="1">
      <x:c r="A468" s="2" t="n">
        <x:v>461</x:v>
      </x:c>
      <x:c r="B468" s="2" t="n">
        <x:v>19</x:v>
      </x:c>
      <x:c r="C468" s="2" t="str">
        <x:v>게자리</x:v>
      </x:c>
      <x:c r="D468" s="2" t="str">
        <x:v>기사</x:v>
      </x:c>
      <x:c r="E468" s="2" t="n">
        <x:v>1</x:v>
      </x:c>
      <x:c r="F468" s="2" t="n">
        <x:v>3</x:v>
      </x:c>
      <x:c r="G468" s="14" t="n">
        <x:f>('레벨 계산식'!$E$4-E468)*'레벨 계산식'!$B$5</x:f>
        <x:v>0.5599999999999999</x:v>
      </x:c>
      <x:c r="H468" s="14" t="n">
        <x:f>('등급 계산식'!$E$4-F468)*'등급 계산식'!$B$5</x:f>
        <x:v>0.12000000000000002</x:v>
      </x:c>
      <x:c r="I468" s="14" t="n">
        <x:f>1-G468-H468</x:f>
        <x:v>0.32000000000000006</x:v>
      </x:c>
      <x:c r="J468" s="2" t="n">
        <x:f>MAX(1,ROUND('기준스탯 72종'!D26-R468-Z468,0))</x:f>
        <x:v>2</x:v>
      </x:c>
      <x:c r="K468" s="2" t="n">
        <x:f>MAX(1,ROUND('기준스탯 72종'!E26-S468-AA468,0))</x:f>
        <x:v>3</x:v>
      </x:c>
      <x:c r="L468" s="2" t="n">
        <x:f>MAX(1,ROUND('기준스탯 72종'!F26-T468-AB468,0))</x:f>
        <x:v>3</x:v>
      </x:c>
      <x:c r="M468" s="2" t="n">
        <x:f>MAX(1,ROUND('기준스탯 72종'!G26-U468-AC468,0))</x:f>
        <x:v>2</x:v>
      </x:c>
      <x:c r="N468" s="2" t="n">
        <x:f>MAX(0,ROUND('기준스탯 72종'!H26-V468-AD468,0))</x:f>
        <x:v>0</x:v>
      </x:c>
      <x:c r="O468" s="2" t="n">
        <x:f>MAX(0,ROUND('기준스탯 72종'!I26-W468-AE468,0))</x:f>
        <x:v>1</x:v>
      </x:c>
      <x:c r="P468" s="2" t="n">
        <x:f>MAX(0,ROUND('기준스탯 72종'!J26-X468-AF468,0))</x:f>
        <x:v>1</x:v>
      </x:c>
      <x:c r="Q468" s="2" t="n">
        <x:f>MAX(0,ROUND('기준스탯 72종'!K26-Y468-AG468,0))</x:f>
        <x:v>3</x:v>
      </x:c>
      <x:c r="R468" s="15" t="n">
        <x:f>'기준스탯 72종'!D26*G468</x:f>
        <x:v>2.8</x:v>
      </x:c>
      <x:c r="S468" s="15" t="n">
        <x:f>'기준스탯 72종'!E26*G468</x:f>
        <x:v>5.6</x:v>
      </x:c>
      <x:c r="T468" s="15" t="n">
        <x:f>'기준스탯 72종'!F26*G468</x:f>
        <x:v>5.6</x:v>
      </x:c>
      <x:c r="U468" s="15" t="n">
        <x:f>'기준스탯 72종'!G26*G468</x:f>
        <x:v>2.8</x:v>
      </x:c>
      <x:c r="V468" s="15" t="n">
        <x:f>'기준스탯 72종'!H26*G468</x:f>
        <x:v>0.5599999999999999</x:v>
      </x:c>
      <x:c r="W468" s="15" t="n">
        <x:f>'기준스탯 72종'!I26*G468</x:f>
        <x:v>2.2399999999999998</x:v>
      </x:c>
      <x:c r="X468" s="15" t="n">
        <x:f>'기준스탯 72종'!J26*G468</x:f>
        <x:v>1.6799999999999997</x:v>
      </x:c>
      <x:c r="Y468" s="15" t="n">
        <x:f>'기준스탯 72종'!K26*G468</x:f>
        <x:v>4.4799999999999995</x:v>
      </x:c>
      <x:c r="Z468" s="15" t="n">
        <x:f>'기준스탯 72종'!D26*H468</x:f>
        <x:v>0.6000000000000001</x:v>
      </x:c>
      <x:c r="AA468" s="15" t="n">
        <x:f>'기준스탯 72종'!E26*H468</x:f>
        <x:v>1.2000000000000002</x:v>
      </x:c>
      <x:c r="AB468" s="15" t="n">
        <x:f>'기준스탯 72종'!F26*H468</x:f>
        <x:v>1.2000000000000002</x:v>
      </x:c>
      <x:c r="AC468" s="15" t="n">
        <x:f>'기준스탯 72종'!G26*H468</x:f>
        <x:v>0.6000000000000001</x:v>
      </x:c>
      <x:c r="AD468" s="15" t="n">
        <x:f>'기준스탯 72종'!H26*H468</x:f>
        <x:v>0.12000000000000002</x:v>
      </x:c>
      <x:c r="AE468" s="15" t="n">
        <x:f>'기준스탯 72종'!I26*H468</x:f>
        <x:v>0.4800000000000001</x:v>
      </x:c>
      <x:c r="AF468" s="15" t="n">
        <x:f>'기준스탯 72종'!J26*H468</x:f>
        <x:v>0.3600000000000001</x:v>
      </x:c>
      <x:c r="AG468" s="15" t="n">
        <x:f>'기준스탯 72종'!K26*H468</x:f>
        <x:v>0.9600000000000002</x:v>
      </x:c>
    </x:row>
    <x:row r="469" ht="28" customHeight="1">
      <x:c r="A469" s="2" t="n">
        <x:v>462</x:v>
      </x:c>
      <x:c r="B469" s="2" t="n">
        <x:v>19</x:v>
      </x:c>
      <x:c r="C469" s="2" t="str">
        <x:v>게자리</x:v>
      </x:c>
      <x:c r="D469" s="2" t="str">
        <x:v>기사</x:v>
      </x:c>
      <x:c r="E469" s="2" t="n">
        <x:v>2</x:v>
      </x:c>
      <x:c r="F469" s="2" t="n">
        <x:v>3</x:v>
      </x:c>
      <x:c r="G469" s="14" t="n">
        <x:f>('레벨 계산식'!$E$4-E469)*'레벨 계산식'!$B$5</x:f>
        <x:v>0.41999999999999993</x:v>
      </x:c>
      <x:c r="H469" s="14" t="n">
        <x:f>('등급 계산식'!$E$4-F469)*'등급 계산식'!$B$5</x:f>
        <x:v>0.12000000000000002</x:v>
      </x:c>
      <x:c r="I469" s="14" t="n">
        <x:f>1-G469-H469</x:f>
        <x:v>0.4600000000000001</x:v>
      </x:c>
      <x:c r="J469" s="2" t="n">
        <x:f>MAX(1,ROUND('기준스탯 72종'!D26-R469-Z469,0))</x:f>
        <x:v>2</x:v>
      </x:c>
      <x:c r="K469" s="2" t="n">
        <x:f>MAX(1,ROUND('기준스탯 72종'!E26-S469-AA469,0))</x:f>
        <x:v>5</x:v>
      </x:c>
      <x:c r="L469" s="2" t="n">
        <x:f>MAX(1,ROUND('기준스탯 72종'!F26-T469-AB469,0))</x:f>
        <x:v>5</x:v>
      </x:c>
      <x:c r="M469" s="2" t="n">
        <x:f>MAX(1,ROUND('기준스탯 72종'!G26-U469-AC469,0))</x:f>
        <x:v>2</x:v>
      </x:c>
      <x:c r="N469" s="2" t="n">
        <x:f>MAX(0,ROUND('기준스탯 72종'!H26-V469-AD469,0))</x:f>
        <x:v>0</x:v>
      </x:c>
      <x:c r="O469" s="2" t="n">
        <x:f>MAX(0,ROUND('기준스탯 72종'!I26-W469-AE469,0))</x:f>
        <x:v>2</x:v>
      </x:c>
      <x:c r="P469" s="2" t="n">
        <x:f>MAX(0,ROUND('기준스탯 72종'!J26-X469-AF469,0))</x:f>
        <x:v>1</x:v>
      </x:c>
      <x:c r="Q469" s="2" t="n">
        <x:f>MAX(0,ROUND('기준스탯 72종'!K26-Y469-AG469,0))</x:f>
        <x:v>4</x:v>
      </x:c>
      <x:c r="R469" s="15" t="n">
        <x:f>'기준스탯 72종'!D26*G469</x:f>
        <x:v>2.0999999999999996</x:v>
      </x:c>
      <x:c r="S469" s="15" t="n">
        <x:f>'기준스탯 72종'!E26*G469</x:f>
        <x:v>4.199999999999999</x:v>
      </x:c>
      <x:c r="T469" s="15" t="n">
        <x:f>'기준스탯 72종'!F26*G469</x:f>
        <x:v>4.199999999999999</x:v>
      </x:c>
      <x:c r="U469" s="15" t="n">
        <x:f>'기준스탯 72종'!G26*G469</x:f>
        <x:v>2.0999999999999996</x:v>
      </x:c>
      <x:c r="V469" s="15" t="n">
        <x:f>'기준스탯 72종'!H26*G469</x:f>
        <x:v>0.41999999999999993</x:v>
      </x:c>
      <x:c r="W469" s="15" t="n">
        <x:f>'기준스탯 72종'!I26*G469</x:f>
        <x:v>1.6799999999999997</x:v>
      </x:c>
      <x:c r="X469" s="15" t="n">
        <x:f>'기준스탯 72종'!J26*G469</x:f>
        <x:v>1.2599999999999998</x:v>
      </x:c>
      <x:c r="Y469" s="15" t="n">
        <x:f>'기준스탯 72종'!K26*G469</x:f>
        <x:v>3.3599999999999994</x:v>
      </x:c>
      <x:c r="Z469" s="15" t="n">
        <x:f>'기준스탯 72종'!D26*H469</x:f>
        <x:v>0.6000000000000001</x:v>
      </x:c>
      <x:c r="AA469" s="15" t="n">
        <x:f>'기준스탯 72종'!E26*H469</x:f>
        <x:v>1.2000000000000002</x:v>
      </x:c>
      <x:c r="AB469" s="15" t="n">
        <x:f>'기준스탯 72종'!F26*H469</x:f>
        <x:v>1.2000000000000002</x:v>
      </x:c>
      <x:c r="AC469" s="15" t="n">
        <x:f>'기준스탯 72종'!G26*H469</x:f>
        <x:v>0.6000000000000001</x:v>
      </x:c>
      <x:c r="AD469" s="15" t="n">
        <x:f>'기준스탯 72종'!H26*H469</x:f>
        <x:v>0.12000000000000002</x:v>
      </x:c>
      <x:c r="AE469" s="15" t="n">
        <x:f>'기준스탯 72종'!I26*H469</x:f>
        <x:v>0.4800000000000001</x:v>
      </x:c>
      <x:c r="AF469" s="15" t="n">
        <x:f>'기준스탯 72종'!J26*H469</x:f>
        <x:v>0.3600000000000001</x:v>
      </x:c>
      <x:c r="AG469" s="15" t="n">
        <x:f>'기준스탯 72종'!K26*H469</x:f>
        <x:v>0.9600000000000002</x:v>
      </x:c>
    </x:row>
    <x:row r="470" ht="28" customHeight="1">
      <x:c r="A470" s="2" t="n">
        <x:v>463</x:v>
      </x:c>
      <x:c r="B470" s="2" t="n">
        <x:v>19</x:v>
      </x:c>
      <x:c r="C470" s="2" t="str">
        <x:v>게자리</x:v>
      </x:c>
      <x:c r="D470" s="2" t="str">
        <x:v>기사</x:v>
      </x:c>
      <x:c r="E470" s="2" t="n">
        <x:v>3</x:v>
      </x:c>
      <x:c r="F470" s="2" t="n">
        <x:v>3</x:v>
      </x:c>
      <x:c r="G470" s="14" t="n">
        <x:f>('레벨 계산식'!$E$4-E470)*'레벨 계산식'!$B$5</x:f>
        <x:v>0.27999999999999997</x:v>
      </x:c>
      <x:c r="H470" s="14" t="n">
        <x:f>('등급 계산식'!$E$4-F470)*'등급 계산식'!$B$5</x:f>
        <x:v>0.12000000000000002</x:v>
      </x:c>
      <x:c r="I470" s="14" t="n">
        <x:f>1-G470-H470</x:f>
        <x:v>0.6</x:v>
      </x:c>
      <x:c r="J470" s="2" t="n">
        <x:f>MAX(1,ROUND('기준스탯 72종'!D26-R470-Z470,0))</x:f>
        <x:v>3</x:v>
      </x:c>
      <x:c r="K470" s="2" t="n">
        <x:f>MAX(1,ROUND('기준스탯 72종'!E26-S470-AA470,0))</x:f>
        <x:v>6</x:v>
      </x:c>
      <x:c r="L470" s="2" t="n">
        <x:f>MAX(1,ROUND('기준스탯 72종'!F26-T470-AB470,0))</x:f>
        <x:v>6</x:v>
      </x:c>
      <x:c r="M470" s="2" t="n">
        <x:f>MAX(1,ROUND('기준스탯 72종'!G26-U470-AC470,0))</x:f>
        <x:v>3</x:v>
      </x:c>
      <x:c r="N470" s="2" t="n">
        <x:f>MAX(0,ROUND('기준스탯 72종'!H26-V470-AD470,0))</x:f>
        <x:v>1</x:v>
      </x:c>
      <x:c r="O470" s="2" t="n">
        <x:f>MAX(0,ROUND('기준스탯 72종'!I26-W470-AE470,0))</x:f>
        <x:v>2</x:v>
      </x:c>
      <x:c r="P470" s="2" t="n">
        <x:f>MAX(0,ROUND('기준스탯 72종'!J26-X470-AF470,0))</x:f>
        <x:v>2</x:v>
      </x:c>
      <x:c r="Q470" s="2" t="n">
        <x:f>MAX(0,ROUND('기준스탯 72종'!K26-Y470-AG470,0))</x:f>
        <x:v>5</x:v>
      </x:c>
      <x:c r="R470" s="15" t="n">
        <x:f>'기준스탯 72종'!D26*G470</x:f>
        <x:v>1.4</x:v>
      </x:c>
      <x:c r="S470" s="15" t="n">
        <x:f>'기준스탯 72종'!E26*G470</x:f>
        <x:v>2.8</x:v>
      </x:c>
      <x:c r="T470" s="15" t="n">
        <x:f>'기준스탯 72종'!F26*G470</x:f>
        <x:v>2.8</x:v>
      </x:c>
      <x:c r="U470" s="15" t="n">
        <x:f>'기준스탯 72종'!G26*G470</x:f>
        <x:v>1.4</x:v>
      </x:c>
      <x:c r="V470" s="15" t="n">
        <x:f>'기준스탯 72종'!H26*G470</x:f>
        <x:v>0.27999999999999997</x:v>
      </x:c>
      <x:c r="W470" s="15" t="n">
        <x:f>'기준스탯 72종'!I26*G470</x:f>
        <x:v>1.1199999999999999</x:v>
      </x:c>
      <x:c r="X470" s="15" t="n">
        <x:f>'기준스탯 72종'!J26*G470</x:f>
        <x:v>0.8399999999999999</x:v>
      </x:c>
      <x:c r="Y470" s="15" t="n">
        <x:f>'기준스탯 72종'!K26*G470</x:f>
        <x:v>2.2399999999999998</x:v>
      </x:c>
      <x:c r="Z470" s="15" t="n">
        <x:f>'기준스탯 72종'!D26*H470</x:f>
        <x:v>0.6000000000000001</x:v>
      </x:c>
      <x:c r="AA470" s="15" t="n">
        <x:f>'기준스탯 72종'!E26*H470</x:f>
        <x:v>1.2000000000000002</x:v>
      </x:c>
      <x:c r="AB470" s="15" t="n">
        <x:f>'기준스탯 72종'!F26*H470</x:f>
        <x:v>1.2000000000000002</x:v>
      </x:c>
      <x:c r="AC470" s="15" t="n">
        <x:f>'기준스탯 72종'!G26*H470</x:f>
        <x:v>0.6000000000000001</x:v>
      </x:c>
      <x:c r="AD470" s="15" t="n">
        <x:f>'기준스탯 72종'!H26*H470</x:f>
        <x:v>0.12000000000000002</x:v>
      </x:c>
      <x:c r="AE470" s="15" t="n">
        <x:f>'기준스탯 72종'!I26*H470</x:f>
        <x:v>0.4800000000000001</x:v>
      </x:c>
      <x:c r="AF470" s="15" t="n">
        <x:f>'기준스탯 72종'!J26*H470</x:f>
        <x:v>0.3600000000000001</x:v>
      </x:c>
      <x:c r="AG470" s="15" t="n">
        <x:f>'기준스탯 72종'!K26*H470</x:f>
        <x:v>0.9600000000000002</x:v>
      </x:c>
    </x:row>
    <x:row r="471" ht="28" customHeight="1">
      <x:c r="A471" s="2" t="n">
        <x:v>464</x:v>
      </x:c>
      <x:c r="B471" s="2" t="n">
        <x:v>19</x:v>
      </x:c>
      <x:c r="C471" s="2" t="str">
        <x:v>게자리</x:v>
      </x:c>
      <x:c r="D471" s="2" t="str">
        <x:v>기사</x:v>
      </x:c>
      <x:c r="E471" s="2" t="n">
        <x:v>4</x:v>
      </x:c>
      <x:c r="F471" s="2" t="n">
        <x:v>3</x:v>
      </x:c>
      <x:c r="G471" s="14" t="n">
        <x:f>('레벨 계산식'!$E$4-E471)*'레벨 계산식'!$B$5</x:f>
        <x:v>0.13999999999999999</x:v>
      </x:c>
      <x:c r="H471" s="14" t="n">
        <x:f>('등급 계산식'!$E$4-F471)*'등급 계산식'!$B$5</x:f>
        <x:v>0.12000000000000002</x:v>
      </x:c>
      <x:c r="I471" s="14" t="n">
        <x:f>1-G471-H471</x:f>
        <x:v>0.74</x:v>
      </x:c>
      <x:c r="J471" s="2" t="n">
        <x:f>MAX(1,ROUND('기준스탯 72종'!D26-R471-Z471,0))</x:f>
        <x:v>4</x:v>
      </x:c>
      <x:c r="K471" s="2" t="n">
        <x:f>MAX(1,ROUND('기준스탯 72종'!E26-S471-AA471,0))</x:f>
        <x:v>7</x:v>
      </x:c>
      <x:c r="L471" s="2" t="n">
        <x:f>MAX(1,ROUND('기준스탯 72종'!F26-T471-AB471,0))</x:f>
        <x:v>7</x:v>
      </x:c>
      <x:c r="M471" s="2" t="n">
        <x:f>MAX(1,ROUND('기준스탯 72종'!G26-U471-AC471,0))</x:f>
        <x:v>4</x:v>
      </x:c>
      <x:c r="N471" s="2" t="n">
        <x:f>MAX(0,ROUND('기준스탯 72종'!H26-V471-AD471,0))</x:f>
        <x:v>1</x:v>
      </x:c>
      <x:c r="O471" s="2" t="n">
        <x:f>MAX(0,ROUND('기준스탯 72종'!I26-W471-AE471,0))</x:f>
        <x:v>3</x:v>
      </x:c>
      <x:c r="P471" s="2" t="n">
        <x:f>MAX(0,ROUND('기준스탯 72종'!J26-X471-AF471,0))</x:f>
        <x:v>2</x:v>
      </x:c>
      <x:c r="Q471" s="2" t="n">
        <x:f>MAX(0,ROUND('기준스탯 72종'!K26-Y471-AG471,0))</x:f>
        <x:v>6</x:v>
      </x:c>
      <x:c r="R471" s="15" t="n">
        <x:f>'기준스탯 72종'!D26*G471</x:f>
        <x:v>0.7</x:v>
      </x:c>
      <x:c r="S471" s="15" t="n">
        <x:f>'기준스탯 72종'!E26*G471</x:f>
        <x:v>1.4</x:v>
      </x:c>
      <x:c r="T471" s="15" t="n">
        <x:f>'기준스탯 72종'!F26*G471</x:f>
        <x:v>1.4</x:v>
      </x:c>
      <x:c r="U471" s="15" t="n">
        <x:f>'기준스탯 72종'!G26*G471</x:f>
        <x:v>0.7</x:v>
      </x:c>
      <x:c r="V471" s="15" t="n">
        <x:f>'기준스탯 72종'!H26*G471</x:f>
        <x:v>0.13999999999999999</x:v>
      </x:c>
      <x:c r="W471" s="15" t="n">
        <x:f>'기준스탯 72종'!I26*G471</x:f>
        <x:v>0.5599999999999999</x:v>
      </x:c>
      <x:c r="X471" s="15" t="n">
        <x:f>'기준스탯 72종'!J26*G471</x:f>
        <x:v>0.41999999999999993</x:v>
      </x:c>
      <x:c r="Y471" s="15" t="n">
        <x:f>'기준스탯 72종'!K26*G471</x:f>
        <x:v>1.1199999999999999</x:v>
      </x:c>
      <x:c r="Z471" s="15" t="n">
        <x:f>'기준스탯 72종'!D26*H471</x:f>
        <x:v>0.6000000000000001</x:v>
      </x:c>
      <x:c r="AA471" s="15" t="n">
        <x:f>'기준스탯 72종'!E26*H471</x:f>
        <x:v>1.2000000000000002</x:v>
      </x:c>
      <x:c r="AB471" s="15" t="n">
        <x:f>'기준스탯 72종'!F26*H471</x:f>
        <x:v>1.2000000000000002</x:v>
      </x:c>
      <x:c r="AC471" s="15" t="n">
        <x:f>'기준스탯 72종'!G26*H471</x:f>
        <x:v>0.6000000000000001</x:v>
      </x:c>
      <x:c r="AD471" s="15" t="n">
        <x:f>'기준스탯 72종'!H26*H471</x:f>
        <x:v>0.12000000000000002</x:v>
      </x:c>
      <x:c r="AE471" s="15" t="n">
        <x:f>'기준스탯 72종'!I26*H471</x:f>
        <x:v>0.4800000000000001</x:v>
      </x:c>
      <x:c r="AF471" s="15" t="n">
        <x:f>'기준스탯 72종'!J26*H471</x:f>
        <x:v>0.3600000000000001</x:v>
      </x:c>
      <x:c r="AG471" s="15" t="n">
        <x:f>'기준스탯 72종'!K26*H471</x:f>
        <x:v>0.9600000000000002</x:v>
      </x:c>
    </x:row>
    <x:row r="472" ht="28" customHeight="1">
      <x:c r="A472" s="2" t="n">
        <x:v>465</x:v>
      </x:c>
      <x:c r="B472" s="2" t="n">
        <x:v>19</x:v>
      </x:c>
      <x:c r="C472" s="2" t="str">
        <x:v>게자리</x:v>
      </x:c>
      <x:c r="D472" s="2" t="str">
        <x:v>기사</x:v>
      </x:c>
      <x:c r="E472" s="2" t="n">
        <x:v>5</x:v>
      </x:c>
      <x:c r="F472" s="2" t="n">
        <x:v>3</x:v>
      </x:c>
      <x:c r="G472" s="14" t="n">
        <x:f>('레벨 계산식'!$E$4-E472)*'레벨 계산식'!$B$5</x:f>
        <x:v>0</x:v>
      </x:c>
      <x:c r="H472" s="14" t="n">
        <x:f>('등급 계산식'!$E$4-F472)*'등급 계산식'!$B$5</x:f>
        <x:v>0.12000000000000002</x:v>
      </x:c>
      <x:c r="I472" s="14" t="n">
        <x:f>1-G472-H472</x:f>
        <x:v>0.88</x:v>
      </x:c>
      <x:c r="J472" s="2" t="n">
        <x:f>MAX(1,ROUND('기준스탯 72종'!D26-R472-Z472,0))</x:f>
        <x:v>4</x:v>
      </x:c>
      <x:c r="K472" s="2" t="n">
        <x:f>MAX(1,ROUND('기준스탯 72종'!E26-S472-AA472,0))</x:f>
        <x:v>9</x:v>
      </x:c>
      <x:c r="L472" s="2" t="n">
        <x:f>MAX(1,ROUND('기준스탯 72종'!F26-T472-AB472,0))</x:f>
        <x:v>9</x:v>
      </x:c>
      <x:c r="M472" s="2" t="n">
        <x:f>MAX(1,ROUND('기준스탯 72종'!G26-U472-AC472,0))</x:f>
        <x:v>4</x:v>
      </x:c>
      <x:c r="N472" s="2" t="n">
        <x:f>MAX(0,ROUND('기준스탯 72종'!H26-V472-AD472,0))</x:f>
        <x:v>1</x:v>
      </x:c>
      <x:c r="O472" s="2" t="n">
        <x:f>MAX(0,ROUND('기준스탯 72종'!I26-W472-AE472,0))</x:f>
        <x:v>4</x:v>
      </x:c>
      <x:c r="P472" s="2" t="n">
        <x:f>MAX(0,ROUND('기준스탯 72종'!J26-X472-AF472,0))</x:f>
        <x:v>3</x:v>
      </x:c>
      <x:c r="Q472" s="2" t="n">
        <x:f>MAX(0,ROUND('기준스탯 72종'!K26-Y472-AG472,0))</x:f>
        <x:v>7</x:v>
      </x:c>
      <x:c r="R472" s="15" t="n">
        <x:f>'기준스탯 72종'!D26*G472</x:f>
        <x:v>0</x:v>
      </x:c>
      <x:c r="S472" s="15" t="n">
        <x:f>'기준스탯 72종'!E26*G472</x:f>
        <x:v>0</x:v>
      </x:c>
      <x:c r="T472" s="15" t="n">
        <x:f>'기준스탯 72종'!F26*G472</x:f>
        <x:v>0</x:v>
      </x:c>
      <x:c r="U472" s="15" t="n">
        <x:f>'기준스탯 72종'!G26*G472</x:f>
        <x:v>0</x:v>
      </x:c>
      <x:c r="V472" s="15" t="n">
        <x:f>'기준스탯 72종'!H26*G472</x:f>
        <x:v>0</x:v>
      </x:c>
      <x:c r="W472" s="15" t="n">
        <x:f>'기준스탯 72종'!I26*G472</x:f>
        <x:v>0</x:v>
      </x:c>
      <x:c r="X472" s="15" t="n">
        <x:f>'기준스탯 72종'!J26*G472</x:f>
        <x:v>0</x:v>
      </x:c>
      <x:c r="Y472" s="15" t="n">
        <x:f>'기준스탯 72종'!K26*G472</x:f>
        <x:v>0</x:v>
      </x:c>
      <x:c r="Z472" s="15" t="n">
        <x:f>'기준스탯 72종'!D26*H472</x:f>
        <x:v>0.6000000000000001</x:v>
      </x:c>
      <x:c r="AA472" s="15" t="n">
        <x:f>'기준스탯 72종'!E26*H472</x:f>
        <x:v>1.2000000000000002</x:v>
      </x:c>
      <x:c r="AB472" s="15" t="n">
        <x:f>'기준스탯 72종'!F26*H472</x:f>
        <x:v>1.2000000000000002</x:v>
      </x:c>
      <x:c r="AC472" s="15" t="n">
        <x:f>'기준스탯 72종'!G26*H472</x:f>
        <x:v>0.6000000000000001</x:v>
      </x:c>
      <x:c r="AD472" s="15" t="n">
        <x:f>'기준스탯 72종'!H26*H472</x:f>
        <x:v>0.12000000000000002</x:v>
      </x:c>
      <x:c r="AE472" s="15" t="n">
        <x:f>'기준스탯 72종'!I26*H472</x:f>
        <x:v>0.4800000000000001</x:v>
      </x:c>
      <x:c r="AF472" s="15" t="n">
        <x:f>'기준스탯 72종'!J26*H472</x:f>
        <x:v>0.3600000000000001</x:v>
      </x:c>
      <x:c r="AG472" s="15" t="n">
        <x:f>'기준스탯 72종'!K26*H472</x:f>
        <x:v>0.9600000000000002</x:v>
      </x:c>
    </x:row>
    <x:row r="473" ht="28" customHeight="1">
      <x:c r="A473" s="2" t="n">
        <x:v>466</x:v>
      </x:c>
      <x:c r="B473" s="2" t="n">
        <x:v>19</x:v>
      </x:c>
      <x:c r="C473" s="2" t="str">
        <x:v>게자리</x:v>
      </x:c>
      <x:c r="D473" s="2" t="str">
        <x:v>기사</x:v>
      </x:c>
      <x:c r="E473" s="2" t="n">
        <x:v>1</x:v>
      </x:c>
      <x:c r="F473" s="2" t="n">
        <x:v>4</x:v>
      </x:c>
      <x:c r="G473" s="14" t="n">
        <x:f>('레벨 계산식'!$E$4-E473)*'레벨 계산식'!$B$5</x:f>
        <x:v>0.5599999999999999</x:v>
      </x:c>
      <x:c r="H473" s="14" t="n">
        <x:f>('등급 계산식'!$E$4-F473)*'등급 계산식'!$B$5</x:f>
        <x:v>0.06000000000000001</x:v>
      </x:c>
      <x:c r="I473" s="14" t="n">
        <x:f>1-G473-H473</x:f>
        <x:v>0.38000000000000006</x:v>
      </x:c>
      <x:c r="J473" s="2" t="n">
        <x:f>MAX(1,ROUND('기준스탯 72종'!D26-R473-Z473,0))</x:f>
        <x:v>2</x:v>
      </x:c>
      <x:c r="K473" s="2" t="n">
        <x:f>MAX(1,ROUND('기준스탯 72종'!E26-S473-AA473,0))</x:f>
        <x:v>4</x:v>
      </x:c>
      <x:c r="L473" s="2" t="n">
        <x:f>MAX(1,ROUND('기준스탯 72종'!F26-T473-AB473,0))</x:f>
        <x:v>4</x:v>
      </x:c>
      <x:c r="M473" s="2" t="n">
        <x:f>MAX(1,ROUND('기준스탯 72종'!G26-U473-AC473,0))</x:f>
        <x:v>2</x:v>
      </x:c>
      <x:c r="N473" s="2" t="n">
        <x:f>MAX(0,ROUND('기준스탯 72종'!H26-V473-AD473,0))</x:f>
        <x:v>0</x:v>
      </x:c>
      <x:c r="O473" s="2" t="n">
        <x:f>MAX(0,ROUND('기준스탯 72종'!I26-W473-AE473,0))</x:f>
        <x:v>2</x:v>
      </x:c>
      <x:c r="P473" s="2" t="n">
        <x:f>MAX(0,ROUND('기준스탯 72종'!J26-X473-AF473,0))</x:f>
        <x:v>1</x:v>
      </x:c>
      <x:c r="Q473" s="2" t="n">
        <x:f>MAX(0,ROUND('기준스탯 72종'!K26-Y473-AG473,0))</x:f>
        <x:v>3</x:v>
      </x:c>
      <x:c r="R473" s="15" t="n">
        <x:f>'기준스탯 72종'!D26*G473</x:f>
        <x:v>2.8</x:v>
      </x:c>
      <x:c r="S473" s="15" t="n">
        <x:f>'기준스탯 72종'!E26*G473</x:f>
        <x:v>5.6</x:v>
      </x:c>
      <x:c r="T473" s="15" t="n">
        <x:f>'기준스탯 72종'!F26*G473</x:f>
        <x:v>5.6</x:v>
      </x:c>
      <x:c r="U473" s="15" t="n">
        <x:f>'기준스탯 72종'!G26*G473</x:f>
        <x:v>2.8</x:v>
      </x:c>
      <x:c r="V473" s="15" t="n">
        <x:f>'기준스탯 72종'!H26*G473</x:f>
        <x:v>0.5599999999999999</x:v>
      </x:c>
      <x:c r="W473" s="15" t="n">
        <x:f>'기준스탯 72종'!I26*G473</x:f>
        <x:v>2.2399999999999998</x:v>
      </x:c>
      <x:c r="X473" s="15" t="n">
        <x:f>'기준스탯 72종'!J26*G473</x:f>
        <x:v>1.6799999999999997</x:v>
      </x:c>
      <x:c r="Y473" s="15" t="n">
        <x:f>'기준스탯 72종'!K26*G473</x:f>
        <x:v>4.4799999999999995</x:v>
      </x:c>
      <x:c r="Z473" s="15" t="n">
        <x:f>'기준스탯 72종'!D26*H473</x:f>
        <x:v>0.30000000000000004</x:v>
      </x:c>
      <x:c r="AA473" s="15" t="n">
        <x:f>'기준스탯 72종'!E26*H473</x:f>
        <x:v>0.6000000000000001</x:v>
      </x:c>
      <x:c r="AB473" s="15" t="n">
        <x:f>'기준스탯 72종'!F26*H473</x:f>
        <x:v>0.6000000000000001</x:v>
      </x:c>
      <x:c r="AC473" s="15" t="n">
        <x:f>'기준스탯 72종'!G26*H473</x:f>
        <x:v>0.30000000000000004</x:v>
      </x:c>
      <x:c r="AD473" s="15" t="n">
        <x:f>'기준스탯 72종'!H26*H473</x:f>
        <x:v>0.06000000000000001</x:v>
      </x:c>
      <x:c r="AE473" s="15" t="n">
        <x:f>'기준스탯 72종'!I26*H473</x:f>
        <x:v>0.24000000000000005</x:v>
      </x:c>
      <x:c r="AF473" s="15" t="n">
        <x:f>'기준스탯 72종'!J26*H473</x:f>
        <x:v>0.18000000000000005</x:v>
      </x:c>
      <x:c r="AG473" s="15" t="n">
        <x:f>'기준스탯 72종'!K26*H473</x:f>
        <x:v>0.4800000000000001</x:v>
      </x:c>
    </x:row>
    <x:row r="474" ht="28" customHeight="1">
      <x:c r="A474" s="2" t="n">
        <x:v>467</x:v>
      </x:c>
      <x:c r="B474" s="2" t="n">
        <x:v>19</x:v>
      </x:c>
      <x:c r="C474" s="2" t="str">
        <x:v>게자리</x:v>
      </x:c>
      <x:c r="D474" s="2" t="str">
        <x:v>기사</x:v>
      </x:c>
      <x:c r="E474" s="2" t="n">
        <x:v>2</x:v>
      </x:c>
      <x:c r="F474" s="2" t="n">
        <x:v>4</x:v>
      </x:c>
      <x:c r="G474" s="14" t="n">
        <x:f>('레벨 계산식'!$E$4-E474)*'레벨 계산식'!$B$5</x:f>
        <x:v>0.41999999999999993</x:v>
      </x:c>
      <x:c r="H474" s="14" t="n">
        <x:f>('등급 계산식'!$E$4-F474)*'등급 계산식'!$B$5</x:f>
        <x:v>0.06000000000000001</x:v>
      </x:c>
      <x:c r="I474" s="14" t="n">
        <x:f>1-G474-H474</x:f>
        <x:v>0.52</x:v>
      </x:c>
      <x:c r="J474" s="2" t="n">
        <x:f>MAX(1,ROUND('기준스탯 72종'!D26-R474-Z474,0))</x:f>
        <x:v>3</x:v>
      </x:c>
      <x:c r="K474" s="2" t="n">
        <x:f>MAX(1,ROUND('기준스탯 72종'!E26-S474-AA474,0))</x:f>
        <x:v>5</x:v>
      </x:c>
      <x:c r="L474" s="2" t="n">
        <x:f>MAX(1,ROUND('기준스탯 72종'!F26-T474-AB474,0))</x:f>
        <x:v>5</x:v>
      </x:c>
      <x:c r="M474" s="2" t="n">
        <x:f>MAX(1,ROUND('기준스탯 72종'!G26-U474-AC474,0))</x:f>
        <x:v>3</x:v>
      </x:c>
      <x:c r="N474" s="2" t="n">
        <x:f>MAX(0,ROUND('기준스탯 72종'!H26-V474-AD474,0))</x:f>
        <x:v>1</x:v>
      </x:c>
      <x:c r="O474" s="2" t="n">
        <x:f>MAX(0,ROUND('기준스탯 72종'!I26-W474-AE474,0))</x:f>
        <x:v>2</x:v>
      </x:c>
      <x:c r="P474" s="2" t="n">
        <x:f>MAX(0,ROUND('기준스탯 72종'!J26-X474-AF474,0))</x:f>
        <x:v>2</x:v>
      </x:c>
      <x:c r="Q474" s="2" t="n">
        <x:f>MAX(0,ROUND('기준스탯 72종'!K26-Y474-AG474,0))</x:f>
        <x:v>4</x:v>
      </x:c>
      <x:c r="R474" s="15" t="n">
        <x:f>'기준스탯 72종'!D26*G474</x:f>
        <x:v>2.0999999999999996</x:v>
      </x:c>
      <x:c r="S474" s="15" t="n">
        <x:f>'기준스탯 72종'!E26*G474</x:f>
        <x:v>4.199999999999999</x:v>
      </x:c>
      <x:c r="T474" s="15" t="n">
        <x:f>'기준스탯 72종'!F26*G474</x:f>
        <x:v>4.199999999999999</x:v>
      </x:c>
      <x:c r="U474" s="15" t="n">
        <x:f>'기준스탯 72종'!G26*G474</x:f>
        <x:v>2.0999999999999996</x:v>
      </x:c>
      <x:c r="V474" s="15" t="n">
        <x:f>'기준스탯 72종'!H26*G474</x:f>
        <x:v>0.41999999999999993</x:v>
      </x:c>
      <x:c r="W474" s="15" t="n">
        <x:f>'기준스탯 72종'!I26*G474</x:f>
        <x:v>1.6799999999999997</x:v>
      </x:c>
      <x:c r="X474" s="15" t="n">
        <x:f>'기준스탯 72종'!J26*G474</x:f>
        <x:v>1.2599999999999998</x:v>
      </x:c>
      <x:c r="Y474" s="15" t="n">
        <x:f>'기준스탯 72종'!K26*G474</x:f>
        <x:v>3.3599999999999994</x:v>
      </x:c>
      <x:c r="Z474" s="15" t="n">
        <x:f>'기준스탯 72종'!D26*H474</x:f>
        <x:v>0.30000000000000004</x:v>
      </x:c>
      <x:c r="AA474" s="15" t="n">
        <x:f>'기준스탯 72종'!E26*H474</x:f>
        <x:v>0.6000000000000001</x:v>
      </x:c>
      <x:c r="AB474" s="15" t="n">
        <x:f>'기준스탯 72종'!F26*H474</x:f>
        <x:v>0.6000000000000001</x:v>
      </x:c>
      <x:c r="AC474" s="15" t="n">
        <x:f>'기준스탯 72종'!G26*H474</x:f>
        <x:v>0.30000000000000004</x:v>
      </x:c>
      <x:c r="AD474" s="15" t="n">
        <x:f>'기준스탯 72종'!H26*H474</x:f>
        <x:v>0.06000000000000001</x:v>
      </x:c>
      <x:c r="AE474" s="15" t="n">
        <x:f>'기준스탯 72종'!I26*H474</x:f>
        <x:v>0.24000000000000005</x:v>
      </x:c>
      <x:c r="AF474" s="15" t="n">
        <x:f>'기준스탯 72종'!J26*H474</x:f>
        <x:v>0.18000000000000005</x:v>
      </x:c>
      <x:c r="AG474" s="15" t="n">
        <x:f>'기준스탯 72종'!K26*H474</x:f>
        <x:v>0.4800000000000001</x:v>
      </x:c>
    </x:row>
    <x:row r="475" ht="28" customHeight="1">
      <x:c r="A475" s="2" t="n">
        <x:v>468</x:v>
      </x:c>
      <x:c r="B475" s="2" t="n">
        <x:v>19</x:v>
      </x:c>
      <x:c r="C475" s="2" t="str">
        <x:v>게자리</x:v>
      </x:c>
      <x:c r="D475" s="2" t="str">
        <x:v>기사</x:v>
      </x:c>
      <x:c r="E475" s="2" t="n">
        <x:v>3</x:v>
      </x:c>
      <x:c r="F475" s="2" t="n">
        <x:v>4</x:v>
      </x:c>
      <x:c r="G475" s="14" t="n">
        <x:f>('레벨 계산식'!$E$4-E475)*'레벨 계산식'!$B$5</x:f>
        <x:v>0.27999999999999997</x:v>
      </x:c>
      <x:c r="H475" s="14" t="n">
        <x:f>('등급 계산식'!$E$4-F475)*'등급 계산식'!$B$5</x:f>
        <x:v>0.06000000000000001</x:v>
      </x:c>
      <x:c r="I475" s="14" t="n">
        <x:f>1-G475-H475</x:f>
        <x:v>0.6599999999999999</x:v>
      </x:c>
      <x:c r="J475" s="2" t="n">
        <x:f>MAX(1,ROUND('기준스탯 72종'!D26-R475-Z475,0))</x:f>
        <x:v>3</x:v>
      </x:c>
      <x:c r="K475" s="2" t="n">
        <x:f>MAX(1,ROUND('기준스탯 72종'!E26-S475-AA475,0))</x:f>
        <x:v>7</x:v>
      </x:c>
      <x:c r="L475" s="2" t="n">
        <x:f>MAX(1,ROUND('기준스탯 72종'!F26-T475-AB475,0))</x:f>
        <x:v>7</x:v>
      </x:c>
      <x:c r="M475" s="2" t="n">
        <x:f>MAX(1,ROUND('기준스탯 72종'!G26-U475-AC475,0))</x:f>
        <x:v>3</x:v>
      </x:c>
      <x:c r="N475" s="2" t="n">
        <x:f>MAX(0,ROUND('기준스탯 72종'!H26-V475-AD475,0))</x:f>
        <x:v>1</x:v>
      </x:c>
      <x:c r="O475" s="2" t="n">
        <x:f>MAX(0,ROUND('기준스탯 72종'!I26-W475-AE475,0))</x:f>
        <x:v>3</x:v>
      </x:c>
      <x:c r="P475" s="2" t="n">
        <x:f>MAX(0,ROUND('기준스탯 72종'!J26-X475-AF475,0))</x:f>
        <x:v>2</x:v>
      </x:c>
      <x:c r="Q475" s="2" t="n">
        <x:f>MAX(0,ROUND('기준스탯 72종'!K26-Y475-AG475,0))</x:f>
        <x:v>5</x:v>
      </x:c>
      <x:c r="R475" s="15" t="n">
        <x:f>'기준스탯 72종'!D26*G475</x:f>
        <x:v>1.4</x:v>
      </x:c>
      <x:c r="S475" s="15" t="n">
        <x:f>'기준스탯 72종'!E26*G475</x:f>
        <x:v>2.8</x:v>
      </x:c>
      <x:c r="T475" s="15" t="n">
        <x:f>'기준스탯 72종'!F26*G475</x:f>
        <x:v>2.8</x:v>
      </x:c>
      <x:c r="U475" s="15" t="n">
        <x:f>'기준스탯 72종'!G26*G475</x:f>
        <x:v>1.4</x:v>
      </x:c>
      <x:c r="V475" s="15" t="n">
        <x:f>'기준스탯 72종'!H26*G475</x:f>
        <x:v>0.27999999999999997</x:v>
      </x:c>
      <x:c r="W475" s="15" t="n">
        <x:f>'기준스탯 72종'!I26*G475</x:f>
        <x:v>1.1199999999999999</x:v>
      </x:c>
      <x:c r="X475" s="15" t="n">
        <x:f>'기준스탯 72종'!J26*G475</x:f>
        <x:v>0.8399999999999999</x:v>
      </x:c>
      <x:c r="Y475" s="15" t="n">
        <x:f>'기준스탯 72종'!K26*G475</x:f>
        <x:v>2.2399999999999998</x:v>
      </x:c>
      <x:c r="Z475" s="15" t="n">
        <x:f>'기준스탯 72종'!D26*H475</x:f>
        <x:v>0.30000000000000004</x:v>
      </x:c>
      <x:c r="AA475" s="15" t="n">
        <x:f>'기준스탯 72종'!E26*H475</x:f>
        <x:v>0.6000000000000001</x:v>
      </x:c>
      <x:c r="AB475" s="15" t="n">
        <x:f>'기준스탯 72종'!F26*H475</x:f>
        <x:v>0.6000000000000001</x:v>
      </x:c>
      <x:c r="AC475" s="15" t="n">
        <x:f>'기준스탯 72종'!G26*H475</x:f>
        <x:v>0.30000000000000004</x:v>
      </x:c>
      <x:c r="AD475" s="15" t="n">
        <x:f>'기준스탯 72종'!H26*H475</x:f>
        <x:v>0.06000000000000001</x:v>
      </x:c>
      <x:c r="AE475" s="15" t="n">
        <x:f>'기준스탯 72종'!I26*H475</x:f>
        <x:v>0.24000000000000005</x:v>
      </x:c>
      <x:c r="AF475" s="15" t="n">
        <x:f>'기준스탯 72종'!J26*H475</x:f>
        <x:v>0.18000000000000005</x:v>
      </x:c>
      <x:c r="AG475" s="15" t="n">
        <x:f>'기준스탯 72종'!K26*H475</x:f>
        <x:v>0.4800000000000001</x:v>
      </x:c>
    </x:row>
    <x:row r="476" ht="28" customHeight="1">
      <x:c r="A476" s="2" t="n">
        <x:v>469</x:v>
      </x:c>
      <x:c r="B476" s="2" t="n">
        <x:v>19</x:v>
      </x:c>
      <x:c r="C476" s="2" t="str">
        <x:v>게자리</x:v>
      </x:c>
      <x:c r="D476" s="2" t="str">
        <x:v>기사</x:v>
      </x:c>
      <x:c r="E476" s="2" t="n">
        <x:v>4</x:v>
      </x:c>
      <x:c r="F476" s="2" t="n">
        <x:v>4</x:v>
      </x:c>
      <x:c r="G476" s="14" t="n">
        <x:f>('레벨 계산식'!$E$4-E476)*'레벨 계산식'!$B$5</x:f>
        <x:v>0.13999999999999999</x:v>
      </x:c>
      <x:c r="H476" s="14" t="n">
        <x:f>('등급 계산식'!$E$4-F476)*'등급 계산식'!$B$5</x:f>
        <x:v>0.06000000000000001</x:v>
      </x:c>
      <x:c r="I476" s="14" t="n">
        <x:f>1-G476-H476</x:f>
        <x:v>0.7999999999999999</x:v>
      </x:c>
      <x:c r="J476" s="2" t="n">
        <x:f>MAX(1,ROUND('기준스탯 72종'!D26-R476-Z476,0))</x:f>
        <x:v>4</x:v>
      </x:c>
      <x:c r="K476" s="2" t="n">
        <x:f>MAX(1,ROUND('기준스탯 72종'!E26-S476-AA476,0))</x:f>
        <x:v>8</x:v>
      </x:c>
      <x:c r="L476" s="2" t="n">
        <x:f>MAX(1,ROUND('기준스탯 72종'!F26-T476-AB476,0))</x:f>
        <x:v>8</x:v>
      </x:c>
      <x:c r="M476" s="2" t="n">
        <x:f>MAX(1,ROUND('기준스탯 72종'!G26-U476-AC476,0))</x:f>
        <x:v>4</x:v>
      </x:c>
      <x:c r="N476" s="2" t="n">
        <x:f>MAX(0,ROUND('기준스탯 72종'!H26-V476-AD476,0))</x:f>
        <x:v>1</x:v>
      </x:c>
      <x:c r="O476" s="2" t="n">
        <x:f>MAX(0,ROUND('기준스탯 72종'!I26-W476-AE476,0))</x:f>
        <x:v>3</x:v>
      </x:c>
      <x:c r="P476" s="2" t="n">
        <x:f>MAX(0,ROUND('기준스탯 72종'!J26-X476-AF476,0))</x:f>
        <x:v>2</x:v>
      </x:c>
      <x:c r="Q476" s="2" t="n">
        <x:f>MAX(0,ROUND('기준스탯 72종'!K26-Y476-AG476,0))</x:f>
        <x:v>6</x:v>
      </x:c>
      <x:c r="R476" s="15" t="n">
        <x:f>'기준스탯 72종'!D26*G476</x:f>
        <x:v>0.7</x:v>
      </x:c>
      <x:c r="S476" s="15" t="n">
        <x:f>'기준스탯 72종'!E26*G476</x:f>
        <x:v>1.4</x:v>
      </x:c>
      <x:c r="T476" s="15" t="n">
        <x:f>'기준스탯 72종'!F26*G476</x:f>
        <x:v>1.4</x:v>
      </x:c>
      <x:c r="U476" s="15" t="n">
        <x:f>'기준스탯 72종'!G26*G476</x:f>
        <x:v>0.7</x:v>
      </x:c>
      <x:c r="V476" s="15" t="n">
        <x:f>'기준스탯 72종'!H26*G476</x:f>
        <x:v>0.13999999999999999</x:v>
      </x:c>
      <x:c r="W476" s="15" t="n">
        <x:f>'기준스탯 72종'!I26*G476</x:f>
        <x:v>0.5599999999999999</x:v>
      </x:c>
      <x:c r="X476" s="15" t="n">
        <x:f>'기준스탯 72종'!J26*G476</x:f>
        <x:v>0.41999999999999993</x:v>
      </x:c>
      <x:c r="Y476" s="15" t="n">
        <x:f>'기준스탯 72종'!K26*G476</x:f>
        <x:v>1.1199999999999999</x:v>
      </x:c>
      <x:c r="Z476" s="15" t="n">
        <x:f>'기준스탯 72종'!D26*H476</x:f>
        <x:v>0.30000000000000004</x:v>
      </x:c>
      <x:c r="AA476" s="15" t="n">
        <x:f>'기준스탯 72종'!E26*H476</x:f>
        <x:v>0.6000000000000001</x:v>
      </x:c>
      <x:c r="AB476" s="15" t="n">
        <x:f>'기준스탯 72종'!F26*H476</x:f>
        <x:v>0.6000000000000001</x:v>
      </x:c>
      <x:c r="AC476" s="15" t="n">
        <x:f>'기준스탯 72종'!G26*H476</x:f>
        <x:v>0.30000000000000004</x:v>
      </x:c>
      <x:c r="AD476" s="15" t="n">
        <x:f>'기준스탯 72종'!H26*H476</x:f>
        <x:v>0.06000000000000001</x:v>
      </x:c>
      <x:c r="AE476" s="15" t="n">
        <x:f>'기준스탯 72종'!I26*H476</x:f>
        <x:v>0.24000000000000005</x:v>
      </x:c>
      <x:c r="AF476" s="15" t="n">
        <x:f>'기준스탯 72종'!J26*H476</x:f>
        <x:v>0.18000000000000005</x:v>
      </x:c>
      <x:c r="AG476" s="15" t="n">
        <x:f>'기준스탯 72종'!K26*H476</x:f>
        <x:v>0.4800000000000001</x:v>
      </x:c>
    </x:row>
    <x:row r="477" ht="28" customHeight="1">
      <x:c r="A477" s="2" t="n">
        <x:v>470</x:v>
      </x:c>
      <x:c r="B477" s="2" t="n">
        <x:v>19</x:v>
      </x:c>
      <x:c r="C477" s="2" t="str">
        <x:v>게자리</x:v>
      </x:c>
      <x:c r="D477" s="2" t="str">
        <x:v>기사</x:v>
      </x:c>
      <x:c r="E477" s="2" t="n">
        <x:v>5</x:v>
      </x:c>
      <x:c r="F477" s="2" t="n">
        <x:v>4</x:v>
      </x:c>
      <x:c r="G477" s="14" t="n">
        <x:f>('레벨 계산식'!$E$4-E477)*'레벨 계산식'!$B$5</x:f>
        <x:v>0</x:v>
      </x:c>
      <x:c r="H477" s="14" t="n">
        <x:f>('등급 계산식'!$E$4-F477)*'등급 계산식'!$B$5</x:f>
        <x:v>0.06000000000000001</x:v>
      </x:c>
      <x:c r="I477" s="14" t="n">
        <x:f>1-G477-H477</x:f>
        <x:v>0.94</x:v>
      </x:c>
      <x:c r="J477" s="2" t="n">
        <x:f>MAX(1,ROUND('기준스탯 72종'!D26-R477-Z477,0))</x:f>
        <x:v>5</x:v>
      </x:c>
      <x:c r="K477" s="2" t="n">
        <x:f>MAX(1,ROUND('기준스탯 72종'!E26-S477-AA477,0))</x:f>
        <x:v>9</x:v>
      </x:c>
      <x:c r="L477" s="2" t="n">
        <x:f>MAX(1,ROUND('기준스탯 72종'!F26-T477-AB477,0))</x:f>
        <x:v>9</x:v>
      </x:c>
      <x:c r="M477" s="2" t="n">
        <x:f>MAX(1,ROUND('기준스탯 72종'!G26-U477-AC477,0))</x:f>
        <x:v>5</x:v>
      </x:c>
      <x:c r="N477" s="2" t="n">
        <x:f>MAX(0,ROUND('기준스탯 72종'!H26-V477-AD477,0))</x:f>
        <x:v>1</x:v>
      </x:c>
      <x:c r="O477" s="2" t="n">
        <x:f>MAX(0,ROUND('기준스탯 72종'!I26-W477-AE477,0))</x:f>
        <x:v>4</x:v>
      </x:c>
      <x:c r="P477" s="2" t="n">
        <x:f>MAX(0,ROUND('기준스탯 72종'!J26-X477-AF477,0))</x:f>
        <x:v>3</x:v>
      </x:c>
      <x:c r="Q477" s="2" t="n">
        <x:f>MAX(0,ROUND('기준스탯 72종'!K26-Y477-AG477,0))</x:f>
        <x:v>8</x:v>
      </x:c>
      <x:c r="R477" s="15" t="n">
        <x:f>'기준스탯 72종'!D26*G477</x:f>
        <x:v>0</x:v>
      </x:c>
      <x:c r="S477" s="15" t="n">
        <x:f>'기준스탯 72종'!E26*G477</x:f>
        <x:v>0</x:v>
      </x:c>
      <x:c r="T477" s="15" t="n">
        <x:f>'기준스탯 72종'!F26*G477</x:f>
        <x:v>0</x:v>
      </x:c>
      <x:c r="U477" s="15" t="n">
        <x:f>'기준스탯 72종'!G26*G477</x:f>
        <x:v>0</x:v>
      </x:c>
      <x:c r="V477" s="15" t="n">
        <x:f>'기준스탯 72종'!H26*G477</x:f>
        <x:v>0</x:v>
      </x:c>
      <x:c r="W477" s="15" t="n">
        <x:f>'기준스탯 72종'!I26*G477</x:f>
        <x:v>0</x:v>
      </x:c>
      <x:c r="X477" s="15" t="n">
        <x:f>'기준스탯 72종'!J26*G477</x:f>
        <x:v>0</x:v>
      </x:c>
      <x:c r="Y477" s="15" t="n">
        <x:f>'기준스탯 72종'!K26*G477</x:f>
        <x:v>0</x:v>
      </x:c>
      <x:c r="Z477" s="15" t="n">
        <x:f>'기준스탯 72종'!D26*H477</x:f>
        <x:v>0.30000000000000004</x:v>
      </x:c>
      <x:c r="AA477" s="15" t="n">
        <x:f>'기준스탯 72종'!E26*H477</x:f>
        <x:v>0.6000000000000001</x:v>
      </x:c>
      <x:c r="AB477" s="15" t="n">
        <x:f>'기준스탯 72종'!F26*H477</x:f>
        <x:v>0.6000000000000001</x:v>
      </x:c>
      <x:c r="AC477" s="15" t="n">
        <x:f>'기준스탯 72종'!G26*H477</x:f>
        <x:v>0.30000000000000004</x:v>
      </x:c>
      <x:c r="AD477" s="15" t="n">
        <x:f>'기준스탯 72종'!H26*H477</x:f>
        <x:v>0.06000000000000001</x:v>
      </x:c>
      <x:c r="AE477" s="15" t="n">
        <x:f>'기준스탯 72종'!I26*H477</x:f>
        <x:v>0.24000000000000005</x:v>
      </x:c>
      <x:c r="AF477" s="15" t="n">
        <x:f>'기준스탯 72종'!J26*H477</x:f>
        <x:v>0.18000000000000005</x:v>
      </x:c>
      <x:c r="AG477" s="15" t="n">
        <x:f>'기준스탯 72종'!K26*H477</x:f>
        <x:v>0.4800000000000001</x:v>
      </x:c>
    </x:row>
    <x:row r="478" ht="28" customHeight="1">
      <x:c r="A478" s="2" t="n">
        <x:v>471</x:v>
      </x:c>
      <x:c r="B478" s="2" t="n">
        <x:v>19</x:v>
      </x:c>
      <x:c r="C478" s="2" t="str">
        <x:v>게자리</x:v>
      </x:c>
      <x:c r="D478" s="2" t="str">
        <x:v>기사</x:v>
      </x:c>
      <x:c r="E478" s="2" t="n">
        <x:v>1</x:v>
      </x:c>
      <x:c r="F478" s="2" t="n">
        <x:v>5</x:v>
      </x:c>
      <x:c r="G478" s="14" t="n">
        <x:f>('레벨 계산식'!$E$4-E478)*'레벨 계산식'!$B$5</x:f>
        <x:v>0.5599999999999999</x:v>
      </x:c>
      <x:c r="H478" s="14" t="n">
        <x:f>('등급 계산식'!$E$4-F478)*'등급 계산식'!$B$5</x:f>
        <x:v>0</x:v>
      </x:c>
      <x:c r="I478" s="14" t="n">
        <x:f>1-G478-H478</x:f>
        <x:v>0.44000000000000006</x:v>
      </x:c>
      <x:c r="J478" s="2" t="n">
        <x:f>MAX(1,ROUND('기준스탯 72종'!D26-R478-Z478,0))</x:f>
        <x:v>2</x:v>
      </x:c>
      <x:c r="K478" s="2" t="n">
        <x:f>MAX(1,ROUND('기준스탯 72종'!E26-S478-AA478,0))</x:f>
        <x:v>4</x:v>
      </x:c>
      <x:c r="L478" s="2" t="n">
        <x:f>MAX(1,ROUND('기준스탯 72종'!F26-T478-AB478,0))</x:f>
        <x:v>4</x:v>
      </x:c>
      <x:c r="M478" s="2" t="n">
        <x:f>MAX(1,ROUND('기준스탯 72종'!G26-U478-AC478,0))</x:f>
        <x:v>2</x:v>
      </x:c>
      <x:c r="N478" s="2" t="n">
        <x:f>MAX(0,ROUND('기준스탯 72종'!H26-V478-AD478,0))</x:f>
        <x:v>0</x:v>
      </x:c>
      <x:c r="O478" s="2" t="n">
        <x:f>MAX(0,ROUND('기준스탯 72종'!I26-W478-AE478,0))</x:f>
        <x:v>2</x:v>
      </x:c>
      <x:c r="P478" s="2" t="n">
        <x:f>MAX(0,ROUND('기준스탯 72종'!J26-X478-AF478,0))</x:f>
        <x:v>1</x:v>
      </x:c>
      <x:c r="Q478" s="2" t="n">
        <x:f>MAX(0,ROUND('기준스탯 72종'!K26-Y478-AG478,0))</x:f>
        <x:v>4</x:v>
      </x:c>
      <x:c r="R478" s="15" t="n">
        <x:f>'기준스탯 72종'!D26*G478</x:f>
        <x:v>2.8</x:v>
      </x:c>
      <x:c r="S478" s="15" t="n">
        <x:f>'기준스탯 72종'!E26*G478</x:f>
        <x:v>5.6</x:v>
      </x:c>
      <x:c r="T478" s="15" t="n">
        <x:f>'기준스탯 72종'!F26*G478</x:f>
        <x:v>5.6</x:v>
      </x:c>
      <x:c r="U478" s="15" t="n">
        <x:f>'기준스탯 72종'!G26*G478</x:f>
        <x:v>2.8</x:v>
      </x:c>
      <x:c r="V478" s="15" t="n">
        <x:f>'기준스탯 72종'!H26*G478</x:f>
        <x:v>0.5599999999999999</x:v>
      </x:c>
      <x:c r="W478" s="15" t="n">
        <x:f>'기준스탯 72종'!I26*G478</x:f>
        <x:v>2.2399999999999998</x:v>
      </x:c>
      <x:c r="X478" s="15" t="n">
        <x:f>'기준스탯 72종'!J26*G478</x:f>
        <x:v>1.6799999999999997</x:v>
      </x:c>
      <x:c r="Y478" s="15" t="n">
        <x:f>'기준스탯 72종'!K26*G478</x:f>
        <x:v>4.4799999999999995</x:v>
      </x:c>
      <x:c r="Z478" s="15" t="n">
        <x:f>'기준스탯 72종'!D26*H478</x:f>
        <x:v>0</x:v>
      </x:c>
      <x:c r="AA478" s="15" t="n">
        <x:f>'기준스탯 72종'!E26*H478</x:f>
        <x:v>0</x:v>
      </x:c>
      <x:c r="AB478" s="15" t="n">
        <x:f>'기준스탯 72종'!F26*H478</x:f>
        <x:v>0</x:v>
      </x:c>
      <x:c r="AC478" s="15" t="n">
        <x:f>'기준스탯 72종'!G26*H478</x:f>
        <x:v>0</x:v>
      </x:c>
      <x:c r="AD478" s="15" t="n">
        <x:f>'기준스탯 72종'!H26*H478</x:f>
        <x:v>0</x:v>
      </x:c>
      <x:c r="AE478" s="15" t="n">
        <x:f>'기준스탯 72종'!I26*H478</x:f>
        <x:v>0</x:v>
      </x:c>
      <x:c r="AF478" s="15" t="n">
        <x:f>'기준스탯 72종'!J26*H478</x:f>
        <x:v>0</x:v>
      </x:c>
      <x:c r="AG478" s="15" t="n">
        <x:f>'기준스탯 72종'!K26*H478</x:f>
        <x:v>0</x:v>
      </x:c>
    </x:row>
    <x:row r="479" ht="28" customHeight="1">
      <x:c r="A479" s="2" t="n">
        <x:v>472</x:v>
      </x:c>
      <x:c r="B479" s="2" t="n">
        <x:v>19</x:v>
      </x:c>
      <x:c r="C479" s="2" t="str">
        <x:v>게자리</x:v>
      </x:c>
      <x:c r="D479" s="2" t="str">
        <x:v>기사</x:v>
      </x:c>
      <x:c r="E479" s="2" t="n">
        <x:v>2</x:v>
      </x:c>
      <x:c r="F479" s="2" t="n">
        <x:v>5</x:v>
      </x:c>
      <x:c r="G479" s="14" t="n">
        <x:f>('레벨 계산식'!$E$4-E479)*'레벨 계산식'!$B$5</x:f>
        <x:v>0.41999999999999993</x:v>
      </x:c>
      <x:c r="H479" s="14" t="n">
        <x:f>('등급 계산식'!$E$4-F479)*'등급 계산식'!$B$5</x:f>
        <x:v>0</x:v>
      </x:c>
      <x:c r="I479" s="14" t="n">
        <x:f>1-G479-H479</x:f>
        <x:v>0.5800000000000001</x:v>
      </x:c>
      <x:c r="J479" s="2" t="n">
        <x:f>MAX(1,ROUND('기준스탯 72종'!D26-R479-Z479,0))</x:f>
        <x:v>3</x:v>
      </x:c>
      <x:c r="K479" s="2" t="n">
        <x:f>MAX(1,ROUND('기준스탯 72종'!E26-S479-AA479,0))</x:f>
        <x:v>6</x:v>
      </x:c>
      <x:c r="L479" s="2" t="n">
        <x:f>MAX(1,ROUND('기준스탯 72종'!F26-T479-AB479,0))</x:f>
        <x:v>6</x:v>
      </x:c>
      <x:c r="M479" s="2" t="n">
        <x:f>MAX(1,ROUND('기준스탯 72종'!G26-U479-AC479,0))</x:f>
        <x:v>3</x:v>
      </x:c>
      <x:c r="N479" s="2" t="n">
        <x:f>MAX(0,ROUND('기준스탯 72종'!H26-V479-AD479,0))</x:f>
        <x:v>1</x:v>
      </x:c>
      <x:c r="O479" s="2" t="n">
        <x:f>MAX(0,ROUND('기준스탯 72종'!I26-W479-AE479,0))</x:f>
        <x:v>2</x:v>
      </x:c>
      <x:c r="P479" s="2" t="n">
        <x:f>MAX(0,ROUND('기준스탯 72종'!J26-X479-AF479,0))</x:f>
        <x:v>2</x:v>
      </x:c>
      <x:c r="Q479" s="2" t="n">
        <x:f>MAX(0,ROUND('기준스탯 72종'!K26-Y479-AG479,0))</x:f>
        <x:v>5</x:v>
      </x:c>
      <x:c r="R479" s="15" t="n">
        <x:f>'기준스탯 72종'!D26*G479</x:f>
        <x:v>2.0999999999999996</x:v>
      </x:c>
      <x:c r="S479" s="15" t="n">
        <x:f>'기준스탯 72종'!E26*G479</x:f>
        <x:v>4.199999999999999</x:v>
      </x:c>
      <x:c r="T479" s="15" t="n">
        <x:f>'기준스탯 72종'!F26*G479</x:f>
        <x:v>4.199999999999999</x:v>
      </x:c>
      <x:c r="U479" s="15" t="n">
        <x:f>'기준스탯 72종'!G26*G479</x:f>
        <x:v>2.0999999999999996</x:v>
      </x:c>
      <x:c r="V479" s="15" t="n">
        <x:f>'기준스탯 72종'!H26*G479</x:f>
        <x:v>0.41999999999999993</x:v>
      </x:c>
      <x:c r="W479" s="15" t="n">
        <x:f>'기준스탯 72종'!I26*G479</x:f>
        <x:v>1.6799999999999997</x:v>
      </x:c>
      <x:c r="X479" s="15" t="n">
        <x:f>'기준스탯 72종'!J26*G479</x:f>
        <x:v>1.2599999999999998</x:v>
      </x:c>
      <x:c r="Y479" s="15" t="n">
        <x:f>'기준스탯 72종'!K26*G479</x:f>
        <x:v>3.3599999999999994</x:v>
      </x:c>
      <x:c r="Z479" s="15" t="n">
        <x:f>'기준스탯 72종'!D26*H479</x:f>
        <x:v>0</x:v>
      </x:c>
      <x:c r="AA479" s="15" t="n">
        <x:f>'기준스탯 72종'!E26*H479</x:f>
        <x:v>0</x:v>
      </x:c>
      <x:c r="AB479" s="15" t="n">
        <x:f>'기준스탯 72종'!F26*H479</x:f>
        <x:v>0</x:v>
      </x:c>
      <x:c r="AC479" s="15" t="n">
        <x:f>'기준스탯 72종'!G26*H479</x:f>
        <x:v>0</x:v>
      </x:c>
      <x:c r="AD479" s="15" t="n">
        <x:f>'기준스탯 72종'!H26*H479</x:f>
        <x:v>0</x:v>
      </x:c>
      <x:c r="AE479" s="15" t="n">
        <x:f>'기준스탯 72종'!I26*H479</x:f>
        <x:v>0</x:v>
      </x:c>
      <x:c r="AF479" s="15" t="n">
        <x:f>'기준스탯 72종'!J26*H479</x:f>
        <x:v>0</x:v>
      </x:c>
      <x:c r="AG479" s="15" t="n">
        <x:f>'기준스탯 72종'!K26*H479</x:f>
        <x:v>0</x:v>
      </x:c>
    </x:row>
    <x:row r="480" ht="28" customHeight="1">
      <x:c r="A480" s="2" t="n">
        <x:v>473</x:v>
      </x:c>
      <x:c r="B480" s="2" t="n">
        <x:v>19</x:v>
      </x:c>
      <x:c r="C480" s="2" t="str">
        <x:v>게자리</x:v>
      </x:c>
      <x:c r="D480" s="2" t="str">
        <x:v>기사</x:v>
      </x:c>
      <x:c r="E480" s="2" t="n">
        <x:v>3</x:v>
      </x:c>
      <x:c r="F480" s="2" t="n">
        <x:v>5</x:v>
      </x:c>
      <x:c r="G480" s="14" t="n">
        <x:f>('레벨 계산식'!$E$4-E480)*'레벨 계산식'!$B$5</x:f>
        <x:v>0.27999999999999997</x:v>
      </x:c>
      <x:c r="H480" s="14" t="n">
        <x:f>('등급 계산식'!$E$4-F480)*'등급 계산식'!$B$5</x:f>
        <x:v>0</x:v>
      </x:c>
      <x:c r="I480" s="14" t="n">
        <x:f>1-G480-H480</x:f>
        <x:v>0.72</x:v>
      </x:c>
      <x:c r="J480" s="2" t="n">
        <x:f>MAX(1,ROUND('기준스탯 72종'!D26-R480-Z480,0))</x:f>
        <x:v>4</x:v>
      </x:c>
      <x:c r="K480" s="2" t="n">
        <x:f>MAX(1,ROUND('기준스탯 72종'!E26-S480-AA480,0))</x:f>
        <x:v>7</x:v>
      </x:c>
      <x:c r="L480" s="2" t="n">
        <x:f>MAX(1,ROUND('기준스탯 72종'!F26-T480-AB480,0))</x:f>
        <x:v>7</x:v>
      </x:c>
      <x:c r="M480" s="2" t="n">
        <x:f>MAX(1,ROUND('기준스탯 72종'!G26-U480-AC480,0))</x:f>
        <x:v>4</x:v>
      </x:c>
      <x:c r="N480" s="2" t="n">
        <x:f>MAX(0,ROUND('기준스탯 72종'!H26-V480-AD480,0))</x:f>
        <x:v>1</x:v>
      </x:c>
      <x:c r="O480" s="2" t="n">
        <x:f>MAX(0,ROUND('기준스탯 72종'!I26-W480-AE480,0))</x:f>
        <x:v>3</x:v>
      </x:c>
      <x:c r="P480" s="2" t="n">
        <x:f>MAX(0,ROUND('기준스탯 72종'!J26-X480-AF480,0))</x:f>
        <x:v>2</x:v>
      </x:c>
      <x:c r="Q480" s="2" t="n">
        <x:f>MAX(0,ROUND('기준스탯 72종'!K26-Y480-AG480,0))</x:f>
        <x:v>6</x:v>
      </x:c>
      <x:c r="R480" s="15" t="n">
        <x:f>'기준스탯 72종'!D26*G480</x:f>
        <x:v>1.4</x:v>
      </x:c>
      <x:c r="S480" s="15" t="n">
        <x:f>'기준스탯 72종'!E26*G480</x:f>
        <x:v>2.8</x:v>
      </x:c>
      <x:c r="T480" s="15" t="n">
        <x:f>'기준스탯 72종'!F26*G480</x:f>
        <x:v>2.8</x:v>
      </x:c>
      <x:c r="U480" s="15" t="n">
        <x:f>'기준스탯 72종'!G26*G480</x:f>
        <x:v>1.4</x:v>
      </x:c>
      <x:c r="V480" s="15" t="n">
        <x:f>'기준스탯 72종'!H26*G480</x:f>
        <x:v>0.27999999999999997</x:v>
      </x:c>
      <x:c r="W480" s="15" t="n">
        <x:f>'기준스탯 72종'!I26*G480</x:f>
        <x:v>1.1199999999999999</x:v>
      </x:c>
      <x:c r="X480" s="15" t="n">
        <x:f>'기준스탯 72종'!J26*G480</x:f>
        <x:v>0.8399999999999999</x:v>
      </x:c>
      <x:c r="Y480" s="15" t="n">
        <x:f>'기준스탯 72종'!K26*G480</x:f>
        <x:v>2.2399999999999998</x:v>
      </x:c>
      <x:c r="Z480" s="15" t="n">
        <x:f>'기준스탯 72종'!D26*H480</x:f>
        <x:v>0</x:v>
      </x:c>
      <x:c r="AA480" s="15" t="n">
        <x:f>'기준스탯 72종'!E26*H480</x:f>
        <x:v>0</x:v>
      </x:c>
      <x:c r="AB480" s="15" t="n">
        <x:f>'기준스탯 72종'!F26*H480</x:f>
        <x:v>0</x:v>
      </x:c>
      <x:c r="AC480" s="15" t="n">
        <x:f>'기준스탯 72종'!G26*H480</x:f>
        <x:v>0</x:v>
      </x:c>
      <x:c r="AD480" s="15" t="n">
        <x:f>'기준스탯 72종'!H26*H480</x:f>
        <x:v>0</x:v>
      </x:c>
      <x:c r="AE480" s="15" t="n">
        <x:f>'기준스탯 72종'!I26*H480</x:f>
        <x:v>0</x:v>
      </x:c>
      <x:c r="AF480" s="15" t="n">
        <x:f>'기준스탯 72종'!J26*H480</x:f>
        <x:v>0</x:v>
      </x:c>
      <x:c r="AG480" s="15" t="n">
        <x:f>'기준스탯 72종'!K26*H480</x:f>
        <x:v>0</x:v>
      </x:c>
    </x:row>
    <x:row r="481" ht="28" customHeight="1">
      <x:c r="A481" s="2" t="n">
        <x:v>474</x:v>
      </x:c>
      <x:c r="B481" s="2" t="n">
        <x:v>19</x:v>
      </x:c>
      <x:c r="C481" s="2" t="str">
        <x:v>게자리</x:v>
      </x:c>
      <x:c r="D481" s="2" t="str">
        <x:v>기사</x:v>
      </x:c>
      <x:c r="E481" s="2" t="n">
        <x:v>4</x:v>
      </x:c>
      <x:c r="F481" s="2" t="n">
        <x:v>5</x:v>
      </x:c>
      <x:c r="G481" s="14" t="n">
        <x:f>('레벨 계산식'!$E$4-E481)*'레벨 계산식'!$B$5</x:f>
        <x:v>0.13999999999999999</x:v>
      </x:c>
      <x:c r="H481" s="14" t="n">
        <x:f>('등급 계산식'!$E$4-F481)*'등급 계산식'!$B$5</x:f>
        <x:v>0</x:v>
      </x:c>
      <x:c r="I481" s="14" t="n">
        <x:f>1-G481-H481</x:f>
        <x:v>0.86</x:v>
      </x:c>
      <x:c r="J481" s="2" t="n">
        <x:f>MAX(1,ROUND('기준스탯 72종'!D26-R481-Z481,0))</x:f>
        <x:v>4</x:v>
      </x:c>
      <x:c r="K481" s="2" t="n">
        <x:f>MAX(1,ROUND('기준스탯 72종'!E26-S481-AA481,0))</x:f>
        <x:v>9</x:v>
      </x:c>
      <x:c r="L481" s="2" t="n">
        <x:f>MAX(1,ROUND('기준스탯 72종'!F26-T481-AB481,0))</x:f>
        <x:v>9</x:v>
      </x:c>
      <x:c r="M481" s="2" t="n">
        <x:f>MAX(1,ROUND('기준스탯 72종'!G26-U481-AC481,0))</x:f>
        <x:v>4</x:v>
      </x:c>
      <x:c r="N481" s="2" t="n">
        <x:f>MAX(0,ROUND('기준스탯 72종'!H26-V481-AD481,0))</x:f>
        <x:v>1</x:v>
      </x:c>
      <x:c r="O481" s="2" t="n">
        <x:f>MAX(0,ROUND('기준스탯 72종'!I26-W481-AE481,0))</x:f>
        <x:v>3</x:v>
      </x:c>
      <x:c r="P481" s="2" t="n">
        <x:f>MAX(0,ROUND('기준스탯 72종'!J26-X481-AF481,0))</x:f>
        <x:v>3</x:v>
      </x:c>
      <x:c r="Q481" s="2" t="n">
        <x:f>MAX(0,ROUND('기준스탯 72종'!K26-Y481-AG481,0))</x:f>
        <x:v>7</x:v>
      </x:c>
      <x:c r="R481" s="15" t="n">
        <x:f>'기준스탯 72종'!D26*G481</x:f>
        <x:v>0.7</x:v>
      </x:c>
      <x:c r="S481" s="15" t="n">
        <x:f>'기준스탯 72종'!E26*G481</x:f>
        <x:v>1.4</x:v>
      </x:c>
      <x:c r="T481" s="15" t="n">
        <x:f>'기준스탯 72종'!F26*G481</x:f>
        <x:v>1.4</x:v>
      </x:c>
      <x:c r="U481" s="15" t="n">
        <x:f>'기준스탯 72종'!G26*G481</x:f>
        <x:v>0.7</x:v>
      </x:c>
      <x:c r="V481" s="15" t="n">
        <x:f>'기준스탯 72종'!H26*G481</x:f>
        <x:v>0.13999999999999999</x:v>
      </x:c>
      <x:c r="W481" s="15" t="n">
        <x:f>'기준스탯 72종'!I26*G481</x:f>
        <x:v>0.5599999999999999</x:v>
      </x:c>
      <x:c r="X481" s="15" t="n">
        <x:f>'기준스탯 72종'!J26*G481</x:f>
        <x:v>0.41999999999999993</x:v>
      </x:c>
      <x:c r="Y481" s="15" t="n">
        <x:f>'기준스탯 72종'!K26*G481</x:f>
        <x:v>1.1199999999999999</x:v>
      </x:c>
      <x:c r="Z481" s="15" t="n">
        <x:f>'기준스탯 72종'!D26*H481</x:f>
        <x:v>0</x:v>
      </x:c>
      <x:c r="AA481" s="15" t="n">
        <x:f>'기준스탯 72종'!E26*H481</x:f>
        <x:v>0</x:v>
      </x:c>
      <x:c r="AB481" s="15" t="n">
        <x:f>'기준스탯 72종'!F26*H481</x:f>
        <x:v>0</x:v>
      </x:c>
      <x:c r="AC481" s="15" t="n">
        <x:f>'기준스탯 72종'!G26*H481</x:f>
        <x:v>0</x:v>
      </x:c>
      <x:c r="AD481" s="15" t="n">
        <x:f>'기준스탯 72종'!H26*H481</x:f>
        <x:v>0</x:v>
      </x:c>
      <x:c r="AE481" s="15" t="n">
        <x:f>'기준스탯 72종'!I26*H481</x:f>
        <x:v>0</x:v>
      </x:c>
      <x:c r="AF481" s="15" t="n">
        <x:f>'기준스탯 72종'!J26*H481</x:f>
        <x:v>0</x:v>
      </x:c>
      <x:c r="AG481" s="15" t="n">
        <x:f>'기준스탯 72종'!K26*H481</x:f>
        <x:v>0</x:v>
      </x:c>
    </x:row>
    <x:row r="482" ht="28" customHeight="1">
      <x:c r="A482" s="2" t="n">
        <x:v>475</x:v>
      </x:c>
      <x:c r="B482" s="2" t="n">
        <x:v>19</x:v>
      </x:c>
      <x:c r="C482" s="2" t="str">
        <x:v>게자리</x:v>
      </x:c>
      <x:c r="D482" s="2" t="str">
        <x:v>기사</x:v>
      </x:c>
      <x:c r="E482" s="2" t="n">
        <x:v>5</x:v>
      </x:c>
      <x:c r="F482" s="2" t="n">
        <x:v>5</x:v>
      </x:c>
      <x:c r="G482" s="14" t="n">
        <x:f>('레벨 계산식'!$E$4-E482)*'레벨 계산식'!$B$5</x:f>
        <x:v>0</x:v>
      </x:c>
      <x:c r="H482" s="14" t="n">
        <x:f>('등급 계산식'!$E$4-F482)*'등급 계산식'!$B$5</x:f>
        <x:v>0</x:v>
      </x:c>
      <x:c r="I482" s="14" t="n">
        <x:f>1-G482-H482</x:f>
        <x:v>1</x:v>
      </x:c>
      <x:c r="J482" s="2" t="n">
        <x:f>MAX(1,ROUND('기준스탯 72종'!D26-R482-Z482,0))</x:f>
        <x:v>5</x:v>
      </x:c>
      <x:c r="K482" s="2" t="n">
        <x:f>MAX(1,ROUND('기준스탯 72종'!E26-S482-AA482,0))</x:f>
        <x:v>10</x:v>
      </x:c>
      <x:c r="L482" s="2" t="n">
        <x:f>MAX(1,ROUND('기준스탯 72종'!F26-T482-AB482,0))</x:f>
        <x:v>10</x:v>
      </x:c>
      <x:c r="M482" s="2" t="n">
        <x:f>MAX(1,ROUND('기준스탯 72종'!G26-U482-AC482,0))</x:f>
        <x:v>5</x:v>
      </x:c>
      <x:c r="N482" s="2" t="n">
        <x:f>MAX(0,ROUND('기준스탯 72종'!H26-V482-AD482,0))</x:f>
        <x:v>1</x:v>
      </x:c>
      <x:c r="O482" s="2" t="n">
        <x:f>MAX(0,ROUND('기준스탯 72종'!I26-W482-AE482,0))</x:f>
        <x:v>4</x:v>
      </x:c>
      <x:c r="P482" s="2" t="n">
        <x:f>MAX(0,ROUND('기준스탯 72종'!J26-X482-AF482,0))</x:f>
        <x:v>3</x:v>
      </x:c>
      <x:c r="Q482" s="2" t="n">
        <x:f>MAX(0,ROUND('기준스탯 72종'!K26-Y482-AG482,0))</x:f>
        <x:v>8</x:v>
      </x:c>
      <x:c r="R482" s="15" t="n">
        <x:f>'기준스탯 72종'!D26*G482</x:f>
        <x:v>0</x:v>
      </x:c>
      <x:c r="S482" s="15" t="n">
        <x:f>'기준스탯 72종'!E26*G482</x:f>
        <x:v>0</x:v>
      </x:c>
      <x:c r="T482" s="15" t="n">
        <x:f>'기준스탯 72종'!F26*G482</x:f>
        <x:v>0</x:v>
      </x:c>
      <x:c r="U482" s="15" t="n">
        <x:f>'기준스탯 72종'!G26*G482</x:f>
        <x:v>0</x:v>
      </x:c>
      <x:c r="V482" s="15" t="n">
        <x:f>'기준스탯 72종'!H26*G482</x:f>
        <x:v>0</x:v>
      </x:c>
      <x:c r="W482" s="15" t="n">
        <x:f>'기준스탯 72종'!I26*G482</x:f>
        <x:v>0</x:v>
      </x:c>
      <x:c r="X482" s="15" t="n">
        <x:f>'기준스탯 72종'!J26*G482</x:f>
        <x:v>0</x:v>
      </x:c>
      <x:c r="Y482" s="15" t="n">
        <x:f>'기준스탯 72종'!K26*G482</x:f>
        <x:v>0</x:v>
      </x:c>
      <x:c r="Z482" s="15" t="n">
        <x:f>'기준스탯 72종'!D26*H482</x:f>
        <x:v>0</x:v>
      </x:c>
      <x:c r="AA482" s="15" t="n">
        <x:f>'기준스탯 72종'!E26*H482</x:f>
        <x:v>0</x:v>
      </x:c>
      <x:c r="AB482" s="15" t="n">
        <x:f>'기준스탯 72종'!F26*H482</x:f>
        <x:v>0</x:v>
      </x:c>
      <x:c r="AC482" s="15" t="n">
        <x:f>'기준스탯 72종'!G26*H482</x:f>
        <x:v>0</x:v>
      </x:c>
      <x:c r="AD482" s="15" t="n">
        <x:f>'기준스탯 72종'!H26*H482</x:f>
        <x:v>0</x:v>
      </x:c>
      <x:c r="AE482" s="15" t="n">
        <x:f>'기준스탯 72종'!I26*H482</x:f>
        <x:v>0</x:v>
      </x:c>
      <x:c r="AF482" s="15" t="n">
        <x:f>'기준스탯 72종'!J26*H482</x:f>
        <x:v>0</x:v>
      </x:c>
      <x:c r="AG482" s="15" t="n">
        <x:f>'기준스탯 72종'!K26*H482</x:f>
        <x:v>0</x:v>
      </x:c>
    </x:row>
    <x:row r="483" ht="28" customHeight="1">
      <x:c r="A483" s="2" t="n">
        <x:v>476</x:v>
      </x:c>
      <x:c r="B483" s="2" t="n">
        <x:v>20</x:v>
      </x:c>
      <x:c r="C483" s="2" t="str">
        <x:v>게자리</x:v>
      </x:c>
      <x:c r="D483" s="2" t="str">
        <x:v>마도사</x:v>
      </x:c>
      <x:c r="E483" s="2" t="n">
        <x:v>1</x:v>
      </x:c>
      <x:c r="F483" s="2" t="n">
        <x:v>1</x:v>
      </x:c>
      <x:c r="G483" s="14" t="n">
        <x:f>('레벨 계산식'!$E$4-E483)*'레벨 계산식'!$B$5</x:f>
        <x:v>0.5599999999999999</x:v>
      </x:c>
      <x:c r="H483" s="14" t="n">
        <x:f>('등급 계산식'!$E$4-F483)*'등급 계산식'!$B$5</x:f>
        <x:v>0.24000000000000005</x:v>
      </x:c>
      <x:c r="I483" s="14" t="n">
        <x:f>1-G483-H483</x:f>
        <x:v>0.2</x:v>
      </x:c>
      <x:c r="J483" s="2" t="n">
        <x:f>MAX(1,ROUND('기준스탯 72종'!D27-R483-Z483,0))</x:f>
        <x:v>1</x:v>
      </x:c>
      <x:c r="K483" s="2" t="n">
        <x:f>MAX(1,ROUND('기준스탯 72종'!E27-S483-AA483,0))</x:f>
        <x:v>2</x:v>
      </x:c>
      <x:c r="L483" s="2" t="n">
        <x:f>MAX(1,ROUND('기준스탯 72종'!F27-T483-AB483,0))</x:f>
        <x:v>2</x:v>
      </x:c>
      <x:c r="M483" s="2" t="n">
        <x:f>MAX(1,ROUND('기준스탯 72종'!G27-U483-AC483,0))</x:f>
        <x:v>1</x:v>
      </x:c>
      <x:c r="N483" s="2" t="n">
        <x:f>MAX(0,ROUND('기준스탯 72종'!H27-V483-AD483,0))</x:f>
        <x:v>0</x:v>
      </x:c>
      <x:c r="O483" s="2" t="n">
        <x:f>MAX(0,ROUND('기준스탯 72종'!I27-W483-AE483,0))</x:f>
        <x:v>1</x:v>
      </x:c>
      <x:c r="P483" s="2" t="n">
        <x:f>MAX(0,ROUND('기준스탯 72종'!J27-X483-AF483,0))</x:f>
        <x:v>1</x:v>
      </x:c>
      <x:c r="Q483" s="2" t="n">
        <x:f>MAX(0,ROUND('기준스탯 72종'!K27-Y483-AG483,0))</x:f>
        <x:v>1</x:v>
      </x:c>
      <x:c r="R483" s="15" t="n">
        <x:f>'기준스탯 72종'!D27*G483</x:f>
        <x:v>3.9199999999999995</x:v>
      </x:c>
      <x:c r="S483" s="15" t="n">
        <x:f>'기준스탯 72종'!E27*G483</x:f>
        <x:v>4.4799999999999995</x:v>
      </x:c>
      <x:c r="T483" s="15" t="n">
        <x:f>'기준스탯 72종'!F27*G483</x:f>
        <x:v>4.4799999999999995</x:v>
      </x:c>
      <x:c r="U483" s="15" t="n">
        <x:f>'기준스탯 72종'!G27*G483</x:f>
        <x:v>3.3599999999999994</x:v>
      </x:c>
      <x:c r="V483" s="15" t="n">
        <x:f>'기준스탯 72종'!H27*G483</x:f>
        <x:v>1.1199999999999999</x:v>
      </x:c>
      <x:c r="W483" s="15" t="n">
        <x:f>'기준스탯 72종'!I27*G483</x:f>
        <x:v>3.3599999999999994</x:v>
      </x:c>
      <x:c r="X483" s="15" t="n">
        <x:f>'기준스탯 72종'!J27*G483</x:f>
        <x:v>1.6799999999999997</x:v>
      </x:c>
      <x:c r="Y483" s="15" t="n">
        <x:f>'기준스탯 72종'!K27*G483</x:f>
        <x:v>2.8</x:v>
      </x:c>
      <x:c r="Z483" s="15" t="n">
        <x:f>'기준스탯 72종'!D27*H483</x:f>
        <x:v>1.6800000000000004</x:v>
      </x:c>
      <x:c r="AA483" s="15" t="n">
        <x:f>'기준스탯 72종'!E27*H483</x:f>
        <x:v>1.9200000000000004</x:v>
      </x:c>
      <x:c r="AB483" s="15" t="n">
        <x:f>'기준스탯 72종'!F27*H483</x:f>
        <x:v>1.9200000000000004</x:v>
      </x:c>
      <x:c r="AC483" s="15" t="n">
        <x:f>'기준스탯 72종'!G27*H483</x:f>
        <x:v>1.4400000000000004</x:v>
      </x:c>
      <x:c r="AD483" s="15" t="n">
        <x:f>'기준스탯 72종'!H27*H483</x:f>
        <x:v>0.4800000000000001</x:v>
      </x:c>
      <x:c r="AE483" s="15" t="n">
        <x:f>'기준스탯 72종'!I27*H483</x:f>
        <x:v>1.4400000000000004</x:v>
      </x:c>
      <x:c r="AF483" s="15" t="n">
        <x:f>'기준스탯 72종'!J27*H483</x:f>
        <x:v>0.7200000000000002</x:v>
      </x:c>
      <x:c r="AG483" s="15" t="n">
        <x:f>'기준스탯 72종'!K27*H483</x:f>
        <x:v>1.2000000000000002</x:v>
      </x:c>
    </x:row>
    <x:row r="484" ht="28" customHeight="1">
      <x:c r="A484" s="2" t="n">
        <x:v>477</x:v>
      </x:c>
      <x:c r="B484" s="2" t="n">
        <x:v>20</x:v>
      </x:c>
      <x:c r="C484" s="2" t="str">
        <x:v>게자리</x:v>
      </x:c>
      <x:c r="D484" s="2" t="str">
        <x:v>마도사</x:v>
      </x:c>
      <x:c r="E484" s="2" t="n">
        <x:v>2</x:v>
      </x:c>
      <x:c r="F484" s="2" t="n">
        <x:v>1</x:v>
      </x:c>
      <x:c r="G484" s="14" t="n">
        <x:f>('레벨 계산식'!$E$4-E484)*'레벨 계산식'!$B$5</x:f>
        <x:v>0.41999999999999993</x:v>
      </x:c>
      <x:c r="H484" s="14" t="n">
        <x:f>('등급 계산식'!$E$4-F484)*'등급 계산식'!$B$5</x:f>
        <x:v>0.24000000000000005</x:v>
      </x:c>
      <x:c r="I484" s="14" t="n">
        <x:f>1-G484-H484</x:f>
        <x:v>0.34</x:v>
      </x:c>
      <x:c r="J484" s="2" t="n">
        <x:f>MAX(1,ROUND('기준스탯 72종'!D27-R484-Z484,0))</x:f>
        <x:v>2</x:v>
      </x:c>
      <x:c r="K484" s="2" t="n">
        <x:f>MAX(1,ROUND('기준스탯 72종'!E27-S484-AA484,0))</x:f>
        <x:v>3</x:v>
      </x:c>
      <x:c r="L484" s="2" t="n">
        <x:f>MAX(1,ROUND('기준스탯 72종'!F27-T484-AB484,0))</x:f>
        <x:v>3</x:v>
      </x:c>
      <x:c r="M484" s="2" t="n">
        <x:f>MAX(1,ROUND('기준스탯 72종'!G27-U484-AC484,0))</x:f>
        <x:v>2</x:v>
      </x:c>
      <x:c r="N484" s="2" t="n">
        <x:f>MAX(0,ROUND('기준스탯 72종'!H27-V484-AD484,0))</x:f>
        <x:v>1</x:v>
      </x:c>
      <x:c r="O484" s="2" t="n">
        <x:f>MAX(0,ROUND('기준스탯 72종'!I27-W484-AE484,0))</x:f>
        <x:v>2</x:v>
      </x:c>
      <x:c r="P484" s="2" t="n">
        <x:f>MAX(0,ROUND('기준스탯 72종'!J27-X484-AF484,0))</x:f>
        <x:v>1</x:v>
      </x:c>
      <x:c r="Q484" s="2" t="n">
        <x:f>MAX(0,ROUND('기준스탯 72종'!K27-Y484-AG484,0))</x:f>
        <x:v>2</x:v>
      </x:c>
      <x:c r="R484" s="15" t="n">
        <x:f>'기준스탯 72종'!D27*G484</x:f>
        <x:v>2.9399999999999995</x:v>
      </x:c>
      <x:c r="S484" s="15" t="n">
        <x:f>'기준스탯 72종'!E27*G484</x:f>
        <x:v>3.3599999999999994</x:v>
      </x:c>
      <x:c r="T484" s="15" t="n">
        <x:f>'기준스탯 72종'!F27*G484</x:f>
        <x:v>3.3599999999999994</x:v>
      </x:c>
      <x:c r="U484" s="15" t="n">
        <x:f>'기준스탯 72종'!G27*G484</x:f>
        <x:v>2.5199999999999996</x:v>
      </x:c>
      <x:c r="V484" s="15" t="n">
        <x:f>'기준스탯 72종'!H27*G484</x:f>
        <x:v>0.8399999999999999</x:v>
      </x:c>
      <x:c r="W484" s="15" t="n">
        <x:f>'기준스탯 72종'!I27*G484</x:f>
        <x:v>2.5199999999999996</x:v>
      </x:c>
      <x:c r="X484" s="15" t="n">
        <x:f>'기준스탯 72종'!J27*G484</x:f>
        <x:v>1.2599999999999998</x:v>
      </x:c>
      <x:c r="Y484" s="15" t="n">
        <x:f>'기준스탯 72종'!K27*G484</x:f>
        <x:v>2.0999999999999996</x:v>
      </x:c>
      <x:c r="Z484" s="15" t="n">
        <x:f>'기준스탯 72종'!D27*H484</x:f>
        <x:v>1.6800000000000004</x:v>
      </x:c>
      <x:c r="AA484" s="15" t="n">
        <x:f>'기준스탯 72종'!E27*H484</x:f>
        <x:v>1.9200000000000004</x:v>
      </x:c>
      <x:c r="AB484" s="15" t="n">
        <x:f>'기준스탯 72종'!F27*H484</x:f>
        <x:v>1.9200000000000004</x:v>
      </x:c>
      <x:c r="AC484" s="15" t="n">
        <x:f>'기준스탯 72종'!G27*H484</x:f>
        <x:v>1.4400000000000004</x:v>
      </x:c>
      <x:c r="AD484" s="15" t="n">
        <x:f>'기준스탯 72종'!H27*H484</x:f>
        <x:v>0.4800000000000001</x:v>
      </x:c>
      <x:c r="AE484" s="15" t="n">
        <x:f>'기준스탯 72종'!I27*H484</x:f>
        <x:v>1.4400000000000004</x:v>
      </x:c>
      <x:c r="AF484" s="15" t="n">
        <x:f>'기준스탯 72종'!J27*H484</x:f>
        <x:v>0.7200000000000002</x:v>
      </x:c>
      <x:c r="AG484" s="15" t="n">
        <x:f>'기준스탯 72종'!K27*H484</x:f>
        <x:v>1.2000000000000002</x:v>
      </x:c>
    </x:row>
    <x:row r="485" ht="28" customHeight="1">
      <x:c r="A485" s="2" t="n">
        <x:v>478</x:v>
      </x:c>
      <x:c r="B485" s="2" t="n">
        <x:v>20</x:v>
      </x:c>
      <x:c r="C485" s="2" t="str">
        <x:v>게자리</x:v>
      </x:c>
      <x:c r="D485" s="2" t="str">
        <x:v>마도사</x:v>
      </x:c>
      <x:c r="E485" s="2" t="n">
        <x:v>3</x:v>
      </x:c>
      <x:c r="F485" s="2" t="n">
        <x:v>1</x:v>
      </x:c>
      <x:c r="G485" s="14" t="n">
        <x:f>('레벨 계산식'!$E$4-E485)*'레벨 계산식'!$B$5</x:f>
        <x:v>0.27999999999999997</x:v>
      </x:c>
      <x:c r="H485" s="14" t="n">
        <x:f>('등급 계산식'!$E$4-F485)*'등급 계산식'!$B$5</x:f>
        <x:v>0.24000000000000005</x:v>
      </x:c>
      <x:c r="I485" s="14" t="n">
        <x:f>1-G485-H485</x:f>
        <x:v>0.4799999999999999</x:v>
      </x:c>
      <x:c r="J485" s="2" t="n">
        <x:f>MAX(1,ROUND('기준스탯 72종'!D27-R485-Z485,0))</x:f>
        <x:v>3</x:v>
      </x:c>
      <x:c r="K485" s="2" t="n">
        <x:f>MAX(1,ROUND('기준스탯 72종'!E27-S485-AA485,0))</x:f>
        <x:v>4</x:v>
      </x:c>
      <x:c r="L485" s="2" t="n">
        <x:f>MAX(1,ROUND('기준스탯 72종'!F27-T485-AB485,0))</x:f>
        <x:v>4</x:v>
      </x:c>
      <x:c r="M485" s="2" t="n">
        <x:f>MAX(1,ROUND('기준스탯 72종'!G27-U485-AC485,0))</x:f>
        <x:v>3</x:v>
      </x:c>
      <x:c r="N485" s="2" t="n">
        <x:f>MAX(0,ROUND('기준스탯 72종'!H27-V485-AD485,0))</x:f>
        <x:v>1</x:v>
      </x:c>
      <x:c r="O485" s="2" t="n">
        <x:f>MAX(0,ROUND('기준스탯 72종'!I27-W485-AE485,0))</x:f>
        <x:v>3</x:v>
      </x:c>
      <x:c r="P485" s="2" t="n">
        <x:f>MAX(0,ROUND('기준스탯 72종'!J27-X485-AF485,0))</x:f>
        <x:v>1</x:v>
      </x:c>
      <x:c r="Q485" s="2" t="n">
        <x:f>MAX(0,ROUND('기준스탯 72종'!K27-Y485-AG485,0))</x:f>
        <x:v>2</x:v>
      </x:c>
      <x:c r="R485" s="15" t="n">
        <x:f>'기준스탯 72종'!D27*G485</x:f>
        <x:v>1.9599999999999997</x:v>
      </x:c>
      <x:c r="S485" s="15" t="n">
        <x:f>'기준스탯 72종'!E27*G485</x:f>
        <x:v>2.2399999999999998</x:v>
      </x:c>
      <x:c r="T485" s="15" t="n">
        <x:f>'기준스탯 72종'!F27*G485</x:f>
        <x:v>2.2399999999999998</x:v>
      </x:c>
      <x:c r="U485" s="15" t="n">
        <x:f>'기준스탯 72종'!G27*G485</x:f>
        <x:v>1.6799999999999997</x:v>
      </x:c>
      <x:c r="V485" s="15" t="n">
        <x:f>'기준스탯 72종'!H27*G485</x:f>
        <x:v>0.5599999999999999</x:v>
      </x:c>
      <x:c r="W485" s="15" t="n">
        <x:f>'기준스탯 72종'!I27*G485</x:f>
        <x:v>1.6799999999999997</x:v>
      </x:c>
      <x:c r="X485" s="15" t="n">
        <x:f>'기준스탯 72종'!J27*G485</x:f>
        <x:v>0.8399999999999999</x:v>
      </x:c>
      <x:c r="Y485" s="15" t="n">
        <x:f>'기준스탯 72종'!K27*G485</x:f>
        <x:v>1.4</x:v>
      </x:c>
      <x:c r="Z485" s="15" t="n">
        <x:f>'기준스탯 72종'!D27*H485</x:f>
        <x:v>1.6800000000000004</x:v>
      </x:c>
      <x:c r="AA485" s="15" t="n">
        <x:f>'기준스탯 72종'!E27*H485</x:f>
        <x:v>1.9200000000000004</x:v>
      </x:c>
      <x:c r="AB485" s="15" t="n">
        <x:f>'기준스탯 72종'!F27*H485</x:f>
        <x:v>1.9200000000000004</x:v>
      </x:c>
      <x:c r="AC485" s="15" t="n">
        <x:f>'기준스탯 72종'!G27*H485</x:f>
        <x:v>1.4400000000000004</x:v>
      </x:c>
      <x:c r="AD485" s="15" t="n">
        <x:f>'기준스탯 72종'!H27*H485</x:f>
        <x:v>0.4800000000000001</x:v>
      </x:c>
      <x:c r="AE485" s="15" t="n">
        <x:f>'기준스탯 72종'!I27*H485</x:f>
        <x:v>1.4400000000000004</x:v>
      </x:c>
      <x:c r="AF485" s="15" t="n">
        <x:f>'기준스탯 72종'!J27*H485</x:f>
        <x:v>0.7200000000000002</x:v>
      </x:c>
      <x:c r="AG485" s="15" t="n">
        <x:f>'기준스탯 72종'!K27*H485</x:f>
        <x:v>1.2000000000000002</x:v>
      </x:c>
    </x:row>
    <x:row r="486" ht="28" customHeight="1">
      <x:c r="A486" s="2" t="n">
        <x:v>479</x:v>
      </x:c>
      <x:c r="B486" s="2" t="n">
        <x:v>20</x:v>
      </x:c>
      <x:c r="C486" s="2" t="str">
        <x:v>게자리</x:v>
      </x:c>
      <x:c r="D486" s="2" t="str">
        <x:v>마도사</x:v>
      </x:c>
      <x:c r="E486" s="2" t="n">
        <x:v>4</x:v>
      </x:c>
      <x:c r="F486" s="2" t="n">
        <x:v>1</x:v>
      </x:c>
      <x:c r="G486" s="14" t="n">
        <x:f>('레벨 계산식'!$E$4-E486)*'레벨 계산식'!$B$5</x:f>
        <x:v>0.13999999999999999</x:v>
      </x:c>
      <x:c r="H486" s="14" t="n">
        <x:f>('등급 계산식'!$E$4-F486)*'등급 계산식'!$B$5</x:f>
        <x:v>0.24000000000000005</x:v>
      </x:c>
      <x:c r="I486" s="14" t="n">
        <x:f>1-G486-H486</x:f>
        <x:v>0.6199999999999999</x:v>
      </x:c>
      <x:c r="J486" s="2" t="n">
        <x:f>MAX(1,ROUND('기준스탯 72종'!D27-R486-Z486,0))</x:f>
        <x:v>4</x:v>
      </x:c>
      <x:c r="K486" s="2" t="n">
        <x:f>MAX(1,ROUND('기준스탯 72종'!E27-S486-AA486,0))</x:f>
        <x:v>5</x:v>
      </x:c>
      <x:c r="L486" s="2" t="n">
        <x:f>MAX(1,ROUND('기준스탯 72종'!F27-T486-AB486,0))</x:f>
        <x:v>5</x:v>
      </x:c>
      <x:c r="M486" s="2" t="n">
        <x:f>MAX(1,ROUND('기준스탯 72종'!G27-U486-AC486,0))</x:f>
        <x:v>4</x:v>
      </x:c>
      <x:c r="N486" s="2" t="n">
        <x:f>MAX(0,ROUND('기준스탯 72종'!H27-V486-AD486,0))</x:f>
        <x:v>1</x:v>
      </x:c>
      <x:c r="O486" s="2" t="n">
        <x:f>MAX(0,ROUND('기준스탯 72종'!I27-W486-AE486,0))</x:f>
        <x:v>4</x:v>
      </x:c>
      <x:c r="P486" s="2" t="n">
        <x:f>MAX(0,ROUND('기준스탯 72종'!J27-X486-AF486,0))</x:f>
        <x:v>2</x:v>
      </x:c>
      <x:c r="Q486" s="2" t="n">
        <x:f>MAX(0,ROUND('기준스탯 72종'!K27-Y486-AG486,0))</x:f>
        <x:v>3</x:v>
      </x:c>
      <x:c r="R486" s="15" t="n">
        <x:f>'기준스탯 72종'!D27*G486</x:f>
        <x:v>0.9799999999999999</x:v>
      </x:c>
      <x:c r="S486" s="15" t="n">
        <x:f>'기준스탯 72종'!E27*G486</x:f>
        <x:v>1.1199999999999999</x:v>
      </x:c>
      <x:c r="T486" s="15" t="n">
        <x:f>'기준스탯 72종'!F27*G486</x:f>
        <x:v>1.1199999999999999</x:v>
      </x:c>
      <x:c r="U486" s="15" t="n">
        <x:f>'기준스탯 72종'!G27*G486</x:f>
        <x:v>0.8399999999999999</x:v>
      </x:c>
      <x:c r="V486" s="15" t="n">
        <x:f>'기준스탯 72종'!H27*G486</x:f>
        <x:v>0.27999999999999997</x:v>
      </x:c>
      <x:c r="W486" s="15" t="n">
        <x:f>'기준스탯 72종'!I27*G486</x:f>
        <x:v>0.8399999999999999</x:v>
      </x:c>
      <x:c r="X486" s="15" t="n">
        <x:f>'기준스탯 72종'!J27*G486</x:f>
        <x:v>0.41999999999999993</x:v>
      </x:c>
      <x:c r="Y486" s="15" t="n">
        <x:f>'기준스탯 72종'!K27*G486</x:f>
        <x:v>0.7</x:v>
      </x:c>
      <x:c r="Z486" s="15" t="n">
        <x:f>'기준스탯 72종'!D27*H486</x:f>
        <x:v>1.6800000000000004</x:v>
      </x:c>
      <x:c r="AA486" s="15" t="n">
        <x:f>'기준스탯 72종'!E27*H486</x:f>
        <x:v>1.9200000000000004</x:v>
      </x:c>
      <x:c r="AB486" s="15" t="n">
        <x:f>'기준스탯 72종'!F27*H486</x:f>
        <x:v>1.9200000000000004</x:v>
      </x:c>
      <x:c r="AC486" s="15" t="n">
        <x:f>'기준스탯 72종'!G27*H486</x:f>
        <x:v>1.4400000000000004</x:v>
      </x:c>
      <x:c r="AD486" s="15" t="n">
        <x:f>'기준스탯 72종'!H27*H486</x:f>
        <x:v>0.4800000000000001</x:v>
      </x:c>
      <x:c r="AE486" s="15" t="n">
        <x:f>'기준스탯 72종'!I27*H486</x:f>
        <x:v>1.4400000000000004</x:v>
      </x:c>
      <x:c r="AF486" s="15" t="n">
        <x:f>'기준스탯 72종'!J27*H486</x:f>
        <x:v>0.7200000000000002</x:v>
      </x:c>
      <x:c r="AG486" s="15" t="n">
        <x:f>'기준스탯 72종'!K27*H486</x:f>
        <x:v>1.2000000000000002</x:v>
      </x:c>
    </x:row>
    <x:row r="487" ht="28" customHeight="1">
      <x:c r="A487" s="2" t="n">
        <x:v>480</x:v>
      </x:c>
      <x:c r="B487" s="2" t="n">
        <x:v>20</x:v>
      </x:c>
      <x:c r="C487" s="2" t="str">
        <x:v>게자리</x:v>
      </x:c>
      <x:c r="D487" s="2" t="str">
        <x:v>마도사</x:v>
      </x:c>
      <x:c r="E487" s="2" t="n">
        <x:v>5</x:v>
      </x:c>
      <x:c r="F487" s="2" t="n">
        <x:v>1</x:v>
      </x:c>
      <x:c r="G487" s="14" t="n">
        <x:f>('레벨 계산식'!$E$4-E487)*'레벨 계산식'!$B$5</x:f>
        <x:v>0</x:v>
      </x:c>
      <x:c r="H487" s="14" t="n">
        <x:f>('등급 계산식'!$E$4-F487)*'등급 계산식'!$B$5</x:f>
        <x:v>0.24000000000000005</x:v>
      </x:c>
      <x:c r="I487" s="14" t="n">
        <x:f>1-G487-H487</x:f>
        <x:v>0.76</x:v>
      </x:c>
      <x:c r="J487" s="2" t="n">
        <x:f>MAX(1,ROUND('기준스탯 72종'!D27-R487-Z487,0))</x:f>
        <x:v>5</x:v>
      </x:c>
      <x:c r="K487" s="2" t="n">
        <x:f>MAX(1,ROUND('기준스탯 72종'!E27-S487-AA487,0))</x:f>
        <x:v>6</x:v>
      </x:c>
      <x:c r="L487" s="2" t="n">
        <x:f>MAX(1,ROUND('기준스탯 72종'!F27-T487-AB487,0))</x:f>
        <x:v>6</x:v>
      </x:c>
      <x:c r="M487" s="2" t="n">
        <x:f>MAX(1,ROUND('기준스탯 72종'!G27-U487-AC487,0))</x:f>
        <x:v>5</x:v>
      </x:c>
      <x:c r="N487" s="2" t="n">
        <x:f>MAX(0,ROUND('기준스탯 72종'!H27-V487-AD487,0))</x:f>
        <x:v>2</x:v>
      </x:c>
      <x:c r="O487" s="2" t="n">
        <x:f>MAX(0,ROUND('기준스탯 72종'!I27-W487-AE487,0))</x:f>
        <x:v>5</x:v>
      </x:c>
      <x:c r="P487" s="2" t="n">
        <x:f>MAX(0,ROUND('기준스탯 72종'!J27-X487-AF487,0))</x:f>
        <x:v>2</x:v>
      </x:c>
      <x:c r="Q487" s="2" t="n">
        <x:f>MAX(0,ROUND('기준스탯 72종'!K27-Y487-AG487,0))</x:f>
        <x:v>4</x:v>
      </x:c>
      <x:c r="R487" s="15" t="n">
        <x:f>'기준스탯 72종'!D27*G487</x:f>
        <x:v>0</x:v>
      </x:c>
      <x:c r="S487" s="15" t="n">
        <x:f>'기준스탯 72종'!E27*G487</x:f>
        <x:v>0</x:v>
      </x:c>
      <x:c r="T487" s="15" t="n">
        <x:f>'기준스탯 72종'!F27*G487</x:f>
        <x:v>0</x:v>
      </x:c>
      <x:c r="U487" s="15" t="n">
        <x:f>'기준스탯 72종'!G27*G487</x:f>
        <x:v>0</x:v>
      </x:c>
      <x:c r="V487" s="15" t="n">
        <x:f>'기준스탯 72종'!H27*G487</x:f>
        <x:v>0</x:v>
      </x:c>
      <x:c r="W487" s="15" t="n">
        <x:f>'기준스탯 72종'!I27*G487</x:f>
        <x:v>0</x:v>
      </x:c>
      <x:c r="X487" s="15" t="n">
        <x:f>'기준스탯 72종'!J27*G487</x:f>
        <x:v>0</x:v>
      </x:c>
      <x:c r="Y487" s="15" t="n">
        <x:f>'기준스탯 72종'!K27*G487</x:f>
        <x:v>0</x:v>
      </x:c>
      <x:c r="Z487" s="15" t="n">
        <x:f>'기준스탯 72종'!D27*H487</x:f>
        <x:v>1.6800000000000004</x:v>
      </x:c>
      <x:c r="AA487" s="15" t="n">
        <x:f>'기준스탯 72종'!E27*H487</x:f>
        <x:v>1.9200000000000004</x:v>
      </x:c>
      <x:c r="AB487" s="15" t="n">
        <x:f>'기준스탯 72종'!F27*H487</x:f>
        <x:v>1.9200000000000004</x:v>
      </x:c>
      <x:c r="AC487" s="15" t="n">
        <x:f>'기준스탯 72종'!G27*H487</x:f>
        <x:v>1.4400000000000004</x:v>
      </x:c>
      <x:c r="AD487" s="15" t="n">
        <x:f>'기준스탯 72종'!H27*H487</x:f>
        <x:v>0.4800000000000001</x:v>
      </x:c>
      <x:c r="AE487" s="15" t="n">
        <x:f>'기준스탯 72종'!I27*H487</x:f>
        <x:v>1.4400000000000004</x:v>
      </x:c>
      <x:c r="AF487" s="15" t="n">
        <x:f>'기준스탯 72종'!J27*H487</x:f>
        <x:v>0.7200000000000002</x:v>
      </x:c>
      <x:c r="AG487" s="15" t="n">
        <x:f>'기준스탯 72종'!K27*H487</x:f>
        <x:v>1.2000000000000002</x:v>
      </x:c>
    </x:row>
    <x:row r="488" ht="28" customHeight="1">
      <x:c r="A488" s="2" t="n">
        <x:v>481</x:v>
      </x:c>
      <x:c r="B488" s="2" t="n">
        <x:v>20</x:v>
      </x:c>
      <x:c r="C488" s="2" t="str">
        <x:v>게자리</x:v>
      </x:c>
      <x:c r="D488" s="2" t="str">
        <x:v>마도사</x:v>
      </x:c>
      <x:c r="E488" s="2" t="n">
        <x:v>1</x:v>
      </x:c>
      <x:c r="F488" s="2" t="n">
        <x:v>2</x:v>
      </x:c>
      <x:c r="G488" s="14" t="n">
        <x:f>('레벨 계산식'!$E$4-E488)*'레벨 계산식'!$B$5</x:f>
        <x:v>0.5599999999999999</x:v>
      </x:c>
      <x:c r="H488" s="14" t="n">
        <x:f>('등급 계산식'!$E$4-F488)*'등급 계산식'!$B$5</x:f>
        <x:v>0.18000000000000005</x:v>
      </x:c>
      <x:c r="I488" s="14" t="n">
        <x:f>1-G488-H488</x:f>
        <x:v>0.26</x:v>
      </x:c>
      <x:c r="J488" s="2" t="n">
        <x:f>MAX(1,ROUND('기준스탯 72종'!D27-R488-Z488,0))</x:f>
        <x:v>2</x:v>
      </x:c>
      <x:c r="K488" s="2" t="n">
        <x:f>MAX(1,ROUND('기준스탯 72종'!E27-S488-AA488,0))</x:f>
        <x:v>2</x:v>
      </x:c>
      <x:c r="L488" s="2" t="n">
        <x:f>MAX(1,ROUND('기준스탯 72종'!F27-T488-AB488,0))</x:f>
        <x:v>2</x:v>
      </x:c>
      <x:c r="M488" s="2" t="n">
        <x:f>MAX(1,ROUND('기준스탯 72종'!G27-U488-AC488,0))</x:f>
        <x:v>2</x:v>
      </x:c>
      <x:c r="N488" s="2" t="n">
        <x:f>MAX(0,ROUND('기준스탯 72종'!H27-V488-AD488,0))</x:f>
        <x:v>1</x:v>
      </x:c>
      <x:c r="O488" s="2" t="n">
        <x:f>MAX(0,ROUND('기준스탯 72종'!I27-W488-AE488,0))</x:f>
        <x:v>2</x:v>
      </x:c>
      <x:c r="P488" s="2" t="n">
        <x:f>MAX(0,ROUND('기준스탯 72종'!J27-X488-AF488,0))</x:f>
        <x:v>1</x:v>
      </x:c>
      <x:c r="Q488" s="2" t="n">
        <x:f>MAX(0,ROUND('기준스탯 72종'!K27-Y488-AG488,0))</x:f>
        <x:v>1</x:v>
      </x:c>
      <x:c r="R488" s="15" t="n">
        <x:f>'기준스탯 72종'!D27*G488</x:f>
        <x:v>3.9199999999999995</x:v>
      </x:c>
      <x:c r="S488" s="15" t="n">
        <x:f>'기준스탯 72종'!E27*G488</x:f>
        <x:v>4.4799999999999995</x:v>
      </x:c>
      <x:c r="T488" s="15" t="n">
        <x:f>'기준스탯 72종'!F27*G488</x:f>
        <x:v>4.4799999999999995</x:v>
      </x:c>
      <x:c r="U488" s="15" t="n">
        <x:f>'기준스탯 72종'!G27*G488</x:f>
        <x:v>3.3599999999999994</x:v>
      </x:c>
      <x:c r="V488" s="15" t="n">
        <x:f>'기준스탯 72종'!H27*G488</x:f>
        <x:v>1.1199999999999999</x:v>
      </x:c>
      <x:c r="W488" s="15" t="n">
        <x:f>'기준스탯 72종'!I27*G488</x:f>
        <x:v>3.3599999999999994</x:v>
      </x:c>
      <x:c r="X488" s="15" t="n">
        <x:f>'기준스탯 72종'!J27*G488</x:f>
        <x:v>1.6799999999999997</x:v>
      </x:c>
      <x:c r="Y488" s="15" t="n">
        <x:f>'기준스탯 72종'!K27*G488</x:f>
        <x:v>2.8</x:v>
      </x:c>
      <x:c r="Z488" s="15" t="n">
        <x:f>'기준스탯 72종'!D27*H488</x:f>
        <x:v>1.2600000000000002</x:v>
      </x:c>
      <x:c r="AA488" s="15" t="n">
        <x:f>'기준스탯 72종'!E27*H488</x:f>
        <x:v>1.4400000000000004</x:v>
      </x:c>
      <x:c r="AB488" s="15" t="n">
        <x:f>'기준스탯 72종'!F27*H488</x:f>
        <x:v>1.4400000000000004</x:v>
      </x:c>
      <x:c r="AC488" s="15" t="n">
        <x:f>'기준스탯 72종'!G27*H488</x:f>
        <x:v>1.0800000000000003</x:v>
      </x:c>
      <x:c r="AD488" s="15" t="n">
        <x:f>'기준스탯 72종'!H27*H488</x:f>
        <x:v>0.3600000000000001</x:v>
      </x:c>
      <x:c r="AE488" s="15" t="n">
        <x:f>'기준스탯 72종'!I27*H488</x:f>
        <x:v>1.0800000000000003</x:v>
      </x:c>
      <x:c r="AF488" s="15" t="n">
        <x:f>'기준스탯 72종'!J27*H488</x:f>
        <x:v>0.5400000000000001</x:v>
      </x:c>
      <x:c r="AG488" s="15" t="n">
        <x:f>'기준스탯 72종'!K27*H488</x:f>
        <x:v>0.9000000000000002</x:v>
      </x:c>
    </x:row>
    <x:row r="489" ht="28" customHeight="1">
      <x:c r="A489" s="2" t="n">
        <x:v>482</x:v>
      </x:c>
      <x:c r="B489" s="2" t="n">
        <x:v>20</x:v>
      </x:c>
      <x:c r="C489" s="2" t="str">
        <x:v>게자리</x:v>
      </x:c>
      <x:c r="D489" s="2" t="str">
        <x:v>마도사</x:v>
      </x:c>
      <x:c r="E489" s="2" t="n">
        <x:v>2</x:v>
      </x:c>
      <x:c r="F489" s="2" t="n">
        <x:v>2</x:v>
      </x:c>
      <x:c r="G489" s="14" t="n">
        <x:f>('레벨 계산식'!$E$4-E489)*'레벨 계산식'!$B$5</x:f>
        <x:v>0.41999999999999993</x:v>
      </x:c>
      <x:c r="H489" s="14" t="n">
        <x:f>('등급 계산식'!$E$4-F489)*'등급 계산식'!$B$5</x:f>
        <x:v>0.18000000000000005</x:v>
      </x:c>
      <x:c r="I489" s="14" t="n">
        <x:f>1-G489-H489</x:f>
        <x:v>0.4</x:v>
      </x:c>
      <x:c r="J489" s="2" t="n">
        <x:f>MAX(1,ROUND('기준스탯 72종'!D27-R489-Z489,0))</x:f>
        <x:v>3</x:v>
      </x:c>
      <x:c r="K489" s="2" t="n">
        <x:f>MAX(1,ROUND('기준스탯 72종'!E27-S489-AA489,0))</x:f>
        <x:v>3</x:v>
      </x:c>
      <x:c r="L489" s="2" t="n">
        <x:f>MAX(1,ROUND('기준스탯 72종'!F27-T489-AB489,0))</x:f>
        <x:v>3</x:v>
      </x:c>
      <x:c r="M489" s="2" t="n">
        <x:f>MAX(1,ROUND('기준스탯 72종'!G27-U489-AC489,0))</x:f>
        <x:v>2</x:v>
      </x:c>
      <x:c r="N489" s="2" t="n">
        <x:f>MAX(0,ROUND('기준스탯 72종'!H27-V489-AD489,0))</x:f>
        <x:v>1</x:v>
      </x:c>
      <x:c r="O489" s="2" t="n">
        <x:f>MAX(0,ROUND('기준스탯 72종'!I27-W489-AE489,0))</x:f>
        <x:v>2</x:v>
      </x:c>
      <x:c r="P489" s="2" t="n">
        <x:f>MAX(0,ROUND('기준스탯 72종'!J27-X489-AF489,0))</x:f>
        <x:v>1</x:v>
      </x:c>
      <x:c r="Q489" s="2" t="n">
        <x:f>MAX(0,ROUND('기준스탯 72종'!K27-Y489-AG489,0))</x:f>
        <x:v>2</x:v>
      </x:c>
      <x:c r="R489" s="15" t="n">
        <x:f>'기준스탯 72종'!D27*G489</x:f>
        <x:v>2.9399999999999995</x:v>
      </x:c>
      <x:c r="S489" s="15" t="n">
        <x:f>'기준스탯 72종'!E27*G489</x:f>
        <x:v>3.3599999999999994</x:v>
      </x:c>
      <x:c r="T489" s="15" t="n">
        <x:f>'기준스탯 72종'!F27*G489</x:f>
        <x:v>3.3599999999999994</x:v>
      </x:c>
      <x:c r="U489" s="15" t="n">
        <x:f>'기준스탯 72종'!G27*G489</x:f>
        <x:v>2.5199999999999996</x:v>
      </x:c>
      <x:c r="V489" s="15" t="n">
        <x:f>'기준스탯 72종'!H27*G489</x:f>
        <x:v>0.8399999999999999</x:v>
      </x:c>
      <x:c r="W489" s="15" t="n">
        <x:f>'기준스탯 72종'!I27*G489</x:f>
        <x:v>2.5199999999999996</x:v>
      </x:c>
      <x:c r="X489" s="15" t="n">
        <x:f>'기준스탯 72종'!J27*G489</x:f>
        <x:v>1.2599999999999998</x:v>
      </x:c>
      <x:c r="Y489" s="15" t="n">
        <x:f>'기준스탯 72종'!K27*G489</x:f>
        <x:v>2.0999999999999996</x:v>
      </x:c>
      <x:c r="Z489" s="15" t="n">
        <x:f>'기준스탯 72종'!D27*H489</x:f>
        <x:v>1.2600000000000002</x:v>
      </x:c>
      <x:c r="AA489" s="15" t="n">
        <x:f>'기준스탯 72종'!E27*H489</x:f>
        <x:v>1.4400000000000004</x:v>
      </x:c>
      <x:c r="AB489" s="15" t="n">
        <x:f>'기준스탯 72종'!F27*H489</x:f>
        <x:v>1.4400000000000004</x:v>
      </x:c>
      <x:c r="AC489" s="15" t="n">
        <x:f>'기준스탯 72종'!G27*H489</x:f>
        <x:v>1.0800000000000003</x:v>
      </x:c>
      <x:c r="AD489" s="15" t="n">
        <x:f>'기준스탯 72종'!H27*H489</x:f>
        <x:v>0.3600000000000001</x:v>
      </x:c>
      <x:c r="AE489" s="15" t="n">
        <x:f>'기준스탯 72종'!I27*H489</x:f>
        <x:v>1.0800000000000003</x:v>
      </x:c>
      <x:c r="AF489" s="15" t="n">
        <x:f>'기준스탯 72종'!J27*H489</x:f>
        <x:v>0.5400000000000001</x:v>
      </x:c>
      <x:c r="AG489" s="15" t="n">
        <x:f>'기준스탯 72종'!K27*H489</x:f>
        <x:v>0.9000000000000002</x:v>
      </x:c>
    </x:row>
    <x:row r="490" ht="28" customHeight="1">
      <x:c r="A490" s="2" t="n">
        <x:v>483</x:v>
      </x:c>
      <x:c r="B490" s="2" t="n">
        <x:v>20</x:v>
      </x:c>
      <x:c r="C490" s="2" t="str">
        <x:v>게자리</x:v>
      </x:c>
      <x:c r="D490" s="2" t="str">
        <x:v>마도사</x:v>
      </x:c>
      <x:c r="E490" s="2" t="n">
        <x:v>3</x:v>
      </x:c>
      <x:c r="F490" s="2" t="n">
        <x:v>2</x:v>
      </x:c>
      <x:c r="G490" s="14" t="n">
        <x:f>('레벨 계산식'!$E$4-E490)*'레벨 계산식'!$B$5</x:f>
        <x:v>0.27999999999999997</x:v>
      </x:c>
      <x:c r="H490" s="14" t="n">
        <x:f>('등급 계산식'!$E$4-F490)*'등급 계산식'!$B$5</x:f>
        <x:v>0.18000000000000005</x:v>
      </x:c>
      <x:c r="I490" s="14" t="n">
        <x:f>1-G490-H490</x:f>
        <x:v>0.5399999999999999</x:v>
      </x:c>
      <x:c r="J490" s="2" t="n">
        <x:f>MAX(1,ROUND('기준스탯 72종'!D27-R490-Z490,0))</x:f>
        <x:v>4</x:v>
      </x:c>
      <x:c r="K490" s="2" t="n">
        <x:f>MAX(1,ROUND('기준스탯 72종'!E27-S490-AA490,0))</x:f>
        <x:v>4</x:v>
      </x:c>
      <x:c r="L490" s="2" t="n">
        <x:f>MAX(1,ROUND('기준스탯 72종'!F27-T490-AB490,0))</x:f>
        <x:v>4</x:v>
      </x:c>
      <x:c r="M490" s="2" t="n">
        <x:f>MAX(1,ROUND('기준스탯 72종'!G27-U490-AC490,0))</x:f>
        <x:v>3</x:v>
      </x:c>
      <x:c r="N490" s="2" t="n">
        <x:f>MAX(0,ROUND('기준스탯 72종'!H27-V490-AD490,0))</x:f>
        <x:v>1</x:v>
      </x:c>
      <x:c r="O490" s="2" t="n">
        <x:f>MAX(0,ROUND('기준스탯 72종'!I27-W490-AE490,0))</x:f>
        <x:v>3</x:v>
      </x:c>
      <x:c r="P490" s="2" t="n">
        <x:f>MAX(0,ROUND('기준스탯 72종'!J27-X490-AF490,0))</x:f>
        <x:v>2</x:v>
      </x:c>
      <x:c r="Q490" s="2" t="n">
        <x:f>MAX(0,ROUND('기준스탯 72종'!K27-Y490-AG490,0))</x:f>
        <x:v>3</x:v>
      </x:c>
      <x:c r="R490" s="15" t="n">
        <x:f>'기준스탯 72종'!D27*G490</x:f>
        <x:v>1.9599999999999997</x:v>
      </x:c>
      <x:c r="S490" s="15" t="n">
        <x:f>'기준스탯 72종'!E27*G490</x:f>
        <x:v>2.2399999999999998</x:v>
      </x:c>
      <x:c r="T490" s="15" t="n">
        <x:f>'기준스탯 72종'!F27*G490</x:f>
        <x:v>2.2399999999999998</x:v>
      </x:c>
      <x:c r="U490" s="15" t="n">
        <x:f>'기준스탯 72종'!G27*G490</x:f>
        <x:v>1.6799999999999997</x:v>
      </x:c>
      <x:c r="V490" s="15" t="n">
        <x:f>'기준스탯 72종'!H27*G490</x:f>
        <x:v>0.5599999999999999</x:v>
      </x:c>
      <x:c r="W490" s="15" t="n">
        <x:f>'기준스탯 72종'!I27*G490</x:f>
        <x:v>1.6799999999999997</x:v>
      </x:c>
      <x:c r="X490" s="15" t="n">
        <x:f>'기준스탯 72종'!J27*G490</x:f>
        <x:v>0.8399999999999999</x:v>
      </x:c>
      <x:c r="Y490" s="15" t="n">
        <x:f>'기준스탯 72종'!K27*G490</x:f>
        <x:v>1.4</x:v>
      </x:c>
      <x:c r="Z490" s="15" t="n">
        <x:f>'기준스탯 72종'!D27*H490</x:f>
        <x:v>1.2600000000000002</x:v>
      </x:c>
      <x:c r="AA490" s="15" t="n">
        <x:f>'기준스탯 72종'!E27*H490</x:f>
        <x:v>1.4400000000000004</x:v>
      </x:c>
      <x:c r="AB490" s="15" t="n">
        <x:f>'기준스탯 72종'!F27*H490</x:f>
        <x:v>1.4400000000000004</x:v>
      </x:c>
      <x:c r="AC490" s="15" t="n">
        <x:f>'기준스탯 72종'!G27*H490</x:f>
        <x:v>1.0800000000000003</x:v>
      </x:c>
      <x:c r="AD490" s="15" t="n">
        <x:f>'기준스탯 72종'!H27*H490</x:f>
        <x:v>0.3600000000000001</x:v>
      </x:c>
      <x:c r="AE490" s="15" t="n">
        <x:f>'기준스탯 72종'!I27*H490</x:f>
        <x:v>1.0800000000000003</x:v>
      </x:c>
      <x:c r="AF490" s="15" t="n">
        <x:f>'기준스탯 72종'!J27*H490</x:f>
        <x:v>0.5400000000000001</x:v>
      </x:c>
      <x:c r="AG490" s="15" t="n">
        <x:f>'기준스탯 72종'!K27*H490</x:f>
        <x:v>0.9000000000000002</x:v>
      </x:c>
    </x:row>
    <x:row r="491" ht="28" customHeight="1">
      <x:c r="A491" s="2" t="n">
        <x:v>484</x:v>
      </x:c>
      <x:c r="B491" s="2" t="n">
        <x:v>20</x:v>
      </x:c>
      <x:c r="C491" s="2" t="str">
        <x:v>게자리</x:v>
      </x:c>
      <x:c r="D491" s="2" t="str">
        <x:v>마도사</x:v>
      </x:c>
      <x:c r="E491" s="2" t="n">
        <x:v>4</x:v>
      </x:c>
      <x:c r="F491" s="2" t="n">
        <x:v>2</x:v>
      </x:c>
      <x:c r="G491" s="14" t="n">
        <x:f>('레벨 계산식'!$E$4-E491)*'레벨 계산식'!$B$5</x:f>
        <x:v>0.13999999999999999</x:v>
      </x:c>
      <x:c r="H491" s="14" t="n">
        <x:f>('등급 계산식'!$E$4-F491)*'등급 계산식'!$B$5</x:f>
        <x:v>0.18000000000000005</x:v>
      </x:c>
      <x:c r="I491" s="14" t="n">
        <x:f>1-G491-H491</x:f>
        <x:v>0.6799999999999999</x:v>
      </x:c>
      <x:c r="J491" s="2" t="n">
        <x:f>MAX(1,ROUND('기준스탯 72종'!D27-R491-Z491,0))</x:f>
        <x:v>5</x:v>
      </x:c>
      <x:c r="K491" s="2" t="n">
        <x:f>MAX(1,ROUND('기준스탯 72종'!E27-S491-AA491,0))</x:f>
        <x:v>5</x:v>
      </x:c>
      <x:c r="L491" s="2" t="n">
        <x:f>MAX(1,ROUND('기준스탯 72종'!F27-T491-AB491,0))</x:f>
        <x:v>5</x:v>
      </x:c>
      <x:c r="M491" s="2" t="n">
        <x:f>MAX(1,ROUND('기준스탯 72종'!G27-U491-AC491,0))</x:f>
        <x:v>4</x:v>
      </x:c>
      <x:c r="N491" s="2" t="n">
        <x:f>MAX(0,ROUND('기준스탯 72종'!H27-V491-AD491,0))</x:f>
        <x:v>1</x:v>
      </x:c>
      <x:c r="O491" s="2" t="n">
        <x:f>MAX(0,ROUND('기준스탯 72종'!I27-W491-AE491,0))</x:f>
        <x:v>4</x:v>
      </x:c>
      <x:c r="P491" s="2" t="n">
        <x:f>MAX(0,ROUND('기준스탯 72종'!J27-X491-AF491,0))</x:f>
        <x:v>2</x:v>
      </x:c>
      <x:c r="Q491" s="2" t="n">
        <x:f>MAX(0,ROUND('기준스탯 72종'!K27-Y491-AG491,0))</x:f>
        <x:v>3</x:v>
      </x:c>
      <x:c r="R491" s="15" t="n">
        <x:f>'기준스탯 72종'!D27*G491</x:f>
        <x:v>0.9799999999999999</x:v>
      </x:c>
      <x:c r="S491" s="15" t="n">
        <x:f>'기준스탯 72종'!E27*G491</x:f>
        <x:v>1.1199999999999999</x:v>
      </x:c>
      <x:c r="T491" s="15" t="n">
        <x:f>'기준스탯 72종'!F27*G491</x:f>
        <x:v>1.1199999999999999</x:v>
      </x:c>
      <x:c r="U491" s="15" t="n">
        <x:f>'기준스탯 72종'!G27*G491</x:f>
        <x:v>0.8399999999999999</x:v>
      </x:c>
      <x:c r="V491" s="15" t="n">
        <x:f>'기준스탯 72종'!H27*G491</x:f>
        <x:v>0.27999999999999997</x:v>
      </x:c>
      <x:c r="W491" s="15" t="n">
        <x:f>'기준스탯 72종'!I27*G491</x:f>
        <x:v>0.8399999999999999</x:v>
      </x:c>
      <x:c r="X491" s="15" t="n">
        <x:f>'기준스탯 72종'!J27*G491</x:f>
        <x:v>0.41999999999999993</x:v>
      </x:c>
      <x:c r="Y491" s="15" t="n">
        <x:f>'기준스탯 72종'!K27*G491</x:f>
        <x:v>0.7</x:v>
      </x:c>
      <x:c r="Z491" s="15" t="n">
        <x:f>'기준스탯 72종'!D27*H491</x:f>
        <x:v>1.2600000000000002</x:v>
      </x:c>
      <x:c r="AA491" s="15" t="n">
        <x:f>'기준스탯 72종'!E27*H491</x:f>
        <x:v>1.4400000000000004</x:v>
      </x:c>
      <x:c r="AB491" s="15" t="n">
        <x:f>'기준스탯 72종'!F27*H491</x:f>
        <x:v>1.4400000000000004</x:v>
      </x:c>
      <x:c r="AC491" s="15" t="n">
        <x:f>'기준스탯 72종'!G27*H491</x:f>
        <x:v>1.0800000000000003</x:v>
      </x:c>
      <x:c r="AD491" s="15" t="n">
        <x:f>'기준스탯 72종'!H27*H491</x:f>
        <x:v>0.3600000000000001</x:v>
      </x:c>
      <x:c r="AE491" s="15" t="n">
        <x:f>'기준스탯 72종'!I27*H491</x:f>
        <x:v>1.0800000000000003</x:v>
      </x:c>
      <x:c r="AF491" s="15" t="n">
        <x:f>'기준스탯 72종'!J27*H491</x:f>
        <x:v>0.5400000000000001</x:v>
      </x:c>
      <x:c r="AG491" s="15" t="n">
        <x:f>'기준스탯 72종'!K27*H491</x:f>
        <x:v>0.9000000000000002</x:v>
      </x:c>
    </x:row>
    <x:row r="492" ht="28" customHeight="1">
      <x:c r="A492" s="2" t="n">
        <x:v>485</x:v>
      </x:c>
      <x:c r="B492" s="2" t="n">
        <x:v>20</x:v>
      </x:c>
      <x:c r="C492" s="2" t="str">
        <x:v>게자리</x:v>
      </x:c>
      <x:c r="D492" s="2" t="str">
        <x:v>마도사</x:v>
      </x:c>
      <x:c r="E492" s="2" t="n">
        <x:v>5</x:v>
      </x:c>
      <x:c r="F492" s="2" t="n">
        <x:v>2</x:v>
      </x:c>
      <x:c r="G492" s="14" t="n">
        <x:f>('레벨 계산식'!$E$4-E492)*'레벨 계산식'!$B$5</x:f>
        <x:v>0</x:v>
      </x:c>
      <x:c r="H492" s="14" t="n">
        <x:f>('등급 계산식'!$E$4-F492)*'등급 계산식'!$B$5</x:f>
        <x:v>0.18000000000000005</x:v>
      </x:c>
      <x:c r="I492" s="14" t="n">
        <x:f>1-G492-H492</x:f>
        <x:v>0.82</x:v>
      </x:c>
      <x:c r="J492" s="2" t="n">
        <x:f>MAX(1,ROUND('기준스탯 72종'!D27-R492-Z492,0))</x:f>
        <x:v>6</x:v>
      </x:c>
      <x:c r="K492" s="2" t="n">
        <x:f>MAX(1,ROUND('기준스탯 72종'!E27-S492-AA492,0))</x:f>
        <x:v>7</x:v>
      </x:c>
      <x:c r="L492" s="2" t="n">
        <x:f>MAX(1,ROUND('기준스탯 72종'!F27-T492-AB492,0))</x:f>
        <x:v>7</x:v>
      </x:c>
      <x:c r="M492" s="2" t="n">
        <x:f>MAX(1,ROUND('기준스탯 72종'!G27-U492-AC492,0))</x:f>
        <x:v>5</x:v>
      </x:c>
      <x:c r="N492" s="2" t="n">
        <x:f>MAX(0,ROUND('기준스탯 72종'!H27-V492-AD492,0))</x:f>
        <x:v>2</x:v>
      </x:c>
      <x:c r="O492" s="2" t="n">
        <x:f>MAX(0,ROUND('기준스탯 72종'!I27-W492-AE492,0))</x:f>
        <x:v>5</x:v>
      </x:c>
      <x:c r="P492" s="2" t="n">
        <x:f>MAX(0,ROUND('기준스탯 72종'!J27-X492-AF492,0))</x:f>
        <x:v>2</x:v>
      </x:c>
      <x:c r="Q492" s="2" t="n">
        <x:f>MAX(0,ROUND('기준스탯 72종'!K27-Y492-AG492,0))</x:f>
        <x:v>4</x:v>
      </x:c>
      <x:c r="R492" s="15" t="n">
        <x:f>'기준스탯 72종'!D27*G492</x:f>
        <x:v>0</x:v>
      </x:c>
      <x:c r="S492" s="15" t="n">
        <x:f>'기준스탯 72종'!E27*G492</x:f>
        <x:v>0</x:v>
      </x:c>
      <x:c r="T492" s="15" t="n">
        <x:f>'기준스탯 72종'!F27*G492</x:f>
        <x:v>0</x:v>
      </x:c>
      <x:c r="U492" s="15" t="n">
        <x:f>'기준스탯 72종'!G27*G492</x:f>
        <x:v>0</x:v>
      </x:c>
      <x:c r="V492" s="15" t="n">
        <x:f>'기준스탯 72종'!H27*G492</x:f>
        <x:v>0</x:v>
      </x:c>
      <x:c r="W492" s="15" t="n">
        <x:f>'기준스탯 72종'!I27*G492</x:f>
        <x:v>0</x:v>
      </x:c>
      <x:c r="X492" s="15" t="n">
        <x:f>'기준스탯 72종'!J27*G492</x:f>
        <x:v>0</x:v>
      </x:c>
      <x:c r="Y492" s="15" t="n">
        <x:f>'기준스탯 72종'!K27*G492</x:f>
        <x:v>0</x:v>
      </x:c>
      <x:c r="Z492" s="15" t="n">
        <x:f>'기준스탯 72종'!D27*H492</x:f>
        <x:v>1.2600000000000002</x:v>
      </x:c>
      <x:c r="AA492" s="15" t="n">
        <x:f>'기준스탯 72종'!E27*H492</x:f>
        <x:v>1.4400000000000004</x:v>
      </x:c>
      <x:c r="AB492" s="15" t="n">
        <x:f>'기준스탯 72종'!F27*H492</x:f>
        <x:v>1.4400000000000004</x:v>
      </x:c>
      <x:c r="AC492" s="15" t="n">
        <x:f>'기준스탯 72종'!G27*H492</x:f>
        <x:v>1.0800000000000003</x:v>
      </x:c>
      <x:c r="AD492" s="15" t="n">
        <x:f>'기준스탯 72종'!H27*H492</x:f>
        <x:v>0.3600000000000001</x:v>
      </x:c>
      <x:c r="AE492" s="15" t="n">
        <x:f>'기준스탯 72종'!I27*H492</x:f>
        <x:v>1.0800000000000003</x:v>
      </x:c>
      <x:c r="AF492" s="15" t="n">
        <x:f>'기준스탯 72종'!J27*H492</x:f>
        <x:v>0.5400000000000001</x:v>
      </x:c>
      <x:c r="AG492" s="15" t="n">
        <x:f>'기준스탯 72종'!K27*H492</x:f>
        <x:v>0.9000000000000002</x:v>
      </x:c>
    </x:row>
    <x:row r="493" ht="28" customHeight="1">
      <x:c r="A493" s="2" t="n">
        <x:v>486</x:v>
      </x:c>
      <x:c r="B493" s="2" t="n">
        <x:v>20</x:v>
      </x:c>
      <x:c r="C493" s="2" t="str">
        <x:v>게자리</x:v>
      </x:c>
      <x:c r="D493" s="2" t="str">
        <x:v>마도사</x:v>
      </x:c>
      <x:c r="E493" s="2" t="n">
        <x:v>1</x:v>
      </x:c>
      <x:c r="F493" s="2" t="n">
        <x:v>3</x:v>
      </x:c>
      <x:c r="G493" s="14" t="n">
        <x:f>('레벨 계산식'!$E$4-E493)*'레벨 계산식'!$B$5</x:f>
        <x:v>0.5599999999999999</x:v>
      </x:c>
      <x:c r="H493" s="14" t="n">
        <x:f>('등급 계산식'!$E$4-F493)*'등급 계산식'!$B$5</x:f>
        <x:v>0.12000000000000002</x:v>
      </x:c>
      <x:c r="I493" s="14" t="n">
        <x:f>1-G493-H493</x:f>
        <x:v>0.32000000000000006</x:v>
      </x:c>
      <x:c r="J493" s="2" t="n">
        <x:f>MAX(1,ROUND('기준스탯 72종'!D27-R493-Z493,0))</x:f>
        <x:v>2</x:v>
      </x:c>
      <x:c r="K493" s="2" t="n">
        <x:f>MAX(1,ROUND('기준스탯 72종'!E27-S493-AA493,0))</x:f>
        <x:v>3</x:v>
      </x:c>
      <x:c r="L493" s="2" t="n">
        <x:f>MAX(1,ROUND('기준스탯 72종'!F27-T493-AB493,0))</x:f>
        <x:v>3</x:v>
      </x:c>
      <x:c r="M493" s="2" t="n">
        <x:f>MAX(1,ROUND('기준스탯 72종'!G27-U493-AC493,0))</x:f>
        <x:v>2</x:v>
      </x:c>
      <x:c r="N493" s="2" t="n">
        <x:f>MAX(0,ROUND('기준스탯 72종'!H27-V493-AD493,0))</x:f>
        <x:v>1</x:v>
      </x:c>
      <x:c r="O493" s="2" t="n">
        <x:f>MAX(0,ROUND('기준스탯 72종'!I27-W493-AE493,0))</x:f>
        <x:v>2</x:v>
      </x:c>
      <x:c r="P493" s="2" t="n">
        <x:f>MAX(0,ROUND('기준스탯 72종'!J27-X493-AF493,0))</x:f>
        <x:v>1</x:v>
      </x:c>
      <x:c r="Q493" s="2" t="n">
        <x:f>MAX(0,ROUND('기준스탯 72종'!K27-Y493-AG493,0))</x:f>
        <x:v>2</x:v>
      </x:c>
      <x:c r="R493" s="15" t="n">
        <x:f>'기준스탯 72종'!D27*G493</x:f>
        <x:v>3.9199999999999995</x:v>
      </x:c>
      <x:c r="S493" s="15" t="n">
        <x:f>'기준스탯 72종'!E27*G493</x:f>
        <x:v>4.4799999999999995</x:v>
      </x:c>
      <x:c r="T493" s="15" t="n">
        <x:f>'기준스탯 72종'!F27*G493</x:f>
        <x:v>4.4799999999999995</x:v>
      </x:c>
      <x:c r="U493" s="15" t="n">
        <x:f>'기준스탯 72종'!G27*G493</x:f>
        <x:v>3.3599999999999994</x:v>
      </x:c>
      <x:c r="V493" s="15" t="n">
        <x:f>'기준스탯 72종'!H27*G493</x:f>
        <x:v>1.1199999999999999</x:v>
      </x:c>
      <x:c r="W493" s="15" t="n">
        <x:f>'기준스탯 72종'!I27*G493</x:f>
        <x:v>3.3599999999999994</x:v>
      </x:c>
      <x:c r="X493" s="15" t="n">
        <x:f>'기준스탯 72종'!J27*G493</x:f>
        <x:v>1.6799999999999997</x:v>
      </x:c>
      <x:c r="Y493" s="15" t="n">
        <x:f>'기준스탯 72종'!K27*G493</x:f>
        <x:v>2.8</x:v>
      </x:c>
      <x:c r="Z493" s="15" t="n">
        <x:f>'기준스탯 72종'!D27*H493</x:f>
        <x:v>0.8400000000000002</x:v>
      </x:c>
      <x:c r="AA493" s="15" t="n">
        <x:f>'기준스탯 72종'!E27*H493</x:f>
        <x:v>0.9600000000000002</x:v>
      </x:c>
      <x:c r="AB493" s="15" t="n">
        <x:f>'기준스탯 72종'!F27*H493</x:f>
        <x:v>0.9600000000000002</x:v>
      </x:c>
      <x:c r="AC493" s="15" t="n">
        <x:f>'기준스탯 72종'!G27*H493</x:f>
        <x:v>0.7200000000000002</x:v>
      </x:c>
      <x:c r="AD493" s="15" t="n">
        <x:f>'기준스탯 72종'!H27*H493</x:f>
        <x:v>0.24000000000000005</x:v>
      </x:c>
      <x:c r="AE493" s="15" t="n">
        <x:f>'기준스탯 72종'!I27*H493</x:f>
        <x:v>0.7200000000000002</x:v>
      </x:c>
      <x:c r="AF493" s="15" t="n">
        <x:f>'기준스탯 72종'!J27*H493</x:f>
        <x:v>0.3600000000000001</x:v>
      </x:c>
      <x:c r="AG493" s="15" t="n">
        <x:f>'기준스탯 72종'!K27*H493</x:f>
        <x:v>0.6000000000000001</x:v>
      </x:c>
    </x:row>
    <x:row r="494" ht="28" customHeight="1">
      <x:c r="A494" s="2" t="n">
        <x:v>487</x:v>
      </x:c>
      <x:c r="B494" s="2" t="n">
        <x:v>20</x:v>
      </x:c>
      <x:c r="C494" s="2" t="str">
        <x:v>게자리</x:v>
      </x:c>
      <x:c r="D494" s="2" t="str">
        <x:v>마도사</x:v>
      </x:c>
      <x:c r="E494" s="2" t="n">
        <x:v>2</x:v>
      </x:c>
      <x:c r="F494" s="2" t="n">
        <x:v>3</x:v>
      </x:c>
      <x:c r="G494" s="14" t="n">
        <x:f>('레벨 계산식'!$E$4-E494)*'레벨 계산식'!$B$5</x:f>
        <x:v>0.41999999999999993</x:v>
      </x:c>
      <x:c r="H494" s="14" t="n">
        <x:f>('등급 계산식'!$E$4-F494)*'등급 계산식'!$B$5</x:f>
        <x:v>0.12000000000000002</x:v>
      </x:c>
      <x:c r="I494" s="14" t="n">
        <x:f>1-G494-H494</x:f>
        <x:v>0.4600000000000001</x:v>
      </x:c>
      <x:c r="J494" s="2" t="n">
        <x:f>MAX(1,ROUND('기준스탯 72종'!D27-R494-Z494,0))</x:f>
        <x:v>3</x:v>
      </x:c>
      <x:c r="K494" s="2" t="n">
        <x:f>MAX(1,ROUND('기준스탯 72종'!E27-S494-AA494,0))</x:f>
        <x:v>4</x:v>
      </x:c>
      <x:c r="L494" s="2" t="n">
        <x:f>MAX(1,ROUND('기준스탯 72종'!F27-T494-AB494,0))</x:f>
        <x:v>4</x:v>
      </x:c>
      <x:c r="M494" s="2" t="n">
        <x:f>MAX(1,ROUND('기준스탯 72종'!G27-U494-AC494,0))</x:f>
        <x:v>3</x:v>
      </x:c>
      <x:c r="N494" s="2" t="n">
        <x:f>MAX(0,ROUND('기준스탯 72종'!H27-V494-AD494,0))</x:f>
        <x:v>1</x:v>
      </x:c>
      <x:c r="O494" s="2" t="n">
        <x:f>MAX(0,ROUND('기준스탯 72종'!I27-W494-AE494,0))</x:f>
        <x:v>3</x:v>
      </x:c>
      <x:c r="P494" s="2" t="n">
        <x:f>MAX(0,ROUND('기준스탯 72종'!J27-X494-AF494,0))</x:f>
        <x:v>1</x:v>
      </x:c>
      <x:c r="Q494" s="2" t="n">
        <x:f>MAX(0,ROUND('기준스탯 72종'!K27-Y494-AG494,0))</x:f>
        <x:v>2</x:v>
      </x:c>
      <x:c r="R494" s="15" t="n">
        <x:f>'기준스탯 72종'!D27*G494</x:f>
        <x:v>2.9399999999999995</x:v>
      </x:c>
      <x:c r="S494" s="15" t="n">
        <x:f>'기준스탯 72종'!E27*G494</x:f>
        <x:v>3.3599999999999994</x:v>
      </x:c>
      <x:c r="T494" s="15" t="n">
        <x:f>'기준스탯 72종'!F27*G494</x:f>
        <x:v>3.3599999999999994</x:v>
      </x:c>
      <x:c r="U494" s="15" t="n">
        <x:f>'기준스탯 72종'!G27*G494</x:f>
        <x:v>2.5199999999999996</x:v>
      </x:c>
      <x:c r="V494" s="15" t="n">
        <x:f>'기준스탯 72종'!H27*G494</x:f>
        <x:v>0.8399999999999999</x:v>
      </x:c>
      <x:c r="W494" s="15" t="n">
        <x:f>'기준스탯 72종'!I27*G494</x:f>
        <x:v>2.5199999999999996</x:v>
      </x:c>
      <x:c r="X494" s="15" t="n">
        <x:f>'기준스탯 72종'!J27*G494</x:f>
        <x:v>1.2599999999999998</x:v>
      </x:c>
      <x:c r="Y494" s="15" t="n">
        <x:f>'기준스탯 72종'!K27*G494</x:f>
        <x:v>2.0999999999999996</x:v>
      </x:c>
      <x:c r="Z494" s="15" t="n">
        <x:f>'기준스탯 72종'!D27*H494</x:f>
        <x:v>0.8400000000000002</x:v>
      </x:c>
      <x:c r="AA494" s="15" t="n">
        <x:f>'기준스탯 72종'!E27*H494</x:f>
        <x:v>0.9600000000000002</x:v>
      </x:c>
      <x:c r="AB494" s="15" t="n">
        <x:f>'기준스탯 72종'!F27*H494</x:f>
        <x:v>0.9600000000000002</x:v>
      </x:c>
      <x:c r="AC494" s="15" t="n">
        <x:f>'기준스탯 72종'!G27*H494</x:f>
        <x:v>0.7200000000000002</x:v>
      </x:c>
      <x:c r="AD494" s="15" t="n">
        <x:f>'기준스탯 72종'!H27*H494</x:f>
        <x:v>0.24000000000000005</x:v>
      </x:c>
      <x:c r="AE494" s="15" t="n">
        <x:f>'기준스탯 72종'!I27*H494</x:f>
        <x:v>0.7200000000000002</x:v>
      </x:c>
      <x:c r="AF494" s="15" t="n">
        <x:f>'기준스탯 72종'!J27*H494</x:f>
        <x:v>0.3600000000000001</x:v>
      </x:c>
      <x:c r="AG494" s="15" t="n">
        <x:f>'기준스탯 72종'!K27*H494</x:f>
        <x:v>0.6000000000000001</x:v>
      </x:c>
    </x:row>
    <x:row r="495" ht="28" customHeight="1">
      <x:c r="A495" s="2" t="n">
        <x:v>488</x:v>
      </x:c>
      <x:c r="B495" s="2" t="n">
        <x:v>20</x:v>
      </x:c>
      <x:c r="C495" s="2" t="str">
        <x:v>게자리</x:v>
      </x:c>
      <x:c r="D495" s="2" t="str">
        <x:v>마도사</x:v>
      </x:c>
      <x:c r="E495" s="2" t="n">
        <x:v>3</x:v>
      </x:c>
      <x:c r="F495" s="2" t="n">
        <x:v>3</x:v>
      </x:c>
      <x:c r="G495" s="14" t="n">
        <x:f>('레벨 계산식'!$E$4-E495)*'레벨 계산식'!$B$5</x:f>
        <x:v>0.27999999999999997</x:v>
      </x:c>
      <x:c r="H495" s="14" t="n">
        <x:f>('등급 계산식'!$E$4-F495)*'등급 계산식'!$B$5</x:f>
        <x:v>0.12000000000000002</x:v>
      </x:c>
      <x:c r="I495" s="14" t="n">
        <x:f>1-G495-H495</x:f>
        <x:v>0.6</x:v>
      </x:c>
      <x:c r="J495" s="2" t="n">
        <x:f>MAX(1,ROUND('기준스탯 72종'!D27-R495-Z495,0))</x:f>
        <x:v>4</x:v>
      </x:c>
      <x:c r="K495" s="2" t="n">
        <x:f>MAX(1,ROUND('기준스탯 72종'!E27-S495-AA495,0))</x:f>
        <x:v>5</x:v>
      </x:c>
      <x:c r="L495" s="2" t="n">
        <x:f>MAX(1,ROUND('기준스탯 72종'!F27-T495-AB495,0))</x:f>
        <x:v>5</x:v>
      </x:c>
      <x:c r="M495" s="2" t="n">
        <x:f>MAX(1,ROUND('기준스탯 72종'!G27-U495-AC495,0))</x:f>
        <x:v>4</x:v>
      </x:c>
      <x:c r="N495" s="2" t="n">
        <x:f>MAX(0,ROUND('기준스탯 72종'!H27-V495-AD495,0))</x:f>
        <x:v>1</x:v>
      </x:c>
      <x:c r="O495" s="2" t="n">
        <x:f>MAX(0,ROUND('기준스탯 72종'!I27-W495-AE495,0))</x:f>
        <x:v>4</x:v>
      </x:c>
      <x:c r="P495" s="2" t="n">
        <x:f>MAX(0,ROUND('기준스탯 72종'!J27-X495-AF495,0))</x:f>
        <x:v>2</x:v>
      </x:c>
      <x:c r="Q495" s="2" t="n">
        <x:f>MAX(0,ROUND('기준스탯 72종'!K27-Y495-AG495,0))</x:f>
        <x:v>3</x:v>
      </x:c>
      <x:c r="R495" s="15" t="n">
        <x:f>'기준스탯 72종'!D27*G495</x:f>
        <x:v>1.9599999999999997</x:v>
      </x:c>
      <x:c r="S495" s="15" t="n">
        <x:f>'기준스탯 72종'!E27*G495</x:f>
        <x:v>2.2399999999999998</x:v>
      </x:c>
      <x:c r="T495" s="15" t="n">
        <x:f>'기준스탯 72종'!F27*G495</x:f>
        <x:v>2.2399999999999998</x:v>
      </x:c>
      <x:c r="U495" s="15" t="n">
        <x:f>'기준스탯 72종'!G27*G495</x:f>
        <x:v>1.6799999999999997</x:v>
      </x:c>
      <x:c r="V495" s="15" t="n">
        <x:f>'기준스탯 72종'!H27*G495</x:f>
        <x:v>0.5599999999999999</x:v>
      </x:c>
      <x:c r="W495" s="15" t="n">
        <x:f>'기준스탯 72종'!I27*G495</x:f>
        <x:v>1.6799999999999997</x:v>
      </x:c>
      <x:c r="X495" s="15" t="n">
        <x:f>'기준스탯 72종'!J27*G495</x:f>
        <x:v>0.8399999999999999</x:v>
      </x:c>
      <x:c r="Y495" s="15" t="n">
        <x:f>'기준스탯 72종'!K27*G495</x:f>
        <x:v>1.4</x:v>
      </x:c>
      <x:c r="Z495" s="15" t="n">
        <x:f>'기준스탯 72종'!D27*H495</x:f>
        <x:v>0.8400000000000002</x:v>
      </x:c>
      <x:c r="AA495" s="15" t="n">
        <x:f>'기준스탯 72종'!E27*H495</x:f>
        <x:v>0.9600000000000002</x:v>
      </x:c>
      <x:c r="AB495" s="15" t="n">
        <x:f>'기준스탯 72종'!F27*H495</x:f>
        <x:v>0.9600000000000002</x:v>
      </x:c>
      <x:c r="AC495" s="15" t="n">
        <x:f>'기준스탯 72종'!G27*H495</x:f>
        <x:v>0.7200000000000002</x:v>
      </x:c>
      <x:c r="AD495" s="15" t="n">
        <x:f>'기준스탯 72종'!H27*H495</x:f>
        <x:v>0.24000000000000005</x:v>
      </x:c>
      <x:c r="AE495" s="15" t="n">
        <x:f>'기준스탯 72종'!I27*H495</x:f>
        <x:v>0.7200000000000002</x:v>
      </x:c>
      <x:c r="AF495" s="15" t="n">
        <x:f>'기준스탯 72종'!J27*H495</x:f>
        <x:v>0.3600000000000001</x:v>
      </x:c>
      <x:c r="AG495" s="15" t="n">
        <x:f>'기준스탯 72종'!K27*H495</x:f>
        <x:v>0.6000000000000001</x:v>
      </x:c>
    </x:row>
    <x:row r="496" ht="28" customHeight="1">
      <x:c r="A496" s="2" t="n">
        <x:v>489</x:v>
      </x:c>
      <x:c r="B496" s="2" t="n">
        <x:v>20</x:v>
      </x:c>
      <x:c r="C496" s="2" t="str">
        <x:v>게자리</x:v>
      </x:c>
      <x:c r="D496" s="2" t="str">
        <x:v>마도사</x:v>
      </x:c>
      <x:c r="E496" s="2" t="n">
        <x:v>4</x:v>
      </x:c>
      <x:c r="F496" s="2" t="n">
        <x:v>3</x:v>
      </x:c>
      <x:c r="G496" s="14" t="n">
        <x:f>('레벨 계산식'!$E$4-E496)*'레벨 계산식'!$B$5</x:f>
        <x:v>0.13999999999999999</x:v>
      </x:c>
      <x:c r="H496" s="14" t="n">
        <x:f>('등급 계산식'!$E$4-F496)*'등급 계산식'!$B$5</x:f>
        <x:v>0.12000000000000002</x:v>
      </x:c>
      <x:c r="I496" s="14" t="n">
        <x:f>1-G496-H496</x:f>
        <x:v>0.74</x:v>
      </x:c>
      <x:c r="J496" s="2" t="n">
        <x:f>MAX(1,ROUND('기준스탯 72종'!D27-R496-Z496,0))</x:f>
        <x:v>5</x:v>
      </x:c>
      <x:c r="K496" s="2" t="n">
        <x:f>MAX(1,ROUND('기준스탯 72종'!E27-S496-AA496,0))</x:f>
        <x:v>6</x:v>
      </x:c>
      <x:c r="L496" s="2" t="n">
        <x:f>MAX(1,ROUND('기준스탯 72종'!F27-T496-AB496,0))</x:f>
        <x:v>6</x:v>
      </x:c>
      <x:c r="M496" s="2" t="n">
        <x:f>MAX(1,ROUND('기준스탯 72종'!G27-U496-AC496,0))</x:f>
        <x:v>4</x:v>
      </x:c>
      <x:c r="N496" s="2" t="n">
        <x:f>MAX(0,ROUND('기준스탯 72종'!H27-V496-AD496,0))</x:f>
        <x:v>1</x:v>
      </x:c>
      <x:c r="O496" s="2" t="n">
        <x:f>MAX(0,ROUND('기준스탯 72종'!I27-W496-AE496,0))</x:f>
        <x:v>4</x:v>
      </x:c>
      <x:c r="P496" s="2" t="n">
        <x:f>MAX(0,ROUND('기준스탯 72종'!J27-X496-AF496,0))</x:f>
        <x:v>2</x:v>
      </x:c>
      <x:c r="Q496" s="2" t="n">
        <x:f>MAX(0,ROUND('기준스탯 72종'!K27-Y496-AG496,0))</x:f>
        <x:v>4</x:v>
      </x:c>
      <x:c r="R496" s="15" t="n">
        <x:f>'기준스탯 72종'!D27*G496</x:f>
        <x:v>0.9799999999999999</x:v>
      </x:c>
      <x:c r="S496" s="15" t="n">
        <x:f>'기준스탯 72종'!E27*G496</x:f>
        <x:v>1.1199999999999999</x:v>
      </x:c>
      <x:c r="T496" s="15" t="n">
        <x:f>'기준스탯 72종'!F27*G496</x:f>
        <x:v>1.1199999999999999</x:v>
      </x:c>
      <x:c r="U496" s="15" t="n">
        <x:f>'기준스탯 72종'!G27*G496</x:f>
        <x:v>0.8399999999999999</x:v>
      </x:c>
      <x:c r="V496" s="15" t="n">
        <x:f>'기준스탯 72종'!H27*G496</x:f>
        <x:v>0.27999999999999997</x:v>
      </x:c>
      <x:c r="W496" s="15" t="n">
        <x:f>'기준스탯 72종'!I27*G496</x:f>
        <x:v>0.8399999999999999</x:v>
      </x:c>
      <x:c r="X496" s="15" t="n">
        <x:f>'기준스탯 72종'!J27*G496</x:f>
        <x:v>0.41999999999999993</x:v>
      </x:c>
      <x:c r="Y496" s="15" t="n">
        <x:f>'기준스탯 72종'!K27*G496</x:f>
        <x:v>0.7</x:v>
      </x:c>
      <x:c r="Z496" s="15" t="n">
        <x:f>'기준스탯 72종'!D27*H496</x:f>
        <x:v>0.8400000000000002</x:v>
      </x:c>
      <x:c r="AA496" s="15" t="n">
        <x:f>'기준스탯 72종'!E27*H496</x:f>
        <x:v>0.9600000000000002</x:v>
      </x:c>
      <x:c r="AB496" s="15" t="n">
        <x:f>'기준스탯 72종'!F27*H496</x:f>
        <x:v>0.9600000000000002</x:v>
      </x:c>
      <x:c r="AC496" s="15" t="n">
        <x:f>'기준스탯 72종'!G27*H496</x:f>
        <x:v>0.7200000000000002</x:v>
      </x:c>
      <x:c r="AD496" s="15" t="n">
        <x:f>'기준스탯 72종'!H27*H496</x:f>
        <x:v>0.24000000000000005</x:v>
      </x:c>
      <x:c r="AE496" s="15" t="n">
        <x:f>'기준스탯 72종'!I27*H496</x:f>
        <x:v>0.7200000000000002</x:v>
      </x:c>
      <x:c r="AF496" s="15" t="n">
        <x:f>'기준스탯 72종'!J27*H496</x:f>
        <x:v>0.3600000000000001</x:v>
      </x:c>
      <x:c r="AG496" s="15" t="n">
        <x:f>'기준스탯 72종'!K27*H496</x:f>
        <x:v>0.6000000000000001</x:v>
      </x:c>
    </x:row>
    <x:row r="497" ht="28" customHeight="1">
      <x:c r="A497" s="2" t="n">
        <x:v>490</x:v>
      </x:c>
      <x:c r="B497" s="2" t="n">
        <x:v>20</x:v>
      </x:c>
      <x:c r="C497" s="2" t="str">
        <x:v>게자리</x:v>
      </x:c>
      <x:c r="D497" s="2" t="str">
        <x:v>마도사</x:v>
      </x:c>
      <x:c r="E497" s="2" t="n">
        <x:v>5</x:v>
      </x:c>
      <x:c r="F497" s="2" t="n">
        <x:v>3</x:v>
      </x:c>
      <x:c r="G497" s="14" t="n">
        <x:f>('레벨 계산식'!$E$4-E497)*'레벨 계산식'!$B$5</x:f>
        <x:v>0</x:v>
      </x:c>
      <x:c r="H497" s="14" t="n">
        <x:f>('등급 계산식'!$E$4-F497)*'등급 계산식'!$B$5</x:f>
        <x:v>0.12000000000000002</x:v>
      </x:c>
      <x:c r="I497" s="14" t="n">
        <x:f>1-G497-H497</x:f>
        <x:v>0.88</x:v>
      </x:c>
      <x:c r="J497" s="2" t="n">
        <x:f>MAX(1,ROUND('기준스탯 72종'!D27-R497-Z497,0))</x:f>
        <x:v>6</x:v>
      </x:c>
      <x:c r="K497" s="2" t="n">
        <x:f>MAX(1,ROUND('기준스탯 72종'!E27-S497-AA497,0))</x:f>
        <x:v>7</x:v>
      </x:c>
      <x:c r="L497" s="2" t="n">
        <x:f>MAX(1,ROUND('기준스탯 72종'!F27-T497-AB497,0))</x:f>
        <x:v>7</x:v>
      </x:c>
      <x:c r="M497" s="2" t="n">
        <x:f>MAX(1,ROUND('기준스탯 72종'!G27-U497-AC497,0))</x:f>
        <x:v>5</x:v>
      </x:c>
      <x:c r="N497" s="2" t="n">
        <x:f>MAX(0,ROUND('기준스탯 72종'!H27-V497-AD497,0))</x:f>
        <x:v>2</x:v>
      </x:c>
      <x:c r="O497" s="2" t="n">
        <x:f>MAX(0,ROUND('기준스탯 72종'!I27-W497-AE497,0))</x:f>
        <x:v>5</x:v>
      </x:c>
      <x:c r="P497" s="2" t="n">
        <x:f>MAX(0,ROUND('기준스탯 72종'!J27-X497-AF497,0))</x:f>
        <x:v>3</x:v>
      </x:c>
      <x:c r="Q497" s="2" t="n">
        <x:f>MAX(0,ROUND('기준스탯 72종'!K27-Y497-AG497,0))</x:f>
        <x:v>4</x:v>
      </x:c>
      <x:c r="R497" s="15" t="n">
        <x:f>'기준스탯 72종'!D27*G497</x:f>
        <x:v>0</x:v>
      </x:c>
      <x:c r="S497" s="15" t="n">
        <x:f>'기준스탯 72종'!E27*G497</x:f>
        <x:v>0</x:v>
      </x:c>
      <x:c r="T497" s="15" t="n">
        <x:f>'기준스탯 72종'!F27*G497</x:f>
        <x:v>0</x:v>
      </x:c>
      <x:c r="U497" s="15" t="n">
        <x:f>'기준스탯 72종'!G27*G497</x:f>
        <x:v>0</x:v>
      </x:c>
      <x:c r="V497" s="15" t="n">
        <x:f>'기준스탯 72종'!H27*G497</x:f>
        <x:v>0</x:v>
      </x:c>
      <x:c r="W497" s="15" t="n">
        <x:f>'기준스탯 72종'!I27*G497</x:f>
        <x:v>0</x:v>
      </x:c>
      <x:c r="X497" s="15" t="n">
        <x:f>'기준스탯 72종'!J27*G497</x:f>
        <x:v>0</x:v>
      </x:c>
      <x:c r="Y497" s="15" t="n">
        <x:f>'기준스탯 72종'!K27*G497</x:f>
        <x:v>0</x:v>
      </x:c>
      <x:c r="Z497" s="15" t="n">
        <x:f>'기준스탯 72종'!D27*H497</x:f>
        <x:v>0.8400000000000002</x:v>
      </x:c>
      <x:c r="AA497" s="15" t="n">
        <x:f>'기준스탯 72종'!E27*H497</x:f>
        <x:v>0.9600000000000002</x:v>
      </x:c>
      <x:c r="AB497" s="15" t="n">
        <x:f>'기준스탯 72종'!F27*H497</x:f>
        <x:v>0.9600000000000002</x:v>
      </x:c>
      <x:c r="AC497" s="15" t="n">
        <x:f>'기준스탯 72종'!G27*H497</x:f>
        <x:v>0.7200000000000002</x:v>
      </x:c>
      <x:c r="AD497" s="15" t="n">
        <x:f>'기준스탯 72종'!H27*H497</x:f>
        <x:v>0.24000000000000005</x:v>
      </x:c>
      <x:c r="AE497" s="15" t="n">
        <x:f>'기준스탯 72종'!I27*H497</x:f>
        <x:v>0.7200000000000002</x:v>
      </x:c>
      <x:c r="AF497" s="15" t="n">
        <x:f>'기준스탯 72종'!J27*H497</x:f>
        <x:v>0.3600000000000001</x:v>
      </x:c>
      <x:c r="AG497" s="15" t="n">
        <x:f>'기준스탯 72종'!K27*H497</x:f>
        <x:v>0.6000000000000001</x:v>
      </x:c>
    </x:row>
    <x:row r="498" ht="28" customHeight="1">
      <x:c r="A498" s="2" t="n">
        <x:v>491</x:v>
      </x:c>
      <x:c r="B498" s="2" t="n">
        <x:v>20</x:v>
      </x:c>
      <x:c r="C498" s="2" t="str">
        <x:v>게자리</x:v>
      </x:c>
      <x:c r="D498" s="2" t="str">
        <x:v>마도사</x:v>
      </x:c>
      <x:c r="E498" s="2" t="n">
        <x:v>1</x:v>
      </x:c>
      <x:c r="F498" s="2" t="n">
        <x:v>4</x:v>
      </x:c>
      <x:c r="G498" s="14" t="n">
        <x:f>('레벨 계산식'!$E$4-E498)*'레벨 계산식'!$B$5</x:f>
        <x:v>0.5599999999999999</x:v>
      </x:c>
      <x:c r="H498" s="14" t="n">
        <x:f>('등급 계산식'!$E$4-F498)*'등급 계산식'!$B$5</x:f>
        <x:v>0.06000000000000001</x:v>
      </x:c>
      <x:c r="I498" s="14" t="n">
        <x:f>1-G498-H498</x:f>
        <x:v>0.38000000000000006</x:v>
      </x:c>
      <x:c r="J498" s="2" t="n">
        <x:f>MAX(1,ROUND('기준스탯 72종'!D27-R498-Z498,0))</x:f>
        <x:v>3</x:v>
      </x:c>
      <x:c r="K498" s="2" t="n">
        <x:f>MAX(1,ROUND('기준스탯 72종'!E27-S498-AA498,0))</x:f>
        <x:v>3</x:v>
      </x:c>
      <x:c r="L498" s="2" t="n">
        <x:f>MAX(1,ROUND('기준스탯 72종'!F27-T498-AB498,0))</x:f>
        <x:v>3</x:v>
      </x:c>
      <x:c r="M498" s="2" t="n">
        <x:f>MAX(1,ROUND('기준스탯 72종'!G27-U498-AC498,0))</x:f>
        <x:v>2</x:v>
      </x:c>
      <x:c r="N498" s="2" t="n">
        <x:f>MAX(0,ROUND('기준스탯 72종'!H27-V498-AD498,0))</x:f>
        <x:v>1</x:v>
      </x:c>
      <x:c r="O498" s="2" t="n">
        <x:f>MAX(0,ROUND('기준스탯 72종'!I27-W498-AE498,0))</x:f>
        <x:v>2</x:v>
      </x:c>
      <x:c r="P498" s="2" t="n">
        <x:f>MAX(0,ROUND('기준스탯 72종'!J27-X498-AF498,0))</x:f>
        <x:v>1</x:v>
      </x:c>
      <x:c r="Q498" s="2" t="n">
        <x:f>MAX(0,ROUND('기준스탯 72종'!K27-Y498-AG498,0))</x:f>
        <x:v>2</x:v>
      </x:c>
      <x:c r="R498" s="15" t="n">
        <x:f>'기준스탯 72종'!D27*G498</x:f>
        <x:v>3.9199999999999995</x:v>
      </x:c>
      <x:c r="S498" s="15" t="n">
        <x:f>'기준스탯 72종'!E27*G498</x:f>
        <x:v>4.4799999999999995</x:v>
      </x:c>
      <x:c r="T498" s="15" t="n">
        <x:f>'기준스탯 72종'!F27*G498</x:f>
        <x:v>4.4799999999999995</x:v>
      </x:c>
      <x:c r="U498" s="15" t="n">
        <x:f>'기준스탯 72종'!G27*G498</x:f>
        <x:v>3.3599999999999994</x:v>
      </x:c>
      <x:c r="V498" s="15" t="n">
        <x:f>'기준스탯 72종'!H27*G498</x:f>
        <x:v>1.1199999999999999</x:v>
      </x:c>
      <x:c r="W498" s="15" t="n">
        <x:f>'기준스탯 72종'!I27*G498</x:f>
        <x:v>3.3599999999999994</x:v>
      </x:c>
      <x:c r="X498" s="15" t="n">
        <x:f>'기준스탯 72종'!J27*G498</x:f>
        <x:v>1.6799999999999997</x:v>
      </x:c>
      <x:c r="Y498" s="15" t="n">
        <x:f>'기준스탯 72종'!K27*G498</x:f>
        <x:v>2.8</x:v>
      </x:c>
      <x:c r="Z498" s="15" t="n">
        <x:f>'기준스탯 72종'!D27*H498</x:f>
        <x:v>0.4200000000000001</x:v>
      </x:c>
      <x:c r="AA498" s="15" t="n">
        <x:f>'기준스탯 72종'!E27*H498</x:f>
        <x:v>0.4800000000000001</x:v>
      </x:c>
      <x:c r="AB498" s="15" t="n">
        <x:f>'기준스탯 72종'!F27*H498</x:f>
        <x:v>0.4800000000000001</x:v>
      </x:c>
      <x:c r="AC498" s="15" t="n">
        <x:f>'기준스탯 72종'!G27*H498</x:f>
        <x:v>0.3600000000000001</x:v>
      </x:c>
      <x:c r="AD498" s="15" t="n">
        <x:f>'기준스탯 72종'!H27*H498</x:f>
        <x:v>0.12000000000000002</x:v>
      </x:c>
      <x:c r="AE498" s="15" t="n">
        <x:f>'기준스탯 72종'!I27*H498</x:f>
        <x:v>0.3600000000000001</x:v>
      </x:c>
      <x:c r="AF498" s="15" t="n">
        <x:f>'기준스탯 72종'!J27*H498</x:f>
        <x:v>0.18000000000000005</x:v>
      </x:c>
      <x:c r="AG498" s="15" t="n">
        <x:f>'기준스탯 72종'!K27*H498</x:f>
        <x:v>0.30000000000000004</x:v>
      </x:c>
    </x:row>
    <x:row r="499" ht="28" customHeight="1">
      <x:c r="A499" s="2" t="n">
        <x:v>492</x:v>
      </x:c>
      <x:c r="B499" s="2" t="n">
        <x:v>20</x:v>
      </x:c>
      <x:c r="C499" s="2" t="str">
        <x:v>게자리</x:v>
      </x:c>
      <x:c r="D499" s="2" t="str">
        <x:v>마도사</x:v>
      </x:c>
      <x:c r="E499" s="2" t="n">
        <x:v>2</x:v>
      </x:c>
      <x:c r="F499" s="2" t="n">
        <x:v>4</x:v>
      </x:c>
      <x:c r="G499" s="14" t="n">
        <x:f>('레벨 계산식'!$E$4-E499)*'레벨 계산식'!$B$5</x:f>
        <x:v>0.41999999999999993</x:v>
      </x:c>
      <x:c r="H499" s="14" t="n">
        <x:f>('등급 계산식'!$E$4-F499)*'등급 계산식'!$B$5</x:f>
        <x:v>0.06000000000000001</x:v>
      </x:c>
      <x:c r="I499" s="14" t="n">
        <x:f>1-G499-H499</x:f>
        <x:v>0.52</x:v>
      </x:c>
      <x:c r="J499" s="2" t="n">
        <x:f>MAX(1,ROUND('기준스탯 72종'!D27-R499-Z499,0))</x:f>
        <x:v>4</x:v>
      </x:c>
      <x:c r="K499" s="2" t="n">
        <x:f>MAX(1,ROUND('기준스탯 72종'!E27-S499-AA499,0))</x:f>
        <x:v>4</x:v>
      </x:c>
      <x:c r="L499" s="2" t="n">
        <x:f>MAX(1,ROUND('기준스탯 72종'!F27-T499-AB499,0))</x:f>
        <x:v>4</x:v>
      </x:c>
      <x:c r="M499" s="2" t="n">
        <x:f>MAX(1,ROUND('기준스탯 72종'!G27-U499-AC499,0))</x:f>
        <x:v>3</x:v>
      </x:c>
      <x:c r="N499" s="2" t="n">
        <x:f>MAX(0,ROUND('기준스탯 72종'!H27-V499-AD499,0))</x:f>
        <x:v>1</x:v>
      </x:c>
      <x:c r="O499" s="2" t="n">
        <x:f>MAX(0,ROUND('기준스탯 72종'!I27-W499-AE499,0))</x:f>
        <x:v>3</x:v>
      </x:c>
      <x:c r="P499" s="2" t="n">
        <x:f>MAX(0,ROUND('기준스탯 72종'!J27-X499-AF499,0))</x:f>
        <x:v>2</x:v>
      </x:c>
      <x:c r="Q499" s="2" t="n">
        <x:f>MAX(0,ROUND('기준스탯 72종'!K27-Y499-AG499,0))</x:f>
        <x:v>3</x:v>
      </x:c>
      <x:c r="R499" s="15" t="n">
        <x:f>'기준스탯 72종'!D27*G499</x:f>
        <x:v>2.9399999999999995</x:v>
      </x:c>
      <x:c r="S499" s="15" t="n">
        <x:f>'기준스탯 72종'!E27*G499</x:f>
        <x:v>3.3599999999999994</x:v>
      </x:c>
      <x:c r="T499" s="15" t="n">
        <x:f>'기준스탯 72종'!F27*G499</x:f>
        <x:v>3.3599999999999994</x:v>
      </x:c>
      <x:c r="U499" s="15" t="n">
        <x:f>'기준스탯 72종'!G27*G499</x:f>
        <x:v>2.5199999999999996</x:v>
      </x:c>
      <x:c r="V499" s="15" t="n">
        <x:f>'기준스탯 72종'!H27*G499</x:f>
        <x:v>0.8399999999999999</x:v>
      </x:c>
      <x:c r="W499" s="15" t="n">
        <x:f>'기준스탯 72종'!I27*G499</x:f>
        <x:v>2.5199999999999996</x:v>
      </x:c>
      <x:c r="X499" s="15" t="n">
        <x:f>'기준스탯 72종'!J27*G499</x:f>
        <x:v>1.2599999999999998</x:v>
      </x:c>
      <x:c r="Y499" s="15" t="n">
        <x:f>'기준스탯 72종'!K27*G499</x:f>
        <x:v>2.0999999999999996</x:v>
      </x:c>
      <x:c r="Z499" s="15" t="n">
        <x:f>'기준스탯 72종'!D27*H499</x:f>
        <x:v>0.4200000000000001</x:v>
      </x:c>
      <x:c r="AA499" s="15" t="n">
        <x:f>'기준스탯 72종'!E27*H499</x:f>
        <x:v>0.4800000000000001</x:v>
      </x:c>
      <x:c r="AB499" s="15" t="n">
        <x:f>'기준스탯 72종'!F27*H499</x:f>
        <x:v>0.4800000000000001</x:v>
      </x:c>
      <x:c r="AC499" s="15" t="n">
        <x:f>'기준스탯 72종'!G27*H499</x:f>
        <x:v>0.3600000000000001</x:v>
      </x:c>
      <x:c r="AD499" s="15" t="n">
        <x:f>'기준스탯 72종'!H27*H499</x:f>
        <x:v>0.12000000000000002</x:v>
      </x:c>
      <x:c r="AE499" s="15" t="n">
        <x:f>'기준스탯 72종'!I27*H499</x:f>
        <x:v>0.3600000000000001</x:v>
      </x:c>
      <x:c r="AF499" s="15" t="n">
        <x:f>'기준스탯 72종'!J27*H499</x:f>
        <x:v>0.18000000000000005</x:v>
      </x:c>
      <x:c r="AG499" s="15" t="n">
        <x:f>'기준스탯 72종'!K27*H499</x:f>
        <x:v>0.30000000000000004</x:v>
      </x:c>
    </x:row>
    <x:row r="500" ht="28" customHeight="1">
      <x:c r="A500" s="2" t="n">
        <x:v>493</x:v>
      </x:c>
      <x:c r="B500" s="2" t="n">
        <x:v>20</x:v>
      </x:c>
      <x:c r="C500" s="2" t="str">
        <x:v>게자리</x:v>
      </x:c>
      <x:c r="D500" s="2" t="str">
        <x:v>마도사</x:v>
      </x:c>
      <x:c r="E500" s="2" t="n">
        <x:v>3</x:v>
      </x:c>
      <x:c r="F500" s="2" t="n">
        <x:v>4</x:v>
      </x:c>
      <x:c r="G500" s="14" t="n">
        <x:f>('레벨 계산식'!$E$4-E500)*'레벨 계산식'!$B$5</x:f>
        <x:v>0.27999999999999997</x:v>
      </x:c>
      <x:c r="H500" s="14" t="n">
        <x:f>('등급 계산식'!$E$4-F500)*'등급 계산식'!$B$5</x:f>
        <x:v>0.06000000000000001</x:v>
      </x:c>
      <x:c r="I500" s="14" t="n">
        <x:f>1-G500-H500</x:f>
        <x:v>0.6599999999999999</x:v>
      </x:c>
      <x:c r="J500" s="2" t="n">
        <x:f>MAX(1,ROUND('기준스탯 72종'!D27-R500-Z500,0))</x:f>
        <x:v>5</x:v>
      </x:c>
      <x:c r="K500" s="2" t="n">
        <x:f>MAX(1,ROUND('기준스탯 72종'!E27-S500-AA500,0))</x:f>
        <x:v>5</x:v>
      </x:c>
      <x:c r="L500" s="2" t="n">
        <x:f>MAX(1,ROUND('기준스탯 72종'!F27-T500-AB500,0))</x:f>
        <x:v>5</x:v>
      </x:c>
      <x:c r="M500" s="2" t="n">
        <x:f>MAX(1,ROUND('기준스탯 72종'!G27-U500-AC500,0))</x:f>
        <x:v>4</x:v>
      </x:c>
      <x:c r="N500" s="2" t="n">
        <x:f>MAX(0,ROUND('기준스탯 72종'!H27-V500-AD500,0))</x:f>
        <x:v>1</x:v>
      </x:c>
      <x:c r="O500" s="2" t="n">
        <x:f>MAX(0,ROUND('기준스탯 72종'!I27-W500-AE500,0))</x:f>
        <x:v>4</x:v>
      </x:c>
      <x:c r="P500" s="2" t="n">
        <x:f>MAX(0,ROUND('기준스탯 72종'!J27-X500-AF500,0))</x:f>
        <x:v>2</x:v>
      </x:c>
      <x:c r="Q500" s="2" t="n">
        <x:f>MAX(0,ROUND('기준스탯 72종'!K27-Y500-AG500,0))</x:f>
        <x:v>3</x:v>
      </x:c>
      <x:c r="R500" s="15" t="n">
        <x:f>'기준스탯 72종'!D27*G500</x:f>
        <x:v>1.9599999999999997</x:v>
      </x:c>
      <x:c r="S500" s="15" t="n">
        <x:f>'기준스탯 72종'!E27*G500</x:f>
        <x:v>2.2399999999999998</x:v>
      </x:c>
      <x:c r="T500" s="15" t="n">
        <x:f>'기준스탯 72종'!F27*G500</x:f>
        <x:v>2.2399999999999998</x:v>
      </x:c>
      <x:c r="U500" s="15" t="n">
        <x:f>'기준스탯 72종'!G27*G500</x:f>
        <x:v>1.6799999999999997</x:v>
      </x:c>
      <x:c r="V500" s="15" t="n">
        <x:f>'기준스탯 72종'!H27*G500</x:f>
        <x:v>0.5599999999999999</x:v>
      </x:c>
      <x:c r="W500" s="15" t="n">
        <x:f>'기준스탯 72종'!I27*G500</x:f>
        <x:v>1.6799999999999997</x:v>
      </x:c>
      <x:c r="X500" s="15" t="n">
        <x:f>'기준스탯 72종'!J27*G500</x:f>
        <x:v>0.8399999999999999</x:v>
      </x:c>
      <x:c r="Y500" s="15" t="n">
        <x:f>'기준스탯 72종'!K27*G500</x:f>
        <x:v>1.4</x:v>
      </x:c>
      <x:c r="Z500" s="15" t="n">
        <x:f>'기준스탯 72종'!D27*H500</x:f>
        <x:v>0.4200000000000001</x:v>
      </x:c>
      <x:c r="AA500" s="15" t="n">
        <x:f>'기준스탯 72종'!E27*H500</x:f>
        <x:v>0.4800000000000001</x:v>
      </x:c>
      <x:c r="AB500" s="15" t="n">
        <x:f>'기준스탯 72종'!F27*H500</x:f>
        <x:v>0.4800000000000001</x:v>
      </x:c>
      <x:c r="AC500" s="15" t="n">
        <x:f>'기준스탯 72종'!G27*H500</x:f>
        <x:v>0.3600000000000001</x:v>
      </x:c>
      <x:c r="AD500" s="15" t="n">
        <x:f>'기준스탯 72종'!H27*H500</x:f>
        <x:v>0.12000000000000002</x:v>
      </x:c>
      <x:c r="AE500" s="15" t="n">
        <x:f>'기준스탯 72종'!I27*H500</x:f>
        <x:v>0.3600000000000001</x:v>
      </x:c>
      <x:c r="AF500" s="15" t="n">
        <x:f>'기준스탯 72종'!J27*H500</x:f>
        <x:v>0.18000000000000005</x:v>
      </x:c>
      <x:c r="AG500" s="15" t="n">
        <x:f>'기준스탯 72종'!K27*H500</x:f>
        <x:v>0.30000000000000004</x:v>
      </x:c>
    </x:row>
    <x:row r="501" ht="28" customHeight="1">
      <x:c r="A501" s="2" t="n">
        <x:v>494</x:v>
      </x:c>
      <x:c r="B501" s="2" t="n">
        <x:v>20</x:v>
      </x:c>
      <x:c r="C501" s="2" t="str">
        <x:v>게자리</x:v>
      </x:c>
      <x:c r="D501" s="2" t="str">
        <x:v>마도사</x:v>
      </x:c>
      <x:c r="E501" s="2" t="n">
        <x:v>4</x:v>
      </x:c>
      <x:c r="F501" s="2" t="n">
        <x:v>4</x:v>
      </x:c>
      <x:c r="G501" s="14" t="n">
        <x:f>('레벨 계산식'!$E$4-E501)*'레벨 계산식'!$B$5</x:f>
        <x:v>0.13999999999999999</x:v>
      </x:c>
      <x:c r="H501" s="14" t="n">
        <x:f>('등급 계산식'!$E$4-F501)*'등급 계산식'!$B$5</x:f>
        <x:v>0.06000000000000001</x:v>
      </x:c>
      <x:c r="I501" s="14" t="n">
        <x:f>1-G501-H501</x:f>
        <x:v>0.7999999999999999</x:v>
      </x:c>
      <x:c r="J501" s="2" t="n">
        <x:f>MAX(1,ROUND('기준스탯 72종'!D27-R501-Z501,0))</x:f>
        <x:v>6</x:v>
      </x:c>
      <x:c r="K501" s="2" t="n">
        <x:f>MAX(1,ROUND('기준스탯 72종'!E27-S501-AA501,0))</x:f>
        <x:v>6</x:v>
      </x:c>
      <x:c r="L501" s="2" t="n">
        <x:f>MAX(1,ROUND('기준스탯 72종'!F27-T501-AB501,0))</x:f>
        <x:v>6</x:v>
      </x:c>
      <x:c r="M501" s="2" t="n">
        <x:f>MAX(1,ROUND('기준스탯 72종'!G27-U501-AC501,0))</x:f>
        <x:v>5</x:v>
      </x:c>
      <x:c r="N501" s="2" t="n">
        <x:f>MAX(0,ROUND('기준스탯 72종'!H27-V501-AD501,0))</x:f>
        <x:v>2</x:v>
      </x:c>
      <x:c r="O501" s="2" t="n">
        <x:f>MAX(0,ROUND('기준스탯 72종'!I27-W501-AE501,0))</x:f>
        <x:v>5</x:v>
      </x:c>
      <x:c r="P501" s="2" t="n">
        <x:f>MAX(0,ROUND('기준스탯 72종'!J27-X501-AF501,0))</x:f>
        <x:v>2</x:v>
      </x:c>
      <x:c r="Q501" s="2" t="n">
        <x:f>MAX(0,ROUND('기준스탯 72종'!K27-Y501-AG501,0))</x:f>
        <x:v>4</x:v>
      </x:c>
      <x:c r="R501" s="15" t="n">
        <x:f>'기준스탯 72종'!D27*G501</x:f>
        <x:v>0.9799999999999999</x:v>
      </x:c>
      <x:c r="S501" s="15" t="n">
        <x:f>'기준스탯 72종'!E27*G501</x:f>
        <x:v>1.1199999999999999</x:v>
      </x:c>
      <x:c r="T501" s="15" t="n">
        <x:f>'기준스탯 72종'!F27*G501</x:f>
        <x:v>1.1199999999999999</x:v>
      </x:c>
      <x:c r="U501" s="15" t="n">
        <x:f>'기준스탯 72종'!G27*G501</x:f>
        <x:v>0.8399999999999999</x:v>
      </x:c>
      <x:c r="V501" s="15" t="n">
        <x:f>'기준스탯 72종'!H27*G501</x:f>
        <x:v>0.27999999999999997</x:v>
      </x:c>
      <x:c r="W501" s="15" t="n">
        <x:f>'기준스탯 72종'!I27*G501</x:f>
        <x:v>0.8399999999999999</x:v>
      </x:c>
      <x:c r="X501" s="15" t="n">
        <x:f>'기준스탯 72종'!J27*G501</x:f>
        <x:v>0.41999999999999993</x:v>
      </x:c>
      <x:c r="Y501" s="15" t="n">
        <x:f>'기준스탯 72종'!K27*G501</x:f>
        <x:v>0.7</x:v>
      </x:c>
      <x:c r="Z501" s="15" t="n">
        <x:f>'기준스탯 72종'!D27*H501</x:f>
        <x:v>0.4200000000000001</x:v>
      </x:c>
      <x:c r="AA501" s="15" t="n">
        <x:f>'기준스탯 72종'!E27*H501</x:f>
        <x:v>0.4800000000000001</x:v>
      </x:c>
      <x:c r="AB501" s="15" t="n">
        <x:f>'기준스탯 72종'!F27*H501</x:f>
        <x:v>0.4800000000000001</x:v>
      </x:c>
      <x:c r="AC501" s="15" t="n">
        <x:f>'기준스탯 72종'!G27*H501</x:f>
        <x:v>0.3600000000000001</x:v>
      </x:c>
      <x:c r="AD501" s="15" t="n">
        <x:f>'기준스탯 72종'!H27*H501</x:f>
        <x:v>0.12000000000000002</x:v>
      </x:c>
      <x:c r="AE501" s="15" t="n">
        <x:f>'기준스탯 72종'!I27*H501</x:f>
        <x:v>0.3600000000000001</x:v>
      </x:c>
      <x:c r="AF501" s="15" t="n">
        <x:f>'기준스탯 72종'!J27*H501</x:f>
        <x:v>0.18000000000000005</x:v>
      </x:c>
      <x:c r="AG501" s="15" t="n">
        <x:f>'기준스탯 72종'!K27*H501</x:f>
        <x:v>0.30000000000000004</x:v>
      </x:c>
    </x:row>
    <x:row r="502" ht="28" customHeight="1">
      <x:c r="A502" s="2" t="n">
        <x:v>495</x:v>
      </x:c>
      <x:c r="B502" s="2" t="n">
        <x:v>20</x:v>
      </x:c>
      <x:c r="C502" s="2" t="str">
        <x:v>게자리</x:v>
      </x:c>
      <x:c r="D502" s="2" t="str">
        <x:v>마도사</x:v>
      </x:c>
      <x:c r="E502" s="2" t="n">
        <x:v>5</x:v>
      </x:c>
      <x:c r="F502" s="2" t="n">
        <x:v>4</x:v>
      </x:c>
      <x:c r="G502" s="14" t="n">
        <x:f>('레벨 계산식'!$E$4-E502)*'레벨 계산식'!$B$5</x:f>
        <x:v>0</x:v>
      </x:c>
      <x:c r="H502" s="14" t="n">
        <x:f>('등급 계산식'!$E$4-F502)*'등급 계산식'!$B$5</x:f>
        <x:v>0.06000000000000001</x:v>
      </x:c>
      <x:c r="I502" s="14" t="n">
        <x:f>1-G502-H502</x:f>
        <x:v>0.94</x:v>
      </x:c>
      <x:c r="J502" s="2" t="n">
        <x:f>MAX(1,ROUND('기준스탯 72종'!D27-R502-Z502,0))</x:f>
        <x:v>7</x:v>
      </x:c>
      <x:c r="K502" s="2" t="n">
        <x:f>MAX(1,ROUND('기준스탯 72종'!E27-S502-AA502,0))</x:f>
        <x:v>8</x:v>
      </x:c>
      <x:c r="L502" s="2" t="n">
        <x:f>MAX(1,ROUND('기준스탯 72종'!F27-T502-AB502,0))</x:f>
        <x:v>8</x:v>
      </x:c>
      <x:c r="M502" s="2" t="n">
        <x:f>MAX(1,ROUND('기준스탯 72종'!G27-U502-AC502,0))</x:f>
        <x:v>6</x:v>
      </x:c>
      <x:c r="N502" s="2" t="n">
        <x:f>MAX(0,ROUND('기준스탯 72종'!H27-V502-AD502,0))</x:f>
        <x:v>2</x:v>
      </x:c>
      <x:c r="O502" s="2" t="n">
        <x:f>MAX(0,ROUND('기준스탯 72종'!I27-W502-AE502,0))</x:f>
        <x:v>6</x:v>
      </x:c>
      <x:c r="P502" s="2" t="n">
        <x:f>MAX(0,ROUND('기준스탯 72종'!J27-X502-AF502,0))</x:f>
        <x:v>3</x:v>
      </x:c>
      <x:c r="Q502" s="2" t="n">
        <x:f>MAX(0,ROUND('기준스탯 72종'!K27-Y502-AG502,0))</x:f>
        <x:v>5</x:v>
      </x:c>
      <x:c r="R502" s="15" t="n">
        <x:f>'기준스탯 72종'!D27*G502</x:f>
        <x:v>0</x:v>
      </x:c>
      <x:c r="S502" s="15" t="n">
        <x:f>'기준스탯 72종'!E27*G502</x:f>
        <x:v>0</x:v>
      </x:c>
      <x:c r="T502" s="15" t="n">
        <x:f>'기준스탯 72종'!F27*G502</x:f>
        <x:v>0</x:v>
      </x:c>
      <x:c r="U502" s="15" t="n">
        <x:f>'기준스탯 72종'!G27*G502</x:f>
        <x:v>0</x:v>
      </x:c>
      <x:c r="V502" s="15" t="n">
        <x:f>'기준스탯 72종'!H27*G502</x:f>
        <x:v>0</x:v>
      </x:c>
      <x:c r="W502" s="15" t="n">
        <x:f>'기준스탯 72종'!I27*G502</x:f>
        <x:v>0</x:v>
      </x:c>
      <x:c r="X502" s="15" t="n">
        <x:f>'기준스탯 72종'!J27*G502</x:f>
        <x:v>0</x:v>
      </x:c>
      <x:c r="Y502" s="15" t="n">
        <x:f>'기준스탯 72종'!K27*G502</x:f>
        <x:v>0</x:v>
      </x:c>
      <x:c r="Z502" s="15" t="n">
        <x:f>'기준스탯 72종'!D27*H502</x:f>
        <x:v>0.4200000000000001</x:v>
      </x:c>
      <x:c r="AA502" s="15" t="n">
        <x:f>'기준스탯 72종'!E27*H502</x:f>
        <x:v>0.4800000000000001</x:v>
      </x:c>
      <x:c r="AB502" s="15" t="n">
        <x:f>'기준스탯 72종'!F27*H502</x:f>
        <x:v>0.4800000000000001</x:v>
      </x:c>
      <x:c r="AC502" s="15" t="n">
        <x:f>'기준스탯 72종'!G27*H502</x:f>
        <x:v>0.3600000000000001</x:v>
      </x:c>
      <x:c r="AD502" s="15" t="n">
        <x:f>'기준스탯 72종'!H27*H502</x:f>
        <x:v>0.12000000000000002</x:v>
      </x:c>
      <x:c r="AE502" s="15" t="n">
        <x:f>'기준스탯 72종'!I27*H502</x:f>
        <x:v>0.3600000000000001</x:v>
      </x:c>
      <x:c r="AF502" s="15" t="n">
        <x:f>'기준스탯 72종'!J27*H502</x:f>
        <x:v>0.18000000000000005</x:v>
      </x:c>
      <x:c r="AG502" s="15" t="n">
        <x:f>'기준스탯 72종'!K27*H502</x:f>
        <x:v>0.30000000000000004</x:v>
      </x:c>
    </x:row>
    <x:row r="503" ht="28" customHeight="1">
      <x:c r="A503" s="2" t="n">
        <x:v>496</x:v>
      </x:c>
      <x:c r="B503" s="2" t="n">
        <x:v>20</x:v>
      </x:c>
      <x:c r="C503" s="2" t="str">
        <x:v>게자리</x:v>
      </x:c>
      <x:c r="D503" s="2" t="str">
        <x:v>마도사</x:v>
      </x:c>
      <x:c r="E503" s="2" t="n">
        <x:v>1</x:v>
      </x:c>
      <x:c r="F503" s="2" t="n">
        <x:v>5</x:v>
      </x:c>
      <x:c r="G503" s="14" t="n">
        <x:f>('레벨 계산식'!$E$4-E503)*'레벨 계산식'!$B$5</x:f>
        <x:v>0.5599999999999999</x:v>
      </x:c>
      <x:c r="H503" s="14" t="n">
        <x:f>('등급 계산식'!$E$4-F503)*'등급 계산식'!$B$5</x:f>
        <x:v>0</x:v>
      </x:c>
      <x:c r="I503" s="14" t="n">
        <x:f>1-G503-H503</x:f>
        <x:v>0.44000000000000006</x:v>
      </x:c>
      <x:c r="J503" s="2" t="n">
        <x:f>MAX(1,ROUND('기준스탯 72종'!D27-R503-Z503,0))</x:f>
        <x:v>3</x:v>
      </x:c>
      <x:c r="K503" s="2" t="n">
        <x:f>MAX(1,ROUND('기준스탯 72종'!E27-S503-AA503,0))</x:f>
        <x:v>4</x:v>
      </x:c>
      <x:c r="L503" s="2" t="n">
        <x:f>MAX(1,ROUND('기준스탯 72종'!F27-T503-AB503,0))</x:f>
        <x:v>4</x:v>
      </x:c>
      <x:c r="M503" s="2" t="n">
        <x:f>MAX(1,ROUND('기준스탯 72종'!G27-U503-AC503,0))</x:f>
        <x:v>3</x:v>
      </x:c>
      <x:c r="N503" s="2" t="n">
        <x:f>MAX(0,ROUND('기준스탯 72종'!H27-V503-AD503,0))</x:f>
        <x:v>1</x:v>
      </x:c>
      <x:c r="O503" s="2" t="n">
        <x:f>MAX(0,ROUND('기준스탯 72종'!I27-W503-AE503,0))</x:f>
        <x:v>3</x:v>
      </x:c>
      <x:c r="P503" s="2" t="n">
        <x:f>MAX(0,ROUND('기준스탯 72종'!J27-X503-AF503,0))</x:f>
        <x:v>1</x:v>
      </x:c>
      <x:c r="Q503" s="2" t="n">
        <x:f>MAX(0,ROUND('기준스탯 72종'!K27-Y503-AG503,0))</x:f>
        <x:v>2</x:v>
      </x:c>
      <x:c r="R503" s="15" t="n">
        <x:f>'기준스탯 72종'!D27*G503</x:f>
        <x:v>3.9199999999999995</x:v>
      </x:c>
      <x:c r="S503" s="15" t="n">
        <x:f>'기준스탯 72종'!E27*G503</x:f>
        <x:v>4.4799999999999995</x:v>
      </x:c>
      <x:c r="T503" s="15" t="n">
        <x:f>'기준스탯 72종'!F27*G503</x:f>
        <x:v>4.4799999999999995</x:v>
      </x:c>
      <x:c r="U503" s="15" t="n">
        <x:f>'기준스탯 72종'!G27*G503</x:f>
        <x:v>3.3599999999999994</x:v>
      </x:c>
      <x:c r="V503" s="15" t="n">
        <x:f>'기준스탯 72종'!H27*G503</x:f>
        <x:v>1.1199999999999999</x:v>
      </x:c>
      <x:c r="W503" s="15" t="n">
        <x:f>'기준스탯 72종'!I27*G503</x:f>
        <x:v>3.3599999999999994</x:v>
      </x:c>
      <x:c r="X503" s="15" t="n">
        <x:f>'기준스탯 72종'!J27*G503</x:f>
        <x:v>1.6799999999999997</x:v>
      </x:c>
      <x:c r="Y503" s="15" t="n">
        <x:f>'기준스탯 72종'!K27*G503</x:f>
        <x:v>2.8</x:v>
      </x:c>
      <x:c r="Z503" s="15" t="n">
        <x:f>'기준스탯 72종'!D27*H503</x:f>
        <x:v>0</x:v>
      </x:c>
      <x:c r="AA503" s="15" t="n">
        <x:f>'기준스탯 72종'!E27*H503</x:f>
        <x:v>0</x:v>
      </x:c>
      <x:c r="AB503" s="15" t="n">
        <x:f>'기준스탯 72종'!F27*H503</x:f>
        <x:v>0</x:v>
      </x:c>
      <x:c r="AC503" s="15" t="n">
        <x:f>'기준스탯 72종'!G27*H503</x:f>
        <x:v>0</x:v>
      </x:c>
      <x:c r="AD503" s="15" t="n">
        <x:f>'기준스탯 72종'!H27*H503</x:f>
        <x:v>0</x:v>
      </x:c>
      <x:c r="AE503" s="15" t="n">
        <x:f>'기준스탯 72종'!I27*H503</x:f>
        <x:v>0</x:v>
      </x:c>
      <x:c r="AF503" s="15" t="n">
        <x:f>'기준스탯 72종'!J27*H503</x:f>
        <x:v>0</x:v>
      </x:c>
      <x:c r="AG503" s="15" t="n">
        <x:f>'기준스탯 72종'!K27*H503</x:f>
        <x:v>0</x:v>
      </x:c>
    </x:row>
    <x:row r="504" ht="28" customHeight="1">
      <x:c r="A504" s="2" t="n">
        <x:v>497</x:v>
      </x:c>
      <x:c r="B504" s="2" t="n">
        <x:v>20</x:v>
      </x:c>
      <x:c r="C504" s="2" t="str">
        <x:v>게자리</x:v>
      </x:c>
      <x:c r="D504" s="2" t="str">
        <x:v>마도사</x:v>
      </x:c>
      <x:c r="E504" s="2" t="n">
        <x:v>2</x:v>
      </x:c>
      <x:c r="F504" s="2" t="n">
        <x:v>5</x:v>
      </x:c>
      <x:c r="G504" s="14" t="n">
        <x:f>('레벨 계산식'!$E$4-E504)*'레벨 계산식'!$B$5</x:f>
        <x:v>0.41999999999999993</x:v>
      </x:c>
      <x:c r="H504" s="14" t="n">
        <x:f>('등급 계산식'!$E$4-F504)*'등급 계산식'!$B$5</x:f>
        <x:v>0</x:v>
      </x:c>
      <x:c r="I504" s="14" t="n">
        <x:f>1-G504-H504</x:f>
        <x:v>0.5800000000000001</x:v>
      </x:c>
      <x:c r="J504" s="2" t="n">
        <x:f>MAX(1,ROUND('기준스탯 72종'!D27-R504-Z504,0))</x:f>
        <x:v>4</x:v>
      </x:c>
      <x:c r="K504" s="2" t="n">
        <x:f>MAX(1,ROUND('기준스탯 72종'!E27-S504-AA504,0))</x:f>
        <x:v>5</x:v>
      </x:c>
      <x:c r="L504" s="2" t="n">
        <x:f>MAX(1,ROUND('기준스탯 72종'!F27-T504-AB504,0))</x:f>
        <x:v>5</x:v>
      </x:c>
      <x:c r="M504" s="2" t="n">
        <x:f>MAX(1,ROUND('기준스탯 72종'!G27-U504-AC504,0))</x:f>
        <x:v>3</x:v>
      </x:c>
      <x:c r="N504" s="2" t="n">
        <x:f>MAX(0,ROUND('기준스탯 72종'!H27-V504-AD504,0))</x:f>
        <x:v>1</x:v>
      </x:c>
      <x:c r="O504" s="2" t="n">
        <x:f>MAX(0,ROUND('기준스탯 72종'!I27-W504-AE504,0))</x:f>
        <x:v>3</x:v>
      </x:c>
      <x:c r="P504" s="2" t="n">
        <x:f>MAX(0,ROUND('기준스탯 72종'!J27-X504-AF504,0))</x:f>
        <x:v>2</x:v>
      </x:c>
      <x:c r="Q504" s="2" t="n">
        <x:f>MAX(0,ROUND('기준스탯 72종'!K27-Y504-AG504,0))</x:f>
        <x:v>3</x:v>
      </x:c>
      <x:c r="R504" s="15" t="n">
        <x:f>'기준스탯 72종'!D27*G504</x:f>
        <x:v>2.9399999999999995</x:v>
      </x:c>
      <x:c r="S504" s="15" t="n">
        <x:f>'기준스탯 72종'!E27*G504</x:f>
        <x:v>3.3599999999999994</x:v>
      </x:c>
      <x:c r="T504" s="15" t="n">
        <x:f>'기준스탯 72종'!F27*G504</x:f>
        <x:v>3.3599999999999994</x:v>
      </x:c>
      <x:c r="U504" s="15" t="n">
        <x:f>'기준스탯 72종'!G27*G504</x:f>
        <x:v>2.5199999999999996</x:v>
      </x:c>
      <x:c r="V504" s="15" t="n">
        <x:f>'기준스탯 72종'!H27*G504</x:f>
        <x:v>0.8399999999999999</x:v>
      </x:c>
      <x:c r="W504" s="15" t="n">
        <x:f>'기준스탯 72종'!I27*G504</x:f>
        <x:v>2.5199999999999996</x:v>
      </x:c>
      <x:c r="X504" s="15" t="n">
        <x:f>'기준스탯 72종'!J27*G504</x:f>
        <x:v>1.2599999999999998</x:v>
      </x:c>
      <x:c r="Y504" s="15" t="n">
        <x:f>'기준스탯 72종'!K27*G504</x:f>
        <x:v>2.0999999999999996</x:v>
      </x:c>
      <x:c r="Z504" s="15" t="n">
        <x:f>'기준스탯 72종'!D27*H504</x:f>
        <x:v>0</x:v>
      </x:c>
      <x:c r="AA504" s="15" t="n">
        <x:f>'기준스탯 72종'!E27*H504</x:f>
        <x:v>0</x:v>
      </x:c>
      <x:c r="AB504" s="15" t="n">
        <x:f>'기준스탯 72종'!F27*H504</x:f>
        <x:v>0</x:v>
      </x:c>
      <x:c r="AC504" s="15" t="n">
        <x:f>'기준스탯 72종'!G27*H504</x:f>
        <x:v>0</x:v>
      </x:c>
      <x:c r="AD504" s="15" t="n">
        <x:f>'기준스탯 72종'!H27*H504</x:f>
        <x:v>0</x:v>
      </x:c>
      <x:c r="AE504" s="15" t="n">
        <x:f>'기준스탯 72종'!I27*H504</x:f>
        <x:v>0</x:v>
      </x:c>
      <x:c r="AF504" s="15" t="n">
        <x:f>'기준스탯 72종'!J27*H504</x:f>
        <x:v>0</x:v>
      </x:c>
      <x:c r="AG504" s="15" t="n">
        <x:f>'기준스탯 72종'!K27*H504</x:f>
        <x:v>0</x:v>
      </x:c>
    </x:row>
    <x:row r="505" ht="28" customHeight="1">
      <x:c r="A505" s="2" t="n">
        <x:v>498</x:v>
      </x:c>
      <x:c r="B505" s="2" t="n">
        <x:v>20</x:v>
      </x:c>
      <x:c r="C505" s="2" t="str">
        <x:v>게자리</x:v>
      </x:c>
      <x:c r="D505" s="2" t="str">
        <x:v>마도사</x:v>
      </x:c>
      <x:c r="E505" s="2" t="n">
        <x:v>3</x:v>
      </x:c>
      <x:c r="F505" s="2" t="n">
        <x:v>5</x:v>
      </x:c>
      <x:c r="G505" s="14" t="n">
        <x:f>('레벨 계산식'!$E$4-E505)*'레벨 계산식'!$B$5</x:f>
        <x:v>0.27999999999999997</x:v>
      </x:c>
      <x:c r="H505" s="14" t="n">
        <x:f>('등급 계산식'!$E$4-F505)*'등급 계산식'!$B$5</x:f>
        <x:v>0</x:v>
      </x:c>
      <x:c r="I505" s="14" t="n">
        <x:f>1-G505-H505</x:f>
        <x:v>0.72</x:v>
      </x:c>
      <x:c r="J505" s="2" t="n">
        <x:f>MAX(1,ROUND('기준스탯 72종'!D27-R505-Z505,0))</x:f>
        <x:v>5</x:v>
      </x:c>
      <x:c r="K505" s="2" t="n">
        <x:f>MAX(1,ROUND('기준스탯 72종'!E27-S505-AA505,0))</x:f>
        <x:v>6</x:v>
      </x:c>
      <x:c r="L505" s="2" t="n">
        <x:f>MAX(1,ROUND('기준스탯 72종'!F27-T505-AB505,0))</x:f>
        <x:v>6</x:v>
      </x:c>
      <x:c r="M505" s="2" t="n">
        <x:f>MAX(1,ROUND('기준스탯 72종'!G27-U505-AC505,0))</x:f>
        <x:v>4</x:v>
      </x:c>
      <x:c r="N505" s="2" t="n">
        <x:f>MAX(0,ROUND('기준스탯 72종'!H27-V505-AD505,0))</x:f>
        <x:v>1</x:v>
      </x:c>
      <x:c r="O505" s="2" t="n">
        <x:f>MAX(0,ROUND('기준스탯 72종'!I27-W505-AE505,0))</x:f>
        <x:v>4</x:v>
      </x:c>
      <x:c r="P505" s="2" t="n">
        <x:f>MAX(0,ROUND('기준스탯 72종'!J27-X505-AF505,0))</x:f>
        <x:v>2</x:v>
      </x:c>
      <x:c r="Q505" s="2" t="n">
        <x:f>MAX(0,ROUND('기준스탯 72종'!K27-Y505-AG505,0))</x:f>
        <x:v>4</x:v>
      </x:c>
      <x:c r="R505" s="15" t="n">
        <x:f>'기준스탯 72종'!D27*G505</x:f>
        <x:v>1.9599999999999997</x:v>
      </x:c>
      <x:c r="S505" s="15" t="n">
        <x:f>'기준스탯 72종'!E27*G505</x:f>
        <x:v>2.2399999999999998</x:v>
      </x:c>
      <x:c r="T505" s="15" t="n">
        <x:f>'기준스탯 72종'!F27*G505</x:f>
        <x:v>2.2399999999999998</x:v>
      </x:c>
      <x:c r="U505" s="15" t="n">
        <x:f>'기준스탯 72종'!G27*G505</x:f>
        <x:v>1.6799999999999997</x:v>
      </x:c>
      <x:c r="V505" s="15" t="n">
        <x:f>'기준스탯 72종'!H27*G505</x:f>
        <x:v>0.5599999999999999</x:v>
      </x:c>
      <x:c r="W505" s="15" t="n">
        <x:f>'기준스탯 72종'!I27*G505</x:f>
        <x:v>1.6799999999999997</x:v>
      </x:c>
      <x:c r="X505" s="15" t="n">
        <x:f>'기준스탯 72종'!J27*G505</x:f>
        <x:v>0.8399999999999999</x:v>
      </x:c>
      <x:c r="Y505" s="15" t="n">
        <x:f>'기준스탯 72종'!K27*G505</x:f>
        <x:v>1.4</x:v>
      </x:c>
      <x:c r="Z505" s="15" t="n">
        <x:f>'기준스탯 72종'!D27*H505</x:f>
        <x:v>0</x:v>
      </x:c>
      <x:c r="AA505" s="15" t="n">
        <x:f>'기준스탯 72종'!E27*H505</x:f>
        <x:v>0</x:v>
      </x:c>
      <x:c r="AB505" s="15" t="n">
        <x:f>'기준스탯 72종'!F27*H505</x:f>
        <x:v>0</x:v>
      </x:c>
      <x:c r="AC505" s="15" t="n">
        <x:f>'기준스탯 72종'!G27*H505</x:f>
        <x:v>0</x:v>
      </x:c>
      <x:c r="AD505" s="15" t="n">
        <x:f>'기준스탯 72종'!H27*H505</x:f>
        <x:v>0</x:v>
      </x:c>
      <x:c r="AE505" s="15" t="n">
        <x:f>'기준스탯 72종'!I27*H505</x:f>
        <x:v>0</x:v>
      </x:c>
      <x:c r="AF505" s="15" t="n">
        <x:f>'기준스탯 72종'!J27*H505</x:f>
        <x:v>0</x:v>
      </x:c>
      <x:c r="AG505" s="15" t="n">
        <x:f>'기준스탯 72종'!K27*H505</x:f>
        <x:v>0</x:v>
      </x:c>
    </x:row>
    <x:row r="506" ht="28" customHeight="1">
      <x:c r="A506" s="2" t="n">
        <x:v>499</x:v>
      </x:c>
      <x:c r="B506" s="2" t="n">
        <x:v>20</x:v>
      </x:c>
      <x:c r="C506" s="2" t="str">
        <x:v>게자리</x:v>
      </x:c>
      <x:c r="D506" s="2" t="str">
        <x:v>마도사</x:v>
      </x:c>
      <x:c r="E506" s="2" t="n">
        <x:v>4</x:v>
      </x:c>
      <x:c r="F506" s="2" t="n">
        <x:v>5</x:v>
      </x:c>
      <x:c r="G506" s="14" t="n">
        <x:f>('레벨 계산식'!$E$4-E506)*'레벨 계산식'!$B$5</x:f>
        <x:v>0.13999999999999999</x:v>
      </x:c>
      <x:c r="H506" s="14" t="n">
        <x:f>('등급 계산식'!$E$4-F506)*'등급 계산식'!$B$5</x:f>
        <x:v>0</x:v>
      </x:c>
      <x:c r="I506" s="14" t="n">
        <x:f>1-G506-H506</x:f>
        <x:v>0.86</x:v>
      </x:c>
      <x:c r="J506" s="2" t="n">
        <x:f>MAX(1,ROUND('기준스탯 72종'!D27-R506-Z506,0))</x:f>
        <x:v>6</x:v>
      </x:c>
      <x:c r="K506" s="2" t="n">
        <x:f>MAX(1,ROUND('기준스탯 72종'!E27-S506-AA506,0))</x:f>
        <x:v>7</x:v>
      </x:c>
      <x:c r="L506" s="2" t="n">
        <x:f>MAX(1,ROUND('기준스탯 72종'!F27-T506-AB506,0))</x:f>
        <x:v>7</x:v>
      </x:c>
      <x:c r="M506" s="2" t="n">
        <x:f>MAX(1,ROUND('기준스탯 72종'!G27-U506-AC506,0))</x:f>
        <x:v>5</x:v>
      </x:c>
      <x:c r="N506" s="2" t="n">
        <x:f>MAX(0,ROUND('기준스탯 72종'!H27-V506-AD506,0))</x:f>
        <x:v>2</x:v>
      </x:c>
      <x:c r="O506" s="2" t="n">
        <x:f>MAX(0,ROUND('기준스탯 72종'!I27-W506-AE506,0))</x:f>
        <x:v>5</x:v>
      </x:c>
      <x:c r="P506" s="2" t="n">
        <x:f>MAX(0,ROUND('기준스탯 72종'!J27-X506-AF506,0))</x:f>
        <x:v>3</x:v>
      </x:c>
      <x:c r="Q506" s="2" t="n">
        <x:f>MAX(0,ROUND('기준스탯 72종'!K27-Y506-AG506,0))</x:f>
        <x:v>4</x:v>
      </x:c>
      <x:c r="R506" s="15" t="n">
        <x:f>'기준스탯 72종'!D27*G506</x:f>
        <x:v>0.9799999999999999</x:v>
      </x:c>
      <x:c r="S506" s="15" t="n">
        <x:f>'기준스탯 72종'!E27*G506</x:f>
        <x:v>1.1199999999999999</x:v>
      </x:c>
      <x:c r="T506" s="15" t="n">
        <x:f>'기준스탯 72종'!F27*G506</x:f>
        <x:v>1.1199999999999999</x:v>
      </x:c>
      <x:c r="U506" s="15" t="n">
        <x:f>'기준스탯 72종'!G27*G506</x:f>
        <x:v>0.8399999999999999</x:v>
      </x:c>
      <x:c r="V506" s="15" t="n">
        <x:f>'기준스탯 72종'!H27*G506</x:f>
        <x:v>0.27999999999999997</x:v>
      </x:c>
      <x:c r="W506" s="15" t="n">
        <x:f>'기준스탯 72종'!I27*G506</x:f>
        <x:v>0.8399999999999999</x:v>
      </x:c>
      <x:c r="X506" s="15" t="n">
        <x:f>'기준스탯 72종'!J27*G506</x:f>
        <x:v>0.41999999999999993</x:v>
      </x:c>
      <x:c r="Y506" s="15" t="n">
        <x:f>'기준스탯 72종'!K27*G506</x:f>
        <x:v>0.7</x:v>
      </x:c>
      <x:c r="Z506" s="15" t="n">
        <x:f>'기준스탯 72종'!D27*H506</x:f>
        <x:v>0</x:v>
      </x:c>
      <x:c r="AA506" s="15" t="n">
        <x:f>'기준스탯 72종'!E27*H506</x:f>
        <x:v>0</x:v>
      </x:c>
      <x:c r="AB506" s="15" t="n">
        <x:f>'기준스탯 72종'!F27*H506</x:f>
        <x:v>0</x:v>
      </x:c>
      <x:c r="AC506" s="15" t="n">
        <x:f>'기준스탯 72종'!G27*H506</x:f>
        <x:v>0</x:v>
      </x:c>
      <x:c r="AD506" s="15" t="n">
        <x:f>'기준스탯 72종'!H27*H506</x:f>
        <x:v>0</x:v>
      </x:c>
      <x:c r="AE506" s="15" t="n">
        <x:f>'기준스탯 72종'!I27*H506</x:f>
        <x:v>0</x:v>
      </x:c>
      <x:c r="AF506" s="15" t="n">
        <x:f>'기준스탯 72종'!J27*H506</x:f>
        <x:v>0</x:v>
      </x:c>
      <x:c r="AG506" s="15" t="n">
        <x:f>'기준스탯 72종'!K27*H506</x:f>
        <x:v>0</x:v>
      </x:c>
    </x:row>
    <x:row r="507" ht="28" customHeight="1">
      <x:c r="A507" s="2" t="n">
        <x:v>500</x:v>
      </x:c>
      <x:c r="B507" s="2" t="n">
        <x:v>20</x:v>
      </x:c>
      <x:c r="C507" s="2" t="str">
        <x:v>게자리</x:v>
      </x:c>
      <x:c r="D507" s="2" t="str">
        <x:v>마도사</x:v>
      </x:c>
      <x:c r="E507" s="2" t="n">
        <x:v>5</x:v>
      </x:c>
      <x:c r="F507" s="2" t="n">
        <x:v>5</x:v>
      </x:c>
      <x:c r="G507" s="14" t="n">
        <x:f>('레벨 계산식'!$E$4-E507)*'레벨 계산식'!$B$5</x:f>
        <x:v>0</x:v>
      </x:c>
      <x:c r="H507" s="14" t="n">
        <x:f>('등급 계산식'!$E$4-F507)*'등급 계산식'!$B$5</x:f>
        <x:v>0</x:v>
      </x:c>
      <x:c r="I507" s="14" t="n">
        <x:f>1-G507-H507</x:f>
        <x:v>1</x:v>
      </x:c>
      <x:c r="J507" s="2" t="n">
        <x:f>MAX(1,ROUND('기준스탯 72종'!D27-R507-Z507,0))</x:f>
        <x:v>7</x:v>
      </x:c>
      <x:c r="K507" s="2" t="n">
        <x:f>MAX(1,ROUND('기준스탯 72종'!E27-S507-AA507,0))</x:f>
        <x:v>8</x:v>
      </x:c>
      <x:c r="L507" s="2" t="n">
        <x:f>MAX(1,ROUND('기준스탯 72종'!F27-T507-AB507,0))</x:f>
        <x:v>8</x:v>
      </x:c>
      <x:c r="M507" s="2" t="n">
        <x:f>MAX(1,ROUND('기준스탯 72종'!G27-U507-AC507,0))</x:f>
        <x:v>6</x:v>
      </x:c>
      <x:c r="N507" s="2" t="n">
        <x:f>MAX(0,ROUND('기준스탯 72종'!H27-V507-AD507,0))</x:f>
        <x:v>2</x:v>
      </x:c>
      <x:c r="O507" s="2" t="n">
        <x:f>MAX(0,ROUND('기준스탯 72종'!I27-W507-AE507,0))</x:f>
        <x:v>6</x:v>
      </x:c>
      <x:c r="P507" s="2" t="n">
        <x:f>MAX(0,ROUND('기준스탯 72종'!J27-X507-AF507,0))</x:f>
        <x:v>3</x:v>
      </x:c>
      <x:c r="Q507" s="2" t="n">
        <x:f>MAX(0,ROUND('기준스탯 72종'!K27-Y507-AG507,0))</x:f>
        <x:v>5</x:v>
      </x:c>
      <x:c r="R507" s="15" t="n">
        <x:f>'기준스탯 72종'!D27*G507</x:f>
        <x:v>0</x:v>
      </x:c>
      <x:c r="S507" s="15" t="n">
        <x:f>'기준스탯 72종'!E27*G507</x:f>
        <x:v>0</x:v>
      </x:c>
      <x:c r="T507" s="15" t="n">
        <x:f>'기준스탯 72종'!F27*G507</x:f>
        <x:v>0</x:v>
      </x:c>
      <x:c r="U507" s="15" t="n">
        <x:f>'기준스탯 72종'!G27*G507</x:f>
        <x:v>0</x:v>
      </x:c>
      <x:c r="V507" s="15" t="n">
        <x:f>'기준스탯 72종'!H27*G507</x:f>
        <x:v>0</x:v>
      </x:c>
      <x:c r="W507" s="15" t="n">
        <x:f>'기준스탯 72종'!I27*G507</x:f>
        <x:v>0</x:v>
      </x:c>
      <x:c r="X507" s="15" t="n">
        <x:f>'기준스탯 72종'!J27*G507</x:f>
        <x:v>0</x:v>
      </x:c>
      <x:c r="Y507" s="15" t="n">
        <x:f>'기준스탯 72종'!K27*G507</x:f>
        <x:v>0</x:v>
      </x:c>
      <x:c r="Z507" s="15" t="n">
        <x:f>'기준스탯 72종'!D27*H507</x:f>
        <x:v>0</x:v>
      </x:c>
      <x:c r="AA507" s="15" t="n">
        <x:f>'기준스탯 72종'!E27*H507</x:f>
        <x:v>0</x:v>
      </x:c>
      <x:c r="AB507" s="15" t="n">
        <x:f>'기준스탯 72종'!F27*H507</x:f>
        <x:v>0</x:v>
      </x:c>
      <x:c r="AC507" s="15" t="n">
        <x:f>'기준스탯 72종'!G27*H507</x:f>
        <x:v>0</x:v>
      </x:c>
      <x:c r="AD507" s="15" t="n">
        <x:f>'기준스탯 72종'!H27*H507</x:f>
        <x:v>0</x:v>
      </x:c>
      <x:c r="AE507" s="15" t="n">
        <x:f>'기준스탯 72종'!I27*H507</x:f>
        <x:v>0</x:v>
      </x:c>
      <x:c r="AF507" s="15" t="n">
        <x:f>'기준스탯 72종'!J27*H507</x:f>
        <x:v>0</x:v>
      </x:c>
      <x:c r="AG507" s="15" t="n">
        <x:f>'기준스탯 72종'!K27*H507</x:f>
        <x:v>0</x:v>
      </x:c>
    </x:row>
    <x:row r="508" ht="28" customHeight="1">
      <x:c r="A508" s="2" t="n">
        <x:v>501</x:v>
      </x:c>
      <x:c r="B508" s="2" t="n">
        <x:v>21</x:v>
      </x:c>
      <x:c r="C508" s="2" t="str">
        <x:v>게자리</x:v>
      </x:c>
      <x:c r="D508" s="2" t="str">
        <x:v>사수</x:v>
      </x:c>
      <x:c r="E508" s="2" t="n">
        <x:v>1</x:v>
      </x:c>
      <x:c r="F508" s="2" t="n">
        <x:v>1</x:v>
      </x:c>
      <x:c r="G508" s="14" t="n">
        <x:f>('레벨 계산식'!$E$4-E508)*'레벨 계산식'!$B$5</x:f>
        <x:v>0.5599999999999999</x:v>
      </x:c>
      <x:c r="H508" s="14" t="n">
        <x:f>('등급 계산식'!$E$4-F508)*'등급 계산식'!$B$5</x:f>
        <x:v>0.24000000000000005</x:v>
      </x:c>
      <x:c r="I508" s="14" t="n">
        <x:f>1-G508-H508</x:f>
        <x:v>0.2</x:v>
      </x:c>
      <x:c r="J508" s="2" t="n">
        <x:f>MAX(1,ROUND('기준스탯 72종'!D28-R508-Z508,0))</x:f>
        <x:v>1</x:v>
      </x:c>
      <x:c r="K508" s="2" t="n">
        <x:f>MAX(1,ROUND('기준스탯 72종'!E28-S508-AA508,0))</x:f>
        <x:v>2</x:v>
      </x:c>
      <x:c r="L508" s="2" t="n">
        <x:f>MAX(1,ROUND('기준스탯 72종'!F28-T508-AB508,0))</x:f>
        <x:v>2</x:v>
      </x:c>
      <x:c r="M508" s="2" t="n">
        <x:f>MAX(1,ROUND('기준스탯 72종'!G28-U508-AC508,0))</x:f>
        <x:v>1</x:v>
      </x:c>
      <x:c r="N508" s="2" t="n">
        <x:f>MAX(0,ROUND('기준스탯 72종'!H28-V508-AD508,0))</x:f>
        <x:v>1</x:v>
      </x:c>
      <x:c r="O508" s="2" t="n">
        <x:f>MAX(0,ROUND('기준스탯 72종'!I28-W508-AE508,0))</x:f>
        <x:v>1</x:v>
      </x:c>
      <x:c r="P508" s="2" t="n">
        <x:f>MAX(0,ROUND('기준스탯 72종'!J28-X508-AF508,0))</x:f>
        <x:v>1</x:v>
      </x:c>
      <x:c r="Q508" s="2" t="n">
        <x:f>MAX(0,ROUND('기준스탯 72종'!K28-Y508-AG508,0))</x:f>
        <x:v>1</x:v>
      </x:c>
      <x:c r="R508" s="15" t="n">
        <x:f>'기준스탯 72종'!D28*G508</x:f>
        <x:v>3.3599999999999994</x:v>
      </x:c>
      <x:c r="S508" s="15" t="n">
        <x:f>'기준스탯 72종'!E28*G508</x:f>
        <x:v>5.039999999999999</x:v>
      </x:c>
      <x:c r="T508" s="15" t="n">
        <x:f>'기준스탯 72종'!F28*G508</x:f>
        <x:v>4.4799999999999995</x:v>
      </x:c>
      <x:c r="U508" s="15" t="n">
        <x:f>'기준스탯 72종'!G28*G508</x:f>
        <x:v>3.9199999999999995</x:v>
      </x:c>
      <x:c r="V508" s="15" t="n">
        <x:f>'기준스탯 72종'!H28*G508</x:f>
        <x:v>1.6799999999999997</x:v>
      </x:c>
      <x:c r="W508" s="15" t="n">
        <x:f>'기준스탯 72종'!I28*G508</x:f>
        <x:v>2.2399999999999998</x:v>
      </x:c>
      <x:c r="X508" s="15" t="n">
        <x:f>'기준스탯 72종'!J28*G508</x:f>
        <x:v>2.2399999999999998</x:v>
      </x:c>
      <x:c r="Y508" s="15" t="n">
        <x:f>'기준스탯 72종'!K28*G508</x:f>
        <x:v>2.8</x:v>
      </x:c>
      <x:c r="Z508" s="15" t="n">
        <x:f>'기준스탯 72종'!D28*H508</x:f>
        <x:v>1.4400000000000004</x:v>
      </x:c>
      <x:c r="AA508" s="15" t="n">
        <x:f>'기준스탯 72종'!E28*H508</x:f>
        <x:v>2.1600000000000006</x:v>
      </x:c>
      <x:c r="AB508" s="15" t="n">
        <x:f>'기준스탯 72종'!F28*H508</x:f>
        <x:v>1.9200000000000004</x:v>
      </x:c>
      <x:c r="AC508" s="15" t="n">
        <x:f>'기준스탯 72종'!G28*H508</x:f>
        <x:v>1.6800000000000004</x:v>
      </x:c>
      <x:c r="AD508" s="15" t="n">
        <x:f>'기준스탯 72종'!H28*H508</x:f>
        <x:v>0.7200000000000002</x:v>
      </x:c>
      <x:c r="AE508" s="15" t="n">
        <x:f>'기준스탯 72종'!I28*H508</x:f>
        <x:v>0.9600000000000002</x:v>
      </x:c>
      <x:c r="AF508" s="15" t="n">
        <x:f>'기준스탯 72종'!J28*H508</x:f>
        <x:v>0.9600000000000002</x:v>
      </x:c>
      <x:c r="AG508" s="15" t="n">
        <x:f>'기준스탯 72종'!K28*H508</x:f>
        <x:v>1.2000000000000002</x:v>
      </x:c>
    </x:row>
    <x:row r="509" ht="28" customHeight="1">
      <x:c r="A509" s="2" t="n">
        <x:v>502</x:v>
      </x:c>
      <x:c r="B509" s="2" t="n">
        <x:v>21</x:v>
      </x:c>
      <x:c r="C509" s="2" t="str">
        <x:v>게자리</x:v>
      </x:c>
      <x:c r="D509" s="2" t="str">
        <x:v>사수</x:v>
      </x:c>
      <x:c r="E509" s="2" t="n">
        <x:v>2</x:v>
      </x:c>
      <x:c r="F509" s="2" t="n">
        <x:v>1</x:v>
      </x:c>
      <x:c r="G509" s="14" t="n">
        <x:f>('레벨 계산식'!$E$4-E509)*'레벨 계산식'!$B$5</x:f>
        <x:v>0.41999999999999993</x:v>
      </x:c>
      <x:c r="H509" s="14" t="n">
        <x:f>('등급 계산식'!$E$4-F509)*'등급 계산식'!$B$5</x:f>
        <x:v>0.24000000000000005</x:v>
      </x:c>
      <x:c r="I509" s="14" t="n">
        <x:f>1-G509-H509</x:f>
        <x:v>0.34</x:v>
      </x:c>
      <x:c r="J509" s="2" t="n">
        <x:f>MAX(1,ROUND('기준스탯 72종'!D28-R509-Z509,0))</x:f>
        <x:v>2</x:v>
      </x:c>
      <x:c r="K509" s="2" t="n">
        <x:f>MAX(1,ROUND('기준스탯 72종'!E28-S509-AA509,0))</x:f>
        <x:v>3</x:v>
      </x:c>
      <x:c r="L509" s="2" t="n">
        <x:f>MAX(1,ROUND('기준스탯 72종'!F28-T509-AB509,0))</x:f>
        <x:v>3</x:v>
      </x:c>
      <x:c r="M509" s="2" t="n">
        <x:f>MAX(1,ROUND('기준스탯 72종'!G28-U509-AC509,0))</x:f>
        <x:v>2</x:v>
      </x:c>
      <x:c r="N509" s="2" t="n">
        <x:f>MAX(0,ROUND('기준스탯 72종'!H28-V509-AD509,0))</x:f>
        <x:v>1</x:v>
      </x:c>
      <x:c r="O509" s="2" t="n">
        <x:f>MAX(0,ROUND('기준스탯 72종'!I28-W509-AE509,0))</x:f>
        <x:v>1</x:v>
      </x:c>
      <x:c r="P509" s="2" t="n">
        <x:f>MAX(0,ROUND('기준스탯 72종'!J28-X509-AF509,0))</x:f>
        <x:v>1</x:v>
      </x:c>
      <x:c r="Q509" s="2" t="n">
        <x:f>MAX(0,ROUND('기준스탯 72종'!K28-Y509-AG509,0))</x:f>
        <x:v>2</x:v>
      </x:c>
      <x:c r="R509" s="15" t="n">
        <x:f>'기준스탯 72종'!D28*G509</x:f>
        <x:v>2.5199999999999996</x:v>
      </x:c>
      <x:c r="S509" s="15" t="n">
        <x:f>'기준스탯 72종'!E28*G509</x:f>
        <x:v>3.7799999999999994</x:v>
      </x:c>
      <x:c r="T509" s="15" t="n">
        <x:f>'기준스탯 72종'!F28*G509</x:f>
        <x:v>3.3599999999999994</x:v>
      </x:c>
      <x:c r="U509" s="15" t="n">
        <x:f>'기준스탯 72종'!G28*G509</x:f>
        <x:v>2.9399999999999995</x:v>
      </x:c>
      <x:c r="V509" s="15" t="n">
        <x:f>'기준스탯 72종'!H28*G509</x:f>
        <x:v>1.2599999999999998</x:v>
      </x:c>
      <x:c r="W509" s="15" t="n">
        <x:f>'기준스탯 72종'!I28*G509</x:f>
        <x:v>1.6799999999999997</x:v>
      </x:c>
      <x:c r="X509" s="15" t="n">
        <x:f>'기준스탯 72종'!J28*G509</x:f>
        <x:v>1.6799999999999997</x:v>
      </x:c>
      <x:c r="Y509" s="15" t="n">
        <x:f>'기준스탯 72종'!K28*G509</x:f>
        <x:v>2.0999999999999996</x:v>
      </x:c>
      <x:c r="Z509" s="15" t="n">
        <x:f>'기준스탯 72종'!D28*H509</x:f>
        <x:v>1.4400000000000004</x:v>
      </x:c>
      <x:c r="AA509" s="15" t="n">
        <x:f>'기준스탯 72종'!E28*H509</x:f>
        <x:v>2.1600000000000006</x:v>
      </x:c>
      <x:c r="AB509" s="15" t="n">
        <x:f>'기준스탯 72종'!F28*H509</x:f>
        <x:v>1.9200000000000004</x:v>
      </x:c>
      <x:c r="AC509" s="15" t="n">
        <x:f>'기준스탯 72종'!G28*H509</x:f>
        <x:v>1.6800000000000004</x:v>
      </x:c>
      <x:c r="AD509" s="15" t="n">
        <x:f>'기준스탯 72종'!H28*H509</x:f>
        <x:v>0.7200000000000002</x:v>
      </x:c>
      <x:c r="AE509" s="15" t="n">
        <x:f>'기준스탯 72종'!I28*H509</x:f>
        <x:v>0.9600000000000002</x:v>
      </x:c>
      <x:c r="AF509" s="15" t="n">
        <x:f>'기준스탯 72종'!J28*H509</x:f>
        <x:v>0.9600000000000002</x:v>
      </x:c>
      <x:c r="AG509" s="15" t="n">
        <x:f>'기준스탯 72종'!K28*H509</x:f>
        <x:v>1.2000000000000002</x:v>
      </x:c>
    </x:row>
    <x:row r="510" ht="28" customHeight="1">
      <x:c r="A510" s="2" t="n">
        <x:v>503</x:v>
      </x:c>
      <x:c r="B510" s="2" t="n">
        <x:v>21</x:v>
      </x:c>
      <x:c r="C510" s="2" t="str">
        <x:v>게자리</x:v>
      </x:c>
      <x:c r="D510" s="2" t="str">
        <x:v>사수</x:v>
      </x:c>
      <x:c r="E510" s="2" t="n">
        <x:v>3</x:v>
      </x:c>
      <x:c r="F510" s="2" t="n">
        <x:v>1</x:v>
      </x:c>
      <x:c r="G510" s="14" t="n">
        <x:f>('레벨 계산식'!$E$4-E510)*'레벨 계산식'!$B$5</x:f>
        <x:v>0.27999999999999997</x:v>
      </x:c>
      <x:c r="H510" s="14" t="n">
        <x:f>('등급 계산식'!$E$4-F510)*'등급 계산식'!$B$5</x:f>
        <x:v>0.24000000000000005</x:v>
      </x:c>
      <x:c r="I510" s="14" t="n">
        <x:f>1-G510-H510</x:f>
        <x:v>0.4799999999999999</x:v>
      </x:c>
      <x:c r="J510" s="2" t="n">
        <x:f>MAX(1,ROUND('기준스탯 72종'!D28-R510-Z510,0))</x:f>
        <x:v>3</x:v>
      </x:c>
      <x:c r="K510" s="2" t="n">
        <x:f>MAX(1,ROUND('기준스탯 72종'!E28-S510-AA510,0))</x:f>
        <x:v>4</x:v>
      </x:c>
      <x:c r="L510" s="2" t="n">
        <x:f>MAX(1,ROUND('기준스탯 72종'!F28-T510-AB510,0))</x:f>
        <x:v>4</x:v>
      </x:c>
      <x:c r="M510" s="2" t="n">
        <x:f>MAX(1,ROUND('기준스탯 72종'!G28-U510-AC510,0))</x:f>
        <x:v>3</x:v>
      </x:c>
      <x:c r="N510" s="2" t="n">
        <x:f>MAX(0,ROUND('기준스탯 72종'!H28-V510-AD510,0))</x:f>
        <x:v>1</x:v>
      </x:c>
      <x:c r="O510" s="2" t="n">
        <x:f>MAX(0,ROUND('기준스탯 72종'!I28-W510-AE510,0))</x:f>
        <x:v>2</x:v>
      </x:c>
      <x:c r="P510" s="2" t="n">
        <x:f>MAX(0,ROUND('기준스탯 72종'!J28-X510-AF510,0))</x:f>
        <x:v>2</x:v>
      </x:c>
      <x:c r="Q510" s="2" t="n">
        <x:f>MAX(0,ROUND('기준스탯 72종'!K28-Y510-AG510,0))</x:f>
        <x:v>2</x:v>
      </x:c>
      <x:c r="R510" s="15" t="n">
        <x:f>'기준스탯 72종'!D28*G510</x:f>
        <x:v>1.6799999999999997</x:v>
      </x:c>
      <x:c r="S510" s="15" t="n">
        <x:f>'기준스탯 72종'!E28*G510</x:f>
        <x:v>2.5199999999999996</x:v>
      </x:c>
      <x:c r="T510" s="15" t="n">
        <x:f>'기준스탯 72종'!F28*G510</x:f>
        <x:v>2.2399999999999998</x:v>
      </x:c>
      <x:c r="U510" s="15" t="n">
        <x:f>'기준스탯 72종'!G28*G510</x:f>
        <x:v>1.9599999999999997</x:v>
      </x:c>
      <x:c r="V510" s="15" t="n">
        <x:f>'기준스탯 72종'!H28*G510</x:f>
        <x:v>0.8399999999999999</x:v>
      </x:c>
      <x:c r="W510" s="15" t="n">
        <x:f>'기준스탯 72종'!I28*G510</x:f>
        <x:v>1.1199999999999999</x:v>
      </x:c>
      <x:c r="X510" s="15" t="n">
        <x:f>'기준스탯 72종'!J28*G510</x:f>
        <x:v>1.1199999999999999</x:v>
      </x:c>
      <x:c r="Y510" s="15" t="n">
        <x:f>'기준스탯 72종'!K28*G510</x:f>
        <x:v>1.4</x:v>
      </x:c>
      <x:c r="Z510" s="15" t="n">
        <x:f>'기준스탯 72종'!D28*H510</x:f>
        <x:v>1.4400000000000004</x:v>
      </x:c>
      <x:c r="AA510" s="15" t="n">
        <x:f>'기준스탯 72종'!E28*H510</x:f>
        <x:v>2.1600000000000006</x:v>
      </x:c>
      <x:c r="AB510" s="15" t="n">
        <x:f>'기준스탯 72종'!F28*H510</x:f>
        <x:v>1.9200000000000004</x:v>
      </x:c>
      <x:c r="AC510" s="15" t="n">
        <x:f>'기준스탯 72종'!G28*H510</x:f>
        <x:v>1.6800000000000004</x:v>
      </x:c>
      <x:c r="AD510" s="15" t="n">
        <x:f>'기준스탯 72종'!H28*H510</x:f>
        <x:v>0.7200000000000002</x:v>
      </x:c>
      <x:c r="AE510" s="15" t="n">
        <x:f>'기준스탯 72종'!I28*H510</x:f>
        <x:v>0.9600000000000002</x:v>
      </x:c>
      <x:c r="AF510" s="15" t="n">
        <x:f>'기준스탯 72종'!J28*H510</x:f>
        <x:v>0.9600000000000002</x:v>
      </x:c>
      <x:c r="AG510" s="15" t="n">
        <x:f>'기준스탯 72종'!K28*H510</x:f>
        <x:v>1.2000000000000002</x:v>
      </x:c>
    </x:row>
    <x:row r="511" ht="28" customHeight="1">
      <x:c r="A511" s="2" t="n">
        <x:v>504</x:v>
      </x:c>
      <x:c r="B511" s="2" t="n">
        <x:v>21</x:v>
      </x:c>
      <x:c r="C511" s="2" t="str">
        <x:v>게자리</x:v>
      </x:c>
      <x:c r="D511" s="2" t="str">
        <x:v>사수</x:v>
      </x:c>
      <x:c r="E511" s="2" t="n">
        <x:v>4</x:v>
      </x:c>
      <x:c r="F511" s="2" t="n">
        <x:v>1</x:v>
      </x:c>
      <x:c r="G511" s="14" t="n">
        <x:f>('레벨 계산식'!$E$4-E511)*'레벨 계산식'!$B$5</x:f>
        <x:v>0.13999999999999999</x:v>
      </x:c>
      <x:c r="H511" s="14" t="n">
        <x:f>('등급 계산식'!$E$4-F511)*'등급 계산식'!$B$5</x:f>
        <x:v>0.24000000000000005</x:v>
      </x:c>
      <x:c r="I511" s="14" t="n">
        <x:f>1-G511-H511</x:f>
        <x:v>0.6199999999999999</x:v>
      </x:c>
      <x:c r="J511" s="2" t="n">
        <x:f>MAX(1,ROUND('기준스탯 72종'!D28-R511-Z511,0))</x:f>
        <x:v>4</x:v>
      </x:c>
      <x:c r="K511" s="2" t="n">
        <x:f>MAX(1,ROUND('기준스탯 72종'!E28-S511-AA511,0))</x:f>
        <x:v>6</x:v>
      </x:c>
      <x:c r="L511" s="2" t="n">
        <x:f>MAX(1,ROUND('기준스탯 72종'!F28-T511-AB511,0))</x:f>
        <x:v>5</x:v>
      </x:c>
      <x:c r="M511" s="2" t="n">
        <x:f>MAX(1,ROUND('기준스탯 72종'!G28-U511-AC511,0))</x:f>
        <x:v>4</x:v>
      </x:c>
      <x:c r="N511" s="2" t="n">
        <x:f>MAX(0,ROUND('기준스탯 72종'!H28-V511-AD511,0))</x:f>
        <x:v>2</x:v>
      </x:c>
      <x:c r="O511" s="2" t="n">
        <x:f>MAX(0,ROUND('기준스탯 72종'!I28-W511-AE511,0))</x:f>
        <x:v>2</x:v>
      </x:c>
      <x:c r="P511" s="2" t="n">
        <x:f>MAX(0,ROUND('기준스탯 72종'!J28-X511-AF511,0))</x:f>
        <x:v>2</x:v>
      </x:c>
      <x:c r="Q511" s="2" t="n">
        <x:f>MAX(0,ROUND('기준스탯 72종'!K28-Y511-AG511,0))</x:f>
        <x:v>3</x:v>
      </x:c>
      <x:c r="R511" s="15" t="n">
        <x:f>'기준스탯 72종'!D28*G511</x:f>
        <x:v>0.8399999999999999</x:v>
      </x:c>
      <x:c r="S511" s="15" t="n">
        <x:f>'기준스탯 72종'!E28*G511</x:f>
        <x:v>1.2599999999999998</x:v>
      </x:c>
      <x:c r="T511" s="15" t="n">
        <x:f>'기준스탯 72종'!F28*G511</x:f>
        <x:v>1.1199999999999999</x:v>
      </x:c>
      <x:c r="U511" s="15" t="n">
        <x:f>'기준스탯 72종'!G28*G511</x:f>
        <x:v>0.9799999999999999</x:v>
      </x:c>
      <x:c r="V511" s="15" t="n">
        <x:f>'기준스탯 72종'!H28*G511</x:f>
        <x:v>0.41999999999999993</x:v>
      </x:c>
      <x:c r="W511" s="15" t="n">
        <x:f>'기준스탯 72종'!I28*G511</x:f>
        <x:v>0.5599999999999999</x:v>
      </x:c>
      <x:c r="X511" s="15" t="n">
        <x:f>'기준스탯 72종'!J28*G511</x:f>
        <x:v>0.5599999999999999</x:v>
      </x:c>
      <x:c r="Y511" s="15" t="n">
        <x:f>'기준스탯 72종'!K28*G511</x:f>
        <x:v>0.7</x:v>
      </x:c>
      <x:c r="Z511" s="15" t="n">
        <x:f>'기준스탯 72종'!D28*H511</x:f>
        <x:v>1.4400000000000004</x:v>
      </x:c>
      <x:c r="AA511" s="15" t="n">
        <x:f>'기준스탯 72종'!E28*H511</x:f>
        <x:v>2.1600000000000006</x:v>
      </x:c>
      <x:c r="AB511" s="15" t="n">
        <x:f>'기준스탯 72종'!F28*H511</x:f>
        <x:v>1.9200000000000004</x:v>
      </x:c>
      <x:c r="AC511" s="15" t="n">
        <x:f>'기준스탯 72종'!G28*H511</x:f>
        <x:v>1.6800000000000004</x:v>
      </x:c>
      <x:c r="AD511" s="15" t="n">
        <x:f>'기준스탯 72종'!H28*H511</x:f>
        <x:v>0.7200000000000002</x:v>
      </x:c>
      <x:c r="AE511" s="15" t="n">
        <x:f>'기준스탯 72종'!I28*H511</x:f>
        <x:v>0.9600000000000002</x:v>
      </x:c>
      <x:c r="AF511" s="15" t="n">
        <x:f>'기준스탯 72종'!J28*H511</x:f>
        <x:v>0.9600000000000002</x:v>
      </x:c>
      <x:c r="AG511" s="15" t="n">
        <x:f>'기준스탯 72종'!K28*H511</x:f>
        <x:v>1.2000000000000002</x:v>
      </x:c>
    </x:row>
    <x:row r="512" ht="28" customHeight="1">
      <x:c r="A512" s="2" t="n">
        <x:v>505</x:v>
      </x:c>
      <x:c r="B512" s="2" t="n">
        <x:v>21</x:v>
      </x:c>
      <x:c r="C512" s="2" t="str">
        <x:v>게자리</x:v>
      </x:c>
      <x:c r="D512" s="2" t="str">
        <x:v>사수</x:v>
      </x:c>
      <x:c r="E512" s="2" t="n">
        <x:v>5</x:v>
      </x:c>
      <x:c r="F512" s="2" t="n">
        <x:v>1</x:v>
      </x:c>
      <x:c r="G512" s="14" t="n">
        <x:f>('레벨 계산식'!$E$4-E512)*'레벨 계산식'!$B$5</x:f>
        <x:v>0</x:v>
      </x:c>
      <x:c r="H512" s="14" t="n">
        <x:f>('등급 계산식'!$E$4-F512)*'등급 계산식'!$B$5</x:f>
        <x:v>0.24000000000000005</x:v>
      </x:c>
      <x:c r="I512" s="14" t="n">
        <x:f>1-G512-H512</x:f>
        <x:v>0.76</x:v>
      </x:c>
      <x:c r="J512" s="2" t="n">
        <x:f>MAX(1,ROUND('기준스탯 72종'!D28-R512-Z512,0))</x:f>
        <x:v>5</x:v>
      </x:c>
      <x:c r="K512" s="2" t="n">
        <x:f>MAX(1,ROUND('기준스탯 72종'!E28-S512-AA512,0))</x:f>
        <x:v>7</x:v>
      </x:c>
      <x:c r="L512" s="2" t="n">
        <x:f>MAX(1,ROUND('기준스탯 72종'!F28-T512-AB512,0))</x:f>
        <x:v>6</x:v>
      </x:c>
      <x:c r="M512" s="2" t="n">
        <x:f>MAX(1,ROUND('기준스탯 72종'!G28-U512-AC512,0))</x:f>
        <x:v>5</x:v>
      </x:c>
      <x:c r="N512" s="2" t="n">
        <x:f>MAX(0,ROUND('기준스탯 72종'!H28-V512-AD512,0))</x:f>
        <x:v>2</x:v>
      </x:c>
      <x:c r="O512" s="2" t="n">
        <x:f>MAX(0,ROUND('기준스탯 72종'!I28-W512-AE512,0))</x:f>
        <x:v>3</x:v>
      </x:c>
      <x:c r="P512" s="2" t="n">
        <x:f>MAX(0,ROUND('기준스탯 72종'!J28-X512-AF512,0))</x:f>
        <x:v>3</x:v>
      </x:c>
      <x:c r="Q512" s="2" t="n">
        <x:f>MAX(0,ROUND('기준스탯 72종'!K28-Y512-AG512,0))</x:f>
        <x:v>4</x:v>
      </x:c>
      <x:c r="R512" s="15" t="n">
        <x:f>'기준스탯 72종'!D28*G512</x:f>
        <x:v>0</x:v>
      </x:c>
      <x:c r="S512" s="15" t="n">
        <x:f>'기준스탯 72종'!E28*G512</x:f>
        <x:v>0</x:v>
      </x:c>
      <x:c r="T512" s="15" t="n">
        <x:f>'기준스탯 72종'!F28*G512</x:f>
        <x:v>0</x:v>
      </x:c>
      <x:c r="U512" s="15" t="n">
        <x:f>'기준스탯 72종'!G28*G512</x:f>
        <x:v>0</x:v>
      </x:c>
      <x:c r="V512" s="15" t="n">
        <x:f>'기준스탯 72종'!H28*G512</x:f>
        <x:v>0</x:v>
      </x:c>
      <x:c r="W512" s="15" t="n">
        <x:f>'기준스탯 72종'!I28*G512</x:f>
        <x:v>0</x:v>
      </x:c>
      <x:c r="X512" s="15" t="n">
        <x:f>'기준스탯 72종'!J28*G512</x:f>
        <x:v>0</x:v>
      </x:c>
      <x:c r="Y512" s="15" t="n">
        <x:f>'기준스탯 72종'!K28*G512</x:f>
        <x:v>0</x:v>
      </x:c>
      <x:c r="Z512" s="15" t="n">
        <x:f>'기준스탯 72종'!D28*H512</x:f>
        <x:v>1.4400000000000004</x:v>
      </x:c>
      <x:c r="AA512" s="15" t="n">
        <x:f>'기준스탯 72종'!E28*H512</x:f>
        <x:v>2.1600000000000006</x:v>
      </x:c>
      <x:c r="AB512" s="15" t="n">
        <x:f>'기준스탯 72종'!F28*H512</x:f>
        <x:v>1.9200000000000004</x:v>
      </x:c>
      <x:c r="AC512" s="15" t="n">
        <x:f>'기준스탯 72종'!G28*H512</x:f>
        <x:v>1.6800000000000004</x:v>
      </x:c>
      <x:c r="AD512" s="15" t="n">
        <x:f>'기준스탯 72종'!H28*H512</x:f>
        <x:v>0.7200000000000002</x:v>
      </x:c>
      <x:c r="AE512" s="15" t="n">
        <x:f>'기준스탯 72종'!I28*H512</x:f>
        <x:v>0.9600000000000002</x:v>
      </x:c>
      <x:c r="AF512" s="15" t="n">
        <x:f>'기준스탯 72종'!J28*H512</x:f>
        <x:v>0.9600000000000002</x:v>
      </x:c>
      <x:c r="AG512" s="15" t="n">
        <x:f>'기준스탯 72종'!K28*H512</x:f>
        <x:v>1.2000000000000002</x:v>
      </x:c>
    </x:row>
    <x:row r="513" ht="28" customHeight="1">
      <x:c r="A513" s="2" t="n">
        <x:v>506</x:v>
      </x:c>
      <x:c r="B513" s="2" t="n">
        <x:v>21</x:v>
      </x:c>
      <x:c r="C513" s="2" t="str">
        <x:v>게자리</x:v>
      </x:c>
      <x:c r="D513" s="2" t="str">
        <x:v>사수</x:v>
      </x:c>
      <x:c r="E513" s="2" t="n">
        <x:v>1</x:v>
      </x:c>
      <x:c r="F513" s="2" t="n">
        <x:v>2</x:v>
      </x:c>
      <x:c r="G513" s="14" t="n">
        <x:f>('레벨 계산식'!$E$4-E513)*'레벨 계산식'!$B$5</x:f>
        <x:v>0.5599999999999999</x:v>
      </x:c>
      <x:c r="H513" s="14" t="n">
        <x:f>('등급 계산식'!$E$4-F513)*'등급 계산식'!$B$5</x:f>
        <x:v>0.18000000000000005</x:v>
      </x:c>
      <x:c r="I513" s="14" t="n">
        <x:f>1-G513-H513</x:f>
        <x:v>0.26</x:v>
      </x:c>
      <x:c r="J513" s="2" t="n">
        <x:f>MAX(1,ROUND('기준스탯 72종'!D28-R513-Z513,0))</x:f>
        <x:v>2</x:v>
      </x:c>
      <x:c r="K513" s="2" t="n">
        <x:f>MAX(1,ROUND('기준스탯 72종'!E28-S513-AA513,0))</x:f>
        <x:v>2</x:v>
      </x:c>
      <x:c r="L513" s="2" t="n">
        <x:f>MAX(1,ROUND('기준스탯 72종'!F28-T513-AB513,0))</x:f>
        <x:v>2</x:v>
      </x:c>
      <x:c r="M513" s="2" t="n">
        <x:f>MAX(1,ROUND('기준스탯 72종'!G28-U513-AC513,0))</x:f>
        <x:v>2</x:v>
      </x:c>
      <x:c r="N513" s="2" t="n">
        <x:f>MAX(0,ROUND('기준스탯 72종'!H28-V513-AD513,0))</x:f>
        <x:v>1</x:v>
      </x:c>
      <x:c r="O513" s="2" t="n">
        <x:f>MAX(0,ROUND('기준스탯 72종'!I28-W513-AE513,0))</x:f>
        <x:v>1</x:v>
      </x:c>
      <x:c r="P513" s="2" t="n">
        <x:f>MAX(0,ROUND('기준스탯 72종'!J28-X513-AF513,0))</x:f>
        <x:v>1</x:v>
      </x:c>
      <x:c r="Q513" s="2" t="n">
        <x:f>MAX(0,ROUND('기준스탯 72종'!K28-Y513-AG513,0))</x:f>
        <x:v>1</x:v>
      </x:c>
      <x:c r="R513" s="15" t="n">
        <x:f>'기준스탯 72종'!D28*G513</x:f>
        <x:v>3.3599999999999994</x:v>
      </x:c>
      <x:c r="S513" s="15" t="n">
        <x:f>'기준스탯 72종'!E28*G513</x:f>
        <x:v>5.039999999999999</x:v>
      </x:c>
      <x:c r="T513" s="15" t="n">
        <x:f>'기준스탯 72종'!F28*G513</x:f>
        <x:v>4.4799999999999995</x:v>
      </x:c>
      <x:c r="U513" s="15" t="n">
        <x:f>'기준스탯 72종'!G28*G513</x:f>
        <x:v>3.9199999999999995</x:v>
      </x:c>
      <x:c r="V513" s="15" t="n">
        <x:f>'기준스탯 72종'!H28*G513</x:f>
        <x:v>1.6799999999999997</x:v>
      </x:c>
      <x:c r="W513" s="15" t="n">
        <x:f>'기준스탯 72종'!I28*G513</x:f>
        <x:v>2.2399999999999998</x:v>
      </x:c>
      <x:c r="X513" s="15" t="n">
        <x:f>'기준스탯 72종'!J28*G513</x:f>
        <x:v>2.2399999999999998</x:v>
      </x:c>
      <x:c r="Y513" s="15" t="n">
        <x:f>'기준스탯 72종'!K28*G513</x:f>
        <x:v>2.8</x:v>
      </x:c>
      <x:c r="Z513" s="15" t="n">
        <x:f>'기준스탯 72종'!D28*H513</x:f>
        <x:v>1.0800000000000003</x:v>
      </x:c>
      <x:c r="AA513" s="15" t="n">
        <x:f>'기준스탯 72종'!E28*H513</x:f>
        <x:v>1.6200000000000006</x:v>
      </x:c>
      <x:c r="AB513" s="15" t="n">
        <x:f>'기준스탯 72종'!F28*H513</x:f>
        <x:v>1.4400000000000004</x:v>
      </x:c>
      <x:c r="AC513" s="15" t="n">
        <x:f>'기준스탯 72종'!G28*H513</x:f>
        <x:v>1.2600000000000002</x:v>
      </x:c>
      <x:c r="AD513" s="15" t="n">
        <x:f>'기준스탯 72종'!H28*H513</x:f>
        <x:v>0.5400000000000001</x:v>
      </x:c>
      <x:c r="AE513" s="15" t="n">
        <x:f>'기준스탯 72종'!I28*H513</x:f>
        <x:v>0.7200000000000002</x:v>
      </x:c>
      <x:c r="AF513" s="15" t="n">
        <x:f>'기준스탯 72종'!J28*H513</x:f>
        <x:v>0.7200000000000002</x:v>
      </x:c>
      <x:c r="AG513" s="15" t="n">
        <x:f>'기준스탯 72종'!K28*H513</x:f>
        <x:v>0.9000000000000002</x:v>
      </x:c>
    </x:row>
    <x:row r="514" ht="28" customHeight="1">
      <x:c r="A514" s="2" t="n">
        <x:v>507</x:v>
      </x:c>
      <x:c r="B514" s="2" t="n">
        <x:v>21</x:v>
      </x:c>
      <x:c r="C514" s="2" t="str">
        <x:v>게자리</x:v>
      </x:c>
      <x:c r="D514" s="2" t="str">
        <x:v>사수</x:v>
      </x:c>
      <x:c r="E514" s="2" t="n">
        <x:v>2</x:v>
      </x:c>
      <x:c r="F514" s="2" t="n">
        <x:v>2</x:v>
      </x:c>
      <x:c r="G514" s="14" t="n">
        <x:f>('레벨 계산식'!$E$4-E514)*'레벨 계산식'!$B$5</x:f>
        <x:v>0.41999999999999993</x:v>
      </x:c>
      <x:c r="H514" s="14" t="n">
        <x:f>('등급 계산식'!$E$4-F514)*'등급 계산식'!$B$5</x:f>
        <x:v>0.18000000000000005</x:v>
      </x:c>
      <x:c r="I514" s="14" t="n">
        <x:f>1-G514-H514</x:f>
        <x:v>0.4</x:v>
      </x:c>
      <x:c r="J514" s="2" t="n">
        <x:f>MAX(1,ROUND('기준스탯 72종'!D28-R514-Z514,0))</x:f>
        <x:v>2</x:v>
      </x:c>
      <x:c r="K514" s="2" t="n">
        <x:f>MAX(1,ROUND('기준스탯 72종'!E28-S514-AA514,0))</x:f>
        <x:v>4</x:v>
      </x:c>
      <x:c r="L514" s="2" t="n">
        <x:f>MAX(1,ROUND('기준스탯 72종'!F28-T514-AB514,0))</x:f>
        <x:v>3</x:v>
      </x:c>
      <x:c r="M514" s="2" t="n">
        <x:f>MAX(1,ROUND('기준스탯 72종'!G28-U514-AC514,0))</x:f>
        <x:v>3</x:v>
      </x:c>
      <x:c r="N514" s="2" t="n">
        <x:f>MAX(0,ROUND('기준스탯 72종'!H28-V514-AD514,0))</x:f>
        <x:v>1</x:v>
      </x:c>
      <x:c r="O514" s="2" t="n">
        <x:f>MAX(0,ROUND('기준스탯 72종'!I28-W514-AE514,0))</x:f>
        <x:v>2</x:v>
      </x:c>
      <x:c r="P514" s="2" t="n">
        <x:f>MAX(0,ROUND('기준스탯 72종'!J28-X514-AF514,0))</x:f>
        <x:v>2</x:v>
      </x:c>
      <x:c r="Q514" s="2" t="n">
        <x:f>MAX(0,ROUND('기준스탯 72종'!K28-Y514-AG514,0))</x:f>
        <x:v>2</x:v>
      </x:c>
      <x:c r="R514" s="15" t="n">
        <x:f>'기준스탯 72종'!D28*G514</x:f>
        <x:v>2.5199999999999996</x:v>
      </x:c>
      <x:c r="S514" s="15" t="n">
        <x:f>'기준스탯 72종'!E28*G514</x:f>
        <x:v>3.7799999999999994</x:v>
      </x:c>
      <x:c r="T514" s="15" t="n">
        <x:f>'기준스탯 72종'!F28*G514</x:f>
        <x:v>3.3599999999999994</x:v>
      </x:c>
      <x:c r="U514" s="15" t="n">
        <x:f>'기준스탯 72종'!G28*G514</x:f>
        <x:v>2.9399999999999995</x:v>
      </x:c>
      <x:c r="V514" s="15" t="n">
        <x:f>'기준스탯 72종'!H28*G514</x:f>
        <x:v>1.2599999999999998</x:v>
      </x:c>
      <x:c r="W514" s="15" t="n">
        <x:f>'기준스탯 72종'!I28*G514</x:f>
        <x:v>1.6799999999999997</x:v>
      </x:c>
      <x:c r="X514" s="15" t="n">
        <x:f>'기준스탯 72종'!J28*G514</x:f>
        <x:v>1.6799999999999997</x:v>
      </x:c>
      <x:c r="Y514" s="15" t="n">
        <x:f>'기준스탯 72종'!K28*G514</x:f>
        <x:v>2.0999999999999996</x:v>
      </x:c>
      <x:c r="Z514" s="15" t="n">
        <x:f>'기준스탯 72종'!D28*H514</x:f>
        <x:v>1.0800000000000003</x:v>
      </x:c>
      <x:c r="AA514" s="15" t="n">
        <x:f>'기준스탯 72종'!E28*H514</x:f>
        <x:v>1.6200000000000006</x:v>
      </x:c>
      <x:c r="AB514" s="15" t="n">
        <x:f>'기준스탯 72종'!F28*H514</x:f>
        <x:v>1.4400000000000004</x:v>
      </x:c>
      <x:c r="AC514" s="15" t="n">
        <x:f>'기준스탯 72종'!G28*H514</x:f>
        <x:v>1.2600000000000002</x:v>
      </x:c>
      <x:c r="AD514" s="15" t="n">
        <x:f>'기준스탯 72종'!H28*H514</x:f>
        <x:v>0.5400000000000001</x:v>
      </x:c>
      <x:c r="AE514" s="15" t="n">
        <x:f>'기준스탯 72종'!I28*H514</x:f>
        <x:v>0.7200000000000002</x:v>
      </x:c>
      <x:c r="AF514" s="15" t="n">
        <x:f>'기준스탯 72종'!J28*H514</x:f>
        <x:v>0.7200000000000002</x:v>
      </x:c>
      <x:c r="AG514" s="15" t="n">
        <x:f>'기준스탯 72종'!K28*H514</x:f>
        <x:v>0.9000000000000002</x:v>
      </x:c>
    </x:row>
    <x:row r="515" ht="28" customHeight="1">
      <x:c r="A515" s="2" t="n">
        <x:v>508</x:v>
      </x:c>
      <x:c r="B515" s="2" t="n">
        <x:v>21</x:v>
      </x:c>
      <x:c r="C515" s="2" t="str">
        <x:v>게자리</x:v>
      </x:c>
      <x:c r="D515" s="2" t="str">
        <x:v>사수</x:v>
      </x:c>
      <x:c r="E515" s="2" t="n">
        <x:v>3</x:v>
      </x:c>
      <x:c r="F515" s="2" t="n">
        <x:v>2</x:v>
      </x:c>
      <x:c r="G515" s="14" t="n">
        <x:f>('레벨 계산식'!$E$4-E515)*'레벨 계산식'!$B$5</x:f>
        <x:v>0.27999999999999997</x:v>
      </x:c>
      <x:c r="H515" s="14" t="n">
        <x:f>('등급 계산식'!$E$4-F515)*'등급 계산식'!$B$5</x:f>
        <x:v>0.18000000000000005</x:v>
      </x:c>
      <x:c r="I515" s="14" t="n">
        <x:f>1-G515-H515</x:f>
        <x:v>0.5399999999999999</x:v>
      </x:c>
      <x:c r="J515" s="2" t="n">
        <x:f>MAX(1,ROUND('기준스탯 72종'!D28-R515-Z515,0))</x:f>
        <x:v>3</x:v>
      </x:c>
      <x:c r="K515" s="2" t="n">
        <x:f>MAX(1,ROUND('기준스탯 72종'!E28-S515-AA515,0))</x:f>
        <x:v>5</x:v>
      </x:c>
      <x:c r="L515" s="2" t="n">
        <x:f>MAX(1,ROUND('기준스탯 72종'!F28-T515-AB515,0))</x:f>
        <x:v>4</x:v>
      </x:c>
      <x:c r="M515" s="2" t="n">
        <x:f>MAX(1,ROUND('기준스탯 72종'!G28-U515-AC515,0))</x:f>
        <x:v>4</x:v>
      </x:c>
      <x:c r="N515" s="2" t="n">
        <x:f>MAX(0,ROUND('기준스탯 72종'!H28-V515-AD515,0))</x:f>
        <x:v>2</x:v>
      </x:c>
      <x:c r="O515" s="2" t="n">
        <x:f>MAX(0,ROUND('기준스탯 72종'!I28-W515-AE515,0))</x:f>
        <x:v>2</x:v>
      </x:c>
      <x:c r="P515" s="2" t="n">
        <x:f>MAX(0,ROUND('기준스탯 72종'!J28-X515-AF515,0))</x:f>
        <x:v>2</x:v>
      </x:c>
      <x:c r="Q515" s="2" t="n">
        <x:f>MAX(0,ROUND('기준스탯 72종'!K28-Y515-AG515,0))</x:f>
        <x:v>3</x:v>
      </x:c>
      <x:c r="R515" s="15" t="n">
        <x:f>'기준스탯 72종'!D28*G515</x:f>
        <x:v>1.6799999999999997</x:v>
      </x:c>
      <x:c r="S515" s="15" t="n">
        <x:f>'기준스탯 72종'!E28*G515</x:f>
        <x:v>2.5199999999999996</x:v>
      </x:c>
      <x:c r="T515" s="15" t="n">
        <x:f>'기준스탯 72종'!F28*G515</x:f>
        <x:v>2.2399999999999998</x:v>
      </x:c>
      <x:c r="U515" s="15" t="n">
        <x:f>'기준스탯 72종'!G28*G515</x:f>
        <x:v>1.9599999999999997</x:v>
      </x:c>
      <x:c r="V515" s="15" t="n">
        <x:f>'기준스탯 72종'!H28*G515</x:f>
        <x:v>0.8399999999999999</x:v>
      </x:c>
      <x:c r="W515" s="15" t="n">
        <x:f>'기준스탯 72종'!I28*G515</x:f>
        <x:v>1.1199999999999999</x:v>
      </x:c>
      <x:c r="X515" s="15" t="n">
        <x:f>'기준스탯 72종'!J28*G515</x:f>
        <x:v>1.1199999999999999</x:v>
      </x:c>
      <x:c r="Y515" s="15" t="n">
        <x:f>'기준스탯 72종'!K28*G515</x:f>
        <x:v>1.4</x:v>
      </x:c>
      <x:c r="Z515" s="15" t="n">
        <x:f>'기준스탯 72종'!D28*H515</x:f>
        <x:v>1.0800000000000003</x:v>
      </x:c>
      <x:c r="AA515" s="15" t="n">
        <x:f>'기준스탯 72종'!E28*H515</x:f>
        <x:v>1.6200000000000006</x:v>
      </x:c>
      <x:c r="AB515" s="15" t="n">
        <x:f>'기준스탯 72종'!F28*H515</x:f>
        <x:v>1.4400000000000004</x:v>
      </x:c>
      <x:c r="AC515" s="15" t="n">
        <x:f>'기준스탯 72종'!G28*H515</x:f>
        <x:v>1.2600000000000002</x:v>
      </x:c>
      <x:c r="AD515" s="15" t="n">
        <x:f>'기준스탯 72종'!H28*H515</x:f>
        <x:v>0.5400000000000001</x:v>
      </x:c>
      <x:c r="AE515" s="15" t="n">
        <x:f>'기준스탯 72종'!I28*H515</x:f>
        <x:v>0.7200000000000002</x:v>
      </x:c>
      <x:c r="AF515" s="15" t="n">
        <x:f>'기준스탯 72종'!J28*H515</x:f>
        <x:v>0.7200000000000002</x:v>
      </x:c>
      <x:c r="AG515" s="15" t="n">
        <x:f>'기준스탯 72종'!K28*H515</x:f>
        <x:v>0.9000000000000002</x:v>
      </x:c>
    </x:row>
    <x:row r="516" ht="28" customHeight="1">
      <x:c r="A516" s="2" t="n">
        <x:v>509</x:v>
      </x:c>
      <x:c r="B516" s="2" t="n">
        <x:v>21</x:v>
      </x:c>
      <x:c r="C516" s="2" t="str">
        <x:v>게자리</x:v>
      </x:c>
      <x:c r="D516" s="2" t="str">
        <x:v>사수</x:v>
      </x:c>
      <x:c r="E516" s="2" t="n">
        <x:v>4</x:v>
      </x:c>
      <x:c r="F516" s="2" t="n">
        <x:v>2</x:v>
      </x:c>
      <x:c r="G516" s="14" t="n">
        <x:f>('레벨 계산식'!$E$4-E516)*'레벨 계산식'!$B$5</x:f>
        <x:v>0.13999999999999999</x:v>
      </x:c>
      <x:c r="H516" s="14" t="n">
        <x:f>('등급 계산식'!$E$4-F516)*'등급 계산식'!$B$5</x:f>
        <x:v>0.18000000000000005</x:v>
      </x:c>
      <x:c r="I516" s="14" t="n">
        <x:f>1-G516-H516</x:f>
        <x:v>0.6799999999999999</x:v>
      </x:c>
      <x:c r="J516" s="2" t="n">
        <x:f>MAX(1,ROUND('기준스탯 72종'!D28-R516-Z516,0))</x:f>
        <x:v>4</x:v>
      </x:c>
      <x:c r="K516" s="2" t="n">
        <x:f>MAX(1,ROUND('기준스탯 72종'!E28-S516-AA516,0))</x:f>
        <x:v>6</x:v>
      </x:c>
      <x:c r="L516" s="2" t="n">
        <x:f>MAX(1,ROUND('기준스탯 72종'!F28-T516-AB516,0))</x:f>
        <x:v>5</x:v>
      </x:c>
      <x:c r="M516" s="2" t="n">
        <x:f>MAX(1,ROUND('기준스탯 72종'!G28-U516-AC516,0))</x:f>
        <x:v>5</x:v>
      </x:c>
      <x:c r="N516" s="2" t="n">
        <x:f>MAX(0,ROUND('기준스탯 72종'!H28-V516-AD516,0))</x:f>
        <x:v>2</x:v>
      </x:c>
      <x:c r="O516" s="2" t="n">
        <x:f>MAX(0,ROUND('기준스탯 72종'!I28-W516-AE516,0))</x:f>
        <x:v>3</x:v>
      </x:c>
      <x:c r="P516" s="2" t="n">
        <x:f>MAX(0,ROUND('기준스탯 72종'!J28-X516-AF516,0))</x:f>
        <x:v>3</x:v>
      </x:c>
      <x:c r="Q516" s="2" t="n">
        <x:f>MAX(0,ROUND('기준스탯 72종'!K28-Y516-AG516,0))</x:f>
        <x:v>3</x:v>
      </x:c>
      <x:c r="R516" s="15" t="n">
        <x:f>'기준스탯 72종'!D28*G516</x:f>
        <x:v>0.8399999999999999</x:v>
      </x:c>
      <x:c r="S516" s="15" t="n">
        <x:f>'기준스탯 72종'!E28*G516</x:f>
        <x:v>1.2599999999999998</x:v>
      </x:c>
      <x:c r="T516" s="15" t="n">
        <x:f>'기준스탯 72종'!F28*G516</x:f>
        <x:v>1.1199999999999999</x:v>
      </x:c>
      <x:c r="U516" s="15" t="n">
        <x:f>'기준스탯 72종'!G28*G516</x:f>
        <x:v>0.9799999999999999</x:v>
      </x:c>
      <x:c r="V516" s="15" t="n">
        <x:f>'기준스탯 72종'!H28*G516</x:f>
        <x:v>0.41999999999999993</x:v>
      </x:c>
      <x:c r="W516" s="15" t="n">
        <x:f>'기준스탯 72종'!I28*G516</x:f>
        <x:v>0.5599999999999999</x:v>
      </x:c>
      <x:c r="X516" s="15" t="n">
        <x:f>'기준스탯 72종'!J28*G516</x:f>
        <x:v>0.5599999999999999</x:v>
      </x:c>
      <x:c r="Y516" s="15" t="n">
        <x:f>'기준스탯 72종'!K28*G516</x:f>
        <x:v>0.7</x:v>
      </x:c>
      <x:c r="Z516" s="15" t="n">
        <x:f>'기준스탯 72종'!D28*H516</x:f>
        <x:v>1.0800000000000003</x:v>
      </x:c>
      <x:c r="AA516" s="15" t="n">
        <x:f>'기준스탯 72종'!E28*H516</x:f>
        <x:v>1.6200000000000006</x:v>
      </x:c>
      <x:c r="AB516" s="15" t="n">
        <x:f>'기준스탯 72종'!F28*H516</x:f>
        <x:v>1.4400000000000004</x:v>
      </x:c>
      <x:c r="AC516" s="15" t="n">
        <x:f>'기준스탯 72종'!G28*H516</x:f>
        <x:v>1.2600000000000002</x:v>
      </x:c>
      <x:c r="AD516" s="15" t="n">
        <x:f>'기준스탯 72종'!H28*H516</x:f>
        <x:v>0.5400000000000001</x:v>
      </x:c>
      <x:c r="AE516" s="15" t="n">
        <x:f>'기준스탯 72종'!I28*H516</x:f>
        <x:v>0.7200000000000002</x:v>
      </x:c>
      <x:c r="AF516" s="15" t="n">
        <x:f>'기준스탯 72종'!J28*H516</x:f>
        <x:v>0.7200000000000002</x:v>
      </x:c>
      <x:c r="AG516" s="15" t="n">
        <x:f>'기준스탯 72종'!K28*H516</x:f>
        <x:v>0.9000000000000002</x:v>
      </x:c>
    </x:row>
    <x:row r="517" ht="28" customHeight="1">
      <x:c r="A517" s="2" t="n">
        <x:v>510</x:v>
      </x:c>
      <x:c r="B517" s="2" t="n">
        <x:v>21</x:v>
      </x:c>
      <x:c r="C517" s="2" t="str">
        <x:v>게자리</x:v>
      </x:c>
      <x:c r="D517" s="2" t="str">
        <x:v>사수</x:v>
      </x:c>
      <x:c r="E517" s="2" t="n">
        <x:v>5</x:v>
      </x:c>
      <x:c r="F517" s="2" t="n">
        <x:v>2</x:v>
      </x:c>
      <x:c r="G517" s="14" t="n">
        <x:f>('레벨 계산식'!$E$4-E517)*'레벨 계산식'!$B$5</x:f>
        <x:v>0</x:v>
      </x:c>
      <x:c r="H517" s="14" t="n">
        <x:f>('등급 계산식'!$E$4-F517)*'등급 계산식'!$B$5</x:f>
        <x:v>0.18000000000000005</x:v>
      </x:c>
      <x:c r="I517" s="14" t="n">
        <x:f>1-G517-H517</x:f>
        <x:v>0.82</x:v>
      </x:c>
      <x:c r="J517" s="2" t="n">
        <x:f>MAX(1,ROUND('기준스탯 72종'!D28-R517-Z517,0))</x:f>
        <x:v>5</x:v>
      </x:c>
      <x:c r="K517" s="2" t="n">
        <x:f>MAX(1,ROUND('기준스탯 72종'!E28-S517-AA517,0))</x:f>
        <x:v>7</x:v>
      </x:c>
      <x:c r="L517" s="2" t="n">
        <x:f>MAX(1,ROUND('기준스탯 72종'!F28-T517-AB517,0))</x:f>
        <x:v>7</x:v>
      </x:c>
      <x:c r="M517" s="2" t="n">
        <x:f>MAX(1,ROUND('기준스탯 72종'!G28-U517-AC517,0))</x:f>
        <x:v>6</x:v>
      </x:c>
      <x:c r="N517" s="2" t="n">
        <x:f>MAX(0,ROUND('기준스탯 72종'!H28-V517-AD517,0))</x:f>
        <x:v>2</x:v>
      </x:c>
      <x:c r="O517" s="2" t="n">
        <x:f>MAX(0,ROUND('기준스탯 72종'!I28-W517-AE517,0))</x:f>
        <x:v>3</x:v>
      </x:c>
      <x:c r="P517" s="2" t="n">
        <x:f>MAX(0,ROUND('기준스탯 72종'!J28-X517-AF517,0))</x:f>
        <x:v>3</x:v>
      </x:c>
      <x:c r="Q517" s="2" t="n">
        <x:f>MAX(0,ROUND('기준스탯 72종'!K28-Y517-AG517,0))</x:f>
        <x:v>4</x:v>
      </x:c>
      <x:c r="R517" s="15" t="n">
        <x:f>'기준스탯 72종'!D28*G517</x:f>
        <x:v>0</x:v>
      </x:c>
      <x:c r="S517" s="15" t="n">
        <x:f>'기준스탯 72종'!E28*G517</x:f>
        <x:v>0</x:v>
      </x:c>
      <x:c r="T517" s="15" t="n">
        <x:f>'기준스탯 72종'!F28*G517</x:f>
        <x:v>0</x:v>
      </x:c>
      <x:c r="U517" s="15" t="n">
        <x:f>'기준스탯 72종'!G28*G517</x:f>
        <x:v>0</x:v>
      </x:c>
      <x:c r="V517" s="15" t="n">
        <x:f>'기준스탯 72종'!H28*G517</x:f>
        <x:v>0</x:v>
      </x:c>
      <x:c r="W517" s="15" t="n">
        <x:f>'기준스탯 72종'!I28*G517</x:f>
        <x:v>0</x:v>
      </x:c>
      <x:c r="X517" s="15" t="n">
        <x:f>'기준스탯 72종'!J28*G517</x:f>
        <x:v>0</x:v>
      </x:c>
      <x:c r="Y517" s="15" t="n">
        <x:f>'기준스탯 72종'!K28*G517</x:f>
        <x:v>0</x:v>
      </x:c>
      <x:c r="Z517" s="15" t="n">
        <x:f>'기준스탯 72종'!D28*H517</x:f>
        <x:v>1.0800000000000003</x:v>
      </x:c>
      <x:c r="AA517" s="15" t="n">
        <x:f>'기준스탯 72종'!E28*H517</x:f>
        <x:v>1.6200000000000006</x:v>
      </x:c>
      <x:c r="AB517" s="15" t="n">
        <x:f>'기준스탯 72종'!F28*H517</x:f>
        <x:v>1.4400000000000004</x:v>
      </x:c>
      <x:c r="AC517" s="15" t="n">
        <x:f>'기준스탯 72종'!G28*H517</x:f>
        <x:v>1.2600000000000002</x:v>
      </x:c>
      <x:c r="AD517" s="15" t="n">
        <x:f>'기준스탯 72종'!H28*H517</x:f>
        <x:v>0.5400000000000001</x:v>
      </x:c>
      <x:c r="AE517" s="15" t="n">
        <x:f>'기준스탯 72종'!I28*H517</x:f>
        <x:v>0.7200000000000002</x:v>
      </x:c>
      <x:c r="AF517" s="15" t="n">
        <x:f>'기준스탯 72종'!J28*H517</x:f>
        <x:v>0.7200000000000002</x:v>
      </x:c>
      <x:c r="AG517" s="15" t="n">
        <x:f>'기준스탯 72종'!K28*H517</x:f>
        <x:v>0.9000000000000002</x:v>
      </x:c>
    </x:row>
    <x:row r="518" ht="28" customHeight="1">
      <x:c r="A518" s="2" t="n">
        <x:v>511</x:v>
      </x:c>
      <x:c r="B518" s="2" t="n">
        <x:v>21</x:v>
      </x:c>
      <x:c r="C518" s="2" t="str">
        <x:v>게자리</x:v>
      </x:c>
      <x:c r="D518" s="2" t="str">
        <x:v>사수</x:v>
      </x:c>
      <x:c r="E518" s="2" t="n">
        <x:v>1</x:v>
      </x:c>
      <x:c r="F518" s="2" t="n">
        <x:v>3</x:v>
      </x:c>
      <x:c r="G518" s="14" t="n">
        <x:f>('레벨 계산식'!$E$4-E518)*'레벨 계산식'!$B$5</x:f>
        <x:v>0.5599999999999999</x:v>
      </x:c>
      <x:c r="H518" s="14" t="n">
        <x:f>('등급 계산식'!$E$4-F518)*'등급 계산식'!$B$5</x:f>
        <x:v>0.12000000000000002</x:v>
      </x:c>
      <x:c r="I518" s="14" t="n">
        <x:f>1-G518-H518</x:f>
        <x:v>0.32000000000000006</x:v>
      </x:c>
      <x:c r="J518" s="2" t="n">
        <x:f>MAX(1,ROUND('기준스탯 72종'!D28-R518-Z518,0))</x:f>
        <x:v>2</x:v>
      </x:c>
      <x:c r="K518" s="2" t="n">
        <x:f>MAX(1,ROUND('기준스탯 72종'!E28-S518-AA518,0))</x:f>
        <x:v>3</x:v>
      </x:c>
      <x:c r="L518" s="2" t="n">
        <x:f>MAX(1,ROUND('기준스탯 72종'!F28-T518-AB518,0))</x:f>
        <x:v>3</x:v>
      </x:c>
      <x:c r="M518" s="2" t="n">
        <x:f>MAX(1,ROUND('기준스탯 72종'!G28-U518-AC518,0))</x:f>
        <x:v>2</x:v>
      </x:c>
      <x:c r="N518" s="2" t="n">
        <x:f>MAX(0,ROUND('기준스탯 72종'!H28-V518-AD518,0))</x:f>
        <x:v>1</x:v>
      </x:c>
      <x:c r="O518" s="2" t="n">
        <x:f>MAX(0,ROUND('기준스탯 72종'!I28-W518-AE518,0))</x:f>
        <x:v>1</x:v>
      </x:c>
      <x:c r="P518" s="2" t="n">
        <x:f>MAX(0,ROUND('기준스탯 72종'!J28-X518-AF518,0))</x:f>
        <x:v>1</x:v>
      </x:c>
      <x:c r="Q518" s="2" t="n">
        <x:f>MAX(0,ROUND('기준스탯 72종'!K28-Y518-AG518,0))</x:f>
        <x:v>2</x:v>
      </x:c>
      <x:c r="R518" s="15" t="n">
        <x:f>'기준스탯 72종'!D28*G518</x:f>
        <x:v>3.3599999999999994</x:v>
      </x:c>
      <x:c r="S518" s="15" t="n">
        <x:f>'기준스탯 72종'!E28*G518</x:f>
        <x:v>5.039999999999999</x:v>
      </x:c>
      <x:c r="T518" s="15" t="n">
        <x:f>'기준스탯 72종'!F28*G518</x:f>
        <x:v>4.4799999999999995</x:v>
      </x:c>
      <x:c r="U518" s="15" t="n">
        <x:f>'기준스탯 72종'!G28*G518</x:f>
        <x:v>3.9199999999999995</x:v>
      </x:c>
      <x:c r="V518" s="15" t="n">
        <x:f>'기준스탯 72종'!H28*G518</x:f>
        <x:v>1.6799999999999997</x:v>
      </x:c>
      <x:c r="W518" s="15" t="n">
        <x:f>'기준스탯 72종'!I28*G518</x:f>
        <x:v>2.2399999999999998</x:v>
      </x:c>
      <x:c r="X518" s="15" t="n">
        <x:f>'기준스탯 72종'!J28*G518</x:f>
        <x:v>2.2399999999999998</x:v>
      </x:c>
      <x:c r="Y518" s="15" t="n">
        <x:f>'기준스탯 72종'!K28*G518</x:f>
        <x:v>2.8</x:v>
      </x:c>
      <x:c r="Z518" s="15" t="n">
        <x:f>'기준스탯 72종'!D28*H518</x:f>
        <x:v>0.7200000000000002</x:v>
      </x:c>
      <x:c r="AA518" s="15" t="n">
        <x:f>'기준스탯 72종'!E28*H518</x:f>
        <x:v>1.0800000000000003</x:v>
      </x:c>
      <x:c r="AB518" s="15" t="n">
        <x:f>'기준스탯 72종'!F28*H518</x:f>
        <x:v>0.9600000000000002</x:v>
      </x:c>
      <x:c r="AC518" s="15" t="n">
        <x:f>'기준스탯 72종'!G28*H518</x:f>
        <x:v>0.8400000000000002</x:v>
      </x:c>
      <x:c r="AD518" s="15" t="n">
        <x:f>'기준스탯 72종'!H28*H518</x:f>
        <x:v>0.3600000000000001</x:v>
      </x:c>
      <x:c r="AE518" s="15" t="n">
        <x:f>'기준스탯 72종'!I28*H518</x:f>
        <x:v>0.4800000000000001</x:v>
      </x:c>
      <x:c r="AF518" s="15" t="n">
        <x:f>'기준스탯 72종'!J28*H518</x:f>
        <x:v>0.4800000000000001</x:v>
      </x:c>
      <x:c r="AG518" s="15" t="n">
        <x:f>'기준스탯 72종'!K28*H518</x:f>
        <x:v>0.6000000000000001</x:v>
      </x:c>
    </x:row>
    <x:row r="519" ht="28" customHeight="1">
      <x:c r="A519" s="2" t="n">
        <x:v>512</x:v>
      </x:c>
      <x:c r="B519" s="2" t="n">
        <x:v>21</x:v>
      </x:c>
      <x:c r="C519" s="2" t="str">
        <x:v>게자리</x:v>
      </x:c>
      <x:c r="D519" s="2" t="str">
        <x:v>사수</x:v>
      </x:c>
      <x:c r="E519" s="2" t="n">
        <x:v>2</x:v>
      </x:c>
      <x:c r="F519" s="2" t="n">
        <x:v>3</x:v>
      </x:c>
      <x:c r="G519" s="14" t="n">
        <x:f>('레벨 계산식'!$E$4-E519)*'레벨 계산식'!$B$5</x:f>
        <x:v>0.41999999999999993</x:v>
      </x:c>
      <x:c r="H519" s="14" t="n">
        <x:f>('등급 계산식'!$E$4-F519)*'등급 계산식'!$B$5</x:f>
        <x:v>0.12000000000000002</x:v>
      </x:c>
      <x:c r="I519" s="14" t="n">
        <x:f>1-G519-H519</x:f>
        <x:v>0.4600000000000001</x:v>
      </x:c>
      <x:c r="J519" s="2" t="n">
        <x:f>MAX(1,ROUND('기준스탯 72종'!D28-R519-Z519,0))</x:f>
        <x:v>3</x:v>
      </x:c>
      <x:c r="K519" s="2" t="n">
        <x:f>MAX(1,ROUND('기준스탯 72종'!E28-S519-AA519,0))</x:f>
        <x:v>4</x:v>
      </x:c>
      <x:c r="L519" s="2" t="n">
        <x:f>MAX(1,ROUND('기준스탯 72종'!F28-T519-AB519,0))</x:f>
        <x:v>4</x:v>
      </x:c>
      <x:c r="M519" s="2" t="n">
        <x:f>MAX(1,ROUND('기준스탯 72종'!G28-U519-AC519,0))</x:f>
        <x:v>3</x:v>
      </x:c>
      <x:c r="N519" s="2" t="n">
        <x:f>MAX(0,ROUND('기준스탯 72종'!H28-V519-AD519,0))</x:f>
        <x:v>1</x:v>
      </x:c>
      <x:c r="O519" s="2" t="n">
        <x:f>MAX(0,ROUND('기준스탯 72종'!I28-W519-AE519,0))</x:f>
        <x:v>2</x:v>
      </x:c>
      <x:c r="P519" s="2" t="n">
        <x:f>MAX(0,ROUND('기준스탯 72종'!J28-X519-AF519,0))</x:f>
        <x:v>2</x:v>
      </x:c>
      <x:c r="Q519" s="2" t="n">
        <x:f>MAX(0,ROUND('기준스탯 72종'!K28-Y519-AG519,0))</x:f>
        <x:v>2</x:v>
      </x:c>
      <x:c r="R519" s="15" t="n">
        <x:f>'기준스탯 72종'!D28*G519</x:f>
        <x:v>2.5199999999999996</x:v>
      </x:c>
      <x:c r="S519" s="15" t="n">
        <x:f>'기준스탯 72종'!E28*G519</x:f>
        <x:v>3.7799999999999994</x:v>
      </x:c>
      <x:c r="T519" s="15" t="n">
        <x:f>'기준스탯 72종'!F28*G519</x:f>
        <x:v>3.3599999999999994</x:v>
      </x:c>
      <x:c r="U519" s="15" t="n">
        <x:f>'기준스탯 72종'!G28*G519</x:f>
        <x:v>2.9399999999999995</x:v>
      </x:c>
      <x:c r="V519" s="15" t="n">
        <x:f>'기준스탯 72종'!H28*G519</x:f>
        <x:v>1.2599999999999998</x:v>
      </x:c>
      <x:c r="W519" s="15" t="n">
        <x:f>'기준스탯 72종'!I28*G519</x:f>
        <x:v>1.6799999999999997</x:v>
      </x:c>
      <x:c r="X519" s="15" t="n">
        <x:f>'기준스탯 72종'!J28*G519</x:f>
        <x:v>1.6799999999999997</x:v>
      </x:c>
      <x:c r="Y519" s="15" t="n">
        <x:f>'기준스탯 72종'!K28*G519</x:f>
        <x:v>2.0999999999999996</x:v>
      </x:c>
      <x:c r="Z519" s="15" t="n">
        <x:f>'기준스탯 72종'!D28*H519</x:f>
        <x:v>0.7200000000000002</x:v>
      </x:c>
      <x:c r="AA519" s="15" t="n">
        <x:f>'기준스탯 72종'!E28*H519</x:f>
        <x:v>1.0800000000000003</x:v>
      </x:c>
      <x:c r="AB519" s="15" t="n">
        <x:f>'기준스탯 72종'!F28*H519</x:f>
        <x:v>0.9600000000000002</x:v>
      </x:c>
      <x:c r="AC519" s="15" t="n">
        <x:f>'기준스탯 72종'!G28*H519</x:f>
        <x:v>0.8400000000000002</x:v>
      </x:c>
      <x:c r="AD519" s="15" t="n">
        <x:f>'기준스탯 72종'!H28*H519</x:f>
        <x:v>0.3600000000000001</x:v>
      </x:c>
      <x:c r="AE519" s="15" t="n">
        <x:f>'기준스탯 72종'!I28*H519</x:f>
        <x:v>0.4800000000000001</x:v>
      </x:c>
      <x:c r="AF519" s="15" t="n">
        <x:f>'기준스탯 72종'!J28*H519</x:f>
        <x:v>0.4800000000000001</x:v>
      </x:c>
      <x:c r="AG519" s="15" t="n">
        <x:f>'기준스탯 72종'!K28*H519</x:f>
        <x:v>0.6000000000000001</x:v>
      </x:c>
    </x:row>
    <x:row r="520" ht="28" customHeight="1">
      <x:c r="A520" s="2" t="n">
        <x:v>513</x:v>
      </x:c>
      <x:c r="B520" s="2" t="n">
        <x:v>21</x:v>
      </x:c>
      <x:c r="C520" s="2" t="str">
        <x:v>게자리</x:v>
      </x:c>
      <x:c r="D520" s="2" t="str">
        <x:v>사수</x:v>
      </x:c>
      <x:c r="E520" s="2" t="n">
        <x:v>3</x:v>
      </x:c>
      <x:c r="F520" s="2" t="n">
        <x:v>3</x:v>
      </x:c>
      <x:c r="G520" s="14" t="n">
        <x:f>('레벨 계산식'!$E$4-E520)*'레벨 계산식'!$B$5</x:f>
        <x:v>0.27999999999999997</x:v>
      </x:c>
      <x:c r="H520" s="14" t="n">
        <x:f>('등급 계산식'!$E$4-F520)*'등급 계산식'!$B$5</x:f>
        <x:v>0.12000000000000002</x:v>
      </x:c>
      <x:c r="I520" s="14" t="n">
        <x:f>1-G520-H520</x:f>
        <x:v>0.6</x:v>
      </x:c>
      <x:c r="J520" s="2" t="n">
        <x:f>MAX(1,ROUND('기준스탯 72종'!D28-R520-Z520,0))</x:f>
        <x:v>4</x:v>
      </x:c>
      <x:c r="K520" s="2" t="n">
        <x:f>MAX(1,ROUND('기준스탯 72종'!E28-S520-AA520,0))</x:f>
        <x:v>5</x:v>
      </x:c>
      <x:c r="L520" s="2" t="n">
        <x:f>MAX(1,ROUND('기준스탯 72종'!F28-T520-AB520,0))</x:f>
        <x:v>5</x:v>
      </x:c>
      <x:c r="M520" s="2" t="n">
        <x:f>MAX(1,ROUND('기준스탯 72종'!G28-U520-AC520,0))</x:f>
        <x:v>4</x:v>
      </x:c>
      <x:c r="N520" s="2" t="n">
        <x:f>MAX(0,ROUND('기준스탯 72종'!H28-V520-AD520,0))</x:f>
        <x:v>2</x:v>
      </x:c>
      <x:c r="O520" s="2" t="n">
        <x:f>MAX(0,ROUND('기준스탯 72종'!I28-W520-AE520,0))</x:f>
        <x:v>2</x:v>
      </x:c>
      <x:c r="P520" s="2" t="n">
        <x:f>MAX(0,ROUND('기준스탯 72종'!J28-X520-AF520,0))</x:f>
        <x:v>2</x:v>
      </x:c>
      <x:c r="Q520" s="2" t="n">
        <x:f>MAX(0,ROUND('기준스탯 72종'!K28-Y520-AG520,0))</x:f>
        <x:v>3</x:v>
      </x:c>
      <x:c r="R520" s="15" t="n">
        <x:f>'기준스탯 72종'!D28*G520</x:f>
        <x:v>1.6799999999999997</x:v>
      </x:c>
      <x:c r="S520" s="15" t="n">
        <x:f>'기준스탯 72종'!E28*G520</x:f>
        <x:v>2.5199999999999996</x:v>
      </x:c>
      <x:c r="T520" s="15" t="n">
        <x:f>'기준스탯 72종'!F28*G520</x:f>
        <x:v>2.2399999999999998</x:v>
      </x:c>
      <x:c r="U520" s="15" t="n">
        <x:f>'기준스탯 72종'!G28*G520</x:f>
        <x:v>1.9599999999999997</x:v>
      </x:c>
      <x:c r="V520" s="15" t="n">
        <x:f>'기준스탯 72종'!H28*G520</x:f>
        <x:v>0.8399999999999999</x:v>
      </x:c>
      <x:c r="W520" s="15" t="n">
        <x:f>'기준스탯 72종'!I28*G520</x:f>
        <x:v>1.1199999999999999</x:v>
      </x:c>
      <x:c r="X520" s="15" t="n">
        <x:f>'기준스탯 72종'!J28*G520</x:f>
        <x:v>1.1199999999999999</x:v>
      </x:c>
      <x:c r="Y520" s="15" t="n">
        <x:f>'기준스탯 72종'!K28*G520</x:f>
        <x:v>1.4</x:v>
      </x:c>
      <x:c r="Z520" s="15" t="n">
        <x:f>'기준스탯 72종'!D28*H520</x:f>
        <x:v>0.7200000000000002</x:v>
      </x:c>
      <x:c r="AA520" s="15" t="n">
        <x:f>'기준스탯 72종'!E28*H520</x:f>
        <x:v>1.0800000000000003</x:v>
      </x:c>
      <x:c r="AB520" s="15" t="n">
        <x:f>'기준스탯 72종'!F28*H520</x:f>
        <x:v>0.9600000000000002</x:v>
      </x:c>
      <x:c r="AC520" s="15" t="n">
        <x:f>'기준스탯 72종'!G28*H520</x:f>
        <x:v>0.8400000000000002</x:v>
      </x:c>
      <x:c r="AD520" s="15" t="n">
        <x:f>'기준스탯 72종'!H28*H520</x:f>
        <x:v>0.3600000000000001</x:v>
      </x:c>
      <x:c r="AE520" s="15" t="n">
        <x:f>'기준스탯 72종'!I28*H520</x:f>
        <x:v>0.4800000000000001</x:v>
      </x:c>
      <x:c r="AF520" s="15" t="n">
        <x:f>'기준스탯 72종'!J28*H520</x:f>
        <x:v>0.4800000000000001</x:v>
      </x:c>
      <x:c r="AG520" s="15" t="n">
        <x:f>'기준스탯 72종'!K28*H520</x:f>
        <x:v>0.6000000000000001</x:v>
      </x:c>
    </x:row>
    <x:row r="521" ht="28" customHeight="1">
      <x:c r="A521" s="2" t="n">
        <x:v>514</x:v>
      </x:c>
      <x:c r="B521" s="2" t="n">
        <x:v>21</x:v>
      </x:c>
      <x:c r="C521" s="2" t="str">
        <x:v>게자리</x:v>
      </x:c>
      <x:c r="D521" s="2" t="str">
        <x:v>사수</x:v>
      </x:c>
      <x:c r="E521" s="2" t="n">
        <x:v>4</x:v>
      </x:c>
      <x:c r="F521" s="2" t="n">
        <x:v>3</x:v>
      </x:c>
      <x:c r="G521" s="14" t="n">
        <x:f>('레벨 계산식'!$E$4-E521)*'레벨 계산식'!$B$5</x:f>
        <x:v>0.13999999999999999</x:v>
      </x:c>
      <x:c r="H521" s="14" t="n">
        <x:f>('등급 계산식'!$E$4-F521)*'등급 계산식'!$B$5</x:f>
        <x:v>0.12000000000000002</x:v>
      </x:c>
      <x:c r="I521" s="14" t="n">
        <x:f>1-G521-H521</x:f>
        <x:v>0.74</x:v>
      </x:c>
      <x:c r="J521" s="2" t="n">
        <x:f>MAX(1,ROUND('기준스탯 72종'!D28-R521-Z521,0))</x:f>
        <x:v>4</x:v>
      </x:c>
      <x:c r="K521" s="2" t="n">
        <x:f>MAX(1,ROUND('기준스탯 72종'!E28-S521-AA521,0))</x:f>
        <x:v>7</x:v>
      </x:c>
      <x:c r="L521" s="2" t="n">
        <x:f>MAX(1,ROUND('기준스탯 72종'!F28-T521-AB521,0))</x:f>
        <x:v>6</x:v>
      </x:c>
      <x:c r="M521" s="2" t="n">
        <x:f>MAX(1,ROUND('기준스탯 72종'!G28-U521-AC521,0))</x:f>
        <x:v>5</x:v>
      </x:c>
      <x:c r="N521" s="2" t="n">
        <x:f>MAX(0,ROUND('기준스탯 72종'!H28-V521-AD521,0))</x:f>
        <x:v>2</x:v>
      </x:c>
      <x:c r="O521" s="2" t="n">
        <x:f>MAX(0,ROUND('기준스탯 72종'!I28-W521-AE521,0))</x:f>
        <x:v>3</x:v>
      </x:c>
      <x:c r="P521" s="2" t="n">
        <x:f>MAX(0,ROUND('기준스탯 72종'!J28-X521-AF521,0))</x:f>
        <x:v>3</x:v>
      </x:c>
      <x:c r="Q521" s="2" t="n">
        <x:f>MAX(0,ROUND('기준스탯 72종'!K28-Y521-AG521,0))</x:f>
        <x:v>4</x:v>
      </x:c>
      <x:c r="R521" s="15" t="n">
        <x:f>'기준스탯 72종'!D28*G521</x:f>
        <x:v>0.8399999999999999</x:v>
      </x:c>
      <x:c r="S521" s="15" t="n">
        <x:f>'기준스탯 72종'!E28*G521</x:f>
        <x:v>1.2599999999999998</x:v>
      </x:c>
      <x:c r="T521" s="15" t="n">
        <x:f>'기준스탯 72종'!F28*G521</x:f>
        <x:v>1.1199999999999999</x:v>
      </x:c>
      <x:c r="U521" s="15" t="n">
        <x:f>'기준스탯 72종'!G28*G521</x:f>
        <x:v>0.9799999999999999</x:v>
      </x:c>
      <x:c r="V521" s="15" t="n">
        <x:f>'기준스탯 72종'!H28*G521</x:f>
        <x:v>0.41999999999999993</x:v>
      </x:c>
      <x:c r="W521" s="15" t="n">
        <x:f>'기준스탯 72종'!I28*G521</x:f>
        <x:v>0.5599999999999999</x:v>
      </x:c>
      <x:c r="X521" s="15" t="n">
        <x:f>'기준스탯 72종'!J28*G521</x:f>
        <x:v>0.5599999999999999</x:v>
      </x:c>
      <x:c r="Y521" s="15" t="n">
        <x:f>'기준스탯 72종'!K28*G521</x:f>
        <x:v>0.7</x:v>
      </x:c>
      <x:c r="Z521" s="15" t="n">
        <x:f>'기준스탯 72종'!D28*H521</x:f>
        <x:v>0.7200000000000002</x:v>
      </x:c>
      <x:c r="AA521" s="15" t="n">
        <x:f>'기준스탯 72종'!E28*H521</x:f>
        <x:v>1.0800000000000003</x:v>
      </x:c>
      <x:c r="AB521" s="15" t="n">
        <x:f>'기준스탯 72종'!F28*H521</x:f>
        <x:v>0.9600000000000002</x:v>
      </x:c>
      <x:c r="AC521" s="15" t="n">
        <x:f>'기준스탯 72종'!G28*H521</x:f>
        <x:v>0.8400000000000002</x:v>
      </x:c>
      <x:c r="AD521" s="15" t="n">
        <x:f>'기준스탯 72종'!H28*H521</x:f>
        <x:v>0.3600000000000001</x:v>
      </x:c>
      <x:c r="AE521" s="15" t="n">
        <x:f>'기준스탯 72종'!I28*H521</x:f>
        <x:v>0.4800000000000001</x:v>
      </x:c>
      <x:c r="AF521" s="15" t="n">
        <x:f>'기준스탯 72종'!J28*H521</x:f>
        <x:v>0.4800000000000001</x:v>
      </x:c>
      <x:c r="AG521" s="15" t="n">
        <x:f>'기준스탯 72종'!K28*H521</x:f>
        <x:v>0.6000000000000001</x:v>
      </x:c>
    </x:row>
    <x:row r="522" ht="28" customHeight="1">
      <x:c r="A522" s="2" t="n">
        <x:v>515</x:v>
      </x:c>
      <x:c r="B522" s="2" t="n">
        <x:v>21</x:v>
      </x:c>
      <x:c r="C522" s="2" t="str">
        <x:v>게자리</x:v>
      </x:c>
      <x:c r="D522" s="2" t="str">
        <x:v>사수</x:v>
      </x:c>
      <x:c r="E522" s="2" t="n">
        <x:v>5</x:v>
      </x:c>
      <x:c r="F522" s="2" t="n">
        <x:v>3</x:v>
      </x:c>
      <x:c r="G522" s="14" t="n">
        <x:f>('레벨 계산식'!$E$4-E522)*'레벨 계산식'!$B$5</x:f>
        <x:v>0</x:v>
      </x:c>
      <x:c r="H522" s="14" t="n">
        <x:f>('등급 계산식'!$E$4-F522)*'등급 계산식'!$B$5</x:f>
        <x:v>0.12000000000000002</x:v>
      </x:c>
      <x:c r="I522" s="14" t="n">
        <x:f>1-G522-H522</x:f>
        <x:v>0.88</x:v>
      </x:c>
      <x:c r="J522" s="2" t="n">
        <x:f>MAX(1,ROUND('기준스탯 72종'!D28-R522-Z522,0))</x:f>
        <x:v>5</x:v>
      </x:c>
      <x:c r="K522" s="2" t="n">
        <x:f>MAX(1,ROUND('기준스탯 72종'!E28-S522-AA522,0))</x:f>
        <x:v>8</x:v>
      </x:c>
      <x:c r="L522" s="2" t="n">
        <x:f>MAX(1,ROUND('기준스탯 72종'!F28-T522-AB522,0))</x:f>
        <x:v>7</x:v>
      </x:c>
      <x:c r="M522" s="2" t="n">
        <x:f>MAX(1,ROUND('기준스탯 72종'!G28-U522-AC522,0))</x:f>
        <x:v>6</x:v>
      </x:c>
      <x:c r="N522" s="2" t="n">
        <x:f>MAX(0,ROUND('기준스탯 72종'!H28-V522-AD522,0))</x:f>
        <x:v>3</x:v>
      </x:c>
      <x:c r="O522" s="2" t="n">
        <x:f>MAX(0,ROUND('기준스탯 72종'!I28-W522-AE522,0))</x:f>
        <x:v>4</x:v>
      </x:c>
      <x:c r="P522" s="2" t="n">
        <x:f>MAX(0,ROUND('기준스탯 72종'!J28-X522-AF522,0))</x:f>
        <x:v>4</x:v>
      </x:c>
      <x:c r="Q522" s="2" t="n">
        <x:f>MAX(0,ROUND('기준스탯 72종'!K28-Y522-AG522,0))</x:f>
        <x:v>4</x:v>
      </x:c>
      <x:c r="R522" s="15" t="n">
        <x:f>'기준스탯 72종'!D28*G522</x:f>
        <x:v>0</x:v>
      </x:c>
      <x:c r="S522" s="15" t="n">
        <x:f>'기준스탯 72종'!E28*G522</x:f>
        <x:v>0</x:v>
      </x:c>
      <x:c r="T522" s="15" t="n">
        <x:f>'기준스탯 72종'!F28*G522</x:f>
        <x:v>0</x:v>
      </x:c>
      <x:c r="U522" s="15" t="n">
        <x:f>'기준스탯 72종'!G28*G522</x:f>
        <x:v>0</x:v>
      </x:c>
      <x:c r="V522" s="15" t="n">
        <x:f>'기준스탯 72종'!H28*G522</x:f>
        <x:v>0</x:v>
      </x:c>
      <x:c r="W522" s="15" t="n">
        <x:f>'기준스탯 72종'!I28*G522</x:f>
        <x:v>0</x:v>
      </x:c>
      <x:c r="X522" s="15" t="n">
        <x:f>'기준스탯 72종'!J28*G522</x:f>
        <x:v>0</x:v>
      </x:c>
      <x:c r="Y522" s="15" t="n">
        <x:f>'기준스탯 72종'!K28*G522</x:f>
        <x:v>0</x:v>
      </x:c>
      <x:c r="Z522" s="15" t="n">
        <x:f>'기준스탯 72종'!D28*H522</x:f>
        <x:v>0.7200000000000002</x:v>
      </x:c>
      <x:c r="AA522" s="15" t="n">
        <x:f>'기준스탯 72종'!E28*H522</x:f>
        <x:v>1.0800000000000003</x:v>
      </x:c>
      <x:c r="AB522" s="15" t="n">
        <x:f>'기준스탯 72종'!F28*H522</x:f>
        <x:v>0.9600000000000002</x:v>
      </x:c>
      <x:c r="AC522" s="15" t="n">
        <x:f>'기준스탯 72종'!G28*H522</x:f>
        <x:v>0.8400000000000002</x:v>
      </x:c>
      <x:c r="AD522" s="15" t="n">
        <x:f>'기준스탯 72종'!H28*H522</x:f>
        <x:v>0.3600000000000001</x:v>
      </x:c>
      <x:c r="AE522" s="15" t="n">
        <x:f>'기준스탯 72종'!I28*H522</x:f>
        <x:v>0.4800000000000001</x:v>
      </x:c>
      <x:c r="AF522" s="15" t="n">
        <x:f>'기준스탯 72종'!J28*H522</x:f>
        <x:v>0.4800000000000001</x:v>
      </x:c>
      <x:c r="AG522" s="15" t="n">
        <x:f>'기준스탯 72종'!K28*H522</x:f>
        <x:v>0.6000000000000001</x:v>
      </x:c>
    </x:row>
    <x:row r="523" ht="28" customHeight="1">
      <x:c r="A523" s="2" t="n">
        <x:v>516</x:v>
      </x:c>
      <x:c r="B523" s="2" t="n">
        <x:v>21</x:v>
      </x:c>
      <x:c r="C523" s="2" t="str">
        <x:v>게자리</x:v>
      </x:c>
      <x:c r="D523" s="2" t="str">
        <x:v>사수</x:v>
      </x:c>
      <x:c r="E523" s="2" t="n">
        <x:v>1</x:v>
      </x:c>
      <x:c r="F523" s="2" t="n">
        <x:v>4</x:v>
      </x:c>
      <x:c r="G523" s="14" t="n">
        <x:f>('레벨 계산식'!$E$4-E523)*'레벨 계산식'!$B$5</x:f>
        <x:v>0.5599999999999999</x:v>
      </x:c>
      <x:c r="H523" s="14" t="n">
        <x:f>('등급 계산식'!$E$4-F523)*'등급 계산식'!$B$5</x:f>
        <x:v>0.06000000000000001</x:v>
      </x:c>
      <x:c r="I523" s="14" t="n">
        <x:f>1-G523-H523</x:f>
        <x:v>0.38000000000000006</x:v>
      </x:c>
      <x:c r="J523" s="2" t="n">
        <x:f>MAX(1,ROUND('기준스탯 72종'!D28-R523-Z523,0))</x:f>
        <x:v>2</x:v>
      </x:c>
      <x:c r="K523" s="2" t="n">
        <x:f>MAX(1,ROUND('기준스탯 72종'!E28-S523-AA523,0))</x:f>
        <x:v>3</x:v>
      </x:c>
      <x:c r="L523" s="2" t="n">
        <x:f>MAX(1,ROUND('기준스탯 72종'!F28-T523-AB523,0))</x:f>
        <x:v>3</x:v>
      </x:c>
      <x:c r="M523" s="2" t="n">
        <x:f>MAX(1,ROUND('기준스탯 72종'!G28-U523-AC523,0))</x:f>
        <x:v>3</x:v>
      </x:c>
      <x:c r="N523" s="2" t="n">
        <x:f>MAX(0,ROUND('기준스탯 72종'!H28-V523-AD523,0))</x:f>
        <x:v>1</x:v>
      </x:c>
      <x:c r="O523" s="2" t="n">
        <x:f>MAX(0,ROUND('기준스탯 72종'!I28-W523-AE523,0))</x:f>
        <x:v>2</x:v>
      </x:c>
      <x:c r="P523" s="2" t="n">
        <x:f>MAX(0,ROUND('기준스탯 72종'!J28-X523-AF523,0))</x:f>
        <x:v>2</x:v>
      </x:c>
      <x:c r="Q523" s="2" t="n">
        <x:f>MAX(0,ROUND('기준스탯 72종'!K28-Y523-AG523,0))</x:f>
        <x:v>2</x:v>
      </x:c>
      <x:c r="R523" s="15" t="n">
        <x:f>'기준스탯 72종'!D28*G523</x:f>
        <x:v>3.3599999999999994</x:v>
      </x:c>
      <x:c r="S523" s="15" t="n">
        <x:f>'기준스탯 72종'!E28*G523</x:f>
        <x:v>5.039999999999999</x:v>
      </x:c>
      <x:c r="T523" s="15" t="n">
        <x:f>'기준스탯 72종'!F28*G523</x:f>
        <x:v>4.4799999999999995</x:v>
      </x:c>
      <x:c r="U523" s="15" t="n">
        <x:f>'기준스탯 72종'!G28*G523</x:f>
        <x:v>3.9199999999999995</x:v>
      </x:c>
      <x:c r="V523" s="15" t="n">
        <x:f>'기준스탯 72종'!H28*G523</x:f>
        <x:v>1.6799999999999997</x:v>
      </x:c>
      <x:c r="W523" s="15" t="n">
        <x:f>'기준스탯 72종'!I28*G523</x:f>
        <x:v>2.2399999999999998</x:v>
      </x:c>
      <x:c r="X523" s="15" t="n">
        <x:f>'기준스탯 72종'!J28*G523</x:f>
        <x:v>2.2399999999999998</x:v>
      </x:c>
      <x:c r="Y523" s="15" t="n">
        <x:f>'기준스탯 72종'!K28*G523</x:f>
        <x:v>2.8</x:v>
      </x:c>
      <x:c r="Z523" s="15" t="n">
        <x:f>'기준스탯 72종'!D28*H523</x:f>
        <x:v>0.3600000000000001</x:v>
      </x:c>
      <x:c r="AA523" s="15" t="n">
        <x:f>'기준스탯 72종'!E28*H523</x:f>
        <x:v>0.5400000000000001</x:v>
      </x:c>
      <x:c r="AB523" s="15" t="n">
        <x:f>'기준스탯 72종'!F28*H523</x:f>
        <x:v>0.4800000000000001</x:v>
      </x:c>
      <x:c r="AC523" s="15" t="n">
        <x:f>'기준스탯 72종'!G28*H523</x:f>
        <x:v>0.4200000000000001</x:v>
      </x:c>
      <x:c r="AD523" s="15" t="n">
        <x:f>'기준스탯 72종'!H28*H523</x:f>
        <x:v>0.18000000000000005</x:v>
      </x:c>
      <x:c r="AE523" s="15" t="n">
        <x:f>'기준스탯 72종'!I28*H523</x:f>
        <x:v>0.24000000000000005</x:v>
      </x:c>
      <x:c r="AF523" s="15" t="n">
        <x:f>'기준스탯 72종'!J28*H523</x:f>
        <x:v>0.24000000000000005</x:v>
      </x:c>
      <x:c r="AG523" s="15" t="n">
        <x:f>'기준스탯 72종'!K28*H523</x:f>
        <x:v>0.30000000000000004</x:v>
      </x:c>
    </x:row>
    <x:row r="524" ht="28" customHeight="1">
      <x:c r="A524" s="2" t="n">
        <x:v>517</x:v>
      </x:c>
      <x:c r="B524" s="2" t="n">
        <x:v>21</x:v>
      </x:c>
      <x:c r="C524" s="2" t="str">
        <x:v>게자리</x:v>
      </x:c>
      <x:c r="D524" s="2" t="str">
        <x:v>사수</x:v>
      </x:c>
      <x:c r="E524" s="2" t="n">
        <x:v>2</x:v>
      </x:c>
      <x:c r="F524" s="2" t="n">
        <x:v>4</x:v>
      </x:c>
      <x:c r="G524" s="14" t="n">
        <x:f>('레벨 계산식'!$E$4-E524)*'레벨 계산식'!$B$5</x:f>
        <x:v>0.41999999999999993</x:v>
      </x:c>
      <x:c r="H524" s="14" t="n">
        <x:f>('등급 계산식'!$E$4-F524)*'등급 계산식'!$B$5</x:f>
        <x:v>0.06000000000000001</x:v>
      </x:c>
      <x:c r="I524" s="14" t="n">
        <x:f>1-G524-H524</x:f>
        <x:v>0.52</x:v>
      </x:c>
      <x:c r="J524" s="2" t="n">
        <x:f>MAX(1,ROUND('기준스탯 72종'!D28-R524-Z524,0))</x:f>
        <x:v>3</x:v>
      </x:c>
      <x:c r="K524" s="2" t="n">
        <x:f>MAX(1,ROUND('기준스탯 72종'!E28-S524-AA524,0))</x:f>
        <x:v>5</x:v>
      </x:c>
      <x:c r="L524" s="2" t="n">
        <x:f>MAX(1,ROUND('기준스탯 72종'!F28-T524-AB524,0))</x:f>
        <x:v>4</x:v>
      </x:c>
      <x:c r="M524" s="2" t="n">
        <x:f>MAX(1,ROUND('기준스탯 72종'!G28-U524-AC524,0))</x:f>
        <x:v>4</x:v>
      </x:c>
      <x:c r="N524" s="2" t="n">
        <x:f>MAX(0,ROUND('기준스탯 72종'!H28-V524-AD524,0))</x:f>
        <x:v>2</x:v>
      </x:c>
      <x:c r="O524" s="2" t="n">
        <x:f>MAX(0,ROUND('기준스탯 72종'!I28-W524-AE524,0))</x:f>
        <x:v>2</x:v>
      </x:c>
      <x:c r="P524" s="2" t="n">
        <x:f>MAX(0,ROUND('기준스탯 72종'!J28-X524-AF524,0))</x:f>
        <x:v>2</x:v>
      </x:c>
      <x:c r="Q524" s="2" t="n">
        <x:f>MAX(0,ROUND('기준스탯 72종'!K28-Y524-AG524,0))</x:f>
        <x:v>3</x:v>
      </x:c>
      <x:c r="R524" s="15" t="n">
        <x:f>'기준스탯 72종'!D28*G524</x:f>
        <x:v>2.5199999999999996</x:v>
      </x:c>
      <x:c r="S524" s="15" t="n">
        <x:f>'기준스탯 72종'!E28*G524</x:f>
        <x:v>3.7799999999999994</x:v>
      </x:c>
      <x:c r="T524" s="15" t="n">
        <x:f>'기준스탯 72종'!F28*G524</x:f>
        <x:v>3.3599999999999994</x:v>
      </x:c>
      <x:c r="U524" s="15" t="n">
        <x:f>'기준스탯 72종'!G28*G524</x:f>
        <x:v>2.9399999999999995</x:v>
      </x:c>
      <x:c r="V524" s="15" t="n">
        <x:f>'기준스탯 72종'!H28*G524</x:f>
        <x:v>1.2599999999999998</x:v>
      </x:c>
      <x:c r="W524" s="15" t="n">
        <x:f>'기준스탯 72종'!I28*G524</x:f>
        <x:v>1.6799999999999997</x:v>
      </x:c>
      <x:c r="X524" s="15" t="n">
        <x:f>'기준스탯 72종'!J28*G524</x:f>
        <x:v>1.6799999999999997</x:v>
      </x:c>
      <x:c r="Y524" s="15" t="n">
        <x:f>'기준스탯 72종'!K28*G524</x:f>
        <x:v>2.0999999999999996</x:v>
      </x:c>
      <x:c r="Z524" s="15" t="n">
        <x:f>'기준스탯 72종'!D28*H524</x:f>
        <x:v>0.3600000000000001</x:v>
      </x:c>
      <x:c r="AA524" s="15" t="n">
        <x:f>'기준스탯 72종'!E28*H524</x:f>
        <x:v>0.5400000000000001</x:v>
      </x:c>
      <x:c r="AB524" s="15" t="n">
        <x:f>'기준스탯 72종'!F28*H524</x:f>
        <x:v>0.4800000000000001</x:v>
      </x:c>
      <x:c r="AC524" s="15" t="n">
        <x:f>'기준스탯 72종'!G28*H524</x:f>
        <x:v>0.4200000000000001</x:v>
      </x:c>
      <x:c r="AD524" s="15" t="n">
        <x:f>'기준스탯 72종'!H28*H524</x:f>
        <x:v>0.18000000000000005</x:v>
      </x:c>
      <x:c r="AE524" s="15" t="n">
        <x:f>'기준스탯 72종'!I28*H524</x:f>
        <x:v>0.24000000000000005</x:v>
      </x:c>
      <x:c r="AF524" s="15" t="n">
        <x:f>'기준스탯 72종'!J28*H524</x:f>
        <x:v>0.24000000000000005</x:v>
      </x:c>
      <x:c r="AG524" s="15" t="n">
        <x:f>'기준스탯 72종'!K28*H524</x:f>
        <x:v>0.30000000000000004</x:v>
      </x:c>
    </x:row>
    <x:row r="525" ht="28" customHeight="1">
      <x:c r="A525" s="2" t="n">
        <x:v>518</x:v>
      </x:c>
      <x:c r="B525" s="2" t="n">
        <x:v>21</x:v>
      </x:c>
      <x:c r="C525" s="2" t="str">
        <x:v>게자리</x:v>
      </x:c>
      <x:c r="D525" s="2" t="str">
        <x:v>사수</x:v>
      </x:c>
      <x:c r="E525" s="2" t="n">
        <x:v>3</x:v>
      </x:c>
      <x:c r="F525" s="2" t="n">
        <x:v>4</x:v>
      </x:c>
      <x:c r="G525" s="14" t="n">
        <x:f>('레벨 계산식'!$E$4-E525)*'레벨 계산식'!$B$5</x:f>
        <x:v>0.27999999999999997</x:v>
      </x:c>
      <x:c r="H525" s="14" t="n">
        <x:f>('등급 계산식'!$E$4-F525)*'등급 계산식'!$B$5</x:f>
        <x:v>0.06000000000000001</x:v>
      </x:c>
      <x:c r="I525" s="14" t="n">
        <x:f>1-G525-H525</x:f>
        <x:v>0.6599999999999999</x:v>
      </x:c>
      <x:c r="J525" s="2" t="n">
        <x:f>MAX(1,ROUND('기준스탯 72종'!D28-R525-Z525,0))</x:f>
        <x:v>4</x:v>
      </x:c>
      <x:c r="K525" s="2" t="n">
        <x:f>MAX(1,ROUND('기준스탯 72종'!E28-S525-AA525,0))</x:f>
        <x:v>6</x:v>
      </x:c>
      <x:c r="L525" s="2" t="n">
        <x:f>MAX(1,ROUND('기준스탯 72종'!F28-T525-AB525,0))</x:f>
        <x:v>5</x:v>
      </x:c>
      <x:c r="M525" s="2" t="n">
        <x:f>MAX(1,ROUND('기준스탯 72종'!G28-U525-AC525,0))</x:f>
        <x:v>5</x:v>
      </x:c>
      <x:c r="N525" s="2" t="n">
        <x:f>MAX(0,ROUND('기준스탯 72종'!H28-V525-AD525,0))</x:f>
        <x:v>2</x:v>
      </x:c>
      <x:c r="O525" s="2" t="n">
        <x:f>MAX(0,ROUND('기준스탯 72종'!I28-W525-AE525,0))</x:f>
        <x:v>3</x:v>
      </x:c>
      <x:c r="P525" s="2" t="n">
        <x:f>MAX(0,ROUND('기준스탯 72종'!J28-X525-AF525,0))</x:f>
        <x:v>3</x:v>
      </x:c>
      <x:c r="Q525" s="2" t="n">
        <x:f>MAX(0,ROUND('기준스탯 72종'!K28-Y525-AG525,0))</x:f>
        <x:v>3</x:v>
      </x:c>
      <x:c r="R525" s="15" t="n">
        <x:f>'기준스탯 72종'!D28*G525</x:f>
        <x:v>1.6799999999999997</x:v>
      </x:c>
      <x:c r="S525" s="15" t="n">
        <x:f>'기준스탯 72종'!E28*G525</x:f>
        <x:v>2.5199999999999996</x:v>
      </x:c>
      <x:c r="T525" s="15" t="n">
        <x:f>'기준스탯 72종'!F28*G525</x:f>
        <x:v>2.2399999999999998</x:v>
      </x:c>
      <x:c r="U525" s="15" t="n">
        <x:f>'기준스탯 72종'!G28*G525</x:f>
        <x:v>1.9599999999999997</x:v>
      </x:c>
      <x:c r="V525" s="15" t="n">
        <x:f>'기준스탯 72종'!H28*G525</x:f>
        <x:v>0.8399999999999999</x:v>
      </x:c>
      <x:c r="W525" s="15" t="n">
        <x:f>'기준스탯 72종'!I28*G525</x:f>
        <x:v>1.1199999999999999</x:v>
      </x:c>
      <x:c r="X525" s="15" t="n">
        <x:f>'기준스탯 72종'!J28*G525</x:f>
        <x:v>1.1199999999999999</x:v>
      </x:c>
      <x:c r="Y525" s="15" t="n">
        <x:f>'기준스탯 72종'!K28*G525</x:f>
        <x:v>1.4</x:v>
      </x:c>
      <x:c r="Z525" s="15" t="n">
        <x:f>'기준스탯 72종'!D28*H525</x:f>
        <x:v>0.3600000000000001</x:v>
      </x:c>
      <x:c r="AA525" s="15" t="n">
        <x:f>'기준스탯 72종'!E28*H525</x:f>
        <x:v>0.5400000000000001</x:v>
      </x:c>
      <x:c r="AB525" s="15" t="n">
        <x:f>'기준스탯 72종'!F28*H525</x:f>
        <x:v>0.4800000000000001</x:v>
      </x:c>
      <x:c r="AC525" s="15" t="n">
        <x:f>'기준스탯 72종'!G28*H525</x:f>
        <x:v>0.4200000000000001</x:v>
      </x:c>
      <x:c r="AD525" s="15" t="n">
        <x:f>'기준스탯 72종'!H28*H525</x:f>
        <x:v>0.18000000000000005</x:v>
      </x:c>
      <x:c r="AE525" s="15" t="n">
        <x:f>'기준스탯 72종'!I28*H525</x:f>
        <x:v>0.24000000000000005</x:v>
      </x:c>
      <x:c r="AF525" s="15" t="n">
        <x:f>'기준스탯 72종'!J28*H525</x:f>
        <x:v>0.24000000000000005</x:v>
      </x:c>
      <x:c r="AG525" s="15" t="n">
        <x:f>'기준스탯 72종'!K28*H525</x:f>
        <x:v>0.30000000000000004</x:v>
      </x:c>
    </x:row>
    <x:row r="526" ht="28" customHeight="1">
      <x:c r="A526" s="2" t="n">
        <x:v>519</x:v>
      </x:c>
      <x:c r="B526" s="2" t="n">
        <x:v>21</x:v>
      </x:c>
      <x:c r="C526" s="2" t="str">
        <x:v>게자리</x:v>
      </x:c>
      <x:c r="D526" s="2" t="str">
        <x:v>사수</x:v>
      </x:c>
      <x:c r="E526" s="2" t="n">
        <x:v>4</x:v>
      </x:c>
      <x:c r="F526" s="2" t="n">
        <x:v>4</x:v>
      </x:c>
      <x:c r="G526" s="14" t="n">
        <x:f>('레벨 계산식'!$E$4-E526)*'레벨 계산식'!$B$5</x:f>
        <x:v>0.13999999999999999</x:v>
      </x:c>
      <x:c r="H526" s="14" t="n">
        <x:f>('등급 계산식'!$E$4-F526)*'등급 계산식'!$B$5</x:f>
        <x:v>0.06000000000000001</x:v>
      </x:c>
      <x:c r="I526" s="14" t="n">
        <x:f>1-G526-H526</x:f>
        <x:v>0.7999999999999999</x:v>
      </x:c>
      <x:c r="J526" s="2" t="n">
        <x:f>MAX(1,ROUND('기준스탯 72종'!D28-R526-Z526,0))</x:f>
        <x:v>5</x:v>
      </x:c>
      <x:c r="K526" s="2" t="n">
        <x:f>MAX(1,ROUND('기준스탯 72종'!E28-S526-AA526,0))</x:f>
        <x:v>7</x:v>
      </x:c>
      <x:c r="L526" s="2" t="n">
        <x:f>MAX(1,ROUND('기준스탯 72종'!F28-T526-AB526,0))</x:f>
        <x:v>6</x:v>
      </x:c>
      <x:c r="M526" s="2" t="n">
        <x:f>MAX(1,ROUND('기준스탯 72종'!G28-U526-AC526,0))</x:f>
        <x:v>6</x:v>
      </x:c>
      <x:c r="N526" s="2" t="n">
        <x:f>MAX(0,ROUND('기준스탯 72종'!H28-V526-AD526,0))</x:f>
        <x:v>2</x:v>
      </x:c>
      <x:c r="O526" s="2" t="n">
        <x:f>MAX(0,ROUND('기준스탯 72종'!I28-W526-AE526,0))</x:f>
        <x:v>3</x:v>
      </x:c>
      <x:c r="P526" s="2" t="n">
        <x:f>MAX(0,ROUND('기준스탯 72종'!J28-X526-AF526,0))</x:f>
        <x:v>3</x:v>
      </x:c>
      <x:c r="Q526" s="2" t="n">
        <x:f>MAX(0,ROUND('기준스탯 72종'!K28-Y526-AG526,0))</x:f>
        <x:v>4</x:v>
      </x:c>
      <x:c r="R526" s="15" t="n">
        <x:f>'기준스탯 72종'!D28*G526</x:f>
        <x:v>0.8399999999999999</x:v>
      </x:c>
      <x:c r="S526" s="15" t="n">
        <x:f>'기준스탯 72종'!E28*G526</x:f>
        <x:v>1.2599999999999998</x:v>
      </x:c>
      <x:c r="T526" s="15" t="n">
        <x:f>'기준스탯 72종'!F28*G526</x:f>
        <x:v>1.1199999999999999</x:v>
      </x:c>
      <x:c r="U526" s="15" t="n">
        <x:f>'기준스탯 72종'!G28*G526</x:f>
        <x:v>0.9799999999999999</x:v>
      </x:c>
      <x:c r="V526" s="15" t="n">
        <x:f>'기준스탯 72종'!H28*G526</x:f>
        <x:v>0.41999999999999993</x:v>
      </x:c>
      <x:c r="W526" s="15" t="n">
        <x:f>'기준스탯 72종'!I28*G526</x:f>
        <x:v>0.5599999999999999</x:v>
      </x:c>
      <x:c r="X526" s="15" t="n">
        <x:f>'기준스탯 72종'!J28*G526</x:f>
        <x:v>0.5599999999999999</x:v>
      </x:c>
      <x:c r="Y526" s="15" t="n">
        <x:f>'기준스탯 72종'!K28*G526</x:f>
        <x:v>0.7</x:v>
      </x:c>
      <x:c r="Z526" s="15" t="n">
        <x:f>'기준스탯 72종'!D28*H526</x:f>
        <x:v>0.3600000000000001</x:v>
      </x:c>
      <x:c r="AA526" s="15" t="n">
        <x:f>'기준스탯 72종'!E28*H526</x:f>
        <x:v>0.5400000000000001</x:v>
      </x:c>
      <x:c r="AB526" s="15" t="n">
        <x:f>'기준스탯 72종'!F28*H526</x:f>
        <x:v>0.4800000000000001</x:v>
      </x:c>
      <x:c r="AC526" s="15" t="n">
        <x:f>'기준스탯 72종'!G28*H526</x:f>
        <x:v>0.4200000000000001</x:v>
      </x:c>
      <x:c r="AD526" s="15" t="n">
        <x:f>'기준스탯 72종'!H28*H526</x:f>
        <x:v>0.18000000000000005</x:v>
      </x:c>
      <x:c r="AE526" s="15" t="n">
        <x:f>'기준스탯 72종'!I28*H526</x:f>
        <x:v>0.24000000000000005</x:v>
      </x:c>
      <x:c r="AF526" s="15" t="n">
        <x:f>'기준스탯 72종'!J28*H526</x:f>
        <x:v>0.24000000000000005</x:v>
      </x:c>
      <x:c r="AG526" s="15" t="n">
        <x:f>'기준스탯 72종'!K28*H526</x:f>
        <x:v>0.30000000000000004</x:v>
      </x:c>
    </x:row>
    <x:row r="527" ht="28" customHeight="1">
      <x:c r="A527" s="2" t="n">
        <x:v>520</x:v>
      </x:c>
      <x:c r="B527" s="2" t="n">
        <x:v>21</x:v>
      </x:c>
      <x:c r="C527" s="2" t="str">
        <x:v>게자리</x:v>
      </x:c>
      <x:c r="D527" s="2" t="str">
        <x:v>사수</x:v>
      </x:c>
      <x:c r="E527" s="2" t="n">
        <x:v>5</x:v>
      </x:c>
      <x:c r="F527" s="2" t="n">
        <x:v>4</x:v>
      </x:c>
      <x:c r="G527" s="14" t="n">
        <x:f>('레벨 계산식'!$E$4-E527)*'레벨 계산식'!$B$5</x:f>
        <x:v>0</x:v>
      </x:c>
      <x:c r="H527" s="14" t="n">
        <x:f>('등급 계산식'!$E$4-F527)*'등급 계산식'!$B$5</x:f>
        <x:v>0.06000000000000001</x:v>
      </x:c>
      <x:c r="I527" s="14" t="n">
        <x:f>1-G527-H527</x:f>
        <x:v>0.94</x:v>
      </x:c>
      <x:c r="J527" s="2" t="n">
        <x:f>MAX(1,ROUND('기준스탯 72종'!D28-R527-Z527,0))</x:f>
        <x:v>6</x:v>
      </x:c>
      <x:c r="K527" s="2" t="n">
        <x:f>MAX(1,ROUND('기준스탯 72종'!E28-S527-AA527,0))</x:f>
        <x:v>8</x:v>
      </x:c>
      <x:c r="L527" s="2" t="n">
        <x:f>MAX(1,ROUND('기준스탯 72종'!F28-T527-AB527,0))</x:f>
        <x:v>8</x:v>
      </x:c>
      <x:c r="M527" s="2" t="n">
        <x:f>MAX(1,ROUND('기준스탯 72종'!G28-U527-AC527,0))</x:f>
        <x:v>7</x:v>
      </x:c>
      <x:c r="N527" s="2" t="n">
        <x:f>MAX(0,ROUND('기준스탯 72종'!H28-V527-AD527,0))</x:f>
        <x:v>3</x:v>
      </x:c>
      <x:c r="O527" s="2" t="n">
        <x:f>MAX(0,ROUND('기준스탯 72종'!I28-W527-AE527,0))</x:f>
        <x:v>4</x:v>
      </x:c>
      <x:c r="P527" s="2" t="n">
        <x:f>MAX(0,ROUND('기준스탯 72종'!J28-X527-AF527,0))</x:f>
        <x:v>4</x:v>
      </x:c>
      <x:c r="Q527" s="2" t="n">
        <x:f>MAX(0,ROUND('기준스탯 72종'!K28-Y527-AG527,0))</x:f>
        <x:v>5</x:v>
      </x:c>
      <x:c r="R527" s="15" t="n">
        <x:f>'기준스탯 72종'!D28*G527</x:f>
        <x:v>0</x:v>
      </x:c>
      <x:c r="S527" s="15" t="n">
        <x:f>'기준스탯 72종'!E28*G527</x:f>
        <x:v>0</x:v>
      </x:c>
      <x:c r="T527" s="15" t="n">
        <x:f>'기준스탯 72종'!F28*G527</x:f>
        <x:v>0</x:v>
      </x:c>
      <x:c r="U527" s="15" t="n">
        <x:f>'기준스탯 72종'!G28*G527</x:f>
        <x:v>0</x:v>
      </x:c>
      <x:c r="V527" s="15" t="n">
        <x:f>'기준스탯 72종'!H28*G527</x:f>
        <x:v>0</x:v>
      </x:c>
      <x:c r="W527" s="15" t="n">
        <x:f>'기준스탯 72종'!I28*G527</x:f>
        <x:v>0</x:v>
      </x:c>
      <x:c r="X527" s="15" t="n">
        <x:f>'기준스탯 72종'!J28*G527</x:f>
        <x:v>0</x:v>
      </x:c>
      <x:c r="Y527" s="15" t="n">
        <x:f>'기준스탯 72종'!K28*G527</x:f>
        <x:v>0</x:v>
      </x:c>
      <x:c r="Z527" s="15" t="n">
        <x:f>'기준스탯 72종'!D28*H527</x:f>
        <x:v>0.3600000000000001</x:v>
      </x:c>
      <x:c r="AA527" s="15" t="n">
        <x:f>'기준스탯 72종'!E28*H527</x:f>
        <x:v>0.5400000000000001</x:v>
      </x:c>
      <x:c r="AB527" s="15" t="n">
        <x:f>'기준스탯 72종'!F28*H527</x:f>
        <x:v>0.4800000000000001</x:v>
      </x:c>
      <x:c r="AC527" s="15" t="n">
        <x:f>'기준스탯 72종'!G28*H527</x:f>
        <x:v>0.4200000000000001</x:v>
      </x:c>
      <x:c r="AD527" s="15" t="n">
        <x:f>'기준스탯 72종'!H28*H527</x:f>
        <x:v>0.18000000000000005</x:v>
      </x:c>
      <x:c r="AE527" s="15" t="n">
        <x:f>'기준스탯 72종'!I28*H527</x:f>
        <x:v>0.24000000000000005</x:v>
      </x:c>
      <x:c r="AF527" s="15" t="n">
        <x:f>'기준스탯 72종'!J28*H527</x:f>
        <x:v>0.24000000000000005</x:v>
      </x:c>
      <x:c r="AG527" s="15" t="n">
        <x:f>'기준스탯 72종'!K28*H527</x:f>
        <x:v>0.30000000000000004</x:v>
      </x:c>
    </x:row>
    <x:row r="528" ht="28" customHeight="1">
      <x:c r="A528" s="2" t="n">
        <x:v>521</x:v>
      </x:c>
      <x:c r="B528" s="2" t="n">
        <x:v>21</x:v>
      </x:c>
      <x:c r="C528" s="2" t="str">
        <x:v>게자리</x:v>
      </x:c>
      <x:c r="D528" s="2" t="str">
        <x:v>사수</x:v>
      </x:c>
      <x:c r="E528" s="2" t="n">
        <x:v>1</x:v>
      </x:c>
      <x:c r="F528" s="2" t="n">
        <x:v>5</x:v>
      </x:c>
      <x:c r="G528" s="14" t="n">
        <x:f>('레벨 계산식'!$E$4-E528)*'레벨 계산식'!$B$5</x:f>
        <x:v>0.5599999999999999</x:v>
      </x:c>
      <x:c r="H528" s="14" t="n">
        <x:f>('등급 계산식'!$E$4-F528)*'등급 계산식'!$B$5</x:f>
        <x:v>0</x:v>
      </x:c>
      <x:c r="I528" s="14" t="n">
        <x:f>1-G528-H528</x:f>
        <x:v>0.44000000000000006</x:v>
      </x:c>
      <x:c r="J528" s="2" t="n">
        <x:f>MAX(1,ROUND('기준스탯 72종'!D28-R528-Z528,0))</x:f>
        <x:v>3</x:v>
      </x:c>
      <x:c r="K528" s="2" t="n">
        <x:f>MAX(1,ROUND('기준스탯 72종'!E28-S528-AA528,0))</x:f>
        <x:v>4</x:v>
      </x:c>
      <x:c r="L528" s="2" t="n">
        <x:f>MAX(1,ROUND('기준스탯 72종'!F28-T528-AB528,0))</x:f>
        <x:v>4</x:v>
      </x:c>
      <x:c r="M528" s="2" t="n">
        <x:f>MAX(1,ROUND('기준스탯 72종'!G28-U528-AC528,0))</x:f>
        <x:v>3</x:v>
      </x:c>
      <x:c r="N528" s="2" t="n">
        <x:f>MAX(0,ROUND('기준스탯 72종'!H28-V528-AD528,0))</x:f>
        <x:v>1</x:v>
      </x:c>
      <x:c r="O528" s="2" t="n">
        <x:f>MAX(0,ROUND('기준스탯 72종'!I28-W528-AE528,0))</x:f>
        <x:v>2</x:v>
      </x:c>
      <x:c r="P528" s="2" t="n">
        <x:f>MAX(0,ROUND('기준스탯 72종'!J28-X528-AF528,0))</x:f>
        <x:v>2</x:v>
      </x:c>
      <x:c r="Q528" s="2" t="n">
        <x:f>MAX(0,ROUND('기준스탯 72종'!K28-Y528-AG528,0))</x:f>
        <x:v>2</x:v>
      </x:c>
      <x:c r="R528" s="15" t="n">
        <x:f>'기준스탯 72종'!D28*G528</x:f>
        <x:v>3.3599999999999994</x:v>
      </x:c>
      <x:c r="S528" s="15" t="n">
        <x:f>'기준스탯 72종'!E28*G528</x:f>
        <x:v>5.039999999999999</x:v>
      </x:c>
      <x:c r="T528" s="15" t="n">
        <x:f>'기준스탯 72종'!F28*G528</x:f>
        <x:v>4.4799999999999995</x:v>
      </x:c>
      <x:c r="U528" s="15" t="n">
        <x:f>'기준스탯 72종'!G28*G528</x:f>
        <x:v>3.9199999999999995</x:v>
      </x:c>
      <x:c r="V528" s="15" t="n">
        <x:f>'기준스탯 72종'!H28*G528</x:f>
        <x:v>1.6799999999999997</x:v>
      </x:c>
      <x:c r="W528" s="15" t="n">
        <x:f>'기준스탯 72종'!I28*G528</x:f>
        <x:v>2.2399999999999998</x:v>
      </x:c>
      <x:c r="X528" s="15" t="n">
        <x:f>'기준스탯 72종'!J28*G528</x:f>
        <x:v>2.2399999999999998</x:v>
      </x:c>
      <x:c r="Y528" s="15" t="n">
        <x:f>'기준스탯 72종'!K28*G528</x:f>
        <x:v>2.8</x:v>
      </x:c>
      <x:c r="Z528" s="15" t="n">
        <x:f>'기준스탯 72종'!D28*H528</x:f>
        <x:v>0</x:v>
      </x:c>
      <x:c r="AA528" s="15" t="n">
        <x:f>'기준스탯 72종'!E28*H528</x:f>
        <x:v>0</x:v>
      </x:c>
      <x:c r="AB528" s="15" t="n">
        <x:f>'기준스탯 72종'!F28*H528</x:f>
        <x:v>0</x:v>
      </x:c>
      <x:c r="AC528" s="15" t="n">
        <x:f>'기준스탯 72종'!G28*H528</x:f>
        <x:v>0</x:v>
      </x:c>
      <x:c r="AD528" s="15" t="n">
        <x:f>'기준스탯 72종'!H28*H528</x:f>
        <x:v>0</x:v>
      </x:c>
      <x:c r="AE528" s="15" t="n">
        <x:f>'기준스탯 72종'!I28*H528</x:f>
        <x:v>0</x:v>
      </x:c>
      <x:c r="AF528" s="15" t="n">
        <x:f>'기준스탯 72종'!J28*H528</x:f>
        <x:v>0</x:v>
      </x:c>
      <x:c r="AG528" s="15" t="n">
        <x:f>'기준스탯 72종'!K28*H528</x:f>
        <x:v>0</x:v>
      </x:c>
    </x:row>
    <x:row r="529" ht="28" customHeight="1">
      <x:c r="A529" s="2" t="n">
        <x:v>522</x:v>
      </x:c>
      <x:c r="B529" s="2" t="n">
        <x:v>21</x:v>
      </x:c>
      <x:c r="C529" s="2" t="str">
        <x:v>게자리</x:v>
      </x:c>
      <x:c r="D529" s="2" t="str">
        <x:v>사수</x:v>
      </x:c>
      <x:c r="E529" s="2" t="n">
        <x:v>2</x:v>
      </x:c>
      <x:c r="F529" s="2" t="n">
        <x:v>5</x:v>
      </x:c>
      <x:c r="G529" s="14" t="n">
        <x:f>('레벨 계산식'!$E$4-E529)*'레벨 계산식'!$B$5</x:f>
        <x:v>0.41999999999999993</x:v>
      </x:c>
      <x:c r="H529" s="14" t="n">
        <x:f>('등급 계산식'!$E$4-F529)*'등급 계산식'!$B$5</x:f>
        <x:v>0</x:v>
      </x:c>
      <x:c r="I529" s="14" t="n">
        <x:f>1-G529-H529</x:f>
        <x:v>0.5800000000000001</x:v>
      </x:c>
      <x:c r="J529" s="2" t="n">
        <x:f>MAX(1,ROUND('기준스탯 72종'!D28-R529-Z529,0))</x:f>
        <x:v>3</x:v>
      </x:c>
      <x:c r="K529" s="2" t="n">
        <x:f>MAX(1,ROUND('기준스탯 72종'!E28-S529-AA529,0))</x:f>
        <x:v>5</x:v>
      </x:c>
      <x:c r="L529" s="2" t="n">
        <x:f>MAX(1,ROUND('기준스탯 72종'!F28-T529-AB529,0))</x:f>
        <x:v>5</x:v>
      </x:c>
      <x:c r="M529" s="2" t="n">
        <x:f>MAX(1,ROUND('기준스탯 72종'!G28-U529-AC529,0))</x:f>
        <x:v>4</x:v>
      </x:c>
      <x:c r="N529" s="2" t="n">
        <x:f>MAX(0,ROUND('기준스탯 72종'!H28-V529-AD529,0))</x:f>
        <x:v>2</x:v>
      </x:c>
      <x:c r="O529" s="2" t="n">
        <x:f>MAX(0,ROUND('기준스탯 72종'!I28-W529-AE529,0))</x:f>
        <x:v>2</x:v>
      </x:c>
      <x:c r="P529" s="2" t="n">
        <x:f>MAX(0,ROUND('기준스탯 72종'!J28-X529-AF529,0))</x:f>
        <x:v>2</x:v>
      </x:c>
      <x:c r="Q529" s="2" t="n">
        <x:f>MAX(0,ROUND('기준스탯 72종'!K28-Y529-AG529,0))</x:f>
        <x:v>3</x:v>
      </x:c>
      <x:c r="R529" s="15" t="n">
        <x:f>'기준스탯 72종'!D28*G529</x:f>
        <x:v>2.5199999999999996</x:v>
      </x:c>
      <x:c r="S529" s="15" t="n">
        <x:f>'기준스탯 72종'!E28*G529</x:f>
        <x:v>3.7799999999999994</x:v>
      </x:c>
      <x:c r="T529" s="15" t="n">
        <x:f>'기준스탯 72종'!F28*G529</x:f>
        <x:v>3.3599999999999994</x:v>
      </x:c>
      <x:c r="U529" s="15" t="n">
        <x:f>'기준스탯 72종'!G28*G529</x:f>
        <x:v>2.9399999999999995</x:v>
      </x:c>
      <x:c r="V529" s="15" t="n">
        <x:f>'기준스탯 72종'!H28*G529</x:f>
        <x:v>1.2599999999999998</x:v>
      </x:c>
      <x:c r="W529" s="15" t="n">
        <x:f>'기준스탯 72종'!I28*G529</x:f>
        <x:v>1.6799999999999997</x:v>
      </x:c>
      <x:c r="X529" s="15" t="n">
        <x:f>'기준스탯 72종'!J28*G529</x:f>
        <x:v>1.6799999999999997</x:v>
      </x:c>
      <x:c r="Y529" s="15" t="n">
        <x:f>'기준스탯 72종'!K28*G529</x:f>
        <x:v>2.0999999999999996</x:v>
      </x:c>
      <x:c r="Z529" s="15" t="n">
        <x:f>'기준스탯 72종'!D28*H529</x:f>
        <x:v>0</x:v>
      </x:c>
      <x:c r="AA529" s="15" t="n">
        <x:f>'기준스탯 72종'!E28*H529</x:f>
        <x:v>0</x:v>
      </x:c>
      <x:c r="AB529" s="15" t="n">
        <x:f>'기준스탯 72종'!F28*H529</x:f>
        <x:v>0</x:v>
      </x:c>
      <x:c r="AC529" s="15" t="n">
        <x:f>'기준스탯 72종'!G28*H529</x:f>
        <x:v>0</x:v>
      </x:c>
      <x:c r="AD529" s="15" t="n">
        <x:f>'기준스탯 72종'!H28*H529</x:f>
        <x:v>0</x:v>
      </x:c>
      <x:c r="AE529" s="15" t="n">
        <x:f>'기준스탯 72종'!I28*H529</x:f>
        <x:v>0</x:v>
      </x:c>
      <x:c r="AF529" s="15" t="n">
        <x:f>'기준스탯 72종'!J28*H529</x:f>
        <x:v>0</x:v>
      </x:c>
      <x:c r="AG529" s="15" t="n">
        <x:f>'기준스탯 72종'!K28*H529</x:f>
        <x:v>0</x:v>
      </x:c>
    </x:row>
    <x:row r="530" ht="28" customHeight="1">
      <x:c r="A530" s="2" t="n">
        <x:v>523</x:v>
      </x:c>
      <x:c r="B530" s="2" t="n">
        <x:v>21</x:v>
      </x:c>
      <x:c r="C530" s="2" t="str">
        <x:v>게자리</x:v>
      </x:c>
      <x:c r="D530" s="2" t="str">
        <x:v>사수</x:v>
      </x:c>
      <x:c r="E530" s="2" t="n">
        <x:v>3</x:v>
      </x:c>
      <x:c r="F530" s="2" t="n">
        <x:v>5</x:v>
      </x:c>
      <x:c r="G530" s="14" t="n">
        <x:f>('레벨 계산식'!$E$4-E530)*'레벨 계산식'!$B$5</x:f>
        <x:v>0.27999999999999997</x:v>
      </x:c>
      <x:c r="H530" s="14" t="n">
        <x:f>('등급 계산식'!$E$4-F530)*'등급 계산식'!$B$5</x:f>
        <x:v>0</x:v>
      </x:c>
      <x:c r="I530" s="14" t="n">
        <x:f>1-G530-H530</x:f>
        <x:v>0.72</x:v>
      </x:c>
      <x:c r="J530" s="2" t="n">
        <x:f>MAX(1,ROUND('기준스탯 72종'!D28-R530-Z530,0))</x:f>
        <x:v>4</x:v>
      </x:c>
      <x:c r="K530" s="2" t="n">
        <x:f>MAX(1,ROUND('기준스탯 72종'!E28-S530-AA530,0))</x:f>
        <x:v>6</x:v>
      </x:c>
      <x:c r="L530" s="2" t="n">
        <x:f>MAX(1,ROUND('기준스탯 72종'!F28-T530-AB530,0))</x:f>
        <x:v>6</x:v>
      </x:c>
      <x:c r="M530" s="2" t="n">
        <x:f>MAX(1,ROUND('기준스탯 72종'!G28-U530-AC530,0))</x:f>
        <x:v>5</x:v>
      </x:c>
      <x:c r="N530" s="2" t="n">
        <x:f>MAX(0,ROUND('기준스탯 72종'!H28-V530-AD530,0))</x:f>
        <x:v>2</x:v>
      </x:c>
      <x:c r="O530" s="2" t="n">
        <x:f>MAX(0,ROUND('기준스탯 72종'!I28-W530-AE530,0))</x:f>
        <x:v>3</x:v>
      </x:c>
      <x:c r="P530" s="2" t="n">
        <x:f>MAX(0,ROUND('기준스탯 72종'!J28-X530-AF530,0))</x:f>
        <x:v>3</x:v>
      </x:c>
      <x:c r="Q530" s="2" t="n">
        <x:f>MAX(0,ROUND('기준스탯 72종'!K28-Y530-AG530,0))</x:f>
        <x:v>4</x:v>
      </x:c>
      <x:c r="R530" s="15" t="n">
        <x:f>'기준스탯 72종'!D28*G530</x:f>
        <x:v>1.6799999999999997</x:v>
      </x:c>
      <x:c r="S530" s="15" t="n">
        <x:f>'기준스탯 72종'!E28*G530</x:f>
        <x:v>2.5199999999999996</x:v>
      </x:c>
      <x:c r="T530" s="15" t="n">
        <x:f>'기준스탯 72종'!F28*G530</x:f>
        <x:v>2.2399999999999998</x:v>
      </x:c>
      <x:c r="U530" s="15" t="n">
        <x:f>'기준스탯 72종'!G28*G530</x:f>
        <x:v>1.9599999999999997</x:v>
      </x:c>
      <x:c r="V530" s="15" t="n">
        <x:f>'기준스탯 72종'!H28*G530</x:f>
        <x:v>0.8399999999999999</x:v>
      </x:c>
      <x:c r="W530" s="15" t="n">
        <x:f>'기준스탯 72종'!I28*G530</x:f>
        <x:v>1.1199999999999999</x:v>
      </x:c>
      <x:c r="X530" s="15" t="n">
        <x:f>'기준스탯 72종'!J28*G530</x:f>
        <x:v>1.1199999999999999</x:v>
      </x:c>
      <x:c r="Y530" s="15" t="n">
        <x:f>'기준스탯 72종'!K28*G530</x:f>
        <x:v>1.4</x:v>
      </x:c>
      <x:c r="Z530" s="15" t="n">
        <x:f>'기준스탯 72종'!D28*H530</x:f>
        <x:v>0</x:v>
      </x:c>
      <x:c r="AA530" s="15" t="n">
        <x:f>'기준스탯 72종'!E28*H530</x:f>
        <x:v>0</x:v>
      </x:c>
      <x:c r="AB530" s="15" t="n">
        <x:f>'기준스탯 72종'!F28*H530</x:f>
        <x:v>0</x:v>
      </x:c>
      <x:c r="AC530" s="15" t="n">
        <x:f>'기준스탯 72종'!G28*H530</x:f>
        <x:v>0</x:v>
      </x:c>
      <x:c r="AD530" s="15" t="n">
        <x:f>'기준스탯 72종'!H28*H530</x:f>
        <x:v>0</x:v>
      </x:c>
      <x:c r="AE530" s="15" t="n">
        <x:f>'기준스탯 72종'!I28*H530</x:f>
        <x:v>0</x:v>
      </x:c>
      <x:c r="AF530" s="15" t="n">
        <x:f>'기준스탯 72종'!J28*H530</x:f>
        <x:v>0</x:v>
      </x:c>
      <x:c r="AG530" s="15" t="n">
        <x:f>'기준스탯 72종'!K28*H530</x:f>
        <x:v>0</x:v>
      </x:c>
    </x:row>
    <x:row r="531" ht="28" customHeight="1">
      <x:c r="A531" s="2" t="n">
        <x:v>524</x:v>
      </x:c>
      <x:c r="B531" s="2" t="n">
        <x:v>21</x:v>
      </x:c>
      <x:c r="C531" s="2" t="str">
        <x:v>게자리</x:v>
      </x:c>
      <x:c r="D531" s="2" t="str">
        <x:v>사수</x:v>
      </x:c>
      <x:c r="E531" s="2" t="n">
        <x:v>4</x:v>
      </x:c>
      <x:c r="F531" s="2" t="n">
        <x:v>5</x:v>
      </x:c>
      <x:c r="G531" s="14" t="n">
        <x:f>('레벨 계산식'!$E$4-E531)*'레벨 계산식'!$B$5</x:f>
        <x:v>0.13999999999999999</x:v>
      </x:c>
      <x:c r="H531" s="14" t="n">
        <x:f>('등급 계산식'!$E$4-F531)*'등급 계산식'!$B$5</x:f>
        <x:v>0</x:v>
      </x:c>
      <x:c r="I531" s="14" t="n">
        <x:f>1-G531-H531</x:f>
        <x:v>0.86</x:v>
      </x:c>
      <x:c r="J531" s="2" t="n">
        <x:f>MAX(1,ROUND('기준스탯 72종'!D28-R531-Z531,0))</x:f>
        <x:v>5</x:v>
      </x:c>
      <x:c r="K531" s="2" t="n">
        <x:f>MAX(1,ROUND('기준스탯 72종'!E28-S531-AA531,0))</x:f>
        <x:v>8</x:v>
      </x:c>
      <x:c r="L531" s="2" t="n">
        <x:f>MAX(1,ROUND('기준스탯 72종'!F28-T531-AB531,0))</x:f>
        <x:v>7</x:v>
      </x:c>
      <x:c r="M531" s="2" t="n">
        <x:f>MAX(1,ROUND('기준스탯 72종'!G28-U531-AC531,0))</x:f>
        <x:v>6</x:v>
      </x:c>
      <x:c r="N531" s="2" t="n">
        <x:f>MAX(0,ROUND('기준스탯 72종'!H28-V531-AD531,0))</x:f>
        <x:v>3</x:v>
      </x:c>
      <x:c r="O531" s="2" t="n">
        <x:f>MAX(0,ROUND('기준스탯 72종'!I28-W531-AE531,0))</x:f>
        <x:v>3</x:v>
      </x:c>
      <x:c r="P531" s="2" t="n">
        <x:f>MAX(0,ROUND('기준스탯 72종'!J28-X531-AF531,0))</x:f>
        <x:v>3</x:v>
      </x:c>
      <x:c r="Q531" s="2" t="n">
        <x:f>MAX(0,ROUND('기준스탯 72종'!K28-Y531-AG531,0))</x:f>
        <x:v>4</x:v>
      </x:c>
      <x:c r="R531" s="15" t="n">
        <x:f>'기준스탯 72종'!D28*G531</x:f>
        <x:v>0.8399999999999999</x:v>
      </x:c>
      <x:c r="S531" s="15" t="n">
        <x:f>'기준스탯 72종'!E28*G531</x:f>
        <x:v>1.2599999999999998</x:v>
      </x:c>
      <x:c r="T531" s="15" t="n">
        <x:f>'기준스탯 72종'!F28*G531</x:f>
        <x:v>1.1199999999999999</x:v>
      </x:c>
      <x:c r="U531" s="15" t="n">
        <x:f>'기준스탯 72종'!G28*G531</x:f>
        <x:v>0.9799999999999999</x:v>
      </x:c>
      <x:c r="V531" s="15" t="n">
        <x:f>'기준스탯 72종'!H28*G531</x:f>
        <x:v>0.41999999999999993</x:v>
      </x:c>
      <x:c r="W531" s="15" t="n">
        <x:f>'기준스탯 72종'!I28*G531</x:f>
        <x:v>0.5599999999999999</x:v>
      </x:c>
      <x:c r="X531" s="15" t="n">
        <x:f>'기준스탯 72종'!J28*G531</x:f>
        <x:v>0.5599999999999999</x:v>
      </x:c>
      <x:c r="Y531" s="15" t="n">
        <x:f>'기준스탯 72종'!K28*G531</x:f>
        <x:v>0.7</x:v>
      </x:c>
      <x:c r="Z531" s="15" t="n">
        <x:f>'기준스탯 72종'!D28*H531</x:f>
        <x:v>0</x:v>
      </x:c>
      <x:c r="AA531" s="15" t="n">
        <x:f>'기준스탯 72종'!E28*H531</x:f>
        <x:v>0</x:v>
      </x:c>
      <x:c r="AB531" s="15" t="n">
        <x:f>'기준스탯 72종'!F28*H531</x:f>
        <x:v>0</x:v>
      </x:c>
      <x:c r="AC531" s="15" t="n">
        <x:f>'기준스탯 72종'!G28*H531</x:f>
        <x:v>0</x:v>
      </x:c>
      <x:c r="AD531" s="15" t="n">
        <x:f>'기준스탯 72종'!H28*H531</x:f>
        <x:v>0</x:v>
      </x:c>
      <x:c r="AE531" s="15" t="n">
        <x:f>'기준스탯 72종'!I28*H531</x:f>
        <x:v>0</x:v>
      </x:c>
      <x:c r="AF531" s="15" t="n">
        <x:f>'기준스탯 72종'!J28*H531</x:f>
        <x:v>0</x:v>
      </x:c>
      <x:c r="AG531" s="15" t="n">
        <x:f>'기준스탯 72종'!K28*H531</x:f>
        <x:v>0</x:v>
      </x:c>
    </x:row>
    <x:row r="532" ht="28" customHeight="1">
      <x:c r="A532" s="2" t="n">
        <x:v>525</x:v>
      </x:c>
      <x:c r="B532" s="2" t="n">
        <x:v>21</x:v>
      </x:c>
      <x:c r="C532" s="2" t="str">
        <x:v>게자리</x:v>
      </x:c>
      <x:c r="D532" s="2" t="str">
        <x:v>사수</x:v>
      </x:c>
      <x:c r="E532" s="2" t="n">
        <x:v>5</x:v>
      </x:c>
      <x:c r="F532" s="2" t="n">
        <x:v>5</x:v>
      </x:c>
      <x:c r="G532" s="14" t="n">
        <x:f>('레벨 계산식'!$E$4-E532)*'레벨 계산식'!$B$5</x:f>
        <x:v>0</x:v>
      </x:c>
      <x:c r="H532" s="14" t="n">
        <x:f>('등급 계산식'!$E$4-F532)*'등급 계산식'!$B$5</x:f>
        <x:v>0</x:v>
      </x:c>
      <x:c r="I532" s="14" t="n">
        <x:f>1-G532-H532</x:f>
        <x:v>1</x:v>
      </x:c>
      <x:c r="J532" s="2" t="n">
        <x:f>MAX(1,ROUND('기준스탯 72종'!D28-R532-Z532,0))</x:f>
        <x:v>6</x:v>
      </x:c>
      <x:c r="K532" s="2" t="n">
        <x:f>MAX(1,ROUND('기준스탯 72종'!E28-S532-AA532,0))</x:f>
        <x:v>9</x:v>
      </x:c>
      <x:c r="L532" s="2" t="n">
        <x:f>MAX(1,ROUND('기준스탯 72종'!F28-T532-AB532,0))</x:f>
        <x:v>8</x:v>
      </x:c>
      <x:c r="M532" s="2" t="n">
        <x:f>MAX(1,ROUND('기준스탯 72종'!G28-U532-AC532,0))</x:f>
        <x:v>7</x:v>
      </x:c>
      <x:c r="N532" s="2" t="n">
        <x:f>MAX(0,ROUND('기준스탯 72종'!H28-V532-AD532,0))</x:f>
        <x:v>3</x:v>
      </x:c>
      <x:c r="O532" s="2" t="n">
        <x:f>MAX(0,ROUND('기준스탯 72종'!I28-W532-AE532,0))</x:f>
        <x:v>4</x:v>
      </x:c>
      <x:c r="P532" s="2" t="n">
        <x:f>MAX(0,ROUND('기준스탯 72종'!J28-X532-AF532,0))</x:f>
        <x:v>4</x:v>
      </x:c>
      <x:c r="Q532" s="2" t="n">
        <x:f>MAX(0,ROUND('기준스탯 72종'!K28-Y532-AG532,0))</x:f>
        <x:v>5</x:v>
      </x:c>
      <x:c r="R532" s="15" t="n">
        <x:f>'기준스탯 72종'!D28*G532</x:f>
        <x:v>0</x:v>
      </x:c>
      <x:c r="S532" s="15" t="n">
        <x:f>'기준스탯 72종'!E28*G532</x:f>
        <x:v>0</x:v>
      </x:c>
      <x:c r="T532" s="15" t="n">
        <x:f>'기준스탯 72종'!F28*G532</x:f>
        <x:v>0</x:v>
      </x:c>
      <x:c r="U532" s="15" t="n">
        <x:f>'기준스탯 72종'!G28*G532</x:f>
        <x:v>0</x:v>
      </x:c>
      <x:c r="V532" s="15" t="n">
        <x:f>'기준스탯 72종'!H28*G532</x:f>
        <x:v>0</x:v>
      </x:c>
      <x:c r="W532" s="15" t="n">
        <x:f>'기준스탯 72종'!I28*G532</x:f>
        <x:v>0</x:v>
      </x:c>
      <x:c r="X532" s="15" t="n">
        <x:f>'기준스탯 72종'!J28*G532</x:f>
        <x:v>0</x:v>
      </x:c>
      <x:c r="Y532" s="15" t="n">
        <x:f>'기준스탯 72종'!K28*G532</x:f>
        <x:v>0</x:v>
      </x:c>
      <x:c r="Z532" s="15" t="n">
        <x:f>'기준스탯 72종'!D28*H532</x:f>
        <x:v>0</x:v>
      </x:c>
      <x:c r="AA532" s="15" t="n">
        <x:f>'기준스탯 72종'!E28*H532</x:f>
        <x:v>0</x:v>
      </x:c>
      <x:c r="AB532" s="15" t="n">
        <x:f>'기준스탯 72종'!F28*H532</x:f>
        <x:v>0</x:v>
      </x:c>
      <x:c r="AC532" s="15" t="n">
        <x:f>'기준스탯 72종'!G28*H532</x:f>
        <x:v>0</x:v>
      </x:c>
      <x:c r="AD532" s="15" t="n">
        <x:f>'기준스탯 72종'!H28*H532</x:f>
        <x:v>0</x:v>
      </x:c>
      <x:c r="AE532" s="15" t="n">
        <x:f>'기준스탯 72종'!I28*H532</x:f>
        <x:v>0</x:v>
      </x:c>
      <x:c r="AF532" s="15" t="n">
        <x:f>'기준스탯 72종'!J28*H532</x:f>
        <x:v>0</x:v>
      </x:c>
      <x:c r="AG532" s="15" t="n">
        <x:f>'기준스탯 72종'!K28*H532</x:f>
        <x:v>0</x:v>
      </x:c>
    </x:row>
    <x:row r="533" ht="28" customHeight="1">
      <x:c r="A533" s="2" t="n">
        <x:v>526</x:v>
      </x:c>
      <x:c r="B533" s="2" t="n">
        <x:v>22</x:v>
      </x:c>
      <x:c r="C533" s="2" t="str">
        <x:v>게자리</x:v>
      </x:c>
      <x:c r="D533" s="2" t="str">
        <x:v>정령사</x:v>
      </x:c>
      <x:c r="E533" s="2" t="n">
        <x:v>1</x:v>
      </x:c>
      <x:c r="F533" s="2" t="n">
        <x:v>1</x:v>
      </x:c>
      <x:c r="G533" s="14" t="n">
        <x:f>('레벨 계산식'!$E$4-E533)*'레벨 계산식'!$B$5</x:f>
        <x:v>0.5599999999999999</x:v>
      </x:c>
      <x:c r="H533" s="14" t="n">
        <x:f>('등급 계산식'!$E$4-F533)*'등급 계산식'!$B$5</x:f>
        <x:v>0.24000000000000005</x:v>
      </x:c>
      <x:c r="I533" s="14" t="n">
        <x:f>1-G533-H533</x:f>
        <x:v>0.2</x:v>
      </x:c>
      <x:c r="J533" s="2" t="n">
        <x:f>MAX(1,ROUND('기준스탯 72종'!D29-R533-Z533,0))</x:f>
        <x:v>1</x:v>
      </x:c>
      <x:c r="K533" s="2" t="n">
        <x:f>MAX(1,ROUND('기준스탯 72종'!E29-S533-AA533,0))</x:f>
        <x:v>2</x:v>
      </x:c>
      <x:c r="L533" s="2" t="n">
        <x:f>MAX(1,ROUND('기준스탯 72종'!F29-T533-AB533,0))</x:f>
        <x:v>2</x:v>
      </x:c>
      <x:c r="M533" s="2" t="n">
        <x:f>MAX(1,ROUND('기준스탯 72종'!G29-U533-AC533,0))</x:f>
        <x:v>1</x:v>
      </x:c>
      <x:c r="N533" s="2" t="n">
        <x:f>MAX(0,ROUND('기준스탯 72종'!H29-V533-AD533,0))</x:f>
        <x:v>0</x:v>
      </x:c>
      <x:c r="O533" s="2" t="n">
        <x:f>MAX(0,ROUND('기준스탯 72종'!I29-W533-AE533,0))</x:f>
        <x:v>1</x:v>
      </x:c>
      <x:c r="P533" s="2" t="n">
        <x:f>MAX(0,ROUND('기준스탯 72종'!J29-X533-AF533,0))</x:f>
        <x:v>1</x:v>
      </x:c>
      <x:c r="Q533" s="2" t="n">
        <x:f>MAX(0,ROUND('기준스탯 72종'!K29-Y533-AG533,0))</x:f>
        <x:v>1</x:v>
      </x:c>
      <x:c r="R533" s="15" t="n">
        <x:f>'기준스탯 72종'!D29*G533</x:f>
        <x:v>2.8</x:v>
      </x:c>
      <x:c r="S533" s="15" t="n">
        <x:f>'기준스탯 72종'!E29*G533</x:f>
        <x:v>5.6</x:v>
      </x:c>
      <x:c r="T533" s="15" t="n">
        <x:f>'기준스탯 72종'!F29*G533</x:f>
        <x:v>5.6</x:v>
      </x:c>
      <x:c r="U533" s="15" t="n">
        <x:f>'기준스탯 72종'!G29*G533</x:f>
        <x:v>3.3599999999999994</x:v>
      </x:c>
      <x:c r="V533" s="15" t="n">
        <x:f>'기준스탯 72종'!H29*G533</x:f>
        <x:v>0.5599999999999999</x:v>
      </x:c>
      <x:c r="W533" s="15" t="n">
        <x:f>'기준스탯 72종'!I29*G533</x:f>
        <x:v>2.2399999999999998</x:v>
      </x:c>
      <x:c r="X533" s="15" t="n">
        <x:f>'기준스탯 72종'!J29*G533</x:f>
        <x:v>2.2399999999999998</x:v>
      </x:c>
      <x:c r="Y533" s="15" t="n">
        <x:f>'기준스탯 72종'!K29*G533</x:f>
        <x:v>3.9199999999999995</x:v>
      </x:c>
      <x:c r="Z533" s="15" t="n">
        <x:f>'기준스탯 72종'!D29*H533</x:f>
        <x:v>1.2000000000000002</x:v>
      </x:c>
      <x:c r="AA533" s="15" t="n">
        <x:f>'기준스탯 72종'!E29*H533</x:f>
        <x:v>2.4000000000000004</x:v>
      </x:c>
      <x:c r="AB533" s="15" t="n">
        <x:f>'기준스탯 72종'!F29*H533</x:f>
        <x:v>2.4000000000000004</x:v>
      </x:c>
      <x:c r="AC533" s="15" t="n">
        <x:f>'기준스탯 72종'!G29*H533</x:f>
        <x:v>1.4400000000000004</x:v>
      </x:c>
      <x:c r="AD533" s="15" t="n">
        <x:f>'기준스탯 72종'!H29*H533</x:f>
        <x:v>0.24000000000000005</x:v>
      </x:c>
      <x:c r="AE533" s="15" t="n">
        <x:f>'기준스탯 72종'!I29*H533</x:f>
        <x:v>0.9600000000000002</x:v>
      </x:c>
      <x:c r="AF533" s="15" t="n">
        <x:f>'기준스탯 72종'!J29*H533</x:f>
        <x:v>0.9600000000000002</x:v>
      </x:c>
      <x:c r="AG533" s="15" t="n">
        <x:f>'기준스탯 72종'!K29*H533</x:f>
        <x:v>1.6800000000000004</x:v>
      </x:c>
    </x:row>
    <x:row r="534" ht="28" customHeight="1">
      <x:c r="A534" s="2" t="n">
        <x:v>527</x:v>
      </x:c>
      <x:c r="B534" s="2" t="n">
        <x:v>22</x:v>
      </x:c>
      <x:c r="C534" s="2" t="str">
        <x:v>게자리</x:v>
      </x:c>
      <x:c r="D534" s="2" t="str">
        <x:v>정령사</x:v>
      </x:c>
      <x:c r="E534" s="2" t="n">
        <x:v>2</x:v>
      </x:c>
      <x:c r="F534" s="2" t="n">
        <x:v>1</x:v>
      </x:c>
      <x:c r="G534" s="14" t="n">
        <x:f>('레벨 계산식'!$E$4-E534)*'레벨 계산식'!$B$5</x:f>
        <x:v>0.41999999999999993</x:v>
      </x:c>
      <x:c r="H534" s="14" t="n">
        <x:f>('등급 계산식'!$E$4-F534)*'등급 계산식'!$B$5</x:f>
        <x:v>0.24000000000000005</x:v>
      </x:c>
      <x:c r="I534" s="14" t="n">
        <x:f>1-G534-H534</x:f>
        <x:v>0.34</x:v>
      </x:c>
      <x:c r="J534" s="2" t="n">
        <x:f>MAX(1,ROUND('기준스탯 72종'!D29-R534-Z534,0))</x:f>
        <x:v>2</x:v>
      </x:c>
      <x:c r="K534" s="2" t="n">
        <x:f>MAX(1,ROUND('기준스탯 72종'!E29-S534-AA534,0))</x:f>
        <x:v>3</x:v>
      </x:c>
      <x:c r="L534" s="2" t="n">
        <x:f>MAX(1,ROUND('기준스탯 72종'!F29-T534-AB534,0))</x:f>
        <x:v>3</x:v>
      </x:c>
      <x:c r="M534" s="2" t="n">
        <x:f>MAX(1,ROUND('기준스탯 72종'!G29-U534-AC534,0))</x:f>
        <x:v>2</x:v>
      </x:c>
      <x:c r="N534" s="2" t="n">
        <x:f>MAX(0,ROUND('기준스탯 72종'!H29-V534-AD534,0))</x:f>
        <x:v>0</x:v>
      </x:c>
      <x:c r="O534" s="2" t="n">
        <x:f>MAX(0,ROUND('기준스탯 72종'!I29-W534-AE534,0))</x:f>
        <x:v>1</x:v>
      </x:c>
      <x:c r="P534" s="2" t="n">
        <x:f>MAX(0,ROUND('기준스탯 72종'!J29-X534-AF534,0))</x:f>
        <x:v>1</x:v>
      </x:c>
      <x:c r="Q534" s="2" t="n">
        <x:f>MAX(0,ROUND('기준스탯 72종'!K29-Y534-AG534,0))</x:f>
        <x:v>2</x:v>
      </x:c>
      <x:c r="R534" s="15" t="n">
        <x:f>'기준스탯 72종'!D29*G534</x:f>
        <x:v>2.0999999999999996</x:v>
      </x:c>
      <x:c r="S534" s="15" t="n">
        <x:f>'기준스탯 72종'!E29*G534</x:f>
        <x:v>4.199999999999999</x:v>
      </x:c>
      <x:c r="T534" s="15" t="n">
        <x:f>'기준스탯 72종'!F29*G534</x:f>
        <x:v>4.199999999999999</x:v>
      </x:c>
      <x:c r="U534" s="15" t="n">
        <x:f>'기준스탯 72종'!G29*G534</x:f>
        <x:v>2.5199999999999996</x:v>
      </x:c>
      <x:c r="V534" s="15" t="n">
        <x:f>'기준스탯 72종'!H29*G534</x:f>
        <x:v>0.41999999999999993</x:v>
      </x:c>
      <x:c r="W534" s="15" t="n">
        <x:f>'기준스탯 72종'!I29*G534</x:f>
        <x:v>1.6799999999999997</x:v>
      </x:c>
      <x:c r="X534" s="15" t="n">
        <x:f>'기준스탯 72종'!J29*G534</x:f>
        <x:v>1.6799999999999997</x:v>
      </x:c>
      <x:c r="Y534" s="15" t="n">
        <x:f>'기준스탯 72종'!K29*G534</x:f>
        <x:v>2.9399999999999995</x:v>
      </x:c>
      <x:c r="Z534" s="15" t="n">
        <x:f>'기준스탯 72종'!D29*H534</x:f>
        <x:v>1.2000000000000002</x:v>
      </x:c>
      <x:c r="AA534" s="15" t="n">
        <x:f>'기준스탯 72종'!E29*H534</x:f>
        <x:v>2.4000000000000004</x:v>
      </x:c>
      <x:c r="AB534" s="15" t="n">
        <x:f>'기준스탯 72종'!F29*H534</x:f>
        <x:v>2.4000000000000004</x:v>
      </x:c>
      <x:c r="AC534" s="15" t="n">
        <x:f>'기준스탯 72종'!G29*H534</x:f>
        <x:v>1.4400000000000004</x:v>
      </x:c>
      <x:c r="AD534" s="15" t="n">
        <x:f>'기준스탯 72종'!H29*H534</x:f>
        <x:v>0.24000000000000005</x:v>
      </x:c>
      <x:c r="AE534" s="15" t="n">
        <x:f>'기준스탯 72종'!I29*H534</x:f>
        <x:v>0.9600000000000002</x:v>
      </x:c>
      <x:c r="AF534" s="15" t="n">
        <x:f>'기준스탯 72종'!J29*H534</x:f>
        <x:v>0.9600000000000002</x:v>
      </x:c>
      <x:c r="AG534" s="15" t="n">
        <x:f>'기준스탯 72종'!K29*H534</x:f>
        <x:v>1.6800000000000004</x:v>
      </x:c>
    </x:row>
    <x:row r="535" ht="28" customHeight="1">
      <x:c r="A535" s="2" t="n">
        <x:v>528</x:v>
      </x:c>
      <x:c r="B535" s="2" t="n">
        <x:v>22</x:v>
      </x:c>
      <x:c r="C535" s="2" t="str">
        <x:v>게자리</x:v>
      </x:c>
      <x:c r="D535" s="2" t="str">
        <x:v>정령사</x:v>
      </x:c>
      <x:c r="E535" s="2" t="n">
        <x:v>3</x:v>
      </x:c>
      <x:c r="F535" s="2" t="n">
        <x:v>1</x:v>
      </x:c>
      <x:c r="G535" s="14" t="n">
        <x:f>('레벨 계산식'!$E$4-E535)*'레벨 계산식'!$B$5</x:f>
        <x:v>0.27999999999999997</x:v>
      </x:c>
      <x:c r="H535" s="14" t="n">
        <x:f>('등급 계산식'!$E$4-F535)*'등급 계산식'!$B$5</x:f>
        <x:v>0.24000000000000005</x:v>
      </x:c>
      <x:c r="I535" s="14" t="n">
        <x:f>1-G535-H535</x:f>
        <x:v>0.4799999999999999</x:v>
      </x:c>
      <x:c r="J535" s="2" t="n">
        <x:f>MAX(1,ROUND('기준스탯 72종'!D29-R535-Z535,0))</x:f>
        <x:v>2</x:v>
      </x:c>
      <x:c r="K535" s="2" t="n">
        <x:f>MAX(1,ROUND('기준스탯 72종'!E29-S535-AA535,0))</x:f>
        <x:v>5</x:v>
      </x:c>
      <x:c r="L535" s="2" t="n">
        <x:f>MAX(1,ROUND('기준스탯 72종'!F29-T535-AB535,0))</x:f>
        <x:v>5</x:v>
      </x:c>
      <x:c r="M535" s="2" t="n">
        <x:f>MAX(1,ROUND('기준스탯 72종'!G29-U535-AC535,0))</x:f>
        <x:v>3</x:v>
      </x:c>
      <x:c r="N535" s="2" t="n">
        <x:f>MAX(0,ROUND('기준스탯 72종'!H29-V535-AD535,0))</x:f>
        <x:v>0</x:v>
      </x:c>
      <x:c r="O535" s="2" t="n">
        <x:f>MAX(0,ROUND('기준스탯 72종'!I29-W535-AE535,0))</x:f>
        <x:v>2</x:v>
      </x:c>
      <x:c r="P535" s="2" t="n">
        <x:f>MAX(0,ROUND('기준스탯 72종'!J29-X535-AF535,0))</x:f>
        <x:v>2</x:v>
      </x:c>
      <x:c r="Q535" s="2" t="n">
        <x:f>MAX(0,ROUND('기준스탯 72종'!K29-Y535-AG535,0))</x:f>
        <x:v>3</x:v>
      </x:c>
      <x:c r="R535" s="15" t="n">
        <x:f>'기준스탯 72종'!D29*G535</x:f>
        <x:v>1.4</x:v>
      </x:c>
      <x:c r="S535" s="15" t="n">
        <x:f>'기준스탯 72종'!E29*G535</x:f>
        <x:v>2.8</x:v>
      </x:c>
      <x:c r="T535" s="15" t="n">
        <x:f>'기준스탯 72종'!F29*G535</x:f>
        <x:v>2.8</x:v>
      </x:c>
      <x:c r="U535" s="15" t="n">
        <x:f>'기준스탯 72종'!G29*G535</x:f>
        <x:v>1.6799999999999997</x:v>
      </x:c>
      <x:c r="V535" s="15" t="n">
        <x:f>'기준스탯 72종'!H29*G535</x:f>
        <x:v>0.27999999999999997</x:v>
      </x:c>
      <x:c r="W535" s="15" t="n">
        <x:f>'기준스탯 72종'!I29*G535</x:f>
        <x:v>1.1199999999999999</x:v>
      </x:c>
      <x:c r="X535" s="15" t="n">
        <x:f>'기준스탯 72종'!J29*G535</x:f>
        <x:v>1.1199999999999999</x:v>
      </x:c>
      <x:c r="Y535" s="15" t="n">
        <x:f>'기준스탯 72종'!K29*G535</x:f>
        <x:v>1.9599999999999997</x:v>
      </x:c>
      <x:c r="Z535" s="15" t="n">
        <x:f>'기준스탯 72종'!D29*H535</x:f>
        <x:v>1.2000000000000002</x:v>
      </x:c>
      <x:c r="AA535" s="15" t="n">
        <x:f>'기준스탯 72종'!E29*H535</x:f>
        <x:v>2.4000000000000004</x:v>
      </x:c>
      <x:c r="AB535" s="15" t="n">
        <x:f>'기준스탯 72종'!F29*H535</x:f>
        <x:v>2.4000000000000004</x:v>
      </x:c>
      <x:c r="AC535" s="15" t="n">
        <x:f>'기준스탯 72종'!G29*H535</x:f>
        <x:v>1.4400000000000004</x:v>
      </x:c>
      <x:c r="AD535" s="15" t="n">
        <x:f>'기준스탯 72종'!H29*H535</x:f>
        <x:v>0.24000000000000005</x:v>
      </x:c>
      <x:c r="AE535" s="15" t="n">
        <x:f>'기준스탯 72종'!I29*H535</x:f>
        <x:v>0.9600000000000002</x:v>
      </x:c>
      <x:c r="AF535" s="15" t="n">
        <x:f>'기준스탯 72종'!J29*H535</x:f>
        <x:v>0.9600000000000002</x:v>
      </x:c>
      <x:c r="AG535" s="15" t="n">
        <x:f>'기준스탯 72종'!K29*H535</x:f>
        <x:v>1.6800000000000004</x:v>
      </x:c>
    </x:row>
    <x:row r="536" ht="28" customHeight="1">
      <x:c r="A536" s="2" t="n">
        <x:v>529</x:v>
      </x:c>
      <x:c r="B536" s="2" t="n">
        <x:v>22</x:v>
      </x:c>
      <x:c r="C536" s="2" t="str">
        <x:v>게자리</x:v>
      </x:c>
      <x:c r="D536" s="2" t="str">
        <x:v>정령사</x:v>
      </x:c>
      <x:c r="E536" s="2" t="n">
        <x:v>4</x:v>
      </x:c>
      <x:c r="F536" s="2" t="n">
        <x:v>1</x:v>
      </x:c>
      <x:c r="G536" s="14" t="n">
        <x:f>('레벨 계산식'!$E$4-E536)*'레벨 계산식'!$B$5</x:f>
        <x:v>0.13999999999999999</x:v>
      </x:c>
      <x:c r="H536" s="14" t="n">
        <x:f>('등급 계산식'!$E$4-F536)*'등급 계산식'!$B$5</x:f>
        <x:v>0.24000000000000005</x:v>
      </x:c>
      <x:c r="I536" s="14" t="n">
        <x:f>1-G536-H536</x:f>
        <x:v>0.6199999999999999</x:v>
      </x:c>
      <x:c r="J536" s="2" t="n">
        <x:f>MAX(1,ROUND('기준스탯 72종'!D29-R536-Z536,0))</x:f>
        <x:v>3</x:v>
      </x:c>
      <x:c r="K536" s="2" t="n">
        <x:f>MAX(1,ROUND('기준스탯 72종'!E29-S536-AA536,0))</x:f>
        <x:v>6</x:v>
      </x:c>
      <x:c r="L536" s="2" t="n">
        <x:f>MAX(1,ROUND('기준스탯 72종'!F29-T536-AB536,0))</x:f>
        <x:v>6</x:v>
      </x:c>
      <x:c r="M536" s="2" t="n">
        <x:f>MAX(1,ROUND('기준스탯 72종'!G29-U536-AC536,0))</x:f>
        <x:v>4</x:v>
      </x:c>
      <x:c r="N536" s="2" t="n">
        <x:f>MAX(0,ROUND('기준스탯 72종'!H29-V536-AD536,0))</x:f>
        <x:v>1</x:v>
      </x:c>
      <x:c r="O536" s="2" t="n">
        <x:f>MAX(0,ROUND('기준스탯 72종'!I29-W536-AE536,0))</x:f>
        <x:v>2</x:v>
      </x:c>
      <x:c r="P536" s="2" t="n">
        <x:f>MAX(0,ROUND('기준스탯 72종'!J29-X536-AF536,0))</x:f>
        <x:v>2</x:v>
      </x:c>
      <x:c r="Q536" s="2" t="n">
        <x:f>MAX(0,ROUND('기준스탯 72종'!K29-Y536-AG536,0))</x:f>
        <x:v>4</x:v>
      </x:c>
      <x:c r="R536" s="15" t="n">
        <x:f>'기준스탯 72종'!D29*G536</x:f>
        <x:v>0.7</x:v>
      </x:c>
      <x:c r="S536" s="15" t="n">
        <x:f>'기준스탯 72종'!E29*G536</x:f>
        <x:v>1.4</x:v>
      </x:c>
      <x:c r="T536" s="15" t="n">
        <x:f>'기준스탯 72종'!F29*G536</x:f>
        <x:v>1.4</x:v>
      </x:c>
      <x:c r="U536" s="15" t="n">
        <x:f>'기준스탯 72종'!G29*G536</x:f>
        <x:v>0.8399999999999999</x:v>
      </x:c>
      <x:c r="V536" s="15" t="n">
        <x:f>'기준스탯 72종'!H29*G536</x:f>
        <x:v>0.13999999999999999</x:v>
      </x:c>
      <x:c r="W536" s="15" t="n">
        <x:f>'기준스탯 72종'!I29*G536</x:f>
        <x:v>0.5599999999999999</x:v>
      </x:c>
      <x:c r="X536" s="15" t="n">
        <x:f>'기준스탯 72종'!J29*G536</x:f>
        <x:v>0.5599999999999999</x:v>
      </x:c>
      <x:c r="Y536" s="15" t="n">
        <x:f>'기준스탯 72종'!K29*G536</x:f>
        <x:v>0.9799999999999999</x:v>
      </x:c>
      <x:c r="Z536" s="15" t="n">
        <x:f>'기준스탯 72종'!D29*H536</x:f>
        <x:v>1.2000000000000002</x:v>
      </x:c>
      <x:c r="AA536" s="15" t="n">
        <x:f>'기준스탯 72종'!E29*H536</x:f>
        <x:v>2.4000000000000004</x:v>
      </x:c>
      <x:c r="AB536" s="15" t="n">
        <x:f>'기준스탯 72종'!F29*H536</x:f>
        <x:v>2.4000000000000004</x:v>
      </x:c>
      <x:c r="AC536" s="15" t="n">
        <x:f>'기준스탯 72종'!G29*H536</x:f>
        <x:v>1.4400000000000004</x:v>
      </x:c>
      <x:c r="AD536" s="15" t="n">
        <x:f>'기준스탯 72종'!H29*H536</x:f>
        <x:v>0.24000000000000005</x:v>
      </x:c>
      <x:c r="AE536" s="15" t="n">
        <x:f>'기준스탯 72종'!I29*H536</x:f>
        <x:v>0.9600000000000002</x:v>
      </x:c>
      <x:c r="AF536" s="15" t="n">
        <x:f>'기준스탯 72종'!J29*H536</x:f>
        <x:v>0.9600000000000002</x:v>
      </x:c>
      <x:c r="AG536" s="15" t="n">
        <x:f>'기준스탯 72종'!K29*H536</x:f>
        <x:v>1.6800000000000004</x:v>
      </x:c>
    </x:row>
    <x:row r="537" ht="28" customHeight="1">
      <x:c r="A537" s="2" t="n">
        <x:v>530</x:v>
      </x:c>
      <x:c r="B537" s="2" t="n">
        <x:v>22</x:v>
      </x:c>
      <x:c r="C537" s="2" t="str">
        <x:v>게자리</x:v>
      </x:c>
      <x:c r="D537" s="2" t="str">
        <x:v>정령사</x:v>
      </x:c>
      <x:c r="E537" s="2" t="n">
        <x:v>5</x:v>
      </x:c>
      <x:c r="F537" s="2" t="n">
        <x:v>1</x:v>
      </x:c>
      <x:c r="G537" s="14" t="n">
        <x:f>('레벨 계산식'!$E$4-E537)*'레벨 계산식'!$B$5</x:f>
        <x:v>0</x:v>
      </x:c>
      <x:c r="H537" s="14" t="n">
        <x:f>('등급 계산식'!$E$4-F537)*'등급 계산식'!$B$5</x:f>
        <x:v>0.24000000000000005</x:v>
      </x:c>
      <x:c r="I537" s="14" t="n">
        <x:f>1-G537-H537</x:f>
        <x:v>0.76</x:v>
      </x:c>
      <x:c r="J537" s="2" t="n">
        <x:f>MAX(1,ROUND('기준스탯 72종'!D29-R537-Z537,0))</x:f>
        <x:v>4</x:v>
      </x:c>
      <x:c r="K537" s="2" t="n">
        <x:f>MAX(1,ROUND('기준스탯 72종'!E29-S537-AA537,0))</x:f>
        <x:v>8</x:v>
      </x:c>
      <x:c r="L537" s="2" t="n">
        <x:f>MAX(1,ROUND('기준스탯 72종'!F29-T537-AB537,0))</x:f>
        <x:v>8</x:v>
      </x:c>
      <x:c r="M537" s="2" t="n">
        <x:f>MAX(1,ROUND('기준스탯 72종'!G29-U537-AC537,0))</x:f>
        <x:v>5</x:v>
      </x:c>
      <x:c r="N537" s="2" t="n">
        <x:f>MAX(0,ROUND('기준스탯 72종'!H29-V537-AD537,0))</x:f>
        <x:v>1</x:v>
      </x:c>
      <x:c r="O537" s="2" t="n">
        <x:f>MAX(0,ROUND('기준스탯 72종'!I29-W537-AE537,0))</x:f>
        <x:v>3</x:v>
      </x:c>
      <x:c r="P537" s="2" t="n">
        <x:f>MAX(0,ROUND('기준스탯 72종'!J29-X537-AF537,0))</x:f>
        <x:v>3</x:v>
      </x:c>
      <x:c r="Q537" s="2" t="n">
        <x:f>MAX(0,ROUND('기준스탯 72종'!K29-Y537-AG537,0))</x:f>
        <x:v>5</x:v>
      </x:c>
      <x:c r="R537" s="15" t="n">
        <x:f>'기준스탯 72종'!D29*G537</x:f>
        <x:v>0</x:v>
      </x:c>
      <x:c r="S537" s="15" t="n">
        <x:f>'기준스탯 72종'!E29*G537</x:f>
        <x:v>0</x:v>
      </x:c>
      <x:c r="T537" s="15" t="n">
        <x:f>'기준스탯 72종'!F29*G537</x:f>
        <x:v>0</x:v>
      </x:c>
      <x:c r="U537" s="15" t="n">
        <x:f>'기준스탯 72종'!G29*G537</x:f>
        <x:v>0</x:v>
      </x:c>
      <x:c r="V537" s="15" t="n">
        <x:f>'기준스탯 72종'!H29*G537</x:f>
        <x:v>0</x:v>
      </x:c>
      <x:c r="W537" s="15" t="n">
        <x:f>'기준스탯 72종'!I29*G537</x:f>
        <x:v>0</x:v>
      </x:c>
      <x:c r="X537" s="15" t="n">
        <x:f>'기준스탯 72종'!J29*G537</x:f>
        <x:v>0</x:v>
      </x:c>
      <x:c r="Y537" s="15" t="n">
        <x:f>'기준스탯 72종'!K29*G537</x:f>
        <x:v>0</x:v>
      </x:c>
      <x:c r="Z537" s="15" t="n">
        <x:f>'기준스탯 72종'!D29*H537</x:f>
        <x:v>1.2000000000000002</x:v>
      </x:c>
      <x:c r="AA537" s="15" t="n">
        <x:f>'기준스탯 72종'!E29*H537</x:f>
        <x:v>2.4000000000000004</x:v>
      </x:c>
      <x:c r="AB537" s="15" t="n">
        <x:f>'기준스탯 72종'!F29*H537</x:f>
        <x:v>2.4000000000000004</x:v>
      </x:c>
      <x:c r="AC537" s="15" t="n">
        <x:f>'기준스탯 72종'!G29*H537</x:f>
        <x:v>1.4400000000000004</x:v>
      </x:c>
      <x:c r="AD537" s="15" t="n">
        <x:f>'기준스탯 72종'!H29*H537</x:f>
        <x:v>0.24000000000000005</x:v>
      </x:c>
      <x:c r="AE537" s="15" t="n">
        <x:f>'기준스탯 72종'!I29*H537</x:f>
        <x:v>0.9600000000000002</x:v>
      </x:c>
      <x:c r="AF537" s="15" t="n">
        <x:f>'기준스탯 72종'!J29*H537</x:f>
        <x:v>0.9600000000000002</x:v>
      </x:c>
      <x:c r="AG537" s="15" t="n">
        <x:f>'기준스탯 72종'!K29*H537</x:f>
        <x:v>1.6800000000000004</x:v>
      </x:c>
    </x:row>
    <x:row r="538" ht="28" customHeight="1">
      <x:c r="A538" s="2" t="n">
        <x:v>531</x:v>
      </x:c>
      <x:c r="B538" s="2" t="n">
        <x:v>22</x:v>
      </x:c>
      <x:c r="C538" s="2" t="str">
        <x:v>게자리</x:v>
      </x:c>
      <x:c r="D538" s="2" t="str">
        <x:v>정령사</x:v>
      </x:c>
      <x:c r="E538" s="2" t="n">
        <x:v>1</x:v>
      </x:c>
      <x:c r="F538" s="2" t="n">
        <x:v>2</x:v>
      </x:c>
      <x:c r="G538" s="14" t="n">
        <x:f>('레벨 계산식'!$E$4-E538)*'레벨 계산식'!$B$5</x:f>
        <x:v>0.5599999999999999</x:v>
      </x:c>
      <x:c r="H538" s="14" t="n">
        <x:f>('등급 계산식'!$E$4-F538)*'등급 계산식'!$B$5</x:f>
        <x:v>0.18000000000000005</x:v>
      </x:c>
      <x:c r="I538" s="14" t="n">
        <x:f>1-G538-H538</x:f>
        <x:v>0.26</x:v>
      </x:c>
      <x:c r="J538" s="2" t="n">
        <x:f>MAX(1,ROUND('기준스탯 72종'!D29-R538-Z538,0))</x:f>
        <x:v>1</x:v>
      </x:c>
      <x:c r="K538" s="2" t="n">
        <x:f>MAX(1,ROUND('기준스탯 72종'!E29-S538-AA538,0))</x:f>
        <x:v>3</x:v>
      </x:c>
      <x:c r="L538" s="2" t="n">
        <x:f>MAX(1,ROUND('기준스탯 72종'!F29-T538-AB538,0))</x:f>
        <x:v>3</x:v>
      </x:c>
      <x:c r="M538" s="2" t="n">
        <x:f>MAX(1,ROUND('기준스탯 72종'!G29-U538-AC538,0))</x:f>
        <x:v>2</x:v>
      </x:c>
      <x:c r="N538" s="2" t="n">
        <x:f>MAX(0,ROUND('기준스탯 72종'!H29-V538-AD538,0))</x:f>
        <x:v>0</x:v>
      </x:c>
      <x:c r="O538" s="2" t="n">
        <x:f>MAX(0,ROUND('기준스탯 72종'!I29-W538-AE538,0))</x:f>
        <x:v>1</x:v>
      </x:c>
      <x:c r="P538" s="2" t="n">
        <x:f>MAX(0,ROUND('기준스탯 72종'!J29-X538-AF538,0))</x:f>
        <x:v>1</x:v>
      </x:c>
      <x:c r="Q538" s="2" t="n">
        <x:f>MAX(0,ROUND('기준스탯 72종'!K29-Y538-AG538,0))</x:f>
        <x:v>2</x:v>
      </x:c>
      <x:c r="R538" s="15" t="n">
        <x:f>'기준스탯 72종'!D29*G538</x:f>
        <x:v>2.8</x:v>
      </x:c>
      <x:c r="S538" s="15" t="n">
        <x:f>'기준스탯 72종'!E29*G538</x:f>
        <x:v>5.6</x:v>
      </x:c>
      <x:c r="T538" s="15" t="n">
        <x:f>'기준스탯 72종'!F29*G538</x:f>
        <x:v>5.6</x:v>
      </x:c>
      <x:c r="U538" s="15" t="n">
        <x:f>'기준스탯 72종'!G29*G538</x:f>
        <x:v>3.3599999999999994</x:v>
      </x:c>
      <x:c r="V538" s="15" t="n">
        <x:f>'기준스탯 72종'!H29*G538</x:f>
        <x:v>0.5599999999999999</x:v>
      </x:c>
      <x:c r="W538" s="15" t="n">
        <x:f>'기준스탯 72종'!I29*G538</x:f>
        <x:v>2.2399999999999998</x:v>
      </x:c>
      <x:c r="X538" s="15" t="n">
        <x:f>'기준스탯 72종'!J29*G538</x:f>
        <x:v>2.2399999999999998</x:v>
      </x:c>
      <x:c r="Y538" s="15" t="n">
        <x:f>'기준스탯 72종'!K29*G538</x:f>
        <x:v>3.9199999999999995</x:v>
      </x:c>
      <x:c r="Z538" s="15" t="n">
        <x:f>'기준스탯 72종'!D29*H538</x:f>
        <x:v>0.9000000000000002</x:v>
      </x:c>
      <x:c r="AA538" s="15" t="n">
        <x:f>'기준스탯 72종'!E29*H538</x:f>
        <x:v>1.8000000000000005</x:v>
      </x:c>
      <x:c r="AB538" s="15" t="n">
        <x:f>'기준스탯 72종'!F29*H538</x:f>
        <x:v>1.8000000000000005</x:v>
      </x:c>
      <x:c r="AC538" s="15" t="n">
        <x:f>'기준스탯 72종'!G29*H538</x:f>
        <x:v>1.0800000000000003</x:v>
      </x:c>
      <x:c r="AD538" s="15" t="n">
        <x:f>'기준스탯 72종'!H29*H538</x:f>
        <x:v>0.18000000000000005</x:v>
      </x:c>
      <x:c r="AE538" s="15" t="n">
        <x:f>'기준스탯 72종'!I29*H538</x:f>
        <x:v>0.7200000000000002</x:v>
      </x:c>
      <x:c r="AF538" s="15" t="n">
        <x:f>'기준스탯 72종'!J29*H538</x:f>
        <x:v>0.7200000000000002</x:v>
      </x:c>
      <x:c r="AG538" s="15" t="n">
        <x:f>'기준스탯 72종'!K29*H538</x:f>
        <x:v>1.2600000000000002</x:v>
      </x:c>
    </x:row>
    <x:row r="539" ht="28" customHeight="1">
      <x:c r="A539" s="2" t="n">
        <x:v>532</x:v>
      </x:c>
      <x:c r="B539" s="2" t="n">
        <x:v>22</x:v>
      </x:c>
      <x:c r="C539" s="2" t="str">
        <x:v>게자리</x:v>
      </x:c>
      <x:c r="D539" s="2" t="str">
        <x:v>정령사</x:v>
      </x:c>
      <x:c r="E539" s="2" t="n">
        <x:v>2</x:v>
      </x:c>
      <x:c r="F539" s="2" t="n">
        <x:v>2</x:v>
      </x:c>
      <x:c r="G539" s="14" t="n">
        <x:f>('레벨 계산식'!$E$4-E539)*'레벨 계산식'!$B$5</x:f>
        <x:v>0.41999999999999993</x:v>
      </x:c>
      <x:c r="H539" s="14" t="n">
        <x:f>('등급 계산식'!$E$4-F539)*'등급 계산식'!$B$5</x:f>
        <x:v>0.18000000000000005</x:v>
      </x:c>
      <x:c r="I539" s="14" t="n">
        <x:f>1-G539-H539</x:f>
        <x:v>0.4</x:v>
      </x:c>
      <x:c r="J539" s="2" t="n">
        <x:f>MAX(1,ROUND('기준스탯 72종'!D29-R539-Z539,0))</x:f>
        <x:v>2</x:v>
      </x:c>
      <x:c r="K539" s="2" t="n">
        <x:f>MAX(1,ROUND('기준스탯 72종'!E29-S539-AA539,0))</x:f>
        <x:v>4</x:v>
      </x:c>
      <x:c r="L539" s="2" t="n">
        <x:f>MAX(1,ROUND('기준스탯 72종'!F29-T539-AB539,0))</x:f>
        <x:v>4</x:v>
      </x:c>
      <x:c r="M539" s="2" t="n">
        <x:f>MAX(1,ROUND('기준스탯 72종'!G29-U539-AC539,0))</x:f>
        <x:v>2</x:v>
      </x:c>
      <x:c r="N539" s="2" t="n">
        <x:f>MAX(0,ROUND('기준스탯 72종'!H29-V539-AD539,0))</x:f>
        <x:v>0</x:v>
      </x:c>
      <x:c r="O539" s="2" t="n">
        <x:f>MAX(0,ROUND('기준스탯 72종'!I29-W539-AE539,0))</x:f>
        <x:v>2</x:v>
      </x:c>
      <x:c r="P539" s="2" t="n">
        <x:f>MAX(0,ROUND('기준스탯 72종'!J29-X539-AF539,0))</x:f>
        <x:v>2</x:v>
      </x:c>
      <x:c r="Q539" s="2" t="n">
        <x:f>MAX(0,ROUND('기준스탯 72종'!K29-Y539-AG539,0))</x:f>
        <x:v>3</x:v>
      </x:c>
      <x:c r="R539" s="15" t="n">
        <x:f>'기준스탯 72종'!D29*G539</x:f>
        <x:v>2.0999999999999996</x:v>
      </x:c>
      <x:c r="S539" s="15" t="n">
        <x:f>'기준스탯 72종'!E29*G539</x:f>
        <x:v>4.199999999999999</x:v>
      </x:c>
      <x:c r="T539" s="15" t="n">
        <x:f>'기준스탯 72종'!F29*G539</x:f>
        <x:v>4.199999999999999</x:v>
      </x:c>
      <x:c r="U539" s="15" t="n">
        <x:f>'기준스탯 72종'!G29*G539</x:f>
        <x:v>2.5199999999999996</x:v>
      </x:c>
      <x:c r="V539" s="15" t="n">
        <x:f>'기준스탯 72종'!H29*G539</x:f>
        <x:v>0.41999999999999993</x:v>
      </x:c>
      <x:c r="W539" s="15" t="n">
        <x:f>'기준스탯 72종'!I29*G539</x:f>
        <x:v>1.6799999999999997</x:v>
      </x:c>
      <x:c r="X539" s="15" t="n">
        <x:f>'기준스탯 72종'!J29*G539</x:f>
        <x:v>1.6799999999999997</x:v>
      </x:c>
      <x:c r="Y539" s="15" t="n">
        <x:f>'기준스탯 72종'!K29*G539</x:f>
        <x:v>2.9399999999999995</x:v>
      </x:c>
      <x:c r="Z539" s="15" t="n">
        <x:f>'기준스탯 72종'!D29*H539</x:f>
        <x:v>0.9000000000000002</x:v>
      </x:c>
      <x:c r="AA539" s="15" t="n">
        <x:f>'기준스탯 72종'!E29*H539</x:f>
        <x:v>1.8000000000000005</x:v>
      </x:c>
      <x:c r="AB539" s="15" t="n">
        <x:f>'기준스탯 72종'!F29*H539</x:f>
        <x:v>1.8000000000000005</x:v>
      </x:c>
      <x:c r="AC539" s="15" t="n">
        <x:f>'기준스탯 72종'!G29*H539</x:f>
        <x:v>1.0800000000000003</x:v>
      </x:c>
      <x:c r="AD539" s="15" t="n">
        <x:f>'기준스탯 72종'!H29*H539</x:f>
        <x:v>0.18000000000000005</x:v>
      </x:c>
      <x:c r="AE539" s="15" t="n">
        <x:f>'기준스탯 72종'!I29*H539</x:f>
        <x:v>0.7200000000000002</x:v>
      </x:c>
      <x:c r="AF539" s="15" t="n">
        <x:f>'기준스탯 72종'!J29*H539</x:f>
        <x:v>0.7200000000000002</x:v>
      </x:c>
      <x:c r="AG539" s="15" t="n">
        <x:f>'기준스탯 72종'!K29*H539</x:f>
        <x:v>1.2600000000000002</x:v>
      </x:c>
    </x:row>
    <x:row r="540" ht="28" customHeight="1">
      <x:c r="A540" s="2" t="n">
        <x:v>533</x:v>
      </x:c>
      <x:c r="B540" s="2" t="n">
        <x:v>22</x:v>
      </x:c>
      <x:c r="C540" s="2" t="str">
        <x:v>게자리</x:v>
      </x:c>
      <x:c r="D540" s="2" t="str">
        <x:v>정령사</x:v>
      </x:c>
      <x:c r="E540" s="2" t="n">
        <x:v>3</x:v>
      </x:c>
      <x:c r="F540" s="2" t="n">
        <x:v>2</x:v>
      </x:c>
      <x:c r="G540" s="14" t="n">
        <x:f>('레벨 계산식'!$E$4-E540)*'레벨 계산식'!$B$5</x:f>
        <x:v>0.27999999999999997</x:v>
      </x:c>
      <x:c r="H540" s="14" t="n">
        <x:f>('등급 계산식'!$E$4-F540)*'등급 계산식'!$B$5</x:f>
        <x:v>0.18000000000000005</x:v>
      </x:c>
      <x:c r="I540" s="14" t="n">
        <x:f>1-G540-H540</x:f>
        <x:v>0.5399999999999999</x:v>
      </x:c>
      <x:c r="J540" s="2" t="n">
        <x:f>MAX(1,ROUND('기준스탯 72종'!D29-R540-Z540,0))</x:f>
        <x:v>3</x:v>
      </x:c>
      <x:c r="K540" s="2" t="n">
        <x:f>MAX(1,ROUND('기준스탯 72종'!E29-S540-AA540,0))</x:f>
        <x:v>5</x:v>
      </x:c>
      <x:c r="L540" s="2" t="n">
        <x:f>MAX(1,ROUND('기준스탯 72종'!F29-T540-AB540,0))</x:f>
        <x:v>5</x:v>
      </x:c>
      <x:c r="M540" s="2" t="n">
        <x:f>MAX(1,ROUND('기준스탯 72종'!G29-U540-AC540,0))</x:f>
        <x:v>3</x:v>
      </x:c>
      <x:c r="N540" s="2" t="n">
        <x:f>MAX(0,ROUND('기준스탯 72종'!H29-V540-AD540,0))</x:f>
        <x:v>1</x:v>
      </x:c>
      <x:c r="O540" s="2" t="n">
        <x:f>MAX(0,ROUND('기준스탯 72종'!I29-W540-AE540,0))</x:f>
        <x:v>2</x:v>
      </x:c>
      <x:c r="P540" s="2" t="n">
        <x:f>MAX(0,ROUND('기준스탯 72종'!J29-X540-AF540,0))</x:f>
        <x:v>2</x:v>
      </x:c>
      <x:c r="Q540" s="2" t="n">
        <x:f>MAX(0,ROUND('기준스탯 72종'!K29-Y540-AG540,0))</x:f>
        <x:v>4</x:v>
      </x:c>
      <x:c r="R540" s="15" t="n">
        <x:f>'기준스탯 72종'!D29*G540</x:f>
        <x:v>1.4</x:v>
      </x:c>
      <x:c r="S540" s="15" t="n">
        <x:f>'기준스탯 72종'!E29*G540</x:f>
        <x:v>2.8</x:v>
      </x:c>
      <x:c r="T540" s="15" t="n">
        <x:f>'기준스탯 72종'!F29*G540</x:f>
        <x:v>2.8</x:v>
      </x:c>
      <x:c r="U540" s="15" t="n">
        <x:f>'기준스탯 72종'!G29*G540</x:f>
        <x:v>1.6799999999999997</x:v>
      </x:c>
      <x:c r="V540" s="15" t="n">
        <x:f>'기준스탯 72종'!H29*G540</x:f>
        <x:v>0.27999999999999997</x:v>
      </x:c>
      <x:c r="W540" s="15" t="n">
        <x:f>'기준스탯 72종'!I29*G540</x:f>
        <x:v>1.1199999999999999</x:v>
      </x:c>
      <x:c r="X540" s="15" t="n">
        <x:f>'기준스탯 72종'!J29*G540</x:f>
        <x:v>1.1199999999999999</x:v>
      </x:c>
      <x:c r="Y540" s="15" t="n">
        <x:f>'기준스탯 72종'!K29*G540</x:f>
        <x:v>1.9599999999999997</x:v>
      </x:c>
      <x:c r="Z540" s="15" t="n">
        <x:f>'기준스탯 72종'!D29*H540</x:f>
        <x:v>0.9000000000000002</x:v>
      </x:c>
      <x:c r="AA540" s="15" t="n">
        <x:f>'기준스탯 72종'!E29*H540</x:f>
        <x:v>1.8000000000000005</x:v>
      </x:c>
      <x:c r="AB540" s="15" t="n">
        <x:f>'기준스탯 72종'!F29*H540</x:f>
        <x:v>1.8000000000000005</x:v>
      </x:c>
      <x:c r="AC540" s="15" t="n">
        <x:f>'기준스탯 72종'!G29*H540</x:f>
        <x:v>1.0800000000000003</x:v>
      </x:c>
      <x:c r="AD540" s="15" t="n">
        <x:f>'기준스탯 72종'!H29*H540</x:f>
        <x:v>0.18000000000000005</x:v>
      </x:c>
      <x:c r="AE540" s="15" t="n">
        <x:f>'기준스탯 72종'!I29*H540</x:f>
        <x:v>0.7200000000000002</x:v>
      </x:c>
      <x:c r="AF540" s="15" t="n">
        <x:f>'기준스탯 72종'!J29*H540</x:f>
        <x:v>0.7200000000000002</x:v>
      </x:c>
      <x:c r="AG540" s="15" t="n">
        <x:f>'기준스탯 72종'!K29*H540</x:f>
        <x:v>1.2600000000000002</x:v>
      </x:c>
    </x:row>
    <x:row r="541" ht="28" customHeight="1">
      <x:c r="A541" s="2" t="n">
        <x:v>534</x:v>
      </x:c>
      <x:c r="B541" s="2" t="n">
        <x:v>22</x:v>
      </x:c>
      <x:c r="C541" s="2" t="str">
        <x:v>게자리</x:v>
      </x:c>
      <x:c r="D541" s="2" t="str">
        <x:v>정령사</x:v>
      </x:c>
      <x:c r="E541" s="2" t="n">
        <x:v>4</x:v>
      </x:c>
      <x:c r="F541" s="2" t="n">
        <x:v>2</x:v>
      </x:c>
      <x:c r="G541" s="14" t="n">
        <x:f>('레벨 계산식'!$E$4-E541)*'레벨 계산식'!$B$5</x:f>
        <x:v>0.13999999999999999</x:v>
      </x:c>
      <x:c r="H541" s="14" t="n">
        <x:f>('등급 계산식'!$E$4-F541)*'등급 계산식'!$B$5</x:f>
        <x:v>0.18000000000000005</x:v>
      </x:c>
      <x:c r="I541" s="14" t="n">
        <x:f>1-G541-H541</x:f>
        <x:v>0.6799999999999999</x:v>
      </x:c>
      <x:c r="J541" s="2" t="n">
        <x:f>MAX(1,ROUND('기준스탯 72종'!D29-R541-Z541,0))</x:f>
        <x:v>3</x:v>
      </x:c>
      <x:c r="K541" s="2" t="n">
        <x:f>MAX(1,ROUND('기준스탯 72종'!E29-S541-AA541,0))</x:f>
        <x:v>7</x:v>
      </x:c>
      <x:c r="L541" s="2" t="n">
        <x:f>MAX(1,ROUND('기준스탯 72종'!F29-T541-AB541,0))</x:f>
        <x:v>7</x:v>
      </x:c>
      <x:c r="M541" s="2" t="n">
        <x:f>MAX(1,ROUND('기준스탯 72종'!G29-U541-AC541,0))</x:f>
        <x:v>4</x:v>
      </x:c>
      <x:c r="N541" s="2" t="n">
        <x:f>MAX(0,ROUND('기준스탯 72종'!H29-V541-AD541,0))</x:f>
        <x:v>1</x:v>
      </x:c>
      <x:c r="O541" s="2" t="n">
        <x:f>MAX(0,ROUND('기준스탯 72종'!I29-W541-AE541,0))</x:f>
        <x:v>3</x:v>
      </x:c>
      <x:c r="P541" s="2" t="n">
        <x:f>MAX(0,ROUND('기준스탯 72종'!J29-X541-AF541,0))</x:f>
        <x:v>3</x:v>
      </x:c>
      <x:c r="Q541" s="2" t="n">
        <x:f>MAX(0,ROUND('기준스탯 72종'!K29-Y541-AG541,0))</x:f>
        <x:v>5</x:v>
      </x:c>
      <x:c r="R541" s="15" t="n">
        <x:f>'기준스탯 72종'!D29*G541</x:f>
        <x:v>0.7</x:v>
      </x:c>
      <x:c r="S541" s="15" t="n">
        <x:f>'기준스탯 72종'!E29*G541</x:f>
        <x:v>1.4</x:v>
      </x:c>
      <x:c r="T541" s="15" t="n">
        <x:f>'기준스탯 72종'!F29*G541</x:f>
        <x:v>1.4</x:v>
      </x:c>
      <x:c r="U541" s="15" t="n">
        <x:f>'기준스탯 72종'!G29*G541</x:f>
        <x:v>0.8399999999999999</x:v>
      </x:c>
      <x:c r="V541" s="15" t="n">
        <x:f>'기준스탯 72종'!H29*G541</x:f>
        <x:v>0.13999999999999999</x:v>
      </x:c>
      <x:c r="W541" s="15" t="n">
        <x:f>'기준스탯 72종'!I29*G541</x:f>
        <x:v>0.5599999999999999</x:v>
      </x:c>
      <x:c r="X541" s="15" t="n">
        <x:f>'기준스탯 72종'!J29*G541</x:f>
        <x:v>0.5599999999999999</x:v>
      </x:c>
      <x:c r="Y541" s="15" t="n">
        <x:f>'기준스탯 72종'!K29*G541</x:f>
        <x:v>0.9799999999999999</x:v>
      </x:c>
      <x:c r="Z541" s="15" t="n">
        <x:f>'기준스탯 72종'!D29*H541</x:f>
        <x:v>0.9000000000000002</x:v>
      </x:c>
      <x:c r="AA541" s="15" t="n">
        <x:f>'기준스탯 72종'!E29*H541</x:f>
        <x:v>1.8000000000000005</x:v>
      </x:c>
      <x:c r="AB541" s="15" t="n">
        <x:f>'기준스탯 72종'!F29*H541</x:f>
        <x:v>1.8000000000000005</x:v>
      </x:c>
      <x:c r="AC541" s="15" t="n">
        <x:f>'기준스탯 72종'!G29*H541</x:f>
        <x:v>1.0800000000000003</x:v>
      </x:c>
      <x:c r="AD541" s="15" t="n">
        <x:f>'기준스탯 72종'!H29*H541</x:f>
        <x:v>0.18000000000000005</x:v>
      </x:c>
      <x:c r="AE541" s="15" t="n">
        <x:f>'기준스탯 72종'!I29*H541</x:f>
        <x:v>0.7200000000000002</x:v>
      </x:c>
      <x:c r="AF541" s="15" t="n">
        <x:f>'기준스탯 72종'!J29*H541</x:f>
        <x:v>0.7200000000000002</x:v>
      </x:c>
      <x:c r="AG541" s="15" t="n">
        <x:f>'기준스탯 72종'!K29*H541</x:f>
        <x:v>1.2600000000000002</x:v>
      </x:c>
    </x:row>
    <x:row r="542" ht="28" customHeight="1">
      <x:c r="A542" s="2" t="n">
        <x:v>535</x:v>
      </x:c>
      <x:c r="B542" s="2" t="n">
        <x:v>22</x:v>
      </x:c>
      <x:c r="C542" s="2" t="str">
        <x:v>게자리</x:v>
      </x:c>
      <x:c r="D542" s="2" t="str">
        <x:v>정령사</x:v>
      </x:c>
      <x:c r="E542" s="2" t="n">
        <x:v>5</x:v>
      </x:c>
      <x:c r="F542" s="2" t="n">
        <x:v>2</x:v>
      </x:c>
      <x:c r="G542" s="14" t="n">
        <x:f>('레벨 계산식'!$E$4-E542)*'레벨 계산식'!$B$5</x:f>
        <x:v>0</x:v>
      </x:c>
      <x:c r="H542" s="14" t="n">
        <x:f>('등급 계산식'!$E$4-F542)*'등급 계산식'!$B$5</x:f>
        <x:v>0.18000000000000005</x:v>
      </x:c>
      <x:c r="I542" s="14" t="n">
        <x:f>1-G542-H542</x:f>
        <x:v>0.82</x:v>
      </x:c>
      <x:c r="J542" s="2" t="n">
        <x:f>MAX(1,ROUND('기준스탯 72종'!D29-R542-Z542,0))</x:f>
        <x:v>4</x:v>
      </x:c>
      <x:c r="K542" s="2" t="n">
        <x:f>MAX(1,ROUND('기준스탯 72종'!E29-S542-AA542,0))</x:f>
        <x:v>8</x:v>
      </x:c>
      <x:c r="L542" s="2" t="n">
        <x:f>MAX(1,ROUND('기준스탯 72종'!F29-T542-AB542,0))</x:f>
        <x:v>8</x:v>
      </x:c>
      <x:c r="M542" s="2" t="n">
        <x:f>MAX(1,ROUND('기준스탯 72종'!G29-U542-AC542,0))</x:f>
        <x:v>5</x:v>
      </x:c>
      <x:c r="N542" s="2" t="n">
        <x:f>MAX(0,ROUND('기준스탯 72종'!H29-V542-AD542,0))</x:f>
        <x:v>1</x:v>
      </x:c>
      <x:c r="O542" s="2" t="n">
        <x:f>MAX(0,ROUND('기준스탯 72종'!I29-W542-AE542,0))</x:f>
        <x:v>3</x:v>
      </x:c>
      <x:c r="P542" s="2" t="n">
        <x:f>MAX(0,ROUND('기준스탯 72종'!J29-X542-AF542,0))</x:f>
        <x:v>3</x:v>
      </x:c>
      <x:c r="Q542" s="2" t="n">
        <x:f>MAX(0,ROUND('기준스탯 72종'!K29-Y542-AG542,0))</x:f>
        <x:v>6</x:v>
      </x:c>
      <x:c r="R542" s="15" t="n">
        <x:f>'기준스탯 72종'!D29*G542</x:f>
        <x:v>0</x:v>
      </x:c>
      <x:c r="S542" s="15" t="n">
        <x:f>'기준스탯 72종'!E29*G542</x:f>
        <x:v>0</x:v>
      </x:c>
      <x:c r="T542" s="15" t="n">
        <x:f>'기준스탯 72종'!F29*G542</x:f>
        <x:v>0</x:v>
      </x:c>
      <x:c r="U542" s="15" t="n">
        <x:f>'기준스탯 72종'!G29*G542</x:f>
        <x:v>0</x:v>
      </x:c>
      <x:c r="V542" s="15" t="n">
        <x:f>'기준스탯 72종'!H29*G542</x:f>
        <x:v>0</x:v>
      </x:c>
      <x:c r="W542" s="15" t="n">
        <x:f>'기준스탯 72종'!I29*G542</x:f>
        <x:v>0</x:v>
      </x:c>
      <x:c r="X542" s="15" t="n">
        <x:f>'기준스탯 72종'!J29*G542</x:f>
        <x:v>0</x:v>
      </x:c>
      <x:c r="Y542" s="15" t="n">
        <x:f>'기준스탯 72종'!K29*G542</x:f>
        <x:v>0</x:v>
      </x:c>
      <x:c r="Z542" s="15" t="n">
        <x:f>'기준스탯 72종'!D29*H542</x:f>
        <x:v>0.9000000000000002</x:v>
      </x:c>
      <x:c r="AA542" s="15" t="n">
        <x:f>'기준스탯 72종'!E29*H542</x:f>
        <x:v>1.8000000000000005</x:v>
      </x:c>
      <x:c r="AB542" s="15" t="n">
        <x:f>'기준스탯 72종'!F29*H542</x:f>
        <x:v>1.8000000000000005</x:v>
      </x:c>
      <x:c r="AC542" s="15" t="n">
        <x:f>'기준스탯 72종'!G29*H542</x:f>
        <x:v>1.0800000000000003</x:v>
      </x:c>
      <x:c r="AD542" s="15" t="n">
        <x:f>'기준스탯 72종'!H29*H542</x:f>
        <x:v>0.18000000000000005</x:v>
      </x:c>
      <x:c r="AE542" s="15" t="n">
        <x:f>'기준스탯 72종'!I29*H542</x:f>
        <x:v>0.7200000000000002</x:v>
      </x:c>
      <x:c r="AF542" s="15" t="n">
        <x:f>'기준스탯 72종'!J29*H542</x:f>
        <x:v>0.7200000000000002</x:v>
      </x:c>
      <x:c r="AG542" s="15" t="n">
        <x:f>'기준스탯 72종'!K29*H542</x:f>
        <x:v>1.2600000000000002</x:v>
      </x:c>
    </x:row>
    <x:row r="543" ht="28" customHeight="1">
      <x:c r="A543" s="2" t="n">
        <x:v>536</x:v>
      </x:c>
      <x:c r="B543" s="2" t="n">
        <x:v>22</x:v>
      </x:c>
      <x:c r="C543" s="2" t="str">
        <x:v>게자리</x:v>
      </x:c>
      <x:c r="D543" s="2" t="str">
        <x:v>정령사</x:v>
      </x:c>
      <x:c r="E543" s="2" t="n">
        <x:v>1</x:v>
      </x:c>
      <x:c r="F543" s="2" t="n">
        <x:v>3</x:v>
      </x:c>
      <x:c r="G543" s="14" t="n">
        <x:f>('레벨 계산식'!$E$4-E543)*'레벨 계산식'!$B$5</x:f>
        <x:v>0.5599999999999999</x:v>
      </x:c>
      <x:c r="H543" s="14" t="n">
        <x:f>('등급 계산식'!$E$4-F543)*'등급 계산식'!$B$5</x:f>
        <x:v>0.12000000000000002</x:v>
      </x:c>
      <x:c r="I543" s="14" t="n">
        <x:f>1-G543-H543</x:f>
        <x:v>0.32000000000000006</x:v>
      </x:c>
      <x:c r="J543" s="2" t="n">
        <x:f>MAX(1,ROUND('기준스탯 72종'!D29-R543-Z543,0))</x:f>
        <x:v>2</x:v>
      </x:c>
      <x:c r="K543" s="2" t="n">
        <x:f>MAX(1,ROUND('기준스탯 72종'!E29-S543-AA543,0))</x:f>
        <x:v>3</x:v>
      </x:c>
      <x:c r="L543" s="2" t="n">
        <x:f>MAX(1,ROUND('기준스탯 72종'!F29-T543-AB543,0))</x:f>
        <x:v>3</x:v>
      </x:c>
      <x:c r="M543" s="2" t="n">
        <x:f>MAX(1,ROUND('기준스탯 72종'!G29-U543-AC543,0))</x:f>
        <x:v>2</x:v>
      </x:c>
      <x:c r="N543" s="2" t="n">
        <x:f>MAX(0,ROUND('기준스탯 72종'!H29-V543-AD543,0))</x:f>
        <x:v>0</x:v>
      </x:c>
      <x:c r="O543" s="2" t="n">
        <x:f>MAX(0,ROUND('기준스탯 72종'!I29-W543-AE543,0))</x:f>
        <x:v>1</x:v>
      </x:c>
      <x:c r="P543" s="2" t="n">
        <x:f>MAX(0,ROUND('기준스탯 72종'!J29-X543-AF543,0))</x:f>
        <x:v>1</x:v>
      </x:c>
      <x:c r="Q543" s="2" t="n">
        <x:f>MAX(0,ROUND('기준스탯 72종'!K29-Y543-AG543,0))</x:f>
        <x:v>2</x:v>
      </x:c>
      <x:c r="R543" s="15" t="n">
        <x:f>'기준스탯 72종'!D29*G543</x:f>
        <x:v>2.8</x:v>
      </x:c>
      <x:c r="S543" s="15" t="n">
        <x:f>'기준스탯 72종'!E29*G543</x:f>
        <x:v>5.6</x:v>
      </x:c>
      <x:c r="T543" s="15" t="n">
        <x:f>'기준스탯 72종'!F29*G543</x:f>
        <x:v>5.6</x:v>
      </x:c>
      <x:c r="U543" s="15" t="n">
        <x:f>'기준스탯 72종'!G29*G543</x:f>
        <x:v>3.3599999999999994</x:v>
      </x:c>
      <x:c r="V543" s="15" t="n">
        <x:f>'기준스탯 72종'!H29*G543</x:f>
        <x:v>0.5599999999999999</x:v>
      </x:c>
      <x:c r="W543" s="15" t="n">
        <x:f>'기준스탯 72종'!I29*G543</x:f>
        <x:v>2.2399999999999998</x:v>
      </x:c>
      <x:c r="X543" s="15" t="n">
        <x:f>'기준스탯 72종'!J29*G543</x:f>
        <x:v>2.2399999999999998</x:v>
      </x:c>
      <x:c r="Y543" s="15" t="n">
        <x:f>'기준스탯 72종'!K29*G543</x:f>
        <x:v>3.9199999999999995</x:v>
      </x:c>
      <x:c r="Z543" s="15" t="n">
        <x:f>'기준스탯 72종'!D29*H543</x:f>
        <x:v>0.6000000000000001</x:v>
      </x:c>
      <x:c r="AA543" s="15" t="n">
        <x:f>'기준스탯 72종'!E29*H543</x:f>
        <x:v>1.2000000000000002</x:v>
      </x:c>
      <x:c r="AB543" s="15" t="n">
        <x:f>'기준스탯 72종'!F29*H543</x:f>
        <x:v>1.2000000000000002</x:v>
      </x:c>
      <x:c r="AC543" s="15" t="n">
        <x:f>'기준스탯 72종'!G29*H543</x:f>
        <x:v>0.7200000000000002</x:v>
      </x:c>
      <x:c r="AD543" s="15" t="n">
        <x:f>'기준스탯 72종'!H29*H543</x:f>
        <x:v>0.12000000000000002</x:v>
      </x:c>
      <x:c r="AE543" s="15" t="n">
        <x:f>'기준스탯 72종'!I29*H543</x:f>
        <x:v>0.4800000000000001</x:v>
      </x:c>
      <x:c r="AF543" s="15" t="n">
        <x:f>'기준스탯 72종'!J29*H543</x:f>
        <x:v>0.4800000000000001</x:v>
      </x:c>
      <x:c r="AG543" s="15" t="n">
        <x:f>'기준스탯 72종'!K29*H543</x:f>
        <x:v>0.8400000000000002</x:v>
      </x:c>
    </x:row>
    <x:row r="544" ht="28" customHeight="1">
      <x:c r="A544" s="2" t="n">
        <x:v>537</x:v>
      </x:c>
      <x:c r="B544" s="2" t="n">
        <x:v>22</x:v>
      </x:c>
      <x:c r="C544" s="2" t="str">
        <x:v>게자리</x:v>
      </x:c>
      <x:c r="D544" s="2" t="str">
        <x:v>정령사</x:v>
      </x:c>
      <x:c r="E544" s="2" t="n">
        <x:v>2</x:v>
      </x:c>
      <x:c r="F544" s="2" t="n">
        <x:v>3</x:v>
      </x:c>
      <x:c r="G544" s="14" t="n">
        <x:f>('레벨 계산식'!$E$4-E544)*'레벨 계산식'!$B$5</x:f>
        <x:v>0.41999999999999993</x:v>
      </x:c>
      <x:c r="H544" s="14" t="n">
        <x:f>('등급 계산식'!$E$4-F544)*'등급 계산식'!$B$5</x:f>
        <x:v>0.12000000000000002</x:v>
      </x:c>
      <x:c r="I544" s="14" t="n">
        <x:f>1-G544-H544</x:f>
        <x:v>0.4600000000000001</x:v>
      </x:c>
      <x:c r="J544" s="2" t="n">
        <x:f>MAX(1,ROUND('기준스탯 72종'!D29-R544-Z544,0))</x:f>
        <x:v>2</x:v>
      </x:c>
      <x:c r="K544" s="2" t="n">
        <x:f>MAX(1,ROUND('기준스탯 72종'!E29-S544-AA544,0))</x:f>
        <x:v>5</x:v>
      </x:c>
      <x:c r="L544" s="2" t="n">
        <x:f>MAX(1,ROUND('기준스탯 72종'!F29-T544-AB544,0))</x:f>
        <x:v>5</x:v>
      </x:c>
      <x:c r="M544" s="2" t="n">
        <x:f>MAX(1,ROUND('기준스탯 72종'!G29-U544-AC544,0))</x:f>
        <x:v>3</x:v>
      </x:c>
      <x:c r="N544" s="2" t="n">
        <x:f>MAX(0,ROUND('기준스탯 72종'!H29-V544-AD544,0))</x:f>
        <x:v>0</x:v>
      </x:c>
      <x:c r="O544" s="2" t="n">
        <x:f>MAX(0,ROUND('기준스탯 72종'!I29-W544-AE544,0))</x:f>
        <x:v>2</x:v>
      </x:c>
      <x:c r="P544" s="2" t="n">
        <x:f>MAX(0,ROUND('기준스탯 72종'!J29-X544-AF544,0))</x:f>
        <x:v>2</x:v>
      </x:c>
      <x:c r="Q544" s="2" t="n">
        <x:f>MAX(0,ROUND('기준스탯 72종'!K29-Y544-AG544,0))</x:f>
        <x:v>3</x:v>
      </x:c>
      <x:c r="R544" s="15" t="n">
        <x:f>'기준스탯 72종'!D29*G544</x:f>
        <x:v>2.0999999999999996</x:v>
      </x:c>
      <x:c r="S544" s="15" t="n">
        <x:f>'기준스탯 72종'!E29*G544</x:f>
        <x:v>4.199999999999999</x:v>
      </x:c>
      <x:c r="T544" s="15" t="n">
        <x:f>'기준스탯 72종'!F29*G544</x:f>
        <x:v>4.199999999999999</x:v>
      </x:c>
      <x:c r="U544" s="15" t="n">
        <x:f>'기준스탯 72종'!G29*G544</x:f>
        <x:v>2.5199999999999996</x:v>
      </x:c>
      <x:c r="V544" s="15" t="n">
        <x:f>'기준스탯 72종'!H29*G544</x:f>
        <x:v>0.41999999999999993</x:v>
      </x:c>
      <x:c r="W544" s="15" t="n">
        <x:f>'기준스탯 72종'!I29*G544</x:f>
        <x:v>1.6799999999999997</x:v>
      </x:c>
      <x:c r="X544" s="15" t="n">
        <x:f>'기준스탯 72종'!J29*G544</x:f>
        <x:v>1.6799999999999997</x:v>
      </x:c>
      <x:c r="Y544" s="15" t="n">
        <x:f>'기준스탯 72종'!K29*G544</x:f>
        <x:v>2.9399999999999995</x:v>
      </x:c>
      <x:c r="Z544" s="15" t="n">
        <x:f>'기준스탯 72종'!D29*H544</x:f>
        <x:v>0.6000000000000001</x:v>
      </x:c>
      <x:c r="AA544" s="15" t="n">
        <x:f>'기준스탯 72종'!E29*H544</x:f>
        <x:v>1.2000000000000002</x:v>
      </x:c>
      <x:c r="AB544" s="15" t="n">
        <x:f>'기준스탯 72종'!F29*H544</x:f>
        <x:v>1.2000000000000002</x:v>
      </x:c>
      <x:c r="AC544" s="15" t="n">
        <x:f>'기준스탯 72종'!G29*H544</x:f>
        <x:v>0.7200000000000002</x:v>
      </x:c>
      <x:c r="AD544" s="15" t="n">
        <x:f>'기준스탯 72종'!H29*H544</x:f>
        <x:v>0.12000000000000002</x:v>
      </x:c>
      <x:c r="AE544" s="15" t="n">
        <x:f>'기준스탯 72종'!I29*H544</x:f>
        <x:v>0.4800000000000001</x:v>
      </x:c>
      <x:c r="AF544" s="15" t="n">
        <x:f>'기준스탯 72종'!J29*H544</x:f>
        <x:v>0.4800000000000001</x:v>
      </x:c>
      <x:c r="AG544" s="15" t="n">
        <x:f>'기준스탯 72종'!K29*H544</x:f>
        <x:v>0.8400000000000002</x:v>
      </x:c>
    </x:row>
    <x:row r="545" ht="28" customHeight="1">
      <x:c r="A545" s="2" t="n">
        <x:v>538</x:v>
      </x:c>
      <x:c r="B545" s="2" t="n">
        <x:v>22</x:v>
      </x:c>
      <x:c r="C545" s="2" t="str">
        <x:v>게자리</x:v>
      </x:c>
      <x:c r="D545" s="2" t="str">
        <x:v>정령사</x:v>
      </x:c>
      <x:c r="E545" s="2" t="n">
        <x:v>3</x:v>
      </x:c>
      <x:c r="F545" s="2" t="n">
        <x:v>3</x:v>
      </x:c>
      <x:c r="G545" s="14" t="n">
        <x:f>('레벨 계산식'!$E$4-E545)*'레벨 계산식'!$B$5</x:f>
        <x:v>0.27999999999999997</x:v>
      </x:c>
      <x:c r="H545" s="14" t="n">
        <x:f>('등급 계산식'!$E$4-F545)*'등급 계산식'!$B$5</x:f>
        <x:v>0.12000000000000002</x:v>
      </x:c>
      <x:c r="I545" s="14" t="n">
        <x:f>1-G545-H545</x:f>
        <x:v>0.6</x:v>
      </x:c>
      <x:c r="J545" s="2" t="n">
        <x:f>MAX(1,ROUND('기준스탯 72종'!D29-R545-Z545,0))</x:f>
        <x:v>3</x:v>
      </x:c>
      <x:c r="K545" s="2" t="n">
        <x:f>MAX(1,ROUND('기준스탯 72종'!E29-S545-AA545,0))</x:f>
        <x:v>6</x:v>
      </x:c>
      <x:c r="L545" s="2" t="n">
        <x:f>MAX(1,ROUND('기준스탯 72종'!F29-T545-AB545,0))</x:f>
        <x:v>6</x:v>
      </x:c>
      <x:c r="M545" s="2" t="n">
        <x:f>MAX(1,ROUND('기준스탯 72종'!G29-U545-AC545,0))</x:f>
        <x:v>4</x:v>
      </x:c>
      <x:c r="N545" s="2" t="n">
        <x:f>MAX(0,ROUND('기준스탯 72종'!H29-V545-AD545,0))</x:f>
        <x:v>1</x:v>
      </x:c>
      <x:c r="O545" s="2" t="n">
        <x:f>MAX(0,ROUND('기준스탯 72종'!I29-W545-AE545,0))</x:f>
        <x:v>2</x:v>
      </x:c>
      <x:c r="P545" s="2" t="n">
        <x:f>MAX(0,ROUND('기준스탯 72종'!J29-X545-AF545,0))</x:f>
        <x:v>2</x:v>
      </x:c>
      <x:c r="Q545" s="2" t="n">
        <x:f>MAX(0,ROUND('기준스탯 72종'!K29-Y545-AG545,0))</x:f>
        <x:v>4</x:v>
      </x:c>
      <x:c r="R545" s="15" t="n">
        <x:f>'기준스탯 72종'!D29*G545</x:f>
        <x:v>1.4</x:v>
      </x:c>
      <x:c r="S545" s="15" t="n">
        <x:f>'기준스탯 72종'!E29*G545</x:f>
        <x:v>2.8</x:v>
      </x:c>
      <x:c r="T545" s="15" t="n">
        <x:f>'기준스탯 72종'!F29*G545</x:f>
        <x:v>2.8</x:v>
      </x:c>
      <x:c r="U545" s="15" t="n">
        <x:f>'기준스탯 72종'!G29*G545</x:f>
        <x:v>1.6799999999999997</x:v>
      </x:c>
      <x:c r="V545" s="15" t="n">
        <x:f>'기준스탯 72종'!H29*G545</x:f>
        <x:v>0.27999999999999997</x:v>
      </x:c>
      <x:c r="W545" s="15" t="n">
        <x:f>'기준스탯 72종'!I29*G545</x:f>
        <x:v>1.1199999999999999</x:v>
      </x:c>
      <x:c r="X545" s="15" t="n">
        <x:f>'기준스탯 72종'!J29*G545</x:f>
        <x:v>1.1199999999999999</x:v>
      </x:c>
      <x:c r="Y545" s="15" t="n">
        <x:f>'기준스탯 72종'!K29*G545</x:f>
        <x:v>1.9599999999999997</x:v>
      </x:c>
      <x:c r="Z545" s="15" t="n">
        <x:f>'기준스탯 72종'!D29*H545</x:f>
        <x:v>0.6000000000000001</x:v>
      </x:c>
      <x:c r="AA545" s="15" t="n">
        <x:f>'기준스탯 72종'!E29*H545</x:f>
        <x:v>1.2000000000000002</x:v>
      </x:c>
      <x:c r="AB545" s="15" t="n">
        <x:f>'기준스탯 72종'!F29*H545</x:f>
        <x:v>1.2000000000000002</x:v>
      </x:c>
      <x:c r="AC545" s="15" t="n">
        <x:f>'기준스탯 72종'!G29*H545</x:f>
        <x:v>0.7200000000000002</x:v>
      </x:c>
      <x:c r="AD545" s="15" t="n">
        <x:f>'기준스탯 72종'!H29*H545</x:f>
        <x:v>0.12000000000000002</x:v>
      </x:c>
      <x:c r="AE545" s="15" t="n">
        <x:f>'기준스탯 72종'!I29*H545</x:f>
        <x:v>0.4800000000000001</x:v>
      </x:c>
      <x:c r="AF545" s="15" t="n">
        <x:f>'기준스탯 72종'!J29*H545</x:f>
        <x:v>0.4800000000000001</x:v>
      </x:c>
      <x:c r="AG545" s="15" t="n">
        <x:f>'기준스탯 72종'!K29*H545</x:f>
        <x:v>0.8400000000000002</x:v>
      </x:c>
    </x:row>
    <x:row r="546" ht="28" customHeight="1">
      <x:c r="A546" s="2" t="n">
        <x:v>539</x:v>
      </x:c>
      <x:c r="B546" s="2" t="n">
        <x:v>22</x:v>
      </x:c>
      <x:c r="C546" s="2" t="str">
        <x:v>게자리</x:v>
      </x:c>
      <x:c r="D546" s="2" t="str">
        <x:v>정령사</x:v>
      </x:c>
      <x:c r="E546" s="2" t="n">
        <x:v>4</x:v>
      </x:c>
      <x:c r="F546" s="2" t="n">
        <x:v>3</x:v>
      </x:c>
      <x:c r="G546" s="14" t="n">
        <x:f>('레벨 계산식'!$E$4-E546)*'레벨 계산식'!$B$5</x:f>
        <x:v>0.13999999999999999</x:v>
      </x:c>
      <x:c r="H546" s="14" t="n">
        <x:f>('등급 계산식'!$E$4-F546)*'등급 계산식'!$B$5</x:f>
        <x:v>0.12000000000000002</x:v>
      </x:c>
      <x:c r="I546" s="14" t="n">
        <x:f>1-G546-H546</x:f>
        <x:v>0.74</x:v>
      </x:c>
      <x:c r="J546" s="2" t="n">
        <x:f>MAX(1,ROUND('기준스탯 72종'!D29-R546-Z546,0))</x:f>
        <x:v>4</x:v>
      </x:c>
      <x:c r="K546" s="2" t="n">
        <x:f>MAX(1,ROUND('기준스탯 72종'!E29-S546-AA546,0))</x:f>
        <x:v>7</x:v>
      </x:c>
      <x:c r="L546" s="2" t="n">
        <x:f>MAX(1,ROUND('기준스탯 72종'!F29-T546-AB546,0))</x:f>
        <x:v>7</x:v>
      </x:c>
      <x:c r="M546" s="2" t="n">
        <x:f>MAX(1,ROUND('기준스탯 72종'!G29-U546-AC546,0))</x:f>
        <x:v>4</x:v>
      </x:c>
      <x:c r="N546" s="2" t="n">
        <x:f>MAX(0,ROUND('기준스탯 72종'!H29-V546-AD546,0))</x:f>
        <x:v>1</x:v>
      </x:c>
      <x:c r="O546" s="2" t="n">
        <x:f>MAX(0,ROUND('기준스탯 72종'!I29-W546-AE546,0))</x:f>
        <x:v>3</x:v>
      </x:c>
      <x:c r="P546" s="2" t="n">
        <x:f>MAX(0,ROUND('기준스탯 72종'!J29-X546-AF546,0))</x:f>
        <x:v>3</x:v>
      </x:c>
      <x:c r="Q546" s="2" t="n">
        <x:f>MAX(0,ROUND('기준스탯 72종'!K29-Y546-AG546,0))</x:f>
        <x:v>5</x:v>
      </x:c>
      <x:c r="R546" s="15" t="n">
        <x:f>'기준스탯 72종'!D29*G546</x:f>
        <x:v>0.7</x:v>
      </x:c>
      <x:c r="S546" s="15" t="n">
        <x:f>'기준스탯 72종'!E29*G546</x:f>
        <x:v>1.4</x:v>
      </x:c>
      <x:c r="T546" s="15" t="n">
        <x:f>'기준스탯 72종'!F29*G546</x:f>
        <x:v>1.4</x:v>
      </x:c>
      <x:c r="U546" s="15" t="n">
        <x:f>'기준스탯 72종'!G29*G546</x:f>
        <x:v>0.8399999999999999</x:v>
      </x:c>
      <x:c r="V546" s="15" t="n">
        <x:f>'기준스탯 72종'!H29*G546</x:f>
        <x:v>0.13999999999999999</x:v>
      </x:c>
      <x:c r="W546" s="15" t="n">
        <x:f>'기준스탯 72종'!I29*G546</x:f>
        <x:v>0.5599999999999999</x:v>
      </x:c>
      <x:c r="X546" s="15" t="n">
        <x:f>'기준스탯 72종'!J29*G546</x:f>
        <x:v>0.5599999999999999</x:v>
      </x:c>
      <x:c r="Y546" s="15" t="n">
        <x:f>'기준스탯 72종'!K29*G546</x:f>
        <x:v>0.9799999999999999</x:v>
      </x:c>
      <x:c r="Z546" s="15" t="n">
        <x:f>'기준스탯 72종'!D29*H546</x:f>
        <x:v>0.6000000000000001</x:v>
      </x:c>
      <x:c r="AA546" s="15" t="n">
        <x:f>'기준스탯 72종'!E29*H546</x:f>
        <x:v>1.2000000000000002</x:v>
      </x:c>
      <x:c r="AB546" s="15" t="n">
        <x:f>'기준스탯 72종'!F29*H546</x:f>
        <x:v>1.2000000000000002</x:v>
      </x:c>
      <x:c r="AC546" s="15" t="n">
        <x:f>'기준스탯 72종'!G29*H546</x:f>
        <x:v>0.7200000000000002</x:v>
      </x:c>
      <x:c r="AD546" s="15" t="n">
        <x:f>'기준스탯 72종'!H29*H546</x:f>
        <x:v>0.12000000000000002</x:v>
      </x:c>
      <x:c r="AE546" s="15" t="n">
        <x:f>'기준스탯 72종'!I29*H546</x:f>
        <x:v>0.4800000000000001</x:v>
      </x:c>
      <x:c r="AF546" s="15" t="n">
        <x:f>'기준스탯 72종'!J29*H546</x:f>
        <x:v>0.4800000000000001</x:v>
      </x:c>
      <x:c r="AG546" s="15" t="n">
        <x:f>'기준스탯 72종'!K29*H546</x:f>
        <x:v>0.8400000000000002</x:v>
      </x:c>
    </x:row>
    <x:row r="547" ht="28" customHeight="1">
      <x:c r="A547" s="2" t="n">
        <x:v>540</x:v>
      </x:c>
      <x:c r="B547" s="2" t="n">
        <x:v>22</x:v>
      </x:c>
      <x:c r="C547" s="2" t="str">
        <x:v>게자리</x:v>
      </x:c>
      <x:c r="D547" s="2" t="str">
        <x:v>정령사</x:v>
      </x:c>
      <x:c r="E547" s="2" t="n">
        <x:v>5</x:v>
      </x:c>
      <x:c r="F547" s="2" t="n">
        <x:v>3</x:v>
      </x:c>
      <x:c r="G547" s="14" t="n">
        <x:f>('레벨 계산식'!$E$4-E547)*'레벨 계산식'!$B$5</x:f>
        <x:v>0</x:v>
      </x:c>
      <x:c r="H547" s="14" t="n">
        <x:f>('등급 계산식'!$E$4-F547)*'등급 계산식'!$B$5</x:f>
        <x:v>0.12000000000000002</x:v>
      </x:c>
      <x:c r="I547" s="14" t="n">
        <x:f>1-G547-H547</x:f>
        <x:v>0.88</x:v>
      </x:c>
      <x:c r="J547" s="2" t="n">
        <x:f>MAX(1,ROUND('기준스탯 72종'!D29-R547-Z547,0))</x:f>
        <x:v>4</x:v>
      </x:c>
      <x:c r="K547" s="2" t="n">
        <x:f>MAX(1,ROUND('기준스탯 72종'!E29-S547-AA547,0))</x:f>
        <x:v>9</x:v>
      </x:c>
      <x:c r="L547" s="2" t="n">
        <x:f>MAX(1,ROUND('기준스탯 72종'!F29-T547-AB547,0))</x:f>
        <x:v>9</x:v>
      </x:c>
      <x:c r="M547" s="2" t="n">
        <x:f>MAX(1,ROUND('기준스탯 72종'!G29-U547-AC547,0))</x:f>
        <x:v>5</x:v>
      </x:c>
      <x:c r="N547" s="2" t="n">
        <x:f>MAX(0,ROUND('기준스탯 72종'!H29-V547-AD547,0))</x:f>
        <x:v>1</x:v>
      </x:c>
      <x:c r="O547" s="2" t="n">
        <x:f>MAX(0,ROUND('기준스탯 72종'!I29-W547-AE547,0))</x:f>
        <x:v>4</x:v>
      </x:c>
      <x:c r="P547" s="2" t="n">
        <x:f>MAX(0,ROUND('기준스탯 72종'!J29-X547-AF547,0))</x:f>
        <x:v>4</x:v>
      </x:c>
      <x:c r="Q547" s="2" t="n">
        <x:f>MAX(0,ROUND('기준스탯 72종'!K29-Y547-AG547,0))</x:f>
        <x:v>6</x:v>
      </x:c>
      <x:c r="R547" s="15" t="n">
        <x:f>'기준스탯 72종'!D29*G547</x:f>
        <x:v>0</x:v>
      </x:c>
      <x:c r="S547" s="15" t="n">
        <x:f>'기준스탯 72종'!E29*G547</x:f>
        <x:v>0</x:v>
      </x:c>
      <x:c r="T547" s="15" t="n">
        <x:f>'기준스탯 72종'!F29*G547</x:f>
        <x:v>0</x:v>
      </x:c>
      <x:c r="U547" s="15" t="n">
        <x:f>'기준스탯 72종'!G29*G547</x:f>
        <x:v>0</x:v>
      </x:c>
      <x:c r="V547" s="15" t="n">
        <x:f>'기준스탯 72종'!H29*G547</x:f>
        <x:v>0</x:v>
      </x:c>
      <x:c r="W547" s="15" t="n">
        <x:f>'기준스탯 72종'!I29*G547</x:f>
        <x:v>0</x:v>
      </x:c>
      <x:c r="X547" s="15" t="n">
        <x:f>'기준스탯 72종'!J29*G547</x:f>
        <x:v>0</x:v>
      </x:c>
      <x:c r="Y547" s="15" t="n">
        <x:f>'기준스탯 72종'!K29*G547</x:f>
        <x:v>0</x:v>
      </x:c>
      <x:c r="Z547" s="15" t="n">
        <x:f>'기준스탯 72종'!D29*H547</x:f>
        <x:v>0.6000000000000001</x:v>
      </x:c>
      <x:c r="AA547" s="15" t="n">
        <x:f>'기준스탯 72종'!E29*H547</x:f>
        <x:v>1.2000000000000002</x:v>
      </x:c>
      <x:c r="AB547" s="15" t="n">
        <x:f>'기준스탯 72종'!F29*H547</x:f>
        <x:v>1.2000000000000002</x:v>
      </x:c>
      <x:c r="AC547" s="15" t="n">
        <x:f>'기준스탯 72종'!G29*H547</x:f>
        <x:v>0.7200000000000002</x:v>
      </x:c>
      <x:c r="AD547" s="15" t="n">
        <x:f>'기준스탯 72종'!H29*H547</x:f>
        <x:v>0.12000000000000002</x:v>
      </x:c>
      <x:c r="AE547" s="15" t="n">
        <x:f>'기준스탯 72종'!I29*H547</x:f>
        <x:v>0.4800000000000001</x:v>
      </x:c>
      <x:c r="AF547" s="15" t="n">
        <x:f>'기준스탯 72종'!J29*H547</x:f>
        <x:v>0.4800000000000001</x:v>
      </x:c>
      <x:c r="AG547" s="15" t="n">
        <x:f>'기준스탯 72종'!K29*H547</x:f>
        <x:v>0.8400000000000002</x:v>
      </x:c>
    </x:row>
    <x:row r="548" ht="28" customHeight="1">
      <x:c r="A548" s="2" t="n">
        <x:v>541</x:v>
      </x:c>
      <x:c r="B548" s="2" t="n">
        <x:v>22</x:v>
      </x:c>
      <x:c r="C548" s="2" t="str">
        <x:v>게자리</x:v>
      </x:c>
      <x:c r="D548" s="2" t="str">
        <x:v>정령사</x:v>
      </x:c>
      <x:c r="E548" s="2" t="n">
        <x:v>1</x:v>
      </x:c>
      <x:c r="F548" s="2" t="n">
        <x:v>4</x:v>
      </x:c>
      <x:c r="G548" s="14" t="n">
        <x:f>('레벨 계산식'!$E$4-E548)*'레벨 계산식'!$B$5</x:f>
        <x:v>0.5599999999999999</x:v>
      </x:c>
      <x:c r="H548" s="14" t="n">
        <x:f>('등급 계산식'!$E$4-F548)*'등급 계산식'!$B$5</x:f>
        <x:v>0.06000000000000001</x:v>
      </x:c>
      <x:c r="I548" s="14" t="n">
        <x:f>1-G548-H548</x:f>
        <x:v>0.38000000000000006</x:v>
      </x:c>
      <x:c r="J548" s="2" t="n">
        <x:f>MAX(1,ROUND('기준스탯 72종'!D29-R548-Z548,0))</x:f>
        <x:v>2</x:v>
      </x:c>
      <x:c r="K548" s="2" t="n">
        <x:f>MAX(1,ROUND('기준스탯 72종'!E29-S548-AA548,0))</x:f>
        <x:v>4</x:v>
      </x:c>
      <x:c r="L548" s="2" t="n">
        <x:f>MAX(1,ROUND('기준스탯 72종'!F29-T548-AB548,0))</x:f>
        <x:v>4</x:v>
      </x:c>
      <x:c r="M548" s="2" t="n">
        <x:f>MAX(1,ROUND('기준스탯 72종'!G29-U548-AC548,0))</x:f>
        <x:v>2</x:v>
      </x:c>
      <x:c r="N548" s="2" t="n">
        <x:f>MAX(0,ROUND('기준스탯 72종'!H29-V548-AD548,0))</x:f>
        <x:v>0</x:v>
      </x:c>
      <x:c r="O548" s="2" t="n">
        <x:f>MAX(0,ROUND('기준스탯 72종'!I29-W548-AE548,0))</x:f>
        <x:v>2</x:v>
      </x:c>
      <x:c r="P548" s="2" t="n">
        <x:f>MAX(0,ROUND('기준스탯 72종'!J29-X548-AF548,0))</x:f>
        <x:v>2</x:v>
      </x:c>
      <x:c r="Q548" s="2" t="n">
        <x:f>MAX(0,ROUND('기준스탯 72종'!K29-Y548-AG548,0))</x:f>
        <x:v>3</x:v>
      </x:c>
      <x:c r="R548" s="15" t="n">
        <x:f>'기준스탯 72종'!D29*G548</x:f>
        <x:v>2.8</x:v>
      </x:c>
      <x:c r="S548" s="15" t="n">
        <x:f>'기준스탯 72종'!E29*G548</x:f>
        <x:v>5.6</x:v>
      </x:c>
      <x:c r="T548" s="15" t="n">
        <x:f>'기준스탯 72종'!F29*G548</x:f>
        <x:v>5.6</x:v>
      </x:c>
      <x:c r="U548" s="15" t="n">
        <x:f>'기준스탯 72종'!G29*G548</x:f>
        <x:v>3.3599999999999994</x:v>
      </x:c>
      <x:c r="V548" s="15" t="n">
        <x:f>'기준스탯 72종'!H29*G548</x:f>
        <x:v>0.5599999999999999</x:v>
      </x:c>
      <x:c r="W548" s="15" t="n">
        <x:f>'기준스탯 72종'!I29*G548</x:f>
        <x:v>2.2399999999999998</x:v>
      </x:c>
      <x:c r="X548" s="15" t="n">
        <x:f>'기준스탯 72종'!J29*G548</x:f>
        <x:v>2.2399999999999998</x:v>
      </x:c>
      <x:c r="Y548" s="15" t="n">
        <x:f>'기준스탯 72종'!K29*G548</x:f>
        <x:v>3.9199999999999995</x:v>
      </x:c>
      <x:c r="Z548" s="15" t="n">
        <x:f>'기준스탯 72종'!D29*H548</x:f>
        <x:v>0.30000000000000004</x:v>
      </x:c>
      <x:c r="AA548" s="15" t="n">
        <x:f>'기준스탯 72종'!E29*H548</x:f>
        <x:v>0.6000000000000001</x:v>
      </x:c>
      <x:c r="AB548" s="15" t="n">
        <x:f>'기준스탯 72종'!F29*H548</x:f>
        <x:v>0.6000000000000001</x:v>
      </x:c>
      <x:c r="AC548" s="15" t="n">
        <x:f>'기준스탯 72종'!G29*H548</x:f>
        <x:v>0.3600000000000001</x:v>
      </x:c>
      <x:c r="AD548" s="15" t="n">
        <x:f>'기준스탯 72종'!H29*H548</x:f>
        <x:v>0.06000000000000001</x:v>
      </x:c>
      <x:c r="AE548" s="15" t="n">
        <x:f>'기준스탯 72종'!I29*H548</x:f>
        <x:v>0.24000000000000005</x:v>
      </x:c>
      <x:c r="AF548" s="15" t="n">
        <x:f>'기준스탯 72종'!J29*H548</x:f>
        <x:v>0.24000000000000005</x:v>
      </x:c>
      <x:c r="AG548" s="15" t="n">
        <x:f>'기준스탯 72종'!K29*H548</x:f>
        <x:v>0.4200000000000001</x:v>
      </x:c>
    </x:row>
    <x:row r="549" ht="28" customHeight="1">
      <x:c r="A549" s="2" t="n">
        <x:v>542</x:v>
      </x:c>
      <x:c r="B549" s="2" t="n">
        <x:v>22</x:v>
      </x:c>
      <x:c r="C549" s="2" t="str">
        <x:v>게자리</x:v>
      </x:c>
      <x:c r="D549" s="2" t="str">
        <x:v>정령사</x:v>
      </x:c>
      <x:c r="E549" s="2" t="n">
        <x:v>2</x:v>
      </x:c>
      <x:c r="F549" s="2" t="n">
        <x:v>4</x:v>
      </x:c>
      <x:c r="G549" s="14" t="n">
        <x:f>('레벨 계산식'!$E$4-E549)*'레벨 계산식'!$B$5</x:f>
        <x:v>0.41999999999999993</x:v>
      </x:c>
      <x:c r="H549" s="14" t="n">
        <x:f>('등급 계산식'!$E$4-F549)*'등급 계산식'!$B$5</x:f>
        <x:v>0.06000000000000001</x:v>
      </x:c>
      <x:c r="I549" s="14" t="n">
        <x:f>1-G549-H549</x:f>
        <x:v>0.52</x:v>
      </x:c>
      <x:c r="J549" s="2" t="n">
        <x:f>MAX(1,ROUND('기준스탯 72종'!D29-R549-Z549,0))</x:f>
        <x:v>3</x:v>
      </x:c>
      <x:c r="K549" s="2" t="n">
        <x:f>MAX(1,ROUND('기준스탯 72종'!E29-S549-AA549,0))</x:f>
        <x:v>5</x:v>
      </x:c>
      <x:c r="L549" s="2" t="n">
        <x:f>MAX(1,ROUND('기준스탯 72종'!F29-T549-AB549,0))</x:f>
        <x:v>5</x:v>
      </x:c>
      <x:c r="M549" s="2" t="n">
        <x:f>MAX(1,ROUND('기준스탯 72종'!G29-U549-AC549,0))</x:f>
        <x:v>3</x:v>
      </x:c>
      <x:c r="N549" s="2" t="n">
        <x:f>MAX(0,ROUND('기준스탯 72종'!H29-V549-AD549,0))</x:f>
        <x:v>1</x:v>
      </x:c>
      <x:c r="O549" s="2" t="n">
        <x:f>MAX(0,ROUND('기준스탯 72종'!I29-W549-AE549,0))</x:f>
        <x:v>2</x:v>
      </x:c>
      <x:c r="P549" s="2" t="n">
        <x:f>MAX(0,ROUND('기준스탯 72종'!J29-X549-AF549,0))</x:f>
        <x:v>2</x:v>
      </x:c>
      <x:c r="Q549" s="2" t="n">
        <x:f>MAX(0,ROUND('기준스탯 72종'!K29-Y549-AG549,0))</x:f>
        <x:v>4</x:v>
      </x:c>
      <x:c r="R549" s="15" t="n">
        <x:f>'기준스탯 72종'!D29*G549</x:f>
        <x:v>2.0999999999999996</x:v>
      </x:c>
      <x:c r="S549" s="15" t="n">
        <x:f>'기준스탯 72종'!E29*G549</x:f>
        <x:v>4.199999999999999</x:v>
      </x:c>
      <x:c r="T549" s="15" t="n">
        <x:f>'기준스탯 72종'!F29*G549</x:f>
        <x:v>4.199999999999999</x:v>
      </x:c>
      <x:c r="U549" s="15" t="n">
        <x:f>'기준스탯 72종'!G29*G549</x:f>
        <x:v>2.5199999999999996</x:v>
      </x:c>
      <x:c r="V549" s="15" t="n">
        <x:f>'기준스탯 72종'!H29*G549</x:f>
        <x:v>0.41999999999999993</x:v>
      </x:c>
      <x:c r="W549" s="15" t="n">
        <x:f>'기준스탯 72종'!I29*G549</x:f>
        <x:v>1.6799999999999997</x:v>
      </x:c>
      <x:c r="X549" s="15" t="n">
        <x:f>'기준스탯 72종'!J29*G549</x:f>
        <x:v>1.6799999999999997</x:v>
      </x:c>
      <x:c r="Y549" s="15" t="n">
        <x:f>'기준스탯 72종'!K29*G549</x:f>
        <x:v>2.9399999999999995</x:v>
      </x:c>
      <x:c r="Z549" s="15" t="n">
        <x:f>'기준스탯 72종'!D29*H549</x:f>
        <x:v>0.30000000000000004</x:v>
      </x:c>
      <x:c r="AA549" s="15" t="n">
        <x:f>'기준스탯 72종'!E29*H549</x:f>
        <x:v>0.6000000000000001</x:v>
      </x:c>
      <x:c r="AB549" s="15" t="n">
        <x:f>'기준스탯 72종'!F29*H549</x:f>
        <x:v>0.6000000000000001</x:v>
      </x:c>
      <x:c r="AC549" s="15" t="n">
        <x:f>'기준스탯 72종'!G29*H549</x:f>
        <x:v>0.3600000000000001</x:v>
      </x:c>
      <x:c r="AD549" s="15" t="n">
        <x:f>'기준스탯 72종'!H29*H549</x:f>
        <x:v>0.06000000000000001</x:v>
      </x:c>
      <x:c r="AE549" s="15" t="n">
        <x:f>'기준스탯 72종'!I29*H549</x:f>
        <x:v>0.24000000000000005</x:v>
      </x:c>
      <x:c r="AF549" s="15" t="n">
        <x:f>'기준스탯 72종'!J29*H549</x:f>
        <x:v>0.24000000000000005</x:v>
      </x:c>
      <x:c r="AG549" s="15" t="n">
        <x:f>'기준스탯 72종'!K29*H549</x:f>
        <x:v>0.4200000000000001</x:v>
      </x:c>
    </x:row>
    <x:row r="550" ht="28" customHeight="1">
      <x:c r="A550" s="2" t="n">
        <x:v>543</x:v>
      </x:c>
      <x:c r="B550" s="2" t="n">
        <x:v>22</x:v>
      </x:c>
      <x:c r="C550" s="2" t="str">
        <x:v>게자리</x:v>
      </x:c>
      <x:c r="D550" s="2" t="str">
        <x:v>정령사</x:v>
      </x:c>
      <x:c r="E550" s="2" t="n">
        <x:v>3</x:v>
      </x:c>
      <x:c r="F550" s="2" t="n">
        <x:v>4</x:v>
      </x:c>
      <x:c r="G550" s="14" t="n">
        <x:f>('레벨 계산식'!$E$4-E550)*'레벨 계산식'!$B$5</x:f>
        <x:v>0.27999999999999997</x:v>
      </x:c>
      <x:c r="H550" s="14" t="n">
        <x:f>('등급 계산식'!$E$4-F550)*'등급 계산식'!$B$5</x:f>
        <x:v>0.06000000000000001</x:v>
      </x:c>
      <x:c r="I550" s="14" t="n">
        <x:f>1-G550-H550</x:f>
        <x:v>0.6599999999999999</x:v>
      </x:c>
      <x:c r="J550" s="2" t="n">
        <x:f>MAX(1,ROUND('기준스탯 72종'!D29-R550-Z550,0))</x:f>
        <x:v>3</x:v>
      </x:c>
      <x:c r="K550" s="2" t="n">
        <x:f>MAX(1,ROUND('기준스탯 72종'!E29-S550-AA550,0))</x:f>
        <x:v>7</x:v>
      </x:c>
      <x:c r="L550" s="2" t="n">
        <x:f>MAX(1,ROUND('기준스탯 72종'!F29-T550-AB550,0))</x:f>
        <x:v>7</x:v>
      </x:c>
      <x:c r="M550" s="2" t="n">
        <x:f>MAX(1,ROUND('기준스탯 72종'!G29-U550-AC550,0))</x:f>
        <x:v>4</x:v>
      </x:c>
      <x:c r="N550" s="2" t="n">
        <x:f>MAX(0,ROUND('기준스탯 72종'!H29-V550-AD550,0))</x:f>
        <x:v>1</x:v>
      </x:c>
      <x:c r="O550" s="2" t="n">
        <x:f>MAX(0,ROUND('기준스탯 72종'!I29-W550-AE550,0))</x:f>
        <x:v>3</x:v>
      </x:c>
      <x:c r="P550" s="2" t="n">
        <x:f>MAX(0,ROUND('기준스탯 72종'!J29-X550-AF550,0))</x:f>
        <x:v>3</x:v>
      </x:c>
      <x:c r="Q550" s="2" t="n">
        <x:f>MAX(0,ROUND('기준스탯 72종'!K29-Y550-AG550,0))</x:f>
        <x:v>5</x:v>
      </x:c>
      <x:c r="R550" s="15" t="n">
        <x:f>'기준스탯 72종'!D29*G550</x:f>
        <x:v>1.4</x:v>
      </x:c>
      <x:c r="S550" s="15" t="n">
        <x:f>'기준스탯 72종'!E29*G550</x:f>
        <x:v>2.8</x:v>
      </x:c>
      <x:c r="T550" s="15" t="n">
        <x:f>'기준스탯 72종'!F29*G550</x:f>
        <x:v>2.8</x:v>
      </x:c>
      <x:c r="U550" s="15" t="n">
        <x:f>'기준스탯 72종'!G29*G550</x:f>
        <x:v>1.6799999999999997</x:v>
      </x:c>
      <x:c r="V550" s="15" t="n">
        <x:f>'기준스탯 72종'!H29*G550</x:f>
        <x:v>0.27999999999999997</x:v>
      </x:c>
      <x:c r="W550" s="15" t="n">
        <x:f>'기준스탯 72종'!I29*G550</x:f>
        <x:v>1.1199999999999999</x:v>
      </x:c>
      <x:c r="X550" s="15" t="n">
        <x:f>'기준스탯 72종'!J29*G550</x:f>
        <x:v>1.1199999999999999</x:v>
      </x:c>
      <x:c r="Y550" s="15" t="n">
        <x:f>'기준스탯 72종'!K29*G550</x:f>
        <x:v>1.9599999999999997</x:v>
      </x:c>
      <x:c r="Z550" s="15" t="n">
        <x:f>'기준스탯 72종'!D29*H550</x:f>
        <x:v>0.30000000000000004</x:v>
      </x:c>
      <x:c r="AA550" s="15" t="n">
        <x:f>'기준스탯 72종'!E29*H550</x:f>
        <x:v>0.6000000000000001</x:v>
      </x:c>
      <x:c r="AB550" s="15" t="n">
        <x:f>'기준스탯 72종'!F29*H550</x:f>
        <x:v>0.6000000000000001</x:v>
      </x:c>
      <x:c r="AC550" s="15" t="n">
        <x:f>'기준스탯 72종'!G29*H550</x:f>
        <x:v>0.3600000000000001</x:v>
      </x:c>
      <x:c r="AD550" s="15" t="n">
        <x:f>'기준스탯 72종'!H29*H550</x:f>
        <x:v>0.06000000000000001</x:v>
      </x:c>
      <x:c r="AE550" s="15" t="n">
        <x:f>'기준스탯 72종'!I29*H550</x:f>
        <x:v>0.24000000000000005</x:v>
      </x:c>
      <x:c r="AF550" s="15" t="n">
        <x:f>'기준스탯 72종'!J29*H550</x:f>
        <x:v>0.24000000000000005</x:v>
      </x:c>
      <x:c r="AG550" s="15" t="n">
        <x:f>'기준스탯 72종'!K29*H550</x:f>
        <x:v>0.4200000000000001</x:v>
      </x:c>
    </x:row>
    <x:row r="551" ht="28" customHeight="1">
      <x:c r="A551" s="2" t="n">
        <x:v>544</x:v>
      </x:c>
      <x:c r="B551" s="2" t="n">
        <x:v>22</x:v>
      </x:c>
      <x:c r="C551" s="2" t="str">
        <x:v>게자리</x:v>
      </x:c>
      <x:c r="D551" s="2" t="str">
        <x:v>정령사</x:v>
      </x:c>
      <x:c r="E551" s="2" t="n">
        <x:v>4</x:v>
      </x:c>
      <x:c r="F551" s="2" t="n">
        <x:v>4</x:v>
      </x:c>
      <x:c r="G551" s="14" t="n">
        <x:f>('레벨 계산식'!$E$4-E551)*'레벨 계산식'!$B$5</x:f>
        <x:v>0.13999999999999999</x:v>
      </x:c>
      <x:c r="H551" s="14" t="n">
        <x:f>('등급 계산식'!$E$4-F551)*'등급 계산식'!$B$5</x:f>
        <x:v>0.06000000000000001</x:v>
      </x:c>
      <x:c r="I551" s="14" t="n">
        <x:f>1-G551-H551</x:f>
        <x:v>0.7999999999999999</x:v>
      </x:c>
      <x:c r="J551" s="2" t="n">
        <x:f>MAX(1,ROUND('기준스탯 72종'!D29-R551-Z551,0))</x:f>
        <x:v>4</x:v>
      </x:c>
      <x:c r="K551" s="2" t="n">
        <x:f>MAX(1,ROUND('기준스탯 72종'!E29-S551-AA551,0))</x:f>
        <x:v>8</x:v>
      </x:c>
      <x:c r="L551" s="2" t="n">
        <x:f>MAX(1,ROUND('기준스탯 72종'!F29-T551-AB551,0))</x:f>
        <x:v>8</x:v>
      </x:c>
      <x:c r="M551" s="2" t="n">
        <x:f>MAX(1,ROUND('기준스탯 72종'!G29-U551-AC551,0))</x:f>
        <x:v>5</x:v>
      </x:c>
      <x:c r="N551" s="2" t="n">
        <x:f>MAX(0,ROUND('기준스탯 72종'!H29-V551-AD551,0))</x:f>
        <x:v>1</x:v>
      </x:c>
      <x:c r="O551" s="2" t="n">
        <x:f>MAX(0,ROUND('기준스탯 72종'!I29-W551-AE551,0))</x:f>
        <x:v>3</x:v>
      </x:c>
      <x:c r="P551" s="2" t="n">
        <x:f>MAX(0,ROUND('기준스탯 72종'!J29-X551-AF551,0))</x:f>
        <x:v>3</x:v>
      </x:c>
      <x:c r="Q551" s="2" t="n">
        <x:f>MAX(0,ROUND('기준스탯 72종'!K29-Y551-AG551,0))</x:f>
        <x:v>6</x:v>
      </x:c>
      <x:c r="R551" s="15" t="n">
        <x:f>'기준스탯 72종'!D29*G551</x:f>
        <x:v>0.7</x:v>
      </x:c>
      <x:c r="S551" s="15" t="n">
        <x:f>'기준스탯 72종'!E29*G551</x:f>
        <x:v>1.4</x:v>
      </x:c>
      <x:c r="T551" s="15" t="n">
        <x:f>'기준스탯 72종'!F29*G551</x:f>
        <x:v>1.4</x:v>
      </x:c>
      <x:c r="U551" s="15" t="n">
        <x:f>'기준스탯 72종'!G29*G551</x:f>
        <x:v>0.8399999999999999</x:v>
      </x:c>
      <x:c r="V551" s="15" t="n">
        <x:f>'기준스탯 72종'!H29*G551</x:f>
        <x:v>0.13999999999999999</x:v>
      </x:c>
      <x:c r="W551" s="15" t="n">
        <x:f>'기준스탯 72종'!I29*G551</x:f>
        <x:v>0.5599999999999999</x:v>
      </x:c>
      <x:c r="X551" s="15" t="n">
        <x:f>'기준스탯 72종'!J29*G551</x:f>
        <x:v>0.5599999999999999</x:v>
      </x:c>
      <x:c r="Y551" s="15" t="n">
        <x:f>'기준스탯 72종'!K29*G551</x:f>
        <x:v>0.9799999999999999</x:v>
      </x:c>
      <x:c r="Z551" s="15" t="n">
        <x:f>'기준스탯 72종'!D29*H551</x:f>
        <x:v>0.30000000000000004</x:v>
      </x:c>
      <x:c r="AA551" s="15" t="n">
        <x:f>'기준스탯 72종'!E29*H551</x:f>
        <x:v>0.6000000000000001</x:v>
      </x:c>
      <x:c r="AB551" s="15" t="n">
        <x:f>'기준스탯 72종'!F29*H551</x:f>
        <x:v>0.6000000000000001</x:v>
      </x:c>
      <x:c r="AC551" s="15" t="n">
        <x:f>'기준스탯 72종'!G29*H551</x:f>
        <x:v>0.3600000000000001</x:v>
      </x:c>
      <x:c r="AD551" s="15" t="n">
        <x:f>'기준스탯 72종'!H29*H551</x:f>
        <x:v>0.06000000000000001</x:v>
      </x:c>
      <x:c r="AE551" s="15" t="n">
        <x:f>'기준스탯 72종'!I29*H551</x:f>
        <x:v>0.24000000000000005</x:v>
      </x:c>
      <x:c r="AF551" s="15" t="n">
        <x:f>'기준스탯 72종'!J29*H551</x:f>
        <x:v>0.24000000000000005</x:v>
      </x:c>
      <x:c r="AG551" s="15" t="n">
        <x:f>'기준스탯 72종'!K29*H551</x:f>
        <x:v>0.4200000000000001</x:v>
      </x:c>
    </x:row>
    <x:row r="552" ht="28" customHeight="1">
      <x:c r="A552" s="2" t="n">
        <x:v>545</x:v>
      </x:c>
      <x:c r="B552" s="2" t="n">
        <x:v>22</x:v>
      </x:c>
      <x:c r="C552" s="2" t="str">
        <x:v>게자리</x:v>
      </x:c>
      <x:c r="D552" s="2" t="str">
        <x:v>정령사</x:v>
      </x:c>
      <x:c r="E552" s="2" t="n">
        <x:v>5</x:v>
      </x:c>
      <x:c r="F552" s="2" t="n">
        <x:v>4</x:v>
      </x:c>
      <x:c r="G552" s="14" t="n">
        <x:f>('레벨 계산식'!$E$4-E552)*'레벨 계산식'!$B$5</x:f>
        <x:v>0</x:v>
      </x:c>
      <x:c r="H552" s="14" t="n">
        <x:f>('등급 계산식'!$E$4-F552)*'등급 계산식'!$B$5</x:f>
        <x:v>0.06000000000000001</x:v>
      </x:c>
      <x:c r="I552" s="14" t="n">
        <x:f>1-G552-H552</x:f>
        <x:v>0.94</x:v>
      </x:c>
      <x:c r="J552" s="2" t="n">
        <x:f>MAX(1,ROUND('기준스탯 72종'!D29-R552-Z552,0))</x:f>
        <x:v>5</x:v>
      </x:c>
      <x:c r="K552" s="2" t="n">
        <x:f>MAX(1,ROUND('기준스탯 72종'!E29-S552-AA552,0))</x:f>
        <x:v>9</x:v>
      </x:c>
      <x:c r="L552" s="2" t="n">
        <x:f>MAX(1,ROUND('기준스탯 72종'!F29-T552-AB552,0))</x:f>
        <x:v>9</x:v>
      </x:c>
      <x:c r="M552" s="2" t="n">
        <x:f>MAX(1,ROUND('기준스탯 72종'!G29-U552-AC552,0))</x:f>
        <x:v>6</x:v>
      </x:c>
      <x:c r="N552" s="2" t="n">
        <x:f>MAX(0,ROUND('기준스탯 72종'!H29-V552-AD552,0))</x:f>
        <x:v>1</x:v>
      </x:c>
      <x:c r="O552" s="2" t="n">
        <x:f>MAX(0,ROUND('기준스탯 72종'!I29-W552-AE552,0))</x:f>
        <x:v>4</x:v>
      </x:c>
      <x:c r="P552" s="2" t="n">
        <x:f>MAX(0,ROUND('기준스탯 72종'!J29-X552-AF552,0))</x:f>
        <x:v>4</x:v>
      </x:c>
      <x:c r="Q552" s="2" t="n">
        <x:f>MAX(0,ROUND('기준스탯 72종'!K29-Y552-AG552,0))</x:f>
        <x:v>7</x:v>
      </x:c>
      <x:c r="R552" s="15" t="n">
        <x:f>'기준스탯 72종'!D29*G552</x:f>
        <x:v>0</x:v>
      </x:c>
      <x:c r="S552" s="15" t="n">
        <x:f>'기준스탯 72종'!E29*G552</x:f>
        <x:v>0</x:v>
      </x:c>
      <x:c r="T552" s="15" t="n">
        <x:f>'기준스탯 72종'!F29*G552</x:f>
        <x:v>0</x:v>
      </x:c>
      <x:c r="U552" s="15" t="n">
        <x:f>'기준스탯 72종'!G29*G552</x:f>
        <x:v>0</x:v>
      </x:c>
      <x:c r="V552" s="15" t="n">
        <x:f>'기준스탯 72종'!H29*G552</x:f>
        <x:v>0</x:v>
      </x:c>
      <x:c r="W552" s="15" t="n">
        <x:f>'기준스탯 72종'!I29*G552</x:f>
        <x:v>0</x:v>
      </x:c>
      <x:c r="X552" s="15" t="n">
        <x:f>'기준스탯 72종'!J29*G552</x:f>
        <x:v>0</x:v>
      </x:c>
      <x:c r="Y552" s="15" t="n">
        <x:f>'기준스탯 72종'!K29*G552</x:f>
        <x:v>0</x:v>
      </x:c>
      <x:c r="Z552" s="15" t="n">
        <x:f>'기준스탯 72종'!D29*H552</x:f>
        <x:v>0.30000000000000004</x:v>
      </x:c>
      <x:c r="AA552" s="15" t="n">
        <x:f>'기준스탯 72종'!E29*H552</x:f>
        <x:v>0.6000000000000001</x:v>
      </x:c>
      <x:c r="AB552" s="15" t="n">
        <x:f>'기준스탯 72종'!F29*H552</x:f>
        <x:v>0.6000000000000001</x:v>
      </x:c>
      <x:c r="AC552" s="15" t="n">
        <x:f>'기준스탯 72종'!G29*H552</x:f>
        <x:v>0.3600000000000001</x:v>
      </x:c>
      <x:c r="AD552" s="15" t="n">
        <x:f>'기준스탯 72종'!H29*H552</x:f>
        <x:v>0.06000000000000001</x:v>
      </x:c>
      <x:c r="AE552" s="15" t="n">
        <x:f>'기준스탯 72종'!I29*H552</x:f>
        <x:v>0.24000000000000005</x:v>
      </x:c>
      <x:c r="AF552" s="15" t="n">
        <x:f>'기준스탯 72종'!J29*H552</x:f>
        <x:v>0.24000000000000005</x:v>
      </x:c>
      <x:c r="AG552" s="15" t="n">
        <x:f>'기준스탯 72종'!K29*H552</x:f>
        <x:v>0.4200000000000001</x:v>
      </x:c>
    </x:row>
    <x:row r="553" ht="28" customHeight="1">
      <x:c r="A553" s="2" t="n">
        <x:v>546</x:v>
      </x:c>
      <x:c r="B553" s="2" t="n">
        <x:v>22</x:v>
      </x:c>
      <x:c r="C553" s="2" t="str">
        <x:v>게자리</x:v>
      </x:c>
      <x:c r="D553" s="2" t="str">
        <x:v>정령사</x:v>
      </x:c>
      <x:c r="E553" s="2" t="n">
        <x:v>1</x:v>
      </x:c>
      <x:c r="F553" s="2" t="n">
        <x:v>5</x:v>
      </x:c>
      <x:c r="G553" s="14" t="n">
        <x:f>('레벨 계산식'!$E$4-E553)*'레벨 계산식'!$B$5</x:f>
        <x:v>0.5599999999999999</x:v>
      </x:c>
      <x:c r="H553" s="14" t="n">
        <x:f>('등급 계산식'!$E$4-F553)*'등급 계산식'!$B$5</x:f>
        <x:v>0</x:v>
      </x:c>
      <x:c r="I553" s="14" t="n">
        <x:f>1-G553-H553</x:f>
        <x:v>0.44000000000000006</x:v>
      </x:c>
      <x:c r="J553" s="2" t="n">
        <x:f>MAX(1,ROUND('기준스탯 72종'!D29-R553-Z553,0))</x:f>
        <x:v>2</x:v>
      </x:c>
      <x:c r="K553" s="2" t="n">
        <x:f>MAX(1,ROUND('기준스탯 72종'!E29-S553-AA553,0))</x:f>
        <x:v>4</x:v>
      </x:c>
      <x:c r="L553" s="2" t="n">
        <x:f>MAX(1,ROUND('기준스탯 72종'!F29-T553-AB553,0))</x:f>
        <x:v>4</x:v>
      </x:c>
      <x:c r="M553" s="2" t="n">
        <x:f>MAX(1,ROUND('기준스탯 72종'!G29-U553-AC553,0))</x:f>
        <x:v>3</x:v>
      </x:c>
      <x:c r="N553" s="2" t="n">
        <x:f>MAX(0,ROUND('기준스탯 72종'!H29-V553-AD553,0))</x:f>
        <x:v>0</x:v>
      </x:c>
      <x:c r="O553" s="2" t="n">
        <x:f>MAX(0,ROUND('기준스탯 72종'!I29-W553-AE553,0))</x:f>
        <x:v>2</x:v>
      </x:c>
      <x:c r="P553" s="2" t="n">
        <x:f>MAX(0,ROUND('기준스탯 72종'!J29-X553-AF553,0))</x:f>
        <x:v>2</x:v>
      </x:c>
      <x:c r="Q553" s="2" t="n">
        <x:f>MAX(0,ROUND('기준스탯 72종'!K29-Y553-AG553,0))</x:f>
        <x:v>3</x:v>
      </x:c>
      <x:c r="R553" s="15" t="n">
        <x:f>'기준스탯 72종'!D29*G553</x:f>
        <x:v>2.8</x:v>
      </x:c>
      <x:c r="S553" s="15" t="n">
        <x:f>'기준스탯 72종'!E29*G553</x:f>
        <x:v>5.6</x:v>
      </x:c>
      <x:c r="T553" s="15" t="n">
        <x:f>'기준스탯 72종'!F29*G553</x:f>
        <x:v>5.6</x:v>
      </x:c>
      <x:c r="U553" s="15" t="n">
        <x:f>'기준스탯 72종'!G29*G553</x:f>
        <x:v>3.3599999999999994</x:v>
      </x:c>
      <x:c r="V553" s="15" t="n">
        <x:f>'기준스탯 72종'!H29*G553</x:f>
        <x:v>0.5599999999999999</x:v>
      </x:c>
      <x:c r="W553" s="15" t="n">
        <x:f>'기준스탯 72종'!I29*G553</x:f>
        <x:v>2.2399999999999998</x:v>
      </x:c>
      <x:c r="X553" s="15" t="n">
        <x:f>'기준스탯 72종'!J29*G553</x:f>
        <x:v>2.2399999999999998</x:v>
      </x:c>
      <x:c r="Y553" s="15" t="n">
        <x:f>'기준스탯 72종'!K29*G553</x:f>
        <x:v>3.9199999999999995</x:v>
      </x:c>
      <x:c r="Z553" s="15" t="n">
        <x:f>'기준스탯 72종'!D29*H553</x:f>
        <x:v>0</x:v>
      </x:c>
      <x:c r="AA553" s="15" t="n">
        <x:f>'기준스탯 72종'!E29*H553</x:f>
        <x:v>0</x:v>
      </x:c>
      <x:c r="AB553" s="15" t="n">
        <x:f>'기준스탯 72종'!F29*H553</x:f>
        <x:v>0</x:v>
      </x:c>
      <x:c r="AC553" s="15" t="n">
        <x:f>'기준스탯 72종'!G29*H553</x:f>
        <x:v>0</x:v>
      </x:c>
      <x:c r="AD553" s="15" t="n">
        <x:f>'기준스탯 72종'!H29*H553</x:f>
        <x:v>0</x:v>
      </x:c>
      <x:c r="AE553" s="15" t="n">
        <x:f>'기준스탯 72종'!I29*H553</x:f>
        <x:v>0</x:v>
      </x:c>
      <x:c r="AF553" s="15" t="n">
        <x:f>'기준스탯 72종'!J29*H553</x:f>
        <x:v>0</x:v>
      </x:c>
      <x:c r="AG553" s="15" t="n">
        <x:f>'기준스탯 72종'!K29*H553</x:f>
        <x:v>0</x:v>
      </x:c>
    </x:row>
    <x:row r="554" ht="28" customHeight="1">
      <x:c r="A554" s="2" t="n">
        <x:v>547</x:v>
      </x:c>
      <x:c r="B554" s="2" t="n">
        <x:v>22</x:v>
      </x:c>
      <x:c r="C554" s="2" t="str">
        <x:v>게자리</x:v>
      </x:c>
      <x:c r="D554" s="2" t="str">
        <x:v>정령사</x:v>
      </x:c>
      <x:c r="E554" s="2" t="n">
        <x:v>2</x:v>
      </x:c>
      <x:c r="F554" s="2" t="n">
        <x:v>5</x:v>
      </x:c>
      <x:c r="G554" s="14" t="n">
        <x:f>('레벨 계산식'!$E$4-E554)*'레벨 계산식'!$B$5</x:f>
        <x:v>0.41999999999999993</x:v>
      </x:c>
      <x:c r="H554" s="14" t="n">
        <x:f>('등급 계산식'!$E$4-F554)*'등급 계산식'!$B$5</x:f>
        <x:v>0</x:v>
      </x:c>
      <x:c r="I554" s="14" t="n">
        <x:f>1-G554-H554</x:f>
        <x:v>0.5800000000000001</x:v>
      </x:c>
      <x:c r="J554" s="2" t="n">
        <x:f>MAX(1,ROUND('기준스탯 72종'!D29-R554-Z554,0))</x:f>
        <x:v>3</x:v>
      </x:c>
      <x:c r="K554" s="2" t="n">
        <x:f>MAX(1,ROUND('기준스탯 72종'!E29-S554-AA554,0))</x:f>
        <x:v>6</x:v>
      </x:c>
      <x:c r="L554" s="2" t="n">
        <x:f>MAX(1,ROUND('기준스탯 72종'!F29-T554-AB554,0))</x:f>
        <x:v>6</x:v>
      </x:c>
      <x:c r="M554" s="2" t="n">
        <x:f>MAX(1,ROUND('기준스탯 72종'!G29-U554-AC554,0))</x:f>
        <x:v>3</x:v>
      </x:c>
      <x:c r="N554" s="2" t="n">
        <x:f>MAX(0,ROUND('기준스탯 72종'!H29-V554-AD554,0))</x:f>
        <x:v>1</x:v>
      </x:c>
      <x:c r="O554" s="2" t="n">
        <x:f>MAX(0,ROUND('기준스탯 72종'!I29-W554-AE554,0))</x:f>
        <x:v>2</x:v>
      </x:c>
      <x:c r="P554" s="2" t="n">
        <x:f>MAX(0,ROUND('기준스탯 72종'!J29-X554-AF554,0))</x:f>
        <x:v>2</x:v>
      </x:c>
      <x:c r="Q554" s="2" t="n">
        <x:f>MAX(0,ROUND('기준스탯 72종'!K29-Y554-AG554,0))</x:f>
        <x:v>4</x:v>
      </x:c>
      <x:c r="R554" s="15" t="n">
        <x:f>'기준스탯 72종'!D29*G554</x:f>
        <x:v>2.0999999999999996</x:v>
      </x:c>
      <x:c r="S554" s="15" t="n">
        <x:f>'기준스탯 72종'!E29*G554</x:f>
        <x:v>4.199999999999999</x:v>
      </x:c>
      <x:c r="T554" s="15" t="n">
        <x:f>'기준스탯 72종'!F29*G554</x:f>
        <x:v>4.199999999999999</x:v>
      </x:c>
      <x:c r="U554" s="15" t="n">
        <x:f>'기준스탯 72종'!G29*G554</x:f>
        <x:v>2.5199999999999996</x:v>
      </x:c>
      <x:c r="V554" s="15" t="n">
        <x:f>'기준스탯 72종'!H29*G554</x:f>
        <x:v>0.41999999999999993</x:v>
      </x:c>
      <x:c r="W554" s="15" t="n">
        <x:f>'기준스탯 72종'!I29*G554</x:f>
        <x:v>1.6799999999999997</x:v>
      </x:c>
      <x:c r="X554" s="15" t="n">
        <x:f>'기준스탯 72종'!J29*G554</x:f>
        <x:v>1.6799999999999997</x:v>
      </x:c>
      <x:c r="Y554" s="15" t="n">
        <x:f>'기준스탯 72종'!K29*G554</x:f>
        <x:v>2.9399999999999995</x:v>
      </x:c>
      <x:c r="Z554" s="15" t="n">
        <x:f>'기준스탯 72종'!D29*H554</x:f>
        <x:v>0</x:v>
      </x:c>
      <x:c r="AA554" s="15" t="n">
        <x:f>'기준스탯 72종'!E29*H554</x:f>
        <x:v>0</x:v>
      </x:c>
      <x:c r="AB554" s="15" t="n">
        <x:f>'기준스탯 72종'!F29*H554</x:f>
        <x:v>0</x:v>
      </x:c>
      <x:c r="AC554" s="15" t="n">
        <x:f>'기준스탯 72종'!G29*H554</x:f>
        <x:v>0</x:v>
      </x:c>
      <x:c r="AD554" s="15" t="n">
        <x:f>'기준스탯 72종'!H29*H554</x:f>
        <x:v>0</x:v>
      </x:c>
      <x:c r="AE554" s="15" t="n">
        <x:f>'기준스탯 72종'!I29*H554</x:f>
        <x:v>0</x:v>
      </x:c>
      <x:c r="AF554" s="15" t="n">
        <x:f>'기준스탯 72종'!J29*H554</x:f>
        <x:v>0</x:v>
      </x:c>
      <x:c r="AG554" s="15" t="n">
        <x:f>'기준스탯 72종'!K29*H554</x:f>
        <x:v>0</x:v>
      </x:c>
    </x:row>
    <x:row r="555" ht="28" customHeight="1">
      <x:c r="A555" s="2" t="n">
        <x:v>548</x:v>
      </x:c>
      <x:c r="B555" s="2" t="n">
        <x:v>22</x:v>
      </x:c>
      <x:c r="C555" s="2" t="str">
        <x:v>게자리</x:v>
      </x:c>
      <x:c r="D555" s="2" t="str">
        <x:v>정령사</x:v>
      </x:c>
      <x:c r="E555" s="2" t="n">
        <x:v>3</x:v>
      </x:c>
      <x:c r="F555" s="2" t="n">
        <x:v>5</x:v>
      </x:c>
      <x:c r="G555" s="14" t="n">
        <x:f>('레벨 계산식'!$E$4-E555)*'레벨 계산식'!$B$5</x:f>
        <x:v>0.27999999999999997</x:v>
      </x:c>
      <x:c r="H555" s="14" t="n">
        <x:f>('등급 계산식'!$E$4-F555)*'등급 계산식'!$B$5</x:f>
        <x:v>0</x:v>
      </x:c>
      <x:c r="I555" s="14" t="n">
        <x:f>1-G555-H555</x:f>
        <x:v>0.72</x:v>
      </x:c>
      <x:c r="J555" s="2" t="n">
        <x:f>MAX(1,ROUND('기준스탯 72종'!D29-R555-Z555,0))</x:f>
        <x:v>4</x:v>
      </x:c>
      <x:c r="K555" s="2" t="n">
        <x:f>MAX(1,ROUND('기준스탯 72종'!E29-S555-AA555,0))</x:f>
        <x:v>7</x:v>
      </x:c>
      <x:c r="L555" s="2" t="n">
        <x:f>MAX(1,ROUND('기준스탯 72종'!F29-T555-AB555,0))</x:f>
        <x:v>7</x:v>
      </x:c>
      <x:c r="M555" s="2" t="n">
        <x:f>MAX(1,ROUND('기준스탯 72종'!G29-U555-AC555,0))</x:f>
        <x:v>4</x:v>
      </x:c>
      <x:c r="N555" s="2" t="n">
        <x:f>MAX(0,ROUND('기준스탯 72종'!H29-V555-AD555,0))</x:f>
        <x:v>1</x:v>
      </x:c>
      <x:c r="O555" s="2" t="n">
        <x:f>MAX(0,ROUND('기준스탯 72종'!I29-W555-AE555,0))</x:f>
        <x:v>3</x:v>
      </x:c>
      <x:c r="P555" s="2" t="n">
        <x:f>MAX(0,ROUND('기준스탯 72종'!J29-X555-AF555,0))</x:f>
        <x:v>3</x:v>
      </x:c>
      <x:c r="Q555" s="2" t="n">
        <x:f>MAX(0,ROUND('기준스탯 72종'!K29-Y555-AG555,0))</x:f>
        <x:v>5</x:v>
      </x:c>
      <x:c r="R555" s="15" t="n">
        <x:f>'기준스탯 72종'!D29*G555</x:f>
        <x:v>1.4</x:v>
      </x:c>
      <x:c r="S555" s="15" t="n">
        <x:f>'기준스탯 72종'!E29*G555</x:f>
        <x:v>2.8</x:v>
      </x:c>
      <x:c r="T555" s="15" t="n">
        <x:f>'기준스탯 72종'!F29*G555</x:f>
        <x:v>2.8</x:v>
      </x:c>
      <x:c r="U555" s="15" t="n">
        <x:f>'기준스탯 72종'!G29*G555</x:f>
        <x:v>1.6799999999999997</x:v>
      </x:c>
      <x:c r="V555" s="15" t="n">
        <x:f>'기준스탯 72종'!H29*G555</x:f>
        <x:v>0.27999999999999997</x:v>
      </x:c>
      <x:c r="W555" s="15" t="n">
        <x:f>'기준스탯 72종'!I29*G555</x:f>
        <x:v>1.1199999999999999</x:v>
      </x:c>
      <x:c r="X555" s="15" t="n">
        <x:f>'기준스탯 72종'!J29*G555</x:f>
        <x:v>1.1199999999999999</x:v>
      </x:c>
      <x:c r="Y555" s="15" t="n">
        <x:f>'기준스탯 72종'!K29*G555</x:f>
        <x:v>1.9599999999999997</x:v>
      </x:c>
      <x:c r="Z555" s="15" t="n">
        <x:f>'기준스탯 72종'!D29*H555</x:f>
        <x:v>0</x:v>
      </x:c>
      <x:c r="AA555" s="15" t="n">
        <x:f>'기준스탯 72종'!E29*H555</x:f>
        <x:v>0</x:v>
      </x:c>
      <x:c r="AB555" s="15" t="n">
        <x:f>'기준스탯 72종'!F29*H555</x:f>
        <x:v>0</x:v>
      </x:c>
      <x:c r="AC555" s="15" t="n">
        <x:f>'기준스탯 72종'!G29*H555</x:f>
        <x:v>0</x:v>
      </x:c>
      <x:c r="AD555" s="15" t="n">
        <x:f>'기준스탯 72종'!H29*H555</x:f>
        <x:v>0</x:v>
      </x:c>
      <x:c r="AE555" s="15" t="n">
        <x:f>'기준스탯 72종'!I29*H555</x:f>
        <x:v>0</x:v>
      </x:c>
      <x:c r="AF555" s="15" t="n">
        <x:f>'기준스탯 72종'!J29*H555</x:f>
        <x:v>0</x:v>
      </x:c>
      <x:c r="AG555" s="15" t="n">
        <x:f>'기준스탯 72종'!K29*H555</x:f>
        <x:v>0</x:v>
      </x:c>
    </x:row>
    <x:row r="556" ht="28" customHeight="1">
      <x:c r="A556" s="2" t="n">
        <x:v>549</x:v>
      </x:c>
      <x:c r="B556" s="2" t="n">
        <x:v>22</x:v>
      </x:c>
      <x:c r="C556" s="2" t="str">
        <x:v>게자리</x:v>
      </x:c>
      <x:c r="D556" s="2" t="str">
        <x:v>정령사</x:v>
      </x:c>
      <x:c r="E556" s="2" t="n">
        <x:v>4</x:v>
      </x:c>
      <x:c r="F556" s="2" t="n">
        <x:v>5</x:v>
      </x:c>
      <x:c r="G556" s="14" t="n">
        <x:f>('레벨 계산식'!$E$4-E556)*'레벨 계산식'!$B$5</x:f>
        <x:v>0.13999999999999999</x:v>
      </x:c>
      <x:c r="H556" s="14" t="n">
        <x:f>('등급 계산식'!$E$4-F556)*'등급 계산식'!$B$5</x:f>
        <x:v>0</x:v>
      </x:c>
      <x:c r="I556" s="14" t="n">
        <x:f>1-G556-H556</x:f>
        <x:v>0.86</x:v>
      </x:c>
      <x:c r="J556" s="2" t="n">
        <x:f>MAX(1,ROUND('기준스탯 72종'!D29-R556-Z556,0))</x:f>
        <x:v>4</x:v>
      </x:c>
      <x:c r="K556" s="2" t="n">
        <x:f>MAX(1,ROUND('기준스탯 72종'!E29-S556-AA556,0))</x:f>
        <x:v>9</x:v>
      </x:c>
      <x:c r="L556" s="2" t="n">
        <x:f>MAX(1,ROUND('기준스탯 72종'!F29-T556-AB556,0))</x:f>
        <x:v>9</x:v>
      </x:c>
      <x:c r="M556" s="2" t="n">
        <x:f>MAX(1,ROUND('기준스탯 72종'!G29-U556-AC556,0))</x:f>
        <x:v>5</x:v>
      </x:c>
      <x:c r="N556" s="2" t="n">
        <x:f>MAX(0,ROUND('기준스탯 72종'!H29-V556-AD556,0))</x:f>
        <x:v>1</x:v>
      </x:c>
      <x:c r="O556" s="2" t="n">
        <x:f>MAX(0,ROUND('기준스탯 72종'!I29-W556-AE556,0))</x:f>
        <x:v>3</x:v>
      </x:c>
      <x:c r="P556" s="2" t="n">
        <x:f>MAX(0,ROUND('기준스탯 72종'!J29-X556-AF556,0))</x:f>
        <x:v>3</x:v>
      </x:c>
      <x:c r="Q556" s="2" t="n">
        <x:f>MAX(0,ROUND('기준스탯 72종'!K29-Y556-AG556,0))</x:f>
        <x:v>6</x:v>
      </x:c>
      <x:c r="R556" s="15" t="n">
        <x:f>'기준스탯 72종'!D29*G556</x:f>
        <x:v>0.7</x:v>
      </x:c>
      <x:c r="S556" s="15" t="n">
        <x:f>'기준스탯 72종'!E29*G556</x:f>
        <x:v>1.4</x:v>
      </x:c>
      <x:c r="T556" s="15" t="n">
        <x:f>'기준스탯 72종'!F29*G556</x:f>
        <x:v>1.4</x:v>
      </x:c>
      <x:c r="U556" s="15" t="n">
        <x:f>'기준스탯 72종'!G29*G556</x:f>
        <x:v>0.8399999999999999</x:v>
      </x:c>
      <x:c r="V556" s="15" t="n">
        <x:f>'기준스탯 72종'!H29*G556</x:f>
        <x:v>0.13999999999999999</x:v>
      </x:c>
      <x:c r="W556" s="15" t="n">
        <x:f>'기준스탯 72종'!I29*G556</x:f>
        <x:v>0.5599999999999999</x:v>
      </x:c>
      <x:c r="X556" s="15" t="n">
        <x:f>'기준스탯 72종'!J29*G556</x:f>
        <x:v>0.5599999999999999</x:v>
      </x:c>
      <x:c r="Y556" s="15" t="n">
        <x:f>'기준스탯 72종'!K29*G556</x:f>
        <x:v>0.9799999999999999</x:v>
      </x:c>
      <x:c r="Z556" s="15" t="n">
        <x:f>'기준스탯 72종'!D29*H556</x:f>
        <x:v>0</x:v>
      </x:c>
      <x:c r="AA556" s="15" t="n">
        <x:f>'기준스탯 72종'!E29*H556</x:f>
        <x:v>0</x:v>
      </x:c>
      <x:c r="AB556" s="15" t="n">
        <x:f>'기준스탯 72종'!F29*H556</x:f>
        <x:v>0</x:v>
      </x:c>
      <x:c r="AC556" s="15" t="n">
        <x:f>'기준스탯 72종'!G29*H556</x:f>
        <x:v>0</x:v>
      </x:c>
      <x:c r="AD556" s="15" t="n">
        <x:f>'기준스탯 72종'!H29*H556</x:f>
        <x:v>0</x:v>
      </x:c>
      <x:c r="AE556" s="15" t="n">
        <x:f>'기준스탯 72종'!I29*H556</x:f>
        <x:v>0</x:v>
      </x:c>
      <x:c r="AF556" s="15" t="n">
        <x:f>'기준스탯 72종'!J29*H556</x:f>
        <x:v>0</x:v>
      </x:c>
      <x:c r="AG556" s="15" t="n">
        <x:f>'기준스탯 72종'!K29*H556</x:f>
        <x:v>0</x:v>
      </x:c>
    </x:row>
    <x:row r="557" ht="28" customHeight="1">
      <x:c r="A557" s="2" t="n">
        <x:v>550</x:v>
      </x:c>
      <x:c r="B557" s="2" t="n">
        <x:v>22</x:v>
      </x:c>
      <x:c r="C557" s="2" t="str">
        <x:v>게자리</x:v>
      </x:c>
      <x:c r="D557" s="2" t="str">
        <x:v>정령사</x:v>
      </x:c>
      <x:c r="E557" s="2" t="n">
        <x:v>5</x:v>
      </x:c>
      <x:c r="F557" s="2" t="n">
        <x:v>5</x:v>
      </x:c>
      <x:c r="G557" s="14" t="n">
        <x:f>('레벨 계산식'!$E$4-E557)*'레벨 계산식'!$B$5</x:f>
        <x:v>0</x:v>
      </x:c>
      <x:c r="H557" s="14" t="n">
        <x:f>('등급 계산식'!$E$4-F557)*'등급 계산식'!$B$5</x:f>
        <x:v>0</x:v>
      </x:c>
      <x:c r="I557" s="14" t="n">
        <x:f>1-G557-H557</x:f>
        <x:v>1</x:v>
      </x:c>
      <x:c r="J557" s="2" t="n">
        <x:f>MAX(1,ROUND('기준스탯 72종'!D29-R557-Z557,0))</x:f>
        <x:v>5</x:v>
      </x:c>
      <x:c r="K557" s="2" t="n">
        <x:f>MAX(1,ROUND('기준스탯 72종'!E29-S557-AA557,0))</x:f>
        <x:v>10</x:v>
      </x:c>
      <x:c r="L557" s="2" t="n">
        <x:f>MAX(1,ROUND('기준스탯 72종'!F29-T557-AB557,0))</x:f>
        <x:v>10</x:v>
      </x:c>
      <x:c r="M557" s="2" t="n">
        <x:f>MAX(1,ROUND('기준스탯 72종'!G29-U557-AC557,0))</x:f>
        <x:v>6</x:v>
      </x:c>
      <x:c r="N557" s="2" t="n">
        <x:f>MAX(0,ROUND('기준스탯 72종'!H29-V557-AD557,0))</x:f>
        <x:v>1</x:v>
      </x:c>
      <x:c r="O557" s="2" t="n">
        <x:f>MAX(0,ROUND('기준스탯 72종'!I29-W557-AE557,0))</x:f>
        <x:v>4</x:v>
      </x:c>
      <x:c r="P557" s="2" t="n">
        <x:f>MAX(0,ROUND('기준스탯 72종'!J29-X557-AF557,0))</x:f>
        <x:v>4</x:v>
      </x:c>
      <x:c r="Q557" s="2" t="n">
        <x:f>MAX(0,ROUND('기준스탯 72종'!K29-Y557-AG557,0))</x:f>
        <x:v>7</x:v>
      </x:c>
      <x:c r="R557" s="15" t="n">
        <x:f>'기준스탯 72종'!D29*G557</x:f>
        <x:v>0</x:v>
      </x:c>
      <x:c r="S557" s="15" t="n">
        <x:f>'기준스탯 72종'!E29*G557</x:f>
        <x:v>0</x:v>
      </x:c>
      <x:c r="T557" s="15" t="n">
        <x:f>'기준스탯 72종'!F29*G557</x:f>
        <x:v>0</x:v>
      </x:c>
      <x:c r="U557" s="15" t="n">
        <x:f>'기준스탯 72종'!G29*G557</x:f>
        <x:v>0</x:v>
      </x:c>
      <x:c r="V557" s="15" t="n">
        <x:f>'기준스탯 72종'!H29*G557</x:f>
        <x:v>0</x:v>
      </x:c>
      <x:c r="W557" s="15" t="n">
        <x:f>'기준스탯 72종'!I29*G557</x:f>
        <x:v>0</x:v>
      </x:c>
      <x:c r="X557" s="15" t="n">
        <x:f>'기준스탯 72종'!J29*G557</x:f>
        <x:v>0</x:v>
      </x:c>
      <x:c r="Y557" s="15" t="n">
        <x:f>'기준스탯 72종'!K29*G557</x:f>
        <x:v>0</x:v>
      </x:c>
      <x:c r="Z557" s="15" t="n">
        <x:f>'기준스탯 72종'!D29*H557</x:f>
        <x:v>0</x:v>
      </x:c>
      <x:c r="AA557" s="15" t="n">
        <x:f>'기준스탯 72종'!E29*H557</x:f>
        <x:v>0</x:v>
      </x:c>
      <x:c r="AB557" s="15" t="n">
        <x:f>'기준스탯 72종'!F29*H557</x:f>
        <x:v>0</x:v>
      </x:c>
      <x:c r="AC557" s="15" t="n">
        <x:f>'기준스탯 72종'!G29*H557</x:f>
        <x:v>0</x:v>
      </x:c>
      <x:c r="AD557" s="15" t="n">
        <x:f>'기준스탯 72종'!H29*H557</x:f>
        <x:v>0</x:v>
      </x:c>
      <x:c r="AE557" s="15" t="n">
        <x:f>'기준스탯 72종'!I29*H557</x:f>
        <x:v>0</x:v>
      </x:c>
      <x:c r="AF557" s="15" t="n">
        <x:f>'기준스탯 72종'!J29*H557</x:f>
        <x:v>0</x:v>
      </x:c>
      <x:c r="AG557" s="15" t="n">
        <x:f>'기준스탯 72종'!K29*H557</x:f>
        <x:v>0</x:v>
      </x:c>
    </x:row>
    <x:row r="558" ht="28" customHeight="1">
      <x:c r="A558" s="2" t="n">
        <x:v>551</x:v>
      </x:c>
      <x:c r="B558" s="2" t="n">
        <x:v>23</x:v>
      </x:c>
      <x:c r="C558" s="2" t="str">
        <x:v>게자리</x:v>
      </x:c>
      <x:c r="D558" s="2" t="str">
        <x:v>도적</x:v>
      </x:c>
      <x:c r="E558" s="2" t="n">
        <x:v>1</x:v>
      </x:c>
      <x:c r="F558" s="2" t="n">
        <x:v>1</x:v>
      </x:c>
      <x:c r="G558" s="14" t="n">
        <x:f>('레벨 계산식'!$E$4-E558)*'레벨 계산식'!$B$5</x:f>
        <x:v>0.5599999999999999</x:v>
      </x:c>
      <x:c r="H558" s="14" t="n">
        <x:f>('등급 계산식'!$E$4-F558)*'등급 계산식'!$B$5</x:f>
        <x:v>0.24000000000000005</x:v>
      </x:c>
      <x:c r="I558" s="14" t="n">
        <x:f>1-G558-H558</x:f>
        <x:v>0.2</x:v>
      </x:c>
      <x:c r="J558" s="2" t="n">
        <x:f>MAX(1,ROUND('기준스탯 72종'!D30-R558-Z558,0))</x:f>
        <x:v>1</x:v>
      </x:c>
      <x:c r="K558" s="2" t="n">
        <x:f>MAX(1,ROUND('기준스탯 72종'!E30-S558-AA558,0))</x:f>
        <x:v>2</x:v>
      </x:c>
      <x:c r="L558" s="2" t="n">
        <x:f>MAX(1,ROUND('기준스탯 72종'!F30-T558-AB558,0))</x:f>
        <x:v>2</x:v>
      </x:c>
      <x:c r="M558" s="2" t="n">
        <x:f>MAX(1,ROUND('기준스탯 72종'!G30-U558-AC558,0))</x:f>
        <x:v>1</x:v>
      </x:c>
      <x:c r="N558" s="2" t="n">
        <x:f>MAX(0,ROUND('기준스탯 72종'!H30-V558-AD558,0))</x:f>
        <x:v>1</x:v>
      </x:c>
      <x:c r="O558" s="2" t="n">
        <x:f>MAX(0,ROUND('기준스탯 72종'!I30-W558-AE558,0))</x:f>
        <x:v>1</x:v>
      </x:c>
      <x:c r="P558" s="2" t="n">
        <x:f>MAX(0,ROUND('기준스탯 72종'!J30-X558-AF558,0))</x:f>
        <x:v>0</x:v>
      </x:c>
      <x:c r="Q558" s="2" t="n">
        <x:f>MAX(0,ROUND('기준스탯 72종'!K30-Y558-AG558,0))</x:f>
        <x:v>1</x:v>
      </x:c>
      <x:c r="R558" s="15" t="n">
        <x:f>'기준스탯 72종'!D30*G558</x:f>
        <x:v>3.9199999999999995</x:v>
      </x:c>
      <x:c r="S558" s="15" t="n">
        <x:f>'기준스탯 72종'!E30*G558</x:f>
        <x:v>4.4799999999999995</x:v>
      </x:c>
      <x:c r="T558" s="15" t="n">
        <x:f>'기준스탯 72종'!F30*G558</x:f>
        <x:v>4.4799999999999995</x:v>
      </x:c>
      <x:c r="U558" s="15" t="n">
        <x:f>'기준스탯 72종'!G30*G558</x:f>
        <x:v>3.9199999999999995</x:v>
      </x:c>
      <x:c r="V558" s="15" t="n">
        <x:f>'기준스탯 72종'!H30*G558</x:f>
        <x:v>1.6799999999999997</x:v>
      </x:c>
      <x:c r="W558" s="15" t="n">
        <x:f>'기준스탯 72종'!I30*G558</x:f>
        <x:v>3.3599999999999994</x:v>
      </x:c>
      <x:c r="X558" s="15" t="n">
        <x:f>'기준스탯 72종'!J30*G558</x:f>
        <x:v>1.1199999999999999</x:v>
      </x:c>
      <x:c r="Y558" s="15" t="n">
        <x:f>'기준스탯 72종'!K30*G558</x:f>
        <x:v>2.8</x:v>
      </x:c>
      <x:c r="Z558" s="15" t="n">
        <x:f>'기준스탯 72종'!D30*H558</x:f>
        <x:v>1.6800000000000004</x:v>
      </x:c>
      <x:c r="AA558" s="15" t="n">
        <x:f>'기준스탯 72종'!E30*H558</x:f>
        <x:v>1.9200000000000004</x:v>
      </x:c>
      <x:c r="AB558" s="15" t="n">
        <x:f>'기준스탯 72종'!F30*H558</x:f>
        <x:v>1.9200000000000004</x:v>
      </x:c>
      <x:c r="AC558" s="15" t="n">
        <x:f>'기준스탯 72종'!G30*H558</x:f>
        <x:v>1.6800000000000004</x:v>
      </x:c>
      <x:c r="AD558" s="15" t="n">
        <x:f>'기준스탯 72종'!H30*H558</x:f>
        <x:v>0.7200000000000002</x:v>
      </x:c>
      <x:c r="AE558" s="15" t="n">
        <x:f>'기준스탯 72종'!I30*H558</x:f>
        <x:v>1.4400000000000004</x:v>
      </x:c>
      <x:c r="AF558" s="15" t="n">
        <x:f>'기준스탯 72종'!J30*H558</x:f>
        <x:v>0.4800000000000001</x:v>
      </x:c>
      <x:c r="AG558" s="15" t="n">
        <x:f>'기준스탯 72종'!K30*H558</x:f>
        <x:v>1.2000000000000002</x:v>
      </x:c>
    </x:row>
    <x:row r="559" ht="28" customHeight="1">
      <x:c r="A559" s="2" t="n">
        <x:v>552</x:v>
      </x:c>
      <x:c r="B559" s="2" t="n">
        <x:v>23</x:v>
      </x:c>
      <x:c r="C559" s="2" t="str">
        <x:v>게자리</x:v>
      </x:c>
      <x:c r="D559" s="2" t="str">
        <x:v>도적</x:v>
      </x:c>
      <x:c r="E559" s="2" t="n">
        <x:v>2</x:v>
      </x:c>
      <x:c r="F559" s="2" t="n">
        <x:v>1</x:v>
      </x:c>
      <x:c r="G559" s="14" t="n">
        <x:f>('레벨 계산식'!$E$4-E559)*'레벨 계산식'!$B$5</x:f>
        <x:v>0.41999999999999993</x:v>
      </x:c>
      <x:c r="H559" s="14" t="n">
        <x:f>('등급 계산식'!$E$4-F559)*'등급 계산식'!$B$5</x:f>
        <x:v>0.24000000000000005</x:v>
      </x:c>
      <x:c r="I559" s="14" t="n">
        <x:f>1-G559-H559</x:f>
        <x:v>0.34</x:v>
      </x:c>
      <x:c r="J559" s="2" t="n">
        <x:f>MAX(1,ROUND('기준스탯 72종'!D30-R559-Z559,0))</x:f>
        <x:v>2</x:v>
      </x:c>
      <x:c r="K559" s="2" t="n">
        <x:f>MAX(1,ROUND('기준스탯 72종'!E30-S559-AA559,0))</x:f>
        <x:v>3</x:v>
      </x:c>
      <x:c r="L559" s="2" t="n">
        <x:f>MAX(1,ROUND('기준스탯 72종'!F30-T559-AB559,0))</x:f>
        <x:v>3</x:v>
      </x:c>
      <x:c r="M559" s="2" t="n">
        <x:f>MAX(1,ROUND('기준스탯 72종'!G30-U559-AC559,0))</x:f>
        <x:v>2</x:v>
      </x:c>
      <x:c r="N559" s="2" t="n">
        <x:f>MAX(0,ROUND('기준스탯 72종'!H30-V559-AD559,0))</x:f>
        <x:v>1</x:v>
      </x:c>
      <x:c r="O559" s="2" t="n">
        <x:f>MAX(0,ROUND('기준스탯 72종'!I30-W559-AE559,0))</x:f>
        <x:v>2</x:v>
      </x:c>
      <x:c r="P559" s="2" t="n">
        <x:f>MAX(0,ROUND('기준스탯 72종'!J30-X559-AF559,0))</x:f>
        <x:v>1</x:v>
      </x:c>
      <x:c r="Q559" s="2" t="n">
        <x:f>MAX(0,ROUND('기준스탯 72종'!K30-Y559-AG559,0))</x:f>
        <x:v>2</x:v>
      </x:c>
      <x:c r="R559" s="15" t="n">
        <x:f>'기준스탯 72종'!D30*G559</x:f>
        <x:v>2.9399999999999995</x:v>
      </x:c>
      <x:c r="S559" s="15" t="n">
        <x:f>'기준스탯 72종'!E30*G559</x:f>
        <x:v>3.3599999999999994</x:v>
      </x:c>
      <x:c r="T559" s="15" t="n">
        <x:f>'기준스탯 72종'!F30*G559</x:f>
        <x:v>3.3599999999999994</x:v>
      </x:c>
      <x:c r="U559" s="15" t="n">
        <x:f>'기준스탯 72종'!G30*G559</x:f>
        <x:v>2.9399999999999995</x:v>
      </x:c>
      <x:c r="V559" s="15" t="n">
        <x:f>'기준스탯 72종'!H30*G559</x:f>
        <x:v>1.2599999999999998</x:v>
      </x:c>
      <x:c r="W559" s="15" t="n">
        <x:f>'기준스탯 72종'!I30*G559</x:f>
        <x:v>2.5199999999999996</x:v>
      </x:c>
      <x:c r="X559" s="15" t="n">
        <x:f>'기준스탯 72종'!J30*G559</x:f>
        <x:v>0.8399999999999999</x:v>
      </x:c>
      <x:c r="Y559" s="15" t="n">
        <x:f>'기준스탯 72종'!K30*G559</x:f>
        <x:v>2.0999999999999996</x:v>
      </x:c>
      <x:c r="Z559" s="15" t="n">
        <x:f>'기준스탯 72종'!D30*H559</x:f>
        <x:v>1.6800000000000004</x:v>
      </x:c>
      <x:c r="AA559" s="15" t="n">
        <x:f>'기준스탯 72종'!E30*H559</x:f>
        <x:v>1.9200000000000004</x:v>
      </x:c>
      <x:c r="AB559" s="15" t="n">
        <x:f>'기준스탯 72종'!F30*H559</x:f>
        <x:v>1.9200000000000004</x:v>
      </x:c>
      <x:c r="AC559" s="15" t="n">
        <x:f>'기준스탯 72종'!G30*H559</x:f>
        <x:v>1.6800000000000004</x:v>
      </x:c>
      <x:c r="AD559" s="15" t="n">
        <x:f>'기준스탯 72종'!H30*H559</x:f>
        <x:v>0.7200000000000002</x:v>
      </x:c>
      <x:c r="AE559" s="15" t="n">
        <x:f>'기준스탯 72종'!I30*H559</x:f>
        <x:v>1.4400000000000004</x:v>
      </x:c>
      <x:c r="AF559" s="15" t="n">
        <x:f>'기준스탯 72종'!J30*H559</x:f>
        <x:v>0.4800000000000001</x:v>
      </x:c>
      <x:c r="AG559" s="15" t="n">
        <x:f>'기준스탯 72종'!K30*H559</x:f>
        <x:v>1.2000000000000002</x:v>
      </x:c>
    </x:row>
    <x:row r="560" ht="28" customHeight="1">
      <x:c r="A560" s="2" t="n">
        <x:v>553</x:v>
      </x:c>
      <x:c r="B560" s="2" t="n">
        <x:v>23</x:v>
      </x:c>
      <x:c r="C560" s="2" t="str">
        <x:v>게자리</x:v>
      </x:c>
      <x:c r="D560" s="2" t="str">
        <x:v>도적</x:v>
      </x:c>
      <x:c r="E560" s="2" t="n">
        <x:v>3</x:v>
      </x:c>
      <x:c r="F560" s="2" t="n">
        <x:v>1</x:v>
      </x:c>
      <x:c r="G560" s="14" t="n">
        <x:f>('레벨 계산식'!$E$4-E560)*'레벨 계산식'!$B$5</x:f>
        <x:v>0.27999999999999997</x:v>
      </x:c>
      <x:c r="H560" s="14" t="n">
        <x:f>('등급 계산식'!$E$4-F560)*'등급 계산식'!$B$5</x:f>
        <x:v>0.24000000000000005</x:v>
      </x:c>
      <x:c r="I560" s="14" t="n">
        <x:f>1-G560-H560</x:f>
        <x:v>0.4799999999999999</x:v>
      </x:c>
      <x:c r="J560" s="2" t="n">
        <x:f>MAX(1,ROUND('기준스탯 72종'!D30-R560-Z560,0))</x:f>
        <x:v>3</x:v>
      </x:c>
      <x:c r="K560" s="2" t="n">
        <x:f>MAX(1,ROUND('기준스탯 72종'!E30-S560-AA560,0))</x:f>
        <x:v>4</x:v>
      </x:c>
      <x:c r="L560" s="2" t="n">
        <x:f>MAX(1,ROUND('기준스탯 72종'!F30-T560-AB560,0))</x:f>
        <x:v>4</x:v>
      </x:c>
      <x:c r="M560" s="2" t="n">
        <x:f>MAX(1,ROUND('기준스탯 72종'!G30-U560-AC560,0))</x:f>
        <x:v>3</x:v>
      </x:c>
      <x:c r="N560" s="2" t="n">
        <x:f>MAX(0,ROUND('기준스탯 72종'!H30-V560-AD560,0))</x:f>
        <x:v>1</x:v>
      </x:c>
      <x:c r="O560" s="2" t="n">
        <x:f>MAX(0,ROUND('기준스탯 72종'!I30-W560-AE560,0))</x:f>
        <x:v>3</x:v>
      </x:c>
      <x:c r="P560" s="2" t="n">
        <x:f>MAX(0,ROUND('기준스탯 72종'!J30-X560-AF560,0))</x:f>
        <x:v>1</x:v>
      </x:c>
      <x:c r="Q560" s="2" t="n">
        <x:f>MAX(0,ROUND('기준스탯 72종'!K30-Y560-AG560,0))</x:f>
        <x:v>2</x:v>
      </x:c>
      <x:c r="R560" s="15" t="n">
        <x:f>'기준스탯 72종'!D30*G560</x:f>
        <x:v>1.9599999999999997</x:v>
      </x:c>
      <x:c r="S560" s="15" t="n">
        <x:f>'기준스탯 72종'!E30*G560</x:f>
        <x:v>2.2399999999999998</x:v>
      </x:c>
      <x:c r="T560" s="15" t="n">
        <x:f>'기준스탯 72종'!F30*G560</x:f>
        <x:v>2.2399999999999998</x:v>
      </x:c>
      <x:c r="U560" s="15" t="n">
        <x:f>'기준스탯 72종'!G30*G560</x:f>
        <x:v>1.9599999999999997</x:v>
      </x:c>
      <x:c r="V560" s="15" t="n">
        <x:f>'기준스탯 72종'!H30*G560</x:f>
        <x:v>0.8399999999999999</x:v>
      </x:c>
      <x:c r="W560" s="15" t="n">
        <x:f>'기준스탯 72종'!I30*G560</x:f>
        <x:v>1.6799999999999997</x:v>
      </x:c>
      <x:c r="X560" s="15" t="n">
        <x:f>'기준스탯 72종'!J30*G560</x:f>
        <x:v>0.5599999999999999</x:v>
      </x:c>
      <x:c r="Y560" s="15" t="n">
        <x:f>'기준스탯 72종'!K30*G560</x:f>
        <x:v>1.4</x:v>
      </x:c>
      <x:c r="Z560" s="15" t="n">
        <x:f>'기준스탯 72종'!D30*H560</x:f>
        <x:v>1.6800000000000004</x:v>
      </x:c>
      <x:c r="AA560" s="15" t="n">
        <x:f>'기준스탯 72종'!E30*H560</x:f>
        <x:v>1.9200000000000004</x:v>
      </x:c>
      <x:c r="AB560" s="15" t="n">
        <x:f>'기준스탯 72종'!F30*H560</x:f>
        <x:v>1.9200000000000004</x:v>
      </x:c>
      <x:c r="AC560" s="15" t="n">
        <x:f>'기준스탯 72종'!G30*H560</x:f>
        <x:v>1.6800000000000004</x:v>
      </x:c>
      <x:c r="AD560" s="15" t="n">
        <x:f>'기준스탯 72종'!H30*H560</x:f>
        <x:v>0.7200000000000002</x:v>
      </x:c>
      <x:c r="AE560" s="15" t="n">
        <x:f>'기준스탯 72종'!I30*H560</x:f>
        <x:v>1.4400000000000004</x:v>
      </x:c>
      <x:c r="AF560" s="15" t="n">
        <x:f>'기준스탯 72종'!J30*H560</x:f>
        <x:v>0.4800000000000001</x:v>
      </x:c>
      <x:c r="AG560" s="15" t="n">
        <x:f>'기준스탯 72종'!K30*H560</x:f>
        <x:v>1.2000000000000002</x:v>
      </x:c>
    </x:row>
    <x:row r="561" ht="28" customHeight="1">
      <x:c r="A561" s="2" t="n">
        <x:v>554</x:v>
      </x:c>
      <x:c r="B561" s="2" t="n">
        <x:v>23</x:v>
      </x:c>
      <x:c r="C561" s="2" t="str">
        <x:v>게자리</x:v>
      </x:c>
      <x:c r="D561" s="2" t="str">
        <x:v>도적</x:v>
      </x:c>
      <x:c r="E561" s="2" t="n">
        <x:v>4</x:v>
      </x:c>
      <x:c r="F561" s="2" t="n">
        <x:v>1</x:v>
      </x:c>
      <x:c r="G561" s="14" t="n">
        <x:f>('레벨 계산식'!$E$4-E561)*'레벨 계산식'!$B$5</x:f>
        <x:v>0.13999999999999999</x:v>
      </x:c>
      <x:c r="H561" s="14" t="n">
        <x:f>('등급 계산식'!$E$4-F561)*'등급 계산식'!$B$5</x:f>
        <x:v>0.24000000000000005</x:v>
      </x:c>
      <x:c r="I561" s="14" t="n">
        <x:f>1-G561-H561</x:f>
        <x:v>0.6199999999999999</x:v>
      </x:c>
      <x:c r="J561" s="2" t="n">
        <x:f>MAX(1,ROUND('기준스탯 72종'!D30-R561-Z561,0))</x:f>
        <x:v>4</x:v>
      </x:c>
      <x:c r="K561" s="2" t="n">
        <x:f>MAX(1,ROUND('기준스탯 72종'!E30-S561-AA561,0))</x:f>
        <x:v>5</x:v>
      </x:c>
      <x:c r="L561" s="2" t="n">
        <x:f>MAX(1,ROUND('기준스탯 72종'!F30-T561-AB561,0))</x:f>
        <x:v>5</x:v>
      </x:c>
      <x:c r="M561" s="2" t="n">
        <x:f>MAX(1,ROUND('기준스탯 72종'!G30-U561-AC561,0))</x:f>
        <x:v>4</x:v>
      </x:c>
      <x:c r="N561" s="2" t="n">
        <x:f>MAX(0,ROUND('기준스탯 72종'!H30-V561-AD561,0))</x:f>
        <x:v>2</x:v>
      </x:c>
      <x:c r="O561" s="2" t="n">
        <x:f>MAX(0,ROUND('기준스탯 72종'!I30-W561-AE561,0))</x:f>
        <x:v>4</x:v>
      </x:c>
      <x:c r="P561" s="2" t="n">
        <x:f>MAX(0,ROUND('기준스탯 72종'!J30-X561-AF561,0))</x:f>
        <x:v>1</x:v>
      </x:c>
      <x:c r="Q561" s="2" t="n">
        <x:f>MAX(0,ROUND('기준스탯 72종'!K30-Y561-AG561,0))</x:f>
        <x:v>3</x:v>
      </x:c>
      <x:c r="R561" s="15" t="n">
        <x:f>'기준스탯 72종'!D30*G561</x:f>
        <x:v>0.9799999999999999</x:v>
      </x:c>
      <x:c r="S561" s="15" t="n">
        <x:f>'기준스탯 72종'!E30*G561</x:f>
        <x:v>1.1199999999999999</x:v>
      </x:c>
      <x:c r="T561" s="15" t="n">
        <x:f>'기준스탯 72종'!F30*G561</x:f>
        <x:v>1.1199999999999999</x:v>
      </x:c>
      <x:c r="U561" s="15" t="n">
        <x:f>'기준스탯 72종'!G30*G561</x:f>
        <x:v>0.9799999999999999</x:v>
      </x:c>
      <x:c r="V561" s="15" t="n">
        <x:f>'기준스탯 72종'!H30*G561</x:f>
        <x:v>0.41999999999999993</x:v>
      </x:c>
      <x:c r="W561" s="15" t="n">
        <x:f>'기준스탯 72종'!I30*G561</x:f>
        <x:v>0.8399999999999999</x:v>
      </x:c>
      <x:c r="X561" s="15" t="n">
        <x:f>'기준스탯 72종'!J30*G561</x:f>
        <x:v>0.27999999999999997</x:v>
      </x:c>
      <x:c r="Y561" s="15" t="n">
        <x:f>'기준스탯 72종'!K30*G561</x:f>
        <x:v>0.7</x:v>
      </x:c>
      <x:c r="Z561" s="15" t="n">
        <x:f>'기준스탯 72종'!D30*H561</x:f>
        <x:v>1.6800000000000004</x:v>
      </x:c>
      <x:c r="AA561" s="15" t="n">
        <x:f>'기준스탯 72종'!E30*H561</x:f>
        <x:v>1.9200000000000004</x:v>
      </x:c>
      <x:c r="AB561" s="15" t="n">
        <x:f>'기준스탯 72종'!F30*H561</x:f>
        <x:v>1.9200000000000004</x:v>
      </x:c>
      <x:c r="AC561" s="15" t="n">
        <x:f>'기준스탯 72종'!G30*H561</x:f>
        <x:v>1.6800000000000004</x:v>
      </x:c>
      <x:c r="AD561" s="15" t="n">
        <x:f>'기준스탯 72종'!H30*H561</x:f>
        <x:v>0.7200000000000002</x:v>
      </x:c>
      <x:c r="AE561" s="15" t="n">
        <x:f>'기준스탯 72종'!I30*H561</x:f>
        <x:v>1.4400000000000004</x:v>
      </x:c>
      <x:c r="AF561" s="15" t="n">
        <x:f>'기준스탯 72종'!J30*H561</x:f>
        <x:v>0.4800000000000001</x:v>
      </x:c>
      <x:c r="AG561" s="15" t="n">
        <x:f>'기준스탯 72종'!K30*H561</x:f>
        <x:v>1.2000000000000002</x:v>
      </x:c>
    </x:row>
    <x:row r="562" ht="28" customHeight="1">
      <x:c r="A562" s="2" t="n">
        <x:v>555</x:v>
      </x:c>
      <x:c r="B562" s="2" t="n">
        <x:v>23</x:v>
      </x:c>
      <x:c r="C562" s="2" t="str">
        <x:v>게자리</x:v>
      </x:c>
      <x:c r="D562" s="2" t="str">
        <x:v>도적</x:v>
      </x:c>
      <x:c r="E562" s="2" t="n">
        <x:v>5</x:v>
      </x:c>
      <x:c r="F562" s="2" t="n">
        <x:v>1</x:v>
      </x:c>
      <x:c r="G562" s="14" t="n">
        <x:f>('레벨 계산식'!$E$4-E562)*'레벨 계산식'!$B$5</x:f>
        <x:v>0</x:v>
      </x:c>
      <x:c r="H562" s="14" t="n">
        <x:f>('등급 계산식'!$E$4-F562)*'등급 계산식'!$B$5</x:f>
        <x:v>0.24000000000000005</x:v>
      </x:c>
      <x:c r="I562" s="14" t="n">
        <x:f>1-G562-H562</x:f>
        <x:v>0.76</x:v>
      </x:c>
      <x:c r="J562" s="2" t="n">
        <x:f>MAX(1,ROUND('기준스탯 72종'!D30-R562-Z562,0))</x:f>
        <x:v>5</x:v>
      </x:c>
      <x:c r="K562" s="2" t="n">
        <x:f>MAX(1,ROUND('기준스탯 72종'!E30-S562-AA562,0))</x:f>
        <x:v>6</x:v>
      </x:c>
      <x:c r="L562" s="2" t="n">
        <x:f>MAX(1,ROUND('기준스탯 72종'!F30-T562-AB562,0))</x:f>
        <x:v>6</x:v>
      </x:c>
      <x:c r="M562" s="2" t="n">
        <x:f>MAX(1,ROUND('기준스탯 72종'!G30-U562-AC562,0))</x:f>
        <x:v>5</x:v>
      </x:c>
      <x:c r="N562" s="2" t="n">
        <x:f>MAX(0,ROUND('기준스탯 72종'!H30-V562-AD562,0))</x:f>
        <x:v>2</x:v>
      </x:c>
      <x:c r="O562" s="2" t="n">
        <x:f>MAX(0,ROUND('기준스탯 72종'!I30-W562-AE562,0))</x:f>
        <x:v>5</x:v>
      </x:c>
      <x:c r="P562" s="2" t="n">
        <x:f>MAX(0,ROUND('기준스탯 72종'!J30-X562-AF562,0))</x:f>
        <x:v>2</x:v>
      </x:c>
      <x:c r="Q562" s="2" t="n">
        <x:f>MAX(0,ROUND('기준스탯 72종'!K30-Y562-AG562,0))</x:f>
        <x:v>4</x:v>
      </x:c>
      <x:c r="R562" s="15" t="n">
        <x:f>'기준스탯 72종'!D30*G562</x:f>
        <x:v>0</x:v>
      </x:c>
      <x:c r="S562" s="15" t="n">
        <x:f>'기준스탯 72종'!E30*G562</x:f>
        <x:v>0</x:v>
      </x:c>
      <x:c r="T562" s="15" t="n">
        <x:f>'기준스탯 72종'!F30*G562</x:f>
        <x:v>0</x:v>
      </x:c>
      <x:c r="U562" s="15" t="n">
        <x:f>'기준스탯 72종'!G30*G562</x:f>
        <x:v>0</x:v>
      </x:c>
      <x:c r="V562" s="15" t="n">
        <x:f>'기준스탯 72종'!H30*G562</x:f>
        <x:v>0</x:v>
      </x:c>
      <x:c r="W562" s="15" t="n">
        <x:f>'기준스탯 72종'!I30*G562</x:f>
        <x:v>0</x:v>
      </x:c>
      <x:c r="X562" s="15" t="n">
        <x:f>'기준스탯 72종'!J30*G562</x:f>
        <x:v>0</x:v>
      </x:c>
      <x:c r="Y562" s="15" t="n">
        <x:f>'기준스탯 72종'!K30*G562</x:f>
        <x:v>0</x:v>
      </x:c>
      <x:c r="Z562" s="15" t="n">
        <x:f>'기준스탯 72종'!D30*H562</x:f>
        <x:v>1.6800000000000004</x:v>
      </x:c>
      <x:c r="AA562" s="15" t="n">
        <x:f>'기준스탯 72종'!E30*H562</x:f>
        <x:v>1.9200000000000004</x:v>
      </x:c>
      <x:c r="AB562" s="15" t="n">
        <x:f>'기준스탯 72종'!F30*H562</x:f>
        <x:v>1.9200000000000004</x:v>
      </x:c>
      <x:c r="AC562" s="15" t="n">
        <x:f>'기준스탯 72종'!G30*H562</x:f>
        <x:v>1.6800000000000004</x:v>
      </x:c>
      <x:c r="AD562" s="15" t="n">
        <x:f>'기준스탯 72종'!H30*H562</x:f>
        <x:v>0.7200000000000002</x:v>
      </x:c>
      <x:c r="AE562" s="15" t="n">
        <x:f>'기준스탯 72종'!I30*H562</x:f>
        <x:v>1.4400000000000004</x:v>
      </x:c>
      <x:c r="AF562" s="15" t="n">
        <x:f>'기준스탯 72종'!J30*H562</x:f>
        <x:v>0.4800000000000001</x:v>
      </x:c>
      <x:c r="AG562" s="15" t="n">
        <x:f>'기준스탯 72종'!K30*H562</x:f>
        <x:v>1.2000000000000002</x:v>
      </x:c>
    </x:row>
    <x:row r="563" ht="28" customHeight="1">
      <x:c r="A563" s="2" t="n">
        <x:v>556</x:v>
      </x:c>
      <x:c r="B563" s="2" t="n">
        <x:v>23</x:v>
      </x:c>
      <x:c r="C563" s="2" t="str">
        <x:v>게자리</x:v>
      </x:c>
      <x:c r="D563" s="2" t="str">
        <x:v>도적</x:v>
      </x:c>
      <x:c r="E563" s="2" t="n">
        <x:v>1</x:v>
      </x:c>
      <x:c r="F563" s="2" t="n">
        <x:v>2</x:v>
      </x:c>
      <x:c r="G563" s="14" t="n">
        <x:f>('레벨 계산식'!$E$4-E563)*'레벨 계산식'!$B$5</x:f>
        <x:v>0.5599999999999999</x:v>
      </x:c>
      <x:c r="H563" s="14" t="n">
        <x:f>('등급 계산식'!$E$4-F563)*'등급 계산식'!$B$5</x:f>
        <x:v>0.18000000000000005</x:v>
      </x:c>
      <x:c r="I563" s="14" t="n">
        <x:f>1-G563-H563</x:f>
        <x:v>0.26</x:v>
      </x:c>
      <x:c r="J563" s="2" t="n">
        <x:f>MAX(1,ROUND('기준스탯 72종'!D30-R563-Z563,0))</x:f>
        <x:v>2</x:v>
      </x:c>
      <x:c r="K563" s="2" t="n">
        <x:f>MAX(1,ROUND('기준스탯 72종'!E30-S563-AA563,0))</x:f>
        <x:v>2</x:v>
      </x:c>
      <x:c r="L563" s="2" t="n">
        <x:f>MAX(1,ROUND('기준스탯 72종'!F30-T563-AB563,0))</x:f>
        <x:v>2</x:v>
      </x:c>
      <x:c r="M563" s="2" t="n">
        <x:f>MAX(1,ROUND('기준스탯 72종'!G30-U563-AC563,0))</x:f>
        <x:v>2</x:v>
      </x:c>
      <x:c r="N563" s="2" t="n">
        <x:f>MAX(0,ROUND('기준스탯 72종'!H30-V563-AD563,0))</x:f>
        <x:v>1</x:v>
      </x:c>
      <x:c r="O563" s="2" t="n">
        <x:f>MAX(0,ROUND('기준스탯 72종'!I30-W563-AE563,0))</x:f>
        <x:v>2</x:v>
      </x:c>
      <x:c r="P563" s="2" t="n">
        <x:f>MAX(0,ROUND('기준스탯 72종'!J30-X563-AF563,0))</x:f>
        <x:v>1</x:v>
      </x:c>
      <x:c r="Q563" s="2" t="n">
        <x:f>MAX(0,ROUND('기준스탯 72종'!K30-Y563-AG563,0))</x:f>
        <x:v>1</x:v>
      </x:c>
      <x:c r="R563" s="15" t="n">
        <x:f>'기준스탯 72종'!D30*G563</x:f>
        <x:v>3.9199999999999995</x:v>
      </x:c>
      <x:c r="S563" s="15" t="n">
        <x:f>'기준스탯 72종'!E30*G563</x:f>
        <x:v>4.4799999999999995</x:v>
      </x:c>
      <x:c r="T563" s="15" t="n">
        <x:f>'기준스탯 72종'!F30*G563</x:f>
        <x:v>4.4799999999999995</x:v>
      </x:c>
      <x:c r="U563" s="15" t="n">
        <x:f>'기준스탯 72종'!G30*G563</x:f>
        <x:v>3.9199999999999995</x:v>
      </x:c>
      <x:c r="V563" s="15" t="n">
        <x:f>'기준스탯 72종'!H30*G563</x:f>
        <x:v>1.6799999999999997</x:v>
      </x:c>
      <x:c r="W563" s="15" t="n">
        <x:f>'기준스탯 72종'!I30*G563</x:f>
        <x:v>3.3599999999999994</x:v>
      </x:c>
      <x:c r="X563" s="15" t="n">
        <x:f>'기준스탯 72종'!J30*G563</x:f>
        <x:v>1.1199999999999999</x:v>
      </x:c>
      <x:c r="Y563" s="15" t="n">
        <x:f>'기준스탯 72종'!K30*G563</x:f>
        <x:v>2.8</x:v>
      </x:c>
      <x:c r="Z563" s="15" t="n">
        <x:f>'기준스탯 72종'!D30*H563</x:f>
        <x:v>1.2600000000000002</x:v>
      </x:c>
      <x:c r="AA563" s="15" t="n">
        <x:f>'기준스탯 72종'!E30*H563</x:f>
        <x:v>1.4400000000000004</x:v>
      </x:c>
      <x:c r="AB563" s="15" t="n">
        <x:f>'기준스탯 72종'!F30*H563</x:f>
        <x:v>1.4400000000000004</x:v>
      </x:c>
      <x:c r="AC563" s="15" t="n">
        <x:f>'기준스탯 72종'!G30*H563</x:f>
        <x:v>1.2600000000000002</x:v>
      </x:c>
      <x:c r="AD563" s="15" t="n">
        <x:f>'기준스탯 72종'!H30*H563</x:f>
        <x:v>0.5400000000000001</x:v>
      </x:c>
      <x:c r="AE563" s="15" t="n">
        <x:f>'기준스탯 72종'!I30*H563</x:f>
        <x:v>1.0800000000000003</x:v>
      </x:c>
      <x:c r="AF563" s="15" t="n">
        <x:f>'기준스탯 72종'!J30*H563</x:f>
        <x:v>0.3600000000000001</x:v>
      </x:c>
      <x:c r="AG563" s="15" t="n">
        <x:f>'기준스탯 72종'!K30*H563</x:f>
        <x:v>0.9000000000000002</x:v>
      </x:c>
    </x:row>
    <x:row r="564" ht="28" customHeight="1">
      <x:c r="A564" s="2" t="n">
        <x:v>557</x:v>
      </x:c>
      <x:c r="B564" s="2" t="n">
        <x:v>23</x:v>
      </x:c>
      <x:c r="C564" s="2" t="str">
        <x:v>게자리</x:v>
      </x:c>
      <x:c r="D564" s="2" t="str">
        <x:v>도적</x:v>
      </x:c>
      <x:c r="E564" s="2" t="n">
        <x:v>2</x:v>
      </x:c>
      <x:c r="F564" s="2" t="n">
        <x:v>2</x:v>
      </x:c>
      <x:c r="G564" s="14" t="n">
        <x:f>('레벨 계산식'!$E$4-E564)*'레벨 계산식'!$B$5</x:f>
        <x:v>0.41999999999999993</x:v>
      </x:c>
      <x:c r="H564" s="14" t="n">
        <x:f>('등급 계산식'!$E$4-F564)*'등급 계산식'!$B$5</x:f>
        <x:v>0.18000000000000005</x:v>
      </x:c>
      <x:c r="I564" s="14" t="n">
        <x:f>1-G564-H564</x:f>
        <x:v>0.4</x:v>
      </x:c>
      <x:c r="J564" s="2" t="n">
        <x:f>MAX(1,ROUND('기준스탯 72종'!D30-R564-Z564,0))</x:f>
        <x:v>3</x:v>
      </x:c>
      <x:c r="K564" s="2" t="n">
        <x:f>MAX(1,ROUND('기준스탯 72종'!E30-S564-AA564,0))</x:f>
        <x:v>3</x:v>
      </x:c>
      <x:c r="L564" s="2" t="n">
        <x:f>MAX(1,ROUND('기준스탯 72종'!F30-T564-AB564,0))</x:f>
        <x:v>3</x:v>
      </x:c>
      <x:c r="M564" s="2" t="n">
        <x:f>MAX(1,ROUND('기준스탯 72종'!G30-U564-AC564,0))</x:f>
        <x:v>3</x:v>
      </x:c>
      <x:c r="N564" s="2" t="n">
        <x:f>MAX(0,ROUND('기준스탯 72종'!H30-V564-AD564,0))</x:f>
        <x:v>1</x:v>
      </x:c>
      <x:c r="O564" s="2" t="n">
        <x:f>MAX(0,ROUND('기준스탯 72종'!I30-W564-AE564,0))</x:f>
        <x:v>2</x:v>
      </x:c>
      <x:c r="P564" s="2" t="n">
        <x:f>MAX(0,ROUND('기준스탯 72종'!J30-X564-AF564,0))</x:f>
        <x:v>1</x:v>
      </x:c>
      <x:c r="Q564" s="2" t="n">
        <x:f>MAX(0,ROUND('기준스탯 72종'!K30-Y564-AG564,0))</x:f>
        <x:v>2</x:v>
      </x:c>
      <x:c r="R564" s="15" t="n">
        <x:f>'기준스탯 72종'!D30*G564</x:f>
        <x:v>2.9399999999999995</x:v>
      </x:c>
      <x:c r="S564" s="15" t="n">
        <x:f>'기준스탯 72종'!E30*G564</x:f>
        <x:v>3.3599999999999994</x:v>
      </x:c>
      <x:c r="T564" s="15" t="n">
        <x:f>'기준스탯 72종'!F30*G564</x:f>
        <x:v>3.3599999999999994</x:v>
      </x:c>
      <x:c r="U564" s="15" t="n">
        <x:f>'기준스탯 72종'!G30*G564</x:f>
        <x:v>2.9399999999999995</x:v>
      </x:c>
      <x:c r="V564" s="15" t="n">
        <x:f>'기준스탯 72종'!H30*G564</x:f>
        <x:v>1.2599999999999998</x:v>
      </x:c>
      <x:c r="W564" s="15" t="n">
        <x:f>'기준스탯 72종'!I30*G564</x:f>
        <x:v>2.5199999999999996</x:v>
      </x:c>
      <x:c r="X564" s="15" t="n">
        <x:f>'기준스탯 72종'!J30*G564</x:f>
        <x:v>0.8399999999999999</x:v>
      </x:c>
      <x:c r="Y564" s="15" t="n">
        <x:f>'기준스탯 72종'!K30*G564</x:f>
        <x:v>2.0999999999999996</x:v>
      </x:c>
      <x:c r="Z564" s="15" t="n">
        <x:f>'기준스탯 72종'!D30*H564</x:f>
        <x:v>1.2600000000000002</x:v>
      </x:c>
      <x:c r="AA564" s="15" t="n">
        <x:f>'기준스탯 72종'!E30*H564</x:f>
        <x:v>1.4400000000000004</x:v>
      </x:c>
      <x:c r="AB564" s="15" t="n">
        <x:f>'기준스탯 72종'!F30*H564</x:f>
        <x:v>1.4400000000000004</x:v>
      </x:c>
      <x:c r="AC564" s="15" t="n">
        <x:f>'기준스탯 72종'!G30*H564</x:f>
        <x:v>1.2600000000000002</x:v>
      </x:c>
      <x:c r="AD564" s="15" t="n">
        <x:f>'기준스탯 72종'!H30*H564</x:f>
        <x:v>0.5400000000000001</x:v>
      </x:c>
      <x:c r="AE564" s="15" t="n">
        <x:f>'기준스탯 72종'!I30*H564</x:f>
        <x:v>1.0800000000000003</x:v>
      </x:c>
      <x:c r="AF564" s="15" t="n">
        <x:f>'기준스탯 72종'!J30*H564</x:f>
        <x:v>0.3600000000000001</x:v>
      </x:c>
      <x:c r="AG564" s="15" t="n">
        <x:f>'기준스탯 72종'!K30*H564</x:f>
        <x:v>0.9000000000000002</x:v>
      </x:c>
    </x:row>
    <x:row r="565" ht="28" customHeight="1">
      <x:c r="A565" s="2" t="n">
        <x:v>558</x:v>
      </x:c>
      <x:c r="B565" s="2" t="n">
        <x:v>23</x:v>
      </x:c>
      <x:c r="C565" s="2" t="str">
        <x:v>게자리</x:v>
      </x:c>
      <x:c r="D565" s="2" t="str">
        <x:v>도적</x:v>
      </x:c>
      <x:c r="E565" s="2" t="n">
        <x:v>3</x:v>
      </x:c>
      <x:c r="F565" s="2" t="n">
        <x:v>2</x:v>
      </x:c>
      <x:c r="G565" s="14" t="n">
        <x:f>('레벨 계산식'!$E$4-E565)*'레벨 계산식'!$B$5</x:f>
        <x:v>0.27999999999999997</x:v>
      </x:c>
      <x:c r="H565" s="14" t="n">
        <x:f>('등급 계산식'!$E$4-F565)*'등급 계산식'!$B$5</x:f>
        <x:v>0.18000000000000005</x:v>
      </x:c>
      <x:c r="I565" s="14" t="n">
        <x:f>1-G565-H565</x:f>
        <x:v>0.5399999999999999</x:v>
      </x:c>
      <x:c r="J565" s="2" t="n">
        <x:f>MAX(1,ROUND('기준스탯 72종'!D30-R565-Z565,0))</x:f>
        <x:v>4</x:v>
      </x:c>
      <x:c r="K565" s="2" t="n">
        <x:f>MAX(1,ROUND('기준스탯 72종'!E30-S565-AA565,0))</x:f>
        <x:v>4</x:v>
      </x:c>
      <x:c r="L565" s="2" t="n">
        <x:f>MAX(1,ROUND('기준스탯 72종'!F30-T565-AB565,0))</x:f>
        <x:v>4</x:v>
      </x:c>
      <x:c r="M565" s="2" t="n">
        <x:f>MAX(1,ROUND('기준스탯 72종'!G30-U565-AC565,0))</x:f>
        <x:v>4</x:v>
      </x:c>
      <x:c r="N565" s="2" t="n">
        <x:f>MAX(0,ROUND('기준스탯 72종'!H30-V565-AD565,0))</x:f>
        <x:v>2</x:v>
      </x:c>
      <x:c r="O565" s="2" t="n">
        <x:f>MAX(0,ROUND('기준스탯 72종'!I30-W565-AE565,0))</x:f>
        <x:v>3</x:v>
      </x:c>
      <x:c r="P565" s="2" t="n">
        <x:f>MAX(0,ROUND('기준스탯 72종'!J30-X565-AF565,0))</x:f>
        <x:v>1</x:v>
      </x:c>
      <x:c r="Q565" s="2" t="n">
        <x:f>MAX(0,ROUND('기준스탯 72종'!K30-Y565-AG565,0))</x:f>
        <x:v>3</x:v>
      </x:c>
      <x:c r="R565" s="15" t="n">
        <x:f>'기준스탯 72종'!D30*G565</x:f>
        <x:v>1.9599999999999997</x:v>
      </x:c>
      <x:c r="S565" s="15" t="n">
        <x:f>'기준스탯 72종'!E30*G565</x:f>
        <x:v>2.2399999999999998</x:v>
      </x:c>
      <x:c r="T565" s="15" t="n">
        <x:f>'기준스탯 72종'!F30*G565</x:f>
        <x:v>2.2399999999999998</x:v>
      </x:c>
      <x:c r="U565" s="15" t="n">
        <x:f>'기준스탯 72종'!G30*G565</x:f>
        <x:v>1.9599999999999997</x:v>
      </x:c>
      <x:c r="V565" s="15" t="n">
        <x:f>'기준스탯 72종'!H30*G565</x:f>
        <x:v>0.8399999999999999</x:v>
      </x:c>
      <x:c r="W565" s="15" t="n">
        <x:f>'기준스탯 72종'!I30*G565</x:f>
        <x:v>1.6799999999999997</x:v>
      </x:c>
      <x:c r="X565" s="15" t="n">
        <x:f>'기준스탯 72종'!J30*G565</x:f>
        <x:v>0.5599999999999999</x:v>
      </x:c>
      <x:c r="Y565" s="15" t="n">
        <x:f>'기준스탯 72종'!K30*G565</x:f>
        <x:v>1.4</x:v>
      </x:c>
      <x:c r="Z565" s="15" t="n">
        <x:f>'기준스탯 72종'!D30*H565</x:f>
        <x:v>1.2600000000000002</x:v>
      </x:c>
      <x:c r="AA565" s="15" t="n">
        <x:f>'기준스탯 72종'!E30*H565</x:f>
        <x:v>1.4400000000000004</x:v>
      </x:c>
      <x:c r="AB565" s="15" t="n">
        <x:f>'기준스탯 72종'!F30*H565</x:f>
        <x:v>1.4400000000000004</x:v>
      </x:c>
      <x:c r="AC565" s="15" t="n">
        <x:f>'기준스탯 72종'!G30*H565</x:f>
        <x:v>1.2600000000000002</x:v>
      </x:c>
      <x:c r="AD565" s="15" t="n">
        <x:f>'기준스탯 72종'!H30*H565</x:f>
        <x:v>0.5400000000000001</x:v>
      </x:c>
      <x:c r="AE565" s="15" t="n">
        <x:f>'기준스탯 72종'!I30*H565</x:f>
        <x:v>1.0800000000000003</x:v>
      </x:c>
      <x:c r="AF565" s="15" t="n">
        <x:f>'기준스탯 72종'!J30*H565</x:f>
        <x:v>0.3600000000000001</x:v>
      </x:c>
      <x:c r="AG565" s="15" t="n">
        <x:f>'기준스탯 72종'!K30*H565</x:f>
        <x:v>0.9000000000000002</x:v>
      </x:c>
    </x:row>
    <x:row r="566" ht="28" customHeight="1">
      <x:c r="A566" s="2" t="n">
        <x:v>559</x:v>
      </x:c>
      <x:c r="B566" s="2" t="n">
        <x:v>23</x:v>
      </x:c>
      <x:c r="C566" s="2" t="str">
        <x:v>게자리</x:v>
      </x:c>
      <x:c r="D566" s="2" t="str">
        <x:v>도적</x:v>
      </x:c>
      <x:c r="E566" s="2" t="n">
        <x:v>4</x:v>
      </x:c>
      <x:c r="F566" s="2" t="n">
        <x:v>2</x:v>
      </x:c>
      <x:c r="G566" s="14" t="n">
        <x:f>('레벨 계산식'!$E$4-E566)*'레벨 계산식'!$B$5</x:f>
        <x:v>0.13999999999999999</x:v>
      </x:c>
      <x:c r="H566" s="14" t="n">
        <x:f>('등급 계산식'!$E$4-F566)*'등급 계산식'!$B$5</x:f>
        <x:v>0.18000000000000005</x:v>
      </x:c>
      <x:c r="I566" s="14" t="n">
        <x:f>1-G566-H566</x:f>
        <x:v>0.6799999999999999</x:v>
      </x:c>
      <x:c r="J566" s="2" t="n">
        <x:f>MAX(1,ROUND('기준스탯 72종'!D30-R566-Z566,0))</x:f>
        <x:v>5</x:v>
      </x:c>
      <x:c r="K566" s="2" t="n">
        <x:f>MAX(1,ROUND('기준스탯 72종'!E30-S566-AA566,0))</x:f>
        <x:v>5</x:v>
      </x:c>
      <x:c r="L566" s="2" t="n">
        <x:f>MAX(1,ROUND('기준스탯 72종'!F30-T566-AB566,0))</x:f>
        <x:v>5</x:v>
      </x:c>
      <x:c r="M566" s="2" t="n">
        <x:f>MAX(1,ROUND('기준스탯 72종'!G30-U566-AC566,0))</x:f>
        <x:v>5</x:v>
      </x:c>
      <x:c r="N566" s="2" t="n">
        <x:f>MAX(0,ROUND('기준스탯 72종'!H30-V566-AD566,0))</x:f>
        <x:v>2</x:v>
      </x:c>
      <x:c r="O566" s="2" t="n">
        <x:f>MAX(0,ROUND('기준스탯 72종'!I30-W566-AE566,0))</x:f>
        <x:v>4</x:v>
      </x:c>
      <x:c r="P566" s="2" t="n">
        <x:f>MAX(0,ROUND('기준스탯 72종'!J30-X566-AF566,0))</x:f>
        <x:v>1</x:v>
      </x:c>
      <x:c r="Q566" s="2" t="n">
        <x:f>MAX(0,ROUND('기준스탯 72종'!K30-Y566-AG566,0))</x:f>
        <x:v>3</x:v>
      </x:c>
      <x:c r="R566" s="15" t="n">
        <x:f>'기준스탯 72종'!D30*G566</x:f>
        <x:v>0.9799999999999999</x:v>
      </x:c>
      <x:c r="S566" s="15" t="n">
        <x:f>'기준스탯 72종'!E30*G566</x:f>
        <x:v>1.1199999999999999</x:v>
      </x:c>
      <x:c r="T566" s="15" t="n">
        <x:f>'기준스탯 72종'!F30*G566</x:f>
        <x:v>1.1199999999999999</x:v>
      </x:c>
      <x:c r="U566" s="15" t="n">
        <x:f>'기준스탯 72종'!G30*G566</x:f>
        <x:v>0.9799999999999999</x:v>
      </x:c>
      <x:c r="V566" s="15" t="n">
        <x:f>'기준스탯 72종'!H30*G566</x:f>
        <x:v>0.41999999999999993</x:v>
      </x:c>
      <x:c r="W566" s="15" t="n">
        <x:f>'기준스탯 72종'!I30*G566</x:f>
        <x:v>0.8399999999999999</x:v>
      </x:c>
      <x:c r="X566" s="15" t="n">
        <x:f>'기준스탯 72종'!J30*G566</x:f>
        <x:v>0.27999999999999997</x:v>
      </x:c>
      <x:c r="Y566" s="15" t="n">
        <x:f>'기준스탯 72종'!K30*G566</x:f>
        <x:v>0.7</x:v>
      </x:c>
      <x:c r="Z566" s="15" t="n">
        <x:f>'기준스탯 72종'!D30*H566</x:f>
        <x:v>1.2600000000000002</x:v>
      </x:c>
      <x:c r="AA566" s="15" t="n">
        <x:f>'기준스탯 72종'!E30*H566</x:f>
        <x:v>1.4400000000000004</x:v>
      </x:c>
      <x:c r="AB566" s="15" t="n">
        <x:f>'기준스탯 72종'!F30*H566</x:f>
        <x:v>1.4400000000000004</x:v>
      </x:c>
      <x:c r="AC566" s="15" t="n">
        <x:f>'기준스탯 72종'!G30*H566</x:f>
        <x:v>1.2600000000000002</x:v>
      </x:c>
      <x:c r="AD566" s="15" t="n">
        <x:f>'기준스탯 72종'!H30*H566</x:f>
        <x:v>0.5400000000000001</x:v>
      </x:c>
      <x:c r="AE566" s="15" t="n">
        <x:f>'기준스탯 72종'!I30*H566</x:f>
        <x:v>1.0800000000000003</x:v>
      </x:c>
      <x:c r="AF566" s="15" t="n">
        <x:f>'기준스탯 72종'!J30*H566</x:f>
        <x:v>0.3600000000000001</x:v>
      </x:c>
      <x:c r="AG566" s="15" t="n">
        <x:f>'기준스탯 72종'!K30*H566</x:f>
        <x:v>0.9000000000000002</x:v>
      </x:c>
    </x:row>
    <x:row r="567" ht="28" customHeight="1">
      <x:c r="A567" s="2" t="n">
        <x:v>560</x:v>
      </x:c>
      <x:c r="B567" s="2" t="n">
        <x:v>23</x:v>
      </x:c>
      <x:c r="C567" s="2" t="str">
        <x:v>게자리</x:v>
      </x:c>
      <x:c r="D567" s="2" t="str">
        <x:v>도적</x:v>
      </x:c>
      <x:c r="E567" s="2" t="n">
        <x:v>5</x:v>
      </x:c>
      <x:c r="F567" s="2" t="n">
        <x:v>2</x:v>
      </x:c>
      <x:c r="G567" s="14" t="n">
        <x:f>('레벨 계산식'!$E$4-E567)*'레벨 계산식'!$B$5</x:f>
        <x:v>0</x:v>
      </x:c>
      <x:c r="H567" s="14" t="n">
        <x:f>('등급 계산식'!$E$4-F567)*'등급 계산식'!$B$5</x:f>
        <x:v>0.18000000000000005</x:v>
      </x:c>
      <x:c r="I567" s="14" t="n">
        <x:f>1-G567-H567</x:f>
        <x:v>0.82</x:v>
      </x:c>
      <x:c r="J567" s="2" t="n">
        <x:f>MAX(1,ROUND('기준스탯 72종'!D30-R567-Z567,0))</x:f>
        <x:v>6</x:v>
      </x:c>
      <x:c r="K567" s="2" t="n">
        <x:f>MAX(1,ROUND('기준스탯 72종'!E30-S567-AA567,0))</x:f>
        <x:v>7</x:v>
      </x:c>
      <x:c r="L567" s="2" t="n">
        <x:f>MAX(1,ROUND('기준스탯 72종'!F30-T567-AB567,0))</x:f>
        <x:v>7</x:v>
      </x:c>
      <x:c r="M567" s="2" t="n">
        <x:f>MAX(1,ROUND('기준스탯 72종'!G30-U567-AC567,0))</x:f>
        <x:v>6</x:v>
      </x:c>
      <x:c r="N567" s="2" t="n">
        <x:f>MAX(0,ROUND('기준스탯 72종'!H30-V567-AD567,0))</x:f>
        <x:v>2</x:v>
      </x:c>
      <x:c r="O567" s="2" t="n">
        <x:f>MAX(0,ROUND('기준스탯 72종'!I30-W567-AE567,0))</x:f>
        <x:v>5</x:v>
      </x:c>
      <x:c r="P567" s="2" t="n">
        <x:f>MAX(0,ROUND('기준스탯 72종'!J30-X567-AF567,0))</x:f>
        <x:v>2</x:v>
      </x:c>
      <x:c r="Q567" s="2" t="n">
        <x:f>MAX(0,ROUND('기준스탯 72종'!K30-Y567-AG567,0))</x:f>
        <x:v>4</x:v>
      </x:c>
      <x:c r="R567" s="15" t="n">
        <x:f>'기준스탯 72종'!D30*G567</x:f>
        <x:v>0</x:v>
      </x:c>
      <x:c r="S567" s="15" t="n">
        <x:f>'기준스탯 72종'!E30*G567</x:f>
        <x:v>0</x:v>
      </x:c>
      <x:c r="T567" s="15" t="n">
        <x:f>'기준스탯 72종'!F30*G567</x:f>
        <x:v>0</x:v>
      </x:c>
      <x:c r="U567" s="15" t="n">
        <x:f>'기준스탯 72종'!G30*G567</x:f>
        <x:v>0</x:v>
      </x:c>
      <x:c r="V567" s="15" t="n">
        <x:f>'기준스탯 72종'!H30*G567</x:f>
        <x:v>0</x:v>
      </x:c>
      <x:c r="W567" s="15" t="n">
        <x:f>'기준스탯 72종'!I30*G567</x:f>
        <x:v>0</x:v>
      </x:c>
      <x:c r="X567" s="15" t="n">
        <x:f>'기준스탯 72종'!J30*G567</x:f>
        <x:v>0</x:v>
      </x:c>
      <x:c r="Y567" s="15" t="n">
        <x:f>'기준스탯 72종'!K30*G567</x:f>
        <x:v>0</x:v>
      </x:c>
      <x:c r="Z567" s="15" t="n">
        <x:f>'기준스탯 72종'!D30*H567</x:f>
        <x:v>1.2600000000000002</x:v>
      </x:c>
      <x:c r="AA567" s="15" t="n">
        <x:f>'기준스탯 72종'!E30*H567</x:f>
        <x:v>1.4400000000000004</x:v>
      </x:c>
      <x:c r="AB567" s="15" t="n">
        <x:f>'기준스탯 72종'!F30*H567</x:f>
        <x:v>1.4400000000000004</x:v>
      </x:c>
      <x:c r="AC567" s="15" t="n">
        <x:f>'기준스탯 72종'!G30*H567</x:f>
        <x:v>1.2600000000000002</x:v>
      </x:c>
      <x:c r="AD567" s="15" t="n">
        <x:f>'기준스탯 72종'!H30*H567</x:f>
        <x:v>0.5400000000000001</x:v>
      </x:c>
      <x:c r="AE567" s="15" t="n">
        <x:f>'기준스탯 72종'!I30*H567</x:f>
        <x:v>1.0800000000000003</x:v>
      </x:c>
      <x:c r="AF567" s="15" t="n">
        <x:f>'기준스탯 72종'!J30*H567</x:f>
        <x:v>0.3600000000000001</x:v>
      </x:c>
      <x:c r="AG567" s="15" t="n">
        <x:f>'기준스탯 72종'!K30*H567</x:f>
        <x:v>0.9000000000000002</x:v>
      </x:c>
    </x:row>
    <x:row r="568" ht="28" customHeight="1">
      <x:c r="A568" s="2" t="n">
        <x:v>561</x:v>
      </x:c>
      <x:c r="B568" s="2" t="n">
        <x:v>23</x:v>
      </x:c>
      <x:c r="C568" s="2" t="str">
        <x:v>게자리</x:v>
      </x:c>
      <x:c r="D568" s="2" t="str">
        <x:v>도적</x:v>
      </x:c>
      <x:c r="E568" s="2" t="n">
        <x:v>1</x:v>
      </x:c>
      <x:c r="F568" s="2" t="n">
        <x:v>3</x:v>
      </x:c>
      <x:c r="G568" s="14" t="n">
        <x:f>('레벨 계산식'!$E$4-E568)*'레벨 계산식'!$B$5</x:f>
        <x:v>0.5599999999999999</x:v>
      </x:c>
      <x:c r="H568" s="14" t="n">
        <x:f>('등급 계산식'!$E$4-F568)*'등급 계산식'!$B$5</x:f>
        <x:v>0.12000000000000002</x:v>
      </x:c>
      <x:c r="I568" s="14" t="n">
        <x:f>1-G568-H568</x:f>
        <x:v>0.32000000000000006</x:v>
      </x:c>
      <x:c r="J568" s="2" t="n">
        <x:f>MAX(1,ROUND('기준스탯 72종'!D30-R568-Z568,0))</x:f>
        <x:v>2</x:v>
      </x:c>
      <x:c r="K568" s="2" t="n">
        <x:f>MAX(1,ROUND('기준스탯 72종'!E30-S568-AA568,0))</x:f>
        <x:v>3</x:v>
      </x:c>
      <x:c r="L568" s="2" t="n">
        <x:f>MAX(1,ROUND('기준스탯 72종'!F30-T568-AB568,0))</x:f>
        <x:v>3</x:v>
      </x:c>
      <x:c r="M568" s="2" t="n">
        <x:f>MAX(1,ROUND('기준스탯 72종'!G30-U568-AC568,0))</x:f>
        <x:v>2</x:v>
      </x:c>
      <x:c r="N568" s="2" t="n">
        <x:f>MAX(0,ROUND('기준스탯 72종'!H30-V568-AD568,0))</x:f>
        <x:v>1</x:v>
      </x:c>
      <x:c r="O568" s="2" t="n">
        <x:f>MAX(0,ROUND('기준스탯 72종'!I30-W568-AE568,0))</x:f>
        <x:v>2</x:v>
      </x:c>
      <x:c r="P568" s="2" t="n">
        <x:f>MAX(0,ROUND('기준스탯 72종'!J30-X568-AF568,0))</x:f>
        <x:v>1</x:v>
      </x:c>
      <x:c r="Q568" s="2" t="n">
        <x:f>MAX(0,ROUND('기준스탯 72종'!K30-Y568-AG568,0))</x:f>
        <x:v>2</x:v>
      </x:c>
      <x:c r="R568" s="15" t="n">
        <x:f>'기준스탯 72종'!D30*G568</x:f>
        <x:v>3.9199999999999995</x:v>
      </x:c>
      <x:c r="S568" s="15" t="n">
        <x:f>'기준스탯 72종'!E30*G568</x:f>
        <x:v>4.4799999999999995</x:v>
      </x:c>
      <x:c r="T568" s="15" t="n">
        <x:f>'기준스탯 72종'!F30*G568</x:f>
        <x:v>4.4799999999999995</x:v>
      </x:c>
      <x:c r="U568" s="15" t="n">
        <x:f>'기준스탯 72종'!G30*G568</x:f>
        <x:v>3.9199999999999995</x:v>
      </x:c>
      <x:c r="V568" s="15" t="n">
        <x:f>'기준스탯 72종'!H30*G568</x:f>
        <x:v>1.6799999999999997</x:v>
      </x:c>
      <x:c r="W568" s="15" t="n">
        <x:f>'기준스탯 72종'!I30*G568</x:f>
        <x:v>3.3599999999999994</x:v>
      </x:c>
      <x:c r="X568" s="15" t="n">
        <x:f>'기준스탯 72종'!J30*G568</x:f>
        <x:v>1.1199999999999999</x:v>
      </x:c>
      <x:c r="Y568" s="15" t="n">
        <x:f>'기준스탯 72종'!K30*G568</x:f>
        <x:v>2.8</x:v>
      </x:c>
      <x:c r="Z568" s="15" t="n">
        <x:f>'기준스탯 72종'!D30*H568</x:f>
        <x:v>0.8400000000000002</x:v>
      </x:c>
      <x:c r="AA568" s="15" t="n">
        <x:f>'기준스탯 72종'!E30*H568</x:f>
        <x:v>0.9600000000000002</x:v>
      </x:c>
      <x:c r="AB568" s="15" t="n">
        <x:f>'기준스탯 72종'!F30*H568</x:f>
        <x:v>0.9600000000000002</x:v>
      </x:c>
      <x:c r="AC568" s="15" t="n">
        <x:f>'기준스탯 72종'!G30*H568</x:f>
        <x:v>0.8400000000000002</x:v>
      </x:c>
      <x:c r="AD568" s="15" t="n">
        <x:f>'기준스탯 72종'!H30*H568</x:f>
        <x:v>0.3600000000000001</x:v>
      </x:c>
      <x:c r="AE568" s="15" t="n">
        <x:f>'기준스탯 72종'!I30*H568</x:f>
        <x:v>0.7200000000000002</x:v>
      </x:c>
      <x:c r="AF568" s="15" t="n">
        <x:f>'기준스탯 72종'!J30*H568</x:f>
        <x:v>0.24000000000000005</x:v>
      </x:c>
      <x:c r="AG568" s="15" t="n">
        <x:f>'기준스탯 72종'!K30*H568</x:f>
        <x:v>0.6000000000000001</x:v>
      </x:c>
    </x:row>
    <x:row r="569" ht="28" customHeight="1">
      <x:c r="A569" s="2" t="n">
        <x:v>562</x:v>
      </x:c>
      <x:c r="B569" s="2" t="n">
        <x:v>23</x:v>
      </x:c>
      <x:c r="C569" s="2" t="str">
        <x:v>게자리</x:v>
      </x:c>
      <x:c r="D569" s="2" t="str">
        <x:v>도적</x:v>
      </x:c>
      <x:c r="E569" s="2" t="n">
        <x:v>2</x:v>
      </x:c>
      <x:c r="F569" s="2" t="n">
        <x:v>3</x:v>
      </x:c>
      <x:c r="G569" s="14" t="n">
        <x:f>('레벨 계산식'!$E$4-E569)*'레벨 계산식'!$B$5</x:f>
        <x:v>0.41999999999999993</x:v>
      </x:c>
      <x:c r="H569" s="14" t="n">
        <x:f>('등급 계산식'!$E$4-F569)*'등급 계산식'!$B$5</x:f>
        <x:v>0.12000000000000002</x:v>
      </x:c>
      <x:c r="I569" s="14" t="n">
        <x:f>1-G569-H569</x:f>
        <x:v>0.4600000000000001</x:v>
      </x:c>
      <x:c r="J569" s="2" t="n">
        <x:f>MAX(1,ROUND('기준스탯 72종'!D30-R569-Z569,0))</x:f>
        <x:v>3</x:v>
      </x:c>
      <x:c r="K569" s="2" t="n">
        <x:f>MAX(1,ROUND('기준스탯 72종'!E30-S569-AA569,0))</x:f>
        <x:v>4</x:v>
      </x:c>
      <x:c r="L569" s="2" t="n">
        <x:f>MAX(1,ROUND('기준스탯 72종'!F30-T569-AB569,0))</x:f>
        <x:v>4</x:v>
      </x:c>
      <x:c r="M569" s="2" t="n">
        <x:f>MAX(1,ROUND('기준스탯 72종'!G30-U569-AC569,0))</x:f>
        <x:v>3</x:v>
      </x:c>
      <x:c r="N569" s="2" t="n">
        <x:f>MAX(0,ROUND('기준스탯 72종'!H30-V569-AD569,0))</x:f>
        <x:v>1</x:v>
      </x:c>
      <x:c r="O569" s="2" t="n">
        <x:f>MAX(0,ROUND('기준스탯 72종'!I30-W569-AE569,0))</x:f>
        <x:v>3</x:v>
      </x:c>
      <x:c r="P569" s="2" t="n">
        <x:f>MAX(0,ROUND('기준스탯 72종'!J30-X569-AF569,0))</x:f>
        <x:v>1</x:v>
      </x:c>
      <x:c r="Q569" s="2" t="n">
        <x:f>MAX(0,ROUND('기준스탯 72종'!K30-Y569-AG569,0))</x:f>
        <x:v>2</x:v>
      </x:c>
      <x:c r="R569" s="15" t="n">
        <x:f>'기준스탯 72종'!D30*G569</x:f>
        <x:v>2.9399999999999995</x:v>
      </x:c>
      <x:c r="S569" s="15" t="n">
        <x:f>'기준스탯 72종'!E30*G569</x:f>
        <x:v>3.3599999999999994</x:v>
      </x:c>
      <x:c r="T569" s="15" t="n">
        <x:f>'기준스탯 72종'!F30*G569</x:f>
        <x:v>3.3599999999999994</x:v>
      </x:c>
      <x:c r="U569" s="15" t="n">
        <x:f>'기준스탯 72종'!G30*G569</x:f>
        <x:v>2.9399999999999995</x:v>
      </x:c>
      <x:c r="V569" s="15" t="n">
        <x:f>'기준스탯 72종'!H30*G569</x:f>
        <x:v>1.2599999999999998</x:v>
      </x:c>
      <x:c r="W569" s="15" t="n">
        <x:f>'기준스탯 72종'!I30*G569</x:f>
        <x:v>2.5199999999999996</x:v>
      </x:c>
      <x:c r="X569" s="15" t="n">
        <x:f>'기준스탯 72종'!J30*G569</x:f>
        <x:v>0.8399999999999999</x:v>
      </x:c>
      <x:c r="Y569" s="15" t="n">
        <x:f>'기준스탯 72종'!K30*G569</x:f>
        <x:v>2.0999999999999996</x:v>
      </x:c>
      <x:c r="Z569" s="15" t="n">
        <x:f>'기준스탯 72종'!D30*H569</x:f>
        <x:v>0.8400000000000002</x:v>
      </x:c>
      <x:c r="AA569" s="15" t="n">
        <x:f>'기준스탯 72종'!E30*H569</x:f>
        <x:v>0.9600000000000002</x:v>
      </x:c>
      <x:c r="AB569" s="15" t="n">
        <x:f>'기준스탯 72종'!F30*H569</x:f>
        <x:v>0.9600000000000002</x:v>
      </x:c>
      <x:c r="AC569" s="15" t="n">
        <x:f>'기준스탯 72종'!G30*H569</x:f>
        <x:v>0.8400000000000002</x:v>
      </x:c>
      <x:c r="AD569" s="15" t="n">
        <x:f>'기준스탯 72종'!H30*H569</x:f>
        <x:v>0.3600000000000001</x:v>
      </x:c>
      <x:c r="AE569" s="15" t="n">
        <x:f>'기준스탯 72종'!I30*H569</x:f>
        <x:v>0.7200000000000002</x:v>
      </x:c>
      <x:c r="AF569" s="15" t="n">
        <x:f>'기준스탯 72종'!J30*H569</x:f>
        <x:v>0.24000000000000005</x:v>
      </x:c>
      <x:c r="AG569" s="15" t="n">
        <x:f>'기준스탯 72종'!K30*H569</x:f>
        <x:v>0.6000000000000001</x:v>
      </x:c>
    </x:row>
    <x:row r="570" ht="28" customHeight="1">
      <x:c r="A570" s="2" t="n">
        <x:v>563</x:v>
      </x:c>
      <x:c r="B570" s="2" t="n">
        <x:v>23</x:v>
      </x:c>
      <x:c r="C570" s="2" t="str">
        <x:v>게자리</x:v>
      </x:c>
      <x:c r="D570" s="2" t="str">
        <x:v>도적</x:v>
      </x:c>
      <x:c r="E570" s="2" t="n">
        <x:v>3</x:v>
      </x:c>
      <x:c r="F570" s="2" t="n">
        <x:v>3</x:v>
      </x:c>
      <x:c r="G570" s="14" t="n">
        <x:f>('레벨 계산식'!$E$4-E570)*'레벨 계산식'!$B$5</x:f>
        <x:v>0.27999999999999997</x:v>
      </x:c>
      <x:c r="H570" s="14" t="n">
        <x:f>('등급 계산식'!$E$4-F570)*'등급 계산식'!$B$5</x:f>
        <x:v>0.12000000000000002</x:v>
      </x:c>
      <x:c r="I570" s="14" t="n">
        <x:f>1-G570-H570</x:f>
        <x:v>0.6</x:v>
      </x:c>
      <x:c r="J570" s="2" t="n">
        <x:f>MAX(1,ROUND('기준스탯 72종'!D30-R570-Z570,0))</x:f>
        <x:v>4</x:v>
      </x:c>
      <x:c r="K570" s="2" t="n">
        <x:f>MAX(1,ROUND('기준스탯 72종'!E30-S570-AA570,0))</x:f>
        <x:v>5</x:v>
      </x:c>
      <x:c r="L570" s="2" t="n">
        <x:f>MAX(1,ROUND('기준스탯 72종'!F30-T570-AB570,0))</x:f>
        <x:v>5</x:v>
      </x:c>
      <x:c r="M570" s="2" t="n">
        <x:f>MAX(1,ROUND('기준스탯 72종'!G30-U570-AC570,0))</x:f>
        <x:v>4</x:v>
      </x:c>
      <x:c r="N570" s="2" t="n">
        <x:f>MAX(0,ROUND('기준스탯 72종'!H30-V570-AD570,0))</x:f>
        <x:v>2</x:v>
      </x:c>
      <x:c r="O570" s="2" t="n">
        <x:f>MAX(0,ROUND('기준스탯 72종'!I30-W570-AE570,0))</x:f>
        <x:v>4</x:v>
      </x:c>
      <x:c r="P570" s="2" t="n">
        <x:f>MAX(0,ROUND('기준스탯 72종'!J30-X570-AF570,0))</x:f>
        <x:v>1</x:v>
      </x:c>
      <x:c r="Q570" s="2" t="n">
        <x:f>MAX(0,ROUND('기준스탯 72종'!K30-Y570-AG570,0))</x:f>
        <x:v>3</x:v>
      </x:c>
      <x:c r="R570" s="15" t="n">
        <x:f>'기준스탯 72종'!D30*G570</x:f>
        <x:v>1.9599999999999997</x:v>
      </x:c>
      <x:c r="S570" s="15" t="n">
        <x:f>'기준스탯 72종'!E30*G570</x:f>
        <x:v>2.2399999999999998</x:v>
      </x:c>
      <x:c r="T570" s="15" t="n">
        <x:f>'기준스탯 72종'!F30*G570</x:f>
        <x:v>2.2399999999999998</x:v>
      </x:c>
      <x:c r="U570" s="15" t="n">
        <x:f>'기준스탯 72종'!G30*G570</x:f>
        <x:v>1.9599999999999997</x:v>
      </x:c>
      <x:c r="V570" s="15" t="n">
        <x:f>'기준스탯 72종'!H30*G570</x:f>
        <x:v>0.8399999999999999</x:v>
      </x:c>
      <x:c r="W570" s="15" t="n">
        <x:f>'기준스탯 72종'!I30*G570</x:f>
        <x:v>1.6799999999999997</x:v>
      </x:c>
      <x:c r="X570" s="15" t="n">
        <x:f>'기준스탯 72종'!J30*G570</x:f>
        <x:v>0.5599999999999999</x:v>
      </x:c>
      <x:c r="Y570" s="15" t="n">
        <x:f>'기준스탯 72종'!K30*G570</x:f>
        <x:v>1.4</x:v>
      </x:c>
      <x:c r="Z570" s="15" t="n">
        <x:f>'기준스탯 72종'!D30*H570</x:f>
        <x:v>0.8400000000000002</x:v>
      </x:c>
      <x:c r="AA570" s="15" t="n">
        <x:f>'기준스탯 72종'!E30*H570</x:f>
        <x:v>0.9600000000000002</x:v>
      </x:c>
      <x:c r="AB570" s="15" t="n">
        <x:f>'기준스탯 72종'!F30*H570</x:f>
        <x:v>0.9600000000000002</x:v>
      </x:c>
      <x:c r="AC570" s="15" t="n">
        <x:f>'기준스탯 72종'!G30*H570</x:f>
        <x:v>0.8400000000000002</x:v>
      </x:c>
      <x:c r="AD570" s="15" t="n">
        <x:f>'기준스탯 72종'!H30*H570</x:f>
        <x:v>0.3600000000000001</x:v>
      </x:c>
      <x:c r="AE570" s="15" t="n">
        <x:f>'기준스탯 72종'!I30*H570</x:f>
        <x:v>0.7200000000000002</x:v>
      </x:c>
      <x:c r="AF570" s="15" t="n">
        <x:f>'기준스탯 72종'!J30*H570</x:f>
        <x:v>0.24000000000000005</x:v>
      </x:c>
      <x:c r="AG570" s="15" t="n">
        <x:f>'기준스탯 72종'!K30*H570</x:f>
        <x:v>0.6000000000000001</x:v>
      </x:c>
    </x:row>
    <x:row r="571" ht="28" customHeight="1">
      <x:c r="A571" s="2" t="n">
        <x:v>564</x:v>
      </x:c>
      <x:c r="B571" s="2" t="n">
        <x:v>23</x:v>
      </x:c>
      <x:c r="C571" s="2" t="str">
        <x:v>게자리</x:v>
      </x:c>
      <x:c r="D571" s="2" t="str">
        <x:v>도적</x:v>
      </x:c>
      <x:c r="E571" s="2" t="n">
        <x:v>4</x:v>
      </x:c>
      <x:c r="F571" s="2" t="n">
        <x:v>3</x:v>
      </x:c>
      <x:c r="G571" s="14" t="n">
        <x:f>('레벨 계산식'!$E$4-E571)*'레벨 계산식'!$B$5</x:f>
        <x:v>0.13999999999999999</x:v>
      </x:c>
      <x:c r="H571" s="14" t="n">
        <x:f>('등급 계산식'!$E$4-F571)*'등급 계산식'!$B$5</x:f>
        <x:v>0.12000000000000002</x:v>
      </x:c>
      <x:c r="I571" s="14" t="n">
        <x:f>1-G571-H571</x:f>
        <x:v>0.74</x:v>
      </x:c>
      <x:c r="J571" s="2" t="n">
        <x:f>MAX(1,ROUND('기준스탯 72종'!D30-R571-Z571,0))</x:f>
        <x:v>5</x:v>
      </x:c>
      <x:c r="K571" s="2" t="n">
        <x:f>MAX(1,ROUND('기준스탯 72종'!E30-S571-AA571,0))</x:f>
        <x:v>6</x:v>
      </x:c>
      <x:c r="L571" s="2" t="n">
        <x:f>MAX(1,ROUND('기준스탯 72종'!F30-T571-AB571,0))</x:f>
        <x:v>6</x:v>
      </x:c>
      <x:c r="M571" s="2" t="n">
        <x:f>MAX(1,ROUND('기준스탯 72종'!G30-U571-AC571,0))</x:f>
        <x:v>5</x:v>
      </x:c>
      <x:c r="N571" s="2" t="n">
        <x:f>MAX(0,ROUND('기준스탯 72종'!H30-V571-AD571,0))</x:f>
        <x:v>2</x:v>
      </x:c>
      <x:c r="O571" s="2" t="n">
        <x:f>MAX(0,ROUND('기준스탯 72종'!I30-W571-AE571,0))</x:f>
        <x:v>4</x:v>
      </x:c>
      <x:c r="P571" s="2" t="n">
        <x:f>MAX(0,ROUND('기준스탯 72종'!J30-X571-AF571,0))</x:f>
        <x:v>1</x:v>
      </x:c>
      <x:c r="Q571" s="2" t="n">
        <x:f>MAX(0,ROUND('기준스탯 72종'!K30-Y571-AG571,0))</x:f>
        <x:v>4</x:v>
      </x:c>
      <x:c r="R571" s="15" t="n">
        <x:f>'기준스탯 72종'!D30*G571</x:f>
        <x:v>0.9799999999999999</x:v>
      </x:c>
      <x:c r="S571" s="15" t="n">
        <x:f>'기준스탯 72종'!E30*G571</x:f>
        <x:v>1.1199999999999999</x:v>
      </x:c>
      <x:c r="T571" s="15" t="n">
        <x:f>'기준스탯 72종'!F30*G571</x:f>
        <x:v>1.1199999999999999</x:v>
      </x:c>
      <x:c r="U571" s="15" t="n">
        <x:f>'기준스탯 72종'!G30*G571</x:f>
        <x:v>0.9799999999999999</x:v>
      </x:c>
      <x:c r="V571" s="15" t="n">
        <x:f>'기준스탯 72종'!H30*G571</x:f>
        <x:v>0.41999999999999993</x:v>
      </x:c>
      <x:c r="W571" s="15" t="n">
        <x:f>'기준스탯 72종'!I30*G571</x:f>
        <x:v>0.8399999999999999</x:v>
      </x:c>
      <x:c r="X571" s="15" t="n">
        <x:f>'기준스탯 72종'!J30*G571</x:f>
        <x:v>0.27999999999999997</x:v>
      </x:c>
      <x:c r="Y571" s="15" t="n">
        <x:f>'기준스탯 72종'!K30*G571</x:f>
        <x:v>0.7</x:v>
      </x:c>
      <x:c r="Z571" s="15" t="n">
        <x:f>'기준스탯 72종'!D30*H571</x:f>
        <x:v>0.8400000000000002</x:v>
      </x:c>
      <x:c r="AA571" s="15" t="n">
        <x:f>'기준스탯 72종'!E30*H571</x:f>
        <x:v>0.9600000000000002</x:v>
      </x:c>
      <x:c r="AB571" s="15" t="n">
        <x:f>'기준스탯 72종'!F30*H571</x:f>
        <x:v>0.9600000000000002</x:v>
      </x:c>
      <x:c r="AC571" s="15" t="n">
        <x:f>'기준스탯 72종'!G30*H571</x:f>
        <x:v>0.8400000000000002</x:v>
      </x:c>
      <x:c r="AD571" s="15" t="n">
        <x:f>'기준스탯 72종'!H30*H571</x:f>
        <x:v>0.3600000000000001</x:v>
      </x:c>
      <x:c r="AE571" s="15" t="n">
        <x:f>'기준스탯 72종'!I30*H571</x:f>
        <x:v>0.7200000000000002</x:v>
      </x:c>
      <x:c r="AF571" s="15" t="n">
        <x:f>'기준스탯 72종'!J30*H571</x:f>
        <x:v>0.24000000000000005</x:v>
      </x:c>
      <x:c r="AG571" s="15" t="n">
        <x:f>'기준스탯 72종'!K30*H571</x:f>
        <x:v>0.6000000000000001</x:v>
      </x:c>
    </x:row>
    <x:row r="572" ht="28" customHeight="1">
      <x:c r="A572" s="2" t="n">
        <x:v>565</x:v>
      </x:c>
      <x:c r="B572" s="2" t="n">
        <x:v>23</x:v>
      </x:c>
      <x:c r="C572" s="2" t="str">
        <x:v>게자리</x:v>
      </x:c>
      <x:c r="D572" s="2" t="str">
        <x:v>도적</x:v>
      </x:c>
      <x:c r="E572" s="2" t="n">
        <x:v>5</x:v>
      </x:c>
      <x:c r="F572" s="2" t="n">
        <x:v>3</x:v>
      </x:c>
      <x:c r="G572" s="14" t="n">
        <x:f>('레벨 계산식'!$E$4-E572)*'레벨 계산식'!$B$5</x:f>
        <x:v>0</x:v>
      </x:c>
      <x:c r="H572" s="14" t="n">
        <x:f>('등급 계산식'!$E$4-F572)*'등급 계산식'!$B$5</x:f>
        <x:v>0.12000000000000002</x:v>
      </x:c>
      <x:c r="I572" s="14" t="n">
        <x:f>1-G572-H572</x:f>
        <x:v>0.88</x:v>
      </x:c>
      <x:c r="J572" s="2" t="n">
        <x:f>MAX(1,ROUND('기준스탯 72종'!D30-R572-Z572,0))</x:f>
        <x:v>6</x:v>
      </x:c>
      <x:c r="K572" s="2" t="n">
        <x:f>MAX(1,ROUND('기준스탯 72종'!E30-S572-AA572,0))</x:f>
        <x:v>7</x:v>
      </x:c>
      <x:c r="L572" s="2" t="n">
        <x:f>MAX(1,ROUND('기준스탯 72종'!F30-T572-AB572,0))</x:f>
        <x:v>7</x:v>
      </x:c>
      <x:c r="M572" s="2" t="n">
        <x:f>MAX(1,ROUND('기준스탯 72종'!G30-U572-AC572,0))</x:f>
        <x:v>6</x:v>
      </x:c>
      <x:c r="N572" s="2" t="n">
        <x:f>MAX(0,ROUND('기준스탯 72종'!H30-V572-AD572,0))</x:f>
        <x:v>3</x:v>
      </x:c>
      <x:c r="O572" s="2" t="n">
        <x:f>MAX(0,ROUND('기준스탯 72종'!I30-W572-AE572,0))</x:f>
        <x:v>5</x:v>
      </x:c>
      <x:c r="P572" s="2" t="n">
        <x:f>MAX(0,ROUND('기준스탯 72종'!J30-X572-AF572,0))</x:f>
        <x:v>2</x:v>
      </x:c>
      <x:c r="Q572" s="2" t="n">
        <x:f>MAX(0,ROUND('기준스탯 72종'!K30-Y572-AG572,0))</x:f>
        <x:v>4</x:v>
      </x:c>
      <x:c r="R572" s="15" t="n">
        <x:f>'기준스탯 72종'!D30*G572</x:f>
        <x:v>0</x:v>
      </x:c>
      <x:c r="S572" s="15" t="n">
        <x:f>'기준스탯 72종'!E30*G572</x:f>
        <x:v>0</x:v>
      </x:c>
      <x:c r="T572" s="15" t="n">
        <x:f>'기준스탯 72종'!F30*G572</x:f>
        <x:v>0</x:v>
      </x:c>
      <x:c r="U572" s="15" t="n">
        <x:f>'기준스탯 72종'!G30*G572</x:f>
        <x:v>0</x:v>
      </x:c>
      <x:c r="V572" s="15" t="n">
        <x:f>'기준스탯 72종'!H30*G572</x:f>
        <x:v>0</x:v>
      </x:c>
      <x:c r="W572" s="15" t="n">
        <x:f>'기준스탯 72종'!I30*G572</x:f>
        <x:v>0</x:v>
      </x:c>
      <x:c r="X572" s="15" t="n">
        <x:f>'기준스탯 72종'!J30*G572</x:f>
        <x:v>0</x:v>
      </x:c>
      <x:c r="Y572" s="15" t="n">
        <x:f>'기준스탯 72종'!K30*G572</x:f>
        <x:v>0</x:v>
      </x:c>
      <x:c r="Z572" s="15" t="n">
        <x:f>'기준스탯 72종'!D30*H572</x:f>
        <x:v>0.8400000000000002</x:v>
      </x:c>
      <x:c r="AA572" s="15" t="n">
        <x:f>'기준스탯 72종'!E30*H572</x:f>
        <x:v>0.9600000000000002</x:v>
      </x:c>
      <x:c r="AB572" s="15" t="n">
        <x:f>'기준스탯 72종'!F30*H572</x:f>
        <x:v>0.9600000000000002</x:v>
      </x:c>
      <x:c r="AC572" s="15" t="n">
        <x:f>'기준스탯 72종'!G30*H572</x:f>
        <x:v>0.8400000000000002</x:v>
      </x:c>
      <x:c r="AD572" s="15" t="n">
        <x:f>'기준스탯 72종'!H30*H572</x:f>
        <x:v>0.3600000000000001</x:v>
      </x:c>
      <x:c r="AE572" s="15" t="n">
        <x:f>'기준스탯 72종'!I30*H572</x:f>
        <x:v>0.7200000000000002</x:v>
      </x:c>
      <x:c r="AF572" s="15" t="n">
        <x:f>'기준스탯 72종'!J30*H572</x:f>
        <x:v>0.24000000000000005</x:v>
      </x:c>
      <x:c r="AG572" s="15" t="n">
        <x:f>'기준스탯 72종'!K30*H572</x:f>
        <x:v>0.6000000000000001</x:v>
      </x:c>
    </x:row>
    <x:row r="573" ht="28" customHeight="1">
      <x:c r="A573" s="2" t="n">
        <x:v>566</x:v>
      </x:c>
      <x:c r="B573" s="2" t="n">
        <x:v>23</x:v>
      </x:c>
      <x:c r="C573" s="2" t="str">
        <x:v>게자리</x:v>
      </x:c>
      <x:c r="D573" s="2" t="str">
        <x:v>도적</x:v>
      </x:c>
      <x:c r="E573" s="2" t="n">
        <x:v>1</x:v>
      </x:c>
      <x:c r="F573" s="2" t="n">
        <x:v>4</x:v>
      </x:c>
      <x:c r="G573" s="14" t="n">
        <x:f>('레벨 계산식'!$E$4-E573)*'레벨 계산식'!$B$5</x:f>
        <x:v>0.5599999999999999</x:v>
      </x:c>
      <x:c r="H573" s="14" t="n">
        <x:f>('등급 계산식'!$E$4-F573)*'등급 계산식'!$B$5</x:f>
        <x:v>0.06000000000000001</x:v>
      </x:c>
      <x:c r="I573" s="14" t="n">
        <x:f>1-G573-H573</x:f>
        <x:v>0.38000000000000006</x:v>
      </x:c>
      <x:c r="J573" s="2" t="n">
        <x:f>MAX(1,ROUND('기준스탯 72종'!D30-R573-Z573,0))</x:f>
        <x:v>3</x:v>
      </x:c>
      <x:c r="K573" s="2" t="n">
        <x:f>MAX(1,ROUND('기준스탯 72종'!E30-S573-AA573,0))</x:f>
        <x:v>3</x:v>
      </x:c>
      <x:c r="L573" s="2" t="n">
        <x:f>MAX(1,ROUND('기준스탯 72종'!F30-T573-AB573,0))</x:f>
        <x:v>3</x:v>
      </x:c>
      <x:c r="M573" s="2" t="n">
        <x:f>MAX(1,ROUND('기준스탯 72종'!G30-U573-AC573,0))</x:f>
        <x:v>3</x:v>
      </x:c>
      <x:c r="N573" s="2" t="n">
        <x:f>MAX(0,ROUND('기준스탯 72종'!H30-V573-AD573,0))</x:f>
        <x:v>1</x:v>
      </x:c>
      <x:c r="O573" s="2" t="n">
        <x:f>MAX(0,ROUND('기준스탯 72종'!I30-W573-AE573,0))</x:f>
        <x:v>2</x:v>
      </x:c>
      <x:c r="P573" s="2" t="n">
        <x:f>MAX(0,ROUND('기준스탯 72종'!J30-X573-AF573,0))</x:f>
        <x:v>1</x:v>
      </x:c>
      <x:c r="Q573" s="2" t="n">
        <x:f>MAX(0,ROUND('기준스탯 72종'!K30-Y573-AG573,0))</x:f>
        <x:v>2</x:v>
      </x:c>
      <x:c r="R573" s="15" t="n">
        <x:f>'기준스탯 72종'!D30*G573</x:f>
        <x:v>3.9199999999999995</x:v>
      </x:c>
      <x:c r="S573" s="15" t="n">
        <x:f>'기준스탯 72종'!E30*G573</x:f>
        <x:v>4.4799999999999995</x:v>
      </x:c>
      <x:c r="T573" s="15" t="n">
        <x:f>'기준스탯 72종'!F30*G573</x:f>
        <x:v>4.4799999999999995</x:v>
      </x:c>
      <x:c r="U573" s="15" t="n">
        <x:f>'기준스탯 72종'!G30*G573</x:f>
        <x:v>3.9199999999999995</x:v>
      </x:c>
      <x:c r="V573" s="15" t="n">
        <x:f>'기준스탯 72종'!H30*G573</x:f>
        <x:v>1.6799999999999997</x:v>
      </x:c>
      <x:c r="W573" s="15" t="n">
        <x:f>'기준스탯 72종'!I30*G573</x:f>
        <x:v>3.3599999999999994</x:v>
      </x:c>
      <x:c r="X573" s="15" t="n">
        <x:f>'기준스탯 72종'!J30*G573</x:f>
        <x:v>1.1199999999999999</x:v>
      </x:c>
      <x:c r="Y573" s="15" t="n">
        <x:f>'기준스탯 72종'!K30*G573</x:f>
        <x:v>2.8</x:v>
      </x:c>
      <x:c r="Z573" s="15" t="n">
        <x:f>'기준스탯 72종'!D30*H573</x:f>
        <x:v>0.4200000000000001</x:v>
      </x:c>
      <x:c r="AA573" s="15" t="n">
        <x:f>'기준스탯 72종'!E30*H573</x:f>
        <x:v>0.4800000000000001</x:v>
      </x:c>
      <x:c r="AB573" s="15" t="n">
        <x:f>'기준스탯 72종'!F30*H573</x:f>
        <x:v>0.4800000000000001</x:v>
      </x:c>
      <x:c r="AC573" s="15" t="n">
        <x:f>'기준스탯 72종'!G30*H573</x:f>
        <x:v>0.4200000000000001</x:v>
      </x:c>
      <x:c r="AD573" s="15" t="n">
        <x:f>'기준스탯 72종'!H30*H573</x:f>
        <x:v>0.18000000000000005</x:v>
      </x:c>
      <x:c r="AE573" s="15" t="n">
        <x:f>'기준스탯 72종'!I30*H573</x:f>
        <x:v>0.3600000000000001</x:v>
      </x:c>
      <x:c r="AF573" s="15" t="n">
        <x:f>'기준스탯 72종'!J30*H573</x:f>
        <x:v>0.12000000000000002</x:v>
      </x:c>
      <x:c r="AG573" s="15" t="n">
        <x:f>'기준스탯 72종'!K30*H573</x:f>
        <x:v>0.30000000000000004</x:v>
      </x:c>
    </x:row>
    <x:row r="574" ht="28" customHeight="1">
      <x:c r="A574" s="2" t="n">
        <x:v>567</x:v>
      </x:c>
      <x:c r="B574" s="2" t="n">
        <x:v>23</x:v>
      </x:c>
      <x:c r="C574" s="2" t="str">
        <x:v>게자리</x:v>
      </x:c>
      <x:c r="D574" s="2" t="str">
        <x:v>도적</x:v>
      </x:c>
      <x:c r="E574" s="2" t="n">
        <x:v>2</x:v>
      </x:c>
      <x:c r="F574" s="2" t="n">
        <x:v>4</x:v>
      </x:c>
      <x:c r="G574" s="14" t="n">
        <x:f>('레벨 계산식'!$E$4-E574)*'레벨 계산식'!$B$5</x:f>
        <x:v>0.41999999999999993</x:v>
      </x:c>
      <x:c r="H574" s="14" t="n">
        <x:f>('등급 계산식'!$E$4-F574)*'등급 계산식'!$B$5</x:f>
        <x:v>0.06000000000000001</x:v>
      </x:c>
      <x:c r="I574" s="14" t="n">
        <x:f>1-G574-H574</x:f>
        <x:v>0.52</x:v>
      </x:c>
      <x:c r="J574" s="2" t="n">
        <x:f>MAX(1,ROUND('기준스탯 72종'!D30-R574-Z574,0))</x:f>
        <x:v>4</x:v>
      </x:c>
      <x:c r="K574" s="2" t="n">
        <x:f>MAX(1,ROUND('기준스탯 72종'!E30-S574-AA574,0))</x:f>
        <x:v>4</x:v>
      </x:c>
      <x:c r="L574" s="2" t="n">
        <x:f>MAX(1,ROUND('기준스탯 72종'!F30-T574-AB574,0))</x:f>
        <x:v>4</x:v>
      </x:c>
      <x:c r="M574" s="2" t="n">
        <x:f>MAX(1,ROUND('기준스탯 72종'!G30-U574-AC574,0))</x:f>
        <x:v>4</x:v>
      </x:c>
      <x:c r="N574" s="2" t="n">
        <x:f>MAX(0,ROUND('기준스탯 72종'!H30-V574-AD574,0))</x:f>
        <x:v>2</x:v>
      </x:c>
      <x:c r="O574" s="2" t="n">
        <x:f>MAX(0,ROUND('기준스탯 72종'!I30-W574-AE574,0))</x:f>
        <x:v>3</x:v>
      </x:c>
      <x:c r="P574" s="2" t="n">
        <x:f>MAX(0,ROUND('기준스탯 72종'!J30-X574-AF574,0))</x:f>
        <x:v>1</x:v>
      </x:c>
      <x:c r="Q574" s="2" t="n">
        <x:f>MAX(0,ROUND('기준스탯 72종'!K30-Y574-AG574,0))</x:f>
        <x:v>3</x:v>
      </x:c>
      <x:c r="R574" s="15" t="n">
        <x:f>'기준스탯 72종'!D30*G574</x:f>
        <x:v>2.9399999999999995</x:v>
      </x:c>
      <x:c r="S574" s="15" t="n">
        <x:f>'기준스탯 72종'!E30*G574</x:f>
        <x:v>3.3599999999999994</x:v>
      </x:c>
      <x:c r="T574" s="15" t="n">
        <x:f>'기준스탯 72종'!F30*G574</x:f>
        <x:v>3.3599999999999994</x:v>
      </x:c>
      <x:c r="U574" s="15" t="n">
        <x:f>'기준스탯 72종'!G30*G574</x:f>
        <x:v>2.9399999999999995</x:v>
      </x:c>
      <x:c r="V574" s="15" t="n">
        <x:f>'기준스탯 72종'!H30*G574</x:f>
        <x:v>1.2599999999999998</x:v>
      </x:c>
      <x:c r="W574" s="15" t="n">
        <x:f>'기준스탯 72종'!I30*G574</x:f>
        <x:v>2.5199999999999996</x:v>
      </x:c>
      <x:c r="X574" s="15" t="n">
        <x:f>'기준스탯 72종'!J30*G574</x:f>
        <x:v>0.8399999999999999</x:v>
      </x:c>
      <x:c r="Y574" s="15" t="n">
        <x:f>'기준스탯 72종'!K30*G574</x:f>
        <x:v>2.0999999999999996</x:v>
      </x:c>
      <x:c r="Z574" s="15" t="n">
        <x:f>'기준스탯 72종'!D30*H574</x:f>
        <x:v>0.4200000000000001</x:v>
      </x:c>
      <x:c r="AA574" s="15" t="n">
        <x:f>'기준스탯 72종'!E30*H574</x:f>
        <x:v>0.4800000000000001</x:v>
      </x:c>
      <x:c r="AB574" s="15" t="n">
        <x:f>'기준스탯 72종'!F30*H574</x:f>
        <x:v>0.4800000000000001</x:v>
      </x:c>
      <x:c r="AC574" s="15" t="n">
        <x:f>'기준스탯 72종'!G30*H574</x:f>
        <x:v>0.4200000000000001</x:v>
      </x:c>
      <x:c r="AD574" s="15" t="n">
        <x:f>'기준스탯 72종'!H30*H574</x:f>
        <x:v>0.18000000000000005</x:v>
      </x:c>
      <x:c r="AE574" s="15" t="n">
        <x:f>'기준스탯 72종'!I30*H574</x:f>
        <x:v>0.3600000000000001</x:v>
      </x:c>
      <x:c r="AF574" s="15" t="n">
        <x:f>'기준스탯 72종'!J30*H574</x:f>
        <x:v>0.12000000000000002</x:v>
      </x:c>
      <x:c r="AG574" s="15" t="n">
        <x:f>'기준스탯 72종'!K30*H574</x:f>
        <x:v>0.30000000000000004</x:v>
      </x:c>
    </x:row>
    <x:row r="575" ht="28" customHeight="1">
      <x:c r="A575" s="2" t="n">
        <x:v>568</x:v>
      </x:c>
      <x:c r="B575" s="2" t="n">
        <x:v>23</x:v>
      </x:c>
      <x:c r="C575" s="2" t="str">
        <x:v>게자리</x:v>
      </x:c>
      <x:c r="D575" s="2" t="str">
        <x:v>도적</x:v>
      </x:c>
      <x:c r="E575" s="2" t="n">
        <x:v>3</x:v>
      </x:c>
      <x:c r="F575" s="2" t="n">
        <x:v>4</x:v>
      </x:c>
      <x:c r="G575" s="14" t="n">
        <x:f>('레벨 계산식'!$E$4-E575)*'레벨 계산식'!$B$5</x:f>
        <x:v>0.27999999999999997</x:v>
      </x:c>
      <x:c r="H575" s="14" t="n">
        <x:f>('등급 계산식'!$E$4-F575)*'등급 계산식'!$B$5</x:f>
        <x:v>0.06000000000000001</x:v>
      </x:c>
      <x:c r="I575" s="14" t="n">
        <x:f>1-G575-H575</x:f>
        <x:v>0.6599999999999999</x:v>
      </x:c>
      <x:c r="J575" s="2" t="n">
        <x:f>MAX(1,ROUND('기준스탯 72종'!D30-R575-Z575,0))</x:f>
        <x:v>5</x:v>
      </x:c>
      <x:c r="K575" s="2" t="n">
        <x:f>MAX(1,ROUND('기준스탯 72종'!E30-S575-AA575,0))</x:f>
        <x:v>5</x:v>
      </x:c>
      <x:c r="L575" s="2" t="n">
        <x:f>MAX(1,ROUND('기준스탯 72종'!F30-T575-AB575,0))</x:f>
        <x:v>5</x:v>
      </x:c>
      <x:c r="M575" s="2" t="n">
        <x:f>MAX(1,ROUND('기준스탯 72종'!G30-U575-AC575,0))</x:f>
        <x:v>5</x:v>
      </x:c>
      <x:c r="N575" s="2" t="n">
        <x:f>MAX(0,ROUND('기준스탯 72종'!H30-V575-AD575,0))</x:f>
        <x:v>2</x:v>
      </x:c>
      <x:c r="O575" s="2" t="n">
        <x:f>MAX(0,ROUND('기준스탯 72종'!I30-W575-AE575,0))</x:f>
        <x:v>4</x:v>
      </x:c>
      <x:c r="P575" s="2" t="n">
        <x:f>MAX(0,ROUND('기준스탯 72종'!J30-X575-AF575,0))</x:f>
        <x:v>1</x:v>
      </x:c>
      <x:c r="Q575" s="2" t="n">
        <x:f>MAX(0,ROUND('기준스탯 72종'!K30-Y575-AG575,0))</x:f>
        <x:v>3</x:v>
      </x:c>
      <x:c r="R575" s="15" t="n">
        <x:f>'기준스탯 72종'!D30*G575</x:f>
        <x:v>1.9599999999999997</x:v>
      </x:c>
      <x:c r="S575" s="15" t="n">
        <x:f>'기준스탯 72종'!E30*G575</x:f>
        <x:v>2.2399999999999998</x:v>
      </x:c>
      <x:c r="T575" s="15" t="n">
        <x:f>'기준스탯 72종'!F30*G575</x:f>
        <x:v>2.2399999999999998</x:v>
      </x:c>
      <x:c r="U575" s="15" t="n">
        <x:f>'기준스탯 72종'!G30*G575</x:f>
        <x:v>1.9599999999999997</x:v>
      </x:c>
      <x:c r="V575" s="15" t="n">
        <x:f>'기준스탯 72종'!H30*G575</x:f>
        <x:v>0.8399999999999999</x:v>
      </x:c>
      <x:c r="W575" s="15" t="n">
        <x:f>'기준스탯 72종'!I30*G575</x:f>
        <x:v>1.6799999999999997</x:v>
      </x:c>
      <x:c r="X575" s="15" t="n">
        <x:f>'기준스탯 72종'!J30*G575</x:f>
        <x:v>0.5599999999999999</x:v>
      </x:c>
      <x:c r="Y575" s="15" t="n">
        <x:f>'기준스탯 72종'!K30*G575</x:f>
        <x:v>1.4</x:v>
      </x:c>
      <x:c r="Z575" s="15" t="n">
        <x:f>'기준스탯 72종'!D30*H575</x:f>
        <x:v>0.4200000000000001</x:v>
      </x:c>
      <x:c r="AA575" s="15" t="n">
        <x:f>'기준스탯 72종'!E30*H575</x:f>
        <x:v>0.4800000000000001</x:v>
      </x:c>
      <x:c r="AB575" s="15" t="n">
        <x:f>'기준스탯 72종'!F30*H575</x:f>
        <x:v>0.4800000000000001</x:v>
      </x:c>
      <x:c r="AC575" s="15" t="n">
        <x:f>'기준스탯 72종'!G30*H575</x:f>
        <x:v>0.4200000000000001</x:v>
      </x:c>
      <x:c r="AD575" s="15" t="n">
        <x:f>'기준스탯 72종'!H30*H575</x:f>
        <x:v>0.18000000000000005</x:v>
      </x:c>
      <x:c r="AE575" s="15" t="n">
        <x:f>'기준스탯 72종'!I30*H575</x:f>
        <x:v>0.3600000000000001</x:v>
      </x:c>
      <x:c r="AF575" s="15" t="n">
        <x:f>'기준스탯 72종'!J30*H575</x:f>
        <x:v>0.12000000000000002</x:v>
      </x:c>
      <x:c r="AG575" s="15" t="n">
        <x:f>'기준스탯 72종'!K30*H575</x:f>
        <x:v>0.30000000000000004</x:v>
      </x:c>
    </x:row>
    <x:row r="576" ht="28" customHeight="1">
      <x:c r="A576" s="2" t="n">
        <x:v>569</x:v>
      </x:c>
      <x:c r="B576" s="2" t="n">
        <x:v>23</x:v>
      </x:c>
      <x:c r="C576" s="2" t="str">
        <x:v>게자리</x:v>
      </x:c>
      <x:c r="D576" s="2" t="str">
        <x:v>도적</x:v>
      </x:c>
      <x:c r="E576" s="2" t="n">
        <x:v>4</x:v>
      </x:c>
      <x:c r="F576" s="2" t="n">
        <x:v>4</x:v>
      </x:c>
      <x:c r="G576" s="14" t="n">
        <x:f>('레벨 계산식'!$E$4-E576)*'레벨 계산식'!$B$5</x:f>
        <x:v>0.13999999999999999</x:v>
      </x:c>
      <x:c r="H576" s="14" t="n">
        <x:f>('등급 계산식'!$E$4-F576)*'등급 계산식'!$B$5</x:f>
        <x:v>0.06000000000000001</x:v>
      </x:c>
      <x:c r="I576" s="14" t="n">
        <x:f>1-G576-H576</x:f>
        <x:v>0.7999999999999999</x:v>
      </x:c>
      <x:c r="J576" s="2" t="n">
        <x:f>MAX(1,ROUND('기준스탯 72종'!D30-R576-Z576,0))</x:f>
        <x:v>6</x:v>
      </x:c>
      <x:c r="K576" s="2" t="n">
        <x:f>MAX(1,ROUND('기준스탯 72종'!E30-S576-AA576,0))</x:f>
        <x:v>6</x:v>
      </x:c>
      <x:c r="L576" s="2" t="n">
        <x:f>MAX(1,ROUND('기준스탯 72종'!F30-T576-AB576,0))</x:f>
        <x:v>6</x:v>
      </x:c>
      <x:c r="M576" s="2" t="n">
        <x:f>MAX(1,ROUND('기준스탯 72종'!G30-U576-AC576,0))</x:f>
        <x:v>6</x:v>
      </x:c>
      <x:c r="N576" s="2" t="n">
        <x:f>MAX(0,ROUND('기준스탯 72종'!H30-V576-AD576,0))</x:f>
        <x:v>2</x:v>
      </x:c>
      <x:c r="O576" s="2" t="n">
        <x:f>MAX(0,ROUND('기준스탯 72종'!I30-W576-AE576,0))</x:f>
        <x:v>5</x:v>
      </x:c>
      <x:c r="P576" s="2" t="n">
        <x:f>MAX(0,ROUND('기준스탯 72종'!J30-X576-AF576,0))</x:f>
        <x:v>2</x:v>
      </x:c>
      <x:c r="Q576" s="2" t="n">
        <x:f>MAX(0,ROUND('기준스탯 72종'!K30-Y576-AG576,0))</x:f>
        <x:v>4</x:v>
      </x:c>
      <x:c r="R576" s="15" t="n">
        <x:f>'기준스탯 72종'!D30*G576</x:f>
        <x:v>0.9799999999999999</x:v>
      </x:c>
      <x:c r="S576" s="15" t="n">
        <x:f>'기준스탯 72종'!E30*G576</x:f>
        <x:v>1.1199999999999999</x:v>
      </x:c>
      <x:c r="T576" s="15" t="n">
        <x:f>'기준스탯 72종'!F30*G576</x:f>
        <x:v>1.1199999999999999</x:v>
      </x:c>
      <x:c r="U576" s="15" t="n">
        <x:f>'기준스탯 72종'!G30*G576</x:f>
        <x:v>0.9799999999999999</x:v>
      </x:c>
      <x:c r="V576" s="15" t="n">
        <x:f>'기준스탯 72종'!H30*G576</x:f>
        <x:v>0.41999999999999993</x:v>
      </x:c>
      <x:c r="W576" s="15" t="n">
        <x:f>'기준스탯 72종'!I30*G576</x:f>
        <x:v>0.8399999999999999</x:v>
      </x:c>
      <x:c r="X576" s="15" t="n">
        <x:f>'기준스탯 72종'!J30*G576</x:f>
        <x:v>0.27999999999999997</x:v>
      </x:c>
      <x:c r="Y576" s="15" t="n">
        <x:f>'기준스탯 72종'!K30*G576</x:f>
        <x:v>0.7</x:v>
      </x:c>
      <x:c r="Z576" s="15" t="n">
        <x:f>'기준스탯 72종'!D30*H576</x:f>
        <x:v>0.4200000000000001</x:v>
      </x:c>
      <x:c r="AA576" s="15" t="n">
        <x:f>'기준스탯 72종'!E30*H576</x:f>
        <x:v>0.4800000000000001</x:v>
      </x:c>
      <x:c r="AB576" s="15" t="n">
        <x:f>'기준스탯 72종'!F30*H576</x:f>
        <x:v>0.4800000000000001</x:v>
      </x:c>
      <x:c r="AC576" s="15" t="n">
        <x:f>'기준스탯 72종'!G30*H576</x:f>
        <x:v>0.4200000000000001</x:v>
      </x:c>
      <x:c r="AD576" s="15" t="n">
        <x:f>'기준스탯 72종'!H30*H576</x:f>
        <x:v>0.18000000000000005</x:v>
      </x:c>
      <x:c r="AE576" s="15" t="n">
        <x:f>'기준스탯 72종'!I30*H576</x:f>
        <x:v>0.3600000000000001</x:v>
      </x:c>
      <x:c r="AF576" s="15" t="n">
        <x:f>'기준스탯 72종'!J30*H576</x:f>
        <x:v>0.12000000000000002</x:v>
      </x:c>
      <x:c r="AG576" s="15" t="n">
        <x:f>'기준스탯 72종'!K30*H576</x:f>
        <x:v>0.30000000000000004</x:v>
      </x:c>
    </x:row>
    <x:row r="577" ht="28" customHeight="1">
      <x:c r="A577" s="2" t="n">
        <x:v>570</x:v>
      </x:c>
      <x:c r="B577" s="2" t="n">
        <x:v>23</x:v>
      </x:c>
      <x:c r="C577" s="2" t="str">
        <x:v>게자리</x:v>
      </x:c>
      <x:c r="D577" s="2" t="str">
        <x:v>도적</x:v>
      </x:c>
      <x:c r="E577" s="2" t="n">
        <x:v>5</x:v>
      </x:c>
      <x:c r="F577" s="2" t="n">
        <x:v>4</x:v>
      </x:c>
      <x:c r="G577" s="14" t="n">
        <x:f>('레벨 계산식'!$E$4-E577)*'레벨 계산식'!$B$5</x:f>
        <x:v>0</x:v>
      </x:c>
      <x:c r="H577" s="14" t="n">
        <x:f>('등급 계산식'!$E$4-F577)*'등급 계산식'!$B$5</x:f>
        <x:v>0.06000000000000001</x:v>
      </x:c>
      <x:c r="I577" s="14" t="n">
        <x:f>1-G577-H577</x:f>
        <x:v>0.94</x:v>
      </x:c>
      <x:c r="J577" s="2" t="n">
        <x:f>MAX(1,ROUND('기준스탯 72종'!D30-R577-Z577,0))</x:f>
        <x:v>7</x:v>
      </x:c>
      <x:c r="K577" s="2" t="n">
        <x:f>MAX(1,ROUND('기준스탯 72종'!E30-S577-AA577,0))</x:f>
        <x:v>8</x:v>
      </x:c>
      <x:c r="L577" s="2" t="n">
        <x:f>MAX(1,ROUND('기준스탯 72종'!F30-T577-AB577,0))</x:f>
        <x:v>8</x:v>
      </x:c>
      <x:c r="M577" s="2" t="n">
        <x:f>MAX(1,ROUND('기준스탯 72종'!G30-U577-AC577,0))</x:f>
        <x:v>7</x:v>
      </x:c>
      <x:c r="N577" s="2" t="n">
        <x:f>MAX(0,ROUND('기준스탯 72종'!H30-V577-AD577,0))</x:f>
        <x:v>3</x:v>
      </x:c>
      <x:c r="O577" s="2" t="n">
        <x:f>MAX(0,ROUND('기준스탯 72종'!I30-W577-AE577,0))</x:f>
        <x:v>6</x:v>
      </x:c>
      <x:c r="P577" s="2" t="n">
        <x:f>MAX(0,ROUND('기준스탯 72종'!J30-X577-AF577,0))</x:f>
        <x:v>2</x:v>
      </x:c>
      <x:c r="Q577" s="2" t="n">
        <x:f>MAX(0,ROUND('기준스탯 72종'!K30-Y577-AG577,0))</x:f>
        <x:v>5</x:v>
      </x:c>
      <x:c r="R577" s="15" t="n">
        <x:f>'기준스탯 72종'!D30*G577</x:f>
        <x:v>0</x:v>
      </x:c>
      <x:c r="S577" s="15" t="n">
        <x:f>'기준스탯 72종'!E30*G577</x:f>
        <x:v>0</x:v>
      </x:c>
      <x:c r="T577" s="15" t="n">
        <x:f>'기준스탯 72종'!F30*G577</x:f>
        <x:v>0</x:v>
      </x:c>
      <x:c r="U577" s="15" t="n">
        <x:f>'기준스탯 72종'!G30*G577</x:f>
        <x:v>0</x:v>
      </x:c>
      <x:c r="V577" s="15" t="n">
        <x:f>'기준스탯 72종'!H30*G577</x:f>
        <x:v>0</x:v>
      </x:c>
      <x:c r="W577" s="15" t="n">
        <x:f>'기준스탯 72종'!I30*G577</x:f>
        <x:v>0</x:v>
      </x:c>
      <x:c r="X577" s="15" t="n">
        <x:f>'기준스탯 72종'!J30*G577</x:f>
        <x:v>0</x:v>
      </x:c>
      <x:c r="Y577" s="15" t="n">
        <x:f>'기준스탯 72종'!K30*G577</x:f>
        <x:v>0</x:v>
      </x:c>
      <x:c r="Z577" s="15" t="n">
        <x:f>'기준스탯 72종'!D30*H577</x:f>
        <x:v>0.4200000000000001</x:v>
      </x:c>
      <x:c r="AA577" s="15" t="n">
        <x:f>'기준스탯 72종'!E30*H577</x:f>
        <x:v>0.4800000000000001</x:v>
      </x:c>
      <x:c r="AB577" s="15" t="n">
        <x:f>'기준스탯 72종'!F30*H577</x:f>
        <x:v>0.4800000000000001</x:v>
      </x:c>
      <x:c r="AC577" s="15" t="n">
        <x:f>'기준스탯 72종'!G30*H577</x:f>
        <x:v>0.4200000000000001</x:v>
      </x:c>
      <x:c r="AD577" s="15" t="n">
        <x:f>'기준스탯 72종'!H30*H577</x:f>
        <x:v>0.18000000000000005</x:v>
      </x:c>
      <x:c r="AE577" s="15" t="n">
        <x:f>'기준스탯 72종'!I30*H577</x:f>
        <x:v>0.3600000000000001</x:v>
      </x:c>
      <x:c r="AF577" s="15" t="n">
        <x:f>'기준스탯 72종'!J30*H577</x:f>
        <x:v>0.12000000000000002</x:v>
      </x:c>
      <x:c r="AG577" s="15" t="n">
        <x:f>'기준스탯 72종'!K30*H577</x:f>
        <x:v>0.30000000000000004</x:v>
      </x:c>
    </x:row>
    <x:row r="578" ht="28" customHeight="1">
      <x:c r="A578" s="2" t="n">
        <x:v>571</x:v>
      </x:c>
      <x:c r="B578" s="2" t="n">
        <x:v>23</x:v>
      </x:c>
      <x:c r="C578" s="2" t="str">
        <x:v>게자리</x:v>
      </x:c>
      <x:c r="D578" s="2" t="str">
        <x:v>도적</x:v>
      </x:c>
      <x:c r="E578" s="2" t="n">
        <x:v>1</x:v>
      </x:c>
      <x:c r="F578" s="2" t="n">
        <x:v>5</x:v>
      </x:c>
      <x:c r="G578" s="14" t="n">
        <x:f>('레벨 계산식'!$E$4-E578)*'레벨 계산식'!$B$5</x:f>
        <x:v>0.5599999999999999</x:v>
      </x:c>
      <x:c r="H578" s="14" t="n">
        <x:f>('등급 계산식'!$E$4-F578)*'등급 계산식'!$B$5</x:f>
        <x:v>0</x:v>
      </x:c>
      <x:c r="I578" s="14" t="n">
        <x:f>1-G578-H578</x:f>
        <x:v>0.44000000000000006</x:v>
      </x:c>
      <x:c r="J578" s="2" t="n">
        <x:f>MAX(1,ROUND('기준스탯 72종'!D30-R578-Z578,0))</x:f>
        <x:v>3</x:v>
      </x:c>
      <x:c r="K578" s="2" t="n">
        <x:f>MAX(1,ROUND('기준스탯 72종'!E30-S578-AA578,0))</x:f>
        <x:v>4</x:v>
      </x:c>
      <x:c r="L578" s="2" t="n">
        <x:f>MAX(1,ROUND('기준스탯 72종'!F30-T578-AB578,0))</x:f>
        <x:v>4</x:v>
      </x:c>
      <x:c r="M578" s="2" t="n">
        <x:f>MAX(1,ROUND('기준스탯 72종'!G30-U578-AC578,0))</x:f>
        <x:v>3</x:v>
      </x:c>
      <x:c r="N578" s="2" t="n">
        <x:f>MAX(0,ROUND('기준스탯 72종'!H30-V578-AD578,0))</x:f>
        <x:v>1</x:v>
      </x:c>
      <x:c r="O578" s="2" t="n">
        <x:f>MAX(0,ROUND('기준스탯 72종'!I30-W578-AE578,0))</x:f>
        <x:v>3</x:v>
      </x:c>
      <x:c r="P578" s="2" t="n">
        <x:f>MAX(0,ROUND('기준스탯 72종'!J30-X578-AF578,0))</x:f>
        <x:v>1</x:v>
      </x:c>
      <x:c r="Q578" s="2" t="n">
        <x:f>MAX(0,ROUND('기준스탯 72종'!K30-Y578-AG578,0))</x:f>
        <x:v>2</x:v>
      </x:c>
      <x:c r="R578" s="15" t="n">
        <x:f>'기준스탯 72종'!D30*G578</x:f>
        <x:v>3.9199999999999995</x:v>
      </x:c>
      <x:c r="S578" s="15" t="n">
        <x:f>'기준스탯 72종'!E30*G578</x:f>
        <x:v>4.4799999999999995</x:v>
      </x:c>
      <x:c r="T578" s="15" t="n">
        <x:f>'기준스탯 72종'!F30*G578</x:f>
        <x:v>4.4799999999999995</x:v>
      </x:c>
      <x:c r="U578" s="15" t="n">
        <x:f>'기준스탯 72종'!G30*G578</x:f>
        <x:v>3.9199999999999995</x:v>
      </x:c>
      <x:c r="V578" s="15" t="n">
        <x:f>'기준스탯 72종'!H30*G578</x:f>
        <x:v>1.6799999999999997</x:v>
      </x:c>
      <x:c r="W578" s="15" t="n">
        <x:f>'기준스탯 72종'!I30*G578</x:f>
        <x:v>3.3599999999999994</x:v>
      </x:c>
      <x:c r="X578" s="15" t="n">
        <x:f>'기준스탯 72종'!J30*G578</x:f>
        <x:v>1.1199999999999999</x:v>
      </x:c>
      <x:c r="Y578" s="15" t="n">
        <x:f>'기준스탯 72종'!K30*G578</x:f>
        <x:v>2.8</x:v>
      </x:c>
      <x:c r="Z578" s="15" t="n">
        <x:f>'기준스탯 72종'!D30*H578</x:f>
        <x:v>0</x:v>
      </x:c>
      <x:c r="AA578" s="15" t="n">
        <x:f>'기준스탯 72종'!E30*H578</x:f>
        <x:v>0</x:v>
      </x:c>
      <x:c r="AB578" s="15" t="n">
        <x:f>'기준스탯 72종'!F30*H578</x:f>
        <x:v>0</x:v>
      </x:c>
      <x:c r="AC578" s="15" t="n">
        <x:f>'기준스탯 72종'!G30*H578</x:f>
        <x:v>0</x:v>
      </x:c>
      <x:c r="AD578" s="15" t="n">
        <x:f>'기준스탯 72종'!H30*H578</x:f>
        <x:v>0</x:v>
      </x:c>
      <x:c r="AE578" s="15" t="n">
        <x:f>'기준스탯 72종'!I30*H578</x:f>
        <x:v>0</x:v>
      </x:c>
      <x:c r="AF578" s="15" t="n">
        <x:f>'기준스탯 72종'!J30*H578</x:f>
        <x:v>0</x:v>
      </x:c>
      <x:c r="AG578" s="15" t="n">
        <x:f>'기준스탯 72종'!K30*H578</x:f>
        <x:v>0</x:v>
      </x:c>
    </x:row>
    <x:row r="579" ht="28" customHeight="1">
      <x:c r="A579" s="2" t="n">
        <x:v>572</x:v>
      </x:c>
      <x:c r="B579" s="2" t="n">
        <x:v>23</x:v>
      </x:c>
      <x:c r="C579" s="2" t="str">
        <x:v>게자리</x:v>
      </x:c>
      <x:c r="D579" s="2" t="str">
        <x:v>도적</x:v>
      </x:c>
      <x:c r="E579" s="2" t="n">
        <x:v>2</x:v>
      </x:c>
      <x:c r="F579" s="2" t="n">
        <x:v>5</x:v>
      </x:c>
      <x:c r="G579" s="14" t="n">
        <x:f>('레벨 계산식'!$E$4-E579)*'레벨 계산식'!$B$5</x:f>
        <x:v>0.41999999999999993</x:v>
      </x:c>
      <x:c r="H579" s="14" t="n">
        <x:f>('등급 계산식'!$E$4-F579)*'등급 계산식'!$B$5</x:f>
        <x:v>0</x:v>
      </x:c>
      <x:c r="I579" s="14" t="n">
        <x:f>1-G579-H579</x:f>
        <x:v>0.5800000000000001</x:v>
      </x:c>
      <x:c r="J579" s="2" t="n">
        <x:f>MAX(1,ROUND('기준스탯 72종'!D30-R579-Z579,0))</x:f>
        <x:v>4</x:v>
      </x:c>
      <x:c r="K579" s="2" t="n">
        <x:f>MAX(1,ROUND('기준스탯 72종'!E30-S579-AA579,0))</x:f>
        <x:v>5</x:v>
      </x:c>
      <x:c r="L579" s="2" t="n">
        <x:f>MAX(1,ROUND('기준스탯 72종'!F30-T579-AB579,0))</x:f>
        <x:v>5</x:v>
      </x:c>
      <x:c r="M579" s="2" t="n">
        <x:f>MAX(1,ROUND('기준스탯 72종'!G30-U579-AC579,0))</x:f>
        <x:v>4</x:v>
      </x:c>
      <x:c r="N579" s="2" t="n">
        <x:f>MAX(0,ROUND('기준스탯 72종'!H30-V579-AD579,0))</x:f>
        <x:v>2</x:v>
      </x:c>
      <x:c r="O579" s="2" t="n">
        <x:f>MAX(0,ROUND('기준스탯 72종'!I30-W579-AE579,0))</x:f>
        <x:v>3</x:v>
      </x:c>
      <x:c r="P579" s="2" t="n">
        <x:f>MAX(0,ROUND('기준스탯 72종'!J30-X579-AF579,0))</x:f>
        <x:v>1</x:v>
      </x:c>
      <x:c r="Q579" s="2" t="n">
        <x:f>MAX(0,ROUND('기준스탯 72종'!K30-Y579-AG579,0))</x:f>
        <x:v>3</x:v>
      </x:c>
      <x:c r="R579" s="15" t="n">
        <x:f>'기준스탯 72종'!D30*G579</x:f>
        <x:v>2.9399999999999995</x:v>
      </x:c>
      <x:c r="S579" s="15" t="n">
        <x:f>'기준스탯 72종'!E30*G579</x:f>
        <x:v>3.3599999999999994</x:v>
      </x:c>
      <x:c r="T579" s="15" t="n">
        <x:f>'기준스탯 72종'!F30*G579</x:f>
        <x:v>3.3599999999999994</x:v>
      </x:c>
      <x:c r="U579" s="15" t="n">
        <x:f>'기준스탯 72종'!G30*G579</x:f>
        <x:v>2.9399999999999995</x:v>
      </x:c>
      <x:c r="V579" s="15" t="n">
        <x:f>'기준스탯 72종'!H30*G579</x:f>
        <x:v>1.2599999999999998</x:v>
      </x:c>
      <x:c r="W579" s="15" t="n">
        <x:f>'기준스탯 72종'!I30*G579</x:f>
        <x:v>2.5199999999999996</x:v>
      </x:c>
      <x:c r="X579" s="15" t="n">
        <x:f>'기준스탯 72종'!J30*G579</x:f>
        <x:v>0.8399999999999999</x:v>
      </x:c>
      <x:c r="Y579" s="15" t="n">
        <x:f>'기준스탯 72종'!K30*G579</x:f>
        <x:v>2.0999999999999996</x:v>
      </x:c>
      <x:c r="Z579" s="15" t="n">
        <x:f>'기준스탯 72종'!D30*H579</x:f>
        <x:v>0</x:v>
      </x:c>
      <x:c r="AA579" s="15" t="n">
        <x:f>'기준스탯 72종'!E30*H579</x:f>
        <x:v>0</x:v>
      </x:c>
      <x:c r="AB579" s="15" t="n">
        <x:f>'기준스탯 72종'!F30*H579</x:f>
        <x:v>0</x:v>
      </x:c>
      <x:c r="AC579" s="15" t="n">
        <x:f>'기준스탯 72종'!G30*H579</x:f>
        <x:v>0</x:v>
      </x:c>
      <x:c r="AD579" s="15" t="n">
        <x:f>'기준스탯 72종'!H30*H579</x:f>
        <x:v>0</x:v>
      </x:c>
      <x:c r="AE579" s="15" t="n">
        <x:f>'기준스탯 72종'!I30*H579</x:f>
        <x:v>0</x:v>
      </x:c>
      <x:c r="AF579" s="15" t="n">
        <x:f>'기준스탯 72종'!J30*H579</x:f>
        <x:v>0</x:v>
      </x:c>
      <x:c r="AG579" s="15" t="n">
        <x:f>'기준스탯 72종'!K30*H579</x:f>
        <x:v>0</x:v>
      </x:c>
    </x:row>
    <x:row r="580" ht="28" customHeight="1">
      <x:c r="A580" s="2" t="n">
        <x:v>573</x:v>
      </x:c>
      <x:c r="B580" s="2" t="n">
        <x:v>23</x:v>
      </x:c>
      <x:c r="C580" s="2" t="str">
        <x:v>게자리</x:v>
      </x:c>
      <x:c r="D580" s="2" t="str">
        <x:v>도적</x:v>
      </x:c>
      <x:c r="E580" s="2" t="n">
        <x:v>3</x:v>
      </x:c>
      <x:c r="F580" s="2" t="n">
        <x:v>5</x:v>
      </x:c>
      <x:c r="G580" s="14" t="n">
        <x:f>('레벨 계산식'!$E$4-E580)*'레벨 계산식'!$B$5</x:f>
        <x:v>0.27999999999999997</x:v>
      </x:c>
      <x:c r="H580" s="14" t="n">
        <x:f>('등급 계산식'!$E$4-F580)*'등급 계산식'!$B$5</x:f>
        <x:v>0</x:v>
      </x:c>
      <x:c r="I580" s="14" t="n">
        <x:f>1-G580-H580</x:f>
        <x:v>0.72</x:v>
      </x:c>
      <x:c r="J580" s="2" t="n">
        <x:f>MAX(1,ROUND('기준스탯 72종'!D30-R580-Z580,0))</x:f>
        <x:v>5</x:v>
      </x:c>
      <x:c r="K580" s="2" t="n">
        <x:f>MAX(1,ROUND('기준스탯 72종'!E30-S580-AA580,0))</x:f>
        <x:v>6</x:v>
      </x:c>
      <x:c r="L580" s="2" t="n">
        <x:f>MAX(1,ROUND('기준스탯 72종'!F30-T580-AB580,0))</x:f>
        <x:v>6</x:v>
      </x:c>
      <x:c r="M580" s="2" t="n">
        <x:f>MAX(1,ROUND('기준스탯 72종'!G30-U580-AC580,0))</x:f>
        <x:v>5</x:v>
      </x:c>
      <x:c r="N580" s="2" t="n">
        <x:f>MAX(0,ROUND('기준스탯 72종'!H30-V580-AD580,0))</x:f>
        <x:v>2</x:v>
      </x:c>
      <x:c r="O580" s="2" t="n">
        <x:f>MAX(0,ROUND('기준스탯 72종'!I30-W580-AE580,0))</x:f>
        <x:v>4</x:v>
      </x:c>
      <x:c r="P580" s="2" t="n">
        <x:f>MAX(0,ROUND('기준스탯 72종'!J30-X580-AF580,0))</x:f>
        <x:v>1</x:v>
      </x:c>
      <x:c r="Q580" s="2" t="n">
        <x:f>MAX(0,ROUND('기준스탯 72종'!K30-Y580-AG580,0))</x:f>
        <x:v>4</x:v>
      </x:c>
      <x:c r="R580" s="15" t="n">
        <x:f>'기준스탯 72종'!D30*G580</x:f>
        <x:v>1.9599999999999997</x:v>
      </x:c>
      <x:c r="S580" s="15" t="n">
        <x:f>'기준스탯 72종'!E30*G580</x:f>
        <x:v>2.2399999999999998</x:v>
      </x:c>
      <x:c r="T580" s="15" t="n">
        <x:f>'기준스탯 72종'!F30*G580</x:f>
        <x:v>2.2399999999999998</x:v>
      </x:c>
      <x:c r="U580" s="15" t="n">
        <x:f>'기준스탯 72종'!G30*G580</x:f>
        <x:v>1.9599999999999997</x:v>
      </x:c>
      <x:c r="V580" s="15" t="n">
        <x:f>'기준스탯 72종'!H30*G580</x:f>
        <x:v>0.8399999999999999</x:v>
      </x:c>
      <x:c r="W580" s="15" t="n">
        <x:f>'기준스탯 72종'!I30*G580</x:f>
        <x:v>1.6799999999999997</x:v>
      </x:c>
      <x:c r="X580" s="15" t="n">
        <x:f>'기준스탯 72종'!J30*G580</x:f>
        <x:v>0.5599999999999999</x:v>
      </x:c>
      <x:c r="Y580" s="15" t="n">
        <x:f>'기준스탯 72종'!K30*G580</x:f>
        <x:v>1.4</x:v>
      </x:c>
      <x:c r="Z580" s="15" t="n">
        <x:f>'기준스탯 72종'!D30*H580</x:f>
        <x:v>0</x:v>
      </x:c>
      <x:c r="AA580" s="15" t="n">
        <x:f>'기준스탯 72종'!E30*H580</x:f>
        <x:v>0</x:v>
      </x:c>
      <x:c r="AB580" s="15" t="n">
        <x:f>'기준스탯 72종'!F30*H580</x:f>
        <x:v>0</x:v>
      </x:c>
      <x:c r="AC580" s="15" t="n">
        <x:f>'기준스탯 72종'!G30*H580</x:f>
        <x:v>0</x:v>
      </x:c>
      <x:c r="AD580" s="15" t="n">
        <x:f>'기준스탯 72종'!H30*H580</x:f>
        <x:v>0</x:v>
      </x:c>
      <x:c r="AE580" s="15" t="n">
        <x:f>'기준스탯 72종'!I30*H580</x:f>
        <x:v>0</x:v>
      </x:c>
      <x:c r="AF580" s="15" t="n">
        <x:f>'기준스탯 72종'!J30*H580</x:f>
        <x:v>0</x:v>
      </x:c>
      <x:c r="AG580" s="15" t="n">
        <x:f>'기준스탯 72종'!K30*H580</x:f>
        <x:v>0</x:v>
      </x:c>
    </x:row>
    <x:row r="581" ht="28" customHeight="1">
      <x:c r="A581" s="2" t="n">
        <x:v>574</x:v>
      </x:c>
      <x:c r="B581" s="2" t="n">
        <x:v>23</x:v>
      </x:c>
      <x:c r="C581" s="2" t="str">
        <x:v>게자리</x:v>
      </x:c>
      <x:c r="D581" s="2" t="str">
        <x:v>도적</x:v>
      </x:c>
      <x:c r="E581" s="2" t="n">
        <x:v>4</x:v>
      </x:c>
      <x:c r="F581" s="2" t="n">
        <x:v>5</x:v>
      </x:c>
      <x:c r="G581" s="14" t="n">
        <x:f>('레벨 계산식'!$E$4-E581)*'레벨 계산식'!$B$5</x:f>
        <x:v>0.13999999999999999</x:v>
      </x:c>
      <x:c r="H581" s="14" t="n">
        <x:f>('등급 계산식'!$E$4-F581)*'등급 계산식'!$B$5</x:f>
        <x:v>0</x:v>
      </x:c>
      <x:c r="I581" s="14" t="n">
        <x:f>1-G581-H581</x:f>
        <x:v>0.86</x:v>
      </x:c>
      <x:c r="J581" s="2" t="n">
        <x:f>MAX(1,ROUND('기준스탯 72종'!D30-R581-Z581,0))</x:f>
        <x:v>6</x:v>
      </x:c>
      <x:c r="K581" s="2" t="n">
        <x:f>MAX(1,ROUND('기준스탯 72종'!E30-S581-AA581,0))</x:f>
        <x:v>7</x:v>
      </x:c>
      <x:c r="L581" s="2" t="n">
        <x:f>MAX(1,ROUND('기준스탯 72종'!F30-T581-AB581,0))</x:f>
        <x:v>7</x:v>
      </x:c>
      <x:c r="M581" s="2" t="n">
        <x:f>MAX(1,ROUND('기준스탯 72종'!G30-U581-AC581,0))</x:f>
        <x:v>6</x:v>
      </x:c>
      <x:c r="N581" s="2" t="n">
        <x:f>MAX(0,ROUND('기준스탯 72종'!H30-V581-AD581,0))</x:f>
        <x:v>3</x:v>
      </x:c>
      <x:c r="O581" s="2" t="n">
        <x:f>MAX(0,ROUND('기준스탯 72종'!I30-W581-AE581,0))</x:f>
        <x:v>5</x:v>
      </x:c>
      <x:c r="P581" s="2" t="n">
        <x:f>MAX(0,ROUND('기준스탯 72종'!J30-X581-AF581,0))</x:f>
        <x:v>2</x:v>
      </x:c>
      <x:c r="Q581" s="2" t="n">
        <x:f>MAX(0,ROUND('기준스탯 72종'!K30-Y581-AG581,0))</x:f>
        <x:v>4</x:v>
      </x:c>
      <x:c r="R581" s="15" t="n">
        <x:f>'기준스탯 72종'!D30*G581</x:f>
        <x:v>0.9799999999999999</x:v>
      </x:c>
      <x:c r="S581" s="15" t="n">
        <x:f>'기준스탯 72종'!E30*G581</x:f>
        <x:v>1.1199999999999999</x:v>
      </x:c>
      <x:c r="T581" s="15" t="n">
        <x:f>'기준스탯 72종'!F30*G581</x:f>
        <x:v>1.1199999999999999</x:v>
      </x:c>
      <x:c r="U581" s="15" t="n">
        <x:f>'기준스탯 72종'!G30*G581</x:f>
        <x:v>0.9799999999999999</x:v>
      </x:c>
      <x:c r="V581" s="15" t="n">
        <x:f>'기준스탯 72종'!H30*G581</x:f>
        <x:v>0.41999999999999993</x:v>
      </x:c>
      <x:c r="W581" s="15" t="n">
        <x:f>'기준스탯 72종'!I30*G581</x:f>
        <x:v>0.8399999999999999</x:v>
      </x:c>
      <x:c r="X581" s="15" t="n">
        <x:f>'기준스탯 72종'!J30*G581</x:f>
        <x:v>0.27999999999999997</x:v>
      </x:c>
      <x:c r="Y581" s="15" t="n">
        <x:f>'기준스탯 72종'!K30*G581</x:f>
        <x:v>0.7</x:v>
      </x:c>
      <x:c r="Z581" s="15" t="n">
        <x:f>'기준스탯 72종'!D30*H581</x:f>
        <x:v>0</x:v>
      </x:c>
      <x:c r="AA581" s="15" t="n">
        <x:f>'기준스탯 72종'!E30*H581</x:f>
        <x:v>0</x:v>
      </x:c>
      <x:c r="AB581" s="15" t="n">
        <x:f>'기준스탯 72종'!F30*H581</x:f>
        <x:v>0</x:v>
      </x:c>
      <x:c r="AC581" s="15" t="n">
        <x:f>'기준스탯 72종'!G30*H581</x:f>
        <x:v>0</x:v>
      </x:c>
      <x:c r="AD581" s="15" t="n">
        <x:f>'기준스탯 72종'!H30*H581</x:f>
        <x:v>0</x:v>
      </x:c>
      <x:c r="AE581" s="15" t="n">
        <x:f>'기준스탯 72종'!I30*H581</x:f>
        <x:v>0</x:v>
      </x:c>
      <x:c r="AF581" s="15" t="n">
        <x:f>'기준스탯 72종'!J30*H581</x:f>
        <x:v>0</x:v>
      </x:c>
      <x:c r="AG581" s="15" t="n">
        <x:f>'기준스탯 72종'!K30*H581</x:f>
        <x:v>0</x:v>
      </x:c>
    </x:row>
    <x:row r="582" ht="28" customHeight="1">
      <x:c r="A582" s="2" t="n">
        <x:v>575</x:v>
      </x:c>
      <x:c r="B582" s="2" t="n">
        <x:v>23</x:v>
      </x:c>
      <x:c r="C582" s="2" t="str">
        <x:v>게자리</x:v>
      </x:c>
      <x:c r="D582" s="2" t="str">
        <x:v>도적</x:v>
      </x:c>
      <x:c r="E582" s="2" t="n">
        <x:v>5</x:v>
      </x:c>
      <x:c r="F582" s="2" t="n">
        <x:v>5</x:v>
      </x:c>
      <x:c r="G582" s="14" t="n">
        <x:f>('레벨 계산식'!$E$4-E582)*'레벨 계산식'!$B$5</x:f>
        <x:v>0</x:v>
      </x:c>
      <x:c r="H582" s="14" t="n">
        <x:f>('등급 계산식'!$E$4-F582)*'등급 계산식'!$B$5</x:f>
        <x:v>0</x:v>
      </x:c>
      <x:c r="I582" s="14" t="n">
        <x:f>1-G582-H582</x:f>
        <x:v>1</x:v>
      </x:c>
      <x:c r="J582" s="2" t="n">
        <x:f>MAX(1,ROUND('기준스탯 72종'!D30-R582-Z582,0))</x:f>
        <x:v>7</x:v>
      </x:c>
      <x:c r="K582" s="2" t="n">
        <x:f>MAX(1,ROUND('기준스탯 72종'!E30-S582-AA582,0))</x:f>
        <x:v>8</x:v>
      </x:c>
      <x:c r="L582" s="2" t="n">
        <x:f>MAX(1,ROUND('기준스탯 72종'!F30-T582-AB582,0))</x:f>
        <x:v>8</x:v>
      </x:c>
      <x:c r="M582" s="2" t="n">
        <x:f>MAX(1,ROUND('기준스탯 72종'!G30-U582-AC582,0))</x:f>
        <x:v>7</x:v>
      </x:c>
      <x:c r="N582" s="2" t="n">
        <x:f>MAX(0,ROUND('기준스탯 72종'!H30-V582-AD582,0))</x:f>
        <x:v>3</x:v>
      </x:c>
      <x:c r="O582" s="2" t="n">
        <x:f>MAX(0,ROUND('기준스탯 72종'!I30-W582-AE582,0))</x:f>
        <x:v>6</x:v>
      </x:c>
      <x:c r="P582" s="2" t="n">
        <x:f>MAX(0,ROUND('기준스탯 72종'!J30-X582-AF582,0))</x:f>
        <x:v>2</x:v>
      </x:c>
      <x:c r="Q582" s="2" t="n">
        <x:f>MAX(0,ROUND('기준스탯 72종'!K30-Y582-AG582,0))</x:f>
        <x:v>5</x:v>
      </x:c>
      <x:c r="R582" s="15" t="n">
        <x:f>'기준스탯 72종'!D30*G582</x:f>
        <x:v>0</x:v>
      </x:c>
      <x:c r="S582" s="15" t="n">
        <x:f>'기준스탯 72종'!E30*G582</x:f>
        <x:v>0</x:v>
      </x:c>
      <x:c r="T582" s="15" t="n">
        <x:f>'기준스탯 72종'!F30*G582</x:f>
        <x:v>0</x:v>
      </x:c>
      <x:c r="U582" s="15" t="n">
        <x:f>'기준스탯 72종'!G30*G582</x:f>
        <x:v>0</x:v>
      </x:c>
      <x:c r="V582" s="15" t="n">
        <x:f>'기준스탯 72종'!H30*G582</x:f>
        <x:v>0</x:v>
      </x:c>
      <x:c r="W582" s="15" t="n">
        <x:f>'기준스탯 72종'!I30*G582</x:f>
        <x:v>0</x:v>
      </x:c>
      <x:c r="X582" s="15" t="n">
        <x:f>'기준스탯 72종'!J30*G582</x:f>
        <x:v>0</x:v>
      </x:c>
      <x:c r="Y582" s="15" t="n">
        <x:f>'기준스탯 72종'!K30*G582</x:f>
        <x:v>0</x:v>
      </x:c>
      <x:c r="Z582" s="15" t="n">
        <x:f>'기준스탯 72종'!D30*H582</x:f>
        <x:v>0</x:v>
      </x:c>
      <x:c r="AA582" s="15" t="n">
        <x:f>'기준스탯 72종'!E30*H582</x:f>
        <x:v>0</x:v>
      </x:c>
      <x:c r="AB582" s="15" t="n">
        <x:f>'기준스탯 72종'!F30*H582</x:f>
        <x:v>0</x:v>
      </x:c>
      <x:c r="AC582" s="15" t="n">
        <x:f>'기준스탯 72종'!G30*H582</x:f>
        <x:v>0</x:v>
      </x:c>
      <x:c r="AD582" s="15" t="n">
        <x:f>'기준스탯 72종'!H30*H582</x:f>
        <x:v>0</x:v>
      </x:c>
      <x:c r="AE582" s="15" t="n">
        <x:f>'기준스탯 72종'!I30*H582</x:f>
        <x:v>0</x:v>
      </x:c>
      <x:c r="AF582" s="15" t="n">
        <x:f>'기준스탯 72종'!J30*H582</x:f>
        <x:v>0</x:v>
      </x:c>
      <x:c r="AG582" s="15" t="n">
        <x:f>'기준스탯 72종'!K30*H582</x:f>
        <x:v>0</x:v>
      </x:c>
    </x:row>
    <x:row r="583" ht="28" customHeight="1">
      <x:c r="A583" s="2" t="n">
        <x:v>576</x:v>
      </x:c>
      <x:c r="B583" s="2" t="n">
        <x:v>24</x:v>
      </x:c>
      <x:c r="C583" s="2" t="str">
        <x:v>게자리</x:v>
      </x:c>
      <x:c r="D583" s="2" t="str">
        <x:v>전사</x:v>
      </x:c>
      <x:c r="E583" s="2" t="n">
        <x:v>1</x:v>
      </x:c>
      <x:c r="F583" s="2" t="n">
        <x:v>1</x:v>
      </x:c>
      <x:c r="G583" s="14" t="n">
        <x:f>('레벨 계산식'!$E$4-E583)*'레벨 계산식'!$B$5</x:f>
        <x:v>0.5599999999999999</x:v>
      </x:c>
      <x:c r="H583" s="14" t="n">
        <x:f>('등급 계산식'!$E$4-F583)*'등급 계산식'!$B$5</x:f>
        <x:v>0.24000000000000005</x:v>
      </x:c>
      <x:c r="I583" s="14" t="n">
        <x:f>1-G583-H583</x:f>
        <x:v>0.2</x:v>
      </x:c>
      <x:c r="J583" s="2" t="n">
        <x:f>MAX(1,ROUND('기준스탯 72종'!D31-R583-Z583,0))</x:f>
        <x:v>1</x:v>
      </x:c>
      <x:c r="K583" s="2" t="n">
        <x:f>MAX(1,ROUND('기준스탯 72종'!E31-S583-AA583,0))</x:f>
        <x:v>2</x:v>
      </x:c>
      <x:c r="L583" s="2" t="n">
        <x:f>MAX(1,ROUND('기준스탯 72종'!F31-T583-AB583,0))</x:f>
        <x:v>2</x:v>
      </x:c>
      <x:c r="M583" s="2" t="n">
        <x:f>MAX(1,ROUND('기준스탯 72종'!G31-U583-AC583,0))</x:f>
        <x:v>1</x:v>
      </x:c>
      <x:c r="N583" s="2" t="n">
        <x:f>MAX(0,ROUND('기준스탯 72종'!H31-V583-AD583,0))</x:f>
        <x:v>0</x:v>
      </x:c>
      <x:c r="O583" s="2" t="n">
        <x:f>MAX(0,ROUND('기준스탯 72종'!I31-W583-AE583,0))</x:f>
        <x:v>1</x:v>
      </x:c>
      <x:c r="P583" s="2" t="n">
        <x:f>MAX(0,ROUND('기준스탯 72종'!J31-X583-AF583,0))</x:f>
        <x:v>0</x:v>
      </x:c>
      <x:c r="Q583" s="2" t="n">
        <x:f>MAX(0,ROUND('기준스탯 72종'!K31-Y583-AG583,0))</x:f>
        <x:v>1</x:v>
      </x:c>
      <x:c r="R583" s="15" t="n">
        <x:f>'기준스탯 72종'!D31*G583</x:f>
        <x:v>3.9199999999999995</x:v>
      </x:c>
      <x:c r="S583" s="15" t="n">
        <x:f>'기준스탯 72종'!E31*G583</x:f>
        <x:v>5.039999999999999</x:v>
      </x:c>
      <x:c r="T583" s="15" t="n">
        <x:f>'기준스탯 72종'!F31*G583</x:f>
        <x:v>5.039999999999999</x:v>
      </x:c>
      <x:c r="U583" s="15" t="n">
        <x:f>'기준스탯 72종'!G31*G583</x:f>
        <x:v>3.3599999999999994</x:v>
      </x:c>
      <x:c r="V583" s="15" t="n">
        <x:f>'기준스탯 72종'!H31*G583</x:f>
        <x:v>1.1199999999999999</x:v>
      </x:c>
      <x:c r="W583" s="15" t="n">
        <x:f>'기준스탯 72종'!I31*G583</x:f>
        <x:v>3.3599999999999994</x:v>
      </x:c>
      <x:c r="X583" s="15" t="n">
        <x:f>'기준스탯 72종'!J31*G583</x:f>
        <x:v>1.1199999999999999</x:v>
      </x:c>
      <x:c r="Y583" s="15" t="n">
        <x:f>'기준스탯 72종'!K31*G583</x:f>
        <x:v>3.3599999999999994</x:v>
      </x:c>
      <x:c r="Z583" s="15" t="n">
        <x:f>'기준스탯 72종'!D31*H583</x:f>
        <x:v>1.6800000000000004</x:v>
      </x:c>
      <x:c r="AA583" s="15" t="n">
        <x:f>'기준스탯 72종'!E31*H583</x:f>
        <x:v>2.1600000000000006</x:v>
      </x:c>
      <x:c r="AB583" s="15" t="n">
        <x:f>'기준스탯 72종'!F31*H583</x:f>
        <x:v>2.1600000000000006</x:v>
      </x:c>
      <x:c r="AC583" s="15" t="n">
        <x:f>'기준스탯 72종'!G31*H583</x:f>
        <x:v>1.4400000000000004</x:v>
      </x:c>
      <x:c r="AD583" s="15" t="n">
        <x:f>'기준스탯 72종'!H31*H583</x:f>
        <x:v>0.4800000000000001</x:v>
      </x:c>
      <x:c r="AE583" s="15" t="n">
        <x:f>'기준스탯 72종'!I31*H583</x:f>
        <x:v>1.4400000000000004</x:v>
      </x:c>
      <x:c r="AF583" s="15" t="n">
        <x:f>'기준스탯 72종'!J31*H583</x:f>
        <x:v>0.4800000000000001</x:v>
      </x:c>
      <x:c r="AG583" s="15" t="n">
        <x:f>'기준스탯 72종'!K31*H583</x:f>
        <x:v>1.4400000000000004</x:v>
      </x:c>
    </x:row>
    <x:row r="584" ht="28" customHeight="1">
      <x:c r="A584" s="2" t="n">
        <x:v>577</x:v>
      </x:c>
      <x:c r="B584" s="2" t="n">
        <x:v>24</x:v>
      </x:c>
      <x:c r="C584" s="2" t="str">
        <x:v>게자리</x:v>
      </x:c>
      <x:c r="D584" s="2" t="str">
        <x:v>전사</x:v>
      </x:c>
      <x:c r="E584" s="2" t="n">
        <x:v>2</x:v>
      </x:c>
      <x:c r="F584" s="2" t="n">
        <x:v>1</x:v>
      </x:c>
      <x:c r="G584" s="14" t="n">
        <x:f>('레벨 계산식'!$E$4-E584)*'레벨 계산식'!$B$5</x:f>
        <x:v>0.41999999999999993</x:v>
      </x:c>
      <x:c r="H584" s="14" t="n">
        <x:f>('등급 계산식'!$E$4-F584)*'등급 계산식'!$B$5</x:f>
        <x:v>0.24000000000000005</x:v>
      </x:c>
      <x:c r="I584" s="14" t="n">
        <x:f>1-G584-H584</x:f>
        <x:v>0.34</x:v>
      </x:c>
      <x:c r="J584" s="2" t="n">
        <x:f>MAX(1,ROUND('기준스탯 72종'!D31-R584-Z584,0))</x:f>
        <x:v>2</x:v>
      </x:c>
      <x:c r="K584" s="2" t="n">
        <x:f>MAX(1,ROUND('기준스탯 72종'!E31-S584-AA584,0))</x:f>
        <x:v>3</x:v>
      </x:c>
      <x:c r="L584" s="2" t="n">
        <x:f>MAX(1,ROUND('기준스탯 72종'!F31-T584-AB584,0))</x:f>
        <x:v>3</x:v>
      </x:c>
      <x:c r="M584" s="2" t="n">
        <x:f>MAX(1,ROUND('기준스탯 72종'!G31-U584-AC584,0))</x:f>
        <x:v>2</x:v>
      </x:c>
      <x:c r="N584" s="2" t="n">
        <x:f>MAX(0,ROUND('기준스탯 72종'!H31-V584-AD584,0))</x:f>
        <x:v>1</x:v>
      </x:c>
      <x:c r="O584" s="2" t="n">
        <x:f>MAX(0,ROUND('기준스탯 72종'!I31-W584-AE584,0))</x:f>
        <x:v>2</x:v>
      </x:c>
      <x:c r="P584" s="2" t="n">
        <x:f>MAX(0,ROUND('기준스탯 72종'!J31-X584-AF584,0))</x:f>
        <x:v>1</x:v>
      </x:c>
      <x:c r="Q584" s="2" t="n">
        <x:f>MAX(0,ROUND('기준스탯 72종'!K31-Y584-AG584,0))</x:f>
        <x:v>2</x:v>
      </x:c>
      <x:c r="R584" s="15" t="n">
        <x:f>'기준스탯 72종'!D31*G584</x:f>
        <x:v>2.9399999999999995</x:v>
      </x:c>
      <x:c r="S584" s="15" t="n">
        <x:f>'기준스탯 72종'!E31*G584</x:f>
        <x:v>3.7799999999999994</x:v>
      </x:c>
      <x:c r="T584" s="15" t="n">
        <x:f>'기준스탯 72종'!F31*G584</x:f>
        <x:v>3.7799999999999994</x:v>
      </x:c>
      <x:c r="U584" s="15" t="n">
        <x:f>'기준스탯 72종'!G31*G584</x:f>
        <x:v>2.5199999999999996</x:v>
      </x:c>
      <x:c r="V584" s="15" t="n">
        <x:f>'기준스탯 72종'!H31*G584</x:f>
        <x:v>0.8399999999999999</x:v>
      </x:c>
      <x:c r="W584" s="15" t="n">
        <x:f>'기준스탯 72종'!I31*G584</x:f>
        <x:v>2.5199999999999996</x:v>
      </x:c>
      <x:c r="X584" s="15" t="n">
        <x:f>'기준스탯 72종'!J31*G584</x:f>
        <x:v>0.8399999999999999</x:v>
      </x:c>
      <x:c r="Y584" s="15" t="n">
        <x:f>'기준스탯 72종'!K31*G584</x:f>
        <x:v>2.5199999999999996</x:v>
      </x:c>
      <x:c r="Z584" s="15" t="n">
        <x:f>'기준스탯 72종'!D31*H584</x:f>
        <x:v>1.6800000000000004</x:v>
      </x:c>
      <x:c r="AA584" s="15" t="n">
        <x:f>'기준스탯 72종'!E31*H584</x:f>
        <x:v>2.1600000000000006</x:v>
      </x:c>
      <x:c r="AB584" s="15" t="n">
        <x:f>'기준스탯 72종'!F31*H584</x:f>
        <x:v>2.1600000000000006</x:v>
      </x:c>
      <x:c r="AC584" s="15" t="n">
        <x:f>'기준스탯 72종'!G31*H584</x:f>
        <x:v>1.4400000000000004</x:v>
      </x:c>
      <x:c r="AD584" s="15" t="n">
        <x:f>'기준스탯 72종'!H31*H584</x:f>
        <x:v>0.4800000000000001</x:v>
      </x:c>
      <x:c r="AE584" s="15" t="n">
        <x:f>'기준스탯 72종'!I31*H584</x:f>
        <x:v>1.4400000000000004</x:v>
      </x:c>
      <x:c r="AF584" s="15" t="n">
        <x:f>'기준스탯 72종'!J31*H584</x:f>
        <x:v>0.4800000000000001</x:v>
      </x:c>
      <x:c r="AG584" s="15" t="n">
        <x:f>'기준스탯 72종'!K31*H584</x:f>
        <x:v>1.4400000000000004</x:v>
      </x:c>
    </x:row>
    <x:row r="585" ht="28" customHeight="1">
      <x:c r="A585" s="2" t="n">
        <x:v>578</x:v>
      </x:c>
      <x:c r="B585" s="2" t="n">
        <x:v>24</x:v>
      </x:c>
      <x:c r="C585" s="2" t="str">
        <x:v>게자리</x:v>
      </x:c>
      <x:c r="D585" s="2" t="str">
        <x:v>전사</x:v>
      </x:c>
      <x:c r="E585" s="2" t="n">
        <x:v>3</x:v>
      </x:c>
      <x:c r="F585" s="2" t="n">
        <x:v>1</x:v>
      </x:c>
      <x:c r="G585" s="14" t="n">
        <x:f>('레벨 계산식'!$E$4-E585)*'레벨 계산식'!$B$5</x:f>
        <x:v>0.27999999999999997</x:v>
      </x:c>
      <x:c r="H585" s="14" t="n">
        <x:f>('등급 계산식'!$E$4-F585)*'등급 계산식'!$B$5</x:f>
        <x:v>0.24000000000000005</x:v>
      </x:c>
      <x:c r="I585" s="14" t="n">
        <x:f>1-G585-H585</x:f>
        <x:v>0.4799999999999999</x:v>
      </x:c>
      <x:c r="J585" s="2" t="n">
        <x:f>MAX(1,ROUND('기준스탯 72종'!D31-R585-Z585,0))</x:f>
        <x:v>3</x:v>
      </x:c>
      <x:c r="K585" s="2" t="n">
        <x:f>MAX(1,ROUND('기준스탯 72종'!E31-S585-AA585,0))</x:f>
        <x:v>4</x:v>
      </x:c>
      <x:c r="L585" s="2" t="n">
        <x:f>MAX(1,ROUND('기준스탯 72종'!F31-T585-AB585,0))</x:f>
        <x:v>4</x:v>
      </x:c>
      <x:c r="M585" s="2" t="n">
        <x:f>MAX(1,ROUND('기준스탯 72종'!G31-U585-AC585,0))</x:f>
        <x:v>3</x:v>
      </x:c>
      <x:c r="N585" s="2" t="n">
        <x:f>MAX(0,ROUND('기준스탯 72종'!H31-V585-AD585,0))</x:f>
        <x:v>1</x:v>
      </x:c>
      <x:c r="O585" s="2" t="n">
        <x:f>MAX(0,ROUND('기준스탯 72종'!I31-W585-AE585,0))</x:f>
        <x:v>3</x:v>
      </x:c>
      <x:c r="P585" s="2" t="n">
        <x:f>MAX(0,ROUND('기준스탯 72종'!J31-X585-AF585,0))</x:f>
        <x:v>1</x:v>
      </x:c>
      <x:c r="Q585" s="2" t="n">
        <x:f>MAX(0,ROUND('기준스탯 72종'!K31-Y585-AG585,0))</x:f>
        <x:v>3</x:v>
      </x:c>
      <x:c r="R585" s="15" t="n">
        <x:f>'기준스탯 72종'!D31*G585</x:f>
        <x:v>1.9599999999999997</x:v>
      </x:c>
      <x:c r="S585" s="15" t="n">
        <x:f>'기준스탯 72종'!E31*G585</x:f>
        <x:v>2.5199999999999996</x:v>
      </x:c>
      <x:c r="T585" s="15" t="n">
        <x:f>'기준스탯 72종'!F31*G585</x:f>
        <x:v>2.5199999999999996</x:v>
      </x:c>
      <x:c r="U585" s="15" t="n">
        <x:f>'기준스탯 72종'!G31*G585</x:f>
        <x:v>1.6799999999999997</x:v>
      </x:c>
      <x:c r="V585" s="15" t="n">
        <x:f>'기준스탯 72종'!H31*G585</x:f>
        <x:v>0.5599999999999999</x:v>
      </x:c>
      <x:c r="W585" s="15" t="n">
        <x:f>'기준스탯 72종'!I31*G585</x:f>
        <x:v>1.6799999999999997</x:v>
      </x:c>
      <x:c r="X585" s="15" t="n">
        <x:f>'기준스탯 72종'!J31*G585</x:f>
        <x:v>0.5599999999999999</x:v>
      </x:c>
      <x:c r="Y585" s="15" t="n">
        <x:f>'기준스탯 72종'!K31*G585</x:f>
        <x:v>1.6799999999999997</x:v>
      </x:c>
      <x:c r="Z585" s="15" t="n">
        <x:f>'기준스탯 72종'!D31*H585</x:f>
        <x:v>1.6800000000000004</x:v>
      </x:c>
      <x:c r="AA585" s="15" t="n">
        <x:f>'기준스탯 72종'!E31*H585</x:f>
        <x:v>2.1600000000000006</x:v>
      </x:c>
      <x:c r="AB585" s="15" t="n">
        <x:f>'기준스탯 72종'!F31*H585</x:f>
        <x:v>2.1600000000000006</x:v>
      </x:c>
      <x:c r="AC585" s="15" t="n">
        <x:f>'기준스탯 72종'!G31*H585</x:f>
        <x:v>1.4400000000000004</x:v>
      </x:c>
      <x:c r="AD585" s="15" t="n">
        <x:f>'기준스탯 72종'!H31*H585</x:f>
        <x:v>0.4800000000000001</x:v>
      </x:c>
      <x:c r="AE585" s="15" t="n">
        <x:f>'기준스탯 72종'!I31*H585</x:f>
        <x:v>1.4400000000000004</x:v>
      </x:c>
      <x:c r="AF585" s="15" t="n">
        <x:f>'기준스탯 72종'!J31*H585</x:f>
        <x:v>0.4800000000000001</x:v>
      </x:c>
      <x:c r="AG585" s="15" t="n">
        <x:f>'기준스탯 72종'!K31*H585</x:f>
        <x:v>1.4400000000000004</x:v>
      </x:c>
    </x:row>
    <x:row r="586" ht="28" customHeight="1">
      <x:c r="A586" s="2" t="n">
        <x:v>579</x:v>
      </x:c>
      <x:c r="B586" s="2" t="n">
        <x:v>24</x:v>
      </x:c>
      <x:c r="C586" s="2" t="str">
        <x:v>게자리</x:v>
      </x:c>
      <x:c r="D586" s="2" t="str">
        <x:v>전사</x:v>
      </x:c>
      <x:c r="E586" s="2" t="n">
        <x:v>4</x:v>
      </x:c>
      <x:c r="F586" s="2" t="n">
        <x:v>1</x:v>
      </x:c>
      <x:c r="G586" s="14" t="n">
        <x:f>('레벨 계산식'!$E$4-E586)*'레벨 계산식'!$B$5</x:f>
        <x:v>0.13999999999999999</x:v>
      </x:c>
      <x:c r="H586" s="14" t="n">
        <x:f>('등급 계산식'!$E$4-F586)*'등급 계산식'!$B$5</x:f>
        <x:v>0.24000000000000005</x:v>
      </x:c>
      <x:c r="I586" s="14" t="n">
        <x:f>1-G586-H586</x:f>
        <x:v>0.6199999999999999</x:v>
      </x:c>
      <x:c r="J586" s="2" t="n">
        <x:f>MAX(1,ROUND('기준스탯 72종'!D31-R586-Z586,0))</x:f>
        <x:v>4</x:v>
      </x:c>
      <x:c r="K586" s="2" t="n">
        <x:f>MAX(1,ROUND('기준스탯 72종'!E31-S586-AA586,0))</x:f>
        <x:v>6</x:v>
      </x:c>
      <x:c r="L586" s="2" t="n">
        <x:f>MAX(1,ROUND('기준스탯 72종'!F31-T586-AB586,0))</x:f>
        <x:v>6</x:v>
      </x:c>
      <x:c r="M586" s="2" t="n">
        <x:f>MAX(1,ROUND('기준스탯 72종'!G31-U586-AC586,0))</x:f>
        <x:v>4</x:v>
      </x:c>
      <x:c r="N586" s="2" t="n">
        <x:f>MAX(0,ROUND('기준스탯 72종'!H31-V586-AD586,0))</x:f>
        <x:v>1</x:v>
      </x:c>
      <x:c r="O586" s="2" t="n">
        <x:f>MAX(0,ROUND('기준스탯 72종'!I31-W586-AE586,0))</x:f>
        <x:v>4</x:v>
      </x:c>
      <x:c r="P586" s="2" t="n">
        <x:f>MAX(0,ROUND('기준스탯 72종'!J31-X586-AF586,0))</x:f>
        <x:v>1</x:v>
      </x:c>
      <x:c r="Q586" s="2" t="n">
        <x:f>MAX(0,ROUND('기준스탯 72종'!K31-Y586-AG586,0))</x:f>
        <x:v>4</x:v>
      </x:c>
      <x:c r="R586" s="15" t="n">
        <x:f>'기준스탯 72종'!D31*G586</x:f>
        <x:v>0.9799999999999999</x:v>
      </x:c>
      <x:c r="S586" s="15" t="n">
        <x:f>'기준스탯 72종'!E31*G586</x:f>
        <x:v>1.2599999999999998</x:v>
      </x:c>
      <x:c r="T586" s="15" t="n">
        <x:f>'기준스탯 72종'!F31*G586</x:f>
        <x:v>1.2599999999999998</x:v>
      </x:c>
      <x:c r="U586" s="15" t="n">
        <x:f>'기준스탯 72종'!G31*G586</x:f>
        <x:v>0.8399999999999999</x:v>
      </x:c>
      <x:c r="V586" s="15" t="n">
        <x:f>'기준스탯 72종'!H31*G586</x:f>
        <x:v>0.27999999999999997</x:v>
      </x:c>
      <x:c r="W586" s="15" t="n">
        <x:f>'기준스탯 72종'!I31*G586</x:f>
        <x:v>0.8399999999999999</x:v>
      </x:c>
      <x:c r="X586" s="15" t="n">
        <x:f>'기준스탯 72종'!J31*G586</x:f>
        <x:v>0.27999999999999997</x:v>
      </x:c>
      <x:c r="Y586" s="15" t="n">
        <x:f>'기준스탯 72종'!K31*G586</x:f>
        <x:v>0.8399999999999999</x:v>
      </x:c>
      <x:c r="Z586" s="15" t="n">
        <x:f>'기준스탯 72종'!D31*H586</x:f>
        <x:v>1.6800000000000004</x:v>
      </x:c>
      <x:c r="AA586" s="15" t="n">
        <x:f>'기준스탯 72종'!E31*H586</x:f>
        <x:v>2.1600000000000006</x:v>
      </x:c>
      <x:c r="AB586" s="15" t="n">
        <x:f>'기준스탯 72종'!F31*H586</x:f>
        <x:v>2.1600000000000006</x:v>
      </x:c>
      <x:c r="AC586" s="15" t="n">
        <x:f>'기준스탯 72종'!G31*H586</x:f>
        <x:v>1.4400000000000004</x:v>
      </x:c>
      <x:c r="AD586" s="15" t="n">
        <x:f>'기준스탯 72종'!H31*H586</x:f>
        <x:v>0.4800000000000001</x:v>
      </x:c>
      <x:c r="AE586" s="15" t="n">
        <x:f>'기준스탯 72종'!I31*H586</x:f>
        <x:v>1.4400000000000004</x:v>
      </x:c>
      <x:c r="AF586" s="15" t="n">
        <x:f>'기준스탯 72종'!J31*H586</x:f>
        <x:v>0.4800000000000001</x:v>
      </x:c>
      <x:c r="AG586" s="15" t="n">
        <x:f>'기준스탯 72종'!K31*H586</x:f>
        <x:v>1.4400000000000004</x:v>
      </x:c>
    </x:row>
    <x:row r="587" ht="28" customHeight="1">
      <x:c r="A587" s="2" t="n">
        <x:v>580</x:v>
      </x:c>
      <x:c r="B587" s="2" t="n">
        <x:v>24</x:v>
      </x:c>
      <x:c r="C587" s="2" t="str">
        <x:v>게자리</x:v>
      </x:c>
      <x:c r="D587" s="2" t="str">
        <x:v>전사</x:v>
      </x:c>
      <x:c r="E587" s="2" t="n">
        <x:v>5</x:v>
      </x:c>
      <x:c r="F587" s="2" t="n">
        <x:v>1</x:v>
      </x:c>
      <x:c r="G587" s="14" t="n">
        <x:f>('레벨 계산식'!$E$4-E587)*'레벨 계산식'!$B$5</x:f>
        <x:v>0</x:v>
      </x:c>
      <x:c r="H587" s="14" t="n">
        <x:f>('등급 계산식'!$E$4-F587)*'등급 계산식'!$B$5</x:f>
        <x:v>0.24000000000000005</x:v>
      </x:c>
      <x:c r="I587" s="14" t="n">
        <x:f>1-G587-H587</x:f>
        <x:v>0.76</x:v>
      </x:c>
      <x:c r="J587" s="2" t="n">
        <x:f>MAX(1,ROUND('기준스탯 72종'!D31-R587-Z587,0))</x:f>
        <x:v>5</x:v>
      </x:c>
      <x:c r="K587" s="2" t="n">
        <x:f>MAX(1,ROUND('기준스탯 72종'!E31-S587-AA587,0))</x:f>
        <x:v>7</x:v>
      </x:c>
      <x:c r="L587" s="2" t="n">
        <x:f>MAX(1,ROUND('기준스탯 72종'!F31-T587-AB587,0))</x:f>
        <x:v>7</x:v>
      </x:c>
      <x:c r="M587" s="2" t="n">
        <x:f>MAX(1,ROUND('기준스탯 72종'!G31-U587-AC587,0))</x:f>
        <x:v>5</x:v>
      </x:c>
      <x:c r="N587" s="2" t="n">
        <x:f>MAX(0,ROUND('기준스탯 72종'!H31-V587-AD587,0))</x:f>
        <x:v>2</x:v>
      </x:c>
      <x:c r="O587" s="2" t="n">
        <x:f>MAX(0,ROUND('기준스탯 72종'!I31-W587-AE587,0))</x:f>
        <x:v>5</x:v>
      </x:c>
      <x:c r="P587" s="2" t="n">
        <x:f>MAX(0,ROUND('기준스탯 72종'!J31-X587-AF587,0))</x:f>
        <x:v>2</x:v>
      </x:c>
      <x:c r="Q587" s="2" t="n">
        <x:f>MAX(0,ROUND('기준스탯 72종'!K31-Y587-AG587,0))</x:f>
        <x:v>5</x:v>
      </x:c>
      <x:c r="R587" s="15" t="n">
        <x:f>'기준스탯 72종'!D31*G587</x:f>
        <x:v>0</x:v>
      </x:c>
      <x:c r="S587" s="15" t="n">
        <x:f>'기준스탯 72종'!E31*G587</x:f>
        <x:v>0</x:v>
      </x:c>
      <x:c r="T587" s="15" t="n">
        <x:f>'기준스탯 72종'!F31*G587</x:f>
        <x:v>0</x:v>
      </x:c>
      <x:c r="U587" s="15" t="n">
        <x:f>'기준스탯 72종'!G31*G587</x:f>
        <x:v>0</x:v>
      </x:c>
      <x:c r="V587" s="15" t="n">
        <x:f>'기준스탯 72종'!H31*G587</x:f>
        <x:v>0</x:v>
      </x:c>
      <x:c r="W587" s="15" t="n">
        <x:f>'기준스탯 72종'!I31*G587</x:f>
        <x:v>0</x:v>
      </x:c>
      <x:c r="X587" s="15" t="n">
        <x:f>'기준스탯 72종'!J31*G587</x:f>
        <x:v>0</x:v>
      </x:c>
      <x:c r="Y587" s="15" t="n">
        <x:f>'기준스탯 72종'!K31*G587</x:f>
        <x:v>0</x:v>
      </x:c>
      <x:c r="Z587" s="15" t="n">
        <x:f>'기준스탯 72종'!D31*H587</x:f>
        <x:v>1.6800000000000004</x:v>
      </x:c>
      <x:c r="AA587" s="15" t="n">
        <x:f>'기준스탯 72종'!E31*H587</x:f>
        <x:v>2.1600000000000006</x:v>
      </x:c>
      <x:c r="AB587" s="15" t="n">
        <x:f>'기준스탯 72종'!F31*H587</x:f>
        <x:v>2.1600000000000006</x:v>
      </x:c>
      <x:c r="AC587" s="15" t="n">
        <x:f>'기준스탯 72종'!G31*H587</x:f>
        <x:v>1.4400000000000004</x:v>
      </x:c>
      <x:c r="AD587" s="15" t="n">
        <x:f>'기준스탯 72종'!H31*H587</x:f>
        <x:v>0.4800000000000001</x:v>
      </x:c>
      <x:c r="AE587" s="15" t="n">
        <x:f>'기준스탯 72종'!I31*H587</x:f>
        <x:v>1.4400000000000004</x:v>
      </x:c>
      <x:c r="AF587" s="15" t="n">
        <x:f>'기준스탯 72종'!J31*H587</x:f>
        <x:v>0.4800000000000001</x:v>
      </x:c>
      <x:c r="AG587" s="15" t="n">
        <x:f>'기준스탯 72종'!K31*H587</x:f>
        <x:v>1.4400000000000004</x:v>
      </x:c>
    </x:row>
    <x:row r="588" ht="28" customHeight="1">
      <x:c r="A588" s="2" t="n">
        <x:v>581</x:v>
      </x:c>
      <x:c r="B588" s="2" t="n">
        <x:v>24</x:v>
      </x:c>
      <x:c r="C588" s="2" t="str">
        <x:v>게자리</x:v>
      </x:c>
      <x:c r="D588" s="2" t="str">
        <x:v>전사</x:v>
      </x:c>
      <x:c r="E588" s="2" t="n">
        <x:v>1</x:v>
      </x:c>
      <x:c r="F588" s="2" t="n">
        <x:v>2</x:v>
      </x:c>
      <x:c r="G588" s="14" t="n">
        <x:f>('레벨 계산식'!$E$4-E588)*'레벨 계산식'!$B$5</x:f>
        <x:v>0.5599999999999999</x:v>
      </x:c>
      <x:c r="H588" s="14" t="n">
        <x:f>('등급 계산식'!$E$4-F588)*'등급 계산식'!$B$5</x:f>
        <x:v>0.18000000000000005</x:v>
      </x:c>
      <x:c r="I588" s="14" t="n">
        <x:f>1-G588-H588</x:f>
        <x:v>0.26</x:v>
      </x:c>
      <x:c r="J588" s="2" t="n">
        <x:f>MAX(1,ROUND('기준스탯 72종'!D31-R588-Z588,0))</x:f>
        <x:v>2</x:v>
      </x:c>
      <x:c r="K588" s="2" t="n">
        <x:f>MAX(1,ROUND('기준스탯 72종'!E31-S588-AA588,0))</x:f>
        <x:v>2</x:v>
      </x:c>
      <x:c r="L588" s="2" t="n">
        <x:f>MAX(1,ROUND('기준스탯 72종'!F31-T588-AB588,0))</x:f>
        <x:v>2</x:v>
      </x:c>
      <x:c r="M588" s="2" t="n">
        <x:f>MAX(1,ROUND('기준스탯 72종'!G31-U588-AC588,0))</x:f>
        <x:v>2</x:v>
      </x:c>
      <x:c r="N588" s="2" t="n">
        <x:f>MAX(0,ROUND('기준스탯 72종'!H31-V588-AD588,0))</x:f>
        <x:v>1</x:v>
      </x:c>
      <x:c r="O588" s="2" t="n">
        <x:f>MAX(0,ROUND('기준스탯 72종'!I31-W588-AE588,0))</x:f>
        <x:v>2</x:v>
      </x:c>
      <x:c r="P588" s="2" t="n">
        <x:f>MAX(0,ROUND('기준스탯 72종'!J31-X588-AF588,0))</x:f>
        <x:v>1</x:v>
      </x:c>
      <x:c r="Q588" s="2" t="n">
        <x:f>MAX(0,ROUND('기준스탯 72종'!K31-Y588-AG588,0))</x:f>
        <x:v>2</x:v>
      </x:c>
      <x:c r="R588" s="15" t="n">
        <x:f>'기준스탯 72종'!D31*G588</x:f>
        <x:v>3.9199999999999995</x:v>
      </x:c>
      <x:c r="S588" s="15" t="n">
        <x:f>'기준스탯 72종'!E31*G588</x:f>
        <x:v>5.039999999999999</x:v>
      </x:c>
      <x:c r="T588" s="15" t="n">
        <x:f>'기준스탯 72종'!F31*G588</x:f>
        <x:v>5.039999999999999</x:v>
      </x:c>
      <x:c r="U588" s="15" t="n">
        <x:f>'기준스탯 72종'!G31*G588</x:f>
        <x:v>3.3599999999999994</x:v>
      </x:c>
      <x:c r="V588" s="15" t="n">
        <x:f>'기준스탯 72종'!H31*G588</x:f>
        <x:v>1.1199999999999999</x:v>
      </x:c>
      <x:c r="W588" s="15" t="n">
        <x:f>'기준스탯 72종'!I31*G588</x:f>
        <x:v>3.3599999999999994</x:v>
      </x:c>
      <x:c r="X588" s="15" t="n">
        <x:f>'기준스탯 72종'!J31*G588</x:f>
        <x:v>1.1199999999999999</x:v>
      </x:c>
      <x:c r="Y588" s="15" t="n">
        <x:f>'기준스탯 72종'!K31*G588</x:f>
        <x:v>3.3599999999999994</x:v>
      </x:c>
      <x:c r="Z588" s="15" t="n">
        <x:f>'기준스탯 72종'!D31*H588</x:f>
        <x:v>1.2600000000000002</x:v>
      </x:c>
      <x:c r="AA588" s="15" t="n">
        <x:f>'기준스탯 72종'!E31*H588</x:f>
        <x:v>1.6200000000000006</x:v>
      </x:c>
      <x:c r="AB588" s="15" t="n">
        <x:f>'기준스탯 72종'!F31*H588</x:f>
        <x:v>1.6200000000000006</x:v>
      </x:c>
      <x:c r="AC588" s="15" t="n">
        <x:f>'기준스탯 72종'!G31*H588</x:f>
        <x:v>1.0800000000000003</x:v>
      </x:c>
      <x:c r="AD588" s="15" t="n">
        <x:f>'기준스탯 72종'!H31*H588</x:f>
        <x:v>0.3600000000000001</x:v>
      </x:c>
      <x:c r="AE588" s="15" t="n">
        <x:f>'기준스탯 72종'!I31*H588</x:f>
        <x:v>1.0800000000000003</x:v>
      </x:c>
      <x:c r="AF588" s="15" t="n">
        <x:f>'기준스탯 72종'!J31*H588</x:f>
        <x:v>0.3600000000000001</x:v>
      </x:c>
      <x:c r="AG588" s="15" t="n">
        <x:f>'기준스탯 72종'!K31*H588</x:f>
        <x:v>1.0800000000000003</x:v>
      </x:c>
    </x:row>
    <x:row r="589" ht="28" customHeight="1">
      <x:c r="A589" s="2" t="n">
        <x:v>582</x:v>
      </x:c>
      <x:c r="B589" s="2" t="n">
        <x:v>24</x:v>
      </x:c>
      <x:c r="C589" s="2" t="str">
        <x:v>게자리</x:v>
      </x:c>
      <x:c r="D589" s="2" t="str">
        <x:v>전사</x:v>
      </x:c>
      <x:c r="E589" s="2" t="n">
        <x:v>2</x:v>
      </x:c>
      <x:c r="F589" s="2" t="n">
        <x:v>2</x:v>
      </x:c>
      <x:c r="G589" s="14" t="n">
        <x:f>('레벨 계산식'!$E$4-E589)*'레벨 계산식'!$B$5</x:f>
        <x:v>0.41999999999999993</x:v>
      </x:c>
      <x:c r="H589" s="14" t="n">
        <x:f>('등급 계산식'!$E$4-F589)*'등급 계산식'!$B$5</x:f>
        <x:v>0.18000000000000005</x:v>
      </x:c>
      <x:c r="I589" s="14" t="n">
        <x:f>1-G589-H589</x:f>
        <x:v>0.4</x:v>
      </x:c>
      <x:c r="J589" s="2" t="n">
        <x:f>MAX(1,ROUND('기준스탯 72종'!D31-R589-Z589,0))</x:f>
        <x:v>3</x:v>
      </x:c>
      <x:c r="K589" s="2" t="n">
        <x:f>MAX(1,ROUND('기준스탯 72종'!E31-S589-AA589,0))</x:f>
        <x:v>4</x:v>
      </x:c>
      <x:c r="L589" s="2" t="n">
        <x:f>MAX(1,ROUND('기준스탯 72종'!F31-T589-AB589,0))</x:f>
        <x:v>4</x:v>
      </x:c>
      <x:c r="M589" s="2" t="n">
        <x:f>MAX(1,ROUND('기준스탯 72종'!G31-U589-AC589,0))</x:f>
        <x:v>2</x:v>
      </x:c>
      <x:c r="N589" s="2" t="n">
        <x:f>MAX(0,ROUND('기준스탯 72종'!H31-V589-AD589,0))</x:f>
        <x:v>1</x:v>
      </x:c>
      <x:c r="O589" s="2" t="n">
        <x:f>MAX(0,ROUND('기준스탯 72종'!I31-W589-AE589,0))</x:f>
        <x:v>2</x:v>
      </x:c>
      <x:c r="P589" s="2" t="n">
        <x:f>MAX(0,ROUND('기준스탯 72종'!J31-X589-AF589,0))</x:f>
        <x:v>1</x:v>
      </x:c>
      <x:c r="Q589" s="2" t="n">
        <x:f>MAX(0,ROUND('기준스탯 72종'!K31-Y589-AG589,0))</x:f>
        <x:v>2</x:v>
      </x:c>
      <x:c r="R589" s="15" t="n">
        <x:f>'기준스탯 72종'!D31*G589</x:f>
        <x:v>2.9399999999999995</x:v>
      </x:c>
      <x:c r="S589" s="15" t="n">
        <x:f>'기준스탯 72종'!E31*G589</x:f>
        <x:v>3.7799999999999994</x:v>
      </x:c>
      <x:c r="T589" s="15" t="n">
        <x:f>'기준스탯 72종'!F31*G589</x:f>
        <x:v>3.7799999999999994</x:v>
      </x:c>
      <x:c r="U589" s="15" t="n">
        <x:f>'기준스탯 72종'!G31*G589</x:f>
        <x:v>2.5199999999999996</x:v>
      </x:c>
      <x:c r="V589" s="15" t="n">
        <x:f>'기준스탯 72종'!H31*G589</x:f>
        <x:v>0.8399999999999999</x:v>
      </x:c>
      <x:c r="W589" s="15" t="n">
        <x:f>'기준스탯 72종'!I31*G589</x:f>
        <x:v>2.5199999999999996</x:v>
      </x:c>
      <x:c r="X589" s="15" t="n">
        <x:f>'기준스탯 72종'!J31*G589</x:f>
        <x:v>0.8399999999999999</x:v>
      </x:c>
      <x:c r="Y589" s="15" t="n">
        <x:f>'기준스탯 72종'!K31*G589</x:f>
        <x:v>2.5199999999999996</x:v>
      </x:c>
      <x:c r="Z589" s="15" t="n">
        <x:f>'기준스탯 72종'!D31*H589</x:f>
        <x:v>1.2600000000000002</x:v>
      </x:c>
      <x:c r="AA589" s="15" t="n">
        <x:f>'기준스탯 72종'!E31*H589</x:f>
        <x:v>1.6200000000000006</x:v>
      </x:c>
      <x:c r="AB589" s="15" t="n">
        <x:f>'기준스탯 72종'!F31*H589</x:f>
        <x:v>1.6200000000000006</x:v>
      </x:c>
      <x:c r="AC589" s="15" t="n">
        <x:f>'기준스탯 72종'!G31*H589</x:f>
        <x:v>1.0800000000000003</x:v>
      </x:c>
      <x:c r="AD589" s="15" t="n">
        <x:f>'기준스탯 72종'!H31*H589</x:f>
        <x:v>0.3600000000000001</x:v>
      </x:c>
      <x:c r="AE589" s="15" t="n">
        <x:f>'기준스탯 72종'!I31*H589</x:f>
        <x:v>1.0800000000000003</x:v>
      </x:c>
      <x:c r="AF589" s="15" t="n">
        <x:f>'기준스탯 72종'!J31*H589</x:f>
        <x:v>0.3600000000000001</x:v>
      </x:c>
      <x:c r="AG589" s="15" t="n">
        <x:f>'기준스탯 72종'!K31*H589</x:f>
        <x:v>1.0800000000000003</x:v>
      </x:c>
    </x:row>
    <x:row r="590" ht="28" customHeight="1">
      <x:c r="A590" s="2" t="n">
        <x:v>583</x:v>
      </x:c>
      <x:c r="B590" s="2" t="n">
        <x:v>24</x:v>
      </x:c>
      <x:c r="C590" s="2" t="str">
        <x:v>게자리</x:v>
      </x:c>
      <x:c r="D590" s="2" t="str">
        <x:v>전사</x:v>
      </x:c>
      <x:c r="E590" s="2" t="n">
        <x:v>3</x:v>
      </x:c>
      <x:c r="F590" s="2" t="n">
        <x:v>2</x:v>
      </x:c>
      <x:c r="G590" s="14" t="n">
        <x:f>('레벨 계산식'!$E$4-E590)*'레벨 계산식'!$B$5</x:f>
        <x:v>0.27999999999999997</x:v>
      </x:c>
      <x:c r="H590" s="14" t="n">
        <x:f>('등급 계산식'!$E$4-F590)*'등급 계산식'!$B$5</x:f>
        <x:v>0.18000000000000005</x:v>
      </x:c>
      <x:c r="I590" s="14" t="n">
        <x:f>1-G590-H590</x:f>
        <x:v>0.5399999999999999</x:v>
      </x:c>
      <x:c r="J590" s="2" t="n">
        <x:f>MAX(1,ROUND('기준스탯 72종'!D31-R590-Z590,0))</x:f>
        <x:v>4</x:v>
      </x:c>
      <x:c r="K590" s="2" t="n">
        <x:f>MAX(1,ROUND('기준스탯 72종'!E31-S590-AA590,0))</x:f>
        <x:v>5</x:v>
      </x:c>
      <x:c r="L590" s="2" t="n">
        <x:f>MAX(1,ROUND('기준스탯 72종'!F31-T590-AB590,0))</x:f>
        <x:v>5</x:v>
      </x:c>
      <x:c r="M590" s="2" t="n">
        <x:f>MAX(1,ROUND('기준스탯 72종'!G31-U590-AC590,0))</x:f>
        <x:v>3</x:v>
      </x:c>
      <x:c r="N590" s="2" t="n">
        <x:f>MAX(0,ROUND('기준스탯 72종'!H31-V590-AD590,0))</x:f>
        <x:v>1</x:v>
      </x:c>
      <x:c r="O590" s="2" t="n">
        <x:f>MAX(0,ROUND('기준스탯 72종'!I31-W590-AE590,0))</x:f>
        <x:v>3</x:v>
      </x:c>
      <x:c r="P590" s="2" t="n">
        <x:f>MAX(0,ROUND('기준스탯 72종'!J31-X590-AF590,0))</x:f>
        <x:v>1</x:v>
      </x:c>
      <x:c r="Q590" s="2" t="n">
        <x:f>MAX(0,ROUND('기준스탯 72종'!K31-Y590-AG590,0))</x:f>
        <x:v>3</x:v>
      </x:c>
      <x:c r="R590" s="15" t="n">
        <x:f>'기준스탯 72종'!D31*G590</x:f>
        <x:v>1.9599999999999997</x:v>
      </x:c>
      <x:c r="S590" s="15" t="n">
        <x:f>'기준스탯 72종'!E31*G590</x:f>
        <x:v>2.5199999999999996</x:v>
      </x:c>
      <x:c r="T590" s="15" t="n">
        <x:f>'기준스탯 72종'!F31*G590</x:f>
        <x:v>2.5199999999999996</x:v>
      </x:c>
      <x:c r="U590" s="15" t="n">
        <x:f>'기준스탯 72종'!G31*G590</x:f>
        <x:v>1.6799999999999997</x:v>
      </x:c>
      <x:c r="V590" s="15" t="n">
        <x:f>'기준스탯 72종'!H31*G590</x:f>
        <x:v>0.5599999999999999</x:v>
      </x:c>
      <x:c r="W590" s="15" t="n">
        <x:f>'기준스탯 72종'!I31*G590</x:f>
        <x:v>1.6799999999999997</x:v>
      </x:c>
      <x:c r="X590" s="15" t="n">
        <x:f>'기준스탯 72종'!J31*G590</x:f>
        <x:v>0.5599999999999999</x:v>
      </x:c>
      <x:c r="Y590" s="15" t="n">
        <x:f>'기준스탯 72종'!K31*G590</x:f>
        <x:v>1.6799999999999997</x:v>
      </x:c>
      <x:c r="Z590" s="15" t="n">
        <x:f>'기준스탯 72종'!D31*H590</x:f>
        <x:v>1.2600000000000002</x:v>
      </x:c>
      <x:c r="AA590" s="15" t="n">
        <x:f>'기준스탯 72종'!E31*H590</x:f>
        <x:v>1.6200000000000006</x:v>
      </x:c>
      <x:c r="AB590" s="15" t="n">
        <x:f>'기준스탯 72종'!F31*H590</x:f>
        <x:v>1.6200000000000006</x:v>
      </x:c>
      <x:c r="AC590" s="15" t="n">
        <x:f>'기준스탯 72종'!G31*H590</x:f>
        <x:v>1.0800000000000003</x:v>
      </x:c>
      <x:c r="AD590" s="15" t="n">
        <x:f>'기준스탯 72종'!H31*H590</x:f>
        <x:v>0.3600000000000001</x:v>
      </x:c>
      <x:c r="AE590" s="15" t="n">
        <x:f>'기준스탯 72종'!I31*H590</x:f>
        <x:v>1.0800000000000003</x:v>
      </x:c>
      <x:c r="AF590" s="15" t="n">
        <x:f>'기준스탯 72종'!J31*H590</x:f>
        <x:v>0.3600000000000001</x:v>
      </x:c>
      <x:c r="AG590" s="15" t="n">
        <x:f>'기준스탯 72종'!K31*H590</x:f>
        <x:v>1.0800000000000003</x:v>
      </x:c>
    </x:row>
    <x:row r="591" ht="28" customHeight="1">
      <x:c r="A591" s="2" t="n">
        <x:v>584</x:v>
      </x:c>
      <x:c r="B591" s="2" t="n">
        <x:v>24</x:v>
      </x:c>
      <x:c r="C591" s="2" t="str">
        <x:v>게자리</x:v>
      </x:c>
      <x:c r="D591" s="2" t="str">
        <x:v>전사</x:v>
      </x:c>
      <x:c r="E591" s="2" t="n">
        <x:v>4</x:v>
      </x:c>
      <x:c r="F591" s="2" t="n">
        <x:v>2</x:v>
      </x:c>
      <x:c r="G591" s="14" t="n">
        <x:f>('레벨 계산식'!$E$4-E591)*'레벨 계산식'!$B$5</x:f>
        <x:v>0.13999999999999999</x:v>
      </x:c>
      <x:c r="H591" s="14" t="n">
        <x:f>('등급 계산식'!$E$4-F591)*'등급 계산식'!$B$5</x:f>
        <x:v>0.18000000000000005</x:v>
      </x:c>
      <x:c r="I591" s="14" t="n">
        <x:f>1-G591-H591</x:f>
        <x:v>0.6799999999999999</x:v>
      </x:c>
      <x:c r="J591" s="2" t="n">
        <x:f>MAX(1,ROUND('기준스탯 72종'!D31-R591-Z591,0))</x:f>
        <x:v>5</x:v>
      </x:c>
      <x:c r="K591" s="2" t="n">
        <x:f>MAX(1,ROUND('기준스탯 72종'!E31-S591-AA591,0))</x:f>
        <x:v>6</x:v>
      </x:c>
      <x:c r="L591" s="2" t="n">
        <x:f>MAX(1,ROUND('기준스탯 72종'!F31-T591-AB591,0))</x:f>
        <x:v>6</x:v>
      </x:c>
      <x:c r="M591" s="2" t="n">
        <x:f>MAX(1,ROUND('기준스탯 72종'!G31-U591-AC591,0))</x:f>
        <x:v>4</x:v>
      </x:c>
      <x:c r="N591" s="2" t="n">
        <x:f>MAX(0,ROUND('기준스탯 72종'!H31-V591-AD591,0))</x:f>
        <x:v>1</x:v>
      </x:c>
      <x:c r="O591" s="2" t="n">
        <x:f>MAX(0,ROUND('기준스탯 72종'!I31-W591-AE591,0))</x:f>
        <x:v>4</x:v>
      </x:c>
      <x:c r="P591" s="2" t="n">
        <x:f>MAX(0,ROUND('기준스탯 72종'!J31-X591-AF591,0))</x:f>
        <x:v>1</x:v>
      </x:c>
      <x:c r="Q591" s="2" t="n">
        <x:f>MAX(0,ROUND('기준스탯 72종'!K31-Y591-AG591,0))</x:f>
        <x:v>4</x:v>
      </x:c>
      <x:c r="R591" s="15" t="n">
        <x:f>'기준스탯 72종'!D31*G591</x:f>
        <x:v>0.9799999999999999</x:v>
      </x:c>
      <x:c r="S591" s="15" t="n">
        <x:f>'기준스탯 72종'!E31*G591</x:f>
        <x:v>1.2599999999999998</x:v>
      </x:c>
      <x:c r="T591" s="15" t="n">
        <x:f>'기준스탯 72종'!F31*G591</x:f>
        <x:v>1.2599999999999998</x:v>
      </x:c>
      <x:c r="U591" s="15" t="n">
        <x:f>'기준스탯 72종'!G31*G591</x:f>
        <x:v>0.8399999999999999</x:v>
      </x:c>
      <x:c r="V591" s="15" t="n">
        <x:f>'기준스탯 72종'!H31*G591</x:f>
        <x:v>0.27999999999999997</x:v>
      </x:c>
      <x:c r="W591" s="15" t="n">
        <x:f>'기준스탯 72종'!I31*G591</x:f>
        <x:v>0.8399999999999999</x:v>
      </x:c>
      <x:c r="X591" s="15" t="n">
        <x:f>'기준스탯 72종'!J31*G591</x:f>
        <x:v>0.27999999999999997</x:v>
      </x:c>
      <x:c r="Y591" s="15" t="n">
        <x:f>'기준스탯 72종'!K31*G591</x:f>
        <x:v>0.8399999999999999</x:v>
      </x:c>
      <x:c r="Z591" s="15" t="n">
        <x:f>'기준스탯 72종'!D31*H591</x:f>
        <x:v>1.2600000000000002</x:v>
      </x:c>
      <x:c r="AA591" s="15" t="n">
        <x:f>'기준스탯 72종'!E31*H591</x:f>
        <x:v>1.6200000000000006</x:v>
      </x:c>
      <x:c r="AB591" s="15" t="n">
        <x:f>'기준스탯 72종'!F31*H591</x:f>
        <x:v>1.6200000000000006</x:v>
      </x:c>
      <x:c r="AC591" s="15" t="n">
        <x:f>'기준스탯 72종'!G31*H591</x:f>
        <x:v>1.0800000000000003</x:v>
      </x:c>
      <x:c r="AD591" s="15" t="n">
        <x:f>'기준스탯 72종'!H31*H591</x:f>
        <x:v>0.3600000000000001</x:v>
      </x:c>
      <x:c r="AE591" s="15" t="n">
        <x:f>'기준스탯 72종'!I31*H591</x:f>
        <x:v>1.0800000000000003</x:v>
      </x:c>
      <x:c r="AF591" s="15" t="n">
        <x:f>'기준스탯 72종'!J31*H591</x:f>
        <x:v>0.3600000000000001</x:v>
      </x:c>
      <x:c r="AG591" s="15" t="n">
        <x:f>'기준스탯 72종'!K31*H591</x:f>
        <x:v>1.0800000000000003</x:v>
      </x:c>
    </x:row>
    <x:row r="592" ht="28" customHeight="1">
      <x:c r="A592" s="2" t="n">
        <x:v>585</x:v>
      </x:c>
      <x:c r="B592" s="2" t="n">
        <x:v>24</x:v>
      </x:c>
      <x:c r="C592" s="2" t="str">
        <x:v>게자리</x:v>
      </x:c>
      <x:c r="D592" s="2" t="str">
        <x:v>전사</x:v>
      </x:c>
      <x:c r="E592" s="2" t="n">
        <x:v>5</x:v>
      </x:c>
      <x:c r="F592" s="2" t="n">
        <x:v>2</x:v>
      </x:c>
      <x:c r="G592" s="14" t="n">
        <x:f>('레벨 계산식'!$E$4-E592)*'레벨 계산식'!$B$5</x:f>
        <x:v>0</x:v>
      </x:c>
      <x:c r="H592" s="14" t="n">
        <x:f>('등급 계산식'!$E$4-F592)*'등급 계산식'!$B$5</x:f>
        <x:v>0.18000000000000005</x:v>
      </x:c>
      <x:c r="I592" s="14" t="n">
        <x:f>1-G592-H592</x:f>
        <x:v>0.82</x:v>
      </x:c>
      <x:c r="J592" s="2" t="n">
        <x:f>MAX(1,ROUND('기준스탯 72종'!D31-R592-Z592,0))</x:f>
        <x:v>6</x:v>
      </x:c>
      <x:c r="K592" s="2" t="n">
        <x:f>MAX(1,ROUND('기준스탯 72종'!E31-S592-AA592,0))</x:f>
        <x:v>7</x:v>
      </x:c>
      <x:c r="L592" s="2" t="n">
        <x:f>MAX(1,ROUND('기준스탯 72종'!F31-T592-AB592,0))</x:f>
        <x:v>7</x:v>
      </x:c>
      <x:c r="M592" s="2" t="n">
        <x:f>MAX(1,ROUND('기준스탯 72종'!G31-U592-AC592,0))</x:f>
        <x:v>5</x:v>
      </x:c>
      <x:c r="N592" s="2" t="n">
        <x:f>MAX(0,ROUND('기준스탯 72종'!H31-V592-AD592,0))</x:f>
        <x:v>2</x:v>
      </x:c>
      <x:c r="O592" s="2" t="n">
        <x:f>MAX(0,ROUND('기준스탯 72종'!I31-W592-AE592,0))</x:f>
        <x:v>5</x:v>
      </x:c>
      <x:c r="P592" s="2" t="n">
        <x:f>MAX(0,ROUND('기준스탯 72종'!J31-X592-AF592,0))</x:f>
        <x:v>2</x:v>
      </x:c>
      <x:c r="Q592" s="2" t="n">
        <x:f>MAX(0,ROUND('기준스탯 72종'!K31-Y592-AG592,0))</x:f>
        <x:v>5</x:v>
      </x:c>
      <x:c r="R592" s="15" t="n">
        <x:f>'기준스탯 72종'!D31*G592</x:f>
        <x:v>0</x:v>
      </x:c>
      <x:c r="S592" s="15" t="n">
        <x:f>'기준스탯 72종'!E31*G592</x:f>
        <x:v>0</x:v>
      </x:c>
      <x:c r="T592" s="15" t="n">
        <x:f>'기준스탯 72종'!F31*G592</x:f>
        <x:v>0</x:v>
      </x:c>
      <x:c r="U592" s="15" t="n">
        <x:f>'기준스탯 72종'!G31*G592</x:f>
        <x:v>0</x:v>
      </x:c>
      <x:c r="V592" s="15" t="n">
        <x:f>'기준스탯 72종'!H31*G592</x:f>
        <x:v>0</x:v>
      </x:c>
      <x:c r="W592" s="15" t="n">
        <x:f>'기준스탯 72종'!I31*G592</x:f>
        <x:v>0</x:v>
      </x:c>
      <x:c r="X592" s="15" t="n">
        <x:f>'기준스탯 72종'!J31*G592</x:f>
        <x:v>0</x:v>
      </x:c>
      <x:c r="Y592" s="15" t="n">
        <x:f>'기준스탯 72종'!K31*G592</x:f>
        <x:v>0</x:v>
      </x:c>
      <x:c r="Z592" s="15" t="n">
        <x:f>'기준스탯 72종'!D31*H592</x:f>
        <x:v>1.2600000000000002</x:v>
      </x:c>
      <x:c r="AA592" s="15" t="n">
        <x:f>'기준스탯 72종'!E31*H592</x:f>
        <x:v>1.6200000000000006</x:v>
      </x:c>
      <x:c r="AB592" s="15" t="n">
        <x:f>'기준스탯 72종'!F31*H592</x:f>
        <x:v>1.6200000000000006</x:v>
      </x:c>
      <x:c r="AC592" s="15" t="n">
        <x:f>'기준스탯 72종'!G31*H592</x:f>
        <x:v>1.0800000000000003</x:v>
      </x:c>
      <x:c r="AD592" s="15" t="n">
        <x:f>'기준스탯 72종'!H31*H592</x:f>
        <x:v>0.3600000000000001</x:v>
      </x:c>
      <x:c r="AE592" s="15" t="n">
        <x:f>'기준스탯 72종'!I31*H592</x:f>
        <x:v>1.0800000000000003</x:v>
      </x:c>
      <x:c r="AF592" s="15" t="n">
        <x:f>'기준스탯 72종'!J31*H592</x:f>
        <x:v>0.3600000000000001</x:v>
      </x:c>
      <x:c r="AG592" s="15" t="n">
        <x:f>'기준스탯 72종'!K31*H592</x:f>
        <x:v>1.0800000000000003</x:v>
      </x:c>
    </x:row>
    <x:row r="593" ht="28" customHeight="1">
      <x:c r="A593" s="2" t="n">
        <x:v>586</x:v>
      </x:c>
      <x:c r="B593" s="2" t="n">
        <x:v>24</x:v>
      </x:c>
      <x:c r="C593" s="2" t="str">
        <x:v>게자리</x:v>
      </x:c>
      <x:c r="D593" s="2" t="str">
        <x:v>전사</x:v>
      </x:c>
      <x:c r="E593" s="2" t="n">
        <x:v>1</x:v>
      </x:c>
      <x:c r="F593" s="2" t="n">
        <x:v>3</x:v>
      </x:c>
      <x:c r="G593" s="14" t="n">
        <x:f>('레벨 계산식'!$E$4-E593)*'레벨 계산식'!$B$5</x:f>
        <x:v>0.5599999999999999</x:v>
      </x:c>
      <x:c r="H593" s="14" t="n">
        <x:f>('등급 계산식'!$E$4-F593)*'등급 계산식'!$B$5</x:f>
        <x:v>0.12000000000000002</x:v>
      </x:c>
      <x:c r="I593" s="14" t="n">
        <x:f>1-G593-H593</x:f>
        <x:v>0.32000000000000006</x:v>
      </x:c>
      <x:c r="J593" s="2" t="n">
        <x:f>MAX(1,ROUND('기준스탯 72종'!D31-R593-Z593,0))</x:f>
        <x:v>2</x:v>
      </x:c>
      <x:c r="K593" s="2" t="n">
        <x:f>MAX(1,ROUND('기준스탯 72종'!E31-S593-AA593,0))</x:f>
        <x:v>3</x:v>
      </x:c>
      <x:c r="L593" s="2" t="n">
        <x:f>MAX(1,ROUND('기준스탯 72종'!F31-T593-AB593,0))</x:f>
        <x:v>3</x:v>
      </x:c>
      <x:c r="M593" s="2" t="n">
        <x:f>MAX(1,ROUND('기준스탯 72종'!G31-U593-AC593,0))</x:f>
        <x:v>2</x:v>
      </x:c>
      <x:c r="N593" s="2" t="n">
        <x:f>MAX(0,ROUND('기준스탯 72종'!H31-V593-AD593,0))</x:f>
        <x:v>1</x:v>
      </x:c>
      <x:c r="O593" s="2" t="n">
        <x:f>MAX(0,ROUND('기준스탯 72종'!I31-W593-AE593,0))</x:f>
        <x:v>2</x:v>
      </x:c>
      <x:c r="P593" s="2" t="n">
        <x:f>MAX(0,ROUND('기준스탯 72종'!J31-X593-AF593,0))</x:f>
        <x:v>1</x:v>
      </x:c>
      <x:c r="Q593" s="2" t="n">
        <x:f>MAX(0,ROUND('기준스탯 72종'!K31-Y593-AG593,0))</x:f>
        <x:v>2</x:v>
      </x:c>
      <x:c r="R593" s="15" t="n">
        <x:f>'기준스탯 72종'!D31*G593</x:f>
        <x:v>3.9199999999999995</x:v>
      </x:c>
      <x:c r="S593" s="15" t="n">
        <x:f>'기준스탯 72종'!E31*G593</x:f>
        <x:v>5.039999999999999</x:v>
      </x:c>
      <x:c r="T593" s="15" t="n">
        <x:f>'기준스탯 72종'!F31*G593</x:f>
        <x:v>5.039999999999999</x:v>
      </x:c>
      <x:c r="U593" s="15" t="n">
        <x:f>'기준스탯 72종'!G31*G593</x:f>
        <x:v>3.3599999999999994</x:v>
      </x:c>
      <x:c r="V593" s="15" t="n">
        <x:f>'기준스탯 72종'!H31*G593</x:f>
        <x:v>1.1199999999999999</x:v>
      </x:c>
      <x:c r="W593" s="15" t="n">
        <x:f>'기준스탯 72종'!I31*G593</x:f>
        <x:v>3.3599999999999994</x:v>
      </x:c>
      <x:c r="X593" s="15" t="n">
        <x:f>'기준스탯 72종'!J31*G593</x:f>
        <x:v>1.1199999999999999</x:v>
      </x:c>
      <x:c r="Y593" s="15" t="n">
        <x:f>'기준스탯 72종'!K31*G593</x:f>
        <x:v>3.3599999999999994</x:v>
      </x:c>
      <x:c r="Z593" s="15" t="n">
        <x:f>'기준스탯 72종'!D31*H593</x:f>
        <x:v>0.8400000000000002</x:v>
      </x:c>
      <x:c r="AA593" s="15" t="n">
        <x:f>'기준스탯 72종'!E31*H593</x:f>
        <x:v>1.0800000000000003</x:v>
      </x:c>
      <x:c r="AB593" s="15" t="n">
        <x:f>'기준스탯 72종'!F31*H593</x:f>
        <x:v>1.0800000000000003</x:v>
      </x:c>
      <x:c r="AC593" s="15" t="n">
        <x:f>'기준스탯 72종'!G31*H593</x:f>
        <x:v>0.7200000000000002</x:v>
      </x:c>
      <x:c r="AD593" s="15" t="n">
        <x:f>'기준스탯 72종'!H31*H593</x:f>
        <x:v>0.24000000000000005</x:v>
      </x:c>
      <x:c r="AE593" s="15" t="n">
        <x:f>'기준스탯 72종'!I31*H593</x:f>
        <x:v>0.7200000000000002</x:v>
      </x:c>
      <x:c r="AF593" s="15" t="n">
        <x:f>'기준스탯 72종'!J31*H593</x:f>
        <x:v>0.24000000000000005</x:v>
      </x:c>
      <x:c r="AG593" s="15" t="n">
        <x:f>'기준스탯 72종'!K31*H593</x:f>
        <x:v>0.7200000000000002</x:v>
      </x:c>
    </x:row>
    <x:row r="594" ht="28" customHeight="1">
      <x:c r="A594" s="2" t="n">
        <x:v>587</x:v>
      </x:c>
      <x:c r="B594" s="2" t="n">
        <x:v>24</x:v>
      </x:c>
      <x:c r="C594" s="2" t="str">
        <x:v>게자리</x:v>
      </x:c>
      <x:c r="D594" s="2" t="str">
        <x:v>전사</x:v>
      </x:c>
      <x:c r="E594" s="2" t="n">
        <x:v>2</x:v>
      </x:c>
      <x:c r="F594" s="2" t="n">
        <x:v>3</x:v>
      </x:c>
      <x:c r="G594" s="14" t="n">
        <x:f>('레벨 계산식'!$E$4-E594)*'레벨 계산식'!$B$5</x:f>
        <x:v>0.41999999999999993</x:v>
      </x:c>
      <x:c r="H594" s="14" t="n">
        <x:f>('등급 계산식'!$E$4-F594)*'등급 계산식'!$B$5</x:f>
        <x:v>0.12000000000000002</x:v>
      </x:c>
      <x:c r="I594" s="14" t="n">
        <x:f>1-G594-H594</x:f>
        <x:v>0.4600000000000001</x:v>
      </x:c>
      <x:c r="J594" s="2" t="n">
        <x:f>MAX(1,ROUND('기준스탯 72종'!D31-R594-Z594,0))</x:f>
        <x:v>3</x:v>
      </x:c>
      <x:c r="K594" s="2" t="n">
        <x:f>MAX(1,ROUND('기준스탯 72종'!E31-S594-AA594,0))</x:f>
        <x:v>4</x:v>
      </x:c>
      <x:c r="L594" s="2" t="n">
        <x:f>MAX(1,ROUND('기준스탯 72종'!F31-T594-AB594,0))</x:f>
        <x:v>4</x:v>
      </x:c>
      <x:c r="M594" s="2" t="n">
        <x:f>MAX(1,ROUND('기준스탯 72종'!G31-U594-AC594,0))</x:f>
        <x:v>3</x:v>
      </x:c>
      <x:c r="N594" s="2" t="n">
        <x:f>MAX(0,ROUND('기준스탯 72종'!H31-V594-AD594,0))</x:f>
        <x:v>1</x:v>
      </x:c>
      <x:c r="O594" s="2" t="n">
        <x:f>MAX(0,ROUND('기준스탯 72종'!I31-W594-AE594,0))</x:f>
        <x:v>3</x:v>
      </x:c>
      <x:c r="P594" s="2" t="n">
        <x:f>MAX(0,ROUND('기준스탯 72종'!J31-X594-AF594,0))</x:f>
        <x:v>1</x:v>
      </x:c>
      <x:c r="Q594" s="2" t="n">
        <x:f>MAX(0,ROUND('기준스탯 72종'!K31-Y594-AG594,0))</x:f>
        <x:v>3</x:v>
      </x:c>
      <x:c r="R594" s="15" t="n">
        <x:f>'기준스탯 72종'!D31*G594</x:f>
        <x:v>2.9399999999999995</x:v>
      </x:c>
      <x:c r="S594" s="15" t="n">
        <x:f>'기준스탯 72종'!E31*G594</x:f>
        <x:v>3.7799999999999994</x:v>
      </x:c>
      <x:c r="T594" s="15" t="n">
        <x:f>'기준스탯 72종'!F31*G594</x:f>
        <x:v>3.7799999999999994</x:v>
      </x:c>
      <x:c r="U594" s="15" t="n">
        <x:f>'기준스탯 72종'!G31*G594</x:f>
        <x:v>2.5199999999999996</x:v>
      </x:c>
      <x:c r="V594" s="15" t="n">
        <x:f>'기준스탯 72종'!H31*G594</x:f>
        <x:v>0.8399999999999999</x:v>
      </x:c>
      <x:c r="W594" s="15" t="n">
        <x:f>'기준스탯 72종'!I31*G594</x:f>
        <x:v>2.5199999999999996</x:v>
      </x:c>
      <x:c r="X594" s="15" t="n">
        <x:f>'기준스탯 72종'!J31*G594</x:f>
        <x:v>0.8399999999999999</x:v>
      </x:c>
      <x:c r="Y594" s="15" t="n">
        <x:f>'기준스탯 72종'!K31*G594</x:f>
        <x:v>2.5199999999999996</x:v>
      </x:c>
      <x:c r="Z594" s="15" t="n">
        <x:f>'기준스탯 72종'!D31*H594</x:f>
        <x:v>0.8400000000000002</x:v>
      </x:c>
      <x:c r="AA594" s="15" t="n">
        <x:f>'기준스탯 72종'!E31*H594</x:f>
        <x:v>1.0800000000000003</x:v>
      </x:c>
      <x:c r="AB594" s="15" t="n">
        <x:f>'기준스탯 72종'!F31*H594</x:f>
        <x:v>1.0800000000000003</x:v>
      </x:c>
      <x:c r="AC594" s="15" t="n">
        <x:f>'기준스탯 72종'!G31*H594</x:f>
        <x:v>0.7200000000000002</x:v>
      </x:c>
      <x:c r="AD594" s="15" t="n">
        <x:f>'기준스탯 72종'!H31*H594</x:f>
        <x:v>0.24000000000000005</x:v>
      </x:c>
      <x:c r="AE594" s="15" t="n">
        <x:f>'기준스탯 72종'!I31*H594</x:f>
        <x:v>0.7200000000000002</x:v>
      </x:c>
      <x:c r="AF594" s="15" t="n">
        <x:f>'기준스탯 72종'!J31*H594</x:f>
        <x:v>0.24000000000000005</x:v>
      </x:c>
      <x:c r="AG594" s="15" t="n">
        <x:f>'기준스탯 72종'!K31*H594</x:f>
        <x:v>0.7200000000000002</x:v>
      </x:c>
    </x:row>
    <x:row r="595" ht="28" customHeight="1">
      <x:c r="A595" s="2" t="n">
        <x:v>588</x:v>
      </x:c>
      <x:c r="B595" s="2" t="n">
        <x:v>24</x:v>
      </x:c>
      <x:c r="C595" s="2" t="str">
        <x:v>게자리</x:v>
      </x:c>
      <x:c r="D595" s="2" t="str">
        <x:v>전사</x:v>
      </x:c>
      <x:c r="E595" s="2" t="n">
        <x:v>3</x:v>
      </x:c>
      <x:c r="F595" s="2" t="n">
        <x:v>3</x:v>
      </x:c>
      <x:c r="G595" s="14" t="n">
        <x:f>('레벨 계산식'!$E$4-E595)*'레벨 계산식'!$B$5</x:f>
        <x:v>0.27999999999999997</x:v>
      </x:c>
      <x:c r="H595" s="14" t="n">
        <x:f>('등급 계산식'!$E$4-F595)*'등급 계산식'!$B$5</x:f>
        <x:v>0.12000000000000002</x:v>
      </x:c>
      <x:c r="I595" s="14" t="n">
        <x:f>1-G595-H595</x:f>
        <x:v>0.6</x:v>
      </x:c>
      <x:c r="J595" s="2" t="n">
        <x:f>MAX(1,ROUND('기준스탯 72종'!D31-R595-Z595,0))</x:f>
        <x:v>4</x:v>
      </x:c>
      <x:c r="K595" s="2" t="n">
        <x:f>MAX(1,ROUND('기준스탯 72종'!E31-S595-AA595,0))</x:f>
        <x:v>5</x:v>
      </x:c>
      <x:c r="L595" s="2" t="n">
        <x:f>MAX(1,ROUND('기준스탯 72종'!F31-T595-AB595,0))</x:f>
        <x:v>5</x:v>
      </x:c>
      <x:c r="M595" s="2" t="n">
        <x:f>MAX(1,ROUND('기준스탯 72종'!G31-U595-AC595,0))</x:f>
        <x:v>4</x:v>
      </x:c>
      <x:c r="N595" s="2" t="n">
        <x:f>MAX(0,ROUND('기준스탯 72종'!H31-V595-AD595,0))</x:f>
        <x:v>1</x:v>
      </x:c>
      <x:c r="O595" s="2" t="n">
        <x:f>MAX(0,ROUND('기준스탯 72종'!I31-W595-AE595,0))</x:f>
        <x:v>4</x:v>
      </x:c>
      <x:c r="P595" s="2" t="n">
        <x:f>MAX(0,ROUND('기준스탯 72종'!J31-X595-AF595,0))</x:f>
        <x:v>1</x:v>
      </x:c>
      <x:c r="Q595" s="2" t="n">
        <x:f>MAX(0,ROUND('기준스탯 72종'!K31-Y595-AG595,0))</x:f>
        <x:v>4</x:v>
      </x:c>
      <x:c r="R595" s="15" t="n">
        <x:f>'기준스탯 72종'!D31*G595</x:f>
        <x:v>1.9599999999999997</x:v>
      </x:c>
      <x:c r="S595" s="15" t="n">
        <x:f>'기준스탯 72종'!E31*G595</x:f>
        <x:v>2.5199999999999996</x:v>
      </x:c>
      <x:c r="T595" s="15" t="n">
        <x:f>'기준스탯 72종'!F31*G595</x:f>
        <x:v>2.5199999999999996</x:v>
      </x:c>
      <x:c r="U595" s="15" t="n">
        <x:f>'기준스탯 72종'!G31*G595</x:f>
        <x:v>1.6799999999999997</x:v>
      </x:c>
      <x:c r="V595" s="15" t="n">
        <x:f>'기준스탯 72종'!H31*G595</x:f>
        <x:v>0.5599999999999999</x:v>
      </x:c>
      <x:c r="W595" s="15" t="n">
        <x:f>'기준스탯 72종'!I31*G595</x:f>
        <x:v>1.6799999999999997</x:v>
      </x:c>
      <x:c r="X595" s="15" t="n">
        <x:f>'기준스탯 72종'!J31*G595</x:f>
        <x:v>0.5599999999999999</x:v>
      </x:c>
      <x:c r="Y595" s="15" t="n">
        <x:f>'기준스탯 72종'!K31*G595</x:f>
        <x:v>1.6799999999999997</x:v>
      </x:c>
      <x:c r="Z595" s="15" t="n">
        <x:f>'기준스탯 72종'!D31*H595</x:f>
        <x:v>0.8400000000000002</x:v>
      </x:c>
      <x:c r="AA595" s="15" t="n">
        <x:f>'기준스탯 72종'!E31*H595</x:f>
        <x:v>1.0800000000000003</x:v>
      </x:c>
      <x:c r="AB595" s="15" t="n">
        <x:f>'기준스탯 72종'!F31*H595</x:f>
        <x:v>1.0800000000000003</x:v>
      </x:c>
      <x:c r="AC595" s="15" t="n">
        <x:f>'기준스탯 72종'!G31*H595</x:f>
        <x:v>0.7200000000000002</x:v>
      </x:c>
      <x:c r="AD595" s="15" t="n">
        <x:f>'기준스탯 72종'!H31*H595</x:f>
        <x:v>0.24000000000000005</x:v>
      </x:c>
      <x:c r="AE595" s="15" t="n">
        <x:f>'기준스탯 72종'!I31*H595</x:f>
        <x:v>0.7200000000000002</x:v>
      </x:c>
      <x:c r="AF595" s="15" t="n">
        <x:f>'기준스탯 72종'!J31*H595</x:f>
        <x:v>0.24000000000000005</x:v>
      </x:c>
      <x:c r="AG595" s="15" t="n">
        <x:f>'기준스탯 72종'!K31*H595</x:f>
        <x:v>0.7200000000000002</x:v>
      </x:c>
    </x:row>
    <x:row r="596" ht="28" customHeight="1">
      <x:c r="A596" s="2" t="n">
        <x:v>589</x:v>
      </x:c>
      <x:c r="B596" s="2" t="n">
        <x:v>24</x:v>
      </x:c>
      <x:c r="C596" s="2" t="str">
        <x:v>게자리</x:v>
      </x:c>
      <x:c r="D596" s="2" t="str">
        <x:v>전사</x:v>
      </x:c>
      <x:c r="E596" s="2" t="n">
        <x:v>4</x:v>
      </x:c>
      <x:c r="F596" s="2" t="n">
        <x:v>3</x:v>
      </x:c>
      <x:c r="G596" s="14" t="n">
        <x:f>('레벨 계산식'!$E$4-E596)*'레벨 계산식'!$B$5</x:f>
        <x:v>0.13999999999999999</x:v>
      </x:c>
      <x:c r="H596" s="14" t="n">
        <x:f>('등급 계산식'!$E$4-F596)*'등급 계산식'!$B$5</x:f>
        <x:v>0.12000000000000002</x:v>
      </x:c>
      <x:c r="I596" s="14" t="n">
        <x:f>1-G596-H596</x:f>
        <x:v>0.74</x:v>
      </x:c>
      <x:c r="J596" s="2" t="n">
        <x:f>MAX(1,ROUND('기준스탯 72종'!D31-R596-Z596,0))</x:f>
        <x:v>5</x:v>
      </x:c>
      <x:c r="K596" s="2" t="n">
        <x:f>MAX(1,ROUND('기준스탯 72종'!E31-S596-AA596,0))</x:f>
        <x:v>7</x:v>
      </x:c>
      <x:c r="L596" s="2" t="n">
        <x:f>MAX(1,ROUND('기준스탯 72종'!F31-T596-AB596,0))</x:f>
        <x:v>7</x:v>
      </x:c>
      <x:c r="M596" s="2" t="n">
        <x:f>MAX(1,ROUND('기준스탯 72종'!G31-U596-AC596,0))</x:f>
        <x:v>4</x:v>
      </x:c>
      <x:c r="N596" s="2" t="n">
        <x:f>MAX(0,ROUND('기준스탯 72종'!H31-V596-AD596,0))</x:f>
        <x:v>1</x:v>
      </x:c>
      <x:c r="O596" s="2" t="n">
        <x:f>MAX(0,ROUND('기준스탯 72종'!I31-W596-AE596,0))</x:f>
        <x:v>4</x:v>
      </x:c>
      <x:c r="P596" s="2" t="n">
        <x:f>MAX(0,ROUND('기준스탯 72종'!J31-X596-AF596,0))</x:f>
        <x:v>1</x:v>
      </x:c>
      <x:c r="Q596" s="2" t="n">
        <x:f>MAX(0,ROUND('기준스탯 72종'!K31-Y596-AG596,0))</x:f>
        <x:v>4</x:v>
      </x:c>
      <x:c r="R596" s="15" t="n">
        <x:f>'기준스탯 72종'!D31*G596</x:f>
        <x:v>0.9799999999999999</x:v>
      </x:c>
      <x:c r="S596" s="15" t="n">
        <x:f>'기준스탯 72종'!E31*G596</x:f>
        <x:v>1.2599999999999998</x:v>
      </x:c>
      <x:c r="T596" s="15" t="n">
        <x:f>'기준스탯 72종'!F31*G596</x:f>
        <x:v>1.2599999999999998</x:v>
      </x:c>
      <x:c r="U596" s="15" t="n">
        <x:f>'기준스탯 72종'!G31*G596</x:f>
        <x:v>0.8399999999999999</x:v>
      </x:c>
      <x:c r="V596" s="15" t="n">
        <x:f>'기준스탯 72종'!H31*G596</x:f>
        <x:v>0.27999999999999997</x:v>
      </x:c>
      <x:c r="W596" s="15" t="n">
        <x:f>'기준스탯 72종'!I31*G596</x:f>
        <x:v>0.8399999999999999</x:v>
      </x:c>
      <x:c r="X596" s="15" t="n">
        <x:f>'기준스탯 72종'!J31*G596</x:f>
        <x:v>0.27999999999999997</x:v>
      </x:c>
      <x:c r="Y596" s="15" t="n">
        <x:f>'기준스탯 72종'!K31*G596</x:f>
        <x:v>0.8399999999999999</x:v>
      </x:c>
      <x:c r="Z596" s="15" t="n">
        <x:f>'기준스탯 72종'!D31*H596</x:f>
        <x:v>0.8400000000000002</x:v>
      </x:c>
      <x:c r="AA596" s="15" t="n">
        <x:f>'기준스탯 72종'!E31*H596</x:f>
        <x:v>1.0800000000000003</x:v>
      </x:c>
      <x:c r="AB596" s="15" t="n">
        <x:f>'기준스탯 72종'!F31*H596</x:f>
        <x:v>1.0800000000000003</x:v>
      </x:c>
      <x:c r="AC596" s="15" t="n">
        <x:f>'기준스탯 72종'!G31*H596</x:f>
        <x:v>0.7200000000000002</x:v>
      </x:c>
      <x:c r="AD596" s="15" t="n">
        <x:f>'기준스탯 72종'!H31*H596</x:f>
        <x:v>0.24000000000000005</x:v>
      </x:c>
      <x:c r="AE596" s="15" t="n">
        <x:f>'기준스탯 72종'!I31*H596</x:f>
        <x:v>0.7200000000000002</x:v>
      </x:c>
      <x:c r="AF596" s="15" t="n">
        <x:f>'기준스탯 72종'!J31*H596</x:f>
        <x:v>0.24000000000000005</x:v>
      </x:c>
      <x:c r="AG596" s="15" t="n">
        <x:f>'기준스탯 72종'!K31*H596</x:f>
        <x:v>0.7200000000000002</x:v>
      </x:c>
    </x:row>
    <x:row r="597" ht="28" customHeight="1">
      <x:c r="A597" s="2" t="n">
        <x:v>590</x:v>
      </x:c>
      <x:c r="B597" s="2" t="n">
        <x:v>24</x:v>
      </x:c>
      <x:c r="C597" s="2" t="str">
        <x:v>게자리</x:v>
      </x:c>
      <x:c r="D597" s="2" t="str">
        <x:v>전사</x:v>
      </x:c>
      <x:c r="E597" s="2" t="n">
        <x:v>5</x:v>
      </x:c>
      <x:c r="F597" s="2" t="n">
        <x:v>3</x:v>
      </x:c>
      <x:c r="G597" s="14" t="n">
        <x:f>('레벨 계산식'!$E$4-E597)*'레벨 계산식'!$B$5</x:f>
        <x:v>0</x:v>
      </x:c>
      <x:c r="H597" s="14" t="n">
        <x:f>('등급 계산식'!$E$4-F597)*'등급 계산식'!$B$5</x:f>
        <x:v>0.12000000000000002</x:v>
      </x:c>
      <x:c r="I597" s="14" t="n">
        <x:f>1-G597-H597</x:f>
        <x:v>0.88</x:v>
      </x:c>
      <x:c r="J597" s="2" t="n">
        <x:f>MAX(1,ROUND('기준스탯 72종'!D31-R597-Z597,0))</x:f>
        <x:v>6</x:v>
      </x:c>
      <x:c r="K597" s="2" t="n">
        <x:f>MAX(1,ROUND('기준스탯 72종'!E31-S597-AA597,0))</x:f>
        <x:v>8</x:v>
      </x:c>
      <x:c r="L597" s="2" t="n">
        <x:f>MAX(1,ROUND('기준스탯 72종'!F31-T597-AB597,0))</x:f>
        <x:v>8</x:v>
      </x:c>
      <x:c r="M597" s="2" t="n">
        <x:f>MAX(1,ROUND('기준스탯 72종'!G31-U597-AC597,0))</x:f>
        <x:v>5</x:v>
      </x:c>
      <x:c r="N597" s="2" t="n">
        <x:f>MAX(0,ROUND('기준스탯 72종'!H31-V597-AD597,0))</x:f>
        <x:v>2</x:v>
      </x:c>
      <x:c r="O597" s="2" t="n">
        <x:f>MAX(0,ROUND('기준스탯 72종'!I31-W597-AE597,0))</x:f>
        <x:v>5</x:v>
      </x:c>
      <x:c r="P597" s="2" t="n">
        <x:f>MAX(0,ROUND('기준스탯 72종'!J31-X597-AF597,0))</x:f>
        <x:v>2</x:v>
      </x:c>
      <x:c r="Q597" s="2" t="n">
        <x:f>MAX(0,ROUND('기준스탯 72종'!K31-Y597-AG597,0))</x:f>
        <x:v>5</x:v>
      </x:c>
      <x:c r="R597" s="15" t="n">
        <x:f>'기준스탯 72종'!D31*G597</x:f>
        <x:v>0</x:v>
      </x:c>
      <x:c r="S597" s="15" t="n">
        <x:f>'기준스탯 72종'!E31*G597</x:f>
        <x:v>0</x:v>
      </x:c>
      <x:c r="T597" s="15" t="n">
        <x:f>'기준스탯 72종'!F31*G597</x:f>
        <x:v>0</x:v>
      </x:c>
      <x:c r="U597" s="15" t="n">
        <x:f>'기준스탯 72종'!G31*G597</x:f>
        <x:v>0</x:v>
      </x:c>
      <x:c r="V597" s="15" t="n">
        <x:f>'기준스탯 72종'!H31*G597</x:f>
        <x:v>0</x:v>
      </x:c>
      <x:c r="W597" s="15" t="n">
        <x:f>'기준스탯 72종'!I31*G597</x:f>
        <x:v>0</x:v>
      </x:c>
      <x:c r="X597" s="15" t="n">
        <x:f>'기준스탯 72종'!J31*G597</x:f>
        <x:v>0</x:v>
      </x:c>
      <x:c r="Y597" s="15" t="n">
        <x:f>'기준스탯 72종'!K31*G597</x:f>
        <x:v>0</x:v>
      </x:c>
      <x:c r="Z597" s="15" t="n">
        <x:f>'기준스탯 72종'!D31*H597</x:f>
        <x:v>0.8400000000000002</x:v>
      </x:c>
      <x:c r="AA597" s="15" t="n">
        <x:f>'기준스탯 72종'!E31*H597</x:f>
        <x:v>1.0800000000000003</x:v>
      </x:c>
      <x:c r="AB597" s="15" t="n">
        <x:f>'기준스탯 72종'!F31*H597</x:f>
        <x:v>1.0800000000000003</x:v>
      </x:c>
      <x:c r="AC597" s="15" t="n">
        <x:f>'기준스탯 72종'!G31*H597</x:f>
        <x:v>0.7200000000000002</x:v>
      </x:c>
      <x:c r="AD597" s="15" t="n">
        <x:f>'기준스탯 72종'!H31*H597</x:f>
        <x:v>0.24000000000000005</x:v>
      </x:c>
      <x:c r="AE597" s="15" t="n">
        <x:f>'기준스탯 72종'!I31*H597</x:f>
        <x:v>0.7200000000000002</x:v>
      </x:c>
      <x:c r="AF597" s="15" t="n">
        <x:f>'기준스탯 72종'!J31*H597</x:f>
        <x:v>0.24000000000000005</x:v>
      </x:c>
      <x:c r="AG597" s="15" t="n">
        <x:f>'기준스탯 72종'!K31*H597</x:f>
        <x:v>0.7200000000000002</x:v>
      </x:c>
    </x:row>
    <x:row r="598" ht="28" customHeight="1">
      <x:c r="A598" s="2" t="n">
        <x:v>591</x:v>
      </x:c>
      <x:c r="B598" s="2" t="n">
        <x:v>24</x:v>
      </x:c>
      <x:c r="C598" s="2" t="str">
        <x:v>게자리</x:v>
      </x:c>
      <x:c r="D598" s="2" t="str">
        <x:v>전사</x:v>
      </x:c>
      <x:c r="E598" s="2" t="n">
        <x:v>1</x:v>
      </x:c>
      <x:c r="F598" s="2" t="n">
        <x:v>4</x:v>
      </x:c>
      <x:c r="G598" s="14" t="n">
        <x:f>('레벨 계산식'!$E$4-E598)*'레벨 계산식'!$B$5</x:f>
        <x:v>0.5599999999999999</x:v>
      </x:c>
      <x:c r="H598" s="14" t="n">
        <x:f>('등급 계산식'!$E$4-F598)*'등급 계산식'!$B$5</x:f>
        <x:v>0.06000000000000001</x:v>
      </x:c>
      <x:c r="I598" s="14" t="n">
        <x:f>1-G598-H598</x:f>
        <x:v>0.38000000000000006</x:v>
      </x:c>
      <x:c r="J598" s="2" t="n">
        <x:f>MAX(1,ROUND('기준스탯 72종'!D31-R598-Z598,0))</x:f>
        <x:v>3</x:v>
      </x:c>
      <x:c r="K598" s="2" t="n">
        <x:f>MAX(1,ROUND('기준스탯 72종'!E31-S598-AA598,0))</x:f>
        <x:v>3</x:v>
      </x:c>
      <x:c r="L598" s="2" t="n">
        <x:f>MAX(1,ROUND('기준스탯 72종'!F31-T598-AB598,0))</x:f>
        <x:v>3</x:v>
      </x:c>
      <x:c r="M598" s="2" t="n">
        <x:f>MAX(1,ROUND('기준스탯 72종'!G31-U598-AC598,0))</x:f>
        <x:v>2</x:v>
      </x:c>
      <x:c r="N598" s="2" t="n">
        <x:f>MAX(0,ROUND('기준스탯 72종'!H31-V598-AD598,0))</x:f>
        <x:v>1</x:v>
      </x:c>
      <x:c r="O598" s="2" t="n">
        <x:f>MAX(0,ROUND('기준스탯 72종'!I31-W598-AE598,0))</x:f>
        <x:v>2</x:v>
      </x:c>
      <x:c r="P598" s="2" t="n">
        <x:f>MAX(0,ROUND('기준스탯 72종'!J31-X598-AF598,0))</x:f>
        <x:v>1</x:v>
      </x:c>
      <x:c r="Q598" s="2" t="n">
        <x:f>MAX(0,ROUND('기준스탯 72종'!K31-Y598-AG598,0))</x:f>
        <x:v>2</x:v>
      </x:c>
      <x:c r="R598" s="15" t="n">
        <x:f>'기준스탯 72종'!D31*G598</x:f>
        <x:v>3.9199999999999995</x:v>
      </x:c>
      <x:c r="S598" s="15" t="n">
        <x:f>'기준스탯 72종'!E31*G598</x:f>
        <x:v>5.039999999999999</x:v>
      </x:c>
      <x:c r="T598" s="15" t="n">
        <x:f>'기준스탯 72종'!F31*G598</x:f>
        <x:v>5.039999999999999</x:v>
      </x:c>
      <x:c r="U598" s="15" t="n">
        <x:f>'기준스탯 72종'!G31*G598</x:f>
        <x:v>3.3599999999999994</x:v>
      </x:c>
      <x:c r="V598" s="15" t="n">
        <x:f>'기준스탯 72종'!H31*G598</x:f>
        <x:v>1.1199999999999999</x:v>
      </x:c>
      <x:c r="W598" s="15" t="n">
        <x:f>'기준스탯 72종'!I31*G598</x:f>
        <x:v>3.3599999999999994</x:v>
      </x:c>
      <x:c r="X598" s="15" t="n">
        <x:f>'기준스탯 72종'!J31*G598</x:f>
        <x:v>1.1199999999999999</x:v>
      </x:c>
      <x:c r="Y598" s="15" t="n">
        <x:f>'기준스탯 72종'!K31*G598</x:f>
        <x:v>3.3599999999999994</x:v>
      </x:c>
      <x:c r="Z598" s="15" t="n">
        <x:f>'기준스탯 72종'!D31*H598</x:f>
        <x:v>0.4200000000000001</x:v>
      </x:c>
      <x:c r="AA598" s="15" t="n">
        <x:f>'기준스탯 72종'!E31*H598</x:f>
        <x:v>0.5400000000000001</x:v>
      </x:c>
      <x:c r="AB598" s="15" t="n">
        <x:f>'기준스탯 72종'!F31*H598</x:f>
        <x:v>0.5400000000000001</x:v>
      </x:c>
      <x:c r="AC598" s="15" t="n">
        <x:f>'기준스탯 72종'!G31*H598</x:f>
        <x:v>0.3600000000000001</x:v>
      </x:c>
      <x:c r="AD598" s="15" t="n">
        <x:f>'기준스탯 72종'!H31*H598</x:f>
        <x:v>0.12000000000000002</x:v>
      </x:c>
      <x:c r="AE598" s="15" t="n">
        <x:f>'기준스탯 72종'!I31*H598</x:f>
        <x:v>0.3600000000000001</x:v>
      </x:c>
      <x:c r="AF598" s="15" t="n">
        <x:f>'기준스탯 72종'!J31*H598</x:f>
        <x:v>0.12000000000000002</x:v>
      </x:c>
      <x:c r="AG598" s="15" t="n">
        <x:f>'기준스탯 72종'!K31*H598</x:f>
        <x:v>0.3600000000000001</x:v>
      </x:c>
    </x:row>
    <x:row r="599" ht="28" customHeight="1">
      <x:c r="A599" s="2" t="n">
        <x:v>592</x:v>
      </x:c>
      <x:c r="B599" s="2" t="n">
        <x:v>24</x:v>
      </x:c>
      <x:c r="C599" s="2" t="str">
        <x:v>게자리</x:v>
      </x:c>
      <x:c r="D599" s="2" t="str">
        <x:v>전사</x:v>
      </x:c>
      <x:c r="E599" s="2" t="n">
        <x:v>2</x:v>
      </x:c>
      <x:c r="F599" s="2" t="n">
        <x:v>4</x:v>
      </x:c>
      <x:c r="G599" s="14" t="n">
        <x:f>('레벨 계산식'!$E$4-E599)*'레벨 계산식'!$B$5</x:f>
        <x:v>0.41999999999999993</x:v>
      </x:c>
      <x:c r="H599" s="14" t="n">
        <x:f>('등급 계산식'!$E$4-F599)*'등급 계산식'!$B$5</x:f>
        <x:v>0.06000000000000001</x:v>
      </x:c>
      <x:c r="I599" s="14" t="n">
        <x:f>1-G599-H599</x:f>
        <x:v>0.52</x:v>
      </x:c>
      <x:c r="J599" s="2" t="n">
        <x:f>MAX(1,ROUND('기준스탯 72종'!D31-R599-Z599,0))</x:f>
        <x:v>4</x:v>
      </x:c>
      <x:c r="K599" s="2" t="n">
        <x:f>MAX(1,ROUND('기준스탯 72종'!E31-S599-AA599,0))</x:f>
        <x:v>5</x:v>
      </x:c>
      <x:c r="L599" s="2" t="n">
        <x:f>MAX(1,ROUND('기준스탯 72종'!F31-T599-AB599,0))</x:f>
        <x:v>5</x:v>
      </x:c>
      <x:c r="M599" s="2" t="n">
        <x:f>MAX(1,ROUND('기준스탯 72종'!G31-U599-AC599,0))</x:f>
        <x:v>3</x:v>
      </x:c>
      <x:c r="N599" s="2" t="n">
        <x:f>MAX(0,ROUND('기준스탯 72종'!H31-V599-AD599,0))</x:f>
        <x:v>1</x:v>
      </x:c>
      <x:c r="O599" s="2" t="n">
        <x:f>MAX(0,ROUND('기준스탯 72종'!I31-W599-AE599,0))</x:f>
        <x:v>3</x:v>
      </x:c>
      <x:c r="P599" s="2" t="n">
        <x:f>MAX(0,ROUND('기준스탯 72종'!J31-X599-AF599,0))</x:f>
        <x:v>1</x:v>
      </x:c>
      <x:c r="Q599" s="2" t="n">
        <x:f>MAX(0,ROUND('기준스탯 72종'!K31-Y599-AG599,0))</x:f>
        <x:v>3</x:v>
      </x:c>
      <x:c r="R599" s="15" t="n">
        <x:f>'기준스탯 72종'!D31*G599</x:f>
        <x:v>2.9399999999999995</x:v>
      </x:c>
      <x:c r="S599" s="15" t="n">
        <x:f>'기준스탯 72종'!E31*G599</x:f>
        <x:v>3.7799999999999994</x:v>
      </x:c>
      <x:c r="T599" s="15" t="n">
        <x:f>'기준스탯 72종'!F31*G599</x:f>
        <x:v>3.7799999999999994</x:v>
      </x:c>
      <x:c r="U599" s="15" t="n">
        <x:f>'기준스탯 72종'!G31*G599</x:f>
        <x:v>2.5199999999999996</x:v>
      </x:c>
      <x:c r="V599" s="15" t="n">
        <x:f>'기준스탯 72종'!H31*G599</x:f>
        <x:v>0.8399999999999999</x:v>
      </x:c>
      <x:c r="W599" s="15" t="n">
        <x:f>'기준스탯 72종'!I31*G599</x:f>
        <x:v>2.5199999999999996</x:v>
      </x:c>
      <x:c r="X599" s="15" t="n">
        <x:f>'기준스탯 72종'!J31*G599</x:f>
        <x:v>0.8399999999999999</x:v>
      </x:c>
      <x:c r="Y599" s="15" t="n">
        <x:f>'기준스탯 72종'!K31*G599</x:f>
        <x:v>2.5199999999999996</x:v>
      </x:c>
      <x:c r="Z599" s="15" t="n">
        <x:f>'기준스탯 72종'!D31*H599</x:f>
        <x:v>0.4200000000000001</x:v>
      </x:c>
      <x:c r="AA599" s="15" t="n">
        <x:f>'기준스탯 72종'!E31*H599</x:f>
        <x:v>0.5400000000000001</x:v>
      </x:c>
      <x:c r="AB599" s="15" t="n">
        <x:f>'기준스탯 72종'!F31*H599</x:f>
        <x:v>0.5400000000000001</x:v>
      </x:c>
      <x:c r="AC599" s="15" t="n">
        <x:f>'기준스탯 72종'!G31*H599</x:f>
        <x:v>0.3600000000000001</x:v>
      </x:c>
      <x:c r="AD599" s="15" t="n">
        <x:f>'기준스탯 72종'!H31*H599</x:f>
        <x:v>0.12000000000000002</x:v>
      </x:c>
      <x:c r="AE599" s="15" t="n">
        <x:f>'기준스탯 72종'!I31*H599</x:f>
        <x:v>0.3600000000000001</x:v>
      </x:c>
      <x:c r="AF599" s="15" t="n">
        <x:f>'기준스탯 72종'!J31*H599</x:f>
        <x:v>0.12000000000000002</x:v>
      </x:c>
      <x:c r="AG599" s="15" t="n">
        <x:f>'기준스탯 72종'!K31*H599</x:f>
        <x:v>0.3600000000000001</x:v>
      </x:c>
    </x:row>
    <x:row r="600" ht="28" customHeight="1">
      <x:c r="A600" s="2" t="n">
        <x:v>593</x:v>
      </x:c>
      <x:c r="B600" s="2" t="n">
        <x:v>24</x:v>
      </x:c>
      <x:c r="C600" s="2" t="str">
        <x:v>게자리</x:v>
      </x:c>
      <x:c r="D600" s="2" t="str">
        <x:v>전사</x:v>
      </x:c>
      <x:c r="E600" s="2" t="n">
        <x:v>3</x:v>
      </x:c>
      <x:c r="F600" s="2" t="n">
        <x:v>4</x:v>
      </x:c>
      <x:c r="G600" s="14" t="n">
        <x:f>('레벨 계산식'!$E$4-E600)*'레벨 계산식'!$B$5</x:f>
        <x:v>0.27999999999999997</x:v>
      </x:c>
      <x:c r="H600" s="14" t="n">
        <x:f>('등급 계산식'!$E$4-F600)*'등급 계산식'!$B$5</x:f>
        <x:v>0.06000000000000001</x:v>
      </x:c>
      <x:c r="I600" s="14" t="n">
        <x:f>1-G600-H600</x:f>
        <x:v>0.6599999999999999</x:v>
      </x:c>
      <x:c r="J600" s="2" t="n">
        <x:f>MAX(1,ROUND('기준스탯 72종'!D31-R600-Z600,0))</x:f>
        <x:v>5</x:v>
      </x:c>
      <x:c r="K600" s="2" t="n">
        <x:f>MAX(1,ROUND('기준스탯 72종'!E31-S600-AA600,0))</x:f>
        <x:v>6</x:v>
      </x:c>
      <x:c r="L600" s="2" t="n">
        <x:f>MAX(1,ROUND('기준스탯 72종'!F31-T600-AB600,0))</x:f>
        <x:v>6</x:v>
      </x:c>
      <x:c r="M600" s="2" t="n">
        <x:f>MAX(1,ROUND('기준스탯 72종'!G31-U600-AC600,0))</x:f>
        <x:v>4</x:v>
      </x:c>
      <x:c r="N600" s="2" t="n">
        <x:f>MAX(0,ROUND('기준스탯 72종'!H31-V600-AD600,0))</x:f>
        <x:v>1</x:v>
      </x:c>
      <x:c r="O600" s="2" t="n">
        <x:f>MAX(0,ROUND('기준스탯 72종'!I31-W600-AE600,0))</x:f>
        <x:v>4</x:v>
      </x:c>
      <x:c r="P600" s="2" t="n">
        <x:f>MAX(0,ROUND('기준스탯 72종'!J31-X600-AF600,0))</x:f>
        <x:v>1</x:v>
      </x:c>
      <x:c r="Q600" s="2" t="n">
        <x:f>MAX(0,ROUND('기준스탯 72종'!K31-Y600-AG600,0))</x:f>
        <x:v>4</x:v>
      </x:c>
      <x:c r="R600" s="15" t="n">
        <x:f>'기준스탯 72종'!D31*G600</x:f>
        <x:v>1.9599999999999997</x:v>
      </x:c>
      <x:c r="S600" s="15" t="n">
        <x:f>'기준스탯 72종'!E31*G600</x:f>
        <x:v>2.5199999999999996</x:v>
      </x:c>
      <x:c r="T600" s="15" t="n">
        <x:f>'기준스탯 72종'!F31*G600</x:f>
        <x:v>2.5199999999999996</x:v>
      </x:c>
      <x:c r="U600" s="15" t="n">
        <x:f>'기준스탯 72종'!G31*G600</x:f>
        <x:v>1.6799999999999997</x:v>
      </x:c>
      <x:c r="V600" s="15" t="n">
        <x:f>'기준스탯 72종'!H31*G600</x:f>
        <x:v>0.5599999999999999</x:v>
      </x:c>
      <x:c r="W600" s="15" t="n">
        <x:f>'기준스탯 72종'!I31*G600</x:f>
        <x:v>1.6799999999999997</x:v>
      </x:c>
      <x:c r="X600" s="15" t="n">
        <x:f>'기준스탯 72종'!J31*G600</x:f>
        <x:v>0.5599999999999999</x:v>
      </x:c>
      <x:c r="Y600" s="15" t="n">
        <x:f>'기준스탯 72종'!K31*G600</x:f>
        <x:v>1.6799999999999997</x:v>
      </x:c>
      <x:c r="Z600" s="15" t="n">
        <x:f>'기준스탯 72종'!D31*H600</x:f>
        <x:v>0.4200000000000001</x:v>
      </x:c>
      <x:c r="AA600" s="15" t="n">
        <x:f>'기준스탯 72종'!E31*H600</x:f>
        <x:v>0.5400000000000001</x:v>
      </x:c>
      <x:c r="AB600" s="15" t="n">
        <x:f>'기준스탯 72종'!F31*H600</x:f>
        <x:v>0.5400000000000001</x:v>
      </x:c>
      <x:c r="AC600" s="15" t="n">
        <x:f>'기준스탯 72종'!G31*H600</x:f>
        <x:v>0.3600000000000001</x:v>
      </x:c>
      <x:c r="AD600" s="15" t="n">
        <x:f>'기준스탯 72종'!H31*H600</x:f>
        <x:v>0.12000000000000002</x:v>
      </x:c>
      <x:c r="AE600" s="15" t="n">
        <x:f>'기준스탯 72종'!I31*H600</x:f>
        <x:v>0.3600000000000001</x:v>
      </x:c>
      <x:c r="AF600" s="15" t="n">
        <x:f>'기준스탯 72종'!J31*H600</x:f>
        <x:v>0.12000000000000002</x:v>
      </x:c>
      <x:c r="AG600" s="15" t="n">
        <x:f>'기준스탯 72종'!K31*H600</x:f>
        <x:v>0.3600000000000001</x:v>
      </x:c>
    </x:row>
    <x:row r="601" ht="28" customHeight="1">
      <x:c r="A601" s="2" t="n">
        <x:v>594</x:v>
      </x:c>
      <x:c r="B601" s="2" t="n">
        <x:v>24</x:v>
      </x:c>
      <x:c r="C601" s="2" t="str">
        <x:v>게자리</x:v>
      </x:c>
      <x:c r="D601" s="2" t="str">
        <x:v>전사</x:v>
      </x:c>
      <x:c r="E601" s="2" t="n">
        <x:v>4</x:v>
      </x:c>
      <x:c r="F601" s="2" t="n">
        <x:v>4</x:v>
      </x:c>
      <x:c r="G601" s="14" t="n">
        <x:f>('레벨 계산식'!$E$4-E601)*'레벨 계산식'!$B$5</x:f>
        <x:v>0.13999999999999999</x:v>
      </x:c>
      <x:c r="H601" s="14" t="n">
        <x:f>('등급 계산식'!$E$4-F601)*'등급 계산식'!$B$5</x:f>
        <x:v>0.06000000000000001</x:v>
      </x:c>
      <x:c r="I601" s="14" t="n">
        <x:f>1-G601-H601</x:f>
        <x:v>0.7999999999999999</x:v>
      </x:c>
      <x:c r="J601" s="2" t="n">
        <x:f>MAX(1,ROUND('기준스탯 72종'!D31-R601-Z601,0))</x:f>
        <x:v>6</x:v>
      </x:c>
      <x:c r="K601" s="2" t="n">
        <x:f>MAX(1,ROUND('기준스탯 72종'!E31-S601-AA601,0))</x:f>
        <x:v>7</x:v>
      </x:c>
      <x:c r="L601" s="2" t="n">
        <x:f>MAX(1,ROUND('기준스탯 72종'!F31-T601-AB601,0))</x:f>
        <x:v>7</x:v>
      </x:c>
      <x:c r="M601" s="2" t="n">
        <x:f>MAX(1,ROUND('기준스탯 72종'!G31-U601-AC601,0))</x:f>
        <x:v>5</x:v>
      </x:c>
      <x:c r="N601" s="2" t="n">
        <x:f>MAX(0,ROUND('기준스탯 72종'!H31-V601-AD601,0))</x:f>
        <x:v>2</x:v>
      </x:c>
      <x:c r="O601" s="2" t="n">
        <x:f>MAX(0,ROUND('기준스탯 72종'!I31-W601-AE601,0))</x:f>
        <x:v>5</x:v>
      </x:c>
      <x:c r="P601" s="2" t="n">
        <x:f>MAX(0,ROUND('기준스탯 72종'!J31-X601-AF601,0))</x:f>
        <x:v>2</x:v>
      </x:c>
      <x:c r="Q601" s="2" t="n">
        <x:f>MAX(0,ROUND('기준스탯 72종'!K31-Y601-AG601,0))</x:f>
        <x:v>5</x:v>
      </x:c>
      <x:c r="R601" s="15" t="n">
        <x:f>'기준스탯 72종'!D31*G601</x:f>
        <x:v>0.9799999999999999</x:v>
      </x:c>
      <x:c r="S601" s="15" t="n">
        <x:f>'기준스탯 72종'!E31*G601</x:f>
        <x:v>1.2599999999999998</x:v>
      </x:c>
      <x:c r="T601" s="15" t="n">
        <x:f>'기준스탯 72종'!F31*G601</x:f>
        <x:v>1.2599999999999998</x:v>
      </x:c>
      <x:c r="U601" s="15" t="n">
        <x:f>'기준스탯 72종'!G31*G601</x:f>
        <x:v>0.8399999999999999</x:v>
      </x:c>
      <x:c r="V601" s="15" t="n">
        <x:f>'기준스탯 72종'!H31*G601</x:f>
        <x:v>0.27999999999999997</x:v>
      </x:c>
      <x:c r="W601" s="15" t="n">
        <x:f>'기준스탯 72종'!I31*G601</x:f>
        <x:v>0.8399999999999999</x:v>
      </x:c>
      <x:c r="X601" s="15" t="n">
        <x:f>'기준스탯 72종'!J31*G601</x:f>
        <x:v>0.27999999999999997</x:v>
      </x:c>
      <x:c r="Y601" s="15" t="n">
        <x:f>'기준스탯 72종'!K31*G601</x:f>
        <x:v>0.8399999999999999</x:v>
      </x:c>
      <x:c r="Z601" s="15" t="n">
        <x:f>'기준스탯 72종'!D31*H601</x:f>
        <x:v>0.4200000000000001</x:v>
      </x:c>
      <x:c r="AA601" s="15" t="n">
        <x:f>'기준스탯 72종'!E31*H601</x:f>
        <x:v>0.5400000000000001</x:v>
      </x:c>
      <x:c r="AB601" s="15" t="n">
        <x:f>'기준스탯 72종'!F31*H601</x:f>
        <x:v>0.5400000000000001</x:v>
      </x:c>
      <x:c r="AC601" s="15" t="n">
        <x:f>'기준스탯 72종'!G31*H601</x:f>
        <x:v>0.3600000000000001</x:v>
      </x:c>
      <x:c r="AD601" s="15" t="n">
        <x:f>'기준스탯 72종'!H31*H601</x:f>
        <x:v>0.12000000000000002</x:v>
      </x:c>
      <x:c r="AE601" s="15" t="n">
        <x:f>'기준스탯 72종'!I31*H601</x:f>
        <x:v>0.3600000000000001</x:v>
      </x:c>
      <x:c r="AF601" s="15" t="n">
        <x:f>'기준스탯 72종'!J31*H601</x:f>
        <x:v>0.12000000000000002</x:v>
      </x:c>
      <x:c r="AG601" s="15" t="n">
        <x:f>'기준스탯 72종'!K31*H601</x:f>
        <x:v>0.3600000000000001</x:v>
      </x:c>
    </x:row>
    <x:row r="602" ht="28" customHeight="1">
      <x:c r="A602" s="2" t="n">
        <x:v>595</x:v>
      </x:c>
      <x:c r="B602" s="2" t="n">
        <x:v>24</x:v>
      </x:c>
      <x:c r="C602" s="2" t="str">
        <x:v>게자리</x:v>
      </x:c>
      <x:c r="D602" s="2" t="str">
        <x:v>전사</x:v>
      </x:c>
      <x:c r="E602" s="2" t="n">
        <x:v>5</x:v>
      </x:c>
      <x:c r="F602" s="2" t="n">
        <x:v>4</x:v>
      </x:c>
      <x:c r="G602" s="14" t="n">
        <x:f>('레벨 계산식'!$E$4-E602)*'레벨 계산식'!$B$5</x:f>
        <x:v>0</x:v>
      </x:c>
      <x:c r="H602" s="14" t="n">
        <x:f>('등급 계산식'!$E$4-F602)*'등급 계산식'!$B$5</x:f>
        <x:v>0.06000000000000001</x:v>
      </x:c>
      <x:c r="I602" s="14" t="n">
        <x:f>1-G602-H602</x:f>
        <x:v>0.94</x:v>
      </x:c>
      <x:c r="J602" s="2" t="n">
        <x:f>MAX(1,ROUND('기준스탯 72종'!D31-R602-Z602,0))</x:f>
        <x:v>7</x:v>
      </x:c>
      <x:c r="K602" s="2" t="n">
        <x:f>MAX(1,ROUND('기준스탯 72종'!E31-S602-AA602,0))</x:f>
        <x:v>8</x:v>
      </x:c>
      <x:c r="L602" s="2" t="n">
        <x:f>MAX(1,ROUND('기준스탯 72종'!F31-T602-AB602,0))</x:f>
        <x:v>8</x:v>
      </x:c>
      <x:c r="M602" s="2" t="n">
        <x:f>MAX(1,ROUND('기준스탯 72종'!G31-U602-AC602,0))</x:f>
        <x:v>6</x:v>
      </x:c>
      <x:c r="N602" s="2" t="n">
        <x:f>MAX(0,ROUND('기준스탯 72종'!H31-V602-AD602,0))</x:f>
        <x:v>2</x:v>
      </x:c>
      <x:c r="O602" s="2" t="n">
        <x:f>MAX(0,ROUND('기준스탯 72종'!I31-W602-AE602,0))</x:f>
        <x:v>6</x:v>
      </x:c>
      <x:c r="P602" s="2" t="n">
        <x:f>MAX(0,ROUND('기준스탯 72종'!J31-X602-AF602,0))</x:f>
        <x:v>2</x:v>
      </x:c>
      <x:c r="Q602" s="2" t="n">
        <x:f>MAX(0,ROUND('기준스탯 72종'!K31-Y602-AG602,0))</x:f>
        <x:v>6</x:v>
      </x:c>
      <x:c r="R602" s="15" t="n">
        <x:f>'기준스탯 72종'!D31*G602</x:f>
        <x:v>0</x:v>
      </x:c>
      <x:c r="S602" s="15" t="n">
        <x:f>'기준스탯 72종'!E31*G602</x:f>
        <x:v>0</x:v>
      </x:c>
      <x:c r="T602" s="15" t="n">
        <x:f>'기준스탯 72종'!F31*G602</x:f>
        <x:v>0</x:v>
      </x:c>
      <x:c r="U602" s="15" t="n">
        <x:f>'기준스탯 72종'!G31*G602</x:f>
        <x:v>0</x:v>
      </x:c>
      <x:c r="V602" s="15" t="n">
        <x:f>'기준스탯 72종'!H31*G602</x:f>
        <x:v>0</x:v>
      </x:c>
      <x:c r="W602" s="15" t="n">
        <x:f>'기준스탯 72종'!I31*G602</x:f>
        <x:v>0</x:v>
      </x:c>
      <x:c r="X602" s="15" t="n">
        <x:f>'기준스탯 72종'!J31*G602</x:f>
        <x:v>0</x:v>
      </x:c>
      <x:c r="Y602" s="15" t="n">
        <x:f>'기준스탯 72종'!K31*G602</x:f>
        <x:v>0</x:v>
      </x:c>
      <x:c r="Z602" s="15" t="n">
        <x:f>'기준스탯 72종'!D31*H602</x:f>
        <x:v>0.4200000000000001</x:v>
      </x:c>
      <x:c r="AA602" s="15" t="n">
        <x:f>'기준스탯 72종'!E31*H602</x:f>
        <x:v>0.5400000000000001</x:v>
      </x:c>
      <x:c r="AB602" s="15" t="n">
        <x:f>'기준스탯 72종'!F31*H602</x:f>
        <x:v>0.5400000000000001</x:v>
      </x:c>
      <x:c r="AC602" s="15" t="n">
        <x:f>'기준스탯 72종'!G31*H602</x:f>
        <x:v>0.3600000000000001</x:v>
      </x:c>
      <x:c r="AD602" s="15" t="n">
        <x:f>'기준스탯 72종'!H31*H602</x:f>
        <x:v>0.12000000000000002</x:v>
      </x:c>
      <x:c r="AE602" s="15" t="n">
        <x:f>'기준스탯 72종'!I31*H602</x:f>
        <x:v>0.3600000000000001</x:v>
      </x:c>
      <x:c r="AF602" s="15" t="n">
        <x:f>'기준스탯 72종'!J31*H602</x:f>
        <x:v>0.12000000000000002</x:v>
      </x:c>
      <x:c r="AG602" s="15" t="n">
        <x:f>'기준스탯 72종'!K31*H602</x:f>
        <x:v>0.3600000000000001</x:v>
      </x:c>
    </x:row>
    <x:row r="603" ht="28" customHeight="1">
      <x:c r="A603" s="2" t="n">
        <x:v>596</x:v>
      </x:c>
      <x:c r="B603" s="2" t="n">
        <x:v>24</x:v>
      </x:c>
      <x:c r="C603" s="2" t="str">
        <x:v>게자리</x:v>
      </x:c>
      <x:c r="D603" s="2" t="str">
        <x:v>전사</x:v>
      </x:c>
      <x:c r="E603" s="2" t="n">
        <x:v>1</x:v>
      </x:c>
      <x:c r="F603" s="2" t="n">
        <x:v>5</x:v>
      </x:c>
      <x:c r="G603" s="14" t="n">
        <x:f>('레벨 계산식'!$E$4-E603)*'레벨 계산식'!$B$5</x:f>
        <x:v>0.5599999999999999</x:v>
      </x:c>
      <x:c r="H603" s="14" t="n">
        <x:f>('등급 계산식'!$E$4-F603)*'등급 계산식'!$B$5</x:f>
        <x:v>0</x:v>
      </x:c>
      <x:c r="I603" s="14" t="n">
        <x:f>1-G603-H603</x:f>
        <x:v>0.44000000000000006</x:v>
      </x:c>
      <x:c r="J603" s="2" t="n">
        <x:f>MAX(1,ROUND('기준스탯 72종'!D31-R603-Z603,0))</x:f>
        <x:v>3</x:v>
      </x:c>
      <x:c r="K603" s="2" t="n">
        <x:f>MAX(1,ROUND('기준스탯 72종'!E31-S603-AA603,0))</x:f>
        <x:v>4</x:v>
      </x:c>
      <x:c r="L603" s="2" t="n">
        <x:f>MAX(1,ROUND('기준스탯 72종'!F31-T603-AB603,0))</x:f>
        <x:v>4</x:v>
      </x:c>
      <x:c r="M603" s="2" t="n">
        <x:f>MAX(1,ROUND('기준스탯 72종'!G31-U603-AC603,0))</x:f>
        <x:v>3</x:v>
      </x:c>
      <x:c r="N603" s="2" t="n">
        <x:f>MAX(0,ROUND('기준스탯 72종'!H31-V603-AD603,0))</x:f>
        <x:v>1</x:v>
      </x:c>
      <x:c r="O603" s="2" t="n">
        <x:f>MAX(0,ROUND('기준스탯 72종'!I31-W603-AE603,0))</x:f>
        <x:v>3</x:v>
      </x:c>
      <x:c r="P603" s="2" t="n">
        <x:f>MAX(0,ROUND('기준스탯 72종'!J31-X603-AF603,0))</x:f>
        <x:v>1</x:v>
      </x:c>
      <x:c r="Q603" s="2" t="n">
        <x:f>MAX(0,ROUND('기준스탯 72종'!K31-Y603-AG603,0))</x:f>
        <x:v>3</x:v>
      </x:c>
      <x:c r="R603" s="15" t="n">
        <x:f>'기준스탯 72종'!D31*G603</x:f>
        <x:v>3.9199999999999995</x:v>
      </x:c>
      <x:c r="S603" s="15" t="n">
        <x:f>'기준스탯 72종'!E31*G603</x:f>
        <x:v>5.039999999999999</x:v>
      </x:c>
      <x:c r="T603" s="15" t="n">
        <x:f>'기준스탯 72종'!F31*G603</x:f>
        <x:v>5.039999999999999</x:v>
      </x:c>
      <x:c r="U603" s="15" t="n">
        <x:f>'기준스탯 72종'!G31*G603</x:f>
        <x:v>3.3599999999999994</x:v>
      </x:c>
      <x:c r="V603" s="15" t="n">
        <x:f>'기준스탯 72종'!H31*G603</x:f>
        <x:v>1.1199999999999999</x:v>
      </x:c>
      <x:c r="W603" s="15" t="n">
        <x:f>'기준스탯 72종'!I31*G603</x:f>
        <x:v>3.3599999999999994</x:v>
      </x:c>
      <x:c r="X603" s="15" t="n">
        <x:f>'기준스탯 72종'!J31*G603</x:f>
        <x:v>1.1199999999999999</x:v>
      </x:c>
      <x:c r="Y603" s="15" t="n">
        <x:f>'기준스탯 72종'!K31*G603</x:f>
        <x:v>3.3599999999999994</x:v>
      </x:c>
      <x:c r="Z603" s="15" t="n">
        <x:f>'기준스탯 72종'!D31*H603</x:f>
        <x:v>0</x:v>
      </x:c>
      <x:c r="AA603" s="15" t="n">
        <x:f>'기준스탯 72종'!E31*H603</x:f>
        <x:v>0</x:v>
      </x:c>
      <x:c r="AB603" s="15" t="n">
        <x:f>'기준스탯 72종'!F31*H603</x:f>
        <x:v>0</x:v>
      </x:c>
      <x:c r="AC603" s="15" t="n">
        <x:f>'기준스탯 72종'!G31*H603</x:f>
        <x:v>0</x:v>
      </x:c>
      <x:c r="AD603" s="15" t="n">
        <x:f>'기준스탯 72종'!H31*H603</x:f>
        <x:v>0</x:v>
      </x:c>
      <x:c r="AE603" s="15" t="n">
        <x:f>'기준스탯 72종'!I31*H603</x:f>
        <x:v>0</x:v>
      </x:c>
      <x:c r="AF603" s="15" t="n">
        <x:f>'기준스탯 72종'!J31*H603</x:f>
        <x:v>0</x:v>
      </x:c>
      <x:c r="AG603" s="15" t="n">
        <x:f>'기준스탯 72종'!K31*H603</x:f>
        <x:v>0</x:v>
      </x:c>
    </x:row>
    <x:row r="604" ht="28" customHeight="1">
      <x:c r="A604" s="2" t="n">
        <x:v>597</x:v>
      </x:c>
      <x:c r="B604" s="2" t="n">
        <x:v>24</x:v>
      </x:c>
      <x:c r="C604" s="2" t="str">
        <x:v>게자리</x:v>
      </x:c>
      <x:c r="D604" s="2" t="str">
        <x:v>전사</x:v>
      </x:c>
      <x:c r="E604" s="2" t="n">
        <x:v>2</x:v>
      </x:c>
      <x:c r="F604" s="2" t="n">
        <x:v>5</x:v>
      </x:c>
      <x:c r="G604" s="14" t="n">
        <x:f>('레벨 계산식'!$E$4-E604)*'레벨 계산식'!$B$5</x:f>
        <x:v>0.41999999999999993</x:v>
      </x:c>
      <x:c r="H604" s="14" t="n">
        <x:f>('등급 계산식'!$E$4-F604)*'등급 계산식'!$B$5</x:f>
        <x:v>0</x:v>
      </x:c>
      <x:c r="I604" s="14" t="n">
        <x:f>1-G604-H604</x:f>
        <x:v>0.5800000000000001</x:v>
      </x:c>
      <x:c r="J604" s="2" t="n">
        <x:f>MAX(1,ROUND('기준스탯 72종'!D31-R604-Z604,0))</x:f>
        <x:v>4</x:v>
      </x:c>
      <x:c r="K604" s="2" t="n">
        <x:f>MAX(1,ROUND('기준스탯 72종'!E31-S604-AA604,0))</x:f>
        <x:v>5</x:v>
      </x:c>
      <x:c r="L604" s="2" t="n">
        <x:f>MAX(1,ROUND('기준스탯 72종'!F31-T604-AB604,0))</x:f>
        <x:v>5</x:v>
      </x:c>
      <x:c r="M604" s="2" t="n">
        <x:f>MAX(1,ROUND('기준스탯 72종'!G31-U604-AC604,0))</x:f>
        <x:v>3</x:v>
      </x:c>
      <x:c r="N604" s="2" t="n">
        <x:f>MAX(0,ROUND('기준스탯 72종'!H31-V604-AD604,0))</x:f>
        <x:v>1</x:v>
      </x:c>
      <x:c r="O604" s="2" t="n">
        <x:f>MAX(0,ROUND('기준스탯 72종'!I31-W604-AE604,0))</x:f>
        <x:v>3</x:v>
      </x:c>
      <x:c r="P604" s="2" t="n">
        <x:f>MAX(0,ROUND('기준스탯 72종'!J31-X604-AF604,0))</x:f>
        <x:v>1</x:v>
      </x:c>
      <x:c r="Q604" s="2" t="n">
        <x:f>MAX(0,ROUND('기준스탯 72종'!K31-Y604-AG604,0))</x:f>
        <x:v>3</x:v>
      </x:c>
      <x:c r="R604" s="15" t="n">
        <x:f>'기준스탯 72종'!D31*G604</x:f>
        <x:v>2.9399999999999995</x:v>
      </x:c>
      <x:c r="S604" s="15" t="n">
        <x:f>'기준스탯 72종'!E31*G604</x:f>
        <x:v>3.7799999999999994</x:v>
      </x:c>
      <x:c r="T604" s="15" t="n">
        <x:f>'기준스탯 72종'!F31*G604</x:f>
        <x:v>3.7799999999999994</x:v>
      </x:c>
      <x:c r="U604" s="15" t="n">
        <x:f>'기준스탯 72종'!G31*G604</x:f>
        <x:v>2.5199999999999996</x:v>
      </x:c>
      <x:c r="V604" s="15" t="n">
        <x:f>'기준스탯 72종'!H31*G604</x:f>
        <x:v>0.8399999999999999</x:v>
      </x:c>
      <x:c r="W604" s="15" t="n">
        <x:f>'기준스탯 72종'!I31*G604</x:f>
        <x:v>2.5199999999999996</x:v>
      </x:c>
      <x:c r="X604" s="15" t="n">
        <x:f>'기준스탯 72종'!J31*G604</x:f>
        <x:v>0.8399999999999999</x:v>
      </x:c>
      <x:c r="Y604" s="15" t="n">
        <x:f>'기준스탯 72종'!K31*G604</x:f>
        <x:v>2.5199999999999996</x:v>
      </x:c>
      <x:c r="Z604" s="15" t="n">
        <x:f>'기준스탯 72종'!D31*H604</x:f>
        <x:v>0</x:v>
      </x:c>
      <x:c r="AA604" s="15" t="n">
        <x:f>'기준스탯 72종'!E31*H604</x:f>
        <x:v>0</x:v>
      </x:c>
      <x:c r="AB604" s="15" t="n">
        <x:f>'기준스탯 72종'!F31*H604</x:f>
        <x:v>0</x:v>
      </x:c>
      <x:c r="AC604" s="15" t="n">
        <x:f>'기준스탯 72종'!G31*H604</x:f>
        <x:v>0</x:v>
      </x:c>
      <x:c r="AD604" s="15" t="n">
        <x:f>'기준스탯 72종'!H31*H604</x:f>
        <x:v>0</x:v>
      </x:c>
      <x:c r="AE604" s="15" t="n">
        <x:f>'기준스탯 72종'!I31*H604</x:f>
        <x:v>0</x:v>
      </x:c>
      <x:c r="AF604" s="15" t="n">
        <x:f>'기준스탯 72종'!J31*H604</x:f>
        <x:v>0</x:v>
      </x:c>
      <x:c r="AG604" s="15" t="n">
        <x:f>'기준스탯 72종'!K31*H604</x:f>
        <x:v>0</x:v>
      </x:c>
    </x:row>
    <x:row r="605" ht="28" customHeight="1">
      <x:c r="A605" s="2" t="n">
        <x:v>598</x:v>
      </x:c>
      <x:c r="B605" s="2" t="n">
        <x:v>24</x:v>
      </x:c>
      <x:c r="C605" s="2" t="str">
        <x:v>게자리</x:v>
      </x:c>
      <x:c r="D605" s="2" t="str">
        <x:v>전사</x:v>
      </x:c>
      <x:c r="E605" s="2" t="n">
        <x:v>3</x:v>
      </x:c>
      <x:c r="F605" s="2" t="n">
        <x:v>5</x:v>
      </x:c>
      <x:c r="G605" s="14" t="n">
        <x:f>('레벨 계산식'!$E$4-E605)*'레벨 계산식'!$B$5</x:f>
        <x:v>0.27999999999999997</x:v>
      </x:c>
      <x:c r="H605" s="14" t="n">
        <x:f>('등급 계산식'!$E$4-F605)*'등급 계산식'!$B$5</x:f>
        <x:v>0</x:v>
      </x:c>
      <x:c r="I605" s="14" t="n">
        <x:f>1-G605-H605</x:f>
        <x:v>0.72</x:v>
      </x:c>
      <x:c r="J605" s="2" t="n">
        <x:f>MAX(1,ROUND('기준스탯 72종'!D31-R605-Z605,0))</x:f>
        <x:v>5</x:v>
      </x:c>
      <x:c r="K605" s="2" t="n">
        <x:f>MAX(1,ROUND('기준스탯 72종'!E31-S605-AA605,0))</x:f>
        <x:v>6</x:v>
      </x:c>
      <x:c r="L605" s="2" t="n">
        <x:f>MAX(1,ROUND('기준스탯 72종'!F31-T605-AB605,0))</x:f>
        <x:v>6</x:v>
      </x:c>
      <x:c r="M605" s="2" t="n">
        <x:f>MAX(1,ROUND('기준스탯 72종'!G31-U605-AC605,0))</x:f>
        <x:v>4</x:v>
      </x:c>
      <x:c r="N605" s="2" t="n">
        <x:f>MAX(0,ROUND('기준스탯 72종'!H31-V605-AD605,0))</x:f>
        <x:v>1</x:v>
      </x:c>
      <x:c r="O605" s="2" t="n">
        <x:f>MAX(0,ROUND('기준스탯 72종'!I31-W605-AE605,0))</x:f>
        <x:v>4</x:v>
      </x:c>
      <x:c r="P605" s="2" t="n">
        <x:f>MAX(0,ROUND('기준스탯 72종'!J31-X605-AF605,0))</x:f>
        <x:v>1</x:v>
      </x:c>
      <x:c r="Q605" s="2" t="n">
        <x:f>MAX(0,ROUND('기준스탯 72종'!K31-Y605-AG605,0))</x:f>
        <x:v>4</x:v>
      </x:c>
      <x:c r="R605" s="15" t="n">
        <x:f>'기준스탯 72종'!D31*G605</x:f>
        <x:v>1.9599999999999997</x:v>
      </x:c>
      <x:c r="S605" s="15" t="n">
        <x:f>'기준스탯 72종'!E31*G605</x:f>
        <x:v>2.5199999999999996</x:v>
      </x:c>
      <x:c r="T605" s="15" t="n">
        <x:f>'기준스탯 72종'!F31*G605</x:f>
        <x:v>2.5199999999999996</x:v>
      </x:c>
      <x:c r="U605" s="15" t="n">
        <x:f>'기준스탯 72종'!G31*G605</x:f>
        <x:v>1.6799999999999997</x:v>
      </x:c>
      <x:c r="V605" s="15" t="n">
        <x:f>'기준스탯 72종'!H31*G605</x:f>
        <x:v>0.5599999999999999</x:v>
      </x:c>
      <x:c r="W605" s="15" t="n">
        <x:f>'기준스탯 72종'!I31*G605</x:f>
        <x:v>1.6799999999999997</x:v>
      </x:c>
      <x:c r="X605" s="15" t="n">
        <x:f>'기준스탯 72종'!J31*G605</x:f>
        <x:v>0.5599999999999999</x:v>
      </x:c>
      <x:c r="Y605" s="15" t="n">
        <x:f>'기준스탯 72종'!K31*G605</x:f>
        <x:v>1.6799999999999997</x:v>
      </x:c>
      <x:c r="Z605" s="15" t="n">
        <x:f>'기준스탯 72종'!D31*H605</x:f>
        <x:v>0</x:v>
      </x:c>
      <x:c r="AA605" s="15" t="n">
        <x:f>'기준스탯 72종'!E31*H605</x:f>
        <x:v>0</x:v>
      </x:c>
      <x:c r="AB605" s="15" t="n">
        <x:f>'기준스탯 72종'!F31*H605</x:f>
        <x:v>0</x:v>
      </x:c>
      <x:c r="AC605" s="15" t="n">
        <x:f>'기준스탯 72종'!G31*H605</x:f>
        <x:v>0</x:v>
      </x:c>
      <x:c r="AD605" s="15" t="n">
        <x:f>'기준스탯 72종'!H31*H605</x:f>
        <x:v>0</x:v>
      </x:c>
      <x:c r="AE605" s="15" t="n">
        <x:f>'기준스탯 72종'!I31*H605</x:f>
        <x:v>0</x:v>
      </x:c>
      <x:c r="AF605" s="15" t="n">
        <x:f>'기준스탯 72종'!J31*H605</x:f>
        <x:v>0</x:v>
      </x:c>
      <x:c r="AG605" s="15" t="n">
        <x:f>'기준스탯 72종'!K31*H605</x:f>
        <x:v>0</x:v>
      </x:c>
    </x:row>
    <x:row r="606" ht="28" customHeight="1">
      <x:c r="A606" s="2" t="n">
        <x:v>599</x:v>
      </x:c>
      <x:c r="B606" s="2" t="n">
        <x:v>24</x:v>
      </x:c>
      <x:c r="C606" s="2" t="str">
        <x:v>게자리</x:v>
      </x:c>
      <x:c r="D606" s="2" t="str">
        <x:v>전사</x:v>
      </x:c>
      <x:c r="E606" s="2" t="n">
        <x:v>4</x:v>
      </x:c>
      <x:c r="F606" s="2" t="n">
        <x:v>5</x:v>
      </x:c>
      <x:c r="G606" s="14" t="n">
        <x:f>('레벨 계산식'!$E$4-E606)*'레벨 계산식'!$B$5</x:f>
        <x:v>0.13999999999999999</x:v>
      </x:c>
      <x:c r="H606" s="14" t="n">
        <x:f>('등급 계산식'!$E$4-F606)*'등급 계산식'!$B$5</x:f>
        <x:v>0</x:v>
      </x:c>
      <x:c r="I606" s="14" t="n">
        <x:f>1-G606-H606</x:f>
        <x:v>0.86</x:v>
      </x:c>
      <x:c r="J606" s="2" t="n">
        <x:f>MAX(1,ROUND('기준스탯 72종'!D31-R606-Z606,0))</x:f>
        <x:v>6</x:v>
      </x:c>
      <x:c r="K606" s="2" t="n">
        <x:f>MAX(1,ROUND('기준스탯 72종'!E31-S606-AA606,0))</x:f>
        <x:v>8</x:v>
      </x:c>
      <x:c r="L606" s="2" t="n">
        <x:f>MAX(1,ROUND('기준스탯 72종'!F31-T606-AB606,0))</x:f>
        <x:v>8</x:v>
      </x:c>
      <x:c r="M606" s="2" t="n">
        <x:f>MAX(1,ROUND('기준스탯 72종'!G31-U606-AC606,0))</x:f>
        <x:v>5</x:v>
      </x:c>
      <x:c r="N606" s="2" t="n">
        <x:f>MAX(0,ROUND('기준스탯 72종'!H31-V606-AD606,0))</x:f>
        <x:v>2</x:v>
      </x:c>
      <x:c r="O606" s="2" t="n">
        <x:f>MAX(0,ROUND('기준스탯 72종'!I31-W606-AE606,0))</x:f>
        <x:v>5</x:v>
      </x:c>
      <x:c r="P606" s="2" t="n">
        <x:f>MAX(0,ROUND('기준스탯 72종'!J31-X606-AF606,0))</x:f>
        <x:v>2</x:v>
      </x:c>
      <x:c r="Q606" s="2" t="n">
        <x:f>MAX(0,ROUND('기준스탯 72종'!K31-Y606-AG606,0))</x:f>
        <x:v>5</x:v>
      </x:c>
      <x:c r="R606" s="15" t="n">
        <x:f>'기준스탯 72종'!D31*G606</x:f>
        <x:v>0.9799999999999999</x:v>
      </x:c>
      <x:c r="S606" s="15" t="n">
        <x:f>'기준스탯 72종'!E31*G606</x:f>
        <x:v>1.2599999999999998</x:v>
      </x:c>
      <x:c r="T606" s="15" t="n">
        <x:f>'기준스탯 72종'!F31*G606</x:f>
        <x:v>1.2599999999999998</x:v>
      </x:c>
      <x:c r="U606" s="15" t="n">
        <x:f>'기준스탯 72종'!G31*G606</x:f>
        <x:v>0.8399999999999999</x:v>
      </x:c>
      <x:c r="V606" s="15" t="n">
        <x:f>'기준스탯 72종'!H31*G606</x:f>
        <x:v>0.27999999999999997</x:v>
      </x:c>
      <x:c r="W606" s="15" t="n">
        <x:f>'기준스탯 72종'!I31*G606</x:f>
        <x:v>0.8399999999999999</x:v>
      </x:c>
      <x:c r="X606" s="15" t="n">
        <x:f>'기준스탯 72종'!J31*G606</x:f>
        <x:v>0.27999999999999997</x:v>
      </x:c>
      <x:c r="Y606" s="15" t="n">
        <x:f>'기준스탯 72종'!K31*G606</x:f>
        <x:v>0.8399999999999999</x:v>
      </x:c>
      <x:c r="Z606" s="15" t="n">
        <x:f>'기준스탯 72종'!D31*H606</x:f>
        <x:v>0</x:v>
      </x:c>
      <x:c r="AA606" s="15" t="n">
        <x:f>'기준스탯 72종'!E31*H606</x:f>
        <x:v>0</x:v>
      </x:c>
      <x:c r="AB606" s="15" t="n">
        <x:f>'기준스탯 72종'!F31*H606</x:f>
        <x:v>0</x:v>
      </x:c>
      <x:c r="AC606" s="15" t="n">
        <x:f>'기준스탯 72종'!G31*H606</x:f>
        <x:v>0</x:v>
      </x:c>
      <x:c r="AD606" s="15" t="n">
        <x:f>'기준스탯 72종'!H31*H606</x:f>
        <x:v>0</x:v>
      </x:c>
      <x:c r="AE606" s="15" t="n">
        <x:f>'기준스탯 72종'!I31*H606</x:f>
        <x:v>0</x:v>
      </x:c>
      <x:c r="AF606" s="15" t="n">
        <x:f>'기준스탯 72종'!J31*H606</x:f>
        <x:v>0</x:v>
      </x:c>
      <x:c r="AG606" s="15" t="n">
        <x:f>'기준스탯 72종'!K31*H606</x:f>
        <x:v>0</x:v>
      </x:c>
    </x:row>
    <x:row r="607" ht="28" customHeight="1">
      <x:c r="A607" s="2" t="n">
        <x:v>600</x:v>
      </x:c>
      <x:c r="B607" s="2" t="n">
        <x:v>24</x:v>
      </x:c>
      <x:c r="C607" s="2" t="str">
        <x:v>게자리</x:v>
      </x:c>
      <x:c r="D607" s="2" t="str">
        <x:v>전사</x:v>
      </x:c>
      <x:c r="E607" s="2" t="n">
        <x:v>5</x:v>
      </x:c>
      <x:c r="F607" s="2" t="n">
        <x:v>5</x:v>
      </x:c>
      <x:c r="G607" s="14" t="n">
        <x:f>('레벨 계산식'!$E$4-E607)*'레벨 계산식'!$B$5</x:f>
        <x:v>0</x:v>
      </x:c>
      <x:c r="H607" s="14" t="n">
        <x:f>('등급 계산식'!$E$4-F607)*'등급 계산식'!$B$5</x:f>
        <x:v>0</x:v>
      </x:c>
      <x:c r="I607" s="14" t="n">
        <x:f>1-G607-H607</x:f>
        <x:v>1</x:v>
      </x:c>
      <x:c r="J607" s="2" t="n">
        <x:f>MAX(1,ROUND('기준스탯 72종'!D31-R607-Z607,0))</x:f>
        <x:v>7</x:v>
      </x:c>
      <x:c r="K607" s="2" t="n">
        <x:f>MAX(1,ROUND('기준스탯 72종'!E31-S607-AA607,0))</x:f>
        <x:v>9</x:v>
      </x:c>
      <x:c r="L607" s="2" t="n">
        <x:f>MAX(1,ROUND('기준스탯 72종'!F31-T607-AB607,0))</x:f>
        <x:v>9</x:v>
      </x:c>
      <x:c r="M607" s="2" t="n">
        <x:f>MAX(1,ROUND('기준스탯 72종'!G31-U607-AC607,0))</x:f>
        <x:v>6</x:v>
      </x:c>
      <x:c r="N607" s="2" t="n">
        <x:f>MAX(0,ROUND('기준스탯 72종'!H31-V607-AD607,0))</x:f>
        <x:v>2</x:v>
      </x:c>
      <x:c r="O607" s="2" t="n">
        <x:f>MAX(0,ROUND('기준스탯 72종'!I31-W607-AE607,0))</x:f>
        <x:v>6</x:v>
      </x:c>
      <x:c r="P607" s="2" t="n">
        <x:f>MAX(0,ROUND('기준스탯 72종'!J31-X607-AF607,0))</x:f>
        <x:v>2</x:v>
      </x:c>
      <x:c r="Q607" s="2" t="n">
        <x:f>MAX(0,ROUND('기준스탯 72종'!K31-Y607-AG607,0))</x:f>
        <x:v>6</x:v>
      </x:c>
      <x:c r="R607" s="15" t="n">
        <x:f>'기준스탯 72종'!D31*G607</x:f>
        <x:v>0</x:v>
      </x:c>
      <x:c r="S607" s="15" t="n">
        <x:f>'기준스탯 72종'!E31*G607</x:f>
        <x:v>0</x:v>
      </x:c>
      <x:c r="T607" s="15" t="n">
        <x:f>'기준스탯 72종'!F31*G607</x:f>
        <x:v>0</x:v>
      </x:c>
      <x:c r="U607" s="15" t="n">
        <x:f>'기준스탯 72종'!G31*G607</x:f>
        <x:v>0</x:v>
      </x:c>
      <x:c r="V607" s="15" t="n">
        <x:f>'기준스탯 72종'!H31*G607</x:f>
        <x:v>0</x:v>
      </x:c>
      <x:c r="W607" s="15" t="n">
        <x:f>'기준스탯 72종'!I31*G607</x:f>
        <x:v>0</x:v>
      </x:c>
      <x:c r="X607" s="15" t="n">
        <x:f>'기준스탯 72종'!J31*G607</x:f>
        <x:v>0</x:v>
      </x:c>
      <x:c r="Y607" s="15" t="n">
        <x:f>'기준스탯 72종'!K31*G607</x:f>
        <x:v>0</x:v>
      </x:c>
      <x:c r="Z607" s="15" t="n">
        <x:f>'기준스탯 72종'!D31*H607</x:f>
        <x:v>0</x:v>
      </x:c>
      <x:c r="AA607" s="15" t="n">
        <x:f>'기준스탯 72종'!E31*H607</x:f>
        <x:v>0</x:v>
      </x:c>
      <x:c r="AB607" s="15" t="n">
        <x:f>'기준스탯 72종'!F31*H607</x:f>
        <x:v>0</x:v>
      </x:c>
      <x:c r="AC607" s="15" t="n">
        <x:f>'기준스탯 72종'!G31*H607</x:f>
        <x:v>0</x:v>
      </x:c>
      <x:c r="AD607" s="15" t="n">
        <x:f>'기준스탯 72종'!H31*H607</x:f>
        <x:v>0</x:v>
      </x:c>
      <x:c r="AE607" s="15" t="n">
        <x:f>'기준스탯 72종'!I31*H607</x:f>
        <x:v>0</x:v>
      </x:c>
      <x:c r="AF607" s="15" t="n">
        <x:f>'기준스탯 72종'!J31*H607</x:f>
        <x:v>0</x:v>
      </x:c>
      <x:c r="AG607" s="15" t="n">
        <x:f>'기준스탯 72종'!K31*H607</x:f>
        <x:v>0</x:v>
      </x:c>
    </x:row>
    <x:row r="608" ht="28" customHeight="1">
      <x:c r="A608" s="2" t="n">
        <x:v>601</x:v>
      </x:c>
      <x:c r="B608" s="2" t="n">
        <x:v>25</x:v>
      </x:c>
      <x:c r="C608" s="2" t="str">
        <x:v>사자자리</x:v>
      </x:c>
      <x:c r="D608" s="2" t="str">
        <x:v>기사</x:v>
      </x:c>
      <x:c r="E608" s="2" t="n">
        <x:v>1</x:v>
      </x:c>
      <x:c r="F608" s="2" t="n">
        <x:v>1</x:v>
      </x:c>
      <x:c r="G608" s="14" t="n">
        <x:f>('레벨 계산식'!$E$4-E608)*'레벨 계산식'!$B$5</x:f>
        <x:v>0.5599999999999999</x:v>
      </x:c>
      <x:c r="H608" s="14" t="n">
        <x:f>('등급 계산식'!$E$4-F608)*'등급 계산식'!$B$5</x:f>
        <x:v>0.24000000000000005</x:v>
      </x:c>
      <x:c r="I608" s="14" t="n">
        <x:f>1-G608-H608</x:f>
        <x:v>0.2</x:v>
      </x:c>
      <x:c r="J608" s="2" t="n">
        <x:f>MAX(1,ROUND('기준스탯 72종'!D32-R608-Z608,0))</x:f>
        <x:v>2</x:v>
      </x:c>
      <x:c r="K608" s="2" t="n">
        <x:f>MAX(1,ROUND('기준스탯 72종'!E32-S608-AA608,0))</x:f>
        <x:v>2</x:v>
      </x:c>
      <x:c r="L608" s="2" t="n">
        <x:f>MAX(1,ROUND('기준스탯 72종'!F32-T608-AB608,0))</x:f>
        <x:v>2</x:v>
      </x:c>
      <x:c r="M608" s="2" t="n">
        <x:f>MAX(1,ROUND('기준스탯 72종'!G32-U608-AC608,0))</x:f>
        <x:v>1</x:v>
      </x:c>
      <x:c r="N608" s="2" t="n">
        <x:f>MAX(0,ROUND('기준스탯 72종'!H32-V608-AD608,0))</x:f>
        <x:v>1</x:v>
      </x:c>
      <x:c r="O608" s="2" t="n">
        <x:f>MAX(0,ROUND('기준스탯 72종'!I32-W608-AE608,0))</x:f>
        <x:v>1</x:v>
      </x:c>
      <x:c r="P608" s="2" t="n">
        <x:f>MAX(0,ROUND('기준스탯 72종'!J32-X608-AF608,0))</x:f>
        <x:v>0</x:v>
      </x:c>
      <x:c r="Q608" s="2" t="n">
        <x:f>MAX(0,ROUND('기준스탯 72종'!K32-Y608-AG608,0))</x:f>
        <x:v>1</x:v>
      </x:c>
      <x:c r="R608" s="15" t="n">
        <x:f>'기준스탯 72종'!D32*G608</x:f>
        <x:v>4.4799999999999995</x:v>
      </x:c>
      <x:c r="S608" s="15" t="n">
        <x:f>'기준스탯 72종'!E32*G608</x:f>
        <x:v>4.4799999999999995</x:v>
      </x:c>
      <x:c r="T608" s="15" t="n">
        <x:f>'기준스탯 72종'!F32*G608</x:f>
        <x:v>4.4799999999999995</x:v>
      </x:c>
      <x:c r="U608" s="15" t="n">
        <x:f>'기준스탯 72종'!G32*G608</x:f>
        <x:v>3.3599999999999994</x:v>
      </x:c>
      <x:c r="V608" s="15" t="n">
        <x:f>'기준스탯 72종'!H32*G608</x:f>
        <x:v>2.2399999999999998</x:v>
      </x:c>
      <x:c r="W608" s="15" t="n">
        <x:f>'기준스탯 72종'!I32*G608</x:f>
        <x:v>3.3599999999999994</x:v>
      </x:c>
      <x:c r="X608" s="15" t="n">
        <x:f>'기준스탯 72종'!J32*G608</x:f>
        <x:v>1.1199999999999999</x:v>
      </x:c>
      <x:c r="Y608" s="15" t="n">
        <x:f>'기준스탯 72종'!K32*G608</x:f>
        <x:v>2.2399999999999998</x:v>
      </x:c>
      <x:c r="Z608" s="15" t="n">
        <x:f>'기준스탯 72종'!D32*H608</x:f>
        <x:v>1.9200000000000004</x:v>
      </x:c>
      <x:c r="AA608" s="15" t="n">
        <x:f>'기준스탯 72종'!E32*H608</x:f>
        <x:v>1.9200000000000004</x:v>
      </x:c>
      <x:c r="AB608" s="15" t="n">
        <x:f>'기준스탯 72종'!F32*H608</x:f>
        <x:v>1.9200000000000004</x:v>
      </x:c>
      <x:c r="AC608" s="15" t="n">
        <x:f>'기준스탯 72종'!G32*H608</x:f>
        <x:v>1.4400000000000004</x:v>
      </x:c>
      <x:c r="AD608" s="15" t="n">
        <x:f>'기준스탯 72종'!H32*H608</x:f>
        <x:v>0.9600000000000002</x:v>
      </x:c>
      <x:c r="AE608" s="15" t="n">
        <x:f>'기준스탯 72종'!I32*H608</x:f>
        <x:v>1.4400000000000004</x:v>
      </x:c>
      <x:c r="AF608" s="15" t="n">
        <x:f>'기준스탯 72종'!J32*H608</x:f>
        <x:v>0.4800000000000001</x:v>
      </x:c>
      <x:c r="AG608" s="15" t="n">
        <x:f>'기준스탯 72종'!K32*H608</x:f>
        <x:v>0.9600000000000002</x:v>
      </x:c>
    </x:row>
    <x:row r="609" ht="28" customHeight="1">
      <x:c r="A609" s="2" t="n">
        <x:v>602</x:v>
      </x:c>
      <x:c r="B609" s="2" t="n">
        <x:v>25</x:v>
      </x:c>
      <x:c r="C609" s="2" t="str">
        <x:v>사자자리</x:v>
      </x:c>
      <x:c r="D609" s="2" t="str">
        <x:v>기사</x:v>
      </x:c>
      <x:c r="E609" s="2" t="n">
        <x:v>2</x:v>
      </x:c>
      <x:c r="F609" s="2" t="n">
        <x:v>1</x:v>
      </x:c>
      <x:c r="G609" s="14" t="n">
        <x:f>('레벨 계산식'!$E$4-E609)*'레벨 계산식'!$B$5</x:f>
        <x:v>0.41999999999999993</x:v>
      </x:c>
      <x:c r="H609" s="14" t="n">
        <x:f>('등급 계산식'!$E$4-F609)*'등급 계산식'!$B$5</x:f>
        <x:v>0.24000000000000005</x:v>
      </x:c>
      <x:c r="I609" s="14" t="n">
        <x:f>1-G609-H609</x:f>
        <x:v>0.34</x:v>
      </x:c>
      <x:c r="J609" s="2" t="n">
        <x:f>MAX(1,ROUND('기준스탯 72종'!D32-R609-Z609,0))</x:f>
        <x:v>3</x:v>
      </x:c>
      <x:c r="K609" s="2" t="n">
        <x:f>MAX(1,ROUND('기준스탯 72종'!E32-S609-AA609,0))</x:f>
        <x:v>3</x:v>
      </x:c>
      <x:c r="L609" s="2" t="n">
        <x:f>MAX(1,ROUND('기준스탯 72종'!F32-T609-AB609,0))</x:f>
        <x:v>3</x:v>
      </x:c>
      <x:c r="M609" s="2" t="n">
        <x:f>MAX(1,ROUND('기준스탯 72종'!G32-U609-AC609,0))</x:f>
        <x:v>2</x:v>
      </x:c>
      <x:c r="N609" s="2" t="n">
        <x:f>MAX(0,ROUND('기준스탯 72종'!H32-V609-AD609,0))</x:f>
        <x:v>1</x:v>
      </x:c>
      <x:c r="O609" s="2" t="n">
        <x:f>MAX(0,ROUND('기준스탯 72종'!I32-W609-AE609,0))</x:f>
        <x:v>2</x:v>
      </x:c>
      <x:c r="P609" s="2" t="n">
        <x:f>MAX(0,ROUND('기준스탯 72종'!J32-X609-AF609,0))</x:f>
        <x:v>1</x:v>
      </x:c>
      <x:c r="Q609" s="2" t="n">
        <x:f>MAX(0,ROUND('기준스탯 72종'!K32-Y609-AG609,0))</x:f>
        <x:v>1</x:v>
      </x:c>
      <x:c r="R609" s="15" t="n">
        <x:f>'기준스탯 72종'!D32*G609</x:f>
        <x:v>3.3599999999999994</x:v>
      </x:c>
      <x:c r="S609" s="15" t="n">
        <x:f>'기준스탯 72종'!E32*G609</x:f>
        <x:v>3.3599999999999994</x:v>
      </x:c>
      <x:c r="T609" s="15" t="n">
        <x:f>'기준스탯 72종'!F32*G609</x:f>
        <x:v>3.3599999999999994</x:v>
      </x:c>
      <x:c r="U609" s="15" t="n">
        <x:f>'기준스탯 72종'!G32*G609</x:f>
        <x:v>2.5199999999999996</x:v>
      </x:c>
      <x:c r="V609" s="15" t="n">
        <x:f>'기준스탯 72종'!H32*G609</x:f>
        <x:v>1.6799999999999997</x:v>
      </x:c>
      <x:c r="W609" s="15" t="n">
        <x:f>'기준스탯 72종'!I32*G609</x:f>
        <x:v>2.5199999999999996</x:v>
      </x:c>
      <x:c r="X609" s="15" t="n">
        <x:f>'기준스탯 72종'!J32*G609</x:f>
        <x:v>0.8399999999999999</x:v>
      </x:c>
      <x:c r="Y609" s="15" t="n">
        <x:f>'기준스탯 72종'!K32*G609</x:f>
        <x:v>1.6799999999999997</x:v>
      </x:c>
      <x:c r="Z609" s="15" t="n">
        <x:f>'기준스탯 72종'!D32*H609</x:f>
        <x:v>1.9200000000000004</x:v>
      </x:c>
      <x:c r="AA609" s="15" t="n">
        <x:f>'기준스탯 72종'!E32*H609</x:f>
        <x:v>1.9200000000000004</x:v>
      </x:c>
      <x:c r="AB609" s="15" t="n">
        <x:f>'기준스탯 72종'!F32*H609</x:f>
        <x:v>1.9200000000000004</x:v>
      </x:c>
      <x:c r="AC609" s="15" t="n">
        <x:f>'기준스탯 72종'!G32*H609</x:f>
        <x:v>1.4400000000000004</x:v>
      </x:c>
      <x:c r="AD609" s="15" t="n">
        <x:f>'기준스탯 72종'!H32*H609</x:f>
        <x:v>0.9600000000000002</x:v>
      </x:c>
      <x:c r="AE609" s="15" t="n">
        <x:f>'기준스탯 72종'!I32*H609</x:f>
        <x:v>1.4400000000000004</x:v>
      </x:c>
      <x:c r="AF609" s="15" t="n">
        <x:f>'기준스탯 72종'!J32*H609</x:f>
        <x:v>0.4800000000000001</x:v>
      </x:c>
      <x:c r="AG609" s="15" t="n">
        <x:f>'기준스탯 72종'!K32*H609</x:f>
        <x:v>0.9600000000000002</x:v>
      </x:c>
    </x:row>
    <x:row r="610" ht="28" customHeight="1">
      <x:c r="A610" s="2" t="n">
        <x:v>603</x:v>
      </x:c>
      <x:c r="B610" s="2" t="n">
        <x:v>25</x:v>
      </x:c>
      <x:c r="C610" s="2" t="str">
        <x:v>사자자리</x:v>
      </x:c>
      <x:c r="D610" s="2" t="str">
        <x:v>기사</x:v>
      </x:c>
      <x:c r="E610" s="2" t="n">
        <x:v>3</x:v>
      </x:c>
      <x:c r="F610" s="2" t="n">
        <x:v>1</x:v>
      </x:c>
      <x:c r="G610" s="14" t="n">
        <x:f>('레벨 계산식'!$E$4-E610)*'레벨 계산식'!$B$5</x:f>
        <x:v>0.27999999999999997</x:v>
      </x:c>
      <x:c r="H610" s="14" t="n">
        <x:f>('등급 계산식'!$E$4-F610)*'등급 계산식'!$B$5</x:f>
        <x:v>0.24000000000000005</x:v>
      </x:c>
      <x:c r="I610" s="14" t="n">
        <x:f>1-G610-H610</x:f>
        <x:v>0.4799999999999999</x:v>
      </x:c>
      <x:c r="J610" s="2" t="n">
        <x:f>MAX(1,ROUND('기준스탯 72종'!D32-R610-Z610,0))</x:f>
        <x:v>4</x:v>
      </x:c>
      <x:c r="K610" s="2" t="n">
        <x:f>MAX(1,ROUND('기준스탯 72종'!E32-S610-AA610,0))</x:f>
        <x:v>4</x:v>
      </x:c>
      <x:c r="L610" s="2" t="n">
        <x:f>MAX(1,ROUND('기준스탯 72종'!F32-T610-AB610,0))</x:f>
        <x:v>4</x:v>
      </x:c>
      <x:c r="M610" s="2" t="n">
        <x:f>MAX(1,ROUND('기준스탯 72종'!G32-U610-AC610,0))</x:f>
        <x:v>3</x:v>
      </x:c>
      <x:c r="N610" s="2" t="n">
        <x:f>MAX(0,ROUND('기준스탯 72종'!H32-V610-AD610,0))</x:f>
        <x:v>2</x:v>
      </x:c>
      <x:c r="O610" s="2" t="n">
        <x:f>MAX(0,ROUND('기준스탯 72종'!I32-W610-AE610,0))</x:f>
        <x:v>3</x:v>
      </x:c>
      <x:c r="P610" s="2" t="n">
        <x:f>MAX(0,ROUND('기준스탯 72종'!J32-X610-AF610,0))</x:f>
        <x:v>1</x:v>
      </x:c>
      <x:c r="Q610" s="2" t="n">
        <x:f>MAX(0,ROUND('기준스탯 72종'!K32-Y610-AG610,0))</x:f>
        <x:v>2</x:v>
      </x:c>
      <x:c r="R610" s="15" t="n">
        <x:f>'기준스탯 72종'!D32*G610</x:f>
        <x:v>2.2399999999999998</x:v>
      </x:c>
      <x:c r="S610" s="15" t="n">
        <x:f>'기준스탯 72종'!E32*G610</x:f>
        <x:v>2.2399999999999998</x:v>
      </x:c>
      <x:c r="T610" s="15" t="n">
        <x:f>'기준스탯 72종'!F32*G610</x:f>
        <x:v>2.2399999999999998</x:v>
      </x:c>
      <x:c r="U610" s="15" t="n">
        <x:f>'기준스탯 72종'!G32*G610</x:f>
        <x:v>1.6799999999999997</x:v>
      </x:c>
      <x:c r="V610" s="15" t="n">
        <x:f>'기준스탯 72종'!H32*G610</x:f>
        <x:v>1.1199999999999999</x:v>
      </x:c>
      <x:c r="W610" s="15" t="n">
        <x:f>'기준스탯 72종'!I32*G610</x:f>
        <x:v>1.6799999999999997</x:v>
      </x:c>
      <x:c r="X610" s="15" t="n">
        <x:f>'기준스탯 72종'!J32*G610</x:f>
        <x:v>0.5599999999999999</x:v>
      </x:c>
      <x:c r="Y610" s="15" t="n">
        <x:f>'기준스탯 72종'!K32*G610</x:f>
        <x:v>1.1199999999999999</x:v>
      </x:c>
      <x:c r="Z610" s="15" t="n">
        <x:f>'기준스탯 72종'!D32*H610</x:f>
        <x:v>1.9200000000000004</x:v>
      </x:c>
      <x:c r="AA610" s="15" t="n">
        <x:f>'기준스탯 72종'!E32*H610</x:f>
        <x:v>1.9200000000000004</x:v>
      </x:c>
      <x:c r="AB610" s="15" t="n">
        <x:f>'기준스탯 72종'!F32*H610</x:f>
        <x:v>1.9200000000000004</x:v>
      </x:c>
      <x:c r="AC610" s="15" t="n">
        <x:f>'기준스탯 72종'!G32*H610</x:f>
        <x:v>1.4400000000000004</x:v>
      </x:c>
      <x:c r="AD610" s="15" t="n">
        <x:f>'기준스탯 72종'!H32*H610</x:f>
        <x:v>0.9600000000000002</x:v>
      </x:c>
      <x:c r="AE610" s="15" t="n">
        <x:f>'기준스탯 72종'!I32*H610</x:f>
        <x:v>1.4400000000000004</x:v>
      </x:c>
      <x:c r="AF610" s="15" t="n">
        <x:f>'기준스탯 72종'!J32*H610</x:f>
        <x:v>0.4800000000000001</x:v>
      </x:c>
      <x:c r="AG610" s="15" t="n">
        <x:f>'기준스탯 72종'!K32*H610</x:f>
        <x:v>0.9600000000000002</x:v>
      </x:c>
    </x:row>
    <x:row r="611" ht="28" customHeight="1">
      <x:c r="A611" s="2" t="n">
        <x:v>604</x:v>
      </x:c>
      <x:c r="B611" s="2" t="n">
        <x:v>25</x:v>
      </x:c>
      <x:c r="C611" s="2" t="str">
        <x:v>사자자리</x:v>
      </x:c>
      <x:c r="D611" s="2" t="str">
        <x:v>기사</x:v>
      </x:c>
      <x:c r="E611" s="2" t="n">
        <x:v>4</x:v>
      </x:c>
      <x:c r="F611" s="2" t="n">
        <x:v>1</x:v>
      </x:c>
      <x:c r="G611" s="14" t="n">
        <x:f>('레벨 계산식'!$E$4-E611)*'레벨 계산식'!$B$5</x:f>
        <x:v>0.13999999999999999</x:v>
      </x:c>
      <x:c r="H611" s="14" t="n">
        <x:f>('등급 계산식'!$E$4-F611)*'등급 계산식'!$B$5</x:f>
        <x:v>0.24000000000000005</x:v>
      </x:c>
      <x:c r="I611" s="14" t="n">
        <x:f>1-G611-H611</x:f>
        <x:v>0.6199999999999999</x:v>
      </x:c>
      <x:c r="J611" s="2" t="n">
        <x:f>MAX(1,ROUND('기준스탯 72종'!D32-R611-Z611,0))</x:f>
        <x:v>5</x:v>
      </x:c>
      <x:c r="K611" s="2" t="n">
        <x:f>MAX(1,ROUND('기준스탯 72종'!E32-S611-AA611,0))</x:f>
        <x:v>5</x:v>
      </x:c>
      <x:c r="L611" s="2" t="n">
        <x:f>MAX(1,ROUND('기준스탯 72종'!F32-T611-AB611,0))</x:f>
        <x:v>5</x:v>
      </x:c>
      <x:c r="M611" s="2" t="n">
        <x:f>MAX(1,ROUND('기준스탯 72종'!G32-U611-AC611,0))</x:f>
        <x:v>4</x:v>
      </x:c>
      <x:c r="N611" s="2" t="n">
        <x:f>MAX(0,ROUND('기준스탯 72종'!H32-V611-AD611,0))</x:f>
        <x:v>2</x:v>
      </x:c>
      <x:c r="O611" s="2" t="n">
        <x:f>MAX(0,ROUND('기준스탯 72종'!I32-W611-AE611,0))</x:f>
        <x:v>4</x:v>
      </x:c>
      <x:c r="P611" s="2" t="n">
        <x:f>MAX(0,ROUND('기준스탯 72종'!J32-X611-AF611,0))</x:f>
        <x:v>1</x:v>
      </x:c>
      <x:c r="Q611" s="2" t="n">
        <x:f>MAX(0,ROUND('기준스탯 72종'!K32-Y611-AG611,0))</x:f>
        <x:v>2</x:v>
      </x:c>
      <x:c r="R611" s="15" t="n">
        <x:f>'기준스탯 72종'!D32*G611</x:f>
        <x:v>1.1199999999999999</x:v>
      </x:c>
      <x:c r="S611" s="15" t="n">
        <x:f>'기준스탯 72종'!E32*G611</x:f>
        <x:v>1.1199999999999999</x:v>
      </x:c>
      <x:c r="T611" s="15" t="n">
        <x:f>'기준스탯 72종'!F32*G611</x:f>
        <x:v>1.1199999999999999</x:v>
      </x:c>
      <x:c r="U611" s="15" t="n">
        <x:f>'기준스탯 72종'!G32*G611</x:f>
        <x:v>0.8399999999999999</x:v>
      </x:c>
      <x:c r="V611" s="15" t="n">
        <x:f>'기준스탯 72종'!H32*G611</x:f>
        <x:v>0.5599999999999999</x:v>
      </x:c>
      <x:c r="W611" s="15" t="n">
        <x:f>'기준스탯 72종'!I32*G611</x:f>
        <x:v>0.8399999999999999</x:v>
      </x:c>
      <x:c r="X611" s="15" t="n">
        <x:f>'기준스탯 72종'!J32*G611</x:f>
        <x:v>0.27999999999999997</x:v>
      </x:c>
      <x:c r="Y611" s="15" t="n">
        <x:f>'기준스탯 72종'!K32*G611</x:f>
        <x:v>0.5599999999999999</x:v>
      </x:c>
      <x:c r="Z611" s="15" t="n">
        <x:f>'기준스탯 72종'!D32*H611</x:f>
        <x:v>1.9200000000000004</x:v>
      </x:c>
      <x:c r="AA611" s="15" t="n">
        <x:f>'기준스탯 72종'!E32*H611</x:f>
        <x:v>1.9200000000000004</x:v>
      </x:c>
      <x:c r="AB611" s="15" t="n">
        <x:f>'기준스탯 72종'!F32*H611</x:f>
        <x:v>1.9200000000000004</x:v>
      </x:c>
      <x:c r="AC611" s="15" t="n">
        <x:f>'기준스탯 72종'!G32*H611</x:f>
        <x:v>1.4400000000000004</x:v>
      </x:c>
      <x:c r="AD611" s="15" t="n">
        <x:f>'기준스탯 72종'!H32*H611</x:f>
        <x:v>0.9600000000000002</x:v>
      </x:c>
      <x:c r="AE611" s="15" t="n">
        <x:f>'기준스탯 72종'!I32*H611</x:f>
        <x:v>1.4400000000000004</x:v>
      </x:c>
      <x:c r="AF611" s="15" t="n">
        <x:f>'기준스탯 72종'!J32*H611</x:f>
        <x:v>0.4800000000000001</x:v>
      </x:c>
      <x:c r="AG611" s="15" t="n">
        <x:f>'기준스탯 72종'!K32*H611</x:f>
        <x:v>0.9600000000000002</x:v>
      </x:c>
    </x:row>
    <x:row r="612" ht="28" customHeight="1">
      <x:c r="A612" s="2" t="n">
        <x:v>605</x:v>
      </x:c>
      <x:c r="B612" s="2" t="n">
        <x:v>25</x:v>
      </x:c>
      <x:c r="C612" s="2" t="str">
        <x:v>사자자리</x:v>
      </x:c>
      <x:c r="D612" s="2" t="str">
        <x:v>기사</x:v>
      </x:c>
      <x:c r="E612" s="2" t="n">
        <x:v>5</x:v>
      </x:c>
      <x:c r="F612" s="2" t="n">
        <x:v>1</x:v>
      </x:c>
      <x:c r="G612" s="14" t="n">
        <x:f>('레벨 계산식'!$E$4-E612)*'레벨 계산식'!$B$5</x:f>
        <x:v>0</x:v>
      </x:c>
      <x:c r="H612" s="14" t="n">
        <x:f>('등급 계산식'!$E$4-F612)*'등급 계산식'!$B$5</x:f>
        <x:v>0.24000000000000005</x:v>
      </x:c>
      <x:c r="I612" s="14" t="n">
        <x:f>1-G612-H612</x:f>
        <x:v>0.76</x:v>
      </x:c>
      <x:c r="J612" s="2" t="n">
        <x:f>MAX(1,ROUND('기준스탯 72종'!D32-R612-Z612,0))</x:f>
        <x:v>6</x:v>
      </x:c>
      <x:c r="K612" s="2" t="n">
        <x:f>MAX(1,ROUND('기준스탯 72종'!E32-S612-AA612,0))</x:f>
        <x:v>6</x:v>
      </x:c>
      <x:c r="L612" s="2" t="n">
        <x:f>MAX(1,ROUND('기준스탯 72종'!F32-T612-AB612,0))</x:f>
        <x:v>6</x:v>
      </x:c>
      <x:c r="M612" s="2" t="n">
        <x:f>MAX(1,ROUND('기준스탯 72종'!G32-U612-AC612,0))</x:f>
        <x:v>5</x:v>
      </x:c>
      <x:c r="N612" s="2" t="n">
        <x:f>MAX(0,ROUND('기준스탯 72종'!H32-V612-AD612,0))</x:f>
        <x:v>3</x:v>
      </x:c>
      <x:c r="O612" s="2" t="n">
        <x:f>MAX(0,ROUND('기준스탯 72종'!I32-W612-AE612,0))</x:f>
        <x:v>5</x:v>
      </x:c>
      <x:c r="P612" s="2" t="n">
        <x:f>MAX(0,ROUND('기준스탯 72종'!J32-X612-AF612,0))</x:f>
        <x:v>2</x:v>
      </x:c>
      <x:c r="Q612" s="2" t="n">
        <x:f>MAX(0,ROUND('기준스탯 72종'!K32-Y612-AG612,0))</x:f>
        <x:v>3</x:v>
      </x:c>
      <x:c r="R612" s="15" t="n">
        <x:f>'기준스탯 72종'!D32*G612</x:f>
        <x:v>0</x:v>
      </x:c>
      <x:c r="S612" s="15" t="n">
        <x:f>'기준스탯 72종'!E32*G612</x:f>
        <x:v>0</x:v>
      </x:c>
      <x:c r="T612" s="15" t="n">
        <x:f>'기준스탯 72종'!F32*G612</x:f>
        <x:v>0</x:v>
      </x:c>
      <x:c r="U612" s="15" t="n">
        <x:f>'기준스탯 72종'!G32*G612</x:f>
        <x:v>0</x:v>
      </x:c>
      <x:c r="V612" s="15" t="n">
        <x:f>'기준스탯 72종'!H32*G612</x:f>
        <x:v>0</x:v>
      </x:c>
      <x:c r="W612" s="15" t="n">
        <x:f>'기준스탯 72종'!I32*G612</x:f>
        <x:v>0</x:v>
      </x:c>
      <x:c r="X612" s="15" t="n">
        <x:f>'기준스탯 72종'!J32*G612</x:f>
        <x:v>0</x:v>
      </x:c>
      <x:c r="Y612" s="15" t="n">
        <x:f>'기준스탯 72종'!K32*G612</x:f>
        <x:v>0</x:v>
      </x:c>
      <x:c r="Z612" s="15" t="n">
        <x:f>'기준스탯 72종'!D32*H612</x:f>
        <x:v>1.9200000000000004</x:v>
      </x:c>
      <x:c r="AA612" s="15" t="n">
        <x:f>'기준스탯 72종'!E32*H612</x:f>
        <x:v>1.9200000000000004</x:v>
      </x:c>
      <x:c r="AB612" s="15" t="n">
        <x:f>'기준스탯 72종'!F32*H612</x:f>
        <x:v>1.9200000000000004</x:v>
      </x:c>
      <x:c r="AC612" s="15" t="n">
        <x:f>'기준스탯 72종'!G32*H612</x:f>
        <x:v>1.4400000000000004</x:v>
      </x:c>
      <x:c r="AD612" s="15" t="n">
        <x:f>'기준스탯 72종'!H32*H612</x:f>
        <x:v>0.9600000000000002</x:v>
      </x:c>
      <x:c r="AE612" s="15" t="n">
        <x:f>'기준스탯 72종'!I32*H612</x:f>
        <x:v>1.4400000000000004</x:v>
      </x:c>
      <x:c r="AF612" s="15" t="n">
        <x:f>'기준스탯 72종'!J32*H612</x:f>
        <x:v>0.4800000000000001</x:v>
      </x:c>
      <x:c r="AG612" s="15" t="n">
        <x:f>'기준스탯 72종'!K32*H612</x:f>
        <x:v>0.9600000000000002</x:v>
      </x:c>
    </x:row>
    <x:row r="613" ht="28" customHeight="1">
      <x:c r="A613" s="2" t="n">
        <x:v>606</x:v>
      </x:c>
      <x:c r="B613" s="2" t="n">
        <x:v>25</x:v>
      </x:c>
      <x:c r="C613" s="2" t="str">
        <x:v>사자자리</x:v>
      </x:c>
      <x:c r="D613" s="2" t="str">
        <x:v>기사</x:v>
      </x:c>
      <x:c r="E613" s="2" t="n">
        <x:v>1</x:v>
      </x:c>
      <x:c r="F613" s="2" t="n">
        <x:v>2</x:v>
      </x:c>
      <x:c r="G613" s="14" t="n">
        <x:f>('레벨 계산식'!$E$4-E613)*'레벨 계산식'!$B$5</x:f>
        <x:v>0.5599999999999999</x:v>
      </x:c>
      <x:c r="H613" s="14" t="n">
        <x:f>('등급 계산식'!$E$4-F613)*'등급 계산식'!$B$5</x:f>
        <x:v>0.18000000000000005</x:v>
      </x:c>
      <x:c r="I613" s="14" t="n">
        <x:f>1-G613-H613</x:f>
        <x:v>0.26</x:v>
      </x:c>
      <x:c r="J613" s="2" t="n">
        <x:f>MAX(1,ROUND('기준스탯 72종'!D32-R613-Z613,0))</x:f>
        <x:v>2</x:v>
      </x:c>
      <x:c r="K613" s="2" t="n">
        <x:f>MAX(1,ROUND('기준스탯 72종'!E32-S613-AA613,0))</x:f>
        <x:v>2</x:v>
      </x:c>
      <x:c r="L613" s="2" t="n">
        <x:f>MAX(1,ROUND('기준스탯 72종'!F32-T613-AB613,0))</x:f>
        <x:v>2</x:v>
      </x:c>
      <x:c r="M613" s="2" t="n">
        <x:f>MAX(1,ROUND('기준스탯 72종'!G32-U613-AC613,0))</x:f>
        <x:v>2</x:v>
      </x:c>
      <x:c r="N613" s="2" t="n">
        <x:f>MAX(0,ROUND('기준스탯 72종'!H32-V613-AD613,0))</x:f>
        <x:v>1</x:v>
      </x:c>
      <x:c r="O613" s="2" t="n">
        <x:f>MAX(0,ROUND('기준스탯 72종'!I32-W613-AE613,0))</x:f>
        <x:v>2</x:v>
      </x:c>
      <x:c r="P613" s="2" t="n">
        <x:f>MAX(0,ROUND('기준스탯 72종'!J32-X613-AF613,0))</x:f>
        <x:v>1</x:v>
      </x:c>
      <x:c r="Q613" s="2" t="n">
        <x:f>MAX(0,ROUND('기준스탯 72종'!K32-Y613-AG613,0))</x:f>
        <x:v>1</x:v>
      </x:c>
      <x:c r="R613" s="15" t="n">
        <x:f>'기준스탯 72종'!D32*G613</x:f>
        <x:v>4.4799999999999995</x:v>
      </x:c>
      <x:c r="S613" s="15" t="n">
        <x:f>'기준스탯 72종'!E32*G613</x:f>
        <x:v>4.4799999999999995</x:v>
      </x:c>
      <x:c r="T613" s="15" t="n">
        <x:f>'기준스탯 72종'!F32*G613</x:f>
        <x:v>4.4799999999999995</x:v>
      </x:c>
      <x:c r="U613" s="15" t="n">
        <x:f>'기준스탯 72종'!G32*G613</x:f>
        <x:v>3.3599999999999994</x:v>
      </x:c>
      <x:c r="V613" s="15" t="n">
        <x:f>'기준스탯 72종'!H32*G613</x:f>
        <x:v>2.2399999999999998</x:v>
      </x:c>
      <x:c r="W613" s="15" t="n">
        <x:f>'기준스탯 72종'!I32*G613</x:f>
        <x:v>3.3599999999999994</x:v>
      </x:c>
      <x:c r="X613" s="15" t="n">
        <x:f>'기준스탯 72종'!J32*G613</x:f>
        <x:v>1.1199999999999999</x:v>
      </x:c>
      <x:c r="Y613" s="15" t="n">
        <x:f>'기준스탯 72종'!K32*G613</x:f>
        <x:v>2.2399999999999998</x:v>
      </x:c>
      <x:c r="Z613" s="15" t="n">
        <x:f>'기준스탯 72종'!D32*H613</x:f>
        <x:v>1.4400000000000004</x:v>
      </x:c>
      <x:c r="AA613" s="15" t="n">
        <x:f>'기준스탯 72종'!E32*H613</x:f>
        <x:v>1.4400000000000004</x:v>
      </x:c>
      <x:c r="AB613" s="15" t="n">
        <x:f>'기준스탯 72종'!F32*H613</x:f>
        <x:v>1.4400000000000004</x:v>
      </x:c>
      <x:c r="AC613" s="15" t="n">
        <x:f>'기준스탯 72종'!G32*H613</x:f>
        <x:v>1.0800000000000003</x:v>
      </x:c>
      <x:c r="AD613" s="15" t="n">
        <x:f>'기준스탯 72종'!H32*H613</x:f>
        <x:v>0.7200000000000002</x:v>
      </x:c>
      <x:c r="AE613" s="15" t="n">
        <x:f>'기준스탯 72종'!I32*H613</x:f>
        <x:v>1.0800000000000003</x:v>
      </x:c>
      <x:c r="AF613" s="15" t="n">
        <x:f>'기준스탯 72종'!J32*H613</x:f>
        <x:v>0.3600000000000001</x:v>
      </x:c>
      <x:c r="AG613" s="15" t="n">
        <x:f>'기준스탯 72종'!K32*H613</x:f>
        <x:v>0.7200000000000002</x:v>
      </x:c>
    </x:row>
    <x:row r="614" ht="28" customHeight="1">
      <x:c r="A614" s="2" t="n">
        <x:v>607</x:v>
      </x:c>
      <x:c r="B614" s="2" t="n">
        <x:v>25</x:v>
      </x:c>
      <x:c r="C614" s="2" t="str">
        <x:v>사자자리</x:v>
      </x:c>
      <x:c r="D614" s="2" t="str">
        <x:v>기사</x:v>
      </x:c>
      <x:c r="E614" s="2" t="n">
        <x:v>2</x:v>
      </x:c>
      <x:c r="F614" s="2" t="n">
        <x:v>2</x:v>
      </x:c>
      <x:c r="G614" s="14" t="n">
        <x:f>('레벨 계산식'!$E$4-E614)*'레벨 계산식'!$B$5</x:f>
        <x:v>0.41999999999999993</x:v>
      </x:c>
      <x:c r="H614" s="14" t="n">
        <x:f>('등급 계산식'!$E$4-F614)*'등급 계산식'!$B$5</x:f>
        <x:v>0.18000000000000005</x:v>
      </x:c>
      <x:c r="I614" s="14" t="n">
        <x:f>1-G614-H614</x:f>
        <x:v>0.4</x:v>
      </x:c>
      <x:c r="J614" s="2" t="n">
        <x:f>MAX(1,ROUND('기준스탯 72종'!D32-R614-Z614,0))</x:f>
        <x:v>3</x:v>
      </x:c>
      <x:c r="K614" s="2" t="n">
        <x:f>MAX(1,ROUND('기준스탯 72종'!E32-S614-AA614,0))</x:f>
        <x:v>3</x:v>
      </x:c>
      <x:c r="L614" s="2" t="n">
        <x:f>MAX(1,ROUND('기준스탯 72종'!F32-T614-AB614,0))</x:f>
        <x:v>3</x:v>
      </x:c>
      <x:c r="M614" s="2" t="n">
        <x:f>MAX(1,ROUND('기준스탯 72종'!G32-U614-AC614,0))</x:f>
        <x:v>2</x:v>
      </x:c>
      <x:c r="N614" s="2" t="n">
        <x:f>MAX(0,ROUND('기준스탯 72종'!H32-V614-AD614,0))</x:f>
        <x:v>2</x:v>
      </x:c>
      <x:c r="O614" s="2" t="n">
        <x:f>MAX(0,ROUND('기준스탯 72종'!I32-W614-AE614,0))</x:f>
        <x:v>2</x:v>
      </x:c>
      <x:c r="P614" s="2" t="n">
        <x:f>MAX(0,ROUND('기준스탯 72종'!J32-X614-AF614,0))</x:f>
        <x:v>1</x:v>
      </x:c>
      <x:c r="Q614" s="2" t="n">
        <x:f>MAX(0,ROUND('기준스탯 72종'!K32-Y614-AG614,0))</x:f>
        <x:v>2</x:v>
      </x:c>
      <x:c r="R614" s="15" t="n">
        <x:f>'기준스탯 72종'!D32*G614</x:f>
        <x:v>3.3599999999999994</x:v>
      </x:c>
      <x:c r="S614" s="15" t="n">
        <x:f>'기준스탯 72종'!E32*G614</x:f>
        <x:v>3.3599999999999994</x:v>
      </x:c>
      <x:c r="T614" s="15" t="n">
        <x:f>'기준스탯 72종'!F32*G614</x:f>
        <x:v>3.3599999999999994</x:v>
      </x:c>
      <x:c r="U614" s="15" t="n">
        <x:f>'기준스탯 72종'!G32*G614</x:f>
        <x:v>2.5199999999999996</x:v>
      </x:c>
      <x:c r="V614" s="15" t="n">
        <x:f>'기준스탯 72종'!H32*G614</x:f>
        <x:v>1.6799999999999997</x:v>
      </x:c>
      <x:c r="W614" s="15" t="n">
        <x:f>'기준스탯 72종'!I32*G614</x:f>
        <x:v>2.5199999999999996</x:v>
      </x:c>
      <x:c r="X614" s="15" t="n">
        <x:f>'기준스탯 72종'!J32*G614</x:f>
        <x:v>0.8399999999999999</x:v>
      </x:c>
      <x:c r="Y614" s="15" t="n">
        <x:f>'기준스탯 72종'!K32*G614</x:f>
        <x:v>1.6799999999999997</x:v>
      </x:c>
      <x:c r="Z614" s="15" t="n">
        <x:f>'기준스탯 72종'!D32*H614</x:f>
        <x:v>1.4400000000000004</x:v>
      </x:c>
      <x:c r="AA614" s="15" t="n">
        <x:f>'기준스탯 72종'!E32*H614</x:f>
        <x:v>1.4400000000000004</x:v>
      </x:c>
      <x:c r="AB614" s="15" t="n">
        <x:f>'기준스탯 72종'!F32*H614</x:f>
        <x:v>1.4400000000000004</x:v>
      </x:c>
      <x:c r="AC614" s="15" t="n">
        <x:f>'기준스탯 72종'!G32*H614</x:f>
        <x:v>1.0800000000000003</x:v>
      </x:c>
      <x:c r="AD614" s="15" t="n">
        <x:f>'기준스탯 72종'!H32*H614</x:f>
        <x:v>0.7200000000000002</x:v>
      </x:c>
      <x:c r="AE614" s="15" t="n">
        <x:f>'기준스탯 72종'!I32*H614</x:f>
        <x:v>1.0800000000000003</x:v>
      </x:c>
      <x:c r="AF614" s="15" t="n">
        <x:f>'기준스탯 72종'!J32*H614</x:f>
        <x:v>0.3600000000000001</x:v>
      </x:c>
      <x:c r="AG614" s="15" t="n">
        <x:f>'기준스탯 72종'!K32*H614</x:f>
        <x:v>0.7200000000000002</x:v>
      </x:c>
    </x:row>
    <x:row r="615" ht="28" customHeight="1">
      <x:c r="A615" s="2" t="n">
        <x:v>608</x:v>
      </x:c>
      <x:c r="B615" s="2" t="n">
        <x:v>25</x:v>
      </x:c>
      <x:c r="C615" s="2" t="str">
        <x:v>사자자리</x:v>
      </x:c>
      <x:c r="D615" s="2" t="str">
        <x:v>기사</x:v>
      </x:c>
      <x:c r="E615" s="2" t="n">
        <x:v>3</x:v>
      </x:c>
      <x:c r="F615" s="2" t="n">
        <x:v>2</x:v>
      </x:c>
      <x:c r="G615" s="14" t="n">
        <x:f>('레벨 계산식'!$E$4-E615)*'레벨 계산식'!$B$5</x:f>
        <x:v>0.27999999999999997</x:v>
      </x:c>
      <x:c r="H615" s="14" t="n">
        <x:f>('등급 계산식'!$E$4-F615)*'등급 계산식'!$B$5</x:f>
        <x:v>0.18000000000000005</x:v>
      </x:c>
      <x:c r="I615" s="14" t="n">
        <x:f>1-G615-H615</x:f>
        <x:v>0.5399999999999999</x:v>
      </x:c>
      <x:c r="J615" s="2" t="n">
        <x:f>MAX(1,ROUND('기준스탯 72종'!D32-R615-Z615,0))</x:f>
        <x:v>4</x:v>
      </x:c>
      <x:c r="K615" s="2" t="n">
        <x:f>MAX(1,ROUND('기준스탯 72종'!E32-S615-AA615,0))</x:f>
        <x:v>4</x:v>
      </x:c>
      <x:c r="L615" s="2" t="n">
        <x:f>MAX(1,ROUND('기준스탯 72종'!F32-T615-AB615,0))</x:f>
        <x:v>4</x:v>
      </x:c>
      <x:c r="M615" s="2" t="n">
        <x:f>MAX(1,ROUND('기준스탯 72종'!G32-U615-AC615,0))</x:f>
        <x:v>3</x:v>
      </x:c>
      <x:c r="N615" s="2" t="n">
        <x:f>MAX(0,ROUND('기준스탯 72종'!H32-V615-AD615,0))</x:f>
        <x:v>2</x:v>
      </x:c>
      <x:c r="O615" s="2" t="n">
        <x:f>MAX(0,ROUND('기준스탯 72종'!I32-W615-AE615,0))</x:f>
        <x:v>3</x:v>
      </x:c>
      <x:c r="P615" s="2" t="n">
        <x:f>MAX(0,ROUND('기준스탯 72종'!J32-X615-AF615,0))</x:f>
        <x:v>1</x:v>
      </x:c>
      <x:c r="Q615" s="2" t="n">
        <x:f>MAX(0,ROUND('기준스탯 72종'!K32-Y615-AG615,0))</x:f>
        <x:v>2</x:v>
      </x:c>
      <x:c r="R615" s="15" t="n">
        <x:f>'기준스탯 72종'!D32*G615</x:f>
        <x:v>2.2399999999999998</x:v>
      </x:c>
      <x:c r="S615" s="15" t="n">
        <x:f>'기준스탯 72종'!E32*G615</x:f>
        <x:v>2.2399999999999998</x:v>
      </x:c>
      <x:c r="T615" s="15" t="n">
        <x:f>'기준스탯 72종'!F32*G615</x:f>
        <x:v>2.2399999999999998</x:v>
      </x:c>
      <x:c r="U615" s="15" t="n">
        <x:f>'기준스탯 72종'!G32*G615</x:f>
        <x:v>1.6799999999999997</x:v>
      </x:c>
      <x:c r="V615" s="15" t="n">
        <x:f>'기준스탯 72종'!H32*G615</x:f>
        <x:v>1.1199999999999999</x:v>
      </x:c>
      <x:c r="W615" s="15" t="n">
        <x:f>'기준스탯 72종'!I32*G615</x:f>
        <x:v>1.6799999999999997</x:v>
      </x:c>
      <x:c r="X615" s="15" t="n">
        <x:f>'기준스탯 72종'!J32*G615</x:f>
        <x:v>0.5599999999999999</x:v>
      </x:c>
      <x:c r="Y615" s="15" t="n">
        <x:f>'기준스탯 72종'!K32*G615</x:f>
        <x:v>1.1199999999999999</x:v>
      </x:c>
      <x:c r="Z615" s="15" t="n">
        <x:f>'기준스탯 72종'!D32*H615</x:f>
        <x:v>1.4400000000000004</x:v>
      </x:c>
      <x:c r="AA615" s="15" t="n">
        <x:f>'기준스탯 72종'!E32*H615</x:f>
        <x:v>1.4400000000000004</x:v>
      </x:c>
      <x:c r="AB615" s="15" t="n">
        <x:f>'기준스탯 72종'!F32*H615</x:f>
        <x:v>1.4400000000000004</x:v>
      </x:c>
      <x:c r="AC615" s="15" t="n">
        <x:f>'기준스탯 72종'!G32*H615</x:f>
        <x:v>1.0800000000000003</x:v>
      </x:c>
      <x:c r="AD615" s="15" t="n">
        <x:f>'기준스탯 72종'!H32*H615</x:f>
        <x:v>0.7200000000000002</x:v>
      </x:c>
      <x:c r="AE615" s="15" t="n">
        <x:f>'기준스탯 72종'!I32*H615</x:f>
        <x:v>1.0800000000000003</x:v>
      </x:c>
      <x:c r="AF615" s="15" t="n">
        <x:f>'기준스탯 72종'!J32*H615</x:f>
        <x:v>0.3600000000000001</x:v>
      </x:c>
      <x:c r="AG615" s="15" t="n">
        <x:f>'기준스탯 72종'!K32*H615</x:f>
        <x:v>0.7200000000000002</x:v>
      </x:c>
    </x:row>
    <x:row r="616" ht="28" customHeight="1">
      <x:c r="A616" s="2" t="n">
        <x:v>609</x:v>
      </x:c>
      <x:c r="B616" s="2" t="n">
        <x:v>25</x:v>
      </x:c>
      <x:c r="C616" s="2" t="str">
        <x:v>사자자리</x:v>
      </x:c>
      <x:c r="D616" s="2" t="str">
        <x:v>기사</x:v>
      </x:c>
      <x:c r="E616" s="2" t="n">
        <x:v>4</x:v>
      </x:c>
      <x:c r="F616" s="2" t="n">
        <x:v>2</x:v>
      </x:c>
      <x:c r="G616" s="14" t="n">
        <x:f>('레벨 계산식'!$E$4-E616)*'레벨 계산식'!$B$5</x:f>
        <x:v>0.13999999999999999</x:v>
      </x:c>
      <x:c r="H616" s="14" t="n">
        <x:f>('등급 계산식'!$E$4-F616)*'등급 계산식'!$B$5</x:f>
        <x:v>0.18000000000000005</x:v>
      </x:c>
      <x:c r="I616" s="14" t="n">
        <x:f>1-G616-H616</x:f>
        <x:v>0.6799999999999999</x:v>
      </x:c>
      <x:c r="J616" s="2" t="n">
        <x:f>MAX(1,ROUND('기준스탯 72종'!D32-R616-Z616,0))</x:f>
        <x:v>5</x:v>
      </x:c>
      <x:c r="K616" s="2" t="n">
        <x:f>MAX(1,ROUND('기준스탯 72종'!E32-S616-AA616,0))</x:f>
        <x:v>5</x:v>
      </x:c>
      <x:c r="L616" s="2" t="n">
        <x:f>MAX(1,ROUND('기준스탯 72종'!F32-T616-AB616,0))</x:f>
        <x:v>5</x:v>
      </x:c>
      <x:c r="M616" s="2" t="n">
        <x:f>MAX(1,ROUND('기준스탯 72종'!G32-U616-AC616,0))</x:f>
        <x:v>4</x:v>
      </x:c>
      <x:c r="N616" s="2" t="n">
        <x:f>MAX(0,ROUND('기준스탯 72종'!H32-V616-AD616,0))</x:f>
        <x:v>3</x:v>
      </x:c>
      <x:c r="O616" s="2" t="n">
        <x:f>MAX(0,ROUND('기준스탯 72종'!I32-W616-AE616,0))</x:f>
        <x:v>4</x:v>
      </x:c>
      <x:c r="P616" s="2" t="n">
        <x:f>MAX(0,ROUND('기준스탯 72종'!J32-X616-AF616,0))</x:f>
        <x:v>1</x:v>
      </x:c>
      <x:c r="Q616" s="2" t="n">
        <x:f>MAX(0,ROUND('기준스탯 72종'!K32-Y616-AG616,0))</x:f>
        <x:v>3</x:v>
      </x:c>
      <x:c r="R616" s="15" t="n">
        <x:f>'기준스탯 72종'!D32*G616</x:f>
        <x:v>1.1199999999999999</x:v>
      </x:c>
      <x:c r="S616" s="15" t="n">
        <x:f>'기준스탯 72종'!E32*G616</x:f>
        <x:v>1.1199999999999999</x:v>
      </x:c>
      <x:c r="T616" s="15" t="n">
        <x:f>'기준스탯 72종'!F32*G616</x:f>
        <x:v>1.1199999999999999</x:v>
      </x:c>
      <x:c r="U616" s="15" t="n">
        <x:f>'기준스탯 72종'!G32*G616</x:f>
        <x:v>0.8399999999999999</x:v>
      </x:c>
      <x:c r="V616" s="15" t="n">
        <x:f>'기준스탯 72종'!H32*G616</x:f>
        <x:v>0.5599999999999999</x:v>
      </x:c>
      <x:c r="W616" s="15" t="n">
        <x:f>'기준스탯 72종'!I32*G616</x:f>
        <x:v>0.8399999999999999</x:v>
      </x:c>
      <x:c r="X616" s="15" t="n">
        <x:f>'기준스탯 72종'!J32*G616</x:f>
        <x:v>0.27999999999999997</x:v>
      </x:c>
      <x:c r="Y616" s="15" t="n">
        <x:f>'기준스탯 72종'!K32*G616</x:f>
        <x:v>0.5599999999999999</x:v>
      </x:c>
      <x:c r="Z616" s="15" t="n">
        <x:f>'기준스탯 72종'!D32*H616</x:f>
        <x:v>1.4400000000000004</x:v>
      </x:c>
      <x:c r="AA616" s="15" t="n">
        <x:f>'기준스탯 72종'!E32*H616</x:f>
        <x:v>1.4400000000000004</x:v>
      </x:c>
      <x:c r="AB616" s="15" t="n">
        <x:f>'기준스탯 72종'!F32*H616</x:f>
        <x:v>1.4400000000000004</x:v>
      </x:c>
      <x:c r="AC616" s="15" t="n">
        <x:f>'기준스탯 72종'!G32*H616</x:f>
        <x:v>1.0800000000000003</x:v>
      </x:c>
      <x:c r="AD616" s="15" t="n">
        <x:f>'기준스탯 72종'!H32*H616</x:f>
        <x:v>0.7200000000000002</x:v>
      </x:c>
      <x:c r="AE616" s="15" t="n">
        <x:f>'기준스탯 72종'!I32*H616</x:f>
        <x:v>1.0800000000000003</x:v>
      </x:c>
      <x:c r="AF616" s="15" t="n">
        <x:f>'기준스탯 72종'!J32*H616</x:f>
        <x:v>0.3600000000000001</x:v>
      </x:c>
      <x:c r="AG616" s="15" t="n">
        <x:f>'기준스탯 72종'!K32*H616</x:f>
        <x:v>0.7200000000000002</x:v>
      </x:c>
    </x:row>
    <x:row r="617" ht="28" customHeight="1">
      <x:c r="A617" s="2" t="n">
        <x:v>610</x:v>
      </x:c>
      <x:c r="B617" s="2" t="n">
        <x:v>25</x:v>
      </x:c>
      <x:c r="C617" s="2" t="str">
        <x:v>사자자리</x:v>
      </x:c>
      <x:c r="D617" s="2" t="str">
        <x:v>기사</x:v>
      </x:c>
      <x:c r="E617" s="2" t="n">
        <x:v>5</x:v>
      </x:c>
      <x:c r="F617" s="2" t="n">
        <x:v>2</x:v>
      </x:c>
      <x:c r="G617" s="14" t="n">
        <x:f>('레벨 계산식'!$E$4-E617)*'레벨 계산식'!$B$5</x:f>
        <x:v>0</x:v>
      </x:c>
      <x:c r="H617" s="14" t="n">
        <x:f>('등급 계산식'!$E$4-F617)*'등급 계산식'!$B$5</x:f>
        <x:v>0.18000000000000005</x:v>
      </x:c>
      <x:c r="I617" s="14" t="n">
        <x:f>1-G617-H617</x:f>
        <x:v>0.82</x:v>
      </x:c>
      <x:c r="J617" s="2" t="n">
        <x:f>MAX(1,ROUND('기준스탯 72종'!D32-R617-Z617,0))</x:f>
        <x:v>7</x:v>
      </x:c>
      <x:c r="K617" s="2" t="n">
        <x:f>MAX(1,ROUND('기준스탯 72종'!E32-S617-AA617,0))</x:f>
        <x:v>7</x:v>
      </x:c>
      <x:c r="L617" s="2" t="n">
        <x:f>MAX(1,ROUND('기준스탯 72종'!F32-T617-AB617,0))</x:f>
        <x:v>7</x:v>
      </x:c>
      <x:c r="M617" s="2" t="n">
        <x:f>MAX(1,ROUND('기준스탯 72종'!G32-U617-AC617,0))</x:f>
        <x:v>5</x:v>
      </x:c>
      <x:c r="N617" s="2" t="n">
        <x:f>MAX(0,ROUND('기준스탯 72종'!H32-V617-AD617,0))</x:f>
        <x:v>3</x:v>
      </x:c>
      <x:c r="O617" s="2" t="n">
        <x:f>MAX(0,ROUND('기준스탯 72종'!I32-W617-AE617,0))</x:f>
        <x:v>5</x:v>
      </x:c>
      <x:c r="P617" s="2" t="n">
        <x:f>MAX(0,ROUND('기준스탯 72종'!J32-X617-AF617,0))</x:f>
        <x:v>2</x:v>
      </x:c>
      <x:c r="Q617" s="2" t="n">
        <x:f>MAX(0,ROUND('기준스탯 72종'!K32-Y617-AG617,0))</x:f>
        <x:v>3</x:v>
      </x:c>
      <x:c r="R617" s="15" t="n">
        <x:f>'기준스탯 72종'!D32*G617</x:f>
        <x:v>0</x:v>
      </x:c>
      <x:c r="S617" s="15" t="n">
        <x:f>'기준스탯 72종'!E32*G617</x:f>
        <x:v>0</x:v>
      </x:c>
      <x:c r="T617" s="15" t="n">
        <x:f>'기준스탯 72종'!F32*G617</x:f>
        <x:v>0</x:v>
      </x:c>
      <x:c r="U617" s="15" t="n">
        <x:f>'기준스탯 72종'!G32*G617</x:f>
        <x:v>0</x:v>
      </x:c>
      <x:c r="V617" s="15" t="n">
        <x:f>'기준스탯 72종'!H32*G617</x:f>
        <x:v>0</x:v>
      </x:c>
      <x:c r="W617" s="15" t="n">
        <x:f>'기준스탯 72종'!I32*G617</x:f>
        <x:v>0</x:v>
      </x:c>
      <x:c r="X617" s="15" t="n">
        <x:f>'기준스탯 72종'!J32*G617</x:f>
        <x:v>0</x:v>
      </x:c>
      <x:c r="Y617" s="15" t="n">
        <x:f>'기준스탯 72종'!K32*G617</x:f>
        <x:v>0</x:v>
      </x:c>
      <x:c r="Z617" s="15" t="n">
        <x:f>'기준스탯 72종'!D32*H617</x:f>
        <x:v>1.4400000000000004</x:v>
      </x:c>
      <x:c r="AA617" s="15" t="n">
        <x:f>'기준스탯 72종'!E32*H617</x:f>
        <x:v>1.4400000000000004</x:v>
      </x:c>
      <x:c r="AB617" s="15" t="n">
        <x:f>'기준스탯 72종'!F32*H617</x:f>
        <x:v>1.4400000000000004</x:v>
      </x:c>
      <x:c r="AC617" s="15" t="n">
        <x:f>'기준스탯 72종'!G32*H617</x:f>
        <x:v>1.0800000000000003</x:v>
      </x:c>
      <x:c r="AD617" s="15" t="n">
        <x:f>'기준스탯 72종'!H32*H617</x:f>
        <x:v>0.7200000000000002</x:v>
      </x:c>
      <x:c r="AE617" s="15" t="n">
        <x:f>'기준스탯 72종'!I32*H617</x:f>
        <x:v>1.0800000000000003</x:v>
      </x:c>
      <x:c r="AF617" s="15" t="n">
        <x:f>'기준스탯 72종'!J32*H617</x:f>
        <x:v>0.3600000000000001</x:v>
      </x:c>
      <x:c r="AG617" s="15" t="n">
        <x:f>'기준스탯 72종'!K32*H617</x:f>
        <x:v>0.7200000000000002</x:v>
      </x:c>
    </x:row>
    <x:row r="618" ht="28" customHeight="1">
      <x:c r="A618" s="2" t="n">
        <x:v>611</x:v>
      </x:c>
      <x:c r="B618" s="2" t="n">
        <x:v>25</x:v>
      </x:c>
      <x:c r="C618" s="2" t="str">
        <x:v>사자자리</x:v>
      </x:c>
      <x:c r="D618" s="2" t="str">
        <x:v>기사</x:v>
      </x:c>
      <x:c r="E618" s="2" t="n">
        <x:v>1</x:v>
      </x:c>
      <x:c r="F618" s="2" t="n">
        <x:v>3</x:v>
      </x:c>
      <x:c r="G618" s="14" t="n">
        <x:f>('레벨 계산식'!$E$4-E618)*'레벨 계산식'!$B$5</x:f>
        <x:v>0.5599999999999999</x:v>
      </x:c>
      <x:c r="H618" s="14" t="n">
        <x:f>('등급 계산식'!$E$4-F618)*'등급 계산식'!$B$5</x:f>
        <x:v>0.12000000000000002</x:v>
      </x:c>
      <x:c r="I618" s="14" t="n">
        <x:f>1-G618-H618</x:f>
        <x:v>0.32000000000000006</x:v>
      </x:c>
      <x:c r="J618" s="2" t="n">
        <x:f>MAX(1,ROUND('기준스탯 72종'!D32-R618-Z618,0))</x:f>
        <x:v>3</x:v>
      </x:c>
      <x:c r="K618" s="2" t="n">
        <x:f>MAX(1,ROUND('기준스탯 72종'!E32-S618-AA618,0))</x:f>
        <x:v>3</x:v>
      </x:c>
      <x:c r="L618" s="2" t="n">
        <x:f>MAX(1,ROUND('기준스탯 72종'!F32-T618-AB618,0))</x:f>
        <x:v>3</x:v>
      </x:c>
      <x:c r="M618" s="2" t="n">
        <x:f>MAX(1,ROUND('기준스탯 72종'!G32-U618-AC618,0))</x:f>
        <x:v>2</x:v>
      </x:c>
      <x:c r="N618" s="2" t="n">
        <x:f>MAX(0,ROUND('기준스탯 72종'!H32-V618-AD618,0))</x:f>
        <x:v>1</x:v>
      </x:c>
      <x:c r="O618" s="2" t="n">
        <x:f>MAX(0,ROUND('기준스탯 72종'!I32-W618-AE618,0))</x:f>
        <x:v>2</x:v>
      </x:c>
      <x:c r="P618" s="2" t="n">
        <x:f>MAX(0,ROUND('기준스탯 72종'!J32-X618-AF618,0))</x:f>
        <x:v>1</x:v>
      </x:c>
      <x:c r="Q618" s="2" t="n">
        <x:f>MAX(0,ROUND('기준스탯 72종'!K32-Y618-AG618,0))</x:f>
        <x:v>1</x:v>
      </x:c>
      <x:c r="R618" s="15" t="n">
        <x:f>'기준스탯 72종'!D32*G618</x:f>
        <x:v>4.4799999999999995</x:v>
      </x:c>
      <x:c r="S618" s="15" t="n">
        <x:f>'기준스탯 72종'!E32*G618</x:f>
        <x:v>4.4799999999999995</x:v>
      </x:c>
      <x:c r="T618" s="15" t="n">
        <x:f>'기준스탯 72종'!F32*G618</x:f>
        <x:v>4.4799999999999995</x:v>
      </x:c>
      <x:c r="U618" s="15" t="n">
        <x:f>'기준스탯 72종'!G32*G618</x:f>
        <x:v>3.3599999999999994</x:v>
      </x:c>
      <x:c r="V618" s="15" t="n">
        <x:f>'기준스탯 72종'!H32*G618</x:f>
        <x:v>2.2399999999999998</x:v>
      </x:c>
      <x:c r="W618" s="15" t="n">
        <x:f>'기준스탯 72종'!I32*G618</x:f>
        <x:v>3.3599999999999994</x:v>
      </x:c>
      <x:c r="X618" s="15" t="n">
        <x:f>'기준스탯 72종'!J32*G618</x:f>
        <x:v>1.1199999999999999</x:v>
      </x:c>
      <x:c r="Y618" s="15" t="n">
        <x:f>'기준스탯 72종'!K32*G618</x:f>
        <x:v>2.2399999999999998</x:v>
      </x:c>
      <x:c r="Z618" s="15" t="n">
        <x:f>'기준스탯 72종'!D32*H618</x:f>
        <x:v>0.9600000000000002</x:v>
      </x:c>
      <x:c r="AA618" s="15" t="n">
        <x:f>'기준스탯 72종'!E32*H618</x:f>
        <x:v>0.9600000000000002</x:v>
      </x:c>
      <x:c r="AB618" s="15" t="n">
        <x:f>'기준스탯 72종'!F32*H618</x:f>
        <x:v>0.9600000000000002</x:v>
      </x:c>
      <x:c r="AC618" s="15" t="n">
        <x:f>'기준스탯 72종'!G32*H618</x:f>
        <x:v>0.7200000000000002</x:v>
      </x:c>
      <x:c r="AD618" s="15" t="n">
        <x:f>'기준스탯 72종'!H32*H618</x:f>
        <x:v>0.4800000000000001</x:v>
      </x:c>
      <x:c r="AE618" s="15" t="n">
        <x:f>'기준스탯 72종'!I32*H618</x:f>
        <x:v>0.7200000000000002</x:v>
      </x:c>
      <x:c r="AF618" s="15" t="n">
        <x:f>'기준스탯 72종'!J32*H618</x:f>
        <x:v>0.24000000000000005</x:v>
      </x:c>
      <x:c r="AG618" s="15" t="n">
        <x:f>'기준스탯 72종'!K32*H618</x:f>
        <x:v>0.4800000000000001</x:v>
      </x:c>
    </x:row>
    <x:row r="619" ht="28" customHeight="1">
      <x:c r="A619" s="2" t="n">
        <x:v>612</x:v>
      </x:c>
      <x:c r="B619" s="2" t="n">
        <x:v>25</x:v>
      </x:c>
      <x:c r="C619" s="2" t="str">
        <x:v>사자자리</x:v>
      </x:c>
      <x:c r="D619" s="2" t="str">
        <x:v>기사</x:v>
      </x:c>
      <x:c r="E619" s="2" t="n">
        <x:v>2</x:v>
      </x:c>
      <x:c r="F619" s="2" t="n">
        <x:v>3</x:v>
      </x:c>
      <x:c r="G619" s="14" t="n">
        <x:f>('레벨 계산식'!$E$4-E619)*'레벨 계산식'!$B$5</x:f>
        <x:v>0.41999999999999993</x:v>
      </x:c>
      <x:c r="H619" s="14" t="n">
        <x:f>('등급 계산식'!$E$4-F619)*'등급 계산식'!$B$5</x:f>
        <x:v>0.12000000000000002</x:v>
      </x:c>
      <x:c r="I619" s="14" t="n">
        <x:f>1-G619-H619</x:f>
        <x:v>0.4600000000000001</x:v>
      </x:c>
      <x:c r="J619" s="2" t="n">
        <x:f>MAX(1,ROUND('기준스탯 72종'!D32-R619-Z619,0))</x:f>
        <x:v>4</x:v>
      </x:c>
      <x:c r="K619" s="2" t="n">
        <x:f>MAX(1,ROUND('기준스탯 72종'!E32-S619-AA619,0))</x:f>
        <x:v>4</x:v>
      </x:c>
      <x:c r="L619" s="2" t="n">
        <x:f>MAX(1,ROUND('기준스탯 72종'!F32-T619-AB619,0))</x:f>
        <x:v>4</x:v>
      </x:c>
      <x:c r="M619" s="2" t="n">
        <x:f>MAX(1,ROUND('기준스탯 72종'!G32-U619-AC619,0))</x:f>
        <x:v>3</x:v>
      </x:c>
      <x:c r="N619" s="2" t="n">
        <x:f>MAX(0,ROUND('기준스탯 72종'!H32-V619-AD619,0))</x:f>
        <x:v>2</x:v>
      </x:c>
      <x:c r="O619" s="2" t="n">
        <x:f>MAX(0,ROUND('기준스탯 72종'!I32-W619-AE619,0))</x:f>
        <x:v>3</x:v>
      </x:c>
      <x:c r="P619" s="2" t="n">
        <x:f>MAX(0,ROUND('기준스탯 72종'!J32-X619-AF619,0))</x:f>
        <x:v>1</x:v>
      </x:c>
      <x:c r="Q619" s="2" t="n">
        <x:f>MAX(0,ROUND('기준스탯 72종'!K32-Y619-AG619,0))</x:f>
        <x:v>2</x:v>
      </x:c>
      <x:c r="R619" s="15" t="n">
        <x:f>'기준스탯 72종'!D32*G619</x:f>
        <x:v>3.3599999999999994</x:v>
      </x:c>
      <x:c r="S619" s="15" t="n">
        <x:f>'기준스탯 72종'!E32*G619</x:f>
        <x:v>3.3599999999999994</x:v>
      </x:c>
      <x:c r="T619" s="15" t="n">
        <x:f>'기준스탯 72종'!F32*G619</x:f>
        <x:v>3.3599999999999994</x:v>
      </x:c>
      <x:c r="U619" s="15" t="n">
        <x:f>'기준스탯 72종'!G32*G619</x:f>
        <x:v>2.5199999999999996</x:v>
      </x:c>
      <x:c r="V619" s="15" t="n">
        <x:f>'기준스탯 72종'!H32*G619</x:f>
        <x:v>1.6799999999999997</x:v>
      </x:c>
      <x:c r="W619" s="15" t="n">
        <x:f>'기준스탯 72종'!I32*G619</x:f>
        <x:v>2.5199999999999996</x:v>
      </x:c>
      <x:c r="X619" s="15" t="n">
        <x:f>'기준스탯 72종'!J32*G619</x:f>
        <x:v>0.8399999999999999</x:v>
      </x:c>
      <x:c r="Y619" s="15" t="n">
        <x:f>'기준스탯 72종'!K32*G619</x:f>
        <x:v>1.6799999999999997</x:v>
      </x:c>
      <x:c r="Z619" s="15" t="n">
        <x:f>'기준스탯 72종'!D32*H619</x:f>
        <x:v>0.9600000000000002</x:v>
      </x:c>
      <x:c r="AA619" s="15" t="n">
        <x:f>'기준스탯 72종'!E32*H619</x:f>
        <x:v>0.9600000000000002</x:v>
      </x:c>
      <x:c r="AB619" s="15" t="n">
        <x:f>'기준스탯 72종'!F32*H619</x:f>
        <x:v>0.9600000000000002</x:v>
      </x:c>
      <x:c r="AC619" s="15" t="n">
        <x:f>'기준스탯 72종'!G32*H619</x:f>
        <x:v>0.7200000000000002</x:v>
      </x:c>
      <x:c r="AD619" s="15" t="n">
        <x:f>'기준스탯 72종'!H32*H619</x:f>
        <x:v>0.4800000000000001</x:v>
      </x:c>
      <x:c r="AE619" s="15" t="n">
        <x:f>'기준스탯 72종'!I32*H619</x:f>
        <x:v>0.7200000000000002</x:v>
      </x:c>
      <x:c r="AF619" s="15" t="n">
        <x:f>'기준스탯 72종'!J32*H619</x:f>
        <x:v>0.24000000000000005</x:v>
      </x:c>
      <x:c r="AG619" s="15" t="n">
        <x:f>'기준스탯 72종'!K32*H619</x:f>
        <x:v>0.4800000000000001</x:v>
      </x:c>
    </x:row>
    <x:row r="620" ht="28" customHeight="1">
      <x:c r="A620" s="2" t="n">
        <x:v>613</x:v>
      </x:c>
      <x:c r="B620" s="2" t="n">
        <x:v>25</x:v>
      </x:c>
      <x:c r="C620" s="2" t="str">
        <x:v>사자자리</x:v>
      </x:c>
      <x:c r="D620" s="2" t="str">
        <x:v>기사</x:v>
      </x:c>
      <x:c r="E620" s="2" t="n">
        <x:v>3</x:v>
      </x:c>
      <x:c r="F620" s="2" t="n">
        <x:v>3</x:v>
      </x:c>
      <x:c r="G620" s="14" t="n">
        <x:f>('레벨 계산식'!$E$4-E620)*'레벨 계산식'!$B$5</x:f>
        <x:v>0.27999999999999997</x:v>
      </x:c>
      <x:c r="H620" s="14" t="n">
        <x:f>('등급 계산식'!$E$4-F620)*'등급 계산식'!$B$5</x:f>
        <x:v>0.12000000000000002</x:v>
      </x:c>
      <x:c r="I620" s="14" t="n">
        <x:f>1-G620-H620</x:f>
        <x:v>0.6</x:v>
      </x:c>
      <x:c r="J620" s="2" t="n">
        <x:f>MAX(1,ROUND('기준스탯 72종'!D32-R620-Z620,0))</x:f>
        <x:v>5</x:v>
      </x:c>
      <x:c r="K620" s="2" t="n">
        <x:f>MAX(1,ROUND('기준스탯 72종'!E32-S620-AA620,0))</x:f>
        <x:v>5</x:v>
      </x:c>
      <x:c r="L620" s="2" t="n">
        <x:f>MAX(1,ROUND('기준스탯 72종'!F32-T620-AB620,0))</x:f>
        <x:v>5</x:v>
      </x:c>
      <x:c r="M620" s="2" t="n">
        <x:f>MAX(1,ROUND('기준스탯 72종'!G32-U620-AC620,0))</x:f>
        <x:v>4</x:v>
      </x:c>
      <x:c r="N620" s="2" t="n">
        <x:f>MAX(0,ROUND('기준스탯 72종'!H32-V620-AD620,0))</x:f>
        <x:v>2</x:v>
      </x:c>
      <x:c r="O620" s="2" t="n">
        <x:f>MAX(0,ROUND('기준스탯 72종'!I32-W620-AE620,0))</x:f>
        <x:v>4</x:v>
      </x:c>
      <x:c r="P620" s="2" t="n">
        <x:f>MAX(0,ROUND('기준스탯 72종'!J32-X620-AF620,0))</x:f>
        <x:v>1</x:v>
      </x:c>
      <x:c r="Q620" s="2" t="n">
        <x:f>MAX(0,ROUND('기준스탯 72종'!K32-Y620-AG620,0))</x:f>
        <x:v>2</x:v>
      </x:c>
      <x:c r="R620" s="15" t="n">
        <x:f>'기준스탯 72종'!D32*G620</x:f>
        <x:v>2.2399999999999998</x:v>
      </x:c>
      <x:c r="S620" s="15" t="n">
        <x:f>'기준스탯 72종'!E32*G620</x:f>
        <x:v>2.2399999999999998</x:v>
      </x:c>
      <x:c r="T620" s="15" t="n">
        <x:f>'기준스탯 72종'!F32*G620</x:f>
        <x:v>2.2399999999999998</x:v>
      </x:c>
      <x:c r="U620" s="15" t="n">
        <x:f>'기준스탯 72종'!G32*G620</x:f>
        <x:v>1.6799999999999997</x:v>
      </x:c>
      <x:c r="V620" s="15" t="n">
        <x:f>'기준스탯 72종'!H32*G620</x:f>
        <x:v>1.1199999999999999</x:v>
      </x:c>
      <x:c r="W620" s="15" t="n">
        <x:f>'기준스탯 72종'!I32*G620</x:f>
        <x:v>1.6799999999999997</x:v>
      </x:c>
      <x:c r="X620" s="15" t="n">
        <x:f>'기준스탯 72종'!J32*G620</x:f>
        <x:v>0.5599999999999999</x:v>
      </x:c>
      <x:c r="Y620" s="15" t="n">
        <x:f>'기준스탯 72종'!K32*G620</x:f>
        <x:v>1.1199999999999999</x:v>
      </x:c>
      <x:c r="Z620" s="15" t="n">
        <x:f>'기준스탯 72종'!D32*H620</x:f>
        <x:v>0.9600000000000002</x:v>
      </x:c>
      <x:c r="AA620" s="15" t="n">
        <x:f>'기준스탯 72종'!E32*H620</x:f>
        <x:v>0.9600000000000002</x:v>
      </x:c>
      <x:c r="AB620" s="15" t="n">
        <x:f>'기준스탯 72종'!F32*H620</x:f>
        <x:v>0.9600000000000002</x:v>
      </x:c>
      <x:c r="AC620" s="15" t="n">
        <x:f>'기준스탯 72종'!G32*H620</x:f>
        <x:v>0.7200000000000002</x:v>
      </x:c>
      <x:c r="AD620" s="15" t="n">
        <x:f>'기준스탯 72종'!H32*H620</x:f>
        <x:v>0.4800000000000001</x:v>
      </x:c>
      <x:c r="AE620" s="15" t="n">
        <x:f>'기준스탯 72종'!I32*H620</x:f>
        <x:v>0.7200000000000002</x:v>
      </x:c>
      <x:c r="AF620" s="15" t="n">
        <x:f>'기준스탯 72종'!J32*H620</x:f>
        <x:v>0.24000000000000005</x:v>
      </x:c>
      <x:c r="AG620" s="15" t="n">
        <x:f>'기준스탯 72종'!K32*H620</x:f>
        <x:v>0.4800000000000001</x:v>
      </x:c>
    </x:row>
    <x:row r="621" ht="28" customHeight="1">
      <x:c r="A621" s="2" t="n">
        <x:v>614</x:v>
      </x:c>
      <x:c r="B621" s="2" t="n">
        <x:v>25</x:v>
      </x:c>
      <x:c r="C621" s="2" t="str">
        <x:v>사자자리</x:v>
      </x:c>
      <x:c r="D621" s="2" t="str">
        <x:v>기사</x:v>
      </x:c>
      <x:c r="E621" s="2" t="n">
        <x:v>4</x:v>
      </x:c>
      <x:c r="F621" s="2" t="n">
        <x:v>3</x:v>
      </x:c>
      <x:c r="G621" s="14" t="n">
        <x:f>('레벨 계산식'!$E$4-E621)*'레벨 계산식'!$B$5</x:f>
        <x:v>0.13999999999999999</x:v>
      </x:c>
      <x:c r="H621" s="14" t="n">
        <x:f>('등급 계산식'!$E$4-F621)*'등급 계산식'!$B$5</x:f>
        <x:v>0.12000000000000002</x:v>
      </x:c>
      <x:c r="I621" s="14" t="n">
        <x:f>1-G621-H621</x:f>
        <x:v>0.74</x:v>
      </x:c>
      <x:c r="J621" s="2" t="n">
        <x:f>MAX(1,ROUND('기준스탯 72종'!D32-R621-Z621,0))</x:f>
        <x:v>6</x:v>
      </x:c>
      <x:c r="K621" s="2" t="n">
        <x:f>MAX(1,ROUND('기준스탯 72종'!E32-S621-AA621,0))</x:f>
        <x:v>6</x:v>
      </x:c>
      <x:c r="L621" s="2" t="n">
        <x:f>MAX(1,ROUND('기준스탯 72종'!F32-T621-AB621,0))</x:f>
        <x:v>6</x:v>
      </x:c>
      <x:c r="M621" s="2" t="n">
        <x:f>MAX(1,ROUND('기준스탯 72종'!G32-U621-AC621,0))</x:f>
        <x:v>4</x:v>
      </x:c>
      <x:c r="N621" s="2" t="n">
        <x:f>MAX(0,ROUND('기준스탯 72종'!H32-V621-AD621,0))</x:f>
        <x:v>3</x:v>
      </x:c>
      <x:c r="O621" s="2" t="n">
        <x:f>MAX(0,ROUND('기준스탯 72종'!I32-W621-AE621,0))</x:f>
        <x:v>4</x:v>
      </x:c>
      <x:c r="P621" s="2" t="n">
        <x:f>MAX(0,ROUND('기준스탯 72종'!J32-X621-AF621,0))</x:f>
        <x:v>1</x:v>
      </x:c>
      <x:c r="Q621" s="2" t="n">
        <x:f>MAX(0,ROUND('기준스탯 72종'!K32-Y621-AG621,0))</x:f>
        <x:v>3</x:v>
      </x:c>
      <x:c r="R621" s="15" t="n">
        <x:f>'기준스탯 72종'!D32*G621</x:f>
        <x:v>1.1199999999999999</x:v>
      </x:c>
      <x:c r="S621" s="15" t="n">
        <x:f>'기준스탯 72종'!E32*G621</x:f>
        <x:v>1.1199999999999999</x:v>
      </x:c>
      <x:c r="T621" s="15" t="n">
        <x:f>'기준스탯 72종'!F32*G621</x:f>
        <x:v>1.1199999999999999</x:v>
      </x:c>
      <x:c r="U621" s="15" t="n">
        <x:f>'기준스탯 72종'!G32*G621</x:f>
        <x:v>0.8399999999999999</x:v>
      </x:c>
      <x:c r="V621" s="15" t="n">
        <x:f>'기준스탯 72종'!H32*G621</x:f>
        <x:v>0.5599999999999999</x:v>
      </x:c>
      <x:c r="W621" s="15" t="n">
        <x:f>'기준스탯 72종'!I32*G621</x:f>
        <x:v>0.8399999999999999</x:v>
      </x:c>
      <x:c r="X621" s="15" t="n">
        <x:f>'기준스탯 72종'!J32*G621</x:f>
        <x:v>0.27999999999999997</x:v>
      </x:c>
      <x:c r="Y621" s="15" t="n">
        <x:f>'기준스탯 72종'!K32*G621</x:f>
        <x:v>0.5599999999999999</x:v>
      </x:c>
      <x:c r="Z621" s="15" t="n">
        <x:f>'기준스탯 72종'!D32*H621</x:f>
        <x:v>0.9600000000000002</x:v>
      </x:c>
      <x:c r="AA621" s="15" t="n">
        <x:f>'기준스탯 72종'!E32*H621</x:f>
        <x:v>0.9600000000000002</x:v>
      </x:c>
      <x:c r="AB621" s="15" t="n">
        <x:f>'기준스탯 72종'!F32*H621</x:f>
        <x:v>0.9600000000000002</x:v>
      </x:c>
      <x:c r="AC621" s="15" t="n">
        <x:f>'기준스탯 72종'!G32*H621</x:f>
        <x:v>0.7200000000000002</x:v>
      </x:c>
      <x:c r="AD621" s="15" t="n">
        <x:f>'기준스탯 72종'!H32*H621</x:f>
        <x:v>0.4800000000000001</x:v>
      </x:c>
      <x:c r="AE621" s="15" t="n">
        <x:f>'기준스탯 72종'!I32*H621</x:f>
        <x:v>0.7200000000000002</x:v>
      </x:c>
      <x:c r="AF621" s="15" t="n">
        <x:f>'기준스탯 72종'!J32*H621</x:f>
        <x:v>0.24000000000000005</x:v>
      </x:c>
      <x:c r="AG621" s="15" t="n">
        <x:f>'기준스탯 72종'!K32*H621</x:f>
        <x:v>0.4800000000000001</x:v>
      </x:c>
    </x:row>
    <x:row r="622" ht="28" customHeight="1">
      <x:c r="A622" s="2" t="n">
        <x:v>615</x:v>
      </x:c>
      <x:c r="B622" s="2" t="n">
        <x:v>25</x:v>
      </x:c>
      <x:c r="C622" s="2" t="str">
        <x:v>사자자리</x:v>
      </x:c>
      <x:c r="D622" s="2" t="str">
        <x:v>기사</x:v>
      </x:c>
      <x:c r="E622" s="2" t="n">
        <x:v>5</x:v>
      </x:c>
      <x:c r="F622" s="2" t="n">
        <x:v>3</x:v>
      </x:c>
      <x:c r="G622" s="14" t="n">
        <x:f>('레벨 계산식'!$E$4-E622)*'레벨 계산식'!$B$5</x:f>
        <x:v>0</x:v>
      </x:c>
      <x:c r="H622" s="14" t="n">
        <x:f>('등급 계산식'!$E$4-F622)*'등급 계산식'!$B$5</x:f>
        <x:v>0.12000000000000002</x:v>
      </x:c>
      <x:c r="I622" s="14" t="n">
        <x:f>1-G622-H622</x:f>
        <x:v>0.88</x:v>
      </x:c>
      <x:c r="J622" s="2" t="n">
        <x:f>MAX(1,ROUND('기준스탯 72종'!D32-R622-Z622,0))</x:f>
        <x:v>7</x:v>
      </x:c>
      <x:c r="K622" s="2" t="n">
        <x:f>MAX(1,ROUND('기준스탯 72종'!E32-S622-AA622,0))</x:f>
        <x:v>7</x:v>
      </x:c>
      <x:c r="L622" s="2" t="n">
        <x:f>MAX(1,ROUND('기준스탯 72종'!F32-T622-AB622,0))</x:f>
        <x:v>7</x:v>
      </x:c>
      <x:c r="M622" s="2" t="n">
        <x:f>MAX(1,ROUND('기준스탯 72종'!G32-U622-AC622,0))</x:f>
        <x:v>5</x:v>
      </x:c>
      <x:c r="N622" s="2" t="n">
        <x:f>MAX(0,ROUND('기준스탯 72종'!H32-V622-AD622,0))</x:f>
        <x:v>4</x:v>
      </x:c>
      <x:c r="O622" s="2" t="n">
        <x:f>MAX(0,ROUND('기준스탯 72종'!I32-W622-AE622,0))</x:f>
        <x:v>5</x:v>
      </x:c>
      <x:c r="P622" s="2" t="n">
        <x:f>MAX(0,ROUND('기준스탯 72종'!J32-X622-AF622,0))</x:f>
        <x:v>2</x:v>
      </x:c>
      <x:c r="Q622" s="2" t="n">
        <x:f>MAX(0,ROUND('기준스탯 72종'!K32-Y622-AG622,0))</x:f>
        <x:v>4</x:v>
      </x:c>
      <x:c r="R622" s="15" t="n">
        <x:f>'기준스탯 72종'!D32*G622</x:f>
        <x:v>0</x:v>
      </x:c>
      <x:c r="S622" s="15" t="n">
        <x:f>'기준스탯 72종'!E32*G622</x:f>
        <x:v>0</x:v>
      </x:c>
      <x:c r="T622" s="15" t="n">
        <x:f>'기준스탯 72종'!F32*G622</x:f>
        <x:v>0</x:v>
      </x:c>
      <x:c r="U622" s="15" t="n">
        <x:f>'기준스탯 72종'!G32*G622</x:f>
        <x:v>0</x:v>
      </x:c>
      <x:c r="V622" s="15" t="n">
        <x:f>'기준스탯 72종'!H32*G622</x:f>
        <x:v>0</x:v>
      </x:c>
      <x:c r="W622" s="15" t="n">
        <x:f>'기준스탯 72종'!I32*G622</x:f>
        <x:v>0</x:v>
      </x:c>
      <x:c r="X622" s="15" t="n">
        <x:f>'기준스탯 72종'!J32*G622</x:f>
        <x:v>0</x:v>
      </x:c>
      <x:c r="Y622" s="15" t="n">
        <x:f>'기준스탯 72종'!K32*G622</x:f>
        <x:v>0</x:v>
      </x:c>
      <x:c r="Z622" s="15" t="n">
        <x:f>'기준스탯 72종'!D32*H622</x:f>
        <x:v>0.9600000000000002</x:v>
      </x:c>
      <x:c r="AA622" s="15" t="n">
        <x:f>'기준스탯 72종'!E32*H622</x:f>
        <x:v>0.9600000000000002</x:v>
      </x:c>
      <x:c r="AB622" s="15" t="n">
        <x:f>'기준스탯 72종'!F32*H622</x:f>
        <x:v>0.9600000000000002</x:v>
      </x:c>
      <x:c r="AC622" s="15" t="n">
        <x:f>'기준스탯 72종'!G32*H622</x:f>
        <x:v>0.7200000000000002</x:v>
      </x:c>
      <x:c r="AD622" s="15" t="n">
        <x:f>'기준스탯 72종'!H32*H622</x:f>
        <x:v>0.4800000000000001</x:v>
      </x:c>
      <x:c r="AE622" s="15" t="n">
        <x:f>'기준스탯 72종'!I32*H622</x:f>
        <x:v>0.7200000000000002</x:v>
      </x:c>
      <x:c r="AF622" s="15" t="n">
        <x:f>'기준스탯 72종'!J32*H622</x:f>
        <x:v>0.24000000000000005</x:v>
      </x:c>
      <x:c r="AG622" s="15" t="n">
        <x:f>'기준스탯 72종'!K32*H622</x:f>
        <x:v>0.4800000000000001</x:v>
      </x:c>
    </x:row>
    <x:row r="623" ht="28" customHeight="1">
      <x:c r="A623" s="2" t="n">
        <x:v>616</x:v>
      </x:c>
      <x:c r="B623" s="2" t="n">
        <x:v>25</x:v>
      </x:c>
      <x:c r="C623" s="2" t="str">
        <x:v>사자자리</x:v>
      </x:c>
      <x:c r="D623" s="2" t="str">
        <x:v>기사</x:v>
      </x:c>
      <x:c r="E623" s="2" t="n">
        <x:v>1</x:v>
      </x:c>
      <x:c r="F623" s="2" t="n">
        <x:v>4</x:v>
      </x:c>
      <x:c r="G623" s="14" t="n">
        <x:f>('레벨 계산식'!$E$4-E623)*'레벨 계산식'!$B$5</x:f>
        <x:v>0.5599999999999999</x:v>
      </x:c>
      <x:c r="H623" s="14" t="n">
        <x:f>('등급 계산식'!$E$4-F623)*'등급 계산식'!$B$5</x:f>
        <x:v>0.06000000000000001</x:v>
      </x:c>
      <x:c r="I623" s="14" t="n">
        <x:f>1-G623-H623</x:f>
        <x:v>0.38000000000000006</x:v>
      </x:c>
      <x:c r="J623" s="2" t="n">
        <x:f>MAX(1,ROUND('기준스탯 72종'!D32-R623-Z623,0))</x:f>
        <x:v>3</x:v>
      </x:c>
      <x:c r="K623" s="2" t="n">
        <x:f>MAX(1,ROUND('기준스탯 72종'!E32-S623-AA623,0))</x:f>
        <x:v>3</x:v>
      </x:c>
      <x:c r="L623" s="2" t="n">
        <x:f>MAX(1,ROUND('기준스탯 72종'!F32-T623-AB623,0))</x:f>
        <x:v>3</x:v>
      </x:c>
      <x:c r="M623" s="2" t="n">
        <x:f>MAX(1,ROUND('기준스탯 72종'!G32-U623-AC623,0))</x:f>
        <x:v>2</x:v>
      </x:c>
      <x:c r="N623" s="2" t="n">
        <x:f>MAX(0,ROUND('기준스탯 72종'!H32-V623-AD623,0))</x:f>
        <x:v>2</x:v>
      </x:c>
      <x:c r="O623" s="2" t="n">
        <x:f>MAX(0,ROUND('기준스탯 72종'!I32-W623-AE623,0))</x:f>
        <x:v>2</x:v>
      </x:c>
      <x:c r="P623" s="2" t="n">
        <x:f>MAX(0,ROUND('기준스탯 72종'!J32-X623-AF623,0))</x:f>
        <x:v>1</x:v>
      </x:c>
      <x:c r="Q623" s="2" t="n">
        <x:f>MAX(0,ROUND('기준스탯 72종'!K32-Y623-AG623,0))</x:f>
        <x:v>2</x:v>
      </x:c>
      <x:c r="R623" s="15" t="n">
        <x:f>'기준스탯 72종'!D32*G623</x:f>
        <x:v>4.4799999999999995</x:v>
      </x:c>
      <x:c r="S623" s="15" t="n">
        <x:f>'기준스탯 72종'!E32*G623</x:f>
        <x:v>4.4799999999999995</x:v>
      </x:c>
      <x:c r="T623" s="15" t="n">
        <x:f>'기준스탯 72종'!F32*G623</x:f>
        <x:v>4.4799999999999995</x:v>
      </x:c>
      <x:c r="U623" s="15" t="n">
        <x:f>'기준스탯 72종'!G32*G623</x:f>
        <x:v>3.3599999999999994</x:v>
      </x:c>
      <x:c r="V623" s="15" t="n">
        <x:f>'기준스탯 72종'!H32*G623</x:f>
        <x:v>2.2399999999999998</x:v>
      </x:c>
      <x:c r="W623" s="15" t="n">
        <x:f>'기준스탯 72종'!I32*G623</x:f>
        <x:v>3.3599999999999994</x:v>
      </x:c>
      <x:c r="X623" s="15" t="n">
        <x:f>'기준스탯 72종'!J32*G623</x:f>
        <x:v>1.1199999999999999</x:v>
      </x:c>
      <x:c r="Y623" s="15" t="n">
        <x:f>'기준스탯 72종'!K32*G623</x:f>
        <x:v>2.2399999999999998</x:v>
      </x:c>
      <x:c r="Z623" s="15" t="n">
        <x:f>'기준스탯 72종'!D32*H623</x:f>
        <x:v>0.4800000000000001</x:v>
      </x:c>
      <x:c r="AA623" s="15" t="n">
        <x:f>'기준스탯 72종'!E32*H623</x:f>
        <x:v>0.4800000000000001</x:v>
      </x:c>
      <x:c r="AB623" s="15" t="n">
        <x:f>'기준스탯 72종'!F32*H623</x:f>
        <x:v>0.4800000000000001</x:v>
      </x:c>
      <x:c r="AC623" s="15" t="n">
        <x:f>'기준스탯 72종'!G32*H623</x:f>
        <x:v>0.3600000000000001</x:v>
      </x:c>
      <x:c r="AD623" s="15" t="n">
        <x:f>'기준스탯 72종'!H32*H623</x:f>
        <x:v>0.24000000000000005</x:v>
      </x:c>
      <x:c r="AE623" s="15" t="n">
        <x:f>'기준스탯 72종'!I32*H623</x:f>
        <x:v>0.3600000000000001</x:v>
      </x:c>
      <x:c r="AF623" s="15" t="n">
        <x:f>'기준스탯 72종'!J32*H623</x:f>
        <x:v>0.12000000000000002</x:v>
      </x:c>
      <x:c r="AG623" s="15" t="n">
        <x:f>'기준스탯 72종'!K32*H623</x:f>
        <x:v>0.24000000000000005</x:v>
      </x:c>
    </x:row>
    <x:row r="624" ht="28" customHeight="1">
      <x:c r="A624" s="2" t="n">
        <x:v>617</x:v>
      </x:c>
      <x:c r="B624" s="2" t="n">
        <x:v>25</x:v>
      </x:c>
      <x:c r="C624" s="2" t="str">
        <x:v>사자자리</x:v>
      </x:c>
      <x:c r="D624" s="2" t="str">
        <x:v>기사</x:v>
      </x:c>
      <x:c r="E624" s="2" t="n">
        <x:v>2</x:v>
      </x:c>
      <x:c r="F624" s="2" t="n">
        <x:v>4</x:v>
      </x:c>
      <x:c r="G624" s="14" t="n">
        <x:f>('레벨 계산식'!$E$4-E624)*'레벨 계산식'!$B$5</x:f>
        <x:v>0.41999999999999993</x:v>
      </x:c>
      <x:c r="H624" s="14" t="n">
        <x:f>('등급 계산식'!$E$4-F624)*'등급 계산식'!$B$5</x:f>
        <x:v>0.06000000000000001</x:v>
      </x:c>
      <x:c r="I624" s="14" t="n">
        <x:f>1-G624-H624</x:f>
        <x:v>0.52</x:v>
      </x:c>
      <x:c r="J624" s="2" t="n">
        <x:f>MAX(1,ROUND('기준스탯 72종'!D32-R624-Z624,0))</x:f>
        <x:v>4</x:v>
      </x:c>
      <x:c r="K624" s="2" t="n">
        <x:f>MAX(1,ROUND('기준스탯 72종'!E32-S624-AA624,0))</x:f>
        <x:v>4</x:v>
      </x:c>
      <x:c r="L624" s="2" t="n">
        <x:f>MAX(1,ROUND('기준스탯 72종'!F32-T624-AB624,0))</x:f>
        <x:v>4</x:v>
      </x:c>
      <x:c r="M624" s="2" t="n">
        <x:f>MAX(1,ROUND('기준스탯 72종'!G32-U624-AC624,0))</x:f>
        <x:v>3</x:v>
      </x:c>
      <x:c r="N624" s="2" t="n">
        <x:f>MAX(0,ROUND('기준스탯 72종'!H32-V624-AD624,0))</x:f>
        <x:v>2</x:v>
      </x:c>
      <x:c r="O624" s="2" t="n">
        <x:f>MAX(0,ROUND('기준스탯 72종'!I32-W624-AE624,0))</x:f>
        <x:v>3</x:v>
      </x:c>
      <x:c r="P624" s="2" t="n">
        <x:f>MAX(0,ROUND('기준스탯 72종'!J32-X624-AF624,0))</x:f>
        <x:v>1</x:v>
      </x:c>
      <x:c r="Q624" s="2" t="n">
        <x:f>MAX(0,ROUND('기준스탯 72종'!K32-Y624-AG624,0))</x:f>
        <x:v>2</x:v>
      </x:c>
      <x:c r="R624" s="15" t="n">
        <x:f>'기준스탯 72종'!D32*G624</x:f>
        <x:v>3.3599999999999994</x:v>
      </x:c>
      <x:c r="S624" s="15" t="n">
        <x:f>'기준스탯 72종'!E32*G624</x:f>
        <x:v>3.3599999999999994</x:v>
      </x:c>
      <x:c r="T624" s="15" t="n">
        <x:f>'기준스탯 72종'!F32*G624</x:f>
        <x:v>3.3599999999999994</x:v>
      </x:c>
      <x:c r="U624" s="15" t="n">
        <x:f>'기준스탯 72종'!G32*G624</x:f>
        <x:v>2.5199999999999996</x:v>
      </x:c>
      <x:c r="V624" s="15" t="n">
        <x:f>'기준스탯 72종'!H32*G624</x:f>
        <x:v>1.6799999999999997</x:v>
      </x:c>
      <x:c r="W624" s="15" t="n">
        <x:f>'기준스탯 72종'!I32*G624</x:f>
        <x:v>2.5199999999999996</x:v>
      </x:c>
      <x:c r="X624" s="15" t="n">
        <x:f>'기준스탯 72종'!J32*G624</x:f>
        <x:v>0.8399999999999999</x:v>
      </x:c>
      <x:c r="Y624" s="15" t="n">
        <x:f>'기준스탯 72종'!K32*G624</x:f>
        <x:v>1.6799999999999997</x:v>
      </x:c>
      <x:c r="Z624" s="15" t="n">
        <x:f>'기준스탯 72종'!D32*H624</x:f>
        <x:v>0.4800000000000001</x:v>
      </x:c>
      <x:c r="AA624" s="15" t="n">
        <x:f>'기준스탯 72종'!E32*H624</x:f>
        <x:v>0.4800000000000001</x:v>
      </x:c>
      <x:c r="AB624" s="15" t="n">
        <x:f>'기준스탯 72종'!F32*H624</x:f>
        <x:v>0.4800000000000001</x:v>
      </x:c>
      <x:c r="AC624" s="15" t="n">
        <x:f>'기준스탯 72종'!G32*H624</x:f>
        <x:v>0.3600000000000001</x:v>
      </x:c>
      <x:c r="AD624" s="15" t="n">
        <x:f>'기준스탯 72종'!H32*H624</x:f>
        <x:v>0.24000000000000005</x:v>
      </x:c>
      <x:c r="AE624" s="15" t="n">
        <x:f>'기준스탯 72종'!I32*H624</x:f>
        <x:v>0.3600000000000001</x:v>
      </x:c>
      <x:c r="AF624" s="15" t="n">
        <x:f>'기준스탯 72종'!J32*H624</x:f>
        <x:v>0.12000000000000002</x:v>
      </x:c>
      <x:c r="AG624" s="15" t="n">
        <x:f>'기준스탯 72종'!K32*H624</x:f>
        <x:v>0.24000000000000005</x:v>
      </x:c>
    </x:row>
    <x:row r="625" ht="28" customHeight="1">
      <x:c r="A625" s="2" t="n">
        <x:v>618</x:v>
      </x:c>
      <x:c r="B625" s="2" t="n">
        <x:v>25</x:v>
      </x:c>
      <x:c r="C625" s="2" t="str">
        <x:v>사자자리</x:v>
      </x:c>
      <x:c r="D625" s="2" t="str">
        <x:v>기사</x:v>
      </x:c>
      <x:c r="E625" s="2" t="n">
        <x:v>3</x:v>
      </x:c>
      <x:c r="F625" s="2" t="n">
        <x:v>4</x:v>
      </x:c>
      <x:c r="G625" s="14" t="n">
        <x:f>('레벨 계산식'!$E$4-E625)*'레벨 계산식'!$B$5</x:f>
        <x:v>0.27999999999999997</x:v>
      </x:c>
      <x:c r="H625" s="14" t="n">
        <x:f>('등급 계산식'!$E$4-F625)*'등급 계산식'!$B$5</x:f>
        <x:v>0.06000000000000001</x:v>
      </x:c>
      <x:c r="I625" s="14" t="n">
        <x:f>1-G625-H625</x:f>
        <x:v>0.6599999999999999</x:v>
      </x:c>
      <x:c r="J625" s="2" t="n">
        <x:f>MAX(1,ROUND('기준스탯 72종'!D32-R625-Z625,0))</x:f>
        <x:v>5</x:v>
      </x:c>
      <x:c r="K625" s="2" t="n">
        <x:f>MAX(1,ROUND('기준스탯 72종'!E32-S625-AA625,0))</x:f>
        <x:v>5</x:v>
      </x:c>
      <x:c r="L625" s="2" t="n">
        <x:f>MAX(1,ROUND('기준스탯 72종'!F32-T625-AB625,0))</x:f>
        <x:v>5</x:v>
      </x:c>
      <x:c r="M625" s="2" t="n">
        <x:f>MAX(1,ROUND('기준스탯 72종'!G32-U625-AC625,0))</x:f>
        <x:v>4</x:v>
      </x:c>
      <x:c r="N625" s="2" t="n">
        <x:f>MAX(0,ROUND('기준스탯 72종'!H32-V625-AD625,0))</x:f>
        <x:v>3</x:v>
      </x:c>
      <x:c r="O625" s="2" t="n">
        <x:f>MAX(0,ROUND('기준스탯 72종'!I32-W625-AE625,0))</x:f>
        <x:v>4</x:v>
      </x:c>
      <x:c r="P625" s="2" t="n">
        <x:f>MAX(0,ROUND('기준스탯 72종'!J32-X625-AF625,0))</x:f>
        <x:v>1</x:v>
      </x:c>
      <x:c r="Q625" s="2" t="n">
        <x:f>MAX(0,ROUND('기준스탯 72종'!K32-Y625-AG625,0))</x:f>
        <x:v>3</x:v>
      </x:c>
      <x:c r="R625" s="15" t="n">
        <x:f>'기준스탯 72종'!D32*G625</x:f>
        <x:v>2.2399999999999998</x:v>
      </x:c>
      <x:c r="S625" s="15" t="n">
        <x:f>'기준스탯 72종'!E32*G625</x:f>
        <x:v>2.2399999999999998</x:v>
      </x:c>
      <x:c r="T625" s="15" t="n">
        <x:f>'기준스탯 72종'!F32*G625</x:f>
        <x:v>2.2399999999999998</x:v>
      </x:c>
      <x:c r="U625" s="15" t="n">
        <x:f>'기준스탯 72종'!G32*G625</x:f>
        <x:v>1.6799999999999997</x:v>
      </x:c>
      <x:c r="V625" s="15" t="n">
        <x:f>'기준스탯 72종'!H32*G625</x:f>
        <x:v>1.1199999999999999</x:v>
      </x:c>
      <x:c r="W625" s="15" t="n">
        <x:f>'기준스탯 72종'!I32*G625</x:f>
        <x:v>1.6799999999999997</x:v>
      </x:c>
      <x:c r="X625" s="15" t="n">
        <x:f>'기준스탯 72종'!J32*G625</x:f>
        <x:v>0.5599999999999999</x:v>
      </x:c>
      <x:c r="Y625" s="15" t="n">
        <x:f>'기준스탯 72종'!K32*G625</x:f>
        <x:v>1.1199999999999999</x:v>
      </x:c>
      <x:c r="Z625" s="15" t="n">
        <x:f>'기준스탯 72종'!D32*H625</x:f>
        <x:v>0.4800000000000001</x:v>
      </x:c>
      <x:c r="AA625" s="15" t="n">
        <x:f>'기준스탯 72종'!E32*H625</x:f>
        <x:v>0.4800000000000001</x:v>
      </x:c>
      <x:c r="AB625" s="15" t="n">
        <x:f>'기준스탯 72종'!F32*H625</x:f>
        <x:v>0.4800000000000001</x:v>
      </x:c>
      <x:c r="AC625" s="15" t="n">
        <x:f>'기준스탯 72종'!G32*H625</x:f>
        <x:v>0.3600000000000001</x:v>
      </x:c>
      <x:c r="AD625" s="15" t="n">
        <x:f>'기준스탯 72종'!H32*H625</x:f>
        <x:v>0.24000000000000005</x:v>
      </x:c>
      <x:c r="AE625" s="15" t="n">
        <x:f>'기준스탯 72종'!I32*H625</x:f>
        <x:v>0.3600000000000001</x:v>
      </x:c>
      <x:c r="AF625" s="15" t="n">
        <x:f>'기준스탯 72종'!J32*H625</x:f>
        <x:v>0.12000000000000002</x:v>
      </x:c>
      <x:c r="AG625" s="15" t="n">
        <x:f>'기준스탯 72종'!K32*H625</x:f>
        <x:v>0.24000000000000005</x:v>
      </x:c>
    </x:row>
    <x:row r="626" ht="28" customHeight="1">
      <x:c r="A626" s="2" t="n">
        <x:v>619</x:v>
      </x:c>
      <x:c r="B626" s="2" t="n">
        <x:v>25</x:v>
      </x:c>
      <x:c r="C626" s="2" t="str">
        <x:v>사자자리</x:v>
      </x:c>
      <x:c r="D626" s="2" t="str">
        <x:v>기사</x:v>
      </x:c>
      <x:c r="E626" s="2" t="n">
        <x:v>4</x:v>
      </x:c>
      <x:c r="F626" s="2" t="n">
        <x:v>4</x:v>
      </x:c>
      <x:c r="G626" s="14" t="n">
        <x:f>('레벨 계산식'!$E$4-E626)*'레벨 계산식'!$B$5</x:f>
        <x:v>0.13999999999999999</x:v>
      </x:c>
      <x:c r="H626" s="14" t="n">
        <x:f>('등급 계산식'!$E$4-F626)*'등급 계산식'!$B$5</x:f>
        <x:v>0.06000000000000001</x:v>
      </x:c>
      <x:c r="I626" s="14" t="n">
        <x:f>1-G626-H626</x:f>
        <x:v>0.7999999999999999</x:v>
      </x:c>
      <x:c r="J626" s="2" t="n">
        <x:f>MAX(1,ROUND('기준스탯 72종'!D32-R626-Z626,0))</x:f>
        <x:v>6</x:v>
      </x:c>
      <x:c r="K626" s="2" t="n">
        <x:f>MAX(1,ROUND('기준스탯 72종'!E32-S626-AA626,0))</x:f>
        <x:v>6</x:v>
      </x:c>
      <x:c r="L626" s="2" t="n">
        <x:f>MAX(1,ROUND('기준스탯 72종'!F32-T626-AB626,0))</x:f>
        <x:v>6</x:v>
      </x:c>
      <x:c r="M626" s="2" t="n">
        <x:f>MAX(1,ROUND('기준스탯 72종'!G32-U626-AC626,0))</x:f>
        <x:v>5</x:v>
      </x:c>
      <x:c r="N626" s="2" t="n">
        <x:f>MAX(0,ROUND('기준스탯 72종'!H32-V626-AD626,0))</x:f>
        <x:v>3</x:v>
      </x:c>
      <x:c r="O626" s="2" t="n">
        <x:f>MAX(0,ROUND('기준스탯 72종'!I32-W626-AE626,0))</x:f>
        <x:v>5</x:v>
      </x:c>
      <x:c r="P626" s="2" t="n">
        <x:f>MAX(0,ROUND('기준스탯 72종'!J32-X626-AF626,0))</x:f>
        <x:v>2</x:v>
      </x:c>
      <x:c r="Q626" s="2" t="n">
        <x:f>MAX(0,ROUND('기준스탯 72종'!K32-Y626-AG626,0))</x:f>
        <x:v>3</x:v>
      </x:c>
      <x:c r="R626" s="15" t="n">
        <x:f>'기준스탯 72종'!D32*G626</x:f>
        <x:v>1.1199999999999999</x:v>
      </x:c>
      <x:c r="S626" s="15" t="n">
        <x:f>'기준스탯 72종'!E32*G626</x:f>
        <x:v>1.1199999999999999</x:v>
      </x:c>
      <x:c r="T626" s="15" t="n">
        <x:f>'기준스탯 72종'!F32*G626</x:f>
        <x:v>1.1199999999999999</x:v>
      </x:c>
      <x:c r="U626" s="15" t="n">
        <x:f>'기준스탯 72종'!G32*G626</x:f>
        <x:v>0.8399999999999999</x:v>
      </x:c>
      <x:c r="V626" s="15" t="n">
        <x:f>'기준스탯 72종'!H32*G626</x:f>
        <x:v>0.5599999999999999</x:v>
      </x:c>
      <x:c r="W626" s="15" t="n">
        <x:f>'기준스탯 72종'!I32*G626</x:f>
        <x:v>0.8399999999999999</x:v>
      </x:c>
      <x:c r="X626" s="15" t="n">
        <x:f>'기준스탯 72종'!J32*G626</x:f>
        <x:v>0.27999999999999997</x:v>
      </x:c>
      <x:c r="Y626" s="15" t="n">
        <x:f>'기준스탯 72종'!K32*G626</x:f>
        <x:v>0.5599999999999999</x:v>
      </x:c>
      <x:c r="Z626" s="15" t="n">
        <x:f>'기준스탯 72종'!D32*H626</x:f>
        <x:v>0.4800000000000001</x:v>
      </x:c>
      <x:c r="AA626" s="15" t="n">
        <x:f>'기준스탯 72종'!E32*H626</x:f>
        <x:v>0.4800000000000001</x:v>
      </x:c>
      <x:c r="AB626" s="15" t="n">
        <x:f>'기준스탯 72종'!F32*H626</x:f>
        <x:v>0.4800000000000001</x:v>
      </x:c>
      <x:c r="AC626" s="15" t="n">
        <x:f>'기준스탯 72종'!G32*H626</x:f>
        <x:v>0.3600000000000001</x:v>
      </x:c>
      <x:c r="AD626" s="15" t="n">
        <x:f>'기준스탯 72종'!H32*H626</x:f>
        <x:v>0.24000000000000005</x:v>
      </x:c>
      <x:c r="AE626" s="15" t="n">
        <x:f>'기준스탯 72종'!I32*H626</x:f>
        <x:v>0.3600000000000001</x:v>
      </x:c>
      <x:c r="AF626" s="15" t="n">
        <x:f>'기준스탯 72종'!J32*H626</x:f>
        <x:v>0.12000000000000002</x:v>
      </x:c>
      <x:c r="AG626" s="15" t="n">
        <x:f>'기준스탯 72종'!K32*H626</x:f>
        <x:v>0.24000000000000005</x:v>
      </x:c>
    </x:row>
    <x:row r="627" ht="28" customHeight="1">
      <x:c r="A627" s="2" t="n">
        <x:v>620</x:v>
      </x:c>
      <x:c r="B627" s="2" t="n">
        <x:v>25</x:v>
      </x:c>
      <x:c r="C627" s="2" t="str">
        <x:v>사자자리</x:v>
      </x:c>
      <x:c r="D627" s="2" t="str">
        <x:v>기사</x:v>
      </x:c>
      <x:c r="E627" s="2" t="n">
        <x:v>5</x:v>
      </x:c>
      <x:c r="F627" s="2" t="n">
        <x:v>4</x:v>
      </x:c>
      <x:c r="G627" s="14" t="n">
        <x:f>('레벨 계산식'!$E$4-E627)*'레벨 계산식'!$B$5</x:f>
        <x:v>0</x:v>
      </x:c>
      <x:c r="H627" s="14" t="n">
        <x:f>('등급 계산식'!$E$4-F627)*'등급 계산식'!$B$5</x:f>
        <x:v>0.06000000000000001</x:v>
      </x:c>
      <x:c r="I627" s="14" t="n">
        <x:f>1-G627-H627</x:f>
        <x:v>0.94</x:v>
      </x:c>
      <x:c r="J627" s="2" t="n">
        <x:f>MAX(1,ROUND('기준스탯 72종'!D32-R627-Z627,0))</x:f>
        <x:v>8</x:v>
      </x:c>
      <x:c r="K627" s="2" t="n">
        <x:f>MAX(1,ROUND('기준스탯 72종'!E32-S627-AA627,0))</x:f>
        <x:v>8</x:v>
      </x:c>
      <x:c r="L627" s="2" t="n">
        <x:f>MAX(1,ROUND('기준스탯 72종'!F32-T627-AB627,0))</x:f>
        <x:v>8</x:v>
      </x:c>
      <x:c r="M627" s="2" t="n">
        <x:f>MAX(1,ROUND('기준스탯 72종'!G32-U627-AC627,0))</x:f>
        <x:v>6</x:v>
      </x:c>
      <x:c r="N627" s="2" t="n">
        <x:f>MAX(0,ROUND('기준스탯 72종'!H32-V627-AD627,0))</x:f>
        <x:v>4</x:v>
      </x:c>
      <x:c r="O627" s="2" t="n">
        <x:f>MAX(0,ROUND('기준스탯 72종'!I32-W627-AE627,0))</x:f>
        <x:v>6</x:v>
      </x:c>
      <x:c r="P627" s="2" t="n">
        <x:f>MAX(0,ROUND('기준스탯 72종'!J32-X627-AF627,0))</x:f>
        <x:v>2</x:v>
      </x:c>
      <x:c r="Q627" s="2" t="n">
        <x:f>MAX(0,ROUND('기준스탯 72종'!K32-Y627-AG627,0))</x:f>
        <x:v>4</x:v>
      </x:c>
      <x:c r="R627" s="15" t="n">
        <x:f>'기준스탯 72종'!D32*G627</x:f>
        <x:v>0</x:v>
      </x:c>
      <x:c r="S627" s="15" t="n">
        <x:f>'기준스탯 72종'!E32*G627</x:f>
        <x:v>0</x:v>
      </x:c>
      <x:c r="T627" s="15" t="n">
        <x:f>'기준스탯 72종'!F32*G627</x:f>
        <x:v>0</x:v>
      </x:c>
      <x:c r="U627" s="15" t="n">
        <x:f>'기준스탯 72종'!G32*G627</x:f>
        <x:v>0</x:v>
      </x:c>
      <x:c r="V627" s="15" t="n">
        <x:f>'기준스탯 72종'!H32*G627</x:f>
        <x:v>0</x:v>
      </x:c>
      <x:c r="W627" s="15" t="n">
        <x:f>'기준스탯 72종'!I32*G627</x:f>
        <x:v>0</x:v>
      </x:c>
      <x:c r="X627" s="15" t="n">
        <x:f>'기준스탯 72종'!J32*G627</x:f>
        <x:v>0</x:v>
      </x:c>
      <x:c r="Y627" s="15" t="n">
        <x:f>'기준스탯 72종'!K32*G627</x:f>
        <x:v>0</x:v>
      </x:c>
      <x:c r="Z627" s="15" t="n">
        <x:f>'기준스탯 72종'!D32*H627</x:f>
        <x:v>0.4800000000000001</x:v>
      </x:c>
      <x:c r="AA627" s="15" t="n">
        <x:f>'기준스탯 72종'!E32*H627</x:f>
        <x:v>0.4800000000000001</x:v>
      </x:c>
      <x:c r="AB627" s="15" t="n">
        <x:f>'기준스탯 72종'!F32*H627</x:f>
        <x:v>0.4800000000000001</x:v>
      </x:c>
      <x:c r="AC627" s="15" t="n">
        <x:f>'기준스탯 72종'!G32*H627</x:f>
        <x:v>0.3600000000000001</x:v>
      </x:c>
      <x:c r="AD627" s="15" t="n">
        <x:f>'기준스탯 72종'!H32*H627</x:f>
        <x:v>0.24000000000000005</x:v>
      </x:c>
      <x:c r="AE627" s="15" t="n">
        <x:f>'기준스탯 72종'!I32*H627</x:f>
        <x:v>0.3600000000000001</x:v>
      </x:c>
      <x:c r="AF627" s="15" t="n">
        <x:f>'기준스탯 72종'!J32*H627</x:f>
        <x:v>0.12000000000000002</x:v>
      </x:c>
      <x:c r="AG627" s="15" t="n">
        <x:f>'기준스탯 72종'!K32*H627</x:f>
        <x:v>0.24000000000000005</x:v>
      </x:c>
    </x:row>
    <x:row r="628" ht="28" customHeight="1">
      <x:c r="A628" s="2" t="n">
        <x:v>621</x:v>
      </x:c>
      <x:c r="B628" s="2" t="n">
        <x:v>25</x:v>
      </x:c>
      <x:c r="C628" s="2" t="str">
        <x:v>사자자리</x:v>
      </x:c>
      <x:c r="D628" s="2" t="str">
        <x:v>기사</x:v>
      </x:c>
      <x:c r="E628" s="2" t="n">
        <x:v>1</x:v>
      </x:c>
      <x:c r="F628" s="2" t="n">
        <x:v>5</x:v>
      </x:c>
      <x:c r="G628" s="14" t="n">
        <x:f>('레벨 계산식'!$E$4-E628)*'레벨 계산식'!$B$5</x:f>
        <x:v>0.5599999999999999</x:v>
      </x:c>
      <x:c r="H628" s="14" t="n">
        <x:f>('등급 계산식'!$E$4-F628)*'등급 계산식'!$B$5</x:f>
        <x:v>0</x:v>
      </x:c>
      <x:c r="I628" s="14" t="n">
        <x:f>1-G628-H628</x:f>
        <x:v>0.44000000000000006</x:v>
      </x:c>
      <x:c r="J628" s="2" t="n">
        <x:f>MAX(1,ROUND('기준스탯 72종'!D32-R628-Z628,0))</x:f>
        <x:v>4</x:v>
      </x:c>
      <x:c r="K628" s="2" t="n">
        <x:f>MAX(1,ROUND('기준스탯 72종'!E32-S628-AA628,0))</x:f>
        <x:v>4</x:v>
      </x:c>
      <x:c r="L628" s="2" t="n">
        <x:f>MAX(1,ROUND('기준스탯 72종'!F32-T628-AB628,0))</x:f>
        <x:v>4</x:v>
      </x:c>
      <x:c r="M628" s="2" t="n">
        <x:f>MAX(1,ROUND('기준스탯 72종'!G32-U628-AC628,0))</x:f>
        <x:v>3</x:v>
      </x:c>
      <x:c r="N628" s="2" t="n">
        <x:f>MAX(0,ROUND('기준스탯 72종'!H32-V628-AD628,0))</x:f>
        <x:v>2</x:v>
      </x:c>
      <x:c r="O628" s="2" t="n">
        <x:f>MAX(0,ROUND('기준스탯 72종'!I32-W628-AE628,0))</x:f>
        <x:v>3</x:v>
      </x:c>
      <x:c r="P628" s="2" t="n">
        <x:f>MAX(0,ROUND('기준스탯 72종'!J32-X628-AF628,0))</x:f>
        <x:v>1</x:v>
      </x:c>
      <x:c r="Q628" s="2" t="n">
        <x:f>MAX(0,ROUND('기준스탯 72종'!K32-Y628-AG628,0))</x:f>
        <x:v>2</x:v>
      </x:c>
      <x:c r="R628" s="15" t="n">
        <x:f>'기준스탯 72종'!D32*G628</x:f>
        <x:v>4.4799999999999995</x:v>
      </x:c>
      <x:c r="S628" s="15" t="n">
        <x:f>'기준스탯 72종'!E32*G628</x:f>
        <x:v>4.4799999999999995</x:v>
      </x:c>
      <x:c r="T628" s="15" t="n">
        <x:f>'기준스탯 72종'!F32*G628</x:f>
        <x:v>4.4799999999999995</x:v>
      </x:c>
      <x:c r="U628" s="15" t="n">
        <x:f>'기준스탯 72종'!G32*G628</x:f>
        <x:v>3.3599999999999994</x:v>
      </x:c>
      <x:c r="V628" s="15" t="n">
        <x:f>'기준스탯 72종'!H32*G628</x:f>
        <x:v>2.2399999999999998</x:v>
      </x:c>
      <x:c r="W628" s="15" t="n">
        <x:f>'기준스탯 72종'!I32*G628</x:f>
        <x:v>3.3599999999999994</x:v>
      </x:c>
      <x:c r="X628" s="15" t="n">
        <x:f>'기준스탯 72종'!J32*G628</x:f>
        <x:v>1.1199999999999999</x:v>
      </x:c>
      <x:c r="Y628" s="15" t="n">
        <x:f>'기준스탯 72종'!K32*G628</x:f>
        <x:v>2.2399999999999998</x:v>
      </x:c>
      <x:c r="Z628" s="15" t="n">
        <x:f>'기준스탯 72종'!D32*H628</x:f>
        <x:v>0</x:v>
      </x:c>
      <x:c r="AA628" s="15" t="n">
        <x:f>'기준스탯 72종'!E32*H628</x:f>
        <x:v>0</x:v>
      </x:c>
      <x:c r="AB628" s="15" t="n">
        <x:f>'기준스탯 72종'!F32*H628</x:f>
        <x:v>0</x:v>
      </x:c>
      <x:c r="AC628" s="15" t="n">
        <x:f>'기준스탯 72종'!G32*H628</x:f>
        <x:v>0</x:v>
      </x:c>
      <x:c r="AD628" s="15" t="n">
        <x:f>'기준스탯 72종'!H32*H628</x:f>
        <x:v>0</x:v>
      </x:c>
      <x:c r="AE628" s="15" t="n">
        <x:f>'기준스탯 72종'!I32*H628</x:f>
        <x:v>0</x:v>
      </x:c>
      <x:c r="AF628" s="15" t="n">
        <x:f>'기준스탯 72종'!J32*H628</x:f>
        <x:v>0</x:v>
      </x:c>
      <x:c r="AG628" s="15" t="n">
        <x:f>'기준스탯 72종'!K32*H628</x:f>
        <x:v>0</x:v>
      </x:c>
    </x:row>
    <x:row r="629" ht="28" customHeight="1">
      <x:c r="A629" s="2" t="n">
        <x:v>622</x:v>
      </x:c>
      <x:c r="B629" s="2" t="n">
        <x:v>25</x:v>
      </x:c>
      <x:c r="C629" s="2" t="str">
        <x:v>사자자리</x:v>
      </x:c>
      <x:c r="D629" s="2" t="str">
        <x:v>기사</x:v>
      </x:c>
      <x:c r="E629" s="2" t="n">
        <x:v>2</x:v>
      </x:c>
      <x:c r="F629" s="2" t="n">
        <x:v>5</x:v>
      </x:c>
      <x:c r="G629" s="14" t="n">
        <x:f>('레벨 계산식'!$E$4-E629)*'레벨 계산식'!$B$5</x:f>
        <x:v>0.41999999999999993</x:v>
      </x:c>
      <x:c r="H629" s="14" t="n">
        <x:f>('등급 계산식'!$E$4-F629)*'등급 계산식'!$B$5</x:f>
        <x:v>0</x:v>
      </x:c>
      <x:c r="I629" s="14" t="n">
        <x:f>1-G629-H629</x:f>
        <x:v>0.5800000000000001</x:v>
      </x:c>
      <x:c r="J629" s="2" t="n">
        <x:f>MAX(1,ROUND('기준스탯 72종'!D32-R629-Z629,0))</x:f>
        <x:v>5</x:v>
      </x:c>
      <x:c r="K629" s="2" t="n">
        <x:f>MAX(1,ROUND('기준스탯 72종'!E32-S629-AA629,0))</x:f>
        <x:v>5</x:v>
      </x:c>
      <x:c r="L629" s="2" t="n">
        <x:f>MAX(1,ROUND('기준스탯 72종'!F32-T629-AB629,0))</x:f>
        <x:v>5</x:v>
      </x:c>
      <x:c r="M629" s="2" t="n">
        <x:f>MAX(1,ROUND('기준스탯 72종'!G32-U629-AC629,0))</x:f>
        <x:v>3</x:v>
      </x:c>
      <x:c r="N629" s="2" t="n">
        <x:f>MAX(0,ROUND('기준스탯 72종'!H32-V629-AD629,0))</x:f>
        <x:v>2</x:v>
      </x:c>
      <x:c r="O629" s="2" t="n">
        <x:f>MAX(0,ROUND('기준스탯 72종'!I32-W629-AE629,0))</x:f>
        <x:v>3</x:v>
      </x:c>
      <x:c r="P629" s="2" t="n">
        <x:f>MAX(0,ROUND('기준스탯 72종'!J32-X629-AF629,0))</x:f>
        <x:v>1</x:v>
      </x:c>
      <x:c r="Q629" s="2" t="n">
        <x:f>MAX(0,ROUND('기준스탯 72종'!K32-Y629-AG629,0))</x:f>
        <x:v>2</x:v>
      </x:c>
      <x:c r="R629" s="15" t="n">
        <x:f>'기준스탯 72종'!D32*G629</x:f>
        <x:v>3.3599999999999994</x:v>
      </x:c>
      <x:c r="S629" s="15" t="n">
        <x:f>'기준스탯 72종'!E32*G629</x:f>
        <x:v>3.3599999999999994</x:v>
      </x:c>
      <x:c r="T629" s="15" t="n">
        <x:f>'기준스탯 72종'!F32*G629</x:f>
        <x:v>3.3599999999999994</x:v>
      </x:c>
      <x:c r="U629" s="15" t="n">
        <x:f>'기준스탯 72종'!G32*G629</x:f>
        <x:v>2.5199999999999996</x:v>
      </x:c>
      <x:c r="V629" s="15" t="n">
        <x:f>'기준스탯 72종'!H32*G629</x:f>
        <x:v>1.6799999999999997</x:v>
      </x:c>
      <x:c r="W629" s="15" t="n">
        <x:f>'기준스탯 72종'!I32*G629</x:f>
        <x:v>2.5199999999999996</x:v>
      </x:c>
      <x:c r="X629" s="15" t="n">
        <x:f>'기준스탯 72종'!J32*G629</x:f>
        <x:v>0.8399999999999999</x:v>
      </x:c>
      <x:c r="Y629" s="15" t="n">
        <x:f>'기준스탯 72종'!K32*G629</x:f>
        <x:v>1.6799999999999997</x:v>
      </x:c>
      <x:c r="Z629" s="15" t="n">
        <x:f>'기준스탯 72종'!D32*H629</x:f>
        <x:v>0</x:v>
      </x:c>
      <x:c r="AA629" s="15" t="n">
        <x:f>'기준스탯 72종'!E32*H629</x:f>
        <x:v>0</x:v>
      </x:c>
      <x:c r="AB629" s="15" t="n">
        <x:f>'기준스탯 72종'!F32*H629</x:f>
        <x:v>0</x:v>
      </x:c>
      <x:c r="AC629" s="15" t="n">
        <x:f>'기준스탯 72종'!G32*H629</x:f>
        <x:v>0</x:v>
      </x:c>
      <x:c r="AD629" s="15" t="n">
        <x:f>'기준스탯 72종'!H32*H629</x:f>
        <x:v>0</x:v>
      </x:c>
      <x:c r="AE629" s="15" t="n">
        <x:f>'기준스탯 72종'!I32*H629</x:f>
        <x:v>0</x:v>
      </x:c>
      <x:c r="AF629" s="15" t="n">
        <x:f>'기준스탯 72종'!J32*H629</x:f>
        <x:v>0</x:v>
      </x:c>
      <x:c r="AG629" s="15" t="n">
        <x:f>'기준스탯 72종'!K32*H629</x:f>
        <x:v>0</x:v>
      </x:c>
    </x:row>
    <x:row r="630" ht="28" customHeight="1">
      <x:c r="A630" s="2" t="n">
        <x:v>623</x:v>
      </x:c>
      <x:c r="B630" s="2" t="n">
        <x:v>25</x:v>
      </x:c>
      <x:c r="C630" s="2" t="str">
        <x:v>사자자리</x:v>
      </x:c>
      <x:c r="D630" s="2" t="str">
        <x:v>기사</x:v>
      </x:c>
      <x:c r="E630" s="2" t="n">
        <x:v>3</x:v>
      </x:c>
      <x:c r="F630" s="2" t="n">
        <x:v>5</x:v>
      </x:c>
      <x:c r="G630" s="14" t="n">
        <x:f>('레벨 계산식'!$E$4-E630)*'레벨 계산식'!$B$5</x:f>
        <x:v>0.27999999999999997</x:v>
      </x:c>
      <x:c r="H630" s="14" t="n">
        <x:f>('등급 계산식'!$E$4-F630)*'등급 계산식'!$B$5</x:f>
        <x:v>0</x:v>
      </x:c>
      <x:c r="I630" s="14" t="n">
        <x:f>1-G630-H630</x:f>
        <x:v>0.72</x:v>
      </x:c>
      <x:c r="J630" s="2" t="n">
        <x:f>MAX(1,ROUND('기준스탯 72종'!D32-R630-Z630,0))</x:f>
        <x:v>6</x:v>
      </x:c>
      <x:c r="K630" s="2" t="n">
        <x:f>MAX(1,ROUND('기준스탯 72종'!E32-S630-AA630,0))</x:f>
        <x:v>6</x:v>
      </x:c>
      <x:c r="L630" s="2" t="n">
        <x:f>MAX(1,ROUND('기준스탯 72종'!F32-T630-AB630,0))</x:f>
        <x:v>6</x:v>
      </x:c>
      <x:c r="M630" s="2" t="n">
        <x:f>MAX(1,ROUND('기준스탯 72종'!G32-U630-AC630,0))</x:f>
        <x:v>4</x:v>
      </x:c>
      <x:c r="N630" s="2" t="n">
        <x:f>MAX(0,ROUND('기준스탯 72종'!H32-V630-AD630,0))</x:f>
        <x:v>3</x:v>
      </x:c>
      <x:c r="O630" s="2" t="n">
        <x:f>MAX(0,ROUND('기준스탯 72종'!I32-W630-AE630,0))</x:f>
        <x:v>4</x:v>
      </x:c>
      <x:c r="P630" s="2" t="n">
        <x:f>MAX(0,ROUND('기준스탯 72종'!J32-X630-AF630,0))</x:f>
        <x:v>1</x:v>
      </x:c>
      <x:c r="Q630" s="2" t="n">
        <x:f>MAX(0,ROUND('기준스탯 72종'!K32-Y630-AG630,0))</x:f>
        <x:v>3</x:v>
      </x:c>
      <x:c r="R630" s="15" t="n">
        <x:f>'기준스탯 72종'!D32*G630</x:f>
        <x:v>2.2399999999999998</x:v>
      </x:c>
      <x:c r="S630" s="15" t="n">
        <x:f>'기준스탯 72종'!E32*G630</x:f>
        <x:v>2.2399999999999998</x:v>
      </x:c>
      <x:c r="T630" s="15" t="n">
        <x:f>'기준스탯 72종'!F32*G630</x:f>
        <x:v>2.2399999999999998</x:v>
      </x:c>
      <x:c r="U630" s="15" t="n">
        <x:f>'기준스탯 72종'!G32*G630</x:f>
        <x:v>1.6799999999999997</x:v>
      </x:c>
      <x:c r="V630" s="15" t="n">
        <x:f>'기준스탯 72종'!H32*G630</x:f>
        <x:v>1.1199999999999999</x:v>
      </x:c>
      <x:c r="W630" s="15" t="n">
        <x:f>'기준스탯 72종'!I32*G630</x:f>
        <x:v>1.6799999999999997</x:v>
      </x:c>
      <x:c r="X630" s="15" t="n">
        <x:f>'기준스탯 72종'!J32*G630</x:f>
        <x:v>0.5599999999999999</x:v>
      </x:c>
      <x:c r="Y630" s="15" t="n">
        <x:f>'기준스탯 72종'!K32*G630</x:f>
        <x:v>1.1199999999999999</x:v>
      </x:c>
      <x:c r="Z630" s="15" t="n">
        <x:f>'기준스탯 72종'!D32*H630</x:f>
        <x:v>0</x:v>
      </x:c>
      <x:c r="AA630" s="15" t="n">
        <x:f>'기준스탯 72종'!E32*H630</x:f>
        <x:v>0</x:v>
      </x:c>
      <x:c r="AB630" s="15" t="n">
        <x:f>'기준스탯 72종'!F32*H630</x:f>
        <x:v>0</x:v>
      </x:c>
      <x:c r="AC630" s="15" t="n">
        <x:f>'기준스탯 72종'!G32*H630</x:f>
        <x:v>0</x:v>
      </x:c>
      <x:c r="AD630" s="15" t="n">
        <x:f>'기준스탯 72종'!H32*H630</x:f>
        <x:v>0</x:v>
      </x:c>
      <x:c r="AE630" s="15" t="n">
        <x:f>'기준스탯 72종'!I32*H630</x:f>
        <x:v>0</x:v>
      </x:c>
      <x:c r="AF630" s="15" t="n">
        <x:f>'기준스탯 72종'!J32*H630</x:f>
        <x:v>0</x:v>
      </x:c>
      <x:c r="AG630" s="15" t="n">
        <x:f>'기준스탯 72종'!K32*H630</x:f>
        <x:v>0</x:v>
      </x:c>
    </x:row>
    <x:row r="631" ht="28" customHeight="1">
      <x:c r="A631" s="2" t="n">
        <x:v>624</x:v>
      </x:c>
      <x:c r="B631" s="2" t="n">
        <x:v>25</x:v>
      </x:c>
      <x:c r="C631" s="2" t="str">
        <x:v>사자자리</x:v>
      </x:c>
      <x:c r="D631" s="2" t="str">
        <x:v>기사</x:v>
      </x:c>
      <x:c r="E631" s="2" t="n">
        <x:v>4</x:v>
      </x:c>
      <x:c r="F631" s="2" t="n">
        <x:v>5</x:v>
      </x:c>
      <x:c r="G631" s="14" t="n">
        <x:f>('레벨 계산식'!$E$4-E631)*'레벨 계산식'!$B$5</x:f>
        <x:v>0.13999999999999999</x:v>
      </x:c>
      <x:c r="H631" s="14" t="n">
        <x:f>('등급 계산식'!$E$4-F631)*'등급 계산식'!$B$5</x:f>
        <x:v>0</x:v>
      </x:c>
      <x:c r="I631" s="14" t="n">
        <x:f>1-G631-H631</x:f>
        <x:v>0.86</x:v>
      </x:c>
      <x:c r="J631" s="2" t="n">
        <x:f>MAX(1,ROUND('기준스탯 72종'!D32-R631-Z631,0))</x:f>
        <x:v>7</x:v>
      </x:c>
      <x:c r="K631" s="2" t="n">
        <x:f>MAX(1,ROUND('기준스탯 72종'!E32-S631-AA631,0))</x:f>
        <x:v>7</x:v>
      </x:c>
      <x:c r="L631" s="2" t="n">
        <x:f>MAX(1,ROUND('기준스탯 72종'!F32-T631-AB631,0))</x:f>
        <x:v>7</x:v>
      </x:c>
      <x:c r="M631" s="2" t="n">
        <x:f>MAX(1,ROUND('기준스탯 72종'!G32-U631-AC631,0))</x:f>
        <x:v>5</x:v>
      </x:c>
      <x:c r="N631" s="2" t="n">
        <x:f>MAX(0,ROUND('기준스탯 72종'!H32-V631-AD631,0))</x:f>
        <x:v>3</x:v>
      </x:c>
      <x:c r="O631" s="2" t="n">
        <x:f>MAX(0,ROUND('기준스탯 72종'!I32-W631-AE631,0))</x:f>
        <x:v>5</x:v>
      </x:c>
      <x:c r="P631" s="2" t="n">
        <x:f>MAX(0,ROUND('기준스탯 72종'!J32-X631-AF631,0))</x:f>
        <x:v>2</x:v>
      </x:c>
      <x:c r="Q631" s="2" t="n">
        <x:f>MAX(0,ROUND('기준스탯 72종'!K32-Y631-AG631,0))</x:f>
        <x:v>3</x:v>
      </x:c>
      <x:c r="R631" s="15" t="n">
        <x:f>'기준스탯 72종'!D32*G631</x:f>
        <x:v>1.1199999999999999</x:v>
      </x:c>
      <x:c r="S631" s="15" t="n">
        <x:f>'기준스탯 72종'!E32*G631</x:f>
        <x:v>1.1199999999999999</x:v>
      </x:c>
      <x:c r="T631" s="15" t="n">
        <x:f>'기준스탯 72종'!F32*G631</x:f>
        <x:v>1.1199999999999999</x:v>
      </x:c>
      <x:c r="U631" s="15" t="n">
        <x:f>'기준스탯 72종'!G32*G631</x:f>
        <x:v>0.8399999999999999</x:v>
      </x:c>
      <x:c r="V631" s="15" t="n">
        <x:f>'기준스탯 72종'!H32*G631</x:f>
        <x:v>0.5599999999999999</x:v>
      </x:c>
      <x:c r="W631" s="15" t="n">
        <x:f>'기준스탯 72종'!I32*G631</x:f>
        <x:v>0.8399999999999999</x:v>
      </x:c>
      <x:c r="X631" s="15" t="n">
        <x:f>'기준스탯 72종'!J32*G631</x:f>
        <x:v>0.27999999999999997</x:v>
      </x:c>
      <x:c r="Y631" s="15" t="n">
        <x:f>'기준스탯 72종'!K32*G631</x:f>
        <x:v>0.5599999999999999</x:v>
      </x:c>
      <x:c r="Z631" s="15" t="n">
        <x:f>'기준스탯 72종'!D32*H631</x:f>
        <x:v>0</x:v>
      </x:c>
      <x:c r="AA631" s="15" t="n">
        <x:f>'기준스탯 72종'!E32*H631</x:f>
        <x:v>0</x:v>
      </x:c>
      <x:c r="AB631" s="15" t="n">
        <x:f>'기준스탯 72종'!F32*H631</x:f>
        <x:v>0</x:v>
      </x:c>
      <x:c r="AC631" s="15" t="n">
        <x:f>'기준스탯 72종'!G32*H631</x:f>
        <x:v>0</x:v>
      </x:c>
      <x:c r="AD631" s="15" t="n">
        <x:f>'기준스탯 72종'!H32*H631</x:f>
        <x:v>0</x:v>
      </x:c>
      <x:c r="AE631" s="15" t="n">
        <x:f>'기준스탯 72종'!I32*H631</x:f>
        <x:v>0</x:v>
      </x:c>
      <x:c r="AF631" s="15" t="n">
        <x:f>'기준스탯 72종'!J32*H631</x:f>
        <x:v>0</x:v>
      </x:c>
      <x:c r="AG631" s="15" t="n">
        <x:f>'기준스탯 72종'!K32*H631</x:f>
        <x:v>0</x:v>
      </x:c>
    </x:row>
    <x:row r="632" ht="28" customHeight="1">
      <x:c r="A632" s="2" t="n">
        <x:v>625</x:v>
      </x:c>
      <x:c r="B632" s="2" t="n">
        <x:v>25</x:v>
      </x:c>
      <x:c r="C632" s="2" t="str">
        <x:v>사자자리</x:v>
      </x:c>
      <x:c r="D632" s="2" t="str">
        <x:v>기사</x:v>
      </x:c>
      <x:c r="E632" s="2" t="n">
        <x:v>5</x:v>
      </x:c>
      <x:c r="F632" s="2" t="n">
        <x:v>5</x:v>
      </x:c>
      <x:c r="G632" s="14" t="n">
        <x:f>('레벨 계산식'!$E$4-E632)*'레벨 계산식'!$B$5</x:f>
        <x:v>0</x:v>
      </x:c>
      <x:c r="H632" s="14" t="n">
        <x:f>('등급 계산식'!$E$4-F632)*'등급 계산식'!$B$5</x:f>
        <x:v>0</x:v>
      </x:c>
      <x:c r="I632" s="14" t="n">
        <x:f>1-G632-H632</x:f>
        <x:v>1</x:v>
      </x:c>
      <x:c r="J632" s="2" t="n">
        <x:f>MAX(1,ROUND('기준스탯 72종'!D32-R632-Z632,0))</x:f>
        <x:v>8</x:v>
      </x:c>
      <x:c r="K632" s="2" t="n">
        <x:f>MAX(1,ROUND('기준스탯 72종'!E32-S632-AA632,0))</x:f>
        <x:v>8</x:v>
      </x:c>
      <x:c r="L632" s="2" t="n">
        <x:f>MAX(1,ROUND('기준스탯 72종'!F32-T632-AB632,0))</x:f>
        <x:v>8</x:v>
      </x:c>
      <x:c r="M632" s="2" t="n">
        <x:f>MAX(1,ROUND('기준스탯 72종'!G32-U632-AC632,0))</x:f>
        <x:v>6</x:v>
      </x:c>
      <x:c r="N632" s="2" t="n">
        <x:f>MAX(0,ROUND('기준스탯 72종'!H32-V632-AD632,0))</x:f>
        <x:v>4</x:v>
      </x:c>
      <x:c r="O632" s="2" t="n">
        <x:f>MAX(0,ROUND('기준스탯 72종'!I32-W632-AE632,0))</x:f>
        <x:v>6</x:v>
      </x:c>
      <x:c r="P632" s="2" t="n">
        <x:f>MAX(0,ROUND('기준스탯 72종'!J32-X632-AF632,0))</x:f>
        <x:v>2</x:v>
      </x:c>
      <x:c r="Q632" s="2" t="n">
        <x:f>MAX(0,ROUND('기준스탯 72종'!K32-Y632-AG632,0))</x:f>
        <x:v>4</x:v>
      </x:c>
      <x:c r="R632" s="15" t="n">
        <x:f>'기준스탯 72종'!D32*G632</x:f>
        <x:v>0</x:v>
      </x:c>
      <x:c r="S632" s="15" t="n">
        <x:f>'기준스탯 72종'!E32*G632</x:f>
        <x:v>0</x:v>
      </x:c>
      <x:c r="T632" s="15" t="n">
        <x:f>'기준스탯 72종'!F32*G632</x:f>
        <x:v>0</x:v>
      </x:c>
      <x:c r="U632" s="15" t="n">
        <x:f>'기준스탯 72종'!G32*G632</x:f>
        <x:v>0</x:v>
      </x:c>
      <x:c r="V632" s="15" t="n">
        <x:f>'기준스탯 72종'!H32*G632</x:f>
        <x:v>0</x:v>
      </x:c>
      <x:c r="W632" s="15" t="n">
        <x:f>'기준스탯 72종'!I32*G632</x:f>
        <x:v>0</x:v>
      </x:c>
      <x:c r="X632" s="15" t="n">
        <x:f>'기준스탯 72종'!J32*G632</x:f>
        <x:v>0</x:v>
      </x:c>
      <x:c r="Y632" s="15" t="n">
        <x:f>'기준스탯 72종'!K32*G632</x:f>
        <x:v>0</x:v>
      </x:c>
      <x:c r="Z632" s="15" t="n">
        <x:f>'기준스탯 72종'!D32*H632</x:f>
        <x:v>0</x:v>
      </x:c>
      <x:c r="AA632" s="15" t="n">
        <x:f>'기준스탯 72종'!E32*H632</x:f>
        <x:v>0</x:v>
      </x:c>
      <x:c r="AB632" s="15" t="n">
        <x:f>'기준스탯 72종'!F32*H632</x:f>
        <x:v>0</x:v>
      </x:c>
      <x:c r="AC632" s="15" t="n">
        <x:f>'기준스탯 72종'!G32*H632</x:f>
        <x:v>0</x:v>
      </x:c>
      <x:c r="AD632" s="15" t="n">
        <x:f>'기준스탯 72종'!H32*H632</x:f>
        <x:v>0</x:v>
      </x:c>
      <x:c r="AE632" s="15" t="n">
        <x:f>'기준스탯 72종'!I32*H632</x:f>
        <x:v>0</x:v>
      </x:c>
      <x:c r="AF632" s="15" t="n">
        <x:f>'기준스탯 72종'!J32*H632</x:f>
        <x:v>0</x:v>
      </x:c>
      <x:c r="AG632" s="15" t="n">
        <x:f>'기준스탯 72종'!K32*H632</x:f>
        <x:v>0</x:v>
      </x:c>
    </x:row>
    <x:row r="633" ht="28" customHeight="1">
      <x:c r="A633" s="2" t="n">
        <x:v>626</x:v>
      </x:c>
      <x:c r="B633" s="2" t="n">
        <x:v>26</x:v>
      </x:c>
      <x:c r="C633" s="2" t="str">
        <x:v>사자자리</x:v>
      </x:c>
      <x:c r="D633" s="2" t="str">
        <x:v>마도사</x:v>
      </x:c>
      <x:c r="E633" s="2" t="n">
        <x:v>1</x:v>
      </x:c>
      <x:c r="F633" s="2" t="n">
        <x:v>1</x:v>
      </x:c>
      <x:c r="G633" s="14" t="n">
        <x:f>('레벨 계산식'!$E$4-E633)*'레벨 계산식'!$B$5</x:f>
        <x:v>0.5599999999999999</x:v>
      </x:c>
      <x:c r="H633" s="14" t="n">
        <x:f>('등급 계산식'!$E$4-F633)*'등급 계산식'!$B$5</x:f>
        <x:v>0.24000000000000005</x:v>
      </x:c>
      <x:c r="I633" s="14" t="n">
        <x:f>1-G633-H633</x:f>
        <x:v>0.2</x:v>
      </x:c>
      <x:c r="J633" s="2" t="n">
        <x:f>MAX(1,ROUND('기준스탯 72종'!D33-R633-Z633,0))</x:f>
        <x:v>2</x:v>
      </x:c>
      <x:c r="K633" s="2" t="n">
        <x:f>MAX(1,ROUND('기준스탯 72종'!E33-S633-AA633,0))</x:f>
        <x:v>1</x:v>
      </x:c>
      <x:c r="L633" s="2" t="n">
        <x:f>MAX(1,ROUND('기준스탯 72종'!F33-T633-AB633,0))</x:f>
        <x:v>1</x:v>
      </x:c>
      <x:c r="M633" s="2" t="n">
        <x:f>MAX(1,ROUND('기준스탯 72종'!G33-U633-AC633,0))</x:f>
        <x:v>1</x:v>
      </x:c>
      <x:c r="N633" s="2" t="n">
        <x:f>MAX(0,ROUND('기준스탯 72종'!H33-V633-AD633,0))</x:f>
        <x:v>1</x:v>
      </x:c>
      <x:c r="O633" s="2" t="n">
        <x:f>MAX(0,ROUND('기준스탯 72종'!I33-W633-AE633,0))</x:f>
        <x:v>2</x:v>
      </x:c>
      <x:c r="P633" s="2" t="n">
        <x:f>MAX(0,ROUND('기준스탯 72종'!J33-X633-AF633,0))</x:f>
        <x:v>0</x:v>
      </x:c>
      <x:c r="Q633" s="2" t="n">
        <x:f>MAX(0,ROUND('기준스탯 72종'!K33-Y633-AG633,0))</x:f>
        <x:v>0</x:v>
      </x:c>
      <x:c r="R633" s="15" t="n">
        <x:f>'기준스탯 72종'!D33*G633</x:f>
        <x:v>5.6</x:v>
      </x:c>
      <x:c r="S633" s="15" t="n">
        <x:f>'기준스탯 72종'!E33*G633</x:f>
        <x:v>3.3599999999999994</x:v>
      </x:c>
      <x:c r="T633" s="15" t="n">
        <x:f>'기준스탯 72종'!F33*G633</x:f>
        <x:v>3.3599999999999994</x:v>
      </x:c>
      <x:c r="U633" s="15" t="n">
        <x:f>'기준스탯 72종'!G33*G633</x:f>
        <x:v>3.9199999999999995</x:v>
      </x:c>
      <x:c r="V633" s="15" t="n">
        <x:f>'기준스탯 72종'!H33*G633</x:f>
        <x:v>2.8</x:v>
      </x:c>
      <x:c r="W633" s="15" t="n">
        <x:f>'기준스탯 72종'!I33*G633</x:f>
        <x:v>4.4799999999999995</x:v>
      </x:c>
      <x:c r="X633" s="15" t="n">
        <x:f>'기준스탯 72종'!J33*G633</x:f>
        <x:v>1.1199999999999999</x:v>
      </x:c>
      <x:c r="Y633" s="15" t="n">
        <x:f>'기준스탯 72종'!K33*G633</x:f>
        <x:v>0.5599999999999999</x:v>
      </x:c>
      <x:c r="Z633" s="15" t="n">
        <x:f>'기준스탯 72종'!D33*H633</x:f>
        <x:v>2.4000000000000004</x:v>
      </x:c>
      <x:c r="AA633" s="15" t="n">
        <x:f>'기준스탯 72종'!E33*H633</x:f>
        <x:v>1.4400000000000004</x:v>
      </x:c>
      <x:c r="AB633" s="15" t="n">
        <x:f>'기준스탯 72종'!F33*H633</x:f>
        <x:v>1.4400000000000004</x:v>
      </x:c>
      <x:c r="AC633" s="15" t="n">
        <x:f>'기준스탯 72종'!G33*H633</x:f>
        <x:v>1.6800000000000004</x:v>
      </x:c>
      <x:c r="AD633" s="15" t="n">
        <x:f>'기준스탯 72종'!H33*H633</x:f>
        <x:v>1.2000000000000002</x:v>
      </x:c>
      <x:c r="AE633" s="15" t="n">
        <x:f>'기준스탯 72종'!I33*H633</x:f>
        <x:v>1.9200000000000004</x:v>
      </x:c>
      <x:c r="AF633" s="15" t="n">
        <x:f>'기준스탯 72종'!J33*H633</x:f>
        <x:v>0.4800000000000001</x:v>
      </x:c>
      <x:c r="AG633" s="15" t="n">
        <x:f>'기준스탯 72종'!K33*H633</x:f>
        <x:v>0.24000000000000005</x:v>
      </x:c>
    </x:row>
    <x:row r="634" ht="28" customHeight="1">
      <x:c r="A634" s="2" t="n">
        <x:v>627</x:v>
      </x:c>
      <x:c r="B634" s="2" t="n">
        <x:v>26</x:v>
      </x:c>
      <x:c r="C634" s="2" t="str">
        <x:v>사자자리</x:v>
      </x:c>
      <x:c r="D634" s="2" t="str">
        <x:v>마도사</x:v>
      </x:c>
      <x:c r="E634" s="2" t="n">
        <x:v>2</x:v>
      </x:c>
      <x:c r="F634" s="2" t="n">
        <x:v>1</x:v>
      </x:c>
      <x:c r="G634" s="14" t="n">
        <x:f>('레벨 계산식'!$E$4-E634)*'레벨 계산식'!$B$5</x:f>
        <x:v>0.41999999999999993</x:v>
      </x:c>
      <x:c r="H634" s="14" t="n">
        <x:f>('등급 계산식'!$E$4-F634)*'등급 계산식'!$B$5</x:f>
        <x:v>0.24000000000000005</x:v>
      </x:c>
      <x:c r="I634" s="14" t="n">
        <x:f>1-G634-H634</x:f>
        <x:v>0.34</x:v>
      </x:c>
      <x:c r="J634" s="2" t="n">
        <x:f>MAX(1,ROUND('기준스탯 72종'!D33-R634-Z634,0))</x:f>
        <x:v>3</x:v>
      </x:c>
      <x:c r="K634" s="2" t="n">
        <x:f>MAX(1,ROUND('기준스탯 72종'!E33-S634-AA634,0))</x:f>
        <x:v>2</x:v>
      </x:c>
      <x:c r="L634" s="2" t="n">
        <x:f>MAX(1,ROUND('기준스탯 72종'!F33-T634-AB634,0))</x:f>
        <x:v>2</x:v>
      </x:c>
      <x:c r="M634" s="2" t="n">
        <x:f>MAX(1,ROUND('기준스탯 72종'!G33-U634-AC634,0))</x:f>
        <x:v>2</x:v>
      </x:c>
      <x:c r="N634" s="2" t="n">
        <x:f>MAX(0,ROUND('기준스탯 72종'!H33-V634-AD634,0))</x:f>
        <x:v>2</x:v>
      </x:c>
      <x:c r="O634" s="2" t="n">
        <x:f>MAX(0,ROUND('기준스탯 72종'!I33-W634-AE634,0))</x:f>
        <x:v>3</x:v>
      </x:c>
      <x:c r="P634" s="2" t="n">
        <x:f>MAX(0,ROUND('기준스탯 72종'!J33-X634-AF634,0))</x:f>
        <x:v>1</x:v>
      </x:c>
      <x:c r="Q634" s="2" t="n">
        <x:f>MAX(0,ROUND('기준스탯 72종'!K33-Y634-AG634,0))</x:f>
        <x:v>0</x:v>
      </x:c>
      <x:c r="R634" s="15" t="n">
        <x:f>'기준스탯 72종'!D33*G634</x:f>
        <x:v>4.199999999999999</x:v>
      </x:c>
      <x:c r="S634" s="15" t="n">
        <x:f>'기준스탯 72종'!E33*G634</x:f>
        <x:v>2.5199999999999996</x:v>
      </x:c>
      <x:c r="T634" s="15" t="n">
        <x:f>'기준스탯 72종'!F33*G634</x:f>
        <x:v>2.5199999999999996</x:v>
      </x:c>
      <x:c r="U634" s="15" t="n">
        <x:f>'기준스탯 72종'!G33*G634</x:f>
        <x:v>2.9399999999999995</x:v>
      </x:c>
      <x:c r="V634" s="15" t="n">
        <x:f>'기준스탯 72종'!H33*G634</x:f>
        <x:v>2.0999999999999996</x:v>
      </x:c>
      <x:c r="W634" s="15" t="n">
        <x:f>'기준스탯 72종'!I33*G634</x:f>
        <x:v>3.3599999999999994</x:v>
      </x:c>
      <x:c r="X634" s="15" t="n">
        <x:f>'기준스탯 72종'!J33*G634</x:f>
        <x:v>0.8399999999999999</x:v>
      </x:c>
      <x:c r="Y634" s="15" t="n">
        <x:f>'기준스탯 72종'!K33*G634</x:f>
        <x:v>0.41999999999999993</x:v>
      </x:c>
      <x:c r="Z634" s="15" t="n">
        <x:f>'기준스탯 72종'!D33*H634</x:f>
        <x:v>2.4000000000000004</x:v>
      </x:c>
      <x:c r="AA634" s="15" t="n">
        <x:f>'기준스탯 72종'!E33*H634</x:f>
        <x:v>1.4400000000000004</x:v>
      </x:c>
      <x:c r="AB634" s="15" t="n">
        <x:f>'기준스탯 72종'!F33*H634</x:f>
        <x:v>1.4400000000000004</x:v>
      </x:c>
      <x:c r="AC634" s="15" t="n">
        <x:f>'기준스탯 72종'!G33*H634</x:f>
        <x:v>1.6800000000000004</x:v>
      </x:c>
      <x:c r="AD634" s="15" t="n">
        <x:f>'기준스탯 72종'!H33*H634</x:f>
        <x:v>1.2000000000000002</x:v>
      </x:c>
      <x:c r="AE634" s="15" t="n">
        <x:f>'기준스탯 72종'!I33*H634</x:f>
        <x:v>1.9200000000000004</x:v>
      </x:c>
      <x:c r="AF634" s="15" t="n">
        <x:f>'기준스탯 72종'!J33*H634</x:f>
        <x:v>0.4800000000000001</x:v>
      </x:c>
      <x:c r="AG634" s="15" t="n">
        <x:f>'기준스탯 72종'!K33*H634</x:f>
        <x:v>0.24000000000000005</x:v>
      </x:c>
    </x:row>
    <x:row r="635" ht="28" customHeight="1">
      <x:c r="A635" s="2" t="n">
        <x:v>628</x:v>
      </x:c>
      <x:c r="B635" s="2" t="n">
        <x:v>26</x:v>
      </x:c>
      <x:c r="C635" s="2" t="str">
        <x:v>사자자리</x:v>
      </x:c>
      <x:c r="D635" s="2" t="str">
        <x:v>마도사</x:v>
      </x:c>
      <x:c r="E635" s="2" t="n">
        <x:v>3</x:v>
      </x:c>
      <x:c r="F635" s="2" t="n">
        <x:v>1</x:v>
      </x:c>
      <x:c r="G635" s="14" t="n">
        <x:f>('레벨 계산식'!$E$4-E635)*'레벨 계산식'!$B$5</x:f>
        <x:v>0.27999999999999997</x:v>
      </x:c>
      <x:c r="H635" s="14" t="n">
        <x:f>('등급 계산식'!$E$4-F635)*'등급 계산식'!$B$5</x:f>
        <x:v>0.24000000000000005</x:v>
      </x:c>
      <x:c r="I635" s="14" t="n">
        <x:f>1-G635-H635</x:f>
        <x:v>0.4799999999999999</x:v>
      </x:c>
      <x:c r="J635" s="2" t="n">
        <x:f>MAX(1,ROUND('기준스탯 72종'!D33-R635-Z635,0))</x:f>
        <x:v>5</x:v>
      </x:c>
      <x:c r="K635" s="2" t="n">
        <x:f>MAX(1,ROUND('기준스탯 72종'!E33-S635-AA635,0))</x:f>
        <x:v>3</x:v>
      </x:c>
      <x:c r="L635" s="2" t="n">
        <x:f>MAX(1,ROUND('기준스탯 72종'!F33-T635-AB635,0))</x:f>
        <x:v>3</x:v>
      </x:c>
      <x:c r="M635" s="2" t="n">
        <x:f>MAX(1,ROUND('기준스탯 72종'!G33-U635-AC635,0))</x:f>
        <x:v>3</x:v>
      </x:c>
      <x:c r="N635" s="2" t="n">
        <x:f>MAX(0,ROUND('기준스탯 72종'!H33-V635-AD635,0))</x:f>
        <x:v>2</x:v>
      </x:c>
      <x:c r="O635" s="2" t="n">
        <x:f>MAX(0,ROUND('기준스탯 72종'!I33-W635-AE635,0))</x:f>
        <x:v>4</x:v>
      </x:c>
      <x:c r="P635" s="2" t="n">
        <x:f>MAX(0,ROUND('기준스탯 72종'!J33-X635-AF635,0))</x:f>
        <x:v>1</x:v>
      </x:c>
      <x:c r="Q635" s="2" t="n">
        <x:f>MAX(0,ROUND('기준스탯 72종'!K33-Y635-AG635,0))</x:f>
        <x:v>0</x:v>
      </x:c>
      <x:c r="R635" s="15" t="n">
        <x:f>'기준스탯 72종'!D33*G635</x:f>
        <x:v>2.8</x:v>
      </x:c>
      <x:c r="S635" s="15" t="n">
        <x:f>'기준스탯 72종'!E33*G635</x:f>
        <x:v>1.6799999999999997</x:v>
      </x:c>
      <x:c r="T635" s="15" t="n">
        <x:f>'기준스탯 72종'!F33*G635</x:f>
        <x:v>1.6799999999999997</x:v>
      </x:c>
      <x:c r="U635" s="15" t="n">
        <x:f>'기준스탯 72종'!G33*G635</x:f>
        <x:v>1.9599999999999997</x:v>
      </x:c>
      <x:c r="V635" s="15" t="n">
        <x:f>'기준스탯 72종'!H33*G635</x:f>
        <x:v>1.4</x:v>
      </x:c>
      <x:c r="W635" s="15" t="n">
        <x:f>'기준스탯 72종'!I33*G635</x:f>
        <x:v>2.2399999999999998</x:v>
      </x:c>
      <x:c r="X635" s="15" t="n">
        <x:f>'기준스탯 72종'!J33*G635</x:f>
        <x:v>0.5599999999999999</x:v>
      </x:c>
      <x:c r="Y635" s="15" t="n">
        <x:f>'기준스탯 72종'!K33*G635</x:f>
        <x:v>0.27999999999999997</x:v>
      </x:c>
      <x:c r="Z635" s="15" t="n">
        <x:f>'기준스탯 72종'!D33*H635</x:f>
        <x:v>2.4000000000000004</x:v>
      </x:c>
      <x:c r="AA635" s="15" t="n">
        <x:f>'기준스탯 72종'!E33*H635</x:f>
        <x:v>1.4400000000000004</x:v>
      </x:c>
      <x:c r="AB635" s="15" t="n">
        <x:f>'기준스탯 72종'!F33*H635</x:f>
        <x:v>1.4400000000000004</x:v>
      </x:c>
      <x:c r="AC635" s="15" t="n">
        <x:f>'기준스탯 72종'!G33*H635</x:f>
        <x:v>1.6800000000000004</x:v>
      </x:c>
      <x:c r="AD635" s="15" t="n">
        <x:f>'기준스탯 72종'!H33*H635</x:f>
        <x:v>1.2000000000000002</x:v>
      </x:c>
      <x:c r="AE635" s="15" t="n">
        <x:f>'기준스탯 72종'!I33*H635</x:f>
        <x:v>1.9200000000000004</x:v>
      </x:c>
      <x:c r="AF635" s="15" t="n">
        <x:f>'기준스탯 72종'!J33*H635</x:f>
        <x:v>0.4800000000000001</x:v>
      </x:c>
      <x:c r="AG635" s="15" t="n">
        <x:f>'기준스탯 72종'!K33*H635</x:f>
        <x:v>0.24000000000000005</x:v>
      </x:c>
    </x:row>
    <x:row r="636" ht="28" customHeight="1">
      <x:c r="A636" s="2" t="n">
        <x:v>629</x:v>
      </x:c>
      <x:c r="B636" s="2" t="n">
        <x:v>26</x:v>
      </x:c>
      <x:c r="C636" s="2" t="str">
        <x:v>사자자리</x:v>
      </x:c>
      <x:c r="D636" s="2" t="str">
        <x:v>마도사</x:v>
      </x:c>
      <x:c r="E636" s="2" t="n">
        <x:v>4</x:v>
      </x:c>
      <x:c r="F636" s="2" t="n">
        <x:v>1</x:v>
      </x:c>
      <x:c r="G636" s="14" t="n">
        <x:f>('레벨 계산식'!$E$4-E636)*'레벨 계산식'!$B$5</x:f>
        <x:v>0.13999999999999999</x:v>
      </x:c>
      <x:c r="H636" s="14" t="n">
        <x:f>('등급 계산식'!$E$4-F636)*'등급 계산식'!$B$5</x:f>
        <x:v>0.24000000000000005</x:v>
      </x:c>
      <x:c r="I636" s="14" t="n">
        <x:f>1-G636-H636</x:f>
        <x:v>0.6199999999999999</x:v>
      </x:c>
      <x:c r="J636" s="2" t="n">
        <x:f>MAX(1,ROUND('기준스탯 72종'!D33-R636-Z636,0))</x:f>
        <x:v>6</x:v>
      </x:c>
      <x:c r="K636" s="2" t="n">
        <x:f>MAX(1,ROUND('기준스탯 72종'!E33-S636-AA636,0))</x:f>
        <x:v>4</x:v>
      </x:c>
      <x:c r="L636" s="2" t="n">
        <x:f>MAX(1,ROUND('기준스탯 72종'!F33-T636-AB636,0))</x:f>
        <x:v>4</x:v>
      </x:c>
      <x:c r="M636" s="2" t="n">
        <x:f>MAX(1,ROUND('기준스탯 72종'!G33-U636-AC636,0))</x:f>
        <x:v>4</x:v>
      </x:c>
      <x:c r="N636" s="2" t="n">
        <x:f>MAX(0,ROUND('기준스탯 72종'!H33-V636-AD636,0))</x:f>
        <x:v>3</x:v>
      </x:c>
      <x:c r="O636" s="2" t="n">
        <x:f>MAX(0,ROUND('기준스탯 72종'!I33-W636-AE636,0))</x:f>
        <x:v>5</x:v>
      </x:c>
      <x:c r="P636" s="2" t="n">
        <x:f>MAX(0,ROUND('기준스탯 72종'!J33-X636-AF636,0))</x:f>
        <x:v>1</x:v>
      </x:c>
      <x:c r="Q636" s="2" t="n">
        <x:f>MAX(0,ROUND('기준스탯 72종'!K33-Y636-AG636,0))</x:f>
        <x:v>1</x:v>
      </x:c>
      <x:c r="R636" s="15" t="n">
        <x:f>'기준스탯 72종'!D33*G636</x:f>
        <x:v>1.4</x:v>
      </x:c>
      <x:c r="S636" s="15" t="n">
        <x:f>'기준스탯 72종'!E33*G636</x:f>
        <x:v>0.8399999999999999</x:v>
      </x:c>
      <x:c r="T636" s="15" t="n">
        <x:f>'기준스탯 72종'!F33*G636</x:f>
        <x:v>0.8399999999999999</x:v>
      </x:c>
      <x:c r="U636" s="15" t="n">
        <x:f>'기준스탯 72종'!G33*G636</x:f>
        <x:v>0.9799999999999999</x:v>
      </x:c>
      <x:c r="V636" s="15" t="n">
        <x:f>'기준스탯 72종'!H33*G636</x:f>
        <x:v>0.7</x:v>
      </x:c>
      <x:c r="W636" s="15" t="n">
        <x:f>'기준스탯 72종'!I33*G636</x:f>
        <x:v>1.1199999999999999</x:v>
      </x:c>
      <x:c r="X636" s="15" t="n">
        <x:f>'기준스탯 72종'!J33*G636</x:f>
        <x:v>0.27999999999999997</x:v>
      </x:c>
      <x:c r="Y636" s="15" t="n">
        <x:f>'기준스탯 72종'!K33*G636</x:f>
        <x:v>0.13999999999999999</x:v>
      </x:c>
      <x:c r="Z636" s="15" t="n">
        <x:f>'기준스탯 72종'!D33*H636</x:f>
        <x:v>2.4000000000000004</x:v>
      </x:c>
      <x:c r="AA636" s="15" t="n">
        <x:f>'기준스탯 72종'!E33*H636</x:f>
        <x:v>1.4400000000000004</x:v>
      </x:c>
      <x:c r="AB636" s="15" t="n">
        <x:f>'기준스탯 72종'!F33*H636</x:f>
        <x:v>1.4400000000000004</x:v>
      </x:c>
      <x:c r="AC636" s="15" t="n">
        <x:f>'기준스탯 72종'!G33*H636</x:f>
        <x:v>1.6800000000000004</x:v>
      </x:c>
      <x:c r="AD636" s="15" t="n">
        <x:f>'기준스탯 72종'!H33*H636</x:f>
        <x:v>1.2000000000000002</x:v>
      </x:c>
      <x:c r="AE636" s="15" t="n">
        <x:f>'기준스탯 72종'!I33*H636</x:f>
        <x:v>1.9200000000000004</x:v>
      </x:c>
      <x:c r="AF636" s="15" t="n">
        <x:f>'기준스탯 72종'!J33*H636</x:f>
        <x:v>0.4800000000000001</x:v>
      </x:c>
      <x:c r="AG636" s="15" t="n">
        <x:f>'기준스탯 72종'!K33*H636</x:f>
        <x:v>0.24000000000000005</x:v>
      </x:c>
    </x:row>
    <x:row r="637" ht="28" customHeight="1">
      <x:c r="A637" s="2" t="n">
        <x:v>630</x:v>
      </x:c>
      <x:c r="B637" s="2" t="n">
        <x:v>26</x:v>
      </x:c>
      <x:c r="C637" s="2" t="str">
        <x:v>사자자리</x:v>
      </x:c>
      <x:c r="D637" s="2" t="str">
        <x:v>마도사</x:v>
      </x:c>
      <x:c r="E637" s="2" t="n">
        <x:v>5</x:v>
      </x:c>
      <x:c r="F637" s="2" t="n">
        <x:v>1</x:v>
      </x:c>
      <x:c r="G637" s="14" t="n">
        <x:f>('레벨 계산식'!$E$4-E637)*'레벨 계산식'!$B$5</x:f>
        <x:v>0</x:v>
      </x:c>
      <x:c r="H637" s="14" t="n">
        <x:f>('등급 계산식'!$E$4-F637)*'등급 계산식'!$B$5</x:f>
        <x:v>0.24000000000000005</x:v>
      </x:c>
      <x:c r="I637" s="14" t="n">
        <x:f>1-G637-H637</x:f>
        <x:v>0.76</x:v>
      </x:c>
      <x:c r="J637" s="2" t="n">
        <x:f>MAX(1,ROUND('기준스탯 72종'!D33-R637-Z637,0))</x:f>
        <x:v>8</x:v>
      </x:c>
      <x:c r="K637" s="2" t="n">
        <x:f>MAX(1,ROUND('기준스탯 72종'!E33-S637-AA637,0))</x:f>
        <x:v>5</x:v>
      </x:c>
      <x:c r="L637" s="2" t="n">
        <x:f>MAX(1,ROUND('기준스탯 72종'!F33-T637-AB637,0))</x:f>
        <x:v>5</x:v>
      </x:c>
      <x:c r="M637" s="2" t="n">
        <x:f>MAX(1,ROUND('기준스탯 72종'!G33-U637-AC637,0))</x:f>
        <x:v>5</x:v>
      </x:c>
      <x:c r="N637" s="2" t="n">
        <x:f>MAX(0,ROUND('기준스탯 72종'!H33-V637-AD637,0))</x:f>
        <x:v>4</x:v>
      </x:c>
      <x:c r="O637" s="2" t="n">
        <x:f>MAX(0,ROUND('기준스탯 72종'!I33-W637-AE637,0))</x:f>
        <x:v>6</x:v>
      </x:c>
      <x:c r="P637" s="2" t="n">
        <x:f>MAX(0,ROUND('기준스탯 72종'!J33-X637-AF637,0))</x:f>
        <x:v>2</x:v>
      </x:c>
      <x:c r="Q637" s="2" t="n">
        <x:f>MAX(0,ROUND('기준스탯 72종'!K33-Y637-AG637,0))</x:f>
        <x:v>1</x:v>
      </x:c>
      <x:c r="R637" s="15" t="n">
        <x:f>'기준스탯 72종'!D33*G637</x:f>
        <x:v>0</x:v>
      </x:c>
      <x:c r="S637" s="15" t="n">
        <x:f>'기준스탯 72종'!E33*G637</x:f>
        <x:v>0</x:v>
      </x:c>
      <x:c r="T637" s="15" t="n">
        <x:f>'기준스탯 72종'!F33*G637</x:f>
        <x:v>0</x:v>
      </x:c>
      <x:c r="U637" s="15" t="n">
        <x:f>'기준스탯 72종'!G33*G637</x:f>
        <x:v>0</x:v>
      </x:c>
      <x:c r="V637" s="15" t="n">
        <x:f>'기준스탯 72종'!H33*G637</x:f>
        <x:v>0</x:v>
      </x:c>
      <x:c r="W637" s="15" t="n">
        <x:f>'기준스탯 72종'!I33*G637</x:f>
        <x:v>0</x:v>
      </x:c>
      <x:c r="X637" s="15" t="n">
        <x:f>'기준스탯 72종'!J33*G637</x:f>
        <x:v>0</x:v>
      </x:c>
      <x:c r="Y637" s="15" t="n">
        <x:f>'기준스탯 72종'!K33*G637</x:f>
        <x:v>0</x:v>
      </x:c>
      <x:c r="Z637" s="15" t="n">
        <x:f>'기준스탯 72종'!D33*H637</x:f>
        <x:v>2.4000000000000004</x:v>
      </x:c>
      <x:c r="AA637" s="15" t="n">
        <x:f>'기준스탯 72종'!E33*H637</x:f>
        <x:v>1.4400000000000004</x:v>
      </x:c>
      <x:c r="AB637" s="15" t="n">
        <x:f>'기준스탯 72종'!F33*H637</x:f>
        <x:v>1.4400000000000004</x:v>
      </x:c>
      <x:c r="AC637" s="15" t="n">
        <x:f>'기준스탯 72종'!G33*H637</x:f>
        <x:v>1.6800000000000004</x:v>
      </x:c>
      <x:c r="AD637" s="15" t="n">
        <x:f>'기준스탯 72종'!H33*H637</x:f>
        <x:v>1.2000000000000002</x:v>
      </x:c>
      <x:c r="AE637" s="15" t="n">
        <x:f>'기준스탯 72종'!I33*H637</x:f>
        <x:v>1.9200000000000004</x:v>
      </x:c>
      <x:c r="AF637" s="15" t="n">
        <x:f>'기준스탯 72종'!J33*H637</x:f>
        <x:v>0.4800000000000001</x:v>
      </x:c>
      <x:c r="AG637" s="15" t="n">
        <x:f>'기준스탯 72종'!K33*H637</x:f>
        <x:v>0.24000000000000005</x:v>
      </x:c>
    </x:row>
    <x:row r="638" ht="28" customHeight="1">
      <x:c r="A638" s="2" t="n">
        <x:v>631</x:v>
      </x:c>
      <x:c r="B638" s="2" t="n">
        <x:v>26</x:v>
      </x:c>
      <x:c r="C638" s="2" t="str">
        <x:v>사자자리</x:v>
      </x:c>
      <x:c r="D638" s="2" t="str">
        <x:v>마도사</x:v>
      </x:c>
      <x:c r="E638" s="2" t="n">
        <x:v>1</x:v>
      </x:c>
      <x:c r="F638" s="2" t="n">
        <x:v>2</x:v>
      </x:c>
      <x:c r="G638" s="14" t="n">
        <x:f>('레벨 계산식'!$E$4-E638)*'레벨 계산식'!$B$5</x:f>
        <x:v>0.5599999999999999</x:v>
      </x:c>
      <x:c r="H638" s="14" t="n">
        <x:f>('등급 계산식'!$E$4-F638)*'등급 계산식'!$B$5</x:f>
        <x:v>0.18000000000000005</x:v>
      </x:c>
      <x:c r="I638" s="14" t="n">
        <x:f>1-G638-H638</x:f>
        <x:v>0.26</x:v>
      </x:c>
      <x:c r="J638" s="2" t="n">
        <x:f>MAX(1,ROUND('기준스탯 72종'!D33-R638-Z638,0))</x:f>
        <x:v>3</x:v>
      </x:c>
      <x:c r="K638" s="2" t="n">
        <x:f>MAX(1,ROUND('기준스탯 72종'!E33-S638-AA638,0))</x:f>
        <x:v>2</x:v>
      </x:c>
      <x:c r="L638" s="2" t="n">
        <x:f>MAX(1,ROUND('기준스탯 72종'!F33-T638-AB638,0))</x:f>
        <x:v>2</x:v>
      </x:c>
      <x:c r="M638" s="2" t="n">
        <x:f>MAX(1,ROUND('기준스탯 72종'!G33-U638-AC638,0))</x:f>
        <x:v>2</x:v>
      </x:c>
      <x:c r="N638" s="2" t="n">
        <x:f>MAX(0,ROUND('기준스탯 72종'!H33-V638-AD638,0))</x:f>
        <x:v>1</x:v>
      </x:c>
      <x:c r="O638" s="2" t="n">
        <x:f>MAX(0,ROUND('기준스탯 72종'!I33-W638-AE638,0))</x:f>
        <x:v>2</x:v>
      </x:c>
      <x:c r="P638" s="2" t="n">
        <x:f>MAX(0,ROUND('기준스탯 72종'!J33-X638-AF638,0))</x:f>
        <x:v>1</x:v>
      </x:c>
      <x:c r="Q638" s="2" t="n">
        <x:f>MAX(0,ROUND('기준스탯 72종'!K33-Y638-AG638,0))</x:f>
        <x:v>0</x:v>
      </x:c>
      <x:c r="R638" s="15" t="n">
        <x:f>'기준스탯 72종'!D33*G638</x:f>
        <x:v>5.6</x:v>
      </x:c>
      <x:c r="S638" s="15" t="n">
        <x:f>'기준스탯 72종'!E33*G638</x:f>
        <x:v>3.3599999999999994</x:v>
      </x:c>
      <x:c r="T638" s="15" t="n">
        <x:f>'기준스탯 72종'!F33*G638</x:f>
        <x:v>3.3599999999999994</x:v>
      </x:c>
      <x:c r="U638" s="15" t="n">
        <x:f>'기준스탯 72종'!G33*G638</x:f>
        <x:v>3.9199999999999995</x:v>
      </x:c>
      <x:c r="V638" s="15" t="n">
        <x:f>'기준스탯 72종'!H33*G638</x:f>
        <x:v>2.8</x:v>
      </x:c>
      <x:c r="W638" s="15" t="n">
        <x:f>'기준스탯 72종'!I33*G638</x:f>
        <x:v>4.4799999999999995</x:v>
      </x:c>
      <x:c r="X638" s="15" t="n">
        <x:f>'기준스탯 72종'!J33*G638</x:f>
        <x:v>1.1199999999999999</x:v>
      </x:c>
      <x:c r="Y638" s="15" t="n">
        <x:f>'기준스탯 72종'!K33*G638</x:f>
        <x:v>0.5599999999999999</x:v>
      </x:c>
      <x:c r="Z638" s="15" t="n">
        <x:f>'기준스탯 72종'!D33*H638</x:f>
        <x:v>1.8000000000000005</x:v>
      </x:c>
      <x:c r="AA638" s="15" t="n">
        <x:f>'기준스탯 72종'!E33*H638</x:f>
        <x:v>1.0800000000000003</x:v>
      </x:c>
      <x:c r="AB638" s="15" t="n">
        <x:f>'기준스탯 72종'!F33*H638</x:f>
        <x:v>1.0800000000000003</x:v>
      </x:c>
      <x:c r="AC638" s="15" t="n">
        <x:f>'기준스탯 72종'!G33*H638</x:f>
        <x:v>1.2600000000000002</x:v>
      </x:c>
      <x:c r="AD638" s="15" t="n">
        <x:f>'기준스탯 72종'!H33*H638</x:f>
        <x:v>0.9000000000000002</x:v>
      </x:c>
      <x:c r="AE638" s="15" t="n">
        <x:f>'기준스탯 72종'!I33*H638</x:f>
        <x:v>1.4400000000000004</x:v>
      </x:c>
      <x:c r="AF638" s="15" t="n">
        <x:f>'기준스탯 72종'!J33*H638</x:f>
        <x:v>0.3600000000000001</x:v>
      </x:c>
      <x:c r="AG638" s="15" t="n">
        <x:f>'기준스탯 72종'!K33*H638</x:f>
        <x:v>0.18000000000000005</x:v>
      </x:c>
    </x:row>
    <x:row r="639" ht="28" customHeight="1">
      <x:c r="A639" s="2" t="n">
        <x:v>632</x:v>
      </x:c>
      <x:c r="B639" s="2" t="n">
        <x:v>26</x:v>
      </x:c>
      <x:c r="C639" s="2" t="str">
        <x:v>사자자리</x:v>
      </x:c>
      <x:c r="D639" s="2" t="str">
        <x:v>마도사</x:v>
      </x:c>
      <x:c r="E639" s="2" t="n">
        <x:v>2</x:v>
      </x:c>
      <x:c r="F639" s="2" t="n">
        <x:v>2</x:v>
      </x:c>
      <x:c r="G639" s="14" t="n">
        <x:f>('레벨 계산식'!$E$4-E639)*'레벨 계산식'!$B$5</x:f>
        <x:v>0.41999999999999993</x:v>
      </x:c>
      <x:c r="H639" s="14" t="n">
        <x:f>('등급 계산식'!$E$4-F639)*'등급 계산식'!$B$5</x:f>
        <x:v>0.18000000000000005</x:v>
      </x:c>
      <x:c r="I639" s="14" t="n">
        <x:f>1-G639-H639</x:f>
        <x:v>0.4</x:v>
      </x:c>
      <x:c r="J639" s="2" t="n">
        <x:f>MAX(1,ROUND('기준스탯 72종'!D33-R639-Z639,0))</x:f>
        <x:v>4</x:v>
      </x:c>
      <x:c r="K639" s="2" t="n">
        <x:f>MAX(1,ROUND('기준스탯 72종'!E33-S639-AA639,0))</x:f>
        <x:v>2</x:v>
      </x:c>
      <x:c r="L639" s="2" t="n">
        <x:f>MAX(1,ROUND('기준스탯 72종'!F33-T639-AB639,0))</x:f>
        <x:v>2</x:v>
      </x:c>
      <x:c r="M639" s="2" t="n">
        <x:f>MAX(1,ROUND('기준스탯 72종'!G33-U639-AC639,0))</x:f>
        <x:v>3</x:v>
      </x:c>
      <x:c r="N639" s="2" t="n">
        <x:f>MAX(0,ROUND('기준스탯 72종'!H33-V639-AD639,0))</x:f>
        <x:v>2</x:v>
      </x:c>
      <x:c r="O639" s="2" t="n">
        <x:f>MAX(0,ROUND('기준스탯 72종'!I33-W639-AE639,0))</x:f>
        <x:v>3</x:v>
      </x:c>
      <x:c r="P639" s="2" t="n">
        <x:f>MAX(0,ROUND('기준스탯 72종'!J33-X639-AF639,0))</x:f>
        <x:v>1</x:v>
      </x:c>
      <x:c r="Q639" s="2" t="n">
        <x:f>MAX(0,ROUND('기준스탯 72종'!K33-Y639-AG639,0))</x:f>
        <x:v>0</x:v>
      </x:c>
      <x:c r="R639" s="15" t="n">
        <x:f>'기준스탯 72종'!D33*G639</x:f>
        <x:v>4.199999999999999</x:v>
      </x:c>
      <x:c r="S639" s="15" t="n">
        <x:f>'기준스탯 72종'!E33*G639</x:f>
        <x:v>2.5199999999999996</x:v>
      </x:c>
      <x:c r="T639" s="15" t="n">
        <x:f>'기준스탯 72종'!F33*G639</x:f>
        <x:v>2.5199999999999996</x:v>
      </x:c>
      <x:c r="U639" s="15" t="n">
        <x:f>'기준스탯 72종'!G33*G639</x:f>
        <x:v>2.9399999999999995</x:v>
      </x:c>
      <x:c r="V639" s="15" t="n">
        <x:f>'기준스탯 72종'!H33*G639</x:f>
        <x:v>2.0999999999999996</x:v>
      </x:c>
      <x:c r="W639" s="15" t="n">
        <x:f>'기준스탯 72종'!I33*G639</x:f>
        <x:v>3.3599999999999994</x:v>
      </x:c>
      <x:c r="X639" s="15" t="n">
        <x:f>'기준스탯 72종'!J33*G639</x:f>
        <x:v>0.8399999999999999</x:v>
      </x:c>
      <x:c r="Y639" s="15" t="n">
        <x:f>'기준스탯 72종'!K33*G639</x:f>
        <x:v>0.41999999999999993</x:v>
      </x:c>
      <x:c r="Z639" s="15" t="n">
        <x:f>'기준스탯 72종'!D33*H639</x:f>
        <x:v>1.8000000000000005</x:v>
      </x:c>
      <x:c r="AA639" s="15" t="n">
        <x:f>'기준스탯 72종'!E33*H639</x:f>
        <x:v>1.0800000000000003</x:v>
      </x:c>
      <x:c r="AB639" s="15" t="n">
        <x:f>'기준스탯 72종'!F33*H639</x:f>
        <x:v>1.0800000000000003</x:v>
      </x:c>
      <x:c r="AC639" s="15" t="n">
        <x:f>'기준스탯 72종'!G33*H639</x:f>
        <x:v>1.2600000000000002</x:v>
      </x:c>
      <x:c r="AD639" s="15" t="n">
        <x:f>'기준스탯 72종'!H33*H639</x:f>
        <x:v>0.9000000000000002</x:v>
      </x:c>
      <x:c r="AE639" s="15" t="n">
        <x:f>'기준스탯 72종'!I33*H639</x:f>
        <x:v>1.4400000000000004</x:v>
      </x:c>
      <x:c r="AF639" s="15" t="n">
        <x:f>'기준스탯 72종'!J33*H639</x:f>
        <x:v>0.3600000000000001</x:v>
      </x:c>
      <x:c r="AG639" s="15" t="n">
        <x:f>'기준스탯 72종'!K33*H639</x:f>
        <x:v>0.18000000000000005</x:v>
      </x:c>
    </x:row>
    <x:row r="640" ht="28" customHeight="1">
      <x:c r="A640" s="2" t="n">
        <x:v>633</x:v>
      </x:c>
      <x:c r="B640" s="2" t="n">
        <x:v>26</x:v>
      </x:c>
      <x:c r="C640" s="2" t="str">
        <x:v>사자자리</x:v>
      </x:c>
      <x:c r="D640" s="2" t="str">
        <x:v>마도사</x:v>
      </x:c>
      <x:c r="E640" s="2" t="n">
        <x:v>3</x:v>
      </x:c>
      <x:c r="F640" s="2" t="n">
        <x:v>2</x:v>
      </x:c>
      <x:c r="G640" s="14" t="n">
        <x:f>('레벨 계산식'!$E$4-E640)*'레벨 계산식'!$B$5</x:f>
        <x:v>0.27999999999999997</x:v>
      </x:c>
      <x:c r="H640" s="14" t="n">
        <x:f>('등급 계산식'!$E$4-F640)*'등급 계산식'!$B$5</x:f>
        <x:v>0.18000000000000005</x:v>
      </x:c>
      <x:c r="I640" s="14" t="n">
        <x:f>1-G640-H640</x:f>
        <x:v>0.5399999999999999</x:v>
      </x:c>
      <x:c r="J640" s="2" t="n">
        <x:f>MAX(1,ROUND('기준스탯 72종'!D33-R640-Z640,0))</x:f>
        <x:v>5</x:v>
      </x:c>
      <x:c r="K640" s="2" t="n">
        <x:f>MAX(1,ROUND('기준스탯 72종'!E33-S640-AA640,0))</x:f>
        <x:v>3</x:v>
      </x:c>
      <x:c r="L640" s="2" t="n">
        <x:f>MAX(1,ROUND('기준스탯 72종'!F33-T640-AB640,0))</x:f>
        <x:v>3</x:v>
      </x:c>
      <x:c r="M640" s="2" t="n">
        <x:f>MAX(1,ROUND('기준스탯 72종'!G33-U640-AC640,0))</x:f>
        <x:v>4</x:v>
      </x:c>
      <x:c r="N640" s="2" t="n">
        <x:f>MAX(0,ROUND('기준스탯 72종'!H33-V640-AD640,0))</x:f>
        <x:v>3</x:v>
      </x:c>
      <x:c r="O640" s="2" t="n">
        <x:f>MAX(0,ROUND('기준스탯 72종'!I33-W640-AE640,0))</x:f>
        <x:v>4</x:v>
      </x:c>
      <x:c r="P640" s="2" t="n">
        <x:f>MAX(0,ROUND('기준스탯 72종'!J33-X640-AF640,0))</x:f>
        <x:v>1</x:v>
      </x:c>
      <x:c r="Q640" s="2" t="n">
        <x:f>MAX(0,ROUND('기준스탯 72종'!K33-Y640-AG640,0))</x:f>
        <x:v>1</x:v>
      </x:c>
      <x:c r="R640" s="15" t="n">
        <x:f>'기준스탯 72종'!D33*G640</x:f>
        <x:v>2.8</x:v>
      </x:c>
      <x:c r="S640" s="15" t="n">
        <x:f>'기준스탯 72종'!E33*G640</x:f>
        <x:v>1.6799999999999997</x:v>
      </x:c>
      <x:c r="T640" s="15" t="n">
        <x:f>'기준스탯 72종'!F33*G640</x:f>
        <x:v>1.6799999999999997</x:v>
      </x:c>
      <x:c r="U640" s="15" t="n">
        <x:f>'기준스탯 72종'!G33*G640</x:f>
        <x:v>1.9599999999999997</x:v>
      </x:c>
      <x:c r="V640" s="15" t="n">
        <x:f>'기준스탯 72종'!H33*G640</x:f>
        <x:v>1.4</x:v>
      </x:c>
      <x:c r="W640" s="15" t="n">
        <x:f>'기준스탯 72종'!I33*G640</x:f>
        <x:v>2.2399999999999998</x:v>
      </x:c>
      <x:c r="X640" s="15" t="n">
        <x:f>'기준스탯 72종'!J33*G640</x:f>
        <x:v>0.5599999999999999</x:v>
      </x:c>
      <x:c r="Y640" s="15" t="n">
        <x:f>'기준스탯 72종'!K33*G640</x:f>
        <x:v>0.27999999999999997</x:v>
      </x:c>
      <x:c r="Z640" s="15" t="n">
        <x:f>'기준스탯 72종'!D33*H640</x:f>
        <x:v>1.8000000000000005</x:v>
      </x:c>
      <x:c r="AA640" s="15" t="n">
        <x:f>'기준스탯 72종'!E33*H640</x:f>
        <x:v>1.0800000000000003</x:v>
      </x:c>
      <x:c r="AB640" s="15" t="n">
        <x:f>'기준스탯 72종'!F33*H640</x:f>
        <x:v>1.0800000000000003</x:v>
      </x:c>
      <x:c r="AC640" s="15" t="n">
        <x:f>'기준스탯 72종'!G33*H640</x:f>
        <x:v>1.2600000000000002</x:v>
      </x:c>
      <x:c r="AD640" s="15" t="n">
        <x:f>'기준스탯 72종'!H33*H640</x:f>
        <x:v>0.9000000000000002</x:v>
      </x:c>
      <x:c r="AE640" s="15" t="n">
        <x:f>'기준스탯 72종'!I33*H640</x:f>
        <x:v>1.4400000000000004</x:v>
      </x:c>
      <x:c r="AF640" s="15" t="n">
        <x:f>'기준스탯 72종'!J33*H640</x:f>
        <x:v>0.3600000000000001</x:v>
      </x:c>
      <x:c r="AG640" s="15" t="n">
        <x:f>'기준스탯 72종'!K33*H640</x:f>
        <x:v>0.18000000000000005</x:v>
      </x:c>
    </x:row>
    <x:row r="641" ht="28" customHeight="1">
      <x:c r="A641" s="2" t="n">
        <x:v>634</x:v>
      </x:c>
      <x:c r="B641" s="2" t="n">
        <x:v>26</x:v>
      </x:c>
      <x:c r="C641" s="2" t="str">
        <x:v>사자자리</x:v>
      </x:c>
      <x:c r="D641" s="2" t="str">
        <x:v>마도사</x:v>
      </x:c>
      <x:c r="E641" s="2" t="n">
        <x:v>4</x:v>
      </x:c>
      <x:c r="F641" s="2" t="n">
        <x:v>2</x:v>
      </x:c>
      <x:c r="G641" s="14" t="n">
        <x:f>('레벨 계산식'!$E$4-E641)*'레벨 계산식'!$B$5</x:f>
        <x:v>0.13999999999999999</x:v>
      </x:c>
      <x:c r="H641" s="14" t="n">
        <x:f>('등급 계산식'!$E$4-F641)*'등급 계산식'!$B$5</x:f>
        <x:v>0.18000000000000005</x:v>
      </x:c>
      <x:c r="I641" s="14" t="n">
        <x:f>1-G641-H641</x:f>
        <x:v>0.6799999999999999</x:v>
      </x:c>
      <x:c r="J641" s="2" t="n">
        <x:f>MAX(1,ROUND('기준스탯 72종'!D33-R641-Z641,0))</x:f>
        <x:v>7</x:v>
      </x:c>
      <x:c r="K641" s="2" t="n">
        <x:f>MAX(1,ROUND('기준스탯 72종'!E33-S641-AA641,0))</x:f>
        <x:v>4</x:v>
      </x:c>
      <x:c r="L641" s="2" t="n">
        <x:f>MAX(1,ROUND('기준스탯 72종'!F33-T641-AB641,0))</x:f>
        <x:v>4</x:v>
      </x:c>
      <x:c r="M641" s="2" t="n">
        <x:f>MAX(1,ROUND('기준스탯 72종'!G33-U641-AC641,0))</x:f>
        <x:v>5</x:v>
      </x:c>
      <x:c r="N641" s="2" t="n">
        <x:f>MAX(0,ROUND('기준스탯 72종'!H33-V641-AD641,0))</x:f>
        <x:v>3</x:v>
      </x:c>
      <x:c r="O641" s="2" t="n">
        <x:f>MAX(0,ROUND('기준스탯 72종'!I33-W641-AE641,0))</x:f>
        <x:v>5</x:v>
      </x:c>
      <x:c r="P641" s="2" t="n">
        <x:f>MAX(0,ROUND('기준스탯 72종'!J33-X641-AF641,0))</x:f>
        <x:v>1</x:v>
      </x:c>
      <x:c r="Q641" s="2" t="n">
        <x:f>MAX(0,ROUND('기준스탯 72종'!K33-Y641-AG641,0))</x:f>
        <x:v>1</x:v>
      </x:c>
      <x:c r="R641" s="15" t="n">
        <x:f>'기준스탯 72종'!D33*G641</x:f>
        <x:v>1.4</x:v>
      </x:c>
      <x:c r="S641" s="15" t="n">
        <x:f>'기준스탯 72종'!E33*G641</x:f>
        <x:v>0.8399999999999999</x:v>
      </x:c>
      <x:c r="T641" s="15" t="n">
        <x:f>'기준스탯 72종'!F33*G641</x:f>
        <x:v>0.8399999999999999</x:v>
      </x:c>
      <x:c r="U641" s="15" t="n">
        <x:f>'기준스탯 72종'!G33*G641</x:f>
        <x:v>0.9799999999999999</x:v>
      </x:c>
      <x:c r="V641" s="15" t="n">
        <x:f>'기준스탯 72종'!H33*G641</x:f>
        <x:v>0.7</x:v>
      </x:c>
      <x:c r="W641" s="15" t="n">
        <x:f>'기준스탯 72종'!I33*G641</x:f>
        <x:v>1.1199999999999999</x:v>
      </x:c>
      <x:c r="X641" s="15" t="n">
        <x:f>'기준스탯 72종'!J33*G641</x:f>
        <x:v>0.27999999999999997</x:v>
      </x:c>
      <x:c r="Y641" s="15" t="n">
        <x:f>'기준스탯 72종'!K33*G641</x:f>
        <x:v>0.13999999999999999</x:v>
      </x:c>
      <x:c r="Z641" s="15" t="n">
        <x:f>'기준스탯 72종'!D33*H641</x:f>
        <x:v>1.8000000000000005</x:v>
      </x:c>
      <x:c r="AA641" s="15" t="n">
        <x:f>'기준스탯 72종'!E33*H641</x:f>
        <x:v>1.0800000000000003</x:v>
      </x:c>
      <x:c r="AB641" s="15" t="n">
        <x:f>'기준스탯 72종'!F33*H641</x:f>
        <x:v>1.0800000000000003</x:v>
      </x:c>
      <x:c r="AC641" s="15" t="n">
        <x:f>'기준스탯 72종'!G33*H641</x:f>
        <x:v>1.2600000000000002</x:v>
      </x:c>
      <x:c r="AD641" s="15" t="n">
        <x:f>'기준스탯 72종'!H33*H641</x:f>
        <x:v>0.9000000000000002</x:v>
      </x:c>
      <x:c r="AE641" s="15" t="n">
        <x:f>'기준스탯 72종'!I33*H641</x:f>
        <x:v>1.4400000000000004</x:v>
      </x:c>
      <x:c r="AF641" s="15" t="n">
        <x:f>'기준스탯 72종'!J33*H641</x:f>
        <x:v>0.3600000000000001</x:v>
      </x:c>
      <x:c r="AG641" s="15" t="n">
        <x:f>'기준스탯 72종'!K33*H641</x:f>
        <x:v>0.18000000000000005</x:v>
      </x:c>
    </x:row>
    <x:row r="642" ht="28" customHeight="1">
      <x:c r="A642" s="2" t="n">
        <x:v>635</x:v>
      </x:c>
      <x:c r="B642" s="2" t="n">
        <x:v>26</x:v>
      </x:c>
      <x:c r="C642" s="2" t="str">
        <x:v>사자자리</x:v>
      </x:c>
      <x:c r="D642" s="2" t="str">
        <x:v>마도사</x:v>
      </x:c>
      <x:c r="E642" s="2" t="n">
        <x:v>5</x:v>
      </x:c>
      <x:c r="F642" s="2" t="n">
        <x:v>2</x:v>
      </x:c>
      <x:c r="G642" s="14" t="n">
        <x:f>('레벨 계산식'!$E$4-E642)*'레벨 계산식'!$B$5</x:f>
        <x:v>0</x:v>
      </x:c>
      <x:c r="H642" s="14" t="n">
        <x:f>('등급 계산식'!$E$4-F642)*'등급 계산식'!$B$5</x:f>
        <x:v>0.18000000000000005</x:v>
      </x:c>
      <x:c r="I642" s="14" t="n">
        <x:f>1-G642-H642</x:f>
        <x:v>0.82</x:v>
      </x:c>
      <x:c r="J642" s="2" t="n">
        <x:f>MAX(1,ROUND('기준스탯 72종'!D33-R642-Z642,0))</x:f>
        <x:v>8</x:v>
      </x:c>
      <x:c r="K642" s="2" t="n">
        <x:f>MAX(1,ROUND('기준스탯 72종'!E33-S642-AA642,0))</x:f>
        <x:v>5</x:v>
      </x:c>
      <x:c r="L642" s="2" t="n">
        <x:f>MAX(1,ROUND('기준스탯 72종'!F33-T642-AB642,0))</x:f>
        <x:v>5</x:v>
      </x:c>
      <x:c r="M642" s="2" t="n">
        <x:f>MAX(1,ROUND('기준스탯 72종'!G33-U642-AC642,0))</x:f>
        <x:v>6</x:v>
      </x:c>
      <x:c r="N642" s="2" t="n">
        <x:f>MAX(0,ROUND('기준스탯 72종'!H33-V642-AD642,0))</x:f>
        <x:v>4</x:v>
      </x:c>
      <x:c r="O642" s="2" t="n">
        <x:f>MAX(0,ROUND('기준스탯 72종'!I33-W642-AE642,0))</x:f>
        <x:v>7</x:v>
      </x:c>
      <x:c r="P642" s="2" t="n">
        <x:f>MAX(0,ROUND('기준스탯 72종'!J33-X642-AF642,0))</x:f>
        <x:v>2</x:v>
      </x:c>
      <x:c r="Q642" s="2" t="n">
        <x:f>MAX(0,ROUND('기준스탯 72종'!K33-Y642-AG642,0))</x:f>
        <x:v>1</x:v>
      </x:c>
      <x:c r="R642" s="15" t="n">
        <x:f>'기준스탯 72종'!D33*G642</x:f>
        <x:v>0</x:v>
      </x:c>
      <x:c r="S642" s="15" t="n">
        <x:f>'기준스탯 72종'!E33*G642</x:f>
        <x:v>0</x:v>
      </x:c>
      <x:c r="T642" s="15" t="n">
        <x:f>'기준스탯 72종'!F33*G642</x:f>
        <x:v>0</x:v>
      </x:c>
      <x:c r="U642" s="15" t="n">
        <x:f>'기준스탯 72종'!G33*G642</x:f>
        <x:v>0</x:v>
      </x:c>
      <x:c r="V642" s="15" t="n">
        <x:f>'기준스탯 72종'!H33*G642</x:f>
        <x:v>0</x:v>
      </x:c>
      <x:c r="W642" s="15" t="n">
        <x:f>'기준스탯 72종'!I33*G642</x:f>
        <x:v>0</x:v>
      </x:c>
      <x:c r="X642" s="15" t="n">
        <x:f>'기준스탯 72종'!J33*G642</x:f>
        <x:v>0</x:v>
      </x:c>
      <x:c r="Y642" s="15" t="n">
        <x:f>'기준스탯 72종'!K33*G642</x:f>
        <x:v>0</x:v>
      </x:c>
      <x:c r="Z642" s="15" t="n">
        <x:f>'기준스탯 72종'!D33*H642</x:f>
        <x:v>1.8000000000000005</x:v>
      </x:c>
      <x:c r="AA642" s="15" t="n">
        <x:f>'기준스탯 72종'!E33*H642</x:f>
        <x:v>1.0800000000000003</x:v>
      </x:c>
      <x:c r="AB642" s="15" t="n">
        <x:f>'기준스탯 72종'!F33*H642</x:f>
        <x:v>1.0800000000000003</x:v>
      </x:c>
      <x:c r="AC642" s="15" t="n">
        <x:f>'기준스탯 72종'!G33*H642</x:f>
        <x:v>1.2600000000000002</x:v>
      </x:c>
      <x:c r="AD642" s="15" t="n">
        <x:f>'기준스탯 72종'!H33*H642</x:f>
        <x:v>0.9000000000000002</x:v>
      </x:c>
      <x:c r="AE642" s="15" t="n">
        <x:f>'기준스탯 72종'!I33*H642</x:f>
        <x:v>1.4400000000000004</x:v>
      </x:c>
      <x:c r="AF642" s="15" t="n">
        <x:f>'기준스탯 72종'!J33*H642</x:f>
        <x:v>0.3600000000000001</x:v>
      </x:c>
      <x:c r="AG642" s="15" t="n">
        <x:f>'기준스탯 72종'!K33*H642</x:f>
        <x:v>0.18000000000000005</x:v>
      </x:c>
    </x:row>
    <x:row r="643" ht="28" customHeight="1">
      <x:c r="A643" s="2" t="n">
        <x:v>636</x:v>
      </x:c>
      <x:c r="B643" s="2" t="n">
        <x:v>26</x:v>
      </x:c>
      <x:c r="C643" s="2" t="str">
        <x:v>사자자리</x:v>
      </x:c>
      <x:c r="D643" s="2" t="str">
        <x:v>마도사</x:v>
      </x:c>
      <x:c r="E643" s="2" t="n">
        <x:v>1</x:v>
      </x:c>
      <x:c r="F643" s="2" t="n">
        <x:v>3</x:v>
      </x:c>
      <x:c r="G643" s="14" t="n">
        <x:f>('레벨 계산식'!$E$4-E643)*'레벨 계산식'!$B$5</x:f>
        <x:v>0.5599999999999999</x:v>
      </x:c>
      <x:c r="H643" s="14" t="n">
        <x:f>('등급 계산식'!$E$4-F643)*'등급 계산식'!$B$5</x:f>
        <x:v>0.12000000000000002</x:v>
      </x:c>
      <x:c r="I643" s="14" t="n">
        <x:f>1-G643-H643</x:f>
        <x:v>0.32000000000000006</x:v>
      </x:c>
      <x:c r="J643" s="2" t="n">
        <x:f>MAX(1,ROUND('기준스탯 72종'!D33-R643-Z643,0))</x:f>
        <x:v>3</x:v>
      </x:c>
      <x:c r="K643" s="2" t="n">
        <x:f>MAX(1,ROUND('기준스탯 72종'!E33-S643-AA643,0))</x:f>
        <x:v>2</x:v>
      </x:c>
      <x:c r="L643" s="2" t="n">
        <x:f>MAX(1,ROUND('기준스탯 72종'!F33-T643-AB643,0))</x:f>
        <x:v>2</x:v>
      </x:c>
      <x:c r="M643" s="2" t="n">
        <x:f>MAX(1,ROUND('기준스탯 72종'!G33-U643-AC643,0))</x:f>
        <x:v>2</x:v>
      </x:c>
      <x:c r="N643" s="2" t="n">
        <x:f>MAX(0,ROUND('기준스탯 72종'!H33-V643-AD643,0))</x:f>
        <x:v>2</x:v>
      </x:c>
      <x:c r="O643" s="2" t="n">
        <x:f>MAX(0,ROUND('기준스탯 72종'!I33-W643-AE643,0))</x:f>
        <x:v>3</x:v>
      </x:c>
      <x:c r="P643" s="2" t="n">
        <x:f>MAX(0,ROUND('기준스탯 72종'!J33-X643-AF643,0))</x:f>
        <x:v>1</x:v>
      </x:c>
      <x:c r="Q643" s="2" t="n">
        <x:f>MAX(0,ROUND('기준스탯 72종'!K33-Y643-AG643,0))</x:f>
        <x:v>0</x:v>
      </x:c>
      <x:c r="R643" s="15" t="n">
        <x:f>'기준스탯 72종'!D33*G643</x:f>
        <x:v>5.6</x:v>
      </x:c>
      <x:c r="S643" s="15" t="n">
        <x:f>'기준스탯 72종'!E33*G643</x:f>
        <x:v>3.3599999999999994</x:v>
      </x:c>
      <x:c r="T643" s="15" t="n">
        <x:f>'기준스탯 72종'!F33*G643</x:f>
        <x:v>3.3599999999999994</x:v>
      </x:c>
      <x:c r="U643" s="15" t="n">
        <x:f>'기준스탯 72종'!G33*G643</x:f>
        <x:v>3.9199999999999995</x:v>
      </x:c>
      <x:c r="V643" s="15" t="n">
        <x:f>'기준스탯 72종'!H33*G643</x:f>
        <x:v>2.8</x:v>
      </x:c>
      <x:c r="W643" s="15" t="n">
        <x:f>'기준스탯 72종'!I33*G643</x:f>
        <x:v>4.4799999999999995</x:v>
      </x:c>
      <x:c r="X643" s="15" t="n">
        <x:f>'기준스탯 72종'!J33*G643</x:f>
        <x:v>1.1199999999999999</x:v>
      </x:c>
      <x:c r="Y643" s="15" t="n">
        <x:f>'기준스탯 72종'!K33*G643</x:f>
        <x:v>0.5599999999999999</x:v>
      </x:c>
      <x:c r="Z643" s="15" t="n">
        <x:f>'기준스탯 72종'!D33*H643</x:f>
        <x:v>1.2000000000000002</x:v>
      </x:c>
      <x:c r="AA643" s="15" t="n">
        <x:f>'기준스탯 72종'!E33*H643</x:f>
        <x:v>0.7200000000000002</x:v>
      </x:c>
      <x:c r="AB643" s="15" t="n">
        <x:f>'기준스탯 72종'!F33*H643</x:f>
        <x:v>0.7200000000000002</x:v>
      </x:c>
      <x:c r="AC643" s="15" t="n">
        <x:f>'기준스탯 72종'!G33*H643</x:f>
        <x:v>0.8400000000000002</x:v>
      </x:c>
      <x:c r="AD643" s="15" t="n">
        <x:f>'기준스탯 72종'!H33*H643</x:f>
        <x:v>0.6000000000000001</x:v>
      </x:c>
      <x:c r="AE643" s="15" t="n">
        <x:f>'기준스탯 72종'!I33*H643</x:f>
        <x:v>0.9600000000000002</x:v>
      </x:c>
      <x:c r="AF643" s="15" t="n">
        <x:f>'기준스탯 72종'!J33*H643</x:f>
        <x:v>0.24000000000000005</x:v>
      </x:c>
      <x:c r="AG643" s="15" t="n">
        <x:f>'기준스탯 72종'!K33*H643</x:f>
        <x:v>0.12000000000000002</x:v>
      </x:c>
    </x:row>
    <x:row r="644" ht="28" customHeight="1">
      <x:c r="A644" s="2" t="n">
        <x:v>637</x:v>
      </x:c>
      <x:c r="B644" s="2" t="n">
        <x:v>26</x:v>
      </x:c>
      <x:c r="C644" s="2" t="str">
        <x:v>사자자리</x:v>
      </x:c>
      <x:c r="D644" s="2" t="str">
        <x:v>마도사</x:v>
      </x:c>
      <x:c r="E644" s="2" t="n">
        <x:v>2</x:v>
      </x:c>
      <x:c r="F644" s="2" t="n">
        <x:v>3</x:v>
      </x:c>
      <x:c r="G644" s="14" t="n">
        <x:f>('레벨 계산식'!$E$4-E644)*'레벨 계산식'!$B$5</x:f>
        <x:v>0.41999999999999993</x:v>
      </x:c>
      <x:c r="H644" s="14" t="n">
        <x:f>('등급 계산식'!$E$4-F644)*'등급 계산식'!$B$5</x:f>
        <x:v>0.12000000000000002</x:v>
      </x:c>
      <x:c r="I644" s="14" t="n">
        <x:f>1-G644-H644</x:f>
        <x:v>0.4600000000000001</x:v>
      </x:c>
      <x:c r="J644" s="2" t="n">
        <x:f>MAX(1,ROUND('기준스탯 72종'!D33-R644-Z644,0))</x:f>
        <x:v>5</x:v>
      </x:c>
      <x:c r="K644" s="2" t="n">
        <x:f>MAX(1,ROUND('기준스탯 72종'!E33-S644-AA644,0))</x:f>
        <x:v>3</x:v>
      </x:c>
      <x:c r="L644" s="2" t="n">
        <x:f>MAX(1,ROUND('기준스탯 72종'!F33-T644-AB644,0))</x:f>
        <x:v>3</x:v>
      </x:c>
      <x:c r="M644" s="2" t="n">
        <x:f>MAX(1,ROUND('기준스탯 72종'!G33-U644-AC644,0))</x:f>
        <x:v>3</x:v>
      </x:c>
      <x:c r="N644" s="2" t="n">
        <x:f>MAX(0,ROUND('기준스탯 72종'!H33-V644-AD644,0))</x:f>
        <x:v>2</x:v>
      </x:c>
      <x:c r="O644" s="2" t="n">
        <x:f>MAX(0,ROUND('기준스탯 72종'!I33-W644-AE644,0))</x:f>
        <x:v>4</x:v>
      </x:c>
      <x:c r="P644" s="2" t="n">
        <x:f>MAX(0,ROUND('기준스탯 72종'!J33-X644-AF644,0))</x:f>
        <x:v>1</x:v>
      </x:c>
      <x:c r="Q644" s="2" t="n">
        <x:f>MAX(0,ROUND('기준스탯 72종'!K33-Y644-AG644,0))</x:f>
        <x:v>0</x:v>
      </x:c>
      <x:c r="R644" s="15" t="n">
        <x:f>'기준스탯 72종'!D33*G644</x:f>
        <x:v>4.199999999999999</x:v>
      </x:c>
      <x:c r="S644" s="15" t="n">
        <x:f>'기준스탯 72종'!E33*G644</x:f>
        <x:v>2.5199999999999996</x:v>
      </x:c>
      <x:c r="T644" s="15" t="n">
        <x:f>'기준스탯 72종'!F33*G644</x:f>
        <x:v>2.5199999999999996</x:v>
      </x:c>
      <x:c r="U644" s="15" t="n">
        <x:f>'기준스탯 72종'!G33*G644</x:f>
        <x:v>2.9399999999999995</x:v>
      </x:c>
      <x:c r="V644" s="15" t="n">
        <x:f>'기준스탯 72종'!H33*G644</x:f>
        <x:v>2.0999999999999996</x:v>
      </x:c>
      <x:c r="W644" s="15" t="n">
        <x:f>'기준스탯 72종'!I33*G644</x:f>
        <x:v>3.3599999999999994</x:v>
      </x:c>
      <x:c r="X644" s="15" t="n">
        <x:f>'기준스탯 72종'!J33*G644</x:f>
        <x:v>0.8399999999999999</x:v>
      </x:c>
      <x:c r="Y644" s="15" t="n">
        <x:f>'기준스탯 72종'!K33*G644</x:f>
        <x:v>0.41999999999999993</x:v>
      </x:c>
      <x:c r="Z644" s="15" t="n">
        <x:f>'기준스탯 72종'!D33*H644</x:f>
        <x:v>1.2000000000000002</x:v>
      </x:c>
      <x:c r="AA644" s="15" t="n">
        <x:f>'기준스탯 72종'!E33*H644</x:f>
        <x:v>0.7200000000000002</x:v>
      </x:c>
      <x:c r="AB644" s="15" t="n">
        <x:f>'기준스탯 72종'!F33*H644</x:f>
        <x:v>0.7200000000000002</x:v>
      </x:c>
      <x:c r="AC644" s="15" t="n">
        <x:f>'기준스탯 72종'!G33*H644</x:f>
        <x:v>0.8400000000000002</x:v>
      </x:c>
      <x:c r="AD644" s="15" t="n">
        <x:f>'기준스탯 72종'!H33*H644</x:f>
        <x:v>0.6000000000000001</x:v>
      </x:c>
      <x:c r="AE644" s="15" t="n">
        <x:f>'기준스탯 72종'!I33*H644</x:f>
        <x:v>0.9600000000000002</x:v>
      </x:c>
      <x:c r="AF644" s="15" t="n">
        <x:f>'기준스탯 72종'!J33*H644</x:f>
        <x:v>0.24000000000000005</x:v>
      </x:c>
      <x:c r="AG644" s="15" t="n">
        <x:f>'기준스탯 72종'!K33*H644</x:f>
        <x:v>0.12000000000000002</x:v>
      </x:c>
    </x:row>
    <x:row r="645" ht="28" customHeight="1">
      <x:c r="A645" s="2" t="n">
        <x:v>638</x:v>
      </x:c>
      <x:c r="B645" s="2" t="n">
        <x:v>26</x:v>
      </x:c>
      <x:c r="C645" s="2" t="str">
        <x:v>사자자리</x:v>
      </x:c>
      <x:c r="D645" s="2" t="str">
        <x:v>마도사</x:v>
      </x:c>
      <x:c r="E645" s="2" t="n">
        <x:v>3</x:v>
      </x:c>
      <x:c r="F645" s="2" t="n">
        <x:v>3</x:v>
      </x:c>
      <x:c r="G645" s="14" t="n">
        <x:f>('레벨 계산식'!$E$4-E645)*'레벨 계산식'!$B$5</x:f>
        <x:v>0.27999999999999997</x:v>
      </x:c>
      <x:c r="H645" s="14" t="n">
        <x:f>('등급 계산식'!$E$4-F645)*'등급 계산식'!$B$5</x:f>
        <x:v>0.12000000000000002</x:v>
      </x:c>
      <x:c r="I645" s="14" t="n">
        <x:f>1-G645-H645</x:f>
        <x:v>0.6</x:v>
      </x:c>
      <x:c r="J645" s="2" t="n">
        <x:f>MAX(1,ROUND('기준스탯 72종'!D33-R645-Z645,0))</x:f>
        <x:v>6</x:v>
      </x:c>
      <x:c r="K645" s="2" t="n">
        <x:f>MAX(1,ROUND('기준스탯 72종'!E33-S645-AA645,0))</x:f>
        <x:v>4</x:v>
      </x:c>
      <x:c r="L645" s="2" t="n">
        <x:f>MAX(1,ROUND('기준스탯 72종'!F33-T645-AB645,0))</x:f>
        <x:v>4</x:v>
      </x:c>
      <x:c r="M645" s="2" t="n">
        <x:f>MAX(1,ROUND('기준스탯 72종'!G33-U645-AC645,0))</x:f>
        <x:v>4</x:v>
      </x:c>
      <x:c r="N645" s="2" t="n">
        <x:f>MAX(0,ROUND('기준스탯 72종'!H33-V645-AD645,0))</x:f>
        <x:v>3</x:v>
      </x:c>
      <x:c r="O645" s="2" t="n">
        <x:f>MAX(0,ROUND('기준스탯 72종'!I33-W645-AE645,0))</x:f>
        <x:v>5</x:v>
      </x:c>
      <x:c r="P645" s="2" t="n">
        <x:f>MAX(0,ROUND('기준스탯 72종'!J33-X645-AF645,0))</x:f>
        <x:v>1</x:v>
      </x:c>
      <x:c r="Q645" s="2" t="n">
        <x:f>MAX(0,ROUND('기준스탯 72종'!K33-Y645-AG645,0))</x:f>
        <x:v>1</x:v>
      </x:c>
      <x:c r="R645" s="15" t="n">
        <x:f>'기준스탯 72종'!D33*G645</x:f>
        <x:v>2.8</x:v>
      </x:c>
      <x:c r="S645" s="15" t="n">
        <x:f>'기준스탯 72종'!E33*G645</x:f>
        <x:v>1.6799999999999997</x:v>
      </x:c>
      <x:c r="T645" s="15" t="n">
        <x:f>'기준스탯 72종'!F33*G645</x:f>
        <x:v>1.6799999999999997</x:v>
      </x:c>
      <x:c r="U645" s="15" t="n">
        <x:f>'기준스탯 72종'!G33*G645</x:f>
        <x:v>1.9599999999999997</x:v>
      </x:c>
      <x:c r="V645" s="15" t="n">
        <x:f>'기준스탯 72종'!H33*G645</x:f>
        <x:v>1.4</x:v>
      </x:c>
      <x:c r="W645" s="15" t="n">
        <x:f>'기준스탯 72종'!I33*G645</x:f>
        <x:v>2.2399999999999998</x:v>
      </x:c>
      <x:c r="X645" s="15" t="n">
        <x:f>'기준스탯 72종'!J33*G645</x:f>
        <x:v>0.5599999999999999</x:v>
      </x:c>
      <x:c r="Y645" s="15" t="n">
        <x:f>'기준스탯 72종'!K33*G645</x:f>
        <x:v>0.27999999999999997</x:v>
      </x:c>
      <x:c r="Z645" s="15" t="n">
        <x:f>'기준스탯 72종'!D33*H645</x:f>
        <x:v>1.2000000000000002</x:v>
      </x:c>
      <x:c r="AA645" s="15" t="n">
        <x:f>'기준스탯 72종'!E33*H645</x:f>
        <x:v>0.7200000000000002</x:v>
      </x:c>
      <x:c r="AB645" s="15" t="n">
        <x:f>'기준스탯 72종'!F33*H645</x:f>
        <x:v>0.7200000000000002</x:v>
      </x:c>
      <x:c r="AC645" s="15" t="n">
        <x:f>'기준스탯 72종'!G33*H645</x:f>
        <x:v>0.8400000000000002</x:v>
      </x:c>
      <x:c r="AD645" s="15" t="n">
        <x:f>'기준스탯 72종'!H33*H645</x:f>
        <x:v>0.6000000000000001</x:v>
      </x:c>
      <x:c r="AE645" s="15" t="n">
        <x:f>'기준스탯 72종'!I33*H645</x:f>
        <x:v>0.9600000000000002</x:v>
      </x:c>
      <x:c r="AF645" s="15" t="n">
        <x:f>'기준스탯 72종'!J33*H645</x:f>
        <x:v>0.24000000000000005</x:v>
      </x:c>
      <x:c r="AG645" s="15" t="n">
        <x:f>'기준스탯 72종'!K33*H645</x:f>
        <x:v>0.12000000000000002</x:v>
      </x:c>
    </x:row>
    <x:row r="646" ht="28" customHeight="1">
      <x:c r="A646" s="2" t="n">
        <x:v>639</x:v>
      </x:c>
      <x:c r="B646" s="2" t="n">
        <x:v>26</x:v>
      </x:c>
      <x:c r="C646" s="2" t="str">
        <x:v>사자자리</x:v>
      </x:c>
      <x:c r="D646" s="2" t="str">
        <x:v>마도사</x:v>
      </x:c>
      <x:c r="E646" s="2" t="n">
        <x:v>4</x:v>
      </x:c>
      <x:c r="F646" s="2" t="n">
        <x:v>3</x:v>
      </x:c>
      <x:c r="G646" s="14" t="n">
        <x:f>('레벨 계산식'!$E$4-E646)*'레벨 계산식'!$B$5</x:f>
        <x:v>0.13999999999999999</x:v>
      </x:c>
      <x:c r="H646" s="14" t="n">
        <x:f>('등급 계산식'!$E$4-F646)*'등급 계산식'!$B$5</x:f>
        <x:v>0.12000000000000002</x:v>
      </x:c>
      <x:c r="I646" s="14" t="n">
        <x:f>1-G646-H646</x:f>
        <x:v>0.74</x:v>
      </x:c>
      <x:c r="J646" s="2" t="n">
        <x:f>MAX(1,ROUND('기준스탯 72종'!D33-R646-Z646,0))</x:f>
        <x:v>7</x:v>
      </x:c>
      <x:c r="K646" s="2" t="n">
        <x:f>MAX(1,ROUND('기준스탯 72종'!E33-S646-AA646,0))</x:f>
        <x:v>4</x:v>
      </x:c>
      <x:c r="L646" s="2" t="n">
        <x:f>MAX(1,ROUND('기준스탯 72종'!F33-T646-AB646,0))</x:f>
        <x:v>4</x:v>
      </x:c>
      <x:c r="M646" s="2" t="n">
        <x:f>MAX(1,ROUND('기준스탯 72종'!G33-U646-AC646,0))</x:f>
        <x:v>5</x:v>
      </x:c>
      <x:c r="N646" s="2" t="n">
        <x:f>MAX(0,ROUND('기준스탯 72종'!H33-V646-AD646,0))</x:f>
        <x:v>4</x:v>
      </x:c>
      <x:c r="O646" s="2" t="n">
        <x:f>MAX(0,ROUND('기준스탯 72종'!I33-W646-AE646,0))</x:f>
        <x:v>6</x:v>
      </x:c>
      <x:c r="P646" s="2" t="n">
        <x:f>MAX(0,ROUND('기준스탯 72종'!J33-X646-AF646,0))</x:f>
        <x:v>1</x:v>
      </x:c>
      <x:c r="Q646" s="2" t="n">
        <x:f>MAX(0,ROUND('기준스탯 72종'!K33-Y646-AG646,0))</x:f>
        <x:v>1</x:v>
      </x:c>
      <x:c r="R646" s="15" t="n">
        <x:f>'기준스탯 72종'!D33*G646</x:f>
        <x:v>1.4</x:v>
      </x:c>
      <x:c r="S646" s="15" t="n">
        <x:f>'기준스탯 72종'!E33*G646</x:f>
        <x:v>0.8399999999999999</x:v>
      </x:c>
      <x:c r="T646" s="15" t="n">
        <x:f>'기준스탯 72종'!F33*G646</x:f>
        <x:v>0.8399999999999999</x:v>
      </x:c>
      <x:c r="U646" s="15" t="n">
        <x:f>'기준스탯 72종'!G33*G646</x:f>
        <x:v>0.9799999999999999</x:v>
      </x:c>
      <x:c r="V646" s="15" t="n">
        <x:f>'기준스탯 72종'!H33*G646</x:f>
        <x:v>0.7</x:v>
      </x:c>
      <x:c r="W646" s="15" t="n">
        <x:f>'기준스탯 72종'!I33*G646</x:f>
        <x:v>1.1199999999999999</x:v>
      </x:c>
      <x:c r="X646" s="15" t="n">
        <x:f>'기준스탯 72종'!J33*G646</x:f>
        <x:v>0.27999999999999997</x:v>
      </x:c>
      <x:c r="Y646" s="15" t="n">
        <x:f>'기준스탯 72종'!K33*G646</x:f>
        <x:v>0.13999999999999999</x:v>
      </x:c>
      <x:c r="Z646" s="15" t="n">
        <x:f>'기준스탯 72종'!D33*H646</x:f>
        <x:v>1.2000000000000002</x:v>
      </x:c>
      <x:c r="AA646" s="15" t="n">
        <x:f>'기준스탯 72종'!E33*H646</x:f>
        <x:v>0.7200000000000002</x:v>
      </x:c>
      <x:c r="AB646" s="15" t="n">
        <x:f>'기준스탯 72종'!F33*H646</x:f>
        <x:v>0.7200000000000002</x:v>
      </x:c>
      <x:c r="AC646" s="15" t="n">
        <x:f>'기준스탯 72종'!G33*H646</x:f>
        <x:v>0.8400000000000002</x:v>
      </x:c>
      <x:c r="AD646" s="15" t="n">
        <x:f>'기준스탯 72종'!H33*H646</x:f>
        <x:v>0.6000000000000001</x:v>
      </x:c>
      <x:c r="AE646" s="15" t="n">
        <x:f>'기준스탯 72종'!I33*H646</x:f>
        <x:v>0.9600000000000002</x:v>
      </x:c>
      <x:c r="AF646" s="15" t="n">
        <x:f>'기준스탯 72종'!J33*H646</x:f>
        <x:v>0.24000000000000005</x:v>
      </x:c>
      <x:c r="AG646" s="15" t="n">
        <x:f>'기준스탯 72종'!K33*H646</x:f>
        <x:v>0.12000000000000002</x:v>
      </x:c>
    </x:row>
    <x:row r="647" ht="28" customHeight="1">
      <x:c r="A647" s="2" t="n">
        <x:v>640</x:v>
      </x:c>
      <x:c r="B647" s="2" t="n">
        <x:v>26</x:v>
      </x:c>
      <x:c r="C647" s="2" t="str">
        <x:v>사자자리</x:v>
      </x:c>
      <x:c r="D647" s="2" t="str">
        <x:v>마도사</x:v>
      </x:c>
      <x:c r="E647" s="2" t="n">
        <x:v>5</x:v>
      </x:c>
      <x:c r="F647" s="2" t="n">
        <x:v>3</x:v>
      </x:c>
      <x:c r="G647" s="14" t="n">
        <x:f>('레벨 계산식'!$E$4-E647)*'레벨 계산식'!$B$5</x:f>
        <x:v>0</x:v>
      </x:c>
      <x:c r="H647" s="14" t="n">
        <x:f>('등급 계산식'!$E$4-F647)*'등급 계산식'!$B$5</x:f>
        <x:v>0.12000000000000002</x:v>
      </x:c>
      <x:c r="I647" s="14" t="n">
        <x:f>1-G647-H647</x:f>
        <x:v>0.88</x:v>
      </x:c>
      <x:c r="J647" s="2" t="n">
        <x:f>MAX(1,ROUND('기준스탯 72종'!D33-R647-Z647,0))</x:f>
        <x:v>9</x:v>
      </x:c>
      <x:c r="K647" s="2" t="n">
        <x:f>MAX(1,ROUND('기준스탯 72종'!E33-S647-AA647,0))</x:f>
        <x:v>5</x:v>
      </x:c>
      <x:c r="L647" s="2" t="n">
        <x:f>MAX(1,ROUND('기준스탯 72종'!F33-T647-AB647,0))</x:f>
        <x:v>5</x:v>
      </x:c>
      <x:c r="M647" s="2" t="n">
        <x:f>MAX(1,ROUND('기준스탯 72종'!G33-U647-AC647,0))</x:f>
        <x:v>6</x:v>
      </x:c>
      <x:c r="N647" s="2" t="n">
        <x:f>MAX(0,ROUND('기준스탯 72종'!H33-V647-AD647,0))</x:f>
        <x:v>4</x:v>
      </x:c>
      <x:c r="O647" s="2" t="n">
        <x:f>MAX(0,ROUND('기준스탯 72종'!I33-W647-AE647,0))</x:f>
        <x:v>7</x:v>
      </x:c>
      <x:c r="P647" s="2" t="n">
        <x:f>MAX(0,ROUND('기준스탯 72종'!J33-X647-AF647,0))</x:f>
        <x:v>2</x:v>
      </x:c>
      <x:c r="Q647" s="2" t="n">
        <x:f>MAX(0,ROUND('기준스탯 72종'!K33-Y647-AG647,0))</x:f>
        <x:v>1</x:v>
      </x:c>
      <x:c r="R647" s="15" t="n">
        <x:f>'기준스탯 72종'!D33*G647</x:f>
        <x:v>0</x:v>
      </x:c>
      <x:c r="S647" s="15" t="n">
        <x:f>'기준스탯 72종'!E33*G647</x:f>
        <x:v>0</x:v>
      </x:c>
      <x:c r="T647" s="15" t="n">
        <x:f>'기준스탯 72종'!F33*G647</x:f>
        <x:v>0</x:v>
      </x:c>
      <x:c r="U647" s="15" t="n">
        <x:f>'기준스탯 72종'!G33*G647</x:f>
        <x:v>0</x:v>
      </x:c>
      <x:c r="V647" s="15" t="n">
        <x:f>'기준스탯 72종'!H33*G647</x:f>
        <x:v>0</x:v>
      </x:c>
      <x:c r="W647" s="15" t="n">
        <x:f>'기준스탯 72종'!I33*G647</x:f>
        <x:v>0</x:v>
      </x:c>
      <x:c r="X647" s="15" t="n">
        <x:f>'기준스탯 72종'!J33*G647</x:f>
        <x:v>0</x:v>
      </x:c>
      <x:c r="Y647" s="15" t="n">
        <x:f>'기준스탯 72종'!K33*G647</x:f>
        <x:v>0</x:v>
      </x:c>
      <x:c r="Z647" s="15" t="n">
        <x:f>'기준스탯 72종'!D33*H647</x:f>
        <x:v>1.2000000000000002</x:v>
      </x:c>
      <x:c r="AA647" s="15" t="n">
        <x:f>'기준스탯 72종'!E33*H647</x:f>
        <x:v>0.7200000000000002</x:v>
      </x:c>
      <x:c r="AB647" s="15" t="n">
        <x:f>'기준스탯 72종'!F33*H647</x:f>
        <x:v>0.7200000000000002</x:v>
      </x:c>
      <x:c r="AC647" s="15" t="n">
        <x:f>'기준스탯 72종'!G33*H647</x:f>
        <x:v>0.8400000000000002</x:v>
      </x:c>
      <x:c r="AD647" s="15" t="n">
        <x:f>'기준스탯 72종'!H33*H647</x:f>
        <x:v>0.6000000000000001</x:v>
      </x:c>
      <x:c r="AE647" s="15" t="n">
        <x:f>'기준스탯 72종'!I33*H647</x:f>
        <x:v>0.9600000000000002</x:v>
      </x:c>
      <x:c r="AF647" s="15" t="n">
        <x:f>'기준스탯 72종'!J33*H647</x:f>
        <x:v>0.24000000000000005</x:v>
      </x:c>
      <x:c r="AG647" s="15" t="n">
        <x:f>'기준스탯 72종'!K33*H647</x:f>
        <x:v>0.12000000000000002</x:v>
      </x:c>
    </x:row>
    <x:row r="648" ht="28" customHeight="1">
      <x:c r="A648" s="2" t="n">
        <x:v>641</x:v>
      </x:c>
      <x:c r="B648" s="2" t="n">
        <x:v>26</x:v>
      </x:c>
      <x:c r="C648" s="2" t="str">
        <x:v>사자자리</x:v>
      </x:c>
      <x:c r="D648" s="2" t="str">
        <x:v>마도사</x:v>
      </x:c>
      <x:c r="E648" s="2" t="n">
        <x:v>1</x:v>
      </x:c>
      <x:c r="F648" s="2" t="n">
        <x:v>4</x:v>
      </x:c>
      <x:c r="G648" s="14" t="n">
        <x:f>('레벨 계산식'!$E$4-E648)*'레벨 계산식'!$B$5</x:f>
        <x:v>0.5599999999999999</x:v>
      </x:c>
      <x:c r="H648" s="14" t="n">
        <x:f>('등급 계산식'!$E$4-F648)*'등급 계산식'!$B$5</x:f>
        <x:v>0.06000000000000001</x:v>
      </x:c>
      <x:c r="I648" s="14" t="n">
        <x:f>1-G648-H648</x:f>
        <x:v>0.38000000000000006</x:v>
      </x:c>
      <x:c r="J648" s="2" t="n">
        <x:f>MAX(1,ROUND('기준스탯 72종'!D33-R648-Z648,0))</x:f>
        <x:v>4</x:v>
      </x:c>
      <x:c r="K648" s="2" t="n">
        <x:f>MAX(1,ROUND('기준스탯 72종'!E33-S648-AA648,0))</x:f>
        <x:v>2</x:v>
      </x:c>
      <x:c r="L648" s="2" t="n">
        <x:f>MAX(1,ROUND('기준스탯 72종'!F33-T648-AB648,0))</x:f>
        <x:v>2</x:v>
      </x:c>
      <x:c r="M648" s="2" t="n">
        <x:f>MAX(1,ROUND('기준스탯 72종'!G33-U648-AC648,0))</x:f>
        <x:v>3</x:v>
      </x:c>
      <x:c r="N648" s="2" t="n">
        <x:f>MAX(0,ROUND('기준스탯 72종'!H33-V648-AD648,0))</x:f>
        <x:v>2</x:v>
      </x:c>
      <x:c r="O648" s="2" t="n">
        <x:f>MAX(0,ROUND('기준스탯 72종'!I33-W648-AE648,0))</x:f>
        <x:v>3</x:v>
      </x:c>
      <x:c r="P648" s="2" t="n">
        <x:f>MAX(0,ROUND('기준스탯 72종'!J33-X648-AF648,0))</x:f>
        <x:v>1</x:v>
      </x:c>
      <x:c r="Q648" s="2" t="n">
        <x:f>MAX(0,ROUND('기준스탯 72종'!K33-Y648-AG648,0))</x:f>
        <x:v>0</x:v>
      </x:c>
      <x:c r="R648" s="15" t="n">
        <x:f>'기준스탯 72종'!D33*G648</x:f>
        <x:v>5.6</x:v>
      </x:c>
      <x:c r="S648" s="15" t="n">
        <x:f>'기준스탯 72종'!E33*G648</x:f>
        <x:v>3.3599999999999994</x:v>
      </x:c>
      <x:c r="T648" s="15" t="n">
        <x:f>'기준스탯 72종'!F33*G648</x:f>
        <x:v>3.3599999999999994</x:v>
      </x:c>
      <x:c r="U648" s="15" t="n">
        <x:f>'기준스탯 72종'!G33*G648</x:f>
        <x:v>3.9199999999999995</x:v>
      </x:c>
      <x:c r="V648" s="15" t="n">
        <x:f>'기준스탯 72종'!H33*G648</x:f>
        <x:v>2.8</x:v>
      </x:c>
      <x:c r="W648" s="15" t="n">
        <x:f>'기준스탯 72종'!I33*G648</x:f>
        <x:v>4.4799999999999995</x:v>
      </x:c>
      <x:c r="X648" s="15" t="n">
        <x:f>'기준스탯 72종'!J33*G648</x:f>
        <x:v>1.1199999999999999</x:v>
      </x:c>
      <x:c r="Y648" s="15" t="n">
        <x:f>'기준스탯 72종'!K33*G648</x:f>
        <x:v>0.5599999999999999</x:v>
      </x:c>
      <x:c r="Z648" s="15" t="n">
        <x:f>'기준스탯 72종'!D33*H648</x:f>
        <x:v>0.6000000000000001</x:v>
      </x:c>
      <x:c r="AA648" s="15" t="n">
        <x:f>'기준스탯 72종'!E33*H648</x:f>
        <x:v>0.3600000000000001</x:v>
      </x:c>
      <x:c r="AB648" s="15" t="n">
        <x:f>'기준스탯 72종'!F33*H648</x:f>
        <x:v>0.3600000000000001</x:v>
      </x:c>
      <x:c r="AC648" s="15" t="n">
        <x:f>'기준스탯 72종'!G33*H648</x:f>
        <x:v>0.4200000000000001</x:v>
      </x:c>
      <x:c r="AD648" s="15" t="n">
        <x:f>'기준스탯 72종'!H33*H648</x:f>
        <x:v>0.30000000000000004</x:v>
      </x:c>
      <x:c r="AE648" s="15" t="n">
        <x:f>'기준스탯 72종'!I33*H648</x:f>
        <x:v>0.4800000000000001</x:v>
      </x:c>
      <x:c r="AF648" s="15" t="n">
        <x:f>'기준스탯 72종'!J33*H648</x:f>
        <x:v>0.12000000000000002</x:v>
      </x:c>
      <x:c r="AG648" s="15" t="n">
        <x:f>'기준스탯 72종'!K33*H648</x:f>
        <x:v>0.06000000000000001</x:v>
      </x:c>
    </x:row>
    <x:row r="649" ht="28" customHeight="1">
      <x:c r="A649" s="2" t="n">
        <x:v>642</x:v>
      </x:c>
      <x:c r="B649" s="2" t="n">
        <x:v>26</x:v>
      </x:c>
      <x:c r="C649" s="2" t="str">
        <x:v>사자자리</x:v>
      </x:c>
      <x:c r="D649" s="2" t="str">
        <x:v>마도사</x:v>
      </x:c>
      <x:c r="E649" s="2" t="n">
        <x:v>2</x:v>
      </x:c>
      <x:c r="F649" s="2" t="n">
        <x:v>4</x:v>
      </x:c>
      <x:c r="G649" s="14" t="n">
        <x:f>('레벨 계산식'!$E$4-E649)*'레벨 계산식'!$B$5</x:f>
        <x:v>0.41999999999999993</x:v>
      </x:c>
      <x:c r="H649" s="14" t="n">
        <x:f>('등급 계산식'!$E$4-F649)*'등급 계산식'!$B$5</x:f>
        <x:v>0.06000000000000001</x:v>
      </x:c>
      <x:c r="I649" s="14" t="n">
        <x:f>1-G649-H649</x:f>
        <x:v>0.52</x:v>
      </x:c>
      <x:c r="J649" s="2" t="n">
        <x:f>MAX(1,ROUND('기준스탯 72종'!D33-R649-Z649,0))</x:f>
        <x:v>5</x:v>
      </x:c>
      <x:c r="K649" s="2" t="n">
        <x:f>MAX(1,ROUND('기준스탯 72종'!E33-S649-AA649,0))</x:f>
        <x:v>3</x:v>
      </x:c>
      <x:c r="L649" s="2" t="n">
        <x:f>MAX(1,ROUND('기준스탯 72종'!F33-T649-AB649,0))</x:f>
        <x:v>3</x:v>
      </x:c>
      <x:c r="M649" s="2" t="n">
        <x:f>MAX(1,ROUND('기준스탯 72종'!G33-U649-AC649,0))</x:f>
        <x:v>4</x:v>
      </x:c>
      <x:c r="N649" s="2" t="n">
        <x:f>MAX(0,ROUND('기준스탯 72종'!H33-V649-AD649,0))</x:f>
        <x:v>3</x:v>
      </x:c>
      <x:c r="O649" s="2" t="n">
        <x:f>MAX(0,ROUND('기준스탯 72종'!I33-W649-AE649,0))</x:f>
        <x:v>4</x:v>
      </x:c>
      <x:c r="P649" s="2" t="n">
        <x:f>MAX(0,ROUND('기준스탯 72종'!J33-X649-AF649,0))</x:f>
        <x:v>1</x:v>
      </x:c>
      <x:c r="Q649" s="2" t="n">
        <x:f>MAX(0,ROUND('기준스탯 72종'!K33-Y649-AG649,0))</x:f>
        <x:v>1</x:v>
      </x:c>
      <x:c r="R649" s="15" t="n">
        <x:f>'기준스탯 72종'!D33*G649</x:f>
        <x:v>4.199999999999999</x:v>
      </x:c>
      <x:c r="S649" s="15" t="n">
        <x:f>'기준스탯 72종'!E33*G649</x:f>
        <x:v>2.5199999999999996</x:v>
      </x:c>
      <x:c r="T649" s="15" t="n">
        <x:f>'기준스탯 72종'!F33*G649</x:f>
        <x:v>2.5199999999999996</x:v>
      </x:c>
      <x:c r="U649" s="15" t="n">
        <x:f>'기준스탯 72종'!G33*G649</x:f>
        <x:v>2.9399999999999995</x:v>
      </x:c>
      <x:c r="V649" s="15" t="n">
        <x:f>'기준스탯 72종'!H33*G649</x:f>
        <x:v>2.0999999999999996</x:v>
      </x:c>
      <x:c r="W649" s="15" t="n">
        <x:f>'기준스탯 72종'!I33*G649</x:f>
        <x:v>3.3599999999999994</x:v>
      </x:c>
      <x:c r="X649" s="15" t="n">
        <x:f>'기준스탯 72종'!J33*G649</x:f>
        <x:v>0.8399999999999999</x:v>
      </x:c>
      <x:c r="Y649" s="15" t="n">
        <x:f>'기준스탯 72종'!K33*G649</x:f>
        <x:v>0.41999999999999993</x:v>
      </x:c>
      <x:c r="Z649" s="15" t="n">
        <x:f>'기준스탯 72종'!D33*H649</x:f>
        <x:v>0.6000000000000001</x:v>
      </x:c>
      <x:c r="AA649" s="15" t="n">
        <x:f>'기준스탯 72종'!E33*H649</x:f>
        <x:v>0.3600000000000001</x:v>
      </x:c>
      <x:c r="AB649" s="15" t="n">
        <x:f>'기준스탯 72종'!F33*H649</x:f>
        <x:v>0.3600000000000001</x:v>
      </x:c>
      <x:c r="AC649" s="15" t="n">
        <x:f>'기준스탯 72종'!G33*H649</x:f>
        <x:v>0.4200000000000001</x:v>
      </x:c>
      <x:c r="AD649" s="15" t="n">
        <x:f>'기준스탯 72종'!H33*H649</x:f>
        <x:v>0.30000000000000004</x:v>
      </x:c>
      <x:c r="AE649" s="15" t="n">
        <x:f>'기준스탯 72종'!I33*H649</x:f>
        <x:v>0.4800000000000001</x:v>
      </x:c>
      <x:c r="AF649" s="15" t="n">
        <x:f>'기준스탯 72종'!J33*H649</x:f>
        <x:v>0.12000000000000002</x:v>
      </x:c>
      <x:c r="AG649" s="15" t="n">
        <x:f>'기준스탯 72종'!K33*H649</x:f>
        <x:v>0.06000000000000001</x:v>
      </x:c>
    </x:row>
    <x:row r="650" ht="28" customHeight="1">
      <x:c r="A650" s="2" t="n">
        <x:v>643</x:v>
      </x:c>
      <x:c r="B650" s="2" t="n">
        <x:v>26</x:v>
      </x:c>
      <x:c r="C650" s="2" t="str">
        <x:v>사자자리</x:v>
      </x:c>
      <x:c r="D650" s="2" t="str">
        <x:v>마도사</x:v>
      </x:c>
      <x:c r="E650" s="2" t="n">
        <x:v>3</x:v>
      </x:c>
      <x:c r="F650" s="2" t="n">
        <x:v>4</x:v>
      </x:c>
      <x:c r="G650" s="14" t="n">
        <x:f>('레벨 계산식'!$E$4-E650)*'레벨 계산식'!$B$5</x:f>
        <x:v>0.27999999999999997</x:v>
      </x:c>
      <x:c r="H650" s="14" t="n">
        <x:f>('등급 계산식'!$E$4-F650)*'등급 계산식'!$B$5</x:f>
        <x:v>0.06000000000000001</x:v>
      </x:c>
      <x:c r="I650" s="14" t="n">
        <x:f>1-G650-H650</x:f>
        <x:v>0.6599999999999999</x:v>
      </x:c>
      <x:c r="J650" s="2" t="n">
        <x:f>MAX(1,ROUND('기준스탯 72종'!D33-R650-Z650,0))</x:f>
        <x:v>7</x:v>
      </x:c>
      <x:c r="K650" s="2" t="n">
        <x:f>MAX(1,ROUND('기준스탯 72종'!E33-S650-AA650,0))</x:f>
        <x:v>4</x:v>
      </x:c>
      <x:c r="L650" s="2" t="n">
        <x:f>MAX(1,ROUND('기준스탯 72종'!F33-T650-AB650,0))</x:f>
        <x:v>4</x:v>
      </x:c>
      <x:c r="M650" s="2" t="n">
        <x:f>MAX(1,ROUND('기준스탯 72종'!G33-U650-AC650,0))</x:f>
        <x:v>5</x:v>
      </x:c>
      <x:c r="N650" s="2" t="n">
        <x:f>MAX(0,ROUND('기준스탯 72종'!H33-V650-AD650,0))</x:f>
        <x:v>3</x:v>
      </x:c>
      <x:c r="O650" s="2" t="n">
        <x:f>MAX(0,ROUND('기준스탯 72종'!I33-W650-AE650,0))</x:f>
        <x:v>5</x:v>
      </x:c>
      <x:c r="P650" s="2" t="n">
        <x:f>MAX(0,ROUND('기준스탯 72종'!J33-X650-AF650,0))</x:f>
        <x:v>1</x:v>
      </x:c>
      <x:c r="Q650" s="2" t="n">
        <x:f>MAX(0,ROUND('기준스탯 72종'!K33-Y650-AG650,0))</x:f>
        <x:v>1</x:v>
      </x:c>
      <x:c r="R650" s="15" t="n">
        <x:f>'기준스탯 72종'!D33*G650</x:f>
        <x:v>2.8</x:v>
      </x:c>
      <x:c r="S650" s="15" t="n">
        <x:f>'기준스탯 72종'!E33*G650</x:f>
        <x:v>1.6799999999999997</x:v>
      </x:c>
      <x:c r="T650" s="15" t="n">
        <x:f>'기준스탯 72종'!F33*G650</x:f>
        <x:v>1.6799999999999997</x:v>
      </x:c>
      <x:c r="U650" s="15" t="n">
        <x:f>'기준스탯 72종'!G33*G650</x:f>
        <x:v>1.9599999999999997</x:v>
      </x:c>
      <x:c r="V650" s="15" t="n">
        <x:f>'기준스탯 72종'!H33*G650</x:f>
        <x:v>1.4</x:v>
      </x:c>
      <x:c r="W650" s="15" t="n">
        <x:f>'기준스탯 72종'!I33*G650</x:f>
        <x:v>2.2399999999999998</x:v>
      </x:c>
      <x:c r="X650" s="15" t="n">
        <x:f>'기준스탯 72종'!J33*G650</x:f>
        <x:v>0.5599999999999999</x:v>
      </x:c>
      <x:c r="Y650" s="15" t="n">
        <x:f>'기준스탯 72종'!K33*G650</x:f>
        <x:v>0.27999999999999997</x:v>
      </x:c>
      <x:c r="Z650" s="15" t="n">
        <x:f>'기준스탯 72종'!D33*H650</x:f>
        <x:v>0.6000000000000001</x:v>
      </x:c>
      <x:c r="AA650" s="15" t="n">
        <x:f>'기준스탯 72종'!E33*H650</x:f>
        <x:v>0.3600000000000001</x:v>
      </x:c>
      <x:c r="AB650" s="15" t="n">
        <x:f>'기준스탯 72종'!F33*H650</x:f>
        <x:v>0.3600000000000001</x:v>
      </x:c>
      <x:c r="AC650" s="15" t="n">
        <x:f>'기준스탯 72종'!G33*H650</x:f>
        <x:v>0.4200000000000001</x:v>
      </x:c>
      <x:c r="AD650" s="15" t="n">
        <x:f>'기준스탯 72종'!H33*H650</x:f>
        <x:v>0.30000000000000004</x:v>
      </x:c>
      <x:c r="AE650" s="15" t="n">
        <x:f>'기준스탯 72종'!I33*H650</x:f>
        <x:v>0.4800000000000001</x:v>
      </x:c>
      <x:c r="AF650" s="15" t="n">
        <x:f>'기준스탯 72종'!J33*H650</x:f>
        <x:v>0.12000000000000002</x:v>
      </x:c>
      <x:c r="AG650" s="15" t="n">
        <x:f>'기준스탯 72종'!K33*H650</x:f>
        <x:v>0.06000000000000001</x:v>
      </x:c>
    </x:row>
    <x:row r="651" ht="28" customHeight="1">
      <x:c r="A651" s="2" t="n">
        <x:v>644</x:v>
      </x:c>
      <x:c r="B651" s="2" t="n">
        <x:v>26</x:v>
      </x:c>
      <x:c r="C651" s="2" t="str">
        <x:v>사자자리</x:v>
      </x:c>
      <x:c r="D651" s="2" t="str">
        <x:v>마도사</x:v>
      </x:c>
      <x:c r="E651" s="2" t="n">
        <x:v>4</x:v>
      </x:c>
      <x:c r="F651" s="2" t="n">
        <x:v>4</x:v>
      </x:c>
      <x:c r="G651" s="14" t="n">
        <x:f>('레벨 계산식'!$E$4-E651)*'레벨 계산식'!$B$5</x:f>
        <x:v>0.13999999999999999</x:v>
      </x:c>
      <x:c r="H651" s="14" t="n">
        <x:f>('등급 계산식'!$E$4-F651)*'등급 계산식'!$B$5</x:f>
        <x:v>0.06000000000000001</x:v>
      </x:c>
      <x:c r="I651" s="14" t="n">
        <x:f>1-G651-H651</x:f>
        <x:v>0.7999999999999999</x:v>
      </x:c>
      <x:c r="J651" s="2" t="n">
        <x:f>MAX(1,ROUND('기준스탯 72종'!D33-R651-Z651,0))</x:f>
        <x:v>8</x:v>
      </x:c>
      <x:c r="K651" s="2" t="n">
        <x:f>MAX(1,ROUND('기준스탯 72종'!E33-S651-AA651,0))</x:f>
        <x:v>5</x:v>
      </x:c>
      <x:c r="L651" s="2" t="n">
        <x:f>MAX(1,ROUND('기준스탯 72종'!F33-T651-AB651,0))</x:f>
        <x:v>5</x:v>
      </x:c>
      <x:c r="M651" s="2" t="n">
        <x:f>MAX(1,ROUND('기준스탯 72종'!G33-U651-AC651,0))</x:f>
        <x:v>6</x:v>
      </x:c>
      <x:c r="N651" s="2" t="n">
        <x:f>MAX(0,ROUND('기준스탯 72종'!H33-V651-AD651,0))</x:f>
        <x:v>4</x:v>
      </x:c>
      <x:c r="O651" s="2" t="n">
        <x:f>MAX(0,ROUND('기준스탯 72종'!I33-W651-AE651,0))</x:f>
        <x:v>6</x:v>
      </x:c>
      <x:c r="P651" s="2" t="n">
        <x:f>MAX(0,ROUND('기준스탯 72종'!J33-X651-AF651,0))</x:f>
        <x:v>2</x:v>
      </x:c>
      <x:c r="Q651" s="2" t="n">
        <x:f>MAX(0,ROUND('기준스탯 72종'!K33-Y651-AG651,0))</x:f>
        <x:v>1</x:v>
      </x:c>
      <x:c r="R651" s="15" t="n">
        <x:f>'기준스탯 72종'!D33*G651</x:f>
        <x:v>1.4</x:v>
      </x:c>
      <x:c r="S651" s="15" t="n">
        <x:f>'기준스탯 72종'!E33*G651</x:f>
        <x:v>0.8399999999999999</x:v>
      </x:c>
      <x:c r="T651" s="15" t="n">
        <x:f>'기준스탯 72종'!F33*G651</x:f>
        <x:v>0.8399999999999999</x:v>
      </x:c>
      <x:c r="U651" s="15" t="n">
        <x:f>'기준스탯 72종'!G33*G651</x:f>
        <x:v>0.9799999999999999</x:v>
      </x:c>
      <x:c r="V651" s="15" t="n">
        <x:f>'기준스탯 72종'!H33*G651</x:f>
        <x:v>0.7</x:v>
      </x:c>
      <x:c r="W651" s="15" t="n">
        <x:f>'기준스탯 72종'!I33*G651</x:f>
        <x:v>1.1199999999999999</x:v>
      </x:c>
      <x:c r="X651" s="15" t="n">
        <x:f>'기준스탯 72종'!J33*G651</x:f>
        <x:v>0.27999999999999997</x:v>
      </x:c>
      <x:c r="Y651" s="15" t="n">
        <x:f>'기준스탯 72종'!K33*G651</x:f>
        <x:v>0.13999999999999999</x:v>
      </x:c>
      <x:c r="Z651" s="15" t="n">
        <x:f>'기준스탯 72종'!D33*H651</x:f>
        <x:v>0.6000000000000001</x:v>
      </x:c>
      <x:c r="AA651" s="15" t="n">
        <x:f>'기준스탯 72종'!E33*H651</x:f>
        <x:v>0.3600000000000001</x:v>
      </x:c>
      <x:c r="AB651" s="15" t="n">
        <x:f>'기준스탯 72종'!F33*H651</x:f>
        <x:v>0.3600000000000001</x:v>
      </x:c>
      <x:c r="AC651" s="15" t="n">
        <x:f>'기준스탯 72종'!G33*H651</x:f>
        <x:v>0.4200000000000001</x:v>
      </x:c>
      <x:c r="AD651" s="15" t="n">
        <x:f>'기준스탯 72종'!H33*H651</x:f>
        <x:v>0.30000000000000004</x:v>
      </x:c>
      <x:c r="AE651" s="15" t="n">
        <x:f>'기준스탯 72종'!I33*H651</x:f>
        <x:v>0.4800000000000001</x:v>
      </x:c>
      <x:c r="AF651" s="15" t="n">
        <x:f>'기준스탯 72종'!J33*H651</x:f>
        <x:v>0.12000000000000002</x:v>
      </x:c>
      <x:c r="AG651" s="15" t="n">
        <x:f>'기준스탯 72종'!K33*H651</x:f>
        <x:v>0.06000000000000001</x:v>
      </x:c>
    </x:row>
    <x:row r="652" ht="28" customHeight="1">
      <x:c r="A652" s="2" t="n">
        <x:v>645</x:v>
      </x:c>
      <x:c r="B652" s="2" t="n">
        <x:v>26</x:v>
      </x:c>
      <x:c r="C652" s="2" t="str">
        <x:v>사자자리</x:v>
      </x:c>
      <x:c r="D652" s="2" t="str">
        <x:v>마도사</x:v>
      </x:c>
      <x:c r="E652" s="2" t="n">
        <x:v>5</x:v>
      </x:c>
      <x:c r="F652" s="2" t="n">
        <x:v>4</x:v>
      </x:c>
      <x:c r="G652" s="14" t="n">
        <x:f>('레벨 계산식'!$E$4-E652)*'레벨 계산식'!$B$5</x:f>
        <x:v>0</x:v>
      </x:c>
      <x:c r="H652" s="14" t="n">
        <x:f>('등급 계산식'!$E$4-F652)*'등급 계산식'!$B$5</x:f>
        <x:v>0.06000000000000001</x:v>
      </x:c>
      <x:c r="I652" s="14" t="n">
        <x:f>1-G652-H652</x:f>
        <x:v>0.94</x:v>
      </x:c>
      <x:c r="J652" s="2" t="n">
        <x:f>MAX(1,ROUND('기준스탯 72종'!D33-R652-Z652,0))</x:f>
        <x:v>9</x:v>
      </x:c>
      <x:c r="K652" s="2" t="n">
        <x:f>MAX(1,ROUND('기준스탯 72종'!E33-S652-AA652,0))</x:f>
        <x:v>6</x:v>
      </x:c>
      <x:c r="L652" s="2" t="n">
        <x:f>MAX(1,ROUND('기준스탯 72종'!F33-T652-AB652,0))</x:f>
        <x:v>6</x:v>
      </x:c>
      <x:c r="M652" s="2" t="n">
        <x:f>MAX(1,ROUND('기준스탯 72종'!G33-U652-AC652,0))</x:f>
        <x:v>7</x:v>
      </x:c>
      <x:c r="N652" s="2" t="n">
        <x:f>MAX(0,ROUND('기준스탯 72종'!H33-V652-AD652,0))</x:f>
        <x:v>5</x:v>
      </x:c>
      <x:c r="O652" s="2" t="n">
        <x:f>MAX(0,ROUND('기준스탯 72종'!I33-W652-AE652,0))</x:f>
        <x:v>8</x:v>
      </x:c>
      <x:c r="P652" s="2" t="n">
        <x:f>MAX(0,ROUND('기준스탯 72종'!J33-X652-AF652,0))</x:f>
        <x:v>2</x:v>
      </x:c>
      <x:c r="Q652" s="2" t="n">
        <x:f>MAX(0,ROUND('기준스탯 72종'!K33-Y652-AG652,0))</x:f>
        <x:v>1</x:v>
      </x:c>
      <x:c r="R652" s="15" t="n">
        <x:f>'기준스탯 72종'!D33*G652</x:f>
        <x:v>0</x:v>
      </x:c>
      <x:c r="S652" s="15" t="n">
        <x:f>'기준스탯 72종'!E33*G652</x:f>
        <x:v>0</x:v>
      </x:c>
      <x:c r="T652" s="15" t="n">
        <x:f>'기준스탯 72종'!F33*G652</x:f>
        <x:v>0</x:v>
      </x:c>
      <x:c r="U652" s="15" t="n">
        <x:f>'기준스탯 72종'!G33*G652</x:f>
        <x:v>0</x:v>
      </x:c>
      <x:c r="V652" s="15" t="n">
        <x:f>'기준스탯 72종'!H33*G652</x:f>
        <x:v>0</x:v>
      </x:c>
      <x:c r="W652" s="15" t="n">
        <x:f>'기준스탯 72종'!I33*G652</x:f>
        <x:v>0</x:v>
      </x:c>
      <x:c r="X652" s="15" t="n">
        <x:f>'기준스탯 72종'!J33*G652</x:f>
        <x:v>0</x:v>
      </x:c>
      <x:c r="Y652" s="15" t="n">
        <x:f>'기준스탯 72종'!K33*G652</x:f>
        <x:v>0</x:v>
      </x:c>
      <x:c r="Z652" s="15" t="n">
        <x:f>'기준스탯 72종'!D33*H652</x:f>
        <x:v>0.6000000000000001</x:v>
      </x:c>
      <x:c r="AA652" s="15" t="n">
        <x:f>'기준스탯 72종'!E33*H652</x:f>
        <x:v>0.3600000000000001</x:v>
      </x:c>
      <x:c r="AB652" s="15" t="n">
        <x:f>'기준스탯 72종'!F33*H652</x:f>
        <x:v>0.3600000000000001</x:v>
      </x:c>
      <x:c r="AC652" s="15" t="n">
        <x:f>'기준스탯 72종'!G33*H652</x:f>
        <x:v>0.4200000000000001</x:v>
      </x:c>
      <x:c r="AD652" s="15" t="n">
        <x:f>'기준스탯 72종'!H33*H652</x:f>
        <x:v>0.30000000000000004</x:v>
      </x:c>
      <x:c r="AE652" s="15" t="n">
        <x:f>'기준스탯 72종'!I33*H652</x:f>
        <x:v>0.4800000000000001</x:v>
      </x:c>
      <x:c r="AF652" s="15" t="n">
        <x:f>'기준스탯 72종'!J33*H652</x:f>
        <x:v>0.12000000000000002</x:v>
      </x:c>
      <x:c r="AG652" s="15" t="n">
        <x:f>'기준스탯 72종'!K33*H652</x:f>
        <x:v>0.06000000000000001</x:v>
      </x:c>
    </x:row>
    <x:row r="653" ht="28" customHeight="1">
      <x:c r="A653" s="2" t="n">
        <x:v>646</x:v>
      </x:c>
      <x:c r="B653" s="2" t="n">
        <x:v>26</x:v>
      </x:c>
      <x:c r="C653" s="2" t="str">
        <x:v>사자자리</x:v>
      </x:c>
      <x:c r="D653" s="2" t="str">
        <x:v>마도사</x:v>
      </x:c>
      <x:c r="E653" s="2" t="n">
        <x:v>1</x:v>
      </x:c>
      <x:c r="F653" s="2" t="n">
        <x:v>5</x:v>
      </x:c>
      <x:c r="G653" s="14" t="n">
        <x:f>('레벨 계산식'!$E$4-E653)*'레벨 계산식'!$B$5</x:f>
        <x:v>0.5599999999999999</x:v>
      </x:c>
      <x:c r="H653" s="14" t="n">
        <x:f>('등급 계산식'!$E$4-F653)*'등급 계산식'!$B$5</x:f>
        <x:v>0</x:v>
      </x:c>
      <x:c r="I653" s="14" t="n">
        <x:f>1-G653-H653</x:f>
        <x:v>0.44000000000000006</x:v>
      </x:c>
      <x:c r="J653" s="2" t="n">
        <x:f>MAX(1,ROUND('기준스탯 72종'!D33-R653-Z653,0))</x:f>
        <x:v>4</x:v>
      </x:c>
      <x:c r="K653" s="2" t="n">
        <x:f>MAX(1,ROUND('기준스탯 72종'!E33-S653-AA653,0))</x:f>
        <x:v>3</x:v>
      </x:c>
      <x:c r="L653" s="2" t="n">
        <x:f>MAX(1,ROUND('기준스탯 72종'!F33-T653-AB653,0))</x:f>
        <x:v>3</x:v>
      </x:c>
      <x:c r="M653" s="2" t="n">
        <x:f>MAX(1,ROUND('기준스탯 72종'!G33-U653-AC653,0))</x:f>
        <x:v>3</x:v>
      </x:c>
      <x:c r="N653" s="2" t="n">
        <x:f>MAX(0,ROUND('기준스탯 72종'!H33-V653-AD653,0))</x:f>
        <x:v>2</x:v>
      </x:c>
      <x:c r="O653" s="2" t="n">
        <x:f>MAX(0,ROUND('기준스탯 72종'!I33-W653-AE653,0))</x:f>
        <x:v>4</x:v>
      </x:c>
      <x:c r="P653" s="2" t="n">
        <x:f>MAX(0,ROUND('기준스탯 72종'!J33-X653-AF653,0))</x:f>
        <x:v>1</x:v>
      </x:c>
      <x:c r="Q653" s="2" t="n">
        <x:f>MAX(0,ROUND('기준스탯 72종'!K33-Y653-AG653,0))</x:f>
        <x:v>0</x:v>
      </x:c>
      <x:c r="R653" s="15" t="n">
        <x:f>'기준스탯 72종'!D33*G653</x:f>
        <x:v>5.6</x:v>
      </x:c>
      <x:c r="S653" s="15" t="n">
        <x:f>'기준스탯 72종'!E33*G653</x:f>
        <x:v>3.3599999999999994</x:v>
      </x:c>
      <x:c r="T653" s="15" t="n">
        <x:f>'기준스탯 72종'!F33*G653</x:f>
        <x:v>3.3599999999999994</x:v>
      </x:c>
      <x:c r="U653" s="15" t="n">
        <x:f>'기준스탯 72종'!G33*G653</x:f>
        <x:v>3.9199999999999995</x:v>
      </x:c>
      <x:c r="V653" s="15" t="n">
        <x:f>'기준스탯 72종'!H33*G653</x:f>
        <x:v>2.8</x:v>
      </x:c>
      <x:c r="W653" s="15" t="n">
        <x:f>'기준스탯 72종'!I33*G653</x:f>
        <x:v>4.4799999999999995</x:v>
      </x:c>
      <x:c r="X653" s="15" t="n">
        <x:f>'기준스탯 72종'!J33*G653</x:f>
        <x:v>1.1199999999999999</x:v>
      </x:c>
      <x:c r="Y653" s="15" t="n">
        <x:f>'기준스탯 72종'!K33*G653</x:f>
        <x:v>0.5599999999999999</x:v>
      </x:c>
      <x:c r="Z653" s="15" t="n">
        <x:f>'기준스탯 72종'!D33*H653</x:f>
        <x:v>0</x:v>
      </x:c>
      <x:c r="AA653" s="15" t="n">
        <x:f>'기준스탯 72종'!E33*H653</x:f>
        <x:v>0</x:v>
      </x:c>
      <x:c r="AB653" s="15" t="n">
        <x:f>'기준스탯 72종'!F33*H653</x:f>
        <x:v>0</x:v>
      </x:c>
      <x:c r="AC653" s="15" t="n">
        <x:f>'기준스탯 72종'!G33*H653</x:f>
        <x:v>0</x:v>
      </x:c>
      <x:c r="AD653" s="15" t="n">
        <x:f>'기준스탯 72종'!H33*H653</x:f>
        <x:v>0</x:v>
      </x:c>
      <x:c r="AE653" s="15" t="n">
        <x:f>'기준스탯 72종'!I33*H653</x:f>
        <x:v>0</x:v>
      </x:c>
      <x:c r="AF653" s="15" t="n">
        <x:f>'기준스탯 72종'!J33*H653</x:f>
        <x:v>0</x:v>
      </x:c>
      <x:c r="AG653" s="15" t="n">
        <x:f>'기준스탯 72종'!K33*H653</x:f>
        <x:v>0</x:v>
      </x:c>
    </x:row>
    <x:row r="654" ht="28" customHeight="1">
      <x:c r="A654" s="2" t="n">
        <x:v>647</x:v>
      </x:c>
      <x:c r="B654" s="2" t="n">
        <x:v>26</x:v>
      </x:c>
      <x:c r="C654" s="2" t="str">
        <x:v>사자자리</x:v>
      </x:c>
      <x:c r="D654" s="2" t="str">
        <x:v>마도사</x:v>
      </x:c>
      <x:c r="E654" s="2" t="n">
        <x:v>2</x:v>
      </x:c>
      <x:c r="F654" s="2" t="n">
        <x:v>5</x:v>
      </x:c>
      <x:c r="G654" s="14" t="n">
        <x:f>('레벨 계산식'!$E$4-E654)*'레벨 계산식'!$B$5</x:f>
        <x:v>0.41999999999999993</x:v>
      </x:c>
      <x:c r="H654" s="14" t="n">
        <x:f>('등급 계산식'!$E$4-F654)*'등급 계산식'!$B$5</x:f>
        <x:v>0</x:v>
      </x:c>
      <x:c r="I654" s="14" t="n">
        <x:f>1-G654-H654</x:f>
        <x:v>0.5800000000000001</x:v>
      </x:c>
      <x:c r="J654" s="2" t="n">
        <x:f>MAX(1,ROUND('기준스탯 72종'!D33-R654-Z654,0))</x:f>
        <x:v>6</x:v>
      </x:c>
      <x:c r="K654" s="2" t="n">
        <x:f>MAX(1,ROUND('기준스탯 72종'!E33-S654-AA654,0))</x:f>
        <x:v>3</x:v>
      </x:c>
      <x:c r="L654" s="2" t="n">
        <x:f>MAX(1,ROUND('기준스탯 72종'!F33-T654-AB654,0))</x:f>
        <x:v>3</x:v>
      </x:c>
      <x:c r="M654" s="2" t="n">
        <x:f>MAX(1,ROUND('기준스탯 72종'!G33-U654-AC654,0))</x:f>
        <x:v>4</x:v>
      </x:c>
      <x:c r="N654" s="2" t="n">
        <x:f>MAX(0,ROUND('기준스탯 72종'!H33-V654-AD654,0))</x:f>
        <x:v>3</x:v>
      </x:c>
      <x:c r="O654" s="2" t="n">
        <x:f>MAX(0,ROUND('기준스탯 72종'!I33-W654-AE654,0))</x:f>
        <x:v>5</x:v>
      </x:c>
      <x:c r="P654" s="2" t="n">
        <x:f>MAX(0,ROUND('기준스탯 72종'!J33-X654-AF654,0))</x:f>
        <x:v>1</x:v>
      </x:c>
      <x:c r="Q654" s="2" t="n">
        <x:f>MAX(0,ROUND('기준스탯 72종'!K33-Y654-AG654,0))</x:f>
        <x:v>1</x:v>
      </x:c>
      <x:c r="R654" s="15" t="n">
        <x:f>'기준스탯 72종'!D33*G654</x:f>
        <x:v>4.199999999999999</x:v>
      </x:c>
      <x:c r="S654" s="15" t="n">
        <x:f>'기준스탯 72종'!E33*G654</x:f>
        <x:v>2.5199999999999996</x:v>
      </x:c>
      <x:c r="T654" s="15" t="n">
        <x:f>'기준스탯 72종'!F33*G654</x:f>
        <x:v>2.5199999999999996</x:v>
      </x:c>
      <x:c r="U654" s="15" t="n">
        <x:f>'기준스탯 72종'!G33*G654</x:f>
        <x:v>2.9399999999999995</x:v>
      </x:c>
      <x:c r="V654" s="15" t="n">
        <x:f>'기준스탯 72종'!H33*G654</x:f>
        <x:v>2.0999999999999996</x:v>
      </x:c>
      <x:c r="W654" s="15" t="n">
        <x:f>'기준스탯 72종'!I33*G654</x:f>
        <x:v>3.3599999999999994</x:v>
      </x:c>
      <x:c r="X654" s="15" t="n">
        <x:f>'기준스탯 72종'!J33*G654</x:f>
        <x:v>0.8399999999999999</x:v>
      </x:c>
      <x:c r="Y654" s="15" t="n">
        <x:f>'기준스탯 72종'!K33*G654</x:f>
        <x:v>0.41999999999999993</x:v>
      </x:c>
      <x:c r="Z654" s="15" t="n">
        <x:f>'기준스탯 72종'!D33*H654</x:f>
        <x:v>0</x:v>
      </x:c>
      <x:c r="AA654" s="15" t="n">
        <x:f>'기준스탯 72종'!E33*H654</x:f>
        <x:v>0</x:v>
      </x:c>
      <x:c r="AB654" s="15" t="n">
        <x:f>'기준스탯 72종'!F33*H654</x:f>
        <x:v>0</x:v>
      </x:c>
      <x:c r="AC654" s="15" t="n">
        <x:f>'기준스탯 72종'!G33*H654</x:f>
        <x:v>0</x:v>
      </x:c>
      <x:c r="AD654" s="15" t="n">
        <x:f>'기준스탯 72종'!H33*H654</x:f>
        <x:v>0</x:v>
      </x:c>
      <x:c r="AE654" s="15" t="n">
        <x:f>'기준스탯 72종'!I33*H654</x:f>
        <x:v>0</x:v>
      </x:c>
      <x:c r="AF654" s="15" t="n">
        <x:f>'기준스탯 72종'!J33*H654</x:f>
        <x:v>0</x:v>
      </x:c>
      <x:c r="AG654" s="15" t="n">
        <x:f>'기준스탯 72종'!K33*H654</x:f>
        <x:v>0</x:v>
      </x:c>
    </x:row>
    <x:row r="655" ht="28" customHeight="1">
      <x:c r="A655" s="2" t="n">
        <x:v>648</x:v>
      </x:c>
      <x:c r="B655" s="2" t="n">
        <x:v>26</x:v>
      </x:c>
      <x:c r="C655" s="2" t="str">
        <x:v>사자자리</x:v>
      </x:c>
      <x:c r="D655" s="2" t="str">
        <x:v>마도사</x:v>
      </x:c>
      <x:c r="E655" s="2" t="n">
        <x:v>3</x:v>
      </x:c>
      <x:c r="F655" s="2" t="n">
        <x:v>5</x:v>
      </x:c>
      <x:c r="G655" s="14" t="n">
        <x:f>('레벨 계산식'!$E$4-E655)*'레벨 계산식'!$B$5</x:f>
        <x:v>0.27999999999999997</x:v>
      </x:c>
      <x:c r="H655" s="14" t="n">
        <x:f>('등급 계산식'!$E$4-F655)*'등급 계산식'!$B$5</x:f>
        <x:v>0</x:v>
      </x:c>
      <x:c r="I655" s="14" t="n">
        <x:f>1-G655-H655</x:f>
        <x:v>0.72</x:v>
      </x:c>
      <x:c r="J655" s="2" t="n">
        <x:f>MAX(1,ROUND('기준스탯 72종'!D33-R655-Z655,0))</x:f>
        <x:v>7</x:v>
      </x:c>
      <x:c r="K655" s="2" t="n">
        <x:f>MAX(1,ROUND('기준스탯 72종'!E33-S655-AA655,0))</x:f>
        <x:v>4</x:v>
      </x:c>
      <x:c r="L655" s="2" t="n">
        <x:f>MAX(1,ROUND('기준스탯 72종'!F33-T655-AB655,0))</x:f>
        <x:v>4</x:v>
      </x:c>
      <x:c r="M655" s="2" t="n">
        <x:f>MAX(1,ROUND('기준스탯 72종'!G33-U655-AC655,0))</x:f>
        <x:v>5</x:v>
      </x:c>
      <x:c r="N655" s="2" t="n">
        <x:f>MAX(0,ROUND('기준스탯 72종'!H33-V655-AD655,0))</x:f>
        <x:v>4</x:v>
      </x:c>
      <x:c r="O655" s="2" t="n">
        <x:f>MAX(0,ROUND('기준스탯 72종'!I33-W655-AE655,0))</x:f>
        <x:v>6</x:v>
      </x:c>
      <x:c r="P655" s="2" t="n">
        <x:f>MAX(0,ROUND('기준스탯 72종'!J33-X655-AF655,0))</x:f>
        <x:v>1</x:v>
      </x:c>
      <x:c r="Q655" s="2" t="n">
        <x:f>MAX(0,ROUND('기준스탯 72종'!K33-Y655-AG655,0))</x:f>
        <x:v>1</x:v>
      </x:c>
      <x:c r="R655" s="15" t="n">
        <x:f>'기준스탯 72종'!D33*G655</x:f>
        <x:v>2.8</x:v>
      </x:c>
      <x:c r="S655" s="15" t="n">
        <x:f>'기준스탯 72종'!E33*G655</x:f>
        <x:v>1.6799999999999997</x:v>
      </x:c>
      <x:c r="T655" s="15" t="n">
        <x:f>'기준스탯 72종'!F33*G655</x:f>
        <x:v>1.6799999999999997</x:v>
      </x:c>
      <x:c r="U655" s="15" t="n">
        <x:f>'기준스탯 72종'!G33*G655</x:f>
        <x:v>1.9599999999999997</x:v>
      </x:c>
      <x:c r="V655" s="15" t="n">
        <x:f>'기준스탯 72종'!H33*G655</x:f>
        <x:v>1.4</x:v>
      </x:c>
      <x:c r="W655" s="15" t="n">
        <x:f>'기준스탯 72종'!I33*G655</x:f>
        <x:v>2.2399999999999998</x:v>
      </x:c>
      <x:c r="X655" s="15" t="n">
        <x:f>'기준스탯 72종'!J33*G655</x:f>
        <x:v>0.5599999999999999</x:v>
      </x:c>
      <x:c r="Y655" s="15" t="n">
        <x:f>'기준스탯 72종'!K33*G655</x:f>
        <x:v>0.27999999999999997</x:v>
      </x:c>
      <x:c r="Z655" s="15" t="n">
        <x:f>'기준스탯 72종'!D33*H655</x:f>
        <x:v>0</x:v>
      </x:c>
      <x:c r="AA655" s="15" t="n">
        <x:f>'기준스탯 72종'!E33*H655</x:f>
        <x:v>0</x:v>
      </x:c>
      <x:c r="AB655" s="15" t="n">
        <x:f>'기준스탯 72종'!F33*H655</x:f>
        <x:v>0</x:v>
      </x:c>
      <x:c r="AC655" s="15" t="n">
        <x:f>'기준스탯 72종'!G33*H655</x:f>
        <x:v>0</x:v>
      </x:c>
      <x:c r="AD655" s="15" t="n">
        <x:f>'기준스탯 72종'!H33*H655</x:f>
        <x:v>0</x:v>
      </x:c>
      <x:c r="AE655" s="15" t="n">
        <x:f>'기준스탯 72종'!I33*H655</x:f>
        <x:v>0</x:v>
      </x:c>
      <x:c r="AF655" s="15" t="n">
        <x:f>'기준스탯 72종'!J33*H655</x:f>
        <x:v>0</x:v>
      </x:c>
      <x:c r="AG655" s="15" t="n">
        <x:f>'기준스탯 72종'!K33*H655</x:f>
        <x:v>0</x:v>
      </x:c>
    </x:row>
    <x:row r="656" ht="28" customHeight="1">
      <x:c r="A656" s="2" t="n">
        <x:v>649</x:v>
      </x:c>
      <x:c r="B656" s="2" t="n">
        <x:v>26</x:v>
      </x:c>
      <x:c r="C656" s="2" t="str">
        <x:v>사자자리</x:v>
      </x:c>
      <x:c r="D656" s="2" t="str">
        <x:v>마도사</x:v>
      </x:c>
      <x:c r="E656" s="2" t="n">
        <x:v>4</x:v>
      </x:c>
      <x:c r="F656" s="2" t="n">
        <x:v>5</x:v>
      </x:c>
      <x:c r="G656" s="14" t="n">
        <x:f>('레벨 계산식'!$E$4-E656)*'레벨 계산식'!$B$5</x:f>
        <x:v>0.13999999999999999</x:v>
      </x:c>
      <x:c r="H656" s="14" t="n">
        <x:f>('등급 계산식'!$E$4-F656)*'등급 계산식'!$B$5</x:f>
        <x:v>0</x:v>
      </x:c>
      <x:c r="I656" s="14" t="n">
        <x:f>1-G656-H656</x:f>
        <x:v>0.86</x:v>
      </x:c>
      <x:c r="J656" s="2" t="n">
        <x:f>MAX(1,ROUND('기준스탯 72종'!D33-R656-Z656,0))</x:f>
        <x:v>9</x:v>
      </x:c>
      <x:c r="K656" s="2" t="n">
        <x:f>MAX(1,ROUND('기준스탯 72종'!E33-S656-AA656,0))</x:f>
        <x:v>5</x:v>
      </x:c>
      <x:c r="L656" s="2" t="n">
        <x:f>MAX(1,ROUND('기준스탯 72종'!F33-T656-AB656,0))</x:f>
        <x:v>5</x:v>
      </x:c>
      <x:c r="M656" s="2" t="n">
        <x:f>MAX(1,ROUND('기준스탯 72종'!G33-U656-AC656,0))</x:f>
        <x:v>6</x:v>
      </x:c>
      <x:c r="N656" s="2" t="n">
        <x:f>MAX(0,ROUND('기준스탯 72종'!H33-V656-AD656,0))</x:f>
        <x:v>4</x:v>
      </x:c>
      <x:c r="O656" s="2" t="n">
        <x:f>MAX(0,ROUND('기준스탯 72종'!I33-W656-AE656,0))</x:f>
        <x:v>7</x:v>
      </x:c>
      <x:c r="P656" s="2" t="n">
        <x:f>MAX(0,ROUND('기준스탯 72종'!J33-X656-AF656,0))</x:f>
        <x:v>2</x:v>
      </x:c>
      <x:c r="Q656" s="2" t="n">
        <x:f>MAX(0,ROUND('기준스탯 72종'!K33-Y656-AG656,0))</x:f>
        <x:v>1</x:v>
      </x:c>
      <x:c r="R656" s="15" t="n">
        <x:f>'기준스탯 72종'!D33*G656</x:f>
        <x:v>1.4</x:v>
      </x:c>
      <x:c r="S656" s="15" t="n">
        <x:f>'기준스탯 72종'!E33*G656</x:f>
        <x:v>0.8399999999999999</x:v>
      </x:c>
      <x:c r="T656" s="15" t="n">
        <x:f>'기준스탯 72종'!F33*G656</x:f>
        <x:v>0.8399999999999999</x:v>
      </x:c>
      <x:c r="U656" s="15" t="n">
        <x:f>'기준스탯 72종'!G33*G656</x:f>
        <x:v>0.9799999999999999</x:v>
      </x:c>
      <x:c r="V656" s="15" t="n">
        <x:f>'기준스탯 72종'!H33*G656</x:f>
        <x:v>0.7</x:v>
      </x:c>
      <x:c r="W656" s="15" t="n">
        <x:f>'기준스탯 72종'!I33*G656</x:f>
        <x:v>1.1199999999999999</x:v>
      </x:c>
      <x:c r="X656" s="15" t="n">
        <x:f>'기준스탯 72종'!J33*G656</x:f>
        <x:v>0.27999999999999997</x:v>
      </x:c>
      <x:c r="Y656" s="15" t="n">
        <x:f>'기준스탯 72종'!K33*G656</x:f>
        <x:v>0.13999999999999999</x:v>
      </x:c>
      <x:c r="Z656" s="15" t="n">
        <x:f>'기준스탯 72종'!D33*H656</x:f>
        <x:v>0</x:v>
      </x:c>
      <x:c r="AA656" s="15" t="n">
        <x:f>'기준스탯 72종'!E33*H656</x:f>
        <x:v>0</x:v>
      </x:c>
      <x:c r="AB656" s="15" t="n">
        <x:f>'기준스탯 72종'!F33*H656</x:f>
        <x:v>0</x:v>
      </x:c>
      <x:c r="AC656" s="15" t="n">
        <x:f>'기준스탯 72종'!G33*H656</x:f>
        <x:v>0</x:v>
      </x:c>
      <x:c r="AD656" s="15" t="n">
        <x:f>'기준스탯 72종'!H33*H656</x:f>
        <x:v>0</x:v>
      </x:c>
      <x:c r="AE656" s="15" t="n">
        <x:f>'기준스탯 72종'!I33*H656</x:f>
        <x:v>0</x:v>
      </x:c>
      <x:c r="AF656" s="15" t="n">
        <x:f>'기준스탯 72종'!J33*H656</x:f>
        <x:v>0</x:v>
      </x:c>
      <x:c r="AG656" s="15" t="n">
        <x:f>'기준스탯 72종'!K33*H656</x:f>
        <x:v>0</x:v>
      </x:c>
    </x:row>
    <x:row r="657" ht="28" customHeight="1">
      <x:c r="A657" s="2" t="n">
        <x:v>650</x:v>
      </x:c>
      <x:c r="B657" s="2" t="n">
        <x:v>26</x:v>
      </x:c>
      <x:c r="C657" s="2" t="str">
        <x:v>사자자리</x:v>
      </x:c>
      <x:c r="D657" s="2" t="str">
        <x:v>마도사</x:v>
      </x:c>
      <x:c r="E657" s="2" t="n">
        <x:v>5</x:v>
      </x:c>
      <x:c r="F657" s="2" t="n">
        <x:v>5</x:v>
      </x:c>
      <x:c r="G657" s="14" t="n">
        <x:f>('레벨 계산식'!$E$4-E657)*'레벨 계산식'!$B$5</x:f>
        <x:v>0</x:v>
      </x:c>
      <x:c r="H657" s="14" t="n">
        <x:f>('등급 계산식'!$E$4-F657)*'등급 계산식'!$B$5</x:f>
        <x:v>0</x:v>
      </x:c>
      <x:c r="I657" s="14" t="n">
        <x:f>1-G657-H657</x:f>
        <x:v>1</x:v>
      </x:c>
      <x:c r="J657" s="2" t="n">
        <x:f>MAX(1,ROUND('기준스탯 72종'!D33-R657-Z657,0))</x:f>
        <x:v>10</x:v>
      </x:c>
      <x:c r="K657" s="2" t="n">
        <x:f>MAX(1,ROUND('기준스탯 72종'!E33-S657-AA657,0))</x:f>
        <x:v>6</x:v>
      </x:c>
      <x:c r="L657" s="2" t="n">
        <x:f>MAX(1,ROUND('기준스탯 72종'!F33-T657-AB657,0))</x:f>
        <x:v>6</x:v>
      </x:c>
      <x:c r="M657" s="2" t="n">
        <x:f>MAX(1,ROUND('기준스탯 72종'!G33-U657-AC657,0))</x:f>
        <x:v>7</x:v>
      </x:c>
      <x:c r="N657" s="2" t="n">
        <x:f>MAX(0,ROUND('기준스탯 72종'!H33-V657-AD657,0))</x:f>
        <x:v>5</x:v>
      </x:c>
      <x:c r="O657" s="2" t="n">
        <x:f>MAX(0,ROUND('기준스탯 72종'!I33-W657-AE657,0))</x:f>
        <x:v>8</x:v>
      </x:c>
      <x:c r="P657" s="2" t="n">
        <x:f>MAX(0,ROUND('기준스탯 72종'!J33-X657-AF657,0))</x:f>
        <x:v>2</x:v>
      </x:c>
      <x:c r="Q657" s="2" t="n">
        <x:f>MAX(0,ROUND('기준스탯 72종'!K33-Y657-AG657,0))</x:f>
        <x:v>1</x:v>
      </x:c>
      <x:c r="R657" s="15" t="n">
        <x:f>'기준스탯 72종'!D33*G657</x:f>
        <x:v>0</x:v>
      </x:c>
      <x:c r="S657" s="15" t="n">
        <x:f>'기준스탯 72종'!E33*G657</x:f>
        <x:v>0</x:v>
      </x:c>
      <x:c r="T657" s="15" t="n">
        <x:f>'기준스탯 72종'!F33*G657</x:f>
        <x:v>0</x:v>
      </x:c>
      <x:c r="U657" s="15" t="n">
        <x:f>'기준스탯 72종'!G33*G657</x:f>
        <x:v>0</x:v>
      </x:c>
      <x:c r="V657" s="15" t="n">
        <x:f>'기준스탯 72종'!H33*G657</x:f>
        <x:v>0</x:v>
      </x:c>
      <x:c r="W657" s="15" t="n">
        <x:f>'기준스탯 72종'!I33*G657</x:f>
        <x:v>0</x:v>
      </x:c>
      <x:c r="X657" s="15" t="n">
        <x:f>'기준스탯 72종'!J33*G657</x:f>
        <x:v>0</x:v>
      </x:c>
      <x:c r="Y657" s="15" t="n">
        <x:f>'기준스탯 72종'!K33*G657</x:f>
        <x:v>0</x:v>
      </x:c>
      <x:c r="Z657" s="15" t="n">
        <x:f>'기준스탯 72종'!D33*H657</x:f>
        <x:v>0</x:v>
      </x:c>
      <x:c r="AA657" s="15" t="n">
        <x:f>'기준스탯 72종'!E33*H657</x:f>
        <x:v>0</x:v>
      </x:c>
      <x:c r="AB657" s="15" t="n">
        <x:f>'기준스탯 72종'!F33*H657</x:f>
        <x:v>0</x:v>
      </x:c>
      <x:c r="AC657" s="15" t="n">
        <x:f>'기준스탯 72종'!G33*H657</x:f>
        <x:v>0</x:v>
      </x:c>
      <x:c r="AD657" s="15" t="n">
        <x:f>'기준스탯 72종'!H33*H657</x:f>
        <x:v>0</x:v>
      </x:c>
      <x:c r="AE657" s="15" t="n">
        <x:f>'기준스탯 72종'!I33*H657</x:f>
        <x:v>0</x:v>
      </x:c>
      <x:c r="AF657" s="15" t="n">
        <x:f>'기준스탯 72종'!J33*H657</x:f>
        <x:v>0</x:v>
      </x:c>
      <x:c r="AG657" s="15" t="n">
        <x:f>'기준스탯 72종'!K33*H657</x:f>
        <x:v>0</x:v>
      </x:c>
    </x:row>
    <x:row r="658" ht="28" customHeight="1">
      <x:c r="A658" s="2" t="n">
        <x:v>651</x:v>
      </x:c>
      <x:c r="B658" s="2" t="n">
        <x:v>27</x:v>
      </x:c>
      <x:c r="C658" s="2" t="str">
        <x:v>사자자리</x:v>
      </x:c>
      <x:c r="D658" s="2" t="str">
        <x:v>사수</x:v>
      </x:c>
      <x:c r="E658" s="2" t="n">
        <x:v>1</x:v>
      </x:c>
      <x:c r="F658" s="2" t="n">
        <x:v>1</x:v>
      </x:c>
      <x:c r="G658" s="14" t="n">
        <x:f>('레벨 계산식'!$E$4-E658)*'레벨 계산식'!$B$5</x:f>
        <x:v>0.5599999999999999</x:v>
      </x:c>
      <x:c r="H658" s="14" t="n">
        <x:f>('등급 계산식'!$E$4-F658)*'등급 계산식'!$B$5</x:f>
        <x:v>0.24000000000000005</x:v>
      </x:c>
      <x:c r="I658" s="14" t="n">
        <x:f>1-G658-H658</x:f>
        <x:v>0.2</x:v>
      </x:c>
      <x:c r="J658" s="2" t="n">
        <x:f>MAX(1,ROUND('기준스탯 72종'!D34-R658-Z658,0))</x:f>
        <x:v>2</x:v>
      </x:c>
      <x:c r="K658" s="2" t="n">
        <x:f>MAX(1,ROUND('기준스탯 72종'!E34-S658-AA658,0))</x:f>
        <x:v>1</x:v>
      </x:c>
      <x:c r="L658" s="2" t="n">
        <x:f>MAX(1,ROUND('기준스탯 72종'!F34-T658-AB658,0))</x:f>
        <x:v>1</x:v>
      </x:c>
      <x:c r="M658" s="2" t="n">
        <x:f>MAX(1,ROUND('기준스탯 72종'!G34-U658-AC658,0))</x:f>
        <x:v>2</x:v>
      </x:c>
      <x:c r="N658" s="2" t="n">
        <x:f>MAX(0,ROUND('기준스탯 72종'!H34-V658-AD658,0))</x:f>
        <x:v>1</x:v>
      </x:c>
      <x:c r="O658" s="2" t="n">
        <x:f>MAX(0,ROUND('기준스탯 72종'!I34-W658-AE658,0))</x:f>
        <x:v>1</x:v>
      </x:c>
      <x:c r="P658" s="2" t="n">
        <x:f>MAX(0,ROUND('기준스탯 72종'!J34-X658-AF658,0))</x:f>
        <x:v>1</x:v>
      </x:c>
      <x:c r="Q658" s="2" t="n">
        <x:f>MAX(0,ROUND('기준스탯 72종'!K34-Y658-AG658,0))</x:f>
        <x:v>0</x:v>
      </x:c>
      <x:c r="R658" s="15" t="n">
        <x:f>'기준스탯 72종'!D34*G658</x:f>
        <x:v>5.039999999999999</x:v>
      </x:c>
      <x:c r="S658" s="15" t="n">
        <x:f>'기준스탯 72종'!E34*G658</x:f>
        <x:v>3.9199999999999995</x:v>
      </x:c>
      <x:c r="T658" s="15" t="n">
        <x:f>'기준스탯 72종'!F34*G658</x:f>
        <x:v>3.3599999999999994</x:v>
      </x:c>
      <x:c r="U658" s="15" t="n">
        <x:f>'기준스탯 72종'!G34*G658</x:f>
        <x:v>4.4799999999999995</x:v>
      </x:c>
      <x:c r="V658" s="15" t="n">
        <x:f>'기준스탯 72종'!H34*G658</x:f>
        <x:v>3.3599999999999994</x:v>
      </x:c>
      <x:c r="W658" s="15" t="n">
        <x:f>'기준스탯 72종'!I34*G658</x:f>
        <x:v>3.3599999999999994</x:v>
      </x:c>
      <x:c r="X658" s="15" t="n">
        <x:f>'기준스탯 72종'!J34*G658</x:f>
        <x:v>1.6799999999999997</x:v>
      </x:c>
      <x:c r="Y658" s="15" t="n">
        <x:f>'기준스탯 72종'!K34*G658</x:f>
        <x:v>0.5599999999999999</x:v>
      </x:c>
      <x:c r="Z658" s="15" t="n">
        <x:f>'기준스탯 72종'!D34*H658</x:f>
        <x:v>2.1600000000000006</x:v>
      </x:c>
      <x:c r="AA658" s="15" t="n">
        <x:f>'기준스탯 72종'!E34*H658</x:f>
        <x:v>1.6800000000000004</x:v>
      </x:c>
      <x:c r="AB658" s="15" t="n">
        <x:f>'기준스탯 72종'!F34*H658</x:f>
        <x:v>1.4400000000000004</x:v>
      </x:c>
      <x:c r="AC658" s="15" t="n">
        <x:f>'기준스탯 72종'!G34*H658</x:f>
        <x:v>1.9200000000000004</x:v>
      </x:c>
      <x:c r="AD658" s="15" t="n">
        <x:f>'기준스탯 72종'!H34*H658</x:f>
        <x:v>1.4400000000000004</x:v>
      </x:c>
      <x:c r="AE658" s="15" t="n">
        <x:f>'기준스탯 72종'!I34*H658</x:f>
        <x:v>1.4400000000000004</x:v>
      </x:c>
      <x:c r="AF658" s="15" t="n">
        <x:f>'기준스탯 72종'!J34*H658</x:f>
        <x:v>0.7200000000000002</x:v>
      </x:c>
      <x:c r="AG658" s="15" t="n">
        <x:f>'기준스탯 72종'!K34*H658</x:f>
        <x:v>0.24000000000000005</x:v>
      </x:c>
    </x:row>
    <x:row r="659" ht="28" customHeight="1">
      <x:c r="A659" s="2" t="n">
        <x:v>652</x:v>
      </x:c>
      <x:c r="B659" s="2" t="n">
        <x:v>27</x:v>
      </x:c>
      <x:c r="C659" s="2" t="str">
        <x:v>사자자리</x:v>
      </x:c>
      <x:c r="D659" s="2" t="str">
        <x:v>사수</x:v>
      </x:c>
      <x:c r="E659" s="2" t="n">
        <x:v>2</x:v>
      </x:c>
      <x:c r="F659" s="2" t="n">
        <x:v>1</x:v>
      </x:c>
      <x:c r="G659" s="14" t="n">
        <x:f>('레벨 계산식'!$E$4-E659)*'레벨 계산식'!$B$5</x:f>
        <x:v>0.41999999999999993</x:v>
      </x:c>
      <x:c r="H659" s="14" t="n">
        <x:f>('등급 계산식'!$E$4-F659)*'등급 계산식'!$B$5</x:f>
        <x:v>0.24000000000000005</x:v>
      </x:c>
      <x:c r="I659" s="14" t="n">
        <x:f>1-G659-H659</x:f>
        <x:v>0.34</x:v>
      </x:c>
      <x:c r="J659" s="2" t="n">
        <x:f>MAX(1,ROUND('기준스탯 72종'!D34-R659-Z659,0))</x:f>
        <x:v>3</x:v>
      </x:c>
      <x:c r="K659" s="2" t="n">
        <x:f>MAX(1,ROUND('기준스탯 72종'!E34-S659-AA659,0))</x:f>
        <x:v>2</x:v>
      </x:c>
      <x:c r="L659" s="2" t="n">
        <x:f>MAX(1,ROUND('기준스탯 72종'!F34-T659-AB659,0))</x:f>
        <x:v>2</x:v>
      </x:c>
      <x:c r="M659" s="2" t="n">
        <x:f>MAX(1,ROUND('기준스탯 72종'!G34-U659-AC659,0))</x:f>
        <x:v>3</x:v>
      </x:c>
      <x:c r="N659" s="2" t="n">
        <x:f>MAX(0,ROUND('기준스탯 72종'!H34-V659-AD659,0))</x:f>
        <x:v>2</x:v>
      </x:c>
      <x:c r="O659" s="2" t="n">
        <x:f>MAX(0,ROUND('기준스탯 72종'!I34-W659-AE659,0))</x:f>
        <x:v>2</x:v>
      </x:c>
      <x:c r="P659" s="2" t="n">
        <x:f>MAX(0,ROUND('기준스탯 72종'!J34-X659-AF659,0))</x:f>
        <x:v>1</x:v>
      </x:c>
      <x:c r="Q659" s="2" t="n">
        <x:f>MAX(0,ROUND('기준스탯 72종'!K34-Y659-AG659,0))</x:f>
        <x:v>0</x:v>
      </x:c>
      <x:c r="R659" s="15" t="n">
        <x:f>'기준스탯 72종'!D34*G659</x:f>
        <x:v>3.7799999999999994</x:v>
      </x:c>
      <x:c r="S659" s="15" t="n">
        <x:f>'기준스탯 72종'!E34*G659</x:f>
        <x:v>2.9399999999999995</x:v>
      </x:c>
      <x:c r="T659" s="15" t="n">
        <x:f>'기준스탯 72종'!F34*G659</x:f>
        <x:v>2.5199999999999996</x:v>
      </x:c>
      <x:c r="U659" s="15" t="n">
        <x:f>'기준스탯 72종'!G34*G659</x:f>
        <x:v>3.3599999999999994</x:v>
      </x:c>
      <x:c r="V659" s="15" t="n">
        <x:f>'기준스탯 72종'!H34*G659</x:f>
        <x:v>2.5199999999999996</x:v>
      </x:c>
      <x:c r="W659" s="15" t="n">
        <x:f>'기준스탯 72종'!I34*G659</x:f>
        <x:v>2.5199999999999996</x:v>
      </x:c>
      <x:c r="X659" s="15" t="n">
        <x:f>'기준스탯 72종'!J34*G659</x:f>
        <x:v>1.2599999999999998</x:v>
      </x:c>
      <x:c r="Y659" s="15" t="n">
        <x:f>'기준스탯 72종'!K34*G659</x:f>
        <x:v>0.41999999999999993</x:v>
      </x:c>
      <x:c r="Z659" s="15" t="n">
        <x:f>'기준스탯 72종'!D34*H659</x:f>
        <x:v>2.1600000000000006</x:v>
      </x:c>
      <x:c r="AA659" s="15" t="n">
        <x:f>'기준스탯 72종'!E34*H659</x:f>
        <x:v>1.6800000000000004</x:v>
      </x:c>
      <x:c r="AB659" s="15" t="n">
        <x:f>'기준스탯 72종'!F34*H659</x:f>
        <x:v>1.4400000000000004</x:v>
      </x:c>
      <x:c r="AC659" s="15" t="n">
        <x:f>'기준스탯 72종'!G34*H659</x:f>
        <x:v>1.9200000000000004</x:v>
      </x:c>
      <x:c r="AD659" s="15" t="n">
        <x:f>'기준스탯 72종'!H34*H659</x:f>
        <x:v>1.4400000000000004</x:v>
      </x:c>
      <x:c r="AE659" s="15" t="n">
        <x:f>'기준스탯 72종'!I34*H659</x:f>
        <x:v>1.4400000000000004</x:v>
      </x:c>
      <x:c r="AF659" s="15" t="n">
        <x:f>'기준스탯 72종'!J34*H659</x:f>
        <x:v>0.7200000000000002</x:v>
      </x:c>
      <x:c r="AG659" s="15" t="n">
        <x:f>'기준스탯 72종'!K34*H659</x:f>
        <x:v>0.24000000000000005</x:v>
      </x:c>
    </x:row>
    <x:row r="660" ht="28" customHeight="1">
      <x:c r="A660" s="2" t="n">
        <x:v>653</x:v>
      </x:c>
      <x:c r="B660" s="2" t="n">
        <x:v>27</x:v>
      </x:c>
      <x:c r="C660" s="2" t="str">
        <x:v>사자자리</x:v>
      </x:c>
      <x:c r="D660" s="2" t="str">
        <x:v>사수</x:v>
      </x:c>
      <x:c r="E660" s="2" t="n">
        <x:v>3</x:v>
      </x:c>
      <x:c r="F660" s="2" t="n">
        <x:v>1</x:v>
      </x:c>
      <x:c r="G660" s="14" t="n">
        <x:f>('레벨 계산식'!$E$4-E660)*'레벨 계산식'!$B$5</x:f>
        <x:v>0.27999999999999997</x:v>
      </x:c>
      <x:c r="H660" s="14" t="n">
        <x:f>('등급 계산식'!$E$4-F660)*'등급 계산식'!$B$5</x:f>
        <x:v>0.24000000000000005</x:v>
      </x:c>
      <x:c r="I660" s="14" t="n">
        <x:f>1-G660-H660</x:f>
        <x:v>0.4799999999999999</x:v>
      </x:c>
      <x:c r="J660" s="2" t="n">
        <x:f>MAX(1,ROUND('기준스탯 72종'!D34-R660-Z660,0))</x:f>
        <x:v>4</x:v>
      </x:c>
      <x:c r="K660" s="2" t="n">
        <x:f>MAX(1,ROUND('기준스탯 72종'!E34-S660-AA660,0))</x:f>
        <x:v>3</x:v>
      </x:c>
      <x:c r="L660" s="2" t="n">
        <x:f>MAX(1,ROUND('기준스탯 72종'!F34-T660-AB660,0))</x:f>
        <x:v>3</x:v>
      </x:c>
      <x:c r="M660" s="2" t="n">
        <x:f>MAX(1,ROUND('기준스탯 72종'!G34-U660-AC660,0))</x:f>
        <x:v>4</x:v>
      </x:c>
      <x:c r="N660" s="2" t="n">
        <x:f>MAX(0,ROUND('기준스탯 72종'!H34-V660-AD660,0))</x:f>
        <x:v>3</x:v>
      </x:c>
      <x:c r="O660" s="2" t="n">
        <x:f>MAX(0,ROUND('기준스탯 72종'!I34-W660-AE660,0))</x:f>
        <x:v>3</x:v>
      </x:c>
      <x:c r="P660" s="2" t="n">
        <x:f>MAX(0,ROUND('기준스탯 72종'!J34-X660-AF660,0))</x:f>
        <x:v>1</x:v>
      </x:c>
      <x:c r="Q660" s="2" t="n">
        <x:f>MAX(0,ROUND('기준스탯 72종'!K34-Y660-AG660,0))</x:f>
        <x:v>0</x:v>
      </x:c>
      <x:c r="R660" s="15" t="n">
        <x:f>'기준스탯 72종'!D34*G660</x:f>
        <x:v>2.5199999999999996</x:v>
      </x:c>
      <x:c r="S660" s="15" t="n">
        <x:f>'기준스탯 72종'!E34*G660</x:f>
        <x:v>1.9599999999999997</x:v>
      </x:c>
      <x:c r="T660" s="15" t="n">
        <x:f>'기준스탯 72종'!F34*G660</x:f>
        <x:v>1.6799999999999997</x:v>
      </x:c>
      <x:c r="U660" s="15" t="n">
        <x:f>'기준스탯 72종'!G34*G660</x:f>
        <x:v>2.2399999999999998</x:v>
      </x:c>
      <x:c r="V660" s="15" t="n">
        <x:f>'기준스탯 72종'!H34*G660</x:f>
        <x:v>1.6799999999999997</x:v>
      </x:c>
      <x:c r="W660" s="15" t="n">
        <x:f>'기준스탯 72종'!I34*G660</x:f>
        <x:v>1.6799999999999997</x:v>
      </x:c>
      <x:c r="X660" s="15" t="n">
        <x:f>'기준스탯 72종'!J34*G660</x:f>
        <x:v>0.8399999999999999</x:v>
      </x:c>
      <x:c r="Y660" s="15" t="n">
        <x:f>'기준스탯 72종'!K34*G660</x:f>
        <x:v>0.27999999999999997</x:v>
      </x:c>
      <x:c r="Z660" s="15" t="n">
        <x:f>'기준스탯 72종'!D34*H660</x:f>
        <x:v>2.1600000000000006</x:v>
      </x:c>
      <x:c r="AA660" s="15" t="n">
        <x:f>'기준스탯 72종'!E34*H660</x:f>
        <x:v>1.6800000000000004</x:v>
      </x:c>
      <x:c r="AB660" s="15" t="n">
        <x:f>'기준스탯 72종'!F34*H660</x:f>
        <x:v>1.4400000000000004</x:v>
      </x:c>
      <x:c r="AC660" s="15" t="n">
        <x:f>'기준스탯 72종'!G34*H660</x:f>
        <x:v>1.9200000000000004</x:v>
      </x:c>
      <x:c r="AD660" s="15" t="n">
        <x:f>'기준스탯 72종'!H34*H660</x:f>
        <x:v>1.4400000000000004</x:v>
      </x:c>
      <x:c r="AE660" s="15" t="n">
        <x:f>'기준스탯 72종'!I34*H660</x:f>
        <x:v>1.4400000000000004</x:v>
      </x:c>
      <x:c r="AF660" s="15" t="n">
        <x:f>'기준스탯 72종'!J34*H660</x:f>
        <x:v>0.7200000000000002</x:v>
      </x:c>
      <x:c r="AG660" s="15" t="n">
        <x:f>'기준스탯 72종'!K34*H660</x:f>
        <x:v>0.24000000000000005</x:v>
      </x:c>
    </x:row>
    <x:row r="661" ht="28" customHeight="1">
      <x:c r="A661" s="2" t="n">
        <x:v>654</x:v>
      </x:c>
      <x:c r="B661" s="2" t="n">
        <x:v>27</x:v>
      </x:c>
      <x:c r="C661" s="2" t="str">
        <x:v>사자자리</x:v>
      </x:c>
      <x:c r="D661" s="2" t="str">
        <x:v>사수</x:v>
      </x:c>
      <x:c r="E661" s="2" t="n">
        <x:v>4</x:v>
      </x:c>
      <x:c r="F661" s="2" t="n">
        <x:v>1</x:v>
      </x:c>
      <x:c r="G661" s="14" t="n">
        <x:f>('레벨 계산식'!$E$4-E661)*'레벨 계산식'!$B$5</x:f>
        <x:v>0.13999999999999999</x:v>
      </x:c>
      <x:c r="H661" s="14" t="n">
        <x:f>('등급 계산식'!$E$4-F661)*'등급 계산식'!$B$5</x:f>
        <x:v>0.24000000000000005</x:v>
      </x:c>
      <x:c r="I661" s="14" t="n">
        <x:f>1-G661-H661</x:f>
        <x:v>0.6199999999999999</x:v>
      </x:c>
      <x:c r="J661" s="2" t="n">
        <x:f>MAX(1,ROUND('기준스탯 72종'!D34-R661-Z661,0))</x:f>
        <x:v>6</x:v>
      </x:c>
      <x:c r="K661" s="2" t="n">
        <x:f>MAX(1,ROUND('기준스탯 72종'!E34-S661-AA661,0))</x:f>
        <x:v>4</x:v>
      </x:c>
      <x:c r="L661" s="2" t="n">
        <x:f>MAX(1,ROUND('기준스탯 72종'!F34-T661-AB661,0))</x:f>
        <x:v>4</x:v>
      </x:c>
      <x:c r="M661" s="2" t="n">
        <x:f>MAX(1,ROUND('기준스탯 72종'!G34-U661-AC661,0))</x:f>
        <x:v>5</x:v>
      </x:c>
      <x:c r="N661" s="2" t="n">
        <x:f>MAX(0,ROUND('기준스탯 72종'!H34-V661-AD661,0))</x:f>
        <x:v>4</x:v>
      </x:c>
      <x:c r="O661" s="2" t="n">
        <x:f>MAX(0,ROUND('기준스탯 72종'!I34-W661-AE661,0))</x:f>
        <x:v>4</x:v>
      </x:c>
      <x:c r="P661" s="2" t="n">
        <x:f>MAX(0,ROUND('기준스탯 72종'!J34-X661-AF661,0))</x:f>
        <x:v>2</x:v>
      </x:c>
      <x:c r="Q661" s="2" t="n">
        <x:f>MAX(0,ROUND('기준스탯 72종'!K34-Y661-AG661,0))</x:f>
        <x:v>1</x:v>
      </x:c>
      <x:c r="R661" s="15" t="n">
        <x:f>'기준스탯 72종'!D34*G661</x:f>
        <x:v>1.2599999999999998</x:v>
      </x:c>
      <x:c r="S661" s="15" t="n">
        <x:f>'기준스탯 72종'!E34*G661</x:f>
        <x:v>0.9799999999999999</x:v>
      </x:c>
      <x:c r="T661" s="15" t="n">
        <x:f>'기준스탯 72종'!F34*G661</x:f>
        <x:v>0.8399999999999999</x:v>
      </x:c>
      <x:c r="U661" s="15" t="n">
        <x:f>'기준스탯 72종'!G34*G661</x:f>
        <x:v>1.1199999999999999</x:v>
      </x:c>
      <x:c r="V661" s="15" t="n">
        <x:f>'기준스탯 72종'!H34*G661</x:f>
        <x:v>0.8399999999999999</x:v>
      </x:c>
      <x:c r="W661" s="15" t="n">
        <x:f>'기준스탯 72종'!I34*G661</x:f>
        <x:v>0.8399999999999999</x:v>
      </x:c>
      <x:c r="X661" s="15" t="n">
        <x:f>'기준스탯 72종'!J34*G661</x:f>
        <x:v>0.41999999999999993</x:v>
      </x:c>
      <x:c r="Y661" s="15" t="n">
        <x:f>'기준스탯 72종'!K34*G661</x:f>
        <x:v>0.13999999999999999</x:v>
      </x:c>
      <x:c r="Z661" s="15" t="n">
        <x:f>'기준스탯 72종'!D34*H661</x:f>
        <x:v>2.1600000000000006</x:v>
      </x:c>
      <x:c r="AA661" s="15" t="n">
        <x:f>'기준스탯 72종'!E34*H661</x:f>
        <x:v>1.6800000000000004</x:v>
      </x:c>
      <x:c r="AB661" s="15" t="n">
        <x:f>'기준스탯 72종'!F34*H661</x:f>
        <x:v>1.4400000000000004</x:v>
      </x:c>
      <x:c r="AC661" s="15" t="n">
        <x:f>'기준스탯 72종'!G34*H661</x:f>
        <x:v>1.9200000000000004</x:v>
      </x:c>
      <x:c r="AD661" s="15" t="n">
        <x:f>'기준스탯 72종'!H34*H661</x:f>
        <x:v>1.4400000000000004</x:v>
      </x:c>
      <x:c r="AE661" s="15" t="n">
        <x:f>'기준스탯 72종'!I34*H661</x:f>
        <x:v>1.4400000000000004</x:v>
      </x:c>
      <x:c r="AF661" s="15" t="n">
        <x:f>'기준스탯 72종'!J34*H661</x:f>
        <x:v>0.7200000000000002</x:v>
      </x:c>
      <x:c r="AG661" s="15" t="n">
        <x:f>'기준스탯 72종'!K34*H661</x:f>
        <x:v>0.24000000000000005</x:v>
      </x:c>
    </x:row>
    <x:row r="662" ht="28" customHeight="1">
      <x:c r="A662" s="2" t="n">
        <x:v>655</x:v>
      </x:c>
      <x:c r="B662" s="2" t="n">
        <x:v>27</x:v>
      </x:c>
      <x:c r="C662" s="2" t="str">
        <x:v>사자자리</x:v>
      </x:c>
      <x:c r="D662" s="2" t="str">
        <x:v>사수</x:v>
      </x:c>
      <x:c r="E662" s="2" t="n">
        <x:v>5</x:v>
      </x:c>
      <x:c r="F662" s="2" t="n">
        <x:v>1</x:v>
      </x:c>
      <x:c r="G662" s="14" t="n">
        <x:f>('레벨 계산식'!$E$4-E662)*'레벨 계산식'!$B$5</x:f>
        <x:v>0</x:v>
      </x:c>
      <x:c r="H662" s="14" t="n">
        <x:f>('등급 계산식'!$E$4-F662)*'등급 계산식'!$B$5</x:f>
        <x:v>0.24000000000000005</x:v>
      </x:c>
      <x:c r="I662" s="14" t="n">
        <x:f>1-G662-H662</x:f>
        <x:v>0.76</x:v>
      </x:c>
      <x:c r="J662" s="2" t="n">
        <x:f>MAX(1,ROUND('기준스탯 72종'!D34-R662-Z662,0))</x:f>
        <x:v>7</x:v>
      </x:c>
      <x:c r="K662" s="2" t="n">
        <x:f>MAX(1,ROUND('기준스탯 72종'!E34-S662-AA662,0))</x:f>
        <x:v>5</x:v>
      </x:c>
      <x:c r="L662" s="2" t="n">
        <x:f>MAX(1,ROUND('기준스탯 72종'!F34-T662-AB662,0))</x:f>
        <x:v>5</x:v>
      </x:c>
      <x:c r="M662" s="2" t="n">
        <x:f>MAX(1,ROUND('기준스탯 72종'!G34-U662-AC662,0))</x:f>
        <x:v>6</x:v>
      </x:c>
      <x:c r="N662" s="2" t="n">
        <x:f>MAX(0,ROUND('기준스탯 72종'!H34-V662-AD662,0))</x:f>
        <x:v>5</x:v>
      </x:c>
      <x:c r="O662" s="2" t="n">
        <x:f>MAX(0,ROUND('기준스탯 72종'!I34-W662-AE662,0))</x:f>
        <x:v>5</x:v>
      </x:c>
      <x:c r="P662" s="2" t="n">
        <x:f>MAX(0,ROUND('기준스탯 72종'!J34-X662-AF662,0))</x:f>
        <x:v>2</x:v>
      </x:c>
      <x:c r="Q662" s="2" t="n">
        <x:f>MAX(0,ROUND('기준스탯 72종'!K34-Y662-AG662,0))</x:f>
        <x:v>1</x:v>
      </x:c>
      <x:c r="R662" s="15" t="n">
        <x:f>'기준스탯 72종'!D34*G662</x:f>
        <x:v>0</x:v>
      </x:c>
      <x:c r="S662" s="15" t="n">
        <x:f>'기준스탯 72종'!E34*G662</x:f>
        <x:v>0</x:v>
      </x:c>
      <x:c r="T662" s="15" t="n">
        <x:f>'기준스탯 72종'!F34*G662</x:f>
        <x:v>0</x:v>
      </x:c>
      <x:c r="U662" s="15" t="n">
        <x:f>'기준스탯 72종'!G34*G662</x:f>
        <x:v>0</x:v>
      </x:c>
      <x:c r="V662" s="15" t="n">
        <x:f>'기준스탯 72종'!H34*G662</x:f>
        <x:v>0</x:v>
      </x:c>
      <x:c r="W662" s="15" t="n">
        <x:f>'기준스탯 72종'!I34*G662</x:f>
        <x:v>0</x:v>
      </x:c>
      <x:c r="X662" s="15" t="n">
        <x:f>'기준스탯 72종'!J34*G662</x:f>
        <x:v>0</x:v>
      </x:c>
      <x:c r="Y662" s="15" t="n">
        <x:f>'기준스탯 72종'!K34*G662</x:f>
        <x:v>0</x:v>
      </x:c>
      <x:c r="Z662" s="15" t="n">
        <x:f>'기준스탯 72종'!D34*H662</x:f>
        <x:v>2.1600000000000006</x:v>
      </x:c>
      <x:c r="AA662" s="15" t="n">
        <x:f>'기준스탯 72종'!E34*H662</x:f>
        <x:v>1.6800000000000004</x:v>
      </x:c>
      <x:c r="AB662" s="15" t="n">
        <x:f>'기준스탯 72종'!F34*H662</x:f>
        <x:v>1.4400000000000004</x:v>
      </x:c>
      <x:c r="AC662" s="15" t="n">
        <x:f>'기준스탯 72종'!G34*H662</x:f>
        <x:v>1.9200000000000004</x:v>
      </x:c>
      <x:c r="AD662" s="15" t="n">
        <x:f>'기준스탯 72종'!H34*H662</x:f>
        <x:v>1.4400000000000004</x:v>
      </x:c>
      <x:c r="AE662" s="15" t="n">
        <x:f>'기준스탯 72종'!I34*H662</x:f>
        <x:v>1.4400000000000004</x:v>
      </x:c>
      <x:c r="AF662" s="15" t="n">
        <x:f>'기준스탯 72종'!J34*H662</x:f>
        <x:v>0.7200000000000002</x:v>
      </x:c>
      <x:c r="AG662" s="15" t="n">
        <x:f>'기준스탯 72종'!K34*H662</x:f>
        <x:v>0.24000000000000005</x:v>
      </x:c>
    </x:row>
    <x:row r="663" ht="28" customHeight="1">
      <x:c r="A663" s="2" t="n">
        <x:v>656</x:v>
      </x:c>
      <x:c r="B663" s="2" t="n">
        <x:v>27</x:v>
      </x:c>
      <x:c r="C663" s="2" t="str">
        <x:v>사자자리</x:v>
      </x:c>
      <x:c r="D663" s="2" t="str">
        <x:v>사수</x:v>
      </x:c>
      <x:c r="E663" s="2" t="n">
        <x:v>1</x:v>
      </x:c>
      <x:c r="F663" s="2" t="n">
        <x:v>2</x:v>
      </x:c>
      <x:c r="G663" s="14" t="n">
        <x:f>('레벨 계산식'!$E$4-E663)*'레벨 계산식'!$B$5</x:f>
        <x:v>0.5599999999999999</x:v>
      </x:c>
      <x:c r="H663" s="14" t="n">
        <x:f>('등급 계산식'!$E$4-F663)*'등급 계산식'!$B$5</x:f>
        <x:v>0.18000000000000005</x:v>
      </x:c>
      <x:c r="I663" s="14" t="n">
        <x:f>1-G663-H663</x:f>
        <x:v>0.26</x:v>
      </x:c>
      <x:c r="J663" s="2" t="n">
        <x:f>MAX(1,ROUND('기준스탯 72종'!D34-R663-Z663,0))</x:f>
        <x:v>2</x:v>
      </x:c>
      <x:c r="K663" s="2" t="n">
        <x:f>MAX(1,ROUND('기준스탯 72종'!E34-S663-AA663,0))</x:f>
        <x:v>2</x:v>
      </x:c>
      <x:c r="L663" s="2" t="n">
        <x:f>MAX(1,ROUND('기준스탯 72종'!F34-T663-AB663,0))</x:f>
        <x:v>2</x:v>
      </x:c>
      <x:c r="M663" s="2" t="n">
        <x:f>MAX(1,ROUND('기준스탯 72종'!G34-U663-AC663,0))</x:f>
        <x:v>2</x:v>
      </x:c>
      <x:c r="N663" s="2" t="n">
        <x:f>MAX(0,ROUND('기준스탯 72종'!H34-V663-AD663,0))</x:f>
        <x:v>2</x:v>
      </x:c>
      <x:c r="O663" s="2" t="n">
        <x:f>MAX(0,ROUND('기준스탯 72종'!I34-W663-AE663,0))</x:f>
        <x:v>2</x:v>
      </x:c>
      <x:c r="P663" s="2" t="n">
        <x:f>MAX(0,ROUND('기준스탯 72종'!J34-X663-AF663,0))</x:f>
        <x:v>1</x:v>
      </x:c>
      <x:c r="Q663" s="2" t="n">
        <x:f>MAX(0,ROUND('기준스탯 72종'!K34-Y663-AG663,0))</x:f>
        <x:v>0</x:v>
      </x:c>
      <x:c r="R663" s="15" t="n">
        <x:f>'기준스탯 72종'!D34*G663</x:f>
        <x:v>5.039999999999999</x:v>
      </x:c>
      <x:c r="S663" s="15" t="n">
        <x:f>'기준스탯 72종'!E34*G663</x:f>
        <x:v>3.9199999999999995</x:v>
      </x:c>
      <x:c r="T663" s="15" t="n">
        <x:f>'기준스탯 72종'!F34*G663</x:f>
        <x:v>3.3599999999999994</x:v>
      </x:c>
      <x:c r="U663" s="15" t="n">
        <x:f>'기준스탯 72종'!G34*G663</x:f>
        <x:v>4.4799999999999995</x:v>
      </x:c>
      <x:c r="V663" s="15" t="n">
        <x:f>'기준스탯 72종'!H34*G663</x:f>
        <x:v>3.3599999999999994</x:v>
      </x:c>
      <x:c r="W663" s="15" t="n">
        <x:f>'기준스탯 72종'!I34*G663</x:f>
        <x:v>3.3599999999999994</x:v>
      </x:c>
      <x:c r="X663" s="15" t="n">
        <x:f>'기준스탯 72종'!J34*G663</x:f>
        <x:v>1.6799999999999997</x:v>
      </x:c>
      <x:c r="Y663" s="15" t="n">
        <x:f>'기준스탯 72종'!K34*G663</x:f>
        <x:v>0.5599999999999999</x:v>
      </x:c>
      <x:c r="Z663" s="15" t="n">
        <x:f>'기준스탯 72종'!D34*H663</x:f>
        <x:v>1.6200000000000006</x:v>
      </x:c>
      <x:c r="AA663" s="15" t="n">
        <x:f>'기준스탯 72종'!E34*H663</x:f>
        <x:v>1.2600000000000002</x:v>
      </x:c>
      <x:c r="AB663" s="15" t="n">
        <x:f>'기준스탯 72종'!F34*H663</x:f>
        <x:v>1.0800000000000003</x:v>
      </x:c>
      <x:c r="AC663" s="15" t="n">
        <x:f>'기준스탯 72종'!G34*H663</x:f>
        <x:v>1.4400000000000004</x:v>
      </x:c>
      <x:c r="AD663" s="15" t="n">
        <x:f>'기준스탯 72종'!H34*H663</x:f>
        <x:v>1.0800000000000003</x:v>
      </x:c>
      <x:c r="AE663" s="15" t="n">
        <x:f>'기준스탯 72종'!I34*H663</x:f>
        <x:v>1.0800000000000003</x:v>
      </x:c>
      <x:c r="AF663" s="15" t="n">
        <x:f>'기준스탯 72종'!J34*H663</x:f>
        <x:v>0.5400000000000001</x:v>
      </x:c>
      <x:c r="AG663" s="15" t="n">
        <x:f>'기준스탯 72종'!K34*H663</x:f>
        <x:v>0.18000000000000005</x:v>
      </x:c>
    </x:row>
    <x:row r="664" ht="28" customHeight="1">
      <x:c r="A664" s="2" t="n">
        <x:v>657</x:v>
      </x:c>
      <x:c r="B664" s="2" t="n">
        <x:v>27</x:v>
      </x:c>
      <x:c r="C664" s="2" t="str">
        <x:v>사자자리</x:v>
      </x:c>
      <x:c r="D664" s="2" t="str">
        <x:v>사수</x:v>
      </x:c>
      <x:c r="E664" s="2" t="n">
        <x:v>2</x:v>
      </x:c>
      <x:c r="F664" s="2" t="n">
        <x:v>2</x:v>
      </x:c>
      <x:c r="G664" s="14" t="n">
        <x:f>('레벨 계산식'!$E$4-E664)*'레벨 계산식'!$B$5</x:f>
        <x:v>0.41999999999999993</x:v>
      </x:c>
      <x:c r="H664" s="14" t="n">
        <x:f>('등급 계산식'!$E$4-F664)*'등급 계산식'!$B$5</x:f>
        <x:v>0.18000000000000005</x:v>
      </x:c>
      <x:c r="I664" s="14" t="n">
        <x:f>1-G664-H664</x:f>
        <x:v>0.4</x:v>
      </x:c>
      <x:c r="J664" s="2" t="n">
        <x:f>MAX(1,ROUND('기준스탯 72종'!D34-R664-Z664,0))</x:f>
        <x:v>4</x:v>
      </x:c>
      <x:c r="K664" s="2" t="n">
        <x:f>MAX(1,ROUND('기준스탯 72종'!E34-S664-AA664,0))</x:f>
        <x:v>3</x:v>
      </x:c>
      <x:c r="L664" s="2" t="n">
        <x:f>MAX(1,ROUND('기준스탯 72종'!F34-T664-AB664,0))</x:f>
        <x:v>2</x:v>
      </x:c>
      <x:c r="M664" s="2" t="n">
        <x:f>MAX(1,ROUND('기준스탯 72종'!G34-U664-AC664,0))</x:f>
        <x:v>3</x:v>
      </x:c>
      <x:c r="N664" s="2" t="n">
        <x:f>MAX(0,ROUND('기준스탯 72종'!H34-V664-AD664,0))</x:f>
        <x:v>2</x:v>
      </x:c>
      <x:c r="O664" s="2" t="n">
        <x:f>MAX(0,ROUND('기준스탯 72종'!I34-W664-AE664,0))</x:f>
        <x:v>2</x:v>
      </x:c>
      <x:c r="P664" s="2" t="n">
        <x:f>MAX(0,ROUND('기준스탯 72종'!J34-X664-AF664,0))</x:f>
        <x:v>1</x:v>
      </x:c>
      <x:c r="Q664" s="2" t="n">
        <x:f>MAX(0,ROUND('기준스탯 72종'!K34-Y664-AG664,0))</x:f>
        <x:v>0</x:v>
      </x:c>
      <x:c r="R664" s="15" t="n">
        <x:f>'기준스탯 72종'!D34*G664</x:f>
        <x:v>3.7799999999999994</x:v>
      </x:c>
      <x:c r="S664" s="15" t="n">
        <x:f>'기준스탯 72종'!E34*G664</x:f>
        <x:v>2.9399999999999995</x:v>
      </x:c>
      <x:c r="T664" s="15" t="n">
        <x:f>'기준스탯 72종'!F34*G664</x:f>
        <x:v>2.5199999999999996</x:v>
      </x:c>
      <x:c r="U664" s="15" t="n">
        <x:f>'기준스탯 72종'!G34*G664</x:f>
        <x:v>3.3599999999999994</x:v>
      </x:c>
      <x:c r="V664" s="15" t="n">
        <x:f>'기준스탯 72종'!H34*G664</x:f>
        <x:v>2.5199999999999996</x:v>
      </x:c>
      <x:c r="W664" s="15" t="n">
        <x:f>'기준스탯 72종'!I34*G664</x:f>
        <x:v>2.5199999999999996</x:v>
      </x:c>
      <x:c r="X664" s="15" t="n">
        <x:f>'기준스탯 72종'!J34*G664</x:f>
        <x:v>1.2599999999999998</x:v>
      </x:c>
      <x:c r="Y664" s="15" t="n">
        <x:f>'기준스탯 72종'!K34*G664</x:f>
        <x:v>0.41999999999999993</x:v>
      </x:c>
      <x:c r="Z664" s="15" t="n">
        <x:f>'기준스탯 72종'!D34*H664</x:f>
        <x:v>1.6200000000000006</x:v>
      </x:c>
      <x:c r="AA664" s="15" t="n">
        <x:f>'기준스탯 72종'!E34*H664</x:f>
        <x:v>1.2600000000000002</x:v>
      </x:c>
      <x:c r="AB664" s="15" t="n">
        <x:f>'기준스탯 72종'!F34*H664</x:f>
        <x:v>1.0800000000000003</x:v>
      </x:c>
      <x:c r="AC664" s="15" t="n">
        <x:f>'기준스탯 72종'!G34*H664</x:f>
        <x:v>1.4400000000000004</x:v>
      </x:c>
      <x:c r="AD664" s="15" t="n">
        <x:f>'기준스탯 72종'!H34*H664</x:f>
        <x:v>1.0800000000000003</x:v>
      </x:c>
      <x:c r="AE664" s="15" t="n">
        <x:f>'기준스탯 72종'!I34*H664</x:f>
        <x:v>1.0800000000000003</x:v>
      </x:c>
      <x:c r="AF664" s="15" t="n">
        <x:f>'기준스탯 72종'!J34*H664</x:f>
        <x:v>0.5400000000000001</x:v>
      </x:c>
      <x:c r="AG664" s="15" t="n">
        <x:f>'기준스탯 72종'!K34*H664</x:f>
        <x:v>0.18000000000000005</x:v>
      </x:c>
    </x:row>
    <x:row r="665" ht="28" customHeight="1">
      <x:c r="A665" s="2" t="n">
        <x:v>658</x:v>
      </x:c>
      <x:c r="B665" s="2" t="n">
        <x:v>27</x:v>
      </x:c>
      <x:c r="C665" s="2" t="str">
        <x:v>사자자리</x:v>
      </x:c>
      <x:c r="D665" s="2" t="str">
        <x:v>사수</x:v>
      </x:c>
      <x:c r="E665" s="2" t="n">
        <x:v>3</x:v>
      </x:c>
      <x:c r="F665" s="2" t="n">
        <x:v>2</x:v>
      </x:c>
      <x:c r="G665" s="14" t="n">
        <x:f>('레벨 계산식'!$E$4-E665)*'레벨 계산식'!$B$5</x:f>
        <x:v>0.27999999999999997</x:v>
      </x:c>
      <x:c r="H665" s="14" t="n">
        <x:f>('등급 계산식'!$E$4-F665)*'등급 계산식'!$B$5</x:f>
        <x:v>0.18000000000000005</x:v>
      </x:c>
      <x:c r="I665" s="14" t="n">
        <x:f>1-G665-H665</x:f>
        <x:v>0.5399999999999999</x:v>
      </x:c>
      <x:c r="J665" s="2" t="n">
        <x:f>MAX(1,ROUND('기준스탯 72종'!D34-R665-Z665,0))</x:f>
        <x:v>5</x:v>
      </x:c>
      <x:c r="K665" s="2" t="n">
        <x:f>MAX(1,ROUND('기준스탯 72종'!E34-S665-AA665,0))</x:f>
        <x:v>4</x:v>
      </x:c>
      <x:c r="L665" s="2" t="n">
        <x:f>MAX(1,ROUND('기준스탯 72종'!F34-T665-AB665,0))</x:f>
        <x:v>3</x:v>
      </x:c>
      <x:c r="M665" s="2" t="n">
        <x:f>MAX(1,ROUND('기준스탯 72종'!G34-U665-AC665,0))</x:f>
        <x:v>4</x:v>
      </x:c>
      <x:c r="N665" s="2" t="n">
        <x:f>MAX(0,ROUND('기준스탯 72종'!H34-V665-AD665,0))</x:f>
        <x:v>3</x:v>
      </x:c>
      <x:c r="O665" s="2" t="n">
        <x:f>MAX(0,ROUND('기준스탯 72종'!I34-W665-AE665,0))</x:f>
        <x:v>3</x:v>
      </x:c>
      <x:c r="P665" s="2" t="n">
        <x:f>MAX(0,ROUND('기준스탯 72종'!J34-X665-AF665,0))</x:f>
        <x:v>2</x:v>
      </x:c>
      <x:c r="Q665" s="2" t="n">
        <x:f>MAX(0,ROUND('기준스탯 72종'!K34-Y665-AG665,0))</x:f>
        <x:v>1</x:v>
      </x:c>
      <x:c r="R665" s="15" t="n">
        <x:f>'기준스탯 72종'!D34*G665</x:f>
        <x:v>2.5199999999999996</x:v>
      </x:c>
      <x:c r="S665" s="15" t="n">
        <x:f>'기준스탯 72종'!E34*G665</x:f>
        <x:v>1.9599999999999997</x:v>
      </x:c>
      <x:c r="T665" s="15" t="n">
        <x:f>'기준스탯 72종'!F34*G665</x:f>
        <x:v>1.6799999999999997</x:v>
      </x:c>
      <x:c r="U665" s="15" t="n">
        <x:f>'기준스탯 72종'!G34*G665</x:f>
        <x:v>2.2399999999999998</x:v>
      </x:c>
      <x:c r="V665" s="15" t="n">
        <x:f>'기준스탯 72종'!H34*G665</x:f>
        <x:v>1.6799999999999997</x:v>
      </x:c>
      <x:c r="W665" s="15" t="n">
        <x:f>'기준스탯 72종'!I34*G665</x:f>
        <x:v>1.6799999999999997</x:v>
      </x:c>
      <x:c r="X665" s="15" t="n">
        <x:f>'기준스탯 72종'!J34*G665</x:f>
        <x:v>0.8399999999999999</x:v>
      </x:c>
      <x:c r="Y665" s="15" t="n">
        <x:f>'기준스탯 72종'!K34*G665</x:f>
        <x:v>0.27999999999999997</x:v>
      </x:c>
      <x:c r="Z665" s="15" t="n">
        <x:f>'기준스탯 72종'!D34*H665</x:f>
        <x:v>1.6200000000000006</x:v>
      </x:c>
      <x:c r="AA665" s="15" t="n">
        <x:f>'기준스탯 72종'!E34*H665</x:f>
        <x:v>1.2600000000000002</x:v>
      </x:c>
      <x:c r="AB665" s="15" t="n">
        <x:f>'기준스탯 72종'!F34*H665</x:f>
        <x:v>1.0800000000000003</x:v>
      </x:c>
      <x:c r="AC665" s="15" t="n">
        <x:f>'기준스탯 72종'!G34*H665</x:f>
        <x:v>1.4400000000000004</x:v>
      </x:c>
      <x:c r="AD665" s="15" t="n">
        <x:f>'기준스탯 72종'!H34*H665</x:f>
        <x:v>1.0800000000000003</x:v>
      </x:c>
      <x:c r="AE665" s="15" t="n">
        <x:f>'기준스탯 72종'!I34*H665</x:f>
        <x:v>1.0800000000000003</x:v>
      </x:c>
      <x:c r="AF665" s="15" t="n">
        <x:f>'기준스탯 72종'!J34*H665</x:f>
        <x:v>0.5400000000000001</x:v>
      </x:c>
      <x:c r="AG665" s="15" t="n">
        <x:f>'기준스탯 72종'!K34*H665</x:f>
        <x:v>0.18000000000000005</x:v>
      </x:c>
    </x:row>
    <x:row r="666" ht="28" customHeight="1">
      <x:c r="A666" s="2" t="n">
        <x:v>659</x:v>
      </x:c>
      <x:c r="B666" s="2" t="n">
        <x:v>27</x:v>
      </x:c>
      <x:c r="C666" s="2" t="str">
        <x:v>사자자리</x:v>
      </x:c>
      <x:c r="D666" s="2" t="str">
        <x:v>사수</x:v>
      </x:c>
      <x:c r="E666" s="2" t="n">
        <x:v>4</x:v>
      </x:c>
      <x:c r="F666" s="2" t="n">
        <x:v>2</x:v>
      </x:c>
      <x:c r="G666" s="14" t="n">
        <x:f>('레벨 계산식'!$E$4-E666)*'레벨 계산식'!$B$5</x:f>
        <x:v>0.13999999999999999</x:v>
      </x:c>
      <x:c r="H666" s="14" t="n">
        <x:f>('등급 계산식'!$E$4-F666)*'등급 계산식'!$B$5</x:f>
        <x:v>0.18000000000000005</x:v>
      </x:c>
      <x:c r="I666" s="14" t="n">
        <x:f>1-G666-H666</x:f>
        <x:v>0.6799999999999999</x:v>
      </x:c>
      <x:c r="J666" s="2" t="n">
        <x:f>MAX(1,ROUND('기준스탯 72종'!D34-R666-Z666,0))</x:f>
        <x:v>6</x:v>
      </x:c>
      <x:c r="K666" s="2" t="n">
        <x:f>MAX(1,ROUND('기준스탯 72종'!E34-S666-AA666,0))</x:f>
        <x:v>5</x:v>
      </x:c>
      <x:c r="L666" s="2" t="n">
        <x:f>MAX(1,ROUND('기준스탯 72종'!F34-T666-AB666,0))</x:f>
        <x:v>4</x:v>
      </x:c>
      <x:c r="M666" s="2" t="n">
        <x:f>MAX(1,ROUND('기준스탯 72종'!G34-U666-AC666,0))</x:f>
        <x:v>5</x:v>
      </x:c>
      <x:c r="N666" s="2" t="n">
        <x:f>MAX(0,ROUND('기준스탯 72종'!H34-V666-AD666,0))</x:f>
        <x:v>4</x:v>
      </x:c>
      <x:c r="O666" s="2" t="n">
        <x:f>MAX(0,ROUND('기준스탯 72종'!I34-W666-AE666,0))</x:f>
        <x:v>4</x:v>
      </x:c>
      <x:c r="P666" s="2" t="n">
        <x:f>MAX(0,ROUND('기준스탯 72종'!J34-X666-AF666,0))</x:f>
        <x:v>2</x:v>
      </x:c>
      <x:c r="Q666" s="2" t="n">
        <x:f>MAX(0,ROUND('기준스탯 72종'!K34-Y666-AG666,0))</x:f>
        <x:v>1</x:v>
      </x:c>
      <x:c r="R666" s="15" t="n">
        <x:f>'기준스탯 72종'!D34*G666</x:f>
        <x:v>1.2599999999999998</x:v>
      </x:c>
      <x:c r="S666" s="15" t="n">
        <x:f>'기준스탯 72종'!E34*G666</x:f>
        <x:v>0.9799999999999999</x:v>
      </x:c>
      <x:c r="T666" s="15" t="n">
        <x:f>'기준스탯 72종'!F34*G666</x:f>
        <x:v>0.8399999999999999</x:v>
      </x:c>
      <x:c r="U666" s="15" t="n">
        <x:f>'기준스탯 72종'!G34*G666</x:f>
        <x:v>1.1199999999999999</x:v>
      </x:c>
      <x:c r="V666" s="15" t="n">
        <x:f>'기준스탯 72종'!H34*G666</x:f>
        <x:v>0.8399999999999999</x:v>
      </x:c>
      <x:c r="W666" s="15" t="n">
        <x:f>'기준스탯 72종'!I34*G666</x:f>
        <x:v>0.8399999999999999</x:v>
      </x:c>
      <x:c r="X666" s="15" t="n">
        <x:f>'기준스탯 72종'!J34*G666</x:f>
        <x:v>0.41999999999999993</x:v>
      </x:c>
      <x:c r="Y666" s="15" t="n">
        <x:f>'기준스탯 72종'!K34*G666</x:f>
        <x:v>0.13999999999999999</x:v>
      </x:c>
      <x:c r="Z666" s="15" t="n">
        <x:f>'기준스탯 72종'!D34*H666</x:f>
        <x:v>1.6200000000000006</x:v>
      </x:c>
      <x:c r="AA666" s="15" t="n">
        <x:f>'기준스탯 72종'!E34*H666</x:f>
        <x:v>1.2600000000000002</x:v>
      </x:c>
      <x:c r="AB666" s="15" t="n">
        <x:f>'기준스탯 72종'!F34*H666</x:f>
        <x:v>1.0800000000000003</x:v>
      </x:c>
      <x:c r="AC666" s="15" t="n">
        <x:f>'기준스탯 72종'!G34*H666</x:f>
        <x:v>1.4400000000000004</x:v>
      </x:c>
      <x:c r="AD666" s="15" t="n">
        <x:f>'기준스탯 72종'!H34*H666</x:f>
        <x:v>1.0800000000000003</x:v>
      </x:c>
      <x:c r="AE666" s="15" t="n">
        <x:f>'기준스탯 72종'!I34*H666</x:f>
        <x:v>1.0800000000000003</x:v>
      </x:c>
      <x:c r="AF666" s="15" t="n">
        <x:f>'기준스탯 72종'!J34*H666</x:f>
        <x:v>0.5400000000000001</x:v>
      </x:c>
      <x:c r="AG666" s="15" t="n">
        <x:f>'기준스탯 72종'!K34*H666</x:f>
        <x:v>0.18000000000000005</x:v>
      </x:c>
    </x:row>
    <x:row r="667" ht="28" customHeight="1">
      <x:c r="A667" s="2" t="n">
        <x:v>660</x:v>
      </x:c>
      <x:c r="B667" s="2" t="n">
        <x:v>27</x:v>
      </x:c>
      <x:c r="C667" s="2" t="str">
        <x:v>사자자리</x:v>
      </x:c>
      <x:c r="D667" s="2" t="str">
        <x:v>사수</x:v>
      </x:c>
      <x:c r="E667" s="2" t="n">
        <x:v>5</x:v>
      </x:c>
      <x:c r="F667" s="2" t="n">
        <x:v>2</x:v>
      </x:c>
      <x:c r="G667" s="14" t="n">
        <x:f>('레벨 계산식'!$E$4-E667)*'레벨 계산식'!$B$5</x:f>
        <x:v>0</x:v>
      </x:c>
      <x:c r="H667" s="14" t="n">
        <x:f>('등급 계산식'!$E$4-F667)*'등급 계산식'!$B$5</x:f>
        <x:v>0.18000000000000005</x:v>
      </x:c>
      <x:c r="I667" s="14" t="n">
        <x:f>1-G667-H667</x:f>
        <x:v>0.82</x:v>
      </x:c>
      <x:c r="J667" s="2" t="n">
        <x:f>MAX(1,ROUND('기준스탯 72종'!D34-R667-Z667,0))</x:f>
        <x:v>7</x:v>
      </x:c>
      <x:c r="K667" s="2" t="n">
        <x:f>MAX(1,ROUND('기준스탯 72종'!E34-S667-AA667,0))</x:f>
        <x:v>6</x:v>
      </x:c>
      <x:c r="L667" s="2" t="n">
        <x:f>MAX(1,ROUND('기준스탯 72종'!F34-T667-AB667,0))</x:f>
        <x:v>5</x:v>
      </x:c>
      <x:c r="M667" s="2" t="n">
        <x:f>MAX(1,ROUND('기준스탯 72종'!G34-U667-AC667,0))</x:f>
        <x:v>7</x:v>
      </x:c>
      <x:c r="N667" s="2" t="n">
        <x:f>MAX(0,ROUND('기준스탯 72종'!H34-V667-AD667,0))</x:f>
        <x:v>5</x:v>
      </x:c>
      <x:c r="O667" s="2" t="n">
        <x:f>MAX(0,ROUND('기준스탯 72종'!I34-W667-AE667,0))</x:f>
        <x:v>5</x:v>
      </x:c>
      <x:c r="P667" s="2" t="n">
        <x:f>MAX(0,ROUND('기준스탯 72종'!J34-X667-AF667,0))</x:f>
        <x:v>2</x:v>
      </x:c>
      <x:c r="Q667" s="2" t="n">
        <x:f>MAX(0,ROUND('기준스탯 72종'!K34-Y667-AG667,0))</x:f>
        <x:v>1</x:v>
      </x:c>
      <x:c r="R667" s="15" t="n">
        <x:f>'기준스탯 72종'!D34*G667</x:f>
        <x:v>0</x:v>
      </x:c>
      <x:c r="S667" s="15" t="n">
        <x:f>'기준스탯 72종'!E34*G667</x:f>
        <x:v>0</x:v>
      </x:c>
      <x:c r="T667" s="15" t="n">
        <x:f>'기준스탯 72종'!F34*G667</x:f>
        <x:v>0</x:v>
      </x:c>
      <x:c r="U667" s="15" t="n">
        <x:f>'기준스탯 72종'!G34*G667</x:f>
        <x:v>0</x:v>
      </x:c>
      <x:c r="V667" s="15" t="n">
        <x:f>'기준스탯 72종'!H34*G667</x:f>
        <x:v>0</x:v>
      </x:c>
      <x:c r="W667" s="15" t="n">
        <x:f>'기준스탯 72종'!I34*G667</x:f>
        <x:v>0</x:v>
      </x:c>
      <x:c r="X667" s="15" t="n">
        <x:f>'기준스탯 72종'!J34*G667</x:f>
        <x:v>0</x:v>
      </x:c>
      <x:c r="Y667" s="15" t="n">
        <x:f>'기준스탯 72종'!K34*G667</x:f>
        <x:v>0</x:v>
      </x:c>
      <x:c r="Z667" s="15" t="n">
        <x:f>'기준스탯 72종'!D34*H667</x:f>
        <x:v>1.6200000000000006</x:v>
      </x:c>
      <x:c r="AA667" s="15" t="n">
        <x:f>'기준스탯 72종'!E34*H667</x:f>
        <x:v>1.2600000000000002</x:v>
      </x:c>
      <x:c r="AB667" s="15" t="n">
        <x:f>'기준스탯 72종'!F34*H667</x:f>
        <x:v>1.0800000000000003</x:v>
      </x:c>
      <x:c r="AC667" s="15" t="n">
        <x:f>'기준스탯 72종'!G34*H667</x:f>
        <x:v>1.4400000000000004</x:v>
      </x:c>
      <x:c r="AD667" s="15" t="n">
        <x:f>'기준스탯 72종'!H34*H667</x:f>
        <x:v>1.0800000000000003</x:v>
      </x:c>
      <x:c r="AE667" s="15" t="n">
        <x:f>'기준스탯 72종'!I34*H667</x:f>
        <x:v>1.0800000000000003</x:v>
      </x:c>
      <x:c r="AF667" s="15" t="n">
        <x:f>'기준스탯 72종'!J34*H667</x:f>
        <x:v>0.5400000000000001</x:v>
      </x:c>
      <x:c r="AG667" s="15" t="n">
        <x:f>'기준스탯 72종'!K34*H667</x:f>
        <x:v>0.18000000000000005</x:v>
      </x:c>
    </x:row>
    <x:row r="668" ht="28" customHeight="1">
      <x:c r="A668" s="2" t="n">
        <x:v>661</x:v>
      </x:c>
      <x:c r="B668" s="2" t="n">
        <x:v>27</x:v>
      </x:c>
      <x:c r="C668" s="2" t="str">
        <x:v>사자자리</x:v>
      </x:c>
      <x:c r="D668" s="2" t="str">
        <x:v>사수</x:v>
      </x:c>
      <x:c r="E668" s="2" t="n">
        <x:v>1</x:v>
      </x:c>
      <x:c r="F668" s="2" t="n">
        <x:v>3</x:v>
      </x:c>
      <x:c r="G668" s="14" t="n">
        <x:f>('레벨 계산식'!$E$4-E668)*'레벨 계산식'!$B$5</x:f>
        <x:v>0.5599999999999999</x:v>
      </x:c>
      <x:c r="H668" s="14" t="n">
        <x:f>('등급 계산식'!$E$4-F668)*'등급 계산식'!$B$5</x:f>
        <x:v>0.12000000000000002</x:v>
      </x:c>
      <x:c r="I668" s="14" t="n">
        <x:f>1-G668-H668</x:f>
        <x:v>0.32000000000000006</x:v>
      </x:c>
      <x:c r="J668" s="2" t="n">
        <x:f>MAX(1,ROUND('기준스탯 72종'!D34-R668-Z668,0))</x:f>
        <x:v>3</x:v>
      </x:c>
      <x:c r="K668" s="2" t="n">
        <x:f>MAX(1,ROUND('기준스탯 72종'!E34-S668-AA668,0))</x:f>
        <x:v>2</x:v>
      </x:c>
      <x:c r="L668" s="2" t="n">
        <x:f>MAX(1,ROUND('기준스탯 72종'!F34-T668-AB668,0))</x:f>
        <x:v>2</x:v>
      </x:c>
      <x:c r="M668" s="2" t="n">
        <x:f>MAX(1,ROUND('기준스탯 72종'!G34-U668-AC668,0))</x:f>
        <x:v>3</x:v>
      </x:c>
      <x:c r="N668" s="2" t="n">
        <x:f>MAX(0,ROUND('기준스탯 72종'!H34-V668-AD668,0))</x:f>
        <x:v>2</x:v>
      </x:c>
      <x:c r="O668" s="2" t="n">
        <x:f>MAX(0,ROUND('기준스탯 72종'!I34-W668-AE668,0))</x:f>
        <x:v>2</x:v>
      </x:c>
      <x:c r="P668" s="2" t="n">
        <x:f>MAX(0,ROUND('기준스탯 72종'!J34-X668-AF668,0))</x:f>
        <x:v>1</x:v>
      </x:c>
      <x:c r="Q668" s="2" t="n">
        <x:f>MAX(0,ROUND('기준스탯 72종'!K34-Y668-AG668,0))</x:f>
        <x:v>0</x:v>
      </x:c>
      <x:c r="R668" s="15" t="n">
        <x:f>'기준스탯 72종'!D34*G668</x:f>
        <x:v>5.039999999999999</x:v>
      </x:c>
      <x:c r="S668" s="15" t="n">
        <x:f>'기준스탯 72종'!E34*G668</x:f>
        <x:v>3.9199999999999995</x:v>
      </x:c>
      <x:c r="T668" s="15" t="n">
        <x:f>'기준스탯 72종'!F34*G668</x:f>
        <x:v>3.3599999999999994</x:v>
      </x:c>
      <x:c r="U668" s="15" t="n">
        <x:f>'기준스탯 72종'!G34*G668</x:f>
        <x:v>4.4799999999999995</x:v>
      </x:c>
      <x:c r="V668" s="15" t="n">
        <x:f>'기준스탯 72종'!H34*G668</x:f>
        <x:v>3.3599999999999994</x:v>
      </x:c>
      <x:c r="W668" s="15" t="n">
        <x:f>'기준스탯 72종'!I34*G668</x:f>
        <x:v>3.3599999999999994</x:v>
      </x:c>
      <x:c r="X668" s="15" t="n">
        <x:f>'기준스탯 72종'!J34*G668</x:f>
        <x:v>1.6799999999999997</x:v>
      </x:c>
      <x:c r="Y668" s="15" t="n">
        <x:f>'기준스탯 72종'!K34*G668</x:f>
        <x:v>0.5599999999999999</x:v>
      </x:c>
      <x:c r="Z668" s="15" t="n">
        <x:f>'기준스탯 72종'!D34*H668</x:f>
        <x:v>1.0800000000000003</x:v>
      </x:c>
      <x:c r="AA668" s="15" t="n">
        <x:f>'기준스탯 72종'!E34*H668</x:f>
        <x:v>0.8400000000000002</x:v>
      </x:c>
      <x:c r="AB668" s="15" t="n">
        <x:f>'기준스탯 72종'!F34*H668</x:f>
        <x:v>0.7200000000000002</x:v>
      </x:c>
      <x:c r="AC668" s="15" t="n">
        <x:f>'기준스탯 72종'!G34*H668</x:f>
        <x:v>0.9600000000000002</x:v>
      </x:c>
      <x:c r="AD668" s="15" t="n">
        <x:f>'기준스탯 72종'!H34*H668</x:f>
        <x:v>0.7200000000000002</x:v>
      </x:c>
      <x:c r="AE668" s="15" t="n">
        <x:f>'기준스탯 72종'!I34*H668</x:f>
        <x:v>0.7200000000000002</x:v>
      </x:c>
      <x:c r="AF668" s="15" t="n">
        <x:f>'기준스탯 72종'!J34*H668</x:f>
        <x:v>0.3600000000000001</x:v>
      </x:c>
      <x:c r="AG668" s="15" t="n">
        <x:f>'기준스탯 72종'!K34*H668</x:f>
        <x:v>0.12000000000000002</x:v>
      </x:c>
    </x:row>
    <x:row r="669" ht="28" customHeight="1">
      <x:c r="A669" s="2" t="n">
        <x:v>662</x:v>
      </x:c>
      <x:c r="B669" s="2" t="n">
        <x:v>27</x:v>
      </x:c>
      <x:c r="C669" s="2" t="str">
        <x:v>사자자리</x:v>
      </x:c>
      <x:c r="D669" s="2" t="str">
        <x:v>사수</x:v>
      </x:c>
      <x:c r="E669" s="2" t="n">
        <x:v>2</x:v>
      </x:c>
      <x:c r="F669" s="2" t="n">
        <x:v>3</x:v>
      </x:c>
      <x:c r="G669" s="14" t="n">
        <x:f>('레벨 계산식'!$E$4-E669)*'레벨 계산식'!$B$5</x:f>
        <x:v>0.41999999999999993</x:v>
      </x:c>
      <x:c r="H669" s="14" t="n">
        <x:f>('등급 계산식'!$E$4-F669)*'등급 계산식'!$B$5</x:f>
        <x:v>0.12000000000000002</x:v>
      </x:c>
      <x:c r="I669" s="14" t="n">
        <x:f>1-G669-H669</x:f>
        <x:v>0.4600000000000001</x:v>
      </x:c>
      <x:c r="J669" s="2" t="n">
        <x:f>MAX(1,ROUND('기준스탯 72종'!D34-R669-Z669,0))</x:f>
        <x:v>4</x:v>
      </x:c>
      <x:c r="K669" s="2" t="n">
        <x:f>MAX(1,ROUND('기준스탯 72종'!E34-S669-AA669,0))</x:f>
        <x:v>3</x:v>
      </x:c>
      <x:c r="L669" s="2" t="n">
        <x:f>MAX(1,ROUND('기준스탯 72종'!F34-T669-AB669,0))</x:f>
        <x:v>3</x:v>
      </x:c>
      <x:c r="M669" s="2" t="n">
        <x:f>MAX(1,ROUND('기준스탯 72종'!G34-U669-AC669,0))</x:f>
        <x:v>4</x:v>
      </x:c>
      <x:c r="N669" s="2" t="n">
        <x:f>MAX(0,ROUND('기준스탯 72종'!H34-V669-AD669,0))</x:f>
        <x:v>3</x:v>
      </x:c>
      <x:c r="O669" s="2" t="n">
        <x:f>MAX(0,ROUND('기준스탯 72종'!I34-W669-AE669,0))</x:f>
        <x:v>3</x:v>
      </x:c>
      <x:c r="P669" s="2" t="n">
        <x:f>MAX(0,ROUND('기준스탯 72종'!J34-X669-AF669,0))</x:f>
        <x:v>1</x:v>
      </x:c>
      <x:c r="Q669" s="2" t="n">
        <x:f>MAX(0,ROUND('기준스탯 72종'!K34-Y669-AG669,0))</x:f>
        <x:v>0</x:v>
      </x:c>
      <x:c r="R669" s="15" t="n">
        <x:f>'기준스탯 72종'!D34*G669</x:f>
        <x:v>3.7799999999999994</x:v>
      </x:c>
      <x:c r="S669" s="15" t="n">
        <x:f>'기준스탯 72종'!E34*G669</x:f>
        <x:v>2.9399999999999995</x:v>
      </x:c>
      <x:c r="T669" s="15" t="n">
        <x:f>'기준스탯 72종'!F34*G669</x:f>
        <x:v>2.5199999999999996</x:v>
      </x:c>
      <x:c r="U669" s="15" t="n">
        <x:f>'기준스탯 72종'!G34*G669</x:f>
        <x:v>3.3599999999999994</x:v>
      </x:c>
      <x:c r="V669" s="15" t="n">
        <x:f>'기준스탯 72종'!H34*G669</x:f>
        <x:v>2.5199999999999996</x:v>
      </x:c>
      <x:c r="W669" s="15" t="n">
        <x:f>'기준스탯 72종'!I34*G669</x:f>
        <x:v>2.5199999999999996</x:v>
      </x:c>
      <x:c r="X669" s="15" t="n">
        <x:f>'기준스탯 72종'!J34*G669</x:f>
        <x:v>1.2599999999999998</x:v>
      </x:c>
      <x:c r="Y669" s="15" t="n">
        <x:f>'기준스탯 72종'!K34*G669</x:f>
        <x:v>0.41999999999999993</x:v>
      </x:c>
      <x:c r="Z669" s="15" t="n">
        <x:f>'기준스탯 72종'!D34*H669</x:f>
        <x:v>1.0800000000000003</x:v>
      </x:c>
      <x:c r="AA669" s="15" t="n">
        <x:f>'기준스탯 72종'!E34*H669</x:f>
        <x:v>0.8400000000000002</x:v>
      </x:c>
      <x:c r="AB669" s="15" t="n">
        <x:f>'기준스탯 72종'!F34*H669</x:f>
        <x:v>0.7200000000000002</x:v>
      </x:c>
      <x:c r="AC669" s="15" t="n">
        <x:f>'기준스탯 72종'!G34*H669</x:f>
        <x:v>0.9600000000000002</x:v>
      </x:c>
      <x:c r="AD669" s="15" t="n">
        <x:f>'기준스탯 72종'!H34*H669</x:f>
        <x:v>0.7200000000000002</x:v>
      </x:c>
      <x:c r="AE669" s="15" t="n">
        <x:f>'기준스탯 72종'!I34*H669</x:f>
        <x:v>0.7200000000000002</x:v>
      </x:c>
      <x:c r="AF669" s="15" t="n">
        <x:f>'기준스탯 72종'!J34*H669</x:f>
        <x:v>0.3600000000000001</x:v>
      </x:c>
      <x:c r="AG669" s="15" t="n">
        <x:f>'기준스탯 72종'!K34*H669</x:f>
        <x:v>0.12000000000000002</x:v>
      </x:c>
    </x:row>
    <x:row r="670" ht="28" customHeight="1">
      <x:c r="A670" s="2" t="n">
        <x:v>663</x:v>
      </x:c>
      <x:c r="B670" s="2" t="n">
        <x:v>27</x:v>
      </x:c>
      <x:c r="C670" s="2" t="str">
        <x:v>사자자리</x:v>
      </x:c>
      <x:c r="D670" s="2" t="str">
        <x:v>사수</x:v>
      </x:c>
      <x:c r="E670" s="2" t="n">
        <x:v>3</x:v>
      </x:c>
      <x:c r="F670" s="2" t="n">
        <x:v>3</x:v>
      </x:c>
      <x:c r="G670" s="14" t="n">
        <x:f>('레벨 계산식'!$E$4-E670)*'레벨 계산식'!$B$5</x:f>
        <x:v>0.27999999999999997</x:v>
      </x:c>
      <x:c r="H670" s="14" t="n">
        <x:f>('등급 계산식'!$E$4-F670)*'등급 계산식'!$B$5</x:f>
        <x:v>0.12000000000000002</x:v>
      </x:c>
      <x:c r="I670" s="14" t="n">
        <x:f>1-G670-H670</x:f>
        <x:v>0.6</x:v>
      </x:c>
      <x:c r="J670" s="2" t="n">
        <x:f>MAX(1,ROUND('기준스탯 72종'!D34-R670-Z670,0))</x:f>
        <x:v>5</x:v>
      </x:c>
      <x:c r="K670" s="2" t="n">
        <x:f>MAX(1,ROUND('기준스탯 72종'!E34-S670-AA670,0))</x:f>
        <x:v>4</x:v>
      </x:c>
      <x:c r="L670" s="2" t="n">
        <x:f>MAX(1,ROUND('기준스탯 72종'!F34-T670-AB670,0))</x:f>
        <x:v>4</x:v>
      </x:c>
      <x:c r="M670" s="2" t="n">
        <x:f>MAX(1,ROUND('기준스탯 72종'!G34-U670-AC670,0))</x:f>
        <x:v>5</x:v>
      </x:c>
      <x:c r="N670" s="2" t="n">
        <x:f>MAX(0,ROUND('기준스탯 72종'!H34-V670-AD670,0))</x:f>
        <x:v>4</x:v>
      </x:c>
      <x:c r="O670" s="2" t="n">
        <x:f>MAX(0,ROUND('기준스탯 72종'!I34-W670-AE670,0))</x:f>
        <x:v>4</x:v>
      </x:c>
      <x:c r="P670" s="2" t="n">
        <x:f>MAX(0,ROUND('기준스탯 72종'!J34-X670-AF670,0))</x:f>
        <x:v>2</x:v>
      </x:c>
      <x:c r="Q670" s="2" t="n">
        <x:f>MAX(0,ROUND('기준스탯 72종'!K34-Y670-AG670,0))</x:f>
        <x:v>1</x:v>
      </x:c>
      <x:c r="R670" s="15" t="n">
        <x:f>'기준스탯 72종'!D34*G670</x:f>
        <x:v>2.5199999999999996</x:v>
      </x:c>
      <x:c r="S670" s="15" t="n">
        <x:f>'기준스탯 72종'!E34*G670</x:f>
        <x:v>1.9599999999999997</x:v>
      </x:c>
      <x:c r="T670" s="15" t="n">
        <x:f>'기준스탯 72종'!F34*G670</x:f>
        <x:v>1.6799999999999997</x:v>
      </x:c>
      <x:c r="U670" s="15" t="n">
        <x:f>'기준스탯 72종'!G34*G670</x:f>
        <x:v>2.2399999999999998</x:v>
      </x:c>
      <x:c r="V670" s="15" t="n">
        <x:f>'기준스탯 72종'!H34*G670</x:f>
        <x:v>1.6799999999999997</x:v>
      </x:c>
      <x:c r="W670" s="15" t="n">
        <x:f>'기준스탯 72종'!I34*G670</x:f>
        <x:v>1.6799999999999997</x:v>
      </x:c>
      <x:c r="X670" s="15" t="n">
        <x:f>'기준스탯 72종'!J34*G670</x:f>
        <x:v>0.8399999999999999</x:v>
      </x:c>
      <x:c r="Y670" s="15" t="n">
        <x:f>'기준스탯 72종'!K34*G670</x:f>
        <x:v>0.27999999999999997</x:v>
      </x:c>
      <x:c r="Z670" s="15" t="n">
        <x:f>'기준스탯 72종'!D34*H670</x:f>
        <x:v>1.0800000000000003</x:v>
      </x:c>
      <x:c r="AA670" s="15" t="n">
        <x:f>'기준스탯 72종'!E34*H670</x:f>
        <x:v>0.8400000000000002</x:v>
      </x:c>
      <x:c r="AB670" s="15" t="n">
        <x:f>'기준스탯 72종'!F34*H670</x:f>
        <x:v>0.7200000000000002</x:v>
      </x:c>
      <x:c r="AC670" s="15" t="n">
        <x:f>'기준스탯 72종'!G34*H670</x:f>
        <x:v>0.9600000000000002</x:v>
      </x:c>
      <x:c r="AD670" s="15" t="n">
        <x:f>'기준스탯 72종'!H34*H670</x:f>
        <x:v>0.7200000000000002</x:v>
      </x:c>
      <x:c r="AE670" s="15" t="n">
        <x:f>'기준스탯 72종'!I34*H670</x:f>
        <x:v>0.7200000000000002</x:v>
      </x:c>
      <x:c r="AF670" s="15" t="n">
        <x:f>'기준스탯 72종'!J34*H670</x:f>
        <x:v>0.3600000000000001</x:v>
      </x:c>
      <x:c r="AG670" s="15" t="n">
        <x:f>'기준스탯 72종'!K34*H670</x:f>
        <x:v>0.12000000000000002</x:v>
      </x:c>
    </x:row>
    <x:row r="671" ht="28" customHeight="1">
      <x:c r="A671" s="2" t="n">
        <x:v>664</x:v>
      </x:c>
      <x:c r="B671" s="2" t="n">
        <x:v>27</x:v>
      </x:c>
      <x:c r="C671" s="2" t="str">
        <x:v>사자자리</x:v>
      </x:c>
      <x:c r="D671" s="2" t="str">
        <x:v>사수</x:v>
      </x:c>
      <x:c r="E671" s="2" t="n">
        <x:v>4</x:v>
      </x:c>
      <x:c r="F671" s="2" t="n">
        <x:v>3</x:v>
      </x:c>
      <x:c r="G671" s="14" t="n">
        <x:f>('레벨 계산식'!$E$4-E671)*'레벨 계산식'!$B$5</x:f>
        <x:v>0.13999999999999999</x:v>
      </x:c>
      <x:c r="H671" s="14" t="n">
        <x:f>('등급 계산식'!$E$4-F671)*'등급 계산식'!$B$5</x:f>
        <x:v>0.12000000000000002</x:v>
      </x:c>
      <x:c r="I671" s="14" t="n">
        <x:f>1-G671-H671</x:f>
        <x:v>0.74</x:v>
      </x:c>
      <x:c r="J671" s="2" t="n">
        <x:f>MAX(1,ROUND('기준스탯 72종'!D34-R671-Z671,0))</x:f>
        <x:v>7</x:v>
      </x:c>
      <x:c r="K671" s="2" t="n">
        <x:f>MAX(1,ROUND('기준스탯 72종'!E34-S671-AA671,0))</x:f>
        <x:v>5</x:v>
      </x:c>
      <x:c r="L671" s="2" t="n">
        <x:f>MAX(1,ROUND('기준스탯 72종'!F34-T671-AB671,0))</x:f>
        <x:v>4</x:v>
      </x:c>
      <x:c r="M671" s="2" t="n">
        <x:f>MAX(1,ROUND('기준스탯 72종'!G34-U671-AC671,0))</x:f>
        <x:v>6</x:v>
      </x:c>
      <x:c r="N671" s="2" t="n">
        <x:f>MAX(0,ROUND('기준스탯 72종'!H34-V671-AD671,0))</x:f>
        <x:v>4</x:v>
      </x:c>
      <x:c r="O671" s="2" t="n">
        <x:f>MAX(0,ROUND('기준스탯 72종'!I34-W671-AE671,0))</x:f>
        <x:v>4</x:v>
      </x:c>
      <x:c r="P671" s="2" t="n">
        <x:f>MAX(0,ROUND('기준스탯 72종'!J34-X671-AF671,0))</x:f>
        <x:v>2</x:v>
      </x:c>
      <x:c r="Q671" s="2" t="n">
        <x:f>MAX(0,ROUND('기준스탯 72종'!K34-Y671-AG671,0))</x:f>
        <x:v>1</x:v>
      </x:c>
      <x:c r="R671" s="15" t="n">
        <x:f>'기준스탯 72종'!D34*G671</x:f>
        <x:v>1.2599999999999998</x:v>
      </x:c>
      <x:c r="S671" s="15" t="n">
        <x:f>'기준스탯 72종'!E34*G671</x:f>
        <x:v>0.9799999999999999</x:v>
      </x:c>
      <x:c r="T671" s="15" t="n">
        <x:f>'기준스탯 72종'!F34*G671</x:f>
        <x:v>0.8399999999999999</x:v>
      </x:c>
      <x:c r="U671" s="15" t="n">
        <x:f>'기준스탯 72종'!G34*G671</x:f>
        <x:v>1.1199999999999999</x:v>
      </x:c>
      <x:c r="V671" s="15" t="n">
        <x:f>'기준스탯 72종'!H34*G671</x:f>
        <x:v>0.8399999999999999</x:v>
      </x:c>
      <x:c r="W671" s="15" t="n">
        <x:f>'기준스탯 72종'!I34*G671</x:f>
        <x:v>0.8399999999999999</x:v>
      </x:c>
      <x:c r="X671" s="15" t="n">
        <x:f>'기준스탯 72종'!J34*G671</x:f>
        <x:v>0.41999999999999993</x:v>
      </x:c>
      <x:c r="Y671" s="15" t="n">
        <x:f>'기준스탯 72종'!K34*G671</x:f>
        <x:v>0.13999999999999999</x:v>
      </x:c>
      <x:c r="Z671" s="15" t="n">
        <x:f>'기준스탯 72종'!D34*H671</x:f>
        <x:v>1.0800000000000003</x:v>
      </x:c>
      <x:c r="AA671" s="15" t="n">
        <x:f>'기준스탯 72종'!E34*H671</x:f>
        <x:v>0.8400000000000002</x:v>
      </x:c>
      <x:c r="AB671" s="15" t="n">
        <x:f>'기준스탯 72종'!F34*H671</x:f>
        <x:v>0.7200000000000002</x:v>
      </x:c>
      <x:c r="AC671" s="15" t="n">
        <x:f>'기준스탯 72종'!G34*H671</x:f>
        <x:v>0.9600000000000002</x:v>
      </x:c>
      <x:c r="AD671" s="15" t="n">
        <x:f>'기준스탯 72종'!H34*H671</x:f>
        <x:v>0.7200000000000002</x:v>
      </x:c>
      <x:c r="AE671" s="15" t="n">
        <x:f>'기준스탯 72종'!I34*H671</x:f>
        <x:v>0.7200000000000002</x:v>
      </x:c>
      <x:c r="AF671" s="15" t="n">
        <x:f>'기준스탯 72종'!J34*H671</x:f>
        <x:v>0.3600000000000001</x:v>
      </x:c>
      <x:c r="AG671" s="15" t="n">
        <x:f>'기준스탯 72종'!K34*H671</x:f>
        <x:v>0.12000000000000002</x:v>
      </x:c>
    </x:row>
    <x:row r="672" ht="28" customHeight="1">
      <x:c r="A672" s="2" t="n">
        <x:v>665</x:v>
      </x:c>
      <x:c r="B672" s="2" t="n">
        <x:v>27</x:v>
      </x:c>
      <x:c r="C672" s="2" t="str">
        <x:v>사자자리</x:v>
      </x:c>
      <x:c r="D672" s="2" t="str">
        <x:v>사수</x:v>
      </x:c>
      <x:c r="E672" s="2" t="n">
        <x:v>5</x:v>
      </x:c>
      <x:c r="F672" s="2" t="n">
        <x:v>3</x:v>
      </x:c>
      <x:c r="G672" s="14" t="n">
        <x:f>('레벨 계산식'!$E$4-E672)*'레벨 계산식'!$B$5</x:f>
        <x:v>0</x:v>
      </x:c>
      <x:c r="H672" s="14" t="n">
        <x:f>('등급 계산식'!$E$4-F672)*'등급 계산식'!$B$5</x:f>
        <x:v>0.12000000000000002</x:v>
      </x:c>
      <x:c r="I672" s="14" t="n">
        <x:f>1-G672-H672</x:f>
        <x:v>0.88</x:v>
      </x:c>
      <x:c r="J672" s="2" t="n">
        <x:f>MAX(1,ROUND('기준스탯 72종'!D34-R672-Z672,0))</x:f>
        <x:v>8</x:v>
      </x:c>
      <x:c r="K672" s="2" t="n">
        <x:f>MAX(1,ROUND('기준스탯 72종'!E34-S672-AA672,0))</x:f>
        <x:v>6</x:v>
      </x:c>
      <x:c r="L672" s="2" t="n">
        <x:f>MAX(1,ROUND('기준스탯 72종'!F34-T672-AB672,0))</x:f>
        <x:v>5</x:v>
      </x:c>
      <x:c r="M672" s="2" t="n">
        <x:f>MAX(1,ROUND('기준스탯 72종'!G34-U672-AC672,0))</x:f>
        <x:v>7</x:v>
      </x:c>
      <x:c r="N672" s="2" t="n">
        <x:f>MAX(0,ROUND('기준스탯 72종'!H34-V672-AD672,0))</x:f>
        <x:v>5</x:v>
      </x:c>
      <x:c r="O672" s="2" t="n">
        <x:f>MAX(0,ROUND('기준스탯 72종'!I34-W672-AE672,0))</x:f>
        <x:v>5</x:v>
      </x:c>
      <x:c r="P672" s="2" t="n">
        <x:f>MAX(0,ROUND('기준스탯 72종'!J34-X672-AF672,0))</x:f>
        <x:v>3</x:v>
      </x:c>
      <x:c r="Q672" s="2" t="n">
        <x:f>MAX(0,ROUND('기준스탯 72종'!K34-Y672-AG672,0))</x:f>
        <x:v>1</x:v>
      </x:c>
      <x:c r="R672" s="15" t="n">
        <x:f>'기준스탯 72종'!D34*G672</x:f>
        <x:v>0</x:v>
      </x:c>
      <x:c r="S672" s="15" t="n">
        <x:f>'기준스탯 72종'!E34*G672</x:f>
        <x:v>0</x:v>
      </x:c>
      <x:c r="T672" s="15" t="n">
        <x:f>'기준스탯 72종'!F34*G672</x:f>
        <x:v>0</x:v>
      </x:c>
      <x:c r="U672" s="15" t="n">
        <x:f>'기준스탯 72종'!G34*G672</x:f>
        <x:v>0</x:v>
      </x:c>
      <x:c r="V672" s="15" t="n">
        <x:f>'기준스탯 72종'!H34*G672</x:f>
        <x:v>0</x:v>
      </x:c>
      <x:c r="W672" s="15" t="n">
        <x:f>'기준스탯 72종'!I34*G672</x:f>
        <x:v>0</x:v>
      </x:c>
      <x:c r="X672" s="15" t="n">
        <x:f>'기준스탯 72종'!J34*G672</x:f>
        <x:v>0</x:v>
      </x:c>
      <x:c r="Y672" s="15" t="n">
        <x:f>'기준스탯 72종'!K34*G672</x:f>
        <x:v>0</x:v>
      </x:c>
      <x:c r="Z672" s="15" t="n">
        <x:f>'기준스탯 72종'!D34*H672</x:f>
        <x:v>1.0800000000000003</x:v>
      </x:c>
      <x:c r="AA672" s="15" t="n">
        <x:f>'기준스탯 72종'!E34*H672</x:f>
        <x:v>0.8400000000000002</x:v>
      </x:c>
      <x:c r="AB672" s="15" t="n">
        <x:f>'기준스탯 72종'!F34*H672</x:f>
        <x:v>0.7200000000000002</x:v>
      </x:c>
      <x:c r="AC672" s="15" t="n">
        <x:f>'기준스탯 72종'!G34*H672</x:f>
        <x:v>0.9600000000000002</x:v>
      </x:c>
      <x:c r="AD672" s="15" t="n">
        <x:f>'기준스탯 72종'!H34*H672</x:f>
        <x:v>0.7200000000000002</x:v>
      </x:c>
      <x:c r="AE672" s="15" t="n">
        <x:f>'기준스탯 72종'!I34*H672</x:f>
        <x:v>0.7200000000000002</x:v>
      </x:c>
      <x:c r="AF672" s="15" t="n">
        <x:f>'기준스탯 72종'!J34*H672</x:f>
        <x:v>0.3600000000000001</x:v>
      </x:c>
      <x:c r="AG672" s="15" t="n">
        <x:f>'기준스탯 72종'!K34*H672</x:f>
        <x:v>0.12000000000000002</x:v>
      </x:c>
    </x:row>
    <x:row r="673" ht="28" customHeight="1">
      <x:c r="A673" s="2" t="n">
        <x:v>666</x:v>
      </x:c>
      <x:c r="B673" s="2" t="n">
        <x:v>27</x:v>
      </x:c>
      <x:c r="C673" s="2" t="str">
        <x:v>사자자리</x:v>
      </x:c>
      <x:c r="D673" s="2" t="str">
        <x:v>사수</x:v>
      </x:c>
      <x:c r="E673" s="2" t="n">
        <x:v>1</x:v>
      </x:c>
      <x:c r="F673" s="2" t="n">
        <x:v>4</x:v>
      </x:c>
      <x:c r="G673" s="14" t="n">
        <x:f>('레벨 계산식'!$E$4-E673)*'레벨 계산식'!$B$5</x:f>
        <x:v>0.5599999999999999</x:v>
      </x:c>
      <x:c r="H673" s="14" t="n">
        <x:f>('등급 계산식'!$E$4-F673)*'등급 계산식'!$B$5</x:f>
        <x:v>0.06000000000000001</x:v>
      </x:c>
      <x:c r="I673" s="14" t="n">
        <x:f>1-G673-H673</x:f>
        <x:v>0.38000000000000006</x:v>
      </x:c>
      <x:c r="J673" s="2" t="n">
        <x:f>MAX(1,ROUND('기준스탯 72종'!D34-R673-Z673,0))</x:f>
        <x:v>3</x:v>
      </x:c>
      <x:c r="K673" s="2" t="n">
        <x:f>MAX(1,ROUND('기준스탯 72종'!E34-S673-AA673,0))</x:f>
        <x:v>3</x:v>
      </x:c>
      <x:c r="L673" s="2" t="n">
        <x:f>MAX(1,ROUND('기준스탯 72종'!F34-T673-AB673,0))</x:f>
        <x:v>2</x:v>
      </x:c>
      <x:c r="M673" s="2" t="n">
        <x:f>MAX(1,ROUND('기준스탯 72종'!G34-U673-AC673,0))</x:f>
        <x:v>3</x:v>
      </x:c>
      <x:c r="N673" s="2" t="n">
        <x:f>MAX(0,ROUND('기준스탯 72종'!H34-V673-AD673,0))</x:f>
        <x:v>2</x:v>
      </x:c>
      <x:c r="O673" s="2" t="n">
        <x:f>MAX(0,ROUND('기준스탯 72종'!I34-W673-AE673,0))</x:f>
        <x:v>2</x:v>
      </x:c>
      <x:c r="P673" s="2" t="n">
        <x:f>MAX(0,ROUND('기준스탯 72종'!J34-X673-AF673,0))</x:f>
        <x:v>1</x:v>
      </x:c>
      <x:c r="Q673" s="2" t="n">
        <x:f>MAX(0,ROUND('기준스탯 72종'!K34-Y673-AG673,0))</x:f>
        <x:v>0</x:v>
      </x:c>
      <x:c r="R673" s="15" t="n">
        <x:f>'기준스탯 72종'!D34*G673</x:f>
        <x:v>5.039999999999999</x:v>
      </x:c>
      <x:c r="S673" s="15" t="n">
        <x:f>'기준스탯 72종'!E34*G673</x:f>
        <x:v>3.9199999999999995</x:v>
      </x:c>
      <x:c r="T673" s="15" t="n">
        <x:f>'기준스탯 72종'!F34*G673</x:f>
        <x:v>3.3599999999999994</x:v>
      </x:c>
      <x:c r="U673" s="15" t="n">
        <x:f>'기준스탯 72종'!G34*G673</x:f>
        <x:v>4.4799999999999995</x:v>
      </x:c>
      <x:c r="V673" s="15" t="n">
        <x:f>'기준스탯 72종'!H34*G673</x:f>
        <x:v>3.3599999999999994</x:v>
      </x:c>
      <x:c r="W673" s="15" t="n">
        <x:f>'기준스탯 72종'!I34*G673</x:f>
        <x:v>3.3599999999999994</x:v>
      </x:c>
      <x:c r="X673" s="15" t="n">
        <x:f>'기준스탯 72종'!J34*G673</x:f>
        <x:v>1.6799999999999997</x:v>
      </x:c>
      <x:c r="Y673" s="15" t="n">
        <x:f>'기준스탯 72종'!K34*G673</x:f>
        <x:v>0.5599999999999999</x:v>
      </x:c>
      <x:c r="Z673" s="15" t="n">
        <x:f>'기준스탯 72종'!D34*H673</x:f>
        <x:v>0.5400000000000001</x:v>
      </x:c>
      <x:c r="AA673" s="15" t="n">
        <x:f>'기준스탯 72종'!E34*H673</x:f>
        <x:v>0.4200000000000001</x:v>
      </x:c>
      <x:c r="AB673" s="15" t="n">
        <x:f>'기준스탯 72종'!F34*H673</x:f>
        <x:v>0.3600000000000001</x:v>
      </x:c>
      <x:c r="AC673" s="15" t="n">
        <x:f>'기준스탯 72종'!G34*H673</x:f>
        <x:v>0.4800000000000001</x:v>
      </x:c>
      <x:c r="AD673" s="15" t="n">
        <x:f>'기준스탯 72종'!H34*H673</x:f>
        <x:v>0.3600000000000001</x:v>
      </x:c>
      <x:c r="AE673" s="15" t="n">
        <x:f>'기준스탯 72종'!I34*H673</x:f>
        <x:v>0.3600000000000001</x:v>
      </x:c>
      <x:c r="AF673" s="15" t="n">
        <x:f>'기준스탯 72종'!J34*H673</x:f>
        <x:v>0.18000000000000005</x:v>
      </x:c>
      <x:c r="AG673" s="15" t="n">
        <x:f>'기준스탯 72종'!K34*H673</x:f>
        <x:v>0.06000000000000001</x:v>
      </x:c>
    </x:row>
    <x:row r="674" ht="28" customHeight="1">
      <x:c r="A674" s="2" t="n">
        <x:v>667</x:v>
      </x:c>
      <x:c r="B674" s="2" t="n">
        <x:v>27</x:v>
      </x:c>
      <x:c r="C674" s="2" t="str">
        <x:v>사자자리</x:v>
      </x:c>
      <x:c r="D674" s="2" t="str">
        <x:v>사수</x:v>
      </x:c>
      <x:c r="E674" s="2" t="n">
        <x:v>2</x:v>
      </x:c>
      <x:c r="F674" s="2" t="n">
        <x:v>4</x:v>
      </x:c>
      <x:c r="G674" s="14" t="n">
        <x:f>('레벨 계산식'!$E$4-E674)*'레벨 계산식'!$B$5</x:f>
        <x:v>0.41999999999999993</x:v>
      </x:c>
      <x:c r="H674" s="14" t="n">
        <x:f>('등급 계산식'!$E$4-F674)*'등급 계산식'!$B$5</x:f>
        <x:v>0.06000000000000001</x:v>
      </x:c>
      <x:c r="I674" s="14" t="n">
        <x:f>1-G674-H674</x:f>
        <x:v>0.52</x:v>
      </x:c>
      <x:c r="J674" s="2" t="n">
        <x:f>MAX(1,ROUND('기준스탯 72종'!D34-R674-Z674,0))</x:f>
        <x:v>5</x:v>
      </x:c>
      <x:c r="K674" s="2" t="n">
        <x:f>MAX(1,ROUND('기준스탯 72종'!E34-S674-AA674,0))</x:f>
        <x:v>4</x:v>
      </x:c>
      <x:c r="L674" s="2" t="n">
        <x:f>MAX(1,ROUND('기준스탯 72종'!F34-T674-AB674,0))</x:f>
        <x:v>3</x:v>
      </x:c>
      <x:c r="M674" s="2" t="n">
        <x:f>MAX(1,ROUND('기준스탯 72종'!G34-U674-AC674,0))</x:f>
        <x:v>4</x:v>
      </x:c>
      <x:c r="N674" s="2" t="n">
        <x:f>MAX(0,ROUND('기준스탯 72종'!H34-V674-AD674,0))</x:f>
        <x:v>3</x:v>
      </x:c>
      <x:c r="O674" s="2" t="n">
        <x:f>MAX(0,ROUND('기준스탯 72종'!I34-W674-AE674,0))</x:f>
        <x:v>3</x:v>
      </x:c>
      <x:c r="P674" s="2" t="n">
        <x:f>MAX(0,ROUND('기준스탯 72종'!J34-X674-AF674,0))</x:f>
        <x:v>2</x:v>
      </x:c>
      <x:c r="Q674" s="2" t="n">
        <x:f>MAX(0,ROUND('기준스탯 72종'!K34-Y674-AG674,0))</x:f>
        <x:v>1</x:v>
      </x:c>
      <x:c r="R674" s="15" t="n">
        <x:f>'기준스탯 72종'!D34*G674</x:f>
        <x:v>3.7799999999999994</x:v>
      </x:c>
      <x:c r="S674" s="15" t="n">
        <x:f>'기준스탯 72종'!E34*G674</x:f>
        <x:v>2.9399999999999995</x:v>
      </x:c>
      <x:c r="T674" s="15" t="n">
        <x:f>'기준스탯 72종'!F34*G674</x:f>
        <x:v>2.5199999999999996</x:v>
      </x:c>
      <x:c r="U674" s="15" t="n">
        <x:f>'기준스탯 72종'!G34*G674</x:f>
        <x:v>3.3599999999999994</x:v>
      </x:c>
      <x:c r="V674" s="15" t="n">
        <x:f>'기준스탯 72종'!H34*G674</x:f>
        <x:v>2.5199999999999996</x:v>
      </x:c>
      <x:c r="W674" s="15" t="n">
        <x:f>'기준스탯 72종'!I34*G674</x:f>
        <x:v>2.5199999999999996</x:v>
      </x:c>
      <x:c r="X674" s="15" t="n">
        <x:f>'기준스탯 72종'!J34*G674</x:f>
        <x:v>1.2599999999999998</x:v>
      </x:c>
      <x:c r="Y674" s="15" t="n">
        <x:f>'기준스탯 72종'!K34*G674</x:f>
        <x:v>0.41999999999999993</x:v>
      </x:c>
      <x:c r="Z674" s="15" t="n">
        <x:f>'기준스탯 72종'!D34*H674</x:f>
        <x:v>0.5400000000000001</x:v>
      </x:c>
      <x:c r="AA674" s="15" t="n">
        <x:f>'기준스탯 72종'!E34*H674</x:f>
        <x:v>0.4200000000000001</x:v>
      </x:c>
      <x:c r="AB674" s="15" t="n">
        <x:f>'기준스탯 72종'!F34*H674</x:f>
        <x:v>0.3600000000000001</x:v>
      </x:c>
      <x:c r="AC674" s="15" t="n">
        <x:f>'기준스탯 72종'!G34*H674</x:f>
        <x:v>0.4800000000000001</x:v>
      </x:c>
      <x:c r="AD674" s="15" t="n">
        <x:f>'기준스탯 72종'!H34*H674</x:f>
        <x:v>0.3600000000000001</x:v>
      </x:c>
      <x:c r="AE674" s="15" t="n">
        <x:f>'기준스탯 72종'!I34*H674</x:f>
        <x:v>0.3600000000000001</x:v>
      </x:c>
      <x:c r="AF674" s="15" t="n">
        <x:f>'기준스탯 72종'!J34*H674</x:f>
        <x:v>0.18000000000000005</x:v>
      </x:c>
      <x:c r="AG674" s="15" t="n">
        <x:f>'기준스탯 72종'!K34*H674</x:f>
        <x:v>0.06000000000000001</x:v>
      </x:c>
    </x:row>
    <x:row r="675" ht="28" customHeight="1">
      <x:c r="A675" s="2" t="n">
        <x:v>668</x:v>
      </x:c>
      <x:c r="B675" s="2" t="n">
        <x:v>27</x:v>
      </x:c>
      <x:c r="C675" s="2" t="str">
        <x:v>사자자리</x:v>
      </x:c>
      <x:c r="D675" s="2" t="str">
        <x:v>사수</x:v>
      </x:c>
      <x:c r="E675" s="2" t="n">
        <x:v>3</x:v>
      </x:c>
      <x:c r="F675" s="2" t="n">
        <x:v>4</x:v>
      </x:c>
      <x:c r="G675" s="14" t="n">
        <x:f>('레벨 계산식'!$E$4-E675)*'레벨 계산식'!$B$5</x:f>
        <x:v>0.27999999999999997</x:v>
      </x:c>
      <x:c r="H675" s="14" t="n">
        <x:f>('등급 계산식'!$E$4-F675)*'등급 계산식'!$B$5</x:f>
        <x:v>0.06000000000000001</x:v>
      </x:c>
      <x:c r="I675" s="14" t="n">
        <x:f>1-G675-H675</x:f>
        <x:v>0.6599999999999999</x:v>
      </x:c>
      <x:c r="J675" s="2" t="n">
        <x:f>MAX(1,ROUND('기준스탯 72종'!D34-R675-Z675,0))</x:f>
        <x:v>6</x:v>
      </x:c>
      <x:c r="K675" s="2" t="n">
        <x:f>MAX(1,ROUND('기준스탯 72종'!E34-S675-AA675,0))</x:f>
        <x:v>5</x:v>
      </x:c>
      <x:c r="L675" s="2" t="n">
        <x:f>MAX(1,ROUND('기준스탯 72종'!F34-T675-AB675,0))</x:f>
        <x:v>4</x:v>
      </x:c>
      <x:c r="M675" s="2" t="n">
        <x:f>MAX(1,ROUND('기준스탯 72종'!G34-U675-AC675,0))</x:f>
        <x:v>5</x:v>
      </x:c>
      <x:c r="N675" s="2" t="n">
        <x:f>MAX(0,ROUND('기준스탯 72종'!H34-V675-AD675,0))</x:f>
        <x:v>4</x:v>
      </x:c>
      <x:c r="O675" s="2" t="n">
        <x:f>MAX(0,ROUND('기준스탯 72종'!I34-W675-AE675,0))</x:f>
        <x:v>4</x:v>
      </x:c>
      <x:c r="P675" s="2" t="n">
        <x:f>MAX(0,ROUND('기준스탯 72종'!J34-X675-AF675,0))</x:f>
        <x:v>2</x:v>
      </x:c>
      <x:c r="Q675" s="2" t="n">
        <x:f>MAX(0,ROUND('기준스탯 72종'!K34-Y675-AG675,0))</x:f>
        <x:v>1</x:v>
      </x:c>
      <x:c r="R675" s="15" t="n">
        <x:f>'기준스탯 72종'!D34*G675</x:f>
        <x:v>2.5199999999999996</x:v>
      </x:c>
      <x:c r="S675" s="15" t="n">
        <x:f>'기준스탯 72종'!E34*G675</x:f>
        <x:v>1.9599999999999997</x:v>
      </x:c>
      <x:c r="T675" s="15" t="n">
        <x:f>'기준스탯 72종'!F34*G675</x:f>
        <x:v>1.6799999999999997</x:v>
      </x:c>
      <x:c r="U675" s="15" t="n">
        <x:f>'기준스탯 72종'!G34*G675</x:f>
        <x:v>2.2399999999999998</x:v>
      </x:c>
      <x:c r="V675" s="15" t="n">
        <x:f>'기준스탯 72종'!H34*G675</x:f>
        <x:v>1.6799999999999997</x:v>
      </x:c>
      <x:c r="W675" s="15" t="n">
        <x:f>'기준스탯 72종'!I34*G675</x:f>
        <x:v>1.6799999999999997</x:v>
      </x:c>
      <x:c r="X675" s="15" t="n">
        <x:f>'기준스탯 72종'!J34*G675</x:f>
        <x:v>0.8399999999999999</x:v>
      </x:c>
      <x:c r="Y675" s="15" t="n">
        <x:f>'기준스탯 72종'!K34*G675</x:f>
        <x:v>0.27999999999999997</x:v>
      </x:c>
      <x:c r="Z675" s="15" t="n">
        <x:f>'기준스탯 72종'!D34*H675</x:f>
        <x:v>0.5400000000000001</x:v>
      </x:c>
      <x:c r="AA675" s="15" t="n">
        <x:f>'기준스탯 72종'!E34*H675</x:f>
        <x:v>0.4200000000000001</x:v>
      </x:c>
      <x:c r="AB675" s="15" t="n">
        <x:f>'기준스탯 72종'!F34*H675</x:f>
        <x:v>0.3600000000000001</x:v>
      </x:c>
      <x:c r="AC675" s="15" t="n">
        <x:f>'기준스탯 72종'!G34*H675</x:f>
        <x:v>0.4800000000000001</x:v>
      </x:c>
      <x:c r="AD675" s="15" t="n">
        <x:f>'기준스탯 72종'!H34*H675</x:f>
        <x:v>0.3600000000000001</x:v>
      </x:c>
      <x:c r="AE675" s="15" t="n">
        <x:f>'기준스탯 72종'!I34*H675</x:f>
        <x:v>0.3600000000000001</x:v>
      </x:c>
      <x:c r="AF675" s="15" t="n">
        <x:f>'기준스탯 72종'!J34*H675</x:f>
        <x:v>0.18000000000000005</x:v>
      </x:c>
      <x:c r="AG675" s="15" t="n">
        <x:f>'기준스탯 72종'!K34*H675</x:f>
        <x:v>0.06000000000000001</x:v>
      </x:c>
    </x:row>
    <x:row r="676" ht="28" customHeight="1">
      <x:c r="A676" s="2" t="n">
        <x:v>669</x:v>
      </x:c>
      <x:c r="B676" s="2" t="n">
        <x:v>27</x:v>
      </x:c>
      <x:c r="C676" s="2" t="str">
        <x:v>사자자리</x:v>
      </x:c>
      <x:c r="D676" s="2" t="str">
        <x:v>사수</x:v>
      </x:c>
      <x:c r="E676" s="2" t="n">
        <x:v>4</x:v>
      </x:c>
      <x:c r="F676" s="2" t="n">
        <x:v>4</x:v>
      </x:c>
      <x:c r="G676" s="14" t="n">
        <x:f>('레벨 계산식'!$E$4-E676)*'레벨 계산식'!$B$5</x:f>
        <x:v>0.13999999999999999</x:v>
      </x:c>
      <x:c r="H676" s="14" t="n">
        <x:f>('등급 계산식'!$E$4-F676)*'등급 계산식'!$B$5</x:f>
        <x:v>0.06000000000000001</x:v>
      </x:c>
      <x:c r="I676" s="14" t="n">
        <x:f>1-G676-H676</x:f>
        <x:v>0.7999999999999999</x:v>
      </x:c>
      <x:c r="J676" s="2" t="n">
        <x:f>MAX(1,ROUND('기준스탯 72종'!D34-R676-Z676,0))</x:f>
        <x:v>7</x:v>
      </x:c>
      <x:c r="K676" s="2" t="n">
        <x:f>MAX(1,ROUND('기준스탯 72종'!E34-S676-AA676,0))</x:f>
        <x:v>6</x:v>
      </x:c>
      <x:c r="L676" s="2" t="n">
        <x:f>MAX(1,ROUND('기준스탯 72종'!F34-T676-AB676,0))</x:f>
        <x:v>5</x:v>
      </x:c>
      <x:c r="M676" s="2" t="n">
        <x:f>MAX(1,ROUND('기준스탯 72종'!G34-U676-AC676,0))</x:f>
        <x:v>6</x:v>
      </x:c>
      <x:c r="N676" s="2" t="n">
        <x:f>MAX(0,ROUND('기준스탯 72종'!H34-V676-AD676,0))</x:f>
        <x:v>5</x:v>
      </x:c>
      <x:c r="O676" s="2" t="n">
        <x:f>MAX(0,ROUND('기준스탯 72종'!I34-W676-AE676,0))</x:f>
        <x:v>5</x:v>
      </x:c>
      <x:c r="P676" s="2" t="n">
        <x:f>MAX(0,ROUND('기준스탯 72종'!J34-X676-AF676,0))</x:f>
        <x:v>2</x:v>
      </x:c>
      <x:c r="Q676" s="2" t="n">
        <x:f>MAX(0,ROUND('기준스탯 72종'!K34-Y676-AG676,0))</x:f>
        <x:v>1</x:v>
      </x:c>
      <x:c r="R676" s="15" t="n">
        <x:f>'기준스탯 72종'!D34*G676</x:f>
        <x:v>1.2599999999999998</x:v>
      </x:c>
      <x:c r="S676" s="15" t="n">
        <x:f>'기준스탯 72종'!E34*G676</x:f>
        <x:v>0.9799999999999999</x:v>
      </x:c>
      <x:c r="T676" s="15" t="n">
        <x:f>'기준스탯 72종'!F34*G676</x:f>
        <x:v>0.8399999999999999</x:v>
      </x:c>
      <x:c r="U676" s="15" t="n">
        <x:f>'기준스탯 72종'!G34*G676</x:f>
        <x:v>1.1199999999999999</x:v>
      </x:c>
      <x:c r="V676" s="15" t="n">
        <x:f>'기준스탯 72종'!H34*G676</x:f>
        <x:v>0.8399999999999999</x:v>
      </x:c>
      <x:c r="W676" s="15" t="n">
        <x:f>'기준스탯 72종'!I34*G676</x:f>
        <x:v>0.8399999999999999</x:v>
      </x:c>
      <x:c r="X676" s="15" t="n">
        <x:f>'기준스탯 72종'!J34*G676</x:f>
        <x:v>0.41999999999999993</x:v>
      </x:c>
      <x:c r="Y676" s="15" t="n">
        <x:f>'기준스탯 72종'!K34*G676</x:f>
        <x:v>0.13999999999999999</x:v>
      </x:c>
      <x:c r="Z676" s="15" t="n">
        <x:f>'기준스탯 72종'!D34*H676</x:f>
        <x:v>0.5400000000000001</x:v>
      </x:c>
      <x:c r="AA676" s="15" t="n">
        <x:f>'기준스탯 72종'!E34*H676</x:f>
        <x:v>0.4200000000000001</x:v>
      </x:c>
      <x:c r="AB676" s="15" t="n">
        <x:f>'기준스탯 72종'!F34*H676</x:f>
        <x:v>0.3600000000000001</x:v>
      </x:c>
      <x:c r="AC676" s="15" t="n">
        <x:f>'기준스탯 72종'!G34*H676</x:f>
        <x:v>0.4800000000000001</x:v>
      </x:c>
      <x:c r="AD676" s="15" t="n">
        <x:f>'기준스탯 72종'!H34*H676</x:f>
        <x:v>0.3600000000000001</x:v>
      </x:c>
      <x:c r="AE676" s="15" t="n">
        <x:f>'기준스탯 72종'!I34*H676</x:f>
        <x:v>0.3600000000000001</x:v>
      </x:c>
      <x:c r="AF676" s="15" t="n">
        <x:f>'기준스탯 72종'!J34*H676</x:f>
        <x:v>0.18000000000000005</x:v>
      </x:c>
      <x:c r="AG676" s="15" t="n">
        <x:f>'기준스탯 72종'!K34*H676</x:f>
        <x:v>0.06000000000000001</x:v>
      </x:c>
    </x:row>
    <x:row r="677" ht="28" customHeight="1">
      <x:c r="A677" s="2" t="n">
        <x:v>670</x:v>
      </x:c>
      <x:c r="B677" s="2" t="n">
        <x:v>27</x:v>
      </x:c>
      <x:c r="C677" s="2" t="str">
        <x:v>사자자리</x:v>
      </x:c>
      <x:c r="D677" s="2" t="str">
        <x:v>사수</x:v>
      </x:c>
      <x:c r="E677" s="2" t="n">
        <x:v>5</x:v>
      </x:c>
      <x:c r="F677" s="2" t="n">
        <x:v>4</x:v>
      </x:c>
      <x:c r="G677" s="14" t="n">
        <x:f>('레벨 계산식'!$E$4-E677)*'레벨 계산식'!$B$5</x:f>
        <x:v>0</x:v>
      </x:c>
      <x:c r="H677" s="14" t="n">
        <x:f>('등급 계산식'!$E$4-F677)*'등급 계산식'!$B$5</x:f>
        <x:v>0.06000000000000001</x:v>
      </x:c>
      <x:c r="I677" s="14" t="n">
        <x:f>1-G677-H677</x:f>
        <x:v>0.94</x:v>
      </x:c>
      <x:c r="J677" s="2" t="n">
        <x:f>MAX(1,ROUND('기준스탯 72종'!D34-R677-Z677,0))</x:f>
        <x:v>8</x:v>
      </x:c>
      <x:c r="K677" s="2" t="n">
        <x:f>MAX(1,ROUND('기준스탯 72종'!E34-S677-AA677,0))</x:f>
        <x:v>7</x:v>
      </x:c>
      <x:c r="L677" s="2" t="n">
        <x:f>MAX(1,ROUND('기준스탯 72종'!F34-T677-AB677,0))</x:f>
        <x:v>6</x:v>
      </x:c>
      <x:c r="M677" s="2" t="n">
        <x:f>MAX(1,ROUND('기준스탯 72종'!G34-U677-AC677,0))</x:f>
        <x:v>8</x:v>
      </x:c>
      <x:c r="N677" s="2" t="n">
        <x:f>MAX(0,ROUND('기준스탯 72종'!H34-V677-AD677,0))</x:f>
        <x:v>6</x:v>
      </x:c>
      <x:c r="O677" s="2" t="n">
        <x:f>MAX(0,ROUND('기준스탯 72종'!I34-W677-AE677,0))</x:f>
        <x:v>6</x:v>
      </x:c>
      <x:c r="P677" s="2" t="n">
        <x:f>MAX(0,ROUND('기준스탯 72종'!J34-X677-AF677,0))</x:f>
        <x:v>3</x:v>
      </x:c>
      <x:c r="Q677" s="2" t="n">
        <x:f>MAX(0,ROUND('기준스탯 72종'!K34-Y677-AG677,0))</x:f>
        <x:v>1</x:v>
      </x:c>
      <x:c r="R677" s="15" t="n">
        <x:f>'기준스탯 72종'!D34*G677</x:f>
        <x:v>0</x:v>
      </x:c>
      <x:c r="S677" s="15" t="n">
        <x:f>'기준스탯 72종'!E34*G677</x:f>
        <x:v>0</x:v>
      </x:c>
      <x:c r="T677" s="15" t="n">
        <x:f>'기준스탯 72종'!F34*G677</x:f>
        <x:v>0</x:v>
      </x:c>
      <x:c r="U677" s="15" t="n">
        <x:f>'기준스탯 72종'!G34*G677</x:f>
        <x:v>0</x:v>
      </x:c>
      <x:c r="V677" s="15" t="n">
        <x:f>'기준스탯 72종'!H34*G677</x:f>
        <x:v>0</x:v>
      </x:c>
      <x:c r="W677" s="15" t="n">
        <x:f>'기준스탯 72종'!I34*G677</x:f>
        <x:v>0</x:v>
      </x:c>
      <x:c r="X677" s="15" t="n">
        <x:f>'기준스탯 72종'!J34*G677</x:f>
        <x:v>0</x:v>
      </x:c>
      <x:c r="Y677" s="15" t="n">
        <x:f>'기준스탯 72종'!K34*G677</x:f>
        <x:v>0</x:v>
      </x:c>
      <x:c r="Z677" s="15" t="n">
        <x:f>'기준스탯 72종'!D34*H677</x:f>
        <x:v>0.5400000000000001</x:v>
      </x:c>
      <x:c r="AA677" s="15" t="n">
        <x:f>'기준스탯 72종'!E34*H677</x:f>
        <x:v>0.4200000000000001</x:v>
      </x:c>
      <x:c r="AB677" s="15" t="n">
        <x:f>'기준스탯 72종'!F34*H677</x:f>
        <x:v>0.3600000000000001</x:v>
      </x:c>
      <x:c r="AC677" s="15" t="n">
        <x:f>'기준스탯 72종'!G34*H677</x:f>
        <x:v>0.4800000000000001</x:v>
      </x:c>
      <x:c r="AD677" s="15" t="n">
        <x:f>'기준스탯 72종'!H34*H677</x:f>
        <x:v>0.3600000000000001</x:v>
      </x:c>
      <x:c r="AE677" s="15" t="n">
        <x:f>'기준스탯 72종'!I34*H677</x:f>
        <x:v>0.3600000000000001</x:v>
      </x:c>
      <x:c r="AF677" s="15" t="n">
        <x:f>'기준스탯 72종'!J34*H677</x:f>
        <x:v>0.18000000000000005</x:v>
      </x:c>
      <x:c r="AG677" s="15" t="n">
        <x:f>'기준스탯 72종'!K34*H677</x:f>
        <x:v>0.06000000000000001</x:v>
      </x:c>
    </x:row>
    <x:row r="678" ht="28" customHeight="1">
      <x:c r="A678" s="2" t="n">
        <x:v>671</x:v>
      </x:c>
      <x:c r="B678" s="2" t="n">
        <x:v>27</x:v>
      </x:c>
      <x:c r="C678" s="2" t="str">
        <x:v>사자자리</x:v>
      </x:c>
      <x:c r="D678" s="2" t="str">
        <x:v>사수</x:v>
      </x:c>
      <x:c r="E678" s="2" t="n">
        <x:v>1</x:v>
      </x:c>
      <x:c r="F678" s="2" t="n">
        <x:v>5</x:v>
      </x:c>
      <x:c r="G678" s="14" t="n">
        <x:f>('레벨 계산식'!$E$4-E678)*'레벨 계산식'!$B$5</x:f>
        <x:v>0.5599999999999999</x:v>
      </x:c>
      <x:c r="H678" s="14" t="n">
        <x:f>('등급 계산식'!$E$4-F678)*'등급 계산식'!$B$5</x:f>
        <x:v>0</x:v>
      </x:c>
      <x:c r="I678" s="14" t="n">
        <x:f>1-G678-H678</x:f>
        <x:v>0.44000000000000006</x:v>
      </x:c>
      <x:c r="J678" s="2" t="n">
        <x:f>MAX(1,ROUND('기준스탯 72종'!D34-R678-Z678,0))</x:f>
        <x:v>4</x:v>
      </x:c>
      <x:c r="K678" s="2" t="n">
        <x:f>MAX(1,ROUND('기준스탯 72종'!E34-S678-AA678,0))</x:f>
        <x:v>3</x:v>
      </x:c>
      <x:c r="L678" s="2" t="n">
        <x:f>MAX(1,ROUND('기준스탯 72종'!F34-T678-AB678,0))</x:f>
        <x:v>3</x:v>
      </x:c>
      <x:c r="M678" s="2" t="n">
        <x:f>MAX(1,ROUND('기준스탯 72종'!G34-U678-AC678,0))</x:f>
        <x:v>4</x:v>
      </x:c>
      <x:c r="N678" s="2" t="n">
        <x:f>MAX(0,ROUND('기준스탯 72종'!H34-V678-AD678,0))</x:f>
        <x:v>3</x:v>
      </x:c>
      <x:c r="O678" s="2" t="n">
        <x:f>MAX(0,ROUND('기준스탯 72종'!I34-W678-AE678,0))</x:f>
        <x:v>3</x:v>
      </x:c>
      <x:c r="P678" s="2" t="n">
        <x:f>MAX(0,ROUND('기준스탯 72종'!J34-X678-AF678,0))</x:f>
        <x:v>1</x:v>
      </x:c>
      <x:c r="Q678" s="2" t="n">
        <x:f>MAX(0,ROUND('기준스탯 72종'!K34-Y678-AG678,0))</x:f>
        <x:v>0</x:v>
      </x:c>
      <x:c r="R678" s="15" t="n">
        <x:f>'기준스탯 72종'!D34*G678</x:f>
        <x:v>5.039999999999999</x:v>
      </x:c>
      <x:c r="S678" s="15" t="n">
        <x:f>'기준스탯 72종'!E34*G678</x:f>
        <x:v>3.9199999999999995</x:v>
      </x:c>
      <x:c r="T678" s="15" t="n">
        <x:f>'기준스탯 72종'!F34*G678</x:f>
        <x:v>3.3599999999999994</x:v>
      </x:c>
      <x:c r="U678" s="15" t="n">
        <x:f>'기준스탯 72종'!G34*G678</x:f>
        <x:v>4.4799999999999995</x:v>
      </x:c>
      <x:c r="V678" s="15" t="n">
        <x:f>'기준스탯 72종'!H34*G678</x:f>
        <x:v>3.3599999999999994</x:v>
      </x:c>
      <x:c r="W678" s="15" t="n">
        <x:f>'기준스탯 72종'!I34*G678</x:f>
        <x:v>3.3599999999999994</x:v>
      </x:c>
      <x:c r="X678" s="15" t="n">
        <x:f>'기준스탯 72종'!J34*G678</x:f>
        <x:v>1.6799999999999997</x:v>
      </x:c>
      <x:c r="Y678" s="15" t="n">
        <x:f>'기준스탯 72종'!K34*G678</x:f>
        <x:v>0.5599999999999999</x:v>
      </x:c>
      <x:c r="Z678" s="15" t="n">
        <x:f>'기준스탯 72종'!D34*H678</x:f>
        <x:v>0</x:v>
      </x:c>
      <x:c r="AA678" s="15" t="n">
        <x:f>'기준스탯 72종'!E34*H678</x:f>
        <x:v>0</x:v>
      </x:c>
      <x:c r="AB678" s="15" t="n">
        <x:f>'기준스탯 72종'!F34*H678</x:f>
        <x:v>0</x:v>
      </x:c>
      <x:c r="AC678" s="15" t="n">
        <x:f>'기준스탯 72종'!G34*H678</x:f>
        <x:v>0</x:v>
      </x:c>
      <x:c r="AD678" s="15" t="n">
        <x:f>'기준스탯 72종'!H34*H678</x:f>
        <x:v>0</x:v>
      </x:c>
      <x:c r="AE678" s="15" t="n">
        <x:f>'기준스탯 72종'!I34*H678</x:f>
        <x:v>0</x:v>
      </x:c>
      <x:c r="AF678" s="15" t="n">
        <x:f>'기준스탯 72종'!J34*H678</x:f>
        <x:v>0</x:v>
      </x:c>
      <x:c r="AG678" s="15" t="n">
        <x:f>'기준스탯 72종'!K34*H678</x:f>
        <x:v>0</x:v>
      </x:c>
    </x:row>
    <x:row r="679" ht="28" customHeight="1">
      <x:c r="A679" s="2" t="n">
        <x:v>672</x:v>
      </x:c>
      <x:c r="B679" s="2" t="n">
        <x:v>27</x:v>
      </x:c>
      <x:c r="C679" s="2" t="str">
        <x:v>사자자리</x:v>
      </x:c>
      <x:c r="D679" s="2" t="str">
        <x:v>사수</x:v>
      </x:c>
      <x:c r="E679" s="2" t="n">
        <x:v>2</x:v>
      </x:c>
      <x:c r="F679" s="2" t="n">
        <x:v>5</x:v>
      </x:c>
      <x:c r="G679" s="14" t="n">
        <x:f>('레벨 계산식'!$E$4-E679)*'레벨 계산식'!$B$5</x:f>
        <x:v>0.41999999999999993</x:v>
      </x:c>
      <x:c r="H679" s="14" t="n">
        <x:f>('등급 계산식'!$E$4-F679)*'등급 계산식'!$B$5</x:f>
        <x:v>0</x:v>
      </x:c>
      <x:c r="I679" s="14" t="n">
        <x:f>1-G679-H679</x:f>
        <x:v>0.5800000000000001</x:v>
      </x:c>
      <x:c r="J679" s="2" t="n">
        <x:f>MAX(1,ROUND('기준스탯 72종'!D34-R679-Z679,0))</x:f>
        <x:v>5</x:v>
      </x:c>
      <x:c r="K679" s="2" t="n">
        <x:f>MAX(1,ROUND('기준스탯 72종'!E34-S679-AA679,0))</x:f>
        <x:v>4</x:v>
      </x:c>
      <x:c r="L679" s="2" t="n">
        <x:f>MAX(1,ROUND('기준스탯 72종'!F34-T679-AB679,0))</x:f>
        <x:v>3</x:v>
      </x:c>
      <x:c r="M679" s="2" t="n">
        <x:f>MAX(1,ROUND('기준스탯 72종'!G34-U679-AC679,0))</x:f>
        <x:v>5</x:v>
      </x:c>
      <x:c r="N679" s="2" t="n">
        <x:f>MAX(0,ROUND('기준스탯 72종'!H34-V679-AD679,0))</x:f>
        <x:v>3</x:v>
      </x:c>
      <x:c r="O679" s="2" t="n">
        <x:f>MAX(0,ROUND('기준스탯 72종'!I34-W679-AE679,0))</x:f>
        <x:v>3</x:v>
      </x:c>
      <x:c r="P679" s="2" t="n">
        <x:f>MAX(0,ROUND('기준스탯 72종'!J34-X679-AF679,0))</x:f>
        <x:v>2</x:v>
      </x:c>
      <x:c r="Q679" s="2" t="n">
        <x:f>MAX(0,ROUND('기준스탯 72종'!K34-Y679-AG679,0))</x:f>
        <x:v>1</x:v>
      </x:c>
      <x:c r="R679" s="15" t="n">
        <x:f>'기준스탯 72종'!D34*G679</x:f>
        <x:v>3.7799999999999994</x:v>
      </x:c>
      <x:c r="S679" s="15" t="n">
        <x:f>'기준스탯 72종'!E34*G679</x:f>
        <x:v>2.9399999999999995</x:v>
      </x:c>
      <x:c r="T679" s="15" t="n">
        <x:f>'기준스탯 72종'!F34*G679</x:f>
        <x:v>2.5199999999999996</x:v>
      </x:c>
      <x:c r="U679" s="15" t="n">
        <x:f>'기준스탯 72종'!G34*G679</x:f>
        <x:v>3.3599999999999994</x:v>
      </x:c>
      <x:c r="V679" s="15" t="n">
        <x:f>'기준스탯 72종'!H34*G679</x:f>
        <x:v>2.5199999999999996</x:v>
      </x:c>
      <x:c r="W679" s="15" t="n">
        <x:f>'기준스탯 72종'!I34*G679</x:f>
        <x:v>2.5199999999999996</x:v>
      </x:c>
      <x:c r="X679" s="15" t="n">
        <x:f>'기준스탯 72종'!J34*G679</x:f>
        <x:v>1.2599999999999998</x:v>
      </x:c>
      <x:c r="Y679" s="15" t="n">
        <x:f>'기준스탯 72종'!K34*G679</x:f>
        <x:v>0.41999999999999993</x:v>
      </x:c>
      <x:c r="Z679" s="15" t="n">
        <x:f>'기준스탯 72종'!D34*H679</x:f>
        <x:v>0</x:v>
      </x:c>
      <x:c r="AA679" s="15" t="n">
        <x:f>'기준스탯 72종'!E34*H679</x:f>
        <x:v>0</x:v>
      </x:c>
      <x:c r="AB679" s="15" t="n">
        <x:f>'기준스탯 72종'!F34*H679</x:f>
        <x:v>0</x:v>
      </x:c>
      <x:c r="AC679" s="15" t="n">
        <x:f>'기준스탯 72종'!G34*H679</x:f>
        <x:v>0</x:v>
      </x:c>
      <x:c r="AD679" s="15" t="n">
        <x:f>'기준스탯 72종'!H34*H679</x:f>
        <x:v>0</x:v>
      </x:c>
      <x:c r="AE679" s="15" t="n">
        <x:f>'기준스탯 72종'!I34*H679</x:f>
        <x:v>0</x:v>
      </x:c>
      <x:c r="AF679" s="15" t="n">
        <x:f>'기준스탯 72종'!J34*H679</x:f>
        <x:v>0</x:v>
      </x:c>
      <x:c r="AG679" s="15" t="n">
        <x:f>'기준스탯 72종'!K34*H679</x:f>
        <x:v>0</x:v>
      </x:c>
    </x:row>
    <x:row r="680" ht="28" customHeight="1">
      <x:c r="A680" s="2" t="n">
        <x:v>673</x:v>
      </x:c>
      <x:c r="B680" s="2" t="n">
        <x:v>27</x:v>
      </x:c>
      <x:c r="C680" s="2" t="str">
        <x:v>사자자리</x:v>
      </x:c>
      <x:c r="D680" s="2" t="str">
        <x:v>사수</x:v>
      </x:c>
      <x:c r="E680" s="2" t="n">
        <x:v>3</x:v>
      </x:c>
      <x:c r="F680" s="2" t="n">
        <x:v>5</x:v>
      </x:c>
      <x:c r="G680" s="14" t="n">
        <x:f>('레벨 계산식'!$E$4-E680)*'레벨 계산식'!$B$5</x:f>
        <x:v>0.27999999999999997</x:v>
      </x:c>
      <x:c r="H680" s="14" t="n">
        <x:f>('등급 계산식'!$E$4-F680)*'등급 계산식'!$B$5</x:f>
        <x:v>0</x:v>
      </x:c>
      <x:c r="I680" s="14" t="n">
        <x:f>1-G680-H680</x:f>
        <x:v>0.72</x:v>
      </x:c>
      <x:c r="J680" s="2" t="n">
        <x:f>MAX(1,ROUND('기준스탯 72종'!D34-R680-Z680,0))</x:f>
        <x:v>6</x:v>
      </x:c>
      <x:c r="K680" s="2" t="n">
        <x:f>MAX(1,ROUND('기준스탯 72종'!E34-S680-AA680,0))</x:f>
        <x:v>5</x:v>
      </x:c>
      <x:c r="L680" s="2" t="n">
        <x:f>MAX(1,ROUND('기준스탯 72종'!F34-T680-AB680,0))</x:f>
        <x:v>4</x:v>
      </x:c>
      <x:c r="M680" s="2" t="n">
        <x:f>MAX(1,ROUND('기준스탯 72종'!G34-U680-AC680,0))</x:f>
        <x:v>6</x:v>
      </x:c>
      <x:c r="N680" s="2" t="n">
        <x:f>MAX(0,ROUND('기준스탯 72종'!H34-V680-AD680,0))</x:f>
        <x:v>4</x:v>
      </x:c>
      <x:c r="O680" s="2" t="n">
        <x:f>MAX(0,ROUND('기준스탯 72종'!I34-W680-AE680,0))</x:f>
        <x:v>4</x:v>
      </x:c>
      <x:c r="P680" s="2" t="n">
        <x:f>MAX(0,ROUND('기준스탯 72종'!J34-X680-AF680,0))</x:f>
        <x:v>2</x:v>
      </x:c>
      <x:c r="Q680" s="2" t="n">
        <x:f>MAX(0,ROUND('기준스탯 72종'!K34-Y680-AG680,0))</x:f>
        <x:v>1</x:v>
      </x:c>
      <x:c r="R680" s="15" t="n">
        <x:f>'기준스탯 72종'!D34*G680</x:f>
        <x:v>2.5199999999999996</x:v>
      </x:c>
      <x:c r="S680" s="15" t="n">
        <x:f>'기준스탯 72종'!E34*G680</x:f>
        <x:v>1.9599999999999997</x:v>
      </x:c>
      <x:c r="T680" s="15" t="n">
        <x:f>'기준스탯 72종'!F34*G680</x:f>
        <x:v>1.6799999999999997</x:v>
      </x:c>
      <x:c r="U680" s="15" t="n">
        <x:f>'기준스탯 72종'!G34*G680</x:f>
        <x:v>2.2399999999999998</x:v>
      </x:c>
      <x:c r="V680" s="15" t="n">
        <x:f>'기준스탯 72종'!H34*G680</x:f>
        <x:v>1.6799999999999997</x:v>
      </x:c>
      <x:c r="W680" s="15" t="n">
        <x:f>'기준스탯 72종'!I34*G680</x:f>
        <x:v>1.6799999999999997</x:v>
      </x:c>
      <x:c r="X680" s="15" t="n">
        <x:f>'기준스탯 72종'!J34*G680</x:f>
        <x:v>0.8399999999999999</x:v>
      </x:c>
      <x:c r="Y680" s="15" t="n">
        <x:f>'기준스탯 72종'!K34*G680</x:f>
        <x:v>0.27999999999999997</x:v>
      </x:c>
      <x:c r="Z680" s="15" t="n">
        <x:f>'기준스탯 72종'!D34*H680</x:f>
        <x:v>0</x:v>
      </x:c>
      <x:c r="AA680" s="15" t="n">
        <x:f>'기준스탯 72종'!E34*H680</x:f>
        <x:v>0</x:v>
      </x:c>
      <x:c r="AB680" s="15" t="n">
        <x:f>'기준스탯 72종'!F34*H680</x:f>
        <x:v>0</x:v>
      </x:c>
      <x:c r="AC680" s="15" t="n">
        <x:f>'기준스탯 72종'!G34*H680</x:f>
        <x:v>0</x:v>
      </x:c>
      <x:c r="AD680" s="15" t="n">
        <x:f>'기준스탯 72종'!H34*H680</x:f>
        <x:v>0</x:v>
      </x:c>
      <x:c r="AE680" s="15" t="n">
        <x:f>'기준스탯 72종'!I34*H680</x:f>
        <x:v>0</x:v>
      </x:c>
      <x:c r="AF680" s="15" t="n">
        <x:f>'기준스탯 72종'!J34*H680</x:f>
        <x:v>0</x:v>
      </x:c>
      <x:c r="AG680" s="15" t="n">
        <x:f>'기준스탯 72종'!K34*H680</x:f>
        <x:v>0</x:v>
      </x:c>
    </x:row>
    <x:row r="681" ht="28" customHeight="1">
      <x:c r="A681" s="2" t="n">
        <x:v>674</x:v>
      </x:c>
      <x:c r="B681" s="2" t="n">
        <x:v>27</x:v>
      </x:c>
      <x:c r="C681" s="2" t="str">
        <x:v>사자자리</x:v>
      </x:c>
      <x:c r="D681" s="2" t="str">
        <x:v>사수</x:v>
      </x:c>
      <x:c r="E681" s="2" t="n">
        <x:v>4</x:v>
      </x:c>
      <x:c r="F681" s="2" t="n">
        <x:v>5</x:v>
      </x:c>
      <x:c r="G681" s="14" t="n">
        <x:f>('레벨 계산식'!$E$4-E681)*'레벨 계산식'!$B$5</x:f>
        <x:v>0.13999999999999999</x:v>
      </x:c>
      <x:c r="H681" s="14" t="n">
        <x:f>('등급 계산식'!$E$4-F681)*'등급 계산식'!$B$5</x:f>
        <x:v>0</x:v>
      </x:c>
      <x:c r="I681" s="14" t="n">
        <x:f>1-G681-H681</x:f>
        <x:v>0.86</x:v>
      </x:c>
      <x:c r="J681" s="2" t="n">
        <x:f>MAX(1,ROUND('기준스탯 72종'!D34-R681-Z681,0))</x:f>
        <x:v>8</x:v>
      </x:c>
      <x:c r="K681" s="2" t="n">
        <x:f>MAX(1,ROUND('기준스탯 72종'!E34-S681-AA681,0))</x:f>
        <x:v>6</x:v>
      </x:c>
      <x:c r="L681" s="2" t="n">
        <x:f>MAX(1,ROUND('기준스탯 72종'!F34-T681-AB681,0))</x:f>
        <x:v>5</x:v>
      </x:c>
      <x:c r="M681" s="2" t="n">
        <x:f>MAX(1,ROUND('기준스탯 72종'!G34-U681-AC681,0))</x:f>
        <x:v>7</x:v>
      </x:c>
      <x:c r="N681" s="2" t="n">
        <x:f>MAX(0,ROUND('기준스탯 72종'!H34-V681-AD681,0))</x:f>
        <x:v>5</x:v>
      </x:c>
      <x:c r="O681" s="2" t="n">
        <x:f>MAX(0,ROUND('기준스탯 72종'!I34-W681-AE681,0))</x:f>
        <x:v>5</x:v>
      </x:c>
      <x:c r="P681" s="2" t="n">
        <x:f>MAX(0,ROUND('기준스탯 72종'!J34-X681-AF681,0))</x:f>
        <x:v>3</x:v>
      </x:c>
      <x:c r="Q681" s="2" t="n">
        <x:f>MAX(0,ROUND('기준스탯 72종'!K34-Y681-AG681,0))</x:f>
        <x:v>1</x:v>
      </x:c>
      <x:c r="R681" s="15" t="n">
        <x:f>'기준스탯 72종'!D34*G681</x:f>
        <x:v>1.2599999999999998</x:v>
      </x:c>
      <x:c r="S681" s="15" t="n">
        <x:f>'기준스탯 72종'!E34*G681</x:f>
        <x:v>0.9799999999999999</x:v>
      </x:c>
      <x:c r="T681" s="15" t="n">
        <x:f>'기준스탯 72종'!F34*G681</x:f>
        <x:v>0.8399999999999999</x:v>
      </x:c>
      <x:c r="U681" s="15" t="n">
        <x:f>'기준스탯 72종'!G34*G681</x:f>
        <x:v>1.1199999999999999</x:v>
      </x:c>
      <x:c r="V681" s="15" t="n">
        <x:f>'기준스탯 72종'!H34*G681</x:f>
        <x:v>0.8399999999999999</x:v>
      </x:c>
      <x:c r="W681" s="15" t="n">
        <x:f>'기준스탯 72종'!I34*G681</x:f>
        <x:v>0.8399999999999999</x:v>
      </x:c>
      <x:c r="X681" s="15" t="n">
        <x:f>'기준스탯 72종'!J34*G681</x:f>
        <x:v>0.41999999999999993</x:v>
      </x:c>
      <x:c r="Y681" s="15" t="n">
        <x:f>'기준스탯 72종'!K34*G681</x:f>
        <x:v>0.13999999999999999</x:v>
      </x:c>
      <x:c r="Z681" s="15" t="n">
        <x:f>'기준스탯 72종'!D34*H681</x:f>
        <x:v>0</x:v>
      </x:c>
      <x:c r="AA681" s="15" t="n">
        <x:f>'기준스탯 72종'!E34*H681</x:f>
        <x:v>0</x:v>
      </x:c>
      <x:c r="AB681" s="15" t="n">
        <x:f>'기준스탯 72종'!F34*H681</x:f>
        <x:v>0</x:v>
      </x:c>
      <x:c r="AC681" s="15" t="n">
        <x:f>'기준스탯 72종'!G34*H681</x:f>
        <x:v>0</x:v>
      </x:c>
      <x:c r="AD681" s="15" t="n">
        <x:f>'기준스탯 72종'!H34*H681</x:f>
        <x:v>0</x:v>
      </x:c>
      <x:c r="AE681" s="15" t="n">
        <x:f>'기준스탯 72종'!I34*H681</x:f>
        <x:v>0</x:v>
      </x:c>
      <x:c r="AF681" s="15" t="n">
        <x:f>'기준스탯 72종'!J34*H681</x:f>
        <x:v>0</x:v>
      </x:c>
      <x:c r="AG681" s="15" t="n">
        <x:f>'기준스탯 72종'!K34*H681</x:f>
        <x:v>0</x:v>
      </x:c>
    </x:row>
    <x:row r="682" ht="28" customHeight="1">
      <x:c r="A682" s="2" t="n">
        <x:v>675</x:v>
      </x:c>
      <x:c r="B682" s="2" t="n">
        <x:v>27</x:v>
      </x:c>
      <x:c r="C682" s="2" t="str">
        <x:v>사자자리</x:v>
      </x:c>
      <x:c r="D682" s="2" t="str">
        <x:v>사수</x:v>
      </x:c>
      <x:c r="E682" s="2" t="n">
        <x:v>5</x:v>
      </x:c>
      <x:c r="F682" s="2" t="n">
        <x:v>5</x:v>
      </x:c>
      <x:c r="G682" s="14" t="n">
        <x:f>('레벨 계산식'!$E$4-E682)*'레벨 계산식'!$B$5</x:f>
        <x:v>0</x:v>
      </x:c>
      <x:c r="H682" s="14" t="n">
        <x:f>('등급 계산식'!$E$4-F682)*'등급 계산식'!$B$5</x:f>
        <x:v>0</x:v>
      </x:c>
      <x:c r="I682" s="14" t="n">
        <x:f>1-G682-H682</x:f>
        <x:v>1</x:v>
      </x:c>
      <x:c r="J682" s="2" t="n">
        <x:f>MAX(1,ROUND('기준스탯 72종'!D34-R682-Z682,0))</x:f>
        <x:v>9</x:v>
      </x:c>
      <x:c r="K682" s="2" t="n">
        <x:f>MAX(1,ROUND('기준스탯 72종'!E34-S682-AA682,0))</x:f>
        <x:v>7</x:v>
      </x:c>
      <x:c r="L682" s="2" t="n">
        <x:f>MAX(1,ROUND('기준스탯 72종'!F34-T682-AB682,0))</x:f>
        <x:v>6</x:v>
      </x:c>
      <x:c r="M682" s="2" t="n">
        <x:f>MAX(1,ROUND('기준스탯 72종'!G34-U682-AC682,0))</x:f>
        <x:v>8</x:v>
      </x:c>
      <x:c r="N682" s="2" t="n">
        <x:f>MAX(0,ROUND('기준스탯 72종'!H34-V682-AD682,0))</x:f>
        <x:v>6</x:v>
      </x:c>
      <x:c r="O682" s="2" t="n">
        <x:f>MAX(0,ROUND('기준스탯 72종'!I34-W682-AE682,0))</x:f>
        <x:v>6</x:v>
      </x:c>
      <x:c r="P682" s="2" t="n">
        <x:f>MAX(0,ROUND('기준스탯 72종'!J34-X682-AF682,0))</x:f>
        <x:v>3</x:v>
      </x:c>
      <x:c r="Q682" s="2" t="n">
        <x:f>MAX(0,ROUND('기준스탯 72종'!K34-Y682-AG682,0))</x:f>
        <x:v>1</x:v>
      </x:c>
      <x:c r="R682" s="15" t="n">
        <x:f>'기준스탯 72종'!D34*G682</x:f>
        <x:v>0</x:v>
      </x:c>
      <x:c r="S682" s="15" t="n">
        <x:f>'기준스탯 72종'!E34*G682</x:f>
        <x:v>0</x:v>
      </x:c>
      <x:c r="T682" s="15" t="n">
        <x:f>'기준스탯 72종'!F34*G682</x:f>
        <x:v>0</x:v>
      </x:c>
      <x:c r="U682" s="15" t="n">
        <x:f>'기준스탯 72종'!G34*G682</x:f>
        <x:v>0</x:v>
      </x:c>
      <x:c r="V682" s="15" t="n">
        <x:f>'기준스탯 72종'!H34*G682</x:f>
        <x:v>0</x:v>
      </x:c>
      <x:c r="W682" s="15" t="n">
        <x:f>'기준스탯 72종'!I34*G682</x:f>
        <x:v>0</x:v>
      </x:c>
      <x:c r="X682" s="15" t="n">
        <x:f>'기준스탯 72종'!J34*G682</x:f>
        <x:v>0</x:v>
      </x:c>
      <x:c r="Y682" s="15" t="n">
        <x:f>'기준스탯 72종'!K34*G682</x:f>
        <x:v>0</x:v>
      </x:c>
      <x:c r="Z682" s="15" t="n">
        <x:f>'기준스탯 72종'!D34*H682</x:f>
        <x:v>0</x:v>
      </x:c>
      <x:c r="AA682" s="15" t="n">
        <x:f>'기준스탯 72종'!E34*H682</x:f>
        <x:v>0</x:v>
      </x:c>
      <x:c r="AB682" s="15" t="n">
        <x:f>'기준스탯 72종'!F34*H682</x:f>
        <x:v>0</x:v>
      </x:c>
      <x:c r="AC682" s="15" t="n">
        <x:f>'기준스탯 72종'!G34*H682</x:f>
        <x:v>0</x:v>
      </x:c>
      <x:c r="AD682" s="15" t="n">
        <x:f>'기준스탯 72종'!H34*H682</x:f>
        <x:v>0</x:v>
      </x:c>
      <x:c r="AE682" s="15" t="n">
        <x:f>'기준스탯 72종'!I34*H682</x:f>
        <x:v>0</x:v>
      </x:c>
      <x:c r="AF682" s="15" t="n">
        <x:f>'기준스탯 72종'!J34*H682</x:f>
        <x:v>0</x:v>
      </x:c>
      <x:c r="AG682" s="15" t="n">
        <x:f>'기준스탯 72종'!K34*H682</x:f>
        <x:v>0</x:v>
      </x:c>
    </x:row>
    <x:row r="683" ht="28" customHeight="1">
      <x:c r="A683" s="2" t="n">
        <x:v>676</x:v>
      </x:c>
      <x:c r="B683" s="2" t="n">
        <x:v>28</x:v>
      </x:c>
      <x:c r="C683" s="2" t="str">
        <x:v>사자자리</x:v>
      </x:c>
      <x:c r="D683" s="2" t="str">
        <x:v>정령사</x:v>
      </x:c>
      <x:c r="E683" s="2" t="n">
        <x:v>1</x:v>
      </x:c>
      <x:c r="F683" s="2" t="n">
        <x:v>1</x:v>
      </x:c>
      <x:c r="G683" s="14" t="n">
        <x:f>('레벨 계산식'!$E$4-E683)*'레벨 계산식'!$B$5</x:f>
        <x:v>0.5599999999999999</x:v>
      </x:c>
      <x:c r="H683" s="14" t="n">
        <x:f>('등급 계산식'!$E$4-F683)*'등급 계산식'!$B$5</x:f>
        <x:v>0.24000000000000005</x:v>
      </x:c>
      <x:c r="I683" s="14" t="n">
        <x:f>1-G683-H683</x:f>
        <x:v>0.2</x:v>
      </x:c>
      <x:c r="J683" s="2" t="n">
        <x:f>MAX(1,ROUND('기준스탯 72종'!D35-R683-Z683,0))</x:f>
        <x:v>1</x:v>
      </x:c>
      <x:c r="K683" s="2" t="n">
        <x:f>MAX(1,ROUND('기준스탯 72종'!E35-S683-AA683,0))</x:f>
        <x:v>2</x:v>
      </x:c>
      <x:c r="L683" s="2" t="n">
        <x:f>MAX(1,ROUND('기준스탯 72종'!F35-T683-AB683,0))</x:f>
        <x:v>2</x:v>
      </x:c>
      <x:c r="M683" s="2" t="n">
        <x:f>MAX(1,ROUND('기준스탯 72종'!G35-U683-AC683,0))</x:f>
        <x:v>1</x:v>
      </x:c>
      <x:c r="N683" s="2" t="n">
        <x:f>MAX(0,ROUND('기준스탯 72종'!H35-V683-AD683,0))</x:f>
        <x:v>1</x:v>
      </x:c>
      <x:c r="O683" s="2" t="n">
        <x:f>MAX(0,ROUND('기준스탯 72종'!I35-W683-AE683,0))</x:f>
        <x:v>1</x:v>
      </x:c>
      <x:c r="P683" s="2" t="n">
        <x:f>MAX(0,ROUND('기준스탯 72종'!J35-X683-AF683,0))</x:f>
        <x:v>1</x:v>
      </x:c>
      <x:c r="Q683" s="2" t="n">
        <x:f>MAX(0,ROUND('기준스탯 72종'!K35-Y683-AG683,0))</x:f>
        <x:v>1</x:v>
      </x:c>
      <x:c r="R683" s="15" t="n">
        <x:f>'기준스탯 72종'!D35*G683</x:f>
        <x:v>3.9199999999999995</x:v>
      </x:c>
      <x:c r="S683" s="15" t="n">
        <x:f>'기준스탯 72종'!E35*G683</x:f>
        <x:v>4.4799999999999995</x:v>
      </x:c>
      <x:c r="T683" s="15" t="n">
        <x:f>'기준스탯 72종'!F35*G683</x:f>
        <x:v>4.4799999999999995</x:v>
      </x:c>
      <x:c r="U683" s="15" t="n">
        <x:f>'기준스탯 72종'!G35*G683</x:f>
        <x:v>3.9199999999999995</x:v>
      </x:c>
      <x:c r="V683" s="15" t="n">
        <x:f>'기준스탯 72종'!H35*G683</x:f>
        <x:v>2.2399999999999998</x:v>
      </x:c>
      <x:c r="W683" s="15" t="n">
        <x:f>'기준스탯 72종'!I35*G683</x:f>
        <x:v>3.3599999999999994</x:v>
      </x:c>
      <x:c r="X683" s="15" t="n">
        <x:f>'기준스탯 72종'!J35*G683</x:f>
        <x:v>1.6799999999999997</x:v>
      </x:c>
      <x:c r="Y683" s="15" t="n">
        <x:f>'기준스탯 72종'!K35*G683</x:f>
        <x:v>1.6799999999999997</x:v>
      </x:c>
      <x:c r="Z683" s="15" t="n">
        <x:f>'기준스탯 72종'!D35*H683</x:f>
        <x:v>1.6800000000000004</x:v>
      </x:c>
      <x:c r="AA683" s="15" t="n">
        <x:f>'기준스탯 72종'!E35*H683</x:f>
        <x:v>1.9200000000000004</x:v>
      </x:c>
      <x:c r="AB683" s="15" t="n">
        <x:f>'기준스탯 72종'!F35*H683</x:f>
        <x:v>1.9200000000000004</x:v>
      </x:c>
      <x:c r="AC683" s="15" t="n">
        <x:f>'기준스탯 72종'!G35*H683</x:f>
        <x:v>1.6800000000000004</x:v>
      </x:c>
      <x:c r="AD683" s="15" t="n">
        <x:f>'기준스탯 72종'!H35*H683</x:f>
        <x:v>0.9600000000000002</x:v>
      </x:c>
      <x:c r="AE683" s="15" t="n">
        <x:f>'기준스탯 72종'!I35*H683</x:f>
        <x:v>1.4400000000000004</x:v>
      </x:c>
      <x:c r="AF683" s="15" t="n">
        <x:f>'기준스탯 72종'!J35*H683</x:f>
        <x:v>0.7200000000000002</x:v>
      </x:c>
      <x:c r="AG683" s="15" t="n">
        <x:f>'기준스탯 72종'!K35*H683</x:f>
        <x:v>0.7200000000000002</x:v>
      </x:c>
    </x:row>
    <x:row r="684" ht="28" customHeight="1">
      <x:c r="A684" s="2" t="n">
        <x:v>677</x:v>
      </x:c>
      <x:c r="B684" s="2" t="n">
        <x:v>28</x:v>
      </x:c>
      <x:c r="C684" s="2" t="str">
        <x:v>사자자리</x:v>
      </x:c>
      <x:c r="D684" s="2" t="str">
        <x:v>정령사</x:v>
      </x:c>
      <x:c r="E684" s="2" t="n">
        <x:v>2</x:v>
      </x:c>
      <x:c r="F684" s="2" t="n">
        <x:v>1</x:v>
      </x:c>
      <x:c r="G684" s="14" t="n">
        <x:f>('레벨 계산식'!$E$4-E684)*'레벨 계산식'!$B$5</x:f>
        <x:v>0.41999999999999993</x:v>
      </x:c>
      <x:c r="H684" s="14" t="n">
        <x:f>('등급 계산식'!$E$4-F684)*'등급 계산식'!$B$5</x:f>
        <x:v>0.24000000000000005</x:v>
      </x:c>
      <x:c r="I684" s="14" t="n">
        <x:f>1-G684-H684</x:f>
        <x:v>0.34</x:v>
      </x:c>
      <x:c r="J684" s="2" t="n">
        <x:f>MAX(1,ROUND('기준스탯 72종'!D35-R684-Z684,0))</x:f>
        <x:v>2</x:v>
      </x:c>
      <x:c r="K684" s="2" t="n">
        <x:f>MAX(1,ROUND('기준스탯 72종'!E35-S684-AA684,0))</x:f>
        <x:v>3</x:v>
      </x:c>
      <x:c r="L684" s="2" t="n">
        <x:f>MAX(1,ROUND('기준스탯 72종'!F35-T684-AB684,0))</x:f>
        <x:v>3</x:v>
      </x:c>
      <x:c r="M684" s="2" t="n">
        <x:f>MAX(1,ROUND('기준스탯 72종'!G35-U684-AC684,0))</x:f>
        <x:v>2</x:v>
      </x:c>
      <x:c r="N684" s="2" t="n">
        <x:f>MAX(0,ROUND('기준스탯 72종'!H35-V684-AD684,0))</x:f>
        <x:v>1</x:v>
      </x:c>
      <x:c r="O684" s="2" t="n">
        <x:f>MAX(0,ROUND('기준스탯 72종'!I35-W684-AE684,0))</x:f>
        <x:v>2</x:v>
      </x:c>
      <x:c r="P684" s="2" t="n">
        <x:f>MAX(0,ROUND('기준스탯 72종'!J35-X684-AF684,0))</x:f>
        <x:v>1</x:v>
      </x:c>
      <x:c r="Q684" s="2" t="n">
        <x:f>MAX(0,ROUND('기준스탯 72종'!K35-Y684-AG684,0))</x:f>
        <x:v>1</x:v>
      </x:c>
      <x:c r="R684" s="15" t="n">
        <x:f>'기준스탯 72종'!D35*G684</x:f>
        <x:v>2.9399999999999995</x:v>
      </x:c>
      <x:c r="S684" s="15" t="n">
        <x:f>'기준스탯 72종'!E35*G684</x:f>
        <x:v>3.3599999999999994</x:v>
      </x:c>
      <x:c r="T684" s="15" t="n">
        <x:f>'기준스탯 72종'!F35*G684</x:f>
        <x:v>3.3599999999999994</x:v>
      </x:c>
      <x:c r="U684" s="15" t="n">
        <x:f>'기준스탯 72종'!G35*G684</x:f>
        <x:v>2.9399999999999995</x:v>
      </x:c>
      <x:c r="V684" s="15" t="n">
        <x:f>'기준스탯 72종'!H35*G684</x:f>
        <x:v>1.6799999999999997</x:v>
      </x:c>
      <x:c r="W684" s="15" t="n">
        <x:f>'기준스탯 72종'!I35*G684</x:f>
        <x:v>2.5199999999999996</x:v>
      </x:c>
      <x:c r="X684" s="15" t="n">
        <x:f>'기준스탯 72종'!J35*G684</x:f>
        <x:v>1.2599999999999998</x:v>
      </x:c>
      <x:c r="Y684" s="15" t="n">
        <x:f>'기준스탯 72종'!K35*G684</x:f>
        <x:v>1.2599999999999998</x:v>
      </x:c>
      <x:c r="Z684" s="15" t="n">
        <x:f>'기준스탯 72종'!D35*H684</x:f>
        <x:v>1.6800000000000004</x:v>
      </x:c>
      <x:c r="AA684" s="15" t="n">
        <x:f>'기준스탯 72종'!E35*H684</x:f>
        <x:v>1.9200000000000004</x:v>
      </x:c>
      <x:c r="AB684" s="15" t="n">
        <x:f>'기준스탯 72종'!F35*H684</x:f>
        <x:v>1.9200000000000004</x:v>
      </x:c>
      <x:c r="AC684" s="15" t="n">
        <x:f>'기준스탯 72종'!G35*H684</x:f>
        <x:v>1.6800000000000004</x:v>
      </x:c>
      <x:c r="AD684" s="15" t="n">
        <x:f>'기준스탯 72종'!H35*H684</x:f>
        <x:v>0.9600000000000002</x:v>
      </x:c>
      <x:c r="AE684" s="15" t="n">
        <x:f>'기준스탯 72종'!I35*H684</x:f>
        <x:v>1.4400000000000004</x:v>
      </x:c>
      <x:c r="AF684" s="15" t="n">
        <x:f>'기준스탯 72종'!J35*H684</x:f>
        <x:v>0.7200000000000002</x:v>
      </x:c>
      <x:c r="AG684" s="15" t="n">
        <x:f>'기준스탯 72종'!K35*H684</x:f>
        <x:v>0.7200000000000002</x:v>
      </x:c>
    </x:row>
    <x:row r="685" ht="28" customHeight="1">
      <x:c r="A685" s="2" t="n">
        <x:v>678</x:v>
      </x:c>
      <x:c r="B685" s="2" t="n">
        <x:v>28</x:v>
      </x:c>
      <x:c r="C685" s="2" t="str">
        <x:v>사자자리</x:v>
      </x:c>
      <x:c r="D685" s="2" t="str">
        <x:v>정령사</x:v>
      </x:c>
      <x:c r="E685" s="2" t="n">
        <x:v>3</x:v>
      </x:c>
      <x:c r="F685" s="2" t="n">
        <x:v>1</x:v>
      </x:c>
      <x:c r="G685" s="14" t="n">
        <x:f>('레벨 계산식'!$E$4-E685)*'레벨 계산식'!$B$5</x:f>
        <x:v>0.27999999999999997</x:v>
      </x:c>
      <x:c r="H685" s="14" t="n">
        <x:f>('등급 계산식'!$E$4-F685)*'등급 계산식'!$B$5</x:f>
        <x:v>0.24000000000000005</x:v>
      </x:c>
      <x:c r="I685" s="14" t="n">
        <x:f>1-G685-H685</x:f>
        <x:v>0.4799999999999999</x:v>
      </x:c>
      <x:c r="J685" s="2" t="n">
        <x:f>MAX(1,ROUND('기준스탯 72종'!D35-R685-Z685,0))</x:f>
        <x:v>3</x:v>
      </x:c>
      <x:c r="K685" s="2" t="n">
        <x:f>MAX(1,ROUND('기준스탯 72종'!E35-S685-AA685,0))</x:f>
        <x:v>4</x:v>
      </x:c>
      <x:c r="L685" s="2" t="n">
        <x:f>MAX(1,ROUND('기준스탯 72종'!F35-T685-AB685,0))</x:f>
        <x:v>4</x:v>
      </x:c>
      <x:c r="M685" s="2" t="n">
        <x:f>MAX(1,ROUND('기준스탯 72종'!G35-U685-AC685,0))</x:f>
        <x:v>3</x:v>
      </x:c>
      <x:c r="N685" s="2" t="n">
        <x:f>MAX(0,ROUND('기준스탯 72종'!H35-V685-AD685,0))</x:f>
        <x:v>2</x:v>
      </x:c>
      <x:c r="O685" s="2" t="n">
        <x:f>MAX(0,ROUND('기준스탯 72종'!I35-W685-AE685,0))</x:f>
        <x:v>3</x:v>
      </x:c>
      <x:c r="P685" s="2" t="n">
        <x:f>MAX(0,ROUND('기준스탯 72종'!J35-X685-AF685,0))</x:f>
        <x:v>1</x:v>
      </x:c>
      <x:c r="Q685" s="2" t="n">
        <x:f>MAX(0,ROUND('기준스탯 72종'!K35-Y685-AG685,0))</x:f>
        <x:v>1</x:v>
      </x:c>
      <x:c r="R685" s="15" t="n">
        <x:f>'기준스탯 72종'!D35*G685</x:f>
        <x:v>1.9599999999999997</x:v>
      </x:c>
      <x:c r="S685" s="15" t="n">
        <x:f>'기준스탯 72종'!E35*G685</x:f>
        <x:v>2.2399999999999998</x:v>
      </x:c>
      <x:c r="T685" s="15" t="n">
        <x:f>'기준스탯 72종'!F35*G685</x:f>
        <x:v>2.2399999999999998</x:v>
      </x:c>
      <x:c r="U685" s="15" t="n">
        <x:f>'기준스탯 72종'!G35*G685</x:f>
        <x:v>1.9599999999999997</x:v>
      </x:c>
      <x:c r="V685" s="15" t="n">
        <x:f>'기준스탯 72종'!H35*G685</x:f>
        <x:v>1.1199999999999999</x:v>
      </x:c>
      <x:c r="W685" s="15" t="n">
        <x:f>'기준스탯 72종'!I35*G685</x:f>
        <x:v>1.6799999999999997</x:v>
      </x:c>
      <x:c r="X685" s="15" t="n">
        <x:f>'기준스탯 72종'!J35*G685</x:f>
        <x:v>0.8399999999999999</x:v>
      </x:c>
      <x:c r="Y685" s="15" t="n">
        <x:f>'기준스탯 72종'!K35*G685</x:f>
        <x:v>0.8399999999999999</x:v>
      </x:c>
      <x:c r="Z685" s="15" t="n">
        <x:f>'기준스탯 72종'!D35*H685</x:f>
        <x:v>1.6800000000000004</x:v>
      </x:c>
      <x:c r="AA685" s="15" t="n">
        <x:f>'기준스탯 72종'!E35*H685</x:f>
        <x:v>1.9200000000000004</x:v>
      </x:c>
      <x:c r="AB685" s="15" t="n">
        <x:f>'기준스탯 72종'!F35*H685</x:f>
        <x:v>1.9200000000000004</x:v>
      </x:c>
      <x:c r="AC685" s="15" t="n">
        <x:f>'기준스탯 72종'!G35*H685</x:f>
        <x:v>1.6800000000000004</x:v>
      </x:c>
      <x:c r="AD685" s="15" t="n">
        <x:f>'기준스탯 72종'!H35*H685</x:f>
        <x:v>0.9600000000000002</x:v>
      </x:c>
      <x:c r="AE685" s="15" t="n">
        <x:f>'기준스탯 72종'!I35*H685</x:f>
        <x:v>1.4400000000000004</x:v>
      </x:c>
      <x:c r="AF685" s="15" t="n">
        <x:f>'기준스탯 72종'!J35*H685</x:f>
        <x:v>0.7200000000000002</x:v>
      </x:c>
      <x:c r="AG685" s="15" t="n">
        <x:f>'기준스탯 72종'!K35*H685</x:f>
        <x:v>0.7200000000000002</x:v>
      </x:c>
    </x:row>
    <x:row r="686" ht="28" customHeight="1">
      <x:c r="A686" s="2" t="n">
        <x:v>679</x:v>
      </x:c>
      <x:c r="B686" s="2" t="n">
        <x:v>28</x:v>
      </x:c>
      <x:c r="C686" s="2" t="str">
        <x:v>사자자리</x:v>
      </x:c>
      <x:c r="D686" s="2" t="str">
        <x:v>정령사</x:v>
      </x:c>
      <x:c r="E686" s="2" t="n">
        <x:v>4</x:v>
      </x:c>
      <x:c r="F686" s="2" t="n">
        <x:v>1</x:v>
      </x:c>
      <x:c r="G686" s="14" t="n">
        <x:f>('레벨 계산식'!$E$4-E686)*'레벨 계산식'!$B$5</x:f>
        <x:v>0.13999999999999999</x:v>
      </x:c>
      <x:c r="H686" s="14" t="n">
        <x:f>('등급 계산식'!$E$4-F686)*'등급 계산식'!$B$5</x:f>
        <x:v>0.24000000000000005</x:v>
      </x:c>
      <x:c r="I686" s="14" t="n">
        <x:f>1-G686-H686</x:f>
        <x:v>0.6199999999999999</x:v>
      </x:c>
      <x:c r="J686" s="2" t="n">
        <x:f>MAX(1,ROUND('기준스탯 72종'!D35-R686-Z686,0))</x:f>
        <x:v>4</x:v>
      </x:c>
      <x:c r="K686" s="2" t="n">
        <x:f>MAX(1,ROUND('기준스탯 72종'!E35-S686-AA686,0))</x:f>
        <x:v>5</x:v>
      </x:c>
      <x:c r="L686" s="2" t="n">
        <x:f>MAX(1,ROUND('기준스탯 72종'!F35-T686-AB686,0))</x:f>
        <x:v>5</x:v>
      </x:c>
      <x:c r="M686" s="2" t="n">
        <x:f>MAX(1,ROUND('기준스탯 72종'!G35-U686-AC686,0))</x:f>
        <x:v>4</x:v>
      </x:c>
      <x:c r="N686" s="2" t="n">
        <x:f>MAX(0,ROUND('기준스탯 72종'!H35-V686-AD686,0))</x:f>
        <x:v>2</x:v>
      </x:c>
      <x:c r="O686" s="2" t="n">
        <x:f>MAX(0,ROUND('기준스탯 72종'!I35-W686-AE686,0))</x:f>
        <x:v>4</x:v>
      </x:c>
      <x:c r="P686" s="2" t="n">
        <x:f>MAX(0,ROUND('기준스탯 72종'!J35-X686-AF686,0))</x:f>
        <x:v>2</x:v>
      </x:c>
      <x:c r="Q686" s="2" t="n">
        <x:f>MAX(0,ROUND('기준스탯 72종'!K35-Y686-AG686,0))</x:f>
        <x:v>2</x:v>
      </x:c>
      <x:c r="R686" s="15" t="n">
        <x:f>'기준스탯 72종'!D35*G686</x:f>
        <x:v>0.9799999999999999</x:v>
      </x:c>
      <x:c r="S686" s="15" t="n">
        <x:f>'기준스탯 72종'!E35*G686</x:f>
        <x:v>1.1199999999999999</x:v>
      </x:c>
      <x:c r="T686" s="15" t="n">
        <x:f>'기준스탯 72종'!F35*G686</x:f>
        <x:v>1.1199999999999999</x:v>
      </x:c>
      <x:c r="U686" s="15" t="n">
        <x:f>'기준스탯 72종'!G35*G686</x:f>
        <x:v>0.9799999999999999</x:v>
      </x:c>
      <x:c r="V686" s="15" t="n">
        <x:f>'기준스탯 72종'!H35*G686</x:f>
        <x:v>0.5599999999999999</x:v>
      </x:c>
      <x:c r="W686" s="15" t="n">
        <x:f>'기준스탯 72종'!I35*G686</x:f>
        <x:v>0.8399999999999999</x:v>
      </x:c>
      <x:c r="X686" s="15" t="n">
        <x:f>'기준스탯 72종'!J35*G686</x:f>
        <x:v>0.41999999999999993</x:v>
      </x:c>
      <x:c r="Y686" s="15" t="n">
        <x:f>'기준스탯 72종'!K35*G686</x:f>
        <x:v>0.41999999999999993</x:v>
      </x:c>
      <x:c r="Z686" s="15" t="n">
        <x:f>'기준스탯 72종'!D35*H686</x:f>
        <x:v>1.6800000000000004</x:v>
      </x:c>
      <x:c r="AA686" s="15" t="n">
        <x:f>'기준스탯 72종'!E35*H686</x:f>
        <x:v>1.9200000000000004</x:v>
      </x:c>
      <x:c r="AB686" s="15" t="n">
        <x:f>'기준스탯 72종'!F35*H686</x:f>
        <x:v>1.9200000000000004</x:v>
      </x:c>
      <x:c r="AC686" s="15" t="n">
        <x:f>'기준스탯 72종'!G35*H686</x:f>
        <x:v>1.6800000000000004</x:v>
      </x:c>
      <x:c r="AD686" s="15" t="n">
        <x:f>'기준스탯 72종'!H35*H686</x:f>
        <x:v>0.9600000000000002</x:v>
      </x:c>
      <x:c r="AE686" s="15" t="n">
        <x:f>'기준스탯 72종'!I35*H686</x:f>
        <x:v>1.4400000000000004</x:v>
      </x:c>
      <x:c r="AF686" s="15" t="n">
        <x:f>'기준스탯 72종'!J35*H686</x:f>
        <x:v>0.7200000000000002</x:v>
      </x:c>
      <x:c r="AG686" s="15" t="n">
        <x:f>'기준스탯 72종'!K35*H686</x:f>
        <x:v>0.7200000000000002</x:v>
      </x:c>
    </x:row>
    <x:row r="687" ht="28" customHeight="1">
      <x:c r="A687" s="2" t="n">
        <x:v>680</x:v>
      </x:c>
      <x:c r="B687" s="2" t="n">
        <x:v>28</x:v>
      </x:c>
      <x:c r="C687" s="2" t="str">
        <x:v>사자자리</x:v>
      </x:c>
      <x:c r="D687" s="2" t="str">
        <x:v>정령사</x:v>
      </x:c>
      <x:c r="E687" s="2" t="n">
        <x:v>5</x:v>
      </x:c>
      <x:c r="F687" s="2" t="n">
        <x:v>1</x:v>
      </x:c>
      <x:c r="G687" s="14" t="n">
        <x:f>('레벨 계산식'!$E$4-E687)*'레벨 계산식'!$B$5</x:f>
        <x:v>0</x:v>
      </x:c>
      <x:c r="H687" s="14" t="n">
        <x:f>('등급 계산식'!$E$4-F687)*'등급 계산식'!$B$5</x:f>
        <x:v>0.24000000000000005</x:v>
      </x:c>
      <x:c r="I687" s="14" t="n">
        <x:f>1-G687-H687</x:f>
        <x:v>0.76</x:v>
      </x:c>
      <x:c r="J687" s="2" t="n">
        <x:f>MAX(1,ROUND('기준스탯 72종'!D35-R687-Z687,0))</x:f>
        <x:v>5</x:v>
      </x:c>
      <x:c r="K687" s="2" t="n">
        <x:f>MAX(1,ROUND('기준스탯 72종'!E35-S687-AA687,0))</x:f>
        <x:v>6</x:v>
      </x:c>
      <x:c r="L687" s="2" t="n">
        <x:f>MAX(1,ROUND('기준스탯 72종'!F35-T687-AB687,0))</x:f>
        <x:v>6</x:v>
      </x:c>
      <x:c r="M687" s="2" t="n">
        <x:f>MAX(1,ROUND('기준스탯 72종'!G35-U687-AC687,0))</x:f>
        <x:v>5</x:v>
      </x:c>
      <x:c r="N687" s="2" t="n">
        <x:f>MAX(0,ROUND('기준스탯 72종'!H35-V687-AD687,0))</x:f>
        <x:v>3</x:v>
      </x:c>
      <x:c r="O687" s="2" t="n">
        <x:f>MAX(0,ROUND('기준스탯 72종'!I35-W687-AE687,0))</x:f>
        <x:v>5</x:v>
      </x:c>
      <x:c r="P687" s="2" t="n">
        <x:f>MAX(0,ROUND('기준스탯 72종'!J35-X687-AF687,0))</x:f>
        <x:v>2</x:v>
      </x:c>
      <x:c r="Q687" s="2" t="n">
        <x:f>MAX(0,ROUND('기준스탯 72종'!K35-Y687-AG687,0))</x:f>
        <x:v>2</x:v>
      </x:c>
      <x:c r="R687" s="15" t="n">
        <x:f>'기준스탯 72종'!D35*G687</x:f>
        <x:v>0</x:v>
      </x:c>
      <x:c r="S687" s="15" t="n">
        <x:f>'기준스탯 72종'!E35*G687</x:f>
        <x:v>0</x:v>
      </x:c>
      <x:c r="T687" s="15" t="n">
        <x:f>'기준스탯 72종'!F35*G687</x:f>
        <x:v>0</x:v>
      </x:c>
      <x:c r="U687" s="15" t="n">
        <x:f>'기준스탯 72종'!G35*G687</x:f>
        <x:v>0</x:v>
      </x:c>
      <x:c r="V687" s="15" t="n">
        <x:f>'기준스탯 72종'!H35*G687</x:f>
        <x:v>0</x:v>
      </x:c>
      <x:c r="W687" s="15" t="n">
        <x:f>'기준스탯 72종'!I35*G687</x:f>
        <x:v>0</x:v>
      </x:c>
      <x:c r="X687" s="15" t="n">
        <x:f>'기준스탯 72종'!J35*G687</x:f>
        <x:v>0</x:v>
      </x:c>
      <x:c r="Y687" s="15" t="n">
        <x:f>'기준스탯 72종'!K35*G687</x:f>
        <x:v>0</x:v>
      </x:c>
      <x:c r="Z687" s="15" t="n">
        <x:f>'기준스탯 72종'!D35*H687</x:f>
        <x:v>1.6800000000000004</x:v>
      </x:c>
      <x:c r="AA687" s="15" t="n">
        <x:f>'기준스탯 72종'!E35*H687</x:f>
        <x:v>1.9200000000000004</x:v>
      </x:c>
      <x:c r="AB687" s="15" t="n">
        <x:f>'기준스탯 72종'!F35*H687</x:f>
        <x:v>1.9200000000000004</x:v>
      </x:c>
      <x:c r="AC687" s="15" t="n">
        <x:f>'기준스탯 72종'!G35*H687</x:f>
        <x:v>1.6800000000000004</x:v>
      </x:c>
      <x:c r="AD687" s="15" t="n">
        <x:f>'기준스탯 72종'!H35*H687</x:f>
        <x:v>0.9600000000000002</x:v>
      </x:c>
      <x:c r="AE687" s="15" t="n">
        <x:f>'기준스탯 72종'!I35*H687</x:f>
        <x:v>1.4400000000000004</x:v>
      </x:c>
      <x:c r="AF687" s="15" t="n">
        <x:f>'기준스탯 72종'!J35*H687</x:f>
        <x:v>0.7200000000000002</x:v>
      </x:c>
      <x:c r="AG687" s="15" t="n">
        <x:f>'기준스탯 72종'!K35*H687</x:f>
        <x:v>0.7200000000000002</x:v>
      </x:c>
    </x:row>
    <x:row r="688" ht="28" customHeight="1">
      <x:c r="A688" s="2" t="n">
        <x:v>681</x:v>
      </x:c>
      <x:c r="B688" s="2" t="n">
        <x:v>28</x:v>
      </x:c>
      <x:c r="C688" s="2" t="str">
        <x:v>사자자리</x:v>
      </x:c>
      <x:c r="D688" s="2" t="str">
        <x:v>정령사</x:v>
      </x:c>
      <x:c r="E688" s="2" t="n">
        <x:v>1</x:v>
      </x:c>
      <x:c r="F688" s="2" t="n">
        <x:v>2</x:v>
      </x:c>
      <x:c r="G688" s="14" t="n">
        <x:f>('레벨 계산식'!$E$4-E688)*'레벨 계산식'!$B$5</x:f>
        <x:v>0.5599999999999999</x:v>
      </x:c>
      <x:c r="H688" s="14" t="n">
        <x:f>('등급 계산식'!$E$4-F688)*'등급 계산식'!$B$5</x:f>
        <x:v>0.18000000000000005</x:v>
      </x:c>
      <x:c r="I688" s="14" t="n">
        <x:f>1-G688-H688</x:f>
        <x:v>0.26</x:v>
      </x:c>
      <x:c r="J688" s="2" t="n">
        <x:f>MAX(1,ROUND('기준스탯 72종'!D35-R688-Z688,0))</x:f>
        <x:v>2</x:v>
      </x:c>
      <x:c r="K688" s="2" t="n">
        <x:f>MAX(1,ROUND('기준스탯 72종'!E35-S688-AA688,0))</x:f>
        <x:v>2</x:v>
      </x:c>
      <x:c r="L688" s="2" t="n">
        <x:f>MAX(1,ROUND('기준스탯 72종'!F35-T688-AB688,0))</x:f>
        <x:v>2</x:v>
      </x:c>
      <x:c r="M688" s="2" t="n">
        <x:f>MAX(1,ROUND('기준스탯 72종'!G35-U688-AC688,0))</x:f>
        <x:v>2</x:v>
      </x:c>
      <x:c r="N688" s="2" t="n">
        <x:f>MAX(0,ROUND('기준스탯 72종'!H35-V688-AD688,0))</x:f>
        <x:v>1</x:v>
      </x:c>
      <x:c r="O688" s="2" t="n">
        <x:f>MAX(0,ROUND('기준스탯 72종'!I35-W688-AE688,0))</x:f>
        <x:v>2</x:v>
      </x:c>
      <x:c r="P688" s="2" t="n">
        <x:f>MAX(0,ROUND('기준스탯 72종'!J35-X688-AF688,0))</x:f>
        <x:v>1</x:v>
      </x:c>
      <x:c r="Q688" s="2" t="n">
        <x:f>MAX(0,ROUND('기준스탯 72종'!K35-Y688-AG688,0))</x:f>
        <x:v>1</x:v>
      </x:c>
      <x:c r="R688" s="15" t="n">
        <x:f>'기준스탯 72종'!D35*G688</x:f>
        <x:v>3.9199999999999995</x:v>
      </x:c>
      <x:c r="S688" s="15" t="n">
        <x:f>'기준스탯 72종'!E35*G688</x:f>
        <x:v>4.4799999999999995</x:v>
      </x:c>
      <x:c r="T688" s="15" t="n">
        <x:f>'기준스탯 72종'!F35*G688</x:f>
        <x:v>4.4799999999999995</x:v>
      </x:c>
      <x:c r="U688" s="15" t="n">
        <x:f>'기준스탯 72종'!G35*G688</x:f>
        <x:v>3.9199999999999995</x:v>
      </x:c>
      <x:c r="V688" s="15" t="n">
        <x:f>'기준스탯 72종'!H35*G688</x:f>
        <x:v>2.2399999999999998</x:v>
      </x:c>
      <x:c r="W688" s="15" t="n">
        <x:f>'기준스탯 72종'!I35*G688</x:f>
        <x:v>3.3599999999999994</x:v>
      </x:c>
      <x:c r="X688" s="15" t="n">
        <x:f>'기준스탯 72종'!J35*G688</x:f>
        <x:v>1.6799999999999997</x:v>
      </x:c>
      <x:c r="Y688" s="15" t="n">
        <x:f>'기준스탯 72종'!K35*G688</x:f>
        <x:v>1.6799999999999997</x:v>
      </x:c>
      <x:c r="Z688" s="15" t="n">
        <x:f>'기준스탯 72종'!D35*H688</x:f>
        <x:v>1.2600000000000002</x:v>
      </x:c>
      <x:c r="AA688" s="15" t="n">
        <x:f>'기준스탯 72종'!E35*H688</x:f>
        <x:v>1.4400000000000004</x:v>
      </x:c>
      <x:c r="AB688" s="15" t="n">
        <x:f>'기준스탯 72종'!F35*H688</x:f>
        <x:v>1.4400000000000004</x:v>
      </x:c>
      <x:c r="AC688" s="15" t="n">
        <x:f>'기준스탯 72종'!G35*H688</x:f>
        <x:v>1.2600000000000002</x:v>
      </x:c>
      <x:c r="AD688" s="15" t="n">
        <x:f>'기준스탯 72종'!H35*H688</x:f>
        <x:v>0.7200000000000002</x:v>
      </x:c>
      <x:c r="AE688" s="15" t="n">
        <x:f>'기준스탯 72종'!I35*H688</x:f>
        <x:v>1.0800000000000003</x:v>
      </x:c>
      <x:c r="AF688" s="15" t="n">
        <x:f>'기준스탯 72종'!J35*H688</x:f>
        <x:v>0.5400000000000001</x:v>
      </x:c>
      <x:c r="AG688" s="15" t="n">
        <x:f>'기준스탯 72종'!K35*H688</x:f>
        <x:v>0.5400000000000001</x:v>
      </x:c>
    </x:row>
    <x:row r="689" ht="28" customHeight="1">
      <x:c r="A689" s="2" t="n">
        <x:v>682</x:v>
      </x:c>
      <x:c r="B689" s="2" t="n">
        <x:v>28</x:v>
      </x:c>
      <x:c r="C689" s="2" t="str">
        <x:v>사자자리</x:v>
      </x:c>
      <x:c r="D689" s="2" t="str">
        <x:v>정령사</x:v>
      </x:c>
      <x:c r="E689" s="2" t="n">
        <x:v>2</x:v>
      </x:c>
      <x:c r="F689" s="2" t="n">
        <x:v>2</x:v>
      </x:c>
      <x:c r="G689" s="14" t="n">
        <x:f>('레벨 계산식'!$E$4-E689)*'레벨 계산식'!$B$5</x:f>
        <x:v>0.41999999999999993</x:v>
      </x:c>
      <x:c r="H689" s="14" t="n">
        <x:f>('등급 계산식'!$E$4-F689)*'등급 계산식'!$B$5</x:f>
        <x:v>0.18000000000000005</x:v>
      </x:c>
      <x:c r="I689" s="14" t="n">
        <x:f>1-G689-H689</x:f>
        <x:v>0.4</x:v>
      </x:c>
      <x:c r="J689" s="2" t="n">
        <x:f>MAX(1,ROUND('기준스탯 72종'!D35-R689-Z689,0))</x:f>
        <x:v>3</x:v>
      </x:c>
      <x:c r="K689" s="2" t="n">
        <x:f>MAX(1,ROUND('기준스탯 72종'!E35-S689-AA689,0))</x:f>
        <x:v>3</x:v>
      </x:c>
      <x:c r="L689" s="2" t="n">
        <x:f>MAX(1,ROUND('기준스탯 72종'!F35-T689-AB689,0))</x:f>
        <x:v>3</x:v>
      </x:c>
      <x:c r="M689" s="2" t="n">
        <x:f>MAX(1,ROUND('기준스탯 72종'!G35-U689-AC689,0))</x:f>
        <x:v>3</x:v>
      </x:c>
      <x:c r="N689" s="2" t="n">
        <x:f>MAX(0,ROUND('기준스탯 72종'!H35-V689-AD689,0))</x:f>
        <x:v>2</x:v>
      </x:c>
      <x:c r="O689" s="2" t="n">
        <x:f>MAX(0,ROUND('기준스탯 72종'!I35-W689-AE689,0))</x:f>
        <x:v>2</x:v>
      </x:c>
      <x:c r="P689" s="2" t="n">
        <x:f>MAX(0,ROUND('기준스탯 72종'!J35-X689-AF689,0))</x:f>
        <x:v>1</x:v>
      </x:c>
      <x:c r="Q689" s="2" t="n">
        <x:f>MAX(0,ROUND('기준스탯 72종'!K35-Y689-AG689,0))</x:f>
        <x:v>1</x:v>
      </x:c>
      <x:c r="R689" s="15" t="n">
        <x:f>'기준스탯 72종'!D35*G689</x:f>
        <x:v>2.9399999999999995</x:v>
      </x:c>
      <x:c r="S689" s="15" t="n">
        <x:f>'기준스탯 72종'!E35*G689</x:f>
        <x:v>3.3599999999999994</x:v>
      </x:c>
      <x:c r="T689" s="15" t="n">
        <x:f>'기준스탯 72종'!F35*G689</x:f>
        <x:v>3.3599999999999994</x:v>
      </x:c>
      <x:c r="U689" s="15" t="n">
        <x:f>'기준스탯 72종'!G35*G689</x:f>
        <x:v>2.9399999999999995</x:v>
      </x:c>
      <x:c r="V689" s="15" t="n">
        <x:f>'기준스탯 72종'!H35*G689</x:f>
        <x:v>1.6799999999999997</x:v>
      </x:c>
      <x:c r="W689" s="15" t="n">
        <x:f>'기준스탯 72종'!I35*G689</x:f>
        <x:v>2.5199999999999996</x:v>
      </x:c>
      <x:c r="X689" s="15" t="n">
        <x:f>'기준스탯 72종'!J35*G689</x:f>
        <x:v>1.2599999999999998</x:v>
      </x:c>
      <x:c r="Y689" s="15" t="n">
        <x:f>'기준스탯 72종'!K35*G689</x:f>
        <x:v>1.2599999999999998</x:v>
      </x:c>
      <x:c r="Z689" s="15" t="n">
        <x:f>'기준스탯 72종'!D35*H689</x:f>
        <x:v>1.2600000000000002</x:v>
      </x:c>
      <x:c r="AA689" s="15" t="n">
        <x:f>'기준스탯 72종'!E35*H689</x:f>
        <x:v>1.4400000000000004</x:v>
      </x:c>
      <x:c r="AB689" s="15" t="n">
        <x:f>'기준스탯 72종'!F35*H689</x:f>
        <x:v>1.4400000000000004</x:v>
      </x:c>
      <x:c r="AC689" s="15" t="n">
        <x:f>'기준스탯 72종'!G35*H689</x:f>
        <x:v>1.2600000000000002</x:v>
      </x:c>
      <x:c r="AD689" s="15" t="n">
        <x:f>'기준스탯 72종'!H35*H689</x:f>
        <x:v>0.7200000000000002</x:v>
      </x:c>
      <x:c r="AE689" s="15" t="n">
        <x:f>'기준스탯 72종'!I35*H689</x:f>
        <x:v>1.0800000000000003</x:v>
      </x:c>
      <x:c r="AF689" s="15" t="n">
        <x:f>'기준스탯 72종'!J35*H689</x:f>
        <x:v>0.5400000000000001</x:v>
      </x:c>
      <x:c r="AG689" s="15" t="n">
        <x:f>'기준스탯 72종'!K35*H689</x:f>
        <x:v>0.5400000000000001</x:v>
      </x:c>
    </x:row>
    <x:row r="690" ht="28" customHeight="1">
      <x:c r="A690" s="2" t="n">
        <x:v>683</x:v>
      </x:c>
      <x:c r="B690" s="2" t="n">
        <x:v>28</x:v>
      </x:c>
      <x:c r="C690" s="2" t="str">
        <x:v>사자자리</x:v>
      </x:c>
      <x:c r="D690" s="2" t="str">
        <x:v>정령사</x:v>
      </x:c>
      <x:c r="E690" s="2" t="n">
        <x:v>3</x:v>
      </x:c>
      <x:c r="F690" s="2" t="n">
        <x:v>2</x:v>
      </x:c>
      <x:c r="G690" s="14" t="n">
        <x:f>('레벨 계산식'!$E$4-E690)*'레벨 계산식'!$B$5</x:f>
        <x:v>0.27999999999999997</x:v>
      </x:c>
      <x:c r="H690" s="14" t="n">
        <x:f>('등급 계산식'!$E$4-F690)*'등급 계산식'!$B$5</x:f>
        <x:v>0.18000000000000005</x:v>
      </x:c>
      <x:c r="I690" s="14" t="n">
        <x:f>1-G690-H690</x:f>
        <x:v>0.5399999999999999</x:v>
      </x:c>
      <x:c r="J690" s="2" t="n">
        <x:f>MAX(1,ROUND('기준스탯 72종'!D35-R690-Z690,0))</x:f>
        <x:v>4</x:v>
      </x:c>
      <x:c r="K690" s="2" t="n">
        <x:f>MAX(1,ROUND('기준스탯 72종'!E35-S690-AA690,0))</x:f>
        <x:v>4</x:v>
      </x:c>
      <x:c r="L690" s="2" t="n">
        <x:f>MAX(1,ROUND('기준스탯 72종'!F35-T690-AB690,0))</x:f>
        <x:v>4</x:v>
      </x:c>
      <x:c r="M690" s="2" t="n">
        <x:f>MAX(1,ROUND('기준스탯 72종'!G35-U690-AC690,0))</x:f>
        <x:v>4</x:v>
      </x:c>
      <x:c r="N690" s="2" t="n">
        <x:f>MAX(0,ROUND('기준스탯 72종'!H35-V690-AD690,0))</x:f>
        <x:v>2</x:v>
      </x:c>
      <x:c r="O690" s="2" t="n">
        <x:f>MAX(0,ROUND('기준스탯 72종'!I35-W690-AE690,0))</x:f>
        <x:v>3</x:v>
      </x:c>
      <x:c r="P690" s="2" t="n">
        <x:f>MAX(0,ROUND('기준스탯 72종'!J35-X690-AF690,0))</x:f>
        <x:v>2</x:v>
      </x:c>
      <x:c r="Q690" s="2" t="n">
        <x:f>MAX(0,ROUND('기준스탯 72종'!K35-Y690-AG690,0))</x:f>
        <x:v>2</x:v>
      </x:c>
      <x:c r="R690" s="15" t="n">
        <x:f>'기준스탯 72종'!D35*G690</x:f>
        <x:v>1.9599999999999997</x:v>
      </x:c>
      <x:c r="S690" s="15" t="n">
        <x:f>'기준스탯 72종'!E35*G690</x:f>
        <x:v>2.2399999999999998</x:v>
      </x:c>
      <x:c r="T690" s="15" t="n">
        <x:f>'기준스탯 72종'!F35*G690</x:f>
        <x:v>2.2399999999999998</x:v>
      </x:c>
      <x:c r="U690" s="15" t="n">
        <x:f>'기준스탯 72종'!G35*G690</x:f>
        <x:v>1.9599999999999997</x:v>
      </x:c>
      <x:c r="V690" s="15" t="n">
        <x:f>'기준스탯 72종'!H35*G690</x:f>
        <x:v>1.1199999999999999</x:v>
      </x:c>
      <x:c r="W690" s="15" t="n">
        <x:f>'기준스탯 72종'!I35*G690</x:f>
        <x:v>1.6799999999999997</x:v>
      </x:c>
      <x:c r="X690" s="15" t="n">
        <x:f>'기준스탯 72종'!J35*G690</x:f>
        <x:v>0.8399999999999999</x:v>
      </x:c>
      <x:c r="Y690" s="15" t="n">
        <x:f>'기준스탯 72종'!K35*G690</x:f>
        <x:v>0.8399999999999999</x:v>
      </x:c>
      <x:c r="Z690" s="15" t="n">
        <x:f>'기준스탯 72종'!D35*H690</x:f>
        <x:v>1.2600000000000002</x:v>
      </x:c>
      <x:c r="AA690" s="15" t="n">
        <x:f>'기준스탯 72종'!E35*H690</x:f>
        <x:v>1.4400000000000004</x:v>
      </x:c>
      <x:c r="AB690" s="15" t="n">
        <x:f>'기준스탯 72종'!F35*H690</x:f>
        <x:v>1.4400000000000004</x:v>
      </x:c>
      <x:c r="AC690" s="15" t="n">
        <x:f>'기준스탯 72종'!G35*H690</x:f>
        <x:v>1.2600000000000002</x:v>
      </x:c>
      <x:c r="AD690" s="15" t="n">
        <x:f>'기준스탯 72종'!H35*H690</x:f>
        <x:v>0.7200000000000002</x:v>
      </x:c>
      <x:c r="AE690" s="15" t="n">
        <x:f>'기준스탯 72종'!I35*H690</x:f>
        <x:v>1.0800000000000003</x:v>
      </x:c>
      <x:c r="AF690" s="15" t="n">
        <x:f>'기준스탯 72종'!J35*H690</x:f>
        <x:v>0.5400000000000001</x:v>
      </x:c>
      <x:c r="AG690" s="15" t="n">
        <x:f>'기준스탯 72종'!K35*H690</x:f>
        <x:v>0.5400000000000001</x:v>
      </x:c>
    </x:row>
    <x:row r="691" ht="28" customHeight="1">
      <x:c r="A691" s="2" t="n">
        <x:v>684</x:v>
      </x:c>
      <x:c r="B691" s="2" t="n">
        <x:v>28</x:v>
      </x:c>
      <x:c r="C691" s="2" t="str">
        <x:v>사자자리</x:v>
      </x:c>
      <x:c r="D691" s="2" t="str">
        <x:v>정령사</x:v>
      </x:c>
      <x:c r="E691" s="2" t="n">
        <x:v>4</x:v>
      </x:c>
      <x:c r="F691" s="2" t="n">
        <x:v>2</x:v>
      </x:c>
      <x:c r="G691" s="14" t="n">
        <x:f>('레벨 계산식'!$E$4-E691)*'레벨 계산식'!$B$5</x:f>
        <x:v>0.13999999999999999</x:v>
      </x:c>
      <x:c r="H691" s="14" t="n">
        <x:f>('등급 계산식'!$E$4-F691)*'등급 계산식'!$B$5</x:f>
        <x:v>0.18000000000000005</x:v>
      </x:c>
      <x:c r="I691" s="14" t="n">
        <x:f>1-G691-H691</x:f>
        <x:v>0.6799999999999999</x:v>
      </x:c>
      <x:c r="J691" s="2" t="n">
        <x:f>MAX(1,ROUND('기준스탯 72종'!D35-R691-Z691,0))</x:f>
        <x:v>5</x:v>
      </x:c>
      <x:c r="K691" s="2" t="n">
        <x:f>MAX(1,ROUND('기준스탯 72종'!E35-S691-AA691,0))</x:f>
        <x:v>5</x:v>
      </x:c>
      <x:c r="L691" s="2" t="n">
        <x:f>MAX(1,ROUND('기준스탯 72종'!F35-T691-AB691,0))</x:f>
        <x:v>5</x:v>
      </x:c>
      <x:c r="M691" s="2" t="n">
        <x:f>MAX(1,ROUND('기준스탯 72종'!G35-U691-AC691,0))</x:f>
        <x:v>5</x:v>
      </x:c>
      <x:c r="N691" s="2" t="n">
        <x:f>MAX(0,ROUND('기준스탯 72종'!H35-V691-AD691,0))</x:f>
        <x:v>3</x:v>
      </x:c>
      <x:c r="O691" s="2" t="n">
        <x:f>MAX(0,ROUND('기준스탯 72종'!I35-W691-AE691,0))</x:f>
        <x:v>4</x:v>
      </x:c>
      <x:c r="P691" s="2" t="n">
        <x:f>MAX(0,ROUND('기준스탯 72종'!J35-X691-AF691,0))</x:f>
        <x:v>2</x:v>
      </x:c>
      <x:c r="Q691" s="2" t="n">
        <x:f>MAX(0,ROUND('기준스탯 72종'!K35-Y691-AG691,0))</x:f>
        <x:v>2</x:v>
      </x:c>
      <x:c r="R691" s="15" t="n">
        <x:f>'기준스탯 72종'!D35*G691</x:f>
        <x:v>0.9799999999999999</x:v>
      </x:c>
      <x:c r="S691" s="15" t="n">
        <x:f>'기준스탯 72종'!E35*G691</x:f>
        <x:v>1.1199999999999999</x:v>
      </x:c>
      <x:c r="T691" s="15" t="n">
        <x:f>'기준스탯 72종'!F35*G691</x:f>
        <x:v>1.1199999999999999</x:v>
      </x:c>
      <x:c r="U691" s="15" t="n">
        <x:f>'기준스탯 72종'!G35*G691</x:f>
        <x:v>0.9799999999999999</x:v>
      </x:c>
      <x:c r="V691" s="15" t="n">
        <x:f>'기준스탯 72종'!H35*G691</x:f>
        <x:v>0.5599999999999999</x:v>
      </x:c>
      <x:c r="W691" s="15" t="n">
        <x:f>'기준스탯 72종'!I35*G691</x:f>
        <x:v>0.8399999999999999</x:v>
      </x:c>
      <x:c r="X691" s="15" t="n">
        <x:f>'기준스탯 72종'!J35*G691</x:f>
        <x:v>0.41999999999999993</x:v>
      </x:c>
      <x:c r="Y691" s="15" t="n">
        <x:f>'기준스탯 72종'!K35*G691</x:f>
        <x:v>0.41999999999999993</x:v>
      </x:c>
      <x:c r="Z691" s="15" t="n">
        <x:f>'기준스탯 72종'!D35*H691</x:f>
        <x:v>1.2600000000000002</x:v>
      </x:c>
      <x:c r="AA691" s="15" t="n">
        <x:f>'기준스탯 72종'!E35*H691</x:f>
        <x:v>1.4400000000000004</x:v>
      </x:c>
      <x:c r="AB691" s="15" t="n">
        <x:f>'기준스탯 72종'!F35*H691</x:f>
        <x:v>1.4400000000000004</x:v>
      </x:c>
      <x:c r="AC691" s="15" t="n">
        <x:f>'기준스탯 72종'!G35*H691</x:f>
        <x:v>1.2600000000000002</x:v>
      </x:c>
      <x:c r="AD691" s="15" t="n">
        <x:f>'기준스탯 72종'!H35*H691</x:f>
        <x:v>0.7200000000000002</x:v>
      </x:c>
      <x:c r="AE691" s="15" t="n">
        <x:f>'기준스탯 72종'!I35*H691</x:f>
        <x:v>1.0800000000000003</x:v>
      </x:c>
      <x:c r="AF691" s="15" t="n">
        <x:f>'기준스탯 72종'!J35*H691</x:f>
        <x:v>0.5400000000000001</x:v>
      </x:c>
      <x:c r="AG691" s="15" t="n">
        <x:f>'기준스탯 72종'!K35*H691</x:f>
        <x:v>0.5400000000000001</x:v>
      </x:c>
    </x:row>
    <x:row r="692" ht="28" customHeight="1">
      <x:c r="A692" s="2" t="n">
        <x:v>685</x:v>
      </x:c>
      <x:c r="B692" s="2" t="n">
        <x:v>28</x:v>
      </x:c>
      <x:c r="C692" s="2" t="str">
        <x:v>사자자리</x:v>
      </x:c>
      <x:c r="D692" s="2" t="str">
        <x:v>정령사</x:v>
      </x:c>
      <x:c r="E692" s="2" t="n">
        <x:v>5</x:v>
      </x:c>
      <x:c r="F692" s="2" t="n">
        <x:v>2</x:v>
      </x:c>
      <x:c r="G692" s="14" t="n">
        <x:f>('레벨 계산식'!$E$4-E692)*'레벨 계산식'!$B$5</x:f>
        <x:v>0</x:v>
      </x:c>
      <x:c r="H692" s="14" t="n">
        <x:f>('등급 계산식'!$E$4-F692)*'등급 계산식'!$B$5</x:f>
        <x:v>0.18000000000000005</x:v>
      </x:c>
      <x:c r="I692" s="14" t="n">
        <x:f>1-G692-H692</x:f>
        <x:v>0.82</x:v>
      </x:c>
      <x:c r="J692" s="2" t="n">
        <x:f>MAX(1,ROUND('기준스탯 72종'!D35-R692-Z692,0))</x:f>
        <x:v>6</x:v>
      </x:c>
      <x:c r="K692" s="2" t="n">
        <x:f>MAX(1,ROUND('기준스탯 72종'!E35-S692-AA692,0))</x:f>
        <x:v>7</x:v>
      </x:c>
      <x:c r="L692" s="2" t="n">
        <x:f>MAX(1,ROUND('기준스탯 72종'!F35-T692-AB692,0))</x:f>
        <x:v>7</x:v>
      </x:c>
      <x:c r="M692" s="2" t="n">
        <x:f>MAX(1,ROUND('기준스탯 72종'!G35-U692-AC692,0))</x:f>
        <x:v>6</x:v>
      </x:c>
      <x:c r="N692" s="2" t="n">
        <x:f>MAX(0,ROUND('기준스탯 72종'!H35-V692-AD692,0))</x:f>
        <x:v>3</x:v>
      </x:c>
      <x:c r="O692" s="2" t="n">
        <x:f>MAX(0,ROUND('기준스탯 72종'!I35-W692-AE692,0))</x:f>
        <x:v>5</x:v>
      </x:c>
      <x:c r="P692" s="2" t="n">
        <x:f>MAX(0,ROUND('기준스탯 72종'!J35-X692-AF692,0))</x:f>
        <x:v>2</x:v>
      </x:c>
      <x:c r="Q692" s="2" t="n">
        <x:f>MAX(0,ROUND('기준스탯 72종'!K35-Y692-AG692,0))</x:f>
        <x:v>2</x:v>
      </x:c>
      <x:c r="R692" s="15" t="n">
        <x:f>'기준스탯 72종'!D35*G692</x:f>
        <x:v>0</x:v>
      </x:c>
      <x:c r="S692" s="15" t="n">
        <x:f>'기준스탯 72종'!E35*G692</x:f>
        <x:v>0</x:v>
      </x:c>
      <x:c r="T692" s="15" t="n">
        <x:f>'기준스탯 72종'!F35*G692</x:f>
        <x:v>0</x:v>
      </x:c>
      <x:c r="U692" s="15" t="n">
        <x:f>'기준스탯 72종'!G35*G692</x:f>
        <x:v>0</x:v>
      </x:c>
      <x:c r="V692" s="15" t="n">
        <x:f>'기준스탯 72종'!H35*G692</x:f>
        <x:v>0</x:v>
      </x:c>
      <x:c r="W692" s="15" t="n">
        <x:f>'기준스탯 72종'!I35*G692</x:f>
        <x:v>0</x:v>
      </x:c>
      <x:c r="X692" s="15" t="n">
        <x:f>'기준스탯 72종'!J35*G692</x:f>
        <x:v>0</x:v>
      </x:c>
      <x:c r="Y692" s="15" t="n">
        <x:f>'기준스탯 72종'!K35*G692</x:f>
        <x:v>0</x:v>
      </x:c>
      <x:c r="Z692" s="15" t="n">
        <x:f>'기준스탯 72종'!D35*H692</x:f>
        <x:v>1.2600000000000002</x:v>
      </x:c>
      <x:c r="AA692" s="15" t="n">
        <x:f>'기준스탯 72종'!E35*H692</x:f>
        <x:v>1.4400000000000004</x:v>
      </x:c>
      <x:c r="AB692" s="15" t="n">
        <x:f>'기준스탯 72종'!F35*H692</x:f>
        <x:v>1.4400000000000004</x:v>
      </x:c>
      <x:c r="AC692" s="15" t="n">
        <x:f>'기준스탯 72종'!G35*H692</x:f>
        <x:v>1.2600000000000002</x:v>
      </x:c>
      <x:c r="AD692" s="15" t="n">
        <x:f>'기준스탯 72종'!H35*H692</x:f>
        <x:v>0.7200000000000002</x:v>
      </x:c>
      <x:c r="AE692" s="15" t="n">
        <x:f>'기준스탯 72종'!I35*H692</x:f>
        <x:v>1.0800000000000003</x:v>
      </x:c>
      <x:c r="AF692" s="15" t="n">
        <x:f>'기준스탯 72종'!J35*H692</x:f>
        <x:v>0.5400000000000001</x:v>
      </x:c>
      <x:c r="AG692" s="15" t="n">
        <x:f>'기준스탯 72종'!K35*H692</x:f>
        <x:v>0.5400000000000001</x:v>
      </x:c>
    </x:row>
    <x:row r="693" ht="28" customHeight="1">
      <x:c r="A693" s="2" t="n">
        <x:v>686</x:v>
      </x:c>
      <x:c r="B693" s="2" t="n">
        <x:v>28</x:v>
      </x:c>
      <x:c r="C693" s="2" t="str">
        <x:v>사자자리</x:v>
      </x:c>
      <x:c r="D693" s="2" t="str">
        <x:v>정령사</x:v>
      </x:c>
      <x:c r="E693" s="2" t="n">
        <x:v>1</x:v>
      </x:c>
      <x:c r="F693" s="2" t="n">
        <x:v>3</x:v>
      </x:c>
      <x:c r="G693" s="14" t="n">
        <x:f>('레벨 계산식'!$E$4-E693)*'레벨 계산식'!$B$5</x:f>
        <x:v>0.5599999999999999</x:v>
      </x:c>
      <x:c r="H693" s="14" t="n">
        <x:f>('등급 계산식'!$E$4-F693)*'등급 계산식'!$B$5</x:f>
        <x:v>0.12000000000000002</x:v>
      </x:c>
      <x:c r="I693" s="14" t="n">
        <x:f>1-G693-H693</x:f>
        <x:v>0.32000000000000006</x:v>
      </x:c>
      <x:c r="J693" s="2" t="n">
        <x:f>MAX(1,ROUND('기준스탯 72종'!D35-R693-Z693,0))</x:f>
        <x:v>2</x:v>
      </x:c>
      <x:c r="K693" s="2" t="n">
        <x:f>MAX(1,ROUND('기준스탯 72종'!E35-S693-AA693,0))</x:f>
        <x:v>3</x:v>
      </x:c>
      <x:c r="L693" s="2" t="n">
        <x:f>MAX(1,ROUND('기준스탯 72종'!F35-T693-AB693,0))</x:f>
        <x:v>3</x:v>
      </x:c>
      <x:c r="M693" s="2" t="n">
        <x:f>MAX(1,ROUND('기준스탯 72종'!G35-U693-AC693,0))</x:f>
        <x:v>2</x:v>
      </x:c>
      <x:c r="N693" s="2" t="n">
        <x:f>MAX(0,ROUND('기준스탯 72종'!H35-V693-AD693,0))</x:f>
        <x:v>1</x:v>
      </x:c>
      <x:c r="O693" s="2" t="n">
        <x:f>MAX(0,ROUND('기준스탯 72종'!I35-W693-AE693,0))</x:f>
        <x:v>2</x:v>
      </x:c>
      <x:c r="P693" s="2" t="n">
        <x:f>MAX(0,ROUND('기준스탯 72종'!J35-X693-AF693,0))</x:f>
        <x:v>1</x:v>
      </x:c>
      <x:c r="Q693" s="2" t="n">
        <x:f>MAX(0,ROUND('기준스탯 72종'!K35-Y693-AG693,0))</x:f>
        <x:v>1</x:v>
      </x:c>
      <x:c r="R693" s="15" t="n">
        <x:f>'기준스탯 72종'!D35*G693</x:f>
        <x:v>3.9199999999999995</x:v>
      </x:c>
      <x:c r="S693" s="15" t="n">
        <x:f>'기준스탯 72종'!E35*G693</x:f>
        <x:v>4.4799999999999995</x:v>
      </x:c>
      <x:c r="T693" s="15" t="n">
        <x:f>'기준스탯 72종'!F35*G693</x:f>
        <x:v>4.4799999999999995</x:v>
      </x:c>
      <x:c r="U693" s="15" t="n">
        <x:f>'기준스탯 72종'!G35*G693</x:f>
        <x:v>3.9199999999999995</x:v>
      </x:c>
      <x:c r="V693" s="15" t="n">
        <x:f>'기준스탯 72종'!H35*G693</x:f>
        <x:v>2.2399999999999998</x:v>
      </x:c>
      <x:c r="W693" s="15" t="n">
        <x:f>'기준스탯 72종'!I35*G693</x:f>
        <x:v>3.3599999999999994</x:v>
      </x:c>
      <x:c r="X693" s="15" t="n">
        <x:f>'기준스탯 72종'!J35*G693</x:f>
        <x:v>1.6799999999999997</x:v>
      </x:c>
      <x:c r="Y693" s="15" t="n">
        <x:f>'기준스탯 72종'!K35*G693</x:f>
        <x:v>1.6799999999999997</x:v>
      </x:c>
      <x:c r="Z693" s="15" t="n">
        <x:f>'기준스탯 72종'!D35*H693</x:f>
        <x:v>0.8400000000000002</x:v>
      </x:c>
      <x:c r="AA693" s="15" t="n">
        <x:f>'기준스탯 72종'!E35*H693</x:f>
        <x:v>0.9600000000000002</x:v>
      </x:c>
      <x:c r="AB693" s="15" t="n">
        <x:f>'기준스탯 72종'!F35*H693</x:f>
        <x:v>0.9600000000000002</x:v>
      </x:c>
      <x:c r="AC693" s="15" t="n">
        <x:f>'기준스탯 72종'!G35*H693</x:f>
        <x:v>0.8400000000000002</x:v>
      </x:c>
      <x:c r="AD693" s="15" t="n">
        <x:f>'기준스탯 72종'!H35*H693</x:f>
        <x:v>0.4800000000000001</x:v>
      </x:c>
      <x:c r="AE693" s="15" t="n">
        <x:f>'기준스탯 72종'!I35*H693</x:f>
        <x:v>0.7200000000000002</x:v>
      </x:c>
      <x:c r="AF693" s="15" t="n">
        <x:f>'기준스탯 72종'!J35*H693</x:f>
        <x:v>0.3600000000000001</x:v>
      </x:c>
      <x:c r="AG693" s="15" t="n">
        <x:f>'기준스탯 72종'!K35*H693</x:f>
        <x:v>0.3600000000000001</x:v>
      </x:c>
    </x:row>
    <x:row r="694" ht="28" customHeight="1">
      <x:c r="A694" s="2" t="n">
        <x:v>687</x:v>
      </x:c>
      <x:c r="B694" s="2" t="n">
        <x:v>28</x:v>
      </x:c>
      <x:c r="C694" s="2" t="str">
        <x:v>사자자리</x:v>
      </x:c>
      <x:c r="D694" s="2" t="str">
        <x:v>정령사</x:v>
      </x:c>
      <x:c r="E694" s="2" t="n">
        <x:v>2</x:v>
      </x:c>
      <x:c r="F694" s="2" t="n">
        <x:v>3</x:v>
      </x:c>
      <x:c r="G694" s="14" t="n">
        <x:f>('레벨 계산식'!$E$4-E694)*'레벨 계산식'!$B$5</x:f>
        <x:v>0.41999999999999993</x:v>
      </x:c>
      <x:c r="H694" s="14" t="n">
        <x:f>('등급 계산식'!$E$4-F694)*'등급 계산식'!$B$5</x:f>
        <x:v>0.12000000000000002</x:v>
      </x:c>
      <x:c r="I694" s="14" t="n">
        <x:f>1-G694-H694</x:f>
        <x:v>0.4600000000000001</x:v>
      </x:c>
      <x:c r="J694" s="2" t="n">
        <x:f>MAX(1,ROUND('기준스탯 72종'!D35-R694-Z694,0))</x:f>
        <x:v>3</x:v>
      </x:c>
      <x:c r="K694" s="2" t="n">
        <x:f>MAX(1,ROUND('기준스탯 72종'!E35-S694-AA694,0))</x:f>
        <x:v>4</x:v>
      </x:c>
      <x:c r="L694" s="2" t="n">
        <x:f>MAX(1,ROUND('기준스탯 72종'!F35-T694-AB694,0))</x:f>
        <x:v>4</x:v>
      </x:c>
      <x:c r="M694" s="2" t="n">
        <x:f>MAX(1,ROUND('기준스탯 72종'!G35-U694-AC694,0))</x:f>
        <x:v>3</x:v>
      </x:c>
      <x:c r="N694" s="2" t="n">
        <x:f>MAX(0,ROUND('기준스탯 72종'!H35-V694-AD694,0))</x:f>
        <x:v>2</x:v>
      </x:c>
      <x:c r="O694" s="2" t="n">
        <x:f>MAX(0,ROUND('기준스탯 72종'!I35-W694-AE694,0))</x:f>
        <x:v>3</x:v>
      </x:c>
      <x:c r="P694" s="2" t="n">
        <x:f>MAX(0,ROUND('기준스탯 72종'!J35-X694-AF694,0))</x:f>
        <x:v>1</x:v>
      </x:c>
      <x:c r="Q694" s="2" t="n">
        <x:f>MAX(0,ROUND('기준스탯 72종'!K35-Y694-AG694,0))</x:f>
        <x:v>1</x:v>
      </x:c>
      <x:c r="R694" s="15" t="n">
        <x:f>'기준스탯 72종'!D35*G694</x:f>
        <x:v>2.9399999999999995</x:v>
      </x:c>
      <x:c r="S694" s="15" t="n">
        <x:f>'기준스탯 72종'!E35*G694</x:f>
        <x:v>3.3599999999999994</x:v>
      </x:c>
      <x:c r="T694" s="15" t="n">
        <x:f>'기준스탯 72종'!F35*G694</x:f>
        <x:v>3.3599999999999994</x:v>
      </x:c>
      <x:c r="U694" s="15" t="n">
        <x:f>'기준스탯 72종'!G35*G694</x:f>
        <x:v>2.9399999999999995</x:v>
      </x:c>
      <x:c r="V694" s="15" t="n">
        <x:f>'기준스탯 72종'!H35*G694</x:f>
        <x:v>1.6799999999999997</x:v>
      </x:c>
      <x:c r="W694" s="15" t="n">
        <x:f>'기준스탯 72종'!I35*G694</x:f>
        <x:v>2.5199999999999996</x:v>
      </x:c>
      <x:c r="X694" s="15" t="n">
        <x:f>'기준스탯 72종'!J35*G694</x:f>
        <x:v>1.2599999999999998</x:v>
      </x:c>
      <x:c r="Y694" s="15" t="n">
        <x:f>'기준스탯 72종'!K35*G694</x:f>
        <x:v>1.2599999999999998</x:v>
      </x:c>
      <x:c r="Z694" s="15" t="n">
        <x:f>'기준스탯 72종'!D35*H694</x:f>
        <x:v>0.8400000000000002</x:v>
      </x:c>
      <x:c r="AA694" s="15" t="n">
        <x:f>'기준스탯 72종'!E35*H694</x:f>
        <x:v>0.9600000000000002</x:v>
      </x:c>
      <x:c r="AB694" s="15" t="n">
        <x:f>'기준스탯 72종'!F35*H694</x:f>
        <x:v>0.9600000000000002</x:v>
      </x:c>
      <x:c r="AC694" s="15" t="n">
        <x:f>'기준스탯 72종'!G35*H694</x:f>
        <x:v>0.8400000000000002</x:v>
      </x:c>
      <x:c r="AD694" s="15" t="n">
        <x:f>'기준스탯 72종'!H35*H694</x:f>
        <x:v>0.4800000000000001</x:v>
      </x:c>
      <x:c r="AE694" s="15" t="n">
        <x:f>'기준스탯 72종'!I35*H694</x:f>
        <x:v>0.7200000000000002</x:v>
      </x:c>
      <x:c r="AF694" s="15" t="n">
        <x:f>'기준스탯 72종'!J35*H694</x:f>
        <x:v>0.3600000000000001</x:v>
      </x:c>
      <x:c r="AG694" s="15" t="n">
        <x:f>'기준스탯 72종'!K35*H694</x:f>
        <x:v>0.3600000000000001</x:v>
      </x:c>
    </x:row>
    <x:row r="695" ht="28" customHeight="1">
      <x:c r="A695" s="2" t="n">
        <x:v>688</x:v>
      </x:c>
      <x:c r="B695" s="2" t="n">
        <x:v>28</x:v>
      </x:c>
      <x:c r="C695" s="2" t="str">
        <x:v>사자자리</x:v>
      </x:c>
      <x:c r="D695" s="2" t="str">
        <x:v>정령사</x:v>
      </x:c>
      <x:c r="E695" s="2" t="n">
        <x:v>3</x:v>
      </x:c>
      <x:c r="F695" s="2" t="n">
        <x:v>3</x:v>
      </x:c>
      <x:c r="G695" s="14" t="n">
        <x:f>('레벨 계산식'!$E$4-E695)*'레벨 계산식'!$B$5</x:f>
        <x:v>0.27999999999999997</x:v>
      </x:c>
      <x:c r="H695" s="14" t="n">
        <x:f>('등급 계산식'!$E$4-F695)*'등급 계산식'!$B$5</x:f>
        <x:v>0.12000000000000002</x:v>
      </x:c>
      <x:c r="I695" s="14" t="n">
        <x:f>1-G695-H695</x:f>
        <x:v>0.6</x:v>
      </x:c>
      <x:c r="J695" s="2" t="n">
        <x:f>MAX(1,ROUND('기준스탯 72종'!D35-R695-Z695,0))</x:f>
        <x:v>4</x:v>
      </x:c>
      <x:c r="K695" s="2" t="n">
        <x:f>MAX(1,ROUND('기준스탯 72종'!E35-S695-AA695,0))</x:f>
        <x:v>5</x:v>
      </x:c>
      <x:c r="L695" s="2" t="n">
        <x:f>MAX(1,ROUND('기준스탯 72종'!F35-T695-AB695,0))</x:f>
        <x:v>5</x:v>
      </x:c>
      <x:c r="M695" s="2" t="n">
        <x:f>MAX(1,ROUND('기준스탯 72종'!G35-U695-AC695,0))</x:f>
        <x:v>4</x:v>
      </x:c>
      <x:c r="N695" s="2" t="n">
        <x:f>MAX(0,ROUND('기준스탯 72종'!H35-V695-AD695,0))</x:f>
        <x:v>2</x:v>
      </x:c>
      <x:c r="O695" s="2" t="n">
        <x:f>MAX(0,ROUND('기준스탯 72종'!I35-W695-AE695,0))</x:f>
        <x:v>4</x:v>
      </x:c>
      <x:c r="P695" s="2" t="n">
        <x:f>MAX(0,ROUND('기준스탯 72종'!J35-X695-AF695,0))</x:f>
        <x:v>2</x:v>
      </x:c>
      <x:c r="Q695" s="2" t="n">
        <x:f>MAX(0,ROUND('기준스탯 72종'!K35-Y695-AG695,0))</x:f>
        <x:v>2</x:v>
      </x:c>
      <x:c r="R695" s="15" t="n">
        <x:f>'기준스탯 72종'!D35*G695</x:f>
        <x:v>1.9599999999999997</x:v>
      </x:c>
      <x:c r="S695" s="15" t="n">
        <x:f>'기준스탯 72종'!E35*G695</x:f>
        <x:v>2.2399999999999998</x:v>
      </x:c>
      <x:c r="T695" s="15" t="n">
        <x:f>'기준스탯 72종'!F35*G695</x:f>
        <x:v>2.2399999999999998</x:v>
      </x:c>
      <x:c r="U695" s="15" t="n">
        <x:f>'기준스탯 72종'!G35*G695</x:f>
        <x:v>1.9599999999999997</x:v>
      </x:c>
      <x:c r="V695" s="15" t="n">
        <x:f>'기준스탯 72종'!H35*G695</x:f>
        <x:v>1.1199999999999999</x:v>
      </x:c>
      <x:c r="W695" s="15" t="n">
        <x:f>'기준스탯 72종'!I35*G695</x:f>
        <x:v>1.6799999999999997</x:v>
      </x:c>
      <x:c r="X695" s="15" t="n">
        <x:f>'기준스탯 72종'!J35*G695</x:f>
        <x:v>0.8399999999999999</x:v>
      </x:c>
      <x:c r="Y695" s="15" t="n">
        <x:f>'기준스탯 72종'!K35*G695</x:f>
        <x:v>0.8399999999999999</x:v>
      </x:c>
      <x:c r="Z695" s="15" t="n">
        <x:f>'기준스탯 72종'!D35*H695</x:f>
        <x:v>0.8400000000000002</x:v>
      </x:c>
      <x:c r="AA695" s="15" t="n">
        <x:f>'기준스탯 72종'!E35*H695</x:f>
        <x:v>0.9600000000000002</x:v>
      </x:c>
      <x:c r="AB695" s="15" t="n">
        <x:f>'기준스탯 72종'!F35*H695</x:f>
        <x:v>0.9600000000000002</x:v>
      </x:c>
      <x:c r="AC695" s="15" t="n">
        <x:f>'기준스탯 72종'!G35*H695</x:f>
        <x:v>0.8400000000000002</x:v>
      </x:c>
      <x:c r="AD695" s="15" t="n">
        <x:f>'기준스탯 72종'!H35*H695</x:f>
        <x:v>0.4800000000000001</x:v>
      </x:c>
      <x:c r="AE695" s="15" t="n">
        <x:f>'기준스탯 72종'!I35*H695</x:f>
        <x:v>0.7200000000000002</x:v>
      </x:c>
      <x:c r="AF695" s="15" t="n">
        <x:f>'기준스탯 72종'!J35*H695</x:f>
        <x:v>0.3600000000000001</x:v>
      </x:c>
      <x:c r="AG695" s="15" t="n">
        <x:f>'기준스탯 72종'!K35*H695</x:f>
        <x:v>0.3600000000000001</x:v>
      </x:c>
    </x:row>
    <x:row r="696" ht="28" customHeight="1">
      <x:c r="A696" s="2" t="n">
        <x:v>689</x:v>
      </x:c>
      <x:c r="B696" s="2" t="n">
        <x:v>28</x:v>
      </x:c>
      <x:c r="C696" s="2" t="str">
        <x:v>사자자리</x:v>
      </x:c>
      <x:c r="D696" s="2" t="str">
        <x:v>정령사</x:v>
      </x:c>
      <x:c r="E696" s="2" t="n">
        <x:v>4</x:v>
      </x:c>
      <x:c r="F696" s="2" t="n">
        <x:v>3</x:v>
      </x:c>
      <x:c r="G696" s="14" t="n">
        <x:f>('레벨 계산식'!$E$4-E696)*'레벨 계산식'!$B$5</x:f>
        <x:v>0.13999999999999999</x:v>
      </x:c>
      <x:c r="H696" s="14" t="n">
        <x:f>('등급 계산식'!$E$4-F696)*'등급 계산식'!$B$5</x:f>
        <x:v>0.12000000000000002</x:v>
      </x:c>
      <x:c r="I696" s="14" t="n">
        <x:f>1-G696-H696</x:f>
        <x:v>0.74</x:v>
      </x:c>
      <x:c r="J696" s="2" t="n">
        <x:f>MAX(1,ROUND('기준스탯 72종'!D35-R696-Z696,0))</x:f>
        <x:v>5</x:v>
      </x:c>
      <x:c r="K696" s="2" t="n">
        <x:f>MAX(1,ROUND('기준스탯 72종'!E35-S696-AA696,0))</x:f>
        <x:v>6</x:v>
      </x:c>
      <x:c r="L696" s="2" t="n">
        <x:f>MAX(1,ROUND('기준스탯 72종'!F35-T696-AB696,0))</x:f>
        <x:v>6</x:v>
      </x:c>
      <x:c r="M696" s="2" t="n">
        <x:f>MAX(1,ROUND('기준스탯 72종'!G35-U696-AC696,0))</x:f>
        <x:v>5</x:v>
      </x:c>
      <x:c r="N696" s="2" t="n">
        <x:f>MAX(0,ROUND('기준스탯 72종'!H35-V696-AD696,0))</x:f>
        <x:v>3</x:v>
      </x:c>
      <x:c r="O696" s="2" t="n">
        <x:f>MAX(0,ROUND('기준스탯 72종'!I35-W696-AE696,0))</x:f>
        <x:v>4</x:v>
      </x:c>
      <x:c r="P696" s="2" t="n">
        <x:f>MAX(0,ROUND('기준스탯 72종'!J35-X696-AF696,0))</x:f>
        <x:v>2</x:v>
      </x:c>
      <x:c r="Q696" s="2" t="n">
        <x:f>MAX(0,ROUND('기준스탯 72종'!K35-Y696-AG696,0))</x:f>
        <x:v>2</x:v>
      </x:c>
      <x:c r="R696" s="15" t="n">
        <x:f>'기준스탯 72종'!D35*G696</x:f>
        <x:v>0.9799999999999999</x:v>
      </x:c>
      <x:c r="S696" s="15" t="n">
        <x:f>'기준스탯 72종'!E35*G696</x:f>
        <x:v>1.1199999999999999</x:v>
      </x:c>
      <x:c r="T696" s="15" t="n">
        <x:f>'기준스탯 72종'!F35*G696</x:f>
        <x:v>1.1199999999999999</x:v>
      </x:c>
      <x:c r="U696" s="15" t="n">
        <x:f>'기준스탯 72종'!G35*G696</x:f>
        <x:v>0.9799999999999999</x:v>
      </x:c>
      <x:c r="V696" s="15" t="n">
        <x:f>'기준스탯 72종'!H35*G696</x:f>
        <x:v>0.5599999999999999</x:v>
      </x:c>
      <x:c r="W696" s="15" t="n">
        <x:f>'기준스탯 72종'!I35*G696</x:f>
        <x:v>0.8399999999999999</x:v>
      </x:c>
      <x:c r="X696" s="15" t="n">
        <x:f>'기준스탯 72종'!J35*G696</x:f>
        <x:v>0.41999999999999993</x:v>
      </x:c>
      <x:c r="Y696" s="15" t="n">
        <x:f>'기준스탯 72종'!K35*G696</x:f>
        <x:v>0.41999999999999993</x:v>
      </x:c>
      <x:c r="Z696" s="15" t="n">
        <x:f>'기준스탯 72종'!D35*H696</x:f>
        <x:v>0.8400000000000002</x:v>
      </x:c>
      <x:c r="AA696" s="15" t="n">
        <x:f>'기준스탯 72종'!E35*H696</x:f>
        <x:v>0.9600000000000002</x:v>
      </x:c>
      <x:c r="AB696" s="15" t="n">
        <x:f>'기준스탯 72종'!F35*H696</x:f>
        <x:v>0.9600000000000002</x:v>
      </x:c>
      <x:c r="AC696" s="15" t="n">
        <x:f>'기준스탯 72종'!G35*H696</x:f>
        <x:v>0.8400000000000002</x:v>
      </x:c>
      <x:c r="AD696" s="15" t="n">
        <x:f>'기준스탯 72종'!H35*H696</x:f>
        <x:v>0.4800000000000001</x:v>
      </x:c>
      <x:c r="AE696" s="15" t="n">
        <x:f>'기준스탯 72종'!I35*H696</x:f>
        <x:v>0.7200000000000002</x:v>
      </x:c>
      <x:c r="AF696" s="15" t="n">
        <x:f>'기준스탯 72종'!J35*H696</x:f>
        <x:v>0.3600000000000001</x:v>
      </x:c>
      <x:c r="AG696" s="15" t="n">
        <x:f>'기준스탯 72종'!K35*H696</x:f>
        <x:v>0.3600000000000001</x:v>
      </x:c>
    </x:row>
    <x:row r="697" ht="28" customHeight="1">
      <x:c r="A697" s="2" t="n">
        <x:v>690</x:v>
      </x:c>
      <x:c r="B697" s="2" t="n">
        <x:v>28</x:v>
      </x:c>
      <x:c r="C697" s="2" t="str">
        <x:v>사자자리</x:v>
      </x:c>
      <x:c r="D697" s="2" t="str">
        <x:v>정령사</x:v>
      </x:c>
      <x:c r="E697" s="2" t="n">
        <x:v>5</x:v>
      </x:c>
      <x:c r="F697" s="2" t="n">
        <x:v>3</x:v>
      </x:c>
      <x:c r="G697" s="14" t="n">
        <x:f>('레벨 계산식'!$E$4-E697)*'레벨 계산식'!$B$5</x:f>
        <x:v>0</x:v>
      </x:c>
      <x:c r="H697" s="14" t="n">
        <x:f>('등급 계산식'!$E$4-F697)*'등급 계산식'!$B$5</x:f>
        <x:v>0.12000000000000002</x:v>
      </x:c>
      <x:c r="I697" s="14" t="n">
        <x:f>1-G697-H697</x:f>
        <x:v>0.88</x:v>
      </x:c>
      <x:c r="J697" s="2" t="n">
        <x:f>MAX(1,ROUND('기준스탯 72종'!D35-R697-Z697,0))</x:f>
        <x:v>6</x:v>
      </x:c>
      <x:c r="K697" s="2" t="n">
        <x:f>MAX(1,ROUND('기준스탯 72종'!E35-S697-AA697,0))</x:f>
        <x:v>7</x:v>
      </x:c>
      <x:c r="L697" s="2" t="n">
        <x:f>MAX(1,ROUND('기준스탯 72종'!F35-T697-AB697,0))</x:f>
        <x:v>7</x:v>
      </x:c>
      <x:c r="M697" s="2" t="n">
        <x:f>MAX(1,ROUND('기준스탯 72종'!G35-U697-AC697,0))</x:f>
        <x:v>6</x:v>
      </x:c>
      <x:c r="N697" s="2" t="n">
        <x:f>MAX(0,ROUND('기준스탯 72종'!H35-V697-AD697,0))</x:f>
        <x:v>4</x:v>
      </x:c>
      <x:c r="O697" s="2" t="n">
        <x:f>MAX(0,ROUND('기준스탯 72종'!I35-W697-AE697,0))</x:f>
        <x:v>5</x:v>
      </x:c>
      <x:c r="P697" s="2" t="n">
        <x:f>MAX(0,ROUND('기준스탯 72종'!J35-X697-AF697,0))</x:f>
        <x:v>3</x:v>
      </x:c>
      <x:c r="Q697" s="2" t="n">
        <x:f>MAX(0,ROUND('기준스탯 72종'!K35-Y697-AG697,0))</x:f>
        <x:v>3</x:v>
      </x:c>
      <x:c r="R697" s="15" t="n">
        <x:f>'기준스탯 72종'!D35*G697</x:f>
        <x:v>0</x:v>
      </x:c>
      <x:c r="S697" s="15" t="n">
        <x:f>'기준스탯 72종'!E35*G697</x:f>
        <x:v>0</x:v>
      </x:c>
      <x:c r="T697" s="15" t="n">
        <x:f>'기준스탯 72종'!F35*G697</x:f>
        <x:v>0</x:v>
      </x:c>
      <x:c r="U697" s="15" t="n">
        <x:f>'기준스탯 72종'!G35*G697</x:f>
        <x:v>0</x:v>
      </x:c>
      <x:c r="V697" s="15" t="n">
        <x:f>'기준스탯 72종'!H35*G697</x:f>
        <x:v>0</x:v>
      </x:c>
      <x:c r="W697" s="15" t="n">
        <x:f>'기준스탯 72종'!I35*G697</x:f>
        <x:v>0</x:v>
      </x:c>
      <x:c r="X697" s="15" t="n">
        <x:f>'기준스탯 72종'!J35*G697</x:f>
        <x:v>0</x:v>
      </x:c>
      <x:c r="Y697" s="15" t="n">
        <x:f>'기준스탯 72종'!K35*G697</x:f>
        <x:v>0</x:v>
      </x:c>
      <x:c r="Z697" s="15" t="n">
        <x:f>'기준스탯 72종'!D35*H697</x:f>
        <x:v>0.8400000000000002</x:v>
      </x:c>
      <x:c r="AA697" s="15" t="n">
        <x:f>'기준스탯 72종'!E35*H697</x:f>
        <x:v>0.9600000000000002</x:v>
      </x:c>
      <x:c r="AB697" s="15" t="n">
        <x:f>'기준스탯 72종'!F35*H697</x:f>
        <x:v>0.9600000000000002</x:v>
      </x:c>
      <x:c r="AC697" s="15" t="n">
        <x:f>'기준스탯 72종'!G35*H697</x:f>
        <x:v>0.8400000000000002</x:v>
      </x:c>
      <x:c r="AD697" s="15" t="n">
        <x:f>'기준스탯 72종'!H35*H697</x:f>
        <x:v>0.4800000000000001</x:v>
      </x:c>
      <x:c r="AE697" s="15" t="n">
        <x:f>'기준스탯 72종'!I35*H697</x:f>
        <x:v>0.7200000000000002</x:v>
      </x:c>
      <x:c r="AF697" s="15" t="n">
        <x:f>'기준스탯 72종'!J35*H697</x:f>
        <x:v>0.3600000000000001</x:v>
      </x:c>
      <x:c r="AG697" s="15" t="n">
        <x:f>'기준스탯 72종'!K35*H697</x:f>
        <x:v>0.3600000000000001</x:v>
      </x:c>
    </x:row>
    <x:row r="698" ht="28" customHeight="1">
      <x:c r="A698" s="2" t="n">
        <x:v>691</x:v>
      </x:c>
      <x:c r="B698" s="2" t="n">
        <x:v>28</x:v>
      </x:c>
      <x:c r="C698" s="2" t="str">
        <x:v>사자자리</x:v>
      </x:c>
      <x:c r="D698" s="2" t="str">
        <x:v>정령사</x:v>
      </x:c>
      <x:c r="E698" s="2" t="n">
        <x:v>1</x:v>
      </x:c>
      <x:c r="F698" s="2" t="n">
        <x:v>4</x:v>
      </x:c>
      <x:c r="G698" s="14" t="n">
        <x:f>('레벨 계산식'!$E$4-E698)*'레벨 계산식'!$B$5</x:f>
        <x:v>0.5599999999999999</x:v>
      </x:c>
      <x:c r="H698" s="14" t="n">
        <x:f>('등급 계산식'!$E$4-F698)*'등급 계산식'!$B$5</x:f>
        <x:v>0.06000000000000001</x:v>
      </x:c>
      <x:c r="I698" s="14" t="n">
        <x:f>1-G698-H698</x:f>
        <x:v>0.38000000000000006</x:v>
      </x:c>
      <x:c r="J698" s="2" t="n">
        <x:f>MAX(1,ROUND('기준스탯 72종'!D35-R698-Z698,0))</x:f>
        <x:v>3</x:v>
      </x:c>
      <x:c r="K698" s="2" t="n">
        <x:f>MAX(1,ROUND('기준스탯 72종'!E35-S698-AA698,0))</x:f>
        <x:v>3</x:v>
      </x:c>
      <x:c r="L698" s="2" t="n">
        <x:f>MAX(1,ROUND('기준스탯 72종'!F35-T698-AB698,0))</x:f>
        <x:v>3</x:v>
      </x:c>
      <x:c r="M698" s="2" t="n">
        <x:f>MAX(1,ROUND('기준스탯 72종'!G35-U698-AC698,0))</x:f>
        <x:v>3</x:v>
      </x:c>
      <x:c r="N698" s="2" t="n">
        <x:f>MAX(0,ROUND('기준스탯 72종'!H35-V698-AD698,0))</x:f>
        <x:v>2</x:v>
      </x:c>
      <x:c r="O698" s="2" t="n">
        <x:f>MAX(0,ROUND('기준스탯 72종'!I35-W698-AE698,0))</x:f>
        <x:v>2</x:v>
      </x:c>
      <x:c r="P698" s="2" t="n">
        <x:f>MAX(0,ROUND('기준스탯 72종'!J35-X698-AF698,0))</x:f>
        <x:v>1</x:v>
      </x:c>
      <x:c r="Q698" s="2" t="n">
        <x:f>MAX(0,ROUND('기준스탯 72종'!K35-Y698-AG698,0))</x:f>
        <x:v>1</x:v>
      </x:c>
      <x:c r="R698" s="15" t="n">
        <x:f>'기준스탯 72종'!D35*G698</x:f>
        <x:v>3.9199999999999995</x:v>
      </x:c>
      <x:c r="S698" s="15" t="n">
        <x:f>'기준스탯 72종'!E35*G698</x:f>
        <x:v>4.4799999999999995</x:v>
      </x:c>
      <x:c r="T698" s="15" t="n">
        <x:f>'기준스탯 72종'!F35*G698</x:f>
        <x:v>4.4799999999999995</x:v>
      </x:c>
      <x:c r="U698" s="15" t="n">
        <x:f>'기준스탯 72종'!G35*G698</x:f>
        <x:v>3.9199999999999995</x:v>
      </x:c>
      <x:c r="V698" s="15" t="n">
        <x:f>'기준스탯 72종'!H35*G698</x:f>
        <x:v>2.2399999999999998</x:v>
      </x:c>
      <x:c r="W698" s="15" t="n">
        <x:f>'기준스탯 72종'!I35*G698</x:f>
        <x:v>3.3599999999999994</x:v>
      </x:c>
      <x:c r="X698" s="15" t="n">
        <x:f>'기준스탯 72종'!J35*G698</x:f>
        <x:v>1.6799999999999997</x:v>
      </x:c>
      <x:c r="Y698" s="15" t="n">
        <x:f>'기준스탯 72종'!K35*G698</x:f>
        <x:v>1.6799999999999997</x:v>
      </x:c>
      <x:c r="Z698" s="15" t="n">
        <x:f>'기준스탯 72종'!D35*H698</x:f>
        <x:v>0.4200000000000001</x:v>
      </x:c>
      <x:c r="AA698" s="15" t="n">
        <x:f>'기준스탯 72종'!E35*H698</x:f>
        <x:v>0.4800000000000001</x:v>
      </x:c>
      <x:c r="AB698" s="15" t="n">
        <x:f>'기준스탯 72종'!F35*H698</x:f>
        <x:v>0.4800000000000001</x:v>
      </x:c>
      <x:c r="AC698" s="15" t="n">
        <x:f>'기준스탯 72종'!G35*H698</x:f>
        <x:v>0.4200000000000001</x:v>
      </x:c>
      <x:c r="AD698" s="15" t="n">
        <x:f>'기준스탯 72종'!H35*H698</x:f>
        <x:v>0.24000000000000005</x:v>
      </x:c>
      <x:c r="AE698" s="15" t="n">
        <x:f>'기준스탯 72종'!I35*H698</x:f>
        <x:v>0.3600000000000001</x:v>
      </x:c>
      <x:c r="AF698" s="15" t="n">
        <x:f>'기준스탯 72종'!J35*H698</x:f>
        <x:v>0.18000000000000005</x:v>
      </x:c>
      <x:c r="AG698" s="15" t="n">
        <x:f>'기준스탯 72종'!K35*H698</x:f>
        <x:v>0.18000000000000005</x:v>
      </x:c>
    </x:row>
    <x:row r="699" ht="28" customHeight="1">
      <x:c r="A699" s="2" t="n">
        <x:v>692</x:v>
      </x:c>
      <x:c r="B699" s="2" t="n">
        <x:v>28</x:v>
      </x:c>
      <x:c r="C699" s="2" t="str">
        <x:v>사자자리</x:v>
      </x:c>
      <x:c r="D699" s="2" t="str">
        <x:v>정령사</x:v>
      </x:c>
      <x:c r="E699" s="2" t="n">
        <x:v>2</x:v>
      </x:c>
      <x:c r="F699" s="2" t="n">
        <x:v>4</x:v>
      </x:c>
      <x:c r="G699" s="14" t="n">
        <x:f>('레벨 계산식'!$E$4-E699)*'레벨 계산식'!$B$5</x:f>
        <x:v>0.41999999999999993</x:v>
      </x:c>
      <x:c r="H699" s="14" t="n">
        <x:f>('등급 계산식'!$E$4-F699)*'등급 계산식'!$B$5</x:f>
        <x:v>0.06000000000000001</x:v>
      </x:c>
      <x:c r="I699" s="14" t="n">
        <x:f>1-G699-H699</x:f>
        <x:v>0.52</x:v>
      </x:c>
      <x:c r="J699" s="2" t="n">
        <x:f>MAX(1,ROUND('기준스탯 72종'!D35-R699-Z699,0))</x:f>
        <x:v>4</x:v>
      </x:c>
      <x:c r="K699" s="2" t="n">
        <x:f>MAX(1,ROUND('기준스탯 72종'!E35-S699-AA699,0))</x:f>
        <x:v>4</x:v>
      </x:c>
      <x:c r="L699" s="2" t="n">
        <x:f>MAX(1,ROUND('기준스탯 72종'!F35-T699-AB699,0))</x:f>
        <x:v>4</x:v>
      </x:c>
      <x:c r="M699" s="2" t="n">
        <x:f>MAX(1,ROUND('기준스탯 72종'!G35-U699-AC699,0))</x:f>
        <x:v>4</x:v>
      </x:c>
      <x:c r="N699" s="2" t="n">
        <x:f>MAX(0,ROUND('기준스탯 72종'!H35-V699-AD699,0))</x:f>
        <x:v>2</x:v>
      </x:c>
      <x:c r="O699" s="2" t="n">
        <x:f>MAX(0,ROUND('기준스탯 72종'!I35-W699-AE699,0))</x:f>
        <x:v>3</x:v>
      </x:c>
      <x:c r="P699" s="2" t="n">
        <x:f>MAX(0,ROUND('기준스탯 72종'!J35-X699-AF699,0))</x:f>
        <x:v>2</x:v>
      </x:c>
      <x:c r="Q699" s="2" t="n">
        <x:f>MAX(0,ROUND('기준스탯 72종'!K35-Y699-AG699,0))</x:f>
        <x:v>2</x:v>
      </x:c>
      <x:c r="R699" s="15" t="n">
        <x:f>'기준스탯 72종'!D35*G699</x:f>
        <x:v>2.9399999999999995</x:v>
      </x:c>
      <x:c r="S699" s="15" t="n">
        <x:f>'기준스탯 72종'!E35*G699</x:f>
        <x:v>3.3599999999999994</x:v>
      </x:c>
      <x:c r="T699" s="15" t="n">
        <x:f>'기준스탯 72종'!F35*G699</x:f>
        <x:v>3.3599999999999994</x:v>
      </x:c>
      <x:c r="U699" s="15" t="n">
        <x:f>'기준스탯 72종'!G35*G699</x:f>
        <x:v>2.9399999999999995</x:v>
      </x:c>
      <x:c r="V699" s="15" t="n">
        <x:f>'기준스탯 72종'!H35*G699</x:f>
        <x:v>1.6799999999999997</x:v>
      </x:c>
      <x:c r="W699" s="15" t="n">
        <x:f>'기준스탯 72종'!I35*G699</x:f>
        <x:v>2.5199999999999996</x:v>
      </x:c>
      <x:c r="X699" s="15" t="n">
        <x:f>'기준스탯 72종'!J35*G699</x:f>
        <x:v>1.2599999999999998</x:v>
      </x:c>
      <x:c r="Y699" s="15" t="n">
        <x:f>'기준스탯 72종'!K35*G699</x:f>
        <x:v>1.2599999999999998</x:v>
      </x:c>
      <x:c r="Z699" s="15" t="n">
        <x:f>'기준스탯 72종'!D35*H699</x:f>
        <x:v>0.4200000000000001</x:v>
      </x:c>
      <x:c r="AA699" s="15" t="n">
        <x:f>'기준스탯 72종'!E35*H699</x:f>
        <x:v>0.4800000000000001</x:v>
      </x:c>
      <x:c r="AB699" s="15" t="n">
        <x:f>'기준스탯 72종'!F35*H699</x:f>
        <x:v>0.4800000000000001</x:v>
      </x:c>
      <x:c r="AC699" s="15" t="n">
        <x:f>'기준스탯 72종'!G35*H699</x:f>
        <x:v>0.4200000000000001</x:v>
      </x:c>
      <x:c r="AD699" s="15" t="n">
        <x:f>'기준스탯 72종'!H35*H699</x:f>
        <x:v>0.24000000000000005</x:v>
      </x:c>
      <x:c r="AE699" s="15" t="n">
        <x:f>'기준스탯 72종'!I35*H699</x:f>
        <x:v>0.3600000000000001</x:v>
      </x:c>
      <x:c r="AF699" s="15" t="n">
        <x:f>'기준스탯 72종'!J35*H699</x:f>
        <x:v>0.18000000000000005</x:v>
      </x:c>
      <x:c r="AG699" s="15" t="n">
        <x:f>'기준스탯 72종'!K35*H699</x:f>
        <x:v>0.18000000000000005</x:v>
      </x:c>
    </x:row>
    <x:row r="700" ht="28" customHeight="1">
      <x:c r="A700" s="2" t="n">
        <x:v>693</x:v>
      </x:c>
      <x:c r="B700" s="2" t="n">
        <x:v>28</x:v>
      </x:c>
      <x:c r="C700" s="2" t="str">
        <x:v>사자자리</x:v>
      </x:c>
      <x:c r="D700" s="2" t="str">
        <x:v>정령사</x:v>
      </x:c>
      <x:c r="E700" s="2" t="n">
        <x:v>3</x:v>
      </x:c>
      <x:c r="F700" s="2" t="n">
        <x:v>4</x:v>
      </x:c>
      <x:c r="G700" s="14" t="n">
        <x:f>('레벨 계산식'!$E$4-E700)*'레벨 계산식'!$B$5</x:f>
        <x:v>0.27999999999999997</x:v>
      </x:c>
      <x:c r="H700" s="14" t="n">
        <x:f>('등급 계산식'!$E$4-F700)*'등급 계산식'!$B$5</x:f>
        <x:v>0.06000000000000001</x:v>
      </x:c>
      <x:c r="I700" s="14" t="n">
        <x:f>1-G700-H700</x:f>
        <x:v>0.6599999999999999</x:v>
      </x:c>
      <x:c r="J700" s="2" t="n">
        <x:f>MAX(1,ROUND('기준스탯 72종'!D35-R700-Z700,0))</x:f>
        <x:v>5</x:v>
      </x:c>
      <x:c r="K700" s="2" t="n">
        <x:f>MAX(1,ROUND('기준스탯 72종'!E35-S700-AA700,0))</x:f>
        <x:v>5</x:v>
      </x:c>
      <x:c r="L700" s="2" t="n">
        <x:f>MAX(1,ROUND('기준스탯 72종'!F35-T700-AB700,0))</x:f>
        <x:v>5</x:v>
      </x:c>
      <x:c r="M700" s="2" t="n">
        <x:f>MAX(1,ROUND('기준스탯 72종'!G35-U700-AC700,0))</x:f>
        <x:v>5</x:v>
      </x:c>
      <x:c r="N700" s="2" t="n">
        <x:f>MAX(0,ROUND('기준스탯 72종'!H35-V700-AD700,0))</x:f>
        <x:v>3</x:v>
      </x:c>
      <x:c r="O700" s="2" t="n">
        <x:f>MAX(0,ROUND('기준스탯 72종'!I35-W700-AE700,0))</x:f>
        <x:v>4</x:v>
      </x:c>
      <x:c r="P700" s="2" t="n">
        <x:f>MAX(0,ROUND('기준스탯 72종'!J35-X700-AF700,0))</x:f>
        <x:v>2</x:v>
      </x:c>
      <x:c r="Q700" s="2" t="n">
        <x:f>MAX(0,ROUND('기준스탯 72종'!K35-Y700-AG700,0))</x:f>
        <x:v>2</x:v>
      </x:c>
      <x:c r="R700" s="15" t="n">
        <x:f>'기준스탯 72종'!D35*G700</x:f>
        <x:v>1.9599999999999997</x:v>
      </x:c>
      <x:c r="S700" s="15" t="n">
        <x:f>'기준스탯 72종'!E35*G700</x:f>
        <x:v>2.2399999999999998</x:v>
      </x:c>
      <x:c r="T700" s="15" t="n">
        <x:f>'기준스탯 72종'!F35*G700</x:f>
        <x:v>2.2399999999999998</x:v>
      </x:c>
      <x:c r="U700" s="15" t="n">
        <x:f>'기준스탯 72종'!G35*G700</x:f>
        <x:v>1.9599999999999997</x:v>
      </x:c>
      <x:c r="V700" s="15" t="n">
        <x:f>'기준스탯 72종'!H35*G700</x:f>
        <x:v>1.1199999999999999</x:v>
      </x:c>
      <x:c r="W700" s="15" t="n">
        <x:f>'기준스탯 72종'!I35*G700</x:f>
        <x:v>1.6799999999999997</x:v>
      </x:c>
      <x:c r="X700" s="15" t="n">
        <x:f>'기준스탯 72종'!J35*G700</x:f>
        <x:v>0.8399999999999999</x:v>
      </x:c>
      <x:c r="Y700" s="15" t="n">
        <x:f>'기준스탯 72종'!K35*G700</x:f>
        <x:v>0.8399999999999999</x:v>
      </x:c>
      <x:c r="Z700" s="15" t="n">
        <x:f>'기준스탯 72종'!D35*H700</x:f>
        <x:v>0.4200000000000001</x:v>
      </x:c>
      <x:c r="AA700" s="15" t="n">
        <x:f>'기준스탯 72종'!E35*H700</x:f>
        <x:v>0.4800000000000001</x:v>
      </x:c>
      <x:c r="AB700" s="15" t="n">
        <x:f>'기준스탯 72종'!F35*H700</x:f>
        <x:v>0.4800000000000001</x:v>
      </x:c>
      <x:c r="AC700" s="15" t="n">
        <x:f>'기준스탯 72종'!G35*H700</x:f>
        <x:v>0.4200000000000001</x:v>
      </x:c>
      <x:c r="AD700" s="15" t="n">
        <x:f>'기준스탯 72종'!H35*H700</x:f>
        <x:v>0.24000000000000005</x:v>
      </x:c>
      <x:c r="AE700" s="15" t="n">
        <x:f>'기준스탯 72종'!I35*H700</x:f>
        <x:v>0.3600000000000001</x:v>
      </x:c>
      <x:c r="AF700" s="15" t="n">
        <x:f>'기준스탯 72종'!J35*H700</x:f>
        <x:v>0.18000000000000005</x:v>
      </x:c>
      <x:c r="AG700" s="15" t="n">
        <x:f>'기준스탯 72종'!K35*H700</x:f>
        <x:v>0.18000000000000005</x:v>
      </x:c>
    </x:row>
    <x:row r="701" ht="28" customHeight="1">
      <x:c r="A701" s="2" t="n">
        <x:v>694</x:v>
      </x:c>
      <x:c r="B701" s="2" t="n">
        <x:v>28</x:v>
      </x:c>
      <x:c r="C701" s="2" t="str">
        <x:v>사자자리</x:v>
      </x:c>
      <x:c r="D701" s="2" t="str">
        <x:v>정령사</x:v>
      </x:c>
      <x:c r="E701" s="2" t="n">
        <x:v>4</x:v>
      </x:c>
      <x:c r="F701" s="2" t="n">
        <x:v>4</x:v>
      </x:c>
      <x:c r="G701" s="14" t="n">
        <x:f>('레벨 계산식'!$E$4-E701)*'레벨 계산식'!$B$5</x:f>
        <x:v>0.13999999999999999</x:v>
      </x:c>
      <x:c r="H701" s="14" t="n">
        <x:f>('등급 계산식'!$E$4-F701)*'등급 계산식'!$B$5</x:f>
        <x:v>0.06000000000000001</x:v>
      </x:c>
      <x:c r="I701" s="14" t="n">
        <x:f>1-G701-H701</x:f>
        <x:v>0.7999999999999999</x:v>
      </x:c>
      <x:c r="J701" s="2" t="n">
        <x:f>MAX(1,ROUND('기준스탯 72종'!D35-R701-Z701,0))</x:f>
        <x:v>6</x:v>
      </x:c>
      <x:c r="K701" s="2" t="n">
        <x:f>MAX(1,ROUND('기준스탯 72종'!E35-S701-AA701,0))</x:f>
        <x:v>6</x:v>
      </x:c>
      <x:c r="L701" s="2" t="n">
        <x:f>MAX(1,ROUND('기준스탯 72종'!F35-T701-AB701,0))</x:f>
        <x:v>6</x:v>
      </x:c>
      <x:c r="M701" s="2" t="n">
        <x:f>MAX(1,ROUND('기준스탯 72종'!G35-U701-AC701,0))</x:f>
        <x:v>6</x:v>
      </x:c>
      <x:c r="N701" s="2" t="n">
        <x:f>MAX(0,ROUND('기준스탯 72종'!H35-V701-AD701,0))</x:f>
        <x:v>3</x:v>
      </x:c>
      <x:c r="O701" s="2" t="n">
        <x:f>MAX(0,ROUND('기준스탯 72종'!I35-W701-AE701,0))</x:f>
        <x:v>5</x:v>
      </x:c>
      <x:c r="P701" s="2" t="n">
        <x:f>MAX(0,ROUND('기준스탯 72종'!J35-X701-AF701,0))</x:f>
        <x:v>2</x:v>
      </x:c>
      <x:c r="Q701" s="2" t="n">
        <x:f>MAX(0,ROUND('기준스탯 72종'!K35-Y701-AG701,0))</x:f>
        <x:v>2</x:v>
      </x:c>
      <x:c r="R701" s="15" t="n">
        <x:f>'기준스탯 72종'!D35*G701</x:f>
        <x:v>0.9799999999999999</x:v>
      </x:c>
      <x:c r="S701" s="15" t="n">
        <x:f>'기준스탯 72종'!E35*G701</x:f>
        <x:v>1.1199999999999999</x:v>
      </x:c>
      <x:c r="T701" s="15" t="n">
        <x:f>'기준스탯 72종'!F35*G701</x:f>
        <x:v>1.1199999999999999</x:v>
      </x:c>
      <x:c r="U701" s="15" t="n">
        <x:f>'기준스탯 72종'!G35*G701</x:f>
        <x:v>0.9799999999999999</x:v>
      </x:c>
      <x:c r="V701" s="15" t="n">
        <x:f>'기준스탯 72종'!H35*G701</x:f>
        <x:v>0.5599999999999999</x:v>
      </x:c>
      <x:c r="W701" s="15" t="n">
        <x:f>'기준스탯 72종'!I35*G701</x:f>
        <x:v>0.8399999999999999</x:v>
      </x:c>
      <x:c r="X701" s="15" t="n">
        <x:f>'기준스탯 72종'!J35*G701</x:f>
        <x:v>0.41999999999999993</x:v>
      </x:c>
      <x:c r="Y701" s="15" t="n">
        <x:f>'기준스탯 72종'!K35*G701</x:f>
        <x:v>0.41999999999999993</x:v>
      </x:c>
      <x:c r="Z701" s="15" t="n">
        <x:f>'기준스탯 72종'!D35*H701</x:f>
        <x:v>0.4200000000000001</x:v>
      </x:c>
      <x:c r="AA701" s="15" t="n">
        <x:f>'기준스탯 72종'!E35*H701</x:f>
        <x:v>0.4800000000000001</x:v>
      </x:c>
      <x:c r="AB701" s="15" t="n">
        <x:f>'기준스탯 72종'!F35*H701</x:f>
        <x:v>0.4800000000000001</x:v>
      </x:c>
      <x:c r="AC701" s="15" t="n">
        <x:f>'기준스탯 72종'!G35*H701</x:f>
        <x:v>0.4200000000000001</x:v>
      </x:c>
      <x:c r="AD701" s="15" t="n">
        <x:f>'기준스탯 72종'!H35*H701</x:f>
        <x:v>0.24000000000000005</x:v>
      </x:c>
      <x:c r="AE701" s="15" t="n">
        <x:f>'기준스탯 72종'!I35*H701</x:f>
        <x:v>0.3600000000000001</x:v>
      </x:c>
      <x:c r="AF701" s="15" t="n">
        <x:f>'기준스탯 72종'!J35*H701</x:f>
        <x:v>0.18000000000000005</x:v>
      </x:c>
      <x:c r="AG701" s="15" t="n">
        <x:f>'기준스탯 72종'!K35*H701</x:f>
        <x:v>0.18000000000000005</x:v>
      </x:c>
    </x:row>
    <x:row r="702" ht="28" customHeight="1">
      <x:c r="A702" s="2" t="n">
        <x:v>695</x:v>
      </x:c>
      <x:c r="B702" s="2" t="n">
        <x:v>28</x:v>
      </x:c>
      <x:c r="C702" s="2" t="str">
        <x:v>사자자리</x:v>
      </x:c>
      <x:c r="D702" s="2" t="str">
        <x:v>정령사</x:v>
      </x:c>
      <x:c r="E702" s="2" t="n">
        <x:v>5</x:v>
      </x:c>
      <x:c r="F702" s="2" t="n">
        <x:v>4</x:v>
      </x:c>
      <x:c r="G702" s="14" t="n">
        <x:f>('레벨 계산식'!$E$4-E702)*'레벨 계산식'!$B$5</x:f>
        <x:v>0</x:v>
      </x:c>
      <x:c r="H702" s="14" t="n">
        <x:f>('등급 계산식'!$E$4-F702)*'등급 계산식'!$B$5</x:f>
        <x:v>0.06000000000000001</x:v>
      </x:c>
      <x:c r="I702" s="14" t="n">
        <x:f>1-G702-H702</x:f>
        <x:v>0.94</x:v>
      </x:c>
      <x:c r="J702" s="2" t="n">
        <x:f>MAX(1,ROUND('기준스탯 72종'!D35-R702-Z702,0))</x:f>
        <x:v>7</x:v>
      </x:c>
      <x:c r="K702" s="2" t="n">
        <x:f>MAX(1,ROUND('기준스탯 72종'!E35-S702-AA702,0))</x:f>
        <x:v>8</x:v>
      </x:c>
      <x:c r="L702" s="2" t="n">
        <x:f>MAX(1,ROUND('기준스탯 72종'!F35-T702-AB702,0))</x:f>
        <x:v>8</x:v>
      </x:c>
      <x:c r="M702" s="2" t="n">
        <x:f>MAX(1,ROUND('기준스탯 72종'!G35-U702-AC702,0))</x:f>
        <x:v>7</x:v>
      </x:c>
      <x:c r="N702" s="2" t="n">
        <x:f>MAX(0,ROUND('기준스탯 72종'!H35-V702-AD702,0))</x:f>
        <x:v>4</x:v>
      </x:c>
      <x:c r="O702" s="2" t="n">
        <x:f>MAX(0,ROUND('기준스탯 72종'!I35-W702-AE702,0))</x:f>
        <x:v>6</x:v>
      </x:c>
      <x:c r="P702" s="2" t="n">
        <x:f>MAX(0,ROUND('기준스탯 72종'!J35-X702-AF702,0))</x:f>
        <x:v>3</x:v>
      </x:c>
      <x:c r="Q702" s="2" t="n">
        <x:f>MAX(0,ROUND('기준스탯 72종'!K35-Y702-AG702,0))</x:f>
        <x:v>3</x:v>
      </x:c>
      <x:c r="R702" s="15" t="n">
        <x:f>'기준스탯 72종'!D35*G702</x:f>
        <x:v>0</x:v>
      </x:c>
      <x:c r="S702" s="15" t="n">
        <x:f>'기준스탯 72종'!E35*G702</x:f>
        <x:v>0</x:v>
      </x:c>
      <x:c r="T702" s="15" t="n">
        <x:f>'기준스탯 72종'!F35*G702</x:f>
        <x:v>0</x:v>
      </x:c>
      <x:c r="U702" s="15" t="n">
        <x:f>'기준스탯 72종'!G35*G702</x:f>
        <x:v>0</x:v>
      </x:c>
      <x:c r="V702" s="15" t="n">
        <x:f>'기준스탯 72종'!H35*G702</x:f>
        <x:v>0</x:v>
      </x:c>
      <x:c r="W702" s="15" t="n">
        <x:f>'기준스탯 72종'!I35*G702</x:f>
        <x:v>0</x:v>
      </x:c>
      <x:c r="X702" s="15" t="n">
        <x:f>'기준스탯 72종'!J35*G702</x:f>
        <x:v>0</x:v>
      </x:c>
      <x:c r="Y702" s="15" t="n">
        <x:f>'기준스탯 72종'!K35*G702</x:f>
        <x:v>0</x:v>
      </x:c>
      <x:c r="Z702" s="15" t="n">
        <x:f>'기준스탯 72종'!D35*H702</x:f>
        <x:v>0.4200000000000001</x:v>
      </x:c>
      <x:c r="AA702" s="15" t="n">
        <x:f>'기준스탯 72종'!E35*H702</x:f>
        <x:v>0.4800000000000001</x:v>
      </x:c>
      <x:c r="AB702" s="15" t="n">
        <x:f>'기준스탯 72종'!F35*H702</x:f>
        <x:v>0.4800000000000001</x:v>
      </x:c>
      <x:c r="AC702" s="15" t="n">
        <x:f>'기준스탯 72종'!G35*H702</x:f>
        <x:v>0.4200000000000001</x:v>
      </x:c>
      <x:c r="AD702" s="15" t="n">
        <x:f>'기준스탯 72종'!H35*H702</x:f>
        <x:v>0.24000000000000005</x:v>
      </x:c>
      <x:c r="AE702" s="15" t="n">
        <x:f>'기준스탯 72종'!I35*H702</x:f>
        <x:v>0.3600000000000001</x:v>
      </x:c>
      <x:c r="AF702" s="15" t="n">
        <x:f>'기준스탯 72종'!J35*H702</x:f>
        <x:v>0.18000000000000005</x:v>
      </x:c>
      <x:c r="AG702" s="15" t="n">
        <x:f>'기준스탯 72종'!K35*H702</x:f>
        <x:v>0.18000000000000005</x:v>
      </x:c>
    </x:row>
    <x:row r="703" ht="28" customHeight="1">
      <x:c r="A703" s="2" t="n">
        <x:v>696</x:v>
      </x:c>
      <x:c r="B703" s="2" t="n">
        <x:v>28</x:v>
      </x:c>
      <x:c r="C703" s="2" t="str">
        <x:v>사자자리</x:v>
      </x:c>
      <x:c r="D703" s="2" t="str">
        <x:v>정령사</x:v>
      </x:c>
      <x:c r="E703" s="2" t="n">
        <x:v>1</x:v>
      </x:c>
      <x:c r="F703" s="2" t="n">
        <x:v>5</x:v>
      </x:c>
      <x:c r="G703" s="14" t="n">
        <x:f>('레벨 계산식'!$E$4-E703)*'레벨 계산식'!$B$5</x:f>
        <x:v>0.5599999999999999</x:v>
      </x:c>
      <x:c r="H703" s="14" t="n">
        <x:f>('등급 계산식'!$E$4-F703)*'등급 계산식'!$B$5</x:f>
        <x:v>0</x:v>
      </x:c>
      <x:c r="I703" s="14" t="n">
        <x:f>1-G703-H703</x:f>
        <x:v>0.44000000000000006</x:v>
      </x:c>
      <x:c r="J703" s="2" t="n">
        <x:f>MAX(1,ROUND('기준스탯 72종'!D35-R703-Z703,0))</x:f>
        <x:v>3</x:v>
      </x:c>
      <x:c r="K703" s="2" t="n">
        <x:f>MAX(1,ROUND('기준스탯 72종'!E35-S703-AA703,0))</x:f>
        <x:v>4</x:v>
      </x:c>
      <x:c r="L703" s="2" t="n">
        <x:f>MAX(1,ROUND('기준스탯 72종'!F35-T703-AB703,0))</x:f>
        <x:v>4</x:v>
      </x:c>
      <x:c r="M703" s="2" t="n">
        <x:f>MAX(1,ROUND('기준스탯 72종'!G35-U703-AC703,0))</x:f>
        <x:v>3</x:v>
      </x:c>
      <x:c r="N703" s="2" t="n">
        <x:f>MAX(0,ROUND('기준스탯 72종'!H35-V703-AD703,0))</x:f>
        <x:v>2</x:v>
      </x:c>
      <x:c r="O703" s="2" t="n">
        <x:f>MAX(0,ROUND('기준스탯 72종'!I35-W703-AE703,0))</x:f>
        <x:v>3</x:v>
      </x:c>
      <x:c r="P703" s="2" t="n">
        <x:f>MAX(0,ROUND('기준스탯 72종'!J35-X703-AF703,0))</x:f>
        <x:v>1</x:v>
      </x:c>
      <x:c r="Q703" s="2" t="n">
        <x:f>MAX(0,ROUND('기준스탯 72종'!K35-Y703-AG703,0))</x:f>
        <x:v>1</x:v>
      </x:c>
      <x:c r="R703" s="15" t="n">
        <x:f>'기준스탯 72종'!D35*G703</x:f>
        <x:v>3.9199999999999995</x:v>
      </x:c>
      <x:c r="S703" s="15" t="n">
        <x:f>'기준스탯 72종'!E35*G703</x:f>
        <x:v>4.4799999999999995</x:v>
      </x:c>
      <x:c r="T703" s="15" t="n">
        <x:f>'기준스탯 72종'!F35*G703</x:f>
        <x:v>4.4799999999999995</x:v>
      </x:c>
      <x:c r="U703" s="15" t="n">
        <x:f>'기준스탯 72종'!G35*G703</x:f>
        <x:v>3.9199999999999995</x:v>
      </x:c>
      <x:c r="V703" s="15" t="n">
        <x:f>'기준스탯 72종'!H35*G703</x:f>
        <x:v>2.2399999999999998</x:v>
      </x:c>
      <x:c r="W703" s="15" t="n">
        <x:f>'기준스탯 72종'!I35*G703</x:f>
        <x:v>3.3599999999999994</x:v>
      </x:c>
      <x:c r="X703" s="15" t="n">
        <x:f>'기준스탯 72종'!J35*G703</x:f>
        <x:v>1.6799999999999997</x:v>
      </x:c>
      <x:c r="Y703" s="15" t="n">
        <x:f>'기준스탯 72종'!K35*G703</x:f>
        <x:v>1.6799999999999997</x:v>
      </x:c>
      <x:c r="Z703" s="15" t="n">
        <x:f>'기준스탯 72종'!D35*H703</x:f>
        <x:v>0</x:v>
      </x:c>
      <x:c r="AA703" s="15" t="n">
        <x:f>'기준스탯 72종'!E35*H703</x:f>
        <x:v>0</x:v>
      </x:c>
      <x:c r="AB703" s="15" t="n">
        <x:f>'기준스탯 72종'!F35*H703</x:f>
        <x:v>0</x:v>
      </x:c>
      <x:c r="AC703" s="15" t="n">
        <x:f>'기준스탯 72종'!G35*H703</x:f>
        <x:v>0</x:v>
      </x:c>
      <x:c r="AD703" s="15" t="n">
        <x:f>'기준스탯 72종'!H35*H703</x:f>
        <x:v>0</x:v>
      </x:c>
      <x:c r="AE703" s="15" t="n">
        <x:f>'기준스탯 72종'!I35*H703</x:f>
        <x:v>0</x:v>
      </x:c>
      <x:c r="AF703" s="15" t="n">
        <x:f>'기준스탯 72종'!J35*H703</x:f>
        <x:v>0</x:v>
      </x:c>
      <x:c r="AG703" s="15" t="n">
        <x:f>'기준스탯 72종'!K35*H703</x:f>
        <x:v>0</x:v>
      </x:c>
    </x:row>
    <x:row r="704" ht="28" customHeight="1">
      <x:c r="A704" s="2" t="n">
        <x:v>697</x:v>
      </x:c>
      <x:c r="B704" s="2" t="n">
        <x:v>28</x:v>
      </x:c>
      <x:c r="C704" s="2" t="str">
        <x:v>사자자리</x:v>
      </x:c>
      <x:c r="D704" s="2" t="str">
        <x:v>정령사</x:v>
      </x:c>
      <x:c r="E704" s="2" t="n">
        <x:v>2</x:v>
      </x:c>
      <x:c r="F704" s="2" t="n">
        <x:v>5</x:v>
      </x:c>
      <x:c r="G704" s="14" t="n">
        <x:f>('레벨 계산식'!$E$4-E704)*'레벨 계산식'!$B$5</x:f>
        <x:v>0.41999999999999993</x:v>
      </x:c>
      <x:c r="H704" s="14" t="n">
        <x:f>('등급 계산식'!$E$4-F704)*'등급 계산식'!$B$5</x:f>
        <x:v>0</x:v>
      </x:c>
      <x:c r="I704" s="14" t="n">
        <x:f>1-G704-H704</x:f>
        <x:v>0.5800000000000001</x:v>
      </x:c>
      <x:c r="J704" s="2" t="n">
        <x:f>MAX(1,ROUND('기준스탯 72종'!D35-R704-Z704,0))</x:f>
        <x:v>4</x:v>
      </x:c>
      <x:c r="K704" s="2" t="n">
        <x:f>MAX(1,ROUND('기준스탯 72종'!E35-S704-AA704,0))</x:f>
        <x:v>5</x:v>
      </x:c>
      <x:c r="L704" s="2" t="n">
        <x:f>MAX(1,ROUND('기준스탯 72종'!F35-T704-AB704,0))</x:f>
        <x:v>5</x:v>
      </x:c>
      <x:c r="M704" s="2" t="n">
        <x:f>MAX(1,ROUND('기준스탯 72종'!G35-U704-AC704,0))</x:f>
        <x:v>4</x:v>
      </x:c>
      <x:c r="N704" s="2" t="n">
        <x:f>MAX(0,ROUND('기준스탯 72종'!H35-V704-AD704,0))</x:f>
        <x:v>2</x:v>
      </x:c>
      <x:c r="O704" s="2" t="n">
        <x:f>MAX(0,ROUND('기준스탯 72종'!I35-W704-AE704,0))</x:f>
        <x:v>3</x:v>
      </x:c>
      <x:c r="P704" s="2" t="n">
        <x:f>MAX(0,ROUND('기준스탯 72종'!J35-X704-AF704,0))</x:f>
        <x:v>2</x:v>
      </x:c>
      <x:c r="Q704" s="2" t="n">
        <x:f>MAX(0,ROUND('기준스탯 72종'!K35-Y704-AG704,0))</x:f>
        <x:v>2</x:v>
      </x:c>
      <x:c r="R704" s="15" t="n">
        <x:f>'기준스탯 72종'!D35*G704</x:f>
        <x:v>2.9399999999999995</x:v>
      </x:c>
      <x:c r="S704" s="15" t="n">
        <x:f>'기준스탯 72종'!E35*G704</x:f>
        <x:v>3.3599999999999994</x:v>
      </x:c>
      <x:c r="T704" s="15" t="n">
        <x:f>'기준스탯 72종'!F35*G704</x:f>
        <x:v>3.3599999999999994</x:v>
      </x:c>
      <x:c r="U704" s="15" t="n">
        <x:f>'기준스탯 72종'!G35*G704</x:f>
        <x:v>2.9399999999999995</x:v>
      </x:c>
      <x:c r="V704" s="15" t="n">
        <x:f>'기준스탯 72종'!H35*G704</x:f>
        <x:v>1.6799999999999997</x:v>
      </x:c>
      <x:c r="W704" s="15" t="n">
        <x:f>'기준스탯 72종'!I35*G704</x:f>
        <x:v>2.5199999999999996</x:v>
      </x:c>
      <x:c r="X704" s="15" t="n">
        <x:f>'기준스탯 72종'!J35*G704</x:f>
        <x:v>1.2599999999999998</x:v>
      </x:c>
      <x:c r="Y704" s="15" t="n">
        <x:f>'기준스탯 72종'!K35*G704</x:f>
        <x:v>1.2599999999999998</x:v>
      </x:c>
      <x:c r="Z704" s="15" t="n">
        <x:f>'기준스탯 72종'!D35*H704</x:f>
        <x:v>0</x:v>
      </x:c>
      <x:c r="AA704" s="15" t="n">
        <x:f>'기준스탯 72종'!E35*H704</x:f>
        <x:v>0</x:v>
      </x:c>
      <x:c r="AB704" s="15" t="n">
        <x:f>'기준스탯 72종'!F35*H704</x:f>
        <x:v>0</x:v>
      </x:c>
      <x:c r="AC704" s="15" t="n">
        <x:f>'기준스탯 72종'!G35*H704</x:f>
        <x:v>0</x:v>
      </x:c>
      <x:c r="AD704" s="15" t="n">
        <x:f>'기준스탯 72종'!H35*H704</x:f>
        <x:v>0</x:v>
      </x:c>
      <x:c r="AE704" s="15" t="n">
        <x:f>'기준스탯 72종'!I35*H704</x:f>
        <x:v>0</x:v>
      </x:c>
      <x:c r="AF704" s="15" t="n">
        <x:f>'기준스탯 72종'!J35*H704</x:f>
        <x:v>0</x:v>
      </x:c>
      <x:c r="AG704" s="15" t="n">
        <x:f>'기준스탯 72종'!K35*H704</x:f>
        <x:v>0</x:v>
      </x:c>
    </x:row>
    <x:row r="705" ht="28" customHeight="1">
      <x:c r="A705" s="2" t="n">
        <x:v>698</x:v>
      </x:c>
      <x:c r="B705" s="2" t="n">
        <x:v>28</x:v>
      </x:c>
      <x:c r="C705" s="2" t="str">
        <x:v>사자자리</x:v>
      </x:c>
      <x:c r="D705" s="2" t="str">
        <x:v>정령사</x:v>
      </x:c>
      <x:c r="E705" s="2" t="n">
        <x:v>3</x:v>
      </x:c>
      <x:c r="F705" s="2" t="n">
        <x:v>5</x:v>
      </x:c>
      <x:c r="G705" s="14" t="n">
        <x:f>('레벨 계산식'!$E$4-E705)*'레벨 계산식'!$B$5</x:f>
        <x:v>0.27999999999999997</x:v>
      </x:c>
      <x:c r="H705" s="14" t="n">
        <x:f>('등급 계산식'!$E$4-F705)*'등급 계산식'!$B$5</x:f>
        <x:v>0</x:v>
      </x:c>
      <x:c r="I705" s="14" t="n">
        <x:f>1-G705-H705</x:f>
        <x:v>0.72</x:v>
      </x:c>
      <x:c r="J705" s="2" t="n">
        <x:f>MAX(1,ROUND('기준스탯 72종'!D35-R705-Z705,0))</x:f>
        <x:v>5</x:v>
      </x:c>
      <x:c r="K705" s="2" t="n">
        <x:f>MAX(1,ROUND('기준스탯 72종'!E35-S705-AA705,0))</x:f>
        <x:v>6</x:v>
      </x:c>
      <x:c r="L705" s="2" t="n">
        <x:f>MAX(1,ROUND('기준스탯 72종'!F35-T705-AB705,0))</x:f>
        <x:v>6</x:v>
      </x:c>
      <x:c r="M705" s="2" t="n">
        <x:f>MAX(1,ROUND('기준스탯 72종'!G35-U705-AC705,0))</x:f>
        <x:v>5</x:v>
      </x:c>
      <x:c r="N705" s="2" t="n">
        <x:f>MAX(0,ROUND('기준스탯 72종'!H35-V705-AD705,0))</x:f>
        <x:v>3</x:v>
      </x:c>
      <x:c r="O705" s="2" t="n">
        <x:f>MAX(0,ROUND('기준스탯 72종'!I35-W705-AE705,0))</x:f>
        <x:v>4</x:v>
      </x:c>
      <x:c r="P705" s="2" t="n">
        <x:f>MAX(0,ROUND('기준스탯 72종'!J35-X705-AF705,0))</x:f>
        <x:v>2</x:v>
      </x:c>
      <x:c r="Q705" s="2" t="n">
        <x:f>MAX(0,ROUND('기준스탯 72종'!K35-Y705-AG705,0))</x:f>
        <x:v>2</x:v>
      </x:c>
      <x:c r="R705" s="15" t="n">
        <x:f>'기준스탯 72종'!D35*G705</x:f>
        <x:v>1.9599999999999997</x:v>
      </x:c>
      <x:c r="S705" s="15" t="n">
        <x:f>'기준스탯 72종'!E35*G705</x:f>
        <x:v>2.2399999999999998</x:v>
      </x:c>
      <x:c r="T705" s="15" t="n">
        <x:f>'기준스탯 72종'!F35*G705</x:f>
        <x:v>2.2399999999999998</x:v>
      </x:c>
      <x:c r="U705" s="15" t="n">
        <x:f>'기준스탯 72종'!G35*G705</x:f>
        <x:v>1.9599999999999997</x:v>
      </x:c>
      <x:c r="V705" s="15" t="n">
        <x:f>'기준스탯 72종'!H35*G705</x:f>
        <x:v>1.1199999999999999</x:v>
      </x:c>
      <x:c r="W705" s="15" t="n">
        <x:f>'기준스탯 72종'!I35*G705</x:f>
        <x:v>1.6799999999999997</x:v>
      </x:c>
      <x:c r="X705" s="15" t="n">
        <x:f>'기준스탯 72종'!J35*G705</x:f>
        <x:v>0.8399999999999999</x:v>
      </x:c>
      <x:c r="Y705" s="15" t="n">
        <x:f>'기준스탯 72종'!K35*G705</x:f>
        <x:v>0.8399999999999999</x:v>
      </x:c>
      <x:c r="Z705" s="15" t="n">
        <x:f>'기준스탯 72종'!D35*H705</x:f>
        <x:v>0</x:v>
      </x:c>
      <x:c r="AA705" s="15" t="n">
        <x:f>'기준스탯 72종'!E35*H705</x:f>
        <x:v>0</x:v>
      </x:c>
      <x:c r="AB705" s="15" t="n">
        <x:f>'기준스탯 72종'!F35*H705</x:f>
        <x:v>0</x:v>
      </x:c>
      <x:c r="AC705" s="15" t="n">
        <x:f>'기준스탯 72종'!G35*H705</x:f>
        <x:v>0</x:v>
      </x:c>
      <x:c r="AD705" s="15" t="n">
        <x:f>'기준스탯 72종'!H35*H705</x:f>
        <x:v>0</x:v>
      </x:c>
      <x:c r="AE705" s="15" t="n">
        <x:f>'기준스탯 72종'!I35*H705</x:f>
        <x:v>0</x:v>
      </x:c>
      <x:c r="AF705" s="15" t="n">
        <x:f>'기준스탯 72종'!J35*H705</x:f>
        <x:v>0</x:v>
      </x:c>
      <x:c r="AG705" s="15" t="n">
        <x:f>'기준스탯 72종'!K35*H705</x:f>
        <x:v>0</x:v>
      </x:c>
    </x:row>
    <x:row r="706" ht="28" customHeight="1">
      <x:c r="A706" s="2" t="n">
        <x:v>699</x:v>
      </x:c>
      <x:c r="B706" s="2" t="n">
        <x:v>28</x:v>
      </x:c>
      <x:c r="C706" s="2" t="str">
        <x:v>사자자리</x:v>
      </x:c>
      <x:c r="D706" s="2" t="str">
        <x:v>정령사</x:v>
      </x:c>
      <x:c r="E706" s="2" t="n">
        <x:v>4</x:v>
      </x:c>
      <x:c r="F706" s="2" t="n">
        <x:v>5</x:v>
      </x:c>
      <x:c r="G706" s="14" t="n">
        <x:f>('레벨 계산식'!$E$4-E706)*'레벨 계산식'!$B$5</x:f>
        <x:v>0.13999999999999999</x:v>
      </x:c>
      <x:c r="H706" s="14" t="n">
        <x:f>('등급 계산식'!$E$4-F706)*'등급 계산식'!$B$5</x:f>
        <x:v>0</x:v>
      </x:c>
      <x:c r="I706" s="14" t="n">
        <x:f>1-G706-H706</x:f>
        <x:v>0.86</x:v>
      </x:c>
      <x:c r="J706" s="2" t="n">
        <x:f>MAX(1,ROUND('기준스탯 72종'!D35-R706-Z706,0))</x:f>
        <x:v>6</x:v>
      </x:c>
      <x:c r="K706" s="2" t="n">
        <x:f>MAX(1,ROUND('기준스탯 72종'!E35-S706-AA706,0))</x:f>
        <x:v>7</x:v>
      </x:c>
      <x:c r="L706" s="2" t="n">
        <x:f>MAX(1,ROUND('기준스탯 72종'!F35-T706-AB706,0))</x:f>
        <x:v>7</x:v>
      </x:c>
      <x:c r="M706" s="2" t="n">
        <x:f>MAX(1,ROUND('기준스탯 72종'!G35-U706-AC706,0))</x:f>
        <x:v>6</x:v>
      </x:c>
      <x:c r="N706" s="2" t="n">
        <x:f>MAX(0,ROUND('기준스탯 72종'!H35-V706-AD706,0))</x:f>
        <x:v>3</x:v>
      </x:c>
      <x:c r="O706" s="2" t="n">
        <x:f>MAX(0,ROUND('기준스탯 72종'!I35-W706-AE706,0))</x:f>
        <x:v>5</x:v>
      </x:c>
      <x:c r="P706" s="2" t="n">
        <x:f>MAX(0,ROUND('기준스탯 72종'!J35-X706-AF706,0))</x:f>
        <x:v>3</x:v>
      </x:c>
      <x:c r="Q706" s="2" t="n">
        <x:f>MAX(0,ROUND('기준스탯 72종'!K35-Y706-AG706,0))</x:f>
        <x:v>3</x:v>
      </x:c>
      <x:c r="R706" s="15" t="n">
        <x:f>'기준스탯 72종'!D35*G706</x:f>
        <x:v>0.9799999999999999</x:v>
      </x:c>
      <x:c r="S706" s="15" t="n">
        <x:f>'기준스탯 72종'!E35*G706</x:f>
        <x:v>1.1199999999999999</x:v>
      </x:c>
      <x:c r="T706" s="15" t="n">
        <x:f>'기준스탯 72종'!F35*G706</x:f>
        <x:v>1.1199999999999999</x:v>
      </x:c>
      <x:c r="U706" s="15" t="n">
        <x:f>'기준스탯 72종'!G35*G706</x:f>
        <x:v>0.9799999999999999</x:v>
      </x:c>
      <x:c r="V706" s="15" t="n">
        <x:f>'기준스탯 72종'!H35*G706</x:f>
        <x:v>0.5599999999999999</x:v>
      </x:c>
      <x:c r="W706" s="15" t="n">
        <x:f>'기준스탯 72종'!I35*G706</x:f>
        <x:v>0.8399999999999999</x:v>
      </x:c>
      <x:c r="X706" s="15" t="n">
        <x:f>'기준스탯 72종'!J35*G706</x:f>
        <x:v>0.41999999999999993</x:v>
      </x:c>
      <x:c r="Y706" s="15" t="n">
        <x:f>'기준스탯 72종'!K35*G706</x:f>
        <x:v>0.41999999999999993</x:v>
      </x:c>
      <x:c r="Z706" s="15" t="n">
        <x:f>'기준스탯 72종'!D35*H706</x:f>
        <x:v>0</x:v>
      </x:c>
      <x:c r="AA706" s="15" t="n">
        <x:f>'기준스탯 72종'!E35*H706</x:f>
        <x:v>0</x:v>
      </x:c>
      <x:c r="AB706" s="15" t="n">
        <x:f>'기준스탯 72종'!F35*H706</x:f>
        <x:v>0</x:v>
      </x:c>
      <x:c r="AC706" s="15" t="n">
        <x:f>'기준스탯 72종'!G35*H706</x:f>
        <x:v>0</x:v>
      </x:c>
      <x:c r="AD706" s="15" t="n">
        <x:f>'기준스탯 72종'!H35*H706</x:f>
        <x:v>0</x:v>
      </x:c>
      <x:c r="AE706" s="15" t="n">
        <x:f>'기준스탯 72종'!I35*H706</x:f>
        <x:v>0</x:v>
      </x:c>
      <x:c r="AF706" s="15" t="n">
        <x:f>'기준스탯 72종'!J35*H706</x:f>
        <x:v>0</x:v>
      </x:c>
      <x:c r="AG706" s="15" t="n">
        <x:f>'기준스탯 72종'!K35*H706</x:f>
        <x:v>0</x:v>
      </x:c>
    </x:row>
    <x:row r="707" ht="28" customHeight="1">
      <x:c r="A707" s="2" t="n">
        <x:v>700</x:v>
      </x:c>
      <x:c r="B707" s="2" t="n">
        <x:v>28</x:v>
      </x:c>
      <x:c r="C707" s="2" t="str">
        <x:v>사자자리</x:v>
      </x:c>
      <x:c r="D707" s="2" t="str">
        <x:v>정령사</x:v>
      </x:c>
      <x:c r="E707" s="2" t="n">
        <x:v>5</x:v>
      </x:c>
      <x:c r="F707" s="2" t="n">
        <x:v>5</x:v>
      </x:c>
      <x:c r="G707" s="14" t="n">
        <x:f>('레벨 계산식'!$E$4-E707)*'레벨 계산식'!$B$5</x:f>
        <x:v>0</x:v>
      </x:c>
      <x:c r="H707" s="14" t="n">
        <x:f>('등급 계산식'!$E$4-F707)*'등급 계산식'!$B$5</x:f>
        <x:v>0</x:v>
      </x:c>
      <x:c r="I707" s="14" t="n">
        <x:f>1-G707-H707</x:f>
        <x:v>1</x:v>
      </x:c>
      <x:c r="J707" s="2" t="n">
        <x:f>MAX(1,ROUND('기준스탯 72종'!D35-R707-Z707,0))</x:f>
        <x:v>7</x:v>
      </x:c>
      <x:c r="K707" s="2" t="n">
        <x:f>MAX(1,ROUND('기준스탯 72종'!E35-S707-AA707,0))</x:f>
        <x:v>8</x:v>
      </x:c>
      <x:c r="L707" s="2" t="n">
        <x:f>MAX(1,ROUND('기준스탯 72종'!F35-T707-AB707,0))</x:f>
        <x:v>8</x:v>
      </x:c>
      <x:c r="M707" s="2" t="n">
        <x:f>MAX(1,ROUND('기준스탯 72종'!G35-U707-AC707,0))</x:f>
        <x:v>7</x:v>
      </x:c>
      <x:c r="N707" s="2" t="n">
        <x:f>MAX(0,ROUND('기준스탯 72종'!H35-V707-AD707,0))</x:f>
        <x:v>4</x:v>
      </x:c>
      <x:c r="O707" s="2" t="n">
        <x:f>MAX(0,ROUND('기준스탯 72종'!I35-W707-AE707,0))</x:f>
        <x:v>6</x:v>
      </x:c>
      <x:c r="P707" s="2" t="n">
        <x:f>MAX(0,ROUND('기준스탯 72종'!J35-X707-AF707,0))</x:f>
        <x:v>3</x:v>
      </x:c>
      <x:c r="Q707" s="2" t="n">
        <x:f>MAX(0,ROUND('기준스탯 72종'!K35-Y707-AG707,0))</x:f>
        <x:v>3</x:v>
      </x:c>
      <x:c r="R707" s="15" t="n">
        <x:f>'기준스탯 72종'!D35*G707</x:f>
        <x:v>0</x:v>
      </x:c>
      <x:c r="S707" s="15" t="n">
        <x:f>'기준스탯 72종'!E35*G707</x:f>
        <x:v>0</x:v>
      </x:c>
      <x:c r="T707" s="15" t="n">
        <x:f>'기준스탯 72종'!F35*G707</x:f>
        <x:v>0</x:v>
      </x:c>
      <x:c r="U707" s="15" t="n">
        <x:f>'기준스탯 72종'!G35*G707</x:f>
        <x:v>0</x:v>
      </x:c>
      <x:c r="V707" s="15" t="n">
        <x:f>'기준스탯 72종'!H35*G707</x:f>
        <x:v>0</x:v>
      </x:c>
      <x:c r="W707" s="15" t="n">
        <x:f>'기준스탯 72종'!I35*G707</x:f>
        <x:v>0</x:v>
      </x:c>
      <x:c r="X707" s="15" t="n">
        <x:f>'기준스탯 72종'!J35*G707</x:f>
        <x:v>0</x:v>
      </x:c>
      <x:c r="Y707" s="15" t="n">
        <x:f>'기준스탯 72종'!K35*G707</x:f>
        <x:v>0</x:v>
      </x:c>
      <x:c r="Z707" s="15" t="n">
        <x:f>'기준스탯 72종'!D35*H707</x:f>
        <x:v>0</x:v>
      </x:c>
      <x:c r="AA707" s="15" t="n">
        <x:f>'기준스탯 72종'!E35*H707</x:f>
        <x:v>0</x:v>
      </x:c>
      <x:c r="AB707" s="15" t="n">
        <x:f>'기준스탯 72종'!F35*H707</x:f>
        <x:v>0</x:v>
      </x:c>
      <x:c r="AC707" s="15" t="n">
        <x:f>'기준스탯 72종'!G35*H707</x:f>
        <x:v>0</x:v>
      </x:c>
      <x:c r="AD707" s="15" t="n">
        <x:f>'기준스탯 72종'!H35*H707</x:f>
        <x:v>0</x:v>
      </x:c>
      <x:c r="AE707" s="15" t="n">
        <x:f>'기준스탯 72종'!I35*H707</x:f>
        <x:v>0</x:v>
      </x:c>
      <x:c r="AF707" s="15" t="n">
        <x:f>'기준스탯 72종'!J35*H707</x:f>
        <x:v>0</x:v>
      </x:c>
      <x:c r="AG707" s="15" t="n">
        <x:f>'기준스탯 72종'!K35*H707</x:f>
        <x:v>0</x:v>
      </x:c>
    </x:row>
    <x:row r="708" ht="28" customHeight="1">
      <x:c r="A708" s="2" t="n">
        <x:v>701</x:v>
      </x:c>
      <x:c r="B708" s="2" t="n">
        <x:v>29</x:v>
      </x:c>
      <x:c r="C708" s="2" t="str">
        <x:v>사자자리</x:v>
      </x:c>
      <x:c r="D708" s="2" t="str">
        <x:v>도적</x:v>
      </x:c>
      <x:c r="E708" s="2" t="n">
        <x:v>1</x:v>
      </x:c>
      <x:c r="F708" s="2" t="n">
        <x:v>1</x:v>
      </x:c>
      <x:c r="G708" s="14" t="n">
        <x:f>('레벨 계산식'!$E$4-E708)*'레벨 계산식'!$B$5</x:f>
        <x:v>0.5599999999999999</x:v>
      </x:c>
      <x:c r="H708" s="14" t="n">
        <x:f>('등급 계산식'!$E$4-F708)*'등급 계산식'!$B$5</x:f>
        <x:v>0.24000000000000005</x:v>
      </x:c>
      <x:c r="I708" s="14" t="n">
        <x:f>1-G708-H708</x:f>
        <x:v>0.2</x:v>
      </x:c>
      <x:c r="J708" s="2" t="n">
        <x:f>MAX(1,ROUND('기준스탯 72종'!D36-R708-Z708,0))</x:f>
        <x:v>2</x:v>
      </x:c>
      <x:c r="K708" s="2" t="n">
        <x:f>MAX(1,ROUND('기준스탯 72종'!E36-S708-AA708,0))</x:f>
        <x:v>1</x:v>
      </x:c>
      <x:c r="L708" s="2" t="n">
        <x:f>MAX(1,ROUND('기준스탯 72종'!F36-T708-AB708,0))</x:f>
        <x:v>1</x:v>
      </x:c>
      <x:c r="M708" s="2" t="n">
        <x:f>MAX(1,ROUND('기준스탯 72종'!G36-U708-AC708,0))</x:f>
        <x:v>2</x:v>
      </x:c>
      <x:c r="N708" s="2" t="n">
        <x:f>MAX(0,ROUND('기준스탯 72종'!H36-V708-AD708,0))</x:f>
        <x:v>1</x:v>
      </x:c>
      <x:c r="O708" s="2" t="n">
        <x:f>MAX(0,ROUND('기준스탯 72종'!I36-W708-AE708,0))</x:f>
        <x:v>2</x:v>
      </x:c>
      <x:c r="P708" s="2" t="n">
        <x:f>MAX(0,ROUND('기준스탯 72종'!J36-X708-AF708,0))</x:f>
        <x:v>0</x:v>
      </x:c>
      <x:c r="Q708" s="2" t="n">
        <x:f>MAX(0,ROUND('기준스탯 72종'!K36-Y708-AG708,0))</x:f>
        <x:v>0</x:v>
      </x:c>
      <x:c r="R708" s="15" t="n">
        <x:f>'기준스탯 72종'!D36*G708</x:f>
        <x:v>5.6</x:v>
      </x:c>
      <x:c r="S708" s="15" t="n">
        <x:f>'기준스탯 72종'!E36*G708</x:f>
        <x:v>3.3599999999999994</x:v>
      </x:c>
      <x:c r="T708" s="15" t="n">
        <x:f>'기준스탯 72종'!F36*G708</x:f>
        <x:v>3.3599999999999994</x:v>
      </x:c>
      <x:c r="U708" s="15" t="n">
        <x:f>'기준스탯 72종'!G36*G708</x:f>
        <x:v>4.4799999999999995</x:v>
      </x:c>
      <x:c r="V708" s="15" t="n">
        <x:f>'기준스탯 72종'!H36*G708</x:f>
        <x:v>3.3599999999999994</x:v>
      </x:c>
      <x:c r="W708" s="15" t="n">
        <x:f>'기준스탯 72종'!I36*G708</x:f>
        <x:v>4.4799999999999995</x:v>
      </x:c>
      <x:c r="X708" s="15" t="n">
        <x:f>'기준스탯 72종'!J36*G708</x:f>
        <x:v>0.5599999999999999</x:v>
      </x:c>
      <x:c r="Y708" s="15" t="n">
        <x:f>'기준스탯 72종'!K36*G708</x:f>
        <x:v>0.5599999999999999</x:v>
      </x:c>
      <x:c r="Z708" s="15" t="n">
        <x:f>'기준스탯 72종'!D36*H708</x:f>
        <x:v>2.4000000000000004</x:v>
      </x:c>
      <x:c r="AA708" s="15" t="n">
        <x:f>'기준스탯 72종'!E36*H708</x:f>
        <x:v>1.4400000000000004</x:v>
      </x:c>
      <x:c r="AB708" s="15" t="n">
        <x:f>'기준스탯 72종'!F36*H708</x:f>
        <x:v>1.4400000000000004</x:v>
      </x:c>
      <x:c r="AC708" s="15" t="n">
        <x:f>'기준스탯 72종'!G36*H708</x:f>
        <x:v>1.9200000000000004</x:v>
      </x:c>
      <x:c r="AD708" s="15" t="n">
        <x:f>'기준스탯 72종'!H36*H708</x:f>
        <x:v>1.4400000000000004</x:v>
      </x:c>
      <x:c r="AE708" s="15" t="n">
        <x:f>'기준스탯 72종'!I36*H708</x:f>
        <x:v>1.9200000000000004</x:v>
      </x:c>
      <x:c r="AF708" s="15" t="n">
        <x:f>'기준스탯 72종'!J36*H708</x:f>
        <x:v>0.24000000000000005</x:v>
      </x:c>
      <x:c r="AG708" s="15" t="n">
        <x:f>'기준스탯 72종'!K36*H708</x:f>
        <x:v>0.24000000000000005</x:v>
      </x:c>
    </x:row>
    <x:row r="709" ht="28" customHeight="1">
      <x:c r="A709" s="2" t="n">
        <x:v>702</x:v>
      </x:c>
      <x:c r="B709" s="2" t="n">
        <x:v>29</x:v>
      </x:c>
      <x:c r="C709" s="2" t="str">
        <x:v>사자자리</x:v>
      </x:c>
      <x:c r="D709" s="2" t="str">
        <x:v>도적</x:v>
      </x:c>
      <x:c r="E709" s="2" t="n">
        <x:v>2</x:v>
      </x:c>
      <x:c r="F709" s="2" t="n">
        <x:v>1</x:v>
      </x:c>
      <x:c r="G709" s="14" t="n">
        <x:f>('레벨 계산식'!$E$4-E709)*'레벨 계산식'!$B$5</x:f>
        <x:v>0.41999999999999993</x:v>
      </x:c>
      <x:c r="H709" s="14" t="n">
        <x:f>('등급 계산식'!$E$4-F709)*'등급 계산식'!$B$5</x:f>
        <x:v>0.24000000000000005</x:v>
      </x:c>
      <x:c r="I709" s="14" t="n">
        <x:f>1-G709-H709</x:f>
        <x:v>0.34</x:v>
      </x:c>
      <x:c r="J709" s="2" t="n">
        <x:f>MAX(1,ROUND('기준스탯 72종'!D36-R709-Z709,0))</x:f>
        <x:v>3</x:v>
      </x:c>
      <x:c r="K709" s="2" t="n">
        <x:f>MAX(1,ROUND('기준스탯 72종'!E36-S709-AA709,0))</x:f>
        <x:v>2</x:v>
      </x:c>
      <x:c r="L709" s="2" t="n">
        <x:f>MAX(1,ROUND('기준스탯 72종'!F36-T709-AB709,0))</x:f>
        <x:v>2</x:v>
      </x:c>
      <x:c r="M709" s="2" t="n">
        <x:f>MAX(1,ROUND('기준스탯 72종'!G36-U709-AC709,0))</x:f>
        <x:v>3</x:v>
      </x:c>
      <x:c r="N709" s="2" t="n">
        <x:f>MAX(0,ROUND('기준스탯 72종'!H36-V709-AD709,0))</x:f>
        <x:v>2</x:v>
      </x:c>
      <x:c r="O709" s="2" t="n">
        <x:f>MAX(0,ROUND('기준스탯 72종'!I36-W709-AE709,0))</x:f>
        <x:v>3</x:v>
      </x:c>
      <x:c r="P709" s="2" t="n">
        <x:f>MAX(0,ROUND('기준스탯 72종'!J36-X709-AF709,0))</x:f>
        <x:v>0</x:v>
      </x:c>
      <x:c r="Q709" s="2" t="n">
        <x:f>MAX(0,ROUND('기준스탯 72종'!K36-Y709-AG709,0))</x:f>
        <x:v>0</x:v>
      </x:c>
      <x:c r="R709" s="15" t="n">
        <x:f>'기준스탯 72종'!D36*G709</x:f>
        <x:v>4.199999999999999</x:v>
      </x:c>
      <x:c r="S709" s="15" t="n">
        <x:f>'기준스탯 72종'!E36*G709</x:f>
        <x:v>2.5199999999999996</x:v>
      </x:c>
      <x:c r="T709" s="15" t="n">
        <x:f>'기준스탯 72종'!F36*G709</x:f>
        <x:v>2.5199999999999996</x:v>
      </x:c>
      <x:c r="U709" s="15" t="n">
        <x:f>'기준스탯 72종'!G36*G709</x:f>
        <x:v>3.3599999999999994</x:v>
      </x:c>
      <x:c r="V709" s="15" t="n">
        <x:f>'기준스탯 72종'!H36*G709</x:f>
        <x:v>2.5199999999999996</x:v>
      </x:c>
      <x:c r="W709" s="15" t="n">
        <x:f>'기준스탯 72종'!I36*G709</x:f>
        <x:v>3.3599999999999994</x:v>
      </x:c>
      <x:c r="X709" s="15" t="n">
        <x:f>'기준스탯 72종'!J36*G709</x:f>
        <x:v>0.41999999999999993</x:v>
      </x:c>
      <x:c r="Y709" s="15" t="n">
        <x:f>'기준스탯 72종'!K36*G709</x:f>
        <x:v>0.41999999999999993</x:v>
      </x:c>
      <x:c r="Z709" s="15" t="n">
        <x:f>'기준스탯 72종'!D36*H709</x:f>
        <x:v>2.4000000000000004</x:v>
      </x:c>
      <x:c r="AA709" s="15" t="n">
        <x:f>'기준스탯 72종'!E36*H709</x:f>
        <x:v>1.4400000000000004</x:v>
      </x:c>
      <x:c r="AB709" s="15" t="n">
        <x:f>'기준스탯 72종'!F36*H709</x:f>
        <x:v>1.4400000000000004</x:v>
      </x:c>
      <x:c r="AC709" s="15" t="n">
        <x:f>'기준스탯 72종'!G36*H709</x:f>
        <x:v>1.9200000000000004</x:v>
      </x:c>
      <x:c r="AD709" s="15" t="n">
        <x:f>'기준스탯 72종'!H36*H709</x:f>
        <x:v>1.4400000000000004</x:v>
      </x:c>
      <x:c r="AE709" s="15" t="n">
        <x:f>'기준스탯 72종'!I36*H709</x:f>
        <x:v>1.9200000000000004</x:v>
      </x:c>
      <x:c r="AF709" s="15" t="n">
        <x:f>'기준스탯 72종'!J36*H709</x:f>
        <x:v>0.24000000000000005</x:v>
      </x:c>
      <x:c r="AG709" s="15" t="n">
        <x:f>'기준스탯 72종'!K36*H709</x:f>
        <x:v>0.24000000000000005</x:v>
      </x:c>
    </x:row>
    <x:row r="710" ht="28" customHeight="1">
      <x:c r="A710" s="2" t="n">
        <x:v>703</x:v>
      </x:c>
      <x:c r="B710" s="2" t="n">
        <x:v>29</x:v>
      </x:c>
      <x:c r="C710" s="2" t="str">
        <x:v>사자자리</x:v>
      </x:c>
      <x:c r="D710" s="2" t="str">
        <x:v>도적</x:v>
      </x:c>
      <x:c r="E710" s="2" t="n">
        <x:v>3</x:v>
      </x:c>
      <x:c r="F710" s="2" t="n">
        <x:v>1</x:v>
      </x:c>
      <x:c r="G710" s="14" t="n">
        <x:f>('레벨 계산식'!$E$4-E710)*'레벨 계산식'!$B$5</x:f>
        <x:v>0.27999999999999997</x:v>
      </x:c>
      <x:c r="H710" s="14" t="n">
        <x:f>('등급 계산식'!$E$4-F710)*'등급 계산식'!$B$5</x:f>
        <x:v>0.24000000000000005</x:v>
      </x:c>
      <x:c r="I710" s="14" t="n">
        <x:f>1-G710-H710</x:f>
        <x:v>0.4799999999999999</x:v>
      </x:c>
      <x:c r="J710" s="2" t="n">
        <x:f>MAX(1,ROUND('기준스탯 72종'!D36-R710-Z710,0))</x:f>
        <x:v>5</x:v>
      </x:c>
      <x:c r="K710" s="2" t="n">
        <x:f>MAX(1,ROUND('기준스탯 72종'!E36-S710-AA710,0))</x:f>
        <x:v>3</x:v>
      </x:c>
      <x:c r="L710" s="2" t="n">
        <x:f>MAX(1,ROUND('기준스탯 72종'!F36-T710-AB710,0))</x:f>
        <x:v>3</x:v>
      </x:c>
      <x:c r="M710" s="2" t="n">
        <x:f>MAX(1,ROUND('기준스탯 72종'!G36-U710-AC710,0))</x:f>
        <x:v>4</x:v>
      </x:c>
      <x:c r="N710" s="2" t="n">
        <x:f>MAX(0,ROUND('기준스탯 72종'!H36-V710-AD710,0))</x:f>
        <x:v>3</x:v>
      </x:c>
      <x:c r="O710" s="2" t="n">
        <x:f>MAX(0,ROUND('기준스탯 72종'!I36-W710-AE710,0))</x:f>
        <x:v>4</x:v>
      </x:c>
      <x:c r="P710" s="2" t="n">
        <x:f>MAX(0,ROUND('기준스탯 72종'!J36-X710-AF710,0))</x:f>
        <x:v>0</x:v>
      </x:c>
      <x:c r="Q710" s="2" t="n">
        <x:f>MAX(0,ROUND('기준스탯 72종'!K36-Y710-AG710,0))</x:f>
        <x:v>0</x:v>
      </x:c>
      <x:c r="R710" s="15" t="n">
        <x:f>'기준스탯 72종'!D36*G710</x:f>
        <x:v>2.8</x:v>
      </x:c>
      <x:c r="S710" s="15" t="n">
        <x:f>'기준스탯 72종'!E36*G710</x:f>
        <x:v>1.6799999999999997</x:v>
      </x:c>
      <x:c r="T710" s="15" t="n">
        <x:f>'기준스탯 72종'!F36*G710</x:f>
        <x:v>1.6799999999999997</x:v>
      </x:c>
      <x:c r="U710" s="15" t="n">
        <x:f>'기준스탯 72종'!G36*G710</x:f>
        <x:v>2.2399999999999998</x:v>
      </x:c>
      <x:c r="V710" s="15" t="n">
        <x:f>'기준스탯 72종'!H36*G710</x:f>
        <x:v>1.6799999999999997</x:v>
      </x:c>
      <x:c r="W710" s="15" t="n">
        <x:f>'기준스탯 72종'!I36*G710</x:f>
        <x:v>2.2399999999999998</x:v>
      </x:c>
      <x:c r="X710" s="15" t="n">
        <x:f>'기준스탯 72종'!J36*G710</x:f>
        <x:v>0.27999999999999997</x:v>
      </x:c>
      <x:c r="Y710" s="15" t="n">
        <x:f>'기준스탯 72종'!K36*G710</x:f>
        <x:v>0.27999999999999997</x:v>
      </x:c>
      <x:c r="Z710" s="15" t="n">
        <x:f>'기준스탯 72종'!D36*H710</x:f>
        <x:v>2.4000000000000004</x:v>
      </x:c>
      <x:c r="AA710" s="15" t="n">
        <x:f>'기준스탯 72종'!E36*H710</x:f>
        <x:v>1.4400000000000004</x:v>
      </x:c>
      <x:c r="AB710" s="15" t="n">
        <x:f>'기준스탯 72종'!F36*H710</x:f>
        <x:v>1.4400000000000004</x:v>
      </x:c>
      <x:c r="AC710" s="15" t="n">
        <x:f>'기준스탯 72종'!G36*H710</x:f>
        <x:v>1.9200000000000004</x:v>
      </x:c>
      <x:c r="AD710" s="15" t="n">
        <x:f>'기준스탯 72종'!H36*H710</x:f>
        <x:v>1.4400000000000004</x:v>
      </x:c>
      <x:c r="AE710" s="15" t="n">
        <x:f>'기준스탯 72종'!I36*H710</x:f>
        <x:v>1.9200000000000004</x:v>
      </x:c>
      <x:c r="AF710" s="15" t="n">
        <x:f>'기준스탯 72종'!J36*H710</x:f>
        <x:v>0.24000000000000005</x:v>
      </x:c>
      <x:c r="AG710" s="15" t="n">
        <x:f>'기준스탯 72종'!K36*H710</x:f>
        <x:v>0.24000000000000005</x:v>
      </x:c>
    </x:row>
    <x:row r="711" ht="28" customHeight="1">
      <x:c r="A711" s="2" t="n">
        <x:v>704</x:v>
      </x:c>
      <x:c r="B711" s="2" t="n">
        <x:v>29</x:v>
      </x:c>
      <x:c r="C711" s="2" t="str">
        <x:v>사자자리</x:v>
      </x:c>
      <x:c r="D711" s="2" t="str">
        <x:v>도적</x:v>
      </x:c>
      <x:c r="E711" s="2" t="n">
        <x:v>4</x:v>
      </x:c>
      <x:c r="F711" s="2" t="n">
        <x:v>1</x:v>
      </x:c>
      <x:c r="G711" s="14" t="n">
        <x:f>('레벨 계산식'!$E$4-E711)*'레벨 계산식'!$B$5</x:f>
        <x:v>0.13999999999999999</x:v>
      </x:c>
      <x:c r="H711" s="14" t="n">
        <x:f>('등급 계산식'!$E$4-F711)*'등급 계산식'!$B$5</x:f>
        <x:v>0.24000000000000005</x:v>
      </x:c>
      <x:c r="I711" s="14" t="n">
        <x:f>1-G711-H711</x:f>
        <x:v>0.6199999999999999</x:v>
      </x:c>
      <x:c r="J711" s="2" t="n">
        <x:f>MAX(1,ROUND('기준스탯 72종'!D36-R711-Z711,0))</x:f>
        <x:v>6</x:v>
      </x:c>
      <x:c r="K711" s="2" t="n">
        <x:f>MAX(1,ROUND('기준스탯 72종'!E36-S711-AA711,0))</x:f>
        <x:v>4</x:v>
      </x:c>
      <x:c r="L711" s="2" t="n">
        <x:f>MAX(1,ROUND('기준스탯 72종'!F36-T711-AB711,0))</x:f>
        <x:v>4</x:v>
      </x:c>
      <x:c r="M711" s="2" t="n">
        <x:f>MAX(1,ROUND('기준스탯 72종'!G36-U711-AC711,0))</x:f>
        <x:v>5</x:v>
      </x:c>
      <x:c r="N711" s="2" t="n">
        <x:f>MAX(0,ROUND('기준스탯 72종'!H36-V711-AD711,0))</x:f>
        <x:v>4</x:v>
      </x:c>
      <x:c r="O711" s="2" t="n">
        <x:f>MAX(0,ROUND('기준스탯 72종'!I36-W711-AE711,0))</x:f>
        <x:v>5</x:v>
      </x:c>
      <x:c r="P711" s="2" t="n">
        <x:f>MAX(0,ROUND('기준스탯 72종'!J36-X711-AF711,0))</x:f>
        <x:v>1</x:v>
      </x:c>
      <x:c r="Q711" s="2" t="n">
        <x:f>MAX(0,ROUND('기준스탯 72종'!K36-Y711-AG711,0))</x:f>
        <x:v>1</x:v>
      </x:c>
      <x:c r="R711" s="15" t="n">
        <x:f>'기준스탯 72종'!D36*G711</x:f>
        <x:v>1.4</x:v>
      </x:c>
      <x:c r="S711" s="15" t="n">
        <x:f>'기준스탯 72종'!E36*G711</x:f>
        <x:v>0.8399999999999999</x:v>
      </x:c>
      <x:c r="T711" s="15" t="n">
        <x:f>'기준스탯 72종'!F36*G711</x:f>
        <x:v>0.8399999999999999</x:v>
      </x:c>
      <x:c r="U711" s="15" t="n">
        <x:f>'기준스탯 72종'!G36*G711</x:f>
        <x:v>1.1199999999999999</x:v>
      </x:c>
      <x:c r="V711" s="15" t="n">
        <x:f>'기준스탯 72종'!H36*G711</x:f>
        <x:v>0.8399999999999999</x:v>
      </x:c>
      <x:c r="W711" s="15" t="n">
        <x:f>'기준스탯 72종'!I36*G711</x:f>
        <x:v>1.1199999999999999</x:v>
      </x:c>
      <x:c r="X711" s="15" t="n">
        <x:f>'기준스탯 72종'!J36*G711</x:f>
        <x:v>0.13999999999999999</x:v>
      </x:c>
      <x:c r="Y711" s="15" t="n">
        <x:f>'기준스탯 72종'!K36*G711</x:f>
        <x:v>0.13999999999999999</x:v>
      </x:c>
      <x:c r="Z711" s="15" t="n">
        <x:f>'기준스탯 72종'!D36*H711</x:f>
        <x:v>2.4000000000000004</x:v>
      </x:c>
      <x:c r="AA711" s="15" t="n">
        <x:f>'기준스탯 72종'!E36*H711</x:f>
        <x:v>1.4400000000000004</x:v>
      </x:c>
      <x:c r="AB711" s="15" t="n">
        <x:f>'기준스탯 72종'!F36*H711</x:f>
        <x:v>1.4400000000000004</x:v>
      </x:c>
      <x:c r="AC711" s="15" t="n">
        <x:f>'기준스탯 72종'!G36*H711</x:f>
        <x:v>1.9200000000000004</x:v>
      </x:c>
      <x:c r="AD711" s="15" t="n">
        <x:f>'기준스탯 72종'!H36*H711</x:f>
        <x:v>1.4400000000000004</x:v>
      </x:c>
      <x:c r="AE711" s="15" t="n">
        <x:f>'기준스탯 72종'!I36*H711</x:f>
        <x:v>1.9200000000000004</x:v>
      </x:c>
      <x:c r="AF711" s="15" t="n">
        <x:f>'기준스탯 72종'!J36*H711</x:f>
        <x:v>0.24000000000000005</x:v>
      </x:c>
      <x:c r="AG711" s="15" t="n">
        <x:f>'기준스탯 72종'!K36*H711</x:f>
        <x:v>0.24000000000000005</x:v>
      </x:c>
    </x:row>
    <x:row r="712" ht="28" customHeight="1">
      <x:c r="A712" s="2" t="n">
        <x:v>705</x:v>
      </x:c>
      <x:c r="B712" s="2" t="n">
        <x:v>29</x:v>
      </x:c>
      <x:c r="C712" s="2" t="str">
        <x:v>사자자리</x:v>
      </x:c>
      <x:c r="D712" s="2" t="str">
        <x:v>도적</x:v>
      </x:c>
      <x:c r="E712" s="2" t="n">
        <x:v>5</x:v>
      </x:c>
      <x:c r="F712" s="2" t="n">
        <x:v>1</x:v>
      </x:c>
      <x:c r="G712" s="14" t="n">
        <x:f>('레벨 계산식'!$E$4-E712)*'레벨 계산식'!$B$5</x:f>
        <x:v>0</x:v>
      </x:c>
      <x:c r="H712" s="14" t="n">
        <x:f>('등급 계산식'!$E$4-F712)*'등급 계산식'!$B$5</x:f>
        <x:v>0.24000000000000005</x:v>
      </x:c>
      <x:c r="I712" s="14" t="n">
        <x:f>1-G712-H712</x:f>
        <x:v>0.76</x:v>
      </x:c>
      <x:c r="J712" s="2" t="n">
        <x:f>MAX(1,ROUND('기준스탯 72종'!D36-R712-Z712,0))</x:f>
        <x:v>8</x:v>
      </x:c>
      <x:c r="K712" s="2" t="n">
        <x:f>MAX(1,ROUND('기준스탯 72종'!E36-S712-AA712,0))</x:f>
        <x:v>5</x:v>
      </x:c>
      <x:c r="L712" s="2" t="n">
        <x:f>MAX(1,ROUND('기준스탯 72종'!F36-T712-AB712,0))</x:f>
        <x:v>5</x:v>
      </x:c>
      <x:c r="M712" s="2" t="n">
        <x:f>MAX(1,ROUND('기준스탯 72종'!G36-U712-AC712,0))</x:f>
        <x:v>6</x:v>
      </x:c>
      <x:c r="N712" s="2" t="n">
        <x:f>MAX(0,ROUND('기준스탯 72종'!H36-V712-AD712,0))</x:f>
        <x:v>5</x:v>
      </x:c>
      <x:c r="O712" s="2" t="n">
        <x:f>MAX(0,ROUND('기준스탯 72종'!I36-W712-AE712,0))</x:f>
        <x:v>6</x:v>
      </x:c>
      <x:c r="P712" s="2" t="n">
        <x:f>MAX(0,ROUND('기준스탯 72종'!J36-X712-AF712,0))</x:f>
        <x:v>1</x:v>
      </x:c>
      <x:c r="Q712" s="2" t="n">
        <x:f>MAX(0,ROUND('기준스탯 72종'!K36-Y712-AG712,0))</x:f>
        <x:v>1</x:v>
      </x:c>
      <x:c r="R712" s="15" t="n">
        <x:f>'기준스탯 72종'!D36*G712</x:f>
        <x:v>0</x:v>
      </x:c>
      <x:c r="S712" s="15" t="n">
        <x:f>'기준스탯 72종'!E36*G712</x:f>
        <x:v>0</x:v>
      </x:c>
      <x:c r="T712" s="15" t="n">
        <x:f>'기준스탯 72종'!F36*G712</x:f>
        <x:v>0</x:v>
      </x:c>
      <x:c r="U712" s="15" t="n">
        <x:f>'기준스탯 72종'!G36*G712</x:f>
        <x:v>0</x:v>
      </x:c>
      <x:c r="V712" s="15" t="n">
        <x:f>'기준스탯 72종'!H36*G712</x:f>
        <x:v>0</x:v>
      </x:c>
      <x:c r="W712" s="15" t="n">
        <x:f>'기준스탯 72종'!I36*G712</x:f>
        <x:v>0</x:v>
      </x:c>
      <x:c r="X712" s="15" t="n">
        <x:f>'기준스탯 72종'!J36*G712</x:f>
        <x:v>0</x:v>
      </x:c>
      <x:c r="Y712" s="15" t="n">
        <x:f>'기준스탯 72종'!K36*G712</x:f>
        <x:v>0</x:v>
      </x:c>
      <x:c r="Z712" s="15" t="n">
        <x:f>'기준스탯 72종'!D36*H712</x:f>
        <x:v>2.4000000000000004</x:v>
      </x:c>
      <x:c r="AA712" s="15" t="n">
        <x:f>'기준스탯 72종'!E36*H712</x:f>
        <x:v>1.4400000000000004</x:v>
      </x:c>
      <x:c r="AB712" s="15" t="n">
        <x:f>'기준스탯 72종'!F36*H712</x:f>
        <x:v>1.4400000000000004</x:v>
      </x:c>
      <x:c r="AC712" s="15" t="n">
        <x:f>'기준스탯 72종'!G36*H712</x:f>
        <x:v>1.9200000000000004</x:v>
      </x:c>
      <x:c r="AD712" s="15" t="n">
        <x:f>'기준스탯 72종'!H36*H712</x:f>
        <x:v>1.4400000000000004</x:v>
      </x:c>
      <x:c r="AE712" s="15" t="n">
        <x:f>'기준스탯 72종'!I36*H712</x:f>
        <x:v>1.9200000000000004</x:v>
      </x:c>
      <x:c r="AF712" s="15" t="n">
        <x:f>'기준스탯 72종'!J36*H712</x:f>
        <x:v>0.24000000000000005</x:v>
      </x:c>
      <x:c r="AG712" s="15" t="n">
        <x:f>'기준스탯 72종'!K36*H712</x:f>
        <x:v>0.24000000000000005</x:v>
      </x:c>
    </x:row>
    <x:row r="713" ht="28" customHeight="1">
      <x:c r="A713" s="2" t="n">
        <x:v>706</x:v>
      </x:c>
      <x:c r="B713" s="2" t="n">
        <x:v>29</x:v>
      </x:c>
      <x:c r="C713" s="2" t="str">
        <x:v>사자자리</x:v>
      </x:c>
      <x:c r="D713" s="2" t="str">
        <x:v>도적</x:v>
      </x:c>
      <x:c r="E713" s="2" t="n">
        <x:v>1</x:v>
      </x:c>
      <x:c r="F713" s="2" t="n">
        <x:v>2</x:v>
      </x:c>
      <x:c r="G713" s="14" t="n">
        <x:f>('레벨 계산식'!$E$4-E713)*'레벨 계산식'!$B$5</x:f>
        <x:v>0.5599999999999999</x:v>
      </x:c>
      <x:c r="H713" s="14" t="n">
        <x:f>('등급 계산식'!$E$4-F713)*'등급 계산식'!$B$5</x:f>
        <x:v>0.18000000000000005</x:v>
      </x:c>
      <x:c r="I713" s="14" t="n">
        <x:f>1-G713-H713</x:f>
        <x:v>0.26</x:v>
      </x:c>
      <x:c r="J713" s="2" t="n">
        <x:f>MAX(1,ROUND('기준스탯 72종'!D36-R713-Z713,0))</x:f>
        <x:v>3</x:v>
      </x:c>
      <x:c r="K713" s="2" t="n">
        <x:f>MAX(1,ROUND('기준스탯 72종'!E36-S713-AA713,0))</x:f>
        <x:v>2</x:v>
      </x:c>
      <x:c r="L713" s="2" t="n">
        <x:f>MAX(1,ROUND('기준스탯 72종'!F36-T713-AB713,0))</x:f>
        <x:v>2</x:v>
      </x:c>
      <x:c r="M713" s="2" t="n">
        <x:f>MAX(1,ROUND('기준스탯 72종'!G36-U713-AC713,0))</x:f>
        <x:v>2</x:v>
      </x:c>
      <x:c r="N713" s="2" t="n">
        <x:f>MAX(0,ROUND('기준스탯 72종'!H36-V713-AD713,0))</x:f>
        <x:v>2</x:v>
      </x:c>
      <x:c r="O713" s="2" t="n">
        <x:f>MAX(0,ROUND('기준스탯 72종'!I36-W713-AE713,0))</x:f>
        <x:v>2</x:v>
      </x:c>
      <x:c r="P713" s="2" t="n">
        <x:f>MAX(0,ROUND('기준스탯 72종'!J36-X713-AF713,0))</x:f>
        <x:v>0</x:v>
      </x:c>
      <x:c r="Q713" s="2" t="n">
        <x:f>MAX(0,ROUND('기준스탯 72종'!K36-Y713-AG713,0))</x:f>
        <x:v>0</x:v>
      </x:c>
      <x:c r="R713" s="15" t="n">
        <x:f>'기준스탯 72종'!D36*G713</x:f>
        <x:v>5.6</x:v>
      </x:c>
      <x:c r="S713" s="15" t="n">
        <x:f>'기준스탯 72종'!E36*G713</x:f>
        <x:v>3.3599999999999994</x:v>
      </x:c>
      <x:c r="T713" s="15" t="n">
        <x:f>'기준스탯 72종'!F36*G713</x:f>
        <x:v>3.3599999999999994</x:v>
      </x:c>
      <x:c r="U713" s="15" t="n">
        <x:f>'기준스탯 72종'!G36*G713</x:f>
        <x:v>4.4799999999999995</x:v>
      </x:c>
      <x:c r="V713" s="15" t="n">
        <x:f>'기준스탯 72종'!H36*G713</x:f>
        <x:v>3.3599999999999994</x:v>
      </x:c>
      <x:c r="W713" s="15" t="n">
        <x:f>'기준스탯 72종'!I36*G713</x:f>
        <x:v>4.4799999999999995</x:v>
      </x:c>
      <x:c r="X713" s="15" t="n">
        <x:f>'기준스탯 72종'!J36*G713</x:f>
        <x:v>0.5599999999999999</x:v>
      </x:c>
      <x:c r="Y713" s="15" t="n">
        <x:f>'기준스탯 72종'!K36*G713</x:f>
        <x:v>0.5599999999999999</x:v>
      </x:c>
      <x:c r="Z713" s="15" t="n">
        <x:f>'기준스탯 72종'!D36*H713</x:f>
        <x:v>1.8000000000000005</x:v>
      </x:c>
      <x:c r="AA713" s="15" t="n">
        <x:f>'기준스탯 72종'!E36*H713</x:f>
        <x:v>1.0800000000000003</x:v>
      </x:c>
      <x:c r="AB713" s="15" t="n">
        <x:f>'기준스탯 72종'!F36*H713</x:f>
        <x:v>1.0800000000000003</x:v>
      </x:c>
      <x:c r="AC713" s="15" t="n">
        <x:f>'기준스탯 72종'!G36*H713</x:f>
        <x:v>1.4400000000000004</x:v>
      </x:c>
      <x:c r="AD713" s="15" t="n">
        <x:f>'기준스탯 72종'!H36*H713</x:f>
        <x:v>1.0800000000000003</x:v>
      </x:c>
      <x:c r="AE713" s="15" t="n">
        <x:f>'기준스탯 72종'!I36*H713</x:f>
        <x:v>1.4400000000000004</x:v>
      </x:c>
      <x:c r="AF713" s="15" t="n">
        <x:f>'기준스탯 72종'!J36*H713</x:f>
        <x:v>0.18000000000000005</x:v>
      </x:c>
      <x:c r="AG713" s="15" t="n">
        <x:f>'기준스탯 72종'!K36*H713</x:f>
        <x:v>0.18000000000000005</x:v>
      </x:c>
    </x:row>
    <x:row r="714" ht="28" customHeight="1">
      <x:c r="A714" s="2" t="n">
        <x:v>707</x:v>
      </x:c>
      <x:c r="B714" s="2" t="n">
        <x:v>29</x:v>
      </x:c>
      <x:c r="C714" s="2" t="str">
        <x:v>사자자리</x:v>
      </x:c>
      <x:c r="D714" s="2" t="str">
        <x:v>도적</x:v>
      </x:c>
      <x:c r="E714" s="2" t="n">
        <x:v>2</x:v>
      </x:c>
      <x:c r="F714" s="2" t="n">
        <x:v>2</x:v>
      </x:c>
      <x:c r="G714" s="14" t="n">
        <x:f>('레벨 계산식'!$E$4-E714)*'레벨 계산식'!$B$5</x:f>
        <x:v>0.41999999999999993</x:v>
      </x:c>
      <x:c r="H714" s="14" t="n">
        <x:f>('등급 계산식'!$E$4-F714)*'등급 계산식'!$B$5</x:f>
        <x:v>0.18000000000000005</x:v>
      </x:c>
      <x:c r="I714" s="14" t="n">
        <x:f>1-G714-H714</x:f>
        <x:v>0.4</x:v>
      </x:c>
      <x:c r="J714" s="2" t="n">
        <x:f>MAX(1,ROUND('기준스탯 72종'!D36-R714-Z714,0))</x:f>
        <x:v>4</x:v>
      </x:c>
      <x:c r="K714" s="2" t="n">
        <x:f>MAX(1,ROUND('기준스탯 72종'!E36-S714-AA714,0))</x:f>
        <x:v>2</x:v>
      </x:c>
      <x:c r="L714" s="2" t="n">
        <x:f>MAX(1,ROUND('기준스탯 72종'!F36-T714-AB714,0))</x:f>
        <x:v>2</x:v>
      </x:c>
      <x:c r="M714" s="2" t="n">
        <x:f>MAX(1,ROUND('기준스탯 72종'!G36-U714-AC714,0))</x:f>
        <x:v>3</x:v>
      </x:c>
      <x:c r="N714" s="2" t="n">
        <x:f>MAX(0,ROUND('기준스탯 72종'!H36-V714-AD714,0))</x:f>
        <x:v>2</x:v>
      </x:c>
      <x:c r="O714" s="2" t="n">
        <x:f>MAX(0,ROUND('기준스탯 72종'!I36-W714-AE714,0))</x:f>
        <x:v>3</x:v>
      </x:c>
      <x:c r="P714" s="2" t="n">
        <x:f>MAX(0,ROUND('기준스탯 72종'!J36-X714-AF714,0))</x:f>
        <x:v>0</x:v>
      </x:c>
      <x:c r="Q714" s="2" t="n">
        <x:f>MAX(0,ROUND('기준스탯 72종'!K36-Y714-AG714,0))</x:f>
        <x:v>0</x:v>
      </x:c>
      <x:c r="R714" s="15" t="n">
        <x:f>'기준스탯 72종'!D36*G714</x:f>
        <x:v>4.199999999999999</x:v>
      </x:c>
      <x:c r="S714" s="15" t="n">
        <x:f>'기준스탯 72종'!E36*G714</x:f>
        <x:v>2.5199999999999996</x:v>
      </x:c>
      <x:c r="T714" s="15" t="n">
        <x:f>'기준스탯 72종'!F36*G714</x:f>
        <x:v>2.5199999999999996</x:v>
      </x:c>
      <x:c r="U714" s="15" t="n">
        <x:f>'기준스탯 72종'!G36*G714</x:f>
        <x:v>3.3599999999999994</x:v>
      </x:c>
      <x:c r="V714" s="15" t="n">
        <x:f>'기준스탯 72종'!H36*G714</x:f>
        <x:v>2.5199999999999996</x:v>
      </x:c>
      <x:c r="W714" s="15" t="n">
        <x:f>'기준스탯 72종'!I36*G714</x:f>
        <x:v>3.3599999999999994</x:v>
      </x:c>
      <x:c r="X714" s="15" t="n">
        <x:f>'기준스탯 72종'!J36*G714</x:f>
        <x:v>0.41999999999999993</x:v>
      </x:c>
      <x:c r="Y714" s="15" t="n">
        <x:f>'기준스탯 72종'!K36*G714</x:f>
        <x:v>0.41999999999999993</x:v>
      </x:c>
      <x:c r="Z714" s="15" t="n">
        <x:f>'기준스탯 72종'!D36*H714</x:f>
        <x:v>1.8000000000000005</x:v>
      </x:c>
      <x:c r="AA714" s="15" t="n">
        <x:f>'기준스탯 72종'!E36*H714</x:f>
        <x:v>1.0800000000000003</x:v>
      </x:c>
      <x:c r="AB714" s="15" t="n">
        <x:f>'기준스탯 72종'!F36*H714</x:f>
        <x:v>1.0800000000000003</x:v>
      </x:c>
      <x:c r="AC714" s="15" t="n">
        <x:f>'기준스탯 72종'!G36*H714</x:f>
        <x:v>1.4400000000000004</x:v>
      </x:c>
      <x:c r="AD714" s="15" t="n">
        <x:f>'기준스탯 72종'!H36*H714</x:f>
        <x:v>1.0800000000000003</x:v>
      </x:c>
      <x:c r="AE714" s="15" t="n">
        <x:f>'기준스탯 72종'!I36*H714</x:f>
        <x:v>1.4400000000000004</x:v>
      </x:c>
      <x:c r="AF714" s="15" t="n">
        <x:f>'기준스탯 72종'!J36*H714</x:f>
        <x:v>0.18000000000000005</x:v>
      </x:c>
      <x:c r="AG714" s="15" t="n">
        <x:f>'기준스탯 72종'!K36*H714</x:f>
        <x:v>0.18000000000000005</x:v>
      </x:c>
    </x:row>
    <x:row r="715" ht="28" customHeight="1">
      <x:c r="A715" s="2" t="n">
        <x:v>708</x:v>
      </x:c>
      <x:c r="B715" s="2" t="n">
        <x:v>29</x:v>
      </x:c>
      <x:c r="C715" s="2" t="str">
        <x:v>사자자리</x:v>
      </x:c>
      <x:c r="D715" s="2" t="str">
        <x:v>도적</x:v>
      </x:c>
      <x:c r="E715" s="2" t="n">
        <x:v>3</x:v>
      </x:c>
      <x:c r="F715" s="2" t="n">
        <x:v>2</x:v>
      </x:c>
      <x:c r="G715" s="14" t="n">
        <x:f>('레벨 계산식'!$E$4-E715)*'레벨 계산식'!$B$5</x:f>
        <x:v>0.27999999999999997</x:v>
      </x:c>
      <x:c r="H715" s="14" t="n">
        <x:f>('등급 계산식'!$E$4-F715)*'등급 계산식'!$B$5</x:f>
        <x:v>0.18000000000000005</x:v>
      </x:c>
      <x:c r="I715" s="14" t="n">
        <x:f>1-G715-H715</x:f>
        <x:v>0.5399999999999999</x:v>
      </x:c>
      <x:c r="J715" s="2" t="n">
        <x:f>MAX(1,ROUND('기준스탯 72종'!D36-R715-Z715,0))</x:f>
        <x:v>5</x:v>
      </x:c>
      <x:c r="K715" s="2" t="n">
        <x:f>MAX(1,ROUND('기준스탯 72종'!E36-S715-AA715,0))</x:f>
        <x:v>3</x:v>
      </x:c>
      <x:c r="L715" s="2" t="n">
        <x:f>MAX(1,ROUND('기준스탯 72종'!F36-T715-AB715,0))</x:f>
        <x:v>3</x:v>
      </x:c>
      <x:c r="M715" s="2" t="n">
        <x:f>MAX(1,ROUND('기준스탯 72종'!G36-U715-AC715,0))</x:f>
        <x:v>4</x:v>
      </x:c>
      <x:c r="N715" s="2" t="n">
        <x:f>MAX(0,ROUND('기준스탯 72종'!H36-V715-AD715,0))</x:f>
        <x:v>3</x:v>
      </x:c>
      <x:c r="O715" s="2" t="n">
        <x:f>MAX(0,ROUND('기준스탯 72종'!I36-W715-AE715,0))</x:f>
        <x:v>4</x:v>
      </x:c>
      <x:c r="P715" s="2" t="n">
        <x:f>MAX(0,ROUND('기준스탯 72종'!J36-X715-AF715,0))</x:f>
        <x:v>1</x:v>
      </x:c>
      <x:c r="Q715" s="2" t="n">
        <x:f>MAX(0,ROUND('기준스탯 72종'!K36-Y715-AG715,0))</x:f>
        <x:v>1</x:v>
      </x:c>
      <x:c r="R715" s="15" t="n">
        <x:f>'기준스탯 72종'!D36*G715</x:f>
        <x:v>2.8</x:v>
      </x:c>
      <x:c r="S715" s="15" t="n">
        <x:f>'기준스탯 72종'!E36*G715</x:f>
        <x:v>1.6799999999999997</x:v>
      </x:c>
      <x:c r="T715" s="15" t="n">
        <x:f>'기준스탯 72종'!F36*G715</x:f>
        <x:v>1.6799999999999997</x:v>
      </x:c>
      <x:c r="U715" s="15" t="n">
        <x:f>'기준스탯 72종'!G36*G715</x:f>
        <x:v>2.2399999999999998</x:v>
      </x:c>
      <x:c r="V715" s="15" t="n">
        <x:f>'기준스탯 72종'!H36*G715</x:f>
        <x:v>1.6799999999999997</x:v>
      </x:c>
      <x:c r="W715" s="15" t="n">
        <x:f>'기준스탯 72종'!I36*G715</x:f>
        <x:v>2.2399999999999998</x:v>
      </x:c>
      <x:c r="X715" s="15" t="n">
        <x:f>'기준스탯 72종'!J36*G715</x:f>
        <x:v>0.27999999999999997</x:v>
      </x:c>
      <x:c r="Y715" s="15" t="n">
        <x:f>'기준스탯 72종'!K36*G715</x:f>
        <x:v>0.27999999999999997</x:v>
      </x:c>
      <x:c r="Z715" s="15" t="n">
        <x:f>'기준스탯 72종'!D36*H715</x:f>
        <x:v>1.8000000000000005</x:v>
      </x:c>
      <x:c r="AA715" s="15" t="n">
        <x:f>'기준스탯 72종'!E36*H715</x:f>
        <x:v>1.0800000000000003</x:v>
      </x:c>
      <x:c r="AB715" s="15" t="n">
        <x:f>'기준스탯 72종'!F36*H715</x:f>
        <x:v>1.0800000000000003</x:v>
      </x:c>
      <x:c r="AC715" s="15" t="n">
        <x:f>'기준스탯 72종'!G36*H715</x:f>
        <x:v>1.4400000000000004</x:v>
      </x:c>
      <x:c r="AD715" s="15" t="n">
        <x:f>'기준스탯 72종'!H36*H715</x:f>
        <x:v>1.0800000000000003</x:v>
      </x:c>
      <x:c r="AE715" s="15" t="n">
        <x:f>'기준스탯 72종'!I36*H715</x:f>
        <x:v>1.4400000000000004</x:v>
      </x:c>
      <x:c r="AF715" s="15" t="n">
        <x:f>'기준스탯 72종'!J36*H715</x:f>
        <x:v>0.18000000000000005</x:v>
      </x:c>
      <x:c r="AG715" s="15" t="n">
        <x:f>'기준스탯 72종'!K36*H715</x:f>
        <x:v>0.18000000000000005</x:v>
      </x:c>
    </x:row>
    <x:row r="716" ht="28" customHeight="1">
      <x:c r="A716" s="2" t="n">
        <x:v>709</x:v>
      </x:c>
      <x:c r="B716" s="2" t="n">
        <x:v>29</x:v>
      </x:c>
      <x:c r="C716" s="2" t="str">
        <x:v>사자자리</x:v>
      </x:c>
      <x:c r="D716" s="2" t="str">
        <x:v>도적</x:v>
      </x:c>
      <x:c r="E716" s="2" t="n">
        <x:v>4</x:v>
      </x:c>
      <x:c r="F716" s="2" t="n">
        <x:v>2</x:v>
      </x:c>
      <x:c r="G716" s="14" t="n">
        <x:f>('레벨 계산식'!$E$4-E716)*'레벨 계산식'!$B$5</x:f>
        <x:v>0.13999999999999999</x:v>
      </x:c>
      <x:c r="H716" s="14" t="n">
        <x:f>('등급 계산식'!$E$4-F716)*'등급 계산식'!$B$5</x:f>
        <x:v>0.18000000000000005</x:v>
      </x:c>
      <x:c r="I716" s="14" t="n">
        <x:f>1-G716-H716</x:f>
        <x:v>0.6799999999999999</x:v>
      </x:c>
      <x:c r="J716" s="2" t="n">
        <x:f>MAX(1,ROUND('기준스탯 72종'!D36-R716-Z716,0))</x:f>
        <x:v>7</x:v>
      </x:c>
      <x:c r="K716" s="2" t="n">
        <x:f>MAX(1,ROUND('기준스탯 72종'!E36-S716-AA716,0))</x:f>
        <x:v>4</x:v>
      </x:c>
      <x:c r="L716" s="2" t="n">
        <x:f>MAX(1,ROUND('기준스탯 72종'!F36-T716-AB716,0))</x:f>
        <x:v>4</x:v>
      </x:c>
      <x:c r="M716" s="2" t="n">
        <x:f>MAX(1,ROUND('기준스탯 72종'!G36-U716-AC716,0))</x:f>
        <x:v>5</x:v>
      </x:c>
      <x:c r="N716" s="2" t="n">
        <x:f>MAX(0,ROUND('기준스탯 72종'!H36-V716-AD716,0))</x:f>
        <x:v>4</x:v>
      </x:c>
      <x:c r="O716" s="2" t="n">
        <x:f>MAX(0,ROUND('기준스탯 72종'!I36-W716-AE716,0))</x:f>
        <x:v>5</x:v>
      </x:c>
      <x:c r="P716" s="2" t="n">
        <x:f>MAX(0,ROUND('기준스탯 72종'!J36-X716-AF716,0))</x:f>
        <x:v>1</x:v>
      </x:c>
      <x:c r="Q716" s="2" t="n">
        <x:f>MAX(0,ROUND('기준스탯 72종'!K36-Y716-AG716,0))</x:f>
        <x:v>1</x:v>
      </x:c>
      <x:c r="R716" s="15" t="n">
        <x:f>'기준스탯 72종'!D36*G716</x:f>
        <x:v>1.4</x:v>
      </x:c>
      <x:c r="S716" s="15" t="n">
        <x:f>'기준스탯 72종'!E36*G716</x:f>
        <x:v>0.8399999999999999</x:v>
      </x:c>
      <x:c r="T716" s="15" t="n">
        <x:f>'기준스탯 72종'!F36*G716</x:f>
        <x:v>0.8399999999999999</x:v>
      </x:c>
      <x:c r="U716" s="15" t="n">
        <x:f>'기준스탯 72종'!G36*G716</x:f>
        <x:v>1.1199999999999999</x:v>
      </x:c>
      <x:c r="V716" s="15" t="n">
        <x:f>'기준스탯 72종'!H36*G716</x:f>
        <x:v>0.8399999999999999</x:v>
      </x:c>
      <x:c r="W716" s="15" t="n">
        <x:f>'기준스탯 72종'!I36*G716</x:f>
        <x:v>1.1199999999999999</x:v>
      </x:c>
      <x:c r="X716" s="15" t="n">
        <x:f>'기준스탯 72종'!J36*G716</x:f>
        <x:v>0.13999999999999999</x:v>
      </x:c>
      <x:c r="Y716" s="15" t="n">
        <x:f>'기준스탯 72종'!K36*G716</x:f>
        <x:v>0.13999999999999999</x:v>
      </x:c>
      <x:c r="Z716" s="15" t="n">
        <x:f>'기준스탯 72종'!D36*H716</x:f>
        <x:v>1.8000000000000005</x:v>
      </x:c>
      <x:c r="AA716" s="15" t="n">
        <x:f>'기준스탯 72종'!E36*H716</x:f>
        <x:v>1.0800000000000003</x:v>
      </x:c>
      <x:c r="AB716" s="15" t="n">
        <x:f>'기준스탯 72종'!F36*H716</x:f>
        <x:v>1.0800000000000003</x:v>
      </x:c>
      <x:c r="AC716" s="15" t="n">
        <x:f>'기준스탯 72종'!G36*H716</x:f>
        <x:v>1.4400000000000004</x:v>
      </x:c>
      <x:c r="AD716" s="15" t="n">
        <x:f>'기준스탯 72종'!H36*H716</x:f>
        <x:v>1.0800000000000003</x:v>
      </x:c>
      <x:c r="AE716" s="15" t="n">
        <x:f>'기준스탯 72종'!I36*H716</x:f>
        <x:v>1.4400000000000004</x:v>
      </x:c>
      <x:c r="AF716" s="15" t="n">
        <x:f>'기준스탯 72종'!J36*H716</x:f>
        <x:v>0.18000000000000005</x:v>
      </x:c>
      <x:c r="AG716" s="15" t="n">
        <x:f>'기준스탯 72종'!K36*H716</x:f>
        <x:v>0.18000000000000005</x:v>
      </x:c>
    </x:row>
    <x:row r="717" ht="28" customHeight="1">
      <x:c r="A717" s="2" t="n">
        <x:v>710</x:v>
      </x:c>
      <x:c r="B717" s="2" t="n">
        <x:v>29</x:v>
      </x:c>
      <x:c r="C717" s="2" t="str">
        <x:v>사자자리</x:v>
      </x:c>
      <x:c r="D717" s="2" t="str">
        <x:v>도적</x:v>
      </x:c>
      <x:c r="E717" s="2" t="n">
        <x:v>5</x:v>
      </x:c>
      <x:c r="F717" s="2" t="n">
        <x:v>2</x:v>
      </x:c>
      <x:c r="G717" s="14" t="n">
        <x:f>('레벨 계산식'!$E$4-E717)*'레벨 계산식'!$B$5</x:f>
        <x:v>0</x:v>
      </x:c>
      <x:c r="H717" s="14" t="n">
        <x:f>('등급 계산식'!$E$4-F717)*'등급 계산식'!$B$5</x:f>
        <x:v>0.18000000000000005</x:v>
      </x:c>
      <x:c r="I717" s="14" t="n">
        <x:f>1-G717-H717</x:f>
        <x:v>0.82</x:v>
      </x:c>
      <x:c r="J717" s="2" t="n">
        <x:f>MAX(1,ROUND('기준스탯 72종'!D36-R717-Z717,0))</x:f>
        <x:v>8</x:v>
      </x:c>
      <x:c r="K717" s="2" t="n">
        <x:f>MAX(1,ROUND('기준스탯 72종'!E36-S717-AA717,0))</x:f>
        <x:v>5</x:v>
      </x:c>
      <x:c r="L717" s="2" t="n">
        <x:f>MAX(1,ROUND('기준스탯 72종'!F36-T717-AB717,0))</x:f>
        <x:v>5</x:v>
      </x:c>
      <x:c r="M717" s="2" t="n">
        <x:f>MAX(1,ROUND('기준스탯 72종'!G36-U717-AC717,0))</x:f>
        <x:v>7</x:v>
      </x:c>
      <x:c r="N717" s="2" t="n">
        <x:f>MAX(0,ROUND('기준스탯 72종'!H36-V717-AD717,0))</x:f>
        <x:v>5</x:v>
      </x:c>
      <x:c r="O717" s="2" t="n">
        <x:f>MAX(0,ROUND('기준스탯 72종'!I36-W717-AE717,0))</x:f>
        <x:v>7</x:v>
      </x:c>
      <x:c r="P717" s="2" t="n">
        <x:f>MAX(0,ROUND('기준스탯 72종'!J36-X717-AF717,0))</x:f>
        <x:v>1</x:v>
      </x:c>
      <x:c r="Q717" s="2" t="n">
        <x:f>MAX(0,ROUND('기준스탯 72종'!K36-Y717-AG717,0))</x:f>
        <x:v>1</x:v>
      </x:c>
      <x:c r="R717" s="15" t="n">
        <x:f>'기준스탯 72종'!D36*G717</x:f>
        <x:v>0</x:v>
      </x:c>
      <x:c r="S717" s="15" t="n">
        <x:f>'기준스탯 72종'!E36*G717</x:f>
        <x:v>0</x:v>
      </x:c>
      <x:c r="T717" s="15" t="n">
        <x:f>'기준스탯 72종'!F36*G717</x:f>
        <x:v>0</x:v>
      </x:c>
      <x:c r="U717" s="15" t="n">
        <x:f>'기준스탯 72종'!G36*G717</x:f>
        <x:v>0</x:v>
      </x:c>
      <x:c r="V717" s="15" t="n">
        <x:f>'기준스탯 72종'!H36*G717</x:f>
        <x:v>0</x:v>
      </x:c>
      <x:c r="W717" s="15" t="n">
        <x:f>'기준스탯 72종'!I36*G717</x:f>
        <x:v>0</x:v>
      </x:c>
      <x:c r="X717" s="15" t="n">
        <x:f>'기준스탯 72종'!J36*G717</x:f>
        <x:v>0</x:v>
      </x:c>
      <x:c r="Y717" s="15" t="n">
        <x:f>'기준스탯 72종'!K36*G717</x:f>
        <x:v>0</x:v>
      </x:c>
      <x:c r="Z717" s="15" t="n">
        <x:f>'기준스탯 72종'!D36*H717</x:f>
        <x:v>1.8000000000000005</x:v>
      </x:c>
      <x:c r="AA717" s="15" t="n">
        <x:f>'기준스탯 72종'!E36*H717</x:f>
        <x:v>1.0800000000000003</x:v>
      </x:c>
      <x:c r="AB717" s="15" t="n">
        <x:f>'기준스탯 72종'!F36*H717</x:f>
        <x:v>1.0800000000000003</x:v>
      </x:c>
      <x:c r="AC717" s="15" t="n">
        <x:f>'기준스탯 72종'!G36*H717</x:f>
        <x:v>1.4400000000000004</x:v>
      </x:c>
      <x:c r="AD717" s="15" t="n">
        <x:f>'기준스탯 72종'!H36*H717</x:f>
        <x:v>1.0800000000000003</x:v>
      </x:c>
      <x:c r="AE717" s="15" t="n">
        <x:f>'기준스탯 72종'!I36*H717</x:f>
        <x:v>1.4400000000000004</x:v>
      </x:c>
      <x:c r="AF717" s="15" t="n">
        <x:f>'기준스탯 72종'!J36*H717</x:f>
        <x:v>0.18000000000000005</x:v>
      </x:c>
      <x:c r="AG717" s="15" t="n">
        <x:f>'기준스탯 72종'!K36*H717</x:f>
        <x:v>0.18000000000000005</x:v>
      </x:c>
    </x:row>
    <x:row r="718" ht="28" customHeight="1">
      <x:c r="A718" s="2" t="n">
        <x:v>711</x:v>
      </x:c>
      <x:c r="B718" s="2" t="n">
        <x:v>29</x:v>
      </x:c>
      <x:c r="C718" s="2" t="str">
        <x:v>사자자리</x:v>
      </x:c>
      <x:c r="D718" s="2" t="str">
        <x:v>도적</x:v>
      </x:c>
      <x:c r="E718" s="2" t="n">
        <x:v>1</x:v>
      </x:c>
      <x:c r="F718" s="2" t="n">
        <x:v>3</x:v>
      </x:c>
      <x:c r="G718" s="14" t="n">
        <x:f>('레벨 계산식'!$E$4-E718)*'레벨 계산식'!$B$5</x:f>
        <x:v>0.5599999999999999</x:v>
      </x:c>
      <x:c r="H718" s="14" t="n">
        <x:f>('등급 계산식'!$E$4-F718)*'등급 계산식'!$B$5</x:f>
        <x:v>0.12000000000000002</x:v>
      </x:c>
      <x:c r="I718" s="14" t="n">
        <x:f>1-G718-H718</x:f>
        <x:v>0.32000000000000006</x:v>
      </x:c>
      <x:c r="J718" s="2" t="n">
        <x:f>MAX(1,ROUND('기준스탯 72종'!D36-R718-Z718,0))</x:f>
        <x:v>3</x:v>
      </x:c>
      <x:c r="K718" s="2" t="n">
        <x:f>MAX(1,ROUND('기준스탯 72종'!E36-S718-AA718,0))</x:f>
        <x:v>2</x:v>
      </x:c>
      <x:c r="L718" s="2" t="n">
        <x:f>MAX(1,ROUND('기준스탯 72종'!F36-T718-AB718,0))</x:f>
        <x:v>2</x:v>
      </x:c>
      <x:c r="M718" s="2" t="n">
        <x:f>MAX(1,ROUND('기준스탯 72종'!G36-U718-AC718,0))</x:f>
        <x:v>3</x:v>
      </x:c>
      <x:c r="N718" s="2" t="n">
        <x:f>MAX(0,ROUND('기준스탯 72종'!H36-V718-AD718,0))</x:f>
        <x:v>2</x:v>
      </x:c>
      <x:c r="O718" s="2" t="n">
        <x:f>MAX(0,ROUND('기준스탯 72종'!I36-W718-AE718,0))</x:f>
        <x:v>3</x:v>
      </x:c>
      <x:c r="P718" s="2" t="n">
        <x:f>MAX(0,ROUND('기준스탯 72종'!J36-X718-AF718,0))</x:f>
        <x:v>0</x:v>
      </x:c>
      <x:c r="Q718" s="2" t="n">
        <x:f>MAX(0,ROUND('기준스탯 72종'!K36-Y718-AG718,0))</x:f>
        <x:v>0</x:v>
      </x:c>
      <x:c r="R718" s="15" t="n">
        <x:f>'기준스탯 72종'!D36*G718</x:f>
        <x:v>5.6</x:v>
      </x:c>
      <x:c r="S718" s="15" t="n">
        <x:f>'기준스탯 72종'!E36*G718</x:f>
        <x:v>3.3599999999999994</x:v>
      </x:c>
      <x:c r="T718" s="15" t="n">
        <x:f>'기준스탯 72종'!F36*G718</x:f>
        <x:v>3.3599999999999994</x:v>
      </x:c>
      <x:c r="U718" s="15" t="n">
        <x:f>'기준스탯 72종'!G36*G718</x:f>
        <x:v>4.4799999999999995</x:v>
      </x:c>
      <x:c r="V718" s="15" t="n">
        <x:f>'기준스탯 72종'!H36*G718</x:f>
        <x:v>3.3599999999999994</x:v>
      </x:c>
      <x:c r="W718" s="15" t="n">
        <x:f>'기준스탯 72종'!I36*G718</x:f>
        <x:v>4.4799999999999995</x:v>
      </x:c>
      <x:c r="X718" s="15" t="n">
        <x:f>'기준스탯 72종'!J36*G718</x:f>
        <x:v>0.5599999999999999</x:v>
      </x:c>
      <x:c r="Y718" s="15" t="n">
        <x:f>'기준스탯 72종'!K36*G718</x:f>
        <x:v>0.5599999999999999</x:v>
      </x:c>
      <x:c r="Z718" s="15" t="n">
        <x:f>'기준스탯 72종'!D36*H718</x:f>
        <x:v>1.2000000000000002</x:v>
      </x:c>
      <x:c r="AA718" s="15" t="n">
        <x:f>'기준스탯 72종'!E36*H718</x:f>
        <x:v>0.7200000000000002</x:v>
      </x:c>
      <x:c r="AB718" s="15" t="n">
        <x:f>'기준스탯 72종'!F36*H718</x:f>
        <x:v>0.7200000000000002</x:v>
      </x:c>
      <x:c r="AC718" s="15" t="n">
        <x:f>'기준스탯 72종'!G36*H718</x:f>
        <x:v>0.9600000000000002</x:v>
      </x:c>
      <x:c r="AD718" s="15" t="n">
        <x:f>'기준스탯 72종'!H36*H718</x:f>
        <x:v>0.7200000000000002</x:v>
      </x:c>
      <x:c r="AE718" s="15" t="n">
        <x:f>'기준스탯 72종'!I36*H718</x:f>
        <x:v>0.9600000000000002</x:v>
      </x:c>
      <x:c r="AF718" s="15" t="n">
        <x:f>'기준스탯 72종'!J36*H718</x:f>
        <x:v>0.12000000000000002</x:v>
      </x:c>
      <x:c r="AG718" s="15" t="n">
        <x:f>'기준스탯 72종'!K36*H718</x:f>
        <x:v>0.12000000000000002</x:v>
      </x:c>
    </x:row>
    <x:row r="719" ht="28" customHeight="1">
      <x:c r="A719" s="2" t="n">
        <x:v>712</x:v>
      </x:c>
      <x:c r="B719" s="2" t="n">
        <x:v>29</x:v>
      </x:c>
      <x:c r="C719" s="2" t="str">
        <x:v>사자자리</x:v>
      </x:c>
      <x:c r="D719" s="2" t="str">
        <x:v>도적</x:v>
      </x:c>
      <x:c r="E719" s="2" t="n">
        <x:v>2</x:v>
      </x:c>
      <x:c r="F719" s="2" t="n">
        <x:v>3</x:v>
      </x:c>
      <x:c r="G719" s="14" t="n">
        <x:f>('레벨 계산식'!$E$4-E719)*'레벨 계산식'!$B$5</x:f>
        <x:v>0.41999999999999993</x:v>
      </x:c>
      <x:c r="H719" s="14" t="n">
        <x:f>('등급 계산식'!$E$4-F719)*'등급 계산식'!$B$5</x:f>
        <x:v>0.12000000000000002</x:v>
      </x:c>
      <x:c r="I719" s="14" t="n">
        <x:f>1-G719-H719</x:f>
        <x:v>0.4600000000000001</x:v>
      </x:c>
      <x:c r="J719" s="2" t="n">
        <x:f>MAX(1,ROUND('기준스탯 72종'!D36-R719-Z719,0))</x:f>
        <x:v>5</x:v>
      </x:c>
      <x:c r="K719" s="2" t="n">
        <x:f>MAX(1,ROUND('기준스탯 72종'!E36-S719-AA719,0))</x:f>
        <x:v>3</x:v>
      </x:c>
      <x:c r="L719" s="2" t="n">
        <x:f>MAX(1,ROUND('기준스탯 72종'!F36-T719-AB719,0))</x:f>
        <x:v>3</x:v>
      </x:c>
      <x:c r="M719" s="2" t="n">
        <x:f>MAX(1,ROUND('기준스탯 72종'!G36-U719-AC719,0))</x:f>
        <x:v>4</x:v>
      </x:c>
      <x:c r="N719" s="2" t="n">
        <x:f>MAX(0,ROUND('기준스탯 72종'!H36-V719-AD719,0))</x:f>
        <x:v>3</x:v>
      </x:c>
      <x:c r="O719" s="2" t="n">
        <x:f>MAX(0,ROUND('기준스탯 72종'!I36-W719-AE719,0))</x:f>
        <x:v>4</x:v>
      </x:c>
      <x:c r="P719" s="2" t="n">
        <x:f>MAX(0,ROUND('기준스탯 72종'!J36-X719-AF719,0))</x:f>
        <x:v>0</x:v>
      </x:c>
      <x:c r="Q719" s="2" t="n">
        <x:f>MAX(0,ROUND('기준스탯 72종'!K36-Y719-AG719,0))</x:f>
        <x:v>0</x:v>
      </x:c>
      <x:c r="R719" s="15" t="n">
        <x:f>'기준스탯 72종'!D36*G719</x:f>
        <x:v>4.199999999999999</x:v>
      </x:c>
      <x:c r="S719" s="15" t="n">
        <x:f>'기준스탯 72종'!E36*G719</x:f>
        <x:v>2.5199999999999996</x:v>
      </x:c>
      <x:c r="T719" s="15" t="n">
        <x:f>'기준스탯 72종'!F36*G719</x:f>
        <x:v>2.5199999999999996</x:v>
      </x:c>
      <x:c r="U719" s="15" t="n">
        <x:f>'기준스탯 72종'!G36*G719</x:f>
        <x:v>3.3599999999999994</x:v>
      </x:c>
      <x:c r="V719" s="15" t="n">
        <x:f>'기준스탯 72종'!H36*G719</x:f>
        <x:v>2.5199999999999996</x:v>
      </x:c>
      <x:c r="W719" s="15" t="n">
        <x:f>'기준스탯 72종'!I36*G719</x:f>
        <x:v>3.3599999999999994</x:v>
      </x:c>
      <x:c r="X719" s="15" t="n">
        <x:f>'기준스탯 72종'!J36*G719</x:f>
        <x:v>0.41999999999999993</x:v>
      </x:c>
      <x:c r="Y719" s="15" t="n">
        <x:f>'기준스탯 72종'!K36*G719</x:f>
        <x:v>0.41999999999999993</x:v>
      </x:c>
      <x:c r="Z719" s="15" t="n">
        <x:f>'기준스탯 72종'!D36*H719</x:f>
        <x:v>1.2000000000000002</x:v>
      </x:c>
      <x:c r="AA719" s="15" t="n">
        <x:f>'기준스탯 72종'!E36*H719</x:f>
        <x:v>0.7200000000000002</x:v>
      </x:c>
      <x:c r="AB719" s="15" t="n">
        <x:f>'기준스탯 72종'!F36*H719</x:f>
        <x:v>0.7200000000000002</x:v>
      </x:c>
      <x:c r="AC719" s="15" t="n">
        <x:f>'기준스탯 72종'!G36*H719</x:f>
        <x:v>0.9600000000000002</x:v>
      </x:c>
      <x:c r="AD719" s="15" t="n">
        <x:f>'기준스탯 72종'!H36*H719</x:f>
        <x:v>0.7200000000000002</x:v>
      </x:c>
      <x:c r="AE719" s="15" t="n">
        <x:f>'기준스탯 72종'!I36*H719</x:f>
        <x:v>0.9600000000000002</x:v>
      </x:c>
      <x:c r="AF719" s="15" t="n">
        <x:f>'기준스탯 72종'!J36*H719</x:f>
        <x:v>0.12000000000000002</x:v>
      </x:c>
      <x:c r="AG719" s="15" t="n">
        <x:f>'기준스탯 72종'!K36*H719</x:f>
        <x:v>0.12000000000000002</x:v>
      </x:c>
    </x:row>
    <x:row r="720" ht="28" customHeight="1">
      <x:c r="A720" s="2" t="n">
        <x:v>713</x:v>
      </x:c>
      <x:c r="B720" s="2" t="n">
        <x:v>29</x:v>
      </x:c>
      <x:c r="C720" s="2" t="str">
        <x:v>사자자리</x:v>
      </x:c>
      <x:c r="D720" s="2" t="str">
        <x:v>도적</x:v>
      </x:c>
      <x:c r="E720" s="2" t="n">
        <x:v>3</x:v>
      </x:c>
      <x:c r="F720" s="2" t="n">
        <x:v>3</x:v>
      </x:c>
      <x:c r="G720" s="14" t="n">
        <x:f>('레벨 계산식'!$E$4-E720)*'레벨 계산식'!$B$5</x:f>
        <x:v>0.27999999999999997</x:v>
      </x:c>
      <x:c r="H720" s="14" t="n">
        <x:f>('등급 계산식'!$E$4-F720)*'등급 계산식'!$B$5</x:f>
        <x:v>0.12000000000000002</x:v>
      </x:c>
      <x:c r="I720" s="14" t="n">
        <x:f>1-G720-H720</x:f>
        <x:v>0.6</x:v>
      </x:c>
      <x:c r="J720" s="2" t="n">
        <x:f>MAX(1,ROUND('기준스탯 72종'!D36-R720-Z720,0))</x:f>
        <x:v>6</x:v>
      </x:c>
      <x:c r="K720" s="2" t="n">
        <x:f>MAX(1,ROUND('기준스탯 72종'!E36-S720-AA720,0))</x:f>
        <x:v>4</x:v>
      </x:c>
      <x:c r="L720" s="2" t="n">
        <x:f>MAX(1,ROUND('기준스탯 72종'!F36-T720-AB720,0))</x:f>
        <x:v>4</x:v>
      </x:c>
      <x:c r="M720" s="2" t="n">
        <x:f>MAX(1,ROUND('기준스탯 72종'!G36-U720-AC720,0))</x:f>
        <x:v>5</x:v>
      </x:c>
      <x:c r="N720" s="2" t="n">
        <x:f>MAX(0,ROUND('기준스탯 72종'!H36-V720-AD720,0))</x:f>
        <x:v>4</x:v>
      </x:c>
      <x:c r="O720" s="2" t="n">
        <x:f>MAX(0,ROUND('기준스탯 72종'!I36-W720-AE720,0))</x:f>
        <x:v>5</x:v>
      </x:c>
      <x:c r="P720" s="2" t="n">
        <x:f>MAX(0,ROUND('기준스탯 72종'!J36-X720-AF720,0))</x:f>
        <x:v>1</x:v>
      </x:c>
      <x:c r="Q720" s="2" t="n">
        <x:f>MAX(0,ROUND('기준스탯 72종'!K36-Y720-AG720,0))</x:f>
        <x:v>1</x:v>
      </x:c>
      <x:c r="R720" s="15" t="n">
        <x:f>'기준스탯 72종'!D36*G720</x:f>
        <x:v>2.8</x:v>
      </x:c>
      <x:c r="S720" s="15" t="n">
        <x:f>'기준스탯 72종'!E36*G720</x:f>
        <x:v>1.6799999999999997</x:v>
      </x:c>
      <x:c r="T720" s="15" t="n">
        <x:f>'기준스탯 72종'!F36*G720</x:f>
        <x:v>1.6799999999999997</x:v>
      </x:c>
      <x:c r="U720" s="15" t="n">
        <x:f>'기준스탯 72종'!G36*G720</x:f>
        <x:v>2.2399999999999998</x:v>
      </x:c>
      <x:c r="V720" s="15" t="n">
        <x:f>'기준스탯 72종'!H36*G720</x:f>
        <x:v>1.6799999999999997</x:v>
      </x:c>
      <x:c r="W720" s="15" t="n">
        <x:f>'기준스탯 72종'!I36*G720</x:f>
        <x:v>2.2399999999999998</x:v>
      </x:c>
      <x:c r="X720" s="15" t="n">
        <x:f>'기준스탯 72종'!J36*G720</x:f>
        <x:v>0.27999999999999997</x:v>
      </x:c>
      <x:c r="Y720" s="15" t="n">
        <x:f>'기준스탯 72종'!K36*G720</x:f>
        <x:v>0.27999999999999997</x:v>
      </x:c>
      <x:c r="Z720" s="15" t="n">
        <x:f>'기준스탯 72종'!D36*H720</x:f>
        <x:v>1.2000000000000002</x:v>
      </x:c>
      <x:c r="AA720" s="15" t="n">
        <x:f>'기준스탯 72종'!E36*H720</x:f>
        <x:v>0.7200000000000002</x:v>
      </x:c>
      <x:c r="AB720" s="15" t="n">
        <x:f>'기준스탯 72종'!F36*H720</x:f>
        <x:v>0.7200000000000002</x:v>
      </x:c>
      <x:c r="AC720" s="15" t="n">
        <x:f>'기준스탯 72종'!G36*H720</x:f>
        <x:v>0.9600000000000002</x:v>
      </x:c>
      <x:c r="AD720" s="15" t="n">
        <x:f>'기준스탯 72종'!H36*H720</x:f>
        <x:v>0.7200000000000002</x:v>
      </x:c>
      <x:c r="AE720" s="15" t="n">
        <x:f>'기준스탯 72종'!I36*H720</x:f>
        <x:v>0.9600000000000002</x:v>
      </x:c>
      <x:c r="AF720" s="15" t="n">
        <x:f>'기준스탯 72종'!J36*H720</x:f>
        <x:v>0.12000000000000002</x:v>
      </x:c>
      <x:c r="AG720" s="15" t="n">
        <x:f>'기준스탯 72종'!K36*H720</x:f>
        <x:v>0.12000000000000002</x:v>
      </x:c>
    </x:row>
    <x:row r="721" ht="28" customHeight="1">
      <x:c r="A721" s="2" t="n">
        <x:v>714</x:v>
      </x:c>
      <x:c r="B721" s="2" t="n">
        <x:v>29</x:v>
      </x:c>
      <x:c r="C721" s="2" t="str">
        <x:v>사자자리</x:v>
      </x:c>
      <x:c r="D721" s="2" t="str">
        <x:v>도적</x:v>
      </x:c>
      <x:c r="E721" s="2" t="n">
        <x:v>4</x:v>
      </x:c>
      <x:c r="F721" s="2" t="n">
        <x:v>3</x:v>
      </x:c>
      <x:c r="G721" s="14" t="n">
        <x:f>('레벨 계산식'!$E$4-E721)*'레벨 계산식'!$B$5</x:f>
        <x:v>0.13999999999999999</x:v>
      </x:c>
      <x:c r="H721" s="14" t="n">
        <x:f>('등급 계산식'!$E$4-F721)*'등급 계산식'!$B$5</x:f>
        <x:v>0.12000000000000002</x:v>
      </x:c>
      <x:c r="I721" s="14" t="n">
        <x:f>1-G721-H721</x:f>
        <x:v>0.74</x:v>
      </x:c>
      <x:c r="J721" s="2" t="n">
        <x:f>MAX(1,ROUND('기준스탯 72종'!D36-R721-Z721,0))</x:f>
        <x:v>7</x:v>
      </x:c>
      <x:c r="K721" s="2" t="n">
        <x:f>MAX(1,ROUND('기준스탯 72종'!E36-S721-AA721,0))</x:f>
        <x:v>4</x:v>
      </x:c>
      <x:c r="L721" s="2" t="n">
        <x:f>MAX(1,ROUND('기준스탯 72종'!F36-T721-AB721,0))</x:f>
        <x:v>4</x:v>
      </x:c>
      <x:c r="M721" s="2" t="n">
        <x:f>MAX(1,ROUND('기준스탯 72종'!G36-U721-AC721,0))</x:f>
        <x:v>6</x:v>
      </x:c>
      <x:c r="N721" s="2" t="n">
        <x:f>MAX(0,ROUND('기준스탯 72종'!H36-V721-AD721,0))</x:f>
        <x:v>4</x:v>
      </x:c>
      <x:c r="O721" s="2" t="n">
        <x:f>MAX(0,ROUND('기준스탯 72종'!I36-W721-AE721,0))</x:f>
        <x:v>6</x:v>
      </x:c>
      <x:c r="P721" s="2" t="n">
        <x:f>MAX(0,ROUND('기준스탯 72종'!J36-X721-AF721,0))</x:f>
        <x:v>1</x:v>
      </x:c>
      <x:c r="Q721" s="2" t="n">
        <x:f>MAX(0,ROUND('기준스탯 72종'!K36-Y721-AG721,0))</x:f>
        <x:v>1</x:v>
      </x:c>
      <x:c r="R721" s="15" t="n">
        <x:f>'기준스탯 72종'!D36*G721</x:f>
        <x:v>1.4</x:v>
      </x:c>
      <x:c r="S721" s="15" t="n">
        <x:f>'기준스탯 72종'!E36*G721</x:f>
        <x:v>0.8399999999999999</x:v>
      </x:c>
      <x:c r="T721" s="15" t="n">
        <x:f>'기준스탯 72종'!F36*G721</x:f>
        <x:v>0.8399999999999999</x:v>
      </x:c>
      <x:c r="U721" s="15" t="n">
        <x:f>'기준스탯 72종'!G36*G721</x:f>
        <x:v>1.1199999999999999</x:v>
      </x:c>
      <x:c r="V721" s="15" t="n">
        <x:f>'기준스탯 72종'!H36*G721</x:f>
        <x:v>0.8399999999999999</x:v>
      </x:c>
      <x:c r="W721" s="15" t="n">
        <x:f>'기준스탯 72종'!I36*G721</x:f>
        <x:v>1.1199999999999999</x:v>
      </x:c>
      <x:c r="X721" s="15" t="n">
        <x:f>'기준스탯 72종'!J36*G721</x:f>
        <x:v>0.13999999999999999</x:v>
      </x:c>
      <x:c r="Y721" s="15" t="n">
        <x:f>'기준스탯 72종'!K36*G721</x:f>
        <x:v>0.13999999999999999</x:v>
      </x:c>
      <x:c r="Z721" s="15" t="n">
        <x:f>'기준스탯 72종'!D36*H721</x:f>
        <x:v>1.2000000000000002</x:v>
      </x:c>
      <x:c r="AA721" s="15" t="n">
        <x:f>'기준스탯 72종'!E36*H721</x:f>
        <x:v>0.7200000000000002</x:v>
      </x:c>
      <x:c r="AB721" s="15" t="n">
        <x:f>'기준스탯 72종'!F36*H721</x:f>
        <x:v>0.7200000000000002</x:v>
      </x:c>
      <x:c r="AC721" s="15" t="n">
        <x:f>'기준스탯 72종'!G36*H721</x:f>
        <x:v>0.9600000000000002</x:v>
      </x:c>
      <x:c r="AD721" s="15" t="n">
        <x:f>'기준스탯 72종'!H36*H721</x:f>
        <x:v>0.7200000000000002</x:v>
      </x:c>
      <x:c r="AE721" s="15" t="n">
        <x:f>'기준스탯 72종'!I36*H721</x:f>
        <x:v>0.9600000000000002</x:v>
      </x:c>
      <x:c r="AF721" s="15" t="n">
        <x:f>'기준스탯 72종'!J36*H721</x:f>
        <x:v>0.12000000000000002</x:v>
      </x:c>
      <x:c r="AG721" s="15" t="n">
        <x:f>'기준스탯 72종'!K36*H721</x:f>
        <x:v>0.12000000000000002</x:v>
      </x:c>
    </x:row>
    <x:row r="722" ht="28" customHeight="1">
      <x:c r="A722" s="2" t="n">
        <x:v>715</x:v>
      </x:c>
      <x:c r="B722" s="2" t="n">
        <x:v>29</x:v>
      </x:c>
      <x:c r="C722" s="2" t="str">
        <x:v>사자자리</x:v>
      </x:c>
      <x:c r="D722" s="2" t="str">
        <x:v>도적</x:v>
      </x:c>
      <x:c r="E722" s="2" t="n">
        <x:v>5</x:v>
      </x:c>
      <x:c r="F722" s="2" t="n">
        <x:v>3</x:v>
      </x:c>
      <x:c r="G722" s="14" t="n">
        <x:f>('레벨 계산식'!$E$4-E722)*'레벨 계산식'!$B$5</x:f>
        <x:v>0</x:v>
      </x:c>
      <x:c r="H722" s="14" t="n">
        <x:f>('등급 계산식'!$E$4-F722)*'등급 계산식'!$B$5</x:f>
        <x:v>0.12000000000000002</x:v>
      </x:c>
      <x:c r="I722" s="14" t="n">
        <x:f>1-G722-H722</x:f>
        <x:v>0.88</x:v>
      </x:c>
      <x:c r="J722" s="2" t="n">
        <x:f>MAX(1,ROUND('기준스탯 72종'!D36-R722-Z722,0))</x:f>
        <x:v>9</x:v>
      </x:c>
      <x:c r="K722" s="2" t="n">
        <x:f>MAX(1,ROUND('기준스탯 72종'!E36-S722-AA722,0))</x:f>
        <x:v>5</x:v>
      </x:c>
      <x:c r="L722" s="2" t="n">
        <x:f>MAX(1,ROUND('기준스탯 72종'!F36-T722-AB722,0))</x:f>
        <x:v>5</x:v>
      </x:c>
      <x:c r="M722" s="2" t="n">
        <x:f>MAX(1,ROUND('기준스탯 72종'!G36-U722-AC722,0))</x:f>
        <x:v>7</x:v>
      </x:c>
      <x:c r="N722" s="2" t="n">
        <x:f>MAX(0,ROUND('기준스탯 72종'!H36-V722-AD722,0))</x:f>
        <x:v>5</x:v>
      </x:c>
      <x:c r="O722" s="2" t="n">
        <x:f>MAX(0,ROUND('기준스탯 72종'!I36-W722-AE722,0))</x:f>
        <x:v>7</x:v>
      </x:c>
      <x:c r="P722" s="2" t="n">
        <x:f>MAX(0,ROUND('기준스탯 72종'!J36-X722-AF722,0))</x:f>
        <x:v>1</x:v>
      </x:c>
      <x:c r="Q722" s="2" t="n">
        <x:f>MAX(0,ROUND('기준스탯 72종'!K36-Y722-AG722,0))</x:f>
        <x:v>1</x:v>
      </x:c>
      <x:c r="R722" s="15" t="n">
        <x:f>'기준스탯 72종'!D36*G722</x:f>
        <x:v>0</x:v>
      </x:c>
      <x:c r="S722" s="15" t="n">
        <x:f>'기준스탯 72종'!E36*G722</x:f>
        <x:v>0</x:v>
      </x:c>
      <x:c r="T722" s="15" t="n">
        <x:f>'기준스탯 72종'!F36*G722</x:f>
        <x:v>0</x:v>
      </x:c>
      <x:c r="U722" s="15" t="n">
        <x:f>'기준스탯 72종'!G36*G722</x:f>
        <x:v>0</x:v>
      </x:c>
      <x:c r="V722" s="15" t="n">
        <x:f>'기준스탯 72종'!H36*G722</x:f>
        <x:v>0</x:v>
      </x:c>
      <x:c r="W722" s="15" t="n">
        <x:f>'기준스탯 72종'!I36*G722</x:f>
        <x:v>0</x:v>
      </x:c>
      <x:c r="X722" s="15" t="n">
        <x:f>'기준스탯 72종'!J36*G722</x:f>
        <x:v>0</x:v>
      </x:c>
      <x:c r="Y722" s="15" t="n">
        <x:f>'기준스탯 72종'!K36*G722</x:f>
        <x:v>0</x:v>
      </x:c>
      <x:c r="Z722" s="15" t="n">
        <x:f>'기준스탯 72종'!D36*H722</x:f>
        <x:v>1.2000000000000002</x:v>
      </x:c>
      <x:c r="AA722" s="15" t="n">
        <x:f>'기준스탯 72종'!E36*H722</x:f>
        <x:v>0.7200000000000002</x:v>
      </x:c>
      <x:c r="AB722" s="15" t="n">
        <x:f>'기준스탯 72종'!F36*H722</x:f>
        <x:v>0.7200000000000002</x:v>
      </x:c>
      <x:c r="AC722" s="15" t="n">
        <x:f>'기준스탯 72종'!G36*H722</x:f>
        <x:v>0.9600000000000002</x:v>
      </x:c>
      <x:c r="AD722" s="15" t="n">
        <x:f>'기준스탯 72종'!H36*H722</x:f>
        <x:v>0.7200000000000002</x:v>
      </x:c>
      <x:c r="AE722" s="15" t="n">
        <x:f>'기준스탯 72종'!I36*H722</x:f>
        <x:v>0.9600000000000002</x:v>
      </x:c>
      <x:c r="AF722" s="15" t="n">
        <x:f>'기준스탯 72종'!J36*H722</x:f>
        <x:v>0.12000000000000002</x:v>
      </x:c>
      <x:c r="AG722" s="15" t="n">
        <x:f>'기준스탯 72종'!K36*H722</x:f>
        <x:v>0.12000000000000002</x:v>
      </x:c>
    </x:row>
    <x:row r="723" ht="28" customHeight="1">
      <x:c r="A723" s="2" t="n">
        <x:v>716</x:v>
      </x:c>
      <x:c r="B723" s="2" t="n">
        <x:v>29</x:v>
      </x:c>
      <x:c r="C723" s="2" t="str">
        <x:v>사자자리</x:v>
      </x:c>
      <x:c r="D723" s="2" t="str">
        <x:v>도적</x:v>
      </x:c>
      <x:c r="E723" s="2" t="n">
        <x:v>1</x:v>
      </x:c>
      <x:c r="F723" s="2" t="n">
        <x:v>4</x:v>
      </x:c>
      <x:c r="G723" s="14" t="n">
        <x:f>('레벨 계산식'!$E$4-E723)*'레벨 계산식'!$B$5</x:f>
        <x:v>0.5599999999999999</x:v>
      </x:c>
      <x:c r="H723" s="14" t="n">
        <x:f>('등급 계산식'!$E$4-F723)*'등급 계산식'!$B$5</x:f>
        <x:v>0.06000000000000001</x:v>
      </x:c>
      <x:c r="I723" s="14" t="n">
        <x:f>1-G723-H723</x:f>
        <x:v>0.38000000000000006</x:v>
      </x:c>
      <x:c r="J723" s="2" t="n">
        <x:f>MAX(1,ROUND('기준스탯 72종'!D36-R723-Z723,0))</x:f>
        <x:v>4</x:v>
      </x:c>
      <x:c r="K723" s="2" t="n">
        <x:f>MAX(1,ROUND('기준스탯 72종'!E36-S723-AA723,0))</x:f>
        <x:v>2</x:v>
      </x:c>
      <x:c r="L723" s="2" t="n">
        <x:f>MAX(1,ROUND('기준스탯 72종'!F36-T723-AB723,0))</x:f>
        <x:v>2</x:v>
      </x:c>
      <x:c r="M723" s="2" t="n">
        <x:f>MAX(1,ROUND('기준스탯 72종'!G36-U723-AC723,0))</x:f>
        <x:v>3</x:v>
      </x:c>
      <x:c r="N723" s="2" t="n">
        <x:f>MAX(0,ROUND('기준스탯 72종'!H36-V723-AD723,0))</x:f>
        <x:v>2</x:v>
      </x:c>
      <x:c r="O723" s="2" t="n">
        <x:f>MAX(0,ROUND('기준스탯 72종'!I36-W723-AE723,0))</x:f>
        <x:v>3</x:v>
      </x:c>
      <x:c r="P723" s="2" t="n">
        <x:f>MAX(0,ROUND('기준스탯 72종'!J36-X723-AF723,0))</x:f>
        <x:v>0</x:v>
      </x:c>
      <x:c r="Q723" s="2" t="n">
        <x:f>MAX(0,ROUND('기준스탯 72종'!K36-Y723-AG723,0))</x:f>
        <x:v>0</x:v>
      </x:c>
      <x:c r="R723" s="15" t="n">
        <x:f>'기준스탯 72종'!D36*G723</x:f>
        <x:v>5.6</x:v>
      </x:c>
      <x:c r="S723" s="15" t="n">
        <x:f>'기준스탯 72종'!E36*G723</x:f>
        <x:v>3.3599999999999994</x:v>
      </x:c>
      <x:c r="T723" s="15" t="n">
        <x:f>'기준스탯 72종'!F36*G723</x:f>
        <x:v>3.3599999999999994</x:v>
      </x:c>
      <x:c r="U723" s="15" t="n">
        <x:f>'기준스탯 72종'!G36*G723</x:f>
        <x:v>4.4799999999999995</x:v>
      </x:c>
      <x:c r="V723" s="15" t="n">
        <x:f>'기준스탯 72종'!H36*G723</x:f>
        <x:v>3.3599999999999994</x:v>
      </x:c>
      <x:c r="W723" s="15" t="n">
        <x:f>'기준스탯 72종'!I36*G723</x:f>
        <x:v>4.4799999999999995</x:v>
      </x:c>
      <x:c r="X723" s="15" t="n">
        <x:f>'기준스탯 72종'!J36*G723</x:f>
        <x:v>0.5599999999999999</x:v>
      </x:c>
      <x:c r="Y723" s="15" t="n">
        <x:f>'기준스탯 72종'!K36*G723</x:f>
        <x:v>0.5599999999999999</x:v>
      </x:c>
      <x:c r="Z723" s="15" t="n">
        <x:f>'기준스탯 72종'!D36*H723</x:f>
        <x:v>0.6000000000000001</x:v>
      </x:c>
      <x:c r="AA723" s="15" t="n">
        <x:f>'기준스탯 72종'!E36*H723</x:f>
        <x:v>0.3600000000000001</x:v>
      </x:c>
      <x:c r="AB723" s="15" t="n">
        <x:f>'기준스탯 72종'!F36*H723</x:f>
        <x:v>0.3600000000000001</x:v>
      </x:c>
      <x:c r="AC723" s="15" t="n">
        <x:f>'기준스탯 72종'!G36*H723</x:f>
        <x:v>0.4800000000000001</x:v>
      </x:c>
      <x:c r="AD723" s="15" t="n">
        <x:f>'기준스탯 72종'!H36*H723</x:f>
        <x:v>0.3600000000000001</x:v>
      </x:c>
      <x:c r="AE723" s="15" t="n">
        <x:f>'기준스탯 72종'!I36*H723</x:f>
        <x:v>0.4800000000000001</x:v>
      </x:c>
      <x:c r="AF723" s="15" t="n">
        <x:f>'기준스탯 72종'!J36*H723</x:f>
        <x:v>0.06000000000000001</x:v>
      </x:c>
      <x:c r="AG723" s="15" t="n">
        <x:f>'기준스탯 72종'!K36*H723</x:f>
        <x:v>0.06000000000000001</x:v>
      </x:c>
    </x:row>
    <x:row r="724" ht="28" customHeight="1">
      <x:c r="A724" s="2" t="n">
        <x:v>717</x:v>
      </x:c>
      <x:c r="B724" s="2" t="n">
        <x:v>29</x:v>
      </x:c>
      <x:c r="C724" s="2" t="str">
        <x:v>사자자리</x:v>
      </x:c>
      <x:c r="D724" s="2" t="str">
        <x:v>도적</x:v>
      </x:c>
      <x:c r="E724" s="2" t="n">
        <x:v>2</x:v>
      </x:c>
      <x:c r="F724" s="2" t="n">
        <x:v>4</x:v>
      </x:c>
      <x:c r="G724" s="14" t="n">
        <x:f>('레벨 계산식'!$E$4-E724)*'레벨 계산식'!$B$5</x:f>
        <x:v>0.41999999999999993</x:v>
      </x:c>
      <x:c r="H724" s="14" t="n">
        <x:f>('등급 계산식'!$E$4-F724)*'등급 계산식'!$B$5</x:f>
        <x:v>0.06000000000000001</x:v>
      </x:c>
      <x:c r="I724" s="14" t="n">
        <x:f>1-G724-H724</x:f>
        <x:v>0.52</x:v>
      </x:c>
      <x:c r="J724" s="2" t="n">
        <x:f>MAX(1,ROUND('기준스탯 72종'!D36-R724-Z724,0))</x:f>
        <x:v>5</x:v>
      </x:c>
      <x:c r="K724" s="2" t="n">
        <x:f>MAX(1,ROUND('기준스탯 72종'!E36-S724-AA724,0))</x:f>
        <x:v>3</x:v>
      </x:c>
      <x:c r="L724" s="2" t="n">
        <x:f>MAX(1,ROUND('기준스탯 72종'!F36-T724-AB724,0))</x:f>
        <x:v>3</x:v>
      </x:c>
      <x:c r="M724" s="2" t="n">
        <x:f>MAX(1,ROUND('기준스탯 72종'!G36-U724-AC724,0))</x:f>
        <x:v>4</x:v>
      </x:c>
      <x:c r="N724" s="2" t="n">
        <x:f>MAX(0,ROUND('기준스탯 72종'!H36-V724-AD724,0))</x:f>
        <x:v>3</x:v>
      </x:c>
      <x:c r="O724" s="2" t="n">
        <x:f>MAX(0,ROUND('기준스탯 72종'!I36-W724-AE724,0))</x:f>
        <x:v>4</x:v>
      </x:c>
      <x:c r="P724" s="2" t="n">
        <x:f>MAX(0,ROUND('기준스탯 72종'!J36-X724-AF724,0))</x:f>
        <x:v>1</x:v>
      </x:c>
      <x:c r="Q724" s="2" t="n">
        <x:f>MAX(0,ROUND('기준스탯 72종'!K36-Y724-AG724,0))</x:f>
        <x:v>1</x:v>
      </x:c>
      <x:c r="R724" s="15" t="n">
        <x:f>'기준스탯 72종'!D36*G724</x:f>
        <x:v>4.199999999999999</x:v>
      </x:c>
      <x:c r="S724" s="15" t="n">
        <x:f>'기준스탯 72종'!E36*G724</x:f>
        <x:v>2.5199999999999996</x:v>
      </x:c>
      <x:c r="T724" s="15" t="n">
        <x:f>'기준스탯 72종'!F36*G724</x:f>
        <x:v>2.5199999999999996</x:v>
      </x:c>
      <x:c r="U724" s="15" t="n">
        <x:f>'기준스탯 72종'!G36*G724</x:f>
        <x:v>3.3599999999999994</x:v>
      </x:c>
      <x:c r="V724" s="15" t="n">
        <x:f>'기준스탯 72종'!H36*G724</x:f>
        <x:v>2.5199999999999996</x:v>
      </x:c>
      <x:c r="W724" s="15" t="n">
        <x:f>'기준스탯 72종'!I36*G724</x:f>
        <x:v>3.3599999999999994</x:v>
      </x:c>
      <x:c r="X724" s="15" t="n">
        <x:f>'기준스탯 72종'!J36*G724</x:f>
        <x:v>0.41999999999999993</x:v>
      </x:c>
      <x:c r="Y724" s="15" t="n">
        <x:f>'기준스탯 72종'!K36*G724</x:f>
        <x:v>0.41999999999999993</x:v>
      </x:c>
      <x:c r="Z724" s="15" t="n">
        <x:f>'기준스탯 72종'!D36*H724</x:f>
        <x:v>0.6000000000000001</x:v>
      </x:c>
      <x:c r="AA724" s="15" t="n">
        <x:f>'기준스탯 72종'!E36*H724</x:f>
        <x:v>0.3600000000000001</x:v>
      </x:c>
      <x:c r="AB724" s="15" t="n">
        <x:f>'기준스탯 72종'!F36*H724</x:f>
        <x:v>0.3600000000000001</x:v>
      </x:c>
      <x:c r="AC724" s="15" t="n">
        <x:f>'기준스탯 72종'!G36*H724</x:f>
        <x:v>0.4800000000000001</x:v>
      </x:c>
      <x:c r="AD724" s="15" t="n">
        <x:f>'기준스탯 72종'!H36*H724</x:f>
        <x:v>0.3600000000000001</x:v>
      </x:c>
      <x:c r="AE724" s="15" t="n">
        <x:f>'기준스탯 72종'!I36*H724</x:f>
        <x:v>0.4800000000000001</x:v>
      </x:c>
      <x:c r="AF724" s="15" t="n">
        <x:f>'기준스탯 72종'!J36*H724</x:f>
        <x:v>0.06000000000000001</x:v>
      </x:c>
      <x:c r="AG724" s="15" t="n">
        <x:f>'기준스탯 72종'!K36*H724</x:f>
        <x:v>0.06000000000000001</x:v>
      </x:c>
    </x:row>
    <x:row r="725" ht="28" customHeight="1">
      <x:c r="A725" s="2" t="n">
        <x:v>718</x:v>
      </x:c>
      <x:c r="B725" s="2" t="n">
        <x:v>29</x:v>
      </x:c>
      <x:c r="C725" s="2" t="str">
        <x:v>사자자리</x:v>
      </x:c>
      <x:c r="D725" s="2" t="str">
        <x:v>도적</x:v>
      </x:c>
      <x:c r="E725" s="2" t="n">
        <x:v>3</x:v>
      </x:c>
      <x:c r="F725" s="2" t="n">
        <x:v>4</x:v>
      </x:c>
      <x:c r="G725" s="14" t="n">
        <x:f>('레벨 계산식'!$E$4-E725)*'레벨 계산식'!$B$5</x:f>
        <x:v>0.27999999999999997</x:v>
      </x:c>
      <x:c r="H725" s="14" t="n">
        <x:f>('등급 계산식'!$E$4-F725)*'등급 계산식'!$B$5</x:f>
        <x:v>0.06000000000000001</x:v>
      </x:c>
      <x:c r="I725" s="14" t="n">
        <x:f>1-G725-H725</x:f>
        <x:v>0.6599999999999999</x:v>
      </x:c>
      <x:c r="J725" s="2" t="n">
        <x:f>MAX(1,ROUND('기준스탯 72종'!D36-R725-Z725,0))</x:f>
        <x:v>7</x:v>
      </x:c>
      <x:c r="K725" s="2" t="n">
        <x:f>MAX(1,ROUND('기준스탯 72종'!E36-S725-AA725,0))</x:f>
        <x:v>4</x:v>
      </x:c>
      <x:c r="L725" s="2" t="n">
        <x:f>MAX(1,ROUND('기준스탯 72종'!F36-T725-AB725,0))</x:f>
        <x:v>4</x:v>
      </x:c>
      <x:c r="M725" s="2" t="n">
        <x:f>MAX(1,ROUND('기준스탯 72종'!G36-U725-AC725,0))</x:f>
        <x:v>5</x:v>
      </x:c>
      <x:c r="N725" s="2" t="n">
        <x:f>MAX(0,ROUND('기준스탯 72종'!H36-V725-AD725,0))</x:f>
        <x:v>4</x:v>
      </x:c>
      <x:c r="O725" s="2" t="n">
        <x:f>MAX(0,ROUND('기준스탯 72종'!I36-W725-AE725,0))</x:f>
        <x:v>5</x:v>
      </x:c>
      <x:c r="P725" s="2" t="n">
        <x:f>MAX(0,ROUND('기준스탯 72종'!J36-X725-AF725,0))</x:f>
        <x:v>1</x:v>
      </x:c>
      <x:c r="Q725" s="2" t="n">
        <x:f>MAX(0,ROUND('기준스탯 72종'!K36-Y725-AG725,0))</x:f>
        <x:v>1</x:v>
      </x:c>
      <x:c r="R725" s="15" t="n">
        <x:f>'기준스탯 72종'!D36*G725</x:f>
        <x:v>2.8</x:v>
      </x:c>
      <x:c r="S725" s="15" t="n">
        <x:f>'기준스탯 72종'!E36*G725</x:f>
        <x:v>1.6799999999999997</x:v>
      </x:c>
      <x:c r="T725" s="15" t="n">
        <x:f>'기준스탯 72종'!F36*G725</x:f>
        <x:v>1.6799999999999997</x:v>
      </x:c>
      <x:c r="U725" s="15" t="n">
        <x:f>'기준스탯 72종'!G36*G725</x:f>
        <x:v>2.2399999999999998</x:v>
      </x:c>
      <x:c r="V725" s="15" t="n">
        <x:f>'기준스탯 72종'!H36*G725</x:f>
        <x:v>1.6799999999999997</x:v>
      </x:c>
      <x:c r="W725" s="15" t="n">
        <x:f>'기준스탯 72종'!I36*G725</x:f>
        <x:v>2.2399999999999998</x:v>
      </x:c>
      <x:c r="X725" s="15" t="n">
        <x:f>'기준스탯 72종'!J36*G725</x:f>
        <x:v>0.27999999999999997</x:v>
      </x:c>
      <x:c r="Y725" s="15" t="n">
        <x:f>'기준스탯 72종'!K36*G725</x:f>
        <x:v>0.27999999999999997</x:v>
      </x:c>
      <x:c r="Z725" s="15" t="n">
        <x:f>'기준스탯 72종'!D36*H725</x:f>
        <x:v>0.6000000000000001</x:v>
      </x:c>
      <x:c r="AA725" s="15" t="n">
        <x:f>'기준스탯 72종'!E36*H725</x:f>
        <x:v>0.3600000000000001</x:v>
      </x:c>
      <x:c r="AB725" s="15" t="n">
        <x:f>'기준스탯 72종'!F36*H725</x:f>
        <x:v>0.3600000000000001</x:v>
      </x:c>
      <x:c r="AC725" s="15" t="n">
        <x:f>'기준스탯 72종'!G36*H725</x:f>
        <x:v>0.4800000000000001</x:v>
      </x:c>
      <x:c r="AD725" s="15" t="n">
        <x:f>'기준스탯 72종'!H36*H725</x:f>
        <x:v>0.3600000000000001</x:v>
      </x:c>
      <x:c r="AE725" s="15" t="n">
        <x:f>'기준스탯 72종'!I36*H725</x:f>
        <x:v>0.4800000000000001</x:v>
      </x:c>
      <x:c r="AF725" s="15" t="n">
        <x:f>'기준스탯 72종'!J36*H725</x:f>
        <x:v>0.06000000000000001</x:v>
      </x:c>
      <x:c r="AG725" s="15" t="n">
        <x:f>'기준스탯 72종'!K36*H725</x:f>
        <x:v>0.06000000000000001</x:v>
      </x:c>
    </x:row>
    <x:row r="726" ht="28" customHeight="1">
      <x:c r="A726" s="2" t="n">
        <x:v>719</x:v>
      </x:c>
      <x:c r="B726" s="2" t="n">
        <x:v>29</x:v>
      </x:c>
      <x:c r="C726" s="2" t="str">
        <x:v>사자자리</x:v>
      </x:c>
      <x:c r="D726" s="2" t="str">
        <x:v>도적</x:v>
      </x:c>
      <x:c r="E726" s="2" t="n">
        <x:v>4</x:v>
      </x:c>
      <x:c r="F726" s="2" t="n">
        <x:v>4</x:v>
      </x:c>
      <x:c r="G726" s="14" t="n">
        <x:f>('레벨 계산식'!$E$4-E726)*'레벨 계산식'!$B$5</x:f>
        <x:v>0.13999999999999999</x:v>
      </x:c>
      <x:c r="H726" s="14" t="n">
        <x:f>('등급 계산식'!$E$4-F726)*'등급 계산식'!$B$5</x:f>
        <x:v>0.06000000000000001</x:v>
      </x:c>
      <x:c r="I726" s="14" t="n">
        <x:f>1-G726-H726</x:f>
        <x:v>0.7999999999999999</x:v>
      </x:c>
      <x:c r="J726" s="2" t="n">
        <x:f>MAX(1,ROUND('기준스탯 72종'!D36-R726-Z726,0))</x:f>
        <x:v>8</x:v>
      </x:c>
      <x:c r="K726" s="2" t="n">
        <x:f>MAX(1,ROUND('기준스탯 72종'!E36-S726-AA726,0))</x:f>
        <x:v>5</x:v>
      </x:c>
      <x:c r="L726" s="2" t="n">
        <x:f>MAX(1,ROUND('기준스탯 72종'!F36-T726-AB726,0))</x:f>
        <x:v>5</x:v>
      </x:c>
      <x:c r="M726" s="2" t="n">
        <x:f>MAX(1,ROUND('기준스탯 72종'!G36-U726-AC726,0))</x:f>
        <x:v>6</x:v>
      </x:c>
      <x:c r="N726" s="2" t="n">
        <x:f>MAX(0,ROUND('기준스탯 72종'!H36-V726-AD726,0))</x:f>
        <x:v>5</x:v>
      </x:c>
      <x:c r="O726" s="2" t="n">
        <x:f>MAX(0,ROUND('기준스탯 72종'!I36-W726-AE726,0))</x:f>
        <x:v>6</x:v>
      </x:c>
      <x:c r="P726" s="2" t="n">
        <x:f>MAX(0,ROUND('기준스탯 72종'!J36-X726-AF726,0))</x:f>
        <x:v>1</x:v>
      </x:c>
      <x:c r="Q726" s="2" t="n">
        <x:f>MAX(0,ROUND('기준스탯 72종'!K36-Y726-AG726,0))</x:f>
        <x:v>1</x:v>
      </x:c>
      <x:c r="R726" s="15" t="n">
        <x:f>'기준스탯 72종'!D36*G726</x:f>
        <x:v>1.4</x:v>
      </x:c>
      <x:c r="S726" s="15" t="n">
        <x:f>'기준스탯 72종'!E36*G726</x:f>
        <x:v>0.8399999999999999</x:v>
      </x:c>
      <x:c r="T726" s="15" t="n">
        <x:f>'기준스탯 72종'!F36*G726</x:f>
        <x:v>0.8399999999999999</x:v>
      </x:c>
      <x:c r="U726" s="15" t="n">
        <x:f>'기준스탯 72종'!G36*G726</x:f>
        <x:v>1.1199999999999999</x:v>
      </x:c>
      <x:c r="V726" s="15" t="n">
        <x:f>'기준스탯 72종'!H36*G726</x:f>
        <x:v>0.8399999999999999</x:v>
      </x:c>
      <x:c r="W726" s="15" t="n">
        <x:f>'기준스탯 72종'!I36*G726</x:f>
        <x:v>1.1199999999999999</x:v>
      </x:c>
      <x:c r="X726" s="15" t="n">
        <x:f>'기준스탯 72종'!J36*G726</x:f>
        <x:v>0.13999999999999999</x:v>
      </x:c>
      <x:c r="Y726" s="15" t="n">
        <x:f>'기준스탯 72종'!K36*G726</x:f>
        <x:v>0.13999999999999999</x:v>
      </x:c>
      <x:c r="Z726" s="15" t="n">
        <x:f>'기준스탯 72종'!D36*H726</x:f>
        <x:v>0.6000000000000001</x:v>
      </x:c>
      <x:c r="AA726" s="15" t="n">
        <x:f>'기준스탯 72종'!E36*H726</x:f>
        <x:v>0.3600000000000001</x:v>
      </x:c>
      <x:c r="AB726" s="15" t="n">
        <x:f>'기준스탯 72종'!F36*H726</x:f>
        <x:v>0.3600000000000001</x:v>
      </x:c>
      <x:c r="AC726" s="15" t="n">
        <x:f>'기준스탯 72종'!G36*H726</x:f>
        <x:v>0.4800000000000001</x:v>
      </x:c>
      <x:c r="AD726" s="15" t="n">
        <x:f>'기준스탯 72종'!H36*H726</x:f>
        <x:v>0.3600000000000001</x:v>
      </x:c>
      <x:c r="AE726" s="15" t="n">
        <x:f>'기준스탯 72종'!I36*H726</x:f>
        <x:v>0.4800000000000001</x:v>
      </x:c>
      <x:c r="AF726" s="15" t="n">
        <x:f>'기준스탯 72종'!J36*H726</x:f>
        <x:v>0.06000000000000001</x:v>
      </x:c>
      <x:c r="AG726" s="15" t="n">
        <x:f>'기준스탯 72종'!K36*H726</x:f>
        <x:v>0.06000000000000001</x:v>
      </x:c>
    </x:row>
    <x:row r="727" ht="28" customHeight="1">
      <x:c r="A727" s="2" t="n">
        <x:v>720</x:v>
      </x:c>
      <x:c r="B727" s="2" t="n">
        <x:v>29</x:v>
      </x:c>
      <x:c r="C727" s="2" t="str">
        <x:v>사자자리</x:v>
      </x:c>
      <x:c r="D727" s="2" t="str">
        <x:v>도적</x:v>
      </x:c>
      <x:c r="E727" s="2" t="n">
        <x:v>5</x:v>
      </x:c>
      <x:c r="F727" s="2" t="n">
        <x:v>4</x:v>
      </x:c>
      <x:c r="G727" s="14" t="n">
        <x:f>('레벨 계산식'!$E$4-E727)*'레벨 계산식'!$B$5</x:f>
        <x:v>0</x:v>
      </x:c>
      <x:c r="H727" s="14" t="n">
        <x:f>('등급 계산식'!$E$4-F727)*'등급 계산식'!$B$5</x:f>
        <x:v>0.06000000000000001</x:v>
      </x:c>
      <x:c r="I727" s="14" t="n">
        <x:f>1-G727-H727</x:f>
        <x:v>0.94</x:v>
      </x:c>
      <x:c r="J727" s="2" t="n">
        <x:f>MAX(1,ROUND('기준스탯 72종'!D36-R727-Z727,0))</x:f>
        <x:v>9</x:v>
      </x:c>
      <x:c r="K727" s="2" t="n">
        <x:f>MAX(1,ROUND('기준스탯 72종'!E36-S727-AA727,0))</x:f>
        <x:v>6</x:v>
      </x:c>
      <x:c r="L727" s="2" t="n">
        <x:f>MAX(1,ROUND('기준스탯 72종'!F36-T727-AB727,0))</x:f>
        <x:v>6</x:v>
      </x:c>
      <x:c r="M727" s="2" t="n">
        <x:f>MAX(1,ROUND('기준스탯 72종'!G36-U727-AC727,0))</x:f>
        <x:v>8</x:v>
      </x:c>
      <x:c r="N727" s="2" t="n">
        <x:f>MAX(0,ROUND('기준스탯 72종'!H36-V727-AD727,0))</x:f>
        <x:v>6</x:v>
      </x:c>
      <x:c r="O727" s="2" t="n">
        <x:f>MAX(0,ROUND('기준스탯 72종'!I36-W727-AE727,0))</x:f>
        <x:v>8</x:v>
      </x:c>
      <x:c r="P727" s="2" t="n">
        <x:f>MAX(0,ROUND('기준스탯 72종'!J36-X727-AF727,0))</x:f>
        <x:v>1</x:v>
      </x:c>
      <x:c r="Q727" s="2" t="n">
        <x:f>MAX(0,ROUND('기준스탯 72종'!K36-Y727-AG727,0))</x:f>
        <x:v>1</x:v>
      </x:c>
      <x:c r="R727" s="15" t="n">
        <x:f>'기준스탯 72종'!D36*G727</x:f>
        <x:v>0</x:v>
      </x:c>
      <x:c r="S727" s="15" t="n">
        <x:f>'기준스탯 72종'!E36*G727</x:f>
        <x:v>0</x:v>
      </x:c>
      <x:c r="T727" s="15" t="n">
        <x:f>'기준스탯 72종'!F36*G727</x:f>
        <x:v>0</x:v>
      </x:c>
      <x:c r="U727" s="15" t="n">
        <x:f>'기준스탯 72종'!G36*G727</x:f>
        <x:v>0</x:v>
      </x:c>
      <x:c r="V727" s="15" t="n">
        <x:f>'기준스탯 72종'!H36*G727</x:f>
        <x:v>0</x:v>
      </x:c>
      <x:c r="W727" s="15" t="n">
        <x:f>'기준스탯 72종'!I36*G727</x:f>
        <x:v>0</x:v>
      </x:c>
      <x:c r="X727" s="15" t="n">
        <x:f>'기준스탯 72종'!J36*G727</x:f>
        <x:v>0</x:v>
      </x:c>
      <x:c r="Y727" s="15" t="n">
        <x:f>'기준스탯 72종'!K36*G727</x:f>
        <x:v>0</x:v>
      </x:c>
      <x:c r="Z727" s="15" t="n">
        <x:f>'기준스탯 72종'!D36*H727</x:f>
        <x:v>0.6000000000000001</x:v>
      </x:c>
      <x:c r="AA727" s="15" t="n">
        <x:f>'기준스탯 72종'!E36*H727</x:f>
        <x:v>0.3600000000000001</x:v>
      </x:c>
      <x:c r="AB727" s="15" t="n">
        <x:f>'기준스탯 72종'!F36*H727</x:f>
        <x:v>0.3600000000000001</x:v>
      </x:c>
      <x:c r="AC727" s="15" t="n">
        <x:f>'기준스탯 72종'!G36*H727</x:f>
        <x:v>0.4800000000000001</x:v>
      </x:c>
      <x:c r="AD727" s="15" t="n">
        <x:f>'기준스탯 72종'!H36*H727</x:f>
        <x:v>0.3600000000000001</x:v>
      </x:c>
      <x:c r="AE727" s="15" t="n">
        <x:f>'기준스탯 72종'!I36*H727</x:f>
        <x:v>0.4800000000000001</x:v>
      </x:c>
      <x:c r="AF727" s="15" t="n">
        <x:f>'기준스탯 72종'!J36*H727</x:f>
        <x:v>0.06000000000000001</x:v>
      </x:c>
      <x:c r="AG727" s="15" t="n">
        <x:f>'기준스탯 72종'!K36*H727</x:f>
        <x:v>0.06000000000000001</x:v>
      </x:c>
    </x:row>
    <x:row r="728" ht="28" customHeight="1">
      <x:c r="A728" s="2" t="n">
        <x:v>721</x:v>
      </x:c>
      <x:c r="B728" s="2" t="n">
        <x:v>29</x:v>
      </x:c>
      <x:c r="C728" s="2" t="str">
        <x:v>사자자리</x:v>
      </x:c>
      <x:c r="D728" s="2" t="str">
        <x:v>도적</x:v>
      </x:c>
      <x:c r="E728" s="2" t="n">
        <x:v>1</x:v>
      </x:c>
      <x:c r="F728" s="2" t="n">
        <x:v>5</x:v>
      </x:c>
      <x:c r="G728" s="14" t="n">
        <x:f>('레벨 계산식'!$E$4-E728)*'레벨 계산식'!$B$5</x:f>
        <x:v>0.5599999999999999</x:v>
      </x:c>
      <x:c r="H728" s="14" t="n">
        <x:f>('등급 계산식'!$E$4-F728)*'등급 계산식'!$B$5</x:f>
        <x:v>0</x:v>
      </x:c>
      <x:c r="I728" s="14" t="n">
        <x:f>1-G728-H728</x:f>
        <x:v>0.44000000000000006</x:v>
      </x:c>
      <x:c r="J728" s="2" t="n">
        <x:f>MAX(1,ROUND('기준스탯 72종'!D36-R728-Z728,0))</x:f>
        <x:v>4</x:v>
      </x:c>
      <x:c r="K728" s="2" t="n">
        <x:f>MAX(1,ROUND('기준스탯 72종'!E36-S728-AA728,0))</x:f>
        <x:v>3</x:v>
      </x:c>
      <x:c r="L728" s="2" t="n">
        <x:f>MAX(1,ROUND('기준스탯 72종'!F36-T728-AB728,0))</x:f>
        <x:v>3</x:v>
      </x:c>
      <x:c r="M728" s="2" t="n">
        <x:f>MAX(1,ROUND('기준스탯 72종'!G36-U728-AC728,0))</x:f>
        <x:v>4</x:v>
      </x:c>
      <x:c r="N728" s="2" t="n">
        <x:f>MAX(0,ROUND('기준스탯 72종'!H36-V728-AD728,0))</x:f>
        <x:v>3</x:v>
      </x:c>
      <x:c r="O728" s="2" t="n">
        <x:f>MAX(0,ROUND('기준스탯 72종'!I36-W728-AE728,0))</x:f>
        <x:v>4</x:v>
      </x:c>
      <x:c r="P728" s="2" t="n">
        <x:f>MAX(0,ROUND('기준스탯 72종'!J36-X728-AF728,0))</x:f>
        <x:v>0</x:v>
      </x:c>
      <x:c r="Q728" s="2" t="n">
        <x:f>MAX(0,ROUND('기준스탯 72종'!K36-Y728-AG728,0))</x:f>
        <x:v>0</x:v>
      </x:c>
      <x:c r="R728" s="15" t="n">
        <x:f>'기준스탯 72종'!D36*G728</x:f>
        <x:v>5.6</x:v>
      </x:c>
      <x:c r="S728" s="15" t="n">
        <x:f>'기준스탯 72종'!E36*G728</x:f>
        <x:v>3.3599999999999994</x:v>
      </x:c>
      <x:c r="T728" s="15" t="n">
        <x:f>'기준스탯 72종'!F36*G728</x:f>
        <x:v>3.3599999999999994</x:v>
      </x:c>
      <x:c r="U728" s="15" t="n">
        <x:f>'기준스탯 72종'!G36*G728</x:f>
        <x:v>4.4799999999999995</x:v>
      </x:c>
      <x:c r="V728" s="15" t="n">
        <x:f>'기준스탯 72종'!H36*G728</x:f>
        <x:v>3.3599999999999994</x:v>
      </x:c>
      <x:c r="W728" s="15" t="n">
        <x:f>'기준스탯 72종'!I36*G728</x:f>
        <x:v>4.4799999999999995</x:v>
      </x:c>
      <x:c r="X728" s="15" t="n">
        <x:f>'기준스탯 72종'!J36*G728</x:f>
        <x:v>0.5599999999999999</x:v>
      </x:c>
      <x:c r="Y728" s="15" t="n">
        <x:f>'기준스탯 72종'!K36*G728</x:f>
        <x:v>0.5599999999999999</x:v>
      </x:c>
      <x:c r="Z728" s="15" t="n">
        <x:f>'기준스탯 72종'!D36*H728</x:f>
        <x:v>0</x:v>
      </x:c>
      <x:c r="AA728" s="15" t="n">
        <x:f>'기준스탯 72종'!E36*H728</x:f>
        <x:v>0</x:v>
      </x:c>
      <x:c r="AB728" s="15" t="n">
        <x:f>'기준스탯 72종'!F36*H728</x:f>
        <x:v>0</x:v>
      </x:c>
      <x:c r="AC728" s="15" t="n">
        <x:f>'기준스탯 72종'!G36*H728</x:f>
        <x:v>0</x:v>
      </x:c>
      <x:c r="AD728" s="15" t="n">
        <x:f>'기준스탯 72종'!H36*H728</x:f>
        <x:v>0</x:v>
      </x:c>
      <x:c r="AE728" s="15" t="n">
        <x:f>'기준스탯 72종'!I36*H728</x:f>
        <x:v>0</x:v>
      </x:c>
      <x:c r="AF728" s="15" t="n">
        <x:f>'기준스탯 72종'!J36*H728</x:f>
        <x:v>0</x:v>
      </x:c>
      <x:c r="AG728" s="15" t="n">
        <x:f>'기준스탯 72종'!K36*H728</x:f>
        <x:v>0</x:v>
      </x:c>
    </x:row>
    <x:row r="729" ht="28" customHeight="1">
      <x:c r="A729" s="2" t="n">
        <x:v>722</x:v>
      </x:c>
      <x:c r="B729" s="2" t="n">
        <x:v>29</x:v>
      </x:c>
      <x:c r="C729" s="2" t="str">
        <x:v>사자자리</x:v>
      </x:c>
      <x:c r="D729" s="2" t="str">
        <x:v>도적</x:v>
      </x:c>
      <x:c r="E729" s="2" t="n">
        <x:v>2</x:v>
      </x:c>
      <x:c r="F729" s="2" t="n">
        <x:v>5</x:v>
      </x:c>
      <x:c r="G729" s="14" t="n">
        <x:f>('레벨 계산식'!$E$4-E729)*'레벨 계산식'!$B$5</x:f>
        <x:v>0.41999999999999993</x:v>
      </x:c>
      <x:c r="H729" s="14" t="n">
        <x:f>('등급 계산식'!$E$4-F729)*'등급 계산식'!$B$5</x:f>
        <x:v>0</x:v>
      </x:c>
      <x:c r="I729" s="14" t="n">
        <x:f>1-G729-H729</x:f>
        <x:v>0.5800000000000001</x:v>
      </x:c>
      <x:c r="J729" s="2" t="n">
        <x:f>MAX(1,ROUND('기준스탯 72종'!D36-R729-Z729,0))</x:f>
        <x:v>6</x:v>
      </x:c>
      <x:c r="K729" s="2" t="n">
        <x:f>MAX(1,ROUND('기준스탯 72종'!E36-S729-AA729,0))</x:f>
        <x:v>3</x:v>
      </x:c>
      <x:c r="L729" s="2" t="n">
        <x:f>MAX(1,ROUND('기준스탯 72종'!F36-T729-AB729,0))</x:f>
        <x:v>3</x:v>
      </x:c>
      <x:c r="M729" s="2" t="n">
        <x:f>MAX(1,ROUND('기준스탯 72종'!G36-U729-AC729,0))</x:f>
        <x:v>5</x:v>
      </x:c>
      <x:c r="N729" s="2" t="n">
        <x:f>MAX(0,ROUND('기준스탯 72종'!H36-V729-AD729,0))</x:f>
        <x:v>3</x:v>
      </x:c>
      <x:c r="O729" s="2" t="n">
        <x:f>MAX(0,ROUND('기준스탯 72종'!I36-W729-AE729,0))</x:f>
        <x:v>5</x:v>
      </x:c>
      <x:c r="P729" s="2" t="n">
        <x:f>MAX(0,ROUND('기준스탯 72종'!J36-X729-AF729,0))</x:f>
        <x:v>1</x:v>
      </x:c>
      <x:c r="Q729" s="2" t="n">
        <x:f>MAX(0,ROUND('기준스탯 72종'!K36-Y729-AG729,0))</x:f>
        <x:v>1</x:v>
      </x:c>
      <x:c r="R729" s="15" t="n">
        <x:f>'기준스탯 72종'!D36*G729</x:f>
        <x:v>4.199999999999999</x:v>
      </x:c>
      <x:c r="S729" s="15" t="n">
        <x:f>'기준스탯 72종'!E36*G729</x:f>
        <x:v>2.5199999999999996</x:v>
      </x:c>
      <x:c r="T729" s="15" t="n">
        <x:f>'기준스탯 72종'!F36*G729</x:f>
        <x:v>2.5199999999999996</x:v>
      </x:c>
      <x:c r="U729" s="15" t="n">
        <x:f>'기준스탯 72종'!G36*G729</x:f>
        <x:v>3.3599999999999994</x:v>
      </x:c>
      <x:c r="V729" s="15" t="n">
        <x:f>'기준스탯 72종'!H36*G729</x:f>
        <x:v>2.5199999999999996</x:v>
      </x:c>
      <x:c r="W729" s="15" t="n">
        <x:f>'기준스탯 72종'!I36*G729</x:f>
        <x:v>3.3599999999999994</x:v>
      </x:c>
      <x:c r="X729" s="15" t="n">
        <x:f>'기준스탯 72종'!J36*G729</x:f>
        <x:v>0.41999999999999993</x:v>
      </x:c>
      <x:c r="Y729" s="15" t="n">
        <x:f>'기준스탯 72종'!K36*G729</x:f>
        <x:v>0.41999999999999993</x:v>
      </x:c>
      <x:c r="Z729" s="15" t="n">
        <x:f>'기준스탯 72종'!D36*H729</x:f>
        <x:v>0</x:v>
      </x:c>
      <x:c r="AA729" s="15" t="n">
        <x:f>'기준스탯 72종'!E36*H729</x:f>
        <x:v>0</x:v>
      </x:c>
      <x:c r="AB729" s="15" t="n">
        <x:f>'기준스탯 72종'!F36*H729</x:f>
        <x:v>0</x:v>
      </x:c>
      <x:c r="AC729" s="15" t="n">
        <x:f>'기준스탯 72종'!G36*H729</x:f>
        <x:v>0</x:v>
      </x:c>
      <x:c r="AD729" s="15" t="n">
        <x:f>'기준스탯 72종'!H36*H729</x:f>
        <x:v>0</x:v>
      </x:c>
      <x:c r="AE729" s="15" t="n">
        <x:f>'기준스탯 72종'!I36*H729</x:f>
        <x:v>0</x:v>
      </x:c>
      <x:c r="AF729" s="15" t="n">
        <x:f>'기준스탯 72종'!J36*H729</x:f>
        <x:v>0</x:v>
      </x:c>
      <x:c r="AG729" s="15" t="n">
        <x:f>'기준스탯 72종'!K36*H729</x:f>
        <x:v>0</x:v>
      </x:c>
    </x:row>
    <x:row r="730" ht="28" customHeight="1">
      <x:c r="A730" s="2" t="n">
        <x:v>723</x:v>
      </x:c>
      <x:c r="B730" s="2" t="n">
        <x:v>29</x:v>
      </x:c>
      <x:c r="C730" s="2" t="str">
        <x:v>사자자리</x:v>
      </x:c>
      <x:c r="D730" s="2" t="str">
        <x:v>도적</x:v>
      </x:c>
      <x:c r="E730" s="2" t="n">
        <x:v>3</x:v>
      </x:c>
      <x:c r="F730" s="2" t="n">
        <x:v>5</x:v>
      </x:c>
      <x:c r="G730" s="14" t="n">
        <x:f>('레벨 계산식'!$E$4-E730)*'레벨 계산식'!$B$5</x:f>
        <x:v>0.27999999999999997</x:v>
      </x:c>
      <x:c r="H730" s="14" t="n">
        <x:f>('등급 계산식'!$E$4-F730)*'등급 계산식'!$B$5</x:f>
        <x:v>0</x:v>
      </x:c>
      <x:c r="I730" s="14" t="n">
        <x:f>1-G730-H730</x:f>
        <x:v>0.72</x:v>
      </x:c>
      <x:c r="J730" s="2" t="n">
        <x:f>MAX(1,ROUND('기준스탯 72종'!D36-R730-Z730,0))</x:f>
        <x:v>7</x:v>
      </x:c>
      <x:c r="K730" s="2" t="n">
        <x:f>MAX(1,ROUND('기준스탯 72종'!E36-S730-AA730,0))</x:f>
        <x:v>4</x:v>
      </x:c>
      <x:c r="L730" s="2" t="n">
        <x:f>MAX(1,ROUND('기준스탯 72종'!F36-T730-AB730,0))</x:f>
        <x:v>4</x:v>
      </x:c>
      <x:c r="M730" s="2" t="n">
        <x:f>MAX(1,ROUND('기준스탯 72종'!G36-U730-AC730,0))</x:f>
        <x:v>6</x:v>
      </x:c>
      <x:c r="N730" s="2" t="n">
        <x:f>MAX(0,ROUND('기준스탯 72종'!H36-V730-AD730,0))</x:f>
        <x:v>4</x:v>
      </x:c>
      <x:c r="O730" s="2" t="n">
        <x:f>MAX(0,ROUND('기준스탯 72종'!I36-W730-AE730,0))</x:f>
        <x:v>6</x:v>
      </x:c>
      <x:c r="P730" s="2" t="n">
        <x:f>MAX(0,ROUND('기준스탯 72종'!J36-X730-AF730,0))</x:f>
        <x:v>1</x:v>
      </x:c>
      <x:c r="Q730" s="2" t="n">
        <x:f>MAX(0,ROUND('기준스탯 72종'!K36-Y730-AG730,0))</x:f>
        <x:v>1</x:v>
      </x:c>
      <x:c r="R730" s="15" t="n">
        <x:f>'기준스탯 72종'!D36*G730</x:f>
        <x:v>2.8</x:v>
      </x:c>
      <x:c r="S730" s="15" t="n">
        <x:f>'기준스탯 72종'!E36*G730</x:f>
        <x:v>1.6799999999999997</x:v>
      </x:c>
      <x:c r="T730" s="15" t="n">
        <x:f>'기준스탯 72종'!F36*G730</x:f>
        <x:v>1.6799999999999997</x:v>
      </x:c>
      <x:c r="U730" s="15" t="n">
        <x:f>'기준스탯 72종'!G36*G730</x:f>
        <x:v>2.2399999999999998</x:v>
      </x:c>
      <x:c r="V730" s="15" t="n">
        <x:f>'기준스탯 72종'!H36*G730</x:f>
        <x:v>1.6799999999999997</x:v>
      </x:c>
      <x:c r="W730" s="15" t="n">
        <x:f>'기준스탯 72종'!I36*G730</x:f>
        <x:v>2.2399999999999998</x:v>
      </x:c>
      <x:c r="X730" s="15" t="n">
        <x:f>'기준스탯 72종'!J36*G730</x:f>
        <x:v>0.27999999999999997</x:v>
      </x:c>
      <x:c r="Y730" s="15" t="n">
        <x:f>'기준스탯 72종'!K36*G730</x:f>
        <x:v>0.27999999999999997</x:v>
      </x:c>
      <x:c r="Z730" s="15" t="n">
        <x:f>'기준스탯 72종'!D36*H730</x:f>
        <x:v>0</x:v>
      </x:c>
      <x:c r="AA730" s="15" t="n">
        <x:f>'기준스탯 72종'!E36*H730</x:f>
        <x:v>0</x:v>
      </x:c>
      <x:c r="AB730" s="15" t="n">
        <x:f>'기준스탯 72종'!F36*H730</x:f>
        <x:v>0</x:v>
      </x:c>
      <x:c r="AC730" s="15" t="n">
        <x:f>'기준스탯 72종'!G36*H730</x:f>
        <x:v>0</x:v>
      </x:c>
      <x:c r="AD730" s="15" t="n">
        <x:f>'기준스탯 72종'!H36*H730</x:f>
        <x:v>0</x:v>
      </x:c>
      <x:c r="AE730" s="15" t="n">
        <x:f>'기준스탯 72종'!I36*H730</x:f>
        <x:v>0</x:v>
      </x:c>
      <x:c r="AF730" s="15" t="n">
        <x:f>'기준스탯 72종'!J36*H730</x:f>
        <x:v>0</x:v>
      </x:c>
      <x:c r="AG730" s="15" t="n">
        <x:f>'기준스탯 72종'!K36*H730</x:f>
        <x:v>0</x:v>
      </x:c>
    </x:row>
    <x:row r="731" ht="28" customHeight="1">
      <x:c r="A731" s="2" t="n">
        <x:v>724</x:v>
      </x:c>
      <x:c r="B731" s="2" t="n">
        <x:v>29</x:v>
      </x:c>
      <x:c r="C731" s="2" t="str">
        <x:v>사자자리</x:v>
      </x:c>
      <x:c r="D731" s="2" t="str">
        <x:v>도적</x:v>
      </x:c>
      <x:c r="E731" s="2" t="n">
        <x:v>4</x:v>
      </x:c>
      <x:c r="F731" s="2" t="n">
        <x:v>5</x:v>
      </x:c>
      <x:c r="G731" s="14" t="n">
        <x:f>('레벨 계산식'!$E$4-E731)*'레벨 계산식'!$B$5</x:f>
        <x:v>0.13999999999999999</x:v>
      </x:c>
      <x:c r="H731" s="14" t="n">
        <x:f>('등급 계산식'!$E$4-F731)*'등급 계산식'!$B$5</x:f>
        <x:v>0</x:v>
      </x:c>
      <x:c r="I731" s="14" t="n">
        <x:f>1-G731-H731</x:f>
        <x:v>0.86</x:v>
      </x:c>
      <x:c r="J731" s="2" t="n">
        <x:f>MAX(1,ROUND('기준스탯 72종'!D36-R731-Z731,0))</x:f>
        <x:v>9</x:v>
      </x:c>
      <x:c r="K731" s="2" t="n">
        <x:f>MAX(1,ROUND('기준스탯 72종'!E36-S731-AA731,0))</x:f>
        <x:v>5</x:v>
      </x:c>
      <x:c r="L731" s="2" t="n">
        <x:f>MAX(1,ROUND('기준스탯 72종'!F36-T731-AB731,0))</x:f>
        <x:v>5</x:v>
      </x:c>
      <x:c r="M731" s="2" t="n">
        <x:f>MAX(1,ROUND('기준스탯 72종'!G36-U731-AC731,0))</x:f>
        <x:v>7</x:v>
      </x:c>
      <x:c r="N731" s="2" t="n">
        <x:f>MAX(0,ROUND('기준스탯 72종'!H36-V731-AD731,0))</x:f>
        <x:v>5</x:v>
      </x:c>
      <x:c r="O731" s="2" t="n">
        <x:f>MAX(0,ROUND('기준스탯 72종'!I36-W731-AE731,0))</x:f>
        <x:v>7</x:v>
      </x:c>
      <x:c r="P731" s="2" t="n">
        <x:f>MAX(0,ROUND('기준스탯 72종'!J36-X731-AF731,0))</x:f>
        <x:v>1</x:v>
      </x:c>
      <x:c r="Q731" s="2" t="n">
        <x:f>MAX(0,ROUND('기준스탯 72종'!K36-Y731-AG731,0))</x:f>
        <x:v>1</x:v>
      </x:c>
      <x:c r="R731" s="15" t="n">
        <x:f>'기준스탯 72종'!D36*G731</x:f>
        <x:v>1.4</x:v>
      </x:c>
      <x:c r="S731" s="15" t="n">
        <x:f>'기준스탯 72종'!E36*G731</x:f>
        <x:v>0.8399999999999999</x:v>
      </x:c>
      <x:c r="T731" s="15" t="n">
        <x:f>'기준스탯 72종'!F36*G731</x:f>
        <x:v>0.8399999999999999</x:v>
      </x:c>
      <x:c r="U731" s="15" t="n">
        <x:f>'기준스탯 72종'!G36*G731</x:f>
        <x:v>1.1199999999999999</x:v>
      </x:c>
      <x:c r="V731" s="15" t="n">
        <x:f>'기준스탯 72종'!H36*G731</x:f>
        <x:v>0.8399999999999999</x:v>
      </x:c>
      <x:c r="W731" s="15" t="n">
        <x:f>'기준스탯 72종'!I36*G731</x:f>
        <x:v>1.1199999999999999</x:v>
      </x:c>
      <x:c r="X731" s="15" t="n">
        <x:f>'기준스탯 72종'!J36*G731</x:f>
        <x:v>0.13999999999999999</x:v>
      </x:c>
      <x:c r="Y731" s="15" t="n">
        <x:f>'기준스탯 72종'!K36*G731</x:f>
        <x:v>0.13999999999999999</x:v>
      </x:c>
      <x:c r="Z731" s="15" t="n">
        <x:f>'기준스탯 72종'!D36*H731</x:f>
        <x:v>0</x:v>
      </x:c>
      <x:c r="AA731" s="15" t="n">
        <x:f>'기준스탯 72종'!E36*H731</x:f>
        <x:v>0</x:v>
      </x:c>
      <x:c r="AB731" s="15" t="n">
        <x:f>'기준스탯 72종'!F36*H731</x:f>
        <x:v>0</x:v>
      </x:c>
      <x:c r="AC731" s="15" t="n">
        <x:f>'기준스탯 72종'!G36*H731</x:f>
        <x:v>0</x:v>
      </x:c>
      <x:c r="AD731" s="15" t="n">
        <x:f>'기준스탯 72종'!H36*H731</x:f>
        <x:v>0</x:v>
      </x:c>
      <x:c r="AE731" s="15" t="n">
        <x:f>'기준스탯 72종'!I36*H731</x:f>
        <x:v>0</x:v>
      </x:c>
      <x:c r="AF731" s="15" t="n">
        <x:f>'기준스탯 72종'!J36*H731</x:f>
        <x:v>0</x:v>
      </x:c>
      <x:c r="AG731" s="15" t="n">
        <x:f>'기준스탯 72종'!K36*H731</x:f>
        <x:v>0</x:v>
      </x:c>
    </x:row>
    <x:row r="732" ht="28" customHeight="1">
      <x:c r="A732" s="2" t="n">
        <x:v>725</x:v>
      </x:c>
      <x:c r="B732" s="2" t="n">
        <x:v>29</x:v>
      </x:c>
      <x:c r="C732" s="2" t="str">
        <x:v>사자자리</x:v>
      </x:c>
      <x:c r="D732" s="2" t="str">
        <x:v>도적</x:v>
      </x:c>
      <x:c r="E732" s="2" t="n">
        <x:v>5</x:v>
      </x:c>
      <x:c r="F732" s="2" t="n">
        <x:v>5</x:v>
      </x:c>
      <x:c r="G732" s="14" t="n">
        <x:f>('레벨 계산식'!$E$4-E732)*'레벨 계산식'!$B$5</x:f>
        <x:v>0</x:v>
      </x:c>
      <x:c r="H732" s="14" t="n">
        <x:f>('등급 계산식'!$E$4-F732)*'등급 계산식'!$B$5</x:f>
        <x:v>0</x:v>
      </x:c>
      <x:c r="I732" s="14" t="n">
        <x:f>1-G732-H732</x:f>
        <x:v>1</x:v>
      </x:c>
      <x:c r="J732" s="2" t="n">
        <x:f>MAX(1,ROUND('기준스탯 72종'!D36-R732-Z732,0))</x:f>
        <x:v>10</x:v>
      </x:c>
      <x:c r="K732" s="2" t="n">
        <x:f>MAX(1,ROUND('기준스탯 72종'!E36-S732-AA732,0))</x:f>
        <x:v>6</x:v>
      </x:c>
      <x:c r="L732" s="2" t="n">
        <x:f>MAX(1,ROUND('기준스탯 72종'!F36-T732-AB732,0))</x:f>
        <x:v>6</x:v>
      </x:c>
      <x:c r="M732" s="2" t="n">
        <x:f>MAX(1,ROUND('기준스탯 72종'!G36-U732-AC732,0))</x:f>
        <x:v>8</x:v>
      </x:c>
      <x:c r="N732" s="2" t="n">
        <x:f>MAX(0,ROUND('기준스탯 72종'!H36-V732-AD732,0))</x:f>
        <x:v>6</x:v>
      </x:c>
      <x:c r="O732" s="2" t="n">
        <x:f>MAX(0,ROUND('기준스탯 72종'!I36-W732-AE732,0))</x:f>
        <x:v>8</x:v>
      </x:c>
      <x:c r="P732" s="2" t="n">
        <x:f>MAX(0,ROUND('기준스탯 72종'!J36-X732-AF732,0))</x:f>
        <x:v>1</x:v>
      </x:c>
      <x:c r="Q732" s="2" t="n">
        <x:f>MAX(0,ROUND('기준스탯 72종'!K36-Y732-AG732,0))</x:f>
        <x:v>1</x:v>
      </x:c>
      <x:c r="R732" s="15" t="n">
        <x:f>'기준스탯 72종'!D36*G732</x:f>
        <x:v>0</x:v>
      </x:c>
      <x:c r="S732" s="15" t="n">
        <x:f>'기준스탯 72종'!E36*G732</x:f>
        <x:v>0</x:v>
      </x:c>
      <x:c r="T732" s="15" t="n">
        <x:f>'기준스탯 72종'!F36*G732</x:f>
        <x:v>0</x:v>
      </x:c>
      <x:c r="U732" s="15" t="n">
        <x:f>'기준스탯 72종'!G36*G732</x:f>
        <x:v>0</x:v>
      </x:c>
      <x:c r="V732" s="15" t="n">
        <x:f>'기준스탯 72종'!H36*G732</x:f>
        <x:v>0</x:v>
      </x:c>
      <x:c r="W732" s="15" t="n">
        <x:f>'기준스탯 72종'!I36*G732</x:f>
        <x:v>0</x:v>
      </x:c>
      <x:c r="X732" s="15" t="n">
        <x:f>'기준스탯 72종'!J36*G732</x:f>
        <x:v>0</x:v>
      </x:c>
      <x:c r="Y732" s="15" t="n">
        <x:f>'기준스탯 72종'!K36*G732</x:f>
        <x:v>0</x:v>
      </x:c>
      <x:c r="Z732" s="15" t="n">
        <x:f>'기준스탯 72종'!D36*H732</x:f>
        <x:v>0</x:v>
      </x:c>
      <x:c r="AA732" s="15" t="n">
        <x:f>'기준스탯 72종'!E36*H732</x:f>
        <x:v>0</x:v>
      </x:c>
      <x:c r="AB732" s="15" t="n">
        <x:f>'기준스탯 72종'!F36*H732</x:f>
        <x:v>0</x:v>
      </x:c>
      <x:c r="AC732" s="15" t="n">
        <x:f>'기준스탯 72종'!G36*H732</x:f>
        <x:v>0</x:v>
      </x:c>
      <x:c r="AD732" s="15" t="n">
        <x:f>'기준스탯 72종'!H36*H732</x:f>
        <x:v>0</x:v>
      </x:c>
      <x:c r="AE732" s="15" t="n">
        <x:f>'기준스탯 72종'!I36*H732</x:f>
        <x:v>0</x:v>
      </x:c>
      <x:c r="AF732" s="15" t="n">
        <x:f>'기준스탯 72종'!J36*H732</x:f>
        <x:v>0</x:v>
      </x:c>
      <x:c r="AG732" s="15" t="n">
        <x:f>'기준스탯 72종'!K36*H732</x:f>
        <x:v>0</x:v>
      </x:c>
    </x:row>
    <x:row r="733" ht="28" customHeight="1">
      <x:c r="A733" s="2" t="n">
        <x:v>726</x:v>
      </x:c>
      <x:c r="B733" s="2" t="n">
        <x:v>30</x:v>
      </x:c>
      <x:c r="C733" s="2" t="str">
        <x:v>사자자리</x:v>
      </x:c>
      <x:c r="D733" s="2" t="str">
        <x:v>전사</x:v>
      </x:c>
      <x:c r="E733" s="2" t="n">
        <x:v>1</x:v>
      </x:c>
      <x:c r="F733" s="2" t="n">
        <x:v>1</x:v>
      </x:c>
      <x:c r="G733" s="14" t="n">
        <x:f>('레벨 계산식'!$E$4-E733)*'레벨 계산식'!$B$5</x:f>
        <x:v>0.5599999999999999</x:v>
      </x:c>
      <x:c r="H733" s="14" t="n">
        <x:f>('등급 계산식'!$E$4-F733)*'등급 계산식'!$B$5</x:f>
        <x:v>0.24000000000000005</x:v>
      </x:c>
      <x:c r="I733" s="14" t="n">
        <x:f>1-G733-H733</x:f>
        <x:v>0.2</x:v>
      </x:c>
      <x:c r="J733" s="2" t="n">
        <x:f>MAX(1,ROUND('기준스탯 72종'!D37-R733-Z733,0))</x:f>
        <x:v>2</x:v>
      </x:c>
      <x:c r="K733" s="2" t="n">
        <x:f>MAX(1,ROUND('기준스탯 72종'!E37-S733-AA733,0))</x:f>
        <x:v>1</x:v>
      </x:c>
      <x:c r="L733" s="2" t="n">
        <x:f>MAX(1,ROUND('기준스탯 72종'!F37-T733-AB733,0))</x:f>
        <x:v>1</x:v>
      </x:c>
      <x:c r="M733" s="2" t="n">
        <x:f>MAX(1,ROUND('기준스탯 72종'!G37-U733-AC733,0))</x:f>
        <x:v>1</x:v>
      </x:c>
      <x:c r="N733" s="2" t="n">
        <x:f>MAX(0,ROUND('기준스탯 72종'!H37-V733-AD733,0))</x:f>
        <x:v>1</x:v>
      </x:c>
      <x:c r="O733" s="2" t="n">
        <x:f>MAX(0,ROUND('기준스탯 72종'!I37-W733-AE733,0))</x:f>
        <x:v>2</x:v>
      </x:c>
      <x:c r="P733" s="2" t="n">
        <x:f>MAX(0,ROUND('기준스탯 72종'!J37-X733-AF733,0))</x:f>
        <x:v>0</x:v>
      </x:c>
      <x:c r="Q733" s="2" t="n">
        <x:f>MAX(0,ROUND('기준스탯 72종'!K37-Y733-AG733,0))</x:f>
        <x:v>0</x:v>
      </x:c>
      <x:c r="R733" s="15" t="n">
        <x:f>'기준스탯 72종'!D37*G733</x:f>
        <x:v>5.6</x:v>
      </x:c>
      <x:c r="S733" s="15" t="n">
        <x:f>'기준스탯 72종'!E37*G733</x:f>
        <x:v>3.9199999999999995</x:v>
      </x:c>
      <x:c r="T733" s="15" t="n">
        <x:f>'기준스탯 72종'!F37*G733</x:f>
        <x:v>3.9199999999999995</x:v>
      </x:c>
      <x:c r="U733" s="15" t="n">
        <x:f>'기준스탯 72종'!G37*G733</x:f>
        <x:v>3.9199999999999995</x:v>
      </x:c>
      <x:c r="V733" s="15" t="n">
        <x:f>'기준스탯 72종'!H37*G733</x:f>
        <x:v>2.8</x:v>
      </x:c>
      <x:c r="W733" s="15" t="n">
        <x:f>'기준스탯 72종'!I37*G733</x:f>
        <x:v>4.4799999999999995</x:v>
      </x:c>
      <x:c r="X733" s="15" t="n">
        <x:f>'기준스탯 72종'!J37*G733</x:f>
        <x:v>0.5599999999999999</x:v>
      </x:c>
      <x:c r="Y733" s="15" t="n">
        <x:f>'기준스탯 72종'!K37*G733</x:f>
        <x:v>1.1199999999999999</x:v>
      </x:c>
      <x:c r="Z733" s="15" t="n">
        <x:f>'기준스탯 72종'!D37*H733</x:f>
        <x:v>2.4000000000000004</x:v>
      </x:c>
      <x:c r="AA733" s="15" t="n">
        <x:f>'기준스탯 72종'!E37*H733</x:f>
        <x:v>1.6800000000000004</x:v>
      </x:c>
      <x:c r="AB733" s="15" t="n">
        <x:f>'기준스탯 72종'!F37*H733</x:f>
        <x:v>1.6800000000000004</x:v>
      </x:c>
      <x:c r="AC733" s="15" t="n">
        <x:f>'기준스탯 72종'!G37*H733</x:f>
        <x:v>1.6800000000000004</x:v>
      </x:c>
      <x:c r="AD733" s="15" t="n">
        <x:f>'기준스탯 72종'!H37*H733</x:f>
        <x:v>1.2000000000000002</x:v>
      </x:c>
      <x:c r="AE733" s="15" t="n">
        <x:f>'기준스탯 72종'!I37*H733</x:f>
        <x:v>1.9200000000000004</x:v>
      </x:c>
      <x:c r="AF733" s="15" t="n">
        <x:f>'기준스탯 72종'!J37*H733</x:f>
        <x:v>0.24000000000000005</x:v>
      </x:c>
      <x:c r="AG733" s="15" t="n">
        <x:f>'기준스탯 72종'!K37*H733</x:f>
        <x:v>0.4800000000000001</x:v>
      </x:c>
    </x:row>
    <x:row r="734" ht="28" customHeight="1">
      <x:c r="A734" s="2" t="n">
        <x:v>727</x:v>
      </x:c>
      <x:c r="B734" s="2" t="n">
        <x:v>30</x:v>
      </x:c>
      <x:c r="C734" s="2" t="str">
        <x:v>사자자리</x:v>
      </x:c>
      <x:c r="D734" s="2" t="str">
        <x:v>전사</x:v>
      </x:c>
      <x:c r="E734" s="2" t="n">
        <x:v>2</x:v>
      </x:c>
      <x:c r="F734" s="2" t="n">
        <x:v>1</x:v>
      </x:c>
      <x:c r="G734" s="14" t="n">
        <x:f>('레벨 계산식'!$E$4-E734)*'레벨 계산식'!$B$5</x:f>
        <x:v>0.41999999999999993</x:v>
      </x:c>
      <x:c r="H734" s="14" t="n">
        <x:f>('등급 계산식'!$E$4-F734)*'등급 계산식'!$B$5</x:f>
        <x:v>0.24000000000000005</x:v>
      </x:c>
      <x:c r="I734" s="14" t="n">
        <x:f>1-G734-H734</x:f>
        <x:v>0.34</x:v>
      </x:c>
      <x:c r="J734" s="2" t="n">
        <x:f>MAX(1,ROUND('기준스탯 72종'!D37-R734-Z734,0))</x:f>
        <x:v>3</x:v>
      </x:c>
      <x:c r="K734" s="2" t="n">
        <x:f>MAX(1,ROUND('기준스탯 72종'!E37-S734-AA734,0))</x:f>
        <x:v>2</x:v>
      </x:c>
      <x:c r="L734" s="2" t="n">
        <x:f>MAX(1,ROUND('기준스탯 72종'!F37-T734-AB734,0))</x:f>
        <x:v>2</x:v>
      </x:c>
      <x:c r="M734" s="2" t="n">
        <x:f>MAX(1,ROUND('기준스탯 72종'!G37-U734-AC734,0))</x:f>
        <x:v>2</x:v>
      </x:c>
      <x:c r="N734" s="2" t="n">
        <x:f>MAX(0,ROUND('기준스탯 72종'!H37-V734-AD734,0))</x:f>
        <x:v>2</x:v>
      </x:c>
      <x:c r="O734" s="2" t="n">
        <x:f>MAX(0,ROUND('기준스탯 72종'!I37-W734-AE734,0))</x:f>
        <x:v>3</x:v>
      </x:c>
      <x:c r="P734" s="2" t="n">
        <x:f>MAX(0,ROUND('기준스탯 72종'!J37-X734-AF734,0))</x:f>
        <x:v>0</x:v>
      </x:c>
      <x:c r="Q734" s="2" t="n">
        <x:f>MAX(0,ROUND('기준스탯 72종'!K37-Y734-AG734,0))</x:f>
        <x:v>1</x:v>
      </x:c>
      <x:c r="R734" s="15" t="n">
        <x:f>'기준스탯 72종'!D37*G734</x:f>
        <x:v>4.199999999999999</x:v>
      </x:c>
      <x:c r="S734" s="15" t="n">
        <x:f>'기준스탯 72종'!E37*G734</x:f>
        <x:v>2.9399999999999995</x:v>
      </x:c>
      <x:c r="T734" s="15" t="n">
        <x:f>'기준스탯 72종'!F37*G734</x:f>
        <x:v>2.9399999999999995</x:v>
      </x:c>
      <x:c r="U734" s="15" t="n">
        <x:f>'기준스탯 72종'!G37*G734</x:f>
        <x:v>2.9399999999999995</x:v>
      </x:c>
      <x:c r="V734" s="15" t="n">
        <x:f>'기준스탯 72종'!H37*G734</x:f>
        <x:v>2.0999999999999996</x:v>
      </x:c>
      <x:c r="W734" s="15" t="n">
        <x:f>'기준스탯 72종'!I37*G734</x:f>
        <x:v>3.3599999999999994</x:v>
      </x:c>
      <x:c r="X734" s="15" t="n">
        <x:f>'기준스탯 72종'!J37*G734</x:f>
        <x:v>0.41999999999999993</x:v>
      </x:c>
      <x:c r="Y734" s="15" t="n">
        <x:f>'기준스탯 72종'!K37*G734</x:f>
        <x:v>0.8399999999999999</x:v>
      </x:c>
      <x:c r="Z734" s="15" t="n">
        <x:f>'기준스탯 72종'!D37*H734</x:f>
        <x:v>2.4000000000000004</x:v>
      </x:c>
      <x:c r="AA734" s="15" t="n">
        <x:f>'기준스탯 72종'!E37*H734</x:f>
        <x:v>1.6800000000000004</x:v>
      </x:c>
      <x:c r="AB734" s="15" t="n">
        <x:f>'기준스탯 72종'!F37*H734</x:f>
        <x:v>1.6800000000000004</x:v>
      </x:c>
      <x:c r="AC734" s="15" t="n">
        <x:f>'기준스탯 72종'!G37*H734</x:f>
        <x:v>1.6800000000000004</x:v>
      </x:c>
      <x:c r="AD734" s="15" t="n">
        <x:f>'기준스탯 72종'!H37*H734</x:f>
        <x:v>1.2000000000000002</x:v>
      </x:c>
      <x:c r="AE734" s="15" t="n">
        <x:f>'기준스탯 72종'!I37*H734</x:f>
        <x:v>1.9200000000000004</x:v>
      </x:c>
      <x:c r="AF734" s="15" t="n">
        <x:f>'기준스탯 72종'!J37*H734</x:f>
        <x:v>0.24000000000000005</x:v>
      </x:c>
      <x:c r="AG734" s="15" t="n">
        <x:f>'기준스탯 72종'!K37*H734</x:f>
        <x:v>0.4800000000000001</x:v>
      </x:c>
    </x:row>
    <x:row r="735" ht="28" customHeight="1">
      <x:c r="A735" s="2" t="n">
        <x:v>728</x:v>
      </x:c>
      <x:c r="B735" s="2" t="n">
        <x:v>30</x:v>
      </x:c>
      <x:c r="C735" s="2" t="str">
        <x:v>사자자리</x:v>
      </x:c>
      <x:c r="D735" s="2" t="str">
        <x:v>전사</x:v>
      </x:c>
      <x:c r="E735" s="2" t="n">
        <x:v>3</x:v>
      </x:c>
      <x:c r="F735" s="2" t="n">
        <x:v>1</x:v>
      </x:c>
      <x:c r="G735" s="14" t="n">
        <x:f>('레벨 계산식'!$E$4-E735)*'레벨 계산식'!$B$5</x:f>
        <x:v>0.27999999999999997</x:v>
      </x:c>
      <x:c r="H735" s="14" t="n">
        <x:f>('등급 계산식'!$E$4-F735)*'등급 계산식'!$B$5</x:f>
        <x:v>0.24000000000000005</x:v>
      </x:c>
      <x:c r="I735" s="14" t="n">
        <x:f>1-G735-H735</x:f>
        <x:v>0.4799999999999999</x:v>
      </x:c>
      <x:c r="J735" s="2" t="n">
        <x:f>MAX(1,ROUND('기준스탯 72종'!D37-R735-Z735,0))</x:f>
        <x:v>5</x:v>
      </x:c>
      <x:c r="K735" s="2" t="n">
        <x:f>MAX(1,ROUND('기준스탯 72종'!E37-S735-AA735,0))</x:f>
        <x:v>3</x:v>
      </x:c>
      <x:c r="L735" s="2" t="n">
        <x:f>MAX(1,ROUND('기준스탯 72종'!F37-T735-AB735,0))</x:f>
        <x:v>3</x:v>
      </x:c>
      <x:c r="M735" s="2" t="n">
        <x:f>MAX(1,ROUND('기준스탯 72종'!G37-U735-AC735,0))</x:f>
        <x:v>3</x:v>
      </x:c>
      <x:c r="N735" s="2" t="n">
        <x:f>MAX(0,ROUND('기준스탯 72종'!H37-V735-AD735,0))</x:f>
        <x:v>2</x:v>
      </x:c>
      <x:c r="O735" s="2" t="n">
        <x:f>MAX(0,ROUND('기준스탯 72종'!I37-W735-AE735,0))</x:f>
        <x:v>4</x:v>
      </x:c>
      <x:c r="P735" s="2" t="n">
        <x:f>MAX(0,ROUND('기준스탯 72종'!J37-X735-AF735,0))</x:f>
        <x:v>0</x:v>
      </x:c>
      <x:c r="Q735" s="2" t="n">
        <x:f>MAX(0,ROUND('기준스탯 72종'!K37-Y735-AG735,0))</x:f>
        <x:v>1</x:v>
      </x:c>
      <x:c r="R735" s="15" t="n">
        <x:f>'기준스탯 72종'!D37*G735</x:f>
        <x:v>2.8</x:v>
      </x:c>
      <x:c r="S735" s="15" t="n">
        <x:f>'기준스탯 72종'!E37*G735</x:f>
        <x:v>1.9599999999999997</x:v>
      </x:c>
      <x:c r="T735" s="15" t="n">
        <x:f>'기준스탯 72종'!F37*G735</x:f>
        <x:v>1.9599999999999997</x:v>
      </x:c>
      <x:c r="U735" s="15" t="n">
        <x:f>'기준스탯 72종'!G37*G735</x:f>
        <x:v>1.9599999999999997</x:v>
      </x:c>
      <x:c r="V735" s="15" t="n">
        <x:f>'기준스탯 72종'!H37*G735</x:f>
        <x:v>1.4</x:v>
      </x:c>
      <x:c r="W735" s="15" t="n">
        <x:f>'기준스탯 72종'!I37*G735</x:f>
        <x:v>2.2399999999999998</x:v>
      </x:c>
      <x:c r="X735" s="15" t="n">
        <x:f>'기준스탯 72종'!J37*G735</x:f>
        <x:v>0.27999999999999997</x:v>
      </x:c>
      <x:c r="Y735" s="15" t="n">
        <x:f>'기준스탯 72종'!K37*G735</x:f>
        <x:v>0.5599999999999999</x:v>
      </x:c>
      <x:c r="Z735" s="15" t="n">
        <x:f>'기준스탯 72종'!D37*H735</x:f>
        <x:v>2.4000000000000004</x:v>
      </x:c>
      <x:c r="AA735" s="15" t="n">
        <x:f>'기준스탯 72종'!E37*H735</x:f>
        <x:v>1.6800000000000004</x:v>
      </x:c>
      <x:c r="AB735" s="15" t="n">
        <x:f>'기준스탯 72종'!F37*H735</x:f>
        <x:v>1.6800000000000004</x:v>
      </x:c>
      <x:c r="AC735" s="15" t="n">
        <x:f>'기준스탯 72종'!G37*H735</x:f>
        <x:v>1.6800000000000004</x:v>
      </x:c>
      <x:c r="AD735" s="15" t="n">
        <x:f>'기준스탯 72종'!H37*H735</x:f>
        <x:v>1.2000000000000002</x:v>
      </x:c>
      <x:c r="AE735" s="15" t="n">
        <x:f>'기준스탯 72종'!I37*H735</x:f>
        <x:v>1.9200000000000004</x:v>
      </x:c>
      <x:c r="AF735" s="15" t="n">
        <x:f>'기준스탯 72종'!J37*H735</x:f>
        <x:v>0.24000000000000005</x:v>
      </x:c>
      <x:c r="AG735" s="15" t="n">
        <x:f>'기준스탯 72종'!K37*H735</x:f>
        <x:v>0.4800000000000001</x:v>
      </x:c>
    </x:row>
    <x:row r="736" ht="28" customHeight="1">
      <x:c r="A736" s="2" t="n">
        <x:v>729</x:v>
      </x:c>
      <x:c r="B736" s="2" t="n">
        <x:v>30</x:v>
      </x:c>
      <x:c r="C736" s="2" t="str">
        <x:v>사자자리</x:v>
      </x:c>
      <x:c r="D736" s="2" t="str">
        <x:v>전사</x:v>
      </x:c>
      <x:c r="E736" s="2" t="n">
        <x:v>4</x:v>
      </x:c>
      <x:c r="F736" s="2" t="n">
        <x:v>1</x:v>
      </x:c>
      <x:c r="G736" s="14" t="n">
        <x:f>('레벨 계산식'!$E$4-E736)*'레벨 계산식'!$B$5</x:f>
        <x:v>0.13999999999999999</x:v>
      </x:c>
      <x:c r="H736" s="14" t="n">
        <x:f>('등급 계산식'!$E$4-F736)*'등급 계산식'!$B$5</x:f>
        <x:v>0.24000000000000005</x:v>
      </x:c>
      <x:c r="I736" s="14" t="n">
        <x:f>1-G736-H736</x:f>
        <x:v>0.6199999999999999</x:v>
      </x:c>
      <x:c r="J736" s="2" t="n">
        <x:f>MAX(1,ROUND('기준스탯 72종'!D37-R736-Z736,0))</x:f>
        <x:v>6</x:v>
      </x:c>
      <x:c r="K736" s="2" t="n">
        <x:f>MAX(1,ROUND('기준스탯 72종'!E37-S736-AA736,0))</x:f>
        <x:v>4</x:v>
      </x:c>
      <x:c r="L736" s="2" t="n">
        <x:f>MAX(1,ROUND('기준스탯 72종'!F37-T736-AB736,0))</x:f>
        <x:v>4</x:v>
      </x:c>
      <x:c r="M736" s="2" t="n">
        <x:f>MAX(1,ROUND('기준스탯 72종'!G37-U736-AC736,0))</x:f>
        <x:v>4</x:v>
      </x:c>
      <x:c r="N736" s="2" t="n">
        <x:f>MAX(0,ROUND('기준스탯 72종'!H37-V736-AD736,0))</x:f>
        <x:v>3</x:v>
      </x:c>
      <x:c r="O736" s="2" t="n">
        <x:f>MAX(0,ROUND('기준스탯 72종'!I37-W736-AE736,0))</x:f>
        <x:v>5</x:v>
      </x:c>
      <x:c r="P736" s="2" t="n">
        <x:f>MAX(0,ROUND('기준스탯 72종'!J37-X736-AF736,0))</x:f>
        <x:v>1</x:v>
      </x:c>
      <x:c r="Q736" s="2" t="n">
        <x:f>MAX(0,ROUND('기준스탯 72종'!K37-Y736-AG736,0))</x:f>
        <x:v>1</x:v>
      </x:c>
      <x:c r="R736" s="15" t="n">
        <x:f>'기준스탯 72종'!D37*G736</x:f>
        <x:v>1.4</x:v>
      </x:c>
      <x:c r="S736" s="15" t="n">
        <x:f>'기준스탯 72종'!E37*G736</x:f>
        <x:v>0.9799999999999999</x:v>
      </x:c>
      <x:c r="T736" s="15" t="n">
        <x:f>'기준스탯 72종'!F37*G736</x:f>
        <x:v>0.9799999999999999</x:v>
      </x:c>
      <x:c r="U736" s="15" t="n">
        <x:f>'기준스탯 72종'!G37*G736</x:f>
        <x:v>0.9799999999999999</x:v>
      </x:c>
      <x:c r="V736" s="15" t="n">
        <x:f>'기준스탯 72종'!H37*G736</x:f>
        <x:v>0.7</x:v>
      </x:c>
      <x:c r="W736" s="15" t="n">
        <x:f>'기준스탯 72종'!I37*G736</x:f>
        <x:v>1.1199999999999999</x:v>
      </x:c>
      <x:c r="X736" s="15" t="n">
        <x:f>'기준스탯 72종'!J37*G736</x:f>
        <x:v>0.13999999999999999</x:v>
      </x:c>
      <x:c r="Y736" s="15" t="n">
        <x:f>'기준스탯 72종'!K37*G736</x:f>
        <x:v>0.27999999999999997</x:v>
      </x:c>
      <x:c r="Z736" s="15" t="n">
        <x:f>'기준스탯 72종'!D37*H736</x:f>
        <x:v>2.4000000000000004</x:v>
      </x:c>
      <x:c r="AA736" s="15" t="n">
        <x:f>'기준스탯 72종'!E37*H736</x:f>
        <x:v>1.6800000000000004</x:v>
      </x:c>
      <x:c r="AB736" s="15" t="n">
        <x:f>'기준스탯 72종'!F37*H736</x:f>
        <x:v>1.6800000000000004</x:v>
      </x:c>
      <x:c r="AC736" s="15" t="n">
        <x:f>'기준스탯 72종'!G37*H736</x:f>
        <x:v>1.6800000000000004</x:v>
      </x:c>
      <x:c r="AD736" s="15" t="n">
        <x:f>'기준스탯 72종'!H37*H736</x:f>
        <x:v>1.2000000000000002</x:v>
      </x:c>
      <x:c r="AE736" s="15" t="n">
        <x:f>'기준스탯 72종'!I37*H736</x:f>
        <x:v>1.9200000000000004</x:v>
      </x:c>
      <x:c r="AF736" s="15" t="n">
        <x:f>'기준스탯 72종'!J37*H736</x:f>
        <x:v>0.24000000000000005</x:v>
      </x:c>
      <x:c r="AG736" s="15" t="n">
        <x:f>'기준스탯 72종'!K37*H736</x:f>
        <x:v>0.4800000000000001</x:v>
      </x:c>
    </x:row>
    <x:row r="737" ht="28" customHeight="1">
      <x:c r="A737" s="2" t="n">
        <x:v>730</x:v>
      </x:c>
      <x:c r="B737" s="2" t="n">
        <x:v>30</x:v>
      </x:c>
      <x:c r="C737" s="2" t="str">
        <x:v>사자자리</x:v>
      </x:c>
      <x:c r="D737" s="2" t="str">
        <x:v>전사</x:v>
      </x:c>
      <x:c r="E737" s="2" t="n">
        <x:v>5</x:v>
      </x:c>
      <x:c r="F737" s="2" t="n">
        <x:v>1</x:v>
      </x:c>
      <x:c r="G737" s="14" t="n">
        <x:f>('레벨 계산식'!$E$4-E737)*'레벨 계산식'!$B$5</x:f>
        <x:v>0</x:v>
      </x:c>
      <x:c r="H737" s="14" t="n">
        <x:f>('등급 계산식'!$E$4-F737)*'등급 계산식'!$B$5</x:f>
        <x:v>0.24000000000000005</x:v>
      </x:c>
      <x:c r="I737" s="14" t="n">
        <x:f>1-G737-H737</x:f>
        <x:v>0.76</x:v>
      </x:c>
      <x:c r="J737" s="2" t="n">
        <x:f>MAX(1,ROUND('기준스탯 72종'!D37-R737-Z737,0))</x:f>
        <x:v>8</x:v>
      </x:c>
      <x:c r="K737" s="2" t="n">
        <x:f>MAX(1,ROUND('기준스탯 72종'!E37-S737-AA737,0))</x:f>
        <x:v>5</x:v>
      </x:c>
      <x:c r="L737" s="2" t="n">
        <x:f>MAX(1,ROUND('기준스탯 72종'!F37-T737-AB737,0))</x:f>
        <x:v>5</x:v>
      </x:c>
      <x:c r="M737" s="2" t="n">
        <x:f>MAX(1,ROUND('기준스탯 72종'!G37-U737-AC737,0))</x:f>
        <x:v>5</x:v>
      </x:c>
      <x:c r="N737" s="2" t="n">
        <x:f>MAX(0,ROUND('기준스탯 72종'!H37-V737-AD737,0))</x:f>
        <x:v>4</x:v>
      </x:c>
      <x:c r="O737" s="2" t="n">
        <x:f>MAX(0,ROUND('기준스탯 72종'!I37-W737-AE737,0))</x:f>
        <x:v>6</x:v>
      </x:c>
      <x:c r="P737" s="2" t="n">
        <x:f>MAX(0,ROUND('기준스탯 72종'!J37-X737-AF737,0))</x:f>
        <x:v>1</x:v>
      </x:c>
      <x:c r="Q737" s="2" t="n">
        <x:f>MAX(0,ROUND('기준스탯 72종'!K37-Y737-AG737,0))</x:f>
        <x:v>2</x:v>
      </x:c>
      <x:c r="R737" s="15" t="n">
        <x:f>'기준스탯 72종'!D37*G737</x:f>
        <x:v>0</x:v>
      </x:c>
      <x:c r="S737" s="15" t="n">
        <x:f>'기준스탯 72종'!E37*G737</x:f>
        <x:v>0</x:v>
      </x:c>
      <x:c r="T737" s="15" t="n">
        <x:f>'기준스탯 72종'!F37*G737</x:f>
        <x:v>0</x:v>
      </x:c>
      <x:c r="U737" s="15" t="n">
        <x:f>'기준스탯 72종'!G37*G737</x:f>
        <x:v>0</x:v>
      </x:c>
      <x:c r="V737" s="15" t="n">
        <x:f>'기준스탯 72종'!H37*G737</x:f>
        <x:v>0</x:v>
      </x:c>
      <x:c r="W737" s="15" t="n">
        <x:f>'기준스탯 72종'!I37*G737</x:f>
        <x:v>0</x:v>
      </x:c>
      <x:c r="X737" s="15" t="n">
        <x:f>'기준스탯 72종'!J37*G737</x:f>
        <x:v>0</x:v>
      </x:c>
      <x:c r="Y737" s="15" t="n">
        <x:f>'기준스탯 72종'!K37*G737</x:f>
        <x:v>0</x:v>
      </x:c>
      <x:c r="Z737" s="15" t="n">
        <x:f>'기준스탯 72종'!D37*H737</x:f>
        <x:v>2.4000000000000004</x:v>
      </x:c>
      <x:c r="AA737" s="15" t="n">
        <x:f>'기준스탯 72종'!E37*H737</x:f>
        <x:v>1.6800000000000004</x:v>
      </x:c>
      <x:c r="AB737" s="15" t="n">
        <x:f>'기준스탯 72종'!F37*H737</x:f>
        <x:v>1.6800000000000004</x:v>
      </x:c>
      <x:c r="AC737" s="15" t="n">
        <x:f>'기준스탯 72종'!G37*H737</x:f>
        <x:v>1.6800000000000004</x:v>
      </x:c>
      <x:c r="AD737" s="15" t="n">
        <x:f>'기준스탯 72종'!H37*H737</x:f>
        <x:v>1.2000000000000002</x:v>
      </x:c>
      <x:c r="AE737" s="15" t="n">
        <x:f>'기준스탯 72종'!I37*H737</x:f>
        <x:v>1.9200000000000004</x:v>
      </x:c>
      <x:c r="AF737" s="15" t="n">
        <x:f>'기준스탯 72종'!J37*H737</x:f>
        <x:v>0.24000000000000005</x:v>
      </x:c>
      <x:c r="AG737" s="15" t="n">
        <x:f>'기준스탯 72종'!K37*H737</x:f>
        <x:v>0.4800000000000001</x:v>
      </x:c>
    </x:row>
    <x:row r="738" ht="28" customHeight="1">
      <x:c r="A738" s="2" t="n">
        <x:v>731</x:v>
      </x:c>
      <x:c r="B738" s="2" t="n">
        <x:v>30</x:v>
      </x:c>
      <x:c r="C738" s="2" t="str">
        <x:v>사자자리</x:v>
      </x:c>
      <x:c r="D738" s="2" t="str">
        <x:v>전사</x:v>
      </x:c>
      <x:c r="E738" s="2" t="n">
        <x:v>1</x:v>
      </x:c>
      <x:c r="F738" s="2" t="n">
        <x:v>2</x:v>
      </x:c>
      <x:c r="G738" s="14" t="n">
        <x:f>('레벨 계산식'!$E$4-E738)*'레벨 계산식'!$B$5</x:f>
        <x:v>0.5599999999999999</x:v>
      </x:c>
      <x:c r="H738" s="14" t="n">
        <x:f>('등급 계산식'!$E$4-F738)*'등급 계산식'!$B$5</x:f>
        <x:v>0.18000000000000005</x:v>
      </x:c>
      <x:c r="I738" s="14" t="n">
        <x:f>1-G738-H738</x:f>
        <x:v>0.26</x:v>
      </x:c>
      <x:c r="J738" s="2" t="n">
        <x:f>MAX(1,ROUND('기준스탯 72종'!D37-R738-Z738,0))</x:f>
        <x:v>3</x:v>
      </x:c>
      <x:c r="K738" s="2" t="n">
        <x:f>MAX(1,ROUND('기준스탯 72종'!E37-S738-AA738,0))</x:f>
        <x:v>2</x:v>
      </x:c>
      <x:c r="L738" s="2" t="n">
        <x:f>MAX(1,ROUND('기준스탯 72종'!F37-T738-AB738,0))</x:f>
        <x:v>2</x:v>
      </x:c>
      <x:c r="M738" s="2" t="n">
        <x:f>MAX(1,ROUND('기준스탯 72종'!G37-U738-AC738,0))</x:f>
        <x:v>2</x:v>
      </x:c>
      <x:c r="N738" s="2" t="n">
        <x:f>MAX(0,ROUND('기준스탯 72종'!H37-V738-AD738,0))</x:f>
        <x:v>1</x:v>
      </x:c>
      <x:c r="O738" s="2" t="n">
        <x:f>MAX(0,ROUND('기준스탯 72종'!I37-W738-AE738,0))</x:f>
        <x:v>2</x:v>
      </x:c>
      <x:c r="P738" s="2" t="n">
        <x:f>MAX(0,ROUND('기준스탯 72종'!J37-X738-AF738,0))</x:f>
        <x:v>0</x:v>
      </x:c>
      <x:c r="Q738" s="2" t="n">
        <x:f>MAX(0,ROUND('기준스탯 72종'!K37-Y738-AG738,0))</x:f>
        <x:v>1</x:v>
      </x:c>
      <x:c r="R738" s="15" t="n">
        <x:f>'기준스탯 72종'!D37*G738</x:f>
        <x:v>5.6</x:v>
      </x:c>
      <x:c r="S738" s="15" t="n">
        <x:f>'기준스탯 72종'!E37*G738</x:f>
        <x:v>3.9199999999999995</x:v>
      </x:c>
      <x:c r="T738" s="15" t="n">
        <x:f>'기준스탯 72종'!F37*G738</x:f>
        <x:v>3.9199999999999995</x:v>
      </x:c>
      <x:c r="U738" s="15" t="n">
        <x:f>'기준스탯 72종'!G37*G738</x:f>
        <x:v>3.9199999999999995</x:v>
      </x:c>
      <x:c r="V738" s="15" t="n">
        <x:f>'기준스탯 72종'!H37*G738</x:f>
        <x:v>2.8</x:v>
      </x:c>
      <x:c r="W738" s="15" t="n">
        <x:f>'기준스탯 72종'!I37*G738</x:f>
        <x:v>4.4799999999999995</x:v>
      </x:c>
      <x:c r="X738" s="15" t="n">
        <x:f>'기준스탯 72종'!J37*G738</x:f>
        <x:v>0.5599999999999999</x:v>
      </x:c>
      <x:c r="Y738" s="15" t="n">
        <x:f>'기준스탯 72종'!K37*G738</x:f>
        <x:v>1.1199999999999999</x:v>
      </x:c>
      <x:c r="Z738" s="15" t="n">
        <x:f>'기준스탯 72종'!D37*H738</x:f>
        <x:v>1.8000000000000005</x:v>
      </x:c>
      <x:c r="AA738" s="15" t="n">
        <x:f>'기준스탯 72종'!E37*H738</x:f>
        <x:v>1.2600000000000002</x:v>
      </x:c>
      <x:c r="AB738" s="15" t="n">
        <x:f>'기준스탯 72종'!F37*H738</x:f>
        <x:v>1.2600000000000002</x:v>
      </x:c>
      <x:c r="AC738" s="15" t="n">
        <x:f>'기준스탯 72종'!G37*H738</x:f>
        <x:v>1.2600000000000002</x:v>
      </x:c>
      <x:c r="AD738" s="15" t="n">
        <x:f>'기준스탯 72종'!H37*H738</x:f>
        <x:v>0.9000000000000002</x:v>
      </x:c>
      <x:c r="AE738" s="15" t="n">
        <x:f>'기준스탯 72종'!I37*H738</x:f>
        <x:v>1.4400000000000004</x:v>
      </x:c>
      <x:c r="AF738" s="15" t="n">
        <x:f>'기준스탯 72종'!J37*H738</x:f>
        <x:v>0.18000000000000005</x:v>
      </x:c>
      <x:c r="AG738" s="15" t="n">
        <x:f>'기준스탯 72종'!K37*H738</x:f>
        <x:v>0.3600000000000001</x:v>
      </x:c>
    </x:row>
    <x:row r="739" ht="28" customHeight="1">
      <x:c r="A739" s="2" t="n">
        <x:v>732</x:v>
      </x:c>
      <x:c r="B739" s="2" t="n">
        <x:v>30</x:v>
      </x:c>
      <x:c r="C739" s="2" t="str">
        <x:v>사자자리</x:v>
      </x:c>
      <x:c r="D739" s="2" t="str">
        <x:v>전사</x:v>
      </x:c>
      <x:c r="E739" s="2" t="n">
        <x:v>2</x:v>
      </x:c>
      <x:c r="F739" s="2" t="n">
        <x:v>2</x:v>
      </x:c>
      <x:c r="G739" s="14" t="n">
        <x:f>('레벨 계산식'!$E$4-E739)*'레벨 계산식'!$B$5</x:f>
        <x:v>0.41999999999999993</x:v>
      </x:c>
      <x:c r="H739" s="14" t="n">
        <x:f>('등급 계산식'!$E$4-F739)*'등급 계산식'!$B$5</x:f>
        <x:v>0.18000000000000005</x:v>
      </x:c>
      <x:c r="I739" s="14" t="n">
        <x:f>1-G739-H739</x:f>
        <x:v>0.4</x:v>
      </x:c>
      <x:c r="J739" s="2" t="n">
        <x:f>MAX(1,ROUND('기준스탯 72종'!D37-R739-Z739,0))</x:f>
        <x:v>4</x:v>
      </x:c>
      <x:c r="K739" s="2" t="n">
        <x:f>MAX(1,ROUND('기준스탯 72종'!E37-S739-AA739,0))</x:f>
        <x:v>3</x:v>
      </x:c>
      <x:c r="L739" s="2" t="n">
        <x:f>MAX(1,ROUND('기준스탯 72종'!F37-T739-AB739,0))</x:f>
        <x:v>3</x:v>
      </x:c>
      <x:c r="M739" s="2" t="n">
        <x:f>MAX(1,ROUND('기준스탯 72종'!G37-U739-AC739,0))</x:f>
        <x:v>3</x:v>
      </x:c>
      <x:c r="N739" s="2" t="n">
        <x:f>MAX(0,ROUND('기준스탯 72종'!H37-V739-AD739,0))</x:f>
        <x:v>2</x:v>
      </x:c>
      <x:c r="O739" s="2" t="n">
        <x:f>MAX(0,ROUND('기준스탯 72종'!I37-W739-AE739,0))</x:f>
        <x:v>3</x:v>
      </x:c>
      <x:c r="P739" s="2" t="n">
        <x:f>MAX(0,ROUND('기준스탯 72종'!J37-X739-AF739,0))</x:f>
        <x:v>0</x:v>
      </x:c>
      <x:c r="Q739" s="2" t="n">
        <x:f>MAX(0,ROUND('기준스탯 72종'!K37-Y739-AG739,0))</x:f>
        <x:v>1</x:v>
      </x:c>
      <x:c r="R739" s="15" t="n">
        <x:f>'기준스탯 72종'!D37*G739</x:f>
        <x:v>4.199999999999999</x:v>
      </x:c>
      <x:c r="S739" s="15" t="n">
        <x:f>'기준스탯 72종'!E37*G739</x:f>
        <x:v>2.9399999999999995</x:v>
      </x:c>
      <x:c r="T739" s="15" t="n">
        <x:f>'기준스탯 72종'!F37*G739</x:f>
        <x:v>2.9399999999999995</x:v>
      </x:c>
      <x:c r="U739" s="15" t="n">
        <x:f>'기준스탯 72종'!G37*G739</x:f>
        <x:v>2.9399999999999995</x:v>
      </x:c>
      <x:c r="V739" s="15" t="n">
        <x:f>'기준스탯 72종'!H37*G739</x:f>
        <x:v>2.0999999999999996</x:v>
      </x:c>
      <x:c r="W739" s="15" t="n">
        <x:f>'기준스탯 72종'!I37*G739</x:f>
        <x:v>3.3599999999999994</x:v>
      </x:c>
      <x:c r="X739" s="15" t="n">
        <x:f>'기준스탯 72종'!J37*G739</x:f>
        <x:v>0.41999999999999993</x:v>
      </x:c>
      <x:c r="Y739" s="15" t="n">
        <x:f>'기준스탯 72종'!K37*G739</x:f>
        <x:v>0.8399999999999999</x:v>
      </x:c>
      <x:c r="Z739" s="15" t="n">
        <x:f>'기준스탯 72종'!D37*H739</x:f>
        <x:v>1.8000000000000005</x:v>
      </x:c>
      <x:c r="AA739" s="15" t="n">
        <x:f>'기준스탯 72종'!E37*H739</x:f>
        <x:v>1.2600000000000002</x:v>
      </x:c>
      <x:c r="AB739" s="15" t="n">
        <x:f>'기준스탯 72종'!F37*H739</x:f>
        <x:v>1.2600000000000002</x:v>
      </x:c>
      <x:c r="AC739" s="15" t="n">
        <x:f>'기준스탯 72종'!G37*H739</x:f>
        <x:v>1.2600000000000002</x:v>
      </x:c>
      <x:c r="AD739" s="15" t="n">
        <x:f>'기준스탯 72종'!H37*H739</x:f>
        <x:v>0.9000000000000002</x:v>
      </x:c>
      <x:c r="AE739" s="15" t="n">
        <x:f>'기준스탯 72종'!I37*H739</x:f>
        <x:v>1.4400000000000004</x:v>
      </x:c>
      <x:c r="AF739" s="15" t="n">
        <x:f>'기준스탯 72종'!J37*H739</x:f>
        <x:v>0.18000000000000005</x:v>
      </x:c>
      <x:c r="AG739" s="15" t="n">
        <x:f>'기준스탯 72종'!K37*H739</x:f>
        <x:v>0.3600000000000001</x:v>
      </x:c>
    </x:row>
    <x:row r="740" ht="28" customHeight="1">
      <x:c r="A740" s="2" t="n">
        <x:v>733</x:v>
      </x:c>
      <x:c r="B740" s="2" t="n">
        <x:v>30</x:v>
      </x:c>
      <x:c r="C740" s="2" t="str">
        <x:v>사자자리</x:v>
      </x:c>
      <x:c r="D740" s="2" t="str">
        <x:v>전사</x:v>
      </x:c>
      <x:c r="E740" s="2" t="n">
        <x:v>3</x:v>
      </x:c>
      <x:c r="F740" s="2" t="n">
        <x:v>2</x:v>
      </x:c>
      <x:c r="G740" s="14" t="n">
        <x:f>('레벨 계산식'!$E$4-E740)*'레벨 계산식'!$B$5</x:f>
        <x:v>0.27999999999999997</x:v>
      </x:c>
      <x:c r="H740" s="14" t="n">
        <x:f>('등급 계산식'!$E$4-F740)*'등급 계산식'!$B$5</x:f>
        <x:v>0.18000000000000005</x:v>
      </x:c>
      <x:c r="I740" s="14" t="n">
        <x:f>1-G740-H740</x:f>
        <x:v>0.5399999999999999</x:v>
      </x:c>
      <x:c r="J740" s="2" t="n">
        <x:f>MAX(1,ROUND('기준스탯 72종'!D37-R740-Z740,0))</x:f>
        <x:v>5</x:v>
      </x:c>
      <x:c r="K740" s="2" t="n">
        <x:f>MAX(1,ROUND('기준스탯 72종'!E37-S740-AA740,0))</x:f>
        <x:v>4</x:v>
      </x:c>
      <x:c r="L740" s="2" t="n">
        <x:f>MAX(1,ROUND('기준스탯 72종'!F37-T740-AB740,0))</x:f>
        <x:v>4</x:v>
      </x:c>
      <x:c r="M740" s="2" t="n">
        <x:f>MAX(1,ROUND('기준스탯 72종'!G37-U740-AC740,0))</x:f>
        <x:v>4</x:v>
      </x:c>
      <x:c r="N740" s="2" t="n">
        <x:f>MAX(0,ROUND('기준스탯 72종'!H37-V740-AD740,0))</x:f>
        <x:v>3</x:v>
      </x:c>
      <x:c r="O740" s="2" t="n">
        <x:f>MAX(0,ROUND('기준스탯 72종'!I37-W740-AE740,0))</x:f>
        <x:v>4</x:v>
      </x:c>
      <x:c r="P740" s="2" t="n">
        <x:f>MAX(0,ROUND('기준스탯 72종'!J37-X740-AF740,0))</x:f>
        <x:v>1</x:v>
      </x:c>
      <x:c r="Q740" s="2" t="n">
        <x:f>MAX(0,ROUND('기준스탯 72종'!K37-Y740-AG740,0))</x:f>
        <x:v>1</x:v>
      </x:c>
      <x:c r="R740" s="15" t="n">
        <x:f>'기준스탯 72종'!D37*G740</x:f>
        <x:v>2.8</x:v>
      </x:c>
      <x:c r="S740" s="15" t="n">
        <x:f>'기준스탯 72종'!E37*G740</x:f>
        <x:v>1.9599999999999997</x:v>
      </x:c>
      <x:c r="T740" s="15" t="n">
        <x:f>'기준스탯 72종'!F37*G740</x:f>
        <x:v>1.9599999999999997</x:v>
      </x:c>
      <x:c r="U740" s="15" t="n">
        <x:f>'기준스탯 72종'!G37*G740</x:f>
        <x:v>1.9599999999999997</x:v>
      </x:c>
      <x:c r="V740" s="15" t="n">
        <x:f>'기준스탯 72종'!H37*G740</x:f>
        <x:v>1.4</x:v>
      </x:c>
      <x:c r="W740" s="15" t="n">
        <x:f>'기준스탯 72종'!I37*G740</x:f>
        <x:v>2.2399999999999998</x:v>
      </x:c>
      <x:c r="X740" s="15" t="n">
        <x:f>'기준스탯 72종'!J37*G740</x:f>
        <x:v>0.27999999999999997</x:v>
      </x:c>
      <x:c r="Y740" s="15" t="n">
        <x:f>'기준스탯 72종'!K37*G740</x:f>
        <x:v>0.5599999999999999</x:v>
      </x:c>
      <x:c r="Z740" s="15" t="n">
        <x:f>'기준스탯 72종'!D37*H740</x:f>
        <x:v>1.8000000000000005</x:v>
      </x:c>
      <x:c r="AA740" s="15" t="n">
        <x:f>'기준스탯 72종'!E37*H740</x:f>
        <x:v>1.2600000000000002</x:v>
      </x:c>
      <x:c r="AB740" s="15" t="n">
        <x:f>'기준스탯 72종'!F37*H740</x:f>
        <x:v>1.2600000000000002</x:v>
      </x:c>
      <x:c r="AC740" s="15" t="n">
        <x:f>'기준스탯 72종'!G37*H740</x:f>
        <x:v>1.2600000000000002</x:v>
      </x:c>
      <x:c r="AD740" s="15" t="n">
        <x:f>'기준스탯 72종'!H37*H740</x:f>
        <x:v>0.9000000000000002</x:v>
      </x:c>
      <x:c r="AE740" s="15" t="n">
        <x:f>'기준스탯 72종'!I37*H740</x:f>
        <x:v>1.4400000000000004</x:v>
      </x:c>
      <x:c r="AF740" s="15" t="n">
        <x:f>'기준스탯 72종'!J37*H740</x:f>
        <x:v>0.18000000000000005</x:v>
      </x:c>
      <x:c r="AG740" s="15" t="n">
        <x:f>'기준스탯 72종'!K37*H740</x:f>
        <x:v>0.3600000000000001</x:v>
      </x:c>
    </x:row>
    <x:row r="741" ht="28" customHeight="1">
      <x:c r="A741" s="2" t="n">
        <x:v>734</x:v>
      </x:c>
      <x:c r="B741" s="2" t="n">
        <x:v>30</x:v>
      </x:c>
      <x:c r="C741" s="2" t="str">
        <x:v>사자자리</x:v>
      </x:c>
      <x:c r="D741" s="2" t="str">
        <x:v>전사</x:v>
      </x:c>
      <x:c r="E741" s="2" t="n">
        <x:v>4</x:v>
      </x:c>
      <x:c r="F741" s="2" t="n">
        <x:v>2</x:v>
      </x:c>
      <x:c r="G741" s="14" t="n">
        <x:f>('레벨 계산식'!$E$4-E741)*'레벨 계산식'!$B$5</x:f>
        <x:v>0.13999999999999999</x:v>
      </x:c>
      <x:c r="H741" s="14" t="n">
        <x:f>('등급 계산식'!$E$4-F741)*'등급 계산식'!$B$5</x:f>
        <x:v>0.18000000000000005</x:v>
      </x:c>
      <x:c r="I741" s="14" t="n">
        <x:f>1-G741-H741</x:f>
        <x:v>0.6799999999999999</x:v>
      </x:c>
      <x:c r="J741" s="2" t="n">
        <x:f>MAX(1,ROUND('기준스탯 72종'!D37-R741-Z741,0))</x:f>
        <x:v>7</x:v>
      </x:c>
      <x:c r="K741" s="2" t="n">
        <x:f>MAX(1,ROUND('기준스탯 72종'!E37-S741-AA741,0))</x:f>
        <x:v>5</x:v>
      </x:c>
      <x:c r="L741" s="2" t="n">
        <x:f>MAX(1,ROUND('기준스탯 72종'!F37-T741-AB741,0))</x:f>
        <x:v>5</x:v>
      </x:c>
      <x:c r="M741" s="2" t="n">
        <x:f>MAX(1,ROUND('기준스탯 72종'!G37-U741-AC741,0))</x:f>
        <x:v>5</x:v>
      </x:c>
      <x:c r="N741" s="2" t="n">
        <x:f>MAX(0,ROUND('기준스탯 72종'!H37-V741-AD741,0))</x:f>
        <x:v>3</x:v>
      </x:c>
      <x:c r="O741" s="2" t="n">
        <x:f>MAX(0,ROUND('기준스탯 72종'!I37-W741-AE741,0))</x:f>
        <x:v>5</x:v>
      </x:c>
      <x:c r="P741" s="2" t="n">
        <x:f>MAX(0,ROUND('기준스탯 72종'!J37-X741-AF741,0))</x:f>
        <x:v>1</x:v>
      </x:c>
      <x:c r="Q741" s="2" t="n">
        <x:f>MAX(0,ROUND('기준스탯 72종'!K37-Y741-AG741,0))</x:f>
        <x:v>1</x:v>
      </x:c>
      <x:c r="R741" s="15" t="n">
        <x:f>'기준스탯 72종'!D37*G741</x:f>
        <x:v>1.4</x:v>
      </x:c>
      <x:c r="S741" s="15" t="n">
        <x:f>'기준스탯 72종'!E37*G741</x:f>
        <x:v>0.9799999999999999</x:v>
      </x:c>
      <x:c r="T741" s="15" t="n">
        <x:f>'기준스탯 72종'!F37*G741</x:f>
        <x:v>0.9799999999999999</x:v>
      </x:c>
      <x:c r="U741" s="15" t="n">
        <x:f>'기준스탯 72종'!G37*G741</x:f>
        <x:v>0.9799999999999999</x:v>
      </x:c>
      <x:c r="V741" s="15" t="n">
        <x:f>'기준스탯 72종'!H37*G741</x:f>
        <x:v>0.7</x:v>
      </x:c>
      <x:c r="W741" s="15" t="n">
        <x:f>'기준스탯 72종'!I37*G741</x:f>
        <x:v>1.1199999999999999</x:v>
      </x:c>
      <x:c r="X741" s="15" t="n">
        <x:f>'기준스탯 72종'!J37*G741</x:f>
        <x:v>0.13999999999999999</x:v>
      </x:c>
      <x:c r="Y741" s="15" t="n">
        <x:f>'기준스탯 72종'!K37*G741</x:f>
        <x:v>0.27999999999999997</x:v>
      </x:c>
      <x:c r="Z741" s="15" t="n">
        <x:f>'기준스탯 72종'!D37*H741</x:f>
        <x:v>1.8000000000000005</x:v>
      </x:c>
      <x:c r="AA741" s="15" t="n">
        <x:f>'기준스탯 72종'!E37*H741</x:f>
        <x:v>1.2600000000000002</x:v>
      </x:c>
      <x:c r="AB741" s="15" t="n">
        <x:f>'기준스탯 72종'!F37*H741</x:f>
        <x:v>1.2600000000000002</x:v>
      </x:c>
      <x:c r="AC741" s="15" t="n">
        <x:f>'기준스탯 72종'!G37*H741</x:f>
        <x:v>1.2600000000000002</x:v>
      </x:c>
      <x:c r="AD741" s="15" t="n">
        <x:f>'기준스탯 72종'!H37*H741</x:f>
        <x:v>0.9000000000000002</x:v>
      </x:c>
      <x:c r="AE741" s="15" t="n">
        <x:f>'기준스탯 72종'!I37*H741</x:f>
        <x:v>1.4400000000000004</x:v>
      </x:c>
      <x:c r="AF741" s="15" t="n">
        <x:f>'기준스탯 72종'!J37*H741</x:f>
        <x:v>0.18000000000000005</x:v>
      </x:c>
      <x:c r="AG741" s="15" t="n">
        <x:f>'기준스탯 72종'!K37*H741</x:f>
        <x:v>0.3600000000000001</x:v>
      </x:c>
    </x:row>
    <x:row r="742" ht="28" customHeight="1">
      <x:c r="A742" s="2" t="n">
        <x:v>735</x:v>
      </x:c>
      <x:c r="B742" s="2" t="n">
        <x:v>30</x:v>
      </x:c>
      <x:c r="C742" s="2" t="str">
        <x:v>사자자리</x:v>
      </x:c>
      <x:c r="D742" s="2" t="str">
        <x:v>전사</x:v>
      </x:c>
      <x:c r="E742" s="2" t="n">
        <x:v>5</x:v>
      </x:c>
      <x:c r="F742" s="2" t="n">
        <x:v>2</x:v>
      </x:c>
      <x:c r="G742" s="14" t="n">
        <x:f>('레벨 계산식'!$E$4-E742)*'레벨 계산식'!$B$5</x:f>
        <x:v>0</x:v>
      </x:c>
      <x:c r="H742" s="14" t="n">
        <x:f>('등급 계산식'!$E$4-F742)*'등급 계산식'!$B$5</x:f>
        <x:v>0.18000000000000005</x:v>
      </x:c>
      <x:c r="I742" s="14" t="n">
        <x:f>1-G742-H742</x:f>
        <x:v>0.82</x:v>
      </x:c>
      <x:c r="J742" s="2" t="n">
        <x:f>MAX(1,ROUND('기준스탯 72종'!D37-R742-Z742,0))</x:f>
        <x:v>8</x:v>
      </x:c>
      <x:c r="K742" s="2" t="n">
        <x:f>MAX(1,ROUND('기준스탯 72종'!E37-S742-AA742,0))</x:f>
        <x:v>6</x:v>
      </x:c>
      <x:c r="L742" s="2" t="n">
        <x:f>MAX(1,ROUND('기준스탯 72종'!F37-T742-AB742,0))</x:f>
        <x:v>6</x:v>
      </x:c>
      <x:c r="M742" s="2" t="n">
        <x:f>MAX(1,ROUND('기준스탯 72종'!G37-U742-AC742,0))</x:f>
        <x:v>6</x:v>
      </x:c>
      <x:c r="N742" s="2" t="n">
        <x:f>MAX(0,ROUND('기준스탯 72종'!H37-V742-AD742,0))</x:f>
        <x:v>4</x:v>
      </x:c>
      <x:c r="O742" s="2" t="n">
        <x:f>MAX(0,ROUND('기준스탯 72종'!I37-W742-AE742,0))</x:f>
        <x:v>7</x:v>
      </x:c>
      <x:c r="P742" s="2" t="n">
        <x:f>MAX(0,ROUND('기준스탯 72종'!J37-X742-AF742,0))</x:f>
        <x:v>1</x:v>
      </x:c>
      <x:c r="Q742" s="2" t="n">
        <x:f>MAX(0,ROUND('기준스탯 72종'!K37-Y742-AG742,0))</x:f>
        <x:v>2</x:v>
      </x:c>
      <x:c r="R742" s="15" t="n">
        <x:f>'기준스탯 72종'!D37*G742</x:f>
        <x:v>0</x:v>
      </x:c>
      <x:c r="S742" s="15" t="n">
        <x:f>'기준스탯 72종'!E37*G742</x:f>
        <x:v>0</x:v>
      </x:c>
      <x:c r="T742" s="15" t="n">
        <x:f>'기준스탯 72종'!F37*G742</x:f>
        <x:v>0</x:v>
      </x:c>
      <x:c r="U742" s="15" t="n">
        <x:f>'기준스탯 72종'!G37*G742</x:f>
        <x:v>0</x:v>
      </x:c>
      <x:c r="V742" s="15" t="n">
        <x:f>'기준스탯 72종'!H37*G742</x:f>
        <x:v>0</x:v>
      </x:c>
      <x:c r="W742" s="15" t="n">
        <x:f>'기준스탯 72종'!I37*G742</x:f>
        <x:v>0</x:v>
      </x:c>
      <x:c r="X742" s="15" t="n">
        <x:f>'기준스탯 72종'!J37*G742</x:f>
        <x:v>0</x:v>
      </x:c>
      <x:c r="Y742" s="15" t="n">
        <x:f>'기준스탯 72종'!K37*G742</x:f>
        <x:v>0</x:v>
      </x:c>
      <x:c r="Z742" s="15" t="n">
        <x:f>'기준스탯 72종'!D37*H742</x:f>
        <x:v>1.8000000000000005</x:v>
      </x:c>
      <x:c r="AA742" s="15" t="n">
        <x:f>'기준스탯 72종'!E37*H742</x:f>
        <x:v>1.2600000000000002</x:v>
      </x:c>
      <x:c r="AB742" s="15" t="n">
        <x:f>'기준스탯 72종'!F37*H742</x:f>
        <x:v>1.2600000000000002</x:v>
      </x:c>
      <x:c r="AC742" s="15" t="n">
        <x:f>'기준스탯 72종'!G37*H742</x:f>
        <x:v>1.2600000000000002</x:v>
      </x:c>
      <x:c r="AD742" s="15" t="n">
        <x:f>'기준스탯 72종'!H37*H742</x:f>
        <x:v>0.9000000000000002</x:v>
      </x:c>
      <x:c r="AE742" s="15" t="n">
        <x:f>'기준스탯 72종'!I37*H742</x:f>
        <x:v>1.4400000000000004</x:v>
      </x:c>
      <x:c r="AF742" s="15" t="n">
        <x:f>'기준스탯 72종'!J37*H742</x:f>
        <x:v>0.18000000000000005</x:v>
      </x:c>
      <x:c r="AG742" s="15" t="n">
        <x:f>'기준스탯 72종'!K37*H742</x:f>
        <x:v>0.3600000000000001</x:v>
      </x:c>
    </x:row>
    <x:row r="743" ht="28" customHeight="1">
      <x:c r="A743" s="2" t="n">
        <x:v>736</x:v>
      </x:c>
      <x:c r="B743" s="2" t="n">
        <x:v>30</x:v>
      </x:c>
      <x:c r="C743" s="2" t="str">
        <x:v>사자자리</x:v>
      </x:c>
      <x:c r="D743" s="2" t="str">
        <x:v>전사</x:v>
      </x:c>
      <x:c r="E743" s="2" t="n">
        <x:v>1</x:v>
      </x:c>
      <x:c r="F743" s="2" t="n">
        <x:v>3</x:v>
      </x:c>
      <x:c r="G743" s="14" t="n">
        <x:f>('레벨 계산식'!$E$4-E743)*'레벨 계산식'!$B$5</x:f>
        <x:v>0.5599999999999999</x:v>
      </x:c>
      <x:c r="H743" s="14" t="n">
        <x:f>('등급 계산식'!$E$4-F743)*'등급 계산식'!$B$5</x:f>
        <x:v>0.12000000000000002</x:v>
      </x:c>
      <x:c r="I743" s="14" t="n">
        <x:f>1-G743-H743</x:f>
        <x:v>0.32000000000000006</x:v>
      </x:c>
      <x:c r="J743" s="2" t="n">
        <x:f>MAX(1,ROUND('기준스탯 72종'!D37-R743-Z743,0))</x:f>
        <x:v>3</x:v>
      </x:c>
      <x:c r="K743" s="2" t="n">
        <x:f>MAX(1,ROUND('기준스탯 72종'!E37-S743-AA743,0))</x:f>
        <x:v>2</x:v>
      </x:c>
      <x:c r="L743" s="2" t="n">
        <x:f>MAX(1,ROUND('기준스탯 72종'!F37-T743-AB743,0))</x:f>
        <x:v>2</x:v>
      </x:c>
      <x:c r="M743" s="2" t="n">
        <x:f>MAX(1,ROUND('기준스탯 72종'!G37-U743-AC743,0))</x:f>
        <x:v>2</x:v>
      </x:c>
      <x:c r="N743" s="2" t="n">
        <x:f>MAX(0,ROUND('기준스탯 72종'!H37-V743-AD743,0))</x:f>
        <x:v>2</x:v>
      </x:c>
      <x:c r="O743" s="2" t="n">
        <x:f>MAX(0,ROUND('기준스탯 72종'!I37-W743-AE743,0))</x:f>
        <x:v>3</x:v>
      </x:c>
      <x:c r="P743" s="2" t="n">
        <x:f>MAX(0,ROUND('기준스탯 72종'!J37-X743-AF743,0))</x:f>
        <x:v>0</x:v>
      </x:c>
      <x:c r="Q743" s="2" t="n">
        <x:f>MAX(0,ROUND('기준스탯 72종'!K37-Y743-AG743,0))</x:f>
        <x:v>1</x:v>
      </x:c>
      <x:c r="R743" s="15" t="n">
        <x:f>'기준스탯 72종'!D37*G743</x:f>
        <x:v>5.6</x:v>
      </x:c>
      <x:c r="S743" s="15" t="n">
        <x:f>'기준스탯 72종'!E37*G743</x:f>
        <x:v>3.9199999999999995</x:v>
      </x:c>
      <x:c r="T743" s="15" t="n">
        <x:f>'기준스탯 72종'!F37*G743</x:f>
        <x:v>3.9199999999999995</x:v>
      </x:c>
      <x:c r="U743" s="15" t="n">
        <x:f>'기준스탯 72종'!G37*G743</x:f>
        <x:v>3.9199999999999995</x:v>
      </x:c>
      <x:c r="V743" s="15" t="n">
        <x:f>'기준스탯 72종'!H37*G743</x:f>
        <x:v>2.8</x:v>
      </x:c>
      <x:c r="W743" s="15" t="n">
        <x:f>'기준스탯 72종'!I37*G743</x:f>
        <x:v>4.4799999999999995</x:v>
      </x:c>
      <x:c r="X743" s="15" t="n">
        <x:f>'기준스탯 72종'!J37*G743</x:f>
        <x:v>0.5599999999999999</x:v>
      </x:c>
      <x:c r="Y743" s="15" t="n">
        <x:f>'기준스탯 72종'!K37*G743</x:f>
        <x:v>1.1199999999999999</x:v>
      </x:c>
      <x:c r="Z743" s="15" t="n">
        <x:f>'기준스탯 72종'!D37*H743</x:f>
        <x:v>1.2000000000000002</x:v>
      </x:c>
      <x:c r="AA743" s="15" t="n">
        <x:f>'기준스탯 72종'!E37*H743</x:f>
        <x:v>0.8400000000000002</x:v>
      </x:c>
      <x:c r="AB743" s="15" t="n">
        <x:f>'기준스탯 72종'!F37*H743</x:f>
        <x:v>0.8400000000000002</x:v>
      </x:c>
      <x:c r="AC743" s="15" t="n">
        <x:f>'기준스탯 72종'!G37*H743</x:f>
        <x:v>0.8400000000000002</x:v>
      </x:c>
      <x:c r="AD743" s="15" t="n">
        <x:f>'기준스탯 72종'!H37*H743</x:f>
        <x:v>0.6000000000000001</x:v>
      </x:c>
      <x:c r="AE743" s="15" t="n">
        <x:f>'기준스탯 72종'!I37*H743</x:f>
        <x:v>0.9600000000000002</x:v>
      </x:c>
      <x:c r="AF743" s="15" t="n">
        <x:f>'기준스탯 72종'!J37*H743</x:f>
        <x:v>0.12000000000000002</x:v>
      </x:c>
      <x:c r="AG743" s="15" t="n">
        <x:f>'기준스탯 72종'!K37*H743</x:f>
        <x:v>0.24000000000000005</x:v>
      </x:c>
    </x:row>
    <x:row r="744" ht="28" customHeight="1">
      <x:c r="A744" s="2" t="n">
        <x:v>737</x:v>
      </x:c>
      <x:c r="B744" s="2" t="n">
        <x:v>30</x:v>
      </x:c>
      <x:c r="C744" s="2" t="str">
        <x:v>사자자리</x:v>
      </x:c>
      <x:c r="D744" s="2" t="str">
        <x:v>전사</x:v>
      </x:c>
      <x:c r="E744" s="2" t="n">
        <x:v>2</x:v>
      </x:c>
      <x:c r="F744" s="2" t="n">
        <x:v>3</x:v>
      </x:c>
      <x:c r="G744" s="14" t="n">
        <x:f>('레벨 계산식'!$E$4-E744)*'레벨 계산식'!$B$5</x:f>
        <x:v>0.41999999999999993</x:v>
      </x:c>
      <x:c r="H744" s="14" t="n">
        <x:f>('등급 계산식'!$E$4-F744)*'등급 계산식'!$B$5</x:f>
        <x:v>0.12000000000000002</x:v>
      </x:c>
      <x:c r="I744" s="14" t="n">
        <x:f>1-G744-H744</x:f>
        <x:v>0.4600000000000001</x:v>
      </x:c>
      <x:c r="J744" s="2" t="n">
        <x:f>MAX(1,ROUND('기준스탯 72종'!D37-R744-Z744,0))</x:f>
        <x:v>5</x:v>
      </x:c>
      <x:c r="K744" s="2" t="n">
        <x:f>MAX(1,ROUND('기준스탯 72종'!E37-S744-AA744,0))</x:f>
        <x:v>3</x:v>
      </x:c>
      <x:c r="L744" s="2" t="n">
        <x:f>MAX(1,ROUND('기준스탯 72종'!F37-T744-AB744,0))</x:f>
        <x:v>3</x:v>
      </x:c>
      <x:c r="M744" s="2" t="n">
        <x:f>MAX(1,ROUND('기준스탯 72종'!G37-U744-AC744,0))</x:f>
        <x:v>3</x:v>
      </x:c>
      <x:c r="N744" s="2" t="n">
        <x:f>MAX(0,ROUND('기준스탯 72종'!H37-V744-AD744,0))</x:f>
        <x:v>2</x:v>
      </x:c>
      <x:c r="O744" s="2" t="n">
        <x:f>MAX(0,ROUND('기준스탯 72종'!I37-W744-AE744,0))</x:f>
        <x:v>4</x:v>
      </x:c>
      <x:c r="P744" s="2" t="n">
        <x:f>MAX(0,ROUND('기준스탯 72종'!J37-X744-AF744,0))</x:f>
        <x:v>0</x:v>
      </x:c>
      <x:c r="Q744" s="2" t="n">
        <x:f>MAX(0,ROUND('기준스탯 72종'!K37-Y744-AG744,0))</x:f>
        <x:v>1</x:v>
      </x:c>
      <x:c r="R744" s="15" t="n">
        <x:f>'기준스탯 72종'!D37*G744</x:f>
        <x:v>4.199999999999999</x:v>
      </x:c>
      <x:c r="S744" s="15" t="n">
        <x:f>'기준스탯 72종'!E37*G744</x:f>
        <x:v>2.9399999999999995</x:v>
      </x:c>
      <x:c r="T744" s="15" t="n">
        <x:f>'기준스탯 72종'!F37*G744</x:f>
        <x:v>2.9399999999999995</x:v>
      </x:c>
      <x:c r="U744" s="15" t="n">
        <x:f>'기준스탯 72종'!G37*G744</x:f>
        <x:v>2.9399999999999995</x:v>
      </x:c>
      <x:c r="V744" s="15" t="n">
        <x:f>'기준스탯 72종'!H37*G744</x:f>
        <x:v>2.0999999999999996</x:v>
      </x:c>
      <x:c r="W744" s="15" t="n">
        <x:f>'기준스탯 72종'!I37*G744</x:f>
        <x:v>3.3599999999999994</x:v>
      </x:c>
      <x:c r="X744" s="15" t="n">
        <x:f>'기준스탯 72종'!J37*G744</x:f>
        <x:v>0.41999999999999993</x:v>
      </x:c>
      <x:c r="Y744" s="15" t="n">
        <x:f>'기준스탯 72종'!K37*G744</x:f>
        <x:v>0.8399999999999999</x:v>
      </x:c>
      <x:c r="Z744" s="15" t="n">
        <x:f>'기준스탯 72종'!D37*H744</x:f>
        <x:v>1.2000000000000002</x:v>
      </x:c>
      <x:c r="AA744" s="15" t="n">
        <x:f>'기준스탯 72종'!E37*H744</x:f>
        <x:v>0.8400000000000002</x:v>
      </x:c>
      <x:c r="AB744" s="15" t="n">
        <x:f>'기준스탯 72종'!F37*H744</x:f>
        <x:v>0.8400000000000002</x:v>
      </x:c>
      <x:c r="AC744" s="15" t="n">
        <x:f>'기준스탯 72종'!G37*H744</x:f>
        <x:v>0.8400000000000002</x:v>
      </x:c>
      <x:c r="AD744" s="15" t="n">
        <x:f>'기준스탯 72종'!H37*H744</x:f>
        <x:v>0.6000000000000001</x:v>
      </x:c>
      <x:c r="AE744" s="15" t="n">
        <x:f>'기준스탯 72종'!I37*H744</x:f>
        <x:v>0.9600000000000002</x:v>
      </x:c>
      <x:c r="AF744" s="15" t="n">
        <x:f>'기준스탯 72종'!J37*H744</x:f>
        <x:v>0.12000000000000002</x:v>
      </x:c>
      <x:c r="AG744" s="15" t="n">
        <x:f>'기준스탯 72종'!K37*H744</x:f>
        <x:v>0.24000000000000005</x:v>
      </x:c>
    </x:row>
    <x:row r="745" ht="28" customHeight="1">
      <x:c r="A745" s="2" t="n">
        <x:v>738</x:v>
      </x:c>
      <x:c r="B745" s="2" t="n">
        <x:v>30</x:v>
      </x:c>
      <x:c r="C745" s="2" t="str">
        <x:v>사자자리</x:v>
      </x:c>
      <x:c r="D745" s="2" t="str">
        <x:v>전사</x:v>
      </x:c>
      <x:c r="E745" s="2" t="n">
        <x:v>3</x:v>
      </x:c>
      <x:c r="F745" s="2" t="n">
        <x:v>3</x:v>
      </x:c>
      <x:c r="G745" s="14" t="n">
        <x:f>('레벨 계산식'!$E$4-E745)*'레벨 계산식'!$B$5</x:f>
        <x:v>0.27999999999999997</x:v>
      </x:c>
      <x:c r="H745" s="14" t="n">
        <x:f>('등급 계산식'!$E$4-F745)*'등급 계산식'!$B$5</x:f>
        <x:v>0.12000000000000002</x:v>
      </x:c>
      <x:c r="I745" s="14" t="n">
        <x:f>1-G745-H745</x:f>
        <x:v>0.6</x:v>
      </x:c>
      <x:c r="J745" s="2" t="n">
        <x:f>MAX(1,ROUND('기준스탯 72종'!D37-R745-Z745,0))</x:f>
        <x:v>6</x:v>
      </x:c>
      <x:c r="K745" s="2" t="n">
        <x:f>MAX(1,ROUND('기준스탯 72종'!E37-S745-AA745,0))</x:f>
        <x:v>4</x:v>
      </x:c>
      <x:c r="L745" s="2" t="n">
        <x:f>MAX(1,ROUND('기준스탯 72종'!F37-T745-AB745,0))</x:f>
        <x:v>4</x:v>
      </x:c>
      <x:c r="M745" s="2" t="n">
        <x:f>MAX(1,ROUND('기준스탯 72종'!G37-U745-AC745,0))</x:f>
        <x:v>4</x:v>
      </x:c>
      <x:c r="N745" s="2" t="n">
        <x:f>MAX(0,ROUND('기준스탯 72종'!H37-V745-AD745,0))</x:f>
        <x:v>3</x:v>
      </x:c>
      <x:c r="O745" s="2" t="n">
        <x:f>MAX(0,ROUND('기준스탯 72종'!I37-W745-AE745,0))</x:f>
        <x:v>5</x:v>
      </x:c>
      <x:c r="P745" s="2" t="n">
        <x:f>MAX(0,ROUND('기준스탯 72종'!J37-X745-AF745,0))</x:f>
        <x:v>1</x:v>
      </x:c>
      <x:c r="Q745" s="2" t="n">
        <x:f>MAX(0,ROUND('기준스탯 72종'!K37-Y745-AG745,0))</x:f>
        <x:v>1</x:v>
      </x:c>
      <x:c r="R745" s="15" t="n">
        <x:f>'기준스탯 72종'!D37*G745</x:f>
        <x:v>2.8</x:v>
      </x:c>
      <x:c r="S745" s="15" t="n">
        <x:f>'기준스탯 72종'!E37*G745</x:f>
        <x:v>1.9599999999999997</x:v>
      </x:c>
      <x:c r="T745" s="15" t="n">
        <x:f>'기준스탯 72종'!F37*G745</x:f>
        <x:v>1.9599999999999997</x:v>
      </x:c>
      <x:c r="U745" s="15" t="n">
        <x:f>'기준스탯 72종'!G37*G745</x:f>
        <x:v>1.9599999999999997</x:v>
      </x:c>
      <x:c r="V745" s="15" t="n">
        <x:f>'기준스탯 72종'!H37*G745</x:f>
        <x:v>1.4</x:v>
      </x:c>
      <x:c r="W745" s="15" t="n">
        <x:f>'기준스탯 72종'!I37*G745</x:f>
        <x:v>2.2399999999999998</x:v>
      </x:c>
      <x:c r="X745" s="15" t="n">
        <x:f>'기준스탯 72종'!J37*G745</x:f>
        <x:v>0.27999999999999997</x:v>
      </x:c>
      <x:c r="Y745" s="15" t="n">
        <x:f>'기준스탯 72종'!K37*G745</x:f>
        <x:v>0.5599999999999999</x:v>
      </x:c>
      <x:c r="Z745" s="15" t="n">
        <x:f>'기준스탯 72종'!D37*H745</x:f>
        <x:v>1.2000000000000002</x:v>
      </x:c>
      <x:c r="AA745" s="15" t="n">
        <x:f>'기준스탯 72종'!E37*H745</x:f>
        <x:v>0.8400000000000002</x:v>
      </x:c>
      <x:c r="AB745" s="15" t="n">
        <x:f>'기준스탯 72종'!F37*H745</x:f>
        <x:v>0.8400000000000002</x:v>
      </x:c>
      <x:c r="AC745" s="15" t="n">
        <x:f>'기준스탯 72종'!G37*H745</x:f>
        <x:v>0.8400000000000002</x:v>
      </x:c>
      <x:c r="AD745" s="15" t="n">
        <x:f>'기준스탯 72종'!H37*H745</x:f>
        <x:v>0.6000000000000001</x:v>
      </x:c>
      <x:c r="AE745" s="15" t="n">
        <x:f>'기준스탯 72종'!I37*H745</x:f>
        <x:v>0.9600000000000002</x:v>
      </x:c>
      <x:c r="AF745" s="15" t="n">
        <x:f>'기준스탯 72종'!J37*H745</x:f>
        <x:v>0.12000000000000002</x:v>
      </x:c>
      <x:c r="AG745" s="15" t="n">
        <x:f>'기준스탯 72종'!K37*H745</x:f>
        <x:v>0.24000000000000005</x:v>
      </x:c>
    </x:row>
    <x:row r="746" ht="28" customHeight="1">
      <x:c r="A746" s="2" t="n">
        <x:v>739</x:v>
      </x:c>
      <x:c r="B746" s="2" t="n">
        <x:v>30</x:v>
      </x:c>
      <x:c r="C746" s="2" t="str">
        <x:v>사자자리</x:v>
      </x:c>
      <x:c r="D746" s="2" t="str">
        <x:v>전사</x:v>
      </x:c>
      <x:c r="E746" s="2" t="n">
        <x:v>4</x:v>
      </x:c>
      <x:c r="F746" s="2" t="n">
        <x:v>3</x:v>
      </x:c>
      <x:c r="G746" s="14" t="n">
        <x:f>('레벨 계산식'!$E$4-E746)*'레벨 계산식'!$B$5</x:f>
        <x:v>0.13999999999999999</x:v>
      </x:c>
      <x:c r="H746" s="14" t="n">
        <x:f>('등급 계산식'!$E$4-F746)*'등급 계산식'!$B$5</x:f>
        <x:v>0.12000000000000002</x:v>
      </x:c>
      <x:c r="I746" s="14" t="n">
        <x:f>1-G746-H746</x:f>
        <x:v>0.74</x:v>
      </x:c>
      <x:c r="J746" s="2" t="n">
        <x:f>MAX(1,ROUND('기준스탯 72종'!D37-R746-Z746,0))</x:f>
        <x:v>7</x:v>
      </x:c>
      <x:c r="K746" s="2" t="n">
        <x:f>MAX(1,ROUND('기준스탯 72종'!E37-S746-AA746,0))</x:f>
        <x:v>5</x:v>
      </x:c>
      <x:c r="L746" s="2" t="n">
        <x:f>MAX(1,ROUND('기준스탯 72종'!F37-T746-AB746,0))</x:f>
        <x:v>5</x:v>
      </x:c>
      <x:c r="M746" s="2" t="n">
        <x:f>MAX(1,ROUND('기준스탯 72종'!G37-U746-AC746,0))</x:f>
        <x:v>5</x:v>
      </x:c>
      <x:c r="N746" s="2" t="n">
        <x:f>MAX(0,ROUND('기준스탯 72종'!H37-V746-AD746,0))</x:f>
        <x:v>4</x:v>
      </x:c>
      <x:c r="O746" s="2" t="n">
        <x:f>MAX(0,ROUND('기준스탯 72종'!I37-W746-AE746,0))</x:f>
        <x:v>6</x:v>
      </x:c>
      <x:c r="P746" s="2" t="n">
        <x:f>MAX(0,ROUND('기준스탯 72종'!J37-X746-AF746,0))</x:f>
        <x:v>1</x:v>
      </x:c>
      <x:c r="Q746" s="2" t="n">
        <x:f>MAX(0,ROUND('기준스탯 72종'!K37-Y746-AG746,0))</x:f>
        <x:v>1</x:v>
      </x:c>
      <x:c r="R746" s="15" t="n">
        <x:f>'기준스탯 72종'!D37*G746</x:f>
        <x:v>1.4</x:v>
      </x:c>
      <x:c r="S746" s="15" t="n">
        <x:f>'기준스탯 72종'!E37*G746</x:f>
        <x:v>0.9799999999999999</x:v>
      </x:c>
      <x:c r="T746" s="15" t="n">
        <x:f>'기준스탯 72종'!F37*G746</x:f>
        <x:v>0.9799999999999999</x:v>
      </x:c>
      <x:c r="U746" s="15" t="n">
        <x:f>'기준스탯 72종'!G37*G746</x:f>
        <x:v>0.9799999999999999</x:v>
      </x:c>
      <x:c r="V746" s="15" t="n">
        <x:f>'기준스탯 72종'!H37*G746</x:f>
        <x:v>0.7</x:v>
      </x:c>
      <x:c r="W746" s="15" t="n">
        <x:f>'기준스탯 72종'!I37*G746</x:f>
        <x:v>1.1199999999999999</x:v>
      </x:c>
      <x:c r="X746" s="15" t="n">
        <x:f>'기준스탯 72종'!J37*G746</x:f>
        <x:v>0.13999999999999999</x:v>
      </x:c>
      <x:c r="Y746" s="15" t="n">
        <x:f>'기준스탯 72종'!K37*G746</x:f>
        <x:v>0.27999999999999997</x:v>
      </x:c>
      <x:c r="Z746" s="15" t="n">
        <x:f>'기준스탯 72종'!D37*H746</x:f>
        <x:v>1.2000000000000002</x:v>
      </x:c>
      <x:c r="AA746" s="15" t="n">
        <x:f>'기준스탯 72종'!E37*H746</x:f>
        <x:v>0.8400000000000002</x:v>
      </x:c>
      <x:c r="AB746" s="15" t="n">
        <x:f>'기준스탯 72종'!F37*H746</x:f>
        <x:v>0.8400000000000002</x:v>
      </x:c>
      <x:c r="AC746" s="15" t="n">
        <x:f>'기준스탯 72종'!G37*H746</x:f>
        <x:v>0.8400000000000002</x:v>
      </x:c>
      <x:c r="AD746" s="15" t="n">
        <x:f>'기준스탯 72종'!H37*H746</x:f>
        <x:v>0.6000000000000001</x:v>
      </x:c>
      <x:c r="AE746" s="15" t="n">
        <x:f>'기준스탯 72종'!I37*H746</x:f>
        <x:v>0.9600000000000002</x:v>
      </x:c>
      <x:c r="AF746" s="15" t="n">
        <x:f>'기준스탯 72종'!J37*H746</x:f>
        <x:v>0.12000000000000002</x:v>
      </x:c>
      <x:c r="AG746" s="15" t="n">
        <x:f>'기준스탯 72종'!K37*H746</x:f>
        <x:v>0.24000000000000005</x:v>
      </x:c>
    </x:row>
    <x:row r="747" ht="28" customHeight="1">
      <x:c r="A747" s="2" t="n">
        <x:v>740</x:v>
      </x:c>
      <x:c r="B747" s="2" t="n">
        <x:v>30</x:v>
      </x:c>
      <x:c r="C747" s="2" t="str">
        <x:v>사자자리</x:v>
      </x:c>
      <x:c r="D747" s="2" t="str">
        <x:v>전사</x:v>
      </x:c>
      <x:c r="E747" s="2" t="n">
        <x:v>5</x:v>
      </x:c>
      <x:c r="F747" s="2" t="n">
        <x:v>3</x:v>
      </x:c>
      <x:c r="G747" s="14" t="n">
        <x:f>('레벨 계산식'!$E$4-E747)*'레벨 계산식'!$B$5</x:f>
        <x:v>0</x:v>
      </x:c>
      <x:c r="H747" s="14" t="n">
        <x:f>('등급 계산식'!$E$4-F747)*'등급 계산식'!$B$5</x:f>
        <x:v>0.12000000000000002</x:v>
      </x:c>
      <x:c r="I747" s="14" t="n">
        <x:f>1-G747-H747</x:f>
        <x:v>0.88</x:v>
      </x:c>
      <x:c r="J747" s="2" t="n">
        <x:f>MAX(1,ROUND('기준스탯 72종'!D37-R747-Z747,0))</x:f>
        <x:v>9</x:v>
      </x:c>
      <x:c r="K747" s="2" t="n">
        <x:f>MAX(1,ROUND('기준스탯 72종'!E37-S747-AA747,0))</x:f>
        <x:v>6</x:v>
      </x:c>
      <x:c r="L747" s="2" t="n">
        <x:f>MAX(1,ROUND('기준스탯 72종'!F37-T747-AB747,0))</x:f>
        <x:v>6</x:v>
      </x:c>
      <x:c r="M747" s="2" t="n">
        <x:f>MAX(1,ROUND('기준스탯 72종'!G37-U747-AC747,0))</x:f>
        <x:v>6</x:v>
      </x:c>
      <x:c r="N747" s="2" t="n">
        <x:f>MAX(0,ROUND('기준스탯 72종'!H37-V747-AD747,0))</x:f>
        <x:v>4</x:v>
      </x:c>
      <x:c r="O747" s="2" t="n">
        <x:f>MAX(0,ROUND('기준스탯 72종'!I37-W747-AE747,0))</x:f>
        <x:v>7</x:v>
      </x:c>
      <x:c r="P747" s="2" t="n">
        <x:f>MAX(0,ROUND('기준스탯 72종'!J37-X747-AF747,0))</x:f>
        <x:v>1</x:v>
      </x:c>
      <x:c r="Q747" s="2" t="n">
        <x:f>MAX(0,ROUND('기준스탯 72종'!K37-Y747-AG747,0))</x:f>
        <x:v>2</x:v>
      </x:c>
      <x:c r="R747" s="15" t="n">
        <x:f>'기준스탯 72종'!D37*G747</x:f>
        <x:v>0</x:v>
      </x:c>
      <x:c r="S747" s="15" t="n">
        <x:f>'기준스탯 72종'!E37*G747</x:f>
        <x:v>0</x:v>
      </x:c>
      <x:c r="T747" s="15" t="n">
        <x:f>'기준스탯 72종'!F37*G747</x:f>
        <x:v>0</x:v>
      </x:c>
      <x:c r="U747" s="15" t="n">
        <x:f>'기준스탯 72종'!G37*G747</x:f>
        <x:v>0</x:v>
      </x:c>
      <x:c r="V747" s="15" t="n">
        <x:f>'기준스탯 72종'!H37*G747</x:f>
        <x:v>0</x:v>
      </x:c>
      <x:c r="W747" s="15" t="n">
        <x:f>'기준스탯 72종'!I37*G747</x:f>
        <x:v>0</x:v>
      </x:c>
      <x:c r="X747" s="15" t="n">
        <x:f>'기준스탯 72종'!J37*G747</x:f>
        <x:v>0</x:v>
      </x:c>
      <x:c r="Y747" s="15" t="n">
        <x:f>'기준스탯 72종'!K37*G747</x:f>
        <x:v>0</x:v>
      </x:c>
      <x:c r="Z747" s="15" t="n">
        <x:f>'기준스탯 72종'!D37*H747</x:f>
        <x:v>1.2000000000000002</x:v>
      </x:c>
      <x:c r="AA747" s="15" t="n">
        <x:f>'기준스탯 72종'!E37*H747</x:f>
        <x:v>0.8400000000000002</x:v>
      </x:c>
      <x:c r="AB747" s="15" t="n">
        <x:f>'기준스탯 72종'!F37*H747</x:f>
        <x:v>0.8400000000000002</x:v>
      </x:c>
      <x:c r="AC747" s="15" t="n">
        <x:f>'기준스탯 72종'!G37*H747</x:f>
        <x:v>0.8400000000000002</x:v>
      </x:c>
      <x:c r="AD747" s="15" t="n">
        <x:f>'기준스탯 72종'!H37*H747</x:f>
        <x:v>0.6000000000000001</x:v>
      </x:c>
      <x:c r="AE747" s="15" t="n">
        <x:f>'기준스탯 72종'!I37*H747</x:f>
        <x:v>0.9600000000000002</x:v>
      </x:c>
      <x:c r="AF747" s="15" t="n">
        <x:f>'기준스탯 72종'!J37*H747</x:f>
        <x:v>0.12000000000000002</x:v>
      </x:c>
      <x:c r="AG747" s="15" t="n">
        <x:f>'기준스탯 72종'!K37*H747</x:f>
        <x:v>0.24000000000000005</x:v>
      </x:c>
    </x:row>
    <x:row r="748" ht="28" customHeight="1">
      <x:c r="A748" s="2" t="n">
        <x:v>741</x:v>
      </x:c>
      <x:c r="B748" s="2" t="n">
        <x:v>30</x:v>
      </x:c>
      <x:c r="C748" s="2" t="str">
        <x:v>사자자리</x:v>
      </x:c>
      <x:c r="D748" s="2" t="str">
        <x:v>전사</x:v>
      </x:c>
      <x:c r="E748" s="2" t="n">
        <x:v>1</x:v>
      </x:c>
      <x:c r="F748" s="2" t="n">
        <x:v>4</x:v>
      </x:c>
      <x:c r="G748" s="14" t="n">
        <x:f>('레벨 계산식'!$E$4-E748)*'레벨 계산식'!$B$5</x:f>
        <x:v>0.5599999999999999</x:v>
      </x:c>
      <x:c r="H748" s="14" t="n">
        <x:f>('등급 계산식'!$E$4-F748)*'등급 계산식'!$B$5</x:f>
        <x:v>0.06000000000000001</x:v>
      </x:c>
      <x:c r="I748" s="14" t="n">
        <x:f>1-G748-H748</x:f>
        <x:v>0.38000000000000006</x:v>
      </x:c>
      <x:c r="J748" s="2" t="n">
        <x:f>MAX(1,ROUND('기준스탯 72종'!D37-R748-Z748,0))</x:f>
        <x:v>4</x:v>
      </x:c>
      <x:c r="K748" s="2" t="n">
        <x:f>MAX(1,ROUND('기준스탯 72종'!E37-S748-AA748,0))</x:f>
        <x:v>3</x:v>
      </x:c>
      <x:c r="L748" s="2" t="n">
        <x:f>MAX(1,ROUND('기준스탯 72종'!F37-T748-AB748,0))</x:f>
        <x:v>3</x:v>
      </x:c>
      <x:c r="M748" s="2" t="n">
        <x:f>MAX(1,ROUND('기준스탯 72종'!G37-U748-AC748,0))</x:f>
        <x:v>3</x:v>
      </x:c>
      <x:c r="N748" s="2" t="n">
        <x:f>MAX(0,ROUND('기준스탯 72종'!H37-V748-AD748,0))</x:f>
        <x:v>2</x:v>
      </x:c>
      <x:c r="O748" s="2" t="n">
        <x:f>MAX(0,ROUND('기준스탯 72종'!I37-W748-AE748,0))</x:f>
        <x:v>3</x:v>
      </x:c>
      <x:c r="P748" s="2" t="n">
        <x:f>MAX(0,ROUND('기준스탯 72종'!J37-X748-AF748,0))</x:f>
        <x:v>0</x:v>
      </x:c>
      <x:c r="Q748" s="2" t="n">
        <x:f>MAX(0,ROUND('기준스탯 72종'!K37-Y748-AG748,0))</x:f>
        <x:v>1</x:v>
      </x:c>
      <x:c r="R748" s="15" t="n">
        <x:f>'기준스탯 72종'!D37*G748</x:f>
        <x:v>5.6</x:v>
      </x:c>
      <x:c r="S748" s="15" t="n">
        <x:f>'기준스탯 72종'!E37*G748</x:f>
        <x:v>3.9199999999999995</x:v>
      </x:c>
      <x:c r="T748" s="15" t="n">
        <x:f>'기준스탯 72종'!F37*G748</x:f>
        <x:v>3.9199999999999995</x:v>
      </x:c>
      <x:c r="U748" s="15" t="n">
        <x:f>'기준스탯 72종'!G37*G748</x:f>
        <x:v>3.9199999999999995</x:v>
      </x:c>
      <x:c r="V748" s="15" t="n">
        <x:f>'기준스탯 72종'!H37*G748</x:f>
        <x:v>2.8</x:v>
      </x:c>
      <x:c r="W748" s="15" t="n">
        <x:f>'기준스탯 72종'!I37*G748</x:f>
        <x:v>4.4799999999999995</x:v>
      </x:c>
      <x:c r="X748" s="15" t="n">
        <x:f>'기준스탯 72종'!J37*G748</x:f>
        <x:v>0.5599999999999999</x:v>
      </x:c>
      <x:c r="Y748" s="15" t="n">
        <x:f>'기준스탯 72종'!K37*G748</x:f>
        <x:v>1.1199999999999999</x:v>
      </x:c>
      <x:c r="Z748" s="15" t="n">
        <x:f>'기준스탯 72종'!D37*H748</x:f>
        <x:v>0.6000000000000001</x:v>
      </x:c>
      <x:c r="AA748" s="15" t="n">
        <x:f>'기준스탯 72종'!E37*H748</x:f>
        <x:v>0.4200000000000001</x:v>
      </x:c>
      <x:c r="AB748" s="15" t="n">
        <x:f>'기준스탯 72종'!F37*H748</x:f>
        <x:v>0.4200000000000001</x:v>
      </x:c>
      <x:c r="AC748" s="15" t="n">
        <x:f>'기준스탯 72종'!G37*H748</x:f>
        <x:v>0.4200000000000001</x:v>
      </x:c>
      <x:c r="AD748" s="15" t="n">
        <x:f>'기준스탯 72종'!H37*H748</x:f>
        <x:v>0.30000000000000004</x:v>
      </x:c>
      <x:c r="AE748" s="15" t="n">
        <x:f>'기준스탯 72종'!I37*H748</x:f>
        <x:v>0.4800000000000001</x:v>
      </x:c>
      <x:c r="AF748" s="15" t="n">
        <x:f>'기준스탯 72종'!J37*H748</x:f>
        <x:v>0.06000000000000001</x:v>
      </x:c>
      <x:c r="AG748" s="15" t="n">
        <x:f>'기준스탯 72종'!K37*H748</x:f>
        <x:v>0.12000000000000002</x:v>
      </x:c>
    </x:row>
    <x:row r="749" ht="28" customHeight="1">
      <x:c r="A749" s="2" t="n">
        <x:v>742</x:v>
      </x:c>
      <x:c r="B749" s="2" t="n">
        <x:v>30</x:v>
      </x:c>
      <x:c r="C749" s="2" t="str">
        <x:v>사자자리</x:v>
      </x:c>
      <x:c r="D749" s="2" t="str">
        <x:v>전사</x:v>
      </x:c>
      <x:c r="E749" s="2" t="n">
        <x:v>2</x:v>
      </x:c>
      <x:c r="F749" s="2" t="n">
        <x:v>4</x:v>
      </x:c>
      <x:c r="G749" s="14" t="n">
        <x:f>('레벨 계산식'!$E$4-E749)*'레벨 계산식'!$B$5</x:f>
        <x:v>0.41999999999999993</x:v>
      </x:c>
      <x:c r="H749" s="14" t="n">
        <x:f>('등급 계산식'!$E$4-F749)*'등급 계산식'!$B$5</x:f>
        <x:v>0.06000000000000001</x:v>
      </x:c>
      <x:c r="I749" s="14" t="n">
        <x:f>1-G749-H749</x:f>
        <x:v>0.52</x:v>
      </x:c>
      <x:c r="J749" s="2" t="n">
        <x:f>MAX(1,ROUND('기준스탯 72종'!D37-R749-Z749,0))</x:f>
        <x:v>5</x:v>
      </x:c>
      <x:c r="K749" s="2" t="n">
        <x:f>MAX(1,ROUND('기준스탯 72종'!E37-S749-AA749,0))</x:f>
        <x:v>4</x:v>
      </x:c>
      <x:c r="L749" s="2" t="n">
        <x:f>MAX(1,ROUND('기준스탯 72종'!F37-T749-AB749,0))</x:f>
        <x:v>4</x:v>
      </x:c>
      <x:c r="M749" s="2" t="n">
        <x:f>MAX(1,ROUND('기준스탯 72종'!G37-U749-AC749,0))</x:f>
        <x:v>4</x:v>
      </x:c>
      <x:c r="N749" s="2" t="n">
        <x:f>MAX(0,ROUND('기준스탯 72종'!H37-V749-AD749,0))</x:f>
        <x:v>3</x:v>
      </x:c>
      <x:c r="O749" s="2" t="n">
        <x:f>MAX(0,ROUND('기준스탯 72종'!I37-W749-AE749,0))</x:f>
        <x:v>4</x:v>
      </x:c>
      <x:c r="P749" s="2" t="n">
        <x:f>MAX(0,ROUND('기준스탯 72종'!J37-X749-AF749,0))</x:f>
        <x:v>1</x:v>
      </x:c>
      <x:c r="Q749" s="2" t="n">
        <x:f>MAX(0,ROUND('기준스탯 72종'!K37-Y749-AG749,0))</x:f>
        <x:v>1</x:v>
      </x:c>
      <x:c r="R749" s="15" t="n">
        <x:f>'기준스탯 72종'!D37*G749</x:f>
        <x:v>4.199999999999999</x:v>
      </x:c>
      <x:c r="S749" s="15" t="n">
        <x:f>'기준스탯 72종'!E37*G749</x:f>
        <x:v>2.9399999999999995</x:v>
      </x:c>
      <x:c r="T749" s="15" t="n">
        <x:f>'기준스탯 72종'!F37*G749</x:f>
        <x:v>2.9399999999999995</x:v>
      </x:c>
      <x:c r="U749" s="15" t="n">
        <x:f>'기준스탯 72종'!G37*G749</x:f>
        <x:v>2.9399999999999995</x:v>
      </x:c>
      <x:c r="V749" s="15" t="n">
        <x:f>'기준스탯 72종'!H37*G749</x:f>
        <x:v>2.0999999999999996</x:v>
      </x:c>
      <x:c r="W749" s="15" t="n">
        <x:f>'기준스탯 72종'!I37*G749</x:f>
        <x:v>3.3599999999999994</x:v>
      </x:c>
      <x:c r="X749" s="15" t="n">
        <x:f>'기준스탯 72종'!J37*G749</x:f>
        <x:v>0.41999999999999993</x:v>
      </x:c>
      <x:c r="Y749" s="15" t="n">
        <x:f>'기준스탯 72종'!K37*G749</x:f>
        <x:v>0.8399999999999999</x:v>
      </x:c>
      <x:c r="Z749" s="15" t="n">
        <x:f>'기준스탯 72종'!D37*H749</x:f>
        <x:v>0.6000000000000001</x:v>
      </x:c>
      <x:c r="AA749" s="15" t="n">
        <x:f>'기준스탯 72종'!E37*H749</x:f>
        <x:v>0.4200000000000001</x:v>
      </x:c>
      <x:c r="AB749" s="15" t="n">
        <x:f>'기준스탯 72종'!F37*H749</x:f>
        <x:v>0.4200000000000001</x:v>
      </x:c>
      <x:c r="AC749" s="15" t="n">
        <x:f>'기준스탯 72종'!G37*H749</x:f>
        <x:v>0.4200000000000001</x:v>
      </x:c>
      <x:c r="AD749" s="15" t="n">
        <x:f>'기준스탯 72종'!H37*H749</x:f>
        <x:v>0.30000000000000004</x:v>
      </x:c>
      <x:c r="AE749" s="15" t="n">
        <x:f>'기준스탯 72종'!I37*H749</x:f>
        <x:v>0.4800000000000001</x:v>
      </x:c>
      <x:c r="AF749" s="15" t="n">
        <x:f>'기준스탯 72종'!J37*H749</x:f>
        <x:v>0.06000000000000001</x:v>
      </x:c>
      <x:c r="AG749" s="15" t="n">
        <x:f>'기준스탯 72종'!K37*H749</x:f>
        <x:v>0.12000000000000002</x:v>
      </x:c>
    </x:row>
    <x:row r="750" ht="28" customHeight="1">
      <x:c r="A750" s="2" t="n">
        <x:v>743</x:v>
      </x:c>
      <x:c r="B750" s="2" t="n">
        <x:v>30</x:v>
      </x:c>
      <x:c r="C750" s="2" t="str">
        <x:v>사자자리</x:v>
      </x:c>
      <x:c r="D750" s="2" t="str">
        <x:v>전사</x:v>
      </x:c>
      <x:c r="E750" s="2" t="n">
        <x:v>3</x:v>
      </x:c>
      <x:c r="F750" s="2" t="n">
        <x:v>4</x:v>
      </x:c>
      <x:c r="G750" s="14" t="n">
        <x:f>('레벨 계산식'!$E$4-E750)*'레벨 계산식'!$B$5</x:f>
        <x:v>0.27999999999999997</x:v>
      </x:c>
      <x:c r="H750" s="14" t="n">
        <x:f>('등급 계산식'!$E$4-F750)*'등급 계산식'!$B$5</x:f>
        <x:v>0.06000000000000001</x:v>
      </x:c>
      <x:c r="I750" s="14" t="n">
        <x:f>1-G750-H750</x:f>
        <x:v>0.6599999999999999</x:v>
      </x:c>
      <x:c r="J750" s="2" t="n">
        <x:f>MAX(1,ROUND('기준스탯 72종'!D37-R750-Z750,0))</x:f>
        <x:v>7</x:v>
      </x:c>
      <x:c r="K750" s="2" t="n">
        <x:f>MAX(1,ROUND('기준스탯 72종'!E37-S750-AA750,0))</x:f>
        <x:v>5</x:v>
      </x:c>
      <x:c r="L750" s="2" t="n">
        <x:f>MAX(1,ROUND('기준스탯 72종'!F37-T750-AB750,0))</x:f>
        <x:v>5</x:v>
      </x:c>
      <x:c r="M750" s="2" t="n">
        <x:f>MAX(1,ROUND('기준스탯 72종'!G37-U750-AC750,0))</x:f>
        <x:v>5</x:v>
      </x:c>
      <x:c r="N750" s="2" t="n">
        <x:f>MAX(0,ROUND('기준스탯 72종'!H37-V750-AD750,0))</x:f>
        <x:v>3</x:v>
      </x:c>
      <x:c r="O750" s="2" t="n">
        <x:f>MAX(0,ROUND('기준스탯 72종'!I37-W750-AE750,0))</x:f>
        <x:v>5</x:v>
      </x:c>
      <x:c r="P750" s="2" t="n">
        <x:f>MAX(0,ROUND('기준스탯 72종'!J37-X750-AF750,0))</x:f>
        <x:v>1</x:v>
      </x:c>
      <x:c r="Q750" s="2" t="n">
        <x:f>MAX(0,ROUND('기준스탯 72종'!K37-Y750-AG750,0))</x:f>
        <x:v>1</x:v>
      </x:c>
      <x:c r="R750" s="15" t="n">
        <x:f>'기준스탯 72종'!D37*G750</x:f>
        <x:v>2.8</x:v>
      </x:c>
      <x:c r="S750" s="15" t="n">
        <x:f>'기준스탯 72종'!E37*G750</x:f>
        <x:v>1.9599999999999997</x:v>
      </x:c>
      <x:c r="T750" s="15" t="n">
        <x:f>'기준스탯 72종'!F37*G750</x:f>
        <x:v>1.9599999999999997</x:v>
      </x:c>
      <x:c r="U750" s="15" t="n">
        <x:f>'기준스탯 72종'!G37*G750</x:f>
        <x:v>1.9599999999999997</x:v>
      </x:c>
      <x:c r="V750" s="15" t="n">
        <x:f>'기준스탯 72종'!H37*G750</x:f>
        <x:v>1.4</x:v>
      </x:c>
      <x:c r="W750" s="15" t="n">
        <x:f>'기준스탯 72종'!I37*G750</x:f>
        <x:v>2.2399999999999998</x:v>
      </x:c>
      <x:c r="X750" s="15" t="n">
        <x:f>'기준스탯 72종'!J37*G750</x:f>
        <x:v>0.27999999999999997</x:v>
      </x:c>
      <x:c r="Y750" s="15" t="n">
        <x:f>'기준스탯 72종'!K37*G750</x:f>
        <x:v>0.5599999999999999</x:v>
      </x:c>
      <x:c r="Z750" s="15" t="n">
        <x:f>'기준스탯 72종'!D37*H750</x:f>
        <x:v>0.6000000000000001</x:v>
      </x:c>
      <x:c r="AA750" s="15" t="n">
        <x:f>'기준스탯 72종'!E37*H750</x:f>
        <x:v>0.4200000000000001</x:v>
      </x:c>
      <x:c r="AB750" s="15" t="n">
        <x:f>'기준스탯 72종'!F37*H750</x:f>
        <x:v>0.4200000000000001</x:v>
      </x:c>
      <x:c r="AC750" s="15" t="n">
        <x:f>'기준스탯 72종'!G37*H750</x:f>
        <x:v>0.4200000000000001</x:v>
      </x:c>
      <x:c r="AD750" s="15" t="n">
        <x:f>'기준스탯 72종'!H37*H750</x:f>
        <x:v>0.30000000000000004</x:v>
      </x:c>
      <x:c r="AE750" s="15" t="n">
        <x:f>'기준스탯 72종'!I37*H750</x:f>
        <x:v>0.4800000000000001</x:v>
      </x:c>
      <x:c r="AF750" s="15" t="n">
        <x:f>'기준스탯 72종'!J37*H750</x:f>
        <x:v>0.06000000000000001</x:v>
      </x:c>
      <x:c r="AG750" s="15" t="n">
        <x:f>'기준스탯 72종'!K37*H750</x:f>
        <x:v>0.12000000000000002</x:v>
      </x:c>
    </x:row>
    <x:row r="751" ht="28" customHeight="1">
      <x:c r="A751" s="2" t="n">
        <x:v>744</x:v>
      </x:c>
      <x:c r="B751" s="2" t="n">
        <x:v>30</x:v>
      </x:c>
      <x:c r="C751" s="2" t="str">
        <x:v>사자자리</x:v>
      </x:c>
      <x:c r="D751" s="2" t="str">
        <x:v>전사</x:v>
      </x:c>
      <x:c r="E751" s="2" t="n">
        <x:v>4</x:v>
      </x:c>
      <x:c r="F751" s="2" t="n">
        <x:v>4</x:v>
      </x:c>
      <x:c r="G751" s="14" t="n">
        <x:f>('레벨 계산식'!$E$4-E751)*'레벨 계산식'!$B$5</x:f>
        <x:v>0.13999999999999999</x:v>
      </x:c>
      <x:c r="H751" s="14" t="n">
        <x:f>('등급 계산식'!$E$4-F751)*'등급 계산식'!$B$5</x:f>
        <x:v>0.06000000000000001</x:v>
      </x:c>
      <x:c r="I751" s="14" t="n">
        <x:f>1-G751-H751</x:f>
        <x:v>0.7999999999999999</x:v>
      </x:c>
      <x:c r="J751" s="2" t="n">
        <x:f>MAX(1,ROUND('기준스탯 72종'!D37-R751-Z751,0))</x:f>
        <x:v>8</x:v>
      </x:c>
      <x:c r="K751" s="2" t="n">
        <x:f>MAX(1,ROUND('기준스탯 72종'!E37-S751-AA751,0))</x:f>
        <x:v>6</x:v>
      </x:c>
      <x:c r="L751" s="2" t="n">
        <x:f>MAX(1,ROUND('기준스탯 72종'!F37-T751-AB751,0))</x:f>
        <x:v>6</x:v>
      </x:c>
      <x:c r="M751" s="2" t="n">
        <x:f>MAX(1,ROUND('기준스탯 72종'!G37-U751-AC751,0))</x:f>
        <x:v>6</x:v>
      </x:c>
      <x:c r="N751" s="2" t="n">
        <x:f>MAX(0,ROUND('기준스탯 72종'!H37-V751-AD751,0))</x:f>
        <x:v>4</x:v>
      </x:c>
      <x:c r="O751" s="2" t="n">
        <x:f>MAX(0,ROUND('기준스탯 72종'!I37-W751-AE751,0))</x:f>
        <x:v>6</x:v>
      </x:c>
      <x:c r="P751" s="2" t="n">
        <x:f>MAX(0,ROUND('기준스탯 72종'!J37-X751-AF751,0))</x:f>
        <x:v>1</x:v>
      </x:c>
      <x:c r="Q751" s="2" t="n">
        <x:f>MAX(0,ROUND('기준스탯 72종'!K37-Y751-AG751,0))</x:f>
        <x:v>2</x:v>
      </x:c>
      <x:c r="R751" s="15" t="n">
        <x:f>'기준스탯 72종'!D37*G751</x:f>
        <x:v>1.4</x:v>
      </x:c>
      <x:c r="S751" s="15" t="n">
        <x:f>'기준스탯 72종'!E37*G751</x:f>
        <x:v>0.9799999999999999</x:v>
      </x:c>
      <x:c r="T751" s="15" t="n">
        <x:f>'기준스탯 72종'!F37*G751</x:f>
        <x:v>0.9799999999999999</x:v>
      </x:c>
      <x:c r="U751" s="15" t="n">
        <x:f>'기준스탯 72종'!G37*G751</x:f>
        <x:v>0.9799999999999999</x:v>
      </x:c>
      <x:c r="V751" s="15" t="n">
        <x:f>'기준스탯 72종'!H37*G751</x:f>
        <x:v>0.7</x:v>
      </x:c>
      <x:c r="W751" s="15" t="n">
        <x:f>'기준스탯 72종'!I37*G751</x:f>
        <x:v>1.1199999999999999</x:v>
      </x:c>
      <x:c r="X751" s="15" t="n">
        <x:f>'기준스탯 72종'!J37*G751</x:f>
        <x:v>0.13999999999999999</x:v>
      </x:c>
      <x:c r="Y751" s="15" t="n">
        <x:f>'기준스탯 72종'!K37*G751</x:f>
        <x:v>0.27999999999999997</x:v>
      </x:c>
      <x:c r="Z751" s="15" t="n">
        <x:f>'기준스탯 72종'!D37*H751</x:f>
        <x:v>0.6000000000000001</x:v>
      </x:c>
      <x:c r="AA751" s="15" t="n">
        <x:f>'기준스탯 72종'!E37*H751</x:f>
        <x:v>0.4200000000000001</x:v>
      </x:c>
      <x:c r="AB751" s="15" t="n">
        <x:f>'기준스탯 72종'!F37*H751</x:f>
        <x:v>0.4200000000000001</x:v>
      </x:c>
      <x:c r="AC751" s="15" t="n">
        <x:f>'기준스탯 72종'!G37*H751</x:f>
        <x:v>0.4200000000000001</x:v>
      </x:c>
      <x:c r="AD751" s="15" t="n">
        <x:f>'기준스탯 72종'!H37*H751</x:f>
        <x:v>0.30000000000000004</x:v>
      </x:c>
      <x:c r="AE751" s="15" t="n">
        <x:f>'기준스탯 72종'!I37*H751</x:f>
        <x:v>0.4800000000000001</x:v>
      </x:c>
      <x:c r="AF751" s="15" t="n">
        <x:f>'기준스탯 72종'!J37*H751</x:f>
        <x:v>0.06000000000000001</x:v>
      </x:c>
      <x:c r="AG751" s="15" t="n">
        <x:f>'기준스탯 72종'!K37*H751</x:f>
        <x:v>0.12000000000000002</x:v>
      </x:c>
    </x:row>
    <x:row r="752" ht="28" customHeight="1">
      <x:c r="A752" s="2" t="n">
        <x:v>745</x:v>
      </x:c>
      <x:c r="B752" s="2" t="n">
        <x:v>30</x:v>
      </x:c>
      <x:c r="C752" s="2" t="str">
        <x:v>사자자리</x:v>
      </x:c>
      <x:c r="D752" s="2" t="str">
        <x:v>전사</x:v>
      </x:c>
      <x:c r="E752" s="2" t="n">
        <x:v>5</x:v>
      </x:c>
      <x:c r="F752" s="2" t="n">
        <x:v>4</x:v>
      </x:c>
      <x:c r="G752" s="14" t="n">
        <x:f>('레벨 계산식'!$E$4-E752)*'레벨 계산식'!$B$5</x:f>
        <x:v>0</x:v>
      </x:c>
      <x:c r="H752" s="14" t="n">
        <x:f>('등급 계산식'!$E$4-F752)*'등급 계산식'!$B$5</x:f>
        <x:v>0.06000000000000001</x:v>
      </x:c>
      <x:c r="I752" s="14" t="n">
        <x:f>1-G752-H752</x:f>
        <x:v>0.94</x:v>
      </x:c>
      <x:c r="J752" s="2" t="n">
        <x:f>MAX(1,ROUND('기준스탯 72종'!D37-R752-Z752,0))</x:f>
        <x:v>9</x:v>
      </x:c>
      <x:c r="K752" s="2" t="n">
        <x:f>MAX(1,ROUND('기준스탯 72종'!E37-S752-AA752,0))</x:f>
        <x:v>7</x:v>
      </x:c>
      <x:c r="L752" s="2" t="n">
        <x:f>MAX(1,ROUND('기준스탯 72종'!F37-T752-AB752,0))</x:f>
        <x:v>7</x:v>
      </x:c>
      <x:c r="M752" s="2" t="n">
        <x:f>MAX(1,ROUND('기준스탯 72종'!G37-U752-AC752,0))</x:f>
        <x:v>7</x:v>
      </x:c>
      <x:c r="N752" s="2" t="n">
        <x:f>MAX(0,ROUND('기준스탯 72종'!H37-V752-AD752,0))</x:f>
        <x:v>5</x:v>
      </x:c>
      <x:c r="O752" s="2" t="n">
        <x:f>MAX(0,ROUND('기준스탯 72종'!I37-W752-AE752,0))</x:f>
        <x:v>8</x:v>
      </x:c>
      <x:c r="P752" s="2" t="n">
        <x:f>MAX(0,ROUND('기준스탯 72종'!J37-X752-AF752,0))</x:f>
        <x:v>1</x:v>
      </x:c>
      <x:c r="Q752" s="2" t="n">
        <x:f>MAX(0,ROUND('기준스탯 72종'!K37-Y752-AG752,0))</x:f>
        <x:v>2</x:v>
      </x:c>
      <x:c r="R752" s="15" t="n">
        <x:f>'기준스탯 72종'!D37*G752</x:f>
        <x:v>0</x:v>
      </x:c>
      <x:c r="S752" s="15" t="n">
        <x:f>'기준스탯 72종'!E37*G752</x:f>
        <x:v>0</x:v>
      </x:c>
      <x:c r="T752" s="15" t="n">
        <x:f>'기준스탯 72종'!F37*G752</x:f>
        <x:v>0</x:v>
      </x:c>
      <x:c r="U752" s="15" t="n">
        <x:f>'기준스탯 72종'!G37*G752</x:f>
        <x:v>0</x:v>
      </x:c>
      <x:c r="V752" s="15" t="n">
        <x:f>'기준스탯 72종'!H37*G752</x:f>
        <x:v>0</x:v>
      </x:c>
      <x:c r="W752" s="15" t="n">
        <x:f>'기준스탯 72종'!I37*G752</x:f>
        <x:v>0</x:v>
      </x:c>
      <x:c r="X752" s="15" t="n">
        <x:f>'기준스탯 72종'!J37*G752</x:f>
        <x:v>0</x:v>
      </x:c>
      <x:c r="Y752" s="15" t="n">
        <x:f>'기준스탯 72종'!K37*G752</x:f>
        <x:v>0</x:v>
      </x:c>
      <x:c r="Z752" s="15" t="n">
        <x:f>'기준스탯 72종'!D37*H752</x:f>
        <x:v>0.6000000000000001</x:v>
      </x:c>
      <x:c r="AA752" s="15" t="n">
        <x:f>'기준스탯 72종'!E37*H752</x:f>
        <x:v>0.4200000000000001</x:v>
      </x:c>
      <x:c r="AB752" s="15" t="n">
        <x:f>'기준스탯 72종'!F37*H752</x:f>
        <x:v>0.4200000000000001</x:v>
      </x:c>
      <x:c r="AC752" s="15" t="n">
        <x:f>'기준스탯 72종'!G37*H752</x:f>
        <x:v>0.4200000000000001</x:v>
      </x:c>
      <x:c r="AD752" s="15" t="n">
        <x:f>'기준스탯 72종'!H37*H752</x:f>
        <x:v>0.30000000000000004</x:v>
      </x:c>
      <x:c r="AE752" s="15" t="n">
        <x:f>'기준스탯 72종'!I37*H752</x:f>
        <x:v>0.4800000000000001</x:v>
      </x:c>
      <x:c r="AF752" s="15" t="n">
        <x:f>'기준스탯 72종'!J37*H752</x:f>
        <x:v>0.06000000000000001</x:v>
      </x:c>
      <x:c r="AG752" s="15" t="n">
        <x:f>'기준스탯 72종'!K37*H752</x:f>
        <x:v>0.12000000000000002</x:v>
      </x:c>
    </x:row>
    <x:row r="753" ht="28" customHeight="1">
      <x:c r="A753" s="2" t="n">
        <x:v>746</x:v>
      </x:c>
      <x:c r="B753" s="2" t="n">
        <x:v>30</x:v>
      </x:c>
      <x:c r="C753" s="2" t="str">
        <x:v>사자자리</x:v>
      </x:c>
      <x:c r="D753" s="2" t="str">
        <x:v>전사</x:v>
      </x:c>
      <x:c r="E753" s="2" t="n">
        <x:v>1</x:v>
      </x:c>
      <x:c r="F753" s="2" t="n">
        <x:v>5</x:v>
      </x:c>
      <x:c r="G753" s="14" t="n">
        <x:f>('레벨 계산식'!$E$4-E753)*'레벨 계산식'!$B$5</x:f>
        <x:v>0.5599999999999999</x:v>
      </x:c>
      <x:c r="H753" s="14" t="n">
        <x:f>('등급 계산식'!$E$4-F753)*'등급 계산식'!$B$5</x:f>
        <x:v>0</x:v>
      </x:c>
      <x:c r="I753" s="14" t="n">
        <x:f>1-G753-H753</x:f>
        <x:v>0.44000000000000006</x:v>
      </x:c>
      <x:c r="J753" s="2" t="n">
        <x:f>MAX(1,ROUND('기준스탯 72종'!D37-R753-Z753,0))</x:f>
        <x:v>4</x:v>
      </x:c>
      <x:c r="K753" s="2" t="n">
        <x:f>MAX(1,ROUND('기준스탯 72종'!E37-S753-AA753,0))</x:f>
        <x:v>3</x:v>
      </x:c>
      <x:c r="L753" s="2" t="n">
        <x:f>MAX(1,ROUND('기준스탯 72종'!F37-T753-AB753,0))</x:f>
        <x:v>3</x:v>
      </x:c>
      <x:c r="M753" s="2" t="n">
        <x:f>MAX(1,ROUND('기준스탯 72종'!G37-U753-AC753,0))</x:f>
        <x:v>3</x:v>
      </x:c>
      <x:c r="N753" s="2" t="n">
        <x:f>MAX(0,ROUND('기준스탯 72종'!H37-V753-AD753,0))</x:f>
        <x:v>2</x:v>
      </x:c>
      <x:c r="O753" s="2" t="n">
        <x:f>MAX(0,ROUND('기준스탯 72종'!I37-W753-AE753,0))</x:f>
        <x:v>4</x:v>
      </x:c>
      <x:c r="P753" s="2" t="n">
        <x:f>MAX(0,ROUND('기준스탯 72종'!J37-X753-AF753,0))</x:f>
        <x:v>0</x:v>
      </x:c>
      <x:c r="Q753" s="2" t="n">
        <x:f>MAX(0,ROUND('기준스탯 72종'!K37-Y753-AG753,0))</x:f>
        <x:v>1</x:v>
      </x:c>
      <x:c r="R753" s="15" t="n">
        <x:f>'기준스탯 72종'!D37*G753</x:f>
        <x:v>5.6</x:v>
      </x:c>
      <x:c r="S753" s="15" t="n">
        <x:f>'기준스탯 72종'!E37*G753</x:f>
        <x:v>3.9199999999999995</x:v>
      </x:c>
      <x:c r="T753" s="15" t="n">
        <x:f>'기준스탯 72종'!F37*G753</x:f>
        <x:v>3.9199999999999995</x:v>
      </x:c>
      <x:c r="U753" s="15" t="n">
        <x:f>'기준스탯 72종'!G37*G753</x:f>
        <x:v>3.9199999999999995</x:v>
      </x:c>
      <x:c r="V753" s="15" t="n">
        <x:f>'기준스탯 72종'!H37*G753</x:f>
        <x:v>2.8</x:v>
      </x:c>
      <x:c r="W753" s="15" t="n">
        <x:f>'기준스탯 72종'!I37*G753</x:f>
        <x:v>4.4799999999999995</x:v>
      </x:c>
      <x:c r="X753" s="15" t="n">
        <x:f>'기준스탯 72종'!J37*G753</x:f>
        <x:v>0.5599999999999999</x:v>
      </x:c>
      <x:c r="Y753" s="15" t="n">
        <x:f>'기준스탯 72종'!K37*G753</x:f>
        <x:v>1.1199999999999999</x:v>
      </x:c>
      <x:c r="Z753" s="15" t="n">
        <x:f>'기준스탯 72종'!D37*H753</x:f>
        <x:v>0</x:v>
      </x:c>
      <x:c r="AA753" s="15" t="n">
        <x:f>'기준스탯 72종'!E37*H753</x:f>
        <x:v>0</x:v>
      </x:c>
      <x:c r="AB753" s="15" t="n">
        <x:f>'기준스탯 72종'!F37*H753</x:f>
        <x:v>0</x:v>
      </x:c>
      <x:c r="AC753" s="15" t="n">
        <x:f>'기준스탯 72종'!G37*H753</x:f>
        <x:v>0</x:v>
      </x:c>
      <x:c r="AD753" s="15" t="n">
        <x:f>'기준스탯 72종'!H37*H753</x:f>
        <x:v>0</x:v>
      </x:c>
      <x:c r="AE753" s="15" t="n">
        <x:f>'기준스탯 72종'!I37*H753</x:f>
        <x:v>0</x:v>
      </x:c>
      <x:c r="AF753" s="15" t="n">
        <x:f>'기준스탯 72종'!J37*H753</x:f>
        <x:v>0</x:v>
      </x:c>
      <x:c r="AG753" s="15" t="n">
        <x:f>'기준스탯 72종'!K37*H753</x:f>
        <x:v>0</x:v>
      </x:c>
    </x:row>
    <x:row r="754" ht="28" customHeight="1">
      <x:c r="A754" s="2" t="n">
        <x:v>747</x:v>
      </x:c>
      <x:c r="B754" s="2" t="n">
        <x:v>30</x:v>
      </x:c>
      <x:c r="C754" s="2" t="str">
        <x:v>사자자리</x:v>
      </x:c>
      <x:c r="D754" s="2" t="str">
        <x:v>전사</x:v>
      </x:c>
      <x:c r="E754" s="2" t="n">
        <x:v>2</x:v>
      </x:c>
      <x:c r="F754" s="2" t="n">
        <x:v>5</x:v>
      </x:c>
      <x:c r="G754" s="14" t="n">
        <x:f>('레벨 계산식'!$E$4-E754)*'레벨 계산식'!$B$5</x:f>
        <x:v>0.41999999999999993</x:v>
      </x:c>
      <x:c r="H754" s="14" t="n">
        <x:f>('등급 계산식'!$E$4-F754)*'등급 계산식'!$B$5</x:f>
        <x:v>0</x:v>
      </x:c>
      <x:c r="I754" s="14" t="n">
        <x:f>1-G754-H754</x:f>
        <x:v>0.5800000000000001</x:v>
      </x:c>
      <x:c r="J754" s="2" t="n">
        <x:f>MAX(1,ROUND('기준스탯 72종'!D37-R754-Z754,0))</x:f>
        <x:v>6</x:v>
      </x:c>
      <x:c r="K754" s="2" t="n">
        <x:f>MAX(1,ROUND('기준스탯 72종'!E37-S754-AA754,0))</x:f>
        <x:v>4</x:v>
      </x:c>
      <x:c r="L754" s="2" t="n">
        <x:f>MAX(1,ROUND('기준스탯 72종'!F37-T754-AB754,0))</x:f>
        <x:v>4</x:v>
      </x:c>
      <x:c r="M754" s="2" t="n">
        <x:f>MAX(1,ROUND('기준스탯 72종'!G37-U754-AC754,0))</x:f>
        <x:v>4</x:v>
      </x:c>
      <x:c r="N754" s="2" t="n">
        <x:f>MAX(0,ROUND('기준스탯 72종'!H37-V754-AD754,0))</x:f>
        <x:v>3</x:v>
      </x:c>
      <x:c r="O754" s="2" t="n">
        <x:f>MAX(0,ROUND('기준스탯 72종'!I37-W754-AE754,0))</x:f>
        <x:v>5</x:v>
      </x:c>
      <x:c r="P754" s="2" t="n">
        <x:f>MAX(0,ROUND('기준스탯 72종'!J37-X754-AF754,0))</x:f>
        <x:v>1</x:v>
      </x:c>
      <x:c r="Q754" s="2" t="n">
        <x:f>MAX(0,ROUND('기준스탯 72종'!K37-Y754-AG754,0))</x:f>
        <x:v>1</x:v>
      </x:c>
      <x:c r="R754" s="15" t="n">
        <x:f>'기준스탯 72종'!D37*G754</x:f>
        <x:v>4.199999999999999</x:v>
      </x:c>
      <x:c r="S754" s="15" t="n">
        <x:f>'기준스탯 72종'!E37*G754</x:f>
        <x:v>2.9399999999999995</x:v>
      </x:c>
      <x:c r="T754" s="15" t="n">
        <x:f>'기준스탯 72종'!F37*G754</x:f>
        <x:v>2.9399999999999995</x:v>
      </x:c>
      <x:c r="U754" s="15" t="n">
        <x:f>'기준스탯 72종'!G37*G754</x:f>
        <x:v>2.9399999999999995</x:v>
      </x:c>
      <x:c r="V754" s="15" t="n">
        <x:f>'기준스탯 72종'!H37*G754</x:f>
        <x:v>2.0999999999999996</x:v>
      </x:c>
      <x:c r="W754" s="15" t="n">
        <x:f>'기준스탯 72종'!I37*G754</x:f>
        <x:v>3.3599999999999994</x:v>
      </x:c>
      <x:c r="X754" s="15" t="n">
        <x:f>'기준스탯 72종'!J37*G754</x:f>
        <x:v>0.41999999999999993</x:v>
      </x:c>
      <x:c r="Y754" s="15" t="n">
        <x:f>'기준스탯 72종'!K37*G754</x:f>
        <x:v>0.8399999999999999</x:v>
      </x:c>
      <x:c r="Z754" s="15" t="n">
        <x:f>'기준스탯 72종'!D37*H754</x:f>
        <x:v>0</x:v>
      </x:c>
      <x:c r="AA754" s="15" t="n">
        <x:f>'기준스탯 72종'!E37*H754</x:f>
        <x:v>0</x:v>
      </x:c>
      <x:c r="AB754" s="15" t="n">
        <x:f>'기준스탯 72종'!F37*H754</x:f>
        <x:v>0</x:v>
      </x:c>
      <x:c r="AC754" s="15" t="n">
        <x:f>'기준스탯 72종'!G37*H754</x:f>
        <x:v>0</x:v>
      </x:c>
      <x:c r="AD754" s="15" t="n">
        <x:f>'기준스탯 72종'!H37*H754</x:f>
        <x:v>0</x:v>
      </x:c>
      <x:c r="AE754" s="15" t="n">
        <x:f>'기준스탯 72종'!I37*H754</x:f>
        <x:v>0</x:v>
      </x:c>
      <x:c r="AF754" s="15" t="n">
        <x:f>'기준스탯 72종'!J37*H754</x:f>
        <x:v>0</x:v>
      </x:c>
      <x:c r="AG754" s="15" t="n">
        <x:f>'기준스탯 72종'!K37*H754</x:f>
        <x:v>0</x:v>
      </x:c>
    </x:row>
    <x:row r="755" ht="28" customHeight="1">
      <x:c r="A755" s="2" t="n">
        <x:v>748</x:v>
      </x:c>
      <x:c r="B755" s="2" t="n">
        <x:v>30</x:v>
      </x:c>
      <x:c r="C755" s="2" t="str">
        <x:v>사자자리</x:v>
      </x:c>
      <x:c r="D755" s="2" t="str">
        <x:v>전사</x:v>
      </x:c>
      <x:c r="E755" s="2" t="n">
        <x:v>3</x:v>
      </x:c>
      <x:c r="F755" s="2" t="n">
        <x:v>5</x:v>
      </x:c>
      <x:c r="G755" s="14" t="n">
        <x:f>('레벨 계산식'!$E$4-E755)*'레벨 계산식'!$B$5</x:f>
        <x:v>0.27999999999999997</x:v>
      </x:c>
      <x:c r="H755" s="14" t="n">
        <x:f>('등급 계산식'!$E$4-F755)*'등급 계산식'!$B$5</x:f>
        <x:v>0</x:v>
      </x:c>
      <x:c r="I755" s="14" t="n">
        <x:f>1-G755-H755</x:f>
        <x:v>0.72</x:v>
      </x:c>
      <x:c r="J755" s="2" t="n">
        <x:f>MAX(1,ROUND('기준스탯 72종'!D37-R755-Z755,0))</x:f>
        <x:v>7</x:v>
      </x:c>
      <x:c r="K755" s="2" t="n">
        <x:f>MAX(1,ROUND('기준스탯 72종'!E37-S755-AA755,0))</x:f>
        <x:v>5</x:v>
      </x:c>
      <x:c r="L755" s="2" t="n">
        <x:f>MAX(1,ROUND('기준스탯 72종'!F37-T755-AB755,0))</x:f>
        <x:v>5</x:v>
      </x:c>
      <x:c r="M755" s="2" t="n">
        <x:f>MAX(1,ROUND('기준스탯 72종'!G37-U755-AC755,0))</x:f>
        <x:v>5</x:v>
      </x:c>
      <x:c r="N755" s="2" t="n">
        <x:f>MAX(0,ROUND('기준스탯 72종'!H37-V755-AD755,0))</x:f>
        <x:v>4</x:v>
      </x:c>
      <x:c r="O755" s="2" t="n">
        <x:f>MAX(0,ROUND('기준스탯 72종'!I37-W755-AE755,0))</x:f>
        <x:v>6</x:v>
      </x:c>
      <x:c r="P755" s="2" t="n">
        <x:f>MAX(0,ROUND('기준스탯 72종'!J37-X755-AF755,0))</x:f>
        <x:v>1</x:v>
      </x:c>
      <x:c r="Q755" s="2" t="n">
        <x:f>MAX(0,ROUND('기준스탯 72종'!K37-Y755-AG755,0))</x:f>
        <x:v>1</x:v>
      </x:c>
      <x:c r="R755" s="15" t="n">
        <x:f>'기준스탯 72종'!D37*G755</x:f>
        <x:v>2.8</x:v>
      </x:c>
      <x:c r="S755" s="15" t="n">
        <x:f>'기준스탯 72종'!E37*G755</x:f>
        <x:v>1.9599999999999997</x:v>
      </x:c>
      <x:c r="T755" s="15" t="n">
        <x:f>'기준스탯 72종'!F37*G755</x:f>
        <x:v>1.9599999999999997</x:v>
      </x:c>
      <x:c r="U755" s="15" t="n">
        <x:f>'기준스탯 72종'!G37*G755</x:f>
        <x:v>1.9599999999999997</x:v>
      </x:c>
      <x:c r="V755" s="15" t="n">
        <x:f>'기준스탯 72종'!H37*G755</x:f>
        <x:v>1.4</x:v>
      </x:c>
      <x:c r="W755" s="15" t="n">
        <x:f>'기준스탯 72종'!I37*G755</x:f>
        <x:v>2.2399999999999998</x:v>
      </x:c>
      <x:c r="X755" s="15" t="n">
        <x:f>'기준스탯 72종'!J37*G755</x:f>
        <x:v>0.27999999999999997</x:v>
      </x:c>
      <x:c r="Y755" s="15" t="n">
        <x:f>'기준스탯 72종'!K37*G755</x:f>
        <x:v>0.5599999999999999</x:v>
      </x:c>
      <x:c r="Z755" s="15" t="n">
        <x:f>'기준스탯 72종'!D37*H755</x:f>
        <x:v>0</x:v>
      </x:c>
      <x:c r="AA755" s="15" t="n">
        <x:f>'기준스탯 72종'!E37*H755</x:f>
        <x:v>0</x:v>
      </x:c>
      <x:c r="AB755" s="15" t="n">
        <x:f>'기준스탯 72종'!F37*H755</x:f>
        <x:v>0</x:v>
      </x:c>
      <x:c r="AC755" s="15" t="n">
        <x:f>'기준스탯 72종'!G37*H755</x:f>
        <x:v>0</x:v>
      </x:c>
      <x:c r="AD755" s="15" t="n">
        <x:f>'기준스탯 72종'!H37*H755</x:f>
        <x:v>0</x:v>
      </x:c>
      <x:c r="AE755" s="15" t="n">
        <x:f>'기준스탯 72종'!I37*H755</x:f>
        <x:v>0</x:v>
      </x:c>
      <x:c r="AF755" s="15" t="n">
        <x:f>'기준스탯 72종'!J37*H755</x:f>
        <x:v>0</x:v>
      </x:c>
      <x:c r="AG755" s="15" t="n">
        <x:f>'기준스탯 72종'!K37*H755</x:f>
        <x:v>0</x:v>
      </x:c>
    </x:row>
    <x:row r="756" ht="28" customHeight="1">
      <x:c r="A756" s="2" t="n">
        <x:v>749</x:v>
      </x:c>
      <x:c r="B756" s="2" t="n">
        <x:v>30</x:v>
      </x:c>
      <x:c r="C756" s="2" t="str">
        <x:v>사자자리</x:v>
      </x:c>
      <x:c r="D756" s="2" t="str">
        <x:v>전사</x:v>
      </x:c>
      <x:c r="E756" s="2" t="n">
        <x:v>4</x:v>
      </x:c>
      <x:c r="F756" s="2" t="n">
        <x:v>5</x:v>
      </x:c>
      <x:c r="G756" s="14" t="n">
        <x:f>('레벨 계산식'!$E$4-E756)*'레벨 계산식'!$B$5</x:f>
        <x:v>0.13999999999999999</x:v>
      </x:c>
      <x:c r="H756" s="14" t="n">
        <x:f>('등급 계산식'!$E$4-F756)*'등급 계산식'!$B$5</x:f>
        <x:v>0</x:v>
      </x:c>
      <x:c r="I756" s="14" t="n">
        <x:f>1-G756-H756</x:f>
        <x:v>0.86</x:v>
      </x:c>
      <x:c r="J756" s="2" t="n">
        <x:f>MAX(1,ROUND('기준스탯 72종'!D37-R756-Z756,0))</x:f>
        <x:v>9</x:v>
      </x:c>
      <x:c r="K756" s="2" t="n">
        <x:f>MAX(1,ROUND('기준스탯 72종'!E37-S756-AA756,0))</x:f>
        <x:v>6</x:v>
      </x:c>
      <x:c r="L756" s="2" t="n">
        <x:f>MAX(1,ROUND('기준스탯 72종'!F37-T756-AB756,0))</x:f>
        <x:v>6</x:v>
      </x:c>
      <x:c r="M756" s="2" t="n">
        <x:f>MAX(1,ROUND('기준스탯 72종'!G37-U756-AC756,0))</x:f>
        <x:v>6</x:v>
      </x:c>
      <x:c r="N756" s="2" t="n">
        <x:f>MAX(0,ROUND('기준스탯 72종'!H37-V756-AD756,0))</x:f>
        <x:v>4</x:v>
      </x:c>
      <x:c r="O756" s="2" t="n">
        <x:f>MAX(0,ROUND('기준스탯 72종'!I37-W756-AE756,0))</x:f>
        <x:v>7</x:v>
      </x:c>
      <x:c r="P756" s="2" t="n">
        <x:f>MAX(0,ROUND('기준스탯 72종'!J37-X756-AF756,0))</x:f>
        <x:v>1</x:v>
      </x:c>
      <x:c r="Q756" s="2" t="n">
        <x:f>MAX(0,ROUND('기준스탯 72종'!K37-Y756-AG756,0))</x:f>
        <x:v>2</x:v>
      </x:c>
      <x:c r="R756" s="15" t="n">
        <x:f>'기준스탯 72종'!D37*G756</x:f>
        <x:v>1.4</x:v>
      </x:c>
      <x:c r="S756" s="15" t="n">
        <x:f>'기준스탯 72종'!E37*G756</x:f>
        <x:v>0.9799999999999999</x:v>
      </x:c>
      <x:c r="T756" s="15" t="n">
        <x:f>'기준스탯 72종'!F37*G756</x:f>
        <x:v>0.9799999999999999</x:v>
      </x:c>
      <x:c r="U756" s="15" t="n">
        <x:f>'기준스탯 72종'!G37*G756</x:f>
        <x:v>0.9799999999999999</x:v>
      </x:c>
      <x:c r="V756" s="15" t="n">
        <x:f>'기준스탯 72종'!H37*G756</x:f>
        <x:v>0.7</x:v>
      </x:c>
      <x:c r="W756" s="15" t="n">
        <x:f>'기준스탯 72종'!I37*G756</x:f>
        <x:v>1.1199999999999999</x:v>
      </x:c>
      <x:c r="X756" s="15" t="n">
        <x:f>'기준스탯 72종'!J37*G756</x:f>
        <x:v>0.13999999999999999</x:v>
      </x:c>
      <x:c r="Y756" s="15" t="n">
        <x:f>'기준스탯 72종'!K37*G756</x:f>
        <x:v>0.27999999999999997</x:v>
      </x:c>
      <x:c r="Z756" s="15" t="n">
        <x:f>'기준스탯 72종'!D37*H756</x:f>
        <x:v>0</x:v>
      </x:c>
      <x:c r="AA756" s="15" t="n">
        <x:f>'기준스탯 72종'!E37*H756</x:f>
        <x:v>0</x:v>
      </x:c>
      <x:c r="AB756" s="15" t="n">
        <x:f>'기준스탯 72종'!F37*H756</x:f>
        <x:v>0</x:v>
      </x:c>
      <x:c r="AC756" s="15" t="n">
        <x:f>'기준스탯 72종'!G37*H756</x:f>
        <x:v>0</x:v>
      </x:c>
      <x:c r="AD756" s="15" t="n">
        <x:f>'기준스탯 72종'!H37*H756</x:f>
        <x:v>0</x:v>
      </x:c>
      <x:c r="AE756" s="15" t="n">
        <x:f>'기준스탯 72종'!I37*H756</x:f>
        <x:v>0</x:v>
      </x:c>
      <x:c r="AF756" s="15" t="n">
        <x:f>'기준스탯 72종'!J37*H756</x:f>
        <x:v>0</x:v>
      </x:c>
      <x:c r="AG756" s="15" t="n">
        <x:f>'기준스탯 72종'!K37*H756</x:f>
        <x:v>0</x:v>
      </x:c>
    </x:row>
    <x:row r="757" ht="28" customHeight="1">
      <x:c r="A757" s="2" t="n">
        <x:v>750</x:v>
      </x:c>
      <x:c r="B757" s="2" t="n">
        <x:v>30</x:v>
      </x:c>
      <x:c r="C757" s="2" t="str">
        <x:v>사자자리</x:v>
      </x:c>
      <x:c r="D757" s="2" t="str">
        <x:v>전사</x:v>
      </x:c>
      <x:c r="E757" s="2" t="n">
        <x:v>5</x:v>
      </x:c>
      <x:c r="F757" s="2" t="n">
        <x:v>5</x:v>
      </x:c>
      <x:c r="G757" s="14" t="n">
        <x:f>('레벨 계산식'!$E$4-E757)*'레벨 계산식'!$B$5</x:f>
        <x:v>0</x:v>
      </x:c>
      <x:c r="H757" s="14" t="n">
        <x:f>('등급 계산식'!$E$4-F757)*'등급 계산식'!$B$5</x:f>
        <x:v>0</x:v>
      </x:c>
      <x:c r="I757" s="14" t="n">
        <x:f>1-G757-H757</x:f>
        <x:v>1</x:v>
      </x:c>
      <x:c r="J757" s="2" t="n">
        <x:f>MAX(1,ROUND('기준스탯 72종'!D37-R757-Z757,0))</x:f>
        <x:v>10</x:v>
      </x:c>
      <x:c r="K757" s="2" t="n">
        <x:f>MAX(1,ROUND('기준스탯 72종'!E37-S757-AA757,0))</x:f>
        <x:v>7</x:v>
      </x:c>
      <x:c r="L757" s="2" t="n">
        <x:f>MAX(1,ROUND('기준스탯 72종'!F37-T757-AB757,0))</x:f>
        <x:v>7</x:v>
      </x:c>
      <x:c r="M757" s="2" t="n">
        <x:f>MAX(1,ROUND('기준스탯 72종'!G37-U757-AC757,0))</x:f>
        <x:v>7</x:v>
      </x:c>
      <x:c r="N757" s="2" t="n">
        <x:f>MAX(0,ROUND('기준스탯 72종'!H37-V757-AD757,0))</x:f>
        <x:v>5</x:v>
      </x:c>
      <x:c r="O757" s="2" t="n">
        <x:f>MAX(0,ROUND('기준스탯 72종'!I37-W757-AE757,0))</x:f>
        <x:v>8</x:v>
      </x:c>
      <x:c r="P757" s="2" t="n">
        <x:f>MAX(0,ROUND('기준스탯 72종'!J37-X757-AF757,0))</x:f>
        <x:v>1</x:v>
      </x:c>
      <x:c r="Q757" s="2" t="n">
        <x:f>MAX(0,ROUND('기준스탯 72종'!K37-Y757-AG757,0))</x:f>
        <x:v>2</x:v>
      </x:c>
      <x:c r="R757" s="15" t="n">
        <x:f>'기준스탯 72종'!D37*G757</x:f>
        <x:v>0</x:v>
      </x:c>
      <x:c r="S757" s="15" t="n">
        <x:f>'기준스탯 72종'!E37*G757</x:f>
        <x:v>0</x:v>
      </x:c>
      <x:c r="T757" s="15" t="n">
        <x:f>'기준스탯 72종'!F37*G757</x:f>
        <x:v>0</x:v>
      </x:c>
      <x:c r="U757" s="15" t="n">
        <x:f>'기준스탯 72종'!G37*G757</x:f>
        <x:v>0</x:v>
      </x:c>
      <x:c r="V757" s="15" t="n">
        <x:f>'기준스탯 72종'!H37*G757</x:f>
        <x:v>0</x:v>
      </x:c>
      <x:c r="W757" s="15" t="n">
        <x:f>'기준스탯 72종'!I37*G757</x:f>
        <x:v>0</x:v>
      </x:c>
      <x:c r="X757" s="15" t="n">
        <x:f>'기준스탯 72종'!J37*G757</x:f>
        <x:v>0</x:v>
      </x:c>
      <x:c r="Y757" s="15" t="n">
        <x:f>'기준스탯 72종'!K37*G757</x:f>
        <x:v>0</x:v>
      </x:c>
      <x:c r="Z757" s="15" t="n">
        <x:f>'기준스탯 72종'!D37*H757</x:f>
        <x:v>0</x:v>
      </x:c>
      <x:c r="AA757" s="15" t="n">
        <x:f>'기준스탯 72종'!E37*H757</x:f>
        <x:v>0</x:v>
      </x:c>
      <x:c r="AB757" s="15" t="n">
        <x:f>'기준스탯 72종'!F37*H757</x:f>
        <x:v>0</x:v>
      </x:c>
      <x:c r="AC757" s="15" t="n">
        <x:f>'기준스탯 72종'!G37*H757</x:f>
        <x:v>0</x:v>
      </x:c>
      <x:c r="AD757" s="15" t="n">
        <x:f>'기준스탯 72종'!H37*H757</x:f>
        <x:v>0</x:v>
      </x:c>
      <x:c r="AE757" s="15" t="n">
        <x:f>'기준스탯 72종'!I37*H757</x:f>
        <x:v>0</x:v>
      </x:c>
      <x:c r="AF757" s="15" t="n">
        <x:f>'기준스탯 72종'!J37*H757</x:f>
        <x:v>0</x:v>
      </x:c>
      <x:c r="AG757" s="15" t="n">
        <x:f>'기준스탯 72종'!K37*H757</x:f>
        <x:v>0</x:v>
      </x:c>
    </x:row>
    <x:row r="758" ht="28" customHeight="1">
      <x:c r="A758" s="2" t="n">
        <x:v>751</x:v>
      </x:c>
      <x:c r="B758" s="2" t="n">
        <x:v>31</x:v>
      </x:c>
      <x:c r="C758" s="2" t="str">
        <x:v>처녀자리</x:v>
      </x:c>
      <x:c r="D758" s="2" t="str">
        <x:v>기사</x:v>
      </x:c>
      <x:c r="E758" s="2" t="n">
        <x:v>1</x:v>
      </x:c>
      <x:c r="F758" s="2" t="n">
        <x:v>1</x:v>
      </x:c>
      <x:c r="G758" s="14" t="n">
        <x:f>('레벨 계산식'!$E$4-E758)*'레벨 계산식'!$B$5</x:f>
        <x:v>0.5599999999999999</x:v>
      </x:c>
      <x:c r="H758" s="14" t="n">
        <x:f>('등급 계산식'!$E$4-F758)*'등급 계산식'!$B$5</x:f>
        <x:v>0.24000000000000005</x:v>
      </x:c>
      <x:c r="I758" s="14" t="n">
        <x:f>1-G758-H758</x:f>
        <x:v>0.2</x:v>
      </x:c>
      <x:c r="J758" s="2" t="n">
        <x:f>MAX(1,ROUND('기준스탯 72종'!D38-R758-Z758,0))</x:f>
        <x:v>1</x:v>
      </x:c>
      <x:c r="K758" s="2" t="n">
        <x:f>MAX(1,ROUND('기준스탯 72종'!E38-S758-AA758,0))</x:f>
        <x:v>2</x:v>
      </x:c>
      <x:c r="L758" s="2" t="n">
        <x:f>MAX(1,ROUND('기준스탯 72종'!F38-T758-AB758,0))</x:f>
        <x:v>2</x:v>
      </x:c>
      <x:c r="M758" s="2" t="n">
        <x:f>MAX(1,ROUND('기준스탯 72종'!G38-U758-AC758,0))</x:f>
        <x:v>1</x:v>
      </x:c>
      <x:c r="N758" s="2" t="n">
        <x:f>MAX(0,ROUND('기준스탯 72종'!H38-V758-AD758,0))</x:f>
        <x:v>0</x:v>
      </x:c>
      <x:c r="O758" s="2" t="n">
        <x:f>MAX(0,ROUND('기준스탯 72종'!I38-W758-AE758,0))</x:f>
        <x:v>1</x:v>
      </x:c>
      <x:c r="P758" s="2" t="n">
        <x:f>MAX(0,ROUND('기준스탯 72종'!J38-X758-AF758,0))</x:f>
        <x:v>1</x:v>
      </x:c>
      <x:c r="Q758" s="2" t="n">
        <x:f>MAX(0,ROUND('기준스탯 72종'!K38-Y758-AG758,0))</x:f>
        <x:v>1</x:v>
      </x:c>
      <x:c r="R758" s="15" t="n">
        <x:f>'기준스탯 72종'!D38*G758</x:f>
        <x:v>3.3599999999999994</x:v>
      </x:c>
      <x:c r="S758" s="15" t="n">
        <x:f>'기준스탯 72종'!E38*G758</x:f>
        <x:v>5.039999999999999</x:v>
      </x:c>
      <x:c r="T758" s="15" t="n">
        <x:f>'기준스탯 72종'!F38*G758</x:f>
        <x:v>5.039999999999999</x:v>
      </x:c>
      <x:c r="U758" s="15" t="n">
        <x:f>'기준스탯 72종'!G38*G758</x:f>
        <x:v>3.3599999999999994</x:v>
      </x:c>
      <x:c r="V758" s="15" t="n">
        <x:f>'기준스탯 72종'!H38*G758</x:f>
        <x:v>1.1199999999999999</x:v>
      </x:c>
      <x:c r="W758" s="15" t="n">
        <x:f>'기준스탯 72종'!I38*G758</x:f>
        <x:v>1.6799999999999997</x:v>
      </x:c>
      <x:c r="X758" s="15" t="n">
        <x:f>'기준스탯 72종'!J38*G758</x:f>
        <x:v>2.8</x:v>
      </x:c>
      <x:c r="Y758" s="15" t="n">
        <x:f>'기준스탯 72종'!K38*G758</x:f>
        <x:v>3.3599999999999994</x:v>
      </x:c>
      <x:c r="Z758" s="15" t="n">
        <x:f>'기준스탯 72종'!D38*H758</x:f>
        <x:v>1.4400000000000004</x:v>
      </x:c>
      <x:c r="AA758" s="15" t="n">
        <x:f>'기준스탯 72종'!E38*H758</x:f>
        <x:v>2.1600000000000006</x:v>
      </x:c>
      <x:c r="AB758" s="15" t="n">
        <x:f>'기준스탯 72종'!F38*H758</x:f>
        <x:v>2.1600000000000006</x:v>
      </x:c>
      <x:c r="AC758" s="15" t="n">
        <x:f>'기준스탯 72종'!G38*H758</x:f>
        <x:v>1.4400000000000004</x:v>
      </x:c>
      <x:c r="AD758" s="15" t="n">
        <x:f>'기준스탯 72종'!H38*H758</x:f>
        <x:v>0.4800000000000001</x:v>
      </x:c>
      <x:c r="AE758" s="15" t="n">
        <x:f>'기준스탯 72종'!I38*H758</x:f>
        <x:v>0.7200000000000002</x:v>
      </x:c>
      <x:c r="AF758" s="15" t="n">
        <x:f>'기준스탯 72종'!J38*H758</x:f>
        <x:v>1.2000000000000002</x:v>
      </x:c>
      <x:c r="AG758" s="15" t="n">
        <x:f>'기준스탯 72종'!K38*H758</x:f>
        <x:v>1.4400000000000004</x:v>
      </x:c>
    </x:row>
    <x:row r="759" ht="28" customHeight="1">
      <x:c r="A759" s="2" t="n">
        <x:v>752</x:v>
      </x:c>
      <x:c r="B759" s="2" t="n">
        <x:v>31</x:v>
      </x:c>
      <x:c r="C759" s="2" t="str">
        <x:v>처녀자리</x:v>
      </x:c>
      <x:c r="D759" s="2" t="str">
        <x:v>기사</x:v>
      </x:c>
      <x:c r="E759" s="2" t="n">
        <x:v>2</x:v>
      </x:c>
      <x:c r="F759" s="2" t="n">
        <x:v>1</x:v>
      </x:c>
      <x:c r="G759" s="14" t="n">
        <x:f>('레벨 계산식'!$E$4-E759)*'레벨 계산식'!$B$5</x:f>
        <x:v>0.41999999999999993</x:v>
      </x:c>
      <x:c r="H759" s="14" t="n">
        <x:f>('등급 계산식'!$E$4-F759)*'등급 계산식'!$B$5</x:f>
        <x:v>0.24000000000000005</x:v>
      </x:c>
      <x:c r="I759" s="14" t="n">
        <x:f>1-G759-H759</x:f>
        <x:v>0.34</x:v>
      </x:c>
      <x:c r="J759" s="2" t="n">
        <x:f>MAX(1,ROUND('기준스탯 72종'!D38-R759-Z759,0))</x:f>
        <x:v>2</x:v>
      </x:c>
      <x:c r="K759" s="2" t="n">
        <x:f>MAX(1,ROUND('기준스탯 72종'!E38-S759-AA759,0))</x:f>
        <x:v>3</x:v>
      </x:c>
      <x:c r="L759" s="2" t="n">
        <x:f>MAX(1,ROUND('기준스탯 72종'!F38-T759-AB759,0))</x:f>
        <x:v>3</x:v>
      </x:c>
      <x:c r="M759" s="2" t="n">
        <x:f>MAX(1,ROUND('기준스탯 72종'!G38-U759-AC759,0))</x:f>
        <x:v>2</x:v>
      </x:c>
      <x:c r="N759" s="2" t="n">
        <x:f>MAX(0,ROUND('기준스탯 72종'!H38-V759-AD759,0))</x:f>
        <x:v>1</x:v>
      </x:c>
      <x:c r="O759" s="2" t="n">
        <x:f>MAX(0,ROUND('기준스탯 72종'!I38-W759-AE759,0))</x:f>
        <x:v>1</x:v>
      </x:c>
      <x:c r="P759" s="2" t="n">
        <x:f>MAX(0,ROUND('기준스탯 72종'!J38-X759-AF759,0))</x:f>
        <x:v>2</x:v>
      </x:c>
      <x:c r="Q759" s="2" t="n">
        <x:f>MAX(0,ROUND('기준스탯 72종'!K38-Y759-AG759,0))</x:f>
        <x:v>2</x:v>
      </x:c>
      <x:c r="R759" s="15" t="n">
        <x:f>'기준스탯 72종'!D38*G759</x:f>
        <x:v>2.5199999999999996</x:v>
      </x:c>
      <x:c r="S759" s="15" t="n">
        <x:f>'기준스탯 72종'!E38*G759</x:f>
        <x:v>3.7799999999999994</x:v>
      </x:c>
      <x:c r="T759" s="15" t="n">
        <x:f>'기준스탯 72종'!F38*G759</x:f>
        <x:v>3.7799999999999994</x:v>
      </x:c>
      <x:c r="U759" s="15" t="n">
        <x:f>'기준스탯 72종'!G38*G759</x:f>
        <x:v>2.5199999999999996</x:v>
      </x:c>
      <x:c r="V759" s="15" t="n">
        <x:f>'기준스탯 72종'!H38*G759</x:f>
        <x:v>0.8399999999999999</x:v>
      </x:c>
      <x:c r="W759" s="15" t="n">
        <x:f>'기준스탯 72종'!I38*G759</x:f>
        <x:v>1.2599999999999998</x:v>
      </x:c>
      <x:c r="X759" s="15" t="n">
        <x:f>'기준스탯 72종'!J38*G759</x:f>
        <x:v>2.0999999999999996</x:v>
      </x:c>
      <x:c r="Y759" s="15" t="n">
        <x:f>'기준스탯 72종'!K38*G759</x:f>
        <x:v>2.5199999999999996</x:v>
      </x:c>
      <x:c r="Z759" s="15" t="n">
        <x:f>'기준스탯 72종'!D38*H759</x:f>
        <x:v>1.4400000000000004</x:v>
      </x:c>
      <x:c r="AA759" s="15" t="n">
        <x:f>'기준스탯 72종'!E38*H759</x:f>
        <x:v>2.1600000000000006</x:v>
      </x:c>
      <x:c r="AB759" s="15" t="n">
        <x:f>'기준스탯 72종'!F38*H759</x:f>
        <x:v>2.1600000000000006</x:v>
      </x:c>
      <x:c r="AC759" s="15" t="n">
        <x:f>'기준스탯 72종'!G38*H759</x:f>
        <x:v>1.4400000000000004</x:v>
      </x:c>
      <x:c r="AD759" s="15" t="n">
        <x:f>'기준스탯 72종'!H38*H759</x:f>
        <x:v>0.4800000000000001</x:v>
      </x:c>
      <x:c r="AE759" s="15" t="n">
        <x:f>'기준스탯 72종'!I38*H759</x:f>
        <x:v>0.7200000000000002</x:v>
      </x:c>
      <x:c r="AF759" s="15" t="n">
        <x:f>'기준스탯 72종'!J38*H759</x:f>
        <x:v>1.2000000000000002</x:v>
      </x:c>
      <x:c r="AG759" s="15" t="n">
        <x:f>'기준스탯 72종'!K38*H759</x:f>
        <x:v>1.4400000000000004</x:v>
      </x:c>
    </x:row>
    <x:row r="760" ht="28" customHeight="1">
      <x:c r="A760" s="2" t="n">
        <x:v>753</x:v>
      </x:c>
      <x:c r="B760" s="2" t="n">
        <x:v>31</x:v>
      </x:c>
      <x:c r="C760" s="2" t="str">
        <x:v>처녀자리</x:v>
      </x:c>
      <x:c r="D760" s="2" t="str">
        <x:v>기사</x:v>
      </x:c>
      <x:c r="E760" s="2" t="n">
        <x:v>3</x:v>
      </x:c>
      <x:c r="F760" s="2" t="n">
        <x:v>1</x:v>
      </x:c>
      <x:c r="G760" s="14" t="n">
        <x:f>('레벨 계산식'!$E$4-E760)*'레벨 계산식'!$B$5</x:f>
        <x:v>0.27999999999999997</x:v>
      </x:c>
      <x:c r="H760" s="14" t="n">
        <x:f>('등급 계산식'!$E$4-F760)*'등급 계산식'!$B$5</x:f>
        <x:v>0.24000000000000005</x:v>
      </x:c>
      <x:c r="I760" s="14" t="n">
        <x:f>1-G760-H760</x:f>
        <x:v>0.4799999999999999</x:v>
      </x:c>
      <x:c r="J760" s="2" t="n">
        <x:f>MAX(1,ROUND('기준스탯 72종'!D38-R760-Z760,0))</x:f>
        <x:v>3</x:v>
      </x:c>
      <x:c r="K760" s="2" t="n">
        <x:f>MAX(1,ROUND('기준스탯 72종'!E38-S760-AA760,0))</x:f>
        <x:v>4</x:v>
      </x:c>
      <x:c r="L760" s="2" t="n">
        <x:f>MAX(1,ROUND('기준스탯 72종'!F38-T760-AB760,0))</x:f>
        <x:v>4</x:v>
      </x:c>
      <x:c r="M760" s="2" t="n">
        <x:f>MAX(1,ROUND('기준스탯 72종'!G38-U760-AC760,0))</x:f>
        <x:v>3</x:v>
      </x:c>
      <x:c r="N760" s="2" t="n">
        <x:f>MAX(0,ROUND('기준스탯 72종'!H38-V760-AD760,0))</x:f>
        <x:v>1</x:v>
      </x:c>
      <x:c r="O760" s="2" t="n">
        <x:f>MAX(0,ROUND('기준스탯 72종'!I38-W760-AE760,0))</x:f>
        <x:v>1</x:v>
      </x:c>
      <x:c r="P760" s="2" t="n">
        <x:f>MAX(0,ROUND('기준스탯 72종'!J38-X760-AF760,0))</x:f>
        <x:v>2</x:v>
      </x:c>
      <x:c r="Q760" s="2" t="n">
        <x:f>MAX(0,ROUND('기준스탯 72종'!K38-Y760-AG760,0))</x:f>
        <x:v>3</x:v>
      </x:c>
      <x:c r="R760" s="15" t="n">
        <x:f>'기준스탯 72종'!D38*G760</x:f>
        <x:v>1.6799999999999997</x:v>
      </x:c>
      <x:c r="S760" s="15" t="n">
        <x:f>'기준스탯 72종'!E38*G760</x:f>
        <x:v>2.5199999999999996</x:v>
      </x:c>
      <x:c r="T760" s="15" t="n">
        <x:f>'기준스탯 72종'!F38*G760</x:f>
        <x:v>2.5199999999999996</x:v>
      </x:c>
      <x:c r="U760" s="15" t="n">
        <x:f>'기준스탯 72종'!G38*G760</x:f>
        <x:v>1.6799999999999997</x:v>
      </x:c>
      <x:c r="V760" s="15" t="n">
        <x:f>'기준스탯 72종'!H38*G760</x:f>
        <x:v>0.5599999999999999</x:v>
      </x:c>
      <x:c r="W760" s="15" t="n">
        <x:f>'기준스탯 72종'!I38*G760</x:f>
        <x:v>0.8399999999999999</x:v>
      </x:c>
      <x:c r="X760" s="15" t="n">
        <x:f>'기준스탯 72종'!J38*G760</x:f>
        <x:v>1.4</x:v>
      </x:c>
      <x:c r="Y760" s="15" t="n">
        <x:f>'기준스탯 72종'!K38*G760</x:f>
        <x:v>1.6799999999999997</x:v>
      </x:c>
      <x:c r="Z760" s="15" t="n">
        <x:f>'기준스탯 72종'!D38*H760</x:f>
        <x:v>1.4400000000000004</x:v>
      </x:c>
      <x:c r="AA760" s="15" t="n">
        <x:f>'기준스탯 72종'!E38*H760</x:f>
        <x:v>2.1600000000000006</x:v>
      </x:c>
      <x:c r="AB760" s="15" t="n">
        <x:f>'기준스탯 72종'!F38*H760</x:f>
        <x:v>2.1600000000000006</x:v>
      </x:c>
      <x:c r="AC760" s="15" t="n">
        <x:f>'기준스탯 72종'!G38*H760</x:f>
        <x:v>1.4400000000000004</x:v>
      </x:c>
      <x:c r="AD760" s="15" t="n">
        <x:f>'기준스탯 72종'!H38*H760</x:f>
        <x:v>0.4800000000000001</x:v>
      </x:c>
      <x:c r="AE760" s="15" t="n">
        <x:f>'기준스탯 72종'!I38*H760</x:f>
        <x:v>0.7200000000000002</x:v>
      </x:c>
      <x:c r="AF760" s="15" t="n">
        <x:f>'기준스탯 72종'!J38*H760</x:f>
        <x:v>1.2000000000000002</x:v>
      </x:c>
      <x:c r="AG760" s="15" t="n">
        <x:f>'기준스탯 72종'!K38*H760</x:f>
        <x:v>1.4400000000000004</x:v>
      </x:c>
    </x:row>
    <x:row r="761" ht="28" customHeight="1">
      <x:c r="A761" s="2" t="n">
        <x:v>754</x:v>
      </x:c>
      <x:c r="B761" s="2" t="n">
        <x:v>31</x:v>
      </x:c>
      <x:c r="C761" s="2" t="str">
        <x:v>처녀자리</x:v>
      </x:c>
      <x:c r="D761" s="2" t="str">
        <x:v>기사</x:v>
      </x:c>
      <x:c r="E761" s="2" t="n">
        <x:v>4</x:v>
      </x:c>
      <x:c r="F761" s="2" t="n">
        <x:v>1</x:v>
      </x:c>
      <x:c r="G761" s="14" t="n">
        <x:f>('레벨 계산식'!$E$4-E761)*'레벨 계산식'!$B$5</x:f>
        <x:v>0.13999999999999999</x:v>
      </x:c>
      <x:c r="H761" s="14" t="n">
        <x:f>('등급 계산식'!$E$4-F761)*'등급 계산식'!$B$5</x:f>
        <x:v>0.24000000000000005</x:v>
      </x:c>
      <x:c r="I761" s="14" t="n">
        <x:f>1-G761-H761</x:f>
        <x:v>0.6199999999999999</x:v>
      </x:c>
      <x:c r="J761" s="2" t="n">
        <x:f>MAX(1,ROUND('기준스탯 72종'!D38-R761-Z761,0))</x:f>
        <x:v>4</x:v>
      </x:c>
      <x:c r="K761" s="2" t="n">
        <x:f>MAX(1,ROUND('기준스탯 72종'!E38-S761-AA761,0))</x:f>
        <x:v>6</x:v>
      </x:c>
      <x:c r="L761" s="2" t="n">
        <x:f>MAX(1,ROUND('기준스탯 72종'!F38-T761-AB761,0))</x:f>
        <x:v>6</x:v>
      </x:c>
      <x:c r="M761" s="2" t="n">
        <x:f>MAX(1,ROUND('기준스탯 72종'!G38-U761-AC761,0))</x:f>
        <x:v>4</x:v>
      </x:c>
      <x:c r="N761" s="2" t="n">
        <x:f>MAX(0,ROUND('기준스탯 72종'!H38-V761-AD761,0))</x:f>
        <x:v>1</x:v>
      </x:c>
      <x:c r="O761" s="2" t="n">
        <x:f>MAX(0,ROUND('기준스탯 72종'!I38-W761-AE761,0))</x:f>
        <x:v>2</x:v>
      </x:c>
      <x:c r="P761" s="2" t="n">
        <x:f>MAX(0,ROUND('기준스탯 72종'!J38-X761-AF761,0))</x:f>
        <x:v>3</x:v>
      </x:c>
      <x:c r="Q761" s="2" t="n">
        <x:f>MAX(0,ROUND('기준스탯 72종'!K38-Y761-AG761,0))</x:f>
        <x:v>4</x:v>
      </x:c>
      <x:c r="R761" s="15" t="n">
        <x:f>'기준스탯 72종'!D38*G761</x:f>
        <x:v>0.8399999999999999</x:v>
      </x:c>
      <x:c r="S761" s="15" t="n">
        <x:f>'기준스탯 72종'!E38*G761</x:f>
        <x:v>1.2599999999999998</x:v>
      </x:c>
      <x:c r="T761" s="15" t="n">
        <x:f>'기준스탯 72종'!F38*G761</x:f>
        <x:v>1.2599999999999998</x:v>
      </x:c>
      <x:c r="U761" s="15" t="n">
        <x:f>'기준스탯 72종'!G38*G761</x:f>
        <x:v>0.8399999999999999</x:v>
      </x:c>
      <x:c r="V761" s="15" t="n">
        <x:f>'기준스탯 72종'!H38*G761</x:f>
        <x:v>0.27999999999999997</x:v>
      </x:c>
      <x:c r="W761" s="15" t="n">
        <x:f>'기준스탯 72종'!I38*G761</x:f>
        <x:v>0.41999999999999993</x:v>
      </x:c>
      <x:c r="X761" s="15" t="n">
        <x:f>'기준스탯 72종'!J38*G761</x:f>
        <x:v>0.7</x:v>
      </x:c>
      <x:c r="Y761" s="15" t="n">
        <x:f>'기준스탯 72종'!K38*G761</x:f>
        <x:v>0.8399999999999999</x:v>
      </x:c>
      <x:c r="Z761" s="15" t="n">
        <x:f>'기준스탯 72종'!D38*H761</x:f>
        <x:v>1.4400000000000004</x:v>
      </x:c>
      <x:c r="AA761" s="15" t="n">
        <x:f>'기준스탯 72종'!E38*H761</x:f>
        <x:v>2.1600000000000006</x:v>
      </x:c>
      <x:c r="AB761" s="15" t="n">
        <x:f>'기준스탯 72종'!F38*H761</x:f>
        <x:v>2.1600000000000006</x:v>
      </x:c>
      <x:c r="AC761" s="15" t="n">
        <x:f>'기준스탯 72종'!G38*H761</x:f>
        <x:v>1.4400000000000004</x:v>
      </x:c>
      <x:c r="AD761" s="15" t="n">
        <x:f>'기준스탯 72종'!H38*H761</x:f>
        <x:v>0.4800000000000001</x:v>
      </x:c>
      <x:c r="AE761" s="15" t="n">
        <x:f>'기준스탯 72종'!I38*H761</x:f>
        <x:v>0.7200000000000002</x:v>
      </x:c>
      <x:c r="AF761" s="15" t="n">
        <x:f>'기준스탯 72종'!J38*H761</x:f>
        <x:v>1.2000000000000002</x:v>
      </x:c>
      <x:c r="AG761" s="15" t="n">
        <x:f>'기준스탯 72종'!K38*H761</x:f>
        <x:v>1.4400000000000004</x:v>
      </x:c>
    </x:row>
    <x:row r="762" ht="28" customHeight="1">
      <x:c r="A762" s="2" t="n">
        <x:v>755</x:v>
      </x:c>
      <x:c r="B762" s="2" t="n">
        <x:v>31</x:v>
      </x:c>
      <x:c r="C762" s="2" t="str">
        <x:v>처녀자리</x:v>
      </x:c>
      <x:c r="D762" s="2" t="str">
        <x:v>기사</x:v>
      </x:c>
      <x:c r="E762" s="2" t="n">
        <x:v>5</x:v>
      </x:c>
      <x:c r="F762" s="2" t="n">
        <x:v>1</x:v>
      </x:c>
      <x:c r="G762" s="14" t="n">
        <x:f>('레벨 계산식'!$E$4-E762)*'레벨 계산식'!$B$5</x:f>
        <x:v>0</x:v>
      </x:c>
      <x:c r="H762" s="14" t="n">
        <x:f>('등급 계산식'!$E$4-F762)*'등급 계산식'!$B$5</x:f>
        <x:v>0.24000000000000005</x:v>
      </x:c>
      <x:c r="I762" s="14" t="n">
        <x:f>1-G762-H762</x:f>
        <x:v>0.76</x:v>
      </x:c>
      <x:c r="J762" s="2" t="n">
        <x:f>MAX(1,ROUND('기준스탯 72종'!D38-R762-Z762,0))</x:f>
        <x:v>5</x:v>
      </x:c>
      <x:c r="K762" s="2" t="n">
        <x:f>MAX(1,ROUND('기준스탯 72종'!E38-S762-AA762,0))</x:f>
        <x:v>7</x:v>
      </x:c>
      <x:c r="L762" s="2" t="n">
        <x:f>MAX(1,ROUND('기준스탯 72종'!F38-T762-AB762,0))</x:f>
        <x:v>7</x:v>
      </x:c>
      <x:c r="M762" s="2" t="n">
        <x:f>MAX(1,ROUND('기준스탯 72종'!G38-U762-AC762,0))</x:f>
        <x:v>5</x:v>
      </x:c>
      <x:c r="N762" s="2" t="n">
        <x:f>MAX(0,ROUND('기준스탯 72종'!H38-V762-AD762,0))</x:f>
        <x:v>2</x:v>
      </x:c>
      <x:c r="O762" s="2" t="n">
        <x:f>MAX(0,ROUND('기준스탯 72종'!I38-W762-AE762,0))</x:f>
        <x:v>2</x:v>
      </x:c>
      <x:c r="P762" s="2" t="n">
        <x:f>MAX(0,ROUND('기준스탯 72종'!J38-X762-AF762,0))</x:f>
        <x:v>4</x:v>
      </x:c>
      <x:c r="Q762" s="2" t="n">
        <x:f>MAX(0,ROUND('기준스탯 72종'!K38-Y762-AG762,0))</x:f>
        <x:v>5</x:v>
      </x:c>
      <x:c r="R762" s="15" t="n">
        <x:f>'기준스탯 72종'!D38*G762</x:f>
        <x:v>0</x:v>
      </x:c>
      <x:c r="S762" s="15" t="n">
        <x:f>'기준스탯 72종'!E38*G762</x:f>
        <x:v>0</x:v>
      </x:c>
      <x:c r="T762" s="15" t="n">
        <x:f>'기준스탯 72종'!F38*G762</x:f>
        <x:v>0</x:v>
      </x:c>
      <x:c r="U762" s="15" t="n">
        <x:f>'기준스탯 72종'!G38*G762</x:f>
        <x:v>0</x:v>
      </x:c>
      <x:c r="V762" s="15" t="n">
        <x:f>'기준스탯 72종'!H38*G762</x:f>
        <x:v>0</x:v>
      </x:c>
      <x:c r="W762" s="15" t="n">
        <x:f>'기준스탯 72종'!I38*G762</x:f>
        <x:v>0</x:v>
      </x:c>
      <x:c r="X762" s="15" t="n">
        <x:f>'기준스탯 72종'!J38*G762</x:f>
        <x:v>0</x:v>
      </x:c>
      <x:c r="Y762" s="15" t="n">
        <x:f>'기준스탯 72종'!K38*G762</x:f>
        <x:v>0</x:v>
      </x:c>
      <x:c r="Z762" s="15" t="n">
        <x:f>'기준스탯 72종'!D38*H762</x:f>
        <x:v>1.4400000000000004</x:v>
      </x:c>
      <x:c r="AA762" s="15" t="n">
        <x:f>'기준스탯 72종'!E38*H762</x:f>
        <x:v>2.1600000000000006</x:v>
      </x:c>
      <x:c r="AB762" s="15" t="n">
        <x:f>'기준스탯 72종'!F38*H762</x:f>
        <x:v>2.1600000000000006</x:v>
      </x:c>
      <x:c r="AC762" s="15" t="n">
        <x:f>'기준스탯 72종'!G38*H762</x:f>
        <x:v>1.4400000000000004</x:v>
      </x:c>
      <x:c r="AD762" s="15" t="n">
        <x:f>'기준스탯 72종'!H38*H762</x:f>
        <x:v>0.4800000000000001</x:v>
      </x:c>
      <x:c r="AE762" s="15" t="n">
        <x:f>'기준스탯 72종'!I38*H762</x:f>
        <x:v>0.7200000000000002</x:v>
      </x:c>
      <x:c r="AF762" s="15" t="n">
        <x:f>'기준스탯 72종'!J38*H762</x:f>
        <x:v>1.2000000000000002</x:v>
      </x:c>
      <x:c r="AG762" s="15" t="n">
        <x:f>'기준스탯 72종'!K38*H762</x:f>
        <x:v>1.4400000000000004</x:v>
      </x:c>
    </x:row>
    <x:row r="763" ht="28" customHeight="1">
      <x:c r="A763" s="2" t="n">
        <x:v>756</x:v>
      </x:c>
      <x:c r="B763" s="2" t="n">
        <x:v>31</x:v>
      </x:c>
      <x:c r="C763" s="2" t="str">
        <x:v>처녀자리</x:v>
      </x:c>
      <x:c r="D763" s="2" t="str">
        <x:v>기사</x:v>
      </x:c>
      <x:c r="E763" s="2" t="n">
        <x:v>1</x:v>
      </x:c>
      <x:c r="F763" s="2" t="n">
        <x:v>2</x:v>
      </x:c>
      <x:c r="G763" s="14" t="n">
        <x:f>('레벨 계산식'!$E$4-E763)*'레벨 계산식'!$B$5</x:f>
        <x:v>0.5599999999999999</x:v>
      </x:c>
      <x:c r="H763" s="14" t="n">
        <x:f>('등급 계산식'!$E$4-F763)*'등급 계산식'!$B$5</x:f>
        <x:v>0.18000000000000005</x:v>
      </x:c>
      <x:c r="I763" s="14" t="n">
        <x:f>1-G763-H763</x:f>
        <x:v>0.26</x:v>
      </x:c>
      <x:c r="J763" s="2" t="n">
        <x:f>MAX(1,ROUND('기준스탯 72종'!D38-R763-Z763,0))</x:f>
        <x:v>2</x:v>
      </x:c>
      <x:c r="K763" s="2" t="n">
        <x:f>MAX(1,ROUND('기준스탯 72종'!E38-S763-AA763,0))</x:f>
        <x:v>2</x:v>
      </x:c>
      <x:c r="L763" s="2" t="n">
        <x:f>MAX(1,ROUND('기준스탯 72종'!F38-T763-AB763,0))</x:f>
        <x:v>2</x:v>
      </x:c>
      <x:c r="M763" s="2" t="n">
        <x:f>MAX(1,ROUND('기준스탯 72종'!G38-U763-AC763,0))</x:f>
        <x:v>2</x:v>
      </x:c>
      <x:c r="N763" s="2" t="n">
        <x:f>MAX(0,ROUND('기준스탯 72종'!H38-V763-AD763,0))</x:f>
        <x:v>1</x:v>
      </x:c>
      <x:c r="O763" s="2" t="n">
        <x:f>MAX(0,ROUND('기준스탯 72종'!I38-W763-AE763,0))</x:f>
        <x:v>1</x:v>
      </x:c>
      <x:c r="P763" s="2" t="n">
        <x:f>MAX(0,ROUND('기준스탯 72종'!J38-X763-AF763,0))</x:f>
        <x:v>1</x:v>
      </x:c>
      <x:c r="Q763" s="2" t="n">
        <x:f>MAX(0,ROUND('기준스탯 72종'!K38-Y763-AG763,0))</x:f>
        <x:v>2</x:v>
      </x:c>
      <x:c r="R763" s="15" t="n">
        <x:f>'기준스탯 72종'!D38*G763</x:f>
        <x:v>3.3599999999999994</x:v>
      </x:c>
      <x:c r="S763" s="15" t="n">
        <x:f>'기준스탯 72종'!E38*G763</x:f>
        <x:v>5.039999999999999</x:v>
      </x:c>
      <x:c r="T763" s="15" t="n">
        <x:f>'기준스탯 72종'!F38*G763</x:f>
        <x:v>5.039999999999999</x:v>
      </x:c>
      <x:c r="U763" s="15" t="n">
        <x:f>'기준스탯 72종'!G38*G763</x:f>
        <x:v>3.3599999999999994</x:v>
      </x:c>
      <x:c r="V763" s="15" t="n">
        <x:f>'기준스탯 72종'!H38*G763</x:f>
        <x:v>1.1199999999999999</x:v>
      </x:c>
      <x:c r="W763" s="15" t="n">
        <x:f>'기준스탯 72종'!I38*G763</x:f>
        <x:v>1.6799999999999997</x:v>
      </x:c>
      <x:c r="X763" s="15" t="n">
        <x:f>'기준스탯 72종'!J38*G763</x:f>
        <x:v>2.8</x:v>
      </x:c>
      <x:c r="Y763" s="15" t="n">
        <x:f>'기준스탯 72종'!K38*G763</x:f>
        <x:v>3.3599999999999994</x:v>
      </x:c>
      <x:c r="Z763" s="15" t="n">
        <x:f>'기준스탯 72종'!D38*H763</x:f>
        <x:v>1.0800000000000003</x:v>
      </x:c>
      <x:c r="AA763" s="15" t="n">
        <x:f>'기준스탯 72종'!E38*H763</x:f>
        <x:v>1.6200000000000006</x:v>
      </x:c>
      <x:c r="AB763" s="15" t="n">
        <x:f>'기준스탯 72종'!F38*H763</x:f>
        <x:v>1.6200000000000006</x:v>
      </x:c>
      <x:c r="AC763" s="15" t="n">
        <x:f>'기준스탯 72종'!G38*H763</x:f>
        <x:v>1.0800000000000003</x:v>
      </x:c>
      <x:c r="AD763" s="15" t="n">
        <x:f>'기준스탯 72종'!H38*H763</x:f>
        <x:v>0.3600000000000001</x:v>
      </x:c>
      <x:c r="AE763" s="15" t="n">
        <x:f>'기준스탯 72종'!I38*H763</x:f>
        <x:v>0.5400000000000001</x:v>
      </x:c>
      <x:c r="AF763" s="15" t="n">
        <x:f>'기준스탯 72종'!J38*H763</x:f>
        <x:v>0.9000000000000002</x:v>
      </x:c>
      <x:c r="AG763" s="15" t="n">
        <x:f>'기준스탯 72종'!K38*H763</x:f>
        <x:v>1.0800000000000003</x:v>
      </x:c>
    </x:row>
    <x:row r="764" ht="28" customHeight="1">
      <x:c r="A764" s="2" t="n">
        <x:v>757</x:v>
      </x:c>
      <x:c r="B764" s="2" t="n">
        <x:v>31</x:v>
      </x:c>
      <x:c r="C764" s="2" t="str">
        <x:v>처녀자리</x:v>
      </x:c>
      <x:c r="D764" s="2" t="str">
        <x:v>기사</x:v>
      </x:c>
      <x:c r="E764" s="2" t="n">
        <x:v>2</x:v>
      </x:c>
      <x:c r="F764" s="2" t="n">
        <x:v>2</x:v>
      </x:c>
      <x:c r="G764" s="14" t="n">
        <x:f>('레벨 계산식'!$E$4-E764)*'레벨 계산식'!$B$5</x:f>
        <x:v>0.41999999999999993</x:v>
      </x:c>
      <x:c r="H764" s="14" t="n">
        <x:f>('등급 계산식'!$E$4-F764)*'등급 계산식'!$B$5</x:f>
        <x:v>0.18000000000000005</x:v>
      </x:c>
      <x:c r="I764" s="14" t="n">
        <x:f>1-G764-H764</x:f>
        <x:v>0.4</x:v>
      </x:c>
      <x:c r="J764" s="2" t="n">
        <x:f>MAX(1,ROUND('기준스탯 72종'!D38-R764-Z764,0))</x:f>
        <x:v>2</x:v>
      </x:c>
      <x:c r="K764" s="2" t="n">
        <x:f>MAX(1,ROUND('기준스탯 72종'!E38-S764-AA764,0))</x:f>
        <x:v>4</x:v>
      </x:c>
      <x:c r="L764" s="2" t="n">
        <x:f>MAX(1,ROUND('기준스탯 72종'!F38-T764-AB764,0))</x:f>
        <x:v>4</x:v>
      </x:c>
      <x:c r="M764" s="2" t="n">
        <x:f>MAX(1,ROUND('기준스탯 72종'!G38-U764-AC764,0))</x:f>
        <x:v>2</x:v>
      </x:c>
      <x:c r="N764" s="2" t="n">
        <x:f>MAX(0,ROUND('기준스탯 72종'!H38-V764-AD764,0))</x:f>
        <x:v>1</x:v>
      </x:c>
      <x:c r="O764" s="2" t="n">
        <x:f>MAX(0,ROUND('기준스탯 72종'!I38-W764-AE764,0))</x:f>
        <x:v>1</x:v>
      </x:c>
      <x:c r="P764" s="2" t="n">
        <x:f>MAX(0,ROUND('기준스탯 72종'!J38-X764-AF764,0))</x:f>
        <x:v>2</x:v>
      </x:c>
      <x:c r="Q764" s="2" t="n">
        <x:f>MAX(0,ROUND('기준스탯 72종'!K38-Y764-AG764,0))</x:f>
        <x:v>2</x:v>
      </x:c>
      <x:c r="R764" s="15" t="n">
        <x:f>'기준스탯 72종'!D38*G764</x:f>
        <x:v>2.5199999999999996</x:v>
      </x:c>
      <x:c r="S764" s="15" t="n">
        <x:f>'기준스탯 72종'!E38*G764</x:f>
        <x:v>3.7799999999999994</x:v>
      </x:c>
      <x:c r="T764" s="15" t="n">
        <x:f>'기준스탯 72종'!F38*G764</x:f>
        <x:v>3.7799999999999994</x:v>
      </x:c>
      <x:c r="U764" s="15" t="n">
        <x:f>'기준스탯 72종'!G38*G764</x:f>
        <x:v>2.5199999999999996</x:v>
      </x:c>
      <x:c r="V764" s="15" t="n">
        <x:f>'기준스탯 72종'!H38*G764</x:f>
        <x:v>0.8399999999999999</x:v>
      </x:c>
      <x:c r="W764" s="15" t="n">
        <x:f>'기준스탯 72종'!I38*G764</x:f>
        <x:v>1.2599999999999998</x:v>
      </x:c>
      <x:c r="X764" s="15" t="n">
        <x:f>'기준스탯 72종'!J38*G764</x:f>
        <x:v>2.0999999999999996</x:v>
      </x:c>
      <x:c r="Y764" s="15" t="n">
        <x:f>'기준스탯 72종'!K38*G764</x:f>
        <x:v>2.5199999999999996</x:v>
      </x:c>
      <x:c r="Z764" s="15" t="n">
        <x:f>'기준스탯 72종'!D38*H764</x:f>
        <x:v>1.0800000000000003</x:v>
      </x:c>
      <x:c r="AA764" s="15" t="n">
        <x:f>'기준스탯 72종'!E38*H764</x:f>
        <x:v>1.6200000000000006</x:v>
      </x:c>
      <x:c r="AB764" s="15" t="n">
        <x:f>'기준스탯 72종'!F38*H764</x:f>
        <x:v>1.6200000000000006</x:v>
      </x:c>
      <x:c r="AC764" s="15" t="n">
        <x:f>'기준스탯 72종'!G38*H764</x:f>
        <x:v>1.0800000000000003</x:v>
      </x:c>
      <x:c r="AD764" s="15" t="n">
        <x:f>'기준스탯 72종'!H38*H764</x:f>
        <x:v>0.3600000000000001</x:v>
      </x:c>
      <x:c r="AE764" s="15" t="n">
        <x:f>'기준스탯 72종'!I38*H764</x:f>
        <x:v>0.5400000000000001</x:v>
      </x:c>
      <x:c r="AF764" s="15" t="n">
        <x:f>'기준스탯 72종'!J38*H764</x:f>
        <x:v>0.9000000000000002</x:v>
      </x:c>
      <x:c r="AG764" s="15" t="n">
        <x:f>'기준스탯 72종'!K38*H764</x:f>
        <x:v>1.0800000000000003</x:v>
      </x:c>
    </x:row>
    <x:row r="765" ht="28" customHeight="1">
      <x:c r="A765" s="2" t="n">
        <x:v>758</x:v>
      </x:c>
      <x:c r="B765" s="2" t="n">
        <x:v>31</x:v>
      </x:c>
      <x:c r="C765" s="2" t="str">
        <x:v>처녀자리</x:v>
      </x:c>
      <x:c r="D765" s="2" t="str">
        <x:v>기사</x:v>
      </x:c>
      <x:c r="E765" s="2" t="n">
        <x:v>3</x:v>
      </x:c>
      <x:c r="F765" s="2" t="n">
        <x:v>2</x:v>
      </x:c>
      <x:c r="G765" s="14" t="n">
        <x:f>('레벨 계산식'!$E$4-E765)*'레벨 계산식'!$B$5</x:f>
        <x:v>0.27999999999999997</x:v>
      </x:c>
      <x:c r="H765" s="14" t="n">
        <x:f>('등급 계산식'!$E$4-F765)*'등급 계산식'!$B$5</x:f>
        <x:v>0.18000000000000005</x:v>
      </x:c>
      <x:c r="I765" s="14" t="n">
        <x:f>1-G765-H765</x:f>
        <x:v>0.5399999999999999</x:v>
      </x:c>
      <x:c r="J765" s="2" t="n">
        <x:f>MAX(1,ROUND('기준스탯 72종'!D38-R765-Z765,0))</x:f>
        <x:v>3</x:v>
      </x:c>
      <x:c r="K765" s="2" t="n">
        <x:f>MAX(1,ROUND('기준스탯 72종'!E38-S765-AA765,0))</x:f>
        <x:v>5</x:v>
      </x:c>
      <x:c r="L765" s="2" t="n">
        <x:f>MAX(1,ROUND('기준스탯 72종'!F38-T765-AB765,0))</x:f>
        <x:v>5</x:v>
      </x:c>
      <x:c r="M765" s="2" t="n">
        <x:f>MAX(1,ROUND('기준스탯 72종'!G38-U765-AC765,0))</x:f>
        <x:v>3</x:v>
      </x:c>
      <x:c r="N765" s="2" t="n">
        <x:f>MAX(0,ROUND('기준스탯 72종'!H38-V765-AD765,0))</x:f>
        <x:v>1</x:v>
      </x:c>
      <x:c r="O765" s="2" t="n">
        <x:f>MAX(0,ROUND('기준스탯 72종'!I38-W765-AE765,0))</x:f>
        <x:v>2</x:v>
      </x:c>
      <x:c r="P765" s="2" t="n">
        <x:f>MAX(0,ROUND('기준스탯 72종'!J38-X765-AF765,0))</x:f>
        <x:v>3</x:v>
      </x:c>
      <x:c r="Q765" s="2" t="n">
        <x:f>MAX(0,ROUND('기준스탯 72종'!K38-Y765-AG765,0))</x:f>
        <x:v>3</x:v>
      </x:c>
      <x:c r="R765" s="15" t="n">
        <x:f>'기준스탯 72종'!D38*G765</x:f>
        <x:v>1.6799999999999997</x:v>
      </x:c>
      <x:c r="S765" s="15" t="n">
        <x:f>'기준스탯 72종'!E38*G765</x:f>
        <x:v>2.5199999999999996</x:v>
      </x:c>
      <x:c r="T765" s="15" t="n">
        <x:f>'기준스탯 72종'!F38*G765</x:f>
        <x:v>2.5199999999999996</x:v>
      </x:c>
      <x:c r="U765" s="15" t="n">
        <x:f>'기준스탯 72종'!G38*G765</x:f>
        <x:v>1.6799999999999997</x:v>
      </x:c>
      <x:c r="V765" s="15" t="n">
        <x:f>'기준스탯 72종'!H38*G765</x:f>
        <x:v>0.5599999999999999</x:v>
      </x:c>
      <x:c r="W765" s="15" t="n">
        <x:f>'기준스탯 72종'!I38*G765</x:f>
        <x:v>0.8399999999999999</x:v>
      </x:c>
      <x:c r="X765" s="15" t="n">
        <x:f>'기준스탯 72종'!J38*G765</x:f>
        <x:v>1.4</x:v>
      </x:c>
      <x:c r="Y765" s="15" t="n">
        <x:f>'기준스탯 72종'!K38*G765</x:f>
        <x:v>1.6799999999999997</x:v>
      </x:c>
      <x:c r="Z765" s="15" t="n">
        <x:f>'기준스탯 72종'!D38*H765</x:f>
        <x:v>1.0800000000000003</x:v>
      </x:c>
      <x:c r="AA765" s="15" t="n">
        <x:f>'기준스탯 72종'!E38*H765</x:f>
        <x:v>1.6200000000000006</x:v>
      </x:c>
      <x:c r="AB765" s="15" t="n">
        <x:f>'기준스탯 72종'!F38*H765</x:f>
        <x:v>1.6200000000000006</x:v>
      </x:c>
      <x:c r="AC765" s="15" t="n">
        <x:f>'기준스탯 72종'!G38*H765</x:f>
        <x:v>1.0800000000000003</x:v>
      </x:c>
      <x:c r="AD765" s="15" t="n">
        <x:f>'기준스탯 72종'!H38*H765</x:f>
        <x:v>0.3600000000000001</x:v>
      </x:c>
      <x:c r="AE765" s="15" t="n">
        <x:f>'기준스탯 72종'!I38*H765</x:f>
        <x:v>0.5400000000000001</x:v>
      </x:c>
      <x:c r="AF765" s="15" t="n">
        <x:f>'기준스탯 72종'!J38*H765</x:f>
        <x:v>0.9000000000000002</x:v>
      </x:c>
      <x:c r="AG765" s="15" t="n">
        <x:f>'기준스탯 72종'!K38*H765</x:f>
        <x:v>1.0800000000000003</x:v>
      </x:c>
    </x:row>
    <x:row r="766" ht="28" customHeight="1">
      <x:c r="A766" s="2" t="n">
        <x:v>759</x:v>
      </x:c>
      <x:c r="B766" s="2" t="n">
        <x:v>31</x:v>
      </x:c>
      <x:c r="C766" s="2" t="str">
        <x:v>처녀자리</x:v>
      </x:c>
      <x:c r="D766" s="2" t="str">
        <x:v>기사</x:v>
      </x:c>
      <x:c r="E766" s="2" t="n">
        <x:v>4</x:v>
      </x:c>
      <x:c r="F766" s="2" t="n">
        <x:v>2</x:v>
      </x:c>
      <x:c r="G766" s="14" t="n">
        <x:f>('레벨 계산식'!$E$4-E766)*'레벨 계산식'!$B$5</x:f>
        <x:v>0.13999999999999999</x:v>
      </x:c>
      <x:c r="H766" s="14" t="n">
        <x:f>('등급 계산식'!$E$4-F766)*'등급 계산식'!$B$5</x:f>
        <x:v>0.18000000000000005</x:v>
      </x:c>
      <x:c r="I766" s="14" t="n">
        <x:f>1-G766-H766</x:f>
        <x:v>0.6799999999999999</x:v>
      </x:c>
      <x:c r="J766" s="2" t="n">
        <x:f>MAX(1,ROUND('기준스탯 72종'!D38-R766-Z766,0))</x:f>
        <x:v>4</x:v>
      </x:c>
      <x:c r="K766" s="2" t="n">
        <x:f>MAX(1,ROUND('기준스탯 72종'!E38-S766-AA766,0))</x:f>
        <x:v>6</x:v>
      </x:c>
      <x:c r="L766" s="2" t="n">
        <x:f>MAX(1,ROUND('기준스탯 72종'!F38-T766-AB766,0))</x:f>
        <x:v>6</x:v>
      </x:c>
      <x:c r="M766" s="2" t="n">
        <x:f>MAX(1,ROUND('기준스탯 72종'!G38-U766-AC766,0))</x:f>
        <x:v>4</x:v>
      </x:c>
      <x:c r="N766" s="2" t="n">
        <x:f>MAX(0,ROUND('기준스탯 72종'!H38-V766-AD766,0))</x:f>
        <x:v>1</x:v>
      </x:c>
      <x:c r="O766" s="2" t="n">
        <x:f>MAX(0,ROUND('기준스탯 72종'!I38-W766-AE766,0))</x:f>
        <x:v>2</x:v>
      </x:c>
      <x:c r="P766" s="2" t="n">
        <x:f>MAX(0,ROUND('기준스탯 72종'!J38-X766-AF766,0))</x:f>
        <x:v>3</x:v>
      </x:c>
      <x:c r="Q766" s="2" t="n">
        <x:f>MAX(0,ROUND('기준스탯 72종'!K38-Y766-AG766,0))</x:f>
        <x:v>4</x:v>
      </x:c>
      <x:c r="R766" s="15" t="n">
        <x:f>'기준스탯 72종'!D38*G766</x:f>
        <x:v>0.8399999999999999</x:v>
      </x:c>
      <x:c r="S766" s="15" t="n">
        <x:f>'기준스탯 72종'!E38*G766</x:f>
        <x:v>1.2599999999999998</x:v>
      </x:c>
      <x:c r="T766" s="15" t="n">
        <x:f>'기준스탯 72종'!F38*G766</x:f>
        <x:v>1.2599999999999998</x:v>
      </x:c>
      <x:c r="U766" s="15" t="n">
        <x:f>'기준스탯 72종'!G38*G766</x:f>
        <x:v>0.8399999999999999</x:v>
      </x:c>
      <x:c r="V766" s="15" t="n">
        <x:f>'기준스탯 72종'!H38*G766</x:f>
        <x:v>0.27999999999999997</x:v>
      </x:c>
      <x:c r="W766" s="15" t="n">
        <x:f>'기준스탯 72종'!I38*G766</x:f>
        <x:v>0.41999999999999993</x:v>
      </x:c>
      <x:c r="X766" s="15" t="n">
        <x:f>'기준스탯 72종'!J38*G766</x:f>
        <x:v>0.7</x:v>
      </x:c>
      <x:c r="Y766" s="15" t="n">
        <x:f>'기준스탯 72종'!K38*G766</x:f>
        <x:v>0.8399999999999999</x:v>
      </x:c>
      <x:c r="Z766" s="15" t="n">
        <x:f>'기준스탯 72종'!D38*H766</x:f>
        <x:v>1.0800000000000003</x:v>
      </x:c>
      <x:c r="AA766" s="15" t="n">
        <x:f>'기준스탯 72종'!E38*H766</x:f>
        <x:v>1.6200000000000006</x:v>
      </x:c>
      <x:c r="AB766" s="15" t="n">
        <x:f>'기준스탯 72종'!F38*H766</x:f>
        <x:v>1.6200000000000006</x:v>
      </x:c>
      <x:c r="AC766" s="15" t="n">
        <x:f>'기준스탯 72종'!G38*H766</x:f>
        <x:v>1.0800000000000003</x:v>
      </x:c>
      <x:c r="AD766" s="15" t="n">
        <x:f>'기준스탯 72종'!H38*H766</x:f>
        <x:v>0.3600000000000001</x:v>
      </x:c>
      <x:c r="AE766" s="15" t="n">
        <x:f>'기준스탯 72종'!I38*H766</x:f>
        <x:v>0.5400000000000001</x:v>
      </x:c>
      <x:c r="AF766" s="15" t="n">
        <x:f>'기준스탯 72종'!J38*H766</x:f>
        <x:v>0.9000000000000002</x:v>
      </x:c>
      <x:c r="AG766" s="15" t="n">
        <x:f>'기준스탯 72종'!K38*H766</x:f>
        <x:v>1.0800000000000003</x:v>
      </x:c>
    </x:row>
    <x:row r="767" ht="28" customHeight="1">
      <x:c r="A767" s="2" t="n">
        <x:v>760</x:v>
      </x:c>
      <x:c r="B767" s="2" t="n">
        <x:v>31</x:v>
      </x:c>
      <x:c r="C767" s="2" t="str">
        <x:v>처녀자리</x:v>
      </x:c>
      <x:c r="D767" s="2" t="str">
        <x:v>기사</x:v>
      </x:c>
      <x:c r="E767" s="2" t="n">
        <x:v>5</x:v>
      </x:c>
      <x:c r="F767" s="2" t="n">
        <x:v>2</x:v>
      </x:c>
      <x:c r="G767" s="14" t="n">
        <x:f>('레벨 계산식'!$E$4-E767)*'레벨 계산식'!$B$5</x:f>
        <x:v>0</x:v>
      </x:c>
      <x:c r="H767" s="14" t="n">
        <x:f>('등급 계산식'!$E$4-F767)*'등급 계산식'!$B$5</x:f>
        <x:v>0.18000000000000005</x:v>
      </x:c>
      <x:c r="I767" s="14" t="n">
        <x:f>1-G767-H767</x:f>
        <x:v>0.82</x:v>
      </x:c>
      <x:c r="J767" s="2" t="n">
        <x:f>MAX(1,ROUND('기준스탯 72종'!D38-R767-Z767,0))</x:f>
        <x:v>5</x:v>
      </x:c>
      <x:c r="K767" s="2" t="n">
        <x:f>MAX(1,ROUND('기준스탯 72종'!E38-S767-AA767,0))</x:f>
        <x:v>7</x:v>
      </x:c>
      <x:c r="L767" s="2" t="n">
        <x:f>MAX(1,ROUND('기준스탯 72종'!F38-T767-AB767,0))</x:f>
        <x:v>7</x:v>
      </x:c>
      <x:c r="M767" s="2" t="n">
        <x:f>MAX(1,ROUND('기준스탯 72종'!G38-U767-AC767,0))</x:f>
        <x:v>5</x:v>
      </x:c>
      <x:c r="N767" s="2" t="n">
        <x:f>MAX(0,ROUND('기준스탯 72종'!H38-V767-AD767,0))</x:f>
        <x:v>2</x:v>
      </x:c>
      <x:c r="O767" s="2" t="n">
        <x:f>MAX(0,ROUND('기준스탯 72종'!I38-W767-AE767,0))</x:f>
        <x:v>2</x:v>
      </x:c>
      <x:c r="P767" s="2" t="n">
        <x:f>MAX(0,ROUND('기준스탯 72종'!J38-X767-AF767,0))</x:f>
        <x:v>4</x:v>
      </x:c>
      <x:c r="Q767" s="2" t="n">
        <x:f>MAX(0,ROUND('기준스탯 72종'!K38-Y767-AG767,0))</x:f>
        <x:v>5</x:v>
      </x:c>
      <x:c r="R767" s="15" t="n">
        <x:f>'기준스탯 72종'!D38*G767</x:f>
        <x:v>0</x:v>
      </x:c>
      <x:c r="S767" s="15" t="n">
        <x:f>'기준스탯 72종'!E38*G767</x:f>
        <x:v>0</x:v>
      </x:c>
      <x:c r="T767" s="15" t="n">
        <x:f>'기준스탯 72종'!F38*G767</x:f>
        <x:v>0</x:v>
      </x:c>
      <x:c r="U767" s="15" t="n">
        <x:f>'기준스탯 72종'!G38*G767</x:f>
        <x:v>0</x:v>
      </x:c>
      <x:c r="V767" s="15" t="n">
        <x:f>'기준스탯 72종'!H38*G767</x:f>
        <x:v>0</x:v>
      </x:c>
      <x:c r="W767" s="15" t="n">
        <x:f>'기준스탯 72종'!I38*G767</x:f>
        <x:v>0</x:v>
      </x:c>
      <x:c r="X767" s="15" t="n">
        <x:f>'기준스탯 72종'!J38*G767</x:f>
        <x:v>0</x:v>
      </x:c>
      <x:c r="Y767" s="15" t="n">
        <x:f>'기준스탯 72종'!K38*G767</x:f>
        <x:v>0</x:v>
      </x:c>
      <x:c r="Z767" s="15" t="n">
        <x:f>'기준스탯 72종'!D38*H767</x:f>
        <x:v>1.0800000000000003</x:v>
      </x:c>
      <x:c r="AA767" s="15" t="n">
        <x:f>'기준스탯 72종'!E38*H767</x:f>
        <x:v>1.6200000000000006</x:v>
      </x:c>
      <x:c r="AB767" s="15" t="n">
        <x:f>'기준스탯 72종'!F38*H767</x:f>
        <x:v>1.6200000000000006</x:v>
      </x:c>
      <x:c r="AC767" s="15" t="n">
        <x:f>'기준스탯 72종'!G38*H767</x:f>
        <x:v>1.0800000000000003</x:v>
      </x:c>
      <x:c r="AD767" s="15" t="n">
        <x:f>'기준스탯 72종'!H38*H767</x:f>
        <x:v>0.3600000000000001</x:v>
      </x:c>
      <x:c r="AE767" s="15" t="n">
        <x:f>'기준스탯 72종'!I38*H767</x:f>
        <x:v>0.5400000000000001</x:v>
      </x:c>
      <x:c r="AF767" s="15" t="n">
        <x:f>'기준스탯 72종'!J38*H767</x:f>
        <x:v>0.9000000000000002</x:v>
      </x:c>
      <x:c r="AG767" s="15" t="n">
        <x:f>'기준스탯 72종'!K38*H767</x:f>
        <x:v>1.0800000000000003</x:v>
      </x:c>
    </x:row>
    <x:row r="768" ht="28" customHeight="1">
      <x:c r="A768" s="2" t="n">
        <x:v>761</x:v>
      </x:c>
      <x:c r="B768" s="2" t="n">
        <x:v>31</x:v>
      </x:c>
      <x:c r="C768" s="2" t="str">
        <x:v>처녀자리</x:v>
      </x:c>
      <x:c r="D768" s="2" t="str">
        <x:v>기사</x:v>
      </x:c>
      <x:c r="E768" s="2" t="n">
        <x:v>1</x:v>
      </x:c>
      <x:c r="F768" s="2" t="n">
        <x:v>3</x:v>
      </x:c>
      <x:c r="G768" s="14" t="n">
        <x:f>('레벨 계산식'!$E$4-E768)*'레벨 계산식'!$B$5</x:f>
        <x:v>0.5599999999999999</x:v>
      </x:c>
      <x:c r="H768" s="14" t="n">
        <x:f>('등급 계산식'!$E$4-F768)*'등급 계산식'!$B$5</x:f>
        <x:v>0.12000000000000002</x:v>
      </x:c>
      <x:c r="I768" s="14" t="n">
        <x:f>1-G768-H768</x:f>
        <x:v>0.32000000000000006</x:v>
      </x:c>
      <x:c r="J768" s="2" t="n">
        <x:f>MAX(1,ROUND('기준스탯 72종'!D38-R768-Z768,0))</x:f>
        <x:v>2</x:v>
      </x:c>
      <x:c r="K768" s="2" t="n">
        <x:f>MAX(1,ROUND('기준스탯 72종'!E38-S768-AA768,0))</x:f>
        <x:v>3</x:v>
      </x:c>
      <x:c r="L768" s="2" t="n">
        <x:f>MAX(1,ROUND('기준스탯 72종'!F38-T768-AB768,0))</x:f>
        <x:v>3</x:v>
      </x:c>
      <x:c r="M768" s="2" t="n">
        <x:f>MAX(1,ROUND('기준스탯 72종'!G38-U768-AC768,0))</x:f>
        <x:v>2</x:v>
      </x:c>
      <x:c r="N768" s="2" t="n">
        <x:f>MAX(0,ROUND('기준스탯 72종'!H38-V768-AD768,0))</x:f>
        <x:v>1</x:v>
      </x:c>
      <x:c r="O768" s="2" t="n">
        <x:f>MAX(0,ROUND('기준스탯 72종'!I38-W768-AE768,0))</x:f>
        <x:v>1</x:v>
      </x:c>
      <x:c r="P768" s="2" t="n">
        <x:f>MAX(0,ROUND('기준스탯 72종'!J38-X768-AF768,0))</x:f>
        <x:v>2</x:v>
      </x:c>
      <x:c r="Q768" s="2" t="n">
        <x:f>MAX(0,ROUND('기준스탯 72종'!K38-Y768-AG768,0))</x:f>
        <x:v>2</x:v>
      </x:c>
      <x:c r="R768" s="15" t="n">
        <x:f>'기준스탯 72종'!D38*G768</x:f>
        <x:v>3.3599999999999994</x:v>
      </x:c>
      <x:c r="S768" s="15" t="n">
        <x:f>'기준스탯 72종'!E38*G768</x:f>
        <x:v>5.039999999999999</x:v>
      </x:c>
      <x:c r="T768" s="15" t="n">
        <x:f>'기준스탯 72종'!F38*G768</x:f>
        <x:v>5.039999999999999</x:v>
      </x:c>
      <x:c r="U768" s="15" t="n">
        <x:f>'기준스탯 72종'!G38*G768</x:f>
        <x:v>3.3599999999999994</x:v>
      </x:c>
      <x:c r="V768" s="15" t="n">
        <x:f>'기준스탯 72종'!H38*G768</x:f>
        <x:v>1.1199999999999999</x:v>
      </x:c>
      <x:c r="W768" s="15" t="n">
        <x:f>'기준스탯 72종'!I38*G768</x:f>
        <x:v>1.6799999999999997</x:v>
      </x:c>
      <x:c r="X768" s="15" t="n">
        <x:f>'기준스탯 72종'!J38*G768</x:f>
        <x:v>2.8</x:v>
      </x:c>
      <x:c r="Y768" s="15" t="n">
        <x:f>'기준스탯 72종'!K38*G768</x:f>
        <x:v>3.3599999999999994</x:v>
      </x:c>
      <x:c r="Z768" s="15" t="n">
        <x:f>'기준스탯 72종'!D38*H768</x:f>
        <x:v>0.7200000000000002</x:v>
      </x:c>
      <x:c r="AA768" s="15" t="n">
        <x:f>'기준스탯 72종'!E38*H768</x:f>
        <x:v>1.0800000000000003</x:v>
      </x:c>
      <x:c r="AB768" s="15" t="n">
        <x:f>'기준스탯 72종'!F38*H768</x:f>
        <x:v>1.0800000000000003</x:v>
      </x:c>
      <x:c r="AC768" s="15" t="n">
        <x:f>'기준스탯 72종'!G38*H768</x:f>
        <x:v>0.7200000000000002</x:v>
      </x:c>
      <x:c r="AD768" s="15" t="n">
        <x:f>'기준스탯 72종'!H38*H768</x:f>
        <x:v>0.24000000000000005</x:v>
      </x:c>
      <x:c r="AE768" s="15" t="n">
        <x:f>'기준스탯 72종'!I38*H768</x:f>
        <x:v>0.3600000000000001</x:v>
      </x:c>
      <x:c r="AF768" s="15" t="n">
        <x:f>'기준스탯 72종'!J38*H768</x:f>
        <x:v>0.6000000000000001</x:v>
      </x:c>
      <x:c r="AG768" s="15" t="n">
        <x:f>'기준스탯 72종'!K38*H768</x:f>
        <x:v>0.7200000000000002</x:v>
      </x:c>
    </x:row>
    <x:row r="769" ht="28" customHeight="1">
      <x:c r="A769" s="2" t="n">
        <x:v>762</x:v>
      </x:c>
      <x:c r="B769" s="2" t="n">
        <x:v>31</x:v>
      </x:c>
      <x:c r="C769" s="2" t="str">
        <x:v>처녀자리</x:v>
      </x:c>
      <x:c r="D769" s="2" t="str">
        <x:v>기사</x:v>
      </x:c>
      <x:c r="E769" s="2" t="n">
        <x:v>2</x:v>
      </x:c>
      <x:c r="F769" s="2" t="n">
        <x:v>3</x:v>
      </x:c>
      <x:c r="G769" s="14" t="n">
        <x:f>('레벨 계산식'!$E$4-E769)*'레벨 계산식'!$B$5</x:f>
        <x:v>0.41999999999999993</x:v>
      </x:c>
      <x:c r="H769" s="14" t="n">
        <x:f>('등급 계산식'!$E$4-F769)*'등급 계산식'!$B$5</x:f>
        <x:v>0.12000000000000002</x:v>
      </x:c>
      <x:c r="I769" s="14" t="n">
        <x:f>1-G769-H769</x:f>
        <x:v>0.4600000000000001</x:v>
      </x:c>
      <x:c r="J769" s="2" t="n">
        <x:f>MAX(1,ROUND('기준스탯 72종'!D38-R769-Z769,0))</x:f>
        <x:v>3</x:v>
      </x:c>
      <x:c r="K769" s="2" t="n">
        <x:f>MAX(1,ROUND('기준스탯 72종'!E38-S769-AA769,0))</x:f>
        <x:v>4</x:v>
      </x:c>
      <x:c r="L769" s="2" t="n">
        <x:f>MAX(1,ROUND('기준스탯 72종'!F38-T769-AB769,0))</x:f>
        <x:v>4</x:v>
      </x:c>
      <x:c r="M769" s="2" t="n">
        <x:f>MAX(1,ROUND('기준스탯 72종'!G38-U769-AC769,0))</x:f>
        <x:v>3</x:v>
      </x:c>
      <x:c r="N769" s="2" t="n">
        <x:f>MAX(0,ROUND('기준스탯 72종'!H38-V769-AD769,0))</x:f>
        <x:v>1</x:v>
      </x:c>
      <x:c r="O769" s="2" t="n">
        <x:f>MAX(0,ROUND('기준스탯 72종'!I38-W769-AE769,0))</x:f>
        <x:v>1</x:v>
      </x:c>
      <x:c r="P769" s="2" t="n">
        <x:f>MAX(0,ROUND('기준스탯 72종'!J38-X769-AF769,0))</x:f>
        <x:v>2</x:v>
      </x:c>
      <x:c r="Q769" s="2" t="n">
        <x:f>MAX(0,ROUND('기준스탯 72종'!K38-Y769-AG769,0))</x:f>
        <x:v>3</x:v>
      </x:c>
      <x:c r="R769" s="15" t="n">
        <x:f>'기준스탯 72종'!D38*G769</x:f>
        <x:v>2.5199999999999996</x:v>
      </x:c>
      <x:c r="S769" s="15" t="n">
        <x:f>'기준스탯 72종'!E38*G769</x:f>
        <x:v>3.7799999999999994</x:v>
      </x:c>
      <x:c r="T769" s="15" t="n">
        <x:f>'기준스탯 72종'!F38*G769</x:f>
        <x:v>3.7799999999999994</x:v>
      </x:c>
      <x:c r="U769" s="15" t="n">
        <x:f>'기준스탯 72종'!G38*G769</x:f>
        <x:v>2.5199999999999996</x:v>
      </x:c>
      <x:c r="V769" s="15" t="n">
        <x:f>'기준스탯 72종'!H38*G769</x:f>
        <x:v>0.8399999999999999</x:v>
      </x:c>
      <x:c r="W769" s="15" t="n">
        <x:f>'기준스탯 72종'!I38*G769</x:f>
        <x:v>1.2599999999999998</x:v>
      </x:c>
      <x:c r="X769" s="15" t="n">
        <x:f>'기준스탯 72종'!J38*G769</x:f>
        <x:v>2.0999999999999996</x:v>
      </x:c>
      <x:c r="Y769" s="15" t="n">
        <x:f>'기준스탯 72종'!K38*G769</x:f>
        <x:v>2.5199999999999996</x:v>
      </x:c>
      <x:c r="Z769" s="15" t="n">
        <x:f>'기준스탯 72종'!D38*H769</x:f>
        <x:v>0.7200000000000002</x:v>
      </x:c>
      <x:c r="AA769" s="15" t="n">
        <x:f>'기준스탯 72종'!E38*H769</x:f>
        <x:v>1.0800000000000003</x:v>
      </x:c>
      <x:c r="AB769" s="15" t="n">
        <x:f>'기준스탯 72종'!F38*H769</x:f>
        <x:v>1.0800000000000003</x:v>
      </x:c>
      <x:c r="AC769" s="15" t="n">
        <x:f>'기준스탯 72종'!G38*H769</x:f>
        <x:v>0.7200000000000002</x:v>
      </x:c>
      <x:c r="AD769" s="15" t="n">
        <x:f>'기준스탯 72종'!H38*H769</x:f>
        <x:v>0.24000000000000005</x:v>
      </x:c>
      <x:c r="AE769" s="15" t="n">
        <x:f>'기준스탯 72종'!I38*H769</x:f>
        <x:v>0.3600000000000001</x:v>
      </x:c>
      <x:c r="AF769" s="15" t="n">
        <x:f>'기준스탯 72종'!J38*H769</x:f>
        <x:v>0.6000000000000001</x:v>
      </x:c>
      <x:c r="AG769" s="15" t="n">
        <x:f>'기준스탯 72종'!K38*H769</x:f>
        <x:v>0.7200000000000002</x:v>
      </x:c>
    </x:row>
    <x:row r="770" ht="28" customHeight="1">
      <x:c r="A770" s="2" t="n">
        <x:v>763</x:v>
      </x:c>
      <x:c r="B770" s="2" t="n">
        <x:v>31</x:v>
      </x:c>
      <x:c r="C770" s="2" t="str">
        <x:v>처녀자리</x:v>
      </x:c>
      <x:c r="D770" s="2" t="str">
        <x:v>기사</x:v>
      </x:c>
      <x:c r="E770" s="2" t="n">
        <x:v>3</x:v>
      </x:c>
      <x:c r="F770" s="2" t="n">
        <x:v>3</x:v>
      </x:c>
      <x:c r="G770" s="14" t="n">
        <x:f>('레벨 계산식'!$E$4-E770)*'레벨 계산식'!$B$5</x:f>
        <x:v>0.27999999999999997</x:v>
      </x:c>
      <x:c r="H770" s="14" t="n">
        <x:f>('등급 계산식'!$E$4-F770)*'등급 계산식'!$B$5</x:f>
        <x:v>0.12000000000000002</x:v>
      </x:c>
      <x:c r="I770" s="14" t="n">
        <x:f>1-G770-H770</x:f>
        <x:v>0.6</x:v>
      </x:c>
      <x:c r="J770" s="2" t="n">
        <x:f>MAX(1,ROUND('기준스탯 72종'!D38-R770-Z770,0))</x:f>
        <x:v>4</x:v>
      </x:c>
      <x:c r="K770" s="2" t="n">
        <x:f>MAX(1,ROUND('기준스탯 72종'!E38-S770-AA770,0))</x:f>
        <x:v>5</x:v>
      </x:c>
      <x:c r="L770" s="2" t="n">
        <x:f>MAX(1,ROUND('기준스탯 72종'!F38-T770-AB770,0))</x:f>
        <x:v>5</x:v>
      </x:c>
      <x:c r="M770" s="2" t="n">
        <x:f>MAX(1,ROUND('기준스탯 72종'!G38-U770-AC770,0))</x:f>
        <x:v>4</x:v>
      </x:c>
      <x:c r="N770" s="2" t="n">
        <x:f>MAX(0,ROUND('기준스탯 72종'!H38-V770-AD770,0))</x:f>
        <x:v>1</x:v>
      </x:c>
      <x:c r="O770" s="2" t="n">
        <x:f>MAX(0,ROUND('기준스탯 72종'!I38-W770-AE770,0))</x:f>
        <x:v>2</x:v>
      </x:c>
      <x:c r="P770" s="2" t="n">
        <x:f>MAX(0,ROUND('기준스탯 72종'!J38-X770-AF770,0))</x:f>
        <x:v>3</x:v>
      </x:c>
      <x:c r="Q770" s="2" t="n">
        <x:f>MAX(0,ROUND('기준스탯 72종'!K38-Y770-AG770,0))</x:f>
        <x:v>4</x:v>
      </x:c>
      <x:c r="R770" s="15" t="n">
        <x:f>'기준스탯 72종'!D38*G770</x:f>
        <x:v>1.6799999999999997</x:v>
      </x:c>
      <x:c r="S770" s="15" t="n">
        <x:f>'기준스탯 72종'!E38*G770</x:f>
        <x:v>2.5199999999999996</x:v>
      </x:c>
      <x:c r="T770" s="15" t="n">
        <x:f>'기준스탯 72종'!F38*G770</x:f>
        <x:v>2.5199999999999996</x:v>
      </x:c>
      <x:c r="U770" s="15" t="n">
        <x:f>'기준스탯 72종'!G38*G770</x:f>
        <x:v>1.6799999999999997</x:v>
      </x:c>
      <x:c r="V770" s="15" t="n">
        <x:f>'기준스탯 72종'!H38*G770</x:f>
        <x:v>0.5599999999999999</x:v>
      </x:c>
      <x:c r="W770" s="15" t="n">
        <x:f>'기준스탯 72종'!I38*G770</x:f>
        <x:v>0.8399999999999999</x:v>
      </x:c>
      <x:c r="X770" s="15" t="n">
        <x:f>'기준스탯 72종'!J38*G770</x:f>
        <x:v>1.4</x:v>
      </x:c>
      <x:c r="Y770" s="15" t="n">
        <x:f>'기준스탯 72종'!K38*G770</x:f>
        <x:v>1.6799999999999997</x:v>
      </x:c>
      <x:c r="Z770" s="15" t="n">
        <x:f>'기준스탯 72종'!D38*H770</x:f>
        <x:v>0.7200000000000002</x:v>
      </x:c>
      <x:c r="AA770" s="15" t="n">
        <x:f>'기준스탯 72종'!E38*H770</x:f>
        <x:v>1.0800000000000003</x:v>
      </x:c>
      <x:c r="AB770" s="15" t="n">
        <x:f>'기준스탯 72종'!F38*H770</x:f>
        <x:v>1.0800000000000003</x:v>
      </x:c>
      <x:c r="AC770" s="15" t="n">
        <x:f>'기준스탯 72종'!G38*H770</x:f>
        <x:v>0.7200000000000002</x:v>
      </x:c>
      <x:c r="AD770" s="15" t="n">
        <x:f>'기준스탯 72종'!H38*H770</x:f>
        <x:v>0.24000000000000005</x:v>
      </x:c>
      <x:c r="AE770" s="15" t="n">
        <x:f>'기준스탯 72종'!I38*H770</x:f>
        <x:v>0.3600000000000001</x:v>
      </x:c>
      <x:c r="AF770" s="15" t="n">
        <x:f>'기준스탯 72종'!J38*H770</x:f>
        <x:v>0.6000000000000001</x:v>
      </x:c>
      <x:c r="AG770" s="15" t="n">
        <x:f>'기준스탯 72종'!K38*H770</x:f>
        <x:v>0.7200000000000002</x:v>
      </x:c>
    </x:row>
    <x:row r="771" ht="28" customHeight="1">
      <x:c r="A771" s="2" t="n">
        <x:v>764</x:v>
      </x:c>
      <x:c r="B771" s="2" t="n">
        <x:v>31</x:v>
      </x:c>
      <x:c r="C771" s="2" t="str">
        <x:v>처녀자리</x:v>
      </x:c>
      <x:c r="D771" s="2" t="str">
        <x:v>기사</x:v>
      </x:c>
      <x:c r="E771" s="2" t="n">
        <x:v>4</x:v>
      </x:c>
      <x:c r="F771" s="2" t="n">
        <x:v>3</x:v>
      </x:c>
      <x:c r="G771" s="14" t="n">
        <x:f>('레벨 계산식'!$E$4-E771)*'레벨 계산식'!$B$5</x:f>
        <x:v>0.13999999999999999</x:v>
      </x:c>
      <x:c r="H771" s="14" t="n">
        <x:f>('등급 계산식'!$E$4-F771)*'등급 계산식'!$B$5</x:f>
        <x:v>0.12000000000000002</x:v>
      </x:c>
      <x:c r="I771" s="14" t="n">
        <x:f>1-G771-H771</x:f>
        <x:v>0.74</x:v>
      </x:c>
      <x:c r="J771" s="2" t="n">
        <x:f>MAX(1,ROUND('기준스탯 72종'!D38-R771-Z771,0))</x:f>
        <x:v>4</x:v>
      </x:c>
      <x:c r="K771" s="2" t="n">
        <x:f>MAX(1,ROUND('기준스탯 72종'!E38-S771-AA771,0))</x:f>
        <x:v>7</x:v>
      </x:c>
      <x:c r="L771" s="2" t="n">
        <x:f>MAX(1,ROUND('기준스탯 72종'!F38-T771-AB771,0))</x:f>
        <x:v>7</x:v>
      </x:c>
      <x:c r="M771" s="2" t="n">
        <x:f>MAX(1,ROUND('기준스탯 72종'!G38-U771-AC771,0))</x:f>
        <x:v>4</x:v>
      </x:c>
      <x:c r="N771" s="2" t="n">
        <x:f>MAX(0,ROUND('기준스탯 72종'!H38-V771-AD771,0))</x:f>
        <x:v>1</x:v>
      </x:c>
      <x:c r="O771" s="2" t="n">
        <x:f>MAX(0,ROUND('기준스탯 72종'!I38-W771-AE771,0))</x:f>
        <x:v>2</x:v>
      </x:c>
      <x:c r="P771" s="2" t="n">
        <x:f>MAX(0,ROUND('기준스탯 72종'!J38-X771-AF771,0))</x:f>
        <x:v>4</x:v>
      </x:c>
      <x:c r="Q771" s="2" t="n">
        <x:f>MAX(0,ROUND('기준스탯 72종'!K38-Y771-AG771,0))</x:f>
        <x:v>4</x:v>
      </x:c>
      <x:c r="R771" s="15" t="n">
        <x:f>'기준스탯 72종'!D38*G771</x:f>
        <x:v>0.8399999999999999</x:v>
      </x:c>
      <x:c r="S771" s="15" t="n">
        <x:f>'기준스탯 72종'!E38*G771</x:f>
        <x:v>1.2599999999999998</x:v>
      </x:c>
      <x:c r="T771" s="15" t="n">
        <x:f>'기준스탯 72종'!F38*G771</x:f>
        <x:v>1.2599999999999998</x:v>
      </x:c>
      <x:c r="U771" s="15" t="n">
        <x:f>'기준스탯 72종'!G38*G771</x:f>
        <x:v>0.8399999999999999</x:v>
      </x:c>
      <x:c r="V771" s="15" t="n">
        <x:f>'기준스탯 72종'!H38*G771</x:f>
        <x:v>0.27999999999999997</x:v>
      </x:c>
      <x:c r="W771" s="15" t="n">
        <x:f>'기준스탯 72종'!I38*G771</x:f>
        <x:v>0.41999999999999993</x:v>
      </x:c>
      <x:c r="X771" s="15" t="n">
        <x:f>'기준스탯 72종'!J38*G771</x:f>
        <x:v>0.7</x:v>
      </x:c>
      <x:c r="Y771" s="15" t="n">
        <x:f>'기준스탯 72종'!K38*G771</x:f>
        <x:v>0.8399999999999999</x:v>
      </x:c>
      <x:c r="Z771" s="15" t="n">
        <x:f>'기준스탯 72종'!D38*H771</x:f>
        <x:v>0.7200000000000002</x:v>
      </x:c>
      <x:c r="AA771" s="15" t="n">
        <x:f>'기준스탯 72종'!E38*H771</x:f>
        <x:v>1.0800000000000003</x:v>
      </x:c>
      <x:c r="AB771" s="15" t="n">
        <x:f>'기준스탯 72종'!F38*H771</x:f>
        <x:v>1.0800000000000003</x:v>
      </x:c>
      <x:c r="AC771" s="15" t="n">
        <x:f>'기준스탯 72종'!G38*H771</x:f>
        <x:v>0.7200000000000002</x:v>
      </x:c>
      <x:c r="AD771" s="15" t="n">
        <x:f>'기준스탯 72종'!H38*H771</x:f>
        <x:v>0.24000000000000005</x:v>
      </x:c>
      <x:c r="AE771" s="15" t="n">
        <x:f>'기준스탯 72종'!I38*H771</x:f>
        <x:v>0.3600000000000001</x:v>
      </x:c>
      <x:c r="AF771" s="15" t="n">
        <x:f>'기준스탯 72종'!J38*H771</x:f>
        <x:v>0.6000000000000001</x:v>
      </x:c>
      <x:c r="AG771" s="15" t="n">
        <x:f>'기준스탯 72종'!K38*H771</x:f>
        <x:v>0.7200000000000002</x:v>
      </x:c>
    </x:row>
    <x:row r="772" ht="28" customHeight="1">
      <x:c r="A772" s="2" t="n">
        <x:v>765</x:v>
      </x:c>
      <x:c r="B772" s="2" t="n">
        <x:v>31</x:v>
      </x:c>
      <x:c r="C772" s="2" t="str">
        <x:v>처녀자리</x:v>
      </x:c>
      <x:c r="D772" s="2" t="str">
        <x:v>기사</x:v>
      </x:c>
      <x:c r="E772" s="2" t="n">
        <x:v>5</x:v>
      </x:c>
      <x:c r="F772" s="2" t="n">
        <x:v>3</x:v>
      </x:c>
      <x:c r="G772" s="14" t="n">
        <x:f>('레벨 계산식'!$E$4-E772)*'레벨 계산식'!$B$5</x:f>
        <x:v>0</x:v>
      </x:c>
      <x:c r="H772" s="14" t="n">
        <x:f>('등급 계산식'!$E$4-F772)*'등급 계산식'!$B$5</x:f>
        <x:v>0.12000000000000002</x:v>
      </x:c>
      <x:c r="I772" s="14" t="n">
        <x:f>1-G772-H772</x:f>
        <x:v>0.88</x:v>
      </x:c>
      <x:c r="J772" s="2" t="n">
        <x:f>MAX(1,ROUND('기준스탯 72종'!D38-R772-Z772,0))</x:f>
        <x:v>5</x:v>
      </x:c>
      <x:c r="K772" s="2" t="n">
        <x:f>MAX(1,ROUND('기준스탯 72종'!E38-S772-AA772,0))</x:f>
        <x:v>8</x:v>
      </x:c>
      <x:c r="L772" s="2" t="n">
        <x:f>MAX(1,ROUND('기준스탯 72종'!F38-T772-AB772,0))</x:f>
        <x:v>8</x:v>
      </x:c>
      <x:c r="M772" s="2" t="n">
        <x:f>MAX(1,ROUND('기준스탯 72종'!G38-U772-AC772,0))</x:f>
        <x:v>5</x:v>
      </x:c>
      <x:c r="N772" s="2" t="n">
        <x:f>MAX(0,ROUND('기준스탯 72종'!H38-V772-AD772,0))</x:f>
        <x:v>2</x:v>
      </x:c>
      <x:c r="O772" s="2" t="n">
        <x:f>MAX(0,ROUND('기준스탯 72종'!I38-W772-AE772,0))</x:f>
        <x:v>3</x:v>
      </x:c>
      <x:c r="P772" s="2" t="n">
        <x:f>MAX(0,ROUND('기준스탯 72종'!J38-X772-AF772,0))</x:f>
        <x:v>4</x:v>
      </x:c>
      <x:c r="Q772" s="2" t="n">
        <x:f>MAX(0,ROUND('기준스탯 72종'!K38-Y772-AG772,0))</x:f>
        <x:v>5</x:v>
      </x:c>
      <x:c r="R772" s="15" t="n">
        <x:f>'기준스탯 72종'!D38*G772</x:f>
        <x:v>0</x:v>
      </x:c>
      <x:c r="S772" s="15" t="n">
        <x:f>'기준스탯 72종'!E38*G772</x:f>
        <x:v>0</x:v>
      </x:c>
      <x:c r="T772" s="15" t="n">
        <x:f>'기준스탯 72종'!F38*G772</x:f>
        <x:v>0</x:v>
      </x:c>
      <x:c r="U772" s="15" t="n">
        <x:f>'기준스탯 72종'!G38*G772</x:f>
        <x:v>0</x:v>
      </x:c>
      <x:c r="V772" s="15" t="n">
        <x:f>'기준스탯 72종'!H38*G772</x:f>
        <x:v>0</x:v>
      </x:c>
      <x:c r="W772" s="15" t="n">
        <x:f>'기준스탯 72종'!I38*G772</x:f>
        <x:v>0</x:v>
      </x:c>
      <x:c r="X772" s="15" t="n">
        <x:f>'기준스탯 72종'!J38*G772</x:f>
        <x:v>0</x:v>
      </x:c>
      <x:c r="Y772" s="15" t="n">
        <x:f>'기준스탯 72종'!K38*G772</x:f>
        <x:v>0</x:v>
      </x:c>
      <x:c r="Z772" s="15" t="n">
        <x:f>'기준스탯 72종'!D38*H772</x:f>
        <x:v>0.7200000000000002</x:v>
      </x:c>
      <x:c r="AA772" s="15" t="n">
        <x:f>'기준스탯 72종'!E38*H772</x:f>
        <x:v>1.0800000000000003</x:v>
      </x:c>
      <x:c r="AB772" s="15" t="n">
        <x:f>'기준스탯 72종'!F38*H772</x:f>
        <x:v>1.0800000000000003</x:v>
      </x:c>
      <x:c r="AC772" s="15" t="n">
        <x:f>'기준스탯 72종'!G38*H772</x:f>
        <x:v>0.7200000000000002</x:v>
      </x:c>
      <x:c r="AD772" s="15" t="n">
        <x:f>'기준스탯 72종'!H38*H772</x:f>
        <x:v>0.24000000000000005</x:v>
      </x:c>
      <x:c r="AE772" s="15" t="n">
        <x:f>'기준스탯 72종'!I38*H772</x:f>
        <x:v>0.3600000000000001</x:v>
      </x:c>
      <x:c r="AF772" s="15" t="n">
        <x:f>'기준스탯 72종'!J38*H772</x:f>
        <x:v>0.6000000000000001</x:v>
      </x:c>
      <x:c r="AG772" s="15" t="n">
        <x:f>'기준스탯 72종'!K38*H772</x:f>
        <x:v>0.7200000000000002</x:v>
      </x:c>
    </x:row>
    <x:row r="773" ht="28" customHeight="1">
      <x:c r="A773" s="2" t="n">
        <x:v>766</x:v>
      </x:c>
      <x:c r="B773" s="2" t="n">
        <x:v>31</x:v>
      </x:c>
      <x:c r="C773" s="2" t="str">
        <x:v>처녀자리</x:v>
      </x:c>
      <x:c r="D773" s="2" t="str">
        <x:v>기사</x:v>
      </x:c>
      <x:c r="E773" s="2" t="n">
        <x:v>1</x:v>
      </x:c>
      <x:c r="F773" s="2" t="n">
        <x:v>4</x:v>
      </x:c>
      <x:c r="G773" s="14" t="n">
        <x:f>('레벨 계산식'!$E$4-E773)*'레벨 계산식'!$B$5</x:f>
        <x:v>0.5599999999999999</x:v>
      </x:c>
      <x:c r="H773" s="14" t="n">
        <x:f>('등급 계산식'!$E$4-F773)*'등급 계산식'!$B$5</x:f>
        <x:v>0.06000000000000001</x:v>
      </x:c>
      <x:c r="I773" s="14" t="n">
        <x:f>1-G773-H773</x:f>
        <x:v>0.38000000000000006</x:v>
      </x:c>
      <x:c r="J773" s="2" t="n">
        <x:f>MAX(1,ROUND('기준스탯 72종'!D38-R773-Z773,0))</x:f>
        <x:v>2</x:v>
      </x:c>
      <x:c r="K773" s="2" t="n">
        <x:f>MAX(1,ROUND('기준스탯 72종'!E38-S773-AA773,0))</x:f>
        <x:v>3</x:v>
      </x:c>
      <x:c r="L773" s="2" t="n">
        <x:f>MAX(1,ROUND('기준스탯 72종'!F38-T773-AB773,0))</x:f>
        <x:v>3</x:v>
      </x:c>
      <x:c r="M773" s="2" t="n">
        <x:f>MAX(1,ROUND('기준스탯 72종'!G38-U773-AC773,0))</x:f>
        <x:v>2</x:v>
      </x:c>
      <x:c r="N773" s="2" t="n">
        <x:f>MAX(0,ROUND('기준스탯 72종'!H38-V773-AD773,0))</x:f>
        <x:v>1</x:v>
      </x:c>
      <x:c r="O773" s="2" t="n">
        <x:f>MAX(0,ROUND('기준스탯 72종'!I38-W773-AE773,0))</x:f>
        <x:v>1</x:v>
      </x:c>
      <x:c r="P773" s="2" t="n">
        <x:f>MAX(0,ROUND('기준스탯 72종'!J38-X773-AF773,0))</x:f>
        <x:v>2</x:v>
      </x:c>
      <x:c r="Q773" s="2" t="n">
        <x:f>MAX(0,ROUND('기준스탯 72종'!K38-Y773-AG773,0))</x:f>
        <x:v>2</x:v>
      </x:c>
      <x:c r="R773" s="15" t="n">
        <x:f>'기준스탯 72종'!D38*G773</x:f>
        <x:v>3.3599999999999994</x:v>
      </x:c>
      <x:c r="S773" s="15" t="n">
        <x:f>'기준스탯 72종'!E38*G773</x:f>
        <x:v>5.039999999999999</x:v>
      </x:c>
      <x:c r="T773" s="15" t="n">
        <x:f>'기준스탯 72종'!F38*G773</x:f>
        <x:v>5.039999999999999</x:v>
      </x:c>
      <x:c r="U773" s="15" t="n">
        <x:f>'기준스탯 72종'!G38*G773</x:f>
        <x:v>3.3599999999999994</x:v>
      </x:c>
      <x:c r="V773" s="15" t="n">
        <x:f>'기준스탯 72종'!H38*G773</x:f>
        <x:v>1.1199999999999999</x:v>
      </x:c>
      <x:c r="W773" s="15" t="n">
        <x:f>'기준스탯 72종'!I38*G773</x:f>
        <x:v>1.6799999999999997</x:v>
      </x:c>
      <x:c r="X773" s="15" t="n">
        <x:f>'기준스탯 72종'!J38*G773</x:f>
        <x:v>2.8</x:v>
      </x:c>
      <x:c r="Y773" s="15" t="n">
        <x:f>'기준스탯 72종'!K38*G773</x:f>
        <x:v>3.3599999999999994</x:v>
      </x:c>
      <x:c r="Z773" s="15" t="n">
        <x:f>'기준스탯 72종'!D38*H773</x:f>
        <x:v>0.3600000000000001</x:v>
      </x:c>
      <x:c r="AA773" s="15" t="n">
        <x:f>'기준스탯 72종'!E38*H773</x:f>
        <x:v>0.5400000000000001</x:v>
      </x:c>
      <x:c r="AB773" s="15" t="n">
        <x:f>'기준스탯 72종'!F38*H773</x:f>
        <x:v>0.5400000000000001</x:v>
      </x:c>
      <x:c r="AC773" s="15" t="n">
        <x:f>'기준스탯 72종'!G38*H773</x:f>
        <x:v>0.3600000000000001</x:v>
      </x:c>
      <x:c r="AD773" s="15" t="n">
        <x:f>'기준스탯 72종'!H38*H773</x:f>
        <x:v>0.12000000000000002</x:v>
      </x:c>
      <x:c r="AE773" s="15" t="n">
        <x:f>'기준스탯 72종'!I38*H773</x:f>
        <x:v>0.18000000000000005</x:v>
      </x:c>
      <x:c r="AF773" s="15" t="n">
        <x:f>'기준스탯 72종'!J38*H773</x:f>
        <x:v>0.30000000000000004</x:v>
      </x:c>
      <x:c r="AG773" s="15" t="n">
        <x:f>'기준스탯 72종'!K38*H773</x:f>
        <x:v>0.3600000000000001</x:v>
      </x:c>
    </x:row>
    <x:row r="774" ht="28" customHeight="1">
      <x:c r="A774" s="2" t="n">
        <x:v>767</x:v>
      </x:c>
      <x:c r="B774" s="2" t="n">
        <x:v>31</x:v>
      </x:c>
      <x:c r="C774" s="2" t="str">
        <x:v>처녀자리</x:v>
      </x:c>
      <x:c r="D774" s="2" t="str">
        <x:v>기사</x:v>
      </x:c>
      <x:c r="E774" s="2" t="n">
        <x:v>2</x:v>
      </x:c>
      <x:c r="F774" s="2" t="n">
        <x:v>4</x:v>
      </x:c>
      <x:c r="G774" s="14" t="n">
        <x:f>('레벨 계산식'!$E$4-E774)*'레벨 계산식'!$B$5</x:f>
        <x:v>0.41999999999999993</x:v>
      </x:c>
      <x:c r="H774" s="14" t="n">
        <x:f>('등급 계산식'!$E$4-F774)*'등급 계산식'!$B$5</x:f>
        <x:v>0.06000000000000001</x:v>
      </x:c>
      <x:c r="I774" s="14" t="n">
        <x:f>1-G774-H774</x:f>
        <x:v>0.52</x:v>
      </x:c>
      <x:c r="J774" s="2" t="n">
        <x:f>MAX(1,ROUND('기준스탯 72종'!D38-R774-Z774,0))</x:f>
        <x:v>3</x:v>
      </x:c>
      <x:c r="K774" s="2" t="n">
        <x:f>MAX(1,ROUND('기준스탯 72종'!E38-S774-AA774,0))</x:f>
        <x:v>5</x:v>
      </x:c>
      <x:c r="L774" s="2" t="n">
        <x:f>MAX(1,ROUND('기준스탯 72종'!F38-T774-AB774,0))</x:f>
        <x:v>5</x:v>
      </x:c>
      <x:c r="M774" s="2" t="n">
        <x:f>MAX(1,ROUND('기준스탯 72종'!G38-U774-AC774,0))</x:f>
        <x:v>3</x:v>
      </x:c>
      <x:c r="N774" s="2" t="n">
        <x:f>MAX(0,ROUND('기준스탯 72종'!H38-V774-AD774,0))</x:f>
        <x:v>1</x:v>
      </x:c>
      <x:c r="O774" s="2" t="n">
        <x:f>MAX(0,ROUND('기준스탯 72종'!I38-W774-AE774,0))</x:f>
        <x:v>2</x:v>
      </x:c>
      <x:c r="P774" s="2" t="n">
        <x:f>MAX(0,ROUND('기준스탯 72종'!J38-X774-AF774,0))</x:f>
        <x:v>3</x:v>
      </x:c>
      <x:c r="Q774" s="2" t="n">
        <x:f>MAX(0,ROUND('기준스탯 72종'!K38-Y774-AG774,0))</x:f>
        <x:v>3</x:v>
      </x:c>
      <x:c r="R774" s="15" t="n">
        <x:f>'기준스탯 72종'!D38*G774</x:f>
        <x:v>2.5199999999999996</x:v>
      </x:c>
      <x:c r="S774" s="15" t="n">
        <x:f>'기준스탯 72종'!E38*G774</x:f>
        <x:v>3.7799999999999994</x:v>
      </x:c>
      <x:c r="T774" s="15" t="n">
        <x:f>'기준스탯 72종'!F38*G774</x:f>
        <x:v>3.7799999999999994</x:v>
      </x:c>
      <x:c r="U774" s="15" t="n">
        <x:f>'기준스탯 72종'!G38*G774</x:f>
        <x:v>2.5199999999999996</x:v>
      </x:c>
      <x:c r="V774" s="15" t="n">
        <x:f>'기준스탯 72종'!H38*G774</x:f>
        <x:v>0.8399999999999999</x:v>
      </x:c>
      <x:c r="W774" s="15" t="n">
        <x:f>'기준스탯 72종'!I38*G774</x:f>
        <x:v>1.2599999999999998</x:v>
      </x:c>
      <x:c r="X774" s="15" t="n">
        <x:f>'기준스탯 72종'!J38*G774</x:f>
        <x:v>2.0999999999999996</x:v>
      </x:c>
      <x:c r="Y774" s="15" t="n">
        <x:f>'기준스탯 72종'!K38*G774</x:f>
        <x:v>2.5199999999999996</x:v>
      </x:c>
      <x:c r="Z774" s="15" t="n">
        <x:f>'기준스탯 72종'!D38*H774</x:f>
        <x:v>0.3600000000000001</x:v>
      </x:c>
      <x:c r="AA774" s="15" t="n">
        <x:f>'기준스탯 72종'!E38*H774</x:f>
        <x:v>0.5400000000000001</x:v>
      </x:c>
      <x:c r="AB774" s="15" t="n">
        <x:f>'기준스탯 72종'!F38*H774</x:f>
        <x:v>0.5400000000000001</x:v>
      </x:c>
      <x:c r="AC774" s="15" t="n">
        <x:f>'기준스탯 72종'!G38*H774</x:f>
        <x:v>0.3600000000000001</x:v>
      </x:c>
      <x:c r="AD774" s="15" t="n">
        <x:f>'기준스탯 72종'!H38*H774</x:f>
        <x:v>0.12000000000000002</x:v>
      </x:c>
      <x:c r="AE774" s="15" t="n">
        <x:f>'기준스탯 72종'!I38*H774</x:f>
        <x:v>0.18000000000000005</x:v>
      </x:c>
      <x:c r="AF774" s="15" t="n">
        <x:f>'기준스탯 72종'!J38*H774</x:f>
        <x:v>0.30000000000000004</x:v>
      </x:c>
      <x:c r="AG774" s="15" t="n">
        <x:f>'기준스탯 72종'!K38*H774</x:f>
        <x:v>0.3600000000000001</x:v>
      </x:c>
    </x:row>
    <x:row r="775" ht="28" customHeight="1">
      <x:c r="A775" s="2" t="n">
        <x:v>768</x:v>
      </x:c>
      <x:c r="B775" s="2" t="n">
        <x:v>31</x:v>
      </x:c>
      <x:c r="C775" s="2" t="str">
        <x:v>처녀자리</x:v>
      </x:c>
      <x:c r="D775" s="2" t="str">
        <x:v>기사</x:v>
      </x:c>
      <x:c r="E775" s="2" t="n">
        <x:v>3</x:v>
      </x:c>
      <x:c r="F775" s="2" t="n">
        <x:v>4</x:v>
      </x:c>
      <x:c r="G775" s="14" t="n">
        <x:f>('레벨 계산식'!$E$4-E775)*'레벨 계산식'!$B$5</x:f>
        <x:v>0.27999999999999997</x:v>
      </x:c>
      <x:c r="H775" s="14" t="n">
        <x:f>('등급 계산식'!$E$4-F775)*'등급 계산식'!$B$5</x:f>
        <x:v>0.06000000000000001</x:v>
      </x:c>
      <x:c r="I775" s="14" t="n">
        <x:f>1-G775-H775</x:f>
        <x:v>0.6599999999999999</x:v>
      </x:c>
      <x:c r="J775" s="2" t="n">
        <x:f>MAX(1,ROUND('기준스탯 72종'!D38-R775-Z775,0))</x:f>
        <x:v>4</x:v>
      </x:c>
      <x:c r="K775" s="2" t="n">
        <x:f>MAX(1,ROUND('기준스탯 72종'!E38-S775-AA775,0))</x:f>
        <x:v>6</x:v>
      </x:c>
      <x:c r="L775" s="2" t="n">
        <x:f>MAX(1,ROUND('기준스탯 72종'!F38-T775-AB775,0))</x:f>
        <x:v>6</x:v>
      </x:c>
      <x:c r="M775" s="2" t="n">
        <x:f>MAX(1,ROUND('기준스탯 72종'!G38-U775-AC775,0))</x:f>
        <x:v>4</x:v>
      </x:c>
      <x:c r="N775" s="2" t="n">
        <x:f>MAX(0,ROUND('기준스탯 72종'!H38-V775-AD775,0))</x:f>
        <x:v>1</x:v>
      </x:c>
      <x:c r="O775" s="2" t="n">
        <x:f>MAX(0,ROUND('기준스탯 72종'!I38-W775-AE775,0))</x:f>
        <x:v>2</x:v>
      </x:c>
      <x:c r="P775" s="2" t="n">
        <x:f>MAX(0,ROUND('기준스탯 72종'!J38-X775-AF775,0))</x:f>
        <x:v>3</x:v>
      </x:c>
      <x:c r="Q775" s="2" t="n">
        <x:f>MAX(0,ROUND('기준스탯 72종'!K38-Y775-AG775,0))</x:f>
        <x:v>4</x:v>
      </x:c>
      <x:c r="R775" s="15" t="n">
        <x:f>'기준스탯 72종'!D38*G775</x:f>
        <x:v>1.6799999999999997</x:v>
      </x:c>
      <x:c r="S775" s="15" t="n">
        <x:f>'기준스탯 72종'!E38*G775</x:f>
        <x:v>2.5199999999999996</x:v>
      </x:c>
      <x:c r="T775" s="15" t="n">
        <x:f>'기준스탯 72종'!F38*G775</x:f>
        <x:v>2.5199999999999996</x:v>
      </x:c>
      <x:c r="U775" s="15" t="n">
        <x:f>'기준스탯 72종'!G38*G775</x:f>
        <x:v>1.6799999999999997</x:v>
      </x:c>
      <x:c r="V775" s="15" t="n">
        <x:f>'기준스탯 72종'!H38*G775</x:f>
        <x:v>0.5599999999999999</x:v>
      </x:c>
      <x:c r="W775" s="15" t="n">
        <x:f>'기준스탯 72종'!I38*G775</x:f>
        <x:v>0.8399999999999999</x:v>
      </x:c>
      <x:c r="X775" s="15" t="n">
        <x:f>'기준스탯 72종'!J38*G775</x:f>
        <x:v>1.4</x:v>
      </x:c>
      <x:c r="Y775" s="15" t="n">
        <x:f>'기준스탯 72종'!K38*G775</x:f>
        <x:v>1.6799999999999997</x:v>
      </x:c>
      <x:c r="Z775" s="15" t="n">
        <x:f>'기준스탯 72종'!D38*H775</x:f>
        <x:v>0.3600000000000001</x:v>
      </x:c>
      <x:c r="AA775" s="15" t="n">
        <x:f>'기준스탯 72종'!E38*H775</x:f>
        <x:v>0.5400000000000001</x:v>
      </x:c>
      <x:c r="AB775" s="15" t="n">
        <x:f>'기준스탯 72종'!F38*H775</x:f>
        <x:v>0.5400000000000001</x:v>
      </x:c>
      <x:c r="AC775" s="15" t="n">
        <x:f>'기준스탯 72종'!G38*H775</x:f>
        <x:v>0.3600000000000001</x:v>
      </x:c>
      <x:c r="AD775" s="15" t="n">
        <x:f>'기준스탯 72종'!H38*H775</x:f>
        <x:v>0.12000000000000002</x:v>
      </x:c>
      <x:c r="AE775" s="15" t="n">
        <x:f>'기준스탯 72종'!I38*H775</x:f>
        <x:v>0.18000000000000005</x:v>
      </x:c>
      <x:c r="AF775" s="15" t="n">
        <x:f>'기준스탯 72종'!J38*H775</x:f>
        <x:v>0.30000000000000004</x:v>
      </x:c>
      <x:c r="AG775" s="15" t="n">
        <x:f>'기준스탯 72종'!K38*H775</x:f>
        <x:v>0.3600000000000001</x:v>
      </x:c>
    </x:row>
    <x:row r="776" ht="28" customHeight="1">
      <x:c r="A776" s="2" t="n">
        <x:v>769</x:v>
      </x:c>
      <x:c r="B776" s="2" t="n">
        <x:v>31</x:v>
      </x:c>
      <x:c r="C776" s="2" t="str">
        <x:v>처녀자리</x:v>
      </x:c>
      <x:c r="D776" s="2" t="str">
        <x:v>기사</x:v>
      </x:c>
      <x:c r="E776" s="2" t="n">
        <x:v>4</x:v>
      </x:c>
      <x:c r="F776" s="2" t="n">
        <x:v>4</x:v>
      </x:c>
      <x:c r="G776" s="14" t="n">
        <x:f>('레벨 계산식'!$E$4-E776)*'레벨 계산식'!$B$5</x:f>
        <x:v>0.13999999999999999</x:v>
      </x:c>
      <x:c r="H776" s="14" t="n">
        <x:f>('등급 계산식'!$E$4-F776)*'등급 계산식'!$B$5</x:f>
        <x:v>0.06000000000000001</x:v>
      </x:c>
      <x:c r="I776" s="14" t="n">
        <x:f>1-G776-H776</x:f>
        <x:v>0.7999999999999999</x:v>
      </x:c>
      <x:c r="J776" s="2" t="n">
        <x:f>MAX(1,ROUND('기준스탯 72종'!D38-R776-Z776,0))</x:f>
        <x:v>5</x:v>
      </x:c>
      <x:c r="K776" s="2" t="n">
        <x:f>MAX(1,ROUND('기준스탯 72종'!E38-S776-AA776,0))</x:f>
        <x:v>7</x:v>
      </x:c>
      <x:c r="L776" s="2" t="n">
        <x:f>MAX(1,ROUND('기준스탯 72종'!F38-T776-AB776,0))</x:f>
        <x:v>7</x:v>
      </x:c>
      <x:c r="M776" s="2" t="n">
        <x:f>MAX(1,ROUND('기준스탯 72종'!G38-U776-AC776,0))</x:f>
        <x:v>5</x:v>
      </x:c>
      <x:c r="N776" s="2" t="n">
        <x:f>MAX(0,ROUND('기준스탯 72종'!H38-V776-AD776,0))</x:f>
        <x:v>2</x:v>
      </x:c>
      <x:c r="O776" s="2" t="n">
        <x:f>MAX(0,ROUND('기준스탯 72종'!I38-W776-AE776,0))</x:f>
        <x:v>2</x:v>
      </x:c>
      <x:c r="P776" s="2" t="n">
        <x:f>MAX(0,ROUND('기준스탯 72종'!J38-X776-AF776,0))</x:f>
        <x:v>4</x:v>
      </x:c>
      <x:c r="Q776" s="2" t="n">
        <x:f>MAX(0,ROUND('기준스탯 72종'!K38-Y776-AG776,0))</x:f>
        <x:v>5</x:v>
      </x:c>
      <x:c r="R776" s="15" t="n">
        <x:f>'기준스탯 72종'!D38*G776</x:f>
        <x:v>0.8399999999999999</x:v>
      </x:c>
      <x:c r="S776" s="15" t="n">
        <x:f>'기준스탯 72종'!E38*G776</x:f>
        <x:v>1.2599999999999998</x:v>
      </x:c>
      <x:c r="T776" s="15" t="n">
        <x:f>'기준스탯 72종'!F38*G776</x:f>
        <x:v>1.2599999999999998</x:v>
      </x:c>
      <x:c r="U776" s="15" t="n">
        <x:f>'기준스탯 72종'!G38*G776</x:f>
        <x:v>0.8399999999999999</x:v>
      </x:c>
      <x:c r="V776" s="15" t="n">
        <x:f>'기준스탯 72종'!H38*G776</x:f>
        <x:v>0.27999999999999997</x:v>
      </x:c>
      <x:c r="W776" s="15" t="n">
        <x:f>'기준스탯 72종'!I38*G776</x:f>
        <x:v>0.41999999999999993</x:v>
      </x:c>
      <x:c r="X776" s="15" t="n">
        <x:f>'기준스탯 72종'!J38*G776</x:f>
        <x:v>0.7</x:v>
      </x:c>
      <x:c r="Y776" s="15" t="n">
        <x:f>'기준스탯 72종'!K38*G776</x:f>
        <x:v>0.8399999999999999</x:v>
      </x:c>
      <x:c r="Z776" s="15" t="n">
        <x:f>'기준스탯 72종'!D38*H776</x:f>
        <x:v>0.3600000000000001</x:v>
      </x:c>
      <x:c r="AA776" s="15" t="n">
        <x:f>'기준스탯 72종'!E38*H776</x:f>
        <x:v>0.5400000000000001</x:v>
      </x:c>
      <x:c r="AB776" s="15" t="n">
        <x:f>'기준스탯 72종'!F38*H776</x:f>
        <x:v>0.5400000000000001</x:v>
      </x:c>
      <x:c r="AC776" s="15" t="n">
        <x:f>'기준스탯 72종'!G38*H776</x:f>
        <x:v>0.3600000000000001</x:v>
      </x:c>
      <x:c r="AD776" s="15" t="n">
        <x:f>'기준스탯 72종'!H38*H776</x:f>
        <x:v>0.12000000000000002</x:v>
      </x:c>
      <x:c r="AE776" s="15" t="n">
        <x:f>'기준스탯 72종'!I38*H776</x:f>
        <x:v>0.18000000000000005</x:v>
      </x:c>
      <x:c r="AF776" s="15" t="n">
        <x:f>'기준스탯 72종'!J38*H776</x:f>
        <x:v>0.30000000000000004</x:v>
      </x:c>
      <x:c r="AG776" s="15" t="n">
        <x:f>'기준스탯 72종'!K38*H776</x:f>
        <x:v>0.3600000000000001</x:v>
      </x:c>
    </x:row>
    <x:row r="777" ht="28" customHeight="1">
      <x:c r="A777" s="2" t="n">
        <x:v>770</x:v>
      </x:c>
      <x:c r="B777" s="2" t="n">
        <x:v>31</x:v>
      </x:c>
      <x:c r="C777" s="2" t="str">
        <x:v>처녀자리</x:v>
      </x:c>
      <x:c r="D777" s="2" t="str">
        <x:v>기사</x:v>
      </x:c>
      <x:c r="E777" s="2" t="n">
        <x:v>5</x:v>
      </x:c>
      <x:c r="F777" s="2" t="n">
        <x:v>4</x:v>
      </x:c>
      <x:c r="G777" s="14" t="n">
        <x:f>('레벨 계산식'!$E$4-E777)*'레벨 계산식'!$B$5</x:f>
        <x:v>0</x:v>
      </x:c>
      <x:c r="H777" s="14" t="n">
        <x:f>('등급 계산식'!$E$4-F777)*'등급 계산식'!$B$5</x:f>
        <x:v>0.06000000000000001</x:v>
      </x:c>
      <x:c r="I777" s="14" t="n">
        <x:f>1-G777-H777</x:f>
        <x:v>0.94</x:v>
      </x:c>
      <x:c r="J777" s="2" t="n">
        <x:f>MAX(1,ROUND('기준스탯 72종'!D38-R777-Z777,0))</x:f>
        <x:v>6</x:v>
      </x:c>
      <x:c r="K777" s="2" t="n">
        <x:f>MAX(1,ROUND('기준스탯 72종'!E38-S777-AA777,0))</x:f>
        <x:v>8</x:v>
      </x:c>
      <x:c r="L777" s="2" t="n">
        <x:f>MAX(1,ROUND('기준스탯 72종'!F38-T777-AB777,0))</x:f>
        <x:v>8</x:v>
      </x:c>
      <x:c r="M777" s="2" t="n">
        <x:f>MAX(1,ROUND('기준스탯 72종'!G38-U777-AC777,0))</x:f>
        <x:v>6</x:v>
      </x:c>
      <x:c r="N777" s="2" t="n">
        <x:f>MAX(0,ROUND('기준스탯 72종'!H38-V777-AD777,0))</x:f>
        <x:v>2</x:v>
      </x:c>
      <x:c r="O777" s="2" t="n">
        <x:f>MAX(0,ROUND('기준스탯 72종'!I38-W777-AE777,0))</x:f>
        <x:v>3</x:v>
      </x:c>
      <x:c r="P777" s="2" t="n">
        <x:f>MAX(0,ROUND('기준스탯 72종'!J38-X777-AF777,0))</x:f>
        <x:v>5</x:v>
      </x:c>
      <x:c r="Q777" s="2" t="n">
        <x:f>MAX(0,ROUND('기준스탯 72종'!K38-Y777-AG777,0))</x:f>
        <x:v>6</x:v>
      </x:c>
      <x:c r="R777" s="15" t="n">
        <x:f>'기준스탯 72종'!D38*G777</x:f>
        <x:v>0</x:v>
      </x:c>
      <x:c r="S777" s="15" t="n">
        <x:f>'기준스탯 72종'!E38*G777</x:f>
        <x:v>0</x:v>
      </x:c>
      <x:c r="T777" s="15" t="n">
        <x:f>'기준스탯 72종'!F38*G777</x:f>
        <x:v>0</x:v>
      </x:c>
      <x:c r="U777" s="15" t="n">
        <x:f>'기준스탯 72종'!G38*G777</x:f>
        <x:v>0</x:v>
      </x:c>
      <x:c r="V777" s="15" t="n">
        <x:f>'기준스탯 72종'!H38*G777</x:f>
        <x:v>0</x:v>
      </x:c>
      <x:c r="W777" s="15" t="n">
        <x:f>'기준스탯 72종'!I38*G777</x:f>
        <x:v>0</x:v>
      </x:c>
      <x:c r="X777" s="15" t="n">
        <x:f>'기준스탯 72종'!J38*G777</x:f>
        <x:v>0</x:v>
      </x:c>
      <x:c r="Y777" s="15" t="n">
        <x:f>'기준스탯 72종'!K38*G777</x:f>
        <x:v>0</x:v>
      </x:c>
      <x:c r="Z777" s="15" t="n">
        <x:f>'기준스탯 72종'!D38*H777</x:f>
        <x:v>0.3600000000000001</x:v>
      </x:c>
      <x:c r="AA777" s="15" t="n">
        <x:f>'기준스탯 72종'!E38*H777</x:f>
        <x:v>0.5400000000000001</x:v>
      </x:c>
      <x:c r="AB777" s="15" t="n">
        <x:f>'기준스탯 72종'!F38*H777</x:f>
        <x:v>0.5400000000000001</x:v>
      </x:c>
      <x:c r="AC777" s="15" t="n">
        <x:f>'기준스탯 72종'!G38*H777</x:f>
        <x:v>0.3600000000000001</x:v>
      </x:c>
      <x:c r="AD777" s="15" t="n">
        <x:f>'기준스탯 72종'!H38*H777</x:f>
        <x:v>0.12000000000000002</x:v>
      </x:c>
      <x:c r="AE777" s="15" t="n">
        <x:f>'기준스탯 72종'!I38*H777</x:f>
        <x:v>0.18000000000000005</x:v>
      </x:c>
      <x:c r="AF777" s="15" t="n">
        <x:f>'기준스탯 72종'!J38*H777</x:f>
        <x:v>0.30000000000000004</x:v>
      </x:c>
      <x:c r="AG777" s="15" t="n">
        <x:f>'기준스탯 72종'!K38*H777</x:f>
        <x:v>0.3600000000000001</x:v>
      </x:c>
    </x:row>
    <x:row r="778" ht="28" customHeight="1">
      <x:c r="A778" s="2" t="n">
        <x:v>771</x:v>
      </x:c>
      <x:c r="B778" s="2" t="n">
        <x:v>31</x:v>
      </x:c>
      <x:c r="C778" s="2" t="str">
        <x:v>처녀자리</x:v>
      </x:c>
      <x:c r="D778" s="2" t="str">
        <x:v>기사</x:v>
      </x:c>
      <x:c r="E778" s="2" t="n">
        <x:v>1</x:v>
      </x:c>
      <x:c r="F778" s="2" t="n">
        <x:v>5</x:v>
      </x:c>
      <x:c r="G778" s="14" t="n">
        <x:f>('레벨 계산식'!$E$4-E778)*'레벨 계산식'!$B$5</x:f>
        <x:v>0.5599999999999999</x:v>
      </x:c>
      <x:c r="H778" s="14" t="n">
        <x:f>('등급 계산식'!$E$4-F778)*'등급 계산식'!$B$5</x:f>
        <x:v>0</x:v>
      </x:c>
      <x:c r="I778" s="14" t="n">
        <x:f>1-G778-H778</x:f>
        <x:v>0.44000000000000006</x:v>
      </x:c>
      <x:c r="J778" s="2" t="n">
        <x:f>MAX(1,ROUND('기준스탯 72종'!D38-R778-Z778,0))</x:f>
        <x:v>3</x:v>
      </x:c>
      <x:c r="K778" s="2" t="n">
        <x:f>MAX(1,ROUND('기준스탯 72종'!E38-S778-AA778,0))</x:f>
        <x:v>4</x:v>
      </x:c>
      <x:c r="L778" s="2" t="n">
        <x:f>MAX(1,ROUND('기준스탯 72종'!F38-T778-AB778,0))</x:f>
        <x:v>4</x:v>
      </x:c>
      <x:c r="M778" s="2" t="n">
        <x:f>MAX(1,ROUND('기준스탯 72종'!G38-U778-AC778,0))</x:f>
        <x:v>3</x:v>
      </x:c>
      <x:c r="N778" s="2" t="n">
        <x:f>MAX(0,ROUND('기준스탯 72종'!H38-V778-AD778,0))</x:f>
        <x:v>1</x:v>
      </x:c>
      <x:c r="O778" s="2" t="n">
        <x:f>MAX(0,ROUND('기준스탯 72종'!I38-W778-AE778,0))</x:f>
        <x:v>1</x:v>
      </x:c>
      <x:c r="P778" s="2" t="n">
        <x:f>MAX(0,ROUND('기준스탯 72종'!J38-X778-AF778,0))</x:f>
        <x:v>2</x:v>
      </x:c>
      <x:c r="Q778" s="2" t="n">
        <x:f>MAX(0,ROUND('기준스탯 72종'!K38-Y778-AG778,0))</x:f>
        <x:v>3</x:v>
      </x:c>
      <x:c r="R778" s="15" t="n">
        <x:f>'기준스탯 72종'!D38*G778</x:f>
        <x:v>3.3599999999999994</x:v>
      </x:c>
      <x:c r="S778" s="15" t="n">
        <x:f>'기준스탯 72종'!E38*G778</x:f>
        <x:v>5.039999999999999</x:v>
      </x:c>
      <x:c r="T778" s="15" t="n">
        <x:f>'기준스탯 72종'!F38*G778</x:f>
        <x:v>5.039999999999999</x:v>
      </x:c>
      <x:c r="U778" s="15" t="n">
        <x:f>'기준스탯 72종'!G38*G778</x:f>
        <x:v>3.3599999999999994</x:v>
      </x:c>
      <x:c r="V778" s="15" t="n">
        <x:f>'기준스탯 72종'!H38*G778</x:f>
        <x:v>1.1199999999999999</x:v>
      </x:c>
      <x:c r="W778" s="15" t="n">
        <x:f>'기준스탯 72종'!I38*G778</x:f>
        <x:v>1.6799999999999997</x:v>
      </x:c>
      <x:c r="X778" s="15" t="n">
        <x:f>'기준스탯 72종'!J38*G778</x:f>
        <x:v>2.8</x:v>
      </x:c>
      <x:c r="Y778" s="15" t="n">
        <x:f>'기준스탯 72종'!K38*G778</x:f>
        <x:v>3.3599999999999994</x:v>
      </x:c>
      <x:c r="Z778" s="15" t="n">
        <x:f>'기준스탯 72종'!D38*H778</x:f>
        <x:v>0</x:v>
      </x:c>
      <x:c r="AA778" s="15" t="n">
        <x:f>'기준스탯 72종'!E38*H778</x:f>
        <x:v>0</x:v>
      </x:c>
      <x:c r="AB778" s="15" t="n">
        <x:f>'기준스탯 72종'!F38*H778</x:f>
        <x:v>0</x:v>
      </x:c>
      <x:c r="AC778" s="15" t="n">
        <x:f>'기준스탯 72종'!G38*H778</x:f>
        <x:v>0</x:v>
      </x:c>
      <x:c r="AD778" s="15" t="n">
        <x:f>'기준스탯 72종'!H38*H778</x:f>
        <x:v>0</x:v>
      </x:c>
      <x:c r="AE778" s="15" t="n">
        <x:f>'기준스탯 72종'!I38*H778</x:f>
        <x:v>0</x:v>
      </x:c>
      <x:c r="AF778" s="15" t="n">
        <x:f>'기준스탯 72종'!J38*H778</x:f>
        <x:v>0</x:v>
      </x:c>
      <x:c r="AG778" s="15" t="n">
        <x:f>'기준스탯 72종'!K38*H778</x:f>
        <x:v>0</x:v>
      </x:c>
    </x:row>
    <x:row r="779" ht="28" customHeight="1">
      <x:c r="A779" s="2" t="n">
        <x:v>772</x:v>
      </x:c>
      <x:c r="B779" s="2" t="n">
        <x:v>31</x:v>
      </x:c>
      <x:c r="C779" s="2" t="str">
        <x:v>처녀자리</x:v>
      </x:c>
      <x:c r="D779" s="2" t="str">
        <x:v>기사</x:v>
      </x:c>
      <x:c r="E779" s="2" t="n">
        <x:v>2</x:v>
      </x:c>
      <x:c r="F779" s="2" t="n">
        <x:v>5</x:v>
      </x:c>
      <x:c r="G779" s="14" t="n">
        <x:f>('레벨 계산식'!$E$4-E779)*'레벨 계산식'!$B$5</x:f>
        <x:v>0.41999999999999993</x:v>
      </x:c>
      <x:c r="H779" s="14" t="n">
        <x:f>('등급 계산식'!$E$4-F779)*'등급 계산식'!$B$5</x:f>
        <x:v>0</x:v>
      </x:c>
      <x:c r="I779" s="14" t="n">
        <x:f>1-G779-H779</x:f>
        <x:v>0.5800000000000001</x:v>
      </x:c>
      <x:c r="J779" s="2" t="n">
        <x:f>MAX(1,ROUND('기준스탯 72종'!D38-R779-Z779,0))</x:f>
        <x:v>3</x:v>
      </x:c>
      <x:c r="K779" s="2" t="n">
        <x:f>MAX(1,ROUND('기준스탯 72종'!E38-S779-AA779,0))</x:f>
        <x:v>5</x:v>
      </x:c>
      <x:c r="L779" s="2" t="n">
        <x:f>MAX(1,ROUND('기준스탯 72종'!F38-T779-AB779,0))</x:f>
        <x:v>5</x:v>
      </x:c>
      <x:c r="M779" s="2" t="n">
        <x:f>MAX(1,ROUND('기준스탯 72종'!G38-U779-AC779,0))</x:f>
        <x:v>3</x:v>
      </x:c>
      <x:c r="N779" s="2" t="n">
        <x:f>MAX(0,ROUND('기준스탯 72종'!H38-V779-AD779,0))</x:f>
        <x:v>1</x:v>
      </x:c>
      <x:c r="O779" s="2" t="n">
        <x:f>MAX(0,ROUND('기준스탯 72종'!I38-W779-AE779,0))</x:f>
        <x:v>2</x:v>
      </x:c>
      <x:c r="P779" s="2" t="n">
        <x:f>MAX(0,ROUND('기준스탯 72종'!J38-X779-AF779,0))</x:f>
        <x:v>3</x:v>
      </x:c>
      <x:c r="Q779" s="2" t="n">
        <x:f>MAX(0,ROUND('기준스탯 72종'!K38-Y779-AG779,0))</x:f>
        <x:v>3</x:v>
      </x:c>
      <x:c r="R779" s="15" t="n">
        <x:f>'기준스탯 72종'!D38*G779</x:f>
        <x:v>2.5199999999999996</x:v>
      </x:c>
      <x:c r="S779" s="15" t="n">
        <x:f>'기준스탯 72종'!E38*G779</x:f>
        <x:v>3.7799999999999994</x:v>
      </x:c>
      <x:c r="T779" s="15" t="n">
        <x:f>'기준스탯 72종'!F38*G779</x:f>
        <x:v>3.7799999999999994</x:v>
      </x:c>
      <x:c r="U779" s="15" t="n">
        <x:f>'기준스탯 72종'!G38*G779</x:f>
        <x:v>2.5199999999999996</x:v>
      </x:c>
      <x:c r="V779" s="15" t="n">
        <x:f>'기준스탯 72종'!H38*G779</x:f>
        <x:v>0.8399999999999999</x:v>
      </x:c>
      <x:c r="W779" s="15" t="n">
        <x:f>'기준스탯 72종'!I38*G779</x:f>
        <x:v>1.2599999999999998</x:v>
      </x:c>
      <x:c r="X779" s="15" t="n">
        <x:f>'기준스탯 72종'!J38*G779</x:f>
        <x:v>2.0999999999999996</x:v>
      </x:c>
      <x:c r="Y779" s="15" t="n">
        <x:f>'기준스탯 72종'!K38*G779</x:f>
        <x:v>2.5199999999999996</x:v>
      </x:c>
      <x:c r="Z779" s="15" t="n">
        <x:f>'기준스탯 72종'!D38*H779</x:f>
        <x:v>0</x:v>
      </x:c>
      <x:c r="AA779" s="15" t="n">
        <x:f>'기준스탯 72종'!E38*H779</x:f>
        <x:v>0</x:v>
      </x:c>
      <x:c r="AB779" s="15" t="n">
        <x:f>'기준스탯 72종'!F38*H779</x:f>
        <x:v>0</x:v>
      </x:c>
      <x:c r="AC779" s="15" t="n">
        <x:f>'기준스탯 72종'!G38*H779</x:f>
        <x:v>0</x:v>
      </x:c>
      <x:c r="AD779" s="15" t="n">
        <x:f>'기준스탯 72종'!H38*H779</x:f>
        <x:v>0</x:v>
      </x:c>
      <x:c r="AE779" s="15" t="n">
        <x:f>'기준스탯 72종'!I38*H779</x:f>
        <x:v>0</x:v>
      </x:c>
      <x:c r="AF779" s="15" t="n">
        <x:f>'기준스탯 72종'!J38*H779</x:f>
        <x:v>0</x:v>
      </x:c>
      <x:c r="AG779" s="15" t="n">
        <x:f>'기준스탯 72종'!K38*H779</x:f>
        <x:v>0</x:v>
      </x:c>
    </x:row>
    <x:row r="780" ht="28" customHeight="1">
      <x:c r="A780" s="2" t="n">
        <x:v>773</x:v>
      </x:c>
      <x:c r="B780" s="2" t="n">
        <x:v>31</x:v>
      </x:c>
      <x:c r="C780" s="2" t="str">
        <x:v>처녀자리</x:v>
      </x:c>
      <x:c r="D780" s="2" t="str">
        <x:v>기사</x:v>
      </x:c>
      <x:c r="E780" s="2" t="n">
        <x:v>3</x:v>
      </x:c>
      <x:c r="F780" s="2" t="n">
        <x:v>5</x:v>
      </x:c>
      <x:c r="G780" s="14" t="n">
        <x:f>('레벨 계산식'!$E$4-E780)*'레벨 계산식'!$B$5</x:f>
        <x:v>0.27999999999999997</x:v>
      </x:c>
      <x:c r="H780" s="14" t="n">
        <x:f>('등급 계산식'!$E$4-F780)*'등급 계산식'!$B$5</x:f>
        <x:v>0</x:v>
      </x:c>
      <x:c r="I780" s="14" t="n">
        <x:f>1-G780-H780</x:f>
        <x:v>0.72</x:v>
      </x:c>
      <x:c r="J780" s="2" t="n">
        <x:f>MAX(1,ROUND('기준스탯 72종'!D38-R780-Z780,0))</x:f>
        <x:v>4</x:v>
      </x:c>
      <x:c r="K780" s="2" t="n">
        <x:f>MAX(1,ROUND('기준스탯 72종'!E38-S780-AA780,0))</x:f>
        <x:v>6</x:v>
      </x:c>
      <x:c r="L780" s="2" t="n">
        <x:f>MAX(1,ROUND('기준스탯 72종'!F38-T780-AB780,0))</x:f>
        <x:v>6</x:v>
      </x:c>
      <x:c r="M780" s="2" t="n">
        <x:f>MAX(1,ROUND('기준스탯 72종'!G38-U780-AC780,0))</x:f>
        <x:v>4</x:v>
      </x:c>
      <x:c r="N780" s="2" t="n">
        <x:f>MAX(0,ROUND('기준스탯 72종'!H38-V780-AD780,0))</x:f>
        <x:v>1</x:v>
      </x:c>
      <x:c r="O780" s="2" t="n">
        <x:f>MAX(0,ROUND('기준스탯 72종'!I38-W780-AE780,0))</x:f>
        <x:v>2</x:v>
      </x:c>
      <x:c r="P780" s="2" t="n">
        <x:f>MAX(0,ROUND('기준스탯 72종'!J38-X780-AF780,0))</x:f>
        <x:v>4</x:v>
      </x:c>
      <x:c r="Q780" s="2" t="n">
        <x:f>MAX(0,ROUND('기준스탯 72종'!K38-Y780-AG780,0))</x:f>
        <x:v>4</x:v>
      </x:c>
      <x:c r="R780" s="15" t="n">
        <x:f>'기준스탯 72종'!D38*G780</x:f>
        <x:v>1.6799999999999997</x:v>
      </x:c>
      <x:c r="S780" s="15" t="n">
        <x:f>'기준스탯 72종'!E38*G780</x:f>
        <x:v>2.5199999999999996</x:v>
      </x:c>
      <x:c r="T780" s="15" t="n">
        <x:f>'기준스탯 72종'!F38*G780</x:f>
        <x:v>2.5199999999999996</x:v>
      </x:c>
      <x:c r="U780" s="15" t="n">
        <x:f>'기준스탯 72종'!G38*G780</x:f>
        <x:v>1.6799999999999997</x:v>
      </x:c>
      <x:c r="V780" s="15" t="n">
        <x:f>'기준스탯 72종'!H38*G780</x:f>
        <x:v>0.5599999999999999</x:v>
      </x:c>
      <x:c r="W780" s="15" t="n">
        <x:f>'기준스탯 72종'!I38*G780</x:f>
        <x:v>0.8399999999999999</x:v>
      </x:c>
      <x:c r="X780" s="15" t="n">
        <x:f>'기준스탯 72종'!J38*G780</x:f>
        <x:v>1.4</x:v>
      </x:c>
      <x:c r="Y780" s="15" t="n">
        <x:f>'기준스탯 72종'!K38*G780</x:f>
        <x:v>1.6799999999999997</x:v>
      </x:c>
      <x:c r="Z780" s="15" t="n">
        <x:f>'기준스탯 72종'!D38*H780</x:f>
        <x:v>0</x:v>
      </x:c>
      <x:c r="AA780" s="15" t="n">
        <x:f>'기준스탯 72종'!E38*H780</x:f>
        <x:v>0</x:v>
      </x:c>
      <x:c r="AB780" s="15" t="n">
        <x:f>'기준스탯 72종'!F38*H780</x:f>
        <x:v>0</x:v>
      </x:c>
      <x:c r="AC780" s="15" t="n">
        <x:f>'기준스탯 72종'!G38*H780</x:f>
        <x:v>0</x:v>
      </x:c>
      <x:c r="AD780" s="15" t="n">
        <x:f>'기준스탯 72종'!H38*H780</x:f>
        <x:v>0</x:v>
      </x:c>
      <x:c r="AE780" s="15" t="n">
        <x:f>'기준스탯 72종'!I38*H780</x:f>
        <x:v>0</x:v>
      </x:c>
      <x:c r="AF780" s="15" t="n">
        <x:f>'기준스탯 72종'!J38*H780</x:f>
        <x:v>0</x:v>
      </x:c>
      <x:c r="AG780" s="15" t="n">
        <x:f>'기준스탯 72종'!K38*H780</x:f>
        <x:v>0</x:v>
      </x:c>
    </x:row>
    <x:row r="781" ht="28" customHeight="1">
      <x:c r="A781" s="2" t="n">
        <x:v>774</x:v>
      </x:c>
      <x:c r="B781" s="2" t="n">
        <x:v>31</x:v>
      </x:c>
      <x:c r="C781" s="2" t="str">
        <x:v>처녀자리</x:v>
      </x:c>
      <x:c r="D781" s="2" t="str">
        <x:v>기사</x:v>
      </x:c>
      <x:c r="E781" s="2" t="n">
        <x:v>4</x:v>
      </x:c>
      <x:c r="F781" s="2" t="n">
        <x:v>5</x:v>
      </x:c>
      <x:c r="G781" s="14" t="n">
        <x:f>('레벨 계산식'!$E$4-E781)*'레벨 계산식'!$B$5</x:f>
        <x:v>0.13999999999999999</x:v>
      </x:c>
      <x:c r="H781" s="14" t="n">
        <x:f>('등급 계산식'!$E$4-F781)*'등급 계산식'!$B$5</x:f>
        <x:v>0</x:v>
      </x:c>
      <x:c r="I781" s="14" t="n">
        <x:f>1-G781-H781</x:f>
        <x:v>0.86</x:v>
      </x:c>
      <x:c r="J781" s="2" t="n">
        <x:f>MAX(1,ROUND('기준스탯 72종'!D38-R781-Z781,0))</x:f>
        <x:v>5</x:v>
      </x:c>
      <x:c r="K781" s="2" t="n">
        <x:f>MAX(1,ROUND('기준스탯 72종'!E38-S781-AA781,0))</x:f>
        <x:v>8</x:v>
      </x:c>
      <x:c r="L781" s="2" t="n">
        <x:f>MAX(1,ROUND('기준스탯 72종'!F38-T781-AB781,0))</x:f>
        <x:v>8</x:v>
      </x:c>
      <x:c r="M781" s="2" t="n">
        <x:f>MAX(1,ROUND('기준스탯 72종'!G38-U781-AC781,0))</x:f>
        <x:v>5</x:v>
      </x:c>
      <x:c r="N781" s="2" t="n">
        <x:f>MAX(0,ROUND('기준스탯 72종'!H38-V781-AD781,0))</x:f>
        <x:v>2</x:v>
      </x:c>
      <x:c r="O781" s="2" t="n">
        <x:f>MAX(0,ROUND('기준스탯 72종'!I38-W781-AE781,0))</x:f>
        <x:v>3</x:v>
      </x:c>
      <x:c r="P781" s="2" t="n">
        <x:f>MAX(0,ROUND('기준스탯 72종'!J38-X781-AF781,0))</x:f>
        <x:v>4</x:v>
      </x:c>
      <x:c r="Q781" s="2" t="n">
        <x:f>MAX(0,ROUND('기준스탯 72종'!K38-Y781-AG781,0))</x:f>
        <x:v>5</x:v>
      </x:c>
      <x:c r="R781" s="15" t="n">
        <x:f>'기준스탯 72종'!D38*G781</x:f>
        <x:v>0.8399999999999999</x:v>
      </x:c>
      <x:c r="S781" s="15" t="n">
        <x:f>'기준스탯 72종'!E38*G781</x:f>
        <x:v>1.2599999999999998</x:v>
      </x:c>
      <x:c r="T781" s="15" t="n">
        <x:f>'기준스탯 72종'!F38*G781</x:f>
        <x:v>1.2599999999999998</x:v>
      </x:c>
      <x:c r="U781" s="15" t="n">
        <x:f>'기준스탯 72종'!G38*G781</x:f>
        <x:v>0.8399999999999999</x:v>
      </x:c>
      <x:c r="V781" s="15" t="n">
        <x:f>'기준스탯 72종'!H38*G781</x:f>
        <x:v>0.27999999999999997</x:v>
      </x:c>
      <x:c r="W781" s="15" t="n">
        <x:f>'기준스탯 72종'!I38*G781</x:f>
        <x:v>0.41999999999999993</x:v>
      </x:c>
      <x:c r="X781" s="15" t="n">
        <x:f>'기준스탯 72종'!J38*G781</x:f>
        <x:v>0.7</x:v>
      </x:c>
      <x:c r="Y781" s="15" t="n">
        <x:f>'기준스탯 72종'!K38*G781</x:f>
        <x:v>0.8399999999999999</x:v>
      </x:c>
      <x:c r="Z781" s="15" t="n">
        <x:f>'기준스탯 72종'!D38*H781</x:f>
        <x:v>0</x:v>
      </x:c>
      <x:c r="AA781" s="15" t="n">
        <x:f>'기준스탯 72종'!E38*H781</x:f>
        <x:v>0</x:v>
      </x:c>
      <x:c r="AB781" s="15" t="n">
        <x:f>'기준스탯 72종'!F38*H781</x:f>
        <x:v>0</x:v>
      </x:c>
      <x:c r="AC781" s="15" t="n">
        <x:f>'기준스탯 72종'!G38*H781</x:f>
        <x:v>0</x:v>
      </x:c>
      <x:c r="AD781" s="15" t="n">
        <x:f>'기준스탯 72종'!H38*H781</x:f>
        <x:v>0</x:v>
      </x:c>
      <x:c r="AE781" s="15" t="n">
        <x:f>'기준스탯 72종'!I38*H781</x:f>
        <x:v>0</x:v>
      </x:c>
      <x:c r="AF781" s="15" t="n">
        <x:f>'기준스탯 72종'!J38*H781</x:f>
        <x:v>0</x:v>
      </x:c>
      <x:c r="AG781" s="15" t="n">
        <x:f>'기준스탯 72종'!K38*H781</x:f>
        <x:v>0</x:v>
      </x:c>
    </x:row>
    <x:row r="782" ht="28" customHeight="1">
      <x:c r="A782" s="2" t="n">
        <x:v>775</x:v>
      </x:c>
      <x:c r="B782" s="2" t="n">
        <x:v>31</x:v>
      </x:c>
      <x:c r="C782" s="2" t="str">
        <x:v>처녀자리</x:v>
      </x:c>
      <x:c r="D782" s="2" t="str">
        <x:v>기사</x:v>
      </x:c>
      <x:c r="E782" s="2" t="n">
        <x:v>5</x:v>
      </x:c>
      <x:c r="F782" s="2" t="n">
        <x:v>5</x:v>
      </x:c>
      <x:c r="G782" s="14" t="n">
        <x:f>('레벨 계산식'!$E$4-E782)*'레벨 계산식'!$B$5</x:f>
        <x:v>0</x:v>
      </x:c>
      <x:c r="H782" s="14" t="n">
        <x:f>('등급 계산식'!$E$4-F782)*'등급 계산식'!$B$5</x:f>
        <x:v>0</x:v>
      </x:c>
      <x:c r="I782" s="14" t="n">
        <x:f>1-G782-H782</x:f>
        <x:v>1</x:v>
      </x:c>
      <x:c r="J782" s="2" t="n">
        <x:f>MAX(1,ROUND('기준스탯 72종'!D38-R782-Z782,0))</x:f>
        <x:v>6</x:v>
      </x:c>
      <x:c r="K782" s="2" t="n">
        <x:f>MAX(1,ROUND('기준스탯 72종'!E38-S782-AA782,0))</x:f>
        <x:v>9</x:v>
      </x:c>
      <x:c r="L782" s="2" t="n">
        <x:f>MAX(1,ROUND('기준스탯 72종'!F38-T782-AB782,0))</x:f>
        <x:v>9</x:v>
      </x:c>
      <x:c r="M782" s="2" t="n">
        <x:f>MAX(1,ROUND('기준스탯 72종'!G38-U782-AC782,0))</x:f>
        <x:v>6</x:v>
      </x:c>
      <x:c r="N782" s="2" t="n">
        <x:f>MAX(0,ROUND('기준스탯 72종'!H38-V782-AD782,0))</x:f>
        <x:v>2</x:v>
      </x:c>
      <x:c r="O782" s="2" t="n">
        <x:f>MAX(0,ROUND('기준스탯 72종'!I38-W782-AE782,0))</x:f>
        <x:v>3</x:v>
      </x:c>
      <x:c r="P782" s="2" t="n">
        <x:f>MAX(0,ROUND('기준스탯 72종'!J38-X782-AF782,0))</x:f>
        <x:v>5</x:v>
      </x:c>
      <x:c r="Q782" s="2" t="n">
        <x:f>MAX(0,ROUND('기준스탯 72종'!K38-Y782-AG782,0))</x:f>
        <x:v>6</x:v>
      </x:c>
      <x:c r="R782" s="15" t="n">
        <x:f>'기준스탯 72종'!D38*G782</x:f>
        <x:v>0</x:v>
      </x:c>
      <x:c r="S782" s="15" t="n">
        <x:f>'기준스탯 72종'!E38*G782</x:f>
        <x:v>0</x:v>
      </x:c>
      <x:c r="T782" s="15" t="n">
        <x:f>'기준스탯 72종'!F38*G782</x:f>
        <x:v>0</x:v>
      </x:c>
      <x:c r="U782" s="15" t="n">
        <x:f>'기준스탯 72종'!G38*G782</x:f>
        <x:v>0</x:v>
      </x:c>
      <x:c r="V782" s="15" t="n">
        <x:f>'기준스탯 72종'!H38*G782</x:f>
        <x:v>0</x:v>
      </x:c>
      <x:c r="W782" s="15" t="n">
        <x:f>'기준스탯 72종'!I38*G782</x:f>
        <x:v>0</x:v>
      </x:c>
      <x:c r="X782" s="15" t="n">
        <x:f>'기준스탯 72종'!J38*G782</x:f>
        <x:v>0</x:v>
      </x:c>
      <x:c r="Y782" s="15" t="n">
        <x:f>'기준스탯 72종'!K38*G782</x:f>
        <x:v>0</x:v>
      </x:c>
      <x:c r="Z782" s="15" t="n">
        <x:f>'기준스탯 72종'!D38*H782</x:f>
        <x:v>0</x:v>
      </x:c>
      <x:c r="AA782" s="15" t="n">
        <x:f>'기준스탯 72종'!E38*H782</x:f>
        <x:v>0</x:v>
      </x:c>
      <x:c r="AB782" s="15" t="n">
        <x:f>'기준스탯 72종'!F38*H782</x:f>
        <x:v>0</x:v>
      </x:c>
      <x:c r="AC782" s="15" t="n">
        <x:f>'기준스탯 72종'!G38*H782</x:f>
        <x:v>0</x:v>
      </x:c>
      <x:c r="AD782" s="15" t="n">
        <x:f>'기준스탯 72종'!H38*H782</x:f>
        <x:v>0</x:v>
      </x:c>
      <x:c r="AE782" s="15" t="n">
        <x:f>'기준스탯 72종'!I38*H782</x:f>
        <x:v>0</x:v>
      </x:c>
      <x:c r="AF782" s="15" t="n">
        <x:f>'기준스탯 72종'!J38*H782</x:f>
        <x:v>0</x:v>
      </x:c>
      <x:c r="AG782" s="15" t="n">
        <x:f>'기준스탯 72종'!K38*H782</x:f>
        <x:v>0</x:v>
      </x:c>
    </x:row>
    <x:row r="783" ht="28" customHeight="1">
      <x:c r="A783" s="2" t="n">
        <x:v>776</x:v>
      </x:c>
      <x:c r="B783" s="2" t="n">
        <x:v>32</x:v>
      </x:c>
      <x:c r="C783" s="2" t="str">
        <x:v>처녀자리</x:v>
      </x:c>
      <x:c r="D783" s="2" t="str">
        <x:v>마도사</x:v>
      </x:c>
      <x:c r="E783" s="2" t="n">
        <x:v>1</x:v>
      </x:c>
      <x:c r="F783" s="2" t="n">
        <x:v>1</x:v>
      </x:c>
      <x:c r="G783" s="14" t="n">
        <x:f>('레벨 계산식'!$E$4-E783)*'레벨 계산식'!$B$5</x:f>
        <x:v>0.5599999999999999</x:v>
      </x:c>
      <x:c r="H783" s="14" t="n">
        <x:f>('등급 계산식'!$E$4-F783)*'등급 계산식'!$B$5</x:f>
        <x:v>0.24000000000000005</x:v>
      </x:c>
      <x:c r="I783" s="14" t="n">
        <x:f>1-G783-H783</x:f>
        <x:v>0.2</x:v>
      </x:c>
      <x:c r="J783" s="2" t="n">
        <x:f>MAX(1,ROUND('기준스탯 72종'!D39-R783-Z783,0))</x:f>
        <x:v>2</x:v>
      </x:c>
      <x:c r="K783" s="2" t="n">
        <x:f>MAX(1,ROUND('기준스탯 72종'!E39-S783-AA783,0))</x:f>
        <x:v>1</x:v>
      </x:c>
      <x:c r="L783" s="2" t="n">
        <x:f>MAX(1,ROUND('기준스탯 72종'!F39-T783-AB783,0))</x:f>
        <x:v>1</x:v>
      </x:c>
      <x:c r="M783" s="2" t="n">
        <x:f>MAX(1,ROUND('기준스탯 72종'!G39-U783-AC783,0))</x:f>
        <x:v>1</x:v>
      </x:c>
      <x:c r="N783" s="2" t="n">
        <x:f>MAX(0,ROUND('기준스탯 72종'!H39-V783-AD783,0))</x:f>
        <x:v>1</x:v>
      </x:c>
      <x:c r="O783" s="2" t="n">
        <x:f>MAX(0,ROUND('기준스탯 72종'!I39-W783-AE783,0))</x:f>
        <x:v>1</x:v>
      </x:c>
      <x:c r="P783" s="2" t="n">
        <x:f>MAX(0,ROUND('기준스탯 72종'!J39-X783-AF783,0))</x:f>
        <x:v>1</x:v>
      </x:c>
      <x:c r="Q783" s="2" t="n">
        <x:f>MAX(0,ROUND('기준스탯 72종'!K39-Y783-AG783,0))</x:f>
        <x:v>1</x:v>
      </x:c>
      <x:c r="R783" s="15" t="n">
        <x:f>'기준스탯 72종'!D39*G783</x:f>
        <x:v>4.4799999999999995</x:v>
      </x:c>
      <x:c r="S783" s="15" t="n">
        <x:f>'기준스탯 72종'!E39*G783</x:f>
        <x:v>3.9199999999999995</x:v>
      </x:c>
      <x:c r="T783" s="15" t="n">
        <x:f>'기준스탯 72종'!F39*G783</x:f>
        <x:v>3.9199999999999995</x:v>
      </x:c>
      <x:c r="U783" s="15" t="n">
        <x:f>'기준스탯 72종'!G39*G783</x:f>
        <x:v>3.9199999999999995</x:v>
      </x:c>
      <x:c r="V783" s="15" t="n">
        <x:f>'기준스탯 72종'!H39*G783</x:f>
        <x:v>1.6799999999999997</x:v>
      </x:c>
      <x:c r="W783" s="15" t="n">
        <x:f>'기준스탯 72종'!I39*G783</x:f>
        <x:v>2.8</x:v>
      </x:c>
      <x:c r="X783" s="15" t="n">
        <x:f>'기준스탯 72종'!J39*G783</x:f>
        <x:v>2.8</x:v>
      </x:c>
      <x:c r="Y783" s="15" t="n">
        <x:f>'기준스탯 72종'!K39*G783</x:f>
        <x:v>1.6799999999999997</x:v>
      </x:c>
      <x:c r="Z783" s="15" t="n">
        <x:f>'기준스탯 72종'!D39*H783</x:f>
        <x:v>1.9200000000000004</x:v>
      </x:c>
      <x:c r="AA783" s="15" t="n">
        <x:f>'기준스탯 72종'!E39*H783</x:f>
        <x:v>1.6800000000000004</x:v>
      </x:c>
      <x:c r="AB783" s="15" t="n">
        <x:f>'기준스탯 72종'!F39*H783</x:f>
        <x:v>1.6800000000000004</x:v>
      </x:c>
      <x:c r="AC783" s="15" t="n">
        <x:f>'기준스탯 72종'!G39*H783</x:f>
        <x:v>1.6800000000000004</x:v>
      </x:c>
      <x:c r="AD783" s="15" t="n">
        <x:f>'기준스탯 72종'!H39*H783</x:f>
        <x:v>0.7200000000000002</x:v>
      </x:c>
      <x:c r="AE783" s="15" t="n">
        <x:f>'기준스탯 72종'!I39*H783</x:f>
        <x:v>1.2000000000000002</x:v>
      </x:c>
      <x:c r="AF783" s="15" t="n">
        <x:f>'기준스탯 72종'!J39*H783</x:f>
        <x:v>1.2000000000000002</x:v>
      </x:c>
      <x:c r="AG783" s="15" t="n">
        <x:f>'기준스탯 72종'!K39*H783</x:f>
        <x:v>0.7200000000000002</x:v>
      </x:c>
    </x:row>
    <x:row r="784" ht="28" customHeight="1">
      <x:c r="A784" s="2" t="n">
        <x:v>777</x:v>
      </x:c>
      <x:c r="B784" s="2" t="n">
        <x:v>32</x:v>
      </x:c>
      <x:c r="C784" s="2" t="str">
        <x:v>처녀자리</x:v>
      </x:c>
      <x:c r="D784" s="2" t="str">
        <x:v>마도사</x:v>
      </x:c>
      <x:c r="E784" s="2" t="n">
        <x:v>2</x:v>
      </x:c>
      <x:c r="F784" s="2" t="n">
        <x:v>1</x:v>
      </x:c>
      <x:c r="G784" s="14" t="n">
        <x:f>('레벨 계산식'!$E$4-E784)*'레벨 계산식'!$B$5</x:f>
        <x:v>0.41999999999999993</x:v>
      </x:c>
      <x:c r="H784" s="14" t="n">
        <x:f>('등급 계산식'!$E$4-F784)*'등급 계산식'!$B$5</x:f>
        <x:v>0.24000000000000005</x:v>
      </x:c>
      <x:c r="I784" s="14" t="n">
        <x:f>1-G784-H784</x:f>
        <x:v>0.34</x:v>
      </x:c>
      <x:c r="J784" s="2" t="n">
        <x:f>MAX(1,ROUND('기준스탯 72종'!D39-R784-Z784,0))</x:f>
        <x:v>3</x:v>
      </x:c>
      <x:c r="K784" s="2" t="n">
        <x:f>MAX(1,ROUND('기준스탯 72종'!E39-S784-AA784,0))</x:f>
        <x:v>2</x:v>
      </x:c>
      <x:c r="L784" s="2" t="n">
        <x:f>MAX(1,ROUND('기준스탯 72종'!F39-T784-AB784,0))</x:f>
        <x:v>2</x:v>
      </x:c>
      <x:c r="M784" s="2" t="n">
        <x:f>MAX(1,ROUND('기준스탯 72종'!G39-U784-AC784,0))</x:f>
        <x:v>2</x:v>
      </x:c>
      <x:c r="N784" s="2" t="n">
        <x:f>MAX(0,ROUND('기준스탯 72종'!H39-V784-AD784,0))</x:f>
        <x:v>1</x:v>
      </x:c>
      <x:c r="O784" s="2" t="n">
        <x:f>MAX(0,ROUND('기준스탯 72종'!I39-W784-AE784,0))</x:f>
        <x:v>2</x:v>
      </x:c>
      <x:c r="P784" s="2" t="n">
        <x:f>MAX(0,ROUND('기준스탯 72종'!J39-X784-AF784,0))</x:f>
        <x:v>2</x:v>
      </x:c>
      <x:c r="Q784" s="2" t="n">
        <x:f>MAX(0,ROUND('기준스탯 72종'!K39-Y784-AG784,0))</x:f>
        <x:v>1</x:v>
      </x:c>
      <x:c r="R784" s="15" t="n">
        <x:f>'기준스탯 72종'!D39*G784</x:f>
        <x:v>3.3599999999999994</x:v>
      </x:c>
      <x:c r="S784" s="15" t="n">
        <x:f>'기준스탯 72종'!E39*G784</x:f>
        <x:v>2.9399999999999995</x:v>
      </x:c>
      <x:c r="T784" s="15" t="n">
        <x:f>'기준스탯 72종'!F39*G784</x:f>
        <x:v>2.9399999999999995</x:v>
      </x:c>
      <x:c r="U784" s="15" t="n">
        <x:f>'기준스탯 72종'!G39*G784</x:f>
        <x:v>2.9399999999999995</x:v>
      </x:c>
      <x:c r="V784" s="15" t="n">
        <x:f>'기준스탯 72종'!H39*G784</x:f>
        <x:v>1.2599999999999998</x:v>
      </x:c>
      <x:c r="W784" s="15" t="n">
        <x:f>'기준스탯 72종'!I39*G784</x:f>
        <x:v>2.0999999999999996</x:v>
      </x:c>
      <x:c r="X784" s="15" t="n">
        <x:f>'기준스탯 72종'!J39*G784</x:f>
        <x:v>2.0999999999999996</x:v>
      </x:c>
      <x:c r="Y784" s="15" t="n">
        <x:f>'기준스탯 72종'!K39*G784</x:f>
        <x:v>1.2599999999999998</x:v>
      </x:c>
      <x:c r="Z784" s="15" t="n">
        <x:f>'기준스탯 72종'!D39*H784</x:f>
        <x:v>1.9200000000000004</x:v>
      </x:c>
      <x:c r="AA784" s="15" t="n">
        <x:f>'기준스탯 72종'!E39*H784</x:f>
        <x:v>1.6800000000000004</x:v>
      </x:c>
      <x:c r="AB784" s="15" t="n">
        <x:f>'기준스탯 72종'!F39*H784</x:f>
        <x:v>1.6800000000000004</x:v>
      </x:c>
      <x:c r="AC784" s="15" t="n">
        <x:f>'기준스탯 72종'!G39*H784</x:f>
        <x:v>1.6800000000000004</x:v>
      </x:c>
      <x:c r="AD784" s="15" t="n">
        <x:f>'기준스탯 72종'!H39*H784</x:f>
        <x:v>0.7200000000000002</x:v>
      </x:c>
      <x:c r="AE784" s="15" t="n">
        <x:f>'기준스탯 72종'!I39*H784</x:f>
        <x:v>1.2000000000000002</x:v>
      </x:c>
      <x:c r="AF784" s="15" t="n">
        <x:f>'기준스탯 72종'!J39*H784</x:f>
        <x:v>1.2000000000000002</x:v>
      </x:c>
      <x:c r="AG784" s="15" t="n">
        <x:f>'기준스탯 72종'!K39*H784</x:f>
        <x:v>0.7200000000000002</x:v>
      </x:c>
    </x:row>
    <x:row r="785" ht="28" customHeight="1">
      <x:c r="A785" s="2" t="n">
        <x:v>778</x:v>
      </x:c>
      <x:c r="B785" s="2" t="n">
        <x:v>32</x:v>
      </x:c>
      <x:c r="C785" s="2" t="str">
        <x:v>처녀자리</x:v>
      </x:c>
      <x:c r="D785" s="2" t="str">
        <x:v>마도사</x:v>
      </x:c>
      <x:c r="E785" s="2" t="n">
        <x:v>3</x:v>
      </x:c>
      <x:c r="F785" s="2" t="n">
        <x:v>1</x:v>
      </x:c>
      <x:c r="G785" s="14" t="n">
        <x:f>('레벨 계산식'!$E$4-E785)*'레벨 계산식'!$B$5</x:f>
        <x:v>0.27999999999999997</x:v>
      </x:c>
      <x:c r="H785" s="14" t="n">
        <x:f>('등급 계산식'!$E$4-F785)*'등급 계산식'!$B$5</x:f>
        <x:v>0.24000000000000005</x:v>
      </x:c>
      <x:c r="I785" s="14" t="n">
        <x:f>1-G785-H785</x:f>
        <x:v>0.4799999999999999</x:v>
      </x:c>
      <x:c r="J785" s="2" t="n">
        <x:f>MAX(1,ROUND('기준스탯 72종'!D39-R785-Z785,0))</x:f>
        <x:v>4</x:v>
      </x:c>
      <x:c r="K785" s="2" t="n">
        <x:f>MAX(1,ROUND('기준스탯 72종'!E39-S785-AA785,0))</x:f>
        <x:v>3</x:v>
      </x:c>
      <x:c r="L785" s="2" t="n">
        <x:f>MAX(1,ROUND('기준스탯 72종'!F39-T785-AB785,0))</x:f>
        <x:v>3</x:v>
      </x:c>
      <x:c r="M785" s="2" t="n">
        <x:f>MAX(1,ROUND('기준스탯 72종'!G39-U785-AC785,0))</x:f>
        <x:v>3</x:v>
      </x:c>
      <x:c r="N785" s="2" t="n">
        <x:f>MAX(0,ROUND('기준스탯 72종'!H39-V785-AD785,0))</x:f>
        <x:v>1</x:v>
      </x:c>
      <x:c r="O785" s="2" t="n">
        <x:f>MAX(0,ROUND('기준스탯 72종'!I39-W785-AE785,0))</x:f>
        <x:v>2</x:v>
      </x:c>
      <x:c r="P785" s="2" t="n">
        <x:f>MAX(0,ROUND('기준스탯 72종'!J39-X785-AF785,0))</x:f>
        <x:v>2</x:v>
      </x:c>
      <x:c r="Q785" s="2" t="n">
        <x:f>MAX(0,ROUND('기준스탯 72종'!K39-Y785-AG785,0))</x:f>
        <x:v>1</x:v>
      </x:c>
      <x:c r="R785" s="15" t="n">
        <x:f>'기준스탯 72종'!D39*G785</x:f>
        <x:v>2.2399999999999998</x:v>
      </x:c>
      <x:c r="S785" s="15" t="n">
        <x:f>'기준스탯 72종'!E39*G785</x:f>
        <x:v>1.9599999999999997</x:v>
      </x:c>
      <x:c r="T785" s="15" t="n">
        <x:f>'기준스탯 72종'!F39*G785</x:f>
        <x:v>1.9599999999999997</x:v>
      </x:c>
      <x:c r="U785" s="15" t="n">
        <x:f>'기준스탯 72종'!G39*G785</x:f>
        <x:v>1.9599999999999997</x:v>
      </x:c>
      <x:c r="V785" s="15" t="n">
        <x:f>'기준스탯 72종'!H39*G785</x:f>
        <x:v>0.8399999999999999</x:v>
      </x:c>
      <x:c r="W785" s="15" t="n">
        <x:f>'기준스탯 72종'!I39*G785</x:f>
        <x:v>1.4</x:v>
      </x:c>
      <x:c r="X785" s="15" t="n">
        <x:f>'기준스탯 72종'!J39*G785</x:f>
        <x:v>1.4</x:v>
      </x:c>
      <x:c r="Y785" s="15" t="n">
        <x:f>'기준스탯 72종'!K39*G785</x:f>
        <x:v>0.8399999999999999</x:v>
      </x:c>
      <x:c r="Z785" s="15" t="n">
        <x:f>'기준스탯 72종'!D39*H785</x:f>
        <x:v>1.9200000000000004</x:v>
      </x:c>
      <x:c r="AA785" s="15" t="n">
        <x:f>'기준스탯 72종'!E39*H785</x:f>
        <x:v>1.6800000000000004</x:v>
      </x:c>
      <x:c r="AB785" s="15" t="n">
        <x:f>'기준스탯 72종'!F39*H785</x:f>
        <x:v>1.6800000000000004</x:v>
      </x:c>
      <x:c r="AC785" s="15" t="n">
        <x:f>'기준스탯 72종'!G39*H785</x:f>
        <x:v>1.6800000000000004</x:v>
      </x:c>
      <x:c r="AD785" s="15" t="n">
        <x:f>'기준스탯 72종'!H39*H785</x:f>
        <x:v>0.7200000000000002</x:v>
      </x:c>
      <x:c r="AE785" s="15" t="n">
        <x:f>'기준스탯 72종'!I39*H785</x:f>
        <x:v>1.2000000000000002</x:v>
      </x:c>
      <x:c r="AF785" s="15" t="n">
        <x:f>'기준스탯 72종'!J39*H785</x:f>
        <x:v>1.2000000000000002</x:v>
      </x:c>
      <x:c r="AG785" s="15" t="n">
        <x:f>'기준스탯 72종'!K39*H785</x:f>
        <x:v>0.7200000000000002</x:v>
      </x:c>
    </x:row>
    <x:row r="786" ht="28" customHeight="1">
      <x:c r="A786" s="2" t="n">
        <x:v>779</x:v>
      </x:c>
      <x:c r="B786" s="2" t="n">
        <x:v>32</x:v>
      </x:c>
      <x:c r="C786" s="2" t="str">
        <x:v>처녀자리</x:v>
      </x:c>
      <x:c r="D786" s="2" t="str">
        <x:v>마도사</x:v>
      </x:c>
      <x:c r="E786" s="2" t="n">
        <x:v>4</x:v>
      </x:c>
      <x:c r="F786" s="2" t="n">
        <x:v>1</x:v>
      </x:c>
      <x:c r="G786" s="14" t="n">
        <x:f>('레벨 계산식'!$E$4-E786)*'레벨 계산식'!$B$5</x:f>
        <x:v>0.13999999999999999</x:v>
      </x:c>
      <x:c r="H786" s="14" t="n">
        <x:f>('등급 계산식'!$E$4-F786)*'등급 계산식'!$B$5</x:f>
        <x:v>0.24000000000000005</x:v>
      </x:c>
      <x:c r="I786" s="14" t="n">
        <x:f>1-G786-H786</x:f>
        <x:v>0.6199999999999999</x:v>
      </x:c>
      <x:c r="J786" s="2" t="n">
        <x:f>MAX(1,ROUND('기준스탯 72종'!D39-R786-Z786,0))</x:f>
        <x:v>5</x:v>
      </x:c>
      <x:c r="K786" s="2" t="n">
        <x:f>MAX(1,ROUND('기준스탯 72종'!E39-S786-AA786,0))</x:f>
        <x:v>4</x:v>
      </x:c>
      <x:c r="L786" s="2" t="n">
        <x:f>MAX(1,ROUND('기준스탯 72종'!F39-T786-AB786,0))</x:f>
        <x:v>4</x:v>
      </x:c>
      <x:c r="M786" s="2" t="n">
        <x:f>MAX(1,ROUND('기준스탯 72종'!G39-U786-AC786,0))</x:f>
        <x:v>4</x:v>
      </x:c>
      <x:c r="N786" s="2" t="n">
        <x:f>MAX(0,ROUND('기준스탯 72종'!H39-V786-AD786,0))</x:f>
        <x:v>2</x:v>
      </x:c>
      <x:c r="O786" s="2" t="n">
        <x:f>MAX(0,ROUND('기준스탯 72종'!I39-W786-AE786,0))</x:f>
        <x:v>3</x:v>
      </x:c>
      <x:c r="P786" s="2" t="n">
        <x:f>MAX(0,ROUND('기준스탯 72종'!J39-X786-AF786,0))</x:f>
        <x:v>3</x:v>
      </x:c>
      <x:c r="Q786" s="2" t="n">
        <x:f>MAX(0,ROUND('기준스탯 72종'!K39-Y786-AG786,0))</x:f>
        <x:v>2</x:v>
      </x:c>
      <x:c r="R786" s="15" t="n">
        <x:f>'기준스탯 72종'!D39*G786</x:f>
        <x:v>1.1199999999999999</x:v>
      </x:c>
      <x:c r="S786" s="15" t="n">
        <x:f>'기준스탯 72종'!E39*G786</x:f>
        <x:v>0.9799999999999999</x:v>
      </x:c>
      <x:c r="T786" s="15" t="n">
        <x:f>'기준스탯 72종'!F39*G786</x:f>
        <x:v>0.9799999999999999</x:v>
      </x:c>
      <x:c r="U786" s="15" t="n">
        <x:f>'기준스탯 72종'!G39*G786</x:f>
        <x:v>0.9799999999999999</x:v>
      </x:c>
      <x:c r="V786" s="15" t="n">
        <x:f>'기준스탯 72종'!H39*G786</x:f>
        <x:v>0.41999999999999993</x:v>
      </x:c>
      <x:c r="W786" s="15" t="n">
        <x:f>'기준스탯 72종'!I39*G786</x:f>
        <x:v>0.7</x:v>
      </x:c>
      <x:c r="X786" s="15" t="n">
        <x:f>'기준스탯 72종'!J39*G786</x:f>
        <x:v>0.7</x:v>
      </x:c>
      <x:c r="Y786" s="15" t="n">
        <x:f>'기준스탯 72종'!K39*G786</x:f>
        <x:v>0.41999999999999993</x:v>
      </x:c>
      <x:c r="Z786" s="15" t="n">
        <x:f>'기준스탯 72종'!D39*H786</x:f>
        <x:v>1.9200000000000004</x:v>
      </x:c>
      <x:c r="AA786" s="15" t="n">
        <x:f>'기준스탯 72종'!E39*H786</x:f>
        <x:v>1.6800000000000004</x:v>
      </x:c>
      <x:c r="AB786" s="15" t="n">
        <x:f>'기준스탯 72종'!F39*H786</x:f>
        <x:v>1.6800000000000004</x:v>
      </x:c>
      <x:c r="AC786" s="15" t="n">
        <x:f>'기준스탯 72종'!G39*H786</x:f>
        <x:v>1.6800000000000004</x:v>
      </x:c>
      <x:c r="AD786" s="15" t="n">
        <x:f>'기준스탯 72종'!H39*H786</x:f>
        <x:v>0.7200000000000002</x:v>
      </x:c>
      <x:c r="AE786" s="15" t="n">
        <x:f>'기준스탯 72종'!I39*H786</x:f>
        <x:v>1.2000000000000002</x:v>
      </x:c>
      <x:c r="AF786" s="15" t="n">
        <x:f>'기준스탯 72종'!J39*H786</x:f>
        <x:v>1.2000000000000002</x:v>
      </x:c>
      <x:c r="AG786" s="15" t="n">
        <x:f>'기준스탯 72종'!K39*H786</x:f>
        <x:v>0.7200000000000002</x:v>
      </x:c>
    </x:row>
    <x:row r="787" ht="28" customHeight="1">
      <x:c r="A787" s="2" t="n">
        <x:v>780</x:v>
      </x:c>
      <x:c r="B787" s="2" t="n">
        <x:v>32</x:v>
      </x:c>
      <x:c r="C787" s="2" t="str">
        <x:v>처녀자리</x:v>
      </x:c>
      <x:c r="D787" s="2" t="str">
        <x:v>마도사</x:v>
      </x:c>
      <x:c r="E787" s="2" t="n">
        <x:v>5</x:v>
      </x:c>
      <x:c r="F787" s="2" t="n">
        <x:v>1</x:v>
      </x:c>
      <x:c r="G787" s="14" t="n">
        <x:f>('레벨 계산식'!$E$4-E787)*'레벨 계산식'!$B$5</x:f>
        <x:v>0</x:v>
      </x:c>
      <x:c r="H787" s="14" t="n">
        <x:f>('등급 계산식'!$E$4-F787)*'등급 계산식'!$B$5</x:f>
        <x:v>0.24000000000000005</x:v>
      </x:c>
      <x:c r="I787" s="14" t="n">
        <x:f>1-G787-H787</x:f>
        <x:v>0.76</x:v>
      </x:c>
      <x:c r="J787" s="2" t="n">
        <x:f>MAX(1,ROUND('기준스탯 72종'!D39-R787-Z787,0))</x:f>
        <x:v>6</x:v>
      </x:c>
      <x:c r="K787" s="2" t="n">
        <x:f>MAX(1,ROUND('기준스탯 72종'!E39-S787-AA787,0))</x:f>
        <x:v>5</x:v>
      </x:c>
      <x:c r="L787" s="2" t="n">
        <x:f>MAX(1,ROUND('기준스탯 72종'!F39-T787-AB787,0))</x:f>
        <x:v>5</x:v>
      </x:c>
      <x:c r="M787" s="2" t="n">
        <x:f>MAX(1,ROUND('기준스탯 72종'!G39-U787-AC787,0))</x:f>
        <x:v>5</x:v>
      </x:c>
      <x:c r="N787" s="2" t="n">
        <x:f>MAX(0,ROUND('기준스탯 72종'!H39-V787-AD787,0))</x:f>
        <x:v>2</x:v>
      </x:c>
      <x:c r="O787" s="2" t="n">
        <x:f>MAX(0,ROUND('기준스탯 72종'!I39-W787-AE787,0))</x:f>
        <x:v>4</x:v>
      </x:c>
      <x:c r="P787" s="2" t="n">
        <x:f>MAX(0,ROUND('기준스탯 72종'!J39-X787-AF787,0))</x:f>
        <x:v>4</x:v>
      </x:c>
      <x:c r="Q787" s="2" t="n">
        <x:f>MAX(0,ROUND('기준스탯 72종'!K39-Y787-AG787,0))</x:f>
        <x:v>2</x:v>
      </x:c>
      <x:c r="R787" s="15" t="n">
        <x:f>'기준스탯 72종'!D39*G787</x:f>
        <x:v>0</x:v>
      </x:c>
      <x:c r="S787" s="15" t="n">
        <x:f>'기준스탯 72종'!E39*G787</x:f>
        <x:v>0</x:v>
      </x:c>
      <x:c r="T787" s="15" t="n">
        <x:f>'기준스탯 72종'!F39*G787</x:f>
        <x:v>0</x:v>
      </x:c>
      <x:c r="U787" s="15" t="n">
        <x:f>'기준스탯 72종'!G39*G787</x:f>
        <x:v>0</x:v>
      </x:c>
      <x:c r="V787" s="15" t="n">
        <x:f>'기준스탯 72종'!H39*G787</x:f>
        <x:v>0</x:v>
      </x:c>
      <x:c r="W787" s="15" t="n">
        <x:f>'기준스탯 72종'!I39*G787</x:f>
        <x:v>0</x:v>
      </x:c>
      <x:c r="X787" s="15" t="n">
        <x:f>'기준스탯 72종'!J39*G787</x:f>
        <x:v>0</x:v>
      </x:c>
      <x:c r="Y787" s="15" t="n">
        <x:f>'기준스탯 72종'!K39*G787</x:f>
        <x:v>0</x:v>
      </x:c>
      <x:c r="Z787" s="15" t="n">
        <x:f>'기준스탯 72종'!D39*H787</x:f>
        <x:v>1.9200000000000004</x:v>
      </x:c>
      <x:c r="AA787" s="15" t="n">
        <x:f>'기준스탯 72종'!E39*H787</x:f>
        <x:v>1.6800000000000004</x:v>
      </x:c>
      <x:c r="AB787" s="15" t="n">
        <x:f>'기준스탯 72종'!F39*H787</x:f>
        <x:v>1.6800000000000004</x:v>
      </x:c>
      <x:c r="AC787" s="15" t="n">
        <x:f>'기준스탯 72종'!G39*H787</x:f>
        <x:v>1.6800000000000004</x:v>
      </x:c>
      <x:c r="AD787" s="15" t="n">
        <x:f>'기준스탯 72종'!H39*H787</x:f>
        <x:v>0.7200000000000002</x:v>
      </x:c>
      <x:c r="AE787" s="15" t="n">
        <x:f>'기준스탯 72종'!I39*H787</x:f>
        <x:v>1.2000000000000002</x:v>
      </x:c>
      <x:c r="AF787" s="15" t="n">
        <x:f>'기준스탯 72종'!J39*H787</x:f>
        <x:v>1.2000000000000002</x:v>
      </x:c>
      <x:c r="AG787" s="15" t="n">
        <x:f>'기준스탯 72종'!K39*H787</x:f>
        <x:v>0.7200000000000002</x:v>
      </x:c>
    </x:row>
    <x:row r="788" ht="28" customHeight="1">
      <x:c r="A788" s="2" t="n">
        <x:v>781</x:v>
      </x:c>
      <x:c r="B788" s="2" t="n">
        <x:v>32</x:v>
      </x:c>
      <x:c r="C788" s="2" t="str">
        <x:v>처녀자리</x:v>
      </x:c>
      <x:c r="D788" s="2" t="str">
        <x:v>마도사</x:v>
      </x:c>
      <x:c r="E788" s="2" t="n">
        <x:v>1</x:v>
      </x:c>
      <x:c r="F788" s="2" t="n">
        <x:v>2</x:v>
      </x:c>
      <x:c r="G788" s="14" t="n">
        <x:f>('레벨 계산식'!$E$4-E788)*'레벨 계산식'!$B$5</x:f>
        <x:v>0.5599999999999999</x:v>
      </x:c>
      <x:c r="H788" s="14" t="n">
        <x:f>('등급 계산식'!$E$4-F788)*'등급 계산식'!$B$5</x:f>
        <x:v>0.18000000000000005</x:v>
      </x:c>
      <x:c r="I788" s="14" t="n">
        <x:f>1-G788-H788</x:f>
        <x:v>0.26</x:v>
      </x:c>
      <x:c r="J788" s="2" t="n">
        <x:f>MAX(1,ROUND('기준스탯 72종'!D39-R788-Z788,0))</x:f>
        <x:v>2</x:v>
      </x:c>
      <x:c r="K788" s="2" t="n">
        <x:f>MAX(1,ROUND('기준스탯 72종'!E39-S788-AA788,0))</x:f>
        <x:v>2</x:v>
      </x:c>
      <x:c r="L788" s="2" t="n">
        <x:f>MAX(1,ROUND('기준스탯 72종'!F39-T788-AB788,0))</x:f>
        <x:v>2</x:v>
      </x:c>
      <x:c r="M788" s="2" t="n">
        <x:f>MAX(1,ROUND('기준스탯 72종'!G39-U788-AC788,0))</x:f>
        <x:v>2</x:v>
      </x:c>
      <x:c r="N788" s="2" t="n">
        <x:f>MAX(0,ROUND('기준스탯 72종'!H39-V788-AD788,0))</x:f>
        <x:v>1</x:v>
      </x:c>
      <x:c r="O788" s="2" t="n">
        <x:f>MAX(0,ROUND('기준스탯 72종'!I39-W788-AE788,0))</x:f>
        <x:v>1</x:v>
      </x:c>
      <x:c r="P788" s="2" t="n">
        <x:f>MAX(0,ROUND('기준스탯 72종'!J39-X788-AF788,0))</x:f>
        <x:v>1</x:v>
      </x:c>
      <x:c r="Q788" s="2" t="n">
        <x:f>MAX(0,ROUND('기준스탯 72종'!K39-Y788-AG788,0))</x:f>
        <x:v>1</x:v>
      </x:c>
      <x:c r="R788" s="15" t="n">
        <x:f>'기준스탯 72종'!D39*G788</x:f>
        <x:v>4.4799999999999995</x:v>
      </x:c>
      <x:c r="S788" s="15" t="n">
        <x:f>'기준스탯 72종'!E39*G788</x:f>
        <x:v>3.9199999999999995</x:v>
      </x:c>
      <x:c r="T788" s="15" t="n">
        <x:f>'기준스탯 72종'!F39*G788</x:f>
        <x:v>3.9199999999999995</x:v>
      </x:c>
      <x:c r="U788" s="15" t="n">
        <x:f>'기준스탯 72종'!G39*G788</x:f>
        <x:v>3.9199999999999995</x:v>
      </x:c>
      <x:c r="V788" s="15" t="n">
        <x:f>'기준스탯 72종'!H39*G788</x:f>
        <x:v>1.6799999999999997</x:v>
      </x:c>
      <x:c r="W788" s="15" t="n">
        <x:f>'기준스탯 72종'!I39*G788</x:f>
        <x:v>2.8</x:v>
      </x:c>
      <x:c r="X788" s="15" t="n">
        <x:f>'기준스탯 72종'!J39*G788</x:f>
        <x:v>2.8</x:v>
      </x:c>
      <x:c r="Y788" s="15" t="n">
        <x:f>'기준스탯 72종'!K39*G788</x:f>
        <x:v>1.6799999999999997</x:v>
      </x:c>
      <x:c r="Z788" s="15" t="n">
        <x:f>'기준스탯 72종'!D39*H788</x:f>
        <x:v>1.4400000000000004</x:v>
      </x:c>
      <x:c r="AA788" s="15" t="n">
        <x:f>'기준스탯 72종'!E39*H788</x:f>
        <x:v>1.2600000000000002</x:v>
      </x:c>
      <x:c r="AB788" s="15" t="n">
        <x:f>'기준스탯 72종'!F39*H788</x:f>
        <x:v>1.2600000000000002</x:v>
      </x:c>
      <x:c r="AC788" s="15" t="n">
        <x:f>'기준스탯 72종'!G39*H788</x:f>
        <x:v>1.2600000000000002</x:v>
      </x:c>
      <x:c r="AD788" s="15" t="n">
        <x:f>'기준스탯 72종'!H39*H788</x:f>
        <x:v>0.5400000000000001</x:v>
      </x:c>
      <x:c r="AE788" s="15" t="n">
        <x:f>'기준스탯 72종'!I39*H788</x:f>
        <x:v>0.9000000000000002</x:v>
      </x:c>
      <x:c r="AF788" s="15" t="n">
        <x:f>'기준스탯 72종'!J39*H788</x:f>
        <x:v>0.9000000000000002</x:v>
      </x:c>
      <x:c r="AG788" s="15" t="n">
        <x:f>'기준스탯 72종'!K39*H788</x:f>
        <x:v>0.5400000000000001</x:v>
      </x:c>
    </x:row>
    <x:row r="789" ht="28" customHeight="1">
      <x:c r="A789" s="2" t="n">
        <x:v>782</x:v>
      </x:c>
      <x:c r="B789" s="2" t="n">
        <x:v>32</x:v>
      </x:c>
      <x:c r="C789" s="2" t="str">
        <x:v>처녀자리</x:v>
      </x:c>
      <x:c r="D789" s="2" t="str">
        <x:v>마도사</x:v>
      </x:c>
      <x:c r="E789" s="2" t="n">
        <x:v>2</x:v>
      </x:c>
      <x:c r="F789" s="2" t="n">
        <x:v>2</x:v>
      </x:c>
      <x:c r="G789" s="14" t="n">
        <x:f>('레벨 계산식'!$E$4-E789)*'레벨 계산식'!$B$5</x:f>
        <x:v>0.41999999999999993</x:v>
      </x:c>
      <x:c r="H789" s="14" t="n">
        <x:f>('등급 계산식'!$E$4-F789)*'등급 계산식'!$B$5</x:f>
        <x:v>0.18000000000000005</x:v>
      </x:c>
      <x:c r="I789" s="14" t="n">
        <x:f>1-G789-H789</x:f>
        <x:v>0.4</x:v>
      </x:c>
      <x:c r="J789" s="2" t="n">
        <x:f>MAX(1,ROUND('기준스탯 72종'!D39-R789-Z789,0))</x:f>
        <x:v>3</x:v>
      </x:c>
      <x:c r="K789" s="2" t="n">
        <x:f>MAX(1,ROUND('기준스탯 72종'!E39-S789-AA789,0))</x:f>
        <x:v>3</x:v>
      </x:c>
      <x:c r="L789" s="2" t="n">
        <x:f>MAX(1,ROUND('기준스탯 72종'!F39-T789-AB789,0))</x:f>
        <x:v>3</x:v>
      </x:c>
      <x:c r="M789" s="2" t="n">
        <x:f>MAX(1,ROUND('기준스탯 72종'!G39-U789-AC789,0))</x:f>
        <x:v>3</x:v>
      </x:c>
      <x:c r="N789" s="2" t="n">
        <x:f>MAX(0,ROUND('기준스탯 72종'!H39-V789-AD789,0))</x:f>
        <x:v>1</x:v>
      </x:c>
      <x:c r="O789" s="2" t="n">
        <x:f>MAX(0,ROUND('기준스탯 72종'!I39-W789-AE789,0))</x:f>
        <x:v>2</x:v>
      </x:c>
      <x:c r="P789" s="2" t="n">
        <x:f>MAX(0,ROUND('기준스탯 72종'!J39-X789-AF789,0))</x:f>
        <x:v>2</x:v>
      </x:c>
      <x:c r="Q789" s="2" t="n">
        <x:f>MAX(0,ROUND('기준스탯 72종'!K39-Y789-AG789,0))</x:f>
        <x:v>1</x:v>
      </x:c>
      <x:c r="R789" s="15" t="n">
        <x:f>'기준스탯 72종'!D39*G789</x:f>
        <x:v>3.3599999999999994</x:v>
      </x:c>
      <x:c r="S789" s="15" t="n">
        <x:f>'기준스탯 72종'!E39*G789</x:f>
        <x:v>2.9399999999999995</x:v>
      </x:c>
      <x:c r="T789" s="15" t="n">
        <x:f>'기준스탯 72종'!F39*G789</x:f>
        <x:v>2.9399999999999995</x:v>
      </x:c>
      <x:c r="U789" s="15" t="n">
        <x:f>'기준스탯 72종'!G39*G789</x:f>
        <x:v>2.9399999999999995</x:v>
      </x:c>
      <x:c r="V789" s="15" t="n">
        <x:f>'기준스탯 72종'!H39*G789</x:f>
        <x:v>1.2599999999999998</x:v>
      </x:c>
      <x:c r="W789" s="15" t="n">
        <x:f>'기준스탯 72종'!I39*G789</x:f>
        <x:v>2.0999999999999996</x:v>
      </x:c>
      <x:c r="X789" s="15" t="n">
        <x:f>'기준스탯 72종'!J39*G789</x:f>
        <x:v>2.0999999999999996</x:v>
      </x:c>
      <x:c r="Y789" s="15" t="n">
        <x:f>'기준스탯 72종'!K39*G789</x:f>
        <x:v>1.2599999999999998</x:v>
      </x:c>
      <x:c r="Z789" s="15" t="n">
        <x:f>'기준스탯 72종'!D39*H789</x:f>
        <x:v>1.4400000000000004</x:v>
      </x:c>
      <x:c r="AA789" s="15" t="n">
        <x:f>'기준스탯 72종'!E39*H789</x:f>
        <x:v>1.2600000000000002</x:v>
      </x:c>
      <x:c r="AB789" s="15" t="n">
        <x:f>'기준스탯 72종'!F39*H789</x:f>
        <x:v>1.2600000000000002</x:v>
      </x:c>
      <x:c r="AC789" s="15" t="n">
        <x:f>'기준스탯 72종'!G39*H789</x:f>
        <x:v>1.2600000000000002</x:v>
      </x:c>
      <x:c r="AD789" s="15" t="n">
        <x:f>'기준스탯 72종'!H39*H789</x:f>
        <x:v>0.5400000000000001</x:v>
      </x:c>
      <x:c r="AE789" s="15" t="n">
        <x:f>'기준스탯 72종'!I39*H789</x:f>
        <x:v>0.9000000000000002</x:v>
      </x:c>
      <x:c r="AF789" s="15" t="n">
        <x:f>'기준스탯 72종'!J39*H789</x:f>
        <x:v>0.9000000000000002</x:v>
      </x:c>
      <x:c r="AG789" s="15" t="n">
        <x:f>'기준스탯 72종'!K39*H789</x:f>
        <x:v>0.5400000000000001</x:v>
      </x:c>
    </x:row>
    <x:row r="790" ht="28" customHeight="1">
      <x:c r="A790" s="2" t="n">
        <x:v>783</x:v>
      </x:c>
      <x:c r="B790" s="2" t="n">
        <x:v>32</x:v>
      </x:c>
      <x:c r="C790" s="2" t="str">
        <x:v>처녀자리</x:v>
      </x:c>
      <x:c r="D790" s="2" t="str">
        <x:v>마도사</x:v>
      </x:c>
      <x:c r="E790" s="2" t="n">
        <x:v>3</x:v>
      </x:c>
      <x:c r="F790" s="2" t="n">
        <x:v>2</x:v>
      </x:c>
      <x:c r="G790" s="14" t="n">
        <x:f>('레벨 계산식'!$E$4-E790)*'레벨 계산식'!$B$5</x:f>
        <x:v>0.27999999999999997</x:v>
      </x:c>
      <x:c r="H790" s="14" t="n">
        <x:f>('등급 계산식'!$E$4-F790)*'등급 계산식'!$B$5</x:f>
        <x:v>0.18000000000000005</x:v>
      </x:c>
      <x:c r="I790" s="14" t="n">
        <x:f>1-G790-H790</x:f>
        <x:v>0.5399999999999999</x:v>
      </x:c>
      <x:c r="J790" s="2" t="n">
        <x:f>MAX(1,ROUND('기준스탯 72종'!D39-R790-Z790,0))</x:f>
        <x:v>4</x:v>
      </x:c>
      <x:c r="K790" s="2" t="n">
        <x:f>MAX(1,ROUND('기준스탯 72종'!E39-S790-AA790,0))</x:f>
        <x:v>4</x:v>
      </x:c>
      <x:c r="L790" s="2" t="n">
        <x:f>MAX(1,ROUND('기준스탯 72종'!F39-T790-AB790,0))</x:f>
        <x:v>4</x:v>
      </x:c>
      <x:c r="M790" s="2" t="n">
        <x:f>MAX(1,ROUND('기준스탯 72종'!G39-U790-AC790,0))</x:f>
        <x:v>4</x:v>
      </x:c>
      <x:c r="N790" s="2" t="n">
        <x:f>MAX(0,ROUND('기준스탯 72종'!H39-V790-AD790,0))</x:f>
        <x:v>2</x:v>
      </x:c>
      <x:c r="O790" s="2" t="n">
        <x:f>MAX(0,ROUND('기준스탯 72종'!I39-W790-AE790,0))</x:f>
        <x:v>3</x:v>
      </x:c>
      <x:c r="P790" s="2" t="n">
        <x:f>MAX(0,ROUND('기준스탯 72종'!J39-X790-AF790,0))</x:f>
        <x:v>3</x:v>
      </x:c>
      <x:c r="Q790" s="2" t="n">
        <x:f>MAX(0,ROUND('기준스탯 72종'!K39-Y790-AG790,0))</x:f>
        <x:v>2</x:v>
      </x:c>
      <x:c r="R790" s="15" t="n">
        <x:f>'기준스탯 72종'!D39*G790</x:f>
        <x:v>2.2399999999999998</x:v>
      </x:c>
      <x:c r="S790" s="15" t="n">
        <x:f>'기준스탯 72종'!E39*G790</x:f>
        <x:v>1.9599999999999997</x:v>
      </x:c>
      <x:c r="T790" s="15" t="n">
        <x:f>'기준스탯 72종'!F39*G790</x:f>
        <x:v>1.9599999999999997</x:v>
      </x:c>
      <x:c r="U790" s="15" t="n">
        <x:f>'기준스탯 72종'!G39*G790</x:f>
        <x:v>1.9599999999999997</x:v>
      </x:c>
      <x:c r="V790" s="15" t="n">
        <x:f>'기준스탯 72종'!H39*G790</x:f>
        <x:v>0.8399999999999999</x:v>
      </x:c>
      <x:c r="W790" s="15" t="n">
        <x:f>'기준스탯 72종'!I39*G790</x:f>
        <x:v>1.4</x:v>
      </x:c>
      <x:c r="X790" s="15" t="n">
        <x:f>'기준스탯 72종'!J39*G790</x:f>
        <x:v>1.4</x:v>
      </x:c>
      <x:c r="Y790" s="15" t="n">
        <x:f>'기준스탯 72종'!K39*G790</x:f>
        <x:v>0.8399999999999999</x:v>
      </x:c>
      <x:c r="Z790" s="15" t="n">
        <x:f>'기준스탯 72종'!D39*H790</x:f>
        <x:v>1.4400000000000004</x:v>
      </x:c>
      <x:c r="AA790" s="15" t="n">
        <x:f>'기준스탯 72종'!E39*H790</x:f>
        <x:v>1.2600000000000002</x:v>
      </x:c>
      <x:c r="AB790" s="15" t="n">
        <x:f>'기준스탯 72종'!F39*H790</x:f>
        <x:v>1.2600000000000002</x:v>
      </x:c>
      <x:c r="AC790" s="15" t="n">
        <x:f>'기준스탯 72종'!G39*H790</x:f>
        <x:v>1.2600000000000002</x:v>
      </x:c>
      <x:c r="AD790" s="15" t="n">
        <x:f>'기준스탯 72종'!H39*H790</x:f>
        <x:v>0.5400000000000001</x:v>
      </x:c>
      <x:c r="AE790" s="15" t="n">
        <x:f>'기준스탯 72종'!I39*H790</x:f>
        <x:v>0.9000000000000002</x:v>
      </x:c>
      <x:c r="AF790" s="15" t="n">
        <x:f>'기준스탯 72종'!J39*H790</x:f>
        <x:v>0.9000000000000002</x:v>
      </x:c>
      <x:c r="AG790" s="15" t="n">
        <x:f>'기준스탯 72종'!K39*H790</x:f>
        <x:v>0.5400000000000001</x:v>
      </x:c>
    </x:row>
    <x:row r="791" ht="28" customHeight="1">
      <x:c r="A791" s="2" t="n">
        <x:v>784</x:v>
      </x:c>
      <x:c r="B791" s="2" t="n">
        <x:v>32</x:v>
      </x:c>
      <x:c r="C791" s="2" t="str">
        <x:v>처녀자리</x:v>
      </x:c>
      <x:c r="D791" s="2" t="str">
        <x:v>마도사</x:v>
      </x:c>
      <x:c r="E791" s="2" t="n">
        <x:v>4</x:v>
      </x:c>
      <x:c r="F791" s="2" t="n">
        <x:v>2</x:v>
      </x:c>
      <x:c r="G791" s="14" t="n">
        <x:f>('레벨 계산식'!$E$4-E791)*'레벨 계산식'!$B$5</x:f>
        <x:v>0.13999999999999999</x:v>
      </x:c>
      <x:c r="H791" s="14" t="n">
        <x:f>('등급 계산식'!$E$4-F791)*'등급 계산식'!$B$5</x:f>
        <x:v>0.18000000000000005</x:v>
      </x:c>
      <x:c r="I791" s="14" t="n">
        <x:f>1-G791-H791</x:f>
        <x:v>0.6799999999999999</x:v>
      </x:c>
      <x:c r="J791" s="2" t="n">
        <x:f>MAX(1,ROUND('기준스탯 72종'!D39-R791-Z791,0))</x:f>
        <x:v>5</x:v>
      </x:c>
      <x:c r="K791" s="2" t="n">
        <x:f>MAX(1,ROUND('기준스탯 72종'!E39-S791-AA791,0))</x:f>
        <x:v>5</x:v>
      </x:c>
      <x:c r="L791" s="2" t="n">
        <x:f>MAX(1,ROUND('기준스탯 72종'!F39-T791-AB791,0))</x:f>
        <x:v>5</x:v>
      </x:c>
      <x:c r="M791" s="2" t="n">
        <x:f>MAX(1,ROUND('기준스탯 72종'!G39-U791-AC791,0))</x:f>
        <x:v>5</x:v>
      </x:c>
      <x:c r="N791" s="2" t="n">
        <x:f>MAX(0,ROUND('기준스탯 72종'!H39-V791-AD791,0))</x:f>
        <x:v>2</x:v>
      </x:c>
      <x:c r="O791" s="2" t="n">
        <x:f>MAX(0,ROUND('기준스탯 72종'!I39-W791-AE791,0))</x:f>
        <x:v>3</x:v>
      </x:c>
      <x:c r="P791" s="2" t="n">
        <x:f>MAX(0,ROUND('기준스탯 72종'!J39-X791-AF791,0))</x:f>
        <x:v>3</x:v>
      </x:c>
      <x:c r="Q791" s="2" t="n">
        <x:f>MAX(0,ROUND('기준스탯 72종'!K39-Y791-AG791,0))</x:f>
        <x:v>2</x:v>
      </x:c>
      <x:c r="R791" s="15" t="n">
        <x:f>'기준스탯 72종'!D39*G791</x:f>
        <x:v>1.1199999999999999</x:v>
      </x:c>
      <x:c r="S791" s="15" t="n">
        <x:f>'기준스탯 72종'!E39*G791</x:f>
        <x:v>0.9799999999999999</x:v>
      </x:c>
      <x:c r="T791" s="15" t="n">
        <x:f>'기준스탯 72종'!F39*G791</x:f>
        <x:v>0.9799999999999999</x:v>
      </x:c>
      <x:c r="U791" s="15" t="n">
        <x:f>'기준스탯 72종'!G39*G791</x:f>
        <x:v>0.9799999999999999</x:v>
      </x:c>
      <x:c r="V791" s="15" t="n">
        <x:f>'기준스탯 72종'!H39*G791</x:f>
        <x:v>0.41999999999999993</x:v>
      </x:c>
      <x:c r="W791" s="15" t="n">
        <x:f>'기준스탯 72종'!I39*G791</x:f>
        <x:v>0.7</x:v>
      </x:c>
      <x:c r="X791" s="15" t="n">
        <x:f>'기준스탯 72종'!J39*G791</x:f>
        <x:v>0.7</x:v>
      </x:c>
      <x:c r="Y791" s="15" t="n">
        <x:f>'기준스탯 72종'!K39*G791</x:f>
        <x:v>0.41999999999999993</x:v>
      </x:c>
      <x:c r="Z791" s="15" t="n">
        <x:f>'기준스탯 72종'!D39*H791</x:f>
        <x:v>1.4400000000000004</x:v>
      </x:c>
      <x:c r="AA791" s="15" t="n">
        <x:f>'기준스탯 72종'!E39*H791</x:f>
        <x:v>1.2600000000000002</x:v>
      </x:c>
      <x:c r="AB791" s="15" t="n">
        <x:f>'기준스탯 72종'!F39*H791</x:f>
        <x:v>1.2600000000000002</x:v>
      </x:c>
      <x:c r="AC791" s="15" t="n">
        <x:f>'기준스탯 72종'!G39*H791</x:f>
        <x:v>1.2600000000000002</x:v>
      </x:c>
      <x:c r="AD791" s="15" t="n">
        <x:f>'기준스탯 72종'!H39*H791</x:f>
        <x:v>0.5400000000000001</x:v>
      </x:c>
      <x:c r="AE791" s="15" t="n">
        <x:f>'기준스탯 72종'!I39*H791</x:f>
        <x:v>0.9000000000000002</x:v>
      </x:c>
      <x:c r="AF791" s="15" t="n">
        <x:f>'기준스탯 72종'!J39*H791</x:f>
        <x:v>0.9000000000000002</x:v>
      </x:c>
      <x:c r="AG791" s="15" t="n">
        <x:f>'기준스탯 72종'!K39*H791</x:f>
        <x:v>0.5400000000000001</x:v>
      </x:c>
    </x:row>
    <x:row r="792" ht="28" customHeight="1">
      <x:c r="A792" s="2" t="n">
        <x:v>785</x:v>
      </x:c>
      <x:c r="B792" s="2" t="n">
        <x:v>32</x:v>
      </x:c>
      <x:c r="C792" s="2" t="str">
        <x:v>처녀자리</x:v>
      </x:c>
      <x:c r="D792" s="2" t="str">
        <x:v>마도사</x:v>
      </x:c>
      <x:c r="E792" s="2" t="n">
        <x:v>5</x:v>
      </x:c>
      <x:c r="F792" s="2" t="n">
        <x:v>2</x:v>
      </x:c>
      <x:c r="G792" s="14" t="n">
        <x:f>('레벨 계산식'!$E$4-E792)*'레벨 계산식'!$B$5</x:f>
        <x:v>0</x:v>
      </x:c>
      <x:c r="H792" s="14" t="n">
        <x:f>('등급 계산식'!$E$4-F792)*'등급 계산식'!$B$5</x:f>
        <x:v>0.18000000000000005</x:v>
      </x:c>
      <x:c r="I792" s="14" t="n">
        <x:f>1-G792-H792</x:f>
        <x:v>0.82</x:v>
      </x:c>
      <x:c r="J792" s="2" t="n">
        <x:f>MAX(1,ROUND('기준스탯 72종'!D39-R792-Z792,0))</x:f>
        <x:v>7</x:v>
      </x:c>
      <x:c r="K792" s="2" t="n">
        <x:f>MAX(1,ROUND('기준스탯 72종'!E39-S792-AA792,0))</x:f>
        <x:v>6</x:v>
      </x:c>
      <x:c r="L792" s="2" t="n">
        <x:f>MAX(1,ROUND('기준스탯 72종'!F39-T792-AB792,0))</x:f>
        <x:v>6</x:v>
      </x:c>
      <x:c r="M792" s="2" t="n">
        <x:f>MAX(1,ROUND('기준스탯 72종'!G39-U792-AC792,0))</x:f>
        <x:v>6</x:v>
      </x:c>
      <x:c r="N792" s="2" t="n">
        <x:f>MAX(0,ROUND('기준스탯 72종'!H39-V792-AD792,0))</x:f>
        <x:v>2</x:v>
      </x:c>
      <x:c r="O792" s="2" t="n">
        <x:f>MAX(0,ROUND('기준스탯 72종'!I39-W792-AE792,0))</x:f>
        <x:v>4</x:v>
      </x:c>
      <x:c r="P792" s="2" t="n">
        <x:f>MAX(0,ROUND('기준스탯 72종'!J39-X792-AF792,0))</x:f>
        <x:v>4</x:v>
      </x:c>
      <x:c r="Q792" s="2" t="n">
        <x:f>MAX(0,ROUND('기준스탯 72종'!K39-Y792-AG792,0))</x:f>
        <x:v>2</x:v>
      </x:c>
      <x:c r="R792" s="15" t="n">
        <x:f>'기준스탯 72종'!D39*G792</x:f>
        <x:v>0</x:v>
      </x:c>
      <x:c r="S792" s="15" t="n">
        <x:f>'기준스탯 72종'!E39*G792</x:f>
        <x:v>0</x:v>
      </x:c>
      <x:c r="T792" s="15" t="n">
        <x:f>'기준스탯 72종'!F39*G792</x:f>
        <x:v>0</x:v>
      </x:c>
      <x:c r="U792" s="15" t="n">
        <x:f>'기준스탯 72종'!G39*G792</x:f>
        <x:v>0</x:v>
      </x:c>
      <x:c r="V792" s="15" t="n">
        <x:f>'기준스탯 72종'!H39*G792</x:f>
        <x:v>0</x:v>
      </x:c>
      <x:c r="W792" s="15" t="n">
        <x:f>'기준스탯 72종'!I39*G792</x:f>
        <x:v>0</x:v>
      </x:c>
      <x:c r="X792" s="15" t="n">
        <x:f>'기준스탯 72종'!J39*G792</x:f>
        <x:v>0</x:v>
      </x:c>
      <x:c r="Y792" s="15" t="n">
        <x:f>'기준스탯 72종'!K39*G792</x:f>
        <x:v>0</x:v>
      </x:c>
      <x:c r="Z792" s="15" t="n">
        <x:f>'기준스탯 72종'!D39*H792</x:f>
        <x:v>1.4400000000000004</x:v>
      </x:c>
      <x:c r="AA792" s="15" t="n">
        <x:f>'기준스탯 72종'!E39*H792</x:f>
        <x:v>1.2600000000000002</x:v>
      </x:c>
      <x:c r="AB792" s="15" t="n">
        <x:f>'기준스탯 72종'!F39*H792</x:f>
        <x:v>1.2600000000000002</x:v>
      </x:c>
      <x:c r="AC792" s="15" t="n">
        <x:f>'기준스탯 72종'!G39*H792</x:f>
        <x:v>1.2600000000000002</x:v>
      </x:c>
      <x:c r="AD792" s="15" t="n">
        <x:f>'기준스탯 72종'!H39*H792</x:f>
        <x:v>0.5400000000000001</x:v>
      </x:c>
      <x:c r="AE792" s="15" t="n">
        <x:f>'기준스탯 72종'!I39*H792</x:f>
        <x:v>0.9000000000000002</x:v>
      </x:c>
      <x:c r="AF792" s="15" t="n">
        <x:f>'기준스탯 72종'!J39*H792</x:f>
        <x:v>0.9000000000000002</x:v>
      </x:c>
      <x:c r="AG792" s="15" t="n">
        <x:f>'기준스탯 72종'!K39*H792</x:f>
        <x:v>0.5400000000000001</x:v>
      </x:c>
    </x:row>
    <x:row r="793" ht="28" customHeight="1">
      <x:c r="A793" s="2" t="n">
        <x:v>786</x:v>
      </x:c>
      <x:c r="B793" s="2" t="n">
        <x:v>32</x:v>
      </x:c>
      <x:c r="C793" s="2" t="str">
        <x:v>처녀자리</x:v>
      </x:c>
      <x:c r="D793" s="2" t="str">
        <x:v>마도사</x:v>
      </x:c>
      <x:c r="E793" s="2" t="n">
        <x:v>1</x:v>
      </x:c>
      <x:c r="F793" s="2" t="n">
        <x:v>3</x:v>
      </x:c>
      <x:c r="G793" s="14" t="n">
        <x:f>('레벨 계산식'!$E$4-E793)*'레벨 계산식'!$B$5</x:f>
        <x:v>0.5599999999999999</x:v>
      </x:c>
      <x:c r="H793" s="14" t="n">
        <x:f>('등급 계산식'!$E$4-F793)*'등급 계산식'!$B$5</x:f>
        <x:v>0.12000000000000002</x:v>
      </x:c>
      <x:c r="I793" s="14" t="n">
        <x:f>1-G793-H793</x:f>
        <x:v>0.32000000000000006</x:v>
      </x:c>
      <x:c r="J793" s="2" t="n">
        <x:f>MAX(1,ROUND('기준스탯 72종'!D39-R793-Z793,0))</x:f>
        <x:v>3</x:v>
      </x:c>
      <x:c r="K793" s="2" t="n">
        <x:f>MAX(1,ROUND('기준스탯 72종'!E39-S793-AA793,0))</x:f>
        <x:v>2</x:v>
      </x:c>
      <x:c r="L793" s="2" t="n">
        <x:f>MAX(1,ROUND('기준스탯 72종'!F39-T793-AB793,0))</x:f>
        <x:v>2</x:v>
      </x:c>
      <x:c r="M793" s="2" t="n">
        <x:f>MAX(1,ROUND('기준스탯 72종'!G39-U793-AC793,0))</x:f>
        <x:v>2</x:v>
      </x:c>
      <x:c r="N793" s="2" t="n">
        <x:f>MAX(0,ROUND('기준스탯 72종'!H39-V793-AD793,0))</x:f>
        <x:v>1</x:v>
      </x:c>
      <x:c r="O793" s="2" t="n">
        <x:f>MAX(0,ROUND('기준스탯 72종'!I39-W793-AE793,0))</x:f>
        <x:v>2</x:v>
      </x:c>
      <x:c r="P793" s="2" t="n">
        <x:f>MAX(0,ROUND('기준스탯 72종'!J39-X793-AF793,0))</x:f>
        <x:v>2</x:v>
      </x:c>
      <x:c r="Q793" s="2" t="n">
        <x:f>MAX(0,ROUND('기준스탯 72종'!K39-Y793-AG793,0))</x:f>
        <x:v>1</x:v>
      </x:c>
      <x:c r="R793" s="15" t="n">
        <x:f>'기준스탯 72종'!D39*G793</x:f>
        <x:v>4.4799999999999995</x:v>
      </x:c>
      <x:c r="S793" s="15" t="n">
        <x:f>'기준스탯 72종'!E39*G793</x:f>
        <x:v>3.9199999999999995</x:v>
      </x:c>
      <x:c r="T793" s="15" t="n">
        <x:f>'기준스탯 72종'!F39*G793</x:f>
        <x:v>3.9199999999999995</x:v>
      </x:c>
      <x:c r="U793" s="15" t="n">
        <x:f>'기준스탯 72종'!G39*G793</x:f>
        <x:v>3.9199999999999995</x:v>
      </x:c>
      <x:c r="V793" s="15" t="n">
        <x:f>'기준스탯 72종'!H39*G793</x:f>
        <x:v>1.6799999999999997</x:v>
      </x:c>
      <x:c r="W793" s="15" t="n">
        <x:f>'기준스탯 72종'!I39*G793</x:f>
        <x:v>2.8</x:v>
      </x:c>
      <x:c r="X793" s="15" t="n">
        <x:f>'기준스탯 72종'!J39*G793</x:f>
        <x:v>2.8</x:v>
      </x:c>
      <x:c r="Y793" s="15" t="n">
        <x:f>'기준스탯 72종'!K39*G793</x:f>
        <x:v>1.6799999999999997</x:v>
      </x:c>
      <x:c r="Z793" s="15" t="n">
        <x:f>'기준스탯 72종'!D39*H793</x:f>
        <x:v>0.9600000000000002</x:v>
      </x:c>
      <x:c r="AA793" s="15" t="n">
        <x:f>'기준스탯 72종'!E39*H793</x:f>
        <x:v>0.8400000000000002</x:v>
      </x:c>
      <x:c r="AB793" s="15" t="n">
        <x:f>'기준스탯 72종'!F39*H793</x:f>
        <x:v>0.8400000000000002</x:v>
      </x:c>
      <x:c r="AC793" s="15" t="n">
        <x:f>'기준스탯 72종'!G39*H793</x:f>
        <x:v>0.8400000000000002</x:v>
      </x:c>
      <x:c r="AD793" s="15" t="n">
        <x:f>'기준스탯 72종'!H39*H793</x:f>
        <x:v>0.3600000000000001</x:v>
      </x:c>
      <x:c r="AE793" s="15" t="n">
        <x:f>'기준스탯 72종'!I39*H793</x:f>
        <x:v>0.6000000000000001</x:v>
      </x:c>
      <x:c r="AF793" s="15" t="n">
        <x:f>'기준스탯 72종'!J39*H793</x:f>
        <x:v>0.6000000000000001</x:v>
      </x:c>
      <x:c r="AG793" s="15" t="n">
        <x:f>'기준스탯 72종'!K39*H793</x:f>
        <x:v>0.3600000000000001</x:v>
      </x:c>
    </x:row>
    <x:row r="794" ht="28" customHeight="1">
      <x:c r="A794" s="2" t="n">
        <x:v>787</x:v>
      </x:c>
      <x:c r="B794" s="2" t="n">
        <x:v>32</x:v>
      </x:c>
      <x:c r="C794" s="2" t="str">
        <x:v>처녀자리</x:v>
      </x:c>
      <x:c r="D794" s="2" t="str">
        <x:v>마도사</x:v>
      </x:c>
      <x:c r="E794" s="2" t="n">
        <x:v>2</x:v>
      </x:c>
      <x:c r="F794" s="2" t="n">
        <x:v>3</x:v>
      </x:c>
      <x:c r="G794" s="14" t="n">
        <x:f>('레벨 계산식'!$E$4-E794)*'레벨 계산식'!$B$5</x:f>
        <x:v>0.41999999999999993</x:v>
      </x:c>
      <x:c r="H794" s="14" t="n">
        <x:f>('등급 계산식'!$E$4-F794)*'등급 계산식'!$B$5</x:f>
        <x:v>0.12000000000000002</x:v>
      </x:c>
      <x:c r="I794" s="14" t="n">
        <x:f>1-G794-H794</x:f>
        <x:v>0.4600000000000001</x:v>
      </x:c>
      <x:c r="J794" s="2" t="n">
        <x:f>MAX(1,ROUND('기준스탯 72종'!D39-R794-Z794,0))</x:f>
        <x:v>4</x:v>
      </x:c>
      <x:c r="K794" s="2" t="n">
        <x:f>MAX(1,ROUND('기준스탯 72종'!E39-S794-AA794,0))</x:f>
        <x:v>3</x:v>
      </x:c>
      <x:c r="L794" s="2" t="n">
        <x:f>MAX(1,ROUND('기준스탯 72종'!F39-T794-AB794,0))</x:f>
        <x:v>3</x:v>
      </x:c>
      <x:c r="M794" s="2" t="n">
        <x:f>MAX(1,ROUND('기준스탯 72종'!G39-U794-AC794,0))</x:f>
        <x:v>3</x:v>
      </x:c>
      <x:c r="N794" s="2" t="n">
        <x:f>MAX(0,ROUND('기준스탯 72종'!H39-V794-AD794,0))</x:f>
        <x:v>1</x:v>
      </x:c>
      <x:c r="O794" s="2" t="n">
        <x:f>MAX(0,ROUND('기준스탯 72종'!I39-W794-AE794,0))</x:f>
        <x:v>2</x:v>
      </x:c>
      <x:c r="P794" s="2" t="n">
        <x:f>MAX(0,ROUND('기준스탯 72종'!J39-X794-AF794,0))</x:f>
        <x:v>2</x:v>
      </x:c>
      <x:c r="Q794" s="2" t="n">
        <x:f>MAX(0,ROUND('기준스탯 72종'!K39-Y794-AG794,0))</x:f>
        <x:v>1</x:v>
      </x:c>
      <x:c r="R794" s="15" t="n">
        <x:f>'기준스탯 72종'!D39*G794</x:f>
        <x:v>3.3599999999999994</x:v>
      </x:c>
      <x:c r="S794" s="15" t="n">
        <x:f>'기준스탯 72종'!E39*G794</x:f>
        <x:v>2.9399999999999995</x:v>
      </x:c>
      <x:c r="T794" s="15" t="n">
        <x:f>'기준스탯 72종'!F39*G794</x:f>
        <x:v>2.9399999999999995</x:v>
      </x:c>
      <x:c r="U794" s="15" t="n">
        <x:f>'기준스탯 72종'!G39*G794</x:f>
        <x:v>2.9399999999999995</x:v>
      </x:c>
      <x:c r="V794" s="15" t="n">
        <x:f>'기준스탯 72종'!H39*G794</x:f>
        <x:v>1.2599999999999998</x:v>
      </x:c>
      <x:c r="W794" s="15" t="n">
        <x:f>'기준스탯 72종'!I39*G794</x:f>
        <x:v>2.0999999999999996</x:v>
      </x:c>
      <x:c r="X794" s="15" t="n">
        <x:f>'기준스탯 72종'!J39*G794</x:f>
        <x:v>2.0999999999999996</x:v>
      </x:c>
      <x:c r="Y794" s="15" t="n">
        <x:f>'기준스탯 72종'!K39*G794</x:f>
        <x:v>1.2599999999999998</x:v>
      </x:c>
      <x:c r="Z794" s="15" t="n">
        <x:f>'기준스탯 72종'!D39*H794</x:f>
        <x:v>0.9600000000000002</x:v>
      </x:c>
      <x:c r="AA794" s="15" t="n">
        <x:f>'기준스탯 72종'!E39*H794</x:f>
        <x:v>0.8400000000000002</x:v>
      </x:c>
      <x:c r="AB794" s="15" t="n">
        <x:f>'기준스탯 72종'!F39*H794</x:f>
        <x:v>0.8400000000000002</x:v>
      </x:c>
      <x:c r="AC794" s="15" t="n">
        <x:f>'기준스탯 72종'!G39*H794</x:f>
        <x:v>0.8400000000000002</x:v>
      </x:c>
      <x:c r="AD794" s="15" t="n">
        <x:f>'기준스탯 72종'!H39*H794</x:f>
        <x:v>0.3600000000000001</x:v>
      </x:c>
      <x:c r="AE794" s="15" t="n">
        <x:f>'기준스탯 72종'!I39*H794</x:f>
        <x:v>0.6000000000000001</x:v>
      </x:c>
      <x:c r="AF794" s="15" t="n">
        <x:f>'기준스탯 72종'!J39*H794</x:f>
        <x:v>0.6000000000000001</x:v>
      </x:c>
      <x:c r="AG794" s="15" t="n">
        <x:f>'기준스탯 72종'!K39*H794</x:f>
        <x:v>0.3600000000000001</x:v>
      </x:c>
    </x:row>
    <x:row r="795" ht="28" customHeight="1">
      <x:c r="A795" s="2" t="n">
        <x:v>788</x:v>
      </x:c>
      <x:c r="B795" s="2" t="n">
        <x:v>32</x:v>
      </x:c>
      <x:c r="C795" s="2" t="str">
        <x:v>처녀자리</x:v>
      </x:c>
      <x:c r="D795" s="2" t="str">
        <x:v>마도사</x:v>
      </x:c>
      <x:c r="E795" s="2" t="n">
        <x:v>3</x:v>
      </x:c>
      <x:c r="F795" s="2" t="n">
        <x:v>3</x:v>
      </x:c>
      <x:c r="G795" s="14" t="n">
        <x:f>('레벨 계산식'!$E$4-E795)*'레벨 계산식'!$B$5</x:f>
        <x:v>0.27999999999999997</x:v>
      </x:c>
      <x:c r="H795" s="14" t="n">
        <x:f>('등급 계산식'!$E$4-F795)*'등급 계산식'!$B$5</x:f>
        <x:v>0.12000000000000002</x:v>
      </x:c>
      <x:c r="I795" s="14" t="n">
        <x:f>1-G795-H795</x:f>
        <x:v>0.6</x:v>
      </x:c>
      <x:c r="J795" s="2" t="n">
        <x:f>MAX(1,ROUND('기준스탯 72종'!D39-R795-Z795,0))</x:f>
        <x:v>5</x:v>
      </x:c>
      <x:c r="K795" s="2" t="n">
        <x:f>MAX(1,ROUND('기준스탯 72종'!E39-S795-AA795,0))</x:f>
        <x:v>4</x:v>
      </x:c>
      <x:c r="L795" s="2" t="n">
        <x:f>MAX(1,ROUND('기준스탯 72종'!F39-T795-AB795,0))</x:f>
        <x:v>4</x:v>
      </x:c>
      <x:c r="M795" s="2" t="n">
        <x:f>MAX(1,ROUND('기준스탯 72종'!G39-U795-AC795,0))</x:f>
        <x:v>4</x:v>
      </x:c>
      <x:c r="N795" s="2" t="n">
        <x:f>MAX(0,ROUND('기준스탯 72종'!H39-V795-AD795,0))</x:f>
        <x:v>2</x:v>
      </x:c>
      <x:c r="O795" s="2" t="n">
        <x:f>MAX(0,ROUND('기준스탯 72종'!I39-W795-AE795,0))</x:f>
        <x:v>3</x:v>
      </x:c>
      <x:c r="P795" s="2" t="n">
        <x:f>MAX(0,ROUND('기준스탯 72종'!J39-X795-AF795,0))</x:f>
        <x:v>3</x:v>
      </x:c>
      <x:c r="Q795" s="2" t="n">
        <x:f>MAX(0,ROUND('기준스탯 72종'!K39-Y795-AG795,0))</x:f>
        <x:v>2</x:v>
      </x:c>
      <x:c r="R795" s="15" t="n">
        <x:f>'기준스탯 72종'!D39*G795</x:f>
        <x:v>2.2399999999999998</x:v>
      </x:c>
      <x:c r="S795" s="15" t="n">
        <x:f>'기준스탯 72종'!E39*G795</x:f>
        <x:v>1.9599999999999997</x:v>
      </x:c>
      <x:c r="T795" s="15" t="n">
        <x:f>'기준스탯 72종'!F39*G795</x:f>
        <x:v>1.9599999999999997</x:v>
      </x:c>
      <x:c r="U795" s="15" t="n">
        <x:f>'기준스탯 72종'!G39*G795</x:f>
        <x:v>1.9599999999999997</x:v>
      </x:c>
      <x:c r="V795" s="15" t="n">
        <x:f>'기준스탯 72종'!H39*G795</x:f>
        <x:v>0.8399999999999999</x:v>
      </x:c>
      <x:c r="W795" s="15" t="n">
        <x:f>'기준스탯 72종'!I39*G795</x:f>
        <x:v>1.4</x:v>
      </x:c>
      <x:c r="X795" s="15" t="n">
        <x:f>'기준스탯 72종'!J39*G795</x:f>
        <x:v>1.4</x:v>
      </x:c>
      <x:c r="Y795" s="15" t="n">
        <x:f>'기준스탯 72종'!K39*G795</x:f>
        <x:v>0.8399999999999999</x:v>
      </x:c>
      <x:c r="Z795" s="15" t="n">
        <x:f>'기준스탯 72종'!D39*H795</x:f>
        <x:v>0.9600000000000002</x:v>
      </x:c>
      <x:c r="AA795" s="15" t="n">
        <x:f>'기준스탯 72종'!E39*H795</x:f>
        <x:v>0.8400000000000002</x:v>
      </x:c>
      <x:c r="AB795" s="15" t="n">
        <x:f>'기준스탯 72종'!F39*H795</x:f>
        <x:v>0.8400000000000002</x:v>
      </x:c>
      <x:c r="AC795" s="15" t="n">
        <x:f>'기준스탯 72종'!G39*H795</x:f>
        <x:v>0.8400000000000002</x:v>
      </x:c>
      <x:c r="AD795" s="15" t="n">
        <x:f>'기준스탯 72종'!H39*H795</x:f>
        <x:v>0.3600000000000001</x:v>
      </x:c>
      <x:c r="AE795" s="15" t="n">
        <x:f>'기준스탯 72종'!I39*H795</x:f>
        <x:v>0.6000000000000001</x:v>
      </x:c>
      <x:c r="AF795" s="15" t="n">
        <x:f>'기준스탯 72종'!J39*H795</x:f>
        <x:v>0.6000000000000001</x:v>
      </x:c>
      <x:c r="AG795" s="15" t="n">
        <x:f>'기준스탯 72종'!K39*H795</x:f>
        <x:v>0.3600000000000001</x:v>
      </x:c>
    </x:row>
    <x:row r="796" ht="28" customHeight="1">
      <x:c r="A796" s="2" t="n">
        <x:v>789</x:v>
      </x:c>
      <x:c r="B796" s="2" t="n">
        <x:v>32</x:v>
      </x:c>
      <x:c r="C796" s="2" t="str">
        <x:v>처녀자리</x:v>
      </x:c>
      <x:c r="D796" s="2" t="str">
        <x:v>마도사</x:v>
      </x:c>
      <x:c r="E796" s="2" t="n">
        <x:v>4</x:v>
      </x:c>
      <x:c r="F796" s="2" t="n">
        <x:v>3</x:v>
      </x:c>
      <x:c r="G796" s="14" t="n">
        <x:f>('레벨 계산식'!$E$4-E796)*'레벨 계산식'!$B$5</x:f>
        <x:v>0.13999999999999999</x:v>
      </x:c>
      <x:c r="H796" s="14" t="n">
        <x:f>('등급 계산식'!$E$4-F796)*'등급 계산식'!$B$5</x:f>
        <x:v>0.12000000000000002</x:v>
      </x:c>
      <x:c r="I796" s="14" t="n">
        <x:f>1-G796-H796</x:f>
        <x:v>0.74</x:v>
      </x:c>
      <x:c r="J796" s="2" t="n">
        <x:f>MAX(1,ROUND('기준스탯 72종'!D39-R796-Z796,0))</x:f>
        <x:v>6</x:v>
      </x:c>
      <x:c r="K796" s="2" t="n">
        <x:f>MAX(1,ROUND('기준스탯 72종'!E39-S796-AA796,0))</x:f>
        <x:v>5</x:v>
      </x:c>
      <x:c r="L796" s="2" t="n">
        <x:f>MAX(1,ROUND('기준스탯 72종'!F39-T796-AB796,0))</x:f>
        <x:v>5</x:v>
      </x:c>
      <x:c r="M796" s="2" t="n">
        <x:f>MAX(1,ROUND('기준스탯 72종'!G39-U796-AC796,0))</x:f>
        <x:v>5</x:v>
      </x:c>
      <x:c r="N796" s="2" t="n">
        <x:f>MAX(0,ROUND('기준스탯 72종'!H39-V796-AD796,0))</x:f>
        <x:v>2</x:v>
      </x:c>
      <x:c r="O796" s="2" t="n">
        <x:f>MAX(0,ROUND('기준스탯 72종'!I39-W796-AE796,0))</x:f>
        <x:v>4</x:v>
      </x:c>
      <x:c r="P796" s="2" t="n">
        <x:f>MAX(0,ROUND('기준스탯 72종'!J39-X796-AF796,0))</x:f>
        <x:v>4</x:v>
      </x:c>
      <x:c r="Q796" s="2" t="n">
        <x:f>MAX(0,ROUND('기준스탯 72종'!K39-Y796-AG796,0))</x:f>
        <x:v>2</x:v>
      </x:c>
      <x:c r="R796" s="15" t="n">
        <x:f>'기준스탯 72종'!D39*G796</x:f>
        <x:v>1.1199999999999999</x:v>
      </x:c>
      <x:c r="S796" s="15" t="n">
        <x:f>'기준스탯 72종'!E39*G796</x:f>
        <x:v>0.9799999999999999</x:v>
      </x:c>
      <x:c r="T796" s="15" t="n">
        <x:f>'기준스탯 72종'!F39*G796</x:f>
        <x:v>0.9799999999999999</x:v>
      </x:c>
      <x:c r="U796" s="15" t="n">
        <x:f>'기준스탯 72종'!G39*G796</x:f>
        <x:v>0.9799999999999999</x:v>
      </x:c>
      <x:c r="V796" s="15" t="n">
        <x:f>'기준스탯 72종'!H39*G796</x:f>
        <x:v>0.41999999999999993</x:v>
      </x:c>
      <x:c r="W796" s="15" t="n">
        <x:f>'기준스탯 72종'!I39*G796</x:f>
        <x:v>0.7</x:v>
      </x:c>
      <x:c r="X796" s="15" t="n">
        <x:f>'기준스탯 72종'!J39*G796</x:f>
        <x:v>0.7</x:v>
      </x:c>
      <x:c r="Y796" s="15" t="n">
        <x:f>'기준스탯 72종'!K39*G796</x:f>
        <x:v>0.41999999999999993</x:v>
      </x:c>
      <x:c r="Z796" s="15" t="n">
        <x:f>'기준스탯 72종'!D39*H796</x:f>
        <x:v>0.9600000000000002</x:v>
      </x:c>
      <x:c r="AA796" s="15" t="n">
        <x:f>'기준스탯 72종'!E39*H796</x:f>
        <x:v>0.8400000000000002</x:v>
      </x:c>
      <x:c r="AB796" s="15" t="n">
        <x:f>'기준스탯 72종'!F39*H796</x:f>
        <x:v>0.8400000000000002</x:v>
      </x:c>
      <x:c r="AC796" s="15" t="n">
        <x:f>'기준스탯 72종'!G39*H796</x:f>
        <x:v>0.8400000000000002</x:v>
      </x:c>
      <x:c r="AD796" s="15" t="n">
        <x:f>'기준스탯 72종'!H39*H796</x:f>
        <x:v>0.3600000000000001</x:v>
      </x:c>
      <x:c r="AE796" s="15" t="n">
        <x:f>'기준스탯 72종'!I39*H796</x:f>
        <x:v>0.6000000000000001</x:v>
      </x:c>
      <x:c r="AF796" s="15" t="n">
        <x:f>'기준스탯 72종'!J39*H796</x:f>
        <x:v>0.6000000000000001</x:v>
      </x:c>
      <x:c r="AG796" s="15" t="n">
        <x:f>'기준스탯 72종'!K39*H796</x:f>
        <x:v>0.3600000000000001</x:v>
      </x:c>
    </x:row>
    <x:row r="797" ht="28" customHeight="1">
      <x:c r="A797" s="2" t="n">
        <x:v>790</x:v>
      </x:c>
      <x:c r="B797" s="2" t="n">
        <x:v>32</x:v>
      </x:c>
      <x:c r="C797" s="2" t="str">
        <x:v>처녀자리</x:v>
      </x:c>
      <x:c r="D797" s="2" t="str">
        <x:v>마도사</x:v>
      </x:c>
      <x:c r="E797" s="2" t="n">
        <x:v>5</x:v>
      </x:c>
      <x:c r="F797" s="2" t="n">
        <x:v>3</x:v>
      </x:c>
      <x:c r="G797" s="14" t="n">
        <x:f>('레벨 계산식'!$E$4-E797)*'레벨 계산식'!$B$5</x:f>
        <x:v>0</x:v>
      </x:c>
      <x:c r="H797" s="14" t="n">
        <x:f>('등급 계산식'!$E$4-F797)*'등급 계산식'!$B$5</x:f>
        <x:v>0.12000000000000002</x:v>
      </x:c>
      <x:c r="I797" s="14" t="n">
        <x:f>1-G797-H797</x:f>
        <x:v>0.88</x:v>
      </x:c>
      <x:c r="J797" s="2" t="n">
        <x:f>MAX(1,ROUND('기준스탯 72종'!D39-R797-Z797,0))</x:f>
        <x:v>7</x:v>
      </x:c>
      <x:c r="K797" s="2" t="n">
        <x:f>MAX(1,ROUND('기준스탯 72종'!E39-S797-AA797,0))</x:f>
        <x:v>6</x:v>
      </x:c>
      <x:c r="L797" s="2" t="n">
        <x:f>MAX(1,ROUND('기준스탯 72종'!F39-T797-AB797,0))</x:f>
        <x:v>6</x:v>
      </x:c>
      <x:c r="M797" s="2" t="n">
        <x:f>MAX(1,ROUND('기준스탯 72종'!G39-U797-AC797,0))</x:f>
        <x:v>6</x:v>
      </x:c>
      <x:c r="N797" s="2" t="n">
        <x:f>MAX(0,ROUND('기준스탯 72종'!H39-V797-AD797,0))</x:f>
        <x:v>3</x:v>
      </x:c>
      <x:c r="O797" s="2" t="n">
        <x:f>MAX(0,ROUND('기준스탯 72종'!I39-W797-AE797,0))</x:f>
        <x:v>4</x:v>
      </x:c>
      <x:c r="P797" s="2" t="n">
        <x:f>MAX(0,ROUND('기준스탯 72종'!J39-X797-AF797,0))</x:f>
        <x:v>4</x:v>
      </x:c>
      <x:c r="Q797" s="2" t="n">
        <x:f>MAX(0,ROUND('기준스탯 72종'!K39-Y797-AG797,0))</x:f>
        <x:v>3</x:v>
      </x:c>
      <x:c r="R797" s="15" t="n">
        <x:f>'기준스탯 72종'!D39*G797</x:f>
        <x:v>0</x:v>
      </x:c>
      <x:c r="S797" s="15" t="n">
        <x:f>'기준스탯 72종'!E39*G797</x:f>
        <x:v>0</x:v>
      </x:c>
      <x:c r="T797" s="15" t="n">
        <x:f>'기준스탯 72종'!F39*G797</x:f>
        <x:v>0</x:v>
      </x:c>
      <x:c r="U797" s="15" t="n">
        <x:f>'기준스탯 72종'!G39*G797</x:f>
        <x:v>0</x:v>
      </x:c>
      <x:c r="V797" s="15" t="n">
        <x:f>'기준스탯 72종'!H39*G797</x:f>
        <x:v>0</x:v>
      </x:c>
      <x:c r="W797" s="15" t="n">
        <x:f>'기준스탯 72종'!I39*G797</x:f>
        <x:v>0</x:v>
      </x:c>
      <x:c r="X797" s="15" t="n">
        <x:f>'기준스탯 72종'!J39*G797</x:f>
        <x:v>0</x:v>
      </x:c>
      <x:c r="Y797" s="15" t="n">
        <x:f>'기준스탯 72종'!K39*G797</x:f>
        <x:v>0</x:v>
      </x:c>
      <x:c r="Z797" s="15" t="n">
        <x:f>'기준스탯 72종'!D39*H797</x:f>
        <x:v>0.9600000000000002</x:v>
      </x:c>
      <x:c r="AA797" s="15" t="n">
        <x:f>'기준스탯 72종'!E39*H797</x:f>
        <x:v>0.8400000000000002</x:v>
      </x:c>
      <x:c r="AB797" s="15" t="n">
        <x:f>'기준스탯 72종'!F39*H797</x:f>
        <x:v>0.8400000000000002</x:v>
      </x:c>
      <x:c r="AC797" s="15" t="n">
        <x:f>'기준스탯 72종'!G39*H797</x:f>
        <x:v>0.8400000000000002</x:v>
      </x:c>
      <x:c r="AD797" s="15" t="n">
        <x:f>'기준스탯 72종'!H39*H797</x:f>
        <x:v>0.3600000000000001</x:v>
      </x:c>
      <x:c r="AE797" s="15" t="n">
        <x:f>'기준스탯 72종'!I39*H797</x:f>
        <x:v>0.6000000000000001</x:v>
      </x:c>
      <x:c r="AF797" s="15" t="n">
        <x:f>'기준스탯 72종'!J39*H797</x:f>
        <x:v>0.6000000000000001</x:v>
      </x:c>
      <x:c r="AG797" s="15" t="n">
        <x:f>'기준스탯 72종'!K39*H797</x:f>
        <x:v>0.3600000000000001</x:v>
      </x:c>
    </x:row>
    <x:row r="798" ht="28" customHeight="1">
      <x:c r="A798" s="2" t="n">
        <x:v>791</x:v>
      </x:c>
      <x:c r="B798" s="2" t="n">
        <x:v>32</x:v>
      </x:c>
      <x:c r="C798" s="2" t="str">
        <x:v>처녀자리</x:v>
      </x:c>
      <x:c r="D798" s="2" t="str">
        <x:v>마도사</x:v>
      </x:c>
      <x:c r="E798" s="2" t="n">
        <x:v>1</x:v>
      </x:c>
      <x:c r="F798" s="2" t="n">
        <x:v>4</x:v>
      </x:c>
      <x:c r="G798" s="14" t="n">
        <x:f>('레벨 계산식'!$E$4-E798)*'레벨 계산식'!$B$5</x:f>
        <x:v>0.5599999999999999</x:v>
      </x:c>
      <x:c r="H798" s="14" t="n">
        <x:f>('등급 계산식'!$E$4-F798)*'등급 계산식'!$B$5</x:f>
        <x:v>0.06000000000000001</x:v>
      </x:c>
      <x:c r="I798" s="14" t="n">
        <x:f>1-G798-H798</x:f>
        <x:v>0.38000000000000006</x:v>
      </x:c>
      <x:c r="J798" s="2" t="n">
        <x:f>MAX(1,ROUND('기준스탯 72종'!D39-R798-Z798,0))</x:f>
        <x:v>3</x:v>
      </x:c>
      <x:c r="K798" s="2" t="n">
        <x:f>MAX(1,ROUND('기준스탯 72종'!E39-S798-AA798,0))</x:f>
        <x:v>3</x:v>
      </x:c>
      <x:c r="L798" s="2" t="n">
        <x:f>MAX(1,ROUND('기준스탯 72종'!F39-T798-AB798,0))</x:f>
        <x:v>3</x:v>
      </x:c>
      <x:c r="M798" s="2" t="n">
        <x:f>MAX(1,ROUND('기준스탯 72종'!G39-U798-AC798,0))</x:f>
        <x:v>3</x:v>
      </x:c>
      <x:c r="N798" s="2" t="n">
        <x:f>MAX(0,ROUND('기준스탯 72종'!H39-V798-AD798,0))</x:f>
        <x:v>1</x:v>
      </x:c>
      <x:c r="O798" s="2" t="n">
        <x:f>MAX(0,ROUND('기준스탯 72종'!I39-W798-AE798,0))</x:f>
        <x:v>2</x:v>
      </x:c>
      <x:c r="P798" s="2" t="n">
        <x:f>MAX(0,ROUND('기준스탯 72종'!J39-X798-AF798,0))</x:f>
        <x:v>2</x:v>
      </x:c>
      <x:c r="Q798" s="2" t="n">
        <x:f>MAX(0,ROUND('기준스탯 72종'!K39-Y798-AG798,0))</x:f>
        <x:v>1</x:v>
      </x:c>
      <x:c r="R798" s="15" t="n">
        <x:f>'기준스탯 72종'!D39*G798</x:f>
        <x:v>4.4799999999999995</x:v>
      </x:c>
      <x:c r="S798" s="15" t="n">
        <x:f>'기준스탯 72종'!E39*G798</x:f>
        <x:v>3.9199999999999995</x:v>
      </x:c>
      <x:c r="T798" s="15" t="n">
        <x:f>'기준스탯 72종'!F39*G798</x:f>
        <x:v>3.9199999999999995</x:v>
      </x:c>
      <x:c r="U798" s="15" t="n">
        <x:f>'기준스탯 72종'!G39*G798</x:f>
        <x:v>3.9199999999999995</x:v>
      </x:c>
      <x:c r="V798" s="15" t="n">
        <x:f>'기준스탯 72종'!H39*G798</x:f>
        <x:v>1.6799999999999997</x:v>
      </x:c>
      <x:c r="W798" s="15" t="n">
        <x:f>'기준스탯 72종'!I39*G798</x:f>
        <x:v>2.8</x:v>
      </x:c>
      <x:c r="X798" s="15" t="n">
        <x:f>'기준스탯 72종'!J39*G798</x:f>
        <x:v>2.8</x:v>
      </x:c>
      <x:c r="Y798" s="15" t="n">
        <x:f>'기준스탯 72종'!K39*G798</x:f>
        <x:v>1.6799999999999997</x:v>
      </x:c>
      <x:c r="Z798" s="15" t="n">
        <x:f>'기준스탯 72종'!D39*H798</x:f>
        <x:v>0.4800000000000001</x:v>
      </x:c>
      <x:c r="AA798" s="15" t="n">
        <x:f>'기준스탯 72종'!E39*H798</x:f>
        <x:v>0.4200000000000001</x:v>
      </x:c>
      <x:c r="AB798" s="15" t="n">
        <x:f>'기준스탯 72종'!F39*H798</x:f>
        <x:v>0.4200000000000001</x:v>
      </x:c>
      <x:c r="AC798" s="15" t="n">
        <x:f>'기준스탯 72종'!G39*H798</x:f>
        <x:v>0.4200000000000001</x:v>
      </x:c>
      <x:c r="AD798" s="15" t="n">
        <x:f>'기준스탯 72종'!H39*H798</x:f>
        <x:v>0.18000000000000005</x:v>
      </x:c>
      <x:c r="AE798" s="15" t="n">
        <x:f>'기준스탯 72종'!I39*H798</x:f>
        <x:v>0.30000000000000004</x:v>
      </x:c>
      <x:c r="AF798" s="15" t="n">
        <x:f>'기준스탯 72종'!J39*H798</x:f>
        <x:v>0.30000000000000004</x:v>
      </x:c>
      <x:c r="AG798" s="15" t="n">
        <x:f>'기준스탯 72종'!K39*H798</x:f>
        <x:v>0.18000000000000005</x:v>
      </x:c>
    </x:row>
    <x:row r="799" ht="28" customHeight="1">
      <x:c r="A799" s="2" t="n">
        <x:v>792</x:v>
      </x:c>
      <x:c r="B799" s="2" t="n">
        <x:v>32</x:v>
      </x:c>
      <x:c r="C799" s="2" t="str">
        <x:v>처녀자리</x:v>
      </x:c>
      <x:c r="D799" s="2" t="str">
        <x:v>마도사</x:v>
      </x:c>
      <x:c r="E799" s="2" t="n">
        <x:v>2</x:v>
      </x:c>
      <x:c r="F799" s="2" t="n">
        <x:v>4</x:v>
      </x:c>
      <x:c r="G799" s="14" t="n">
        <x:f>('레벨 계산식'!$E$4-E799)*'레벨 계산식'!$B$5</x:f>
        <x:v>0.41999999999999993</x:v>
      </x:c>
      <x:c r="H799" s="14" t="n">
        <x:f>('등급 계산식'!$E$4-F799)*'등급 계산식'!$B$5</x:f>
        <x:v>0.06000000000000001</x:v>
      </x:c>
      <x:c r="I799" s="14" t="n">
        <x:f>1-G799-H799</x:f>
        <x:v>0.52</x:v>
      </x:c>
      <x:c r="J799" s="2" t="n">
        <x:f>MAX(1,ROUND('기준스탯 72종'!D39-R799-Z799,0))</x:f>
        <x:v>4</x:v>
      </x:c>
      <x:c r="K799" s="2" t="n">
        <x:f>MAX(1,ROUND('기준스탯 72종'!E39-S799-AA799,0))</x:f>
        <x:v>4</x:v>
      </x:c>
      <x:c r="L799" s="2" t="n">
        <x:f>MAX(1,ROUND('기준스탯 72종'!F39-T799-AB799,0))</x:f>
        <x:v>4</x:v>
      </x:c>
      <x:c r="M799" s="2" t="n">
        <x:f>MAX(1,ROUND('기준스탯 72종'!G39-U799-AC799,0))</x:f>
        <x:v>4</x:v>
      </x:c>
      <x:c r="N799" s="2" t="n">
        <x:f>MAX(0,ROUND('기준스탯 72종'!H39-V799-AD799,0))</x:f>
        <x:v>2</x:v>
      </x:c>
      <x:c r="O799" s="2" t="n">
        <x:f>MAX(0,ROUND('기준스탯 72종'!I39-W799-AE799,0))</x:f>
        <x:v>3</x:v>
      </x:c>
      <x:c r="P799" s="2" t="n">
        <x:f>MAX(0,ROUND('기준스탯 72종'!J39-X799-AF799,0))</x:f>
        <x:v>3</x:v>
      </x:c>
      <x:c r="Q799" s="2" t="n">
        <x:f>MAX(0,ROUND('기준스탯 72종'!K39-Y799-AG799,0))</x:f>
        <x:v>2</x:v>
      </x:c>
      <x:c r="R799" s="15" t="n">
        <x:f>'기준스탯 72종'!D39*G799</x:f>
        <x:v>3.3599999999999994</x:v>
      </x:c>
      <x:c r="S799" s="15" t="n">
        <x:f>'기준스탯 72종'!E39*G799</x:f>
        <x:v>2.9399999999999995</x:v>
      </x:c>
      <x:c r="T799" s="15" t="n">
        <x:f>'기준스탯 72종'!F39*G799</x:f>
        <x:v>2.9399999999999995</x:v>
      </x:c>
      <x:c r="U799" s="15" t="n">
        <x:f>'기준스탯 72종'!G39*G799</x:f>
        <x:v>2.9399999999999995</x:v>
      </x:c>
      <x:c r="V799" s="15" t="n">
        <x:f>'기준스탯 72종'!H39*G799</x:f>
        <x:v>1.2599999999999998</x:v>
      </x:c>
      <x:c r="W799" s="15" t="n">
        <x:f>'기준스탯 72종'!I39*G799</x:f>
        <x:v>2.0999999999999996</x:v>
      </x:c>
      <x:c r="X799" s="15" t="n">
        <x:f>'기준스탯 72종'!J39*G799</x:f>
        <x:v>2.0999999999999996</x:v>
      </x:c>
      <x:c r="Y799" s="15" t="n">
        <x:f>'기준스탯 72종'!K39*G799</x:f>
        <x:v>1.2599999999999998</x:v>
      </x:c>
      <x:c r="Z799" s="15" t="n">
        <x:f>'기준스탯 72종'!D39*H799</x:f>
        <x:v>0.4800000000000001</x:v>
      </x:c>
      <x:c r="AA799" s="15" t="n">
        <x:f>'기준스탯 72종'!E39*H799</x:f>
        <x:v>0.4200000000000001</x:v>
      </x:c>
      <x:c r="AB799" s="15" t="n">
        <x:f>'기준스탯 72종'!F39*H799</x:f>
        <x:v>0.4200000000000001</x:v>
      </x:c>
      <x:c r="AC799" s="15" t="n">
        <x:f>'기준스탯 72종'!G39*H799</x:f>
        <x:v>0.4200000000000001</x:v>
      </x:c>
      <x:c r="AD799" s="15" t="n">
        <x:f>'기준스탯 72종'!H39*H799</x:f>
        <x:v>0.18000000000000005</x:v>
      </x:c>
      <x:c r="AE799" s="15" t="n">
        <x:f>'기준스탯 72종'!I39*H799</x:f>
        <x:v>0.30000000000000004</x:v>
      </x:c>
      <x:c r="AF799" s="15" t="n">
        <x:f>'기준스탯 72종'!J39*H799</x:f>
        <x:v>0.30000000000000004</x:v>
      </x:c>
      <x:c r="AG799" s="15" t="n">
        <x:f>'기준스탯 72종'!K39*H799</x:f>
        <x:v>0.18000000000000005</x:v>
      </x:c>
    </x:row>
    <x:row r="800" ht="28" customHeight="1">
      <x:c r="A800" s="2" t="n">
        <x:v>793</x:v>
      </x:c>
      <x:c r="B800" s="2" t="n">
        <x:v>32</x:v>
      </x:c>
      <x:c r="C800" s="2" t="str">
        <x:v>처녀자리</x:v>
      </x:c>
      <x:c r="D800" s="2" t="str">
        <x:v>마도사</x:v>
      </x:c>
      <x:c r="E800" s="2" t="n">
        <x:v>3</x:v>
      </x:c>
      <x:c r="F800" s="2" t="n">
        <x:v>4</x:v>
      </x:c>
      <x:c r="G800" s="14" t="n">
        <x:f>('레벨 계산식'!$E$4-E800)*'레벨 계산식'!$B$5</x:f>
        <x:v>0.27999999999999997</x:v>
      </x:c>
      <x:c r="H800" s="14" t="n">
        <x:f>('등급 계산식'!$E$4-F800)*'등급 계산식'!$B$5</x:f>
        <x:v>0.06000000000000001</x:v>
      </x:c>
      <x:c r="I800" s="14" t="n">
        <x:f>1-G800-H800</x:f>
        <x:v>0.6599999999999999</x:v>
      </x:c>
      <x:c r="J800" s="2" t="n">
        <x:f>MAX(1,ROUND('기준스탯 72종'!D39-R800-Z800,0))</x:f>
        <x:v>5</x:v>
      </x:c>
      <x:c r="K800" s="2" t="n">
        <x:f>MAX(1,ROUND('기준스탯 72종'!E39-S800-AA800,0))</x:f>
        <x:v>5</x:v>
      </x:c>
      <x:c r="L800" s="2" t="n">
        <x:f>MAX(1,ROUND('기준스탯 72종'!F39-T800-AB800,0))</x:f>
        <x:v>5</x:v>
      </x:c>
      <x:c r="M800" s="2" t="n">
        <x:f>MAX(1,ROUND('기준스탯 72종'!G39-U800-AC800,0))</x:f>
        <x:v>5</x:v>
      </x:c>
      <x:c r="N800" s="2" t="n">
        <x:f>MAX(0,ROUND('기준스탯 72종'!H39-V800-AD800,0))</x:f>
        <x:v>2</x:v>
      </x:c>
      <x:c r="O800" s="2" t="n">
        <x:f>MAX(0,ROUND('기준스탯 72종'!I39-W800-AE800,0))</x:f>
        <x:v>3</x:v>
      </x:c>
      <x:c r="P800" s="2" t="n">
        <x:f>MAX(0,ROUND('기준스탯 72종'!J39-X800-AF800,0))</x:f>
        <x:v>3</x:v>
      </x:c>
      <x:c r="Q800" s="2" t="n">
        <x:f>MAX(0,ROUND('기준스탯 72종'!K39-Y800-AG800,0))</x:f>
        <x:v>2</x:v>
      </x:c>
      <x:c r="R800" s="15" t="n">
        <x:f>'기준스탯 72종'!D39*G800</x:f>
        <x:v>2.2399999999999998</x:v>
      </x:c>
      <x:c r="S800" s="15" t="n">
        <x:f>'기준스탯 72종'!E39*G800</x:f>
        <x:v>1.9599999999999997</x:v>
      </x:c>
      <x:c r="T800" s="15" t="n">
        <x:f>'기준스탯 72종'!F39*G800</x:f>
        <x:v>1.9599999999999997</x:v>
      </x:c>
      <x:c r="U800" s="15" t="n">
        <x:f>'기준스탯 72종'!G39*G800</x:f>
        <x:v>1.9599999999999997</x:v>
      </x:c>
      <x:c r="V800" s="15" t="n">
        <x:f>'기준스탯 72종'!H39*G800</x:f>
        <x:v>0.8399999999999999</x:v>
      </x:c>
      <x:c r="W800" s="15" t="n">
        <x:f>'기준스탯 72종'!I39*G800</x:f>
        <x:v>1.4</x:v>
      </x:c>
      <x:c r="X800" s="15" t="n">
        <x:f>'기준스탯 72종'!J39*G800</x:f>
        <x:v>1.4</x:v>
      </x:c>
      <x:c r="Y800" s="15" t="n">
        <x:f>'기준스탯 72종'!K39*G800</x:f>
        <x:v>0.8399999999999999</x:v>
      </x:c>
      <x:c r="Z800" s="15" t="n">
        <x:f>'기준스탯 72종'!D39*H800</x:f>
        <x:v>0.4800000000000001</x:v>
      </x:c>
      <x:c r="AA800" s="15" t="n">
        <x:f>'기준스탯 72종'!E39*H800</x:f>
        <x:v>0.4200000000000001</x:v>
      </x:c>
      <x:c r="AB800" s="15" t="n">
        <x:f>'기준스탯 72종'!F39*H800</x:f>
        <x:v>0.4200000000000001</x:v>
      </x:c>
      <x:c r="AC800" s="15" t="n">
        <x:f>'기준스탯 72종'!G39*H800</x:f>
        <x:v>0.4200000000000001</x:v>
      </x:c>
      <x:c r="AD800" s="15" t="n">
        <x:f>'기준스탯 72종'!H39*H800</x:f>
        <x:v>0.18000000000000005</x:v>
      </x:c>
      <x:c r="AE800" s="15" t="n">
        <x:f>'기준스탯 72종'!I39*H800</x:f>
        <x:v>0.30000000000000004</x:v>
      </x:c>
      <x:c r="AF800" s="15" t="n">
        <x:f>'기준스탯 72종'!J39*H800</x:f>
        <x:v>0.30000000000000004</x:v>
      </x:c>
      <x:c r="AG800" s="15" t="n">
        <x:f>'기준스탯 72종'!K39*H800</x:f>
        <x:v>0.18000000000000005</x:v>
      </x:c>
    </x:row>
    <x:row r="801" ht="28" customHeight="1">
      <x:c r="A801" s="2" t="n">
        <x:v>794</x:v>
      </x:c>
      <x:c r="B801" s="2" t="n">
        <x:v>32</x:v>
      </x:c>
      <x:c r="C801" s="2" t="str">
        <x:v>처녀자리</x:v>
      </x:c>
      <x:c r="D801" s="2" t="str">
        <x:v>마도사</x:v>
      </x:c>
      <x:c r="E801" s="2" t="n">
        <x:v>4</x:v>
      </x:c>
      <x:c r="F801" s="2" t="n">
        <x:v>4</x:v>
      </x:c>
      <x:c r="G801" s="14" t="n">
        <x:f>('레벨 계산식'!$E$4-E801)*'레벨 계산식'!$B$5</x:f>
        <x:v>0.13999999999999999</x:v>
      </x:c>
      <x:c r="H801" s="14" t="n">
        <x:f>('등급 계산식'!$E$4-F801)*'등급 계산식'!$B$5</x:f>
        <x:v>0.06000000000000001</x:v>
      </x:c>
      <x:c r="I801" s="14" t="n">
        <x:f>1-G801-H801</x:f>
        <x:v>0.7999999999999999</x:v>
      </x:c>
      <x:c r="J801" s="2" t="n">
        <x:f>MAX(1,ROUND('기준스탯 72종'!D39-R801-Z801,0))</x:f>
        <x:v>6</x:v>
      </x:c>
      <x:c r="K801" s="2" t="n">
        <x:f>MAX(1,ROUND('기준스탯 72종'!E39-S801-AA801,0))</x:f>
        <x:v>6</x:v>
      </x:c>
      <x:c r="L801" s="2" t="n">
        <x:f>MAX(1,ROUND('기준스탯 72종'!F39-T801-AB801,0))</x:f>
        <x:v>6</x:v>
      </x:c>
      <x:c r="M801" s="2" t="n">
        <x:f>MAX(1,ROUND('기준스탯 72종'!G39-U801-AC801,0))</x:f>
        <x:v>6</x:v>
      </x:c>
      <x:c r="N801" s="2" t="n">
        <x:f>MAX(0,ROUND('기준스탯 72종'!H39-V801-AD801,0))</x:f>
        <x:v>2</x:v>
      </x:c>
      <x:c r="O801" s="2" t="n">
        <x:f>MAX(0,ROUND('기준스탯 72종'!I39-W801-AE801,0))</x:f>
        <x:v>4</x:v>
      </x:c>
      <x:c r="P801" s="2" t="n">
        <x:f>MAX(0,ROUND('기준스탯 72종'!J39-X801-AF801,0))</x:f>
        <x:v>4</x:v>
      </x:c>
      <x:c r="Q801" s="2" t="n">
        <x:f>MAX(0,ROUND('기준스탯 72종'!K39-Y801-AG801,0))</x:f>
        <x:v>2</x:v>
      </x:c>
      <x:c r="R801" s="15" t="n">
        <x:f>'기준스탯 72종'!D39*G801</x:f>
        <x:v>1.1199999999999999</x:v>
      </x:c>
      <x:c r="S801" s="15" t="n">
        <x:f>'기준스탯 72종'!E39*G801</x:f>
        <x:v>0.9799999999999999</x:v>
      </x:c>
      <x:c r="T801" s="15" t="n">
        <x:f>'기준스탯 72종'!F39*G801</x:f>
        <x:v>0.9799999999999999</x:v>
      </x:c>
      <x:c r="U801" s="15" t="n">
        <x:f>'기준스탯 72종'!G39*G801</x:f>
        <x:v>0.9799999999999999</x:v>
      </x:c>
      <x:c r="V801" s="15" t="n">
        <x:f>'기준스탯 72종'!H39*G801</x:f>
        <x:v>0.41999999999999993</x:v>
      </x:c>
      <x:c r="W801" s="15" t="n">
        <x:f>'기준스탯 72종'!I39*G801</x:f>
        <x:v>0.7</x:v>
      </x:c>
      <x:c r="X801" s="15" t="n">
        <x:f>'기준스탯 72종'!J39*G801</x:f>
        <x:v>0.7</x:v>
      </x:c>
      <x:c r="Y801" s="15" t="n">
        <x:f>'기준스탯 72종'!K39*G801</x:f>
        <x:v>0.41999999999999993</x:v>
      </x:c>
      <x:c r="Z801" s="15" t="n">
        <x:f>'기준스탯 72종'!D39*H801</x:f>
        <x:v>0.4800000000000001</x:v>
      </x:c>
      <x:c r="AA801" s="15" t="n">
        <x:f>'기준스탯 72종'!E39*H801</x:f>
        <x:v>0.4200000000000001</x:v>
      </x:c>
      <x:c r="AB801" s="15" t="n">
        <x:f>'기준스탯 72종'!F39*H801</x:f>
        <x:v>0.4200000000000001</x:v>
      </x:c>
      <x:c r="AC801" s="15" t="n">
        <x:f>'기준스탯 72종'!G39*H801</x:f>
        <x:v>0.4200000000000001</x:v>
      </x:c>
      <x:c r="AD801" s="15" t="n">
        <x:f>'기준스탯 72종'!H39*H801</x:f>
        <x:v>0.18000000000000005</x:v>
      </x:c>
      <x:c r="AE801" s="15" t="n">
        <x:f>'기준스탯 72종'!I39*H801</x:f>
        <x:v>0.30000000000000004</x:v>
      </x:c>
      <x:c r="AF801" s="15" t="n">
        <x:f>'기준스탯 72종'!J39*H801</x:f>
        <x:v>0.30000000000000004</x:v>
      </x:c>
      <x:c r="AG801" s="15" t="n">
        <x:f>'기준스탯 72종'!K39*H801</x:f>
        <x:v>0.18000000000000005</x:v>
      </x:c>
    </x:row>
    <x:row r="802" ht="28" customHeight="1">
      <x:c r="A802" s="2" t="n">
        <x:v>795</x:v>
      </x:c>
      <x:c r="B802" s="2" t="n">
        <x:v>32</x:v>
      </x:c>
      <x:c r="C802" s="2" t="str">
        <x:v>처녀자리</x:v>
      </x:c>
      <x:c r="D802" s="2" t="str">
        <x:v>마도사</x:v>
      </x:c>
      <x:c r="E802" s="2" t="n">
        <x:v>5</x:v>
      </x:c>
      <x:c r="F802" s="2" t="n">
        <x:v>4</x:v>
      </x:c>
      <x:c r="G802" s="14" t="n">
        <x:f>('레벨 계산식'!$E$4-E802)*'레벨 계산식'!$B$5</x:f>
        <x:v>0</x:v>
      </x:c>
      <x:c r="H802" s="14" t="n">
        <x:f>('등급 계산식'!$E$4-F802)*'등급 계산식'!$B$5</x:f>
        <x:v>0.06000000000000001</x:v>
      </x:c>
      <x:c r="I802" s="14" t="n">
        <x:f>1-G802-H802</x:f>
        <x:v>0.94</x:v>
      </x:c>
      <x:c r="J802" s="2" t="n">
        <x:f>MAX(1,ROUND('기준스탯 72종'!D39-R802-Z802,0))</x:f>
        <x:v>8</x:v>
      </x:c>
      <x:c r="K802" s="2" t="n">
        <x:f>MAX(1,ROUND('기준스탯 72종'!E39-S802-AA802,0))</x:f>
        <x:v>7</x:v>
      </x:c>
      <x:c r="L802" s="2" t="n">
        <x:f>MAX(1,ROUND('기준스탯 72종'!F39-T802-AB802,0))</x:f>
        <x:v>7</x:v>
      </x:c>
      <x:c r="M802" s="2" t="n">
        <x:f>MAX(1,ROUND('기준스탯 72종'!G39-U802-AC802,0))</x:f>
        <x:v>7</x:v>
      </x:c>
      <x:c r="N802" s="2" t="n">
        <x:f>MAX(0,ROUND('기준스탯 72종'!H39-V802-AD802,0))</x:f>
        <x:v>3</x:v>
      </x:c>
      <x:c r="O802" s="2" t="n">
        <x:f>MAX(0,ROUND('기준스탯 72종'!I39-W802-AE802,0))</x:f>
        <x:v>5</x:v>
      </x:c>
      <x:c r="P802" s="2" t="n">
        <x:f>MAX(0,ROUND('기준스탯 72종'!J39-X802-AF802,0))</x:f>
        <x:v>5</x:v>
      </x:c>
      <x:c r="Q802" s="2" t="n">
        <x:f>MAX(0,ROUND('기준스탯 72종'!K39-Y802-AG802,0))</x:f>
        <x:v>3</x:v>
      </x:c>
      <x:c r="R802" s="15" t="n">
        <x:f>'기준스탯 72종'!D39*G802</x:f>
        <x:v>0</x:v>
      </x:c>
      <x:c r="S802" s="15" t="n">
        <x:f>'기준스탯 72종'!E39*G802</x:f>
        <x:v>0</x:v>
      </x:c>
      <x:c r="T802" s="15" t="n">
        <x:f>'기준스탯 72종'!F39*G802</x:f>
        <x:v>0</x:v>
      </x:c>
      <x:c r="U802" s="15" t="n">
        <x:f>'기준스탯 72종'!G39*G802</x:f>
        <x:v>0</x:v>
      </x:c>
      <x:c r="V802" s="15" t="n">
        <x:f>'기준스탯 72종'!H39*G802</x:f>
        <x:v>0</x:v>
      </x:c>
      <x:c r="W802" s="15" t="n">
        <x:f>'기준스탯 72종'!I39*G802</x:f>
        <x:v>0</x:v>
      </x:c>
      <x:c r="X802" s="15" t="n">
        <x:f>'기준스탯 72종'!J39*G802</x:f>
        <x:v>0</x:v>
      </x:c>
      <x:c r="Y802" s="15" t="n">
        <x:f>'기준스탯 72종'!K39*G802</x:f>
        <x:v>0</x:v>
      </x:c>
      <x:c r="Z802" s="15" t="n">
        <x:f>'기준스탯 72종'!D39*H802</x:f>
        <x:v>0.4800000000000001</x:v>
      </x:c>
      <x:c r="AA802" s="15" t="n">
        <x:f>'기준스탯 72종'!E39*H802</x:f>
        <x:v>0.4200000000000001</x:v>
      </x:c>
      <x:c r="AB802" s="15" t="n">
        <x:f>'기준스탯 72종'!F39*H802</x:f>
        <x:v>0.4200000000000001</x:v>
      </x:c>
      <x:c r="AC802" s="15" t="n">
        <x:f>'기준스탯 72종'!G39*H802</x:f>
        <x:v>0.4200000000000001</x:v>
      </x:c>
      <x:c r="AD802" s="15" t="n">
        <x:f>'기준스탯 72종'!H39*H802</x:f>
        <x:v>0.18000000000000005</x:v>
      </x:c>
      <x:c r="AE802" s="15" t="n">
        <x:f>'기준스탯 72종'!I39*H802</x:f>
        <x:v>0.30000000000000004</x:v>
      </x:c>
      <x:c r="AF802" s="15" t="n">
        <x:f>'기준스탯 72종'!J39*H802</x:f>
        <x:v>0.30000000000000004</x:v>
      </x:c>
      <x:c r="AG802" s="15" t="n">
        <x:f>'기준스탯 72종'!K39*H802</x:f>
        <x:v>0.18000000000000005</x:v>
      </x:c>
    </x:row>
    <x:row r="803" ht="28" customHeight="1">
      <x:c r="A803" s="2" t="n">
        <x:v>796</x:v>
      </x:c>
      <x:c r="B803" s="2" t="n">
        <x:v>32</x:v>
      </x:c>
      <x:c r="C803" s="2" t="str">
        <x:v>처녀자리</x:v>
      </x:c>
      <x:c r="D803" s="2" t="str">
        <x:v>마도사</x:v>
      </x:c>
      <x:c r="E803" s="2" t="n">
        <x:v>1</x:v>
      </x:c>
      <x:c r="F803" s="2" t="n">
        <x:v>5</x:v>
      </x:c>
      <x:c r="G803" s="14" t="n">
        <x:f>('레벨 계산식'!$E$4-E803)*'레벨 계산식'!$B$5</x:f>
        <x:v>0.5599999999999999</x:v>
      </x:c>
      <x:c r="H803" s="14" t="n">
        <x:f>('등급 계산식'!$E$4-F803)*'등급 계산식'!$B$5</x:f>
        <x:v>0</x:v>
      </x:c>
      <x:c r="I803" s="14" t="n">
        <x:f>1-G803-H803</x:f>
        <x:v>0.44000000000000006</x:v>
      </x:c>
      <x:c r="J803" s="2" t="n">
        <x:f>MAX(1,ROUND('기준스탯 72종'!D39-R803-Z803,0))</x:f>
        <x:v>4</x:v>
      </x:c>
      <x:c r="K803" s="2" t="n">
        <x:f>MAX(1,ROUND('기준스탯 72종'!E39-S803-AA803,0))</x:f>
        <x:v>3</x:v>
      </x:c>
      <x:c r="L803" s="2" t="n">
        <x:f>MAX(1,ROUND('기준스탯 72종'!F39-T803-AB803,0))</x:f>
        <x:v>3</x:v>
      </x:c>
      <x:c r="M803" s="2" t="n">
        <x:f>MAX(1,ROUND('기준스탯 72종'!G39-U803-AC803,0))</x:f>
        <x:v>3</x:v>
      </x:c>
      <x:c r="N803" s="2" t="n">
        <x:f>MAX(0,ROUND('기준스탯 72종'!H39-V803-AD803,0))</x:f>
        <x:v>1</x:v>
      </x:c>
      <x:c r="O803" s="2" t="n">
        <x:f>MAX(0,ROUND('기준스탯 72종'!I39-W803-AE803,0))</x:f>
        <x:v>2</x:v>
      </x:c>
      <x:c r="P803" s="2" t="n">
        <x:f>MAX(0,ROUND('기준스탯 72종'!J39-X803-AF803,0))</x:f>
        <x:v>2</x:v>
      </x:c>
      <x:c r="Q803" s="2" t="n">
        <x:f>MAX(0,ROUND('기준스탯 72종'!K39-Y803-AG803,0))</x:f>
        <x:v>1</x:v>
      </x:c>
      <x:c r="R803" s="15" t="n">
        <x:f>'기준스탯 72종'!D39*G803</x:f>
        <x:v>4.4799999999999995</x:v>
      </x:c>
      <x:c r="S803" s="15" t="n">
        <x:f>'기준스탯 72종'!E39*G803</x:f>
        <x:v>3.9199999999999995</x:v>
      </x:c>
      <x:c r="T803" s="15" t="n">
        <x:f>'기준스탯 72종'!F39*G803</x:f>
        <x:v>3.9199999999999995</x:v>
      </x:c>
      <x:c r="U803" s="15" t="n">
        <x:f>'기준스탯 72종'!G39*G803</x:f>
        <x:v>3.9199999999999995</x:v>
      </x:c>
      <x:c r="V803" s="15" t="n">
        <x:f>'기준스탯 72종'!H39*G803</x:f>
        <x:v>1.6799999999999997</x:v>
      </x:c>
      <x:c r="W803" s="15" t="n">
        <x:f>'기준스탯 72종'!I39*G803</x:f>
        <x:v>2.8</x:v>
      </x:c>
      <x:c r="X803" s="15" t="n">
        <x:f>'기준스탯 72종'!J39*G803</x:f>
        <x:v>2.8</x:v>
      </x:c>
      <x:c r="Y803" s="15" t="n">
        <x:f>'기준스탯 72종'!K39*G803</x:f>
        <x:v>1.6799999999999997</x:v>
      </x:c>
      <x:c r="Z803" s="15" t="n">
        <x:f>'기준스탯 72종'!D39*H803</x:f>
        <x:v>0</x:v>
      </x:c>
      <x:c r="AA803" s="15" t="n">
        <x:f>'기준스탯 72종'!E39*H803</x:f>
        <x:v>0</x:v>
      </x:c>
      <x:c r="AB803" s="15" t="n">
        <x:f>'기준스탯 72종'!F39*H803</x:f>
        <x:v>0</x:v>
      </x:c>
      <x:c r="AC803" s="15" t="n">
        <x:f>'기준스탯 72종'!G39*H803</x:f>
        <x:v>0</x:v>
      </x:c>
      <x:c r="AD803" s="15" t="n">
        <x:f>'기준스탯 72종'!H39*H803</x:f>
        <x:v>0</x:v>
      </x:c>
      <x:c r="AE803" s="15" t="n">
        <x:f>'기준스탯 72종'!I39*H803</x:f>
        <x:v>0</x:v>
      </x:c>
      <x:c r="AF803" s="15" t="n">
        <x:f>'기준스탯 72종'!J39*H803</x:f>
        <x:v>0</x:v>
      </x:c>
      <x:c r="AG803" s="15" t="n">
        <x:f>'기준스탯 72종'!K39*H803</x:f>
        <x:v>0</x:v>
      </x:c>
    </x:row>
    <x:row r="804" ht="28" customHeight="1">
      <x:c r="A804" s="2" t="n">
        <x:v>797</x:v>
      </x:c>
      <x:c r="B804" s="2" t="n">
        <x:v>32</x:v>
      </x:c>
      <x:c r="C804" s="2" t="str">
        <x:v>처녀자리</x:v>
      </x:c>
      <x:c r="D804" s="2" t="str">
        <x:v>마도사</x:v>
      </x:c>
      <x:c r="E804" s="2" t="n">
        <x:v>2</x:v>
      </x:c>
      <x:c r="F804" s="2" t="n">
        <x:v>5</x:v>
      </x:c>
      <x:c r="G804" s="14" t="n">
        <x:f>('레벨 계산식'!$E$4-E804)*'레벨 계산식'!$B$5</x:f>
        <x:v>0.41999999999999993</x:v>
      </x:c>
      <x:c r="H804" s="14" t="n">
        <x:f>('등급 계산식'!$E$4-F804)*'등급 계산식'!$B$5</x:f>
        <x:v>0</x:v>
      </x:c>
      <x:c r="I804" s="14" t="n">
        <x:f>1-G804-H804</x:f>
        <x:v>0.5800000000000001</x:v>
      </x:c>
      <x:c r="J804" s="2" t="n">
        <x:f>MAX(1,ROUND('기준스탯 72종'!D39-R804-Z804,0))</x:f>
        <x:v>5</x:v>
      </x:c>
      <x:c r="K804" s="2" t="n">
        <x:f>MAX(1,ROUND('기준스탯 72종'!E39-S804-AA804,0))</x:f>
        <x:v>4</x:v>
      </x:c>
      <x:c r="L804" s="2" t="n">
        <x:f>MAX(1,ROUND('기준스탯 72종'!F39-T804-AB804,0))</x:f>
        <x:v>4</x:v>
      </x:c>
      <x:c r="M804" s="2" t="n">
        <x:f>MAX(1,ROUND('기준스탯 72종'!G39-U804-AC804,0))</x:f>
        <x:v>4</x:v>
      </x:c>
      <x:c r="N804" s="2" t="n">
        <x:f>MAX(0,ROUND('기준스탯 72종'!H39-V804-AD804,0))</x:f>
        <x:v>2</x:v>
      </x:c>
      <x:c r="O804" s="2" t="n">
        <x:f>MAX(0,ROUND('기준스탯 72종'!I39-W804-AE804,0))</x:f>
        <x:v>3</x:v>
      </x:c>
      <x:c r="P804" s="2" t="n">
        <x:f>MAX(0,ROUND('기준스탯 72종'!J39-X804-AF804,0))</x:f>
        <x:v>3</x:v>
      </x:c>
      <x:c r="Q804" s="2" t="n">
        <x:f>MAX(0,ROUND('기준스탯 72종'!K39-Y804-AG804,0))</x:f>
        <x:v>2</x:v>
      </x:c>
      <x:c r="R804" s="15" t="n">
        <x:f>'기준스탯 72종'!D39*G804</x:f>
        <x:v>3.3599999999999994</x:v>
      </x:c>
      <x:c r="S804" s="15" t="n">
        <x:f>'기준스탯 72종'!E39*G804</x:f>
        <x:v>2.9399999999999995</x:v>
      </x:c>
      <x:c r="T804" s="15" t="n">
        <x:f>'기준스탯 72종'!F39*G804</x:f>
        <x:v>2.9399999999999995</x:v>
      </x:c>
      <x:c r="U804" s="15" t="n">
        <x:f>'기준스탯 72종'!G39*G804</x:f>
        <x:v>2.9399999999999995</x:v>
      </x:c>
      <x:c r="V804" s="15" t="n">
        <x:f>'기준스탯 72종'!H39*G804</x:f>
        <x:v>1.2599999999999998</x:v>
      </x:c>
      <x:c r="W804" s="15" t="n">
        <x:f>'기준스탯 72종'!I39*G804</x:f>
        <x:v>2.0999999999999996</x:v>
      </x:c>
      <x:c r="X804" s="15" t="n">
        <x:f>'기준스탯 72종'!J39*G804</x:f>
        <x:v>2.0999999999999996</x:v>
      </x:c>
      <x:c r="Y804" s="15" t="n">
        <x:f>'기준스탯 72종'!K39*G804</x:f>
        <x:v>1.2599999999999998</x:v>
      </x:c>
      <x:c r="Z804" s="15" t="n">
        <x:f>'기준스탯 72종'!D39*H804</x:f>
        <x:v>0</x:v>
      </x:c>
      <x:c r="AA804" s="15" t="n">
        <x:f>'기준스탯 72종'!E39*H804</x:f>
        <x:v>0</x:v>
      </x:c>
      <x:c r="AB804" s="15" t="n">
        <x:f>'기준스탯 72종'!F39*H804</x:f>
        <x:v>0</x:v>
      </x:c>
      <x:c r="AC804" s="15" t="n">
        <x:f>'기준스탯 72종'!G39*H804</x:f>
        <x:v>0</x:v>
      </x:c>
      <x:c r="AD804" s="15" t="n">
        <x:f>'기준스탯 72종'!H39*H804</x:f>
        <x:v>0</x:v>
      </x:c>
      <x:c r="AE804" s="15" t="n">
        <x:f>'기준스탯 72종'!I39*H804</x:f>
        <x:v>0</x:v>
      </x:c>
      <x:c r="AF804" s="15" t="n">
        <x:f>'기준스탯 72종'!J39*H804</x:f>
        <x:v>0</x:v>
      </x:c>
      <x:c r="AG804" s="15" t="n">
        <x:f>'기준스탯 72종'!K39*H804</x:f>
        <x:v>0</x:v>
      </x:c>
    </x:row>
    <x:row r="805" ht="28" customHeight="1">
      <x:c r="A805" s="2" t="n">
        <x:v>798</x:v>
      </x:c>
      <x:c r="B805" s="2" t="n">
        <x:v>32</x:v>
      </x:c>
      <x:c r="C805" s="2" t="str">
        <x:v>처녀자리</x:v>
      </x:c>
      <x:c r="D805" s="2" t="str">
        <x:v>마도사</x:v>
      </x:c>
      <x:c r="E805" s="2" t="n">
        <x:v>3</x:v>
      </x:c>
      <x:c r="F805" s="2" t="n">
        <x:v>5</x:v>
      </x:c>
      <x:c r="G805" s="14" t="n">
        <x:f>('레벨 계산식'!$E$4-E805)*'레벨 계산식'!$B$5</x:f>
        <x:v>0.27999999999999997</x:v>
      </x:c>
      <x:c r="H805" s="14" t="n">
        <x:f>('등급 계산식'!$E$4-F805)*'등급 계산식'!$B$5</x:f>
        <x:v>0</x:v>
      </x:c>
      <x:c r="I805" s="14" t="n">
        <x:f>1-G805-H805</x:f>
        <x:v>0.72</x:v>
      </x:c>
      <x:c r="J805" s="2" t="n">
        <x:f>MAX(1,ROUND('기준스탯 72종'!D39-R805-Z805,0))</x:f>
        <x:v>6</x:v>
      </x:c>
      <x:c r="K805" s="2" t="n">
        <x:f>MAX(1,ROUND('기준스탯 72종'!E39-S805-AA805,0))</x:f>
        <x:v>5</x:v>
      </x:c>
      <x:c r="L805" s="2" t="n">
        <x:f>MAX(1,ROUND('기준스탯 72종'!F39-T805-AB805,0))</x:f>
        <x:v>5</x:v>
      </x:c>
      <x:c r="M805" s="2" t="n">
        <x:f>MAX(1,ROUND('기준스탯 72종'!G39-U805-AC805,0))</x:f>
        <x:v>5</x:v>
      </x:c>
      <x:c r="N805" s="2" t="n">
        <x:f>MAX(0,ROUND('기준스탯 72종'!H39-V805-AD805,0))</x:f>
        <x:v>2</x:v>
      </x:c>
      <x:c r="O805" s="2" t="n">
        <x:f>MAX(0,ROUND('기준스탯 72종'!I39-W805-AE805,0))</x:f>
        <x:v>4</x:v>
      </x:c>
      <x:c r="P805" s="2" t="n">
        <x:f>MAX(0,ROUND('기준스탯 72종'!J39-X805-AF805,0))</x:f>
        <x:v>4</x:v>
      </x:c>
      <x:c r="Q805" s="2" t="n">
        <x:f>MAX(0,ROUND('기준스탯 72종'!K39-Y805-AG805,0))</x:f>
        <x:v>2</x:v>
      </x:c>
      <x:c r="R805" s="15" t="n">
        <x:f>'기준스탯 72종'!D39*G805</x:f>
        <x:v>2.2399999999999998</x:v>
      </x:c>
      <x:c r="S805" s="15" t="n">
        <x:f>'기준스탯 72종'!E39*G805</x:f>
        <x:v>1.9599999999999997</x:v>
      </x:c>
      <x:c r="T805" s="15" t="n">
        <x:f>'기준스탯 72종'!F39*G805</x:f>
        <x:v>1.9599999999999997</x:v>
      </x:c>
      <x:c r="U805" s="15" t="n">
        <x:f>'기준스탯 72종'!G39*G805</x:f>
        <x:v>1.9599999999999997</x:v>
      </x:c>
      <x:c r="V805" s="15" t="n">
        <x:f>'기준스탯 72종'!H39*G805</x:f>
        <x:v>0.8399999999999999</x:v>
      </x:c>
      <x:c r="W805" s="15" t="n">
        <x:f>'기준스탯 72종'!I39*G805</x:f>
        <x:v>1.4</x:v>
      </x:c>
      <x:c r="X805" s="15" t="n">
        <x:f>'기준스탯 72종'!J39*G805</x:f>
        <x:v>1.4</x:v>
      </x:c>
      <x:c r="Y805" s="15" t="n">
        <x:f>'기준스탯 72종'!K39*G805</x:f>
        <x:v>0.8399999999999999</x:v>
      </x:c>
      <x:c r="Z805" s="15" t="n">
        <x:f>'기준스탯 72종'!D39*H805</x:f>
        <x:v>0</x:v>
      </x:c>
      <x:c r="AA805" s="15" t="n">
        <x:f>'기준스탯 72종'!E39*H805</x:f>
        <x:v>0</x:v>
      </x:c>
      <x:c r="AB805" s="15" t="n">
        <x:f>'기준스탯 72종'!F39*H805</x:f>
        <x:v>0</x:v>
      </x:c>
      <x:c r="AC805" s="15" t="n">
        <x:f>'기준스탯 72종'!G39*H805</x:f>
        <x:v>0</x:v>
      </x:c>
      <x:c r="AD805" s="15" t="n">
        <x:f>'기준스탯 72종'!H39*H805</x:f>
        <x:v>0</x:v>
      </x:c>
      <x:c r="AE805" s="15" t="n">
        <x:f>'기준스탯 72종'!I39*H805</x:f>
        <x:v>0</x:v>
      </x:c>
      <x:c r="AF805" s="15" t="n">
        <x:f>'기준스탯 72종'!J39*H805</x:f>
        <x:v>0</x:v>
      </x:c>
      <x:c r="AG805" s="15" t="n">
        <x:f>'기준스탯 72종'!K39*H805</x:f>
        <x:v>0</x:v>
      </x:c>
    </x:row>
    <x:row r="806" ht="28" customHeight="1">
      <x:c r="A806" s="2" t="n">
        <x:v>799</x:v>
      </x:c>
      <x:c r="B806" s="2" t="n">
        <x:v>32</x:v>
      </x:c>
      <x:c r="C806" s="2" t="str">
        <x:v>처녀자리</x:v>
      </x:c>
      <x:c r="D806" s="2" t="str">
        <x:v>마도사</x:v>
      </x:c>
      <x:c r="E806" s="2" t="n">
        <x:v>4</x:v>
      </x:c>
      <x:c r="F806" s="2" t="n">
        <x:v>5</x:v>
      </x:c>
      <x:c r="G806" s="14" t="n">
        <x:f>('레벨 계산식'!$E$4-E806)*'레벨 계산식'!$B$5</x:f>
        <x:v>0.13999999999999999</x:v>
      </x:c>
      <x:c r="H806" s="14" t="n">
        <x:f>('등급 계산식'!$E$4-F806)*'등급 계산식'!$B$5</x:f>
        <x:v>0</x:v>
      </x:c>
      <x:c r="I806" s="14" t="n">
        <x:f>1-G806-H806</x:f>
        <x:v>0.86</x:v>
      </x:c>
      <x:c r="J806" s="2" t="n">
        <x:f>MAX(1,ROUND('기준스탯 72종'!D39-R806-Z806,0))</x:f>
        <x:v>7</x:v>
      </x:c>
      <x:c r="K806" s="2" t="n">
        <x:f>MAX(1,ROUND('기준스탯 72종'!E39-S806-AA806,0))</x:f>
        <x:v>6</x:v>
      </x:c>
      <x:c r="L806" s="2" t="n">
        <x:f>MAX(1,ROUND('기준스탯 72종'!F39-T806-AB806,0))</x:f>
        <x:v>6</x:v>
      </x:c>
      <x:c r="M806" s="2" t="n">
        <x:f>MAX(1,ROUND('기준스탯 72종'!G39-U806-AC806,0))</x:f>
        <x:v>6</x:v>
      </x:c>
      <x:c r="N806" s="2" t="n">
        <x:f>MAX(0,ROUND('기준스탯 72종'!H39-V806-AD806,0))</x:f>
        <x:v>3</x:v>
      </x:c>
      <x:c r="O806" s="2" t="n">
        <x:f>MAX(0,ROUND('기준스탯 72종'!I39-W806-AE806,0))</x:f>
        <x:v>4</x:v>
      </x:c>
      <x:c r="P806" s="2" t="n">
        <x:f>MAX(0,ROUND('기준스탯 72종'!J39-X806-AF806,0))</x:f>
        <x:v>4</x:v>
      </x:c>
      <x:c r="Q806" s="2" t="n">
        <x:f>MAX(0,ROUND('기준스탯 72종'!K39-Y806-AG806,0))</x:f>
        <x:v>3</x:v>
      </x:c>
      <x:c r="R806" s="15" t="n">
        <x:f>'기준스탯 72종'!D39*G806</x:f>
        <x:v>1.1199999999999999</x:v>
      </x:c>
      <x:c r="S806" s="15" t="n">
        <x:f>'기준스탯 72종'!E39*G806</x:f>
        <x:v>0.9799999999999999</x:v>
      </x:c>
      <x:c r="T806" s="15" t="n">
        <x:f>'기준스탯 72종'!F39*G806</x:f>
        <x:v>0.9799999999999999</x:v>
      </x:c>
      <x:c r="U806" s="15" t="n">
        <x:f>'기준스탯 72종'!G39*G806</x:f>
        <x:v>0.9799999999999999</x:v>
      </x:c>
      <x:c r="V806" s="15" t="n">
        <x:f>'기준스탯 72종'!H39*G806</x:f>
        <x:v>0.41999999999999993</x:v>
      </x:c>
      <x:c r="W806" s="15" t="n">
        <x:f>'기준스탯 72종'!I39*G806</x:f>
        <x:v>0.7</x:v>
      </x:c>
      <x:c r="X806" s="15" t="n">
        <x:f>'기준스탯 72종'!J39*G806</x:f>
        <x:v>0.7</x:v>
      </x:c>
      <x:c r="Y806" s="15" t="n">
        <x:f>'기준스탯 72종'!K39*G806</x:f>
        <x:v>0.41999999999999993</x:v>
      </x:c>
      <x:c r="Z806" s="15" t="n">
        <x:f>'기준스탯 72종'!D39*H806</x:f>
        <x:v>0</x:v>
      </x:c>
      <x:c r="AA806" s="15" t="n">
        <x:f>'기준스탯 72종'!E39*H806</x:f>
        <x:v>0</x:v>
      </x:c>
      <x:c r="AB806" s="15" t="n">
        <x:f>'기준스탯 72종'!F39*H806</x:f>
        <x:v>0</x:v>
      </x:c>
      <x:c r="AC806" s="15" t="n">
        <x:f>'기준스탯 72종'!G39*H806</x:f>
        <x:v>0</x:v>
      </x:c>
      <x:c r="AD806" s="15" t="n">
        <x:f>'기준스탯 72종'!H39*H806</x:f>
        <x:v>0</x:v>
      </x:c>
      <x:c r="AE806" s="15" t="n">
        <x:f>'기준스탯 72종'!I39*H806</x:f>
        <x:v>0</x:v>
      </x:c>
      <x:c r="AF806" s="15" t="n">
        <x:f>'기준스탯 72종'!J39*H806</x:f>
        <x:v>0</x:v>
      </x:c>
      <x:c r="AG806" s="15" t="n">
        <x:f>'기준스탯 72종'!K39*H806</x:f>
        <x:v>0</x:v>
      </x:c>
    </x:row>
    <x:row r="807" ht="28" customHeight="1">
      <x:c r="A807" s="2" t="n">
        <x:v>800</x:v>
      </x:c>
      <x:c r="B807" s="2" t="n">
        <x:v>32</x:v>
      </x:c>
      <x:c r="C807" s="2" t="str">
        <x:v>처녀자리</x:v>
      </x:c>
      <x:c r="D807" s="2" t="str">
        <x:v>마도사</x:v>
      </x:c>
      <x:c r="E807" s="2" t="n">
        <x:v>5</x:v>
      </x:c>
      <x:c r="F807" s="2" t="n">
        <x:v>5</x:v>
      </x:c>
      <x:c r="G807" s="14" t="n">
        <x:f>('레벨 계산식'!$E$4-E807)*'레벨 계산식'!$B$5</x:f>
        <x:v>0</x:v>
      </x:c>
      <x:c r="H807" s="14" t="n">
        <x:f>('등급 계산식'!$E$4-F807)*'등급 계산식'!$B$5</x:f>
        <x:v>0</x:v>
      </x:c>
      <x:c r="I807" s="14" t="n">
        <x:f>1-G807-H807</x:f>
        <x:v>1</x:v>
      </x:c>
      <x:c r="J807" s="2" t="n">
        <x:f>MAX(1,ROUND('기준스탯 72종'!D39-R807-Z807,0))</x:f>
        <x:v>8</x:v>
      </x:c>
      <x:c r="K807" s="2" t="n">
        <x:f>MAX(1,ROUND('기준스탯 72종'!E39-S807-AA807,0))</x:f>
        <x:v>7</x:v>
      </x:c>
      <x:c r="L807" s="2" t="n">
        <x:f>MAX(1,ROUND('기준스탯 72종'!F39-T807-AB807,0))</x:f>
        <x:v>7</x:v>
      </x:c>
      <x:c r="M807" s="2" t="n">
        <x:f>MAX(1,ROUND('기준스탯 72종'!G39-U807-AC807,0))</x:f>
        <x:v>7</x:v>
      </x:c>
      <x:c r="N807" s="2" t="n">
        <x:f>MAX(0,ROUND('기준스탯 72종'!H39-V807-AD807,0))</x:f>
        <x:v>3</x:v>
      </x:c>
      <x:c r="O807" s="2" t="n">
        <x:f>MAX(0,ROUND('기준스탯 72종'!I39-W807-AE807,0))</x:f>
        <x:v>5</x:v>
      </x:c>
      <x:c r="P807" s="2" t="n">
        <x:f>MAX(0,ROUND('기준스탯 72종'!J39-X807-AF807,0))</x:f>
        <x:v>5</x:v>
      </x:c>
      <x:c r="Q807" s="2" t="n">
        <x:f>MAX(0,ROUND('기준스탯 72종'!K39-Y807-AG807,0))</x:f>
        <x:v>3</x:v>
      </x:c>
      <x:c r="R807" s="15" t="n">
        <x:f>'기준스탯 72종'!D39*G807</x:f>
        <x:v>0</x:v>
      </x:c>
      <x:c r="S807" s="15" t="n">
        <x:f>'기준스탯 72종'!E39*G807</x:f>
        <x:v>0</x:v>
      </x:c>
      <x:c r="T807" s="15" t="n">
        <x:f>'기준스탯 72종'!F39*G807</x:f>
        <x:v>0</x:v>
      </x:c>
      <x:c r="U807" s="15" t="n">
        <x:f>'기준스탯 72종'!G39*G807</x:f>
        <x:v>0</x:v>
      </x:c>
      <x:c r="V807" s="15" t="n">
        <x:f>'기준스탯 72종'!H39*G807</x:f>
        <x:v>0</x:v>
      </x:c>
      <x:c r="W807" s="15" t="n">
        <x:f>'기준스탯 72종'!I39*G807</x:f>
        <x:v>0</x:v>
      </x:c>
      <x:c r="X807" s="15" t="n">
        <x:f>'기준스탯 72종'!J39*G807</x:f>
        <x:v>0</x:v>
      </x:c>
      <x:c r="Y807" s="15" t="n">
        <x:f>'기준스탯 72종'!K39*G807</x:f>
        <x:v>0</x:v>
      </x:c>
      <x:c r="Z807" s="15" t="n">
        <x:f>'기준스탯 72종'!D39*H807</x:f>
        <x:v>0</x:v>
      </x:c>
      <x:c r="AA807" s="15" t="n">
        <x:f>'기준스탯 72종'!E39*H807</x:f>
        <x:v>0</x:v>
      </x:c>
      <x:c r="AB807" s="15" t="n">
        <x:f>'기준스탯 72종'!F39*H807</x:f>
        <x:v>0</x:v>
      </x:c>
      <x:c r="AC807" s="15" t="n">
        <x:f>'기준스탯 72종'!G39*H807</x:f>
        <x:v>0</x:v>
      </x:c>
      <x:c r="AD807" s="15" t="n">
        <x:f>'기준스탯 72종'!H39*H807</x:f>
        <x:v>0</x:v>
      </x:c>
      <x:c r="AE807" s="15" t="n">
        <x:f>'기준스탯 72종'!I39*H807</x:f>
        <x:v>0</x:v>
      </x:c>
      <x:c r="AF807" s="15" t="n">
        <x:f>'기준스탯 72종'!J39*H807</x:f>
        <x:v>0</x:v>
      </x:c>
      <x:c r="AG807" s="15" t="n">
        <x:f>'기준스탯 72종'!K39*H807</x:f>
        <x:v>0</x:v>
      </x:c>
    </x:row>
    <x:row r="808" ht="28" customHeight="1">
      <x:c r="A808" s="2" t="n">
        <x:v>801</x:v>
      </x:c>
      <x:c r="B808" s="2" t="n">
        <x:v>33</x:v>
      </x:c>
      <x:c r="C808" s="2" t="str">
        <x:v>처녀자리</x:v>
      </x:c>
      <x:c r="D808" s="2" t="str">
        <x:v>사수</x:v>
      </x:c>
      <x:c r="E808" s="2" t="n">
        <x:v>1</x:v>
      </x:c>
      <x:c r="F808" s="2" t="n">
        <x:v>1</x:v>
      </x:c>
      <x:c r="G808" s="14" t="n">
        <x:f>('레벨 계산식'!$E$4-E808)*'레벨 계산식'!$B$5</x:f>
        <x:v>0.5599999999999999</x:v>
      </x:c>
      <x:c r="H808" s="14" t="n">
        <x:f>('등급 계산식'!$E$4-F808)*'등급 계산식'!$B$5</x:f>
        <x:v>0.24000000000000005</x:v>
      </x:c>
      <x:c r="I808" s="14" t="n">
        <x:f>1-G808-H808</x:f>
        <x:v>0.2</x:v>
      </x:c>
      <x:c r="J808" s="2" t="n">
        <x:f>MAX(1,ROUND('기준스탯 72종'!D40-R808-Z808,0))</x:f>
        <x:v>1</x:v>
      </x:c>
      <x:c r="K808" s="2" t="n">
        <x:f>MAX(1,ROUND('기준스탯 72종'!E40-S808-AA808,0))</x:f>
        <x:v>2</x:v>
      </x:c>
      <x:c r="L808" s="2" t="n">
        <x:f>MAX(1,ROUND('기준스탯 72종'!F40-T808-AB808,0))</x:f>
        <x:v>1</x:v>
      </x:c>
      <x:c r="M808" s="2" t="n">
        <x:f>MAX(1,ROUND('기준스탯 72종'!G40-U808-AC808,0))</x:f>
        <x:v>2</x:v>
      </x:c>
      <x:c r="N808" s="2" t="n">
        <x:f>MAX(0,ROUND('기준스탯 72종'!H40-V808-AD808,0))</x:f>
        <x:v>1</x:v>
      </x:c>
      <x:c r="O808" s="2" t="n">
        <x:f>MAX(0,ROUND('기준스탯 72종'!I40-W808-AE808,0))</x:f>
        <x:v>1</x:v>
      </x:c>
      <x:c r="P808" s="2" t="n">
        <x:f>MAX(0,ROUND('기준스탯 72종'!J40-X808-AF808,0))</x:f>
        <x:v>1</x:v>
      </x:c>
      <x:c r="Q808" s="2" t="n">
        <x:f>MAX(0,ROUND('기준스탯 72종'!K40-Y808-AG808,0))</x:f>
        <x:v>1</x:v>
      </x:c>
      <x:c r="R808" s="15" t="n">
        <x:f>'기준스탯 72종'!D40*G808</x:f>
        <x:v>3.9199999999999995</x:v>
      </x:c>
      <x:c r="S808" s="15" t="n">
        <x:f>'기준스탯 72종'!E40*G808</x:f>
        <x:v>4.4799999999999995</x:v>
      </x:c>
      <x:c r="T808" s="15" t="n">
        <x:f>'기준스탯 72종'!F40*G808</x:f>
        <x:v>3.9199999999999995</x:v>
      </x:c>
      <x:c r="U808" s="15" t="n">
        <x:f>'기준스탯 72종'!G40*G808</x:f>
        <x:v>4.4799999999999995</x:v>
      </x:c>
      <x:c r="V808" s="15" t="n">
        <x:f>'기준스탯 72종'!H40*G808</x:f>
        <x:v>2.2399999999999998</x:v>
      </x:c>
      <x:c r="W808" s="15" t="n">
        <x:f>'기준스탯 72종'!I40*G808</x:f>
        <x:v>1.6799999999999997</x:v>
      </x:c>
      <x:c r="X808" s="15" t="n">
        <x:f>'기준스탯 72종'!J40*G808</x:f>
        <x:v>3.3599999999999994</x:v>
      </x:c>
      <x:c r="Y808" s="15" t="n">
        <x:f>'기준스탯 72종'!K40*G808</x:f>
        <x:v>1.6799999999999997</x:v>
      </x:c>
      <x:c r="Z808" s="15" t="n">
        <x:f>'기준스탯 72종'!D40*H808</x:f>
        <x:v>1.6800000000000004</x:v>
      </x:c>
      <x:c r="AA808" s="15" t="n">
        <x:f>'기준스탯 72종'!E40*H808</x:f>
        <x:v>1.9200000000000004</x:v>
      </x:c>
      <x:c r="AB808" s="15" t="n">
        <x:f>'기준스탯 72종'!F40*H808</x:f>
        <x:v>1.6800000000000004</x:v>
      </x:c>
      <x:c r="AC808" s="15" t="n">
        <x:f>'기준스탯 72종'!G40*H808</x:f>
        <x:v>1.9200000000000004</x:v>
      </x:c>
      <x:c r="AD808" s="15" t="n">
        <x:f>'기준스탯 72종'!H40*H808</x:f>
        <x:v>0.9600000000000002</x:v>
      </x:c>
      <x:c r="AE808" s="15" t="n">
        <x:f>'기준스탯 72종'!I40*H808</x:f>
        <x:v>0.7200000000000002</x:v>
      </x:c>
      <x:c r="AF808" s="15" t="n">
        <x:f>'기준스탯 72종'!J40*H808</x:f>
        <x:v>1.4400000000000004</x:v>
      </x:c>
      <x:c r="AG808" s="15" t="n">
        <x:f>'기준스탯 72종'!K40*H808</x:f>
        <x:v>0.7200000000000002</x:v>
      </x:c>
    </x:row>
    <x:row r="809" ht="28" customHeight="1">
      <x:c r="A809" s="2" t="n">
        <x:v>802</x:v>
      </x:c>
      <x:c r="B809" s="2" t="n">
        <x:v>33</x:v>
      </x:c>
      <x:c r="C809" s="2" t="str">
        <x:v>처녀자리</x:v>
      </x:c>
      <x:c r="D809" s="2" t="str">
        <x:v>사수</x:v>
      </x:c>
      <x:c r="E809" s="2" t="n">
        <x:v>2</x:v>
      </x:c>
      <x:c r="F809" s="2" t="n">
        <x:v>1</x:v>
      </x:c>
      <x:c r="G809" s="14" t="n">
        <x:f>('레벨 계산식'!$E$4-E809)*'레벨 계산식'!$B$5</x:f>
        <x:v>0.41999999999999993</x:v>
      </x:c>
      <x:c r="H809" s="14" t="n">
        <x:f>('등급 계산식'!$E$4-F809)*'등급 계산식'!$B$5</x:f>
        <x:v>0.24000000000000005</x:v>
      </x:c>
      <x:c r="I809" s="14" t="n">
        <x:f>1-G809-H809</x:f>
        <x:v>0.34</x:v>
      </x:c>
      <x:c r="J809" s="2" t="n">
        <x:f>MAX(1,ROUND('기준스탯 72종'!D40-R809-Z809,0))</x:f>
        <x:v>2</x:v>
      </x:c>
      <x:c r="K809" s="2" t="n">
        <x:f>MAX(1,ROUND('기준스탯 72종'!E40-S809-AA809,0))</x:f>
        <x:v>3</x:v>
      </x:c>
      <x:c r="L809" s="2" t="n">
        <x:f>MAX(1,ROUND('기준스탯 72종'!F40-T809-AB809,0))</x:f>
        <x:v>2</x:v>
      </x:c>
      <x:c r="M809" s="2" t="n">
        <x:f>MAX(1,ROUND('기준스탯 72종'!G40-U809-AC809,0))</x:f>
        <x:v>3</x:v>
      </x:c>
      <x:c r="N809" s="2" t="n">
        <x:f>MAX(0,ROUND('기준스탯 72종'!H40-V809-AD809,0))</x:f>
        <x:v>1</x:v>
      </x:c>
      <x:c r="O809" s="2" t="n">
        <x:f>MAX(0,ROUND('기준스탯 72종'!I40-W809-AE809,0))</x:f>
        <x:v>1</x:v>
      </x:c>
      <x:c r="P809" s="2" t="n">
        <x:f>MAX(0,ROUND('기준스탯 72종'!J40-X809-AF809,0))</x:f>
        <x:v>2</x:v>
      </x:c>
      <x:c r="Q809" s="2" t="n">
        <x:f>MAX(0,ROUND('기준스탯 72종'!K40-Y809-AG809,0))</x:f>
        <x:v>1</x:v>
      </x:c>
      <x:c r="R809" s="15" t="n">
        <x:f>'기준스탯 72종'!D40*G809</x:f>
        <x:v>2.9399999999999995</x:v>
      </x:c>
      <x:c r="S809" s="15" t="n">
        <x:f>'기준스탯 72종'!E40*G809</x:f>
        <x:v>3.3599999999999994</x:v>
      </x:c>
      <x:c r="T809" s="15" t="n">
        <x:f>'기준스탯 72종'!F40*G809</x:f>
        <x:v>2.9399999999999995</x:v>
      </x:c>
      <x:c r="U809" s="15" t="n">
        <x:f>'기준스탯 72종'!G40*G809</x:f>
        <x:v>3.3599999999999994</x:v>
      </x:c>
      <x:c r="V809" s="15" t="n">
        <x:f>'기준스탯 72종'!H40*G809</x:f>
        <x:v>1.6799999999999997</x:v>
      </x:c>
      <x:c r="W809" s="15" t="n">
        <x:f>'기준스탯 72종'!I40*G809</x:f>
        <x:v>1.2599999999999998</x:v>
      </x:c>
      <x:c r="X809" s="15" t="n">
        <x:f>'기준스탯 72종'!J40*G809</x:f>
        <x:v>2.5199999999999996</x:v>
      </x:c>
      <x:c r="Y809" s="15" t="n">
        <x:f>'기준스탯 72종'!K40*G809</x:f>
        <x:v>1.2599999999999998</x:v>
      </x:c>
      <x:c r="Z809" s="15" t="n">
        <x:f>'기준스탯 72종'!D40*H809</x:f>
        <x:v>1.6800000000000004</x:v>
      </x:c>
      <x:c r="AA809" s="15" t="n">
        <x:f>'기준스탯 72종'!E40*H809</x:f>
        <x:v>1.9200000000000004</x:v>
      </x:c>
      <x:c r="AB809" s="15" t="n">
        <x:f>'기준스탯 72종'!F40*H809</x:f>
        <x:v>1.6800000000000004</x:v>
      </x:c>
      <x:c r="AC809" s="15" t="n">
        <x:f>'기준스탯 72종'!G40*H809</x:f>
        <x:v>1.9200000000000004</x:v>
      </x:c>
      <x:c r="AD809" s="15" t="n">
        <x:f>'기준스탯 72종'!H40*H809</x:f>
        <x:v>0.9600000000000002</x:v>
      </x:c>
      <x:c r="AE809" s="15" t="n">
        <x:f>'기준스탯 72종'!I40*H809</x:f>
        <x:v>0.7200000000000002</x:v>
      </x:c>
      <x:c r="AF809" s="15" t="n">
        <x:f>'기준스탯 72종'!J40*H809</x:f>
        <x:v>1.4400000000000004</x:v>
      </x:c>
      <x:c r="AG809" s="15" t="n">
        <x:f>'기준스탯 72종'!K40*H809</x:f>
        <x:v>0.7200000000000002</x:v>
      </x:c>
    </x:row>
    <x:row r="810" ht="28" customHeight="1">
      <x:c r="A810" s="2" t="n">
        <x:v>803</x:v>
      </x:c>
      <x:c r="B810" s="2" t="n">
        <x:v>33</x:v>
      </x:c>
      <x:c r="C810" s="2" t="str">
        <x:v>처녀자리</x:v>
      </x:c>
      <x:c r="D810" s="2" t="str">
        <x:v>사수</x:v>
      </x:c>
      <x:c r="E810" s="2" t="n">
        <x:v>3</x:v>
      </x:c>
      <x:c r="F810" s="2" t="n">
        <x:v>1</x:v>
      </x:c>
      <x:c r="G810" s="14" t="n">
        <x:f>('레벨 계산식'!$E$4-E810)*'레벨 계산식'!$B$5</x:f>
        <x:v>0.27999999999999997</x:v>
      </x:c>
      <x:c r="H810" s="14" t="n">
        <x:f>('등급 계산식'!$E$4-F810)*'등급 계산식'!$B$5</x:f>
        <x:v>0.24000000000000005</x:v>
      </x:c>
      <x:c r="I810" s="14" t="n">
        <x:f>1-G810-H810</x:f>
        <x:v>0.4799999999999999</x:v>
      </x:c>
      <x:c r="J810" s="2" t="n">
        <x:f>MAX(1,ROUND('기준스탯 72종'!D40-R810-Z810,0))</x:f>
        <x:v>3</x:v>
      </x:c>
      <x:c r="K810" s="2" t="n">
        <x:f>MAX(1,ROUND('기준스탯 72종'!E40-S810-AA810,0))</x:f>
        <x:v>4</x:v>
      </x:c>
      <x:c r="L810" s="2" t="n">
        <x:f>MAX(1,ROUND('기준스탯 72종'!F40-T810-AB810,0))</x:f>
        <x:v>3</x:v>
      </x:c>
      <x:c r="M810" s="2" t="n">
        <x:f>MAX(1,ROUND('기준스탯 72종'!G40-U810-AC810,0))</x:f>
        <x:v>4</x:v>
      </x:c>
      <x:c r="N810" s="2" t="n">
        <x:f>MAX(0,ROUND('기준스탯 72종'!H40-V810-AD810,0))</x:f>
        <x:v>2</x:v>
      </x:c>
      <x:c r="O810" s="2" t="n">
        <x:f>MAX(0,ROUND('기준스탯 72종'!I40-W810-AE810,0))</x:f>
        <x:v>1</x:v>
      </x:c>
      <x:c r="P810" s="2" t="n">
        <x:f>MAX(0,ROUND('기준스탯 72종'!J40-X810-AF810,0))</x:f>
        <x:v>3</x:v>
      </x:c>
      <x:c r="Q810" s="2" t="n">
        <x:f>MAX(0,ROUND('기준스탯 72종'!K40-Y810-AG810,0))</x:f>
        <x:v>1</x:v>
      </x:c>
      <x:c r="R810" s="15" t="n">
        <x:f>'기준스탯 72종'!D40*G810</x:f>
        <x:v>1.9599999999999997</x:v>
      </x:c>
      <x:c r="S810" s="15" t="n">
        <x:f>'기준스탯 72종'!E40*G810</x:f>
        <x:v>2.2399999999999998</x:v>
      </x:c>
      <x:c r="T810" s="15" t="n">
        <x:f>'기준스탯 72종'!F40*G810</x:f>
        <x:v>1.9599999999999997</x:v>
      </x:c>
      <x:c r="U810" s="15" t="n">
        <x:f>'기준스탯 72종'!G40*G810</x:f>
        <x:v>2.2399999999999998</x:v>
      </x:c>
      <x:c r="V810" s="15" t="n">
        <x:f>'기준스탯 72종'!H40*G810</x:f>
        <x:v>1.1199999999999999</x:v>
      </x:c>
      <x:c r="W810" s="15" t="n">
        <x:f>'기준스탯 72종'!I40*G810</x:f>
        <x:v>0.8399999999999999</x:v>
      </x:c>
      <x:c r="X810" s="15" t="n">
        <x:f>'기준스탯 72종'!J40*G810</x:f>
        <x:v>1.6799999999999997</x:v>
      </x:c>
      <x:c r="Y810" s="15" t="n">
        <x:f>'기준스탯 72종'!K40*G810</x:f>
        <x:v>0.8399999999999999</x:v>
      </x:c>
      <x:c r="Z810" s="15" t="n">
        <x:f>'기준스탯 72종'!D40*H810</x:f>
        <x:v>1.6800000000000004</x:v>
      </x:c>
      <x:c r="AA810" s="15" t="n">
        <x:f>'기준스탯 72종'!E40*H810</x:f>
        <x:v>1.9200000000000004</x:v>
      </x:c>
      <x:c r="AB810" s="15" t="n">
        <x:f>'기준스탯 72종'!F40*H810</x:f>
        <x:v>1.6800000000000004</x:v>
      </x:c>
      <x:c r="AC810" s="15" t="n">
        <x:f>'기준스탯 72종'!G40*H810</x:f>
        <x:v>1.9200000000000004</x:v>
      </x:c>
      <x:c r="AD810" s="15" t="n">
        <x:f>'기준스탯 72종'!H40*H810</x:f>
        <x:v>0.9600000000000002</x:v>
      </x:c>
      <x:c r="AE810" s="15" t="n">
        <x:f>'기준스탯 72종'!I40*H810</x:f>
        <x:v>0.7200000000000002</x:v>
      </x:c>
      <x:c r="AF810" s="15" t="n">
        <x:f>'기준스탯 72종'!J40*H810</x:f>
        <x:v>1.4400000000000004</x:v>
      </x:c>
      <x:c r="AG810" s="15" t="n">
        <x:f>'기준스탯 72종'!K40*H810</x:f>
        <x:v>0.7200000000000002</x:v>
      </x:c>
    </x:row>
    <x:row r="811" ht="28" customHeight="1">
      <x:c r="A811" s="2" t="n">
        <x:v>804</x:v>
      </x:c>
      <x:c r="B811" s="2" t="n">
        <x:v>33</x:v>
      </x:c>
      <x:c r="C811" s="2" t="str">
        <x:v>처녀자리</x:v>
      </x:c>
      <x:c r="D811" s="2" t="str">
        <x:v>사수</x:v>
      </x:c>
      <x:c r="E811" s="2" t="n">
        <x:v>4</x:v>
      </x:c>
      <x:c r="F811" s="2" t="n">
        <x:v>1</x:v>
      </x:c>
      <x:c r="G811" s="14" t="n">
        <x:f>('레벨 계산식'!$E$4-E811)*'레벨 계산식'!$B$5</x:f>
        <x:v>0.13999999999999999</x:v>
      </x:c>
      <x:c r="H811" s="14" t="n">
        <x:f>('등급 계산식'!$E$4-F811)*'등급 계산식'!$B$5</x:f>
        <x:v>0.24000000000000005</x:v>
      </x:c>
      <x:c r="I811" s="14" t="n">
        <x:f>1-G811-H811</x:f>
        <x:v>0.6199999999999999</x:v>
      </x:c>
      <x:c r="J811" s="2" t="n">
        <x:f>MAX(1,ROUND('기준스탯 72종'!D40-R811-Z811,0))</x:f>
        <x:v>4</x:v>
      </x:c>
      <x:c r="K811" s="2" t="n">
        <x:f>MAX(1,ROUND('기준스탯 72종'!E40-S811-AA811,0))</x:f>
        <x:v>5</x:v>
      </x:c>
      <x:c r="L811" s="2" t="n">
        <x:f>MAX(1,ROUND('기준스탯 72종'!F40-T811-AB811,0))</x:f>
        <x:v>4</x:v>
      </x:c>
      <x:c r="M811" s="2" t="n">
        <x:f>MAX(1,ROUND('기준스탯 72종'!G40-U811-AC811,0))</x:f>
        <x:v>5</x:v>
      </x:c>
      <x:c r="N811" s="2" t="n">
        <x:f>MAX(0,ROUND('기준스탯 72종'!H40-V811-AD811,0))</x:f>
        <x:v>2</x:v>
      </x:c>
      <x:c r="O811" s="2" t="n">
        <x:f>MAX(0,ROUND('기준스탯 72종'!I40-W811-AE811,0))</x:f>
        <x:v>2</x:v>
      </x:c>
      <x:c r="P811" s="2" t="n">
        <x:f>MAX(0,ROUND('기준스탯 72종'!J40-X811-AF811,0))</x:f>
        <x:v>4</x:v>
      </x:c>
      <x:c r="Q811" s="2" t="n">
        <x:f>MAX(0,ROUND('기준스탯 72종'!K40-Y811-AG811,0))</x:f>
        <x:v>2</x:v>
      </x:c>
      <x:c r="R811" s="15" t="n">
        <x:f>'기준스탯 72종'!D40*G811</x:f>
        <x:v>0.9799999999999999</x:v>
      </x:c>
      <x:c r="S811" s="15" t="n">
        <x:f>'기준스탯 72종'!E40*G811</x:f>
        <x:v>1.1199999999999999</x:v>
      </x:c>
      <x:c r="T811" s="15" t="n">
        <x:f>'기준스탯 72종'!F40*G811</x:f>
        <x:v>0.9799999999999999</x:v>
      </x:c>
      <x:c r="U811" s="15" t="n">
        <x:f>'기준스탯 72종'!G40*G811</x:f>
        <x:v>1.1199999999999999</x:v>
      </x:c>
      <x:c r="V811" s="15" t="n">
        <x:f>'기준스탯 72종'!H40*G811</x:f>
        <x:v>0.5599999999999999</x:v>
      </x:c>
      <x:c r="W811" s="15" t="n">
        <x:f>'기준스탯 72종'!I40*G811</x:f>
        <x:v>0.41999999999999993</x:v>
      </x:c>
      <x:c r="X811" s="15" t="n">
        <x:f>'기준스탯 72종'!J40*G811</x:f>
        <x:v>0.8399999999999999</x:v>
      </x:c>
      <x:c r="Y811" s="15" t="n">
        <x:f>'기준스탯 72종'!K40*G811</x:f>
        <x:v>0.41999999999999993</x:v>
      </x:c>
      <x:c r="Z811" s="15" t="n">
        <x:f>'기준스탯 72종'!D40*H811</x:f>
        <x:v>1.6800000000000004</x:v>
      </x:c>
      <x:c r="AA811" s="15" t="n">
        <x:f>'기준스탯 72종'!E40*H811</x:f>
        <x:v>1.9200000000000004</x:v>
      </x:c>
      <x:c r="AB811" s="15" t="n">
        <x:f>'기준스탯 72종'!F40*H811</x:f>
        <x:v>1.6800000000000004</x:v>
      </x:c>
      <x:c r="AC811" s="15" t="n">
        <x:f>'기준스탯 72종'!G40*H811</x:f>
        <x:v>1.9200000000000004</x:v>
      </x:c>
      <x:c r="AD811" s="15" t="n">
        <x:f>'기준스탯 72종'!H40*H811</x:f>
        <x:v>0.9600000000000002</x:v>
      </x:c>
      <x:c r="AE811" s="15" t="n">
        <x:f>'기준스탯 72종'!I40*H811</x:f>
        <x:v>0.7200000000000002</x:v>
      </x:c>
      <x:c r="AF811" s="15" t="n">
        <x:f>'기준스탯 72종'!J40*H811</x:f>
        <x:v>1.4400000000000004</x:v>
      </x:c>
      <x:c r="AG811" s="15" t="n">
        <x:f>'기준스탯 72종'!K40*H811</x:f>
        <x:v>0.7200000000000002</x:v>
      </x:c>
    </x:row>
    <x:row r="812" ht="28" customHeight="1">
      <x:c r="A812" s="2" t="n">
        <x:v>805</x:v>
      </x:c>
      <x:c r="B812" s="2" t="n">
        <x:v>33</x:v>
      </x:c>
      <x:c r="C812" s="2" t="str">
        <x:v>처녀자리</x:v>
      </x:c>
      <x:c r="D812" s="2" t="str">
        <x:v>사수</x:v>
      </x:c>
      <x:c r="E812" s="2" t="n">
        <x:v>5</x:v>
      </x:c>
      <x:c r="F812" s="2" t="n">
        <x:v>1</x:v>
      </x:c>
      <x:c r="G812" s="14" t="n">
        <x:f>('레벨 계산식'!$E$4-E812)*'레벨 계산식'!$B$5</x:f>
        <x:v>0</x:v>
      </x:c>
      <x:c r="H812" s="14" t="n">
        <x:f>('등급 계산식'!$E$4-F812)*'등급 계산식'!$B$5</x:f>
        <x:v>0.24000000000000005</x:v>
      </x:c>
      <x:c r="I812" s="14" t="n">
        <x:f>1-G812-H812</x:f>
        <x:v>0.76</x:v>
      </x:c>
      <x:c r="J812" s="2" t="n">
        <x:f>MAX(1,ROUND('기준스탯 72종'!D40-R812-Z812,0))</x:f>
        <x:v>5</x:v>
      </x:c>
      <x:c r="K812" s="2" t="n">
        <x:f>MAX(1,ROUND('기준스탯 72종'!E40-S812-AA812,0))</x:f>
        <x:v>6</x:v>
      </x:c>
      <x:c r="L812" s="2" t="n">
        <x:f>MAX(1,ROUND('기준스탯 72종'!F40-T812-AB812,0))</x:f>
        <x:v>5</x:v>
      </x:c>
      <x:c r="M812" s="2" t="n">
        <x:f>MAX(1,ROUND('기준스탯 72종'!G40-U812-AC812,0))</x:f>
        <x:v>6</x:v>
      </x:c>
      <x:c r="N812" s="2" t="n">
        <x:f>MAX(0,ROUND('기준스탯 72종'!H40-V812-AD812,0))</x:f>
        <x:v>3</x:v>
      </x:c>
      <x:c r="O812" s="2" t="n">
        <x:f>MAX(0,ROUND('기준스탯 72종'!I40-W812-AE812,0))</x:f>
        <x:v>2</x:v>
      </x:c>
      <x:c r="P812" s="2" t="n">
        <x:f>MAX(0,ROUND('기준스탯 72종'!J40-X812-AF812,0))</x:f>
        <x:v>5</x:v>
      </x:c>
      <x:c r="Q812" s="2" t="n">
        <x:f>MAX(0,ROUND('기준스탯 72종'!K40-Y812-AG812,0))</x:f>
        <x:v>2</x:v>
      </x:c>
      <x:c r="R812" s="15" t="n">
        <x:f>'기준스탯 72종'!D40*G812</x:f>
        <x:v>0</x:v>
      </x:c>
      <x:c r="S812" s="15" t="n">
        <x:f>'기준스탯 72종'!E40*G812</x:f>
        <x:v>0</x:v>
      </x:c>
      <x:c r="T812" s="15" t="n">
        <x:f>'기준스탯 72종'!F40*G812</x:f>
        <x:v>0</x:v>
      </x:c>
      <x:c r="U812" s="15" t="n">
        <x:f>'기준스탯 72종'!G40*G812</x:f>
        <x:v>0</x:v>
      </x:c>
      <x:c r="V812" s="15" t="n">
        <x:f>'기준스탯 72종'!H40*G812</x:f>
        <x:v>0</x:v>
      </x:c>
      <x:c r="W812" s="15" t="n">
        <x:f>'기준스탯 72종'!I40*G812</x:f>
        <x:v>0</x:v>
      </x:c>
      <x:c r="X812" s="15" t="n">
        <x:f>'기준스탯 72종'!J40*G812</x:f>
        <x:v>0</x:v>
      </x:c>
      <x:c r="Y812" s="15" t="n">
        <x:f>'기준스탯 72종'!K40*G812</x:f>
        <x:v>0</x:v>
      </x:c>
      <x:c r="Z812" s="15" t="n">
        <x:f>'기준스탯 72종'!D40*H812</x:f>
        <x:v>1.6800000000000004</x:v>
      </x:c>
      <x:c r="AA812" s="15" t="n">
        <x:f>'기준스탯 72종'!E40*H812</x:f>
        <x:v>1.9200000000000004</x:v>
      </x:c>
      <x:c r="AB812" s="15" t="n">
        <x:f>'기준스탯 72종'!F40*H812</x:f>
        <x:v>1.6800000000000004</x:v>
      </x:c>
      <x:c r="AC812" s="15" t="n">
        <x:f>'기준스탯 72종'!G40*H812</x:f>
        <x:v>1.9200000000000004</x:v>
      </x:c>
      <x:c r="AD812" s="15" t="n">
        <x:f>'기준스탯 72종'!H40*H812</x:f>
        <x:v>0.9600000000000002</x:v>
      </x:c>
      <x:c r="AE812" s="15" t="n">
        <x:f>'기준스탯 72종'!I40*H812</x:f>
        <x:v>0.7200000000000002</x:v>
      </x:c>
      <x:c r="AF812" s="15" t="n">
        <x:f>'기준스탯 72종'!J40*H812</x:f>
        <x:v>1.4400000000000004</x:v>
      </x:c>
      <x:c r="AG812" s="15" t="n">
        <x:f>'기준스탯 72종'!K40*H812</x:f>
        <x:v>0.7200000000000002</x:v>
      </x:c>
    </x:row>
    <x:row r="813" ht="28" customHeight="1">
      <x:c r="A813" s="2" t="n">
        <x:v>806</x:v>
      </x:c>
      <x:c r="B813" s="2" t="n">
        <x:v>33</x:v>
      </x:c>
      <x:c r="C813" s="2" t="str">
        <x:v>처녀자리</x:v>
      </x:c>
      <x:c r="D813" s="2" t="str">
        <x:v>사수</x:v>
      </x:c>
      <x:c r="E813" s="2" t="n">
        <x:v>1</x:v>
      </x:c>
      <x:c r="F813" s="2" t="n">
        <x:v>2</x:v>
      </x:c>
      <x:c r="G813" s="14" t="n">
        <x:f>('레벨 계산식'!$E$4-E813)*'레벨 계산식'!$B$5</x:f>
        <x:v>0.5599999999999999</x:v>
      </x:c>
      <x:c r="H813" s="14" t="n">
        <x:f>('등급 계산식'!$E$4-F813)*'등급 계산식'!$B$5</x:f>
        <x:v>0.18000000000000005</x:v>
      </x:c>
      <x:c r="I813" s="14" t="n">
        <x:f>1-G813-H813</x:f>
        <x:v>0.26</x:v>
      </x:c>
      <x:c r="J813" s="2" t="n">
        <x:f>MAX(1,ROUND('기준스탯 72종'!D40-R813-Z813,0))</x:f>
        <x:v>2</x:v>
      </x:c>
      <x:c r="K813" s="2" t="n">
        <x:f>MAX(1,ROUND('기준스탯 72종'!E40-S813-AA813,0))</x:f>
        <x:v>2</x:v>
      </x:c>
      <x:c r="L813" s="2" t="n">
        <x:f>MAX(1,ROUND('기준스탯 72종'!F40-T813-AB813,0))</x:f>
        <x:v>2</x:v>
      </x:c>
      <x:c r="M813" s="2" t="n">
        <x:f>MAX(1,ROUND('기준스탯 72종'!G40-U813-AC813,0))</x:f>
        <x:v>2</x:v>
      </x:c>
      <x:c r="N813" s="2" t="n">
        <x:f>MAX(0,ROUND('기준스탯 72종'!H40-V813-AD813,0))</x:f>
        <x:v>1</x:v>
      </x:c>
      <x:c r="O813" s="2" t="n">
        <x:f>MAX(0,ROUND('기준스탯 72종'!I40-W813-AE813,0))</x:f>
        <x:v>1</x:v>
      </x:c>
      <x:c r="P813" s="2" t="n">
        <x:f>MAX(0,ROUND('기준스탯 72종'!J40-X813-AF813,0))</x:f>
        <x:v>2</x:v>
      </x:c>
      <x:c r="Q813" s="2" t="n">
        <x:f>MAX(0,ROUND('기준스탯 72종'!K40-Y813-AG813,0))</x:f>
        <x:v>1</x:v>
      </x:c>
      <x:c r="R813" s="15" t="n">
        <x:f>'기준스탯 72종'!D40*G813</x:f>
        <x:v>3.9199999999999995</x:v>
      </x:c>
      <x:c r="S813" s="15" t="n">
        <x:f>'기준스탯 72종'!E40*G813</x:f>
        <x:v>4.4799999999999995</x:v>
      </x:c>
      <x:c r="T813" s="15" t="n">
        <x:f>'기준스탯 72종'!F40*G813</x:f>
        <x:v>3.9199999999999995</x:v>
      </x:c>
      <x:c r="U813" s="15" t="n">
        <x:f>'기준스탯 72종'!G40*G813</x:f>
        <x:v>4.4799999999999995</x:v>
      </x:c>
      <x:c r="V813" s="15" t="n">
        <x:f>'기준스탯 72종'!H40*G813</x:f>
        <x:v>2.2399999999999998</x:v>
      </x:c>
      <x:c r="W813" s="15" t="n">
        <x:f>'기준스탯 72종'!I40*G813</x:f>
        <x:v>1.6799999999999997</x:v>
      </x:c>
      <x:c r="X813" s="15" t="n">
        <x:f>'기준스탯 72종'!J40*G813</x:f>
        <x:v>3.3599999999999994</x:v>
      </x:c>
      <x:c r="Y813" s="15" t="n">
        <x:f>'기준스탯 72종'!K40*G813</x:f>
        <x:v>1.6799999999999997</x:v>
      </x:c>
      <x:c r="Z813" s="15" t="n">
        <x:f>'기준스탯 72종'!D40*H813</x:f>
        <x:v>1.2600000000000002</x:v>
      </x:c>
      <x:c r="AA813" s="15" t="n">
        <x:f>'기준스탯 72종'!E40*H813</x:f>
        <x:v>1.4400000000000004</x:v>
      </x:c>
      <x:c r="AB813" s="15" t="n">
        <x:f>'기준스탯 72종'!F40*H813</x:f>
        <x:v>1.2600000000000002</x:v>
      </x:c>
      <x:c r="AC813" s="15" t="n">
        <x:f>'기준스탯 72종'!G40*H813</x:f>
        <x:v>1.4400000000000004</x:v>
      </x:c>
      <x:c r="AD813" s="15" t="n">
        <x:f>'기준스탯 72종'!H40*H813</x:f>
        <x:v>0.7200000000000002</x:v>
      </x:c>
      <x:c r="AE813" s="15" t="n">
        <x:f>'기준스탯 72종'!I40*H813</x:f>
        <x:v>0.5400000000000001</x:v>
      </x:c>
      <x:c r="AF813" s="15" t="n">
        <x:f>'기준스탯 72종'!J40*H813</x:f>
        <x:v>1.0800000000000003</x:v>
      </x:c>
      <x:c r="AG813" s="15" t="n">
        <x:f>'기준스탯 72종'!K40*H813</x:f>
        <x:v>0.5400000000000001</x:v>
      </x:c>
    </x:row>
    <x:row r="814" ht="28" customHeight="1">
      <x:c r="A814" s="2" t="n">
        <x:v>807</x:v>
      </x:c>
      <x:c r="B814" s="2" t="n">
        <x:v>33</x:v>
      </x:c>
      <x:c r="C814" s="2" t="str">
        <x:v>처녀자리</x:v>
      </x:c>
      <x:c r="D814" s="2" t="str">
        <x:v>사수</x:v>
      </x:c>
      <x:c r="E814" s="2" t="n">
        <x:v>2</x:v>
      </x:c>
      <x:c r="F814" s="2" t="n">
        <x:v>2</x:v>
      </x:c>
      <x:c r="G814" s="14" t="n">
        <x:f>('레벨 계산식'!$E$4-E814)*'레벨 계산식'!$B$5</x:f>
        <x:v>0.41999999999999993</x:v>
      </x:c>
      <x:c r="H814" s="14" t="n">
        <x:f>('등급 계산식'!$E$4-F814)*'등급 계산식'!$B$5</x:f>
        <x:v>0.18000000000000005</x:v>
      </x:c>
      <x:c r="I814" s="14" t="n">
        <x:f>1-G814-H814</x:f>
        <x:v>0.4</x:v>
      </x:c>
      <x:c r="J814" s="2" t="n">
        <x:f>MAX(1,ROUND('기준스탯 72종'!D40-R814-Z814,0))</x:f>
        <x:v>3</x:v>
      </x:c>
      <x:c r="K814" s="2" t="n">
        <x:f>MAX(1,ROUND('기준스탯 72종'!E40-S814-AA814,0))</x:f>
        <x:v>3</x:v>
      </x:c>
      <x:c r="L814" s="2" t="n">
        <x:f>MAX(1,ROUND('기준스탯 72종'!F40-T814-AB814,0))</x:f>
        <x:v>3</x:v>
      </x:c>
      <x:c r="M814" s="2" t="n">
        <x:f>MAX(1,ROUND('기준스탯 72종'!G40-U814-AC814,0))</x:f>
        <x:v>3</x:v>
      </x:c>
      <x:c r="N814" s="2" t="n">
        <x:f>MAX(0,ROUND('기준스탯 72종'!H40-V814-AD814,0))</x:f>
        <x:v>2</x:v>
      </x:c>
      <x:c r="O814" s="2" t="n">
        <x:f>MAX(0,ROUND('기준스탯 72종'!I40-W814-AE814,0))</x:f>
        <x:v>1</x:v>
      </x:c>
      <x:c r="P814" s="2" t="n">
        <x:f>MAX(0,ROUND('기준스탯 72종'!J40-X814-AF814,0))</x:f>
        <x:v>2</x:v>
      </x:c>
      <x:c r="Q814" s="2" t="n">
        <x:f>MAX(0,ROUND('기준스탯 72종'!K40-Y814-AG814,0))</x:f>
        <x:v>1</x:v>
      </x:c>
      <x:c r="R814" s="15" t="n">
        <x:f>'기준스탯 72종'!D40*G814</x:f>
        <x:v>2.9399999999999995</x:v>
      </x:c>
      <x:c r="S814" s="15" t="n">
        <x:f>'기준스탯 72종'!E40*G814</x:f>
        <x:v>3.3599999999999994</x:v>
      </x:c>
      <x:c r="T814" s="15" t="n">
        <x:f>'기준스탯 72종'!F40*G814</x:f>
        <x:v>2.9399999999999995</x:v>
      </x:c>
      <x:c r="U814" s="15" t="n">
        <x:f>'기준스탯 72종'!G40*G814</x:f>
        <x:v>3.3599999999999994</x:v>
      </x:c>
      <x:c r="V814" s="15" t="n">
        <x:f>'기준스탯 72종'!H40*G814</x:f>
        <x:v>1.6799999999999997</x:v>
      </x:c>
      <x:c r="W814" s="15" t="n">
        <x:f>'기준스탯 72종'!I40*G814</x:f>
        <x:v>1.2599999999999998</x:v>
      </x:c>
      <x:c r="X814" s="15" t="n">
        <x:f>'기준스탯 72종'!J40*G814</x:f>
        <x:v>2.5199999999999996</x:v>
      </x:c>
      <x:c r="Y814" s="15" t="n">
        <x:f>'기준스탯 72종'!K40*G814</x:f>
        <x:v>1.2599999999999998</x:v>
      </x:c>
      <x:c r="Z814" s="15" t="n">
        <x:f>'기준스탯 72종'!D40*H814</x:f>
        <x:v>1.2600000000000002</x:v>
      </x:c>
      <x:c r="AA814" s="15" t="n">
        <x:f>'기준스탯 72종'!E40*H814</x:f>
        <x:v>1.4400000000000004</x:v>
      </x:c>
      <x:c r="AB814" s="15" t="n">
        <x:f>'기준스탯 72종'!F40*H814</x:f>
        <x:v>1.2600000000000002</x:v>
      </x:c>
      <x:c r="AC814" s="15" t="n">
        <x:f>'기준스탯 72종'!G40*H814</x:f>
        <x:v>1.4400000000000004</x:v>
      </x:c>
      <x:c r="AD814" s="15" t="n">
        <x:f>'기준스탯 72종'!H40*H814</x:f>
        <x:v>0.7200000000000002</x:v>
      </x:c>
      <x:c r="AE814" s="15" t="n">
        <x:f>'기준스탯 72종'!I40*H814</x:f>
        <x:v>0.5400000000000001</x:v>
      </x:c>
      <x:c r="AF814" s="15" t="n">
        <x:f>'기준스탯 72종'!J40*H814</x:f>
        <x:v>1.0800000000000003</x:v>
      </x:c>
      <x:c r="AG814" s="15" t="n">
        <x:f>'기준스탯 72종'!K40*H814</x:f>
        <x:v>0.5400000000000001</x:v>
      </x:c>
    </x:row>
    <x:row r="815" ht="28" customHeight="1">
      <x:c r="A815" s="2" t="n">
        <x:v>808</x:v>
      </x:c>
      <x:c r="B815" s="2" t="n">
        <x:v>33</x:v>
      </x:c>
      <x:c r="C815" s="2" t="str">
        <x:v>처녀자리</x:v>
      </x:c>
      <x:c r="D815" s="2" t="str">
        <x:v>사수</x:v>
      </x:c>
      <x:c r="E815" s="2" t="n">
        <x:v>3</x:v>
      </x:c>
      <x:c r="F815" s="2" t="n">
        <x:v>2</x:v>
      </x:c>
      <x:c r="G815" s="14" t="n">
        <x:f>('레벨 계산식'!$E$4-E815)*'레벨 계산식'!$B$5</x:f>
        <x:v>0.27999999999999997</x:v>
      </x:c>
      <x:c r="H815" s="14" t="n">
        <x:f>('등급 계산식'!$E$4-F815)*'등급 계산식'!$B$5</x:f>
        <x:v>0.18000000000000005</x:v>
      </x:c>
      <x:c r="I815" s="14" t="n">
        <x:f>1-G815-H815</x:f>
        <x:v>0.5399999999999999</x:v>
      </x:c>
      <x:c r="J815" s="2" t="n">
        <x:f>MAX(1,ROUND('기준스탯 72종'!D40-R815-Z815,0))</x:f>
        <x:v>4</x:v>
      </x:c>
      <x:c r="K815" s="2" t="n">
        <x:f>MAX(1,ROUND('기준스탯 72종'!E40-S815-AA815,0))</x:f>
        <x:v>4</x:v>
      </x:c>
      <x:c r="L815" s="2" t="n">
        <x:f>MAX(1,ROUND('기준스탯 72종'!F40-T815-AB815,0))</x:f>
        <x:v>4</x:v>
      </x:c>
      <x:c r="M815" s="2" t="n">
        <x:f>MAX(1,ROUND('기준스탯 72종'!G40-U815-AC815,0))</x:f>
        <x:v>4</x:v>
      </x:c>
      <x:c r="N815" s="2" t="n">
        <x:f>MAX(0,ROUND('기준스탯 72종'!H40-V815-AD815,0))</x:f>
        <x:v>2</x:v>
      </x:c>
      <x:c r="O815" s="2" t="n">
        <x:f>MAX(0,ROUND('기준스탯 72종'!I40-W815-AE815,0))</x:f>
        <x:v>2</x:v>
      </x:c>
      <x:c r="P815" s="2" t="n">
        <x:f>MAX(0,ROUND('기준스탯 72종'!J40-X815-AF815,0))</x:f>
        <x:v>3</x:v>
      </x:c>
      <x:c r="Q815" s="2" t="n">
        <x:f>MAX(0,ROUND('기준스탯 72종'!K40-Y815-AG815,0))</x:f>
        <x:v>2</x:v>
      </x:c>
      <x:c r="R815" s="15" t="n">
        <x:f>'기준스탯 72종'!D40*G815</x:f>
        <x:v>1.9599999999999997</x:v>
      </x:c>
      <x:c r="S815" s="15" t="n">
        <x:f>'기준스탯 72종'!E40*G815</x:f>
        <x:v>2.2399999999999998</x:v>
      </x:c>
      <x:c r="T815" s="15" t="n">
        <x:f>'기준스탯 72종'!F40*G815</x:f>
        <x:v>1.9599999999999997</x:v>
      </x:c>
      <x:c r="U815" s="15" t="n">
        <x:f>'기준스탯 72종'!G40*G815</x:f>
        <x:v>2.2399999999999998</x:v>
      </x:c>
      <x:c r="V815" s="15" t="n">
        <x:f>'기준스탯 72종'!H40*G815</x:f>
        <x:v>1.1199999999999999</x:v>
      </x:c>
      <x:c r="W815" s="15" t="n">
        <x:f>'기준스탯 72종'!I40*G815</x:f>
        <x:v>0.8399999999999999</x:v>
      </x:c>
      <x:c r="X815" s="15" t="n">
        <x:f>'기준스탯 72종'!J40*G815</x:f>
        <x:v>1.6799999999999997</x:v>
      </x:c>
      <x:c r="Y815" s="15" t="n">
        <x:f>'기준스탯 72종'!K40*G815</x:f>
        <x:v>0.8399999999999999</x:v>
      </x:c>
      <x:c r="Z815" s="15" t="n">
        <x:f>'기준스탯 72종'!D40*H815</x:f>
        <x:v>1.2600000000000002</x:v>
      </x:c>
      <x:c r="AA815" s="15" t="n">
        <x:f>'기준스탯 72종'!E40*H815</x:f>
        <x:v>1.4400000000000004</x:v>
      </x:c>
      <x:c r="AB815" s="15" t="n">
        <x:f>'기준스탯 72종'!F40*H815</x:f>
        <x:v>1.2600000000000002</x:v>
      </x:c>
      <x:c r="AC815" s="15" t="n">
        <x:f>'기준스탯 72종'!G40*H815</x:f>
        <x:v>1.4400000000000004</x:v>
      </x:c>
      <x:c r="AD815" s="15" t="n">
        <x:f>'기준스탯 72종'!H40*H815</x:f>
        <x:v>0.7200000000000002</x:v>
      </x:c>
      <x:c r="AE815" s="15" t="n">
        <x:f>'기준스탯 72종'!I40*H815</x:f>
        <x:v>0.5400000000000001</x:v>
      </x:c>
      <x:c r="AF815" s="15" t="n">
        <x:f>'기준스탯 72종'!J40*H815</x:f>
        <x:v>1.0800000000000003</x:v>
      </x:c>
      <x:c r="AG815" s="15" t="n">
        <x:f>'기준스탯 72종'!K40*H815</x:f>
        <x:v>0.5400000000000001</x:v>
      </x:c>
    </x:row>
    <x:row r="816" ht="28" customHeight="1">
      <x:c r="A816" s="2" t="n">
        <x:v>809</x:v>
      </x:c>
      <x:c r="B816" s="2" t="n">
        <x:v>33</x:v>
      </x:c>
      <x:c r="C816" s="2" t="str">
        <x:v>처녀자리</x:v>
      </x:c>
      <x:c r="D816" s="2" t="str">
        <x:v>사수</x:v>
      </x:c>
      <x:c r="E816" s="2" t="n">
        <x:v>4</x:v>
      </x:c>
      <x:c r="F816" s="2" t="n">
        <x:v>2</x:v>
      </x:c>
      <x:c r="G816" s="14" t="n">
        <x:f>('레벨 계산식'!$E$4-E816)*'레벨 계산식'!$B$5</x:f>
        <x:v>0.13999999999999999</x:v>
      </x:c>
      <x:c r="H816" s="14" t="n">
        <x:f>('등급 계산식'!$E$4-F816)*'등급 계산식'!$B$5</x:f>
        <x:v>0.18000000000000005</x:v>
      </x:c>
      <x:c r="I816" s="14" t="n">
        <x:f>1-G816-H816</x:f>
        <x:v>0.6799999999999999</x:v>
      </x:c>
      <x:c r="J816" s="2" t="n">
        <x:f>MAX(1,ROUND('기준스탯 72종'!D40-R816-Z816,0))</x:f>
        <x:v>5</x:v>
      </x:c>
      <x:c r="K816" s="2" t="n">
        <x:f>MAX(1,ROUND('기준스탯 72종'!E40-S816-AA816,0))</x:f>
        <x:v>5</x:v>
      </x:c>
      <x:c r="L816" s="2" t="n">
        <x:f>MAX(1,ROUND('기준스탯 72종'!F40-T816-AB816,0))</x:f>
        <x:v>5</x:v>
      </x:c>
      <x:c r="M816" s="2" t="n">
        <x:f>MAX(1,ROUND('기준스탯 72종'!G40-U816-AC816,0))</x:f>
        <x:v>5</x:v>
      </x:c>
      <x:c r="N816" s="2" t="n">
        <x:f>MAX(0,ROUND('기준스탯 72종'!H40-V816-AD816,0))</x:f>
        <x:v>3</x:v>
      </x:c>
      <x:c r="O816" s="2" t="n">
        <x:f>MAX(0,ROUND('기준스탯 72종'!I40-W816-AE816,0))</x:f>
        <x:v>2</x:v>
      </x:c>
      <x:c r="P816" s="2" t="n">
        <x:f>MAX(0,ROUND('기준스탯 72종'!J40-X816-AF816,0))</x:f>
        <x:v>4</x:v>
      </x:c>
      <x:c r="Q816" s="2" t="n">
        <x:f>MAX(0,ROUND('기준스탯 72종'!K40-Y816-AG816,0))</x:f>
        <x:v>2</x:v>
      </x:c>
      <x:c r="R816" s="15" t="n">
        <x:f>'기준스탯 72종'!D40*G816</x:f>
        <x:v>0.9799999999999999</x:v>
      </x:c>
      <x:c r="S816" s="15" t="n">
        <x:f>'기준스탯 72종'!E40*G816</x:f>
        <x:v>1.1199999999999999</x:v>
      </x:c>
      <x:c r="T816" s="15" t="n">
        <x:f>'기준스탯 72종'!F40*G816</x:f>
        <x:v>0.9799999999999999</x:v>
      </x:c>
      <x:c r="U816" s="15" t="n">
        <x:f>'기준스탯 72종'!G40*G816</x:f>
        <x:v>1.1199999999999999</x:v>
      </x:c>
      <x:c r="V816" s="15" t="n">
        <x:f>'기준스탯 72종'!H40*G816</x:f>
        <x:v>0.5599999999999999</x:v>
      </x:c>
      <x:c r="W816" s="15" t="n">
        <x:f>'기준스탯 72종'!I40*G816</x:f>
        <x:v>0.41999999999999993</x:v>
      </x:c>
      <x:c r="X816" s="15" t="n">
        <x:f>'기준스탯 72종'!J40*G816</x:f>
        <x:v>0.8399999999999999</x:v>
      </x:c>
      <x:c r="Y816" s="15" t="n">
        <x:f>'기준스탯 72종'!K40*G816</x:f>
        <x:v>0.41999999999999993</x:v>
      </x:c>
      <x:c r="Z816" s="15" t="n">
        <x:f>'기준스탯 72종'!D40*H816</x:f>
        <x:v>1.2600000000000002</x:v>
      </x:c>
      <x:c r="AA816" s="15" t="n">
        <x:f>'기준스탯 72종'!E40*H816</x:f>
        <x:v>1.4400000000000004</x:v>
      </x:c>
      <x:c r="AB816" s="15" t="n">
        <x:f>'기준스탯 72종'!F40*H816</x:f>
        <x:v>1.2600000000000002</x:v>
      </x:c>
      <x:c r="AC816" s="15" t="n">
        <x:f>'기준스탯 72종'!G40*H816</x:f>
        <x:v>1.4400000000000004</x:v>
      </x:c>
      <x:c r="AD816" s="15" t="n">
        <x:f>'기준스탯 72종'!H40*H816</x:f>
        <x:v>0.7200000000000002</x:v>
      </x:c>
      <x:c r="AE816" s="15" t="n">
        <x:f>'기준스탯 72종'!I40*H816</x:f>
        <x:v>0.5400000000000001</x:v>
      </x:c>
      <x:c r="AF816" s="15" t="n">
        <x:f>'기준스탯 72종'!J40*H816</x:f>
        <x:v>1.0800000000000003</x:v>
      </x:c>
      <x:c r="AG816" s="15" t="n">
        <x:f>'기준스탯 72종'!K40*H816</x:f>
        <x:v>0.5400000000000001</x:v>
      </x:c>
    </x:row>
    <x:row r="817" ht="28" customHeight="1">
      <x:c r="A817" s="2" t="n">
        <x:v>810</x:v>
      </x:c>
      <x:c r="B817" s="2" t="n">
        <x:v>33</x:v>
      </x:c>
      <x:c r="C817" s="2" t="str">
        <x:v>처녀자리</x:v>
      </x:c>
      <x:c r="D817" s="2" t="str">
        <x:v>사수</x:v>
      </x:c>
      <x:c r="E817" s="2" t="n">
        <x:v>5</x:v>
      </x:c>
      <x:c r="F817" s="2" t="n">
        <x:v>2</x:v>
      </x:c>
      <x:c r="G817" s="14" t="n">
        <x:f>('레벨 계산식'!$E$4-E817)*'레벨 계산식'!$B$5</x:f>
        <x:v>0</x:v>
      </x:c>
      <x:c r="H817" s="14" t="n">
        <x:f>('등급 계산식'!$E$4-F817)*'등급 계산식'!$B$5</x:f>
        <x:v>0.18000000000000005</x:v>
      </x:c>
      <x:c r="I817" s="14" t="n">
        <x:f>1-G817-H817</x:f>
        <x:v>0.82</x:v>
      </x:c>
      <x:c r="J817" s="2" t="n">
        <x:f>MAX(1,ROUND('기준스탯 72종'!D40-R817-Z817,0))</x:f>
        <x:v>6</x:v>
      </x:c>
      <x:c r="K817" s="2" t="n">
        <x:f>MAX(1,ROUND('기준스탯 72종'!E40-S817-AA817,0))</x:f>
        <x:v>7</x:v>
      </x:c>
      <x:c r="L817" s="2" t="n">
        <x:f>MAX(1,ROUND('기준스탯 72종'!F40-T817-AB817,0))</x:f>
        <x:v>6</x:v>
      </x:c>
      <x:c r="M817" s="2" t="n">
        <x:f>MAX(1,ROUND('기준스탯 72종'!G40-U817-AC817,0))</x:f>
        <x:v>7</x:v>
      </x:c>
      <x:c r="N817" s="2" t="n">
        <x:f>MAX(0,ROUND('기준스탯 72종'!H40-V817-AD817,0))</x:f>
        <x:v>3</x:v>
      </x:c>
      <x:c r="O817" s="2" t="n">
        <x:f>MAX(0,ROUND('기준스탯 72종'!I40-W817-AE817,0))</x:f>
        <x:v>2</x:v>
      </x:c>
      <x:c r="P817" s="2" t="n">
        <x:f>MAX(0,ROUND('기준스탯 72종'!J40-X817-AF817,0))</x:f>
        <x:v>5</x:v>
      </x:c>
      <x:c r="Q817" s="2" t="n">
        <x:f>MAX(0,ROUND('기준스탯 72종'!K40-Y817-AG817,0))</x:f>
        <x:v>2</x:v>
      </x:c>
      <x:c r="R817" s="15" t="n">
        <x:f>'기준스탯 72종'!D40*G817</x:f>
        <x:v>0</x:v>
      </x:c>
      <x:c r="S817" s="15" t="n">
        <x:f>'기준스탯 72종'!E40*G817</x:f>
        <x:v>0</x:v>
      </x:c>
      <x:c r="T817" s="15" t="n">
        <x:f>'기준스탯 72종'!F40*G817</x:f>
        <x:v>0</x:v>
      </x:c>
      <x:c r="U817" s="15" t="n">
        <x:f>'기준스탯 72종'!G40*G817</x:f>
        <x:v>0</x:v>
      </x:c>
      <x:c r="V817" s="15" t="n">
        <x:f>'기준스탯 72종'!H40*G817</x:f>
        <x:v>0</x:v>
      </x:c>
      <x:c r="W817" s="15" t="n">
        <x:f>'기준스탯 72종'!I40*G817</x:f>
        <x:v>0</x:v>
      </x:c>
      <x:c r="X817" s="15" t="n">
        <x:f>'기준스탯 72종'!J40*G817</x:f>
        <x:v>0</x:v>
      </x:c>
      <x:c r="Y817" s="15" t="n">
        <x:f>'기준스탯 72종'!K40*G817</x:f>
        <x:v>0</x:v>
      </x:c>
      <x:c r="Z817" s="15" t="n">
        <x:f>'기준스탯 72종'!D40*H817</x:f>
        <x:v>1.2600000000000002</x:v>
      </x:c>
      <x:c r="AA817" s="15" t="n">
        <x:f>'기준스탯 72종'!E40*H817</x:f>
        <x:v>1.4400000000000004</x:v>
      </x:c>
      <x:c r="AB817" s="15" t="n">
        <x:f>'기준스탯 72종'!F40*H817</x:f>
        <x:v>1.2600000000000002</x:v>
      </x:c>
      <x:c r="AC817" s="15" t="n">
        <x:f>'기준스탯 72종'!G40*H817</x:f>
        <x:v>1.4400000000000004</x:v>
      </x:c>
      <x:c r="AD817" s="15" t="n">
        <x:f>'기준스탯 72종'!H40*H817</x:f>
        <x:v>0.7200000000000002</x:v>
      </x:c>
      <x:c r="AE817" s="15" t="n">
        <x:f>'기준스탯 72종'!I40*H817</x:f>
        <x:v>0.5400000000000001</x:v>
      </x:c>
      <x:c r="AF817" s="15" t="n">
        <x:f>'기준스탯 72종'!J40*H817</x:f>
        <x:v>1.0800000000000003</x:v>
      </x:c>
      <x:c r="AG817" s="15" t="n">
        <x:f>'기준스탯 72종'!K40*H817</x:f>
        <x:v>0.5400000000000001</x:v>
      </x:c>
    </x:row>
    <x:row r="818" ht="28" customHeight="1">
      <x:c r="A818" s="2" t="n">
        <x:v>811</x:v>
      </x:c>
      <x:c r="B818" s="2" t="n">
        <x:v>33</x:v>
      </x:c>
      <x:c r="C818" s="2" t="str">
        <x:v>처녀자리</x:v>
      </x:c>
      <x:c r="D818" s="2" t="str">
        <x:v>사수</x:v>
      </x:c>
      <x:c r="E818" s="2" t="n">
        <x:v>1</x:v>
      </x:c>
      <x:c r="F818" s="2" t="n">
        <x:v>3</x:v>
      </x:c>
      <x:c r="G818" s="14" t="n">
        <x:f>('레벨 계산식'!$E$4-E818)*'레벨 계산식'!$B$5</x:f>
        <x:v>0.5599999999999999</x:v>
      </x:c>
      <x:c r="H818" s="14" t="n">
        <x:f>('등급 계산식'!$E$4-F818)*'등급 계산식'!$B$5</x:f>
        <x:v>0.12000000000000002</x:v>
      </x:c>
      <x:c r="I818" s="14" t="n">
        <x:f>1-G818-H818</x:f>
        <x:v>0.32000000000000006</x:v>
      </x:c>
      <x:c r="J818" s="2" t="n">
        <x:f>MAX(1,ROUND('기준스탯 72종'!D40-R818-Z818,0))</x:f>
        <x:v>2</x:v>
      </x:c>
      <x:c r="K818" s="2" t="n">
        <x:f>MAX(1,ROUND('기준스탯 72종'!E40-S818-AA818,0))</x:f>
        <x:v>3</x:v>
      </x:c>
      <x:c r="L818" s="2" t="n">
        <x:f>MAX(1,ROUND('기준스탯 72종'!F40-T818-AB818,0))</x:f>
        <x:v>2</x:v>
      </x:c>
      <x:c r="M818" s="2" t="n">
        <x:f>MAX(1,ROUND('기준스탯 72종'!G40-U818-AC818,0))</x:f>
        <x:v>3</x:v>
      </x:c>
      <x:c r="N818" s="2" t="n">
        <x:f>MAX(0,ROUND('기준스탯 72종'!H40-V818-AD818,0))</x:f>
        <x:v>1</x:v>
      </x:c>
      <x:c r="O818" s="2" t="n">
        <x:f>MAX(0,ROUND('기준스탯 72종'!I40-W818-AE818,0))</x:f>
        <x:v>1</x:v>
      </x:c>
      <x:c r="P818" s="2" t="n">
        <x:f>MAX(0,ROUND('기준스탯 72종'!J40-X818-AF818,0))</x:f>
        <x:v>2</x:v>
      </x:c>
      <x:c r="Q818" s="2" t="n">
        <x:f>MAX(0,ROUND('기준스탯 72종'!K40-Y818-AG818,0))</x:f>
        <x:v>1</x:v>
      </x:c>
      <x:c r="R818" s="15" t="n">
        <x:f>'기준스탯 72종'!D40*G818</x:f>
        <x:v>3.9199999999999995</x:v>
      </x:c>
      <x:c r="S818" s="15" t="n">
        <x:f>'기준스탯 72종'!E40*G818</x:f>
        <x:v>4.4799999999999995</x:v>
      </x:c>
      <x:c r="T818" s="15" t="n">
        <x:f>'기준스탯 72종'!F40*G818</x:f>
        <x:v>3.9199999999999995</x:v>
      </x:c>
      <x:c r="U818" s="15" t="n">
        <x:f>'기준스탯 72종'!G40*G818</x:f>
        <x:v>4.4799999999999995</x:v>
      </x:c>
      <x:c r="V818" s="15" t="n">
        <x:f>'기준스탯 72종'!H40*G818</x:f>
        <x:v>2.2399999999999998</x:v>
      </x:c>
      <x:c r="W818" s="15" t="n">
        <x:f>'기준스탯 72종'!I40*G818</x:f>
        <x:v>1.6799999999999997</x:v>
      </x:c>
      <x:c r="X818" s="15" t="n">
        <x:f>'기준스탯 72종'!J40*G818</x:f>
        <x:v>3.3599999999999994</x:v>
      </x:c>
      <x:c r="Y818" s="15" t="n">
        <x:f>'기준스탯 72종'!K40*G818</x:f>
        <x:v>1.6799999999999997</x:v>
      </x:c>
      <x:c r="Z818" s="15" t="n">
        <x:f>'기준스탯 72종'!D40*H818</x:f>
        <x:v>0.8400000000000002</x:v>
      </x:c>
      <x:c r="AA818" s="15" t="n">
        <x:f>'기준스탯 72종'!E40*H818</x:f>
        <x:v>0.9600000000000002</x:v>
      </x:c>
      <x:c r="AB818" s="15" t="n">
        <x:f>'기준스탯 72종'!F40*H818</x:f>
        <x:v>0.8400000000000002</x:v>
      </x:c>
      <x:c r="AC818" s="15" t="n">
        <x:f>'기준스탯 72종'!G40*H818</x:f>
        <x:v>0.9600000000000002</x:v>
      </x:c>
      <x:c r="AD818" s="15" t="n">
        <x:f>'기준스탯 72종'!H40*H818</x:f>
        <x:v>0.4800000000000001</x:v>
      </x:c>
      <x:c r="AE818" s="15" t="n">
        <x:f>'기준스탯 72종'!I40*H818</x:f>
        <x:v>0.3600000000000001</x:v>
      </x:c>
      <x:c r="AF818" s="15" t="n">
        <x:f>'기준스탯 72종'!J40*H818</x:f>
        <x:v>0.7200000000000002</x:v>
      </x:c>
      <x:c r="AG818" s="15" t="n">
        <x:f>'기준스탯 72종'!K40*H818</x:f>
        <x:v>0.3600000000000001</x:v>
      </x:c>
    </x:row>
    <x:row r="819" ht="28" customHeight="1">
      <x:c r="A819" s="2" t="n">
        <x:v>812</x:v>
      </x:c>
      <x:c r="B819" s="2" t="n">
        <x:v>33</x:v>
      </x:c>
      <x:c r="C819" s="2" t="str">
        <x:v>처녀자리</x:v>
      </x:c>
      <x:c r="D819" s="2" t="str">
        <x:v>사수</x:v>
      </x:c>
      <x:c r="E819" s="2" t="n">
        <x:v>2</x:v>
      </x:c>
      <x:c r="F819" s="2" t="n">
        <x:v>3</x:v>
      </x:c>
      <x:c r="G819" s="14" t="n">
        <x:f>('레벨 계산식'!$E$4-E819)*'레벨 계산식'!$B$5</x:f>
        <x:v>0.41999999999999993</x:v>
      </x:c>
      <x:c r="H819" s="14" t="n">
        <x:f>('등급 계산식'!$E$4-F819)*'등급 계산식'!$B$5</x:f>
        <x:v>0.12000000000000002</x:v>
      </x:c>
      <x:c r="I819" s="14" t="n">
        <x:f>1-G819-H819</x:f>
        <x:v>0.4600000000000001</x:v>
      </x:c>
      <x:c r="J819" s="2" t="n">
        <x:f>MAX(1,ROUND('기준스탯 72종'!D40-R819-Z819,0))</x:f>
        <x:v>3</x:v>
      </x:c>
      <x:c r="K819" s="2" t="n">
        <x:f>MAX(1,ROUND('기준스탯 72종'!E40-S819-AA819,0))</x:f>
        <x:v>4</x:v>
      </x:c>
      <x:c r="L819" s="2" t="n">
        <x:f>MAX(1,ROUND('기준스탯 72종'!F40-T819-AB819,0))</x:f>
        <x:v>3</x:v>
      </x:c>
      <x:c r="M819" s="2" t="n">
        <x:f>MAX(1,ROUND('기준스탯 72종'!G40-U819-AC819,0))</x:f>
        <x:v>4</x:v>
      </x:c>
      <x:c r="N819" s="2" t="n">
        <x:f>MAX(0,ROUND('기준스탯 72종'!H40-V819-AD819,0))</x:f>
        <x:v>2</x:v>
      </x:c>
      <x:c r="O819" s="2" t="n">
        <x:f>MAX(0,ROUND('기준스탯 72종'!I40-W819-AE819,0))</x:f>
        <x:v>1</x:v>
      </x:c>
      <x:c r="P819" s="2" t="n">
        <x:f>MAX(0,ROUND('기준스탯 72종'!J40-X819-AF819,0))</x:f>
        <x:v>3</x:v>
      </x:c>
      <x:c r="Q819" s="2" t="n">
        <x:f>MAX(0,ROUND('기준스탯 72종'!K40-Y819-AG819,0))</x:f>
        <x:v>1</x:v>
      </x:c>
      <x:c r="R819" s="15" t="n">
        <x:f>'기준스탯 72종'!D40*G819</x:f>
        <x:v>2.9399999999999995</x:v>
      </x:c>
      <x:c r="S819" s="15" t="n">
        <x:f>'기준스탯 72종'!E40*G819</x:f>
        <x:v>3.3599999999999994</x:v>
      </x:c>
      <x:c r="T819" s="15" t="n">
        <x:f>'기준스탯 72종'!F40*G819</x:f>
        <x:v>2.9399999999999995</x:v>
      </x:c>
      <x:c r="U819" s="15" t="n">
        <x:f>'기준스탯 72종'!G40*G819</x:f>
        <x:v>3.3599999999999994</x:v>
      </x:c>
      <x:c r="V819" s="15" t="n">
        <x:f>'기준스탯 72종'!H40*G819</x:f>
        <x:v>1.6799999999999997</x:v>
      </x:c>
      <x:c r="W819" s="15" t="n">
        <x:f>'기준스탯 72종'!I40*G819</x:f>
        <x:v>1.2599999999999998</x:v>
      </x:c>
      <x:c r="X819" s="15" t="n">
        <x:f>'기준스탯 72종'!J40*G819</x:f>
        <x:v>2.5199999999999996</x:v>
      </x:c>
      <x:c r="Y819" s="15" t="n">
        <x:f>'기준스탯 72종'!K40*G819</x:f>
        <x:v>1.2599999999999998</x:v>
      </x:c>
      <x:c r="Z819" s="15" t="n">
        <x:f>'기준스탯 72종'!D40*H819</x:f>
        <x:v>0.8400000000000002</x:v>
      </x:c>
      <x:c r="AA819" s="15" t="n">
        <x:f>'기준스탯 72종'!E40*H819</x:f>
        <x:v>0.9600000000000002</x:v>
      </x:c>
      <x:c r="AB819" s="15" t="n">
        <x:f>'기준스탯 72종'!F40*H819</x:f>
        <x:v>0.8400000000000002</x:v>
      </x:c>
      <x:c r="AC819" s="15" t="n">
        <x:f>'기준스탯 72종'!G40*H819</x:f>
        <x:v>0.9600000000000002</x:v>
      </x:c>
      <x:c r="AD819" s="15" t="n">
        <x:f>'기준스탯 72종'!H40*H819</x:f>
        <x:v>0.4800000000000001</x:v>
      </x:c>
      <x:c r="AE819" s="15" t="n">
        <x:f>'기준스탯 72종'!I40*H819</x:f>
        <x:v>0.3600000000000001</x:v>
      </x:c>
      <x:c r="AF819" s="15" t="n">
        <x:f>'기준스탯 72종'!J40*H819</x:f>
        <x:v>0.7200000000000002</x:v>
      </x:c>
      <x:c r="AG819" s="15" t="n">
        <x:f>'기준스탯 72종'!K40*H819</x:f>
        <x:v>0.3600000000000001</x:v>
      </x:c>
    </x:row>
    <x:row r="820" ht="28" customHeight="1">
      <x:c r="A820" s="2" t="n">
        <x:v>813</x:v>
      </x:c>
      <x:c r="B820" s="2" t="n">
        <x:v>33</x:v>
      </x:c>
      <x:c r="C820" s="2" t="str">
        <x:v>처녀자리</x:v>
      </x:c>
      <x:c r="D820" s="2" t="str">
        <x:v>사수</x:v>
      </x:c>
      <x:c r="E820" s="2" t="n">
        <x:v>3</x:v>
      </x:c>
      <x:c r="F820" s="2" t="n">
        <x:v>3</x:v>
      </x:c>
      <x:c r="G820" s="14" t="n">
        <x:f>('레벨 계산식'!$E$4-E820)*'레벨 계산식'!$B$5</x:f>
        <x:v>0.27999999999999997</x:v>
      </x:c>
      <x:c r="H820" s="14" t="n">
        <x:f>('등급 계산식'!$E$4-F820)*'등급 계산식'!$B$5</x:f>
        <x:v>0.12000000000000002</x:v>
      </x:c>
      <x:c r="I820" s="14" t="n">
        <x:f>1-G820-H820</x:f>
        <x:v>0.6</x:v>
      </x:c>
      <x:c r="J820" s="2" t="n">
        <x:f>MAX(1,ROUND('기준스탯 72종'!D40-R820-Z820,0))</x:f>
        <x:v>4</x:v>
      </x:c>
      <x:c r="K820" s="2" t="n">
        <x:f>MAX(1,ROUND('기준스탯 72종'!E40-S820-AA820,0))</x:f>
        <x:v>5</x:v>
      </x:c>
      <x:c r="L820" s="2" t="n">
        <x:f>MAX(1,ROUND('기준스탯 72종'!F40-T820-AB820,0))</x:f>
        <x:v>4</x:v>
      </x:c>
      <x:c r="M820" s="2" t="n">
        <x:f>MAX(1,ROUND('기준스탯 72종'!G40-U820-AC820,0))</x:f>
        <x:v>5</x:v>
      </x:c>
      <x:c r="N820" s="2" t="n">
        <x:f>MAX(0,ROUND('기준스탯 72종'!H40-V820-AD820,0))</x:f>
        <x:v>2</x:v>
      </x:c>
      <x:c r="O820" s="2" t="n">
        <x:f>MAX(0,ROUND('기준스탯 72종'!I40-W820-AE820,0))</x:f>
        <x:v>2</x:v>
      </x:c>
      <x:c r="P820" s="2" t="n">
        <x:f>MAX(0,ROUND('기준스탯 72종'!J40-X820-AF820,0))</x:f>
        <x:v>4</x:v>
      </x:c>
      <x:c r="Q820" s="2" t="n">
        <x:f>MAX(0,ROUND('기준스탯 72종'!K40-Y820-AG820,0))</x:f>
        <x:v>2</x:v>
      </x:c>
      <x:c r="R820" s="15" t="n">
        <x:f>'기준스탯 72종'!D40*G820</x:f>
        <x:v>1.9599999999999997</x:v>
      </x:c>
      <x:c r="S820" s="15" t="n">
        <x:f>'기준스탯 72종'!E40*G820</x:f>
        <x:v>2.2399999999999998</x:v>
      </x:c>
      <x:c r="T820" s="15" t="n">
        <x:f>'기준스탯 72종'!F40*G820</x:f>
        <x:v>1.9599999999999997</x:v>
      </x:c>
      <x:c r="U820" s="15" t="n">
        <x:f>'기준스탯 72종'!G40*G820</x:f>
        <x:v>2.2399999999999998</x:v>
      </x:c>
      <x:c r="V820" s="15" t="n">
        <x:f>'기준스탯 72종'!H40*G820</x:f>
        <x:v>1.1199999999999999</x:v>
      </x:c>
      <x:c r="W820" s="15" t="n">
        <x:f>'기준스탯 72종'!I40*G820</x:f>
        <x:v>0.8399999999999999</x:v>
      </x:c>
      <x:c r="X820" s="15" t="n">
        <x:f>'기준스탯 72종'!J40*G820</x:f>
        <x:v>1.6799999999999997</x:v>
      </x:c>
      <x:c r="Y820" s="15" t="n">
        <x:f>'기준스탯 72종'!K40*G820</x:f>
        <x:v>0.8399999999999999</x:v>
      </x:c>
      <x:c r="Z820" s="15" t="n">
        <x:f>'기준스탯 72종'!D40*H820</x:f>
        <x:v>0.8400000000000002</x:v>
      </x:c>
      <x:c r="AA820" s="15" t="n">
        <x:f>'기준스탯 72종'!E40*H820</x:f>
        <x:v>0.9600000000000002</x:v>
      </x:c>
      <x:c r="AB820" s="15" t="n">
        <x:f>'기준스탯 72종'!F40*H820</x:f>
        <x:v>0.8400000000000002</x:v>
      </x:c>
      <x:c r="AC820" s="15" t="n">
        <x:f>'기준스탯 72종'!G40*H820</x:f>
        <x:v>0.9600000000000002</x:v>
      </x:c>
      <x:c r="AD820" s="15" t="n">
        <x:f>'기준스탯 72종'!H40*H820</x:f>
        <x:v>0.4800000000000001</x:v>
      </x:c>
      <x:c r="AE820" s="15" t="n">
        <x:f>'기준스탯 72종'!I40*H820</x:f>
        <x:v>0.3600000000000001</x:v>
      </x:c>
      <x:c r="AF820" s="15" t="n">
        <x:f>'기준스탯 72종'!J40*H820</x:f>
        <x:v>0.7200000000000002</x:v>
      </x:c>
      <x:c r="AG820" s="15" t="n">
        <x:f>'기준스탯 72종'!K40*H820</x:f>
        <x:v>0.3600000000000001</x:v>
      </x:c>
    </x:row>
    <x:row r="821" ht="28" customHeight="1">
      <x:c r="A821" s="2" t="n">
        <x:v>814</x:v>
      </x:c>
      <x:c r="B821" s="2" t="n">
        <x:v>33</x:v>
      </x:c>
      <x:c r="C821" s="2" t="str">
        <x:v>처녀자리</x:v>
      </x:c>
      <x:c r="D821" s="2" t="str">
        <x:v>사수</x:v>
      </x:c>
      <x:c r="E821" s="2" t="n">
        <x:v>4</x:v>
      </x:c>
      <x:c r="F821" s="2" t="n">
        <x:v>3</x:v>
      </x:c>
      <x:c r="G821" s="14" t="n">
        <x:f>('레벨 계산식'!$E$4-E821)*'레벨 계산식'!$B$5</x:f>
        <x:v>0.13999999999999999</x:v>
      </x:c>
      <x:c r="H821" s="14" t="n">
        <x:f>('등급 계산식'!$E$4-F821)*'등급 계산식'!$B$5</x:f>
        <x:v>0.12000000000000002</x:v>
      </x:c>
      <x:c r="I821" s="14" t="n">
        <x:f>1-G821-H821</x:f>
        <x:v>0.74</x:v>
      </x:c>
      <x:c r="J821" s="2" t="n">
        <x:f>MAX(1,ROUND('기준스탯 72종'!D40-R821-Z821,0))</x:f>
        <x:v>5</x:v>
      </x:c>
      <x:c r="K821" s="2" t="n">
        <x:f>MAX(1,ROUND('기준스탯 72종'!E40-S821-AA821,0))</x:f>
        <x:v>6</x:v>
      </x:c>
      <x:c r="L821" s="2" t="n">
        <x:f>MAX(1,ROUND('기준스탯 72종'!F40-T821-AB821,0))</x:f>
        <x:v>5</x:v>
      </x:c>
      <x:c r="M821" s="2" t="n">
        <x:f>MAX(1,ROUND('기준스탯 72종'!G40-U821-AC821,0))</x:f>
        <x:v>6</x:v>
      </x:c>
      <x:c r="N821" s="2" t="n">
        <x:f>MAX(0,ROUND('기준스탯 72종'!H40-V821-AD821,0))</x:f>
        <x:v>3</x:v>
      </x:c>
      <x:c r="O821" s="2" t="n">
        <x:f>MAX(0,ROUND('기준스탯 72종'!I40-W821-AE821,0))</x:f>
        <x:v>2</x:v>
      </x:c>
      <x:c r="P821" s="2" t="n">
        <x:f>MAX(0,ROUND('기준스탯 72종'!J40-X821-AF821,0))</x:f>
        <x:v>4</x:v>
      </x:c>
      <x:c r="Q821" s="2" t="n">
        <x:f>MAX(0,ROUND('기준스탯 72종'!K40-Y821-AG821,0))</x:f>
        <x:v>2</x:v>
      </x:c>
      <x:c r="R821" s="15" t="n">
        <x:f>'기준스탯 72종'!D40*G821</x:f>
        <x:v>0.9799999999999999</x:v>
      </x:c>
      <x:c r="S821" s="15" t="n">
        <x:f>'기준스탯 72종'!E40*G821</x:f>
        <x:v>1.1199999999999999</x:v>
      </x:c>
      <x:c r="T821" s="15" t="n">
        <x:f>'기준스탯 72종'!F40*G821</x:f>
        <x:v>0.9799999999999999</x:v>
      </x:c>
      <x:c r="U821" s="15" t="n">
        <x:f>'기준스탯 72종'!G40*G821</x:f>
        <x:v>1.1199999999999999</x:v>
      </x:c>
      <x:c r="V821" s="15" t="n">
        <x:f>'기준스탯 72종'!H40*G821</x:f>
        <x:v>0.5599999999999999</x:v>
      </x:c>
      <x:c r="W821" s="15" t="n">
        <x:f>'기준스탯 72종'!I40*G821</x:f>
        <x:v>0.41999999999999993</x:v>
      </x:c>
      <x:c r="X821" s="15" t="n">
        <x:f>'기준스탯 72종'!J40*G821</x:f>
        <x:v>0.8399999999999999</x:v>
      </x:c>
      <x:c r="Y821" s="15" t="n">
        <x:f>'기준스탯 72종'!K40*G821</x:f>
        <x:v>0.41999999999999993</x:v>
      </x:c>
      <x:c r="Z821" s="15" t="n">
        <x:f>'기준스탯 72종'!D40*H821</x:f>
        <x:v>0.8400000000000002</x:v>
      </x:c>
      <x:c r="AA821" s="15" t="n">
        <x:f>'기준스탯 72종'!E40*H821</x:f>
        <x:v>0.9600000000000002</x:v>
      </x:c>
      <x:c r="AB821" s="15" t="n">
        <x:f>'기준스탯 72종'!F40*H821</x:f>
        <x:v>0.8400000000000002</x:v>
      </x:c>
      <x:c r="AC821" s="15" t="n">
        <x:f>'기준스탯 72종'!G40*H821</x:f>
        <x:v>0.9600000000000002</x:v>
      </x:c>
      <x:c r="AD821" s="15" t="n">
        <x:f>'기준스탯 72종'!H40*H821</x:f>
        <x:v>0.4800000000000001</x:v>
      </x:c>
      <x:c r="AE821" s="15" t="n">
        <x:f>'기준스탯 72종'!I40*H821</x:f>
        <x:v>0.3600000000000001</x:v>
      </x:c>
      <x:c r="AF821" s="15" t="n">
        <x:f>'기준스탯 72종'!J40*H821</x:f>
        <x:v>0.7200000000000002</x:v>
      </x:c>
      <x:c r="AG821" s="15" t="n">
        <x:f>'기준스탯 72종'!K40*H821</x:f>
        <x:v>0.3600000000000001</x:v>
      </x:c>
    </x:row>
    <x:row r="822" ht="28" customHeight="1">
      <x:c r="A822" s="2" t="n">
        <x:v>815</x:v>
      </x:c>
      <x:c r="B822" s="2" t="n">
        <x:v>33</x:v>
      </x:c>
      <x:c r="C822" s="2" t="str">
        <x:v>처녀자리</x:v>
      </x:c>
      <x:c r="D822" s="2" t="str">
        <x:v>사수</x:v>
      </x:c>
      <x:c r="E822" s="2" t="n">
        <x:v>5</x:v>
      </x:c>
      <x:c r="F822" s="2" t="n">
        <x:v>3</x:v>
      </x:c>
      <x:c r="G822" s="14" t="n">
        <x:f>('레벨 계산식'!$E$4-E822)*'레벨 계산식'!$B$5</x:f>
        <x:v>0</x:v>
      </x:c>
      <x:c r="H822" s="14" t="n">
        <x:f>('등급 계산식'!$E$4-F822)*'등급 계산식'!$B$5</x:f>
        <x:v>0.12000000000000002</x:v>
      </x:c>
      <x:c r="I822" s="14" t="n">
        <x:f>1-G822-H822</x:f>
        <x:v>0.88</x:v>
      </x:c>
      <x:c r="J822" s="2" t="n">
        <x:f>MAX(1,ROUND('기준스탯 72종'!D40-R822-Z822,0))</x:f>
        <x:v>6</x:v>
      </x:c>
      <x:c r="K822" s="2" t="n">
        <x:f>MAX(1,ROUND('기준스탯 72종'!E40-S822-AA822,0))</x:f>
        <x:v>7</x:v>
      </x:c>
      <x:c r="L822" s="2" t="n">
        <x:f>MAX(1,ROUND('기준스탯 72종'!F40-T822-AB822,0))</x:f>
        <x:v>6</x:v>
      </x:c>
      <x:c r="M822" s="2" t="n">
        <x:f>MAX(1,ROUND('기준스탯 72종'!G40-U822-AC822,0))</x:f>
        <x:v>7</x:v>
      </x:c>
      <x:c r="N822" s="2" t="n">
        <x:f>MAX(0,ROUND('기준스탯 72종'!H40-V822-AD822,0))</x:f>
        <x:v>4</x:v>
      </x:c>
      <x:c r="O822" s="2" t="n">
        <x:f>MAX(0,ROUND('기준스탯 72종'!I40-W822-AE822,0))</x:f>
        <x:v>3</x:v>
      </x:c>
      <x:c r="P822" s="2" t="n">
        <x:f>MAX(0,ROUND('기준스탯 72종'!J40-X822-AF822,0))</x:f>
        <x:v>5</x:v>
      </x:c>
      <x:c r="Q822" s="2" t="n">
        <x:f>MAX(0,ROUND('기준스탯 72종'!K40-Y822-AG822,0))</x:f>
        <x:v>3</x:v>
      </x:c>
      <x:c r="R822" s="15" t="n">
        <x:f>'기준스탯 72종'!D40*G822</x:f>
        <x:v>0</x:v>
      </x:c>
      <x:c r="S822" s="15" t="n">
        <x:f>'기준스탯 72종'!E40*G822</x:f>
        <x:v>0</x:v>
      </x:c>
      <x:c r="T822" s="15" t="n">
        <x:f>'기준스탯 72종'!F40*G822</x:f>
        <x:v>0</x:v>
      </x:c>
      <x:c r="U822" s="15" t="n">
        <x:f>'기준스탯 72종'!G40*G822</x:f>
        <x:v>0</x:v>
      </x:c>
      <x:c r="V822" s="15" t="n">
        <x:f>'기준스탯 72종'!H40*G822</x:f>
        <x:v>0</x:v>
      </x:c>
      <x:c r="W822" s="15" t="n">
        <x:f>'기준스탯 72종'!I40*G822</x:f>
        <x:v>0</x:v>
      </x:c>
      <x:c r="X822" s="15" t="n">
        <x:f>'기준스탯 72종'!J40*G822</x:f>
        <x:v>0</x:v>
      </x:c>
      <x:c r="Y822" s="15" t="n">
        <x:f>'기준스탯 72종'!K40*G822</x:f>
        <x:v>0</x:v>
      </x:c>
      <x:c r="Z822" s="15" t="n">
        <x:f>'기준스탯 72종'!D40*H822</x:f>
        <x:v>0.8400000000000002</x:v>
      </x:c>
      <x:c r="AA822" s="15" t="n">
        <x:f>'기준스탯 72종'!E40*H822</x:f>
        <x:v>0.9600000000000002</x:v>
      </x:c>
      <x:c r="AB822" s="15" t="n">
        <x:f>'기준스탯 72종'!F40*H822</x:f>
        <x:v>0.8400000000000002</x:v>
      </x:c>
      <x:c r="AC822" s="15" t="n">
        <x:f>'기준스탯 72종'!G40*H822</x:f>
        <x:v>0.9600000000000002</x:v>
      </x:c>
      <x:c r="AD822" s="15" t="n">
        <x:f>'기준스탯 72종'!H40*H822</x:f>
        <x:v>0.4800000000000001</x:v>
      </x:c>
      <x:c r="AE822" s="15" t="n">
        <x:f>'기준스탯 72종'!I40*H822</x:f>
        <x:v>0.3600000000000001</x:v>
      </x:c>
      <x:c r="AF822" s="15" t="n">
        <x:f>'기준스탯 72종'!J40*H822</x:f>
        <x:v>0.7200000000000002</x:v>
      </x:c>
      <x:c r="AG822" s="15" t="n">
        <x:f>'기준스탯 72종'!K40*H822</x:f>
        <x:v>0.3600000000000001</x:v>
      </x:c>
    </x:row>
    <x:row r="823" ht="28" customHeight="1">
      <x:c r="A823" s="2" t="n">
        <x:v>816</x:v>
      </x:c>
      <x:c r="B823" s="2" t="n">
        <x:v>33</x:v>
      </x:c>
      <x:c r="C823" s="2" t="str">
        <x:v>처녀자리</x:v>
      </x:c>
      <x:c r="D823" s="2" t="str">
        <x:v>사수</x:v>
      </x:c>
      <x:c r="E823" s="2" t="n">
        <x:v>1</x:v>
      </x:c>
      <x:c r="F823" s="2" t="n">
        <x:v>4</x:v>
      </x:c>
      <x:c r="G823" s="14" t="n">
        <x:f>('레벨 계산식'!$E$4-E823)*'레벨 계산식'!$B$5</x:f>
        <x:v>0.5599999999999999</x:v>
      </x:c>
      <x:c r="H823" s="14" t="n">
        <x:f>('등급 계산식'!$E$4-F823)*'등급 계산식'!$B$5</x:f>
        <x:v>0.06000000000000001</x:v>
      </x:c>
      <x:c r="I823" s="14" t="n">
        <x:f>1-G823-H823</x:f>
        <x:v>0.38000000000000006</x:v>
      </x:c>
      <x:c r="J823" s="2" t="n">
        <x:f>MAX(1,ROUND('기준스탯 72종'!D40-R823-Z823,0))</x:f>
        <x:v>3</x:v>
      </x:c>
      <x:c r="K823" s="2" t="n">
        <x:f>MAX(1,ROUND('기준스탯 72종'!E40-S823-AA823,0))</x:f>
        <x:v>3</x:v>
      </x:c>
      <x:c r="L823" s="2" t="n">
        <x:f>MAX(1,ROUND('기준스탯 72종'!F40-T823-AB823,0))</x:f>
        <x:v>3</x:v>
      </x:c>
      <x:c r="M823" s="2" t="n">
        <x:f>MAX(1,ROUND('기준스탯 72종'!G40-U823-AC823,0))</x:f>
        <x:v>3</x:v>
      </x:c>
      <x:c r="N823" s="2" t="n">
        <x:f>MAX(0,ROUND('기준스탯 72종'!H40-V823-AD823,0))</x:f>
        <x:v>2</x:v>
      </x:c>
      <x:c r="O823" s="2" t="n">
        <x:f>MAX(0,ROUND('기준스탯 72종'!I40-W823-AE823,0))</x:f>
        <x:v>1</x:v>
      </x:c>
      <x:c r="P823" s="2" t="n">
        <x:f>MAX(0,ROUND('기준스탯 72종'!J40-X823-AF823,0))</x:f>
        <x:v>2</x:v>
      </x:c>
      <x:c r="Q823" s="2" t="n">
        <x:f>MAX(0,ROUND('기준스탯 72종'!K40-Y823-AG823,0))</x:f>
        <x:v>1</x:v>
      </x:c>
      <x:c r="R823" s="15" t="n">
        <x:f>'기준스탯 72종'!D40*G823</x:f>
        <x:v>3.9199999999999995</x:v>
      </x:c>
      <x:c r="S823" s="15" t="n">
        <x:f>'기준스탯 72종'!E40*G823</x:f>
        <x:v>4.4799999999999995</x:v>
      </x:c>
      <x:c r="T823" s="15" t="n">
        <x:f>'기준스탯 72종'!F40*G823</x:f>
        <x:v>3.9199999999999995</x:v>
      </x:c>
      <x:c r="U823" s="15" t="n">
        <x:f>'기준스탯 72종'!G40*G823</x:f>
        <x:v>4.4799999999999995</x:v>
      </x:c>
      <x:c r="V823" s="15" t="n">
        <x:f>'기준스탯 72종'!H40*G823</x:f>
        <x:v>2.2399999999999998</x:v>
      </x:c>
      <x:c r="W823" s="15" t="n">
        <x:f>'기준스탯 72종'!I40*G823</x:f>
        <x:v>1.6799999999999997</x:v>
      </x:c>
      <x:c r="X823" s="15" t="n">
        <x:f>'기준스탯 72종'!J40*G823</x:f>
        <x:v>3.3599999999999994</x:v>
      </x:c>
      <x:c r="Y823" s="15" t="n">
        <x:f>'기준스탯 72종'!K40*G823</x:f>
        <x:v>1.6799999999999997</x:v>
      </x:c>
      <x:c r="Z823" s="15" t="n">
        <x:f>'기준스탯 72종'!D40*H823</x:f>
        <x:v>0.4200000000000001</x:v>
      </x:c>
      <x:c r="AA823" s="15" t="n">
        <x:f>'기준스탯 72종'!E40*H823</x:f>
        <x:v>0.4800000000000001</x:v>
      </x:c>
      <x:c r="AB823" s="15" t="n">
        <x:f>'기준스탯 72종'!F40*H823</x:f>
        <x:v>0.4200000000000001</x:v>
      </x:c>
      <x:c r="AC823" s="15" t="n">
        <x:f>'기준스탯 72종'!G40*H823</x:f>
        <x:v>0.4800000000000001</x:v>
      </x:c>
      <x:c r="AD823" s="15" t="n">
        <x:f>'기준스탯 72종'!H40*H823</x:f>
        <x:v>0.24000000000000005</x:v>
      </x:c>
      <x:c r="AE823" s="15" t="n">
        <x:f>'기준스탯 72종'!I40*H823</x:f>
        <x:v>0.18000000000000005</x:v>
      </x:c>
      <x:c r="AF823" s="15" t="n">
        <x:f>'기준스탯 72종'!J40*H823</x:f>
        <x:v>0.3600000000000001</x:v>
      </x:c>
      <x:c r="AG823" s="15" t="n">
        <x:f>'기준스탯 72종'!K40*H823</x:f>
        <x:v>0.18000000000000005</x:v>
      </x:c>
    </x:row>
    <x:row r="824" ht="28" customHeight="1">
      <x:c r="A824" s="2" t="n">
        <x:v>817</x:v>
      </x:c>
      <x:c r="B824" s="2" t="n">
        <x:v>33</x:v>
      </x:c>
      <x:c r="C824" s="2" t="str">
        <x:v>처녀자리</x:v>
      </x:c>
      <x:c r="D824" s="2" t="str">
        <x:v>사수</x:v>
      </x:c>
      <x:c r="E824" s="2" t="n">
        <x:v>2</x:v>
      </x:c>
      <x:c r="F824" s="2" t="n">
        <x:v>4</x:v>
      </x:c>
      <x:c r="G824" s="14" t="n">
        <x:f>('레벨 계산식'!$E$4-E824)*'레벨 계산식'!$B$5</x:f>
        <x:v>0.41999999999999993</x:v>
      </x:c>
      <x:c r="H824" s="14" t="n">
        <x:f>('등급 계산식'!$E$4-F824)*'등급 계산식'!$B$5</x:f>
        <x:v>0.06000000000000001</x:v>
      </x:c>
      <x:c r="I824" s="14" t="n">
        <x:f>1-G824-H824</x:f>
        <x:v>0.52</x:v>
      </x:c>
      <x:c r="J824" s="2" t="n">
        <x:f>MAX(1,ROUND('기준스탯 72종'!D40-R824-Z824,0))</x:f>
        <x:v>4</x:v>
      </x:c>
      <x:c r="K824" s="2" t="n">
        <x:f>MAX(1,ROUND('기준스탯 72종'!E40-S824-AA824,0))</x:f>
        <x:v>4</x:v>
      </x:c>
      <x:c r="L824" s="2" t="n">
        <x:f>MAX(1,ROUND('기준스탯 72종'!F40-T824-AB824,0))</x:f>
        <x:v>4</x:v>
      </x:c>
      <x:c r="M824" s="2" t="n">
        <x:f>MAX(1,ROUND('기준스탯 72종'!G40-U824-AC824,0))</x:f>
        <x:v>4</x:v>
      </x:c>
      <x:c r="N824" s="2" t="n">
        <x:f>MAX(0,ROUND('기준스탯 72종'!H40-V824-AD824,0))</x:f>
        <x:v>2</x:v>
      </x:c>
      <x:c r="O824" s="2" t="n">
        <x:f>MAX(0,ROUND('기준스탯 72종'!I40-W824-AE824,0))</x:f>
        <x:v>2</x:v>
      </x:c>
      <x:c r="P824" s="2" t="n">
        <x:f>MAX(0,ROUND('기준스탯 72종'!J40-X824-AF824,0))</x:f>
        <x:v>3</x:v>
      </x:c>
      <x:c r="Q824" s="2" t="n">
        <x:f>MAX(0,ROUND('기준스탯 72종'!K40-Y824-AG824,0))</x:f>
        <x:v>2</x:v>
      </x:c>
      <x:c r="R824" s="15" t="n">
        <x:f>'기준스탯 72종'!D40*G824</x:f>
        <x:v>2.9399999999999995</x:v>
      </x:c>
      <x:c r="S824" s="15" t="n">
        <x:f>'기준스탯 72종'!E40*G824</x:f>
        <x:v>3.3599999999999994</x:v>
      </x:c>
      <x:c r="T824" s="15" t="n">
        <x:f>'기준스탯 72종'!F40*G824</x:f>
        <x:v>2.9399999999999995</x:v>
      </x:c>
      <x:c r="U824" s="15" t="n">
        <x:f>'기준스탯 72종'!G40*G824</x:f>
        <x:v>3.3599999999999994</x:v>
      </x:c>
      <x:c r="V824" s="15" t="n">
        <x:f>'기준스탯 72종'!H40*G824</x:f>
        <x:v>1.6799999999999997</x:v>
      </x:c>
      <x:c r="W824" s="15" t="n">
        <x:f>'기준스탯 72종'!I40*G824</x:f>
        <x:v>1.2599999999999998</x:v>
      </x:c>
      <x:c r="X824" s="15" t="n">
        <x:f>'기준스탯 72종'!J40*G824</x:f>
        <x:v>2.5199999999999996</x:v>
      </x:c>
      <x:c r="Y824" s="15" t="n">
        <x:f>'기준스탯 72종'!K40*G824</x:f>
        <x:v>1.2599999999999998</x:v>
      </x:c>
      <x:c r="Z824" s="15" t="n">
        <x:f>'기준스탯 72종'!D40*H824</x:f>
        <x:v>0.4200000000000001</x:v>
      </x:c>
      <x:c r="AA824" s="15" t="n">
        <x:f>'기준스탯 72종'!E40*H824</x:f>
        <x:v>0.4800000000000001</x:v>
      </x:c>
      <x:c r="AB824" s="15" t="n">
        <x:f>'기준스탯 72종'!F40*H824</x:f>
        <x:v>0.4200000000000001</x:v>
      </x:c>
      <x:c r="AC824" s="15" t="n">
        <x:f>'기준스탯 72종'!G40*H824</x:f>
        <x:v>0.4800000000000001</x:v>
      </x:c>
      <x:c r="AD824" s="15" t="n">
        <x:f>'기준스탯 72종'!H40*H824</x:f>
        <x:v>0.24000000000000005</x:v>
      </x:c>
      <x:c r="AE824" s="15" t="n">
        <x:f>'기준스탯 72종'!I40*H824</x:f>
        <x:v>0.18000000000000005</x:v>
      </x:c>
      <x:c r="AF824" s="15" t="n">
        <x:f>'기준스탯 72종'!J40*H824</x:f>
        <x:v>0.3600000000000001</x:v>
      </x:c>
      <x:c r="AG824" s="15" t="n">
        <x:f>'기준스탯 72종'!K40*H824</x:f>
        <x:v>0.18000000000000005</x:v>
      </x:c>
    </x:row>
    <x:row r="825" ht="28" customHeight="1">
      <x:c r="A825" s="2" t="n">
        <x:v>818</x:v>
      </x:c>
      <x:c r="B825" s="2" t="n">
        <x:v>33</x:v>
      </x:c>
      <x:c r="C825" s="2" t="str">
        <x:v>처녀자리</x:v>
      </x:c>
      <x:c r="D825" s="2" t="str">
        <x:v>사수</x:v>
      </x:c>
      <x:c r="E825" s="2" t="n">
        <x:v>3</x:v>
      </x:c>
      <x:c r="F825" s="2" t="n">
        <x:v>4</x:v>
      </x:c>
      <x:c r="G825" s="14" t="n">
        <x:f>('레벨 계산식'!$E$4-E825)*'레벨 계산식'!$B$5</x:f>
        <x:v>0.27999999999999997</x:v>
      </x:c>
      <x:c r="H825" s="14" t="n">
        <x:f>('등급 계산식'!$E$4-F825)*'등급 계산식'!$B$5</x:f>
        <x:v>0.06000000000000001</x:v>
      </x:c>
      <x:c r="I825" s="14" t="n">
        <x:f>1-G825-H825</x:f>
        <x:v>0.6599999999999999</x:v>
      </x:c>
      <x:c r="J825" s="2" t="n">
        <x:f>MAX(1,ROUND('기준스탯 72종'!D40-R825-Z825,0))</x:f>
        <x:v>5</x:v>
      </x:c>
      <x:c r="K825" s="2" t="n">
        <x:f>MAX(1,ROUND('기준스탯 72종'!E40-S825-AA825,0))</x:f>
        <x:v>5</x:v>
      </x:c>
      <x:c r="L825" s="2" t="n">
        <x:f>MAX(1,ROUND('기준스탯 72종'!F40-T825-AB825,0))</x:f>
        <x:v>5</x:v>
      </x:c>
      <x:c r="M825" s="2" t="n">
        <x:f>MAX(1,ROUND('기준스탯 72종'!G40-U825-AC825,0))</x:f>
        <x:v>5</x:v>
      </x:c>
      <x:c r="N825" s="2" t="n">
        <x:f>MAX(0,ROUND('기준스탯 72종'!H40-V825-AD825,0))</x:f>
        <x:v>3</x:v>
      </x:c>
      <x:c r="O825" s="2" t="n">
        <x:f>MAX(0,ROUND('기준스탯 72종'!I40-W825-AE825,0))</x:f>
        <x:v>2</x:v>
      </x:c>
      <x:c r="P825" s="2" t="n">
        <x:f>MAX(0,ROUND('기준스탯 72종'!J40-X825-AF825,0))</x:f>
        <x:v>4</x:v>
      </x:c>
      <x:c r="Q825" s="2" t="n">
        <x:f>MAX(0,ROUND('기준스탯 72종'!K40-Y825-AG825,0))</x:f>
        <x:v>2</x:v>
      </x:c>
      <x:c r="R825" s="15" t="n">
        <x:f>'기준스탯 72종'!D40*G825</x:f>
        <x:v>1.9599999999999997</x:v>
      </x:c>
      <x:c r="S825" s="15" t="n">
        <x:f>'기준스탯 72종'!E40*G825</x:f>
        <x:v>2.2399999999999998</x:v>
      </x:c>
      <x:c r="T825" s="15" t="n">
        <x:f>'기준스탯 72종'!F40*G825</x:f>
        <x:v>1.9599999999999997</x:v>
      </x:c>
      <x:c r="U825" s="15" t="n">
        <x:f>'기준스탯 72종'!G40*G825</x:f>
        <x:v>2.2399999999999998</x:v>
      </x:c>
      <x:c r="V825" s="15" t="n">
        <x:f>'기준스탯 72종'!H40*G825</x:f>
        <x:v>1.1199999999999999</x:v>
      </x:c>
      <x:c r="W825" s="15" t="n">
        <x:f>'기준스탯 72종'!I40*G825</x:f>
        <x:v>0.8399999999999999</x:v>
      </x:c>
      <x:c r="X825" s="15" t="n">
        <x:f>'기준스탯 72종'!J40*G825</x:f>
        <x:v>1.6799999999999997</x:v>
      </x:c>
      <x:c r="Y825" s="15" t="n">
        <x:f>'기준스탯 72종'!K40*G825</x:f>
        <x:v>0.8399999999999999</x:v>
      </x:c>
      <x:c r="Z825" s="15" t="n">
        <x:f>'기준스탯 72종'!D40*H825</x:f>
        <x:v>0.4200000000000001</x:v>
      </x:c>
      <x:c r="AA825" s="15" t="n">
        <x:f>'기준스탯 72종'!E40*H825</x:f>
        <x:v>0.4800000000000001</x:v>
      </x:c>
      <x:c r="AB825" s="15" t="n">
        <x:f>'기준스탯 72종'!F40*H825</x:f>
        <x:v>0.4200000000000001</x:v>
      </x:c>
      <x:c r="AC825" s="15" t="n">
        <x:f>'기준스탯 72종'!G40*H825</x:f>
        <x:v>0.4800000000000001</x:v>
      </x:c>
      <x:c r="AD825" s="15" t="n">
        <x:f>'기준스탯 72종'!H40*H825</x:f>
        <x:v>0.24000000000000005</x:v>
      </x:c>
      <x:c r="AE825" s="15" t="n">
        <x:f>'기준스탯 72종'!I40*H825</x:f>
        <x:v>0.18000000000000005</x:v>
      </x:c>
      <x:c r="AF825" s="15" t="n">
        <x:f>'기준스탯 72종'!J40*H825</x:f>
        <x:v>0.3600000000000001</x:v>
      </x:c>
      <x:c r="AG825" s="15" t="n">
        <x:f>'기준스탯 72종'!K40*H825</x:f>
        <x:v>0.18000000000000005</x:v>
      </x:c>
    </x:row>
    <x:row r="826" ht="28" customHeight="1">
      <x:c r="A826" s="2" t="n">
        <x:v>819</x:v>
      </x:c>
      <x:c r="B826" s="2" t="n">
        <x:v>33</x:v>
      </x:c>
      <x:c r="C826" s="2" t="str">
        <x:v>처녀자리</x:v>
      </x:c>
      <x:c r="D826" s="2" t="str">
        <x:v>사수</x:v>
      </x:c>
      <x:c r="E826" s="2" t="n">
        <x:v>4</x:v>
      </x:c>
      <x:c r="F826" s="2" t="n">
        <x:v>4</x:v>
      </x:c>
      <x:c r="G826" s="14" t="n">
        <x:f>('레벨 계산식'!$E$4-E826)*'레벨 계산식'!$B$5</x:f>
        <x:v>0.13999999999999999</x:v>
      </x:c>
      <x:c r="H826" s="14" t="n">
        <x:f>('등급 계산식'!$E$4-F826)*'등급 계산식'!$B$5</x:f>
        <x:v>0.06000000000000001</x:v>
      </x:c>
      <x:c r="I826" s="14" t="n">
        <x:f>1-G826-H826</x:f>
        <x:v>0.7999999999999999</x:v>
      </x:c>
      <x:c r="J826" s="2" t="n">
        <x:f>MAX(1,ROUND('기준스탯 72종'!D40-R826-Z826,0))</x:f>
        <x:v>6</x:v>
      </x:c>
      <x:c r="K826" s="2" t="n">
        <x:f>MAX(1,ROUND('기준스탯 72종'!E40-S826-AA826,0))</x:f>
        <x:v>6</x:v>
      </x:c>
      <x:c r="L826" s="2" t="n">
        <x:f>MAX(1,ROUND('기준스탯 72종'!F40-T826-AB826,0))</x:f>
        <x:v>6</x:v>
      </x:c>
      <x:c r="M826" s="2" t="n">
        <x:f>MAX(1,ROUND('기준스탯 72종'!G40-U826-AC826,0))</x:f>
        <x:v>6</x:v>
      </x:c>
      <x:c r="N826" s="2" t="n">
        <x:f>MAX(0,ROUND('기준스탯 72종'!H40-V826-AD826,0))</x:f>
        <x:v>3</x:v>
      </x:c>
      <x:c r="O826" s="2" t="n">
        <x:f>MAX(0,ROUND('기준스탯 72종'!I40-W826-AE826,0))</x:f>
        <x:v>2</x:v>
      </x:c>
      <x:c r="P826" s="2" t="n">
        <x:f>MAX(0,ROUND('기준스탯 72종'!J40-X826-AF826,0))</x:f>
        <x:v>5</x:v>
      </x:c>
      <x:c r="Q826" s="2" t="n">
        <x:f>MAX(0,ROUND('기준스탯 72종'!K40-Y826-AG826,0))</x:f>
        <x:v>2</x:v>
      </x:c>
      <x:c r="R826" s="15" t="n">
        <x:f>'기준스탯 72종'!D40*G826</x:f>
        <x:v>0.9799999999999999</x:v>
      </x:c>
      <x:c r="S826" s="15" t="n">
        <x:f>'기준스탯 72종'!E40*G826</x:f>
        <x:v>1.1199999999999999</x:v>
      </x:c>
      <x:c r="T826" s="15" t="n">
        <x:f>'기준스탯 72종'!F40*G826</x:f>
        <x:v>0.9799999999999999</x:v>
      </x:c>
      <x:c r="U826" s="15" t="n">
        <x:f>'기준스탯 72종'!G40*G826</x:f>
        <x:v>1.1199999999999999</x:v>
      </x:c>
      <x:c r="V826" s="15" t="n">
        <x:f>'기준스탯 72종'!H40*G826</x:f>
        <x:v>0.5599999999999999</x:v>
      </x:c>
      <x:c r="W826" s="15" t="n">
        <x:f>'기준스탯 72종'!I40*G826</x:f>
        <x:v>0.41999999999999993</x:v>
      </x:c>
      <x:c r="X826" s="15" t="n">
        <x:f>'기준스탯 72종'!J40*G826</x:f>
        <x:v>0.8399999999999999</x:v>
      </x:c>
      <x:c r="Y826" s="15" t="n">
        <x:f>'기준스탯 72종'!K40*G826</x:f>
        <x:v>0.41999999999999993</x:v>
      </x:c>
      <x:c r="Z826" s="15" t="n">
        <x:f>'기준스탯 72종'!D40*H826</x:f>
        <x:v>0.4200000000000001</x:v>
      </x:c>
      <x:c r="AA826" s="15" t="n">
        <x:f>'기준스탯 72종'!E40*H826</x:f>
        <x:v>0.4800000000000001</x:v>
      </x:c>
      <x:c r="AB826" s="15" t="n">
        <x:f>'기준스탯 72종'!F40*H826</x:f>
        <x:v>0.4200000000000001</x:v>
      </x:c>
      <x:c r="AC826" s="15" t="n">
        <x:f>'기준스탯 72종'!G40*H826</x:f>
        <x:v>0.4800000000000001</x:v>
      </x:c>
      <x:c r="AD826" s="15" t="n">
        <x:f>'기준스탯 72종'!H40*H826</x:f>
        <x:v>0.24000000000000005</x:v>
      </x:c>
      <x:c r="AE826" s="15" t="n">
        <x:f>'기준스탯 72종'!I40*H826</x:f>
        <x:v>0.18000000000000005</x:v>
      </x:c>
      <x:c r="AF826" s="15" t="n">
        <x:f>'기준스탯 72종'!J40*H826</x:f>
        <x:v>0.3600000000000001</x:v>
      </x:c>
      <x:c r="AG826" s="15" t="n">
        <x:f>'기준스탯 72종'!K40*H826</x:f>
        <x:v>0.18000000000000005</x:v>
      </x:c>
    </x:row>
    <x:row r="827" ht="28" customHeight="1">
      <x:c r="A827" s="2" t="n">
        <x:v>820</x:v>
      </x:c>
      <x:c r="B827" s="2" t="n">
        <x:v>33</x:v>
      </x:c>
      <x:c r="C827" s="2" t="str">
        <x:v>처녀자리</x:v>
      </x:c>
      <x:c r="D827" s="2" t="str">
        <x:v>사수</x:v>
      </x:c>
      <x:c r="E827" s="2" t="n">
        <x:v>5</x:v>
      </x:c>
      <x:c r="F827" s="2" t="n">
        <x:v>4</x:v>
      </x:c>
      <x:c r="G827" s="14" t="n">
        <x:f>('레벨 계산식'!$E$4-E827)*'레벨 계산식'!$B$5</x:f>
        <x:v>0</x:v>
      </x:c>
      <x:c r="H827" s="14" t="n">
        <x:f>('등급 계산식'!$E$4-F827)*'등급 계산식'!$B$5</x:f>
        <x:v>0.06000000000000001</x:v>
      </x:c>
      <x:c r="I827" s="14" t="n">
        <x:f>1-G827-H827</x:f>
        <x:v>0.94</x:v>
      </x:c>
      <x:c r="J827" s="2" t="n">
        <x:f>MAX(1,ROUND('기준스탯 72종'!D40-R827-Z827,0))</x:f>
        <x:v>7</x:v>
      </x:c>
      <x:c r="K827" s="2" t="n">
        <x:f>MAX(1,ROUND('기준스탯 72종'!E40-S827-AA827,0))</x:f>
        <x:v>8</x:v>
      </x:c>
      <x:c r="L827" s="2" t="n">
        <x:f>MAX(1,ROUND('기준스탯 72종'!F40-T827-AB827,0))</x:f>
        <x:v>7</x:v>
      </x:c>
      <x:c r="M827" s="2" t="n">
        <x:f>MAX(1,ROUND('기준스탯 72종'!G40-U827-AC827,0))</x:f>
        <x:v>8</x:v>
      </x:c>
      <x:c r="N827" s="2" t="n">
        <x:f>MAX(0,ROUND('기준스탯 72종'!H40-V827-AD827,0))</x:f>
        <x:v>4</x:v>
      </x:c>
      <x:c r="O827" s="2" t="n">
        <x:f>MAX(0,ROUND('기준스탯 72종'!I40-W827-AE827,0))</x:f>
        <x:v>3</x:v>
      </x:c>
      <x:c r="P827" s="2" t="n">
        <x:f>MAX(0,ROUND('기준스탯 72종'!J40-X827-AF827,0))</x:f>
        <x:v>6</x:v>
      </x:c>
      <x:c r="Q827" s="2" t="n">
        <x:f>MAX(0,ROUND('기준스탯 72종'!K40-Y827-AG827,0))</x:f>
        <x:v>3</x:v>
      </x:c>
      <x:c r="R827" s="15" t="n">
        <x:f>'기준스탯 72종'!D40*G827</x:f>
        <x:v>0</x:v>
      </x:c>
      <x:c r="S827" s="15" t="n">
        <x:f>'기준스탯 72종'!E40*G827</x:f>
        <x:v>0</x:v>
      </x:c>
      <x:c r="T827" s="15" t="n">
        <x:f>'기준스탯 72종'!F40*G827</x:f>
        <x:v>0</x:v>
      </x:c>
      <x:c r="U827" s="15" t="n">
        <x:f>'기준스탯 72종'!G40*G827</x:f>
        <x:v>0</x:v>
      </x:c>
      <x:c r="V827" s="15" t="n">
        <x:f>'기준스탯 72종'!H40*G827</x:f>
        <x:v>0</x:v>
      </x:c>
      <x:c r="W827" s="15" t="n">
        <x:f>'기준스탯 72종'!I40*G827</x:f>
        <x:v>0</x:v>
      </x:c>
      <x:c r="X827" s="15" t="n">
        <x:f>'기준스탯 72종'!J40*G827</x:f>
        <x:v>0</x:v>
      </x:c>
      <x:c r="Y827" s="15" t="n">
        <x:f>'기준스탯 72종'!K40*G827</x:f>
        <x:v>0</x:v>
      </x:c>
      <x:c r="Z827" s="15" t="n">
        <x:f>'기준스탯 72종'!D40*H827</x:f>
        <x:v>0.4200000000000001</x:v>
      </x:c>
      <x:c r="AA827" s="15" t="n">
        <x:f>'기준스탯 72종'!E40*H827</x:f>
        <x:v>0.4800000000000001</x:v>
      </x:c>
      <x:c r="AB827" s="15" t="n">
        <x:f>'기준스탯 72종'!F40*H827</x:f>
        <x:v>0.4200000000000001</x:v>
      </x:c>
      <x:c r="AC827" s="15" t="n">
        <x:f>'기준스탯 72종'!G40*H827</x:f>
        <x:v>0.4800000000000001</x:v>
      </x:c>
      <x:c r="AD827" s="15" t="n">
        <x:f>'기준스탯 72종'!H40*H827</x:f>
        <x:v>0.24000000000000005</x:v>
      </x:c>
      <x:c r="AE827" s="15" t="n">
        <x:f>'기준스탯 72종'!I40*H827</x:f>
        <x:v>0.18000000000000005</x:v>
      </x:c>
      <x:c r="AF827" s="15" t="n">
        <x:f>'기준스탯 72종'!J40*H827</x:f>
        <x:v>0.3600000000000001</x:v>
      </x:c>
      <x:c r="AG827" s="15" t="n">
        <x:f>'기준스탯 72종'!K40*H827</x:f>
        <x:v>0.18000000000000005</x:v>
      </x:c>
    </x:row>
    <x:row r="828" ht="28" customHeight="1">
      <x:c r="A828" s="2" t="n">
        <x:v>821</x:v>
      </x:c>
      <x:c r="B828" s="2" t="n">
        <x:v>33</x:v>
      </x:c>
      <x:c r="C828" s="2" t="str">
        <x:v>처녀자리</x:v>
      </x:c>
      <x:c r="D828" s="2" t="str">
        <x:v>사수</x:v>
      </x:c>
      <x:c r="E828" s="2" t="n">
        <x:v>1</x:v>
      </x:c>
      <x:c r="F828" s="2" t="n">
        <x:v>5</x:v>
      </x:c>
      <x:c r="G828" s="14" t="n">
        <x:f>('레벨 계산식'!$E$4-E828)*'레벨 계산식'!$B$5</x:f>
        <x:v>0.5599999999999999</x:v>
      </x:c>
      <x:c r="H828" s="14" t="n">
        <x:f>('등급 계산식'!$E$4-F828)*'등급 계산식'!$B$5</x:f>
        <x:v>0</x:v>
      </x:c>
      <x:c r="I828" s="14" t="n">
        <x:f>1-G828-H828</x:f>
        <x:v>0.44000000000000006</x:v>
      </x:c>
      <x:c r="J828" s="2" t="n">
        <x:f>MAX(1,ROUND('기준스탯 72종'!D40-R828-Z828,0))</x:f>
        <x:v>3</x:v>
      </x:c>
      <x:c r="K828" s="2" t="n">
        <x:f>MAX(1,ROUND('기준스탯 72종'!E40-S828-AA828,0))</x:f>
        <x:v>4</x:v>
      </x:c>
      <x:c r="L828" s="2" t="n">
        <x:f>MAX(1,ROUND('기준스탯 72종'!F40-T828-AB828,0))</x:f>
        <x:v>3</x:v>
      </x:c>
      <x:c r="M828" s="2" t="n">
        <x:f>MAX(1,ROUND('기준스탯 72종'!G40-U828-AC828,0))</x:f>
        <x:v>4</x:v>
      </x:c>
      <x:c r="N828" s="2" t="n">
        <x:f>MAX(0,ROUND('기준스탯 72종'!H40-V828-AD828,0))</x:f>
        <x:v>2</x:v>
      </x:c>
      <x:c r="O828" s="2" t="n">
        <x:f>MAX(0,ROUND('기준스탯 72종'!I40-W828-AE828,0))</x:f>
        <x:v>1</x:v>
      </x:c>
      <x:c r="P828" s="2" t="n">
        <x:f>MAX(0,ROUND('기준스탯 72종'!J40-X828-AF828,0))</x:f>
        <x:v>3</x:v>
      </x:c>
      <x:c r="Q828" s="2" t="n">
        <x:f>MAX(0,ROUND('기준스탯 72종'!K40-Y828-AG828,0))</x:f>
        <x:v>1</x:v>
      </x:c>
      <x:c r="R828" s="15" t="n">
        <x:f>'기준스탯 72종'!D40*G828</x:f>
        <x:v>3.9199999999999995</x:v>
      </x:c>
      <x:c r="S828" s="15" t="n">
        <x:f>'기준스탯 72종'!E40*G828</x:f>
        <x:v>4.4799999999999995</x:v>
      </x:c>
      <x:c r="T828" s="15" t="n">
        <x:f>'기준스탯 72종'!F40*G828</x:f>
        <x:v>3.9199999999999995</x:v>
      </x:c>
      <x:c r="U828" s="15" t="n">
        <x:f>'기준스탯 72종'!G40*G828</x:f>
        <x:v>4.4799999999999995</x:v>
      </x:c>
      <x:c r="V828" s="15" t="n">
        <x:f>'기준스탯 72종'!H40*G828</x:f>
        <x:v>2.2399999999999998</x:v>
      </x:c>
      <x:c r="W828" s="15" t="n">
        <x:f>'기준스탯 72종'!I40*G828</x:f>
        <x:v>1.6799999999999997</x:v>
      </x:c>
      <x:c r="X828" s="15" t="n">
        <x:f>'기준스탯 72종'!J40*G828</x:f>
        <x:v>3.3599999999999994</x:v>
      </x:c>
      <x:c r="Y828" s="15" t="n">
        <x:f>'기준스탯 72종'!K40*G828</x:f>
        <x:v>1.6799999999999997</x:v>
      </x:c>
      <x:c r="Z828" s="15" t="n">
        <x:f>'기준스탯 72종'!D40*H828</x:f>
        <x:v>0</x:v>
      </x:c>
      <x:c r="AA828" s="15" t="n">
        <x:f>'기준스탯 72종'!E40*H828</x:f>
        <x:v>0</x:v>
      </x:c>
      <x:c r="AB828" s="15" t="n">
        <x:f>'기준스탯 72종'!F40*H828</x:f>
        <x:v>0</x:v>
      </x:c>
      <x:c r="AC828" s="15" t="n">
        <x:f>'기준스탯 72종'!G40*H828</x:f>
        <x:v>0</x:v>
      </x:c>
      <x:c r="AD828" s="15" t="n">
        <x:f>'기준스탯 72종'!H40*H828</x:f>
        <x:v>0</x:v>
      </x:c>
      <x:c r="AE828" s="15" t="n">
        <x:f>'기준스탯 72종'!I40*H828</x:f>
        <x:v>0</x:v>
      </x:c>
      <x:c r="AF828" s="15" t="n">
        <x:f>'기준스탯 72종'!J40*H828</x:f>
        <x:v>0</x:v>
      </x:c>
      <x:c r="AG828" s="15" t="n">
        <x:f>'기준스탯 72종'!K40*H828</x:f>
        <x:v>0</x:v>
      </x:c>
    </x:row>
    <x:row r="829" ht="28" customHeight="1">
      <x:c r="A829" s="2" t="n">
        <x:v>822</x:v>
      </x:c>
      <x:c r="B829" s="2" t="n">
        <x:v>33</x:v>
      </x:c>
      <x:c r="C829" s="2" t="str">
        <x:v>처녀자리</x:v>
      </x:c>
      <x:c r="D829" s="2" t="str">
        <x:v>사수</x:v>
      </x:c>
      <x:c r="E829" s="2" t="n">
        <x:v>2</x:v>
      </x:c>
      <x:c r="F829" s="2" t="n">
        <x:v>5</x:v>
      </x:c>
      <x:c r="G829" s="14" t="n">
        <x:f>('레벨 계산식'!$E$4-E829)*'레벨 계산식'!$B$5</x:f>
        <x:v>0.41999999999999993</x:v>
      </x:c>
      <x:c r="H829" s="14" t="n">
        <x:f>('등급 계산식'!$E$4-F829)*'등급 계산식'!$B$5</x:f>
        <x:v>0</x:v>
      </x:c>
      <x:c r="I829" s="14" t="n">
        <x:f>1-G829-H829</x:f>
        <x:v>0.5800000000000001</x:v>
      </x:c>
      <x:c r="J829" s="2" t="n">
        <x:f>MAX(1,ROUND('기준스탯 72종'!D40-R829-Z829,0))</x:f>
        <x:v>4</x:v>
      </x:c>
      <x:c r="K829" s="2" t="n">
        <x:f>MAX(1,ROUND('기준스탯 72종'!E40-S829-AA829,0))</x:f>
        <x:v>5</x:v>
      </x:c>
      <x:c r="L829" s="2" t="n">
        <x:f>MAX(1,ROUND('기준스탯 72종'!F40-T829-AB829,0))</x:f>
        <x:v>4</x:v>
      </x:c>
      <x:c r="M829" s="2" t="n">
        <x:f>MAX(1,ROUND('기준스탯 72종'!G40-U829-AC829,0))</x:f>
        <x:v>5</x:v>
      </x:c>
      <x:c r="N829" s="2" t="n">
        <x:f>MAX(0,ROUND('기준스탯 72종'!H40-V829-AD829,0))</x:f>
        <x:v>2</x:v>
      </x:c>
      <x:c r="O829" s="2" t="n">
        <x:f>MAX(0,ROUND('기준스탯 72종'!I40-W829-AE829,0))</x:f>
        <x:v>2</x:v>
      </x:c>
      <x:c r="P829" s="2" t="n">
        <x:f>MAX(0,ROUND('기준스탯 72종'!J40-X829-AF829,0))</x:f>
        <x:v>3</x:v>
      </x:c>
      <x:c r="Q829" s="2" t="n">
        <x:f>MAX(0,ROUND('기준스탯 72종'!K40-Y829-AG829,0))</x:f>
        <x:v>2</x:v>
      </x:c>
      <x:c r="R829" s="15" t="n">
        <x:f>'기준스탯 72종'!D40*G829</x:f>
        <x:v>2.9399999999999995</x:v>
      </x:c>
      <x:c r="S829" s="15" t="n">
        <x:f>'기준스탯 72종'!E40*G829</x:f>
        <x:v>3.3599999999999994</x:v>
      </x:c>
      <x:c r="T829" s="15" t="n">
        <x:f>'기준스탯 72종'!F40*G829</x:f>
        <x:v>2.9399999999999995</x:v>
      </x:c>
      <x:c r="U829" s="15" t="n">
        <x:f>'기준스탯 72종'!G40*G829</x:f>
        <x:v>3.3599999999999994</x:v>
      </x:c>
      <x:c r="V829" s="15" t="n">
        <x:f>'기준스탯 72종'!H40*G829</x:f>
        <x:v>1.6799999999999997</x:v>
      </x:c>
      <x:c r="W829" s="15" t="n">
        <x:f>'기준스탯 72종'!I40*G829</x:f>
        <x:v>1.2599999999999998</x:v>
      </x:c>
      <x:c r="X829" s="15" t="n">
        <x:f>'기준스탯 72종'!J40*G829</x:f>
        <x:v>2.5199999999999996</x:v>
      </x:c>
      <x:c r="Y829" s="15" t="n">
        <x:f>'기준스탯 72종'!K40*G829</x:f>
        <x:v>1.2599999999999998</x:v>
      </x:c>
      <x:c r="Z829" s="15" t="n">
        <x:f>'기준스탯 72종'!D40*H829</x:f>
        <x:v>0</x:v>
      </x:c>
      <x:c r="AA829" s="15" t="n">
        <x:f>'기준스탯 72종'!E40*H829</x:f>
        <x:v>0</x:v>
      </x:c>
      <x:c r="AB829" s="15" t="n">
        <x:f>'기준스탯 72종'!F40*H829</x:f>
        <x:v>0</x:v>
      </x:c>
      <x:c r="AC829" s="15" t="n">
        <x:f>'기준스탯 72종'!G40*H829</x:f>
        <x:v>0</x:v>
      </x:c>
      <x:c r="AD829" s="15" t="n">
        <x:f>'기준스탯 72종'!H40*H829</x:f>
        <x:v>0</x:v>
      </x:c>
      <x:c r="AE829" s="15" t="n">
        <x:f>'기준스탯 72종'!I40*H829</x:f>
        <x:v>0</x:v>
      </x:c>
      <x:c r="AF829" s="15" t="n">
        <x:f>'기준스탯 72종'!J40*H829</x:f>
        <x:v>0</x:v>
      </x:c>
      <x:c r="AG829" s="15" t="n">
        <x:f>'기준스탯 72종'!K40*H829</x:f>
        <x:v>0</x:v>
      </x:c>
    </x:row>
    <x:row r="830" ht="28" customHeight="1">
      <x:c r="A830" s="2" t="n">
        <x:v>823</x:v>
      </x:c>
      <x:c r="B830" s="2" t="n">
        <x:v>33</x:v>
      </x:c>
      <x:c r="C830" s="2" t="str">
        <x:v>처녀자리</x:v>
      </x:c>
      <x:c r="D830" s="2" t="str">
        <x:v>사수</x:v>
      </x:c>
      <x:c r="E830" s="2" t="n">
        <x:v>3</x:v>
      </x:c>
      <x:c r="F830" s="2" t="n">
        <x:v>5</x:v>
      </x:c>
      <x:c r="G830" s="14" t="n">
        <x:f>('레벨 계산식'!$E$4-E830)*'레벨 계산식'!$B$5</x:f>
        <x:v>0.27999999999999997</x:v>
      </x:c>
      <x:c r="H830" s="14" t="n">
        <x:f>('등급 계산식'!$E$4-F830)*'등급 계산식'!$B$5</x:f>
        <x:v>0</x:v>
      </x:c>
      <x:c r="I830" s="14" t="n">
        <x:f>1-G830-H830</x:f>
        <x:v>0.72</x:v>
      </x:c>
      <x:c r="J830" s="2" t="n">
        <x:f>MAX(1,ROUND('기준스탯 72종'!D40-R830-Z830,0))</x:f>
        <x:v>5</x:v>
      </x:c>
      <x:c r="K830" s="2" t="n">
        <x:f>MAX(1,ROUND('기준스탯 72종'!E40-S830-AA830,0))</x:f>
        <x:v>6</x:v>
      </x:c>
      <x:c r="L830" s="2" t="n">
        <x:f>MAX(1,ROUND('기준스탯 72종'!F40-T830-AB830,0))</x:f>
        <x:v>5</x:v>
      </x:c>
      <x:c r="M830" s="2" t="n">
        <x:f>MAX(1,ROUND('기준스탯 72종'!G40-U830-AC830,0))</x:f>
        <x:v>6</x:v>
      </x:c>
      <x:c r="N830" s="2" t="n">
        <x:f>MAX(0,ROUND('기준스탯 72종'!H40-V830-AD830,0))</x:f>
        <x:v>3</x:v>
      </x:c>
      <x:c r="O830" s="2" t="n">
        <x:f>MAX(0,ROUND('기준스탯 72종'!I40-W830-AE830,0))</x:f>
        <x:v>2</x:v>
      </x:c>
      <x:c r="P830" s="2" t="n">
        <x:f>MAX(0,ROUND('기준스탯 72종'!J40-X830-AF830,0))</x:f>
        <x:v>4</x:v>
      </x:c>
      <x:c r="Q830" s="2" t="n">
        <x:f>MAX(0,ROUND('기준스탯 72종'!K40-Y830-AG830,0))</x:f>
        <x:v>2</x:v>
      </x:c>
      <x:c r="R830" s="15" t="n">
        <x:f>'기준스탯 72종'!D40*G830</x:f>
        <x:v>1.9599999999999997</x:v>
      </x:c>
      <x:c r="S830" s="15" t="n">
        <x:f>'기준스탯 72종'!E40*G830</x:f>
        <x:v>2.2399999999999998</x:v>
      </x:c>
      <x:c r="T830" s="15" t="n">
        <x:f>'기준스탯 72종'!F40*G830</x:f>
        <x:v>1.9599999999999997</x:v>
      </x:c>
      <x:c r="U830" s="15" t="n">
        <x:f>'기준스탯 72종'!G40*G830</x:f>
        <x:v>2.2399999999999998</x:v>
      </x:c>
      <x:c r="V830" s="15" t="n">
        <x:f>'기준스탯 72종'!H40*G830</x:f>
        <x:v>1.1199999999999999</x:v>
      </x:c>
      <x:c r="W830" s="15" t="n">
        <x:f>'기준스탯 72종'!I40*G830</x:f>
        <x:v>0.8399999999999999</x:v>
      </x:c>
      <x:c r="X830" s="15" t="n">
        <x:f>'기준스탯 72종'!J40*G830</x:f>
        <x:v>1.6799999999999997</x:v>
      </x:c>
      <x:c r="Y830" s="15" t="n">
        <x:f>'기준스탯 72종'!K40*G830</x:f>
        <x:v>0.8399999999999999</x:v>
      </x:c>
      <x:c r="Z830" s="15" t="n">
        <x:f>'기준스탯 72종'!D40*H830</x:f>
        <x:v>0</x:v>
      </x:c>
      <x:c r="AA830" s="15" t="n">
        <x:f>'기준스탯 72종'!E40*H830</x:f>
        <x:v>0</x:v>
      </x:c>
      <x:c r="AB830" s="15" t="n">
        <x:f>'기준스탯 72종'!F40*H830</x:f>
        <x:v>0</x:v>
      </x:c>
      <x:c r="AC830" s="15" t="n">
        <x:f>'기준스탯 72종'!G40*H830</x:f>
        <x:v>0</x:v>
      </x:c>
      <x:c r="AD830" s="15" t="n">
        <x:f>'기준스탯 72종'!H40*H830</x:f>
        <x:v>0</x:v>
      </x:c>
      <x:c r="AE830" s="15" t="n">
        <x:f>'기준스탯 72종'!I40*H830</x:f>
        <x:v>0</x:v>
      </x:c>
      <x:c r="AF830" s="15" t="n">
        <x:f>'기준스탯 72종'!J40*H830</x:f>
        <x:v>0</x:v>
      </x:c>
      <x:c r="AG830" s="15" t="n">
        <x:f>'기준스탯 72종'!K40*H830</x:f>
        <x:v>0</x:v>
      </x:c>
    </x:row>
    <x:row r="831" ht="28" customHeight="1">
      <x:c r="A831" s="2" t="n">
        <x:v>824</x:v>
      </x:c>
      <x:c r="B831" s="2" t="n">
        <x:v>33</x:v>
      </x:c>
      <x:c r="C831" s="2" t="str">
        <x:v>처녀자리</x:v>
      </x:c>
      <x:c r="D831" s="2" t="str">
        <x:v>사수</x:v>
      </x:c>
      <x:c r="E831" s="2" t="n">
        <x:v>4</x:v>
      </x:c>
      <x:c r="F831" s="2" t="n">
        <x:v>5</x:v>
      </x:c>
      <x:c r="G831" s="14" t="n">
        <x:f>('레벨 계산식'!$E$4-E831)*'레벨 계산식'!$B$5</x:f>
        <x:v>0.13999999999999999</x:v>
      </x:c>
      <x:c r="H831" s="14" t="n">
        <x:f>('등급 계산식'!$E$4-F831)*'등급 계산식'!$B$5</x:f>
        <x:v>0</x:v>
      </x:c>
      <x:c r="I831" s="14" t="n">
        <x:f>1-G831-H831</x:f>
        <x:v>0.86</x:v>
      </x:c>
      <x:c r="J831" s="2" t="n">
        <x:f>MAX(1,ROUND('기준스탯 72종'!D40-R831-Z831,0))</x:f>
        <x:v>6</x:v>
      </x:c>
      <x:c r="K831" s="2" t="n">
        <x:f>MAX(1,ROUND('기준스탯 72종'!E40-S831-AA831,0))</x:f>
        <x:v>7</x:v>
      </x:c>
      <x:c r="L831" s="2" t="n">
        <x:f>MAX(1,ROUND('기준스탯 72종'!F40-T831-AB831,0))</x:f>
        <x:v>6</x:v>
      </x:c>
      <x:c r="M831" s="2" t="n">
        <x:f>MAX(1,ROUND('기준스탯 72종'!G40-U831-AC831,0))</x:f>
        <x:v>7</x:v>
      </x:c>
      <x:c r="N831" s="2" t="n">
        <x:f>MAX(0,ROUND('기준스탯 72종'!H40-V831-AD831,0))</x:f>
        <x:v>3</x:v>
      </x:c>
      <x:c r="O831" s="2" t="n">
        <x:f>MAX(0,ROUND('기준스탯 72종'!I40-W831-AE831,0))</x:f>
        <x:v>3</x:v>
      </x:c>
      <x:c r="P831" s="2" t="n">
        <x:f>MAX(0,ROUND('기준스탯 72종'!J40-X831-AF831,0))</x:f>
        <x:v>5</x:v>
      </x:c>
      <x:c r="Q831" s="2" t="n">
        <x:f>MAX(0,ROUND('기준스탯 72종'!K40-Y831-AG831,0))</x:f>
        <x:v>3</x:v>
      </x:c>
      <x:c r="R831" s="15" t="n">
        <x:f>'기준스탯 72종'!D40*G831</x:f>
        <x:v>0.9799999999999999</x:v>
      </x:c>
      <x:c r="S831" s="15" t="n">
        <x:f>'기준스탯 72종'!E40*G831</x:f>
        <x:v>1.1199999999999999</x:v>
      </x:c>
      <x:c r="T831" s="15" t="n">
        <x:f>'기준스탯 72종'!F40*G831</x:f>
        <x:v>0.9799999999999999</x:v>
      </x:c>
      <x:c r="U831" s="15" t="n">
        <x:f>'기준스탯 72종'!G40*G831</x:f>
        <x:v>1.1199999999999999</x:v>
      </x:c>
      <x:c r="V831" s="15" t="n">
        <x:f>'기준스탯 72종'!H40*G831</x:f>
        <x:v>0.5599999999999999</x:v>
      </x:c>
      <x:c r="W831" s="15" t="n">
        <x:f>'기준스탯 72종'!I40*G831</x:f>
        <x:v>0.41999999999999993</x:v>
      </x:c>
      <x:c r="X831" s="15" t="n">
        <x:f>'기준스탯 72종'!J40*G831</x:f>
        <x:v>0.8399999999999999</x:v>
      </x:c>
      <x:c r="Y831" s="15" t="n">
        <x:f>'기준스탯 72종'!K40*G831</x:f>
        <x:v>0.41999999999999993</x:v>
      </x:c>
      <x:c r="Z831" s="15" t="n">
        <x:f>'기준스탯 72종'!D40*H831</x:f>
        <x:v>0</x:v>
      </x:c>
      <x:c r="AA831" s="15" t="n">
        <x:f>'기준스탯 72종'!E40*H831</x:f>
        <x:v>0</x:v>
      </x:c>
      <x:c r="AB831" s="15" t="n">
        <x:f>'기준스탯 72종'!F40*H831</x:f>
        <x:v>0</x:v>
      </x:c>
      <x:c r="AC831" s="15" t="n">
        <x:f>'기준스탯 72종'!G40*H831</x:f>
        <x:v>0</x:v>
      </x:c>
      <x:c r="AD831" s="15" t="n">
        <x:f>'기준스탯 72종'!H40*H831</x:f>
        <x:v>0</x:v>
      </x:c>
      <x:c r="AE831" s="15" t="n">
        <x:f>'기준스탯 72종'!I40*H831</x:f>
        <x:v>0</x:v>
      </x:c>
      <x:c r="AF831" s="15" t="n">
        <x:f>'기준스탯 72종'!J40*H831</x:f>
        <x:v>0</x:v>
      </x:c>
      <x:c r="AG831" s="15" t="n">
        <x:f>'기준스탯 72종'!K40*H831</x:f>
        <x:v>0</x:v>
      </x:c>
    </x:row>
    <x:row r="832" ht="28" customHeight="1">
      <x:c r="A832" s="2" t="n">
        <x:v>825</x:v>
      </x:c>
      <x:c r="B832" s="2" t="n">
        <x:v>33</x:v>
      </x:c>
      <x:c r="C832" s="2" t="str">
        <x:v>처녀자리</x:v>
      </x:c>
      <x:c r="D832" s="2" t="str">
        <x:v>사수</x:v>
      </x:c>
      <x:c r="E832" s="2" t="n">
        <x:v>5</x:v>
      </x:c>
      <x:c r="F832" s="2" t="n">
        <x:v>5</x:v>
      </x:c>
      <x:c r="G832" s="14" t="n">
        <x:f>('레벨 계산식'!$E$4-E832)*'레벨 계산식'!$B$5</x:f>
        <x:v>0</x:v>
      </x:c>
      <x:c r="H832" s="14" t="n">
        <x:f>('등급 계산식'!$E$4-F832)*'등급 계산식'!$B$5</x:f>
        <x:v>0</x:v>
      </x:c>
      <x:c r="I832" s="14" t="n">
        <x:f>1-G832-H832</x:f>
        <x:v>1</x:v>
      </x:c>
      <x:c r="J832" s="2" t="n">
        <x:f>MAX(1,ROUND('기준스탯 72종'!D40-R832-Z832,0))</x:f>
        <x:v>7</x:v>
      </x:c>
      <x:c r="K832" s="2" t="n">
        <x:f>MAX(1,ROUND('기준스탯 72종'!E40-S832-AA832,0))</x:f>
        <x:v>8</x:v>
      </x:c>
      <x:c r="L832" s="2" t="n">
        <x:f>MAX(1,ROUND('기준스탯 72종'!F40-T832-AB832,0))</x:f>
        <x:v>7</x:v>
      </x:c>
      <x:c r="M832" s="2" t="n">
        <x:f>MAX(1,ROUND('기준스탯 72종'!G40-U832-AC832,0))</x:f>
        <x:v>8</x:v>
      </x:c>
      <x:c r="N832" s="2" t="n">
        <x:f>MAX(0,ROUND('기준스탯 72종'!H40-V832-AD832,0))</x:f>
        <x:v>4</x:v>
      </x:c>
      <x:c r="O832" s="2" t="n">
        <x:f>MAX(0,ROUND('기준스탯 72종'!I40-W832-AE832,0))</x:f>
        <x:v>3</x:v>
      </x:c>
      <x:c r="P832" s="2" t="n">
        <x:f>MAX(0,ROUND('기준스탯 72종'!J40-X832-AF832,0))</x:f>
        <x:v>6</x:v>
      </x:c>
      <x:c r="Q832" s="2" t="n">
        <x:f>MAX(0,ROUND('기준스탯 72종'!K40-Y832-AG832,0))</x:f>
        <x:v>3</x:v>
      </x:c>
      <x:c r="R832" s="15" t="n">
        <x:f>'기준스탯 72종'!D40*G832</x:f>
        <x:v>0</x:v>
      </x:c>
      <x:c r="S832" s="15" t="n">
        <x:f>'기준스탯 72종'!E40*G832</x:f>
        <x:v>0</x:v>
      </x:c>
      <x:c r="T832" s="15" t="n">
        <x:f>'기준스탯 72종'!F40*G832</x:f>
        <x:v>0</x:v>
      </x:c>
      <x:c r="U832" s="15" t="n">
        <x:f>'기준스탯 72종'!G40*G832</x:f>
        <x:v>0</x:v>
      </x:c>
      <x:c r="V832" s="15" t="n">
        <x:f>'기준스탯 72종'!H40*G832</x:f>
        <x:v>0</x:v>
      </x:c>
      <x:c r="W832" s="15" t="n">
        <x:f>'기준스탯 72종'!I40*G832</x:f>
        <x:v>0</x:v>
      </x:c>
      <x:c r="X832" s="15" t="n">
        <x:f>'기준스탯 72종'!J40*G832</x:f>
        <x:v>0</x:v>
      </x:c>
      <x:c r="Y832" s="15" t="n">
        <x:f>'기준스탯 72종'!K40*G832</x:f>
        <x:v>0</x:v>
      </x:c>
      <x:c r="Z832" s="15" t="n">
        <x:f>'기준스탯 72종'!D40*H832</x:f>
        <x:v>0</x:v>
      </x:c>
      <x:c r="AA832" s="15" t="n">
        <x:f>'기준스탯 72종'!E40*H832</x:f>
        <x:v>0</x:v>
      </x:c>
      <x:c r="AB832" s="15" t="n">
        <x:f>'기준스탯 72종'!F40*H832</x:f>
        <x:v>0</x:v>
      </x:c>
      <x:c r="AC832" s="15" t="n">
        <x:f>'기준스탯 72종'!G40*H832</x:f>
        <x:v>0</x:v>
      </x:c>
      <x:c r="AD832" s="15" t="n">
        <x:f>'기준스탯 72종'!H40*H832</x:f>
        <x:v>0</x:v>
      </x:c>
      <x:c r="AE832" s="15" t="n">
        <x:f>'기준스탯 72종'!I40*H832</x:f>
        <x:v>0</x:v>
      </x:c>
      <x:c r="AF832" s="15" t="n">
        <x:f>'기준스탯 72종'!J40*H832</x:f>
        <x:v>0</x:v>
      </x:c>
      <x:c r="AG832" s="15" t="n">
        <x:f>'기준스탯 72종'!K40*H832</x:f>
        <x:v>0</x:v>
      </x:c>
    </x:row>
    <x:row r="833" ht="28" customHeight="1">
      <x:c r="A833" s="2" t="n">
        <x:v>826</x:v>
      </x:c>
      <x:c r="B833" s="2" t="n">
        <x:v>34</x:v>
      </x:c>
      <x:c r="C833" s="2" t="str">
        <x:v>처녀자리</x:v>
      </x:c>
      <x:c r="D833" s="2" t="str">
        <x:v>정령사</x:v>
      </x:c>
      <x:c r="E833" s="2" t="n">
        <x:v>1</x:v>
      </x:c>
      <x:c r="F833" s="2" t="n">
        <x:v>1</x:v>
      </x:c>
      <x:c r="G833" s="14" t="n">
        <x:f>('레벨 계산식'!$E$4-E833)*'레벨 계산식'!$B$5</x:f>
        <x:v>0.5599999999999999</x:v>
      </x:c>
      <x:c r="H833" s="14" t="n">
        <x:f>('등급 계산식'!$E$4-F833)*'등급 계산식'!$B$5</x:f>
        <x:v>0.24000000000000005</x:v>
      </x:c>
      <x:c r="I833" s="14" t="n">
        <x:f>1-G833-H833</x:f>
        <x:v>0.2</x:v>
      </x:c>
      <x:c r="J833" s="2" t="n">
        <x:f>MAX(1,ROUND('기준스탯 72종'!D41-R833-Z833,0))</x:f>
        <x:v>1</x:v>
      </x:c>
      <x:c r="K833" s="2" t="n">
        <x:f>MAX(1,ROUND('기준스탯 72종'!E41-S833-AA833,0))</x:f>
        <x:v>2</x:v>
      </x:c>
      <x:c r="L833" s="2" t="n">
        <x:f>MAX(1,ROUND('기준스탯 72종'!F41-T833-AB833,0))</x:f>
        <x:v>2</x:v>
      </x:c>
      <x:c r="M833" s="2" t="n">
        <x:f>MAX(1,ROUND('기준스탯 72종'!G41-U833-AC833,0))</x:f>
        <x:v>1</x:v>
      </x:c>
      <x:c r="N833" s="2" t="n">
        <x:f>MAX(0,ROUND('기준스탯 72종'!H41-V833-AD833,0))</x:f>
        <x:v>0</x:v>
      </x:c>
      <x:c r="O833" s="2" t="n">
        <x:f>MAX(0,ROUND('기준스탯 72종'!I41-W833-AE833,0))</x:f>
        <x:v>1</x:v>
      </x:c>
      <x:c r="P833" s="2" t="n">
        <x:f>MAX(0,ROUND('기준스탯 72종'!J41-X833-AF833,0))</x:f>
        <x:v>1</x:v>
      </x:c>
      <x:c r="Q833" s="2" t="n">
        <x:f>MAX(0,ROUND('기준스탯 72종'!K41-Y833-AG833,0))</x:f>
        <x:v>1</x:v>
      </x:c>
      <x:c r="R833" s="15" t="n">
        <x:f>'기준스탯 72종'!D41*G833</x:f>
        <x:v>3.3599999999999994</x:v>
      </x:c>
      <x:c r="S833" s="15" t="n">
        <x:f>'기준스탯 72종'!E41*G833</x:f>
        <x:v>5.039999999999999</x:v>
      </x:c>
      <x:c r="T833" s="15" t="n">
        <x:f>'기준스탯 72종'!F41*G833</x:f>
        <x:v>5.039999999999999</x:v>
      </x:c>
      <x:c r="U833" s="15" t="n">
        <x:f>'기준스탯 72종'!G41*G833</x:f>
        <x:v>3.9199999999999995</x:v>
      </x:c>
      <x:c r="V833" s="15" t="n">
        <x:f>'기준스탯 72종'!H41*G833</x:f>
        <x:v>1.1199999999999999</x:v>
      </x:c>
      <x:c r="W833" s="15" t="n">
        <x:f>'기준스탯 72종'!I41*G833</x:f>
        <x:v>1.6799999999999997</x:v>
      </x:c>
      <x:c r="X833" s="15" t="n">
        <x:f>'기준스탯 72종'!J41*G833</x:f>
        <x:v>3.3599999999999994</x:v>
      </x:c>
      <x:c r="Y833" s="15" t="n">
        <x:f>'기준스탯 72종'!K41*G833</x:f>
        <x:v>2.8</x:v>
      </x:c>
      <x:c r="Z833" s="15" t="n">
        <x:f>'기준스탯 72종'!D41*H833</x:f>
        <x:v>1.4400000000000004</x:v>
      </x:c>
      <x:c r="AA833" s="15" t="n">
        <x:f>'기준스탯 72종'!E41*H833</x:f>
        <x:v>2.1600000000000006</x:v>
      </x:c>
      <x:c r="AB833" s="15" t="n">
        <x:f>'기준스탯 72종'!F41*H833</x:f>
        <x:v>2.1600000000000006</x:v>
      </x:c>
      <x:c r="AC833" s="15" t="n">
        <x:f>'기준스탯 72종'!G41*H833</x:f>
        <x:v>1.6800000000000004</x:v>
      </x:c>
      <x:c r="AD833" s="15" t="n">
        <x:f>'기준스탯 72종'!H41*H833</x:f>
        <x:v>0.4800000000000001</x:v>
      </x:c>
      <x:c r="AE833" s="15" t="n">
        <x:f>'기준스탯 72종'!I41*H833</x:f>
        <x:v>0.7200000000000002</x:v>
      </x:c>
      <x:c r="AF833" s="15" t="n">
        <x:f>'기준스탯 72종'!J41*H833</x:f>
        <x:v>1.4400000000000004</x:v>
      </x:c>
      <x:c r="AG833" s="15" t="n">
        <x:f>'기준스탯 72종'!K41*H833</x:f>
        <x:v>1.2000000000000002</x:v>
      </x:c>
    </x:row>
    <x:row r="834" ht="28" customHeight="1">
      <x:c r="A834" s="2" t="n">
        <x:v>827</x:v>
      </x:c>
      <x:c r="B834" s="2" t="n">
        <x:v>34</x:v>
      </x:c>
      <x:c r="C834" s="2" t="str">
        <x:v>처녀자리</x:v>
      </x:c>
      <x:c r="D834" s="2" t="str">
        <x:v>정령사</x:v>
      </x:c>
      <x:c r="E834" s="2" t="n">
        <x:v>2</x:v>
      </x:c>
      <x:c r="F834" s="2" t="n">
        <x:v>1</x:v>
      </x:c>
      <x:c r="G834" s="14" t="n">
        <x:f>('레벨 계산식'!$E$4-E834)*'레벨 계산식'!$B$5</x:f>
        <x:v>0.41999999999999993</x:v>
      </x:c>
      <x:c r="H834" s="14" t="n">
        <x:f>('등급 계산식'!$E$4-F834)*'등급 계산식'!$B$5</x:f>
        <x:v>0.24000000000000005</x:v>
      </x:c>
      <x:c r="I834" s="14" t="n">
        <x:f>1-G834-H834</x:f>
        <x:v>0.34</x:v>
      </x:c>
      <x:c r="J834" s="2" t="n">
        <x:f>MAX(1,ROUND('기준스탯 72종'!D41-R834-Z834,0))</x:f>
        <x:v>2</x:v>
      </x:c>
      <x:c r="K834" s="2" t="n">
        <x:f>MAX(1,ROUND('기준스탯 72종'!E41-S834-AA834,0))</x:f>
        <x:v>3</x:v>
      </x:c>
      <x:c r="L834" s="2" t="n">
        <x:f>MAX(1,ROUND('기준스탯 72종'!F41-T834-AB834,0))</x:f>
        <x:v>3</x:v>
      </x:c>
      <x:c r="M834" s="2" t="n">
        <x:f>MAX(1,ROUND('기준스탯 72종'!G41-U834-AC834,0))</x:f>
        <x:v>2</x:v>
      </x:c>
      <x:c r="N834" s="2" t="n">
        <x:f>MAX(0,ROUND('기준스탯 72종'!H41-V834-AD834,0))</x:f>
        <x:v>1</x:v>
      </x:c>
      <x:c r="O834" s="2" t="n">
        <x:f>MAX(0,ROUND('기준스탯 72종'!I41-W834-AE834,0))</x:f>
        <x:v>1</x:v>
      </x:c>
      <x:c r="P834" s="2" t="n">
        <x:f>MAX(0,ROUND('기준스탯 72종'!J41-X834-AF834,0))</x:f>
        <x:v>2</x:v>
      </x:c>
      <x:c r="Q834" s="2" t="n">
        <x:f>MAX(0,ROUND('기준스탯 72종'!K41-Y834-AG834,0))</x:f>
        <x:v>2</x:v>
      </x:c>
      <x:c r="R834" s="15" t="n">
        <x:f>'기준스탯 72종'!D41*G834</x:f>
        <x:v>2.5199999999999996</x:v>
      </x:c>
      <x:c r="S834" s="15" t="n">
        <x:f>'기준스탯 72종'!E41*G834</x:f>
        <x:v>3.7799999999999994</x:v>
      </x:c>
      <x:c r="T834" s="15" t="n">
        <x:f>'기준스탯 72종'!F41*G834</x:f>
        <x:v>3.7799999999999994</x:v>
      </x:c>
      <x:c r="U834" s="15" t="n">
        <x:f>'기준스탯 72종'!G41*G834</x:f>
        <x:v>2.9399999999999995</x:v>
      </x:c>
      <x:c r="V834" s="15" t="n">
        <x:f>'기준스탯 72종'!H41*G834</x:f>
        <x:v>0.8399999999999999</x:v>
      </x:c>
      <x:c r="W834" s="15" t="n">
        <x:f>'기준스탯 72종'!I41*G834</x:f>
        <x:v>1.2599999999999998</x:v>
      </x:c>
      <x:c r="X834" s="15" t="n">
        <x:f>'기준스탯 72종'!J41*G834</x:f>
        <x:v>2.5199999999999996</x:v>
      </x:c>
      <x:c r="Y834" s="15" t="n">
        <x:f>'기준스탯 72종'!K41*G834</x:f>
        <x:v>2.0999999999999996</x:v>
      </x:c>
      <x:c r="Z834" s="15" t="n">
        <x:f>'기준스탯 72종'!D41*H834</x:f>
        <x:v>1.4400000000000004</x:v>
      </x:c>
      <x:c r="AA834" s="15" t="n">
        <x:f>'기준스탯 72종'!E41*H834</x:f>
        <x:v>2.1600000000000006</x:v>
      </x:c>
      <x:c r="AB834" s="15" t="n">
        <x:f>'기준스탯 72종'!F41*H834</x:f>
        <x:v>2.1600000000000006</x:v>
      </x:c>
      <x:c r="AC834" s="15" t="n">
        <x:f>'기준스탯 72종'!G41*H834</x:f>
        <x:v>1.6800000000000004</x:v>
      </x:c>
      <x:c r="AD834" s="15" t="n">
        <x:f>'기준스탯 72종'!H41*H834</x:f>
        <x:v>0.4800000000000001</x:v>
      </x:c>
      <x:c r="AE834" s="15" t="n">
        <x:f>'기준스탯 72종'!I41*H834</x:f>
        <x:v>0.7200000000000002</x:v>
      </x:c>
      <x:c r="AF834" s="15" t="n">
        <x:f>'기준스탯 72종'!J41*H834</x:f>
        <x:v>1.4400000000000004</x:v>
      </x:c>
      <x:c r="AG834" s="15" t="n">
        <x:f>'기준스탯 72종'!K41*H834</x:f>
        <x:v>1.2000000000000002</x:v>
      </x:c>
    </x:row>
    <x:row r="835" ht="28" customHeight="1">
      <x:c r="A835" s="2" t="n">
        <x:v>828</x:v>
      </x:c>
      <x:c r="B835" s="2" t="n">
        <x:v>34</x:v>
      </x:c>
      <x:c r="C835" s="2" t="str">
        <x:v>처녀자리</x:v>
      </x:c>
      <x:c r="D835" s="2" t="str">
        <x:v>정령사</x:v>
      </x:c>
      <x:c r="E835" s="2" t="n">
        <x:v>3</x:v>
      </x:c>
      <x:c r="F835" s="2" t="n">
        <x:v>1</x:v>
      </x:c>
      <x:c r="G835" s="14" t="n">
        <x:f>('레벨 계산식'!$E$4-E835)*'레벨 계산식'!$B$5</x:f>
        <x:v>0.27999999999999997</x:v>
      </x:c>
      <x:c r="H835" s="14" t="n">
        <x:f>('등급 계산식'!$E$4-F835)*'등급 계산식'!$B$5</x:f>
        <x:v>0.24000000000000005</x:v>
      </x:c>
      <x:c r="I835" s="14" t="n">
        <x:f>1-G835-H835</x:f>
        <x:v>0.4799999999999999</x:v>
      </x:c>
      <x:c r="J835" s="2" t="n">
        <x:f>MAX(1,ROUND('기준스탯 72종'!D41-R835-Z835,0))</x:f>
        <x:v>3</x:v>
      </x:c>
      <x:c r="K835" s="2" t="n">
        <x:f>MAX(1,ROUND('기준스탯 72종'!E41-S835-AA835,0))</x:f>
        <x:v>4</x:v>
      </x:c>
      <x:c r="L835" s="2" t="n">
        <x:f>MAX(1,ROUND('기준스탯 72종'!F41-T835-AB835,0))</x:f>
        <x:v>4</x:v>
      </x:c>
      <x:c r="M835" s="2" t="n">
        <x:f>MAX(1,ROUND('기준스탯 72종'!G41-U835-AC835,0))</x:f>
        <x:v>3</x:v>
      </x:c>
      <x:c r="N835" s="2" t="n">
        <x:f>MAX(0,ROUND('기준스탯 72종'!H41-V835-AD835,0))</x:f>
        <x:v>1</x:v>
      </x:c>
      <x:c r="O835" s="2" t="n">
        <x:f>MAX(0,ROUND('기준스탯 72종'!I41-W835-AE835,0))</x:f>
        <x:v>1</x:v>
      </x:c>
      <x:c r="P835" s="2" t="n">
        <x:f>MAX(0,ROUND('기준스탯 72종'!J41-X835-AF835,0))</x:f>
        <x:v>3</x:v>
      </x:c>
      <x:c r="Q835" s="2" t="n">
        <x:f>MAX(0,ROUND('기준스탯 72종'!K41-Y835-AG835,0))</x:f>
        <x:v>2</x:v>
      </x:c>
      <x:c r="R835" s="15" t="n">
        <x:f>'기준스탯 72종'!D41*G835</x:f>
        <x:v>1.6799999999999997</x:v>
      </x:c>
      <x:c r="S835" s="15" t="n">
        <x:f>'기준스탯 72종'!E41*G835</x:f>
        <x:v>2.5199999999999996</x:v>
      </x:c>
      <x:c r="T835" s="15" t="n">
        <x:f>'기준스탯 72종'!F41*G835</x:f>
        <x:v>2.5199999999999996</x:v>
      </x:c>
      <x:c r="U835" s="15" t="n">
        <x:f>'기준스탯 72종'!G41*G835</x:f>
        <x:v>1.9599999999999997</x:v>
      </x:c>
      <x:c r="V835" s="15" t="n">
        <x:f>'기준스탯 72종'!H41*G835</x:f>
        <x:v>0.5599999999999999</x:v>
      </x:c>
      <x:c r="W835" s="15" t="n">
        <x:f>'기준스탯 72종'!I41*G835</x:f>
        <x:v>0.8399999999999999</x:v>
      </x:c>
      <x:c r="X835" s="15" t="n">
        <x:f>'기준스탯 72종'!J41*G835</x:f>
        <x:v>1.6799999999999997</x:v>
      </x:c>
      <x:c r="Y835" s="15" t="n">
        <x:f>'기준스탯 72종'!K41*G835</x:f>
        <x:v>1.4</x:v>
      </x:c>
      <x:c r="Z835" s="15" t="n">
        <x:f>'기준스탯 72종'!D41*H835</x:f>
        <x:v>1.4400000000000004</x:v>
      </x:c>
      <x:c r="AA835" s="15" t="n">
        <x:f>'기준스탯 72종'!E41*H835</x:f>
        <x:v>2.1600000000000006</x:v>
      </x:c>
      <x:c r="AB835" s="15" t="n">
        <x:f>'기준스탯 72종'!F41*H835</x:f>
        <x:v>2.1600000000000006</x:v>
      </x:c>
      <x:c r="AC835" s="15" t="n">
        <x:f>'기준스탯 72종'!G41*H835</x:f>
        <x:v>1.6800000000000004</x:v>
      </x:c>
      <x:c r="AD835" s="15" t="n">
        <x:f>'기준스탯 72종'!H41*H835</x:f>
        <x:v>0.4800000000000001</x:v>
      </x:c>
      <x:c r="AE835" s="15" t="n">
        <x:f>'기준스탯 72종'!I41*H835</x:f>
        <x:v>0.7200000000000002</x:v>
      </x:c>
      <x:c r="AF835" s="15" t="n">
        <x:f>'기준스탯 72종'!J41*H835</x:f>
        <x:v>1.4400000000000004</x:v>
      </x:c>
      <x:c r="AG835" s="15" t="n">
        <x:f>'기준스탯 72종'!K41*H835</x:f>
        <x:v>1.2000000000000002</x:v>
      </x:c>
    </x:row>
    <x:row r="836" ht="28" customHeight="1">
      <x:c r="A836" s="2" t="n">
        <x:v>829</x:v>
      </x:c>
      <x:c r="B836" s="2" t="n">
        <x:v>34</x:v>
      </x:c>
      <x:c r="C836" s="2" t="str">
        <x:v>처녀자리</x:v>
      </x:c>
      <x:c r="D836" s="2" t="str">
        <x:v>정령사</x:v>
      </x:c>
      <x:c r="E836" s="2" t="n">
        <x:v>4</x:v>
      </x:c>
      <x:c r="F836" s="2" t="n">
        <x:v>1</x:v>
      </x:c>
      <x:c r="G836" s="14" t="n">
        <x:f>('레벨 계산식'!$E$4-E836)*'레벨 계산식'!$B$5</x:f>
        <x:v>0.13999999999999999</x:v>
      </x:c>
      <x:c r="H836" s="14" t="n">
        <x:f>('등급 계산식'!$E$4-F836)*'등급 계산식'!$B$5</x:f>
        <x:v>0.24000000000000005</x:v>
      </x:c>
      <x:c r="I836" s="14" t="n">
        <x:f>1-G836-H836</x:f>
        <x:v>0.6199999999999999</x:v>
      </x:c>
      <x:c r="J836" s="2" t="n">
        <x:f>MAX(1,ROUND('기준스탯 72종'!D41-R836-Z836,0))</x:f>
        <x:v>4</x:v>
      </x:c>
      <x:c r="K836" s="2" t="n">
        <x:f>MAX(1,ROUND('기준스탯 72종'!E41-S836-AA836,0))</x:f>
        <x:v>6</x:v>
      </x:c>
      <x:c r="L836" s="2" t="n">
        <x:f>MAX(1,ROUND('기준스탯 72종'!F41-T836-AB836,0))</x:f>
        <x:v>6</x:v>
      </x:c>
      <x:c r="M836" s="2" t="n">
        <x:f>MAX(1,ROUND('기준스탯 72종'!G41-U836-AC836,0))</x:f>
        <x:v>4</x:v>
      </x:c>
      <x:c r="N836" s="2" t="n">
        <x:f>MAX(0,ROUND('기준스탯 72종'!H41-V836-AD836,0))</x:f>
        <x:v>1</x:v>
      </x:c>
      <x:c r="O836" s="2" t="n">
        <x:f>MAX(0,ROUND('기준스탯 72종'!I41-W836-AE836,0))</x:f>
        <x:v>2</x:v>
      </x:c>
      <x:c r="P836" s="2" t="n">
        <x:f>MAX(0,ROUND('기준스탯 72종'!J41-X836-AF836,0))</x:f>
        <x:v>4</x:v>
      </x:c>
      <x:c r="Q836" s="2" t="n">
        <x:f>MAX(0,ROUND('기준스탯 72종'!K41-Y836-AG836,0))</x:f>
        <x:v>3</x:v>
      </x:c>
      <x:c r="R836" s="15" t="n">
        <x:f>'기준스탯 72종'!D41*G836</x:f>
        <x:v>0.8399999999999999</x:v>
      </x:c>
      <x:c r="S836" s="15" t="n">
        <x:f>'기준스탯 72종'!E41*G836</x:f>
        <x:v>1.2599999999999998</x:v>
      </x:c>
      <x:c r="T836" s="15" t="n">
        <x:f>'기준스탯 72종'!F41*G836</x:f>
        <x:v>1.2599999999999998</x:v>
      </x:c>
      <x:c r="U836" s="15" t="n">
        <x:f>'기준스탯 72종'!G41*G836</x:f>
        <x:v>0.9799999999999999</x:v>
      </x:c>
      <x:c r="V836" s="15" t="n">
        <x:f>'기준스탯 72종'!H41*G836</x:f>
        <x:v>0.27999999999999997</x:v>
      </x:c>
      <x:c r="W836" s="15" t="n">
        <x:f>'기준스탯 72종'!I41*G836</x:f>
        <x:v>0.41999999999999993</x:v>
      </x:c>
      <x:c r="X836" s="15" t="n">
        <x:f>'기준스탯 72종'!J41*G836</x:f>
        <x:v>0.8399999999999999</x:v>
      </x:c>
      <x:c r="Y836" s="15" t="n">
        <x:f>'기준스탯 72종'!K41*G836</x:f>
        <x:v>0.7</x:v>
      </x:c>
      <x:c r="Z836" s="15" t="n">
        <x:f>'기준스탯 72종'!D41*H836</x:f>
        <x:v>1.4400000000000004</x:v>
      </x:c>
      <x:c r="AA836" s="15" t="n">
        <x:f>'기준스탯 72종'!E41*H836</x:f>
        <x:v>2.1600000000000006</x:v>
      </x:c>
      <x:c r="AB836" s="15" t="n">
        <x:f>'기준스탯 72종'!F41*H836</x:f>
        <x:v>2.1600000000000006</x:v>
      </x:c>
      <x:c r="AC836" s="15" t="n">
        <x:f>'기준스탯 72종'!G41*H836</x:f>
        <x:v>1.6800000000000004</x:v>
      </x:c>
      <x:c r="AD836" s="15" t="n">
        <x:f>'기준스탯 72종'!H41*H836</x:f>
        <x:v>0.4800000000000001</x:v>
      </x:c>
      <x:c r="AE836" s="15" t="n">
        <x:f>'기준스탯 72종'!I41*H836</x:f>
        <x:v>0.7200000000000002</x:v>
      </x:c>
      <x:c r="AF836" s="15" t="n">
        <x:f>'기준스탯 72종'!J41*H836</x:f>
        <x:v>1.4400000000000004</x:v>
      </x:c>
      <x:c r="AG836" s="15" t="n">
        <x:f>'기준스탯 72종'!K41*H836</x:f>
        <x:v>1.2000000000000002</x:v>
      </x:c>
    </x:row>
    <x:row r="837" ht="28" customHeight="1">
      <x:c r="A837" s="2" t="n">
        <x:v>830</x:v>
      </x:c>
      <x:c r="B837" s="2" t="n">
        <x:v>34</x:v>
      </x:c>
      <x:c r="C837" s="2" t="str">
        <x:v>처녀자리</x:v>
      </x:c>
      <x:c r="D837" s="2" t="str">
        <x:v>정령사</x:v>
      </x:c>
      <x:c r="E837" s="2" t="n">
        <x:v>5</x:v>
      </x:c>
      <x:c r="F837" s="2" t="n">
        <x:v>1</x:v>
      </x:c>
      <x:c r="G837" s="14" t="n">
        <x:f>('레벨 계산식'!$E$4-E837)*'레벨 계산식'!$B$5</x:f>
        <x:v>0</x:v>
      </x:c>
      <x:c r="H837" s="14" t="n">
        <x:f>('등급 계산식'!$E$4-F837)*'등급 계산식'!$B$5</x:f>
        <x:v>0.24000000000000005</x:v>
      </x:c>
      <x:c r="I837" s="14" t="n">
        <x:f>1-G837-H837</x:f>
        <x:v>0.76</x:v>
      </x:c>
      <x:c r="J837" s="2" t="n">
        <x:f>MAX(1,ROUND('기준스탯 72종'!D41-R837-Z837,0))</x:f>
        <x:v>5</x:v>
      </x:c>
      <x:c r="K837" s="2" t="n">
        <x:f>MAX(1,ROUND('기준스탯 72종'!E41-S837-AA837,0))</x:f>
        <x:v>7</x:v>
      </x:c>
      <x:c r="L837" s="2" t="n">
        <x:f>MAX(1,ROUND('기준스탯 72종'!F41-T837-AB837,0))</x:f>
        <x:v>7</x:v>
      </x:c>
      <x:c r="M837" s="2" t="n">
        <x:f>MAX(1,ROUND('기준스탯 72종'!G41-U837-AC837,0))</x:f>
        <x:v>5</x:v>
      </x:c>
      <x:c r="N837" s="2" t="n">
        <x:f>MAX(0,ROUND('기준스탯 72종'!H41-V837-AD837,0))</x:f>
        <x:v>2</x:v>
      </x:c>
      <x:c r="O837" s="2" t="n">
        <x:f>MAX(0,ROUND('기준스탯 72종'!I41-W837-AE837,0))</x:f>
        <x:v>2</x:v>
      </x:c>
      <x:c r="P837" s="2" t="n">
        <x:f>MAX(0,ROUND('기준스탯 72종'!J41-X837-AF837,0))</x:f>
        <x:v>5</x:v>
      </x:c>
      <x:c r="Q837" s="2" t="n">
        <x:f>MAX(0,ROUND('기준스탯 72종'!K41-Y837-AG837,0))</x:f>
        <x:v>4</x:v>
      </x:c>
      <x:c r="R837" s="15" t="n">
        <x:f>'기준스탯 72종'!D41*G837</x:f>
        <x:v>0</x:v>
      </x:c>
      <x:c r="S837" s="15" t="n">
        <x:f>'기준스탯 72종'!E41*G837</x:f>
        <x:v>0</x:v>
      </x:c>
      <x:c r="T837" s="15" t="n">
        <x:f>'기준스탯 72종'!F41*G837</x:f>
        <x:v>0</x:v>
      </x:c>
      <x:c r="U837" s="15" t="n">
        <x:f>'기준스탯 72종'!G41*G837</x:f>
        <x:v>0</x:v>
      </x:c>
      <x:c r="V837" s="15" t="n">
        <x:f>'기준스탯 72종'!H41*G837</x:f>
        <x:v>0</x:v>
      </x:c>
      <x:c r="W837" s="15" t="n">
        <x:f>'기준스탯 72종'!I41*G837</x:f>
        <x:v>0</x:v>
      </x:c>
      <x:c r="X837" s="15" t="n">
        <x:f>'기준스탯 72종'!J41*G837</x:f>
        <x:v>0</x:v>
      </x:c>
      <x:c r="Y837" s="15" t="n">
        <x:f>'기준스탯 72종'!K41*G837</x:f>
        <x:v>0</x:v>
      </x:c>
      <x:c r="Z837" s="15" t="n">
        <x:f>'기준스탯 72종'!D41*H837</x:f>
        <x:v>1.4400000000000004</x:v>
      </x:c>
      <x:c r="AA837" s="15" t="n">
        <x:f>'기준스탯 72종'!E41*H837</x:f>
        <x:v>2.1600000000000006</x:v>
      </x:c>
      <x:c r="AB837" s="15" t="n">
        <x:f>'기준스탯 72종'!F41*H837</x:f>
        <x:v>2.1600000000000006</x:v>
      </x:c>
      <x:c r="AC837" s="15" t="n">
        <x:f>'기준스탯 72종'!G41*H837</x:f>
        <x:v>1.6800000000000004</x:v>
      </x:c>
      <x:c r="AD837" s="15" t="n">
        <x:f>'기준스탯 72종'!H41*H837</x:f>
        <x:v>0.4800000000000001</x:v>
      </x:c>
      <x:c r="AE837" s="15" t="n">
        <x:f>'기준스탯 72종'!I41*H837</x:f>
        <x:v>0.7200000000000002</x:v>
      </x:c>
      <x:c r="AF837" s="15" t="n">
        <x:f>'기준스탯 72종'!J41*H837</x:f>
        <x:v>1.4400000000000004</x:v>
      </x:c>
      <x:c r="AG837" s="15" t="n">
        <x:f>'기준스탯 72종'!K41*H837</x:f>
        <x:v>1.2000000000000002</x:v>
      </x:c>
    </x:row>
    <x:row r="838" ht="28" customHeight="1">
      <x:c r="A838" s="2" t="n">
        <x:v>831</x:v>
      </x:c>
      <x:c r="B838" s="2" t="n">
        <x:v>34</x:v>
      </x:c>
      <x:c r="C838" s="2" t="str">
        <x:v>처녀자리</x:v>
      </x:c>
      <x:c r="D838" s="2" t="str">
        <x:v>정령사</x:v>
      </x:c>
      <x:c r="E838" s="2" t="n">
        <x:v>1</x:v>
      </x:c>
      <x:c r="F838" s="2" t="n">
        <x:v>2</x:v>
      </x:c>
      <x:c r="G838" s="14" t="n">
        <x:f>('레벨 계산식'!$E$4-E838)*'레벨 계산식'!$B$5</x:f>
        <x:v>0.5599999999999999</x:v>
      </x:c>
      <x:c r="H838" s="14" t="n">
        <x:f>('등급 계산식'!$E$4-F838)*'등급 계산식'!$B$5</x:f>
        <x:v>0.18000000000000005</x:v>
      </x:c>
      <x:c r="I838" s="14" t="n">
        <x:f>1-G838-H838</x:f>
        <x:v>0.26</x:v>
      </x:c>
      <x:c r="J838" s="2" t="n">
        <x:f>MAX(1,ROUND('기준스탯 72종'!D41-R838-Z838,0))</x:f>
        <x:v>2</x:v>
      </x:c>
      <x:c r="K838" s="2" t="n">
        <x:f>MAX(1,ROUND('기준스탯 72종'!E41-S838-AA838,0))</x:f>
        <x:v>2</x:v>
      </x:c>
      <x:c r="L838" s="2" t="n">
        <x:f>MAX(1,ROUND('기준스탯 72종'!F41-T838-AB838,0))</x:f>
        <x:v>2</x:v>
      </x:c>
      <x:c r="M838" s="2" t="n">
        <x:f>MAX(1,ROUND('기준스탯 72종'!G41-U838-AC838,0))</x:f>
        <x:v>2</x:v>
      </x:c>
      <x:c r="N838" s="2" t="n">
        <x:f>MAX(0,ROUND('기준스탯 72종'!H41-V838-AD838,0))</x:f>
        <x:v>1</x:v>
      </x:c>
      <x:c r="O838" s="2" t="n">
        <x:f>MAX(0,ROUND('기준스탯 72종'!I41-W838-AE838,0))</x:f>
        <x:v>1</x:v>
      </x:c>
      <x:c r="P838" s="2" t="n">
        <x:f>MAX(0,ROUND('기준스탯 72종'!J41-X838-AF838,0))</x:f>
        <x:v>2</x:v>
      </x:c>
      <x:c r="Q838" s="2" t="n">
        <x:f>MAX(0,ROUND('기준스탯 72종'!K41-Y838-AG838,0))</x:f>
        <x:v>1</x:v>
      </x:c>
      <x:c r="R838" s="15" t="n">
        <x:f>'기준스탯 72종'!D41*G838</x:f>
        <x:v>3.3599999999999994</x:v>
      </x:c>
      <x:c r="S838" s="15" t="n">
        <x:f>'기준스탯 72종'!E41*G838</x:f>
        <x:v>5.039999999999999</x:v>
      </x:c>
      <x:c r="T838" s="15" t="n">
        <x:f>'기준스탯 72종'!F41*G838</x:f>
        <x:v>5.039999999999999</x:v>
      </x:c>
      <x:c r="U838" s="15" t="n">
        <x:f>'기준스탯 72종'!G41*G838</x:f>
        <x:v>3.9199999999999995</x:v>
      </x:c>
      <x:c r="V838" s="15" t="n">
        <x:f>'기준스탯 72종'!H41*G838</x:f>
        <x:v>1.1199999999999999</x:v>
      </x:c>
      <x:c r="W838" s="15" t="n">
        <x:f>'기준스탯 72종'!I41*G838</x:f>
        <x:v>1.6799999999999997</x:v>
      </x:c>
      <x:c r="X838" s="15" t="n">
        <x:f>'기준스탯 72종'!J41*G838</x:f>
        <x:v>3.3599999999999994</x:v>
      </x:c>
      <x:c r="Y838" s="15" t="n">
        <x:f>'기준스탯 72종'!K41*G838</x:f>
        <x:v>2.8</x:v>
      </x:c>
      <x:c r="Z838" s="15" t="n">
        <x:f>'기준스탯 72종'!D41*H838</x:f>
        <x:v>1.0800000000000003</x:v>
      </x:c>
      <x:c r="AA838" s="15" t="n">
        <x:f>'기준스탯 72종'!E41*H838</x:f>
        <x:v>1.6200000000000006</x:v>
      </x:c>
      <x:c r="AB838" s="15" t="n">
        <x:f>'기준스탯 72종'!F41*H838</x:f>
        <x:v>1.6200000000000006</x:v>
      </x:c>
      <x:c r="AC838" s="15" t="n">
        <x:f>'기준스탯 72종'!G41*H838</x:f>
        <x:v>1.2600000000000002</x:v>
      </x:c>
      <x:c r="AD838" s="15" t="n">
        <x:f>'기준스탯 72종'!H41*H838</x:f>
        <x:v>0.3600000000000001</x:v>
      </x:c>
      <x:c r="AE838" s="15" t="n">
        <x:f>'기준스탯 72종'!I41*H838</x:f>
        <x:v>0.5400000000000001</x:v>
      </x:c>
      <x:c r="AF838" s="15" t="n">
        <x:f>'기준스탯 72종'!J41*H838</x:f>
        <x:v>1.0800000000000003</x:v>
      </x:c>
      <x:c r="AG838" s="15" t="n">
        <x:f>'기준스탯 72종'!K41*H838</x:f>
        <x:v>0.9000000000000002</x:v>
      </x:c>
    </x:row>
    <x:row r="839" ht="28" customHeight="1">
      <x:c r="A839" s="2" t="n">
        <x:v>832</x:v>
      </x:c>
      <x:c r="B839" s="2" t="n">
        <x:v>34</x:v>
      </x:c>
      <x:c r="C839" s="2" t="str">
        <x:v>처녀자리</x:v>
      </x:c>
      <x:c r="D839" s="2" t="str">
        <x:v>정령사</x:v>
      </x:c>
      <x:c r="E839" s="2" t="n">
        <x:v>2</x:v>
      </x:c>
      <x:c r="F839" s="2" t="n">
        <x:v>2</x:v>
      </x:c>
      <x:c r="G839" s="14" t="n">
        <x:f>('레벨 계산식'!$E$4-E839)*'레벨 계산식'!$B$5</x:f>
        <x:v>0.41999999999999993</x:v>
      </x:c>
      <x:c r="H839" s="14" t="n">
        <x:f>('등급 계산식'!$E$4-F839)*'등급 계산식'!$B$5</x:f>
        <x:v>0.18000000000000005</x:v>
      </x:c>
      <x:c r="I839" s="14" t="n">
        <x:f>1-G839-H839</x:f>
        <x:v>0.4</x:v>
      </x:c>
      <x:c r="J839" s="2" t="n">
        <x:f>MAX(1,ROUND('기준스탯 72종'!D41-R839-Z839,0))</x:f>
        <x:v>2</x:v>
      </x:c>
      <x:c r="K839" s="2" t="n">
        <x:f>MAX(1,ROUND('기준스탯 72종'!E41-S839-AA839,0))</x:f>
        <x:v>4</x:v>
      </x:c>
      <x:c r="L839" s="2" t="n">
        <x:f>MAX(1,ROUND('기준스탯 72종'!F41-T839-AB839,0))</x:f>
        <x:v>4</x:v>
      </x:c>
      <x:c r="M839" s="2" t="n">
        <x:f>MAX(1,ROUND('기준스탯 72종'!G41-U839-AC839,0))</x:f>
        <x:v>3</x:v>
      </x:c>
      <x:c r="N839" s="2" t="n">
        <x:f>MAX(0,ROUND('기준스탯 72종'!H41-V839-AD839,0))</x:f>
        <x:v>1</x:v>
      </x:c>
      <x:c r="O839" s="2" t="n">
        <x:f>MAX(0,ROUND('기준스탯 72종'!I41-W839-AE839,0))</x:f>
        <x:v>1</x:v>
      </x:c>
      <x:c r="P839" s="2" t="n">
        <x:f>MAX(0,ROUND('기준스탯 72종'!J41-X839-AF839,0))</x:f>
        <x:v>2</x:v>
      </x:c>
      <x:c r="Q839" s="2" t="n">
        <x:f>MAX(0,ROUND('기준스탯 72종'!K41-Y839-AG839,0))</x:f>
        <x:v>2</x:v>
      </x:c>
      <x:c r="R839" s="15" t="n">
        <x:f>'기준스탯 72종'!D41*G839</x:f>
        <x:v>2.5199999999999996</x:v>
      </x:c>
      <x:c r="S839" s="15" t="n">
        <x:f>'기준스탯 72종'!E41*G839</x:f>
        <x:v>3.7799999999999994</x:v>
      </x:c>
      <x:c r="T839" s="15" t="n">
        <x:f>'기준스탯 72종'!F41*G839</x:f>
        <x:v>3.7799999999999994</x:v>
      </x:c>
      <x:c r="U839" s="15" t="n">
        <x:f>'기준스탯 72종'!G41*G839</x:f>
        <x:v>2.9399999999999995</x:v>
      </x:c>
      <x:c r="V839" s="15" t="n">
        <x:f>'기준스탯 72종'!H41*G839</x:f>
        <x:v>0.8399999999999999</x:v>
      </x:c>
      <x:c r="W839" s="15" t="n">
        <x:f>'기준스탯 72종'!I41*G839</x:f>
        <x:v>1.2599999999999998</x:v>
      </x:c>
      <x:c r="X839" s="15" t="n">
        <x:f>'기준스탯 72종'!J41*G839</x:f>
        <x:v>2.5199999999999996</x:v>
      </x:c>
      <x:c r="Y839" s="15" t="n">
        <x:f>'기준스탯 72종'!K41*G839</x:f>
        <x:v>2.0999999999999996</x:v>
      </x:c>
      <x:c r="Z839" s="15" t="n">
        <x:f>'기준스탯 72종'!D41*H839</x:f>
        <x:v>1.0800000000000003</x:v>
      </x:c>
      <x:c r="AA839" s="15" t="n">
        <x:f>'기준스탯 72종'!E41*H839</x:f>
        <x:v>1.6200000000000006</x:v>
      </x:c>
      <x:c r="AB839" s="15" t="n">
        <x:f>'기준스탯 72종'!F41*H839</x:f>
        <x:v>1.6200000000000006</x:v>
      </x:c>
      <x:c r="AC839" s="15" t="n">
        <x:f>'기준스탯 72종'!G41*H839</x:f>
        <x:v>1.2600000000000002</x:v>
      </x:c>
      <x:c r="AD839" s="15" t="n">
        <x:f>'기준스탯 72종'!H41*H839</x:f>
        <x:v>0.3600000000000001</x:v>
      </x:c>
      <x:c r="AE839" s="15" t="n">
        <x:f>'기준스탯 72종'!I41*H839</x:f>
        <x:v>0.5400000000000001</x:v>
      </x:c>
      <x:c r="AF839" s="15" t="n">
        <x:f>'기준스탯 72종'!J41*H839</x:f>
        <x:v>1.0800000000000003</x:v>
      </x:c>
      <x:c r="AG839" s="15" t="n">
        <x:f>'기준스탯 72종'!K41*H839</x:f>
        <x:v>0.9000000000000002</x:v>
      </x:c>
    </x:row>
    <x:row r="840" ht="28" customHeight="1">
      <x:c r="A840" s="2" t="n">
        <x:v>833</x:v>
      </x:c>
      <x:c r="B840" s="2" t="n">
        <x:v>34</x:v>
      </x:c>
      <x:c r="C840" s="2" t="str">
        <x:v>처녀자리</x:v>
      </x:c>
      <x:c r="D840" s="2" t="str">
        <x:v>정령사</x:v>
      </x:c>
      <x:c r="E840" s="2" t="n">
        <x:v>3</x:v>
      </x:c>
      <x:c r="F840" s="2" t="n">
        <x:v>2</x:v>
      </x:c>
      <x:c r="G840" s="14" t="n">
        <x:f>('레벨 계산식'!$E$4-E840)*'레벨 계산식'!$B$5</x:f>
        <x:v>0.27999999999999997</x:v>
      </x:c>
      <x:c r="H840" s="14" t="n">
        <x:f>('등급 계산식'!$E$4-F840)*'등급 계산식'!$B$5</x:f>
        <x:v>0.18000000000000005</x:v>
      </x:c>
      <x:c r="I840" s="14" t="n">
        <x:f>1-G840-H840</x:f>
        <x:v>0.5399999999999999</x:v>
      </x:c>
      <x:c r="J840" s="2" t="n">
        <x:f>MAX(1,ROUND('기준스탯 72종'!D41-R840-Z840,0))</x:f>
        <x:v>3</x:v>
      </x:c>
      <x:c r="K840" s="2" t="n">
        <x:f>MAX(1,ROUND('기준스탯 72종'!E41-S840-AA840,0))</x:f>
        <x:v>5</x:v>
      </x:c>
      <x:c r="L840" s="2" t="n">
        <x:f>MAX(1,ROUND('기준스탯 72종'!F41-T840-AB840,0))</x:f>
        <x:v>5</x:v>
      </x:c>
      <x:c r="M840" s="2" t="n">
        <x:f>MAX(1,ROUND('기준스탯 72종'!G41-U840-AC840,0))</x:f>
        <x:v>4</x:v>
      </x:c>
      <x:c r="N840" s="2" t="n">
        <x:f>MAX(0,ROUND('기준스탯 72종'!H41-V840-AD840,0))</x:f>
        <x:v>1</x:v>
      </x:c>
      <x:c r="O840" s="2" t="n">
        <x:f>MAX(0,ROUND('기준스탯 72종'!I41-W840-AE840,0))</x:f>
        <x:v>2</x:v>
      </x:c>
      <x:c r="P840" s="2" t="n">
        <x:f>MAX(0,ROUND('기준스탯 72종'!J41-X840-AF840,0))</x:f>
        <x:v>3</x:v>
      </x:c>
      <x:c r="Q840" s="2" t="n">
        <x:f>MAX(0,ROUND('기준스탯 72종'!K41-Y840-AG840,0))</x:f>
        <x:v>3</x:v>
      </x:c>
      <x:c r="R840" s="15" t="n">
        <x:f>'기준스탯 72종'!D41*G840</x:f>
        <x:v>1.6799999999999997</x:v>
      </x:c>
      <x:c r="S840" s="15" t="n">
        <x:f>'기준스탯 72종'!E41*G840</x:f>
        <x:v>2.5199999999999996</x:v>
      </x:c>
      <x:c r="T840" s="15" t="n">
        <x:f>'기준스탯 72종'!F41*G840</x:f>
        <x:v>2.5199999999999996</x:v>
      </x:c>
      <x:c r="U840" s="15" t="n">
        <x:f>'기준스탯 72종'!G41*G840</x:f>
        <x:v>1.9599999999999997</x:v>
      </x:c>
      <x:c r="V840" s="15" t="n">
        <x:f>'기준스탯 72종'!H41*G840</x:f>
        <x:v>0.5599999999999999</x:v>
      </x:c>
      <x:c r="W840" s="15" t="n">
        <x:f>'기준스탯 72종'!I41*G840</x:f>
        <x:v>0.8399999999999999</x:v>
      </x:c>
      <x:c r="X840" s="15" t="n">
        <x:f>'기준스탯 72종'!J41*G840</x:f>
        <x:v>1.6799999999999997</x:v>
      </x:c>
      <x:c r="Y840" s="15" t="n">
        <x:f>'기준스탯 72종'!K41*G840</x:f>
        <x:v>1.4</x:v>
      </x:c>
      <x:c r="Z840" s="15" t="n">
        <x:f>'기준스탯 72종'!D41*H840</x:f>
        <x:v>1.0800000000000003</x:v>
      </x:c>
      <x:c r="AA840" s="15" t="n">
        <x:f>'기준스탯 72종'!E41*H840</x:f>
        <x:v>1.6200000000000006</x:v>
      </x:c>
      <x:c r="AB840" s="15" t="n">
        <x:f>'기준스탯 72종'!F41*H840</x:f>
        <x:v>1.6200000000000006</x:v>
      </x:c>
      <x:c r="AC840" s="15" t="n">
        <x:f>'기준스탯 72종'!G41*H840</x:f>
        <x:v>1.2600000000000002</x:v>
      </x:c>
      <x:c r="AD840" s="15" t="n">
        <x:f>'기준스탯 72종'!H41*H840</x:f>
        <x:v>0.3600000000000001</x:v>
      </x:c>
      <x:c r="AE840" s="15" t="n">
        <x:f>'기준스탯 72종'!I41*H840</x:f>
        <x:v>0.5400000000000001</x:v>
      </x:c>
      <x:c r="AF840" s="15" t="n">
        <x:f>'기준스탯 72종'!J41*H840</x:f>
        <x:v>1.0800000000000003</x:v>
      </x:c>
      <x:c r="AG840" s="15" t="n">
        <x:f>'기준스탯 72종'!K41*H840</x:f>
        <x:v>0.9000000000000002</x:v>
      </x:c>
    </x:row>
    <x:row r="841" ht="28" customHeight="1">
      <x:c r="A841" s="2" t="n">
        <x:v>834</x:v>
      </x:c>
      <x:c r="B841" s="2" t="n">
        <x:v>34</x:v>
      </x:c>
      <x:c r="C841" s="2" t="str">
        <x:v>처녀자리</x:v>
      </x:c>
      <x:c r="D841" s="2" t="str">
        <x:v>정령사</x:v>
      </x:c>
      <x:c r="E841" s="2" t="n">
        <x:v>4</x:v>
      </x:c>
      <x:c r="F841" s="2" t="n">
        <x:v>2</x:v>
      </x:c>
      <x:c r="G841" s="14" t="n">
        <x:f>('레벨 계산식'!$E$4-E841)*'레벨 계산식'!$B$5</x:f>
        <x:v>0.13999999999999999</x:v>
      </x:c>
      <x:c r="H841" s="14" t="n">
        <x:f>('등급 계산식'!$E$4-F841)*'등급 계산식'!$B$5</x:f>
        <x:v>0.18000000000000005</x:v>
      </x:c>
      <x:c r="I841" s="14" t="n">
        <x:f>1-G841-H841</x:f>
        <x:v>0.6799999999999999</x:v>
      </x:c>
      <x:c r="J841" s="2" t="n">
        <x:f>MAX(1,ROUND('기준스탯 72종'!D41-R841-Z841,0))</x:f>
        <x:v>4</x:v>
      </x:c>
      <x:c r="K841" s="2" t="n">
        <x:f>MAX(1,ROUND('기준스탯 72종'!E41-S841-AA841,0))</x:f>
        <x:v>6</x:v>
      </x:c>
      <x:c r="L841" s="2" t="n">
        <x:f>MAX(1,ROUND('기준스탯 72종'!F41-T841-AB841,0))</x:f>
        <x:v>6</x:v>
      </x:c>
      <x:c r="M841" s="2" t="n">
        <x:f>MAX(1,ROUND('기준스탯 72종'!G41-U841-AC841,0))</x:f>
        <x:v>5</x:v>
      </x:c>
      <x:c r="N841" s="2" t="n">
        <x:f>MAX(0,ROUND('기준스탯 72종'!H41-V841-AD841,0))</x:f>
        <x:v>1</x:v>
      </x:c>
      <x:c r="O841" s="2" t="n">
        <x:f>MAX(0,ROUND('기준스탯 72종'!I41-W841-AE841,0))</x:f>
        <x:v>2</x:v>
      </x:c>
      <x:c r="P841" s="2" t="n">
        <x:f>MAX(0,ROUND('기준스탯 72종'!J41-X841-AF841,0))</x:f>
        <x:v>4</x:v>
      </x:c>
      <x:c r="Q841" s="2" t="n">
        <x:f>MAX(0,ROUND('기준스탯 72종'!K41-Y841-AG841,0))</x:f>
        <x:v>3</x:v>
      </x:c>
      <x:c r="R841" s="15" t="n">
        <x:f>'기준스탯 72종'!D41*G841</x:f>
        <x:v>0.8399999999999999</x:v>
      </x:c>
      <x:c r="S841" s="15" t="n">
        <x:f>'기준스탯 72종'!E41*G841</x:f>
        <x:v>1.2599999999999998</x:v>
      </x:c>
      <x:c r="T841" s="15" t="n">
        <x:f>'기준스탯 72종'!F41*G841</x:f>
        <x:v>1.2599999999999998</x:v>
      </x:c>
      <x:c r="U841" s="15" t="n">
        <x:f>'기준스탯 72종'!G41*G841</x:f>
        <x:v>0.9799999999999999</x:v>
      </x:c>
      <x:c r="V841" s="15" t="n">
        <x:f>'기준스탯 72종'!H41*G841</x:f>
        <x:v>0.27999999999999997</x:v>
      </x:c>
      <x:c r="W841" s="15" t="n">
        <x:f>'기준스탯 72종'!I41*G841</x:f>
        <x:v>0.41999999999999993</x:v>
      </x:c>
      <x:c r="X841" s="15" t="n">
        <x:f>'기준스탯 72종'!J41*G841</x:f>
        <x:v>0.8399999999999999</x:v>
      </x:c>
      <x:c r="Y841" s="15" t="n">
        <x:f>'기준스탯 72종'!K41*G841</x:f>
        <x:v>0.7</x:v>
      </x:c>
      <x:c r="Z841" s="15" t="n">
        <x:f>'기준스탯 72종'!D41*H841</x:f>
        <x:v>1.0800000000000003</x:v>
      </x:c>
      <x:c r="AA841" s="15" t="n">
        <x:f>'기준스탯 72종'!E41*H841</x:f>
        <x:v>1.6200000000000006</x:v>
      </x:c>
      <x:c r="AB841" s="15" t="n">
        <x:f>'기준스탯 72종'!F41*H841</x:f>
        <x:v>1.6200000000000006</x:v>
      </x:c>
      <x:c r="AC841" s="15" t="n">
        <x:f>'기준스탯 72종'!G41*H841</x:f>
        <x:v>1.2600000000000002</x:v>
      </x:c>
      <x:c r="AD841" s="15" t="n">
        <x:f>'기준스탯 72종'!H41*H841</x:f>
        <x:v>0.3600000000000001</x:v>
      </x:c>
      <x:c r="AE841" s="15" t="n">
        <x:f>'기준스탯 72종'!I41*H841</x:f>
        <x:v>0.5400000000000001</x:v>
      </x:c>
      <x:c r="AF841" s="15" t="n">
        <x:f>'기준스탯 72종'!J41*H841</x:f>
        <x:v>1.0800000000000003</x:v>
      </x:c>
      <x:c r="AG841" s="15" t="n">
        <x:f>'기준스탯 72종'!K41*H841</x:f>
        <x:v>0.9000000000000002</x:v>
      </x:c>
    </x:row>
    <x:row r="842" ht="28" customHeight="1">
      <x:c r="A842" s="2" t="n">
        <x:v>835</x:v>
      </x:c>
      <x:c r="B842" s="2" t="n">
        <x:v>34</x:v>
      </x:c>
      <x:c r="C842" s="2" t="str">
        <x:v>처녀자리</x:v>
      </x:c>
      <x:c r="D842" s="2" t="str">
        <x:v>정령사</x:v>
      </x:c>
      <x:c r="E842" s="2" t="n">
        <x:v>5</x:v>
      </x:c>
      <x:c r="F842" s="2" t="n">
        <x:v>2</x:v>
      </x:c>
      <x:c r="G842" s="14" t="n">
        <x:f>('레벨 계산식'!$E$4-E842)*'레벨 계산식'!$B$5</x:f>
        <x:v>0</x:v>
      </x:c>
      <x:c r="H842" s="14" t="n">
        <x:f>('등급 계산식'!$E$4-F842)*'등급 계산식'!$B$5</x:f>
        <x:v>0.18000000000000005</x:v>
      </x:c>
      <x:c r="I842" s="14" t="n">
        <x:f>1-G842-H842</x:f>
        <x:v>0.82</x:v>
      </x:c>
      <x:c r="J842" s="2" t="n">
        <x:f>MAX(1,ROUND('기준스탯 72종'!D41-R842-Z842,0))</x:f>
        <x:v>5</x:v>
      </x:c>
      <x:c r="K842" s="2" t="n">
        <x:f>MAX(1,ROUND('기준스탯 72종'!E41-S842-AA842,0))</x:f>
        <x:v>7</x:v>
      </x:c>
      <x:c r="L842" s="2" t="n">
        <x:f>MAX(1,ROUND('기준스탯 72종'!F41-T842-AB842,0))</x:f>
        <x:v>7</x:v>
      </x:c>
      <x:c r="M842" s="2" t="n">
        <x:f>MAX(1,ROUND('기준스탯 72종'!G41-U842-AC842,0))</x:f>
        <x:v>6</x:v>
      </x:c>
      <x:c r="N842" s="2" t="n">
        <x:f>MAX(0,ROUND('기준스탯 72종'!H41-V842-AD842,0))</x:f>
        <x:v>2</x:v>
      </x:c>
      <x:c r="O842" s="2" t="n">
        <x:f>MAX(0,ROUND('기준스탯 72종'!I41-W842-AE842,0))</x:f>
        <x:v>2</x:v>
      </x:c>
      <x:c r="P842" s="2" t="n">
        <x:f>MAX(0,ROUND('기준스탯 72종'!J41-X842-AF842,0))</x:f>
        <x:v>5</x:v>
      </x:c>
      <x:c r="Q842" s="2" t="n">
        <x:f>MAX(0,ROUND('기준스탯 72종'!K41-Y842-AG842,0))</x:f>
        <x:v>4</x:v>
      </x:c>
      <x:c r="R842" s="15" t="n">
        <x:f>'기준스탯 72종'!D41*G842</x:f>
        <x:v>0</x:v>
      </x:c>
      <x:c r="S842" s="15" t="n">
        <x:f>'기준스탯 72종'!E41*G842</x:f>
        <x:v>0</x:v>
      </x:c>
      <x:c r="T842" s="15" t="n">
        <x:f>'기준스탯 72종'!F41*G842</x:f>
        <x:v>0</x:v>
      </x:c>
      <x:c r="U842" s="15" t="n">
        <x:f>'기준스탯 72종'!G41*G842</x:f>
        <x:v>0</x:v>
      </x:c>
      <x:c r="V842" s="15" t="n">
        <x:f>'기준스탯 72종'!H41*G842</x:f>
        <x:v>0</x:v>
      </x:c>
      <x:c r="W842" s="15" t="n">
        <x:f>'기준스탯 72종'!I41*G842</x:f>
        <x:v>0</x:v>
      </x:c>
      <x:c r="X842" s="15" t="n">
        <x:f>'기준스탯 72종'!J41*G842</x:f>
        <x:v>0</x:v>
      </x:c>
      <x:c r="Y842" s="15" t="n">
        <x:f>'기준스탯 72종'!K41*G842</x:f>
        <x:v>0</x:v>
      </x:c>
      <x:c r="Z842" s="15" t="n">
        <x:f>'기준스탯 72종'!D41*H842</x:f>
        <x:v>1.0800000000000003</x:v>
      </x:c>
      <x:c r="AA842" s="15" t="n">
        <x:f>'기준스탯 72종'!E41*H842</x:f>
        <x:v>1.6200000000000006</x:v>
      </x:c>
      <x:c r="AB842" s="15" t="n">
        <x:f>'기준스탯 72종'!F41*H842</x:f>
        <x:v>1.6200000000000006</x:v>
      </x:c>
      <x:c r="AC842" s="15" t="n">
        <x:f>'기준스탯 72종'!G41*H842</x:f>
        <x:v>1.2600000000000002</x:v>
      </x:c>
      <x:c r="AD842" s="15" t="n">
        <x:f>'기준스탯 72종'!H41*H842</x:f>
        <x:v>0.3600000000000001</x:v>
      </x:c>
      <x:c r="AE842" s="15" t="n">
        <x:f>'기준스탯 72종'!I41*H842</x:f>
        <x:v>0.5400000000000001</x:v>
      </x:c>
      <x:c r="AF842" s="15" t="n">
        <x:f>'기준스탯 72종'!J41*H842</x:f>
        <x:v>1.0800000000000003</x:v>
      </x:c>
      <x:c r="AG842" s="15" t="n">
        <x:f>'기준스탯 72종'!K41*H842</x:f>
        <x:v>0.9000000000000002</x:v>
      </x:c>
    </x:row>
    <x:row r="843" ht="28" customHeight="1">
      <x:c r="A843" s="2" t="n">
        <x:v>836</x:v>
      </x:c>
      <x:c r="B843" s="2" t="n">
        <x:v>34</x:v>
      </x:c>
      <x:c r="C843" s="2" t="str">
        <x:v>처녀자리</x:v>
      </x:c>
      <x:c r="D843" s="2" t="str">
        <x:v>정령사</x:v>
      </x:c>
      <x:c r="E843" s="2" t="n">
        <x:v>1</x:v>
      </x:c>
      <x:c r="F843" s="2" t="n">
        <x:v>3</x:v>
      </x:c>
      <x:c r="G843" s="14" t="n">
        <x:f>('레벨 계산식'!$E$4-E843)*'레벨 계산식'!$B$5</x:f>
        <x:v>0.5599999999999999</x:v>
      </x:c>
      <x:c r="H843" s="14" t="n">
        <x:f>('등급 계산식'!$E$4-F843)*'등급 계산식'!$B$5</x:f>
        <x:v>0.12000000000000002</x:v>
      </x:c>
      <x:c r="I843" s="14" t="n">
        <x:f>1-G843-H843</x:f>
        <x:v>0.32000000000000006</x:v>
      </x:c>
      <x:c r="J843" s="2" t="n">
        <x:f>MAX(1,ROUND('기준스탯 72종'!D41-R843-Z843,0))</x:f>
        <x:v>2</x:v>
      </x:c>
      <x:c r="K843" s="2" t="n">
        <x:f>MAX(1,ROUND('기준스탯 72종'!E41-S843-AA843,0))</x:f>
        <x:v>3</x:v>
      </x:c>
      <x:c r="L843" s="2" t="n">
        <x:f>MAX(1,ROUND('기준스탯 72종'!F41-T843-AB843,0))</x:f>
        <x:v>3</x:v>
      </x:c>
      <x:c r="M843" s="2" t="n">
        <x:f>MAX(1,ROUND('기준스탯 72종'!G41-U843-AC843,0))</x:f>
        <x:v>2</x:v>
      </x:c>
      <x:c r="N843" s="2" t="n">
        <x:f>MAX(0,ROUND('기준스탯 72종'!H41-V843-AD843,0))</x:f>
        <x:v>1</x:v>
      </x:c>
      <x:c r="O843" s="2" t="n">
        <x:f>MAX(0,ROUND('기준스탯 72종'!I41-W843-AE843,0))</x:f>
        <x:v>1</x:v>
      </x:c>
      <x:c r="P843" s="2" t="n">
        <x:f>MAX(0,ROUND('기준스탯 72종'!J41-X843-AF843,0))</x:f>
        <x:v>2</x:v>
      </x:c>
      <x:c r="Q843" s="2" t="n">
        <x:f>MAX(0,ROUND('기준스탯 72종'!K41-Y843-AG843,0))</x:f>
        <x:v>2</x:v>
      </x:c>
      <x:c r="R843" s="15" t="n">
        <x:f>'기준스탯 72종'!D41*G843</x:f>
        <x:v>3.3599999999999994</x:v>
      </x:c>
      <x:c r="S843" s="15" t="n">
        <x:f>'기준스탯 72종'!E41*G843</x:f>
        <x:v>5.039999999999999</x:v>
      </x:c>
      <x:c r="T843" s="15" t="n">
        <x:f>'기준스탯 72종'!F41*G843</x:f>
        <x:v>5.039999999999999</x:v>
      </x:c>
      <x:c r="U843" s="15" t="n">
        <x:f>'기준스탯 72종'!G41*G843</x:f>
        <x:v>3.9199999999999995</x:v>
      </x:c>
      <x:c r="V843" s="15" t="n">
        <x:f>'기준스탯 72종'!H41*G843</x:f>
        <x:v>1.1199999999999999</x:v>
      </x:c>
      <x:c r="W843" s="15" t="n">
        <x:f>'기준스탯 72종'!I41*G843</x:f>
        <x:v>1.6799999999999997</x:v>
      </x:c>
      <x:c r="X843" s="15" t="n">
        <x:f>'기준스탯 72종'!J41*G843</x:f>
        <x:v>3.3599999999999994</x:v>
      </x:c>
      <x:c r="Y843" s="15" t="n">
        <x:f>'기준스탯 72종'!K41*G843</x:f>
        <x:v>2.8</x:v>
      </x:c>
      <x:c r="Z843" s="15" t="n">
        <x:f>'기준스탯 72종'!D41*H843</x:f>
        <x:v>0.7200000000000002</x:v>
      </x:c>
      <x:c r="AA843" s="15" t="n">
        <x:f>'기준스탯 72종'!E41*H843</x:f>
        <x:v>1.0800000000000003</x:v>
      </x:c>
      <x:c r="AB843" s="15" t="n">
        <x:f>'기준스탯 72종'!F41*H843</x:f>
        <x:v>1.0800000000000003</x:v>
      </x:c>
      <x:c r="AC843" s="15" t="n">
        <x:f>'기준스탯 72종'!G41*H843</x:f>
        <x:v>0.8400000000000002</x:v>
      </x:c>
      <x:c r="AD843" s="15" t="n">
        <x:f>'기준스탯 72종'!H41*H843</x:f>
        <x:v>0.24000000000000005</x:v>
      </x:c>
      <x:c r="AE843" s="15" t="n">
        <x:f>'기준스탯 72종'!I41*H843</x:f>
        <x:v>0.3600000000000001</x:v>
      </x:c>
      <x:c r="AF843" s="15" t="n">
        <x:f>'기준스탯 72종'!J41*H843</x:f>
        <x:v>0.7200000000000002</x:v>
      </x:c>
      <x:c r="AG843" s="15" t="n">
        <x:f>'기준스탯 72종'!K41*H843</x:f>
        <x:v>0.6000000000000001</x:v>
      </x:c>
    </x:row>
    <x:row r="844" ht="28" customHeight="1">
      <x:c r="A844" s="2" t="n">
        <x:v>837</x:v>
      </x:c>
      <x:c r="B844" s="2" t="n">
        <x:v>34</x:v>
      </x:c>
      <x:c r="C844" s="2" t="str">
        <x:v>처녀자리</x:v>
      </x:c>
      <x:c r="D844" s="2" t="str">
        <x:v>정령사</x:v>
      </x:c>
      <x:c r="E844" s="2" t="n">
        <x:v>2</x:v>
      </x:c>
      <x:c r="F844" s="2" t="n">
        <x:v>3</x:v>
      </x:c>
      <x:c r="G844" s="14" t="n">
        <x:f>('레벨 계산식'!$E$4-E844)*'레벨 계산식'!$B$5</x:f>
        <x:v>0.41999999999999993</x:v>
      </x:c>
      <x:c r="H844" s="14" t="n">
        <x:f>('등급 계산식'!$E$4-F844)*'등급 계산식'!$B$5</x:f>
        <x:v>0.12000000000000002</x:v>
      </x:c>
      <x:c r="I844" s="14" t="n">
        <x:f>1-G844-H844</x:f>
        <x:v>0.4600000000000001</x:v>
      </x:c>
      <x:c r="J844" s="2" t="n">
        <x:f>MAX(1,ROUND('기준스탯 72종'!D41-R844-Z844,0))</x:f>
        <x:v>3</x:v>
      </x:c>
      <x:c r="K844" s="2" t="n">
        <x:f>MAX(1,ROUND('기준스탯 72종'!E41-S844-AA844,0))</x:f>
        <x:v>4</x:v>
      </x:c>
      <x:c r="L844" s="2" t="n">
        <x:f>MAX(1,ROUND('기준스탯 72종'!F41-T844-AB844,0))</x:f>
        <x:v>4</x:v>
      </x:c>
      <x:c r="M844" s="2" t="n">
        <x:f>MAX(1,ROUND('기준스탯 72종'!G41-U844-AC844,0))</x:f>
        <x:v>3</x:v>
      </x:c>
      <x:c r="N844" s="2" t="n">
        <x:f>MAX(0,ROUND('기준스탯 72종'!H41-V844-AD844,0))</x:f>
        <x:v>1</x:v>
      </x:c>
      <x:c r="O844" s="2" t="n">
        <x:f>MAX(0,ROUND('기준스탯 72종'!I41-W844-AE844,0))</x:f>
        <x:v>1</x:v>
      </x:c>
      <x:c r="P844" s="2" t="n">
        <x:f>MAX(0,ROUND('기준스탯 72종'!J41-X844-AF844,0))</x:f>
        <x:v>3</x:v>
      </x:c>
      <x:c r="Q844" s="2" t="n">
        <x:f>MAX(0,ROUND('기준스탯 72종'!K41-Y844-AG844,0))</x:f>
        <x:v>2</x:v>
      </x:c>
      <x:c r="R844" s="15" t="n">
        <x:f>'기준스탯 72종'!D41*G844</x:f>
        <x:v>2.5199999999999996</x:v>
      </x:c>
      <x:c r="S844" s="15" t="n">
        <x:f>'기준스탯 72종'!E41*G844</x:f>
        <x:v>3.7799999999999994</x:v>
      </x:c>
      <x:c r="T844" s="15" t="n">
        <x:f>'기준스탯 72종'!F41*G844</x:f>
        <x:v>3.7799999999999994</x:v>
      </x:c>
      <x:c r="U844" s="15" t="n">
        <x:f>'기준스탯 72종'!G41*G844</x:f>
        <x:v>2.9399999999999995</x:v>
      </x:c>
      <x:c r="V844" s="15" t="n">
        <x:f>'기준스탯 72종'!H41*G844</x:f>
        <x:v>0.8399999999999999</x:v>
      </x:c>
      <x:c r="W844" s="15" t="n">
        <x:f>'기준스탯 72종'!I41*G844</x:f>
        <x:v>1.2599999999999998</x:v>
      </x:c>
      <x:c r="X844" s="15" t="n">
        <x:f>'기준스탯 72종'!J41*G844</x:f>
        <x:v>2.5199999999999996</x:v>
      </x:c>
      <x:c r="Y844" s="15" t="n">
        <x:f>'기준스탯 72종'!K41*G844</x:f>
        <x:v>2.0999999999999996</x:v>
      </x:c>
      <x:c r="Z844" s="15" t="n">
        <x:f>'기준스탯 72종'!D41*H844</x:f>
        <x:v>0.7200000000000002</x:v>
      </x:c>
      <x:c r="AA844" s="15" t="n">
        <x:f>'기준스탯 72종'!E41*H844</x:f>
        <x:v>1.0800000000000003</x:v>
      </x:c>
      <x:c r="AB844" s="15" t="n">
        <x:f>'기준스탯 72종'!F41*H844</x:f>
        <x:v>1.0800000000000003</x:v>
      </x:c>
      <x:c r="AC844" s="15" t="n">
        <x:f>'기준스탯 72종'!G41*H844</x:f>
        <x:v>0.8400000000000002</x:v>
      </x:c>
      <x:c r="AD844" s="15" t="n">
        <x:f>'기준스탯 72종'!H41*H844</x:f>
        <x:v>0.24000000000000005</x:v>
      </x:c>
      <x:c r="AE844" s="15" t="n">
        <x:f>'기준스탯 72종'!I41*H844</x:f>
        <x:v>0.3600000000000001</x:v>
      </x:c>
      <x:c r="AF844" s="15" t="n">
        <x:f>'기준스탯 72종'!J41*H844</x:f>
        <x:v>0.7200000000000002</x:v>
      </x:c>
      <x:c r="AG844" s="15" t="n">
        <x:f>'기준스탯 72종'!K41*H844</x:f>
        <x:v>0.6000000000000001</x:v>
      </x:c>
    </x:row>
    <x:row r="845" ht="28" customHeight="1">
      <x:c r="A845" s="2" t="n">
        <x:v>838</x:v>
      </x:c>
      <x:c r="B845" s="2" t="n">
        <x:v>34</x:v>
      </x:c>
      <x:c r="C845" s="2" t="str">
        <x:v>처녀자리</x:v>
      </x:c>
      <x:c r="D845" s="2" t="str">
        <x:v>정령사</x:v>
      </x:c>
      <x:c r="E845" s="2" t="n">
        <x:v>3</x:v>
      </x:c>
      <x:c r="F845" s="2" t="n">
        <x:v>3</x:v>
      </x:c>
      <x:c r="G845" s="14" t="n">
        <x:f>('레벨 계산식'!$E$4-E845)*'레벨 계산식'!$B$5</x:f>
        <x:v>0.27999999999999997</x:v>
      </x:c>
      <x:c r="H845" s="14" t="n">
        <x:f>('등급 계산식'!$E$4-F845)*'등급 계산식'!$B$5</x:f>
        <x:v>0.12000000000000002</x:v>
      </x:c>
      <x:c r="I845" s="14" t="n">
        <x:f>1-G845-H845</x:f>
        <x:v>0.6</x:v>
      </x:c>
      <x:c r="J845" s="2" t="n">
        <x:f>MAX(1,ROUND('기준스탯 72종'!D41-R845-Z845,0))</x:f>
        <x:v>4</x:v>
      </x:c>
      <x:c r="K845" s="2" t="n">
        <x:f>MAX(1,ROUND('기준스탯 72종'!E41-S845-AA845,0))</x:f>
        <x:v>5</x:v>
      </x:c>
      <x:c r="L845" s="2" t="n">
        <x:f>MAX(1,ROUND('기준스탯 72종'!F41-T845-AB845,0))</x:f>
        <x:v>5</x:v>
      </x:c>
      <x:c r="M845" s="2" t="n">
        <x:f>MAX(1,ROUND('기준스탯 72종'!G41-U845-AC845,0))</x:f>
        <x:v>4</x:v>
      </x:c>
      <x:c r="N845" s="2" t="n">
        <x:f>MAX(0,ROUND('기준스탯 72종'!H41-V845-AD845,0))</x:f>
        <x:v>1</x:v>
      </x:c>
      <x:c r="O845" s="2" t="n">
        <x:f>MAX(0,ROUND('기준스탯 72종'!I41-W845-AE845,0))</x:f>
        <x:v>2</x:v>
      </x:c>
      <x:c r="P845" s="2" t="n">
        <x:f>MAX(0,ROUND('기준스탯 72종'!J41-X845-AF845,0))</x:f>
        <x:v>4</x:v>
      </x:c>
      <x:c r="Q845" s="2" t="n">
        <x:f>MAX(0,ROUND('기준스탯 72종'!K41-Y845-AG845,0))</x:f>
        <x:v>3</x:v>
      </x:c>
      <x:c r="R845" s="15" t="n">
        <x:f>'기준스탯 72종'!D41*G845</x:f>
        <x:v>1.6799999999999997</x:v>
      </x:c>
      <x:c r="S845" s="15" t="n">
        <x:f>'기준스탯 72종'!E41*G845</x:f>
        <x:v>2.5199999999999996</x:v>
      </x:c>
      <x:c r="T845" s="15" t="n">
        <x:f>'기준스탯 72종'!F41*G845</x:f>
        <x:v>2.5199999999999996</x:v>
      </x:c>
      <x:c r="U845" s="15" t="n">
        <x:f>'기준스탯 72종'!G41*G845</x:f>
        <x:v>1.9599999999999997</x:v>
      </x:c>
      <x:c r="V845" s="15" t="n">
        <x:f>'기준스탯 72종'!H41*G845</x:f>
        <x:v>0.5599999999999999</x:v>
      </x:c>
      <x:c r="W845" s="15" t="n">
        <x:f>'기준스탯 72종'!I41*G845</x:f>
        <x:v>0.8399999999999999</x:v>
      </x:c>
      <x:c r="X845" s="15" t="n">
        <x:f>'기준스탯 72종'!J41*G845</x:f>
        <x:v>1.6799999999999997</x:v>
      </x:c>
      <x:c r="Y845" s="15" t="n">
        <x:f>'기준스탯 72종'!K41*G845</x:f>
        <x:v>1.4</x:v>
      </x:c>
      <x:c r="Z845" s="15" t="n">
        <x:f>'기준스탯 72종'!D41*H845</x:f>
        <x:v>0.7200000000000002</x:v>
      </x:c>
      <x:c r="AA845" s="15" t="n">
        <x:f>'기준스탯 72종'!E41*H845</x:f>
        <x:v>1.0800000000000003</x:v>
      </x:c>
      <x:c r="AB845" s="15" t="n">
        <x:f>'기준스탯 72종'!F41*H845</x:f>
        <x:v>1.0800000000000003</x:v>
      </x:c>
      <x:c r="AC845" s="15" t="n">
        <x:f>'기준스탯 72종'!G41*H845</x:f>
        <x:v>0.8400000000000002</x:v>
      </x:c>
      <x:c r="AD845" s="15" t="n">
        <x:f>'기준스탯 72종'!H41*H845</x:f>
        <x:v>0.24000000000000005</x:v>
      </x:c>
      <x:c r="AE845" s="15" t="n">
        <x:f>'기준스탯 72종'!I41*H845</x:f>
        <x:v>0.3600000000000001</x:v>
      </x:c>
      <x:c r="AF845" s="15" t="n">
        <x:f>'기준스탯 72종'!J41*H845</x:f>
        <x:v>0.7200000000000002</x:v>
      </x:c>
      <x:c r="AG845" s="15" t="n">
        <x:f>'기준스탯 72종'!K41*H845</x:f>
        <x:v>0.6000000000000001</x:v>
      </x:c>
    </x:row>
    <x:row r="846" ht="28" customHeight="1">
      <x:c r="A846" s="2" t="n">
        <x:v>839</x:v>
      </x:c>
      <x:c r="B846" s="2" t="n">
        <x:v>34</x:v>
      </x:c>
      <x:c r="C846" s="2" t="str">
        <x:v>처녀자리</x:v>
      </x:c>
      <x:c r="D846" s="2" t="str">
        <x:v>정령사</x:v>
      </x:c>
      <x:c r="E846" s="2" t="n">
        <x:v>4</x:v>
      </x:c>
      <x:c r="F846" s="2" t="n">
        <x:v>3</x:v>
      </x:c>
      <x:c r="G846" s="14" t="n">
        <x:f>('레벨 계산식'!$E$4-E846)*'레벨 계산식'!$B$5</x:f>
        <x:v>0.13999999999999999</x:v>
      </x:c>
      <x:c r="H846" s="14" t="n">
        <x:f>('등급 계산식'!$E$4-F846)*'등급 계산식'!$B$5</x:f>
        <x:v>0.12000000000000002</x:v>
      </x:c>
      <x:c r="I846" s="14" t="n">
        <x:f>1-G846-H846</x:f>
        <x:v>0.74</x:v>
      </x:c>
      <x:c r="J846" s="2" t="n">
        <x:f>MAX(1,ROUND('기준스탯 72종'!D41-R846-Z846,0))</x:f>
        <x:v>4</x:v>
      </x:c>
      <x:c r="K846" s="2" t="n">
        <x:f>MAX(1,ROUND('기준스탯 72종'!E41-S846-AA846,0))</x:f>
        <x:v>7</x:v>
      </x:c>
      <x:c r="L846" s="2" t="n">
        <x:f>MAX(1,ROUND('기준스탯 72종'!F41-T846-AB846,0))</x:f>
        <x:v>7</x:v>
      </x:c>
      <x:c r="M846" s="2" t="n">
        <x:f>MAX(1,ROUND('기준스탯 72종'!G41-U846-AC846,0))</x:f>
        <x:v>5</x:v>
      </x:c>
      <x:c r="N846" s="2" t="n">
        <x:f>MAX(0,ROUND('기준스탯 72종'!H41-V846-AD846,0))</x:f>
        <x:v>1</x:v>
      </x:c>
      <x:c r="O846" s="2" t="n">
        <x:f>MAX(0,ROUND('기준스탯 72종'!I41-W846-AE846,0))</x:f>
        <x:v>2</x:v>
      </x:c>
      <x:c r="P846" s="2" t="n">
        <x:f>MAX(0,ROUND('기준스탯 72종'!J41-X846-AF846,0))</x:f>
        <x:v>4</x:v>
      </x:c>
      <x:c r="Q846" s="2" t="n">
        <x:f>MAX(0,ROUND('기준스탯 72종'!K41-Y846-AG846,0))</x:f>
        <x:v>4</x:v>
      </x:c>
      <x:c r="R846" s="15" t="n">
        <x:f>'기준스탯 72종'!D41*G846</x:f>
        <x:v>0.8399999999999999</x:v>
      </x:c>
      <x:c r="S846" s="15" t="n">
        <x:f>'기준스탯 72종'!E41*G846</x:f>
        <x:v>1.2599999999999998</x:v>
      </x:c>
      <x:c r="T846" s="15" t="n">
        <x:f>'기준스탯 72종'!F41*G846</x:f>
        <x:v>1.2599999999999998</x:v>
      </x:c>
      <x:c r="U846" s="15" t="n">
        <x:f>'기준스탯 72종'!G41*G846</x:f>
        <x:v>0.9799999999999999</x:v>
      </x:c>
      <x:c r="V846" s="15" t="n">
        <x:f>'기준스탯 72종'!H41*G846</x:f>
        <x:v>0.27999999999999997</x:v>
      </x:c>
      <x:c r="W846" s="15" t="n">
        <x:f>'기준스탯 72종'!I41*G846</x:f>
        <x:v>0.41999999999999993</x:v>
      </x:c>
      <x:c r="X846" s="15" t="n">
        <x:f>'기준스탯 72종'!J41*G846</x:f>
        <x:v>0.8399999999999999</x:v>
      </x:c>
      <x:c r="Y846" s="15" t="n">
        <x:f>'기준스탯 72종'!K41*G846</x:f>
        <x:v>0.7</x:v>
      </x:c>
      <x:c r="Z846" s="15" t="n">
        <x:f>'기준스탯 72종'!D41*H846</x:f>
        <x:v>0.7200000000000002</x:v>
      </x:c>
      <x:c r="AA846" s="15" t="n">
        <x:f>'기준스탯 72종'!E41*H846</x:f>
        <x:v>1.0800000000000003</x:v>
      </x:c>
      <x:c r="AB846" s="15" t="n">
        <x:f>'기준스탯 72종'!F41*H846</x:f>
        <x:v>1.0800000000000003</x:v>
      </x:c>
      <x:c r="AC846" s="15" t="n">
        <x:f>'기준스탯 72종'!G41*H846</x:f>
        <x:v>0.8400000000000002</x:v>
      </x:c>
      <x:c r="AD846" s="15" t="n">
        <x:f>'기준스탯 72종'!H41*H846</x:f>
        <x:v>0.24000000000000005</x:v>
      </x:c>
      <x:c r="AE846" s="15" t="n">
        <x:f>'기준스탯 72종'!I41*H846</x:f>
        <x:v>0.3600000000000001</x:v>
      </x:c>
      <x:c r="AF846" s="15" t="n">
        <x:f>'기준스탯 72종'!J41*H846</x:f>
        <x:v>0.7200000000000002</x:v>
      </x:c>
      <x:c r="AG846" s="15" t="n">
        <x:f>'기준스탯 72종'!K41*H846</x:f>
        <x:v>0.6000000000000001</x:v>
      </x:c>
    </x:row>
    <x:row r="847" ht="28" customHeight="1">
      <x:c r="A847" s="2" t="n">
        <x:v>840</x:v>
      </x:c>
      <x:c r="B847" s="2" t="n">
        <x:v>34</x:v>
      </x:c>
      <x:c r="C847" s="2" t="str">
        <x:v>처녀자리</x:v>
      </x:c>
      <x:c r="D847" s="2" t="str">
        <x:v>정령사</x:v>
      </x:c>
      <x:c r="E847" s="2" t="n">
        <x:v>5</x:v>
      </x:c>
      <x:c r="F847" s="2" t="n">
        <x:v>3</x:v>
      </x:c>
      <x:c r="G847" s="14" t="n">
        <x:f>('레벨 계산식'!$E$4-E847)*'레벨 계산식'!$B$5</x:f>
        <x:v>0</x:v>
      </x:c>
      <x:c r="H847" s="14" t="n">
        <x:f>('등급 계산식'!$E$4-F847)*'등급 계산식'!$B$5</x:f>
        <x:v>0.12000000000000002</x:v>
      </x:c>
      <x:c r="I847" s="14" t="n">
        <x:f>1-G847-H847</x:f>
        <x:v>0.88</x:v>
      </x:c>
      <x:c r="J847" s="2" t="n">
        <x:f>MAX(1,ROUND('기준스탯 72종'!D41-R847-Z847,0))</x:f>
        <x:v>5</x:v>
      </x:c>
      <x:c r="K847" s="2" t="n">
        <x:f>MAX(1,ROUND('기준스탯 72종'!E41-S847-AA847,0))</x:f>
        <x:v>8</x:v>
      </x:c>
      <x:c r="L847" s="2" t="n">
        <x:f>MAX(1,ROUND('기준스탯 72종'!F41-T847-AB847,0))</x:f>
        <x:v>8</x:v>
      </x:c>
      <x:c r="M847" s="2" t="n">
        <x:f>MAX(1,ROUND('기준스탯 72종'!G41-U847-AC847,0))</x:f>
        <x:v>6</x:v>
      </x:c>
      <x:c r="N847" s="2" t="n">
        <x:f>MAX(0,ROUND('기준스탯 72종'!H41-V847-AD847,0))</x:f>
        <x:v>2</x:v>
      </x:c>
      <x:c r="O847" s="2" t="n">
        <x:f>MAX(0,ROUND('기준스탯 72종'!I41-W847-AE847,0))</x:f>
        <x:v>3</x:v>
      </x:c>
      <x:c r="P847" s="2" t="n">
        <x:f>MAX(0,ROUND('기준스탯 72종'!J41-X847-AF847,0))</x:f>
        <x:v>5</x:v>
      </x:c>
      <x:c r="Q847" s="2" t="n">
        <x:f>MAX(0,ROUND('기준스탯 72종'!K41-Y847-AG847,0))</x:f>
        <x:v>4</x:v>
      </x:c>
      <x:c r="R847" s="15" t="n">
        <x:f>'기준스탯 72종'!D41*G847</x:f>
        <x:v>0</x:v>
      </x:c>
      <x:c r="S847" s="15" t="n">
        <x:f>'기준스탯 72종'!E41*G847</x:f>
        <x:v>0</x:v>
      </x:c>
      <x:c r="T847" s="15" t="n">
        <x:f>'기준스탯 72종'!F41*G847</x:f>
        <x:v>0</x:v>
      </x:c>
      <x:c r="U847" s="15" t="n">
        <x:f>'기준스탯 72종'!G41*G847</x:f>
        <x:v>0</x:v>
      </x:c>
      <x:c r="V847" s="15" t="n">
        <x:f>'기준스탯 72종'!H41*G847</x:f>
        <x:v>0</x:v>
      </x:c>
      <x:c r="W847" s="15" t="n">
        <x:f>'기준스탯 72종'!I41*G847</x:f>
        <x:v>0</x:v>
      </x:c>
      <x:c r="X847" s="15" t="n">
        <x:f>'기준스탯 72종'!J41*G847</x:f>
        <x:v>0</x:v>
      </x:c>
      <x:c r="Y847" s="15" t="n">
        <x:f>'기준스탯 72종'!K41*G847</x:f>
        <x:v>0</x:v>
      </x:c>
      <x:c r="Z847" s="15" t="n">
        <x:f>'기준스탯 72종'!D41*H847</x:f>
        <x:v>0.7200000000000002</x:v>
      </x:c>
      <x:c r="AA847" s="15" t="n">
        <x:f>'기준스탯 72종'!E41*H847</x:f>
        <x:v>1.0800000000000003</x:v>
      </x:c>
      <x:c r="AB847" s="15" t="n">
        <x:f>'기준스탯 72종'!F41*H847</x:f>
        <x:v>1.0800000000000003</x:v>
      </x:c>
      <x:c r="AC847" s="15" t="n">
        <x:f>'기준스탯 72종'!G41*H847</x:f>
        <x:v>0.8400000000000002</x:v>
      </x:c>
      <x:c r="AD847" s="15" t="n">
        <x:f>'기준스탯 72종'!H41*H847</x:f>
        <x:v>0.24000000000000005</x:v>
      </x:c>
      <x:c r="AE847" s="15" t="n">
        <x:f>'기준스탯 72종'!I41*H847</x:f>
        <x:v>0.3600000000000001</x:v>
      </x:c>
      <x:c r="AF847" s="15" t="n">
        <x:f>'기준스탯 72종'!J41*H847</x:f>
        <x:v>0.7200000000000002</x:v>
      </x:c>
      <x:c r="AG847" s="15" t="n">
        <x:f>'기준스탯 72종'!K41*H847</x:f>
        <x:v>0.6000000000000001</x:v>
      </x:c>
    </x:row>
    <x:row r="848" ht="28" customHeight="1">
      <x:c r="A848" s="2" t="n">
        <x:v>841</x:v>
      </x:c>
      <x:c r="B848" s="2" t="n">
        <x:v>34</x:v>
      </x:c>
      <x:c r="C848" s="2" t="str">
        <x:v>처녀자리</x:v>
      </x:c>
      <x:c r="D848" s="2" t="str">
        <x:v>정령사</x:v>
      </x:c>
      <x:c r="E848" s="2" t="n">
        <x:v>1</x:v>
      </x:c>
      <x:c r="F848" s="2" t="n">
        <x:v>4</x:v>
      </x:c>
      <x:c r="G848" s="14" t="n">
        <x:f>('레벨 계산식'!$E$4-E848)*'레벨 계산식'!$B$5</x:f>
        <x:v>0.5599999999999999</x:v>
      </x:c>
      <x:c r="H848" s="14" t="n">
        <x:f>('등급 계산식'!$E$4-F848)*'등급 계산식'!$B$5</x:f>
        <x:v>0.06000000000000001</x:v>
      </x:c>
      <x:c r="I848" s="14" t="n">
        <x:f>1-G848-H848</x:f>
        <x:v>0.38000000000000006</x:v>
      </x:c>
      <x:c r="J848" s="2" t="n">
        <x:f>MAX(1,ROUND('기준스탯 72종'!D41-R848-Z848,0))</x:f>
        <x:v>2</x:v>
      </x:c>
      <x:c r="K848" s="2" t="n">
        <x:f>MAX(1,ROUND('기준스탯 72종'!E41-S848-AA848,0))</x:f>
        <x:v>3</x:v>
      </x:c>
      <x:c r="L848" s="2" t="n">
        <x:f>MAX(1,ROUND('기준스탯 72종'!F41-T848-AB848,0))</x:f>
        <x:v>3</x:v>
      </x:c>
      <x:c r="M848" s="2" t="n">
        <x:f>MAX(1,ROUND('기준스탯 72종'!G41-U848-AC848,0))</x:f>
        <x:v>3</x:v>
      </x:c>
      <x:c r="N848" s="2" t="n">
        <x:f>MAX(0,ROUND('기준스탯 72종'!H41-V848-AD848,0))</x:f>
        <x:v>1</x:v>
      </x:c>
      <x:c r="O848" s="2" t="n">
        <x:f>MAX(0,ROUND('기준스탯 72종'!I41-W848-AE848,0))</x:f>
        <x:v>1</x:v>
      </x:c>
      <x:c r="P848" s="2" t="n">
        <x:f>MAX(0,ROUND('기준스탯 72종'!J41-X848-AF848,0))</x:f>
        <x:v>2</x:v>
      </x:c>
      <x:c r="Q848" s="2" t="n">
        <x:f>MAX(0,ROUND('기준스탯 72종'!K41-Y848-AG848,0))</x:f>
        <x:v>2</x:v>
      </x:c>
      <x:c r="R848" s="15" t="n">
        <x:f>'기준스탯 72종'!D41*G848</x:f>
        <x:v>3.3599999999999994</x:v>
      </x:c>
      <x:c r="S848" s="15" t="n">
        <x:f>'기준스탯 72종'!E41*G848</x:f>
        <x:v>5.039999999999999</x:v>
      </x:c>
      <x:c r="T848" s="15" t="n">
        <x:f>'기준스탯 72종'!F41*G848</x:f>
        <x:v>5.039999999999999</x:v>
      </x:c>
      <x:c r="U848" s="15" t="n">
        <x:f>'기준스탯 72종'!G41*G848</x:f>
        <x:v>3.9199999999999995</x:v>
      </x:c>
      <x:c r="V848" s="15" t="n">
        <x:f>'기준스탯 72종'!H41*G848</x:f>
        <x:v>1.1199999999999999</x:v>
      </x:c>
      <x:c r="W848" s="15" t="n">
        <x:f>'기준스탯 72종'!I41*G848</x:f>
        <x:v>1.6799999999999997</x:v>
      </x:c>
      <x:c r="X848" s="15" t="n">
        <x:f>'기준스탯 72종'!J41*G848</x:f>
        <x:v>3.3599999999999994</x:v>
      </x:c>
      <x:c r="Y848" s="15" t="n">
        <x:f>'기준스탯 72종'!K41*G848</x:f>
        <x:v>2.8</x:v>
      </x:c>
      <x:c r="Z848" s="15" t="n">
        <x:f>'기준스탯 72종'!D41*H848</x:f>
        <x:v>0.3600000000000001</x:v>
      </x:c>
      <x:c r="AA848" s="15" t="n">
        <x:f>'기준스탯 72종'!E41*H848</x:f>
        <x:v>0.5400000000000001</x:v>
      </x:c>
      <x:c r="AB848" s="15" t="n">
        <x:f>'기준스탯 72종'!F41*H848</x:f>
        <x:v>0.5400000000000001</x:v>
      </x:c>
      <x:c r="AC848" s="15" t="n">
        <x:f>'기준스탯 72종'!G41*H848</x:f>
        <x:v>0.4200000000000001</x:v>
      </x:c>
      <x:c r="AD848" s="15" t="n">
        <x:f>'기준스탯 72종'!H41*H848</x:f>
        <x:v>0.12000000000000002</x:v>
      </x:c>
      <x:c r="AE848" s="15" t="n">
        <x:f>'기준스탯 72종'!I41*H848</x:f>
        <x:v>0.18000000000000005</x:v>
      </x:c>
      <x:c r="AF848" s="15" t="n">
        <x:f>'기준스탯 72종'!J41*H848</x:f>
        <x:v>0.3600000000000001</x:v>
      </x:c>
      <x:c r="AG848" s="15" t="n">
        <x:f>'기준스탯 72종'!K41*H848</x:f>
        <x:v>0.30000000000000004</x:v>
      </x:c>
    </x:row>
    <x:row r="849" ht="28" customHeight="1">
      <x:c r="A849" s="2" t="n">
        <x:v>842</x:v>
      </x:c>
      <x:c r="B849" s="2" t="n">
        <x:v>34</x:v>
      </x:c>
      <x:c r="C849" s="2" t="str">
        <x:v>처녀자리</x:v>
      </x:c>
      <x:c r="D849" s="2" t="str">
        <x:v>정령사</x:v>
      </x:c>
      <x:c r="E849" s="2" t="n">
        <x:v>2</x:v>
      </x:c>
      <x:c r="F849" s="2" t="n">
        <x:v>4</x:v>
      </x:c>
      <x:c r="G849" s="14" t="n">
        <x:f>('레벨 계산식'!$E$4-E849)*'레벨 계산식'!$B$5</x:f>
        <x:v>0.41999999999999993</x:v>
      </x:c>
      <x:c r="H849" s="14" t="n">
        <x:f>('등급 계산식'!$E$4-F849)*'등급 계산식'!$B$5</x:f>
        <x:v>0.06000000000000001</x:v>
      </x:c>
      <x:c r="I849" s="14" t="n">
        <x:f>1-G849-H849</x:f>
        <x:v>0.52</x:v>
      </x:c>
      <x:c r="J849" s="2" t="n">
        <x:f>MAX(1,ROUND('기준스탯 72종'!D41-R849-Z849,0))</x:f>
        <x:v>3</x:v>
      </x:c>
      <x:c r="K849" s="2" t="n">
        <x:f>MAX(1,ROUND('기준스탯 72종'!E41-S849-AA849,0))</x:f>
        <x:v>5</x:v>
      </x:c>
      <x:c r="L849" s="2" t="n">
        <x:f>MAX(1,ROUND('기준스탯 72종'!F41-T849-AB849,0))</x:f>
        <x:v>5</x:v>
      </x:c>
      <x:c r="M849" s="2" t="n">
        <x:f>MAX(1,ROUND('기준스탯 72종'!G41-U849-AC849,0))</x:f>
        <x:v>4</x:v>
      </x:c>
      <x:c r="N849" s="2" t="n">
        <x:f>MAX(0,ROUND('기준스탯 72종'!H41-V849-AD849,0))</x:f>
        <x:v>1</x:v>
      </x:c>
      <x:c r="O849" s="2" t="n">
        <x:f>MAX(0,ROUND('기준스탯 72종'!I41-W849-AE849,0))</x:f>
        <x:v>2</x:v>
      </x:c>
      <x:c r="P849" s="2" t="n">
        <x:f>MAX(0,ROUND('기준스탯 72종'!J41-X849-AF849,0))</x:f>
        <x:v>3</x:v>
      </x:c>
      <x:c r="Q849" s="2" t="n">
        <x:f>MAX(0,ROUND('기준스탯 72종'!K41-Y849-AG849,0))</x:f>
        <x:v>3</x:v>
      </x:c>
      <x:c r="R849" s="15" t="n">
        <x:f>'기준스탯 72종'!D41*G849</x:f>
        <x:v>2.5199999999999996</x:v>
      </x:c>
      <x:c r="S849" s="15" t="n">
        <x:f>'기준스탯 72종'!E41*G849</x:f>
        <x:v>3.7799999999999994</x:v>
      </x:c>
      <x:c r="T849" s="15" t="n">
        <x:f>'기준스탯 72종'!F41*G849</x:f>
        <x:v>3.7799999999999994</x:v>
      </x:c>
      <x:c r="U849" s="15" t="n">
        <x:f>'기준스탯 72종'!G41*G849</x:f>
        <x:v>2.9399999999999995</x:v>
      </x:c>
      <x:c r="V849" s="15" t="n">
        <x:f>'기준스탯 72종'!H41*G849</x:f>
        <x:v>0.8399999999999999</x:v>
      </x:c>
      <x:c r="W849" s="15" t="n">
        <x:f>'기준스탯 72종'!I41*G849</x:f>
        <x:v>1.2599999999999998</x:v>
      </x:c>
      <x:c r="X849" s="15" t="n">
        <x:f>'기준스탯 72종'!J41*G849</x:f>
        <x:v>2.5199999999999996</x:v>
      </x:c>
      <x:c r="Y849" s="15" t="n">
        <x:f>'기준스탯 72종'!K41*G849</x:f>
        <x:v>2.0999999999999996</x:v>
      </x:c>
      <x:c r="Z849" s="15" t="n">
        <x:f>'기준스탯 72종'!D41*H849</x:f>
        <x:v>0.3600000000000001</x:v>
      </x:c>
      <x:c r="AA849" s="15" t="n">
        <x:f>'기준스탯 72종'!E41*H849</x:f>
        <x:v>0.5400000000000001</x:v>
      </x:c>
      <x:c r="AB849" s="15" t="n">
        <x:f>'기준스탯 72종'!F41*H849</x:f>
        <x:v>0.5400000000000001</x:v>
      </x:c>
      <x:c r="AC849" s="15" t="n">
        <x:f>'기준스탯 72종'!G41*H849</x:f>
        <x:v>0.4200000000000001</x:v>
      </x:c>
      <x:c r="AD849" s="15" t="n">
        <x:f>'기준스탯 72종'!H41*H849</x:f>
        <x:v>0.12000000000000002</x:v>
      </x:c>
      <x:c r="AE849" s="15" t="n">
        <x:f>'기준스탯 72종'!I41*H849</x:f>
        <x:v>0.18000000000000005</x:v>
      </x:c>
      <x:c r="AF849" s="15" t="n">
        <x:f>'기준스탯 72종'!J41*H849</x:f>
        <x:v>0.3600000000000001</x:v>
      </x:c>
      <x:c r="AG849" s="15" t="n">
        <x:f>'기준스탯 72종'!K41*H849</x:f>
        <x:v>0.30000000000000004</x:v>
      </x:c>
    </x:row>
    <x:row r="850" ht="28" customHeight="1">
      <x:c r="A850" s="2" t="n">
        <x:v>843</x:v>
      </x:c>
      <x:c r="B850" s="2" t="n">
        <x:v>34</x:v>
      </x:c>
      <x:c r="C850" s="2" t="str">
        <x:v>처녀자리</x:v>
      </x:c>
      <x:c r="D850" s="2" t="str">
        <x:v>정령사</x:v>
      </x:c>
      <x:c r="E850" s="2" t="n">
        <x:v>3</x:v>
      </x:c>
      <x:c r="F850" s="2" t="n">
        <x:v>4</x:v>
      </x:c>
      <x:c r="G850" s="14" t="n">
        <x:f>('레벨 계산식'!$E$4-E850)*'레벨 계산식'!$B$5</x:f>
        <x:v>0.27999999999999997</x:v>
      </x:c>
      <x:c r="H850" s="14" t="n">
        <x:f>('등급 계산식'!$E$4-F850)*'등급 계산식'!$B$5</x:f>
        <x:v>0.06000000000000001</x:v>
      </x:c>
      <x:c r="I850" s="14" t="n">
        <x:f>1-G850-H850</x:f>
        <x:v>0.6599999999999999</x:v>
      </x:c>
      <x:c r="J850" s="2" t="n">
        <x:f>MAX(1,ROUND('기준스탯 72종'!D41-R850-Z850,0))</x:f>
        <x:v>4</x:v>
      </x:c>
      <x:c r="K850" s="2" t="n">
        <x:f>MAX(1,ROUND('기준스탯 72종'!E41-S850-AA850,0))</x:f>
        <x:v>6</x:v>
      </x:c>
      <x:c r="L850" s="2" t="n">
        <x:f>MAX(1,ROUND('기준스탯 72종'!F41-T850-AB850,0))</x:f>
        <x:v>6</x:v>
      </x:c>
      <x:c r="M850" s="2" t="n">
        <x:f>MAX(1,ROUND('기준스탯 72종'!G41-U850-AC850,0))</x:f>
        <x:v>5</x:v>
      </x:c>
      <x:c r="N850" s="2" t="n">
        <x:f>MAX(0,ROUND('기준스탯 72종'!H41-V850-AD850,0))</x:f>
        <x:v>1</x:v>
      </x:c>
      <x:c r="O850" s="2" t="n">
        <x:f>MAX(0,ROUND('기준스탯 72종'!I41-W850-AE850,0))</x:f>
        <x:v>2</x:v>
      </x:c>
      <x:c r="P850" s="2" t="n">
        <x:f>MAX(0,ROUND('기준스탯 72종'!J41-X850-AF850,0))</x:f>
        <x:v>4</x:v>
      </x:c>
      <x:c r="Q850" s="2" t="n">
        <x:f>MAX(0,ROUND('기준스탯 72종'!K41-Y850-AG850,0))</x:f>
        <x:v>3</x:v>
      </x:c>
      <x:c r="R850" s="15" t="n">
        <x:f>'기준스탯 72종'!D41*G850</x:f>
        <x:v>1.6799999999999997</x:v>
      </x:c>
      <x:c r="S850" s="15" t="n">
        <x:f>'기준스탯 72종'!E41*G850</x:f>
        <x:v>2.5199999999999996</x:v>
      </x:c>
      <x:c r="T850" s="15" t="n">
        <x:f>'기준스탯 72종'!F41*G850</x:f>
        <x:v>2.5199999999999996</x:v>
      </x:c>
      <x:c r="U850" s="15" t="n">
        <x:f>'기준스탯 72종'!G41*G850</x:f>
        <x:v>1.9599999999999997</x:v>
      </x:c>
      <x:c r="V850" s="15" t="n">
        <x:f>'기준스탯 72종'!H41*G850</x:f>
        <x:v>0.5599999999999999</x:v>
      </x:c>
      <x:c r="W850" s="15" t="n">
        <x:f>'기준스탯 72종'!I41*G850</x:f>
        <x:v>0.8399999999999999</x:v>
      </x:c>
      <x:c r="X850" s="15" t="n">
        <x:f>'기준스탯 72종'!J41*G850</x:f>
        <x:v>1.6799999999999997</x:v>
      </x:c>
      <x:c r="Y850" s="15" t="n">
        <x:f>'기준스탯 72종'!K41*G850</x:f>
        <x:v>1.4</x:v>
      </x:c>
      <x:c r="Z850" s="15" t="n">
        <x:f>'기준스탯 72종'!D41*H850</x:f>
        <x:v>0.3600000000000001</x:v>
      </x:c>
      <x:c r="AA850" s="15" t="n">
        <x:f>'기준스탯 72종'!E41*H850</x:f>
        <x:v>0.5400000000000001</x:v>
      </x:c>
      <x:c r="AB850" s="15" t="n">
        <x:f>'기준스탯 72종'!F41*H850</x:f>
        <x:v>0.5400000000000001</x:v>
      </x:c>
      <x:c r="AC850" s="15" t="n">
        <x:f>'기준스탯 72종'!G41*H850</x:f>
        <x:v>0.4200000000000001</x:v>
      </x:c>
      <x:c r="AD850" s="15" t="n">
        <x:f>'기준스탯 72종'!H41*H850</x:f>
        <x:v>0.12000000000000002</x:v>
      </x:c>
      <x:c r="AE850" s="15" t="n">
        <x:f>'기준스탯 72종'!I41*H850</x:f>
        <x:v>0.18000000000000005</x:v>
      </x:c>
      <x:c r="AF850" s="15" t="n">
        <x:f>'기준스탯 72종'!J41*H850</x:f>
        <x:v>0.3600000000000001</x:v>
      </x:c>
      <x:c r="AG850" s="15" t="n">
        <x:f>'기준스탯 72종'!K41*H850</x:f>
        <x:v>0.30000000000000004</x:v>
      </x:c>
    </x:row>
    <x:row r="851" ht="28" customHeight="1">
      <x:c r="A851" s="2" t="n">
        <x:v>844</x:v>
      </x:c>
      <x:c r="B851" s="2" t="n">
        <x:v>34</x:v>
      </x:c>
      <x:c r="C851" s="2" t="str">
        <x:v>처녀자리</x:v>
      </x:c>
      <x:c r="D851" s="2" t="str">
        <x:v>정령사</x:v>
      </x:c>
      <x:c r="E851" s="2" t="n">
        <x:v>4</x:v>
      </x:c>
      <x:c r="F851" s="2" t="n">
        <x:v>4</x:v>
      </x:c>
      <x:c r="G851" s="14" t="n">
        <x:f>('레벨 계산식'!$E$4-E851)*'레벨 계산식'!$B$5</x:f>
        <x:v>0.13999999999999999</x:v>
      </x:c>
      <x:c r="H851" s="14" t="n">
        <x:f>('등급 계산식'!$E$4-F851)*'등급 계산식'!$B$5</x:f>
        <x:v>0.06000000000000001</x:v>
      </x:c>
      <x:c r="I851" s="14" t="n">
        <x:f>1-G851-H851</x:f>
        <x:v>0.7999999999999999</x:v>
      </x:c>
      <x:c r="J851" s="2" t="n">
        <x:f>MAX(1,ROUND('기준스탯 72종'!D41-R851-Z851,0))</x:f>
        <x:v>5</x:v>
      </x:c>
      <x:c r="K851" s="2" t="n">
        <x:f>MAX(1,ROUND('기준스탯 72종'!E41-S851-AA851,0))</x:f>
        <x:v>7</x:v>
      </x:c>
      <x:c r="L851" s="2" t="n">
        <x:f>MAX(1,ROUND('기준스탯 72종'!F41-T851-AB851,0))</x:f>
        <x:v>7</x:v>
      </x:c>
      <x:c r="M851" s="2" t="n">
        <x:f>MAX(1,ROUND('기준스탯 72종'!G41-U851-AC851,0))</x:f>
        <x:v>6</x:v>
      </x:c>
      <x:c r="N851" s="2" t="n">
        <x:f>MAX(0,ROUND('기준스탯 72종'!H41-V851-AD851,0))</x:f>
        <x:v>2</x:v>
      </x:c>
      <x:c r="O851" s="2" t="n">
        <x:f>MAX(0,ROUND('기준스탯 72종'!I41-W851-AE851,0))</x:f>
        <x:v>2</x:v>
      </x:c>
      <x:c r="P851" s="2" t="n">
        <x:f>MAX(0,ROUND('기준스탯 72종'!J41-X851-AF851,0))</x:f>
        <x:v>5</x:v>
      </x:c>
      <x:c r="Q851" s="2" t="n">
        <x:f>MAX(0,ROUND('기준스탯 72종'!K41-Y851-AG851,0))</x:f>
        <x:v>4</x:v>
      </x:c>
      <x:c r="R851" s="15" t="n">
        <x:f>'기준스탯 72종'!D41*G851</x:f>
        <x:v>0.8399999999999999</x:v>
      </x:c>
      <x:c r="S851" s="15" t="n">
        <x:f>'기준스탯 72종'!E41*G851</x:f>
        <x:v>1.2599999999999998</x:v>
      </x:c>
      <x:c r="T851" s="15" t="n">
        <x:f>'기준스탯 72종'!F41*G851</x:f>
        <x:v>1.2599999999999998</x:v>
      </x:c>
      <x:c r="U851" s="15" t="n">
        <x:f>'기준스탯 72종'!G41*G851</x:f>
        <x:v>0.9799999999999999</x:v>
      </x:c>
      <x:c r="V851" s="15" t="n">
        <x:f>'기준스탯 72종'!H41*G851</x:f>
        <x:v>0.27999999999999997</x:v>
      </x:c>
      <x:c r="W851" s="15" t="n">
        <x:f>'기준스탯 72종'!I41*G851</x:f>
        <x:v>0.41999999999999993</x:v>
      </x:c>
      <x:c r="X851" s="15" t="n">
        <x:f>'기준스탯 72종'!J41*G851</x:f>
        <x:v>0.8399999999999999</x:v>
      </x:c>
      <x:c r="Y851" s="15" t="n">
        <x:f>'기준스탯 72종'!K41*G851</x:f>
        <x:v>0.7</x:v>
      </x:c>
      <x:c r="Z851" s="15" t="n">
        <x:f>'기준스탯 72종'!D41*H851</x:f>
        <x:v>0.3600000000000001</x:v>
      </x:c>
      <x:c r="AA851" s="15" t="n">
        <x:f>'기준스탯 72종'!E41*H851</x:f>
        <x:v>0.5400000000000001</x:v>
      </x:c>
      <x:c r="AB851" s="15" t="n">
        <x:f>'기준스탯 72종'!F41*H851</x:f>
        <x:v>0.5400000000000001</x:v>
      </x:c>
      <x:c r="AC851" s="15" t="n">
        <x:f>'기준스탯 72종'!G41*H851</x:f>
        <x:v>0.4200000000000001</x:v>
      </x:c>
      <x:c r="AD851" s="15" t="n">
        <x:f>'기준스탯 72종'!H41*H851</x:f>
        <x:v>0.12000000000000002</x:v>
      </x:c>
      <x:c r="AE851" s="15" t="n">
        <x:f>'기준스탯 72종'!I41*H851</x:f>
        <x:v>0.18000000000000005</x:v>
      </x:c>
      <x:c r="AF851" s="15" t="n">
        <x:f>'기준스탯 72종'!J41*H851</x:f>
        <x:v>0.3600000000000001</x:v>
      </x:c>
      <x:c r="AG851" s="15" t="n">
        <x:f>'기준스탯 72종'!K41*H851</x:f>
        <x:v>0.30000000000000004</x:v>
      </x:c>
    </x:row>
    <x:row r="852" ht="28" customHeight="1">
      <x:c r="A852" s="2" t="n">
        <x:v>845</x:v>
      </x:c>
      <x:c r="B852" s="2" t="n">
        <x:v>34</x:v>
      </x:c>
      <x:c r="C852" s="2" t="str">
        <x:v>처녀자리</x:v>
      </x:c>
      <x:c r="D852" s="2" t="str">
        <x:v>정령사</x:v>
      </x:c>
      <x:c r="E852" s="2" t="n">
        <x:v>5</x:v>
      </x:c>
      <x:c r="F852" s="2" t="n">
        <x:v>4</x:v>
      </x:c>
      <x:c r="G852" s="14" t="n">
        <x:f>('레벨 계산식'!$E$4-E852)*'레벨 계산식'!$B$5</x:f>
        <x:v>0</x:v>
      </x:c>
      <x:c r="H852" s="14" t="n">
        <x:f>('등급 계산식'!$E$4-F852)*'등급 계산식'!$B$5</x:f>
        <x:v>0.06000000000000001</x:v>
      </x:c>
      <x:c r="I852" s="14" t="n">
        <x:f>1-G852-H852</x:f>
        <x:v>0.94</x:v>
      </x:c>
      <x:c r="J852" s="2" t="n">
        <x:f>MAX(1,ROUND('기준스탯 72종'!D41-R852-Z852,0))</x:f>
        <x:v>6</x:v>
      </x:c>
      <x:c r="K852" s="2" t="n">
        <x:f>MAX(1,ROUND('기준스탯 72종'!E41-S852-AA852,0))</x:f>
        <x:v>8</x:v>
      </x:c>
      <x:c r="L852" s="2" t="n">
        <x:f>MAX(1,ROUND('기준스탯 72종'!F41-T852-AB852,0))</x:f>
        <x:v>8</x:v>
      </x:c>
      <x:c r="M852" s="2" t="n">
        <x:f>MAX(1,ROUND('기준스탯 72종'!G41-U852-AC852,0))</x:f>
        <x:v>7</x:v>
      </x:c>
      <x:c r="N852" s="2" t="n">
        <x:f>MAX(0,ROUND('기준스탯 72종'!H41-V852-AD852,0))</x:f>
        <x:v>2</x:v>
      </x:c>
      <x:c r="O852" s="2" t="n">
        <x:f>MAX(0,ROUND('기준스탯 72종'!I41-W852-AE852,0))</x:f>
        <x:v>3</x:v>
      </x:c>
      <x:c r="P852" s="2" t="n">
        <x:f>MAX(0,ROUND('기준스탯 72종'!J41-X852-AF852,0))</x:f>
        <x:v>6</x:v>
      </x:c>
      <x:c r="Q852" s="2" t="n">
        <x:f>MAX(0,ROUND('기준스탯 72종'!K41-Y852-AG852,0))</x:f>
        <x:v>5</x:v>
      </x:c>
      <x:c r="R852" s="15" t="n">
        <x:f>'기준스탯 72종'!D41*G852</x:f>
        <x:v>0</x:v>
      </x:c>
      <x:c r="S852" s="15" t="n">
        <x:f>'기준스탯 72종'!E41*G852</x:f>
        <x:v>0</x:v>
      </x:c>
      <x:c r="T852" s="15" t="n">
        <x:f>'기준스탯 72종'!F41*G852</x:f>
        <x:v>0</x:v>
      </x:c>
      <x:c r="U852" s="15" t="n">
        <x:f>'기준스탯 72종'!G41*G852</x:f>
        <x:v>0</x:v>
      </x:c>
      <x:c r="V852" s="15" t="n">
        <x:f>'기준스탯 72종'!H41*G852</x:f>
        <x:v>0</x:v>
      </x:c>
      <x:c r="W852" s="15" t="n">
        <x:f>'기준스탯 72종'!I41*G852</x:f>
        <x:v>0</x:v>
      </x:c>
      <x:c r="X852" s="15" t="n">
        <x:f>'기준스탯 72종'!J41*G852</x:f>
        <x:v>0</x:v>
      </x:c>
      <x:c r="Y852" s="15" t="n">
        <x:f>'기준스탯 72종'!K41*G852</x:f>
        <x:v>0</x:v>
      </x:c>
      <x:c r="Z852" s="15" t="n">
        <x:f>'기준스탯 72종'!D41*H852</x:f>
        <x:v>0.3600000000000001</x:v>
      </x:c>
      <x:c r="AA852" s="15" t="n">
        <x:f>'기준스탯 72종'!E41*H852</x:f>
        <x:v>0.5400000000000001</x:v>
      </x:c>
      <x:c r="AB852" s="15" t="n">
        <x:f>'기준스탯 72종'!F41*H852</x:f>
        <x:v>0.5400000000000001</x:v>
      </x:c>
      <x:c r="AC852" s="15" t="n">
        <x:f>'기준스탯 72종'!G41*H852</x:f>
        <x:v>0.4200000000000001</x:v>
      </x:c>
      <x:c r="AD852" s="15" t="n">
        <x:f>'기준스탯 72종'!H41*H852</x:f>
        <x:v>0.12000000000000002</x:v>
      </x:c>
      <x:c r="AE852" s="15" t="n">
        <x:f>'기준스탯 72종'!I41*H852</x:f>
        <x:v>0.18000000000000005</x:v>
      </x:c>
      <x:c r="AF852" s="15" t="n">
        <x:f>'기준스탯 72종'!J41*H852</x:f>
        <x:v>0.3600000000000001</x:v>
      </x:c>
      <x:c r="AG852" s="15" t="n">
        <x:f>'기준스탯 72종'!K41*H852</x:f>
        <x:v>0.30000000000000004</x:v>
      </x:c>
    </x:row>
    <x:row r="853" ht="28" customHeight="1">
      <x:c r="A853" s="2" t="n">
        <x:v>846</x:v>
      </x:c>
      <x:c r="B853" s="2" t="n">
        <x:v>34</x:v>
      </x:c>
      <x:c r="C853" s="2" t="str">
        <x:v>처녀자리</x:v>
      </x:c>
      <x:c r="D853" s="2" t="str">
        <x:v>정령사</x:v>
      </x:c>
      <x:c r="E853" s="2" t="n">
        <x:v>1</x:v>
      </x:c>
      <x:c r="F853" s="2" t="n">
        <x:v>5</x:v>
      </x:c>
      <x:c r="G853" s="14" t="n">
        <x:f>('레벨 계산식'!$E$4-E853)*'레벨 계산식'!$B$5</x:f>
        <x:v>0.5599999999999999</x:v>
      </x:c>
      <x:c r="H853" s="14" t="n">
        <x:f>('등급 계산식'!$E$4-F853)*'등급 계산식'!$B$5</x:f>
        <x:v>0</x:v>
      </x:c>
      <x:c r="I853" s="14" t="n">
        <x:f>1-G853-H853</x:f>
        <x:v>0.44000000000000006</x:v>
      </x:c>
      <x:c r="J853" s="2" t="n">
        <x:f>MAX(1,ROUND('기준스탯 72종'!D41-R853-Z853,0))</x:f>
        <x:v>3</x:v>
      </x:c>
      <x:c r="K853" s="2" t="n">
        <x:f>MAX(1,ROUND('기준스탯 72종'!E41-S853-AA853,0))</x:f>
        <x:v>4</x:v>
      </x:c>
      <x:c r="L853" s="2" t="n">
        <x:f>MAX(1,ROUND('기준스탯 72종'!F41-T853-AB853,0))</x:f>
        <x:v>4</x:v>
      </x:c>
      <x:c r="M853" s="2" t="n">
        <x:f>MAX(1,ROUND('기준스탯 72종'!G41-U853-AC853,0))</x:f>
        <x:v>3</x:v>
      </x:c>
      <x:c r="N853" s="2" t="n">
        <x:f>MAX(0,ROUND('기준스탯 72종'!H41-V853-AD853,0))</x:f>
        <x:v>1</x:v>
      </x:c>
      <x:c r="O853" s="2" t="n">
        <x:f>MAX(0,ROUND('기준스탯 72종'!I41-W853-AE853,0))</x:f>
        <x:v>1</x:v>
      </x:c>
      <x:c r="P853" s="2" t="n">
        <x:f>MAX(0,ROUND('기준스탯 72종'!J41-X853-AF853,0))</x:f>
        <x:v>3</x:v>
      </x:c>
      <x:c r="Q853" s="2" t="n">
        <x:f>MAX(0,ROUND('기준스탯 72종'!K41-Y853-AG853,0))</x:f>
        <x:v>2</x:v>
      </x:c>
      <x:c r="R853" s="15" t="n">
        <x:f>'기준스탯 72종'!D41*G853</x:f>
        <x:v>3.3599999999999994</x:v>
      </x:c>
      <x:c r="S853" s="15" t="n">
        <x:f>'기준스탯 72종'!E41*G853</x:f>
        <x:v>5.039999999999999</x:v>
      </x:c>
      <x:c r="T853" s="15" t="n">
        <x:f>'기준스탯 72종'!F41*G853</x:f>
        <x:v>5.039999999999999</x:v>
      </x:c>
      <x:c r="U853" s="15" t="n">
        <x:f>'기준스탯 72종'!G41*G853</x:f>
        <x:v>3.9199999999999995</x:v>
      </x:c>
      <x:c r="V853" s="15" t="n">
        <x:f>'기준스탯 72종'!H41*G853</x:f>
        <x:v>1.1199999999999999</x:v>
      </x:c>
      <x:c r="W853" s="15" t="n">
        <x:f>'기준스탯 72종'!I41*G853</x:f>
        <x:v>1.6799999999999997</x:v>
      </x:c>
      <x:c r="X853" s="15" t="n">
        <x:f>'기준스탯 72종'!J41*G853</x:f>
        <x:v>3.3599999999999994</x:v>
      </x:c>
      <x:c r="Y853" s="15" t="n">
        <x:f>'기준스탯 72종'!K41*G853</x:f>
        <x:v>2.8</x:v>
      </x:c>
      <x:c r="Z853" s="15" t="n">
        <x:f>'기준스탯 72종'!D41*H853</x:f>
        <x:v>0</x:v>
      </x:c>
      <x:c r="AA853" s="15" t="n">
        <x:f>'기준스탯 72종'!E41*H853</x:f>
        <x:v>0</x:v>
      </x:c>
      <x:c r="AB853" s="15" t="n">
        <x:f>'기준스탯 72종'!F41*H853</x:f>
        <x:v>0</x:v>
      </x:c>
      <x:c r="AC853" s="15" t="n">
        <x:f>'기준스탯 72종'!G41*H853</x:f>
        <x:v>0</x:v>
      </x:c>
      <x:c r="AD853" s="15" t="n">
        <x:f>'기준스탯 72종'!H41*H853</x:f>
        <x:v>0</x:v>
      </x:c>
      <x:c r="AE853" s="15" t="n">
        <x:f>'기준스탯 72종'!I41*H853</x:f>
        <x:v>0</x:v>
      </x:c>
      <x:c r="AF853" s="15" t="n">
        <x:f>'기준스탯 72종'!J41*H853</x:f>
        <x:v>0</x:v>
      </x:c>
      <x:c r="AG853" s="15" t="n">
        <x:f>'기준스탯 72종'!K41*H853</x:f>
        <x:v>0</x:v>
      </x:c>
    </x:row>
    <x:row r="854" ht="28" customHeight="1">
      <x:c r="A854" s="2" t="n">
        <x:v>847</x:v>
      </x:c>
      <x:c r="B854" s="2" t="n">
        <x:v>34</x:v>
      </x:c>
      <x:c r="C854" s="2" t="str">
        <x:v>처녀자리</x:v>
      </x:c>
      <x:c r="D854" s="2" t="str">
        <x:v>정령사</x:v>
      </x:c>
      <x:c r="E854" s="2" t="n">
        <x:v>2</x:v>
      </x:c>
      <x:c r="F854" s="2" t="n">
        <x:v>5</x:v>
      </x:c>
      <x:c r="G854" s="14" t="n">
        <x:f>('레벨 계산식'!$E$4-E854)*'레벨 계산식'!$B$5</x:f>
        <x:v>0.41999999999999993</x:v>
      </x:c>
      <x:c r="H854" s="14" t="n">
        <x:f>('등급 계산식'!$E$4-F854)*'등급 계산식'!$B$5</x:f>
        <x:v>0</x:v>
      </x:c>
      <x:c r="I854" s="14" t="n">
        <x:f>1-G854-H854</x:f>
        <x:v>0.5800000000000001</x:v>
      </x:c>
      <x:c r="J854" s="2" t="n">
        <x:f>MAX(1,ROUND('기준스탯 72종'!D41-R854-Z854,0))</x:f>
        <x:v>3</x:v>
      </x:c>
      <x:c r="K854" s="2" t="n">
        <x:f>MAX(1,ROUND('기준스탯 72종'!E41-S854-AA854,0))</x:f>
        <x:v>5</x:v>
      </x:c>
      <x:c r="L854" s="2" t="n">
        <x:f>MAX(1,ROUND('기준스탯 72종'!F41-T854-AB854,0))</x:f>
        <x:v>5</x:v>
      </x:c>
      <x:c r="M854" s="2" t="n">
        <x:f>MAX(1,ROUND('기준스탯 72종'!G41-U854-AC854,0))</x:f>
        <x:v>4</x:v>
      </x:c>
      <x:c r="N854" s="2" t="n">
        <x:f>MAX(0,ROUND('기준스탯 72종'!H41-V854-AD854,0))</x:f>
        <x:v>1</x:v>
      </x:c>
      <x:c r="O854" s="2" t="n">
        <x:f>MAX(0,ROUND('기준스탯 72종'!I41-W854-AE854,0))</x:f>
        <x:v>2</x:v>
      </x:c>
      <x:c r="P854" s="2" t="n">
        <x:f>MAX(0,ROUND('기준스탯 72종'!J41-X854-AF854,0))</x:f>
        <x:v>3</x:v>
      </x:c>
      <x:c r="Q854" s="2" t="n">
        <x:f>MAX(0,ROUND('기준스탯 72종'!K41-Y854-AG854,0))</x:f>
        <x:v>3</x:v>
      </x:c>
      <x:c r="R854" s="15" t="n">
        <x:f>'기준스탯 72종'!D41*G854</x:f>
        <x:v>2.5199999999999996</x:v>
      </x:c>
      <x:c r="S854" s="15" t="n">
        <x:f>'기준스탯 72종'!E41*G854</x:f>
        <x:v>3.7799999999999994</x:v>
      </x:c>
      <x:c r="T854" s="15" t="n">
        <x:f>'기준스탯 72종'!F41*G854</x:f>
        <x:v>3.7799999999999994</x:v>
      </x:c>
      <x:c r="U854" s="15" t="n">
        <x:f>'기준스탯 72종'!G41*G854</x:f>
        <x:v>2.9399999999999995</x:v>
      </x:c>
      <x:c r="V854" s="15" t="n">
        <x:f>'기준스탯 72종'!H41*G854</x:f>
        <x:v>0.8399999999999999</x:v>
      </x:c>
      <x:c r="W854" s="15" t="n">
        <x:f>'기준스탯 72종'!I41*G854</x:f>
        <x:v>1.2599999999999998</x:v>
      </x:c>
      <x:c r="X854" s="15" t="n">
        <x:f>'기준스탯 72종'!J41*G854</x:f>
        <x:v>2.5199999999999996</x:v>
      </x:c>
      <x:c r="Y854" s="15" t="n">
        <x:f>'기준스탯 72종'!K41*G854</x:f>
        <x:v>2.0999999999999996</x:v>
      </x:c>
      <x:c r="Z854" s="15" t="n">
        <x:f>'기준스탯 72종'!D41*H854</x:f>
        <x:v>0</x:v>
      </x:c>
      <x:c r="AA854" s="15" t="n">
        <x:f>'기준스탯 72종'!E41*H854</x:f>
        <x:v>0</x:v>
      </x:c>
      <x:c r="AB854" s="15" t="n">
        <x:f>'기준스탯 72종'!F41*H854</x:f>
        <x:v>0</x:v>
      </x:c>
      <x:c r="AC854" s="15" t="n">
        <x:f>'기준스탯 72종'!G41*H854</x:f>
        <x:v>0</x:v>
      </x:c>
      <x:c r="AD854" s="15" t="n">
        <x:f>'기준스탯 72종'!H41*H854</x:f>
        <x:v>0</x:v>
      </x:c>
      <x:c r="AE854" s="15" t="n">
        <x:f>'기준스탯 72종'!I41*H854</x:f>
        <x:v>0</x:v>
      </x:c>
      <x:c r="AF854" s="15" t="n">
        <x:f>'기준스탯 72종'!J41*H854</x:f>
        <x:v>0</x:v>
      </x:c>
      <x:c r="AG854" s="15" t="n">
        <x:f>'기준스탯 72종'!K41*H854</x:f>
        <x:v>0</x:v>
      </x:c>
    </x:row>
    <x:row r="855" ht="28" customHeight="1">
      <x:c r="A855" s="2" t="n">
        <x:v>848</x:v>
      </x:c>
      <x:c r="B855" s="2" t="n">
        <x:v>34</x:v>
      </x:c>
      <x:c r="C855" s="2" t="str">
        <x:v>처녀자리</x:v>
      </x:c>
      <x:c r="D855" s="2" t="str">
        <x:v>정령사</x:v>
      </x:c>
      <x:c r="E855" s="2" t="n">
        <x:v>3</x:v>
      </x:c>
      <x:c r="F855" s="2" t="n">
        <x:v>5</x:v>
      </x:c>
      <x:c r="G855" s="14" t="n">
        <x:f>('레벨 계산식'!$E$4-E855)*'레벨 계산식'!$B$5</x:f>
        <x:v>0.27999999999999997</x:v>
      </x:c>
      <x:c r="H855" s="14" t="n">
        <x:f>('등급 계산식'!$E$4-F855)*'등급 계산식'!$B$5</x:f>
        <x:v>0</x:v>
      </x:c>
      <x:c r="I855" s="14" t="n">
        <x:f>1-G855-H855</x:f>
        <x:v>0.72</x:v>
      </x:c>
      <x:c r="J855" s="2" t="n">
        <x:f>MAX(1,ROUND('기준스탯 72종'!D41-R855-Z855,0))</x:f>
        <x:v>4</x:v>
      </x:c>
      <x:c r="K855" s="2" t="n">
        <x:f>MAX(1,ROUND('기준스탯 72종'!E41-S855-AA855,0))</x:f>
        <x:v>6</x:v>
      </x:c>
      <x:c r="L855" s="2" t="n">
        <x:f>MAX(1,ROUND('기준스탯 72종'!F41-T855-AB855,0))</x:f>
        <x:v>6</x:v>
      </x:c>
      <x:c r="M855" s="2" t="n">
        <x:f>MAX(1,ROUND('기준스탯 72종'!G41-U855-AC855,0))</x:f>
        <x:v>5</x:v>
      </x:c>
      <x:c r="N855" s="2" t="n">
        <x:f>MAX(0,ROUND('기준스탯 72종'!H41-V855-AD855,0))</x:f>
        <x:v>1</x:v>
      </x:c>
      <x:c r="O855" s="2" t="n">
        <x:f>MAX(0,ROUND('기준스탯 72종'!I41-W855-AE855,0))</x:f>
        <x:v>2</x:v>
      </x:c>
      <x:c r="P855" s="2" t="n">
        <x:f>MAX(0,ROUND('기준스탯 72종'!J41-X855-AF855,0))</x:f>
        <x:v>4</x:v>
      </x:c>
      <x:c r="Q855" s="2" t="n">
        <x:f>MAX(0,ROUND('기준스탯 72종'!K41-Y855-AG855,0))</x:f>
        <x:v>4</x:v>
      </x:c>
      <x:c r="R855" s="15" t="n">
        <x:f>'기준스탯 72종'!D41*G855</x:f>
        <x:v>1.6799999999999997</x:v>
      </x:c>
      <x:c r="S855" s="15" t="n">
        <x:f>'기준스탯 72종'!E41*G855</x:f>
        <x:v>2.5199999999999996</x:v>
      </x:c>
      <x:c r="T855" s="15" t="n">
        <x:f>'기준스탯 72종'!F41*G855</x:f>
        <x:v>2.5199999999999996</x:v>
      </x:c>
      <x:c r="U855" s="15" t="n">
        <x:f>'기준스탯 72종'!G41*G855</x:f>
        <x:v>1.9599999999999997</x:v>
      </x:c>
      <x:c r="V855" s="15" t="n">
        <x:f>'기준스탯 72종'!H41*G855</x:f>
        <x:v>0.5599999999999999</x:v>
      </x:c>
      <x:c r="W855" s="15" t="n">
        <x:f>'기준스탯 72종'!I41*G855</x:f>
        <x:v>0.8399999999999999</x:v>
      </x:c>
      <x:c r="X855" s="15" t="n">
        <x:f>'기준스탯 72종'!J41*G855</x:f>
        <x:v>1.6799999999999997</x:v>
      </x:c>
      <x:c r="Y855" s="15" t="n">
        <x:f>'기준스탯 72종'!K41*G855</x:f>
        <x:v>1.4</x:v>
      </x:c>
      <x:c r="Z855" s="15" t="n">
        <x:f>'기준스탯 72종'!D41*H855</x:f>
        <x:v>0</x:v>
      </x:c>
      <x:c r="AA855" s="15" t="n">
        <x:f>'기준스탯 72종'!E41*H855</x:f>
        <x:v>0</x:v>
      </x:c>
      <x:c r="AB855" s="15" t="n">
        <x:f>'기준스탯 72종'!F41*H855</x:f>
        <x:v>0</x:v>
      </x:c>
      <x:c r="AC855" s="15" t="n">
        <x:f>'기준스탯 72종'!G41*H855</x:f>
        <x:v>0</x:v>
      </x:c>
      <x:c r="AD855" s="15" t="n">
        <x:f>'기준스탯 72종'!H41*H855</x:f>
        <x:v>0</x:v>
      </x:c>
      <x:c r="AE855" s="15" t="n">
        <x:f>'기준스탯 72종'!I41*H855</x:f>
        <x:v>0</x:v>
      </x:c>
      <x:c r="AF855" s="15" t="n">
        <x:f>'기준스탯 72종'!J41*H855</x:f>
        <x:v>0</x:v>
      </x:c>
      <x:c r="AG855" s="15" t="n">
        <x:f>'기준스탯 72종'!K41*H855</x:f>
        <x:v>0</x:v>
      </x:c>
    </x:row>
    <x:row r="856" ht="28" customHeight="1">
      <x:c r="A856" s="2" t="n">
        <x:v>849</x:v>
      </x:c>
      <x:c r="B856" s="2" t="n">
        <x:v>34</x:v>
      </x:c>
      <x:c r="C856" s="2" t="str">
        <x:v>처녀자리</x:v>
      </x:c>
      <x:c r="D856" s="2" t="str">
        <x:v>정령사</x:v>
      </x:c>
      <x:c r="E856" s="2" t="n">
        <x:v>4</x:v>
      </x:c>
      <x:c r="F856" s="2" t="n">
        <x:v>5</x:v>
      </x:c>
      <x:c r="G856" s="14" t="n">
        <x:f>('레벨 계산식'!$E$4-E856)*'레벨 계산식'!$B$5</x:f>
        <x:v>0.13999999999999999</x:v>
      </x:c>
      <x:c r="H856" s="14" t="n">
        <x:f>('등급 계산식'!$E$4-F856)*'등급 계산식'!$B$5</x:f>
        <x:v>0</x:v>
      </x:c>
      <x:c r="I856" s="14" t="n">
        <x:f>1-G856-H856</x:f>
        <x:v>0.86</x:v>
      </x:c>
      <x:c r="J856" s="2" t="n">
        <x:f>MAX(1,ROUND('기준스탯 72종'!D41-R856-Z856,0))</x:f>
        <x:v>5</x:v>
      </x:c>
      <x:c r="K856" s="2" t="n">
        <x:f>MAX(1,ROUND('기준스탯 72종'!E41-S856-AA856,0))</x:f>
        <x:v>8</x:v>
      </x:c>
      <x:c r="L856" s="2" t="n">
        <x:f>MAX(1,ROUND('기준스탯 72종'!F41-T856-AB856,0))</x:f>
        <x:v>8</x:v>
      </x:c>
      <x:c r="M856" s="2" t="n">
        <x:f>MAX(1,ROUND('기준스탯 72종'!G41-U856-AC856,0))</x:f>
        <x:v>6</x:v>
      </x:c>
      <x:c r="N856" s="2" t="n">
        <x:f>MAX(0,ROUND('기준스탯 72종'!H41-V856-AD856,0))</x:f>
        <x:v>2</x:v>
      </x:c>
      <x:c r="O856" s="2" t="n">
        <x:f>MAX(0,ROUND('기준스탯 72종'!I41-W856-AE856,0))</x:f>
        <x:v>3</x:v>
      </x:c>
      <x:c r="P856" s="2" t="n">
        <x:f>MAX(0,ROUND('기준스탯 72종'!J41-X856-AF856,0))</x:f>
        <x:v>5</x:v>
      </x:c>
      <x:c r="Q856" s="2" t="n">
        <x:f>MAX(0,ROUND('기준스탯 72종'!K41-Y856-AG856,0))</x:f>
        <x:v>4</x:v>
      </x:c>
      <x:c r="R856" s="15" t="n">
        <x:f>'기준스탯 72종'!D41*G856</x:f>
        <x:v>0.8399999999999999</x:v>
      </x:c>
      <x:c r="S856" s="15" t="n">
        <x:f>'기준스탯 72종'!E41*G856</x:f>
        <x:v>1.2599999999999998</x:v>
      </x:c>
      <x:c r="T856" s="15" t="n">
        <x:f>'기준스탯 72종'!F41*G856</x:f>
        <x:v>1.2599999999999998</x:v>
      </x:c>
      <x:c r="U856" s="15" t="n">
        <x:f>'기준스탯 72종'!G41*G856</x:f>
        <x:v>0.9799999999999999</x:v>
      </x:c>
      <x:c r="V856" s="15" t="n">
        <x:f>'기준스탯 72종'!H41*G856</x:f>
        <x:v>0.27999999999999997</x:v>
      </x:c>
      <x:c r="W856" s="15" t="n">
        <x:f>'기준스탯 72종'!I41*G856</x:f>
        <x:v>0.41999999999999993</x:v>
      </x:c>
      <x:c r="X856" s="15" t="n">
        <x:f>'기준스탯 72종'!J41*G856</x:f>
        <x:v>0.8399999999999999</x:v>
      </x:c>
      <x:c r="Y856" s="15" t="n">
        <x:f>'기준스탯 72종'!K41*G856</x:f>
        <x:v>0.7</x:v>
      </x:c>
      <x:c r="Z856" s="15" t="n">
        <x:f>'기준스탯 72종'!D41*H856</x:f>
        <x:v>0</x:v>
      </x:c>
      <x:c r="AA856" s="15" t="n">
        <x:f>'기준스탯 72종'!E41*H856</x:f>
        <x:v>0</x:v>
      </x:c>
      <x:c r="AB856" s="15" t="n">
        <x:f>'기준스탯 72종'!F41*H856</x:f>
        <x:v>0</x:v>
      </x:c>
      <x:c r="AC856" s="15" t="n">
        <x:f>'기준스탯 72종'!G41*H856</x:f>
        <x:v>0</x:v>
      </x:c>
      <x:c r="AD856" s="15" t="n">
        <x:f>'기준스탯 72종'!H41*H856</x:f>
        <x:v>0</x:v>
      </x:c>
      <x:c r="AE856" s="15" t="n">
        <x:f>'기준스탯 72종'!I41*H856</x:f>
        <x:v>0</x:v>
      </x:c>
      <x:c r="AF856" s="15" t="n">
        <x:f>'기준스탯 72종'!J41*H856</x:f>
        <x:v>0</x:v>
      </x:c>
      <x:c r="AG856" s="15" t="n">
        <x:f>'기준스탯 72종'!K41*H856</x:f>
        <x:v>0</x:v>
      </x:c>
    </x:row>
    <x:row r="857" ht="28" customHeight="1">
      <x:c r="A857" s="2" t="n">
        <x:v>850</x:v>
      </x:c>
      <x:c r="B857" s="2" t="n">
        <x:v>34</x:v>
      </x:c>
      <x:c r="C857" s="2" t="str">
        <x:v>처녀자리</x:v>
      </x:c>
      <x:c r="D857" s="2" t="str">
        <x:v>정령사</x:v>
      </x:c>
      <x:c r="E857" s="2" t="n">
        <x:v>5</x:v>
      </x:c>
      <x:c r="F857" s="2" t="n">
        <x:v>5</x:v>
      </x:c>
      <x:c r="G857" s="14" t="n">
        <x:f>('레벨 계산식'!$E$4-E857)*'레벨 계산식'!$B$5</x:f>
        <x:v>0</x:v>
      </x:c>
      <x:c r="H857" s="14" t="n">
        <x:f>('등급 계산식'!$E$4-F857)*'등급 계산식'!$B$5</x:f>
        <x:v>0</x:v>
      </x:c>
      <x:c r="I857" s="14" t="n">
        <x:f>1-G857-H857</x:f>
        <x:v>1</x:v>
      </x:c>
      <x:c r="J857" s="2" t="n">
        <x:f>MAX(1,ROUND('기준스탯 72종'!D41-R857-Z857,0))</x:f>
        <x:v>6</x:v>
      </x:c>
      <x:c r="K857" s="2" t="n">
        <x:f>MAX(1,ROUND('기준스탯 72종'!E41-S857-AA857,0))</x:f>
        <x:v>9</x:v>
      </x:c>
      <x:c r="L857" s="2" t="n">
        <x:f>MAX(1,ROUND('기준스탯 72종'!F41-T857-AB857,0))</x:f>
        <x:v>9</x:v>
      </x:c>
      <x:c r="M857" s="2" t="n">
        <x:f>MAX(1,ROUND('기준스탯 72종'!G41-U857-AC857,0))</x:f>
        <x:v>7</x:v>
      </x:c>
      <x:c r="N857" s="2" t="n">
        <x:f>MAX(0,ROUND('기준스탯 72종'!H41-V857-AD857,0))</x:f>
        <x:v>2</x:v>
      </x:c>
      <x:c r="O857" s="2" t="n">
        <x:f>MAX(0,ROUND('기준스탯 72종'!I41-W857-AE857,0))</x:f>
        <x:v>3</x:v>
      </x:c>
      <x:c r="P857" s="2" t="n">
        <x:f>MAX(0,ROUND('기준스탯 72종'!J41-X857-AF857,0))</x:f>
        <x:v>6</x:v>
      </x:c>
      <x:c r="Q857" s="2" t="n">
        <x:f>MAX(0,ROUND('기준스탯 72종'!K41-Y857-AG857,0))</x:f>
        <x:v>5</x:v>
      </x:c>
      <x:c r="R857" s="15" t="n">
        <x:f>'기준스탯 72종'!D41*G857</x:f>
        <x:v>0</x:v>
      </x:c>
      <x:c r="S857" s="15" t="n">
        <x:f>'기준스탯 72종'!E41*G857</x:f>
        <x:v>0</x:v>
      </x:c>
      <x:c r="T857" s="15" t="n">
        <x:f>'기준스탯 72종'!F41*G857</x:f>
        <x:v>0</x:v>
      </x:c>
      <x:c r="U857" s="15" t="n">
        <x:f>'기준스탯 72종'!G41*G857</x:f>
        <x:v>0</x:v>
      </x:c>
      <x:c r="V857" s="15" t="n">
        <x:f>'기준스탯 72종'!H41*G857</x:f>
        <x:v>0</x:v>
      </x:c>
      <x:c r="W857" s="15" t="n">
        <x:f>'기준스탯 72종'!I41*G857</x:f>
        <x:v>0</x:v>
      </x:c>
      <x:c r="X857" s="15" t="n">
        <x:f>'기준스탯 72종'!J41*G857</x:f>
        <x:v>0</x:v>
      </x:c>
      <x:c r="Y857" s="15" t="n">
        <x:f>'기준스탯 72종'!K41*G857</x:f>
        <x:v>0</x:v>
      </x:c>
      <x:c r="Z857" s="15" t="n">
        <x:f>'기준스탯 72종'!D41*H857</x:f>
        <x:v>0</x:v>
      </x:c>
      <x:c r="AA857" s="15" t="n">
        <x:f>'기준스탯 72종'!E41*H857</x:f>
        <x:v>0</x:v>
      </x:c>
      <x:c r="AB857" s="15" t="n">
        <x:f>'기준스탯 72종'!F41*H857</x:f>
        <x:v>0</x:v>
      </x:c>
      <x:c r="AC857" s="15" t="n">
        <x:f>'기준스탯 72종'!G41*H857</x:f>
        <x:v>0</x:v>
      </x:c>
      <x:c r="AD857" s="15" t="n">
        <x:f>'기준스탯 72종'!H41*H857</x:f>
        <x:v>0</x:v>
      </x:c>
      <x:c r="AE857" s="15" t="n">
        <x:f>'기준스탯 72종'!I41*H857</x:f>
        <x:v>0</x:v>
      </x:c>
      <x:c r="AF857" s="15" t="n">
        <x:f>'기준스탯 72종'!J41*H857</x:f>
        <x:v>0</x:v>
      </x:c>
      <x:c r="AG857" s="15" t="n">
        <x:f>'기준스탯 72종'!K41*H857</x:f>
        <x:v>0</x:v>
      </x:c>
    </x:row>
    <x:row r="858" ht="28" customHeight="1">
      <x:c r="A858" s="2" t="n">
        <x:v>851</x:v>
      </x:c>
      <x:c r="B858" s="2" t="n">
        <x:v>35</x:v>
      </x:c>
      <x:c r="C858" s="2" t="str">
        <x:v>처녀자리</x:v>
      </x:c>
      <x:c r="D858" s="2" t="str">
        <x:v>도적</x:v>
      </x:c>
      <x:c r="E858" s="2" t="n">
        <x:v>1</x:v>
      </x:c>
      <x:c r="F858" s="2" t="n">
        <x:v>1</x:v>
      </x:c>
      <x:c r="G858" s="14" t="n">
        <x:f>('레벨 계산식'!$E$4-E858)*'레벨 계산식'!$B$5</x:f>
        <x:v>0.5599999999999999</x:v>
      </x:c>
      <x:c r="H858" s="14" t="n">
        <x:f>('등급 계산식'!$E$4-F858)*'등급 계산식'!$B$5</x:f>
        <x:v>0.24000000000000005</x:v>
      </x:c>
      <x:c r="I858" s="14" t="n">
        <x:f>1-G858-H858</x:f>
        <x:v>0.2</x:v>
      </x:c>
      <x:c r="J858" s="2" t="n">
        <x:f>MAX(1,ROUND('기준스탯 72종'!D42-R858-Z858,0))</x:f>
        <x:v>2</x:v>
      </x:c>
      <x:c r="K858" s="2" t="n">
        <x:f>MAX(1,ROUND('기준스탯 72종'!E42-S858-AA858,0))</x:f>
        <x:v>1</x:v>
      </x:c>
      <x:c r="L858" s="2" t="n">
        <x:f>MAX(1,ROUND('기준스탯 72종'!F42-T858-AB858,0))</x:f>
        <x:v>1</x:v>
      </x:c>
      <x:c r="M858" s="2" t="n">
        <x:f>MAX(1,ROUND('기준스탯 72종'!G42-U858-AC858,0))</x:f>
        <x:v>2</x:v>
      </x:c>
      <x:c r="N858" s="2" t="n">
        <x:f>MAX(0,ROUND('기준스탯 72종'!H42-V858-AD858,0))</x:f>
        <x:v>1</x:v>
      </x:c>
      <x:c r="O858" s="2" t="n">
        <x:f>MAX(0,ROUND('기준스탯 72종'!I42-W858-AE858,0))</x:f>
        <x:v>1</x:v>
      </x:c>
      <x:c r="P858" s="2" t="n">
        <x:f>MAX(0,ROUND('기준스탯 72종'!J42-X858-AF858,0))</x:f>
        <x:v>1</x:v>
      </x:c>
      <x:c r="Q858" s="2" t="n">
        <x:f>MAX(0,ROUND('기준스탯 72종'!K42-Y858-AG858,0))</x:f>
        <x:v>1</x:v>
      </x:c>
      <x:c r="R858" s="15" t="n">
        <x:f>'기준스탯 72종'!D42*G858</x:f>
        <x:v>4.4799999999999995</x:v>
      </x:c>
      <x:c r="S858" s="15" t="n">
        <x:f>'기준스탯 72종'!E42*G858</x:f>
        <x:v>3.9199999999999995</x:v>
      </x:c>
      <x:c r="T858" s="15" t="n">
        <x:f>'기준스탯 72종'!F42*G858</x:f>
        <x:v>3.9199999999999995</x:v>
      </x:c>
      <x:c r="U858" s="15" t="n">
        <x:f>'기준스탯 72종'!G42*G858</x:f>
        <x:v>4.4799999999999995</x:v>
      </x:c>
      <x:c r="V858" s="15" t="n">
        <x:f>'기준스탯 72종'!H42*G858</x:f>
        <x:v>2.2399999999999998</x:v>
      </x:c>
      <x:c r="W858" s="15" t="n">
        <x:f>'기준스탯 72종'!I42*G858</x:f>
        <x:v>2.8</x:v>
      </x:c>
      <x:c r="X858" s="15" t="n">
        <x:f>'기준스탯 72종'!J42*G858</x:f>
        <x:v>2.2399999999999998</x:v>
      </x:c>
      <x:c r="Y858" s="15" t="n">
        <x:f>'기준스탯 72종'!K42*G858</x:f>
        <x:v>1.6799999999999997</x:v>
      </x:c>
      <x:c r="Z858" s="15" t="n">
        <x:f>'기준스탯 72종'!D42*H858</x:f>
        <x:v>1.9200000000000004</x:v>
      </x:c>
      <x:c r="AA858" s="15" t="n">
        <x:f>'기준스탯 72종'!E42*H858</x:f>
        <x:v>1.6800000000000004</x:v>
      </x:c>
      <x:c r="AB858" s="15" t="n">
        <x:f>'기준스탯 72종'!F42*H858</x:f>
        <x:v>1.6800000000000004</x:v>
      </x:c>
      <x:c r="AC858" s="15" t="n">
        <x:f>'기준스탯 72종'!G42*H858</x:f>
        <x:v>1.9200000000000004</x:v>
      </x:c>
      <x:c r="AD858" s="15" t="n">
        <x:f>'기준스탯 72종'!H42*H858</x:f>
        <x:v>0.9600000000000002</x:v>
      </x:c>
      <x:c r="AE858" s="15" t="n">
        <x:f>'기준스탯 72종'!I42*H858</x:f>
        <x:v>1.2000000000000002</x:v>
      </x:c>
      <x:c r="AF858" s="15" t="n">
        <x:f>'기준스탯 72종'!J42*H858</x:f>
        <x:v>0.9600000000000002</x:v>
      </x:c>
      <x:c r="AG858" s="15" t="n">
        <x:f>'기준스탯 72종'!K42*H858</x:f>
        <x:v>0.7200000000000002</x:v>
      </x:c>
    </x:row>
    <x:row r="859" ht="28" customHeight="1">
      <x:c r="A859" s="2" t="n">
        <x:v>852</x:v>
      </x:c>
      <x:c r="B859" s="2" t="n">
        <x:v>35</x:v>
      </x:c>
      <x:c r="C859" s="2" t="str">
        <x:v>처녀자리</x:v>
      </x:c>
      <x:c r="D859" s="2" t="str">
        <x:v>도적</x:v>
      </x:c>
      <x:c r="E859" s="2" t="n">
        <x:v>2</x:v>
      </x:c>
      <x:c r="F859" s="2" t="n">
        <x:v>1</x:v>
      </x:c>
      <x:c r="G859" s="14" t="n">
        <x:f>('레벨 계산식'!$E$4-E859)*'레벨 계산식'!$B$5</x:f>
        <x:v>0.41999999999999993</x:v>
      </x:c>
      <x:c r="H859" s="14" t="n">
        <x:f>('등급 계산식'!$E$4-F859)*'등급 계산식'!$B$5</x:f>
        <x:v>0.24000000000000005</x:v>
      </x:c>
      <x:c r="I859" s="14" t="n">
        <x:f>1-G859-H859</x:f>
        <x:v>0.34</x:v>
      </x:c>
      <x:c r="J859" s="2" t="n">
        <x:f>MAX(1,ROUND('기준스탯 72종'!D42-R859-Z859,0))</x:f>
        <x:v>3</x:v>
      </x:c>
      <x:c r="K859" s="2" t="n">
        <x:f>MAX(1,ROUND('기준스탯 72종'!E42-S859-AA859,0))</x:f>
        <x:v>2</x:v>
      </x:c>
      <x:c r="L859" s="2" t="n">
        <x:f>MAX(1,ROUND('기준스탯 72종'!F42-T859-AB859,0))</x:f>
        <x:v>2</x:v>
      </x:c>
      <x:c r="M859" s="2" t="n">
        <x:f>MAX(1,ROUND('기준스탯 72종'!G42-U859-AC859,0))</x:f>
        <x:v>3</x:v>
      </x:c>
      <x:c r="N859" s="2" t="n">
        <x:f>MAX(0,ROUND('기준스탯 72종'!H42-V859-AD859,0))</x:f>
        <x:v>1</x:v>
      </x:c>
      <x:c r="O859" s="2" t="n">
        <x:f>MAX(0,ROUND('기준스탯 72종'!I42-W859-AE859,0))</x:f>
        <x:v>2</x:v>
      </x:c>
      <x:c r="P859" s="2" t="n">
        <x:f>MAX(0,ROUND('기준스탯 72종'!J42-X859-AF859,0))</x:f>
        <x:v>1</x:v>
      </x:c>
      <x:c r="Q859" s="2" t="n">
        <x:f>MAX(0,ROUND('기준스탯 72종'!K42-Y859-AG859,0))</x:f>
        <x:v>1</x:v>
      </x:c>
      <x:c r="R859" s="15" t="n">
        <x:f>'기준스탯 72종'!D42*G859</x:f>
        <x:v>3.3599999999999994</x:v>
      </x:c>
      <x:c r="S859" s="15" t="n">
        <x:f>'기준스탯 72종'!E42*G859</x:f>
        <x:v>2.9399999999999995</x:v>
      </x:c>
      <x:c r="T859" s="15" t="n">
        <x:f>'기준스탯 72종'!F42*G859</x:f>
        <x:v>2.9399999999999995</x:v>
      </x:c>
      <x:c r="U859" s="15" t="n">
        <x:f>'기준스탯 72종'!G42*G859</x:f>
        <x:v>3.3599999999999994</x:v>
      </x:c>
      <x:c r="V859" s="15" t="n">
        <x:f>'기준스탯 72종'!H42*G859</x:f>
        <x:v>1.6799999999999997</x:v>
      </x:c>
      <x:c r="W859" s="15" t="n">
        <x:f>'기준스탯 72종'!I42*G859</x:f>
        <x:v>2.0999999999999996</x:v>
      </x:c>
      <x:c r="X859" s="15" t="n">
        <x:f>'기준스탯 72종'!J42*G859</x:f>
        <x:v>1.6799999999999997</x:v>
      </x:c>
      <x:c r="Y859" s="15" t="n">
        <x:f>'기준스탯 72종'!K42*G859</x:f>
        <x:v>1.2599999999999998</x:v>
      </x:c>
      <x:c r="Z859" s="15" t="n">
        <x:f>'기준스탯 72종'!D42*H859</x:f>
        <x:v>1.9200000000000004</x:v>
      </x:c>
      <x:c r="AA859" s="15" t="n">
        <x:f>'기준스탯 72종'!E42*H859</x:f>
        <x:v>1.6800000000000004</x:v>
      </x:c>
      <x:c r="AB859" s="15" t="n">
        <x:f>'기준스탯 72종'!F42*H859</x:f>
        <x:v>1.6800000000000004</x:v>
      </x:c>
      <x:c r="AC859" s="15" t="n">
        <x:f>'기준스탯 72종'!G42*H859</x:f>
        <x:v>1.9200000000000004</x:v>
      </x:c>
      <x:c r="AD859" s="15" t="n">
        <x:f>'기준스탯 72종'!H42*H859</x:f>
        <x:v>0.9600000000000002</x:v>
      </x:c>
      <x:c r="AE859" s="15" t="n">
        <x:f>'기준스탯 72종'!I42*H859</x:f>
        <x:v>1.2000000000000002</x:v>
      </x:c>
      <x:c r="AF859" s="15" t="n">
        <x:f>'기준스탯 72종'!J42*H859</x:f>
        <x:v>0.9600000000000002</x:v>
      </x:c>
      <x:c r="AG859" s="15" t="n">
        <x:f>'기준스탯 72종'!K42*H859</x:f>
        <x:v>0.7200000000000002</x:v>
      </x:c>
    </x:row>
    <x:row r="860" ht="28" customHeight="1">
      <x:c r="A860" s="2" t="n">
        <x:v>853</x:v>
      </x:c>
      <x:c r="B860" s="2" t="n">
        <x:v>35</x:v>
      </x:c>
      <x:c r="C860" s="2" t="str">
        <x:v>처녀자리</x:v>
      </x:c>
      <x:c r="D860" s="2" t="str">
        <x:v>도적</x:v>
      </x:c>
      <x:c r="E860" s="2" t="n">
        <x:v>3</x:v>
      </x:c>
      <x:c r="F860" s="2" t="n">
        <x:v>1</x:v>
      </x:c>
      <x:c r="G860" s="14" t="n">
        <x:f>('레벨 계산식'!$E$4-E860)*'레벨 계산식'!$B$5</x:f>
        <x:v>0.27999999999999997</x:v>
      </x:c>
      <x:c r="H860" s="14" t="n">
        <x:f>('등급 계산식'!$E$4-F860)*'등급 계산식'!$B$5</x:f>
        <x:v>0.24000000000000005</x:v>
      </x:c>
      <x:c r="I860" s="14" t="n">
        <x:f>1-G860-H860</x:f>
        <x:v>0.4799999999999999</x:v>
      </x:c>
      <x:c r="J860" s="2" t="n">
        <x:f>MAX(1,ROUND('기준스탯 72종'!D42-R860-Z860,0))</x:f>
        <x:v>4</x:v>
      </x:c>
      <x:c r="K860" s="2" t="n">
        <x:f>MAX(1,ROUND('기준스탯 72종'!E42-S860-AA860,0))</x:f>
        <x:v>3</x:v>
      </x:c>
      <x:c r="L860" s="2" t="n">
        <x:f>MAX(1,ROUND('기준스탯 72종'!F42-T860-AB860,0))</x:f>
        <x:v>3</x:v>
      </x:c>
      <x:c r="M860" s="2" t="n">
        <x:f>MAX(1,ROUND('기준스탯 72종'!G42-U860-AC860,0))</x:f>
        <x:v>4</x:v>
      </x:c>
      <x:c r="N860" s="2" t="n">
        <x:f>MAX(0,ROUND('기준스탯 72종'!H42-V860-AD860,0))</x:f>
        <x:v>2</x:v>
      </x:c>
      <x:c r="O860" s="2" t="n">
        <x:f>MAX(0,ROUND('기준스탯 72종'!I42-W860-AE860,0))</x:f>
        <x:v>2</x:v>
      </x:c>
      <x:c r="P860" s="2" t="n">
        <x:f>MAX(0,ROUND('기준스탯 72종'!J42-X860-AF860,0))</x:f>
        <x:v>2</x:v>
      </x:c>
      <x:c r="Q860" s="2" t="n">
        <x:f>MAX(0,ROUND('기준스탯 72종'!K42-Y860-AG860,0))</x:f>
        <x:v>1</x:v>
      </x:c>
      <x:c r="R860" s="15" t="n">
        <x:f>'기준스탯 72종'!D42*G860</x:f>
        <x:v>2.2399999999999998</x:v>
      </x:c>
      <x:c r="S860" s="15" t="n">
        <x:f>'기준스탯 72종'!E42*G860</x:f>
        <x:v>1.9599999999999997</x:v>
      </x:c>
      <x:c r="T860" s="15" t="n">
        <x:f>'기준스탯 72종'!F42*G860</x:f>
        <x:v>1.9599999999999997</x:v>
      </x:c>
      <x:c r="U860" s="15" t="n">
        <x:f>'기준스탯 72종'!G42*G860</x:f>
        <x:v>2.2399999999999998</x:v>
      </x:c>
      <x:c r="V860" s="15" t="n">
        <x:f>'기준스탯 72종'!H42*G860</x:f>
        <x:v>1.1199999999999999</x:v>
      </x:c>
      <x:c r="W860" s="15" t="n">
        <x:f>'기준스탯 72종'!I42*G860</x:f>
        <x:v>1.4</x:v>
      </x:c>
      <x:c r="X860" s="15" t="n">
        <x:f>'기준스탯 72종'!J42*G860</x:f>
        <x:v>1.1199999999999999</x:v>
      </x:c>
      <x:c r="Y860" s="15" t="n">
        <x:f>'기준스탯 72종'!K42*G860</x:f>
        <x:v>0.8399999999999999</x:v>
      </x:c>
      <x:c r="Z860" s="15" t="n">
        <x:f>'기준스탯 72종'!D42*H860</x:f>
        <x:v>1.9200000000000004</x:v>
      </x:c>
      <x:c r="AA860" s="15" t="n">
        <x:f>'기준스탯 72종'!E42*H860</x:f>
        <x:v>1.6800000000000004</x:v>
      </x:c>
      <x:c r="AB860" s="15" t="n">
        <x:f>'기준스탯 72종'!F42*H860</x:f>
        <x:v>1.6800000000000004</x:v>
      </x:c>
      <x:c r="AC860" s="15" t="n">
        <x:f>'기준스탯 72종'!G42*H860</x:f>
        <x:v>1.9200000000000004</x:v>
      </x:c>
      <x:c r="AD860" s="15" t="n">
        <x:f>'기준스탯 72종'!H42*H860</x:f>
        <x:v>0.9600000000000002</x:v>
      </x:c>
      <x:c r="AE860" s="15" t="n">
        <x:f>'기준스탯 72종'!I42*H860</x:f>
        <x:v>1.2000000000000002</x:v>
      </x:c>
      <x:c r="AF860" s="15" t="n">
        <x:f>'기준스탯 72종'!J42*H860</x:f>
        <x:v>0.9600000000000002</x:v>
      </x:c>
      <x:c r="AG860" s="15" t="n">
        <x:f>'기준스탯 72종'!K42*H860</x:f>
        <x:v>0.7200000000000002</x:v>
      </x:c>
    </x:row>
    <x:row r="861" ht="28" customHeight="1">
      <x:c r="A861" s="2" t="n">
        <x:v>854</x:v>
      </x:c>
      <x:c r="B861" s="2" t="n">
        <x:v>35</x:v>
      </x:c>
      <x:c r="C861" s="2" t="str">
        <x:v>처녀자리</x:v>
      </x:c>
      <x:c r="D861" s="2" t="str">
        <x:v>도적</x:v>
      </x:c>
      <x:c r="E861" s="2" t="n">
        <x:v>4</x:v>
      </x:c>
      <x:c r="F861" s="2" t="n">
        <x:v>1</x:v>
      </x:c>
      <x:c r="G861" s="14" t="n">
        <x:f>('레벨 계산식'!$E$4-E861)*'레벨 계산식'!$B$5</x:f>
        <x:v>0.13999999999999999</x:v>
      </x:c>
      <x:c r="H861" s="14" t="n">
        <x:f>('등급 계산식'!$E$4-F861)*'등급 계산식'!$B$5</x:f>
        <x:v>0.24000000000000005</x:v>
      </x:c>
      <x:c r="I861" s="14" t="n">
        <x:f>1-G861-H861</x:f>
        <x:v>0.6199999999999999</x:v>
      </x:c>
      <x:c r="J861" s="2" t="n">
        <x:f>MAX(1,ROUND('기준스탯 72종'!D42-R861-Z861,0))</x:f>
        <x:v>5</x:v>
      </x:c>
      <x:c r="K861" s="2" t="n">
        <x:f>MAX(1,ROUND('기준스탯 72종'!E42-S861-AA861,0))</x:f>
        <x:v>4</x:v>
      </x:c>
      <x:c r="L861" s="2" t="n">
        <x:f>MAX(1,ROUND('기준스탯 72종'!F42-T861-AB861,0))</x:f>
        <x:v>4</x:v>
      </x:c>
      <x:c r="M861" s="2" t="n">
        <x:f>MAX(1,ROUND('기준스탯 72종'!G42-U861-AC861,0))</x:f>
        <x:v>5</x:v>
      </x:c>
      <x:c r="N861" s="2" t="n">
        <x:f>MAX(0,ROUND('기준스탯 72종'!H42-V861-AD861,0))</x:f>
        <x:v>2</x:v>
      </x:c>
      <x:c r="O861" s="2" t="n">
        <x:f>MAX(0,ROUND('기준스탯 72종'!I42-W861-AE861,0))</x:f>
        <x:v>3</x:v>
      </x:c>
      <x:c r="P861" s="2" t="n">
        <x:f>MAX(0,ROUND('기준스탯 72종'!J42-X861-AF861,0))</x:f>
        <x:v>2</x:v>
      </x:c>
      <x:c r="Q861" s="2" t="n">
        <x:f>MAX(0,ROUND('기준스탯 72종'!K42-Y861-AG861,0))</x:f>
        <x:v>2</x:v>
      </x:c>
      <x:c r="R861" s="15" t="n">
        <x:f>'기준스탯 72종'!D42*G861</x:f>
        <x:v>1.1199999999999999</x:v>
      </x:c>
      <x:c r="S861" s="15" t="n">
        <x:f>'기준스탯 72종'!E42*G861</x:f>
        <x:v>0.9799999999999999</x:v>
      </x:c>
      <x:c r="T861" s="15" t="n">
        <x:f>'기준스탯 72종'!F42*G861</x:f>
        <x:v>0.9799999999999999</x:v>
      </x:c>
      <x:c r="U861" s="15" t="n">
        <x:f>'기준스탯 72종'!G42*G861</x:f>
        <x:v>1.1199999999999999</x:v>
      </x:c>
      <x:c r="V861" s="15" t="n">
        <x:f>'기준스탯 72종'!H42*G861</x:f>
        <x:v>0.5599999999999999</x:v>
      </x:c>
      <x:c r="W861" s="15" t="n">
        <x:f>'기준스탯 72종'!I42*G861</x:f>
        <x:v>0.7</x:v>
      </x:c>
      <x:c r="X861" s="15" t="n">
        <x:f>'기준스탯 72종'!J42*G861</x:f>
        <x:v>0.5599999999999999</x:v>
      </x:c>
      <x:c r="Y861" s="15" t="n">
        <x:f>'기준스탯 72종'!K42*G861</x:f>
        <x:v>0.41999999999999993</x:v>
      </x:c>
      <x:c r="Z861" s="15" t="n">
        <x:f>'기준스탯 72종'!D42*H861</x:f>
        <x:v>1.9200000000000004</x:v>
      </x:c>
      <x:c r="AA861" s="15" t="n">
        <x:f>'기준스탯 72종'!E42*H861</x:f>
        <x:v>1.6800000000000004</x:v>
      </x:c>
      <x:c r="AB861" s="15" t="n">
        <x:f>'기준스탯 72종'!F42*H861</x:f>
        <x:v>1.6800000000000004</x:v>
      </x:c>
      <x:c r="AC861" s="15" t="n">
        <x:f>'기준스탯 72종'!G42*H861</x:f>
        <x:v>1.9200000000000004</x:v>
      </x:c>
      <x:c r="AD861" s="15" t="n">
        <x:f>'기준스탯 72종'!H42*H861</x:f>
        <x:v>0.9600000000000002</x:v>
      </x:c>
      <x:c r="AE861" s="15" t="n">
        <x:f>'기준스탯 72종'!I42*H861</x:f>
        <x:v>1.2000000000000002</x:v>
      </x:c>
      <x:c r="AF861" s="15" t="n">
        <x:f>'기준스탯 72종'!J42*H861</x:f>
        <x:v>0.9600000000000002</x:v>
      </x:c>
      <x:c r="AG861" s="15" t="n">
        <x:f>'기준스탯 72종'!K42*H861</x:f>
        <x:v>0.7200000000000002</x:v>
      </x:c>
    </x:row>
    <x:row r="862" ht="28" customHeight="1">
      <x:c r="A862" s="2" t="n">
        <x:v>855</x:v>
      </x:c>
      <x:c r="B862" s="2" t="n">
        <x:v>35</x:v>
      </x:c>
      <x:c r="C862" s="2" t="str">
        <x:v>처녀자리</x:v>
      </x:c>
      <x:c r="D862" s="2" t="str">
        <x:v>도적</x:v>
      </x:c>
      <x:c r="E862" s="2" t="n">
        <x:v>5</x:v>
      </x:c>
      <x:c r="F862" s="2" t="n">
        <x:v>1</x:v>
      </x:c>
      <x:c r="G862" s="14" t="n">
        <x:f>('레벨 계산식'!$E$4-E862)*'레벨 계산식'!$B$5</x:f>
        <x:v>0</x:v>
      </x:c>
      <x:c r="H862" s="14" t="n">
        <x:f>('등급 계산식'!$E$4-F862)*'등급 계산식'!$B$5</x:f>
        <x:v>0.24000000000000005</x:v>
      </x:c>
      <x:c r="I862" s="14" t="n">
        <x:f>1-G862-H862</x:f>
        <x:v>0.76</x:v>
      </x:c>
      <x:c r="J862" s="2" t="n">
        <x:f>MAX(1,ROUND('기준스탯 72종'!D42-R862-Z862,0))</x:f>
        <x:v>6</x:v>
      </x:c>
      <x:c r="K862" s="2" t="n">
        <x:f>MAX(1,ROUND('기준스탯 72종'!E42-S862-AA862,0))</x:f>
        <x:v>5</x:v>
      </x:c>
      <x:c r="L862" s="2" t="n">
        <x:f>MAX(1,ROUND('기준스탯 72종'!F42-T862-AB862,0))</x:f>
        <x:v>5</x:v>
      </x:c>
      <x:c r="M862" s="2" t="n">
        <x:f>MAX(1,ROUND('기준스탯 72종'!G42-U862-AC862,0))</x:f>
        <x:v>6</x:v>
      </x:c>
      <x:c r="N862" s="2" t="n">
        <x:f>MAX(0,ROUND('기준스탯 72종'!H42-V862-AD862,0))</x:f>
        <x:v>3</x:v>
      </x:c>
      <x:c r="O862" s="2" t="n">
        <x:f>MAX(0,ROUND('기준스탯 72종'!I42-W862-AE862,0))</x:f>
        <x:v>4</x:v>
      </x:c>
      <x:c r="P862" s="2" t="n">
        <x:f>MAX(0,ROUND('기준스탯 72종'!J42-X862-AF862,0))</x:f>
        <x:v>3</x:v>
      </x:c>
      <x:c r="Q862" s="2" t="n">
        <x:f>MAX(0,ROUND('기준스탯 72종'!K42-Y862-AG862,0))</x:f>
        <x:v>2</x:v>
      </x:c>
      <x:c r="R862" s="15" t="n">
        <x:f>'기준스탯 72종'!D42*G862</x:f>
        <x:v>0</x:v>
      </x:c>
      <x:c r="S862" s="15" t="n">
        <x:f>'기준스탯 72종'!E42*G862</x:f>
        <x:v>0</x:v>
      </x:c>
      <x:c r="T862" s="15" t="n">
        <x:f>'기준스탯 72종'!F42*G862</x:f>
        <x:v>0</x:v>
      </x:c>
      <x:c r="U862" s="15" t="n">
        <x:f>'기준스탯 72종'!G42*G862</x:f>
        <x:v>0</x:v>
      </x:c>
      <x:c r="V862" s="15" t="n">
        <x:f>'기준스탯 72종'!H42*G862</x:f>
        <x:v>0</x:v>
      </x:c>
      <x:c r="W862" s="15" t="n">
        <x:f>'기준스탯 72종'!I42*G862</x:f>
        <x:v>0</x:v>
      </x:c>
      <x:c r="X862" s="15" t="n">
        <x:f>'기준스탯 72종'!J42*G862</x:f>
        <x:v>0</x:v>
      </x:c>
      <x:c r="Y862" s="15" t="n">
        <x:f>'기준스탯 72종'!K42*G862</x:f>
        <x:v>0</x:v>
      </x:c>
      <x:c r="Z862" s="15" t="n">
        <x:f>'기준스탯 72종'!D42*H862</x:f>
        <x:v>1.9200000000000004</x:v>
      </x:c>
      <x:c r="AA862" s="15" t="n">
        <x:f>'기준스탯 72종'!E42*H862</x:f>
        <x:v>1.6800000000000004</x:v>
      </x:c>
      <x:c r="AB862" s="15" t="n">
        <x:f>'기준스탯 72종'!F42*H862</x:f>
        <x:v>1.6800000000000004</x:v>
      </x:c>
      <x:c r="AC862" s="15" t="n">
        <x:f>'기준스탯 72종'!G42*H862</x:f>
        <x:v>1.9200000000000004</x:v>
      </x:c>
      <x:c r="AD862" s="15" t="n">
        <x:f>'기준스탯 72종'!H42*H862</x:f>
        <x:v>0.9600000000000002</x:v>
      </x:c>
      <x:c r="AE862" s="15" t="n">
        <x:f>'기준스탯 72종'!I42*H862</x:f>
        <x:v>1.2000000000000002</x:v>
      </x:c>
      <x:c r="AF862" s="15" t="n">
        <x:f>'기준스탯 72종'!J42*H862</x:f>
        <x:v>0.9600000000000002</x:v>
      </x:c>
      <x:c r="AG862" s="15" t="n">
        <x:f>'기준스탯 72종'!K42*H862</x:f>
        <x:v>0.7200000000000002</x:v>
      </x:c>
    </x:row>
    <x:row r="863" ht="28" customHeight="1">
      <x:c r="A863" s="2" t="n">
        <x:v>856</x:v>
      </x:c>
      <x:c r="B863" s="2" t="n">
        <x:v>35</x:v>
      </x:c>
      <x:c r="C863" s="2" t="str">
        <x:v>처녀자리</x:v>
      </x:c>
      <x:c r="D863" s="2" t="str">
        <x:v>도적</x:v>
      </x:c>
      <x:c r="E863" s="2" t="n">
        <x:v>1</x:v>
      </x:c>
      <x:c r="F863" s="2" t="n">
        <x:v>2</x:v>
      </x:c>
      <x:c r="G863" s="14" t="n">
        <x:f>('레벨 계산식'!$E$4-E863)*'레벨 계산식'!$B$5</x:f>
        <x:v>0.5599999999999999</x:v>
      </x:c>
      <x:c r="H863" s="14" t="n">
        <x:f>('등급 계산식'!$E$4-F863)*'등급 계산식'!$B$5</x:f>
        <x:v>0.18000000000000005</x:v>
      </x:c>
      <x:c r="I863" s="14" t="n">
        <x:f>1-G863-H863</x:f>
        <x:v>0.26</x:v>
      </x:c>
      <x:c r="J863" s="2" t="n">
        <x:f>MAX(1,ROUND('기준스탯 72종'!D42-R863-Z863,0))</x:f>
        <x:v>2</x:v>
      </x:c>
      <x:c r="K863" s="2" t="n">
        <x:f>MAX(1,ROUND('기준스탯 72종'!E42-S863-AA863,0))</x:f>
        <x:v>2</x:v>
      </x:c>
      <x:c r="L863" s="2" t="n">
        <x:f>MAX(1,ROUND('기준스탯 72종'!F42-T863-AB863,0))</x:f>
        <x:v>2</x:v>
      </x:c>
      <x:c r="M863" s="2" t="n">
        <x:f>MAX(1,ROUND('기준스탯 72종'!G42-U863-AC863,0))</x:f>
        <x:v>2</x:v>
      </x:c>
      <x:c r="N863" s="2" t="n">
        <x:f>MAX(0,ROUND('기준스탯 72종'!H42-V863-AD863,0))</x:f>
        <x:v>1</x:v>
      </x:c>
      <x:c r="O863" s="2" t="n">
        <x:f>MAX(0,ROUND('기준스탯 72종'!I42-W863-AE863,0))</x:f>
        <x:v>1</x:v>
      </x:c>
      <x:c r="P863" s="2" t="n">
        <x:f>MAX(0,ROUND('기준스탯 72종'!J42-X863-AF863,0))</x:f>
        <x:v>1</x:v>
      </x:c>
      <x:c r="Q863" s="2" t="n">
        <x:f>MAX(0,ROUND('기준스탯 72종'!K42-Y863-AG863,0))</x:f>
        <x:v>1</x:v>
      </x:c>
      <x:c r="R863" s="15" t="n">
        <x:f>'기준스탯 72종'!D42*G863</x:f>
        <x:v>4.4799999999999995</x:v>
      </x:c>
      <x:c r="S863" s="15" t="n">
        <x:f>'기준스탯 72종'!E42*G863</x:f>
        <x:v>3.9199999999999995</x:v>
      </x:c>
      <x:c r="T863" s="15" t="n">
        <x:f>'기준스탯 72종'!F42*G863</x:f>
        <x:v>3.9199999999999995</x:v>
      </x:c>
      <x:c r="U863" s="15" t="n">
        <x:f>'기준스탯 72종'!G42*G863</x:f>
        <x:v>4.4799999999999995</x:v>
      </x:c>
      <x:c r="V863" s="15" t="n">
        <x:f>'기준스탯 72종'!H42*G863</x:f>
        <x:v>2.2399999999999998</x:v>
      </x:c>
      <x:c r="W863" s="15" t="n">
        <x:f>'기준스탯 72종'!I42*G863</x:f>
        <x:v>2.8</x:v>
      </x:c>
      <x:c r="X863" s="15" t="n">
        <x:f>'기준스탯 72종'!J42*G863</x:f>
        <x:v>2.2399999999999998</x:v>
      </x:c>
      <x:c r="Y863" s="15" t="n">
        <x:f>'기준스탯 72종'!K42*G863</x:f>
        <x:v>1.6799999999999997</x:v>
      </x:c>
      <x:c r="Z863" s="15" t="n">
        <x:f>'기준스탯 72종'!D42*H863</x:f>
        <x:v>1.4400000000000004</x:v>
      </x:c>
      <x:c r="AA863" s="15" t="n">
        <x:f>'기준스탯 72종'!E42*H863</x:f>
        <x:v>1.2600000000000002</x:v>
      </x:c>
      <x:c r="AB863" s="15" t="n">
        <x:f>'기준스탯 72종'!F42*H863</x:f>
        <x:v>1.2600000000000002</x:v>
      </x:c>
      <x:c r="AC863" s="15" t="n">
        <x:f>'기준스탯 72종'!G42*H863</x:f>
        <x:v>1.4400000000000004</x:v>
      </x:c>
      <x:c r="AD863" s="15" t="n">
        <x:f>'기준스탯 72종'!H42*H863</x:f>
        <x:v>0.7200000000000002</x:v>
      </x:c>
      <x:c r="AE863" s="15" t="n">
        <x:f>'기준스탯 72종'!I42*H863</x:f>
        <x:v>0.9000000000000002</x:v>
      </x:c>
      <x:c r="AF863" s="15" t="n">
        <x:f>'기준스탯 72종'!J42*H863</x:f>
        <x:v>0.7200000000000002</x:v>
      </x:c>
      <x:c r="AG863" s="15" t="n">
        <x:f>'기준스탯 72종'!K42*H863</x:f>
        <x:v>0.5400000000000001</x:v>
      </x:c>
    </x:row>
    <x:row r="864" ht="28" customHeight="1">
      <x:c r="A864" s="2" t="n">
        <x:v>857</x:v>
      </x:c>
      <x:c r="B864" s="2" t="n">
        <x:v>35</x:v>
      </x:c>
      <x:c r="C864" s="2" t="str">
        <x:v>처녀자리</x:v>
      </x:c>
      <x:c r="D864" s="2" t="str">
        <x:v>도적</x:v>
      </x:c>
      <x:c r="E864" s="2" t="n">
        <x:v>2</x:v>
      </x:c>
      <x:c r="F864" s="2" t="n">
        <x:v>2</x:v>
      </x:c>
      <x:c r="G864" s="14" t="n">
        <x:f>('레벨 계산식'!$E$4-E864)*'레벨 계산식'!$B$5</x:f>
        <x:v>0.41999999999999993</x:v>
      </x:c>
      <x:c r="H864" s="14" t="n">
        <x:f>('등급 계산식'!$E$4-F864)*'등급 계산식'!$B$5</x:f>
        <x:v>0.18000000000000005</x:v>
      </x:c>
      <x:c r="I864" s="14" t="n">
        <x:f>1-G864-H864</x:f>
        <x:v>0.4</x:v>
      </x:c>
      <x:c r="J864" s="2" t="n">
        <x:f>MAX(1,ROUND('기준스탯 72종'!D42-R864-Z864,0))</x:f>
        <x:v>3</x:v>
      </x:c>
      <x:c r="K864" s="2" t="n">
        <x:f>MAX(1,ROUND('기준스탯 72종'!E42-S864-AA864,0))</x:f>
        <x:v>3</x:v>
      </x:c>
      <x:c r="L864" s="2" t="n">
        <x:f>MAX(1,ROUND('기준스탯 72종'!F42-T864-AB864,0))</x:f>
        <x:v>3</x:v>
      </x:c>
      <x:c r="M864" s="2" t="n">
        <x:f>MAX(1,ROUND('기준스탯 72종'!G42-U864-AC864,0))</x:f>
        <x:v>3</x:v>
      </x:c>
      <x:c r="N864" s="2" t="n">
        <x:f>MAX(0,ROUND('기준스탯 72종'!H42-V864-AD864,0))</x:f>
        <x:v>2</x:v>
      </x:c>
      <x:c r="O864" s="2" t="n">
        <x:f>MAX(0,ROUND('기준스탯 72종'!I42-W864-AE864,0))</x:f>
        <x:v>2</x:v>
      </x:c>
      <x:c r="P864" s="2" t="n">
        <x:f>MAX(0,ROUND('기준스탯 72종'!J42-X864-AF864,0))</x:f>
        <x:v>2</x:v>
      </x:c>
      <x:c r="Q864" s="2" t="n">
        <x:f>MAX(0,ROUND('기준스탯 72종'!K42-Y864-AG864,0))</x:f>
        <x:v>1</x:v>
      </x:c>
      <x:c r="R864" s="15" t="n">
        <x:f>'기준스탯 72종'!D42*G864</x:f>
        <x:v>3.3599999999999994</x:v>
      </x:c>
      <x:c r="S864" s="15" t="n">
        <x:f>'기준스탯 72종'!E42*G864</x:f>
        <x:v>2.9399999999999995</x:v>
      </x:c>
      <x:c r="T864" s="15" t="n">
        <x:f>'기준스탯 72종'!F42*G864</x:f>
        <x:v>2.9399999999999995</x:v>
      </x:c>
      <x:c r="U864" s="15" t="n">
        <x:f>'기준스탯 72종'!G42*G864</x:f>
        <x:v>3.3599999999999994</x:v>
      </x:c>
      <x:c r="V864" s="15" t="n">
        <x:f>'기준스탯 72종'!H42*G864</x:f>
        <x:v>1.6799999999999997</x:v>
      </x:c>
      <x:c r="W864" s="15" t="n">
        <x:f>'기준스탯 72종'!I42*G864</x:f>
        <x:v>2.0999999999999996</x:v>
      </x:c>
      <x:c r="X864" s="15" t="n">
        <x:f>'기준스탯 72종'!J42*G864</x:f>
        <x:v>1.6799999999999997</x:v>
      </x:c>
      <x:c r="Y864" s="15" t="n">
        <x:f>'기준스탯 72종'!K42*G864</x:f>
        <x:v>1.2599999999999998</x:v>
      </x:c>
      <x:c r="Z864" s="15" t="n">
        <x:f>'기준스탯 72종'!D42*H864</x:f>
        <x:v>1.4400000000000004</x:v>
      </x:c>
      <x:c r="AA864" s="15" t="n">
        <x:f>'기준스탯 72종'!E42*H864</x:f>
        <x:v>1.2600000000000002</x:v>
      </x:c>
      <x:c r="AB864" s="15" t="n">
        <x:f>'기준스탯 72종'!F42*H864</x:f>
        <x:v>1.2600000000000002</x:v>
      </x:c>
      <x:c r="AC864" s="15" t="n">
        <x:f>'기준스탯 72종'!G42*H864</x:f>
        <x:v>1.4400000000000004</x:v>
      </x:c>
      <x:c r="AD864" s="15" t="n">
        <x:f>'기준스탯 72종'!H42*H864</x:f>
        <x:v>0.7200000000000002</x:v>
      </x:c>
      <x:c r="AE864" s="15" t="n">
        <x:f>'기준스탯 72종'!I42*H864</x:f>
        <x:v>0.9000000000000002</x:v>
      </x:c>
      <x:c r="AF864" s="15" t="n">
        <x:f>'기준스탯 72종'!J42*H864</x:f>
        <x:v>0.7200000000000002</x:v>
      </x:c>
      <x:c r="AG864" s="15" t="n">
        <x:f>'기준스탯 72종'!K42*H864</x:f>
        <x:v>0.5400000000000001</x:v>
      </x:c>
    </x:row>
    <x:row r="865" ht="28" customHeight="1">
      <x:c r="A865" s="2" t="n">
        <x:v>858</x:v>
      </x:c>
      <x:c r="B865" s="2" t="n">
        <x:v>35</x:v>
      </x:c>
      <x:c r="C865" s="2" t="str">
        <x:v>처녀자리</x:v>
      </x:c>
      <x:c r="D865" s="2" t="str">
        <x:v>도적</x:v>
      </x:c>
      <x:c r="E865" s="2" t="n">
        <x:v>3</x:v>
      </x:c>
      <x:c r="F865" s="2" t="n">
        <x:v>2</x:v>
      </x:c>
      <x:c r="G865" s="14" t="n">
        <x:f>('레벨 계산식'!$E$4-E865)*'레벨 계산식'!$B$5</x:f>
        <x:v>0.27999999999999997</x:v>
      </x:c>
      <x:c r="H865" s="14" t="n">
        <x:f>('등급 계산식'!$E$4-F865)*'등급 계산식'!$B$5</x:f>
        <x:v>0.18000000000000005</x:v>
      </x:c>
      <x:c r="I865" s="14" t="n">
        <x:f>1-G865-H865</x:f>
        <x:v>0.5399999999999999</x:v>
      </x:c>
      <x:c r="J865" s="2" t="n">
        <x:f>MAX(1,ROUND('기준스탯 72종'!D42-R865-Z865,0))</x:f>
        <x:v>4</x:v>
      </x:c>
      <x:c r="K865" s="2" t="n">
        <x:f>MAX(1,ROUND('기준스탯 72종'!E42-S865-AA865,0))</x:f>
        <x:v>4</x:v>
      </x:c>
      <x:c r="L865" s="2" t="n">
        <x:f>MAX(1,ROUND('기준스탯 72종'!F42-T865-AB865,0))</x:f>
        <x:v>4</x:v>
      </x:c>
      <x:c r="M865" s="2" t="n">
        <x:f>MAX(1,ROUND('기준스탯 72종'!G42-U865-AC865,0))</x:f>
        <x:v>4</x:v>
      </x:c>
      <x:c r="N865" s="2" t="n">
        <x:f>MAX(0,ROUND('기준스탯 72종'!H42-V865-AD865,0))</x:f>
        <x:v>2</x:v>
      </x:c>
      <x:c r="O865" s="2" t="n">
        <x:f>MAX(0,ROUND('기준스탯 72종'!I42-W865-AE865,0))</x:f>
        <x:v>3</x:v>
      </x:c>
      <x:c r="P865" s="2" t="n">
        <x:f>MAX(0,ROUND('기준스탯 72종'!J42-X865-AF865,0))</x:f>
        <x:v>2</x:v>
      </x:c>
      <x:c r="Q865" s="2" t="n">
        <x:f>MAX(0,ROUND('기준스탯 72종'!K42-Y865-AG865,0))</x:f>
        <x:v>2</x:v>
      </x:c>
      <x:c r="R865" s="15" t="n">
        <x:f>'기준스탯 72종'!D42*G865</x:f>
        <x:v>2.2399999999999998</x:v>
      </x:c>
      <x:c r="S865" s="15" t="n">
        <x:f>'기준스탯 72종'!E42*G865</x:f>
        <x:v>1.9599999999999997</x:v>
      </x:c>
      <x:c r="T865" s="15" t="n">
        <x:f>'기준스탯 72종'!F42*G865</x:f>
        <x:v>1.9599999999999997</x:v>
      </x:c>
      <x:c r="U865" s="15" t="n">
        <x:f>'기준스탯 72종'!G42*G865</x:f>
        <x:v>2.2399999999999998</x:v>
      </x:c>
      <x:c r="V865" s="15" t="n">
        <x:f>'기준스탯 72종'!H42*G865</x:f>
        <x:v>1.1199999999999999</x:v>
      </x:c>
      <x:c r="W865" s="15" t="n">
        <x:f>'기준스탯 72종'!I42*G865</x:f>
        <x:v>1.4</x:v>
      </x:c>
      <x:c r="X865" s="15" t="n">
        <x:f>'기준스탯 72종'!J42*G865</x:f>
        <x:v>1.1199999999999999</x:v>
      </x:c>
      <x:c r="Y865" s="15" t="n">
        <x:f>'기준스탯 72종'!K42*G865</x:f>
        <x:v>0.8399999999999999</x:v>
      </x:c>
      <x:c r="Z865" s="15" t="n">
        <x:f>'기준스탯 72종'!D42*H865</x:f>
        <x:v>1.4400000000000004</x:v>
      </x:c>
      <x:c r="AA865" s="15" t="n">
        <x:f>'기준스탯 72종'!E42*H865</x:f>
        <x:v>1.2600000000000002</x:v>
      </x:c>
      <x:c r="AB865" s="15" t="n">
        <x:f>'기준스탯 72종'!F42*H865</x:f>
        <x:v>1.2600000000000002</x:v>
      </x:c>
      <x:c r="AC865" s="15" t="n">
        <x:f>'기준스탯 72종'!G42*H865</x:f>
        <x:v>1.4400000000000004</x:v>
      </x:c>
      <x:c r="AD865" s="15" t="n">
        <x:f>'기준스탯 72종'!H42*H865</x:f>
        <x:v>0.7200000000000002</x:v>
      </x:c>
      <x:c r="AE865" s="15" t="n">
        <x:f>'기준스탯 72종'!I42*H865</x:f>
        <x:v>0.9000000000000002</x:v>
      </x:c>
      <x:c r="AF865" s="15" t="n">
        <x:f>'기준스탯 72종'!J42*H865</x:f>
        <x:v>0.7200000000000002</x:v>
      </x:c>
      <x:c r="AG865" s="15" t="n">
        <x:f>'기준스탯 72종'!K42*H865</x:f>
        <x:v>0.5400000000000001</x:v>
      </x:c>
    </x:row>
    <x:row r="866" ht="28" customHeight="1">
      <x:c r="A866" s="2" t="n">
        <x:v>859</x:v>
      </x:c>
      <x:c r="B866" s="2" t="n">
        <x:v>35</x:v>
      </x:c>
      <x:c r="C866" s="2" t="str">
        <x:v>처녀자리</x:v>
      </x:c>
      <x:c r="D866" s="2" t="str">
        <x:v>도적</x:v>
      </x:c>
      <x:c r="E866" s="2" t="n">
        <x:v>4</x:v>
      </x:c>
      <x:c r="F866" s="2" t="n">
        <x:v>2</x:v>
      </x:c>
      <x:c r="G866" s="14" t="n">
        <x:f>('레벨 계산식'!$E$4-E866)*'레벨 계산식'!$B$5</x:f>
        <x:v>0.13999999999999999</x:v>
      </x:c>
      <x:c r="H866" s="14" t="n">
        <x:f>('등급 계산식'!$E$4-F866)*'등급 계산식'!$B$5</x:f>
        <x:v>0.18000000000000005</x:v>
      </x:c>
      <x:c r="I866" s="14" t="n">
        <x:f>1-G866-H866</x:f>
        <x:v>0.6799999999999999</x:v>
      </x:c>
      <x:c r="J866" s="2" t="n">
        <x:f>MAX(1,ROUND('기준스탯 72종'!D42-R866-Z866,0))</x:f>
        <x:v>5</x:v>
      </x:c>
      <x:c r="K866" s="2" t="n">
        <x:f>MAX(1,ROUND('기준스탯 72종'!E42-S866-AA866,0))</x:f>
        <x:v>5</x:v>
      </x:c>
      <x:c r="L866" s="2" t="n">
        <x:f>MAX(1,ROUND('기준스탯 72종'!F42-T866-AB866,0))</x:f>
        <x:v>5</x:v>
      </x:c>
      <x:c r="M866" s="2" t="n">
        <x:f>MAX(1,ROUND('기준스탯 72종'!G42-U866-AC866,0))</x:f>
        <x:v>5</x:v>
      </x:c>
      <x:c r="N866" s="2" t="n">
        <x:f>MAX(0,ROUND('기준스탯 72종'!H42-V866-AD866,0))</x:f>
        <x:v>3</x:v>
      </x:c>
      <x:c r="O866" s="2" t="n">
        <x:f>MAX(0,ROUND('기준스탯 72종'!I42-W866-AE866,0))</x:f>
        <x:v>3</x:v>
      </x:c>
      <x:c r="P866" s="2" t="n">
        <x:f>MAX(0,ROUND('기준스탯 72종'!J42-X866-AF866,0))</x:f>
        <x:v>3</x:v>
      </x:c>
      <x:c r="Q866" s="2" t="n">
        <x:f>MAX(0,ROUND('기준스탯 72종'!K42-Y866-AG866,0))</x:f>
        <x:v>2</x:v>
      </x:c>
      <x:c r="R866" s="15" t="n">
        <x:f>'기준스탯 72종'!D42*G866</x:f>
        <x:v>1.1199999999999999</x:v>
      </x:c>
      <x:c r="S866" s="15" t="n">
        <x:f>'기준스탯 72종'!E42*G866</x:f>
        <x:v>0.9799999999999999</x:v>
      </x:c>
      <x:c r="T866" s="15" t="n">
        <x:f>'기준스탯 72종'!F42*G866</x:f>
        <x:v>0.9799999999999999</x:v>
      </x:c>
      <x:c r="U866" s="15" t="n">
        <x:f>'기준스탯 72종'!G42*G866</x:f>
        <x:v>1.1199999999999999</x:v>
      </x:c>
      <x:c r="V866" s="15" t="n">
        <x:f>'기준스탯 72종'!H42*G866</x:f>
        <x:v>0.5599999999999999</x:v>
      </x:c>
      <x:c r="W866" s="15" t="n">
        <x:f>'기준스탯 72종'!I42*G866</x:f>
        <x:v>0.7</x:v>
      </x:c>
      <x:c r="X866" s="15" t="n">
        <x:f>'기준스탯 72종'!J42*G866</x:f>
        <x:v>0.5599999999999999</x:v>
      </x:c>
      <x:c r="Y866" s="15" t="n">
        <x:f>'기준스탯 72종'!K42*G866</x:f>
        <x:v>0.41999999999999993</x:v>
      </x:c>
      <x:c r="Z866" s="15" t="n">
        <x:f>'기준스탯 72종'!D42*H866</x:f>
        <x:v>1.4400000000000004</x:v>
      </x:c>
      <x:c r="AA866" s="15" t="n">
        <x:f>'기준스탯 72종'!E42*H866</x:f>
        <x:v>1.2600000000000002</x:v>
      </x:c>
      <x:c r="AB866" s="15" t="n">
        <x:f>'기준스탯 72종'!F42*H866</x:f>
        <x:v>1.2600000000000002</x:v>
      </x:c>
      <x:c r="AC866" s="15" t="n">
        <x:f>'기준스탯 72종'!G42*H866</x:f>
        <x:v>1.4400000000000004</x:v>
      </x:c>
      <x:c r="AD866" s="15" t="n">
        <x:f>'기준스탯 72종'!H42*H866</x:f>
        <x:v>0.7200000000000002</x:v>
      </x:c>
      <x:c r="AE866" s="15" t="n">
        <x:f>'기준스탯 72종'!I42*H866</x:f>
        <x:v>0.9000000000000002</x:v>
      </x:c>
      <x:c r="AF866" s="15" t="n">
        <x:f>'기준스탯 72종'!J42*H866</x:f>
        <x:v>0.7200000000000002</x:v>
      </x:c>
      <x:c r="AG866" s="15" t="n">
        <x:f>'기준스탯 72종'!K42*H866</x:f>
        <x:v>0.5400000000000001</x:v>
      </x:c>
    </x:row>
    <x:row r="867" ht="28" customHeight="1">
      <x:c r="A867" s="2" t="n">
        <x:v>860</x:v>
      </x:c>
      <x:c r="B867" s="2" t="n">
        <x:v>35</x:v>
      </x:c>
      <x:c r="C867" s="2" t="str">
        <x:v>처녀자리</x:v>
      </x:c>
      <x:c r="D867" s="2" t="str">
        <x:v>도적</x:v>
      </x:c>
      <x:c r="E867" s="2" t="n">
        <x:v>5</x:v>
      </x:c>
      <x:c r="F867" s="2" t="n">
        <x:v>2</x:v>
      </x:c>
      <x:c r="G867" s="14" t="n">
        <x:f>('레벨 계산식'!$E$4-E867)*'레벨 계산식'!$B$5</x:f>
        <x:v>0</x:v>
      </x:c>
      <x:c r="H867" s="14" t="n">
        <x:f>('등급 계산식'!$E$4-F867)*'등급 계산식'!$B$5</x:f>
        <x:v>0.18000000000000005</x:v>
      </x:c>
      <x:c r="I867" s="14" t="n">
        <x:f>1-G867-H867</x:f>
        <x:v>0.82</x:v>
      </x:c>
      <x:c r="J867" s="2" t="n">
        <x:f>MAX(1,ROUND('기준스탯 72종'!D42-R867-Z867,0))</x:f>
        <x:v>7</x:v>
      </x:c>
      <x:c r="K867" s="2" t="n">
        <x:f>MAX(1,ROUND('기준스탯 72종'!E42-S867-AA867,0))</x:f>
        <x:v>6</x:v>
      </x:c>
      <x:c r="L867" s="2" t="n">
        <x:f>MAX(1,ROUND('기준스탯 72종'!F42-T867-AB867,0))</x:f>
        <x:v>6</x:v>
      </x:c>
      <x:c r="M867" s="2" t="n">
        <x:f>MAX(1,ROUND('기준스탯 72종'!G42-U867-AC867,0))</x:f>
        <x:v>7</x:v>
      </x:c>
      <x:c r="N867" s="2" t="n">
        <x:f>MAX(0,ROUND('기준스탯 72종'!H42-V867-AD867,0))</x:f>
        <x:v>3</x:v>
      </x:c>
      <x:c r="O867" s="2" t="n">
        <x:f>MAX(0,ROUND('기준스탯 72종'!I42-W867-AE867,0))</x:f>
        <x:v>4</x:v>
      </x:c>
      <x:c r="P867" s="2" t="n">
        <x:f>MAX(0,ROUND('기준스탯 72종'!J42-X867-AF867,0))</x:f>
        <x:v>3</x:v>
      </x:c>
      <x:c r="Q867" s="2" t="n">
        <x:f>MAX(0,ROUND('기준스탯 72종'!K42-Y867-AG867,0))</x:f>
        <x:v>2</x:v>
      </x:c>
      <x:c r="R867" s="15" t="n">
        <x:f>'기준스탯 72종'!D42*G867</x:f>
        <x:v>0</x:v>
      </x:c>
      <x:c r="S867" s="15" t="n">
        <x:f>'기준스탯 72종'!E42*G867</x:f>
        <x:v>0</x:v>
      </x:c>
      <x:c r="T867" s="15" t="n">
        <x:f>'기준스탯 72종'!F42*G867</x:f>
        <x:v>0</x:v>
      </x:c>
      <x:c r="U867" s="15" t="n">
        <x:f>'기준스탯 72종'!G42*G867</x:f>
        <x:v>0</x:v>
      </x:c>
      <x:c r="V867" s="15" t="n">
        <x:f>'기준스탯 72종'!H42*G867</x:f>
        <x:v>0</x:v>
      </x:c>
      <x:c r="W867" s="15" t="n">
        <x:f>'기준스탯 72종'!I42*G867</x:f>
        <x:v>0</x:v>
      </x:c>
      <x:c r="X867" s="15" t="n">
        <x:f>'기준스탯 72종'!J42*G867</x:f>
        <x:v>0</x:v>
      </x:c>
      <x:c r="Y867" s="15" t="n">
        <x:f>'기준스탯 72종'!K42*G867</x:f>
        <x:v>0</x:v>
      </x:c>
      <x:c r="Z867" s="15" t="n">
        <x:f>'기준스탯 72종'!D42*H867</x:f>
        <x:v>1.4400000000000004</x:v>
      </x:c>
      <x:c r="AA867" s="15" t="n">
        <x:f>'기준스탯 72종'!E42*H867</x:f>
        <x:v>1.2600000000000002</x:v>
      </x:c>
      <x:c r="AB867" s="15" t="n">
        <x:f>'기준스탯 72종'!F42*H867</x:f>
        <x:v>1.2600000000000002</x:v>
      </x:c>
      <x:c r="AC867" s="15" t="n">
        <x:f>'기준스탯 72종'!G42*H867</x:f>
        <x:v>1.4400000000000004</x:v>
      </x:c>
      <x:c r="AD867" s="15" t="n">
        <x:f>'기준스탯 72종'!H42*H867</x:f>
        <x:v>0.7200000000000002</x:v>
      </x:c>
      <x:c r="AE867" s="15" t="n">
        <x:f>'기준스탯 72종'!I42*H867</x:f>
        <x:v>0.9000000000000002</x:v>
      </x:c>
      <x:c r="AF867" s="15" t="n">
        <x:f>'기준스탯 72종'!J42*H867</x:f>
        <x:v>0.7200000000000002</x:v>
      </x:c>
      <x:c r="AG867" s="15" t="n">
        <x:f>'기준스탯 72종'!K42*H867</x:f>
        <x:v>0.5400000000000001</x:v>
      </x:c>
    </x:row>
    <x:row r="868" ht="28" customHeight="1">
      <x:c r="A868" s="2" t="n">
        <x:v>861</x:v>
      </x:c>
      <x:c r="B868" s="2" t="n">
        <x:v>35</x:v>
      </x:c>
      <x:c r="C868" s="2" t="str">
        <x:v>처녀자리</x:v>
      </x:c>
      <x:c r="D868" s="2" t="str">
        <x:v>도적</x:v>
      </x:c>
      <x:c r="E868" s="2" t="n">
        <x:v>1</x:v>
      </x:c>
      <x:c r="F868" s="2" t="n">
        <x:v>3</x:v>
      </x:c>
      <x:c r="G868" s="14" t="n">
        <x:f>('레벨 계산식'!$E$4-E868)*'레벨 계산식'!$B$5</x:f>
        <x:v>0.5599999999999999</x:v>
      </x:c>
      <x:c r="H868" s="14" t="n">
        <x:f>('등급 계산식'!$E$4-F868)*'등급 계산식'!$B$5</x:f>
        <x:v>0.12000000000000002</x:v>
      </x:c>
      <x:c r="I868" s="14" t="n">
        <x:f>1-G868-H868</x:f>
        <x:v>0.32000000000000006</x:v>
      </x:c>
      <x:c r="J868" s="2" t="n">
        <x:f>MAX(1,ROUND('기준스탯 72종'!D42-R868-Z868,0))</x:f>
        <x:v>3</x:v>
      </x:c>
      <x:c r="K868" s="2" t="n">
        <x:f>MAX(1,ROUND('기준스탯 72종'!E42-S868-AA868,0))</x:f>
        <x:v>2</x:v>
      </x:c>
      <x:c r="L868" s="2" t="n">
        <x:f>MAX(1,ROUND('기준스탯 72종'!F42-T868-AB868,0))</x:f>
        <x:v>2</x:v>
      </x:c>
      <x:c r="M868" s="2" t="n">
        <x:f>MAX(1,ROUND('기준스탯 72종'!G42-U868-AC868,0))</x:f>
        <x:v>3</x:v>
      </x:c>
      <x:c r="N868" s="2" t="n">
        <x:f>MAX(0,ROUND('기준스탯 72종'!H42-V868-AD868,0))</x:f>
        <x:v>1</x:v>
      </x:c>
      <x:c r="O868" s="2" t="n">
        <x:f>MAX(0,ROUND('기준스탯 72종'!I42-W868-AE868,0))</x:f>
        <x:v>2</x:v>
      </x:c>
      <x:c r="P868" s="2" t="n">
        <x:f>MAX(0,ROUND('기준스탯 72종'!J42-X868-AF868,0))</x:f>
        <x:v>1</x:v>
      </x:c>
      <x:c r="Q868" s="2" t="n">
        <x:f>MAX(0,ROUND('기준스탯 72종'!K42-Y868-AG868,0))</x:f>
        <x:v>1</x:v>
      </x:c>
      <x:c r="R868" s="15" t="n">
        <x:f>'기준스탯 72종'!D42*G868</x:f>
        <x:v>4.4799999999999995</x:v>
      </x:c>
      <x:c r="S868" s="15" t="n">
        <x:f>'기준스탯 72종'!E42*G868</x:f>
        <x:v>3.9199999999999995</x:v>
      </x:c>
      <x:c r="T868" s="15" t="n">
        <x:f>'기준스탯 72종'!F42*G868</x:f>
        <x:v>3.9199999999999995</x:v>
      </x:c>
      <x:c r="U868" s="15" t="n">
        <x:f>'기준스탯 72종'!G42*G868</x:f>
        <x:v>4.4799999999999995</x:v>
      </x:c>
      <x:c r="V868" s="15" t="n">
        <x:f>'기준스탯 72종'!H42*G868</x:f>
        <x:v>2.2399999999999998</x:v>
      </x:c>
      <x:c r="W868" s="15" t="n">
        <x:f>'기준스탯 72종'!I42*G868</x:f>
        <x:v>2.8</x:v>
      </x:c>
      <x:c r="X868" s="15" t="n">
        <x:f>'기준스탯 72종'!J42*G868</x:f>
        <x:v>2.2399999999999998</x:v>
      </x:c>
      <x:c r="Y868" s="15" t="n">
        <x:f>'기준스탯 72종'!K42*G868</x:f>
        <x:v>1.6799999999999997</x:v>
      </x:c>
      <x:c r="Z868" s="15" t="n">
        <x:f>'기준스탯 72종'!D42*H868</x:f>
        <x:v>0.9600000000000002</x:v>
      </x:c>
      <x:c r="AA868" s="15" t="n">
        <x:f>'기준스탯 72종'!E42*H868</x:f>
        <x:v>0.8400000000000002</x:v>
      </x:c>
      <x:c r="AB868" s="15" t="n">
        <x:f>'기준스탯 72종'!F42*H868</x:f>
        <x:v>0.8400000000000002</x:v>
      </x:c>
      <x:c r="AC868" s="15" t="n">
        <x:f>'기준스탯 72종'!G42*H868</x:f>
        <x:v>0.9600000000000002</x:v>
      </x:c>
      <x:c r="AD868" s="15" t="n">
        <x:f>'기준스탯 72종'!H42*H868</x:f>
        <x:v>0.4800000000000001</x:v>
      </x:c>
      <x:c r="AE868" s="15" t="n">
        <x:f>'기준스탯 72종'!I42*H868</x:f>
        <x:v>0.6000000000000001</x:v>
      </x:c>
      <x:c r="AF868" s="15" t="n">
        <x:f>'기준스탯 72종'!J42*H868</x:f>
        <x:v>0.4800000000000001</x:v>
      </x:c>
      <x:c r="AG868" s="15" t="n">
        <x:f>'기준스탯 72종'!K42*H868</x:f>
        <x:v>0.3600000000000001</x:v>
      </x:c>
    </x:row>
    <x:row r="869" ht="28" customHeight="1">
      <x:c r="A869" s="2" t="n">
        <x:v>862</x:v>
      </x:c>
      <x:c r="B869" s="2" t="n">
        <x:v>35</x:v>
      </x:c>
      <x:c r="C869" s="2" t="str">
        <x:v>처녀자리</x:v>
      </x:c>
      <x:c r="D869" s="2" t="str">
        <x:v>도적</x:v>
      </x:c>
      <x:c r="E869" s="2" t="n">
        <x:v>2</x:v>
      </x:c>
      <x:c r="F869" s="2" t="n">
        <x:v>3</x:v>
      </x:c>
      <x:c r="G869" s="14" t="n">
        <x:f>('레벨 계산식'!$E$4-E869)*'레벨 계산식'!$B$5</x:f>
        <x:v>0.41999999999999993</x:v>
      </x:c>
      <x:c r="H869" s="14" t="n">
        <x:f>('등급 계산식'!$E$4-F869)*'등급 계산식'!$B$5</x:f>
        <x:v>0.12000000000000002</x:v>
      </x:c>
      <x:c r="I869" s="14" t="n">
        <x:f>1-G869-H869</x:f>
        <x:v>0.4600000000000001</x:v>
      </x:c>
      <x:c r="J869" s="2" t="n">
        <x:f>MAX(1,ROUND('기준스탯 72종'!D42-R869-Z869,0))</x:f>
        <x:v>4</x:v>
      </x:c>
      <x:c r="K869" s="2" t="n">
        <x:f>MAX(1,ROUND('기준스탯 72종'!E42-S869-AA869,0))</x:f>
        <x:v>3</x:v>
      </x:c>
      <x:c r="L869" s="2" t="n">
        <x:f>MAX(1,ROUND('기준스탯 72종'!F42-T869-AB869,0))</x:f>
        <x:v>3</x:v>
      </x:c>
      <x:c r="M869" s="2" t="n">
        <x:f>MAX(1,ROUND('기준스탯 72종'!G42-U869-AC869,0))</x:f>
        <x:v>4</x:v>
      </x:c>
      <x:c r="N869" s="2" t="n">
        <x:f>MAX(0,ROUND('기준스탯 72종'!H42-V869-AD869,0))</x:f>
        <x:v>2</x:v>
      </x:c>
      <x:c r="O869" s="2" t="n">
        <x:f>MAX(0,ROUND('기준스탯 72종'!I42-W869-AE869,0))</x:f>
        <x:v>2</x:v>
      </x:c>
      <x:c r="P869" s="2" t="n">
        <x:f>MAX(0,ROUND('기준스탯 72종'!J42-X869-AF869,0))</x:f>
        <x:v>2</x:v>
      </x:c>
      <x:c r="Q869" s="2" t="n">
        <x:f>MAX(0,ROUND('기준스탯 72종'!K42-Y869-AG869,0))</x:f>
        <x:v>1</x:v>
      </x:c>
      <x:c r="R869" s="15" t="n">
        <x:f>'기준스탯 72종'!D42*G869</x:f>
        <x:v>3.3599999999999994</x:v>
      </x:c>
      <x:c r="S869" s="15" t="n">
        <x:f>'기준스탯 72종'!E42*G869</x:f>
        <x:v>2.9399999999999995</x:v>
      </x:c>
      <x:c r="T869" s="15" t="n">
        <x:f>'기준스탯 72종'!F42*G869</x:f>
        <x:v>2.9399999999999995</x:v>
      </x:c>
      <x:c r="U869" s="15" t="n">
        <x:f>'기준스탯 72종'!G42*G869</x:f>
        <x:v>3.3599999999999994</x:v>
      </x:c>
      <x:c r="V869" s="15" t="n">
        <x:f>'기준스탯 72종'!H42*G869</x:f>
        <x:v>1.6799999999999997</x:v>
      </x:c>
      <x:c r="W869" s="15" t="n">
        <x:f>'기준스탯 72종'!I42*G869</x:f>
        <x:v>2.0999999999999996</x:v>
      </x:c>
      <x:c r="X869" s="15" t="n">
        <x:f>'기준스탯 72종'!J42*G869</x:f>
        <x:v>1.6799999999999997</x:v>
      </x:c>
      <x:c r="Y869" s="15" t="n">
        <x:f>'기준스탯 72종'!K42*G869</x:f>
        <x:v>1.2599999999999998</x:v>
      </x:c>
      <x:c r="Z869" s="15" t="n">
        <x:f>'기준스탯 72종'!D42*H869</x:f>
        <x:v>0.9600000000000002</x:v>
      </x:c>
      <x:c r="AA869" s="15" t="n">
        <x:f>'기준스탯 72종'!E42*H869</x:f>
        <x:v>0.8400000000000002</x:v>
      </x:c>
      <x:c r="AB869" s="15" t="n">
        <x:f>'기준스탯 72종'!F42*H869</x:f>
        <x:v>0.8400000000000002</x:v>
      </x:c>
      <x:c r="AC869" s="15" t="n">
        <x:f>'기준스탯 72종'!G42*H869</x:f>
        <x:v>0.9600000000000002</x:v>
      </x:c>
      <x:c r="AD869" s="15" t="n">
        <x:f>'기준스탯 72종'!H42*H869</x:f>
        <x:v>0.4800000000000001</x:v>
      </x:c>
      <x:c r="AE869" s="15" t="n">
        <x:f>'기준스탯 72종'!I42*H869</x:f>
        <x:v>0.6000000000000001</x:v>
      </x:c>
      <x:c r="AF869" s="15" t="n">
        <x:f>'기준스탯 72종'!J42*H869</x:f>
        <x:v>0.4800000000000001</x:v>
      </x:c>
      <x:c r="AG869" s="15" t="n">
        <x:f>'기준스탯 72종'!K42*H869</x:f>
        <x:v>0.3600000000000001</x:v>
      </x:c>
    </x:row>
    <x:row r="870" ht="28" customHeight="1">
      <x:c r="A870" s="2" t="n">
        <x:v>863</x:v>
      </x:c>
      <x:c r="B870" s="2" t="n">
        <x:v>35</x:v>
      </x:c>
      <x:c r="C870" s="2" t="str">
        <x:v>처녀자리</x:v>
      </x:c>
      <x:c r="D870" s="2" t="str">
        <x:v>도적</x:v>
      </x:c>
      <x:c r="E870" s="2" t="n">
        <x:v>3</x:v>
      </x:c>
      <x:c r="F870" s="2" t="n">
        <x:v>3</x:v>
      </x:c>
      <x:c r="G870" s="14" t="n">
        <x:f>('레벨 계산식'!$E$4-E870)*'레벨 계산식'!$B$5</x:f>
        <x:v>0.27999999999999997</x:v>
      </x:c>
      <x:c r="H870" s="14" t="n">
        <x:f>('등급 계산식'!$E$4-F870)*'등급 계산식'!$B$5</x:f>
        <x:v>0.12000000000000002</x:v>
      </x:c>
      <x:c r="I870" s="14" t="n">
        <x:f>1-G870-H870</x:f>
        <x:v>0.6</x:v>
      </x:c>
      <x:c r="J870" s="2" t="n">
        <x:f>MAX(1,ROUND('기준스탯 72종'!D42-R870-Z870,0))</x:f>
        <x:v>5</x:v>
      </x:c>
      <x:c r="K870" s="2" t="n">
        <x:f>MAX(1,ROUND('기준스탯 72종'!E42-S870-AA870,0))</x:f>
        <x:v>4</x:v>
      </x:c>
      <x:c r="L870" s="2" t="n">
        <x:f>MAX(1,ROUND('기준스탯 72종'!F42-T870-AB870,0))</x:f>
        <x:v>4</x:v>
      </x:c>
      <x:c r="M870" s="2" t="n">
        <x:f>MAX(1,ROUND('기준스탯 72종'!G42-U870-AC870,0))</x:f>
        <x:v>5</x:v>
      </x:c>
      <x:c r="N870" s="2" t="n">
        <x:f>MAX(0,ROUND('기준스탯 72종'!H42-V870-AD870,0))</x:f>
        <x:v>2</x:v>
      </x:c>
      <x:c r="O870" s="2" t="n">
        <x:f>MAX(0,ROUND('기준스탯 72종'!I42-W870-AE870,0))</x:f>
        <x:v>3</x:v>
      </x:c>
      <x:c r="P870" s="2" t="n">
        <x:f>MAX(0,ROUND('기준스탯 72종'!J42-X870-AF870,0))</x:f>
        <x:v>2</x:v>
      </x:c>
      <x:c r="Q870" s="2" t="n">
        <x:f>MAX(0,ROUND('기준스탯 72종'!K42-Y870-AG870,0))</x:f>
        <x:v>2</x:v>
      </x:c>
      <x:c r="R870" s="15" t="n">
        <x:f>'기준스탯 72종'!D42*G870</x:f>
        <x:v>2.2399999999999998</x:v>
      </x:c>
      <x:c r="S870" s="15" t="n">
        <x:f>'기준스탯 72종'!E42*G870</x:f>
        <x:v>1.9599999999999997</x:v>
      </x:c>
      <x:c r="T870" s="15" t="n">
        <x:f>'기준스탯 72종'!F42*G870</x:f>
        <x:v>1.9599999999999997</x:v>
      </x:c>
      <x:c r="U870" s="15" t="n">
        <x:f>'기준스탯 72종'!G42*G870</x:f>
        <x:v>2.2399999999999998</x:v>
      </x:c>
      <x:c r="V870" s="15" t="n">
        <x:f>'기준스탯 72종'!H42*G870</x:f>
        <x:v>1.1199999999999999</x:v>
      </x:c>
      <x:c r="W870" s="15" t="n">
        <x:f>'기준스탯 72종'!I42*G870</x:f>
        <x:v>1.4</x:v>
      </x:c>
      <x:c r="X870" s="15" t="n">
        <x:f>'기준스탯 72종'!J42*G870</x:f>
        <x:v>1.1199999999999999</x:v>
      </x:c>
      <x:c r="Y870" s="15" t="n">
        <x:f>'기준스탯 72종'!K42*G870</x:f>
        <x:v>0.8399999999999999</x:v>
      </x:c>
      <x:c r="Z870" s="15" t="n">
        <x:f>'기준스탯 72종'!D42*H870</x:f>
        <x:v>0.9600000000000002</x:v>
      </x:c>
      <x:c r="AA870" s="15" t="n">
        <x:f>'기준스탯 72종'!E42*H870</x:f>
        <x:v>0.8400000000000002</x:v>
      </x:c>
      <x:c r="AB870" s="15" t="n">
        <x:f>'기준스탯 72종'!F42*H870</x:f>
        <x:v>0.8400000000000002</x:v>
      </x:c>
      <x:c r="AC870" s="15" t="n">
        <x:f>'기준스탯 72종'!G42*H870</x:f>
        <x:v>0.9600000000000002</x:v>
      </x:c>
      <x:c r="AD870" s="15" t="n">
        <x:f>'기준스탯 72종'!H42*H870</x:f>
        <x:v>0.4800000000000001</x:v>
      </x:c>
      <x:c r="AE870" s="15" t="n">
        <x:f>'기준스탯 72종'!I42*H870</x:f>
        <x:v>0.6000000000000001</x:v>
      </x:c>
      <x:c r="AF870" s="15" t="n">
        <x:f>'기준스탯 72종'!J42*H870</x:f>
        <x:v>0.4800000000000001</x:v>
      </x:c>
      <x:c r="AG870" s="15" t="n">
        <x:f>'기준스탯 72종'!K42*H870</x:f>
        <x:v>0.3600000000000001</x:v>
      </x:c>
    </x:row>
    <x:row r="871" ht="28" customHeight="1">
      <x:c r="A871" s="2" t="n">
        <x:v>864</x:v>
      </x:c>
      <x:c r="B871" s="2" t="n">
        <x:v>35</x:v>
      </x:c>
      <x:c r="C871" s="2" t="str">
        <x:v>처녀자리</x:v>
      </x:c>
      <x:c r="D871" s="2" t="str">
        <x:v>도적</x:v>
      </x:c>
      <x:c r="E871" s="2" t="n">
        <x:v>4</x:v>
      </x:c>
      <x:c r="F871" s="2" t="n">
        <x:v>3</x:v>
      </x:c>
      <x:c r="G871" s="14" t="n">
        <x:f>('레벨 계산식'!$E$4-E871)*'레벨 계산식'!$B$5</x:f>
        <x:v>0.13999999999999999</x:v>
      </x:c>
      <x:c r="H871" s="14" t="n">
        <x:f>('등급 계산식'!$E$4-F871)*'등급 계산식'!$B$5</x:f>
        <x:v>0.12000000000000002</x:v>
      </x:c>
      <x:c r="I871" s="14" t="n">
        <x:f>1-G871-H871</x:f>
        <x:v>0.74</x:v>
      </x:c>
      <x:c r="J871" s="2" t="n">
        <x:f>MAX(1,ROUND('기준스탯 72종'!D42-R871-Z871,0))</x:f>
        <x:v>6</x:v>
      </x:c>
      <x:c r="K871" s="2" t="n">
        <x:f>MAX(1,ROUND('기준스탯 72종'!E42-S871-AA871,0))</x:f>
        <x:v>5</x:v>
      </x:c>
      <x:c r="L871" s="2" t="n">
        <x:f>MAX(1,ROUND('기준스탯 72종'!F42-T871-AB871,0))</x:f>
        <x:v>5</x:v>
      </x:c>
      <x:c r="M871" s="2" t="n">
        <x:f>MAX(1,ROUND('기준스탯 72종'!G42-U871-AC871,0))</x:f>
        <x:v>6</x:v>
      </x:c>
      <x:c r="N871" s="2" t="n">
        <x:f>MAX(0,ROUND('기준스탯 72종'!H42-V871-AD871,0))</x:f>
        <x:v>3</x:v>
      </x:c>
      <x:c r="O871" s="2" t="n">
        <x:f>MAX(0,ROUND('기준스탯 72종'!I42-W871-AE871,0))</x:f>
        <x:v>4</x:v>
      </x:c>
      <x:c r="P871" s="2" t="n">
        <x:f>MAX(0,ROUND('기준스탯 72종'!J42-X871-AF871,0))</x:f>
        <x:v>3</x:v>
      </x:c>
      <x:c r="Q871" s="2" t="n">
        <x:f>MAX(0,ROUND('기준스탯 72종'!K42-Y871-AG871,0))</x:f>
        <x:v>2</x:v>
      </x:c>
      <x:c r="R871" s="15" t="n">
        <x:f>'기준스탯 72종'!D42*G871</x:f>
        <x:v>1.1199999999999999</x:v>
      </x:c>
      <x:c r="S871" s="15" t="n">
        <x:f>'기준스탯 72종'!E42*G871</x:f>
        <x:v>0.9799999999999999</x:v>
      </x:c>
      <x:c r="T871" s="15" t="n">
        <x:f>'기준스탯 72종'!F42*G871</x:f>
        <x:v>0.9799999999999999</x:v>
      </x:c>
      <x:c r="U871" s="15" t="n">
        <x:f>'기준스탯 72종'!G42*G871</x:f>
        <x:v>1.1199999999999999</x:v>
      </x:c>
      <x:c r="V871" s="15" t="n">
        <x:f>'기준스탯 72종'!H42*G871</x:f>
        <x:v>0.5599999999999999</x:v>
      </x:c>
      <x:c r="W871" s="15" t="n">
        <x:f>'기준스탯 72종'!I42*G871</x:f>
        <x:v>0.7</x:v>
      </x:c>
      <x:c r="X871" s="15" t="n">
        <x:f>'기준스탯 72종'!J42*G871</x:f>
        <x:v>0.5599999999999999</x:v>
      </x:c>
      <x:c r="Y871" s="15" t="n">
        <x:f>'기준스탯 72종'!K42*G871</x:f>
        <x:v>0.41999999999999993</x:v>
      </x:c>
      <x:c r="Z871" s="15" t="n">
        <x:f>'기준스탯 72종'!D42*H871</x:f>
        <x:v>0.9600000000000002</x:v>
      </x:c>
      <x:c r="AA871" s="15" t="n">
        <x:f>'기준스탯 72종'!E42*H871</x:f>
        <x:v>0.8400000000000002</x:v>
      </x:c>
      <x:c r="AB871" s="15" t="n">
        <x:f>'기준스탯 72종'!F42*H871</x:f>
        <x:v>0.8400000000000002</x:v>
      </x:c>
      <x:c r="AC871" s="15" t="n">
        <x:f>'기준스탯 72종'!G42*H871</x:f>
        <x:v>0.9600000000000002</x:v>
      </x:c>
      <x:c r="AD871" s="15" t="n">
        <x:f>'기준스탯 72종'!H42*H871</x:f>
        <x:v>0.4800000000000001</x:v>
      </x:c>
      <x:c r="AE871" s="15" t="n">
        <x:f>'기준스탯 72종'!I42*H871</x:f>
        <x:v>0.6000000000000001</x:v>
      </x:c>
      <x:c r="AF871" s="15" t="n">
        <x:f>'기준스탯 72종'!J42*H871</x:f>
        <x:v>0.4800000000000001</x:v>
      </x:c>
      <x:c r="AG871" s="15" t="n">
        <x:f>'기준스탯 72종'!K42*H871</x:f>
        <x:v>0.3600000000000001</x:v>
      </x:c>
    </x:row>
    <x:row r="872" ht="28" customHeight="1">
      <x:c r="A872" s="2" t="n">
        <x:v>865</x:v>
      </x:c>
      <x:c r="B872" s="2" t="n">
        <x:v>35</x:v>
      </x:c>
      <x:c r="C872" s="2" t="str">
        <x:v>처녀자리</x:v>
      </x:c>
      <x:c r="D872" s="2" t="str">
        <x:v>도적</x:v>
      </x:c>
      <x:c r="E872" s="2" t="n">
        <x:v>5</x:v>
      </x:c>
      <x:c r="F872" s="2" t="n">
        <x:v>3</x:v>
      </x:c>
      <x:c r="G872" s="14" t="n">
        <x:f>('레벨 계산식'!$E$4-E872)*'레벨 계산식'!$B$5</x:f>
        <x:v>0</x:v>
      </x:c>
      <x:c r="H872" s="14" t="n">
        <x:f>('등급 계산식'!$E$4-F872)*'등급 계산식'!$B$5</x:f>
        <x:v>0.12000000000000002</x:v>
      </x:c>
      <x:c r="I872" s="14" t="n">
        <x:f>1-G872-H872</x:f>
        <x:v>0.88</x:v>
      </x:c>
      <x:c r="J872" s="2" t="n">
        <x:f>MAX(1,ROUND('기준스탯 72종'!D42-R872-Z872,0))</x:f>
        <x:v>7</x:v>
      </x:c>
      <x:c r="K872" s="2" t="n">
        <x:f>MAX(1,ROUND('기준스탯 72종'!E42-S872-AA872,0))</x:f>
        <x:v>6</x:v>
      </x:c>
      <x:c r="L872" s="2" t="n">
        <x:f>MAX(1,ROUND('기준스탯 72종'!F42-T872-AB872,0))</x:f>
        <x:v>6</x:v>
      </x:c>
      <x:c r="M872" s="2" t="n">
        <x:f>MAX(1,ROUND('기준스탯 72종'!G42-U872-AC872,0))</x:f>
        <x:v>7</x:v>
      </x:c>
      <x:c r="N872" s="2" t="n">
        <x:f>MAX(0,ROUND('기준스탯 72종'!H42-V872-AD872,0))</x:f>
        <x:v>4</x:v>
      </x:c>
      <x:c r="O872" s="2" t="n">
        <x:f>MAX(0,ROUND('기준스탯 72종'!I42-W872-AE872,0))</x:f>
        <x:v>4</x:v>
      </x:c>
      <x:c r="P872" s="2" t="n">
        <x:f>MAX(0,ROUND('기준스탯 72종'!J42-X872-AF872,0))</x:f>
        <x:v>4</x:v>
      </x:c>
      <x:c r="Q872" s="2" t="n">
        <x:f>MAX(0,ROUND('기준스탯 72종'!K42-Y872-AG872,0))</x:f>
        <x:v>3</x:v>
      </x:c>
      <x:c r="R872" s="15" t="n">
        <x:f>'기준스탯 72종'!D42*G872</x:f>
        <x:v>0</x:v>
      </x:c>
      <x:c r="S872" s="15" t="n">
        <x:f>'기준스탯 72종'!E42*G872</x:f>
        <x:v>0</x:v>
      </x:c>
      <x:c r="T872" s="15" t="n">
        <x:f>'기준스탯 72종'!F42*G872</x:f>
        <x:v>0</x:v>
      </x:c>
      <x:c r="U872" s="15" t="n">
        <x:f>'기준스탯 72종'!G42*G872</x:f>
        <x:v>0</x:v>
      </x:c>
      <x:c r="V872" s="15" t="n">
        <x:f>'기준스탯 72종'!H42*G872</x:f>
        <x:v>0</x:v>
      </x:c>
      <x:c r="W872" s="15" t="n">
        <x:f>'기준스탯 72종'!I42*G872</x:f>
        <x:v>0</x:v>
      </x:c>
      <x:c r="X872" s="15" t="n">
        <x:f>'기준스탯 72종'!J42*G872</x:f>
        <x:v>0</x:v>
      </x:c>
      <x:c r="Y872" s="15" t="n">
        <x:f>'기준스탯 72종'!K42*G872</x:f>
        <x:v>0</x:v>
      </x:c>
      <x:c r="Z872" s="15" t="n">
        <x:f>'기준스탯 72종'!D42*H872</x:f>
        <x:v>0.9600000000000002</x:v>
      </x:c>
      <x:c r="AA872" s="15" t="n">
        <x:f>'기준스탯 72종'!E42*H872</x:f>
        <x:v>0.8400000000000002</x:v>
      </x:c>
      <x:c r="AB872" s="15" t="n">
        <x:f>'기준스탯 72종'!F42*H872</x:f>
        <x:v>0.8400000000000002</x:v>
      </x:c>
      <x:c r="AC872" s="15" t="n">
        <x:f>'기준스탯 72종'!G42*H872</x:f>
        <x:v>0.9600000000000002</x:v>
      </x:c>
      <x:c r="AD872" s="15" t="n">
        <x:f>'기준스탯 72종'!H42*H872</x:f>
        <x:v>0.4800000000000001</x:v>
      </x:c>
      <x:c r="AE872" s="15" t="n">
        <x:f>'기준스탯 72종'!I42*H872</x:f>
        <x:v>0.6000000000000001</x:v>
      </x:c>
      <x:c r="AF872" s="15" t="n">
        <x:f>'기준스탯 72종'!J42*H872</x:f>
        <x:v>0.4800000000000001</x:v>
      </x:c>
      <x:c r="AG872" s="15" t="n">
        <x:f>'기준스탯 72종'!K42*H872</x:f>
        <x:v>0.3600000000000001</x:v>
      </x:c>
    </x:row>
    <x:row r="873" ht="28" customHeight="1">
      <x:c r="A873" s="2" t="n">
        <x:v>866</x:v>
      </x:c>
      <x:c r="B873" s="2" t="n">
        <x:v>35</x:v>
      </x:c>
      <x:c r="C873" s="2" t="str">
        <x:v>처녀자리</x:v>
      </x:c>
      <x:c r="D873" s="2" t="str">
        <x:v>도적</x:v>
      </x:c>
      <x:c r="E873" s="2" t="n">
        <x:v>1</x:v>
      </x:c>
      <x:c r="F873" s="2" t="n">
        <x:v>4</x:v>
      </x:c>
      <x:c r="G873" s="14" t="n">
        <x:f>('레벨 계산식'!$E$4-E873)*'레벨 계산식'!$B$5</x:f>
        <x:v>0.5599999999999999</x:v>
      </x:c>
      <x:c r="H873" s="14" t="n">
        <x:f>('등급 계산식'!$E$4-F873)*'등급 계산식'!$B$5</x:f>
        <x:v>0.06000000000000001</x:v>
      </x:c>
      <x:c r="I873" s="14" t="n">
        <x:f>1-G873-H873</x:f>
        <x:v>0.38000000000000006</x:v>
      </x:c>
      <x:c r="J873" s="2" t="n">
        <x:f>MAX(1,ROUND('기준스탯 72종'!D42-R873-Z873,0))</x:f>
        <x:v>3</x:v>
      </x:c>
      <x:c r="K873" s="2" t="n">
        <x:f>MAX(1,ROUND('기준스탯 72종'!E42-S873-AA873,0))</x:f>
        <x:v>3</x:v>
      </x:c>
      <x:c r="L873" s="2" t="n">
        <x:f>MAX(1,ROUND('기준스탯 72종'!F42-T873-AB873,0))</x:f>
        <x:v>3</x:v>
      </x:c>
      <x:c r="M873" s="2" t="n">
        <x:f>MAX(1,ROUND('기준스탯 72종'!G42-U873-AC873,0))</x:f>
        <x:v>3</x:v>
      </x:c>
      <x:c r="N873" s="2" t="n">
        <x:f>MAX(0,ROUND('기준스탯 72종'!H42-V873-AD873,0))</x:f>
        <x:v>2</x:v>
      </x:c>
      <x:c r="O873" s="2" t="n">
        <x:f>MAX(0,ROUND('기준스탯 72종'!I42-W873-AE873,0))</x:f>
        <x:v>2</x:v>
      </x:c>
      <x:c r="P873" s="2" t="n">
        <x:f>MAX(0,ROUND('기준스탯 72종'!J42-X873-AF873,0))</x:f>
        <x:v>2</x:v>
      </x:c>
      <x:c r="Q873" s="2" t="n">
        <x:f>MAX(0,ROUND('기준스탯 72종'!K42-Y873-AG873,0))</x:f>
        <x:v>1</x:v>
      </x:c>
      <x:c r="R873" s="15" t="n">
        <x:f>'기준스탯 72종'!D42*G873</x:f>
        <x:v>4.4799999999999995</x:v>
      </x:c>
      <x:c r="S873" s="15" t="n">
        <x:f>'기준스탯 72종'!E42*G873</x:f>
        <x:v>3.9199999999999995</x:v>
      </x:c>
      <x:c r="T873" s="15" t="n">
        <x:f>'기준스탯 72종'!F42*G873</x:f>
        <x:v>3.9199999999999995</x:v>
      </x:c>
      <x:c r="U873" s="15" t="n">
        <x:f>'기준스탯 72종'!G42*G873</x:f>
        <x:v>4.4799999999999995</x:v>
      </x:c>
      <x:c r="V873" s="15" t="n">
        <x:f>'기준스탯 72종'!H42*G873</x:f>
        <x:v>2.2399999999999998</x:v>
      </x:c>
      <x:c r="W873" s="15" t="n">
        <x:f>'기준스탯 72종'!I42*G873</x:f>
        <x:v>2.8</x:v>
      </x:c>
      <x:c r="X873" s="15" t="n">
        <x:f>'기준스탯 72종'!J42*G873</x:f>
        <x:v>2.2399999999999998</x:v>
      </x:c>
      <x:c r="Y873" s="15" t="n">
        <x:f>'기준스탯 72종'!K42*G873</x:f>
        <x:v>1.6799999999999997</x:v>
      </x:c>
      <x:c r="Z873" s="15" t="n">
        <x:f>'기준스탯 72종'!D42*H873</x:f>
        <x:v>0.4800000000000001</x:v>
      </x:c>
      <x:c r="AA873" s="15" t="n">
        <x:f>'기준스탯 72종'!E42*H873</x:f>
        <x:v>0.4200000000000001</x:v>
      </x:c>
      <x:c r="AB873" s="15" t="n">
        <x:f>'기준스탯 72종'!F42*H873</x:f>
        <x:v>0.4200000000000001</x:v>
      </x:c>
      <x:c r="AC873" s="15" t="n">
        <x:f>'기준스탯 72종'!G42*H873</x:f>
        <x:v>0.4800000000000001</x:v>
      </x:c>
      <x:c r="AD873" s="15" t="n">
        <x:f>'기준스탯 72종'!H42*H873</x:f>
        <x:v>0.24000000000000005</x:v>
      </x:c>
      <x:c r="AE873" s="15" t="n">
        <x:f>'기준스탯 72종'!I42*H873</x:f>
        <x:v>0.30000000000000004</x:v>
      </x:c>
      <x:c r="AF873" s="15" t="n">
        <x:f>'기준스탯 72종'!J42*H873</x:f>
        <x:v>0.24000000000000005</x:v>
      </x:c>
      <x:c r="AG873" s="15" t="n">
        <x:f>'기준스탯 72종'!K42*H873</x:f>
        <x:v>0.18000000000000005</x:v>
      </x:c>
    </x:row>
    <x:row r="874" ht="28" customHeight="1">
      <x:c r="A874" s="2" t="n">
        <x:v>867</x:v>
      </x:c>
      <x:c r="B874" s="2" t="n">
        <x:v>35</x:v>
      </x:c>
      <x:c r="C874" s="2" t="str">
        <x:v>처녀자리</x:v>
      </x:c>
      <x:c r="D874" s="2" t="str">
        <x:v>도적</x:v>
      </x:c>
      <x:c r="E874" s="2" t="n">
        <x:v>2</x:v>
      </x:c>
      <x:c r="F874" s="2" t="n">
        <x:v>4</x:v>
      </x:c>
      <x:c r="G874" s="14" t="n">
        <x:f>('레벨 계산식'!$E$4-E874)*'레벨 계산식'!$B$5</x:f>
        <x:v>0.41999999999999993</x:v>
      </x:c>
      <x:c r="H874" s="14" t="n">
        <x:f>('등급 계산식'!$E$4-F874)*'등급 계산식'!$B$5</x:f>
        <x:v>0.06000000000000001</x:v>
      </x:c>
      <x:c r="I874" s="14" t="n">
        <x:f>1-G874-H874</x:f>
        <x:v>0.52</x:v>
      </x:c>
      <x:c r="J874" s="2" t="n">
        <x:f>MAX(1,ROUND('기준스탯 72종'!D42-R874-Z874,0))</x:f>
        <x:v>4</x:v>
      </x:c>
      <x:c r="K874" s="2" t="n">
        <x:f>MAX(1,ROUND('기준스탯 72종'!E42-S874-AA874,0))</x:f>
        <x:v>4</x:v>
      </x:c>
      <x:c r="L874" s="2" t="n">
        <x:f>MAX(1,ROUND('기준스탯 72종'!F42-T874-AB874,0))</x:f>
        <x:v>4</x:v>
      </x:c>
      <x:c r="M874" s="2" t="n">
        <x:f>MAX(1,ROUND('기준스탯 72종'!G42-U874-AC874,0))</x:f>
        <x:v>4</x:v>
      </x:c>
      <x:c r="N874" s="2" t="n">
        <x:f>MAX(0,ROUND('기준스탯 72종'!H42-V874-AD874,0))</x:f>
        <x:v>2</x:v>
      </x:c>
      <x:c r="O874" s="2" t="n">
        <x:f>MAX(0,ROUND('기준스탯 72종'!I42-W874-AE874,0))</x:f>
        <x:v>3</x:v>
      </x:c>
      <x:c r="P874" s="2" t="n">
        <x:f>MAX(0,ROUND('기준스탯 72종'!J42-X874-AF874,0))</x:f>
        <x:v>2</x:v>
      </x:c>
      <x:c r="Q874" s="2" t="n">
        <x:f>MAX(0,ROUND('기준스탯 72종'!K42-Y874-AG874,0))</x:f>
        <x:v>2</x:v>
      </x:c>
      <x:c r="R874" s="15" t="n">
        <x:f>'기준스탯 72종'!D42*G874</x:f>
        <x:v>3.3599999999999994</x:v>
      </x:c>
      <x:c r="S874" s="15" t="n">
        <x:f>'기준스탯 72종'!E42*G874</x:f>
        <x:v>2.9399999999999995</x:v>
      </x:c>
      <x:c r="T874" s="15" t="n">
        <x:f>'기준스탯 72종'!F42*G874</x:f>
        <x:v>2.9399999999999995</x:v>
      </x:c>
      <x:c r="U874" s="15" t="n">
        <x:f>'기준스탯 72종'!G42*G874</x:f>
        <x:v>3.3599999999999994</x:v>
      </x:c>
      <x:c r="V874" s="15" t="n">
        <x:f>'기준스탯 72종'!H42*G874</x:f>
        <x:v>1.6799999999999997</x:v>
      </x:c>
      <x:c r="W874" s="15" t="n">
        <x:f>'기준스탯 72종'!I42*G874</x:f>
        <x:v>2.0999999999999996</x:v>
      </x:c>
      <x:c r="X874" s="15" t="n">
        <x:f>'기준스탯 72종'!J42*G874</x:f>
        <x:v>1.6799999999999997</x:v>
      </x:c>
      <x:c r="Y874" s="15" t="n">
        <x:f>'기준스탯 72종'!K42*G874</x:f>
        <x:v>1.2599999999999998</x:v>
      </x:c>
      <x:c r="Z874" s="15" t="n">
        <x:f>'기준스탯 72종'!D42*H874</x:f>
        <x:v>0.4800000000000001</x:v>
      </x:c>
      <x:c r="AA874" s="15" t="n">
        <x:f>'기준스탯 72종'!E42*H874</x:f>
        <x:v>0.4200000000000001</x:v>
      </x:c>
      <x:c r="AB874" s="15" t="n">
        <x:f>'기준스탯 72종'!F42*H874</x:f>
        <x:v>0.4200000000000001</x:v>
      </x:c>
      <x:c r="AC874" s="15" t="n">
        <x:f>'기준스탯 72종'!G42*H874</x:f>
        <x:v>0.4800000000000001</x:v>
      </x:c>
      <x:c r="AD874" s="15" t="n">
        <x:f>'기준스탯 72종'!H42*H874</x:f>
        <x:v>0.24000000000000005</x:v>
      </x:c>
      <x:c r="AE874" s="15" t="n">
        <x:f>'기준스탯 72종'!I42*H874</x:f>
        <x:v>0.30000000000000004</x:v>
      </x:c>
      <x:c r="AF874" s="15" t="n">
        <x:f>'기준스탯 72종'!J42*H874</x:f>
        <x:v>0.24000000000000005</x:v>
      </x:c>
      <x:c r="AG874" s="15" t="n">
        <x:f>'기준스탯 72종'!K42*H874</x:f>
        <x:v>0.18000000000000005</x:v>
      </x:c>
    </x:row>
    <x:row r="875" ht="28" customHeight="1">
      <x:c r="A875" s="2" t="n">
        <x:v>868</x:v>
      </x:c>
      <x:c r="B875" s="2" t="n">
        <x:v>35</x:v>
      </x:c>
      <x:c r="C875" s="2" t="str">
        <x:v>처녀자리</x:v>
      </x:c>
      <x:c r="D875" s="2" t="str">
        <x:v>도적</x:v>
      </x:c>
      <x:c r="E875" s="2" t="n">
        <x:v>3</x:v>
      </x:c>
      <x:c r="F875" s="2" t="n">
        <x:v>4</x:v>
      </x:c>
      <x:c r="G875" s="14" t="n">
        <x:f>('레벨 계산식'!$E$4-E875)*'레벨 계산식'!$B$5</x:f>
        <x:v>0.27999999999999997</x:v>
      </x:c>
      <x:c r="H875" s="14" t="n">
        <x:f>('등급 계산식'!$E$4-F875)*'등급 계산식'!$B$5</x:f>
        <x:v>0.06000000000000001</x:v>
      </x:c>
      <x:c r="I875" s="14" t="n">
        <x:f>1-G875-H875</x:f>
        <x:v>0.6599999999999999</x:v>
      </x:c>
      <x:c r="J875" s="2" t="n">
        <x:f>MAX(1,ROUND('기준스탯 72종'!D42-R875-Z875,0))</x:f>
        <x:v>5</x:v>
      </x:c>
      <x:c r="K875" s="2" t="n">
        <x:f>MAX(1,ROUND('기준스탯 72종'!E42-S875-AA875,0))</x:f>
        <x:v>5</x:v>
      </x:c>
      <x:c r="L875" s="2" t="n">
        <x:f>MAX(1,ROUND('기준스탯 72종'!F42-T875-AB875,0))</x:f>
        <x:v>5</x:v>
      </x:c>
      <x:c r="M875" s="2" t="n">
        <x:f>MAX(1,ROUND('기준스탯 72종'!G42-U875-AC875,0))</x:f>
        <x:v>5</x:v>
      </x:c>
      <x:c r="N875" s="2" t="n">
        <x:f>MAX(0,ROUND('기준스탯 72종'!H42-V875-AD875,0))</x:f>
        <x:v>3</x:v>
      </x:c>
      <x:c r="O875" s="2" t="n">
        <x:f>MAX(0,ROUND('기준스탯 72종'!I42-W875-AE875,0))</x:f>
        <x:v>3</x:v>
      </x:c>
      <x:c r="P875" s="2" t="n">
        <x:f>MAX(0,ROUND('기준스탯 72종'!J42-X875-AF875,0))</x:f>
        <x:v>3</x:v>
      </x:c>
      <x:c r="Q875" s="2" t="n">
        <x:f>MAX(0,ROUND('기준스탯 72종'!K42-Y875-AG875,0))</x:f>
        <x:v>2</x:v>
      </x:c>
      <x:c r="R875" s="15" t="n">
        <x:f>'기준스탯 72종'!D42*G875</x:f>
        <x:v>2.2399999999999998</x:v>
      </x:c>
      <x:c r="S875" s="15" t="n">
        <x:f>'기준스탯 72종'!E42*G875</x:f>
        <x:v>1.9599999999999997</x:v>
      </x:c>
      <x:c r="T875" s="15" t="n">
        <x:f>'기준스탯 72종'!F42*G875</x:f>
        <x:v>1.9599999999999997</x:v>
      </x:c>
      <x:c r="U875" s="15" t="n">
        <x:f>'기준스탯 72종'!G42*G875</x:f>
        <x:v>2.2399999999999998</x:v>
      </x:c>
      <x:c r="V875" s="15" t="n">
        <x:f>'기준스탯 72종'!H42*G875</x:f>
        <x:v>1.1199999999999999</x:v>
      </x:c>
      <x:c r="W875" s="15" t="n">
        <x:f>'기준스탯 72종'!I42*G875</x:f>
        <x:v>1.4</x:v>
      </x:c>
      <x:c r="X875" s="15" t="n">
        <x:f>'기준스탯 72종'!J42*G875</x:f>
        <x:v>1.1199999999999999</x:v>
      </x:c>
      <x:c r="Y875" s="15" t="n">
        <x:f>'기준스탯 72종'!K42*G875</x:f>
        <x:v>0.8399999999999999</x:v>
      </x:c>
      <x:c r="Z875" s="15" t="n">
        <x:f>'기준스탯 72종'!D42*H875</x:f>
        <x:v>0.4800000000000001</x:v>
      </x:c>
      <x:c r="AA875" s="15" t="n">
        <x:f>'기준스탯 72종'!E42*H875</x:f>
        <x:v>0.4200000000000001</x:v>
      </x:c>
      <x:c r="AB875" s="15" t="n">
        <x:f>'기준스탯 72종'!F42*H875</x:f>
        <x:v>0.4200000000000001</x:v>
      </x:c>
      <x:c r="AC875" s="15" t="n">
        <x:f>'기준스탯 72종'!G42*H875</x:f>
        <x:v>0.4800000000000001</x:v>
      </x:c>
      <x:c r="AD875" s="15" t="n">
        <x:f>'기준스탯 72종'!H42*H875</x:f>
        <x:v>0.24000000000000005</x:v>
      </x:c>
      <x:c r="AE875" s="15" t="n">
        <x:f>'기준스탯 72종'!I42*H875</x:f>
        <x:v>0.30000000000000004</x:v>
      </x:c>
      <x:c r="AF875" s="15" t="n">
        <x:f>'기준스탯 72종'!J42*H875</x:f>
        <x:v>0.24000000000000005</x:v>
      </x:c>
      <x:c r="AG875" s="15" t="n">
        <x:f>'기준스탯 72종'!K42*H875</x:f>
        <x:v>0.18000000000000005</x:v>
      </x:c>
    </x:row>
    <x:row r="876" ht="28" customHeight="1">
      <x:c r="A876" s="2" t="n">
        <x:v>869</x:v>
      </x:c>
      <x:c r="B876" s="2" t="n">
        <x:v>35</x:v>
      </x:c>
      <x:c r="C876" s="2" t="str">
        <x:v>처녀자리</x:v>
      </x:c>
      <x:c r="D876" s="2" t="str">
        <x:v>도적</x:v>
      </x:c>
      <x:c r="E876" s="2" t="n">
        <x:v>4</x:v>
      </x:c>
      <x:c r="F876" s="2" t="n">
        <x:v>4</x:v>
      </x:c>
      <x:c r="G876" s="14" t="n">
        <x:f>('레벨 계산식'!$E$4-E876)*'레벨 계산식'!$B$5</x:f>
        <x:v>0.13999999999999999</x:v>
      </x:c>
      <x:c r="H876" s="14" t="n">
        <x:f>('등급 계산식'!$E$4-F876)*'등급 계산식'!$B$5</x:f>
        <x:v>0.06000000000000001</x:v>
      </x:c>
      <x:c r="I876" s="14" t="n">
        <x:f>1-G876-H876</x:f>
        <x:v>0.7999999999999999</x:v>
      </x:c>
      <x:c r="J876" s="2" t="n">
        <x:f>MAX(1,ROUND('기준스탯 72종'!D42-R876-Z876,0))</x:f>
        <x:v>6</x:v>
      </x:c>
      <x:c r="K876" s="2" t="n">
        <x:f>MAX(1,ROUND('기준스탯 72종'!E42-S876-AA876,0))</x:f>
        <x:v>6</x:v>
      </x:c>
      <x:c r="L876" s="2" t="n">
        <x:f>MAX(1,ROUND('기준스탯 72종'!F42-T876-AB876,0))</x:f>
        <x:v>6</x:v>
      </x:c>
      <x:c r="M876" s="2" t="n">
        <x:f>MAX(1,ROUND('기준스탯 72종'!G42-U876-AC876,0))</x:f>
        <x:v>6</x:v>
      </x:c>
      <x:c r="N876" s="2" t="n">
        <x:f>MAX(0,ROUND('기준스탯 72종'!H42-V876-AD876,0))</x:f>
        <x:v>3</x:v>
      </x:c>
      <x:c r="O876" s="2" t="n">
        <x:f>MAX(0,ROUND('기준스탯 72종'!I42-W876-AE876,0))</x:f>
        <x:v>4</x:v>
      </x:c>
      <x:c r="P876" s="2" t="n">
        <x:f>MAX(0,ROUND('기준스탯 72종'!J42-X876-AF876,0))</x:f>
        <x:v>3</x:v>
      </x:c>
      <x:c r="Q876" s="2" t="n">
        <x:f>MAX(0,ROUND('기준스탯 72종'!K42-Y876-AG876,0))</x:f>
        <x:v>2</x:v>
      </x:c>
      <x:c r="R876" s="15" t="n">
        <x:f>'기준스탯 72종'!D42*G876</x:f>
        <x:v>1.1199999999999999</x:v>
      </x:c>
      <x:c r="S876" s="15" t="n">
        <x:f>'기준스탯 72종'!E42*G876</x:f>
        <x:v>0.9799999999999999</x:v>
      </x:c>
      <x:c r="T876" s="15" t="n">
        <x:f>'기준스탯 72종'!F42*G876</x:f>
        <x:v>0.9799999999999999</x:v>
      </x:c>
      <x:c r="U876" s="15" t="n">
        <x:f>'기준스탯 72종'!G42*G876</x:f>
        <x:v>1.1199999999999999</x:v>
      </x:c>
      <x:c r="V876" s="15" t="n">
        <x:f>'기준스탯 72종'!H42*G876</x:f>
        <x:v>0.5599999999999999</x:v>
      </x:c>
      <x:c r="W876" s="15" t="n">
        <x:f>'기준스탯 72종'!I42*G876</x:f>
        <x:v>0.7</x:v>
      </x:c>
      <x:c r="X876" s="15" t="n">
        <x:f>'기준스탯 72종'!J42*G876</x:f>
        <x:v>0.5599999999999999</x:v>
      </x:c>
      <x:c r="Y876" s="15" t="n">
        <x:f>'기준스탯 72종'!K42*G876</x:f>
        <x:v>0.41999999999999993</x:v>
      </x:c>
      <x:c r="Z876" s="15" t="n">
        <x:f>'기준스탯 72종'!D42*H876</x:f>
        <x:v>0.4800000000000001</x:v>
      </x:c>
      <x:c r="AA876" s="15" t="n">
        <x:f>'기준스탯 72종'!E42*H876</x:f>
        <x:v>0.4200000000000001</x:v>
      </x:c>
      <x:c r="AB876" s="15" t="n">
        <x:f>'기준스탯 72종'!F42*H876</x:f>
        <x:v>0.4200000000000001</x:v>
      </x:c>
      <x:c r="AC876" s="15" t="n">
        <x:f>'기준스탯 72종'!G42*H876</x:f>
        <x:v>0.4800000000000001</x:v>
      </x:c>
      <x:c r="AD876" s="15" t="n">
        <x:f>'기준스탯 72종'!H42*H876</x:f>
        <x:v>0.24000000000000005</x:v>
      </x:c>
      <x:c r="AE876" s="15" t="n">
        <x:f>'기준스탯 72종'!I42*H876</x:f>
        <x:v>0.30000000000000004</x:v>
      </x:c>
      <x:c r="AF876" s="15" t="n">
        <x:f>'기준스탯 72종'!J42*H876</x:f>
        <x:v>0.24000000000000005</x:v>
      </x:c>
      <x:c r="AG876" s="15" t="n">
        <x:f>'기준스탯 72종'!K42*H876</x:f>
        <x:v>0.18000000000000005</x:v>
      </x:c>
    </x:row>
    <x:row r="877" ht="28" customHeight="1">
      <x:c r="A877" s="2" t="n">
        <x:v>870</x:v>
      </x:c>
      <x:c r="B877" s="2" t="n">
        <x:v>35</x:v>
      </x:c>
      <x:c r="C877" s="2" t="str">
        <x:v>처녀자리</x:v>
      </x:c>
      <x:c r="D877" s="2" t="str">
        <x:v>도적</x:v>
      </x:c>
      <x:c r="E877" s="2" t="n">
        <x:v>5</x:v>
      </x:c>
      <x:c r="F877" s="2" t="n">
        <x:v>4</x:v>
      </x:c>
      <x:c r="G877" s="14" t="n">
        <x:f>('레벨 계산식'!$E$4-E877)*'레벨 계산식'!$B$5</x:f>
        <x:v>0</x:v>
      </x:c>
      <x:c r="H877" s="14" t="n">
        <x:f>('등급 계산식'!$E$4-F877)*'등급 계산식'!$B$5</x:f>
        <x:v>0.06000000000000001</x:v>
      </x:c>
      <x:c r="I877" s="14" t="n">
        <x:f>1-G877-H877</x:f>
        <x:v>0.94</x:v>
      </x:c>
      <x:c r="J877" s="2" t="n">
        <x:f>MAX(1,ROUND('기준스탯 72종'!D42-R877-Z877,0))</x:f>
        <x:v>8</x:v>
      </x:c>
      <x:c r="K877" s="2" t="n">
        <x:f>MAX(1,ROUND('기준스탯 72종'!E42-S877-AA877,0))</x:f>
        <x:v>7</x:v>
      </x:c>
      <x:c r="L877" s="2" t="n">
        <x:f>MAX(1,ROUND('기준스탯 72종'!F42-T877-AB877,0))</x:f>
        <x:v>7</x:v>
      </x:c>
      <x:c r="M877" s="2" t="n">
        <x:f>MAX(1,ROUND('기준스탯 72종'!G42-U877-AC877,0))</x:f>
        <x:v>8</x:v>
      </x:c>
      <x:c r="N877" s="2" t="n">
        <x:f>MAX(0,ROUND('기준스탯 72종'!H42-V877-AD877,0))</x:f>
        <x:v>4</x:v>
      </x:c>
      <x:c r="O877" s="2" t="n">
        <x:f>MAX(0,ROUND('기준스탯 72종'!I42-W877-AE877,0))</x:f>
        <x:v>5</x:v>
      </x:c>
      <x:c r="P877" s="2" t="n">
        <x:f>MAX(0,ROUND('기준스탯 72종'!J42-X877-AF877,0))</x:f>
        <x:v>4</x:v>
      </x:c>
      <x:c r="Q877" s="2" t="n">
        <x:f>MAX(0,ROUND('기준스탯 72종'!K42-Y877-AG877,0))</x:f>
        <x:v>3</x:v>
      </x:c>
      <x:c r="R877" s="15" t="n">
        <x:f>'기준스탯 72종'!D42*G877</x:f>
        <x:v>0</x:v>
      </x:c>
      <x:c r="S877" s="15" t="n">
        <x:f>'기준스탯 72종'!E42*G877</x:f>
        <x:v>0</x:v>
      </x:c>
      <x:c r="T877" s="15" t="n">
        <x:f>'기준스탯 72종'!F42*G877</x:f>
        <x:v>0</x:v>
      </x:c>
      <x:c r="U877" s="15" t="n">
        <x:f>'기준스탯 72종'!G42*G877</x:f>
        <x:v>0</x:v>
      </x:c>
      <x:c r="V877" s="15" t="n">
        <x:f>'기준스탯 72종'!H42*G877</x:f>
        <x:v>0</x:v>
      </x:c>
      <x:c r="W877" s="15" t="n">
        <x:f>'기준스탯 72종'!I42*G877</x:f>
        <x:v>0</x:v>
      </x:c>
      <x:c r="X877" s="15" t="n">
        <x:f>'기준스탯 72종'!J42*G877</x:f>
        <x:v>0</x:v>
      </x:c>
      <x:c r="Y877" s="15" t="n">
        <x:f>'기준스탯 72종'!K42*G877</x:f>
        <x:v>0</x:v>
      </x:c>
      <x:c r="Z877" s="15" t="n">
        <x:f>'기준스탯 72종'!D42*H877</x:f>
        <x:v>0.4800000000000001</x:v>
      </x:c>
      <x:c r="AA877" s="15" t="n">
        <x:f>'기준스탯 72종'!E42*H877</x:f>
        <x:v>0.4200000000000001</x:v>
      </x:c>
      <x:c r="AB877" s="15" t="n">
        <x:f>'기준스탯 72종'!F42*H877</x:f>
        <x:v>0.4200000000000001</x:v>
      </x:c>
      <x:c r="AC877" s="15" t="n">
        <x:f>'기준스탯 72종'!G42*H877</x:f>
        <x:v>0.4800000000000001</x:v>
      </x:c>
      <x:c r="AD877" s="15" t="n">
        <x:f>'기준스탯 72종'!H42*H877</x:f>
        <x:v>0.24000000000000005</x:v>
      </x:c>
      <x:c r="AE877" s="15" t="n">
        <x:f>'기준스탯 72종'!I42*H877</x:f>
        <x:v>0.30000000000000004</x:v>
      </x:c>
      <x:c r="AF877" s="15" t="n">
        <x:f>'기준스탯 72종'!J42*H877</x:f>
        <x:v>0.24000000000000005</x:v>
      </x:c>
      <x:c r="AG877" s="15" t="n">
        <x:f>'기준스탯 72종'!K42*H877</x:f>
        <x:v>0.18000000000000005</x:v>
      </x:c>
    </x:row>
    <x:row r="878" ht="28" customHeight="1">
      <x:c r="A878" s="2" t="n">
        <x:v>871</x:v>
      </x:c>
      <x:c r="B878" s="2" t="n">
        <x:v>35</x:v>
      </x:c>
      <x:c r="C878" s="2" t="str">
        <x:v>처녀자리</x:v>
      </x:c>
      <x:c r="D878" s="2" t="str">
        <x:v>도적</x:v>
      </x:c>
      <x:c r="E878" s="2" t="n">
        <x:v>1</x:v>
      </x:c>
      <x:c r="F878" s="2" t="n">
        <x:v>5</x:v>
      </x:c>
      <x:c r="G878" s="14" t="n">
        <x:f>('레벨 계산식'!$E$4-E878)*'레벨 계산식'!$B$5</x:f>
        <x:v>0.5599999999999999</x:v>
      </x:c>
      <x:c r="H878" s="14" t="n">
        <x:f>('등급 계산식'!$E$4-F878)*'등급 계산식'!$B$5</x:f>
        <x:v>0</x:v>
      </x:c>
      <x:c r="I878" s="14" t="n">
        <x:f>1-G878-H878</x:f>
        <x:v>0.44000000000000006</x:v>
      </x:c>
      <x:c r="J878" s="2" t="n">
        <x:f>MAX(1,ROUND('기준스탯 72종'!D42-R878-Z878,0))</x:f>
        <x:v>4</x:v>
      </x:c>
      <x:c r="K878" s="2" t="n">
        <x:f>MAX(1,ROUND('기준스탯 72종'!E42-S878-AA878,0))</x:f>
        <x:v>3</x:v>
      </x:c>
      <x:c r="L878" s="2" t="n">
        <x:f>MAX(1,ROUND('기준스탯 72종'!F42-T878-AB878,0))</x:f>
        <x:v>3</x:v>
      </x:c>
      <x:c r="M878" s="2" t="n">
        <x:f>MAX(1,ROUND('기준스탯 72종'!G42-U878-AC878,0))</x:f>
        <x:v>4</x:v>
      </x:c>
      <x:c r="N878" s="2" t="n">
        <x:f>MAX(0,ROUND('기준스탯 72종'!H42-V878-AD878,0))</x:f>
        <x:v>2</x:v>
      </x:c>
      <x:c r="O878" s="2" t="n">
        <x:f>MAX(0,ROUND('기준스탯 72종'!I42-W878-AE878,0))</x:f>
        <x:v>2</x:v>
      </x:c>
      <x:c r="P878" s="2" t="n">
        <x:f>MAX(0,ROUND('기준스탯 72종'!J42-X878-AF878,0))</x:f>
        <x:v>2</x:v>
      </x:c>
      <x:c r="Q878" s="2" t="n">
        <x:f>MAX(0,ROUND('기준스탯 72종'!K42-Y878-AG878,0))</x:f>
        <x:v>1</x:v>
      </x:c>
      <x:c r="R878" s="15" t="n">
        <x:f>'기준스탯 72종'!D42*G878</x:f>
        <x:v>4.4799999999999995</x:v>
      </x:c>
      <x:c r="S878" s="15" t="n">
        <x:f>'기준스탯 72종'!E42*G878</x:f>
        <x:v>3.9199999999999995</x:v>
      </x:c>
      <x:c r="T878" s="15" t="n">
        <x:f>'기준스탯 72종'!F42*G878</x:f>
        <x:v>3.9199999999999995</x:v>
      </x:c>
      <x:c r="U878" s="15" t="n">
        <x:f>'기준스탯 72종'!G42*G878</x:f>
        <x:v>4.4799999999999995</x:v>
      </x:c>
      <x:c r="V878" s="15" t="n">
        <x:f>'기준스탯 72종'!H42*G878</x:f>
        <x:v>2.2399999999999998</x:v>
      </x:c>
      <x:c r="W878" s="15" t="n">
        <x:f>'기준스탯 72종'!I42*G878</x:f>
        <x:v>2.8</x:v>
      </x:c>
      <x:c r="X878" s="15" t="n">
        <x:f>'기준스탯 72종'!J42*G878</x:f>
        <x:v>2.2399999999999998</x:v>
      </x:c>
      <x:c r="Y878" s="15" t="n">
        <x:f>'기준스탯 72종'!K42*G878</x:f>
        <x:v>1.6799999999999997</x:v>
      </x:c>
      <x:c r="Z878" s="15" t="n">
        <x:f>'기준스탯 72종'!D42*H878</x:f>
        <x:v>0</x:v>
      </x:c>
      <x:c r="AA878" s="15" t="n">
        <x:f>'기준스탯 72종'!E42*H878</x:f>
        <x:v>0</x:v>
      </x:c>
      <x:c r="AB878" s="15" t="n">
        <x:f>'기준스탯 72종'!F42*H878</x:f>
        <x:v>0</x:v>
      </x:c>
      <x:c r="AC878" s="15" t="n">
        <x:f>'기준스탯 72종'!G42*H878</x:f>
        <x:v>0</x:v>
      </x:c>
      <x:c r="AD878" s="15" t="n">
        <x:f>'기준스탯 72종'!H42*H878</x:f>
        <x:v>0</x:v>
      </x:c>
      <x:c r="AE878" s="15" t="n">
        <x:f>'기준스탯 72종'!I42*H878</x:f>
        <x:v>0</x:v>
      </x:c>
      <x:c r="AF878" s="15" t="n">
        <x:f>'기준스탯 72종'!J42*H878</x:f>
        <x:v>0</x:v>
      </x:c>
      <x:c r="AG878" s="15" t="n">
        <x:f>'기준스탯 72종'!K42*H878</x:f>
        <x:v>0</x:v>
      </x:c>
    </x:row>
    <x:row r="879" ht="28" customHeight="1">
      <x:c r="A879" s="2" t="n">
        <x:v>872</x:v>
      </x:c>
      <x:c r="B879" s="2" t="n">
        <x:v>35</x:v>
      </x:c>
      <x:c r="C879" s="2" t="str">
        <x:v>처녀자리</x:v>
      </x:c>
      <x:c r="D879" s="2" t="str">
        <x:v>도적</x:v>
      </x:c>
      <x:c r="E879" s="2" t="n">
        <x:v>2</x:v>
      </x:c>
      <x:c r="F879" s="2" t="n">
        <x:v>5</x:v>
      </x:c>
      <x:c r="G879" s="14" t="n">
        <x:f>('레벨 계산식'!$E$4-E879)*'레벨 계산식'!$B$5</x:f>
        <x:v>0.41999999999999993</x:v>
      </x:c>
      <x:c r="H879" s="14" t="n">
        <x:f>('등급 계산식'!$E$4-F879)*'등급 계산식'!$B$5</x:f>
        <x:v>0</x:v>
      </x:c>
      <x:c r="I879" s="14" t="n">
        <x:f>1-G879-H879</x:f>
        <x:v>0.5800000000000001</x:v>
      </x:c>
      <x:c r="J879" s="2" t="n">
        <x:f>MAX(1,ROUND('기준스탯 72종'!D42-R879-Z879,0))</x:f>
        <x:v>5</x:v>
      </x:c>
      <x:c r="K879" s="2" t="n">
        <x:f>MAX(1,ROUND('기준스탯 72종'!E42-S879-AA879,0))</x:f>
        <x:v>4</x:v>
      </x:c>
      <x:c r="L879" s="2" t="n">
        <x:f>MAX(1,ROUND('기준스탯 72종'!F42-T879-AB879,0))</x:f>
        <x:v>4</x:v>
      </x:c>
      <x:c r="M879" s="2" t="n">
        <x:f>MAX(1,ROUND('기준스탯 72종'!G42-U879-AC879,0))</x:f>
        <x:v>5</x:v>
      </x:c>
      <x:c r="N879" s="2" t="n">
        <x:f>MAX(0,ROUND('기준스탯 72종'!H42-V879-AD879,0))</x:f>
        <x:v>2</x:v>
      </x:c>
      <x:c r="O879" s="2" t="n">
        <x:f>MAX(0,ROUND('기준스탯 72종'!I42-W879-AE879,0))</x:f>
        <x:v>3</x:v>
      </x:c>
      <x:c r="P879" s="2" t="n">
        <x:f>MAX(0,ROUND('기준스탯 72종'!J42-X879-AF879,0))</x:f>
        <x:v>2</x:v>
      </x:c>
      <x:c r="Q879" s="2" t="n">
        <x:f>MAX(0,ROUND('기준스탯 72종'!K42-Y879-AG879,0))</x:f>
        <x:v>2</x:v>
      </x:c>
      <x:c r="R879" s="15" t="n">
        <x:f>'기준스탯 72종'!D42*G879</x:f>
        <x:v>3.3599999999999994</x:v>
      </x:c>
      <x:c r="S879" s="15" t="n">
        <x:f>'기준스탯 72종'!E42*G879</x:f>
        <x:v>2.9399999999999995</x:v>
      </x:c>
      <x:c r="T879" s="15" t="n">
        <x:f>'기준스탯 72종'!F42*G879</x:f>
        <x:v>2.9399999999999995</x:v>
      </x:c>
      <x:c r="U879" s="15" t="n">
        <x:f>'기준스탯 72종'!G42*G879</x:f>
        <x:v>3.3599999999999994</x:v>
      </x:c>
      <x:c r="V879" s="15" t="n">
        <x:f>'기준스탯 72종'!H42*G879</x:f>
        <x:v>1.6799999999999997</x:v>
      </x:c>
      <x:c r="W879" s="15" t="n">
        <x:f>'기준스탯 72종'!I42*G879</x:f>
        <x:v>2.0999999999999996</x:v>
      </x:c>
      <x:c r="X879" s="15" t="n">
        <x:f>'기준스탯 72종'!J42*G879</x:f>
        <x:v>1.6799999999999997</x:v>
      </x:c>
      <x:c r="Y879" s="15" t="n">
        <x:f>'기준스탯 72종'!K42*G879</x:f>
        <x:v>1.2599999999999998</x:v>
      </x:c>
      <x:c r="Z879" s="15" t="n">
        <x:f>'기준스탯 72종'!D42*H879</x:f>
        <x:v>0</x:v>
      </x:c>
      <x:c r="AA879" s="15" t="n">
        <x:f>'기준스탯 72종'!E42*H879</x:f>
        <x:v>0</x:v>
      </x:c>
      <x:c r="AB879" s="15" t="n">
        <x:f>'기준스탯 72종'!F42*H879</x:f>
        <x:v>0</x:v>
      </x:c>
      <x:c r="AC879" s="15" t="n">
        <x:f>'기준스탯 72종'!G42*H879</x:f>
        <x:v>0</x:v>
      </x:c>
      <x:c r="AD879" s="15" t="n">
        <x:f>'기준스탯 72종'!H42*H879</x:f>
        <x:v>0</x:v>
      </x:c>
      <x:c r="AE879" s="15" t="n">
        <x:f>'기준스탯 72종'!I42*H879</x:f>
        <x:v>0</x:v>
      </x:c>
      <x:c r="AF879" s="15" t="n">
        <x:f>'기준스탯 72종'!J42*H879</x:f>
        <x:v>0</x:v>
      </x:c>
      <x:c r="AG879" s="15" t="n">
        <x:f>'기준스탯 72종'!K42*H879</x:f>
        <x:v>0</x:v>
      </x:c>
    </x:row>
    <x:row r="880" ht="28" customHeight="1">
      <x:c r="A880" s="2" t="n">
        <x:v>873</x:v>
      </x:c>
      <x:c r="B880" s="2" t="n">
        <x:v>35</x:v>
      </x:c>
      <x:c r="C880" s="2" t="str">
        <x:v>처녀자리</x:v>
      </x:c>
      <x:c r="D880" s="2" t="str">
        <x:v>도적</x:v>
      </x:c>
      <x:c r="E880" s="2" t="n">
        <x:v>3</x:v>
      </x:c>
      <x:c r="F880" s="2" t="n">
        <x:v>5</x:v>
      </x:c>
      <x:c r="G880" s="14" t="n">
        <x:f>('레벨 계산식'!$E$4-E880)*'레벨 계산식'!$B$5</x:f>
        <x:v>0.27999999999999997</x:v>
      </x:c>
      <x:c r="H880" s="14" t="n">
        <x:f>('등급 계산식'!$E$4-F880)*'등급 계산식'!$B$5</x:f>
        <x:v>0</x:v>
      </x:c>
      <x:c r="I880" s="14" t="n">
        <x:f>1-G880-H880</x:f>
        <x:v>0.72</x:v>
      </x:c>
      <x:c r="J880" s="2" t="n">
        <x:f>MAX(1,ROUND('기준스탯 72종'!D42-R880-Z880,0))</x:f>
        <x:v>6</x:v>
      </x:c>
      <x:c r="K880" s="2" t="n">
        <x:f>MAX(1,ROUND('기준스탯 72종'!E42-S880-AA880,0))</x:f>
        <x:v>5</x:v>
      </x:c>
      <x:c r="L880" s="2" t="n">
        <x:f>MAX(1,ROUND('기준스탯 72종'!F42-T880-AB880,0))</x:f>
        <x:v>5</x:v>
      </x:c>
      <x:c r="M880" s="2" t="n">
        <x:f>MAX(1,ROUND('기준스탯 72종'!G42-U880-AC880,0))</x:f>
        <x:v>6</x:v>
      </x:c>
      <x:c r="N880" s="2" t="n">
        <x:f>MAX(0,ROUND('기준스탯 72종'!H42-V880-AD880,0))</x:f>
        <x:v>3</x:v>
      </x:c>
      <x:c r="O880" s="2" t="n">
        <x:f>MAX(0,ROUND('기준스탯 72종'!I42-W880-AE880,0))</x:f>
        <x:v>4</x:v>
      </x:c>
      <x:c r="P880" s="2" t="n">
        <x:f>MAX(0,ROUND('기준스탯 72종'!J42-X880-AF880,0))</x:f>
        <x:v>3</x:v>
      </x:c>
      <x:c r="Q880" s="2" t="n">
        <x:f>MAX(0,ROUND('기준스탯 72종'!K42-Y880-AG880,0))</x:f>
        <x:v>2</x:v>
      </x:c>
      <x:c r="R880" s="15" t="n">
        <x:f>'기준스탯 72종'!D42*G880</x:f>
        <x:v>2.2399999999999998</x:v>
      </x:c>
      <x:c r="S880" s="15" t="n">
        <x:f>'기준스탯 72종'!E42*G880</x:f>
        <x:v>1.9599999999999997</x:v>
      </x:c>
      <x:c r="T880" s="15" t="n">
        <x:f>'기준스탯 72종'!F42*G880</x:f>
        <x:v>1.9599999999999997</x:v>
      </x:c>
      <x:c r="U880" s="15" t="n">
        <x:f>'기준스탯 72종'!G42*G880</x:f>
        <x:v>2.2399999999999998</x:v>
      </x:c>
      <x:c r="V880" s="15" t="n">
        <x:f>'기준스탯 72종'!H42*G880</x:f>
        <x:v>1.1199999999999999</x:v>
      </x:c>
      <x:c r="W880" s="15" t="n">
        <x:f>'기준스탯 72종'!I42*G880</x:f>
        <x:v>1.4</x:v>
      </x:c>
      <x:c r="X880" s="15" t="n">
        <x:f>'기준스탯 72종'!J42*G880</x:f>
        <x:v>1.1199999999999999</x:v>
      </x:c>
      <x:c r="Y880" s="15" t="n">
        <x:f>'기준스탯 72종'!K42*G880</x:f>
        <x:v>0.8399999999999999</x:v>
      </x:c>
      <x:c r="Z880" s="15" t="n">
        <x:f>'기준스탯 72종'!D42*H880</x:f>
        <x:v>0</x:v>
      </x:c>
      <x:c r="AA880" s="15" t="n">
        <x:f>'기준스탯 72종'!E42*H880</x:f>
        <x:v>0</x:v>
      </x:c>
      <x:c r="AB880" s="15" t="n">
        <x:f>'기준스탯 72종'!F42*H880</x:f>
        <x:v>0</x:v>
      </x:c>
      <x:c r="AC880" s="15" t="n">
        <x:f>'기준스탯 72종'!G42*H880</x:f>
        <x:v>0</x:v>
      </x:c>
      <x:c r="AD880" s="15" t="n">
        <x:f>'기준스탯 72종'!H42*H880</x:f>
        <x:v>0</x:v>
      </x:c>
      <x:c r="AE880" s="15" t="n">
        <x:f>'기준스탯 72종'!I42*H880</x:f>
        <x:v>0</x:v>
      </x:c>
      <x:c r="AF880" s="15" t="n">
        <x:f>'기준스탯 72종'!J42*H880</x:f>
        <x:v>0</x:v>
      </x:c>
      <x:c r="AG880" s="15" t="n">
        <x:f>'기준스탯 72종'!K42*H880</x:f>
        <x:v>0</x:v>
      </x:c>
    </x:row>
    <x:row r="881" ht="28" customHeight="1">
      <x:c r="A881" s="2" t="n">
        <x:v>874</x:v>
      </x:c>
      <x:c r="B881" s="2" t="n">
        <x:v>35</x:v>
      </x:c>
      <x:c r="C881" s="2" t="str">
        <x:v>처녀자리</x:v>
      </x:c>
      <x:c r="D881" s="2" t="str">
        <x:v>도적</x:v>
      </x:c>
      <x:c r="E881" s="2" t="n">
        <x:v>4</x:v>
      </x:c>
      <x:c r="F881" s="2" t="n">
        <x:v>5</x:v>
      </x:c>
      <x:c r="G881" s="14" t="n">
        <x:f>('레벨 계산식'!$E$4-E881)*'레벨 계산식'!$B$5</x:f>
        <x:v>0.13999999999999999</x:v>
      </x:c>
      <x:c r="H881" s="14" t="n">
        <x:f>('등급 계산식'!$E$4-F881)*'등급 계산식'!$B$5</x:f>
        <x:v>0</x:v>
      </x:c>
      <x:c r="I881" s="14" t="n">
        <x:f>1-G881-H881</x:f>
        <x:v>0.86</x:v>
      </x:c>
      <x:c r="J881" s="2" t="n">
        <x:f>MAX(1,ROUND('기준스탯 72종'!D42-R881-Z881,0))</x:f>
        <x:v>7</x:v>
      </x:c>
      <x:c r="K881" s="2" t="n">
        <x:f>MAX(1,ROUND('기준스탯 72종'!E42-S881-AA881,0))</x:f>
        <x:v>6</x:v>
      </x:c>
      <x:c r="L881" s="2" t="n">
        <x:f>MAX(1,ROUND('기준스탯 72종'!F42-T881-AB881,0))</x:f>
        <x:v>6</x:v>
      </x:c>
      <x:c r="M881" s="2" t="n">
        <x:f>MAX(1,ROUND('기준스탯 72종'!G42-U881-AC881,0))</x:f>
        <x:v>7</x:v>
      </x:c>
      <x:c r="N881" s="2" t="n">
        <x:f>MAX(0,ROUND('기준스탯 72종'!H42-V881-AD881,0))</x:f>
        <x:v>3</x:v>
      </x:c>
      <x:c r="O881" s="2" t="n">
        <x:f>MAX(0,ROUND('기준스탯 72종'!I42-W881-AE881,0))</x:f>
        <x:v>4</x:v>
      </x:c>
      <x:c r="P881" s="2" t="n">
        <x:f>MAX(0,ROUND('기준스탯 72종'!J42-X881-AF881,0))</x:f>
        <x:v>3</x:v>
      </x:c>
      <x:c r="Q881" s="2" t="n">
        <x:f>MAX(0,ROUND('기준스탯 72종'!K42-Y881-AG881,0))</x:f>
        <x:v>3</x:v>
      </x:c>
      <x:c r="R881" s="15" t="n">
        <x:f>'기준스탯 72종'!D42*G881</x:f>
        <x:v>1.1199999999999999</x:v>
      </x:c>
      <x:c r="S881" s="15" t="n">
        <x:f>'기준스탯 72종'!E42*G881</x:f>
        <x:v>0.9799999999999999</x:v>
      </x:c>
      <x:c r="T881" s="15" t="n">
        <x:f>'기준스탯 72종'!F42*G881</x:f>
        <x:v>0.9799999999999999</x:v>
      </x:c>
      <x:c r="U881" s="15" t="n">
        <x:f>'기준스탯 72종'!G42*G881</x:f>
        <x:v>1.1199999999999999</x:v>
      </x:c>
      <x:c r="V881" s="15" t="n">
        <x:f>'기준스탯 72종'!H42*G881</x:f>
        <x:v>0.5599999999999999</x:v>
      </x:c>
      <x:c r="W881" s="15" t="n">
        <x:f>'기준스탯 72종'!I42*G881</x:f>
        <x:v>0.7</x:v>
      </x:c>
      <x:c r="X881" s="15" t="n">
        <x:f>'기준스탯 72종'!J42*G881</x:f>
        <x:v>0.5599999999999999</x:v>
      </x:c>
      <x:c r="Y881" s="15" t="n">
        <x:f>'기준스탯 72종'!K42*G881</x:f>
        <x:v>0.41999999999999993</x:v>
      </x:c>
      <x:c r="Z881" s="15" t="n">
        <x:f>'기준스탯 72종'!D42*H881</x:f>
        <x:v>0</x:v>
      </x:c>
      <x:c r="AA881" s="15" t="n">
        <x:f>'기준스탯 72종'!E42*H881</x:f>
        <x:v>0</x:v>
      </x:c>
      <x:c r="AB881" s="15" t="n">
        <x:f>'기준스탯 72종'!F42*H881</x:f>
        <x:v>0</x:v>
      </x:c>
      <x:c r="AC881" s="15" t="n">
        <x:f>'기준스탯 72종'!G42*H881</x:f>
        <x:v>0</x:v>
      </x:c>
      <x:c r="AD881" s="15" t="n">
        <x:f>'기준스탯 72종'!H42*H881</x:f>
        <x:v>0</x:v>
      </x:c>
      <x:c r="AE881" s="15" t="n">
        <x:f>'기준스탯 72종'!I42*H881</x:f>
        <x:v>0</x:v>
      </x:c>
      <x:c r="AF881" s="15" t="n">
        <x:f>'기준스탯 72종'!J42*H881</x:f>
        <x:v>0</x:v>
      </x:c>
      <x:c r="AG881" s="15" t="n">
        <x:f>'기준스탯 72종'!K42*H881</x:f>
        <x:v>0</x:v>
      </x:c>
    </x:row>
    <x:row r="882" ht="28" customHeight="1">
      <x:c r="A882" s="2" t="n">
        <x:v>875</x:v>
      </x:c>
      <x:c r="B882" s="2" t="n">
        <x:v>35</x:v>
      </x:c>
      <x:c r="C882" s="2" t="str">
        <x:v>처녀자리</x:v>
      </x:c>
      <x:c r="D882" s="2" t="str">
        <x:v>도적</x:v>
      </x:c>
      <x:c r="E882" s="2" t="n">
        <x:v>5</x:v>
      </x:c>
      <x:c r="F882" s="2" t="n">
        <x:v>5</x:v>
      </x:c>
      <x:c r="G882" s="14" t="n">
        <x:f>('레벨 계산식'!$E$4-E882)*'레벨 계산식'!$B$5</x:f>
        <x:v>0</x:v>
      </x:c>
      <x:c r="H882" s="14" t="n">
        <x:f>('등급 계산식'!$E$4-F882)*'등급 계산식'!$B$5</x:f>
        <x:v>0</x:v>
      </x:c>
      <x:c r="I882" s="14" t="n">
        <x:f>1-G882-H882</x:f>
        <x:v>1</x:v>
      </x:c>
      <x:c r="J882" s="2" t="n">
        <x:f>MAX(1,ROUND('기준스탯 72종'!D42-R882-Z882,0))</x:f>
        <x:v>8</x:v>
      </x:c>
      <x:c r="K882" s="2" t="n">
        <x:f>MAX(1,ROUND('기준스탯 72종'!E42-S882-AA882,0))</x:f>
        <x:v>7</x:v>
      </x:c>
      <x:c r="L882" s="2" t="n">
        <x:f>MAX(1,ROUND('기준스탯 72종'!F42-T882-AB882,0))</x:f>
        <x:v>7</x:v>
      </x:c>
      <x:c r="M882" s="2" t="n">
        <x:f>MAX(1,ROUND('기준스탯 72종'!G42-U882-AC882,0))</x:f>
        <x:v>8</x:v>
      </x:c>
      <x:c r="N882" s="2" t="n">
        <x:f>MAX(0,ROUND('기준스탯 72종'!H42-V882-AD882,0))</x:f>
        <x:v>4</x:v>
      </x:c>
      <x:c r="O882" s="2" t="n">
        <x:f>MAX(0,ROUND('기준스탯 72종'!I42-W882-AE882,0))</x:f>
        <x:v>5</x:v>
      </x:c>
      <x:c r="P882" s="2" t="n">
        <x:f>MAX(0,ROUND('기준스탯 72종'!J42-X882-AF882,0))</x:f>
        <x:v>4</x:v>
      </x:c>
      <x:c r="Q882" s="2" t="n">
        <x:f>MAX(0,ROUND('기준스탯 72종'!K42-Y882-AG882,0))</x:f>
        <x:v>3</x:v>
      </x:c>
      <x:c r="R882" s="15" t="n">
        <x:f>'기준스탯 72종'!D42*G882</x:f>
        <x:v>0</x:v>
      </x:c>
      <x:c r="S882" s="15" t="n">
        <x:f>'기준스탯 72종'!E42*G882</x:f>
        <x:v>0</x:v>
      </x:c>
      <x:c r="T882" s="15" t="n">
        <x:f>'기준스탯 72종'!F42*G882</x:f>
        <x:v>0</x:v>
      </x:c>
      <x:c r="U882" s="15" t="n">
        <x:f>'기준스탯 72종'!G42*G882</x:f>
        <x:v>0</x:v>
      </x:c>
      <x:c r="V882" s="15" t="n">
        <x:f>'기준스탯 72종'!H42*G882</x:f>
        <x:v>0</x:v>
      </x:c>
      <x:c r="W882" s="15" t="n">
        <x:f>'기준스탯 72종'!I42*G882</x:f>
        <x:v>0</x:v>
      </x:c>
      <x:c r="X882" s="15" t="n">
        <x:f>'기준스탯 72종'!J42*G882</x:f>
        <x:v>0</x:v>
      </x:c>
      <x:c r="Y882" s="15" t="n">
        <x:f>'기준스탯 72종'!K42*G882</x:f>
        <x:v>0</x:v>
      </x:c>
      <x:c r="Z882" s="15" t="n">
        <x:f>'기준스탯 72종'!D42*H882</x:f>
        <x:v>0</x:v>
      </x:c>
      <x:c r="AA882" s="15" t="n">
        <x:f>'기준스탯 72종'!E42*H882</x:f>
        <x:v>0</x:v>
      </x:c>
      <x:c r="AB882" s="15" t="n">
        <x:f>'기준스탯 72종'!F42*H882</x:f>
        <x:v>0</x:v>
      </x:c>
      <x:c r="AC882" s="15" t="n">
        <x:f>'기준스탯 72종'!G42*H882</x:f>
        <x:v>0</x:v>
      </x:c>
      <x:c r="AD882" s="15" t="n">
        <x:f>'기준스탯 72종'!H42*H882</x:f>
        <x:v>0</x:v>
      </x:c>
      <x:c r="AE882" s="15" t="n">
        <x:f>'기준스탯 72종'!I42*H882</x:f>
        <x:v>0</x:v>
      </x:c>
      <x:c r="AF882" s="15" t="n">
        <x:f>'기준스탯 72종'!J42*H882</x:f>
        <x:v>0</x:v>
      </x:c>
      <x:c r="AG882" s="15" t="n">
        <x:f>'기준스탯 72종'!K42*H882</x:f>
        <x:v>0</x:v>
      </x:c>
    </x:row>
    <x:row r="883" ht="28" customHeight="1">
      <x:c r="A883" s="2" t="n">
        <x:v>876</x:v>
      </x:c>
      <x:c r="B883" s="2" t="n">
        <x:v>36</x:v>
      </x:c>
      <x:c r="C883" s="2" t="str">
        <x:v>처녀자리</x:v>
      </x:c>
      <x:c r="D883" s="2" t="str">
        <x:v>전사</x:v>
      </x:c>
      <x:c r="E883" s="2" t="n">
        <x:v>1</x:v>
      </x:c>
      <x:c r="F883" s="2" t="n">
        <x:v>1</x:v>
      </x:c>
      <x:c r="G883" s="14" t="n">
        <x:f>('레벨 계산식'!$E$4-E883)*'레벨 계산식'!$B$5</x:f>
        <x:v>0.5599999999999999</x:v>
      </x:c>
      <x:c r="H883" s="14" t="n">
        <x:f>('등급 계산식'!$E$4-F883)*'등급 계산식'!$B$5</x:f>
        <x:v>0.24000000000000005</x:v>
      </x:c>
      <x:c r="I883" s="14" t="n">
        <x:f>1-G883-H883</x:f>
        <x:v>0.2</x:v>
      </x:c>
      <x:c r="J883" s="2" t="n">
        <x:f>MAX(1,ROUND('기준스탯 72종'!D43-R883-Z883,0))</x:f>
        <x:v>2</x:v>
      </x:c>
      <x:c r="K883" s="2" t="n">
        <x:f>MAX(1,ROUND('기준스탯 72종'!E43-S883-AA883,0))</x:f>
        <x:v>2</x:v>
      </x:c>
      <x:c r="L883" s="2" t="n">
        <x:f>MAX(1,ROUND('기준스탯 72종'!F43-T883-AB883,0))</x:f>
        <x:v>2</x:v>
      </x:c>
      <x:c r="M883" s="2" t="n">
        <x:f>MAX(1,ROUND('기준스탯 72종'!G43-U883-AC883,0))</x:f>
        <x:v>1</x:v>
      </x:c>
      <x:c r="N883" s="2" t="n">
        <x:f>MAX(0,ROUND('기준스탯 72종'!H43-V883-AD883,0))</x:f>
        <x:v>1</x:v>
      </x:c>
      <x:c r="O883" s="2" t="n">
        <x:f>MAX(0,ROUND('기준스탯 72종'!I43-W883-AE883,0))</x:f>
        <x:v>1</x:v>
      </x:c>
      <x:c r="P883" s="2" t="n">
        <x:f>MAX(0,ROUND('기준스탯 72종'!J43-X883-AF883,0))</x:f>
        <x:v>1</x:v>
      </x:c>
      <x:c r="Q883" s="2" t="n">
        <x:f>MAX(0,ROUND('기준스탯 72종'!K43-Y883-AG883,0))</x:f>
        <x:v>1</x:v>
      </x:c>
      <x:c r="R883" s="15" t="n">
        <x:f>'기준스탯 72종'!D43*G883</x:f>
        <x:v>4.4799999999999995</x:v>
      </x:c>
      <x:c r="S883" s="15" t="n">
        <x:f>'기준스탯 72종'!E43*G883</x:f>
        <x:v>4.4799999999999995</x:v>
      </x:c>
      <x:c r="T883" s="15" t="n">
        <x:f>'기준스탯 72종'!F43*G883</x:f>
        <x:v>4.4799999999999995</x:v>
      </x:c>
      <x:c r="U883" s="15" t="n">
        <x:f>'기준스탯 72종'!G43*G883</x:f>
        <x:v>3.9199999999999995</x:v>
      </x:c>
      <x:c r="V883" s="15" t="n">
        <x:f>'기준스탯 72종'!H43*G883</x:f>
        <x:v>1.6799999999999997</x:v>
      </x:c>
      <x:c r="W883" s="15" t="n">
        <x:f>'기준스탯 72종'!I43*G883</x:f>
        <x:v>2.8</x:v>
      </x:c>
      <x:c r="X883" s="15" t="n">
        <x:f>'기준스탯 72종'!J43*G883</x:f>
        <x:v>2.2399999999999998</x:v>
      </x:c>
      <x:c r="Y883" s="15" t="n">
        <x:f>'기준스탯 72종'!K43*G883</x:f>
        <x:v>2.2399999999999998</x:v>
      </x:c>
      <x:c r="Z883" s="15" t="n">
        <x:f>'기준스탯 72종'!D43*H883</x:f>
        <x:v>1.9200000000000004</x:v>
      </x:c>
      <x:c r="AA883" s="15" t="n">
        <x:f>'기준스탯 72종'!E43*H883</x:f>
        <x:v>1.9200000000000004</x:v>
      </x:c>
      <x:c r="AB883" s="15" t="n">
        <x:f>'기준스탯 72종'!F43*H883</x:f>
        <x:v>1.9200000000000004</x:v>
      </x:c>
      <x:c r="AC883" s="15" t="n">
        <x:f>'기준스탯 72종'!G43*H883</x:f>
        <x:v>1.6800000000000004</x:v>
      </x:c>
      <x:c r="AD883" s="15" t="n">
        <x:f>'기준스탯 72종'!H43*H883</x:f>
        <x:v>0.7200000000000002</x:v>
      </x:c>
      <x:c r="AE883" s="15" t="n">
        <x:f>'기준스탯 72종'!I43*H883</x:f>
        <x:v>1.2000000000000002</x:v>
      </x:c>
      <x:c r="AF883" s="15" t="n">
        <x:f>'기준스탯 72종'!J43*H883</x:f>
        <x:v>0.9600000000000002</x:v>
      </x:c>
      <x:c r="AG883" s="15" t="n">
        <x:f>'기준스탯 72종'!K43*H883</x:f>
        <x:v>0.9600000000000002</x:v>
      </x:c>
    </x:row>
    <x:row r="884" ht="28" customHeight="1">
      <x:c r="A884" s="2" t="n">
        <x:v>877</x:v>
      </x:c>
      <x:c r="B884" s="2" t="n">
        <x:v>36</x:v>
      </x:c>
      <x:c r="C884" s="2" t="str">
        <x:v>처녀자리</x:v>
      </x:c>
      <x:c r="D884" s="2" t="str">
        <x:v>전사</x:v>
      </x:c>
      <x:c r="E884" s="2" t="n">
        <x:v>2</x:v>
      </x:c>
      <x:c r="F884" s="2" t="n">
        <x:v>1</x:v>
      </x:c>
      <x:c r="G884" s="14" t="n">
        <x:f>('레벨 계산식'!$E$4-E884)*'레벨 계산식'!$B$5</x:f>
        <x:v>0.41999999999999993</x:v>
      </x:c>
      <x:c r="H884" s="14" t="n">
        <x:f>('등급 계산식'!$E$4-F884)*'등급 계산식'!$B$5</x:f>
        <x:v>0.24000000000000005</x:v>
      </x:c>
      <x:c r="I884" s="14" t="n">
        <x:f>1-G884-H884</x:f>
        <x:v>0.34</x:v>
      </x:c>
      <x:c r="J884" s="2" t="n">
        <x:f>MAX(1,ROUND('기준스탯 72종'!D43-R884-Z884,0))</x:f>
        <x:v>3</x:v>
      </x:c>
      <x:c r="K884" s="2" t="n">
        <x:f>MAX(1,ROUND('기준스탯 72종'!E43-S884-AA884,0))</x:f>
        <x:v>3</x:v>
      </x:c>
      <x:c r="L884" s="2" t="n">
        <x:f>MAX(1,ROUND('기준스탯 72종'!F43-T884-AB884,0))</x:f>
        <x:v>3</x:v>
      </x:c>
      <x:c r="M884" s="2" t="n">
        <x:f>MAX(1,ROUND('기준스탯 72종'!G43-U884-AC884,0))</x:f>
        <x:v>2</x:v>
      </x:c>
      <x:c r="N884" s="2" t="n">
        <x:f>MAX(0,ROUND('기준스탯 72종'!H43-V884-AD884,0))</x:f>
        <x:v>1</x:v>
      </x:c>
      <x:c r="O884" s="2" t="n">
        <x:f>MAX(0,ROUND('기준스탯 72종'!I43-W884-AE884,0))</x:f>
        <x:v>2</x:v>
      </x:c>
      <x:c r="P884" s="2" t="n">
        <x:f>MAX(0,ROUND('기준스탯 72종'!J43-X884-AF884,0))</x:f>
        <x:v>1</x:v>
      </x:c>
      <x:c r="Q884" s="2" t="n">
        <x:f>MAX(0,ROUND('기준스탯 72종'!K43-Y884-AG884,0))</x:f>
        <x:v>1</x:v>
      </x:c>
      <x:c r="R884" s="15" t="n">
        <x:f>'기준스탯 72종'!D43*G884</x:f>
        <x:v>3.3599999999999994</x:v>
      </x:c>
      <x:c r="S884" s="15" t="n">
        <x:f>'기준스탯 72종'!E43*G884</x:f>
        <x:v>3.3599999999999994</x:v>
      </x:c>
      <x:c r="T884" s="15" t="n">
        <x:f>'기준스탯 72종'!F43*G884</x:f>
        <x:v>3.3599999999999994</x:v>
      </x:c>
      <x:c r="U884" s="15" t="n">
        <x:f>'기준스탯 72종'!G43*G884</x:f>
        <x:v>2.9399999999999995</x:v>
      </x:c>
      <x:c r="V884" s="15" t="n">
        <x:f>'기준스탯 72종'!H43*G884</x:f>
        <x:v>1.2599999999999998</x:v>
      </x:c>
      <x:c r="W884" s="15" t="n">
        <x:f>'기준스탯 72종'!I43*G884</x:f>
        <x:v>2.0999999999999996</x:v>
      </x:c>
      <x:c r="X884" s="15" t="n">
        <x:f>'기준스탯 72종'!J43*G884</x:f>
        <x:v>1.6799999999999997</x:v>
      </x:c>
      <x:c r="Y884" s="15" t="n">
        <x:f>'기준스탯 72종'!K43*G884</x:f>
        <x:v>1.6799999999999997</x:v>
      </x:c>
      <x:c r="Z884" s="15" t="n">
        <x:f>'기준스탯 72종'!D43*H884</x:f>
        <x:v>1.9200000000000004</x:v>
      </x:c>
      <x:c r="AA884" s="15" t="n">
        <x:f>'기준스탯 72종'!E43*H884</x:f>
        <x:v>1.9200000000000004</x:v>
      </x:c>
      <x:c r="AB884" s="15" t="n">
        <x:f>'기준스탯 72종'!F43*H884</x:f>
        <x:v>1.9200000000000004</x:v>
      </x:c>
      <x:c r="AC884" s="15" t="n">
        <x:f>'기준스탯 72종'!G43*H884</x:f>
        <x:v>1.6800000000000004</x:v>
      </x:c>
      <x:c r="AD884" s="15" t="n">
        <x:f>'기준스탯 72종'!H43*H884</x:f>
        <x:v>0.7200000000000002</x:v>
      </x:c>
      <x:c r="AE884" s="15" t="n">
        <x:f>'기준스탯 72종'!I43*H884</x:f>
        <x:v>1.2000000000000002</x:v>
      </x:c>
      <x:c r="AF884" s="15" t="n">
        <x:f>'기준스탯 72종'!J43*H884</x:f>
        <x:v>0.9600000000000002</x:v>
      </x:c>
      <x:c r="AG884" s="15" t="n">
        <x:f>'기준스탯 72종'!K43*H884</x:f>
        <x:v>0.9600000000000002</x:v>
      </x:c>
    </x:row>
    <x:row r="885" ht="28" customHeight="1">
      <x:c r="A885" s="2" t="n">
        <x:v>878</x:v>
      </x:c>
      <x:c r="B885" s="2" t="n">
        <x:v>36</x:v>
      </x:c>
      <x:c r="C885" s="2" t="str">
        <x:v>처녀자리</x:v>
      </x:c>
      <x:c r="D885" s="2" t="str">
        <x:v>전사</x:v>
      </x:c>
      <x:c r="E885" s="2" t="n">
        <x:v>3</x:v>
      </x:c>
      <x:c r="F885" s="2" t="n">
        <x:v>1</x:v>
      </x:c>
      <x:c r="G885" s="14" t="n">
        <x:f>('레벨 계산식'!$E$4-E885)*'레벨 계산식'!$B$5</x:f>
        <x:v>0.27999999999999997</x:v>
      </x:c>
      <x:c r="H885" s="14" t="n">
        <x:f>('등급 계산식'!$E$4-F885)*'등급 계산식'!$B$5</x:f>
        <x:v>0.24000000000000005</x:v>
      </x:c>
      <x:c r="I885" s="14" t="n">
        <x:f>1-G885-H885</x:f>
        <x:v>0.4799999999999999</x:v>
      </x:c>
      <x:c r="J885" s="2" t="n">
        <x:f>MAX(1,ROUND('기준스탯 72종'!D43-R885-Z885,0))</x:f>
        <x:v>4</x:v>
      </x:c>
      <x:c r="K885" s="2" t="n">
        <x:f>MAX(1,ROUND('기준스탯 72종'!E43-S885-AA885,0))</x:f>
        <x:v>4</x:v>
      </x:c>
      <x:c r="L885" s="2" t="n">
        <x:f>MAX(1,ROUND('기준스탯 72종'!F43-T885-AB885,0))</x:f>
        <x:v>4</x:v>
      </x:c>
      <x:c r="M885" s="2" t="n">
        <x:f>MAX(1,ROUND('기준스탯 72종'!G43-U885-AC885,0))</x:f>
        <x:v>3</x:v>
      </x:c>
      <x:c r="N885" s="2" t="n">
        <x:f>MAX(0,ROUND('기준스탯 72종'!H43-V885-AD885,0))</x:f>
        <x:v>1</x:v>
      </x:c>
      <x:c r="O885" s="2" t="n">
        <x:f>MAX(0,ROUND('기준스탯 72종'!I43-W885-AE885,0))</x:f>
        <x:v>2</x:v>
      </x:c>
      <x:c r="P885" s="2" t="n">
        <x:f>MAX(0,ROUND('기준스탯 72종'!J43-X885-AF885,0))</x:f>
        <x:v>2</x:v>
      </x:c>
      <x:c r="Q885" s="2" t="n">
        <x:f>MAX(0,ROUND('기준스탯 72종'!K43-Y885-AG885,0))</x:f>
        <x:v>2</x:v>
      </x:c>
      <x:c r="R885" s="15" t="n">
        <x:f>'기준스탯 72종'!D43*G885</x:f>
        <x:v>2.2399999999999998</x:v>
      </x:c>
      <x:c r="S885" s="15" t="n">
        <x:f>'기준스탯 72종'!E43*G885</x:f>
        <x:v>2.2399999999999998</x:v>
      </x:c>
      <x:c r="T885" s="15" t="n">
        <x:f>'기준스탯 72종'!F43*G885</x:f>
        <x:v>2.2399999999999998</x:v>
      </x:c>
      <x:c r="U885" s="15" t="n">
        <x:f>'기준스탯 72종'!G43*G885</x:f>
        <x:v>1.9599999999999997</x:v>
      </x:c>
      <x:c r="V885" s="15" t="n">
        <x:f>'기준스탯 72종'!H43*G885</x:f>
        <x:v>0.8399999999999999</x:v>
      </x:c>
      <x:c r="W885" s="15" t="n">
        <x:f>'기준스탯 72종'!I43*G885</x:f>
        <x:v>1.4</x:v>
      </x:c>
      <x:c r="X885" s="15" t="n">
        <x:f>'기준스탯 72종'!J43*G885</x:f>
        <x:v>1.1199999999999999</x:v>
      </x:c>
      <x:c r="Y885" s="15" t="n">
        <x:f>'기준스탯 72종'!K43*G885</x:f>
        <x:v>1.1199999999999999</x:v>
      </x:c>
      <x:c r="Z885" s="15" t="n">
        <x:f>'기준스탯 72종'!D43*H885</x:f>
        <x:v>1.9200000000000004</x:v>
      </x:c>
      <x:c r="AA885" s="15" t="n">
        <x:f>'기준스탯 72종'!E43*H885</x:f>
        <x:v>1.9200000000000004</x:v>
      </x:c>
      <x:c r="AB885" s="15" t="n">
        <x:f>'기준스탯 72종'!F43*H885</x:f>
        <x:v>1.9200000000000004</x:v>
      </x:c>
      <x:c r="AC885" s="15" t="n">
        <x:f>'기준스탯 72종'!G43*H885</x:f>
        <x:v>1.6800000000000004</x:v>
      </x:c>
      <x:c r="AD885" s="15" t="n">
        <x:f>'기준스탯 72종'!H43*H885</x:f>
        <x:v>0.7200000000000002</x:v>
      </x:c>
      <x:c r="AE885" s="15" t="n">
        <x:f>'기준스탯 72종'!I43*H885</x:f>
        <x:v>1.2000000000000002</x:v>
      </x:c>
      <x:c r="AF885" s="15" t="n">
        <x:f>'기준스탯 72종'!J43*H885</x:f>
        <x:v>0.9600000000000002</x:v>
      </x:c>
      <x:c r="AG885" s="15" t="n">
        <x:f>'기준스탯 72종'!K43*H885</x:f>
        <x:v>0.9600000000000002</x:v>
      </x:c>
    </x:row>
    <x:row r="886" ht="28" customHeight="1">
      <x:c r="A886" s="2" t="n">
        <x:v>879</x:v>
      </x:c>
      <x:c r="B886" s="2" t="n">
        <x:v>36</x:v>
      </x:c>
      <x:c r="C886" s="2" t="str">
        <x:v>처녀자리</x:v>
      </x:c>
      <x:c r="D886" s="2" t="str">
        <x:v>전사</x:v>
      </x:c>
      <x:c r="E886" s="2" t="n">
        <x:v>4</x:v>
      </x:c>
      <x:c r="F886" s="2" t="n">
        <x:v>1</x:v>
      </x:c>
      <x:c r="G886" s="14" t="n">
        <x:f>('레벨 계산식'!$E$4-E886)*'레벨 계산식'!$B$5</x:f>
        <x:v>0.13999999999999999</x:v>
      </x:c>
      <x:c r="H886" s="14" t="n">
        <x:f>('등급 계산식'!$E$4-F886)*'등급 계산식'!$B$5</x:f>
        <x:v>0.24000000000000005</x:v>
      </x:c>
      <x:c r="I886" s="14" t="n">
        <x:f>1-G886-H886</x:f>
        <x:v>0.6199999999999999</x:v>
      </x:c>
      <x:c r="J886" s="2" t="n">
        <x:f>MAX(1,ROUND('기준스탯 72종'!D43-R886-Z886,0))</x:f>
        <x:v>5</x:v>
      </x:c>
      <x:c r="K886" s="2" t="n">
        <x:f>MAX(1,ROUND('기준스탯 72종'!E43-S886-AA886,0))</x:f>
        <x:v>5</x:v>
      </x:c>
      <x:c r="L886" s="2" t="n">
        <x:f>MAX(1,ROUND('기준스탯 72종'!F43-T886-AB886,0))</x:f>
        <x:v>5</x:v>
      </x:c>
      <x:c r="M886" s="2" t="n">
        <x:f>MAX(1,ROUND('기준스탯 72종'!G43-U886-AC886,0))</x:f>
        <x:v>4</x:v>
      </x:c>
      <x:c r="N886" s="2" t="n">
        <x:f>MAX(0,ROUND('기준스탯 72종'!H43-V886-AD886,0))</x:f>
        <x:v>2</x:v>
      </x:c>
      <x:c r="O886" s="2" t="n">
        <x:f>MAX(0,ROUND('기준스탯 72종'!I43-W886-AE886,0))</x:f>
        <x:v>3</x:v>
      </x:c>
      <x:c r="P886" s="2" t="n">
        <x:f>MAX(0,ROUND('기준스탯 72종'!J43-X886-AF886,0))</x:f>
        <x:v>2</x:v>
      </x:c>
      <x:c r="Q886" s="2" t="n">
        <x:f>MAX(0,ROUND('기준스탯 72종'!K43-Y886-AG886,0))</x:f>
        <x:v>2</x:v>
      </x:c>
      <x:c r="R886" s="15" t="n">
        <x:f>'기준스탯 72종'!D43*G886</x:f>
        <x:v>1.1199999999999999</x:v>
      </x:c>
      <x:c r="S886" s="15" t="n">
        <x:f>'기준스탯 72종'!E43*G886</x:f>
        <x:v>1.1199999999999999</x:v>
      </x:c>
      <x:c r="T886" s="15" t="n">
        <x:f>'기준스탯 72종'!F43*G886</x:f>
        <x:v>1.1199999999999999</x:v>
      </x:c>
      <x:c r="U886" s="15" t="n">
        <x:f>'기준스탯 72종'!G43*G886</x:f>
        <x:v>0.9799999999999999</x:v>
      </x:c>
      <x:c r="V886" s="15" t="n">
        <x:f>'기준스탯 72종'!H43*G886</x:f>
        <x:v>0.41999999999999993</x:v>
      </x:c>
      <x:c r="W886" s="15" t="n">
        <x:f>'기준스탯 72종'!I43*G886</x:f>
        <x:v>0.7</x:v>
      </x:c>
      <x:c r="X886" s="15" t="n">
        <x:f>'기준스탯 72종'!J43*G886</x:f>
        <x:v>0.5599999999999999</x:v>
      </x:c>
      <x:c r="Y886" s="15" t="n">
        <x:f>'기준스탯 72종'!K43*G886</x:f>
        <x:v>0.5599999999999999</x:v>
      </x:c>
      <x:c r="Z886" s="15" t="n">
        <x:f>'기준스탯 72종'!D43*H886</x:f>
        <x:v>1.9200000000000004</x:v>
      </x:c>
      <x:c r="AA886" s="15" t="n">
        <x:f>'기준스탯 72종'!E43*H886</x:f>
        <x:v>1.9200000000000004</x:v>
      </x:c>
      <x:c r="AB886" s="15" t="n">
        <x:f>'기준스탯 72종'!F43*H886</x:f>
        <x:v>1.9200000000000004</x:v>
      </x:c>
      <x:c r="AC886" s="15" t="n">
        <x:f>'기준스탯 72종'!G43*H886</x:f>
        <x:v>1.6800000000000004</x:v>
      </x:c>
      <x:c r="AD886" s="15" t="n">
        <x:f>'기준스탯 72종'!H43*H886</x:f>
        <x:v>0.7200000000000002</x:v>
      </x:c>
      <x:c r="AE886" s="15" t="n">
        <x:f>'기준스탯 72종'!I43*H886</x:f>
        <x:v>1.2000000000000002</x:v>
      </x:c>
      <x:c r="AF886" s="15" t="n">
        <x:f>'기준스탯 72종'!J43*H886</x:f>
        <x:v>0.9600000000000002</x:v>
      </x:c>
      <x:c r="AG886" s="15" t="n">
        <x:f>'기준스탯 72종'!K43*H886</x:f>
        <x:v>0.9600000000000002</x:v>
      </x:c>
    </x:row>
    <x:row r="887" ht="28" customHeight="1">
      <x:c r="A887" s="2" t="n">
        <x:v>880</x:v>
      </x:c>
      <x:c r="B887" s="2" t="n">
        <x:v>36</x:v>
      </x:c>
      <x:c r="C887" s="2" t="str">
        <x:v>처녀자리</x:v>
      </x:c>
      <x:c r="D887" s="2" t="str">
        <x:v>전사</x:v>
      </x:c>
      <x:c r="E887" s="2" t="n">
        <x:v>5</x:v>
      </x:c>
      <x:c r="F887" s="2" t="n">
        <x:v>1</x:v>
      </x:c>
      <x:c r="G887" s="14" t="n">
        <x:f>('레벨 계산식'!$E$4-E887)*'레벨 계산식'!$B$5</x:f>
        <x:v>0</x:v>
      </x:c>
      <x:c r="H887" s="14" t="n">
        <x:f>('등급 계산식'!$E$4-F887)*'등급 계산식'!$B$5</x:f>
        <x:v>0.24000000000000005</x:v>
      </x:c>
      <x:c r="I887" s="14" t="n">
        <x:f>1-G887-H887</x:f>
        <x:v>0.76</x:v>
      </x:c>
      <x:c r="J887" s="2" t="n">
        <x:f>MAX(1,ROUND('기준스탯 72종'!D43-R887-Z887,0))</x:f>
        <x:v>6</x:v>
      </x:c>
      <x:c r="K887" s="2" t="n">
        <x:f>MAX(1,ROUND('기준스탯 72종'!E43-S887-AA887,0))</x:f>
        <x:v>6</x:v>
      </x:c>
      <x:c r="L887" s="2" t="n">
        <x:f>MAX(1,ROUND('기준스탯 72종'!F43-T887-AB887,0))</x:f>
        <x:v>6</x:v>
      </x:c>
      <x:c r="M887" s="2" t="n">
        <x:f>MAX(1,ROUND('기준스탯 72종'!G43-U887-AC887,0))</x:f>
        <x:v>5</x:v>
      </x:c>
      <x:c r="N887" s="2" t="n">
        <x:f>MAX(0,ROUND('기준스탯 72종'!H43-V887-AD887,0))</x:f>
        <x:v>2</x:v>
      </x:c>
      <x:c r="O887" s="2" t="n">
        <x:f>MAX(0,ROUND('기준스탯 72종'!I43-W887-AE887,0))</x:f>
        <x:v>4</x:v>
      </x:c>
      <x:c r="P887" s="2" t="n">
        <x:f>MAX(0,ROUND('기준스탯 72종'!J43-X887-AF887,0))</x:f>
        <x:v>3</x:v>
      </x:c>
      <x:c r="Q887" s="2" t="n">
        <x:f>MAX(0,ROUND('기준스탯 72종'!K43-Y887-AG887,0))</x:f>
        <x:v>3</x:v>
      </x:c>
      <x:c r="R887" s="15" t="n">
        <x:f>'기준스탯 72종'!D43*G887</x:f>
        <x:v>0</x:v>
      </x:c>
      <x:c r="S887" s="15" t="n">
        <x:f>'기준스탯 72종'!E43*G887</x:f>
        <x:v>0</x:v>
      </x:c>
      <x:c r="T887" s="15" t="n">
        <x:f>'기준스탯 72종'!F43*G887</x:f>
        <x:v>0</x:v>
      </x:c>
      <x:c r="U887" s="15" t="n">
        <x:f>'기준스탯 72종'!G43*G887</x:f>
        <x:v>0</x:v>
      </x:c>
      <x:c r="V887" s="15" t="n">
        <x:f>'기준스탯 72종'!H43*G887</x:f>
        <x:v>0</x:v>
      </x:c>
      <x:c r="W887" s="15" t="n">
        <x:f>'기준스탯 72종'!I43*G887</x:f>
        <x:v>0</x:v>
      </x:c>
      <x:c r="X887" s="15" t="n">
        <x:f>'기준스탯 72종'!J43*G887</x:f>
        <x:v>0</x:v>
      </x:c>
      <x:c r="Y887" s="15" t="n">
        <x:f>'기준스탯 72종'!K43*G887</x:f>
        <x:v>0</x:v>
      </x:c>
      <x:c r="Z887" s="15" t="n">
        <x:f>'기준스탯 72종'!D43*H887</x:f>
        <x:v>1.9200000000000004</x:v>
      </x:c>
      <x:c r="AA887" s="15" t="n">
        <x:f>'기준스탯 72종'!E43*H887</x:f>
        <x:v>1.9200000000000004</x:v>
      </x:c>
      <x:c r="AB887" s="15" t="n">
        <x:f>'기준스탯 72종'!F43*H887</x:f>
        <x:v>1.9200000000000004</x:v>
      </x:c>
      <x:c r="AC887" s="15" t="n">
        <x:f>'기준스탯 72종'!G43*H887</x:f>
        <x:v>1.6800000000000004</x:v>
      </x:c>
      <x:c r="AD887" s="15" t="n">
        <x:f>'기준스탯 72종'!H43*H887</x:f>
        <x:v>0.7200000000000002</x:v>
      </x:c>
      <x:c r="AE887" s="15" t="n">
        <x:f>'기준스탯 72종'!I43*H887</x:f>
        <x:v>1.2000000000000002</x:v>
      </x:c>
      <x:c r="AF887" s="15" t="n">
        <x:f>'기준스탯 72종'!J43*H887</x:f>
        <x:v>0.9600000000000002</x:v>
      </x:c>
      <x:c r="AG887" s="15" t="n">
        <x:f>'기준스탯 72종'!K43*H887</x:f>
        <x:v>0.9600000000000002</x:v>
      </x:c>
    </x:row>
    <x:row r="888" ht="28" customHeight="1">
      <x:c r="A888" s="2" t="n">
        <x:v>881</x:v>
      </x:c>
      <x:c r="B888" s="2" t="n">
        <x:v>36</x:v>
      </x:c>
      <x:c r="C888" s="2" t="str">
        <x:v>처녀자리</x:v>
      </x:c>
      <x:c r="D888" s="2" t="str">
        <x:v>전사</x:v>
      </x:c>
      <x:c r="E888" s="2" t="n">
        <x:v>1</x:v>
      </x:c>
      <x:c r="F888" s="2" t="n">
        <x:v>2</x:v>
      </x:c>
      <x:c r="G888" s="14" t="n">
        <x:f>('레벨 계산식'!$E$4-E888)*'레벨 계산식'!$B$5</x:f>
        <x:v>0.5599999999999999</x:v>
      </x:c>
      <x:c r="H888" s="14" t="n">
        <x:f>('등급 계산식'!$E$4-F888)*'등급 계산식'!$B$5</x:f>
        <x:v>0.18000000000000005</x:v>
      </x:c>
      <x:c r="I888" s="14" t="n">
        <x:f>1-G888-H888</x:f>
        <x:v>0.26</x:v>
      </x:c>
      <x:c r="J888" s="2" t="n">
        <x:f>MAX(1,ROUND('기준스탯 72종'!D43-R888-Z888,0))</x:f>
        <x:v>2</x:v>
      </x:c>
      <x:c r="K888" s="2" t="n">
        <x:f>MAX(1,ROUND('기준스탯 72종'!E43-S888-AA888,0))</x:f>
        <x:v>2</x:v>
      </x:c>
      <x:c r="L888" s="2" t="n">
        <x:f>MAX(1,ROUND('기준스탯 72종'!F43-T888-AB888,0))</x:f>
        <x:v>2</x:v>
      </x:c>
      <x:c r="M888" s="2" t="n">
        <x:f>MAX(1,ROUND('기준스탯 72종'!G43-U888-AC888,0))</x:f>
        <x:v>2</x:v>
      </x:c>
      <x:c r="N888" s="2" t="n">
        <x:f>MAX(0,ROUND('기준스탯 72종'!H43-V888-AD888,0))</x:f>
        <x:v>1</x:v>
      </x:c>
      <x:c r="O888" s="2" t="n">
        <x:f>MAX(0,ROUND('기준스탯 72종'!I43-W888-AE888,0))</x:f>
        <x:v>1</x:v>
      </x:c>
      <x:c r="P888" s="2" t="n">
        <x:f>MAX(0,ROUND('기준스탯 72종'!J43-X888-AF888,0))</x:f>
        <x:v>1</x:v>
      </x:c>
      <x:c r="Q888" s="2" t="n">
        <x:f>MAX(0,ROUND('기준스탯 72종'!K43-Y888-AG888,0))</x:f>
        <x:v>1</x:v>
      </x:c>
      <x:c r="R888" s="15" t="n">
        <x:f>'기준스탯 72종'!D43*G888</x:f>
        <x:v>4.4799999999999995</x:v>
      </x:c>
      <x:c r="S888" s="15" t="n">
        <x:f>'기준스탯 72종'!E43*G888</x:f>
        <x:v>4.4799999999999995</x:v>
      </x:c>
      <x:c r="T888" s="15" t="n">
        <x:f>'기준스탯 72종'!F43*G888</x:f>
        <x:v>4.4799999999999995</x:v>
      </x:c>
      <x:c r="U888" s="15" t="n">
        <x:f>'기준스탯 72종'!G43*G888</x:f>
        <x:v>3.9199999999999995</x:v>
      </x:c>
      <x:c r="V888" s="15" t="n">
        <x:f>'기준스탯 72종'!H43*G888</x:f>
        <x:v>1.6799999999999997</x:v>
      </x:c>
      <x:c r="W888" s="15" t="n">
        <x:f>'기준스탯 72종'!I43*G888</x:f>
        <x:v>2.8</x:v>
      </x:c>
      <x:c r="X888" s="15" t="n">
        <x:f>'기준스탯 72종'!J43*G888</x:f>
        <x:v>2.2399999999999998</x:v>
      </x:c>
      <x:c r="Y888" s="15" t="n">
        <x:f>'기준스탯 72종'!K43*G888</x:f>
        <x:v>2.2399999999999998</x:v>
      </x:c>
      <x:c r="Z888" s="15" t="n">
        <x:f>'기준스탯 72종'!D43*H888</x:f>
        <x:v>1.4400000000000004</x:v>
      </x:c>
      <x:c r="AA888" s="15" t="n">
        <x:f>'기준스탯 72종'!E43*H888</x:f>
        <x:v>1.4400000000000004</x:v>
      </x:c>
      <x:c r="AB888" s="15" t="n">
        <x:f>'기준스탯 72종'!F43*H888</x:f>
        <x:v>1.4400000000000004</x:v>
      </x:c>
      <x:c r="AC888" s="15" t="n">
        <x:f>'기준스탯 72종'!G43*H888</x:f>
        <x:v>1.2600000000000002</x:v>
      </x:c>
      <x:c r="AD888" s="15" t="n">
        <x:f>'기준스탯 72종'!H43*H888</x:f>
        <x:v>0.5400000000000001</x:v>
      </x:c>
      <x:c r="AE888" s="15" t="n">
        <x:f>'기준스탯 72종'!I43*H888</x:f>
        <x:v>0.9000000000000002</x:v>
      </x:c>
      <x:c r="AF888" s="15" t="n">
        <x:f>'기준스탯 72종'!J43*H888</x:f>
        <x:v>0.7200000000000002</x:v>
      </x:c>
      <x:c r="AG888" s="15" t="n">
        <x:f>'기준스탯 72종'!K43*H888</x:f>
        <x:v>0.7200000000000002</x:v>
      </x:c>
    </x:row>
    <x:row r="889" ht="28" customHeight="1">
      <x:c r="A889" s="2" t="n">
        <x:v>882</x:v>
      </x:c>
      <x:c r="B889" s="2" t="n">
        <x:v>36</x:v>
      </x:c>
      <x:c r="C889" s="2" t="str">
        <x:v>처녀자리</x:v>
      </x:c>
      <x:c r="D889" s="2" t="str">
        <x:v>전사</x:v>
      </x:c>
      <x:c r="E889" s="2" t="n">
        <x:v>2</x:v>
      </x:c>
      <x:c r="F889" s="2" t="n">
        <x:v>2</x:v>
      </x:c>
      <x:c r="G889" s="14" t="n">
        <x:f>('레벨 계산식'!$E$4-E889)*'레벨 계산식'!$B$5</x:f>
        <x:v>0.41999999999999993</x:v>
      </x:c>
      <x:c r="H889" s="14" t="n">
        <x:f>('등급 계산식'!$E$4-F889)*'등급 계산식'!$B$5</x:f>
        <x:v>0.18000000000000005</x:v>
      </x:c>
      <x:c r="I889" s="14" t="n">
        <x:f>1-G889-H889</x:f>
        <x:v>0.4</x:v>
      </x:c>
      <x:c r="J889" s="2" t="n">
        <x:f>MAX(1,ROUND('기준스탯 72종'!D43-R889-Z889,0))</x:f>
        <x:v>3</x:v>
      </x:c>
      <x:c r="K889" s="2" t="n">
        <x:f>MAX(1,ROUND('기준스탯 72종'!E43-S889-AA889,0))</x:f>
        <x:v>3</x:v>
      </x:c>
      <x:c r="L889" s="2" t="n">
        <x:f>MAX(1,ROUND('기준스탯 72종'!F43-T889-AB889,0))</x:f>
        <x:v>3</x:v>
      </x:c>
      <x:c r="M889" s="2" t="n">
        <x:f>MAX(1,ROUND('기준스탯 72종'!G43-U889-AC889,0))</x:f>
        <x:v>3</x:v>
      </x:c>
      <x:c r="N889" s="2" t="n">
        <x:f>MAX(0,ROUND('기준스탯 72종'!H43-V889-AD889,0))</x:f>
        <x:v>1</x:v>
      </x:c>
      <x:c r="O889" s="2" t="n">
        <x:f>MAX(0,ROUND('기준스탯 72종'!I43-W889-AE889,0))</x:f>
        <x:v>2</x:v>
      </x:c>
      <x:c r="P889" s="2" t="n">
        <x:f>MAX(0,ROUND('기준스탯 72종'!J43-X889-AF889,0))</x:f>
        <x:v>2</x:v>
      </x:c>
      <x:c r="Q889" s="2" t="n">
        <x:f>MAX(0,ROUND('기준스탯 72종'!K43-Y889-AG889,0))</x:f>
        <x:v>2</x:v>
      </x:c>
      <x:c r="R889" s="15" t="n">
        <x:f>'기준스탯 72종'!D43*G889</x:f>
        <x:v>3.3599999999999994</x:v>
      </x:c>
      <x:c r="S889" s="15" t="n">
        <x:f>'기준스탯 72종'!E43*G889</x:f>
        <x:v>3.3599999999999994</x:v>
      </x:c>
      <x:c r="T889" s="15" t="n">
        <x:f>'기준스탯 72종'!F43*G889</x:f>
        <x:v>3.3599999999999994</x:v>
      </x:c>
      <x:c r="U889" s="15" t="n">
        <x:f>'기준스탯 72종'!G43*G889</x:f>
        <x:v>2.9399999999999995</x:v>
      </x:c>
      <x:c r="V889" s="15" t="n">
        <x:f>'기준스탯 72종'!H43*G889</x:f>
        <x:v>1.2599999999999998</x:v>
      </x:c>
      <x:c r="W889" s="15" t="n">
        <x:f>'기준스탯 72종'!I43*G889</x:f>
        <x:v>2.0999999999999996</x:v>
      </x:c>
      <x:c r="X889" s="15" t="n">
        <x:f>'기준스탯 72종'!J43*G889</x:f>
        <x:v>1.6799999999999997</x:v>
      </x:c>
      <x:c r="Y889" s="15" t="n">
        <x:f>'기준스탯 72종'!K43*G889</x:f>
        <x:v>1.6799999999999997</x:v>
      </x:c>
      <x:c r="Z889" s="15" t="n">
        <x:f>'기준스탯 72종'!D43*H889</x:f>
        <x:v>1.4400000000000004</x:v>
      </x:c>
      <x:c r="AA889" s="15" t="n">
        <x:f>'기준스탯 72종'!E43*H889</x:f>
        <x:v>1.4400000000000004</x:v>
      </x:c>
      <x:c r="AB889" s="15" t="n">
        <x:f>'기준스탯 72종'!F43*H889</x:f>
        <x:v>1.4400000000000004</x:v>
      </x:c>
      <x:c r="AC889" s="15" t="n">
        <x:f>'기준스탯 72종'!G43*H889</x:f>
        <x:v>1.2600000000000002</x:v>
      </x:c>
      <x:c r="AD889" s="15" t="n">
        <x:f>'기준스탯 72종'!H43*H889</x:f>
        <x:v>0.5400000000000001</x:v>
      </x:c>
      <x:c r="AE889" s="15" t="n">
        <x:f>'기준스탯 72종'!I43*H889</x:f>
        <x:v>0.9000000000000002</x:v>
      </x:c>
      <x:c r="AF889" s="15" t="n">
        <x:f>'기준스탯 72종'!J43*H889</x:f>
        <x:v>0.7200000000000002</x:v>
      </x:c>
      <x:c r="AG889" s="15" t="n">
        <x:f>'기준스탯 72종'!K43*H889</x:f>
        <x:v>0.7200000000000002</x:v>
      </x:c>
    </x:row>
    <x:row r="890" ht="28" customHeight="1">
      <x:c r="A890" s="2" t="n">
        <x:v>883</x:v>
      </x:c>
      <x:c r="B890" s="2" t="n">
        <x:v>36</x:v>
      </x:c>
      <x:c r="C890" s="2" t="str">
        <x:v>처녀자리</x:v>
      </x:c>
      <x:c r="D890" s="2" t="str">
        <x:v>전사</x:v>
      </x:c>
      <x:c r="E890" s="2" t="n">
        <x:v>3</x:v>
      </x:c>
      <x:c r="F890" s="2" t="n">
        <x:v>2</x:v>
      </x:c>
      <x:c r="G890" s="14" t="n">
        <x:f>('레벨 계산식'!$E$4-E890)*'레벨 계산식'!$B$5</x:f>
        <x:v>0.27999999999999997</x:v>
      </x:c>
      <x:c r="H890" s="14" t="n">
        <x:f>('등급 계산식'!$E$4-F890)*'등급 계산식'!$B$5</x:f>
        <x:v>0.18000000000000005</x:v>
      </x:c>
      <x:c r="I890" s="14" t="n">
        <x:f>1-G890-H890</x:f>
        <x:v>0.5399999999999999</x:v>
      </x:c>
      <x:c r="J890" s="2" t="n">
        <x:f>MAX(1,ROUND('기준스탯 72종'!D43-R890-Z890,0))</x:f>
        <x:v>4</x:v>
      </x:c>
      <x:c r="K890" s="2" t="n">
        <x:f>MAX(1,ROUND('기준스탯 72종'!E43-S890-AA890,0))</x:f>
        <x:v>4</x:v>
      </x:c>
      <x:c r="L890" s="2" t="n">
        <x:f>MAX(1,ROUND('기준스탯 72종'!F43-T890-AB890,0))</x:f>
        <x:v>4</x:v>
      </x:c>
      <x:c r="M890" s="2" t="n">
        <x:f>MAX(1,ROUND('기준스탯 72종'!G43-U890-AC890,0))</x:f>
        <x:v>4</x:v>
      </x:c>
      <x:c r="N890" s="2" t="n">
        <x:f>MAX(0,ROUND('기준스탯 72종'!H43-V890-AD890,0))</x:f>
        <x:v>2</x:v>
      </x:c>
      <x:c r="O890" s="2" t="n">
        <x:f>MAX(0,ROUND('기준스탯 72종'!I43-W890-AE890,0))</x:f>
        <x:v>3</x:v>
      </x:c>
      <x:c r="P890" s="2" t="n">
        <x:f>MAX(0,ROUND('기준스탯 72종'!J43-X890-AF890,0))</x:f>
        <x:v>2</x:v>
      </x:c>
      <x:c r="Q890" s="2" t="n">
        <x:f>MAX(0,ROUND('기준스탯 72종'!K43-Y890-AG890,0))</x:f>
        <x:v>2</x:v>
      </x:c>
      <x:c r="R890" s="15" t="n">
        <x:f>'기준스탯 72종'!D43*G890</x:f>
        <x:v>2.2399999999999998</x:v>
      </x:c>
      <x:c r="S890" s="15" t="n">
        <x:f>'기준스탯 72종'!E43*G890</x:f>
        <x:v>2.2399999999999998</x:v>
      </x:c>
      <x:c r="T890" s="15" t="n">
        <x:f>'기준스탯 72종'!F43*G890</x:f>
        <x:v>2.2399999999999998</x:v>
      </x:c>
      <x:c r="U890" s="15" t="n">
        <x:f>'기준스탯 72종'!G43*G890</x:f>
        <x:v>1.9599999999999997</x:v>
      </x:c>
      <x:c r="V890" s="15" t="n">
        <x:f>'기준스탯 72종'!H43*G890</x:f>
        <x:v>0.8399999999999999</x:v>
      </x:c>
      <x:c r="W890" s="15" t="n">
        <x:f>'기준스탯 72종'!I43*G890</x:f>
        <x:v>1.4</x:v>
      </x:c>
      <x:c r="X890" s="15" t="n">
        <x:f>'기준스탯 72종'!J43*G890</x:f>
        <x:v>1.1199999999999999</x:v>
      </x:c>
      <x:c r="Y890" s="15" t="n">
        <x:f>'기준스탯 72종'!K43*G890</x:f>
        <x:v>1.1199999999999999</x:v>
      </x:c>
      <x:c r="Z890" s="15" t="n">
        <x:f>'기준스탯 72종'!D43*H890</x:f>
        <x:v>1.4400000000000004</x:v>
      </x:c>
      <x:c r="AA890" s="15" t="n">
        <x:f>'기준스탯 72종'!E43*H890</x:f>
        <x:v>1.4400000000000004</x:v>
      </x:c>
      <x:c r="AB890" s="15" t="n">
        <x:f>'기준스탯 72종'!F43*H890</x:f>
        <x:v>1.4400000000000004</x:v>
      </x:c>
      <x:c r="AC890" s="15" t="n">
        <x:f>'기준스탯 72종'!G43*H890</x:f>
        <x:v>1.2600000000000002</x:v>
      </x:c>
      <x:c r="AD890" s="15" t="n">
        <x:f>'기준스탯 72종'!H43*H890</x:f>
        <x:v>0.5400000000000001</x:v>
      </x:c>
      <x:c r="AE890" s="15" t="n">
        <x:f>'기준스탯 72종'!I43*H890</x:f>
        <x:v>0.9000000000000002</x:v>
      </x:c>
      <x:c r="AF890" s="15" t="n">
        <x:f>'기준스탯 72종'!J43*H890</x:f>
        <x:v>0.7200000000000002</x:v>
      </x:c>
      <x:c r="AG890" s="15" t="n">
        <x:f>'기준스탯 72종'!K43*H890</x:f>
        <x:v>0.7200000000000002</x:v>
      </x:c>
    </x:row>
    <x:row r="891" ht="28" customHeight="1">
      <x:c r="A891" s="2" t="n">
        <x:v>884</x:v>
      </x:c>
      <x:c r="B891" s="2" t="n">
        <x:v>36</x:v>
      </x:c>
      <x:c r="C891" s="2" t="str">
        <x:v>처녀자리</x:v>
      </x:c>
      <x:c r="D891" s="2" t="str">
        <x:v>전사</x:v>
      </x:c>
      <x:c r="E891" s="2" t="n">
        <x:v>4</x:v>
      </x:c>
      <x:c r="F891" s="2" t="n">
        <x:v>2</x:v>
      </x:c>
      <x:c r="G891" s="14" t="n">
        <x:f>('레벨 계산식'!$E$4-E891)*'레벨 계산식'!$B$5</x:f>
        <x:v>0.13999999999999999</x:v>
      </x:c>
      <x:c r="H891" s="14" t="n">
        <x:f>('등급 계산식'!$E$4-F891)*'등급 계산식'!$B$5</x:f>
        <x:v>0.18000000000000005</x:v>
      </x:c>
      <x:c r="I891" s="14" t="n">
        <x:f>1-G891-H891</x:f>
        <x:v>0.6799999999999999</x:v>
      </x:c>
      <x:c r="J891" s="2" t="n">
        <x:f>MAX(1,ROUND('기준스탯 72종'!D43-R891-Z891,0))</x:f>
        <x:v>5</x:v>
      </x:c>
      <x:c r="K891" s="2" t="n">
        <x:f>MAX(1,ROUND('기준스탯 72종'!E43-S891-AA891,0))</x:f>
        <x:v>5</x:v>
      </x:c>
      <x:c r="L891" s="2" t="n">
        <x:f>MAX(1,ROUND('기준스탯 72종'!F43-T891-AB891,0))</x:f>
        <x:v>5</x:v>
      </x:c>
      <x:c r="M891" s="2" t="n">
        <x:f>MAX(1,ROUND('기준스탯 72종'!G43-U891-AC891,0))</x:f>
        <x:v>5</x:v>
      </x:c>
      <x:c r="N891" s="2" t="n">
        <x:f>MAX(0,ROUND('기준스탯 72종'!H43-V891-AD891,0))</x:f>
        <x:v>2</x:v>
      </x:c>
      <x:c r="O891" s="2" t="n">
        <x:f>MAX(0,ROUND('기준스탯 72종'!I43-W891-AE891,0))</x:f>
        <x:v>3</x:v>
      </x:c>
      <x:c r="P891" s="2" t="n">
        <x:f>MAX(0,ROUND('기준스탯 72종'!J43-X891-AF891,0))</x:f>
        <x:v>3</x:v>
      </x:c>
      <x:c r="Q891" s="2" t="n">
        <x:f>MAX(0,ROUND('기준스탯 72종'!K43-Y891-AG891,0))</x:f>
        <x:v>3</x:v>
      </x:c>
      <x:c r="R891" s="15" t="n">
        <x:f>'기준스탯 72종'!D43*G891</x:f>
        <x:v>1.1199999999999999</x:v>
      </x:c>
      <x:c r="S891" s="15" t="n">
        <x:f>'기준스탯 72종'!E43*G891</x:f>
        <x:v>1.1199999999999999</x:v>
      </x:c>
      <x:c r="T891" s="15" t="n">
        <x:f>'기준스탯 72종'!F43*G891</x:f>
        <x:v>1.1199999999999999</x:v>
      </x:c>
      <x:c r="U891" s="15" t="n">
        <x:f>'기준스탯 72종'!G43*G891</x:f>
        <x:v>0.9799999999999999</x:v>
      </x:c>
      <x:c r="V891" s="15" t="n">
        <x:f>'기준스탯 72종'!H43*G891</x:f>
        <x:v>0.41999999999999993</x:v>
      </x:c>
      <x:c r="W891" s="15" t="n">
        <x:f>'기준스탯 72종'!I43*G891</x:f>
        <x:v>0.7</x:v>
      </x:c>
      <x:c r="X891" s="15" t="n">
        <x:f>'기준스탯 72종'!J43*G891</x:f>
        <x:v>0.5599999999999999</x:v>
      </x:c>
      <x:c r="Y891" s="15" t="n">
        <x:f>'기준스탯 72종'!K43*G891</x:f>
        <x:v>0.5599999999999999</x:v>
      </x:c>
      <x:c r="Z891" s="15" t="n">
        <x:f>'기준스탯 72종'!D43*H891</x:f>
        <x:v>1.4400000000000004</x:v>
      </x:c>
      <x:c r="AA891" s="15" t="n">
        <x:f>'기준스탯 72종'!E43*H891</x:f>
        <x:v>1.4400000000000004</x:v>
      </x:c>
      <x:c r="AB891" s="15" t="n">
        <x:f>'기준스탯 72종'!F43*H891</x:f>
        <x:v>1.4400000000000004</x:v>
      </x:c>
      <x:c r="AC891" s="15" t="n">
        <x:f>'기준스탯 72종'!G43*H891</x:f>
        <x:v>1.2600000000000002</x:v>
      </x:c>
      <x:c r="AD891" s="15" t="n">
        <x:f>'기준스탯 72종'!H43*H891</x:f>
        <x:v>0.5400000000000001</x:v>
      </x:c>
      <x:c r="AE891" s="15" t="n">
        <x:f>'기준스탯 72종'!I43*H891</x:f>
        <x:v>0.9000000000000002</x:v>
      </x:c>
      <x:c r="AF891" s="15" t="n">
        <x:f>'기준스탯 72종'!J43*H891</x:f>
        <x:v>0.7200000000000002</x:v>
      </x:c>
      <x:c r="AG891" s="15" t="n">
        <x:f>'기준스탯 72종'!K43*H891</x:f>
        <x:v>0.7200000000000002</x:v>
      </x:c>
    </x:row>
    <x:row r="892" ht="28" customHeight="1">
      <x:c r="A892" s="2" t="n">
        <x:v>885</x:v>
      </x:c>
      <x:c r="B892" s="2" t="n">
        <x:v>36</x:v>
      </x:c>
      <x:c r="C892" s="2" t="str">
        <x:v>처녀자리</x:v>
      </x:c>
      <x:c r="D892" s="2" t="str">
        <x:v>전사</x:v>
      </x:c>
      <x:c r="E892" s="2" t="n">
        <x:v>5</x:v>
      </x:c>
      <x:c r="F892" s="2" t="n">
        <x:v>2</x:v>
      </x:c>
      <x:c r="G892" s="14" t="n">
        <x:f>('레벨 계산식'!$E$4-E892)*'레벨 계산식'!$B$5</x:f>
        <x:v>0</x:v>
      </x:c>
      <x:c r="H892" s="14" t="n">
        <x:f>('등급 계산식'!$E$4-F892)*'등급 계산식'!$B$5</x:f>
        <x:v>0.18000000000000005</x:v>
      </x:c>
      <x:c r="I892" s="14" t="n">
        <x:f>1-G892-H892</x:f>
        <x:v>0.82</x:v>
      </x:c>
      <x:c r="J892" s="2" t="n">
        <x:f>MAX(1,ROUND('기준스탯 72종'!D43-R892-Z892,0))</x:f>
        <x:v>7</x:v>
      </x:c>
      <x:c r="K892" s="2" t="n">
        <x:f>MAX(1,ROUND('기준스탯 72종'!E43-S892-AA892,0))</x:f>
        <x:v>7</x:v>
      </x:c>
      <x:c r="L892" s="2" t="n">
        <x:f>MAX(1,ROUND('기준스탯 72종'!F43-T892-AB892,0))</x:f>
        <x:v>7</x:v>
      </x:c>
      <x:c r="M892" s="2" t="n">
        <x:f>MAX(1,ROUND('기준스탯 72종'!G43-U892-AC892,0))</x:f>
        <x:v>6</x:v>
      </x:c>
      <x:c r="N892" s="2" t="n">
        <x:f>MAX(0,ROUND('기준스탯 72종'!H43-V892-AD892,0))</x:f>
        <x:v>2</x:v>
      </x:c>
      <x:c r="O892" s="2" t="n">
        <x:f>MAX(0,ROUND('기준스탯 72종'!I43-W892-AE892,0))</x:f>
        <x:v>4</x:v>
      </x:c>
      <x:c r="P892" s="2" t="n">
        <x:f>MAX(0,ROUND('기준스탯 72종'!J43-X892-AF892,0))</x:f>
        <x:v>3</x:v>
      </x:c>
      <x:c r="Q892" s="2" t="n">
        <x:f>MAX(0,ROUND('기준스탯 72종'!K43-Y892-AG892,0))</x:f>
        <x:v>3</x:v>
      </x:c>
      <x:c r="R892" s="15" t="n">
        <x:f>'기준스탯 72종'!D43*G892</x:f>
        <x:v>0</x:v>
      </x:c>
      <x:c r="S892" s="15" t="n">
        <x:f>'기준스탯 72종'!E43*G892</x:f>
        <x:v>0</x:v>
      </x:c>
      <x:c r="T892" s="15" t="n">
        <x:f>'기준스탯 72종'!F43*G892</x:f>
        <x:v>0</x:v>
      </x:c>
      <x:c r="U892" s="15" t="n">
        <x:f>'기준스탯 72종'!G43*G892</x:f>
        <x:v>0</x:v>
      </x:c>
      <x:c r="V892" s="15" t="n">
        <x:f>'기준스탯 72종'!H43*G892</x:f>
        <x:v>0</x:v>
      </x:c>
      <x:c r="W892" s="15" t="n">
        <x:f>'기준스탯 72종'!I43*G892</x:f>
        <x:v>0</x:v>
      </x:c>
      <x:c r="X892" s="15" t="n">
        <x:f>'기준스탯 72종'!J43*G892</x:f>
        <x:v>0</x:v>
      </x:c>
      <x:c r="Y892" s="15" t="n">
        <x:f>'기준스탯 72종'!K43*G892</x:f>
        <x:v>0</x:v>
      </x:c>
      <x:c r="Z892" s="15" t="n">
        <x:f>'기준스탯 72종'!D43*H892</x:f>
        <x:v>1.4400000000000004</x:v>
      </x:c>
      <x:c r="AA892" s="15" t="n">
        <x:f>'기준스탯 72종'!E43*H892</x:f>
        <x:v>1.4400000000000004</x:v>
      </x:c>
      <x:c r="AB892" s="15" t="n">
        <x:f>'기준스탯 72종'!F43*H892</x:f>
        <x:v>1.4400000000000004</x:v>
      </x:c>
      <x:c r="AC892" s="15" t="n">
        <x:f>'기준스탯 72종'!G43*H892</x:f>
        <x:v>1.2600000000000002</x:v>
      </x:c>
      <x:c r="AD892" s="15" t="n">
        <x:f>'기준스탯 72종'!H43*H892</x:f>
        <x:v>0.5400000000000001</x:v>
      </x:c>
      <x:c r="AE892" s="15" t="n">
        <x:f>'기준스탯 72종'!I43*H892</x:f>
        <x:v>0.9000000000000002</x:v>
      </x:c>
      <x:c r="AF892" s="15" t="n">
        <x:f>'기준스탯 72종'!J43*H892</x:f>
        <x:v>0.7200000000000002</x:v>
      </x:c>
      <x:c r="AG892" s="15" t="n">
        <x:f>'기준스탯 72종'!K43*H892</x:f>
        <x:v>0.7200000000000002</x:v>
      </x:c>
    </x:row>
    <x:row r="893" ht="28" customHeight="1">
      <x:c r="A893" s="2" t="n">
        <x:v>886</x:v>
      </x:c>
      <x:c r="B893" s="2" t="n">
        <x:v>36</x:v>
      </x:c>
      <x:c r="C893" s="2" t="str">
        <x:v>처녀자리</x:v>
      </x:c>
      <x:c r="D893" s="2" t="str">
        <x:v>전사</x:v>
      </x:c>
      <x:c r="E893" s="2" t="n">
        <x:v>1</x:v>
      </x:c>
      <x:c r="F893" s="2" t="n">
        <x:v>3</x:v>
      </x:c>
      <x:c r="G893" s="14" t="n">
        <x:f>('레벨 계산식'!$E$4-E893)*'레벨 계산식'!$B$5</x:f>
        <x:v>0.5599999999999999</x:v>
      </x:c>
      <x:c r="H893" s="14" t="n">
        <x:f>('등급 계산식'!$E$4-F893)*'등급 계산식'!$B$5</x:f>
        <x:v>0.12000000000000002</x:v>
      </x:c>
      <x:c r="I893" s="14" t="n">
        <x:f>1-G893-H893</x:f>
        <x:v>0.32000000000000006</x:v>
      </x:c>
      <x:c r="J893" s="2" t="n">
        <x:f>MAX(1,ROUND('기준스탯 72종'!D43-R893-Z893,0))</x:f>
        <x:v>3</x:v>
      </x:c>
      <x:c r="K893" s="2" t="n">
        <x:f>MAX(1,ROUND('기준스탯 72종'!E43-S893-AA893,0))</x:f>
        <x:v>3</x:v>
      </x:c>
      <x:c r="L893" s="2" t="n">
        <x:f>MAX(1,ROUND('기준스탯 72종'!F43-T893-AB893,0))</x:f>
        <x:v>3</x:v>
      </x:c>
      <x:c r="M893" s="2" t="n">
        <x:f>MAX(1,ROUND('기준스탯 72종'!G43-U893-AC893,0))</x:f>
        <x:v>2</x:v>
      </x:c>
      <x:c r="N893" s="2" t="n">
        <x:f>MAX(0,ROUND('기준스탯 72종'!H43-V893-AD893,0))</x:f>
        <x:v>1</x:v>
      </x:c>
      <x:c r="O893" s="2" t="n">
        <x:f>MAX(0,ROUND('기준스탯 72종'!I43-W893-AE893,0))</x:f>
        <x:v>2</x:v>
      </x:c>
      <x:c r="P893" s="2" t="n">
        <x:f>MAX(0,ROUND('기준스탯 72종'!J43-X893-AF893,0))</x:f>
        <x:v>1</x:v>
      </x:c>
      <x:c r="Q893" s="2" t="n">
        <x:f>MAX(0,ROUND('기준스탯 72종'!K43-Y893-AG893,0))</x:f>
        <x:v>1</x:v>
      </x:c>
      <x:c r="R893" s="15" t="n">
        <x:f>'기준스탯 72종'!D43*G893</x:f>
        <x:v>4.4799999999999995</x:v>
      </x:c>
      <x:c r="S893" s="15" t="n">
        <x:f>'기준스탯 72종'!E43*G893</x:f>
        <x:v>4.4799999999999995</x:v>
      </x:c>
      <x:c r="T893" s="15" t="n">
        <x:f>'기준스탯 72종'!F43*G893</x:f>
        <x:v>4.4799999999999995</x:v>
      </x:c>
      <x:c r="U893" s="15" t="n">
        <x:f>'기준스탯 72종'!G43*G893</x:f>
        <x:v>3.9199999999999995</x:v>
      </x:c>
      <x:c r="V893" s="15" t="n">
        <x:f>'기준스탯 72종'!H43*G893</x:f>
        <x:v>1.6799999999999997</x:v>
      </x:c>
      <x:c r="W893" s="15" t="n">
        <x:f>'기준스탯 72종'!I43*G893</x:f>
        <x:v>2.8</x:v>
      </x:c>
      <x:c r="X893" s="15" t="n">
        <x:f>'기준스탯 72종'!J43*G893</x:f>
        <x:v>2.2399999999999998</x:v>
      </x:c>
      <x:c r="Y893" s="15" t="n">
        <x:f>'기준스탯 72종'!K43*G893</x:f>
        <x:v>2.2399999999999998</x:v>
      </x:c>
      <x:c r="Z893" s="15" t="n">
        <x:f>'기준스탯 72종'!D43*H893</x:f>
        <x:v>0.9600000000000002</x:v>
      </x:c>
      <x:c r="AA893" s="15" t="n">
        <x:f>'기준스탯 72종'!E43*H893</x:f>
        <x:v>0.9600000000000002</x:v>
      </x:c>
      <x:c r="AB893" s="15" t="n">
        <x:f>'기준스탯 72종'!F43*H893</x:f>
        <x:v>0.9600000000000002</x:v>
      </x:c>
      <x:c r="AC893" s="15" t="n">
        <x:f>'기준스탯 72종'!G43*H893</x:f>
        <x:v>0.8400000000000002</x:v>
      </x:c>
      <x:c r="AD893" s="15" t="n">
        <x:f>'기준스탯 72종'!H43*H893</x:f>
        <x:v>0.3600000000000001</x:v>
      </x:c>
      <x:c r="AE893" s="15" t="n">
        <x:f>'기준스탯 72종'!I43*H893</x:f>
        <x:v>0.6000000000000001</x:v>
      </x:c>
      <x:c r="AF893" s="15" t="n">
        <x:f>'기준스탯 72종'!J43*H893</x:f>
        <x:v>0.4800000000000001</x:v>
      </x:c>
      <x:c r="AG893" s="15" t="n">
        <x:f>'기준스탯 72종'!K43*H893</x:f>
        <x:v>0.4800000000000001</x:v>
      </x:c>
    </x:row>
    <x:row r="894" ht="28" customHeight="1">
      <x:c r="A894" s="2" t="n">
        <x:v>887</x:v>
      </x:c>
      <x:c r="B894" s="2" t="n">
        <x:v>36</x:v>
      </x:c>
      <x:c r="C894" s="2" t="str">
        <x:v>처녀자리</x:v>
      </x:c>
      <x:c r="D894" s="2" t="str">
        <x:v>전사</x:v>
      </x:c>
      <x:c r="E894" s="2" t="n">
        <x:v>2</x:v>
      </x:c>
      <x:c r="F894" s="2" t="n">
        <x:v>3</x:v>
      </x:c>
      <x:c r="G894" s="14" t="n">
        <x:f>('레벨 계산식'!$E$4-E894)*'레벨 계산식'!$B$5</x:f>
        <x:v>0.41999999999999993</x:v>
      </x:c>
      <x:c r="H894" s="14" t="n">
        <x:f>('등급 계산식'!$E$4-F894)*'등급 계산식'!$B$5</x:f>
        <x:v>0.12000000000000002</x:v>
      </x:c>
      <x:c r="I894" s="14" t="n">
        <x:f>1-G894-H894</x:f>
        <x:v>0.4600000000000001</x:v>
      </x:c>
      <x:c r="J894" s="2" t="n">
        <x:f>MAX(1,ROUND('기준스탯 72종'!D43-R894-Z894,0))</x:f>
        <x:v>4</x:v>
      </x:c>
      <x:c r="K894" s="2" t="n">
        <x:f>MAX(1,ROUND('기준스탯 72종'!E43-S894-AA894,0))</x:f>
        <x:v>4</x:v>
      </x:c>
      <x:c r="L894" s="2" t="n">
        <x:f>MAX(1,ROUND('기준스탯 72종'!F43-T894-AB894,0))</x:f>
        <x:v>4</x:v>
      </x:c>
      <x:c r="M894" s="2" t="n">
        <x:f>MAX(1,ROUND('기준스탯 72종'!G43-U894-AC894,0))</x:f>
        <x:v>3</x:v>
      </x:c>
      <x:c r="N894" s="2" t="n">
        <x:f>MAX(0,ROUND('기준스탯 72종'!H43-V894-AD894,0))</x:f>
        <x:v>1</x:v>
      </x:c>
      <x:c r="O894" s="2" t="n">
        <x:f>MAX(0,ROUND('기준스탯 72종'!I43-W894-AE894,0))</x:f>
        <x:v>2</x:v>
      </x:c>
      <x:c r="P894" s="2" t="n">
        <x:f>MAX(0,ROUND('기준스탯 72종'!J43-X894-AF894,0))</x:f>
        <x:v>2</x:v>
      </x:c>
      <x:c r="Q894" s="2" t="n">
        <x:f>MAX(0,ROUND('기준스탯 72종'!K43-Y894-AG894,0))</x:f>
        <x:v>2</x:v>
      </x:c>
      <x:c r="R894" s="15" t="n">
        <x:f>'기준스탯 72종'!D43*G894</x:f>
        <x:v>3.3599999999999994</x:v>
      </x:c>
      <x:c r="S894" s="15" t="n">
        <x:f>'기준스탯 72종'!E43*G894</x:f>
        <x:v>3.3599999999999994</x:v>
      </x:c>
      <x:c r="T894" s="15" t="n">
        <x:f>'기준스탯 72종'!F43*G894</x:f>
        <x:v>3.3599999999999994</x:v>
      </x:c>
      <x:c r="U894" s="15" t="n">
        <x:f>'기준스탯 72종'!G43*G894</x:f>
        <x:v>2.9399999999999995</x:v>
      </x:c>
      <x:c r="V894" s="15" t="n">
        <x:f>'기준스탯 72종'!H43*G894</x:f>
        <x:v>1.2599999999999998</x:v>
      </x:c>
      <x:c r="W894" s="15" t="n">
        <x:f>'기준스탯 72종'!I43*G894</x:f>
        <x:v>2.0999999999999996</x:v>
      </x:c>
      <x:c r="X894" s="15" t="n">
        <x:f>'기준스탯 72종'!J43*G894</x:f>
        <x:v>1.6799999999999997</x:v>
      </x:c>
      <x:c r="Y894" s="15" t="n">
        <x:f>'기준스탯 72종'!K43*G894</x:f>
        <x:v>1.6799999999999997</x:v>
      </x:c>
      <x:c r="Z894" s="15" t="n">
        <x:f>'기준스탯 72종'!D43*H894</x:f>
        <x:v>0.9600000000000002</x:v>
      </x:c>
      <x:c r="AA894" s="15" t="n">
        <x:f>'기준스탯 72종'!E43*H894</x:f>
        <x:v>0.9600000000000002</x:v>
      </x:c>
      <x:c r="AB894" s="15" t="n">
        <x:f>'기준스탯 72종'!F43*H894</x:f>
        <x:v>0.9600000000000002</x:v>
      </x:c>
      <x:c r="AC894" s="15" t="n">
        <x:f>'기준스탯 72종'!G43*H894</x:f>
        <x:v>0.8400000000000002</x:v>
      </x:c>
      <x:c r="AD894" s="15" t="n">
        <x:f>'기준스탯 72종'!H43*H894</x:f>
        <x:v>0.3600000000000001</x:v>
      </x:c>
      <x:c r="AE894" s="15" t="n">
        <x:f>'기준스탯 72종'!I43*H894</x:f>
        <x:v>0.6000000000000001</x:v>
      </x:c>
      <x:c r="AF894" s="15" t="n">
        <x:f>'기준스탯 72종'!J43*H894</x:f>
        <x:v>0.4800000000000001</x:v>
      </x:c>
      <x:c r="AG894" s="15" t="n">
        <x:f>'기준스탯 72종'!K43*H894</x:f>
        <x:v>0.4800000000000001</x:v>
      </x:c>
    </x:row>
    <x:row r="895" ht="28" customHeight="1">
      <x:c r="A895" s="2" t="n">
        <x:v>888</x:v>
      </x:c>
      <x:c r="B895" s="2" t="n">
        <x:v>36</x:v>
      </x:c>
      <x:c r="C895" s="2" t="str">
        <x:v>처녀자리</x:v>
      </x:c>
      <x:c r="D895" s="2" t="str">
        <x:v>전사</x:v>
      </x:c>
      <x:c r="E895" s="2" t="n">
        <x:v>3</x:v>
      </x:c>
      <x:c r="F895" s="2" t="n">
        <x:v>3</x:v>
      </x:c>
      <x:c r="G895" s="14" t="n">
        <x:f>('레벨 계산식'!$E$4-E895)*'레벨 계산식'!$B$5</x:f>
        <x:v>0.27999999999999997</x:v>
      </x:c>
      <x:c r="H895" s="14" t="n">
        <x:f>('등급 계산식'!$E$4-F895)*'등급 계산식'!$B$5</x:f>
        <x:v>0.12000000000000002</x:v>
      </x:c>
      <x:c r="I895" s="14" t="n">
        <x:f>1-G895-H895</x:f>
        <x:v>0.6</x:v>
      </x:c>
      <x:c r="J895" s="2" t="n">
        <x:f>MAX(1,ROUND('기준스탯 72종'!D43-R895-Z895,0))</x:f>
        <x:v>5</x:v>
      </x:c>
      <x:c r="K895" s="2" t="n">
        <x:f>MAX(1,ROUND('기준스탯 72종'!E43-S895-AA895,0))</x:f>
        <x:v>5</x:v>
      </x:c>
      <x:c r="L895" s="2" t="n">
        <x:f>MAX(1,ROUND('기준스탯 72종'!F43-T895-AB895,0))</x:f>
        <x:v>5</x:v>
      </x:c>
      <x:c r="M895" s="2" t="n">
        <x:f>MAX(1,ROUND('기준스탯 72종'!G43-U895-AC895,0))</x:f>
        <x:v>4</x:v>
      </x:c>
      <x:c r="N895" s="2" t="n">
        <x:f>MAX(0,ROUND('기준스탯 72종'!H43-V895-AD895,0))</x:f>
        <x:v>2</x:v>
      </x:c>
      <x:c r="O895" s="2" t="n">
        <x:f>MAX(0,ROUND('기준스탯 72종'!I43-W895-AE895,0))</x:f>
        <x:v>3</x:v>
      </x:c>
      <x:c r="P895" s="2" t="n">
        <x:f>MAX(0,ROUND('기준스탯 72종'!J43-X895-AF895,0))</x:f>
        <x:v>2</x:v>
      </x:c>
      <x:c r="Q895" s="2" t="n">
        <x:f>MAX(0,ROUND('기준스탯 72종'!K43-Y895-AG895,0))</x:f>
        <x:v>2</x:v>
      </x:c>
      <x:c r="R895" s="15" t="n">
        <x:f>'기준스탯 72종'!D43*G895</x:f>
        <x:v>2.2399999999999998</x:v>
      </x:c>
      <x:c r="S895" s="15" t="n">
        <x:f>'기준스탯 72종'!E43*G895</x:f>
        <x:v>2.2399999999999998</x:v>
      </x:c>
      <x:c r="T895" s="15" t="n">
        <x:f>'기준스탯 72종'!F43*G895</x:f>
        <x:v>2.2399999999999998</x:v>
      </x:c>
      <x:c r="U895" s="15" t="n">
        <x:f>'기준스탯 72종'!G43*G895</x:f>
        <x:v>1.9599999999999997</x:v>
      </x:c>
      <x:c r="V895" s="15" t="n">
        <x:f>'기준스탯 72종'!H43*G895</x:f>
        <x:v>0.8399999999999999</x:v>
      </x:c>
      <x:c r="W895" s="15" t="n">
        <x:f>'기준스탯 72종'!I43*G895</x:f>
        <x:v>1.4</x:v>
      </x:c>
      <x:c r="X895" s="15" t="n">
        <x:f>'기준스탯 72종'!J43*G895</x:f>
        <x:v>1.1199999999999999</x:v>
      </x:c>
      <x:c r="Y895" s="15" t="n">
        <x:f>'기준스탯 72종'!K43*G895</x:f>
        <x:v>1.1199999999999999</x:v>
      </x:c>
      <x:c r="Z895" s="15" t="n">
        <x:f>'기준스탯 72종'!D43*H895</x:f>
        <x:v>0.9600000000000002</x:v>
      </x:c>
      <x:c r="AA895" s="15" t="n">
        <x:f>'기준스탯 72종'!E43*H895</x:f>
        <x:v>0.9600000000000002</x:v>
      </x:c>
      <x:c r="AB895" s="15" t="n">
        <x:f>'기준스탯 72종'!F43*H895</x:f>
        <x:v>0.9600000000000002</x:v>
      </x:c>
      <x:c r="AC895" s="15" t="n">
        <x:f>'기준스탯 72종'!G43*H895</x:f>
        <x:v>0.8400000000000002</x:v>
      </x:c>
      <x:c r="AD895" s="15" t="n">
        <x:f>'기준스탯 72종'!H43*H895</x:f>
        <x:v>0.3600000000000001</x:v>
      </x:c>
      <x:c r="AE895" s="15" t="n">
        <x:f>'기준스탯 72종'!I43*H895</x:f>
        <x:v>0.6000000000000001</x:v>
      </x:c>
      <x:c r="AF895" s="15" t="n">
        <x:f>'기준스탯 72종'!J43*H895</x:f>
        <x:v>0.4800000000000001</x:v>
      </x:c>
      <x:c r="AG895" s="15" t="n">
        <x:f>'기준스탯 72종'!K43*H895</x:f>
        <x:v>0.4800000000000001</x:v>
      </x:c>
    </x:row>
    <x:row r="896" ht="28" customHeight="1">
      <x:c r="A896" s="2" t="n">
        <x:v>889</x:v>
      </x:c>
      <x:c r="B896" s="2" t="n">
        <x:v>36</x:v>
      </x:c>
      <x:c r="C896" s="2" t="str">
        <x:v>처녀자리</x:v>
      </x:c>
      <x:c r="D896" s="2" t="str">
        <x:v>전사</x:v>
      </x:c>
      <x:c r="E896" s="2" t="n">
        <x:v>4</x:v>
      </x:c>
      <x:c r="F896" s="2" t="n">
        <x:v>3</x:v>
      </x:c>
      <x:c r="G896" s="14" t="n">
        <x:f>('레벨 계산식'!$E$4-E896)*'레벨 계산식'!$B$5</x:f>
        <x:v>0.13999999999999999</x:v>
      </x:c>
      <x:c r="H896" s="14" t="n">
        <x:f>('등급 계산식'!$E$4-F896)*'등급 계산식'!$B$5</x:f>
        <x:v>0.12000000000000002</x:v>
      </x:c>
      <x:c r="I896" s="14" t="n">
        <x:f>1-G896-H896</x:f>
        <x:v>0.74</x:v>
      </x:c>
      <x:c r="J896" s="2" t="n">
        <x:f>MAX(1,ROUND('기준스탯 72종'!D43-R896-Z896,0))</x:f>
        <x:v>6</x:v>
      </x:c>
      <x:c r="K896" s="2" t="n">
        <x:f>MAX(1,ROUND('기준스탯 72종'!E43-S896-AA896,0))</x:f>
        <x:v>6</x:v>
      </x:c>
      <x:c r="L896" s="2" t="n">
        <x:f>MAX(1,ROUND('기준스탯 72종'!F43-T896-AB896,0))</x:f>
        <x:v>6</x:v>
      </x:c>
      <x:c r="M896" s="2" t="n">
        <x:f>MAX(1,ROUND('기준스탯 72종'!G43-U896-AC896,0))</x:f>
        <x:v>5</x:v>
      </x:c>
      <x:c r="N896" s="2" t="n">
        <x:f>MAX(0,ROUND('기준스탯 72종'!H43-V896-AD896,0))</x:f>
        <x:v>2</x:v>
      </x:c>
      <x:c r="O896" s="2" t="n">
        <x:f>MAX(0,ROUND('기준스탯 72종'!I43-W896-AE896,0))</x:f>
        <x:v>4</x:v>
      </x:c>
      <x:c r="P896" s="2" t="n">
        <x:f>MAX(0,ROUND('기준스탯 72종'!J43-X896-AF896,0))</x:f>
        <x:v>3</x:v>
      </x:c>
      <x:c r="Q896" s="2" t="n">
        <x:f>MAX(0,ROUND('기준스탯 72종'!K43-Y896-AG896,0))</x:f>
        <x:v>3</x:v>
      </x:c>
      <x:c r="R896" s="15" t="n">
        <x:f>'기준스탯 72종'!D43*G896</x:f>
        <x:v>1.1199999999999999</x:v>
      </x:c>
      <x:c r="S896" s="15" t="n">
        <x:f>'기준스탯 72종'!E43*G896</x:f>
        <x:v>1.1199999999999999</x:v>
      </x:c>
      <x:c r="T896" s="15" t="n">
        <x:f>'기준스탯 72종'!F43*G896</x:f>
        <x:v>1.1199999999999999</x:v>
      </x:c>
      <x:c r="U896" s="15" t="n">
        <x:f>'기준스탯 72종'!G43*G896</x:f>
        <x:v>0.9799999999999999</x:v>
      </x:c>
      <x:c r="V896" s="15" t="n">
        <x:f>'기준스탯 72종'!H43*G896</x:f>
        <x:v>0.41999999999999993</x:v>
      </x:c>
      <x:c r="W896" s="15" t="n">
        <x:f>'기준스탯 72종'!I43*G896</x:f>
        <x:v>0.7</x:v>
      </x:c>
      <x:c r="X896" s="15" t="n">
        <x:f>'기준스탯 72종'!J43*G896</x:f>
        <x:v>0.5599999999999999</x:v>
      </x:c>
      <x:c r="Y896" s="15" t="n">
        <x:f>'기준스탯 72종'!K43*G896</x:f>
        <x:v>0.5599999999999999</x:v>
      </x:c>
      <x:c r="Z896" s="15" t="n">
        <x:f>'기준스탯 72종'!D43*H896</x:f>
        <x:v>0.9600000000000002</x:v>
      </x:c>
      <x:c r="AA896" s="15" t="n">
        <x:f>'기준스탯 72종'!E43*H896</x:f>
        <x:v>0.9600000000000002</x:v>
      </x:c>
      <x:c r="AB896" s="15" t="n">
        <x:f>'기준스탯 72종'!F43*H896</x:f>
        <x:v>0.9600000000000002</x:v>
      </x:c>
      <x:c r="AC896" s="15" t="n">
        <x:f>'기준스탯 72종'!G43*H896</x:f>
        <x:v>0.8400000000000002</x:v>
      </x:c>
      <x:c r="AD896" s="15" t="n">
        <x:f>'기준스탯 72종'!H43*H896</x:f>
        <x:v>0.3600000000000001</x:v>
      </x:c>
      <x:c r="AE896" s="15" t="n">
        <x:f>'기준스탯 72종'!I43*H896</x:f>
        <x:v>0.6000000000000001</x:v>
      </x:c>
      <x:c r="AF896" s="15" t="n">
        <x:f>'기준스탯 72종'!J43*H896</x:f>
        <x:v>0.4800000000000001</x:v>
      </x:c>
      <x:c r="AG896" s="15" t="n">
        <x:f>'기준스탯 72종'!K43*H896</x:f>
        <x:v>0.4800000000000001</x:v>
      </x:c>
    </x:row>
    <x:row r="897" ht="28" customHeight="1">
      <x:c r="A897" s="2" t="n">
        <x:v>890</x:v>
      </x:c>
      <x:c r="B897" s="2" t="n">
        <x:v>36</x:v>
      </x:c>
      <x:c r="C897" s="2" t="str">
        <x:v>처녀자리</x:v>
      </x:c>
      <x:c r="D897" s="2" t="str">
        <x:v>전사</x:v>
      </x:c>
      <x:c r="E897" s="2" t="n">
        <x:v>5</x:v>
      </x:c>
      <x:c r="F897" s="2" t="n">
        <x:v>3</x:v>
      </x:c>
      <x:c r="G897" s="14" t="n">
        <x:f>('레벨 계산식'!$E$4-E897)*'레벨 계산식'!$B$5</x:f>
        <x:v>0</x:v>
      </x:c>
      <x:c r="H897" s="14" t="n">
        <x:f>('등급 계산식'!$E$4-F897)*'등급 계산식'!$B$5</x:f>
        <x:v>0.12000000000000002</x:v>
      </x:c>
      <x:c r="I897" s="14" t="n">
        <x:f>1-G897-H897</x:f>
        <x:v>0.88</x:v>
      </x:c>
      <x:c r="J897" s="2" t="n">
        <x:f>MAX(1,ROUND('기준스탯 72종'!D43-R897-Z897,0))</x:f>
        <x:v>7</x:v>
      </x:c>
      <x:c r="K897" s="2" t="n">
        <x:f>MAX(1,ROUND('기준스탯 72종'!E43-S897-AA897,0))</x:f>
        <x:v>7</x:v>
      </x:c>
      <x:c r="L897" s="2" t="n">
        <x:f>MAX(1,ROUND('기준스탯 72종'!F43-T897-AB897,0))</x:f>
        <x:v>7</x:v>
      </x:c>
      <x:c r="M897" s="2" t="n">
        <x:f>MAX(1,ROUND('기준스탯 72종'!G43-U897-AC897,0))</x:f>
        <x:v>6</x:v>
      </x:c>
      <x:c r="N897" s="2" t="n">
        <x:f>MAX(0,ROUND('기준스탯 72종'!H43-V897-AD897,0))</x:f>
        <x:v>3</x:v>
      </x:c>
      <x:c r="O897" s="2" t="n">
        <x:f>MAX(0,ROUND('기준스탯 72종'!I43-W897-AE897,0))</x:f>
        <x:v>4</x:v>
      </x:c>
      <x:c r="P897" s="2" t="n">
        <x:f>MAX(0,ROUND('기준스탯 72종'!J43-X897-AF897,0))</x:f>
        <x:v>4</x:v>
      </x:c>
      <x:c r="Q897" s="2" t="n">
        <x:f>MAX(0,ROUND('기준스탯 72종'!K43-Y897-AG897,0))</x:f>
        <x:v>4</x:v>
      </x:c>
      <x:c r="R897" s="15" t="n">
        <x:f>'기준스탯 72종'!D43*G897</x:f>
        <x:v>0</x:v>
      </x:c>
      <x:c r="S897" s="15" t="n">
        <x:f>'기준스탯 72종'!E43*G897</x:f>
        <x:v>0</x:v>
      </x:c>
      <x:c r="T897" s="15" t="n">
        <x:f>'기준스탯 72종'!F43*G897</x:f>
        <x:v>0</x:v>
      </x:c>
      <x:c r="U897" s="15" t="n">
        <x:f>'기준스탯 72종'!G43*G897</x:f>
        <x:v>0</x:v>
      </x:c>
      <x:c r="V897" s="15" t="n">
        <x:f>'기준스탯 72종'!H43*G897</x:f>
        <x:v>0</x:v>
      </x:c>
      <x:c r="W897" s="15" t="n">
        <x:f>'기준스탯 72종'!I43*G897</x:f>
        <x:v>0</x:v>
      </x:c>
      <x:c r="X897" s="15" t="n">
        <x:f>'기준스탯 72종'!J43*G897</x:f>
        <x:v>0</x:v>
      </x:c>
      <x:c r="Y897" s="15" t="n">
        <x:f>'기준스탯 72종'!K43*G897</x:f>
        <x:v>0</x:v>
      </x:c>
      <x:c r="Z897" s="15" t="n">
        <x:f>'기준스탯 72종'!D43*H897</x:f>
        <x:v>0.9600000000000002</x:v>
      </x:c>
      <x:c r="AA897" s="15" t="n">
        <x:f>'기준스탯 72종'!E43*H897</x:f>
        <x:v>0.9600000000000002</x:v>
      </x:c>
      <x:c r="AB897" s="15" t="n">
        <x:f>'기준스탯 72종'!F43*H897</x:f>
        <x:v>0.9600000000000002</x:v>
      </x:c>
      <x:c r="AC897" s="15" t="n">
        <x:f>'기준스탯 72종'!G43*H897</x:f>
        <x:v>0.8400000000000002</x:v>
      </x:c>
      <x:c r="AD897" s="15" t="n">
        <x:f>'기준스탯 72종'!H43*H897</x:f>
        <x:v>0.3600000000000001</x:v>
      </x:c>
      <x:c r="AE897" s="15" t="n">
        <x:f>'기준스탯 72종'!I43*H897</x:f>
        <x:v>0.6000000000000001</x:v>
      </x:c>
      <x:c r="AF897" s="15" t="n">
        <x:f>'기준스탯 72종'!J43*H897</x:f>
        <x:v>0.4800000000000001</x:v>
      </x:c>
      <x:c r="AG897" s="15" t="n">
        <x:f>'기준스탯 72종'!K43*H897</x:f>
        <x:v>0.4800000000000001</x:v>
      </x:c>
    </x:row>
    <x:row r="898" ht="28" customHeight="1">
      <x:c r="A898" s="2" t="n">
        <x:v>891</x:v>
      </x:c>
      <x:c r="B898" s="2" t="n">
        <x:v>36</x:v>
      </x:c>
      <x:c r="C898" s="2" t="str">
        <x:v>처녀자리</x:v>
      </x:c>
      <x:c r="D898" s="2" t="str">
        <x:v>전사</x:v>
      </x:c>
      <x:c r="E898" s="2" t="n">
        <x:v>1</x:v>
      </x:c>
      <x:c r="F898" s="2" t="n">
        <x:v>4</x:v>
      </x:c>
      <x:c r="G898" s="14" t="n">
        <x:f>('레벨 계산식'!$E$4-E898)*'레벨 계산식'!$B$5</x:f>
        <x:v>0.5599999999999999</x:v>
      </x:c>
      <x:c r="H898" s="14" t="n">
        <x:f>('등급 계산식'!$E$4-F898)*'등급 계산식'!$B$5</x:f>
        <x:v>0.06000000000000001</x:v>
      </x:c>
      <x:c r="I898" s="14" t="n">
        <x:f>1-G898-H898</x:f>
        <x:v>0.38000000000000006</x:v>
      </x:c>
      <x:c r="J898" s="2" t="n">
        <x:f>MAX(1,ROUND('기준스탯 72종'!D43-R898-Z898,0))</x:f>
        <x:v>3</x:v>
      </x:c>
      <x:c r="K898" s="2" t="n">
        <x:f>MAX(1,ROUND('기준스탯 72종'!E43-S898-AA898,0))</x:f>
        <x:v>3</x:v>
      </x:c>
      <x:c r="L898" s="2" t="n">
        <x:f>MAX(1,ROUND('기준스탯 72종'!F43-T898-AB898,0))</x:f>
        <x:v>3</x:v>
      </x:c>
      <x:c r="M898" s="2" t="n">
        <x:f>MAX(1,ROUND('기준스탯 72종'!G43-U898-AC898,0))</x:f>
        <x:v>3</x:v>
      </x:c>
      <x:c r="N898" s="2" t="n">
        <x:f>MAX(0,ROUND('기준스탯 72종'!H43-V898-AD898,0))</x:f>
        <x:v>1</x:v>
      </x:c>
      <x:c r="O898" s="2" t="n">
        <x:f>MAX(0,ROUND('기준스탯 72종'!I43-W898-AE898,0))</x:f>
        <x:v>2</x:v>
      </x:c>
      <x:c r="P898" s="2" t="n">
        <x:f>MAX(0,ROUND('기준스탯 72종'!J43-X898-AF898,0))</x:f>
        <x:v>2</x:v>
      </x:c>
      <x:c r="Q898" s="2" t="n">
        <x:f>MAX(0,ROUND('기준스탯 72종'!K43-Y898-AG898,0))</x:f>
        <x:v>2</x:v>
      </x:c>
      <x:c r="R898" s="15" t="n">
        <x:f>'기준스탯 72종'!D43*G898</x:f>
        <x:v>4.4799999999999995</x:v>
      </x:c>
      <x:c r="S898" s="15" t="n">
        <x:f>'기준스탯 72종'!E43*G898</x:f>
        <x:v>4.4799999999999995</x:v>
      </x:c>
      <x:c r="T898" s="15" t="n">
        <x:f>'기준스탯 72종'!F43*G898</x:f>
        <x:v>4.4799999999999995</x:v>
      </x:c>
      <x:c r="U898" s="15" t="n">
        <x:f>'기준스탯 72종'!G43*G898</x:f>
        <x:v>3.9199999999999995</x:v>
      </x:c>
      <x:c r="V898" s="15" t="n">
        <x:f>'기준스탯 72종'!H43*G898</x:f>
        <x:v>1.6799999999999997</x:v>
      </x:c>
      <x:c r="W898" s="15" t="n">
        <x:f>'기준스탯 72종'!I43*G898</x:f>
        <x:v>2.8</x:v>
      </x:c>
      <x:c r="X898" s="15" t="n">
        <x:f>'기준스탯 72종'!J43*G898</x:f>
        <x:v>2.2399999999999998</x:v>
      </x:c>
      <x:c r="Y898" s="15" t="n">
        <x:f>'기준스탯 72종'!K43*G898</x:f>
        <x:v>2.2399999999999998</x:v>
      </x:c>
      <x:c r="Z898" s="15" t="n">
        <x:f>'기준스탯 72종'!D43*H898</x:f>
        <x:v>0.4800000000000001</x:v>
      </x:c>
      <x:c r="AA898" s="15" t="n">
        <x:f>'기준스탯 72종'!E43*H898</x:f>
        <x:v>0.4800000000000001</x:v>
      </x:c>
      <x:c r="AB898" s="15" t="n">
        <x:f>'기준스탯 72종'!F43*H898</x:f>
        <x:v>0.4800000000000001</x:v>
      </x:c>
      <x:c r="AC898" s="15" t="n">
        <x:f>'기준스탯 72종'!G43*H898</x:f>
        <x:v>0.4200000000000001</x:v>
      </x:c>
      <x:c r="AD898" s="15" t="n">
        <x:f>'기준스탯 72종'!H43*H898</x:f>
        <x:v>0.18000000000000005</x:v>
      </x:c>
      <x:c r="AE898" s="15" t="n">
        <x:f>'기준스탯 72종'!I43*H898</x:f>
        <x:v>0.30000000000000004</x:v>
      </x:c>
      <x:c r="AF898" s="15" t="n">
        <x:f>'기준스탯 72종'!J43*H898</x:f>
        <x:v>0.24000000000000005</x:v>
      </x:c>
      <x:c r="AG898" s="15" t="n">
        <x:f>'기준스탯 72종'!K43*H898</x:f>
        <x:v>0.24000000000000005</x:v>
      </x:c>
    </x:row>
    <x:row r="899" ht="28" customHeight="1">
      <x:c r="A899" s="2" t="n">
        <x:v>892</x:v>
      </x:c>
      <x:c r="B899" s="2" t="n">
        <x:v>36</x:v>
      </x:c>
      <x:c r="C899" s="2" t="str">
        <x:v>처녀자리</x:v>
      </x:c>
      <x:c r="D899" s="2" t="str">
        <x:v>전사</x:v>
      </x:c>
      <x:c r="E899" s="2" t="n">
        <x:v>2</x:v>
      </x:c>
      <x:c r="F899" s="2" t="n">
        <x:v>4</x:v>
      </x:c>
      <x:c r="G899" s="14" t="n">
        <x:f>('레벨 계산식'!$E$4-E899)*'레벨 계산식'!$B$5</x:f>
        <x:v>0.41999999999999993</x:v>
      </x:c>
      <x:c r="H899" s="14" t="n">
        <x:f>('등급 계산식'!$E$4-F899)*'등급 계산식'!$B$5</x:f>
        <x:v>0.06000000000000001</x:v>
      </x:c>
      <x:c r="I899" s="14" t="n">
        <x:f>1-G899-H899</x:f>
        <x:v>0.52</x:v>
      </x:c>
      <x:c r="J899" s="2" t="n">
        <x:f>MAX(1,ROUND('기준스탯 72종'!D43-R899-Z899,0))</x:f>
        <x:v>4</x:v>
      </x:c>
      <x:c r="K899" s="2" t="n">
        <x:f>MAX(1,ROUND('기준스탯 72종'!E43-S899-AA899,0))</x:f>
        <x:v>4</x:v>
      </x:c>
      <x:c r="L899" s="2" t="n">
        <x:f>MAX(1,ROUND('기준스탯 72종'!F43-T899-AB899,0))</x:f>
        <x:v>4</x:v>
      </x:c>
      <x:c r="M899" s="2" t="n">
        <x:f>MAX(1,ROUND('기준스탯 72종'!G43-U899-AC899,0))</x:f>
        <x:v>4</x:v>
      </x:c>
      <x:c r="N899" s="2" t="n">
        <x:f>MAX(0,ROUND('기준스탯 72종'!H43-V899-AD899,0))</x:f>
        <x:v>2</x:v>
      </x:c>
      <x:c r="O899" s="2" t="n">
        <x:f>MAX(0,ROUND('기준스탯 72종'!I43-W899-AE899,0))</x:f>
        <x:v>3</x:v>
      </x:c>
      <x:c r="P899" s="2" t="n">
        <x:f>MAX(0,ROUND('기준스탯 72종'!J43-X899-AF899,0))</x:f>
        <x:v>2</x:v>
      </x:c>
      <x:c r="Q899" s="2" t="n">
        <x:f>MAX(0,ROUND('기준스탯 72종'!K43-Y899-AG899,0))</x:f>
        <x:v>2</x:v>
      </x:c>
      <x:c r="R899" s="15" t="n">
        <x:f>'기준스탯 72종'!D43*G899</x:f>
        <x:v>3.3599999999999994</x:v>
      </x:c>
      <x:c r="S899" s="15" t="n">
        <x:f>'기준스탯 72종'!E43*G899</x:f>
        <x:v>3.3599999999999994</x:v>
      </x:c>
      <x:c r="T899" s="15" t="n">
        <x:f>'기준스탯 72종'!F43*G899</x:f>
        <x:v>3.3599999999999994</x:v>
      </x:c>
      <x:c r="U899" s="15" t="n">
        <x:f>'기준스탯 72종'!G43*G899</x:f>
        <x:v>2.9399999999999995</x:v>
      </x:c>
      <x:c r="V899" s="15" t="n">
        <x:f>'기준스탯 72종'!H43*G899</x:f>
        <x:v>1.2599999999999998</x:v>
      </x:c>
      <x:c r="W899" s="15" t="n">
        <x:f>'기준스탯 72종'!I43*G899</x:f>
        <x:v>2.0999999999999996</x:v>
      </x:c>
      <x:c r="X899" s="15" t="n">
        <x:f>'기준스탯 72종'!J43*G899</x:f>
        <x:v>1.6799999999999997</x:v>
      </x:c>
      <x:c r="Y899" s="15" t="n">
        <x:f>'기준스탯 72종'!K43*G899</x:f>
        <x:v>1.6799999999999997</x:v>
      </x:c>
      <x:c r="Z899" s="15" t="n">
        <x:f>'기준스탯 72종'!D43*H899</x:f>
        <x:v>0.4800000000000001</x:v>
      </x:c>
      <x:c r="AA899" s="15" t="n">
        <x:f>'기준스탯 72종'!E43*H899</x:f>
        <x:v>0.4800000000000001</x:v>
      </x:c>
      <x:c r="AB899" s="15" t="n">
        <x:f>'기준스탯 72종'!F43*H899</x:f>
        <x:v>0.4800000000000001</x:v>
      </x:c>
      <x:c r="AC899" s="15" t="n">
        <x:f>'기준스탯 72종'!G43*H899</x:f>
        <x:v>0.4200000000000001</x:v>
      </x:c>
      <x:c r="AD899" s="15" t="n">
        <x:f>'기준스탯 72종'!H43*H899</x:f>
        <x:v>0.18000000000000005</x:v>
      </x:c>
      <x:c r="AE899" s="15" t="n">
        <x:f>'기준스탯 72종'!I43*H899</x:f>
        <x:v>0.30000000000000004</x:v>
      </x:c>
      <x:c r="AF899" s="15" t="n">
        <x:f>'기준스탯 72종'!J43*H899</x:f>
        <x:v>0.24000000000000005</x:v>
      </x:c>
      <x:c r="AG899" s="15" t="n">
        <x:f>'기준스탯 72종'!K43*H899</x:f>
        <x:v>0.24000000000000005</x:v>
      </x:c>
    </x:row>
    <x:row r="900" ht="28" customHeight="1">
      <x:c r="A900" s="2" t="n">
        <x:v>893</x:v>
      </x:c>
      <x:c r="B900" s="2" t="n">
        <x:v>36</x:v>
      </x:c>
      <x:c r="C900" s="2" t="str">
        <x:v>처녀자리</x:v>
      </x:c>
      <x:c r="D900" s="2" t="str">
        <x:v>전사</x:v>
      </x:c>
      <x:c r="E900" s="2" t="n">
        <x:v>3</x:v>
      </x:c>
      <x:c r="F900" s="2" t="n">
        <x:v>4</x:v>
      </x:c>
      <x:c r="G900" s="14" t="n">
        <x:f>('레벨 계산식'!$E$4-E900)*'레벨 계산식'!$B$5</x:f>
        <x:v>0.27999999999999997</x:v>
      </x:c>
      <x:c r="H900" s="14" t="n">
        <x:f>('등급 계산식'!$E$4-F900)*'등급 계산식'!$B$5</x:f>
        <x:v>0.06000000000000001</x:v>
      </x:c>
      <x:c r="I900" s="14" t="n">
        <x:f>1-G900-H900</x:f>
        <x:v>0.6599999999999999</x:v>
      </x:c>
      <x:c r="J900" s="2" t="n">
        <x:f>MAX(1,ROUND('기준스탯 72종'!D43-R900-Z900,0))</x:f>
        <x:v>5</x:v>
      </x:c>
      <x:c r="K900" s="2" t="n">
        <x:f>MAX(1,ROUND('기준스탯 72종'!E43-S900-AA900,0))</x:f>
        <x:v>5</x:v>
      </x:c>
      <x:c r="L900" s="2" t="n">
        <x:f>MAX(1,ROUND('기준스탯 72종'!F43-T900-AB900,0))</x:f>
        <x:v>5</x:v>
      </x:c>
      <x:c r="M900" s="2" t="n">
        <x:f>MAX(1,ROUND('기준스탯 72종'!G43-U900-AC900,0))</x:f>
        <x:v>5</x:v>
      </x:c>
      <x:c r="N900" s="2" t="n">
        <x:f>MAX(0,ROUND('기준스탯 72종'!H43-V900-AD900,0))</x:f>
        <x:v>2</x:v>
      </x:c>
      <x:c r="O900" s="2" t="n">
        <x:f>MAX(0,ROUND('기준스탯 72종'!I43-W900-AE900,0))</x:f>
        <x:v>3</x:v>
      </x:c>
      <x:c r="P900" s="2" t="n">
        <x:f>MAX(0,ROUND('기준스탯 72종'!J43-X900-AF900,0))</x:f>
        <x:v>3</x:v>
      </x:c>
      <x:c r="Q900" s="2" t="n">
        <x:f>MAX(0,ROUND('기준스탯 72종'!K43-Y900-AG900,0))</x:f>
        <x:v>3</x:v>
      </x:c>
      <x:c r="R900" s="15" t="n">
        <x:f>'기준스탯 72종'!D43*G900</x:f>
        <x:v>2.2399999999999998</x:v>
      </x:c>
      <x:c r="S900" s="15" t="n">
        <x:f>'기준스탯 72종'!E43*G900</x:f>
        <x:v>2.2399999999999998</x:v>
      </x:c>
      <x:c r="T900" s="15" t="n">
        <x:f>'기준스탯 72종'!F43*G900</x:f>
        <x:v>2.2399999999999998</x:v>
      </x:c>
      <x:c r="U900" s="15" t="n">
        <x:f>'기준스탯 72종'!G43*G900</x:f>
        <x:v>1.9599999999999997</x:v>
      </x:c>
      <x:c r="V900" s="15" t="n">
        <x:f>'기준스탯 72종'!H43*G900</x:f>
        <x:v>0.8399999999999999</x:v>
      </x:c>
      <x:c r="W900" s="15" t="n">
        <x:f>'기준스탯 72종'!I43*G900</x:f>
        <x:v>1.4</x:v>
      </x:c>
      <x:c r="X900" s="15" t="n">
        <x:f>'기준스탯 72종'!J43*G900</x:f>
        <x:v>1.1199999999999999</x:v>
      </x:c>
      <x:c r="Y900" s="15" t="n">
        <x:f>'기준스탯 72종'!K43*G900</x:f>
        <x:v>1.1199999999999999</x:v>
      </x:c>
      <x:c r="Z900" s="15" t="n">
        <x:f>'기준스탯 72종'!D43*H900</x:f>
        <x:v>0.4800000000000001</x:v>
      </x:c>
      <x:c r="AA900" s="15" t="n">
        <x:f>'기준스탯 72종'!E43*H900</x:f>
        <x:v>0.4800000000000001</x:v>
      </x:c>
      <x:c r="AB900" s="15" t="n">
        <x:f>'기준스탯 72종'!F43*H900</x:f>
        <x:v>0.4800000000000001</x:v>
      </x:c>
      <x:c r="AC900" s="15" t="n">
        <x:f>'기준스탯 72종'!G43*H900</x:f>
        <x:v>0.4200000000000001</x:v>
      </x:c>
      <x:c r="AD900" s="15" t="n">
        <x:f>'기준스탯 72종'!H43*H900</x:f>
        <x:v>0.18000000000000005</x:v>
      </x:c>
      <x:c r="AE900" s="15" t="n">
        <x:f>'기준스탯 72종'!I43*H900</x:f>
        <x:v>0.30000000000000004</x:v>
      </x:c>
      <x:c r="AF900" s="15" t="n">
        <x:f>'기준스탯 72종'!J43*H900</x:f>
        <x:v>0.24000000000000005</x:v>
      </x:c>
      <x:c r="AG900" s="15" t="n">
        <x:f>'기준스탯 72종'!K43*H900</x:f>
        <x:v>0.24000000000000005</x:v>
      </x:c>
    </x:row>
    <x:row r="901" ht="28" customHeight="1">
      <x:c r="A901" s="2" t="n">
        <x:v>894</x:v>
      </x:c>
      <x:c r="B901" s="2" t="n">
        <x:v>36</x:v>
      </x:c>
      <x:c r="C901" s="2" t="str">
        <x:v>처녀자리</x:v>
      </x:c>
      <x:c r="D901" s="2" t="str">
        <x:v>전사</x:v>
      </x:c>
      <x:c r="E901" s="2" t="n">
        <x:v>4</x:v>
      </x:c>
      <x:c r="F901" s="2" t="n">
        <x:v>4</x:v>
      </x:c>
      <x:c r="G901" s="14" t="n">
        <x:f>('레벨 계산식'!$E$4-E901)*'레벨 계산식'!$B$5</x:f>
        <x:v>0.13999999999999999</x:v>
      </x:c>
      <x:c r="H901" s="14" t="n">
        <x:f>('등급 계산식'!$E$4-F901)*'등급 계산식'!$B$5</x:f>
        <x:v>0.06000000000000001</x:v>
      </x:c>
      <x:c r="I901" s="14" t="n">
        <x:f>1-G901-H901</x:f>
        <x:v>0.7999999999999999</x:v>
      </x:c>
      <x:c r="J901" s="2" t="n">
        <x:f>MAX(1,ROUND('기준스탯 72종'!D43-R901-Z901,0))</x:f>
        <x:v>6</x:v>
      </x:c>
      <x:c r="K901" s="2" t="n">
        <x:f>MAX(1,ROUND('기준스탯 72종'!E43-S901-AA901,0))</x:f>
        <x:v>6</x:v>
      </x:c>
      <x:c r="L901" s="2" t="n">
        <x:f>MAX(1,ROUND('기준스탯 72종'!F43-T901-AB901,0))</x:f>
        <x:v>6</x:v>
      </x:c>
      <x:c r="M901" s="2" t="n">
        <x:f>MAX(1,ROUND('기준스탯 72종'!G43-U901-AC901,0))</x:f>
        <x:v>6</x:v>
      </x:c>
      <x:c r="N901" s="2" t="n">
        <x:f>MAX(0,ROUND('기준스탯 72종'!H43-V901-AD901,0))</x:f>
        <x:v>2</x:v>
      </x:c>
      <x:c r="O901" s="2" t="n">
        <x:f>MAX(0,ROUND('기준스탯 72종'!I43-W901-AE901,0))</x:f>
        <x:v>4</x:v>
      </x:c>
      <x:c r="P901" s="2" t="n">
        <x:f>MAX(0,ROUND('기준스탯 72종'!J43-X901-AF901,0))</x:f>
        <x:v>3</x:v>
      </x:c>
      <x:c r="Q901" s="2" t="n">
        <x:f>MAX(0,ROUND('기준스탯 72종'!K43-Y901-AG901,0))</x:f>
        <x:v>3</x:v>
      </x:c>
      <x:c r="R901" s="15" t="n">
        <x:f>'기준스탯 72종'!D43*G901</x:f>
        <x:v>1.1199999999999999</x:v>
      </x:c>
      <x:c r="S901" s="15" t="n">
        <x:f>'기준스탯 72종'!E43*G901</x:f>
        <x:v>1.1199999999999999</x:v>
      </x:c>
      <x:c r="T901" s="15" t="n">
        <x:f>'기준스탯 72종'!F43*G901</x:f>
        <x:v>1.1199999999999999</x:v>
      </x:c>
      <x:c r="U901" s="15" t="n">
        <x:f>'기준스탯 72종'!G43*G901</x:f>
        <x:v>0.9799999999999999</x:v>
      </x:c>
      <x:c r="V901" s="15" t="n">
        <x:f>'기준스탯 72종'!H43*G901</x:f>
        <x:v>0.41999999999999993</x:v>
      </x:c>
      <x:c r="W901" s="15" t="n">
        <x:f>'기준스탯 72종'!I43*G901</x:f>
        <x:v>0.7</x:v>
      </x:c>
      <x:c r="X901" s="15" t="n">
        <x:f>'기준스탯 72종'!J43*G901</x:f>
        <x:v>0.5599999999999999</x:v>
      </x:c>
      <x:c r="Y901" s="15" t="n">
        <x:f>'기준스탯 72종'!K43*G901</x:f>
        <x:v>0.5599999999999999</x:v>
      </x:c>
      <x:c r="Z901" s="15" t="n">
        <x:f>'기준스탯 72종'!D43*H901</x:f>
        <x:v>0.4800000000000001</x:v>
      </x:c>
      <x:c r="AA901" s="15" t="n">
        <x:f>'기준스탯 72종'!E43*H901</x:f>
        <x:v>0.4800000000000001</x:v>
      </x:c>
      <x:c r="AB901" s="15" t="n">
        <x:f>'기준스탯 72종'!F43*H901</x:f>
        <x:v>0.4800000000000001</x:v>
      </x:c>
      <x:c r="AC901" s="15" t="n">
        <x:f>'기준스탯 72종'!G43*H901</x:f>
        <x:v>0.4200000000000001</x:v>
      </x:c>
      <x:c r="AD901" s="15" t="n">
        <x:f>'기준스탯 72종'!H43*H901</x:f>
        <x:v>0.18000000000000005</x:v>
      </x:c>
      <x:c r="AE901" s="15" t="n">
        <x:f>'기준스탯 72종'!I43*H901</x:f>
        <x:v>0.30000000000000004</x:v>
      </x:c>
      <x:c r="AF901" s="15" t="n">
        <x:f>'기준스탯 72종'!J43*H901</x:f>
        <x:v>0.24000000000000005</x:v>
      </x:c>
      <x:c r="AG901" s="15" t="n">
        <x:f>'기준스탯 72종'!K43*H901</x:f>
        <x:v>0.24000000000000005</x:v>
      </x:c>
    </x:row>
    <x:row r="902" ht="28" customHeight="1">
      <x:c r="A902" s="2" t="n">
        <x:v>895</x:v>
      </x:c>
      <x:c r="B902" s="2" t="n">
        <x:v>36</x:v>
      </x:c>
      <x:c r="C902" s="2" t="str">
        <x:v>처녀자리</x:v>
      </x:c>
      <x:c r="D902" s="2" t="str">
        <x:v>전사</x:v>
      </x:c>
      <x:c r="E902" s="2" t="n">
        <x:v>5</x:v>
      </x:c>
      <x:c r="F902" s="2" t="n">
        <x:v>4</x:v>
      </x:c>
      <x:c r="G902" s="14" t="n">
        <x:f>('레벨 계산식'!$E$4-E902)*'레벨 계산식'!$B$5</x:f>
        <x:v>0</x:v>
      </x:c>
      <x:c r="H902" s="14" t="n">
        <x:f>('등급 계산식'!$E$4-F902)*'등급 계산식'!$B$5</x:f>
        <x:v>0.06000000000000001</x:v>
      </x:c>
      <x:c r="I902" s="14" t="n">
        <x:f>1-G902-H902</x:f>
        <x:v>0.94</x:v>
      </x:c>
      <x:c r="J902" s="2" t="n">
        <x:f>MAX(1,ROUND('기준스탯 72종'!D43-R902-Z902,0))</x:f>
        <x:v>8</x:v>
      </x:c>
      <x:c r="K902" s="2" t="n">
        <x:f>MAX(1,ROUND('기준스탯 72종'!E43-S902-AA902,0))</x:f>
        <x:v>8</x:v>
      </x:c>
      <x:c r="L902" s="2" t="n">
        <x:f>MAX(1,ROUND('기준스탯 72종'!F43-T902-AB902,0))</x:f>
        <x:v>8</x:v>
      </x:c>
      <x:c r="M902" s="2" t="n">
        <x:f>MAX(1,ROUND('기준스탯 72종'!G43-U902-AC902,0))</x:f>
        <x:v>7</x:v>
      </x:c>
      <x:c r="N902" s="2" t="n">
        <x:f>MAX(0,ROUND('기준스탯 72종'!H43-V902-AD902,0))</x:f>
        <x:v>3</x:v>
      </x:c>
      <x:c r="O902" s="2" t="n">
        <x:f>MAX(0,ROUND('기준스탯 72종'!I43-W902-AE902,0))</x:f>
        <x:v>5</x:v>
      </x:c>
      <x:c r="P902" s="2" t="n">
        <x:f>MAX(0,ROUND('기준스탯 72종'!J43-X902-AF902,0))</x:f>
        <x:v>4</x:v>
      </x:c>
      <x:c r="Q902" s="2" t="n">
        <x:f>MAX(0,ROUND('기준스탯 72종'!K43-Y902-AG902,0))</x:f>
        <x:v>4</x:v>
      </x:c>
      <x:c r="R902" s="15" t="n">
        <x:f>'기준스탯 72종'!D43*G902</x:f>
        <x:v>0</x:v>
      </x:c>
      <x:c r="S902" s="15" t="n">
        <x:f>'기준스탯 72종'!E43*G902</x:f>
        <x:v>0</x:v>
      </x:c>
      <x:c r="T902" s="15" t="n">
        <x:f>'기준스탯 72종'!F43*G902</x:f>
        <x:v>0</x:v>
      </x:c>
      <x:c r="U902" s="15" t="n">
        <x:f>'기준스탯 72종'!G43*G902</x:f>
        <x:v>0</x:v>
      </x:c>
      <x:c r="V902" s="15" t="n">
        <x:f>'기준스탯 72종'!H43*G902</x:f>
        <x:v>0</x:v>
      </x:c>
      <x:c r="W902" s="15" t="n">
        <x:f>'기준스탯 72종'!I43*G902</x:f>
        <x:v>0</x:v>
      </x:c>
      <x:c r="X902" s="15" t="n">
        <x:f>'기준스탯 72종'!J43*G902</x:f>
        <x:v>0</x:v>
      </x:c>
      <x:c r="Y902" s="15" t="n">
        <x:f>'기준스탯 72종'!K43*G902</x:f>
        <x:v>0</x:v>
      </x:c>
      <x:c r="Z902" s="15" t="n">
        <x:f>'기준스탯 72종'!D43*H902</x:f>
        <x:v>0.4800000000000001</x:v>
      </x:c>
      <x:c r="AA902" s="15" t="n">
        <x:f>'기준스탯 72종'!E43*H902</x:f>
        <x:v>0.4800000000000001</x:v>
      </x:c>
      <x:c r="AB902" s="15" t="n">
        <x:f>'기준스탯 72종'!F43*H902</x:f>
        <x:v>0.4800000000000001</x:v>
      </x:c>
      <x:c r="AC902" s="15" t="n">
        <x:f>'기준스탯 72종'!G43*H902</x:f>
        <x:v>0.4200000000000001</x:v>
      </x:c>
      <x:c r="AD902" s="15" t="n">
        <x:f>'기준스탯 72종'!H43*H902</x:f>
        <x:v>0.18000000000000005</x:v>
      </x:c>
      <x:c r="AE902" s="15" t="n">
        <x:f>'기준스탯 72종'!I43*H902</x:f>
        <x:v>0.30000000000000004</x:v>
      </x:c>
      <x:c r="AF902" s="15" t="n">
        <x:f>'기준스탯 72종'!J43*H902</x:f>
        <x:v>0.24000000000000005</x:v>
      </x:c>
      <x:c r="AG902" s="15" t="n">
        <x:f>'기준스탯 72종'!K43*H902</x:f>
        <x:v>0.24000000000000005</x:v>
      </x:c>
    </x:row>
    <x:row r="903" ht="28" customHeight="1">
      <x:c r="A903" s="2" t="n">
        <x:v>896</x:v>
      </x:c>
      <x:c r="B903" s="2" t="n">
        <x:v>36</x:v>
      </x:c>
      <x:c r="C903" s="2" t="str">
        <x:v>처녀자리</x:v>
      </x:c>
      <x:c r="D903" s="2" t="str">
        <x:v>전사</x:v>
      </x:c>
      <x:c r="E903" s="2" t="n">
        <x:v>1</x:v>
      </x:c>
      <x:c r="F903" s="2" t="n">
        <x:v>5</x:v>
      </x:c>
      <x:c r="G903" s="14" t="n">
        <x:f>('레벨 계산식'!$E$4-E903)*'레벨 계산식'!$B$5</x:f>
        <x:v>0.5599999999999999</x:v>
      </x:c>
      <x:c r="H903" s="14" t="n">
        <x:f>('등급 계산식'!$E$4-F903)*'등급 계산식'!$B$5</x:f>
        <x:v>0</x:v>
      </x:c>
      <x:c r="I903" s="14" t="n">
        <x:f>1-G903-H903</x:f>
        <x:v>0.44000000000000006</x:v>
      </x:c>
      <x:c r="J903" s="2" t="n">
        <x:f>MAX(1,ROUND('기준스탯 72종'!D43-R903-Z903,0))</x:f>
        <x:v>4</x:v>
      </x:c>
      <x:c r="K903" s="2" t="n">
        <x:f>MAX(1,ROUND('기준스탯 72종'!E43-S903-AA903,0))</x:f>
        <x:v>4</x:v>
      </x:c>
      <x:c r="L903" s="2" t="n">
        <x:f>MAX(1,ROUND('기준스탯 72종'!F43-T903-AB903,0))</x:f>
        <x:v>4</x:v>
      </x:c>
      <x:c r="M903" s="2" t="n">
        <x:f>MAX(1,ROUND('기준스탯 72종'!G43-U903-AC903,0))</x:f>
        <x:v>3</x:v>
      </x:c>
      <x:c r="N903" s="2" t="n">
        <x:f>MAX(0,ROUND('기준스탯 72종'!H43-V903-AD903,0))</x:f>
        <x:v>1</x:v>
      </x:c>
      <x:c r="O903" s="2" t="n">
        <x:f>MAX(0,ROUND('기준스탯 72종'!I43-W903-AE903,0))</x:f>
        <x:v>2</x:v>
      </x:c>
      <x:c r="P903" s="2" t="n">
        <x:f>MAX(0,ROUND('기준스탯 72종'!J43-X903-AF903,0))</x:f>
        <x:v>2</x:v>
      </x:c>
      <x:c r="Q903" s="2" t="n">
        <x:f>MAX(0,ROUND('기준스탯 72종'!K43-Y903-AG903,0))</x:f>
        <x:v>2</x:v>
      </x:c>
      <x:c r="R903" s="15" t="n">
        <x:f>'기준스탯 72종'!D43*G903</x:f>
        <x:v>4.4799999999999995</x:v>
      </x:c>
      <x:c r="S903" s="15" t="n">
        <x:f>'기준스탯 72종'!E43*G903</x:f>
        <x:v>4.4799999999999995</x:v>
      </x:c>
      <x:c r="T903" s="15" t="n">
        <x:f>'기준스탯 72종'!F43*G903</x:f>
        <x:v>4.4799999999999995</x:v>
      </x:c>
      <x:c r="U903" s="15" t="n">
        <x:f>'기준스탯 72종'!G43*G903</x:f>
        <x:v>3.9199999999999995</x:v>
      </x:c>
      <x:c r="V903" s="15" t="n">
        <x:f>'기준스탯 72종'!H43*G903</x:f>
        <x:v>1.6799999999999997</x:v>
      </x:c>
      <x:c r="W903" s="15" t="n">
        <x:f>'기준스탯 72종'!I43*G903</x:f>
        <x:v>2.8</x:v>
      </x:c>
      <x:c r="X903" s="15" t="n">
        <x:f>'기준스탯 72종'!J43*G903</x:f>
        <x:v>2.2399999999999998</x:v>
      </x:c>
      <x:c r="Y903" s="15" t="n">
        <x:f>'기준스탯 72종'!K43*G903</x:f>
        <x:v>2.2399999999999998</x:v>
      </x:c>
      <x:c r="Z903" s="15" t="n">
        <x:f>'기준스탯 72종'!D43*H903</x:f>
        <x:v>0</x:v>
      </x:c>
      <x:c r="AA903" s="15" t="n">
        <x:f>'기준스탯 72종'!E43*H903</x:f>
        <x:v>0</x:v>
      </x:c>
      <x:c r="AB903" s="15" t="n">
        <x:f>'기준스탯 72종'!F43*H903</x:f>
        <x:v>0</x:v>
      </x:c>
      <x:c r="AC903" s="15" t="n">
        <x:f>'기준스탯 72종'!G43*H903</x:f>
        <x:v>0</x:v>
      </x:c>
      <x:c r="AD903" s="15" t="n">
        <x:f>'기준스탯 72종'!H43*H903</x:f>
        <x:v>0</x:v>
      </x:c>
      <x:c r="AE903" s="15" t="n">
        <x:f>'기준스탯 72종'!I43*H903</x:f>
        <x:v>0</x:v>
      </x:c>
      <x:c r="AF903" s="15" t="n">
        <x:f>'기준스탯 72종'!J43*H903</x:f>
        <x:v>0</x:v>
      </x:c>
      <x:c r="AG903" s="15" t="n">
        <x:f>'기준스탯 72종'!K43*H903</x:f>
        <x:v>0</x:v>
      </x:c>
    </x:row>
    <x:row r="904" ht="28" customHeight="1">
      <x:c r="A904" s="2" t="n">
        <x:v>897</x:v>
      </x:c>
      <x:c r="B904" s="2" t="n">
        <x:v>36</x:v>
      </x:c>
      <x:c r="C904" s="2" t="str">
        <x:v>처녀자리</x:v>
      </x:c>
      <x:c r="D904" s="2" t="str">
        <x:v>전사</x:v>
      </x:c>
      <x:c r="E904" s="2" t="n">
        <x:v>2</x:v>
      </x:c>
      <x:c r="F904" s="2" t="n">
        <x:v>5</x:v>
      </x:c>
      <x:c r="G904" s="14" t="n">
        <x:f>('레벨 계산식'!$E$4-E904)*'레벨 계산식'!$B$5</x:f>
        <x:v>0.41999999999999993</x:v>
      </x:c>
      <x:c r="H904" s="14" t="n">
        <x:f>('등급 계산식'!$E$4-F904)*'등급 계산식'!$B$5</x:f>
        <x:v>0</x:v>
      </x:c>
      <x:c r="I904" s="14" t="n">
        <x:f>1-G904-H904</x:f>
        <x:v>0.5800000000000001</x:v>
      </x:c>
      <x:c r="J904" s="2" t="n">
        <x:f>MAX(1,ROUND('기준스탯 72종'!D43-R904-Z904,0))</x:f>
        <x:v>5</x:v>
      </x:c>
      <x:c r="K904" s="2" t="n">
        <x:f>MAX(1,ROUND('기준스탯 72종'!E43-S904-AA904,0))</x:f>
        <x:v>5</x:v>
      </x:c>
      <x:c r="L904" s="2" t="n">
        <x:f>MAX(1,ROUND('기준스탯 72종'!F43-T904-AB904,0))</x:f>
        <x:v>5</x:v>
      </x:c>
      <x:c r="M904" s="2" t="n">
        <x:f>MAX(1,ROUND('기준스탯 72종'!G43-U904-AC904,0))</x:f>
        <x:v>4</x:v>
      </x:c>
      <x:c r="N904" s="2" t="n">
        <x:f>MAX(0,ROUND('기준스탯 72종'!H43-V904-AD904,0))</x:f>
        <x:v>2</x:v>
      </x:c>
      <x:c r="O904" s="2" t="n">
        <x:f>MAX(0,ROUND('기준스탯 72종'!I43-W904-AE904,0))</x:f>
        <x:v>3</x:v>
      </x:c>
      <x:c r="P904" s="2" t="n">
        <x:f>MAX(0,ROUND('기준스탯 72종'!J43-X904-AF904,0))</x:f>
        <x:v>2</x:v>
      </x:c>
      <x:c r="Q904" s="2" t="n">
        <x:f>MAX(0,ROUND('기준스탯 72종'!K43-Y904-AG904,0))</x:f>
        <x:v>2</x:v>
      </x:c>
      <x:c r="R904" s="15" t="n">
        <x:f>'기준스탯 72종'!D43*G904</x:f>
        <x:v>3.3599999999999994</x:v>
      </x:c>
      <x:c r="S904" s="15" t="n">
        <x:f>'기준스탯 72종'!E43*G904</x:f>
        <x:v>3.3599999999999994</x:v>
      </x:c>
      <x:c r="T904" s="15" t="n">
        <x:f>'기준스탯 72종'!F43*G904</x:f>
        <x:v>3.3599999999999994</x:v>
      </x:c>
      <x:c r="U904" s="15" t="n">
        <x:f>'기준스탯 72종'!G43*G904</x:f>
        <x:v>2.9399999999999995</x:v>
      </x:c>
      <x:c r="V904" s="15" t="n">
        <x:f>'기준스탯 72종'!H43*G904</x:f>
        <x:v>1.2599999999999998</x:v>
      </x:c>
      <x:c r="W904" s="15" t="n">
        <x:f>'기준스탯 72종'!I43*G904</x:f>
        <x:v>2.0999999999999996</x:v>
      </x:c>
      <x:c r="X904" s="15" t="n">
        <x:f>'기준스탯 72종'!J43*G904</x:f>
        <x:v>1.6799999999999997</x:v>
      </x:c>
      <x:c r="Y904" s="15" t="n">
        <x:f>'기준스탯 72종'!K43*G904</x:f>
        <x:v>1.6799999999999997</x:v>
      </x:c>
      <x:c r="Z904" s="15" t="n">
        <x:f>'기준스탯 72종'!D43*H904</x:f>
        <x:v>0</x:v>
      </x:c>
      <x:c r="AA904" s="15" t="n">
        <x:f>'기준스탯 72종'!E43*H904</x:f>
        <x:v>0</x:v>
      </x:c>
      <x:c r="AB904" s="15" t="n">
        <x:f>'기준스탯 72종'!F43*H904</x:f>
        <x:v>0</x:v>
      </x:c>
      <x:c r="AC904" s="15" t="n">
        <x:f>'기준스탯 72종'!G43*H904</x:f>
        <x:v>0</x:v>
      </x:c>
      <x:c r="AD904" s="15" t="n">
        <x:f>'기준스탯 72종'!H43*H904</x:f>
        <x:v>0</x:v>
      </x:c>
      <x:c r="AE904" s="15" t="n">
        <x:f>'기준스탯 72종'!I43*H904</x:f>
        <x:v>0</x:v>
      </x:c>
      <x:c r="AF904" s="15" t="n">
        <x:f>'기준스탯 72종'!J43*H904</x:f>
        <x:v>0</x:v>
      </x:c>
      <x:c r="AG904" s="15" t="n">
        <x:f>'기준스탯 72종'!K43*H904</x:f>
        <x:v>0</x:v>
      </x:c>
    </x:row>
    <x:row r="905" ht="28" customHeight="1">
      <x:c r="A905" s="2" t="n">
        <x:v>898</x:v>
      </x:c>
      <x:c r="B905" s="2" t="n">
        <x:v>36</x:v>
      </x:c>
      <x:c r="C905" s="2" t="str">
        <x:v>처녀자리</x:v>
      </x:c>
      <x:c r="D905" s="2" t="str">
        <x:v>전사</x:v>
      </x:c>
      <x:c r="E905" s="2" t="n">
        <x:v>3</x:v>
      </x:c>
      <x:c r="F905" s="2" t="n">
        <x:v>5</x:v>
      </x:c>
      <x:c r="G905" s="14" t="n">
        <x:f>('레벨 계산식'!$E$4-E905)*'레벨 계산식'!$B$5</x:f>
        <x:v>0.27999999999999997</x:v>
      </x:c>
      <x:c r="H905" s="14" t="n">
        <x:f>('등급 계산식'!$E$4-F905)*'등급 계산식'!$B$5</x:f>
        <x:v>0</x:v>
      </x:c>
      <x:c r="I905" s="14" t="n">
        <x:f>1-G905-H905</x:f>
        <x:v>0.72</x:v>
      </x:c>
      <x:c r="J905" s="2" t="n">
        <x:f>MAX(1,ROUND('기준스탯 72종'!D43-R905-Z905,0))</x:f>
        <x:v>6</x:v>
      </x:c>
      <x:c r="K905" s="2" t="n">
        <x:f>MAX(1,ROUND('기준스탯 72종'!E43-S905-AA905,0))</x:f>
        <x:v>6</x:v>
      </x:c>
      <x:c r="L905" s="2" t="n">
        <x:f>MAX(1,ROUND('기준스탯 72종'!F43-T905-AB905,0))</x:f>
        <x:v>6</x:v>
      </x:c>
      <x:c r="M905" s="2" t="n">
        <x:f>MAX(1,ROUND('기준스탯 72종'!G43-U905-AC905,0))</x:f>
        <x:v>5</x:v>
      </x:c>
      <x:c r="N905" s="2" t="n">
        <x:f>MAX(0,ROUND('기준스탯 72종'!H43-V905-AD905,0))</x:f>
        <x:v>2</x:v>
      </x:c>
      <x:c r="O905" s="2" t="n">
        <x:f>MAX(0,ROUND('기준스탯 72종'!I43-W905-AE905,0))</x:f>
        <x:v>4</x:v>
      </x:c>
      <x:c r="P905" s="2" t="n">
        <x:f>MAX(0,ROUND('기준스탯 72종'!J43-X905-AF905,0))</x:f>
        <x:v>3</x:v>
      </x:c>
      <x:c r="Q905" s="2" t="n">
        <x:f>MAX(0,ROUND('기준스탯 72종'!K43-Y905-AG905,0))</x:f>
        <x:v>3</x:v>
      </x:c>
      <x:c r="R905" s="15" t="n">
        <x:f>'기준스탯 72종'!D43*G905</x:f>
        <x:v>2.2399999999999998</x:v>
      </x:c>
      <x:c r="S905" s="15" t="n">
        <x:f>'기준스탯 72종'!E43*G905</x:f>
        <x:v>2.2399999999999998</x:v>
      </x:c>
      <x:c r="T905" s="15" t="n">
        <x:f>'기준스탯 72종'!F43*G905</x:f>
        <x:v>2.2399999999999998</x:v>
      </x:c>
      <x:c r="U905" s="15" t="n">
        <x:f>'기준스탯 72종'!G43*G905</x:f>
        <x:v>1.9599999999999997</x:v>
      </x:c>
      <x:c r="V905" s="15" t="n">
        <x:f>'기준스탯 72종'!H43*G905</x:f>
        <x:v>0.8399999999999999</x:v>
      </x:c>
      <x:c r="W905" s="15" t="n">
        <x:f>'기준스탯 72종'!I43*G905</x:f>
        <x:v>1.4</x:v>
      </x:c>
      <x:c r="X905" s="15" t="n">
        <x:f>'기준스탯 72종'!J43*G905</x:f>
        <x:v>1.1199999999999999</x:v>
      </x:c>
      <x:c r="Y905" s="15" t="n">
        <x:f>'기준스탯 72종'!K43*G905</x:f>
        <x:v>1.1199999999999999</x:v>
      </x:c>
      <x:c r="Z905" s="15" t="n">
        <x:f>'기준스탯 72종'!D43*H905</x:f>
        <x:v>0</x:v>
      </x:c>
      <x:c r="AA905" s="15" t="n">
        <x:f>'기준스탯 72종'!E43*H905</x:f>
        <x:v>0</x:v>
      </x:c>
      <x:c r="AB905" s="15" t="n">
        <x:f>'기준스탯 72종'!F43*H905</x:f>
        <x:v>0</x:v>
      </x:c>
      <x:c r="AC905" s="15" t="n">
        <x:f>'기준스탯 72종'!G43*H905</x:f>
        <x:v>0</x:v>
      </x:c>
      <x:c r="AD905" s="15" t="n">
        <x:f>'기준스탯 72종'!H43*H905</x:f>
        <x:v>0</x:v>
      </x:c>
      <x:c r="AE905" s="15" t="n">
        <x:f>'기준스탯 72종'!I43*H905</x:f>
        <x:v>0</x:v>
      </x:c>
      <x:c r="AF905" s="15" t="n">
        <x:f>'기준스탯 72종'!J43*H905</x:f>
        <x:v>0</x:v>
      </x:c>
      <x:c r="AG905" s="15" t="n">
        <x:f>'기준스탯 72종'!K43*H905</x:f>
        <x:v>0</x:v>
      </x:c>
    </x:row>
    <x:row r="906" ht="28" customHeight="1">
      <x:c r="A906" s="2" t="n">
        <x:v>899</x:v>
      </x:c>
      <x:c r="B906" s="2" t="n">
        <x:v>36</x:v>
      </x:c>
      <x:c r="C906" s="2" t="str">
        <x:v>처녀자리</x:v>
      </x:c>
      <x:c r="D906" s="2" t="str">
        <x:v>전사</x:v>
      </x:c>
      <x:c r="E906" s="2" t="n">
        <x:v>4</x:v>
      </x:c>
      <x:c r="F906" s="2" t="n">
        <x:v>5</x:v>
      </x:c>
      <x:c r="G906" s="14" t="n">
        <x:f>('레벨 계산식'!$E$4-E906)*'레벨 계산식'!$B$5</x:f>
        <x:v>0.13999999999999999</x:v>
      </x:c>
      <x:c r="H906" s="14" t="n">
        <x:f>('등급 계산식'!$E$4-F906)*'등급 계산식'!$B$5</x:f>
        <x:v>0</x:v>
      </x:c>
      <x:c r="I906" s="14" t="n">
        <x:f>1-G906-H906</x:f>
        <x:v>0.86</x:v>
      </x:c>
      <x:c r="J906" s="2" t="n">
        <x:f>MAX(1,ROUND('기준스탯 72종'!D43-R906-Z906,0))</x:f>
        <x:v>7</x:v>
      </x:c>
      <x:c r="K906" s="2" t="n">
        <x:f>MAX(1,ROUND('기준스탯 72종'!E43-S906-AA906,0))</x:f>
        <x:v>7</x:v>
      </x:c>
      <x:c r="L906" s="2" t="n">
        <x:f>MAX(1,ROUND('기준스탯 72종'!F43-T906-AB906,0))</x:f>
        <x:v>7</x:v>
      </x:c>
      <x:c r="M906" s="2" t="n">
        <x:f>MAX(1,ROUND('기준스탯 72종'!G43-U906-AC906,0))</x:f>
        <x:v>6</x:v>
      </x:c>
      <x:c r="N906" s="2" t="n">
        <x:f>MAX(0,ROUND('기준스탯 72종'!H43-V906-AD906,0))</x:f>
        <x:v>3</x:v>
      </x:c>
      <x:c r="O906" s="2" t="n">
        <x:f>MAX(0,ROUND('기준스탯 72종'!I43-W906-AE906,0))</x:f>
        <x:v>4</x:v>
      </x:c>
      <x:c r="P906" s="2" t="n">
        <x:f>MAX(0,ROUND('기준스탯 72종'!J43-X906-AF906,0))</x:f>
        <x:v>3</x:v>
      </x:c>
      <x:c r="Q906" s="2" t="n">
        <x:f>MAX(0,ROUND('기준스탯 72종'!K43-Y906-AG906,0))</x:f>
        <x:v>3</x:v>
      </x:c>
      <x:c r="R906" s="15" t="n">
        <x:f>'기준스탯 72종'!D43*G906</x:f>
        <x:v>1.1199999999999999</x:v>
      </x:c>
      <x:c r="S906" s="15" t="n">
        <x:f>'기준스탯 72종'!E43*G906</x:f>
        <x:v>1.1199999999999999</x:v>
      </x:c>
      <x:c r="T906" s="15" t="n">
        <x:f>'기준스탯 72종'!F43*G906</x:f>
        <x:v>1.1199999999999999</x:v>
      </x:c>
      <x:c r="U906" s="15" t="n">
        <x:f>'기준스탯 72종'!G43*G906</x:f>
        <x:v>0.9799999999999999</x:v>
      </x:c>
      <x:c r="V906" s="15" t="n">
        <x:f>'기준스탯 72종'!H43*G906</x:f>
        <x:v>0.41999999999999993</x:v>
      </x:c>
      <x:c r="W906" s="15" t="n">
        <x:f>'기준스탯 72종'!I43*G906</x:f>
        <x:v>0.7</x:v>
      </x:c>
      <x:c r="X906" s="15" t="n">
        <x:f>'기준스탯 72종'!J43*G906</x:f>
        <x:v>0.5599999999999999</x:v>
      </x:c>
      <x:c r="Y906" s="15" t="n">
        <x:f>'기준스탯 72종'!K43*G906</x:f>
        <x:v>0.5599999999999999</x:v>
      </x:c>
      <x:c r="Z906" s="15" t="n">
        <x:f>'기준스탯 72종'!D43*H906</x:f>
        <x:v>0</x:v>
      </x:c>
      <x:c r="AA906" s="15" t="n">
        <x:f>'기준스탯 72종'!E43*H906</x:f>
        <x:v>0</x:v>
      </x:c>
      <x:c r="AB906" s="15" t="n">
        <x:f>'기준스탯 72종'!F43*H906</x:f>
        <x:v>0</x:v>
      </x:c>
      <x:c r="AC906" s="15" t="n">
        <x:f>'기준스탯 72종'!G43*H906</x:f>
        <x:v>0</x:v>
      </x:c>
      <x:c r="AD906" s="15" t="n">
        <x:f>'기준스탯 72종'!H43*H906</x:f>
        <x:v>0</x:v>
      </x:c>
      <x:c r="AE906" s="15" t="n">
        <x:f>'기준스탯 72종'!I43*H906</x:f>
        <x:v>0</x:v>
      </x:c>
      <x:c r="AF906" s="15" t="n">
        <x:f>'기준스탯 72종'!J43*H906</x:f>
        <x:v>0</x:v>
      </x:c>
      <x:c r="AG906" s="15" t="n">
        <x:f>'기준스탯 72종'!K43*H906</x:f>
        <x:v>0</x:v>
      </x:c>
    </x:row>
    <x:row r="907" ht="28" customHeight="1">
      <x:c r="A907" s="2" t="n">
        <x:v>900</x:v>
      </x:c>
      <x:c r="B907" s="2" t="n">
        <x:v>36</x:v>
      </x:c>
      <x:c r="C907" s="2" t="str">
        <x:v>처녀자리</x:v>
      </x:c>
      <x:c r="D907" s="2" t="str">
        <x:v>전사</x:v>
      </x:c>
      <x:c r="E907" s="2" t="n">
        <x:v>5</x:v>
      </x:c>
      <x:c r="F907" s="2" t="n">
        <x:v>5</x:v>
      </x:c>
      <x:c r="G907" s="14" t="n">
        <x:f>('레벨 계산식'!$E$4-E907)*'레벨 계산식'!$B$5</x:f>
        <x:v>0</x:v>
      </x:c>
      <x:c r="H907" s="14" t="n">
        <x:f>('등급 계산식'!$E$4-F907)*'등급 계산식'!$B$5</x:f>
        <x:v>0</x:v>
      </x:c>
      <x:c r="I907" s="14" t="n">
        <x:f>1-G907-H907</x:f>
        <x:v>1</x:v>
      </x:c>
      <x:c r="J907" s="2" t="n">
        <x:f>MAX(1,ROUND('기준스탯 72종'!D43-R907-Z907,0))</x:f>
        <x:v>8</x:v>
      </x:c>
      <x:c r="K907" s="2" t="n">
        <x:f>MAX(1,ROUND('기준스탯 72종'!E43-S907-AA907,0))</x:f>
        <x:v>8</x:v>
      </x:c>
      <x:c r="L907" s="2" t="n">
        <x:f>MAX(1,ROUND('기준스탯 72종'!F43-T907-AB907,0))</x:f>
        <x:v>8</x:v>
      </x:c>
      <x:c r="M907" s="2" t="n">
        <x:f>MAX(1,ROUND('기준스탯 72종'!G43-U907-AC907,0))</x:f>
        <x:v>7</x:v>
      </x:c>
      <x:c r="N907" s="2" t="n">
        <x:f>MAX(0,ROUND('기준스탯 72종'!H43-V907-AD907,0))</x:f>
        <x:v>3</x:v>
      </x:c>
      <x:c r="O907" s="2" t="n">
        <x:f>MAX(0,ROUND('기준스탯 72종'!I43-W907-AE907,0))</x:f>
        <x:v>5</x:v>
      </x:c>
      <x:c r="P907" s="2" t="n">
        <x:f>MAX(0,ROUND('기준스탯 72종'!J43-X907-AF907,0))</x:f>
        <x:v>4</x:v>
      </x:c>
      <x:c r="Q907" s="2" t="n">
        <x:f>MAX(0,ROUND('기준스탯 72종'!K43-Y907-AG907,0))</x:f>
        <x:v>4</x:v>
      </x:c>
      <x:c r="R907" s="15" t="n">
        <x:f>'기준스탯 72종'!D43*G907</x:f>
        <x:v>0</x:v>
      </x:c>
      <x:c r="S907" s="15" t="n">
        <x:f>'기준스탯 72종'!E43*G907</x:f>
        <x:v>0</x:v>
      </x:c>
      <x:c r="T907" s="15" t="n">
        <x:f>'기준스탯 72종'!F43*G907</x:f>
        <x:v>0</x:v>
      </x:c>
      <x:c r="U907" s="15" t="n">
        <x:f>'기준스탯 72종'!G43*G907</x:f>
        <x:v>0</x:v>
      </x:c>
      <x:c r="V907" s="15" t="n">
        <x:f>'기준스탯 72종'!H43*G907</x:f>
        <x:v>0</x:v>
      </x:c>
      <x:c r="W907" s="15" t="n">
        <x:f>'기준스탯 72종'!I43*G907</x:f>
        <x:v>0</x:v>
      </x:c>
      <x:c r="X907" s="15" t="n">
        <x:f>'기준스탯 72종'!J43*G907</x:f>
        <x:v>0</x:v>
      </x:c>
      <x:c r="Y907" s="15" t="n">
        <x:f>'기준스탯 72종'!K43*G907</x:f>
        <x:v>0</x:v>
      </x:c>
      <x:c r="Z907" s="15" t="n">
        <x:f>'기준스탯 72종'!D43*H907</x:f>
        <x:v>0</x:v>
      </x:c>
      <x:c r="AA907" s="15" t="n">
        <x:f>'기준스탯 72종'!E43*H907</x:f>
        <x:v>0</x:v>
      </x:c>
      <x:c r="AB907" s="15" t="n">
        <x:f>'기준스탯 72종'!F43*H907</x:f>
        <x:v>0</x:v>
      </x:c>
      <x:c r="AC907" s="15" t="n">
        <x:f>'기준스탯 72종'!G43*H907</x:f>
        <x:v>0</x:v>
      </x:c>
      <x:c r="AD907" s="15" t="n">
        <x:f>'기준스탯 72종'!H43*H907</x:f>
        <x:v>0</x:v>
      </x:c>
      <x:c r="AE907" s="15" t="n">
        <x:f>'기준스탯 72종'!I43*H907</x:f>
        <x:v>0</x:v>
      </x:c>
      <x:c r="AF907" s="15" t="n">
        <x:f>'기준스탯 72종'!J43*H907</x:f>
        <x:v>0</x:v>
      </x:c>
      <x:c r="AG907" s="15" t="n">
        <x:f>'기준스탯 72종'!K43*H907</x:f>
        <x:v>0</x:v>
      </x:c>
    </x:row>
    <x:row r="908" ht="28" customHeight="1">
      <x:c r="A908" s="2" t="n">
        <x:v>901</x:v>
      </x:c>
      <x:c r="B908" s="2" t="n">
        <x:v>37</x:v>
      </x:c>
      <x:c r="C908" s="2" t="str">
        <x:v>천칭자리</x:v>
      </x:c>
      <x:c r="D908" s="2" t="str">
        <x:v>기사</x:v>
      </x:c>
      <x:c r="E908" s="2" t="n">
        <x:v>1</x:v>
      </x:c>
      <x:c r="F908" s="2" t="n">
        <x:v>1</x:v>
      </x:c>
      <x:c r="G908" s="14" t="n">
        <x:f>('레벨 계산식'!$E$4-E908)*'레벨 계산식'!$B$5</x:f>
        <x:v>0.5599999999999999</x:v>
      </x:c>
      <x:c r="H908" s="14" t="n">
        <x:f>('등급 계산식'!$E$4-F908)*'등급 계산식'!$B$5</x:f>
        <x:v>0.24000000000000005</x:v>
      </x:c>
      <x:c r="I908" s="14" t="n">
        <x:f>1-G908-H908</x:f>
        <x:v>0.2</x:v>
      </x:c>
      <x:c r="J908" s="2" t="n">
        <x:f>MAX(1,ROUND('기준스탯 72종'!D44-R908-Z908,0))</x:f>
        <x:v>1</x:v>
      </x:c>
      <x:c r="K908" s="2" t="n">
        <x:f>MAX(1,ROUND('기준스탯 72종'!E44-S908-AA908,0))</x:f>
        <x:v>2</x:v>
      </x:c>
      <x:c r="L908" s="2" t="n">
        <x:f>MAX(1,ROUND('기준스탯 72종'!F44-T908-AB908,0))</x:f>
        <x:v>2</x:v>
      </x:c>
      <x:c r="M908" s="2" t="n">
        <x:f>MAX(1,ROUND('기준스탯 72종'!G44-U908-AC908,0))</x:f>
        <x:v>1</x:v>
      </x:c>
      <x:c r="N908" s="2" t="n">
        <x:f>MAX(0,ROUND('기준스탯 72종'!H44-V908-AD908,0))</x:f>
        <x:v>1</x:v>
      </x:c>
      <x:c r="O908" s="2" t="n">
        <x:f>MAX(0,ROUND('기준스탯 72종'!I44-W908-AE908,0))</x:f>
        <x:v>1</x:v>
      </x:c>
      <x:c r="P908" s="2" t="n">
        <x:f>MAX(0,ROUND('기준스탯 72종'!J44-X908-AF908,0))</x:f>
        <x:v>1</x:v>
      </x:c>
      <x:c r="Q908" s="2" t="n">
        <x:f>MAX(0,ROUND('기준스탯 72종'!K44-Y908-AG908,0))</x:f>
        <x:v>1</x:v>
      </x:c>
      <x:c r="R908" s="15" t="n">
        <x:f>'기준스탯 72종'!D44*G908</x:f>
        <x:v>3.9199999999999995</x:v>
      </x:c>
      <x:c r="S908" s="15" t="n">
        <x:f>'기준스탯 72종'!E44*G908</x:f>
        <x:v>4.4799999999999995</x:v>
      </x:c>
      <x:c r="T908" s="15" t="n">
        <x:f>'기준스탯 72종'!F44*G908</x:f>
        <x:v>4.4799999999999995</x:v>
      </x:c>
      <x:c r="U908" s="15" t="n">
        <x:f>'기준스탯 72종'!G44*G908</x:f>
        <x:v>3.9199999999999995</x:v>
      </x:c>
      <x:c r="V908" s="15" t="n">
        <x:f>'기준스탯 72종'!H44*G908</x:f>
        <x:v>1.6799999999999997</x:v>
      </x:c>
      <x:c r="W908" s="15" t="n">
        <x:f>'기준스탯 72종'!I44*G908</x:f>
        <x:v>2.2399999999999998</x:v>
      </x:c>
      <x:c r="X908" s="15" t="n">
        <x:f>'기준스탯 72종'!J44*G908</x:f>
        <x:v>1.6799999999999997</x:v>
      </x:c>
      <x:c r="Y908" s="15" t="n">
        <x:f>'기준스탯 72종'!K44*G908</x:f>
        <x:v>3.3599999999999994</x:v>
      </x:c>
      <x:c r="Z908" s="15" t="n">
        <x:f>'기준스탯 72종'!D44*H908</x:f>
        <x:v>1.6800000000000004</x:v>
      </x:c>
      <x:c r="AA908" s="15" t="n">
        <x:f>'기준스탯 72종'!E44*H908</x:f>
        <x:v>1.9200000000000004</x:v>
      </x:c>
      <x:c r="AB908" s="15" t="n">
        <x:f>'기준스탯 72종'!F44*H908</x:f>
        <x:v>1.9200000000000004</x:v>
      </x:c>
      <x:c r="AC908" s="15" t="n">
        <x:f>'기준스탯 72종'!G44*H908</x:f>
        <x:v>1.6800000000000004</x:v>
      </x:c>
      <x:c r="AD908" s="15" t="n">
        <x:f>'기준스탯 72종'!H44*H908</x:f>
        <x:v>0.7200000000000002</x:v>
      </x:c>
      <x:c r="AE908" s="15" t="n">
        <x:f>'기준스탯 72종'!I44*H908</x:f>
        <x:v>0.9600000000000002</x:v>
      </x:c>
      <x:c r="AF908" s="15" t="n">
        <x:f>'기준스탯 72종'!J44*H908</x:f>
        <x:v>0.7200000000000002</x:v>
      </x:c>
      <x:c r="AG908" s="15" t="n">
        <x:f>'기준스탯 72종'!K44*H908</x:f>
        <x:v>1.4400000000000004</x:v>
      </x:c>
    </x:row>
    <x:row r="909" ht="28" customHeight="1">
      <x:c r="A909" s="2" t="n">
        <x:v>902</x:v>
      </x:c>
      <x:c r="B909" s="2" t="n">
        <x:v>37</x:v>
      </x:c>
      <x:c r="C909" s="2" t="str">
        <x:v>천칭자리</x:v>
      </x:c>
      <x:c r="D909" s="2" t="str">
        <x:v>기사</x:v>
      </x:c>
      <x:c r="E909" s="2" t="n">
        <x:v>2</x:v>
      </x:c>
      <x:c r="F909" s="2" t="n">
        <x:v>1</x:v>
      </x:c>
      <x:c r="G909" s="14" t="n">
        <x:f>('레벨 계산식'!$E$4-E909)*'레벨 계산식'!$B$5</x:f>
        <x:v>0.41999999999999993</x:v>
      </x:c>
      <x:c r="H909" s="14" t="n">
        <x:f>('등급 계산식'!$E$4-F909)*'등급 계산식'!$B$5</x:f>
        <x:v>0.24000000000000005</x:v>
      </x:c>
      <x:c r="I909" s="14" t="n">
        <x:f>1-G909-H909</x:f>
        <x:v>0.34</x:v>
      </x:c>
      <x:c r="J909" s="2" t="n">
        <x:f>MAX(1,ROUND('기준스탯 72종'!D44-R909-Z909,0))</x:f>
        <x:v>2</x:v>
      </x:c>
      <x:c r="K909" s="2" t="n">
        <x:f>MAX(1,ROUND('기준스탯 72종'!E44-S909-AA909,0))</x:f>
        <x:v>3</x:v>
      </x:c>
      <x:c r="L909" s="2" t="n">
        <x:f>MAX(1,ROUND('기준스탯 72종'!F44-T909-AB909,0))</x:f>
        <x:v>3</x:v>
      </x:c>
      <x:c r="M909" s="2" t="n">
        <x:f>MAX(1,ROUND('기준스탯 72종'!G44-U909-AC909,0))</x:f>
        <x:v>2</x:v>
      </x:c>
      <x:c r="N909" s="2" t="n">
        <x:f>MAX(0,ROUND('기준스탯 72종'!H44-V909-AD909,0))</x:f>
        <x:v>1</x:v>
      </x:c>
      <x:c r="O909" s="2" t="n">
        <x:f>MAX(0,ROUND('기준스탯 72종'!I44-W909-AE909,0))</x:f>
        <x:v>1</x:v>
      </x:c>
      <x:c r="P909" s="2" t="n">
        <x:f>MAX(0,ROUND('기준스탯 72종'!J44-X909-AF909,0))</x:f>
        <x:v>1</x:v>
      </x:c>
      <x:c r="Q909" s="2" t="n">
        <x:f>MAX(0,ROUND('기준스탯 72종'!K44-Y909-AG909,0))</x:f>
        <x:v>2</x:v>
      </x:c>
      <x:c r="R909" s="15" t="n">
        <x:f>'기준스탯 72종'!D44*G909</x:f>
        <x:v>2.9399999999999995</x:v>
      </x:c>
      <x:c r="S909" s="15" t="n">
        <x:f>'기준스탯 72종'!E44*G909</x:f>
        <x:v>3.3599999999999994</x:v>
      </x:c>
      <x:c r="T909" s="15" t="n">
        <x:f>'기준스탯 72종'!F44*G909</x:f>
        <x:v>3.3599999999999994</x:v>
      </x:c>
      <x:c r="U909" s="15" t="n">
        <x:f>'기준스탯 72종'!G44*G909</x:f>
        <x:v>2.9399999999999995</x:v>
      </x:c>
      <x:c r="V909" s="15" t="n">
        <x:f>'기준스탯 72종'!H44*G909</x:f>
        <x:v>1.2599999999999998</x:v>
      </x:c>
      <x:c r="W909" s="15" t="n">
        <x:f>'기준스탯 72종'!I44*G909</x:f>
        <x:v>1.6799999999999997</x:v>
      </x:c>
      <x:c r="X909" s="15" t="n">
        <x:f>'기준스탯 72종'!J44*G909</x:f>
        <x:v>1.2599999999999998</x:v>
      </x:c>
      <x:c r="Y909" s="15" t="n">
        <x:f>'기준스탯 72종'!K44*G909</x:f>
        <x:v>2.5199999999999996</x:v>
      </x:c>
      <x:c r="Z909" s="15" t="n">
        <x:f>'기준스탯 72종'!D44*H909</x:f>
        <x:v>1.6800000000000004</x:v>
      </x:c>
      <x:c r="AA909" s="15" t="n">
        <x:f>'기준스탯 72종'!E44*H909</x:f>
        <x:v>1.9200000000000004</x:v>
      </x:c>
      <x:c r="AB909" s="15" t="n">
        <x:f>'기준스탯 72종'!F44*H909</x:f>
        <x:v>1.9200000000000004</x:v>
      </x:c>
      <x:c r="AC909" s="15" t="n">
        <x:f>'기준스탯 72종'!G44*H909</x:f>
        <x:v>1.6800000000000004</x:v>
      </x:c>
      <x:c r="AD909" s="15" t="n">
        <x:f>'기준스탯 72종'!H44*H909</x:f>
        <x:v>0.7200000000000002</x:v>
      </x:c>
      <x:c r="AE909" s="15" t="n">
        <x:f>'기준스탯 72종'!I44*H909</x:f>
        <x:v>0.9600000000000002</x:v>
      </x:c>
      <x:c r="AF909" s="15" t="n">
        <x:f>'기준스탯 72종'!J44*H909</x:f>
        <x:v>0.7200000000000002</x:v>
      </x:c>
      <x:c r="AG909" s="15" t="n">
        <x:f>'기준스탯 72종'!K44*H909</x:f>
        <x:v>1.4400000000000004</x:v>
      </x:c>
    </x:row>
    <x:row r="910" ht="28" customHeight="1">
      <x:c r="A910" s="2" t="n">
        <x:v>903</x:v>
      </x:c>
      <x:c r="B910" s="2" t="n">
        <x:v>37</x:v>
      </x:c>
      <x:c r="C910" s="2" t="str">
        <x:v>천칭자리</x:v>
      </x:c>
      <x:c r="D910" s="2" t="str">
        <x:v>기사</x:v>
      </x:c>
      <x:c r="E910" s="2" t="n">
        <x:v>3</x:v>
      </x:c>
      <x:c r="F910" s="2" t="n">
        <x:v>1</x:v>
      </x:c>
      <x:c r="G910" s="14" t="n">
        <x:f>('레벨 계산식'!$E$4-E910)*'레벨 계산식'!$B$5</x:f>
        <x:v>0.27999999999999997</x:v>
      </x:c>
      <x:c r="H910" s="14" t="n">
        <x:f>('등급 계산식'!$E$4-F910)*'등급 계산식'!$B$5</x:f>
        <x:v>0.24000000000000005</x:v>
      </x:c>
      <x:c r="I910" s="14" t="n">
        <x:f>1-G910-H910</x:f>
        <x:v>0.4799999999999999</x:v>
      </x:c>
      <x:c r="J910" s="2" t="n">
        <x:f>MAX(1,ROUND('기준스탯 72종'!D44-R910-Z910,0))</x:f>
        <x:v>3</x:v>
      </x:c>
      <x:c r="K910" s="2" t="n">
        <x:f>MAX(1,ROUND('기준스탯 72종'!E44-S910-AA910,0))</x:f>
        <x:v>4</x:v>
      </x:c>
      <x:c r="L910" s="2" t="n">
        <x:f>MAX(1,ROUND('기준스탯 72종'!F44-T910-AB910,0))</x:f>
        <x:v>4</x:v>
      </x:c>
      <x:c r="M910" s="2" t="n">
        <x:f>MAX(1,ROUND('기준스탯 72종'!G44-U910-AC910,0))</x:f>
        <x:v>3</x:v>
      </x:c>
      <x:c r="N910" s="2" t="n">
        <x:f>MAX(0,ROUND('기준스탯 72종'!H44-V910-AD910,0))</x:f>
        <x:v>1</x:v>
      </x:c>
      <x:c r="O910" s="2" t="n">
        <x:f>MAX(0,ROUND('기준스탯 72종'!I44-W910-AE910,0))</x:f>
        <x:v>2</x:v>
      </x:c>
      <x:c r="P910" s="2" t="n">
        <x:f>MAX(0,ROUND('기준스탯 72종'!J44-X910-AF910,0))</x:f>
        <x:v>1</x:v>
      </x:c>
      <x:c r="Q910" s="2" t="n">
        <x:f>MAX(0,ROUND('기준스탯 72종'!K44-Y910-AG910,0))</x:f>
        <x:v>3</x:v>
      </x:c>
      <x:c r="R910" s="15" t="n">
        <x:f>'기준스탯 72종'!D44*G910</x:f>
        <x:v>1.9599999999999997</x:v>
      </x:c>
      <x:c r="S910" s="15" t="n">
        <x:f>'기준스탯 72종'!E44*G910</x:f>
        <x:v>2.2399999999999998</x:v>
      </x:c>
      <x:c r="T910" s="15" t="n">
        <x:f>'기준스탯 72종'!F44*G910</x:f>
        <x:v>2.2399999999999998</x:v>
      </x:c>
      <x:c r="U910" s="15" t="n">
        <x:f>'기준스탯 72종'!G44*G910</x:f>
        <x:v>1.9599999999999997</x:v>
      </x:c>
      <x:c r="V910" s="15" t="n">
        <x:f>'기준스탯 72종'!H44*G910</x:f>
        <x:v>0.8399999999999999</x:v>
      </x:c>
      <x:c r="W910" s="15" t="n">
        <x:f>'기준스탯 72종'!I44*G910</x:f>
        <x:v>1.1199999999999999</x:v>
      </x:c>
      <x:c r="X910" s="15" t="n">
        <x:f>'기준스탯 72종'!J44*G910</x:f>
        <x:v>0.8399999999999999</x:v>
      </x:c>
      <x:c r="Y910" s="15" t="n">
        <x:f>'기준스탯 72종'!K44*G910</x:f>
        <x:v>1.6799999999999997</x:v>
      </x:c>
      <x:c r="Z910" s="15" t="n">
        <x:f>'기준스탯 72종'!D44*H910</x:f>
        <x:v>1.6800000000000004</x:v>
      </x:c>
      <x:c r="AA910" s="15" t="n">
        <x:f>'기준스탯 72종'!E44*H910</x:f>
        <x:v>1.9200000000000004</x:v>
      </x:c>
      <x:c r="AB910" s="15" t="n">
        <x:f>'기준스탯 72종'!F44*H910</x:f>
        <x:v>1.9200000000000004</x:v>
      </x:c>
      <x:c r="AC910" s="15" t="n">
        <x:f>'기준스탯 72종'!G44*H910</x:f>
        <x:v>1.6800000000000004</x:v>
      </x:c>
      <x:c r="AD910" s="15" t="n">
        <x:f>'기준스탯 72종'!H44*H910</x:f>
        <x:v>0.7200000000000002</x:v>
      </x:c>
      <x:c r="AE910" s="15" t="n">
        <x:f>'기준스탯 72종'!I44*H910</x:f>
        <x:v>0.9600000000000002</x:v>
      </x:c>
      <x:c r="AF910" s="15" t="n">
        <x:f>'기준스탯 72종'!J44*H910</x:f>
        <x:v>0.7200000000000002</x:v>
      </x:c>
      <x:c r="AG910" s="15" t="n">
        <x:f>'기준스탯 72종'!K44*H910</x:f>
        <x:v>1.4400000000000004</x:v>
      </x:c>
    </x:row>
    <x:row r="911" ht="28" customHeight="1">
      <x:c r="A911" s="2" t="n">
        <x:v>904</x:v>
      </x:c>
      <x:c r="B911" s="2" t="n">
        <x:v>37</x:v>
      </x:c>
      <x:c r="C911" s="2" t="str">
        <x:v>천칭자리</x:v>
      </x:c>
      <x:c r="D911" s="2" t="str">
        <x:v>기사</x:v>
      </x:c>
      <x:c r="E911" s="2" t="n">
        <x:v>4</x:v>
      </x:c>
      <x:c r="F911" s="2" t="n">
        <x:v>1</x:v>
      </x:c>
      <x:c r="G911" s="14" t="n">
        <x:f>('레벨 계산식'!$E$4-E911)*'레벨 계산식'!$B$5</x:f>
        <x:v>0.13999999999999999</x:v>
      </x:c>
      <x:c r="H911" s="14" t="n">
        <x:f>('등급 계산식'!$E$4-F911)*'등급 계산식'!$B$5</x:f>
        <x:v>0.24000000000000005</x:v>
      </x:c>
      <x:c r="I911" s="14" t="n">
        <x:f>1-G911-H911</x:f>
        <x:v>0.6199999999999999</x:v>
      </x:c>
      <x:c r="J911" s="2" t="n">
        <x:f>MAX(1,ROUND('기준스탯 72종'!D44-R911-Z911,0))</x:f>
        <x:v>4</x:v>
      </x:c>
      <x:c r="K911" s="2" t="n">
        <x:f>MAX(1,ROUND('기준스탯 72종'!E44-S911-AA911,0))</x:f>
        <x:v>5</x:v>
      </x:c>
      <x:c r="L911" s="2" t="n">
        <x:f>MAX(1,ROUND('기준스탯 72종'!F44-T911-AB911,0))</x:f>
        <x:v>5</x:v>
      </x:c>
      <x:c r="M911" s="2" t="n">
        <x:f>MAX(1,ROUND('기준스탯 72종'!G44-U911-AC911,0))</x:f>
        <x:v>4</x:v>
      </x:c>
      <x:c r="N911" s="2" t="n">
        <x:f>MAX(0,ROUND('기준스탯 72종'!H44-V911-AD911,0))</x:f>
        <x:v>2</x:v>
      </x:c>
      <x:c r="O911" s="2" t="n">
        <x:f>MAX(0,ROUND('기준스탯 72종'!I44-W911-AE911,0))</x:f>
        <x:v>2</x:v>
      </x:c>
      <x:c r="P911" s="2" t="n">
        <x:f>MAX(0,ROUND('기준스탯 72종'!J44-X911-AF911,0))</x:f>
        <x:v>2</x:v>
      </x:c>
      <x:c r="Q911" s="2" t="n">
        <x:f>MAX(0,ROUND('기준스탯 72종'!K44-Y911-AG911,0))</x:f>
        <x:v>4</x:v>
      </x:c>
      <x:c r="R911" s="15" t="n">
        <x:f>'기준스탯 72종'!D44*G911</x:f>
        <x:v>0.9799999999999999</x:v>
      </x:c>
      <x:c r="S911" s="15" t="n">
        <x:f>'기준스탯 72종'!E44*G911</x:f>
        <x:v>1.1199999999999999</x:v>
      </x:c>
      <x:c r="T911" s="15" t="n">
        <x:f>'기준스탯 72종'!F44*G911</x:f>
        <x:v>1.1199999999999999</x:v>
      </x:c>
      <x:c r="U911" s="15" t="n">
        <x:f>'기준스탯 72종'!G44*G911</x:f>
        <x:v>0.9799999999999999</x:v>
      </x:c>
      <x:c r="V911" s="15" t="n">
        <x:f>'기준스탯 72종'!H44*G911</x:f>
        <x:v>0.41999999999999993</x:v>
      </x:c>
      <x:c r="W911" s="15" t="n">
        <x:f>'기준스탯 72종'!I44*G911</x:f>
        <x:v>0.5599999999999999</x:v>
      </x:c>
      <x:c r="X911" s="15" t="n">
        <x:f>'기준스탯 72종'!J44*G911</x:f>
        <x:v>0.41999999999999993</x:v>
      </x:c>
      <x:c r="Y911" s="15" t="n">
        <x:f>'기준스탯 72종'!K44*G911</x:f>
        <x:v>0.8399999999999999</x:v>
      </x:c>
      <x:c r="Z911" s="15" t="n">
        <x:f>'기준스탯 72종'!D44*H911</x:f>
        <x:v>1.6800000000000004</x:v>
      </x:c>
      <x:c r="AA911" s="15" t="n">
        <x:f>'기준스탯 72종'!E44*H911</x:f>
        <x:v>1.9200000000000004</x:v>
      </x:c>
      <x:c r="AB911" s="15" t="n">
        <x:f>'기준스탯 72종'!F44*H911</x:f>
        <x:v>1.9200000000000004</x:v>
      </x:c>
      <x:c r="AC911" s="15" t="n">
        <x:f>'기준스탯 72종'!G44*H911</x:f>
        <x:v>1.6800000000000004</x:v>
      </x:c>
      <x:c r="AD911" s="15" t="n">
        <x:f>'기준스탯 72종'!H44*H911</x:f>
        <x:v>0.7200000000000002</x:v>
      </x:c>
      <x:c r="AE911" s="15" t="n">
        <x:f>'기준스탯 72종'!I44*H911</x:f>
        <x:v>0.9600000000000002</x:v>
      </x:c>
      <x:c r="AF911" s="15" t="n">
        <x:f>'기준스탯 72종'!J44*H911</x:f>
        <x:v>0.7200000000000002</x:v>
      </x:c>
      <x:c r="AG911" s="15" t="n">
        <x:f>'기준스탯 72종'!K44*H911</x:f>
        <x:v>1.4400000000000004</x:v>
      </x:c>
    </x:row>
    <x:row r="912" ht="28" customHeight="1">
      <x:c r="A912" s="2" t="n">
        <x:v>905</x:v>
      </x:c>
      <x:c r="B912" s="2" t="n">
        <x:v>37</x:v>
      </x:c>
      <x:c r="C912" s="2" t="str">
        <x:v>천칭자리</x:v>
      </x:c>
      <x:c r="D912" s="2" t="str">
        <x:v>기사</x:v>
      </x:c>
      <x:c r="E912" s="2" t="n">
        <x:v>5</x:v>
      </x:c>
      <x:c r="F912" s="2" t="n">
        <x:v>1</x:v>
      </x:c>
      <x:c r="G912" s="14" t="n">
        <x:f>('레벨 계산식'!$E$4-E912)*'레벨 계산식'!$B$5</x:f>
        <x:v>0</x:v>
      </x:c>
      <x:c r="H912" s="14" t="n">
        <x:f>('등급 계산식'!$E$4-F912)*'등급 계산식'!$B$5</x:f>
        <x:v>0.24000000000000005</x:v>
      </x:c>
      <x:c r="I912" s="14" t="n">
        <x:f>1-G912-H912</x:f>
        <x:v>0.76</x:v>
      </x:c>
      <x:c r="J912" s="2" t="n">
        <x:f>MAX(1,ROUND('기준스탯 72종'!D44-R912-Z912,0))</x:f>
        <x:v>5</x:v>
      </x:c>
      <x:c r="K912" s="2" t="n">
        <x:f>MAX(1,ROUND('기준스탯 72종'!E44-S912-AA912,0))</x:f>
        <x:v>6</x:v>
      </x:c>
      <x:c r="L912" s="2" t="n">
        <x:f>MAX(1,ROUND('기준스탯 72종'!F44-T912-AB912,0))</x:f>
        <x:v>6</x:v>
      </x:c>
      <x:c r="M912" s="2" t="n">
        <x:f>MAX(1,ROUND('기준스탯 72종'!G44-U912-AC912,0))</x:f>
        <x:v>5</x:v>
      </x:c>
      <x:c r="N912" s="2" t="n">
        <x:f>MAX(0,ROUND('기준스탯 72종'!H44-V912-AD912,0))</x:f>
        <x:v>2</x:v>
      </x:c>
      <x:c r="O912" s="2" t="n">
        <x:f>MAX(0,ROUND('기준스탯 72종'!I44-W912-AE912,0))</x:f>
        <x:v>3</x:v>
      </x:c>
      <x:c r="P912" s="2" t="n">
        <x:f>MAX(0,ROUND('기준스탯 72종'!J44-X912-AF912,0))</x:f>
        <x:v>2</x:v>
      </x:c>
      <x:c r="Q912" s="2" t="n">
        <x:f>MAX(0,ROUND('기준스탯 72종'!K44-Y912-AG912,0))</x:f>
        <x:v>5</x:v>
      </x:c>
      <x:c r="R912" s="15" t="n">
        <x:f>'기준스탯 72종'!D44*G912</x:f>
        <x:v>0</x:v>
      </x:c>
      <x:c r="S912" s="15" t="n">
        <x:f>'기준스탯 72종'!E44*G912</x:f>
        <x:v>0</x:v>
      </x:c>
      <x:c r="T912" s="15" t="n">
        <x:f>'기준스탯 72종'!F44*G912</x:f>
        <x:v>0</x:v>
      </x:c>
      <x:c r="U912" s="15" t="n">
        <x:f>'기준스탯 72종'!G44*G912</x:f>
        <x:v>0</x:v>
      </x:c>
      <x:c r="V912" s="15" t="n">
        <x:f>'기준스탯 72종'!H44*G912</x:f>
        <x:v>0</x:v>
      </x:c>
      <x:c r="W912" s="15" t="n">
        <x:f>'기준스탯 72종'!I44*G912</x:f>
        <x:v>0</x:v>
      </x:c>
      <x:c r="X912" s="15" t="n">
        <x:f>'기준스탯 72종'!J44*G912</x:f>
        <x:v>0</x:v>
      </x:c>
      <x:c r="Y912" s="15" t="n">
        <x:f>'기준스탯 72종'!K44*G912</x:f>
        <x:v>0</x:v>
      </x:c>
      <x:c r="Z912" s="15" t="n">
        <x:f>'기준스탯 72종'!D44*H912</x:f>
        <x:v>1.6800000000000004</x:v>
      </x:c>
      <x:c r="AA912" s="15" t="n">
        <x:f>'기준스탯 72종'!E44*H912</x:f>
        <x:v>1.9200000000000004</x:v>
      </x:c>
      <x:c r="AB912" s="15" t="n">
        <x:f>'기준스탯 72종'!F44*H912</x:f>
        <x:v>1.9200000000000004</x:v>
      </x:c>
      <x:c r="AC912" s="15" t="n">
        <x:f>'기준스탯 72종'!G44*H912</x:f>
        <x:v>1.6800000000000004</x:v>
      </x:c>
      <x:c r="AD912" s="15" t="n">
        <x:f>'기준스탯 72종'!H44*H912</x:f>
        <x:v>0.7200000000000002</x:v>
      </x:c>
      <x:c r="AE912" s="15" t="n">
        <x:f>'기준스탯 72종'!I44*H912</x:f>
        <x:v>0.9600000000000002</x:v>
      </x:c>
      <x:c r="AF912" s="15" t="n">
        <x:f>'기준스탯 72종'!J44*H912</x:f>
        <x:v>0.7200000000000002</x:v>
      </x:c>
      <x:c r="AG912" s="15" t="n">
        <x:f>'기준스탯 72종'!K44*H912</x:f>
        <x:v>1.4400000000000004</x:v>
      </x:c>
    </x:row>
    <x:row r="913" ht="28" customHeight="1">
      <x:c r="A913" s="2" t="n">
        <x:v>906</x:v>
      </x:c>
      <x:c r="B913" s="2" t="n">
        <x:v>37</x:v>
      </x:c>
      <x:c r="C913" s="2" t="str">
        <x:v>천칭자리</x:v>
      </x:c>
      <x:c r="D913" s="2" t="str">
        <x:v>기사</x:v>
      </x:c>
      <x:c r="E913" s="2" t="n">
        <x:v>1</x:v>
      </x:c>
      <x:c r="F913" s="2" t="n">
        <x:v>2</x:v>
      </x:c>
      <x:c r="G913" s="14" t="n">
        <x:f>('레벨 계산식'!$E$4-E913)*'레벨 계산식'!$B$5</x:f>
        <x:v>0.5599999999999999</x:v>
      </x:c>
      <x:c r="H913" s="14" t="n">
        <x:f>('등급 계산식'!$E$4-F913)*'등급 계산식'!$B$5</x:f>
        <x:v>0.18000000000000005</x:v>
      </x:c>
      <x:c r="I913" s="14" t="n">
        <x:f>1-G913-H913</x:f>
        <x:v>0.26</x:v>
      </x:c>
      <x:c r="J913" s="2" t="n">
        <x:f>MAX(1,ROUND('기준스탯 72종'!D44-R913-Z913,0))</x:f>
        <x:v>2</x:v>
      </x:c>
      <x:c r="K913" s="2" t="n">
        <x:f>MAX(1,ROUND('기준스탯 72종'!E44-S913-AA913,0))</x:f>
        <x:v>2</x:v>
      </x:c>
      <x:c r="L913" s="2" t="n">
        <x:f>MAX(1,ROUND('기준스탯 72종'!F44-T913-AB913,0))</x:f>
        <x:v>2</x:v>
      </x:c>
      <x:c r="M913" s="2" t="n">
        <x:f>MAX(1,ROUND('기준스탯 72종'!G44-U913-AC913,0))</x:f>
        <x:v>2</x:v>
      </x:c>
      <x:c r="N913" s="2" t="n">
        <x:f>MAX(0,ROUND('기준스탯 72종'!H44-V913-AD913,0))</x:f>
        <x:v>1</x:v>
      </x:c>
      <x:c r="O913" s="2" t="n">
        <x:f>MAX(0,ROUND('기준스탯 72종'!I44-W913-AE913,0))</x:f>
        <x:v>1</x:v>
      </x:c>
      <x:c r="P913" s="2" t="n">
        <x:f>MAX(0,ROUND('기준스탯 72종'!J44-X913-AF913,0))</x:f>
        <x:v>1</x:v>
      </x:c>
      <x:c r="Q913" s="2" t="n">
        <x:f>MAX(0,ROUND('기준스탯 72종'!K44-Y913-AG913,0))</x:f>
        <x:v>2</x:v>
      </x:c>
      <x:c r="R913" s="15" t="n">
        <x:f>'기준스탯 72종'!D44*G913</x:f>
        <x:v>3.9199999999999995</x:v>
      </x:c>
      <x:c r="S913" s="15" t="n">
        <x:f>'기준스탯 72종'!E44*G913</x:f>
        <x:v>4.4799999999999995</x:v>
      </x:c>
      <x:c r="T913" s="15" t="n">
        <x:f>'기준스탯 72종'!F44*G913</x:f>
        <x:v>4.4799999999999995</x:v>
      </x:c>
      <x:c r="U913" s="15" t="n">
        <x:f>'기준스탯 72종'!G44*G913</x:f>
        <x:v>3.9199999999999995</x:v>
      </x:c>
      <x:c r="V913" s="15" t="n">
        <x:f>'기준스탯 72종'!H44*G913</x:f>
        <x:v>1.6799999999999997</x:v>
      </x:c>
      <x:c r="W913" s="15" t="n">
        <x:f>'기준스탯 72종'!I44*G913</x:f>
        <x:v>2.2399999999999998</x:v>
      </x:c>
      <x:c r="X913" s="15" t="n">
        <x:f>'기준스탯 72종'!J44*G913</x:f>
        <x:v>1.6799999999999997</x:v>
      </x:c>
      <x:c r="Y913" s="15" t="n">
        <x:f>'기준스탯 72종'!K44*G913</x:f>
        <x:v>3.3599999999999994</x:v>
      </x:c>
      <x:c r="Z913" s="15" t="n">
        <x:f>'기준스탯 72종'!D44*H913</x:f>
        <x:v>1.2600000000000002</x:v>
      </x:c>
      <x:c r="AA913" s="15" t="n">
        <x:f>'기준스탯 72종'!E44*H913</x:f>
        <x:v>1.4400000000000004</x:v>
      </x:c>
      <x:c r="AB913" s="15" t="n">
        <x:f>'기준스탯 72종'!F44*H913</x:f>
        <x:v>1.4400000000000004</x:v>
      </x:c>
      <x:c r="AC913" s="15" t="n">
        <x:f>'기준스탯 72종'!G44*H913</x:f>
        <x:v>1.2600000000000002</x:v>
      </x:c>
      <x:c r="AD913" s="15" t="n">
        <x:f>'기준스탯 72종'!H44*H913</x:f>
        <x:v>0.5400000000000001</x:v>
      </x:c>
      <x:c r="AE913" s="15" t="n">
        <x:f>'기준스탯 72종'!I44*H913</x:f>
        <x:v>0.7200000000000002</x:v>
      </x:c>
      <x:c r="AF913" s="15" t="n">
        <x:f>'기준스탯 72종'!J44*H913</x:f>
        <x:v>0.5400000000000001</x:v>
      </x:c>
      <x:c r="AG913" s="15" t="n">
        <x:f>'기준스탯 72종'!K44*H913</x:f>
        <x:v>1.0800000000000003</x:v>
      </x:c>
    </x:row>
    <x:row r="914" ht="28" customHeight="1">
      <x:c r="A914" s="2" t="n">
        <x:v>907</x:v>
      </x:c>
      <x:c r="B914" s="2" t="n">
        <x:v>37</x:v>
      </x:c>
      <x:c r="C914" s="2" t="str">
        <x:v>천칭자리</x:v>
      </x:c>
      <x:c r="D914" s="2" t="str">
        <x:v>기사</x:v>
      </x:c>
      <x:c r="E914" s="2" t="n">
        <x:v>2</x:v>
      </x:c>
      <x:c r="F914" s="2" t="n">
        <x:v>2</x:v>
      </x:c>
      <x:c r="G914" s="14" t="n">
        <x:f>('레벨 계산식'!$E$4-E914)*'레벨 계산식'!$B$5</x:f>
        <x:v>0.41999999999999993</x:v>
      </x:c>
      <x:c r="H914" s="14" t="n">
        <x:f>('등급 계산식'!$E$4-F914)*'등급 계산식'!$B$5</x:f>
        <x:v>0.18000000000000005</x:v>
      </x:c>
      <x:c r="I914" s="14" t="n">
        <x:f>1-G914-H914</x:f>
        <x:v>0.4</x:v>
      </x:c>
      <x:c r="J914" s="2" t="n">
        <x:f>MAX(1,ROUND('기준스탯 72종'!D44-R914-Z914,0))</x:f>
        <x:v>3</x:v>
      </x:c>
      <x:c r="K914" s="2" t="n">
        <x:f>MAX(1,ROUND('기준스탯 72종'!E44-S914-AA914,0))</x:f>
        <x:v>3</x:v>
      </x:c>
      <x:c r="L914" s="2" t="n">
        <x:f>MAX(1,ROUND('기준스탯 72종'!F44-T914-AB914,0))</x:f>
        <x:v>3</x:v>
      </x:c>
      <x:c r="M914" s="2" t="n">
        <x:f>MAX(1,ROUND('기준스탯 72종'!G44-U914-AC914,0))</x:f>
        <x:v>3</x:v>
      </x:c>
      <x:c r="N914" s="2" t="n">
        <x:f>MAX(0,ROUND('기준스탯 72종'!H44-V914-AD914,0))</x:f>
        <x:v>1</x:v>
      </x:c>
      <x:c r="O914" s="2" t="n">
        <x:f>MAX(0,ROUND('기준스탯 72종'!I44-W914-AE914,0))</x:f>
        <x:v>2</x:v>
      </x:c>
      <x:c r="P914" s="2" t="n">
        <x:f>MAX(0,ROUND('기준스탯 72종'!J44-X914-AF914,0))</x:f>
        <x:v>1</x:v>
      </x:c>
      <x:c r="Q914" s="2" t="n">
        <x:f>MAX(0,ROUND('기준스탯 72종'!K44-Y914-AG914,0))</x:f>
        <x:v>2</x:v>
      </x:c>
      <x:c r="R914" s="15" t="n">
        <x:f>'기준스탯 72종'!D44*G914</x:f>
        <x:v>2.9399999999999995</x:v>
      </x:c>
      <x:c r="S914" s="15" t="n">
        <x:f>'기준스탯 72종'!E44*G914</x:f>
        <x:v>3.3599999999999994</x:v>
      </x:c>
      <x:c r="T914" s="15" t="n">
        <x:f>'기준스탯 72종'!F44*G914</x:f>
        <x:v>3.3599999999999994</x:v>
      </x:c>
      <x:c r="U914" s="15" t="n">
        <x:f>'기준스탯 72종'!G44*G914</x:f>
        <x:v>2.9399999999999995</x:v>
      </x:c>
      <x:c r="V914" s="15" t="n">
        <x:f>'기준스탯 72종'!H44*G914</x:f>
        <x:v>1.2599999999999998</x:v>
      </x:c>
      <x:c r="W914" s="15" t="n">
        <x:f>'기준스탯 72종'!I44*G914</x:f>
        <x:v>1.6799999999999997</x:v>
      </x:c>
      <x:c r="X914" s="15" t="n">
        <x:f>'기준스탯 72종'!J44*G914</x:f>
        <x:v>1.2599999999999998</x:v>
      </x:c>
      <x:c r="Y914" s="15" t="n">
        <x:f>'기준스탯 72종'!K44*G914</x:f>
        <x:v>2.5199999999999996</x:v>
      </x:c>
      <x:c r="Z914" s="15" t="n">
        <x:f>'기준스탯 72종'!D44*H914</x:f>
        <x:v>1.2600000000000002</x:v>
      </x:c>
      <x:c r="AA914" s="15" t="n">
        <x:f>'기준스탯 72종'!E44*H914</x:f>
        <x:v>1.4400000000000004</x:v>
      </x:c>
      <x:c r="AB914" s="15" t="n">
        <x:f>'기준스탯 72종'!F44*H914</x:f>
        <x:v>1.4400000000000004</x:v>
      </x:c>
      <x:c r="AC914" s="15" t="n">
        <x:f>'기준스탯 72종'!G44*H914</x:f>
        <x:v>1.2600000000000002</x:v>
      </x:c>
      <x:c r="AD914" s="15" t="n">
        <x:f>'기준스탯 72종'!H44*H914</x:f>
        <x:v>0.5400000000000001</x:v>
      </x:c>
      <x:c r="AE914" s="15" t="n">
        <x:f>'기준스탯 72종'!I44*H914</x:f>
        <x:v>0.7200000000000002</x:v>
      </x:c>
      <x:c r="AF914" s="15" t="n">
        <x:f>'기준스탯 72종'!J44*H914</x:f>
        <x:v>0.5400000000000001</x:v>
      </x:c>
      <x:c r="AG914" s="15" t="n">
        <x:f>'기준스탯 72종'!K44*H914</x:f>
        <x:v>1.0800000000000003</x:v>
      </x:c>
    </x:row>
    <x:row r="915" ht="28" customHeight="1">
      <x:c r="A915" s="2" t="n">
        <x:v>908</x:v>
      </x:c>
      <x:c r="B915" s="2" t="n">
        <x:v>37</x:v>
      </x:c>
      <x:c r="C915" s="2" t="str">
        <x:v>천칭자리</x:v>
      </x:c>
      <x:c r="D915" s="2" t="str">
        <x:v>기사</x:v>
      </x:c>
      <x:c r="E915" s="2" t="n">
        <x:v>3</x:v>
      </x:c>
      <x:c r="F915" s="2" t="n">
        <x:v>2</x:v>
      </x:c>
      <x:c r="G915" s="14" t="n">
        <x:f>('레벨 계산식'!$E$4-E915)*'레벨 계산식'!$B$5</x:f>
        <x:v>0.27999999999999997</x:v>
      </x:c>
      <x:c r="H915" s="14" t="n">
        <x:f>('등급 계산식'!$E$4-F915)*'등급 계산식'!$B$5</x:f>
        <x:v>0.18000000000000005</x:v>
      </x:c>
      <x:c r="I915" s="14" t="n">
        <x:f>1-G915-H915</x:f>
        <x:v>0.5399999999999999</x:v>
      </x:c>
      <x:c r="J915" s="2" t="n">
        <x:f>MAX(1,ROUND('기준스탯 72종'!D44-R915-Z915,0))</x:f>
        <x:v>4</x:v>
      </x:c>
      <x:c r="K915" s="2" t="n">
        <x:f>MAX(1,ROUND('기준스탯 72종'!E44-S915-AA915,0))</x:f>
        <x:v>4</x:v>
      </x:c>
      <x:c r="L915" s="2" t="n">
        <x:f>MAX(1,ROUND('기준스탯 72종'!F44-T915-AB915,0))</x:f>
        <x:v>4</x:v>
      </x:c>
      <x:c r="M915" s="2" t="n">
        <x:f>MAX(1,ROUND('기준스탯 72종'!G44-U915-AC915,0))</x:f>
        <x:v>4</x:v>
      </x:c>
      <x:c r="N915" s="2" t="n">
        <x:f>MAX(0,ROUND('기준스탯 72종'!H44-V915-AD915,0))</x:f>
        <x:v>2</x:v>
      </x:c>
      <x:c r="O915" s="2" t="n">
        <x:f>MAX(0,ROUND('기준스탯 72종'!I44-W915-AE915,0))</x:f>
        <x:v>2</x:v>
      </x:c>
      <x:c r="P915" s="2" t="n">
        <x:f>MAX(0,ROUND('기준스탯 72종'!J44-X915-AF915,0))</x:f>
        <x:v>2</x:v>
      </x:c>
      <x:c r="Q915" s="2" t="n">
        <x:f>MAX(0,ROUND('기준스탯 72종'!K44-Y915-AG915,0))</x:f>
        <x:v>3</x:v>
      </x:c>
      <x:c r="R915" s="15" t="n">
        <x:f>'기준스탯 72종'!D44*G915</x:f>
        <x:v>1.9599999999999997</x:v>
      </x:c>
      <x:c r="S915" s="15" t="n">
        <x:f>'기준스탯 72종'!E44*G915</x:f>
        <x:v>2.2399999999999998</x:v>
      </x:c>
      <x:c r="T915" s="15" t="n">
        <x:f>'기준스탯 72종'!F44*G915</x:f>
        <x:v>2.2399999999999998</x:v>
      </x:c>
      <x:c r="U915" s="15" t="n">
        <x:f>'기준스탯 72종'!G44*G915</x:f>
        <x:v>1.9599999999999997</x:v>
      </x:c>
      <x:c r="V915" s="15" t="n">
        <x:f>'기준스탯 72종'!H44*G915</x:f>
        <x:v>0.8399999999999999</x:v>
      </x:c>
      <x:c r="W915" s="15" t="n">
        <x:f>'기준스탯 72종'!I44*G915</x:f>
        <x:v>1.1199999999999999</x:v>
      </x:c>
      <x:c r="X915" s="15" t="n">
        <x:f>'기준스탯 72종'!J44*G915</x:f>
        <x:v>0.8399999999999999</x:v>
      </x:c>
      <x:c r="Y915" s="15" t="n">
        <x:f>'기준스탯 72종'!K44*G915</x:f>
        <x:v>1.6799999999999997</x:v>
      </x:c>
      <x:c r="Z915" s="15" t="n">
        <x:f>'기준스탯 72종'!D44*H915</x:f>
        <x:v>1.2600000000000002</x:v>
      </x:c>
      <x:c r="AA915" s="15" t="n">
        <x:f>'기준스탯 72종'!E44*H915</x:f>
        <x:v>1.4400000000000004</x:v>
      </x:c>
      <x:c r="AB915" s="15" t="n">
        <x:f>'기준스탯 72종'!F44*H915</x:f>
        <x:v>1.4400000000000004</x:v>
      </x:c>
      <x:c r="AC915" s="15" t="n">
        <x:f>'기준스탯 72종'!G44*H915</x:f>
        <x:v>1.2600000000000002</x:v>
      </x:c>
      <x:c r="AD915" s="15" t="n">
        <x:f>'기준스탯 72종'!H44*H915</x:f>
        <x:v>0.5400000000000001</x:v>
      </x:c>
      <x:c r="AE915" s="15" t="n">
        <x:f>'기준스탯 72종'!I44*H915</x:f>
        <x:v>0.7200000000000002</x:v>
      </x:c>
      <x:c r="AF915" s="15" t="n">
        <x:f>'기준스탯 72종'!J44*H915</x:f>
        <x:v>0.5400000000000001</x:v>
      </x:c>
      <x:c r="AG915" s="15" t="n">
        <x:f>'기준스탯 72종'!K44*H915</x:f>
        <x:v>1.0800000000000003</x:v>
      </x:c>
    </x:row>
    <x:row r="916" ht="28" customHeight="1">
      <x:c r="A916" s="2" t="n">
        <x:v>909</x:v>
      </x:c>
      <x:c r="B916" s="2" t="n">
        <x:v>37</x:v>
      </x:c>
      <x:c r="C916" s="2" t="str">
        <x:v>천칭자리</x:v>
      </x:c>
      <x:c r="D916" s="2" t="str">
        <x:v>기사</x:v>
      </x:c>
      <x:c r="E916" s="2" t="n">
        <x:v>4</x:v>
      </x:c>
      <x:c r="F916" s="2" t="n">
        <x:v>2</x:v>
      </x:c>
      <x:c r="G916" s="14" t="n">
        <x:f>('레벨 계산식'!$E$4-E916)*'레벨 계산식'!$B$5</x:f>
        <x:v>0.13999999999999999</x:v>
      </x:c>
      <x:c r="H916" s="14" t="n">
        <x:f>('등급 계산식'!$E$4-F916)*'등급 계산식'!$B$5</x:f>
        <x:v>0.18000000000000005</x:v>
      </x:c>
      <x:c r="I916" s="14" t="n">
        <x:f>1-G916-H916</x:f>
        <x:v>0.6799999999999999</x:v>
      </x:c>
      <x:c r="J916" s="2" t="n">
        <x:f>MAX(1,ROUND('기준스탯 72종'!D44-R916-Z916,0))</x:f>
        <x:v>5</x:v>
      </x:c>
      <x:c r="K916" s="2" t="n">
        <x:f>MAX(1,ROUND('기준스탯 72종'!E44-S916-AA916,0))</x:f>
        <x:v>5</x:v>
      </x:c>
      <x:c r="L916" s="2" t="n">
        <x:f>MAX(1,ROUND('기준스탯 72종'!F44-T916-AB916,0))</x:f>
        <x:v>5</x:v>
      </x:c>
      <x:c r="M916" s="2" t="n">
        <x:f>MAX(1,ROUND('기준스탯 72종'!G44-U916-AC916,0))</x:f>
        <x:v>5</x:v>
      </x:c>
      <x:c r="N916" s="2" t="n">
        <x:f>MAX(0,ROUND('기준스탯 72종'!H44-V916-AD916,0))</x:f>
        <x:v>2</x:v>
      </x:c>
      <x:c r="O916" s="2" t="n">
        <x:f>MAX(0,ROUND('기준스탯 72종'!I44-W916-AE916,0))</x:f>
        <x:v>3</x:v>
      </x:c>
      <x:c r="P916" s="2" t="n">
        <x:f>MAX(0,ROUND('기준스탯 72종'!J44-X916-AF916,0))</x:f>
        <x:v>2</x:v>
      </x:c>
      <x:c r="Q916" s="2" t="n">
        <x:f>MAX(0,ROUND('기준스탯 72종'!K44-Y916-AG916,0))</x:f>
        <x:v>4</x:v>
      </x:c>
      <x:c r="R916" s="15" t="n">
        <x:f>'기준스탯 72종'!D44*G916</x:f>
        <x:v>0.9799999999999999</x:v>
      </x:c>
      <x:c r="S916" s="15" t="n">
        <x:f>'기준스탯 72종'!E44*G916</x:f>
        <x:v>1.1199999999999999</x:v>
      </x:c>
      <x:c r="T916" s="15" t="n">
        <x:f>'기준스탯 72종'!F44*G916</x:f>
        <x:v>1.1199999999999999</x:v>
      </x:c>
      <x:c r="U916" s="15" t="n">
        <x:f>'기준스탯 72종'!G44*G916</x:f>
        <x:v>0.9799999999999999</x:v>
      </x:c>
      <x:c r="V916" s="15" t="n">
        <x:f>'기준스탯 72종'!H44*G916</x:f>
        <x:v>0.41999999999999993</x:v>
      </x:c>
      <x:c r="W916" s="15" t="n">
        <x:f>'기준스탯 72종'!I44*G916</x:f>
        <x:v>0.5599999999999999</x:v>
      </x:c>
      <x:c r="X916" s="15" t="n">
        <x:f>'기준스탯 72종'!J44*G916</x:f>
        <x:v>0.41999999999999993</x:v>
      </x:c>
      <x:c r="Y916" s="15" t="n">
        <x:f>'기준스탯 72종'!K44*G916</x:f>
        <x:v>0.8399999999999999</x:v>
      </x:c>
      <x:c r="Z916" s="15" t="n">
        <x:f>'기준스탯 72종'!D44*H916</x:f>
        <x:v>1.2600000000000002</x:v>
      </x:c>
      <x:c r="AA916" s="15" t="n">
        <x:f>'기준스탯 72종'!E44*H916</x:f>
        <x:v>1.4400000000000004</x:v>
      </x:c>
      <x:c r="AB916" s="15" t="n">
        <x:f>'기준스탯 72종'!F44*H916</x:f>
        <x:v>1.4400000000000004</x:v>
      </x:c>
      <x:c r="AC916" s="15" t="n">
        <x:f>'기준스탯 72종'!G44*H916</x:f>
        <x:v>1.2600000000000002</x:v>
      </x:c>
      <x:c r="AD916" s="15" t="n">
        <x:f>'기준스탯 72종'!H44*H916</x:f>
        <x:v>0.5400000000000001</x:v>
      </x:c>
      <x:c r="AE916" s="15" t="n">
        <x:f>'기준스탯 72종'!I44*H916</x:f>
        <x:v>0.7200000000000002</x:v>
      </x:c>
      <x:c r="AF916" s="15" t="n">
        <x:f>'기준스탯 72종'!J44*H916</x:f>
        <x:v>0.5400000000000001</x:v>
      </x:c>
      <x:c r="AG916" s="15" t="n">
        <x:f>'기준스탯 72종'!K44*H916</x:f>
        <x:v>1.0800000000000003</x:v>
      </x:c>
    </x:row>
    <x:row r="917" ht="28" customHeight="1">
      <x:c r="A917" s="2" t="n">
        <x:v>910</x:v>
      </x:c>
      <x:c r="B917" s="2" t="n">
        <x:v>37</x:v>
      </x:c>
      <x:c r="C917" s="2" t="str">
        <x:v>천칭자리</x:v>
      </x:c>
      <x:c r="D917" s="2" t="str">
        <x:v>기사</x:v>
      </x:c>
      <x:c r="E917" s="2" t="n">
        <x:v>5</x:v>
      </x:c>
      <x:c r="F917" s="2" t="n">
        <x:v>2</x:v>
      </x:c>
      <x:c r="G917" s="14" t="n">
        <x:f>('레벨 계산식'!$E$4-E917)*'레벨 계산식'!$B$5</x:f>
        <x:v>0</x:v>
      </x:c>
      <x:c r="H917" s="14" t="n">
        <x:f>('등급 계산식'!$E$4-F917)*'등급 계산식'!$B$5</x:f>
        <x:v>0.18000000000000005</x:v>
      </x:c>
      <x:c r="I917" s="14" t="n">
        <x:f>1-G917-H917</x:f>
        <x:v>0.82</x:v>
      </x:c>
      <x:c r="J917" s="2" t="n">
        <x:f>MAX(1,ROUND('기준스탯 72종'!D44-R917-Z917,0))</x:f>
        <x:v>6</x:v>
      </x:c>
      <x:c r="K917" s="2" t="n">
        <x:f>MAX(1,ROUND('기준스탯 72종'!E44-S917-AA917,0))</x:f>
        <x:v>7</x:v>
      </x:c>
      <x:c r="L917" s="2" t="n">
        <x:f>MAX(1,ROUND('기준스탯 72종'!F44-T917-AB917,0))</x:f>
        <x:v>7</x:v>
      </x:c>
      <x:c r="M917" s="2" t="n">
        <x:f>MAX(1,ROUND('기준스탯 72종'!G44-U917-AC917,0))</x:f>
        <x:v>6</x:v>
      </x:c>
      <x:c r="N917" s="2" t="n">
        <x:f>MAX(0,ROUND('기준스탯 72종'!H44-V917-AD917,0))</x:f>
        <x:v>2</x:v>
      </x:c>
      <x:c r="O917" s="2" t="n">
        <x:f>MAX(0,ROUND('기준스탯 72종'!I44-W917-AE917,0))</x:f>
        <x:v>3</x:v>
      </x:c>
      <x:c r="P917" s="2" t="n">
        <x:f>MAX(0,ROUND('기준스탯 72종'!J44-X917-AF917,0))</x:f>
        <x:v>2</x:v>
      </x:c>
      <x:c r="Q917" s="2" t="n">
        <x:f>MAX(0,ROUND('기준스탯 72종'!K44-Y917-AG917,0))</x:f>
        <x:v>5</x:v>
      </x:c>
      <x:c r="R917" s="15" t="n">
        <x:f>'기준스탯 72종'!D44*G917</x:f>
        <x:v>0</x:v>
      </x:c>
      <x:c r="S917" s="15" t="n">
        <x:f>'기준스탯 72종'!E44*G917</x:f>
        <x:v>0</x:v>
      </x:c>
      <x:c r="T917" s="15" t="n">
        <x:f>'기준스탯 72종'!F44*G917</x:f>
        <x:v>0</x:v>
      </x:c>
      <x:c r="U917" s="15" t="n">
        <x:f>'기준스탯 72종'!G44*G917</x:f>
        <x:v>0</x:v>
      </x:c>
      <x:c r="V917" s="15" t="n">
        <x:f>'기준스탯 72종'!H44*G917</x:f>
        <x:v>0</x:v>
      </x:c>
      <x:c r="W917" s="15" t="n">
        <x:f>'기준스탯 72종'!I44*G917</x:f>
        <x:v>0</x:v>
      </x:c>
      <x:c r="X917" s="15" t="n">
        <x:f>'기준스탯 72종'!J44*G917</x:f>
        <x:v>0</x:v>
      </x:c>
      <x:c r="Y917" s="15" t="n">
        <x:f>'기준스탯 72종'!K44*G917</x:f>
        <x:v>0</x:v>
      </x:c>
      <x:c r="Z917" s="15" t="n">
        <x:f>'기준스탯 72종'!D44*H917</x:f>
        <x:v>1.2600000000000002</x:v>
      </x:c>
      <x:c r="AA917" s="15" t="n">
        <x:f>'기준스탯 72종'!E44*H917</x:f>
        <x:v>1.4400000000000004</x:v>
      </x:c>
      <x:c r="AB917" s="15" t="n">
        <x:f>'기준스탯 72종'!F44*H917</x:f>
        <x:v>1.4400000000000004</x:v>
      </x:c>
      <x:c r="AC917" s="15" t="n">
        <x:f>'기준스탯 72종'!G44*H917</x:f>
        <x:v>1.2600000000000002</x:v>
      </x:c>
      <x:c r="AD917" s="15" t="n">
        <x:f>'기준스탯 72종'!H44*H917</x:f>
        <x:v>0.5400000000000001</x:v>
      </x:c>
      <x:c r="AE917" s="15" t="n">
        <x:f>'기준스탯 72종'!I44*H917</x:f>
        <x:v>0.7200000000000002</x:v>
      </x:c>
      <x:c r="AF917" s="15" t="n">
        <x:f>'기준스탯 72종'!J44*H917</x:f>
        <x:v>0.5400000000000001</x:v>
      </x:c>
      <x:c r="AG917" s="15" t="n">
        <x:f>'기준스탯 72종'!K44*H917</x:f>
        <x:v>1.0800000000000003</x:v>
      </x:c>
    </x:row>
    <x:row r="918" ht="28" customHeight="1">
      <x:c r="A918" s="2" t="n">
        <x:v>911</x:v>
      </x:c>
      <x:c r="B918" s="2" t="n">
        <x:v>37</x:v>
      </x:c>
      <x:c r="C918" s="2" t="str">
        <x:v>천칭자리</x:v>
      </x:c>
      <x:c r="D918" s="2" t="str">
        <x:v>기사</x:v>
      </x:c>
      <x:c r="E918" s="2" t="n">
        <x:v>1</x:v>
      </x:c>
      <x:c r="F918" s="2" t="n">
        <x:v>3</x:v>
      </x:c>
      <x:c r="G918" s="14" t="n">
        <x:f>('레벨 계산식'!$E$4-E918)*'레벨 계산식'!$B$5</x:f>
        <x:v>0.5599999999999999</x:v>
      </x:c>
      <x:c r="H918" s="14" t="n">
        <x:f>('등급 계산식'!$E$4-F918)*'등급 계산식'!$B$5</x:f>
        <x:v>0.12000000000000002</x:v>
      </x:c>
      <x:c r="I918" s="14" t="n">
        <x:f>1-G918-H918</x:f>
        <x:v>0.32000000000000006</x:v>
      </x:c>
      <x:c r="J918" s="2" t="n">
        <x:f>MAX(1,ROUND('기준스탯 72종'!D44-R918-Z918,0))</x:f>
        <x:v>2</x:v>
      </x:c>
      <x:c r="K918" s="2" t="n">
        <x:f>MAX(1,ROUND('기준스탯 72종'!E44-S918-AA918,0))</x:f>
        <x:v>3</x:v>
      </x:c>
      <x:c r="L918" s="2" t="n">
        <x:f>MAX(1,ROUND('기준스탯 72종'!F44-T918-AB918,0))</x:f>
        <x:v>3</x:v>
      </x:c>
      <x:c r="M918" s="2" t="n">
        <x:f>MAX(1,ROUND('기준스탯 72종'!G44-U918-AC918,0))</x:f>
        <x:v>2</x:v>
      </x:c>
      <x:c r="N918" s="2" t="n">
        <x:f>MAX(0,ROUND('기준스탯 72종'!H44-V918-AD918,0))</x:f>
        <x:v>1</x:v>
      </x:c>
      <x:c r="O918" s="2" t="n">
        <x:f>MAX(0,ROUND('기준스탯 72종'!I44-W918-AE918,0))</x:f>
        <x:v>1</x:v>
      </x:c>
      <x:c r="P918" s="2" t="n">
        <x:f>MAX(0,ROUND('기준스탯 72종'!J44-X918-AF918,0))</x:f>
        <x:v>1</x:v>
      </x:c>
      <x:c r="Q918" s="2" t="n">
        <x:f>MAX(0,ROUND('기준스탯 72종'!K44-Y918-AG918,0))</x:f>
        <x:v>2</x:v>
      </x:c>
      <x:c r="R918" s="15" t="n">
        <x:f>'기준스탯 72종'!D44*G918</x:f>
        <x:v>3.9199999999999995</x:v>
      </x:c>
      <x:c r="S918" s="15" t="n">
        <x:f>'기준스탯 72종'!E44*G918</x:f>
        <x:v>4.4799999999999995</x:v>
      </x:c>
      <x:c r="T918" s="15" t="n">
        <x:f>'기준스탯 72종'!F44*G918</x:f>
        <x:v>4.4799999999999995</x:v>
      </x:c>
      <x:c r="U918" s="15" t="n">
        <x:f>'기준스탯 72종'!G44*G918</x:f>
        <x:v>3.9199999999999995</x:v>
      </x:c>
      <x:c r="V918" s="15" t="n">
        <x:f>'기준스탯 72종'!H44*G918</x:f>
        <x:v>1.6799999999999997</x:v>
      </x:c>
      <x:c r="W918" s="15" t="n">
        <x:f>'기준스탯 72종'!I44*G918</x:f>
        <x:v>2.2399999999999998</x:v>
      </x:c>
      <x:c r="X918" s="15" t="n">
        <x:f>'기준스탯 72종'!J44*G918</x:f>
        <x:v>1.6799999999999997</x:v>
      </x:c>
      <x:c r="Y918" s="15" t="n">
        <x:f>'기준스탯 72종'!K44*G918</x:f>
        <x:v>3.3599999999999994</x:v>
      </x:c>
      <x:c r="Z918" s="15" t="n">
        <x:f>'기준스탯 72종'!D44*H918</x:f>
        <x:v>0.8400000000000002</x:v>
      </x:c>
      <x:c r="AA918" s="15" t="n">
        <x:f>'기준스탯 72종'!E44*H918</x:f>
        <x:v>0.9600000000000002</x:v>
      </x:c>
      <x:c r="AB918" s="15" t="n">
        <x:f>'기준스탯 72종'!F44*H918</x:f>
        <x:v>0.9600000000000002</x:v>
      </x:c>
      <x:c r="AC918" s="15" t="n">
        <x:f>'기준스탯 72종'!G44*H918</x:f>
        <x:v>0.8400000000000002</x:v>
      </x:c>
      <x:c r="AD918" s="15" t="n">
        <x:f>'기준스탯 72종'!H44*H918</x:f>
        <x:v>0.3600000000000001</x:v>
      </x:c>
      <x:c r="AE918" s="15" t="n">
        <x:f>'기준스탯 72종'!I44*H918</x:f>
        <x:v>0.4800000000000001</x:v>
      </x:c>
      <x:c r="AF918" s="15" t="n">
        <x:f>'기준스탯 72종'!J44*H918</x:f>
        <x:v>0.3600000000000001</x:v>
      </x:c>
      <x:c r="AG918" s="15" t="n">
        <x:f>'기준스탯 72종'!K44*H918</x:f>
        <x:v>0.7200000000000002</x:v>
      </x:c>
    </x:row>
    <x:row r="919" ht="28" customHeight="1">
      <x:c r="A919" s="2" t="n">
        <x:v>912</x:v>
      </x:c>
      <x:c r="B919" s="2" t="n">
        <x:v>37</x:v>
      </x:c>
      <x:c r="C919" s="2" t="str">
        <x:v>천칭자리</x:v>
      </x:c>
      <x:c r="D919" s="2" t="str">
        <x:v>기사</x:v>
      </x:c>
      <x:c r="E919" s="2" t="n">
        <x:v>2</x:v>
      </x:c>
      <x:c r="F919" s="2" t="n">
        <x:v>3</x:v>
      </x:c>
      <x:c r="G919" s="14" t="n">
        <x:f>('레벨 계산식'!$E$4-E919)*'레벨 계산식'!$B$5</x:f>
        <x:v>0.41999999999999993</x:v>
      </x:c>
      <x:c r="H919" s="14" t="n">
        <x:f>('등급 계산식'!$E$4-F919)*'등급 계산식'!$B$5</x:f>
        <x:v>0.12000000000000002</x:v>
      </x:c>
      <x:c r="I919" s="14" t="n">
        <x:f>1-G919-H919</x:f>
        <x:v>0.4600000000000001</x:v>
      </x:c>
      <x:c r="J919" s="2" t="n">
        <x:f>MAX(1,ROUND('기준스탯 72종'!D44-R919-Z919,0))</x:f>
        <x:v>3</x:v>
      </x:c>
      <x:c r="K919" s="2" t="n">
        <x:f>MAX(1,ROUND('기준스탯 72종'!E44-S919-AA919,0))</x:f>
        <x:v>4</x:v>
      </x:c>
      <x:c r="L919" s="2" t="n">
        <x:f>MAX(1,ROUND('기준스탯 72종'!F44-T919-AB919,0))</x:f>
        <x:v>4</x:v>
      </x:c>
      <x:c r="M919" s="2" t="n">
        <x:f>MAX(1,ROUND('기준스탯 72종'!G44-U919-AC919,0))</x:f>
        <x:v>3</x:v>
      </x:c>
      <x:c r="N919" s="2" t="n">
        <x:f>MAX(0,ROUND('기준스탯 72종'!H44-V919-AD919,0))</x:f>
        <x:v>1</x:v>
      </x:c>
      <x:c r="O919" s="2" t="n">
        <x:f>MAX(0,ROUND('기준스탯 72종'!I44-W919-AE919,0))</x:f>
        <x:v>2</x:v>
      </x:c>
      <x:c r="P919" s="2" t="n">
        <x:f>MAX(0,ROUND('기준스탯 72종'!J44-X919-AF919,0))</x:f>
        <x:v>1</x:v>
      </x:c>
      <x:c r="Q919" s="2" t="n">
        <x:f>MAX(0,ROUND('기준스탯 72종'!K44-Y919-AG919,0))</x:f>
        <x:v>3</x:v>
      </x:c>
      <x:c r="R919" s="15" t="n">
        <x:f>'기준스탯 72종'!D44*G919</x:f>
        <x:v>2.9399999999999995</x:v>
      </x:c>
      <x:c r="S919" s="15" t="n">
        <x:f>'기준스탯 72종'!E44*G919</x:f>
        <x:v>3.3599999999999994</x:v>
      </x:c>
      <x:c r="T919" s="15" t="n">
        <x:f>'기준스탯 72종'!F44*G919</x:f>
        <x:v>3.3599999999999994</x:v>
      </x:c>
      <x:c r="U919" s="15" t="n">
        <x:f>'기준스탯 72종'!G44*G919</x:f>
        <x:v>2.9399999999999995</x:v>
      </x:c>
      <x:c r="V919" s="15" t="n">
        <x:f>'기준스탯 72종'!H44*G919</x:f>
        <x:v>1.2599999999999998</x:v>
      </x:c>
      <x:c r="W919" s="15" t="n">
        <x:f>'기준스탯 72종'!I44*G919</x:f>
        <x:v>1.6799999999999997</x:v>
      </x:c>
      <x:c r="X919" s="15" t="n">
        <x:f>'기준스탯 72종'!J44*G919</x:f>
        <x:v>1.2599999999999998</x:v>
      </x:c>
      <x:c r="Y919" s="15" t="n">
        <x:f>'기준스탯 72종'!K44*G919</x:f>
        <x:v>2.5199999999999996</x:v>
      </x:c>
      <x:c r="Z919" s="15" t="n">
        <x:f>'기준스탯 72종'!D44*H919</x:f>
        <x:v>0.8400000000000002</x:v>
      </x:c>
      <x:c r="AA919" s="15" t="n">
        <x:f>'기준스탯 72종'!E44*H919</x:f>
        <x:v>0.9600000000000002</x:v>
      </x:c>
      <x:c r="AB919" s="15" t="n">
        <x:f>'기준스탯 72종'!F44*H919</x:f>
        <x:v>0.9600000000000002</x:v>
      </x:c>
      <x:c r="AC919" s="15" t="n">
        <x:f>'기준스탯 72종'!G44*H919</x:f>
        <x:v>0.8400000000000002</x:v>
      </x:c>
      <x:c r="AD919" s="15" t="n">
        <x:f>'기준스탯 72종'!H44*H919</x:f>
        <x:v>0.3600000000000001</x:v>
      </x:c>
      <x:c r="AE919" s="15" t="n">
        <x:f>'기준스탯 72종'!I44*H919</x:f>
        <x:v>0.4800000000000001</x:v>
      </x:c>
      <x:c r="AF919" s="15" t="n">
        <x:f>'기준스탯 72종'!J44*H919</x:f>
        <x:v>0.3600000000000001</x:v>
      </x:c>
      <x:c r="AG919" s="15" t="n">
        <x:f>'기준스탯 72종'!K44*H919</x:f>
        <x:v>0.7200000000000002</x:v>
      </x:c>
    </x:row>
    <x:row r="920" ht="28" customHeight="1">
      <x:c r="A920" s="2" t="n">
        <x:v>913</x:v>
      </x:c>
      <x:c r="B920" s="2" t="n">
        <x:v>37</x:v>
      </x:c>
      <x:c r="C920" s="2" t="str">
        <x:v>천칭자리</x:v>
      </x:c>
      <x:c r="D920" s="2" t="str">
        <x:v>기사</x:v>
      </x:c>
      <x:c r="E920" s="2" t="n">
        <x:v>3</x:v>
      </x:c>
      <x:c r="F920" s="2" t="n">
        <x:v>3</x:v>
      </x:c>
      <x:c r="G920" s="14" t="n">
        <x:f>('레벨 계산식'!$E$4-E920)*'레벨 계산식'!$B$5</x:f>
        <x:v>0.27999999999999997</x:v>
      </x:c>
      <x:c r="H920" s="14" t="n">
        <x:f>('등급 계산식'!$E$4-F920)*'등급 계산식'!$B$5</x:f>
        <x:v>0.12000000000000002</x:v>
      </x:c>
      <x:c r="I920" s="14" t="n">
        <x:f>1-G920-H920</x:f>
        <x:v>0.6</x:v>
      </x:c>
      <x:c r="J920" s="2" t="n">
        <x:f>MAX(1,ROUND('기준스탯 72종'!D44-R920-Z920,0))</x:f>
        <x:v>4</x:v>
      </x:c>
      <x:c r="K920" s="2" t="n">
        <x:f>MAX(1,ROUND('기준스탯 72종'!E44-S920-AA920,0))</x:f>
        <x:v>5</x:v>
      </x:c>
      <x:c r="L920" s="2" t="n">
        <x:f>MAX(1,ROUND('기준스탯 72종'!F44-T920-AB920,0))</x:f>
        <x:v>5</x:v>
      </x:c>
      <x:c r="M920" s="2" t="n">
        <x:f>MAX(1,ROUND('기준스탯 72종'!G44-U920-AC920,0))</x:f>
        <x:v>4</x:v>
      </x:c>
      <x:c r="N920" s="2" t="n">
        <x:f>MAX(0,ROUND('기준스탯 72종'!H44-V920-AD920,0))</x:f>
        <x:v>2</x:v>
      </x:c>
      <x:c r="O920" s="2" t="n">
        <x:f>MAX(0,ROUND('기준스탯 72종'!I44-W920-AE920,0))</x:f>
        <x:v>2</x:v>
      </x:c>
      <x:c r="P920" s="2" t="n">
        <x:f>MAX(0,ROUND('기준스탯 72종'!J44-X920-AF920,0))</x:f>
        <x:v>2</x:v>
      </x:c>
      <x:c r="Q920" s="2" t="n">
        <x:f>MAX(0,ROUND('기준스탯 72종'!K44-Y920-AG920,0))</x:f>
        <x:v>4</x:v>
      </x:c>
      <x:c r="R920" s="15" t="n">
        <x:f>'기준스탯 72종'!D44*G920</x:f>
        <x:v>1.9599999999999997</x:v>
      </x:c>
      <x:c r="S920" s="15" t="n">
        <x:f>'기준스탯 72종'!E44*G920</x:f>
        <x:v>2.2399999999999998</x:v>
      </x:c>
      <x:c r="T920" s="15" t="n">
        <x:f>'기준스탯 72종'!F44*G920</x:f>
        <x:v>2.2399999999999998</x:v>
      </x:c>
      <x:c r="U920" s="15" t="n">
        <x:f>'기준스탯 72종'!G44*G920</x:f>
        <x:v>1.9599999999999997</x:v>
      </x:c>
      <x:c r="V920" s="15" t="n">
        <x:f>'기준스탯 72종'!H44*G920</x:f>
        <x:v>0.8399999999999999</x:v>
      </x:c>
      <x:c r="W920" s="15" t="n">
        <x:f>'기준스탯 72종'!I44*G920</x:f>
        <x:v>1.1199999999999999</x:v>
      </x:c>
      <x:c r="X920" s="15" t="n">
        <x:f>'기준스탯 72종'!J44*G920</x:f>
        <x:v>0.8399999999999999</x:v>
      </x:c>
      <x:c r="Y920" s="15" t="n">
        <x:f>'기준스탯 72종'!K44*G920</x:f>
        <x:v>1.6799999999999997</x:v>
      </x:c>
      <x:c r="Z920" s="15" t="n">
        <x:f>'기준스탯 72종'!D44*H920</x:f>
        <x:v>0.8400000000000002</x:v>
      </x:c>
      <x:c r="AA920" s="15" t="n">
        <x:f>'기준스탯 72종'!E44*H920</x:f>
        <x:v>0.9600000000000002</x:v>
      </x:c>
      <x:c r="AB920" s="15" t="n">
        <x:f>'기준스탯 72종'!F44*H920</x:f>
        <x:v>0.9600000000000002</x:v>
      </x:c>
      <x:c r="AC920" s="15" t="n">
        <x:f>'기준스탯 72종'!G44*H920</x:f>
        <x:v>0.8400000000000002</x:v>
      </x:c>
      <x:c r="AD920" s="15" t="n">
        <x:f>'기준스탯 72종'!H44*H920</x:f>
        <x:v>0.3600000000000001</x:v>
      </x:c>
      <x:c r="AE920" s="15" t="n">
        <x:f>'기준스탯 72종'!I44*H920</x:f>
        <x:v>0.4800000000000001</x:v>
      </x:c>
      <x:c r="AF920" s="15" t="n">
        <x:f>'기준스탯 72종'!J44*H920</x:f>
        <x:v>0.3600000000000001</x:v>
      </x:c>
      <x:c r="AG920" s="15" t="n">
        <x:f>'기준스탯 72종'!K44*H920</x:f>
        <x:v>0.7200000000000002</x:v>
      </x:c>
    </x:row>
    <x:row r="921" ht="28" customHeight="1">
      <x:c r="A921" s="2" t="n">
        <x:v>914</x:v>
      </x:c>
      <x:c r="B921" s="2" t="n">
        <x:v>37</x:v>
      </x:c>
      <x:c r="C921" s="2" t="str">
        <x:v>천칭자리</x:v>
      </x:c>
      <x:c r="D921" s="2" t="str">
        <x:v>기사</x:v>
      </x:c>
      <x:c r="E921" s="2" t="n">
        <x:v>4</x:v>
      </x:c>
      <x:c r="F921" s="2" t="n">
        <x:v>3</x:v>
      </x:c>
      <x:c r="G921" s="14" t="n">
        <x:f>('레벨 계산식'!$E$4-E921)*'레벨 계산식'!$B$5</x:f>
        <x:v>0.13999999999999999</x:v>
      </x:c>
      <x:c r="H921" s="14" t="n">
        <x:f>('등급 계산식'!$E$4-F921)*'등급 계산식'!$B$5</x:f>
        <x:v>0.12000000000000002</x:v>
      </x:c>
      <x:c r="I921" s="14" t="n">
        <x:f>1-G921-H921</x:f>
        <x:v>0.74</x:v>
      </x:c>
      <x:c r="J921" s="2" t="n">
        <x:f>MAX(1,ROUND('기준스탯 72종'!D44-R921-Z921,0))</x:f>
        <x:v>5</x:v>
      </x:c>
      <x:c r="K921" s="2" t="n">
        <x:f>MAX(1,ROUND('기준스탯 72종'!E44-S921-AA921,0))</x:f>
        <x:v>6</x:v>
      </x:c>
      <x:c r="L921" s="2" t="n">
        <x:f>MAX(1,ROUND('기준스탯 72종'!F44-T921-AB921,0))</x:f>
        <x:v>6</x:v>
      </x:c>
      <x:c r="M921" s="2" t="n">
        <x:f>MAX(1,ROUND('기준스탯 72종'!G44-U921-AC921,0))</x:f>
        <x:v>5</x:v>
      </x:c>
      <x:c r="N921" s="2" t="n">
        <x:f>MAX(0,ROUND('기준스탯 72종'!H44-V921-AD921,0))</x:f>
        <x:v>2</x:v>
      </x:c>
      <x:c r="O921" s="2" t="n">
        <x:f>MAX(0,ROUND('기준스탯 72종'!I44-W921-AE921,0))</x:f>
        <x:v>3</x:v>
      </x:c>
      <x:c r="P921" s="2" t="n">
        <x:f>MAX(0,ROUND('기준스탯 72종'!J44-X921-AF921,0))</x:f>
        <x:v>2</x:v>
      </x:c>
      <x:c r="Q921" s="2" t="n">
        <x:f>MAX(0,ROUND('기준스탯 72종'!K44-Y921-AG921,0))</x:f>
        <x:v>4</x:v>
      </x:c>
      <x:c r="R921" s="15" t="n">
        <x:f>'기준스탯 72종'!D44*G921</x:f>
        <x:v>0.9799999999999999</x:v>
      </x:c>
      <x:c r="S921" s="15" t="n">
        <x:f>'기준스탯 72종'!E44*G921</x:f>
        <x:v>1.1199999999999999</x:v>
      </x:c>
      <x:c r="T921" s="15" t="n">
        <x:f>'기준스탯 72종'!F44*G921</x:f>
        <x:v>1.1199999999999999</x:v>
      </x:c>
      <x:c r="U921" s="15" t="n">
        <x:f>'기준스탯 72종'!G44*G921</x:f>
        <x:v>0.9799999999999999</x:v>
      </x:c>
      <x:c r="V921" s="15" t="n">
        <x:f>'기준스탯 72종'!H44*G921</x:f>
        <x:v>0.41999999999999993</x:v>
      </x:c>
      <x:c r="W921" s="15" t="n">
        <x:f>'기준스탯 72종'!I44*G921</x:f>
        <x:v>0.5599999999999999</x:v>
      </x:c>
      <x:c r="X921" s="15" t="n">
        <x:f>'기준스탯 72종'!J44*G921</x:f>
        <x:v>0.41999999999999993</x:v>
      </x:c>
      <x:c r="Y921" s="15" t="n">
        <x:f>'기준스탯 72종'!K44*G921</x:f>
        <x:v>0.8399999999999999</x:v>
      </x:c>
      <x:c r="Z921" s="15" t="n">
        <x:f>'기준스탯 72종'!D44*H921</x:f>
        <x:v>0.8400000000000002</x:v>
      </x:c>
      <x:c r="AA921" s="15" t="n">
        <x:f>'기준스탯 72종'!E44*H921</x:f>
        <x:v>0.9600000000000002</x:v>
      </x:c>
      <x:c r="AB921" s="15" t="n">
        <x:f>'기준스탯 72종'!F44*H921</x:f>
        <x:v>0.9600000000000002</x:v>
      </x:c>
      <x:c r="AC921" s="15" t="n">
        <x:f>'기준스탯 72종'!G44*H921</x:f>
        <x:v>0.8400000000000002</x:v>
      </x:c>
      <x:c r="AD921" s="15" t="n">
        <x:f>'기준스탯 72종'!H44*H921</x:f>
        <x:v>0.3600000000000001</x:v>
      </x:c>
      <x:c r="AE921" s="15" t="n">
        <x:f>'기준스탯 72종'!I44*H921</x:f>
        <x:v>0.4800000000000001</x:v>
      </x:c>
      <x:c r="AF921" s="15" t="n">
        <x:f>'기준스탯 72종'!J44*H921</x:f>
        <x:v>0.3600000000000001</x:v>
      </x:c>
      <x:c r="AG921" s="15" t="n">
        <x:f>'기준스탯 72종'!K44*H921</x:f>
        <x:v>0.7200000000000002</x:v>
      </x:c>
    </x:row>
    <x:row r="922" ht="28" customHeight="1">
      <x:c r="A922" s="2" t="n">
        <x:v>915</x:v>
      </x:c>
      <x:c r="B922" s="2" t="n">
        <x:v>37</x:v>
      </x:c>
      <x:c r="C922" s="2" t="str">
        <x:v>천칭자리</x:v>
      </x:c>
      <x:c r="D922" s="2" t="str">
        <x:v>기사</x:v>
      </x:c>
      <x:c r="E922" s="2" t="n">
        <x:v>5</x:v>
      </x:c>
      <x:c r="F922" s="2" t="n">
        <x:v>3</x:v>
      </x:c>
      <x:c r="G922" s="14" t="n">
        <x:f>('레벨 계산식'!$E$4-E922)*'레벨 계산식'!$B$5</x:f>
        <x:v>0</x:v>
      </x:c>
      <x:c r="H922" s="14" t="n">
        <x:f>('등급 계산식'!$E$4-F922)*'등급 계산식'!$B$5</x:f>
        <x:v>0.12000000000000002</x:v>
      </x:c>
      <x:c r="I922" s="14" t="n">
        <x:f>1-G922-H922</x:f>
        <x:v>0.88</x:v>
      </x:c>
      <x:c r="J922" s="2" t="n">
        <x:f>MAX(1,ROUND('기준스탯 72종'!D44-R922-Z922,0))</x:f>
        <x:v>6</x:v>
      </x:c>
      <x:c r="K922" s="2" t="n">
        <x:f>MAX(1,ROUND('기준스탯 72종'!E44-S922-AA922,0))</x:f>
        <x:v>7</x:v>
      </x:c>
      <x:c r="L922" s="2" t="n">
        <x:f>MAX(1,ROUND('기준스탯 72종'!F44-T922-AB922,0))</x:f>
        <x:v>7</x:v>
      </x:c>
      <x:c r="M922" s="2" t="n">
        <x:f>MAX(1,ROUND('기준스탯 72종'!G44-U922-AC922,0))</x:f>
        <x:v>6</x:v>
      </x:c>
      <x:c r="N922" s="2" t="n">
        <x:f>MAX(0,ROUND('기준스탯 72종'!H44-V922-AD922,0))</x:f>
        <x:v>3</x:v>
      </x:c>
      <x:c r="O922" s="2" t="n">
        <x:f>MAX(0,ROUND('기준스탯 72종'!I44-W922-AE922,0))</x:f>
        <x:v>4</x:v>
      </x:c>
      <x:c r="P922" s="2" t="n">
        <x:f>MAX(0,ROUND('기준스탯 72종'!J44-X922-AF922,0))</x:f>
        <x:v>3</x:v>
      </x:c>
      <x:c r="Q922" s="2" t="n">
        <x:f>MAX(0,ROUND('기준스탯 72종'!K44-Y922-AG922,0))</x:f>
        <x:v>5</x:v>
      </x:c>
      <x:c r="R922" s="15" t="n">
        <x:f>'기준스탯 72종'!D44*G922</x:f>
        <x:v>0</x:v>
      </x:c>
      <x:c r="S922" s="15" t="n">
        <x:f>'기준스탯 72종'!E44*G922</x:f>
        <x:v>0</x:v>
      </x:c>
      <x:c r="T922" s="15" t="n">
        <x:f>'기준스탯 72종'!F44*G922</x:f>
        <x:v>0</x:v>
      </x:c>
      <x:c r="U922" s="15" t="n">
        <x:f>'기준스탯 72종'!G44*G922</x:f>
        <x:v>0</x:v>
      </x:c>
      <x:c r="V922" s="15" t="n">
        <x:f>'기준스탯 72종'!H44*G922</x:f>
        <x:v>0</x:v>
      </x:c>
      <x:c r="W922" s="15" t="n">
        <x:f>'기준스탯 72종'!I44*G922</x:f>
        <x:v>0</x:v>
      </x:c>
      <x:c r="X922" s="15" t="n">
        <x:f>'기준스탯 72종'!J44*G922</x:f>
        <x:v>0</x:v>
      </x:c>
      <x:c r="Y922" s="15" t="n">
        <x:f>'기준스탯 72종'!K44*G922</x:f>
        <x:v>0</x:v>
      </x:c>
      <x:c r="Z922" s="15" t="n">
        <x:f>'기준스탯 72종'!D44*H922</x:f>
        <x:v>0.8400000000000002</x:v>
      </x:c>
      <x:c r="AA922" s="15" t="n">
        <x:f>'기준스탯 72종'!E44*H922</x:f>
        <x:v>0.9600000000000002</x:v>
      </x:c>
      <x:c r="AB922" s="15" t="n">
        <x:f>'기준스탯 72종'!F44*H922</x:f>
        <x:v>0.9600000000000002</x:v>
      </x:c>
      <x:c r="AC922" s="15" t="n">
        <x:f>'기준스탯 72종'!G44*H922</x:f>
        <x:v>0.8400000000000002</x:v>
      </x:c>
      <x:c r="AD922" s="15" t="n">
        <x:f>'기준스탯 72종'!H44*H922</x:f>
        <x:v>0.3600000000000001</x:v>
      </x:c>
      <x:c r="AE922" s="15" t="n">
        <x:f>'기준스탯 72종'!I44*H922</x:f>
        <x:v>0.4800000000000001</x:v>
      </x:c>
      <x:c r="AF922" s="15" t="n">
        <x:f>'기준스탯 72종'!J44*H922</x:f>
        <x:v>0.3600000000000001</x:v>
      </x:c>
      <x:c r="AG922" s="15" t="n">
        <x:f>'기준스탯 72종'!K44*H922</x:f>
        <x:v>0.7200000000000002</x:v>
      </x:c>
    </x:row>
    <x:row r="923" ht="28" customHeight="1">
      <x:c r="A923" s="2" t="n">
        <x:v>916</x:v>
      </x:c>
      <x:c r="B923" s="2" t="n">
        <x:v>37</x:v>
      </x:c>
      <x:c r="C923" s="2" t="str">
        <x:v>천칭자리</x:v>
      </x:c>
      <x:c r="D923" s="2" t="str">
        <x:v>기사</x:v>
      </x:c>
      <x:c r="E923" s="2" t="n">
        <x:v>1</x:v>
      </x:c>
      <x:c r="F923" s="2" t="n">
        <x:v>4</x:v>
      </x:c>
      <x:c r="G923" s="14" t="n">
        <x:f>('레벨 계산식'!$E$4-E923)*'레벨 계산식'!$B$5</x:f>
        <x:v>0.5599999999999999</x:v>
      </x:c>
      <x:c r="H923" s="14" t="n">
        <x:f>('등급 계산식'!$E$4-F923)*'등급 계산식'!$B$5</x:f>
        <x:v>0.06000000000000001</x:v>
      </x:c>
      <x:c r="I923" s="14" t="n">
        <x:f>1-G923-H923</x:f>
        <x:v>0.38000000000000006</x:v>
      </x:c>
      <x:c r="J923" s="2" t="n">
        <x:f>MAX(1,ROUND('기준스탯 72종'!D44-R923-Z923,0))</x:f>
        <x:v>3</x:v>
      </x:c>
      <x:c r="K923" s="2" t="n">
        <x:f>MAX(1,ROUND('기준스탯 72종'!E44-S923-AA923,0))</x:f>
        <x:v>3</x:v>
      </x:c>
      <x:c r="L923" s="2" t="n">
        <x:f>MAX(1,ROUND('기준스탯 72종'!F44-T923-AB923,0))</x:f>
        <x:v>3</x:v>
      </x:c>
      <x:c r="M923" s="2" t="n">
        <x:f>MAX(1,ROUND('기준스탯 72종'!G44-U923-AC923,0))</x:f>
        <x:v>3</x:v>
      </x:c>
      <x:c r="N923" s="2" t="n">
        <x:f>MAX(0,ROUND('기준스탯 72종'!H44-V923-AD923,0))</x:f>
        <x:v>1</x:v>
      </x:c>
      <x:c r="O923" s="2" t="n">
        <x:f>MAX(0,ROUND('기준스탯 72종'!I44-W923-AE923,0))</x:f>
        <x:v>2</x:v>
      </x:c>
      <x:c r="P923" s="2" t="n">
        <x:f>MAX(0,ROUND('기준스탯 72종'!J44-X923-AF923,0))</x:f>
        <x:v>1</x:v>
      </x:c>
      <x:c r="Q923" s="2" t="n">
        <x:f>MAX(0,ROUND('기준스탯 72종'!K44-Y923-AG923,0))</x:f>
        <x:v>2</x:v>
      </x:c>
      <x:c r="R923" s="15" t="n">
        <x:f>'기준스탯 72종'!D44*G923</x:f>
        <x:v>3.9199999999999995</x:v>
      </x:c>
      <x:c r="S923" s="15" t="n">
        <x:f>'기준스탯 72종'!E44*G923</x:f>
        <x:v>4.4799999999999995</x:v>
      </x:c>
      <x:c r="T923" s="15" t="n">
        <x:f>'기준스탯 72종'!F44*G923</x:f>
        <x:v>4.4799999999999995</x:v>
      </x:c>
      <x:c r="U923" s="15" t="n">
        <x:f>'기준스탯 72종'!G44*G923</x:f>
        <x:v>3.9199999999999995</x:v>
      </x:c>
      <x:c r="V923" s="15" t="n">
        <x:f>'기준스탯 72종'!H44*G923</x:f>
        <x:v>1.6799999999999997</x:v>
      </x:c>
      <x:c r="W923" s="15" t="n">
        <x:f>'기준스탯 72종'!I44*G923</x:f>
        <x:v>2.2399999999999998</x:v>
      </x:c>
      <x:c r="X923" s="15" t="n">
        <x:f>'기준스탯 72종'!J44*G923</x:f>
        <x:v>1.6799999999999997</x:v>
      </x:c>
      <x:c r="Y923" s="15" t="n">
        <x:f>'기준스탯 72종'!K44*G923</x:f>
        <x:v>3.3599999999999994</x:v>
      </x:c>
      <x:c r="Z923" s="15" t="n">
        <x:f>'기준스탯 72종'!D44*H923</x:f>
        <x:v>0.4200000000000001</x:v>
      </x:c>
      <x:c r="AA923" s="15" t="n">
        <x:f>'기준스탯 72종'!E44*H923</x:f>
        <x:v>0.4800000000000001</x:v>
      </x:c>
      <x:c r="AB923" s="15" t="n">
        <x:f>'기준스탯 72종'!F44*H923</x:f>
        <x:v>0.4800000000000001</x:v>
      </x:c>
      <x:c r="AC923" s="15" t="n">
        <x:f>'기준스탯 72종'!G44*H923</x:f>
        <x:v>0.4200000000000001</x:v>
      </x:c>
      <x:c r="AD923" s="15" t="n">
        <x:f>'기준스탯 72종'!H44*H923</x:f>
        <x:v>0.18000000000000005</x:v>
      </x:c>
      <x:c r="AE923" s="15" t="n">
        <x:f>'기준스탯 72종'!I44*H923</x:f>
        <x:v>0.24000000000000005</x:v>
      </x:c>
      <x:c r="AF923" s="15" t="n">
        <x:f>'기준스탯 72종'!J44*H923</x:f>
        <x:v>0.18000000000000005</x:v>
      </x:c>
      <x:c r="AG923" s="15" t="n">
        <x:f>'기준스탯 72종'!K44*H923</x:f>
        <x:v>0.3600000000000001</x:v>
      </x:c>
    </x:row>
    <x:row r="924" ht="28" customHeight="1">
      <x:c r="A924" s="2" t="n">
        <x:v>917</x:v>
      </x:c>
      <x:c r="B924" s="2" t="n">
        <x:v>37</x:v>
      </x:c>
      <x:c r="C924" s="2" t="str">
        <x:v>천칭자리</x:v>
      </x:c>
      <x:c r="D924" s="2" t="str">
        <x:v>기사</x:v>
      </x:c>
      <x:c r="E924" s="2" t="n">
        <x:v>2</x:v>
      </x:c>
      <x:c r="F924" s="2" t="n">
        <x:v>4</x:v>
      </x:c>
      <x:c r="G924" s="14" t="n">
        <x:f>('레벨 계산식'!$E$4-E924)*'레벨 계산식'!$B$5</x:f>
        <x:v>0.41999999999999993</x:v>
      </x:c>
      <x:c r="H924" s="14" t="n">
        <x:f>('등급 계산식'!$E$4-F924)*'등급 계산식'!$B$5</x:f>
        <x:v>0.06000000000000001</x:v>
      </x:c>
      <x:c r="I924" s="14" t="n">
        <x:f>1-G924-H924</x:f>
        <x:v>0.52</x:v>
      </x:c>
      <x:c r="J924" s="2" t="n">
        <x:f>MAX(1,ROUND('기준스탯 72종'!D44-R924-Z924,0))</x:f>
        <x:v>4</x:v>
      </x:c>
      <x:c r="K924" s="2" t="n">
        <x:f>MAX(1,ROUND('기준스탯 72종'!E44-S924-AA924,0))</x:f>
        <x:v>4</x:v>
      </x:c>
      <x:c r="L924" s="2" t="n">
        <x:f>MAX(1,ROUND('기준스탯 72종'!F44-T924-AB924,0))</x:f>
        <x:v>4</x:v>
      </x:c>
      <x:c r="M924" s="2" t="n">
        <x:f>MAX(1,ROUND('기준스탯 72종'!G44-U924-AC924,0))</x:f>
        <x:v>4</x:v>
      </x:c>
      <x:c r="N924" s="2" t="n">
        <x:f>MAX(0,ROUND('기준스탯 72종'!H44-V924-AD924,0))</x:f>
        <x:v>2</x:v>
      </x:c>
      <x:c r="O924" s="2" t="n">
        <x:f>MAX(0,ROUND('기준스탯 72종'!I44-W924-AE924,0))</x:f>
        <x:v>2</x:v>
      </x:c>
      <x:c r="P924" s="2" t="n">
        <x:f>MAX(0,ROUND('기준스탯 72종'!J44-X924-AF924,0))</x:f>
        <x:v>2</x:v>
      </x:c>
      <x:c r="Q924" s="2" t="n">
        <x:f>MAX(0,ROUND('기준스탯 72종'!K44-Y924-AG924,0))</x:f>
        <x:v>3</x:v>
      </x:c>
      <x:c r="R924" s="15" t="n">
        <x:f>'기준스탯 72종'!D44*G924</x:f>
        <x:v>2.9399999999999995</x:v>
      </x:c>
      <x:c r="S924" s="15" t="n">
        <x:f>'기준스탯 72종'!E44*G924</x:f>
        <x:v>3.3599999999999994</x:v>
      </x:c>
      <x:c r="T924" s="15" t="n">
        <x:f>'기준스탯 72종'!F44*G924</x:f>
        <x:v>3.3599999999999994</x:v>
      </x:c>
      <x:c r="U924" s="15" t="n">
        <x:f>'기준스탯 72종'!G44*G924</x:f>
        <x:v>2.9399999999999995</x:v>
      </x:c>
      <x:c r="V924" s="15" t="n">
        <x:f>'기준스탯 72종'!H44*G924</x:f>
        <x:v>1.2599999999999998</x:v>
      </x:c>
      <x:c r="W924" s="15" t="n">
        <x:f>'기준스탯 72종'!I44*G924</x:f>
        <x:v>1.6799999999999997</x:v>
      </x:c>
      <x:c r="X924" s="15" t="n">
        <x:f>'기준스탯 72종'!J44*G924</x:f>
        <x:v>1.2599999999999998</x:v>
      </x:c>
      <x:c r="Y924" s="15" t="n">
        <x:f>'기준스탯 72종'!K44*G924</x:f>
        <x:v>2.5199999999999996</x:v>
      </x:c>
      <x:c r="Z924" s="15" t="n">
        <x:f>'기준스탯 72종'!D44*H924</x:f>
        <x:v>0.4200000000000001</x:v>
      </x:c>
      <x:c r="AA924" s="15" t="n">
        <x:f>'기준스탯 72종'!E44*H924</x:f>
        <x:v>0.4800000000000001</x:v>
      </x:c>
      <x:c r="AB924" s="15" t="n">
        <x:f>'기준스탯 72종'!F44*H924</x:f>
        <x:v>0.4800000000000001</x:v>
      </x:c>
      <x:c r="AC924" s="15" t="n">
        <x:f>'기준스탯 72종'!G44*H924</x:f>
        <x:v>0.4200000000000001</x:v>
      </x:c>
      <x:c r="AD924" s="15" t="n">
        <x:f>'기준스탯 72종'!H44*H924</x:f>
        <x:v>0.18000000000000005</x:v>
      </x:c>
      <x:c r="AE924" s="15" t="n">
        <x:f>'기준스탯 72종'!I44*H924</x:f>
        <x:v>0.24000000000000005</x:v>
      </x:c>
      <x:c r="AF924" s="15" t="n">
        <x:f>'기준스탯 72종'!J44*H924</x:f>
        <x:v>0.18000000000000005</x:v>
      </x:c>
      <x:c r="AG924" s="15" t="n">
        <x:f>'기준스탯 72종'!K44*H924</x:f>
        <x:v>0.3600000000000001</x:v>
      </x:c>
    </x:row>
    <x:row r="925" ht="28" customHeight="1">
      <x:c r="A925" s="2" t="n">
        <x:v>918</x:v>
      </x:c>
      <x:c r="B925" s="2" t="n">
        <x:v>37</x:v>
      </x:c>
      <x:c r="C925" s="2" t="str">
        <x:v>천칭자리</x:v>
      </x:c>
      <x:c r="D925" s="2" t="str">
        <x:v>기사</x:v>
      </x:c>
      <x:c r="E925" s="2" t="n">
        <x:v>3</x:v>
      </x:c>
      <x:c r="F925" s="2" t="n">
        <x:v>4</x:v>
      </x:c>
      <x:c r="G925" s="14" t="n">
        <x:f>('레벨 계산식'!$E$4-E925)*'레벨 계산식'!$B$5</x:f>
        <x:v>0.27999999999999997</x:v>
      </x:c>
      <x:c r="H925" s="14" t="n">
        <x:f>('등급 계산식'!$E$4-F925)*'등급 계산식'!$B$5</x:f>
        <x:v>0.06000000000000001</x:v>
      </x:c>
      <x:c r="I925" s="14" t="n">
        <x:f>1-G925-H925</x:f>
        <x:v>0.6599999999999999</x:v>
      </x:c>
      <x:c r="J925" s="2" t="n">
        <x:f>MAX(1,ROUND('기준스탯 72종'!D44-R925-Z925,0))</x:f>
        <x:v>5</x:v>
      </x:c>
      <x:c r="K925" s="2" t="n">
        <x:f>MAX(1,ROUND('기준스탯 72종'!E44-S925-AA925,0))</x:f>
        <x:v>5</x:v>
      </x:c>
      <x:c r="L925" s="2" t="n">
        <x:f>MAX(1,ROUND('기준스탯 72종'!F44-T925-AB925,0))</x:f>
        <x:v>5</x:v>
      </x:c>
      <x:c r="M925" s="2" t="n">
        <x:f>MAX(1,ROUND('기준스탯 72종'!G44-U925-AC925,0))</x:f>
        <x:v>5</x:v>
      </x:c>
      <x:c r="N925" s="2" t="n">
        <x:f>MAX(0,ROUND('기준스탯 72종'!H44-V925-AD925,0))</x:f>
        <x:v>2</x:v>
      </x:c>
      <x:c r="O925" s="2" t="n">
        <x:f>MAX(0,ROUND('기준스탯 72종'!I44-W925-AE925,0))</x:f>
        <x:v>3</x:v>
      </x:c>
      <x:c r="P925" s="2" t="n">
        <x:f>MAX(0,ROUND('기준스탯 72종'!J44-X925-AF925,0))</x:f>
        <x:v>2</x:v>
      </x:c>
      <x:c r="Q925" s="2" t="n">
        <x:f>MAX(0,ROUND('기준스탯 72종'!K44-Y925-AG925,0))</x:f>
        <x:v>4</x:v>
      </x:c>
      <x:c r="R925" s="15" t="n">
        <x:f>'기준스탯 72종'!D44*G925</x:f>
        <x:v>1.9599999999999997</x:v>
      </x:c>
      <x:c r="S925" s="15" t="n">
        <x:f>'기준스탯 72종'!E44*G925</x:f>
        <x:v>2.2399999999999998</x:v>
      </x:c>
      <x:c r="T925" s="15" t="n">
        <x:f>'기준스탯 72종'!F44*G925</x:f>
        <x:v>2.2399999999999998</x:v>
      </x:c>
      <x:c r="U925" s="15" t="n">
        <x:f>'기준스탯 72종'!G44*G925</x:f>
        <x:v>1.9599999999999997</x:v>
      </x:c>
      <x:c r="V925" s="15" t="n">
        <x:f>'기준스탯 72종'!H44*G925</x:f>
        <x:v>0.8399999999999999</x:v>
      </x:c>
      <x:c r="W925" s="15" t="n">
        <x:f>'기준스탯 72종'!I44*G925</x:f>
        <x:v>1.1199999999999999</x:v>
      </x:c>
      <x:c r="X925" s="15" t="n">
        <x:f>'기준스탯 72종'!J44*G925</x:f>
        <x:v>0.8399999999999999</x:v>
      </x:c>
      <x:c r="Y925" s="15" t="n">
        <x:f>'기준스탯 72종'!K44*G925</x:f>
        <x:v>1.6799999999999997</x:v>
      </x:c>
      <x:c r="Z925" s="15" t="n">
        <x:f>'기준스탯 72종'!D44*H925</x:f>
        <x:v>0.4200000000000001</x:v>
      </x:c>
      <x:c r="AA925" s="15" t="n">
        <x:f>'기준스탯 72종'!E44*H925</x:f>
        <x:v>0.4800000000000001</x:v>
      </x:c>
      <x:c r="AB925" s="15" t="n">
        <x:f>'기준스탯 72종'!F44*H925</x:f>
        <x:v>0.4800000000000001</x:v>
      </x:c>
      <x:c r="AC925" s="15" t="n">
        <x:f>'기준스탯 72종'!G44*H925</x:f>
        <x:v>0.4200000000000001</x:v>
      </x:c>
      <x:c r="AD925" s="15" t="n">
        <x:f>'기준스탯 72종'!H44*H925</x:f>
        <x:v>0.18000000000000005</x:v>
      </x:c>
      <x:c r="AE925" s="15" t="n">
        <x:f>'기준스탯 72종'!I44*H925</x:f>
        <x:v>0.24000000000000005</x:v>
      </x:c>
      <x:c r="AF925" s="15" t="n">
        <x:f>'기준스탯 72종'!J44*H925</x:f>
        <x:v>0.18000000000000005</x:v>
      </x:c>
      <x:c r="AG925" s="15" t="n">
        <x:f>'기준스탯 72종'!K44*H925</x:f>
        <x:v>0.3600000000000001</x:v>
      </x:c>
    </x:row>
    <x:row r="926" ht="28" customHeight="1">
      <x:c r="A926" s="2" t="n">
        <x:v>919</x:v>
      </x:c>
      <x:c r="B926" s="2" t="n">
        <x:v>37</x:v>
      </x:c>
      <x:c r="C926" s="2" t="str">
        <x:v>천칭자리</x:v>
      </x:c>
      <x:c r="D926" s="2" t="str">
        <x:v>기사</x:v>
      </x:c>
      <x:c r="E926" s="2" t="n">
        <x:v>4</x:v>
      </x:c>
      <x:c r="F926" s="2" t="n">
        <x:v>4</x:v>
      </x:c>
      <x:c r="G926" s="14" t="n">
        <x:f>('레벨 계산식'!$E$4-E926)*'레벨 계산식'!$B$5</x:f>
        <x:v>0.13999999999999999</x:v>
      </x:c>
      <x:c r="H926" s="14" t="n">
        <x:f>('등급 계산식'!$E$4-F926)*'등급 계산식'!$B$5</x:f>
        <x:v>0.06000000000000001</x:v>
      </x:c>
      <x:c r="I926" s="14" t="n">
        <x:f>1-G926-H926</x:f>
        <x:v>0.7999999999999999</x:v>
      </x:c>
      <x:c r="J926" s="2" t="n">
        <x:f>MAX(1,ROUND('기준스탯 72종'!D44-R926-Z926,0))</x:f>
        <x:v>6</x:v>
      </x:c>
      <x:c r="K926" s="2" t="n">
        <x:f>MAX(1,ROUND('기준스탯 72종'!E44-S926-AA926,0))</x:f>
        <x:v>6</x:v>
      </x:c>
      <x:c r="L926" s="2" t="n">
        <x:f>MAX(1,ROUND('기준스탯 72종'!F44-T926-AB926,0))</x:f>
        <x:v>6</x:v>
      </x:c>
      <x:c r="M926" s="2" t="n">
        <x:f>MAX(1,ROUND('기준스탯 72종'!G44-U926-AC926,0))</x:f>
        <x:v>6</x:v>
      </x:c>
      <x:c r="N926" s="2" t="n">
        <x:f>MAX(0,ROUND('기준스탯 72종'!H44-V926-AD926,0))</x:f>
        <x:v>2</x:v>
      </x:c>
      <x:c r="O926" s="2" t="n">
        <x:f>MAX(0,ROUND('기준스탯 72종'!I44-W926-AE926,0))</x:f>
        <x:v>3</x:v>
      </x:c>
      <x:c r="P926" s="2" t="n">
        <x:f>MAX(0,ROUND('기준스탯 72종'!J44-X926-AF926,0))</x:f>
        <x:v>2</x:v>
      </x:c>
      <x:c r="Q926" s="2" t="n">
        <x:f>MAX(0,ROUND('기준스탯 72종'!K44-Y926-AG926,0))</x:f>
        <x:v>5</x:v>
      </x:c>
      <x:c r="R926" s="15" t="n">
        <x:f>'기준스탯 72종'!D44*G926</x:f>
        <x:v>0.9799999999999999</x:v>
      </x:c>
      <x:c r="S926" s="15" t="n">
        <x:f>'기준스탯 72종'!E44*G926</x:f>
        <x:v>1.1199999999999999</x:v>
      </x:c>
      <x:c r="T926" s="15" t="n">
        <x:f>'기준스탯 72종'!F44*G926</x:f>
        <x:v>1.1199999999999999</x:v>
      </x:c>
      <x:c r="U926" s="15" t="n">
        <x:f>'기준스탯 72종'!G44*G926</x:f>
        <x:v>0.9799999999999999</x:v>
      </x:c>
      <x:c r="V926" s="15" t="n">
        <x:f>'기준스탯 72종'!H44*G926</x:f>
        <x:v>0.41999999999999993</x:v>
      </x:c>
      <x:c r="W926" s="15" t="n">
        <x:f>'기준스탯 72종'!I44*G926</x:f>
        <x:v>0.5599999999999999</x:v>
      </x:c>
      <x:c r="X926" s="15" t="n">
        <x:f>'기준스탯 72종'!J44*G926</x:f>
        <x:v>0.41999999999999993</x:v>
      </x:c>
      <x:c r="Y926" s="15" t="n">
        <x:f>'기준스탯 72종'!K44*G926</x:f>
        <x:v>0.8399999999999999</x:v>
      </x:c>
      <x:c r="Z926" s="15" t="n">
        <x:f>'기준스탯 72종'!D44*H926</x:f>
        <x:v>0.4200000000000001</x:v>
      </x:c>
      <x:c r="AA926" s="15" t="n">
        <x:f>'기준스탯 72종'!E44*H926</x:f>
        <x:v>0.4800000000000001</x:v>
      </x:c>
      <x:c r="AB926" s="15" t="n">
        <x:f>'기준스탯 72종'!F44*H926</x:f>
        <x:v>0.4800000000000001</x:v>
      </x:c>
      <x:c r="AC926" s="15" t="n">
        <x:f>'기준스탯 72종'!G44*H926</x:f>
        <x:v>0.4200000000000001</x:v>
      </x:c>
      <x:c r="AD926" s="15" t="n">
        <x:f>'기준스탯 72종'!H44*H926</x:f>
        <x:v>0.18000000000000005</x:v>
      </x:c>
      <x:c r="AE926" s="15" t="n">
        <x:f>'기준스탯 72종'!I44*H926</x:f>
        <x:v>0.24000000000000005</x:v>
      </x:c>
      <x:c r="AF926" s="15" t="n">
        <x:f>'기준스탯 72종'!J44*H926</x:f>
        <x:v>0.18000000000000005</x:v>
      </x:c>
      <x:c r="AG926" s="15" t="n">
        <x:f>'기준스탯 72종'!K44*H926</x:f>
        <x:v>0.3600000000000001</x:v>
      </x:c>
    </x:row>
    <x:row r="927" ht="28" customHeight="1">
      <x:c r="A927" s="2" t="n">
        <x:v>920</x:v>
      </x:c>
      <x:c r="B927" s="2" t="n">
        <x:v>37</x:v>
      </x:c>
      <x:c r="C927" s="2" t="str">
        <x:v>천칭자리</x:v>
      </x:c>
      <x:c r="D927" s="2" t="str">
        <x:v>기사</x:v>
      </x:c>
      <x:c r="E927" s="2" t="n">
        <x:v>5</x:v>
      </x:c>
      <x:c r="F927" s="2" t="n">
        <x:v>4</x:v>
      </x:c>
      <x:c r="G927" s="14" t="n">
        <x:f>('레벨 계산식'!$E$4-E927)*'레벨 계산식'!$B$5</x:f>
        <x:v>0</x:v>
      </x:c>
      <x:c r="H927" s="14" t="n">
        <x:f>('등급 계산식'!$E$4-F927)*'등급 계산식'!$B$5</x:f>
        <x:v>0.06000000000000001</x:v>
      </x:c>
      <x:c r="I927" s="14" t="n">
        <x:f>1-G927-H927</x:f>
        <x:v>0.94</x:v>
      </x:c>
      <x:c r="J927" s="2" t="n">
        <x:f>MAX(1,ROUND('기준스탯 72종'!D44-R927-Z927,0))</x:f>
        <x:v>7</x:v>
      </x:c>
      <x:c r="K927" s="2" t="n">
        <x:f>MAX(1,ROUND('기준스탯 72종'!E44-S927-AA927,0))</x:f>
        <x:v>8</x:v>
      </x:c>
      <x:c r="L927" s="2" t="n">
        <x:f>MAX(1,ROUND('기준스탯 72종'!F44-T927-AB927,0))</x:f>
        <x:v>8</x:v>
      </x:c>
      <x:c r="M927" s="2" t="n">
        <x:f>MAX(1,ROUND('기준스탯 72종'!G44-U927-AC927,0))</x:f>
        <x:v>7</x:v>
      </x:c>
      <x:c r="N927" s="2" t="n">
        <x:f>MAX(0,ROUND('기준스탯 72종'!H44-V927-AD927,0))</x:f>
        <x:v>3</x:v>
      </x:c>
      <x:c r="O927" s="2" t="n">
        <x:f>MAX(0,ROUND('기준스탯 72종'!I44-W927-AE927,0))</x:f>
        <x:v>4</x:v>
      </x:c>
      <x:c r="P927" s="2" t="n">
        <x:f>MAX(0,ROUND('기준스탯 72종'!J44-X927-AF927,0))</x:f>
        <x:v>3</x:v>
      </x:c>
      <x:c r="Q927" s="2" t="n">
        <x:f>MAX(0,ROUND('기준스탯 72종'!K44-Y927-AG927,0))</x:f>
        <x:v>6</x:v>
      </x:c>
      <x:c r="R927" s="15" t="n">
        <x:f>'기준스탯 72종'!D44*G927</x:f>
        <x:v>0</x:v>
      </x:c>
      <x:c r="S927" s="15" t="n">
        <x:f>'기준스탯 72종'!E44*G927</x:f>
        <x:v>0</x:v>
      </x:c>
      <x:c r="T927" s="15" t="n">
        <x:f>'기준스탯 72종'!F44*G927</x:f>
        <x:v>0</x:v>
      </x:c>
      <x:c r="U927" s="15" t="n">
        <x:f>'기준스탯 72종'!G44*G927</x:f>
        <x:v>0</x:v>
      </x:c>
      <x:c r="V927" s="15" t="n">
        <x:f>'기준스탯 72종'!H44*G927</x:f>
        <x:v>0</x:v>
      </x:c>
      <x:c r="W927" s="15" t="n">
        <x:f>'기준스탯 72종'!I44*G927</x:f>
        <x:v>0</x:v>
      </x:c>
      <x:c r="X927" s="15" t="n">
        <x:f>'기준스탯 72종'!J44*G927</x:f>
        <x:v>0</x:v>
      </x:c>
      <x:c r="Y927" s="15" t="n">
        <x:f>'기준스탯 72종'!K44*G927</x:f>
        <x:v>0</x:v>
      </x:c>
      <x:c r="Z927" s="15" t="n">
        <x:f>'기준스탯 72종'!D44*H927</x:f>
        <x:v>0.4200000000000001</x:v>
      </x:c>
      <x:c r="AA927" s="15" t="n">
        <x:f>'기준스탯 72종'!E44*H927</x:f>
        <x:v>0.4800000000000001</x:v>
      </x:c>
      <x:c r="AB927" s="15" t="n">
        <x:f>'기준스탯 72종'!F44*H927</x:f>
        <x:v>0.4800000000000001</x:v>
      </x:c>
      <x:c r="AC927" s="15" t="n">
        <x:f>'기준스탯 72종'!G44*H927</x:f>
        <x:v>0.4200000000000001</x:v>
      </x:c>
      <x:c r="AD927" s="15" t="n">
        <x:f>'기준스탯 72종'!H44*H927</x:f>
        <x:v>0.18000000000000005</x:v>
      </x:c>
      <x:c r="AE927" s="15" t="n">
        <x:f>'기준스탯 72종'!I44*H927</x:f>
        <x:v>0.24000000000000005</x:v>
      </x:c>
      <x:c r="AF927" s="15" t="n">
        <x:f>'기준스탯 72종'!J44*H927</x:f>
        <x:v>0.18000000000000005</x:v>
      </x:c>
      <x:c r="AG927" s="15" t="n">
        <x:f>'기준스탯 72종'!K44*H927</x:f>
        <x:v>0.3600000000000001</x:v>
      </x:c>
    </x:row>
    <x:row r="928" ht="28" customHeight="1">
      <x:c r="A928" s="2" t="n">
        <x:v>921</x:v>
      </x:c>
      <x:c r="B928" s="2" t="n">
        <x:v>37</x:v>
      </x:c>
      <x:c r="C928" s="2" t="str">
        <x:v>천칭자리</x:v>
      </x:c>
      <x:c r="D928" s="2" t="str">
        <x:v>기사</x:v>
      </x:c>
      <x:c r="E928" s="2" t="n">
        <x:v>1</x:v>
      </x:c>
      <x:c r="F928" s="2" t="n">
        <x:v>5</x:v>
      </x:c>
      <x:c r="G928" s="14" t="n">
        <x:f>('레벨 계산식'!$E$4-E928)*'레벨 계산식'!$B$5</x:f>
        <x:v>0.5599999999999999</x:v>
      </x:c>
      <x:c r="H928" s="14" t="n">
        <x:f>('등급 계산식'!$E$4-F928)*'등급 계산식'!$B$5</x:f>
        <x:v>0</x:v>
      </x:c>
      <x:c r="I928" s="14" t="n">
        <x:f>1-G928-H928</x:f>
        <x:v>0.44000000000000006</x:v>
      </x:c>
      <x:c r="J928" s="2" t="n">
        <x:f>MAX(1,ROUND('기준스탯 72종'!D44-R928-Z928,0))</x:f>
        <x:v>3</x:v>
      </x:c>
      <x:c r="K928" s="2" t="n">
        <x:f>MAX(1,ROUND('기준스탯 72종'!E44-S928-AA928,0))</x:f>
        <x:v>4</x:v>
      </x:c>
      <x:c r="L928" s="2" t="n">
        <x:f>MAX(1,ROUND('기준스탯 72종'!F44-T928-AB928,0))</x:f>
        <x:v>4</x:v>
      </x:c>
      <x:c r="M928" s="2" t="n">
        <x:f>MAX(1,ROUND('기준스탯 72종'!G44-U928-AC928,0))</x:f>
        <x:v>3</x:v>
      </x:c>
      <x:c r="N928" s="2" t="n">
        <x:f>MAX(0,ROUND('기준스탯 72종'!H44-V928-AD928,0))</x:f>
        <x:v>1</x:v>
      </x:c>
      <x:c r="O928" s="2" t="n">
        <x:f>MAX(0,ROUND('기준스탯 72종'!I44-W928-AE928,0))</x:f>
        <x:v>2</x:v>
      </x:c>
      <x:c r="P928" s="2" t="n">
        <x:f>MAX(0,ROUND('기준스탯 72종'!J44-X928-AF928,0))</x:f>
        <x:v>1</x:v>
      </x:c>
      <x:c r="Q928" s="2" t="n">
        <x:f>MAX(0,ROUND('기준스탯 72종'!K44-Y928-AG928,0))</x:f>
        <x:v>3</x:v>
      </x:c>
      <x:c r="R928" s="15" t="n">
        <x:f>'기준스탯 72종'!D44*G928</x:f>
        <x:v>3.9199999999999995</x:v>
      </x:c>
      <x:c r="S928" s="15" t="n">
        <x:f>'기준스탯 72종'!E44*G928</x:f>
        <x:v>4.4799999999999995</x:v>
      </x:c>
      <x:c r="T928" s="15" t="n">
        <x:f>'기준스탯 72종'!F44*G928</x:f>
        <x:v>4.4799999999999995</x:v>
      </x:c>
      <x:c r="U928" s="15" t="n">
        <x:f>'기준스탯 72종'!G44*G928</x:f>
        <x:v>3.9199999999999995</x:v>
      </x:c>
      <x:c r="V928" s="15" t="n">
        <x:f>'기준스탯 72종'!H44*G928</x:f>
        <x:v>1.6799999999999997</x:v>
      </x:c>
      <x:c r="W928" s="15" t="n">
        <x:f>'기준스탯 72종'!I44*G928</x:f>
        <x:v>2.2399999999999998</x:v>
      </x:c>
      <x:c r="X928" s="15" t="n">
        <x:f>'기준스탯 72종'!J44*G928</x:f>
        <x:v>1.6799999999999997</x:v>
      </x:c>
      <x:c r="Y928" s="15" t="n">
        <x:f>'기준스탯 72종'!K44*G928</x:f>
        <x:v>3.3599999999999994</x:v>
      </x:c>
      <x:c r="Z928" s="15" t="n">
        <x:f>'기준스탯 72종'!D44*H928</x:f>
        <x:v>0</x:v>
      </x:c>
      <x:c r="AA928" s="15" t="n">
        <x:f>'기준스탯 72종'!E44*H928</x:f>
        <x:v>0</x:v>
      </x:c>
      <x:c r="AB928" s="15" t="n">
        <x:f>'기준스탯 72종'!F44*H928</x:f>
        <x:v>0</x:v>
      </x:c>
      <x:c r="AC928" s="15" t="n">
        <x:f>'기준스탯 72종'!G44*H928</x:f>
        <x:v>0</x:v>
      </x:c>
      <x:c r="AD928" s="15" t="n">
        <x:f>'기준스탯 72종'!H44*H928</x:f>
        <x:v>0</x:v>
      </x:c>
      <x:c r="AE928" s="15" t="n">
        <x:f>'기준스탯 72종'!I44*H928</x:f>
        <x:v>0</x:v>
      </x:c>
      <x:c r="AF928" s="15" t="n">
        <x:f>'기준스탯 72종'!J44*H928</x:f>
        <x:v>0</x:v>
      </x:c>
      <x:c r="AG928" s="15" t="n">
        <x:f>'기준스탯 72종'!K44*H928</x:f>
        <x:v>0</x:v>
      </x:c>
    </x:row>
    <x:row r="929" ht="28" customHeight="1">
      <x:c r="A929" s="2" t="n">
        <x:v>922</x:v>
      </x:c>
      <x:c r="B929" s="2" t="n">
        <x:v>37</x:v>
      </x:c>
      <x:c r="C929" s="2" t="str">
        <x:v>천칭자리</x:v>
      </x:c>
      <x:c r="D929" s="2" t="str">
        <x:v>기사</x:v>
      </x:c>
      <x:c r="E929" s="2" t="n">
        <x:v>2</x:v>
      </x:c>
      <x:c r="F929" s="2" t="n">
        <x:v>5</x:v>
      </x:c>
      <x:c r="G929" s="14" t="n">
        <x:f>('레벨 계산식'!$E$4-E929)*'레벨 계산식'!$B$5</x:f>
        <x:v>0.41999999999999993</x:v>
      </x:c>
      <x:c r="H929" s="14" t="n">
        <x:f>('등급 계산식'!$E$4-F929)*'등급 계산식'!$B$5</x:f>
        <x:v>0</x:v>
      </x:c>
      <x:c r="I929" s="14" t="n">
        <x:f>1-G929-H929</x:f>
        <x:v>0.5800000000000001</x:v>
      </x:c>
      <x:c r="J929" s="2" t="n">
        <x:f>MAX(1,ROUND('기준스탯 72종'!D44-R929-Z929,0))</x:f>
        <x:v>4</x:v>
      </x:c>
      <x:c r="K929" s="2" t="n">
        <x:f>MAX(1,ROUND('기준스탯 72종'!E44-S929-AA929,0))</x:f>
        <x:v>5</x:v>
      </x:c>
      <x:c r="L929" s="2" t="n">
        <x:f>MAX(1,ROUND('기준스탯 72종'!F44-T929-AB929,0))</x:f>
        <x:v>5</x:v>
      </x:c>
      <x:c r="M929" s="2" t="n">
        <x:f>MAX(1,ROUND('기준스탯 72종'!G44-U929-AC929,0))</x:f>
        <x:v>4</x:v>
      </x:c>
      <x:c r="N929" s="2" t="n">
        <x:f>MAX(0,ROUND('기준스탯 72종'!H44-V929-AD929,0))</x:f>
        <x:v>2</x:v>
      </x:c>
      <x:c r="O929" s="2" t="n">
        <x:f>MAX(0,ROUND('기준스탯 72종'!I44-W929-AE929,0))</x:f>
        <x:v>2</x:v>
      </x:c>
      <x:c r="P929" s="2" t="n">
        <x:f>MAX(0,ROUND('기준스탯 72종'!J44-X929-AF929,0))</x:f>
        <x:v>2</x:v>
      </x:c>
      <x:c r="Q929" s="2" t="n">
        <x:f>MAX(0,ROUND('기준스탯 72종'!K44-Y929-AG929,0))</x:f>
        <x:v>3</x:v>
      </x:c>
      <x:c r="R929" s="15" t="n">
        <x:f>'기준스탯 72종'!D44*G929</x:f>
        <x:v>2.9399999999999995</x:v>
      </x:c>
      <x:c r="S929" s="15" t="n">
        <x:f>'기준스탯 72종'!E44*G929</x:f>
        <x:v>3.3599999999999994</x:v>
      </x:c>
      <x:c r="T929" s="15" t="n">
        <x:f>'기준스탯 72종'!F44*G929</x:f>
        <x:v>3.3599999999999994</x:v>
      </x:c>
      <x:c r="U929" s="15" t="n">
        <x:f>'기준스탯 72종'!G44*G929</x:f>
        <x:v>2.9399999999999995</x:v>
      </x:c>
      <x:c r="V929" s="15" t="n">
        <x:f>'기준스탯 72종'!H44*G929</x:f>
        <x:v>1.2599999999999998</x:v>
      </x:c>
      <x:c r="W929" s="15" t="n">
        <x:f>'기준스탯 72종'!I44*G929</x:f>
        <x:v>1.6799999999999997</x:v>
      </x:c>
      <x:c r="X929" s="15" t="n">
        <x:f>'기준스탯 72종'!J44*G929</x:f>
        <x:v>1.2599999999999998</x:v>
      </x:c>
      <x:c r="Y929" s="15" t="n">
        <x:f>'기준스탯 72종'!K44*G929</x:f>
        <x:v>2.5199999999999996</x:v>
      </x:c>
      <x:c r="Z929" s="15" t="n">
        <x:f>'기준스탯 72종'!D44*H929</x:f>
        <x:v>0</x:v>
      </x:c>
      <x:c r="AA929" s="15" t="n">
        <x:f>'기준스탯 72종'!E44*H929</x:f>
        <x:v>0</x:v>
      </x:c>
      <x:c r="AB929" s="15" t="n">
        <x:f>'기준스탯 72종'!F44*H929</x:f>
        <x:v>0</x:v>
      </x:c>
      <x:c r="AC929" s="15" t="n">
        <x:f>'기준스탯 72종'!G44*H929</x:f>
        <x:v>0</x:v>
      </x:c>
      <x:c r="AD929" s="15" t="n">
        <x:f>'기준스탯 72종'!H44*H929</x:f>
        <x:v>0</x:v>
      </x:c>
      <x:c r="AE929" s="15" t="n">
        <x:f>'기준스탯 72종'!I44*H929</x:f>
        <x:v>0</x:v>
      </x:c>
      <x:c r="AF929" s="15" t="n">
        <x:f>'기준스탯 72종'!J44*H929</x:f>
        <x:v>0</x:v>
      </x:c>
      <x:c r="AG929" s="15" t="n">
        <x:f>'기준스탯 72종'!K44*H929</x:f>
        <x:v>0</x:v>
      </x:c>
    </x:row>
    <x:row r="930" ht="28" customHeight="1">
      <x:c r="A930" s="2" t="n">
        <x:v>923</x:v>
      </x:c>
      <x:c r="B930" s="2" t="n">
        <x:v>37</x:v>
      </x:c>
      <x:c r="C930" s="2" t="str">
        <x:v>천칭자리</x:v>
      </x:c>
      <x:c r="D930" s="2" t="str">
        <x:v>기사</x:v>
      </x:c>
      <x:c r="E930" s="2" t="n">
        <x:v>3</x:v>
      </x:c>
      <x:c r="F930" s="2" t="n">
        <x:v>5</x:v>
      </x:c>
      <x:c r="G930" s="14" t="n">
        <x:f>('레벨 계산식'!$E$4-E930)*'레벨 계산식'!$B$5</x:f>
        <x:v>0.27999999999999997</x:v>
      </x:c>
      <x:c r="H930" s="14" t="n">
        <x:f>('등급 계산식'!$E$4-F930)*'등급 계산식'!$B$5</x:f>
        <x:v>0</x:v>
      </x:c>
      <x:c r="I930" s="14" t="n">
        <x:f>1-G930-H930</x:f>
        <x:v>0.72</x:v>
      </x:c>
      <x:c r="J930" s="2" t="n">
        <x:f>MAX(1,ROUND('기준스탯 72종'!D44-R930-Z930,0))</x:f>
        <x:v>5</x:v>
      </x:c>
      <x:c r="K930" s="2" t="n">
        <x:f>MAX(1,ROUND('기준스탯 72종'!E44-S930-AA930,0))</x:f>
        <x:v>6</x:v>
      </x:c>
      <x:c r="L930" s="2" t="n">
        <x:f>MAX(1,ROUND('기준스탯 72종'!F44-T930-AB930,0))</x:f>
        <x:v>6</x:v>
      </x:c>
      <x:c r="M930" s="2" t="n">
        <x:f>MAX(1,ROUND('기준스탯 72종'!G44-U930-AC930,0))</x:f>
        <x:v>5</x:v>
      </x:c>
      <x:c r="N930" s="2" t="n">
        <x:f>MAX(0,ROUND('기준스탯 72종'!H44-V930-AD930,0))</x:f>
        <x:v>2</x:v>
      </x:c>
      <x:c r="O930" s="2" t="n">
        <x:f>MAX(0,ROUND('기준스탯 72종'!I44-W930-AE930,0))</x:f>
        <x:v>3</x:v>
      </x:c>
      <x:c r="P930" s="2" t="n">
        <x:f>MAX(0,ROUND('기준스탯 72종'!J44-X930-AF930,0))</x:f>
        <x:v>2</x:v>
      </x:c>
      <x:c r="Q930" s="2" t="n">
        <x:f>MAX(0,ROUND('기준스탯 72종'!K44-Y930-AG930,0))</x:f>
        <x:v>4</x:v>
      </x:c>
      <x:c r="R930" s="15" t="n">
        <x:f>'기준스탯 72종'!D44*G930</x:f>
        <x:v>1.9599999999999997</x:v>
      </x:c>
      <x:c r="S930" s="15" t="n">
        <x:f>'기준스탯 72종'!E44*G930</x:f>
        <x:v>2.2399999999999998</x:v>
      </x:c>
      <x:c r="T930" s="15" t="n">
        <x:f>'기준스탯 72종'!F44*G930</x:f>
        <x:v>2.2399999999999998</x:v>
      </x:c>
      <x:c r="U930" s="15" t="n">
        <x:f>'기준스탯 72종'!G44*G930</x:f>
        <x:v>1.9599999999999997</x:v>
      </x:c>
      <x:c r="V930" s="15" t="n">
        <x:f>'기준스탯 72종'!H44*G930</x:f>
        <x:v>0.8399999999999999</x:v>
      </x:c>
      <x:c r="W930" s="15" t="n">
        <x:f>'기준스탯 72종'!I44*G930</x:f>
        <x:v>1.1199999999999999</x:v>
      </x:c>
      <x:c r="X930" s="15" t="n">
        <x:f>'기준스탯 72종'!J44*G930</x:f>
        <x:v>0.8399999999999999</x:v>
      </x:c>
      <x:c r="Y930" s="15" t="n">
        <x:f>'기준스탯 72종'!K44*G930</x:f>
        <x:v>1.6799999999999997</x:v>
      </x:c>
      <x:c r="Z930" s="15" t="n">
        <x:f>'기준스탯 72종'!D44*H930</x:f>
        <x:v>0</x:v>
      </x:c>
      <x:c r="AA930" s="15" t="n">
        <x:f>'기준스탯 72종'!E44*H930</x:f>
        <x:v>0</x:v>
      </x:c>
      <x:c r="AB930" s="15" t="n">
        <x:f>'기준스탯 72종'!F44*H930</x:f>
        <x:v>0</x:v>
      </x:c>
      <x:c r="AC930" s="15" t="n">
        <x:f>'기준스탯 72종'!G44*H930</x:f>
        <x:v>0</x:v>
      </x:c>
      <x:c r="AD930" s="15" t="n">
        <x:f>'기준스탯 72종'!H44*H930</x:f>
        <x:v>0</x:v>
      </x:c>
      <x:c r="AE930" s="15" t="n">
        <x:f>'기준스탯 72종'!I44*H930</x:f>
        <x:v>0</x:v>
      </x:c>
      <x:c r="AF930" s="15" t="n">
        <x:f>'기준스탯 72종'!J44*H930</x:f>
        <x:v>0</x:v>
      </x:c>
      <x:c r="AG930" s="15" t="n">
        <x:f>'기준스탯 72종'!K44*H930</x:f>
        <x:v>0</x:v>
      </x:c>
    </x:row>
    <x:row r="931" ht="28" customHeight="1">
      <x:c r="A931" s="2" t="n">
        <x:v>924</x:v>
      </x:c>
      <x:c r="B931" s="2" t="n">
        <x:v>37</x:v>
      </x:c>
      <x:c r="C931" s="2" t="str">
        <x:v>천칭자리</x:v>
      </x:c>
      <x:c r="D931" s="2" t="str">
        <x:v>기사</x:v>
      </x:c>
      <x:c r="E931" s="2" t="n">
        <x:v>4</x:v>
      </x:c>
      <x:c r="F931" s="2" t="n">
        <x:v>5</x:v>
      </x:c>
      <x:c r="G931" s="14" t="n">
        <x:f>('레벨 계산식'!$E$4-E931)*'레벨 계산식'!$B$5</x:f>
        <x:v>0.13999999999999999</x:v>
      </x:c>
      <x:c r="H931" s="14" t="n">
        <x:f>('등급 계산식'!$E$4-F931)*'등급 계산식'!$B$5</x:f>
        <x:v>0</x:v>
      </x:c>
      <x:c r="I931" s="14" t="n">
        <x:f>1-G931-H931</x:f>
        <x:v>0.86</x:v>
      </x:c>
      <x:c r="J931" s="2" t="n">
        <x:f>MAX(1,ROUND('기준스탯 72종'!D44-R931-Z931,0))</x:f>
        <x:v>6</x:v>
      </x:c>
      <x:c r="K931" s="2" t="n">
        <x:f>MAX(1,ROUND('기준스탯 72종'!E44-S931-AA931,0))</x:f>
        <x:v>7</x:v>
      </x:c>
      <x:c r="L931" s="2" t="n">
        <x:f>MAX(1,ROUND('기준스탯 72종'!F44-T931-AB931,0))</x:f>
        <x:v>7</x:v>
      </x:c>
      <x:c r="M931" s="2" t="n">
        <x:f>MAX(1,ROUND('기준스탯 72종'!G44-U931-AC931,0))</x:f>
        <x:v>6</x:v>
      </x:c>
      <x:c r="N931" s="2" t="n">
        <x:f>MAX(0,ROUND('기준스탯 72종'!H44-V931-AD931,0))</x:f>
        <x:v>3</x:v>
      </x:c>
      <x:c r="O931" s="2" t="n">
        <x:f>MAX(0,ROUND('기준스탯 72종'!I44-W931-AE931,0))</x:f>
        <x:v>3</x:v>
      </x:c>
      <x:c r="P931" s="2" t="n">
        <x:f>MAX(0,ROUND('기준스탯 72종'!J44-X931-AF931,0))</x:f>
        <x:v>3</x:v>
      </x:c>
      <x:c r="Q931" s="2" t="n">
        <x:f>MAX(0,ROUND('기준스탯 72종'!K44-Y931-AG931,0))</x:f>
        <x:v>5</x:v>
      </x:c>
      <x:c r="R931" s="15" t="n">
        <x:f>'기준스탯 72종'!D44*G931</x:f>
        <x:v>0.9799999999999999</x:v>
      </x:c>
      <x:c r="S931" s="15" t="n">
        <x:f>'기준스탯 72종'!E44*G931</x:f>
        <x:v>1.1199999999999999</x:v>
      </x:c>
      <x:c r="T931" s="15" t="n">
        <x:f>'기준스탯 72종'!F44*G931</x:f>
        <x:v>1.1199999999999999</x:v>
      </x:c>
      <x:c r="U931" s="15" t="n">
        <x:f>'기준스탯 72종'!G44*G931</x:f>
        <x:v>0.9799999999999999</x:v>
      </x:c>
      <x:c r="V931" s="15" t="n">
        <x:f>'기준스탯 72종'!H44*G931</x:f>
        <x:v>0.41999999999999993</x:v>
      </x:c>
      <x:c r="W931" s="15" t="n">
        <x:f>'기준스탯 72종'!I44*G931</x:f>
        <x:v>0.5599999999999999</x:v>
      </x:c>
      <x:c r="X931" s="15" t="n">
        <x:f>'기준스탯 72종'!J44*G931</x:f>
        <x:v>0.41999999999999993</x:v>
      </x:c>
      <x:c r="Y931" s="15" t="n">
        <x:f>'기준스탯 72종'!K44*G931</x:f>
        <x:v>0.8399999999999999</x:v>
      </x:c>
      <x:c r="Z931" s="15" t="n">
        <x:f>'기준스탯 72종'!D44*H931</x:f>
        <x:v>0</x:v>
      </x:c>
      <x:c r="AA931" s="15" t="n">
        <x:f>'기준스탯 72종'!E44*H931</x:f>
        <x:v>0</x:v>
      </x:c>
      <x:c r="AB931" s="15" t="n">
        <x:f>'기준스탯 72종'!F44*H931</x:f>
        <x:v>0</x:v>
      </x:c>
      <x:c r="AC931" s="15" t="n">
        <x:f>'기준스탯 72종'!G44*H931</x:f>
        <x:v>0</x:v>
      </x:c>
      <x:c r="AD931" s="15" t="n">
        <x:f>'기준스탯 72종'!H44*H931</x:f>
        <x:v>0</x:v>
      </x:c>
      <x:c r="AE931" s="15" t="n">
        <x:f>'기준스탯 72종'!I44*H931</x:f>
        <x:v>0</x:v>
      </x:c>
      <x:c r="AF931" s="15" t="n">
        <x:f>'기준스탯 72종'!J44*H931</x:f>
        <x:v>0</x:v>
      </x:c>
      <x:c r="AG931" s="15" t="n">
        <x:f>'기준스탯 72종'!K44*H931</x:f>
        <x:v>0</x:v>
      </x:c>
    </x:row>
    <x:row r="932" ht="28" customHeight="1">
      <x:c r="A932" s="2" t="n">
        <x:v>925</x:v>
      </x:c>
      <x:c r="B932" s="2" t="n">
        <x:v>37</x:v>
      </x:c>
      <x:c r="C932" s="2" t="str">
        <x:v>천칭자리</x:v>
      </x:c>
      <x:c r="D932" s="2" t="str">
        <x:v>기사</x:v>
      </x:c>
      <x:c r="E932" s="2" t="n">
        <x:v>5</x:v>
      </x:c>
      <x:c r="F932" s="2" t="n">
        <x:v>5</x:v>
      </x:c>
      <x:c r="G932" s="14" t="n">
        <x:f>('레벨 계산식'!$E$4-E932)*'레벨 계산식'!$B$5</x:f>
        <x:v>0</x:v>
      </x:c>
      <x:c r="H932" s="14" t="n">
        <x:f>('등급 계산식'!$E$4-F932)*'등급 계산식'!$B$5</x:f>
        <x:v>0</x:v>
      </x:c>
      <x:c r="I932" s="14" t="n">
        <x:f>1-G932-H932</x:f>
        <x:v>1</x:v>
      </x:c>
      <x:c r="J932" s="2" t="n">
        <x:f>MAX(1,ROUND('기준스탯 72종'!D44-R932-Z932,0))</x:f>
        <x:v>7</x:v>
      </x:c>
      <x:c r="K932" s="2" t="n">
        <x:f>MAX(1,ROUND('기준스탯 72종'!E44-S932-AA932,0))</x:f>
        <x:v>8</x:v>
      </x:c>
      <x:c r="L932" s="2" t="n">
        <x:f>MAX(1,ROUND('기준스탯 72종'!F44-T932-AB932,0))</x:f>
        <x:v>8</x:v>
      </x:c>
      <x:c r="M932" s="2" t="n">
        <x:f>MAX(1,ROUND('기준스탯 72종'!G44-U932-AC932,0))</x:f>
        <x:v>7</x:v>
      </x:c>
      <x:c r="N932" s="2" t="n">
        <x:f>MAX(0,ROUND('기준스탯 72종'!H44-V932-AD932,0))</x:f>
        <x:v>3</x:v>
      </x:c>
      <x:c r="O932" s="2" t="n">
        <x:f>MAX(0,ROUND('기준스탯 72종'!I44-W932-AE932,0))</x:f>
        <x:v>4</x:v>
      </x:c>
      <x:c r="P932" s="2" t="n">
        <x:f>MAX(0,ROUND('기준스탯 72종'!J44-X932-AF932,0))</x:f>
        <x:v>3</x:v>
      </x:c>
      <x:c r="Q932" s="2" t="n">
        <x:f>MAX(0,ROUND('기준스탯 72종'!K44-Y932-AG932,0))</x:f>
        <x:v>6</x:v>
      </x:c>
      <x:c r="R932" s="15" t="n">
        <x:f>'기준스탯 72종'!D44*G932</x:f>
        <x:v>0</x:v>
      </x:c>
      <x:c r="S932" s="15" t="n">
        <x:f>'기준스탯 72종'!E44*G932</x:f>
        <x:v>0</x:v>
      </x:c>
      <x:c r="T932" s="15" t="n">
        <x:f>'기준스탯 72종'!F44*G932</x:f>
        <x:v>0</x:v>
      </x:c>
      <x:c r="U932" s="15" t="n">
        <x:f>'기준스탯 72종'!G44*G932</x:f>
        <x:v>0</x:v>
      </x:c>
      <x:c r="V932" s="15" t="n">
        <x:f>'기준스탯 72종'!H44*G932</x:f>
        <x:v>0</x:v>
      </x:c>
      <x:c r="W932" s="15" t="n">
        <x:f>'기준스탯 72종'!I44*G932</x:f>
        <x:v>0</x:v>
      </x:c>
      <x:c r="X932" s="15" t="n">
        <x:f>'기준스탯 72종'!J44*G932</x:f>
        <x:v>0</x:v>
      </x:c>
      <x:c r="Y932" s="15" t="n">
        <x:f>'기준스탯 72종'!K44*G932</x:f>
        <x:v>0</x:v>
      </x:c>
      <x:c r="Z932" s="15" t="n">
        <x:f>'기준스탯 72종'!D44*H932</x:f>
        <x:v>0</x:v>
      </x:c>
      <x:c r="AA932" s="15" t="n">
        <x:f>'기준스탯 72종'!E44*H932</x:f>
        <x:v>0</x:v>
      </x:c>
      <x:c r="AB932" s="15" t="n">
        <x:f>'기준스탯 72종'!F44*H932</x:f>
        <x:v>0</x:v>
      </x:c>
      <x:c r="AC932" s="15" t="n">
        <x:f>'기준스탯 72종'!G44*H932</x:f>
        <x:v>0</x:v>
      </x:c>
      <x:c r="AD932" s="15" t="n">
        <x:f>'기준스탯 72종'!H44*H932</x:f>
        <x:v>0</x:v>
      </x:c>
      <x:c r="AE932" s="15" t="n">
        <x:f>'기준스탯 72종'!I44*H932</x:f>
        <x:v>0</x:v>
      </x:c>
      <x:c r="AF932" s="15" t="n">
        <x:f>'기준스탯 72종'!J44*H932</x:f>
        <x:v>0</x:v>
      </x:c>
      <x:c r="AG932" s="15" t="n">
        <x:f>'기준스탯 72종'!K44*H932</x:f>
        <x:v>0</x:v>
      </x:c>
    </x:row>
    <x:row r="933" ht="28" customHeight="1">
      <x:c r="A933" s="2" t="n">
        <x:v>926</x:v>
      </x:c>
      <x:c r="B933" s="2" t="n">
        <x:v>38</x:v>
      </x:c>
      <x:c r="C933" s="2" t="str">
        <x:v>천칭자리</x:v>
      </x:c>
      <x:c r="D933" s="2" t="str">
        <x:v>마도사</x:v>
      </x:c>
      <x:c r="E933" s="2" t="n">
        <x:v>1</x:v>
      </x:c>
      <x:c r="F933" s="2" t="n">
        <x:v>1</x:v>
      </x:c>
      <x:c r="G933" s="14" t="n">
        <x:f>('레벨 계산식'!$E$4-E933)*'레벨 계산식'!$B$5</x:f>
        <x:v>0.5599999999999999</x:v>
      </x:c>
      <x:c r="H933" s="14" t="n">
        <x:f>('등급 계산식'!$E$4-F933)*'등급 계산식'!$B$5</x:f>
        <x:v>0.24000000000000005</x:v>
      </x:c>
      <x:c r="I933" s="14" t="n">
        <x:f>1-G933-H933</x:f>
        <x:v>0.2</x:v>
      </x:c>
      <x:c r="J933" s="2" t="n">
        <x:f>MAX(1,ROUND('기준스탯 72종'!D45-R933-Z933,0))</x:f>
        <x:v>2</x:v>
      </x:c>
      <x:c r="K933" s="2" t="n">
        <x:f>MAX(1,ROUND('기준스탯 72종'!E45-S933-AA933,0))</x:f>
        <x:v>1</x:v>
      </x:c>
      <x:c r="L933" s="2" t="n">
        <x:f>MAX(1,ROUND('기준스탯 72종'!F45-T933-AB933,0))</x:f>
        <x:v>1</x:v>
      </x:c>
      <x:c r="M933" s="2" t="n">
        <x:f>MAX(1,ROUND('기준스탯 72종'!G45-U933-AC933,0))</x:f>
        <x:v>2</x:v>
      </x:c>
      <x:c r="N933" s="2" t="n">
        <x:f>MAX(0,ROUND('기준스탯 72종'!H45-V933-AD933,0))</x:f>
        <x:v>1</x:v>
      </x:c>
      <x:c r="O933" s="2" t="n">
        <x:f>MAX(0,ROUND('기준스탯 72종'!I45-W933-AE933,0))</x:f>
        <x:v>1</x:v>
      </x:c>
      <x:c r="P933" s="2" t="n">
        <x:f>MAX(0,ROUND('기준스탯 72종'!J45-X933-AF933,0))</x:f>
        <x:v>1</x:v>
      </x:c>
      <x:c r="Q933" s="2" t="n">
        <x:f>MAX(0,ROUND('기준스탯 72종'!K45-Y933-AG933,0))</x:f>
        <x:v>1</x:v>
      </x:c>
      <x:c r="R933" s="15" t="n">
        <x:f>'기준스탯 72종'!D45*G933</x:f>
        <x:v>5.039999999999999</x:v>
      </x:c>
      <x:c r="S933" s="15" t="n">
        <x:f>'기준스탯 72종'!E45*G933</x:f>
        <x:v>3.3599999999999994</x:v>
      </x:c>
      <x:c r="T933" s="15" t="n">
        <x:f>'기준스탯 72종'!F45*G933</x:f>
        <x:v>3.3599999999999994</x:v>
      </x:c>
      <x:c r="U933" s="15" t="n">
        <x:f>'기준스탯 72종'!G45*G933</x:f>
        <x:v>4.4799999999999995</x:v>
      </x:c>
      <x:c r="V933" s="15" t="n">
        <x:f>'기준스탯 72종'!H45*G933</x:f>
        <x:v>2.2399999999999998</x:v>
      </x:c>
      <x:c r="W933" s="15" t="n">
        <x:f>'기준스탯 72종'!I45*G933</x:f>
        <x:v>3.3599999999999994</x:v>
      </x:c>
      <x:c r="X933" s="15" t="n">
        <x:f>'기준스탯 72종'!J45*G933</x:f>
        <x:v>1.6799999999999997</x:v>
      </x:c>
      <x:c r="Y933" s="15" t="n">
        <x:f>'기준스탯 72종'!K45*G933</x:f>
        <x:v>1.6799999999999997</x:v>
      </x:c>
      <x:c r="Z933" s="15" t="n">
        <x:f>'기준스탯 72종'!D45*H933</x:f>
        <x:v>2.1600000000000006</x:v>
      </x:c>
      <x:c r="AA933" s="15" t="n">
        <x:f>'기준스탯 72종'!E45*H933</x:f>
        <x:v>1.4400000000000004</x:v>
      </x:c>
      <x:c r="AB933" s="15" t="n">
        <x:f>'기준스탯 72종'!F45*H933</x:f>
        <x:v>1.4400000000000004</x:v>
      </x:c>
      <x:c r="AC933" s="15" t="n">
        <x:f>'기준스탯 72종'!G45*H933</x:f>
        <x:v>1.9200000000000004</x:v>
      </x:c>
      <x:c r="AD933" s="15" t="n">
        <x:f>'기준스탯 72종'!H45*H933</x:f>
        <x:v>0.9600000000000002</x:v>
      </x:c>
      <x:c r="AE933" s="15" t="n">
        <x:f>'기준스탯 72종'!I45*H933</x:f>
        <x:v>1.4400000000000004</x:v>
      </x:c>
      <x:c r="AF933" s="15" t="n">
        <x:f>'기준스탯 72종'!J45*H933</x:f>
        <x:v>0.7200000000000002</x:v>
      </x:c>
      <x:c r="AG933" s="15" t="n">
        <x:f>'기준스탯 72종'!K45*H933</x:f>
        <x:v>0.7200000000000002</x:v>
      </x:c>
    </x:row>
    <x:row r="934" ht="28" customHeight="1">
      <x:c r="A934" s="2" t="n">
        <x:v>927</x:v>
      </x:c>
      <x:c r="B934" s="2" t="n">
        <x:v>38</x:v>
      </x:c>
      <x:c r="C934" s="2" t="str">
        <x:v>천칭자리</x:v>
      </x:c>
      <x:c r="D934" s="2" t="str">
        <x:v>마도사</x:v>
      </x:c>
      <x:c r="E934" s="2" t="n">
        <x:v>2</x:v>
      </x:c>
      <x:c r="F934" s="2" t="n">
        <x:v>1</x:v>
      </x:c>
      <x:c r="G934" s="14" t="n">
        <x:f>('레벨 계산식'!$E$4-E934)*'레벨 계산식'!$B$5</x:f>
        <x:v>0.41999999999999993</x:v>
      </x:c>
      <x:c r="H934" s="14" t="n">
        <x:f>('등급 계산식'!$E$4-F934)*'등급 계산식'!$B$5</x:f>
        <x:v>0.24000000000000005</x:v>
      </x:c>
      <x:c r="I934" s="14" t="n">
        <x:f>1-G934-H934</x:f>
        <x:v>0.34</x:v>
      </x:c>
      <x:c r="J934" s="2" t="n">
        <x:f>MAX(1,ROUND('기준스탯 72종'!D45-R934-Z934,0))</x:f>
        <x:v>3</x:v>
      </x:c>
      <x:c r="K934" s="2" t="n">
        <x:f>MAX(1,ROUND('기준스탯 72종'!E45-S934-AA934,0))</x:f>
        <x:v>2</x:v>
      </x:c>
      <x:c r="L934" s="2" t="n">
        <x:f>MAX(1,ROUND('기준스탯 72종'!F45-T934-AB934,0))</x:f>
        <x:v>2</x:v>
      </x:c>
      <x:c r="M934" s="2" t="n">
        <x:f>MAX(1,ROUND('기준스탯 72종'!G45-U934-AC934,0))</x:f>
        <x:v>3</x:v>
      </x:c>
      <x:c r="N934" s="2" t="n">
        <x:f>MAX(0,ROUND('기준스탯 72종'!H45-V934-AD934,0))</x:f>
        <x:v>1</x:v>
      </x:c>
      <x:c r="O934" s="2" t="n">
        <x:f>MAX(0,ROUND('기준스탯 72종'!I45-W934-AE934,0))</x:f>
        <x:v>2</x:v>
      </x:c>
      <x:c r="P934" s="2" t="n">
        <x:f>MAX(0,ROUND('기준스탯 72종'!J45-X934-AF934,0))</x:f>
        <x:v>1</x:v>
      </x:c>
      <x:c r="Q934" s="2" t="n">
        <x:f>MAX(0,ROUND('기준스탯 72종'!K45-Y934-AG934,0))</x:f>
        <x:v>1</x:v>
      </x:c>
      <x:c r="R934" s="15" t="n">
        <x:f>'기준스탯 72종'!D45*G934</x:f>
        <x:v>3.7799999999999994</x:v>
      </x:c>
      <x:c r="S934" s="15" t="n">
        <x:f>'기준스탯 72종'!E45*G934</x:f>
        <x:v>2.5199999999999996</x:v>
      </x:c>
      <x:c r="T934" s="15" t="n">
        <x:f>'기준스탯 72종'!F45*G934</x:f>
        <x:v>2.5199999999999996</x:v>
      </x:c>
      <x:c r="U934" s="15" t="n">
        <x:f>'기준스탯 72종'!G45*G934</x:f>
        <x:v>3.3599999999999994</x:v>
      </x:c>
      <x:c r="V934" s="15" t="n">
        <x:f>'기준스탯 72종'!H45*G934</x:f>
        <x:v>1.6799999999999997</x:v>
      </x:c>
      <x:c r="W934" s="15" t="n">
        <x:f>'기준스탯 72종'!I45*G934</x:f>
        <x:v>2.5199999999999996</x:v>
      </x:c>
      <x:c r="X934" s="15" t="n">
        <x:f>'기준스탯 72종'!J45*G934</x:f>
        <x:v>1.2599999999999998</x:v>
      </x:c>
      <x:c r="Y934" s="15" t="n">
        <x:f>'기준스탯 72종'!K45*G934</x:f>
        <x:v>1.2599999999999998</x:v>
      </x:c>
      <x:c r="Z934" s="15" t="n">
        <x:f>'기준스탯 72종'!D45*H934</x:f>
        <x:v>2.1600000000000006</x:v>
      </x:c>
      <x:c r="AA934" s="15" t="n">
        <x:f>'기준스탯 72종'!E45*H934</x:f>
        <x:v>1.4400000000000004</x:v>
      </x:c>
      <x:c r="AB934" s="15" t="n">
        <x:f>'기준스탯 72종'!F45*H934</x:f>
        <x:v>1.4400000000000004</x:v>
      </x:c>
      <x:c r="AC934" s="15" t="n">
        <x:f>'기준스탯 72종'!G45*H934</x:f>
        <x:v>1.9200000000000004</x:v>
      </x:c>
      <x:c r="AD934" s="15" t="n">
        <x:f>'기준스탯 72종'!H45*H934</x:f>
        <x:v>0.9600000000000002</x:v>
      </x:c>
      <x:c r="AE934" s="15" t="n">
        <x:f>'기준스탯 72종'!I45*H934</x:f>
        <x:v>1.4400000000000004</x:v>
      </x:c>
      <x:c r="AF934" s="15" t="n">
        <x:f>'기준스탯 72종'!J45*H934</x:f>
        <x:v>0.7200000000000002</x:v>
      </x:c>
      <x:c r="AG934" s="15" t="n">
        <x:f>'기준스탯 72종'!K45*H934</x:f>
        <x:v>0.7200000000000002</x:v>
      </x:c>
    </x:row>
    <x:row r="935" ht="28" customHeight="1">
      <x:c r="A935" s="2" t="n">
        <x:v>928</x:v>
      </x:c>
      <x:c r="B935" s="2" t="n">
        <x:v>38</x:v>
      </x:c>
      <x:c r="C935" s="2" t="str">
        <x:v>천칭자리</x:v>
      </x:c>
      <x:c r="D935" s="2" t="str">
        <x:v>마도사</x:v>
      </x:c>
      <x:c r="E935" s="2" t="n">
        <x:v>3</x:v>
      </x:c>
      <x:c r="F935" s="2" t="n">
        <x:v>1</x:v>
      </x:c>
      <x:c r="G935" s="14" t="n">
        <x:f>('레벨 계산식'!$E$4-E935)*'레벨 계산식'!$B$5</x:f>
        <x:v>0.27999999999999997</x:v>
      </x:c>
      <x:c r="H935" s="14" t="n">
        <x:f>('등급 계산식'!$E$4-F935)*'등급 계산식'!$B$5</x:f>
        <x:v>0.24000000000000005</x:v>
      </x:c>
      <x:c r="I935" s="14" t="n">
        <x:f>1-G935-H935</x:f>
        <x:v>0.4799999999999999</x:v>
      </x:c>
      <x:c r="J935" s="2" t="n">
        <x:f>MAX(1,ROUND('기준스탯 72종'!D45-R935-Z935,0))</x:f>
        <x:v>4</x:v>
      </x:c>
      <x:c r="K935" s="2" t="n">
        <x:f>MAX(1,ROUND('기준스탯 72종'!E45-S935-AA935,0))</x:f>
        <x:v>3</x:v>
      </x:c>
      <x:c r="L935" s="2" t="n">
        <x:f>MAX(1,ROUND('기준스탯 72종'!F45-T935-AB935,0))</x:f>
        <x:v>3</x:v>
      </x:c>
      <x:c r="M935" s="2" t="n">
        <x:f>MAX(1,ROUND('기준스탯 72종'!G45-U935-AC935,0))</x:f>
        <x:v>4</x:v>
      </x:c>
      <x:c r="N935" s="2" t="n">
        <x:f>MAX(0,ROUND('기준스탯 72종'!H45-V935-AD935,0))</x:f>
        <x:v>2</x:v>
      </x:c>
      <x:c r="O935" s="2" t="n">
        <x:f>MAX(0,ROUND('기준스탯 72종'!I45-W935-AE935,0))</x:f>
        <x:v>3</x:v>
      </x:c>
      <x:c r="P935" s="2" t="n">
        <x:f>MAX(0,ROUND('기준스탯 72종'!J45-X935-AF935,0))</x:f>
        <x:v>1</x:v>
      </x:c>
      <x:c r="Q935" s="2" t="n">
        <x:f>MAX(0,ROUND('기준스탯 72종'!K45-Y935-AG935,0))</x:f>
        <x:v>1</x:v>
      </x:c>
      <x:c r="R935" s="15" t="n">
        <x:f>'기준스탯 72종'!D45*G935</x:f>
        <x:v>2.5199999999999996</x:v>
      </x:c>
      <x:c r="S935" s="15" t="n">
        <x:f>'기준스탯 72종'!E45*G935</x:f>
        <x:v>1.6799999999999997</x:v>
      </x:c>
      <x:c r="T935" s="15" t="n">
        <x:f>'기준스탯 72종'!F45*G935</x:f>
        <x:v>1.6799999999999997</x:v>
      </x:c>
      <x:c r="U935" s="15" t="n">
        <x:f>'기준스탯 72종'!G45*G935</x:f>
        <x:v>2.2399999999999998</x:v>
      </x:c>
      <x:c r="V935" s="15" t="n">
        <x:f>'기준스탯 72종'!H45*G935</x:f>
        <x:v>1.1199999999999999</x:v>
      </x:c>
      <x:c r="W935" s="15" t="n">
        <x:f>'기준스탯 72종'!I45*G935</x:f>
        <x:v>1.6799999999999997</x:v>
      </x:c>
      <x:c r="X935" s="15" t="n">
        <x:f>'기준스탯 72종'!J45*G935</x:f>
        <x:v>0.8399999999999999</x:v>
      </x:c>
      <x:c r="Y935" s="15" t="n">
        <x:f>'기준스탯 72종'!K45*G935</x:f>
        <x:v>0.8399999999999999</x:v>
      </x:c>
      <x:c r="Z935" s="15" t="n">
        <x:f>'기준스탯 72종'!D45*H935</x:f>
        <x:v>2.1600000000000006</x:v>
      </x:c>
      <x:c r="AA935" s="15" t="n">
        <x:f>'기준스탯 72종'!E45*H935</x:f>
        <x:v>1.4400000000000004</x:v>
      </x:c>
      <x:c r="AB935" s="15" t="n">
        <x:f>'기준스탯 72종'!F45*H935</x:f>
        <x:v>1.4400000000000004</x:v>
      </x:c>
      <x:c r="AC935" s="15" t="n">
        <x:f>'기준스탯 72종'!G45*H935</x:f>
        <x:v>1.9200000000000004</x:v>
      </x:c>
      <x:c r="AD935" s="15" t="n">
        <x:f>'기준스탯 72종'!H45*H935</x:f>
        <x:v>0.9600000000000002</x:v>
      </x:c>
      <x:c r="AE935" s="15" t="n">
        <x:f>'기준스탯 72종'!I45*H935</x:f>
        <x:v>1.4400000000000004</x:v>
      </x:c>
      <x:c r="AF935" s="15" t="n">
        <x:f>'기준스탯 72종'!J45*H935</x:f>
        <x:v>0.7200000000000002</x:v>
      </x:c>
      <x:c r="AG935" s="15" t="n">
        <x:f>'기준스탯 72종'!K45*H935</x:f>
        <x:v>0.7200000000000002</x:v>
      </x:c>
    </x:row>
    <x:row r="936" ht="28" customHeight="1">
      <x:c r="A936" s="2" t="n">
        <x:v>929</x:v>
      </x:c>
      <x:c r="B936" s="2" t="n">
        <x:v>38</x:v>
      </x:c>
      <x:c r="C936" s="2" t="str">
        <x:v>천칭자리</x:v>
      </x:c>
      <x:c r="D936" s="2" t="str">
        <x:v>마도사</x:v>
      </x:c>
      <x:c r="E936" s="2" t="n">
        <x:v>4</x:v>
      </x:c>
      <x:c r="F936" s="2" t="n">
        <x:v>1</x:v>
      </x:c>
      <x:c r="G936" s="14" t="n">
        <x:f>('레벨 계산식'!$E$4-E936)*'레벨 계산식'!$B$5</x:f>
        <x:v>0.13999999999999999</x:v>
      </x:c>
      <x:c r="H936" s="14" t="n">
        <x:f>('등급 계산식'!$E$4-F936)*'등급 계산식'!$B$5</x:f>
        <x:v>0.24000000000000005</x:v>
      </x:c>
      <x:c r="I936" s="14" t="n">
        <x:f>1-G936-H936</x:f>
        <x:v>0.6199999999999999</x:v>
      </x:c>
      <x:c r="J936" s="2" t="n">
        <x:f>MAX(1,ROUND('기준스탯 72종'!D45-R936-Z936,0))</x:f>
        <x:v>6</x:v>
      </x:c>
      <x:c r="K936" s="2" t="n">
        <x:f>MAX(1,ROUND('기준스탯 72종'!E45-S936-AA936,0))</x:f>
        <x:v>4</x:v>
      </x:c>
      <x:c r="L936" s="2" t="n">
        <x:f>MAX(1,ROUND('기준스탯 72종'!F45-T936-AB936,0))</x:f>
        <x:v>4</x:v>
      </x:c>
      <x:c r="M936" s="2" t="n">
        <x:f>MAX(1,ROUND('기준스탯 72종'!G45-U936-AC936,0))</x:f>
        <x:v>5</x:v>
      </x:c>
      <x:c r="N936" s="2" t="n">
        <x:f>MAX(0,ROUND('기준스탯 72종'!H45-V936-AD936,0))</x:f>
        <x:v>2</x:v>
      </x:c>
      <x:c r="O936" s="2" t="n">
        <x:f>MAX(0,ROUND('기준스탯 72종'!I45-W936-AE936,0))</x:f>
        <x:v>4</x:v>
      </x:c>
      <x:c r="P936" s="2" t="n">
        <x:f>MAX(0,ROUND('기준스탯 72종'!J45-X936-AF936,0))</x:f>
        <x:v>2</x:v>
      </x:c>
      <x:c r="Q936" s="2" t="n">
        <x:f>MAX(0,ROUND('기준스탯 72종'!K45-Y936-AG936,0))</x:f>
        <x:v>2</x:v>
      </x:c>
      <x:c r="R936" s="15" t="n">
        <x:f>'기준스탯 72종'!D45*G936</x:f>
        <x:v>1.2599999999999998</x:v>
      </x:c>
      <x:c r="S936" s="15" t="n">
        <x:f>'기준스탯 72종'!E45*G936</x:f>
        <x:v>0.8399999999999999</x:v>
      </x:c>
      <x:c r="T936" s="15" t="n">
        <x:f>'기준스탯 72종'!F45*G936</x:f>
        <x:v>0.8399999999999999</x:v>
      </x:c>
      <x:c r="U936" s="15" t="n">
        <x:f>'기준스탯 72종'!G45*G936</x:f>
        <x:v>1.1199999999999999</x:v>
      </x:c>
      <x:c r="V936" s="15" t="n">
        <x:f>'기준스탯 72종'!H45*G936</x:f>
        <x:v>0.5599999999999999</x:v>
      </x:c>
      <x:c r="W936" s="15" t="n">
        <x:f>'기준스탯 72종'!I45*G936</x:f>
        <x:v>0.8399999999999999</x:v>
      </x:c>
      <x:c r="X936" s="15" t="n">
        <x:f>'기준스탯 72종'!J45*G936</x:f>
        <x:v>0.41999999999999993</x:v>
      </x:c>
      <x:c r="Y936" s="15" t="n">
        <x:f>'기준스탯 72종'!K45*G936</x:f>
        <x:v>0.41999999999999993</x:v>
      </x:c>
      <x:c r="Z936" s="15" t="n">
        <x:f>'기준스탯 72종'!D45*H936</x:f>
        <x:v>2.1600000000000006</x:v>
      </x:c>
      <x:c r="AA936" s="15" t="n">
        <x:f>'기준스탯 72종'!E45*H936</x:f>
        <x:v>1.4400000000000004</x:v>
      </x:c>
      <x:c r="AB936" s="15" t="n">
        <x:f>'기준스탯 72종'!F45*H936</x:f>
        <x:v>1.4400000000000004</x:v>
      </x:c>
      <x:c r="AC936" s="15" t="n">
        <x:f>'기준스탯 72종'!G45*H936</x:f>
        <x:v>1.9200000000000004</x:v>
      </x:c>
      <x:c r="AD936" s="15" t="n">
        <x:f>'기준스탯 72종'!H45*H936</x:f>
        <x:v>0.9600000000000002</x:v>
      </x:c>
      <x:c r="AE936" s="15" t="n">
        <x:f>'기준스탯 72종'!I45*H936</x:f>
        <x:v>1.4400000000000004</x:v>
      </x:c>
      <x:c r="AF936" s="15" t="n">
        <x:f>'기준스탯 72종'!J45*H936</x:f>
        <x:v>0.7200000000000002</x:v>
      </x:c>
      <x:c r="AG936" s="15" t="n">
        <x:f>'기준스탯 72종'!K45*H936</x:f>
        <x:v>0.7200000000000002</x:v>
      </x:c>
    </x:row>
    <x:row r="937" ht="28" customHeight="1">
      <x:c r="A937" s="2" t="n">
        <x:v>930</x:v>
      </x:c>
      <x:c r="B937" s="2" t="n">
        <x:v>38</x:v>
      </x:c>
      <x:c r="C937" s="2" t="str">
        <x:v>천칭자리</x:v>
      </x:c>
      <x:c r="D937" s="2" t="str">
        <x:v>마도사</x:v>
      </x:c>
      <x:c r="E937" s="2" t="n">
        <x:v>5</x:v>
      </x:c>
      <x:c r="F937" s="2" t="n">
        <x:v>1</x:v>
      </x:c>
      <x:c r="G937" s="14" t="n">
        <x:f>('레벨 계산식'!$E$4-E937)*'레벨 계산식'!$B$5</x:f>
        <x:v>0</x:v>
      </x:c>
      <x:c r="H937" s="14" t="n">
        <x:f>('등급 계산식'!$E$4-F937)*'등급 계산식'!$B$5</x:f>
        <x:v>0.24000000000000005</x:v>
      </x:c>
      <x:c r="I937" s="14" t="n">
        <x:f>1-G937-H937</x:f>
        <x:v>0.76</x:v>
      </x:c>
      <x:c r="J937" s="2" t="n">
        <x:f>MAX(1,ROUND('기준스탯 72종'!D45-R937-Z937,0))</x:f>
        <x:v>7</x:v>
      </x:c>
      <x:c r="K937" s="2" t="n">
        <x:f>MAX(1,ROUND('기준스탯 72종'!E45-S937-AA937,0))</x:f>
        <x:v>5</x:v>
      </x:c>
      <x:c r="L937" s="2" t="n">
        <x:f>MAX(1,ROUND('기준스탯 72종'!F45-T937-AB937,0))</x:f>
        <x:v>5</x:v>
      </x:c>
      <x:c r="M937" s="2" t="n">
        <x:f>MAX(1,ROUND('기준스탯 72종'!G45-U937-AC937,0))</x:f>
        <x:v>6</x:v>
      </x:c>
      <x:c r="N937" s="2" t="n">
        <x:f>MAX(0,ROUND('기준스탯 72종'!H45-V937-AD937,0))</x:f>
        <x:v>3</x:v>
      </x:c>
      <x:c r="O937" s="2" t="n">
        <x:f>MAX(0,ROUND('기준스탯 72종'!I45-W937-AE937,0))</x:f>
        <x:v>5</x:v>
      </x:c>
      <x:c r="P937" s="2" t="n">
        <x:f>MAX(0,ROUND('기준스탯 72종'!J45-X937-AF937,0))</x:f>
        <x:v>2</x:v>
      </x:c>
      <x:c r="Q937" s="2" t="n">
        <x:f>MAX(0,ROUND('기준스탯 72종'!K45-Y937-AG937,0))</x:f>
        <x:v>2</x:v>
      </x:c>
      <x:c r="R937" s="15" t="n">
        <x:f>'기준스탯 72종'!D45*G937</x:f>
        <x:v>0</x:v>
      </x:c>
      <x:c r="S937" s="15" t="n">
        <x:f>'기준스탯 72종'!E45*G937</x:f>
        <x:v>0</x:v>
      </x:c>
      <x:c r="T937" s="15" t="n">
        <x:f>'기준스탯 72종'!F45*G937</x:f>
        <x:v>0</x:v>
      </x:c>
      <x:c r="U937" s="15" t="n">
        <x:f>'기준스탯 72종'!G45*G937</x:f>
        <x:v>0</x:v>
      </x:c>
      <x:c r="V937" s="15" t="n">
        <x:f>'기준스탯 72종'!H45*G937</x:f>
        <x:v>0</x:v>
      </x:c>
      <x:c r="W937" s="15" t="n">
        <x:f>'기준스탯 72종'!I45*G937</x:f>
        <x:v>0</x:v>
      </x:c>
      <x:c r="X937" s="15" t="n">
        <x:f>'기준스탯 72종'!J45*G937</x:f>
        <x:v>0</x:v>
      </x:c>
      <x:c r="Y937" s="15" t="n">
        <x:f>'기준스탯 72종'!K45*G937</x:f>
        <x:v>0</x:v>
      </x:c>
      <x:c r="Z937" s="15" t="n">
        <x:f>'기준스탯 72종'!D45*H937</x:f>
        <x:v>2.1600000000000006</x:v>
      </x:c>
      <x:c r="AA937" s="15" t="n">
        <x:f>'기준스탯 72종'!E45*H937</x:f>
        <x:v>1.4400000000000004</x:v>
      </x:c>
      <x:c r="AB937" s="15" t="n">
        <x:f>'기준스탯 72종'!F45*H937</x:f>
        <x:v>1.4400000000000004</x:v>
      </x:c>
      <x:c r="AC937" s="15" t="n">
        <x:f>'기준스탯 72종'!G45*H937</x:f>
        <x:v>1.9200000000000004</x:v>
      </x:c>
      <x:c r="AD937" s="15" t="n">
        <x:f>'기준스탯 72종'!H45*H937</x:f>
        <x:v>0.9600000000000002</x:v>
      </x:c>
      <x:c r="AE937" s="15" t="n">
        <x:f>'기준스탯 72종'!I45*H937</x:f>
        <x:v>1.4400000000000004</x:v>
      </x:c>
      <x:c r="AF937" s="15" t="n">
        <x:f>'기준스탯 72종'!J45*H937</x:f>
        <x:v>0.7200000000000002</x:v>
      </x:c>
      <x:c r="AG937" s="15" t="n">
        <x:f>'기준스탯 72종'!K45*H937</x:f>
        <x:v>0.7200000000000002</x:v>
      </x:c>
    </x:row>
    <x:row r="938" ht="28" customHeight="1">
      <x:c r="A938" s="2" t="n">
        <x:v>931</x:v>
      </x:c>
      <x:c r="B938" s="2" t="n">
        <x:v>38</x:v>
      </x:c>
      <x:c r="C938" s="2" t="str">
        <x:v>천칭자리</x:v>
      </x:c>
      <x:c r="D938" s="2" t="str">
        <x:v>마도사</x:v>
      </x:c>
      <x:c r="E938" s="2" t="n">
        <x:v>1</x:v>
      </x:c>
      <x:c r="F938" s="2" t="n">
        <x:v>2</x:v>
      </x:c>
      <x:c r="G938" s="14" t="n">
        <x:f>('레벨 계산식'!$E$4-E938)*'레벨 계산식'!$B$5</x:f>
        <x:v>0.5599999999999999</x:v>
      </x:c>
      <x:c r="H938" s="14" t="n">
        <x:f>('등급 계산식'!$E$4-F938)*'등급 계산식'!$B$5</x:f>
        <x:v>0.18000000000000005</x:v>
      </x:c>
      <x:c r="I938" s="14" t="n">
        <x:f>1-G938-H938</x:f>
        <x:v>0.26</x:v>
      </x:c>
      <x:c r="J938" s="2" t="n">
        <x:f>MAX(1,ROUND('기준스탯 72종'!D45-R938-Z938,0))</x:f>
        <x:v>2</x:v>
      </x:c>
      <x:c r="K938" s="2" t="n">
        <x:f>MAX(1,ROUND('기준스탯 72종'!E45-S938-AA938,0))</x:f>
        <x:v>2</x:v>
      </x:c>
      <x:c r="L938" s="2" t="n">
        <x:f>MAX(1,ROUND('기준스탯 72종'!F45-T938-AB938,0))</x:f>
        <x:v>2</x:v>
      </x:c>
      <x:c r="M938" s="2" t="n">
        <x:f>MAX(1,ROUND('기준스탯 72종'!G45-U938-AC938,0))</x:f>
        <x:v>2</x:v>
      </x:c>
      <x:c r="N938" s="2" t="n">
        <x:f>MAX(0,ROUND('기준스탯 72종'!H45-V938-AD938,0))</x:f>
        <x:v>1</x:v>
      </x:c>
      <x:c r="O938" s="2" t="n">
        <x:f>MAX(0,ROUND('기준스탯 72종'!I45-W938-AE938,0))</x:f>
        <x:v>2</x:v>
      </x:c>
      <x:c r="P938" s="2" t="n">
        <x:f>MAX(0,ROUND('기준스탯 72종'!J45-X938-AF938,0))</x:f>
        <x:v>1</x:v>
      </x:c>
      <x:c r="Q938" s="2" t="n">
        <x:f>MAX(0,ROUND('기준스탯 72종'!K45-Y938-AG938,0))</x:f>
        <x:v>1</x:v>
      </x:c>
      <x:c r="R938" s="15" t="n">
        <x:f>'기준스탯 72종'!D45*G938</x:f>
        <x:v>5.039999999999999</x:v>
      </x:c>
      <x:c r="S938" s="15" t="n">
        <x:f>'기준스탯 72종'!E45*G938</x:f>
        <x:v>3.3599999999999994</x:v>
      </x:c>
      <x:c r="T938" s="15" t="n">
        <x:f>'기준스탯 72종'!F45*G938</x:f>
        <x:v>3.3599999999999994</x:v>
      </x:c>
      <x:c r="U938" s="15" t="n">
        <x:f>'기준스탯 72종'!G45*G938</x:f>
        <x:v>4.4799999999999995</x:v>
      </x:c>
      <x:c r="V938" s="15" t="n">
        <x:f>'기준스탯 72종'!H45*G938</x:f>
        <x:v>2.2399999999999998</x:v>
      </x:c>
      <x:c r="W938" s="15" t="n">
        <x:f>'기준스탯 72종'!I45*G938</x:f>
        <x:v>3.3599999999999994</x:v>
      </x:c>
      <x:c r="X938" s="15" t="n">
        <x:f>'기준스탯 72종'!J45*G938</x:f>
        <x:v>1.6799999999999997</x:v>
      </x:c>
      <x:c r="Y938" s="15" t="n">
        <x:f>'기준스탯 72종'!K45*G938</x:f>
        <x:v>1.6799999999999997</x:v>
      </x:c>
      <x:c r="Z938" s="15" t="n">
        <x:f>'기준스탯 72종'!D45*H938</x:f>
        <x:v>1.6200000000000006</x:v>
      </x:c>
      <x:c r="AA938" s="15" t="n">
        <x:f>'기준스탯 72종'!E45*H938</x:f>
        <x:v>1.0800000000000003</x:v>
      </x:c>
      <x:c r="AB938" s="15" t="n">
        <x:f>'기준스탯 72종'!F45*H938</x:f>
        <x:v>1.0800000000000003</x:v>
      </x:c>
      <x:c r="AC938" s="15" t="n">
        <x:f>'기준스탯 72종'!G45*H938</x:f>
        <x:v>1.4400000000000004</x:v>
      </x:c>
      <x:c r="AD938" s="15" t="n">
        <x:f>'기준스탯 72종'!H45*H938</x:f>
        <x:v>0.7200000000000002</x:v>
      </x:c>
      <x:c r="AE938" s="15" t="n">
        <x:f>'기준스탯 72종'!I45*H938</x:f>
        <x:v>1.0800000000000003</x:v>
      </x:c>
      <x:c r="AF938" s="15" t="n">
        <x:f>'기준스탯 72종'!J45*H938</x:f>
        <x:v>0.5400000000000001</x:v>
      </x:c>
      <x:c r="AG938" s="15" t="n">
        <x:f>'기준스탯 72종'!K45*H938</x:f>
        <x:v>0.5400000000000001</x:v>
      </x:c>
    </x:row>
    <x:row r="939" ht="28" customHeight="1">
      <x:c r="A939" s="2" t="n">
        <x:v>932</x:v>
      </x:c>
      <x:c r="B939" s="2" t="n">
        <x:v>38</x:v>
      </x:c>
      <x:c r="C939" s="2" t="str">
        <x:v>천칭자리</x:v>
      </x:c>
      <x:c r="D939" s="2" t="str">
        <x:v>마도사</x:v>
      </x:c>
      <x:c r="E939" s="2" t="n">
        <x:v>2</x:v>
      </x:c>
      <x:c r="F939" s="2" t="n">
        <x:v>2</x:v>
      </x:c>
      <x:c r="G939" s="14" t="n">
        <x:f>('레벨 계산식'!$E$4-E939)*'레벨 계산식'!$B$5</x:f>
        <x:v>0.41999999999999993</x:v>
      </x:c>
      <x:c r="H939" s="14" t="n">
        <x:f>('등급 계산식'!$E$4-F939)*'등급 계산식'!$B$5</x:f>
        <x:v>0.18000000000000005</x:v>
      </x:c>
      <x:c r="I939" s="14" t="n">
        <x:f>1-G939-H939</x:f>
        <x:v>0.4</x:v>
      </x:c>
      <x:c r="J939" s="2" t="n">
        <x:f>MAX(1,ROUND('기준스탯 72종'!D45-R939-Z939,0))</x:f>
        <x:v>4</x:v>
      </x:c>
      <x:c r="K939" s="2" t="n">
        <x:f>MAX(1,ROUND('기준스탯 72종'!E45-S939-AA939,0))</x:f>
        <x:v>2</x:v>
      </x:c>
      <x:c r="L939" s="2" t="n">
        <x:f>MAX(1,ROUND('기준스탯 72종'!F45-T939-AB939,0))</x:f>
        <x:v>2</x:v>
      </x:c>
      <x:c r="M939" s="2" t="n">
        <x:f>MAX(1,ROUND('기준스탯 72종'!G45-U939-AC939,0))</x:f>
        <x:v>3</x:v>
      </x:c>
      <x:c r="N939" s="2" t="n">
        <x:f>MAX(0,ROUND('기준스탯 72종'!H45-V939-AD939,0))</x:f>
        <x:v>2</x:v>
      </x:c>
      <x:c r="O939" s="2" t="n">
        <x:f>MAX(0,ROUND('기준스탯 72종'!I45-W939-AE939,0))</x:f>
        <x:v>2</x:v>
      </x:c>
      <x:c r="P939" s="2" t="n">
        <x:f>MAX(0,ROUND('기준스탯 72종'!J45-X939-AF939,0))</x:f>
        <x:v>1</x:v>
      </x:c>
      <x:c r="Q939" s="2" t="n">
        <x:f>MAX(0,ROUND('기준스탯 72종'!K45-Y939-AG939,0))</x:f>
        <x:v>1</x:v>
      </x:c>
      <x:c r="R939" s="15" t="n">
        <x:f>'기준스탯 72종'!D45*G939</x:f>
        <x:v>3.7799999999999994</x:v>
      </x:c>
      <x:c r="S939" s="15" t="n">
        <x:f>'기준스탯 72종'!E45*G939</x:f>
        <x:v>2.5199999999999996</x:v>
      </x:c>
      <x:c r="T939" s="15" t="n">
        <x:f>'기준스탯 72종'!F45*G939</x:f>
        <x:v>2.5199999999999996</x:v>
      </x:c>
      <x:c r="U939" s="15" t="n">
        <x:f>'기준스탯 72종'!G45*G939</x:f>
        <x:v>3.3599999999999994</x:v>
      </x:c>
      <x:c r="V939" s="15" t="n">
        <x:f>'기준스탯 72종'!H45*G939</x:f>
        <x:v>1.6799999999999997</x:v>
      </x:c>
      <x:c r="W939" s="15" t="n">
        <x:f>'기준스탯 72종'!I45*G939</x:f>
        <x:v>2.5199999999999996</x:v>
      </x:c>
      <x:c r="X939" s="15" t="n">
        <x:f>'기준스탯 72종'!J45*G939</x:f>
        <x:v>1.2599999999999998</x:v>
      </x:c>
      <x:c r="Y939" s="15" t="n">
        <x:f>'기준스탯 72종'!K45*G939</x:f>
        <x:v>1.2599999999999998</x:v>
      </x:c>
      <x:c r="Z939" s="15" t="n">
        <x:f>'기준스탯 72종'!D45*H939</x:f>
        <x:v>1.6200000000000006</x:v>
      </x:c>
      <x:c r="AA939" s="15" t="n">
        <x:f>'기준스탯 72종'!E45*H939</x:f>
        <x:v>1.0800000000000003</x:v>
      </x:c>
      <x:c r="AB939" s="15" t="n">
        <x:f>'기준스탯 72종'!F45*H939</x:f>
        <x:v>1.0800000000000003</x:v>
      </x:c>
      <x:c r="AC939" s="15" t="n">
        <x:f>'기준스탯 72종'!G45*H939</x:f>
        <x:v>1.4400000000000004</x:v>
      </x:c>
      <x:c r="AD939" s="15" t="n">
        <x:f>'기준스탯 72종'!H45*H939</x:f>
        <x:v>0.7200000000000002</x:v>
      </x:c>
      <x:c r="AE939" s="15" t="n">
        <x:f>'기준스탯 72종'!I45*H939</x:f>
        <x:v>1.0800000000000003</x:v>
      </x:c>
      <x:c r="AF939" s="15" t="n">
        <x:f>'기준스탯 72종'!J45*H939</x:f>
        <x:v>0.5400000000000001</x:v>
      </x:c>
      <x:c r="AG939" s="15" t="n">
        <x:f>'기준스탯 72종'!K45*H939</x:f>
        <x:v>0.5400000000000001</x:v>
      </x:c>
    </x:row>
    <x:row r="940" ht="28" customHeight="1">
      <x:c r="A940" s="2" t="n">
        <x:v>933</x:v>
      </x:c>
      <x:c r="B940" s="2" t="n">
        <x:v>38</x:v>
      </x:c>
      <x:c r="C940" s="2" t="str">
        <x:v>천칭자리</x:v>
      </x:c>
      <x:c r="D940" s="2" t="str">
        <x:v>마도사</x:v>
      </x:c>
      <x:c r="E940" s="2" t="n">
        <x:v>3</x:v>
      </x:c>
      <x:c r="F940" s="2" t="n">
        <x:v>2</x:v>
      </x:c>
      <x:c r="G940" s="14" t="n">
        <x:f>('레벨 계산식'!$E$4-E940)*'레벨 계산식'!$B$5</x:f>
        <x:v>0.27999999999999997</x:v>
      </x:c>
      <x:c r="H940" s="14" t="n">
        <x:f>('등급 계산식'!$E$4-F940)*'등급 계산식'!$B$5</x:f>
        <x:v>0.18000000000000005</x:v>
      </x:c>
      <x:c r="I940" s="14" t="n">
        <x:f>1-G940-H940</x:f>
        <x:v>0.5399999999999999</x:v>
      </x:c>
      <x:c r="J940" s="2" t="n">
        <x:f>MAX(1,ROUND('기준스탯 72종'!D45-R940-Z940,0))</x:f>
        <x:v>5</x:v>
      </x:c>
      <x:c r="K940" s="2" t="n">
        <x:f>MAX(1,ROUND('기준스탯 72종'!E45-S940-AA940,0))</x:f>
        <x:v>3</x:v>
      </x:c>
      <x:c r="L940" s="2" t="n">
        <x:f>MAX(1,ROUND('기준스탯 72종'!F45-T940-AB940,0))</x:f>
        <x:v>3</x:v>
      </x:c>
      <x:c r="M940" s="2" t="n">
        <x:f>MAX(1,ROUND('기준스탯 72종'!G45-U940-AC940,0))</x:f>
        <x:v>4</x:v>
      </x:c>
      <x:c r="N940" s="2" t="n">
        <x:f>MAX(0,ROUND('기준스탯 72종'!H45-V940-AD940,0))</x:f>
        <x:v>2</x:v>
      </x:c>
      <x:c r="O940" s="2" t="n">
        <x:f>MAX(0,ROUND('기준스탯 72종'!I45-W940-AE940,0))</x:f>
        <x:v>3</x:v>
      </x:c>
      <x:c r="P940" s="2" t="n">
        <x:f>MAX(0,ROUND('기준스탯 72종'!J45-X940-AF940,0))</x:f>
        <x:v>2</x:v>
      </x:c>
      <x:c r="Q940" s="2" t="n">
        <x:f>MAX(0,ROUND('기준스탯 72종'!K45-Y940-AG940,0))</x:f>
        <x:v>2</x:v>
      </x:c>
      <x:c r="R940" s="15" t="n">
        <x:f>'기준스탯 72종'!D45*G940</x:f>
        <x:v>2.5199999999999996</x:v>
      </x:c>
      <x:c r="S940" s="15" t="n">
        <x:f>'기준스탯 72종'!E45*G940</x:f>
        <x:v>1.6799999999999997</x:v>
      </x:c>
      <x:c r="T940" s="15" t="n">
        <x:f>'기준스탯 72종'!F45*G940</x:f>
        <x:v>1.6799999999999997</x:v>
      </x:c>
      <x:c r="U940" s="15" t="n">
        <x:f>'기준스탯 72종'!G45*G940</x:f>
        <x:v>2.2399999999999998</x:v>
      </x:c>
      <x:c r="V940" s="15" t="n">
        <x:f>'기준스탯 72종'!H45*G940</x:f>
        <x:v>1.1199999999999999</x:v>
      </x:c>
      <x:c r="W940" s="15" t="n">
        <x:f>'기준스탯 72종'!I45*G940</x:f>
        <x:v>1.6799999999999997</x:v>
      </x:c>
      <x:c r="X940" s="15" t="n">
        <x:f>'기준스탯 72종'!J45*G940</x:f>
        <x:v>0.8399999999999999</x:v>
      </x:c>
      <x:c r="Y940" s="15" t="n">
        <x:f>'기준스탯 72종'!K45*G940</x:f>
        <x:v>0.8399999999999999</x:v>
      </x:c>
      <x:c r="Z940" s="15" t="n">
        <x:f>'기준스탯 72종'!D45*H940</x:f>
        <x:v>1.6200000000000006</x:v>
      </x:c>
      <x:c r="AA940" s="15" t="n">
        <x:f>'기준스탯 72종'!E45*H940</x:f>
        <x:v>1.0800000000000003</x:v>
      </x:c>
      <x:c r="AB940" s="15" t="n">
        <x:f>'기준스탯 72종'!F45*H940</x:f>
        <x:v>1.0800000000000003</x:v>
      </x:c>
      <x:c r="AC940" s="15" t="n">
        <x:f>'기준스탯 72종'!G45*H940</x:f>
        <x:v>1.4400000000000004</x:v>
      </x:c>
      <x:c r="AD940" s="15" t="n">
        <x:f>'기준스탯 72종'!H45*H940</x:f>
        <x:v>0.7200000000000002</x:v>
      </x:c>
      <x:c r="AE940" s="15" t="n">
        <x:f>'기준스탯 72종'!I45*H940</x:f>
        <x:v>1.0800000000000003</x:v>
      </x:c>
      <x:c r="AF940" s="15" t="n">
        <x:f>'기준스탯 72종'!J45*H940</x:f>
        <x:v>0.5400000000000001</x:v>
      </x:c>
      <x:c r="AG940" s="15" t="n">
        <x:f>'기준스탯 72종'!K45*H940</x:f>
        <x:v>0.5400000000000001</x:v>
      </x:c>
    </x:row>
    <x:row r="941" ht="28" customHeight="1">
      <x:c r="A941" s="2" t="n">
        <x:v>934</x:v>
      </x:c>
      <x:c r="B941" s="2" t="n">
        <x:v>38</x:v>
      </x:c>
      <x:c r="C941" s="2" t="str">
        <x:v>천칭자리</x:v>
      </x:c>
      <x:c r="D941" s="2" t="str">
        <x:v>마도사</x:v>
      </x:c>
      <x:c r="E941" s="2" t="n">
        <x:v>4</x:v>
      </x:c>
      <x:c r="F941" s="2" t="n">
        <x:v>2</x:v>
      </x:c>
      <x:c r="G941" s="14" t="n">
        <x:f>('레벨 계산식'!$E$4-E941)*'레벨 계산식'!$B$5</x:f>
        <x:v>0.13999999999999999</x:v>
      </x:c>
      <x:c r="H941" s="14" t="n">
        <x:f>('등급 계산식'!$E$4-F941)*'등급 계산식'!$B$5</x:f>
        <x:v>0.18000000000000005</x:v>
      </x:c>
      <x:c r="I941" s="14" t="n">
        <x:f>1-G941-H941</x:f>
        <x:v>0.6799999999999999</x:v>
      </x:c>
      <x:c r="J941" s="2" t="n">
        <x:f>MAX(1,ROUND('기준스탯 72종'!D45-R941-Z941,0))</x:f>
        <x:v>6</x:v>
      </x:c>
      <x:c r="K941" s="2" t="n">
        <x:f>MAX(1,ROUND('기준스탯 72종'!E45-S941-AA941,0))</x:f>
        <x:v>4</x:v>
      </x:c>
      <x:c r="L941" s="2" t="n">
        <x:f>MAX(1,ROUND('기준스탯 72종'!F45-T941-AB941,0))</x:f>
        <x:v>4</x:v>
      </x:c>
      <x:c r="M941" s="2" t="n">
        <x:f>MAX(1,ROUND('기준스탯 72종'!G45-U941-AC941,0))</x:f>
        <x:v>5</x:v>
      </x:c>
      <x:c r="N941" s="2" t="n">
        <x:f>MAX(0,ROUND('기준스탯 72종'!H45-V941-AD941,0))</x:f>
        <x:v>3</x:v>
      </x:c>
      <x:c r="O941" s="2" t="n">
        <x:f>MAX(0,ROUND('기준스탯 72종'!I45-W941-AE941,0))</x:f>
        <x:v>4</x:v>
      </x:c>
      <x:c r="P941" s="2" t="n">
        <x:f>MAX(0,ROUND('기준스탯 72종'!J45-X941-AF941,0))</x:f>
        <x:v>2</x:v>
      </x:c>
      <x:c r="Q941" s="2" t="n">
        <x:f>MAX(0,ROUND('기준스탯 72종'!K45-Y941-AG941,0))</x:f>
        <x:v>2</x:v>
      </x:c>
      <x:c r="R941" s="15" t="n">
        <x:f>'기준스탯 72종'!D45*G941</x:f>
        <x:v>1.2599999999999998</x:v>
      </x:c>
      <x:c r="S941" s="15" t="n">
        <x:f>'기준스탯 72종'!E45*G941</x:f>
        <x:v>0.8399999999999999</x:v>
      </x:c>
      <x:c r="T941" s="15" t="n">
        <x:f>'기준스탯 72종'!F45*G941</x:f>
        <x:v>0.8399999999999999</x:v>
      </x:c>
      <x:c r="U941" s="15" t="n">
        <x:f>'기준스탯 72종'!G45*G941</x:f>
        <x:v>1.1199999999999999</x:v>
      </x:c>
      <x:c r="V941" s="15" t="n">
        <x:f>'기준스탯 72종'!H45*G941</x:f>
        <x:v>0.5599999999999999</x:v>
      </x:c>
      <x:c r="W941" s="15" t="n">
        <x:f>'기준스탯 72종'!I45*G941</x:f>
        <x:v>0.8399999999999999</x:v>
      </x:c>
      <x:c r="X941" s="15" t="n">
        <x:f>'기준스탯 72종'!J45*G941</x:f>
        <x:v>0.41999999999999993</x:v>
      </x:c>
      <x:c r="Y941" s="15" t="n">
        <x:f>'기준스탯 72종'!K45*G941</x:f>
        <x:v>0.41999999999999993</x:v>
      </x:c>
      <x:c r="Z941" s="15" t="n">
        <x:f>'기준스탯 72종'!D45*H941</x:f>
        <x:v>1.6200000000000006</x:v>
      </x:c>
      <x:c r="AA941" s="15" t="n">
        <x:f>'기준스탯 72종'!E45*H941</x:f>
        <x:v>1.0800000000000003</x:v>
      </x:c>
      <x:c r="AB941" s="15" t="n">
        <x:f>'기준스탯 72종'!F45*H941</x:f>
        <x:v>1.0800000000000003</x:v>
      </x:c>
      <x:c r="AC941" s="15" t="n">
        <x:f>'기준스탯 72종'!G45*H941</x:f>
        <x:v>1.4400000000000004</x:v>
      </x:c>
      <x:c r="AD941" s="15" t="n">
        <x:f>'기준스탯 72종'!H45*H941</x:f>
        <x:v>0.7200000000000002</x:v>
      </x:c>
      <x:c r="AE941" s="15" t="n">
        <x:f>'기준스탯 72종'!I45*H941</x:f>
        <x:v>1.0800000000000003</x:v>
      </x:c>
      <x:c r="AF941" s="15" t="n">
        <x:f>'기준스탯 72종'!J45*H941</x:f>
        <x:v>0.5400000000000001</x:v>
      </x:c>
      <x:c r="AG941" s="15" t="n">
        <x:f>'기준스탯 72종'!K45*H941</x:f>
        <x:v>0.5400000000000001</x:v>
      </x:c>
    </x:row>
    <x:row r="942" ht="28" customHeight="1">
      <x:c r="A942" s="2" t="n">
        <x:v>935</x:v>
      </x:c>
      <x:c r="B942" s="2" t="n">
        <x:v>38</x:v>
      </x:c>
      <x:c r="C942" s="2" t="str">
        <x:v>천칭자리</x:v>
      </x:c>
      <x:c r="D942" s="2" t="str">
        <x:v>마도사</x:v>
      </x:c>
      <x:c r="E942" s="2" t="n">
        <x:v>5</x:v>
      </x:c>
      <x:c r="F942" s="2" t="n">
        <x:v>2</x:v>
      </x:c>
      <x:c r="G942" s="14" t="n">
        <x:f>('레벨 계산식'!$E$4-E942)*'레벨 계산식'!$B$5</x:f>
        <x:v>0</x:v>
      </x:c>
      <x:c r="H942" s="14" t="n">
        <x:f>('등급 계산식'!$E$4-F942)*'등급 계산식'!$B$5</x:f>
        <x:v>0.18000000000000005</x:v>
      </x:c>
      <x:c r="I942" s="14" t="n">
        <x:f>1-G942-H942</x:f>
        <x:v>0.82</x:v>
      </x:c>
      <x:c r="J942" s="2" t="n">
        <x:f>MAX(1,ROUND('기준스탯 72종'!D45-R942-Z942,0))</x:f>
        <x:v>7</x:v>
      </x:c>
      <x:c r="K942" s="2" t="n">
        <x:f>MAX(1,ROUND('기준스탯 72종'!E45-S942-AA942,0))</x:f>
        <x:v>5</x:v>
      </x:c>
      <x:c r="L942" s="2" t="n">
        <x:f>MAX(1,ROUND('기준스탯 72종'!F45-T942-AB942,0))</x:f>
        <x:v>5</x:v>
      </x:c>
      <x:c r="M942" s="2" t="n">
        <x:f>MAX(1,ROUND('기준스탯 72종'!G45-U942-AC942,0))</x:f>
        <x:v>7</x:v>
      </x:c>
      <x:c r="N942" s="2" t="n">
        <x:f>MAX(0,ROUND('기준스탯 72종'!H45-V942-AD942,0))</x:f>
        <x:v>3</x:v>
      </x:c>
      <x:c r="O942" s="2" t="n">
        <x:f>MAX(0,ROUND('기준스탯 72종'!I45-W942-AE942,0))</x:f>
        <x:v>5</x:v>
      </x:c>
      <x:c r="P942" s="2" t="n">
        <x:f>MAX(0,ROUND('기준스탯 72종'!J45-X942-AF942,0))</x:f>
        <x:v>2</x:v>
      </x:c>
      <x:c r="Q942" s="2" t="n">
        <x:f>MAX(0,ROUND('기준스탯 72종'!K45-Y942-AG942,0))</x:f>
        <x:v>2</x:v>
      </x:c>
      <x:c r="R942" s="15" t="n">
        <x:f>'기준스탯 72종'!D45*G942</x:f>
        <x:v>0</x:v>
      </x:c>
      <x:c r="S942" s="15" t="n">
        <x:f>'기준스탯 72종'!E45*G942</x:f>
        <x:v>0</x:v>
      </x:c>
      <x:c r="T942" s="15" t="n">
        <x:f>'기준스탯 72종'!F45*G942</x:f>
        <x:v>0</x:v>
      </x:c>
      <x:c r="U942" s="15" t="n">
        <x:f>'기준스탯 72종'!G45*G942</x:f>
        <x:v>0</x:v>
      </x:c>
      <x:c r="V942" s="15" t="n">
        <x:f>'기준스탯 72종'!H45*G942</x:f>
        <x:v>0</x:v>
      </x:c>
      <x:c r="W942" s="15" t="n">
        <x:f>'기준스탯 72종'!I45*G942</x:f>
        <x:v>0</x:v>
      </x:c>
      <x:c r="X942" s="15" t="n">
        <x:f>'기준스탯 72종'!J45*G942</x:f>
        <x:v>0</x:v>
      </x:c>
      <x:c r="Y942" s="15" t="n">
        <x:f>'기준스탯 72종'!K45*G942</x:f>
        <x:v>0</x:v>
      </x:c>
      <x:c r="Z942" s="15" t="n">
        <x:f>'기준스탯 72종'!D45*H942</x:f>
        <x:v>1.6200000000000006</x:v>
      </x:c>
      <x:c r="AA942" s="15" t="n">
        <x:f>'기준스탯 72종'!E45*H942</x:f>
        <x:v>1.0800000000000003</x:v>
      </x:c>
      <x:c r="AB942" s="15" t="n">
        <x:f>'기준스탯 72종'!F45*H942</x:f>
        <x:v>1.0800000000000003</x:v>
      </x:c>
      <x:c r="AC942" s="15" t="n">
        <x:f>'기준스탯 72종'!G45*H942</x:f>
        <x:v>1.4400000000000004</x:v>
      </x:c>
      <x:c r="AD942" s="15" t="n">
        <x:f>'기준스탯 72종'!H45*H942</x:f>
        <x:v>0.7200000000000002</x:v>
      </x:c>
      <x:c r="AE942" s="15" t="n">
        <x:f>'기준스탯 72종'!I45*H942</x:f>
        <x:v>1.0800000000000003</x:v>
      </x:c>
      <x:c r="AF942" s="15" t="n">
        <x:f>'기준스탯 72종'!J45*H942</x:f>
        <x:v>0.5400000000000001</x:v>
      </x:c>
      <x:c r="AG942" s="15" t="n">
        <x:f>'기준스탯 72종'!K45*H942</x:f>
        <x:v>0.5400000000000001</x:v>
      </x:c>
    </x:row>
    <x:row r="943" ht="28" customHeight="1">
      <x:c r="A943" s="2" t="n">
        <x:v>936</x:v>
      </x:c>
      <x:c r="B943" s="2" t="n">
        <x:v>38</x:v>
      </x:c>
      <x:c r="C943" s="2" t="str">
        <x:v>천칭자리</x:v>
      </x:c>
      <x:c r="D943" s="2" t="str">
        <x:v>마도사</x:v>
      </x:c>
      <x:c r="E943" s="2" t="n">
        <x:v>1</x:v>
      </x:c>
      <x:c r="F943" s="2" t="n">
        <x:v>3</x:v>
      </x:c>
      <x:c r="G943" s="14" t="n">
        <x:f>('레벨 계산식'!$E$4-E943)*'레벨 계산식'!$B$5</x:f>
        <x:v>0.5599999999999999</x:v>
      </x:c>
      <x:c r="H943" s="14" t="n">
        <x:f>('등급 계산식'!$E$4-F943)*'등급 계산식'!$B$5</x:f>
        <x:v>0.12000000000000002</x:v>
      </x:c>
      <x:c r="I943" s="14" t="n">
        <x:f>1-G943-H943</x:f>
        <x:v>0.32000000000000006</x:v>
      </x:c>
      <x:c r="J943" s="2" t="n">
        <x:f>MAX(1,ROUND('기준스탯 72종'!D45-R943-Z943,0))</x:f>
        <x:v>3</x:v>
      </x:c>
      <x:c r="K943" s="2" t="n">
        <x:f>MAX(1,ROUND('기준스탯 72종'!E45-S943-AA943,0))</x:f>
        <x:v>2</x:v>
      </x:c>
      <x:c r="L943" s="2" t="n">
        <x:f>MAX(1,ROUND('기준스탯 72종'!F45-T943-AB943,0))</x:f>
        <x:v>2</x:v>
      </x:c>
      <x:c r="M943" s="2" t="n">
        <x:f>MAX(1,ROUND('기준스탯 72종'!G45-U943-AC943,0))</x:f>
        <x:v>3</x:v>
      </x:c>
      <x:c r="N943" s="2" t="n">
        <x:f>MAX(0,ROUND('기준스탯 72종'!H45-V943-AD943,0))</x:f>
        <x:v>1</x:v>
      </x:c>
      <x:c r="O943" s="2" t="n">
        <x:f>MAX(0,ROUND('기준스탯 72종'!I45-W943-AE943,0))</x:f>
        <x:v>2</x:v>
      </x:c>
      <x:c r="P943" s="2" t="n">
        <x:f>MAX(0,ROUND('기준스탯 72종'!J45-X943-AF943,0))</x:f>
        <x:v>1</x:v>
      </x:c>
      <x:c r="Q943" s="2" t="n">
        <x:f>MAX(0,ROUND('기준스탯 72종'!K45-Y943-AG943,0))</x:f>
        <x:v>1</x:v>
      </x:c>
      <x:c r="R943" s="15" t="n">
        <x:f>'기준스탯 72종'!D45*G943</x:f>
        <x:v>5.039999999999999</x:v>
      </x:c>
      <x:c r="S943" s="15" t="n">
        <x:f>'기준스탯 72종'!E45*G943</x:f>
        <x:v>3.3599999999999994</x:v>
      </x:c>
      <x:c r="T943" s="15" t="n">
        <x:f>'기준스탯 72종'!F45*G943</x:f>
        <x:v>3.3599999999999994</x:v>
      </x:c>
      <x:c r="U943" s="15" t="n">
        <x:f>'기준스탯 72종'!G45*G943</x:f>
        <x:v>4.4799999999999995</x:v>
      </x:c>
      <x:c r="V943" s="15" t="n">
        <x:f>'기준스탯 72종'!H45*G943</x:f>
        <x:v>2.2399999999999998</x:v>
      </x:c>
      <x:c r="W943" s="15" t="n">
        <x:f>'기준스탯 72종'!I45*G943</x:f>
        <x:v>3.3599999999999994</x:v>
      </x:c>
      <x:c r="X943" s="15" t="n">
        <x:f>'기준스탯 72종'!J45*G943</x:f>
        <x:v>1.6799999999999997</x:v>
      </x:c>
      <x:c r="Y943" s="15" t="n">
        <x:f>'기준스탯 72종'!K45*G943</x:f>
        <x:v>1.6799999999999997</x:v>
      </x:c>
      <x:c r="Z943" s="15" t="n">
        <x:f>'기준스탯 72종'!D45*H943</x:f>
        <x:v>1.0800000000000003</x:v>
      </x:c>
      <x:c r="AA943" s="15" t="n">
        <x:f>'기준스탯 72종'!E45*H943</x:f>
        <x:v>0.7200000000000002</x:v>
      </x:c>
      <x:c r="AB943" s="15" t="n">
        <x:f>'기준스탯 72종'!F45*H943</x:f>
        <x:v>0.7200000000000002</x:v>
      </x:c>
      <x:c r="AC943" s="15" t="n">
        <x:f>'기준스탯 72종'!G45*H943</x:f>
        <x:v>0.9600000000000002</x:v>
      </x:c>
      <x:c r="AD943" s="15" t="n">
        <x:f>'기준스탯 72종'!H45*H943</x:f>
        <x:v>0.4800000000000001</x:v>
      </x:c>
      <x:c r="AE943" s="15" t="n">
        <x:f>'기준스탯 72종'!I45*H943</x:f>
        <x:v>0.7200000000000002</x:v>
      </x:c>
      <x:c r="AF943" s="15" t="n">
        <x:f>'기준스탯 72종'!J45*H943</x:f>
        <x:v>0.3600000000000001</x:v>
      </x:c>
      <x:c r="AG943" s="15" t="n">
        <x:f>'기준스탯 72종'!K45*H943</x:f>
        <x:v>0.3600000000000001</x:v>
      </x:c>
    </x:row>
    <x:row r="944" ht="28" customHeight="1">
      <x:c r="A944" s="2" t="n">
        <x:v>937</x:v>
      </x:c>
      <x:c r="B944" s="2" t="n">
        <x:v>38</x:v>
      </x:c>
      <x:c r="C944" s="2" t="str">
        <x:v>천칭자리</x:v>
      </x:c>
      <x:c r="D944" s="2" t="str">
        <x:v>마도사</x:v>
      </x:c>
      <x:c r="E944" s="2" t="n">
        <x:v>2</x:v>
      </x:c>
      <x:c r="F944" s="2" t="n">
        <x:v>3</x:v>
      </x:c>
      <x:c r="G944" s="14" t="n">
        <x:f>('레벨 계산식'!$E$4-E944)*'레벨 계산식'!$B$5</x:f>
        <x:v>0.41999999999999993</x:v>
      </x:c>
      <x:c r="H944" s="14" t="n">
        <x:f>('등급 계산식'!$E$4-F944)*'등급 계산식'!$B$5</x:f>
        <x:v>0.12000000000000002</x:v>
      </x:c>
      <x:c r="I944" s="14" t="n">
        <x:f>1-G944-H944</x:f>
        <x:v>0.4600000000000001</x:v>
      </x:c>
      <x:c r="J944" s="2" t="n">
        <x:f>MAX(1,ROUND('기준스탯 72종'!D45-R944-Z944,0))</x:f>
        <x:v>4</x:v>
      </x:c>
      <x:c r="K944" s="2" t="n">
        <x:f>MAX(1,ROUND('기준스탯 72종'!E45-S944-AA944,0))</x:f>
        <x:v>3</x:v>
      </x:c>
      <x:c r="L944" s="2" t="n">
        <x:f>MAX(1,ROUND('기준스탯 72종'!F45-T944-AB944,0))</x:f>
        <x:v>3</x:v>
      </x:c>
      <x:c r="M944" s="2" t="n">
        <x:f>MAX(1,ROUND('기준스탯 72종'!G45-U944-AC944,0))</x:f>
        <x:v>4</x:v>
      </x:c>
      <x:c r="N944" s="2" t="n">
        <x:f>MAX(0,ROUND('기준스탯 72종'!H45-V944-AD944,0))</x:f>
        <x:v>2</x:v>
      </x:c>
      <x:c r="O944" s="2" t="n">
        <x:f>MAX(0,ROUND('기준스탯 72종'!I45-W944-AE944,0))</x:f>
        <x:v>3</x:v>
      </x:c>
      <x:c r="P944" s="2" t="n">
        <x:f>MAX(0,ROUND('기준스탯 72종'!J45-X944-AF944,0))</x:f>
        <x:v>1</x:v>
      </x:c>
      <x:c r="Q944" s="2" t="n">
        <x:f>MAX(0,ROUND('기준스탯 72종'!K45-Y944-AG944,0))</x:f>
        <x:v>1</x:v>
      </x:c>
      <x:c r="R944" s="15" t="n">
        <x:f>'기준스탯 72종'!D45*G944</x:f>
        <x:v>3.7799999999999994</x:v>
      </x:c>
      <x:c r="S944" s="15" t="n">
        <x:f>'기준스탯 72종'!E45*G944</x:f>
        <x:v>2.5199999999999996</x:v>
      </x:c>
      <x:c r="T944" s="15" t="n">
        <x:f>'기준스탯 72종'!F45*G944</x:f>
        <x:v>2.5199999999999996</x:v>
      </x:c>
      <x:c r="U944" s="15" t="n">
        <x:f>'기준스탯 72종'!G45*G944</x:f>
        <x:v>3.3599999999999994</x:v>
      </x:c>
      <x:c r="V944" s="15" t="n">
        <x:f>'기준스탯 72종'!H45*G944</x:f>
        <x:v>1.6799999999999997</x:v>
      </x:c>
      <x:c r="W944" s="15" t="n">
        <x:f>'기준스탯 72종'!I45*G944</x:f>
        <x:v>2.5199999999999996</x:v>
      </x:c>
      <x:c r="X944" s="15" t="n">
        <x:f>'기준스탯 72종'!J45*G944</x:f>
        <x:v>1.2599999999999998</x:v>
      </x:c>
      <x:c r="Y944" s="15" t="n">
        <x:f>'기준스탯 72종'!K45*G944</x:f>
        <x:v>1.2599999999999998</x:v>
      </x:c>
      <x:c r="Z944" s="15" t="n">
        <x:f>'기준스탯 72종'!D45*H944</x:f>
        <x:v>1.0800000000000003</x:v>
      </x:c>
      <x:c r="AA944" s="15" t="n">
        <x:f>'기준스탯 72종'!E45*H944</x:f>
        <x:v>0.7200000000000002</x:v>
      </x:c>
      <x:c r="AB944" s="15" t="n">
        <x:f>'기준스탯 72종'!F45*H944</x:f>
        <x:v>0.7200000000000002</x:v>
      </x:c>
      <x:c r="AC944" s="15" t="n">
        <x:f>'기준스탯 72종'!G45*H944</x:f>
        <x:v>0.9600000000000002</x:v>
      </x:c>
      <x:c r="AD944" s="15" t="n">
        <x:f>'기준스탯 72종'!H45*H944</x:f>
        <x:v>0.4800000000000001</x:v>
      </x:c>
      <x:c r="AE944" s="15" t="n">
        <x:f>'기준스탯 72종'!I45*H944</x:f>
        <x:v>0.7200000000000002</x:v>
      </x:c>
      <x:c r="AF944" s="15" t="n">
        <x:f>'기준스탯 72종'!J45*H944</x:f>
        <x:v>0.3600000000000001</x:v>
      </x:c>
      <x:c r="AG944" s="15" t="n">
        <x:f>'기준스탯 72종'!K45*H944</x:f>
        <x:v>0.3600000000000001</x:v>
      </x:c>
    </x:row>
    <x:row r="945" ht="28" customHeight="1">
      <x:c r="A945" s="2" t="n">
        <x:v>938</x:v>
      </x:c>
      <x:c r="B945" s="2" t="n">
        <x:v>38</x:v>
      </x:c>
      <x:c r="C945" s="2" t="str">
        <x:v>천칭자리</x:v>
      </x:c>
      <x:c r="D945" s="2" t="str">
        <x:v>마도사</x:v>
      </x:c>
      <x:c r="E945" s="2" t="n">
        <x:v>3</x:v>
      </x:c>
      <x:c r="F945" s="2" t="n">
        <x:v>3</x:v>
      </x:c>
      <x:c r="G945" s="14" t="n">
        <x:f>('레벨 계산식'!$E$4-E945)*'레벨 계산식'!$B$5</x:f>
        <x:v>0.27999999999999997</x:v>
      </x:c>
      <x:c r="H945" s="14" t="n">
        <x:f>('등급 계산식'!$E$4-F945)*'등급 계산식'!$B$5</x:f>
        <x:v>0.12000000000000002</x:v>
      </x:c>
      <x:c r="I945" s="14" t="n">
        <x:f>1-G945-H945</x:f>
        <x:v>0.6</x:v>
      </x:c>
      <x:c r="J945" s="2" t="n">
        <x:f>MAX(1,ROUND('기준스탯 72종'!D45-R945-Z945,0))</x:f>
        <x:v>5</x:v>
      </x:c>
      <x:c r="K945" s="2" t="n">
        <x:f>MAX(1,ROUND('기준스탯 72종'!E45-S945-AA945,0))</x:f>
        <x:v>4</x:v>
      </x:c>
      <x:c r="L945" s="2" t="n">
        <x:f>MAX(1,ROUND('기준스탯 72종'!F45-T945-AB945,0))</x:f>
        <x:v>4</x:v>
      </x:c>
      <x:c r="M945" s="2" t="n">
        <x:f>MAX(1,ROUND('기준스탯 72종'!G45-U945-AC945,0))</x:f>
        <x:v>5</x:v>
      </x:c>
      <x:c r="N945" s="2" t="n">
        <x:f>MAX(0,ROUND('기준스탯 72종'!H45-V945-AD945,0))</x:f>
        <x:v>2</x:v>
      </x:c>
      <x:c r="O945" s="2" t="n">
        <x:f>MAX(0,ROUND('기준스탯 72종'!I45-W945-AE945,0))</x:f>
        <x:v>4</x:v>
      </x:c>
      <x:c r="P945" s="2" t="n">
        <x:f>MAX(0,ROUND('기준스탯 72종'!J45-X945-AF945,0))</x:f>
        <x:v>2</x:v>
      </x:c>
      <x:c r="Q945" s="2" t="n">
        <x:f>MAX(0,ROUND('기준스탯 72종'!K45-Y945-AG945,0))</x:f>
        <x:v>2</x:v>
      </x:c>
      <x:c r="R945" s="15" t="n">
        <x:f>'기준스탯 72종'!D45*G945</x:f>
        <x:v>2.5199999999999996</x:v>
      </x:c>
      <x:c r="S945" s="15" t="n">
        <x:f>'기준스탯 72종'!E45*G945</x:f>
        <x:v>1.6799999999999997</x:v>
      </x:c>
      <x:c r="T945" s="15" t="n">
        <x:f>'기준스탯 72종'!F45*G945</x:f>
        <x:v>1.6799999999999997</x:v>
      </x:c>
      <x:c r="U945" s="15" t="n">
        <x:f>'기준스탯 72종'!G45*G945</x:f>
        <x:v>2.2399999999999998</x:v>
      </x:c>
      <x:c r="V945" s="15" t="n">
        <x:f>'기준스탯 72종'!H45*G945</x:f>
        <x:v>1.1199999999999999</x:v>
      </x:c>
      <x:c r="W945" s="15" t="n">
        <x:f>'기준스탯 72종'!I45*G945</x:f>
        <x:v>1.6799999999999997</x:v>
      </x:c>
      <x:c r="X945" s="15" t="n">
        <x:f>'기준스탯 72종'!J45*G945</x:f>
        <x:v>0.8399999999999999</x:v>
      </x:c>
      <x:c r="Y945" s="15" t="n">
        <x:f>'기준스탯 72종'!K45*G945</x:f>
        <x:v>0.8399999999999999</x:v>
      </x:c>
      <x:c r="Z945" s="15" t="n">
        <x:f>'기준스탯 72종'!D45*H945</x:f>
        <x:v>1.0800000000000003</x:v>
      </x:c>
      <x:c r="AA945" s="15" t="n">
        <x:f>'기준스탯 72종'!E45*H945</x:f>
        <x:v>0.7200000000000002</x:v>
      </x:c>
      <x:c r="AB945" s="15" t="n">
        <x:f>'기준스탯 72종'!F45*H945</x:f>
        <x:v>0.7200000000000002</x:v>
      </x:c>
      <x:c r="AC945" s="15" t="n">
        <x:f>'기준스탯 72종'!G45*H945</x:f>
        <x:v>0.9600000000000002</x:v>
      </x:c>
      <x:c r="AD945" s="15" t="n">
        <x:f>'기준스탯 72종'!H45*H945</x:f>
        <x:v>0.4800000000000001</x:v>
      </x:c>
      <x:c r="AE945" s="15" t="n">
        <x:f>'기준스탯 72종'!I45*H945</x:f>
        <x:v>0.7200000000000002</x:v>
      </x:c>
      <x:c r="AF945" s="15" t="n">
        <x:f>'기준스탯 72종'!J45*H945</x:f>
        <x:v>0.3600000000000001</x:v>
      </x:c>
      <x:c r="AG945" s="15" t="n">
        <x:f>'기준스탯 72종'!K45*H945</x:f>
        <x:v>0.3600000000000001</x:v>
      </x:c>
    </x:row>
    <x:row r="946" ht="28" customHeight="1">
      <x:c r="A946" s="2" t="n">
        <x:v>939</x:v>
      </x:c>
      <x:c r="B946" s="2" t="n">
        <x:v>38</x:v>
      </x:c>
      <x:c r="C946" s="2" t="str">
        <x:v>천칭자리</x:v>
      </x:c>
      <x:c r="D946" s="2" t="str">
        <x:v>마도사</x:v>
      </x:c>
      <x:c r="E946" s="2" t="n">
        <x:v>4</x:v>
      </x:c>
      <x:c r="F946" s="2" t="n">
        <x:v>3</x:v>
      </x:c>
      <x:c r="G946" s="14" t="n">
        <x:f>('레벨 계산식'!$E$4-E946)*'레벨 계산식'!$B$5</x:f>
        <x:v>0.13999999999999999</x:v>
      </x:c>
      <x:c r="H946" s="14" t="n">
        <x:f>('등급 계산식'!$E$4-F946)*'등급 계산식'!$B$5</x:f>
        <x:v>0.12000000000000002</x:v>
      </x:c>
      <x:c r="I946" s="14" t="n">
        <x:f>1-G946-H946</x:f>
        <x:v>0.74</x:v>
      </x:c>
      <x:c r="J946" s="2" t="n">
        <x:f>MAX(1,ROUND('기준스탯 72종'!D45-R946-Z946,0))</x:f>
        <x:v>7</x:v>
      </x:c>
      <x:c r="K946" s="2" t="n">
        <x:f>MAX(1,ROUND('기준스탯 72종'!E45-S946-AA946,0))</x:f>
        <x:v>4</x:v>
      </x:c>
      <x:c r="L946" s="2" t="n">
        <x:f>MAX(1,ROUND('기준스탯 72종'!F45-T946-AB946,0))</x:f>
        <x:v>4</x:v>
      </x:c>
      <x:c r="M946" s="2" t="n">
        <x:f>MAX(1,ROUND('기준스탯 72종'!G45-U946-AC946,0))</x:f>
        <x:v>6</x:v>
      </x:c>
      <x:c r="N946" s="2" t="n">
        <x:f>MAX(0,ROUND('기준스탯 72종'!H45-V946-AD946,0))</x:f>
        <x:v>3</x:v>
      </x:c>
      <x:c r="O946" s="2" t="n">
        <x:f>MAX(0,ROUND('기준스탯 72종'!I45-W946-AE946,0))</x:f>
        <x:v>4</x:v>
      </x:c>
      <x:c r="P946" s="2" t="n">
        <x:f>MAX(0,ROUND('기준스탯 72종'!J45-X946-AF946,0))</x:f>
        <x:v>2</x:v>
      </x:c>
      <x:c r="Q946" s="2" t="n">
        <x:f>MAX(0,ROUND('기준스탯 72종'!K45-Y946-AG946,0))</x:f>
        <x:v>2</x:v>
      </x:c>
      <x:c r="R946" s="15" t="n">
        <x:f>'기준스탯 72종'!D45*G946</x:f>
        <x:v>1.2599999999999998</x:v>
      </x:c>
      <x:c r="S946" s="15" t="n">
        <x:f>'기준스탯 72종'!E45*G946</x:f>
        <x:v>0.8399999999999999</x:v>
      </x:c>
      <x:c r="T946" s="15" t="n">
        <x:f>'기준스탯 72종'!F45*G946</x:f>
        <x:v>0.8399999999999999</x:v>
      </x:c>
      <x:c r="U946" s="15" t="n">
        <x:f>'기준스탯 72종'!G45*G946</x:f>
        <x:v>1.1199999999999999</x:v>
      </x:c>
      <x:c r="V946" s="15" t="n">
        <x:f>'기준스탯 72종'!H45*G946</x:f>
        <x:v>0.5599999999999999</x:v>
      </x:c>
      <x:c r="W946" s="15" t="n">
        <x:f>'기준스탯 72종'!I45*G946</x:f>
        <x:v>0.8399999999999999</x:v>
      </x:c>
      <x:c r="X946" s="15" t="n">
        <x:f>'기준스탯 72종'!J45*G946</x:f>
        <x:v>0.41999999999999993</x:v>
      </x:c>
      <x:c r="Y946" s="15" t="n">
        <x:f>'기준스탯 72종'!K45*G946</x:f>
        <x:v>0.41999999999999993</x:v>
      </x:c>
      <x:c r="Z946" s="15" t="n">
        <x:f>'기준스탯 72종'!D45*H946</x:f>
        <x:v>1.0800000000000003</x:v>
      </x:c>
      <x:c r="AA946" s="15" t="n">
        <x:f>'기준스탯 72종'!E45*H946</x:f>
        <x:v>0.7200000000000002</x:v>
      </x:c>
      <x:c r="AB946" s="15" t="n">
        <x:f>'기준스탯 72종'!F45*H946</x:f>
        <x:v>0.7200000000000002</x:v>
      </x:c>
      <x:c r="AC946" s="15" t="n">
        <x:f>'기준스탯 72종'!G45*H946</x:f>
        <x:v>0.9600000000000002</x:v>
      </x:c>
      <x:c r="AD946" s="15" t="n">
        <x:f>'기준스탯 72종'!H45*H946</x:f>
        <x:v>0.4800000000000001</x:v>
      </x:c>
      <x:c r="AE946" s="15" t="n">
        <x:f>'기준스탯 72종'!I45*H946</x:f>
        <x:v>0.7200000000000002</x:v>
      </x:c>
      <x:c r="AF946" s="15" t="n">
        <x:f>'기준스탯 72종'!J45*H946</x:f>
        <x:v>0.3600000000000001</x:v>
      </x:c>
      <x:c r="AG946" s="15" t="n">
        <x:f>'기준스탯 72종'!K45*H946</x:f>
        <x:v>0.3600000000000001</x:v>
      </x:c>
    </x:row>
    <x:row r="947" ht="28" customHeight="1">
      <x:c r="A947" s="2" t="n">
        <x:v>940</x:v>
      </x:c>
      <x:c r="B947" s="2" t="n">
        <x:v>38</x:v>
      </x:c>
      <x:c r="C947" s="2" t="str">
        <x:v>천칭자리</x:v>
      </x:c>
      <x:c r="D947" s="2" t="str">
        <x:v>마도사</x:v>
      </x:c>
      <x:c r="E947" s="2" t="n">
        <x:v>5</x:v>
      </x:c>
      <x:c r="F947" s="2" t="n">
        <x:v>3</x:v>
      </x:c>
      <x:c r="G947" s="14" t="n">
        <x:f>('레벨 계산식'!$E$4-E947)*'레벨 계산식'!$B$5</x:f>
        <x:v>0</x:v>
      </x:c>
      <x:c r="H947" s="14" t="n">
        <x:f>('등급 계산식'!$E$4-F947)*'등급 계산식'!$B$5</x:f>
        <x:v>0.12000000000000002</x:v>
      </x:c>
      <x:c r="I947" s="14" t="n">
        <x:f>1-G947-H947</x:f>
        <x:v>0.88</x:v>
      </x:c>
      <x:c r="J947" s="2" t="n">
        <x:f>MAX(1,ROUND('기준스탯 72종'!D45-R947-Z947,0))</x:f>
        <x:v>8</x:v>
      </x:c>
      <x:c r="K947" s="2" t="n">
        <x:f>MAX(1,ROUND('기준스탯 72종'!E45-S947-AA947,0))</x:f>
        <x:v>5</x:v>
      </x:c>
      <x:c r="L947" s="2" t="n">
        <x:f>MAX(1,ROUND('기준스탯 72종'!F45-T947-AB947,0))</x:f>
        <x:v>5</x:v>
      </x:c>
      <x:c r="M947" s="2" t="n">
        <x:f>MAX(1,ROUND('기준스탯 72종'!G45-U947-AC947,0))</x:f>
        <x:v>7</x:v>
      </x:c>
      <x:c r="N947" s="2" t="n">
        <x:f>MAX(0,ROUND('기준스탯 72종'!H45-V947-AD947,0))</x:f>
        <x:v>4</x:v>
      </x:c>
      <x:c r="O947" s="2" t="n">
        <x:f>MAX(0,ROUND('기준스탯 72종'!I45-W947-AE947,0))</x:f>
        <x:v>5</x:v>
      </x:c>
      <x:c r="P947" s="2" t="n">
        <x:f>MAX(0,ROUND('기준스탯 72종'!J45-X947-AF947,0))</x:f>
        <x:v>3</x:v>
      </x:c>
      <x:c r="Q947" s="2" t="n">
        <x:f>MAX(0,ROUND('기준스탯 72종'!K45-Y947-AG947,0))</x:f>
        <x:v>3</x:v>
      </x:c>
      <x:c r="R947" s="15" t="n">
        <x:f>'기준스탯 72종'!D45*G947</x:f>
        <x:v>0</x:v>
      </x:c>
      <x:c r="S947" s="15" t="n">
        <x:f>'기준스탯 72종'!E45*G947</x:f>
        <x:v>0</x:v>
      </x:c>
      <x:c r="T947" s="15" t="n">
        <x:f>'기준스탯 72종'!F45*G947</x:f>
        <x:v>0</x:v>
      </x:c>
      <x:c r="U947" s="15" t="n">
        <x:f>'기준스탯 72종'!G45*G947</x:f>
        <x:v>0</x:v>
      </x:c>
      <x:c r="V947" s="15" t="n">
        <x:f>'기준스탯 72종'!H45*G947</x:f>
        <x:v>0</x:v>
      </x:c>
      <x:c r="W947" s="15" t="n">
        <x:f>'기준스탯 72종'!I45*G947</x:f>
        <x:v>0</x:v>
      </x:c>
      <x:c r="X947" s="15" t="n">
        <x:f>'기준스탯 72종'!J45*G947</x:f>
        <x:v>0</x:v>
      </x:c>
      <x:c r="Y947" s="15" t="n">
        <x:f>'기준스탯 72종'!K45*G947</x:f>
        <x:v>0</x:v>
      </x:c>
      <x:c r="Z947" s="15" t="n">
        <x:f>'기준스탯 72종'!D45*H947</x:f>
        <x:v>1.0800000000000003</x:v>
      </x:c>
      <x:c r="AA947" s="15" t="n">
        <x:f>'기준스탯 72종'!E45*H947</x:f>
        <x:v>0.7200000000000002</x:v>
      </x:c>
      <x:c r="AB947" s="15" t="n">
        <x:f>'기준스탯 72종'!F45*H947</x:f>
        <x:v>0.7200000000000002</x:v>
      </x:c>
      <x:c r="AC947" s="15" t="n">
        <x:f>'기준스탯 72종'!G45*H947</x:f>
        <x:v>0.9600000000000002</x:v>
      </x:c>
      <x:c r="AD947" s="15" t="n">
        <x:f>'기준스탯 72종'!H45*H947</x:f>
        <x:v>0.4800000000000001</x:v>
      </x:c>
      <x:c r="AE947" s="15" t="n">
        <x:f>'기준스탯 72종'!I45*H947</x:f>
        <x:v>0.7200000000000002</x:v>
      </x:c>
      <x:c r="AF947" s="15" t="n">
        <x:f>'기준스탯 72종'!J45*H947</x:f>
        <x:v>0.3600000000000001</x:v>
      </x:c>
      <x:c r="AG947" s="15" t="n">
        <x:f>'기준스탯 72종'!K45*H947</x:f>
        <x:v>0.3600000000000001</x:v>
      </x:c>
    </x:row>
    <x:row r="948" ht="28" customHeight="1">
      <x:c r="A948" s="2" t="n">
        <x:v>941</x:v>
      </x:c>
      <x:c r="B948" s="2" t="n">
        <x:v>38</x:v>
      </x:c>
      <x:c r="C948" s="2" t="str">
        <x:v>천칭자리</x:v>
      </x:c>
      <x:c r="D948" s="2" t="str">
        <x:v>마도사</x:v>
      </x:c>
      <x:c r="E948" s="2" t="n">
        <x:v>1</x:v>
      </x:c>
      <x:c r="F948" s="2" t="n">
        <x:v>4</x:v>
      </x:c>
      <x:c r="G948" s="14" t="n">
        <x:f>('레벨 계산식'!$E$4-E948)*'레벨 계산식'!$B$5</x:f>
        <x:v>0.5599999999999999</x:v>
      </x:c>
      <x:c r="H948" s="14" t="n">
        <x:f>('등급 계산식'!$E$4-F948)*'등급 계산식'!$B$5</x:f>
        <x:v>0.06000000000000001</x:v>
      </x:c>
      <x:c r="I948" s="14" t="n">
        <x:f>1-G948-H948</x:f>
        <x:v>0.38000000000000006</x:v>
      </x:c>
      <x:c r="J948" s="2" t="n">
        <x:f>MAX(1,ROUND('기준스탯 72종'!D45-R948-Z948,0))</x:f>
        <x:v>3</x:v>
      </x:c>
      <x:c r="K948" s="2" t="n">
        <x:f>MAX(1,ROUND('기준스탯 72종'!E45-S948-AA948,0))</x:f>
        <x:v>2</x:v>
      </x:c>
      <x:c r="L948" s="2" t="n">
        <x:f>MAX(1,ROUND('기준스탯 72종'!F45-T948-AB948,0))</x:f>
        <x:v>2</x:v>
      </x:c>
      <x:c r="M948" s="2" t="n">
        <x:f>MAX(1,ROUND('기준스탯 72종'!G45-U948-AC948,0))</x:f>
        <x:v>3</x:v>
      </x:c>
      <x:c r="N948" s="2" t="n">
        <x:f>MAX(0,ROUND('기준스탯 72종'!H45-V948-AD948,0))</x:f>
        <x:v>2</x:v>
      </x:c>
      <x:c r="O948" s="2" t="n">
        <x:f>MAX(0,ROUND('기준스탯 72종'!I45-W948-AE948,0))</x:f>
        <x:v>2</x:v>
      </x:c>
      <x:c r="P948" s="2" t="n">
        <x:f>MAX(0,ROUND('기준스탯 72종'!J45-X948-AF948,0))</x:f>
        <x:v>1</x:v>
      </x:c>
      <x:c r="Q948" s="2" t="n">
        <x:f>MAX(0,ROUND('기준스탯 72종'!K45-Y948-AG948,0))</x:f>
        <x:v>1</x:v>
      </x:c>
      <x:c r="R948" s="15" t="n">
        <x:f>'기준스탯 72종'!D45*G948</x:f>
        <x:v>5.039999999999999</x:v>
      </x:c>
      <x:c r="S948" s="15" t="n">
        <x:f>'기준스탯 72종'!E45*G948</x:f>
        <x:v>3.3599999999999994</x:v>
      </x:c>
      <x:c r="T948" s="15" t="n">
        <x:f>'기준스탯 72종'!F45*G948</x:f>
        <x:v>3.3599999999999994</x:v>
      </x:c>
      <x:c r="U948" s="15" t="n">
        <x:f>'기준스탯 72종'!G45*G948</x:f>
        <x:v>4.4799999999999995</x:v>
      </x:c>
      <x:c r="V948" s="15" t="n">
        <x:f>'기준스탯 72종'!H45*G948</x:f>
        <x:v>2.2399999999999998</x:v>
      </x:c>
      <x:c r="W948" s="15" t="n">
        <x:f>'기준스탯 72종'!I45*G948</x:f>
        <x:v>3.3599999999999994</x:v>
      </x:c>
      <x:c r="X948" s="15" t="n">
        <x:f>'기준스탯 72종'!J45*G948</x:f>
        <x:v>1.6799999999999997</x:v>
      </x:c>
      <x:c r="Y948" s="15" t="n">
        <x:f>'기준스탯 72종'!K45*G948</x:f>
        <x:v>1.6799999999999997</x:v>
      </x:c>
      <x:c r="Z948" s="15" t="n">
        <x:f>'기준스탯 72종'!D45*H948</x:f>
        <x:v>0.5400000000000001</x:v>
      </x:c>
      <x:c r="AA948" s="15" t="n">
        <x:f>'기준스탯 72종'!E45*H948</x:f>
        <x:v>0.3600000000000001</x:v>
      </x:c>
      <x:c r="AB948" s="15" t="n">
        <x:f>'기준스탯 72종'!F45*H948</x:f>
        <x:v>0.3600000000000001</x:v>
      </x:c>
      <x:c r="AC948" s="15" t="n">
        <x:f>'기준스탯 72종'!G45*H948</x:f>
        <x:v>0.4800000000000001</x:v>
      </x:c>
      <x:c r="AD948" s="15" t="n">
        <x:f>'기준스탯 72종'!H45*H948</x:f>
        <x:v>0.24000000000000005</x:v>
      </x:c>
      <x:c r="AE948" s="15" t="n">
        <x:f>'기준스탯 72종'!I45*H948</x:f>
        <x:v>0.3600000000000001</x:v>
      </x:c>
      <x:c r="AF948" s="15" t="n">
        <x:f>'기준스탯 72종'!J45*H948</x:f>
        <x:v>0.18000000000000005</x:v>
      </x:c>
      <x:c r="AG948" s="15" t="n">
        <x:f>'기준스탯 72종'!K45*H948</x:f>
        <x:v>0.18000000000000005</x:v>
      </x:c>
    </x:row>
    <x:row r="949" ht="28" customHeight="1">
      <x:c r="A949" s="2" t="n">
        <x:v>942</x:v>
      </x:c>
      <x:c r="B949" s="2" t="n">
        <x:v>38</x:v>
      </x:c>
      <x:c r="C949" s="2" t="str">
        <x:v>천칭자리</x:v>
      </x:c>
      <x:c r="D949" s="2" t="str">
        <x:v>마도사</x:v>
      </x:c>
      <x:c r="E949" s="2" t="n">
        <x:v>2</x:v>
      </x:c>
      <x:c r="F949" s="2" t="n">
        <x:v>4</x:v>
      </x:c>
      <x:c r="G949" s="14" t="n">
        <x:f>('레벨 계산식'!$E$4-E949)*'레벨 계산식'!$B$5</x:f>
        <x:v>0.41999999999999993</x:v>
      </x:c>
      <x:c r="H949" s="14" t="n">
        <x:f>('등급 계산식'!$E$4-F949)*'등급 계산식'!$B$5</x:f>
        <x:v>0.06000000000000001</x:v>
      </x:c>
      <x:c r="I949" s="14" t="n">
        <x:f>1-G949-H949</x:f>
        <x:v>0.52</x:v>
      </x:c>
      <x:c r="J949" s="2" t="n">
        <x:f>MAX(1,ROUND('기준스탯 72종'!D45-R949-Z949,0))</x:f>
        <x:v>5</x:v>
      </x:c>
      <x:c r="K949" s="2" t="n">
        <x:f>MAX(1,ROUND('기준스탯 72종'!E45-S949-AA949,0))</x:f>
        <x:v>3</x:v>
      </x:c>
      <x:c r="L949" s="2" t="n">
        <x:f>MAX(1,ROUND('기준스탯 72종'!F45-T949-AB949,0))</x:f>
        <x:v>3</x:v>
      </x:c>
      <x:c r="M949" s="2" t="n">
        <x:f>MAX(1,ROUND('기준스탯 72종'!G45-U949-AC949,0))</x:f>
        <x:v>4</x:v>
      </x:c>
      <x:c r="N949" s="2" t="n">
        <x:f>MAX(0,ROUND('기준스탯 72종'!H45-V949-AD949,0))</x:f>
        <x:v>2</x:v>
      </x:c>
      <x:c r="O949" s="2" t="n">
        <x:f>MAX(0,ROUND('기준스탯 72종'!I45-W949-AE949,0))</x:f>
        <x:v>3</x:v>
      </x:c>
      <x:c r="P949" s="2" t="n">
        <x:f>MAX(0,ROUND('기준스탯 72종'!J45-X949-AF949,0))</x:f>
        <x:v>2</x:v>
      </x:c>
      <x:c r="Q949" s="2" t="n">
        <x:f>MAX(0,ROUND('기준스탯 72종'!K45-Y949-AG949,0))</x:f>
        <x:v>2</x:v>
      </x:c>
      <x:c r="R949" s="15" t="n">
        <x:f>'기준스탯 72종'!D45*G949</x:f>
        <x:v>3.7799999999999994</x:v>
      </x:c>
      <x:c r="S949" s="15" t="n">
        <x:f>'기준스탯 72종'!E45*G949</x:f>
        <x:v>2.5199999999999996</x:v>
      </x:c>
      <x:c r="T949" s="15" t="n">
        <x:f>'기준스탯 72종'!F45*G949</x:f>
        <x:v>2.5199999999999996</x:v>
      </x:c>
      <x:c r="U949" s="15" t="n">
        <x:f>'기준스탯 72종'!G45*G949</x:f>
        <x:v>3.3599999999999994</x:v>
      </x:c>
      <x:c r="V949" s="15" t="n">
        <x:f>'기준스탯 72종'!H45*G949</x:f>
        <x:v>1.6799999999999997</x:v>
      </x:c>
      <x:c r="W949" s="15" t="n">
        <x:f>'기준스탯 72종'!I45*G949</x:f>
        <x:v>2.5199999999999996</x:v>
      </x:c>
      <x:c r="X949" s="15" t="n">
        <x:f>'기준스탯 72종'!J45*G949</x:f>
        <x:v>1.2599999999999998</x:v>
      </x:c>
      <x:c r="Y949" s="15" t="n">
        <x:f>'기준스탯 72종'!K45*G949</x:f>
        <x:v>1.2599999999999998</x:v>
      </x:c>
      <x:c r="Z949" s="15" t="n">
        <x:f>'기준스탯 72종'!D45*H949</x:f>
        <x:v>0.5400000000000001</x:v>
      </x:c>
      <x:c r="AA949" s="15" t="n">
        <x:f>'기준스탯 72종'!E45*H949</x:f>
        <x:v>0.3600000000000001</x:v>
      </x:c>
      <x:c r="AB949" s="15" t="n">
        <x:f>'기준스탯 72종'!F45*H949</x:f>
        <x:v>0.3600000000000001</x:v>
      </x:c>
      <x:c r="AC949" s="15" t="n">
        <x:f>'기준스탯 72종'!G45*H949</x:f>
        <x:v>0.4800000000000001</x:v>
      </x:c>
      <x:c r="AD949" s="15" t="n">
        <x:f>'기준스탯 72종'!H45*H949</x:f>
        <x:v>0.24000000000000005</x:v>
      </x:c>
      <x:c r="AE949" s="15" t="n">
        <x:f>'기준스탯 72종'!I45*H949</x:f>
        <x:v>0.3600000000000001</x:v>
      </x:c>
      <x:c r="AF949" s="15" t="n">
        <x:f>'기준스탯 72종'!J45*H949</x:f>
        <x:v>0.18000000000000005</x:v>
      </x:c>
      <x:c r="AG949" s="15" t="n">
        <x:f>'기준스탯 72종'!K45*H949</x:f>
        <x:v>0.18000000000000005</x:v>
      </x:c>
    </x:row>
    <x:row r="950" ht="28" customHeight="1">
      <x:c r="A950" s="2" t="n">
        <x:v>943</x:v>
      </x:c>
      <x:c r="B950" s="2" t="n">
        <x:v>38</x:v>
      </x:c>
      <x:c r="C950" s="2" t="str">
        <x:v>천칭자리</x:v>
      </x:c>
      <x:c r="D950" s="2" t="str">
        <x:v>마도사</x:v>
      </x:c>
      <x:c r="E950" s="2" t="n">
        <x:v>3</x:v>
      </x:c>
      <x:c r="F950" s="2" t="n">
        <x:v>4</x:v>
      </x:c>
      <x:c r="G950" s="14" t="n">
        <x:f>('레벨 계산식'!$E$4-E950)*'레벨 계산식'!$B$5</x:f>
        <x:v>0.27999999999999997</x:v>
      </x:c>
      <x:c r="H950" s="14" t="n">
        <x:f>('등급 계산식'!$E$4-F950)*'등급 계산식'!$B$5</x:f>
        <x:v>0.06000000000000001</x:v>
      </x:c>
      <x:c r="I950" s="14" t="n">
        <x:f>1-G950-H950</x:f>
        <x:v>0.6599999999999999</x:v>
      </x:c>
      <x:c r="J950" s="2" t="n">
        <x:f>MAX(1,ROUND('기준스탯 72종'!D45-R950-Z950,0))</x:f>
        <x:v>6</x:v>
      </x:c>
      <x:c r="K950" s="2" t="n">
        <x:f>MAX(1,ROUND('기준스탯 72종'!E45-S950-AA950,0))</x:f>
        <x:v>4</x:v>
      </x:c>
      <x:c r="L950" s="2" t="n">
        <x:f>MAX(1,ROUND('기준스탯 72종'!F45-T950-AB950,0))</x:f>
        <x:v>4</x:v>
      </x:c>
      <x:c r="M950" s="2" t="n">
        <x:f>MAX(1,ROUND('기준스탯 72종'!G45-U950-AC950,0))</x:f>
        <x:v>5</x:v>
      </x:c>
      <x:c r="N950" s="2" t="n">
        <x:f>MAX(0,ROUND('기준스탯 72종'!H45-V950-AD950,0))</x:f>
        <x:v>3</x:v>
      </x:c>
      <x:c r="O950" s="2" t="n">
        <x:f>MAX(0,ROUND('기준스탯 72종'!I45-W950-AE950,0))</x:f>
        <x:v>4</x:v>
      </x:c>
      <x:c r="P950" s="2" t="n">
        <x:f>MAX(0,ROUND('기준스탯 72종'!J45-X950-AF950,0))</x:f>
        <x:v>2</x:v>
      </x:c>
      <x:c r="Q950" s="2" t="n">
        <x:f>MAX(0,ROUND('기준스탯 72종'!K45-Y950-AG950,0))</x:f>
        <x:v>2</x:v>
      </x:c>
      <x:c r="R950" s="15" t="n">
        <x:f>'기준스탯 72종'!D45*G950</x:f>
        <x:v>2.5199999999999996</x:v>
      </x:c>
      <x:c r="S950" s="15" t="n">
        <x:f>'기준스탯 72종'!E45*G950</x:f>
        <x:v>1.6799999999999997</x:v>
      </x:c>
      <x:c r="T950" s="15" t="n">
        <x:f>'기준스탯 72종'!F45*G950</x:f>
        <x:v>1.6799999999999997</x:v>
      </x:c>
      <x:c r="U950" s="15" t="n">
        <x:f>'기준스탯 72종'!G45*G950</x:f>
        <x:v>2.2399999999999998</x:v>
      </x:c>
      <x:c r="V950" s="15" t="n">
        <x:f>'기준스탯 72종'!H45*G950</x:f>
        <x:v>1.1199999999999999</x:v>
      </x:c>
      <x:c r="W950" s="15" t="n">
        <x:f>'기준스탯 72종'!I45*G950</x:f>
        <x:v>1.6799999999999997</x:v>
      </x:c>
      <x:c r="X950" s="15" t="n">
        <x:f>'기준스탯 72종'!J45*G950</x:f>
        <x:v>0.8399999999999999</x:v>
      </x:c>
      <x:c r="Y950" s="15" t="n">
        <x:f>'기준스탯 72종'!K45*G950</x:f>
        <x:v>0.8399999999999999</x:v>
      </x:c>
      <x:c r="Z950" s="15" t="n">
        <x:f>'기준스탯 72종'!D45*H950</x:f>
        <x:v>0.5400000000000001</x:v>
      </x:c>
      <x:c r="AA950" s="15" t="n">
        <x:f>'기준스탯 72종'!E45*H950</x:f>
        <x:v>0.3600000000000001</x:v>
      </x:c>
      <x:c r="AB950" s="15" t="n">
        <x:f>'기준스탯 72종'!F45*H950</x:f>
        <x:v>0.3600000000000001</x:v>
      </x:c>
      <x:c r="AC950" s="15" t="n">
        <x:f>'기준스탯 72종'!G45*H950</x:f>
        <x:v>0.4800000000000001</x:v>
      </x:c>
      <x:c r="AD950" s="15" t="n">
        <x:f>'기준스탯 72종'!H45*H950</x:f>
        <x:v>0.24000000000000005</x:v>
      </x:c>
      <x:c r="AE950" s="15" t="n">
        <x:f>'기준스탯 72종'!I45*H950</x:f>
        <x:v>0.3600000000000001</x:v>
      </x:c>
      <x:c r="AF950" s="15" t="n">
        <x:f>'기준스탯 72종'!J45*H950</x:f>
        <x:v>0.18000000000000005</x:v>
      </x:c>
      <x:c r="AG950" s="15" t="n">
        <x:f>'기준스탯 72종'!K45*H950</x:f>
        <x:v>0.18000000000000005</x:v>
      </x:c>
    </x:row>
    <x:row r="951" ht="28" customHeight="1">
      <x:c r="A951" s="2" t="n">
        <x:v>944</x:v>
      </x:c>
      <x:c r="B951" s="2" t="n">
        <x:v>38</x:v>
      </x:c>
      <x:c r="C951" s="2" t="str">
        <x:v>천칭자리</x:v>
      </x:c>
      <x:c r="D951" s="2" t="str">
        <x:v>마도사</x:v>
      </x:c>
      <x:c r="E951" s="2" t="n">
        <x:v>4</x:v>
      </x:c>
      <x:c r="F951" s="2" t="n">
        <x:v>4</x:v>
      </x:c>
      <x:c r="G951" s="14" t="n">
        <x:f>('레벨 계산식'!$E$4-E951)*'레벨 계산식'!$B$5</x:f>
        <x:v>0.13999999999999999</x:v>
      </x:c>
      <x:c r="H951" s="14" t="n">
        <x:f>('등급 계산식'!$E$4-F951)*'등급 계산식'!$B$5</x:f>
        <x:v>0.06000000000000001</x:v>
      </x:c>
      <x:c r="I951" s="14" t="n">
        <x:f>1-G951-H951</x:f>
        <x:v>0.7999999999999999</x:v>
      </x:c>
      <x:c r="J951" s="2" t="n">
        <x:f>MAX(1,ROUND('기준스탯 72종'!D45-R951-Z951,0))</x:f>
        <x:v>7</x:v>
      </x:c>
      <x:c r="K951" s="2" t="n">
        <x:f>MAX(1,ROUND('기준스탯 72종'!E45-S951-AA951,0))</x:f>
        <x:v>5</x:v>
      </x:c>
      <x:c r="L951" s="2" t="n">
        <x:f>MAX(1,ROUND('기준스탯 72종'!F45-T951-AB951,0))</x:f>
        <x:v>5</x:v>
      </x:c>
      <x:c r="M951" s="2" t="n">
        <x:f>MAX(1,ROUND('기준스탯 72종'!G45-U951-AC951,0))</x:f>
        <x:v>6</x:v>
      </x:c>
      <x:c r="N951" s="2" t="n">
        <x:f>MAX(0,ROUND('기준스탯 72종'!H45-V951-AD951,0))</x:f>
        <x:v>3</x:v>
      </x:c>
      <x:c r="O951" s="2" t="n">
        <x:f>MAX(0,ROUND('기준스탯 72종'!I45-W951-AE951,0))</x:f>
        <x:v>5</x:v>
      </x:c>
      <x:c r="P951" s="2" t="n">
        <x:f>MAX(0,ROUND('기준스탯 72종'!J45-X951-AF951,0))</x:f>
        <x:v>2</x:v>
      </x:c>
      <x:c r="Q951" s="2" t="n">
        <x:f>MAX(0,ROUND('기준스탯 72종'!K45-Y951-AG951,0))</x:f>
        <x:v>2</x:v>
      </x:c>
      <x:c r="R951" s="15" t="n">
        <x:f>'기준스탯 72종'!D45*G951</x:f>
        <x:v>1.2599999999999998</x:v>
      </x:c>
      <x:c r="S951" s="15" t="n">
        <x:f>'기준스탯 72종'!E45*G951</x:f>
        <x:v>0.8399999999999999</x:v>
      </x:c>
      <x:c r="T951" s="15" t="n">
        <x:f>'기준스탯 72종'!F45*G951</x:f>
        <x:v>0.8399999999999999</x:v>
      </x:c>
      <x:c r="U951" s="15" t="n">
        <x:f>'기준스탯 72종'!G45*G951</x:f>
        <x:v>1.1199999999999999</x:v>
      </x:c>
      <x:c r="V951" s="15" t="n">
        <x:f>'기준스탯 72종'!H45*G951</x:f>
        <x:v>0.5599999999999999</x:v>
      </x:c>
      <x:c r="W951" s="15" t="n">
        <x:f>'기준스탯 72종'!I45*G951</x:f>
        <x:v>0.8399999999999999</x:v>
      </x:c>
      <x:c r="X951" s="15" t="n">
        <x:f>'기준스탯 72종'!J45*G951</x:f>
        <x:v>0.41999999999999993</x:v>
      </x:c>
      <x:c r="Y951" s="15" t="n">
        <x:f>'기준스탯 72종'!K45*G951</x:f>
        <x:v>0.41999999999999993</x:v>
      </x:c>
      <x:c r="Z951" s="15" t="n">
        <x:f>'기준스탯 72종'!D45*H951</x:f>
        <x:v>0.5400000000000001</x:v>
      </x:c>
      <x:c r="AA951" s="15" t="n">
        <x:f>'기준스탯 72종'!E45*H951</x:f>
        <x:v>0.3600000000000001</x:v>
      </x:c>
      <x:c r="AB951" s="15" t="n">
        <x:f>'기준스탯 72종'!F45*H951</x:f>
        <x:v>0.3600000000000001</x:v>
      </x:c>
      <x:c r="AC951" s="15" t="n">
        <x:f>'기준스탯 72종'!G45*H951</x:f>
        <x:v>0.4800000000000001</x:v>
      </x:c>
      <x:c r="AD951" s="15" t="n">
        <x:f>'기준스탯 72종'!H45*H951</x:f>
        <x:v>0.24000000000000005</x:v>
      </x:c>
      <x:c r="AE951" s="15" t="n">
        <x:f>'기준스탯 72종'!I45*H951</x:f>
        <x:v>0.3600000000000001</x:v>
      </x:c>
      <x:c r="AF951" s="15" t="n">
        <x:f>'기준스탯 72종'!J45*H951</x:f>
        <x:v>0.18000000000000005</x:v>
      </x:c>
      <x:c r="AG951" s="15" t="n">
        <x:f>'기준스탯 72종'!K45*H951</x:f>
        <x:v>0.18000000000000005</x:v>
      </x:c>
    </x:row>
    <x:row r="952" ht="28" customHeight="1">
      <x:c r="A952" s="2" t="n">
        <x:v>945</x:v>
      </x:c>
      <x:c r="B952" s="2" t="n">
        <x:v>38</x:v>
      </x:c>
      <x:c r="C952" s="2" t="str">
        <x:v>천칭자리</x:v>
      </x:c>
      <x:c r="D952" s="2" t="str">
        <x:v>마도사</x:v>
      </x:c>
      <x:c r="E952" s="2" t="n">
        <x:v>5</x:v>
      </x:c>
      <x:c r="F952" s="2" t="n">
        <x:v>4</x:v>
      </x:c>
      <x:c r="G952" s="14" t="n">
        <x:f>('레벨 계산식'!$E$4-E952)*'레벨 계산식'!$B$5</x:f>
        <x:v>0</x:v>
      </x:c>
      <x:c r="H952" s="14" t="n">
        <x:f>('등급 계산식'!$E$4-F952)*'등급 계산식'!$B$5</x:f>
        <x:v>0.06000000000000001</x:v>
      </x:c>
      <x:c r="I952" s="14" t="n">
        <x:f>1-G952-H952</x:f>
        <x:v>0.94</x:v>
      </x:c>
      <x:c r="J952" s="2" t="n">
        <x:f>MAX(1,ROUND('기준스탯 72종'!D45-R952-Z952,0))</x:f>
        <x:v>8</x:v>
      </x:c>
      <x:c r="K952" s="2" t="n">
        <x:f>MAX(1,ROUND('기준스탯 72종'!E45-S952-AA952,0))</x:f>
        <x:v>6</x:v>
      </x:c>
      <x:c r="L952" s="2" t="n">
        <x:f>MAX(1,ROUND('기준스탯 72종'!F45-T952-AB952,0))</x:f>
        <x:v>6</x:v>
      </x:c>
      <x:c r="M952" s="2" t="n">
        <x:f>MAX(1,ROUND('기준스탯 72종'!G45-U952-AC952,0))</x:f>
        <x:v>8</x:v>
      </x:c>
      <x:c r="N952" s="2" t="n">
        <x:f>MAX(0,ROUND('기준스탯 72종'!H45-V952-AD952,0))</x:f>
        <x:v>4</x:v>
      </x:c>
      <x:c r="O952" s="2" t="n">
        <x:f>MAX(0,ROUND('기준스탯 72종'!I45-W952-AE952,0))</x:f>
        <x:v>6</x:v>
      </x:c>
      <x:c r="P952" s="2" t="n">
        <x:f>MAX(0,ROUND('기준스탯 72종'!J45-X952-AF952,0))</x:f>
        <x:v>3</x:v>
      </x:c>
      <x:c r="Q952" s="2" t="n">
        <x:f>MAX(0,ROUND('기준스탯 72종'!K45-Y952-AG952,0))</x:f>
        <x:v>3</x:v>
      </x:c>
      <x:c r="R952" s="15" t="n">
        <x:f>'기준스탯 72종'!D45*G952</x:f>
        <x:v>0</x:v>
      </x:c>
      <x:c r="S952" s="15" t="n">
        <x:f>'기준스탯 72종'!E45*G952</x:f>
        <x:v>0</x:v>
      </x:c>
      <x:c r="T952" s="15" t="n">
        <x:f>'기준스탯 72종'!F45*G952</x:f>
        <x:v>0</x:v>
      </x:c>
      <x:c r="U952" s="15" t="n">
        <x:f>'기준스탯 72종'!G45*G952</x:f>
        <x:v>0</x:v>
      </x:c>
      <x:c r="V952" s="15" t="n">
        <x:f>'기준스탯 72종'!H45*G952</x:f>
        <x:v>0</x:v>
      </x:c>
      <x:c r="W952" s="15" t="n">
        <x:f>'기준스탯 72종'!I45*G952</x:f>
        <x:v>0</x:v>
      </x:c>
      <x:c r="X952" s="15" t="n">
        <x:f>'기준스탯 72종'!J45*G952</x:f>
        <x:v>0</x:v>
      </x:c>
      <x:c r="Y952" s="15" t="n">
        <x:f>'기준스탯 72종'!K45*G952</x:f>
        <x:v>0</x:v>
      </x:c>
      <x:c r="Z952" s="15" t="n">
        <x:f>'기준스탯 72종'!D45*H952</x:f>
        <x:v>0.5400000000000001</x:v>
      </x:c>
      <x:c r="AA952" s="15" t="n">
        <x:f>'기준스탯 72종'!E45*H952</x:f>
        <x:v>0.3600000000000001</x:v>
      </x:c>
      <x:c r="AB952" s="15" t="n">
        <x:f>'기준스탯 72종'!F45*H952</x:f>
        <x:v>0.3600000000000001</x:v>
      </x:c>
      <x:c r="AC952" s="15" t="n">
        <x:f>'기준스탯 72종'!G45*H952</x:f>
        <x:v>0.4800000000000001</x:v>
      </x:c>
      <x:c r="AD952" s="15" t="n">
        <x:f>'기준스탯 72종'!H45*H952</x:f>
        <x:v>0.24000000000000005</x:v>
      </x:c>
      <x:c r="AE952" s="15" t="n">
        <x:f>'기준스탯 72종'!I45*H952</x:f>
        <x:v>0.3600000000000001</x:v>
      </x:c>
      <x:c r="AF952" s="15" t="n">
        <x:f>'기준스탯 72종'!J45*H952</x:f>
        <x:v>0.18000000000000005</x:v>
      </x:c>
      <x:c r="AG952" s="15" t="n">
        <x:f>'기준스탯 72종'!K45*H952</x:f>
        <x:v>0.18000000000000005</x:v>
      </x:c>
    </x:row>
    <x:row r="953" ht="28" customHeight="1">
      <x:c r="A953" s="2" t="n">
        <x:v>946</x:v>
      </x:c>
      <x:c r="B953" s="2" t="n">
        <x:v>38</x:v>
      </x:c>
      <x:c r="C953" s="2" t="str">
        <x:v>천칭자리</x:v>
      </x:c>
      <x:c r="D953" s="2" t="str">
        <x:v>마도사</x:v>
      </x:c>
      <x:c r="E953" s="2" t="n">
        <x:v>1</x:v>
      </x:c>
      <x:c r="F953" s="2" t="n">
        <x:v>5</x:v>
      </x:c>
      <x:c r="G953" s="14" t="n">
        <x:f>('레벨 계산식'!$E$4-E953)*'레벨 계산식'!$B$5</x:f>
        <x:v>0.5599999999999999</x:v>
      </x:c>
      <x:c r="H953" s="14" t="n">
        <x:f>('등급 계산식'!$E$4-F953)*'등급 계산식'!$B$5</x:f>
        <x:v>0</x:v>
      </x:c>
      <x:c r="I953" s="14" t="n">
        <x:f>1-G953-H953</x:f>
        <x:v>0.44000000000000006</x:v>
      </x:c>
      <x:c r="J953" s="2" t="n">
        <x:f>MAX(1,ROUND('기준스탯 72종'!D45-R953-Z953,0))</x:f>
        <x:v>4</x:v>
      </x:c>
      <x:c r="K953" s="2" t="n">
        <x:f>MAX(1,ROUND('기준스탯 72종'!E45-S953-AA953,0))</x:f>
        <x:v>3</x:v>
      </x:c>
      <x:c r="L953" s="2" t="n">
        <x:f>MAX(1,ROUND('기준스탯 72종'!F45-T953-AB953,0))</x:f>
        <x:v>3</x:v>
      </x:c>
      <x:c r="M953" s="2" t="n">
        <x:f>MAX(1,ROUND('기준스탯 72종'!G45-U953-AC953,0))</x:f>
        <x:v>4</x:v>
      </x:c>
      <x:c r="N953" s="2" t="n">
        <x:f>MAX(0,ROUND('기준스탯 72종'!H45-V953-AD953,0))</x:f>
        <x:v>2</x:v>
      </x:c>
      <x:c r="O953" s="2" t="n">
        <x:f>MAX(0,ROUND('기준스탯 72종'!I45-W953-AE953,0))</x:f>
        <x:v>3</x:v>
      </x:c>
      <x:c r="P953" s="2" t="n">
        <x:f>MAX(0,ROUND('기준스탯 72종'!J45-X953-AF953,0))</x:f>
        <x:v>1</x:v>
      </x:c>
      <x:c r="Q953" s="2" t="n">
        <x:f>MAX(0,ROUND('기준스탯 72종'!K45-Y953-AG953,0))</x:f>
        <x:v>1</x:v>
      </x:c>
      <x:c r="R953" s="15" t="n">
        <x:f>'기준스탯 72종'!D45*G953</x:f>
        <x:v>5.039999999999999</x:v>
      </x:c>
      <x:c r="S953" s="15" t="n">
        <x:f>'기준스탯 72종'!E45*G953</x:f>
        <x:v>3.3599999999999994</x:v>
      </x:c>
      <x:c r="T953" s="15" t="n">
        <x:f>'기준스탯 72종'!F45*G953</x:f>
        <x:v>3.3599999999999994</x:v>
      </x:c>
      <x:c r="U953" s="15" t="n">
        <x:f>'기준스탯 72종'!G45*G953</x:f>
        <x:v>4.4799999999999995</x:v>
      </x:c>
      <x:c r="V953" s="15" t="n">
        <x:f>'기준스탯 72종'!H45*G953</x:f>
        <x:v>2.2399999999999998</x:v>
      </x:c>
      <x:c r="W953" s="15" t="n">
        <x:f>'기준스탯 72종'!I45*G953</x:f>
        <x:v>3.3599999999999994</x:v>
      </x:c>
      <x:c r="X953" s="15" t="n">
        <x:f>'기준스탯 72종'!J45*G953</x:f>
        <x:v>1.6799999999999997</x:v>
      </x:c>
      <x:c r="Y953" s="15" t="n">
        <x:f>'기준스탯 72종'!K45*G953</x:f>
        <x:v>1.6799999999999997</x:v>
      </x:c>
      <x:c r="Z953" s="15" t="n">
        <x:f>'기준스탯 72종'!D45*H953</x:f>
        <x:v>0</x:v>
      </x:c>
      <x:c r="AA953" s="15" t="n">
        <x:f>'기준스탯 72종'!E45*H953</x:f>
        <x:v>0</x:v>
      </x:c>
      <x:c r="AB953" s="15" t="n">
        <x:f>'기준스탯 72종'!F45*H953</x:f>
        <x:v>0</x:v>
      </x:c>
      <x:c r="AC953" s="15" t="n">
        <x:f>'기준스탯 72종'!G45*H953</x:f>
        <x:v>0</x:v>
      </x:c>
      <x:c r="AD953" s="15" t="n">
        <x:f>'기준스탯 72종'!H45*H953</x:f>
        <x:v>0</x:v>
      </x:c>
      <x:c r="AE953" s="15" t="n">
        <x:f>'기준스탯 72종'!I45*H953</x:f>
        <x:v>0</x:v>
      </x:c>
      <x:c r="AF953" s="15" t="n">
        <x:f>'기준스탯 72종'!J45*H953</x:f>
        <x:v>0</x:v>
      </x:c>
      <x:c r="AG953" s="15" t="n">
        <x:f>'기준스탯 72종'!K45*H953</x:f>
        <x:v>0</x:v>
      </x:c>
    </x:row>
    <x:row r="954" ht="28" customHeight="1">
      <x:c r="A954" s="2" t="n">
        <x:v>947</x:v>
      </x:c>
      <x:c r="B954" s="2" t="n">
        <x:v>38</x:v>
      </x:c>
      <x:c r="C954" s="2" t="str">
        <x:v>천칭자리</x:v>
      </x:c>
      <x:c r="D954" s="2" t="str">
        <x:v>마도사</x:v>
      </x:c>
      <x:c r="E954" s="2" t="n">
        <x:v>2</x:v>
      </x:c>
      <x:c r="F954" s="2" t="n">
        <x:v>5</x:v>
      </x:c>
      <x:c r="G954" s="14" t="n">
        <x:f>('레벨 계산식'!$E$4-E954)*'레벨 계산식'!$B$5</x:f>
        <x:v>0.41999999999999993</x:v>
      </x:c>
      <x:c r="H954" s="14" t="n">
        <x:f>('등급 계산식'!$E$4-F954)*'등급 계산식'!$B$5</x:f>
        <x:v>0</x:v>
      </x:c>
      <x:c r="I954" s="14" t="n">
        <x:f>1-G954-H954</x:f>
        <x:v>0.5800000000000001</x:v>
      </x:c>
      <x:c r="J954" s="2" t="n">
        <x:f>MAX(1,ROUND('기준스탯 72종'!D45-R954-Z954,0))</x:f>
        <x:v>5</x:v>
      </x:c>
      <x:c r="K954" s="2" t="n">
        <x:f>MAX(1,ROUND('기준스탯 72종'!E45-S954-AA954,0))</x:f>
        <x:v>3</x:v>
      </x:c>
      <x:c r="L954" s="2" t="n">
        <x:f>MAX(1,ROUND('기준스탯 72종'!F45-T954-AB954,0))</x:f>
        <x:v>3</x:v>
      </x:c>
      <x:c r="M954" s="2" t="n">
        <x:f>MAX(1,ROUND('기준스탯 72종'!G45-U954-AC954,0))</x:f>
        <x:v>5</x:v>
      </x:c>
      <x:c r="N954" s="2" t="n">
        <x:f>MAX(0,ROUND('기준스탯 72종'!H45-V954-AD954,0))</x:f>
        <x:v>2</x:v>
      </x:c>
      <x:c r="O954" s="2" t="n">
        <x:f>MAX(0,ROUND('기준스탯 72종'!I45-W954-AE954,0))</x:f>
        <x:v>3</x:v>
      </x:c>
      <x:c r="P954" s="2" t="n">
        <x:f>MAX(0,ROUND('기준스탯 72종'!J45-X954-AF954,0))</x:f>
        <x:v>2</x:v>
      </x:c>
      <x:c r="Q954" s="2" t="n">
        <x:f>MAX(0,ROUND('기준스탯 72종'!K45-Y954-AG954,0))</x:f>
        <x:v>2</x:v>
      </x:c>
      <x:c r="R954" s="15" t="n">
        <x:f>'기준스탯 72종'!D45*G954</x:f>
        <x:v>3.7799999999999994</x:v>
      </x:c>
      <x:c r="S954" s="15" t="n">
        <x:f>'기준스탯 72종'!E45*G954</x:f>
        <x:v>2.5199999999999996</x:v>
      </x:c>
      <x:c r="T954" s="15" t="n">
        <x:f>'기준스탯 72종'!F45*G954</x:f>
        <x:v>2.5199999999999996</x:v>
      </x:c>
      <x:c r="U954" s="15" t="n">
        <x:f>'기준스탯 72종'!G45*G954</x:f>
        <x:v>3.3599999999999994</x:v>
      </x:c>
      <x:c r="V954" s="15" t="n">
        <x:f>'기준스탯 72종'!H45*G954</x:f>
        <x:v>1.6799999999999997</x:v>
      </x:c>
      <x:c r="W954" s="15" t="n">
        <x:f>'기준스탯 72종'!I45*G954</x:f>
        <x:v>2.5199999999999996</x:v>
      </x:c>
      <x:c r="X954" s="15" t="n">
        <x:f>'기준스탯 72종'!J45*G954</x:f>
        <x:v>1.2599999999999998</x:v>
      </x:c>
      <x:c r="Y954" s="15" t="n">
        <x:f>'기준스탯 72종'!K45*G954</x:f>
        <x:v>1.2599999999999998</x:v>
      </x:c>
      <x:c r="Z954" s="15" t="n">
        <x:f>'기준스탯 72종'!D45*H954</x:f>
        <x:v>0</x:v>
      </x:c>
      <x:c r="AA954" s="15" t="n">
        <x:f>'기준스탯 72종'!E45*H954</x:f>
        <x:v>0</x:v>
      </x:c>
      <x:c r="AB954" s="15" t="n">
        <x:f>'기준스탯 72종'!F45*H954</x:f>
        <x:v>0</x:v>
      </x:c>
      <x:c r="AC954" s="15" t="n">
        <x:f>'기준스탯 72종'!G45*H954</x:f>
        <x:v>0</x:v>
      </x:c>
      <x:c r="AD954" s="15" t="n">
        <x:f>'기준스탯 72종'!H45*H954</x:f>
        <x:v>0</x:v>
      </x:c>
      <x:c r="AE954" s="15" t="n">
        <x:f>'기준스탯 72종'!I45*H954</x:f>
        <x:v>0</x:v>
      </x:c>
      <x:c r="AF954" s="15" t="n">
        <x:f>'기준스탯 72종'!J45*H954</x:f>
        <x:v>0</x:v>
      </x:c>
      <x:c r="AG954" s="15" t="n">
        <x:f>'기준스탯 72종'!K45*H954</x:f>
        <x:v>0</x:v>
      </x:c>
    </x:row>
    <x:row r="955" ht="28" customHeight="1">
      <x:c r="A955" s="2" t="n">
        <x:v>948</x:v>
      </x:c>
      <x:c r="B955" s="2" t="n">
        <x:v>38</x:v>
      </x:c>
      <x:c r="C955" s="2" t="str">
        <x:v>천칭자리</x:v>
      </x:c>
      <x:c r="D955" s="2" t="str">
        <x:v>마도사</x:v>
      </x:c>
      <x:c r="E955" s="2" t="n">
        <x:v>3</x:v>
      </x:c>
      <x:c r="F955" s="2" t="n">
        <x:v>5</x:v>
      </x:c>
      <x:c r="G955" s="14" t="n">
        <x:f>('레벨 계산식'!$E$4-E955)*'레벨 계산식'!$B$5</x:f>
        <x:v>0.27999999999999997</x:v>
      </x:c>
      <x:c r="H955" s="14" t="n">
        <x:f>('등급 계산식'!$E$4-F955)*'등급 계산식'!$B$5</x:f>
        <x:v>0</x:v>
      </x:c>
      <x:c r="I955" s="14" t="n">
        <x:f>1-G955-H955</x:f>
        <x:v>0.72</x:v>
      </x:c>
      <x:c r="J955" s="2" t="n">
        <x:f>MAX(1,ROUND('기준스탯 72종'!D45-R955-Z955,0))</x:f>
        <x:v>6</x:v>
      </x:c>
      <x:c r="K955" s="2" t="n">
        <x:f>MAX(1,ROUND('기준스탯 72종'!E45-S955-AA955,0))</x:f>
        <x:v>4</x:v>
      </x:c>
      <x:c r="L955" s="2" t="n">
        <x:f>MAX(1,ROUND('기준스탯 72종'!F45-T955-AB955,0))</x:f>
        <x:v>4</x:v>
      </x:c>
      <x:c r="M955" s="2" t="n">
        <x:f>MAX(1,ROUND('기준스탯 72종'!G45-U955-AC955,0))</x:f>
        <x:v>6</x:v>
      </x:c>
      <x:c r="N955" s="2" t="n">
        <x:f>MAX(0,ROUND('기준스탯 72종'!H45-V955-AD955,0))</x:f>
        <x:v>3</x:v>
      </x:c>
      <x:c r="O955" s="2" t="n">
        <x:f>MAX(0,ROUND('기준스탯 72종'!I45-W955-AE955,0))</x:f>
        <x:v>4</x:v>
      </x:c>
      <x:c r="P955" s="2" t="n">
        <x:f>MAX(0,ROUND('기준스탯 72종'!J45-X955-AF955,0))</x:f>
        <x:v>2</x:v>
      </x:c>
      <x:c r="Q955" s="2" t="n">
        <x:f>MAX(0,ROUND('기준스탯 72종'!K45-Y955-AG955,0))</x:f>
        <x:v>2</x:v>
      </x:c>
      <x:c r="R955" s="15" t="n">
        <x:f>'기준스탯 72종'!D45*G955</x:f>
        <x:v>2.5199999999999996</x:v>
      </x:c>
      <x:c r="S955" s="15" t="n">
        <x:f>'기준스탯 72종'!E45*G955</x:f>
        <x:v>1.6799999999999997</x:v>
      </x:c>
      <x:c r="T955" s="15" t="n">
        <x:f>'기준스탯 72종'!F45*G955</x:f>
        <x:v>1.6799999999999997</x:v>
      </x:c>
      <x:c r="U955" s="15" t="n">
        <x:f>'기준스탯 72종'!G45*G955</x:f>
        <x:v>2.2399999999999998</x:v>
      </x:c>
      <x:c r="V955" s="15" t="n">
        <x:f>'기준스탯 72종'!H45*G955</x:f>
        <x:v>1.1199999999999999</x:v>
      </x:c>
      <x:c r="W955" s="15" t="n">
        <x:f>'기준스탯 72종'!I45*G955</x:f>
        <x:v>1.6799999999999997</x:v>
      </x:c>
      <x:c r="X955" s="15" t="n">
        <x:f>'기준스탯 72종'!J45*G955</x:f>
        <x:v>0.8399999999999999</x:v>
      </x:c>
      <x:c r="Y955" s="15" t="n">
        <x:f>'기준스탯 72종'!K45*G955</x:f>
        <x:v>0.8399999999999999</x:v>
      </x:c>
      <x:c r="Z955" s="15" t="n">
        <x:f>'기준스탯 72종'!D45*H955</x:f>
        <x:v>0</x:v>
      </x:c>
      <x:c r="AA955" s="15" t="n">
        <x:f>'기준스탯 72종'!E45*H955</x:f>
        <x:v>0</x:v>
      </x:c>
      <x:c r="AB955" s="15" t="n">
        <x:f>'기준스탯 72종'!F45*H955</x:f>
        <x:v>0</x:v>
      </x:c>
      <x:c r="AC955" s="15" t="n">
        <x:f>'기준스탯 72종'!G45*H955</x:f>
        <x:v>0</x:v>
      </x:c>
      <x:c r="AD955" s="15" t="n">
        <x:f>'기준스탯 72종'!H45*H955</x:f>
        <x:v>0</x:v>
      </x:c>
      <x:c r="AE955" s="15" t="n">
        <x:f>'기준스탯 72종'!I45*H955</x:f>
        <x:v>0</x:v>
      </x:c>
      <x:c r="AF955" s="15" t="n">
        <x:f>'기준스탯 72종'!J45*H955</x:f>
        <x:v>0</x:v>
      </x:c>
      <x:c r="AG955" s="15" t="n">
        <x:f>'기준스탯 72종'!K45*H955</x:f>
        <x:v>0</x:v>
      </x:c>
    </x:row>
    <x:row r="956" ht="28" customHeight="1">
      <x:c r="A956" s="2" t="n">
        <x:v>949</x:v>
      </x:c>
      <x:c r="B956" s="2" t="n">
        <x:v>38</x:v>
      </x:c>
      <x:c r="C956" s="2" t="str">
        <x:v>천칭자리</x:v>
      </x:c>
      <x:c r="D956" s="2" t="str">
        <x:v>마도사</x:v>
      </x:c>
      <x:c r="E956" s="2" t="n">
        <x:v>4</x:v>
      </x:c>
      <x:c r="F956" s="2" t="n">
        <x:v>5</x:v>
      </x:c>
      <x:c r="G956" s="14" t="n">
        <x:f>('레벨 계산식'!$E$4-E956)*'레벨 계산식'!$B$5</x:f>
        <x:v>0.13999999999999999</x:v>
      </x:c>
      <x:c r="H956" s="14" t="n">
        <x:f>('등급 계산식'!$E$4-F956)*'등급 계산식'!$B$5</x:f>
        <x:v>0</x:v>
      </x:c>
      <x:c r="I956" s="14" t="n">
        <x:f>1-G956-H956</x:f>
        <x:v>0.86</x:v>
      </x:c>
      <x:c r="J956" s="2" t="n">
        <x:f>MAX(1,ROUND('기준스탯 72종'!D45-R956-Z956,0))</x:f>
        <x:v>8</x:v>
      </x:c>
      <x:c r="K956" s="2" t="n">
        <x:f>MAX(1,ROUND('기준스탯 72종'!E45-S956-AA956,0))</x:f>
        <x:v>5</x:v>
      </x:c>
      <x:c r="L956" s="2" t="n">
        <x:f>MAX(1,ROUND('기준스탯 72종'!F45-T956-AB956,0))</x:f>
        <x:v>5</x:v>
      </x:c>
      <x:c r="M956" s="2" t="n">
        <x:f>MAX(1,ROUND('기준스탯 72종'!G45-U956-AC956,0))</x:f>
        <x:v>7</x:v>
      </x:c>
      <x:c r="N956" s="2" t="n">
        <x:f>MAX(0,ROUND('기준스탯 72종'!H45-V956-AD956,0))</x:f>
        <x:v>3</x:v>
      </x:c>
      <x:c r="O956" s="2" t="n">
        <x:f>MAX(0,ROUND('기준스탯 72종'!I45-W956-AE956,0))</x:f>
        <x:v>5</x:v>
      </x:c>
      <x:c r="P956" s="2" t="n">
        <x:f>MAX(0,ROUND('기준스탯 72종'!J45-X956-AF956,0))</x:f>
        <x:v>3</x:v>
      </x:c>
      <x:c r="Q956" s="2" t="n">
        <x:f>MAX(0,ROUND('기준스탯 72종'!K45-Y956-AG956,0))</x:f>
        <x:v>3</x:v>
      </x:c>
      <x:c r="R956" s="15" t="n">
        <x:f>'기준스탯 72종'!D45*G956</x:f>
        <x:v>1.2599999999999998</x:v>
      </x:c>
      <x:c r="S956" s="15" t="n">
        <x:f>'기준스탯 72종'!E45*G956</x:f>
        <x:v>0.8399999999999999</x:v>
      </x:c>
      <x:c r="T956" s="15" t="n">
        <x:f>'기준스탯 72종'!F45*G956</x:f>
        <x:v>0.8399999999999999</x:v>
      </x:c>
      <x:c r="U956" s="15" t="n">
        <x:f>'기준스탯 72종'!G45*G956</x:f>
        <x:v>1.1199999999999999</x:v>
      </x:c>
      <x:c r="V956" s="15" t="n">
        <x:f>'기준스탯 72종'!H45*G956</x:f>
        <x:v>0.5599999999999999</x:v>
      </x:c>
      <x:c r="W956" s="15" t="n">
        <x:f>'기준스탯 72종'!I45*G956</x:f>
        <x:v>0.8399999999999999</x:v>
      </x:c>
      <x:c r="X956" s="15" t="n">
        <x:f>'기준스탯 72종'!J45*G956</x:f>
        <x:v>0.41999999999999993</x:v>
      </x:c>
      <x:c r="Y956" s="15" t="n">
        <x:f>'기준스탯 72종'!K45*G956</x:f>
        <x:v>0.41999999999999993</x:v>
      </x:c>
      <x:c r="Z956" s="15" t="n">
        <x:f>'기준스탯 72종'!D45*H956</x:f>
        <x:v>0</x:v>
      </x:c>
      <x:c r="AA956" s="15" t="n">
        <x:f>'기준스탯 72종'!E45*H956</x:f>
        <x:v>0</x:v>
      </x:c>
      <x:c r="AB956" s="15" t="n">
        <x:f>'기준스탯 72종'!F45*H956</x:f>
        <x:v>0</x:v>
      </x:c>
      <x:c r="AC956" s="15" t="n">
        <x:f>'기준스탯 72종'!G45*H956</x:f>
        <x:v>0</x:v>
      </x:c>
      <x:c r="AD956" s="15" t="n">
        <x:f>'기준스탯 72종'!H45*H956</x:f>
        <x:v>0</x:v>
      </x:c>
      <x:c r="AE956" s="15" t="n">
        <x:f>'기준스탯 72종'!I45*H956</x:f>
        <x:v>0</x:v>
      </x:c>
      <x:c r="AF956" s="15" t="n">
        <x:f>'기준스탯 72종'!J45*H956</x:f>
        <x:v>0</x:v>
      </x:c>
      <x:c r="AG956" s="15" t="n">
        <x:f>'기준스탯 72종'!K45*H956</x:f>
        <x:v>0</x:v>
      </x:c>
    </x:row>
    <x:row r="957" ht="28" customHeight="1">
      <x:c r="A957" s="2" t="n">
        <x:v>950</x:v>
      </x:c>
      <x:c r="B957" s="2" t="n">
        <x:v>38</x:v>
      </x:c>
      <x:c r="C957" s="2" t="str">
        <x:v>천칭자리</x:v>
      </x:c>
      <x:c r="D957" s="2" t="str">
        <x:v>마도사</x:v>
      </x:c>
      <x:c r="E957" s="2" t="n">
        <x:v>5</x:v>
      </x:c>
      <x:c r="F957" s="2" t="n">
        <x:v>5</x:v>
      </x:c>
      <x:c r="G957" s="14" t="n">
        <x:f>('레벨 계산식'!$E$4-E957)*'레벨 계산식'!$B$5</x:f>
        <x:v>0</x:v>
      </x:c>
      <x:c r="H957" s="14" t="n">
        <x:f>('등급 계산식'!$E$4-F957)*'등급 계산식'!$B$5</x:f>
        <x:v>0</x:v>
      </x:c>
      <x:c r="I957" s="14" t="n">
        <x:f>1-G957-H957</x:f>
        <x:v>1</x:v>
      </x:c>
      <x:c r="J957" s="2" t="n">
        <x:f>MAX(1,ROUND('기준스탯 72종'!D45-R957-Z957,0))</x:f>
        <x:v>9</x:v>
      </x:c>
      <x:c r="K957" s="2" t="n">
        <x:f>MAX(1,ROUND('기준스탯 72종'!E45-S957-AA957,0))</x:f>
        <x:v>6</x:v>
      </x:c>
      <x:c r="L957" s="2" t="n">
        <x:f>MAX(1,ROUND('기준스탯 72종'!F45-T957-AB957,0))</x:f>
        <x:v>6</x:v>
      </x:c>
      <x:c r="M957" s="2" t="n">
        <x:f>MAX(1,ROUND('기준스탯 72종'!G45-U957-AC957,0))</x:f>
        <x:v>8</x:v>
      </x:c>
      <x:c r="N957" s="2" t="n">
        <x:f>MAX(0,ROUND('기준스탯 72종'!H45-V957-AD957,0))</x:f>
        <x:v>4</x:v>
      </x:c>
      <x:c r="O957" s="2" t="n">
        <x:f>MAX(0,ROUND('기준스탯 72종'!I45-W957-AE957,0))</x:f>
        <x:v>6</x:v>
      </x:c>
      <x:c r="P957" s="2" t="n">
        <x:f>MAX(0,ROUND('기준스탯 72종'!J45-X957-AF957,0))</x:f>
        <x:v>3</x:v>
      </x:c>
      <x:c r="Q957" s="2" t="n">
        <x:f>MAX(0,ROUND('기준스탯 72종'!K45-Y957-AG957,0))</x:f>
        <x:v>3</x:v>
      </x:c>
      <x:c r="R957" s="15" t="n">
        <x:f>'기준스탯 72종'!D45*G957</x:f>
        <x:v>0</x:v>
      </x:c>
      <x:c r="S957" s="15" t="n">
        <x:f>'기준스탯 72종'!E45*G957</x:f>
        <x:v>0</x:v>
      </x:c>
      <x:c r="T957" s="15" t="n">
        <x:f>'기준스탯 72종'!F45*G957</x:f>
        <x:v>0</x:v>
      </x:c>
      <x:c r="U957" s="15" t="n">
        <x:f>'기준스탯 72종'!G45*G957</x:f>
        <x:v>0</x:v>
      </x:c>
      <x:c r="V957" s="15" t="n">
        <x:f>'기준스탯 72종'!H45*G957</x:f>
        <x:v>0</x:v>
      </x:c>
      <x:c r="W957" s="15" t="n">
        <x:f>'기준스탯 72종'!I45*G957</x:f>
        <x:v>0</x:v>
      </x:c>
      <x:c r="X957" s="15" t="n">
        <x:f>'기준스탯 72종'!J45*G957</x:f>
        <x:v>0</x:v>
      </x:c>
      <x:c r="Y957" s="15" t="n">
        <x:f>'기준스탯 72종'!K45*G957</x:f>
        <x:v>0</x:v>
      </x:c>
      <x:c r="Z957" s="15" t="n">
        <x:f>'기준스탯 72종'!D45*H957</x:f>
        <x:v>0</x:v>
      </x:c>
      <x:c r="AA957" s="15" t="n">
        <x:f>'기준스탯 72종'!E45*H957</x:f>
        <x:v>0</x:v>
      </x:c>
      <x:c r="AB957" s="15" t="n">
        <x:f>'기준스탯 72종'!F45*H957</x:f>
        <x:v>0</x:v>
      </x:c>
      <x:c r="AC957" s="15" t="n">
        <x:f>'기준스탯 72종'!G45*H957</x:f>
        <x:v>0</x:v>
      </x:c>
      <x:c r="AD957" s="15" t="n">
        <x:f>'기준스탯 72종'!H45*H957</x:f>
        <x:v>0</x:v>
      </x:c>
      <x:c r="AE957" s="15" t="n">
        <x:f>'기준스탯 72종'!I45*H957</x:f>
        <x:v>0</x:v>
      </x:c>
      <x:c r="AF957" s="15" t="n">
        <x:f>'기준스탯 72종'!J45*H957</x:f>
        <x:v>0</x:v>
      </x:c>
      <x:c r="AG957" s="15" t="n">
        <x:f>'기준스탯 72종'!K45*H957</x:f>
        <x:v>0</x:v>
      </x:c>
    </x:row>
    <x:row r="958" ht="28" customHeight="1">
      <x:c r="A958" s="2" t="n">
        <x:v>951</x:v>
      </x:c>
      <x:c r="B958" s="2" t="n">
        <x:v>39</x:v>
      </x:c>
      <x:c r="C958" s="2" t="str">
        <x:v>천칭자리</x:v>
      </x:c>
      <x:c r="D958" s="2" t="str">
        <x:v>사수</x:v>
      </x:c>
      <x:c r="E958" s="2" t="n">
        <x:v>1</x:v>
      </x:c>
      <x:c r="F958" s="2" t="n">
        <x:v>1</x:v>
      </x:c>
      <x:c r="G958" s="14" t="n">
        <x:f>('레벨 계산식'!$E$4-E958)*'레벨 계산식'!$B$5</x:f>
        <x:v>0.5599999999999999</x:v>
      </x:c>
      <x:c r="H958" s="14" t="n">
        <x:f>('등급 계산식'!$E$4-F958)*'등급 계산식'!$B$5</x:f>
        <x:v>0.24000000000000005</x:v>
      </x:c>
      <x:c r="I958" s="14" t="n">
        <x:f>1-G958-H958</x:f>
        <x:v>0.2</x:v>
      </x:c>
      <x:c r="J958" s="2" t="n">
        <x:f>MAX(1,ROUND('기준스탯 72종'!D46-R958-Z958,0))</x:f>
        <x:v>2</x:v>
      </x:c>
      <x:c r="K958" s="2" t="n">
        <x:f>MAX(1,ROUND('기준스탯 72종'!E46-S958-AA958,0))</x:f>
        <x:v>1</x:v>
      </x:c>
      <x:c r="L958" s="2" t="n">
        <x:f>MAX(1,ROUND('기준스탯 72종'!F46-T958-AB958,0))</x:f>
        <x:v>1</x:v>
      </x:c>
      <x:c r="M958" s="2" t="n">
        <x:f>MAX(1,ROUND('기준스탯 72종'!G46-U958-AC958,0))</x:f>
        <x:v>2</x:v>
      </x:c>
      <x:c r="N958" s="2" t="n">
        <x:f>MAX(0,ROUND('기준스탯 72종'!H46-V958-AD958,0))</x:f>
        <x:v>1</x:v>
      </x:c>
      <x:c r="O958" s="2" t="n">
        <x:f>MAX(0,ROUND('기준스탯 72종'!I46-W958-AE958,0))</x:f>
        <x:v>1</x:v>
      </x:c>
      <x:c r="P958" s="2" t="n">
        <x:f>MAX(0,ROUND('기준스탯 72종'!J46-X958-AF958,0))</x:f>
        <x:v>1</x:v>
      </x:c>
      <x:c r="Q958" s="2" t="n">
        <x:f>MAX(0,ROUND('기준스탯 72종'!K46-Y958-AG958,0))</x:f>
        <x:v>1</x:v>
      </x:c>
      <x:c r="R958" s="15" t="n">
        <x:f>'기준스탯 72종'!D46*G958</x:f>
        <x:v>4.4799999999999995</x:v>
      </x:c>
      <x:c r="S958" s="15" t="n">
        <x:f>'기준스탯 72종'!E46*G958</x:f>
        <x:v>3.9199999999999995</x:v>
      </x:c>
      <x:c r="T958" s="15" t="n">
        <x:f>'기준스탯 72종'!F46*G958</x:f>
        <x:v>3.3599999999999994</x:v>
      </x:c>
      <x:c r="U958" s="15" t="n">
        <x:f>'기준스탯 72종'!G46*G958</x:f>
        <x:v>5.039999999999999</x:v>
      </x:c>
      <x:c r="V958" s="15" t="n">
        <x:f>'기준스탯 72종'!H46*G958</x:f>
        <x:v>2.8</x:v>
      </x:c>
      <x:c r="W958" s="15" t="n">
        <x:f>'기준스탯 72종'!I46*G958</x:f>
        <x:v>2.2399999999999998</x:v>
      </x:c>
      <x:c r="X958" s="15" t="n">
        <x:f>'기준스탯 72종'!J46*G958</x:f>
        <x:v>2.2399999999999998</x:v>
      </x:c>
      <x:c r="Y958" s="15" t="n">
        <x:f>'기준스탯 72종'!K46*G958</x:f>
        <x:v>1.6799999999999997</x:v>
      </x:c>
      <x:c r="Z958" s="15" t="n">
        <x:f>'기준스탯 72종'!D46*H958</x:f>
        <x:v>1.9200000000000004</x:v>
      </x:c>
      <x:c r="AA958" s="15" t="n">
        <x:f>'기준스탯 72종'!E46*H958</x:f>
        <x:v>1.6800000000000004</x:v>
      </x:c>
      <x:c r="AB958" s="15" t="n">
        <x:f>'기준스탯 72종'!F46*H958</x:f>
        <x:v>1.4400000000000004</x:v>
      </x:c>
      <x:c r="AC958" s="15" t="n">
        <x:f>'기준스탯 72종'!G46*H958</x:f>
        <x:v>2.1600000000000006</x:v>
      </x:c>
      <x:c r="AD958" s="15" t="n">
        <x:f>'기준스탯 72종'!H46*H958</x:f>
        <x:v>1.2000000000000002</x:v>
      </x:c>
      <x:c r="AE958" s="15" t="n">
        <x:f>'기준스탯 72종'!I46*H958</x:f>
        <x:v>0.9600000000000002</x:v>
      </x:c>
      <x:c r="AF958" s="15" t="n">
        <x:f>'기준스탯 72종'!J46*H958</x:f>
        <x:v>0.9600000000000002</x:v>
      </x:c>
      <x:c r="AG958" s="15" t="n">
        <x:f>'기준스탯 72종'!K46*H958</x:f>
        <x:v>0.7200000000000002</x:v>
      </x:c>
    </x:row>
    <x:row r="959" ht="28" customHeight="1">
      <x:c r="A959" s="2" t="n">
        <x:v>952</x:v>
      </x:c>
      <x:c r="B959" s="2" t="n">
        <x:v>39</x:v>
      </x:c>
      <x:c r="C959" s="2" t="str">
        <x:v>천칭자리</x:v>
      </x:c>
      <x:c r="D959" s="2" t="str">
        <x:v>사수</x:v>
      </x:c>
      <x:c r="E959" s="2" t="n">
        <x:v>2</x:v>
      </x:c>
      <x:c r="F959" s="2" t="n">
        <x:v>1</x:v>
      </x:c>
      <x:c r="G959" s="14" t="n">
        <x:f>('레벨 계산식'!$E$4-E959)*'레벨 계산식'!$B$5</x:f>
        <x:v>0.41999999999999993</x:v>
      </x:c>
      <x:c r="H959" s="14" t="n">
        <x:f>('등급 계산식'!$E$4-F959)*'등급 계산식'!$B$5</x:f>
        <x:v>0.24000000000000005</x:v>
      </x:c>
      <x:c r="I959" s="14" t="n">
        <x:f>1-G959-H959</x:f>
        <x:v>0.34</x:v>
      </x:c>
      <x:c r="J959" s="2" t="n">
        <x:f>MAX(1,ROUND('기준스탯 72종'!D46-R959-Z959,0))</x:f>
        <x:v>3</x:v>
      </x:c>
      <x:c r="K959" s="2" t="n">
        <x:f>MAX(1,ROUND('기준스탯 72종'!E46-S959-AA959,0))</x:f>
        <x:v>2</x:v>
      </x:c>
      <x:c r="L959" s="2" t="n">
        <x:f>MAX(1,ROUND('기준스탯 72종'!F46-T959-AB959,0))</x:f>
        <x:v>2</x:v>
      </x:c>
      <x:c r="M959" s="2" t="n">
        <x:f>MAX(1,ROUND('기준스탯 72종'!G46-U959-AC959,0))</x:f>
        <x:v>3</x:v>
      </x:c>
      <x:c r="N959" s="2" t="n">
        <x:f>MAX(0,ROUND('기준스탯 72종'!H46-V959-AD959,0))</x:f>
        <x:v>2</x:v>
      </x:c>
      <x:c r="O959" s="2" t="n">
        <x:f>MAX(0,ROUND('기준스탯 72종'!I46-W959-AE959,0))</x:f>
        <x:v>1</x:v>
      </x:c>
      <x:c r="P959" s="2" t="n">
        <x:f>MAX(0,ROUND('기준스탯 72종'!J46-X959-AF959,0))</x:f>
        <x:v>1</x:v>
      </x:c>
      <x:c r="Q959" s="2" t="n">
        <x:f>MAX(0,ROUND('기준스탯 72종'!K46-Y959-AG959,0))</x:f>
        <x:v>1</x:v>
      </x:c>
      <x:c r="R959" s="15" t="n">
        <x:f>'기준스탯 72종'!D46*G959</x:f>
        <x:v>3.3599999999999994</x:v>
      </x:c>
      <x:c r="S959" s="15" t="n">
        <x:f>'기준스탯 72종'!E46*G959</x:f>
        <x:v>2.9399999999999995</x:v>
      </x:c>
      <x:c r="T959" s="15" t="n">
        <x:f>'기준스탯 72종'!F46*G959</x:f>
        <x:v>2.5199999999999996</x:v>
      </x:c>
      <x:c r="U959" s="15" t="n">
        <x:f>'기준스탯 72종'!G46*G959</x:f>
        <x:v>3.7799999999999994</x:v>
      </x:c>
      <x:c r="V959" s="15" t="n">
        <x:f>'기준스탯 72종'!H46*G959</x:f>
        <x:v>2.0999999999999996</x:v>
      </x:c>
      <x:c r="W959" s="15" t="n">
        <x:f>'기준스탯 72종'!I46*G959</x:f>
        <x:v>1.6799999999999997</x:v>
      </x:c>
      <x:c r="X959" s="15" t="n">
        <x:f>'기준스탯 72종'!J46*G959</x:f>
        <x:v>1.6799999999999997</x:v>
      </x:c>
      <x:c r="Y959" s="15" t="n">
        <x:f>'기준스탯 72종'!K46*G959</x:f>
        <x:v>1.2599999999999998</x:v>
      </x:c>
      <x:c r="Z959" s="15" t="n">
        <x:f>'기준스탯 72종'!D46*H959</x:f>
        <x:v>1.9200000000000004</x:v>
      </x:c>
      <x:c r="AA959" s="15" t="n">
        <x:f>'기준스탯 72종'!E46*H959</x:f>
        <x:v>1.6800000000000004</x:v>
      </x:c>
      <x:c r="AB959" s="15" t="n">
        <x:f>'기준스탯 72종'!F46*H959</x:f>
        <x:v>1.4400000000000004</x:v>
      </x:c>
      <x:c r="AC959" s="15" t="n">
        <x:f>'기준스탯 72종'!G46*H959</x:f>
        <x:v>2.1600000000000006</x:v>
      </x:c>
      <x:c r="AD959" s="15" t="n">
        <x:f>'기준스탯 72종'!H46*H959</x:f>
        <x:v>1.2000000000000002</x:v>
      </x:c>
      <x:c r="AE959" s="15" t="n">
        <x:f>'기준스탯 72종'!I46*H959</x:f>
        <x:v>0.9600000000000002</x:v>
      </x:c>
      <x:c r="AF959" s="15" t="n">
        <x:f>'기준스탯 72종'!J46*H959</x:f>
        <x:v>0.9600000000000002</x:v>
      </x:c>
      <x:c r="AG959" s="15" t="n">
        <x:f>'기준스탯 72종'!K46*H959</x:f>
        <x:v>0.7200000000000002</x:v>
      </x:c>
    </x:row>
    <x:row r="960" ht="28" customHeight="1">
      <x:c r="A960" s="2" t="n">
        <x:v>953</x:v>
      </x:c>
      <x:c r="B960" s="2" t="n">
        <x:v>39</x:v>
      </x:c>
      <x:c r="C960" s="2" t="str">
        <x:v>천칭자리</x:v>
      </x:c>
      <x:c r="D960" s="2" t="str">
        <x:v>사수</x:v>
      </x:c>
      <x:c r="E960" s="2" t="n">
        <x:v>3</x:v>
      </x:c>
      <x:c r="F960" s="2" t="n">
        <x:v>1</x:v>
      </x:c>
      <x:c r="G960" s="14" t="n">
        <x:f>('레벨 계산식'!$E$4-E960)*'레벨 계산식'!$B$5</x:f>
        <x:v>0.27999999999999997</x:v>
      </x:c>
      <x:c r="H960" s="14" t="n">
        <x:f>('등급 계산식'!$E$4-F960)*'등급 계산식'!$B$5</x:f>
        <x:v>0.24000000000000005</x:v>
      </x:c>
      <x:c r="I960" s="14" t="n">
        <x:f>1-G960-H960</x:f>
        <x:v>0.4799999999999999</x:v>
      </x:c>
      <x:c r="J960" s="2" t="n">
        <x:f>MAX(1,ROUND('기준스탯 72종'!D46-R960-Z960,0))</x:f>
        <x:v>4</x:v>
      </x:c>
      <x:c r="K960" s="2" t="n">
        <x:f>MAX(1,ROUND('기준스탯 72종'!E46-S960-AA960,0))</x:f>
        <x:v>3</x:v>
      </x:c>
      <x:c r="L960" s="2" t="n">
        <x:f>MAX(1,ROUND('기준스탯 72종'!F46-T960-AB960,0))</x:f>
        <x:v>3</x:v>
      </x:c>
      <x:c r="M960" s="2" t="n">
        <x:f>MAX(1,ROUND('기준스탯 72종'!G46-U960-AC960,0))</x:f>
        <x:v>4</x:v>
      </x:c>
      <x:c r="N960" s="2" t="n">
        <x:f>MAX(0,ROUND('기준스탯 72종'!H46-V960-AD960,0))</x:f>
        <x:v>2</x:v>
      </x:c>
      <x:c r="O960" s="2" t="n">
        <x:f>MAX(0,ROUND('기준스탯 72종'!I46-W960-AE960,0))</x:f>
        <x:v>2</x:v>
      </x:c>
      <x:c r="P960" s="2" t="n">
        <x:f>MAX(0,ROUND('기준스탯 72종'!J46-X960-AF960,0))</x:f>
        <x:v>2</x:v>
      </x:c>
      <x:c r="Q960" s="2" t="n">
        <x:f>MAX(0,ROUND('기준스탯 72종'!K46-Y960-AG960,0))</x:f>
        <x:v>1</x:v>
      </x:c>
      <x:c r="R960" s="15" t="n">
        <x:f>'기준스탯 72종'!D46*G960</x:f>
        <x:v>2.2399999999999998</x:v>
      </x:c>
      <x:c r="S960" s="15" t="n">
        <x:f>'기준스탯 72종'!E46*G960</x:f>
        <x:v>1.9599999999999997</x:v>
      </x:c>
      <x:c r="T960" s="15" t="n">
        <x:f>'기준스탯 72종'!F46*G960</x:f>
        <x:v>1.6799999999999997</x:v>
      </x:c>
      <x:c r="U960" s="15" t="n">
        <x:f>'기준스탯 72종'!G46*G960</x:f>
        <x:v>2.5199999999999996</x:v>
      </x:c>
      <x:c r="V960" s="15" t="n">
        <x:f>'기준스탯 72종'!H46*G960</x:f>
        <x:v>1.4</x:v>
      </x:c>
      <x:c r="W960" s="15" t="n">
        <x:f>'기준스탯 72종'!I46*G960</x:f>
        <x:v>1.1199999999999999</x:v>
      </x:c>
      <x:c r="X960" s="15" t="n">
        <x:f>'기준스탯 72종'!J46*G960</x:f>
        <x:v>1.1199999999999999</x:v>
      </x:c>
      <x:c r="Y960" s="15" t="n">
        <x:f>'기준스탯 72종'!K46*G960</x:f>
        <x:v>0.8399999999999999</x:v>
      </x:c>
      <x:c r="Z960" s="15" t="n">
        <x:f>'기준스탯 72종'!D46*H960</x:f>
        <x:v>1.9200000000000004</x:v>
      </x:c>
      <x:c r="AA960" s="15" t="n">
        <x:f>'기준스탯 72종'!E46*H960</x:f>
        <x:v>1.6800000000000004</x:v>
      </x:c>
      <x:c r="AB960" s="15" t="n">
        <x:f>'기준스탯 72종'!F46*H960</x:f>
        <x:v>1.4400000000000004</x:v>
      </x:c>
      <x:c r="AC960" s="15" t="n">
        <x:f>'기준스탯 72종'!G46*H960</x:f>
        <x:v>2.1600000000000006</x:v>
      </x:c>
      <x:c r="AD960" s="15" t="n">
        <x:f>'기준스탯 72종'!H46*H960</x:f>
        <x:v>1.2000000000000002</x:v>
      </x:c>
      <x:c r="AE960" s="15" t="n">
        <x:f>'기준스탯 72종'!I46*H960</x:f>
        <x:v>0.9600000000000002</x:v>
      </x:c>
      <x:c r="AF960" s="15" t="n">
        <x:f>'기준스탯 72종'!J46*H960</x:f>
        <x:v>0.9600000000000002</x:v>
      </x:c>
      <x:c r="AG960" s="15" t="n">
        <x:f>'기준스탯 72종'!K46*H960</x:f>
        <x:v>0.7200000000000002</x:v>
      </x:c>
    </x:row>
    <x:row r="961" ht="28" customHeight="1">
      <x:c r="A961" s="2" t="n">
        <x:v>954</x:v>
      </x:c>
      <x:c r="B961" s="2" t="n">
        <x:v>39</x:v>
      </x:c>
      <x:c r="C961" s="2" t="str">
        <x:v>천칭자리</x:v>
      </x:c>
      <x:c r="D961" s="2" t="str">
        <x:v>사수</x:v>
      </x:c>
      <x:c r="E961" s="2" t="n">
        <x:v>4</x:v>
      </x:c>
      <x:c r="F961" s="2" t="n">
        <x:v>1</x:v>
      </x:c>
      <x:c r="G961" s="14" t="n">
        <x:f>('레벨 계산식'!$E$4-E961)*'레벨 계산식'!$B$5</x:f>
        <x:v>0.13999999999999999</x:v>
      </x:c>
      <x:c r="H961" s="14" t="n">
        <x:f>('등급 계산식'!$E$4-F961)*'등급 계산식'!$B$5</x:f>
        <x:v>0.24000000000000005</x:v>
      </x:c>
      <x:c r="I961" s="14" t="n">
        <x:f>1-G961-H961</x:f>
        <x:v>0.6199999999999999</x:v>
      </x:c>
      <x:c r="J961" s="2" t="n">
        <x:f>MAX(1,ROUND('기준스탯 72종'!D46-R961-Z961,0))</x:f>
        <x:v>5</x:v>
      </x:c>
      <x:c r="K961" s="2" t="n">
        <x:f>MAX(1,ROUND('기준스탯 72종'!E46-S961-AA961,0))</x:f>
        <x:v>4</x:v>
      </x:c>
      <x:c r="L961" s="2" t="n">
        <x:f>MAX(1,ROUND('기준스탯 72종'!F46-T961-AB961,0))</x:f>
        <x:v>4</x:v>
      </x:c>
      <x:c r="M961" s="2" t="n">
        <x:f>MAX(1,ROUND('기준스탯 72종'!G46-U961-AC961,0))</x:f>
        <x:v>6</x:v>
      </x:c>
      <x:c r="N961" s="2" t="n">
        <x:f>MAX(0,ROUND('기준스탯 72종'!H46-V961-AD961,0))</x:f>
        <x:v>3</x:v>
      </x:c>
      <x:c r="O961" s="2" t="n">
        <x:f>MAX(0,ROUND('기준스탯 72종'!I46-W961-AE961,0))</x:f>
        <x:v>2</x:v>
      </x:c>
      <x:c r="P961" s="2" t="n">
        <x:f>MAX(0,ROUND('기준스탯 72종'!J46-X961-AF961,0))</x:f>
        <x:v>2</x:v>
      </x:c>
      <x:c r="Q961" s="2" t="n">
        <x:f>MAX(0,ROUND('기준스탯 72종'!K46-Y961-AG961,0))</x:f>
        <x:v>2</x:v>
      </x:c>
      <x:c r="R961" s="15" t="n">
        <x:f>'기준스탯 72종'!D46*G961</x:f>
        <x:v>1.1199999999999999</x:v>
      </x:c>
      <x:c r="S961" s="15" t="n">
        <x:f>'기준스탯 72종'!E46*G961</x:f>
        <x:v>0.9799999999999999</x:v>
      </x:c>
      <x:c r="T961" s="15" t="n">
        <x:f>'기준스탯 72종'!F46*G961</x:f>
        <x:v>0.8399999999999999</x:v>
      </x:c>
      <x:c r="U961" s="15" t="n">
        <x:f>'기준스탯 72종'!G46*G961</x:f>
        <x:v>1.2599999999999998</x:v>
      </x:c>
      <x:c r="V961" s="15" t="n">
        <x:f>'기준스탯 72종'!H46*G961</x:f>
        <x:v>0.7</x:v>
      </x:c>
      <x:c r="W961" s="15" t="n">
        <x:f>'기준스탯 72종'!I46*G961</x:f>
        <x:v>0.5599999999999999</x:v>
      </x:c>
      <x:c r="X961" s="15" t="n">
        <x:f>'기준스탯 72종'!J46*G961</x:f>
        <x:v>0.5599999999999999</x:v>
      </x:c>
      <x:c r="Y961" s="15" t="n">
        <x:f>'기준스탯 72종'!K46*G961</x:f>
        <x:v>0.41999999999999993</x:v>
      </x:c>
      <x:c r="Z961" s="15" t="n">
        <x:f>'기준스탯 72종'!D46*H961</x:f>
        <x:v>1.9200000000000004</x:v>
      </x:c>
      <x:c r="AA961" s="15" t="n">
        <x:f>'기준스탯 72종'!E46*H961</x:f>
        <x:v>1.6800000000000004</x:v>
      </x:c>
      <x:c r="AB961" s="15" t="n">
        <x:f>'기준스탯 72종'!F46*H961</x:f>
        <x:v>1.4400000000000004</x:v>
      </x:c>
      <x:c r="AC961" s="15" t="n">
        <x:f>'기준스탯 72종'!G46*H961</x:f>
        <x:v>2.1600000000000006</x:v>
      </x:c>
      <x:c r="AD961" s="15" t="n">
        <x:f>'기준스탯 72종'!H46*H961</x:f>
        <x:v>1.2000000000000002</x:v>
      </x:c>
      <x:c r="AE961" s="15" t="n">
        <x:f>'기준스탯 72종'!I46*H961</x:f>
        <x:v>0.9600000000000002</x:v>
      </x:c>
      <x:c r="AF961" s="15" t="n">
        <x:f>'기준스탯 72종'!J46*H961</x:f>
        <x:v>0.9600000000000002</x:v>
      </x:c>
      <x:c r="AG961" s="15" t="n">
        <x:f>'기준스탯 72종'!K46*H961</x:f>
        <x:v>0.7200000000000002</x:v>
      </x:c>
    </x:row>
    <x:row r="962" ht="28" customHeight="1">
      <x:c r="A962" s="2" t="n">
        <x:v>955</x:v>
      </x:c>
      <x:c r="B962" s="2" t="n">
        <x:v>39</x:v>
      </x:c>
      <x:c r="C962" s="2" t="str">
        <x:v>천칭자리</x:v>
      </x:c>
      <x:c r="D962" s="2" t="str">
        <x:v>사수</x:v>
      </x:c>
      <x:c r="E962" s="2" t="n">
        <x:v>5</x:v>
      </x:c>
      <x:c r="F962" s="2" t="n">
        <x:v>1</x:v>
      </x:c>
      <x:c r="G962" s="14" t="n">
        <x:f>('레벨 계산식'!$E$4-E962)*'레벨 계산식'!$B$5</x:f>
        <x:v>0</x:v>
      </x:c>
      <x:c r="H962" s="14" t="n">
        <x:f>('등급 계산식'!$E$4-F962)*'등급 계산식'!$B$5</x:f>
        <x:v>0.24000000000000005</x:v>
      </x:c>
      <x:c r="I962" s="14" t="n">
        <x:f>1-G962-H962</x:f>
        <x:v>0.76</x:v>
      </x:c>
      <x:c r="J962" s="2" t="n">
        <x:f>MAX(1,ROUND('기준스탯 72종'!D46-R962-Z962,0))</x:f>
        <x:v>6</x:v>
      </x:c>
      <x:c r="K962" s="2" t="n">
        <x:f>MAX(1,ROUND('기준스탯 72종'!E46-S962-AA962,0))</x:f>
        <x:v>5</x:v>
      </x:c>
      <x:c r="L962" s="2" t="n">
        <x:f>MAX(1,ROUND('기준스탯 72종'!F46-T962-AB962,0))</x:f>
        <x:v>5</x:v>
      </x:c>
      <x:c r="M962" s="2" t="n">
        <x:f>MAX(1,ROUND('기준스탯 72종'!G46-U962-AC962,0))</x:f>
        <x:v>7</x:v>
      </x:c>
      <x:c r="N962" s="2" t="n">
        <x:f>MAX(0,ROUND('기준스탯 72종'!H46-V962-AD962,0))</x:f>
        <x:v>4</x:v>
      </x:c>
      <x:c r="O962" s="2" t="n">
        <x:f>MAX(0,ROUND('기준스탯 72종'!I46-W962-AE962,0))</x:f>
        <x:v>3</x:v>
      </x:c>
      <x:c r="P962" s="2" t="n">
        <x:f>MAX(0,ROUND('기준스탯 72종'!J46-X962-AF962,0))</x:f>
        <x:v>3</x:v>
      </x:c>
      <x:c r="Q962" s="2" t="n">
        <x:f>MAX(0,ROUND('기준스탯 72종'!K46-Y962-AG962,0))</x:f>
        <x:v>2</x:v>
      </x:c>
      <x:c r="R962" s="15" t="n">
        <x:f>'기준스탯 72종'!D46*G962</x:f>
        <x:v>0</x:v>
      </x:c>
      <x:c r="S962" s="15" t="n">
        <x:f>'기준스탯 72종'!E46*G962</x:f>
        <x:v>0</x:v>
      </x:c>
      <x:c r="T962" s="15" t="n">
        <x:f>'기준스탯 72종'!F46*G962</x:f>
        <x:v>0</x:v>
      </x:c>
      <x:c r="U962" s="15" t="n">
        <x:f>'기준스탯 72종'!G46*G962</x:f>
        <x:v>0</x:v>
      </x:c>
      <x:c r="V962" s="15" t="n">
        <x:f>'기준스탯 72종'!H46*G962</x:f>
        <x:v>0</x:v>
      </x:c>
      <x:c r="W962" s="15" t="n">
        <x:f>'기준스탯 72종'!I46*G962</x:f>
        <x:v>0</x:v>
      </x:c>
      <x:c r="X962" s="15" t="n">
        <x:f>'기준스탯 72종'!J46*G962</x:f>
        <x:v>0</x:v>
      </x:c>
      <x:c r="Y962" s="15" t="n">
        <x:f>'기준스탯 72종'!K46*G962</x:f>
        <x:v>0</x:v>
      </x:c>
      <x:c r="Z962" s="15" t="n">
        <x:f>'기준스탯 72종'!D46*H962</x:f>
        <x:v>1.9200000000000004</x:v>
      </x:c>
      <x:c r="AA962" s="15" t="n">
        <x:f>'기준스탯 72종'!E46*H962</x:f>
        <x:v>1.6800000000000004</x:v>
      </x:c>
      <x:c r="AB962" s="15" t="n">
        <x:f>'기준스탯 72종'!F46*H962</x:f>
        <x:v>1.4400000000000004</x:v>
      </x:c>
      <x:c r="AC962" s="15" t="n">
        <x:f>'기준스탯 72종'!G46*H962</x:f>
        <x:v>2.1600000000000006</x:v>
      </x:c>
      <x:c r="AD962" s="15" t="n">
        <x:f>'기준스탯 72종'!H46*H962</x:f>
        <x:v>1.2000000000000002</x:v>
      </x:c>
      <x:c r="AE962" s="15" t="n">
        <x:f>'기준스탯 72종'!I46*H962</x:f>
        <x:v>0.9600000000000002</x:v>
      </x:c>
      <x:c r="AF962" s="15" t="n">
        <x:f>'기준스탯 72종'!J46*H962</x:f>
        <x:v>0.9600000000000002</x:v>
      </x:c>
      <x:c r="AG962" s="15" t="n">
        <x:f>'기준스탯 72종'!K46*H962</x:f>
        <x:v>0.7200000000000002</x:v>
      </x:c>
    </x:row>
    <x:row r="963" ht="28" customHeight="1">
      <x:c r="A963" s="2" t="n">
        <x:v>956</x:v>
      </x:c>
      <x:c r="B963" s="2" t="n">
        <x:v>39</x:v>
      </x:c>
      <x:c r="C963" s="2" t="str">
        <x:v>천칭자리</x:v>
      </x:c>
      <x:c r="D963" s="2" t="str">
        <x:v>사수</x:v>
      </x:c>
      <x:c r="E963" s="2" t="n">
        <x:v>1</x:v>
      </x:c>
      <x:c r="F963" s="2" t="n">
        <x:v>2</x:v>
      </x:c>
      <x:c r="G963" s="14" t="n">
        <x:f>('레벨 계산식'!$E$4-E963)*'레벨 계산식'!$B$5</x:f>
        <x:v>0.5599999999999999</x:v>
      </x:c>
      <x:c r="H963" s="14" t="n">
        <x:f>('등급 계산식'!$E$4-F963)*'등급 계산식'!$B$5</x:f>
        <x:v>0.18000000000000005</x:v>
      </x:c>
      <x:c r="I963" s="14" t="n">
        <x:f>1-G963-H963</x:f>
        <x:v>0.26</x:v>
      </x:c>
      <x:c r="J963" s="2" t="n">
        <x:f>MAX(1,ROUND('기준스탯 72종'!D46-R963-Z963,0))</x:f>
        <x:v>2</x:v>
      </x:c>
      <x:c r="K963" s="2" t="n">
        <x:f>MAX(1,ROUND('기준스탯 72종'!E46-S963-AA963,0))</x:f>
        <x:v>2</x:v>
      </x:c>
      <x:c r="L963" s="2" t="n">
        <x:f>MAX(1,ROUND('기준스탯 72종'!F46-T963-AB963,0))</x:f>
        <x:v>2</x:v>
      </x:c>
      <x:c r="M963" s="2" t="n">
        <x:f>MAX(1,ROUND('기준스탯 72종'!G46-U963-AC963,0))</x:f>
        <x:v>2</x:v>
      </x:c>
      <x:c r="N963" s="2" t="n">
        <x:f>MAX(0,ROUND('기준스탯 72종'!H46-V963-AD963,0))</x:f>
        <x:v>1</x:v>
      </x:c>
      <x:c r="O963" s="2" t="n">
        <x:f>MAX(0,ROUND('기준스탯 72종'!I46-W963-AE963,0))</x:f>
        <x:v>1</x:v>
      </x:c>
      <x:c r="P963" s="2" t="n">
        <x:f>MAX(0,ROUND('기준스탯 72종'!J46-X963-AF963,0))</x:f>
        <x:v>1</x:v>
      </x:c>
      <x:c r="Q963" s="2" t="n">
        <x:f>MAX(0,ROUND('기준스탯 72종'!K46-Y963-AG963,0))</x:f>
        <x:v>1</x:v>
      </x:c>
      <x:c r="R963" s="15" t="n">
        <x:f>'기준스탯 72종'!D46*G963</x:f>
        <x:v>4.4799999999999995</x:v>
      </x:c>
      <x:c r="S963" s="15" t="n">
        <x:f>'기준스탯 72종'!E46*G963</x:f>
        <x:v>3.9199999999999995</x:v>
      </x:c>
      <x:c r="T963" s="15" t="n">
        <x:f>'기준스탯 72종'!F46*G963</x:f>
        <x:v>3.3599999999999994</x:v>
      </x:c>
      <x:c r="U963" s="15" t="n">
        <x:f>'기준스탯 72종'!G46*G963</x:f>
        <x:v>5.039999999999999</x:v>
      </x:c>
      <x:c r="V963" s="15" t="n">
        <x:f>'기준스탯 72종'!H46*G963</x:f>
        <x:v>2.8</x:v>
      </x:c>
      <x:c r="W963" s="15" t="n">
        <x:f>'기준스탯 72종'!I46*G963</x:f>
        <x:v>2.2399999999999998</x:v>
      </x:c>
      <x:c r="X963" s="15" t="n">
        <x:f>'기준스탯 72종'!J46*G963</x:f>
        <x:v>2.2399999999999998</x:v>
      </x:c>
      <x:c r="Y963" s="15" t="n">
        <x:f>'기준스탯 72종'!K46*G963</x:f>
        <x:v>1.6799999999999997</x:v>
      </x:c>
      <x:c r="Z963" s="15" t="n">
        <x:f>'기준스탯 72종'!D46*H963</x:f>
        <x:v>1.4400000000000004</x:v>
      </x:c>
      <x:c r="AA963" s="15" t="n">
        <x:f>'기준스탯 72종'!E46*H963</x:f>
        <x:v>1.2600000000000002</x:v>
      </x:c>
      <x:c r="AB963" s="15" t="n">
        <x:f>'기준스탯 72종'!F46*H963</x:f>
        <x:v>1.0800000000000003</x:v>
      </x:c>
      <x:c r="AC963" s="15" t="n">
        <x:f>'기준스탯 72종'!G46*H963</x:f>
        <x:v>1.6200000000000006</x:v>
      </x:c>
      <x:c r="AD963" s="15" t="n">
        <x:f>'기준스탯 72종'!H46*H963</x:f>
        <x:v>0.9000000000000002</x:v>
      </x:c>
      <x:c r="AE963" s="15" t="n">
        <x:f>'기준스탯 72종'!I46*H963</x:f>
        <x:v>0.7200000000000002</x:v>
      </x:c>
      <x:c r="AF963" s="15" t="n">
        <x:f>'기준스탯 72종'!J46*H963</x:f>
        <x:v>0.7200000000000002</x:v>
      </x:c>
      <x:c r="AG963" s="15" t="n">
        <x:f>'기준스탯 72종'!K46*H963</x:f>
        <x:v>0.5400000000000001</x:v>
      </x:c>
    </x:row>
    <x:row r="964" ht="28" customHeight="1">
      <x:c r="A964" s="2" t="n">
        <x:v>957</x:v>
      </x:c>
      <x:c r="B964" s="2" t="n">
        <x:v>39</x:v>
      </x:c>
      <x:c r="C964" s="2" t="str">
        <x:v>천칭자리</x:v>
      </x:c>
      <x:c r="D964" s="2" t="str">
        <x:v>사수</x:v>
      </x:c>
      <x:c r="E964" s="2" t="n">
        <x:v>2</x:v>
      </x:c>
      <x:c r="F964" s="2" t="n">
        <x:v>2</x:v>
      </x:c>
      <x:c r="G964" s="14" t="n">
        <x:f>('레벨 계산식'!$E$4-E964)*'레벨 계산식'!$B$5</x:f>
        <x:v>0.41999999999999993</x:v>
      </x:c>
      <x:c r="H964" s="14" t="n">
        <x:f>('등급 계산식'!$E$4-F964)*'등급 계산식'!$B$5</x:f>
        <x:v>0.18000000000000005</x:v>
      </x:c>
      <x:c r="I964" s="14" t="n">
        <x:f>1-G964-H964</x:f>
        <x:v>0.4</x:v>
      </x:c>
      <x:c r="J964" s="2" t="n">
        <x:f>MAX(1,ROUND('기준스탯 72종'!D46-R964-Z964,0))</x:f>
        <x:v>3</x:v>
      </x:c>
      <x:c r="K964" s="2" t="n">
        <x:f>MAX(1,ROUND('기준스탯 72종'!E46-S964-AA964,0))</x:f>
        <x:v>3</x:v>
      </x:c>
      <x:c r="L964" s="2" t="n">
        <x:f>MAX(1,ROUND('기준스탯 72종'!F46-T964-AB964,0))</x:f>
        <x:v>2</x:v>
      </x:c>
      <x:c r="M964" s="2" t="n">
        <x:f>MAX(1,ROUND('기준스탯 72종'!G46-U964-AC964,0))</x:f>
        <x:v>4</x:v>
      </x:c>
      <x:c r="N964" s="2" t="n">
        <x:f>MAX(0,ROUND('기준스탯 72종'!H46-V964-AD964,0))</x:f>
        <x:v>2</x:v>
      </x:c>
      <x:c r="O964" s="2" t="n">
        <x:f>MAX(0,ROUND('기준스탯 72종'!I46-W964-AE964,0))</x:f>
        <x:v>2</x:v>
      </x:c>
      <x:c r="P964" s="2" t="n">
        <x:f>MAX(0,ROUND('기준스탯 72종'!J46-X964-AF964,0))</x:f>
        <x:v>2</x:v>
      </x:c>
      <x:c r="Q964" s="2" t="n">
        <x:f>MAX(0,ROUND('기준스탯 72종'!K46-Y964-AG964,0))</x:f>
        <x:v>1</x:v>
      </x:c>
      <x:c r="R964" s="15" t="n">
        <x:f>'기준스탯 72종'!D46*G964</x:f>
        <x:v>3.3599999999999994</x:v>
      </x:c>
      <x:c r="S964" s="15" t="n">
        <x:f>'기준스탯 72종'!E46*G964</x:f>
        <x:v>2.9399999999999995</x:v>
      </x:c>
      <x:c r="T964" s="15" t="n">
        <x:f>'기준스탯 72종'!F46*G964</x:f>
        <x:v>2.5199999999999996</x:v>
      </x:c>
      <x:c r="U964" s="15" t="n">
        <x:f>'기준스탯 72종'!G46*G964</x:f>
        <x:v>3.7799999999999994</x:v>
      </x:c>
      <x:c r="V964" s="15" t="n">
        <x:f>'기준스탯 72종'!H46*G964</x:f>
        <x:v>2.0999999999999996</x:v>
      </x:c>
      <x:c r="W964" s="15" t="n">
        <x:f>'기준스탯 72종'!I46*G964</x:f>
        <x:v>1.6799999999999997</x:v>
      </x:c>
      <x:c r="X964" s="15" t="n">
        <x:f>'기준스탯 72종'!J46*G964</x:f>
        <x:v>1.6799999999999997</x:v>
      </x:c>
      <x:c r="Y964" s="15" t="n">
        <x:f>'기준스탯 72종'!K46*G964</x:f>
        <x:v>1.2599999999999998</x:v>
      </x:c>
      <x:c r="Z964" s="15" t="n">
        <x:f>'기준스탯 72종'!D46*H964</x:f>
        <x:v>1.4400000000000004</x:v>
      </x:c>
      <x:c r="AA964" s="15" t="n">
        <x:f>'기준스탯 72종'!E46*H964</x:f>
        <x:v>1.2600000000000002</x:v>
      </x:c>
      <x:c r="AB964" s="15" t="n">
        <x:f>'기준스탯 72종'!F46*H964</x:f>
        <x:v>1.0800000000000003</x:v>
      </x:c>
      <x:c r="AC964" s="15" t="n">
        <x:f>'기준스탯 72종'!G46*H964</x:f>
        <x:v>1.6200000000000006</x:v>
      </x:c>
      <x:c r="AD964" s="15" t="n">
        <x:f>'기준스탯 72종'!H46*H964</x:f>
        <x:v>0.9000000000000002</x:v>
      </x:c>
      <x:c r="AE964" s="15" t="n">
        <x:f>'기준스탯 72종'!I46*H964</x:f>
        <x:v>0.7200000000000002</x:v>
      </x:c>
      <x:c r="AF964" s="15" t="n">
        <x:f>'기준스탯 72종'!J46*H964</x:f>
        <x:v>0.7200000000000002</x:v>
      </x:c>
      <x:c r="AG964" s="15" t="n">
        <x:f>'기준스탯 72종'!K46*H964</x:f>
        <x:v>0.5400000000000001</x:v>
      </x:c>
    </x:row>
    <x:row r="965" ht="28" customHeight="1">
      <x:c r="A965" s="2" t="n">
        <x:v>958</x:v>
      </x:c>
      <x:c r="B965" s="2" t="n">
        <x:v>39</x:v>
      </x:c>
      <x:c r="C965" s="2" t="str">
        <x:v>천칭자리</x:v>
      </x:c>
      <x:c r="D965" s="2" t="str">
        <x:v>사수</x:v>
      </x:c>
      <x:c r="E965" s="2" t="n">
        <x:v>3</x:v>
      </x:c>
      <x:c r="F965" s="2" t="n">
        <x:v>2</x:v>
      </x:c>
      <x:c r="G965" s="14" t="n">
        <x:f>('레벨 계산식'!$E$4-E965)*'레벨 계산식'!$B$5</x:f>
        <x:v>0.27999999999999997</x:v>
      </x:c>
      <x:c r="H965" s="14" t="n">
        <x:f>('등급 계산식'!$E$4-F965)*'등급 계산식'!$B$5</x:f>
        <x:v>0.18000000000000005</x:v>
      </x:c>
      <x:c r="I965" s="14" t="n">
        <x:f>1-G965-H965</x:f>
        <x:v>0.5399999999999999</x:v>
      </x:c>
      <x:c r="J965" s="2" t="n">
        <x:f>MAX(1,ROUND('기준스탯 72종'!D46-R965-Z965,0))</x:f>
        <x:v>4</x:v>
      </x:c>
      <x:c r="K965" s="2" t="n">
        <x:f>MAX(1,ROUND('기준스탯 72종'!E46-S965-AA965,0))</x:f>
        <x:v>4</x:v>
      </x:c>
      <x:c r="L965" s="2" t="n">
        <x:f>MAX(1,ROUND('기준스탯 72종'!F46-T965-AB965,0))</x:f>
        <x:v>3</x:v>
      </x:c>
      <x:c r="M965" s="2" t="n">
        <x:f>MAX(1,ROUND('기준스탯 72종'!G46-U965-AC965,0))</x:f>
        <x:v>5</x:v>
      </x:c>
      <x:c r="N965" s="2" t="n">
        <x:f>MAX(0,ROUND('기준스탯 72종'!H46-V965-AD965,0))</x:f>
        <x:v>3</x:v>
      </x:c>
      <x:c r="O965" s="2" t="n">
        <x:f>MAX(0,ROUND('기준스탯 72종'!I46-W965-AE965,0))</x:f>
        <x:v>2</x:v>
      </x:c>
      <x:c r="P965" s="2" t="n">
        <x:f>MAX(0,ROUND('기준스탯 72종'!J46-X965-AF965,0))</x:f>
        <x:v>2</x:v>
      </x:c>
      <x:c r="Q965" s="2" t="n">
        <x:f>MAX(0,ROUND('기준스탯 72종'!K46-Y965-AG965,0))</x:f>
        <x:v>2</x:v>
      </x:c>
      <x:c r="R965" s="15" t="n">
        <x:f>'기준스탯 72종'!D46*G965</x:f>
        <x:v>2.2399999999999998</x:v>
      </x:c>
      <x:c r="S965" s="15" t="n">
        <x:f>'기준스탯 72종'!E46*G965</x:f>
        <x:v>1.9599999999999997</x:v>
      </x:c>
      <x:c r="T965" s="15" t="n">
        <x:f>'기준스탯 72종'!F46*G965</x:f>
        <x:v>1.6799999999999997</x:v>
      </x:c>
      <x:c r="U965" s="15" t="n">
        <x:f>'기준스탯 72종'!G46*G965</x:f>
        <x:v>2.5199999999999996</x:v>
      </x:c>
      <x:c r="V965" s="15" t="n">
        <x:f>'기준스탯 72종'!H46*G965</x:f>
        <x:v>1.4</x:v>
      </x:c>
      <x:c r="W965" s="15" t="n">
        <x:f>'기준스탯 72종'!I46*G965</x:f>
        <x:v>1.1199999999999999</x:v>
      </x:c>
      <x:c r="X965" s="15" t="n">
        <x:f>'기준스탯 72종'!J46*G965</x:f>
        <x:v>1.1199999999999999</x:v>
      </x:c>
      <x:c r="Y965" s="15" t="n">
        <x:f>'기준스탯 72종'!K46*G965</x:f>
        <x:v>0.8399999999999999</x:v>
      </x:c>
      <x:c r="Z965" s="15" t="n">
        <x:f>'기준스탯 72종'!D46*H965</x:f>
        <x:v>1.4400000000000004</x:v>
      </x:c>
      <x:c r="AA965" s="15" t="n">
        <x:f>'기준스탯 72종'!E46*H965</x:f>
        <x:v>1.2600000000000002</x:v>
      </x:c>
      <x:c r="AB965" s="15" t="n">
        <x:f>'기준스탯 72종'!F46*H965</x:f>
        <x:v>1.0800000000000003</x:v>
      </x:c>
      <x:c r="AC965" s="15" t="n">
        <x:f>'기준스탯 72종'!G46*H965</x:f>
        <x:v>1.6200000000000006</x:v>
      </x:c>
      <x:c r="AD965" s="15" t="n">
        <x:f>'기준스탯 72종'!H46*H965</x:f>
        <x:v>0.9000000000000002</x:v>
      </x:c>
      <x:c r="AE965" s="15" t="n">
        <x:f>'기준스탯 72종'!I46*H965</x:f>
        <x:v>0.7200000000000002</x:v>
      </x:c>
      <x:c r="AF965" s="15" t="n">
        <x:f>'기준스탯 72종'!J46*H965</x:f>
        <x:v>0.7200000000000002</x:v>
      </x:c>
      <x:c r="AG965" s="15" t="n">
        <x:f>'기준스탯 72종'!K46*H965</x:f>
        <x:v>0.5400000000000001</x:v>
      </x:c>
    </x:row>
    <x:row r="966" ht="28" customHeight="1">
      <x:c r="A966" s="2" t="n">
        <x:v>959</x:v>
      </x:c>
      <x:c r="B966" s="2" t="n">
        <x:v>39</x:v>
      </x:c>
      <x:c r="C966" s="2" t="str">
        <x:v>천칭자리</x:v>
      </x:c>
      <x:c r="D966" s="2" t="str">
        <x:v>사수</x:v>
      </x:c>
      <x:c r="E966" s="2" t="n">
        <x:v>4</x:v>
      </x:c>
      <x:c r="F966" s="2" t="n">
        <x:v>2</x:v>
      </x:c>
      <x:c r="G966" s="14" t="n">
        <x:f>('레벨 계산식'!$E$4-E966)*'레벨 계산식'!$B$5</x:f>
        <x:v>0.13999999999999999</x:v>
      </x:c>
      <x:c r="H966" s="14" t="n">
        <x:f>('등급 계산식'!$E$4-F966)*'등급 계산식'!$B$5</x:f>
        <x:v>0.18000000000000005</x:v>
      </x:c>
      <x:c r="I966" s="14" t="n">
        <x:f>1-G966-H966</x:f>
        <x:v>0.6799999999999999</x:v>
      </x:c>
      <x:c r="J966" s="2" t="n">
        <x:f>MAX(1,ROUND('기준스탯 72종'!D46-R966-Z966,0))</x:f>
        <x:v>5</x:v>
      </x:c>
      <x:c r="K966" s="2" t="n">
        <x:f>MAX(1,ROUND('기준스탯 72종'!E46-S966-AA966,0))</x:f>
        <x:v>5</x:v>
      </x:c>
      <x:c r="L966" s="2" t="n">
        <x:f>MAX(1,ROUND('기준스탯 72종'!F46-T966-AB966,0))</x:f>
        <x:v>4</x:v>
      </x:c>
      <x:c r="M966" s="2" t="n">
        <x:f>MAX(1,ROUND('기준스탯 72종'!G46-U966-AC966,0))</x:f>
        <x:v>6</x:v>
      </x:c>
      <x:c r="N966" s="2" t="n">
        <x:f>MAX(0,ROUND('기준스탯 72종'!H46-V966-AD966,0))</x:f>
        <x:v>3</x:v>
      </x:c>
      <x:c r="O966" s="2" t="n">
        <x:f>MAX(0,ROUND('기준스탯 72종'!I46-W966-AE966,0))</x:f>
        <x:v>3</x:v>
      </x:c>
      <x:c r="P966" s="2" t="n">
        <x:f>MAX(0,ROUND('기준스탯 72종'!J46-X966-AF966,0))</x:f>
        <x:v>3</x:v>
      </x:c>
      <x:c r="Q966" s="2" t="n">
        <x:f>MAX(0,ROUND('기준스탯 72종'!K46-Y966-AG966,0))</x:f>
        <x:v>2</x:v>
      </x:c>
      <x:c r="R966" s="15" t="n">
        <x:f>'기준스탯 72종'!D46*G966</x:f>
        <x:v>1.1199999999999999</x:v>
      </x:c>
      <x:c r="S966" s="15" t="n">
        <x:f>'기준스탯 72종'!E46*G966</x:f>
        <x:v>0.9799999999999999</x:v>
      </x:c>
      <x:c r="T966" s="15" t="n">
        <x:f>'기준스탯 72종'!F46*G966</x:f>
        <x:v>0.8399999999999999</x:v>
      </x:c>
      <x:c r="U966" s="15" t="n">
        <x:f>'기준스탯 72종'!G46*G966</x:f>
        <x:v>1.2599999999999998</x:v>
      </x:c>
      <x:c r="V966" s="15" t="n">
        <x:f>'기준스탯 72종'!H46*G966</x:f>
        <x:v>0.7</x:v>
      </x:c>
      <x:c r="W966" s="15" t="n">
        <x:f>'기준스탯 72종'!I46*G966</x:f>
        <x:v>0.5599999999999999</x:v>
      </x:c>
      <x:c r="X966" s="15" t="n">
        <x:f>'기준스탯 72종'!J46*G966</x:f>
        <x:v>0.5599999999999999</x:v>
      </x:c>
      <x:c r="Y966" s="15" t="n">
        <x:f>'기준스탯 72종'!K46*G966</x:f>
        <x:v>0.41999999999999993</x:v>
      </x:c>
      <x:c r="Z966" s="15" t="n">
        <x:f>'기준스탯 72종'!D46*H966</x:f>
        <x:v>1.4400000000000004</x:v>
      </x:c>
      <x:c r="AA966" s="15" t="n">
        <x:f>'기준스탯 72종'!E46*H966</x:f>
        <x:v>1.2600000000000002</x:v>
      </x:c>
      <x:c r="AB966" s="15" t="n">
        <x:f>'기준스탯 72종'!F46*H966</x:f>
        <x:v>1.0800000000000003</x:v>
      </x:c>
      <x:c r="AC966" s="15" t="n">
        <x:f>'기준스탯 72종'!G46*H966</x:f>
        <x:v>1.6200000000000006</x:v>
      </x:c>
      <x:c r="AD966" s="15" t="n">
        <x:f>'기준스탯 72종'!H46*H966</x:f>
        <x:v>0.9000000000000002</x:v>
      </x:c>
      <x:c r="AE966" s="15" t="n">
        <x:f>'기준스탯 72종'!I46*H966</x:f>
        <x:v>0.7200000000000002</x:v>
      </x:c>
      <x:c r="AF966" s="15" t="n">
        <x:f>'기준스탯 72종'!J46*H966</x:f>
        <x:v>0.7200000000000002</x:v>
      </x:c>
      <x:c r="AG966" s="15" t="n">
        <x:f>'기준스탯 72종'!K46*H966</x:f>
        <x:v>0.5400000000000001</x:v>
      </x:c>
    </x:row>
    <x:row r="967" ht="28" customHeight="1">
      <x:c r="A967" s="2" t="n">
        <x:v>960</x:v>
      </x:c>
      <x:c r="B967" s="2" t="n">
        <x:v>39</x:v>
      </x:c>
      <x:c r="C967" s="2" t="str">
        <x:v>천칭자리</x:v>
      </x:c>
      <x:c r="D967" s="2" t="str">
        <x:v>사수</x:v>
      </x:c>
      <x:c r="E967" s="2" t="n">
        <x:v>5</x:v>
      </x:c>
      <x:c r="F967" s="2" t="n">
        <x:v>2</x:v>
      </x:c>
      <x:c r="G967" s="14" t="n">
        <x:f>('레벨 계산식'!$E$4-E967)*'레벨 계산식'!$B$5</x:f>
        <x:v>0</x:v>
      </x:c>
      <x:c r="H967" s="14" t="n">
        <x:f>('등급 계산식'!$E$4-F967)*'등급 계산식'!$B$5</x:f>
        <x:v>0.18000000000000005</x:v>
      </x:c>
      <x:c r="I967" s="14" t="n">
        <x:f>1-G967-H967</x:f>
        <x:v>0.82</x:v>
      </x:c>
      <x:c r="J967" s="2" t="n">
        <x:f>MAX(1,ROUND('기준스탯 72종'!D46-R967-Z967,0))</x:f>
        <x:v>7</x:v>
      </x:c>
      <x:c r="K967" s="2" t="n">
        <x:f>MAX(1,ROUND('기준스탯 72종'!E46-S967-AA967,0))</x:f>
        <x:v>6</x:v>
      </x:c>
      <x:c r="L967" s="2" t="n">
        <x:f>MAX(1,ROUND('기준스탯 72종'!F46-T967-AB967,0))</x:f>
        <x:v>5</x:v>
      </x:c>
      <x:c r="M967" s="2" t="n">
        <x:f>MAX(1,ROUND('기준스탯 72종'!G46-U967-AC967,0))</x:f>
        <x:v>7</x:v>
      </x:c>
      <x:c r="N967" s="2" t="n">
        <x:f>MAX(0,ROUND('기준스탯 72종'!H46-V967-AD967,0))</x:f>
        <x:v>4</x:v>
      </x:c>
      <x:c r="O967" s="2" t="n">
        <x:f>MAX(0,ROUND('기준스탯 72종'!I46-W967-AE967,0))</x:f>
        <x:v>3</x:v>
      </x:c>
      <x:c r="P967" s="2" t="n">
        <x:f>MAX(0,ROUND('기준스탯 72종'!J46-X967-AF967,0))</x:f>
        <x:v>3</x:v>
      </x:c>
      <x:c r="Q967" s="2" t="n">
        <x:f>MAX(0,ROUND('기준스탯 72종'!K46-Y967-AG967,0))</x:f>
        <x:v>2</x:v>
      </x:c>
      <x:c r="R967" s="15" t="n">
        <x:f>'기준스탯 72종'!D46*G967</x:f>
        <x:v>0</x:v>
      </x:c>
      <x:c r="S967" s="15" t="n">
        <x:f>'기준스탯 72종'!E46*G967</x:f>
        <x:v>0</x:v>
      </x:c>
      <x:c r="T967" s="15" t="n">
        <x:f>'기준스탯 72종'!F46*G967</x:f>
        <x:v>0</x:v>
      </x:c>
      <x:c r="U967" s="15" t="n">
        <x:f>'기준스탯 72종'!G46*G967</x:f>
        <x:v>0</x:v>
      </x:c>
      <x:c r="V967" s="15" t="n">
        <x:f>'기준스탯 72종'!H46*G967</x:f>
        <x:v>0</x:v>
      </x:c>
      <x:c r="W967" s="15" t="n">
        <x:f>'기준스탯 72종'!I46*G967</x:f>
        <x:v>0</x:v>
      </x:c>
      <x:c r="X967" s="15" t="n">
        <x:f>'기준스탯 72종'!J46*G967</x:f>
        <x:v>0</x:v>
      </x:c>
      <x:c r="Y967" s="15" t="n">
        <x:f>'기준스탯 72종'!K46*G967</x:f>
        <x:v>0</x:v>
      </x:c>
      <x:c r="Z967" s="15" t="n">
        <x:f>'기준스탯 72종'!D46*H967</x:f>
        <x:v>1.4400000000000004</x:v>
      </x:c>
      <x:c r="AA967" s="15" t="n">
        <x:f>'기준스탯 72종'!E46*H967</x:f>
        <x:v>1.2600000000000002</x:v>
      </x:c>
      <x:c r="AB967" s="15" t="n">
        <x:f>'기준스탯 72종'!F46*H967</x:f>
        <x:v>1.0800000000000003</x:v>
      </x:c>
      <x:c r="AC967" s="15" t="n">
        <x:f>'기준스탯 72종'!G46*H967</x:f>
        <x:v>1.6200000000000006</x:v>
      </x:c>
      <x:c r="AD967" s="15" t="n">
        <x:f>'기준스탯 72종'!H46*H967</x:f>
        <x:v>0.9000000000000002</x:v>
      </x:c>
      <x:c r="AE967" s="15" t="n">
        <x:f>'기준스탯 72종'!I46*H967</x:f>
        <x:v>0.7200000000000002</x:v>
      </x:c>
      <x:c r="AF967" s="15" t="n">
        <x:f>'기준스탯 72종'!J46*H967</x:f>
        <x:v>0.7200000000000002</x:v>
      </x:c>
      <x:c r="AG967" s="15" t="n">
        <x:f>'기준스탯 72종'!K46*H967</x:f>
        <x:v>0.5400000000000001</x:v>
      </x:c>
    </x:row>
    <x:row r="968" ht="28" customHeight="1">
      <x:c r="A968" s="2" t="n">
        <x:v>961</x:v>
      </x:c>
      <x:c r="B968" s="2" t="n">
        <x:v>39</x:v>
      </x:c>
      <x:c r="C968" s="2" t="str">
        <x:v>천칭자리</x:v>
      </x:c>
      <x:c r="D968" s="2" t="str">
        <x:v>사수</x:v>
      </x:c>
      <x:c r="E968" s="2" t="n">
        <x:v>1</x:v>
      </x:c>
      <x:c r="F968" s="2" t="n">
        <x:v>3</x:v>
      </x:c>
      <x:c r="G968" s="14" t="n">
        <x:f>('레벨 계산식'!$E$4-E968)*'레벨 계산식'!$B$5</x:f>
        <x:v>0.5599999999999999</x:v>
      </x:c>
      <x:c r="H968" s="14" t="n">
        <x:f>('등급 계산식'!$E$4-F968)*'등급 계산식'!$B$5</x:f>
        <x:v>0.12000000000000002</x:v>
      </x:c>
      <x:c r="I968" s="14" t="n">
        <x:f>1-G968-H968</x:f>
        <x:v>0.32000000000000006</x:v>
      </x:c>
      <x:c r="J968" s="2" t="n">
        <x:f>MAX(1,ROUND('기준스탯 72종'!D46-R968-Z968,0))</x:f>
        <x:v>3</x:v>
      </x:c>
      <x:c r="K968" s="2" t="n">
        <x:f>MAX(1,ROUND('기준스탯 72종'!E46-S968-AA968,0))</x:f>
        <x:v>2</x:v>
      </x:c>
      <x:c r="L968" s="2" t="n">
        <x:f>MAX(1,ROUND('기준스탯 72종'!F46-T968-AB968,0))</x:f>
        <x:v>2</x:v>
      </x:c>
      <x:c r="M968" s="2" t="n">
        <x:f>MAX(1,ROUND('기준스탯 72종'!G46-U968-AC968,0))</x:f>
        <x:v>3</x:v>
      </x:c>
      <x:c r="N968" s="2" t="n">
        <x:f>MAX(0,ROUND('기준스탯 72종'!H46-V968-AD968,0))</x:f>
        <x:v>2</x:v>
      </x:c>
      <x:c r="O968" s="2" t="n">
        <x:f>MAX(0,ROUND('기준스탯 72종'!I46-W968-AE968,0))</x:f>
        <x:v>1</x:v>
      </x:c>
      <x:c r="P968" s="2" t="n">
        <x:f>MAX(0,ROUND('기준스탯 72종'!J46-X968-AF968,0))</x:f>
        <x:v>1</x:v>
      </x:c>
      <x:c r="Q968" s="2" t="n">
        <x:f>MAX(0,ROUND('기준스탯 72종'!K46-Y968-AG968,0))</x:f>
        <x:v>1</x:v>
      </x:c>
      <x:c r="R968" s="15" t="n">
        <x:f>'기준스탯 72종'!D46*G968</x:f>
        <x:v>4.4799999999999995</x:v>
      </x:c>
      <x:c r="S968" s="15" t="n">
        <x:f>'기준스탯 72종'!E46*G968</x:f>
        <x:v>3.9199999999999995</x:v>
      </x:c>
      <x:c r="T968" s="15" t="n">
        <x:f>'기준스탯 72종'!F46*G968</x:f>
        <x:v>3.3599999999999994</x:v>
      </x:c>
      <x:c r="U968" s="15" t="n">
        <x:f>'기준스탯 72종'!G46*G968</x:f>
        <x:v>5.039999999999999</x:v>
      </x:c>
      <x:c r="V968" s="15" t="n">
        <x:f>'기준스탯 72종'!H46*G968</x:f>
        <x:v>2.8</x:v>
      </x:c>
      <x:c r="W968" s="15" t="n">
        <x:f>'기준스탯 72종'!I46*G968</x:f>
        <x:v>2.2399999999999998</x:v>
      </x:c>
      <x:c r="X968" s="15" t="n">
        <x:f>'기준스탯 72종'!J46*G968</x:f>
        <x:v>2.2399999999999998</x:v>
      </x:c>
      <x:c r="Y968" s="15" t="n">
        <x:f>'기준스탯 72종'!K46*G968</x:f>
        <x:v>1.6799999999999997</x:v>
      </x:c>
      <x:c r="Z968" s="15" t="n">
        <x:f>'기준스탯 72종'!D46*H968</x:f>
        <x:v>0.9600000000000002</x:v>
      </x:c>
      <x:c r="AA968" s="15" t="n">
        <x:f>'기준스탯 72종'!E46*H968</x:f>
        <x:v>0.8400000000000002</x:v>
      </x:c>
      <x:c r="AB968" s="15" t="n">
        <x:f>'기준스탯 72종'!F46*H968</x:f>
        <x:v>0.7200000000000002</x:v>
      </x:c>
      <x:c r="AC968" s="15" t="n">
        <x:f>'기준스탯 72종'!G46*H968</x:f>
        <x:v>1.0800000000000003</x:v>
      </x:c>
      <x:c r="AD968" s="15" t="n">
        <x:f>'기준스탯 72종'!H46*H968</x:f>
        <x:v>0.6000000000000001</x:v>
      </x:c>
      <x:c r="AE968" s="15" t="n">
        <x:f>'기준스탯 72종'!I46*H968</x:f>
        <x:v>0.4800000000000001</x:v>
      </x:c>
      <x:c r="AF968" s="15" t="n">
        <x:f>'기준스탯 72종'!J46*H968</x:f>
        <x:v>0.4800000000000001</x:v>
      </x:c>
      <x:c r="AG968" s="15" t="n">
        <x:f>'기준스탯 72종'!K46*H968</x:f>
        <x:v>0.3600000000000001</x:v>
      </x:c>
    </x:row>
    <x:row r="969" ht="28" customHeight="1">
      <x:c r="A969" s="2" t="n">
        <x:v>962</x:v>
      </x:c>
      <x:c r="B969" s="2" t="n">
        <x:v>39</x:v>
      </x:c>
      <x:c r="C969" s="2" t="str">
        <x:v>천칭자리</x:v>
      </x:c>
      <x:c r="D969" s="2" t="str">
        <x:v>사수</x:v>
      </x:c>
      <x:c r="E969" s="2" t="n">
        <x:v>2</x:v>
      </x:c>
      <x:c r="F969" s="2" t="n">
        <x:v>3</x:v>
      </x:c>
      <x:c r="G969" s="14" t="n">
        <x:f>('레벨 계산식'!$E$4-E969)*'레벨 계산식'!$B$5</x:f>
        <x:v>0.41999999999999993</x:v>
      </x:c>
      <x:c r="H969" s="14" t="n">
        <x:f>('등급 계산식'!$E$4-F969)*'등급 계산식'!$B$5</x:f>
        <x:v>0.12000000000000002</x:v>
      </x:c>
      <x:c r="I969" s="14" t="n">
        <x:f>1-G969-H969</x:f>
        <x:v>0.4600000000000001</x:v>
      </x:c>
      <x:c r="J969" s="2" t="n">
        <x:f>MAX(1,ROUND('기준스탯 72종'!D46-R969-Z969,0))</x:f>
        <x:v>4</x:v>
      </x:c>
      <x:c r="K969" s="2" t="n">
        <x:f>MAX(1,ROUND('기준스탯 72종'!E46-S969-AA969,0))</x:f>
        <x:v>3</x:v>
      </x:c>
      <x:c r="L969" s="2" t="n">
        <x:f>MAX(1,ROUND('기준스탯 72종'!F46-T969-AB969,0))</x:f>
        <x:v>3</x:v>
      </x:c>
      <x:c r="M969" s="2" t="n">
        <x:f>MAX(1,ROUND('기준스탯 72종'!G46-U969-AC969,0))</x:f>
        <x:v>4</x:v>
      </x:c>
      <x:c r="N969" s="2" t="n">
        <x:f>MAX(0,ROUND('기준스탯 72종'!H46-V969-AD969,0))</x:f>
        <x:v>2</x:v>
      </x:c>
      <x:c r="O969" s="2" t="n">
        <x:f>MAX(0,ROUND('기준스탯 72종'!I46-W969-AE969,0))</x:f>
        <x:v>2</x:v>
      </x:c>
      <x:c r="P969" s="2" t="n">
        <x:f>MAX(0,ROUND('기준스탯 72종'!J46-X969-AF969,0))</x:f>
        <x:v>2</x:v>
      </x:c>
      <x:c r="Q969" s="2" t="n">
        <x:f>MAX(0,ROUND('기준스탯 72종'!K46-Y969-AG969,0))</x:f>
        <x:v>1</x:v>
      </x:c>
      <x:c r="R969" s="15" t="n">
        <x:f>'기준스탯 72종'!D46*G969</x:f>
        <x:v>3.3599999999999994</x:v>
      </x:c>
      <x:c r="S969" s="15" t="n">
        <x:f>'기준스탯 72종'!E46*G969</x:f>
        <x:v>2.9399999999999995</x:v>
      </x:c>
      <x:c r="T969" s="15" t="n">
        <x:f>'기준스탯 72종'!F46*G969</x:f>
        <x:v>2.5199999999999996</x:v>
      </x:c>
      <x:c r="U969" s="15" t="n">
        <x:f>'기준스탯 72종'!G46*G969</x:f>
        <x:v>3.7799999999999994</x:v>
      </x:c>
      <x:c r="V969" s="15" t="n">
        <x:f>'기준스탯 72종'!H46*G969</x:f>
        <x:v>2.0999999999999996</x:v>
      </x:c>
      <x:c r="W969" s="15" t="n">
        <x:f>'기준스탯 72종'!I46*G969</x:f>
        <x:v>1.6799999999999997</x:v>
      </x:c>
      <x:c r="X969" s="15" t="n">
        <x:f>'기준스탯 72종'!J46*G969</x:f>
        <x:v>1.6799999999999997</x:v>
      </x:c>
      <x:c r="Y969" s="15" t="n">
        <x:f>'기준스탯 72종'!K46*G969</x:f>
        <x:v>1.2599999999999998</x:v>
      </x:c>
      <x:c r="Z969" s="15" t="n">
        <x:f>'기준스탯 72종'!D46*H969</x:f>
        <x:v>0.9600000000000002</x:v>
      </x:c>
      <x:c r="AA969" s="15" t="n">
        <x:f>'기준스탯 72종'!E46*H969</x:f>
        <x:v>0.8400000000000002</x:v>
      </x:c>
      <x:c r="AB969" s="15" t="n">
        <x:f>'기준스탯 72종'!F46*H969</x:f>
        <x:v>0.7200000000000002</x:v>
      </x:c>
      <x:c r="AC969" s="15" t="n">
        <x:f>'기준스탯 72종'!G46*H969</x:f>
        <x:v>1.0800000000000003</x:v>
      </x:c>
      <x:c r="AD969" s="15" t="n">
        <x:f>'기준스탯 72종'!H46*H969</x:f>
        <x:v>0.6000000000000001</x:v>
      </x:c>
      <x:c r="AE969" s="15" t="n">
        <x:f>'기준스탯 72종'!I46*H969</x:f>
        <x:v>0.4800000000000001</x:v>
      </x:c>
      <x:c r="AF969" s="15" t="n">
        <x:f>'기준스탯 72종'!J46*H969</x:f>
        <x:v>0.4800000000000001</x:v>
      </x:c>
      <x:c r="AG969" s="15" t="n">
        <x:f>'기준스탯 72종'!K46*H969</x:f>
        <x:v>0.3600000000000001</x:v>
      </x:c>
    </x:row>
    <x:row r="970" ht="28" customHeight="1">
      <x:c r="A970" s="2" t="n">
        <x:v>963</x:v>
      </x:c>
      <x:c r="B970" s="2" t="n">
        <x:v>39</x:v>
      </x:c>
      <x:c r="C970" s="2" t="str">
        <x:v>천칭자리</x:v>
      </x:c>
      <x:c r="D970" s="2" t="str">
        <x:v>사수</x:v>
      </x:c>
      <x:c r="E970" s="2" t="n">
        <x:v>3</x:v>
      </x:c>
      <x:c r="F970" s="2" t="n">
        <x:v>3</x:v>
      </x:c>
      <x:c r="G970" s="14" t="n">
        <x:f>('레벨 계산식'!$E$4-E970)*'레벨 계산식'!$B$5</x:f>
        <x:v>0.27999999999999997</x:v>
      </x:c>
      <x:c r="H970" s="14" t="n">
        <x:f>('등급 계산식'!$E$4-F970)*'등급 계산식'!$B$5</x:f>
        <x:v>0.12000000000000002</x:v>
      </x:c>
      <x:c r="I970" s="14" t="n">
        <x:f>1-G970-H970</x:f>
        <x:v>0.6</x:v>
      </x:c>
      <x:c r="J970" s="2" t="n">
        <x:f>MAX(1,ROUND('기준스탯 72종'!D46-R970-Z970,0))</x:f>
        <x:v>5</x:v>
      </x:c>
      <x:c r="K970" s="2" t="n">
        <x:f>MAX(1,ROUND('기준스탯 72종'!E46-S970-AA970,0))</x:f>
        <x:v>4</x:v>
      </x:c>
      <x:c r="L970" s="2" t="n">
        <x:f>MAX(1,ROUND('기준스탯 72종'!F46-T970-AB970,0))</x:f>
        <x:v>4</x:v>
      </x:c>
      <x:c r="M970" s="2" t="n">
        <x:f>MAX(1,ROUND('기준스탯 72종'!G46-U970-AC970,0))</x:f>
        <x:v>5</x:v>
      </x:c>
      <x:c r="N970" s="2" t="n">
        <x:f>MAX(0,ROUND('기준스탯 72종'!H46-V970-AD970,0))</x:f>
        <x:v>3</x:v>
      </x:c>
      <x:c r="O970" s="2" t="n">
        <x:f>MAX(0,ROUND('기준스탯 72종'!I46-W970-AE970,0))</x:f>
        <x:v>2</x:v>
      </x:c>
      <x:c r="P970" s="2" t="n">
        <x:f>MAX(0,ROUND('기준스탯 72종'!J46-X970-AF970,0))</x:f>
        <x:v>2</x:v>
      </x:c>
      <x:c r="Q970" s="2" t="n">
        <x:f>MAX(0,ROUND('기준스탯 72종'!K46-Y970-AG970,0))</x:f>
        <x:v>2</x:v>
      </x:c>
      <x:c r="R970" s="15" t="n">
        <x:f>'기준스탯 72종'!D46*G970</x:f>
        <x:v>2.2399999999999998</x:v>
      </x:c>
      <x:c r="S970" s="15" t="n">
        <x:f>'기준스탯 72종'!E46*G970</x:f>
        <x:v>1.9599999999999997</x:v>
      </x:c>
      <x:c r="T970" s="15" t="n">
        <x:f>'기준스탯 72종'!F46*G970</x:f>
        <x:v>1.6799999999999997</x:v>
      </x:c>
      <x:c r="U970" s="15" t="n">
        <x:f>'기준스탯 72종'!G46*G970</x:f>
        <x:v>2.5199999999999996</x:v>
      </x:c>
      <x:c r="V970" s="15" t="n">
        <x:f>'기준스탯 72종'!H46*G970</x:f>
        <x:v>1.4</x:v>
      </x:c>
      <x:c r="W970" s="15" t="n">
        <x:f>'기준스탯 72종'!I46*G970</x:f>
        <x:v>1.1199999999999999</x:v>
      </x:c>
      <x:c r="X970" s="15" t="n">
        <x:f>'기준스탯 72종'!J46*G970</x:f>
        <x:v>1.1199999999999999</x:v>
      </x:c>
      <x:c r="Y970" s="15" t="n">
        <x:f>'기준스탯 72종'!K46*G970</x:f>
        <x:v>0.8399999999999999</x:v>
      </x:c>
      <x:c r="Z970" s="15" t="n">
        <x:f>'기준스탯 72종'!D46*H970</x:f>
        <x:v>0.9600000000000002</x:v>
      </x:c>
      <x:c r="AA970" s="15" t="n">
        <x:f>'기준스탯 72종'!E46*H970</x:f>
        <x:v>0.8400000000000002</x:v>
      </x:c>
      <x:c r="AB970" s="15" t="n">
        <x:f>'기준스탯 72종'!F46*H970</x:f>
        <x:v>0.7200000000000002</x:v>
      </x:c>
      <x:c r="AC970" s="15" t="n">
        <x:f>'기준스탯 72종'!G46*H970</x:f>
        <x:v>1.0800000000000003</x:v>
      </x:c>
      <x:c r="AD970" s="15" t="n">
        <x:f>'기준스탯 72종'!H46*H970</x:f>
        <x:v>0.6000000000000001</x:v>
      </x:c>
      <x:c r="AE970" s="15" t="n">
        <x:f>'기준스탯 72종'!I46*H970</x:f>
        <x:v>0.4800000000000001</x:v>
      </x:c>
      <x:c r="AF970" s="15" t="n">
        <x:f>'기준스탯 72종'!J46*H970</x:f>
        <x:v>0.4800000000000001</x:v>
      </x:c>
      <x:c r="AG970" s="15" t="n">
        <x:f>'기준스탯 72종'!K46*H970</x:f>
        <x:v>0.3600000000000001</x:v>
      </x:c>
    </x:row>
    <x:row r="971" ht="28" customHeight="1">
      <x:c r="A971" s="2" t="n">
        <x:v>964</x:v>
      </x:c>
      <x:c r="B971" s="2" t="n">
        <x:v>39</x:v>
      </x:c>
      <x:c r="C971" s="2" t="str">
        <x:v>천칭자리</x:v>
      </x:c>
      <x:c r="D971" s="2" t="str">
        <x:v>사수</x:v>
      </x:c>
      <x:c r="E971" s="2" t="n">
        <x:v>4</x:v>
      </x:c>
      <x:c r="F971" s="2" t="n">
        <x:v>3</x:v>
      </x:c>
      <x:c r="G971" s="14" t="n">
        <x:f>('레벨 계산식'!$E$4-E971)*'레벨 계산식'!$B$5</x:f>
        <x:v>0.13999999999999999</x:v>
      </x:c>
      <x:c r="H971" s="14" t="n">
        <x:f>('등급 계산식'!$E$4-F971)*'등급 계산식'!$B$5</x:f>
        <x:v>0.12000000000000002</x:v>
      </x:c>
      <x:c r="I971" s="14" t="n">
        <x:f>1-G971-H971</x:f>
        <x:v>0.74</x:v>
      </x:c>
      <x:c r="J971" s="2" t="n">
        <x:f>MAX(1,ROUND('기준스탯 72종'!D46-R971-Z971,0))</x:f>
        <x:v>6</x:v>
      </x:c>
      <x:c r="K971" s="2" t="n">
        <x:f>MAX(1,ROUND('기준스탯 72종'!E46-S971-AA971,0))</x:f>
        <x:v>5</x:v>
      </x:c>
      <x:c r="L971" s="2" t="n">
        <x:f>MAX(1,ROUND('기준스탯 72종'!F46-T971-AB971,0))</x:f>
        <x:v>4</x:v>
      </x:c>
      <x:c r="M971" s="2" t="n">
        <x:f>MAX(1,ROUND('기준스탯 72종'!G46-U971-AC971,0))</x:f>
        <x:v>7</x:v>
      </x:c>
      <x:c r="N971" s="2" t="n">
        <x:f>MAX(0,ROUND('기준스탯 72종'!H46-V971-AD971,0))</x:f>
        <x:v>4</x:v>
      </x:c>
      <x:c r="O971" s="2" t="n">
        <x:f>MAX(0,ROUND('기준스탯 72종'!I46-W971-AE971,0))</x:f>
        <x:v>3</x:v>
      </x:c>
      <x:c r="P971" s="2" t="n">
        <x:f>MAX(0,ROUND('기준스탯 72종'!J46-X971-AF971,0))</x:f>
        <x:v>3</x:v>
      </x:c>
      <x:c r="Q971" s="2" t="n">
        <x:f>MAX(0,ROUND('기준스탯 72종'!K46-Y971-AG971,0))</x:f>
        <x:v>2</x:v>
      </x:c>
      <x:c r="R971" s="15" t="n">
        <x:f>'기준스탯 72종'!D46*G971</x:f>
        <x:v>1.1199999999999999</x:v>
      </x:c>
      <x:c r="S971" s="15" t="n">
        <x:f>'기준스탯 72종'!E46*G971</x:f>
        <x:v>0.9799999999999999</x:v>
      </x:c>
      <x:c r="T971" s="15" t="n">
        <x:f>'기준스탯 72종'!F46*G971</x:f>
        <x:v>0.8399999999999999</x:v>
      </x:c>
      <x:c r="U971" s="15" t="n">
        <x:f>'기준스탯 72종'!G46*G971</x:f>
        <x:v>1.2599999999999998</x:v>
      </x:c>
      <x:c r="V971" s="15" t="n">
        <x:f>'기준스탯 72종'!H46*G971</x:f>
        <x:v>0.7</x:v>
      </x:c>
      <x:c r="W971" s="15" t="n">
        <x:f>'기준스탯 72종'!I46*G971</x:f>
        <x:v>0.5599999999999999</x:v>
      </x:c>
      <x:c r="X971" s="15" t="n">
        <x:f>'기준스탯 72종'!J46*G971</x:f>
        <x:v>0.5599999999999999</x:v>
      </x:c>
      <x:c r="Y971" s="15" t="n">
        <x:f>'기준스탯 72종'!K46*G971</x:f>
        <x:v>0.41999999999999993</x:v>
      </x:c>
      <x:c r="Z971" s="15" t="n">
        <x:f>'기준스탯 72종'!D46*H971</x:f>
        <x:v>0.9600000000000002</x:v>
      </x:c>
      <x:c r="AA971" s="15" t="n">
        <x:f>'기준스탯 72종'!E46*H971</x:f>
        <x:v>0.8400000000000002</x:v>
      </x:c>
      <x:c r="AB971" s="15" t="n">
        <x:f>'기준스탯 72종'!F46*H971</x:f>
        <x:v>0.7200000000000002</x:v>
      </x:c>
      <x:c r="AC971" s="15" t="n">
        <x:f>'기준스탯 72종'!G46*H971</x:f>
        <x:v>1.0800000000000003</x:v>
      </x:c>
      <x:c r="AD971" s="15" t="n">
        <x:f>'기준스탯 72종'!H46*H971</x:f>
        <x:v>0.6000000000000001</x:v>
      </x:c>
      <x:c r="AE971" s="15" t="n">
        <x:f>'기준스탯 72종'!I46*H971</x:f>
        <x:v>0.4800000000000001</x:v>
      </x:c>
      <x:c r="AF971" s="15" t="n">
        <x:f>'기준스탯 72종'!J46*H971</x:f>
        <x:v>0.4800000000000001</x:v>
      </x:c>
      <x:c r="AG971" s="15" t="n">
        <x:f>'기준스탯 72종'!K46*H971</x:f>
        <x:v>0.3600000000000001</x:v>
      </x:c>
    </x:row>
    <x:row r="972" ht="28" customHeight="1">
      <x:c r="A972" s="2" t="n">
        <x:v>965</x:v>
      </x:c>
      <x:c r="B972" s="2" t="n">
        <x:v>39</x:v>
      </x:c>
      <x:c r="C972" s="2" t="str">
        <x:v>천칭자리</x:v>
      </x:c>
      <x:c r="D972" s="2" t="str">
        <x:v>사수</x:v>
      </x:c>
      <x:c r="E972" s="2" t="n">
        <x:v>5</x:v>
      </x:c>
      <x:c r="F972" s="2" t="n">
        <x:v>3</x:v>
      </x:c>
      <x:c r="G972" s="14" t="n">
        <x:f>('레벨 계산식'!$E$4-E972)*'레벨 계산식'!$B$5</x:f>
        <x:v>0</x:v>
      </x:c>
      <x:c r="H972" s="14" t="n">
        <x:f>('등급 계산식'!$E$4-F972)*'등급 계산식'!$B$5</x:f>
        <x:v>0.12000000000000002</x:v>
      </x:c>
      <x:c r="I972" s="14" t="n">
        <x:f>1-G972-H972</x:f>
        <x:v>0.88</x:v>
      </x:c>
      <x:c r="J972" s="2" t="n">
        <x:f>MAX(1,ROUND('기준스탯 72종'!D46-R972-Z972,0))</x:f>
        <x:v>7</x:v>
      </x:c>
      <x:c r="K972" s="2" t="n">
        <x:f>MAX(1,ROUND('기준스탯 72종'!E46-S972-AA972,0))</x:f>
        <x:v>6</x:v>
      </x:c>
      <x:c r="L972" s="2" t="n">
        <x:f>MAX(1,ROUND('기준스탯 72종'!F46-T972-AB972,0))</x:f>
        <x:v>5</x:v>
      </x:c>
      <x:c r="M972" s="2" t="n">
        <x:f>MAX(1,ROUND('기준스탯 72종'!G46-U972-AC972,0))</x:f>
        <x:v>8</x:v>
      </x:c>
      <x:c r="N972" s="2" t="n">
        <x:f>MAX(0,ROUND('기준스탯 72종'!H46-V972-AD972,0))</x:f>
        <x:v>4</x:v>
      </x:c>
      <x:c r="O972" s="2" t="n">
        <x:f>MAX(0,ROUND('기준스탯 72종'!I46-W972-AE972,0))</x:f>
        <x:v>4</x:v>
      </x:c>
      <x:c r="P972" s="2" t="n">
        <x:f>MAX(0,ROUND('기준스탯 72종'!J46-X972-AF972,0))</x:f>
        <x:v>4</x:v>
      </x:c>
      <x:c r="Q972" s="2" t="n">
        <x:f>MAX(0,ROUND('기준스탯 72종'!K46-Y972-AG972,0))</x:f>
        <x:v>3</x:v>
      </x:c>
      <x:c r="R972" s="15" t="n">
        <x:f>'기준스탯 72종'!D46*G972</x:f>
        <x:v>0</x:v>
      </x:c>
      <x:c r="S972" s="15" t="n">
        <x:f>'기준스탯 72종'!E46*G972</x:f>
        <x:v>0</x:v>
      </x:c>
      <x:c r="T972" s="15" t="n">
        <x:f>'기준스탯 72종'!F46*G972</x:f>
        <x:v>0</x:v>
      </x:c>
      <x:c r="U972" s="15" t="n">
        <x:f>'기준스탯 72종'!G46*G972</x:f>
        <x:v>0</x:v>
      </x:c>
      <x:c r="V972" s="15" t="n">
        <x:f>'기준스탯 72종'!H46*G972</x:f>
        <x:v>0</x:v>
      </x:c>
      <x:c r="W972" s="15" t="n">
        <x:f>'기준스탯 72종'!I46*G972</x:f>
        <x:v>0</x:v>
      </x:c>
      <x:c r="X972" s="15" t="n">
        <x:f>'기준스탯 72종'!J46*G972</x:f>
        <x:v>0</x:v>
      </x:c>
      <x:c r="Y972" s="15" t="n">
        <x:f>'기준스탯 72종'!K46*G972</x:f>
        <x:v>0</x:v>
      </x:c>
      <x:c r="Z972" s="15" t="n">
        <x:f>'기준스탯 72종'!D46*H972</x:f>
        <x:v>0.9600000000000002</x:v>
      </x:c>
      <x:c r="AA972" s="15" t="n">
        <x:f>'기준스탯 72종'!E46*H972</x:f>
        <x:v>0.8400000000000002</x:v>
      </x:c>
      <x:c r="AB972" s="15" t="n">
        <x:f>'기준스탯 72종'!F46*H972</x:f>
        <x:v>0.7200000000000002</x:v>
      </x:c>
      <x:c r="AC972" s="15" t="n">
        <x:f>'기준스탯 72종'!G46*H972</x:f>
        <x:v>1.0800000000000003</x:v>
      </x:c>
      <x:c r="AD972" s="15" t="n">
        <x:f>'기준스탯 72종'!H46*H972</x:f>
        <x:v>0.6000000000000001</x:v>
      </x:c>
      <x:c r="AE972" s="15" t="n">
        <x:f>'기준스탯 72종'!I46*H972</x:f>
        <x:v>0.4800000000000001</x:v>
      </x:c>
      <x:c r="AF972" s="15" t="n">
        <x:f>'기준스탯 72종'!J46*H972</x:f>
        <x:v>0.4800000000000001</x:v>
      </x:c>
      <x:c r="AG972" s="15" t="n">
        <x:f>'기준스탯 72종'!K46*H972</x:f>
        <x:v>0.3600000000000001</x:v>
      </x:c>
    </x:row>
    <x:row r="973" ht="28" customHeight="1">
      <x:c r="A973" s="2" t="n">
        <x:v>966</x:v>
      </x:c>
      <x:c r="B973" s="2" t="n">
        <x:v>39</x:v>
      </x:c>
      <x:c r="C973" s="2" t="str">
        <x:v>천칭자리</x:v>
      </x:c>
      <x:c r="D973" s="2" t="str">
        <x:v>사수</x:v>
      </x:c>
      <x:c r="E973" s="2" t="n">
        <x:v>1</x:v>
      </x:c>
      <x:c r="F973" s="2" t="n">
        <x:v>4</x:v>
      </x:c>
      <x:c r="G973" s="14" t="n">
        <x:f>('레벨 계산식'!$E$4-E973)*'레벨 계산식'!$B$5</x:f>
        <x:v>0.5599999999999999</x:v>
      </x:c>
      <x:c r="H973" s="14" t="n">
        <x:f>('등급 계산식'!$E$4-F973)*'등급 계산식'!$B$5</x:f>
        <x:v>0.06000000000000001</x:v>
      </x:c>
      <x:c r="I973" s="14" t="n">
        <x:f>1-G973-H973</x:f>
        <x:v>0.38000000000000006</x:v>
      </x:c>
      <x:c r="J973" s="2" t="n">
        <x:f>MAX(1,ROUND('기준스탯 72종'!D46-R973-Z973,0))</x:f>
        <x:v>3</x:v>
      </x:c>
      <x:c r="K973" s="2" t="n">
        <x:f>MAX(1,ROUND('기준스탯 72종'!E46-S973-AA973,0))</x:f>
        <x:v>3</x:v>
      </x:c>
      <x:c r="L973" s="2" t="n">
        <x:f>MAX(1,ROUND('기준스탯 72종'!F46-T973-AB973,0))</x:f>
        <x:v>2</x:v>
      </x:c>
      <x:c r="M973" s="2" t="n">
        <x:f>MAX(1,ROUND('기준스탯 72종'!G46-U973-AC973,0))</x:f>
        <x:v>3</x:v>
      </x:c>
      <x:c r="N973" s="2" t="n">
        <x:f>MAX(0,ROUND('기준스탯 72종'!H46-V973-AD973,0))</x:f>
        <x:v>2</x:v>
      </x:c>
      <x:c r="O973" s="2" t="n">
        <x:f>MAX(0,ROUND('기준스탯 72종'!I46-W973-AE973,0))</x:f>
        <x:v>2</x:v>
      </x:c>
      <x:c r="P973" s="2" t="n">
        <x:f>MAX(0,ROUND('기준스탯 72종'!J46-X973-AF973,0))</x:f>
        <x:v>2</x:v>
      </x:c>
      <x:c r="Q973" s="2" t="n">
        <x:f>MAX(0,ROUND('기준스탯 72종'!K46-Y973-AG973,0))</x:f>
        <x:v>1</x:v>
      </x:c>
      <x:c r="R973" s="15" t="n">
        <x:f>'기준스탯 72종'!D46*G973</x:f>
        <x:v>4.4799999999999995</x:v>
      </x:c>
      <x:c r="S973" s="15" t="n">
        <x:f>'기준스탯 72종'!E46*G973</x:f>
        <x:v>3.9199999999999995</x:v>
      </x:c>
      <x:c r="T973" s="15" t="n">
        <x:f>'기준스탯 72종'!F46*G973</x:f>
        <x:v>3.3599999999999994</x:v>
      </x:c>
      <x:c r="U973" s="15" t="n">
        <x:f>'기준스탯 72종'!G46*G973</x:f>
        <x:v>5.039999999999999</x:v>
      </x:c>
      <x:c r="V973" s="15" t="n">
        <x:f>'기준스탯 72종'!H46*G973</x:f>
        <x:v>2.8</x:v>
      </x:c>
      <x:c r="W973" s="15" t="n">
        <x:f>'기준스탯 72종'!I46*G973</x:f>
        <x:v>2.2399999999999998</x:v>
      </x:c>
      <x:c r="X973" s="15" t="n">
        <x:f>'기준스탯 72종'!J46*G973</x:f>
        <x:v>2.2399999999999998</x:v>
      </x:c>
      <x:c r="Y973" s="15" t="n">
        <x:f>'기준스탯 72종'!K46*G973</x:f>
        <x:v>1.6799999999999997</x:v>
      </x:c>
      <x:c r="Z973" s="15" t="n">
        <x:f>'기준스탯 72종'!D46*H973</x:f>
        <x:v>0.4800000000000001</x:v>
      </x:c>
      <x:c r="AA973" s="15" t="n">
        <x:f>'기준스탯 72종'!E46*H973</x:f>
        <x:v>0.4200000000000001</x:v>
      </x:c>
      <x:c r="AB973" s="15" t="n">
        <x:f>'기준스탯 72종'!F46*H973</x:f>
        <x:v>0.3600000000000001</x:v>
      </x:c>
      <x:c r="AC973" s="15" t="n">
        <x:f>'기준스탯 72종'!G46*H973</x:f>
        <x:v>0.5400000000000001</x:v>
      </x:c>
      <x:c r="AD973" s="15" t="n">
        <x:f>'기준스탯 72종'!H46*H973</x:f>
        <x:v>0.30000000000000004</x:v>
      </x:c>
      <x:c r="AE973" s="15" t="n">
        <x:f>'기준스탯 72종'!I46*H973</x:f>
        <x:v>0.24000000000000005</x:v>
      </x:c>
      <x:c r="AF973" s="15" t="n">
        <x:f>'기준스탯 72종'!J46*H973</x:f>
        <x:v>0.24000000000000005</x:v>
      </x:c>
      <x:c r="AG973" s="15" t="n">
        <x:f>'기준스탯 72종'!K46*H973</x:f>
        <x:v>0.18000000000000005</x:v>
      </x:c>
    </x:row>
    <x:row r="974" ht="28" customHeight="1">
      <x:c r="A974" s="2" t="n">
        <x:v>967</x:v>
      </x:c>
      <x:c r="B974" s="2" t="n">
        <x:v>39</x:v>
      </x:c>
      <x:c r="C974" s="2" t="str">
        <x:v>천칭자리</x:v>
      </x:c>
      <x:c r="D974" s="2" t="str">
        <x:v>사수</x:v>
      </x:c>
      <x:c r="E974" s="2" t="n">
        <x:v>2</x:v>
      </x:c>
      <x:c r="F974" s="2" t="n">
        <x:v>4</x:v>
      </x:c>
      <x:c r="G974" s="14" t="n">
        <x:f>('레벨 계산식'!$E$4-E974)*'레벨 계산식'!$B$5</x:f>
        <x:v>0.41999999999999993</x:v>
      </x:c>
      <x:c r="H974" s="14" t="n">
        <x:f>('등급 계산식'!$E$4-F974)*'등급 계산식'!$B$5</x:f>
        <x:v>0.06000000000000001</x:v>
      </x:c>
      <x:c r="I974" s="14" t="n">
        <x:f>1-G974-H974</x:f>
        <x:v>0.52</x:v>
      </x:c>
      <x:c r="J974" s="2" t="n">
        <x:f>MAX(1,ROUND('기준스탯 72종'!D46-R974-Z974,0))</x:f>
        <x:v>4</x:v>
      </x:c>
      <x:c r="K974" s="2" t="n">
        <x:f>MAX(1,ROUND('기준스탯 72종'!E46-S974-AA974,0))</x:f>
        <x:v>4</x:v>
      </x:c>
      <x:c r="L974" s="2" t="n">
        <x:f>MAX(1,ROUND('기준스탯 72종'!F46-T974-AB974,0))</x:f>
        <x:v>3</x:v>
      </x:c>
      <x:c r="M974" s="2" t="n">
        <x:f>MAX(1,ROUND('기준스탯 72종'!G46-U974-AC974,0))</x:f>
        <x:v>5</x:v>
      </x:c>
      <x:c r="N974" s="2" t="n">
        <x:f>MAX(0,ROUND('기준스탯 72종'!H46-V974-AD974,0))</x:f>
        <x:v>3</x:v>
      </x:c>
      <x:c r="O974" s="2" t="n">
        <x:f>MAX(0,ROUND('기준스탯 72종'!I46-W974-AE974,0))</x:f>
        <x:v>2</x:v>
      </x:c>
      <x:c r="P974" s="2" t="n">
        <x:f>MAX(0,ROUND('기준스탯 72종'!J46-X974-AF974,0))</x:f>
        <x:v>2</x:v>
      </x:c>
      <x:c r="Q974" s="2" t="n">
        <x:f>MAX(0,ROUND('기준스탯 72종'!K46-Y974-AG974,0))</x:f>
        <x:v>2</x:v>
      </x:c>
      <x:c r="R974" s="15" t="n">
        <x:f>'기준스탯 72종'!D46*G974</x:f>
        <x:v>3.3599999999999994</x:v>
      </x:c>
      <x:c r="S974" s="15" t="n">
        <x:f>'기준스탯 72종'!E46*G974</x:f>
        <x:v>2.9399999999999995</x:v>
      </x:c>
      <x:c r="T974" s="15" t="n">
        <x:f>'기준스탯 72종'!F46*G974</x:f>
        <x:v>2.5199999999999996</x:v>
      </x:c>
      <x:c r="U974" s="15" t="n">
        <x:f>'기준스탯 72종'!G46*G974</x:f>
        <x:v>3.7799999999999994</x:v>
      </x:c>
      <x:c r="V974" s="15" t="n">
        <x:f>'기준스탯 72종'!H46*G974</x:f>
        <x:v>2.0999999999999996</x:v>
      </x:c>
      <x:c r="W974" s="15" t="n">
        <x:f>'기준스탯 72종'!I46*G974</x:f>
        <x:v>1.6799999999999997</x:v>
      </x:c>
      <x:c r="X974" s="15" t="n">
        <x:f>'기준스탯 72종'!J46*G974</x:f>
        <x:v>1.6799999999999997</x:v>
      </x:c>
      <x:c r="Y974" s="15" t="n">
        <x:f>'기준스탯 72종'!K46*G974</x:f>
        <x:v>1.2599999999999998</x:v>
      </x:c>
      <x:c r="Z974" s="15" t="n">
        <x:f>'기준스탯 72종'!D46*H974</x:f>
        <x:v>0.4800000000000001</x:v>
      </x:c>
      <x:c r="AA974" s="15" t="n">
        <x:f>'기준스탯 72종'!E46*H974</x:f>
        <x:v>0.4200000000000001</x:v>
      </x:c>
      <x:c r="AB974" s="15" t="n">
        <x:f>'기준스탯 72종'!F46*H974</x:f>
        <x:v>0.3600000000000001</x:v>
      </x:c>
      <x:c r="AC974" s="15" t="n">
        <x:f>'기준스탯 72종'!G46*H974</x:f>
        <x:v>0.5400000000000001</x:v>
      </x:c>
      <x:c r="AD974" s="15" t="n">
        <x:f>'기준스탯 72종'!H46*H974</x:f>
        <x:v>0.30000000000000004</x:v>
      </x:c>
      <x:c r="AE974" s="15" t="n">
        <x:f>'기준스탯 72종'!I46*H974</x:f>
        <x:v>0.24000000000000005</x:v>
      </x:c>
      <x:c r="AF974" s="15" t="n">
        <x:f>'기준스탯 72종'!J46*H974</x:f>
        <x:v>0.24000000000000005</x:v>
      </x:c>
      <x:c r="AG974" s="15" t="n">
        <x:f>'기준스탯 72종'!K46*H974</x:f>
        <x:v>0.18000000000000005</x:v>
      </x:c>
    </x:row>
    <x:row r="975" ht="28" customHeight="1">
      <x:c r="A975" s="2" t="n">
        <x:v>968</x:v>
      </x:c>
      <x:c r="B975" s="2" t="n">
        <x:v>39</x:v>
      </x:c>
      <x:c r="C975" s="2" t="str">
        <x:v>천칭자리</x:v>
      </x:c>
      <x:c r="D975" s="2" t="str">
        <x:v>사수</x:v>
      </x:c>
      <x:c r="E975" s="2" t="n">
        <x:v>3</x:v>
      </x:c>
      <x:c r="F975" s="2" t="n">
        <x:v>4</x:v>
      </x:c>
      <x:c r="G975" s="14" t="n">
        <x:f>('레벨 계산식'!$E$4-E975)*'레벨 계산식'!$B$5</x:f>
        <x:v>0.27999999999999997</x:v>
      </x:c>
      <x:c r="H975" s="14" t="n">
        <x:f>('등급 계산식'!$E$4-F975)*'등급 계산식'!$B$5</x:f>
        <x:v>0.06000000000000001</x:v>
      </x:c>
      <x:c r="I975" s="14" t="n">
        <x:f>1-G975-H975</x:f>
        <x:v>0.6599999999999999</x:v>
      </x:c>
      <x:c r="J975" s="2" t="n">
        <x:f>MAX(1,ROUND('기준스탯 72종'!D46-R975-Z975,0))</x:f>
        <x:v>5</x:v>
      </x:c>
      <x:c r="K975" s="2" t="n">
        <x:f>MAX(1,ROUND('기준스탯 72종'!E46-S975-AA975,0))</x:f>
        <x:v>5</x:v>
      </x:c>
      <x:c r="L975" s="2" t="n">
        <x:f>MAX(1,ROUND('기준스탯 72종'!F46-T975-AB975,0))</x:f>
        <x:v>4</x:v>
      </x:c>
      <x:c r="M975" s="2" t="n">
        <x:f>MAX(1,ROUND('기준스탯 72종'!G46-U975-AC975,0))</x:f>
        <x:v>6</x:v>
      </x:c>
      <x:c r="N975" s="2" t="n">
        <x:f>MAX(0,ROUND('기준스탯 72종'!H46-V975-AD975,0))</x:f>
        <x:v>3</x:v>
      </x:c>
      <x:c r="O975" s="2" t="n">
        <x:f>MAX(0,ROUND('기준스탯 72종'!I46-W975-AE975,0))</x:f>
        <x:v>3</x:v>
      </x:c>
      <x:c r="P975" s="2" t="n">
        <x:f>MAX(0,ROUND('기준스탯 72종'!J46-X975-AF975,0))</x:f>
        <x:v>3</x:v>
      </x:c>
      <x:c r="Q975" s="2" t="n">
        <x:f>MAX(0,ROUND('기준스탯 72종'!K46-Y975-AG975,0))</x:f>
        <x:v>2</x:v>
      </x:c>
      <x:c r="R975" s="15" t="n">
        <x:f>'기준스탯 72종'!D46*G975</x:f>
        <x:v>2.2399999999999998</x:v>
      </x:c>
      <x:c r="S975" s="15" t="n">
        <x:f>'기준스탯 72종'!E46*G975</x:f>
        <x:v>1.9599999999999997</x:v>
      </x:c>
      <x:c r="T975" s="15" t="n">
        <x:f>'기준스탯 72종'!F46*G975</x:f>
        <x:v>1.6799999999999997</x:v>
      </x:c>
      <x:c r="U975" s="15" t="n">
        <x:f>'기준스탯 72종'!G46*G975</x:f>
        <x:v>2.5199999999999996</x:v>
      </x:c>
      <x:c r="V975" s="15" t="n">
        <x:f>'기준스탯 72종'!H46*G975</x:f>
        <x:v>1.4</x:v>
      </x:c>
      <x:c r="W975" s="15" t="n">
        <x:f>'기준스탯 72종'!I46*G975</x:f>
        <x:v>1.1199999999999999</x:v>
      </x:c>
      <x:c r="X975" s="15" t="n">
        <x:f>'기준스탯 72종'!J46*G975</x:f>
        <x:v>1.1199999999999999</x:v>
      </x:c>
      <x:c r="Y975" s="15" t="n">
        <x:f>'기준스탯 72종'!K46*G975</x:f>
        <x:v>0.8399999999999999</x:v>
      </x:c>
      <x:c r="Z975" s="15" t="n">
        <x:f>'기준스탯 72종'!D46*H975</x:f>
        <x:v>0.4800000000000001</x:v>
      </x:c>
      <x:c r="AA975" s="15" t="n">
        <x:f>'기준스탯 72종'!E46*H975</x:f>
        <x:v>0.4200000000000001</x:v>
      </x:c>
      <x:c r="AB975" s="15" t="n">
        <x:f>'기준스탯 72종'!F46*H975</x:f>
        <x:v>0.3600000000000001</x:v>
      </x:c>
      <x:c r="AC975" s="15" t="n">
        <x:f>'기준스탯 72종'!G46*H975</x:f>
        <x:v>0.5400000000000001</x:v>
      </x:c>
      <x:c r="AD975" s="15" t="n">
        <x:f>'기준스탯 72종'!H46*H975</x:f>
        <x:v>0.30000000000000004</x:v>
      </x:c>
      <x:c r="AE975" s="15" t="n">
        <x:f>'기준스탯 72종'!I46*H975</x:f>
        <x:v>0.24000000000000005</x:v>
      </x:c>
      <x:c r="AF975" s="15" t="n">
        <x:f>'기준스탯 72종'!J46*H975</x:f>
        <x:v>0.24000000000000005</x:v>
      </x:c>
      <x:c r="AG975" s="15" t="n">
        <x:f>'기준스탯 72종'!K46*H975</x:f>
        <x:v>0.18000000000000005</x:v>
      </x:c>
    </x:row>
    <x:row r="976" ht="28" customHeight="1">
      <x:c r="A976" s="2" t="n">
        <x:v>969</x:v>
      </x:c>
      <x:c r="B976" s="2" t="n">
        <x:v>39</x:v>
      </x:c>
      <x:c r="C976" s="2" t="str">
        <x:v>천칭자리</x:v>
      </x:c>
      <x:c r="D976" s="2" t="str">
        <x:v>사수</x:v>
      </x:c>
      <x:c r="E976" s="2" t="n">
        <x:v>4</x:v>
      </x:c>
      <x:c r="F976" s="2" t="n">
        <x:v>4</x:v>
      </x:c>
      <x:c r="G976" s="14" t="n">
        <x:f>('레벨 계산식'!$E$4-E976)*'레벨 계산식'!$B$5</x:f>
        <x:v>0.13999999999999999</x:v>
      </x:c>
      <x:c r="H976" s="14" t="n">
        <x:f>('등급 계산식'!$E$4-F976)*'등급 계산식'!$B$5</x:f>
        <x:v>0.06000000000000001</x:v>
      </x:c>
      <x:c r="I976" s="14" t="n">
        <x:f>1-G976-H976</x:f>
        <x:v>0.7999999999999999</x:v>
      </x:c>
      <x:c r="J976" s="2" t="n">
        <x:f>MAX(1,ROUND('기준스탯 72종'!D46-R976-Z976,0))</x:f>
        <x:v>6</x:v>
      </x:c>
      <x:c r="K976" s="2" t="n">
        <x:f>MAX(1,ROUND('기준스탯 72종'!E46-S976-AA976,0))</x:f>
        <x:v>6</x:v>
      </x:c>
      <x:c r="L976" s="2" t="n">
        <x:f>MAX(1,ROUND('기준스탯 72종'!F46-T976-AB976,0))</x:f>
        <x:v>5</x:v>
      </x:c>
      <x:c r="M976" s="2" t="n">
        <x:f>MAX(1,ROUND('기준스탯 72종'!G46-U976-AC976,0))</x:f>
        <x:v>7</x:v>
      </x:c>
      <x:c r="N976" s="2" t="n">
        <x:f>MAX(0,ROUND('기준스탯 72종'!H46-V976-AD976,0))</x:f>
        <x:v>4</x:v>
      </x:c>
      <x:c r="O976" s="2" t="n">
        <x:f>MAX(0,ROUND('기준스탯 72종'!I46-W976-AE976,0))</x:f>
        <x:v>3</x:v>
      </x:c>
      <x:c r="P976" s="2" t="n">
        <x:f>MAX(0,ROUND('기준스탯 72종'!J46-X976-AF976,0))</x:f>
        <x:v>3</x:v>
      </x:c>
      <x:c r="Q976" s="2" t="n">
        <x:f>MAX(0,ROUND('기준스탯 72종'!K46-Y976-AG976,0))</x:f>
        <x:v>2</x:v>
      </x:c>
      <x:c r="R976" s="15" t="n">
        <x:f>'기준스탯 72종'!D46*G976</x:f>
        <x:v>1.1199999999999999</x:v>
      </x:c>
      <x:c r="S976" s="15" t="n">
        <x:f>'기준스탯 72종'!E46*G976</x:f>
        <x:v>0.9799999999999999</x:v>
      </x:c>
      <x:c r="T976" s="15" t="n">
        <x:f>'기준스탯 72종'!F46*G976</x:f>
        <x:v>0.8399999999999999</x:v>
      </x:c>
      <x:c r="U976" s="15" t="n">
        <x:f>'기준스탯 72종'!G46*G976</x:f>
        <x:v>1.2599999999999998</x:v>
      </x:c>
      <x:c r="V976" s="15" t="n">
        <x:f>'기준스탯 72종'!H46*G976</x:f>
        <x:v>0.7</x:v>
      </x:c>
      <x:c r="W976" s="15" t="n">
        <x:f>'기준스탯 72종'!I46*G976</x:f>
        <x:v>0.5599999999999999</x:v>
      </x:c>
      <x:c r="X976" s="15" t="n">
        <x:f>'기준스탯 72종'!J46*G976</x:f>
        <x:v>0.5599999999999999</x:v>
      </x:c>
      <x:c r="Y976" s="15" t="n">
        <x:f>'기준스탯 72종'!K46*G976</x:f>
        <x:v>0.41999999999999993</x:v>
      </x:c>
      <x:c r="Z976" s="15" t="n">
        <x:f>'기준스탯 72종'!D46*H976</x:f>
        <x:v>0.4800000000000001</x:v>
      </x:c>
      <x:c r="AA976" s="15" t="n">
        <x:f>'기준스탯 72종'!E46*H976</x:f>
        <x:v>0.4200000000000001</x:v>
      </x:c>
      <x:c r="AB976" s="15" t="n">
        <x:f>'기준스탯 72종'!F46*H976</x:f>
        <x:v>0.3600000000000001</x:v>
      </x:c>
      <x:c r="AC976" s="15" t="n">
        <x:f>'기준스탯 72종'!G46*H976</x:f>
        <x:v>0.5400000000000001</x:v>
      </x:c>
      <x:c r="AD976" s="15" t="n">
        <x:f>'기준스탯 72종'!H46*H976</x:f>
        <x:v>0.30000000000000004</x:v>
      </x:c>
      <x:c r="AE976" s="15" t="n">
        <x:f>'기준스탯 72종'!I46*H976</x:f>
        <x:v>0.24000000000000005</x:v>
      </x:c>
      <x:c r="AF976" s="15" t="n">
        <x:f>'기준스탯 72종'!J46*H976</x:f>
        <x:v>0.24000000000000005</x:v>
      </x:c>
      <x:c r="AG976" s="15" t="n">
        <x:f>'기준스탯 72종'!K46*H976</x:f>
        <x:v>0.18000000000000005</x:v>
      </x:c>
    </x:row>
    <x:row r="977" ht="28" customHeight="1">
      <x:c r="A977" s="2" t="n">
        <x:v>970</x:v>
      </x:c>
      <x:c r="B977" s="2" t="n">
        <x:v>39</x:v>
      </x:c>
      <x:c r="C977" s="2" t="str">
        <x:v>천칭자리</x:v>
      </x:c>
      <x:c r="D977" s="2" t="str">
        <x:v>사수</x:v>
      </x:c>
      <x:c r="E977" s="2" t="n">
        <x:v>5</x:v>
      </x:c>
      <x:c r="F977" s="2" t="n">
        <x:v>4</x:v>
      </x:c>
      <x:c r="G977" s="14" t="n">
        <x:f>('레벨 계산식'!$E$4-E977)*'레벨 계산식'!$B$5</x:f>
        <x:v>0</x:v>
      </x:c>
      <x:c r="H977" s="14" t="n">
        <x:f>('등급 계산식'!$E$4-F977)*'등급 계산식'!$B$5</x:f>
        <x:v>0.06000000000000001</x:v>
      </x:c>
      <x:c r="I977" s="14" t="n">
        <x:f>1-G977-H977</x:f>
        <x:v>0.94</x:v>
      </x:c>
      <x:c r="J977" s="2" t="n">
        <x:f>MAX(1,ROUND('기준스탯 72종'!D46-R977-Z977,0))</x:f>
        <x:v>8</x:v>
      </x:c>
      <x:c r="K977" s="2" t="n">
        <x:f>MAX(1,ROUND('기준스탯 72종'!E46-S977-AA977,0))</x:f>
        <x:v>7</x:v>
      </x:c>
      <x:c r="L977" s="2" t="n">
        <x:f>MAX(1,ROUND('기준스탯 72종'!F46-T977-AB977,0))</x:f>
        <x:v>6</x:v>
      </x:c>
      <x:c r="M977" s="2" t="n">
        <x:f>MAX(1,ROUND('기준스탯 72종'!G46-U977-AC977,0))</x:f>
        <x:v>8</x:v>
      </x:c>
      <x:c r="N977" s="2" t="n">
        <x:f>MAX(0,ROUND('기준스탯 72종'!H46-V977-AD977,0))</x:f>
        <x:v>5</x:v>
      </x:c>
      <x:c r="O977" s="2" t="n">
        <x:f>MAX(0,ROUND('기준스탯 72종'!I46-W977-AE977,0))</x:f>
        <x:v>4</x:v>
      </x:c>
      <x:c r="P977" s="2" t="n">
        <x:f>MAX(0,ROUND('기준스탯 72종'!J46-X977-AF977,0))</x:f>
        <x:v>4</x:v>
      </x:c>
      <x:c r="Q977" s="2" t="n">
        <x:f>MAX(0,ROUND('기준스탯 72종'!K46-Y977-AG977,0))</x:f>
        <x:v>3</x:v>
      </x:c>
      <x:c r="R977" s="15" t="n">
        <x:f>'기준스탯 72종'!D46*G977</x:f>
        <x:v>0</x:v>
      </x:c>
      <x:c r="S977" s="15" t="n">
        <x:f>'기준스탯 72종'!E46*G977</x:f>
        <x:v>0</x:v>
      </x:c>
      <x:c r="T977" s="15" t="n">
        <x:f>'기준스탯 72종'!F46*G977</x:f>
        <x:v>0</x:v>
      </x:c>
      <x:c r="U977" s="15" t="n">
        <x:f>'기준스탯 72종'!G46*G977</x:f>
        <x:v>0</x:v>
      </x:c>
      <x:c r="V977" s="15" t="n">
        <x:f>'기준스탯 72종'!H46*G977</x:f>
        <x:v>0</x:v>
      </x:c>
      <x:c r="W977" s="15" t="n">
        <x:f>'기준스탯 72종'!I46*G977</x:f>
        <x:v>0</x:v>
      </x:c>
      <x:c r="X977" s="15" t="n">
        <x:f>'기준스탯 72종'!J46*G977</x:f>
        <x:v>0</x:v>
      </x:c>
      <x:c r="Y977" s="15" t="n">
        <x:f>'기준스탯 72종'!K46*G977</x:f>
        <x:v>0</x:v>
      </x:c>
      <x:c r="Z977" s="15" t="n">
        <x:f>'기준스탯 72종'!D46*H977</x:f>
        <x:v>0.4800000000000001</x:v>
      </x:c>
      <x:c r="AA977" s="15" t="n">
        <x:f>'기준스탯 72종'!E46*H977</x:f>
        <x:v>0.4200000000000001</x:v>
      </x:c>
      <x:c r="AB977" s="15" t="n">
        <x:f>'기준스탯 72종'!F46*H977</x:f>
        <x:v>0.3600000000000001</x:v>
      </x:c>
      <x:c r="AC977" s="15" t="n">
        <x:f>'기준스탯 72종'!G46*H977</x:f>
        <x:v>0.5400000000000001</x:v>
      </x:c>
      <x:c r="AD977" s="15" t="n">
        <x:f>'기준스탯 72종'!H46*H977</x:f>
        <x:v>0.30000000000000004</x:v>
      </x:c>
      <x:c r="AE977" s="15" t="n">
        <x:f>'기준스탯 72종'!I46*H977</x:f>
        <x:v>0.24000000000000005</x:v>
      </x:c>
      <x:c r="AF977" s="15" t="n">
        <x:f>'기준스탯 72종'!J46*H977</x:f>
        <x:v>0.24000000000000005</x:v>
      </x:c>
      <x:c r="AG977" s="15" t="n">
        <x:f>'기준스탯 72종'!K46*H977</x:f>
        <x:v>0.18000000000000005</x:v>
      </x:c>
    </x:row>
    <x:row r="978" ht="28" customHeight="1">
      <x:c r="A978" s="2" t="n">
        <x:v>971</x:v>
      </x:c>
      <x:c r="B978" s="2" t="n">
        <x:v>39</x:v>
      </x:c>
      <x:c r="C978" s="2" t="str">
        <x:v>천칭자리</x:v>
      </x:c>
      <x:c r="D978" s="2" t="str">
        <x:v>사수</x:v>
      </x:c>
      <x:c r="E978" s="2" t="n">
        <x:v>1</x:v>
      </x:c>
      <x:c r="F978" s="2" t="n">
        <x:v>5</x:v>
      </x:c>
      <x:c r="G978" s="14" t="n">
        <x:f>('레벨 계산식'!$E$4-E978)*'레벨 계산식'!$B$5</x:f>
        <x:v>0.5599999999999999</x:v>
      </x:c>
      <x:c r="H978" s="14" t="n">
        <x:f>('등급 계산식'!$E$4-F978)*'등급 계산식'!$B$5</x:f>
        <x:v>0</x:v>
      </x:c>
      <x:c r="I978" s="14" t="n">
        <x:f>1-G978-H978</x:f>
        <x:v>0.44000000000000006</x:v>
      </x:c>
      <x:c r="J978" s="2" t="n">
        <x:f>MAX(1,ROUND('기준스탯 72종'!D46-R978-Z978,0))</x:f>
        <x:v>4</x:v>
      </x:c>
      <x:c r="K978" s="2" t="n">
        <x:f>MAX(1,ROUND('기준스탯 72종'!E46-S978-AA978,0))</x:f>
        <x:v>3</x:v>
      </x:c>
      <x:c r="L978" s="2" t="n">
        <x:f>MAX(1,ROUND('기준스탯 72종'!F46-T978-AB978,0))</x:f>
        <x:v>3</x:v>
      </x:c>
      <x:c r="M978" s="2" t="n">
        <x:f>MAX(1,ROUND('기준스탯 72종'!G46-U978-AC978,0))</x:f>
        <x:v>4</x:v>
      </x:c>
      <x:c r="N978" s="2" t="n">
        <x:f>MAX(0,ROUND('기준스탯 72종'!H46-V978-AD978,0))</x:f>
        <x:v>2</x:v>
      </x:c>
      <x:c r="O978" s="2" t="n">
        <x:f>MAX(0,ROUND('기준스탯 72종'!I46-W978-AE978,0))</x:f>
        <x:v>2</x:v>
      </x:c>
      <x:c r="P978" s="2" t="n">
        <x:f>MAX(0,ROUND('기준스탯 72종'!J46-X978-AF978,0))</x:f>
        <x:v>2</x:v>
      </x:c>
      <x:c r="Q978" s="2" t="n">
        <x:f>MAX(0,ROUND('기준스탯 72종'!K46-Y978-AG978,0))</x:f>
        <x:v>1</x:v>
      </x:c>
      <x:c r="R978" s="15" t="n">
        <x:f>'기준스탯 72종'!D46*G978</x:f>
        <x:v>4.4799999999999995</x:v>
      </x:c>
      <x:c r="S978" s="15" t="n">
        <x:f>'기준스탯 72종'!E46*G978</x:f>
        <x:v>3.9199999999999995</x:v>
      </x:c>
      <x:c r="T978" s="15" t="n">
        <x:f>'기준스탯 72종'!F46*G978</x:f>
        <x:v>3.3599999999999994</x:v>
      </x:c>
      <x:c r="U978" s="15" t="n">
        <x:f>'기준스탯 72종'!G46*G978</x:f>
        <x:v>5.039999999999999</x:v>
      </x:c>
      <x:c r="V978" s="15" t="n">
        <x:f>'기준스탯 72종'!H46*G978</x:f>
        <x:v>2.8</x:v>
      </x:c>
      <x:c r="W978" s="15" t="n">
        <x:f>'기준스탯 72종'!I46*G978</x:f>
        <x:v>2.2399999999999998</x:v>
      </x:c>
      <x:c r="X978" s="15" t="n">
        <x:f>'기준스탯 72종'!J46*G978</x:f>
        <x:v>2.2399999999999998</x:v>
      </x:c>
      <x:c r="Y978" s="15" t="n">
        <x:f>'기준스탯 72종'!K46*G978</x:f>
        <x:v>1.6799999999999997</x:v>
      </x:c>
      <x:c r="Z978" s="15" t="n">
        <x:f>'기준스탯 72종'!D46*H978</x:f>
        <x:v>0</x:v>
      </x:c>
      <x:c r="AA978" s="15" t="n">
        <x:f>'기준스탯 72종'!E46*H978</x:f>
        <x:v>0</x:v>
      </x:c>
      <x:c r="AB978" s="15" t="n">
        <x:f>'기준스탯 72종'!F46*H978</x:f>
        <x:v>0</x:v>
      </x:c>
      <x:c r="AC978" s="15" t="n">
        <x:f>'기준스탯 72종'!G46*H978</x:f>
        <x:v>0</x:v>
      </x:c>
      <x:c r="AD978" s="15" t="n">
        <x:f>'기준스탯 72종'!H46*H978</x:f>
        <x:v>0</x:v>
      </x:c>
      <x:c r="AE978" s="15" t="n">
        <x:f>'기준스탯 72종'!I46*H978</x:f>
        <x:v>0</x:v>
      </x:c>
      <x:c r="AF978" s="15" t="n">
        <x:f>'기준스탯 72종'!J46*H978</x:f>
        <x:v>0</x:v>
      </x:c>
      <x:c r="AG978" s="15" t="n">
        <x:f>'기준스탯 72종'!K46*H978</x:f>
        <x:v>0</x:v>
      </x:c>
    </x:row>
    <x:row r="979" ht="28" customHeight="1">
      <x:c r="A979" s="2" t="n">
        <x:v>972</x:v>
      </x:c>
      <x:c r="B979" s="2" t="n">
        <x:v>39</x:v>
      </x:c>
      <x:c r="C979" s="2" t="str">
        <x:v>천칭자리</x:v>
      </x:c>
      <x:c r="D979" s="2" t="str">
        <x:v>사수</x:v>
      </x:c>
      <x:c r="E979" s="2" t="n">
        <x:v>2</x:v>
      </x:c>
      <x:c r="F979" s="2" t="n">
        <x:v>5</x:v>
      </x:c>
      <x:c r="G979" s="14" t="n">
        <x:f>('레벨 계산식'!$E$4-E979)*'레벨 계산식'!$B$5</x:f>
        <x:v>0.41999999999999993</x:v>
      </x:c>
      <x:c r="H979" s="14" t="n">
        <x:f>('등급 계산식'!$E$4-F979)*'등급 계산식'!$B$5</x:f>
        <x:v>0</x:v>
      </x:c>
      <x:c r="I979" s="14" t="n">
        <x:f>1-G979-H979</x:f>
        <x:v>0.5800000000000001</x:v>
      </x:c>
      <x:c r="J979" s="2" t="n">
        <x:f>MAX(1,ROUND('기준스탯 72종'!D46-R979-Z979,0))</x:f>
        <x:v>5</x:v>
      </x:c>
      <x:c r="K979" s="2" t="n">
        <x:f>MAX(1,ROUND('기준스탯 72종'!E46-S979-AA979,0))</x:f>
        <x:v>4</x:v>
      </x:c>
      <x:c r="L979" s="2" t="n">
        <x:f>MAX(1,ROUND('기준스탯 72종'!F46-T979-AB979,0))</x:f>
        <x:v>3</x:v>
      </x:c>
      <x:c r="M979" s="2" t="n">
        <x:f>MAX(1,ROUND('기준스탯 72종'!G46-U979-AC979,0))</x:f>
        <x:v>5</x:v>
      </x:c>
      <x:c r="N979" s="2" t="n">
        <x:f>MAX(0,ROUND('기준스탯 72종'!H46-V979-AD979,0))</x:f>
        <x:v>3</x:v>
      </x:c>
      <x:c r="O979" s="2" t="n">
        <x:f>MAX(0,ROUND('기준스탯 72종'!I46-W979-AE979,0))</x:f>
        <x:v>2</x:v>
      </x:c>
      <x:c r="P979" s="2" t="n">
        <x:f>MAX(0,ROUND('기준스탯 72종'!J46-X979-AF979,0))</x:f>
        <x:v>2</x:v>
      </x:c>
      <x:c r="Q979" s="2" t="n">
        <x:f>MAX(0,ROUND('기준스탯 72종'!K46-Y979-AG979,0))</x:f>
        <x:v>2</x:v>
      </x:c>
      <x:c r="R979" s="15" t="n">
        <x:f>'기준스탯 72종'!D46*G979</x:f>
        <x:v>3.3599999999999994</x:v>
      </x:c>
      <x:c r="S979" s="15" t="n">
        <x:f>'기준스탯 72종'!E46*G979</x:f>
        <x:v>2.9399999999999995</x:v>
      </x:c>
      <x:c r="T979" s="15" t="n">
        <x:f>'기준스탯 72종'!F46*G979</x:f>
        <x:v>2.5199999999999996</x:v>
      </x:c>
      <x:c r="U979" s="15" t="n">
        <x:f>'기준스탯 72종'!G46*G979</x:f>
        <x:v>3.7799999999999994</x:v>
      </x:c>
      <x:c r="V979" s="15" t="n">
        <x:f>'기준스탯 72종'!H46*G979</x:f>
        <x:v>2.0999999999999996</x:v>
      </x:c>
      <x:c r="W979" s="15" t="n">
        <x:f>'기준스탯 72종'!I46*G979</x:f>
        <x:v>1.6799999999999997</x:v>
      </x:c>
      <x:c r="X979" s="15" t="n">
        <x:f>'기준스탯 72종'!J46*G979</x:f>
        <x:v>1.6799999999999997</x:v>
      </x:c>
      <x:c r="Y979" s="15" t="n">
        <x:f>'기준스탯 72종'!K46*G979</x:f>
        <x:v>1.2599999999999998</x:v>
      </x:c>
      <x:c r="Z979" s="15" t="n">
        <x:f>'기준스탯 72종'!D46*H979</x:f>
        <x:v>0</x:v>
      </x:c>
      <x:c r="AA979" s="15" t="n">
        <x:f>'기준스탯 72종'!E46*H979</x:f>
        <x:v>0</x:v>
      </x:c>
      <x:c r="AB979" s="15" t="n">
        <x:f>'기준스탯 72종'!F46*H979</x:f>
        <x:v>0</x:v>
      </x:c>
      <x:c r="AC979" s="15" t="n">
        <x:f>'기준스탯 72종'!G46*H979</x:f>
        <x:v>0</x:v>
      </x:c>
      <x:c r="AD979" s="15" t="n">
        <x:f>'기준스탯 72종'!H46*H979</x:f>
        <x:v>0</x:v>
      </x:c>
      <x:c r="AE979" s="15" t="n">
        <x:f>'기준스탯 72종'!I46*H979</x:f>
        <x:v>0</x:v>
      </x:c>
      <x:c r="AF979" s="15" t="n">
        <x:f>'기준스탯 72종'!J46*H979</x:f>
        <x:v>0</x:v>
      </x:c>
      <x:c r="AG979" s="15" t="n">
        <x:f>'기준스탯 72종'!K46*H979</x:f>
        <x:v>0</x:v>
      </x:c>
    </x:row>
    <x:row r="980" ht="28" customHeight="1">
      <x:c r="A980" s="2" t="n">
        <x:v>973</x:v>
      </x:c>
      <x:c r="B980" s="2" t="n">
        <x:v>39</x:v>
      </x:c>
      <x:c r="C980" s="2" t="str">
        <x:v>천칭자리</x:v>
      </x:c>
      <x:c r="D980" s="2" t="str">
        <x:v>사수</x:v>
      </x:c>
      <x:c r="E980" s="2" t="n">
        <x:v>3</x:v>
      </x:c>
      <x:c r="F980" s="2" t="n">
        <x:v>5</x:v>
      </x:c>
      <x:c r="G980" s="14" t="n">
        <x:f>('레벨 계산식'!$E$4-E980)*'레벨 계산식'!$B$5</x:f>
        <x:v>0.27999999999999997</x:v>
      </x:c>
      <x:c r="H980" s="14" t="n">
        <x:f>('등급 계산식'!$E$4-F980)*'등급 계산식'!$B$5</x:f>
        <x:v>0</x:v>
      </x:c>
      <x:c r="I980" s="14" t="n">
        <x:f>1-G980-H980</x:f>
        <x:v>0.72</x:v>
      </x:c>
      <x:c r="J980" s="2" t="n">
        <x:f>MAX(1,ROUND('기준스탯 72종'!D46-R980-Z980,0))</x:f>
        <x:v>6</x:v>
      </x:c>
      <x:c r="K980" s="2" t="n">
        <x:f>MAX(1,ROUND('기준스탯 72종'!E46-S980-AA980,0))</x:f>
        <x:v>5</x:v>
      </x:c>
      <x:c r="L980" s="2" t="n">
        <x:f>MAX(1,ROUND('기준스탯 72종'!F46-T980-AB980,0))</x:f>
        <x:v>4</x:v>
      </x:c>
      <x:c r="M980" s="2" t="n">
        <x:f>MAX(1,ROUND('기준스탯 72종'!G46-U980-AC980,0))</x:f>
        <x:v>6</x:v>
      </x:c>
      <x:c r="N980" s="2" t="n">
        <x:f>MAX(0,ROUND('기준스탯 72종'!H46-V980-AD980,0))</x:f>
        <x:v>4</x:v>
      </x:c>
      <x:c r="O980" s="2" t="n">
        <x:f>MAX(0,ROUND('기준스탯 72종'!I46-W980-AE980,0))</x:f>
        <x:v>3</x:v>
      </x:c>
      <x:c r="P980" s="2" t="n">
        <x:f>MAX(0,ROUND('기준스탯 72종'!J46-X980-AF980,0))</x:f>
        <x:v>3</x:v>
      </x:c>
      <x:c r="Q980" s="2" t="n">
        <x:f>MAX(0,ROUND('기준스탯 72종'!K46-Y980-AG980,0))</x:f>
        <x:v>2</x:v>
      </x:c>
      <x:c r="R980" s="15" t="n">
        <x:f>'기준스탯 72종'!D46*G980</x:f>
        <x:v>2.2399999999999998</x:v>
      </x:c>
      <x:c r="S980" s="15" t="n">
        <x:f>'기준스탯 72종'!E46*G980</x:f>
        <x:v>1.9599999999999997</x:v>
      </x:c>
      <x:c r="T980" s="15" t="n">
        <x:f>'기준스탯 72종'!F46*G980</x:f>
        <x:v>1.6799999999999997</x:v>
      </x:c>
      <x:c r="U980" s="15" t="n">
        <x:f>'기준스탯 72종'!G46*G980</x:f>
        <x:v>2.5199999999999996</x:v>
      </x:c>
      <x:c r="V980" s="15" t="n">
        <x:f>'기준스탯 72종'!H46*G980</x:f>
        <x:v>1.4</x:v>
      </x:c>
      <x:c r="W980" s="15" t="n">
        <x:f>'기준스탯 72종'!I46*G980</x:f>
        <x:v>1.1199999999999999</x:v>
      </x:c>
      <x:c r="X980" s="15" t="n">
        <x:f>'기준스탯 72종'!J46*G980</x:f>
        <x:v>1.1199999999999999</x:v>
      </x:c>
      <x:c r="Y980" s="15" t="n">
        <x:f>'기준스탯 72종'!K46*G980</x:f>
        <x:v>0.8399999999999999</x:v>
      </x:c>
      <x:c r="Z980" s="15" t="n">
        <x:f>'기준스탯 72종'!D46*H980</x:f>
        <x:v>0</x:v>
      </x:c>
      <x:c r="AA980" s="15" t="n">
        <x:f>'기준스탯 72종'!E46*H980</x:f>
        <x:v>0</x:v>
      </x:c>
      <x:c r="AB980" s="15" t="n">
        <x:f>'기준스탯 72종'!F46*H980</x:f>
        <x:v>0</x:v>
      </x:c>
      <x:c r="AC980" s="15" t="n">
        <x:f>'기준스탯 72종'!G46*H980</x:f>
        <x:v>0</x:v>
      </x:c>
      <x:c r="AD980" s="15" t="n">
        <x:f>'기준스탯 72종'!H46*H980</x:f>
        <x:v>0</x:v>
      </x:c>
      <x:c r="AE980" s="15" t="n">
        <x:f>'기준스탯 72종'!I46*H980</x:f>
        <x:v>0</x:v>
      </x:c>
      <x:c r="AF980" s="15" t="n">
        <x:f>'기준스탯 72종'!J46*H980</x:f>
        <x:v>0</x:v>
      </x:c>
      <x:c r="AG980" s="15" t="n">
        <x:f>'기준스탯 72종'!K46*H980</x:f>
        <x:v>0</x:v>
      </x:c>
    </x:row>
    <x:row r="981" ht="28" customHeight="1">
      <x:c r="A981" s="2" t="n">
        <x:v>974</x:v>
      </x:c>
      <x:c r="B981" s="2" t="n">
        <x:v>39</x:v>
      </x:c>
      <x:c r="C981" s="2" t="str">
        <x:v>천칭자리</x:v>
      </x:c>
      <x:c r="D981" s="2" t="str">
        <x:v>사수</x:v>
      </x:c>
      <x:c r="E981" s="2" t="n">
        <x:v>4</x:v>
      </x:c>
      <x:c r="F981" s="2" t="n">
        <x:v>5</x:v>
      </x:c>
      <x:c r="G981" s="14" t="n">
        <x:f>('레벨 계산식'!$E$4-E981)*'레벨 계산식'!$B$5</x:f>
        <x:v>0.13999999999999999</x:v>
      </x:c>
      <x:c r="H981" s="14" t="n">
        <x:f>('등급 계산식'!$E$4-F981)*'등급 계산식'!$B$5</x:f>
        <x:v>0</x:v>
      </x:c>
      <x:c r="I981" s="14" t="n">
        <x:f>1-G981-H981</x:f>
        <x:v>0.86</x:v>
      </x:c>
      <x:c r="J981" s="2" t="n">
        <x:f>MAX(1,ROUND('기준스탯 72종'!D46-R981-Z981,0))</x:f>
        <x:v>7</x:v>
      </x:c>
      <x:c r="K981" s="2" t="n">
        <x:f>MAX(1,ROUND('기준스탯 72종'!E46-S981-AA981,0))</x:f>
        <x:v>6</x:v>
      </x:c>
      <x:c r="L981" s="2" t="n">
        <x:f>MAX(1,ROUND('기준스탯 72종'!F46-T981-AB981,0))</x:f>
        <x:v>5</x:v>
      </x:c>
      <x:c r="M981" s="2" t="n">
        <x:f>MAX(1,ROUND('기준스탯 72종'!G46-U981-AC981,0))</x:f>
        <x:v>8</x:v>
      </x:c>
      <x:c r="N981" s="2" t="n">
        <x:f>MAX(0,ROUND('기준스탯 72종'!H46-V981-AD981,0))</x:f>
        <x:v>4</x:v>
      </x:c>
      <x:c r="O981" s="2" t="n">
        <x:f>MAX(0,ROUND('기준스탯 72종'!I46-W981-AE981,0))</x:f>
        <x:v>3</x:v>
      </x:c>
      <x:c r="P981" s="2" t="n">
        <x:f>MAX(0,ROUND('기준스탯 72종'!J46-X981-AF981,0))</x:f>
        <x:v>3</x:v>
      </x:c>
      <x:c r="Q981" s="2" t="n">
        <x:f>MAX(0,ROUND('기준스탯 72종'!K46-Y981-AG981,0))</x:f>
        <x:v>3</x:v>
      </x:c>
      <x:c r="R981" s="15" t="n">
        <x:f>'기준스탯 72종'!D46*G981</x:f>
        <x:v>1.1199999999999999</x:v>
      </x:c>
      <x:c r="S981" s="15" t="n">
        <x:f>'기준스탯 72종'!E46*G981</x:f>
        <x:v>0.9799999999999999</x:v>
      </x:c>
      <x:c r="T981" s="15" t="n">
        <x:f>'기준스탯 72종'!F46*G981</x:f>
        <x:v>0.8399999999999999</x:v>
      </x:c>
      <x:c r="U981" s="15" t="n">
        <x:f>'기준스탯 72종'!G46*G981</x:f>
        <x:v>1.2599999999999998</x:v>
      </x:c>
      <x:c r="V981" s="15" t="n">
        <x:f>'기준스탯 72종'!H46*G981</x:f>
        <x:v>0.7</x:v>
      </x:c>
      <x:c r="W981" s="15" t="n">
        <x:f>'기준스탯 72종'!I46*G981</x:f>
        <x:v>0.5599999999999999</x:v>
      </x:c>
      <x:c r="X981" s="15" t="n">
        <x:f>'기준스탯 72종'!J46*G981</x:f>
        <x:v>0.5599999999999999</x:v>
      </x:c>
      <x:c r="Y981" s="15" t="n">
        <x:f>'기준스탯 72종'!K46*G981</x:f>
        <x:v>0.41999999999999993</x:v>
      </x:c>
      <x:c r="Z981" s="15" t="n">
        <x:f>'기준스탯 72종'!D46*H981</x:f>
        <x:v>0</x:v>
      </x:c>
      <x:c r="AA981" s="15" t="n">
        <x:f>'기준스탯 72종'!E46*H981</x:f>
        <x:v>0</x:v>
      </x:c>
      <x:c r="AB981" s="15" t="n">
        <x:f>'기준스탯 72종'!F46*H981</x:f>
        <x:v>0</x:v>
      </x:c>
      <x:c r="AC981" s="15" t="n">
        <x:f>'기준스탯 72종'!G46*H981</x:f>
        <x:v>0</x:v>
      </x:c>
      <x:c r="AD981" s="15" t="n">
        <x:f>'기준스탯 72종'!H46*H981</x:f>
        <x:v>0</x:v>
      </x:c>
      <x:c r="AE981" s="15" t="n">
        <x:f>'기준스탯 72종'!I46*H981</x:f>
        <x:v>0</x:v>
      </x:c>
      <x:c r="AF981" s="15" t="n">
        <x:f>'기준스탯 72종'!J46*H981</x:f>
        <x:v>0</x:v>
      </x:c>
      <x:c r="AG981" s="15" t="n">
        <x:f>'기준스탯 72종'!K46*H981</x:f>
        <x:v>0</x:v>
      </x:c>
    </x:row>
    <x:row r="982" ht="28" customHeight="1">
      <x:c r="A982" s="2" t="n">
        <x:v>975</x:v>
      </x:c>
      <x:c r="B982" s="2" t="n">
        <x:v>39</x:v>
      </x:c>
      <x:c r="C982" s="2" t="str">
        <x:v>천칭자리</x:v>
      </x:c>
      <x:c r="D982" s="2" t="str">
        <x:v>사수</x:v>
      </x:c>
      <x:c r="E982" s="2" t="n">
        <x:v>5</x:v>
      </x:c>
      <x:c r="F982" s="2" t="n">
        <x:v>5</x:v>
      </x:c>
      <x:c r="G982" s="14" t="n">
        <x:f>('레벨 계산식'!$E$4-E982)*'레벨 계산식'!$B$5</x:f>
        <x:v>0</x:v>
      </x:c>
      <x:c r="H982" s="14" t="n">
        <x:f>('등급 계산식'!$E$4-F982)*'등급 계산식'!$B$5</x:f>
        <x:v>0</x:v>
      </x:c>
      <x:c r="I982" s="14" t="n">
        <x:f>1-G982-H982</x:f>
        <x:v>1</x:v>
      </x:c>
      <x:c r="J982" s="2" t="n">
        <x:f>MAX(1,ROUND('기준스탯 72종'!D46-R982-Z982,0))</x:f>
        <x:v>8</x:v>
      </x:c>
      <x:c r="K982" s="2" t="n">
        <x:f>MAX(1,ROUND('기준스탯 72종'!E46-S982-AA982,0))</x:f>
        <x:v>7</x:v>
      </x:c>
      <x:c r="L982" s="2" t="n">
        <x:f>MAX(1,ROUND('기준스탯 72종'!F46-T982-AB982,0))</x:f>
        <x:v>6</x:v>
      </x:c>
      <x:c r="M982" s="2" t="n">
        <x:f>MAX(1,ROUND('기준스탯 72종'!G46-U982-AC982,0))</x:f>
        <x:v>9</x:v>
      </x:c>
      <x:c r="N982" s="2" t="n">
        <x:f>MAX(0,ROUND('기준스탯 72종'!H46-V982-AD982,0))</x:f>
        <x:v>5</x:v>
      </x:c>
      <x:c r="O982" s="2" t="n">
        <x:f>MAX(0,ROUND('기준스탯 72종'!I46-W982-AE982,0))</x:f>
        <x:v>4</x:v>
      </x:c>
      <x:c r="P982" s="2" t="n">
        <x:f>MAX(0,ROUND('기준스탯 72종'!J46-X982-AF982,0))</x:f>
        <x:v>4</x:v>
      </x:c>
      <x:c r="Q982" s="2" t="n">
        <x:f>MAX(0,ROUND('기준스탯 72종'!K46-Y982-AG982,0))</x:f>
        <x:v>3</x:v>
      </x:c>
      <x:c r="R982" s="15" t="n">
        <x:f>'기준스탯 72종'!D46*G982</x:f>
        <x:v>0</x:v>
      </x:c>
      <x:c r="S982" s="15" t="n">
        <x:f>'기준스탯 72종'!E46*G982</x:f>
        <x:v>0</x:v>
      </x:c>
      <x:c r="T982" s="15" t="n">
        <x:f>'기준스탯 72종'!F46*G982</x:f>
        <x:v>0</x:v>
      </x:c>
      <x:c r="U982" s="15" t="n">
        <x:f>'기준스탯 72종'!G46*G982</x:f>
        <x:v>0</x:v>
      </x:c>
      <x:c r="V982" s="15" t="n">
        <x:f>'기준스탯 72종'!H46*G982</x:f>
        <x:v>0</x:v>
      </x:c>
      <x:c r="W982" s="15" t="n">
        <x:f>'기준스탯 72종'!I46*G982</x:f>
        <x:v>0</x:v>
      </x:c>
      <x:c r="X982" s="15" t="n">
        <x:f>'기준스탯 72종'!J46*G982</x:f>
        <x:v>0</x:v>
      </x:c>
      <x:c r="Y982" s="15" t="n">
        <x:f>'기준스탯 72종'!K46*G982</x:f>
        <x:v>0</x:v>
      </x:c>
      <x:c r="Z982" s="15" t="n">
        <x:f>'기준스탯 72종'!D46*H982</x:f>
        <x:v>0</x:v>
      </x:c>
      <x:c r="AA982" s="15" t="n">
        <x:f>'기준스탯 72종'!E46*H982</x:f>
        <x:v>0</x:v>
      </x:c>
      <x:c r="AB982" s="15" t="n">
        <x:f>'기준스탯 72종'!F46*H982</x:f>
        <x:v>0</x:v>
      </x:c>
      <x:c r="AC982" s="15" t="n">
        <x:f>'기준스탯 72종'!G46*H982</x:f>
        <x:v>0</x:v>
      </x:c>
      <x:c r="AD982" s="15" t="n">
        <x:f>'기준스탯 72종'!H46*H982</x:f>
        <x:v>0</x:v>
      </x:c>
      <x:c r="AE982" s="15" t="n">
        <x:f>'기준스탯 72종'!I46*H982</x:f>
        <x:v>0</x:v>
      </x:c>
      <x:c r="AF982" s="15" t="n">
        <x:f>'기준스탯 72종'!J46*H982</x:f>
        <x:v>0</x:v>
      </x:c>
      <x:c r="AG982" s="15" t="n">
        <x:f>'기준스탯 72종'!K46*H982</x:f>
        <x:v>0</x:v>
      </x:c>
    </x:row>
    <x:row r="983" ht="28" customHeight="1">
      <x:c r="A983" s="2" t="n">
        <x:v>976</x:v>
      </x:c>
      <x:c r="B983" s="2" t="n">
        <x:v>40</x:v>
      </x:c>
      <x:c r="C983" s="2" t="str">
        <x:v>천칭자리</x:v>
      </x:c>
      <x:c r="D983" s="2" t="str">
        <x:v>정령사</x:v>
      </x:c>
      <x:c r="E983" s="2" t="n">
        <x:v>1</x:v>
      </x:c>
      <x:c r="F983" s="2" t="n">
        <x:v>1</x:v>
      </x:c>
      <x:c r="G983" s="14" t="n">
        <x:f>('레벨 계산식'!$E$4-E983)*'레벨 계산식'!$B$5</x:f>
        <x:v>0.5599999999999999</x:v>
      </x:c>
      <x:c r="H983" s="14" t="n">
        <x:f>('등급 계산식'!$E$4-F983)*'등급 계산식'!$B$5</x:f>
        <x:v>0.24000000000000005</x:v>
      </x:c>
      <x:c r="I983" s="14" t="n">
        <x:f>1-G983-H983</x:f>
        <x:v>0.2</x:v>
      </x:c>
      <x:c r="J983" s="2" t="n">
        <x:f>MAX(1,ROUND('기준스탯 72종'!D47-R983-Z983,0))</x:f>
        <x:v>1</x:v>
      </x:c>
      <x:c r="K983" s="2" t="n">
        <x:f>MAX(1,ROUND('기준스탯 72종'!E47-S983-AA983,0))</x:f>
        <x:v>2</x:v>
      </x:c>
      <x:c r="L983" s="2" t="n">
        <x:f>MAX(1,ROUND('기준스탯 72종'!F47-T983-AB983,0))</x:f>
        <x:v>2</x:v>
      </x:c>
      <x:c r="M983" s="2" t="n">
        <x:f>MAX(1,ROUND('기준스탯 72종'!G47-U983-AC983,0))</x:f>
        <x:v>2</x:v>
      </x:c>
      <x:c r="N983" s="2" t="n">
        <x:f>MAX(0,ROUND('기준스탯 72종'!H47-V983-AD983,0))</x:f>
        <x:v>1</x:v>
      </x:c>
      <x:c r="O983" s="2" t="n">
        <x:f>MAX(0,ROUND('기준스탯 72종'!I47-W983-AE983,0))</x:f>
        <x:v>1</x:v>
      </x:c>
      <x:c r="P983" s="2" t="n">
        <x:f>MAX(0,ROUND('기준스탯 72종'!J47-X983-AF983,0))</x:f>
        <x:v>1</x:v>
      </x:c>
      <x:c r="Q983" s="2" t="n">
        <x:f>MAX(0,ROUND('기준스탯 72종'!K47-Y983-AG983,0))</x:f>
        <x:v>1</x:v>
      </x:c>
      <x:c r="R983" s="15" t="n">
        <x:f>'기준스탯 72종'!D47*G983</x:f>
        <x:v>3.3599999999999994</x:v>
      </x:c>
      <x:c r="S983" s="15" t="n">
        <x:f>'기준스탯 72종'!E47*G983</x:f>
        <x:v>4.4799999999999995</x:v>
      </x:c>
      <x:c r="T983" s="15" t="n">
        <x:f>'기준스탯 72종'!F47*G983</x:f>
        <x:v>4.4799999999999995</x:v>
      </x:c>
      <x:c r="U983" s="15" t="n">
        <x:f>'기준스탯 72종'!G47*G983</x:f>
        <x:v>4.4799999999999995</x:v>
      </x:c>
      <x:c r="V983" s="15" t="n">
        <x:f>'기준스탯 72종'!H47*G983</x:f>
        <x:v>1.6799999999999997</x:v>
      </x:c>
      <x:c r="W983" s="15" t="n">
        <x:f>'기준스탯 72종'!I47*G983</x:f>
        <x:v>2.2399999999999998</x:v>
      </x:c>
      <x:c r="X983" s="15" t="n">
        <x:f>'기준스탯 72종'!J47*G983</x:f>
        <x:v>2.2399999999999998</x:v>
      </x:c>
      <x:c r="Y983" s="15" t="n">
        <x:f>'기준스탯 72종'!K47*G983</x:f>
        <x:v>2.8</x:v>
      </x:c>
      <x:c r="Z983" s="15" t="n">
        <x:f>'기준스탯 72종'!D47*H983</x:f>
        <x:v>1.4400000000000004</x:v>
      </x:c>
      <x:c r="AA983" s="15" t="n">
        <x:f>'기준스탯 72종'!E47*H983</x:f>
        <x:v>1.9200000000000004</x:v>
      </x:c>
      <x:c r="AB983" s="15" t="n">
        <x:f>'기준스탯 72종'!F47*H983</x:f>
        <x:v>1.9200000000000004</x:v>
      </x:c>
      <x:c r="AC983" s="15" t="n">
        <x:f>'기준스탯 72종'!G47*H983</x:f>
        <x:v>1.9200000000000004</x:v>
      </x:c>
      <x:c r="AD983" s="15" t="n">
        <x:f>'기준스탯 72종'!H47*H983</x:f>
        <x:v>0.7200000000000002</x:v>
      </x:c>
      <x:c r="AE983" s="15" t="n">
        <x:f>'기준스탯 72종'!I47*H983</x:f>
        <x:v>0.9600000000000002</x:v>
      </x:c>
      <x:c r="AF983" s="15" t="n">
        <x:f>'기준스탯 72종'!J47*H983</x:f>
        <x:v>0.9600000000000002</x:v>
      </x:c>
      <x:c r="AG983" s="15" t="n">
        <x:f>'기준스탯 72종'!K47*H983</x:f>
        <x:v>1.2000000000000002</x:v>
      </x:c>
    </x:row>
    <x:row r="984" ht="28" customHeight="1">
      <x:c r="A984" s="2" t="n">
        <x:v>977</x:v>
      </x:c>
      <x:c r="B984" s="2" t="n">
        <x:v>40</x:v>
      </x:c>
      <x:c r="C984" s="2" t="str">
        <x:v>천칭자리</x:v>
      </x:c>
      <x:c r="D984" s="2" t="str">
        <x:v>정령사</x:v>
      </x:c>
      <x:c r="E984" s="2" t="n">
        <x:v>2</x:v>
      </x:c>
      <x:c r="F984" s="2" t="n">
        <x:v>1</x:v>
      </x:c>
      <x:c r="G984" s="14" t="n">
        <x:f>('레벨 계산식'!$E$4-E984)*'레벨 계산식'!$B$5</x:f>
        <x:v>0.41999999999999993</x:v>
      </x:c>
      <x:c r="H984" s="14" t="n">
        <x:f>('등급 계산식'!$E$4-F984)*'등급 계산식'!$B$5</x:f>
        <x:v>0.24000000000000005</x:v>
      </x:c>
      <x:c r="I984" s="14" t="n">
        <x:f>1-G984-H984</x:f>
        <x:v>0.34</x:v>
      </x:c>
      <x:c r="J984" s="2" t="n">
        <x:f>MAX(1,ROUND('기준스탯 72종'!D47-R984-Z984,0))</x:f>
        <x:v>2</x:v>
      </x:c>
      <x:c r="K984" s="2" t="n">
        <x:f>MAX(1,ROUND('기준스탯 72종'!E47-S984-AA984,0))</x:f>
        <x:v>3</x:v>
      </x:c>
      <x:c r="L984" s="2" t="n">
        <x:f>MAX(1,ROUND('기준스탯 72종'!F47-T984-AB984,0))</x:f>
        <x:v>3</x:v>
      </x:c>
      <x:c r="M984" s="2" t="n">
        <x:f>MAX(1,ROUND('기준스탯 72종'!G47-U984-AC984,0))</x:f>
        <x:v>3</x:v>
      </x:c>
      <x:c r="N984" s="2" t="n">
        <x:f>MAX(0,ROUND('기준스탯 72종'!H47-V984-AD984,0))</x:f>
        <x:v>1</x:v>
      </x:c>
      <x:c r="O984" s="2" t="n">
        <x:f>MAX(0,ROUND('기준스탯 72종'!I47-W984-AE984,0))</x:f>
        <x:v>1</x:v>
      </x:c>
      <x:c r="P984" s="2" t="n">
        <x:f>MAX(0,ROUND('기준스탯 72종'!J47-X984-AF984,0))</x:f>
        <x:v>1</x:v>
      </x:c>
      <x:c r="Q984" s="2" t="n">
        <x:f>MAX(0,ROUND('기준스탯 72종'!K47-Y984-AG984,0))</x:f>
        <x:v>2</x:v>
      </x:c>
      <x:c r="R984" s="15" t="n">
        <x:f>'기준스탯 72종'!D47*G984</x:f>
        <x:v>2.5199999999999996</x:v>
      </x:c>
      <x:c r="S984" s="15" t="n">
        <x:f>'기준스탯 72종'!E47*G984</x:f>
        <x:v>3.3599999999999994</x:v>
      </x:c>
      <x:c r="T984" s="15" t="n">
        <x:f>'기준스탯 72종'!F47*G984</x:f>
        <x:v>3.3599999999999994</x:v>
      </x:c>
      <x:c r="U984" s="15" t="n">
        <x:f>'기준스탯 72종'!G47*G984</x:f>
        <x:v>3.3599999999999994</x:v>
      </x:c>
      <x:c r="V984" s="15" t="n">
        <x:f>'기준스탯 72종'!H47*G984</x:f>
        <x:v>1.2599999999999998</x:v>
      </x:c>
      <x:c r="W984" s="15" t="n">
        <x:f>'기준스탯 72종'!I47*G984</x:f>
        <x:v>1.6799999999999997</x:v>
      </x:c>
      <x:c r="X984" s="15" t="n">
        <x:f>'기준스탯 72종'!J47*G984</x:f>
        <x:v>1.6799999999999997</x:v>
      </x:c>
      <x:c r="Y984" s="15" t="n">
        <x:f>'기준스탯 72종'!K47*G984</x:f>
        <x:v>2.0999999999999996</x:v>
      </x:c>
      <x:c r="Z984" s="15" t="n">
        <x:f>'기준스탯 72종'!D47*H984</x:f>
        <x:v>1.4400000000000004</x:v>
      </x:c>
      <x:c r="AA984" s="15" t="n">
        <x:f>'기준스탯 72종'!E47*H984</x:f>
        <x:v>1.9200000000000004</x:v>
      </x:c>
      <x:c r="AB984" s="15" t="n">
        <x:f>'기준스탯 72종'!F47*H984</x:f>
        <x:v>1.9200000000000004</x:v>
      </x:c>
      <x:c r="AC984" s="15" t="n">
        <x:f>'기준스탯 72종'!G47*H984</x:f>
        <x:v>1.9200000000000004</x:v>
      </x:c>
      <x:c r="AD984" s="15" t="n">
        <x:f>'기준스탯 72종'!H47*H984</x:f>
        <x:v>0.7200000000000002</x:v>
      </x:c>
      <x:c r="AE984" s="15" t="n">
        <x:f>'기준스탯 72종'!I47*H984</x:f>
        <x:v>0.9600000000000002</x:v>
      </x:c>
      <x:c r="AF984" s="15" t="n">
        <x:f>'기준스탯 72종'!J47*H984</x:f>
        <x:v>0.9600000000000002</x:v>
      </x:c>
      <x:c r="AG984" s="15" t="n">
        <x:f>'기준스탯 72종'!K47*H984</x:f>
        <x:v>1.2000000000000002</x:v>
      </x:c>
    </x:row>
    <x:row r="985" ht="28" customHeight="1">
      <x:c r="A985" s="2" t="n">
        <x:v>978</x:v>
      </x:c>
      <x:c r="B985" s="2" t="n">
        <x:v>40</x:v>
      </x:c>
      <x:c r="C985" s="2" t="str">
        <x:v>천칭자리</x:v>
      </x:c>
      <x:c r="D985" s="2" t="str">
        <x:v>정령사</x:v>
      </x:c>
      <x:c r="E985" s="2" t="n">
        <x:v>3</x:v>
      </x:c>
      <x:c r="F985" s="2" t="n">
        <x:v>1</x:v>
      </x:c>
      <x:c r="G985" s="14" t="n">
        <x:f>('레벨 계산식'!$E$4-E985)*'레벨 계산식'!$B$5</x:f>
        <x:v>0.27999999999999997</x:v>
      </x:c>
      <x:c r="H985" s="14" t="n">
        <x:f>('등급 계산식'!$E$4-F985)*'등급 계산식'!$B$5</x:f>
        <x:v>0.24000000000000005</x:v>
      </x:c>
      <x:c r="I985" s="14" t="n">
        <x:f>1-G985-H985</x:f>
        <x:v>0.4799999999999999</x:v>
      </x:c>
      <x:c r="J985" s="2" t="n">
        <x:f>MAX(1,ROUND('기준스탯 72종'!D47-R985-Z985,0))</x:f>
        <x:v>3</x:v>
      </x:c>
      <x:c r="K985" s="2" t="n">
        <x:f>MAX(1,ROUND('기준스탯 72종'!E47-S985-AA985,0))</x:f>
        <x:v>4</x:v>
      </x:c>
      <x:c r="L985" s="2" t="n">
        <x:f>MAX(1,ROUND('기준스탯 72종'!F47-T985-AB985,0))</x:f>
        <x:v>4</x:v>
      </x:c>
      <x:c r="M985" s="2" t="n">
        <x:f>MAX(1,ROUND('기준스탯 72종'!G47-U985-AC985,0))</x:f>
        <x:v>4</x:v>
      </x:c>
      <x:c r="N985" s="2" t="n">
        <x:f>MAX(0,ROUND('기준스탯 72종'!H47-V985-AD985,0))</x:f>
        <x:v>1</x:v>
      </x:c>
      <x:c r="O985" s="2" t="n">
        <x:f>MAX(0,ROUND('기준스탯 72종'!I47-W985-AE985,0))</x:f>
        <x:v>2</x:v>
      </x:c>
      <x:c r="P985" s="2" t="n">
        <x:f>MAX(0,ROUND('기준스탯 72종'!J47-X985-AF985,0))</x:f>
        <x:v>2</x:v>
      </x:c>
      <x:c r="Q985" s="2" t="n">
        <x:f>MAX(0,ROUND('기준스탯 72종'!K47-Y985-AG985,0))</x:f>
        <x:v>2</x:v>
      </x:c>
      <x:c r="R985" s="15" t="n">
        <x:f>'기준스탯 72종'!D47*G985</x:f>
        <x:v>1.6799999999999997</x:v>
      </x:c>
      <x:c r="S985" s="15" t="n">
        <x:f>'기준스탯 72종'!E47*G985</x:f>
        <x:v>2.2399999999999998</x:v>
      </x:c>
      <x:c r="T985" s="15" t="n">
        <x:f>'기준스탯 72종'!F47*G985</x:f>
        <x:v>2.2399999999999998</x:v>
      </x:c>
      <x:c r="U985" s="15" t="n">
        <x:f>'기준스탯 72종'!G47*G985</x:f>
        <x:v>2.2399999999999998</x:v>
      </x:c>
      <x:c r="V985" s="15" t="n">
        <x:f>'기준스탯 72종'!H47*G985</x:f>
        <x:v>0.8399999999999999</x:v>
      </x:c>
      <x:c r="W985" s="15" t="n">
        <x:f>'기준스탯 72종'!I47*G985</x:f>
        <x:v>1.1199999999999999</x:v>
      </x:c>
      <x:c r="X985" s="15" t="n">
        <x:f>'기준스탯 72종'!J47*G985</x:f>
        <x:v>1.1199999999999999</x:v>
      </x:c>
      <x:c r="Y985" s="15" t="n">
        <x:f>'기준스탯 72종'!K47*G985</x:f>
        <x:v>1.4</x:v>
      </x:c>
      <x:c r="Z985" s="15" t="n">
        <x:f>'기준스탯 72종'!D47*H985</x:f>
        <x:v>1.4400000000000004</x:v>
      </x:c>
      <x:c r="AA985" s="15" t="n">
        <x:f>'기준스탯 72종'!E47*H985</x:f>
        <x:v>1.9200000000000004</x:v>
      </x:c>
      <x:c r="AB985" s="15" t="n">
        <x:f>'기준스탯 72종'!F47*H985</x:f>
        <x:v>1.9200000000000004</x:v>
      </x:c>
      <x:c r="AC985" s="15" t="n">
        <x:f>'기준스탯 72종'!G47*H985</x:f>
        <x:v>1.9200000000000004</x:v>
      </x:c>
      <x:c r="AD985" s="15" t="n">
        <x:f>'기준스탯 72종'!H47*H985</x:f>
        <x:v>0.7200000000000002</x:v>
      </x:c>
      <x:c r="AE985" s="15" t="n">
        <x:f>'기준스탯 72종'!I47*H985</x:f>
        <x:v>0.9600000000000002</x:v>
      </x:c>
      <x:c r="AF985" s="15" t="n">
        <x:f>'기준스탯 72종'!J47*H985</x:f>
        <x:v>0.9600000000000002</x:v>
      </x:c>
      <x:c r="AG985" s="15" t="n">
        <x:f>'기준스탯 72종'!K47*H985</x:f>
        <x:v>1.2000000000000002</x:v>
      </x:c>
    </x:row>
    <x:row r="986" ht="28" customHeight="1">
      <x:c r="A986" s="2" t="n">
        <x:v>979</x:v>
      </x:c>
      <x:c r="B986" s="2" t="n">
        <x:v>40</x:v>
      </x:c>
      <x:c r="C986" s="2" t="str">
        <x:v>천칭자리</x:v>
      </x:c>
      <x:c r="D986" s="2" t="str">
        <x:v>정령사</x:v>
      </x:c>
      <x:c r="E986" s="2" t="n">
        <x:v>4</x:v>
      </x:c>
      <x:c r="F986" s="2" t="n">
        <x:v>1</x:v>
      </x:c>
      <x:c r="G986" s="14" t="n">
        <x:f>('레벨 계산식'!$E$4-E986)*'레벨 계산식'!$B$5</x:f>
        <x:v>0.13999999999999999</x:v>
      </x:c>
      <x:c r="H986" s="14" t="n">
        <x:f>('등급 계산식'!$E$4-F986)*'등급 계산식'!$B$5</x:f>
        <x:v>0.24000000000000005</x:v>
      </x:c>
      <x:c r="I986" s="14" t="n">
        <x:f>1-G986-H986</x:f>
        <x:v>0.6199999999999999</x:v>
      </x:c>
      <x:c r="J986" s="2" t="n">
        <x:f>MAX(1,ROUND('기준스탯 72종'!D47-R986-Z986,0))</x:f>
        <x:v>4</x:v>
      </x:c>
      <x:c r="K986" s="2" t="n">
        <x:f>MAX(1,ROUND('기준스탯 72종'!E47-S986-AA986,0))</x:f>
        <x:v>5</x:v>
      </x:c>
      <x:c r="L986" s="2" t="n">
        <x:f>MAX(1,ROUND('기준스탯 72종'!F47-T986-AB986,0))</x:f>
        <x:v>5</x:v>
      </x:c>
      <x:c r="M986" s="2" t="n">
        <x:f>MAX(1,ROUND('기준스탯 72종'!G47-U986-AC986,0))</x:f>
        <x:v>5</x:v>
      </x:c>
      <x:c r="N986" s="2" t="n">
        <x:f>MAX(0,ROUND('기준스탯 72종'!H47-V986-AD986,0))</x:f>
        <x:v>2</x:v>
      </x:c>
      <x:c r="O986" s="2" t="n">
        <x:f>MAX(0,ROUND('기준스탯 72종'!I47-W986-AE986,0))</x:f>
        <x:v>2</x:v>
      </x:c>
      <x:c r="P986" s="2" t="n">
        <x:f>MAX(0,ROUND('기준스탯 72종'!J47-X986-AF986,0))</x:f>
        <x:v>2</x:v>
      </x:c>
      <x:c r="Q986" s="2" t="n">
        <x:f>MAX(0,ROUND('기준스탯 72종'!K47-Y986-AG986,0))</x:f>
        <x:v>3</x:v>
      </x:c>
      <x:c r="R986" s="15" t="n">
        <x:f>'기준스탯 72종'!D47*G986</x:f>
        <x:v>0.8399999999999999</x:v>
      </x:c>
      <x:c r="S986" s="15" t="n">
        <x:f>'기준스탯 72종'!E47*G986</x:f>
        <x:v>1.1199999999999999</x:v>
      </x:c>
      <x:c r="T986" s="15" t="n">
        <x:f>'기준스탯 72종'!F47*G986</x:f>
        <x:v>1.1199999999999999</x:v>
      </x:c>
      <x:c r="U986" s="15" t="n">
        <x:f>'기준스탯 72종'!G47*G986</x:f>
        <x:v>1.1199999999999999</x:v>
      </x:c>
      <x:c r="V986" s="15" t="n">
        <x:f>'기준스탯 72종'!H47*G986</x:f>
        <x:v>0.41999999999999993</x:v>
      </x:c>
      <x:c r="W986" s="15" t="n">
        <x:f>'기준스탯 72종'!I47*G986</x:f>
        <x:v>0.5599999999999999</x:v>
      </x:c>
      <x:c r="X986" s="15" t="n">
        <x:f>'기준스탯 72종'!J47*G986</x:f>
        <x:v>0.5599999999999999</x:v>
      </x:c>
      <x:c r="Y986" s="15" t="n">
        <x:f>'기준스탯 72종'!K47*G986</x:f>
        <x:v>0.7</x:v>
      </x:c>
      <x:c r="Z986" s="15" t="n">
        <x:f>'기준스탯 72종'!D47*H986</x:f>
        <x:v>1.4400000000000004</x:v>
      </x:c>
      <x:c r="AA986" s="15" t="n">
        <x:f>'기준스탯 72종'!E47*H986</x:f>
        <x:v>1.9200000000000004</x:v>
      </x:c>
      <x:c r="AB986" s="15" t="n">
        <x:f>'기준스탯 72종'!F47*H986</x:f>
        <x:v>1.9200000000000004</x:v>
      </x:c>
      <x:c r="AC986" s="15" t="n">
        <x:f>'기준스탯 72종'!G47*H986</x:f>
        <x:v>1.9200000000000004</x:v>
      </x:c>
      <x:c r="AD986" s="15" t="n">
        <x:f>'기준스탯 72종'!H47*H986</x:f>
        <x:v>0.7200000000000002</x:v>
      </x:c>
      <x:c r="AE986" s="15" t="n">
        <x:f>'기준스탯 72종'!I47*H986</x:f>
        <x:v>0.9600000000000002</x:v>
      </x:c>
      <x:c r="AF986" s="15" t="n">
        <x:f>'기준스탯 72종'!J47*H986</x:f>
        <x:v>0.9600000000000002</x:v>
      </x:c>
      <x:c r="AG986" s="15" t="n">
        <x:f>'기준스탯 72종'!K47*H986</x:f>
        <x:v>1.2000000000000002</x:v>
      </x:c>
    </x:row>
    <x:row r="987" ht="28" customHeight="1">
      <x:c r="A987" s="2" t="n">
        <x:v>980</x:v>
      </x:c>
      <x:c r="B987" s="2" t="n">
        <x:v>40</x:v>
      </x:c>
      <x:c r="C987" s="2" t="str">
        <x:v>천칭자리</x:v>
      </x:c>
      <x:c r="D987" s="2" t="str">
        <x:v>정령사</x:v>
      </x:c>
      <x:c r="E987" s="2" t="n">
        <x:v>5</x:v>
      </x:c>
      <x:c r="F987" s="2" t="n">
        <x:v>1</x:v>
      </x:c>
      <x:c r="G987" s="14" t="n">
        <x:f>('레벨 계산식'!$E$4-E987)*'레벨 계산식'!$B$5</x:f>
        <x:v>0</x:v>
      </x:c>
      <x:c r="H987" s="14" t="n">
        <x:f>('등급 계산식'!$E$4-F987)*'등급 계산식'!$B$5</x:f>
        <x:v>0.24000000000000005</x:v>
      </x:c>
      <x:c r="I987" s="14" t="n">
        <x:f>1-G987-H987</x:f>
        <x:v>0.76</x:v>
      </x:c>
      <x:c r="J987" s="2" t="n">
        <x:f>MAX(1,ROUND('기준스탯 72종'!D47-R987-Z987,0))</x:f>
        <x:v>5</x:v>
      </x:c>
      <x:c r="K987" s="2" t="n">
        <x:f>MAX(1,ROUND('기준스탯 72종'!E47-S987-AA987,0))</x:f>
        <x:v>6</x:v>
      </x:c>
      <x:c r="L987" s="2" t="n">
        <x:f>MAX(1,ROUND('기준스탯 72종'!F47-T987-AB987,0))</x:f>
        <x:v>6</x:v>
      </x:c>
      <x:c r="M987" s="2" t="n">
        <x:f>MAX(1,ROUND('기준스탯 72종'!G47-U987-AC987,0))</x:f>
        <x:v>6</x:v>
      </x:c>
      <x:c r="N987" s="2" t="n">
        <x:f>MAX(0,ROUND('기준스탯 72종'!H47-V987-AD987,0))</x:f>
        <x:v>2</x:v>
      </x:c>
      <x:c r="O987" s="2" t="n">
        <x:f>MAX(0,ROUND('기준스탯 72종'!I47-W987-AE987,0))</x:f>
        <x:v>3</x:v>
      </x:c>
      <x:c r="P987" s="2" t="n">
        <x:f>MAX(0,ROUND('기준스탯 72종'!J47-X987-AF987,0))</x:f>
        <x:v>3</x:v>
      </x:c>
      <x:c r="Q987" s="2" t="n">
        <x:f>MAX(0,ROUND('기준스탯 72종'!K47-Y987-AG987,0))</x:f>
        <x:v>4</x:v>
      </x:c>
      <x:c r="R987" s="15" t="n">
        <x:f>'기준스탯 72종'!D47*G987</x:f>
        <x:v>0</x:v>
      </x:c>
      <x:c r="S987" s="15" t="n">
        <x:f>'기준스탯 72종'!E47*G987</x:f>
        <x:v>0</x:v>
      </x:c>
      <x:c r="T987" s="15" t="n">
        <x:f>'기준스탯 72종'!F47*G987</x:f>
        <x:v>0</x:v>
      </x:c>
      <x:c r="U987" s="15" t="n">
        <x:f>'기준스탯 72종'!G47*G987</x:f>
        <x:v>0</x:v>
      </x:c>
      <x:c r="V987" s="15" t="n">
        <x:f>'기준스탯 72종'!H47*G987</x:f>
        <x:v>0</x:v>
      </x:c>
      <x:c r="W987" s="15" t="n">
        <x:f>'기준스탯 72종'!I47*G987</x:f>
        <x:v>0</x:v>
      </x:c>
      <x:c r="X987" s="15" t="n">
        <x:f>'기준스탯 72종'!J47*G987</x:f>
        <x:v>0</x:v>
      </x:c>
      <x:c r="Y987" s="15" t="n">
        <x:f>'기준스탯 72종'!K47*G987</x:f>
        <x:v>0</x:v>
      </x:c>
      <x:c r="Z987" s="15" t="n">
        <x:f>'기준스탯 72종'!D47*H987</x:f>
        <x:v>1.4400000000000004</x:v>
      </x:c>
      <x:c r="AA987" s="15" t="n">
        <x:f>'기준스탯 72종'!E47*H987</x:f>
        <x:v>1.9200000000000004</x:v>
      </x:c>
      <x:c r="AB987" s="15" t="n">
        <x:f>'기준스탯 72종'!F47*H987</x:f>
        <x:v>1.9200000000000004</x:v>
      </x:c>
      <x:c r="AC987" s="15" t="n">
        <x:f>'기준스탯 72종'!G47*H987</x:f>
        <x:v>1.9200000000000004</x:v>
      </x:c>
      <x:c r="AD987" s="15" t="n">
        <x:f>'기준스탯 72종'!H47*H987</x:f>
        <x:v>0.7200000000000002</x:v>
      </x:c>
      <x:c r="AE987" s="15" t="n">
        <x:f>'기준스탯 72종'!I47*H987</x:f>
        <x:v>0.9600000000000002</x:v>
      </x:c>
      <x:c r="AF987" s="15" t="n">
        <x:f>'기준스탯 72종'!J47*H987</x:f>
        <x:v>0.9600000000000002</x:v>
      </x:c>
      <x:c r="AG987" s="15" t="n">
        <x:f>'기준스탯 72종'!K47*H987</x:f>
        <x:v>1.2000000000000002</x:v>
      </x:c>
    </x:row>
    <x:row r="988" ht="28" customHeight="1">
      <x:c r="A988" s="2" t="n">
        <x:v>981</x:v>
      </x:c>
      <x:c r="B988" s="2" t="n">
        <x:v>40</x:v>
      </x:c>
      <x:c r="C988" s="2" t="str">
        <x:v>천칭자리</x:v>
      </x:c>
      <x:c r="D988" s="2" t="str">
        <x:v>정령사</x:v>
      </x:c>
      <x:c r="E988" s="2" t="n">
        <x:v>1</x:v>
      </x:c>
      <x:c r="F988" s="2" t="n">
        <x:v>2</x:v>
      </x:c>
      <x:c r="G988" s="14" t="n">
        <x:f>('레벨 계산식'!$E$4-E988)*'레벨 계산식'!$B$5</x:f>
        <x:v>0.5599999999999999</x:v>
      </x:c>
      <x:c r="H988" s="14" t="n">
        <x:f>('등급 계산식'!$E$4-F988)*'등급 계산식'!$B$5</x:f>
        <x:v>0.18000000000000005</x:v>
      </x:c>
      <x:c r="I988" s="14" t="n">
        <x:f>1-G988-H988</x:f>
        <x:v>0.26</x:v>
      </x:c>
      <x:c r="J988" s="2" t="n">
        <x:f>MAX(1,ROUND('기준스탯 72종'!D47-R988-Z988,0))</x:f>
        <x:v>2</x:v>
      </x:c>
      <x:c r="K988" s="2" t="n">
        <x:f>MAX(1,ROUND('기준스탯 72종'!E47-S988-AA988,0))</x:f>
        <x:v>2</x:v>
      </x:c>
      <x:c r="L988" s="2" t="n">
        <x:f>MAX(1,ROUND('기준스탯 72종'!F47-T988-AB988,0))</x:f>
        <x:v>2</x:v>
      </x:c>
      <x:c r="M988" s="2" t="n">
        <x:f>MAX(1,ROUND('기준스탯 72종'!G47-U988-AC988,0))</x:f>
        <x:v>2</x:v>
      </x:c>
      <x:c r="N988" s="2" t="n">
        <x:f>MAX(0,ROUND('기준스탯 72종'!H47-V988-AD988,0))</x:f>
        <x:v>1</x:v>
      </x:c>
      <x:c r="O988" s="2" t="n">
        <x:f>MAX(0,ROUND('기준스탯 72종'!I47-W988-AE988,0))</x:f>
        <x:v>1</x:v>
      </x:c>
      <x:c r="P988" s="2" t="n">
        <x:f>MAX(0,ROUND('기준스탯 72종'!J47-X988-AF988,0))</x:f>
        <x:v>1</x:v>
      </x:c>
      <x:c r="Q988" s="2" t="n">
        <x:f>MAX(0,ROUND('기준스탯 72종'!K47-Y988-AG988,0))</x:f>
        <x:v>1</x:v>
      </x:c>
      <x:c r="R988" s="15" t="n">
        <x:f>'기준스탯 72종'!D47*G988</x:f>
        <x:v>3.3599999999999994</x:v>
      </x:c>
      <x:c r="S988" s="15" t="n">
        <x:f>'기준스탯 72종'!E47*G988</x:f>
        <x:v>4.4799999999999995</x:v>
      </x:c>
      <x:c r="T988" s="15" t="n">
        <x:f>'기준스탯 72종'!F47*G988</x:f>
        <x:v>4.4799999999999995</x:v>
      </x:c>
      <x:c r="U988" s="15" t="n">
        <x:f>'기준스탯 72종'!G47*G988</x:f>
        <x:v>4.4799999999999995</x:v>
      </x:c>
      <x:c r="V988" s="15" t="n">
        <x:f>'기준스탯 72종'!H47*G988</x:f>
        <x:v>1.6799999999999997</x:v>
      </x:c>
      <x:c r="W988" s="15" t="n">
        <x:f>'기준스탯 72종'!I47*G988</x:f>
        <x:v>2.2399999999999998</x:v>
      </x:c>
      <x:c r="X988" s="15" t="n">
        <x:f>'기준스탯 72종'!J47*G988</x:f>
        <x:v>2.2399999999999998</x:v>
      </x:c>
      <x:c r="Y988" s="15" t="n">
        <x:f>'기준스탯 72종'!K47*G988</x:f>
        <x:v>2.8</x:v>
      </x:c>
      <x:c r="Z988" s="15" t="n">
        <x:f>'기준스탯 72종'!D47*H988</x:f>
        <x:v>1.0800000000000003</x:v>
      </x:c>
      <x:c r="AA988" s="15" t="n">
        <x:f>'기준스탯 72종'!E47*H988</x:f>
        <x:v>1.4400000000000004</x:v>
      </x:c>
      <x:c r="AB988" s="15" t="n">
        <x:f>'기준스탯 72종'!F47*H988</x:f>
        <x:v>1.4400000000000004</x:v>
      </x:c>
      <x:c r="AC988" s="15" t="n">
        <x:f>'기준스탯 72종'!G47*H988</x:f>
        <x:v>1.4400000000000004</x:v>
      </x:c>
      <x:c r="AD988" s="15" t="n">
        <x:f>'기준스탯 72종'!H47*H988</x:f>
        <x:v>0.5400000000000001</x:v>
      </x:c>
      <x:c r="AE988" s="15" t="n">
        <x:f>'기준스탯 72종'!I47*H988</x:f>
        <x:v>0.7200000000000002</x:v>
      </x:c>
      <x:c r="AF988" s="15" t="n">
        <x:f>'기준스탯 72종'!J47*H988</x:f>
        <x:v>0.7200000000000002</x:v>
      </x:c>
      <x:c r="AG988" s="15" t="n">
        <x:f>'기준스탯 72종'!K47*H988</x:f>
        <x:v>0.9000000000000002</x:v>
      </x:c>
    </x:row>
    <x:row r="989" ht="28" customHeight="1">
      <x:c r="A989" s="2" t="n">
        <x:v>982</x:v>
      </x:c>
      <x:c r="B989" s="2" t="n">
        <x:v>40</x:v>
      </x:c>
      <x:c r="C989" s="2" t="str">
        <x:v>천칭자리</x:v>
      </x:c>
      <x:c r="D989" s="2" t="str">
        <x:v>정령사</x:v>
      </x:c>
      <x:c r="E989" s="2" t="n">
        <x:v>2</x:v>
      </x:c>
      <x:c r="F989" s="2" t="n">
        <x:v>2</x:v>
      </x:c>
      <x:c r="G989" s="14" t="n">
        <x:f>('레벨 계산식'!$E$4-E989)*'레벨 계산식'!$B$5</x:f>
        <x:v>0.41999999999999993</x:v>
      </x:c>
      <x:c r="H989" s="14" t="n">
        <x:f>('등급 계산식'!$E$4-F989)*'등급 계산식'!$B$5</x:f>
        <x:v>0.18000000000000005</x:v>
      </x:c>
      <x:c r="I989" s="14" t="n">
        <x:f>1-G989-H989</x:f>
        <x:v>0.4</x:v>
      </x:c>
      <x:c r="J989" s="2" t="n">
        <x:f>MAX(1,ROUND('기준스탯 72종'!D47-R989-Z989,0))</x:f>
        <x:v>2</x:v>
      </x:c>
      <x:c r="K989" s="2" t="n">
        <x:f>MAX(1,ROUND('기준스탯 72종'!E47-S989-AA989,0))</x:f>
        <x:v>3</x:v>
      </x:c>
      <x:c r="L989" s="2" t="n">
        <x:f>MAX(1,ROUND('기준스탯 72종'!F47-T989-AB989,0))</x:f>
        <x:v>3</x:v>
      </x:c>
      <x:c r="M989" s="2" t="n">
        <x:f>MAX(1,ROUND('기준스탯 72종'!G47-U989-AC989,0))</x:f>
        <x:v>3</x:v>
      </x:c>
      <x:c r="N989" s="2" t="n">
        <x:f>MAX(0,ROUND('기준스탯 72종'!H47-V989-AD989,0))</x:f>
        <x:v>1</x:v>
      </x:c>
      <x:c r="O989" s="2" t="n">
        <x:f>MAX(0,ROUND('기준스탯 72종'!I47-W989-AE989,0))</x:f>
        <x:v>2</x:v>
      </x:c>
      <x:c r="P989" s="2" t="n">
        <x:f>MAX(0,ROUND('기준스탯 72종'!J47-X989-AF989,0))</x:f>
        <x:v>2</x:v>
      </x:c>
      <x:c r="Q989" s="2" t="n">
        <x:f>MAX(0,ROUND('기준스탯 72종'!K47-Y989-AG989,0))</x:f>
        <x:v>2</x:v>
      </x:c>
      <x:c r="R989" s="15" t="n">
        <x:f>'기준스탯 72종'!D47*G989</x:f>
        <x:v>2.5199999999999996</x:v>
      </x:c>
      <x:c r="S989" s="15" t="n">
        <x:f>'기준스탯 72종'!E47*G989</x:f>
        <x:v>3.3599999999999994</x:v>
      </x:c>
      <x:c r="T989" s="15" t="n">
        <x:f>'기준스탯 72종'!F47*G989</x:f>
        <x:v>3.3599999999999994</x:v>
      </x:c>
      <x:c r="U989" s="15" t="n">
        <x:f>'기준스탯 72종'!G47*G989</x:f>
        <x:v>3.3599999999999994</x:v>
      </x:c>
      <x:c r="V989" s="15" t="n">
        <x:f>'기준스탯 72종'!H47*G989</x:f>
        <x:v>1.2599999999999998</x:v>
      </x:c>
      <x:c r="W989" s="15" t="n">
        <x:f>'기준스탯 72종'!I47*G989</x:f>
        <x:v>1.6799999999999997</x:v>
      </x:c>
      <x:c r="X989" s="15" t="n">
        <x:f>'기준스탯 72종'!J47*G989</x:f>
        <x:v>1.6799999999999997</x:v>
      </x:c>
      <x:c r="Y989" s="15" t="n">
        <x:f>'기준스탯 72종'!K47*G989</x:f>
        <x:v>2.0999999999999996</x:v>
      </x:c>
      <x:c r="Z989" s="15" t="n">
        <x:f>'기준스탯 72종'!D47*H989</x:f>
        <x:v>1.0800000000000003</x:v>
      </x:c>
      <x:c r="AA989" s="15" t="n">
        <x:f>'기준스탯 72종'!E47*H989</x:f>
        <x:v>1.4400000000000004</x:v>
      </x:c>
      <x:c r="AB989" s="15" t="n">
        <x:f>'기준스탯 72종'!F47*H989</x:f>
        <x:v>1.4400000000000004</x:v>
      </x:c>
      <x:c r="AC989" s="15" t="n">
        <x:f>'기준스탯 72종'!G47*H989</x:f>
        <x:v>1.4400000000000004</x:v>
      </x:c>
      <x:c r="AD989" s="15" t="n">
        <x:f>'기준스탯 72종'!H47*H989</x:f>
        <x:v>0.5400000000000001</x:v>
      </x:c>
      <x:c r="AE989" s="15" t="n">
        <x:f>'기준스탯 72종'!I47*H989</x:f>
        <x:v>0.7200000000000002</x:v>
      </x:c>
      <x:c r="AF989" s="15" t="n">
        <x:f>'기준스탯 72종'!J47*H989</x:f>
        <x:v>0.7200000000000002</x:v>
      </x:c>
      <x:c r="AG989" s="15" t="n">
        <x:f>'기준스탯 72종'!K47*H989</x:f>
        <x:v>0.9000000000000002</x:v>
      </x:c>
    </x:row>
    <x:row r="990" ht="28" customHeight="1">
      <x:c r="A990" s="2" t="n">
        <x:v>983</x:v>
      </x:c>
      <x:c r="B990" s="2" t="n">
        <x:v>40</x:v>
      </x:c>
      <x:c r="C990" s="2" t="str">
        <x:v>천칭자리</x:v>
      </x:c>
      <x:c r="D990" s="2" t="str">
        <x:v>정령사</x:v>
      </x:c>
      <x:c r="E990" s="2" t="n">
        <x:v>3</x:v>
      </x:c>
      <x:c r="F990" s="2" t="n">
        <x:v>2</x:v>
      </x:c>
      <x:c r="G990" s="14" t="n">
        <x:f>('레벨 계산식'!$E$4-E990)*'레벨 계산식'!$B$5</x:f>
        <x:v>0.27999999999999997</x:v>
      </x:c>
      <x:c r="H990" s="14" t="n">
        <x:f>('등급 계산식'!$E$4-F990)*'등급 계산식'!$B$5</x:f>
        <x:v>0.18000000000000005</x:v>
      </x:c>
      <x:c r="I990" s="14" t="n">
        <x:f>1-G990-H990</x:f>
        <x:v>0.5399999999999999</x:v>
      </x:c>
      <x:c r="J990" s="2" t="n">
        <x:f>MAX(1,ROUND('기준스탯 72종'!D47-R990-Z990,0))</x:f>
        <x:v>3</x:v>
      </x:c>
      <x:c r="K990" s="2" t="n">
        <x:f>MAX(1,ROUND('기준스탯 72종'!E47-S990-AA990,0))</x:f>
        <x:v>4</x:v>
      </x:c>
      <x:c r="L990" s="2" t="n">
        <x:f>MAX(1,ROUND('기준스탯 72종'!F47-T990-AB990,0))</x:f>
        <x:v>4</x:v>
      </x:c>
      <x:c r="M990" s="2" t="n">
        <x:f>MAX(1,ROUND('기준스탯 72종'!G47-U990-AC990,0))</x:f>
        <x:v>4</x:v>
      </x:c>
      <x:c r="N990" s="2" t="n">
        <x:f>MAX(0,ROUND('기준스탯 72종'!H47-V990-AD990,0))</x:f>
        <x:v>2</x:v>
      </x:c>
      <x:c r="O990" s="2" t="n">
        <x:f>MAX(0,ROUND('기준스탯 72종'!I47-W990-AE990,0))</x:f>
        <x:v>2</x:v>
      </x:c>
      <x:c r="P990" s="2" t="n">
        <x:f>MAX(0,ROUND('기준스탯 72종'!J47-X990-AF990,0))</x:f>
        <x:v>2</x:v>
      </x:c>
      <x:c r="Q990" s="2" t="n">
        <x:f>MAX(0,ROUND('기준스탯 72종'!K47-Y990-AG990,0))</x:f>
        <x:v>3</x:v>
      </x:c>
      <x:c r="R990" s="15" t="n">
        <x:f>'기준스탯 72종'!D47*G990</x:f>
        <x:v>1.6799999999999997</x:v>
      </x:c>
      <x:c r="S990" s="15" t="n">
        <x:f>'기준스탯 72종'!E47*G990</x:f>
        <x:v>2.2399999999999998</x:v>
      </x:c>
      <x:c r="T990" s="15" t="n">
        <x:f>'기준스탯 72종'!F47*G990</x:f>
        <x:v>2.2399999999999998</x:v>
      </x:c>
      <x:c r="U990" s="15" t="n">
        <x:f>'기준스탯 72종'!G47*G990</x:f>
        <x:v>2.2399999999999998</x:v>
      </x:c>
      <x:c r="V990" s="15" t="n">
        <x:f>'기준스탯 72종'!H47*G990</x:f>
        <x:v>0.8399999999999999</x:v>
      </x:c>
      <x:c r="W990" s="15" t="n">
        <x:f>'기준스탯 72종'!I47*G990</x:f>
        <x:v>1.1199999999999999</x:v>
      </x:c>
      <x:c r="X990" s="15" t="n">
        <x:f>'기준스탯 72종'!J47*G990</x:f>
        <x:v>1.1199999999999999</x:v>
      </x:c>
      <x:c r="Y990" s="15" t="n">
        <x:f>'기준스탯 72종'!K47*G990</x:f>
        <x:v>1.4</x:v>
      </x:c>
      <x:c r="Z990" s="15" t="n">
        <x:f>'기준스탯 72종'!D47*H990</x:f>
        <x:v>1.0800000000000003</x:v>
      </x:c>
      <x:c r="AA990" s="15" t="n">
        <x:f>'기준스탯 72종'!E47*H990</x:f>
        <x:v>1.4400000000000004</x:v>
      </x:c>
      <x:c r="AB990" s="15" t="n">
        <x:f>'기준스탯 72종'!F47*H990</x:f>
        <x:v>1.4400000000000004</x:v>
      </x:c>
      <x:c r="AC990" s="15" t="n">
        <x:f>'기준스탯 72종'!G47*H990</x:f>
        <x:v>1.4400000000000004</x:v>
      </x:c>
      <x:c r="AD990" s="15" t="n">
        <x:f>'기준스탯 72종'!H47*H990</x:f>
        <x:v>0.5400000000000001</x:v>
      </x:c>
      <x:c r="AE990" s="15" t="n">
        <x:f>'기준스탯 72종'!I47*H990</x:f>
        <x:v>0.7200000000000002</x:v>
      </x:c>
      <x:c r="AF990" s="15" t="n">
        <x:f>'기준스탯 72종'!J47*H990</x:f>
        <x:v>0.7200000000000002</x:v>
      </x:c>
      <x:c r="AG990" s="15" t="n">
        <x:f>'기준스탯 72종'!K47*H990</x:f>
        <x:v>0.9000000000000002</x:v>
      </x:c>
    </x:row>
    <x:row r="991" ht="28" customHeight="1">
      <x:c r="A991" s="2" t="n">
        <x:v>984</x:v>
      </x:c>
      <x:c r="B991" s="2" t="n">
        <x:v>40</x:v>
      </x:c>
      <x:c r="C991" s="2" t="str">
        <x:v>천칭자리</x:v>
      </x:c>
      <x:c r="D991" s="2" t="str">
        <x:v>정령사</x:v>
      </x:c>
      <x:c r="E991" s="2" t="n">
        <x:v>4</x:v>
      </x:c>
      <x:c r="F991" s="2" t="n">
        <x:v>2</x:v>
      </x:c>
      <x:c r="G991" s="14" t="n">
        <x:f>('레벨 계산식'!$E$4-E991)*'레벨 계산식'!$B$5</x:f>
        <x:v>0.13999999999999999</x:v>
      </x:c>
      <x:c r="H991" s="14" t="n">
        <x:f>('등급 계산식'!$E$4-F991)*'등급 계산식'!$B$5</x:f>
        <x:v>0.18000000000000005</x:v>
      </x:c>
      <x:c r="I991" s="14" t="n">
        <x:f>1-G991-H991</x:f>
        <x:v>0.6799999999999999</x:v>
      </x:c>
      <x:c r="J991" s="2" t="n">
        <x:f>MAX(1,ROUND('기준스탯 72종'!D47-R991-Z991,0))</x:f>
        <x:v>4</x:v>
      </x:c>
      <x:c r="K991" s="2" t="n">
        <x:f>MAX(1,ROUND('기준스탯 72종'!E47-S991-AA991,0))</x:f>
        <x:v>5</x:v>
      </x:c>
      <x:c r="L991" s="2" t="n">
        <x:f>MAX(1,ROUND('기준스탯 72종'!F47-T991-AB991,0))</x:f>
        <x:v>5</x:v>
      </x:c>
      <x:c r="M991" s="2" t="n">
        <x:f>MAX(1,ROUND('기준스탯 72종'!G47-U991-AC991,0))</x:f>
        <x:v>5</x:v>
      </x:c>
      <x:c r="N991" s="2" t="n">
        <x:f>MAX(0,ROUND('기준스탯 72종'!H47-V991-AD991,0))</x:f>
        <x:v>2</x:v>
      </x:c>
      <x:c r="O991" s="2" t="n">
        <x:f>MAX(0,ROUND('기준스탯 72종'!I47-W991-AE991,0))</x:f>
        <x:v>3</x:v>
      </x:c>
      <x:c r="P991" s="2" t="n">
        <x:f>MAX(0,ROUND('기준스탯 72종'!J47-X991-AF991,0))</x:f>
        <x:v>3</x:v>
      </x:c>
      <x:c r="Q991" s="2" t="n">
        <x:f>MAX(0,ROUND('기준스탯 72종'!K47-Y991-AG991,0))</x:f>
        <x:v>3</x:v>
      </x:c>
      <x:c r="R991" s="15" t="n">
        <x:f>'기준스탯 72종'!D47*G991</x:f>
        <x:v>0.8399999999999999</x:v>
      </x:c>
      <x:c r="S991" s="15" t="n">
        <x:f>'기준스탯 72종'!E47*G991</x:f>
        <x:v>1.1199999999999999</x:v>
      </x:c>
      <x:c r="T991" s="15" t="n">
        <x:f>'기준스탯 72종'!F47*G991</x:f>
        <x:v>1.1199999999999999</x:v>
      </x:c>
      <x:c r="U991" s="15" t="n">
        <x:f>'기준스탯 72종'!G47*G991</x:f>
        <x:v>1.1199999999999999</x:v>
      </x:c>
      <x:c r="V991" s="15" t="n">
        <x:f>'기준스탯 72종'!H47*G991</x:f>
        <x:v>0.41999999999999993</x:v>
      </x:c>
      <x:c r="W991" s="15" t="n">
        <x:f>'기준스탯 72종'!I47*G991</x:f>
        <x:v>0.5599999999999999</x:v>
      </x:c>
      <x:c r="X991" s="15" t="n">
        <x:f>'기준스탯 72종'!J47*G991</x:f>
        <x:v>0.5599999999999999</x:v>
      </x:c>
      <x:c r="Y991" s="15" t="n">
        <x:f>'기준스탯 72종'!K47*G991</x:f>
        <x:v>0.7</x:v>
      </x:c>
      <x:c r="Z991" s="15" t="n">
        <x:f>'기준스탯 72종'!D47*H991</x:f>
        <x:v>1.0800000000000003</x:v>
      </x:c>
      <x:c r="AA991" s="15" t="n">
        <x:f>'기준스탯 72종'!E47*H991</x:f>
        <x:v>1.4400000000000004</x:v>
      </x:c>
      <x:c r="AB991" s="15" t="n">
        <x:f>'기준스탯 72종'!F47*H991</x:f>
        <x:v>1.4400000000000004</x:v>
      </x:c>
      <x:c r="AC991" s="15" t="n">
        <x:f>'기준스탯 72종'!G47*H991</x:f>
        <x:v>1.4400000000000004</x:v>
      </x:c>
      <x:c r="AD991" s="15" t="n">
        <x:f>'기준스탯 72종'!H47*H991</x:f>
        <x:v>0.5400000000000001</x:v>
      </x:c>
      <x:c r="AE991" s="15" t="n">
        <x:f>'기준스탯 72종'!I47*H991</x:f>
        <x:v>0.7200000000000002</x:v>
      </x:c>
      <x:c r="AF991" s="15" t="n">
        <x:f>'기준스탯 72종'!J47*H991</x:f>
        <x:v>0.7200000000000002</x:v>
      </x:c>
      <x:c r="AG991" s="15" t="n">
        <x:f>'기준스탯 72종'!K47*H991</x:f>
        <x:v>0.9000000000000002</x:v>
      </x:c>
    </x:row>
    <x:row r="992" ht="28" customHeight="1">
      <x:c r="A992" s="2" t="n">
        <x:v>985</x:v>
      </x:c>
      <x:c r="B992" s="2" t="n">
        <x:v>40</x:v>
      </x:c>
      <x:c r="C992" s="2" t="str">
        <x:v>천칭자리</x:v>
      </x:c>
      <x:c r="D992" s="2" t="str">
        <x:v>정령사</x:v>
      </x:c>
      <x:c r="E992" s="2" t="n">
        <x:v>5</x:v>
      </x:c>
      <x:c r="F992" s="2" t="n">
        <x:v>2</x:v>
      </x:c>
      <x:c r="G992" s="14" t="n">
        <x:f>('레벨 계산식'!$E$4-E992)*'레벨 계산식'!$B$5</x:f>
        <x:v>0</x:v>
      </x:c>
      <x:c r="H992" s="14" t="n">
        <x:f>('등급 계산식'!$E$4-F992)*'등급 계산식'!$B$5</x:f>
        <x:v>0.18000000000000005</x:v>
      </x:c>
      <x:c r="I992" s="14" t="n">
        <x:f>1-G992-H992</x:f>
        <x:v>0.82</x:v>
      </x:c>
      <x:c r="J992" s="2" t="n">
        <x:f>MAX(1,ROUND('기준스탯 72종'!D47-R992-Z992,0))</x:f>
        <x:v>5</x:v>
      </x:c>
      <x:c r="K992" s="2" t="n">
        <x:f>MAX(1,ROUND('기준스탯 72종'!E47-S992-AA992,0))</x:f>
        <x:v>7</x:v>
      </x:c>
      <x:c r="L992" s="2" t="n">
        <x:f>MAX(1,ROUND('기준스탯 72종'!F47-T992-AB992,0))</x:f>
        <x:v>7</x:v>
      </x:c>
      <x:c r="M992" s="2" t="n">
        <x:f>MAX(1,ROUND('기준스탯 72종'!G47-U992-AC992,0))</x:f>
        <x:v>7</x:v>
      </x:c>
      <x:c r="N992" s="2" t="n">
        <x:f>MAX(0,ROUND('기준스탯 72종'!H47-V992-AD992,0))</x:f>
        <x:v>2</x:v>
      </x:c>
      <x:c r="O992" s="2" t="n">
        <x:f>MAX(0,ROUND('기준스탯 72종'!I47-W992-AE992,0))</x:f>
        <x:v>3</x:v>
      </x:c>
      <x:c r="P992" s="2" t="n">
        <x:f>MAX(0,ROUND('기준스탯 72종'!J47-X992-AF992,0))</x:f>
        <x:v>3</x:v>
      </x:c>
      <x:c r="Q992" s="2" t="n">
        <x:f>MAX(0,ROUND('기준스탯 72종'!K47-Y992-AG992,0))</x:f>
        <x:v>4</x:v>
      </x:c>
      <x:c r="R992" s="15" t="n">
        <x:f>'기준스탯 72종'!D47*G992</x:f>
        <x:v>0</x:v>
      </x:c>
      <x:c r="S992" s="15" t="n">
        <x:f>'기준스탯 72종'!E47*G992</x:f>
        <x:v>0</x:v>
      </x:c>
      <x:c r="T992" s="15" t="n">
        <x:f>'기준스탯 72종'!F47*G992</x:f>
        <x:v>0</x:v>
      </x:c>
      <x:c r="U992" s="15" t="n">
        <x:f>'기준스탯 72종'!G47*G992</x:f>
        <x:v>0</x:v>
      </x:c>
      <x:c r="V992" s="15" t="n">
        <x:f>'기준스탯 72종'!H47*G992</x:f>
        <x:v>0</x:v>
      </x:c>
      <x:c r="W992" s="15" t="n">
        <x:f>'기준스탯 72종'!I47*G992</x:f>
        <x:v>0</x:v>
      </x:c>
      <x:c r="X992" s="15" t="n">
        <x:f>'기준스탯 72종'!J47*G992</x:f>
        <x:v>0</x:v>
      </x:c>
      <x:c r="Y992" s="15" t="n">
        <x:f>'기준스탯 72종'!K47*G992</x:f>
        <x:v>0</x:v>
      </x:c>
      <x:c r="Z992" s="15" t="n">
        <x:f>'기준스탯 72종'!D47*H992</x:f>
        <x:v>1.0800000000000003</x:v>
      </x:c>
      <x:c r="AA992" s="15" t="n">
        <x:f>'기준스탯 72종'!E47*H992</x:f>
        <x:v>1.4400000000000004</x:v>
      </x:c>
      <x:c r="AB992" s="15" t="n">
        <x:f>'기준스탯 72종'!F47*H992</x:f>
        <x:v>1.4400000000000004</x:v>
      </x:c>
      <x:c r="AC992" s="15" t="n">
        <x:f>'기준스탯 72종'!G47*H992</x:f>
        <x:v>1.4400000000000004</x:v>
      </x:c>
      <x:c r="AD992" s="15" t="n">
        <x:f>'기준스탯 72종'!H47*H992</x:f>
        <x:v>0.5400000000000001</x:v>
      </x:c>
      <x:c r="AE992" s="15" t="n">
        <x:f>'기준스탯 72종'!I47*H992</x:f>
        <x:v>0.7200000000000002</x:v>
      </x:c>
      <x:c r="AF992" s="15" t="n">
        <x:f>'기준스탯 72종'!J47*H992</x:f>
        <x:v>0.7200000000000002</x:v>
      </x:c>
      <x:c r="AG992" s="15" t="n">
        <x:f>'기준스탯 72종'!K47*H992</x:f>
        <x:v>0.9000000000000002</x:v>
      </x:c>
    </x:row>
    <x:row r="993" ht="28" customHeight="1">
      <x:c r="A993" s="2" t="n">
        <x:v>986</x:v>
      </x:c>
      <x:c r="B993" s="2" t="n">
        <x:v>40</x:v>
      </x:c>
      <x:c r="C993" s="2" t="str">
        <x:v>천칭자리</x:v>
      </x:c>
      <x:c r="D993" s="2" t="str">
        <x:v>정령사</x:v>
      </x:c>
      <x:c r="E993" s="2" t="n">
        <x:v>1</x:v>
      </x:c>
      <x:c r="F993" s="2" t="n">
        <x:v>3</x:v>
      </x:c>
      <x:c r="G993" s="14" t="n">
        <x:f>('레벨 계산식'!$E$4-E993)*'레벨 계산식'!$B$5</x:f>
        <x:v>0.5599999999999999</x:v>
      </x:c>
      <x:c r="H993" s="14" t="n">
        <x:f>('등급 계산식'!$E$4-F993)*'등급 계산식'!$B$5</x:f>
        <x:v>0.12000000000000002</x:v>
      </x:c>
      <x:c r="I993" s="14" t="n">
        <x:f>1-G993-H993</x:f>
        <x:v>0.32000000000000006</x:v>
      </x:c>
      <x:c r="J993" s="2" t="n">
        <x:f>MAX(1,ROUND('기준스탯 72종'!D47-R993-Z993,0))</x:f>
        <x:v>2</x:v>
      </x:c>
      <x:c r="K993" s="2" t="n">
        <x:f>MAX(1,ROUND('기준스탯 72종'!E47-S993-AA993,0))</x:f>
        <x:v>3</x:v>
      </x:c>
      <x:c r="L993" s="2" t="n">
        <x:f>MAX(1,ROUND('기준스탯 72종'!F47-T993-AB993,0))</x:f>
        <x:v>3</x:v>
      </x:c>
      <x:c r="M993" s="2" t="n">
        <x:f>MAX(1,ROUND('기준스탯 72종'!G47-U993-AC993,0))</x:f>
        <x:v>3</x:v>
      </x:c>
      <x:c r="N993" s="2" t="n">
        <x:f>MAX(0,ROUND('기준스탯 72종'!H47-V993-AD993,0))</x:f>
        <x:v>1</x:v>
      </x:c>
      <x:c r="O993" s="2" t="n">
        <x:f>MAX(0,ROUND('기준스탯 72종'!I47-W993-AE993,0))</x:f>
        <x:v>1</x:v>
      </x:c>
      <x:c r="P993" s="2" t="n">
        <x:f>MAX(0,ROUND('기준스탯 72종'!J47-X993-AF993,0))</x:f>
        <x:v>1</x:v>
      </x:c>
      <x:c r="Q993" s="2" t="n">
        <x:f>MAX(0,ROUND('기준스탯 72종'!K47-Y993-AG993,0))</x:f>
        <x:v>2</x:v>
      </x:c>
      <x:c r="R993" s="15" t="n">
        <x:f>'기준스탯 72종'!D47*G993</x:f>
        <x:v>3.3599999999999994</x:v>
      </x:c>
      <x:c r="S993" s="15" t="n">
        <x:f>'기준스탯 72종'!E47*G993</x:f>
        <x:v>4.4799999999999995</x:v>
      </x:c>
      <x:c r="T993" s="15" t="n">
        <x:f>'기준스탯 72종'!F47*G993</x:f>
        <x:v>4.4799999999999995</x:v>
      </x:c>
      <x:c r="U993" s="15" t="n">
        <x:f>'기준스탯 72종'!G47*G993</x:f>
        <x:v>4.4799999999999995</x:v>
      </x:c>
      <x:c r="V993" s="15" t="n">
        <x:f>'기준스탯 72종'!H47*G993</x:f>
        <x:v>1.6799999999999997</x:v>
      </x:c>
      <x:c r="W993" s="15" t="n">
        <x:f>'기준스탯 72종'!I47*G993</x:f>
        <x:v>2.2399999999999998</x:v>
      </x:c>
      <x:c r="X993" s="15" t="n">
        <x:f>'기준스탯 72종'!J47*G993</x:f>
        <x:v>2.2399999999999998</x:v>
      </x:c>
      <x:c r="Y993" s="15" t="n">
        <x:f>'기준스탯 72종'!K47*G993</x:f>
        <x:v>2.8</x:v>
      </x:c>
      <x:c r="Z993" s="15" t="n">
        <x:f>'기준스탯 72종'!D47*H993</x:f>
        <x:v>0.7200000000000002</x:v>
      </x:c>
      <x:c r="AA993" s="15" t="n">
        <x:f>'기준스탯 72종'!E47*H993</x:f>
        <x:v>0.9600000000000002</x:v>
      </x:c>
      <x:c r="AB993" s="15" t="n">
        <x:f>'기준스탯 72종'!F47*H993</x:f>
        <x:v>0.9600000000000002</x:v>
      </x:c>
      <x:c r="AC993" s="15" t="n">
        <x:f>'기준스탯 72종'!G47*H993</x:f>
        <x:v>0.9600000000000002</x:v>
      </x:c>
      <x:c r="AD993" s="15" t="n">
        <x:f>'기준스탯 72종'!H47*H993</x:f>
        <x:v>0.3600000000000001</x:v>
      </x:c>
      <x:c r="AE993" s="15" t="n">
        <x:f>'기준스탯 72종'!I47*H993</x:f>
        <x:v>0.4800000000000001</x:v>
      </x:c>
      <x:c r="AF993" s="15" t="n">
        <x:f>'기준스탯 72종'!J47*H993</x:f>
        <x:v>0.4800000000000001</x:v>
      </x:c>
      <x:c r="AG993" s="15" t="n">
        <x:f>'기준스탯 72종'!K47*H993</x:f>
        <x:v>0.6000000000000001</x:v>
      </x:c>
    </x:row>
    <x:row r="994" ht="28" customHeight="1">
      <x:c r="A994" s="2" t="n">
        <x:v>987</x:v>
      </x:c>
      <x:c r="B994" s="2" t="n">
        <x:v>40</x:v>
      </x:c>
      <x:c r="C994" s="2" t="str">
        <x:v>천칭자리</x:v>
      </x:c>
      <x:c r="D994" s="2" t="str">
        <x:v>정령사</x:v>
      </x:c>
      <x:c r="E994" s="2" t="n">
        <x:v>2</x:v>
      </x:c>
      <x:c r="F994" s="2" t="n">
        <x:v>3</x:v>
      </x:c>
      <x:c r="G994" s="14" t="n">
        <x:f>('레벨 계산식'!$E$4-E994)*'레벨 계산식'!$B$5</x:f>
        <x:v>0.41999999999999993</x:v>
      </x:c>
      <x:c r="H994" s="14" t="n">
        <x:f>('등급 계산식'!$E$4-F994)*'등급 계산식'!$B$5</x:f>
        <x:v>0.12000000000000002</x:v>
      </x:c>
      <x:c r="I994" s="14" t="n">
        <x:f>1-G994-H994</x:f>
        <x:v>0.4600000000000001</x:v>
      </x:c>
      <x:c r="J994" s="2" t="n">
        <x:f>MAX(1,ROUND('기준스탯 72종'!D47-R994-Z994,0))</x:f>
        <x:v>3</x:v>
      </x:c>
      <x:c r="K994" s="2" t="n">
        <x:f>MAX(1,ROUND('기준스탯 72종'!E47-S994-AA994,0))</x:f>
        <x:v>4</x:v>
      </x:c>
      <x:c r="L994" s="2" t="n">
        <x:f>MAX(1,ROUND('기준스탯 72종'!F47-T994-AB994,0))</x:f>
        <x:v>4</x:v>
      </x:c>
      <x:c r="M994" s="2" t="n">
        <x:f>MAX(1,ROUND('기준스탯 72종'!G47-U994-AC994,0))</x:f>
        <x:v>4</x:v>
      </x:c>
      <x:c r="N994" s="2" t="n">
        <x:f>MAX(0,ROUND('기준스탯 72종'!H47-V994-AD994,0))</x:f>
        <x:v>1</x:v>
      </x:c>
      <x:c r="O994" s="2" t="n">
        <x:f>MAX(0,ROUND('기준스탯 72종'!I47-W994-AE994,0))</x:f>
        <x:v>2</x:v>
      </x:c>
      <x:c r="P994" s="2" t="n">
        <x:f>MAX(0,ROUND('기준스탯 72종'!J47-X994-AF994,0))</x:f>
        <x:v>2</x:v>
      </x:c>
      <x:c r="Q994" s="2" t="n">
        <x:f>MAX(0,ROUND('기준스탯 72종'!K47-Y994-AG994,0))</x:f>
        <x:v>2</x:v>
      </x:c>
      <x:c r="R994" s="15" t="n">
        <x:f>'기준스탯 72종'!D47*G994</x:f>
        <x:v>2.5199999999999996</x:v>
      </x:c>
      <x:c r="S994" s="15" t="n">
        <x:f>'기준스탯 72종'!E47*G994</x:f>
        <x:v>3.3599999999999994</x:v>
      </x:c>
      <x:c r="T994" s="15" t="n">
        <x:f>'기준스탯 72종'!F47*G994</x:f>
        <x:v>3.3599999999999994</x:v>
      </x:c>
      <x:c r="U994" s="15" t="n">
        <x:f>'기준스탯 72종'!G47*G994</x:f>
        <x:v>3.3599999999999994</x:v>
      </x:c>
      <x:c r="V994" s="15" t="n">
        <x:f>'기준스탯 72종'!H47*G994</x:f>
        <x:v>1.2599999999999998</x:v>
      </x:c>
      <x:c r="W994" s="15" t="n">
        <x:f>'기준스탯 72종'!I47*G994</x:f>
        <x:v>1.6799999999999997</x:v>
      </x:c>
      <x:c r="X994" s="15" t="n">
        <x:f>'기준스탯 72종'!J47*G994</x:f>
        <x:v>1.6799999999999997</x:v>
      </x:c>
      <x:c r="Y994" s="15" t="n">
        <x:f>'기준스탯 72종'!K47*G994</x:f>
        <x:v>2.0999999999999996</x:v>
      </x:c>
      <x:c r="Z994" s="15" t="n">
        <x:f>'기준스탯 72종'!D47*H994</x:f>
        <x:v>0.7200000000000002</x:v>
      </x:c>
      <x:c r="AA994" s="15" t="n">
        <x:f>'기준스탯 72종'!E47*H994</x:f>
        <x:v>0.9600000000000002</x:v>
      </x:c>
      <x:c r="AB994" s="15" t="n">
        <x:f>'기준스탯 72종'!F47*H994</x:f>
        <x:v>0.9600000000000002</x:v>
      </x:c>
      <x:c r="AC994" s="15" t="n">
        <x:f>'기준스탯 72종'!G47*H994</x:f>
        <x:v>0.9600000000000002</x:v>
      </x:c>
      <x:c r="AD994" s="15" t="n">
        <x:f>'기준스탯 72종'!H47*H994</x:f>
        <x:v>0.3600000000000001</x:v>
      </x:c>
      <x:c r="AE994" s="15" t="n">
        <x:f>'기준스탯 72종'!I47*H994</x:f>
        <x:v>0.4800000000000001</x:v>
      </x:c>
      <x:c r="AF994" s="15" t="n">
        <x:f>'기준스탯 72종'!J47*H994</x:f>
        <x:v>0.4800000000000001</x:v>
      </x:c>
      <x:c r="AG994" s="15" t="n">
        <x:f>'기준스탯 72종'!K47*H994</x:f>
        <x:v>0.6000000000000001</x:v>
      </x:c>
    </x:row>
    <x:row r="995" ht="28" customHeight="1">
      <x:c r="A995" s="2" t="n">
        <x:v>988</x:v>
      </x:c>
      <x:c r="B995" s="2" t="n">
        <x:v>40</x:v>
      </x:c>
      <x:c r="C995" s="2" t="str">
        <x:v>천칭자리</x:v>
      </x:c>
      <x:c r="D995" s="2" t="str">
        <x:v>정령사</x:v>
      </x:c>
      <x:c r="E995" s="2" t="n">
        <x:v>3</x:v>
      </x:c>
      <x:c r="F995" s="2" t="n">
        <x:v>3</x:v>
      </x:c>
      <x:c r="G995" s="14" t="n">
        <x:f>('레벨 계산식'!$E$4-E995)*'레벨 계산식'!$B$5</x:f>
        <x:v>0.27999999999999997</x:v>
      </x:c>
      <x:c r="H995" s="14" t="n">
        <x:f>('등급 계산식'!$E$4-F995)*'등급 계산식'!$B$5</x:f>
        <x:v>0.12000000000000002</x:v>
      </x:c>
      <x:c r="I995" s="14" t="n">
        <x:f>1-G995-H995</x:f>
        <x:v>0.6</x:v>
      </x:c>
      <x:c r="J995" s="2" t="n">
        <x:f>MAX(1,ROUND('기준스탯 72종'!D47-R995-Z995,0))</x:f>
        <x:v>4</x:v>
      </x:c>
      <x:c r="K995" s="2" t="n">
        <x:f>MAX(1,ROUND('기준스탯 72종'!E47-S995-AA995,0))</x:f>
        <x:v>5</x:v>
      </x:c>
      <x:c r="L995" s="2" t="n">
        <x:f>MAX(1,ROUND('기준스탯 72종'!F47-T995-AB995,0))</x:f>
        <x:v>5</x:v>
      </x:c>
      <x:c r="M995" s="2" t="n">
        <x:f>MAX(1,ROUND('기준스탯 72종'!G47-U995-AC995,0))</x:f>
        <x:v>5</x:v>
      </x:c>
      <x:c r="N995" s="2" t="n">
        <x:f>MAX(0,ROUND('기준스탯 72종'!H47-V995-AD995,0))</x:f>
        <x:v>2</x:v>
      </x:c>
      <x:c r="O995" s="2" t="n">
        <x:f>MAX(0,ROUND('기준스탯 72종'!I47-W995-AE995,0))</x:f>
        <x:v>2</x:v>
      </x:c>
      <x:c r="P995" s="2" t="n">
        <x:f>MAX(0,ROUND('기준스탯 72종'!J47-X995-AF995,0))</x:f>
        <x:v>2</x:v>
      </x:c>
      <x:c r="Q995" s="2" t="n">
        <x:f>MAX(0,ROUND('기준스탯 72종'!K47-Y995-AG995,0))</x:f>
        <x:v>3</x:v>
      </x:c>
      <x:c r="R995" s="15" t="n">
        <x:f>'기준스탯 72종'!D47*G995</x:f>
        <x:v>1.6799999999999997</x:v>
      </x:c>
      <x:c r="S995" s="15" t="n">
        <x:f>'기준스탯 72종'!E47*G995</x:f>
        <x:v>2.2399999999999998</x:v>
      </x:c>
      <x:c r="T995" s="15" t="n">
        <x:f>'기준스탯 72종'!F47*G995</x:f>
        <x:v>2.2399999999999998</x:v>
      </x:c>
      <x:c r="U995" s="15" t="n">
        <x:f>'기준스탯 72종'!G47*G995</x:f>
        <x:v>2.2399999999999998</x:v>
      </x:c>
      <x:c r="V995" s="15" t="n">
        <x:f>'기준스탯 72종'!H47*G995</x:f>
        <x:v>0.8399999999999999</x:v>
      </x:c>
      <x:c r="W995" s="15" t="n">
        <x:f>'기준스탯 72종'!I47*G995</x:f>
        <x:v>1.1199999999999999</x:v>
      </x:c>
      <x:c r="X995" s="15" t="n">
        <x:f>'기준스탯 72종'!J47*G995</x:f>
        <x:v>1.1199999999999999</x:v>
      </x:c>
      <x:c r="Y995" s="15" t="n">
        <x:f>'기준스탯 72종'!K47*G995</x:f>
        <x:v>1.4</x:v>
      </x:c>
      <x:c r="Z995" s="15" t="n">
        <x:f>'기준스탯 72종'!D47*H995</x:f>
        <x:v>0.7200000000000002</x:v>
      </x:c>
      <x:c r="AA995" s="15" t="n">
        <x:f>'기준스탯 72종'!E47*H995</x:f>
        <x:v>0.9600000000000002</x:v>
      </x:c>
      <x:c r="AB995" s="15" t="n">
        <x:f>'기준스탯 72종'!F47*H995</x:f>
        <x:v>0.9600000000000002</x:v>
      </x:c>
      <x:c r="AC995" s="15" t="n">
        <x:f>'기준스탯 72종'!G47*H995</x:f>
        <x:v>0.9600000000000002</x:v>
      </x:c>
      <x:c r="AD995" s="15" t="n">
        <x:f>'기준스탯 72종'!H47*H995</x:f>
        <x:v>0.3600000000000001</x:v>
      </x:c>
      <x:c r="AE995" s="15" t="n">
        <x:f>'기준스탯 72종'!I47*H995</x:f>
        <x:v>0.4800000000000001</x:v>
      </x:c>
      <x:c r="AF995" s="15" t="n">
        <x:f>'기준스탯 72종'!J47*H995</x:f>
        <x:v>0.4800000000000001</x:v>
      </x:c>
      <x:c r="AG995" s="15" t="n">
        <x:f>'기준스탯 72종'!K47*H995</x:f>
        <x:v>0.6000000000000001</x:v>
      </x:c>
    </x:row>
    <x:row r="996" ht="28" customHeight="1">
      <x:c r="A996" s="2" t="n">
        <x:v>989</x:v>
      </x:c>
      <x:c r="B996" s="2" t="n">
        <x:v>40</x:v>
      </x:c>
      <x:c r="C996" s="2" t="str">
        <x:v>천칭자리</x:v>
      </x:c>
      <x:c r="D996" s="2" t="str">
        <x:v>정령사</x:v>
      </x:c>
      <x:c r="E996" s="2" t="n">
        <x:v>4</x:v>
      </x:c>
      <x:c r="F996" s="2" t="n">
        <x:v>3</x:v>
      </x:c>
      <x:c r="G996" s="14" t="n">
        <x:f>('레벨 계산식'!$E$4-E996)*'레벨 계산식'!$B$5</x:f>
        <x:v>0.13999999999999999</x:v>
      </x:c>
      <x:c r="H996" s="14" t="n">
        <x:f>('등급 계산식'!$E$4-F996)*'등급 계산식'!$B$5</x:f>
        <x:v>0.12000000000000002</x:v>
      </x:c>
      <x:c r="I996" s="14" t="n">
        <x:f>1-G996-H996</x:f>
        <x:v>0.74</x:v>
      </x:c>
      <x:c r="J996" s="2" t="n">
        <x:f>MAX(1,ROUND('기준스탯 72종'!D47-R996-Z996,0))</x:f>
        <x:v>4</x:v>
      </x:c>
      <x:c r="K996" s="2" t="n">
        <x:f>MAX(1,ROUND('기준스탯 72종'!E47-S996-AA996,0))</x:f>
        <x:v>6</x:v>
      </x:c>
      <x:c r="L996" s="2" t="n">
        <x:f>MAX(1,ROUND('기준스탯 72종'!F47-T996-AB996,0))</x:f>
        <x:v>6</x:v>
      </x:c>
      <x:c r="M996" s="2" t="n">
        <x:f>MAX(1,ROUND('기준스탯 72종'!G47-U996-AC996,0))</x:f>
        <x:v>6</x:v>
      </x:c>
      <x:c r="N996" s="2" t="n">
        <x:f>MAX(0,ROUND('기준스탯 72종'!H47-V996-AD996,0))</x:f>
        <x:v>2</x:v>
      </x:c>
      <x:c r="O996" s="2" t="n">
        <x:f>MAX(0,ROUND('기준스탯 72종'!I47-W996-AE996,0))</x:f>
        <x:v>3</x:v>
      </x:c>
      <x:c r="P996" s="2" t="n">
        <x:f>MAX(0,ROUND('기준스탯 72종'!J47-X996-AF996,0))</x:f>
        <x:v>3</x:v>
      </x:c>
      <x:c r="Q996" s="2" t="n">
        <x:f>MAX(0,ROUND('기준스탯 72종'!K47-Y996-AG996,0))</x:f>
        <x:v>4</x:v>
      </x:c>
      <x:c r="R996" s="15" t="n">
        <x:f>'기준스탯 72종'!D47*G996</x:f>
        <x:v>0.8399999999999999</x:v>
      </x:c>
      <x:c r="S996" s="15" t="n">
        <x:f>'기준스탯 72종'!E47*G996</x:f>
        <x:v>1.1199999999999999</x:v>
      </x:c>
      <x:c r="T996" s="15" t="n">
        <x:f>'기준스탯 72종'!F47*G996</x:f>
        <x:v>1.1199999999999999</x:v>
      </x:c>
      <x:c r="U996" s="15" t="n">
        <x:f>'기준스탯 72종'!G47*G996</x:f>
        <x:v>1.1199999999999999</x:v>
      </x:c>
      <x:c r="V996" s="15" t="n">
        <x:f>'기준스탯 72종'!H47*G996</x:f>
        <x:v>0.41999999999999993</x:v>
      </x:c>
      <x:c r="W996" s="15" t="n">
        <x:f>'기준스탯 72종'!I47*G996</x:f>
        <x:v>0.5599999999999999</x:v>
      </x:c>
      <x:c r="X996" s="15" t="n">
        <x:f>'기준스탯 72종'!J47*G996</x:f>
        <x:v>0.5599999999999999</x:v>
      </x:c>
      <x:c r="Y996" s="15" t="n">
        <x:f>'기준스탯 72종'!K47*G996</x:f>
        <x:v>0.7</x:v>
      </x:c>
      <x:c r="Z996" s="15" t="n">
        <x:f>'기준스탯 72종'!D47*H996</x:f>
        <x:v>0.7200000000000002</x:v>
      </x:c>
      <x:c r="AA996" s="15" t="n">
        <x:f>'기준스탯 72종'!E47*H996</x:f>
        <x:v>0.9600000000000002</x:v>
      </x:c>
      <x:c r="AB996" s="15" t="n">
        <x:f>'기준스탯 72종'!F47*H996</x:f>
        <x:v>0.9600000000000002</x:v>
      </x:c>
      <x:c r="AC996" s="15" t="n">
        <x:f>'기준스탯 72종'!G47*H996</x:f>
        <x:v>0.9600000000000002</x:v>
      </x:c>
      <x:c r="AD996" s="15" t="n">
        <x:f>'기준스탯 72종'!H47*H996</x:f>
        <x:v>0.3600000000000001</x:v>
      </x:c>
      <x:c r="AE996" s="15" t="n">
        <x:f>'기준스탯 72종'!I47*H996</x:f>
        <x:v>0.4800000000000001</x:v>
      </x:c>
      <x:c r="AF996" s="15" t="n">
        <x:f>'기준스탯 72종'!J47*H996</x:f>
        <x:v>0.4800000000000001</x:v>
      </x:c>
      <x:c r="AG996" s="15" t="n">
        <x:f>'기준스탯 72종'!K47*H996</x:f>
        <x:v>0.6000000000000001</x:v>
      </x:c>
    </x:row>
    <x:row r="997" ht="28" customHeight="1">
      <x:c r="A997" s="2" t="n">
        <x:v>990</x:v>
      </x:c>
      <x:c r="B997" s="2" t="n">
        <x:v>40</x:v>
      </x:c>
      <x:c r="C997" s="2" t="str">
        <x:v>천칭자리</x:v>
      </x:c>
      <x:c r="D997" s="2" t="str">
        <x:v>정령사</x:v>
      </x:c>
      <x:c r="E997" s="2" t="n">
        <x:v>5</x:v>
      </x:c>
      <x:c r="F997" s="2" t="n">
        <x:v>3</x:v>
      </x:c>
      <x:c r="G997" s="14" t="n">
        <x:f>('레벨 계산식'!$E$4-E997)*'레벨 계산식'!$B$5</x:f>
        <x:v>0</x:v>
      </x:c>
      <x:c r="H997" s="14" t="n">
        <x:f>('등급 계산식'!$E$4-F997)*'등급 계산식'!$B$5</x:f>
        <x:v>0.12000000000000002</x:v>
      </x:c>
      <x:c r="I997" s="14" t="n">
        <x:f>1-G997-H997</x:f>
        <x:v>0.88</x:v>
      </x:c>
      <x:c r="J997" s="2" t="n">
        <x:f>MAX(1,ROUND('기준스탯 72종'!D47-R997-Z997,0))</x:f>
        <x:v>5</x:v>
      </x:c>
      <x:c r="K997" s="2" t="n">
        <x:f>MAX(1,ROUND('기준스탯 72종'!E47-S997-AA997,0))</x:f>
        <x:v>7</x:v>
      </x:c>
      <x:c r="L997" s="2" t="n">
        <x:f>MAX(1,ROUND('기준스탯 72종'!F47-T997-AB997,0))</x:f>
        <x:v>7</x:v>
      </x:c>
      <x:c r="M997" s="2" t="n">
        <x:f>MAX(1,ROUND('기준스탯 72종'!G47-U997-AC997,0))</x:f>
        <x:v>7</x:v>
      </x:c>
      <x:c r="N997" s="2" t="n">
        <x:f>MAX(0,ROUND('기준스탯 72종'!H47-V997-AD997,0))</x:f>
        <x:v>3</x:v>
      </x:c>
      <x:c r="O997" s="2" t="n">
        <x:f>MAX(0,ROUND('기준스탯 72종'!I47-W997-AE997,0))</x:f>
        <x:v>4</x:v>
      </x:c>
      <x:c r="P997" s="2" t="n">
        <x:f>MAX(0,ROUND('기준스탯 72종'!J47-X997-AF997,0))</x:f>
        <x:v>4</x:v>
      </x:c>
      <x:c r="Q997" s="2" t="n">
        <x:f>MAX(0,ROUND('기준스탯 72종'!K47-Y997-AG997,0))</x:f>
        <x:v>4</x:v>
      </x:c>
      <x:c r="R997" s="15" t="n">
        <x:f>'기준스탯 72종'!D47*G997</x:f>
        <x:v>0</x:v>
      </x:c>
      <x:c r="S997" s="15" t="n">
        <x:f>'기준스탯 72종'!E47*G997</x:f>
        <x:v>0</x:v>
      </x:c>
      <x:c r="T997" s="15" t="n">
        <x:f>'기준스탯 72종'!F47*G997</x:f>
        <x:v>0</x:v>
      </x:c>
      <x:c r="U997" s="15" t="n">
        <x:f>'기준스탯 72종'!G47*G997</x:f>
        <x:v>0</x:v>
      </x:c>
      <x:c r="V997" s="15" t="n">
        <x:f>'기준스탯 72종'!H47*G997</x:f>
        <x:v>0</x:v>
      </x:c>
      <x:c r="W997" s="15" t="n">
        <x:f>'기준스탯 72종'!I47*G997</x:f>
        <x:v>0</x:v>
      </x:c>
      <x:c r="X997" s="15" t="n">
        <x:f>'기준스탯 72종'!J47*G997</x:f>
        <x:v>0</x:v>
      </x:c>
      <x:c r="Y997" s="15" t="n">
        <x:f>'기준스탯 72종'!K47*G997</x:f>
        <x:v>0</x:v>
      </x:c>
      <x:c r="Z997" s="15" t="n">
        <x:f>'기준스탯 72종'!D47*H997</x:f>
        <x:v>0.7200000000000002</x:v>
      </x:c>
      <x:c r="AA997" s="15" t="n">
        <x:f>'기준스탯 72종'!E47*H997</x:f>
        <x:v>0.9600000000000002</x:v>
      </x:c>
      <x:c r="AB997" s="15" t="n">
        <x:f>'기준스탯 72종'!F47*H997</x:f>
        <x:v>0.9600000000000002</x:v>
      </x:c>
      <x:c r="AC997" s="15" t="n">
        <x:f>'기준스탯 72종'!G47*H997</x:f>
        <x:v>0.9600000000000002</x:v>
      </x:c>
      <x:c r="AD997" s="15" t="n">
        <x:f>'기준스탯 72종'!H47*H997</x:f>
        <x:v>0.3600000000000001</x:v>
      </x:c>
      <x:c r="AE997" s="15" t="n">
        <x:f>'기준스탯 72종'!I47*H997</x:f>
        <x:v>0.4800000000000001</x:v>
      </x:c>
      <x:c r="AF997" s="15" t="n">
        <x:f>'기준스탯 72종'!J47*H997</x:f>
        <x:v>0.4800000000000001</x:v>
      </x:c>
      <x:c r="AG997" s="15" t="n">
        <x:f>'기준스탯 72종'!K47*H997</x:f>
        <x:v>0.6000000000000001</x:v>
      </x:c>
    </x:row>
    <x:row r="998" ht="28" customHeight="1">
      <x:c r="A998" s="2" t="n">
        <x:v>991</x:v>
      </x:c>
      <x:c r="B998" s="2" t="n">
        <x:v>40</x:v>
      </x:c>
      <x:c r="C998" s="2" t="str">
        <x:v>천칭자리</x:v>
      </x:c>
      <x:c r="D998" s="2" t="str">
        <x:v>정령사</x:v>
      </x:c>
      <x:c r="E998" s="2" t="n">
        <x:v>1</x:v>
      </x:c>
      <x:c r="F998" s="2" t="n">
        <x:v>4</x:v>
      </x:c>
      <x:c r="G998" s="14" t="n">
        <x:f>('레벨 계산식'!$E$4-E998)*'레벨 계산식'!$B$5</x:f>
        <x:v>0.5599999999999999</x:v>
      </x:c>
      <x:c r="H998" s="14" t="n">
        <x:f>('등급 계산식'!$E$4-F998)*'등급 계산식'!$B$5</x:f>
        <x:v>0.06000000000000001</x:v>
      </x:c>
      <x:c r="I998" s="14" t="n">
        <x:f>1-G998-H998</x:f>
        <x:v>0.38000000000000006</x:v>
      </x:c>
      <x:c r="J998" s="2" t="n">
        <x:f>MAX(1,ROUND('기준스탯 72종'!D47-R998-Z998,0))</x:f>
        <x:v>2</x:v>
      </x:c>
      <x:c r="K998" s="2" t="n">
        <x:f>MAX(1,ROUND('기준스탯 72종'!E47-S998-AA998,0))</x:f>
        <x:v>3</x:v>
      </x:c>
      <x:c r="L998" s="2" t="n">
        <x:f>MAX(1,ROUND('기준스탯 72종'!F47-T998-AB998,0))</x:f>
        <x:v>3</x:v>
      </x:c>
      <x:c r="M998" s="2" t="n">
        <x:f>MAX(1,ROUND('기준스탯 72종'!G47-U998-AC998,0))</x:f>
        <x:v>3</x:v>
      </x:c>
      <x:c r="N998" s="2" t="n">
        <x:f>MAX(0,ROUND('기준스탯 72종'!H47-V998-AD998,0))</x:f>
        <x:v>1</x:v>
      </x:c>
      <x:c r="O998" s="2" t="n">
        <x:f>MAX(0,ROUND('기준스탯 72종'!I47-W998-AE998,0))</x:f>
        <x:v>2</x:v>
      </x:c>
      <x:c r="P998" s="2" t="n">
        <x:f>MAX(0,ROUND('기준스탯 72종'!J47-X998-AF998,0))</x:f>
        <x:v>2</x:v>
      </x:c>
      <x:c r="Q998" s="2" t="n">
        <x:f>MAX(0,ROUND('기준스탯 72종'!K47-Y998-AG998,0))</x:f>
        <x:v>2</x:v>
      </x:c>
      <x:c r="R998" s="15" t="n">
        <x:f>'기준스탯 72종'!D47*G998</x:f>
        <x:v>3.3599999999999994</x:v>
      </x:c>
      <x:c r="S998" s="15" t="n">
        <x:f>'기준스탯 72종'!E47*G998</x:f>
        <x:v>4.4799999999999995</x:v>
      </x:c>
      <x:c r="T998" s="15" t="n">
        <x:f>'기준스탯 72종'!F47*G998</x:f>
        <x:v>4.4799999999999995</x:v>
      </x:c>
      <x:c r="U998" s="15" t="n">
        <x:f>'기준스탯 72종'!G47*G998</x:f>
        <x:v>4.4799999999999995</x:v>
      </x:c>
      <x:c r="V998" s="15" t="n">
        <x:f>'기준스탯 72종'!H47*G998</x:f>
        <x:v>1.6799999999999997</x:v>
      </x:c>
      <x:c r="W998" s="15" t="n">
        <x:f>'기준스탯 72종'!I47*G998</x:f>
        <x:v>2.2399999999999998</x:v>
      </x:c>
      <x:c r="X998" s="15" t="n">
        <x:f>'기준스탯 72종'!J47*G998</x:f>
        <x:v>2.2399999999999998</x:v>
      </x:c>
      <x:c r="Y998" s="15" t="n">
        <x:f>'기준스탯 72종'!K47*G998</x:f>
        <x:v>2.8</x:v>
      </x:c>
      <x:c r="Z998" s="15" t="n">
        <x:f>'기준스탯 72종'!D47*H998</x:f>
        <x:v>0.3600000000000001</x:v>
      </x:c>
      <x:c r="AA998" s="15" t="n">
        <x:f>'기준스탯 72종'!E47*H998</x:f>
        <x:v>0.4800000000000001</x:v>
      </x:c>
      <x:c r="AB998" s="15" t="n">
        <x:f>'기준스탯 72종'!F47*H998</x:f>
        <x:v>0.4800000000000001</x:v>
      </x:c>
      <x:c r="AC998" s="15" t="n">
        <x:f>'기준스탯 72종'!G47*H998</x:f>
        <x:v>0.4800000000000001</x:v>
      </x:c>
      <x:c r="AD998" s="15" t="n">
        <x:f>'기준스탯 72종'!H47*H998</x:f>
        <x:v>0.18000000000000005</x:v>
      </x:c>
      <x:c r="AE998" s="15" t="n">
        <x:f>'기준스탯 72종'!I47*H998</x:f>
        <x:v>0.24000000000000005</x:v>
      </x:c>
      <x:c r="AF998" s="15" t="n">
        <x:f>'기준스탯 72종'!J47*H998</x:f>
        <x:v>0.24000000000000005</x:v>
      </x:c>
      <x:c r="AG998" s="15" t="n">
        <x:f>'기준스탯 72종'!K47*H998</x:f>
        <x:v>0.30000000000000004</x:v>
      </x:c>
    </x:row>
    <x:row r="999" ht="28" customHeight="1">
      <x:c r="A999" s="2" t="n">
        <x:v>992</x:v>
      </x:c>
      <x:c r="B999" s="2" t="n">
        <x:v>40</x:v>
      </x:c>
      <x:c r="C999" s="2" t="str">
        <x:v>천칭자리</x:v>
      </x:c>
      <x:c r="D999" s="2" t="str">
        <x:v>정령사</x:v>
      </x:c>
      <x:c r="E999" s="2" t="n">
        <x:v>2</x:v>
      </x:c>
      <x:c r="F999" s="2" t="n">
        <x:v>4</x:v>
      </x:c>
      <x:c r="G999" s="14" t="n">
        <x:f>('레벨 계산식'!$E$4-E999)*'레벨 계산식'!$B$5</x:f>
        <x:v>0.41999999999999993</x:v>
      </x:c>
      <x:c r="H999" s="14" t="n">
        <x:f>('등급 계산식'!$E$4-F999)*'등급 계산식'!$B$5</x:f>
        <x:v>0.06000000000000001</x:v>
      </x:c>
      <x:c r="I999" s="14" t="n">
        <x:f>1-G999-H999</x:f>
        <x:v>0.52</x:v>
      </x:c>
      <x:c r="J999" s="2" t="n">
        <x:f>MAX(1,ROUND('기준스탯 72종'!D47-R999-Z999,0))</x:f>
        <x:v>3</x:v>
      </x:c>
      <x:c r="K999" s="2" t="n">
        <x:f>MAX(1,ROUND('기준스탯 72종'!E47-S999-AA999,0))</x:f>
        <x:v>4</x:v>
      </x:c>
      <x:c r="L999" s="2" t="n">
        <x:f>MAX(1,ROUND('기준스탯 72종'!F47-T999-AB999,0))</x:f>
        <x:v>4</x:v>
      </x:c>
      <x:c r="M999" s="2" t="n">
        <x:f>MAX(1,ROUND('기준스탯 72종'!G47-U999-AC999,0))</x:f>
        <x:v>4</x:v>
      </x:c>
      <x:c r="N999" s="2" t="n">
        <x:f>MAX(0,ROUND('기준스탯 72종'!H47-V999-AD999,0))</x:f>
        <x:v>2</x:v>
      </x:c>
      <x:c r="O999" s="2" t="n">
        <x:f>MAX(0,ROUND('기준스탯 72종'!I47-W999-AE999,0))</x:f>
        <x:v>2</x:v>
      </x:c>
      <x:c r="P999" s="2" t="n">
        <x:f>MAX(0,ROUND('기준스탯 72종'!J47-X999-AF999,0))</x:f>
        <x:v>2</x:v>
      </x:c>
      <x:c r="Q999" s="2" t="n">
        <x:f>MAX(0,ROUND('기준스탯 72종'!K47-Y999-AG999,0))</x:f>
        <x:v>3</x:v>
      </x:c>
      <x:c r="R999" s="15" t="n">
        <x:f>'기준스탯 72종'!D47*G999</x:f>
        <x:v>2.5199999999999996</x:v>
      </x:c>
      <x:c r="S999" s="15" t="n">
        <x:f>'기준스탯 72종'!E47*G999</x:f>
        <x:v>3.3599999999999994</x:v>
      </x:c>
      <x:c r="T999" s="15" t="n">
        <x:f>'기준스탯 72종'!F47*G999</x:f>
        <x:v>3.3599999999999994</x:v>
      </x:c>
      <x:c r="U999" s="15" t="n">
        <x:f>'기준스탯 72종'!G47*G999</x:f>
        <x:v>3.3599999999999994</x:v>
      </x:c>
      <x:c r="V999" s="15" t="n">
        <x:f>'기준스탯 72종'!H47*G999</x:f>
        <x:v>1.2599999999999998</x:v>
      </x:c>
      <x:c r="W999" s="15" t="n">
        <x:f>'기준스탯 72종'!I47*G999</x:f>
        <x:v>1.6799999999999997</x:v>
      </x:c>
      <x:c r="X999" s="15" t="n">
        <x:f>'기준스탯 72종'!J47*G999</x:f>
        <x:v>1.6799999999999997</x:v>
      </x:c>
      <x:c r="Y999" s="15" t="n">
        <x:f>'기준스탯 72종'!K47*G999</x:f>
        <x:v>2.0999999999999996</x:v>
      </x:c>
      <x:c r="Z999" s="15" t="n">
        <x:f>'기준스탯 72종'!D47*H999</x:f>
        <x:v>0.3600000000000001</x:v>
      </x:c>
      <x:c r="AA999" s="15" t="n">
        <x:f>'기준스탯 72종'!E47*H999</x:f>
        <x:v>0.4800000000000001</x:v>
      </x:c>
      <x:c r="AB999" s="15" t="n">
        <x:f>'기준스탯 72종'!F47*H999</x:f>
        <x:v>0.4800000000000001</x:v>
      </x:c>
      <x:c r="AC999" s="15" t="n">
        <x:f>'기준스탯 72종'!G47*H999</x:f>
        <x:v>0.4800000000000001</x:v>
      </x:c>
      <x:c r="AD999" s="15" t="n">
        <x:f>'기준스탯 72종'!H47*H999</x:f>
        <x:v>0.18000000000000005</x:v>
      </x:c>
      <x:c r="AE999" s="15" t="n">
        <x:f>'기준스탯 72종'!I47*H999</x:f>
        <x:v>0.24000000000000005</x:v>
      </x:c>
      <x:c r="AF999" s="15" t="n">
        <x:f>'기준스탯 72종'!J47*H999</x:f>
        <x:v>0.24000000000000005</x:v>
      </x:c>
      <x:c r="AG999" s="15" t="n">
        <x:f>'기준스탯 72종'!K47*H999</x:f>
        <x:v>0.30000000000000004</x:v>
      </x:c>
    </x:row>
    <x:row r="1000" ht="28" customHeight="1">
      <x:c r="A1000" s="2" t="n">
        <x:v>993</x:v>
      </x:c>
      <x:c r="B1000" s="2" t="n">
        <x:v>40</x:v>
      </x:c>
      <x:c r="C1000" s="2" t="str">
        <x:v>천칭자리</x:v>
      </x:c>
      <x:c r="D1000" s="2" t="str">
        <x:v>정령사</x:v>
      </x:c>
      <x:c r="E1000" s="2" t="n">
        <x:v>3</x:v>
      </x:c>
      <x:c r="F1000" s="2" t="n">
        <x:v>4</x:v>
      </x:c>
      <x:c r="G1000" s="14" t="n">
        <x:f>('레벨 계산식'!$E$4-E1000)*'레벨 계산식'!$B$5</x:f>
        <x:v>0.27999999999999997</x:v>
      </x:c>
      <x:c r="H1000" s="14" t="n">
        <x:f>('등급 계산식'!$E$4-F1000)*'등급 계산식'!$B$5</x:f>
        <x:v>0.06000000000000001</x:v>
      </x:c>
      <x:c r="I1000" s="14" t="n">
        <x:f>1-G1000-H1000</x:f>
        <x:v>0.6599999999999999</x:v>
      </x:c>
      <x:c r="J1000" s="2" t="n">
        <x:f>MAX(1,ROUND('기준스탯 72종'!D47-R1000-Z1000,0))</x:f>
        <x:v>4</x:v>
      </x:c>
      <x:c r="K1000" s="2" t="n">
        <x:f>MAX(1,ROUND('기준스탯 72종'!E47-S1000-AA1000,0))</x:f>
        <x:v>5</x:v>
      </x:c>
      <x:c r="L1000" s="2" t="n">
        <x:f>MAX(1,ROUND('기준스탯 72종'!F47-T1000-AB1000,0))</x:f>
        <x:v>5</x:v>
      </x:c>
      <x:c r="M1000" s="2" t="n">
        <x:f>MAX(1,ROUND('기준스탯 72종'!G47-U1000-AC1000,0))</x:f>
        <x:v>5</x:v>
      </x:c>
      <x:c r="N1000" s="2" t="n">
        <x:f>MAX(0,ROUND('기준스탯 72종'!H47-V1000-AD1000,0))</x:f>
        <x:v>2</x:v>
      </x:c>
      <x:c r="O1000" s="2" t="n">
        <x:f>MAX(0,ROUND('기준스탯 72종'!I47-W1000-AE1000,0))</x:f>
        <x:v>3</x:v>
      </x:c>
      <x:c r="P1000" s="2" t="n">
        <x:f>MAX(0,ROUND('기준스탯 72종'!J47-X1000-AF1000,0))</x:f>
        <x:v>3</x:v>
      </x:c>
      <x:c r="Q1000" s="2" t="n">
        <x:f>MAX(0,ROUND('기준스탯 72종'!K47-Y1000-AG1000,0))</x:f>
        <x:v>3</x:v>
      </x:c>
      <x:c r="R1000" s="15" t="n">
        <x:f>'기준스탯 72종'!D47*G1000</x:f>
        <x:v>1.6799999999999997</x:v>
      </x:c>
      <x:c r="S1000" s="15" t="n">
        <x:f>'기준스탯 72종'!E47*G1000</x:f>
        <x:v>2.2399999999999998</x:v>
      </x:c>
      <x:c r="T1000" s="15" t="n">
        <x:f>'기준스탯 72종'!F47*G1000</x:f>
        <x:v>2.2399999999999998</x:v>
      </x:c>
      <x:c r="U1000" s="15" t="n">
        <x:f>'기준스탯 72종'!G47*G1000</x:f>
        <x:v>2.2399999999999998</x:v>
      </x:c>
      <x:c r="V1000" s="15" t="n">
        <x:f>'기준스탯 72종'!H47*G1000</x:f>
        <x:v>0.8399999999999999</x:v>
      </x:c>
      <x:c r="W1000" s="15" t="n">
        <x:f>'기준스탯 72종'!I47*G1000</x:f>
        <x:v>1.1199999999999999</x:v>
      </x:c>
      <x:c r="X1000" s="15" t="n">
        <x:f>'기준스탯 72종'!J47*G1000</x:f>
        <x:v>1.1199999999999999</x:v>
      </x:c>
      <x:c r="Y1000" s="15" t="n">
        <x:f>'기준스탯 72종'!K47*G1000</x:f>
        <x:v>1.4</x:v>
      </x:c>
      <x:c r="Z1000" s="15" t="n">
        <x:f>'기준스탯 72종'!D47*H1000</x:f>
        <x:v>0.3600000000000001</x:v>
      </x:c>
      <x:c r="AA1000" s="15" t="n">
        <x:f>'기준스탯 72종'!E47*H1000</x:f>
        <x:v>0.4800000000000001</x:v>
      </x:c>
      <x:c r="AB1000" s="15" t="n">
        <x:f>'기준스탯 72종'!F47*H1000</x:f>
        <x:v>0.4800000000000001</x:v>
      </x:c>
      <x:c r="AC1000" s="15" t="n">
        <x:f>'기준스탯 72종'!G47*H1000</x:f>
        <x:v>0.4800000000000001</x:v>
      </x:c>
      <x:c r="AD1000" s="15" t="n">
        <x:f>'기준스탯 72종'!H47*H1000</x:f>
        <x:v>0.18000000000000005</x:v>
      </x:c>
      <x:c r="AE1000" s="15" t="n">
        <x:f>'기준스탯 72종'!I47*H1000</x:f>
        <x:v>0.24000000000000005</x:v>
      </x:c>
      <x:c r="AF1000" s="15" t="n">
        <x:f>'기준스탯 72종'!J47*H1000</x:f>
        <x:v>0.24000000000000005</x:v>
      </x:c>
      <x:c r="AG1000" s="15" t="n">
        <x:f>'기준스탯 72종'!K47*H1000</x:f>
        <x:v>0.30000000000000004</x:v>
      </x:c>
    </x:row>
    <x:row r="1001" ht="28" customHeight="1">
      <x:c r="A1001" s="2" t="n">
        <x:v>994</x:v>
      </x:c>
      <x:c r="B1001" s="2" t="n">
        <x:v>40</x:v>
      </x:c>
      <x:c r="C1001" s="2" t="str">
        <x:v>천칭자리</x:v>
      </x:c>
      <x:c r="D1001" s="2" t="str">
        <x:v>정령사</x:v>
      </x:c>
      <x:c r="E1001" s="2" t="n">
        <x:v>4</x:v>
      </x:c>
      <x:c r="F1001" s="2" t="n">
        <x:v>4</x:v>
      </x:c>
      <x:c r="G1001" s="14" t="n">
        <x:f>('레벨 계산식'!$E$4-E1001)*'레벨 계산식'!$B$5</x:f>
        <x:v>0.13999999999999999</x:v>
      </x:c>
      <x:c r="H1001" s="14" t="n">
        <x:f>('등급 계산식'!$E$4-F1001)*'등급 계산식'!$B$5</x:f>
        <x:v>0.06000000000000001</x:v>
      </x:c>
      <x:c r="I1001" s="14" t="n">
        <x:f>1-G1001-H1001</x:f>
        <x:v>0.7999999999999999</x:v>
      </x:c>
      <x:c r="J1001" s="2" t="n">
        <x:f>MAX(1,ROUND('기준스탯 72종'!D47-R1001-Z1001,0))</x:f>
        <x:v>5</x:v>
      </x:c>
      <x:c r="K1001" s="2" t="n">
        <x:f>MAX(1,ROUND('기준스탯 72종'!E47-S1001-AA1001,0))</x:f>
        <x:v>6</x:v>
      </x:c>
      <x:c r="L1001" s="2" t="n">
        <x:f>MAX(1,ROUND('기준스탯 72종'!F47-T1001-AB1001,0))</x:f>
        <x:v>6</x:v>
      </x:c>
      <x:c r="M1001" s="2" t="n">
        <x:f>MAX(1,ROUND('기준스탯 72종'!G47-U1001-AC1001,0))</x:f>
        <x:v>6</x:v>
      </x:c>
      <x:c r="N1001" s="2" t="n">
        <x:f>MAX(0,ROUND('기준스탯 72종'!H47-V1001-AD1001,0))</x:f>
        <x:v>2</x:v>
      </x:c>
      <x:c r="O1001" s="2" t="n">
        <x:f>MAX(0,ROUND('기준스탯 72종'!I47-W1001-AE1001,0))</x:f>
        <x:v>3</x:v>
      </x:c>
      <x:c r="P1001" s="2" t="n">
        <x:f>MAX(0,ROUND('기준스탯 72종'!J47-X1001-AF1001,0))</x:f>
        <x:v>3</x:v>
      </x:c>
      <x:c r="Q1001" s="2" t="n">
        <x:f>MAX(0,ROUND('기준스탯 72종'!K47-Y1001-AG1001,0))</x:f>
        <x:v>4</x:v>
      </x:c>
      <x:c r="R1001" s="15" t="n">
        <x:f>'기준스탯 72종'!D47*G1001</x:f>
        <x:v>0.8399999999999999</x:v>
      </x:c>
      <x:c r="S1001" s="15" t="n">
        <x:f>'기준스탯 72종'!E47*G1001</x:f>
        <x:v>1.1199999999999999</x:v>
      </x:c>
      <x:c r="T1001" s="15" t="n">
        <x:f>'기준스탯 72종'!F47*G1001</x:f>
        <x:v>1.1199999999999999</x:v>
      </x:c>
      <x:c r="U1001" s="15" t="n">
        <x:f>'기준스탯 72종'!G47*G1001</x:f>
        <x:v>1.1199999999999999</x:v>
      </x:c>
      <x:c r="V1001" s="15" t="n">
        <x:f>'기준스탯 72종'!H47*G1001</x:f>
        <x:v>0.41999999999999993</x:v>
      </x:c>
      <x:c r="W1001" s="15" t="n">
        <x:f>'기준스탯 72종'!I47*G1001</x:f>
        <x:v>0.5599999999999999</x:v>
      </x:c>
      <x:c r="X1001" s="15" t="n">
        <x:f>'기준스탯 72종'!J47*G1001</x:f>
        <x:v>0.5599999999999999</x:v>
      </x:c>
      <x:c r="Y1001" s="15" t="n">
        <x:f>'기준스탯 72종'!K47*G1001</x:f>
        <x:v>0.7</x:v>
      </x:c>
      <x:c r="Z1001" s="15" t="n">
        <x:f>'기준스탯 72종'!D47*H1001</x:f>
        <x:v>0.3600000000000001</x:v>
      </x:c>
      <x:c r="AA1001" s="15" t="n">
        <x:f>'기준스탯 72종'!E47*H1001</x:f>
        <x:v>0.4800000000000001</x:v>
      </x:c>
      <x:c r="AB1001" s="15" t="n">
        <x:f>'기준스탯 72종'!F47*H1001</x:f>
        <x:v>0.4800000000000001</x:v>
      </x:c>
      <x:c r="AC1001" s="15" t="n">
        <x:f>'기준스탯 72종'!G47*H1001</x:f>
        <x:v>0.4800000000000001</x:v>
      </x:c>
      <x:c r="AD1001" s="15" t="n">
        <x:f>'기준스탯 72종'!H47*H1001</x:f>
        <x:v>0.18000000000000005</x:v>
      </x:c>
      <x:c r="AE1001" s="15" t="n">
        <x:f>'기준스탯 72종'!I47*H1001</x:f>
        <x:v>0.24000000000000005</x:v>
      </x:c>
      <x:c r="AF1001" s="15" t="n">
        <x:f>'기준스탯 72종'!J47*H1001</x:f>
        <x:v>0.24000000000000005</x:v>
      </x:c>
      <x:c r="AG1001" s="15" t="n">
        <x:f>'기준스탯 72종'!K47*H1001</x:f>
        <x:v>0.30000000000000004</x:v>
      </x:c>
    </x:row>
    <x:row r="1002" ht="28" customHeight="1">
      <x:c r="A1002" s="2" t="n">
        <x:v>995</x:v>
      </x:c>
      <x:c r="B1002" s="2" t="n">
        <x:v>40</x:v>
      </x:c>
      <x:c r="C1002" s="2" t="str">
        <x:v>천칭자리</x:v>
      </x:c>
      <x:c r="D1002" s="2" t="str">
        <x:v>정령사</x:v>
      </x:c>
      <x:c r="E1002" s="2" t="n">
        <x:v>5</x:v>
      </x:c>
      <x:c r="F1002" s="2" t="n">
        <x:v>4</x:v>
      </x:c>
      <x:c r="G1002" s="14" t="n">
        <x:f>('레벨 계산식'!$E$4-E1002)*'레벨 계산식'!$B$5</x:f>
        <x:v>0</x:v>
      </x:c>
      <x:c r="H1002" s="14" t="n">
        <x:f>('등급 계산식'!$E$4-F1002)*'등급 계산식'!$B$5</x:f>
        <x:v>0.06000000000000001</x:v>
      </x:c>
      <x:c r="I1002" s="14" t="n">
        <x:f>1-G1002-H1002</x:f>
        <x:v>0.94</x:v>
      </x:c>
      <x:c r="J1002" s="2" t="n">
        <x:f>MAX(1,ROUND('기준스탯 72종'!D47-R1002-Z1002,0))</x:f>
        <x:v>6</x:v>
      </x:c>
      <x:c r="K1002" s="2" t="n">
        <x:f>MAX(1,ROUND('기준스탯 72종'!E47-S1002-AA1002,0))</x:f>
        <x:v>8</x:v>
      </x:c>
      <x:c r="L1002" s="2" t="n">
        <x:f>MAX(1,ROUND('기준스탯 72종'!F47-T1002-AB1002,0))</x:f>
        <x:v>8</x:v>
      </x:c>
      <x:c r="M1002" s="2" t="n">
        <x:f>MAX(1,ROUND('기준스탯 72종'!G47-U1002-AC1002,0))</x:f>
        <x:v>8</x:v>
      </x:c>
      <x:c r="N1002" s="2" t="n">
        <x:f>MAX(0,ROUND('기준스탯 72종'!H47-V1002-AD1002,0))</x:f>
        <x:v>3</x:v>
      </x:c>
      <x:c r="O1002" s="2" t="n">
        <x:f>MAX(0,ROUND('기준스탯 72종'!I47-W1002-AE1002,0))</x:f>
        <x:v>4</x:v>
      </x:c>
      <x:c r="P1002" s="2" t="n">
        <x:f>MAX(0,ROUND('기준스탯 72종'!J47-X1002-AF1002,0))</x:f>
        <x:v>4</x:v>
      </x:c>
      <x:c r="Q1002" s="2" t="n">
        <x:f>MAX(0,ROUND('기준스탯 72종'!K47-Y1002-AG1002,0))</x:f>
        <x:v>5</x:v>
      </x:c>
      <x:c r="R1002" s="15" t="n">
        <x:f>'기준스탯 72종'!D47*G1002</x:f>
        <x:v>0</x:v>
      </x:c>
      <x:c r="S1002" s="15" t="n">
        <x:f>'기준스탯 72종'!E47*G1002</x:f>
        <x:v>0</x:v>
      </x:c>
      <x:c r="T1002" s="15" t="n">
        <x:f>'기준스탯 72종'!F47*G1002</x:f>
        <x:v>0</x:v>
      </x:c>
      <x:c r="U1002" s="15" t="n">
        <x:f>'기준스탯 72종'!G47*G1002</x:f>
        <x:v>0</x:v>
      </x:c>
      <x:c r="V1002" s="15" t="n">
        <x:f>'기준스탯 72종'!H47*G1002</x:f>
        <x:v>0</x:v>
      </x:c>
      <x:c r="W1002" s="15" t="n">
        <x:f>'기준스탯 72종'!I47*G1002</x:f>
        <x:v>0</x:v>
      </x:c>
      <x:c r="X1002" s="15" t="n">
        <x:f>'기준스탯 72종'!J47*G1002</x:f>
        <x:v>0</x:v>
      </x:c>
      <x:c r="Y1002" s="15" t="n">
        <x:f>'기준스탯 72종'!K47*G1002</x:f>
        <x:v>0</x:v>
      </x:c>
      <x:c r="Z1002" s="15" t="n">
        <x:f>'기준스탯 72종'!D47*H1002</x:f>
        <x:v>0.3600000000000001</x:v>
      </x:c>
      <x:c r="AA1002" s="15" t="n">
        <x:f>'기준스탯 72종'!E47*H1002</x:f>
        <x:v>0.4800000000000001</x:v>
      </x:c>
      <x:c r="AB1002" s="15" t="n">
        <x:f>'기준스탯 72종'!F47*H1002</x:f>
        <x:v>0.4800000000000001</x:v>
      </x:c>
      <x:c r="AC1002" s="15" t="n">
        <x:f>'기준스탯 72종'!G47*H1002</x:f>
        <x:v>0.4800000000000001</x:v>
      </x:c>
      <x:c r="AD1002" s="15" t="n">
        <x:f>'기준스탯 72종'!H47*H1002</x:f>
        <x:v>0.18000000000000005</x:v>
      </x:c>
      <x:c r="AE1002" s="15" t="n">
        <x:f>'기준스탯 72종'!I47*H1002</x:f>
        <x:v>0.24000000000000005</x:v>
      </x:c>
      <x:c r="AF1002" s="15" t="n">
        <x:f>'기준스탯 72종'!J47*H1002</x:f>
        <x:v>0.24000000000000005</x:v>
      </x:c>
      <x:c r="AG1002" s="15" t="n">
        <x:f>'기준스탯 72종'!K47*H1002</x:f>
        <x:v>0.30000000000000004</x:v>
      </x:c>
    </x:row>
    <x:row r="1003" ht="28" customHeight="1">
      <x:c r="A1003" s="2" t="n">
        <x:v>996</x:v>
      </x:c>
      <x:c r="B1003" s="2" t="n">
        <x:v>40</x:v>
      </x:c>
      <x:c r="C1003" s="2" t="str">
        <x:v>천칭자리</x:v>
      </x:c>
      <x:c r="D1003" s="2" t="str">
        <x:v>정령사</x:v>
      </x:c>
      <x:c r="E1003" s="2" t="n">
        <x:v>1</x:v>
      </x:c>
      <x:c r="F1003" s="2" t="n">
        <x:v>5</x:v>
      </x:c>
      <x:c r="G1003" s="14" t="n">
        <x:f>('레벨 계산식'!$E$4-E1003)*'레벨 계산식'!$B$5</x:f>
        <x:v>0.5599999999999999</x:v>
      </x:c>
      <x:c r="H1003" s="14" t="n">
        <x:f>('등급 계산식'!$E$4-F1003)*'등급 계산식'!$B$5</x:f>
        <x:v>0</x:v>
      </x:c>
      <x:c r="I1003" s="14" t="n">
        <x:f>1-G1003-H1003</x:f>
        <x:v>0.44000000000000006</x:v>
      </x:c>
      <x:c r="J1003" s="2" t="n">
        <x:f>MAX(1,ROUND('기준스탯 72종'!D47-R1003-Z1003,0))</x:f>
        <x:v>3</x:v>
      </x:c>
      <x:c r="K1003" s="2" t="n">
        <x:f>MAX(1,ROUND('기준스탯 72종'!E47-S1003-AA1003,0))</x:f>
        <x:v>4</x:v>
      </x:c>
      <x:c r="L1003" s="2" t="n">
        <x:f>MAX(1,ROUND('기준스탯 72종'!F47-T1003-AB1003,0))</x:f>
        <x:v>4</x:v>
      </x:c>
      <x:c r="M1003" s="2" t="n">
        <x:f>MAX(1,ROUND('기준스탯 72종'!G47-U1003-AC1003,0))</x:f>
        <x:v>4</x:v>
      </x:c>
      <x:c r="N1003" s="2" t="n">
        <x:f>MAX(0,ROUND('기준스탯 72종'!H47-V1003-AD1003,0))</x:f>
        <x:v>1</x:v>
      </x:c>
      <x:c r="O1003" s="2" t="n">
        <x:f>MAX(0,ROUND('기준스탯 72종'!I47-W1003-AE1003,0))</x:f>
        <x:v>2</x:v>
      </x:c>
      <x:c r="P1003" s="2" t="n">
        <x:f>MAX(0,ROUND('기준스탯 72종'!J47-X1003-AF1003,0))</x:f>
        <x:v>2</x:v>
      </x:c>
      <x:c r="Q1003" s="2" t="n">
        <x:f>MAX(0,ROUND('기준스탯 72종'!K47-Y1003-AG1003,0))</x:f>
        <x:v>2</x:v>
      </x:c>
      <x:c r="R1003" s="15" t="n">
        <x:f>'기준스탯 72종'!D47*G1003</x:f>
        <x:v>3.3599999999999994</x:v>
      </x:c>
      <x:c r="S1003" s="15" t="n">
        <x:f>'기준스탯 72종'!E47*G1003</x:f>
        <x:v>4.4799999999999995</x:v>
      </x:c>
      <x:c r="T1003" s="15" t="n">
        <x:f>'기준스탯 72종'!F47*G1003</x:f>
        <x:v>4.4799999999999995</x:v>
      </x:c>
      <x:c r="U1003" s="15" t="n">
        <x:f>'기준스탯 72종'!G47*G1003</x:f>
        <x:v>4.4799999999999995</x:v>
      </x:c>
      <x:c r="V1003" s="15" t="n">
        <x:f>'기준스탯 72종'!H47*G1003</x:f>
        <x:v>1.6799999999999997</x:v>
      </x:c>
      <x:c r="W1003" s="15" t="n">
        <x:f>'기준스탯 72종'!I47*G1003</x:f>
        <x:v>2.2399999999999998</x:v>
      </x:c>
      <x:c r="X1003" s="15" t="n">
        <x:f>'기준스탯 72종'!J47*G1003</x:f>
        <x:v>2.2399999999999998</x:v>
      </x:c>
      <x:c r="Y1003" s="15" t="n">
        <x:f>'기준스탯 72종'!K47*G1003</x:f>
        <x:v>2.8</x:v>
      </x:c>
      <x:c r="Z1003" s="15" t="n">
        <x:f>'기준스탯 72종'!D47*H1003</x:f>
        <x:v>0</x:v>
      </x:c>
      <x:c r="AA1003" s="15" t="n">
        <x:f>'기준스탯 72종'!E47*H1003</x:f>
        <x:v>0</x:v>
      </x:c>
      <x:c r="AB1003" s="15" t="n">
        <x:f>'기준스탯 72종'!F47*H1003</x:f>
        <x:v>0</x:v>
      </x:c>
      <x:c r="AC1003" s="15" t="n">
        <x:f>'기준스탯 72종'!G47*H1003</x:f>
        <x:v>0</x:v>
      </x:c>
      <x:c r="AD1003" s="15" t="n">
        <x:f>'기준스탯 72종'!H47*H1003</x:f>
        <x:v>0</x:v>
      </x:c>
      <x:c r="AE1003" s="15" t="n">
        <x:f>'기준스탯 72종'!I47*H1003</x:f>
        <x:v>0</x:v>
      </x:c>
      <x:c r="AF1003" s="15" t="n">
        <x:f>'기준스탯 72종'!J47*H1003</x:f>
        <x:v>0</x:v>
      </x:c>
      <x:c r="AG1003" s="15" t="n">
        <x:f>'기준스탯 72종'!K47*H1003</x:f>
        <x:v>0</x:v>
      </x:c>
    </x:row>
    <x:row r="1004" ht="28" customHeight="1">
      <x:c r="A1004" s="2" t="n">
        <x:v>997</x:v>
      </x:c>
      <x:c r="B1004" s="2" t="n">
        <x:v>40</x:v>
      </x:c>
      <x:c r="C1004" s="2" t="str">
        <x:v>천칭자리</x:v>
      </x:c>
      <x:c r="D1004" s="2" t="str">
        <x:v>정령사</x:v>
      </x:c>
      <x:c r="E1004" s="2" t="n">
        <x:v>2</x:v>
      </x:c>
      <x:c r="F1004" s="2" t="n">
        <x:v>5</x:v>
      </x:c>
      <x:c r="G1004" s="14" t="n">
        <x:f>('레벨 계산식'!$E$4-E1004)*'레벨 계산식'!$B$5</x:f>
        <x:v>0.41999999999999993</x:v>
      </x:c>
      <x:c r="H1004" s="14" t="n">
        <x:f>('등급 계산식'!$E$4-F1004)*'등급 계산식'!$B$5</x:f>
        <x:v>0</x:v>
      </x:c>
      <x:c r="I1004" s="14" t="n">
        <x:f>1-G1004-H1004</x:f>
        <x:v>0.5800000000000001</x:v>
      </x:c>
      <x:c r="J1004" s="2" t="n">
        <x:f>MAX(1,ROUND('기준스탯 72종'!D47-R1004-Z1004,0))</x:f>
        <x:v>3</x:v>
      </x:c>
      <x:c r="K1004" s="2" t="n">
        <x:f>MAX(1,ROUND('기준스탯 72종'!E47-S1004-AA1004,0))</x:f>
        <x:v>5</x:v>
      </x:c>
      <x:c r="L1004" s="2" t="n">
        <x:f>MAX(1,ROUND('기준스탯 72종'!F47-T1004-AB1004,0))</x:f>
        <x:v>5</x:v>
      </x:c>
      <x:c r="M1004" s="2" t="n">
        <x:f>MAX(1,ROUND('기준스탯 72종'!G47-U1004-AC1004,0))</x:f>
        <x:v>5</x:v>
      </x:c>
      <x:c r="N1004" s="2" t="n">
        <x:f>MAX(0,ROUND('기준스탯 72종'!H47-V1004-AD1004,0))</x:f>
        <x:v>2</x:v>
      </x:c>
      <x:c r="O1004" s="2" t="n">
        <x:f>MAX(0,ROUND('기준스탯 72종'!I47-W1004-AE1004,0))</x:f>
        <x:v>2</x:v>
      </x:c>
      <x:c r="P1004" s="2" t="n">
        <x:f>MAX(0,ROUND('기준스탯 72종'!J47-X1004-AF1004,0))</x:f>
        <x:v>2</x:v>
      </x:c>
      <x:c r="Q1004" s="2" t="n">
        <x:f>MAX(0,ROUND('기준스탯 72종'!K47-Y1004-AG1004,0))</x:f>
        <x:v>3</x:v>
      </x:c>
      <x:c r="R1004" s="15" t="n">
        <x:f>'기준스탯 72종'!D47*G1004</x:f>
        <x:v>2.5199999999999996</x:v>
      </x:c>
      <x:c r="S1004" s="15" t="n">
        <x:f>'기준스탯 72종'!E47*G1004</x:f>
        <x:v>3.3599999999999994</x:v>
      </x:c>
      <x:c r="T1004" s="15" t="n">
        <x:f>'기준스탯 72종'!F47*G1004</x:f>
        <x:v>3.3599999999999994</x:v>
      </x:c>
      <x:c r="U1004" s="15" t="n">
        <x:f>'기준스탯 72종'!G47*G1004</x:f>
        <x:v>3.3599999999999994</x:v>
      </x:c>
      <x:c r="V1004" s="15" t="n">
        <x:f>'기준스탯 72종'!H47*G1004</x:f>
        <x:v>1.2599999999999998</x:v>
      </x:c>
      <x:c r="W1004" s="15" t="n">
        <x:f>'기준스탯 72종'!I47*G1004</x:f>
        <x:v>1.6799999999999997</x:v>
      </x:c>
      <x:c r="X1004" s="15" t="n">
        <x:f>'기준스탯 72종'!J47*G1004</x:f>
        <x:v>1.6799999999999997</x:v>
      </x:c>
      <x:c r="Y1004" s="15" t="n">
        <x:f>'기준스탯 72종'!K47*G1004</x:f>
        <x:v>2.0999999999999996</x:v>
      </x:c>
      <x:c r="Z1004" s="15" t="n">
        <x:f>'기준스탯 72종'!D47*H1004</x:f>
        <x:v>0</x:v>
      </x:c>
      <x:c r="AA1004" s="15" t="n">
        <x:f>'기준스탯 72종'!E47*H1004</x:f>
        <x:v>0</x:v>
      </x:c>
      <x:c r="AB1004" s="15" t="n">
        <x:f>'기준스탯 72종'!F47*H1004</x:f>
        <x:v>0</x:v>
      </x:c>
      <x:c r="AC1004" s="15" t="n">
        <x:f>'기준스탯 72종'!G47*H1004</x:f>
        <x:v>0</x:v>
      </x:c>
      <x:c r="AD1004" s="15" t="n">
        <x:f>'기준스탯 72종'!H47*H1004</x:f>
        <x:v>0</x:v>
      </x:c>
      <x:c r="AE1004" s="15" t="n">
        <x:f>'기준스탯 72종'!I47*H1004</x:f>
        <x:v>0</x:v>
      </x:c>
      <x:c r="AF1004" s="15" t="n">
        <x:f>'기준스탯 72종'!J47*H1004</x:f>
        <x:v>0</x:v>
      </x:c>
      <x:c r="AG1004" s="15" t="n">
        <x:f>'기준스탯 72종'!K47*H1004</x:f>
        <x:v>0</x:v>
      </x:c>
    </x:row>
    <x:row r="1005" ht="28" customHeight="1">
      <x:c r="A1005" s="2" t="n">
        <x:v>998</x:v>
      </x:c>
      <x:c r="B1005" s="2" t="n">
        <x:v>40</x:v>
      </x:c>
      <x:c r="C1005" s="2" t="str">
        <x:v>천칭자리</x:v>
      </x:c>
      <x:c r="D1005" s="2" t="str">
        <x:v>정령사</x:v>
      </x:c>
      <x:c r="E1005" s="2" t="n">
        <x:v>3</x:v>
      </x:c>
      <x:c r="F1005" s="2" t="n">
        <x:v>5</x:v>
      </x:c>
      <x:c r="G1005" s="14" t="n">
        <x:f>('레벨 계산식'!$E$4-E1005)*'레벨 계산식'!$B$5</x:f>
        <x:v>0.27999999999999997</x:v>
      </x:c>
      <x:c r="H1005" s="14" t="n">
        <x:f>('등급 계산식'!$E$4-F1005)*'등급 계산식'!$B$5</x:f>
        <x:v>0</x:v>
      </x:c>
      <x:c r="I1005" s="14" t="n">
        <x:f>1-G1005-H1005</x:f>
        <x:v>0.72</x:v>
      </x:c>
      <x:c r="J1005" s="2" t="n">
        <x:f>MAX(1,ROUND('기준스탯 72종'!D47-R1005-Z1005,0))</x:f>
        <x:v>4</x:v>
      </x:c>
      <x:c r="K1005" s="2" t="n">
        <x:f>MAX(1,ROUND('기준스탯 72종'!E47-S1005-AA1005,0))</x:f>
        <x:v>6</x:v>
      </x:c>
      <x:c r="L1005" s="2" t="n">
        <x:f>MAX(1,ROUND('기준스탯 72종'!F47-T1005-AB1005,0))</x:f>
        <x:v>6</x:v>
      </x:c>
      <x:c r="M1005" s="2" t="n">
        <x:f>MAX(1,ROUND('기준스탯 72종'!G47-U1005-AC1005,0))</x:f>
        <x:v>6</x:v>
      </x:c>
      <x:c r="N1005" s="2" t="n">
        <x:f>MAX(0,ROUND('기준스탯 72종'!H47-V1005-AD1005,0))</x:f>
        <x:v>2</x:v>
      </x:c>
      <x:c r="O1005" s="2" t="n">
        <x:f>MAX(0,ROUND('기준스탯 72종'!I47-W1005-AE1005,0))</x:f>
        <x:v>3</x:v>
      </x:c>
      <x:c r="P1005" s="2" t="n">
        <x:f>MAX(0,ROUND('기준스탯 72종'!J47-X1005-AF1005,0))</x:f>
        <x:v>3</x:v>
      </x:c>
      <x:c r="Q1005" s="2" t="n">
        <x:f>MAX(0,ROUND('기준스탯 72종'!K47-Y1005-AG1005,0))</x:f>
        <x:v>4</x:v>
      </x:c>
      <x:c r="R1005" s="15" t="n">
        <x:f>'기준스탯 72종'!D47*G1005</x:f>
        <x:v>1.6799999999999997</x:v>
      </x:c>
      <x:c r="S1005" s="15" t="n">
        <x:f>'기준스탯 72종'!E47*G1005</x:f>
        <x:v>2.2399999999999998</x:v>
      </x:c>
      <x:c r="T1005" s="15" t="n">
        <x:f>'기준스탯 72종'!F47*G1005</x:f>
        <x:v>2.2399999999999998</x:v>
      </x:c>
      <x:c r="U1005" s="15" t="n">
        <x:f>'기준스탯 72종'!G47*G1005</x:f>
        <x:v>2.2399999999999998</x:v>
      </x:c>
      <x:c r="V1005" s="15" t="n">
        <x:f>'기준스탯 72종'!H47*G1005</x:f>
        <x:v>0.8399999999999999</x:v>
      </x:c>
      <x:c r="W1005" s="15" t="n">
        <x:f>'기준스탯 72종'!I47*G1005</x:f>
        <x:v>1.1199999999999999</x:v>
      </x:c>
      <x:c r="X1005" s="15" t="n">
        <x:f>'기준스탯 72종'!J47*G1005</x:f>
        <x:v>1.1199999999999999</x:v>
      </x:c>
      <x:c r="Y1005" s="15" t="n">
        <x:f>'기준스탯 72종'!K47*G1005</x:f>
        <x:v>1.4</x:v>
      </x:c>
      <x:c r="Z1005" s="15" t="n">
        <x:f>'기준스탯 72종'!D47*H1005</x:f>
        <x:v>0</x:v>
      </x:c>
      <x:c r="AA1005" s="15" t="n">
        <x:f>'기준스탯 72종'!E47*H1005</x:f>
        <x:v>0</x:v>
      </x:c>
      <x:c r="AB1005" s="15" t="n">
        <x:f>'기준스탯 72종'!F47*H1005</x:f>
        <x:v>0</x:v>
      </x:c>
      <x:c r="AC1005" s="15" t="n">
        <x:f>'기준스탯 72종'!G47*H1005</x:f>
        <x:v>0</x:v>
      </x:c>
      <x:c r="AD1005" s="15" t="n">
        <x:f>'기준스탯 72종'!H47*H1005</x:f>
        <x:v>0</x:v>
      </x:c>
      <x:c r="AE1005" s="15" t="n">
        <x:f>'기준스탯 72종'!I47*H1005</x:f>
        <x:v>0</x:v>
      </x:c>
      <x:c r="AF1005" s="15" t="n">
        <x:f>'기준스탯 72종'!J47*H1005</x:f>
        <x:v>0</x:v>
      </x:c>
      <x:c r="AG1005" s="15" t="n">
        <x:f>'기준스탯 72종'!K47*H1005</x:f>
        <x:v>0</x:v>
      </x:c>
    </x:row>
    <x:row r="1006" ht="28" customHeight="1">
      <x:c r="A1006" s="2" t="n">
        <x:v>999</x:v>
      </x:c>
      <x:c r="B1006" s="2" t="n">
        <x:v>40</x:v>
      </x:c>
      <x:c r="C1006" s="2" t="str">
        <x:v>천칭자리</x:v>
      </x:c>
      <x:c r="D1006" s="2" t="str">
        <x:v>정령사</x:v>
      </x:c>
      <x:c r="E1006" s="2" t="n">
        <x:v>4</x:v>
      </x:c>
      <x:c r="F1006" s="2" t="n">
        <x:v>5</x:v>
      </x:c>
      <x:c r="G1006" s="14" t="n">
        <x:f>('레벨 계산식'!$E$4-E1006)*'레벨 계산식'!$B$5</x:f>
        <x:v>0.13999999999999999</x:v>
      </x:c>
      <x:c r="H1006" s="14" t="n">
        <x:f>('등급 계산식'!$E$4-F1006)*'등급 계산식'!$B$5</x:f>
        <x:v>0</x:v>
      </x:c>
      <x:c r="I1006" s="14" t="n">
        <x:f>1-G1006-H1006</x:f>
        <x:v>0.86</x:v>
      </x:c>
      <x:c r="J1006" s="2" t="n">
        <x:f>MAX(1,ROUND('기준스탯 72종'!D47-R1006-Z1006,0))</x:f>
        <x:v>5</x:v>
      </x:c>
      <x:c r="K1006" s="2" t="n">
        <x:f>MAX(1,ROUND('기준스탯 72종'!E47-S1006-AA1006,0))</x:f>
        <x:v>7</x:v>
      </x:c>
      <x:c r="L1006" s="2" t="n">
        <x:f>MAX(1,ROUND('기준스탯 72종'!F47-T1006-AB1006,0))</x:f>
        <x:v>7</x:v>
      </x:c>
      <x:c r="M1006" s="2" t="n">
        <x:f>MAX(1,ROUND('기준스탯 72종'!G47-U1006-AC1006,0))</x:f>
        <x:v>7</x:v>
      </x:c>
      <x:c r="N1006" s="2" t="n">
        <x:f>MAX(0,ROUND('기준스탯 72종'!H47-V1006-AD1006,0))</x:f>
        <x:v>3</x:v>
      </x:c>
      <x:c r="O1006" s="2" t="n">
        <x:f>MAX(0,ROUND('기준스탯 72종'!I47-W1006-AE1006,0))</x:f>
        <x:v>3</x:v>
      </x:c>
      <x:c r="P1006" s="2" t="n">
        <x:f>MAX(0,ROUND('기준스탯 72종'!J47-X1006-AF1006,0))</x:f>
        <x:v>3</x:v>
      </x:c>
      <x:c r="Q1006" s="2" t="n">
        <x:f>MAX(0,ROUND('기준스탯 72종'!K47-Y1006-AG1006,0))</x:f>
        <x:v>4</x:v>
      </x:c>
      <x:c r="R1006" s="15" t="n">
        <x:f>'기준스탯 72종'!D47*G1006</x:f>
        <x:v>0.8399999999999999</x:v>
      </x:c>
      <x:c r="S1006" s="15" t="n">
        <x:f>'기준스탯 72종'!E47*G1006</x:f>
        <x:v>1.1199999999999999</x:v>
      </x:c>
      <x:c r="T1006" s="15" t="n">
        <x:f>'기준스탯 72종'!F47*G1006</x:f>
        <x:v>1.1199999999999999</x:v>
      </x:c>
      <x:c r="U1006" s="15" t="n">
        <x:f>'기준스탯 72종'!G47*G1006</x:f>
        <x:v>1.1199999999999999</x:v>
      </x:c>
      <x:c r="V1006" s="15" t="n">
        <x:f>'기준스탯 72종'!H47*G1006</x:f>
        <x:v>0.41999999999999993</x:v>
      </x:c>
      <x:c r="W1006" s="15" t="n">
        <x:f>'기준스탯 72종'!I47*G1006</x:f>
        <x:v>0.5599999999999999</x:v>
      </x:c>
      <x:c r="X1006" s="15" t="n">
        <x:f>'기준스탯 72종'!J47*G1006</x:f>
        <x:v>0.5599999999999999</x:v>
      </x:c>
      <x:c r="Y1006" s="15" t="n">
        <x:f>'기준스탯 72종'!K47*G1006</x:f>
        <x:v>0.7</x:v>
      </x:c>
      <x:c r="Z1006" s="15" t="n">
        <x:f>'기준스탯 72종'!D47*H1006</x:f>
        <x:v>0</x:v>
      </x:c>
      <x:c r="AA1006" s="15" t="n">
        <x:f>'기준스탯 72종'!E47*H1006</x:f>
        <x:v>0</x:v>
      </x:c>
      <x:c r="AB1006" s="15" t="n">
        <x:f>'기준스탯 72종'!F47*H1006</x:f>
        <x:v>0</x:v>
      </x:c>
      <x:c r="AC1006" s="15" t="n">
        <x:f>'기준스탯 72종'!G47*H1006</x:f>
        <x:v>0</x:v>
      </x:c>
      <x:c r="AD1006" s="15" t="n">
        <x:f>'기준스탯 72종'!H47*H1006</x:f>
        <x:v>0</x:v>
      </x:c>
      <x:c r="AE1006" s="15" t="n">
        <x:f>'기준스탯 72종'!I47*H1006</x:f>
        <x:v>0</x:v>
      </x:c>
      <x:c r="AF1006" s="15" t="n">
        <x:f>'기준스탯 72종'!J47*H1006</x:f>
        <x:v>0</x:v>
      </x:c>
      <x:c r="AG1006" s="15" t="n">
        <x:f>'기준스탯 72종'!K47*H1006</x:f>
        <x:v>0</x:v>
      </x:c>
    </x:row>
    <x:row r="1007" ht="28" customHeight="1">
      <x:c r="A1007" s="2" t="n">
        <x:v>1000</x:v>
      </x:c>
      <x:c r="B1007" s="2" t="n">
        <x:v>40</x:v>
      </x:c>
      <x:c r="C1007" s="2" t="str">
        <x:v>천칭자리</x:v>
      </x:c>
      <x:c r="D1007" s="2" t="str">
        <x:v>정령사</x:v>
      </x:c>
      <x:c r="E1007" s="2" t="n">
        <x:v>5</x:v>
      </x:c>
      <x:c r="F1007" s="2" t="n">
        <x:v>5</x:v>
      </x:c>
      <x:c r="G1007" s="14" t="n">
        <x:f>('레벨 계산식'!$E$4-E1007)*'레벨 계산식'!$B$5</x:f>
        <x:v>0</x:v>
      </x:c>
      <x:c r="H1007" s="14" t="n">
        <x:f>('등급 계산식'!$E$4-F1007)*'등급 계산식'!$B$5</x:f>
        <x:v>0</x:v>
      </x:c>
      <x:c r="I1007" s="14" t="n">
        <x:f>1-G1007-H1007</x:f>
        <x:v>1</x:v>
      </x:c>
      <x:c r="J1007" s="2" t="n">
        <x:f>MAX(1,ROUND('기준스탯 72종'!D47-R1007-Z1007,0))</x:f>
        <x:v>6</x:v>
      </x:c>
      <x:c r="K1007" s="2" t="n">
        <x:f>MAX(1,ROUND('기준스탯 72종'!E47-S1007-AA1007,0))</x:f>
        <x:v>8</x:v>
      </x:c>
      <x:c r="L1007" s="2" t="n">
        <x:f>MAX(1,ROUND('기준스탯 72종'!F47-T1007-AB1007,0))</x:f>
        <x:v>8</x:v>
      </x:c>
      <x:c r="M1007" s="2" t="n">
        <x:f>MAX(1,ROUND('기준스탯 72종'!G47-U1007-AC1007,0))</x:f>
        <x:v>8</x:v>
      </x:c>
      <x:c r="N1007" s="2" t="n">
        <x:f>MAX(0,ROUND('기준스탯 72종'!H47-V1007-AD1007,0))</x:f>
        <x:v>3</x:v>
      </x:c>
      <x:c r="O1007" s="2" t="n">
        <x:f>MAX(0,ROUND('기준스탯 72종'!I47-W1007-AE1007,0))</x:f>
        <x:v>4</x:v>
      </x:c>
      <x:c r="P1007" s="2" t="n">
        <x:f>MAX(0,ROUND('기준스탯 72종'!J47-X1007-AF1007,0))</x:f>
        <x:v>4</x:v>
      </x:c>
      <x:c r="Q1007" s="2" t="n">
        <x:f>MAX(0,ROUND('기준스탯 72종'!K47-Y1007-AG1007,0))</x:f>
        <x:v>5</x:v>
      </x:c>
      <x:c r="R1007" s="15" t="n">
        <x:f>'기준스탯 72종'!D47*G1007</x:f>
        <x:v>0</x:v>
      </x:c>
      <x:c r="S1007" s="15" t="n">
        <x:f>'기준스탯 72종'!E47*G1007</x:f>
        <x:v>0</x:v>
      </x:c>
      <x:c r="T1007" s="15" t="n">
        <x:f>'기준스탯 72종'!F47*G1007</x:f>
        <x:v>0</x:v>
      </x:c>
      <x:c r="U1007" s="15" t="n">
        <x:f>'기준스탯 72종'!G47*G1007</x:f>
        <x:v>0</x:v>
      </x:c>
      <x:c r="V1007" s="15" t="n">
        <x:f>'기준스탯 72종'!H47*G1007</x:f>
        <x:v>0</x:v>
      </x:c>
      <x:c r="W1007" s="15" t="n">
        <x:f>'기준스탯 72종'!I47*G1007</x:f>
        <x:v>0</x:v>
      </x:c>
      <x:c r="X1007" s="15" t="n">
        <x:f>'기준스탯 72종'!J47*G1007</x:f>
        <x:v>0</x:v>
      </x:c>
      <x:c r="Y1007" s="15" t="n">
        <x:f>'기준스탯 72종'!K47*G1007</x:f>
        <x:v>0</x:v>
      </x:c>
      <x:c r="Z1007" s="15" t="n">
        <x:f>'기준스탯 72종'!D47*H1007</x:f>
        <x:v>0</x:v>
      </x:c>
      <x:c r="AA1007" s="15" t="n">
        <x:f>'기준스탯 72종'!E47*H1007</x:f>
        <x:v>0</x:v>
      </x:c>
      <x:c r="AB1007" s="15" t="n">
        <x:f>'기준스탯 72종'!F47*H1007</x:f>
        <x:v>0</x:v>
      </x:c>
      <x:c r="AC1007" s="15" t="n">
        <x:f>'기준스탯 72종'!G47*H1007</x:f>
        <x:v>0</x:v>
      </x:c>
      <x:c r="AD1007" s="15" t="n">
        <x:f>'기준스탯 72종'!H47*H1007</x:f>
        <x:v>0</x:v>
      </x:c>
      <x:c r="AE1007" s="15" t="n">
        <x:f>'기준스탯 72종'!I47*H1007</x:f>
        <x:v>0</x:v>
      </x:c>
      <x:c r="AF1007" s="15" t="n">
        <x:f>'기준스탯 72종'!J47*H1007</x:f>
        <x:v>0</x:v>
      </x:c>
      <x:c r="AG1007" s="15" t="n">
        <x:f>'기준스탯 72종'!K47*H1007</x:f>
        <x:v>0</x:v>
      </x:c>
    </x:row>
    <x:row r="1008" ht="28" customHeight="1">
      <x:c r="A1008" s="2" t="n">
        <x:v>1001</x:v>
      </x:c>
      <x:c r="B1008" s="2" t="n">
        <x:v>41</x:v>
      </x:c>
      <x:c r="C1008" s="2" t="str">
        <x:v>천칭자리</x:v>
      </x:c>
      <x:c r="D1008" s="2" t="str">
        <x:v>도적</x:v>
      </x:c>
      <x:c r="E1008" s="2" t="n">
        <x:v>1</x:v>
      </x:c>
      <x:c r="F1008" s="2" t="n">
        <x:v>1</x:v>
      </x:c>
      <x:c r="G1008" s="14" t="n">
        <x:f>('레벨 계산식'!$E$4-E1008)*'레벨 계산식'!$B$5</x:f>
        <x:v>0.5599999999999999</x:v>
      </x:c>
      <x:c r="H1008" s="14" t="n">
        <x:f>('등급 계산식'!$E$4-F1008)*'등급 계산식'!$B$5</x:f>
        <x:v>0.24000000000000005</x:v>
      </x:c>
      <x:c r="I1008" s="14" t="n">
        <x:f>1-G1008-H1008</x:f>
        <x:v>0.2</x:v>
      </x:c>
      <x:c r="J1008" s="2" t="n">
        <x:f>MAX(1,ROUND('기준스탯 72종'!D48-R1008-Z1008,0))</x:f>
        <x:v>2</x:v>
      </x:c>
      <x:c r="K1008" s="2" t="n">
        <x:f>MAX(1,ROUND('기준스탯 72종'!E48-S1008-AA1008,0))</x:f>
        <x:v>1</x:v>
      </x:c>
      <x:c r="L1008" s="2" t="n">
        <x:f>MAX(1,ROUND('기준스탯 72종'!F48-T1008-AB1008,0))</x:f>
        <x:v>1</x:v>
      </x:c>
      <x:c r="M1008" s="2" t="n">
        <x:f>MAX(1,ROUND('기준스탯 72종'!G48-U1008-AC1008,0))</x:f>
        <x:v>2</x:v>
      </x:c>
      <x:c r="N1008" s="2" t="n">
        <x:f>MAX(0,ROUND('기준스탯 72종'!H48-V1008-AD1008,0))</x:f>
        <x:v>1</x:v>
      </x:c>
      <x:c r="O1008" s="2" t="n">
        <x:f>MAX(0,ROUND('기준스탯 72종'!I48-W1008-AE1008,0))</x:f>
        <x:v>1</x:v>
      </x:c>
      <x:c r="P1008" s="2" t="n">
        <x:f>MAX(0,ROUND('기준스탯 72종'!J48-X1008-AF1008,0))</x:f>
        <x:v>0</x:v>
      </x:c>
      <x:c r="Q1008" s="2" t="n">
        <x:f>MAX(0,ROUND('기준스탯 72종'!K48-Y1008-AG1008,0))</x:f>
        <x:v>1</x:v>
      </x:c>
      <x:c r="R1008" s="15" t="n">
        <x:f>'기준스탯 72종'!D48*G1008</x:f>
        <x:v>5.039999999999999</x:v>
      </x:c>
      <x:c r="S1008" s="15" t="n">
        <x:f>'기준스탯 72종'!E48*G1008</x:f>
        <x:v>3.3599999999999994</x:v>
      </x:c>
      <x:c r="T1008" s="15" t="n">
        <x:f>'기준스탯 72종'!F48*G1008</x:f>
        <x:v>3.3599999999999994</x:v>
      </x:c>
      <x:c r="U1008" s="15" t="n">
        <x:f>'기준스탯 72종'!G48*G1008</x:f>
        <x:v>5.039999999999999</x:v>
      </x:c>
      <x:c r="V1008" s="15" t="n">
        <x:f>'기준스탯 72종'!H48*G1008</x:f>
        <x:v>2.8</x:v>
      </x:c>
      <x:c r="W1008" s="15" t="n">
        <x:f>'기준스탯 72종'!I48*G1008</x:f>
        <x:v>3.3599999999999994</x:v>
      </x:c>
      <x:c r="X1008" s="15" t="n">
        <x:f>'기준스탯 72종'!J48*G1008</x:f>
        <x:v>1.1199999999999999</x:v>
      </x:c>
      <x:c r="Y1008" s="15" t="n">
        <x:f>'기준스탯 72종'!K48*G1008</x:f>
        <x:v>1.6799999999999997</x:v>
      </x:c>
      <x:c r="Z1008" s="15" t="n">
        <x:f>'기준스탯 72종'!D48*H1008</x:f>
        <x:v>2.1600000000000006</x:v>
      </x:c>
      <x:c r="AA1008" s="15" t="n">
        <x:f>'기준스탯 72종'!E48*H1008</x:f>
        <x:v>1.4400000000000004</x:v>
      </x:c>
      <x:c r="AB1008" s="15" t="n">
        <x:f>'기준스탯 72종'!F48*H1008</x:f>
        <x:v>1.4400000000000004</x:v>
      </x:c>
      <x:c r="AC1008" s="15" t="n">
        <x:f>'기준스탯 72종'!G48*H1008</x:f>
        <x:v>2.1600000000000006</x:v>
      </x:c>
      <x:c r="AD1008" s="15" t="n">
        <x:f>'기준스탯 72종'!H48*H1008</x:f>
        <x:v>1.2000000000000002</x:v>
      </x:c>
      <x:c r="AE1008" s="15" t="n">
        <x:f>'기준스탯 72종'!I48*H1008</x:f>
        <x:v>1.4400000000000004</x:v>
      </x:c>
      <x:c r="AF1008" s="15" t="n">
        <x:f>'기준스탯 72종'!J48*H1008</x:f>
        <x:v>0.4800000000000001</x:v>
      </x:c>
      <x:c r="AG1008" s="15" t="n">
        <x:f>'기준스탯 72종'!K48*H1008</x:f>
        <x:v>0.7200000000000002</x:v>
      </x:c>
    </x:row>
    <x:row r="1009" ht="28" customHeight="1">
      <x:c r="A1009" s="2" t="n">
        <x:v>1002</x:v>
      </x:c>
      <x:c r="B1009" s="2" t="n">
        <x:v>41</x:v>
      </x:c>
      <x:c r="C1009" s="2" t="str">
        <x:v>천칭자리</x:v>
      </x:c>
      <x:c r="D1009" s="2" t="str">
        <x:v>도적</x:v>
      </x:c>
      <x:c r="E1009" s="2" t="n">
        <x:v>2</x:v>
      </x:c>
      <x:c r="F1009" s="2" t="n">
        <x:v>1</x:v>
      </x:c>
      <x:c r="G1009" s="14" t="n">
        <x:f>('레벨 계산식'!$E$4-E1009)*'레벨 계산식'!$B$5</x:f>
        <x:v>0.41999999999999993</x:v>
      </x:c>
      <x:c r="H1009" s="14" t="n">
        <x:f>('등급 계산식'!$E$4-F1009)*'등급 계산식'!$B$5</x:f>
        <x:v>0.24000000000000005</x:v>
      </x:c>
      <x:c r="I1009" s="14" t="n">
        <x:f>1-G1009-H1009</x:f>
        <x:v>0.34</x:v>
      </x:c>
      <x:c r="J1009" s="2" t="n">
        <x:f>MAX(1,ROUND('기준스탯 72종'!D48-R1009-Z1009,0))</x:f>
        <x:v>3</x:v>
      </x:c>
      <x:c r="K1009" s="2" t="n">
        <x:f>MAX(1,ROUND('기준스탯 72종'!E48-S1009-AA1009,0))</x:f>
        <x:v>2</x:v>
      </x:c>
      <x:c r="L1009" s="2" t="n">
        <x:f>MAX(1,ROUND('기준스탯 72종'!F48-T1009-AB1009,0))</x:f>
        <x:v>2</x:v>
      </x:c>
      <x:c r="M1009" s="2" t="n">
        <x:f>MAX(1,ROUND('기준스탯 72종'!G48-U1009-AC1009,0))</x:f>
        <x:v>3</x:v>
      </x:c>
      <x:c r="N1009" s="2" t="n">
        <x:f>MAX(0,ROUND('기준스탯 72종'!H48-V1009-AD1009,0))</x:f>
        <x:v>2</x:v>
      </x:c>
      <x:c r="O1009" s="2" t="n">
        <x:f>MAX(0,ROUND('기준스탯 72종'!I48-W1009-AE1009,0))</x:f>
        <x:v>2</x:v>
      </x:c>
      <x:c r="P1009" s="2" t="n">
        <x:f>MAX(0,ROUND('기준스탯 72종'!J48-X1009-AF1009,0))</x:f>
        <x:v>1</x:v>
      </x:c>
      <x:c r="Q1009" s="2" t="n">
        <x:f>MAX(0,ROUND('기준스탯 72종'!K48-Y1009-AG1009,0))</x:f>
        <x:v>1</x:v>
      </x:c>
      <x:c r="R1009" s="15" t="n">
        <x:f>'기준스탯 72종'!D48*G1009</x:f>
        <x:v>3.7799999999999994</x:v>
      </x:c>
      <x:c r="S1009" s="15" t="n">
        <x:f>'기준스탯 72종'!E48*G1009</x:f>
        <x:v>2.5199999999999996</x:v>
      </x:c>
      <x:c r="T1009" s="15" t="n">
        <x:f>'기준스탯 72종'!F48*G1009</x:f>
        <x:v>2.5199999999999996</x:v>
      </x:c>
      <x:c r="U1009" s="15" t="n">
        <x:f>'기준스탯 72종'!G48*G1009</x:f>
        <x:v>3.7799999999999994</x:v>
      </x:c>
      <x:c r="V1009" s="15" t="n">
        <x:f>'기준스탯 72종'!H48*G1009</x:f>
        <x:v>2.0999999999999996</x:v>
      </x:c>
      <x:c r="W1009" s="15" t="n">
        <x:f>'기준스탯 72종'!I48*G1009</x:f>
        <x:v>2.5199999999999996</x:v>
      </x:c>
      <x:c r="X1009" s="15" t="n">
        <x:f>'기준스탯 72종'!J48*G1009</x:f>
        <x:v>0.8399999999999999</x:v>
      </x:c>
      <x:c r="Y1009" s="15" t="n">
        <x:f>'기준스탯 72종'!K48*G1009</x:f>
        <x:v>1.2599999999999998</x:v>
      </x:c>
      <x:c r="Z1009" s="15" t="n">
        <x:f>'기준스탯 72종'!D48*H1009</x:f>
        <x:v>2.1600000000000006</x:v>
      </x:c>
      <x:c r="AA1009" s="15" t="n">
        <x:f>'기준스탯 72종'!E48*H1009</x:f>
        <x:v>1.4400000000000004</x:v>
      </x:c>
      <x:c r="AB1009" s="15" t="n">
        <x:f>'기준스탯 72종'!F48*H1009</x:f>
        <x:v>1.4400000000000004</x:v>
      </x:c>
      <x:c r="AC1009" s="15" t="n">
        <x:f>'기준스탯 72종'!G48*H1009</x:f>
        <x:v>2.1600000000000006</x:v>
      </x:c>
      <x:c r="AD1009" s="15" t="n">
        <x:f>'기준스탯 72종'!H48*H1009</x:f>
        <x:v>1.2000000000000002</x:v>
      </x:c>
      <x:c r="AE1009" s="15" t="n">
        <x:f>'기준스탯 72종'!I48*H1009</x:f>
        <x:v>1.4400000000000004</x:v>
      </x:c>
      <x:c r="AF1009" s="15" t="n">
        <x:f>'기준스탯 72종'!J48*H1009</x:f>
        <x:v>0.4800000000000001</x:v>
      </x:c>
      <x:c r="AG1009" s="15" t="n">
        <x:f>'기준스탯 72종'!K48*H1009</x:f>
        <x:v>0.7200000000000002</x:v>
      </x:c>
    </x:row>
    <x:row r="1010" ht="28" customHeight="1">
      <x:c r="A1010" s="2" t="n">
        <x:v>1003</x:v>
      </x:c>
      <x:c r="B1010" s="2" t="n">
        <x:v>41</x:v>
      </x:c>
      <x:c r="C1010" s="2" t="str">
        <x:v>천칭자리</x:v>
      </x:c>
      <x:c r="D1010" s="2" t="str">
        <x:v>도적</x:v>
      </x:c>
      <x:c r="E1010" s="2" t="n">
        <x:v>3</x:v>
      </x:c>
      <x:c r="F1010" s="2" t="n">
        <x:v>1</x:v>
      </x:c>
      <x:c r="G1010" s="14" t="n">
        <x:f>('레벨 계산식'!$E$4-E1010)*'레벨 계산식'!$B$5</x:f>
        <x:v>0.27999999999999997</x:v>
      </x:c>
      <x:c r="H1010" s="14" t="n">
        <x:f>('등급 계산식'!$E$4-F1010)*'등급 계산식'!$B$5</x:f>
        <x:v>0.24000000000000005</x:v>
      </x:c>
      <x:c r="I1010" s="14" t="n">
        <x:f>1-G1010-H1010</x:f>
        <x:v>0.4799999999999999</x:v>
      </x:c>
      <x:c r="J1010" s="2" t="n">
        <x:f>MAX(1,ROUND('기준스탯 72종'!D48-R1010-Z1010,0))</x:f>
        <x:v>4</x:v>
      </x:c>
      <x:c r="K1010" s="2" t="n">
        <x:f>MAX(1,ROUND('기준스탯 72종'!E48-S1010-AA1010,0))</x:f>
        <x:v>3</x:v>
      </x:c>
      <x:c r="L1010" s="2" t="n">
        <x:f>MAX(1,ROUND('기준스탯 72종'!F48-T1010-AB1010,0))</x:f>
        <x:v>3</x:v>
      </x:c>
      <x:c r="M1010" s="2" t="n">
        <x:f>MAX(1,ROUND('기준스탯 72종'!G48-U1010-AC1010,0))</x:f>
        <x:v>4</x:v>
      </x:c>
      <x:c r="N1010" s="2" t="n">
        <x:f>MAX(0,ROUND('기준스탯 72종'!H48-V1010-AD1010,0))</x:f>
        <x:v>2</x:v>
      </x:c>
      <x:c r="O1010" s="2" t="n">
        <x:f>MAX(0,ROUND('기준스탯 72종'!I48-W1010-AE1010,0))</x:f>
        <x:v>3</x:v>
      </x:c>
      <x:c r="P1010" s="2" t="n">
        <x:f>MAX(0,ROUND('기준스탯 72종'!J48-X1010-AF1010,0))</x:f>
        <x:v>1</x:v>
      </x:c>
      <x:c r="Q1010" s="2" t="n">
        <x:f>MAX(0,ROUND('기준스탯 72종'!K48-Y1010-AG1010,0))</x:f>
        <x:v>1</x:v>
      </x:c>
      <x:c r="R1010" s="15" t="n">
        <x:f>'기준스탯 72종'!D48*G1010</x:f>
        <x:v>2.5199999999999996</x:v>
      </x:c>
      <x:c r="S1010" s="15" t="n">
        <x:f>'기준스탯 72종'!E48*G1010</x:f>
        <x:v>1.6799999999999997</x:v>
      </x:c>
      <x:c r="T1010" s="15" t="n">
        <x:f>'기준스탯 72종'!F48*G1010</x:f>
        <x:v>1.6799999999999997</x:v>
      </x:c>
      <x:c r="U1010" s="15" t="n">
        <x:f>'기준스탯 72종'!G48*G1010</x:f>
        <x:v>2.5199999999999996</x:v>
      </x:c>
      <x:c r="V1010" s="15" t="n">
        <x:f>'기준스탯 72종'!H48*G1010</x:f>
        <x:v>1.4</x:v>
      </x:c>
      <x:c r="W1010" s="15" t="n">
        <x:f>'기준스탯 72종'!I48*G1010</x:f>
        <x:v>1.6799999999999997</x:v>
      </x:c>
      <x:c r="X1010" s="15" t="n">
        <x:f>'기준스탯 72종'!J48*G1010</x:f>
        <x:v>0.5599999999999999</x:v>
      </x:c>
      <x:c r="Y1010" s="15" t="n">
        <x:f>'기준스탯 72종'!K48*G1010</x:f>
        <x:v>0.8399999999999999</x:v>
      </x:c>
      <x:c r="Z1010" s="15" t="n">
        <x:f>'기준스탯 72종'!D48*H1010</x:f>
        <x:v>2.1600000000000006</x:v>
      </x:c>
      <x:c r="AA1010" s="15" t="n">
        <x:f>'기준스탯 72종'!E48*H1010</x:f>
        <x:v>1.4400000000000004</x:v>
      </x:c>
      <x:c r="AB1010" s="15" t="n">
        <x:f>'기준스탯 72종'!F48*H1010</x:f>
        <x:v>1.4400000000000004</x:v>
      </x:c>
      <x:c r="AC1010" s="15" t="n">
        <x:f>'기준스탯 72종'!G48*H1010</x:f>
        <x:v>2.1600000000000006</x:v>
      </x:c>
      <x:c r="AD1010" s="15" t="n">
        <x:f>'기준스탯 72종'!H48*H1010</x:f>
        <x:v>1.2000000000000002</x:v>
      </x:c>
      <x:c r="AE1010" s="15" t="n">
        <x:f>'기준스탯 72종'!I48*H1010</x:f>
        <x:v>1.4400000000000004</x:v>
      </x:c>
      <x:c r="AF1010" s="15" t="n">
        <x:f>'기준스탯 72종'!J48*H1010</x:f>
        <x:v>0.4800000000000001</x:v>
      </x:c>
      <x:c r="AG1010" s="15" t="n">
        <x:f>'기준스탯 72종'!K48*H1010</x:f>
        <x:v>0.7200000000000002</x:v>
      </x:c>
    </x:row>
    <x:row r="1011" ht="28" customHeight="1">
      <x:c r="A1011" s="2" t="n">
        <x:v>1004</x:v>
      </x:c>
      <x:c r="B1011" s="2" t="n">
        <x:v>41</x:v>
      </x:c>
      <x:c r="C1011" s="2" t="str">
        <x:v>천칭자리</x:v>
      </x:c>
      <x:c r="D1011" s="2" t="str">
        <x:v>도적</x:v>
      </x:c>
      <x:c r="E1011" s="2" t="n">
        <x:v>4</x:v>
      </x:c>
      <x:c r="F1011" s="2" t="n">
        <x:v>1</x:v>
      </x:c>
      <x:c r="G1011" s="14" t="n">
        <x:f>('레벨 계산식'!$E$4-E1011)*'레벨 계산식'!$B$5</x:f>
        <x:v>0.13999999999999999</x:v>
      </x:c>
      <x:c r="H1011" s="14" t="n">
        <x:f>('등급 계산식'!$E$4-F1011)*'등급 계산식'!$B$5</x:f>
        <x:v>0.24000000000000005</x:v>
      </x:c>
      <x:c r="I1011" s="14" t="n">
        <x:f>1-G1011-H1011</x:f>
        <x:v>0.6199999999999999</x:v>
      </x:c>
      <x:c r="J1011" s="2" t="n">
        <x:f>MAX(1,ROUND('기준스탯 72종'!D48-R1011-Z1011,0))</x:f>
        <x:v>6</x:v>
      </x:c>
      <x:c r="K1011" s="2" t="n">
        <x:f>MAX(1,ROUND('기준스탯 72종'!E48-S1011-AA1011,0))</x:f>
        <x:v>4</x:v>
      </x:c>
      <x:c r="L1011" s="2" t="n">
        <x:f>MAX(1,ROUND('기준스탯 72종'!F48-T1011-AB1011,0))</x:f>
        <x:v>4</x:v>
      </x:c>
      <x:c r="M1011" s="2" t="n">
        <x:f>MAX(1,ROUND('기준스탯 72종'!G48-U1011-AC1011,0))</x:f>
        <x:v>6</x:v>
      </x:c>
      <x:c r="N1011" s="2" t="n">
        <x:f>MAX(0,ROUND('기준스탯 72종'!H48-V1011-AD1011,0))</x:f>
        <x:v>3</x:v>
      </x:c>
      <x:c r="O1011" s="2" t="n">
        <x:f>MAX(0,ROUND('기준스탯 72종'!I48-W1011-AE1011,0))</x:f>
        <x:v>4</x:v>
      </x:c>
      <x:c r="P1011" s="2" t="n">
        <x:f>MAX(0,ROUND('기준스탯 72종'!J48-X1011-AF1011,0))</x:f>
        <x:v>1</x:v>
      </x:c>
      <x:c r="Q1011" s="2" t="n">
        <x:f>MAX(0,ROUND('기준스탯 72종'!K48-Y1011-AG1011,0))</x:f>
        <x:v>2</x:v>
      </x:c>
      <x:c r="R1011" s="15" t="n">
        <x:f>'기준스탯 72종'!D48*G1011</x:f>
        <x:v>1.2599999999999998</x:v>
      </x:c>
      <x:c r="S1011" s="15" t="n">
        <x:f>'기준스탯 72종'!E48*G1011</x:f>
        <x:v>0.8399999999999999</x:v>
      </x:c>
      <x:c r="T1011" s="15" t="n">
        <x:f>'기준스탯 72종'!F48*G1011</x:f>
        <x:v>0.8399999999999999</x:v>
      </x:c>
      <x:c r="U1011" s="15" t="n">
        <x:f>'기준스탯 72종'!G48*G1011</x:f>
        <x:v>1.2599999999999998</x:v>
      </x:c>
      <x:c r="V1011" s="15" t="n">
        <x:f>'기준스탯 72종'!H48*G1011</x:f>
        <x:v>0.7</x:v>
      </x:c>
      <x:c r="W1011" s="15" t="n">
        <x:f>'기준스탯 72종'!I48*G1011</x:f>
        <x:v>0.8399999999999999</x:v>
      </x:c>
      <x:c r="X1011" s="15" t="n">
        <x:f>'기준스탯 72종'!J48*G1011</x:f>
        <x:v>0.27999999999999997</x:v>
      </x:c>
      <x:c r="Y1011" s="15" t="n">
        <x:f>'기준스탯 72종'!K48*G1011</x:f>
        <x:v>0.41999999999999993</x:v>
      </x:c>
      <x:c r="Z1011" s="15" t="n">
        <x:f>'기준스탯 72종'!D48*H1011</x:f>
        <x:v>2.1600000000000006</x:v>
      </x:c>
      <x:c r="AA1011" s="15" t="n">
        <x:f>'기준스탯 72종'!E48*H1011</x:f>
        <x:v>1.4400000000000004</x:v>
      </x:c>
      <x:c r="AB1011" s="15" t="n">
        <x:f>'기준스탯 72종'!F48*H1011</x:f>
        <x:v>1.4400000000000004</x:v>
      </x:c>
      <x:c r="AC1011" s="15" t="n">
        <x:f>'기준스탯 72종'!G48*H1011</x:f>
        <x:v>2.1600000000000006</x:v>
      </x:c>
      <x:c r="AD1011" s="15" t="n">
        <x:f>'기준스탯 72종'!H48*H1011</x:f>
        <x:v>1.2000000000000002</x:v>
      </x:c>
      <x:c r="AE1011" s="15" t="n">
        <x:f>'기준스탯 72종'!I48*H1011</x:f>
        <x:v>1.4400000000000004</x:v>
      </x:c>
      <x:c r="AF1011" s="15" t="n">
        <x:f>'기준스탯 72종'!J48*H1011</x:f>
        <x:v>0.4800000000000001</x:v>
      </x:c>
      <x:c r="AG1011" s="15" t="n">
        <x:f>'기준스탯 72종'!K48*H1011</x:f>
        <x:v>0.7200000000000002</x:v>
      </x:c>
    </x:row>
    <x:row r="1012" ht="28" customHeight="1">
      <x:c r="A1012" s="2" t="n">
        <x:v>1005</x:v>
      </x:c>
      <x:c r="B1012" s="2" t="n">
        <x:v>41</x:v>
      </x:c>
      <x:c r="C1012" s="2" t="str">
        <x:v>천칭자리</x:v>
      </x:c>
      <x:c r="D1012" s="2" t="str">
        <x:v>도적</x:v>
      </x:c>
      <x:c r="E1012" s="2" t="n">
        <x:v>5</x:v>
      </x:c>
      <x:c r="F1012" s="2" t="n">
        <x:v>1</x:v>
      </x:c>
      <x:c r="G1012" s="14" t="n">
        <x:f>('레벨 계산식'!$E$4-E1012)*'레벨 계산식'!$B$5</x:f>
        <x:v>0</x:v>
      </x:c>
      <x:c r="H1012" s="14" t="n">
        <x:f>('등급 계산식'!$E$4-F1012)*'등급 계산식'!$B$5</x:f>
        <x:v>0.24000000000000005</x:v>
      </x:c>
      <x:c r="I1012" s="14" t="n">
        <x:f>1-G1012-H1012</x:f>
        <x:v>0.76</x:v>
      </x:c>
      <x:c r="J1012" s="2" t="n">
        <x:f>MAX(1,ROUND('기준스탯 72종'!D48-R1012-Z1012,0))</x:f>
        <x:v>7</x:v>
      </x:c>
      <x:c r="K1012" s="2" t="n">
        <x:f>MAX(1,ROUND('기준스탯 72종'!E48-S1012-AA1012,0))</x:f>
        <x:v>5</x:v>
      </x:c>
      <x:c r="L1012" s="2" t="n">
        <x:f>MAX(1,ROUND('기준스탯 72종'!F48-T1012-AB1012,0))</x:f>
        <x:v>5</x:v>
      </x:c>
      <x:c r="M1012" s="2" t="n">
        <x:f>MAX(1,ROUND('기준스탯 72종'!G48-U1012-AC1012,0))</x:f>
        <x:v>7</x:v>
      </x:c>
      <x:c r="N1012" s="2" t="n">
        <x:f>MAX(0,ROUND('기준스탯 72종'!H48-V1012-AD1012,0))</x:f>
        <x:v>4</x:v>
      </x:c>
      <x:c r="O1012" s="2" t="n">
        <x:f>MAX(0,ROUND('기준스탯 72종'!I48-W1012-AE1012,0))</x:f>
        <x:v>5</x:v>
      </x:c>
      <x:c r="P1012" s="2" t="n">
        <x:f>MAX(0,ROUND('기준스탯 72종'!J48-X1012-AF1012,0))</x:f>
        <x:v>2</x:v>
      </x:c>
      <x:c r="Q1012" s="2" t="n">
        <x:f>MAX(0,ROUND('기준스탯 72종'!K48-Y1012-AG1012,0))</x:f>
        <x:v>2</x:v>
      </x:c>
      <x:c r="R1012" s="15" t="n">
        <x:f>'기준스탯 72종'!D48*G1012</x:f>
        <x:v>0</x:v>
      </x:c>
      <x:c r="S1012" s="15" t="n">
        <x:f>'기준스탯 72종'!E48*G1012</x:f>
        <x:v>0</x:v>
      </x:c>
      <x:c r="T1012" s="15" t="n">
        <x:f>'기준스탯 72종'!F48*G1012</x:f>
        <x:v>0</x:v>
      </x:c>
      <x:c r="U1012" s="15" t="n">
        <x:f>'기준스탯 72종'!G48*G1012</x:f>
        <x:v>0</x:v>
      </x:c>
      <x:c r="V1012" s="15" t="n">
        <x:f>'기준스탯 72종'!H48*G1012</x:f>
        <x:v>0</x:v>
      </x:c>
      <x:c r="W1012" s="15" t="n">
        <x:f>'기준스탯 72종'!I48*G1012</x:f>
        <x:v>0</x:v>
      </x:c>
      <x:c r="X1012" s="15" t="n">
        <x:f>'기준스탯 72종'!J48*G1012</x:f>
        <x:v>0</x:v>
      </x:c>
      <x:c r="Y1012" s="15" t="n">
        <x:f>'기준스탯 72종'!K48*G1012</x:f>
        <x:v>0</x:v>
      </x:c>
      <x:c r="Z1012" s="15" t="n">
        <x:f>'기준스탯 72종'!D48*H1012</x:f>
        <x:v>2.1600000000000006</x:v>
      </x:c>
      <x:c r="AA1012" s="15" t="n">
        <x:f>'기준스탯 72종'!E48*H1012</x:f>
        <x:v>1.4400000000000004</x:v>
      </x:c>
      <x:c r="AB1012" s="15" t="n">
        <x:f>'기준스탯 72종'!F48*H1012</x:f>
        <x:v>1.4400000000000004</x:v>
      </x:c>
      <x:c r="AC1012" s="15" t="n">
        <x:f>'기준스탯 72종'!G48*H1012</x:f>
        <x:v>2.1600000000000006</x:v>
      </x:c>
      <x:c r="AD1012" s="15" t="n">
        <x:f>'기준스탯 72종'!H48*H1012</x:f>
        <x:v>1.2000000000000002</x:v>
      </x:c>
      <x:c r="AE1012" s="15" t="n">
        <x:f>'기준스탯 72종'!I48*H1012</x:f>
        <x:v>1.4400000000000004</x:v>
      </x:c>
      <x:c r="AF1012" s="15" t="n">
        <x:f>'기준스탯 72종'!J48*H1012</x:f>
        <x:v>0.4800000000000001</x:v>
      </x:c>
      <x:c r="AG1012" s="15" t="n">
        <x:f>'기준스탯 72종'!K48*H1012</x:f>
        <x:v>0.7200000000000002</x:v>
      </x:c>
    </x:row>
    <x:row r="1013" ht="28" customHeight="1">
      <x:c r="A1013" s="2" t="n">
        <x:v>1006</x:v>
      </x:c>
      <x:c r="B1013" s="2" t="n">
        <x:v>41</x:v>
      </x:c>
      <x:c r="C1013" s="2" t="str">
        <x:v>천칭자리</x:v>
      </x:c>
      <x:c r="D1013" s="2" t="str">
        <x:v>도적</x:v>
      </x:c>
      <x:c r="E1013" s="2" t="n">
        <x:v>1</x:v>
      </x:c>
      <x:c r="F1013" s="2" t="n">
        <x:v>2</x:v>
      </x:c>
      <x:c r="G1013" s="14" t="n">
        <x:f>('레벨 계산식'!$E$4-E1013)*'레벨 계산식'!$B$5</x:f>
        <x:v>0.5599999999999999</x:v>
      </x:c>
      <x:c r="H1013" s="14" t="n">
        <x:f>('등급 계산식'!$E$4-F1013)*'등급 계산식'!$B$5</x:f>
        <x:v>0.18000000000000005</x:v>
      </x:c>
      <x:c r="I1013" s="14" t="n">
        <x:f>1-G1013-H1013</x:f>
        <x:v>0.26</x:v>
      </x:c>
      <x:c r="J1013" s="2" t="n">
        <x:f>MAX(1,ROUND('기준스탯 72종'!D48-R1013-Z1013,0))</x:f>
        <x:v>2</x:v>
      </x:c>
      <x:c r="K1013" s="2" t="n">
        <x:f>MAX(1,ROUND('기준스탯 72종'!E48-S1013-AA1013,0))</x:f>
        <x:v>2</x:v>
      </x:c>
      <x:c r="L1013" s="2" t="n">
        <x:f>MAX(1,ROUND('기준스탯 72종'!F48-T1013-AB1013,0))</x:f>
        <x:v>2</x:v>
      </x:c>
      <x:c r="M1013" s="2" t="n">
        <x:f>MAX(1,ROUND('기준스탯 72종'!G48-U1013-AC1013,0))</x:f>
        <x:v>2</x:v>
      </x:c>
      <x:c r="N1013" s="2" t="n">
        <x:f>MAX(0,ROUND('기준스탯 72종'!H48-V1013-AD1013,0))</x:f>
        <x:v>1</x:v>
      </x:c>
      <x:c r="O1013" s="2" t="n">
        <x:f>MAX(0,ROUND('기준스탯 72종'!I48-W1013-AE1013,0))</x:f>
        <x:v>2</x:v>
      </x:c>
      <x:c r="P1013" s="2" t="n">
        <x:f>MAX(0,ROUND('기준스탯 72종'!J48-X1013-AF1013,0))</x:f>
        <x:v>1</x:v>
      </x:c>
      <x:c r="Q1013" s="2" t="n">
        <x:f>MAX(0,ROUND('기준스탯 72종'!K48-Y1013-AG1013,0))</x:f>
        <x:v>1</x:v>
      </x:c>
      <x:c r="R1013" s="15" t="n">
        <x:f>'기준스탯 72종'!D48*G1013</x:f>
        <x:v>5.039999999999999</x:v>
      </x:c>
      <x:c r="S1013" s="15" t="n">
        <x:f>'기준스탯 72종'!E48*G1013</x:f>
        <x:v>3.3599999999999994</x:v>
      </x:c>
      <x:c r="T1013" s="15" t="n">
        <x:f>'기준스탯 72종'!F48*G1013</x:f>
        <x:v>3.3599999999999994</x:v>
      </x:c>
      <x:c r="U1013" s="15" t="n">
        <x:f>'기준스탯 72종'!G48*G1013</x:f>
        <x:v>5.039999999999999</x:v>
      </x:c>
      <x:c r="V1013" s="15" t="n">
        <x:f>'기준스탯 72종'!H48*G1013</x:f>
        <x:v>2.8</x:v>
      </x:c>
      <x:c r="W1013" s="15" t="n">
        <x:f>'기준스탯 72종'!I48*G1013</x:f>
        <x:v>3.3599999999999994</x:v>
      </x:c>
      <x:c r="X1013" s="15" t="n">
        <x:f>'기준스탯 72종'!J48*G1013</x:f>
        <x:v>1.1199999999999999</x:v>
      </x:c>
      <x:c r="Y1013" s="15" t="n">
        <x:f>'기준스탯 72종'!K48*G1013</x:f>
        <x:v>1.6799999999999997</x:v>
      </x:c>
      <x:c r="Z1013" s="15" t="n">
        <x:f>'기준스탯 72종'!D48*H1013</x:f>
        <x:v>1.6200000000000006</x:v>
      </x:c>
      <x:c r="AA1013" s="15" t="n">
        <x:f>'기준스탯 72종'!E48*H1013</x:f>
        <x:v>1.0800000000000003</x:v>
      </x:c>
      <x:c r="AB1013" s="15" t="n">
        <x:f>'기준스탯 72종'!F48*H1013</x:f>
        <x:v>1.0800000000000003</x:v>
      </x:c>
      <x:c r="AC1013" s="15" t="n">
        <x:f>'기준스탯 72종'!G48*H1013</x:f>
        <x:v>1.6200000000000006</x:v>
      </x:c>
      <x:c r="AD1013" s="15" t="n">
        <x:f>'기준스탯 72종'!H48*H1013</x:f>
        <x:v>0.9000000000000002</x:v>
      </x:c>
      <x:c r="AE1013" s="15" t="n">
        <x:f>'기준스탯 72종'!I48*H1013</x:f>
        <x:v>1.0800000000000003</x:v>
      </x:c>
      <x:c r="AF1013" s="15" t="n">
        <x:f>'기준스탯 72종'!J48*H1013</x:f>
        <x:v>0.3600000000000001</x:v>
      </x:c>
      <x:c r="AG1013" s="15" t="n">
        <x:f>'기준스탯 72종'!K48*H1013</x:f>
        <x:v>0.5400000000000001</x:v>
      </x:c>
    </x:row>
    <x:row r="1014" ht="28" customHeight="1">
      <x:c r="A1014" s="2" t="n">
        <x:v>1007</x:v>
      </x:c>
      <x:c r="B1014" s="2" t="n">
        <x:v>41</x:v>
      </x:c>
      <x:c r="C1014" s="2" t="str">
        <x:v>천칭자리</x:v>
      </x:c>
      <x:c r="D1014" s="2" t="str">
        <x:v>도적</x:v>
      </x:c>
      <x:c r="E1014" s="2" t="n">
        <x:v>2</x:v>
      </x:c>
      <x:c r="F1014" s="2" t="n">
        <x:v>2</x:v>
      </x:c>
      <x:c r="G1014" s="14" t="n">
        <x:f>('레벨 계산식'!$E$4-E1014)*'레벨 계산식'!$B$5</x:f>
        <x:v>0.41999999999999993</x:v>
      </x:c>
      <x:c r="H1014" s="14" t="n">
        <x:f>('등급 계산식'!$E$4-F1014)*'등급 계산식'!$B$5</x:f>
        <x:v>0.18000000000000005</x:v>
      </x:c>
      <x:c r="I1014" s="14" t="n">
        <x:f>1-G1014-H1014</x:f>
        <x:v>0.4</x:v>
      </x:c>
      <x:c r="J1014" s="2" t="n">
        <x:f>MAX(1,ROUND('기준스탯 72종'!D48-R1014-Z1014,0))</x:f>
        <x:v>4</x:v>
      </x:c>
      <x:c r="K1014" s="2" t="n">
        <x:f>MAX(1,ROUND('기준스탯 72종'!E48-S1014-AA1014,0))</x:f>
        <x:v>2</x:v>
      </x:c>
      <x:c r="L1014" s="2" t="n">
        <x:f>MAX(1,ROUND('기준스탯 72종'!F48-T1014-AB1014,0))</x:f>
        <x:v>2</x:v>
      </x:c>
      <x:c r="M1014" s="2" t="n">
        <x:f>MAX(1,ROUND('기준스탯 72종'!G48-U1014-AC1014,0))</x:f>
        <x:v>4</x:v>
      </x:c>
      <x:c r="N1014" s="2" t="n">
        <x:f>MAX(0,ROUND('기준스탯 72종'!H48-V1014-AD1014,0))</x:f>
        <x:v>2</x:v>
      </x:c>
      <x:c r="O1014" s="2" t="n">
        <x:f>MAX(0,ROUND('기준스탯 72종'!I48-W1014-AE1014,0))</x:f>
        <x:v>2</x:v>
      </x:c>
      <x:c r="P1014" s="2" t="n">
        <x:f>MAX(0,ROUND('기준스탯 72종'!J48-X1014-AF1014,0))</x:f>
        <x:v>1</x:v>
      </x:c>
      <x:c r="Q1014" s="2" t="n">
        <x:f>MAX(0,ROUND('기준스탯 72종'!K48-Y1014-AG1014,0))</x:f>
        <x:v>1</x:v>
      </x:c>
      <x:c r="R1014" s="15" t="n">
        <x:f>'기준스탯 72종'!D48*G1014</x:f>
        <x:v>3.7799999999999994</x:v>
      </x:c>
      <x:c r="S1014" s="15" t="n">
        <x:f>'기준스탯 72종'!E48*G1014</x:f>
        <x:v>2.5199999999999996</x:v>
      </x:c>
      <x:c r="T1014" s="15" t="n">
        <x:f>'기준스탯 72종'!F48*G1014</x:f>
        <x:v>2.5199999999999996</x:v>
      </x:c>
      <x:c r="U1014" s="15" t="n">
        <x:f>'기준스탯 72종'!G48*G1014</x:f>
        <x:v>3.7799999999999994</x:v>
      </x:c>
      <x:c r="V1014" s="15" t="n">
        <x:f>'기준스탯 72종'!H48*G1014</x:f>
        <x:v>2.0999999999999996</x:v>
      </x:c>
      <x:c r="W1014" s="15" t="n">
        <x:f>'기준스탯 72종'!I48*G1014</x:f>
        <x:v>2.5199999999999996</x:v>
      </x:c>
      <x:c r="X1014" s="15" t="n">
        <x:f>'기준스탯 72종'!J48*G1014</x:f>
        <x:v>0.8399999999999999</x:v>
      </x:c>
      <x:c r="Y1014" s="15" t="n">
        <x:f>'기준스탯 72종'!K48*G1014</x:f>
        <x:v>1.2599999999999998</x:v>
      </x:c>
      <x:c r="Z1014" s="15" t="n">
        <x:f>'기준스탯 72종'!D48*H1014</x:f>
        <x:v>1.6200000000000006</x:v>
      </x:c>
      <x:c r="AA1014" s="15" t="n">
        <x:f>'기준스탯 72종'!E48*H1014</x:f>
        <x:v>1.0800000000000003</x:v>
      </x:c>
      <x:c r="AB1014" s="15" t="n">
        <x:f>'기준스탯 72종'!F48*H1014</x:f>
        <x:v>1.0800000000000003</x:v>
      </x:c>
      <x:c r="AC1014" s="15" t="n">
        <x:f>'기준스탯 72종'!G48*H1014</x:f>
        <x:v>1.6200000000000006</x:v>
      </x:c>
      <x:c r="AD1014" s="15" t="n">
        <x:f>'기준스탯 72종'!H48*H1014</x:f>
        <x:v>0.9000000000000002</x:v>
      </x:c>
      <x:c r="AE1014" s="15" t="n">
        <x:f>'기준스탯 72종'!I48*H1014</x:f>
        <x:v>1.0800000000000003</x:v>
      </x:c>
      <x:c r="AF1014" s="15" t="n">
        <x:f>'기준스탯 72종'!J48*H1014</x:f>
        <x:v>0.3600000000000001</x:v>
      </x:c>
      <x:c r="AG1014" s="15" t="n">
        <x:f>'기준스탯 72종'!K48*H1014</x:f>
        <x:v>0.5400000000000001</x:v>
      </x:c>
    </x:row>
    <x:row r="1015" ht="28" customHeight="1">
      <x:c r="A1015" s="2" t="n">
        <x:v>1008</x:v>
      </x:c>
      <x:c r="B1015" s="2" t="n">
        <x:v>41</x:v>
      </x:c>
      <x:c r="C1015" s="2" t="str">
        <x:v>천칭자리</x:v>
      </x:c>
      <x:c r="D1015" s="2" t="str">
        <x:v>도적</x:v>
      </x:c>
      <x:c r="E1015" s="2" t="n">
        <x:v>3</x:v>
      </x:c>
      <x:c r="F1015" s="2" t="n">
        <x:v>2</x:v>
      </x:c>
      <x:c r="G1015" s="14" t="n">
        <x:f>('레벨 계산식'!$E$4-E1015)*'레벨 계산식'!$B$5</x:f>
        <x:v>0.27999999999999997</x:v>
      </x:c>
      <x:c r="H1015" s="14" t="n">
        <x:f>('등급 계산식'!$E$4-F1015)*'등급 계산식'!$B$5</x:f>
        <x:v>0.18000000000000005</x:v>
      </x:c>
      <x:c r="I1015" s="14" t="n">
        <x:f>1-G1015-H1015</x:f>
        <x:v>0.5399999999999999</x:v>
      </x:c>
      <x:c r="J1015" s="2" t="n">
        <x:f>MAX(1,ROUND('기준스탯 72종'!D48-R1015-Z1015,0))</x:f>
        <x:v>5</x:v>
      </x:c>
      <x:c r="K1015" s="2" t="n">
        <x:f>MAX(1,ROUND('기준스탯 72종'!E48-S1015-AA1015,0))</x:f>
        <x:v>3</x:v>
      </x:c>
      <x:c r="L1015" s="2" t="n">
        <x:f>MAX(1,ROUND('기준스탯 72종'!F48-T1015-AB1015,0))</x:f>
        <x:v>3</x:v>
      </x:c>
      <x:c r="M1015" s="2" t="n">
        <x:f>MAX(1,ROUND('기준스탯 72종'!G48-U1015-AC1015,0))</x:f>
        <x:v>5</x:v>
      </x:c>
      <x:c r="N1015" s="2" t="n">
        <x:f>MAX(0,ROUND('기준스탯 72종'!H48-V1015-AD1015,0))</x:f>
        <x:v>3</x:v>
      </x:c>
      <x:c r="O1015" s="2" t="n">
        <x:f>MAX(0,ROUND('기준스탯 72종'!I48-W1015-AE1015,0))</x:f>
        <x:v>3</x:v>
      </x:c>
      <x:c r="P1015" s="2" t="n">
        <x:f>MAX(0,ROUND('기준스탯 72종'!J48-X1015-AF1015,0))</x:f>
        <x:v>1</x:v>
      </x:c>
      <x:c r="Q1015" s="2" t="n">
        <x:f>MAX(0,ROUND('기준스탯 72종'!K48-Y1015-AG1015,0))</x:f>
        <x:v>2</x:v>
      </x:c>
      <x:c r="R1015" s="15" t="n">
        <x:f>'기준스탯 72종'!D48*G1015</x:f>
        <x:v>2.5199999999999996</x:v>
      </x:c>
      <x:c r="S1015" s="15" t="n">
        <x:f>'기준스탯 72종'!E48*G1015</x:f>
        <x:v>1.6799999999999997</x:v>
      </x:c>
      <x:c r="T1015" s="15" t="n">
        <x:f>'기준스탯 72종'!F48*G1015</x:f>
        <x:v>1.6799999999999997</x:v>
      </x:c>
      <x:c r="U1015" s="15" t="n">
        <x:f>'기준스탯 72종'!G48*G1015</x:f>
        <x:v>2.5199999999999996</x:v>
      </x:c>
      <x:c r="V1015" s="15" t="n">
        <x:f>'기준스탯 72종'!H48*G1015</x:f>
        <x:v>1.4</x:v>
      </x:c>
      <x:c r="W1015" s="15" t="n">
        <x:f>'기준스탯 72종'!I48*G1015</x:f>
        <x:v>1.6799999999999997</x:v>
      </x:c>
      <x:c r="X1015" s="15" t="n">
        <x:f>'기준스탯 72종'!J48*G1015</x:f>
        <x:v>0.5599999999999999</x:v>
      </x:c>
      <x:c r="Y1015" s="15" t="n">
        <x:f>'기준스탯 72종'!K48*G1015</x:f>
        <x:v>0.8399999999999999</x:v>
      </x:c>
      <x:c r="Z1015" s="15" t="n">
        <x:f>'기준스탯 72종'!D48*H1015</x:f>
        <x:v>1.6200000000000006</x:v>
      </x:c>
      <x:c r="AA1015" s="15" t="n">
        <x:f>'기준스탯 72종'!E48*H1015</x:f>
        <x:v>1.0800000000000003</x:v>
      </x:c>
      <x:c r="AB1015" s="15" t="n">
        <x:f>'기준스탯 72종'!F48*H1015</x:f>
        <x:v>1.0800000000000003</x:v>
      </x:c>
      <x:c r="AC1015" s="15" t="n">
        <x:f>'기준스탯 72종'!G48*H1015</x:f>
        <x:v>1.6200000000000006</x:v>
      </x:c>
      <x:c r="AD1015" s="15" t="n">
        <x:f>'기준스탯 72종'!H48*H1015</x:f>
        <x:v>0.9000000000000002</x:v>
      </x:c>
      <x:c r="AE1015" s="15" t="n">
        <x:f>'기준스탯 72종'!I48*H1015</x:f>
        <x:v>1.0800000000000003</x:v>
      </x:c>
      <x:c r="AF1015" s="15" t="n">
        <x:f>'기준스탯 72종'!J48*H1015</x:f>
        <x:v>0.3600000000000001</x:v>
      </x:c>
      <x:c r="AG1015" s="15" t="n">
        <x:f>'기준스탯 72종'!K48*H1015</x:f>
        <x:v>0.5400000000000001</x:v>
      </x:c>
    </x:row>
    <x:row r="1016" ht="28" customHeight="1">
      <x:c r="A1016" s="2" t="n">
        <x:v>1009</x:v>
      </x:c>
      <x:c r="B1016" s="2" t="n">
        <x:v>41</x:v>
      </x:c>
      <x:c r="C1016" s="2" t="str">
        <x:v>천칭자리</x:v>
      </x:c>
      <x:c r="D1016" s="2" t="str">
        <x:v>도적</x:v>
      </x:c>
      <x:c r="E1016" s="2" t="n">
        <x:v>4</x:v>
      </x:c>
      <x:c r="F1016" s="2" t="n">
        <x:v>2</x:v>
      </x:c>
      <x:c r="G1016" s="14" t="n">
        <x:f>('레벨 계산식'!$E$4-E1016)*'레벨 계산식'!$B$5</x:f>
        <x:v>0.13999999999999999</x:v>
      </x:c>
      <x:c r="H1016" s="14" t="n">
        <x:f>('등급 계산식'!$E$4-F1016)*'등급 계산식'!$B$5</x:f>
        <x:v>0.18000000000000005</x:v>
      </x:c>
      <x:c r="I1016" s="14" t="n">
        <x:f>1-G1016-H1016</x:f>
        <x:v>0.6799999999999999</x:v>
      </x:c>
      <x:c r="J1016" s="2" t="n">
        <x:f>MAX(1,ROUND('기준스탯 72종'!D48-R1016-Z1016,0))</x:f>
        <x:v>6</x:v>
      </x:c>
      <x:c r="K1016" s="2" t="n">
        <x:f>MAX(1,ROUND('기준스탯 72종'!E48-S1016-AA1016,0))</x:f>
        <x:v>4</x:v>
      </x:c>
      <x:c r="L1016" s="2" t="n">
        <x:f>MAX(1,ROUND('기준스탯 72종'!F48-T1016-AB1016,0))</x:f>
        <x:v>4</x:v>
      </x:c>
      <x:c r="M1016" s="2" t="n">
        <x:f>MAX(1,ROUND('기준스탯 72종'!G48-U1016-AC1016,0))</x:f>
        <x:v>6</x:v>
      </x:c>
      <x:c r="N1016" s="2" t="n">
        <x:f>MAX(0,ROUND('기준스탯 72종'!H48-V1016-AD1016,0))</x:f>
        <x:v>3</x:v>
      </x:c>
      <x:c r="O1016" s="2" t="n">
        <x:f>MAX(0,ROUND('기준스탯 72종'!I48-W1016-AE1016,0))</x:f>
        <x:v>4</x:v>
      </x:c>
      <x:c r="P1016" s="2" t="n">
        <x:f>MAX(0,ROUND('기준스탯 72종'!J48-X1016-AF1016,0))</x:f>
        <x:v>1</x:v>
      </x:c>
      <x:c r="Q1016" s="2" t="n">
        <x:f>MAX(0,ROUND('기준스탯 72종'!K48-Y1016-AG1016,0))</x:f>
        <x:v>2</x:v>
      </x:c>
      <x:c r="R1016" s="15" t="n">
        <x:f>'기준스탯 72종'!D48*G1016</x:f>
        <x:v>1.2599999999999998</x:v>
      </x:c>
      <x:c r="S1016" s="15" t="n">
        <x:f>'기준스탯 72종'!E48*G1016</x:f>
        <x:v>0.8399999999999999</x:v>
      </x:c>
      <x:c r="T1016" s="15" t="n">
        <x:f>'기준스탯 72종'!F48*G1016</x:f>
        <x:v>0.8399999999999999</x:v>
      </x:c>
      <x:c r="U1016" s="15" t="n">
        <x:f>'기준스탯 72종'!G48*G1016</x:f>
        <x:v>1.2599999999999998</x:v>
      </x:c>
      <x:c r="V1016" s="15" t="n">
        <x:f>'기준스탯 72종'!H48*G1016</x:f>
        <x:v>0.7</x:v>
      </x:c>
      <x:c r="W1016" s="15" t="n">
        <x:f>'기준스탯 72종'!I48*G1016</x:f>
        <x:v>0.8399999999999999</x:v>
      </x:c>
      <x:c r="X1016" s="15" t="n">
        <x:f>'기준스탯 72종'!J48*G1016</x:f>
        <x:v>0.27999999999999997</x:v>
      </x:c>
      <x:c r="Y1016" s="15" t="n">
        <x:f>'기준스탯 72종'!K48*G1016</x:f>
        <x:v>0.41999999999999993</x:v>
      </x:c>
      <x:c r="Z1016" s="15" t="n">
        <x:f>'기준스탯 72종'!D48*H1016</x:f>
        <x:v>1.6200000000000006</x:v>
      </x:c>
      <x:c r="AA1016" s="15" t="n">
        <x:f>'기준스탯 72종'!E48*H1016</x:f>
        <x:v>1.0800000000000003</x:v>
      </x:c>
      <x:c r="AB1016" s="15" t="n">
        <x:f>'기준스탯 72종'!F48*H1016</x:f>
        <x:v>1.0800000000000003</x:v>
      </x:c>
      <x:c r="AC1016" s="15" t="n">
        <x:f>'기준스탯 72종'!G48*H1016</x:f>
        <x:v>1.6200000000000006</x:v>
      </x:c>
      <x:c r="AD1016" s="15" t="n">
        <x:f>'기준스탯 72종'!H48*H1016</x:f>
        <x:v>0.9000000000000002</x:v>
      </x:c>
      <x:c r="AE1016" s="15" t="n">
        <x:f>'기준스탯 72종'!I48*H1016</x:f>
        <x:v>1.0800000000000003</x:v>
      </x:c>
      <x:c r="AF1016" s="15" t="n">
        <x:f>'기준스탯 72종'!J48*H1016</x:f>
        <x:v>0.3600000000000001</x:v>
      </x:c>
      <x:c r="AG1016" s="15" t="n">
        <x:f>'기준스탯 72종'!K48*H1016</x:f>
        <x:v>0.5400000000000001</x:v>
      </x:c>
    </x:row>
    <x:row r="1017" ht="28" customHeight="1">
      <x:c r="A1017" s="2" t="n">
        <x:v>1010</x:v>
      </x:c>
      <x:c r="B1017" s="2" t="n">
        <x:v>41</x:v>
      </x:c>
      <x:c r="C1017" s="2" t="str">
        <x:v>천칭자리</x:v>
      </x:c>
      <x:c r="D1017" s="2" t="str">
        <x:v>도적</x:v>
      </x:c>
      <x:c r="E1017" s="2" t="n">
        <x:v>5</x:v>
      </x:c>
      <x:c r="F1017" s="2" t="n">
        <x:v>2</x:v>
      </x:c>
      <x:c r="G1017" s="14" t="n">
        <x:f>('레벨 계산식'!$E$4-E1017)*'레벨 계산식'!$B$5</x:f>
        <x:v>0</x:v>
      </x:c>
      <x:c r="H1017" s="14" t="n">
        <x:f>('등급 계산식'!$E$4-F1017)*'등급 계산식'!$B$5</x:f>
        <x:v>0.18000000000000005</x:v>
      </x:c>
      <x:c r="I1017" s="14" t="n">
        <x:f>1-G1017-H1017</x:f>
        <x:v>0.82</x:v>
      </x:c>
      <x:c r="J1017" s="2" t="n">
        <x:f>MAX(1,ROUND('기준스탯 72종'!D48-R1017-Z1017,0))</x:f>
        <x:v>7</x:v>
      </x:c>
      <x:c r="K1017" s="2" t="n">
        <x:f>MAX(1,ROUND('기준스탯 72종'!E48-S1017-AA1017,0))</x:f>
        <x:v>5</x:v>
      </x:c>
      <x:c r="L1017" s="2" t="n">
        <x:f>MAX(1,ROUND('기준스탯 72종'!F48-T1017-AB1017,0))</x:f>
        <x:v>5</x:v>
      </x:c>
      <x:c r="M1017" s="2" t="n">
        <x:f>MAX(1,ROUND('기준스탯 72종'!G48-U1017-AC1017,0))</x:f>
        <x:v>7</x:v>
      </x:c>
      <x:c r="N1017" s="2" t="n">
        <x:f>MAX(0,ROUND('기준스탯 72종'!H48-V1017-AD1017,0))</x:f>
        <x:v>4</x:v>
      </x:c>
      <x:c r="O1017" s="2" t="n">
        <x:f>MAX(0,ROUND('기준스탯 72종'!I48-W1017-AE1017,0))</x:f>
        <x:v>5</x:v>
      </x:c>
      <x:c r="P1017" s="2" t="n">
        <x:f>MAX(0,ROUND('기준스탯 72종'!J48-X1017-AF1017,0))</x:f>
        <x:v>2</x:v>
      </x:c>
      <x:c r="Q1017" s="2" t="n">
        <x:f>MAX(0,ROUND('기준스탯 72종'!K48-Y1017-AG1017,0))</x:f>
        <x:v>2</x:v>
      </x:c>
      <x:c r="R1017" s="15" t="n">
        <x:f>'기준스탯 72종'!D48*G1017</x:f>
        <x:v>0</x:v>
      </x:c>
      <x:c r="S1017" s="15" t="n">
        <x:f>'기준스탯 72종'!E48*G1017</x:f>
        <x:v>0</x:v>
      </x:c>
      <x:c r="T1017" s="15" t="n">
        <x:f>'기준스탯 72종'!F48*G1017</x:f>
        <x:v>0</x:v>
      </x:c>
      <x:c r="U1017" s="15" t="n">
        <x:f>'기준스탯 72종'!G48*G1017</x:f>
        <x:v>0</x:v>
      </x:c>
      <x:c r="V1017" s="15" t="n">
        <x:f>'기준스탯 72종'!H48*G1017</x:f>
        <x:v>0</x:v>
      </x:c>
      <x:c r="W1017" s="15" t="n">
        <x:f>'기준스탯 72종'!I48*G1017</x:f>
        <x:v>0</x:v>
      </x:c>
      <x:c r="X1017" s="15" t="n">
        <x:f>'기준스탯 72종'!J48*G1017</x:f>
        <x:v>0</x:v>
      </x:c>
      <x:c r="Y1017" s="15" t="n">
        <x:f>'기준스탯 72종'!K48*G1017</x:f>
        <x:v>0</x:v>
      </x:c>
      <x:c r="Z1017" s="15" t="n">
        <x:f>'기준스탯 72종'!D48*H1017</x:f>
        <x:v>1.6200000000000006</x:v>
      </x:c>
      <x:c r="AA1017" s="15" t="n">
        <x:f>'기준스탯 72종'!E48*H1017</x:f>
        <x:v>1.0800000000000003</x:v>
      </x:c>
      <x:c r="AB1017" s="15" t="n">
        <x:f>'기준스탯 72종'!F48*H1017</x:f>
        <x:v>1.0800000000000003</x:v>
      </x:c>
      <x:c r="AC1017" s="15" t="n">
        <x:f>'기준스탯 72종'!G48*H1017</x:f>
        <x:v>1.6200000000000006</x:v>
      </x:c>
      <x:c r="AD1017" s="15" t="n">
        <x:f>'기준스탯 72종'!H48*H1017</x:f>
        <x:v>0.9000000000000002</x:v>
      </x:c>
      <x:c r="AE1017" s="15" t="n">
        <x:f>'기준스탯 72종'!I48*H1017</x:f>
        <x:v>1.0800000000000003</x:v>
      </x:c>
      <x:c r="AF1017" s="15" t="n">
        <x:f>'기준스탯 72종'!J48*H1017</x:f>
        <x:v>0.3600000000000001</x:v>
      </x:c>
      <x:c r="AG1017" s="15" t="n">
        <x:f>'기준스탯 72종'!K48*H1017</x:f>
        <x:v>0.5400000000000001</x:v>
      </x:c>
    </x:row>
    <x:row r="1018" ht="28" customHeight="1">
      <x:c r="A1018" s="2" t="n">
        <x:v>1011</x:v>
      </x:c>
      <x:c r="B1018" s="2" t="n">
        <x:v>41</x:v>
      </x:c>
      <x:c r="C1018" s="2" t="str">
        <x:v>천칭자리</x:v>
      </x:c>
      <x:c r="D1018" s="2" t="str">
        <x:v>도적</x:v>
      </x:c>
      <x:c r="E1018" s="2" t="n">
        <x:v>1</x:v>
      </x:c>
      <x:c r="F1018" s="2" t="n">
        <x:v>3</x:v>
      </x:c>
      <x:c r="G1018" s="14" t="n">
        <x:f>('레벨 계산식'!$E$4-E1018)*'레벨 계산식'!$B$5</x:f>
        <x:v>0.5599999999999999</x:v>
      </x:c>
      <x:c r="H1018" s="14" t="n">
        <x:f>('등급 계산식'!$E$4-F1018)*'등급 계산식'!$B$5</x:f>
        <x:v>0.12000000000000002</x:v>
      </x:c>
      <x:c r="I1018" s="14" t="n">
        <x:f>1-G1018-H1018</x:f>
        <x:v>0.32000000000000006</x:v>
      </x:c>
      <x:c r="J1018" s="2" t="n">
        <x:f>MAX(1,ROUND('기준스탯 72종'!D48-R1018-Z1018,0))</x:f>
        <x:v>3</x:v>
      </x:c>
      <x:c r="K1018" s="2" t="n">
        <x:f>MAX(1,ROUND('기준스탯 72종'!E48-S1018-AA1018,0))</x:f>
        <x:v>2</x:v>
      </x:c>
      <x:c r="L1018" s="2" t="n">
        <x:f>MAX(1,ROUND('기준스탯 72종'!F48-T1018-AB1018,0))</x:f>
        <x:v>2</x:v>
      </x:c>
      <x:c r="M1018" s="2" t="n">
        <x:f>MAX(1,ROUND('기준스탯 72종'!G48-U1018-AC1018,0))</x:f>
        <x:v>3</x:v>
      </x:c>
      <x:c r="N1018" s="2" t="n">
        <x:f>MAX(0,ROUND('기준스탯 72종'!H48-V1018-AD1018,0))</x:f>
        <x:v>2</x:v>
      </x:c>
      <x:c r="O1018" s="2" t="n">
        <x:f>MAX(0,ROUND('기준스탯 72종'!I48-W1018-AE1018,0))</x:f>
        <x:v>2</x:v>
      </x:c>
      <x:c r="P1018" s="2" t="n">
        <x:f>MAX(0,ROUND('기준스탯 72종'!J48-X1018-AF1018,0))</x:f>
        <x:v>1</x:v>
      </x:c>
      <x:c r="Q1018" s="2" t="n">
        <x:f>MAX(0,ROUND('기준스탯 72종'!K48-Y1018-AG1018,0))</x:f>
        <x:v>1</x:v>
      </x:c>
      <x:c r="R1018" s="15" t="n">
        <x:f>'기준스탯 72종'!D48*G1018</x:f>
        <x:v>5.039999999999999</x:v>
      </x:c>
      <x:c r="S1018" s="15" t="n">
        <x:f>'기준스탯 72종'!E48*G1018</x:f>
        <x:v>3.3599999999999994</x:v>
      </x:c>
      <x:c r="T1018" s="15" t="n">
        <x:f>'기준스탯 72종'!F48*G1018</x:f>
        <x:v>3.3599999999999994</x:v>
      </x:c>
      <x:c r="U1018" s="15" t="n">
        <x:f>'기준스탯 72종'!G48*G1018</x:f>
        <x:v>5.039999999999999</x:v>
      </x:c>
      <x:c r="V1018" s="15" t="n">
        <x:f>'기준스탯 72종'!H48*G1018</x:f>
        <x:v>2.8</x:v>
      </x:c>
      <x:c r="W1018" s="15" t="n">
        <x:f>'기준스탯 72종'!I48*G1018</x:f>
        <x:v>3.3599999999999994</x:v>
      </x:c>
      <x:c r="X1018" s="15" t="n">
        <x:f>'기준스탯 72종'!J48*G1018</x:f>
        <x:v>1.1199999999999999</x:v>
      </x:c>
      <x:c r="Y1018" s="15" t="n">
        <x:f>'기준스탯 72종'!K48*G1018</x:f>
        <x:v>1.6799999999999997</x:v>
      </x:c>
      <x:c r="Z1018" s="15" t="n">
        <x:f>'기준스탯 72종'!D48*H1018</x:f>
        <x:v>1.0800000000000003</x:v>
      </x:c>
      <x:c r="AA1018" s="15" t="n">
        <x:f>'기준스탯 72종'!E48*H1018</x:f>
        <x:v>0.7200000000000002</x:v>
      </x:c>
      <x:c r="AB1018" s="15" t="n">
        <x:f>'기준스탯 72종'!F48*H1018</x:f>
        <x:v>0.7200000000000002</x:v>
      </x:c>
      <x:c r="AC1018" s="15" t="n">
        <x:f>'기준스탯 72종'!G48*H1018</x:f>
        <x:v>1.0800000000000003</x:v>
      </x:c>
      <x:c r="AD1018" s="15" t="n">
        <x:f>'기준스탯 72종'!H48*H1018</x:f>
        <x:v>0.6000000000000001</x:v>
      </x:c>
      <x:c r="AE1018" s="15" t="n">
        <x:f>'기준스탯 72종'!I48*H1018</x:f>
        <x:v>0.7200000000000002</x:v>
      </x:c>
      <x:c r="AF1018" s="15" t="n">
        <x:f>'기준스탯 72종'!J48*H1018</x:f>
        <x:v>0.24000000000000005</x:v>
      </x:c>
      <x:c r="AG1018" s="15" t="n">
        <x:f>'기준스탯 72종'!K48*H1018</x:f>
        <x:v>0.3600000000000001</x:v>
      </x:c>
    </x:row>
    <x:row r="1019" ht="28" customHeight="1">
      <x:c r="A1019" s="2" t="n">
        <x:v>1012</x:v>
      </x:c>
      <x:c r="B1019" s="2" t="n">
        <x:v>41</x:v>
      </x:c>
      <x:c r="C1019" s="2" t="str">
        <x:v>천칭자리</x:v>
      </x:c>
      <x:c r="D1019" s="2" t="str">
        <x:v>도적</x:v>
      </x:c>
      <x:c r="E1019" s="2" t="n">
        <x:v>2</x:v>
      </x:c>
      <x:c r="F1019" s="2" t="n">
        <x:v>3</x:v>
      </x:c>
      <x:c r="G1019" s="14" t="n">
        <x:f>('레벨 계산식'!$E$4-E1019)*'레벨 계산식'!$B$5</x:f>
        <x:v>0.41999999999999993</x:v>
      </x:c>
      <x:c r="H1019" s="14" t="n">
        <x:f>('등급 계산식'!$E$4-F1019)*'등급 계산식'!$B$5</x:f>
        <x:v>0.12000000000000002</x:v>
      </x:c>
      <x:c r="I1019" s="14" t="n">
        <x:f>1-G1019-H1019</x:f>
        <x:v>0.4600000000000001</x:v>
      </x:c>
      <x:c r="J1019" s="2" t="n">
        <x:f>MAX(1,ROUND('기준스탯 72종'!D48-R1019-Z1019,0))</x:f>
        <x:v>4</x:v>
      </x:c>
      <x:c r="K1019" s="2" t="n">
        <x:f>MAX(1,ROUND('기준스탯 72종'!E48-S1019-AA1019,0))</x:f>
        <x:v>3</x:v>
      </x:c>
      <x:c r="L1019" s="2" t="n">
        <x:f>MAX(1,ROUND('기준스탯 72종'!F48-T1019-AB1019,0))</x:f>
        <x:v>3</x:v>
      </x:c>
      <x:c r="M1019" s="2" t="n">
        <x:f>MAX(1,ROUND('기준스탯 72종'!G48-U1019-AC1019,0))</x:f>
        <x:v>4</x:v>
      </x:c>
      <x:c r="N1019" s="2" t="n">
        <x:f>MAX(0,ROUND('기준스탯 72종'!H48-V1019-AD1019,0))</x:f>
        <x:v>2</x:v>
      </x:c>
      <x:c r="O1019" s="2" t="n">
        <x:f>MAX(0,ROUND('기준스탯 72종'!I48-W1019-AE1019,0))</x:f>
        <x:v>3</x:v>
      </x:c>
      <x:c r="P1019" s="2" t="n">
        <x:f>MAX(0,ROUND('기준스탯 72종'!J48-X1019-AF1019,0))</x:f>
        <x:v>1</x:v>
      </x:c>
      <x:c r="Q1019" s="2" t="n">
        <x:f>MAX(0,ROUND('기준스탯 72종'!K48-Y1019-AG1019,0))</x:f>
        <x:v>1</x:v>
      </x:c>
      <x:c r="R1019" s="15" t="n">
        <x:f>'기준스탯 72종'!D48*G1019</x:f>
        <x:v>3.7799999999999994</x:v>
      </x:c>
      <x:c r="S1019" s="15" t="n">
        <x:f>'기준스탯 72종'!E48*G1019</x:f>
        <x:v>2.5199999999999996</x:v>
      </x:c>
      <x:c r="T1019" s="15" t="n">
        <x:f>'기준스탯 72종'!F48*G1019</x:f>
        <x:v>2.5199999999999996</x:v>
      </x:c>
      <x:c r="U1019" s="15" t="n">
        <x:f>'기준스탯 72종'!G48*G1019</x:f>
        <x:v>3.7799999999999994</x:v>
      </x:c>
      <x:c r="V1019" s="15" t="n">
        <x:f>'기준스탯 72종'!H48*G1019</x:f>
        <x:v>2.0999999999999996</x:v>
      </x:c>
      <x:c r="W1019" s="15" t="n">
        <x:f>'기준스탯 72종'!I48*G1019</x:f>
        <x:v>2.5199999999999996</x:v>
      </x:c>
      <x:c r="X1019" s="15" t="n">
        <x:f>'기준스탯 72종'!J48*G1019</x:f>
        <x:v>0.8399999999999999</x:v>
      </x:c>
      <x:c r="Y1019" s="15" t="n">
        <x:f>'기준스탯 72종'!K48*G1019</x:f>
        <x:v>1.2599999999999998</x:v>
      </x:c>
      <x:c r="Z1019" s="15" t="n">
        <x:f>'기준스탯 72종'!D48*H1019</x:f>
        <x:v>1.0800000000000003</x:v>
      </x:c>
      <x:c r="AA1019" s="15" t="n">
        <x:f>'기준스탯 72종'!E48*H1019</x:f>
        <x:v>0.7200000000000002</x:v>
      </x:c>
      <x:c r="AB1019" s="15" t="n">
        <x:f>'기준스탯 72종'!F48*H1019</x:f>
        <x:v>0.7200000000000002</x:v>
      </x:c>
      <x:c r="AC1019" s="15" t="n">
        <x:f>'기준스탯 72종'!G48*H1019</x:f>
        <x:v>1.0800000000000003</x:v>
      </x:c>
      <x:c r="AD1019" s="15" t="n">
        <x:f>'기준스탯 72종'!H48*H1019</x:f>
        <x:v>0.6000000000000001</x:v>
      </x:c>
      <x:c r="AE1019" s="15" t="n">
        <x:f>'기준스탯 72종'!I48*H1019</x:f>
        <x:v>0.7200000000000002</x:v>
      </x:c>
      <x:c r="AF1019" s="15" t="n">
        <x:f>'기준스탯 72종'!J48*H1019</x:f>
        <x:v>0.24000000000000005</x:v>
      </x:c>
      <x:c r="AG1019" s="15" t="n">
        <x:f>'기준스탯 72종'!K48*H1019</x:f>
        <x:v>0.3600000000000001</x:v>
      </x:c>
    </x:row>
    <x:row r="1020" ht="28" customHeight="1">
      <x:c r="A1020" s="2" t="n">
        <x:v>1013</x:v>
      </x:c>
      <x:c r="B1020" s="2" t="n">
        <x:v>41</x:v>
      </x:c>
      <x:c r="C1020" s="2" t="str">
        <x:v>천칭자리</x:v>
      </x:c>
      <x:c r="D1020" s="2" t="str">
        <x:v>도적</x:v>
      </x:c>
      <x:c r="E1020" s="2" t="n">
        <x:v>3</x:v>
      </x:c>
      <x:c r="F1020" s="2" t="n">
        <x:v>3</x:v>
      </x:c>
      <x:c r="G1020" s="14" t="n">
        <x:f>('레벨 계산식'!$E$4-E1020)*'레벨 계산식'!$B$5</x:f>
        <x:v>0.27999999999999997</x:v>
      </x:c>
      <x:c r="H1020" s="14" t="n">
        <x:f>('등급 계산식'!$E$4-F1020)*'등급 계산식'!$B$5</x:f>
        <x:v>0.12000000000000002</x:v>
      </x:c>
      <x:c r="I1020" s="14" t="n">
        <x:f>1-G1020-H1020</x:f>
        <x:v>0.6</x:v>
      </x:c>
      <x:c r="J1020" s="2" t="n">
        <x:f>MAX(1,ROUND('기준스탯 72종'!D48-R1020-Z1020,0))</x:f>
        <x:v>5</x:v>
      </x:c>
      <x:c r="K1020" s="2" t="n">
        <x:f>MAX(1,ROUND('기준스탯 72종'!E48-S1020-AA1020,0))</x:f>
        <x:v>4</x:v>
      </x:c>
      <x:c r="L1020" s="2" t="n">
        <x:f>MAX(1,ROUND('기준스탯 72종'!F48-T1020-AB1020,0))</x:f>
        <x:v>4</x:v>
      </x:c>
      <x:c r="M1020" s="2" t="n">
        <x:f>MAX(1,ROUND('기준스탯 72종'!G48-U1020-AC1020,0))</x:f>
        <x:v>5</x:v>
      </x:c>
      <x:c r="N1020" s="2" t="n">
        <x:f>MAX(0,ROUND('기준스탯 72종'!H48-V1020-AD1020,0))</x:f>
        <x:v>3</x:v>
      </x:c>
      <x:c r="O1020" s="2" t="n">
        <x:f>MAX(0,ROUND('기준스탯 72종'!I48-W1020-AE1020,0))</x:f>
        <x:v>4</x:v>
      </x:c>
      <x:c r="P1020" s="2" t="n">
        <x:f>MAX(0,ROUND('기준스탯 72종'!J48-X1020-AF1020,0))</x:f>
        <x:v>1</x:v>
      </x:c>
      <x:c r="Q1020" s="2" t="n">
        <x:f>MAX(0,ROUND('기준스탯 72종'!K48-Y1020-AG1020,0))</x:f>
        <x:v>2</x:v>
      </x:c>
      <x:c r="R1020" s="15" t="n">
        <x:f>'기준스탯 72종'!D48*G1020</x:f>
        <x:v>2.5199999999999996</x:v>
      </x:c>
      <x:c r="S1020" s="15" t="n">
        <x:f>'기준스탯 72종'!E48*G1020</x:f>
        <x:v>1.6799999999999997</x:v>
      </x:c>
      <x:c r="T1020" s="15" t="n">
        <x:f>'기준스탯 72종'!F48*G1020</x:f>
        <x:v>1.6799999999999997</x:v>
      </x:c>
      <x:c r="U1020" s="15" t="n">
        <x:f>'기준스탯 72종'!G48*G1020</x:f>
        <x:v>2.5199999999999996</x:v>
      </x:c>
      <x:c r="V1020" s="15" t="n">
        <x:f>'기준스탯 72종'!H48*G1020</x:f>
        <x:v>1.4</x:v>
      </x:c>
      <x:c r="W1020" s="15" t="n">
        <x:f>'기준스탯 72종'!I48*G1020</x:f>
        <x:v>1.6799999999999997</x:v>
      </x:c>
      <x:c r="X1020" s="15" t="n">
        <x:f>'기준스탯 72종'!J48*G1020</x:f>
        <x:v>0.5599999999999999</x:v>
      </x:c>
      <x:c r="Y1020" s="15" t="n">
        <x:f>'기준스탯 72종'!K48*G1020</x:f>
        <x:v>0.8399999999999999</x:v>
      </x:c>
      <x:c r="Z1020" s="15" t="n">
        <x:f>'기준스탯 72종'!D48*H1020</x:f>
        <x:v>1.0800000000000003</x:v>
      </x:c>
      <x:c r="AA1020" s="15" t="n">
        <x:f>'기준스탯 72종'!E48*H1020</x:f>
        <x:v>0.7200000000000002</x:v>
      </x:c>
      <x:c r="AB1020" s="15" t="n">
        <x:f>'기준스탯 72종'!F48*H1020</x:f>
        <x:v>0.7200000000000002</x:v>
      </x:c>
      <x:c r="AC1020" s="15" t="n">
        <x:f>'기준스탯 72종'!G48*H1020</x:f>
        <x:v>1.0800000000000003</x:v>
      </x:c>
      <x:c r="AD1020" s="15" t="n">
        <x:f>'기준스탯 72종'!H48*H1020</x:f>
        <x:v>0.6000000000000001</x:v>
      </x:c>
      <x:c r="AE1020" s="15" t="n">
        <x:f>'기준스탯 72종'!I48*H1020</x:f>
        <x:v>0.7200000000000002</x:v>
      </x:c>
      <x:c r="AF1020" s="15" t="n">
        <x:f>'기준스탯 72종'!J48*H1020</x:f>
        <x:v>0.24000000000000005</x:v>
      </x:c>
      <x:c r="AG1020" s="15" t="n">
        <x:f>'기준스탯 72종'!K48*H1020</x:f>
        <x:v>0.3600000000000001</x:v>
      </x:c>
    </x:row>
    <x:row r="1021" ht="28" customHeight="1">
      <x:c r="A1021" s="2" t="n">
        <x:v>1014</x:v>
      </x:c>
      <x:c r="B1021" s="2" t="n">
        <x:v>41</x:v>
      </x:c>
      <x:c r="C1021" s="2" t="str">
        <x:v>천칭자리</x:v>
      </x:c>
      <x:c r="D1021" s="2" t="str">
        <x:v>도적</x:v>
      </x:c>
      <x:c r="E1021" s="2" t="n">
        <x:v>4</x:v>
      </x:c>
      <x:c r="F1021" s="2" t="n">
        <x:v>3</x:v>
      </x:c>
      <x:c r="G1021" s="14" t="n">
        <x:f>('레벨 계산식'!$E$4-E1021)*'레벨 계산식'!$B$5</x:f>
        <x:v>0.13999999999999999</x:v>
      </x:c>
      <x:c r="H1021" s="14" t="n">
        <x:f>('등급 계산식'!$E$4-F1021)*'등급 계산식'!$B$5</x:f>
        <x:v>0.12000000000000002</x:v>
      </x:c>
      <x:c r="I1021" s="14" t="n">
        <x:f>1-G1021-H1021</x:f>
        <x:v>0.74</x:v>
      </x:c>
      <x:c r="J1021" s="2" t="n">
        <x:f>MAX(1,ROUND('기준스탯 72종'!D48-R1021-Z1021,0))</x:f>
        <x:v>7</x:v>
      </x:c>
      <x:c r="K1021" s="2" t="n">
        <x:f>MAX(1,ROUND('기준스탯 72종'!E48-S1021-AA1021,0))</x:f>
        <x:v>4</x:v>
      </x:c>
      <x:c r="L1021" s="2" t="n">
        <x:f>MAX(1,ROUND('기준스탯 72종'!F48-T1021-AB1021,0))</x:f>
        <x:v>4</x:v>
      </x:c>
      <x:c r="M1021" s="2" t="n">
        <x:f>MAX(1,ROUND('기준스탯 72종'!G48-U1021-AC1021,0))</x:f>
        <x:v>7</x:v>
      </x:c>
      <x:c r="N1021" s="2" t="n">
        <x:f>MAX(0,ROUND('기준스탯 72종'!H48-V1021-AD1021,0))</x:f>
        <x:v>4</x:v>
      </x:c>
      <x:c r="O1021" s="2" t="n">
        <x:f>MAX(0,ROUND('기준스탯 72종'!I48-W1021-AE1021,0))</x:f>
        <x:v>4</x:v>
      </x:c>
      <x:c r="P1021" s="2" t="n">
        <x:f>MAX(0,ROUND('기준스탯 72종'!J48-X1021-AF1021,0))</x:f>
        <x:v>1</x:v>
      </x:c>
      <x:c r="Q1021" s="2" t="n">
        <x:f>MAX(0,ROUND('기준스탯 72종'!K48-Y1021-AG1021,0))</x:f>
        <x:v>2</x:v>
      </x:c>
      <x:c r="R1021" s="15" t="n">
        <x:f>'기준스탯 72종'!D48*G1021</x:f>
        <x:v>1.2599999999999998</x:v>
      </x:c>
      <x:c r="S1021" s="15" t="n">
        <x:f>'기준스탯 72종'!E48*G1021</x:f>
        <x:v>0.8399999999999999</x:v>
      </x:c>
      <x:c r="T1021" s="15" t="n">
        <x:f>'기준스탯 72종'!F48*G1021</x:f>
        <x:v>0.8399999999999999</x:v>
      </x:c>
      <x:c r="U1021" s="15" t="n">
        <x:f>'기준스탯 72종'!G48*G1021</x:f>
        <x:v>1.2599999999999998</x:v>
      </x:c>
      <x:c r="V1021" s="15" t="n">
        <x:f>'기준스탯 72종'!H48*G1021</x:f>
        <x:v>0.7</x:v>
      </x:c>
      <x:c r="W1021" s="15" t="n">
        <x:f>'기준스탯 72종'!I48*G1021</x:f>
        <x:v>0.8399999999999999</x:v>
      </x:c>
      <x:c r="X1021" s="15" t="n">
        <x:f>'기준스탯 72종'!J48*G1021</x:f>
        <x:v>0.27999999999999997</x:v>
      </x:c>
      <x:c r="Y1021" s="15" t="n">
        <x:f>'기준스탯 72종'!K48*G1021</x:f>
        <x:v>0.41999999999999993</x:v>
      </x:c>
      <x:c r="Z1021" s="15" t="n">
        <x:f>'기준스탯 72종'!D48*H1021</x:f>
        <x:v>1.0800000000000003</x:v>
      </x:c>
      <x:c r="AA1021" s="15" t="n">
        <x:f>'기준스탯 72종'!E48*H1021</x:f>
        <x:v>0.7200000000000002</x:v>
      </x:c>
      <x:c r="AB1021" s="15" t="n">
        <x:f>'기준스탯 72종'!F48*H1021</x:f>
        <x:v>0.7200000000000002</x:v>
      </x:c>
      <x:c r="AC1021" s="15" t="n">
        <x:f>'기준스탯 72종'!G48*H1021</x:f>
        <x:v>1.0800000000000003</x:v>
      </x:c>
      <x:c r="AD1021" s="15" t="n">
        <x:f>'기준스탯 72종'!H48*H1021</x:f>
        <x:v>0.6000000000000001</x:v>
      </x:c>
      <x:c r="AE1021" s="15" t="n">
        <x:f>'기준스탯 72종'!I48*H1021</x:f>
        <x:v>0.7200000000000002</x:v>
      </x:c>
      <x:c r="AF1021" s="15" t="n">
        <x:f>'기준스탯 72종'!J48*H1021</x:f>
        <x:v>0.24000000000000005</x:v>
      </x:c>
      <x:c r="AG1021" s="15" t="n">
        <x:f>'기준스탯 72종'!K48*H1021</x:f>
        <x:v>0.3600000000000001</x:v>
      </x:c>
    </x:row>
    <x:row r="1022" ht="28" customHeight="1">
      <x:c r="A1022" s="2" t="n">
        <x:v>1015</x:v>
      </x:c>
      <x:c r="B1022" s="2" t="n">
        <x:v>41</x:v>
      </x:c>
      <x:c r="C1022" s="2" t="str">
        <x:v>천칭자리</x:v>
      </x:c>
      <x:c r="D1022" s="2" t="str">
        <x:v>도적</x:v>
      </x:c>
      <x:c r="E1022" s="2" t="n">
        <x:v>5</x:v>
      </x:c>
      <x:c r="F1022" s="2" t="n">
        <x:v>3</x:v>
      </x:c>
      <x:c r="G1022" s="14" t="n">
        <x:f>('레벨 계산식'!$E$4-E1022)*'레벨 계산식'!$B$5</x:f>
        <x:v>0</x:v>
      </x:c>
      <x:c r="H1022" s="14" t="n">
        <x:f>('등급 계산식'!$E$4-F1022)*'등급 계산식'!$B$5</x:f>
        <x:v>0.12000000000000002</x:v>
      </x:c>
      <x:c r="I1022" s="14" t="n">
        <x:f>1-G1022-H1022</x:f>
        <x:v>0.88</x:v>
      </x:c>
      <x:c r="J1022" s="2" t="n">
        <x:f>MAX(1,ROUND('기준스탯 72종'!D48-R1022-Z1022,0))</x:f>
        <x:v>8</x:v>
      </x:c>
      <x:c r="K1022" s="2" t="n">
        <x:f>MAX(1,ROUND('기준스탯 72종'!E48-S1022-AA1022,0))</x:f>
        <x:v>5</x:v>
      </x:c>
      <x:c r="L1022" s="2" t="n">
        <x:f>MAX(1,ROUND('기준스탯 72종'!F48-T1022-AB1022,0))</x:f>
        <x:v>5</x:v>
      </x:c>
      <x:c r="M1022" s="2" t="n">
        <x:f>MAX(1,ROUND('기준스탯 72종'!G48-U1022-AC1022,0))</x:f>
        <x:v>8</x:v>
      </x:c>
      <x:c r="N1022" s="2" t="n">
        <x:f>MAX(0,ROUND('기준스탯 72종'!H48-V1022-AD1022,0))</x:f>
        <x:v>4</x:v>
      </x:c>
      <x:c r="O1022" s="2" t="n">
        <x:f>MAX(0,ROUND('기준스탯 72종'!I48-W1022-AE1022,0))</x:f>
        <x:v>5</x:v>
      </x:c>
      <x:c r="P1022" s="2" t="n">
        <x:f>MAX(0,ROUND('기준스탯 72종'!J48-X1022-AF1022,0))</x:f>
        <x:v>2</x:v>
      </x:c>
      <x:c r="Q1022" s="2" t="n">
        <x:f>MAX(0,ROUND('기준스탯 72종'!K48-Y1022-AG1022,0))</x:f>
        <x:v>3</x:v>
      </x:c>
      <x:c r="R1022" s="15" t="n">
        <x:f>'기준스탯 72종'!D48*G1022</x:f>
        <x:v>0</x:v>
      </x:c>
      <x:c r="S1022" s="15" t="n">
        <x:f>'기준스탯 72종'!E48*G1022</x:f>
        <x:v>0</x:v>
      </x:c>
      <x:c r="T1022" s="15" t="n">
        <x:f>'기준스탯 72종'!F48*G1022</x:f>
        <x:v>0</x:v>
      </x:c>
      <x:c r="U1022" s="15" t="n">
        <x:f>'기준스탯 72종'!G48*G1022</x:f>
        <x:v>0</x:v>
      </x:c>
      <x:c r="V1022" s="15" t="n">
        <x:f>'기준스탯 72종'!H48*G1022</x:f>
        <x:v>0</x:v>
      </x:c>
      <x:c r="W1022" s="15" t="n">
        <x:f>'기준스탯 72종'!I48*G1022</x:f>
        <x:v>0</x:v>
      </x:c>
      <x:c r="X1022" s="15" t="n">
        <x:f>'기준스탯 72종'!J48*G1022</x:f>
        <x:v>0</x:v>
      </x:c>
      <x:c r="Y1022" s="15" t="n">
        <x:f>'기준스탯 72종'!K48*G1022</x:f>
        <x:v>0</x:v>
      </x:c>
      <x:c r="Z1022" s="15" t="n">
        <x:f>'기준스탯 72종'!D48*H1022</x:f>
        <x:v>1.0800000000000003</x:v>
      </x:c>
      <x:c r="AA1022" s="15" t="n">
        <x:f>'기준스탯 72종'!E48*H1022</x:f>
        <x:v>0.7200000000000002</x:v>
      </x:c>
      <x:c r="AB1022" s="15" t="n">
        <x:f>'기준스탯 72종'!F48*H1022</x:f>
        <x:v>0.7200000000000002</x:v>
      </x:c>
      <x:c r="AC1022" s="15" t="n">
        <x:f>'기준스탯 72종'!G48*H1022</x:f>
        <x:v>1.0800000000000003</x:v>
      </x:c>
      <x:c r="AD1022" s="15" t="n">
        <x:f>'기준스탯 72종'!H48*H1022</x:f>
        <x:v>0.6000000000000001</x:v>
      </x:c>
      <x:c r="AE1022" s="15" t="n">
        <x:f>'기준스탯 72종'!I48*H1022</x:f>
        <x:v>0.7200000000000002</x:v>
      </x:c>
      <x:c r="AF1022" s="15" t="n">
        <x:f>'기준스탯 72종'!J48*H1022</x:f>
        <x:v>0.24000000000000005</x:v>
      </x:c>
      <x:c r="AG1022" s="15" t="n">
        <x:f>'기준스탯 72종'!K48*H1022</x:f>
        <x:v>0.3600000000000001</x:v>
      </x:c>
    </x:row>
    <x:row r="1023" ht="28" customHeight="1">
      <x:c r="A1023" s="2" t="n">
        <x:v>1016</x:v>
      </x:c>
      <x:c r="B1023" s="2" t="n">
        <x:v>41</x:v>
      </x:c>
      <x:c r="C1023" s="2" t="str">
        <x:v>천칭자리</x:v>
      </x:c>
      <x:c r="D1023" s="2" t="str">
        <x:v>도적</x:v>
      </x:c>
      <x:c r="E1023" s="2" t="n">
        <x:v>1</x:v>
      </x:c>
      <x:c r="F1023" s="2" t="n">
        <x:v>4</x:v>
      </x:c>
      <x:c r="G1023" s="14" t="n">
        <x:f>('레벨 계산식'!$E$4-E1023)*'레벨 계산식'!$B$5</x:f>
        <x:v>0.5599999999999999</x:v>
      </x:c>
      <x:c r="H1023" s="14" t="n">
        <x:f>('등급 계산식'!$E$4-F1023)*'등급 계산식'!$B$5</x:f>
        <x:v>0.06000000000000001</x:v>
      </x:c>
      <x:c r="I1023" s="14" t="n">
        <x:f>1-G1023-H1023</x:f>
        <x:v>0.38000000000000006</x:v>
      </x:c>
      <x:c r="J1023" s="2" t="n">
        <x:f>MAX(1,ROUND('기준스탯 72종'!D48-R1023-Z1023,0))</x:f>
        <x:v>3</x:v>
      </x:c>
      <x:c r="K1023" s="2" t="n">
        <x:f>MAX(1,ROUND('기준스탯 72종'!E48-S1023-AA1023,0))</x:f>
        <x:v>2</x:v>
      </x:c>
      <x:c r="L1023" s="2" t="n">
        <x:f>MAX(1,ROUND('기준스탯 72종'!F48-T1023-AB1023,0))</x:f>
        <x:v>2</x:v>
      </x:c>
      <x:c r="M1023" s="2" t="n">
        <x:f>MAX(1,ROUND('기준스탯 72종'!G48-U1023-AC1023,0))</x:f>
        <x:v>3</x:v>
      </x:c>
      <x:c r="N1023" s="2" t="n">
        <x:f>MAX(0,ROUND('기준스탯 72종'!H48-V1023-AD1023,0))</x:f>
        <x:v>2</x:v>
      </x:c>
      <x:c r="O1023" s="2" t="n">
        <x:f>MAX(0,ROUND('기준스탯 72종'!I48-W1023-AE1023,0))</x:f>
        <x:v>2</x:v>
      </x:c>
      <x:c r="P1023" s="2" t="n">
        <x:f>MAX(0,ROUND('기준스탯 72종'!J48-X1023-AF1023,0))</x:f>
        <x:v>1</x:v>
      </x:c>
      <x:c r="Q1023" s="2" t="n">
        <x:f>MAX(0,ROUND('기준스탯 72종'!K48-Y1023-AG1023,0))</x:f>
        <x:v>1</x:v>
      </x:c>
      <x:c r="R1023" s="15" t="n">
        <x:f>'기준스탯 72종'!D48*G1023</x:f>
        <x:v>5.039999999999999</x:v>
      </x:c>
      <x:c r="S1023" s="15" t="n">
        <x:f>'기준스탯 72종'!E48*G1023</x:f>
        <x:v>3.3599999999999994</x:v>
      </x:c>
      <x:c r="T1023" s="15" t="n">
        <x:f>'기준스탯 72종'!F48*G1023</x:f>
        <x:v>3.3599999999999994</x:v>
      </x:c>
      <x:c r="U1023" s="15" t="n">
        <x:f>'기준스탯 72종'!G48*G1023</x:f>
        <x:v>5.039999999999999</x:v>
      </x:c>
      <x:c r="V1023" s="15" t="n">
        <x:f>'기준스탯 72종'!H48*G1023</x:f>
        <x:v>2.8</x:v>
      </x:c>
      <x:c r="W1023" s="15" t="n">
        <x:f>'기준스탯 72종'!I48*G1023</x:f>
        <x:v>3.3599999999999994</x:v>
      </x:c>
      <x:c r="X1023" s="15" t="n">
        <x:f>'기준스탯 72종'!J48*G1023</x:f>
        <x:v>1.1199999999999999</x:v>
      </x:c>
      <x:c r="Y1023" s="15" t="n">
        <x:f>'기준스탯 72종'!K48*G1023</x:f>
        <x:v>1.6799999999999997</x:v>
      </x:c>
      <x:c r="Z1023" s="15" t="n">
        <x:f>'기준스탯 72종'!D48*H1023</x:f>
        <x:v>0.5400000000000001</x:v>
      </x:c>
      <x:c r="AA1023" s="15" t="n">
        <x:f>'기준스탯 72종'!E48*H1023</x:f>
        <x:v>0.3600000000000001</x:v>
      </x:c>
      <x:c r="AB1023" s="15" t="n">
        <x:f>'기준스탯 72종'!F48*H1023</x:f>
        <x:v>0.3600000000000001</x:v>
      </x:c>
      <x:c r="AC1023" s="15" t="n">
        <x:f>'기준스탯 72종'!G48*H1023</x:f>
        <x:v>0.5400000000000001</x:v>
      </x:c>
      <x:c r="AD1023" s="15" t="n">
        <x:f>'기준스탯 72종'!H48*H1023</x:f>
        <x:v>0.30000000000000004</x:v>
      </x:c>
      <x:c r="AE1023" s="15" t="n">
        <x:f>'기준스탯 72종'!I48*H1023</x:f>
        <x:v>0.3600000000000001</x:v>
      </x:c>
      <x:c r="AF1023" s="15" t="n">
        <x:f>'기준스탯 72종'!J48*H1023</x:f>
        <x:v>0.12000000000000002</x:v>
      </x:c>
      <x:c r="AG1023" s="15" t="n">
        <x:f>'기준스탯 72종'!K48*H1023</x:f>
        <x:v>0.18000000000000005</x:v>
      </x:c>
    </x:row>
    <x:row r="1024" ht="28" customHeight="1">
      <x:c r="A1024" s="2" t="n">
        <x:v>1017</x:v>
      </x:c>
      <x:c r="B1024" s="2" t="n">
        <x:v>41</x:v>
      </x:c>
      <x:c r="C1024" s="2" t="str">
        <x:v>천칭자리</x:v>
      </x:c>
      <x:c r="D1024" s="2" t="str">
        <x:v>도적</x:v>
      </x:c>
      <x:c r="E1024" s="2" t="n">
        <x:v>2</x:v>
      </x:c>
      <x:c r="F1024" s="2" t="n">
        <x:v>4</x:v>
      </x:c>
      <x:c r="G1024" s="14" t="n">
        <x:f>('레벨 계산식'!$E$4-E1024)*'레벨 계산식'!$B$5</x:f>
        <x:v>0.41999999999999993</x:v>
      </x:c>
      <x:c r="H1024" s="14" t="n">
        <x:f>('등급 계산식'!$E$4-F1024)*'등급 계산식'!$B$5</x:f>
        <x:v>0.06000000000000001</x:v>
      </x:c>
      <x:c r="I1024" s="14" t="n">
        <x:f>1-G1024-H1024</x:f>
        <x:v>0.52</x:v>
      </x:c>
      <x:c r="J1024" s="2" t="n">
        <x:f>MAX(1,ROUND('기준스탯 72종'!D48-R1024-Z1024,0))</x:f>
        <x:v>5</x:v>
      </x:c>
      <x:c r="K1024" s="2" t="n">
        <x:f>MAX(1,ROUND('기준스탯 72종'!E48-S1024-AA1024,0))</x:f>
        <x:v>3</x:v>
      </x:c>
      <x:c r="L1024" s="2" t="n">
        <x:f>MAX(1,ROUND('기준스탯 72종'!F48-T1024-AB1024,0))</x:f>
        <x:v>3</x:v>
      </x:c>
      <x:c r="M1024" s="2" t="n">
        <x:f>MAX(1,ROUND('기준스탯 72종'!G48-U1024-AC1024,0))</x:f>
        <x:v>5</x:v>
      </x:c>
      <x:c r="N1024" s="2" t="n">
        <x:f>MAX(0,ROUND('기준스탯 72종'!H48-V1024-AD1024,0))</x:f>
        <x:v>3</x:v>
      </x:c>
      <x:c r="O1024" s="2" t="n">
        <x:f>MAX(0,ROUND('기준스탯 72종'!I48-W1024-AE1024,0))</x:f>
        <x:v>3</x:v>
      </x:c>
      <x:c r="P1024" s="2" t="n">
        <x:f>MAX(0,ROUND('기준스탯 72종'!J48-X1024-AF1024,0))</x:f>
        <x:v>1</x:v>
      </x:c>
      <x:c r="Q1024" s="2" t="n">
        <x:f>MAX(0,ROUND('기준스탯 72종'!K48-Y1024-AG1024,0))</x:f>
        <x:v>2</x:v>
      </x:c>
      <x:c r="R1024" s="15" t="n">
        <x:f>'기준스탯 72종'!D48*G1024</x:f>
        <x:v>3.7799999999999994</x:v>
      </x:c>
      <x:c r="S1024" s="15" t="n">
        <x:f>'기준스탯 72종'!E48*G1024</x:f>
        <x:v>2.5199999999999996</x:v>
      </x:c>
      <x:c r="T1024" s="15" t="n">
        <x:f>'기준스탯 72종'!F48*G1024</x:f>
        <x:v>2.5199999999999996</x:v>
      </x:c>
      <x:c r="U1024" s="15" t="n">
        <x:f>'기준스탯 72종'!G48*G1024</x:f>
        <x:v>3.7799999999999994</x:v>
      </x:c>
      <x:c r="V1024" s="15" t="n">
        <x:f>'기준스탯 72종'!H48*G1024</x:f>
        <x:v>2.0999999999999996</x:v>
      </x:c>
      <x:c r="W1024" s="15" t="n">
        <x:f>'기준스탯 72종'!I48*G1024</x:f>
        <x:v>2.5199999999999996</x:v>
      </x:c>
      <x:c r="X1024" s="15" t="n">
        <x:f>'기준스탯 72종'!J48*G1024</x:f>
        <x:v>0.8399999999999999</x:v>
      </x:c>
      <x:c r="Y1024" s="15" t="n">
        <x:f>'기준스탯 72종'!K48*G1024</x:f>
        <x:v>1.2599999999999998</x:v>
      </x:c>
      <x:c r="Z1024" s="15" t="n">
        <x:f>'기준스탯 72종'!D48*H1024</x:f>
        <x:v>0.5400000000000001</x:v>
      </x:c>
      <x:c r="AA1024" s="15" t="n">
        <x:f>'기준스탯 72종'!E48*H1024</x:f>
        <x:v>0.3600000000000001</x:v>
      </x:c>
      <x:c r="AB1024" s="15" t="n">
        <x:f>'기준스탯 72종'!F48*H1024</x:f>
        <x:v>0.3600000000000001</x:v>
      </x:c>
      <x:c r="AC1024" s="15" t="n">
        <x:f>'기준스탯 72종'!G48*H1024</x:f>
        <x:v>0.5400000000000001</x:v>
      </x:c>
      <x:c r="AD1024" s="15" t="n">
        <x:f>'기준스탯 72종'!H48*H1024</x:f>
        <x:v>0.30000000000000004</x:v>
      </x:c>
      <x:c r="AE1024" s="15" t="n">
        <x:f>'기준스탯 72종'!I48*H1024</x:f>
        <x:v>0.3600000000000001</x:v>
      </x:c>
      <x:c r="AF1024" s="15" t="n">
        <x:f>'기준스탯 72종'!J48*H1024</x:f>
        <x:v>0.12000000000000002</x:v>
      </x:c>
      <x:c r="AG1024" s="15" t="n">
        <x:f>'기준스탯 72종'!K48*H1024</x:f>
        <x:v>0.18000000000000005</x:v>
      </x:c>
    </x:row>
    <x:row r="1025" ht="28" customHeight="1">
      <x:c r="A1025" s="2" t="n">
        <x:v>1018</x:v>
      </x:c>
      <x:c r="B1025" s="2" t="n">
        <x:v>41</x:v>
      </x:c>
      <x:c r="C1025" s="2" t="str">
        <x:v>천칭자리</x:v>
      </x:c>
      <x:c r="D1025" s="2" t="str">
        <x:v>도적</x:v>
      </x:c>
      <x:c r="E1025" s="2" t="n">
        <x:v>3</x:v>
      </x:c>
      <x:c r="F1025" s="2" t="n">
        <x:v>4</x:v>
      </x:c>
      <x:c r="G1025" s="14" t="n">
        <x:f>('레벨 계산식'!$E$4-E1025)*'레벨 계산식'!$B$5</x:f>
        <x:v>0.27999999999999997</x:v>
      </x:c>
      <x:c r="H1025" s="14" t="n">
        <x:f>('등급 계산식'!$E$4-F1025)*'등급 계산식'!$B$5</x:f>
        <x:v>0.06000000000000001</x:v>
      </x:c>
      <x:c r="I1025" s="14" t="n">
        <x:f>1-G1025-H1025</x:f>
        <x:v>0.6599999999999999</x:v>
      </x:c>
      <x:c r="J1025" s="2" t="n">
        <x:f>MAX(1,ROUND('기준스탯 72종'!D48-R1025-Z1025,0))</x:f>
        <x:v>6</x:v>
      </x:c>
      <x:c r="K1025" s="2" t="n">
        <x:f>MAX(1,ROUND('기준스탯 72종'!E48-S1025-AA1025,0))</x:f>
        <x:v>4</x:v>
      </x:c>
      <x:c r="L1025" s="2" t="n">
        <x:f>MAX(1,ROUND('기준스탯 72종'!F48-T1025-AB1025,0))</x:f>
        <x:v>4</x:v>
      </x:c>
      <x:c r="M1025" s="2" t="n">
        <x:f>MAX(1,ROUND('기준스탯 72종'!G48-U1025-AC1025,0))</x:f>
        <x:v>6</x:v>
      </x:c>
      <x:c r="N1025" s="2" t="n">
        <x:f>MAX(0,ROUND('기준스탯 72종'!H48-V1025-AD1025,0))</x:f>
        <x:v>3</x:v>
      </x:c>
      <x:c r="O1025" s="2" t="n">
        <x:f>MAX(0,ROUND('기준스탯 72종'!I48-W1025-AE1025,0))</x:f>
        <x:v>4</x:v>
      </x:c>
      <x:c r="P1025" s="2" t="n">
        <x:f>MAX(0,ROUND('기준스탯 72종'!J48-X1025-AF1025,0))</x:f>
        <x:v>1</x:v>
      </x:c>
      <x:c r="Q1025" s="2" t="n">
        <x:f>MAX(0,ROUND('기준스탯 72종'!K48-Y1025-AG1025,0))</x:f>
        <x:v>2</x:v>
      </x:c>
      <x:c r="R1025" s="15" t="n">
        <x:f>'기준스탯 72종'!D48*G1025</x:f>
        <x:v>2.5199999999999996</x:v>
      </x:c>
      <x:c r="S1025" s="15" t="n">
        <x:f>'기준스탯 72종'!E48*G1025</x:f>
        <x:v>1.6799999999999997</x:v>
      </x:c>
      <x:c r="T1025" s="15" t="n">
        <x:f>'기준스탯 72종'!F48*G1025</x:f>
        <x:v>1.6799999999999997</x:v>
      </x:c>
      <x:c r="U1025" s="15" t="n">
        <x:f>'기준스탯 72종'!G48*G1025</x:f>
        <x:v>2.5199999999999996</x:v>
      </x:c>
      <x:c r="V1025" s="15" t="n">
        <x:f>'기준스탯 72종'!H48*G1025</x:f>
        <x:v>1.4</x:v>
      </x:c>
      <x:c r="W1025" s="15" t="n">
        <x:f>'기준스탯 72종'!I48*G1025</x:f>
        <x:v>1.6799999999999997</x:v>
      </x:c>
      <x:c r="X1025" s="15" t="n">
        <x:f>'기준스탯 72종'!J48*G1025</x:f>
        <x:v>0.5599999999999999</x:v>
      </x:c>
      <x:c r="Y1025" s="15" t="n">
        <x:f>'기준스탯 72종'!K48*G1025</x:f>
        <x:v>0.8399999999999999</x:v>
      </x:c>
      <x:c r="Z1025" s="15" t="n">
        <x:f>'기준스탯 72종'!D48*H1025</x:f>
        <x:v>0.5400000000000001</x:v>
      </x:c>
      <x:c r="AA1025" s="15" t="n">
        <x:f>'기준스탯 72종'!E48*H1025</x:f>
        <x:v>0.3600000000000001</x:v>
      </x:c>
      <x:c r="AB1025" s="15" t="n">
        <x:f>'기준스탯 72종'!F48*H1025</x:f>
        <x:v>0.3600000000000001</x:v>
      </x:c>
      <x:c r="AC1025" s="15" t="n">
        <x:f>'기준스탯 72종'!G48*H1025</x:f>
        <x:v>0.5400000000000001</x:v>
      </x:c>
      <x:c r="AD1025" s="15" t="n">
        <x:f>'기준스탯 72종'!H48*H1025</x:f>
        <x:v>0.30000000000000004</x:v>
      </x:c>
      <x:c r="AE1025" s="15" t="n">
        <x:f>'기준스탯 72종'!I48*H1025</x:f>
        <x:v>0.3600000000000001</x:v>
      </x:c>
      <x:c r="AF1025" s="15" t="n">
        <x:f>'기준스탯 72종'!J48*H1025</x:f>
        <x:v>0.12000000000000002</x:v>
      </x:c>
      <x:c r="AG1025" s="15" t="n">
        <x:f>'기준스탯 72종'!K48*H1025</x:f>
        <x:v>0.18000000000000005</x:v>
      </x:c>
    </x:row>
    <x:row r="1026" ht="28" customHeight="1">
      <x:c r="A1026" s="2" t="n">
        <x:v>1019</x:v>
      </x:c>
      <x:c r="B1026" s="2" t="n">
        <x:v>41</x:v>
      </x:c>
      <x:c r="C1026" s="2" t="str">
        <x:v>천칭자리</x:v>
      </x:c>
      <x:c r="D1026" s="2" t="str">
        <x:v>도적</x:v>
      </x:c>
      <x:c r="E1026" s="2" t="n">
        <x:v>4</x:v>
      </x:c>
      <x:c r="F1026" s="2" t="n">
        <x:v>4</x:v>
      </x:c>
      <x:c r="G1026" s="14" t="n">
        <x:f>('레벨 계산식'!$E$4-E1026)*'레벨 계산식'!$B$5</x:f>
        <x:v>0.13999999999999999</x:v>
      </x:c>
      <x:c r="H1026" s="14" t="n">
        <x:f>('등급 계산식'!$E$4-F1026)*'등급 계산식'!$B$5</x:f>
        <x:v>0.06000000000000001</x:v>
      </x:c>
      <x:c r="I1026" s="14" t="n">
        <x:f>1-G1026-H1026</x:f>
        <x:v>0.7999999999999999</x:v>
      </x:c>
      <x:c r="J1026" s="2" t="n">
        <x:f>MAX(1,ROUND('기준스탯 72종'!D48-R1026-Z1026,0))</x:f>
        <x:v>7</x:v>
      </x:c>
      <x:c r="K1026" s="2" t="n">
        <x:f>MAX(1,ROUND('기준스탯 72종'!E48-S1026-AA1026,0))</x:f>
        <x:v>5</x:v>
      </x:c>
      <x:c r="L1026" s="2" t="n">
        <x:f>MAX(1,ROUND('기준스탯 72종'!F48-T1026-AB1026,0))</x:f>
        <x:v>5</x:v>
      </x:c>
      <x:c r="M1026" s="2" t="n">
        <x:f>MAX(1,ROUND('기준스탯 72종'!G48-U1026-AC1026,0))</x:f>
        <x:v>7</x:v>
      </x:c>
      <x:c r="N1026" s="2" t="n">
        <x:f>MAX(0,ROUND('기준스탯 72종'!H48-V1026-AD1026,0))</x:f>
        <x:v>4</x:v>
      </x:c>
      <x:c r="O1026" s="2" t="n">
        <x:f>MAX(0,ROUND('기준스탯 72종'!I48-W1026-AE1026,0))</x:f>
        <x:v>5</x:v>
      </x:c>
      <x:c r="P1026" s="2" t="n">
        <x:f>MAX(0,ROUND('기준스탯 72종'!J48-X1026-AF1026,0))</x:f>
        <x:v>2</x:v>
      </x:c>
      <x:c r="Q1026" s="2" t="n">
        <x:f>MAX(0,ROUND('기준스탯 72종'!K48-Y1026-AG1026,0))</x:f>
        <x:v>2</x:v>
      </x:c>
      <x:c r="R1026" s="15" t="n">
        <x:f>'기준스탯 72종'!D48*G1026</x:f>
        <x:v>1.2599999999999998</x:v>
      </x:c>
      <x:c r="S1026" s="15" t="n">
        <x:f>'기준스탯 72종'!E48*G1026</x:f>
        <x:v>0.8399999999999999</x:v>
      </x:c>
      <x:c r="T1026" s="15" t="n">
        <x:f>'기준스탯 72종'!F48*G1026</x:f>
        <x:v>0.8399999999999999</x:v>
      </x:c>
      <x:c r="U1026" s="15" t="n">
        <x:f>'기준스탯 72종'!G48*G1026</x:f>
        <x:v>1.2599999999999998</x:v>
      </x:c>
      <x:c r="V1026" s="15" t="n">
        <x:f>'기준스탯 72종'!H48*G1026</x:f>
        <x:v>0.7</x:v>
      </x:c>
      <x:c r="W1026" s="15" t="n">
        <x:f>'기준스탯 72종'!I48*G1026</x:f>
        <x:v>0.8399999999999999</x:v>
      </x:c>
      <x:c r="X1026" s="15" t="n">
        <x:f>'기준스탯 72종'!J48*G1026</x:f>
        <x:v>0.27999999999999997</x:v>
      </x:c>
      <x:c r="Y1026" s="15" t="n">
        <x:f>'기준스탯 72종'!K48*G1026</x:f>
        <x:v>0.41999999999999993</x:v>
      </x:c>
      <x:c r="Z1026" s="15" t="n">
        <x:f>'기준스탯 72종'!D48*H1026</x:f>
        <x:v>0.5400000000000001</x:v>
      </x:c>
      <x:c r="AA1026" s="15" t="n">
        <x:f>'기준스탯 72종'!E48*H1026</x:f>
        <x:v>0.3600000000000001</x:v>
      </x:c>
      <x:c r="AB1026" s="15" t="n">
        <x:f>'기준스탯 72종'!F48*H1026</x:f>
        <x:v>0.3600000000000001</x:v>
      </x:c>
      <x:c r="AC1026" s="15" t="n">
        <x:f>'기준스탯 72종'!G48*H1026</x:f>
        <x:v>0.5400000000000001</x:v>
      </x:c>
      <x:c r="AD1026" s="15" t="n">
        <x:f>'기준스탯 72종'!H48*H1026</x:f>
        <x:v>0.30000000000000004</x:v>
      </x:c>
      <x:c r="AE1026" s="15" t="n">
        <x:f>'기준스탯 72종'!I48*H1026</x:f>
        <x:v>0.3600000000000001</x:v>
      </x:c>
      <x:c r="AF1026" s="15" t="n">
        <x:f>'기준스탯 72종'!J48*H1026</x:f>
        <x:v>0.12000000000000002</x:v>
      </x:c>
      <x:c r="AG1026" s="15" t="n">
        <x:f>'기준스탯 72종'!K48*H1026</x:f>
        <x:v>0.18000000000000005</x:v>
      </x:c>
    </x:row>
    <x:row r="1027" ht="28" customHeight="1">
      <x:c r="A1027" s="2" t="n">
        <x:v>1020</x:v>
      </x:c>
      <x:c r="B1027" s="2" t="n">
        <x:v>41</x:v>
      </x:c>
      <x:c r="C1027" s="2" t="str">
        <x:v>천칭자리</x:v>
      </x:c>
      <x:c r="D1027" s="2" t="str">
        <x:v>도적</x:v>
      </x:c>
      <x:c r="E1027" s="2" t="n">
        <x:v>5</x:v>
      </x:c>
      <x:c r="F1027" s="2" t="n">
        <x:v>4</x:v>
      </x:c>
      <x:c r="G1027" s="14" t="n">
        <x:f>('레벨 계산식'!$E$4-E1027)*'레벨 계산식'!$B$5</x:f>
        <x:v>0</x:v>
      </x:c>
      <x:c r="H1027" s="14" t="n">
        <x:f>('등급 계산식'!$E$4-F1027)*'등급 계산식'!$B$5</x:f>
        <x:v>0.06000000000000001</x:v>
      </x:c>
      <x:c r="I1027" s="14" t="n">
        <x:f>1-G1027-H1027</x:f>
        <x:v>0.94</x:v>
      </x:c>
      <x:c r="J1027" s="2" t="n">
        <x:f>MAX(1,ROUND('기준스탯 72종'!D48-R1027-Z1027,0))</x:f>
        <x:v>8</x:v>
      </x:c>
      <x:c r="K1027" s="2" t="n">
        <x:f>MAX(1,ROUND('기준스탯 72종'!E48-S1027-AA1027,0))</x:f>
        <x:v>6</x:v>
      </x:c>
      <x:c r="L1027" s="2" t="n">
        <x:f>MAX(1,ROUND('기준스탯 72종'!F48-T1027-AB1027,0))</x:f>
        <x:v>6</x:v>
      </x:c>
      <x:c r="M1027" s="2" t="n">
        <x:f>MAX(1,ROUND('기준스탯 72종'!G48-U1027-AC1027,0))</x:f>
        <x:v>8</x:v>
      </x:c>
      <x:c r="N1027" s="2" t="n">
        <x:f>MAX(0,ROUND('기준스탯 72종'!H48-V1027-AD1027,0))</x:f>
        <x:v>5</x:v>
      </x:c>
      <x:c r="O1027" s="2" t="n">
        <x:f>MAX(0,ROUND('기준스탯 72종'!I48-W1027-AE1027,0))</x:f>
        <x:v>6</x:v>
      </x:c>
      <x:c r="P1027" s="2" t="n">
        <x:f>MAX(0,ROUND('기준스탯 72종'!J48-X1027-AF1027,0))</x:f>
        <x:v>2</x:v>
      </x:c>
      <x:c r="Q1027" s="2" t="n">
        <x:f>MAX(0,ROUND('기준스탯 72종'!K48-Y1027-AG1027,0))</x:f>
        <x:v>3</x:v>
      </x:c>
      <x:c r="R1027" s="15" t="n">
        <x:f>'기준스탯 72종'!D48*G1027</x:f>
        <x:v>0</x:v>
      </x:c>
      <x:c r="S1027" s="15" t="n">
        <x:f>'기준스탯 72종'!E48*G1027</x:f>
        <x:v>0</x:v>
      </x:c>
      <x:c r="T1027" s="15" t="n">
        <x:f>'기준스탯 72종'!F48*G1027</x:f>
        <x:v>0</x:v>
      </x:c>
      <x:c r="U1027" s="15" t="n">
        <x:f>'기준스탯 72종'!G48*G1027</x:f>
        <x:v>0</x:v>
      </x:c>
      <x:c r="V1027" s="15" t="n">
        <x:f>'기준스탯 72종'!H48*G1027</x:f>
        <x:v>0</x:v>
      </x:c>
      <x:c r="W1027" s="15" t="n">
        <x:f>'기준스탯 72종'!I48*G1027</x:f>
        <x:v>0</x:v>
      </x:c>
      <x:c r="X1027" s="15" t="n">
        <x:f>'기준스탯 72종'!J48*G1027</x:f>
        <x:v>0</x:v>
      </x:c>
      <x:c r="Y1027" s="15" t="n">
        <x:f>'기준스탯 72종'!K48*G1027</x:f>
        <x:v>0</x:v>
      </x:c>
      <x:c r="Z1027" s="15" t="n">
        <x:f>'기준스탯 72종'!D48*H1027</x:f>
        <x:v>0.5400000000000001</x:v>
      </x:c>
      <x:c r="AA1027" s="15" t="n">
        <x:f>'기준스탯 72종'!E48*H1027</x:f>
        <x:v>0.3600000000000001</x:v>
      </x:c>
      <x:c r="AB1027" s="15" t="n">
        <x:f>'기준스탯 72종'!F48*H1027</x:f>
        <x:v>0.3600000000000001</x:v>
      </x:c>
      <x:c r="AC1027" s="15" t="n">
        <x:f>'기준스탯 72종'!G48*H1027</x:f>
        <x:v>0.5400000000000001</x:v>
      </x:c>
      <x:c r="AD1027" s="15" t="n">
        <x:f>'기준스탯 72종'!H48*H1027</x:f>
        <x:v>0.30000000000000004</x:v>
      </x:c>
      <x:c r="AE1027" s="15" t="n">
        <x:f>'기준스탯 72종'!I48*H1027</x:f>
        <x:v>0.3600000000000001</x:v>
      </x:c>
      <x:c r="AF1027" s="15" t="n">
        <x:f>'기준스탯 72종'!J48*H1027</x:f>
        <x:v>0.12000000000000002</x:v>
      </x:c>
      <x:c r="AG1027" s="15" t="n">
        <x:f>'기준스탯 72종'!K48*H1027</x:f>
        <x:v>0.18000000000000005</x:v>
      </x:c>
    </x:row>
    <x:row r="1028" ht="28" customHeight="1">
      <x:c r="A1028" s="2" t="n">
        <x:v>1021</x:v>
      </x:c>
      <x:c r="B1028" s="2" t="n">
        <x:v>41</x:v>
      </x:c>
      <x:c r="C1028" s="2" t="str">
        <x:v>천칭자리</x:v>
      </x:c>
      <x:c r="D1028" s="2" t="str">
        <x:v>도적</x:v>
      </x:c>
      <x:c r="E1028" s="2" t="n">
        <x:v>1</x:v>
      </x:c>
      <x:c r="F1028" s="2" t="n">
        <x:v>5</x:v>
      </x:c>
      <x:c r="G1028" s="14" t="n">
        <x:f>('레벨 계산식'!$E$4-E1028)*'레벨 계산식'!$B$5</x:f>
        <x:v>0.5599999999999999</x:v>
      </x:c>
      <x:c r="H1028" s="14" t="n">
        <x:f>('등급 계산식'!$E$4-F1028)*'등급 계산식'!$B$5</x:f>
        <x:v>0</x:v>
      </x:c>
      <x:c r="I1028" s="14" t="n">
        <x:f>1-G1028-H1028</x:f>
        <x:v>0.44000000000000006</x:v>
      </x:c>
      <x:c r="J1028" s="2" t="n">
        <x:f>MAX(1,ROUND('기준스탯 72종'!D48-R1028-Z1028,0))</x:f>
        <x:v>4</x:v>
      </x:c>
      <x:c r="K1028" s="2" t="n">
        <x:f>MAX(1,ROUND('기준스탯 72종'!E48-S1028-AA1028,0))</x:f>
        <x:v>3</x:v>
      </x:c>
      <x:c r="L1028" s="2" t="n">
        <x:f>MAX(1,ROUND('기준스탯 72종'!F48-T1028-AB1028,0))</x:f>
        <x:v>3</x:v>
      </x:c>
      <x:c r="M1028" s="2" t="n">
        <x:f>MAX(1,ROUND('기준스탯 72종'!G48-U1028-AC1028,0))</x:f>
        <x:v>4</x:v>
      </x:c>
      <x:c r="N1028" s="2" t="n">
        <x:f>MAX(0,ROUND('기준스탯 72종'!H48-V1028-AD1028,0))</x:f>
        <x:v>2</x:v>
      </x:c>
      <x:c r="O1028" s="2" t="n">
        <x:f>MAX(0,ROUND('기준스탯 72종'!I48-W1028-AE1028,0))</x:f>
        <x:v>3</x:v>
      </x:c>
      <x:c r="P1028" s="2" t="n">
        <x:f>MAX(0,ROUND('기준스탯 72종'!J48-X1028-AF1028,0))</x:f>
        <x:v>1</x:v>
      </x:c>
      <x:c r="Q1028" s="2" t="n">
        <x:f>MAX(0,ROUND('기준스탯 72종'!K48-Y1028-AG1028,0))</x:f>
        <x:v>1</x:v>
      </x:c>
      <x:c r="R1028" s="15" t="n">
        <x:f>'기준스탯 72종'!D48*G1028</x:f>
        <x:v>5.039999999999999</x:v>
      </x:c>
      <x:c r="S1028" s="15" t="n">
        <x:f>'기준스탯 72종'!E48*G1028</x:f>
        <x:v>3.3599999999999994</x:v>
      </x:c>
      <x:c r="T1028" s="15" t="n">
        <x:f>'기준스탯 72종'!F48*G1028</x:f>
        <x:v>3.3599999999999994</x:v>
      </x:c>
      <x:c r="U1028" s="15" t="n">
        <x:f>'기준스탯 72종'!G48*G1028</x:f>
        <x:v>5.039999999999999</x:v>
      </x:c>
      <x:c r="V1028" s="15" t="n">
        <x:f>'기준스탯 72종'!H48*G1028</x:f>
        <x:v>2.8</x:v>
      </x:c>
      <x:c r="W1028" s="15" t="n">
        <x:f>'기준스탯 72종'!I48*G1028</x:f>
        <x:v>3.3599999999999994</x:v>
      </x:c>
      <x:c r="X1028" s="15" t="n">
        <x:f>'기준스탯 72종'!J48*G1028</x:f>
        <x:v>1.1199999999999999</x:v>
      </x:c>
      <x:c r="Y1028" s="15" t="n">
        <x:f>'기준스탯 72종'!K48*G1028</x:f>
        <x:v>1.6799999999999997</x:v>
      </x:c>
      <x:c r="Z1028" s="15" t="n">
        <x:f>'기준스탯 72종'!D48*H1028</x:f>
        <x:v>0</x:v>
      </x:c>
      <x:c r="AA1028" s="15" t="n">
        <x:f>'기준스탯 72종'!E48*H1028</x:f>
        <x:v>0</x:v>
      </x:c>
      <x:c r="AB1028" s="15" t="n">
        <x:f>'기준스탯 72종'!F48*H1028</x:f>
        <x:v>0</x:v>
      </x:c>
      <x:c r="AC1028" s="15" t="n">
        <x:f>'기준스탯 72종'!G48*H1028</x:f>
        <x:v>0</x:v>
      </x:c>
      <x:c r="AD1028" s="15" t="n">
        <x:f>'기준스탯 72종'!H48*H1028</x:f>
        <x:v>0</x:v>
      </x:c>
      <x:c r="AE1028" s="15" t="n">
        <x:f>'기준스탯 72종'!I48*H1028</x:f>
        <x:v>0</x:v>
      </x:c>
      <x:c r="AF1028" s="15" t="n">
        <x:f>'기준스탯 72종'!J48*H1028</x:f>
        <x:v>0</x:v>
      </x:c>
      <x:c r="AG1028" s="15" t="n">
        <x:f>'기준스탯 72종'!K48*H1028</x:f>
        <x:v>0</x:v>
      </x:c>
    </x:row>
    <x:row r="1029" ht="28" customHeight="1">
      <x:c r="A1029" s="2" t="n">
        <x:v>1022</x:v>
      </x:c>
      <x:c r="B1029" s="2" t="n">
        <x:v>41</x:v>
      </x:c>
      <x:c r="C1029" s="2" t="str">
        <x:v>천칭자리</x:v>
      </x:c>
      <x:c r="D1029" s="2" t="str">
        <x:v>도적</x:v>
      </x:c>
      <x:c r="E1029" s="2" t="n">
        <x:v>2</x:v>
      </x:c>
      <x:c r="F1029" s="2" t="n">
        <x:v>5</x:v>
      </x:c>
      <x:c r="G1029" s="14" t="n">
        <x:f>('레벨 계산식'!$E$4-E1029)*'레벨 계산식'!$B$5</x:f>
        <x:v>0.41999999999999993</x:v>
      </x:c>
      <x:c r="H1029" s="14" t="n">
        <x:f>('등급 계산식'!$E$4-F1029)*'등급 계산식'!$B$5</x:f>
        <x:v>0</x:v>
      </x:c>
      <x:c r="I1029" s="14" t="n">
        <x:f>1-G1029-H1029</x:f>
        <x:v>0.5800000000000001</x:v>
      </x:c>
      <x:c r="J1029" s="2" t="n">
        <x:f>MAX(1,ROUND('기준스탯 72종'!D48-R1029-Z1029,0))</x:f>
        <x:v>5</x:v>
      </x:c>
      <x:c r="K1029" s="2" t="n">
        <x:f>MAX(1,ROUND('기준스탯 72종'!E48-S1029-AA1029,0))</x:f>
        <x:v>3</x:v>
      </x:c>
      <x:c r="L1029" s="2" t="n">
        <x:f>MAX(1,ROUND('기준스탯 72종'!F48-T1029-AB1029,0))</x:f>
        <x:v>3</x:v>
      </x:c>
      <x:c r="M1029" s="2" t="n">
        <x:f>MAX(1,ROUND('기준스탯 72종'!G48-U1029-AC1029,0))</x:f>
        <x:v>5</x:v>
      </x:c>
      <x:c r="N1029" s="2" t="n">
        <x:f>MAX(0,ROUND('기준스탯 72종'!H48-V1029-AD1029,0))</x:f>
        <x:v>3</x:v>
      </x:c>
      <x:c r="O1029" s="2" t="n">
        <x:f>MAX(0,ROUND('기준스탯 72종'!I48-W1029-AE1029,0))</x:f>
        <x:v>3</x:v>
      </x:c>
      <x:c r="P1029" s="2" t="n">
        <x:f>MAX(0,ROUND('기준스탯 72종'!J48-X1029-AF1029,0))</x:f>
        <x:v>1</x:v>
      </x:c>
      <x:c r="Q1029" s="2" t="n">
        <x:f>MAX(0,ROUND('기준스탯 72종'!K48-Y1029-AG1029,0))</x:f>
        <x:v>2</x:v>
      </x:c>
      <x:c r="R1029" s="15" t="n">
        <x:f>'기준스탯 72종'!D48*G1029</x:f>
        <x:v>3.7799999999999994</x:v>
      </x:c>
      <x:c r="S1029" s="15" t="n">
        <x:f>'기준스탯 72종'!E48*G1029</x:f>
        <x:v>2.5199999999999996</x:v>
      </x:c>
      <x:c r="T1029" s="15" t="n">
        <x:f>'기준스탯 72종'!F48*G1029</x:f>
        <x:v>2.5199999999999996</x:v>
      </x:c>
      <x:c r="U1029" s="15" t="n">
        <x:f>'기준스탯 72종'!G48*G1029</x:f>
        <x:v>3.7799999999999994</x:v>
      </x:c>
      <x:c r="V1029" s="15" t="n">
        <x:f>'기준스탯 72종'!H48*G1029</x:f>
        <x:v>2.0999999999999996</x:v>
      </x:c>
      <x:c r="W1029" s="15" t="n">
        <x:f>'기준스탯 72종'!I48*G1029</x:f>
        <x:v>2.5199999999999996</x:v>
      </x:c>
      <x:c r="X1029" s="15" t="n">
        <x:f>'기준스탯 72종'!J48*G1029</x:f>
        <x:v>0.8399999999999999</x:v>
      </x:c>
      <x:c r="Y1029" s="15" t="n">
        <x:f>'기준스탯 72종'!K48*G1029</x:f>
        <x:v>1.2599999999999998</x:v>
      </x:c>
      <x:c r="Z1029" s="15" t="n">
        <x:f>'기준스탯 72종'!D48*H1029</x:f>
        <x:v>0</x:v>
      </x:c>
      <x:c r="AA1029" s="15" t="n">
        <x:f>'기준스탯 72종'!E48*H1029</x:f>
        <x:v>0</x:v>
      </x:c>
      <x:c r="AB1029" s="15" t="n">
        <x:f>'기준스탯 72종'!F48*H1029</x:f>
        <x:v>0</x:v>
      </x:c>
      <x:c r="AC1029" s="15" t="n">
        <x:f>'기준스탯 72종'!G48*H1029</x:f>
        <x:v>0</x:v>
      </x:c>
      <x:c r="AD1029" s="15" t="n">
        <x:f>'기준스탯 72종'!H48*H1029</x:f>
        <x:v>0</x:v>
      </x:c>
      <x:c r="AE1029" s="15" t="n">
        <x:f>'기준스탯 72종'!I48*H1029</x:f>
        <x:v>0</x:v>
      </x:c>
      <x:c r="AF1029" s="15" t="n">
        <x:f>'기준스탯 72종'!J48*H1029</x:f>
        <x:v>0</x:v>
      </x:c>
      <x:c r="AG1029" s="15" t="n">
        <x:f>'기준스탯 72종'!K48*H1029</x:f>
        <x:v>0</x:v>
      </x:c>
    </x:row>
    <x:row r="1030" ht="28" customHeight="1">
      <x:c r="A1030" s="2" t="n">
        <x:v>1023</x:v>
      </x:c>
      <x:c r="B1030" s="2" t="n">
        <x:v>41</x:v>
      </x:c>
      <x:c r="C1030" s="2" t="str">
        <x:v>천칭자리</x:v>
      </x:c>
      <x:c r="D1030" s="2" t="str">
        <x:v>도적</x:v>
      </x:c>
      <x:c r="E1030" s="2" t="n">
        <x:v>3</x:v>
      </x:c>
      <x:c r="F1030" s="2" t="n">
        <x:v>5</x:v>
      </x:c>
      <x:c r="G1030" s="14" t="n">
        <x:f>('레벨 계산식'!$E$4-E1030)*'레벨 계산식'!$B$5</x:f>
        <x:v>0.27999999999999997</x:v>
      </x:c>
      <x:c r="H1030" s="14" t="n">
        <x:f>('등급 계산식'!$E$4-F1030)*'등급 계산식'!$B$5</x:f>
        <x:v>0</x:v>
      </x:c>
      <x:c r="I1030" s="14" t="n">
        <x:f>1-G1030-H1030</x:f>
        <x:v>0.72</x:v>
      </x:c>
      <x:c r="J1030" s="2" t="n">
        <x:f>MAX(1,ROUND('기준스탯 72종'!D48-R1030-Z1030,0))</x:f>
        <x:v>6</x:v>
      </x:c>
      <x:c r="K1030" s="2" t="n">
        <x:f>MAX(1,ROUND('기준스탯 72종'!E48-S1030-AA1030,0))</x:f>
        <x:v>4</x:v>
      </x:c>
      <x:c r="L1030" s="2" t="n">
        <x:f>MAX(1,ROUND('기준스탯 72종'!F48-T1030-AB1030,0))</x:f>
        <x:v>4</x:v>
      </x:c>
      <x:c r="M1030" s="2" t="n">
        <x:f>MAX(1,ROUND('기준스탯 72종'!G48-U1030-AC1030,0))</x:f>
        <x:v>6</x:v>
      </x:c>
      <x:c r="N1030" s="2" t="n">
        <x:f>MAX(0,ROUND('기준스탯 72종'!H48-V1030-AD1030,0))</x:f>
        <x:v>4</x:v>
      </x:c>
      <x:c r="O1030" s="2" t="n">
        <x:f>MAX(0,ROUND('기준스탯 72종'!I48-W1030-AE1030,0))</x:f>
        <x:v>4</x:v>
      </x:c>
      <x:c r="P1030" s="2" t="n">
        <x:f>MAX(0,ROUND('기준스탯 72종'!J48-X1030-AF1030,0))</x:f>
        <x:v>1</x:v>
      </x:c>
      <x:c r="Q1030" s="2" t="n">
        <x:f>MAX(0,ROUND('기준스탯 72종'!K48-Y1030-AG1030,0))</x:f>
        <x:v>2</x:v>
      </x:c>
      <x:c r="R1030" s="15" t="n">
        <x:f>'기준스탯 72종'!D48*G1030</x:f>
        <x:v>2.5199999999999996</x:v>
      </x:c>
      <x:c r="S1030" s="15" t="n">
        <x:f>'기준스탯 72종'!E48*G1030</x:f>
        <x:v>1.6799999999999997</x:v>
      </x:c>
      <x:c r="T1030" s="15" t="n">
        <x:f>'기준스탯 72종'!F48*G1030</x:f>
        <x:v>1.6799999999999997</x:v>
      </x:c>
      <x:c r="U1030" s="15" t="n">
        <x:f>'기준스탯 72종'!G48*G1030</x:f>
        <x:v>2.5199999999999996</x:v>
      </x:c>
      <x:c r="V1030" s="15" t="n">
        <x:f>'기준스탯 72종'!H48*G1030</x:f>
        <x:v>1.4</x:v>
      </x:c>
      <x:c r="W1030" s="15" t="n">
        <x:f>'기준스탯 72종'!I48*G1030</x:f>
        <x:v>1.6799999999999997</x:v>
      </x:c>
      <x:c r="X1030" s="15" t="n">
        <x:f>'기준스탯 72종'!J48*G1030</x:f>
        <x:v>0.5599999999999999</x:v>
      </x:c>
      <x:c r="Y1030" s="15" t="n">
        <x:f>'기준스탯 72종'!K48*G1030</x:f>
        <x:v>0.8399999999999999</x:v>
      </x:c>
      <x:c r="Z1030" s="15" t="n">
        <x:f>'기준스탯 72종'!D48*H1030</x:f>
        <x:v>0</x:v>
      </x:c>
      <x:c r="AA1030" s="15" t="n">
        <x:f>'기준스탯 72종'!E48*H1030</x:f>
        <x:v>0</x:v>
      </x:c>
      <x:c r="AB1030" s="15" t="n">
        <x:f>'기준스탯 72종'!F48*H1030</x:f>
        <x:v>0</x:v>
      </x:c>
      <x:c r="AC1030" s="15" t="n">
        <x:f>'기준스탯 72종'!G48*H1030</x:f>
        <x:v>0</x:v>
      </x:c>
      <x:c r="AD1030" s="15" t="n">
        <x:f>'기준스탯 72종'!H48*H1030</x:f>
        <x:v>0</x:v>
      </x:c>
      <x:c r="AE1030" s="15" t="n">
        <x:f>'기준스탯 72종'!I48*H1030</x:f>
        <x:v>0</x:v>
      </x:c>
      <x:c r="AF1030" s="15" t="n">
        <x:f>'기준스탯 72종'!J48*H1030</x:f>
        <x:v>0</x:v>
      </x:c>
      <x:c r="AG1030" s="15" t="n">
        <x:f>'기준스탯 72종'!K48*H1030</x:f>
        <x:v>0</x:v>
      </x:c>
    </x:row>
    <x:row r="1031" ht="28" customHeight="1">
      <x:c r="A1031" s="2" t="n">
        <x:v>1024</x:v>
      </x:c>
      <x:c r="B1031" s="2" t="n">
        <x:v>41</x:v>
      </x:c>
      <x:c r="C1031" s="2" t="str">
        <x:v>천칭자리</x:v>
      </x:c>
      <x:c r="D1031" s="2" t="str">
        <x:v>도적</x:v>
      </x:c>
      <x:c r="E1031" s="2" t="n">
        <x:v>4</x:v>
      </x:c>
      <x:c r="F1031" s="2" t="n">
        <x:v>5</x:v>
      </x:c>
      <x:c r="G1031" s="14" t="n">
        <x:f>('레벨 계산식'!$E$4-E1031)*'레벨 계산식'!$B$5</x:f>
        <x:v>0.13999999999999999</x:v>
      </x:c>
      <x:c r="H1031" s="14" t="n">
        <x:f>('등급 계산식'!$E$4-F1031)*'등급 계산식'!$B$5</x:f>
        <x:v>0</x:v>
      </x:c>
      <x:c r="I1031" s="14" t="n">
        <x:f>1-G1031-H1031</x:f>
        <x:v>0.86</x:v>
      </x:c>
      <x:c r="J1031" s="2" t="n">
        <x:f>MAX(1,ROUND('기준스탯 72종'!D48-R1031-Z1031,0))</x:f>
        <x:v>8</x:v>
      </x:c>
      <x:c r="K1031" s="2" t="n">
        <x:f>MAX(1,ROUND('기준스탯 72종'!E48-S1031-AA1031,0))</x:f>
        <x:v>5</x:v>
      </x:c>
      <x:c r="L1031" s="2" t="n">
        <x:f>MAX(1,ROUND('기준스탯 72종'!F48-T1031-AB1031,0))</x:f>
        <x:v>5</x:v>
      </x:c>
      <x:c r="M1031" s="2" t="n">
        <x:f>MAX(1,ROUND('기준스탯 72종'!G48-U1031-AC1031,0))</x:f>
        <x:v>8</x:v>
      </x:c>
      <x:c r="N1031" s="2" t="n">
        <x:f>MAX(0,ROUND('기준스탯 72종'!H48-V1031-AD1031,0))</x:f>
        <x:v>4</x:v>
      </x:c>
      <x:c r="O1031" s="2" t="n">
        <x:f>MAX(0,ROUND('기준스탯 72종'!I48-W1031-AE1031,0))</x:f>
        <x:v>5</x:v>
      </x:c>
      <x:c r="P1031" s="2" t="n">
        <x:f>MAX(0,ROUND('기준스탯 72종'!J48-X1031-AF1031,0))</x:f>
        <x:v>2</x:v>
      </x:c>
      <x:c r="Q1031" s="2" t="n">
        <x:f>MAX(0,ROUND('기준스탯 72종'!K48-Y1031-AG1031,0))</x:f>
        <x:v>3</x:v>
      </x:c>
      <x:c r="R1031" s="15" t="n">
        <x:f>'기준스탯 72종'!D48*G1031</x:f>
        <x:v>1.2599999999999998</x:v>
      </x:c>
      <x:c r="S1031" s="15" t="n">
        <x:f>'기준스탯 72종'!E48*G1031</x:f>
        <x:v>0.8399999999999999</x:v>
      </x:c>
      <x:c r="T1031" s="15" t="n">
        <x:f>'기준스탯 72종'!F48*G1031</x:f>
        <x:v>0.8399999999999999</x:v>
      </x:c>
      <x:c r="U1031" s="15" t="n">
        <x:f>'기준스탯 72종'!G48*G1031</x:f>
        <x:v>1.2599999999999998</x:v>
      </x:c>
      <x:c r="V1031" s="15" t="n">
        <x:f>'기준스탯 72종'!H48*G1031</x:f>
        <x:v>0.7</x:v>
      </x:c>
      <x:c r="W1031" s="15" t="n">
        <x:f>'기준스탯 72종'!I48*G1031</x:f>
        <x:v>0.8399999999999999</x:v>
      </x:c>
      <x:c r="X1031" s="15" t="n">
        <x:f>'기준스탯 72종'!J48*G1031</x:f>
        <x:v>0.27999999999999997</x:v>
      </x:c>
      <x:c r="Y1031" s="15" t="n">
        <x:f>'기준스탯 72종'!K48*G1031</x:f>
        <x:v>0.41999999999999993</x:v>
      </x:c>
      <x:c r="Z1031" s="15" t="n">
        <x:f>'기준스탯 72종'!D48*H1031</x:f>
        <x:v>0</x:v>
      </x:c>
      <x:c r="AA1031" s="15" t="n">
        <x:f>'기준스탯 72종'!E48*H1031</x:f>
        <x:v>0</x:v>
      </x:c>
      <x:c r="AB1031" s="15" t="n">
        <x:f>'기준스탯 72종'!F48*H1031</x:f>
        <x:v>0</x:v>
      </x:c>
      <x:c r="AC1031" s="15" t="n">
        <x:f>'기준스탯 72종'!G48*H1031</x:f>
        <x:v>0</x:v>
      </x:c>
      <x:c r="AD1031" s="15" t="n">
        <x:f>'기준스탯 72종'!H48*H1031</x:f>
        <x:v>0</x:v>
      </x:c>
      <x:c r="AE1031" s="15" t="n">
        <x:f>'기준스탯 72종'!I48*H1031</x:f>
        <x:v>0</x:v>
      </x:c>
      <x:c r="AF1031" s="15" t="n">
        <x:f>'기준스탯 72종'!J48*H1031</x:f>
        <x:v>0</x:v>
      </x:c>
      <x:c r="AG1031" s="15" t="n">
        <x:f>'기준스탯 72종'!K48*H1031</x:f>
        <x:v>0</x:v>
      </x:c>
    </x:row>
    <x:row r="1032" ht="28" customHeight="1">
      <x:c r="A1032" s="2" t="n">
        <x:v>1025</x:v>
      </x:c>
      <x:c r="B1032" s="2" t="n">
        <x:v>41</x:v>
      </x:c>
      <x:c r="C1032" s="2" t="str">
        <x:v>천칭자리</x:v>
      </x:c>
      <x:c r="D1032" s="2" t="str">
        <x:v>도적</x:v>
      </x:c>
      <x:c r="E1032" s="2" t="n">
        <x:v>5</x:v>
      </x:c>
      <x:c r="F1032" s="2" t="n">
        <x:v>5</x:v>
      </x:c>
      <x:c r="G1032" s="14" t="n">
        <x:f>('레벨 계산식'!$E$4-E1032)*'레벨 계산식'!$B$5</x:f>
        <x:v>0</x:v>
      </x:c>
      <x:c r="H1032" s="14" t="n">
        <x:f>('등급 계산식'!$E$4-F1032)*'등급 계산식'!$B$5</x:f>
        <x:v>0</x:v>
      </x:c>
      <x:c r="I1032" s="14" t="n">
        <x:f>1-G1032-H1032</x:f>
        <x:v>1</x:v>
      </x:c>
      <x:c r="J1032" s="2" t="n">
        <x:f>MAX(1,ROUND('기준스탯 72종'!D48-R1032-Z1032,0))</x:f>
        <x:v>9</x:v>
      </x:c>
      <x:c r="K1032" s="2" t="n">
        <x:f>MAX(1,ROUND('기준스탯 72종'!E48-S1032-AA1032,0))</x:f>
        <x:v>6</x:v>
      </x:c>
      <x:c r="L1032" s="2" t="n">
        <x:f>MAX(1,ROUND('기준스탯 72종'!F48-T1032-AB1032,0))</x:f>
        <x:v>6</x:v>
      </x:c>
      <x:c r="M1032" s="2" t="n">
        <x:f>MAX(1,ROUND('기준스탯 72종'!G48-U1032-AC1032,0))</x:f>
        <x:v>9</x:v>
      </x:c>
      <x:c r="N1032" s="2" t="n">
        <x:f>MAX(0,ROUND('기준스탯 72종'!H48-V1032-AD1032,0))</x:f>
        <x:v>5</x:v>
      </x:c>
      <x:c r="O1032" s="2" t="n">
        <x:f>MAX(0,ROUND('기준스탯 72종'!I48-W1032-AE1032,0))</x:f>
        <x:v>6</x:v>
      </x:c>
      <x:c r="P1032" s="2" t="n">
        <x:f>MAX(0,ROUND('기준스탯 72종'!J48-X1032-AF1032,0))</x:f>
        <x:v>2</x:v>
      </x:c>
      <x:c r="Q1032" s="2" t="n">
        <x:f>MAX(0,ROUND('기준스탯 72종'!K48-Y1032-AG1032,0))</x:f>
        <x:v>3</x:v>
      </x:c>
      <x:c r="R1032" s="15" t="n">
        <x:f>'기준스탯 72종'!D48*G1032</x:f>
        <x:v>0</x:v>
      </x:c>
      <x:c r="S1032" s="15" t="n">
        <x:f>'기준스탯 72종'!E48*G1032</x:f>
        <x:v>0</x:v>
      </x:c>
      <x:c r="T1032" s="15" t="n">
        <x:f>'기준스탯 72종'!F48*G1032</x:f>
        <x:v>0</x:v>
      </x:c>
      <x:c r="U1032" s="15" t="n">
        <x:f>'기준스탯 72종'!G48*G1032</x:f>
        <x:v>0</x:v>
      </x:c>
      <x:c r="V1032" s="15" t="n">
        <x:f>'기준스탯 72종'!H48*G1032</x:f>
        <x:v>0</x:v>
      </x:c>
      <x:c r="W1032" s="15" t="n">
        <x:f>'기준스탯 72종'!I48*G1032</x:f>
        <x:v>0</x:v>
      </x:c>
      <x:c r="X1032" s="15" t="n">
        <x:f>'기준스탯 72종'!J48*G1032</x:f>
        <x:v>0</x:v>
      </x:c>
      <x:c r="Y1032" s="15" t="n">
        <x:f>'기준스탯 72종'!K48*G1032</x:f>
        <x:v>0</x:v>
      </x:c>
      <x:c r="Z1032" s="15" t="n">
        <x:f>'기준스탯 72종'!D48*H1032</x:f>
        <x:v>0</x:v>
      </x:c>
      <x:c r="AA1032" s="15" t="n">
        <x:f>'기준스탯 72종'!E48*H1032</x:f>
        <x:v>0</x:v>
      </x:c>
      <x:c r="AB1032" s="15" t="n">
        <x:f>'기준스탯 72종'!F48*H1032</x:f>
        <x:v>0</x:v>
      </x:c>
      <x:c r="AC1032" s="15" t="n">
        <x:f>'기준스탯 72종'!G48*H1032</x:f>
        <x:v>0</x:v>
      </x:c>
      <x:c r="AD1032" s="15" t="n">
        <x:f>'기준스탯 72종'!H48*H1032</x:f>
        <x:v>0</x:v>
      </x:c>
      <x:c r="AE1032" s="15" t="n">
        <x:f>'기준스탯 72종'!I48*H1032</x:f>
        <x:v>0</x:v>
      </x:c>
      <x:c r="AF1032" s="15" t="n">
        <x:f>'기준스탯 72종'!J48*H1032</x:f>
        <x:v>0</x:v>
      </x:c>
      <x:c r="AG1032" s="15" t="n">
        <x:f>'기준스탯 72종'!K48*H1032</x:f>
        <x:v>0</x:v>
      </x:c>
    </x:row>
    <x:row r="1033" ht="28" customHeight="1">
      <x:c r="A1033" s="2" t="n">
        <x:v>1026</x:v>
      </x:c>
      <x:c r="B1033" s="2" t="n">
        <x:v>42</x:v>
      </x:c>
      <x:c r="C1033" s="2" t="str">
        <x:v>천칭자리</x:v>
      </x:c>
      <x:c r="D1033" s="2" t="str">
        <x:v>전사</x:v>
      </x:c>
      <x:c r="E1033" s="2" t="n">
        <x:v>1</x:v>
      </x:c>
      <x:c r="F1033" s="2" t="n">
        <x:v>1</x:v>
      </x:c>
      <x:c r="G1033" s="14" t="n">
        <x:f>('레벨 계산식'!$E$4-E1033)*'레벨 계산식'!$B$5</x:f>
        <x:v>0.5599999999999999</x:v>
      </x:c>
      <x:c r="H1033" s="14" t="n">
        <x:f>('등급 계산식'!$E$4-F1033)*'등급 계산식'!$B$5</x:f>
        <x:v>0.24000000000000005</x:v>
      </x:c>
      <x:c r="I1033" s="14" t="n">
        <x:f>1-G1033-H1033</x:f>
        <x:v>0.2</x:v>
      </x:c>
      <x:c r="J1033" s="2" t="n">
        <x:f>MAX(1,ROUND('기준스탯 72종'!D49-R1033-Z1033,0))</x:f>
        <x:v>2</x:v>
      </x:c>
      <x:c r="K1033" s="2" t="n">
        <x:f>MAX(1,ROUND('기준스탯 72종'!E49-S1033-AA1033,0))</x:f>
        <x:v>1</x:v>
      </x:c>
      <x:c r="L1033" s="2" t="n">
        <x:f>MAX(1,ROUND('기준스탯 72종'!F49-T1033-AB1033,0))</x:f>
        <x:v>1</x:v>
      </x:c>
      <x:c r="M1033" s="2" t="n">
        <x:f>MAX(1,ROUND('기준스탯 72종'!G49-U1033-AC1033,0))</x:f>
        <x:v>2</x:v>
      </x:c>
      <x:c r="N1033" s="2" t="n">
        <x:f>MAX(0,ROUND('기준스탯 72종'!H49-V1033-AD1033,0))</x:f>
        <x:v>1</x:v>
      </x:c>
      <x:c r="O1033" s="2" t="n">
        <x:f>MAX(0,ROUND('기준스탯 72종'!I49-W1033-AE1033,0))</x:f>
        <x:v>1</x:v>
      </x:c>
      <x:c r="P1033" s="2" t="n">
        <x:f>MAX(0,ROUND('기준스탯 72종'!J49-X1033-AF1033,0))</x:f>
        <x:v>0</x:v>
      </x:c>
      <x:c r="Q1033" s="2" t="n">
        <x:f>MAX(0,ROUND('기준스탯 72종'!K49-Y1033-AG1033,0))</x:f>
        <x:v>1</x:v>
      </x:c>
      <x:c r="R1033" s="15" t="n">
        <x:f>'기준스탯 72종'!D49*G1033</x:f>
        <x:v>5.039999999999999</x:v>
      </x:c>
      <x:c r="S1033" s="15" t="n">
        <x:f>'기준스탯 72종'!E49*G1033</x:f>
        <x:v>3.9199999999999995</x:v>
      </x:c>
      <x:c r="T1033" s="15" t="n">
        <x:f>'기준스탯 72종'!F49*G1033</x:f>
        <x:v>3.9199999999999995</x:v>
      </x:c>
      <x:c r="U1033" s="15" t="n">
        <x:f>'기준스탯 72종'!G49*G1033</x:f>
        <x:v>4.4799999999999995</x:v>
      </x:c>
      <x:c r="V1033" s="15" t="n">
        <x:f>'기준스탯 72종'!H49*G1033</x:f>
        <x:v>2.2399999999999998</x:v>
      </x:c>
      <x:c r="W1033" s="15" t="n">
        <x:f>'기준스탯 72종'!I49*G1033</x:f>
        <x:v>3.3599999999999994</x:v>
      </x:c>
      <x:c r="X1033" s="15" t="n">
        <x:f>'기준스탯 72종'!J49*G1033</x:f>
        <x:v>1.1199999999999999</x:v>
      </x:c>
      <x:c r="Y1033" s="15" t="n">
        <x:f>'기준스탯 72종'!K49*G1033</x:f>
        <x:v>2.2399999999999998</x:v>
      </x:c>
      <x:c r="Z1033" s="15" t="n">
        <x:f>'기준스탯 72종'!D49*H1033</x:f>
        <x:v>2.1600000000000006</x:v>
      </x:c>
      <x:c r="AA1033" s="15" t="n">
        <x:f>'기준스탯 72종'!E49*H1033</x:f>
        <x:v>1.6800000000000004</x:v>
      </x:c>
      <x:c r="AB1033" s="15" t="n">
        <x:f>'기준스탯 72종'!F49*H1033</x:f>
        <x:v>1.6800000000000004</x:v>
      </x:c>
      <x:c r="AC1033" s="15" t="n">
        <x:f>'기준스탯 72종'!G49*H1033</x:f>
        <x:v>1.9200000000000004</x:v>
      </x:c>
      <x:c r="AD1033" s="15" t="n">
        <x:f>'기준스탯 72종'!H49*H1033</x:f>
        <x:v>0.9600000000000002</x:v>
      </x:c>
      <x:c r="AE1033" s="15" t="n">
        <x:f>'기준스탯 72종'!I49*H1033</x:f>
        <x:v>1.4400000000000004</x:v>
      </x:c>
      <x:c r="AF1033" s="15" t="n">
        <x:f>'기준스탯 72종'!J49*H1033</x:f>
        <x:v>0.4800000000000001</x:v>
      </x:c>
      <x:c r="AG1033" s="15" t="n">
        <x:f>'기준스탯 72종'!K49*H1033</x:f>
        <x:v>0.9600000000000002</x:v>
      </x:c>
    </x:row>
    <x:row r="1034" ht="28" customHeight="1">
      <x:c r="A1034" s="2" t="n">
        <x:v>1027</x:v>
      </x:c>
      <x:c r="B1034" s="2" t="n">
        <x:v>42</x:v>
      </x:c>
      <x:c r="C1034" s="2" t="str">
        <x:v>천칭자리</x:v>
      </x:c>
      <x:c r="D1034" s="2" t="str">
        <x:v>전사</x:v>
      </x:c>
      <x:c r="E1034" s="2" t="n">
        <x:v>2</x:v>
      </x:c>
      <x:c r="F1034" s="2" t="n">
        <x:v>1</x:v>
      </x:c>
      <x:c r="G1034" s="14" t="n">
        <x:f>('레벨 계산식'!$E$4-E1034)*'레벨 계산식'!$B$5</x:f>
        <x:v>0.41999999999999993</x:v>
      </x:c>
      <x:c r="H1034" s="14" t="n">
        <x:f>('등급 계산식'!$E$4-F1034)*'등급 계산식'!$B$5</x:f>
        <x:v>0.24000000000000005</x:v>
      </x:c>
      <x:c r="I1034" s="14" t="n">
        <x:f>1-G1034-H1034</x:f>
        <x:v>0.34</x:v>
      </x:c>
      <x:c r="J1034" s="2" t="n">
        <x:f>MAX(1,ROUND('기준스탯 72종'!D49-R1034-Z1034,0))</x:f>
        <x:v>3</x:v>
      </x:c>
      <x:c r="K1034" s="2" t="n">
        <x:f>MAX(1,ROUND('기준스탯 72종'!E49-S1034-AA1034,0))</x:f>
        <x:v>2</x:v>
      </x:c>
      <x:c r="L1034" s="2" t="n">
        <x:f>MAX(1,ROUND('기준스탯 72종'!F49-T1034-AB1034,0))</x:f>
        <x:v>2</x:v>
      </x:c>
      <x:c r="M1034" s="2" t="n">
        <x:f>MAX(1,ROUND('기준스탯 72종'!G49-U1034-AC1034,0))</x:f>
        <x:v>3</x:v>
      </x:c>
      <x:c r="N1034" s="2" t="n">
        <x:f>MAX(0,ROUND('기준스탯 72종'!H49-V1034-AD1034,0))</x:f>
        <x:v>1</x:v>
      </x:c>
      <x:c r="O1034" s="2" t="n">
        <x:f>MAX(0,ROUND('기준스탯 72종'!I49-W1034-AE1034,0))</x:f>
        <x:v>2</x:v>
      </x:c>
      <x:c r="P1034" s="2" t="n">
        <x:f>MAX(0,ROUND('기준스탯 72종'!J49-X1034-AF1034,0))</x:f>
        <x:v>1</x:v>
      </x:c>
      <x:c r="Q1034" s="2" t="n">
        <x:f>MAX(0,ROUND('기준스탯 72종'!K49-Y1034-AG1034,0))</x:f>
        <x:v>1</x:v>
      </x:c>
      <x:c r="R1034" s="15" t="n">
        <x:f>'기준스탯 72종'!D49*G1034</x:f>
        <x:v>3.7799999999999994</x:v>
      </x:c>
      <x:c r="S1034" s="15" t="n">
        <x:f>'기준스탯 72종'!E49*G1034</x:f>
        <x:v>2.9399999999999995</x:v>
      </x:c>
      <x:c r="T1034" s="15" t="n">
        <x:f>'기준스탯 72종'!F49*G1034</x:f>
        <x:v>2.9399999999999995</x:v>
      </x:c>
      <x:c r="U1034" s="15" t="n">
        <x:f>'기준스탯 72종'!G49*G1034</x:f>
        <x:v>3.3599999999999994</x:v>
      </x:c>
      <x:c r="V1034" s="15" t="n">
        <x:f>'기준스탯 72종'!H49*G1034</x:f>
        <x:v>1.6799999999999997</x:v>
      </x:c>
      <x:c r="W1034" s="15" t="n">
        <x:f>'기준스탯 72종'!I49*G1034</x:f>
        <x:v>2.5199999999999996</x:v>
      </x:c>
      <x:c r="X1034" s="15" t="n">
        <x:f>'기준스탯 72종'!J49*G1034</x:f>
        <x:v>0.8399999999999999</x:v>
      </x:c>
      <x:c r="Y1034" s="15" t="n">
        <x:f>'기준스탯 72종'!K49*G1034</x:f>
        <x:v>1.6799999999999997</x:v>
      </x:c>
      <x:c r="Z1034" s="15" t="n">
        <x:f>'기준스탯 72종'!D49*H1034</x:f>
        <x:v>2.1600000000000006</x:v>
      </x:c>
      <x:c r="AA1034" s="15" t="n">
        <x:f>'기준스탯 72종'!E49*H1034</x:f>
        <x:v>1.6800000000000004</x:v>
      </x:c>
      <x:c r="AB1034" s="15" t="n">
        <x:f>'기준스탯 72종'!F49*H1034</x:f>
        <x:v>1.6800000000000004</x:v>
      </x:c>
      <x:c r="AC1034" s="15" t="n">
        <x:f>'기준스탯 72종'!G49*H1034</x:f>
        <x:v>1.9200000000000004</x:v>
      </x:c>
      <x:c r="AD1034" s="15" t="n">
        <x:f>'기준스탯 72종'!H49*H1034</x:f>
        <x:v>0.9600000000000002</x:v>
      </x:c>
      <x:c r="AE1034" s="15" t="n">
        <x:f>'기준스탯 72종'!I49*H1034</x:f>
        <x:v>1.4400000000000004</x:v>
      </x:c>
      <x:c r="AF1034" s="15" t="n">
        <x:f>'기준스탯 72종'!J49*H1034</x:f>
        <x:v>0.4800000000000001</x:v>
      </x:c>
      <x:c r="AG1034" s="15" t="n">
        <x:f>'기준스탯 72종'!K49*H1034</x:f>
        <x:v>0.9600000000000002</x:v>
      </x:c>
    </x:row>
    <x:row r="1035" ht="28" customHeight="1">
      <x:c r="A1035" s="2" t="n">
        <x:v>1028</x:v>
      </x:c>
      <x:c r="B1035" s="2" t="n">
        <x:v>42</x:v>
      </x:c>
      <x:c r="C1035" s="2" t="str">
        <x:v>천칭자리</x:v>
      </x:c>
      <x:c r="D1035" s="2" t="str">
        <x:v>전사</x:v>
      </x:c>
      <x:c r="E1035" s="2" t="n">
        <x:v>3</x:v>
      </x:c>
      <x:c r="F1035" s="2" t="n">
        <x:v>1</x:v>
      </x:c>
      <x:c r="G1035" s="14" t="n">
        <x:f>('레벨 계산식'!$E$4-E1035)*'레벨 계산식'!$B$5</x:f>
        <x:v>0.27999999999999997</x:v>
      </x:c>
      <x:c r="H1035" s="14" t="n">
        <x:f>('등급 계산식'!$E$4-F1035)*'등급 계산식'!$B$5</x:f>
        <x:v>0.24000000000000005</x:v>
      </x:c>
      <x:c r="I1035" s="14" t="n">
        <x:f>1-G1035-H1035</x:f>
        <x:v>0.4799999999999999</x:v>
      </x:c>
      <x:c r="J1035" s="2" t="n">
        <x:f>MAX(1,ROUND('기준스탯 72종'!D49-R1035-Z1035,0))</x:f>
        <x:v>4</x:v>
      </x:c>
      <x:c r="K1035" s="2" t="n">
        <x:f>MAX(1,ROUND('기준스탯 72종'!E49-S1035-AA1035,0))</x:f>
        <x:v>3</x:v>
      </x:c>
      <x:c r="L1035" s="2" t="n">
        <x:f>MAX(1,ROUND('기준스탯 72종'!F49-T1035-AB1035,0))</x:f>
        <x:v>3</x:v>
      </x:c>
      <x:c r="M1035" s="2" t="n">
        <x:f>MAX(1,ROUND('기준스탯 72종'!G49-U1035-AC1035,0))</x:f>
        <x:v>4</x:v>
      </x:c>
      <x:c r="N1035" s="2" t="n">
        <x:f>MAX(0,ROUND('기준스탯 72종'!H49-V1035-AD1035,0))</x:f>
        <x:v>2</x:v>
      </x:c>
      <x:c r="O1035" s="2" t="n">
        <x:f>MAX(0,ROUND('기준스탯 72종'!I49-W1035-AE1035,0))</x:f>
        <x:v>3</x:v>
      </x:c>
      <x:c r="P1035" s="2" t="n">
        <x:f>MAX(0,ROUND('기준스탯 72종'!J49-X1035-AF1035,0))</x:f>
        <x:v>1</x:v>
      </x:c>
      <x:c r="Q1035" s="2" t="n">
        <x:f>MAX(0,ROUND('기준스탯 72종'!K49-Y1035-AG1035,0))</x:f>
        <x:v>2</x:v>
      </x:c>
      <x:c r="R1035" s="15" t="n">
        <x:f>'기준스탯 72종'!D49*G1035</x:f>
        <x:v>2.5199999999999996</x:v>
      </x:c>
      <x:c r="S1035" s="15" t="n">
        <x:f>'기준스탯 72종'!E49*G1035</x:f>
        <x:v>1.9599999999999997</x:v>
      </x:c>
      <x:c r="T1035" s="15" t="n">
        <x:f>'기준스탯 72종'!F49*G1035</x:f>
        <x:v>1.9599999999999997</x:v>
      </x:c>
      <x:c r="U1035" s="15" t="n">
        <x:f>'기준스탯 72종'!G49*G1035</x:f>
        <x:v>2.2399999999999998</x:v>
      </x:c>
      <x:c r="V1035" s="15" t="n">
        <x:f>'기준스탯 72종'!H49*G1035</x:f>
        <x:v>1.1199999999999999</x:v>
      </x:c>
      <x:c r="W1035" s="15" t="n">
        <x:f>'기준스탯 72종'!I49*G1035</x:f>
        <x:v>1.6799999999999997</x:v>
      </x:c>
      <x:c r="X1035" s="15" t="n">
        <x:f>'기준스탯 72종'!J49*G1035</x:f>
        <x:v>0.5599999999999999</x:v>
      </x:c>
      <x:c r="Y1035" s="15" t="n">
        <x:f>'기준스탯 72종'!K49*G1035</x:f>
        <x:v>1.1199999999999999</x:v>
      </x:c>
      <x:c r="Z1035" s="15" t="n">
        <x:f>'기준스탯 72종'!D49*H1035</x:f>
        <x:v>2.1600000000000006</x:v>
      </x:c>
      <x:c r="AA1035" s="15" t="n">
        <x:f>'기준스탯 72종'!E49*H1035</x:f>
        <x:v>1.6800000000000004</x:v>
      </x:c>
      <x:c r="AB1035" s="15" t="n">
        <x:f>'기준스탯 72종'!F49*H1035</x:f>
        <x:v>1.6800000000000004</x:v>
      </x:c>
      <x:c r="AC1035" s="15" t="n">
        <x:f>'기준스탯 72종'!G49*H1035</x:f>
        <x:v>1.9200000000000004</x:v>
      </x:c>
      <x:c r="AD1035" s="15" t="n">
        <x:f>'기준스탯 72종'!H49*H1035</x:f>
        <x:v>0.9600000000000002</x:v>
      </x:c>
      <x:c r="AE1035" s="15" t="n">
        <x:f>'기준스탯 72종'!I49*H1035</x:f>
        <x:v>1.4400000000000004</x:v>
      </x:c>
      <x:c r="AF1035" s="15" t="n">
        <x:f>'기준스탯 72종'!J49*H1035</x:f>
        <x:v>0.4800000000000001</x:v>
      </x:c>
      <x:c r="AG1035" s="15" t="n">
        <x:f>'기준스탯 72종'!K49*H1035</x:f>
        <x:v>0.9600000000000002</x:v>
      </x:c>
    </x:row>
    <x:row r="1036" ht="28" customHeight="1">
      <x:c r="A1036" s="2" t="n">
        <x:v>1029</x:v>
      </x:c>
      <x:c r="B1036" s="2" t="n">
        <x:v>42</x:v>
      </x:c>
      <x:c r="C1036" s="2" t="str">
        <x:v>천칭자리</x:v>
      </x:c>
      <x:c r="D1036" s="2" t="str">
        <x:v>전사</x:v>
      </x:c>
      <x:c r="E1036" s="2" t="n">
        <x:v>4</x:v>
      </x:c>
      <x:c r="F1036" s="2" t="n">
        <x:v>1</x:v>
      </x:c>
      <x:c r="G1036" s="14" t="n">
        <x:f>('레벨 계산식'!$E$4-E1036)*'레벨 계산식'!$B$5</x:f>
        <x:v>0.13999999999999999</x:v>
      </x:c>
      <x:c r="H1036" s="14" t="n">
        <x:f>('등급 계산식'!$E$4-F1036)*'등급 계산식'!$B$5</x:f>
        <x:v>0.24000000000000005</x:v>
      </x:c>
      <x:c r="I1036" s="14" t="n">
        <x:f>1-G1036-H1036</x:f>
        <x:v>0.6199999999999999</x:v>
      </x:c>
      <x:c r="J1036" s="2" t="n">
        <x:f>MAX(1,ROUND('기준스탯 72종'!D49-R1036-Z1036,0))</x:f>
        <x:v>6</x:v>
      </x:c>
      <x:c r="K1036" s="2" t="n">
        <x:f>MAX(1,ROUND('기준스탯 72종'!E49-S1036-AA1036,0))</x:f>
        <x:v>4</x:v>
      </x:c>
      <x:c r="L1036" s="2" t="n">
        <x:f>MAX(1,ROUND('기준스탯 72종'!F49-T1036-AB1036,0))</x:f>
        <x:v>4</x:v>
      </x:c>
      <x:c r="M1036" s="2" t="n">
        <x:f>MAX(1,ROUND('기준스탯 72종'!G49-U1036-AC1036,0))</x:f>
        <x:v>5</x:v>
      </x:c>
      <x:c r="N1036" s="2" t="n">
        <x:f>MAX(0,ROUND('기준스탯 72종'!H49-V1036-AD1036,0))</x:f>
        <x:v>2</x:v>
      </x:c>
      <x:c r="O1036" s="2" t="n">
        <x:f>MAX(0,ROUND('기준스탯 72종'!I49-W1036-AE1036,0))</x:f>
        <x:v>4</x:v>
      </x:c>
      <x:c r="P1036" s="2" t="n">
        <x:f>MAX(0,ROUND('기준스탯 72종'!J49-X1036-AF1036,0))</x:f>
        <x:v>1</x:v>
      </x:c>
      <x:c r="Q1036" s="2" t="n">
        <x:f>MAX(0,ROUND('기준스탯 72종'!K49-Y1036-AG1036,0))</x:f>
        <x:v>2</x:v>
      </x:c>
      <x:c r="R1036" s="15" t="n">
        <x:f>'기준스탯 72종'!D49*G1036</x:f>
        <x:v>1.2599999999999998</x:v>
      </x:c>
      <x:c r="S1036" s="15" t="n">
        <x:f>'기준스탯 72종'!E49*G1036</x:f>
        <x:v>0.9799999999999999</x:v>
      </x:c>
      <x:c r="T1036" s="15" t="n">
        <x:f>'기준스탯 72종'!F49*G1036</x:f>
        <x:v>0.9799999999999999</x:v>
      </x:c>
      <x:c r="U1036" s="15" t="n">
        <x:f>'기준스탯 72종'!G49*G1036</x:f>
        <x:v>1.1199999999999999</x:v>
      </x:c>
      <x:c r="V1036" s="15" t="n">
        <x:f>'기준스탯 72종'!H49*G1036</x:f>
        <x:v>0.5599999999999999</x:v>
      </x:c>
      <x:c r="W1036" s="15" t="n">
        <x:f>'기준스탯 72종'!I49*G1036</x:f>
        <x:v>0.8399999999999999</x:v>
      </x:c>
      <x:c r="X1036" s="15" t="n">
        <x:f>'기준스탯 72종'!J49*G1036</x:f>
        <x:v>0.27999999999999997</x:v>
      </x:c>
      <x:c r="Y1036" s="15" t="n">
        <x:f>'기준스탯 72종'!K49*G1036</x:f>
        <x:v>0.5599999999999999</x:v>
      </x:c>
      <x:c r="Z1036" s="15" t="n">
        <x:f>'기준스탯 72종'!D49*H1036</x:f>
        <x:v>2.1600000000000006</x:v>
      </x:c>
      <x:c r="AA1036" s="15" t="n">
        <x:f>'기준스탯 72종'!E49*H1036</x:f>
        <x:v>1.6800000000000004</x:v>
      </x:c>
      <x:c r="AB1036" s="15" t="n">
        <x:f>'기준스탯 72종'!F49*H1036</x:f>
        <x:v>1.6800000000000004</x:v>
      </x:c>
      <x:c r="AC1036" s="15" t="n">
        <x:f>'기준스탯 72종'!G49*H1036</x:f>
        <x:v>1.9200000000000004</x:v>
      </x:c>
      <x:c r="AD1036" s="15" t="n">
        <x:f>'기준스탯 72종'!H49*H1036</x:f>
        <x:v>0.9600000000000002</x:v>
      </x:c>
      <x:c r="AE1036" s="15" t="n">
        <x:f>'기준스탯 72종'!I49*H1036</x:f>
        <x:v>1.4400000000000004</x:v>
      </x:c>
      <x:c r="AF1036" s="15" t="n">
        <x:f>'기준스탯 72종'!J49*H1036</x:f>
        <x:v>0.4800000000000001</x:v>
      </x:c>
      <x:c r="AG1036" s="15" t="n">
        <x:f>'기준스탯 72종'!K49*H1036</x:f>
        <x:v>0.9600000000000002</x:v>
      </x:c>
    </x:row>
    <x:row r="1037" ht="28" customHeight="1">
      <x:c r="A1037" s="2" t="n">
        <x:v>1030</x:v>
      </x:c>
      <x:c r="B1037" s="2" t="n">
        <x:v>42</x:v>
      </x:c>
      <x:c r="C1037" s="2" t="str">
        <x:v>천칭자리</x:v>
      </x:c>
      <x:c r="D1037" s="2" t="str">
        <x:v>전사</x:v>
      </x:c>
      <x:c r="E1037" s="2" t="n">
        <x:v>5</x:v>
      </x:c>
      <x:c r="F1037" s="2" t="n">
        <x:v>1</x:v>
      </x:c>
      <x:c r="G1037" s="14" t="n">
        <x:f>('레벨 계산식'!$E$4-E1037)*'레벨 계산식'!$B$5</x:f>
        <x:v>0</x:v>
      </x:c>
      <x:c r="H1037" s="14" t="n">
        <x:f>('등급 계산식'!$E$4-F1037)*'등급 계산식'!$B$5</x:f>
        <x:v>0.24000000000000005</x:v>
      </x:c>
      <x:c r="I1037" s="14" t="n">
        <x:f>1-G1037-H1037</x:f>
        <x:v>0.76</x:v>
      </x:c>
      <x:c r="J1037" s="2" t="n">
        <x:f>MAX(1,ROUND('기준스탯 72종'!D49-R1037-Z1037,0))</x:f>
        <x:v>7</x:v>
      </x:c>
      <x:c r="K1037" s="2" t="n">
        <x:f>MAX(1,ROUND('기준스탯 72종'!E49-S1037-AA1037,0))</x:f>
        <x:v>5</x:v>
      </x:c>
      <x:c r="L1037" s="2" t="n">
        <x:f>MAX(1,ROUND('기준스탯 72종'!F49-T1037-AB1037,0))</x:f>
        <x:v>5</x:v>
      </x:c>
      <x:c r="M1037" s="2" t="n">
        <x:f>MAX(1,ROUND('기준스탯 72종'!G49-U1037-AC1037,0))</x:f>
        <x:v>6</x:v>
      </x:c>
      <x:c r="N1037" s="2" t="n">
        <x:f>MAX(0,ROUND('기준스탯 72종'!H49-V1037-AD1037,0))</x:f>
        <x:v>3</x:v>
      </x:c>
      <x:c r="O1037" s="2" t="n">
        <x:f>MAX(0,ROUND('기준스탯 72종'!I49-W1037-AE1037,0))</x:f>
        <x:v>5</x:v>
      </x:c>
      <x:c r="P1037" s="2" t="n">
        <x:f>MAX(0,ROUND('기준스탯 72종'!J49-X1037-AF1037,0))</x:f>
        <x:v>2</x:v>
      </x:c>
      <x:c r="Q1037" s="2" t="n">
        <x:f>MAX(0,ROUND('기준스탯 72종'!K49-Y1037-AG1037,0))</x:f>
        <x:v>3</x:v>
      </x:c>
      <x:c r="R1037" s="15" t="n">
        <x:f>'기준스탯 72종'!D49*G1037</x:f>
        <x:v>0</x:v>
      </x:c>
      <x:c r="S1037" s="15" t="n">
        <x:f>'기준스탯 72종'!E49*G1037</x:f>
        <x:v>0</x:v>
      </x:c>
      <x:c r="T1037" s="15" t="n">
        <x:f>'기준스탯 72종'!F49*G1037</x:f>
        <x:v>0</x:v>
      </x:c>
      <x:c r="U1037" s="15" t="n">
        <x:f>'기준스탯 72종'!G49*G1037</x:f>
        <x:v>0</x:v>
      </x:c>
      <x:c r="V1037" s="15" t="n">
        <x:f>'기준스탯 72종'!H49*G1037</x:f>
        <x:v>0</x:v>
      </x:c>
      <x:c r="W1037" s="15" t="n">
        <x:f>'기준스탯 72종'!I49*G1037</x:f>
        <x:v>0</x:v>
      </x:c>
      <x:c r="X1037" s="15" t="n">
        <x:f>'기준스탯 72종'!J49*G1037</x:f>
        <x:v>0</x:v>
      </x:c>
      <x:c r="Y1037" s="15" t="n">
        <x:f>'기준스탯 72종'!K49*G1037</x:f>
        <x:v>0</x:v>
      </x:c>
      <x:c r="Z1037" s="15" t="n">
        <x:f>'기준스탯 72종'!D49*H1037</x:f>
        <x:v>2.1600000000000006</x:v>
      </x:c>
      <x:c r="AA1037" s="15" t="n">
        <x:f>'기준스탯 72종'!E49*H1037</x:f>
        <x:v>1.6800000000000004</x:v>
      </x:c>
      <x:c r="AB1037" s="15" t="n">
        <x:f>'기준스탯 72종'!F49*H1037</x:f>
        <x:v>1.6800000000000004</x:v>
      </x:c>
      <x:c r="AC1037" s="15" t="n">
        <x:f>'기준스탯 72종'!G49*H1037</x:f>
        <x:v>1.9200000000000004</x:v>
      </x:c>
      <x:c r="AD1037" s="15" t="n">
        <x:f>'기준스탯 72종'!H49*H1037</x:f>
        <x:v>0.9600000000000002</x:v>
      </x:c>
      <x:c r="AE1037" s="15" t="n">
        <x:f>'기준스탯 72종'!I49*H1037</x:f>
        <x:v>1.4400000000000004</x:v>
      </x:c>
      <x:c r="AF1037" s="15" t="n">
        <x:f>'기준스탯 72종'!J49*H1037</x:f>
        <x:v>0.4800000000000001</x:v>
      </x:c>
      <x:c r="AG1037" s="15" t="n">
        <x:f>'기준스탯 72종'!K49*H1037</x:f>
        <x:v>0.9600000000000002</x:v>
      </x:c>
    </x:row>
    <x:row r="1038" ht="28" customHeight="1">
      <x:c r="A1038" s="2" t="n">
        <x:v>1031</x:v>
      </x:c>
      <x:c r="B1038" s="2" t="n">
        <x:v>42</x:v>
      </x:c>
      <x:c r="C1038" s="2" t="str">
        <x:v>천칭자리</x:v>
      </x:c>
      <x:c r="D1038" s="2" t="str">
        <x:v>전사</x:v>
      </x:c>
      <x:c r="E1038" s="2" t="n">
        <x:v>1</x:v>
      </x:c>
      <x:c r="F1038" s="2" t="n">
        <x:v>2</x:v>
      </x:c>
      <x:c r="G1038" s="14" t="n">
        <x:f>('레벨 계산식'!$E$4-E1038)*'레벨 계산식'!$B$5</x:f>
        <x:v>0.5599999999999999</x:v>
      </x:c>
      <x:c r="H1038" s="14" t="n">
        <x:f>('등급 계산식'!$E$4-F1038)*'등급 계산식'!$B$5</x:f>
        <x:v>0.18000000000000005</x:v>
      </x:c>
      <x:c r="I1038" s="14" t="n">
        <x:f>1-G1038-H1038</x:f>
        <x:v>0.26</x:v>
      </x:c>
      <x:c r="J1038" s="2" t="n">
        <x:f>MAX(1,ROUND('기준스탯 72종'!D49-R1038-Z1038,0))</x:f>
        <x:v>2</x:v>
      </x:c>
      <x:c r="K1038" s="2" t="n">
        <x:f>MAX(1,ROUND('기준스탯 72종'!E49-S1038-AA1038,0))</x:f>
        <x:v>2</x:v>
      </x:c>
      <x:c r="L1038" s="2" t="n">
        <x:f>MAX(1,ROUND('기준스탯 72종'!F49-T1038-AB1038,0))</x:f>
        <x:v>2</x:v>
      </x:c>
      <x:c r="M1038" s="2" t="n">
        <x:f>MAX(1,ROUND('기준스탯 72종'!G49-U1038-AC1038,0))</x:f>
        <x:v>2</x:v>
      </x:c>
      <x:c r="N1038" s="2" t="n">
        <x:f>MAX(0,ROUND('기준스탯 72종'!H49-V1038-AD1038,0))</x:f>
        <x:v>1</x:v>
      </x:c>
      <x:c r="O1038" s="2" t="n">
        <x:f>MAX(0,ROUND('기준스탯 72종'!I49-W1038-AE1038,0))</x:f>
        <x:v>2</x:v>
      </x:c>
      <x:c r="P1038" s="2" t="n">
        <x:f>MAX(0,ROUND('기준스탯 72종'!J49-X1038-AF1038,0))</x:f>
        <x:v>1</x:v>
      </x:c>
      <x:c r="Q1038" s="2" t="n">
        <x:f>MAX(0,ROUND('기준스탯 72종'!K49-Y1038-AG1038,0))</x:f>
        <x:v>1</x:v>
      </x:c>
      <x:c r="R1038" s="15" t="n">
        <x:f>'기준스탯 72종'!D49*G1038</x:f>
        <x:v>5.039999999999999</x:v>
      </x:c>
      <x:c r="S1038" s="15" t="n">
        <x:f>'기준스탯 72종'!E49*G1038</x:f>
        <x:v>3.9199999999999995</x:v>
      </x:c>
      <x:c r="T1038" s="15" t="n">
        <x:f>'기준스탯 72종'!F49*G1038</x:f>
        <x:v>3.9199999999999995</x:v>
      </x:c>
      <x:c r="U1038" s="15" t="n">
        <x:f>'기준스탯 72종'!G49*G1038</x:f>
        <x:v>4.4799999999999995</x:v>
      </x:c>
      <x:c r="V1038" s="15" t="n">
        <x:f>'기준스탯 72종'!H49*G1038</x:f>
        <x:v>2.2399999999999998</x:v>
      </x:c>
      <x:c r="W1038" s="15" t="n">
        <x:f>'기준스탯 72종'!I49*G1038</x:f>
        <x:v>3.3599999999999994</x:v>
      </x:c>
      <x:c r="X1038" s="15" t="n">
        <x:f>'기준스탯 72종'!J49*G1038</x:f>
        <x:v>1.1199999999999999</x:v>
      </x:c>
      <x:c r="Y1038" s="15" t="n">
        <x:f>'기준스탯 72종'!K49*G1038</x:f>
        <x:v>2.2399999999999998</x:v>
      </x:c>
      <x:c r="Z1038" s="15" t="n">
        <x:f>'기준스탯 72종'!D49*H1038</x:f>
        <x:v>1.6200000000000006</x:v>
      </x:c>
      <x:c r="AA1038" s="15" t="n">
        <x:f>'기준스탯 72종'!E49*H1038</x:f>
        <x:v>1.2600000000000002</x:v>
      </x:c>
      <x:c r="AB1038" s="15" t="n">
        <x:f>'기준스탯 72종'!F49*H1038</x:f>
        <x:v>1.2600000000000002</x:v>
      </x:c>
      <x:c r="AC1038" s="15" t="n">
        <x:f>'기준스탯 72종'!G49*H1038</x:f>
        <x:v>1.4400000000000004</x:v>
      </x:c>
      <x:c r="AD1038" s="15" t="n">
        <x:f>'기준스탯 72종'!H49*H1038</x:f>
        <x:v>0.7200000000000002</x:v>
      </x:c>
      <x:c r="AE1038" s="15" t="n">
        <x:f>'기준스탯 72종'!I49*H1038</x:f>
        <x:v>1.0800000000000003</x:v>
      </x:c>
      <x:c r="AF1038" s="15" t="n">
        <x:f>'기준스탯 72종'!J49*H1038</x:f>
        <x:v>0.3600000000000001</x:v>
      </x:c>
      <x:c r="AG1038" s="15" t="n">
        <x:f>'기준스탯 72종'!K49*H1038</x:f>
        <x:v>0.7200000000000002</x:v>
      </x:c>
    </x:row>
    <x:row r="1039" ht="28" customHeight="1">
      <x:c r="A1039" s="2" t="n">
        <x:v>1032</x:v>
      </x:c>
      <x:c r="B1039" s="2" t="n">
        <x:v>42</x:v>
      </x:c>
      <x:c r="C1039" s="2" t="str">
        <x:v>천칭자리</x:v>
      </x:c>
      <x:c r="D1039" s="2" t="str">
        <x:v>전사</x:v>
      </x:c>
      <x:c r="E1039" s="2" t="n">
        <x:v>2</x:v>
      </x:c>
      <x:c r="F1039" s="2" t="n">
        <x:v>2</x:v>
      </x:c>
      <x:c r="G1039" s="14" t="n">
        <x:f>('레벨 계산식'!$E$4-E1039)*'레벨 계산식'!$B$5</x:f>
        <x:v>0.41999999999999993</x:v>
      </x:c>
      <x:c r="H1039" s="14" t="n">
        <x:f>('등급 계산식'!$E$4-F1039)*'등급 계산식'!$B$5</x:f>
        <x:v>0.18000000000000005</x:v>
      </x:c>
      <x:c r="I1039" s="14" t="n">
        <x:f>1-G1039-H1039</x:f>
        <x:v>0.4</x:v>
      </x:c>
      <x:c r="J1039" s="2" t="n">
        <x:f>MAX(1,ROUND('기준스탯 72종'!D49-R1039-Z1039,0))</x:f>
        <x:v>4</x:v>
      </x:c>
      <x:c r="K1039" s="2" t="n">
        <x:f>MAX(1,ROUND('기준스탯 72종'!E49-S1039-AA1039,0))</x:f>
        <x:v>3</x:v>
      </x:c>
      <x:c r="L1039" s="2" t="n">
        <x:f>MAX(1,ROUND('기준스탯 72종'!F49-T1039-AB1039,0))</x:f>
        <x:v>3</x:v>
      </x:c>
      <x:c r="M1039" s="2" t="n">
        <x:f>MAX(1,ROUND('기준스탯 72종'!G49-U1039-AC1039,0))</x:f>
        <x:v>3</x:v>
      </x:c>
      <x:c r="N1039" s="2" t="n">
        <x:f>MAX(0,ROUND('기준스탯 72종'!H49-V1039-AD1039,0))</x:f>
        <x:v>2</x:v>
      </x:c>
      <x:c r="O1039" s="2" t="n">
        <x:f>MAX(0,ROUND('기준스탯 72종'!I49-W1039-AE1039,0))</x:f>
        <x:v>2</x:v>
      </x:c>
      <x:c r="P1039" s="2" t="n">
        <x:f>MAX(0,ROUND('기준스탯 72종'!J49-X1039-AF1039,0))</x:f>
        <x:v>1</x:v>
      </x:c>
      <x:c r="Q1039" s="2" t="n">
        <x:f>MAX(0,ROUND('기준스탯 72종'!K49-Y1039-AG1039,0))</x:f>
        <x:v>2</x:v>
      </x:c>
      <x:c r="R1039" s="15" t="n">
        <x:f>'기준스탯 72종'!D49*G1039</x:f>
        <x:v>3.7799999999999994</x:v>
      </x:c>
      <x:c r="S1039" s="15" t="n">
        <x:f>'기준스탯 72종'!E49*G1039</x:f>
        <x:v>2.9399999999999995</x:v>
      </x:c>
      <x:c r="T1039" s="15" t="n">
        <x:f>'기준스탯 72종'!F49*G1039</x:f>
        <x:v>2.9399999999999995</x:v>
      </x:c>
      <x:c r="U1039" s="15" t="n">
        <x:f>'기준스탯 72종'!G49*G1039</x:f>
        <x:v>3.3599999999999994</x:v>
      </x:c>
      <x:c r="V1039" s="15" t="n">
        <x:f>'기준스탯 72종'!H49*G1039</x:f>
        <x:v>1.6799999999999997</x:v>
      </x:c>
      <x:c r="W1039" s="15" t="n">
        <x:f>'기준스탯 72종'!I49*G1039</x:f>
        <x:v>2.5199999999999996</x:v>
      </x:c>
      <x:c r="X1039" s="15" t="n">
        <x:f>'기준스탯 72종'!J49*G1039</x:f>
        <x:v>0.8399999999999999</x:v>
      </x:c>
      <x:c r="Y1039" s="15" t="n">
        <x:f>'기준스탯 72종'!K49*G1039</x:f>
        <x:v>1.6799999999999997</x:v>
      </x:c>
      <x:c r="Z1039" s="15" t="n">
        <x:f>'기준스탯 72종'!D49*H1039</x:f>
        <x:v>1.6200000000000006</x:v>
      </x:c>
      <x:c r="AA1039" s="15" t="n">
        <x:f>'기준스탯 72종'!E49*H1039</x:f>
        <x:v>1.2600000000000002</x:v>
      </x:c>
      <x:c r="AB1039" s="15" t="n">
        <x:f>'기준스탯 72종'!F49*H1039</x:f>
        <x:v>1.2600000000000002</x:v>
      </x:c>
      <x:c r="AC1039" s="15" t="n">
        <x:f>'기준스탯 72종'!G49*H1039</x:f>
        <x:v>1.4400000000000004</x:v>
      </x:c>
      <x:c r="AD1039" s="15" t="n">
        <x:f>'기준스탯 72종'!H49*H1039</x:f>
        <x:v>0.7200000000000002</x:v>
      </x:c>
      <x:c r="AE1039" s="15" t="n">
        <x:f>'기준스탯 72종'!I49*H1039</x:f>
        <x:v>1.0800000000000003</x:v>
      </x:c>
      <x:c r="AF1039" s="15" t="n">
        <x:f>'기준스탯 72종'!J49*H1039</x:f>
        <x:v>0.3600000000000001</x:v>
      </x:c>
      <x:c r="AG1039" s="15" t="n">
        <x:f>'기준스탯 72종'!K49*H1039</x:f>
        <x:v>0.7200000000000002</x:v>
      </x:c>
    </x:row>
    <x:row r="1040" ht="28" customHeight="1">
      <x:c r="A1040" s="2" t="n">
        <x:v>1033</x:v>
      </x:c>
      <x:c r="B1040" s="2" t="n">
        <x:v>42</x:v>
      </x:c>
      <x:c r="C1040" s="2" t="str">
        <x:v>천칭자리</x:v>
      </x:c>
      <x:c r="D1040" s="2" t="str">
        <x:v>전사</x:v>
      </x:c>
      <x:c r="E1040" s="2" t="n">
        <x:v>3</x:v>
      </x:c>
      <x:c r="F1040" s="2" t="n">
        <x:v>2</x:v>
      </x:c>
      <x:c r="G1040" s="14" t="n">
        <x:f>('레벨 계산식'!$E$4-E1040)*'레벨 계산식'!$B$5</x:f>
        <x:v>0.27999999999999997</x:v>
      </x:c>
      <x:c r="H1040" s="14" t="n">
        <x:f>('등급 계산식'!$E$4-F1040)*'등급 계산식'!$B$5</x:f>
        <x:v>0.18000000000000005</x:v>
      </x:c>
      <x:c r="I1040" s="14" t="n">
        <x:f>1-G1040-H1040</x:f>
        <x:v>0.5399999999999999</x:v>
      </x:c>
      <x:c r="J1040" s="2" t="n">
        <x:f>MAX(1,ROUND('기준스탯 72종'!D49-R1040-Z1040,0))</x:f>
        <x:v>5</x:v>
      </x:c>
      <x:c r="K1040" s="2" t="n">
        <x:f>MAX(1,ROUND('기준스탯 72종'!E49-S1040-AA1040,0))</x:f>
        <x:v>4</x:v>
      </x:c>
      <x:c r="L1040" s="2" t="n">
        <x:f>MAX(1,ROUND('기준스탯 72종'!F49-T1040-AB1040,0))</x:f>
        <x:v>4</x:v>
      </x:c>
      <x:c r="M1040" s="2" t="n">
        <x:f>MAX(1,ROUND('기준스탯 72종'!G49-U1040-AC1040,0))</x:f>
        <x:v>4</x:v>
      </x:c>
      <x:c r="N1040" s="2" t="n">
        <x:f>MAX(0,ROUND('기준스탯 72종'!H49-V1040-AD1040,0))</x:f>
        <x:v>2</x:v>
      </x:c>
      <x:c r="O1040" s="2" t="n">
        <x:f>MAX(0,ROUND('기준스탯 72종'!I49-W1040-AE1040,0))</x:f>
        <x:v>3</x:v>
      </x:c>
      <x:c r="P1040" s="2" t="n">
        <x:f>MAX(0,ROUND('기준스탯 72종'!J49-X1040-AF1040,0))</x:f>
        <x:v>1</x:v>
      </x:c>
      <x:c r="Q1040" s="2" t="n">
        <x:f>MAX(0,ROUND('기준스탯 72종'!K49-Y1040-AG1040,0))</x:f>
        <x:v>2</x:v>
      </x:c>
      <x:c r="R1040" s="15" t="n">
        <x:f>'기준스탯 72종'!D49*G1040</x:f>
        <x:v>2.5199999999999996</x:v>
      </x:c>
      <x:c r="S1040" s="15" t="n">
        <x:f>'기준스탯 72종'!E49*G1040</x:f>
        <x:v>1.9599999999999997</x:v>
      </x:c>
      <x:c r="T1040" s="15" t="n">
        <x:f>'기준스탯 72종'!F49*G1040</x:f>
        <x:v>1.9599999999999997</x:v>
      </x:c>
      <x:c r="U1040" s="15" t="n">
        <x:f>'기준스탯 72종'!G49*G1040</x:f>
        <x:v>2.2399999999999998</x:v>
      </x:c>
      <x:c r="V1040" s="15" t="n">
        <x:f>'기준스탯 72종'!H49*G1040</x:f>
        <x:v>1.1199999999999999</x:v>
      </x:c>
      <x:c r="W1040" s="15" t="n">
        <x:f>'기준스탯 72종'!I49*G1040</x:f>
        <x:v>1.6799999999999997</x:v>
      </x:c>
      <x:c r="X1040" s="15" t="n">
        <x:f>'기준스탯 72종'!J49*G1040</x:f>
        <x:v>0.5599999999999999</x:v>
      </x:c>
      <x:c r="Y1040" s="15" t="n">
        <x:f>'기준스탯 72종'!K49*G1040</x:f>
        <x:v>1.1199999999999999</x:v>
      </x:c>
      <x:c r="Z1040" s="15" t="n">
        <x:f>'기준스탯 72종'!D49*H1040</x:f>
        <x:v>1.6200000000000006</x:v>
      </x:c>
      <x:c r="AA1040" s="15" t="n">
        <x:f>'기준스탯 72종'!E49*H1040</x:f>
        <x:v>1.2600000000000002</x:v>
      </x:c>
      <x:c r="AB1040" s="15" t="n">
        <x:f>'기준스탯 72종'!F49*H1040</x:f>
        <x:v>1.2600000000000002</x:v>
      </x:c>
      <x:c r="AC1040" s="15" t="n">
        <x:f>'기준스탯 72종'!G49*H1040</x:f>
        <x:v>1.4400000000000004</x:v>
      </x:c>
      <x:c r="AD1040" s="15" t="n">
        <x:f>'기준스탯 72종'!H49*H1040</x:f>
        <x:v>0.7200000000000002</x:v>
      </x:c>
      <x:c r="AE1040" s="15" t="n">
        <x:f>'기준스탯 72종'!I49*H1040</x:f>
        <x:v>1.0800000000000003</x:v>
      </x:c>
      <x:c r="AF1040" s="15" t="n">
        <x:f>'기준스탯 72종'!J49*H1040</x:f>
        <x:v>0.3600000000000001</x:v>
      </x:c>
      <x:c r="AG1040" s="15" t="n">
        <x:f>'기준스탯 72종'!K49*H1040</x:f>
        <x:v>0.7200000000000002</x:v>
      </x:c>
    </x:row>
    <x:row r="1041" ht="28" customHeight="1">
      <x:c r="A1041" s="2" t="n">
        <x:v>1034</x:v>
      </x:c>
      <x:c r="B1041" s="2" t="n">
        <x:v>42</x:v>
      </x:c>
      <x:c r="C1041" s="2" t="str">
        <x:v>천칭자리</x:v>
      </x:c>
      <x:c r="D1041" s="2" t="str">
        <x:v>전사</x:v>
      </x:c>
      <x:c r="E1041" s="2" t="n">
        <x:v>4</x:v>
      </x:c>
      <x:c r="F1041" s="2" t="n">
        <x:v>2</x:v>
      </x:c>
      <x:c r="G1041" s="14" t="n">
        <x:f>('레벨 계산식'!$E$4-E1041)*'레벨 계산식'!$B$5</x:f>
        <x:v>0.13999999999999999</x:v>
      </x:c>
      <x:c r="H1041" s="14" t="n">
        <x:f>('등급 계산식'!$E$4-F1041)*'등급 계산식'!$B$5</x:f>
        <x:v>0.18000000000000005</x:v>
      </x:c>
      <x:c r="I1041" s="14" t="n">
        <x:f>1-G1041-H1041</x:f>
        <x:v>0.6799999999999999</x:v>
      </x:c>
      <x:c r="J1041" s="2" t="n">
        <x:f>MAX(1,ROUND('기준스탯 72종'!D49-R1041-Z1041,0))</x:f>
        <x:v>6</x:v>
      </x:c>
      <x:c r="K1041" s="2" t="n">
        <x:f>MAX(1,ROUND('기준스탯 72종'!E49-S1041-AA1041,0))</x:f>
        <x:v>5</x:v>
      </x:c>
      <x:c r="L1041" s="2" t="n">
        <x:f>MAX(1,ROUND('기준스탯 72종'!F49-T1041-AB1041,0))</x:f>
        <x:v>5</x:v>
      </x:c>
      <x:c r="M1041" s="2" t="n">
        <x:f>MAX(1,ROUND('기준스탯 72종'!G49-U1041-AC1041,0))</x:f>
        <x:v>5</x:v>
      </x:c>
      <x:c r="N1041" s="2" t="n">
        <x:f>MAX(0,ROUND('기준스탯 72종'!H49-V1041-AD1041,0))</x:f>
        <x:v>3</x:v>
      </x:c>
      <x:c r="O1041" s="2" t="n">
        <x:f>MAX(0,ROUND('기준스탯 72종'!I49-W1041-AE1041,0))</x:f>
        <x:v>4</x:v>
      </x:c>
      <x:c r="P1041" s="2" t="n">
        <x:f>MAX(0,ROUND('기준스탯 72종'!J49-X1041-AF1041,0))</x:f>
        <x:v>1</x:v>
      </x:c>
      <x:c r="Q1041" s="2" t="n">
        <x:f>MAX(0,ROUND('기준스탯 72종'!K49-Y1041-AG1041,0))</x:f>
        <x:v>3</x:v>
      </x:c>
      <x:c r="R1041" s="15" t="n">
        <x:f>'기준스탯 72종'!D49*G1041</x:f>
        <x:v>1.2599999999999998</x:v>
      </x:c>
      <x:c r="S1041" s="15" t="n">
        <x:f>'기준스탯 72종'!E49*G1041</x:f>
        <x:v>0.9799999999999999</x:v>
      </x:c>
      <x:c r="T1041" s="15" t="n">
        <x:f>'기준스탯 72종'!F49*G1041</x:f>
        <x:v>0.9799999999999999</x:v>
      </x:c>
      <x:c r="U1041" s="15" t="n">
        <x:f>'기준스탯 72종'!G49*G1041</x:f>
        <x:v>1.1199999999999999</x:v>
      </x:c>
      <x:c r="V1041" s="15" t="n">
        <x:f>'기준스탯 72종'!H49*G1041</x:f>
        <x:v>0.5599999999999999</x:v>
      </x:c>
      <x:c r="W1041" s="15" t="n">
        <x:f>'기준스탯 72종'!I49*G1041</x:f>
        <x:v>0.8399999999999999</x:v>
      </x:c>
      <x:c r="X1041" s="15" t="n">
        <x:f>'기준스탯 72종'!J49*G1041</x:f>
        <x:v>0.27999999999999997</x:v>
      </x:c>
      <x:c r="Y1041" s="15" t="n">
        <x:f>'기준스탯 72종'!K49*G1041</x:f>
        <x:v>0.5599999999999999</x:v>
      </x:c>
      <x:c r="Z1041" s="15" t="n">
        <x:f>'기준스탯 72종'!D49*H1041</x:f>
        <x:v>1.6200000000000006</x:v>
      </x:c>
      <x:c r="AA1041" s="15" t="n">
        <x:f>'기준스탯 72종'!E49*H1041</x:f>
        <x:v>1.2600000000000002</x:v>
      </x:c>
      <x:c r="AB1041" s="15" t="n">
        <x:f>'기준스탯 72종'!F49*H1041</x:f>
        <x:v>1.2600000000000002</x:v>
      </x:c>
      <x:c r="AC1041" s="15" t="n">
        <x:f>'기준스탯 72종'!G49*H1041</x:f>
        <x:v>1.4400000000000004</x:v>
      </x:c>
      <x:c r="AD1041" s="15" t="n">
        <x:f>'기준스탯 72종'!H49*H1041</x:f>
        <x:v>0.7200000000000002</x:v>
      </x:c>
      <x:c r="AE1041" s="15" t="n">
        <x:f>'기준스탯 72종'!I49*H1041</x:f>
        <x:v>1.0800000000000003</x:v>
      </x:c>
      <x:c r="AF1041" s="15" t="n">
        <x:f>'기준스탯 72종'!J49*H1041</x:f>
        <x:v>0.3600000000000001</x:v>
      </x:c>
      <x:c r="AG1041" s="15" t="n">
        <x:f>'기준스탯 72종'!K49*H1041</x:f>
        <x:v>0.7200000000000002</x:v>
      </x:c>
    </x:row>
    <x:row r="1042" ht="28" customHeight="1">
      <x:c r="A1042" s="2" t="n">
        <x:v>1035</x:v>
      </x:c>
      <x:c r="B1042" s="2" t="n">
        <x:v>42</x:v>
      </x:c>
      <x:c r="C1042" s="2" t="str">
        <x:v>천칭자리</x:v>
      </x:c>
      <x:c r="D1042" s="2" t="str">
        <x:v>전사</x:v>
      </x:c>
      <x:c r="E1042" s="2" t="n">
        <x:v>5</x:v>
      </x:c>
      <x:c r="F1042" s="2" t="n">
        <x:v>2</x:v>
      </x:c>
      <x:c r="G1042" s="14" t="n">
        <x:f>('레벨 계산식'!$E$4-E1042)*'레벨 계산식'!$B$5</x:f>
        <x:v>0</x:v>
      </x:c>
      <x:c r="H1042" s="14" t="n">
        <x:f>('등급 계산식'!$E$4-F1042)*'등급 계산식'!$B$5</x:f>
        <x:v>0.18000000000000005</x:v>
      </x:c>
      <x:c r="I1042" s="14" t="n">
        <x:f>1-G1042-H1042</x:f>
        <x:v>0.82</x:v>
      </x:c>
      <x:c r="J1042" s="2" t="n">
        <x:f>MAX(1,ROUND('기준스탯 72종'!D49-R1042-Z1042,0))</x:f>
        <x:v>7</x:v>
      </x:c>
      <x:c r="K1042" s="2" t="n">
        <x:f>MAX(1,ROUND('기준스탯 72종'!E49-S1042-AA1042,0))</x:f>
        <x:v>6</x:v>
      </x:c>
      <x:c r="L1042" s="2" t="n">
        <x:f>MAX(1,ROUND('기준스탯 72종'!F49-T1042-AB1042,0))</x:f>
        <x:v>6</x:v>
      </x:c>
      <x:c r="M1042" s="2" t="n">
        <x:f>MAX(1,ROUND('기준스탯 72종'!G49-U1042-AC1042,0))</x:f>
        <x:v>7</x:v>
      </x:c>
      <x:c r="N1042" s="2" t="n">
        <x:f>MAX(0,ROUND('기준스탯 72종'!H49-V1042-AD1042,0))</x:f>
        <x:v>3</x:v>
      </x:c>
      <x:c r="O1042" s="2" t="n">
        <x:f>MAX(0,ROUND('기준스탯 72종'!I49-W1042-AE1042,0))</x:f>
        <x:v>5</x:v>
      </x:c>
      <x:c r="P1042" s="2" t="n">
        <x:f>MAX(0,ROUND('기준스탯 72종'!J49-X1042-AF1042,0))</x:f>
        <x:v>2</x:v>
      </x:c>
      <x:c r="Q1042" s="2" t="n">
        <x:f>MAX(0,ROUND('기준스탯 72종'!K49-Y1042-AG1042,0))</x:f>
        <x:v>3</x:v>
      </x:c>
      <x:c r="R1042" s="15" t="n">
        <x:f>'기준스탯 72종'!D49*G1042</x:f>
        <x:v>0</x:v>
      </x:c>
      <x:c r="S1042" s="15" t="n">
        <x:f>'기준스탯 72종'!E49*G1042</x:f>
        <x:v>0</x:v>
      </x:c>
      <x:c r="T1042" s="15" t="n">
        <x:f>'기준스탯 72종'!F49*G1042</x:f>
        <x:v>0</x:v>
      </x:c>
      <x:c r="U1042" s="15" t="n">
        <x:f>'기준스탯 72종'!G49*G1042</x:f>
        <x:v>0</x:v>
      </x:c>
      <x:c r="V1042" s="15" t="n">
        <x:f>'기준스탯 72종'!H49*G1042</x:f>
        <x:v>0</x:v>
      </x:c>
      <x:c r="W1042" s="15" t="n">
        <x:f>'기준스탯 72종'!I49*G1042</x:f>
        <x:v>0</x:v>
      </x:c>
      <x:c r="X1042" s="15" t="n">
        <x:f>'기준스탯 72종'!J49*G1042</x:f>
        <x:v>0</x:v>
      </x:c>
      <x:c r="Y1042" s="15" t="n">
        <x:f>'기준스탯 72종'!K49*G1042</x:f>
        <x:v>0</x:v>
      </x:c>
      <x:c r="Z1042" s="15" t="n">
        <x:f>'기준스탯 72종'!D49*H1042</x:f>
        <x:v>1.6200000000000006</x:v>
      </x:c>
      <x:c r="AA1042" s="15" t="n">
        <x:f>'기준스탯 72종'!E49*H1042</x:f>
        <x:v>1.2600000000000002</x:v>
      </x:c>
      <x:c r="AB1042" s="15" t="n">
        <x:f>'기준스탯 72종'!F49*H1042</x:f>
        <x:v>1.2600000000000002</x:v>
      </x:c>
      <x:c r="AC1042" s="15" t="n">
        <x:f>'기준스탯 72종'!G49*H1042</x:f>
        <x:v>1.4400000000000004</x:v>
      </x:c>
      <x:c r="AD1042" s="15" t="n">
        <x:f>'기준스탯 72종'!H49*H1042</x:f>
        <x:v>0.7200000000000002</x:v>
      </x:c>
      <x:c r="AE1042" s="15" t="n">
        <x:f>'기준스탯 72종'!I49*H1042</x:f>
        <x:v>1.0800000000000003</x:v>
      </x:c>
      <x:c r="AF1042" s="15" t="n">
        <x:f>'기준스탯 72종'!J49*H1042</x:f>
        <x:v>0.3600000000000001</x:v>
      </x:c>
      <x:c r="AG1042" s="15" t="n">
        <x:f>'기준스탯 72종'!K49*H1042</x:f>
        <x:v>0.7200000000000002</x:v>
      </x:c>
    </x:row>
    <x:row r="1043" ht="28" customHeight="1">
      <x:c r="A1043" s="2" t="n">
        <x:v>1036</x:v>
      </x:c>
      <x:c r="B1043" s="2" t="n">
        <x:v>42</x:v>
      </x:c>
      <x:c r="C1043" s="2" t="str">
        <x:v>천칭자리</x:v>
      </x:c>
      <x:c r="D1043" s="2" t="str">
        <x:v>전사</x:v>
      </x:c>
      <x:c r="E1043" s="2" t="n">
        <x:v>1</x:v>
      </x:c>
      <x:c r="F1043" s="2" t="n">
        <x:v>3</x:v>
      </x:c>
      <x:c r="G1043" s="14" t="n">
        <x:f>('레벨 계산식'!$E$4-E1043)*'레벨 계산식'!$B$5</x:f>
        <x:v>0.5599999999999999</x:v>
      </x:c>
      <x:c r="H1043" s="14" t="n">
        <x:f>('등급 계산식'!$E$4-F1043)*'등급 계산식'!$B$5</x:f>
        <x:v>0.12000000000000002</x:v>
      </x:c>
      <x:c r="I1043" s="14" t="n">
        <x:f>1-G1043-H1043</x:f>
        <x:v>0.32000000000000006</x:v>
      </x:c>
      <x:c r="J1043" s="2" t="n">
        <x:f>MAX(1,ROUND('기준스탯 72종'!D49-R1043-Z1043,0))</x:f>
        <x:v>3</x:v>
      </x:c>
      <x:c r="K1043" s="2" t="n">
        <x:f>MAX(1,ROUND('기준스탯 72종'!E49-S1043-AA1043,0))</x:f>
        <x:v>2</x:v>
      </x:c>
      <x:c r="L1043" s="2" t="n">
        <x:f>MAX(1,ROUND('기준스탯 72종'!F49-T1043-AB1043,0))</x:f>
        <x:v>2</x:v>
      </x:c>
      <x:c r="M1043" s="2" t="n">
        <x:f>MAX(1,ROUND('기준스탯 72종'!G49-U1043-AC1043,0))</x:f>
        <x:v>3</x:v>
      </x:c>
      <x:c r="N1043" s="2" t="n">
        <x:f>MAX(0,ROUND('기준스탯 72종'!H49-V1043-AD1043,0))</x:f>
        <x:v>1</x:v>
      </x:c>
      <x:c r="O1043" s="2" t="n">
        <x:f>MAX(0,ROUND('기준스탯 72종'!I49-W1043-AE1043,0))</x:f>
        <x:v>2</x:v>
      </x:c>
      <x:c r="P1043" s="2" t="n">
        <x:f>MAX(0,ROUND('기준스탯 72종'!J49-X1043-AF1043,0))</x:f>
        <x:v>1</x:v>
      </x:c>
      <x:c r="Q1043" s="2" t="n">
        <x:f>MAX(0,ROUND('기준스탯 72종'!K49-Y1043-AG1043,0))</x:f>
        <x:v>1</x:v>
      </x:c>
      <x:c r="R1043" s="15" t="n">
        <x:f>'기준스탯 72종'!D49*G1043</x:f>
        <x:v>5.039999999999999</x:v>
      </x:c>
      <x:c r="S1043" s="15" t="n">
        <x:f>'기준스탯 72종'!E49*G1043</x:f>
        <x:v>3.9199999999999995</x:v>
      </x:c>
      <x:c r="T1043" s="15" t="n">
        <x:f>'기준스탯 72종'!F49*G1043</x:f>
        <x:v>3.9199999999999995</x:v>
      </x:c>
      <x:c r="U1043" s="15" t="n">
        <x:f>'기준스탯 72종'!G49*G1043</x:f>
        <x:v>4.4799999999999995</x:v>
      </x:c>
      <x:c r="V1043" s="15" t="n">
        <x:f>'기준스탯 72종'!H49*G1043</x:f>
        <x:v>2.2399999999999998</x:v>
      </x:c>
      <x:c r="W1043" s="15" t="n">
        <x:f>'기준스탯 72종'!I49*G1043</x:f>
        <x:v>3.3599999999999994</x:v>
      </x:c>
      <x:c r="X1043" s="15" t="n">
        <x:f>'기준스탯 72종'!J49*G1043</x:f>
        <x:v>1.1199999999999999</x:v>
      </x:c>
      <x:c r="Y1043" s="15" t="n">
        <x:f>'기준스탯 72종'!K49*G1043</x:f>
        <x:v>2.2399999999999998</x:v>
      </x:c>
      <x:c r="Z1043" s="15" t="n">
        <x:f>'기준스탯 72종'!D49*H1043</x:f>
        <x:v>1.0800000000000003</x:v>
      </x:c>
      <x:c r="AA1043" s="15" t="n">
        <x:f>'기준스탯 72종'!E49*H1043</x:f>
        <x:v>0.8400000000000002</x:v>
      </x:c>
      <x:c r="AB1043" s="15" t="n">
        <x:f>'기준스탯 72종'!F49*H1043</x:f>
        <x:v>0.8400000000000002</x:v>
      </x:c>
      <x:c r="AC1043" s="15" t="n">
        <x:f>'기준스탯 72종'!G49*H1043</x:f>
        <x:v>0.9600000000000002</x:v>
      </x:c>
      <x:c r="AD1043" s="15" t="n">
        <x:f>'기준스탯 72종'!H49*H1043</x:f>
        <x:v>0.4800000000000001</x:v>
      </x:c>
      <x:c r="AE1043" s="15" t="n">
        <x:f>'기준스탯 72종'!I49*H1043</x:f>
        <x:v>0.7200000000000002</x:v>
      </x:c>
      <x:c r="AF1043" s="15" t="n">
        <x:f>'기준스탯 72종'!J49*H1043</x:f>
        <x:v>0.24000000000000005</x:v>
      </x:c>
      <x:c r="AG1043" s="15" t="n">
        <x:f>'기준스탯 72종'!K49*H1043</x:f>
        <x:v>0.4800000000000001</x:v>
      </x:c>
    </x:row>
    <x:row r="1044" ht="28" customHeight="1">
      <x:c r="A1044" s="2" t="n">
        <x:v>1037</x:v>
      </x:c>
      <x:c r="B1044" s="2" t="n">
        <x:v>42</x:v>
      </x:c>
      <x:c r="C1044" s="2" t="str">
        <x:v>천칭자리</x:v>
      </x:c>
      <x:c r="D1044" s="2" t="str">
        <x:v>전사</x:v>
      </x:c>
      <x:c r="E1044" s="2" t="n">
        <x:v>2</x:v>
      </x:c>
      <x:c r="F1044" s="2" t="n">
        <x:v>3</x:v>
      </x:c>
      <x:c r="G1044" s="14" t="n">
        <x:f>('레벨 계산식'!$E$4-E1044)*'레벨 계산식'!$B$5</x:f>
        <x:v>0.41999999999999993</x:v>
      </x:c>
      <x:c r="H1044" s="14" t="n">
        <x:f>('등급 계산식'!$E$4-F1044)*'등급 계산식'!$B$5</x:f>
        <x:v>0.12000000000000002</x:v>
      </x:c>
      <x:c r="I1044" s="14" t="n">
        <x:f>1-G1044-H1044</x:f>
        <x:v>0.4600000000000001</x:v>
      </x:c>
      <x:c r="J1044" s="2" t="n">
        <x:f>MAX(1,ROUND('기준스탯 72종'!D49-R1044-Z1044,0))</x:f>
        <x:v>4</x:v>
      </x:c>
      <x:c r="K1044" s="2" t="n">
        <x:f>MAX(1,ROUND('기준스탯 72종'!E49-S1044-AA1044,0))</x:f>
        <x:v>3</x:v>
      </x:c>
      <x:c r="L1044" s="2" t="n">
        <x:f>MAX(1,ROUND('기준스탯 72종'!F49-T1044-AB1044,0))</x:f>
        <x:v>3</x:v>
      </x:c>
      <x:c r="M1044" s="2" t="n">
        <x:f>MAX(1,ROUND('기준스탯 72종'!G49-U1044-AC1044,0))</x:f>
        <x:v>4</x:v>
      </x:c>
      <x:c r="N1044" s="2" t="n">
        <x:f>MAX(0,ROUND('기준스탯 72종'!H49-V1044-AD1044,0))</x:f>
        <x:v>2</x:v>
      </x:c>
      <x:c r="O1044" s="2" t="n">
        <x:f>MAX(0,ROUND('기준스탯 72종'!I49-W1044-AE1044,0))</x:f>
        <x:v>3</x:v>
      </x:c>
      <x:c r="P1044" s="2" t="n">
        <x:f>MAX(0,ROUND('기준스탯 72종'!J49-X1044-AF1044,0))</x:f>
        <x:v>1</x:v>
      </x:c>
      <x:c r="Q1044" s="2" t="n">
        <x:f>MAX(0,ROUND('기준스탯 72종'!K49-Y1044-AG1044,0))</x:f>
        <x:v>2</x:v>
      </x:c>
      <x:c r="R1044" s="15" t="n">
        <x:f>'기준스탯 72종'!D49*G1044</x:f>
        <x:v>3.7799999999999994</x:v>
      </x:c>
      <x:c r="S1044" s="15" t="n">
        <x:f>'기준스탯 72종'!E49*G1044</x:f>
        <x:v>2.9399999999999995</x:v>
      </x:c>
      <x:c r="T1044" s="15" t="n">
        <x:f>'기준스탯 72종'!F49*G1044</x:f>
        <x:v>2.9399999999999995</x:v>
      </x:c>
      <x:c r="U1044" s="15" t="n">
        <x:f>'기준스탯 72종'!G49*G1044</x:f>
        <x:v>3.3599999999999994</x:v>
      </x:c>
      <x:c r="V1044" s="15" t="n">
        <x:f>'기준스탯 72종'!H49*G1044</x:f>
        <x:v>1.6799999999999997</x:v>
      </x:c>
      <x:c r="W1044" s="15" t="n">
        <x:f>'기준스탯 72종'!I49*G1044</x:f>
        <x:v>2.5199999999999996</x:v>
      </x:c>
      <x:c r="X1044" s="15" t="n">
        <x:f>'기준스탯 72종'!J49*G1044</x:f>
        <x:v>0.8399999999999999</x:v>
      </x:c>
      <x:c r="Y1044" s="15" t="n">
        <x:f>'기준스탯 72종'!K49*G1044</x:f>
        <x:v>1.6799999999999997</x:v>
      </x:c>
      <x:c r="Z1044" s="15" t="n">
        <x:f>'기준스탯 72종'!D49*H1044</x:f>
        <x:v>1.0800000000000003</x:v>
      </x:c>
      <x:c r="AA1044" s="15" t="n">
        <x:f>'기준스탯 72종'!E49*H1044</x:f>
        <x:v>0.8400000000000002</x:v>
      </x:c>
      <x:c r="AB1044" s="15" t="n">
        <x:f>'기준스탯 72종'!F49*H1044</x:f>
        <x:v>0.8400000000000002</x:v>
      </x:c>
      <x:c r="AC1044" s="15" t="n">
        <x:f>'기준스탯 72종'!G49*H1044</x:f>
        <x:v>0.9600000000000002</x:v>
      </x:c>
      <x:c r="AD1044" s="15" t="n">
        <x:f>'기준스탯 72종'!H49*H1044</x:f>
        <x:v>0.4800000000000001</x:v>
      </x:c>
      <x:c r="AE1044" s="15" t="n">
        <x:f>'기준스탯 72종'!I49*H1044</x:f>
        <x:v>0.7200000000000002</x:v>
      </x:c>
      <x:c r="AF1044" s="15" t="n">
        <x:f>'기준스탯 72종'!J49*H1044</x:f>
        <x:v>0.24000000000000005</x:v>
      </x:c>
      <x:c r="AG1044" s="15" t="n">
        <x:f>'기준스탯 72종'!K49*H1044</x:f>
        <x:v>0.4800000000000001</x:v>
      </x:c>
    </x:row>
    <x:row r="1045" ht="28" customHeight="1">
      <x:c r="A1045" s="2" t="n">
        <x:v>1038</x:v>
      </x:c>
      <x:c r="B1045" s="2" t="n">
        <x:v>42</x:v>
      </x:c>
      <x:c r="C1045" s="2" t="str">
        <x:v>천칭자리</x:v>
      </x:c>
      <x:c r="D1045" s="2" t="str">
        <x:v>전사</x:v>
      </x:c>
      <x:c r="E1045" s="2" t="n">
        <x:v>3</x:v>
      </x:c>
      <x:c r="F1045" s="2" t="n">
        <x:v>3</x:v>
      </x:c>
      <x:c r="G1045" s="14" t="n">
        <x:f>('레벨 계산식'!$E$4-E1045)*'레벨 계산식'!$B$5</x:f>
        <x:v>0.27999999999999997</x:v>
      </x:c>
      <x:c r="H1045" s="14" t="n">
        <x:f>('등급 계산식'!$E$4-F1045)*'등급 계산식'!$B$5</x:f>
        <x:v>0.12000000000000002</x:v>
      </x:c>
      <x:c r="I1045" s="14" t="n">
        <x:f>1-G1045-H1045</x:f>
        <x:v>0.6</x:v>
      </x:c>
      <x:c r="J1045" s="2" t="n">
        <x:f>MAX(1,ROUND('기준스탯 72종'!D49-R1045-Z1045,0))</x:f>
        <x:v>5</x:v>
      </x:c>
      <x:c r="K1045" s="2" t="n">
        <x:f>MAX(1,ROUND('기준스탯 72종'!E49-S1045-AA1045,0))</x:f>
        <x:v>4</x:v>
      </x:c>
      <x:c r="L1045" s="2" t="n">
        <x:f>MAX(1,ROUND('기준스탯 72종'!F49-T1045-AB1045,0))</x:f>
        <x:v>4</x:v>
      </x:c>
      <x:c r="M1045" s="2" t="n">
        <x:f>MAX(1,ROUND('기준스탯 72종'!G49-U1045-AC1045,0))</x:f>
        <x:v>5</x:v>
      </x:c>
      <x:c r="N1045" s="2" t="n">
        <x:f>MAX(0,ROUND('기준스탯 72종'!H49-V1045-AD1045,0))</x:f>
        <x:v>2</x:v>
      </x:c>
      <x:c r="O1045" s="2" t="n">
        <x:f>MAX(0,ROUND('기준스탯 72종'!I49-W1045-AE1045,0))</x:f>
        <x:v>4</x:v>
      </x:c>
      <x:c r="P1045" s="2" t="n">
        <x:f>MAX(0,ROUND('기준스탯 72종'!J49-X1045-AF1045,0))</x:f>
        <x:v>1</x:v>
      </x:c>
      <x:c r="Q1045" s="2" t="n">
        <x:f>MAX(0,ROUND('기준스탯 72종'!K49-Y1045-AG1045,0))</x:f>
        <x:v>2</x:v>
      </x:c>
      <x:c r="R1045" s="15" t="n">
        <x:f>'기준스탯 72종'!D49*G1045</x:f>
        <x:v>2.5199999999999996</x:v>
      </x:c>
      <x:c r="S1045" s="15" t="n">
        <x:f>'기준스탯 72종'!E49*G1045</x:f>
        <x:v>1.9599999999999997</x:v>
      </x:c>
      <x:c r="T1045" s="15" t="n">
        <x:f>'기준스탯 72종'!F49*G1045</x:f>
        <x:v>1.9599999999999997</x:v>
      </x:c>
      <x:c r="U1045" s="15" t="n">
        <x:f>'기준스탯 72종'!G49*G1045</x:f>
        <x:v>2.2399999999999998</x:v>
      </x:c>
      <x:c r="V1045" s="15" t="n">
        <x:f>'기준스탯 72종'!H49*G1045</x:f>
        <x:v>1.1199999999999999</x:v>
      </x:c>
      <x:c r="W1045" s="15" t="n">
        <x:f>'기준스탯 72종'!I49*G1045</x:f>
        <x:v>1.6799999999999997</x:v>
      </x:c>
      <x:c r="X1045" s="15" t="n">
        <x:f>'기준스탯 72종'!J49*G1045</x:f>
        <x:v>0.5599999999999999</x:v>
      </x:c>
      <x:c r="Y1045" s="15" t="n">
        <x:f>'기준스탯 72종'!K49*G1045</x:f>
        <x:v>1.1199999999999999</x:v>
      </x:c>
      <x:c r="Z1045" s="15" t="n">
        <x:f>'기준스탯 72종'!D49*H1045</x:f>
        <x:v>1.0800000000000003</x:v>
      </x:c>
      <x:c r="AA1045" s="15" t="n">
        <x:f>'기준스탯 72종'!E49*H1045</x:f>
        <x:v>0.8400000000000002</x:v>
      </x:c>
      <x:c r="AB1045" s="15" t="n">
        <x:f>'기준스탯 72종'!F49*H1045</x:f>
        <x:v>0.8400000000000002</x:v>
      </x:c>
      <x:c r="AC1045" s="15" t="n">
        <x:f>'기준스탯 72종'!G49*H1045</x:f>
        <x:v>0.9600000000000002</x:v>
      </x:c>
      <x:c r="AD1045" s="15" t="n">
        <x:f>'기준스탯 72종'!H49*H1045</x:f>
        <x:v>0.4800000000000001</x:v>
      </x:c>
      <x:c r="AE1045" s="15" t="n">
        <x:f>'기준스탯 72종'!I49*H1045</x:f>
        <x:v>0.7200000000000002</x:v>
      </x:c>
      <x:c r="AF1045" s="15" t="n">
        <x:f>'기준스탯 72종'!J49*H1045</x:f>
        <x:v>0.24000000000000005</x:v>
      </x:c>
      <x:c r="AG1045" s="15" t="n">
        <x:f>'기준스탯 72종'!K49*H1045</x:f>
        <x:v>0.4800000000000001</x:v>
      </x:c>
    </x:row>
    <x:row r="1046" ht="28" customHeight="1">
      <x:c r="A1046" s="2" t="n">
        <x:v>1039</x:v>
      </x:c>
      <x:c r="B1046" s="2" t="n">
        <x:v>42</x:v>
      </x:c>
      <x:c r="C1046" s="2" t="str">
        <x:v>천칭자리</x:v>
      </x:c>
      <x:c r="D1046" s="2" t="str">
        <x:v>전사</x:v>
      </x:c>
      <x:c r="E1046" s="2" t="n">
        <x:v>4</x:v>
      </x:c>
      <x:c r="F1046" s="2" t="n">
        <x:v>3</x:v>
      </x:c>
      <x:c r="G1046" s="14" t="n">
        <x:f>('레벨 계산식'!$E$4-E1046)*'레벨 계산식'!$B$5</x:f>
        <x:v>0.13999999999999999</x:v>
      </x:c>
      <x:c r="H1046" s="14" t="n">
        <x:f>('등급 계산식'!$E$4-F1046)*'등급 계산식'!$B$5</x:f>
        <x:v>0.12000000000000002</x:v>
      </x:c>
      <x:c r="I1046" s="14" t="n">
        <x:f>1-G1046-H1046</x:f>
        <x:v>0.74</x:v>
      </x:c>
      <x:c r="J1046" s="2" t="n">
        <x:f>MAX(1,ROUND('기준스탯 72종'!D49-R1046-Z1046,0))</x:f>
        <x:v>7</x:v>
      </x:c>
      <x:c r="K1046" s="2" t="n">
        <x:f>MAX(1,ROUND('기준스탯 72종'!E49-S1046-AA1046,0))</x:f>
        <x:v>5</x:v>
      </x:c>
      <x:c r="L1046" s="2" t="n">
        <x:f>MAX(1,ROUND('기준스탯 72종'!F49-T1046-AB1046,0))</x:f>
        <x:v>5</x:v>
      </x:c>
      <x:c r="M1046" s="2" t="n">
        <x:f>MAX(1,ROUND('기준스탯 72종'!G49-U1046-AC1046,0))</x:f>
        <x:v>6</x:v>
      </x:c>
      <x:c r="N1046" s="2" t="n">
        <x:f>MAX(0,ROUND('기준스탯 72종'!H49-V1046-AD1046,0))</x:f>
        <x:v>3</x:v>
      </x:c>
      <x:c r="O1046" s="2" t="n">
        <x:f>MAX(0,ROUND('기준스탯 72종'!I49-W1046-AE1046,0))</x:f>
        <x:v>4</x:v>
      </x:c>
      <x:c r="P1046" s="2" t="n">
        <x:f>MAX(0,ROUND('기준스탯 72종'!J49-X1046-AF1046,0))</x:f>
        <x:v>1</x:v>
      </x:c>
      <x:c r="Q1046" s="2" t="n">
        <x:f>MAX(0,ROUND('기준스탯 72종'!K49-Y1046-AG1046,0))</x:f>
        <x:v>3</x:v>
      </x:c>
      <x:c r="R1046" s="15" t="n">
        <x:f>'기준스탯 72종'!D49*G1046</x:f>
        <x:v>1.2599999999999998</x:v>
      </x:c>
      <x:c r="S1046" s="15" t="n">
        <x:f>'기준스탯 72종'!E49*G1046</x:f>
        <x:v>0.9799999999999999</x:v>
      </x:c>
      <x:c r="T1046" s="15" t="n">
        <x:f>'기준스탯 72종'!F49*G1046</x:f>
        <x:v>0.9799999999999999</x:v>
      </x:c>
      <x:c r="U1046" s="15" t="n">
        <x:f>'기준스탯 72종'!G49*G1046</x:f>
        <x:v>1.1199999999999999</x:v>
      </x:c>
      <x:c r="V1046" s="15" t="n">
        <x:f>'기준스탯 72종'!H49*G1046</x:f>
        <x:v>0.5599999999999999</x:v>
      </x:c>
      <x:c r="W1046" s="15" t="n">
        <x:f>'기준스탯 72종'!I49*G1046</x:f>
        <x:v>0.8399999999999999</x:v>
      </x:c>
      <x:c r="X1046" s="15" t="n">
        <x:f>'기준스탯 72종'!J49*G1046</x:f>
        <x:v>0.27999999999999997</x:v>
      </x:c>
      <x:c r="Y1046" s="15" t="n">
        <x:f>'기준스탯 72종'!K49*G1046</x:f>
        <x:v>0.5599999999999999</x:v>
      </x:c>
      <x:c r="Z1046" s="15" t="n">
        <x:f>'기준스탯 72종'!D49*H1046</x:f>
        <x:v>1.0800000000000003</x:v>
      </x:c>
      <x:c r="AA1046" s="15" t="n">
        <x:f>'기준스탯 72종'!E49*H1046</x:f>
        <x:v>0.8400000000000002</x:v>
      </x:c>
      <x:c r="AB1046" s="15" t="n">
        <x:f>'기준스탯 72종'!F49*H1046</x:f>
        <x:v>0.8400000000000002</x:v>
      </x:c>
      <x:c r="AC1046" s="15" t="n">
        <x:f>'기준스탯 72종'!G49*H1046</x:f>
        <x:v>0.9600000000000002</x:v>
      </x:c>
      <x:c r="AD1046" s="15" t="n">
        <x:f>'기준스탯 72종'!H49*H1046</x:f>
        <x:v>0.4800000000000001</x:v>
      </x:c>
      <x:c r="AE1046" s="15" t="n">
        <x:f>'기준스탯 72종'!I49*H1046</x:f>
        <x:v>0.7200000000000002</x:v>
      </x:c>
      <x:c r="AF1046" s="15" t="n">
        <x:f>'기준스탯 72종'!J49*H1046</x:f>
        <x:v>0.24000000000000005</x:v>
      </x:c>
      <x:c r="AG1046" s="15" t="n">
        <x:f>'기준스탯 72종'!K49*H1046</x:f>
        <x:v>0.4800000000000001</x:v>
      </x:c>
    </x:row>
    <x:row r="1047" ht="28" customHeight="1">
      <x:c r="A1047" s="2" t="n">
        <x:v>1040</x:v>
      </x:c>
      <x:c r="B1047" s="2" t="n">
        <x:v>42</x:v>
      </x:c>
      <x:c r="C1047" s="2" t="str">
        <x:v>천칭자리</x:v>
      </x:c>
      <x:c r="D1047" s="2" t="str">
        <x:v>전사</x:v>
      </x:c>
      <x:c r="E1047" s="2" t="n">
        <x:v>5</x:v>
      </x:c>
      <x:c r="F1047" s="2" t="n">
        <x:v>3</x:v>
      </x:c>
      <x:c r="G1047" s="14" t="n">
        <x:f>('레벨 계산식'!$E$4-E1047)*'레벨 계산식'!$B$5</x:f>
        <x:v>0</x:v>
      </x:c>
      <x:c r="H1047" s="14" t="n">
        <x:f>('등급 계산식'!$E$4-F1047)*'등급 계산식'!$B$5</x:f>
        <x:v>0.12000000000000002</x:v>
      </x:c>
      <x:c r="I1047" s="14" t="n">
        <x:f>1-G1047-H1047</x:f>
        <x:v>0.88</x:v>
      </x:c>
      <x:c r="J1047" s="2" t="n">
        <x:f>MAX(1,ROUND('기준스탯 72종'!D49-R1047-Z1047,0))</x:f>
        <x:v>8</x:v>
      </x:c>
      <x:c r="K1047" s="2" t="n">
        <x:f>MAX(1,ROUND('기준스탯 72종'!E49-S1047-AA1047,0))</x:f>
        <x:v>6</x:v>
      </x:c>
      <x:c r="L1047" s="2" t="n">
        <x:f>MAX(1,ROUND('기준스탯 72종'!F49-T1047-AB1047,0))</x:f>
        <x:v>6</x:v>
      </x:c>
      <x:c r="M1047" s="2" t="n">
        <x:f>MAX(1,ROUND('기준스탯 72종'!G49-U1047-AC1047,0))</x:f>
        <x:v>7</x:v>
      </x:c>
      <x:c r="N1047" s="2" t="n">
        <x:f>MAX(0,ROUND('기준스탯 72종'!H49-V1047-AD1047,0))</x:f>
        <x:v>4</x:v>
      </x:c>
      <x:c r="O1047" s="2" t="n">
        <x:f>MAX(0,ROUND('기준스탯 72종'!I49-W1047-AE1047,0))</x:f>
        <x:v>5</x:v>
      </x:c>
      <x:c r="P1047" s="2" t="n">
        <x:f>MAX(0,ROUND('기준스탯 72종'!J49-X1047-AF1047,0))</x:f>
        <x:v>2</x:v>
      </x:c>
      <x:c r="Q1047" s="2" t="n">
        <x:f>MAX(0,ROUND('기준스탯 72종'!K49-Y1047-AG1047,0))</x:f>
        <x:v>4</x:v>
      </x:c>
      <x:c r="R1047" s="15" t="n">
        <x:f>'기준스탯 72종'!D49*G1047</x:f>
        <x:v>0</x:v>
      </x:c>
      <x:c r="S1047" s="15" t="n">
        <x:f>'기준스탯 72종'!E49*G1047</x:f>
        <x:v>0</x:v>
      </x:c>
      <x:c r="T1047" s="15" t="n">
        <x:f>'기준스탯 72종'!F49*G1047</x:f>
        <x:v>0</x:v>
      </x:c>
      <x:c r="U1047" s="15" t="n">
        <x:f>'기준스탯 72종'!G49*G1047</x:f>
        <x:v>0</x:v>
      </x:c>
      <x:c r="V1047" s="15" t="n">
        <x:f>'기준스탯 72종'!H49*G1047</x:f>
        <x:v>0</x:v>
      </x:c>
      <x:c r="W1047" s="15" t="n">
        <x:f>'기준스탯 72종'!I49*G1047</x:f>
        <x:v>0</x:v>
      </x:c>
      <x:c r="X1047" s="15" t="n">
        <x:f>'기준스탯 72종'!J49*G1047</x:f>
        <x:v>0</x:v>
      </x:c>
      <x:c r="Y1047" s="15" t="n">
        <x:f>'기준스탯 72종'!K49*G1047</x:f>
        <x:v>0</x:v>
      </x:c>
      <x:c r="Z1047" s="15" t="n">
        <x:f>'기준스탯 72종'!D49*H1047</x:f>
        <x:v>1.0800000000000003</x:v>
      </x:c>
      <x:c r="AA1047" s="15" t="n">
        <x:f>'기준스탯 72종'!E49*H1047</x:f>
        <x:v>0.8400000000000002</x:v>
      </x:c>
      <x:c r="AB1047" s="15" t="n">
        <x:f>'기준스탯 72종'!F49*H1047</x:f>
        <x:v>0.8400000000000002</x:v>
      </x:c>
      <x:c r="AC1047" s="15" t="n">
        <x:f>'기준스탯 72종'!G49*H1047</x:f>
        <x:v>0.9600000000000002</x:v>
      </x:c>
      <x:c r="AD1047" s="15" t="n">
        <x:f>'기준스탯 72종'!H49*H1047</x:f>
        <x:v>0.4800000000000001</x:v>
      </x:c>
      <x:c r="AE1047" s="15" t="n">
        <x:f>'기준스탯 72종'!I49*H1047</x:f>
        <x:v>0.7200000000000002</x:v>
      </x:c>
      <x:c r="AF1047" s="15" t="n">
        <x:f>'기준스탯 72종'!J49*H1047</x:f>
        <x:v>0.24000000000000005</x:v>
      </x:c>
      <x:c r="AG1047" s="15" t="n">
        <x:f>'기준스탯 72종'!K49*H1047</x:f>
        <x:v>0.4800000000000001</x:v>
      </x:c>
    </x:row>
    <x:row r="1048" ht="28" customHeight="1">
      <x:c r="A1048" s="2" t="n">
        <x:v>1041</x:v>
      </x:c>
      <x:c r="B1048" s="2" t="n">
        <x:v>42</x:v>
      </x:c>
      <x:c r="C1048" s="2" t="str">
        <x:v>천칭자리</x:v>
      </x:c>
      <x:c r="D1048" s="2" t="str">
        <x:v>전사</x:v>
      </x:c>
      <x:c r="E1048" s="2" t="n">
        <x:v>1</x:v>
      </x:c>
      <x:c r="F1048" s="2" t="n">
        <x:v>4</x:v>
      </x:c>
      <x:c r="G1048" s="14" t="n">
        <x:f>('레벨 계산식'!$E$4-E1048)*'레벨 계산식'!$B$5</x:f>
        <x:v>0.5599999999999999</x:v>
      </x:c>
      <x:c r="H1048" s="14" t="n">
        <x:f>('등급 계산식'!$E$4-F1048)*'등급 계산식'!$B$5</x:f>
        <x:v>0.06000000000000001</x:v>
      </x:c>
      <x:c r="I1048" s="14" t="n">
        <x:f>1-G1048-H1048</x:f>
        <x:v>0.38000000000000006</x:v>
      </x:c>
      <x:c r="J1048" s="2" t="n">
        <x:f>MAX(1,ROUND('기준스탯 72종'!D49-R1048-Z1048,0))</x:f>
        <x:v>3</x:v>
      </x:c>
      <x:c r="K1048" s="2" t="n">
        <x:f>MAX(1,ROUND('기준스탯 72종'!E49-S1048-AA1048,0))</x:f>
        <x:v>3</x:v>
      </x:c>
      <x:c r="L1048" s="2" t="n">
        <x:f>MAX(1,ROUND('기준스탯 72종'!F49-T1048-AB1048,0))</x:f>
        <x:v>3</x:v>
      </x:c>
      <x:c r="M1048" s="2" t="n">
        <x:f>MAX(1,ROUND('기준스탯 72종'!G49-U1048-AC1048,0))</x:f>
        <x:v>3</x:v>
      </x:c>
      <x:c r="N1048" s="2" t="n">
        <x:f>MAX(0,ROUND('기준스탯 72종'!H49-V1048-AD1048,0))</x:f>
        <x:v>2</x:v>
      </x:c>
      <x:c r="O1048" s="2" t="n">
        <x:f>MAX(0,ROUND('기준스탯 72종'!I49-W1048-AE1048,0))</x:f>
        <x:v>2</x:v>
      </x:c>
      <x:c r="P1048" s="2" t="n">
        <x:f>MAX(0,ROUND('기준스탯 72종'!J49-X1048-AF1048,0))</x:f>
        <x:v>1</x:v>
      </x:c>
      <x:c r="Q1048" s="2" t="n">
        <x:f>MAX(0,ROUND('기준스탯 72종'!K49-Y1048-AG1048,0))</x:f>
        <x:v>2</x:v>
      </x:c>
      <x:c r="R1048" s="15" t="n">
        <x:f>'기준스탯 72종'!D49*G1048</x:f>
        <x:v>5.039999999999999</x:v>
      </x:c>
      <x:c r="S1048" s="15" t="n">
        <x:f>'기준스탯 72종'!E49*G1048</x:f>
        <x:v>3.9199999999999995</x:v>
      </x:c>
      <x:c r="T1048" s="15" t="n">
        <x:f>'기준스탯 72종'!F49*G1048</x:f>
        <x:v>3.9199999999999995</x:v>
      </x:c>
      <x:c r="U1048" s="15" t="n">
        <x:f>'기준스탯 72종'!G49*G1048</x:f>
        <x:v>4.4799999999999995</x:v>
      </x:c>
      <x:c r="V1048" s="15" t="n">
        <x:f>'기준스탯 72종'!H49*G1048</x:f>
        <x:v>2.2399999999999998</x:v>
      </x:c>
      <x:c r="W1048" s="15" t="n">
        <x:f>'기준스탯 72종'!I49*G1048</x:f>
        <x:v>3.3599999999999994</x:v>
      </x:c>
      <x:c r="X1048" s="15" t="n">
        <x:f>'기준스탯 72종'!J49*G1048</x:f>
        <x:v>1.1199999999999999</x:v>
      </x:c>
      <x:c r="Y1048" s="15" t="n">
        <x:f>'기준스탯 72종'!K49*G1048</x:f>
        <x:v>2.2399999999999998</x:v>
      </x:c>
      <x:c r="Z1048" s="15" t="n">
        <x:f>'기준스탯 72종'!D49*H1048</x:f>
        <x:v>0.5400000000000001</x:v>
      </x:c>
      <x:c r="AA1048" s="15" t="n">
        <x:f>'기준스탯 72종'!E49*H1048</x:f>
        <x:v>0.4200000000000001</x:v>
      </x:c>
      <x:c r="AB1048" s="15" t="n">
        <x:f>'기준스탯 72종'!F49*H1048</x:f>
        <x:v>0.4200000000000001</x:v>
      </x:c>
      <x:c r="AC1048" s="15" t="n">
        <x:f>'기준스탯 72종'!G49*H1048</x:f>
        <x:v>0.4800000000000001</x:v>
      </x:c>
      <x:c r="AD1048" s="15" t="n">
        <x:f>'기준스탯 72종'!H49*H1048</x:f>
        <x:v>0.24000000000000005</x:v>
      </x:c>
      <x:c r="AE1048" s="15" t="n">
        <x:f>'기준스탯 72종'!I49*H1048</x:f>
        <x:v>0.3600000000000001</x:v>
      </x:c>
      <x:c r="AF1048" s="15" t="n">
        <x:f>'기준스탯 72종'!J49*H1048</x:f>
        <x:v>0.12000000000000002</x:v>
      </x:c>
      <x:c r="AG1048" s="15" t="n">
        <x:f>'기준스탯 72종'!K49*H1048</x:f>
        <x:v>0.24000000000000005</x:v>
      </x:c>
    </x:row>
    <x:row r="1049" ht="28" customHeight="1">
      <x:c r="A1049" s="2" t="n">
        <x:v>1042</x:v>
      </x:c>
      <x:c r="B1049" s="2" t="n">
        <x:v>42</x:v>
      </x:c>
      <x:c r="C1049" s="2" t="str">
        <x:v>천칭자리</x:v>
      </x:c>
      <x:c r="D1049" s="2" t="str">
        <x:v>전사</x:v>
      </x:c>
      <x:c r="E1049" s="2" t="n">
        <x:v>2</x:v>
      </x:c>
      <x:c r="F1049" s="2" t="n">
        <x:v>4</x:v>
      </x:c>
      <x:c r="G1049" s="14" t="n">
        <x:f>('레벨 계산식'!$E$4-E1049)*'레벨 계산식'!$B$5</x:f>
        <x:v>0.41999999999999993</x:v>
      </x:c>
      <x:c r="H1049" s="14" t="n">
        <x:f>('등급 계산식'!$E$4-F1049)*'등급 계산식'!$B$5</x:f>
        <x:v>0.06000000000000001</x:v>
      </x:c>
      <x:c r="I1049" s="14" t="n">
        <x:f>1-G1049-H1049</x:f>
        <x:v>0.52</x:v>
      </x:c>
      <x:c r="J1049" s="2" t="n">
        <x:f>MAX(1,ROUND('기준스탯 72종'!D49-R1049-Z1049,0))</x:f>
        <x:v>5</x:v>
      </x:c>
      <x:c r="K1049" s="2" t="n">
        <x:f>MAX(1,ROUND('기준스탯 72종'!E49-S1049-AA1049,0))</x:f>
        <x:v>4</x:v>
      </x:c>
      <x:c r="L1049" s="2" t="n">
        <x:f>MAX(1,ROUND('기준스탯 72종'!F49-T1049-AB1049,0))</x:f>
        <x:v>4</x:v>
      </x:c>
      <x:c r="M1049" s="2" t="n">
        <x:f>MAX(1,ROUND('기준스탯 72종'!G49-U1049-AC1049,0))</x:f>
        <x:v>4</x:v>
      </x:c>
      <x:c r="N1049" s="2" t="n">
        <x:f>MAX(0,ROUND('기준스탯 72종'!H49-V1049-AD1049,0))</x:f>
        <x:v>2</x:v>
      </x:c>
      <x:c r="O1049" s="2" t="n">
        <x:f>MAX(0,ROUND('기준스탯 72종'!I49-W1049-AE1049,0))</x:f>
        <x:v>3</x:v>
      </x:c>
      <x:c r="P1049" s="2" t="n">
        <x:f>MAX(0,ROUND('기준스탯 72종'!J49-X1049-AF1049,0))</x:f>
        <x:v>1</x:v>
      </x:c>
      <x:c r="Q1049" s="2" t="n">
        <x:f>MAX(0,ROUND('기준스탯 72종'!K49-Y1049-AG1049,0))</x:f>
        <x:v>2</x:v>
      </x:c>
      <x:c r="R1049" s="15" t="n">
        <x:f>'기준스탯 72종'!D49*G1049</x:f>
        <x:v>3.7799999999999994</x:v>
      </x:c>
      <x:c r="S1049" s="15" t="n">
        <x:f>'기준스탯 72종'!E49*G1049</x:f>
        <x:v>2.9399999999999995</x:v>
      </x:c>
      <x:c r="T1049" s="15" t="n">
        <x:f>'기준스탯 72종'!F49*G1049</x:f>
        <x:v>2.9399999999999995</x:v>
      </x:c>
      <x:c r="U1049" s="15" t="n">
        <x:f>'기준스탯 72종'!G49*G1049</x:f>
        <x:v>3.3599999999999994</x:v>
      </x:c>
      <x:c r="V1049" s="15" t="n">
        <x:f>'기준스탯 72종'!H49*G1049</x:f>
        <x:v>1.6799999999999997</x:v>
      </x:c>
      <x:c r="W1049" s="15" t="n">
        <x:f>'기준스탯 72종'!I49*G1049</x:f>
        <x:v>2.5199999999999996</x:v>
      </x:c>
      <x:c r="X1049" s="15" t="n">
        <x:f>'기준스탯 72종'!J49*G1049</x:f>
        <x:v>0.8399999999999999</x:v>
      </x:c>
      <x:c r="Y1049" s="15" t="n">
        <x:f>'기준스탯 72종'!K49*G1049</x:f>
        <x:v>1.6799999999999997</x:v>
      </x:c>
      <x:c r="Z1049" s="15" t="n">
        <x:f>'기준스탯 72종'!D49*H1049</x:f>
        <x:v>0.5400000000000001</x:v>
      </x:c>
      <x:c r="AA1049" s="15" t="n">
        <x:f>'기준스탯 72종'!E49*H1049</x:f>
        <x:v>0.4200000000000001</x:v>
      </x:c>
      <x:c r="AB1049" s="15" t="n">
        <x:f>'기준스탯 72종'!F49*H1049</x:f>
        <x:v>0.4200000000000001</x:v>
      </x:c>
      <x:c r="AC1049" s="15" t="n">
        <x:f>'기준스탯 72종'!G49*H1049</x:f>
        <x:v>0.4800000000000001</x:v>
      </x:c>
      <x:c r="AD1049" s="15" t="n">
        <x:f>'기준스탯 72종'!H49*H1049</x:f>
        <x:v>0.24000000000000005</x:v>
      </x:c>
      <x:c r="AE1049" s="15" t="n">
        <x:f>'기준스탯 72종'!I49*H1049</x:f>
        <x:v>0.3600000000000001</x:v>
      </x:c>
      <x:c r="AF1049" s="15" t="n">
        <x:f>'기준스탯 72종'!J49*H1049</x:f>
        <x:v>0.12000000000000002</x:v>
      </x:c>
      <x:c r="AG1049" s="15" t="n">
        <x:f>'기준스탯 72종'!K49*H1049</x:f>
        <x:v>0.24000000000000005</x:v>
      </x:c>
    </x:row>
    <x:row r="1050" ht="28" customHeight="1">
      <x:c r="A1050" s="2" t="n">
        <x:v>1043</x:v>
      </x:c>
      <x:c r="B1050" s="2" t="n">
        <x:v>42</x:v>
      </x:c>
      <x:c r="C1050" s="2" t="str">
        <x:v>천칭자리</x:v>
      </x:c>
      <x:c r="D1050" s="2" t="str">
        <x:v>전사</x:v>
      </x:c>
      <x:c r="E1050" s="2" t="n">
        <x:v>3</x:v>
      </x:c>
      <x:c r="F1050" s="2" t="n">
        <x:v>4</x:v>
      </x:c>
      <x:c r="G1050" s="14" t="n">
        <x:f>('레벨 계산식'!$E$4-E1050)*'레벨 계산식'!$B$5</x:f>
        <x:v>0.27999999999999997</x:v>
      </x:c>
      <x:c r="H1050" s="14" t="n">
        <x:f>('등급 계산식'!$E$4-F1050)*'등급 계산식'!$B$5</x:f>
        <x:v>0.06000000000000001</x:v>
      </x:c>
      <x:c r="I1050" s="14" t="n">
        <x:f>1-G1050-H1050</x:f>
        <x:v>0.6599999999999999</x:v>
      </x:c>
      <x:c r="J1050" s="2" t="n">
        <x:f>MAX(1,ROUND('기준스탯 72종'!D49-R1050-Z1050,0))</x:f>
        <x:v>6</x:v>
      </x:c>
      <x:c r="K1050" s="2" t="n">
        <x:f>MAX(1,ROUND('기준스탯 72종'!E49-S1050-AA1050,0))</x:f>
        <x:v>5</x:v>
      </x:c>
      <x:c r="L1050" s="2" t="n">
        <x:f>MAX(1,ROUND('기준스탯 72종'!F49-T1050-AB1050,0))</x:f>
        <x:v>5</x:v>
      </x:c>
      <x:c r="M1050" s="2" t="n">
        <x:f>MAX(1,ROUND('기준스탯 72종'!G49-U1050-AC1050,0))</x:f>
        <x:v>5</x:v>
      </x:c>
      <x:c r="N1050" s="2" t="n">
        <x:f>MAX(0,ROUND('기준스탯 72종'!H49-V1050-AD1050,0))</x:f>
        <x:v>3</x:v>
      </x:c>
      <x:c r="O1050" s="2" t="n">
        <x:f>MAX(0,ROUND('기준스탯 72종'!I49-W1050-AE1050,0))</x:f>
        <x:v>4</x:v>
      </x:c>
      <x:c r="P1050" s="2" t="n">
        <x:f>MAX(0,ROUND('기준스탯 72종'!J49-X1050-AF1050,0))</x:f>
        <x:v>1</x:v>
      </x:c>
      <x:c r="Q1050" s="2" t="n">
        <x:f>MAX(0,ROUND('기준스탯 72종'!K49-Y1050-AG1050,0))</x:f>
        <x:v>3</x:v>
      </x:c>
      <x:c r="R1050" s="15" t="n">
        <x:f>'기준스탯 72종'!D49*G1050</x:f>
        <x:v>2.5199999999999996</x:v>
      </x:c>
      <x:c r="S1050" s="15" t="n">
        <x:f>'기준스탯 72종'!E49*G1050</x:f>
        <x:v>1.9599999999999997</x:v>
      </x:c>
      <x:c r="T1050" s="15" t="n">
        <x:f>'기준스탯 72종'!F49*G1050</x:f>
        <x:v>1.9599999999999997</x:v>
      </x:c>
      <x:c r="U1050" s="15" t="n">
        <x:f>'기준스탯 72종'!G49*G1050</x:f>
        <x:v>2.2399999999999998</x:v>
      </x:c>
      <x:c r="V1050" s="15" t="n">
        <x:f>'기준스탯 72종'!H49*G1050</x:f>
        <x:v>1.1199999999999999</x:v>
      </x:c>
      <x:c r="W1050" s="15" t="n">
        <x:f>'기준스탯 72종'!I49*G1050</x:f>
        <x:v>1.6799999999999997</x:v>
      </x:c>
      <x:c r="X1050" s="15" t="n">
        <x:f>'기준스탯 72종'!J49*G1050</x:f>
        <x:v>0.5599999999999999</x:v>
      </x:c>
      <x:c r="Y1050" s="15" t="n">
        <x:f>'기준스탯 72종'!K49*G1050</x:f>
        <x:v>1.1199999999999999</x:v>
      </x:c>
      <x:c r="Z1050" s="15" t="n">
        <x:f>'기준스탯 72종'!D49*H1050</x:f>
        <x:v>0.5400000000000001</x:v>
      </x:c>
      <x:c r="AA1050" s="15" t="n">
        <x:f>'기준스탯 72종'!E49*H1050</x:f>
        <x:v>0.4200000000000001</x:v>
      </x:c>
      <x:c r="AB1050" s="15" t="n">
        <x:f>'기준스탯 72종'!F49*H1050</x:f>
        <x:v>0.4200000000000001</x:v>
      </x:c>
      <x:c r="AC1050" s="15" t="n">
        <x:f>'기준스탯 72종'!G49*H1050</x:f>
        <x:v>0.4800000000000001</x:v>
      </x:c>
      <x:c r="AD1050" s="15" t="n">
        <x:f>'기준스탯 72종'!H49*H1050</x:f>
        <x:v>0.24000000000000005</x:v>
      </x:c>
      <x:c r="AE1050" s="15" t="n">
        <x:f>'기준스탯 72종'!I49*H1050</x:f>
        <x:v>0.3600000000000001</x:v>
      </x:c>
      <x:c r="AF1050" s="15" t="n">
        <x:f>'기준스탯 72종'!J49*H1050</x:f>
        <x:v>0.12000000000000002</x:v>
      </x:c>
      <x:c r="AG1050" s="15" t="n">
        <x:f>'기준스탯 72종'!K49*H1050</x:f>
        <x:v>0.24000000000000005</x:v>
      </x:c>
    </x:row>
    <x:row r="1051" ht="28" customHeight="1">
      <x:c r="A1051" s="2" t="n">
        <x:v>1044</x:v>
      </x:c>
      <x:c r="B1051" s="2" t="n">
        <x:v>42</x:v>
      </x:c>
      <x:c r="C1051" s="2" t="str">
        <x:v>천칭자리</x:v>
      </x:c>
      <x:c r="D1051" s="2" t="str">
        <x:v>전사</x:v>
      </x:c>
      <x:c r="E1051" s="2" t="n">
        <x:v>4</x:v>
      </x:c>
      <x:c r="F1051" s="2" t="n">
        <x:v>4</x:v>
      </x:c>
      <x:c r="G1051" s="14" t="n">
        <x:f>('레벨 계산식'!$E$4-E1051)*'레벨 계산식'!$B$5</x:f>
        <x:v>0.13999999999999999</x:v>
      </x:c>
      <x:c r="H1051" s="14" t="n">
        <x:f>('등급 계산식'!$E$4-F1051)*'등급 계산식'!$B$5</x:f>
        <x:v>0.06000000000000001</x:v>
      </x:c>
      <x:c r="I1051" s="14" t="n">
        <x:f>1-G1051-H1051</x:f>
        <x:v>0.7999999999999999</x:v>
      </x:c>
      <x:c r="J1051" s="2" t="n">
        <x:f>MAX(1,ROUND('기준스탯 72종'!D49-R1051-Z1051,0))</x:f>
        <x:v>7</x:v>
      </x:c>
      <x:c r="K1051" s="2" t="n">
        <x:f>MAX(1,ROUND('기준스탯 72종'!E49-S1051-AA1051,0))</x:f>
        <x:v>6</x:v>
      </x:c>
      <x:c r="L1051" s="2" t="n">
        <x:f>MAX(1,ROUND('기준스탯 72종'!F49-T1051-AB1051,0))</x:f>
        <x:v>6</x:v>
      </x:c>
      <x:c r="M1051" s="2" t="n">
        <x:f>MAX(1,ROUND('기준스탯 72종'!G49-U1051-AC1051,0))</x:f>
        <x:v>6</x:v>
      </x:c>
      <x:c r="N1051" s="2" t="n">
        <x:f>MAX(0,ROUND('기준스탯 72종'!H49-V1051-AD1051,0))</x:f>
        <x:v>3</x:v>
      </x:c>
      <x:c r="O1051" s="2" t="n">
        <x:f>MAX(0,ROUND('기준스탯 72종'!I49-W1051-AE1051,0))</x:f>
        <x:v>5</x:v>
      </x:c>
      <x:c r="P1051" s="2" t="n">
        <x:f>MAX(0,ROUND('기준스탯 72종'!J49-X1051-AF1051,0))</x:f>
        <x:v>2</x:v>
      </x:c>
      <x:c r="Q1051" s="2" t="n">
        <x:f>MAX(0,ROUND('기준스탯 72종'!K49-Y1051-AG1051,0))</x:f>
        <x:v>3</x:v>
      </x:c>
      <x:c r="R1051" s="15" t="n">
        <x:f>'기준스탯 72종'!D49*G1051</x:f>
        <x:v>1.2599999999999998</x:v>
      </x:c>
      <x:c r="S1051" s="15" t="n">
        <x:f>'기준스탯 72종'!E49*G1051</x:f>
        <x:v>0.9799999999999999</x:v>
      </x:c>
      <x:c r="T1051" s="15" t="n">
        <x:f>'기준스탯 72종'!F49*G1051</x:f>
        <x:v>0.9799999999999999</x:v>
      </x:c>
      <x:c r="U1051" s="15" t="n">
        <x:f>'기준스탯 72종'!G49*G1051</x:f>
        <x:v>1.1199999999999999</x:v>
      </x:c>
      <x:c r="V1051" s="15" t="n">
        <x:f>'기준스탯 72종'!H49*G1051</x:f>
        <x:v>0.5599999999999999</x:v>
      </x:c>
      <x:c r="W1051" s="15" t="n">
        <x:f>'기준스탯 72종'!I49*G1051</x:f>
        <x:v>0.8399999999999999</x:v>
      </x:c>
      <x:c r="X1051" s="15" t="n">
        <x:f>'기준스탯 72종'!J49*G1051</x:f>
        <x:v>0.27999999999999997</x:v>
      </x:c>
      <x:c r="Y1051" s="15" t="n">
        <x:f>'기준스탯 72종'!K49*G1051</x:f>
        <x:v>0.5599999999999999</x:v>
      </x:c>
      <x:c r="Z1051" s="15" t="n">
        <x:f>'기준스탯 72종'!D49*H1051</x:f>
        <x:v>0.5400000000000001</x:v>
      </x:c>
      <x:c r="AA1051" s="15" t="n">
        <x:f>'기준스탯 72종'!E49*H1051</x:f>
        <x:v>0.4200000000000001</x:v>
      </x:c>
      <x:c r="AB1051" s="15" t="n">
        <x:f>'기준스탯 72종'!F49*H1051</x:f>
        <x:v>0.4200000000000001</x:v>
      </x:c>
      <x:c r="AC1051" s="15" t="n">
        <x:f>'기준스탯 72종'!G49*H1051</x:f>
        <x:v>0.4800000000000001</x:v>
      </x:c>
      <x:c r="AD1051" s="15" t="n">
        <x:f>'기준스탯 72종'!H49*H1051</x:f>
        <x:v>0.24000000000000005</x:v>
      </x:c>
      <x:c r="AE1051" s="15" t="n">
        <x:f>'기준스탯 72종'!I49*H1051</x:f>
        <x:v>0.3600000000000001</x:v>
      </x:c>
      <x:c r="AF1051" s="15" t="n">
        <x:f>'기준스탯 72종'!J49*H1051</x:f>
        <x:v>0.12000000000000002</x:v>
      </x:c>
      <x:c r="AG1051" s="15" t="n">
        <x:f>'기준스탯 72종'!K49*H1051</x:f>
        <x:v>0.24000000000000005</x:v>
      </x:c>
    </x:row>
    <x:row r="1052" ht="28" customHeight="1">
      <x:c r="A1052" s="2" t="n">
        <x:v>1045</x:v>
      </x:c>
      <x:c r="B1052" s="2" t="n">
        <x:v>42</x:v>
      </x:c>
      <x:c r="C1052" s="2" t="str">
        <x:v>천칭자리</x:v>
      </x:c>
      <x:c r="D1052" s="2" t="str">
        <x:v>전사</x:v>
      </x:c>
      <x:c r="E1052" s="2" t="n">
        <x:v>5</x:v>
      </x:c>
      <x:c r="F1052" s="2" t="n">
        <x:v>4</x:v>
      </x:c>
      <x:c r="G1052" s="14" t="n">
        <x:f>('레벨 계산식'!$E$4-E1052)*'레벨 계산식'!$B$5</x:f>
        <x:v>0</x:v>
      </x:c>
      <x:c r="H1052" s="14" t="n">
        <x:f>('등급 계산식'!$E$4-F1052)*'등급 계산식'!$B$5</x:f>
        <x:v>0.06000000000000001</x:v>
      </x:c>
      <x:c r="I1052" s="14" t="n">
        <x:f>1-G1052-H1052</x:f>
        <x:v>0.94</x:v>
      </x:c>
      <x:c r="J1052" s="2" t="n">
        <x:f>MAX(1,ROUND('기준스탯 72종'!D49-R1052-Z1052,0))</x:f>
        <x:v>8</x:v>
      </x:c>
      <x:c r="K1052" s="2" t="n">
        <x:f>MAX(1,ROUND('기준스탯 72종'!E49-S1052-AA1052,0))</x:f>
        <x:v>7</x:v>
      </x:c>
      <x:c r="L1052" s="2" t="n">
        <x:f>MAX(1,ROUND('기준스탯 72종'!F49-T1052-AB1052,0))</x:f>
        <x:v>7</x:v>
      </x:c>
      <x:c r="M1052" s="2" t="n">
        <x:f>MAX(1,ROUND('기준스탯 72종'!G49-U1052-AC1052,0))</x:f>
        <x:v>8</x:v>
      </x:c>
      <x:c r="N1052" s="2" t="n">
        <x:f>MAX(0,ROUND('기준스탯 72종'!H49-V1052-AD1052,0))</x:f>
        <x:v>4</x:v>
      </x:c>
      <x:c r="O1052" s="2" t="n">
        <x:f>MAX(0,ROUND('기준스탯 72종'!I49-W1052-AE1052,0))</x:f>
        <x:v>6</x:v>
      </x:c>
      <x:c r="P1052" s="2" t="n">
        <x:f>MAX(0,ROUND('기준스탯 72종'!J49-X1052-AF1052,0))</x:f>
        <x:v>2</x:v>
      </x:c>
      <x:c r="Q1052" s="2" t="n">
        <x:f>MAX(0,ROUND('기준스탯 72종'!K49-Y1052-AG1052,0))</x:f>
        <x:v>4</x:v>
      </x:c>
      <x:c r="R1052" s="15" t="n">
        <x:f>'기준스탯 72종'!D49*G1052</x:f>
        <x:v>0</x:v>
      </x:c>
      <x:c r="S1052" s="15" t="n">
        <x:f>'기준스탯 72종'!E49*G1052</x:f>
        <x:v>0</x:v>
      </x:c>
      <x:c r="T1052" s="15" t="n">
        <x:f>'기준스탯 72종'!F49*G1052</x:f>
        <x:v>0</x:v>
      </x:c>
      <x:c r="U1052" s="15" t="n">
        <x:f>'기준스탯 72종'!G49*G1052</x:f>
        <x:v>0</x:v>
      </x:c>
      <x:c r="V1052" s="15" t="n">
        <x:f>'기준스탯 72종'!H49*G1052</x:f>
        <x:v>0</x:v>
      </x:c>
      <x:c r="W1052" s="15" t="n">
        <x:f>'기준스탯 72종'!I49*G1052</x:f>
        <x:v>0</x:v>
      </x:c>
      <x:c r="X1052" s="15" t="n">
        <x:f>'기준스탯 72종'!J49*G1052</x:f>
        <x:v>0</x:v>
      </x:c>
      <x:c r="Y1052" s="15" t="n">
        <x:f>'기준스탯 72종'!K49*G1052</x:f>
        <x:v>0</x:v>
      </x:c>
      <x:c r="Z1052" s="15" t="n">
        <x:f>'기준스탯 72종'!D49*H1052</x:f>
        <x:v>0.5400000000000001</x:v>
      </x:c>
      <x:c r="AA1052" s="15" t="n">
        <x:f>'기준스탯 72종'!E49*H1052</x:f>
        <x:v>0.4200000000000001</x:v>
      </x:c>
      <x:c r="AB1052" s="15" t="n">
        <x:f>'기준스탯 72종'!F49*H1052</x:f>
        <x:v>0.4200000000000001</x:v>
      </x:c>
      <x:c r="AC1052" s="15" t="n">
        <x:f>'기준스탯 72종'!G49*H1052</x:f>
        <x:v>0.4800000000000001</x:v>
      </x:c>
      <x:c r="AD1052" s="15" t="n">
        <x:f>'기준스탯 72종'!H49*H1052</x:f>
        <x:v>0.24000000000000005</x:v>
      </x:c>
      <x:c r="AE1052" s="15" t="n">
        <x:f>'기준스탯 72종'!I49*H1052</x:f>
        <x:v>0.3600000000000001</x:v>
      </x:c>
      <x:c r="AF1052" s="15" t="n">
        <x:f>'기준스탯 72종'!J49*H1052</x:f>
        <x:v>0.12000000000000002</x:v>
      </x:c>
      <x:c r="AG1052" s="15" t="n">
        <x:f>'기준스탯 72종'!K49*H1052</x:f>
        <x:v>0.24000000000000005</x:v>
      </x:c>
    </x:row>
    <x:row r="1053" ht="28" customHeight="1">
      <x:c r="A1053" s="2" t="n">
        <x:v>1046</x:v>
      </x:c>
      <x:c r="B1053" s="2" t="n">
        <x:v>42</x:v>
      </x:c>
      <x:c r="C1053" s="2" t="str">
        <x:v>천칭자리</x:v>
      </x:c>
      <x:c r="D1053" s="2" t="str">
        <x:v>전사</x:v>
      </x:c>
      <x:c r="E1053" s="2" t="n">
        <x:v>1</x:v>
      </x:c>
      <x:c r="F1053" s="2" t="n">
        <x:v>5</x:v>
      </x:c>
      <x:c r="G1053" s="14" t="n">
        <x:f>('레벨 계산식'!$E$4-E1053)*'레벨 계산식'!$B$5</x:f>
        <x:v>0.5599999999999999</x:v>
      </x:c>
      <x:c r="H1053" s="14" t="n">
        <x:f>('등급 계산식'!$E$4-F1053)*'등급 계산식'!$B$5</x:f>
        <x:v>0</x:v>
      </x:c>
      <x:c r="I1053" s="14" t="n">
        <x:f>1-G1053-H1053</x:f>
        <x:v>0.44000000000000006</x:v>
      </x:c>
      <x:c r="J1053" s="2" t="n">
        <x:f>MAX(1,ROUND('기준스탯 72종'!D49-R1053-Z1053,0))</x:f>
        <x:v>4</x:v>
      </x:c>
      <x:c r="K1053" s="2" t="n">
        <x:f>MAX(1,ROUND('기준스탯 72종'!E49-S1053-AA1053,0))</x:f>
        <x:v>3</x:v>
      </x:c>
      <x:c r="L1053" s="2" t="n">
        <x:f>MAX(1,ROUND('기준스탯 72종'!F49-T1053-AB1053,0))</x:f>
        <x:v>3</x:v>
      </x:c>
      <x:c r="M1053" s="2" t="n">
        <x:f>MAX(1,ROUND('기준스탯 72종'!G49-U1053-AC1053,0))</x:f>
        <x:v>4</x:v>
      </x:c>
      <x:c r="N1053" s="2" t="n">
        <x:f>MAX(0,ROUND('기준스탯 72종'!H49-V1053-AD1053,0))</x:f>
        <x:v>2</x:v>
      </x:c>
      <x:c r="O1053" s="2" t="n">
        <x:f>MAX(0,ROUND('기준스탯 72종'!I49-W1053-AE1053,0))</x:f>
        <x:v>3</x:v>
      </x:c>
      <x:c r="P1053" s="2" t="n">
        <x:f>MAX(0,ROUND('기준스탯 72종'!J49-X1053-AF1053,0))</x:f>
        <x:v>1</x:v>
      </x:c>
      <x:c r="Q1053" s="2" t="n">
        <x:f>MAX(0,ROUND('기준스탯 72종'!K49-Y1053-AG1053,0))</x:f>
        <x:v>2</x:v>
      </x:c>
      <x:c r="R1053" s="15" t="n">
        <x:f>'기준스탯 72종'!D49*G1053</x:f>
        <x:v>5.039999999999999</x:v>
      </x:c>
      <x:c r="S1053" s="15" t="n">
        <x:f>'기준스탯 72종'!E49*G1053</x:f>
        <x:v>3.9199999999999995</x:v>
      </x:c>
      <x:c r="T1053" s="15" t="n">
        <x:f>'기준스탯 72종'!F49*G1053</x:f>
        <x:v>3.9199999999999995</x:v>
      </x:c>
      <x:c r="U1053" s="15" t="n">
        <x:f>'기준스탯 72종'!G49*G1053</x:f>
        <x:v>4.4799999999999995</x:v>
      </x:c>
      <x:c r="V1053" s="15" t="n">
        <x:f>'기준스탯 72종'!H49*G1053</x:f>
        <x:v>2.2399999999999998</x:v>
      </x:c>
      <x:c r="W1053" s="15" t="n">
        <x:f>'기준스탯 72종'!I49*G1053</x:f>
        <x:v>3.3599999999999994</x:v>
      </x:c>
      <x:c r="X1053" s="15" t="n">
        <x:f>'기준스탯 72종'!J49*G1053</x:f>
        <x:v>1.1199999999999999</x:v>
      </x:c>
      <x:c r="Y1053" s="15" t="n">
        <x:f>'기준스탯 72종'!K49*G1053</x:f>
        <x:v>2.2399999999999998</x:v>
      </x:c>
      <x:c r="Z1053" s="15" t="n">
        <x:f>'기준스탯 72종'!D49*H1053</x:f>
        <x:v>0</x:v>
      </x:c>
      <x:c r="AA1053" s="15" t="n">
        <x:f>'기준스탯 72종'!E49*H1053</x:f>
        <x:v>0</x:v>
      </x:c>
      <x:c r="AB1053" s="15" t="n">
        <x:f>'기준스탯 72종'!F49*H1053</x:f>
        <x:v>0</x:v>
      </x:c>
      <x:c r="AC1053" s="15" t="n">
        <x:f>'기준스탯 72종'!G49*H1053</x:f>
        <x:v>0</x:v>
      </x:c>
      <x:c r="AD1053" s="15" t="n">
        <x:f>'기준스탯 72종'!H49*H1053</x:f>
        <x:v>0</x:v>
      </x:c>
      <x:c r="AE1053" s="15" t="n">
        <x:f>'기준스탯 72종'!I49*H1053</x:f>
        <x:v>0</x:v>
      </x:c>
      <x:c r="AF1053" s="15" t="n">
        <x:f>'기준스탯 72종'!J49*H1053</x:f>
        <x:v>0</x:v>
      </x:c>
      <x:c r="AG1053" s="15" t="n">
        <x:f>'기준스탯 72종'!K49*H1053</x:f>
        <x:v>0</x:v>
      </x:c>
    </x:row>
    <x:row r="1054" ht="28" customHeight="1">
      <x:c r="A1054" s="2" t="n">
        <x:v>1047</x:v>
      </x:c>
      <x:c r="B1054" s="2" t="n">
        <x:v>42</x:v>
      </x:c>
      <x:c r="C1054" s="2" t="str">
        <x:v>천칭자리</x:v>
      </x:c>
      <x:c r="D1054" s="2" t="str">
        <x:v>전사</x:v>
      </x:c>
      <x:c r="E1054" s="2" t="n">
        <x:v>2</x:v>
      </x:c>
      <x:c r="F1054" s="2" t="n">
        <x:v>5</x:v>
      </x:c>
      <x:c r="G1054" s="14" t="n">
        <x:f>('레벨 계산식'!$E$4-E1054)*'레벨 계산식'!$B$5</x:f>
        <x:v>0.41999999999999993</x:v>
      </x:c>
      <x:c r="H1054" s="14" t="n">
        <x:f>('등급 계산식'!$E$4-F1054)*'등급 계산식'!$B$5</x:f>
        <x:v>0</x:v>
      </x:c>
      <x:c r="I1054" s="14" t="n">
        <x:f>1-G1054-H1054</x:f>
        <x:v>0.5800000000000001</x:v>
      </x:c>
      <x:c r="J1054" s="2" t="n">
        <x:f>MAX(1,ROUND('기준스탯 72종'!D49-R1054-Z1054,0))</x:f>
        <x:v>5</x:v>
      </x:c>
      <x:c r="K1054" s="2" t="n">
        <x:f>MAX(1,ROUND('기준스탯 72종'!E49-S1054-AA1054,0))</x:f>
        <x:v>4</x:v>
      </x:c>
      <x:c r="L1054" s="2" t="n">
        <x:f>MAX(1,ROUND('기준스탯 72종'!F49-T1054-AB1054,0))</x:f>
        <x:v>4</x:v>
      </x:c>
      <x:c r="M1054" s="2" t="n">
        <x:f>MAX(1,ROUND('기준스탯 72종'!G49-U1054-AC1054,0))</x:f>
        <x:v>5</x:v>
      </x:c>
      <x:c r="N1054" s="2" t="n">
        <x:f>MAX(0,ROUND('기준스탯 72종'!H49-V1054-AD1054,0))</x:f>
        <x:v>2</x:v>
      </x:c>
      <x:c r="O1054" s="2" t="n">
        <x:f>MAX(0,ROUND('기준스탯 72종'!I49-W1054-AE1054,0))</x:f>
        <x:v>3</x:v>
      </x:c>
      <x:c r="P1054" s="2" t="n">
        <x:f>MAX(0,ROUND('기준스탯 72종'!J49-X1054-AF1054,0))</x:f>
        <x:v>1</x:v>
      </x:c>
      <x:c r="Q1054" s="2" t="n">
        <x:f>MAX(0,ROUND('기준스탯 72종'!K49-Y1054-AG1054,0))</x:f>
        <x:v>2</x:v>
      </x:c>
      <x:c r="R1054" s="15" t="n">
        <x:f>'기준스탯 72종'!D49*G1054</x:f>
        <x:v>3.7799999999999994</x:v>
      </x:c>
      <x:c r="S1054" s="15" t="n">
        <x:f>'기준스탯 72종'!E49*G1054</x:f>
        <x:v>2.9399999999999995</x:v>
      </x:c>
      <x:c r="T1054" s="15" t="n">
        <x:f>'기준스탯 72종'!F49*G1054</x:f>
        <x:v>2.9399999999999995</x:v>
      </x:c>
      <x:c r="U1054" s="15" t="n">
        <x:f>'기준스탯 72종'!G49*G1054</x:f>
        <x:v>3.3599999999999994</x:v>
      </x:c>
      <x:c r="V1054" s="15" t="n">
        <x:f>'기준스탯 72종'!H49*G1054</x:f>
        <x:v>1.6799999999999997</x:v>
      </x:c>
      <x:c r="W1054" s="15" t="n">
        <x:f>'기준스탯 72종'!I49*G1054</x:f>
        <x:v>2.5199999999999996</x:v>
      </x:c>
      <x:c r="X1054" s="15" t="n">
        <x:f>'기준스탯 72종'!J49*G1054</x:f>
        <x:v>0.8399999999999999</x:v>
      </x:c>
      <x:c r="Y1054" s="15" t="n">
        <x:f>'기준스탯 72종'!K49*G1054</x:f>
        <x:v>1.6799999999999997</x:v>
      </x:c>
      <x:c r="Z1054" s="15" t="n">
        <x:f>'기준스탯 72종'!D49*H1054</x:f>
        <x:v>0</x:v>
      </x:c>
      <x:c r="AA1054" s="15" t="n">
        <x:f>'기준스탯 72종'!E49*H1054</x:f>
        <x:v>0</x:v>
      </x:c>
      <x:c r="AB1054" s="15" t="n">
        <x:f>'기준스탯 72종'!F49*H1054</x:f>
        <x:v>0</x:v>
      </x:c>
      <x:c r="AC1054" s="15" t="n">
        <x:f>'기준스탯 72종'!G49*H1054</x:f>
        <x:v>0</x:v>
      </x:c>
      <x:c r="AD1054" s="15" t="n">
        <x:f>'기준스탯 72종'!H49*H1054</x:f>
        <x:v>0</x:v>
      </x:c>
      <x:c r="AE1054" s="15" t="n">
        <x:f>'기준스탯 72종'!I49*H1054</x:f>
        <x:v>0</x:v>
      </x:c>
      <x:c r="AF1054" s="15" t="n">
        <x:f>'기준스탯 72종'!J49*H1054</x:f>
        <x:v>0</x:v>
      </x:c>
      <x:c r="AG1054" s="15" t="n">
        <x:f>'기준스탯 72종'!K49*H1054</x:f>
        <x:v>0</x:v>
      </x:c>
    </x:row>
    <x:row r="1055" ht="28" customHeight="1">
      <x:c r="A1055" s="2" t="n">
        <x:v>1048</x:v>
      </x:c>
      <x:c r="B1055" s="2" t="n">
        <x:v>42</x:v>
      </x:c>
      <x:c r="C1055" s="2" t="str">
        <x:v>천칭자리</x:v>
      </x:c>
      <x:c r="D1055" s="2" t="str">
        <x:v>전사</x:v>
      </x:c>
      <x:c r="E1055" s="2" t="n">
        <x:v>3</x:v>
      </x:c>
      <x:c r="F1055" s="2" t="n">
        <x:v>5</x:v>
      </x:c>
      <x:c r="G1055" s="14" t="n">
        <x:f>('레벨 계산식'!$E$4-E1055)*'레벨 계산식'!$B$5</x:f>
        <x:v>0.27999999999999997</x:v>
      </x:c>
      <x:c r="H1055" s="14" t="n">
        <x:f>('등급 계산식'!$E$4-F1055)*'등급 계산식'!$B$5</x:f>
        <x:v>0</x:v>
      </x:c>
      <x:c r="I1055" s="14" t="n">
        <x:f>1-G1055-H1055</x:f>
        <x:v>0.72</x:v>
      </x:c>
      <x:c r="J1055" s="2" t="n">
        <x:f>MAX(1,ROUND('기준스탯 72종'!D49-R1055-Z1055,0))</x:f>
        <x:v>6</x:v>
      </x:c>
      <x:c r="K1055" s="2" t="n">
        <x:f>MAX(1,ROUND('기준스탯 72종'!E49-S1055-AA1055,0))</x:f>
        <x:v>5</x:v>
      </x:c>
      <x:c r="L1055" s="2" t="n">
        <x:f>MAX(1,ROUND('기준스탯 72종'!F49-T1055-AB1055,0))</x:f>
        <x:v>5</x:v>
      </x:c>
      <x:c r="M1055" s="2" t="n">
        <x:f>MAX(1,ROUND('기준스탯 72종'!G49-U1055-AC1055,0))</x:f>
        <x:v>6</x:v>
      </x:c>
      <x:c r="N1055" s="2" t="n">
        <x:f>MAX(0,ROUND('기준스탯 72종'!H49-V1055-AD1055,0))</x:f>
        <x:v>3</x:v>
      </x:c>
      <x:c r="O1055" s="2" t="n">
        <x:f>MAX(0,ROUND('기준스탯 72종'!I49-W1055-AE1055,0))</x:f>
        <x:v>4</x:v>
      </x:c>
      <x:c r="P1055" s="2" t="n">
        <x:f>MAX(0,ROUND('기준스탯 72종'!J49-X1055-AF1055,0))</x:f>
        <x:v>1</x:v>
      </x:c>
      <x:c r="Q1055" s="2" t="n">
        <x:f>MAX(0,ROUND('기준스탯 72종'!K49-Y1055-AG1055,0))</x:f>
        <x:v>3</x:v>
      </x:c>
      <x:c r="R1055" s="15" t="n">
        <x:f>'기준스탯 72종'!D49*G1055</x:f>
        <x:v>2.5199999999999996</x:v>
      </x:c>
      <x:c r="S1055" s="15" t="n">
        <x:f>'기준스탯 72종'!E49*G1055</x:f>
        <x:v>1.9599999999999997</x:v>
      </x:c>
      <x:c r="T1055" s="15" t="n">
        <x:f>'기준스탯 72종'!F49*G1055</x:f>
        <x:v>1.9599999999999997</x:v>
      </x:c>
      <x:c r="U1055" s="15" t="n">
        <x:f>'기준스탯 72종'!G49*G1055</x:f>
        <x:v>2.2399999999999998</x:v>
      </x:c>
      <x:c r="V1055" s="15" t="n">
        <x:f>'기준스탯 72종'!H49*G1055</x:f>
        <x:v>1.1199999999999999</x:v>
      </x:c>
      <x:c r="W1055" s="15" t="n">
        <x:f>'기준스탯 72종'!I49*G1055</x:f>
        <x:v>1.6799999999999997</x:v>
      </x:c>
      <x:c r="X1055" s="15" t="n">
        <x:f>'기준스탯 72종'!J49*G1055</x:f>
        <x:v>0.5599999999999999</x:v>
      </x:c>
      <x:c r="Y1055" s="15" t="n">
        <x:f>'기준스탯 72종'!K49*G1055</x:f>
        <x:v>1.1199999999999999</x:v>
      </x:c>
      <x:c r="Z1055" s="15" t="n">
        <x:f>'기준스탯 72종'!D49*H1055</x:f>
        <x:v>0</x:v>
      </x:c>
      <x:c r="AA1055" s="15" t="n">
        <x:f>'기준스탯 72종'!E49*H1055</x:f>
        <x:v>0</x:v>
      </x:c>
      <x:c r="AB1055" s="15" t="n">
        <x:f>'기준스탯 72종'!F49*H1055</x:f>
        <x:v>0</x:v>
      </x:c>
      <x:c r="AC1055" s="15" t="n">
        <x:f>'기준스탯 72종'!G49*H1055</x:f>
        <x:v>0</x:v>
      </x:c>
      <x:c r="AD1055" s="15" t="n">
        <x:f>'기준스탯 72종'!H49*H1055</x:f>
        <x:v>0</x:v>
      </x:c>
      <x:c r="AE1055" s="15" t="n">
        <x:f>'기준스탯 72종'!I49*H1055</x:f>
        <x:v>0</x:v>
      </x:c>
      <x:c r="AF1055" s="15" t="n">
        <x:f>'기준스탯 72종'!J49*H1055</x:f>
        <x:v>0</x:v>
      </x:c>
      <x:c r="AG1055" s="15" t="n">
        <x:f>'기준스탯 72종'!K49*H1055</x:f>
        <x:v>0</x:v>
      </x:c>
    </x:row>
    <x:row r="1056" ht="28" customHeight="1">
      <x:c r="A1056" s="2" t="n">
        <x:v>1049</x:v>
      </x:c>
      <x:c r="B1056" s="2" t="n">
        <x:v>42</x:v>
      </x:c>
      <x:c r="C1056" s="2" t="str">
        <x:v>천칭자리</x:v>
      </x:c>
      <x:c r="D1056" s="2" t="str">
        <x:v>전사</x:v>
      </x:c>
      <x:c r="E1056" s="2" t="n">
        <x:v>4</x:v>
      </x:c>
      <x:c r="F1056" s="2" t="n">
        <x:v>5</x:v>
      </x:c>
      <x:c r="G1056" s="14" t="n">
        <x:f>('레벨 계산식'!$E$4-E1056)*'레벨 계산식'!$B$5</x:f>
        <x:v>0.13999999999999999</x:v>
      </x:c>
      <x:c r="H1056" s="14" t="n">
        <x:f>('등급 계산식'!$E$4-F1056)*'등급 계산식'!$B$5</x:f>
        <x:v>0</x:v>
      </x:c>
      <x:c r="I1056" s="14" t="n">
        <x:f>1-G1056-H1056</x:f>
        <x:v>0.86</x:v>
      </x:c>
      <x:c r="J1056" s="2" t="n">
        <x:f>MAX(1,ROUND('기준스탯 72종'!D49-R1056-Z1056,0))</x:f>
        <x:v>8</x:v>
      </x:c>
      <x:c r="K1056" s="2" t="n">
        <x:f>MAX(1,ROUND('기준스탯 72종'!E49-S1056-AA1056,0))</x:f>
        <x:v>6</x:v>
      </x:c>
      <x:c r="L1056" s="2" t="n">
        <x:f>MAX(1,ROUND('기준스탯 72종'!F49-T1056-AB1056,0))</x:f>
        <x:v>6</x:v>
      </x:c>
      <x:c r="M1056" s="2" t="n">
        <x:f>MAX(1,ROUND('기준스탯 72종'!G49-U1056-AC1056,0))</x:f>
        <x:v>7</x:v>
      </x:c>
      <x:c r="N1056" s="2" t="n">
        <x:f>MAX(0,ROUND('기준스탯 72종'!H49-V1056-AD1056,0))</x:f>
        <x:v>3</x:v>
      </x:c>
      <x:c r="O1056" s="2" t="n">
        <x:f>MAX(0,ROUND('기준스탯 72종'!I49-W1056-AE1056,0))</x:f>
        <x:v>5</x:v>
      </x:c>
      <x:c r="P1056" s="2" t="n">
        <x:f>MAX(0,ROUND('기준스탯 72종'!J49-X1056-AF1056,0))</x:f>
        <x:v>2</x:v>
      </x:c>
      <x:c r="Q1056" s="2" t="n">
        <x:f>MAX(0,ROUND('기준스탯 72종'!K49-Y1056-AG1056,0))</x:f>
        <x:v>3</x:v>
      </x:c>
      <x:c r="R1056" s="15" t="n">
        <x:f>'기준스탯 72종'!D49*G1056</x:f>
        <x:v>1.2599999999999998</x:v>
      </x:c>
      <x:c r="S1056" s="15" t="n">
        <x:f>'기준스탯 72종'!E49*G1056</x:f>
        <x:v>0.9799999999999999</x:v>
      </x:c>
      <x:c r="T1056" s="15" t="n">
        <x:f>'기준스탯 72종'!F49*G1056</x:f>
        <x:v>0.9799999999999999</x:v>
      </x:c>
      <x:c r="U1056" s="15" t="n">
        <x:f>'기준스탯 72종'!G49*G1056</x:f>
        <x:v>1.1199999999999999</x:v>
      </x:c>
      <x:c r="V1056" s="15" t="n">
        <x:f>'기준스탯 72종'!H49*G1056</x:f>
        <x:v>0.5599999999999999</x:v>
      </x:c>
      <x:c r="W1056" s="15" t="n">
        <x:f>'기준스탯 72종'!I49*G1056</x:f>
        <x:v>0.8399999999999999</x:v>
      </x:c>
      <x:c r="X1056" s="15" t="n">
        <x:f>'기준스탯 72종'!J49*G1056</x:f>
        <x:v>0.27999999999999997</x:v>
      </x:c>
      <x:c r="Y1056" s="15" t="n">
        <x:f>'기준스탯 72종'!K49*G1056</x:f>
        <x:v>0.5599999999999999</x:v>
      </x:c>
      <x:c r="Z1056" s="15" t="n">
        <x:f>'기준스탯 72종'!D49*H1056</x:f>
        <x:v>0</x:v>
      </x:c>
      <x:c r="AA1056" s="15" t="n">
        <x:f>'기준스탯 72종'!E49*H1056</x:f>
        <x:v>0</x:v>
      </x:c>
      <x:c r="AB1056" s="15" t="n">
        <x:f>'기준스탯 72종'!F49*H1056</x:f>
        <x:v>0</x:v>
      </x:c>
      <x:c r="AC1056" s="15" t="n">
        <x:f>'기준스탯 72종'!G49*H1056</x:f>
        <x:v>0</x:v>
      </x:c>
      <x:c r="AD1056" s="15" t="n">
        <x:f>'기준스탯 72종'!H49*H1056</x:f>
        <x:v>0</x:v>
      </x:c>
      <x:c r="AE1056" s="15" t="n">
        <x:f>'기준스탯 72종'!I49*H1056</x:f>
        <x:v>0</x:v>
      </x:c>
      <x:c r="AF1056" s="15" t="n">
        <x:f>'기준스탯 72종'!J49*H1056</x:f>
        <x:v>0</x:v>
      </x:c>
      <x:c r="AG1056" s="15" t="n">
        <x:f>'기준스탯 72종'!K49*H1056</x:f>
        <x:v>0</x:v>
      </x:c>
    </x:row>
    <x:row r="1057" ht="28" customHeight="1">
      <x:c r="A1057" s="2" t="n">
        <x:v>1050</x:v>
      </x:c>
      <x:c r="B1057" s="2" t="n">
        <x:v>42</x:v>
      </x:c>
      <x:c r="C1057" s="2" t="str">
        <x:v>천칭자리</x:v>
      </x:c>
      <x:c r="D1057" s="2" t="str">
        <x:v>전사</x:v>
      </x:c>
      <x:c r="E1057" s="2" t="n">
        <x:v>5</x:v>
      </x:c>
      <x:c r="F1057" s="2" t="n">
        <x:v>5</x:v>
      </x:c>
      <x:c r="G1057" s="14" t="n">
        <x:f>('레벨 계산식'!$E$4-E1057)*'레벨 계산식'!$B$5</x:f>
        <x:v>0</x:v>
      </x:c>
      <x:c r="H1057" s="14" t="n">
        <x:f>('등급 계산식'!$E$4-F1057)*'등급 계산식'!$B$5</x:f>
        <x:v>0</x:v>
      </x:c>
      <x:c r="I1057" s="14" t="n">
        <x:f>1-G1057-H1057</x:f>
        <x:v>1</x:v>
      </x:c>
      <x:c r="J1057" s="2" t="n">
        <x:f>MAX(1,ROUND('기준스탯 72종'!D49-R1057-Z1057,0))</x:f>
        <x:v>9</x:v>
      </x:c>
      <x:c r="K1057" s="2" t="n">
        <x:f>MAX(1,ROUND('기준스탯 72종'!E49-S1057-AA1057,0))</x:f>
        <x:v>7</x:v>
      </x:c>
      <x:c r="L1057" s="2" t="n">
        <x:f>MAX(1,ROUND('기준스탯 72종'!F49-T1057-AB1057,0))</x:f>
        <x:v>7</x:v>
      </x:c>
      <x:c r="M1057" s="2" t="n">
        <x:f>MAX(1,ROUND('기준스탯 72종'!G49-U1057-AC1057,0))</x:f>
        <x:v>8</x:v>
      </x:c>
      <x:c r="N1057" s="2" t="n">
        <x:f>MAX(0,ROUND('기준스탯 72종'!H49-V1057-AD1057,0))</x:f>
        <x:v>4</x:v>
      </x:c>
      <x:c r="O1057" s="2" t="n">
        <x:f>MAX(0,ROUND('기준스탯 72종'!I49-W1057-AE1057,0))</x:f>
        <x:v>6</x:v>
      </x:c>
      <x:c r="P1057" s="2" t="n">
        <x:f>MAX(0,ROUND('기준스탯 72종'!J49-X1057-AF1057,0))</x:f>
        <x:v>2</x:v>
      </x:c>
      <x:c r="Q1057" s="2" t="n">
        <x:f>MAX(0,ROUND('기준스탯 72종'!K49-Y1057-AG1057,0))</x:f>
        <x:v>4</x:v>
      </x:c>
      <x:c r="R1057" s="15" t="n">
        <x:f>'기준스탯 72종'!D49*G1057</x:f>
        <x:v>0</x:v>
      </x:c>
      <x:c r="S1057" s="15" t="n">
        <x:f>'기준스탯 72종'!E49*G1057</x:f>
        <x:v>0</x:v>
      </x:c>
      <x:c r="T1057" s="15" t="n">
        <x:f>'기준스탯 72종'!F49*G1057</x:f>
        <x:v>0</x:v>
      </x:c>
      <x:c r="U1057" s="15" t="n">
        <x:f>'기준스탯 72종'!G49*G1057</x:f>
        <x:v>0</x:v>
      </x:c>
      <x:c r="V1057" s="15" t="n">
        <x:f>'기준스탯 72종'!H49*G1057</x:f>
        <x:v>0</x:v>
      </x:c>
      <x:c r="W1057" s="15" t="n">
        <x:f>'기준스탯 72종'!I49*G1057</x:f>
        <x:v>0</x:v>
      </x:c>
      <x:c r="X1057" s="15" t="n">
        <x:f>'기준스탯 72종'!J49*G1057</x:f>
        <x:v>0</x:v>
      </x:c>
      <x:c r="Y1057" s="15" t="n">
        <x:f>'기준스탯 72종'!K49*G1057</x:f>
        <x:v>0</x:v>
      </x:c>
      <x:c r="Z1057" s="15" t="n">
        <x:f>'기준스탯 72종'!D49*H1057</x:f>
        <x:v>0</x:v>
      </x:c>
      <x:c r="AA1057" s="15" t="n">
        <x:f>'기준스탯 72종'!E49*H1057</x:f>
        <x:v>0</x:v>
      </x:c>
      <x:c r="AB1057" s="15" t="n">
        <x:f>'기준스탯 72종'!F49*H1057</x:f>
        <x:v>0</x:v>
      </x:c>
      <x:c r="AC1057" s="15" t="n">
        <x:f>'기준스탯 72종'!G49*H1057</x:f>
        <x:v>0</x:v>
      </x:c>
      <x:c r="AD1057" s="15" t="n">
        <x:f>'기준스탯 72종'!H49*H1057</x:f>
        <x:v>0</x:v>
      </x:c>
      <x:c r="AE1057" s="15" t="n">
        <x:f>'기준스탯 72종'!I49*H1057</x:f>
        <x:v>0</x:v>
      </x:c>
      <x:c r="AF1057" s="15" t="n">
        <x:f>'기준스탯 72종'!J49*H1057</x:f>
        <x:v>0</x:v>
      </x:c>
      <x:c r="AG1057" s="15" t="n">
        <x:f>'기준스탯 72종'!K49*H1057</x:f>
        <x:v>0</x:v>
      </x:c>
    </x:row>
    <x:row r="1058" ht="28" customHeight="1">
      <x:c r="A1058" s="2" t="n">
        <x:v>1051</x:v>
      </x:c>
      <x:c r="B1058" s="2" t="n">
        <x:v>43</x:v>
      </x:c>
      <x:c r="C1058" s="2" t="str">
        <x:v>전갈자리</x:v>
      </x:c>
      <x:c r="D1058" s="2" t="str">
        <x:v>기사</x:v>
      </x:c>
      <x:c r="E1058" s="2" t="n">
        <x:v>1</x:v>
      </x:c>
      <x:c r="F1058" s="2" t="n">
        <x:v>1</x:v>
      </x:c>
      <x:c r="G1058" s="14" t="n">
        <x:f>('레벨 계산식'!$E$4-E1058)*'레벨 계산식'!$B$5</x:f>
        <x:v>0.5599999999999999</x:v>
      </x:c>
      <x:c r="H1058" s="14" t="n">
        <x:f>('등급 계산식'!$E$4-F1058)*'등급 계산식'!$B$5</x:f>
        <x:v>0.24000000000000005</x:v>
      </x:c>
      <x:c r="I1058" s="14" t="n">
        <x:f>1-G1058-H1058</x:f>
        <x:v>0.2</x:v>
      </x:c>
      <x:c r="J1058" s="2" t="n">
        <x:f>MAX(1,ROUND('기준스탯 72종'!D50-R1058-Z1058,0))</x:f>
        <x:v>1</x:v>
      </x:c>
      <x:c r="K1058" s="2" t="n">
        <x:f>MAX(1,ROUND('기준스탯 72종'!E50-S1058-AA1058,0))</x:f>
        <x:v>1</x:v>
      </x:c>
      <x:c r="L1058" s="2" t="n">
        <x:f>MAX(1,ROUND('기준스탯 72종'!F50-T1058-AB1058,0))</x:f>
        <x:v>2</x:v>
      </x:c>
      <x:c r="M1058" s="2" t="n">
        <x:f>MAX(1,ROUND('기준스탯 72종'!G50-U1058-AC1058,0))</x:f>
        <x:v>1</x:v>
      </x:c>
      <x:c r="N1058" s="2" t="n">
        <x:f>MAX(0,ROUND('기준스탯 72종'!H50-V1058-AD1058,0))</x:f>
        <x:v>0</x:v>
      </x:c>
      <x:c r="O1058" s="2" t="n">
        <x:f>MAX(0,ROUND('기준스탯 72종'!I50-W1058-AE1058,0))</x:f>
        <x:v>1</x:v>
      </x:c>
      <x:c r="P1058" s="2" t="n">
        <x:f>MAX(0,ROUND('기준스탯 72종'!J50-X1058-AF1058,0))</x:f>
        <x:v>1</x:v>
      </x:c>
      <x:c r="Q1058" s="2" t="n">
        <x:f>MAX(0,ROUND('기준스탯 72종'!K50-Y1058-AG1058,0))</x:f>
        <x:v>1</x:v>
      </x:c>
      <x:c r="R1058" s="15" t="n">
        <x:f>'기준스탯 72종'!D50*G1058</x:f>
        <x:v>3.9199999999999995</x:v>
      </x:c>
      <x:c r="S1058" s="15" t="n">
        <x:f>'기준스탯 72종'!E50*G1058</x:f>
        <x:v>3.9199999999999995</x:v>
      </x:c>
      <x:c r="T1058" s="15" t="n">
        <x:f>'기준스탯 72종'!F50*G1058</x:f>
        <x:v>5.039999999999999</x:v>
      </x:c>
      <x:c r="U1058" s="15" t="n">
        <x:f>'기준스탯 72종'!G50*G1058</x:f>
        <x:v>3.9199999999999995</x:v>
      </x:c>
      <x:c r="V1058" s="15" t="n">
        <x:f>'기준스탯 72종'!H50*G1058</x:f>
        <x:v>1.1199999999999999</x:v>
      </x:c>
      <x:c r="W1058" s="15" t="n">
        <x:f>'기준스탯 72종'!I50*G1058</x:f>
        <x:v>2.8</x:v>
      </x:c>
      <x:c r="X1058" s="15" t="n">
        <x:f>'기준스탯 72종'!J50*G1058</x:f>
        <x:v>3.3599999999999994</x:v>
      </x:c>
      <x:c r="Y1058" s="15" t="n">
        <x:f>'기준스탯 72종'!K50*G1058</x:f>
        <x:v>1.6799999999999997</x:v>
      </x:c>
      <x:c r="Z1058" s="15" t="n">
        <x:f>'기준스탯 72종'!D50*H1058</x:f>
        <x:v>1.6800000000000004</x:v>
      </x:c>
      <x:c r="AA1058" s="15" t="n">
        <x:f>'기준스탯 72종'!E50*H1058</x:f>
        <x:v>1.6800000000000004</x:v>
      </x:c>
      <x:c r="AB1058" s="15" t="n">
        <x:f>'기준스탯 72종'!F50*H1058</x:f>
        <x:v>2.1600000000000006</x:v>
      </x:c>
      <x:c r="AC1058" s="15" t="n">
        <x:f>'기준스탯 72종'!G50*H1058</x:f>
        <x:v>1.6800000000000004</x:v>
      </x:c>
      <x:c r="AD1058" s="15" t="n">
        <x:f>'기준스탯 72종'!H50*H1058</x:f>
        <x:v>0.4800000000000001</x:v>
      </x:c>
      <x:c r="AE1058" s="15" t="n">
        <x:f>'기준스탯 72종'!I50*H1058</x:f>
        <x:v>1.2000000000000002</x:v>
      </x:c>
      <x:c r="AF1058" s="15" t="n">
        <x:f>'기준스탯 72종'!J50*H1058</x:f>
        <x:v>1.4400000000000004</x:v>
      </x:c>
      <x:c r="AG1058" s="15" t="n">
        <x:f>'기준스탯 72종'!K50*H1058</x:f>
        <x:v>0.7200000000000002</x:v>
      </x:c>
    </x:row>
    <x:row r="1059" ht="28" customHeight="1">
      <x:c r="A1059" s="2" t="n">
        <x:v>1052</x:v>
      </x:c>
      <x:c r="B1059" s="2" t="n">
        <x:v>43</x:v>
      </x:c>
      <x:c r="C1059" s="2" t="str">
        <x:v>전갈자리</x:v>
      </x:c>
      <x:c r="D1059" s="2" t="str">
        <x:v>기사</x:v>
      </x:c>
      <x:c r="E1059" s="2" t="n">
        <x:v>2</x:v>
      </x:c>
      <x:c r="F1059" s="2" t="n">
        <x:v>1</x:v>
      </x:c>
      <x:c r="G1059" s="14" t="n">
        <x:f>('레벨 계산식'!$E$4-E1059)*'레벨 계산식'!$B$5</x:f>
        <x:v>0.41999999999999993</x:v>
      </x:c>
      <x:c r="H1059" s="14" t="n">
        <x:f>('등급 계산식'!$E$4-F1059)*'등급 계산식'!$B$5</x:f>
        <x:v>0.24000000000000005</x:v>
      </x:c>
      <x:c r="I1059" s="14" t="n">
        <x:f>1-G1059-H1059</x:f>
        <x:v>0.34</x:v>
      </x:c>
      <x:c r="J1059" s="2" t="n">
        <x:f>MAX(1,ROUND('기준스탯 72종'!D50-R1059-Z1059,0))</x:f>
        <x:v>2</x:v>
      </x:c>
      <x:c r="K1059" s="2" t="n">
        <x:f>MAX(1,ROUND('기준스탯 72종'!E50-S1059-AA1059,0))</x:f>
        <x:v>2</x:v>
      </x:c>
      <x:c r="L1059" s="2" t="n">
        <x:f>MAX(1,ROUND('기준스탯 72종'!F50-T1059-AB1059,0))</x:f>
        <x:v>3</x:v>
      </x:c>
      <x:c r="M1059" s="2" t="n">
        <x:f>MAX(1,ROUND('기준스탯 72종'!G50-U1059-AC1059,0))</x:f>
        <x:v>2</x:v>
      </x:c>
      <x:c r="N1059" s="2" t="n">
        <x:f>MAX(0,ROUND('기준스탯 72종'!H50-V1059-AD1059,0))</x:f>
        <x:v>1</x:v>
      </x:c>
      <x:c r="O1059" s="2" t="n">
        <x:f>MAX(0,ROUND('기준스탯 72종'!I50-W1059-AE1059,0))</x:f>
        <x:v>2</x:v>
      </x:c>
      <x:c r="P1059" s="2" t="n">
        <x:f>MAX(0,ROUND('기준스탯 72종'!J50-X1059-AF1059,0))</x:f>
        <x:v>2</x:v>
      </x:c>
      <x:c r="Q1059" s="2" t="n">
        <x:f>MAX(0,ROUND('기준스탯 72종'!K50-Y1059-AG1059,0))</x:f>
        <x:v>1</x:v>
      </x:c>
      <x:c r="R1059" s="15" t="n">
        <x:f>'기준스탯 72종'!D50*G1059</x:f>
        <x:v>2.9399999999999995</x:v>
      </x:c>
      <x:c r="S1059" s="15" t="n">
        <x:f>'기준스탯 72종'!E50*G1059</x:f>
        <x:v>2.9399999999999995</x:v>
      </x:c>
      <x:c r="T1059" s="15" t="n">
        <x:f>'기준스탯 72종'!F50*G1059</x:f>
        <x:v>3.7799999999999994</x:v>
      </x:c>
      <x:c r="U1059" s="15" t="n">
        <x:f>'기준스탯 72종'!G50*G1059</x:f>
        <x:v>2.9399999999999995</x:v>
      </x:c>
      <x:c r="V1059" s="15" t="n">
        <x:f>'기준스탯 72종'!H50*G1059</x:f>
        <x:v>0.8399999999999999</x:v>
      </x:c>
      <x:c r="W1059" s="15" t="n">
        <x:f>'기준스탯 72종'!I50*G1059</x:f>
        <x:v>2.0999999999999996</x:v>
      </x:c>
      <x:c r="X1059" s="15" t="n">
        <x:f>'기준스탯 72종'!J50*G1059</x:f>
        <x:v>2.5199999999999996</x:v>
      </x:c>
      <x:c r="Y1059" s="15" t="n">
        <x:f>'기준스탯 72종'!K50*G1059</x:f>
        <x:v>1.2599999999999998</x:v>
      </x:c>
      <x:c r="Z1059" s="15" t="n">
        <x:f>'기준스탯 72종'!D50*H1059</x:f>
        <x:v>1.6800000000000004</x:v>
      </x:c>
      <x:c r="AA1059" s="15" t="n">
        <x:f>'기준스탯 72종'!E50*H1059</x:f>
        <x:v>1.6800000000000004</x:v>
      </x:c>
      <x:c r="AB1059" s="15" t="n">
        <x:f>'기준스탯 72종'!F50*H1059</x:f>
        <x:v>2.1600000000000006</x:v>
      </x:c>
      <x:c r="AC1059" s="15" t="n">
        <x:f>'기준스탯 72종'!G50*H1059</x:f>
        <x:v>1.6800000000000004</x:v>
      </x:c>
      <x:c r="AD1059" s="15" t="n">
        <x:f>'기준스탯 72종'!H50*H1059</x:f>
        <x:v>0.4800000000000001</x:v>
      </x:c>
      <x:c r="AE1059" s="15" t="n">
        <x:f>'기준스탯 72종'!I50*H1059</x:f>
        <x:v>1.2000000000000002</x:v>
      </x:c>
      <x:c r="AF1059" s="15" t="n">
        <x:f>'기준스탯 72종'!J50*H1059</x:f>
        <x:v>1.4400000000000004</x:v>
      </x:c>
      <x:c r="AG1059" s="15" t="n">
        <x:f>'기준스탯 72종'!K50*H1059</x:f>
        <x:v>0.7200000000000002</x:v>
      </x:c>
    </x:row>
    <x:row r="1060" ht="28" customHeight="1">
      <x:c r="A1060" s="2" t="n">
        <x:v>1053</x:v>
      </x:c>
      <x:c r="B1060" s="2" t="n">
        <x:v>43</x:v>
      </x:c>
      <x:c r="C1060" s="2" t="str">
        <x:v>전갈자리</x:v>
      </x:c>
      <x:c r="D1060" s="2" t="str">
        <x:v>기사</x:v>
      </x:c>
      <x:c r="E1060" s="2" t="n">
        <x:v>3</x:v>
      </x:c>
      <x:c r="F1060" s="2" t="n">
        <x:v>1</x:v>
      </x:c>
      <x:c r="G1060" s="14" t="n">
        <x:f>('레벨 계산식'!$E$4-E1060)*'레벨 계산식'!$B$5</x:f>
        <x:v>0.27999999999999997</x:v>
      </x:c>
      <x:c r="H1060" s="14" t="n">
        <x:f>('등급 계산식'!$E$4-F1060)*'등급 계산식'!$B$5</x:f>
        <x:v>0.24000000000000005</x:v>
      </x:c>
      <x:c r="I1060" s="14" t="n">
        <x:f>1-G1060-H1060</x:f>
        <x:v>0.4799999999999999</x:v>
      </x:c>
      <x:c r="J1060" s="2" t="n">
        <x:f>MAX(1,ROUND('기준스탯 72종'!D50-R1060-Z1060,0))</x:f>
        <x:v>3</x:v>
      </x:c>
      <x:c r="K1060" s="2" t="n">
        <x:f>MAX(1,ROUND('기준스탯 72종'!E50-S1060-AA1060,0))</x:f>
        <x:v>3</x:v>
      </x:c>
      <x:c r="L1060" s="2" t="n">
        <x:f>MAX(1,ROUND('기준스탯 72종'!F50-T1060-AB1060,0))</x:f>
        <x:v>4</x:v>
      </x:c>
      <x:c r="M1060" s="2" t="n">
        <x:f>MAX(1,ROUND('기준스탯 72종'!G50-U1060-AC1060,0))</x:f>
        <x:v>3</x:v>
      </x:c>
      <x:c r="N1060" s="2" t="n">
        <x:f>MAX(0,ROUND('기준스탯 72종'!H50-V1060-AD1060,0))</x:f>
        <x:v>1</x:v>
      </x:c>
      <x:c r="O1060" s="2" t="n">
        <x:f>MAX(0,ROUND('기준스탯 72종'!I50-W1060-AE1060,0))</x:f>
        <x:v>2</x:v>
      </x:c>
      <x:c r="P1060" s="2" t="n">
        <x:f>MAX(0,ROUND('기준스탯 72종'!J50-X1060-AF1060,0))</x:f>
        <x:v>3</x:v>
      </x:c>
      <x:c r="Q1060" s="2" t="n">
        <x:f>MAX(0,ROUND('기준스탯 72종'!K50-Y1060-AG1060,0))</x:f>
        <x:v>1</x:v>
      </x:c>
      <x:c r="R1060" s="15" t="n">
        <x:f>'기준스탯 72종'!D50*G1060</x:f>
        <x:v>1.9599999999999997</x:v>
      </x:c>
      <x:c r="S1060" s="15" t="n">
        <x:f>'기준스탯 72종'!E50*G1060</x:f>
        <x:v>1.9599999999999997</x:v>
      </x:c>
      <x:c r="T1060" s="15" t="n">
        <x:f>'기준스탯 72종'!F50*G1060</x:f>
        <x:v>2.5199999999999996</x:v>
      </x:c>
      <x:c r="U1060" s="15" t="n">
        <x:f>'기준스탯 72종'!G50*G1060</x:f>
        <x:v>1.9599999999999997</x:v>
      </x:c>
      <x:c r="V1060" s="15" t="n">
        <x:f>'기준스탯 72종'!H50*G1060</x:f>
        <x:v>0.5599999999999999</x:v>
      </x:c>
      <x:c r="W1060" s="15" t="n">
        <x:f>'기준스탯 72종'!I50*G1060</x:f>
        <x:v>1.4</x:v>
      </x:c>
      <x:c r="X1060" s="15" t="n">
        <x:f>'기준스탯 72종'!J50*G1060</x:f>
        <x:v>1.6799999999999997</x:v>
      </x:c>
      <x:c r="Y1060" s="15" t="n">
        <x:f>'기준스탯 72종'!K50*G1060</x:f>
        <x:v>0.8399999999999999</x:v>
      </x:c>
      <x:c r="Z1060" s="15" t="n">
        <x:f>'기준스탯 72종'!D50*H1060</x:f>
        <x:v>1.6800000000000004</x:v>
      </x:c>
      <x:c r="AA1060" s="15" t="n">
        <x:f>'기준스탯 72종'!E50*H1060</x:f>
        <x:v>1.6800000000000004</x:v>
      </x:c>
      <x:c r="AB1060" s="15" t="n">
        <x:f>'기준스탯 72종'!F50*H1060</x:f>
        <x:v>2.1600000000000006</x:v>
      </x:c>
      <x:c r="AC1060" s="15" t="n">
        <x:f>'기준스탯 72종'!G50*H1060</x:f>
        <x:v>1.6800000000000004</x:v>
      </x:c>
      <x:c r="AD1060" s="15" t="n">
        <x:f>'기준스탯 72종'!H50*H1060</x:f>
        <x:v>0.4800000000000001</x:v>
      </x:c>
      <x:c r="AE1060" s="15" t="n">
        <x:f>'기준스탯 72종'!I50*H1060</x:f>
        <x:v>1.2000000000000002</x:v>
      </x:c>
      <x:c r="AF1060" s="15" t="n">
        <x:f>'기준스탯 72종'!J50*H1060</x:f>
        <x:v>1.4400000000000004</x:v>
      </x:c>
      <x:c r="AG1060" s="15" t="n">
        <x:f>'기준스탯 72종'!K50*H1060</x:f>
        <x:v>0.7200000000000002</x:v>
      </x:c>
    </x:row>
    <x:row r="1061" ht="28" customHeight="1">
      <x:c r="A1061" s="2" t="n">
        <x:v>1054</x:v>
      </x:c>
      <x:c r="B1061" s="2" t="n">
        <x:v>43</x:v>
      </x:c>
      <x:c r="C1061" s="2" t="str">
        <x:v>전갈자리</x:v>
      </x:c>
      <x:c r="D1061" s="2" t="str">
        <x:v>기사</x:v>
      </x:c>
      <x:c r="E1061" s="2" t="n">
        <x:v>4</x:v>
      </x:c>
      <x:c r="F1061" s="2" t="n">
        <x:v>1</x:v>
      </x:c>
      <x:c r="G1061" s="14" t="n">
        <x:f>('레벨 계산식'!$E$4-E1061)*'레벨 계산식'!$B$5</x:f>
        <x:v>0.13999999999999999</x:v>
      </x:c>
      <x:c r="H1061" s="14" t="n">
        <x:f>('등급 계산식'!$E$4-F1061)*'등급 계산식'!$B$5</x:f>
        <x:v>0.24000000000000005</x:v>
      </x:c>
      <x:c r="I1061" s="14" t="n">
        <x:f>1-G1061-H1061</x:f>
        <x:v>0.6199999999999999</x:v>
      </x:c>
      <x:c r="J1061" s="2" t="n">
        <x:f>MAX(1,ROUND('기준스탯 72종'!D50-R1061-Z1061,0))</x:f>
        <x:v>4</x:v>
      </x:c>
      <x:c r="K1061" s="2" t="n">
        <x:f>MAX(1,ROUND('기준스탯 72종'!E50-S1061-AA1061,0))</x:f>
        <x:v>4</x:v>
      </x:c>
      <x:c r="L1061" s="2" t="n">
        <x:f>MAX(1,ROUND('기준스탯 72종'!F50-T1061-AB1061,0))</x:f>
        <x:v>6</x:v>
      </x:c>
      <x:c r="M1061" s="2" t="n">
        <x:f>MAX(1,ROUND('기준스탯 72종'!G50-U1061-AC1061,0))</x:f>
        <x:v>4</x:v>
      </x:c>
      <x:c r="N1061" s="2" t="n">
        <x:f>MAX(0,ROUND('기준스탯 72종'!H50-V1061-AD1061,0))</x:f>
        <x:v>1</x:v>
      </x:c>
      <x:c r="O1061" s="2" t="n">
        <x:f>MAX(0,ROUND('기준스탯 72종'!I50-W1061-AE1061,0))</x:f>
        <x:v>3</x:v>
      </x:c>
      <x:c r="P1061" s="2" t="n">
        <x:f>MAX(0,ROUND('기준스탯 72종'!J50-X1061-AF1061,0))</x:f>
        <x:v>4</x:v>
      </x:c>
      <x:c r="Q1061" s="2" t="n">
        <x:f>MAX(0,ROUND('기준스탯 72종'!K50-Y1061-AG1061,0))</x:f>
        <x:v>2</x:v>
      </x:c>
      <x:c r="R1061" s="15" t="n">
        <x:f>'기준스탯 72종'!D50*G1061</x:f>
        <x:v>0.9799999999999999</x:v>
      </x:c>
      <x:c r="S1061" s="15" t="n">
        <x:f>'기준스탯 72종'!E50*G1061</x:f>
        <x:v>0.9799999999999999</x:v>
      </x:c>
      <x:c r="T1061" s="15" t="n">
        <x:f>'기준스탯 72종'!F50*G1061</x:f>
        <x:v>1.2599999999999998</x:v>
      </x:c>
      <x:c r="U1061" s="15" t="n">
        <x:f>'기준스탯 72종'!G50*G1061</x:f>
        <x:v>0.9799999999999999</x:v>
      </x:c>
      <x:c r="V1061" s="15" t="n">
        <x:f>'기준스탯 72종'!H50*G1061</x:f>
        <x:v>0.27999999999999997</x:v>
      </x:c>
      <x:c r="W1061" s="15" t="n">
        <x:f>'기준스탯 72종'!I50*G1061</x:f>
        <x:v>0.7</x:v>
      </x:c>
      <x:c r="X1061" s="15" t="n">
        <x:f>'기준스탯 72종'!J50*G1061</x:f>
        <x:v>0.8399999999999999</x:v>
      </x:c>
      <x:c r="Y1061" s="15" t="n">
        <x:f>'기준스탯 72종'!K50*G1061</x:f>
        <x:v>0.41999999999999993</x:v>
      </x:c>
      <x:c r="Z1061" s="15" t="n">
        <x:f>'기준스탯 72종'!D50*H1061</x:f>
        <x:v>1.6800000000000004</x:v>
      </x:c>
      <x:c r="AA1061" s="15" t="n">
        <x:f>'기준스탯 72종'!E50*H1061</x:f>
        <x:v>1.6800000000000004</x:v>
      </x:c>
      <x:c r="AB1061" s="15" t="n">
        <x:f>'기준스탯 72종'!F50*H1061</x:f>
        <x:v>2.1600000000000006</x:v>
      </x:c>
      <x:c r="AC1061" s="15" t="n">
        <x:f>'기준스탯 72종'!G50*H1061</x:f>
        <x:v>1.6800000000000004</x:v>
      </x:c>
      <x:c r="AD1061" s="15" t="n">
        <x:f>'기준스탯 72종'!H50*H1061</x:f>
        <x:v>0.4800000000000001</x:v>
      </x:c>
      <x:c r="AE1061" s="15" t="n">
        <x:f>'기준스탯 72종'!I50*H1061</x:f>
        <x:v>1.2000000000000002</x:v>
      </x:c>
      <x:c r="AF1061" s="15" t="n">
        <x:f>'기준스탯 72종'!J50*H1061</x:f>
        <x:v>1.4400000000000004</x:v>
      </x:c>
      <x:c r="AG1061" s="15" t="n">
        <x:f>'기준스탯 72종'!K50*H1061</x:f>
        <x:v>0.7200000000000002</x:v>
      </x:c>
    </x:row>
    <x:row r="1062" ht="28" customHeight="1">
      <x:c r="A1062" s="2" t="n">
        <x:v>1055</x:v>
      </x:c>
      <x:c r="B1062" s="2" t="n">
        <x:v>43</x:v>
      </x:c>
      <x:c r="C1062" s="2" t="str">
        <x:v>전갈자리</x:v>
      </x:c>
      <x:c r="D1062" s="2" t="str">
        <x:v>기사</x:v>
      </x:c>
      <x:c r="E1062" s="2" t="n">
        <x:v>5</x:v>
      </x:c>
      <x:c r="F1062" s="2" t="n">
        <x:v>1</x:v>
      </x:c>
      <x:c r="G1062" s="14" t="n">
        <x:f>('레벨 계산식'!$E$4-E1062)*'레벨 계산식'!$B$5</x:f>
        <x:v>0</x:v>
      </x:c>
      <x:c r="H1062" s="14" t="n">
        <x:f>('등급 계산식'!$E$4-F1062)*'등급 계산식'!$B$5</x:f>
        <x:v>0.24000000000000005</x:v>
      </x:c>
      <x:c r="I1062" s="14" t="n">
        <x:f>1-G1062-H1062</x:f>
        <x:v>0.76</x:v>
      </x:c>
      <x:c r="J1062" s="2" t="n">
        <x:f>MAX(1,ROUND('기준스탯 72종'!D50-R1062-Z1062,0))</x:f>
        <x:v>5</x:v>
      </x:c>
      <x:c r="K1062" s="2" t="n">
        <x:f>MAX(1,ROUND('기준스탯 72종'!E50-S1062-AA1062,0))</x:f>
        <x:v>5</x:v>
      </x:c>
      <x:c r="L1062" s="2" t="n">
        <x:f>MAX(1,ROUND('기준스탯 72종'!F50-T1062-AB1062,0))</x:f>
        <x:v>7</x:v>
      </x:c>
      <x:c r="M1062" s="2" t="n">
        <x:f>MAX(1,ROUND('기준스탯 72종'!G50-U1062-AC1062,0))</x:f>
        <x:v>5</x:v>
      </x:c>
      <x:c r="N1062" s="2" t="n">
        <x:f>MAX(0,ROUND('기준스탯 72종'!H50-V1062-AD1062,0))</x:f>
        <x:v>2</x:v>
      </x:c>
      <x:c r="O1062" s="2" t="n">
        <x:f>MAX(0,ROUND('기준스탯 72종'!I50-W1062-AE1062,0))</x:f>
        <x:v>4</x:v>
      </x:c>
      <x:c r="P1062" s="2" t="n">
        <x:f>MAX(0,ROUND('기준스탯 72종'!J50-X1062-AF1062,0))</x:f>
        <x:v>5</x:v>
      </x:c>
      <x:c r="Q1062" s="2" t="n">
        <x:f>MAX(0,ROUND('기준스탯 72종'!K50-Y1062-AG1062,0))</x:f>
        <x:v>2</x:v>
      </x:c>
      <x:c r="R1062" s="15" t="n">
        <x:f>'기준스탯 72종'!D50*G1062</x:f>
        <x:v>0</x:v>
      </x:c>
      <x:c r="S1062" s="15" t="n">
        <x:f>'기준스탯 72종'!E50*G1062</x:f>
        <x:v>0</x:v>
      </x:c>
      <x:c r="T1062" s="15" t="n">
        <x:f>'기준스탯 72종'!F50*G1062</x:f>
        <x:v>0</x:v>
      </x:c>
      <x:c r="U1062" s="15" t="n">
        <x:f>'기준스탯 72종'!G50*G1062</x:f>
        <x:v>0</x:v>
      </x:c>
      <x:c r="V1062" s="15" t="n">
        <x:f>'기준스탯 72종'!H50*G1062</x:f>
        <x:v>0</x:v>
      </x:c>
      <x:c r="W1062" s="15" t="n">
        <x:f>'기준스탯 72종'!I50*G1062</x:f>
        <x:v>0</x:v>
      </x:c>
      <x:c r="X1062" s="15" t="n">
        <x:f>'기준스탯 72종'!J50*G1062</x:f>
        <x:v>0</x:v>
      </x:c>
      <x:c r="Y1062" s="15" t="n">
        <x:f>'기준스탯 72종'!K50*G1062</x:f>
        <x:v>0</x:v>
      </x:c>
      <x:c r="Z1062" s="15" t="n">
        <x:f>'기준스탯 72종'!D50*H1062</x:f>
        <x:v>1.6800000000000004</x:v>
      </x:c>
      <x:c r="AA1062" s="15" t="n">
        <x:f>'기준스탯 72종'!E50*H1062</x:f>
        <x:v>1.6800000000000004</x:v>
      </x:c>
      <x:c r="AB1062" s="15" t="n">
        <x:f>'기준스탯 72종'!F50*H1062</x:f>
        <x:v>2.1600000000000006</x:v>
      </x:c>
      <x:c r="AC1062" s="15" t="n">
        <x:f>'기준스탯 72종'!G50*H1062</x:f>
        <x:v>1.6800000000000004</x:v>
      </x:c>
      <x:c r="AD1062" s="15" t="n">
        <x:f>'기준스탯 72종'!H50*H1062</x:f>
        <x:v>0.4800000000000001</x:v>
      </x:c>
      <x:c r="AE1062" s="15" t="n">
        <x:f>'기준스탯 72종'!I50*H1062</x:f>
        <x:v>1.2000000000000002</x:v>
      </x:c>
      <x:c r="AF1062" s="15" t="n">
        <x:f>'기준스탯 72종'!J50*H1062</x:f>
        <x:v>1.4400000000000004</x:v>
      </x:c>
      <x:c r="AG1062" s="15" t="n">
        <x:f>'기준스탯 72종'!K50*H1062</x:f>
        <x:v>0.7200000000000002</x:v>
      </x:c>
    </x:row>
    <x:row r="1063" ht="28" customHeight="1">
      <x:c r="A1063" s="2" t="n">
        <x:v>1056</x:v>
      </x:c>
      <x:c r="B1063" s="2" t="n">
        <x:v>43</x:v>
      </x:c>
      <x:c r="C1063" s="2" t="str">
        <x:v>전갈자리</x:v>
      </x:c>
      <x:c r="D1063" s="2" t="str">
        <x:v>기사</x:v>
      </x:c>
      <x:c r="E1063" s="2" t="n">
        <x:v>1</x:v>
      </x:c>
      <x:c r="F1063" s="2" t="n">
        <x:v>2</x:v>
      </x:c>
      <x:c r="G1063" s="14" t="n">
        <x:f>('레벨 계산식'!$E$4-E1063)*'레벨 계산식'!$B$5</x:f>
        <x:v>0.5599999999999999</x:v>
      </x:c>
      <x:c r="H1063" s="14" t="n">
        <x:f>('등급 계산식'!$E$4-F1063)*'등급 계산식'!$B$5</x:f>
        <x:v>0.18000000000000005</x:v>
      </x:c>
      <x:c r="I1063" s="14" t="n">
        <x:f>1-G1063-H1063</x:f>
        <x:v>0.26</x:v>
      </x:c>
      <x:c r="J1063" s="2" t="n">
        <x:f>MAX(1,ROUND('기준스탯 72종'!D50-R1063-Z1063,0))</x:f>
        <x:v>2</x:v>
      </x:c>
      <x:c r="K1063" s="2" t="n">
        <x:f>MAX(1,ROUND('기준스탯 72종'!E50-S1063-AA1063,0))</x:f>
        <x:v>2</x:v>
      </x:c>
      <x:c r="L1063" s="2" t="n">
        <x:f>MAX(1,ROUND('기준스탯 72종'!F50-T1063-AB1063,0))</x:f>
        <x:v>2</x:v>
      </x:c>
      <x:c r="M1063" s="2" t="n">
        <x:f>MAX(1,ROUND('기준스탯 72종'!G50-U1063-AC1063,0))</x:f>
        <x:v>2</x:v>
      </x:c>
      <x:c r="N1063" s="2" t="n">
        <x:f>MAX(0,ROUND('기준스탯 72종'!H50-V1063-AD1063,0))</x:f>
        <x:v>1</x:v>
      </x:c>
      <x:c r="O1063" s="2" t="n">
        <x:f>MAX(0,ROUND('기준스탯 72종'!I50-W1063-AE1063,0))</x:f>
        <x:v>1</x:v>
      </x:c>
      <x:c r="P1063" s="2" t="n">
        <x:f>MAX(0,ROUND('기준스탯 72종'!J50-X1063-AF1063,0))</x:f>
        <x:v>2</x:v>
      </x:c>
      <x:c r="Q1063" s="2" t="n">
        <x:f>MAX(0,ROUND('기준스탯 72종'!K50-Y1063-AG1063,0))</x:f>
        <x:v>1</x:v>
      </x:c>
      <x:c r="R1063" s="15" t="n">
        <x:f>'기준스탯 72종'!D50*G1063</x:f>
        <x:v>3.9199999999999995</x:v>
      </x:c>
      <x:c r="S1063" s="15" t="n">
        <x:f>'기준스탯 72종'!E50*G1063</x:f>
        <x:v>3.9199999999999995</x:v>
      </x:c>
      <x:c r="T1063" s="15" t="n">
        <x:f>'기준스탯 72종'!F50*G1063</x:f>
        <x:v>5.039999999999999</x:v>
      </x:c>
      <x:c r="U1063" s="15" t="n">
        <x:f>'기준스탯 72종'!G50*G1063</x:f>
        <x:v>3.9199999999999995</x:v>
      </x:c>
      <x:c r="V1063" s="15" t="n">
        <x:f>'기준스탯 72종'!H50*G1063</x:f>
        <x:v>1.1199999999999999</x:v>
      </x:c>
      <x:c r="W1063" s="15" t="n">
        <x:f>'기준스탯 72종'!I50*G1063</x:f>
        <x:v>2.8</x:v>
      </x:c>
      <x:c r="X1063" s="15" t="n">
        <x:f>'기준스탯 72종'!J50*G1063</x:f>
        <x:v>3.3599999999999994</x:v>
      </x:c>
      <x:c r="Y1063" s="15" t="n">
        <x:f>'기준스탯 72종'!K50*G1063</x:f>
        <x:v>1.6799999999999997</x:v>
      </x:c>
      <x:c r="Z1063" s="15" t="n">
        <x:f>'기준스탯 72종'!D50*H1063</x:f>
        <x:v>1.2600000000000002</x:v>
      </x:c>
      <x:c r="AA1063" s="15" t="n">
        <x:f>'기준스탯 72종'!E50*H1063</x:f>
        <x:v>1.2600000000000002</x:v>
      </x:c>
      <x:c r="AB1063" s="15" t="n">
        <x:f>'기준스탯 72종'!F50*H1063</x:f>
        <x:v>1.6200000000000006</x:v>
      </x:c>
      <x:c r="AC1063" s="15" t="n">
        <x:f>'기준스탯 72종'!G50*H1063</x:f>
        <x:v>1.2600000000000002</x:v>
      </x:c>
      <x:c r="AD1063" s="15" t="n">
        <x:f>'기준스탯 72종'!H50*H1063</x:f>
        <x:v>0.3600000000000001</x:v>
      </x:c>
      <x:c r="AE1063" s="15" t="n">
        <x:f>'기준스탯 72종'!I50*H1063</x:f>
        <x:v>0.9000000000000002</x:v>
      </x:c>
      <x:c r="AF1063" s="15" t="n">
        <x:f>'기준스탯 72종'!J50*H1063</x:f>
        <x:v>1.0800000000000003</x:v>
      </x:c>
      <x:c r="AG1063" s="15" t="n">
        <x:f>'기준스탯 72종'!K50*H1063</x:f>
        <x:v>0.5400000000000001</x:v>
      </x:c>
    </x:row>
    <x:row r="1064" ht="28" customHeight="1">
      <x:c r="A1064" s="2" t="n">
        <x:v>1057</x:v>
      </x:c>
      <x:c r="B1064" s="2" t="n">
        <x:v>43</x:v>
      </x:c>
      <x:c r="C1064" s="2" t="str">
        <x:v>전갈자리</x:v>
      </x:c>
      <x:c r="D1064" s="2" t="str">
        <x:v>기사</x:v>
      </x:c>
      <x:c r="E1064" s="2" t="n">
        <x:v>2</x:v>
      </x:c>
      <x:c r="F1064" s="2" t="n">
        <x:v>2</x:v>
      </x:c>
      <x:c r="G1064" s="14" t="n">
        <x:f>('레벨 계산식'!$E$4-E1064)*'레벨 계산식'!$B$5</x:f>
        <x:v>0.41999999999999993</x:v>
      </x:c>
      <x:c r="H1064" s="14" t="n">
        <x:f>('등급 계산식'!$E$4-F1064)*'등급 계산식'!$B$5</x:f>
        <x:v>0.18000000000000005</x:v>
      </x:c>
      <x:c r="I1064" s="14" t="n">
        <x:f>1-G1064-H1064</x:f>
        <x:v>0.4</x:v>
      </x:c>
      <x:c r="J1064" s="2" t="n">
        <x:f>MAX(1,ROUND('기준스탯 72종'!D50-R1064-Z1064,0))</x:f>
        <x:v>3</x:v>
      </x:c>
      <x:c r="K1064" s="2" t="n">
        <x:f>MAX(1,ROUND('기준스탯 72종'!E50-S1064-AA1064,0))</x:f>
        <x:v>3</x:v>
      </x:c>
      <x:c r="L1064" s="2" t="n">
        <x:f>MAX(1,ROUND('기준스탯 72종'!F50-T1064-AB1064,0))</x:f>
        <x:v>4</x:v>
      </x:c>
      <x:c r="M1064" s="2" t="n">
        <x:f>MAX(1,ROUND('기준스탯 72종'!G50-U1064-AC1064,0))</x:f>
        <x:v>3</x:v>
      </x:c>
      <x:c r="N1064" s="2" t="n">
        <x:f>MAX(0,ROUND('기준스탯 72종'!H50-V1064-AD1064,0))</x:f>
        <x:v>1</x:v>
      </x:c>
      <x:c r="O1064" s="2" t="n">
        <x:f>MAX(0,ROUND('기준스탯 72종'!I50-W1064-AE1064,0))</x:f>
        <x:v>2</x:v>
      </x:c>
      <x:c r="P1064" s="2" t="n">
        <x:f>MAX(0,ROUND('기준스탯 72종'!J50-X1064-AF1064,0))</x:f>
        <x:v>2</x:v>
      </x:c>
      <x:c r="Q1064" s="2" t="n">
        <x:f>MAX(0,ROUND('기준스탯 72종'!K50-Y1064-AG1064,0))</x:f>
        <x:v>1</x:v>
      </x:c>
      <x:c r="R1064" s="15" t="n">
        <x:f>'기준스탯 72종'!D50*G1064</x:f>
        <x:v>2.9399999999999995</x:v>
      </x:c>
      <x:c r="S1064" s="15" t="n">
        <x:f>'기준스탯 72종'!E50*G1064</x:f>
        <x:v>2.9399999999999995</x:v>
      </x:c>
      <x:c r="T1064" s="15" t="n">
        <x:f>'기준스탯 72종'!F50*G1064</x:f>
        <x:v>3.7799999999999994</x:v>
      </x:c>
      <x:c r="U1064" s="15" t="n">
        <x:f>'기준스탯 72종'!G50*G1064</x:f>
        <x:v>2.9399999999999995</x:v>
      </x:c>
      <x:c r="V1064" s="15" t="n">
        <x:f>'기준스탯 72종'!H50*G1064</x:f>
        <x:v>0.8399999999999999</x:v>
      </x:c>
      <x:c r="W1064" s="15" t="n">
        <x:f>'기준스탯 72종'!I50*G1064</x:f>
        <x:v>2.0999999999999996</x:v>
      </x:c>
      <x:c r="X1064" s="15" t="n">
        <x:f>'기준스탯 72종'!J50*G1064</x:f>
        <x:v>2.5199999999999996</x:v>
      </x:c>
      <x:c r="Y1064" s="15" t="n">
        <x:f>'기준스탯 72종'!K50*G1064</x:f>
        <x:v>1.2599999999999998</x:v>
      </x:c>
      <x:c r="Z1064" s="15" t="n">
        <x:f>'기준스탯 72종'!D50*H1064</x:f>
        <x:v>1.2600000000000002</x:v>
      </x:c>
      <x:c r="AA1064" s="15" t="n">
        <x:f>'기준스탯 72종'!E50*H1064</x:f>
        <x:v>1.2600000000000002</x:v>
      </x:c>
      <x:c r="AB1064" s="15" t="n">
        <x:f>'기준스탯 72종'!F50*H1064</x:f>
        <x:v>1.6200000000000006</x:v>
      </x:c>
      <x:c r="AC1064" s="15" t="n">
        <x:f>'기준스탯 72종'!G50*H1064</x:f>
        <x:v>1.2600000000000002</x:v>
      </x:c>
      <x:c r="AD1064" s="15" t="n">
        <x:f>'기준스탯 72종'!H50*H1064</x:f>
        <x:v>0.3600000000000001</x:v>
      </x:c>
      <x:c r="AE1064" s="15" t="n">
        <x:f>'기준스탯 72종'!I50*H1064</x:f>
        <x:v>0.9000000000000002</x:v>
      </x:c>
      <x:c r="AF1064" s="15" t="n">
        <x:f>'기준스탯 72종'!J50*H1064</x:f>
        <x:v>1.0800000000000003</x:v>
      </x:c>
      <x:c r="AG1064" s="15" t="n">
        <x:f>'기준스탯 72종'!K50*H1064</x:f>
        <x:v>0.5400000000000001</x:v>
      </x:c>
    </x:row>
    <x:row r="1065" ht="28" customHeight="1">
      <x:c r="A1065" s="2" t="n">
        <x:v>1058</x:v>
      </x:c>
      <x:c r="B1065" s="2" t="n">
        <x:v>43</x:v>
      </x:c>
      <x:c r="C1065" s="2" t="str">
        <x:v>전갈자리</x:v>
      </x:c>
      <x:c r="D1065" s="2" t="str">
        <x:v>기사</x:v>
      </x:c>
      <x:c r="E1065" s="2" t="n">
        <x:v>3</x:v>
      </x:c>
      <x:c r="F1065" s="2" t="n">
        <x:v>2</x:v>
      </x:c>
      <x:c r="G1065" s="14" t="n">
        <x:f>('레벨 계산식'!$E$4-E1065)*'레벨 계산식'!$B$5</x:f>
        <x:v>0.27999999999999997</x:v>
      </x:c>
      <x:c r="H1065" s="14" t="n">
        <x:f>('등급 계산식'!$E$4-F1065)*'등급 계산식'!$B$5</x:f>
        <x:v>0.18000000000000005</x:v>
      </x:c>
      <x:c r="I1065" s="14" t="n">
        <x:f>1-G1065-H1065</x:f>
        <x:v>0.5399999999999999</x:v>
      </x:c>
      <x:c r="J1065" s="2" t="n">
        <x:f>MAX(1,ROUND('기준스탯 72종'!D50-R1065-Z1065,0))</x:f>
        <x:v>4</x:v>
      </x:c>
      <x:c r="K1065" s="2" t="n">
        <x:f>MAX(1,ROUND('기준스탯 72종'!E50-S1065-AA1065,0))</x:f>
        <x:v>4</x:v>
      </x:c>
      <x:c r="L1065" s="2" t="n">
        <x:f>MAX(1,ROUND('기준스탯 72종'!F50-T1065-AB1065,0))</x:f>
        <x:v>5</x:v>
      </x:c>
      <x:c r="M1065" s="2" t="n">
        <x:f>MAX(1,ROUND('기준스탯 72종'!G50-U1065-AC1065,0))</x:f>
        <x:v>4</x:v>
      </x:c>
      <x:c r="N1065" s="2" t="n">
        <x:f>MAX(0,ROUND('기준스탯 72종'!H50-V1065-AD1065,0))</x:f>
        <x:v>1</x:v>
      </x:c>
      <x:c r="O1065" s="2" t="n">
        <x:f>MAX(0,ROUND('기준스탯 72종'!I50-W1065-AE1065,0))</x:f>
        <x:v>3</x:v>
      </x:c>
      <x:c r="P1065" s="2" t="n">
        <x:f>MAX(0,ROUND('기준스탯 72종'!J50-X1065-AF1065,0))</x:f>
        <x:v>3</x:v>
      </x:c>
      <x:c r="Q1065" s="2" t="n">
        <x:f>MAX(0,ROUND('기준스탯 72종'!K50-Y1065-AG1065,0))</x:f>
        <x:v>2</x:v>
      </x:c>
      <x:c r="R1065" s="15" t="n">
        <x:f>'기준스탯 72종'!D50*G1065</x:f>
        <x:v>1.9599999999999997</x:v>
      </x:c>
      <x:c r="S1065" s="15" t="n">
        <x:f>'기준스탯 72종'!E50*G1065</x:f>
        <x:v>1.9599999999999997</x:v>
      </x:c>
      <x:c r="T1065" s="15" t="n">
        <x:f>'기준스탯 72종'!F50*G1065</x:f>
        <x:v>2.5199999999999996</x:v>
      </x:c>
      <x:c r="U1065" s="15" t="n">
        <x:f>'기준스탯 72종'!G50*G1065</x:f>
        <x:v>1.9599999999999997</x:v>
      </x:c>
      <x:c r="V1065" s="15" t="n">
        <x:f>'기준스탯 72종'!H50*G1065</x:f>
        <x:v>0.5599999999999999</x:v>
      </x:c>
      <x:c r="W1065" s="15" t="n">
        <x:f>'기준스탯 72종'!I50*G1065</x:f>
        <x:v>1.4</x:v>
      </x:c>
      <x:c r="X1065" s="15" t="n">
        <x:f>'기준스탯 72종'!J50*G1065</x:f>
        <x:v>1.6799999999999997</x:v>
      </x:c>
      <x:c r="Y1065" s="15" t="n">
        <x:f>'기준스탯 72종'!K50*G1065</x:f>
        <x:v>0.8399999999999999</x:v>
      </x:c>
      <x:c r="Z1065" s="15" t="n">
        <x:f>'기준스탯 72종'!D50*H1065</x:f>
        <x:v>1.2600000000000002</x:v>
      </x:c>
      <x:c r="AA1065" s="15" t="n">
        <x:f>'기준스탯 72종'!E50*H1065</x:f>
        <x:v>1.2600000000000002</x:v>
      </x:c>
      <x:c r="AB1065" s="15" t="n">
        <x:f>'기준스탯 72종'!F50*H1065</x:f>
        <x:v>1.6200000000000006</x:v>
      </x:c>
      <x:c r="AC1065" s="15" t="n">
        <x:f>'기준스탯 72종'!G50*H1065</x:f>
        <x:v>1.2600000000000002</x:v>
      </x:c>
      <x:c r="AD1065" s="15" t="n">
        <x:f>'기준스탯 72종'!H50*H1065</x:f>
        <x:v>0.3600000000000001</x:v>
      </x:c>
      <x:c r="AE1065" s="15" t="n">
        <x:f>'기준스탯 72종'!I50*H1065</x:f>
        <x:v>0.9000000000000002</x:v>
      </x:c>
      <x:c r="AF1065" s="15" t="n">
        <x:f>'기준스탯 72종'!J50*H1065</x:f>
        <x:v>1.0800000000000003</x:v>
      </x:c>
      <x:c r="AG1065" s="15" t="n">
        <x:f>'기준스탯 72종'!K50*H1065</x:f>
        <x:v>0.5400000000000001</x:v>
      </x:c>
    </x:row>
    <x:row r="1066" ht="28" customHeight="1">
      <x:c r="A1066" s="2" t="n">
        <x:v>1059</x:v>
      </x:c>
      <x:c r="B1066" s="2" t="n">
        <x:v>43</x:v>
      </x:c>
      <x:c r="C1066" s="2" t="str">
        <x:v>전갈자리</x:v>
      </x:c>
      <x:c r="D1066" s="2" t="str">
        <x:v>기사</x:v>
      </x:c>
      <x:c r="E1066" s="2" t="n">
        <x:v>4</x:v>
      </x:c>
      <x:c r="F1066" s="2" t="n">
        <x:v>2</x:v>
      </x:c>
      <x:c r="G1066" s="14" t="n">
        <x:f>('레벨 계산식'!$E$4-E1066)*'레벨 계산식'!$B$5</x:f>
        <x:v>0.13999999999999999</x:v>
      </x:c>
      <x:c r="H1066" s="14" t="n">
        <x:f>('등급 계산식'!$E$4-F1066)*'등급 계산식'!$B$5</x:f>
        <x:v>0.18000000000000005</x:v>
      </x:c>
      <x:c r="I1066" s="14" t="n">
        <x:f>1-G1066-H1066</x:f>
        <x:v>0.6799999999999999</x:v>
      </x:c>
      <x:c r="J1066" s="2" t="n">
        <x:f>MAX(1,ROUND('기준스탯 72종'!D50-R1066-Z1066,0))</x:f>
        <x:v>5</x:v>
      </x:c>
      <x:c r="K1066" s="2" t="n">
        <x:f>MAX(1,ROUND('기준스탯 72종'!E50-S1066-AA1066,0))</x:f>
        <x:v>5</x:v>
      </x:c>
      <x:c r="L1066" s="2" t="n">
        <x:f>MAX(1,ROUND('기준스탯 72종'!F50-T1066-AB1066,0))</x:f>
        <x:v>6</x:v>
      </x:c>
      <x:c r="M1066" s="2" t="n">
        <x:f>MAX(1,ROUND('기준스탯 72종'!G50-U1066-AC1066,0))</x:f>
        <x:v>5</x:v>
      </x:c>
      <x:c r="N1066" s="2" t="n">
        <x:f>MAX(0,ROUND('기준스탯 72종'!H50-V1066-AD1066,0))</x:f>
        <x:v>1</x:v>
      </x:c>
      <x:c r="O1066" s="2" t="n">
        <x:f>MAX(0,ROUND('기준스탯 72종'!I50-W1066-AE1066,0))</x:f>
        <x:v>3</x:v>
      </x:c>
      <x:c r="P1066" s="2" t="n">
        <x:f>MAX(0,ROUND('기준스탯 72종'!J50-X1066-AF1066,0))</x:f>
        <x:v>4</x:v>
      </x:c>
      <x:c r="Q1066" s="2" t="n">
        <x:f>MAX(0,ROUND('기준스탯 72종'!K50-Y1066-AG1066,0))</x:f>
        <x:v>2</x:v>
      </x:c>
      <x:c r="R1066" s="15" t="n">
        <x:f>'기준스탯 72종'!D50*G1066</x:f>
        <x:v>0.9799999999999999</x:v>
      </x:c>
      <x:c r="S1066" s="15" t="n">
        <x:f>'기준스탯 72종'!E50*G1066</x:f>
        <x:v>0.9799999999999999</x:v>
      </x:c>
      <x:c r="T1066" s="15" t="n">
        <x:f>'기준스탯 72종'!F50*G1066</x:f>
        <x:v>1.2599999999999998</x:v>
      </x:c>
      <x:c r="U1066" s="15" t="n">
        <x:f>'기준스탯 72종'!G50*G1066</x:f>
        <x:v>0.9799999999999999</x:v>
      </x:c>
      <x:c r="V1066" s="15" t="n">
        <x:f>'기준스탯 72종'!H50*G1066</x:f>
        <x:v>0.27999999999999997</x:v>
      </x:c>
      <x:c r="W1066" s="15" t="n">
        <x:f>'기준스탯 72종'!I50*G1066</x:f>
        <x:v>0.7</x:v>
      </x:c>
      <x:c r="X1066" s="15" t="n">
        <x:f>'기준스탯 72종'!J50*G1066</x:f>
        <x:v>0.8399999999999999</x:v>
      </x:c>
      <x:c r="Y1066" s="15" t="n">
        <x:f>'기준스탯 72종'!K50*G1066</x:f>
        <x:v>0.41999999999999993</x:v>
      </x:c>
      <x:c r="Z1066" s="15" t="n">
        <x:f>'기준스탯 72종'!D50*H1066</x:f>
        <x:v>1.2600000000000002</x:v>
      </x:c>
      <x:c r="AA1066" s="15" t="n">
        <x:f>'기준스탯 72종'!E50*H1066</x:f>
        <x:v>1.2600000000000002</x:v>
      </x:c>
      <x:c r="AB1066" s="15" t="n">
        <x:f>'기준스탯 72종'!F50*H1066</x:f>
        <x:v>1.6200000000000006</x:v>
      </x:c>
      <x:c r="AC1066" s="15" t="n">
        <x:f>'기준스탯 72종'!G50*H1066</x:f>
        <x:v>1.2600000000000002</x:v>
      </x:c>
      <x:c r="AD1066" s="15" t="n">
        <x:f>'기준스탯 72종'!H50*H1066</x:f>
        <x:v>0.3600000000000001</x:v>
      </x:c>
      <x:c r="AE1066" s="15" t="n">
        <x:f>'기준스탯 72종'!I50*H1066</x:f>
        <x:v>0.9000000000000002</x:v>
      </x:c>
      <x:c r="AF1066" s="15" t="n">
        <x:f>'기준스탯 72종'!J50*H1066</x:f>
        <x:v>1.0800000000000003</x:v>
      </x:c>
      <x:c r="AG1066" s="15" t="n">
        <x:f>'기준스탯 72종'!K50*H1066</x:f>
        <x:v>0.5400000000000001</x:v>
      </x:c>
    </x:row>
    <x:row r="1067" ht="28" customHeight="1">
      <x:c r="A1067" s="2" t="n">
        <x:v>1060</x:v>
      </x:c>
      <x:c r="B1067" s="2" t="n">
        <x:v>43</x:v>
      </x:c>
      <x:c r="C1067" s="2" t="str">
        <x:v>전갈자리</x:v>
      </x:c>
      <x:c r="D1067" s="2" t="str">
        <x:v>기사</x:v>
      </x:c>
      <x:c r="E1067" s="2" t="n">
        <x:v>5</x:v>
      </x:c>
      <x:c r="F1067" s="2" t="n">
        <x:v>2</x:v>
      </x:c>
      <x:c r="G1067" s="14" t="n">
        <x:f>('레벨 계산식'!$E$4-E1067)*'레벨 계산식'!$B$5</x:f>
        <x:v>0</x:v>
      </x:c>
      <x:c r="H1067" s="14" t="n">
        <x:f>('등급 계산식'!$E$4-F1067)*'등급 계산식'!$B$5</x:f>
        <x:v>0.18000000000000005</x:v>
      </x:c>
      <x:c r="I1067" s="14" t="n">
        <x:f>1-G1067-H1067</x:f>
        <x:v>0.82</x:v>
      </x:c>
      <x:c r="J1067" s="2" t="n">
        <x:f>MAX(1,ROUND('기준스탯 72종'!D50-R1067-Z1067,0))</x:f>
        <x:v>6</x:v>
      </x:c>
      <x:c r="K1067" s="2" t="n">
        <x:f>MAX(1,ROUND('기준스탯 72종'!E50-S1067-AA1067,0))</x:f>
        <x:v>6</x:v>
      </x:c>
      <x:c r="L1067" s="2" t="n">
        <x:f>MAX(1,ROUND('기준스탯 72종'!F50-T1067-AB1067,0))</x:f>
        <x:v>7</x:v>
      </x:c>
      <x:c r="M1067" s="2" t="n">
        <x:f>MAX(1,ROUND('기준스탯 72종'!G50-U1067-AC1067,0))</x:f>
        <x:v>6</x:v>
      </x:c>
      <x:c r="N1067" s="2" t="n">
        <x:f>MAX(0,ROUND('기준스탯 72종'!H50-V1067-AD1067,0))</x:f>
        <x:v>2</x:v>
      </x:c>
      <x:c r="O1067" s="2" t="n">
        <x:f>MAX(0,ROUND('기준스탯 72종'!I50-W1067-AE1067,0))</x:f>
        <x:v>4</x:v>
      </x:c>
      <x:c r="P1067" s="2" t="n">
        <x:f>MAX(0,ROUND('기준스탯 72종'!J50-X1067-AF1067,0))</x:f>
        <x:v>5</x:v>
      </x:c>
      <x:c r="Q1067" s="2" t="n">
        <x:f>MAX(0,ROUND('기준스탯 72종'!K50-Y1067-AG1067,0))</x:f>
        <x:v>2</x:v>
      </x:c>
      <x:c r="R1067" s="15" t="n">
        <x:f>'기준스탯 72종'!D50*G1067</x:f>
        <x:v>0</x:v>
      </x:c>
      <x:c r="S1067" s="15" t="n">
        <x:f>'기준스탯 72종'!E50*G1067</x:f>
        <x:v>0</x:v>
      </x:c>
      <x:c r="T1067" s="15" t="n">
        <x:f>'기준스탯 72종'!F50*G1067</x:f>
        <x:v>0</x:v>
      </x:c>
      <x:c r="U1067" s="15" t="n">
        <x:f>'기준스탯 72종'!G50*G1067</x:f>
        <x:v>0</x:v>
      </x:c>
      <x:c r="V1067" s="15" t="n">
        <x:f>'기준스탯 72종'!H50*G1067</x:f>
        <x:v>0</x:v>
      </x:c>
      <x:c r="W1067" s="15" t="n">
        <x:f>'기준스탯 72종'!I50*G1067</x:f>
        <x:v>0</x:v>
      </x:c>
      <x:c r="X1067" s="15" t="n">
        <x:f>'기준스탯 72종'!J50*G1067</x:f>
        <x:v>0</x:v>
      </x:c>
      <x:c r="Y1067" s="15" t="n">
        <x:f>'기준스탯 72종'!K50*G1067</x:f>
        <x:v>0</x:v>
      </x:c>
      <x:c r="Z1067" s="15" t="n">
        <x:f>'기준스탯 72종'!D50*H1067</x:f>
        <x:v>1.2600000000000002</x:v>
      </x:c>
      <x:c r="AA1067" s="15" t="n">
        <x:f>'기준스탯 72종'!E50*H1067</x:f>
        <x:v>1.2600000000000002</x:v>
      </x:c>
      <x:c r="AB1067" s="15" t="n">
        <x:f>'기준스탯 72종'!F50*H1067</x:f>
        <x:v>1.6200000000000006</x:v>
      </x:c>
      <x:c r="AC1067" s="15" t="n">
        <x:f>'기준스탯 72종'!G50*H1067</x:f>
        <x:v>1.2600000000000002</x:v>
      </x:c>
      <x:c r="AD1067" s="15" t="n">
        <x:f>'기준스탯 72종'!H50*H1067</x:f>
        <x:v>0.3600000000000001</x:v>
      </x:c>
      <x:c r="AE1067" s="15" t="n">
        <x:f>'기준스탯 72종'!I50*H1067</x:f>
        <x:v>0.9000000000000002</x:v>
      </x:c>
      <x:c r="AF1067" s="15" t="n">
        <x:f>'기준스탯 72종'!J50*H1067</x:f>
        <x:v>1.0800000000000003</x:v>
      </x:c>
      <x:c r="AG1067" s="15" t="n">
        <x:f>'기준스탯 72종'!K50*H1067</x:f>
        <x:v>0.5400000000000001</x:v>
      </x:c>
    </x:row>
    <x:row r="1068" ht="28" customHeight="1">
      <x:c r="A1068" s="2" t="n">
        <x:v>1061</x:v>
      </x:c>
      <x:c r="B1068" s="2" t="n">
        <x:v>43</x:v>
      </x:c>
      <x:c r="C1068" s="2" t="str">
        <x:v>전갈자리</x:v>
      </x:c>
      <x:c r="D1068" s="2" t="str">
        <x:v>기사</x:v>
      </x:c>
      <x:c r="E1068" s="2" t="n">
        <x:v>1</x:v>
      </x:c>
      <x:c r="F1068" s="2" t="n">
        <x:v>3</x:v>
      </x:c>
      <x:c r="G1068" s="14" t="n">
        <x:f>('레벨 계산식'!$E$4-E1068)*'레벨 계산식'!$B$5</x:f>
        <x:v>0.5599999999999999</x:v>
      </x:c>
      <x:c r="H1068" s="14" t="n">
        <x:f>('등급 계산식'!$E$4-F1068)*'등급 계산식'!$B$5</x:f>
        <x:v>0.12000000000000002</x:v>
      </x:c>
      <x:c r="I1068" s="14" t="n">
        <x:f>1-G1068-H1068</x:f>
        <x:v>0.32000000000000006</x:v>
      </x:c>
      <x:c r="J1068" s="2" t="n">
        <x:f>MAX(1,ROUND('기준스탯 72종'!D50-R1068-Z1068,0))</x:f>
        <x:v>2</x:v>
      </x:c>
      <x:c r="K1068" s="2" t="n">
        <x:f>MAX(1,ROUND('기준스탯 72종'!E50-S1068-AA1068,0))</x:f>
        <x:v>2</x:v>
      </x:c>
      <x:c r="L1068" s="2" t="n">
        <x:f>MAX(1,ROUND('기준스탯 72종'!F50-T1068-AB1068,0))</x:f>
        <x:v>3</x:v>
      </x:c>
      <x:c r="M1068" s="2" t="n">
        <x:f>MAX(1,ROUND('기준스탯 72종'!G50-U1068-AC1068,0))</x:f>
        <x:v>2</x:v>
      </x:c>
      <x:c r="N1068" s="2" t="n">
        <x:f>MAX(0,ROUND('기준스탯 72종'!H50-V1068-AD1068,0))</x:f>
        <x:v>1</x:v>
      </x:c>
      <x:c r="O1068" s="2" t="n">
        <x:f>MAX(0,ROUND('기준스탯 72종'!I50-W1068-AE1068,0))</x:f>
        <x:v>2</x:v>
      </x:c>
      <x:c r="P1068" s="2" t="n">
        <x:f>MAX(0,ROUND('기준스탯 72종'!J50-X1068-AF1068,0))</x:f>
        <x:v>2</x:v>
      </x:c>
      <x:c r="Q1068" s="2" t="n">
        <x:f>MAX(0,ROUND('기준스탯 72종'!K50-Y1068-AG1068,0))</x:f>
        <x:v>1</x:v>
      </x:c>
      <x:c r="R1068" s="15" t="n">
        <x:f>'기준스탯 72종'!D50*G1068</x:f>
        <x:v>3.9199999999999995</x:v>
      </x:c>
      <x:c r="S1068" s="15" t="n">
        <x:f>'기준스탯 72종'!E50*G1068</x:f>
        <x:v>3.9199999999999995</x:v>
      </x:c>
      <x:c r="T1068" s="15" t="n">
        <x:f>'기준스탯 72종'!F50*G1068</x:f>
        <x:v>5.039999999999999</x:v>
      </x:c>
      <x:c r="U1068" s="15" t="n">
        <x:f>'기준스탯 72종'!G50*G1068</x:f>
        <x:v>3.9199999999999995</x:v>
      </x:c>
      <x:c r="V1068" s="15" t="n">
        <x:f>'기준스탯 72종'!H50*G1068</x:f>
        <x:v>1.1199999999999999</x:v>
      </x:c>
      <x:c r="W1068" s="15" t="n">
        <x:f>'기준스탯 72종'!I50*G1068</x:f>
        <x:v>2.8</x:v>
      </x:c>
      <x:c r="X1068" s="15" t="n">
        <x:f>'기준스탯 72종'!J50*G1068</x:f>
        <x:v>3.3599999999999994</x:v>
      </x:c>
      <x:c r="Y1068" s="15" t="n">
        <x:f>'기준스탯 72종'!K50*G1068</x:f>
        <x:v>1.6799999999999997</x:v>
      </x:c>
      <x:c r="Z1068" s="15" t="n">
        <x:f>'기준스탯 72종'!D50*H1068</x:f>
        <x:v>0.8400000000000002</x:v>
      </x:c>
      <x:c r="AA1068" s="15" t="n">
        <x:f>'기준스탯 72종'!E50*H1068</x:f>
        <x:v>0.8400000000000002</x:v>
      </x:c>
      <x:c r="AB1068" s="15" t="n">
        <x:f>'기준스탯 72종'!F50*H1068</x:f>
        <x:v>1.0800000000000003</x:v>
      </x:c>
      <x:c r="AC1068" s="15" t="n">
        <x:f>'기준스탯 72종'!G50*H1068</x:f>
        <x:v>0.8400000000000002</x:v>
      </x:c>
      <x:c r="AD1068" s="15" t="n">
        <x:f>'기준스탯 72종'!H50*H1068</x:f>
        <x:v>0.24000000000000005</x:v>
      </x:c>
      <x:c r="AE1068" s="15" t="n">
        <x:f>'기준스탯 72종'!I50*H1068</x:f>
        <x:v>0.6000000000000001</x:v>
      </x:c>
      <x:c r="AF1068" s="15" t="n">
        <x:f>'기준스탯 72종'!J50*H1068</x:f>
        <x:v>0.7200000000000002</x:v>
      </x:c>
      <x:c r="AG1068" s="15" t="n">
        <x:f>'기준스탯 72종'!K50*H1068</x:f>
        <x:v>0.3600000000000001</x:v>
      </x:c>
    </x:row>
    <x:row r="1069" ht="28" customHeight="1">
      <x:c r="A1069" s="2" t="n">
        <x:v>1062</x:v>
      </x:c>
      <x:c r="B1069" s="2" t="n">
        <x:v>43</x:v>
      </x:c>
      <x:c r="C1069" s="2" t="str">
        <x:v>전갈자리</x:v>
      </x:c>
      <x:c r="D1069" s="2" t="str">
        <x:v>기사</x:v>
      </x:c>
      <x:c r="E1069" s="2" t="n">
        <x:v>2</x:v>
      </x:c>
      <x:c r="F1069" s="2" t="n">
        <x:v>3</x:v>
      </x:c>
      <x:c r="G1069" s="14" t="n">
        <x:f>('레벨 계산식'!$E$4-E1069)*'레벨 계산식'!$B$5</x:f>
        <x:v>0.41999999999999993</x:v>
      </x:c>
      <x:c r="H1069" s="14" t="n">
        <x:f>('등급 계산식'!$E$4-F1069)*'등급 계산식'!$B$5</x:f>
        <x:v>0.12000000000000002</x:v>
      </x:c>
      <x:c r="I1069" s="14" t="n">
        <x:f>1-G1069-H1069</x:f>
        <x:v>0.4600000000000001</x:v>
      </x:c>
      <x:c r="J1069" s="2" t="n">
        <x:f>MAX(1,ROUND('기준스탯 72종'!D50-R1069-Z1069,0))</x:f>
        <x:v>3</x:v>
      </x:c>
      <x:c r="K1069" s="2" t="n">
        <x:f>MAX(1,ROUND('기준스탯 72종'!E50-S1069-AA1069,0))</x:f>
        <x:v>3</x:v>
      </x:c>
      <x:c r="L1069" s="2" t="n">
        <x:f>MAX(1,ROUND('기준스탯 72종'!F50-T1069-AB1069,0))</x:f>
        <x:v>4</x:v>
      </x:c>
      <x:c r="M1069" s="2" t="n">
        <x:f>MAX(1,ROUND('기준스탯 72종'!G50-U1069-AC1069,0))</x:f>
        <x:v>3</x:v>
      </x:c>
      <x:c r="N1069" s="2" t="n">
        <x:f>MAX(0,ROUND('기준스탯 72종'!H50-V1069-AD1069,0))</x:f>
        <x:v>1</x:v>
      </x:c>
      <x:c r="O1069" s="2" t="n">
        <x:f>MAX(0,ROUND('기준스탯 72종'!I50-W1069-AE1069,0))</x:f>
        <x:v>2</x:v>
      </x:c>
      <x:c r="P1069" s="2" t="n">
        <x:f>MAX(0,ROUND('기준스탯 72종'!J50-X1069-AF1069,0))</x:f>
        <x:v>3</x:v>
      </x:c>
      <x:c r="Q1069" s="2" t="n">
        <x:f>MAX(0,ROUND('기준스탯 72종'!K50-Y1069-AG1069,0))</x:f>
        <x:v>1</x:v>
      </x:c>
      <x:c r="R1069" s="15" t="n">
        <x:f>'기준스탯 72종'!D50*G1069</x:f>
        <x:v>2.9399999999999995</x:v>
      </x:c>
      <x:c r="S1069" s="15" t="n">
        <x:f>'기준스탯 72종'!E50*G1069</x:f>
        <x:v>2.9399999999999995</x:v>
      </x:c>
      <x:c r="T1069" s="15" t="n">
        <x:f>'기준스탯 72종'!F50*G1069</x:f>
        <x:v>3.7799999999999994</x:v>
      </x:c>
      <x:c r="U1069" s="15" t="n">
        <x:f>'기준스탯 72종'!G50*G1069</x:f>
        <x:v>2.9399999999999995</x:v>
      </x:c>
      <x:c r="V1069" s="15" t="n">
        <x:f>'기준스탯 72종'!H50*G1069</x:f>
        <x:v>0.8399999999999999</x:v>
      </x:c>
      <x:c r="W1069" s="15" t="n">
        <x:f>'기준스탯 72종'!I50*G1069</x:f>
        <x:v>2.0999999999999996</x:v>
      </x:c>
      <x:c r="X1069" s="15" t="n">
        <x:f>'기준스탯 72종'!J50*G1069</x:f>
        <x:v>2.5199999999999996</x:v>
      </x:c>
      <x:c r="Y1069" s="15" t="n">
        <x:f>'기준스탯 72종'!K50*G1069</x:f>
        <x:v>1.2599999999999998</x:v>
      </x:c>
      <x:c r="Z1069" s="15" t="n">
        <x:f>'기준스탯 72종'!D50*H1069</x:f>
        <x:v>0.8400000000000002</x:v>
      </x:c>
      <x:c r="AA1069" s="15" t="n">
        <x:f>'기준스탯 72종'!E50*H1069</x:f>
        <x:v>0.8400000000000002</x:v>
      </x:c>
      <x:c r="AB1069" s="15" t="n">
        <x:f>'기준스탯 72종'!F50*H1069</x:f>
        <x:v>1.0800000000000003</x:v>
      </x:c>
      <x:c r="AC1069" s="15" t="n">
        <x:f>'기준스탯 72종'!G50*H1069</x:f>
        <x:v>0.8400000000000002</x:v>
      </x:c>
      <x:c r="AD1069" s="15" t="n">
        <x:f>'기준스탯 72종'!H50*H1069</x:f>
        <x:v>0.24000000000000005</x:v>
      </x:c>
      <x:c r="AE1069" s="15" t="n">
        <x:f>'기준스탯 72종'!I50*H1069</x:f>
        <x:v>0.6000000000000001</x:v>
      </x:c>
      <x:c r="AF1069" s="15" t="n">
        <x:f>'기준스탯 72종'!J50*H1069</x:f>
        <x:v>0.7200000000000002</x:v>
      </x:c>
      <x:c r="AG1069" s="15" t="n">
        <x:f>'기준스탯 72종'!K50*H1069</x:f>
        <x:v>0.3600000000000001</x:v>
      </x:c>
    </x:row>
    <x:row r="1070" ht="28" customHeight="1">
      <x:c r="A1070" s="2" t="n">
        <x:v>1063</x:v>
      </x:c>
      <x:c r="B1070" s="2" t="n">
        <x:v>43</x:v>
      </x:c>
      <x:c r="C1070" s="2" t="str">
        <x:v>전갈자리</x:v>
      </x:c>
      <x:c r="D1070" s="2" t="str">
        <x:v>기사</x:v>
      </x:c>
      <x:c r="E1070" s="2" t="n">
        <x:v>3</x:v>
      </x:c>
      <x:c r="F1070" s="2" t="n">
        <x:v>3</x:v>
      </x:c>
      <x:c r="G1070" s="14" t="n">
        <x:f>('레벨 계산식'!$E$4-E1070)*'레벨 계산식'!$B$5</x:f>
        <x:v>0.27999999999999997</x:v>
      </x:c>
      <x:c r="H1070" s="14" t="n">
        <x:f>('등급 계산식'!$E$4-F1070)*'등급 계산식'!$B$5</x:f>
        <x:v>0.12000000000000002</x:v>
      </x:c>
      <x:c r="I1070" s="14" t="n">
        <x:f>1-G1070-H1070</x:f>
        <x:v>0.6</x:v>
      </x:c>
      <x:c r="J1070" s="2" t="n">
        <x:f>MAX(1,ROUND('기준스탯 72종'!D50-R1070-Z1070,0))</x:f>
        <x:v>4</x:v>
      </x:c>
      <x:c r="K1070" s="2" t="n">
        <x:f>MAX(1,ROUND('기준스탯 72종'!E50-S1070-AA1070,0))</x:f>
        <x:v>4</x:v>
      </x:c>
      <x:c r="L1070" s="2" t="n">
        <x:f>MAX(1,ROUND('기준스탯 72종'!F50-T1070-AB1070,0))</x:f>
        <x:v>5</x:v>
      </x:c>
      <x:c r="M1070" s="2" t="n">
        <x:f>MAX(1,ROUND('기준스탯 72종'!G50-U1070-AC1070,0))</x:f>
        <x:v>4</x:v>
      </x:c>
      <x:c r="N1070" s="2" t="n">
        <x:f>MAX(0,ROUND('기준스탯 72종'!H50-V1070-AD1070,0))</x:f>
        <x:v>1</x:v>
      </x:c>
      <x:c r="O1070" s="2" t="n">
        <x:f>MAX(0,ROUND('기준스탯 72종'!I50-W1070-AE1070,0))</x:f>
        <x:v>3</x:v>
      </x:c>
      <x:c r="P1070" s="2" t="n">
        <x:f>MAX(0,ROUND('기준스탯 72종'!J50-X1070-AF1070,0))</x:f>
        <x:v>4</x:v>
      </x:c>
      <x:c r="Q1070" s="2" t="n">
        <x:f>MAX(0,ROUND('기준스탯 72종'!K50-Y1070-AG1070,0))</x:f>
        <x:v>2</x:v>
      </x:c>
      <x:c r="R1070" s="15" t="n">
        <x:f>'기준스탯 72종'!D50*G1070</x:f>
        <x:v>1.9599999999999997</x:v>
      </x:c>
      <x:c r="S1070" s="15" t="n">
        <x:f>'기준스탯 72종'!E50*G1070</x:f>
        <x:v>1.9599999999999997</x:v>
      </x:c>
      <x:c r="T1070" s="15" t="n">
        <x:f>'기준스탯 72종'!F50*G1070</x:f>
        <x:v>2.5199999999999996</x:v>
      </x:c>
      <x:c r="U1070" s="15" t="n">
        <x:f>'기준스탯 72종'!G50*G1070</x:f>
        <x:v>1.9599999999999997</x:v>
      </x:c>
      <x:c r="V1070" s="15" t="n">
        <x:f>'기준스탯 72종'!H50*G1070</x:f>
        <x:v>0.5599999999999999</x:v>
      </x:c>
      <x:c r="W1070" s="15" t="n">
        <x:f>'기준스탯 72종'!I50*G1070</x:f>
        <x:v>1.4</x:v>
      </x:c>
      <x:c r="X1070" s="15" t="n">
        <x:f>'기준스탯 72종'!J50*G1070</x:f>
        <x:v>1.6799999999999997</x:v>
      </x:c>
      <x:c r="Y1070" s="15" t="n">
        <x:f>'기준스탯 72종'!K50*G1070</x:f>
        <x:v>0.8399999999999999</x:v>
      </x:c>
      <x:c r="Z1070" s="15" t="n">
        <x:f>'기준스탯 72종'!D50*H1070</x:f>
        <x:v>0.8400000000000002</x:v>
      </x:c>
      <x:c r="AA1070" s="15" t="n">
        <x:f>'기준스탯 72종'!E50*H1070</x:f>
        <x:v>0.8400000000000002</x:v>
      </x:c>
      <x:c r="AB1070" s="15" t="n">
        <x:f>'기준스탯 72종'!F50*H1070</x:f>
        <x:v>1.0800000000000003</x:v>
      </x:c>
      <x:c r="AC1070" s="15" t="n">
        <x:f>'기준스탯 72종'!G50*H1070</x:f>
        <x:v>0.8400000000000002</x:v>
      </x:c>
      <x:c r="AD1070" s="15" t="n">
        <x:f>'기준스탯 72종'!H50*H1070</x:f>
        <x:v>0.24000000000000005</x:v>
      </x:c>
      <x:c r="AE1070" s="15" t="n">
        <x:f>'기준스탯 72종'!I50*H1070</x:f>
        <x:v>0.6000000000000001</x:v>
      </x:c>
      <x:c r="AF1070" s="15" t="n">
        <x:f>'기준스탯 72종'!J50*H1070</x:f>
        <x:v>0.7200000000000002</x:v>
      </x:c>
      <x:c r="AG1070" s="15" t="n">
        <x:f>'기준스탯 72종'!K50*H1070</x:f>
        <x:v>0.3600000000000001</x:v>
      </x:c>
    </x:row>
    <x:row r="1071" ht="28" customHeight="1">
      <x:c r="A1071" s="2" t="n">
        <x:v>1064</x:v>
      </x:c>
      <x:c r="B1071" s="2" t="n">
        <x:v>43</x:v>
      </x:c>
      <x:c r="C1071" s="2" t="str">
        <x:v>전갈자리</x:v>
      </x:c>
      <x:c r="D1071" s="2" t="str">
        <x:v>기사</x:v>
      </x:c>
      <x:c r="E1071" s="2" t="n">
        <x:v>4</x:v>
      </x:c>
      <x:c r="F1071" s="2" t="n">
        <x:v>3</x:v>
      </x:c>
      <x:c r="G1071" s="14" t="n">
        <x:f>('레벨 계산식'!$E$4-E1071)*'레벨 계산식'!$B$5</x:f>
        <x:v>0.13999999999999999</x:v>
      </x:c>
      <x:c r="H1071" s="14" t="n">
        <x:f>('등급 계산식'!$E$4-F1071)*'등급 계산식'!$B$5</x:f>
        <x:v>0.12000000000000002</x:v>
      </x:c>
      <x:c r="I1071" s="14" t="n">
        <x:f>1-G1071-H1071</x:f>
        <x:v>0.74</x:v>
      </x:c>
      <x:c r="J1071" s="2" t="n">
        <x:f>MAX(1,ROUND('기준스탯 72종'!D50-R1071-Z1071,0))</x:f>
        <x:v>5</x:v>
      </x:c>
      <x:c r="K1071" s="2" t="n">
        <x:f>MAX(1,ROUND('기준스탯 72종'!E50-S1071-AA1071,0))</x:f>
        <x:v>5</x:v>
      </x:c>
      <x:c r="L1071" s="2" t="n">
        <x:f>MAX(1,ROUND('기준스탯 72종'!F50-T1071-AB1071,0))</x:f>
        <x:v>7</x:v>
      </x:c>
      <x:c r="M1071" s="2" t="n">
        <x:f>MAX(1,ROUND('기준스탯 72종'!G50-U1071-AC1071,0))</x:f>
        <x:v>5</x:v>
      </x:c>
      <x:c r="N1071" s="2" t="n">
        <x:f>MAX(0,ROUND('기준스탯 72종'!H50-V1071-AD1071,0))</x:f>
        <x:v>1</x:v>
      </x:c>
      <x:c r="O1071" s="2" t="n">
        <x:f>MAX(0,ROUND('기준스탯 72종'!I50-W1071-AE1071,0))</x:f>
        <x:v>4</x:v>
      </x:c>
      <x:c r="P1071" s="2" t="n">
        <x:f>MAX(0,ROUND('기준스탯 72종'!J50-X1071-AF1071,0))</x:f>
        <x:v>4</x:v>
      </x:c>
      <x:c r="Q1071" s="2" t="n">
        <x:f>MAX(0,ROUND('기준스탯 72종'!K50-Y1071-AG1071,0))</x:f>
        <x:v>2</x:v>
      </x:c>
      <x:c r="R1071" s="15" t="n">
        <x:f>'기준스탯 72종'!D50*G1071</x:f>
        <x:v>0.9799999999999999</x:v>
      </x:c>
      <x:c r="S1071" s="15" t="n">
        <x:f>'기준스탯 72종'!E50*G1071</x:f>
        <x:v>0.9799999999999999</x:v>
      </x:c>
      <x:c r="T1071" s="15" t="n">
        <x:f>'기준스탯 72종'!F50*G1071</x:f>
        <x:v>1.2599999999999998</x:v>
      </x:c>
      <x:c r="U1071" s="15" t="n">
        <x:f>'기준스탯 72종'!G50*G1071</x:f>
        <x:v>0.9799999999999999</x:v>
      </x:c>
      <x:c r="V1071" s="15" t="n">
        <x:f>'기준스탯 72종'!H50*G1071</x:f>
        <x:v>0.27999999999999997</x:v>
      </x:c>
      <x:c r="W1071" s="15" t="n">
        <x:f>'기준스탯 72종'!I50*G1071</x:f>
        <x:v>0.7</x:v>
      </x:c>
      <x:c r="X1071" s="15" t="n">
        <x:f>'기준스탯 72종'!J50*G1071</x:f>
        <x:v>0.8399999999999999</x:v>
      </x:c>
      <x:c r="Y1071" s="15" t="n">
        <x:f>'기준스탯 72종'!K50*G1071</x:f>
        <x:v>0.41999999999999993</x:v>
      </x:c>
      <x:c r="Z1071" s="15" t="n">
        <x:f>'기준스탯 72종'!D50*H1071</x:f>
        <x:v>0.8400000000000002</x:v>
      </x:c>
      <x:c r="AA1071" s="15" t="n">
        <x:f>'기준스탯 72종'!E50*H1071</x:f>
        <x:v>0.8400000000000002</x:v>
      </x:c>
      <x:c r="AB1071" s="15" t="n">
        <x:f>'기준스탯 72종'!F50*H1071</x:f>
        <x:v>1.0800000000000003</x:v>
      </x:c>
      <x:c r="AC1071" s="15" t="n">
        <x:f>'기준스탯 72종'!G50*H1071</x:f>
        <x:v>0.8400000000000002</x:v>
      </x:c>
      <x:c r="AD1071" s="15" t="n">
        <x:f>'기준스탯 72종'!H50*H1071</x:f>
        <x:v>0.24000000000000005</x:v>
      </x:c>
      <x:c r="AE1071" s="15" t="n">
        <x:f>'기준스탯 72종'!I50*H1071</x:f>
        <x:v>0.6000000000000001</x:v>
      </x:c>
      <x:c r="AF1071" s="15" t="n">
        <x:f>'기준스탯 72종'!J50*H1071</x:f>
        <x:v>0.7200000000000002</x:v>
      </x:c>
      <x:c r="AG1071" s="15" t="n">
        <x:f>'기준스탯 72종'!K50*H1071</x:f>
        <x:v>0.3600000000000001</x:v>
      </x:c>
    </x:row>
    <x:row r="1072" ht="28" customHeight="1">
      <x:c r="A1072" s="2" t="n">
        <x:v>1065</x:v>
      </x:c>
      <x:c r="B1072" s="2" t="n">
        <x:v>43</x:v>
      </x:c>
      <x:c r="C1072" s="2" t="str">
        <x:v>전갈자리</x:v>
      </x:c>
      <x:c r="D1072" s="2" t="str">
        <x:v>기사</x:v>
      </x:c>
      <x:c r="E1072" s="2" t="n">
        <x:v>5</x:v>
      </x:c>
      <x:c r="F1072" s="2" t="n">
        <x:v>3</x:v>
      </x:c>
      <x:c r="G1072" s="14" t="n">
        <x:f>('레벨 계산식'!$E$4-E1072)*'레벨 계산식'!$B$5</x:f>
        <x:v>0</x:v>
      </x:c>
      <x:c r="H1072" s="14" t="n">
        <x:f>('등급 계산식'!$E$4-F1072)*'등급 계산식'!$B$5</x:f>
        <x:v>0.12000000000000002</x:v>
      </x:c>
      <x:c r="I1072" s="14" t="n">
        <x:f>1-G1072-H1072</x:f>
        <x:v>0.88</x:v>
      </x:c>
      <x:c r="J1072" s="2" t="n">
        <x:f>MAX(1,ROUND('기준스탯 72종'!D50-R1072-Z1072,0))</x:f>
        <x:v>6</x:v>
      </x:c>
      <x:c r="K1072" s="2" t="n">
        <x:f>MAX(1,ROUND('기준스탯 72종'!E50-S1072-AA1072,0))</x:f>
        <x:v>6</x:v>
      </x:c>
      <x:c r="L1072" s="2" t="n">
        <x:f>MAX(1,ROUND('기준스탯 72종'!F50-T1072-AB1072,0))</x:f>
        <x:v>8</x:v>
      </x:c>
      <x:c r="M1072" s="2" t="n">
        <x:f>MAX(1,ROUND('기준스탯 72종'!G50-U1072-AC1072,0))</x:f>
        <x:v>6</x:v>
      </x:c>
      <x:c r="N1072" s="2" t="n">
        <x:f>MAX(0,ROUND('기준스탯 72종'!H50-V1072-AD1072,0))</x:f>
        <x:v>2</x:v>
      </x:c>
      <x:c r="O1072" s="2" t="n">
        <x:f>MAX(0,ROUND('기준스탯 72종'!I50-W1072-AE1072,0))</x:f>
        <x:v>4</x:v>
      </x:c>
      <x:c r="P1072" s="2" t="n">
        <x:f>MAX(0,ROUND('기준스탯 72종'!J50-X1072-AF1072,0))</x:f>
        <x:v>5</x:v>
      </x:c>
      <x:c r="Q1072" s="2" t="n">
        <x:f>MAX(0,ROUND('기준스탯 72종'!K50-Y1072-AG1072,0))</x:f>
        <x:v>3</x:v>
      </x:c>
      <x:c r="R1072" s="15" t="n">
        <x:f>'기준스탯 72종'!D50*G1072</x:f>
        <x:v>0</x:v>
      </x:c>
      <x:c r="S1072" s="15" t="n">
        <x:f>'기준스탯 72종'!E50*G1072</x:f>
        <x:v>0</x:v>
      </x:c>
      <x:c r="T1072" s="15" t="n">
        <x:f>'기준스탯 72종'!F50*G1072</x:f>
        <x:v>0</x:v>
      </x:c>
      <x:c r="U1072" s="15" t="n">
        <x:f>'기준스탯 72종'!G50*G1072</x:f>
        <x:v>0</x:v>
      </x:c>
      <x:c r="V1072" s="15" t="n">
        <x:f>'기준스탯 72종'!H50*G1072</x:f>
        <x:v>0</x:v>
      </x:c>
      <x:c r="W1072" s="15" t="n">
        <x:f>'기준스탯 72종'!I50*G1072</x:f>
        <x:v>0</x:v>
      </x:c>
      <x:c r="X1072" s="15" t="n">
        <x:f>'기준스탯 72종'!J50*G1072</x:f>
        <x:v>0</x:v>
      </x:c>
      <x:c r="Y1072" s="15" t="n">
        <x:f>'기준스탯 72종'!K50*G1072</x:f>
        <x:v>0</x:v>
      </x:c>
      <x:c r="Z1072" s="15" t="n">
        <x:f>'기준스탯 72종'!D50*H1072</x:f>
        <x:v>0.8400000000000002</x:v>
      </x:c>
      <x:c r="AA1072" s="15" t="n">
        <x:f>'기준스탯 72종'!E50*H1072</x:f>
        <x:v>0.8400000000000002</x:v>
      </x:c>
      <x:c r="AB1072" s="15" t="n">
        <x:f>'기준스탯 72종'!F50*H1072</x:f>
        <x:v>1.0800000000000003</x:v>
      </x:c>
      <x:c r="AC1072" s="15" t="n">
        <x:f>'기준스탯 72종'!G50*H1072</x:f>
        <x:v>0.8400000000000002</x:v>
      </x:c>
      <x:c r="AD1072" s="15" t="n">
        <x:f>'기준스탯 72종'!H50*H1072</x:f>
        <x:v>0.24000000000000005</x:v>
      </x:c>
      <x:c r="AE1072" s="15" t="n">
        <x:f>'기준스탯 72종'!I50*H1072</x:f>
        <x:v>0.6000000000000001</x:v>
      </x:c>
      <x:c r="AF1072" s="15" t="n">
        <x:f>'기준스탯 72종'!J50*H1072</x:f>
        <x:v>0.7200000000000002</x:v>
      </x:c>
      <x:c r="AG1072" s="15" t="n">
        <x:f>'기준스탯 72종'!K50*H1072</x:f>
        <x:v>0.3600000000000001</x:v>
      </x:c>
    </x:row>
    <x:row r="1073" ht="28" customHeight="1">
      <x:c r="A1073" s="2" t="n">
        <x:v>1066</x:v>
      </x:c>
      <x:c r="B1073" s="2" t="n">
        <x:v>43</x:v>
      </x:c>
      <x:c r="C1073" s="2" t="str">
        <x:v>전갈자리</x:v>
      </x:c>
      <x:c r="D1073" s="2" t="str">
        <x:v>기사</x:v>
      </x:c>
      <x:c r="E1073" s="2" t="n">
        <x:v>1</x:v>
      </x:c>
      <x:c r="F1073" s="2" t="n">
        <x:v>4</x:v>
      </x:c>
      <x:c r="G1073" s="14" t="n">
        <x:f>('레벨 계산식'!$E$4-E1073)*'레벨 계산식'!$B$5</x:f>
        <x:v>0.5599999999999999</x:v>
      </x:c>
      <x:c r="H1073" s="14" t="n">
        <x:f>('등급 계산식'!$E$4-F1073)*'등급 계산식'!$B$5</x:f>
        <x:v>0.06000000000000001</x:v>
      </x:c>
      <x:c r="I1073" s="14" t="n">
        <x:f>1-G1073-H1073</x:f>
        <x:v>0.38000000000000006</x:v>
      </x:c>
      <x:c r="J1073" s="2" t="n">
        <x:f>MAX(1,ROUND('기준스탯 72종'!D50-R1073-Z1073,0))</x:f>
        <x:v>3</x:v>
      </x:c>
      <x:c r="K1073" s="2" t="n">
        <x:f>MAX(1,ROUND('기준스탯 72종'!E50-S1073-AA1073,0))</x:f>
        <x:v>3</x:v>
      </x:c>
      <x:c r="L1073" s="2" t="n">
        <x:f>MAX(1,ROUND('기준스탯 72종'!F50-T1073-AB1073,0))</x:f>
        <x:v>3</x:v>
      </x:c>
      <x:c r="M1073" s="2" t="n">
        <x:f>MAX(1,ROUND('기준스탯 72종'!G50-U1073-AC1073,0))</x:f>
        <x:v>3</x:v>
      </x:c>
      <x:c r="N1073" s="2" t="n">
        <x:f>MAX(0,ROUND('기준스탯 72종'!H50-V1073-AD1073,0))</x:f>
        <x:v>1</x:v>
      </x:c>
      <x:c r="O1073" s="2" t="n">
        <x:f>MAX(0,ROUND('기준스탯 72종'!I50-W1073-AE1073,0))</x:f>
        <x:v>2</x:v>
      </x:c>
      <x:c r="P1073" s="2" t="n">
        <x:f>MAX(0,ROUND('기준스탯 72종'!J50-X1073-AF1073,0))</x:f>
        <x:v>2</x:v>
      </x:c>
      <x:c r="Q1073" s="2" t="n">
        <x:f>MAX(0,ROUND('기준스탯 72종'!K50-Y1073-AG1073,0))</x:f>
        <x:v>1</x:v>
      </x:c>
      <x:c r="R1073" s="15" t="n">
        <x:f>'기준스탯 72종'!D50*G1073</x:f>
        <x:v>3.9199999999999995</x:v>
      </x:c>
      <x:c r="S1073" s="15" t="n">
        <x:f>'기준스탯 72종'!E50*G1073</x:f>
        <x:v>3.9199999999999995</x:v>
      </x:c>
      <x:c r="T1073" s="15" t="n">
        <x:f>'기준스탯 72종'!F50*G1073</x:f>
        <x:v>5.039999999999999</x:v>
      </x:c>
      <x:c r="U1073" s="15" t="n">
        <x:f>'기준스탯 72종'!G50*G1073</x:f>
        <x:v>3.9199999999999995</x:v>
      </x:c>
      <x:c r="V1073" s="15" t="n">
        <x:f>'기준스탯 72종'!H50*G1073</x:f>
        <x:v>1.1199999999999999</x:v>
      </x:c>
      <x:c r="W1073" s="15" t="n">
        <x:f>'기준스탯 72종'!I50*G1073</x:f>
        <x:v>2.8</x:v>
      </x:c>
      <x:c r="X1073" s="15" t="n">
        <x:f>'기준스탯 72종'!J50*G1073</x:f>
        <x:v>3.3599999999999994</x:v>
      </x:c>
      <x:c r="Y1073" s="15" t="n">
        <x:f>'기준스탯 72종'!K50*G1073</x:f>
        <x:v>1.6799999999999997</x:v>
      </x:c>
      <x:c r="Z1073" s="15" t="n">
        <x:f>'기준스탯 72종'!D50*H1073</x:f>
        <x:v>0.4200000000000001</x:v>
      </x:c>
      <x:c r="AA1073" s="15" t="n">
        <x:f>'기준스탯 72종'!E50*H1073</x:f>
        <x:v>0.4200000000000001</x:v>
      </x:c>
      <x:c r="AB1073" s="15" t="n">
        <x:f>'기준스탯 72종'!F50*H1073</x:f>
        <x:v>0.5400000000000001</x:v>
      </x:c>
      <x:c r="AC1073" s="15" t="n">
        <x:f>'기준스탯 72종'!G50*H1073</x:f>
        <x:v>0.4200000000000001</x:v>
      </x:c>
      <x:c r="AD1073" s="15" t="n">
        <x:f>'기준스탯 72종'!H50*H1073</x:f>
        <x:v>0.12000000000000002</x:v>
      </x:c>
      <x:c r="AE1073" s="15" t="n">
        <x:f>'기준스탯 72종'!I50*H1073</x:f>
        <x:v>0.30000000000000004</x:v>
      </x:c>
      <x:c r="AF1073" s="15" t="n">
        <x:f>'기준스탯 72종'!J50*H1073</x:f>
        <x:v>0.3600000000000001</x:v>
      </x:c>
      <x:c r="AG1073" s="15" t="n">
        <x:f>'기준스탯 72종'!K50*H1073</x:f>
        <x:v>0.18000000000000005</x:v>
      </x:c>
    </x:row>
    <x:row r="1074" ht="28" customHeight="1">
      <x:c r="A1074" s="2" t="n">
        <x:v>1067</x:v>
      </x:c>
      <x:c r="B1074" s="2" t="n">
        <x:v>43</x:v>
      </x:c>
      <x:c r="C1074" s="2" t="str">
        <x:v>전갈자리</x:v>
      </x:c>
      <x:c r="D1074" s="2" t="str">
        <x:v>기사</x:v>
      </x:c>
      <x:c r="E1074" s="2" t="n">
        <x:v>2</x:v>
      </x:c>
      <x:c r="F1074" s="2" t="n">
        <x:v>4</x:v>
      </x:c>
      <x:c r="G1074" s="14" t="n">
        <x:f>('레벨 계산식'!$E$4-E1074)*'레벨 계산식'!$B$5</x:f>
        <x:v>0.41999999999999993</x:v>
      </x:c>
      <x:c r="H1074" s="14" t="n">
        <x:f>('등급 계산식'!$E$4-F1074)*'등급 계산식'!$B$5</x:f>
        <x:v>0.06000000000000001</x:v>
      </x:c>
      <x:c r="I1074" s="14" t="n">
        <x:f>1-G1074-H1074</x:f>
        <x:v>0.52</x:v>
      </x:c>
      <x:c r="J1074" s="2" t="n">
        <x:f>MAX(1,ROUND('기준스탯 72종'!D50-R1074-Z1074,0))</x:f>
        <x:v>4</x:v>
      </x:c>
      <x:c r="K1074" s="2" t="n">
        <x:f>MAX(1,ROUND('기준스탯 72종'!E50-S1074-AA1074,0))</x:f>
        <x:v>4</x:v>
      </x:c>
      <x:c r="L1074" s="2" t="n">
        <x:f>MAX(1,ROUND('기준스탯 72종'!F50-T1074-AB1074,0))</x:f>
        <x:v>5</x:v>
      </x:c>
      <x:c r="M1074" s="2" t="n">
        <x:f>MAX(1,ROUND('기준스탯 72종'!G50-U1074-AC1074,0))</x:f>
        <x:v>4</x:v>
      </x:c>
      <x:c r="N1074" s="2" t="n">
        <x:f>MAX(0,ROUND('기준스탯 72종'!H50-V1074-AD1074,0))</x:f>
        <x:v>1</x:v>
      </x:c>
      <x:c r="O1074" s="2" t="n">
        <x:f>MAX(0,ROUND('기준스탯 72종'!I50-W1074-AE1074,0))</x:f>
        <x:v>3</x:v>
      </x:c>
      <x:c r="P1074" s="2" t="n">
        <x:f>MAX(0,ROUND('기준스탯 72종'!J50-X1074-AF1074,0))</x:f>
        <x:v>3</x:v>
      </x:c>
      <x:c r="Q1074" s="2" t="n">
        <x:f>MAX(0,ROUND('기준스탯 72종'!K50-Y1074-AG1074,0))</x:f>
        <x:v>2</x:v>
      </x:c>
      <x:c r="R1074" s="15" t="n">
        <x:f>'기준스탯 72종'!D50*G1074</x:f>
        <x:v>2.9399999999999995</x:v>
      </x:c>
      <x:c r="S1074" s="15" t="n">
        <x:f>'기준스탯 72종'!E50*G1074</x:f>
        <x:v>2.9399999999999995</x:v>
      </x:c>
      <x:c r="T1074" s="15" t="n">
        <x:f>'기준스탯 72종'!F50*G1074</x:f>
        <x:v>3.7799999999999994</x:v>
      </x:c>
      <x:c r="U1074" s="15" t="n">
        <x:f>'기준스탯 72종'!G50*G1074</x:f>
        <x:v>2.9399999999999995</x:v>
      </x:c>
      <x:c r="V1074" s="15" t="n">
        <x:f>'기준스탯 72종'!H50*G1074</x:f>
        <x:v>0.8399999999999999</x:v>
      </x:c>
      <x:c r="W1074" s="15" t="n">
        <x:f>'기준스탯 72종'!I50*G1074</x:f>
        <x:v>2.0999999999999996</x:v>
      </x:c>
      <x:c r="X1074" s="15" t="n">
        <x:f>'기준스탯 72종'!J50*G1074</x:f>
        <x:v>2.5199999999999996</x:v>
      </x:c>
      <x:c r="Y1074" s="15" t="n">
        <x:f>'기준스탯 72종'!K50*G1074</x:f>
        <x:v>1.2599999999999998</x:v>
      </x:c>
      <x:c r="Z1074" s="15" t="n">
        <x:f>'기준스탯 72종'!D50*H1074</x:f>
        <x:v>0.4200000000000001</x:v>
      </x:c>
      <x:c r="AA1074" s="15" t="n">
        <x:f>'기준스탯 72종'!E50*H1074</x:f>
        <x:v>0.4200000000000001</x:v>
      </x:c>
      <x:c r="AB1074" s="15" t="n">
        <x:f>'기준스탯 72종'!F50*H1074</x:f>
        <x:v>0.5400000000000001</x:v>
      </x:c>
      <x:c r="AC1074" s="15" t="n">
        <x:f>'기준스탯 72종'!G50*H1074</x:f>
        <x:v>0.4200000000000001</x:v>
      </x:c>
      <x:c r="AD1074" s="15" t="n">
        <x:f>'기준스탯 72종'!H50*H1074</x:f>
        <x:v>0.12000000000000002</x:v>
      </x:c>
      <x:c r="AE1074" s="15" t="n">
        <x:f>'기준스탯 72종'!I50*H1074</x:f>
        <x:v>0.30000000000000004</x:v>
      </x:c>
      <x:c r="AF1074" s="15" t="n">
        <x:f>'기준스탯 72종'!J50*H1074</x:f>
        <x:v>0.3600000000000001</x:v>
      </x:c>
      <x:c r="AG1074" s="15" t="n">
        <x:f>'기준스탯 72종'!K50*H1074</x:f>
        <x:v>0.18000000000000005</x:v>
      </x:c>
    </x:row>
    <x:row r="1075" ht="28" customHeight="1">
      <x:c r="A1075" s="2" t="n">
        <x:v>1068</x:v>
      </x:c>
      <x:c r="B1075" s="2" t="n">
        <x:v>43</x:v>
      </x:c>
      <x:c r="C1075" s="2" t="str">
        <x:v>전갈자리</x:v>
      </x:c>
      <x:c r="D1075" s="2" t="str">
        <x:v>기사</x:v>
      </x:c>
      <x:c r="E1075" s="2" t="n">
        <x:v>3</x:v>
      </x:c>
      <x:c r="F1075" s="2" t="n">
        <x:v>4</x:v>
      </x:c>
      <x:c r="G1075" s="14" t="n">
        <x:f>('레벨 계산식'!$E$4-E1075)*'레벨 계산식'!$B$5</x:f>
        <x:v>0.27999999999999997</x:v>
      </x:c>
      <x:c r="H1075" s="14" t="n">
        <x:f>('등급 계산식'!$E$4-F1075)*'등급 계산식'!$B$5</x:f>
        <x:v>0.06000000000000001</x:v>
      </x:c>
      <x:c r="I1075" s="14" t="n">
        <x:f>1-G1075-H1075</x:f>
        <x:v>0.6599999999999999</x:v>
      </x:c>
      <x:c r="J1075" s="2" t="n">
        <x:f>MAX(1,ROUND('기준스탯 72종'!D50-R1075-Z1075,0))</x:f>
        <x:v>5</x:v>
      </x:c>
      <x:c r="K1075" s="2" t="n">
        <x:f>MAX(1,ROUND('기준스탯 72종'!E50-S1075-AA1075,0))</x:f>
        <x:v>5</x:v>
      </x:c>
      <x:c r="L1075" s="2" t="n">
        <x:f>MAX(1,ROUND('기준스탯 72종'!F50-T1075-AB1075,0))</x:f>
        <x:v>6</x:v>
      </x:c>
      <x:c r="M1075" s="2" t="n">
        <x:f>MAX(1,ROUND('기준스탯 72종'!G50-U1075-AC1075,0))</x:f>
        <x:v>5</x:v>
      </x:c>
      <x:c r="N1075" s="2" t="n">
        <x:f>MAX(0,ROUND('기준스탯 72종'!H50-V1075-AD1075,0))</x:f>
        <x:v>1</x:v>
      </x:c>
      <x:c r="O1075" s="2" t="n">
        <x:f>MAX(0,ROUND('기준스탯 72종'!I50-W1075-AE1075,0))</x:f>
        <x:v>3</x:v>
      </x:c>
      <x:c r="P1075" s="2" t="n">
        <x:f>MAX(0,ROUND('기준스탯 72종'!J50-X1075-AF1075,0))</x:f>
        <x:v>4</x:v>
      </x:c>
      <x:c r="Q1075" s="2" t="n">
        <x:f>MAX(0,ROUND('기준스탯 72종'!K50-Y1075-AG1075,0))</x:f>
        <x:v>2</x:v>
      </x:c>
      <x:c r="R1075" s="15" t="n">
        <x:f>'기준스탯 72종'!D50*G1075</x:f>
        <x:v>1.9599999999999997</x:v>
      </x:c>
      <x:c r="S1075" s="15" t="n">
        <x:f>'기준스탯 72종'!E50*G1075</x:f>
        <x:v>1.9599999999999997</x:v>
      </x:c>
      <x:c r="T1075" s="15" t="n">
        <x:f>'기준스탯 72종'!F50*G1075</x:f>
        <x:v>2.5199999999999996</x:v>
      </x:c>
      <x:c r="U1075" s="15" t="n">
        <x:f>'기준스탯 72종'!G50*G1075</x:f>
        <x:v>1.9599999999999997</x:v>
      </x:c>
      <x:c r="V1075" s="15" t="n">
        <x:f>'기준스탯 72종'!H50*G1075</x:f>
        <x:v>0.5599999999999999</x:v>
      </x:c>
      <x:c r="W1075" s="15" t="n">
        <x:f>'기준스탯 72종'!I50*G1075</x:f>
        <x:v>1.4</x:v>
      </x:c>
      <x:c r="X1075" s="15" t="n">
        <x:f>'기준스탯 72종'!J50*G1075</x:f>
        <x:v>1.6799999999999997</x:v>
      </x:c>
      <x:c r="Y1075" s="15" t="n">
        <x:f>'기준스탯 72종'!K50*G1075</x:f>
        <x:v>0.8399999999999999</x:v>
      </x:c>
      <x:c r="Z1075" s="15" t="n">
        <x:f>'기준스탯 72종'!D50*H1075</x:f>
        <x:v>0.4200000000000001</x:v>
      </x:c>
      <x:c r="AA1075" s="15" t="n">
        <x:f>'기준스탯 72종'!E50*H1075</x:f>
        <x:v>0.4200000000000001</x:v>
      </x:c>
      <x:c r="AB1075" s="15" t="n">
        <x:f>'기준스탯 72종'!F50*H1075</x:f>
        <x:v>0.5400000000000001</x:v>
      </x:c>
      <x:c r="AC1075" s="15" t="n">
        <x:f>'기준스탯 72종'!G50*H1075</x:f>
        <x:v>0.4200000000000001</x:v>
      </x:c>
      <x:c r="AD1075" s="15" t="n">
        <x:f>'기준스탯 72종'!H50*H1075</x:f>
        <x:v>0.12000000000000002</x:v>
      </x:c>
      <x:c r="AE1075" s="15" t="n">
        <x:f>'기준스탯 72종'!I50*H1075</x:f>
        <x:v>0.30000000000000004</x:v>
      </x:c>
      <x:c r="AF1075" s="15" t="n">
        <x:f>'기준스탯 72종'!J50*H1075</x:f>
        <x:v>0.3600000000000001</x:v>
      </x:c>
      <x:c r="AG1075" s="15" t="n">
        <x:f>'기준스탯 72종'!K50*H1075</x:f>
        <x:v>0.18000000000000005</x:v>
      </x:c>
    </x:row>
    <x:row r="1076" ht="28" customHeight="1">
      <x:c r="A1076" s="2" t="n">
        <x:v>1069</x:v>
      </x:c>
      <x:c r="B1076" s="2" t="n">
        <x:v>43</x:v>
      </x:c>
      <x:c r="C1076" s="2" t="str">
        <x:v>전갈자리</x:v>
      </x:c>
      <x:c r="D1076" s="2" t="str">
        <x:v>기사</x:v>
      </x:c>
      <x:c r="E1076" s="2" t="n">
        <x:v>4</x:v>
      </x:c>
      <x:c r="F1076" s="2" t="n">
        <x:v>4</x:v>
      </x:c>
      <x:c r="G1076" s="14" t="n">
        <x:f>('레벨 계산식'!$E$4-E1076)*'레벨 계산식'!$B$5</x:f>
        <x:v>0.13999999999999999</x:v>
      </x:c>
      <x:c r="H1076" s="14" t="n">
        <x:f>('등급 계산식'!$E$4-F1076)*'등급 계산식'!$B$5</x:f>
        <x:v>0.06000000000000001</x:v>
      </x:c>
      <x:c r="I1076" s="14" t="n">
        <x:f>1-G1076-H1076</x:f>
        <x:v>0.7999999999999999</x:v>
      </x:c>
      <x:c r="J1076" s="2" t="n">
        <x:f>MAX(1,ROUND('기준스탯 72종'!D50-R1076-Z1076,0))</x:f>
        <x:v>6</x:v>
      </x:c>
      <x:c r="K1076" s="2" t="n">
        <x:f>MAX(1,ROUND('기준스탯 72종'!E50-S1076-AA1076,0))</x:f>
        <x:v>6</x:v>
      </x:c>
      <x:c r="L1076" s="2" t="n">
        <x:f>MAX(1,ROUND('기준스탯 72종'!F50-T1076-AB1076,0))</x:f>
        <x:v>7</x:v>
      </x:c>
      <x:c r="M1076" s="2" t="n">
        <x:f>MAX(1,ROUND('기준스탯 72종'!G50-U1076-AC1076,0))</x:f>
        <x:v>6</x:v>
      </x:c>
      <x:c r="N1076" s="2" t="n">
        <x:f>MAX(0,ROUND('기준스탯 72종'!H50-V1076-AD1076,0))</x:f>
        <x:v>2</x:v>
      </x:c>
      <x:c r="O1076" s="2" t="n">
        <x:f>MAX(0,ROUND('기준스탯 72종'!I50-W1076-AE1076,0))</x:f>
        <x:v>4</x:v>
      </x:c>
      <x:c r="P1076" s="2" t="n">
        <x:f>MAX(0,ROUND('기준스탯 72종'!J50-X1076-AF1076,0))</x:f>
        <x:v>5</x:v>
      </x:c>
      <x:c r="Q1076" s="2" t="n">
        <x:f>MAX(0,ROUND('기준스탯 72종'!K50-Y1076-AG1076,0))</x:f>
        <x:v>2</x:v>
      </x:c>
      <x:c r="R1076" s="15" t="n">
        <x:f>'기준스탯 72종'!D50*G1076</x:f>
        <x:v>0.9799999999999999</x:v>
      </x:c>
      <x:c r="S1076" s="15" t="n">
        <x:f>'기준스탯 72종'!E50*G1076</x:f>
        <x:v>0.9799999999999999</x:v>
      </x:c>
      <x:c r="T1076" s="15" t="n">
        <x:f>'기준스탯 72종'!F50*G1076</x:f>
        <x:v>1.2599999999999998</x:v>
      </x:c>
      <x:c r="U1076" s="15" t="n">
        <x:f>'기준스탯 72종'!G50*G1076</x:f>
        <x:v>0.9799999999999999</x:v>
      </x:c>
      <x:c r="V1076" s="15" t="n">
        <x:f>'기준스탯 72종'!H50*G1076</x:f>
        <x:v>0.27999999999999997</x:v>
      </x:c>
      <x:c r="W1076" s="15" t="n">
        <x:f>'기준스탯 72종'!I50*G1076</x:f>
        <x:v>0.7</x:v>
      </x:c>
      <x:c r="X1076" s="15" t="n">
        <x:f>'기준스탯 72종'!J50*G1076</x:f>
        <x:v>0.8399999999999999</x:v>
      </x:c>
      <x:c r="Y1076" s="15" t="n">
        <x:f>'기준스탯 72종'!K50*G1076</x:f>
        <x:v>0.41999999999999993</x:v>
      </x:c>
      <x:c r="Z1076" s="15" t="n">
        <x:f>'기준스탯 72종'!D50*H1076</x:f>
        <x:v>0.4200000000000001</x:v>
      </x:c>
      <x:c r="AA1076" s="15" t="n">
        <x:f>'기준스탯 72종'!E50*H1076</x:f>
        <x:v>0.4200000000000001</x:v>
      </x:c>
      <x:c r="AB1076" s="15" t="n">
        <x:f>'기준스탯 72종'!F50*H1076</x:f>
        <x:v>0.5400000000000001</x:v>
      </x:c>
      <x:c r="AC1076" s="15" t="n">
        <x:f>'기준스탯 72종'!G50*H1076</x:f>
        <x:v>0.4200000000000001</x:v>
      </x:c>
      <x:c r="AD1076" s="15" t="n">
        <x:f>'기준스탯 72종'!H50*H1076</x:f>
        <x:v>0.12000000000000002</x:v>
      </x:c>
      <x:c r="AE1076" s="15" t="n">
        <x:f>'기준스탯 72종'!I50*H1076</x:f>
        <x:v>0.30000000000000004</x:v>
      </x:c>
      <x:c r="AF1076" s="15" t="n">
        <x:f>'기준스탯 72종'!J50*H1076</x:f>
        <x:v>0.3600000000000001</x:v>
      </x:c>
      <x:c r="AG1076" s="15" t="n">
        <x:f>'기준스탯 72종'!K50*H1076</x:f>
        <x:v>0.18000000000000005</x:v>
      </x:c>
    </x:row>
    <x:row r="1077" ht="28" customHeight="1">
      <x:c r="A1077" s="2" t="n">
        <x:v>1070</x:v>
      </x:c>
      <x:c r="B1077" s="2" t="n">
        <x:v>43</x:v>
      </x:c>
      <x:c r="C1077" s="2" t="str">
        <x:v>전갈자리</x:v>
      </x:c>
      <x:c r="D1077" s="2" t="str">
        <x:v>기사</x:v>
      </x:c>
      <x:c r="E1077" s="2" t="n">
        <x:v>5</x:v>
      </x:c>
      <x:c r="F1077" s="2" t="n">
        <x:v>4</x:v>
      </x:c>
      <x:c r="G1077" s="14" t="n">
        <x:f>('레벨 계산식'!$E$4-E1077)*'레벨 계산식'!$B$5</x:f>
        <x:v>0</x:v>
      </x:c>
      <x:c r="H1077" s="14" t="n">
        <x:f>('등급 계산식'!$E$4-F1077)*'등급 계산식'!$B$5</x:f>
        <x:v>0.06000000000000001</x:v>
      </x:c>
      <x:c r="I1077" s="14" t="n">
        <x:f>1-G1077-H1077</x:f>
        <x:v>0.94</x:v>
      </x:c>
      <x:c r="J1077" s="2" t="n">
        <x:f>MAX(1,ROUND('기준스탯 72종'!D50-R1077-Z1077,0))</x:f>
        <x:v>7</x:v>
      </x:c>
      <x:c r="K1077" s="2" t="n">
        <x:f>MAX(1,ROUND('기준스탯 72종'!E50-S1077-AA1077,0))</x:f>
        <x:v>7</x:v>
      </x:c>
      <x:c r="L1077" s="2" t="n">
        <x:f>MAX(1,ROUND('기준스탯 72종'!F50-T1077-AB1077,0))</x:f>
        <x:v>8</x:v>
      </x:c>
      <x:c r="M1077" s="2" t="n">
        <x:f>MAX(1,ROUND('기준스탯 72종'!G50-U1077-AC1077,0))</x:f>
        <x:v>7</x:v>
      </x:c>
      <x:c r="N1077" s="2" t="n">
        <x:f>MAX(0,ROUND('기준스탯 72종'!H50-V1077-AD1077,0))</x:f>
        <x:v>2</x:v>
      </x:c>
      <x:c r="O1077" s="2" t="n">
        <x:f>MAX(0,ROUND('기준스탯 72종'!I50-W1077-AE1077,0))</x:f>
        <x:v>5</x:v>
      </x:c>
      <x:c r="P1077" s="2" t="n">
        <x:f>MAX(0,ROUND('기준스탯 72종'!J50-X1077-AF1077,0))</x:f>
        <x:v>6</x:v>
      </x:c>
      <x:c r="Q1077" s="2" t="n">
        <x:f>MAX(0,ROUND('기준스탯 72종'!K50-Y1077-AG1077,0))</x:f>
        <x:v>3</x:v>
      </x:c>
      <x:c r="R1077" s="15" t="n">
        <x:f>'기준스탯 72종'!D50*G1077</x:f>
        <x:v>0</x:v>
      </x:c>
      <x:c r="S1077" s="15" t="n">
        <x:f>'기준스탯 72종'!E50*G1077</x:f>
        <x:v>0</x:v>
      </x:c>
      <x:c r="T1077" s="15" t="n">
        <x:f>'기준스탯 72종'!F50*G1077</x:f>
        <x:v>0</x:v>
      </x:c>
      <x:c r="U1077" s="15" t="n">
        <x:f>'기준스탯 72종'!G50*G1077</x:f>
        <x:v>0</x:v>
      </x:c>
      <x:c r="V1077" s="15" t="n">
        <x:f>'기준스탯 72종'!H50*G1077</x:f>
        <x:v>0</x:v>
      </x:c>
      <x:c r="W1077" s="15" t="n">
        <x:f>'기준스탯 72종'!I50*G1077</x:f>
        <x:v>0</x:v>
      </x:c>
      <x:c r="X1077" s="15" t="n">
        <x:f>'기준스탯 72종'!J50*G1077</x:f>
        <x:v>0</x:v>
      </x:c>
      <x:c r="Y1077" s="15" t="n">
        <x:f>'기준스탯 72종'!K50*G1077</x:f>
        <x:v>0</x:v>
      </x:c>
      <x:c r="Z1077" s="15" t="n">
        <x:f>'기준스탯 72종'!D50*H1077</x:f>
        <x:v>0.4200000000000001</x:v>
      </x:c>
      <x:c r="AA1077" s="15" t="n">
        <x:f>'기준스탯 72종'!E50*H1077</x:f>
        <x:v>0.4200000000000001</x:v>
      </x:c>
      <x:c r="AB1077" s="15" t="n">
        <x:f>'기준스탯 72종'!F50*H1077</x:f>
        <x:v>0.5400000000000001</x:v>
      </x:c>
      <x:c r="AC1077" s="15" t="n">
        <x:f>'기준스탯 72종'!G50*H1077</x:f>
        <x:v>0.4200000000000001</x:v>
      </x:c>
      <x:c r="AD1077" s="15" t="n">
        <x:f>'기준스탯 72종'!H50*H1077</x:f>
        <x:v>0.12000000000000002</x:v>
      </x:c>
      <x:c r="AE1077" s="15" t="n">
        <x:f>'기준스탯 72종'!I50*H1077</x:f>
        <x:v>0.30000000000000004</x:v>
      </x:c>
      <x:c r="AF1077" s="15" t="n">
        <x:f>'기준스탯 72종'!J50*H1077</x:f>
        <x:v>0.3600000000000001</x:v>
      </x:c>
      <x:c r="AG1077" s="15" t="n">
        <x:f>'기준스탯 72종'!K50*H1077</x:f>
        <x:v>0.18000000000000005</x:v>
      </x:c>
    </x:row>
    <x:row r="1078" ht="28" customHeight="1">
      <x:c r="A1078" s="2" t="n">
        <x:v>1071</x:v>
      </x:c>
      <x:c r="B1078" s="2" t="n">
        <x:v>43</x:v>
      </x:c>
      <x:c r="C1078" s="2" t="str">
        <x:v>전갈자리</x:v>
      </x:c>
      <x:c r="D1078" s="2" t="str">
        <x:v>기사</x:v>
      </x:c>
      <x:c r="E1078" s="2" t="n">
        <x:v>1</x:v>
      </x:c>
      <x:c r="F1078" s="2" t="n">
        <x:v>5</x:v>
      </x:c>
      <x:c r="G1078" s="14" t="n">
        <x:f>('레벨 계산식'!$E$4-E1078)*'레벨 계산식'!$B$5</x:f>
        <x:v>0.5599999999999999</x:v>
      </x:c>
      <x:c r="H1078" s="14" t="n">
        <x:f>('등급 계산식'!$E$4-F1078)*'등급 계산식'!$B$5</x:f>
        <x:v>0</x:v>
      </x:c>
      <x:c r="I1078" s="14" t="n">
        <x:f>1-G1078-H1078</x:f>
        <x:v>0.44000000000000006</x:v>
      </x:c>
      <x:c r="J1078" s="2" t="n">
        <x:f>MAX(1,ROUND('기준스탯 72종'!D50-R1078-Z1078,0))</x:f>
        <x:v>3</x:v>
      </x:c>
      <x:c r="K1078" s="2" t="n">
        <x:f>MAX(1,ROUND('기준스탯 72종'!E50-S1078-AA1078,0))</x:f>
        <x:v>3</x:v>
      </x:c>
      <x:c r="L1078" s="2" t="n">
        <x:f>MAX(1,ROUND('기준스탯 72종'!F50-T1078-AB1078,0))</x:f>
        <x:v>4</x:v>
      </x:c>
      <x:c r="M1078" s="2" t="n">
        <x:f>MAX(1,ROUND('기준스탯 72종'!G50-U1078-AC1078,0))</x:f>
        <x:v>3</x:v>
      </x:c>
      <x:c r="N1078" s="2" t="n">
        <x:f>MAX(0,ROUND('기준스탯 72종'!H50-V1078-AD1078,0))</x:f>
        <x:v>1</x:v>
      </x:c>
      <x:c r="O1078" s="2" t="n">
        <x:f>MAX(0,ROUND('기준스탯 72종'!I50-W1078-AE1078,0))</x:f>
        <x:v>2</x:v>
      </x:c>
      <x:c r="P1078" s="2" t="n">
        <x:f>MAX(0,ROUND('기준스탯 72종'!J50-X1078-AF1078,0))</x:f>
        <x:v>3</x:v>
      </x:c>
      <x:c r="Q1078" s="2" t="n">
        <x:f>MAX(0,ROUND('기준스탯 72종'!K50-Y1078-AG1078,0))</x:f>
        <x:v>1</x:v>
      </x:c>
      <x:c r="R1078" s="15" t="n">
        <x:f>'기준스탯 72종'!D50*G1078</x:f>
        <x:v>3.9199999999999995</x:v>
      </x:c>
      <x:c r="S1078" s="15" t="n">
        <x:f>'기준스탯 72종'!E50*G1078</x:f>
        <x:v>3.9199999999999995</x:v>
      </x:c>
      <x:c r="T1078" s="15" t="n">
        <x:f>'기준스탯 72종'!F50*G1078</x:f>
        <x:v>5.039999999999999</x:v>
      </x:c>
      <x:c r="U1078" s="15" t="n">
        <x:f>'기준스탯 72종'!G50*G1078</x:f>
        <x:v>3.9199999999999995</x:v>
      </x:c>
      <x:c r="V1078" s="15" t="n">
        <x:f>'기준스탯 72종'!H50*G1078</x:f>
        <x:v>1.1199999999999999</x:v>
      </x:c>
      <x:c r="W1078" s="15" t="n">
        <x:f>'기준스탯 72종'!I50*G1078</x:f>
        <x:v>2.8</x:v>
      </x:c>
      <x:c r="X1078" s="15" t="n">
        <x:f>'기준스탯 72종'!J50*G1078</x:f>
        <x:v>3.3599999999999994</x:v>
      </x:c>
      <x:c r="Y1078" s="15" t="n">
        <x:f>'기준스탯 72종'!K50*G1078</x:f>
        <x:v>1.6799999999999997</x:v>
      </x:c>
      <x:c r="Z1078" s="15" t="n">
        <x:f>'기준스탯 72종'!D50*H1078</x:f>
        <x:v>0</x:v>
      </x:c>
      <x:c r="AA1078" s="15" t="n">
        <x:f>'기준스탯 72종'!E50*H1078</x:f>
        <x:v>0</x:v>
      </x:c>
      <x:c r="AB1078" s="15" t="n">
        <x:f>'기준스탯 72종'!F50*H1078</x:f>
        <x:v>0</x:v>
      </x:c>
      <x:c r="AC1078" s="15" t="n">
        <x:f>'기준스탯 72종'!G50*H1078</x:f>
        <x:v>0</x:v>
      </x:c>
      <x:c r="AD1078" s="15" t="n">
        <x:f>'기준스탯 72종'!H50*H1078</x:f>
        <x:v>0</x:v>
      </x:c>
      <x:c r="AE1078" s="15" t="n">
        <x:f>'기준스탯 72종'!I50*H1078</x:f>
        <x:v>0</x:v>
      </x:c>
      <x:c r="AF1078" s="15" t="n">
        <x:f>'기준스탯 72종'!J50*H1078</x:f>
        <x:v>0</x:v>
      </x:c>
      <x:c r="AG1078" s="15" t="n">
        <x:f>'기준스탯 72종'!K50*H1078</x:f>
        <x:v>0</x:v>
      </x:c>
    </x:row>
    <x:row r="1079" ht="28" customHeight="1">
      <x:c r="A1079" s="2" t="n">
        <x:v>1072</x:v>
      </x:c>
      <x:c r="B1079" s="2" t="n">
        <x:v>43</x:v>
      </x:c>
      <x:c r="C1079" s="2" t="str">
        <x:v>전갈자리</x:v>
      </x:c>
      <x:c r="D1079" s="2" t="str">
        <x:v>기사</x:v>
      </x:c>
      <x:c r="E1079" s="2" t="n">
        <x:v>2</x:v>
      </x:c>
      <x:c r="F1079" s="2" t="n">
        <x:v>5</x:v>
      </x:c>
      <x:c r="G1079" s="14" t="n">
        <x:f>('레벨 계산식'!$E$4-E1079)*'레벨 계산식'!$B$5</x:f>
        <x:v>0.41999999999999993</x:v>
      </x:c>
      <x:c r="H1079" s="14" t="n">
        <x:f>('등급 계산식'!$E$4-F1079)*'등급 계산식'!$B$5</x:f>
        <x:v>0</x:v>
      </x:c>
      <x:c r="I1079" s="14" t="n">
        <x:f>1-G1079-H1079</x:f>
        <x:v>0.5800000000000001</x:v>
      </x:c>
      <x:c r="J1079" s="2" t="n">
        <x:f>MAX(1,ROUND('기준스탯 72종'!D50-R1079-Z1079,0))</x:f>
        <x:v>4</x:v>
      </x:c>
      <x:c r="K1079" s="2" t="n">
        <x:f>MAX(1,ROUND('기준스탯 72종'!E50-S1079-AA1079,0))</x:f>
        <x:v>4</x:v>
      </x:c>
      <x:c r="L1079" s="2" t="n">
        <x:f>MAX(1,ROUND('기준스탯 72종'!F50-T1079-AB1079,0))</x:f>
        <x:v>5</x:v>
      </x:c>
      <x:c r="M1079" s="2" t="n">
        <x:f>MAX(1,ROUND('기준스탯 72종'!G50-U1079-AC1079,0))</x:f>
        <x:v>4</x:v>
      </x:c>
      <x:c r="N1079" s="2" t="n">
        <x:f>MAX(0,ROUND('기준스탯 72종'!H50-V1079-AD1079,0))</x:f>
        <x:v>1</x:v>
      </x:c>
      <x:c r="O1079" s="2" t="n">
        <x:f>MAX(0,ROUND('기준스탯 72종'!I50-W1079-AE1079,0))</x:f>
        <x:v>3</x:v>
      </x:c>
      <x:c r="P1079" s="2" t="n">
        <x:f>MAX(0,ROUND('기준스탯 72종'!J50-X1079-AF1079,0))</x:f>
        <x:v>3</x:v>
      </x:c>
      <x:c r="Q1079" s="2" t="n">
        <x:f>MAX(0,ROUND('기준스탯 72종'!K50-Y1079-AG1079,0))</x:f>
        <x:v>2</x:v>
      </x:c>
      <x:c r="R1079" s="15" t="n">
        <x:f>'기준스탯 72종'!D50*G1079</x:f>
        <x:v>2.9399999999999995</x:v>
      </x:c>
      <x:c r="S1079" s="15" t="n">
        <x:f>'기준스탯 72종'!E50*G1079</x:f>
        <x:v>2.9399999999999995</x:v>
      </x:c>
      <x:c r="T1079" s="15" t="n">
        <x:f>'기준스탯 72종'!F50*G1079</x:f>
        <x:v>3.7799999999999994</x:v>
      </x:c>
      <x:c r="U1079" s="15" t="n">
        <x:f>'기준스탯 72종'!G50*G1079</x:f>
        <x:v>2.9399999999999995</x:v>
      </x:c>
      <x:c r="V1079" s="15" t="n">
        <x:f>'기준스탯 72종'!H50*G1079</x:f>
        <x:v>0.8399999999999999</x:v>
      </x:c>
      <x:c r="W1079" s="15" t="n">
        <x:f>'기준스탯 72종'!I50*G1079</x:f>
        <x:v>2.0999999999999996</x:v>
      </x:c>
      <x:c r="X1079" s="15" t="n">
        <x:f>'기준스탯 72종'!J50*G1079</x:f>
        <x:v>2.5199999999999996</x:v>
      </x:c>
      <x:c r="Y1079" s="15" t="n">
        <x:f>'기준스탯 72종'!K50*G1079</x:f>
        <x:v>1.2599999999999998</x:v>
      </x:c>
      <x:c r="Z1079" s="15" t="n">
        <x:f>'기준스탯 72종'!D50*H1079</x:f>
        <x:v>0</x:v>
      </x:c>
      <x:c r="AA1079" s="15" t="n">
        <x:f>'기준스탯 72종'!E50*H1079</x:f>
        <x:v>0</x:v>
      </x:c>
      <x:c r="AB1079" s="15" t="n">
        <x:f>'기준스탯 72종'!F50*H1079</x:f>
        <x:v>0</x:v>
      </x:c>
      <x:c r="AC1079" s="15" t="n">
        <x:f>'기준스탯 72종'!G50*H1079</x:f>
        <x:v>0</x:v>
      </x:c>
      <x:c r="AD1079" s="15" t="n">
        <x:f>'기준스탯 72종'!H50*H1079</x:f>
        <x:v>0</x:v>
      </x:c>
      <x:c r="AE1079" s="15" t="n">
        <x:f>'기준스탯 72종'!I50*H1079</x:f>
        <x:v>0</x:v>
      </x:c>
      <x:c r="AF1079" s="15" t="n">
        <x:f>'기준스탯 72종'!J50*H1079</x:f>
        <x:v>0</x:v>
      </x:c>
      <x:c r="AG1079" s="15" t="n">
        <x:f>'기준스탯 72종'!K50*H1079</x:f>
        <x:v>0</x:v>
      </x:c>
    </x:row>
    <x:row r="1080" ht="28" customHeight="1">
      <x:c r="A1080" s="2" t="n">
        <x:v>1073</x:v>
      </x:c>
      <x:c r="B1080" s="2" t="n">
        <x:v>43</x:v>
      </x:c>
      <x:c r="C1080" s="2" t="str">
        <x:v>전갈자리</x:v>
      </x:c>
      <x:c r="D1080" s="2" t="str">
        <x:v>기사</x:v>
      </x:c>
      <x:c r="E1080" s="2" t="n">
        <x:v>3</x:v>
      </x:c>
      <x:c r="F1080" s="2" t="n">
        <x:v>5</x:v>
      </x:c>
      <x:c r="G1080" s="14" t="n">
        <x:f>('레벨 계산식'!$E$4-E1080)*'레벨 계산식'!$B$5</x:f>
        <x:v>0.27999999999999997</x:v>
      </x:c>
      <x:c r="H1080" s="14" t="n">
        <x:f>('등급 계산식'!$E$4-F1080)*'등급 계산식'!$B$5</x:f>
        <x:v>0</x:v>
      </x:c>
      <x:c r="I1080" s="14" t="n">
        <x:f>1-G1080-H1080</x:f>
        <x:v>0.72</x:v>
      </x:c>
      <x:c r="J1080" s="2" t="n">
        <x:f>MAX(1,ROUND('기준스탯 72종'!D50-R1080-Z1080,0))</x:f>
        <x:v>5</x:v>
      </x:c>
      <x:c r="K1080" s="2" t="n">
        <x:f>MAX(1,ROUND('기준스탯 72종'!E50-S1080-AA1080,0))</x:f>
        <x:v>5</x:v>
      </x:c>
      <x:c r="L1080" s="2" t="n">
        <x:f>MAX(1,ROUND('기준스탯 72종'!F50-T1080-AB1080,0))</x:f>
        <x:v>6</x:v>
      </x:c>
      <x:c r="M1080" s="2" t="n">
        <x:f>MAX(1,ROUND('기준스탯 72종'!G50-U1080-AC1080,0))</x:f>
        <x:v>5</x:v>
      </x:c>
      <x:c r="N1080" s="2" t="n">
        <x:f>MAX(0,ROUND('기준스탯 72종'!H50-V1080-AD1080,0))</x:f>
        <x:v>1</x:v>
      </x:c>
      <x:c r="O1080" s="2" t="n">
        <x:f>MAX(0,ROUND('기준스탯 72종'!I50-W1080-AE1080,0))</x:f>
        <x:v>4</x:v>
      </x:c>
      <x:c r="P1080" s="2" t="n">
        <x:f>MAX(0,ROUND('기준스탯 72종'!J50-X1080-AF1080,0))</x:f>
        <x:v>4</x:v>
      </x:c>
      <x:c r="Q1080" s="2" t="n">
        <x:f>MAX(0,ROUND('기준스탯 72종'!K50-Y1080-AG1080,0))</x:f>
        <x:v>2</x:v>
      </x:c>
      <x:c r="R1080" s="15" t="n">
        <x:f>'기준스탯 72종'!D50*G1080</x:f>
        <x:v>1.9599999999999997</x:v>
      </x:c>
      <x:c r="S1080" s="15" t="n">
        <x:f>'기준스탯 72종'!E50*G1080</x:f>
        <x:v>1.9599999999999997</x:v>
      </x:c>
      <x:c r="T1080" s="15" t="n">
        <x:f>'기준스탯 72종'!F50*G1080</x:f>
        <x:v>2.5199999999999996</x:v>
      </x:c>
      <x:c r="U1080" s="15" t="n">
        <x:f>'기준스탯 72종'!G50*G1080</x:f>
        <x:v>1.9599999999999997</x:v>
      </x:c>
      <x:c r="V1080" s="15" t="n">
        <x:f>'기준스탯 72종'!H50*G1080</x:f>
        <x:v>0.5599999999999999</x:v>
      </x:c>
      <x:c r="W1080" s="15" t="n">
        <x:f>'기준스탯 72종'!I50*G1080</x:f>
        <x:v>1.4</x:v>
      </x:c>
      <x:c r="X1080" s="15" t="n">
        <x:f>'기준스탯 72종'!J50*G1080</x:f>
        <x:v>1.6799999999999997</x:v>
      </x:c>
      <x:c r="Y1080" s="15" t="n">
        <x:f>'기준스탯 72종'!K50*G1080</x:f>
        <x:v>0.8399999999999999</x:v>
      </x:c>
      <x:c r="Z1080" s="15" t="n">
        <x:f>'기준스탯 72종'!D50*H1080</x:f>
        <x:v>0</x:v>
      </x:c>
      <x:c r="AA1080" s="15" t="n">
        <x:f>'기준스탯 72종'!E50*H1080</x:f>
        <x:v>0</x:v>
      </x:c>
      <x:c r="AB1080" s="15" t="n">
        <x:f>'기준스탯 72종'!F50*H1080</x:f>
        <x:v>0</x:v>
      </x:c>
      <x:c r="AC1080" s="15" t="n">
        <x:f>'기준스탯 72종'!G50*H1080</x:f>
        <x:v>0</x:v>
      </x:c>
      <x:c r="AD1080" s="15" t="n">
        <x:f>'기준스탯 72종'!H50*H1080</x:f>
        <x:v>0</x:v>
      </x:c>
      <x:c r="AE1080" s="15" t="n">
        <x:f>'기준스탯 72종'!I50*H1080</x:f>
        <x:v>0</x:v>
      </x:c>
      <x:c r="AF1080" s="15" t="n">
        <x:f>'기준스탯 72종'!J50*H1080</x:f>
        <x:v>0</x:v>
      </x:c>
      <x:c r="AG1080" s="15" t="n">
        <x:f>'기준스탯 72종'!K50*H1080</x:f>
        <x:v>0</x:v>
      </x:c>
    </x:row>
    <x:row r="1081" ht="28" customHeight="1">
      <x:c r="A1081" s="2" t="n">
        <x:v>1074</x:v>
      </x:c>
      <x:c r="B1081" s="2" t="n">
        <x:v>43</x:v>
      </x:c>
      <x:c r="C1081" s="2" t="str">
        <x:v>전갈자리</x:v>
      </x:c>
      <x:c r="D1081" s="2" t="str">
        <x:v>기사</x:v>
      </x:c>
      <x:c r="E1081" s="2" t="n">
        <x:v>4</x:v>
      </x:c>
      <x:c r="F1081" s="2" t="n">
        <x:v>5</x:v>
      </x:c>
      <x:c r="G1081" s="14" t="n">
        <x:f>('레벨 계산식'!$E$4-E1081)*'레벨 계산식'!$B$5</x:f>
        <x:v>0.13999999999999999</x:v>
      </x:c>
      <x:c r="H1081" s="14" t="n">
        <x:f>('등급 계산식'!$E$4-F1081)*'등급 계산식'!$B$5</x:f>
        <x:v>0</x:v>
      </x:c>
      <x:c r="I1081" s="14" t="n">
        <x:f>1-G1081-H1081</x:f>
        <x:v>0.86</x:v>
      </x:c>
      <x:c r="J1081" s="2" t="n">
        <x:f>MAX(1,ROUND('기준스탯 72종'!D50-R1081-Z1081,0))</x:f>
        <x:v>6</x:v>
      </x:c>
      <x:c r="K1081" s="2" t="n">
        <x:f>MAX(1,ROUND('기준스탯 72종'!E50-S1081-AA1081,0))</x:f>
        <x:v>6</x:v>
      </x:c>
      <x:c r="L1081" s="2" t="n">
        <x:f>MAX(1,ROUND('기준스탯 72종'!F50-T1081-AB1081,0))</x:f>
        <x:v>8</x:v>
      </x:c>
      <x:c r="M1081" s="2" t="n">
        <x:f>MAX(1,ROUND('기준스탯 72종'!G50-U1081-AC1081,0))</x:f>
        <x:v>6</x:v>
      </x:c>
      <x:c r="N1081" s="2" t="n">
        <x:f>MAX(0,ROUND('기준스탯 72종'!H50-V1081-AD1081,0))</x:f>
        <x:v>2</x:v>
      </x:c>
      <x:c r="O1081" s="2" t="n">
        <x:f>MAX(0,ROUND('기준스탯 72종'!I50-W1081-AE1081,0))</x:f>
        <x:v>4</x:v>
      </x:c>
      <x:c r="P1081" s="2" t="n">
        <x:f>MAX(0,ROUND('기준스탯 72종'!J50-X1081-AF1081,0))</x:f>
        <x:v>5</x:v>
      </x:c>
      <x:c r="Q1081" s="2" t="n">
        <x:f>MAX(0,ROUND('기준스탯 72종'!K50-Y1081-AG1081,0))</x:f>
        <x:v>3</x:v>
      </x:c>
      <x:c r="R1081" s="15" t="n">
        <x:f>'기준스탯 72종'!D50*G1081</x:f>
        <x:v>0.9799999999999999</x:v>
      </x:c>
      <x:c r="S1081" s="15" t="n">
        <x:f>'기준스탯 72종'!E50*G1081</x:f>
        <x:v>0.9799999999999999</x:v>
      </x:c>
      <x:c r="T1081" s="15" t="n">
        <x:f>'기준스탯 72종'!F50*G1081</x:f>
        <x:v>1.2599999999999998</x:v>
      </x:c>
      <x:c r="U1081" s="15" t="n">
        <x:f>'기준스탯 72종'!G50*G1081</x:f>
        <x:v>0.9799999999999999</x:v>
      </x:c>
      <x:c r="V1081" s="15" t="n">
        <x:f>'기준스탯 72종'!H50*G1081</x:f>
        <x:v>0.27999999999999997</x:v>
      </x:c>
      <x:c r="W1081" s="15" t="n">
        <x:f>'기준스탯 72종'!I50*G1081</x:f>
        <x:v>0.7</x:v>
      </x:c>
      <x:c r="X1081" s="15" t="n">
        <x:f>'기준스탯 72종'!J50*G1081</x:f>
        <x:v>0.8399999999999999</x:v>
      </x:c>
      <x:c r="Y1081" s="15" t="n">
        <x:f>'기준스탯 72종'!K50*G1081</x:f>
        <x:v>0.41999999999999993</x:v>
      </x:c>
      <x:c r="Z1081" s="15" t="n">
        <x:f>'기준스탯 72종'!D50*H1081</x:f>
        <x:v>0</x:v>
      </x:c>
      <x:c r="AA1081" s="15" t="n">
        <x:f>'기준스탯 72종'!E50*H1081</x:f>
        <x:v>0</x:v>
      </x:c>
      <x:c r="AB1081" s="15" t="n">
        <x:f>'기준스탯 72종'!F50*H1081</x:f>
        <x:v>0</x:v>
      </x:c>
      <x:c r="AC1081" s="15" t="n">
        <x:f>'기준스탯 72종'!G50*H1081</x:f>
        <x:v>0</x:v>
      </x:c>
      <x:c r="AD1081" s="15" t="n">
        <x:f>'기준스탯 72종'!H50*H1081</x:f>
        <x:v>0</x:v>
      </x:c>
      <x:c r="AE1081" s="15" t="n">
        <x:f>'기준스탯 72종'!I50*H1081</x:f>
        <x:v>0</x:v>
      </x:c>
      <x:c r="AF1081" s="15" t="n">
        <x:f>'기준스탯 72종'!J50*H1081</x:f>
        <x:v>0</x:v>
      </x:c>
      <x:c r="AG1081" s="15" t="n">
        <x:f>'기준스탯 72종'!K50*H1081</x:f>
        <x:v>0</x:v>
      </x:c>
    </x:row>
    <x:row r="1082" ht="28" customHeight="1">
      <x:c r="A1082" s="2" t="n">
        <x:v>1075</x:v>
      </x:c>
      <x:c r="B1082" s="2" t="n">
        <x:v>43</x:v>
      </x:c>
      <x:c r="C1082" s="2" t="str">
        <x:v>전갈자리</x:v>
      </x:c>
      <x:c r="D1082" s="2" t="str">
        <x:v>기사</x:v>
      </x:c>
      <x:c r="E1082" s="2" t="n">
        <x:v>5</x:v>
      </x:c>
      <x:c r="F1082" s="2" t="n">
        <x:v>5</x:v>
      </x:c>
      <x:c r="G1082" s="14" t="n">
        <x:f>('레벨 계산식'!$E$4-E1082)*'레벨 계산식'!$B$5</x:f>
        <x:v>0</x:v>
      </x:c>
      <x:c r="H1082" s="14" t="n">
        <x:f>('등급 계산식'!$E$4-F1082)*'등급 계산식'!$B$5</x:f>
        <x:v>0</x:v>
      </x:c>
      <x:c r="I1082" s="14" t="n">
        <x:f>1-G1082-H1082</x:f>
        <x:v>1</x:v>
      </x:c>
      <x:c r="J1082" s="2" t="n">
        <x:f>MAX(1,ROUND('기준스탯 72종'!D50-R1082-Z1082,0))</x:f>
        <x:v>7</x:v>
      </x:c>
      <x:c r="K1082" s="2" t="n">
        <x:f>MAX(1,ROUND('기준스탯 72종'!E50-S1082-AA1082,0))</x:f>
        <x:v>7</x:v>
      </x:c>
      <x:c r="L1082" s="2" t="n">
        <x:f>MAX(1,ROUND('기준스탯 72종'!F50-T1082-AB1082,0))</x:f>
        <x:v>9</x:v>
      </x:c>
      <x:c r="M1082" s="2" t="n">
        <x:f>MAX(1,ROUND('기준스탯 72종'!G50-U1082-AC1082,0))</x:f>
        <x:v>7</x:v>
      </x:c>
      <x:c r="N1082" s="2" t="n">
        <x:f>MAX(0,ROUND('기준스탯 72종'!H50-V1082-AD1082,0))</x:f>
        <x:v>2</x:v>
      </x:c>
      <x:c r="O1082" s="2" t="n">
        <x:f>MAX(0,ROUND('기준스탯 72종'!I50-W1082-AE1082,0))</x:f>
        <x:v>5</x:v>
      </x:c>
      <x:c r="P1082" s="2" t="n">
        <x:f>MAX(0,ROUND('기준스탯 72종'!J50-X1082-AF1082,0))</x:f>
        <x:v>6</x:v>
      </x:c>
      <x:c r="Q1082" s="2" t="n">
        <x:f>MAX(0,ROUND('기준스탯 72종'!K50-Y1082-AG1082,0))</x:f>
        <x:v>3</x:v>
      </x:c>
      <x:c r="R1082" s="15" t="n">
        <x:f>'기준스탯 72종'!D50*G1082</x:f>
        <x:v>0</x:v>
      </x:c>
      <x:c r="S1082" s="15" t="n">
        <x:f>'기준스탯 72종'!E50*G1082</x:f>
        <x:v>0</x:v>
      </x:c>
      <x:c r="T1082" s="15" t="n">
        <x:f>'기준스탯 72종'!F50*G1082</x:f>
        <x:v>0</x:v>
      </x:c>
      <x:c r="U1082" s="15" t="n">
        <x:f>'기준스탯 72종'!G50*G1082</x:f>
        <x:v>0</x:v>
      </x:c>
      <x:c r="V1082" s="15" t="n">
        <x:f>'기준스탯 72종'!H50*G1082</x:f>
        <x:v>0</x:v>
      </x:c>
      <x:c r="W1082" s="15" t="n">
        <x:f>'기준스탯 72종'!I50*G1082</x:f>
        <x:v>0</x:v>
      </x:c>
      <x:c r="X1082" s="15" t="n">
        <x:f>'기준스탯 72종'!J50*G1082</x:f>
        <x:v>0</x:v>
      </x:c>
      <x:c r="Y1082" s="15" t="n">
        <x:f>'기준스탯 72종'!K50*G1082</x:f>
        <x:v>0</x:v>
      </x:c>
      <x:c r="Z1082" s="15" t="n">
        <x:f>'기준스탯 72종'!D50*H1082</x:f>
        <x:v>0</x:v>
      </x:c>
      <x:c r="AA1082" s="15" t="n">
        <x:f>'기준스탯 72종'!E50*H1082</x:f>
        <x:v>0</x:v>
      </x:c>
      <x:c r="AB1082" s="15" t="n">
        <x:f>'기준스탯 72종'!F50*H1082</x:f>
        <x:v>0</x:v>
      </x:c>
      <x:c r="AC1082" s="15" t="n">
        <x:f>'기준스탯 72종'!G50*H1082</x:f>
        <x:v>0</x:v>
      </x:c>
      <x:c r="AD1082" s="15" t="n">
        <x:f>'기준스탯 72종'!H50*H1082</x:f>
        <x:v>0</x:v>
      </x:c>
      <x:c r="AE1082" s="15" t="n">
        <x:f>'기준스탯 72종'!I50*H1082</x:f>
        <x:v>0</x:v>
      </x:c>
      <x:c r="AF1082" s="15" t="n">
        <x:f>'기준스탯 72종'!J50*H1082</x:f>
        <x:v>0</x:v>
      </x:c>
      <x:c r="AG1082" s="15" t="n">
        <x:f>'기준스탯 72종'!K50*H1082</x:f>
        <x:v>0</x:v>
      </x:c>
    </x:row>
    <x:row r="1083" ht="28" customHeight="1">
      <x:c r="A1083" s="2" t="n">
        <x:v>1076</x:v>
      </x:c>
      <x:c r="B1083" s="2" t="n">
        <x:v>44</x:v>
      </x:c>
      <x:c r="C1083" s="2" t="str">
        <x:v>전갈자리</x:v>
      </x:c>
      <x:c r="D1083" s="2" t="str">
        <x:v>마도사</x:v>
      </x:c>
      <x:c r="E1083" s="2" t="n">
        <x:v>1</x:v>
      </x:c>
      <x:c r="F1083" s="2" t="n">
        <x:v>1</x:v>
      </x:c>
      <x:c r="G1083" s="14" t="n">
        <x:f>('레벨 계산식'!$E$4-E1083)*'레벨 계산식'!$B$5</x:f>
        <x:v>0.5599999999999999</x:v>
      </x:c>
      <x:c r="H1083" s="14" t="n">
        <x:f>('등급 계산식'!$E$4-F1083)*'등급 계산식'!$B$5</x:f>
        <x:v>0.24000000000000005</x:v>
      </x:c>
      <x:c r="I1083" s="14" t="n">
        <x:f>1-G1083-H1083</x:f>
        <x:v>0.2</x:v>
      </x:c>
      <x:c r="J1083" s="2" t="n">
        <x:f>MAX(1,ROUND('기준스탯 72종'!D51-R1083-Z1083,0))</x:f>
        <x:v>2</x:v>
      </x:c>
      <x:c r="K1083" s="2" t="n">
        <x:f>MAX(1,ROUND('기준스탯 72종'!E51-S1083-AA1083,0))</x:f>
        <x:v>1</x:v>
      </x:c>
      <x:c r="L1083" s="2" t="n">
        <x:f>MAX(1,ROUND('기준스탯 72종'!F51-T1083-AB1083,0))</x:f>
        <x:v>1</x:v>
      </x:c>
      <x:c r="M1083" s="2" t="n">
        <x:f>MAX(1,ROUND('기준스탯 72종'!G51-U1083-AC1083,0))</x:f>
        <x:v>2</x:v>
      </x:c>
      <x:c r="N1083" s="2" t="n">
        <x:f>MAX(0,ROUND('기준스탯 72종'!H51-V1083-AD1083,0))</x:f>
        <x:v>1</x:v>
      </x:c>
      <x:c r="O1083" s="2" t="n">
        <x:f>MAX(0,ROUND('기준스탯 72종'!I51-W1083-AE1083,0))</x:f>
        <x:v>1</x:v>
      </x:c>
      <x:c r="P1083" s="2" t="n">
        <x:f>MAX(0,ROUND('기준스탯 72종'!J51-X1083-AF1083,0))</x:f>
        <x:v>1</x:v>
      </x:c>
      <x:c r="Q1083" s="2" t="n">
        <x:f>MAX(0,ROUND('기준스탯 72종'!K51-Y1083-AG1083,0))</x:f>
        <x:v>0</x:v>
      </x:c>
      <x:c r="R1083" s="15" t="n">
        <x:f>'기준스탯 72종'!D51*G1083</x:f>
        <x:v>5.039999999999999</x:v>
      </x:c>
      <x:c r="S1083" s="15" t="n">
        <x:f>'기준스탯 72종'!E51*G1083</x:f>
        <x:v>2.8</x:v>
      </x:c>
      <x:c r="T1083" s="15" t="n">
        <x:f>'기준스탯 72종'!F51*G1083</x:f>
        <x:v>3.9199999999999995</x:v>
      </x:c>
      <x:c r="U1083" s="15" t="n">
        <x:f>'기준스탯 72종'!G51*G1083</x:f>
        <x:v>4.4799999999999995</x:v>
      </x:c>
      <x:c r="V1083" s="15" t="n">
        <x:f>'기준스탯 72종'!H51*G1083</x:f>
        <x:v>1.6799999999999997</x:v>
      </x:c>
      <x:c r="W1083" s="15" t="n">
        <x:f>'기준스탯 72종'!I51*G1083</x:f>
        <x:v>3.9199999999999995</x:v>
      </x:c>
      <x:c r="X1083" s="15" t="n">
        <x:f>'기준스탯 72종'!J51*G1083</x:f>
        <x:v>3.3599999999999994</x:v>
      </x:c>
      <x:c r="Y1083" s="15" t="n">
        <x:f>'기준스탯 72종'!K51*G1083</x:f>
        <x:v>0</x:v>
      </x:c>
      <x:c r="Z1083" s="15" t="n">
        <x:f>'기준스탯 72종'!D51*H1083</x:f>
        <x:v>2.1600000000000006</x:v>
      </x:c>
      <x:c r="AA1083" s="15" t="n">
        <x:f>'기준스탯 72종'!E51*H1083</x:f>
        <x:v>1.2000000000000002</x:v>
      </x:c>
      <x:c r="AB1083" s="15" t="n">
        <x:f>'기준스탯 72종'!F51*H1083</x:f>
        <x:v>1.6800000000000004</x:v>
      </x:c>
      <x:c r="AC1083" s="15" t="n">
        <x:f>'기준스탯 72종'!G51*H1083</x:f>
        <x:v>1.9200000000000004</x:v>
      </x:c>
      <x:c r="AD1083" s="15" t="n">
        <x:f>'기준스탯 72종'!H51*H1083</x:f>
        <x:v>0.7200000000000002</x:v>
      </x:c>
      <x:c r="AE1083" s="15" t="n">
        <x:f>'기준스탯 72종'!I51*H1083</x:f>
        <x:v>1.6800000000000004</x:v>
      </x:c>
      <x:c r="AF1083" s="15" t="n">
        <x:f>'기준스탯 72종'!J51*H1083</x:f>
        <x:v>1.4400000000000004</x:v>
      </x:c>
      <x:c r="AG1083" s="15" t="n">
        <x:f>'기준스탯 72종'!K51*H1083</x:f>
        <x:v>0</x:v>
      </x:c>
    </x:row>
    <x:row r="1084" ht="28" customHeight="1">
      <x:c r="A1084" s="2" t="n">
        <x:v>1077</x:v>
      </x:c>
      <x:c r="B1084" s="2" t="n">
        <x:v>44</x:v>
      </x:c>
      <x:c r="C1084" s="2" t="str">
        <x:v>전갈자리</x:v>
      </x:c>
      <x:c r="D1084" s="2" t="str">
        <x:v>마도사</x:v>
      </x:c>
      <x:c r="E1084" s="2" t="n">
        <x:v>2</x:v>
      </x:c>
      <x:c r="F1084" s="2" t="n">
        <x:v>1</x:v>
      </x:c>
      <x:c r="G1084" s="14" t="n">
        <x:f>('레벨 계산식'!$E$4-E1084)*'레벨 계산식'!$B$5</x:f>
        <x:v>0.41999999999999993</x:v>
      </x:c>
      <x:c r="H1084" s="14" t="n">
        <x:f>('등급 계산식'!$E$4-F1084)*'등급 계산식'!$B$5</x:f>
        <x:v>0.24000000000000005</x:v>
      </x:c>
      <x:c r="I1084" s="14" t="n">
        <x:f>1-G1084-H1084</x:f>
        <x:v>0.34</x:v>
      </x:c>
      <x:c r="J1084" s="2" t="n">
        <x:f>MAX(1,ROUND('기준스탯 72종'!D51-R1084-Z1084,0))</x:f>
        <x:v>3</x:v>
      </x:c>
      <x:c r="K1084" s="2" t="n">
        <x:f>MAX(1,ROUND('기준스탯 72종'!E51-S1084-AA1084,0))</x:f>
        <x:v>2</x:v>
      </x:c>
      <x:c r="L1084" s="2" t="n">
        <x:f>MAX(1,ROUND('기준스탯 72종'!F51-T1084-AB1084,0))</x:f>
        <x:v>2</x:v>
      </x:c>
      <x:c r="M1084" s="2" t="n">
        <x:f>MAX(1,ROUND('기준스탯 72종'!G51-U1084-AC1084,0))</x:f>
        <x:v>3</x:v>
      </x:c>
      <x:c r="N1084" s="2" t="n">
        <x:f>MAX(0,ROUND('기준스탯 72종'!H51-V1084-AD1084,0))</x:f>
        <x:v>1</x:v>
      </x:c>
      <x:c r="O1084" s="2" t="n">
        <x:f>MAX(0,ROUND('기준스탯 72종'!I51-W1084-AE1084,0))</x:f>
        <x:v>2</x:v>
      </x:c>
      <x:c r="P1084" s="2" t="n">
        <x:f>MAX(0,ROUND('기준스탯 72종'!J51-X1084-AF1084,0))</x:f>
        <x:v>2</x:v>
      </x:c>
      <x:c r="Q1084" s="2" t="n">
        <x:f>MAX(0,ROUND('기준스탯 72종'!K51-Y1084-AG1084,0))</x:f>
        <x:v>0</x:v>
      </x:c>
      <x:c r="R1084" s="15" t="n">
        <x:f>'기준스탯 72종'!D51*G1084</x:f>
        <x:v>3.7799999999999994</x:v>
      </x:c>
      <x:c r="S1084" s="15" t="n">
        <x:f>'기준스탯 72종'!E51*G1084</x:f>
        <x:v>2.0999999999999996</x:v>
      </x:c>
      <x:c r="T1084" s="15" t="n">
        <x:f>'기준스탯 72종'!F51*G1084</x:f>
        <x:v>2.9399999999999995</x:v>
      </x:c>
      <x:c r="U1084" s="15" t="n">
        <x:f>'기준스탯 72종'!G51*G1084</x:f>
        <x:v>3.3599999999999994</x:v>
      </x:c>
      <x:c r="V1084" s="15" t="n">
        <x:f>'기준스탯 72종'!H51*G1084</x:f>
        <x:v>1.2599999999999998</x:v>
      </x:c>
      <x:c r="W1084" s="15" t="n">
        <x:f>'기준스탯 72종'!I51*G1084</x:f>
        <x:v>2.9399999999999995</x:v>
      </x:c>
      <x:c r="X1084" s="15" t="n">
        <x:f>'기준스탯 72종'!J51*G1084</x:f>
        <x:v>2.5199999999999996</x:v>
      </x:c>
      <x:c r="Y1084" s="15" t="n">
        <x:f>'기준스탯 72종'!K51*G1084</x:f>
        <x:v>0</x:v>
      </x:c>
      <x:c r="Z1084" s="15" t="n">
        <x:f>'기준스탯 72종'!D51*H1084</x:f>
        <x:v>2.1600000000000006</x:v>
      </x:c>
      <x:c r="AA1084" s="15" t="n">
        <x:f>'기준스탯 72종'!E51*H1084</x:f>
        <x:v>1.2000000000000002</x:v>
      </x:c>
      <x:c r="AB1084" s="15" t="n">
        <x:f>'기준스탯 72종'!F51*H1084</x:f>
        <x:v>1.6800000000000004</x:v>
      </x:c>
      <x:c r="AC1084" s="15" t="n">
        <x:f>'기준스탯 72종'!G51*H1084</x:f>
        <x:v>1.9200000000000004</x:v>
      </x:c>
      <x:c r="AD1084" s="15" t="n">
        <x:f>'기준스탯 72종'!H51*H1084</x:f>
        <x:v>0.7200000000000002</x:v>
      </x:c>
      <x:c r="AE1084" s="15" t="n">
        <x:f>'기준스탯 72종'!I51*H1084</x:f>
        <x:v>1.6800000000000004</x:v>
      </x:c>
      <x:c r="AF1084" s="15" t="n">
        <x:f>'기준스탯 72종'!J51*H1084</x:f>
        <x:v>1.4400000000000004</x:v>
      </x:c>
      <x:c r="AG1084" s="15" t="n">
        <x:f>'기준스탯 72종'!K51*H1084</x:f>
        <x:v>0</x:v>
      </x:c>
    </x:row>
    <x:row r="1085" ht="28" customHeight="1">
      <x:c r="A1085" s="2" t="n">
        <x:v>1078</x:v>
      </x:c>
      <x:c r="B1085" s="2" t="n">
        <x:v>44</x:v>
      </x:c>
      <x:c r="C1085" s="2" t="str">
        <x:v>전갈자리</x:v>
      </x:c>
      <x:c r="D1085" s="2" t="str">
        <x:v>마도사</x:v>
      </x:c>
      <x:c r="E1085" s="2" t="n">
        <x:v>3</x:v>
      </x:c>
      <x:c r="F1085" s="2" t="n">
        <x:v>1</x:v>
      </x:c>
      <x:c r="G1085" s="14" t="n">
        <x:f>('레벨 계산식'!$E$4-E1085)*'레벨 계산식'!$B$5</x:f>
        <x:v>0.27999999999999997</x:v>
      </x:c>
      <x:c r="H1085" s="14" t="n">
        <x:f>('등급 계산식'!$E$4-F1085)*'등급 계산식'!$B$5</x:f>
        <x:v>0.24000000000000005</x:v>
      </x:c>
      <x:c r="I1085" s="14" t="n">
        <x:f>1-G1085-H1085</x:f>
        <x:v>0.4799999999999999</x:v>
      </x:c>
      <x:c r="J1085" s="2" t="n">
        <x:f>MAX(1,ROUND('기준스탯 72종'!D51-R1085-Z1085,0))</x:f>
        <x:v>4</x:v>
      </x:c>
      <x:c r="K1085" s="2" t="n">
        <x:f>MAX(1,ROUND('기준스탯 72종'!E51-S1085-AA1085,0))</x:f>
        <x:v>2</x:v>
      </x:c>
      <x:c r="L1085" s="2" t="n">
        <x:f>MAX(1,ROUND('기준스탯 72종'!F51-T1085-AB1085,0))</x:f>
        <x:v>3</x:v>
      </x:c>
      <x:c r="M1085" s="2" t="n">
        <x:f>MAX(1,ROUND('기준스탯 72종'!G51-U1085-AC1085,0))</x:f>
        <x:v>4</x:v>
      </x:c>
      <x:c r="N1085" s="2" t="n">
        <x:f>MAX(0,ROUND('기준스탯 72종'!H51-V1085-AD1085,0))</x:f>
        <x:v>1</x:v>
      </x:c>
      <x:c r="O1085" s="2" t="n">
        <x:f>MAX(0,ROUND('기준스탯 72종'!I51-W1085-AE1085,0))</x:f>
        <x:v>3</x:v>
      </x:c>
      <x:c r="P1085" s="2" t="n">
        <x:f>MAX(0,ROUND('기준스탯 72종'!J51-X1085-AF1085,0))</x:f>
        <x:v>3</x:v>
      </x:c>
      <x:c r="Q1085" s="2" t="n">
        <x:f>MAX(0,ROUND('기준스탯 72종'!K51-Y1085-AG1085,0))</x:f>
        <x:v>0</x:v>
      </x:c>
      <x:c r="R1085" s="15" t="n">
        <x:f>'기준스탯 72종'!D51*G1085</x:f>
        <x:v>2.5199999999999996</x:v>
      </x:c>
      <x:c r="S1085" s="15" t="n">
        <x:f>'기준스탯 72종'!E51*G1085</x:f>
        <x:v>1.4</x:v>
      </x:c>
      <x:c r="T1085" s="15" t="n">
        <x:f>'기준스탯 72종'!F51*G1085</x:f>
        <x:v>1.9599999999999997</x:v>
      </x:c>
      <x:c r="U1085" s="15" t="n">
        <x:f>'기준스탯 72종'!G51*G1085</x:f>
        <x:v>2.2399999999999998</x:v>
      </x:c>
      <x:c r="V1085" s="15" t="n">
        <x:f>'기준스탯 72종'!H51*G1085</x:f>
        <x:v>0.8399999999999999</x:v>
      </x:c>
      <x:c r="W1085" s="15" t="n">
        <x:f>'기준스탯 72종'!I51*G1085</x:f>
        <x:v>1.9599999999999997</x:v>
      </x:c>
      <x:c r="X1085" s="15" t="n">
        <x:f>'기준스탯 72종'!J51*G1085</x:f>
        <x:v>1.6799999999999997</x:v>
      </x:c>
      <x:c r="Y1085" s="15" t="n">
        <x:f>'기준스탯 72종'!K51*G1085</x:f>
        <x:v>0</x:v>
      </x:c>
      <x:c r="Z1085" s="15" t="n">
        <x:f>'기준스탯 72종'!D51*H1085</x:f>
        <x:v>2.1600000000000006</x:v>
      </x:c>
      <x:c r="AA1085" s="15" t="n">
        <x:f>'기준스탯 72종'!E51*H1085</x:f>
        <x:v>1.2000000000000002</x:v>
      </x:c>
      <x:c r="AB1085" s="15" t="n">
        <x:f>'기준스탯 72종'!F51*H1085</x:f>
        <x:v>1.6800000000000004</x:v>
      </x:c>
      <x:c r="AC1085" s="15" t="n">
        <x:f>'기준스탯 72종'!G51*H1085</x:f>
        <x:v>1.9200000000000004</x:v>
      </x:c>
      <x:c r="AD1085" s="15" t="n">
        <x:f>'기준스탯 72종'!H51*H1085</x:f>
        <x:v>0.7200000000000002</x:v>
      </x:c>
      <x:c r="AE1085" s="15" t="n">
        <x:f>'기준스탯 72종'!I51*H1085</x:f>
        <x:v>1.6800000000000004</x:v>
      </x:c>
      <x:c r="AF1085" s="15" t="n">
        <x:f>'기준스탯 72종'!J51*H1085</x:f>
        <x:v>1.4400000000000004</x:v>
      </x:c>
      <x:c r="AG1085" s="15" t="n">
        <x:f>'기준스탯 72종'!K51*H1085</x:f>
        <x:v>0</x:v>
      </x:c>
    </x:row>
    <x:row r="1086" ht="28" customHeight="1">
      <x:c r="A1086" s="2" t="n">
        <x:v>1079</x:v>
      </x:c>
      <x:c r="B1086" s="2" t="n">
        <x:v>44</x:v>
      </x:c>
      <x:c r="C1086" s="2" t="str">
        <x:v>전갈자리</x:v>
      </x:c>
      <x:c r="D1086" s="2" t="str">
        <x:v>마도사</x:v>
      </x:c>
      <x:c r="E1086" s="2" t="n">
        <x:v>4</x:v>
      </x:c>
      <x:c r="F1086" s="2" t="n">
        <x:v>1</x:v>
      </x:c>
      <x:c r="G1086" s="14" t="n">
        <x:f>('레벨 계산식'!$E$4-E1086)*'레벨 계산식'!$B$5</x:f>
        <x:v>0.13999999999999999</x:v>
      </x:c>
      <x:c r="H1086" s="14" t="n">
        <x:f>('등급 계산식'!$E$4-F1086)*'등급 계산식'!$B$5</x:f>
        <x:v>0.24000000000000005</x:v>
      </x:c>
      <x:c r="I1086" s="14" t="n">
        <x:f>1-G1086-H1086</x:f>
        <x:v>0.6199999999999999</x:v>
      </x:c>
      <x:c r="J1086" s="2" t="n">
        <x:f>MAX(1,ROUND('기준스탯 72종'!D51-R1086-Z1086,0))</x:f>
        <x:v>6</x:v>
      </x:c>
      <x:c r="K1086" s="2" t="n">
        <x:f>MAX(1,ROUND('기준스탯 72종'!E51-S1086-AA1086,0))</x:f>
        <x:v>3</x:v>
      </x:c>
      <x:c r="L1086" s="2" t="n">
        <x:f>MAX(1,ROUND('기준스탯 72종'!F51-T1086-AB1086,0))</x:f>
        <x:v>4</x:v>
      </x:c>
      <x:c r="M1086" s="2" t="n">
        <x:f>MAX(1,ROUND('기준스탯 72종'!G51-U1086-AC1086,0))</x:f>
        <x:v>5</x:v>
      </x:c>
      <x:c r="N1086" s="2" t="n">
        <x:f>MAX(0,ROUND('기준스탯 72종'!H51-V1086-AD1086,0))</x:f>
        <x:v>2</x:v>
      </x:c>
      <x:c r="O1086" s="2" t="n">
        <x:f>MAX(0,ROUND('기준스탯 72종'!I51-W1086-AE1086,0))</x:f>
        <x:v>4</x:v>
      </x:c>
      <x:c r="P1086" s="2" t="n">
        <x:f>MAX(0,ROUND('기준스탯 72종'!J51-X1086-AF1086,0))</x:f>
        <x:v>4</x:v>
      </x:c>
      <x:c r="Q1086" s="2" t="n">
        <x:f>MAX(0,ROUND('기준스탯 72종'!K51-Y1086-AG1086,0))</x:f>
        <x:v>0</x:v>
      </x:c>
      <x:c r="R1086" s="15" t="n">
        <x:f>'기준스탯 72종'!D51*G1086</x:f>
        <x:v>1.2599999999999998</x:v>
      </x:c>
      <x:c r="S1086" s="15" t="n">
        <x:f>'기준스탯 72종'!E51*G1086</x:f>
        <x:v>0.7</x:v>
      </x:c>
      <x:c r="T1086" s="15" t="n">
        <x:f>'기준스탯 72종'!F51*G1086</x:f>
        <x:v>0.9799999999999999</x:v>
      </x:c>
      <x:c r="U1086" s="15" t="n">
        <x:f>'기준스탯 72종'!G51*G1086</x:f>
        <x:v>1.1199999999999999</x:v>
      </x:c>
      <x:c r="V1086" s="15" t="n">
        <x:f>'기준스탯 72종'!H51*G1086</x:f>
        <x:v>0.41999999999999993</x:v>
      </x:c>
      <x:c r="W1086" s="15" t="n">
        <x:f>'기준스탯 72종'!I51*G1086</x:f>
        <x:v>0.9799999999999999</x:v>
      </x:c>
      <x:c r="X1086" s="15" t="n">
        <x:f>'기준스탯 72종'!J51*G1086</x:f>
        <x:v>0.8399999999999999</x:v>
      </x:c>
      <x:c r="Y1086" s="15" t="n">
        <x:f>'기준스탯 72종'!K51*G1086</x:f>
        <x:v>0</x:v>
      </x:c>
      <x:c r="Z1086" s="15" t="n">
        <x:f>'기준스탯 72종'!D51*H1086</x:f>
        <x:v>2.1600000000000006</x:v>
      </x:c>
      <x:c r="AA1086" s="15" t="n">
        <x:f>'기준스탯 72종'!E51*H1086</x:f>
        <x:v>1.2000000000000002</x:v>
      </x:c>
      <x:c r="AB1086" s="15" t="n">
        <x:f>'기준스탯 72종'!F51*H1086</x:f>
        <x:v>1.6800000000000004</x:v>
      </x:c>
      <x:c r="AC1086" s="15" t="n">
        <x:f>'기준스탯 72종'!G51*H1086</x:f>
        <x:v>1.9200000000000004</x:v>
      </x:c>
      <x:c r="AD1086" s="15" t="n">
        <x:f>'기준스탯 72종'!H51*H1086</x:f>
        <x:v>0.7200000000000002</x:v>
      </x:c>
      <x:c r="AE1086" s="15" t="n">
        <x:f>'기준스탯 72종'!I51*H1086</x:f>
        <x:v>1.6800000000000004</x:v>
      </x:c>
      <x:c r="AF1086" s="15" t="n">
        <x:f>'기준스탯 72종'!J51*H1086</x:f>
        <x:v>1.4400000000000004</x:v>
      </x:c>
      <x:c r="AG1086" s="15" t="n">
        <x:f>'기준스탯 72종'!K51*H1086</x:f>
        <x:v>0</x:v>
      </x:c>
    </x:row>
    <x:row r="1087" ht="28" customHeight="1">
      <x:c r="A1087" s="2" t="n">
        <x:v>1080</x:v>
      </x:c>
      <x:c r="B1087" s="2" t="n">
        <x:v>44</x:v>
      </x:c>
      <x:c r="C1087" s="2" t="str">
        <x:v>전갈자리</x:v>
      </x:c>
      <x:c r="D1087" s="2" t="str">
        <x:v>마도사</x:v>
      </x:c>
      <x:c r="E1087" s="2" t="n">
        <x:v>5</x:v>
      </x:c>
      <x:c r="F1087" s="2" t="n">
        <x:v>1</x:v>
      </x:c>
      <x:c r="G1087" s="14" t="n">
        <x:f>('레벨 계산식'!$E$4-E1087)*'레벨 계산식'!$B$5</x:f>
        <x:v>0</x:v>
      </x:c>
      <x:c r="H1087" s="14" t="n">
        <x:f>('등급 계산식'!$E$4-F1087)*'등급 계산식'!$B$5</x:f>
        <x:v>0.24000000000000005</x:v>
      </x:c>
      <x:c r="I1087" s="14" t="n">
        <x:f>1-G1087-H1087</x:f>
        <x:v>0.76</x:v>
      </x:c>
      <x:c r="J1087" s="2" t="n">
        <x:f>MAX(1,ROUND('기준스탯 72종'!D51-R1087-Z1087,0))</x:f>
        <x:v>7</x:v>
      </x:c>
      <x:c r="K1087" s="2" t="n">
        <x:f>MAX(1,ROUND('기준스탯 72종'!E51-S1087-AA1087,0))</x:f>
        <x:v>4</x:v>
      </x:c>
      <x:c r="L1087" s="2" t="n">
        <x:f>MAX(1,ROUND('기준스탯 72종'!F51-T1087-AB1087,0))</x:f>
        <x:v>5</x:v>
      </x:c>
      <x:c r="M1087" s="2" t="n">
        <x:f>MAX(1,ROUND('기준스탯 72종'!G51-U1087-AC1087,0))</x:f>
        <x:v>6</x:v>
      </x:c>
      <x:c r="N1087" s="2" t="n">
        <x:f>MAX(0,ROUND('기준스탯 72종'!H51-V1087-AD1087,0))</x:f>
        <x:v>2</x:v>
      </x:c>
      <x:c r="O1087" s="2" t="n">
        <x:f>MAX(0,ROUND('기준스탯 72종'!I51-W1087-AE1087,0))</x:f>
        <x:v>5</x:v>
      </x:c>
      <x:c r="P1087" s="2" t="n">
        <x:f>MAX(0,ROUND('기준스탯 72종'!J51-X1087-AF1087,0))</x:f>
        <x:v>5</x:v>
      </x:c>
      <x:c r="Q1087" s="2" t="n">
        <x:f>MAX(0,ROUND('기준스탯 72종'!K51-Y1087-AG1087,0))</x:f>
        <x:v>0</x:v>
      </x:c>
      <x:c r="R1087" s="15" t="n">
        <x:f>'기준스탯 72종'!D51*G1087</x:f>
        <x:v>0</x:v>
      </x:c>
      <x:c r="S1087" s="15" t="n">
        <x:f>'기준스탯 72종'!E51*G1087</x:f>
        <x:v>0</x:v>
      </x:c>
      <x:c r="T1087" s="15" t="n">
        <x:f>'기준스탯 72종'!F51*G1087</x:f>
        <x:v>0</x:v>
      </x:c>
      <x:c r="U1087" s="15" t="n">
        <x:f>'기준스탯 72종'!G51*G1087</x:f>
        <x:v>0</x:v>
      </x:c>
      <x:c r="V1087" s="15" t="n">
        <x:f>'기준스탯 72종'!H51*G1087</x:f>
        <x:v>0</x:v>
      </x:c>
      <x:c r="W1087" s="15" t="n">
        <x:f>'기준스탯 72종'!I51*G1087</x:f>
        <x:v>0</x:v>
      </x:c>
      <x:c r="X1087" s="15" t="n">
        <x:f>'기준스탯 72종'!J51*G1087</x:f>
        <x:v>0</x:v>
      </x:c>
      <x:c r="Y1087" s="15" t="n">
        <x:f>'기준스탯 72종'!K51*G1087</x:f>
        <x:v>0</x:v>
      </x:c>
      <x:c r="Z1087" s="15" t="n">
        <x:f>'기준스탯 72종'!D51*H1087</x:f>
        <x:v>2.1600000000000006</x:v>
      </x:c>
      <x:c r="AA1087" s="15" t="n">
        <x:f>'기준스탯 72종'!E51*H1087</x:f>
        <x:v>1.2000000000000002</x:v>
      </x:c>
      <x:c r="AB1087" s="15" t="n">
        <x:f>'기준스탯 72종'!F51*H1087</x:f>
        <x:v>1.6800000000000004</x:v>
      </x:c>
      <x:c r="AC1087" s="15" t="n">
        <x:f>'기준스탯 72종'!G51*H1087</x:f>
        <x:v>1.9200000000000004</x:v>
      </x:c>
      <x:c r="AD1087" s="15" t="n">
        <x:f>'기준스탯 72종'!H51*H1087</x:f>
        <x:v>0.7200000000000002</x:v>
      </x:c>
      <x:c r="AE1087" s="15" t="n">
        <x:f>'기준스탯 72종'!I51*H1087</x:f>
        <x:v>1.6800000000000004</x:v>
      </x:c>
      <x:c r="AF1087" s="15" t="n">
        <x:f>'기준스탯 72종'!J51*H1087</x:f>
        <x:v>1.4400000000000004</x:v>
      </x:c>
      <x:c r="AG1087" s="15" t="n">
        <x:f>'기준스탯 72종'!K51*H1087</x:f>
        <x:v>0</x:v>
      </x:c>
    </x:row>
    <x:row r="1088" ht="28" customHeight="1">
      <x:c r="A1088" s="2" t="n">
        <x:v>1081</x:v>
      </x:c>
      <x:c r="B1088" s="2" t="n">
        <x:v>44</x:v>
      </x:c>
      <x:c r="C1088" s="2" t="str">
        <x:v>전갈자리</x:v>
      </x:c>
      <x:c r="D1088" s="2" t="str">
        <x:v>마도사</x:v>
      </x:c>
      <x:c r="E1088" s="2" t="n">
        <x:v>1</x:v>
      </x:c>
      <x:c r="F1088" s="2" t="n">
        <x:v>2</x:v>
      </x:c>
      <x:c r="G1088" s="14" t="n">
        <x:f>('레벨 계산식'!$E$4-E1088)*'레벨 계산식'!$B$5</x:f>
        <x:v>0.5599999999999999</x:v>
      </x:c>
      <x:c r="H1088" s="14" t="n">
        <x:f>('등급 계산식'!$E$4-F1088)*'등급 계산식'!$B$5</x:f>
        <x:v>0.18000000000000005</x:v>
      </x:c>
      <x:c r="I1088" s="14" t="n">
        <x:f>1-G1088-H1088</x:f>
        <x:v>0.26</x:v>
      </x:c>
      <x:c r="J1088" s="2" t="n">
        <x:f>MAX(1,ROUND('기준스탯 72종'!D51-R1088-Z1088,0))</x:f>
        <x:v>2</x:v>
      </x:c>
      <x:c r="K1088" s="2" t="n">
        <x:f>MAX(1,ROUND('기준스탯 72종'!E51-S1088-AA1088,0))</x:f>
        <x:v>1</x:v>
      </x:c>
      <x:c r="L1088" s="2" t="n">
        <x:f>MAX(1,ROUND('기준스탯 72종'!F51-T1088-AB1088,0))</x:f>
        <x:v>2</x:v>
      </x:c>
      <x:c r="M1088" s="2" t="n">
        <x:f>MAX(1,ROUND('기준스탯 72종'!G51-U1088-AC1088,0))</x:f>
        <x:v>2</x:v>
      </x:c>
      <x:c r="N1088" s="2" t="n">
        <x:f>MAX(0,ROUND('기준스탯 72종'!H51-V1088-AD1088,0))</x:f>
        <x:v>1</x:v>
      </x:c>
      <x:c r="O1088" s="2" t="n">
        <x:f>MAX(0,ROUND('기준스탯 72종'!I51-W1088-AE1088,0))</x:f>
        <x:v>2</x:v>
      </x:c>
      <x:c r="P1088" s="2" t="n">
        <x:f>MAX(0,ROUND('기준스탯 72종'!J51-X1088-AF1088,0))</x:f>
        <x:v>2</x:v>
      </x:c>
      <x:c r="Q1088" s="2" t="n">
        <x:f>MAX(0,ROUND('기준스탯 72종'!K51-Y1088-AG1088,0))</x:f>
        <x:v>0</x:v>
      </x:c>
      <x:c r="R1088" s="15" t="n">
        <x:f>'기준스탯 72종'!D51*G1088</x:f>
        <x:v>5.039999999999999</x:v>
      </x:c>
      <x:c r="S1088" s="15" t="n">
        <x:f>'기준스탯 72종'!E51*G1088</x:f>
        <x:v>2.8</x:v>
      </x:c>
      <x:c r="T1088" s="15" t="n">
        <x:f>'기준스탯 72종'!F51*G1088</x:f>
        <x:v>3.9199999999999995</x:v>
      </x:c>
      <x:c r="U1088" s="15" t="n">
        <x:f>'기준스탯 72종'!G51*G1088</x:f>
        <x:v>4.4799999999999995</x:v>
      </x:c>
      <x:c r="V1088" s="15" t="n">
        <x:f>'기준스탯 72종'!H51*G1088</x:f>
        <x:v>1.6799999999999997</x:v>
      </x:c>
      <x:c r="W1088" s="15" t="n">
        <x:f>'기준스탯 72종'!I51*G1088</x:f>
        <x:v>3.9199999999999995</x:v>
      </x:c>
      <x:c r="X1088" s="15" t="n">
        <x:f>'기준스탯 72종'!J51*G1088</x:f>
        <x:v>3.3599999999999994</x:v>
      </x:c>
      <x:c r="Y1088" s="15" t="n">
        <x:f>'기준스탯 72종'!K51*G1088</x:f>
        <x:v>0</x:v>
      </x:c>
      <x:c r="Z1088" s="15" t="n">
        <x:f>'기준스탯 72종'!D51*H1088</x:f>
        <x:v>1.6200000000000006</x:v>
      </x:c>
      <x:c r="AA1088" s="15" t="n">
        <x:f>'기준스탯 72종'!E51*H1088</x:f>
        <x:v>0.9000000000000002</x:v>
      </x:c>
      <x:c r="AB1088" s="15" t="n">
        <x:f>'기준스탯 72종'!F51*H1088</x:f>
        <x:v>1.2600000000000002</x:v>
      </x:c>
      <x:c r="AC1088" s="15" t="n">
        <x:f>'기준스탯 72종'!G51*H1088</x:f>
        <x:v>1.4400000000000004</x:v>
      </x:c>
      <x:c r="AD1088" s="15" t="n">
        <x:f>'기준스탯 72종'!H51*H1088</x:f>
        <x:v>0.5400000000000001</x:v>
      </x:c>
      <x:c r="AE1088" s="15" t="n">
        <x:f>'기준스탯 72종'!I51*H1088</x:f>
        <x:v>1.2600000000000002</x:v>
      </x:c>
      <x:c r="AF1088" s="15" t="n">
        <x:f>'기준스탯 72종'!J51*H1088</x:f>
        <x:v>1.0800000000000003</x:v>
      </x:c>
      <x:c r="AG1088" s="15" t="n">
        <x:f>'기준스탯 72종'!K51*H1088</x:f>
        <x:v>0</x:v>
      </x:c>
    </x:row>
    <x:row r="1089" ht="28" customHeight="1">
      <x:c r="A1089" s="2" t="n">
        <x:v>1082</x:v>
      </x:c>
      <x:c r="B1089" s="2" t="n">
        <x:v>44</x:v>
      </x:c>
      <x:c r="C1089" s="2" t="str">
        <x:v>전갈자리</x:v>
      </x:c>
      <x:c r="D1089" s="2" t="str">
        <x:v>마도사</x:v>
      </x:c>
      <x:c r="E1089" s="2" t="n">
        <x:v>2</x:v>
      </x:c>
      <x:c r="F1089" s="2" t="n">
        <x:v>2</x:v>
      </x:c>
      <x:c r="G1089" s="14" t="n">
        <x:f>('레벨 계산식'!$E$4-E1089)*'레벨 계산식'!$B$5</x:f>
        <x:v>0.41999999999999993</x:v>
      </x:c>
      <x:c r="H1089" s="14" t="n">
        <x:f>('등급 계산식'!$E$4-F1089)*'등급 계산식'!$B$5</x:f>
        <x:v>0.18000000000000005</x:v>
      </x:c>
      <x:c r="I1089" s="14" t="n">
        <x:f>1-G1089-H1089</x:f>
        <x:v>0.4</x:v>
      </x:c>
      <x:c r="J1089" s="2" t="n">
        <x:f>MAX(1,ROUND('기준스탯 72종'!D51-R1089-Z1089,0))</x:f>
        <x:v>4</x:v>
      </x:c>
      <x:c r="K1089" s="2" t="n">
        <x:f>MAX(1,ROUND('기준스탯 72종'!E51-S1089-AA1089,0))</x:f>
        <x:v>2</x:v>
      </x:c>
      <x:c r="L1089" s="2" t="n">
        <x:f>MAX(1,ROUND('기준스탯 72종'!F51-T1089-AB1089,0))</x:f>
        <x:v>3</x:v>
      </x:c>
      <x:c r="M1089" s="2" t="n">
        <x:f>MAX(1,ROUND('기준스탯 72종'!G51-U1089-AC1089,0))</x:f>
        <x:v>3</x:v>
      </x:c>
      <x:c r="N1089" s="2" t="n">
        <x:f>MAX(0,ROUND('기준스탯 72종'!H51-V1089-AD1089,0))</x:f>
        <x:v>1</x:v>
      </x:c>
      <x:c r="O1089" s="2" t="n">
        <x:f>MAX(0,ROUND('기준스탯 72종'!I51-W1089-AE1089,0))</x:f>
        <x:v>3</x:v>
      </x:c>
      <x:c r="P1089" s="2" t="n">
        <x:f>MAX(0,ROUND('기준스탯 72종'!J51-X1089-AF1089,0))</x:f>
        <x:v>2</x:v>
      </x:c>
      <x:c r="Q1089" s="2" t="n">
        <x:f>MAX(0,ROUND('기준스탯 72종'!K51-Y1089-AG1089,0))</x:f>
        <x:v>0</x:v>
      </x:c>
      <x:c r="R1089" s="15" t="n">
        <x:f>'기준스탯 72종'!D51*G1089</x:f>
        <x:v>3.7799999999999994</x:v>
      </x:c>
      <x:c r="S1089" s="15" t="n">
        <x:f>'기준스탯 72종'!E51*G1089</x:f>
        <x:v>2.0999999999999996</x:v>
      </x:c>
      <x:c r="T1089" s="15" t="n">
        <x:f>'기준스탯 72종'!F51*G1089</x:f>
        <x:v>2.9399999999999995</x:v>
      </x:c>
      <x:c r="U1089" s="15" t="n">
        <x:f>'기준스탯 72종'!G51*G1089</x:f>
        <x:v>3.3599999999999994</x:v>
      </x:c>
      <x:c r="V1089" s="15" t="n">
        <x:f>'기준스탯 72종'!H51*G1089</x:f>
        <x:v>1.2599999999999998</x:v>
      </x:c>
      <x:c r="W1089" s="15" t="n">
        <x:f>'기준스탯 72종'!I51*G1089</x:f>
        <x:v>2.9399999999999995</x:v>
      </x:c>
      <x:c r="X1089" s="15" t="n">
        <x:f>'기준스탯 72종'!J51*G1089</x:f>
        <x:v>2.5199999999999996</x:v>
      </x:c>
      <x:c r="Y1089" s="15" t="n">
        <x:f>'기준스탯 72종'!K51*G1089</x:f>
        <x:v>0</x:v>
      </x:c>
      <x:c r="Z1089" s="15" t="n">
        <x:f>'기준스탯 72종'!D51*H1089</x:f>
        <x:v>1.6200000000000006</x:v>
      </x:c>
      <x:c r="AA1089" s="15" t="n">
        <x:f>'기준스탯 72종'!E51*H1089</x:f>
        <x:v>0.9000000000000002</x:v>
      </x:c>
      <x:c r="AB1089" s="15" t="n">
        <x:f>'기준스탯 72종'!F51*H1089</x:f>
        <x:v>1.2600000000000002</x:v>
      </x:c>
      <x:c r="AC1089" s="15" t="n">
        <x:f>'기준스탯 72종'!G51*H1089</x:f>
        <x:v>1.4400000000000004</x:v>
      </x:c>
      <x:c r="AD1089" s="15" t="n">
        <x:f>'기준스탯 72종'!H51*H1089</x:f>
        <x:v>0.5400000000000001</x:v>
      </x:c>
      <x:c r="AE1089" s="15" t="n">
        <x:f>'기준스탯 72종'!I51*H1089</x:f>
        <x:v>1.2600000000000002</x:v>
      </x:c>
      <x:c r="AF1089" s="15" t="n">
        <x:f>'기준스탯 72종'!J51*H1089</x:f>
        <x:v>1.0800000000000003</x:v>
      </x:c>
      <x:c r="AG1089" s="15" t="n">
        <x:f>'기준스탯 72종'!K51*H1089</x:f>
        <x:v>0</x:v>
      </x:c>
    </x:row>
    <x:row r="1090" ht="28" customHeight="1">
      <x:c r="A1090" s="2" t="n">
        <x:v>1083</x:v>
      </x:c>
      <x:c r="B1090" s="2" t="n">
        <x:v>44</x:v>
      </x:c>
      <x:c r="C1090" s="2" t="str">
        <x:v>전갈자리</x:v>
      </x:c>
      <x:c r="D1090" s="2" t="str">
        <x:v>마도사</x:v>
      </x:c>
      <x:c r="E1090" s="2" t="n">
        <x:v>3</x:v>
      </x:c>
      <x:c r="F1090" s="2" t="n">
        <x:v>2</x:v>
      </x:c>
      <x:c r="G1090" s="14" t="n">
        <x:f>('레벨 계산식'!$E$4-E1090)*'레벨 계산식'!$B$5</x:f>
        <x:v>0.27999999999999997</x:v>
      </x:c>
      <x:c r="H1090" s="14" t="n">
        <x:f>('등급 계산식'!$E$4-F1090)*'등급 계산식'!$B$5</x:f>
        <x:v>0.18000000000000005</x:v>
      </x:c>
      <x:c r="I1090" s="14" t="n">
        <x:f>1-G1090-H1090</x:f>
        <x:v>0.5399999999999999</x:v>
      </x:c>
      <x:c r="J1090" s="2" t="n">
        <x:f>MAX(1,ROUND('기준스탯 72종'!D51-R1090-Z1090,0))</x:f>
        <x:v>5</x:v>
      </x:c>
      <x:c r="K1090" s="2" t="n">
        <x:f>MAX(1,ROUND('기준스탯 72종'!E51-S1090-AA1090,0))</x:f>
        <x:v>3</x:v>
      </x:c>
      <x:c r="L1090" s="2" t="n">
        <x:f>MAX(1,ROUND('기준스탯 72종'!F51-T1090-AB1090,0))</x:f>
        <x:v>4</x:v>
      </x:c>
      <x:c r="M1090" s="2" t="n">
        <x:f>MAX(1,ROUND('기준스탯 72종'!G51-U1090-AC1090,0))</x:f>
        <x:v>4</x:v>
      </x:c>
      <x:c r="N1090" s="2" t="n">
        <x:f>MAX(0,ROUND('기준스탯 72종'!H51-V1090-AD1090,0))</x:f>
        <x:v>2</x:v>
      </x:c>
      <x:c r="O1090" s="2" t="n">
        <x:f>MAX(0,ROUND('기준스탯 72종'!I51-W1090-AE1090,0))</x:f>
        <x:v>4</x:v>
      </x:c>
      <x:c r="P1090" s="2" t="n">
        <x:f>MAX(0,ROUND('기준스탯 72종'!J51-X1090-AF1090,0))</x:f>
        <x:v>3</x:v>
      </x:c>
      <x:c r="Q1090" s="2" t="n">
        <x:f>MAX(0,ROUND('기준스탯 72종'!K51-Y1090-AG1090,0))</x:f>
        <x:v>0</x:v>
      </x:c>
      <x:c r="R1090" s="15" t="n">
        <x:f>'기준스탯 72종'!D51*G1090</x:f>
        <x:v>2.5199999999999996</x:v>
      </x:c>
      <x:c r="S1090" s="15" t="n">
        <x:f>'기준스탯 72종'!E51*G1090</x:f>
        <x:v>1.4</x:v>
      </x:c>
      <x:c r="T1090" s="15" t="n">
        <x:f>'기준스탯 72종'!F51*G1090</x:f>
        <x:v>1.9599999999999997</x:v>
      </x:c>
      <x:c r="U1090" s="15" t="n">
        <x:f>'기준스탯 72종'!G51*G1090</x:f>
        <x:v>2.2399999999999998</x:v>
      </x:c>
      <x:c r="V1090" s="15" t="n">
        <x:f>'기준스탯 72종'!H51*G1090</x:f>
        <x:v>0.8399999999999999</x:v>
      </x:c>
      <x:c r="W1090" s="15" t="n">
        <x:f>'기준스탯 72종'!I51*G1090</x:f>
        <x:v>1.9599999999999997</x:v>
      </x:c>
      <x:c r="X1090" s="15" t="n">
        <x:f>'기준스탯 72종'!J51*G1090</x:f>
        <x:v>1.6799999999999997</x:v>
      </x:c>
      <x:c r="Y1090" s="15" t="n">
        <x:f>'기준스탯 72종'!K51*G1090</x:f>
        <x:v>0</x:v>
      </x:c>
      <x:c r="Z1090" s="15" t="n">
        <x:f>'기준스탯 72종'!D51*H1090</x:f>
        <x:v>1.6200000000000006</x:v>
      </x:c>
      <x:c r="AA1090" s="15" t="n">
        <x:f>'기준스탯 72종'!E51*H1090</x:f>
        <x:v>0.9000000000000002</x:v>
      </x:c>
      <x:c r="AB1090" s="15" t="n">
        <x:f>'기준스탯 72종'!F51*H1090</x:f>
        <x:v>1.2600000000000002</x:v>
      </x:c>
      <x:c r="AC1090" s="15" t="n">
        <x:f>'기준스탯 72종'!G51*H1090</x:f>
        <x:v>1.4400000000000004</x:v>
      </x:c>
      <x:c r="AD1090" s="15" t="n">
        <x:f>'기준스탯 72종'!H51*H1090</x:f>
        <x:v>0.5400000000000001</x:v>
      </x:c>
      <x:c r="AE1090" s="15" t="n">
        <x:f>'기준스탯 72종'!I51*H1090</x:f>
        <x:v>1.2600000000000002</x:v>
      </x:c>
      <x:c r="AF1090" s="15" t="n">
        <x:f>'기준스탯 72종'!J51*H1090</x:f>
        <x:v>1.0800000000000003</x:v>
      </x:c>
      <x:c r="AG1090" s="15" t="n">
        <x:f>'기준스탯 72종'!K51*H1090</x:f>
        <x:v>0</x:v>
      </x:c>
    </x:row>
    <x:row r="1091" ht="28" customHeight="1">
      <x:c r="A1091" s="2" t="n">
        <x:v>1084</x:v>
      </x:c>
      <x:c r="B1091" s="2" t="n">
        <x:v>44</x:v>
      </x:c>
      <x:c r="C1091" s="2" t="str">
        <x:v>전갈자리</x:v>
      </x:c>
      <x:c r="D1091" s="2" t="str">
        <x:v>마도사</x:v>
      </x:c>
      <x:c r="E1091" s="2" t="n">
        <x:v>4</x:v>
      </x:c>
      <x:c r="F1091" s="2" t="n">
        <x:v>2</x:v>
      </x:c>
      <x:c r="G1091" s="14" t="n">
        <x:f>('레벨 계산식'!$E$4-E1091)*'레벨 계산식'!$B$5</x:f>
        <x:v>0.13999999999999999</x:v>
      </x:c>
      <x:c r="H1091" s="14" t="n">
        <x:f>('등급 계산식'!$E$4-F1091)*'등급 계산식'!$B$5</x:f>
        <x:v>0.18000000000000005</x:v>
      </x:c>
      <x:c r="I1091" s="14" t="n">
        <x:f>1-G1091-H1091</x:f>
        <x:v>0.6799999999999999</x:v>
      </x:c>
      <x:c r="J1091" s="2" t="n">
        <x:f>MAX(1,ROUND('기준스탯 72종'!D51-R1091-Z1091,0))</x:f>
        <x:v>6</x:v>
      </x:c>
      <x:c r="K1091" s="2" t="n">
        <x:f>MAX(1,ROUND('기준스탯 72종'!E51-S1091-AA1091,0))</x:f>
        <x:v>3</x:v>
      </x:c>
      <x:c r="L1091" s="2" t="n">
        <x:f>MAX(1,ROUND('기준스탯 72종'!F51-T1091-AB1091,0))</x:f>
        <x:v>5</x:v>
      </x:c>
      <x:c r="M1091" s="2" t="n">
        <x:f>MAX(1,ROUND('기준스탯 72종'!G51-U1091-AC1091,0))</x:f>
        <x:v>5</x:v>
      </x:c>
      <x:c r="N1091" s="2" t="n">
        <x:f>MAX(0,ROUND('기준스탯 72종'!H51-V1091-AD1091,0))</x:f>
        <x:v>2</x:v>
      </x:c>
      <x:c r="O1091" s="2" t="n">
        <x:f>MAX(0,ROUND('기준스탯 72종'!I51-W1091-AE1091,0))</x:f>
        <x:v>5</x:v>
      </x:c>
      <x:c r="P1091" s="2" t="n">
        <x:f>MAX(0,ROUND('기준스탯 72종'!J51-X1091-AF1091,0))</x:f>
        <x:v>4</x:v>
      </x:c>
      <x:c r="Q1091" s="2" t="n">
        <x:f>MAX(0,ROUND('기준스탯 72종'!K51-Y1091-AG1091,0))</x:f>
        <x:v>0</x:v>
      </x:c>
      <x:c r="R1091" s="15" t="n">
        <x:f>'기준스탯 72종'!D51*G1091</x:f>
        <x:v>1.2599999999999998</x:v>
      </x:c>
      <x:c r="S1091" s="15" t="n">
        <x:f>'기준스탯 72종'!E51*G1091</x:f>
        <x:v>0.7</x:v>
      </x:c>
      <x:c r="T1091" s="15" t="n">
        <x:f>'기준스탯 72종'!F51*G1091</x:f>
        <x:v>0.9799999999999999</x:v>
      </x:c>
      <x:c r="U1091" s="15" t="n">
        <x:f>'기준스탯 72종'!G51*G1091</x:f>
        <x:v>1.1199999999999999</x:v>
      </x:c>
      <x:c r="V1091" s="15" t="n">
        <x:f>'기준스탯 72종'!H51*G1091</x:f>
        <x:v>0.41999999999999993</x:v>
      </x:c>
      <x:c r="W1091" s="15" t="n">
        <x:f>'기준스탯 72종'!I51*G1091</x:f>
        <x:v>0.9799999999999999</x:v>
      </x:c>
      <x:c r="X1091" s="15" t="n">
        <x:f>'기준스탯 72종'!J51*G1091</x:f>
        <x:v>0.8399999999999999</x:v>
      </x:c>
      <x:c r="Y1091" s="15" t="n">
        <x:f>'기준스탯 72종'!K51*G1091</x:f>
        <x:v>0</x:v>
      </x:c>
      <x:c r="Z1091" s="15" t="n">
        <x:f>'기준스탯 72종'!D51*H1091</x:f>
        <x:v>1.6200000000000006</x:v>
      </x:c>
      <x:c r="AA1091" s="15" t="n">
        <x:f>'기준스탯 72종'!E51*H1091</x:f>
        <x:v>0.9000000000000002</x:v>
      </x:c>
      <x:c r="AB1091" s="15" t="n">
        <x:f>'기준스탯 72종'!F51*H1091</x:f>
        <x:v>1.2600000000000002</x:v>
      </x:c>
      <x:c r="AC1091" s="15" t="n">
        <x:f>'기준스탯 72종'!G51*H1091</x:f>
        <x:v>1.4400000000000004</x:v>
      </x:c>
      <x:c r="AD1091" s="15" t="n">
        <x:f>'기준스탯 72종'!H51*H1091</x:f>
        <x:v>0.5400000000000001</x:v>
      </x:c>
      <x:c r="AE1091" s="15" t="n">
        <x:f>'기준스탯 72종'!I51*H1091</x:f>
        <x:v>1.2600000000000002</x:v>
      </x:c>
      <x:c r="AF1091" s="15" t="n">
        <x:f>'기준스탯 72종'!J51*H1091</x:f>
        <x:v>1.0800000000000003</x:v>
      </x:c>
      <x:c r="AG1091" s="15" t="n">
        <x:f>'기준스탯 72종'!K51*H1091</x:f>
        <x:v>0</x:v>
      </x:c>
    </x:row>
    <x:row r="1092" ht="28" customHeight="1">
      <x:c r="A1092" s="2" t="n">
        <x:v>1085</x:v>
      </x:c>
      <x:c r="B1092" s="2" t="n">
        <x:v>44</x:v>
      </x:c>
      <x:c r="C1092" s="2" t="str">
        <x:v>전갈자리</x:v>
      </x:c>
      <x:c r="D1092" s="2" t="str">
        <x:v>마도사</x:v>
      </x:c>
      <x:c r="E1092" s="2" t="n">
        <x:v>5</x:v>
      </x:c>
      <x:c r="F1092" s="2" t="n">
        <x:v>2</x:v>
      </x:c>
      <x:c r="G1092" s="14" t="n">
        <x:f>('레벨 계산식'!$E$4-E1092)*'레벨 계산식'!$B$5</x:f>
        <x:v>0</x:v>
      </x:c>
      <x:c r="H1092" s="14" t="n">
        <x:f>('등급 계산식'!$E$4-F1092)*'등급 계산식'!$B$5</x:f>
        <x:v>0.18000000000000005</x:v>
      </x:c>
      <x:c r="I1092" s="14" t="n">
        <x:f>1-G1092-H1092</x:f>
        <x:v>0.82</x:v>
      </x:c>
      <x:c r="J1092" s="2" t="n">
        <x:f>MAX(1,ROUND('기준스탯 72종'!D51-R1092-Z1092,0))</x:f>
        <x:v>7</x:v>
      </x:c>
      <x:c r="K1092" s="2" t="n">
        <x:f>MAX(1,ROUND('기준스탯 72종'!E51-S1092-AA1092,0))</x:f>
        <x:v>4</x:v>
      </x:c>
      <x:c r="L1092" s="2" t="n">
        <x:f>MAX(1,ROUND('기준스탯 72종'!F51-T1092-AB1092,0))</x:f>
        <x:v>6</x:v>
      </x:c>
      <x:c r="M1092" s="2" t="n">
        <x:f>MAX(1,ROUND('기준스탯 72종'!G51-U1092-AC1092,0))</x:f>
        <x:v>7</x:v>
      </x:c>
      <x:c r="N1092" s="2" t="n">
        <x:f>MAX(0,ROUND('기준스탯 72종'!H51-V1092-AD1092,0))</x:f>
        <x:v>2</x:v>
      </x:c>
      <x:c r="O1092" s="2" t="n">
        <x:f>MAX(0,ROUND('기준스탯 72종'!I51-W1092-AE1092,0))</x:f>
        <x:v>6</x:v>
      </x:c>
      <x:c r="P1092" s="2" t="n">
        <x:f>MAX(0,ROUND('기준스탯 72종'!J51-X1092-AF1092,0))</x:f>
        <x:v>5</x:v>
      </x:c>
      <x:c r="Q1092" s="2" t="n">
        <x:f>MAX(0,ROUND('기준스탯 72종'!K51-Y1092-AG1092,0))</x:f>
        <x:v>0</x:v>
      </x:c>
      <x:c r="R1092" s="15" t="n">
        <x:f>'기준스탯 72종'!D51*G1092</x:f>
        <x:v>0</x:v>
      </x:c>
      <x:c r="S1092" s="15" t="n">
        <x:f>'기준스탯 72종'!E51*G1092</x:f>
        <x:v>0</x:v>
      </x:c>
      <x:c r="T1092" s="15" t="n">
        <x:f>'기준스탯 72종'!F51*G1092</x:f>
        <x:v>0</x:v>
      </x:c>
      <x:c r="U1092" s="15" t="n">
        <x:f>'기준스탯 72종'!G51*G1092</x:f>
        <x:v>0</x:v>
      </x:c>
      <x:c r="V1092" s="15" t="n">
        <x:f>'기준스탯 72종'!H51*G1092</x:f>
        <x:v>0</x:v>
      </x:c>
      <x:c r="W1092" s="15" t="n">
        <x:f>'기준스탯 72종'!I51*G1092</x:f>
        <x:v>0</x:v>
      </x:c>
      <x:c r="X1092" s="15" t="n">
        <x:f>'기준스탯 72종'!J51*G1092</x:f>
        <x:v>0</x:v>
      </x:c>
      <x:c r="Y1092" s="15" t="n">
        <x:f>'기준스탯 72종'!K51*G1092</x:f>
        <x:v>0</x:v>
      </x:c>
      <x:c r="Z1092" s="15" t="n">
        <x:f>'기준스탯 72종'!D51*H1092</x:f>
        <x:v>1.6200000000000006</x:v>
      </x:c>
      <x:c r="AA1092" s="15" t="n">
        <x:f>'기준스탯 72종'!E51*H1092</x:f>
        <x:v>0.9000000000000002</x:v>
      </x:c>
      <x:c r="AB1092" s="15" t="n">
        <x:f>'기준스탯 72종'!F51*H1092</x:f>
        <x:v>1.2600000000000002</x:v>
      </x:c>
      <x:c r="AC1092" s="15" t="n">
        <x:f>'기준스탯 72종'!G51*H1092</x:f>
        <x:v>1.4400000000000004</x:v>
      </x:c>
      <x:c r="AD1092" s="15" t="n">
        <x:f>'기준스탯 72종'!H51*H1092</x:f>
        <x:v>0.5400000000000001</x:v>
      </x:c>
      <x:c r="AE1092" s="15" t="n">
        <x:f>'기준스탯 72종'!I51*H1092</x:f>
        <x:v>1.2600000000000002</x:v>
      </x:c>
      <x:c r="AF1092" s="15" t="n">
        <x:f>'기준스탯 72종'!J51*H1092</x:f>
        <x:v>1.0800000000000003</x:v>
      </x:c>
      <x:c r="AG1092" s="15" t="n">
        <x:f>'기준스탯 72종'!K51*H1092</x:f>
        <x:v>0</x:v>
      </x:c>
    </x:row>
    <x:row r="1093" ht="28" customHeight="1">
      <x:c r="A1093" s="2" t="n">
        <x:v>1086</x:v>
      </x:c>
      <x:c r="B1093" s="2" t="n">
        <x:v>44</x:v>
      </x:c>
      <x:c r="C1093" s="2" t="str">
        <x:v>전갈자리</x:v>
      </x:c>
      <x:c r="D1093" s="2" t="str">
        <x:v>마도사</x:v>
      </x:c>
      <x:c r="E1093" s="2" t="n">
        <x:v>1</x:v>
      </x:c>
      <x:c r="F1093" s="2" t="n">
        <x:v>3</x:v>
      </x:c>
      <x:c r="G1093" s="14" t="n">
        <x:f>('레벨 계산식'!$E$4-E1093)*'레벨 계산식'!$B$5</x:f>
        <x:v>0.5599999999999999</x:v>
      </x:c>
      <x:c r="H1093" s="14" t="n">
        <x:f>('등급 계산식'!$E$4-F1093)*'등급 계산식'!$B$5</x:f>
        <x:v>0.12000000000000002</x:v>
      </x:c>
      <x:c r="I1093" s="14" t="n">
        <x:f>1-G1093-H1093</x:f>
        <x:v>0.32000000000000006</x:v>
      </x:c>
      <x:c r="J1093" s="2" t="n">
        <x:f>MAX(1,ROUND('기준스탯 72종'!D51-R1093-Z1093,0))</x:f>
        <x:v>3</x:v>
      </x:c>
      <x:c r="K1093" s="2" t="n">
        <x:f>MAX(1,ROUND('기준스탯 72종'!E51-S1093-AA1093,0))</x:f>
        <x:v>2</x:v>
      </x:c>
      <x:c r="L1093" s="2" t="n">
        <x:f>MAX(1,ROUND('기준스탯 72종'!F51-T1093-AB1093,0))</x:f>
        <x:v>2</x:v>
      </x:c>
      <x:c r="M1093" s="2" t="n">
        <x:f>MAX(1,ROUND('기준스탯 72종'!G51-U1093-AC1093,0))</x:f>
        <x:v>3</x:v>
      </x:c>
      <x:c r="N1093" s="2" t="n">
        <x:f>MAX(0,ROUND('기준스탯 72종'!H51-V1093-AD1093,0))</x:f>
        <x:v>1</x:v>
      </x:c>
      <x:c r="O1093" s="2" t="n">
        <x:f>MAX(0,ROUND('기준스탯 72종'!I51-W1093-AE1093,0))</x:f>
        <x:v>2</x:v>
      </x:c>
      <x:c r="P1093" s="2" t="n">
        <x:f>MAX(0,ROUND('기준스탯 72종'!J51-X1093-AF1093,0))</x:f>
        <x:v>2</x:v>
      </x:c>
      <x:c r="Q1093" s="2" t="n">
        <x:f>MAX(0,ROUND('기준스탯 72종'!K51-Y1093-AG1093,0))</x:f>
        <x:v>0</x:v>
      </x:c>
      <x:c r="R1093" s="15" t="n">
        <x:f>'기준스탯 72종'!D51*G1093</x:f>
        <x:v>5.039999999999999</x:v>
      </x:c>
      <x:c r="S1093" s="15" t="n">
        <x:f>'기준스탯 72종'!E51*G1093</x:f>
        <x:v>2.8</x:v>
      </x:c>
      <x:c r="T1093" s="15" t="n">
        <x:f>'기준스탯 72종'!F51*G1093</x:f>
        <x:v>3.9199999999999995</x:v>
      </x:c>
      <x:c r="U1093" s="15" t="n">
        <x:f>'기준스탯 72종'!G51*G1093</x:f>
        <x:v>4.4799999999999995</x:v>
      </x:c>
      <x:c r="V1093" s="15" t="n">
        <x:f>'기준스탯 72종'!H51*G1093</x:f>
        <x:v>1.6799999999999997</x:v>
      </x:c>
      <x:c r="W1093" s="15" t="n">
        <x:f>'기준스탯 72종'!I51*G1093</x:f>
        <x:v>3.9199999999999995</x:v>
      </x:c>
      <x:c r="X1093" s="15" t="n">
        <x:f>'기준스탯 72종'!J51*G1093</x:f>
        <x:v>3.3599999999999994</x:v>
      </x:c>
      <x:c r="Y1093" s="15" t="n">
        <x:f>'기준스탯 72종'!K51*G1093</x:f>
        <x:v>0</x:v>
      </x:c>
      <x:c r="Z1093" s="15" t="n">
        <x:f>'기준스탯 72종'!D51*H1093</x:f>
        <x:v>1.0800000000000003</x:v>
      </x:c>
      <x:c r="AA1093" s="15" t="n">
        <x:f>'기준스탯 72종'!E51*H1093</x:f>
        <x:v>0.6000000000000001</x:v>
      </x:c>
      <x:c r="AB1093" s="15" t="n">
        <x:f>'기준스탯 72종'!F51*H1093</x:f>
        <x:v>0.8400000000000002</x:v>
      </x:c>
      <x:c r="AC1093" s="15" t="n">
        <x:f>'기준스탯 72종'!G51*H1093</x:f>
        <x:v>0.9600000000000002</x:v>
      </x:c>
      <x:c r="AD1093" s="15" t="n">
        <x:f>'기준스탯 72종'!H51*H1093</x:f>
        <x:v>0.3600000000000001</x:v>
      </x:c>
      <x:c r="AE1093" s="15" t="n">
        <x:f>'기준스탯 72종'!I51*H1093</x:f>
        <x:v>0.8400000000000002</x:v>
      </x:c>
      <x:c r="AF1093" s="15" t="n">
        <x:f>'기준스탯 72종'!J51*H1093</x:f>
        <x:v>0.7200000000000002</x:v>
      </x:c>
      <x:c r="AG1093" s="15" t="n">
        <x:f>'기준스탯 72종'!K51*H1093</x:f>
        <x:v>0</x:v>
      </x:c>
    </x:row>
    <x:row r="1094" ht="28" customHeight="1">
      <x:c r="A1094" s="2" t="n">
        <x:v>1087</x:v>
      </x:c>
      <x:c r="B1094" s="2" t="n">
        <x:v>44</x:v>
      </x:c>
      <x:c r="C1094" s="2" t="str">
        <x:v>전갈자리</x:v>
      </x:c>
      <x:c r="D1094" s="2" t="str">
        <x:v>마도사</x:v>
      </x:c>
      <x:c r="E1094" s="2" t="n">
        <x:v>2</x:v>
      </x:c>
      <x:c r="F1094" s="2" t="n">
        <x:v>3</x:v>
      </x:c>
      <x:c r="G1094" s="14" t="n">
        <x:f>('레벨 계산식'!$E$4-E1094)*'레벨 계산식'!$B$5</x:f>
        <x:v>0.41999999999999993</x:v>
      </x:c>
      <x:c r="H1094" s="14" t="n">
        <x:f>('등급 계산식'!$E$4-F1094)*'등급 계산식'!$B$5</x:f>
        <x:v>0.12000000000000002</x:v>
      </x:c>
      <x:c r="I1094" s="14" t="n">
        <x:f>1-G1094-H1094</x:f>
        <x:v>0.4600000000000001</x:v>
      </x:c>
      <x:c r="J1094" s="2" t="n">
        <x:f>MAX(1,ROUND('기준스탯 72종'!D51-R1094-Z1094,0))</x:f>
        <x:v>4</x:v>
      </x:c>
      <x:c r="K1094" s="2" t="n">
        <x:f>MAX(1,ROUND('기준스탯 72종'!E51-S1094-AA1094,0))</x:f>
        <x:v>2</x:v>
      </x:c>
      <x:c r="L1094" s="2" t="n">
        <x:f>MAX(1,ROUND('기준스탯 72종'!F51-T1094-AB1094,0))</x:f>
        <x:v>3</x:v>
      </x:c>
      <x:c r="M1094" s="2" t="n">
        <x:f>MAX(1,ROUND('기준스탯 72종'!G51-U1094-AC1094,0))</x:f>
        <x:v>4</x:v>
      </x:c>
      <x:c r="N1094" s="2" t="n">
        <x:f>MAX(0,ROUND('기준스탯 72종'!H51-V1094-AD1094,0))</x:f>
        <x:v>1</x:v>
      </x:c>
      <x:c r="O1094" s="2" t="n">
        <x:f>MAX(0,ROUND('기준스탯 72종'!I51-W1094-AE1094,0))</x:f>
        <x:v>3</x:v>
      </x:c>
      <x:c r="P1094" s="2" t="n">
        <x:f>MAX(0,ROUND('기준스탯 72종'!J51-X1094-AF1094,0))</x:f>
        <x:v>3</x:v>
      </x:c>
      <x:c r="Q1094" s="2" t="n">
        <x:f>MAX(0,ROUND('기준스탯 72종'!K51-Y1094-AG1094,0))</x:f>
        <x:v>0</x:v>
      </x:c>
      <x:c r="R1094" s="15" t="n">
        <x:f>'기준스탯 72종'!D51*G1094</x:f>
        <x:v>3.7799999999999994</x:v>
      </x:c>
      <x:c r="S1094" s="15" t="n">
        <x:f>'기준스탯 72종'!E51*G1094</x:f>
        <x:v>2.0999999999999996</x:v>
      </x:c>
      <x:c r="T1094" s="15" t="n">
        <x:f>'기준스탯 72종'!F51*G1094</x:f>
        <x:v>2.9399999999999995</x:v>
      </x:c>
      <x:c r="U1094" s="15" t="n">
        <x:f>'기준스탯 72종'!G51*G1094</x:f>
        <x:v>3.3599999999999994</x:v>
      </x:c>
      <x:c r="V1094" s="15" t="n">
        <x:f>'기준스탯 72종'!H51*G1094</x:f>
        <x:v>1.2599999999999998</x:v>
      </x:c>
      <x:c r="W1094" s="15" t="n">
        <x:f>'기준스탯 72종'!I51*G1094</x:f>
        <x:v>2.9399999999999995</x:v>
      </x:c>
      <x:c r="X1094" s="15" t="n">
        <x:f>'기준스탯 72종'!J51*G1094</x:f>
        <x:v>2.5199999999999996</x:v>
      </x:c>
      <x:c r="Y1094" s="15" t="n">
        <x:f>'기준스탯 72종'!K51*G1094</x:f>
        <x:v>0</x:v>
      </x:c>
      <x:c r="Z1094" s="15" t="n">
        <x:f>'기준스탯 72종'!D51*H1094</x:f>
        <x:v>1.0800000000000003</x:v>
      </x:c>
      <x:c r="AA1094" s="15" t="n">
        <x:f>'기준스탯 72종'!E51*H1094</x:f>
        <x:v>0.6000000000000001</x:v>
      </x:c>
      <x:c r="AB1094" s="15" t="n">
        <x:f>'기준스탯 72종'!F51*H1094</x:f>
        <x:v>0.8400000000000002</x:v>
      </x:c>
      <x:c r="AC1094" s="15" t="n">
        <x:f>'기준스탯 72종'!G51*H1094</x:f>
        <x:v>0.9600000000000002</x:v>
      </x:c>
      <x:c r="AD1094" s="15" t="n">
        <x:f>'기준스탯 72종'!H51*H1094</x:f>
        <x:v>0.3600000000000001</x:v>
      </x:c>
      <x:c r="AE1094" s="15" t="n">
        <x:f>'기준스탯 72종'!I51*H1094</x:f>
        <x:v>0.8400000000000002</x:v>
      </x:c>
      <x:c r="AF1094" s="15" t="n">
        <x:f>'기준스탯 72종'!J51*H1094</x:f>
        <x:v>0.7200000000000002</x:v>
      </x:c>
      <x:c r="AG1094" s="15" t="n">
        <x:f>'기준스탯 72종'!K51*H1094</x:f>
        <x:v>0</x:v>
      </x:c>
    </x:row>
    <x:row r="1095" ht="28" customHeight="1">
      <x:c r="A1095" s="2" t="n">
        <x:v>1088</x:v>
      </x:c>
      <x:c r="B1095" s="2" t="n">
        <x:v>44</x:v>
      </x:c>
      <x:c r="C1095" s="2" t="str">
        <x:v>전갈자리</x:v>
      </x:c>
      <x:c r="D1095" s="2" t="str">
        <x:v>마도사</x:v>
      </x:c>
      <x:c r="E1095" s="2" t="n">
        <x:v>3</x:v>
      </x:c>
      <x:c r="F1095" s="2" t="n">
        <x:v>3</x:v>
      </x:c>
      <x:c r="G1095" s="14" t="n">
        <x:f>('레벨 계산식'!$E$4-E1095)*'레벨 계산식'!$B$5</x:f>
        <x:v>0.27999999999999997</x:v>
      </x:c>
      <x:c r="H1095" s="14" t="n">
        <x:f>('등급 계산식'!$E$4-F1095)*'등급 계산식'!$B$5</x:f>
        <x:v>0.12000000000000002</x:v>
      </x:c>
      <x:c r="I1095" s="14" t="n">
        <x:f>1-G1095-H1095</x:f>
        <x:v>0.6</x:v>
      </x:c>
      <x:c r="J1095" s="2" t="n">
        <x:f>MAX(1,ROUND('기준스탯 72종'!D51-R1095-Z1095,0))</x:f>
        <x:v>5</x:v>
      </x:c>
      <x:c r="K1095" s="2" t="n">
        <x:f>MAX(1,ROUND('기준스탯 72종'!E51-S1095-AA1095,0))</x:f>
        <x:v>3</x:v>
      </x:c>
      <x:c r="L1095" s="2" t="n">
        <x:f>MAX(1,ROUND('기준스탯 72종'!F51-T1095-AB1095,0))</x:f>
        <x:v>4</x:v>
      </x:c>
      <x:c r="M1095" s="2" t="n">
        <x:f>MAX(1,ROUND('기준스탯 72종'!G51-U1095-AC1095,0))</x:f>
        <x:v>5</x:v>
      </x:c>
      <x:c r="N1095" s="2" t="n">
        <x:f>MAX(0,ROUND('기준스탯 72종'!H51-V1095-AD1095,0))</x:f>
        <x:v>2</x:v>
      </x:c>
      <x:c r="O1095" s="2" t="n">
        <x:f>MAX(0,ROUND('기준스탯 72종'!I51-W1095-AE1095,0))</x:f>
        <x:v>4</x:v>
      </x:c>
      <x:c r="P1095" s="2" t="n">
        <x:f>MAX(0,ROUND('기준스탯 72종'!J51-X1095-AF1095,0))</x:f>
        <x:v>4</x:v>
      </x:c>
      <x:c r="Q1095" s="2" t="n">
        <x:f>MAX(0,ROUND('기준스탯 72종'!K51-Y1095-AG1095,0))</x:f>
        <x:v>0</x:v>
      </x:c>
      <x:c r="R1095" s="15" t="n">
        <x:f>'기준스탯 72종'!D51*G1095</x:f>
        <x:v>2.5199999999999996</x:v>
      </x:c>
      <x:c r="S1095" s="15" t="n">
        <x:f>'기준스탯 72종'!E51*G1095</x:f>
        <x:v>1.4</x:v>
      </x:c>
      <x:c r="T1095" s="15" t="n">
        <x:f>'기준스탯 72종'!F51*G1095</x:f>
        <x:v>1.9599999999999997</x:v>
      </x:c>
      <x:c r="U1095" s="15" t="n">
        <x:f>'기준스탯 72종'!G51*G1095</x:f>
        <x:v>2.2399999999999998</x:v>
      </x:c>
      <x:c r="V1095" s="15" t="n">
        <x:f>'기준스탯 72종'!H51*G1095</x:f>
        <x:v>0.8399999999999999</x:v>
      </x:c>
      <x:c r="W1095" s="15" t="n">
        <x:f>'기준스탯 72종'!I51*G1095</x:f>
        <x:v>1.9599999999999997</x:v>
      </x:c>
      <x:c r="X1095" s="15" t="n">
        <x:f>'기준스탯 72종'!J51*G1095</x:f>
        <x:v>1.6799999999999997</x:v>
      </x:c>
      <x:c r="Y1095" s="15" t="n">
        <x:f>'기준스탯 72종'!K51*G1095</x:f>
        <x:v>0</x:v>
      </x:c>
      <x:c r="Z1095" s="15" t="n">
        <x:f>'기준스탯 72종'!D51*H1095</x:f>
        <x:v>1.0800000000000003</x:v>
      </x:c>
      <x:c r="AA1095" s="15" t="n">
        <x:f>'기준스탯 72종'!E51*H1095</x:f>
        <x:v>0.6000000000000001</x:v>
      </x:c>
      <x:c r="AB1095" s="15" t="n">
        <x:f>'기준스탯 72종'!F51*H1095</x:f>
        <x:v>0.8400000000000002</x:v>
      </x:c>
      <x:c r="AC1095" s="15" t="n">
        <x:f>'기준스탯 72종'!G51*H1095</x:f>
        <x:v>0.9600000000000002</x:v>
      </x:c>
      <x:c r="AD1095" s="15" t="n">
        <x:f>'기준스탯 72종'!H51*H1095</x:f>
        <x:v>0.3600000000000001</x:v>
      </x:c>
      <x:c r="AE1095" s="15" t="n">
        <x:f>'기준스탯 72종'!I51*H1095</x:f>
        <x:v>0.8400000000000002</x:v>
      </x:c>
      <x:c r="AF1095" s="15" t="n">
        <x:f>'기준스탯 72종'!J51*H1095</x:f>
        <x:v>0.7200000000000002</x:v>
      </x:c>
      <x:c r="AG1095" s="15" t="n">
        <x:f>'기준스탯 72종'!K51*H1095</x:f>
        <x:v>0</x:v>
      </x:c>
    </x:row>
    <x:row r="1096" ht="28" customHeight="1">
      <x:c r="A1096" s="2" t="n">
        <x:v>1089</x:v>
      </x:c>
      <x:c r="B1096" s="2" t="n">
        <x:v>44</x:v>
      </x:c>
      <x:c r="C1096" s="2" t="str">
        <x:v>전갈자리</x:v>
      </x:c>
      <x:c r="D1096" s="2" t="str">
        <x:v>마도사</x:v>
      </x:c>
      <x:c r="E1096" s="2" t="n">
        <x:v>4</x:v>
      </x:c>
      <x:c r="F1096" s="2" t="n">
        <x:v>3</x:v>
      </x:c>
      <x:c r="G1096" s="14" t="n">
        <x:f>('레벨 계산식'!$E$4-E1096)*'레벨 계산식'!$B$5</x:f>
        <x:v>0.13999999999999999</x:v>
      </x:c>
      <x:c r="H1096" s="14" t="n">
        <x:f>('등급 계산식'!$E$4-F1096)*'등급 계산식'!$B$5</x:f>
        <x:v>0.12000000000000002</x:v>
      </x:c>
      <x:c r="I1096" s="14" t="n">
        <x:f>1-G1096-H1096</x:f>
        <x:v>0.74</x:v>
      </x:c>
      <x:c r="J1096" s="2" t="n">
        <x:f>MAX(1,ROUND('기준스탯 72종'!D51-R1096-Z1096,0))</x:f>
        <x:v>7</x:v>
      </x:c>
      <x:c r="K1096" s="2" t="n">
        <x:f>MAX(1,ROUND('기준스탯 72종'!E51-S1096-AA1096,0))</x:f>
        <x:v>4</x:v>
      </x:c>
      <x:c r="L1096" s="2" t="n">
        <x:f>MAX(1,ROUND('기준스탯 72종'!F51-T1096-AB1096,0))</x:f>
        <x:v>5</x:v>
      </x:c>
      <x:c r="M1096" s="2" t="n">
        <x:f>MAX(1,ROUND('기준스탯 72종'!G51-U1096-AC1096,0))</x:f>
        <x:v>6</x:v>
      </x:c>
      <x:c r="N1096" s="2" t="n">
        <x:f>MAX(0,ROUND('기준스탯 72종'!H51-V1096-AD1096,0))</x:f>
        <x:v>2</x:v>
      </x:c>
      <x:c r="O1096" s="2" t="n">
        <x:f>MAX(0,ROUND('기준스탯 72종'!I51-W1096-AE1096,0))</x:f>
        <x:v>5</x:v>
      </x:c>
      <x:c r="P1096" s="2" t="n">
        <x:f>MAX(0,ROUND('기준스탯 72종'!J51-X1096-AF1096,0))</x:f>
        <x:v>4</x:v>
      </x:c>
      <x:c r="Q1096" s="2" t="n">
        <x:f>MAX(0,ROUND('기준스탯 72종'!K51-Y1096-AG1096,0))</x:f>
        <x:v>0</x:v>
      </x:c>
      <x:c r="R1096" s="15" t="n">
        <x:f>'기준스탯 72종'!D51*G1096</x:f>
        <x:v>1.2599999999999998</x:v>
      </x:c>
      <x:c r="S1096" s="15" t="n">
        <x:f>'기준스탯 72종'!E51*G1096</x:f>
        <x:v>0.7</x:v>
      </x:c>
      <x:c r="T1096" s="15" t="n">
        <x:f>'기준스탯 72종'!F51*G1096</x:f>
        <x:v>0.9799999999999999</x:v>
      </x:c>
      <x:c r="U1096" s="15" t="n">
        <x:f>'기준스탯 72종'!G51*G1096</x:f>
        <x:v>1.1199999999999999</x:v>
      </x:c>
      <x:c r="V1096" s="15" t="n">
        <x:f>'기준스탯 72종'!H51*G1096</x:f>
        <x:v>0.41999999999999993</x:v>
      </x:c>
      <x:c r="W1096" s="15" t="n">
        <x:f>'기준스탯 72종'!I51*G1096</x:f>
        <x:v>0.9799999999999999</x:v>
      </x:c>
      <x:c r="X1096" s="15" t="n">
        <x:f>'기준스탯 72종'!J51*G1096</x:f>
        <x:v>0.8399999999999999</x:v>
      </x:c>
      <x:c r="Y1096" s="15" t="n">
        <x:f>'기준스탯 72종'!K51*G1096</x:f>
        <x:v>0</x:v>
      </x:c>
      <x:c r="Z1096" s="15" t="n">
        <x:f>'기준스탯 72종'!D51*H1096</x:f>
        <x:v>1.0800000000000003</x:v>
      </x:c>
      <x:c r="AA1096" s="15" t="n">
        <x:f>'기준스탯 72종'!E51*H1096</x:f>
        <x:v>0.6000000000000001</x:v>
      </x:c>
      <x:c r="AB1096" s="15" t="n">
        <x:f>'기준스탯 72종'!F51*H1096</x:f>
        <x:v>0.8400000000000002</x:v>
      </x:c>
      <x:c r="AC1096" s="15" t="n">
        <x:f>'기준스탯 72종'!G51*H1096</x:f>
        <x:v>0.9600000000000002</x:v>
      </x:c>
      <x:c r="AD1096" s="15" t="n">
        <x:f>'기준스탯 72종'!H51*H1096</x:f>
        <x:v>0.3600000000000001</x:v>
      </x:c>
      <x:c r="AE1096" s="15" t="n">
        <x:f>'기준스탯 72종'!I51*H1096</x:f>
        <x:v>0.8400000000000002</x:v>
      </x:c>
      <x:c r="AF1096" s="15" t="n">
        <x:f>'기준스탯 72종'!J51*H1096</x:f>
        <x:v>0.7200000000000002</x:v>
      </x:c>
      <x:c r="AG1096" s="15" t="n">
        <x:f>'기준스탯 72종'!K51*H1096</x:f>
        <x:v>0</x:v>
      </x:c>
    </x:row>
    <x:row r="1097" ht="28" customHeight="1">
      <x:c r="A1097" s="2" t="n">
        <x:v>1090</x:v>
      </x:c>
      <x:c r="B1097" s="2" t="n">
        <x:v>44</x:v>
      </x:c>
      <x:c r="C1097" s="2" t="str">
        <x:v>전갈자리</x:v>
      </x:c>
      <x:c r="D1097" s="2" t="str">
        <x:v>마도사</x:v>
      </x:c>
      <x:c r="E1097" s="2" t="n">
        <x:v>5</x:v>
      </x:c>
      <x:c r="F1097" s="2" t="n">
        <x:v>3</x:v>
      </x:c>
      <x:c r="G1097" s="14" t="n">
        <x:f>('레벨 계산식'!$E$4-E1097)*'레벨 계산식'!$B$5</x:f>
        <x:v>0</x:v>
      </x:c>
      <x:c r="H1097" s="14" t="n">
        <x:f>('등급 계산식'!$E$4-F1097)*'등급 계산식'!$B$5</x:f>
        <x:v>0.12000000000000002</x:v>
      </x:c>
      <x:c r="I1097" s="14" t="n">
        <x:f>1-G1097-H1097</x:f>
        <x:v>0.88</x:v>
      </x:c>
      <x:c r="J1097" s="2" t="n">
        <x:f>MAX(1,ROUND('기준스탯 72종'!D51-R1097-Z1097,0))</x:f>
        <x:v>8</x:v>
      </x:c>
      <x:c r="K1097" s="2" t="n">
        <x:f>MAX(1,ROUND('기준스탯 72종'!E51-S1097-AA1097,0))</x:f>
        <x:v>4</x:v>
      </x:c>
      <x:c r="L1097" s="2" t="n">
        <x:f>MAX(1,ROUND('기준스탯 72종'!F51-T1097-AB1097,0))</x:f>
        <x:v>6</x:v>
      </x:c>
      <x:c r="M1097" s="2" t="n">
        <x:f>MAX(1,ROUND('기준스탯 72종'!G51-U1097-AC1097,0))</x:f>
        <x:v>7</x:v>
      </x:c>
      <x:c r="N1097" s="2" t="n">
        <x:f>MAX(0,ROUND('기준스탯 72종'!H51-V1097-AD1097,0))</x:f>
        <x:v>3</x:v>
      </x:c>
      <x:c r="O1097" s="2" t="n">
        <x:f>MAX(0,ROUND('기준스탯 72종'!I51-W1097-AE1097,0))</x:f>
        <x:v>6</x:v>
      </x:c>
      <x:c r="P1097" s="2" t="n">
        <x:f>MAX(0,ROUND('기준스탯 72종'!J51-X1097-AF1097,0))</x:f>
        <x:v>5</x:v>
      </x:c>
      <x:c r="Q1097" s="2" t="n">
        <x:f>MAX(0,ROUND('기준스탯 72종'!K51-Y1097-AG1097,0))</x:f>
        <x:v>0</x:v>
      </x:c>
      <x:c r="R1097" s="15" t="n">
        <x:f>'기준스탯 72종'!D51*G1097</x:f>
        <x:v>0</x:v>
      </x:c>
      <x:c r="S1097" s="15" t="n">
        <x:f>'기준스탯 72종'!E51*G1097</x:f>
        <x:v>0</x:v>
      </x:c>
      <x:c r="T1097" s="15" t="n">
        <x:f>'기준스탯 72종'!F51*G1097</x:f>
        <x:v>0</x:v>
      </x:c>
      <x:c r="U1097" s="15" t="n">
        <x:f>'기준스탯 72종'!G51*G1097</x:f>
        <x:v>0</x:v>
      </x:c>
      <x:c r="V1097" s="15" t="n">
        <x:f>'기준스탯 72종'!H51*G1097</x:f>
        <x:v>0</x:v>
      </x:c>
      <x:c r="W1097" s="15" t="n">
        <x:f>'기준스탯 72종'!I51*G1097</x:f>
        <x:v>0</x:v>
      </x:c>
      <x:c r="X1097" s="15" t="n">
        <x:f>'기준스탯 72종'!J51*G1097</x:f>
        <x:v>0</x:v>
      </x:c>
      <x:c r="Y1097" s="15" t="n">
        <x:f>'기준스탯 72종'!K51*G1097</x:f>
        <x:v>0</x:v>
      </x:c>
      <x:c r="Z1097" s="15" t="n">
        <x:f>'기준스탯 72종'!D51*H1097</x:f>
        <x:v>1.0800000000000003</x:v>
      </x:c>
      <x:c r="AA1097" s="15" t="n">
        <x:f>'기준스탯 72종'!E51*H1097</x:f>
        <x:v>0.6000000000000001</x:v>
      </x:c>
      <x:c r="AB1097" s="15" t="n">
        <x:f>'기준스탯 72종'!F51*H1097</x:f>
        <x:v>0.8400000000000002</x:v>
      </x:c>
      <x:c r="AC1097" s="15" t="n">
        <x:f>'기준스탯 72종'!G51*H1097</x:f>
        <x:v>0.9600000000000002</x:v>
      </x:c>
      <x:c r="AD1097" s="15" t="n">
        <x:f>'기준스탯 72종'!H51*H1097</x:f>
        <x:v>0.3600000000000001</x:v>
      </x:c>
      <x:c r="AE1097" s="15" t="n">
        <x:f>'기준스탯 72종'!I51*H1097</x:f>
        <x:v>0.8400000000000002</x:v>
      </x:c>
      <x:c r="AF1097" s="15" t="n">
        <x:f>'기준스탯 72종'!J51*H1097</x:f>
        <x:v>0.7200000000000002</x:v>
      </x:c>
      <x:c r="AG1097" s="15" t="n">
        <x:f>'기준스탯 72종'!K51*H1097</x:f>
        <x:v>0</x:v>
      </x:c>
    </x:row>
    <x:row r="1098" ht="28" customHeight="1">
      <x:c r="A1098" s="2" t="n">
        <x:v>1091</x:v>
      </x:c>
      <x:c r="B1098" s="2" t="n">
        <x:v>44</x:v>
      </x:c>
      <x:c r="C1098" s="2" t="str">
        <x:v>전갈자리</x:v>
      </x:c>
      <x:c r="D1098" s="2" t="str">
        <x:v>마도사</x:v>
      </x:c>
      <x:c r="E1098" s="2" t="n">
        <x:v>1</x:v>
      </x:c>
      <x:c r="F1098" s="2" t="n">
        <x:v>4</x:v>
      </x:c>
      <x:c r="G1098" s="14" t="n">
        <x:f>('레벨 계산식'!$E$4-E1098)*'레벨 계산식'!$B$5</x:f>
        <x:v>0.5599999999999999</x:v>
      </x:c>
      <x:c r="H1098" s="14" t="n">
        <x:f>('등급 계산식'!$E$4-F1098)*'등급 계산식'!$B$5</x:f>
        <x:v>0.06000000000000001</x:v>
      </x:c>
      <x:c r="I1098" s="14" t="n">
        <x:f>1-G1098-H1098</x:f>
        <x:v>0.38000000000000006</x:v>
      </x:c>
      <x:c r="J1098" s="2" t="n">
        <x:f>MAX(1,ROUND('기준스탯 72종'!D51-R1098-Z1098,0))</x:f>
        <x:v>3</x:v>
      </x:c>
      <x:c r="K1098" s="2" t="n">
        <x:f>MAX(1,ROUND('기준스탯 72종'!E51-S1098-AA1098,0))</x:f>
        <x:v>2</x:v>
      </x:c>
      <x:c r="L1098" s="2" t="n">
        <x:f>MAX(1,ROUND('기준스탯 72종'!F51-T1098-AB1098,0))</x:f>
        <x:v>3</x:v>
      </x:c>
      <x:c r="M1098" s="2" t="n">
        <x:f>MAX(1,ROUND('기준스탯 72종'!G51-U1098-AC1098,0))</x:f>
        <x:v>3</x:v>
      </x:c>
      <x:c r="N1098" s="2" t="n">
        <x:f>MAX(0,ROUND('기준스탯 72종'!H51-V1098-AD1098,0))</x:f>
        <x:v>1</x:v>
      </x:c>
      <x:c r="O1098" s="2" t="n">
        <x:f>MAX(0,ROUND('기준스탯 72종'!I51-W1098-AE1098,0))</x:f>
        <x:v>3</x:v>
      </x:c>
      <x:c r="P1098" s="2" t="n">
        <x:f>MAX(0,ROUND('기준스탯 72종'!J51-X1098-AF1098,0))</x:f>
        <x:v>2</x:v>
      </x:c>
      <x:c r="Q1098" s="2" t="n">
        <x:f>MAX(0,ROUND('기준스탯 72종'!K51-Y1098-AG1098,0))</x:f>
        <x:v>0</x:v>
      </x:c>
      <x:c r="R1098" s="15" t="n">
        <x:f>'기준스탯 72종'!D51*G1098</x:f>
        <x:v>5.039999999999999</x:v>
      </x:c>
      <x:c r="S1098" s="15" t="n">
        <x:f>'기준스탯 72종'!E51*G1098</x:f>
        <x:v>2.8</x:v>
      </x:c>
      <x:c r="T1098" s="15" t="n">
        <x:f>'기준스탯 72종'!F51*G1098</x:f>
        <x:v>3.9199999999999995</x:v>
      </x:c>
      <x:c r="U1098" s="15" t="n">
        <x:f>'기준스탯 72종'!G51*G1098</x:f>
        <x:v>4.4799999999999995</x:v>
      </x:c>
      <x:c r="V1098" s="15" t="n">
        <x:f>'기준스탯 72종'!H51*G1098</x:f>
        <x:v>1.6799999999999997</x:v>
      </x:c>
      <x:c r="W1098" s="15" t="n">
        <x:f>'기준스탯 72종'!I51*G1098</x:f>
        <x:v>3.9199999999999995</x:v>
      </x:c>
      <x:c r="X1098" s="15" t="n">
        <x:f>'기준스탯 72종'!J51*G1098</x:f>
        <x:v>3.3599999999999994</x:v>
      </x:c>
      <x:c r="Y1098" s="15" t="n">
        <x:f>'기준스탯 72종'!K51*G1098</x:f>
        <x:v>0</x:v>
      </x:c>
      <x:c r="Z1098" s="15" t="n">
        <x:f>'기준스탯 72종'!D51*H1098</x:f>
        <x:v>0.5400000000000001</x:v>
      </x:c>
      <x:c r="AA1098" s="15" t="n">
        <x:f>'기준스탯 72종'!E51*H1098</x:f>
        <x:v>0.30000000000000004</x:v>
      </x:c>
      <x:c r="AB1098" s="15" t="n">
        <x:f>'기준스탯 72종'!F51*H1098</x:f>
        <x:v>0.4200000000000001</x:v>
      </x:c>
      <x:c r="AC1098" s="15" t="n">
        <x:f>'기준스탯 72종'!G51*H1098</x:f>
        <x:v>0.4800000000000001</x:v>
      </x:c>
      <x:c r="AD1098" s="15" t="n">
        <x:f>'기준스탯 72종'!H51*H1098</x:f>
        <x:v>0.18000000000000005</x:v>
      </x:c>
      <x:c r="AE1098" s="15" t="n">
        <x:f>'기준스탯 72종'!I51*H1098</x:f>
        <x:v>0.4200000000000001</x:v>
      </x:c>
      <x:c r="AF1098" s="15" t="n">
        <x:f>'기준스탯 72종'!J51*H1098</x:f>
        <x:v>0.3600000000000001</x:v>
      </x:c>
      <x:c r="AG1098" s="15" t="n">
        <x:f>'기준스탯 72종'!K51*H1098</x:f>
        <x:v>0</x:v>
      </x:c>
    </x:row>
    <x:row r="1099" ht="28" customHeight="1">
      <x:c r="A1099" s="2" t="n">
        <x:v>1092</x:v>
      </x:c>
      <x:c r="B1099" s="2" t="n">
        <x:v>44</x:v>
      </x:c>
      <x:c r="C1099" s="2" t="str">
        <x:v>전갈자리</x:v>
      </x:c>
      <x:c r="D1099" s="2" t="str">
        <x:v>마도사</x:v>
      </x:c>
      <x:c r="E1099" s="2" t="n">
        <x:v>2</x:v>
      </x:c>
      <x:c r="F1099" s="2" t="n">
        <x:v>4</x:v>
      </x:c>
      <x:c r="G1099" s="14" t="n">
        <x:f>('레벨 계산식'!$E$4-E1099)*'레벨 계산식'!$B$5</x:f>
        <x:v>0.41999999999999993</x:v>
      </x:c>
      <x:c r="H1099" s="14" t="n">
        <x:f>('등급 계산식'!$E$4-F1099)*'등급 계산식'!$B$5</x:f>
        <x:v>0.06000000000000001</x:v>
      </x:c>
      <x:c r="I1099" s="14" t="n">
        <x:f>1-G1099-H1099</x:f>
        <x:v>0.52</x:v>
      </x:c>
      <x:c r="J1099" s="2" t="n">
        <x:f>MAX(1,ROUND('기준스탯 72종'!D51-R1099-Z1099,0))</x:f>
        <x:v>5</x:v>
      </x:c>
      <x:c r="K1099" s="2" t="n">
        <x:f>MAX(1,ROUND('기준스탯 72종'!E51-S1099-AA1099,0))</x:f>
        <x:v>3</x:v>
      </x:c>
      <x:c r="L1099" s="2" t="n">
        <x:f>MAX(1,ROUND('기준스탯 72종'!F51-T1099-AB1099,0))</x:f>
        <x:v>4</x:v>
      </x:c>
      <x:c r="M1099" s="2" t="n">
        <x:f>MAX(1,ROUND('기준스탯 72종'!G51-U1099-AC1099,0))</x:f>
        <x:v>4</x:v>
      </x:c>
      <x:c r="N1099" s="2" t="n">
        <x:f>MAX(0,ROUND('기준스탯 72종'!H51-V1099-AD1099,0))</x:f>
        <x:v>2</x:v>
      </x:c>
      <x:c r="O1099" s="2" t="n">
        <x:f>MAX(0,ROUND('기준스탯 72종'!I51-W1099-AE1099,0))</x:f>
        <x:v>4</x:v>
      </x:c>
      <x:c r="P1099" s="2" t="n">
        <x:f>MAX(0,ROUND('기준스탯 72종'!J51-X1099-AF1099,0))</x:f>
        <x:v>3</x:v>
      </x:c>
      <x:c r="Q1099" s="2" t="n">
        <x:f>MAX(0,ROUND('기준스탯 72종'!K51-Y1099-AG1099,0))</x:f>
        <x:v>0</x:v>
      </x:c>
      <x:c r="R1099" s="15" t="n">
        <x:f>'기준스탯 72종'!D51*G1099</x:f>
        <x:v>3.7799999999999994</x:v>
      </x:c>
      <x:c r="S1099" s="15" t="n">
        <x:f>'기준스탯 72종'!E51*G1099</x:f>
        <x:v>2.0999999999999996</x:v>
      </x:c>
      <x:c r="T1099" s="15" t="n">
        <x:f>'기준스탯 72종'!F51*G1099</x:f>
        <x:v>2.9399999999999995</x:v>
      </x:c>
      <x:c r="U1099" s="15" t="n">
        <x:f>'기준스탯 72종'!G51*G1099</x:f>
        <x:v>3.3599999999999994</x:v>
      </x:c>
      <x:c r="V1099" s="15" t="n">
        <x:f>'기준스탯 72종'!H51*G1099</x:f>
        <x:v>1.2599999999999998</x:v>
      </x:c>
      <x:c r="W1099" s="15" t="n">
        <x:f>'기준스탯 72종'!I51*G1099</x:f>
        <x:v>2.9399999999999995</x:v>
      </x:c>
      <x:c r="X1099" s="15" t="n">
        <x:f>'기준스탯 72종'!J51*G1099</x:f>
        <x:v>2.5199999999999996</x:v>
      </x:c>
      <x:c r="Y1099" s="15" t="n">
        <x:f>'기준스탯 72종'!K51*G1099</x:f>
        <x:v>0</x:v>
      </x:c>
      <x:c r="Z1099" s="15" t="n">
        <x:f>'기준스탯 72종'!D51*H1099</x:f>
        <x:v>0.5400000000000001</x:v>
      </x:c>
      <x:c r="AA1099" s="15" t="n">
        <x:f>'기준스탯 72종'!E51*H1099</x:f>
        <x:v>0.30000000000000004</x:v>
      </x:c>
      <x:c r="AB1099" s="15" t="n">
        <x:f>'기준스탯 72종'!F51*H1099</x:f>
        <x:v>0.4200000000000001</x:v>
      </x:c>
      <x:c r="AC1099" s="15" t="n">
        <x:f>'기준스탯 72종'!G51*H1099</x:f>
        <x:v>0.4800000000000001</x:v>
      </x:c>
      <x:c r="AD1099" s="15" t="n">
        <x:f>'기준스탯 72종'!H51*H1099</x:f>
        <x:v>0.18000000000000005</x:v>
      </x:c>
      <x:c r="AE1099" s="15" t="n">
        <x:f>'기준스탯 72종'!I51*H1099</x:f>
        <x:v>0.4200000000000001</x:v>
      </x:c>
      <x:c r="AF1099" s="15" t="n">
        <x:f>'기준스탯 72종'!J51*H1099</x:f>
        <x:v>0.3600000000000001</x:v>
      </x:c>
      <x:c r="AG1099" s="15" t="n">
        <x:f>'기준스탯 72종'!K51*H1099</x:f>
        <x:v>0</x:v>
      </x:c>
    </x:row>
    <x:row r="1100" ht="28" customHeight="1">
      <x:c r="A1100" s="2" t="n">
        <x:v>1093</x:v>
      </x:c>
      <x:c r="B1100" s="2" t="n">
        <x:v>44</x:v>
      </x:c>
      <x:c r="C1100" s="2" t="str">
        <x:v>전갈자리</x:v>
      </x:c>
      <x:c r="D1100" s="2" t="str">
        <x:v>마도사</x:v>
      </x:c>
      <x:c r="E1100" s="2" t="n">
        <x:v>3</x:v>
      </x:c>
      <x:c r="F1100" s="2" t="n">
        <x:v>4</x:v>
      </x:c>
      <x:c r="G1100" s="14" t="n">
        <x:f>('레벨 계산식'!$E$4-E1100)*'레벨 계산식'!$B$5</x:f>
        <x:v>0.27999999999999997</x:v>
      </x:c>
      <x:c r="H1100" s="14" t="n">
        <x:f>('등급 계산식'!$E$4-F1100)*'등급 계산식'!$B$5</x:f>
        <x:v>0.06000000000000001</x:v>
      </x:c>
      <x:c r="I1100" s="14" t="n">
        <x:f>1-G1100-H1100</x:f>
        <x:v>0.6599999999999999</x:v>
      </x:c>
      <x:c r="J1100" s="2" t="n">
        <x:f>MAX(1,ROUND('기준스탯 72종'!D51-R1100-Z1100,0))</x:f>
        <x:v>6</x:v>
      </x:c>
      <x:c r="K1100" s="2" t="n">
        <x:f>MAX(1,ROUND('기준스탯 72종'!E51-S1100-AA1100,0))</x:f>
        <x:v>3</x:v>
      </x:c>
      <x:c r="L1100" s="2" t="n">
        <x:f>MAX(1,ROUND('기준스탯 72종'!F51-T1100-AB1100,0))</x:f>
        <x:v>5</x:v>
      </x:c>
      <x:c r="M1100" s="2" t="n">
        <x:f>MAX(1,ROUND('기준스탯 72종'!G51-U1100-AC1100,0))</x:f>
        <x:v>5</x:v>
      </x:c>
      <x:c r="N1100" s="2" t="n">
        <x:f>MAX(0,ROUND('기준스탯 72종'!H51-V1100-AD1100,0))</x:f>
        <x:v>2</x:v>
      </x:c>
      <x:c r="O1100" s="2" t="n">
        <x:f>MAX(0,ROUND('기준스탯 72종'!I51-W1100-AE1100,0))</x:f>
        <x:v>5</x:v>
      </x:c>
      <x:c r="P1100" s="2" t="n">
        <x:f>MAX(0,ROUND('기준스탯 72종'!J51-X1100-AF1100,0))</x:f>
        <x:v>4</x:v>
      </x:c>
      <x:c r="Q1100" s="2" t="n">
        <x:f>MAX(0,ROUND('기준스탯 72종'!K51-Y1100-AG1100,0))</x:f>
        <x:v>0</x:v>
      </x:c>
      <x:c r="R1100" s="15" t="n">
        <x:f>'기준스탯 72종'!D51*G1100</x:f>
        <x:v>2.5199999999999996</x:v>
      </x:c>
      <x:c r="S1100" s="15" t="n">
        <x:f>'기준스탯 72종'!E51*G1100</x:f>
        <x:v>1.4</x:v>
      </x:c>
      <x:c r="T1100" s="15" t="n">
        <x:f>'기준스탯 72종'!F51*G1100</x:f>
        <x:v>1.9599999999999997</x:v>
      </x:c>
      <x:c r="U1100" s="15" t="n">
        <x:f>'기준스탯 72종'!G51*G1100</x:f>
        <x:v>2.2399999999999998</x:v>
      </x:c>
      <x:c r="V1100" s="15" t="n">
        <x:f>'기준스탯 72종'!H51*G1100</x:f>
        <x:v>0.8399999999999999</x:v>
      </x:c>
      <x:c r="W1100" s="15" t="n">
        <x:f>'기준스탯 72종'!I51*G1100</x:f>
        <x:v>1.9599999999999997</x:v>
      </x:c>
      <x:c r="X1100" s="15" t="n">
        <x:f>'기준스탯 72종'!J51*G1100</x:f>
        <x:v>1.6799999999999997</x:v>
      </x:c>
      <x:c r="Y1100" s="15" t="n">
        <x:f>'기준스탯 72종'!K51*G1100</x:f>
        <x:v>0</x:v>
      </x:c>
      <x:c r="Z1100" s="15" t="n">
        <x:f>'기준스탯 72종'!D51*H1100</x:f>
        <x:v>0.5400000000000001</x:v>
      </x:c>
      <x:c r="AA1100" s="15" t="n">
        <x:f>'기준스탯 72종'!E51*H1100</x:f>
        <x:v>0.30000000000000004</x:v>
      </x:c>
      <x:c r="AB1100" s="15" t="n">
        <x:f>'기준스탯 72종'!F51*H1100</x:f>
        <x:v>0.4200000000000001</x:v>
      </x:c>
      <x:c r="AC1100" s="15" t="n">
        <x:f>'기준스탯 72종'!G51*H1100</x:f>
        <x:v>0.4800000000000001</x:v>
      </x:c>
      <x:c r="AD1100" s="15" t="n">
        <x:f>'기준스탯 72종'!H51*H1100</x:f>
        <x:v>0.18000000000000005</x:v>
      </x:c>
      <x:c r="AE1100" s="15" t="n">
        <x:f>'기준스탯 72종'!I51*H1100</x:f>
        <x:v>0.4200000000000001</x:v>
      </x:c>
      <x:c r="AF1100" s="15" t="n">
        <x:f>'기준스탯 72종'!J51*H1100</x:f>
        <x:v>0.3600000000000001</x:v>
      </x:c>
      <x:c r="AG1100" s="15" t="n">
        <x:f>'기준스탯 72종'!K51*H1100</x:f>
        <x:v>0</x:v>
      </x:c>
    </x:row>
    <x:row r="1101" ht="28" customHeight="1">
      <x:c r="A1101" s="2" t="n">
        <x:v>1094</x:v>
      </x:c>
      <x:c r="B1101" s="2" t="n">
        <x:v>44</x:v>
      </x:c>
      <x:c r="C1101" s="2" t="str">
        <x:v>전갈자리</x:v>
      </x:c>
      <x:c r="D1101" s="2" t="str">
        <x:v>마도사</x:v>
      </x:c>
      <x:c r="E1101" s="2" t="n">
        <x:v>4</x:v>
      </x:c>
      <x:c r="F1101" s="2" t="n">
        <x:v>4</x:v>
      </x:c>
      <x:c r="G1101" s="14" t="n">
        <x:f>('레벨 계산식'!$E$4-E1101)*'레벨 계산식'!$B$5</x:f>
        <x:v>0.13999999999999999</x:v>
      </x:c>
      <x:c r="H1101" s="14" t="n">
        <x:f>('등급 계산식'!$E$4-F1101)*'등급 계산식'!$B$5</x:f>
        <x:v>0.06000000000000001</x:v>
      </x:c>
      <x:c r="I1101" s="14" t="n">
        <x:f>1-G1101-H1101</x:f>
        <x:v>0.7999999999999999</x:v>
      </x:c>
      <x:c r="J1101" s="2" t="n">
        <x:f>MAX(1,ROUND('기준스탯 72종'!D51-R1101-Z1101,0))</x:f>
        <x:v>7</x:v>
      </x:c>
      <x:c r="K1101" s="2" t="n">
        <x:f>MAX(1,ROUND('기준스탯 72종'!E51-S1101-AA1101,0))</x:f>
        <x:v>4</x:v>
      </x:c>
      <x:c r="L1101" s="2" t="n">
        <x:f>MAX(1,ROUND('기준스탯 72종'!F51-T1101-AB1101,0))</x:f>
        <x:v>6</x:v>
      </x:c>
      <x:c r="M1101" s="2" t="n">
        <x:f>MAX(1,ROUND('기준스탯 72종'!G51-U1101-AC1101,0))</x:f>
        <x:v>6</x:v>
      </x:c>
      <x:c r="N1101" s="2" t="n">
        <x:f>MAX(0,ROUND('기준스탯 72종'!H51-V1101-AD1101,0))</x:f>
        <x:v>2</x:v>
      </x:c>
      <x:c r="O1101" s="2" t="n">
        <x:f>MAX(0,ROUND('기준스탯 72종'!I51-W1101-AE1101,0))</x:f>
        <x:v>6</x:v>
      </x:c>
      <x:c r="P1101" s="2" t="n">
        <x:f>MAX(0,ROUND('기준스탯 72종'!J51-X1101-AF1101,0))</x:f>
        <x:v>5</x:v>
      </x:c>
      <x:c r="Q1101" s="2" t="n">
        <x:f>MAX(0,ROUND('기준스탯 72종'!K51-Y1101-AG1101,0))</x:f>
        <x:v>0</x:v>
      </x:c>
      <x:c r="R1101" s="15" t="n">
        <x:f>'기준스탯 72종'!D51*G1101</x:f>
        <x:v>1.2599999999999998</x:v>
      </x:c>
      <x:c r="S1101" s="15" t="n">
        <x:f>'기준스탯 72종'!E51*G1101</x:f>
        <x:v>0.7</x:v>
      </x:c>
      <x:c r="T1101" s="15" t="n">
        <x:f>'기준스탯 72종'!F51*G1101</x:f>
        <x:v>0.9799999999999999</x:v>
      </x:c>
      <x:c r="U1101" s="15" t="n">
        <x:f>'기준스탯 72종'!G51*G1101</x:f>
        <x:v>1.1199999999999999</x:v>
      </x:c>
      <x:c r="V1101" s="15" t="n">
        <x:f>'기준스탯 72종'!H51*G1101</x:f>
        <x:v>0.41999999999999993</x:v>
      </x:c>
      <x:c r="W1101" s="15" t="n">
        <x:f>'기준스탯 72종'!I51*G1101</x:f>
        <x:v>0.9799999999999999</x:v>
      </x:c>
      <x:c r="X1101" s="15" t="n">
        <x:f>'기준스탯 72종'!J51*G1101</x:f>
        <x:v>0.8399999999999999</x:v>
      </x:c>
      <x:c r="Y1101" s="15" t="n">
        <x:f>'기준스탯 72종'!K51*G1101</x:f>
        <x:v>0</x:v>
      </x:c>
      <x:c r="Z1101" s="15" t="n">
        <x:f>'기준스탯 72종'!D51*H1101</x:f>
        <x:v>0.5400000000000001</x:v>
      </x:c>
      <x:c r="AA1101" s="15" t="n">
        <x:f>'기준스탯 72종'!E51*H1101</x:f>
        <x:v>0.30000000000000004</x:v>
      </x:c>
      <x:c r="AB1101" s="15" t="n">
        <x:f>'기준스탯 72종'!F51*H1101</x:f>
        <x:v>0.4200000000000001</x:v>
      </x:c>
      <x:c r="AC1101" s="15" t="n">
        <x:f>'기준스탯 72종'!G51*H1101</x:f>
        <x:v>0.4800000000000001</x:v>
      </x:c>
      <x:c r="AD1101" s="15" t="n">
        <x:f>'기준스탯 72종'!H51*H1101</x:f>
        <x:v>0.18000000000000005</x:v>
      </x:c>
      <x:c r="AE1101" s="15" t="n">
        <x:f>'기준스탯 72종'!I51*H1101</x:f>
        <x:v>0.4200000000000001</x:v>
      </x:c>
      <x:c r="AF1101" s="15" t="n">
        <x:f>'기준스탯 72종'!J51*H1101</x:f>
        <x:v>0.3600000000000001</x:v>
      </x:c>
      <x:c r="AG1101" s="15" t="n">
        <x:f>'기준스탯 72종'!K51*H1101</x:f>
        <x:v>0</x:v>
      </x:c>
    </x:row>
    <x:row r="1102" ht="28" customHeight="1">
      <x:c r="A1102" s="2" t="n">
        <x:v>1095</x:v>
      </x:c>
      <x:c r="B1102" s="2" t="n">
        <x:v>44</x:v>
      </x:c>
      <x:c r="C1102" s="2" t="str">
        <x:v>전갈자리</x:v>
      </x:c>
      <x:c r="D1102" s="2" t="str">
        <x:v>마도사</x:v>
      </x:c>
      <x:c r="E1102" s="2" t="n">
        <x:v>5</x:v>
      </x:c>
      <x:c r="F1102" s="2" t="n">
        <x:v>4</x:v>
      </x:c>
      <x:c r="G1102" s="14" t="n">
        <x:f>('레벨 계산식'!$E$4-E1102)*'레벨 계산식'!$B$5</x:f>
        <x:v>0</x:v>
      </x:c>
      <x:c r="H1102" s="14" t="n">
        <x:f>('등급 계산식'!$E$4-F1102)*'등급 계산식'!$B$5</x:f>
        <x:v>0.06000000000000001</x:v>
      </x:c>
      <x:c r="I1102" s="14" t="n">
        <x:f>1-G1102-H1102</x:f>
        <x:v>0.94</x:v>
      </x:c>
      <x:c r="J1102" s="2" t="n">
        <x:f>MAX(1,ROUND('기준스탯 72종'!D51-R1102-Z1102,0))</x:f>
        <x:v>8</x:v>
      </x:c>
      <x:c r="K1102" s="2" t="n">
        <x:f>MAX(1,ROUND('기준스탯 72종'!E51-S1102-AA1102,0))</x:f>
        <x:v>5</x:v>
      </x:c>
      <x:c r="L1102" s="2" t="n">
        <x:f>MAX(1,ROUND('기준스탯 72종'!F51-T1102-AB1102,0))</x:f>
        <x:v>7</x:v>
      </x:c>
      <x:c r="M1102" s="2" t="n">
        <x:f>MAX(1,ROUND('기준스탯 72종'!G51-U1102-AC1102,0))</x:f>
        <x:v>8</x:v>
      </x:c>
      <x:c r="N1102" s="2" t="n">
        <x:f>MAX(0,ROUND('기준스탯 72종'!H51-V1102-AD1102,0))</x:f>
        <x:v>3</x:v>
      </x:c>
      <x:c r="O1102" s="2" t="n">
        <x:f>MAX(0,ROUND('기준스탯 72종'!I51-W1102-AE1102,0))</x:f>
        <x:v>7</x:v>
      </x:c>
      <x:c r="P1102" s="2" t="n">
        <x:f>MAX(0,ROUND('기준스탯 72종'!J51-X1102-AF1102,0))</x:f>
        <x:v>6</x:v>
      </x:c>
      <x:c r="Q1102" s="2" t="n">
        <x:f>MAX(0,ROUND('기준스탯 72종'!K51-Y1102-AG1102,0))</x:f>
        <x:v>0</x:v>
      </x:c>
      <x:c r="R1102" s="15" t="n">
        <x:f>'기준스탯 72종'!D51*G1102</x:f>
        <x:v>0</x:v>
      </x:c>
      <x:c r="S1102" s="15" t="n">
        <x:f>'기준스탯 72종'!E51*G1102</x:f>
        <x:v>0</x:v>
      </x:c>
      <x:c r="T1102" s="15" t="n">
        <x:f>'기준스탯 72종'!F51*G1102</x:f>
        <x:v>0</x:v>
      </x:c>
      <x:c r="U1102" s="15" t="n">
        <x:f>'기준스탯 72종'!G51*G1102</x:f>
        <x:v>0</x:v>
      </x:c>
      <x:c r="V1102" s="15" t="n">
        <x:f>'기준스탯 72종'!H51*G1102</x:f>
        <x:v>0</x:v>
      </x:c>
      <x:c r="W1102" s="15" t="n">
        <x:f>'기준스탯 72종'!I51*G1102</x:f>
        <x:v>0</x:v>
      </x:c>
      <x:c r="X1102" s="15" t="n">
        <x:f>'기준스탯 72종'!J51*G1102</x:f>
        <x:v>0</x:v>
      </x:c>
      <x:c r="Y1102" s="15" t="n">
        <x:f>'기준스탯 72종'!K51*G1102</x:f>
        <x:v>0</x:v>
      </x:c>
      <x:c r="Z1102" s="15" t="n">
        <x:f>'기준스탯 72종'!D51*H1102</x:f>
        <x:v>0.5400000000000001</x:v>
      </x:c>
      <x:c r="AA1102" s="15" t="n">
        <x:f>'기준스탯 72종'!E51*H1102</x:f>
        <x:v>0.30000000000000004</x:v>
      </x:c>
      <x:c r="AB1102" s="15" t="n">
        <x:f>'기준스탯 72종'!F51*H1102</x:f>
        <x:v>0.4200000000000001</x:v>
      </x:c>
      <x:c r="AC1102" s="15" t="n">
        <x:f>'기준스탯 72종'!G51*H1102</x:f>
        <x:v>0.4800000000000001</x:v>
      </x:c>
      <x:c r="AD1102" s="15" t="n">
        <x:f>'기준스탯 72종'!H51*H1102</x:f>
        <x:v>0.18000000000000005</x:v>
      </x:c>
      <x:c r="AE1102" s="15" t="n">
        <x:f>'기준스탯 72종'!I51*H1102</x:f>
        <x:v>0.4200000000000001</x:v>
      </x:c>
      <x:c r="AF1102" s="15" t="n">
        <x:f>'기준스탯 72종'!J51*H1102</x:f>
        <x:v>0.3600000000000001</x:v>
      </x:c>
      <x:c r="AG1102" s="15" t="n">
        <x:f>'기준스탯 72종'!K51*H1102</x:f>
        <x:v>0</x:v>
      </x:c>
    </x:row>
    <x:row r="1103" ht="28" customHeight="1">
      <x:c r="A1103" s="2" t="n">
        <x:v>1096</x:v>
      </x:c>
      <x:c r="B1103" s="2" t="n">
        <x:v>44</x:v>
      </x:c>
      <x:c r="C1103" s="2" t="str">
        <x:v>전갈자리</x:v>
      </x:c>
      <x:c r="D1103" s="2" t="str">
        <x:v>마도사</x:v>
      </x:c>
      <x:c r="E1103" s="2" t="n">
        <x:v>1</x:v>
      </x:c>
      <x:c r="F1103" s="2" t="n">
        <x:v>5</x:v>
      </x:c>
      <x:c r="G1103" s="14" t="n">
        <x:f>('레벨 계산식'!$E$4-E1103)*'레벨 계산식'!$B$5</x:f>
        <x:v>0.5599999999999999</x:v>
      </x:c>
      <x:c r="H1103" s="14" t="n">
        <x:f>('등급 계산식'!$E$4-F1103)*'등급 계산식'!$B$5</x:f>
        <x:v>0</x:v>
      </x:c>
      <x:c r="I1103" s="14" t="n">
        <x:f>1-G1103-H1103</x:f>
        <x:v>0.44000000000000006</x:v>
      </x:c>
      <x:c r="J1103" s="2" t="n">
        <x:f>MAX(1,ROUND('기준스탯 72종'!D51-R1103-Z1103,0))</x:f>
        <x:v>4</x:v>
      </x:c>
      <x:c r="K1103" s="2" t="n">
        <x:f>MAX(1,ROUND('기준스탯 72종'!E51-S1103-AA1103,0))</x:f>
        <x:v>2</x:v>
      </x:c>
      <x:c r="L1103" s="2" t="n">
        <x:f>MAX(1,ROUND('기준스탯 72종'!F51-T1103-AB1103,0))</x:f>
        <x:v>3</x:v>
      </x:c>
      <x:c r="M1103" s="2" t="n">
        <x:f>MAX(1,ROUND('기준스탯 72종'!G51-U1103-AC1103,0))</x:f>
        <x:v>4</x:v>
      </x:c>
      <x:c r="N1103" s="2" t="n">
        <x:f>MAX(0,ROUND('기준스탯 72종'!H51-V1103-AD1103,0))</x:f>
        <x:v>1</x:v>
      </x:c>
      <x:c r="O1103" s="2" t="n">
        <x:f>MAX(0,ROUND('기준스탯 72종'!I51-W1103-AE1103,0))</x:f>
        <x:v>3</x:v>
      </x:c>
      <x:c r="P1103" s="2" t="n">
        <x:f>MAX(0,ROUND('기준스탯 72종'!J51-X1103-AF1103,0))</x:f>
        <x:v>3</x:v>
      </x:c>
      <x:c r="Q1103" s="2" t="n">
        <x:f>MAX(0,ROUND('기준스탯 72종'!K51-Y1103-AG1103,0))</x:f>
        <x:v>0</x:v>
      </x:c>
      <x:c r="R1103" s="15" t="n">
        <x:f>'기준스탯 72종'!D51*G1103</x:f>
        <x:v>5.039999999999999</x:v>
      </x:c>
      <x:c r="S1103" s="15" t="n">
        <x:f>'기준스탯 72종'!E51*G1103</x:f>
        <x:v>2.8</x:v>
      </x:c>
      <x:c r="T1103" s="15" t="n">
        <x:f>'기준스탯 72종'!F51*G1103</x:f>
        <x:v>3.9199999999999995</x:v>
      </x:c>
      <x:c r="U1103" s="15" t="n">
        <x:f>'기준스탯 72종'!G51*G1103</x:f>
        <x:v>4.4799999999999995</x:v>
      </x:c>
      <x:c r="V1103" s="15" t="n">
        <x:f>'기준스탯 72종'!H51*G1103</x:f>
        <x:v>1.6799999999999997</x:v>
      </x:c>
      <x:c r="W1103" s="15" t="n">
        <x:f>'기준스탯 72종'!I51*G1103</x:f>
        <x:v>3.9199999999999995</x:v>
      </x:c>
      <x:c r="X1103" s="15" t="n">
        <x:f>'기준스탯 72종'!J51*G1103</x:f>
        <x:v>3.3599999999999994</x:v>
      </x:c>
      <x:c r="Y1103" s="15" t="n">
        <x:f>'기준스탯 72종'!K51*G1103</x:f>
        <x:v>0</x:v>
      </x:c>
      <x:c r="Z1103" s="15" t="n">
        <x:f>'기준스탯 72종'!D51*H1103</x:f>
        <x:v>0</x:v>
      </x:c>
      <x:c r="AA1103" s="15" t="n">
        <x:f>'기준스탯 72종'!E51*H1103</x:f>
        <x:v>0</x:v>
      </x:c>
      <x:c r="AB1103" s="15" t="n">
        <x:f>'기준스탯 72종'!F51*H1103</x:f>
        <x:v>0</x:v>
      </x:c>
      <x:c r="AC1103" s="15" t="n">
        <x:f>'기준스탯 72종'!G51*H1103</x:f>
        <x:v>0</x:v>
      </x:c>
      <x:c r="AD1103" s="15" t="n">
        <x:f>'기준스탯 72종'!H51*H1103</x:f>
        <x:v>0</x:v>
      </x:c>
      <x:c r="AE1103" s="15" t="n">
        <x:f>'기준스탯 72종'!I51*H1103</x:f>
        <x:v>0</x:v>
      </x:c>
      <x:c r="AF1103" s="15" t="n">
        <x:f>'기준스탯 72종'!J51*H1103</x:f>
        <x:v>0</x:v>
      </x:c>
      <x:c r="AG1103" s="15" t="n">
        <x:f>'기준스탯 72종'!K51*H1103</x:f>
        <x:v>0</x:v>
      </x:c>
    </x:row>
    <x:row r="1104" ht="28" customHeight="1">
      <x:c r="A1104" s="2" t="n">
        <x:v>1097</x:v>
      </x:c>
      <x:c r="B1104" s="2" t="n">
        <x:v>44</x:v>
      </x:c>
      <x:c r="C1104" s="2" t="str">
        <x:v>전갈자리</x:v>
      </x:c>
      <x:c r="D1104" s="2" t="str">
        <x:v>마도사</x:v>
      </x:c>
      <x:c r="E1104" s="2" t="n">
        <x:v>2</x:v>
      </x:c>
      <x:c r="F1104" s="2" t="n">
        <x:v>5</x:v>
      </x:c>
      <x:c r="G1104" s="14" t="n">
        <x:f>('레벨 계산식'!$E$4-E1104)*'레벨 계산식'!$B$5</x:f>
        <x:v>0.41999999999999993</x:v>
      </x:c>
      <x:c r="H1104" s="14" t="n">
        <x:f>('등급 계산식'!$E$4-F1104)*'등급 계산식'!$B$5</x:f>
        <x:v>0</x:v>
      </x:c>
      <x:c r="I1104" s="14" t="n">
        <x:f>1-G1104-H1104</x:f>
        <x:v>0.5800000000000001</x:v>
      </x:c>
      <x:c r="J1104" s="2" t="n">
        <x:f>MAX(1,ROUND('기준스탯 72종'!D51-R1104-Z1104,0))</x:f>
        <x:v>5</x:v>
      </x:c>
      <x:c r="K1104" s="2" t="n">
        <x:f>MAX(1,ROUND('기준스탯 72종'!E51-S1104-AA1104,0))</x:f>
        <x:v>3</x:v>
      </x:c>
      <x:c r="L1104" s="2" t="n">
        <x:f>MAX(1,ROUND('기준스탯 72종'!F51-T1104-AB1104,0))</x:f>
        <x:v>4</x:v>
      </x:c>
      <x:c r="M1104" s="2" t="n">
        <x:f>MAX(1,ROUND('기준스탯 72종'!G51-U1104-AC1104,0))</x:f>
        <x:v>5</x:v>
      </x:c>
      <x:c r="N1104" s="2" t="n">
        <x:f>MAX(0,ROUND('기준스탯 72종'!H51-V1104-AD1104,0))</x:f>
        <x:v>2</x:v>
      </x:c>
      <x:c r="O1104" s="2" t="n">
        <x:f>MAX(0,ROUND('기준스탯 72종'!I51-W1104-AE1104,0))</x:f>
        <x:v>4</x:v>
      </x:c>
      <x:c r="P1104" s="2" t="n">
        <x:f>MAX(0,ROUND('기준스탯 72종'!J51-X1104-AF1104,0))</x:f>
        <x:v>3</x:v>
      </x:c>
      <x:c r="Q1104" s="2" t="n">
        <x:f>MAX(0,ROUND('기준스탯 72종'!K51-Y1104-AG1104,0))</x:f>
        <x:v>0</x:v>
      </x:c>
      <x:c r="R1104" s="15" t="n">
        <x:f>'기준스탯 72종'!D51*G1104</x:f>
        <x:v>3.7799999999999994</x:v>
      </x:c>
      <x:c r="S1104" s="15" t="n">
        <x:f>'기준스탯 72종'!E51*G1104</x:f>
        <x:v>2.0999999999999996</x:v>
      </x:c>
      <x:c r="T1104" s="15" t="n">
        <x:f>'기준스탯 72종'!F51*G1104</x:f>
        <x:v>2.9399999999999995</x:v>
      </x:c>
      <x:c r="U1104" s="15" t="n">
        <x:f>'기준스탯 72종'!G51*G1104</x:f>
        <x:v>3.3599999999999994</x:v>
      </x:c>
      <x:c r="V1104" s="15" t="n">
        <x:f>'기준스탯 72종'!H51*G1104</x:f>
        <x:v>1.2599999999999998</x:v>
      </x:c>
      <x:c r="W1104" s="15" t="n">
        <x:f>'기준스탯 72종'!I51*G1104</x:f>
        <x:v>2.9399999999999995</x:v>
      </x:c>
      <x:c r="X1104" s="15" t="n">
        <x:f>'기준스탯 72종'!J51*G1104</x:f>
        <x:v>2.5199999999999996</x:v>
      </x:c>
      <x:c r="Y1104" s="15" t="n">
        <x:f>'기준스탯 72종'!K51*G1104</x:f>
        <x:v>0</x:v>
      </x:c>
      <x:c r="Z1104" s="15" t="n">
        <x:f>'기준스탯 72종'!D51*H1104</x:f>
        <x:v>0</x:v>
      </x:c>
      <x:c r="AA1104" s="15" t="n">
        <x:f>'기준스탯 72종'!E51*H1104</x:f>
        <x:v>0</x:v>
      </x:c>
      <x:c r="AB1104" s="15" t="n">
        <x:f>'기준스탯 72종'!F51*H1104</x:f>
        <x:v>0</x:v>
      </x:c>
      <x:c r="AC1104" s="15" t="n">
        <x:f>'기준스탯 72종'!G51*H1104</x:f>
        <x:v>0</x:v>
      </x:c>
      <x:c r="AD1104" s="15" t="n">
        <x:f>'기준스탯 72종'!H51*H1104</x:f>
        <x:v>0</x:v>
      </x:c>
      <x:c r="AE1104" s="15" t="n">
        <x:f>'기준스탯 72종'!I51*H1104</x:f>
        <x:v>0</x:v>
      </x:c>
      <x:c r="AF1104" s="15" t="n">
        <x:f>'기준스탯 72종'!J51*H1104</x:f>
        <x:v>0</x:v>
      </x:c>
      <x:c r="AG1104" s="15" t="n">
        <x:f>'기준스탯 72종'!K51*H1104</x:f>
        <x:v>0</x:v>
      </x:c>
    </x:row>
    <x:row r="1105" ht="28" customHeight="1">
      <x:c r="A1105" s="2" t="n">
        <x:v>1098</x:v>
      </x:c>
      <x:c r="B1105" s="2" t="n">
        <x:v>44</x:v>
      </x:c>
      <x:c r="C1105" s="2" t="str">
        <x:v>전갈자리</x:v>
      </x:c>
      <x:c r="D1105" s="2" t="str">
        <x:v>마도사</x:v>
      </x:c>
      <x:c r="E1105" s="2" t="n">
        <x:v>3</x:v>
      </x:c>
      <x:c r="F1105" s="2" t="n">
        <x:v>5</x:v>
      </x:c>
      <x:c r="G1105" s="14" t="n">
        <x:f>('레벨 계산식'!$E$4-E1105)*'레벨 계산식'!$B$5</x:f>
        <x:v>0.27999999999999997</x:v>
      </x:c>
      <x:c r="H1105" s="14" t="n">
        <x:f>('등급 계산식'!$E$4-F1105)*'등급 계산식'!$B$5</x:f>
        <x:v>0</x:v>
      </x:c>
      <x:c r="I1105" s="14" t="n">
        <x:f>1-G1105-H1105</x:f>
        <x:v>0.72</x:v>
      </x:c>
      <x:c r="J1105" s="2" t="n">
        <x:f>MAX(1,ROUND('기준스탯 72종'!D51-R1105-Z1105,0))</x:f>
        <x:v>6</x:v>
      </x:c>
      <x:c r="K1105" s="2" t="n">
        <x:f>MAX(1,ROUND('기준스탯 72종'!E51-S1105-AA1105,0))</x:f>
        <x:v>4</x:v>
      </x:c>
      <x:c r="L1105" s="2" t="n">
        <x:f>MAX(1,ROUND('기준스탯 72종'!F51-T1105-AB1105,0))</x:f>
        <x:v>5</x:v>
      </x:c>
      <x:c r="M1105" s="2" t="n">
        <x:f>MAX(1,ROUND('기준스탯 72종'!G51-U1105-AC1105,0))</x:f>
        <x:v>6</x:v>
      </x:c>
      <x:c r="N1105" s="2" t="n">
        <x:f>MAX(0,ROUND('기준스탯 72종'!H51-V1105-AD1105,0))</x:f>
        <x:v>2</x:v>
      </x:c>
      <x:c r="O1105" s="2" t="n">
        <x:f>MAX(0,ROUND('기준스탯 72종'!I51-W1105-AE1105,0))</x:f>
        <x:v>5</x:v>
      </x:c>
      <x:c r="P1105" s="2" t="n">
        <x:f>MAX(0,ROUND('기준스탯 72종'!J51-X1105-AF1105,0))</x:f>
        <x:v>4</x:v>
      </x:c>
      <x:c r="Q1105" s="2" t="n">
        <x:f>MAX(0,ROUND('기준스탯 72종'!K51-Y1105-AG1105,0))</x:f>
        <x:v>0</x:v>
      </x:c>
      <x:c r="R1105" s="15" t="n">
        <x:f>'기준스탯 72종'!D51*G1105</x:f>
        <x:v>2.5199999999999996</x:v>
      </x:c>
      <x:c r="S1105" s="15" t="n">
        <x:f>'기준스탯 72종'!E51*G1105</x:f>
        <x:v>1.4</x:v>
      </x:c>
      <x:c r="T1105" s="15" t="n">
        <x:f>'기준스탯 72종'!F51*G1105</x:f>
        <x:v>1.9599999999999997</x:v>
      </x:c>
      <x:c r="U1105" s="15" t="n">
        <x:f>'기준스탯 72종'!G51*G1105</x:f>
        <x:v>2.2399999999999998</x:v>
      </x:c>
      <x:c r="V1105" s="15" t="n">
        <x:f>'기준스탯 72종'!H51*G1105</x:f>
        <x:v>0.8399999999999999</x:v>
      </x:c>
      <x:c r="W1105" s="15" t="n">
        <x:f>'기준스탯 72종'!I51*G1105</x:f>
        <x:v>1.9599999999999997</x:v>
      </x:c>
      <x:c r="X1105" s="15" t="n">
        <x:f>'기준스탯 72종'!J51*G1105</x:f>
        <x:v>1.6799999999999997</x:v>
      </x:c>
      <x:c r="Y1105" s="15" t="n">
        <x:f>'기준스탯 72종'!K51*G1105</x:f>
        <x:v>0</x:v>
      </x:c>
      <x:c r="Z1105" s="15" t="n">
        <x:f>'기준스탯 72종'!D51*H1105</x:f>
        <x:v>0</x:v>
      </x:c>
      <x:c r="AA1105" s="15" t="n">
        <x:f>'기준스탯 72종'!E51*H1105</x:f>
        <x:v>0</x:v>
      </x:c>
      <x:c r="AB1105" s="15" t="n">
        <x:f>'기준스탯 72종'!F51*H1105</x:f>
        <x:v>0</x:v>
      </x:c>
      <x:c r="AC1105" s="15" t="n">
        <x:f>'기준스탯 72종'!G51*H1105</x:f>
        <x:v>0</x:v>
      </x:c>
      <x:c r="AD1105" s="15" t="n">
        <x:f>'기준스탯 72종'!H51*H1105</x:f>
        <x:v>0</x:v>
      </x:c>
      <x:c r="AE1105" s="15" t="n">
        <x:f>'기준스탯 72종'!I51*H1105</x:f>
        <x:v>0</x:v>
      </x:c>
      <x:c r="AF1105" s="15" t="n">
        <x:f>'기준스탯 72종'!J51*H1105</x:f>
        <x:v>0</x:v>
      </x:c>
      <x:c r="AG1105" s="15" t="n">
        <x:f>'기준스탯 72종'!K51*H1105</x:f>
        <x:v>0</x:v>
      </x:c>
    </x:row>
    <x:row r="1106" ht="28" customHeight="1">
      <x:c r="A1106" s="2" t="n">
        <x:v>1099</x:v>
      </x:c>
      <x:c r="B1106" s="2" t="n">
        <x:v>44</x:v>
      </x:c>
      <x:c r="C1106" s="2" t="str">
        <x:v>전갈자리</x:v>
      </x:c>
      <x:c r="D1106" s="2" t="str">
        <x:v>마도사</x:v>
      </x:c>
      <x:c r="E1106" s="2" t="n">
        <x:v>4</x:v>
      </x:c>
      <x:c r="F1106" s="2" t="n">
        <x:v>5</x:v>
      </x:c>
      <x:c r="G1106" s="14" t="n">
        <x:f>('레벨 계산식'!$E$4-E1106)*'레벨 계산식'!$B$5</x:f>
        <x:v>0.13999999999999999</x:v>
      </x:c>
      <x:c r="H1106" s="14" t="n">
        <x:f>('등급 계산식'!$E$4-F1106)*'등급 계산식'!$B$5</x:f>
        <x:v>0</x:v>
      </x:c>
      <x:c r="I1106" s="14" t="n">
        <x:f>1-G1106-H1106</x:f>
        <x:v>0.86</x:v>
      </x:c>
      <x:c r="J1106" s="2" t="n">
        <x:f>MAX(1,ROUND('기준스탯 72종'!D51-R1106-Z1106,0))</x:f>
        <x:v>8</x:v>
      </x:c>
      <x:c r="K1106" s="2" t="n">
        <x:f>MAX(1,ROUND('기준스탯 72종'!E51-S1106-AA1106,0))</x:f>
        <x:v>4</x:v>
      </x:c>
      <x:c r="L1106" s="2" t="n">
        <x:f>MAX(1,ROUND('기준스탯 72종'!F51-T1106-AB1106,0))</x:f>
        <x:v>6</x:v>
      </x:c>
      <x:c r="M1106" s="2" t="n">
        <x:f>MAX(1,ROUND('기준스탯 72종'!G51-U1106-AC1106,0))</x:f>
        <x:v>7</x:v>
      </x:c>
      <x:c r="N1106" s="2" t="n">
        <x:f>MAX(0,ROUND('기준스탯 72종'!H51-V1106-AD1106,0))</x:f>
        <x:v>3</x:v>
      </x:c>
      <x:c r="O1106" s="2" t="n">
        <x:f>MAX(0,ROUND('기준스탯 72종'!I51-W1106-AE1106,0))</x:f>
        <x:v>6</x:v>
      </x:c>
      <x:c r="P1106" s="2" t="n">
        <x:f>MAX(0,ROUND('기준스탯 72종'!J51-X1106-AF1106,0))</x:f>
        <x:v>5</x:v>
      </x:c>
      <x:c r="Q1106" s="2" t="n">
        <x:f>MAX(0,ROUND('기준스탯 72종'!K51-Y1106-AG1106,0))</x:f>
        <x:v>0</x:v>
      </x:c>
      <x:c r="R1106" s="15" t="n">
        <x:f>'기준스탯 72종'!D51*G1106</x:f>
        <x:v>1.2599999999999998</x:v>
      </x:c>
      <x:c r="S1106" s="15" t="n">
        <x:f>'기준스탯 72종'!E51*G1106</x:f>
        <x:v>0.7</x:v>
      </x:c>
      <x:c r="T1106" s="15" t="n">
        <x:f>'기준스탯 72종'!F51*G1106</x:f>
        <x:v>0.9799999999999999</x:v>
      </x:c>
      <x:c r="U1106" s="15" t="n">
        <x:f>'기준스탯 72종'!G51*G1106</x:f>
        <x:v>1.1199999999999999</x:v>
      </x:c>
      <x:c r="V1106" s="15" t="n">
        <x:f>'기준스탯 72종'!H51*G1106</x:f>
        <x:v>0.41999999999999993</x:v>
      </x:c>
      <x:c r="W1106" s="15" t="n">
        <x:f>'기준스탯 72종'!I51*G1106</x:f>
        <x:v>0.9799999999999999</x:v>
      </x:c>
      <x:c r="X1106" s="15" t="n">
        <x:f>'기준스탯 72종'!J51*G1106</x:f>
        <x:v>0.8399999999999999</x:v>
      </x:c>
      <x:c r="Y1106" s="15" t="n">
        <x:f>'기준스탯 72종'!K51*G1106</x:f>
        <x:v>0</x:v>
      </x:c>
      <x:c r="Z1106" s="15" t="n">
        <x:f>'기준스탯 72종'!D51*H1106</x:f>
        <x:v>0</x:v>
      </x:c>
      <x:c r="AA1106" s="15" t="n">
        <x:f>'기준스탯 72종'!E51*H1106</x:f>
        <x:v>0</x:v>
      </x:c>
      <x:c r="AB1106" s="15" t="n">
        <x:f>'기준스탯 72종'!F51*H1106</x:f>
        <x:v>0</x:v>
      </x:c>
      <x:c r="AC1106" s="15" t="n">
        <x:f>'기준스탯 72종'!G51*H1106</x:f>
        <x:v>0</x:v>
      </x:c>
      <x:c r="AD1106" s="15" t="n">
        <x:f>'기준스탯 72종'!H51*H1106</x:f>
        <x:v>0</x:v>
      </x:c>
      <x:c r="AE1106" s="15" t="n">
        <x:f>'기준스탯 72종'!I51*H1106</x:f>
        <x:v>0</x:v>
      </x:c>
      <x:c r="AF1106" s="15" t="n">
        <x:f>'기준스탯 72종'!J51*H1106</x:f>
        <x:v>0</x:v>
      </x:c>
      <x:c r="AG1106" s="15" t="n">
        <x:f>'기준스탯 72종'!K51*H1106</x:f>
        <x:v>0</x:v>
      </x:c>
    </x:row>
    <x:row r="1107" ht="28" customHeight="1">
      <x:c r="A1107" s="2" t="n">
        <x:v>1100</x:v>
      </x:c>
      <x:c r="B1107" s="2" t="n">
        <x:v>44</x:v>
      </x:c>
      <x:c r="C1107" s="2" t="str">
        <x:v>전갈자리</x:v>
      </x:c>
      <x:c r="D1107" s="2" t="str">
        <x:v>마도사</x:v>
      </x:c>
      <x:c r="E1107" s="2" t="n">
        <x:v>5</x:v>
      </x:c>
      <x:c r="F1107" s="2" t="n">
        <x:v>5</x:v>
      </x:c>
      <x:c r="G1107" s="14" t="n">
        <x:f>('레벨 계산식'!$E$4-E1107)*'레벨 계산식'!$B$5</x:f>
        <x:v>0</x:v>
      </x:c>
      <x:c r="H1107" s="14" t="n">
        <x:f>('등급 계산식'!$E$4-F1107)*'등급 계산식'!$B$5</x:f>
        <x:v>0</x:v>
      </x:c>
      <x:c r="I1107" s="14" t="n">
        <x:f>1-G1107-H1107</x:f>
        <x:v>1</x:v>
      </x:c>
      <x:c r="J1107" s="2" t="n">
        <x:f>MAX(1,ROUND('기준스탯 72종'!D51-R1107-Z1107,0))</x:f>
        <x:v>9</x:v>
      </x:c>
      <x:c r="K1107" s="2" t="n">
        <x:f>MAX(1,ROUND('기준스탯 72종'!E51-S1107-AA1107,0))</x:f>
        <x:v>5</x:v>
      </x:c>
      <x:c r="L1107" s="2" t="n">
        <x:f>MAX(1,ROUND('기준스탯 72종'!F51-T1107-AB1107,0))</x:f>
        <x:v>7</x:v>
      </x:c>
      <x:c r="M1107" s="2" t="n">
        <x:f>MAX(1,ROUND('기준스탯 72종'!G51-U1107-AC1107,0))</x:f>
        <x:v>8</x:v>
      </x:c>
      <x:c r="N1107" s="2" t="n">
        <x:f>MAX(0,ROUND('기준스탯 72종'!H51-V1107-AD1107,0))</x:f>
        <x:v>3</x:v>
      </x:c>
      <x:c r="O1107" s="2" t="n">
        <x:f>MAX(0,ROUND('기준스탯 72종'!I51-W1107-AE1107,0))</x:f>
        <x:v>7</x:v>
      </x:c>
      <x:c r="P1107" s="2" t="n">
        <x:f>MAX(0,ROUND('기준스탯 72종'!J51-X1107-AF1107,0))</x:f>
        <x:v>6</x:v>
      </x:c>
      <x:c r="Q1107" s="2" t="n">
        <x:f>MAX(0,ROUND('기준스탯 72종'!K51-Y1107-AG1107,0))</x:f>
        <x:v>0</x:v>
      </x:c>
      <x:c r="R1107" s="15" t="n">
        <x:f>'기준스탯 72종'!D51*G1107</x:f>
        <x:v>0</x:v>
      </x:c>
      <x:c r="S1107" s="15" t="n">
        <x:f>'기준스탯 72종'!E51*G1107</x:f>
        <x:v>0</x:v>
      </x:c>
      <x:c r="T1107" s="15" t="n">
        <x:f>'기준스탯 72종'!F51*G1107</x:f>
        <x:v>0</x:v>
      </x:c>
      <x:c r="U1107" s="15" t="n">
        <x:f>'기준스탯 72종'!G51*G1107</x:f>
        <x:v>0</x:v>
      </x:c>
      <x:c r="V1107" s="15" t="n">
        <x:f>'기준스탯 72종'!H51*G1107</x:f>
        <x:v>0</x:v>
      </x:c>
      <x:c r="W1107" s="15" t="n">
        <x:f>'기준스탯 72종'!I51*G1107</x:f>
        <x:v>0</x:v>
      </x:c>
      <x:c r="X1107" s="15" t="n">
        <x:f>'기준스탯 72종'!J51*G1107</x:f>
        <x:v>0</x:v>
      </x:c>
      <x:c r="Y1107" s="15" t="n">
        <x:f>'기준스탯 72종'!K51*G1107</x:f>
        <x:v>0</x:v>
      </x:c>
      <x:c r="Z1107" s="15" t="n">
        <x:f>'기준스탯 72종'!D51*H1107</x:f>
        <x:v>0</x:v>
      </x:c>
      <x:c r="AA1107" s="15" t="n">
        <x:f>'기준스탯 72종'!E51*H1107</x:f>
        <x:v>0</x:v>
      </x:c>
      <x:c r="AB1107" s="15" t="n">
        <x:f>'기준스탯 72종'!F51*H1107</x:f>
        <x:v>0</x:v>
      </x:c>
      <x:c r="AC1107" s="15" t="n">
        <x:f>'기준스탯 72종'!G51*H1107</x:f>
        <x:v>0</x:v>
      </x:c>
      <x:c r="AD1107" s="15" t="n">
        <x:f>'기준스탯 72종'!H51*H1107</x:f>
        <x:v>0</x:v>
      </x:c>
      <x:c r="AE1107" s="15" t="n">
        <x:f>'기준스탯 72종'!I51*H1107</x:f>
        <x:v>0</x:v>
      </x:c>
      <x:c r="AF1107" s="15" t="n">
        <x:f>'기준스탯 72종'!J51*H1107</x:f>
        <x:v>0</x:v>
      </x:c>
      <x:c r="AG1107" s="15" t="n">
        <x:f>'기준스탯 72종'!K51*H1107</x:f>
        <x:v>0</x:v>
      </x:c>
    </x:row>
    <x:row r="1108" ht="28" customHeight="1">
      <x:c r="A1108" s="2" t="n">
        <x:v>1101</x:v>
      </x:c>
      <x:c r="B1108" s="2" t="n">
        <x:v>45</x:v>
      </x:c>
      <x:c r="C1108" s="2" t="str">
        <x:v>전갈자리</x:v>
      </x:c>
      <x:c r="D1108" s="2" t="str">
        <x:v>사수</x:v>
      </x:c>
      <x:c r="E1108" s="2" t="n">
        <x:v>1</x:v>
      </x:c>
      <x:c r="F1108" s="2" t="n">
        <x:v>1</x:v>
      </x:c>
      <x:c r="G1108" s="14" t="n">
        <x:f>('레벨 계산식'!$E$4-E1108)*'레벨 계산식'!$B$5</x:f>
        <x:v>0.5599999999999999</x:v>
      </x:c>
      <x:c r="H1108" s="14" t="n">
        <x:f>('등급 계산식'!$E$4-F1108)*'등급 계산식'!$B$5</x:f>
        <x:v>0.24000000000000005</x:v>
      </x:c>
      <x:c r="I1108" s="14" t="n">
        <x:f>1-G1108-H1108</x:f>
        <x:v>0.2</x:v>
      </x:c>
      <x:c r="J1108" s="2" t="n">
        <x:f>MAX(1,ROUND('기준스탯 72종'!D52-R1108-Z1108,0))</x:f>
        <x:v>2</x:v>
      </x:c>
      <x:c r="K1108" s="2" t="n">
        <x:f>MAX(1,ROUND('기준스탯 72종'!E52-S1108-AA1108,0))</x:f>
        <x:v>1</x:v>
      </x:c>
      <x:c r="L1108" s="2" t="n">
        <x:f>MAX(1,ROUND('기준스탯 72종'!F52-T1108-AB1108,0))</x:f>
        <x:v>1</x:v>
      </x:c>
      <x:c r="M1108" s="2" t="n">
        <x:f>MAX(1,ROUND('기준스탯 72종'!G52-U1108-AC1108,0))</x:f>
        <x:v>2</x:v>
      </x:c>
      <x:c r="N1108" s="2" t="n">
        <x:f>MAX(0,ROUND('기준스탯 72종'!H52-V1108-AD1108,0))</x:f>
        <x:v>1</x:v>
      </x:c>
      <x:c r="O1108" s="2" t="n">
        <x:f>MAX(0,ROUND('기준스탯 72종'!I52-W1108-AE1108,0))</x:f>
        <x:v>1</x:v>
      </x:c>
      <x:c r="P1108" s="2" t="n">
        <x:f>MAX(0,ROUND('기준스탯 72종'!J52-X1108-AF1108,0))</x:f>
        <x:v>1</x:v>
      </x:c>
      <x:c r="Q1108" s="2" t="n">
        <x:f>MAX(0,ROUND('기준스탯 72종'!K52-Y1108-AG1108,0))</x:f>
        <x:v>0</x:v>
      </x:c>
      <x:c r="R1108" s="15" t="n">
        <x:f>'기준스탯 72종'!D52*G1108</x:f>
        <x:v>4.4799999999999995</x:v>
      </x:c>
      <x:c r="S1108" s="15" t="n">
        <x:f>'기준스탯 72종'!E52*G1108</x:f>
        <x:v>3.3599999999999994</x:v>
      </x:c>
      <x:c r="T1108" s="15" t="n">
        <x:f>'기준스탯 72종'!F52*G1108</x:f>
        <x:v>3.9199999999999995</x:v>
      </x:c>
      <x:c r="U1108" s="15" t="n">
        <x:f>'기준스탯 72종'!G52*G1108</x:f>
        <x:v>5.039999999999999</x:v>
      </x:c>
      <x:c r="V1108" s="15" t="n">
        <x:f>'기준스탯 72종'!H52*G1108</x:f>
        <x:v>2.2399999999999998</x:v>
      </x:c>
      <x:c r="W1108" s="15" t="n">
        <x:f>'기준스탯 72종'!I52*G1108</x:f>
        <x:v>2.8</x:v>
      </x:c>
      <x:c r="X1108" s="15" t="n">
        <x:f>'기준스탯 72종'!J52*G1108</x:f>
        <x:v>3.9199999999999995</x:v>
      </x:c>
      <x:c r="Y1108" s="15" t="n">
        <x:f>'기준스탯 72종'!K52*G1108</x:f>
        <x:v>0</x:v>
      </x:c>
      <x:c r="Z1108" s="15" t="n">
        <x:f>'기준스탯 72종'!D52*H1108</x:f>
        <x:v>1.9200000000000004</x:v>
      </x:c>
      <x:c r="AA1108" s="15" t="n">
        <x:f>'기준스탯 72종'!E52*H1108</x:f>
        <x:v>1.4400000000000004</x:v>
      </x:c>
      <x:c r="AB1108" s="15" t="n">
        <x:f>'기준스탯 72종'!F52*H1108</x:f>
        <x:v>1.6800000000000004</x:v>
      </x:c>
      <x:c r="AC1108" s="15" t="n">
        <x:f>'기준스탯 72종'!G52*H1108</x:f>
        <x:v>2.1600000000000006</x:v>
      </x:c>
      <x:c r="AD1108" s="15" t="n">
        <x:f>'기준스탯 72종'!H52*H1108</x:f>
        <x:v>0.9600000000000002</x:v>
      </x:c>
      <x:c r="AE1108" s="15" t="n">
        <x:f>'기준스탯 72종'!I52*H1108</x:f>
        <x:v>1.2000000000000002</x:v>
      </x:c>
      <x:c r="AF1108" s="15" t="n">
        <x:f>'기준스탯 72종'!J52*H1108</x:f>
        <x:v>1.6800000000000004</x:v>
      </x:c>
      <x:c r="AG1108" s="15" t="n">
        <x:f>'기준스탯 72종'!K52*H1108</x:f>
        <x:v>0</x:v>
      </x:c>
    </x:row>
    <x:row r="1109" ht="28" customHeight="1">
      <x:c r="A1109" s="2" t="n">
        <x:v>1102</x:v>
      </x:c>
      <x:c r="B1109" s="2" t="n">
        <x:v>45</x:v>
      </x:c>
      <x:c r="C1109" s="2" t="str">
        <x:v>전갈자리</x:v>
      </x:c>
      <x:c r="D1109" s="2" t="str">
        <x:v>사수</x:v>
      </x:c>
      <x:c r="E1109" s="2" t="n">
        <x:v>2</x:v>
      </x:c>
      <x:c r="F1109" s="2" t="n">
        <x:v>1</x:v>
      </x:c>
      <x:c r="G1109" s="14" t="n">
        <x:f>('레벨 계산식'!$E$4-E1109)*'레벨 계산식'!$B$5</x:f>
        <x:v>0.41999999999999993</x:v>
      </x:c>
      <x:c r="H1109" s="14" t="n">
        <x:f>('등급 계산식'!$E$4-F1109)*'등급 계산식'!$B$5</x:f>
        <x:v>0.24000000000000005</x:v>
      </x:c>
      <x:c r="I1109" s="14" t="n">
        <x:f>1-G1109-H1109</x:f>
        <x:v>0.34</x:v>
      </x:c>
      <x:c r="J1109" s="2" t="n">
        <x:f>MAX(1,ROUND('기준스탯 72종'!D52-R1109-Z1109,0))</x:f>
        <x:v>3</x:v>
      </x:c>
      <x:c r="K1109" s="2" t="n">
        <x:f>MAX(1,ROUND('기준스탯 72종'!E52-S1109-AA1109,0))</x:f>
        <x:v>2</x:v>
      </x:c>
      <x:c r="L1109" s="2" t="n">
        <x:f>MAX(1,ROUND('기준스탯 72종'!F52-T1109-AB1109,0))</x:f>
        <x:v>2</x:v>
      </x:c>
      <x:c r="M1109" s="2" t="n">
        <x:f>MAX(1,ROUND('기준스탯 72종'!G52-U1109-AC1109,0))</x:f>
        <x:v>3</x:v>
      </x:c>
      <x:c r="N1109" s="2" t="n">
        <x:f>MAX(0,ROUND('기준스탯 72종'!H52-V1109-AD1109,0))</x:f>
        <x:v>1</x:v>
      </x:c>
      <x:c r="O1109" s="2" t="n">
        <x:f>MAX(0,ROUND('기준스탯 72종'!I52-W1109-AE1109,0))</x:f>
        <x:v>2</x:v>
      </x:c>
      <x:c r="P1109" s="2" t="n">
        <x:f>MAX(0,ROUND('기준스탯 72종'!J52-X1109-AF1109,0))</x:f>
        <x:v>2</x:v>
      </x:c>
      <x:c r="Q1109" s="2" t="n">
        <x:f>MAX(0,ROUND('기준스탯 72종'!K52-Y1109-AG1109,0))</x:f>
        <x:v>0</x:v>
      </x:c>
      <x:c r="R1109" s="15" t="n">
        <x:f>'기준스탯 72종'!D52*G1109</x:f>
        <x:v>3.3599999999999994</x:v>
      </x:c>
      <x:c r="S1109" s="15" t="n">
        <x:f>'기준스탯 72종'!E52*G1109</x:f>
        <x:v>2.5199999999999996</x:v>
      </x:c>
      <x:c r="T1109" s="15" t="n">
        <x:f>'기준스탯 72종'!F52*G1109</x:f>
        <x:v>2.9399999999999995</x:v>
      </x:c>
      <x:c r="U1109" s="15" t="n">
        <x:f>'기준스탯 72종'!G52*G1109</x:f>
        <x:v>3.7799999999999994</x:v>
      </x:c>
      <x:c r="V1109" s="15" t="n">
        <x:f>'기준스탯 72종'!H52*G1109</x:f>
        <x:v>1.6799999999999997</x:v>
      </x:c>
      <x:c r="W1109" s="15" t="n">
        <x:f>'기준스탯 72종'!I52*G1109</x:f>
        <x:v>2.0999999999999996</x:v>
      </x:c>
      <x:c r="X1109" s="15" t="n">
        <x:f>'기준스탯 72종'!J52*G1109</x:f>
        <x:v>2.9399999999999995</x:v>
      </x:c>
      <x:c r="Y1109" s="15" t="n">
        <x:f>'기준스탯 72종'!K52*G1109</x:f>
        <x:v>0</x:v>
      </x:c>
      <x:c r="Z1109" s="15" t="n">
        <x:f>'기준스탯 72종'!D52*H1109</x:f>
        <x:v>1.9200000000000004</x:v>
      </x:c>
      <x:c r="AA1109" s="15" t="n">
        <x:f>'기준스탯 72종'!E52*H1109</x:f>
        <x:v>1.4400000000000004</x:v>
      </x:c>
      <x:c r="AB1109" s="15" t="n">
        <x:f>'기준스탯 72종'!F52*H1109</x:f>
        <x:v>1.6800000000000004</x:v>
      </x:c>
      <x:c r="AC1109" s="15" t="n">
        <x:f>'기준스탯 72종'!G52*H1109</x:f>
        <x:v>2.1600000000000006</x:v>
      </x:c>
      <x:c r="AD1109" s="15" t="n">
        <x:f>'기준스탯 72종'!H52*H1109</x:f>
        <x:v>0.9600000000000002</x:v>
      </x:c>
      <x:c r="AE1109" s="15" t="n">
        <x:f>'기준스탯 72종'!I52*H1109</x:f>
        <x:v>1.2000000000000002</x:v>
      </x:c>
      <x:c r="AF1109" s="15" t="n">
        <x:f>'기준스탯 72종'!J52*H1109</x:f>
        <x:v>1.6800000000000004</x:v>
      </x:c>
      <x:c r="AG1109" s="15" t="n">
        <x:f>'기준스탯 72종'!K52*H1109</x:f>
        <x:v>0</x:v>
      </x:c>
    </x:row>
    <x:row r="1110" ht="28" customHeight="1">
      <x:c r="A1110" s="2" t="n">
        <x:v>1103</x:v>
      </x:c>
      <x:c r="B1110" s="2" t="n">
        <x:v>45</x:v>
      </x:c>
      <x:c r="C1110" s="2" t="str">
        <x:v>전갈자리</x:v>
      </x:c>
      <x:c r="D1110" s="2" t="str">
        <x:v>사수</x:v>
      </x:c>
      <x:c r="E1110" s="2" t="n">
        <x:v>3</x:v>
      </x:c>
      <x:c r="F1110" s="2" t="n">
        <x:v>1</x:v>
      </x:c>
      <x:c r="G1110" s="14" t="n">
        <x:f>('레벨 계산식'!$E$4-E1110)*'레벨 계산식'!$B$5</x:f>
        <x:v>0.27999999999999997</x:v>
      </x:c>
      <x:c r="H1110" s="14" t="n">
        <x:f>('등급 계산식'!$E$4-F1110)*'등급 계산식'!$B$5</x:f>
        <x:v>0.24000000000000005</x:v>
      </x:c>
      <x:c r="I1110" s="14" t="n">
        <x:f>1-G1110-H1110</x:f>
        <x:v>0.4799999999999999</x:v>
      </x:c>
      <x:c r="J1110" s="2" t="n">
        <x:f>MAX(1,ROUND('기준스탯 72종'!D52-R1110-Z1110,0))</x:f>
        <x:v>4</x:v>
      </x:c>
      <x:c r="K1110" s="2" t="n">
        <x:f>MAX(1,ROUND('기준스탯 72종'!E52-S1110-AA1110,0))</x:f>
        <x:v>3</x:v>
      </x:c>
      <x:c r="L1110" s="2" t="n">
        <x:f>MAX(1,ROUND('기준스탯 72종'!F52-T1110-AB1110,0))</x:f>
        <x:v>3</x:v>
      </x:c>
      <x:c r="M1110" s="2" t="n">
        <x:f>MAX(1,ROUND('기준스탯 72종'!G52-U1110-AC1110,0))</x:f>
        <x:v>4</x:v>
      </x:c>
      <x:c r="N1110" s="2" t="n">
        <x:f>MAX(0,ROUND('기준스탯 72종'!H52-V1110-AD1110,0))</x:f>
        <x:v>2</x:v>
      </x:c>
      <x:c r="O1110" s="2" t="n">
        <x:f>MAX(0,ROUND('기준스탯 72종'!I52-W1110-AE1110,0))</x:f>
        <x:v>2</x:v>
      </x:c>
      <x:c r="P1110" s="2" t="n">
        <x:f>MAX(0,ROUND('기준스탯 72종'!J52-X1110-AF1110,0))</x:f>
        <x:v>3</x:v>
      </x:c>
      <x:c r="Q1110" s="2" t="n">
        <x:f>MAX(0,ROUND('기준스탯 72종'!K52-Y1110-AG1110,0))</x:f>
        <x:v>0</x:v>
      </x:c>
      <x:c r="R1110" s="15" t="n">
        <x:f>'기준스탯 72종'!D52*G1110</x:f>
        <x:v>2.2399999999999998</x:v>
      </x:c>
      <x:c r="S1110" s="15" t="n">
        <x:f>'기준스탯 72종'!E52*G1110</x:f>
        <x:v>1.6799999999999997</x:v>
      </x:c>
      <x:c r="T1110" s="15" t="n">
        <x:f>'기준스탯 72종'!F52*G1110</x:f>
        <x:v>1.9599999999999997</x:v>
      </x:c>
      <x:c r="U1110" s="15" t="n">
        <x:f>'기준스탯 72종'!G52*G1110</x:f>
        <x:v>2.5199999999999996</x:v>
      </x:c>
      <x:c r="V1110" s="15" t="n">
        <x:f>'기준스탯 72종'!H52*G1110</x:f>
        <x:v>1.1199999999999999</x:v>
      </x:c>
      <x:c r="W1110" s="15" t="n">
        <x:f>'기준스탯 72종'!I52*G1110</x:f>
        <x:v>1.4</x:v>
      </x:c>
      <x:c r="X1110" s="15" t="n">
        <x:f>'기준스탯 72종'!J52*G1110</x:f>
        <x:v>1.9599999999999997</x:v>
      </x:c>
      <x:c r="Y1110" s="15" t="n">
        <x:f>'기준스탯 72종'!K52*G1110</x:f>
        <x:v>0</x:v>
      </x:c>
      <x:c r="Z1110" s="15" t="n">
        <x:f>'기준스탯 72종'!D52*H1110</x:f>
        <x:v>1.9200000000000004</x:v>
      </x:c>
      <x:c r="AA1110" s="15" t="n">
        <x:f>'기준스탯 72종'!E52*H1110</x:f>
        <x:v>1.4400000000000004</x:v>
      </x:c>
      <x:c r="AB1110" s="15" t="n">
        <x:f>'기준스탯 72종'!F52*H1110</x:f>
        <x:v>1.6800000000000004</x:v>
      </x:c>
      <x:c r="AC1110" s="15" t="n">
        <x:f>'기준스탯 72종'!G52*H1110</x:f>
        <x:v>2.1600000000000006</x:v>
      </x:c>
      <x:c r="AD1110" s="15" t="n">
        <x:f>'기준스탯 72종'!H52*H1110</x:f>
        <x:v>0.9600000000000002</x:v>
      </x:c>
      <x:c r="AE1110" s="15" t="n">
        <x:f>'기준스탯 72종'!I52*H1110</x:f>
        <x:v>1.2000000000000002</x:v>
      </x:c>
      <x:c r="AF1110" s="15" t="n">
        <x:f>'기준스탯 72종'!J52*H1110</x:f>
        <x:v>1.6800000000000004</x:v>
      </x:c>
      <x:c r="AG1110" s="15" t="n">
        <x:f>'기준스탯 72종'!K52*H1110</x:f>
        <x:v>0</x:v>
      </x:c>
    </x:row>
    <x:row r="1111" ht="28" customHeight="1">
      <x:c r="A1111" s="2" t="n">
        <x:v>1104</x:v>
      </x:c>
      <x:c r="B1111" s="2" t="n">
        <x:v>45</x:v>
      </x:c>
      <x:c r="C1111" s="2" t="str">
        <x:v>전갈자리</x:v>
      </x:c>
      <x:c r="D1111" s="2" t="str">
        <x:v>사수</x:v>
      </x:c>
      <x:c r="E1111" s="2" t="n">
        <x:v>4</x:v>
      </x:c>
      <x:c r="F1111" s="2" t="n">
        <x:v>1</x:v>
      </x:c>
      <x:c r="G1111" s="14" t="n">
        <x:f>('레벨 계산식'!$E$4-E1111)*'레벨 계산식'!$B$5</x:f>
        <x:v>0.13999999999999999</x:v>
      </x:c>
      <x:c r="H1111" s="14" t="n">
        <x:f>('등급 계산식'!$E$4-F1111)*'등급 계산식'!$B$5</x:f>
        <x:v>0.24000000000000005</x:v>
      </x:c>
      <x:c r="I1111" s="14" t="n">
        <x:f>1-G1111-H1111</x:f>
        <x:v>0.6199999999999999</x:v>
      </x:c>
      <x:c r="J1111" s="2" t="n">
        <x:f>MAX(1,ROUND('기준스탯 72종'!D52-R1111-Z1111,0))</x:f>
        <x:v>5</x:v>
      </x:c>
      <x:c r="K1111" s="2" t="n">
        <x:f>MAX(1,ROUND('기준스탯 72종'!E52-S1111-AA1111,0))</x:f>
        <x:v>4</x:v>
      </x:c>
      <x:c r="L1111" s="2" t="n">
        <x:f>MAX(1,ROUND('기준스탯 72종'!F52-T1111-AB1111,0))</x:f>
        <x:v>4</x:v>
      </x:c>
      <x:c r="M1111" s="2" t="n">
        <x:f>MAX(1,ROUND('기준스탯 72종'!G52-U1111-AC1111,0))</x:f>
        <x:v>6</x:v>
      </x:c>
      <x:c r="N1111" s="2" t="n">
        <x:f>MAX(0,ROUND('기준스탯 72종'!H52-V1111-AD1111,0))</x:f>
        <x:v>2</x:v>
      </x:c>
      <x:c r="O1111" s="2" t="n">
        <x:f>MAX(0,ROUND('기준스탯 72종'!I52-W1111-AE1111,0))</x:f>
        <x:v>3</x:v>
      </x:c>
      <x:c r="P1111" s="2" t="n">
        <x:f>MAX(0,ROUND('기준스탯 72종'!J52-X1111-AF1111,0))</x:f>
        <x:v>4</x:v>
      </x:c>
      <x:c r="Q1111" s="2" t="n">
        <x:f>MAX(0,ROUND('기준스탯 72종'!K52-Y1111-AG1111,0))</x:f>
        <x:v>0</x:v>
      </x:c>
      <x:c r="R1111" s="15" t="n">
        <x:f>'기준스탯 72종'!D52*G1111</x:f>
        <x:v>1.1199999999999999</x:v>
      </x:c>
      <x:c r="S1111" s="15" t="n">
        <x:f>'기준스탯 72종'!E52*G1111</x:f>
        <x:v>0.8399999999999999</x:v>
      </x:c>
      <x:c r="T1111" s="15" t="n">
        <x:f>'기준스탯 72종'!F52*G1111</x:f>
        <x:v>0.9799999999999999</x:v>
      </x:c>
      <x:c r="U1111" s="15" t="n">
        <x:f>'기준스탯 72종'!G52*G1111</x:f>
        <x:v>1.2599999999999998</x:v>
      </x:c>
      <x:c r="V1111" s="15" t="n">
        <x:f>'기준스탯 72종'!H52*G1111</x:f>
        <x:v>0.5599999999999999</x:v>
      </x:c>
      <x:c r="W1111" s="15" t="n">
        <x:f>'기준스탯 72종'!I52*G1111</x:f>
        <x:v>0.7</x:v>
      </x:c>
      <x:c r="X1111" s="15" t="n">
        <x:f>'기준스탯 72종'!J52*G1111</x:f>
        <x:v>0.9799999999999999</x:v>
      </x:c>
      <x:c r="Y1111" s="15" t="n">
        <x:f>'기준스탯 72종'!K52*G1111</x:f>
        <x:v>0</x:v>
      </x:c>
      <x:c r="Z1111" s="15" t="n">
        <x:f>'기준스탯 72종'!D52*H1111</x:f>
        <x:v>1.9200000000000004</x:v>
      </x:c>
      <x:c r="AA1111" s="15" t="n">
        <x:f>'기준스탯 72종'!E52*H1111</x:f>
        <x:v>1.4400000000000004</x:v>
      </x:c>
      <x:c r="AB1111" s="15" t="n">
        <x:f>'기준스탯 72종'!F52*H1111</x:f>
        <x:v>1.6800000000000004</x:v>
      </x:c>
      <x:c r="AC1111" s="15" t="n">
        <x:f>'기준스탯 72종'!G52*H1111</x:f>
        <x:v>2.1600000000000006</x:v>
      </x:c>
      <x:c r="AD1111" s="15" t="n">
        <x:f>'기준스탯 72종'!H52*H1111</x:f>
        <x:v>0.9600000000000002</x:v>
      </x:c>
      <x:c r="AE1111" s="15" t="n">
        <x:f>'기준스탯 72종'!I52*H1111</x:f>
        <x:v>1.2000000000000002</x:v>
      </x:c>
      <x:c r="AF1111" s="15" t="n">
        <x:f>'기준스탯 72종'!J52*H1111</x:f>
        <x:v>1.6800000000000004</x:v>
      </x:c>
      <x:c r="AG1111" s="15" t="n">
        <x:f>'기준스탯 72종'!K52*H1111</x:f>
        <x:v>0</x:v>
      </x:c>
    </x:row>
    <x:row r="1112" ht="28" customHeight="1">
      <x:c r="A1112" s="2" t="n">
        <x:v>1105</x:v>
      </x:c>
      <x:c r="B1112" s="2" t="n">
        <x:v>45</x:v>
      </x:c>
      <x:c r="C1112" s="2" t="str">
        <x:v>전갈자리</x:v>
      </x:c>
      <x:c r="D1112" s="2" t="str">
        <x:v>사수</x:v>
      </x:c>
      <x:c r="E1112" s="2" t="n">
        <x:v>5</x:v>
      </x:c>
      <x:c r="F1112" s="2" t="n">
        <x:v>1</x:v>
      </x:c>
      <x:c r="G1112" s="14" t="n">
        <x:f>('레벨 계산식'!$E$4-E1112)*'레벨 계산식'!$B$5</x:f>
        <x:v>0</x:v>
      </x:c>
      <x:c r="H1112" s="14" t="n">
        <x:f>('등급 계산식'!$E$4-F1112)*'등급 계산식'!$B$5</x:f>
        <x:v>0.24000000000000005</x:v>
      </x:c>
      <x:c r="I1112" s="14" t="n">
        <x:f>1-G1112-H1112</x:f>
        <x:v>0.76</x:v>
      </x:c>
      <x:c r="J1112" s="2" t="n">
        <x:f>MAX(1,ROUND('기준스탯 72종'!D52-R1112-Z1112,0))</x:f>
        <x:v>6</x:v>
      </x:c>
      <x:c r="K1112" s="2" t="n">
        <x:f>MAX(1,ROUND('기준스탯 72종'!E52-S1112-AA1112,0))</x:f>
        <x:v>5</x:v>
      </x:c>
      <x:c r="L1112" s="2" t="n">
        <x:f>MAX(1,ROUND('기준스탯 72종'!F52-T1112-AB1112,0))</x:f>
        <x:v>5</x:v>
      </x:c>
      <x:c r="M1112" s="2" t="n">
        <x:f>MAX(1,ROUND('기준스탯 72종'!G52-U1112-AC1112,0))</x:f>
        <x:v>7</x:v>
      </x:c>
      <x:c r="N1112" s="2" t="n">
        <x:f>MAX(0,ROUND('기준스탯 72종'!H52-V1112-AD1112,0))</x:f>
        <x:v>3</x:v>
      </x:c>
      <x:c r="O1112" s="2" t="n">
        <x:f>MAX(0,ROUND('기준스탯 72종'!I52-W1112-AE1112,0))</x:f>
        <x:v>4</x:v>
      </x:c>
      <x:c r="P1112" s="2" t="n">
        <x:f>MAX(0,ROUND('기준스탯 72종'!J52-X1112-AF1112,0))</x:f>
        <x:v>5</x:v>
      </x:c>
      <x:c r="Q1112" s="2" t="n">
        <x:f>MAX(0,ROUND('기준스탯 72종'!K52-Y1112-AG1112,0))</x:f>
        <x:v>0</x:v>
      </x:c>
      <x:c r="R1112" s="15" t="n">
        <x:f>'기준스탯 72종'!D52*G1112</x:f>
        <x:v>0</x:v>
      </x:c>
      <x:c r="S1112" s="15" t="n">
        <x:f>'기준스탯 72종'!E52*G1112</x:f>
        <x:v>0</x:v>
      </x:c>
      <x:c r="T1112" s="15" t="n">
        <x:f>'기준스탯 72종'!F52*G1112</x:f>
        <x:v>0</x:v>
      </x:c>
      <x:c r="U1112" s="15" t="n">
        <x:f>'기준스탯 72종'!G52*G1112</x:f>
        <x:v>0</x:v>
      </x:c>
      <x:c r="V1112" s="15" t="n">
        <x:f>'기준스탯 72종'!H52*G1112</x:f>
        <x:v>0</x:v>
      </x:c>
      <x:c r="W1112" s="15" t="n">
        <x:f>'기준스탯 72종'!I52*G1112</x:f>
        <x:v>0</x:v>
      </x:c>
      <x:c r="X1112" s="15" t="n">
        <x:f>'기준스탯 72종'!J52*G1112</x:f>
        <x:v>0</x:v>
      </x:c>
      <x:c r="Y1112" s="15" t="n">
        <x:f>'기준스탯 72종'!K52*G1112</x:f>
        <x:v>0</x:v>
      </x:c>
      <x:c r="Z1112" s="15" t="n">
        <x:f>'기준스탯 72종'!D52*H1112</x:f>
        <x:v>1.9200000000000004</x:v>
      </x:c>
      <x:c r="AA1112" s="15" t="n">
        <x:f>'기준스탯 72종'!E52*H1112</x:f>
        <x:v>1.4400000000000004</x:v>
      </x:c>
      <x:c r="AB1112" s="15" t="n">
        <x:f>'기준스탯 72종'!F52*H1112</x:f>
        <x:v>1.6800000000000004</x:v>
      </x:c>
      <x:c r="AC1112" s="15" t="n">
        <x:f>'기준스탯 72종'!G52*H1112</x:f>
        <x:v>2.1600000000000006</x:v>
      </x:c>
      <x:c r="AD1112" s="15" t="n">
        <x:f>'기준스탯 72종'!H52*H1112</x:f>
        <x:v>0.9600000000000002</x:v>
      </x:c>
      <x:c r="AE1112" s="15" t="n">
        <x:f>'기준스탯 72종'!I52*H1112</x:f>
        <x:v>1.2000000000000002</x:v>
      </x:c>
      <x:c r="AF1112" s="15" t="n">
        <x:f>'기준스탯 72종'!J52*H1112</x:f>
        <x:v>1.6800000000000004</x:v>
      </x:c>
      <x:c r="AG1112" s="15" t="n">
        <x:f>'기준스탯 72종'!K52*H1112</x:f>
        <x:v>0</x:v>
      </x:c>
    </x:row>
    <x:row r="1113" ht="28" customHeight="1">
      <x:c r="A1113" s="2" t="n">
        <x:v>1106</x:v>
      </x:c>
      <x:c r="B1113" s="2" t="n">
        <x:v>45</x:v>
      </x:c>
      <x:c r="C1113" s="2" t="str">
        <x:v>전갈자리</x:v>
      </x:c>
      <x:c r="D1113" s="2" t="str">
        <x:v>사수</x:v>
      </x:c>
      <x:c r="E1113" s="2" t="n">
        <x:v>1</x:v>
      </x:c>
      <x:c r="F1113" s="2" t="n">
        <x:v>2</x:v>
      </x:c>
      <x:c r="G1113" s="14" t="n">
        <x:f>('레벨 계산식'!$E$4-E1113)*'레벨 계산식'!$B$5</x:f>
        <x:v>0.5599999999999999</x:v>
      </x:c>
      <x:c r="H1113" s="14" t="n">
        <x:f>('등급 계산식'!$E$4-F1113)*'등급 계산식'!$B$5</x:f>
        <x:v>0.18000000000000005</x:v>
      </x:c>
      <x:c r="I1113" s="14" t="n">
        <x:f>1-G1113-H1113</x:f>
        <x:v>0.26</x:v>
      </x:c>
      <x:c r="J1113" s="2" t="n">
        <x:f>MAX(1,ROUND('기준스탯 72종'!D52-R1113-Z1113,0))</x:f>
        <x:v>2</x:v>
      </x:c>
      <x:c r="K1113" s="2" t="n">
        <x:f>MAX(1,ROUND('기준스탯 72종'!E52-S1113-AA1113,0))</x:f>
        <x:v>2</x:v>
      </x:c>
      <x:c r="L1113" s="2" t="n">
        <x:f>MAX(1,ROUND('기준스탯 72종'!F52-T1113-AB1113,0))</x:f>
        <x:v>2</x:v>
      </x:c>
      <x:c r="M1113" s="2" t="n">
        <x:f>MAX(1,ROUND('기준스탯 72종'!G52-U1113-AC1113,0))</x:f>
        <x:v>2</x:v>
      </x:c>
      <x:c r="N1113" s="2" t="n">
        <x:f>MAX(0,ROUND('기준스탯 72종'!H52-V1113-AD1113,0))</x:f>
        <x:v>1</x:v>
      </x:c>
      <x:c r="O1113" s="2" t="n">
        <x:f>MAX(0,ROUND('기준스탯 72종'!I52-W1113-AE1113,0))</x:f>
        <x:v>1</x:v>
      </x:c>
      <x:c r="P1113" s="2" t="n">
        <x:f>MAX(0,ROUND('기준스탯 72종'!J52-X1113-AF1113,0))</x:f>
        <x:v>2</x:v>
      </x:c>
      <x:c r="Q1113" s="2" t="n">
        <x:f>MAX(0,ROUND('기준스탯 72종'!K52-Y1113-AG1113,0))</x:f>
        <x:v>0</x:v>
      </x:c>
      <x:c r="R1113" s="15" t="n">
        <x:f>'기준스탯 72종'!D52*G1113</x:f>
        <x:v>4.4799999999999995</x:v>
      </x:c>
      <x:c r="S1113" s="15" t="n">
        <x:f>'기준스탯 72종'!E52*G1113</x:f>
        <x:v>3.3599999999999994</x:v>
      </x:c>
      <x:c r="T1113" s="15" t="n">
        <x:f>'기준스탯 72종'!F52*G1113</x:f>
        <x:v>3.9199999999999995</x:v>
      </x:c>
      <x:c r="U1113" s="15" t="n">
        <x:f>'기준스탯 72종'!G52*G1113</x:f>
        <x:v>5.039999999999999</x:v>
      </x:c>
      <x:c r="V1113" s="15" t="n">
        <x:f>'기준스탯 72종'!H52*G1113</x:f>
        <x:v>2.2399999999999998</x:v>
      </x:c>
      <x:c r="W1113" s="15" t="n">
        <x:f>'기준스탯 72종'!I52*G1113</x:f>
        <x:v>2.8</x:v>
      </x:c>
      <x:c r="X1113" s="15" t="n">
        <x:f>'기준스탯 72종'!J52*G1113</x:f>
        <x:v>3.9199999999999995</x:v>
      </x:c>
      <x:c r="Y1113" s="15" t="n">
        <x:f>'기준스탯 72종'!K52*G1113</x:f>
        <x:v>0</x:v>
      </x:c>
      <x:c r="Z1113" s="15" t="n">
        <x:f>'기준스탯 72종'!D52*H1113</x:f>
        <x:v>1.4400000000000004</x:v>
      </x:c>
      <x:c r="AA1113" s="15" t="n">
        <x:f>'기준스탯 72종'!E52*H1113</x:f>
        <x:v>1.0800000000000003</x:v>
      </x:c>
      <x:c r="AB1113" s="15" t="n">
        <x:f>'기준스탯 72종'!F52*H1113</x:f>
        <x:v>1.2600000000000002</x:v>
      </x:c>
      <x:c r="AC1113" s="15" t="n">
        <x:f>'기준스탯 72종'!G52*H1113</x:f>
        <x:v>1.6200000000000006</x:v>
      </x:c>
      <x:c r="AD1113" s="15" t="n">
        <x:f>'기준스탯 72종'!H52*H1113</x:f>
        <x:v>0.7200000000000002</x:v>
      </x:c>
      <x:c r="AE1113" s="15" t="n">
        <x:f>'기준스탯 72종'!I52*H1113</x:f>
        <x:v>0.9000000000000002</x:v>
      </x:c>
      <x:c r="AF1113" s="15" t="n">
        <x:f>'기준스탯 72종'!J52*H1113</x:f>
        <x:v>1.2600000000000002</x:v>
      </x:c>
      <x:c r="AG1113" s="15" t="n">
        <x:f>'기준스탯 72종'!K52*H1113</x:f>
        <x:v>0</x:v>
      </x:c>
    </x:row>
    <x:row r="1114" ht="28" customHeight="1">
      <x:c r="A1114" s="2" t="n">
        <x:v>1107</x:v>
      </x:c>
      <x:c r="B1114" s="2" t="n">
        <x:v>45</x:v>
      </x:c>
      <x:c r="C1114" s="2" t="str">
        <x:v>전갈자리</x:v>
      </x:c>
      <x:c r="D1114" s="2" t="str">
        <x:v>사수</x:v>
      </x:c>
      <x:c r="E1114" s="2" t="n">
        <x:v>2</x:v>
      </x:c>
      <x:c r="F1114" s="2" t="n">
        <x:v>2</x:v>
      </x:c>
      <x:c r="G1114" s="14" t="n">
        <x:f>('레벨 계산식'!$E$4-E1114)*'레벨 계산식'!$B$5</x:f>
        <x:v>0.41999999999999993</x:v>
      </x:c>
      <x:c r="H1114" s="14" t="n">
        <x:f>('등급 계산식'!$E$4-F1114)*'등급 계산식'!$B$5</x:f>
        <x:v>0.18000000000000005</x:v>
      </x:c>
      <x:c r="I1114" s="14" t="n">
        <x:f>1-G1114-H1114</x:f>
        <x:v>0.4</x:v>
      </x:c>
      <x:c r="J1114" s="2" t="n">
        <x:f>MAX(1,ROUND('기준스탯 72종'!D52-R1114-Z1114,0))</x:f>
        <x:v>3</x:v>
      </x:c>
      <x:c r="K1114" s="2" t="n">
        <x:f>MAX(1,ROUND('기준스탯 72종'!E52-S1114-AA1114,0))</x:f>
        <x:v>2</x:v>
      </x:c>
      <x:c r="L1114" s="2" t="n">
        <x:f>MAX(1,ROUND('기준스탯 72종'!F52-T1114-AB1114,0))</x:f>
        <x:v>3</x:v>
      </x:c>
      <x:c r="M1114" s="2" t="n">
        <x:f>MAX(1,ROUND('기준스탯 72종'!G52-U1114-AC1114,0))</x:f>
        <x:v>4</x:v>
      </x:c>
      <x:c r="N1114" s="2" t="n">
        <x:f>MAX(0,ROUND('기준스탯 72종'!H52-V1114-AD1114,0))</x:f>
        <x:v>2</x:v>
      </x:c>
      <x:c r="O1114" s="2" t="n">
        <x:f>MAX(0,ROUND('기준스탯 72종'!I52-W1114-AE1114,0))</x:f>
        <x:v>2</x:v>
      </x:c>
      <x:c r="P1114" s="2" t="n">
        <x:f>MAX(0,ROUND('기준스탯 72종'!J52-X1114-AF1114,0))</x:f>
        <x:v>3</x:v>
      </x:c>
      <x:c r="Q1114" s="2" t="n">
        <x:f>MAX(0,ROUND('기준스탯 72종'!K52-Y1114-AG1114,0))</x:f>
        <x:v>0</x:v>
      </x:c>
      <x:c r="R1114" s="15" t="n">
        <x:f>'기준스탯 72종'!D52*G1114</x:f>
        <x:v>3.3599999999999994</x:v>
      </x:c>
      <x:c r="S1114" s="15" t="n">
        <x:f>'기준스탯 72종'!E52*G1114</x:f>
        <x:v>2.5199999999999996</x:v>
      </x:c>
      <x:c r="T1114" s="15" t="n">
        <x:f>'기준스탯 72종'!F52*G1114</x:f>
        <x:v>2.9399999999999995</x:v>
      </x:c>
      <x:c r="U1114" s="15" t="n">
        <x:f>'기준스탯 72종'!G52*G1114</x:f>
        <x:v>3.7799999999999994</x:v>
      </x:c>
      <x:c r="V1114" s="15" t="n">
        <x:f>'기준스탯 72종'!H52*G1114</x:f>
        <x:v>1.6799999999999997</x:v>
      </x:c>
      <x:c r="W1114" s="15" t="n">
        <x:f>'기준스탯 72종'!I52*G1114</x:f>
        <x:v>2.0999999999999996</x:v>
      </x:c>
      <x:c r="X1114" s="15" t="n">
        <x:f>'기준스탯 72종'!J52*G1114</x:f>
        <x:v>2.9399999999999995</x:v>
      </x:c>
      <x:c r="Y1114" s="15" t="n">
        <x:f>'기준스탯 72종'!K52*G1114</x:f>
        <x:v>0</x:v>
      </x:c>
      <x:c r="Z1114" s="15" t="n">
        <x:f>'기준스탯 72종'!D52*H1114</x:f>
        <x:v>1.4400000000000004</x:v>
      </x:c>
      <x:c r="AA1114" s="15" t="n">
        <x:f>'기준스탯 72종'!E52*H1114</x:f>
        <x:v>1.0800000000000003</x:v>
      </x:c>
      <x:c r="AB1114" s="15" t="n">
        <x:f>'기준스탯 72종'!F52*H1114</x:f>
        <x:v>1.2600000000000002</x:v>
      </x:c>
      <x:c r="AC1114" s="15" t="n">
        <x:f>'기준스탯 72종'!G52*H1114</x:f>
        <x:v>1.6200000000000006</x:v>
      </x:c>
      <x:c r="AD1114" s="15" t="n">
        <x:f>'기준스탯 72종'!H52*H1114</x:f>
        <x:v>0.7200000000000002</x:v>
      </x:c>
      <x:c r="AE1114" s="15" t="n">
        <x:f>'기준스탯 72종'!I52*H1114</x:f>
        <x:v>0.9000000000000002</x:v>
      </x:c>
      <x:c r="AF1114" s="15" t="n">
        <x:f>'기준스탯 72종'!J52*H1114</x:f>
        <x:v>1.2600000000000002</x:v>
      </x:c>
      <x:c r="AG1114" s="15" t="n">
        <x:f>'기준스탯 72종'!K52*H1114</x:f>
        <x:v>0</x:v>
      </x:c>
    </x:row>
    <x:row r="1115" ht="28" customHeight="1">
      <x:c r="A1115" s="2" t="n">
        <x:v>1108</x:v>
      </x:c>
      <x:c r="B1115" s="2" t="n">
        <x:v>45</x:v>
      </x:c>
      <x:c r="C1115" s="2" t="str">
        <x:v>전갈자리</x:v>
      </x:c>
      <x:c r="D1115" s="2" t="str">
        <x:v>사수</x:v>
      </x:c>
      <x:c r="E1115" s="2" t="n">
        <x:v>3</x:v>
      </x:c>
      <x:c r="F1115" s="2" t="n">
        <x:v>2</x:v>
      </x:c>
      <x:c r="G1115" s="14" t="n">
        <x:f>('레벨 계산식'!$E$4-E1115)*'레벨 계산식'!$B$5</x:f>
        <x:v>0.27999999999999997</x:v>
      </x:c>
      <x:c r="H1115" s="14" t="n">
        <x:f>('등급 계산식'!$E$4-F1115)*'등급 계산식'!$B$5</x:f>
        <x:v>0.18000000000000005</x:v>
      </x:c>
      <x:c r="I1115" s="14" t="n">
        <x:f>1-G1115-H1115</x:f>
        <x:v>0.5399999999999999</x:v>
      </x:c>
      <x:c r="J1115" s="2" t="n">
        <x:f>MAX(1,ROUND('기준스탯 72종'!D52-R1115-Z1115,0))</x:f>
        <x:v>4</x:v>
      </x:c>
      <x:c r="K1115" s="2" t="n">
        <x:f>MAX(1,ROUND('기준스탯 72종'!E52-S1115-AA1115,0))</x:f>
        <x:v>3</x:v>
      </x:c>
      <x:c r="L1115" s="2" t="n">
        <x:f>MAX(1,ROUND('기준스탯 72종'!F52-T1115-AB1115,0))</x:f>
        <x:v>4</x:v>
      </x:c>
      <x:c r="M1115" s="2" t="n">
        <x:f>MAX(1,ROUND('기준스탯 72종'!G52-U1115-AC1115,0))</x:f>
        <x:v>5</x:v>
      </x:c>
      <x:c r="N1115" s="2" t="n">
        <x:f>MAX(0,ROUND('기준스탯 72종'!H52-V1115-AD1115,0))</x:f>
        <x:v>2</x:v>
      </x:c>
      <x:c r="O1115" s="2" t="n">
        <x:f>MAX(0,ROUND('기준스탯 72종'!I52-W1115-AE1115,0))</x:f>
        <x:v>3</x:v>
      </x:c>
      <x:c r="P1115" s="2" t="n">
        <x:f>MAX(0,ROUND('기준스탯 72종'!J52-X1115-AF1115,0))</x:f>
        <x:v>4</x:v>
      </x:c>
      <x:c r="Q1115" s="2" t="n">
        <x:f>MAX(0,ROUND('기준스탯 72종'!K52-Y1115-AG1115,0))</x:f>
        <x:v>0</x:v>
      </x:c>
      <x:c r="R1115" s="15" t="n">
        <x:f>'기준스탯 72종'!D52*G1115</x:f>
        <x:v>2.2399999999999998</x:v>
      </x:c>
      <x:c r="S1115" s="15" t="n">
        <x:f>'기준스탯 72종'!E52*G1115</x:f>
        <x:v>1.6799999999999997</x:v>
      </x:c>
      <x:c r="T1115" s="15" t="n">
        <x:f>'기준스탯 72종'!F52*G1115</x:f>
        <x:v>1.9599999999999997</x:v>
      </x:c>
      <x:c r="U1115" s="15" t="n">
        <x:f>'기준스탯 72종'!G52*G1115</x:f>
        <x:v>2.5199999999999996</x:v>
      </x:c>
      <x:c r="V1115" s="15" t="n">
        <x:f>'기준스탯 72종'!H52*G1115</x:f>
        <x:v>1.1199999999999999</x:v>
      </x:c>
      <x:c r="W1115" s="15" t="n">
        <x:f>'기준스탯 72종'!I52*G1115</x:f>
        <x:v>1.4</x:v>
      </x:c>
      <x:c r="X1115" s="15" t="n">
        <x:f>'기준스탯 72종'!J52*G1115</x:f>
        <x:v>1.9599999999999997</x:v>
      </x:c>
      <x:c r="Y1115" s="15" t="n">
        <x:f>'기준스탯 72종'!K52*G1115</x:f>
        <x:v>0</x:v>
      </x:c>
      <x:c r="Z1115" s="15" t="n">
        <x:f>'기준스탯 72종'!D52*H1115</x:f>
        <x:v>1.4400000000000004</x:v>
      </x:c>
      <x:c r="AA1115" s="15" t="n">
        <x:f>'기준스탯 72종'!E52*H1115</x:f>
        <x:v>1.0800000000000003</x:v>
      </x:c>
      <x:c r="AB1115" s="15" t="n">
        <x:f>'기준스탯 72종'!F52*H1115</x:f>
        <x:v>1.2600000000000002</x:v>
      </x:c>
      <x:c r="AC1115" s="15" t="n">
        <x:f>'기준스탯 72종'!G52*H1115</x:f>
        <x:v>1.6200000000000006</x:v>
      </x:c>
      <x:c r="AD1115" s="15" t="n">
        <x:f>'기준스탯 72종'!H52*H1115</x:f>
        <x:v>0.7200000000000002</x:v>
      </x:c>
      <x:c r="AE1115" s="15" t="n">
        <x:f>'기준스탯 72종'!I52*H1115</x:f>
        <x:v>0.9000000000000002</x:v>
      </x:c>
      <x:c r="AF1115" s="15" t="n">
        <x:f>'기준스탯 72종'!J52*H1115</x:f>
        <x:v>1.2600000000000002</x:v>
      </x:c>
      <x:c r="AG1115" s="15" t="n">
        <x:f>'기준스탯 72종'!K52*H1115</x:f>
        <x:v>0</x:v>
      </x:c>
    </x:row>
    <x:row r="1116" ht="28" customHeight="1">
      <x:c r="A1116" s="2" t="n">
        <x:v>1109</x:v>
      </x:c>
      <x:c r="B1116" s="2" t="n">
        <x:v>45</x:v>
      </x:c>
      <x:c r="C1116" s="2" t="str">
        <x:v>전갈자리</x:v>
      </x:c>
      <x:c r="D1116" s="2" t="str">
        <x:v>사수</x:v>
      </x:c>
      <x:c r="E1116" s="2" t="n">
        <x:v>4</x:v>
      </x:c>
      <x:c r="F1116" s="2" t="n">
        <x:v>2</x:v>
      </x:c>
      <x:c r="G1116" s="14" t="n">
        <x:f>('레벨 계산식'!$E$4-E1116)*'레벨 계산식'!$B$5</x:f>
        <x:v>0.13999999999999999</x:v>
      </x:c>
      <x:c r="H1116" s="14" t="n">
        <x:f>('등급 계산식'!$E$4-F1116)*'등급 계산식'!$B$5</x:f>
        <x:v>0.18000000000000005</x:v>
      </x:c>
      <x:c r="I1116" s="14" t="n">
        <x:f>1-G1116-H1116</x:f>
        <x:v>0.6799999999999999</x:v>
      </x:c>
      <x:c r="J1116" s="2" t="n">
        <x:f>MAX(1,ROUND('기준스탯 72종'!D52-R1116-Z1116,0))</x:f>
        <x:v>5</x:v>
      </x:c>
      <x:c r="K1116" s="2" t="n">
        <x:f>MAX(1,ROUND('기준스탯 72종'!E52-S1116-AA1116,0))</x:f>
        <x:v>4</x:v>
      </x:c>
      <x:c r="L1116" s="2" t="n">
        <x:f>MAX(1,ROUND('기준스탯 72종'!F52-T1116-AB1116,0))</x:f>
        <x:v>5</x:v>
      </x:c>
      <x:c r="M1116" s="2" t="n">
        <x:f>MAX(1,ROUND('기준스탯 72종'!G52-U1116-AC1116,0))</x:f>
        <x:v>6</x:v>
      </x:c>
      <x:c r="N1116" s="2" t="n">
        <x:f>MAX(0,ROUND('기준스탯 72종'!H52-V1116-AD1116,0))</x:f>
        <x:v>3</x:v>
      </x:c>
      <x:c r="O1116" s="2" t="n">
        <x:f>MAX(0,ROUND('기준스탯 72종'!I52-W1116-AE1116,0))</x:f>
        <x:v>3</x:v>
      </x:c>
      <x:c r="P1116" s="2" t="n">
        <x:f>MAX(0,ROUND('기준스탯 72종'!J52-X1116-AF1116,0))</x:f>
        <x:v>5</x:v>
      </x:c>
      <x:c r="Q1116" s="2" t="n">
        <x:f>MAX(0,ROUND('기준스탯 72종'!K52-Y1116-AG1116,0))</x:f>
        <x:v>0</x:v>
      </x:c>
      <x:c r="R1116" s="15" t="n">
        <x:f>'기준스탯 72종'!D52*G1116</x:f>
        <x:v>1.1199999999999999</x:v>
      </x:c>
      <x:c r="S1116" s="15" t="n">
        <x:f>'기준스탯 72종'!E52*G1116</x:f>
        <x:v>0.8399999999999999</x:v>
      </x:c>
      <x:c r="T1116" s="15" t="n">
        <x:f>'기준스탯 72종'!F52*G1116</x:f>
        <x:v>0.9799999999999999</x:v>
      </x:c>
      <x:c r="U1116" s="15" t="n">
        <x:f>'기준스탯 72종'!G52*G1116</x:f>
        <x:v>1.2599999999999998</x:v>
      </x:c>
      <x:c r="V1116" s="15" t="n">
        <x:f>'기준스탯 72종'!H52*G1116</x:f>
        <x:v>0.5599999999999999</x:v>
      </x:c>
      <x:c r="W1116" s="15" t="n">
        <x:f>'기준스탯 72종'!I52*G1116</x:f>
        <x:v>0.7</x:v>
      </x:c>
      <x:c r="X1116" s="15" t="n">
        <x:f>'기준스탯 72종'!J52*G1116</x:f>
        <x:v>0.9799999999999999</x:v>
      </x:c>
      <x:c r="Y1116" s="15" t="n">
        <x:f>'기준스탯 72종'!K52*G1116</x:f>
        <x:v>0</x:v>
      </x:c>
      <x:c r="Z1116" s="15" t="n">
        <x:f>'기준스탯 72종'!D52*H1116</x:f>
        <x:v>1.4400000000000004</x:v>
      </x:c>
      <x:c r="AA1116" s="15" t="n">
        <x:f>'기준스탯 72종'!E52*H1116</x:f>
        <x:v>1.0800000000000003</x:v>
      </x:c>
      <x:c r="AB1116" s="15" t="n">
        <x:f>'기준스탯 72종'!F52*H1116</x:f>
        <x:v>1.2600000000000002</x:v>
      </x:c>
      <x:c r="AC1116" s="15" t="n">
        <x:f>'기준스탯 72종'!G52*H1116</x:f>
        <x:v>1.6200000000000006</x:v>
      </x:c>
      <x:c r="AD1116" s="15" t="n">
        <x:f>'기준스탯 72종'!H52*H1116</x:f>
        <x:v>0.7200000000000002</x:v>
      </x:c>
      <x:c r="AE1116" s="15" t="n">
        <x:f>'기준스탯 72종'!I52*H1116</x:f>
        <x:v>0.9000000000000002</x:v>
      </x:c>
      <x:c r="AF1116" s="15" t="n">
        <x:f>'기준스탯 72종'!J52*H1116</x:f>
        <x:v>1.2600000000000002</x:v>
      </x:c>
      <x:c r="AG1116" s="15" t="n">
        <x:f>'기준스탯 72종'!K52*H1116</x:f>
        <x:v>0</x:v>
      </x:c>
    </x:row>
    <x:row r="1117" ht="28" customHeight="1">
      <x:c r="A1117" s="2" t="n">
        <x:v>1110</x:v>
      </x:c>
      <x:c r="B1117" s="2" t="n">
        <x:v>45</x:v>
      </x:c>
      <x:c r="C1117" s="2" t="str">
        <x:v>전갈자리</x:v>
      </x:c>
      <x:c r="D1117" s="2" t="str">
        <x:v>사수</x:v>
      </x:c>
      <x:c r="E1117" s="2" t="n">
        <x:v>5</x:v>
      </x:c>
      <x:c r="F1117" s="2" t="n">
        <x:v>2</x:v>
      </x:c>
      <x:c r="G1117" s="14" t="n">
        <x:f>('레벨 계산식'!$E$4-E1117)*'레벨 계산식'!$B$5</x:f>
        <x:v>0</x:v>
      </x:c>
      <x:c r="H1117" s="14" t="n">
        <x:f>('등급 계산식'!$E$4-F1117)*'등급 계산식'!$B$5</x:f>
        <x:v>0.18000000000000005</x:v>
      </x:c>
      <x:c r="I1117" s="14" t="n">
        <x:f>1-G1117-H1117</x:f>
        <x:v>0.82</x:v>
      </x:c>
      <x:c r="J1117" s="2" t="n">
        <x:f>MAX(1,ROUND('기준스탯 72종'!D52-R1117-Z1117,0))</x:f>
        <x:v>7</x:v>
      </x:c>
      <x:c r="K1117" s="2" t="n">
        <x:f>MAX(1,ROUND('기준스탯 72종'!E52-S1117-AA1117,0))</x:f>
        <x:v>5</x:v>
      </x:c>
      <x:c r="L1117" s="2" t="n">
        <x:f>MAX(1,ROUND('기준스탯 72종'!F52-T1117-AB1117,0))</x:f>
        <x:v>6</x:v>
      </x:c>
      <x:c r="M1117" s="2" t="n">
        <x:f>MAX(1,ROUND('기준스탯 72종'!G52-U1117-AC1117,0))</x:f>
        <x:v>7</x:v>
      </x:c>
      <x:c r="N1117" s="2" t="n">
        <x:f>MAX(0,ROUND('기준스탯 72종'!H52-V1117-AD1117,0))</x:f>
        <x:v>3</x:v>
      </x:c>
      <x:c r="O1117" s="2" t="n">
        <x:f>MAX(0,ROUND('기준스탯 72종'!I52-W1117-AE1117,0))</x:f>
        <x:v>4</x:v>
      </x:c>
      <x:c r="P1117" s="2" t="n">
        <x:f>MAX(0,ROUND('기준스탯 72종'!J52-X1117-AF1117,0))</x:f>
        <x:v>6</x:v>
      </x:c>
      <x:c r="Q1117" s="2" t="n">
        <x:f>MAX(0,ROUND('기준스탯 72종'!K52-Y1117-AG1117,0))</x:f>
        <x:v>0</x:v>
      </x:c>
      <x:c r="R1117" s="15" t="n">
        <x:f>'기준스탯 72종'!D52*G1117</x:f>
        <x:v>0</x:v>
      </x:c>
      <x:c r="S1117" s="15" t="n">
        <x:f>'기준스탯 72종'!E52*G1117</x:f>
        <x:v>0</x:v>
      </x:c>
      <x:c r="T1117" s="15" t="n">
        <x:f>'기준스탯 72종'!F52*G1117</x:f>
        <x:v>0</x:v>
      </x:c>
      <x:c r="U1117" s="15" t="n">
        <x:f>'기준스탯 72종'!G52*G1117</x:f>
        <x:v>0</x:v>
      </x:c>
      <x:c r="V1117" s="15" t="n">
        <x:f>'기준스탯 72종'!H52*G1117</x:f>
        <x:v>0</x:v>
      </x:c>
      <x:c r="W1117" s="15" t="n">
        <x:f>'기준스탯 72종'!I52*G1117</x:f>
        <x:v>0</x:v>
      </x:c>
      <x:c r="X1117" s="15" t="n">
        <x:f>'기준스탯 72종'!J52*G1117</x:f>
        <x:v>0</x:v>
      </x:c>
      <x:c r="Y1117" s="15" t="n">
        <x:f>'기준스탯 72종'!K52*G1117</x:f>
        <x:v>0</x:v>
      </x:c>
      <x:c r="Z1117" s="15" t="n">
        <x:f>'기준스탯 72종'!D52*H1117</x:f>
        <x:v>1.4400000000000004</x:v>
      </x:c>
      <x:c r="AA1117" s="15" t="n">
        <x:f>'기준스탯 72종'!E52*H1117</x:f>
        <x:v>1.0800000000000003</x:v>
      </x:c>
      <x:c r="AB1117" s="15" t="n">
        <x:f>'기준스탯 72종'!F52*H1117</x:f>
        <x:v>1.2600000000000002</x:v>
      </x:c>
      <x:c r="AC1117" s="15" t="n">
        <x:f>'기준스탯 72종'!G52*H1117</x:f>
        <x:v>1.6200000000000006</x:v>
      </x:c>
      <x:c r="AD1117" s="15" t="n">
        <x:f>'기준스탯 72종'!H52*H1117</x:f>
        <x:v>0.7200000000000002</x:v>
      </x:c>
      <x:c r="AE1117" s="15" t="n">
        <x:f>'기준스탯 72종'!I52*H1117</x:f>
        <x:v>0.9000000000000002</x:v>
      </x:c>
      <x:c r="AF1117" s="15" t="n">
        <x:f>'기준스탯 72종'!J52*H1117</x:f>
        <x:v>1.2600000000000002</x:v>
      </x:c>
      <x:c r="AG1117" s="15" t="n">
        <x:f>'기준스탯 72종'!K52*H1117</x:f>
        <x:v>0</x:v>
      </x:c>
    </x:row>
    <x:row r="1118" ht="28" customHeight="1">
      <x:c r="A1118" s="2" t="n">
        <x:v>1111</x:v>
      </x:c>
      <x:c r="B1118" s="2" t="n">
        <x:v>45</x:v>
      </x:c>
      <x:c r="C1118" s="2" t="str">
        <x:v>전갈자리</x:v>
      </x:c>
      <x:c r="D1118" s="2" t="str">
        <x:v>사수</x:v>
      </x:c>
      <x:c r="E1118" s="2" t="n">
        <x:v>1</x:v>
      </x:c>
      <x:c r="F1118" s="2" t="n">
        <x:v>3</x:v>
      </x:c>
      <x:c r="G1118" s="14" t="n">
        <x:f>('레벨 계산식'!$E$4-E1118)*'레벨 계산식'!$B$5</x:f>
        <x:v>0.5599999999999999</x:v>
      </x:c>
      <x:c r="H1118" s="14" t="n">
        <x:f>('등급 계산식'!$E$4-F1118)*'등급 계산식'!$B$5</x:f>
        <x:v>0.12000000000000002</x:v>
      </x:c>
      <x:c r="I1118" s="14" t="n">
        <x:f>1-G1118-H1118</x:f>
        <x:v>0.32000000000000006</x:v>
      </x:c>
      <x:c r="J1118" s="2" t="n">
        <x:f>MAX(1,ROUND('기준스탯 72종'!D52-R1118-Z1118,0))</x:f>
        <x:v>3</x:v>
      </x:c>
      <x:c r="K1118" s="2" t="n">
        <x:f>MAX(1,ROUND('기준스탯 72종'!E52-S1118-AA1118,0))</x:f>
        <x:v>2</x:v>
      </x:c>
      <x:c r="L1118" s="2" t="n">
        <x:f>MAX(1,ROUND('기준스탯 72종'!F52-T1118-AB1118,0))</x:f>
        <x:v>2</x:v>
      </x:c>
      <x:c r="M1118" s="2" t="n">
        <x:f>MAX(1,ROUND('기준스탯 72종'!G52-U1118-AC1118,0))</x:f>
        <x:v>3</x:v>
      </x:c>
      <x:c r="N1118" s="2" t="n">
        <x:f>MAX(0,ROUND('기준스탯 72종'!H52-V1118-AD1118,0))</x:f>
        <x:v>1</x:v>
      </x:c>
      <x:c r="O1118" s="2" t="n">
        <x:f>MAX(0,ROUND('기준스탯 72종'!I52-W1118-AE1118,0))</x:f>
        <x:v>2</x:v>
      </x:c>
      <x:c r="P1118" s="2" t="n">
        <x:f>MAX(0,ROUND('기준스탯 72종'!J52-X1118-AF1118,0))</x:f>
        <x:v>2</x:v>
      </x:c>
      <x:c r="Q1118" s="2" t="n">
        <x:f>MAX(0,ROUND('기준스탯 72종'!K52-Y1118-AG1118,0))</x:f>
        <x:v>0</x:v>
      </x:c>
      <x:c r="R1118" s="15" t="n">
        <x:f>'기준스탯 72종'!D52*G1118</x:f>
        <x:v>4.4799999999999995</x:v>
      </x:c>
      <x:c r="S1118" s="15" t="n">
        <x:f>'기준스탯 72종'!E52*G1118</x:f>
        <x:v>3.3599999999999994</x:v>
      </x:c>
      <x:c r="T1118" s="15" t="n">
        <x:f>'기준스탯 72종'!F52*G1118</x:f>
        <x:v>3.9199999999999995</x:v>
      </x:c>
      <x:c r="U1118" s="15" t="n">
        <x:f>'기준스탯 72종'!G52*G1118</x:f>
        <x:v>5.039999999999999</x:v>
      </x:c>
      <x:c r="V1118" s="15" t="n">
        <x:f>'기준스탯 72종'!H52*G1118</x:f>
        <x:v>2.2399999999999998</x:v>
      </x:c>
      <x:c r="W1118" s="15" t="n">
        <x:f>'기준스탯 72종'!I52*G1118</x:f>
        <x:v>2.8</x:v>
      </x:c>
      <x:c r="X1118" s="15" t="n">
        <x:f>'기준스탯 72종'!J52*G1118</x:f>
        <x:v>3.9199999999999995</x:v>
      </x:c>
      <x:c r="Y1118" s="15" t="n">
        <x:f>'기준스탯 72종'!K52*G1118</x:f>
        <x:v>0</x:v>
      </x:c>
      <x:c r="Z1118" s="15" t="n">
        <x:f>'기준스탯 72종'!D52*H1118</x:f>
        <x:v>0.9600000000000002</x:v>
      </x:c>
      <x:c r="AA1118" s="15" t="n">
        <x:f>'기준스탯 72종'!E52*H1118</x:f>
        <x:v>0.7200000000000002</x:v>
      </x:c>
      <x:c r="AB1118" s="15" t="n">
        <x:f>'기준스탯 72종'!F52*H1118</x:f>
        <x:v>0.8400000000000002</x:v>
      </x:c>
      <x:c r="AC1118" s="15" t="n">
        <x:f>'기준스탯 72종'!G52*H1118</x:f>
        <x:v>1.0800000000000003</x:v>
      </x:c>
      <x:c r="AD1118" s="15" t="n">
        <x:f>'기준스탯 72종'!H52*H1118</x:f>
        <x:v>0.4800000000000001</x:v>
      </x:c>
      <x:c r="AE1118" s="15" t="n">
        <x:f>'기준스탯 72종'!I52*H1118</x:f>
        <x:v>0.6000000000000001</x:v>
      </x:c>
      <x:c r="AF1118" s="15" t="n">
        <x:f>'기준스탯 72종'!J52*H1118</x:f>
        <x:v>0.8400000000000002</x:v>
      </x:c>
      <x:c r="AG1118" s="15" t="n">
        <x:f>'기준스탯 72종'!K52*H1118</x:f>
        <x:v>0</x:v>
      </x:c>
    </x:row>
    <x:row r="1119" ht="28" customHeight="1">
      <x:c r="A1119" s="2" t="n">
        <x:v>1112</x:v>
      </x:c>
      <x:c r="B1119" s="2" t="n">
        <x:v>45</x:v>
      </x:c>
      <x:c r="C1119" s="2" t="str">
        <x:v>전갈자리</x:v>
      </x:c>
      <x:c r="D1119" s="2" t="str">
        <x:v>사수</x:v>
      </x:c>
      <x:c r="E1119" s="2" t="n">
        <x:v>2</x:v>
      </x:c>
      <x:c r="F1119" s="2" t="n">
        <x:v>3</x:v>
      </x:c>
      <x:c r="G1119" s="14" t="n">
        <x:f>('레벨 계산식'!$E$4-E1119)*'레벨 계산식'!$B$5</x:f>
        <x:v>0.41999999999999993</x:v>
      </x:c>
      <x:c r="H1119" s="14" t="n">
        <x:f>('등급 계산식'!$E$4-F1119)*'등급 계산식'!$B$5</x:f>
        <x:v>0.12000000000000002</x:v>
      </x:c>
      <x:c r="I1119" s="14" t="n">
        <x:f>1-G1119-H1119</x:f>
        <x:v>0.4600000000000001</x:v>
      </x:c>
      <x:c r="J1119" s="2" t="n">
        <x:f>MAX(1,ROUND('기준스탯 72종'!D52-R1119-Z1119,0))</x:f>
        <x:v>4</x:v>
      </x:c>
      <x:c r="K1119" s="2" t="n">
        <x:f>MAX(1,ROUND('기준스탯 72종'!E52-S1119-AA1119,0))</x:f>
        <x:v>3</x:v>
      </x:c>
      <x:c r="L1119" s="2" t="n">
        <x:f>MAX(1,ROUND('기준스탯 72종'!F52-T1119-AB1119,0))</x:f>
        <x:v>3</x:v>
      </x:c>
      <x:c r="M1119" s="2" t="n">
        <x:f>MAX(1,ROUND('기준스탯 72종'!G52-U1119-AC1119,0))</x:f>
        <x:v>4</x:v>
      </x:c>
      <x:c r="N1119" s="2" t="n">
        <x:f>MAX(0,ROUND('기준스탯 72종'!H52-V1119-AD1119,0))</x:f>
        <x:v>2</x:v>
      </x:c>
      <x:c r="O1119" s="2" t="n">
        <x:f>MAX(0,ROUND('기준스탯 72종'!I52-W1119-AE1119,0))</x:f>
        <x:v>2</x:v>
      </x:c>
      <x:c r="P1119" s="2" t="n">
        <x:f>MAX(0,ROUND('기준스탯 72종'!J52-X1119-AF1119,0))</x:f>
        <x:v>3</x:v>
      </x:c>
      <x:c r="Q1119" s="2" t="n">
        <x:f>MAX(0,ROUND('기준스탯 72종'!K52-Y1119-AG1119,0))</x:f>
        <x:v>0</x:v>
      </x:c>
      <x:c r="R1119" s="15" t="n">
        <x:f>'기준스탯 72종'!D52*G1119</x:f>
        <x:v>3.3599999999999994</x:v>
      </x:c>
      <x:c r="S1119" s="15" t="n">
        <x:f>'기준스탯 72종'!E52*G1119</x:f>
        <x:v>2.5199999999999996</x:v>
      </x:c>
      <x:c r="T1119" s="15" t="n">
        <x:f>'기준스탯 72종'!F52*G1119</x:f>
        <x:v>2.9399999999999995</x:v>
      </x:c>
      <x:c r="U1119" s="15" t="n">
        <x:f>'기준스탯 72종'!G52*G1119</x:f>
        <x:v>3.7799999999999994</x:v>
      </x:c>
      <x:c r="V1119" s="15" t="n">
        <x:f>'기준스탯 72종'!H52*G1119</x:f>
        <x:v>1.6799999999999997</x:v>
      </x:c>
      <x:c r="W1119" s="15" t="n">
        <x:f>'기준스탯 72종'!I52*G1119</x:f>
        <x:v>2.0999999999999996</x:v>
      </x:c>
      <x:c r="X1119" s="15" t="n">
        <x:f>'기준스탯 72종'!J52*G1119</x:f>
        <x:v>2.9399999999999995</x:v>
      </x:c>
      <x:c r="Y1119" s="15" t="n">
        <x:f>'기준스탯 72종'!K52*G1119</x:f>
        <x:v>0</x:v>
      </x:c>
      <x:c r="Z1119" s="15" t="n">
        <x:f>'기준스탯 72종'!D52*H1119</x:f>
        <x:v>0.9600000000000002</x:v>
      </x:c>
      <x:c r="AA1119" s="15" t="n">
        <x:f>'기준스탯 72종'!E52*H1119</x:f>
        <x:v>0.7200000000000002</x:v>
      </x:c>
      <x:c r="AB1119" s="15" t="n">
        <x:f>'기준스탯 72종'!F52*H1119</x:f>
        <x:v>0.8400000000000002</x:v>
      </x:c>
      <x:c r="AC1119" s="15" t="n">
        <x:f>'기준스탯 72종'!G52*H1119</x:f>
        <x:v>1.0800000000000003</x:v>
      </x:c>
      <x:c r="AD1119" s="15" t="n">
        <x:f>'기준스탯 72종'!H52*H1119</x:f>
        <x:v>0.4800000000000001</x:v>
      </x:c>
      <x:c r="AE1119" s="15" t="n">
        <x:f>'기준스탯 72종'!I52*H1119</x:f>
        <x:v>0.6000000000000001</x:v>
      </x:c>
      <x:c r="AF1119" s="15" t="n">
        <x:f>'기준스탯 72종'!J52*H1119</x:f>
        <x:v>0.8400000000000002</x:v>
      </x:c>
      <x:c r="AG1119" s="15" t="n">
        <x:f>'기준스탯 72종'!K52*H1119</x:f>
        <x:v>0</x:v>
      </x:c>
    </x:row>
    <x:row r="1120" ht="28" customHeight="1">
      <x:c r="A1120" s="2" t="n">
        <x:v>1113</x:v>
      </x:c>
      <x:c r="B1120" s="2" t="n">
        <x:v>45</x:v>
      </x:c>
      <x:c r="C1120" s="2" t="str">
        <x:v>전갈자리</x:v>
      </x:c>
      <x:c r="D1120" s="2" t="str">
        <x:v>사수</x:v>
      </x:c>
      <x:c r="E1120" s="2" t="n">
        <x:v>3</x:v>
      </x:c>
      <x:c r="F1120" s="2" t="n">
        <x:v>3</x:v>
      </x:c>
      <x:c r="G1120" s="14" t="n">
        <x:f>('레벨 계산식'!$E$4-E1120)*'레벨 계산식'!$B$5</x:f>
        <x:v>0.27999999999999997</x:v>
      </x:c>
      <x:c r="H1120" s="14" t="n">
        <x:f>('등급 계산식'!$E$4-F1120)*'등급 계산식'!$B$5</x:f>
        <x:v>0.12000000000000002</x:v>
      </x:c>
      <x:c r="I1120" s="14" t="n">
        <x:f>1-G1120-H1120</x:f>
        <x:v>0.6</x:v>
      </x:c>
      <x:c r="J1120" s="2" t="n">
        <x:f>MAX(1,ROUND('기준스탯 72종'!D52-R1120-Z1120,0))</x:f>
        <x:v>5</x:v>
      </x:c>
      <x:c r="K1120" s="2" t="n">
        <x:f>MAX(1,ROUND('기준스탯 72종'!E52-S1120-AA1120,0))</x:f>
        <x:v>4</x:v>
      </x:c>
      <x:c r="L1120" s="2" t="n">
        <x:f>MAX(1,ROUND('기준스탯 72종'!F52-T1120-AB1120,0))</x:f>
        <x:v>4</x:v>
      </x:c>
      <x:c r="M1120" s="2" t="n">
        <x:f>MAX(1,ROUND('기준스탯 72종'!G52-U1120-AC1120,0))</x:f>
        <x:v>5</x:v>
      </x:c>
      <x:c r="N1120" s="2" t="n">
        <x:f>MAX(0,ROUND('기준스탯 72종'!H52-V1120-AD1120,0))</x:f>
        <x:v>2</x:v>
      </x:c>
      <x:c r="O1120" s="2" t="n">
        <x:f>MAX(0,ROUND('기준스탯 72종'!I52-W1120-AE1120,0))</x:f>
        <x:v>3</x:v>
      </x:c>
      <x:c r="P1120" s="2" t="n">
        <x:f>MAX(0,ROUND('기준스탯 72종'!J52-X1120-AF1120,0))</x:f>
        <x:v>4</x:v>
      </x:c>
      <x:c r="Q1120" s="2" t="n">
        <x:f>MAX(0,ROUND('기준스탯 72종'!K52-Y1120-AG1120,0))</x:f>
        <x:v>0</x:v>
      </x:c>
      <x:c r="R1120" s="15" t="n">
        <x:f>'기준스탯 72종'!D52*G1120</x:f>
        <x:v>2.2399999999999998</x:v>
      </x:c>
      <x:c r="S1120" s="15" t="n">
        <x:f>'기준스탯 72종'!E52*G1120</x:f>
        <x:v>1.6799999999999997</x:v>
      </x:c>
      <x:c r="T1120" s="15" t="n">
        <x:f>'기준스탯 72종'!F52*G1120</x:f>
        <x:v>1.9599999999999997</x:v>
      </x:c>
      <x:c r="U1120" s="15" t="n">
        <x:f>'기준스탯 72종'!G52*G1120</x:f>
        <x:v>2.5199999999999996</x:v>
      </x:c>
      <x:c r="V1120" s="15" t="n">
        <x:f>'기준스탯 72종'!H52*G1120</x:f>
        <x:v>1.1199999999999999</x:v>
      </x:c>
      <x:c r="W1120" s="15" t="n">
        <x:f>'기준스탯 72종'!I52*G1120</x:f>
        <x:v>1.4</x:v>
      </x:c>
      <x:c r="X1120" s="15" t="n">
        <x:f>'기준스탯 72종'!J52*G1120</x:f>
        <x:v>1.9599999999999997</x:v>
      </x:c>
      <x:c r="Y1120" s="15" t="n">
        <x:f>'기준스탯 72종'!K52*G1120</x:f>
        <x:v>0</x:v>
      </x:c>
      <x:c r="Z1120" s="15" t="n">
        <x:f>'기준스탯 72종'!D52*H1120</x:f>
        <x:v>0.9600000000000002</x:v>
      </x:c>
      <x:c r="AA1120" s="15" t="n">
        <x:f>'기준스탯 72종'!E52*H1120</x:f>
        <x:v>0.7200000000000002</x:v>
      </x:c>
      <x:c r="AB1120" s="15" t="n">
        <x:f>'기준스탯 72종'!F52*H1120</x:f>
        <x:v>0.8400000000000002</x:v>
      </x:c>
      <x:c r="AC1120" s="15" t="n">
        <x:f>'기준스탯 72종'!G52*H1120</x:f>
        <x:v>1.0800000000000003</x:v>
      </x:c>
      <x:c r="AD1120" s="15" t="n">
        <x:f>'기준스탯 72종'!H52*H1120</x:f>
        <x:v>0.4800000000000001</x:v>
      </x:c>
      <x:c r="AE1120" s="15" t="n">
        <x:f>'기준스탯 72종'!I52*H1120</x:f>
        <x:v>0.6000000000000001</x:v>
      </x:c>
      <x:c r="AF1120" s="15" t="n">
        <x:f>'기준스탯 72종'!J52*H1120</x:f>
        <x:v>0.8400000000000002</x:v>
      </x:c>
      <x:c r="AG1120" s="15" t="n">
        <x:f>'기준스탯 72종'!K52*H1120</x:f>
        <x:v>0</x:v>
      </x:c>
    </x:row>
    <x:row r="1121" ht="28" customHeight="1">
      <x:c r="A1121" s="2" t="n">
        <x:v>1114</x:v>
      </x:c>
      <x:c r="B1121" s="2" t="n">
        <x:v>45</x:v>
      </x:c>
      <x:c r="C1121" s="2" t="str">
        <x:v>전갈자리</x:v>
      </x:c>
      <x:c r="D1121" s="2" t="str">
        <x:v>사수</x:v>
      </x:c>
      <x:c r="E1121" s="2" t="n">
        <x:v>4</x:v>
      </x:c>
      <x:c r="F1121" s="2" t="n">
        <x:v>3</x:v>
      </x:c>
      <x:c r="G1121" s="14" t="n">
        <x:f>('레벨 계산식'!$E$4-E1121)*'레벨 계산식'!$B$5</x:f>
        <x:v>0.13999999999999999</x:v>
      </x:c>
      <x:c r="H1121" s="14" t="n">
        <x:f>('등급 계산식'!$E$4-F1121)*'등급 계산식'!$B$5</x:f>
        <x:v>0.12000000000000002</x:v>
      </x:c>
      <x:c r="I1121" s="14" t="n">
        <x:f>1-G1121-H1121</x:f>
        <x:v>0.74</x:v>
      </x:c>
      <x:c r="J1121" s="2" t="n">
        <x:f>MAX(1,ROUND('기준스탯 72종'!D52-R1121-Z1121,0))</x:f>
        <x:v>6</x:v>
      </x:c>
      <x:c r="K1121" s="2" t="n">
        <x:f>MAX(1,ROUND('기준스탯 72종'!E52-S1121-AA1121,0))</x:f>
        <x:v>4</x:v>
      </x:c>
      <x:c r="L1121" s="2" t="n">
        <x:f>MAX(1,ROUND('기준스탯 72종'!F52-T1121-AB1121,0))</x:f>
        <x:v>5</x:v>
      </x:c>
      <x:c r="M1121" s="2" t="n">
        <x:f>MAX(1,ROUND('기준스탯 72종'!G52-U1121-AC1121,0))</x:f>
        <x:v>7</x:v>
      </x:c>
      <x:c r="N1121" s="2" t="n">
        <x:f>MAX(0,ROUND('기준스탯 72종'!H52-V1121-AD1121,0))</x:f>
        <x:v>3</x:v>
      </x:c>
      <x:c r="O1121" s="2" t="n">
        <x:f>MAX(0,ROUND('기준스탯 72종'!I52-W1121-AE1121,0))</x:f>
        <x:v>4</x:v>
      </x:c>
      <x:c r="P1121" s="2" t="n">
        <x:f>MAX(0,ROUND('기준스탯 72종'!J52-X1121-AF1121,0))</x:f>
        <x:v>5</x:v>
      </x:c>
      <x:c r="Q1121" s="2" t="n">
        <x:f>MAX(0,ROUND('기준스탯 72종'!K52-Y1121-AG1121,0))</x:f>
        <x:v>0</x:v>
      </x:c>
      <x:c r="R1121" s="15" t="n">
        <x:f>'기준스탯 72종'!D52*G1121</x:f>
        <x:v>1.1199999999999999</x:v>
      </x:c>
      <x:c r="S1121" s="15" t="n">
        <x:f>'기준스탯 72종'!E52*G1121</x:f>
        <x:v>0.8399999999999999</x:v>
      </x:c>
      <x:c r="T1121" s="15" t="n">
        <x:f>'기준스탯 72종'!F52*G1121</x:f>
        <x:v>0.9799999999999999</x:v>
      </x:c>
      <x:c r="U1121" s="15" t="n">
        <x:f>'기준스탯 72종'!G52*G1121</x:f>
        <x:v>1.2599999999999998</x:v>
      </x:c>
      <x:c r="V1121" s="15" t="n">
        <x:f>'기준스탯 72종'!H52*G1121</x:f>
        <x:v>0.5599999999999999</x:v>
      </x:c>
      <x:c r="W1121" s="15" t="n">
        <x:f>'기준스탯 72종'!I52*G1121</x:f>
        <x:v>0.7</x:v>
      </x:c>
      <x:c r="X1121" s="15" t="n">
        <x:f>'기준스탯 72종'!J52*G1121</x:f>
        <x:v>0.9799999999999999</x:v>
      </x:c>
      <x:c r="Y1121" s="15" t="n">
        <x:f>'기준스탯 72종'!K52*G1121</x:f>
        <x:v>0</x:v>
      </x:c>
      <x:c r="Z1121" s="15" t="n">
        <x:f>'기준스탯 72종'!D52*H1121</x:f>
        <x:v>0.9600000000000002</x:v>
      </x:c>
      <x:c r="AA1121" s="15" t="n">
        <x:f>'기준스탯 72종'!E52*H1121</x:f>
        <x:v>0.7200000000000002</x:v>
      </x:c>
      <x:c r="AB1121" s="15" t="n">
        <x:f>'기준스탯 72종'!F52*H1121</x:f>
        <x:v>0.8400000000000002</x:v>
      </x:c>
      <x:c r="AC1121" s="15" t="n">
        <x:f>'기준스탯 72종'!G52*H1121</x:f>
        <x:v>1.0800000000000003</x:v>
      </x:c>
      <x:c r="AD1121" s="15" t="n">
        <x:f>'기준스탯 72종'!H52*H1121</x:f>
        <x:v>0.4800000000000001</x:v>
      </x:c>
      <x:c r="AE1121" s="15" t="n">
        <x:f>'기준스탯 72종'!I52*H1121</x:f>
        <x:v>0.6000000000000001</x:v>
      </x:c>
      <x:c r="AF1121" s="15" t="n">
        <x:f>'기준스탯 72종'!J52*H1121</x:f>
        <x:v>0.8400000000000002</x:v>
      </x:c>
      <x:c r="AG1121" s="15" t="n">
        <x:f>'기준스탯 72종'!K52*H1121</x:f>
        <x:v>0</x:v>
      </x:c>
    </x:row>
    <x:row r="1122" ht="28" customHeight="1">
      <x:c r="A1122" s="2" t="n">
        <x:v>1115</x:v>
      </x:c>
      <x:c r="B1122" s="2" t="n">
        <x:v>45</x:v>
      </x:c>
      <x:c r="C1122" s="2" t="str">
        <x:v>전갈자리</x:v>
      </x:c>
      <x:c r="D1122" s="2" t="str">
        <x:v>사수</x:v>
      </x:c>
      <x:c r="E1122" s="2" t="n">
        <x:v>5</x:v>
      </x:c>
      <x:c r="F1122" s="2" t="n">
        <x:v>3</x:v>
      </x:c>
      <x:c r="G1122" s="14" t="n">
        <x:f>('레벨 계산식'!$E$4-E1122)*'레벨 계산식'!$B$5</x:f>
        <x:v>0</x:v>
      </x:c>
      <x:c r="H1122" s="14" t="n">
        <x:f>('등급 계산식'!$E$4-F1122)*'등급 계산식'!$B$5</x:f>
        <x:v>0.12000000000000002</x:v>
      </x:c>
      <x:c r="I1122" s="14" t="n">
        <x:f>1-G1122-H1122</x:f>
        <x:v>0.88</x:v>
      </x:c>
      <x:c r="J1122" s="2" t="n">
        <x:f>MAX(1,ROUND('기준스탯 72종'!D52-R1122-Z1122,0))</x:f>
        <x:v>7</x:v>
      </x:c>
      <x:c r="K1122" s="2" t="n">
        <x:f>MAX(1,ROUND('기준스탯 72종'!E52-S1122-AA1122,0))</x:f>
        <x:v>5</x:v>
      </x:c>
      <x:c r="L1122" s="2" t="n">
        <x:f>MAX(1,ROUND('기준스탯 72종'!F52-T1122-AB1122,0))</x:f>
        <x:v>6</x:v>
      </x:c>
      <x:c r="M1122" s="2" t="n">
        <x:f>MAX(1,ROUND('기준스탯 72종'!G52-U1122-AC1122,0))</x:f>
        <x:v>8</x:v>
      </x:c>
      <x:c r="N1122" s="2" t="n">
        <x:f>MAX(0,ROUND('기준스탯 72종'!H52-V1122-AD1122,0))</x:f>
        <x:v>4</x:v>
      </x:c>
      <x:c r="O1122" s="2" t="n">
        <x:f>MAX(0,ROUND('기준스탯 72종'!I52-W1122-AE1122,0))</x:f>
        <x:v>4</x:v>
      </x:c>
      <x:c r="P1122" s="2" t="n">
        <x:f>MAX(0,ROUND('기준스탯 72종'!J52-X1122-AF1122,0))</x:f>
        <x:v>6</x:v>
      </x:c>
      <x:c r="Q1122" s="2" t="n">
        <x:f>MAX(0,ROUND('기준스탯 72종'!K52-Y1122-AG1122,0))</x:f>
        <x:v>0</x:v>
      </x:c>
      <x:c r="R1122" s="15" t="n">
        <x:f>'기준스탯 72종'!D52*G1122</x:f>
        <x:v>0</x:v>
      </x:c>
      <x:c r="S1122" s="15" t="n">
        <x:f>'기준스탯 72종'!E52*G1122</x:f>
        <x:v>0</x:v>
      </x:c>
      <x:c r="T1122" s="15" t="n">
        <x:f>'기준스탯 72종'!F52*G1122</x:f>
        <x:v>0</x:v>
      </x:c>
      <x:c r="U1122" s="15" t="n">
        <x:f>'기준스탯 72종'!G52*G1122</x:f>
        <x:v>0</x:v>
      </x:c>
      <x:c r="V1122" s="15" t="n">
        <x:f>'기준스탯 72종'!H52*G1122</x:f>
        <x:v>0</x:v>
      </x:c>
      <x:c r="W1122" s="15" t="n">
        <x:f>'기준스탯 72종'!I52*G1122</x:f>
        <x:v>0</x:v>
      </x:c>
      <x:c r="X1122" s="15" t="n">
        <x:f>'기준스탯 72종'!J52*G1122</x:f>
        <x:v>0</x:v>
      </x:c>
      <x:c r="Y1122" s="15" t="n">
        <x:f>'기준스탯 72종'!K52*G1122</x:f>
        <x:v>0</x:v>
      </x:c>
      <x:c r="Z1122" s="15" t="n">
        <x:f>'기준스탯 72종'!D52*H1122</x:f>
        <x:v>0.9600000000000002</x:v>
      </x:c>
      <x:c r="AA1122" s="15" t="n">
        <x:f>'기준스탯 72종'!E52*H1122</x:f>
        <x:v>0.7200000000000002</x:v>
      </x:c>
      <x:c r="AB1122" s="15" t="n">
        <x:f>'기준스탯 72종'!F52*H1122</x:f>
        <x:v>0.8400000000000002</x:v>
      </x:c>
      <x:c r="AC1122" s="15" t="n">
        <x:f>'기준스탯 72종'!G52*H1122</x:f>
        <x:v>1.0800000000000003</x:v>
      </x:c>
      <x:c r="AD1122" s="15" t="n">
        <x:f>'기준스탯 72종'!H52*H1122</x:f>
        <x:v>0.4800000000000001</x:v>
      </x:c>
      <x:c r="AE1122" s="15" t="n">
        <x:f>'기준스탯 72종'!I52*H1122</x:f>
        <x:v>0.6000000000000001</x:v>
      </x:c>
      <x:c r="AF1122" s="15" t="n">
        <x:f>'기준스탯 72종'!J52*H1122</x:f>
        <x:v>0.8400000000000002</x:v>
      </x:c>
      <x:c r="AG1122" s="15" t="n">
        <x:f>'기준스탯 72종'!K52*H1122</x:f>
        <x:v>0</x:v>
      </x:c>
    </x:row>
    <x:row r="1123" ht="28" customHeight="1">
      <x:c r="A1123" s="2" t="n">
        <x:v>1116</x:v>
      </x:c>
      <x:c r="B1123" s="2" t="n">
        <x:v>45</x:v>
      </x:c>
      <x:c r="C1123" s="2" t="str">
        <x:v>전갈자리</x:v>
      </x:c>
      <x:c r="D1123" s="2" t="str">
        <x:v>사수</x:v>
      </x:c>
      <x:c r="E1123" s="2" t="n">
        <x:v>1</x:v>
      </x:c>
      <x:c r="F1123" s="2" t="n">
        <x:v>4</x:v>
      </x:c>
      <x:c r="G1123" s="14" t="n">
        <x:f>('레벨 계산식'!$E$4-E1123)*'레벨 계산식'!$B$5</x:f>
        <x:v>0.5599999999999999</x:v>
      </x:c>
      <x:c r="H1123" s="14" t="n">
        <x:f>('등급 계산식'!$E$4-F1123)*'등급 계산식'!$B$5</x:f>
        <x:v>0.06000000000000001</x:v>
      </x:c>
      <x:c r="I1123" s="14" t="n">
        <x:f>1-G1123-H1123</x:f>
        <x:v>0.38000000000000006</x:v>
      </x:c>
      <x:c r="J1123" s="2" t="n">
        <x:f>MAX(1,ROUND('기준스탯 72종'!D52-R1123-Z1123,0))</x:f>
        <x:v>3</x:v>
      </x:c>
      <x:c r="K1123" s="2" t="n">
        <x:f>MAX(1,ROUND('기준스탯 72종'!E52-S1123-AA1123,0))</x:f>
        <x:v>2</x:v>
      </x:c>
      <x:c r="L1123" s="2" t="n">
        <x:f>MAX(1,ROUND('기준스탯 72종'!F52-T1123-AB1123,0))</x:f>
        <x:v>3</x:v>
      </x:c>
      <x:c r="M1123" s="2" t="n">
        <x:f>MAX(1,ROUND('기준스탯 72종'!G52-U1123-AC1123,0))</x:f>
        <x:v>3</x:v>
      </x:c>
      <x:c r="N1123" s="2" t="n">
        <x:f>MAX(0,ROUND('기준스탯 72종'!H52-V1123-AD1123,0))</x:f>
        <x:v>2</x:v>
      </x:c>
      <x:c r="O1123" s="2" t="n">
        <x:f>MAX(0,ROUND('기준스탯 72종'!I52-W1123-AE1123,0))</x:f>
        <x:v>2</x:v>
      </x:c>
      <x:c r="P1123" s="2" t="n">
        <x:f>MAX(0,ROUND('기준스탯 72종'!J52-X1123-AF1123,0))</x:f>
        <x:v>3</x:v>
      </x:c>
      <x:c r="Q1123" s="2" t="n">
        <x:f>MAX(0,ROUND('기준스탯 72종'!K52-Y1123-AG1123,0))</x:f>
        <x:v>0</x:v>
      </x:c>
      <x:c r="R1123" s="15" t="n">
        <x:f>'기준스탯 72종'!D52*G1123</x:f>
        <x:v>4.4799999999999995</x:v>
      </x:c>
      <x:c r="S1123" s="15" t="n">
        <x:f>'기준스탯 72종'!E52*G1123</x:f>
        <x:v>3.3599999999999994</x:v>
      </x:c>
      <x:c r="T1123" s="15" t="n">
        <x:f>'기준스탯 72종'!F52*G1123</x:f>
        <x:v>3.9199999999999995</x:v>
      </x:c>
      <x:c r="U1123" s="15" t="n">
        <x:f>'기준스탯 72종'!G52*G1123</x:f>
        <x:v>5.039999999999999</x:v>
      </x:c>
      <x:c r="V1123" s="15" t="n">
        <x:f>'기준스탯 72종'!H52*G1123</x:f>
        <x:v>2.2399999999999998</x:v>
      </x:c>
      <x:c r="W1123" s="15" t="n">
        <x:f>'기준스탯 72종'!I52*G1123</x:f>
        <x:v>2.8</x:v>
      </x:c>
      <x:c r="X1123" s="15" t="n">
        <x:f>'기준스탯 72종'!J52*G1123</x:f>
        <x:v>3.9199999999999995</x:v>
      </x:c>
      <x:c r="Y1123" s="15" t="n">
        <x:f>'기준스탯 72종'!K52*G1123</x:f>
        <x:v>0</x:v>
      </x:c>
      <x:c r="Z1123" s="15" t="n">
        <x:f>'기준스탯 72종'!D52*H1123</x:f>
        <x:v>0.4800000000000001</x:v>
      </x:c>
      <x:c r="AA1123" s="15" t="n">
        <x:f>'기준스탯 72종'!E52*H1123</x:f>
        <x:v>0.3600000000000001</x:v>
      </x:c>
      <x:c r="AB1123" s="15" t="n">
        <x:f>'기준스탯 72종'!F52*H1123</x:f>
        <x:v>0.4200000000000001</x:v>
      </x:c>
      <x:c r="AC1123" s="15" t="n">
        <x:f>'기준스탯 72종'!G52*H1123</x:f>
        <x:v>0.5400000000000001</x:v>
      </x:c>
      <x:c r="AD1123" s="15" t="n">
        <x:f>'기준스탯 72종'!H52*H1123</x:f>
        <x:v>0.24000000000000005</x:v>
      </x:c>
      <x:c r="AE1123" s="15" t="n">
        <x:f>'기준스탯 72종'!I52*H1123</x:f>
        <x:v>0.30000000000000004</x:v>
      </x:c>
      <x:c r="AF1123" s="15" t="n">
        <x:f>'기준스탯 72종'!J52*H1123</x:f>
        <x:v>0.4200000000000001</x:v>
      </x:c>
      <x:c r="AG1123" s="15" t="n">
        <x:f>'기준스탯 72종'!K52*H1123</x:f>
        <x:v>0</x:v>
      </x:c>
    </x:row>
    <x:row r="1124" ht="28" customHeight="1">
      <x:c r="A1124" s="2" t="n">
        <x:v>1117</x:v>
      </x:c>
      <x:c r="B1124" s="2" t="n">
        <x:v>45</x:v>
      </x:c>
      <x:c r="C1124" s="2" t="str">
        <x:v>전갈자리</x:v>
      </x:c>
      <x:c r="D1124" s="2" t="str">
        <x:v>사수</x:v>
      </x:c>
      <x:c r="E1124" s="2" t="n">
        <x:v>2</x:v>
      </x:c>
      <x:c r="F1124" s="2" t="n">
        <x:v>4</x:v>
      </x:c>
      <x:c r="G1124" s="14" t="n">
        <x:f>('레벨 계산식'!$E$4-E1124)*'레벨 계산식'!$B$5</x:f>
        <x:v>0.41999999999999993</x:v>
      </x:c>
      <x:c r="H1124" s="14" t="n">
        <x:f>('등급 계산식'!$E$4-F1124)*'등급 계산식'!$B$5</x:f>
        <x:v>0.06000000000000001</x:v>
      </x:c>
      <x:c r="I1124" s="14" t="n">
        <x:f>1-G1124-H1124</x:f>
        <x:v>0.52</x:v>
      </x:c>
      <x:c r="J1124" s="2" t="n">
        <x:f>MAX(1,ROUND('기준스탯 72종'!D52-R1124-Z1124,0))</x:f>
        <x:v>4</x:v>
      </x:c>
      <x:c r="K1124" s="2" t="n">
        <x:f>MAX(1,ROUND('기준스탯 72종'!E52-S1124-AA1124,0))</x:f>
        <x:v>3</x:v>
      </x:c>
      <x:c r="L1124" s="2" t="n">
        <x:f>MAX(1,ROUND('기준스탯 72종'!F52-T1124-AB1124,0))</x:f>
        <x:v>4</x:v>
      </x:c>
      <x:c r="M1124" s="2" t="n">
        <x:f>MAX(1,ROUND('기준스탯 72종'!G52-U1124-AC1124,0))</x:f>
        <x:v>5</x:v>
      </x:c>
      <x:c r="N1124" s="2" t="n">
        <x:f>MAX(0,ROUND('기준스탯 72종'!H52-V1124-AD1124,0))</x:f>
        <x:v>2</x:v>
      </x:c>
      <x:c r="O1124" s="2" t="n">
        <x:f>MAX(0,ROUND('기준스탯 72종'!I52-W1124-AE1124,0))</x:f>
        <x:v>3</x:v>
      </x:c>
      <x:c r="P1124" s="2" t="n">
        <x:f>MAX(0,ROUND('기준스탯 72종'!J52-X1124-AF1124,0))</x:f>
        <x:v>4</x:v>
      </x:c>
      <x:c r="Q1124" s="2" t="n">
        <x:f>MAX(0,ROUND('기준스탯 72종'!K52-Y1124-AG1124,0))</x:f>
        <x:v>0</x:v>
      </x:c>
      <x:c r="R1124" s="15" t="n">
        <x:f>'기준스탯 72종'!D52*G1124</x:f>
        <x:v>3.3599999999999994</x:v>
      </x:c>
      <x:c r="S1124" s="15" t="n">
        <x:f>'기준스탯 72종'!E52*G1124</x:f>
        <x:v>2.5199999999999996</x:v>
      </x:c>
      <x:c r="T1124" s="15" t="n">
        <x:f>'기준스탯 72종'!F52*G1124</x:f>
        <x:v>2.9399999999999995</x:v>
      </x:c>
      <x:c r="U1124" s="15" t="n">
        <x:f>'기준스탯 72종'!G52*G1124</x:f>
        <x:v>3.7799999999999994</x:v>
      </x:c>
      <x:c r="V1124" s="15" t="n">
        <x:f>'기준스탯 72종'!H52*G1124</x:f>
        <x:v>1.6799999999999997</x:v>
      </x:c>
      <x:c r="W1124" s="15" t="n">
        <x:f>'기준스탯 72종'!I52*G1124</x:f>
        <x:v>2.0999999999999996</x:v>
      </x:c>
      <x:c r="X1124" s="15" t="n">
        <x:f>'기준스탯 72종'!J52*G1124</x:f>
        <x:v>2.9399999999999995</x:v>
      </x:c>
      <x:c r="Y1124" s="15" t="n">
        <x:f>'기준스탯 72종'!K52*G1124</x:f>
        <x:v>0</x:v>
      </x:c>
      <x:c r="Z1124" s="15" t="n">
        <x:f>'기준스탯 72종'!D52*H1124</x:f>
        <x:v>0.4800000000000001</x:v>
      </x:c>
      <x:c r="AA1124" s="15" t="n">
        <x:f>'기준스탯 72종'!E52*H1124</x:f>
        <x:v>0.3600000000000001</x:v>
      </x:c>
      <x:c r="AB1124" s="15" t="n">
        <x:f>'기준스탯 72종'!F52*H1124</x:f>
        <x:v>0.4200000000000001</x:v>
      </x:c>
      <x:c r="AC1124" s="15" t="n">
        <x:f>'기준스탯 72종'!G52*H1124</x:f>
        <x:v>0.5400000000000001</x:v>
      </x:c>
      <x:c r="AD1124" s="15" t="n">
        <x:f>'기준스탯 72종'!H52*H1124</x:f>
        <x:v>0.24000000000000005</x:v>
      </x:c>
      <x:c r="AE1124" s="15" t="n">
        <x:f>'기준스탯 72종'!I52*H1124</x:f>
        <x:v>0.30000000000000004</x:v>
      </x:c>
      <x:c r="AF1124" s="15" t="n">
        <x:f>'기준스탯 72종'!J52*H1124</x:f>
        <x:v>0.4200000000000001</x:v>
      </x:c>
      <x:c r="AG1124" s="15" t="n">
        <x:f>'기준스탯 72종'!K52*H1124</x:f>
        <x:v>0</x:v>
      </x:c>
    </x:row>
    <x:row r="1125" ht="28" customHeight="1">
      <x:c r="A1125" s="2" t="n">
        <x:v>1118</x:v>
      </x:c>
      <x:c r="B1125" s="2" t="n">
        <x:v>45</x:v>
      </x:c>
      <x:c r="C1125" s="2" t="str">
        <x:v>전갈자리</x:v>
      </x:c>
      <x:c r="D1125" s="2" t="str">
        <x:v>사수</x:v>
      </x:c>
      <x:c r="E1125" s="2" t="n">
        <x:v>3</x:v>
      </x:c>
      <x:c r="F1125" s="2" t="n">
        <x:v>4</x:v>
      </x:c>
      <x:c r="G1125" s="14" t="n">
        <x:f>('레벨 계산식'!$E$4-E1125)*'레벨 계산식'!$B$5</x:f>
        <x:v>0.27999999999999997</x:v>
      </x:c>
      <x:c r="H1125" s="14" t="n">
        <x:f>('등급 계산식'!$E$4-F1125)*'등급 계산식'!$B$5</x:f>
        <x:v>0.06000000000000001</x:v>
      </x:c>
      <x:c r="I1125" s="14" t="n">
        <x:f>1-G1125-H1125</x:f>
        <x:v>0.6599999999999999</x:v>
      </x:c>
      <x:c r="J1125" s="2" t="n">
        <x:f>MAX(1,ROUND('기준스탯 72종'!D52-R1125-Z1125,0))</x:f>
        <x:v>5</x:v>
      </x:c>
      <x:c r="K1125" s="2" t="n">
        <x:f>MAX(1,ROUND('기준스탯 72종'!E52-S1125-AA1125,0))</x:f>
        <x:v>4</x:v>
      </x:c>
      <x:c r="L1125" s="2" t="n">
        <x:f>MAX(1,ROUND('기준스탯 72종'!F52-T1125-AB1125,0))</x:f>
        <x:v>5</x:v>
      </x:c>
      <x:c r="M1125" s="2" t="n">
        <x:f>MAX(1,ROUND('기준스탯 72종'!G52-U1125-AC1125,0))</x:f>
        <x:v>6</x:v>
      </x:c>
      <x:c r="N1125" s="2" t="n">
        <x:f>MAX(0,ROUND('기준스탯 72종'!H52-V1125-AD1125,0))</x:f>
        <x:v>3</x:v>
      </x:c>
      <x:c r="O1125" s="2" t="n">
        <x:f>MAX(0,ROUND('기준스탯 72종'!I52-W1125-AE1125,0))</x:f>
        <x:v>3</x:v>
      </x:c>
      <x:c r="P1125" s="2" t="n">
        <x:f>MAX(0,ROUND('기준스탯 72종'!J52-X1125-AF1125,0))</x:f>
        <x:v>5</x:v>
      </x:c>
      <x:c r="Q1125" s="2" t="n">
        <x:f>MAX(0,ROUND('기준스탯 72종'!K52-Y1125-AG1125,0))</x:f>
        <x:v>0</x:v>
      </x:c>
      <x:c r="R1125" s="15" t="n">
        <x:f>'기준스탯 72종'!D52*G1125</x:f>
        <x:v>2.2399999999999998</x:v>
      </x:c>
      <x:c r="S1125" s="15" t="n">
        <x:f>'기준스탯 72종'!E52*G1125</x:f>
        <x:v>1.6799999999999997</x:v>
      </x:c>
      <x:c r="T1125" s="15" t="n">
        <x:f>'기준스탯 72종'!F52*G1125</x:f>
        <x:v>1.9599999999999997</x:v>
      </x:c>
      <x:c r="U1125" s="15" t="n">
        <x:f>'기준스탯 72종'!G52*G1125</x:f>
        <x:v>2.5199999999999996</x:v>
      </x:c>
      <x:c r="V1125" s="15" t="n">
        <x:f>'기준스탯 72종'!H52*G1125</x:f>
        <x:v>1.1199999999999999</x:v>
      </x:c>
      <x:c r="W1125" s="15" t="n">
        <x:f>'기준스탯 72종'!I52*G1125</x:f>
        <x:v>1.4</x:v>
      </x:c>
      <x:c r="X1125" s="15" t="n">
        <x:f>'기준스탯 72종'!J52*G1125</x:f>
        <x:v>1.9599999999999997</x:v>
      </x:c>
      <x:c r="Y1125" s="15" t="n">
        <x:f>'기준스탯 72종'!K52*G1125</x:f>
        <x:v>0</x:v>
      </x:c>
      <x:c r="Z1125" s="15" t="n">
        <x:f>'기준스탯 72종'!D52*H1125</x:f>
        <x:v>0.4800000000000001</x:v>
      </x:c>
      <x:c r="AA1125" s="15" t="n">
        <x:f>'기준스탯 72종'!E52*H1125</x:f>
        <x:v>0.3600000000000001</x:v>
      </x:c>
      <x:c r="AB1125" s="15" t="n">
        <x:f>'기준스탯 72종'!F52*H1125</x:f>
        <x:v>0.4200000000000001</x:v>
      </x:c>
      <x:c r="AC1125" s="15" t="n">
        <x:f>'기준스탯 72종'!G52*H1125</x:f>
        <x:v>0.5400000000000001</x:v>
      </x:c>
      <x:c r="AD1125" s="15" t="n">
        <x:f>'기준스탯 72종'!H52*H1125</x:f>
        <x:v>0.24000000000000005</x:v>
      </x:c>
      <x:c r="AE1125" s="15" t="n">
        <x:f>'기준스탯 72종'!I52*H1125</x:f>
        <x:v>0.30000000000000004</x:v>
      </x:c>
      <x:c r="AF1125" s="15" t="n">
        <x:f>'기준스탯 72종'!J52*H1125</x:f>
        <x:v>0.4200000000000001</x:v>
      </x:c>
      <x:c r="AG1125" s="15" t="n">
        <x:f>'기준스탯 72종'!K52*H1125</x:f>
        <x:v>0</x:v>
      </x:c>
    </x:row>
    <x:row r="1126" ht="28" customHeight="1">
      <x:c r="A1126" s="2" t="n">
        <x:v>1119</x:v>
      </x:c>
      <x:c r="B1126" s="2" t="n">
        <x:v>45</x:v>
      </x:c>
      <x:c r="C1126" s="2" t="str">
        <x:v>전갈자리</x:v>
      </x:c>
      <x:c r="D1126" s="2" t="str">
        <x:v>사수</x:v>
      </x:c>
      <x:c r="E1126" s="2" t="n">
        <x:v>4</x:v>
      </x:c>
      <x:c r="F1126" s="2" t="n">
        <x:v>4</x:v>
      </x:c>
      <x:c r="G1126" s="14" t="n">
        <x:f>('레벨 계산식'!$E$4-E1126)*'레벨 계산식'!$B$5</x:f>
        <x:v>0.13999999999999999</x:v>
      </x:c>
      <x:c r="H1126" s="14" t="n">
        <x:f>('등급 계산식'!$E$4-F1126)*'등급 계산식'!$B$5</x:f>
        <x:v>0.06000000000000001</x:v>
      </x:c>
      <x:c r="I1126" s="14" t="n">
        <x:f>1-G1126-H1126</x:f>
        <x:v>0.7999999999999999</x:v>
      </x:c>
      <x:c r="J1126" s="2" t="n">
        <x:f>MAX(1,ROUND('기준스탯 72종'!D52-R1126-Z1126,0))</x:f>
        <x:v>6</x:v>
      </x:c>
      <x:c r="K1126" s="2" t="n">
        <x:f>MAX(1,ROUND('기준스탯 72종'!E52-S1126-AA1126,0))</x:f>
        <x:v>5</x:v>
      </x:c>
      <x:c r="L1126" s="2" t="n">
        <x:f>MAX(1,ROUND('기준스탯 72종'!F52-T1126-AB1126,0))</x:f>
        <x:v>6</x:v>
      </x:c>
      <x:c r="M1126" s="2" t="n">
        <x:f>MAX(1,ROUND('기준스탯 72종'!G52-U1126-AC1126,0))</x:f>
        <x:v>7</x:v>
      </x:c>
      <x:c r="N1126" s="2" t="n">
        <x:f>MAX(0,ROUND('기준스탯 72종'!H52-V1126-AD1126,0))</x:f>
        <x:v>3</x:v>
      </x:c>
      <x:c r="O1126" s="2" t="n">
        <x:f>MAX(0,ROUND('기준스탯 72종'!I52-W1126-AE1126,0))</x:f>
        <x:v>4</x:v>
      </x:c>
      <x:c r="P1126" s="2" t="n">
        <x:f>MAX(0,ROUND('기준스탯 72종'!J52-X1126-AF1126,0))</x:f>
        <x:v>6</x:v>
      </x:c>
      <x:c r="Q1126" s="2" t="n">
        <x:f>MAX(0,ROUND('기준스탯 72종'!K52-Y1126-AG1126,0))</x:f>
        <x:v>0</x:v>
      </x:c>
      <x:c r="R1126" s="15" t="n">
        <x:f>'기준스탯 72종'!D52*G1126</x:f>
        <x:v>1.1199999999999999</x:v>
      </x:c>
      <x:c r="S1126" s="15" t="n">
        <x:f>'기준스탯 72종'!E52*G1126</x:f>
        <x:v>0.8399999999999999</x:v>
      </x:c>
      <x:c r="T1126" s="15" t="n">
        <x:f>'기준스탯 72종'!F52*G1126</x:f>
        <x:v>0.9799999999999999</x:v>
      </x:c>
      <x:c r="U1126" s="15" t="n">
        <x:f>'기준스탯 72종'!G52*G1126</x:f>
        <x:v>1.2599999999999998</x:v>
      </x:c>
      <x:c r="V1126" s="15" t="n">
        <x:f>'기준스탯 72종'!H52*G1126</x:f>
        <x:v>0.5599999999999999</x:v>
      </x:c>
      <x:c r="W1126" s="15" t="n">
        <x:f>'기준스탯 72종'!I52*G1126</x:f>
        <x:v>0.7</x:v>
      </x:c>
      <x:c r="X1126" s="15" t="n">
        <x:f>'기준스탯 72종'!J52*G1126</x:f>
        <x:v>0.9799999999999999</x:v>
      </x:c>
      <x:c r="Y1126" s="15" t="n">
        <x:f>'기준스탯 72종'!K52*G1126</x:f>
        <x:v>0</x:v>
      </x:c>
      <x:c r="Z1126" s="15" t="n">
        <x:f>'기준스탯 72종'!D52*H1126</x:f>
        <x:v>0.4800000000000001</x:v>
      </x:c>
      <x:c r="AA1126" s="15" t="n">
        <x:f>'기준스탯 72종'!E52*H1126</x:f>
        <x:v>0.3600000000000001</x:v>
      </x:c>
      <x:c r="AB1126" s="15" t="n">
        <x:f>'기준스탯 72종'!F52*H1126</x:f>
        <x:v>0.4200000000000001</x:v>
      </x:c>
      <x:c r="AC1126" s="15" t="n">
        <x:f>'기준스탯 72종'!G52*H1126</x:f>
        <x:v>0.5400000000000001</x:v>
      </x:c>
      <x:c r="AD1126" s="15" t="n">
        <x:f>'기준스탯 72종'!H52*H1126</x:f>
        <x:v>0.24000000000000005</x:v>
      </x:c>
      <x:c r="AE1126" s="15" t="n">
        <x:f>'기준스탯 72종'!I52*H1126</x:f>
        <x:v>0.30000000000000004</x:v>
      </x:c>
      <x:c r="AF1126" s="15" t="n">
        <x:f>'기준스탯 72종'!J52*H1126</x:f>
        <x:v>0.4200000000000001</x:v>
      </x:c>
      <x:c r="AG1126" s="15" t="n">
        <x:f>'기준스탯 72종'!K52*H1126</x:f>
        <x:v>0</x:v>
      </x:c>
    </x:row>
    <x:row r="1127" ht="28" customHeight="1">
      <x:c r="A1127" s="2" t="n">
        <x:v>1120</x:v>
      </x:c>
      <x:c r="B1127" s="2" t="n">
        <x:v>45</x:v>
      </x:c>
      <x:c r="C1127" s="2" t="str">
        <x:v>전갈자리</x:v>
      </x:c>
      <x:c r="D1127" s="2" t="str">
        <x:v>사수</x:v>
      </x:c>
      <x:c r="E1127" s="2" t="n">
        <x:v>5</x:v>
      </x:c>
      <x:c r="F1127" s="2" t="n">
        <x:v>4</x:v>
      </x:c>
      <x:c r="G1127" s="14" t="n">
        <x:f>('레벨 계산식'!$E$4-E1127)*'레벨 계산식'!$B$5</x:f>
        <x:v>0</x:v>
      </x:c>
      <x:c r="H1127" s="14" t="n">
        <x:f>('등급 계산식'!$E$4-F1127)*'등급 계산식'!$B$5</x:f>
        <x:v>0.06000000000000001</x:v>
      </x:c>
      <x:c r="I1127" s="14" t="n">
        <x:f>1-G1127-H1127</x:f>
        <x:v>0.94</x:v>
      </x:c>
      <x:c r="J1127" s="2" t="n">
        <x:f>MAX(1,ROUND('기준스탯 72종'!D52-R1127-Z1127,0))</x:f>
        <x:v>8</x:v>
      </x:c>
      <x:c r="K1127" s="2" t="n">
        <x:f>MAX(1,ROUND('기준스탯 72종'!E52-S1127-AA1127,0))</x:f>
        <x:v>6</x:v>
      </x:c>
      <x:c r="L1127" s="2" t="n">
        <x:f>MAX(1,ROUND('기준스탯 72종'!F52-T1127-AB1127,0))</x:f>
        <x:v>7</x:v>
      </x:c>
      <x:c r="M1127" s="2" t="n">
        <x:f>MAX(1,ROUND('기준스탯 72종'!G52-U1127-AC1127,0))</x:f>
        <x:v>8</x:v>
      </x:c>
      <x:c r="N1127" s="2" t="n">
        <x:f>MAX(0,ROUND('기준스탯 72종'!H52-V1127-AD1127,0))</x:f>
        <x:v>4</x:v>
      </x:c>
      <x:c r="O1127" s="2" t="n">
        <x:f>MAX(0,ROUND('기준스탯 72종'!I52-W1127-AE1127,0))</x:f>
        <x:v>5</x:v>
      </x:c>
      <x:c r="P1127" s="2" t="n">
        <x:f>MAX(0,ROUND('기준스탯 72종'!J52-X1127-AF1127,0))</x:f>
        <x:v>7</x:v>
      </x:c>
      <x:c r="Q1127" s="2" t="n">
        <x:f>MAX(0,ROUND('기준스탯 72종'!K52-Y1127-AG1127,0))</x:f>
        <x:v>0</x:v>
      </x:c>
      <x:c r="R1127" s="15" t="n">
        <x:f>'기준스탯 72종'!D52*G1127</x:f>
        <x:v>0</x:v>
      </x:c>
      <x:c r="S1127" s="15" t="n">
        <x:f>'기준스탯 72종'!E52*G1127</x:f>
        <x:v>0</x:v>
      </x:c>
      <x:c r="T1127" s="15" t="n">
        <x:f>'기준스탯 72종'!F52*G1127</x:f>
        <x:v>0</x:v>
      </x:c>
      <x:c r="U1127" s="15" t="n">
        <x:f>'기준스탯 72종'!G52*G1127</x:f>
        <x:v>0</x:v>
      </x:c>
      <x:c r="V1127" s="15" t="n">
        <x:f>'기준스탯 72종'!H52*G1127</x:f>
        <x:v>0</x:v>
      </x:c>
      <x:c r="W1127" s="15" t="n">
        <x:f>'기준스탯 72종'!I52*G1127</x:f>
        <x:v>0</x:v>
      </x:c>
      <x:c r="X1127" s="15" t="n">
        <x:f>'기준스탯 72종'!J52*G1127</x:f>
        <x:v>0</x:v>
      </x:c>
      <x:c r="Y1127" s="15" t="n">
        <x:f>'기준스탯 72종'!K52*G1127</x:f>
        <x:v>0</x:v>
      </x:c>
      <x:c r="Z1127" s="15" t="n">
        <x:f>'기준스탯 72종'!D52*H1127</x:f>
        <x:v>0.4800000000000001</x:v>
      </x:c>
      <x:c r="AA1127" s="15" t="n">
        <x:f>'기준스탯 72종'!E52*H1127</x:f>
        <x:v>0.3600000000000001</x:v>
      </x:c>
      <x:c r="AB1127" s="15" t="n">
        <x:f>'기준스탯 72종'!F52*H1127</x:f>
        <x:v>0.4200000000000001</x:v>
      </x:c>
      <x:c r="AC1127" s="15" t="n">
        <x:f>'기준스탯 72종'!G52*H1127</x:f>
        <x:v>0.5400000000000001</x:v>
      </x:c>
      <x:c r="AD1127" s="15" t="n">
        <x:f>'기준스탯 72종'!H52*H1127</x:f>
        <x:v>0.24000000000000005</x:v>
      </x:c>
      <x:c r="AE1127" s="15" t="n">
        <x:f>'기준스탯 72종'!I52*H1127</x:f>
        <x:v>0.30000000000000004</x:v>
      </x:c>
      <x:c r="AF1127" s="15" t="n">
        <x:f>'기준스탯 72종'!J52*H1127</x:f>
        <x:v>0.4200000000000001</x:v>
      </x:c>
      <x:c r="AG1127" s="15" t="n">
        <x:f>'기준스탯 72종'!K52*H1127</x:f>
        <x:v>0</x:v>
      </x:c>
    </x:row>
    <x:row r="1128" ht="28" customHeight="1">
      <x:c r="A1128" s="2" t="n">
        <x:v>1121</x:v>
      </x:c>
      <x:c r="B1128" s="2" t="n">
        <x:v>45</x:v>
      </x:c>
      <x:c r="C1128" s="2" t="str">
        <x:v>전갈자리</x:v>
      </x:c>
      <x:c r="D1128" s="2" t="str">
        <x:v>사수</x:v>
      </x:c>
      <x:c r="E1128" s="2" t="n">
        <x:v>1</x:v>
      </x:c>
      <x:c r="F1128" s="2" t="n">
        <x:v>5</x:v>
      </x:c>
      <x:c r="G1128" s="14" t="n">
        <x:f>('레벨 계산식'!$E$4-E1128)*'레벨 계산식'!$B$5</x:f>
        <x:v>0.5599999999999999</x:v>
      </x:c>
      <x:c r="H1128" s="14" t="n">
        <x:f>('등급 계산식'!$E$4-F1128)*'등급 계산식'!$B$5</x:f>
        <x:v>0</x:v>
      </x:c>
      <x:c r="I1128" s="14" t="n">
        <x:f>1-G1128-H1128</x:f>
        <x:v>0.44000000000000006</x:v>
      </x:c>
      <x:c r="J1128" s="2" t="n">
        <x:f>MAX(1,ROUND('기준스탯 72종'!D52-R1128-Z1128,0))</x:f>
        <x:v>4</x:v>
      </x:c>
      <x:c r="K1128" s="2" t="n">
        <x:f>MAX(1,ROUND('기준스탯 72종'!E52-S1128-AA1128,0))</x:f>
        <x:v>3</x:v>
      </x:c>
      <x:c r="L1128" s="2" t="n">
        <x:f>MAX(1,ROUND('기준스탯 72종'!F52-T1128-AB1128,0))</x:f>
        <x:v>3</x:v>
      </x:c>
      <x:c r="M1128" s="2" t="n">
        <x:f>MAX(1,ROUND('기준스탯 72종'!G52-U1128-AC1128,0))</x:f>
        <x:v>4</x:v>
      </x:c>
      <x:c r="N1128" s="2" t="n">
        <x:f>MAX(0,ROUND('기준스탯 72종'!H52-V1128-AD1128,0))</x:f>
        <x:v>2</x:v>
      </x:c>
      <x:c r="O1128" s="2" t="n">
        <x:f>MAX(0,ROUND('기준스탯 72종'!I52-W1128-AE1128,0))</x:f>
        <x:v>2</x:v>
      </x:c>
      <x:c r="P1128" s="2" t="n">
        <x:f>MAX(0,ROUND('기준스탯 72종'!J52-X1128-AF1128,0))</x:f>
        <x:v>3</x:v>
      </x:c>
      <x:c r="Q1128" s="2" t="n">
        <x:f>MAX(0,ROUND('기준스탯 72종'!K52-Y1128-AG1128,0))</x:f>
        <x:v>0</x:v>
      </x:c>
      <x:c r="R1128" s="15" t="n">
        <x:f>'기준스탯 72종'!D52*G1128</x:f>
        <x:v>4.4799999999999995</x:v>
      </x:c>
      <x:c r="S1128" s="15" t="n">
        <x:f>'기준스탯 72종'!E52*G1128</x:f>
        <x:v>3.3599999999999994</x:v>
      </x:c>
      <x:c r="T1128" s="15" t="n">
        <x:f>'기준스탯 72종'!F52*G1128</x:f>
        <x:v>3.9199999999999995</x:v>
      </x:c>
      <x:c r="U1128" s="15" t="n">
        <x:f>'기준스탯 72종'!G52*G1128</x:f>
        <x:v>5.039999999999999</x:v>
      </x:c>
      <x:c r="V1128" s="15" t="n">
        <x:f>'기준스탯 72종'!H52*G1128</x:f>
        <x:v>2.2399999999999998</x:v>
      </x:c>
      <x:c r="W1128" s="15" t="n">
        <x:f>'기준스탯 72종'!I52*G1128</x:f>
        <x:v>2.8</x:v>
      </x:c>
      <x:c r="X1128" s="15" t="n">
        <x:f>'기준스탯 72종'!J52*G1128</x:f>
        <x:v>3.9199999999999995</x:v>
      </x:c>
      <x:c r="Y1128" s="15" t="n">
        <x:f>'기준스탯 72종'!K52*G1128</x:f>
        <x:v>0</x:v>
      </x:c>
      <x:c r="Z1128" s="15" t="n">
        <x:f>'기준스탯 72종'!D52*H1128</x:f>
        <x:v>0</x:v>
      </x:c>
      <x:c r="AA1128" s="15" t="n">
        <x:f>'기준스탯 72종'!E52*H1128</x:f>
        <x:v>0</x:v>
      </x:c>
      <x:c r="AB1128" s="15" t="n">
        <x:f>'기준스탯 72종'!F52*H1128</x:f>
        <x:v>0</x:v>
      </x:c>
      <x:c r="AC1128" s="15" t="n">
        <x:f>'기준스탯 72종'!G52*H1128</x:f>
        <x:v>0</x:v>
      </x:c>
      <x:c r="AD1128" s="15" t="n">
        <x:f>'기준스탯 72종'!H52*H1128</x:f>
        <x:v>0</x:v>
      </x:c>
      <x:c r="AE1128" s="15" t="n">
        <x:f>'기준스탯 72종'!I52*H1128</x:f>
        <x:v>0</x:v>
      </x:c>
      <x:c r="AF1128" s="15" t="n">
        <x:f>'기준스탯 72종'!J52*H1128</x:f>
        <x:v>0</x:v>
      </x:c>
      <x:c r="AG1128" s="15" t="n">
        <x:f>'기준스탯 72종'!K52*H1128</x:f>
        <x:v>0</x:v>
      </x:c>
    </x:row>
    <x:row r="1129" ht="28" customHeight="1">
      <x:c r="A1129" s="2" t="n">
        <x:v>1122</x:v>
      </x:c>
      <x:c r="B1129" s="2" t="n">
        <x:v>45</x:v>
      </x:c>
      <x:c r="C1129" s="2" t="str">
        <x:v>전갈자리</x:v>
      </x:c>
      <x:c r="D1129" s="2" t="str">
        <x:v>사수</x:v>
      </x:c>
      <x:c r="E1129" s="2" t="n">
        <x:v>2</x:v>
      </x:c>
      <x:c r="F1129" s="2" t="n">
        <x:v>5</x:v>
      </x:c>
      <x:c r="G1129" s="14" t="n">
        <x:f>('레벨 계산식'!$E$4-E1129)*'레벨 계산식'!$B$5</x:f>
        <x:v>0.41999999999999993</x:v>
      </x:c>
      <x:c r="H1129" s="14" t="n">
        <x:f>('등급 계산식'!$E$4-F1129)*'등급 계산식'!$B$5</x:f>
        <x:v>0</x:v>
      </x:c>
      <x:c r="I1129" s="14" t="n">
        <x:f>1-G1129-H1129</x:f>
        <x:v>0.5800000000000001</x:v>
      </x:c>
      <x:c r="J1129" s="2" t="n">
        <x:f>MAX(1,ROUND('기준스탯 72종'!D52-R1129-Z1129,0))</x:f>
        <x:v>5</x:v>
      </x:c>
      <x:c r="K1129" s="2" t="n">
        <x:f>MAX(1,ROUND('기준스탯 72종'!E52-S1129-AA1129,0))</x:f>
        <x:v>3</x:v>
      </x:c>
      <x:c r="L1129" s="2" t="n">
        <x:f>MAX(1,ROUND('기준스탯 72종'!F52-T1129-AB1129,0))</x:f>
        <x:v>4</x:v>
      </x:c>
      <x:c r="M1129" s="2" t="n">
        <x:f>MAX(1,ROUND('기준스탯 72종'!G52-U1129-AC1129,0))</x:f>
        <x:v>5</x:v>
      </x:c>
      <x:c r="N1129" s="2" t="n">
        <x:f>MAX(0,ROUND('기준스탯 72종'!H52-V1129-AD1129,0))</x:f>
        <x:v>2</x:v>
      </x:c>
      <x:c r="O1129" s="2" t="n">
        <x:f>MAX(0,ROUND('기준스탯 72종'!I52-W1129-AE1129,0))</x:f>
        <x:v>3</x:v>
      </x:c>
      <x:c r="P1129" s="2" t="n">
        <x:f>MAX(0,ROUND('기준스탯 72종'!J52-X1129-AF1129,0))</x:f>
        <x:v>4</x:v>
      </x:c>
      <x:c r="Q1129" s="2" t="n">
        <x:f>MAX(0,ROUND('기준스탯 72종'!K52-Y1129-AG1129,0))</x:f>
        <x:v>0</x:v>
      </x:c>
      <x:c r="R1129" s="15" t="n">
        <x:f>'기준스탯 72종'!D52*G1129</x:f>
        <x:v>3.3599999999999994</x:v>
      </x:c>
      <x:c r="S1129" s="15" t="n">
        <x:f>'기준스탯 72종'!E52*G1129</x:f>
        <x:v>2.5199999999999996</x:v>
      </x:c>
      <x:c r="T1129" s="15" t="n">
        <x:f>'기준스탯 72종'!F52*G1129</x:f>
        <x:v>2.9399999999999995</x:v>
      </x:c>
      <x:c r="U1129" s="15" t="n">
        <x:f>'기준스탯 72종'!G52*G1129</x:f>
        <x:v>3.7799999999999994</x:v>
      </x:c>
      <x:c r="V1129" s="15" t="n">
        <x:f>'기준스탯 72종'!H52*G1129</x:f>
        <x:v>1.6799999999999997</x:v>
      </x:c>
      <x:c r="W1129" s="15" t="n">
        <x:f>'기준스탯 72종'!I52*G1129</x:f>
        <x:v>2.0999999999999996</x:v>
      </x:c>
      <x:c r="X1129" s="15" t="n">
        <x:f>'기준스탯 72종'!J52*G1129</x:f>
        <x:v>2.9399999999999995</x:v>
      </x:c>
      <x:c r="Y1129" s="15" t="n">
        <x:f>'기준스탯 72종'!K52*G1129</x:f>
        <x:v>0</x:v>
      </x:c>
      <x:c r="Z1129" s="15" t="n">
        <x:f>'기준스탯 72종'!D52*H1129</x:f>
        <x:v>0</x:v>
      </x:c>
      <x:c r="AA1129" s="15" t="n">
        <x:f>'기준스탯 72종'!E52*H1129</x:f>
        <x:v>0</x:v>
      </x:c>
      <x:c r="AB1129" s="15" t="n">
        <x:f>'기준스탯 72종'!F52*H1129</x:f>
        <x:v>0</x:v>
      </x:c>
      <x:c r="AC1129" s="15" t="n">
        <x:f>'기준스탯 72종'!G52*H1129</x:f>
        <x:v>0</x:v>
      </x:c>
      <x:c r="AD1129" s="15" t="n">
        <x:f>'기준스탯 72종'!H52*H1129</x:f>
        <x:v>0</x:v>
      </x:c>
      <x:c r="AE1129" s="15" t="n">
        <x:f>'기준스탯 72종'!I52*H1129</x:f>
        <x:v>0</x:v>
      </x:c>
      <x:c r="AF1129" s="15" t="n">
        <x:f>'기준스탯 72종'!J52*H1129</x:f>
        <x:v>0</x:v>
      </x:c>
      <x:c r="AG1129" s="15" t="n">
        <x:f>'기준스탯 72종'!K52*H1129</x:f>
        <x:v>0</x:v>
      </x:c>
    </x:row>
    <x:row r="1130" ht="28" customHeight="1">
      <x:c r="A1130" s="2" t="n">
        <x:v>1123</x:v>
      </x:c>
      <x:c r="B1130" s="2" t="n">
        <x:v>45</x:v>
      </x:c>
      <x:c r="C1130" s="2" t="str">
        <x:v>전갈자리</x:v>
      </x:c>
      <x:c r="D1130" s="2" t="str">
        <x:v>사수</x:v>
      </x:c>
      <x:c r="E1130" s="2" t="n">
        <x:v>3</x:v>
      </x:c>
      <x:c r="F1130" s="2" t="n">
        <x:v>5</x:v>
      </x:c>
      <x:c r="G1130" s="14" t="n">
        <x:f>('레벨 계산식'!$E$4-E1130)*'레벨 계산식'!$B$5</x:f>
        <x:v>0.27999999999999997</x:v>
      </x:c>
      <x:c r="H1130" s="14" t="n">
        <x:f>('등급 계산식'!$E$4-F1130)*'등급 계산식'!$B$5</x:f>
        <x:v>0</x:v>
      </x:c>
      <x:c r="I1130" s="14" t="n">
        <x:f>1-G1130-H1130</x:f>
        <x:v>0.72</x:v>
      </x:c>
      <x:c r="J1130" s="2" t="n">
        <x:f>MAX(1,ROUND('기준스탯 72종'!D52-R1130-Z1130,0))</x:f>
        <x:v>6</x:v>
      </x:c>
      <x:c r="K1130" s="2" t="n">
        <x:f>MAX(1,ROUND('기준스탯 72종'!E52-S1130-AA1130,0))</x:f>
        <x:v>4</x:v>
      </x:c>
      <x:c r="L1130" s="2" t="n">
        <x:f>MAX(1,ROUND('기준스탯 72종'!F52-T1130-AB1130,0))</x:f>
        <x:v>5</x:v>
      </x:c>
      <x:c r="M1130" s="2" t="n">
        <x:f>MAX(1,ROUND('기준스탯 72종'!G52-U1130-AC1130,0))</x:f>
        <x:v>6</x:v>
      </x:c>
      <x:c r="N1130" s="2" t="n">
        <x:f>MAX(0,ROUND('기준스탯 72종'!H52-V1130-AD1130,0))</x:f>
        <x:v>3</x:v>
      </x:c>
      <x:c r="O1130" s="2" t="n">
        <x:f>MAX(0,ROUND('기준스탯 72종'!I52-W1130-AE1130,0))</x:f>
        <x:v>4</x:v>
      </x:c>
      <x:c r="P1130" s="2" t="n">
        <x:f>MAX(0,ROUND('기준스탯 72종'!J52-X1130-AF1130,0))</x:f>
        <x:v>5</x:v>
      </x:c>
      <x:c r="Q1130" s="2" t="n">
        <x:f>MAX(0,ROUND('기준스탯 72종'!K52-Y1130-AG1130,0))</x:f>
        <x:v>0</x:v>
      </x:c>
      <x:c r="R1130" s="15" t="n">
        <x:f>'기준스탯 72종'!D52*G1130</x:f>
        <x:v>2.2399999999999998</x:v>
      </x:c>
      <x:c r="S1130" s="15" t="n">
        <x:f>'기준스탯 72종'!E52*G1130</x:f>
        <x:v>1.6799999999999997</x:v>
      </x:c>
      <x:c r="T1130" s="15" t="n">
        <x:f>'기준스탯 72종'!F52*G1130</x:f>
        <x:v>1.9599999999999997</x:v>
      </x:c>
      <x:c r="U1130" s="15" t="n">
        <x:f>'기준스탯 72종'!G52*G1130</x:f>
        <x:v>2.5199999999999996</x:v>
      </x:c>
      <x:c r="V1130" s="15" t="n">
        <x:f>'기준스탯 72종'!H52*G1130</x:f>
        <x:v>1.1199999999999999</x:v>
      </x:c>
      <x:c r="W1130" s="15" t="n">
        <x:f>'기준스탯 72종'!I52*G1130</x:f>
        <x:v>1.4</x:v>
      </x:c>
      <x:c r="X1130" s="15" t="n">
        <x:f>'기준스탯 72종'!J52*G1130</x:f>
        <x:v>1.9599999999999997</x:v>
      </x:c>
      <x:c r="Y1130" s="15" t="n">
        <x:f>'기준스탯 72종'!K52*G1130</x:f>
        <x:v>0</x:v>
      </x:c>
      <x:c r="Z1130" s="15" t="n">
        <x:f>'기준스탯 72종'!D52*H1130</x:f>
        <x:v>0</x:v>
      </x:c>
      <x:c r="AA1130" s="15" t="n">
        <x:f>'기준스탯 72종'!E52*H1130</x:f>
        <x:v>0</x:v>
      </x:c>
      <x:c r="AB1130" s="15" t="n">
        <x:f>'기준스탯 72종'!F52*H1130</x:f>
        <x:v>0</x:v>
      </x:c>
      <x:c r="AC1130" s="15" t="n">
        <x:f>'기준스탯 72종'!G52*H1130</x:f>
        <x:v>0</x:v>
      </x:c>
      <x:c r="AD1130" s="15" t="n">
        <x:f>'기준스탯 72종'!H52*H1130</x:f>
        <x:v>0</x:v>
      </x:c>
      <x:c r="AE1130" s="15" t="n">
        <x:f>'기준스탯 72종'!I52*H1130</x:f>
        <x:v>0</x:v>
      </x:c>
      <x:c r="AF1130" s="15" t="n">
        <x:f>'기준스탯 72종'!J52*H1130</x:f>
        <x:v>0</x:v>
      </x:c>
      <x:c r="AG1130" s="15" t="n">
        <x:f>'기준스탯 72종'!K52*H1130</x:f>
        <x:v>0</x:v>
      </x:c>
    </x:row>
    <x:row r="1131" ht="28" customHeight="1">
      <x:c r="A1131" s="2" t="n">
        <x:v>1124</x:v>
      </x:c>
      <x:c r="B1131" s="2" t="n">
        <x:v>45</x:v>
      </x:c>
      <x:c r="C1131" s="2" t="str">
        <x:v>전갈자리</x:v>
      </x:c>
      <x:c r="D1131" s="2" t="str">
        <x:v>사수</x:v>
      </x:c>
      <x:c r="E1131" s="2" t="n">
        <x:v>4</x:v>
      </x:c>
      <x:c r="F1131" s="2" t="n">
        <x:v>5</x:v>
      </x:c>
      <x:c r="G1131" s="14" t="n">
        <x:f>('레벨 계산식'!$E$4-E1131)*'레벨 계산식'!$B$5</x:f>
        <x:v>0.13999999999999999</x:v>
      </x:c>
      <x:c r="H1131" s="14" t="n">
        <x:f>('등급 계산식'!$E$4-F1131)*'등급 계산식'!$B$5</x:f>
        <x:v>0</x:v>
      </x:c>
      <x:c r="I1131" s="14" t="n">
        <x:f>1-G1131-H1131</x:f>
        <x:v>0.86</x:v>
      </x:c>
      <x:c r="J1131" s="2" t="n">
        <x:f>MAX(1,ROUND('기준스탯 72종'!D52-R1131-Z1131,0))</x:f>
        <x:v>7</x:v>
      </x:c>
      <x:c r="K1131" s="2" t="n">
        <x:f>MAX(1,ROUND('기준스탯 72종'!E52-S1131-AA1131,0))</x:f>
        <x:v>5</x:v>
      </x:c>
      <x:c r="L1131" s="2" t="n">
        <x:f>MAX(1,ROUND('기준스탯 72종'!F52-T1131-AB1131,0))</x:f>
        <x:v>6</x:v>
      </x:c>
      <x:c r="M1131" s="2" t="n">
        <x:f>MAX(1,ROUND('기준스탯 72종'!G52-U1131-AC1131,0))</x:f>
        <x:v>8</x:v>
      </x:c>
      <x:c r="N1131" s="2" t="n">
        <x:f>MAX(0,ROUND('기준스탯 72종'!H52-V1131-AD1131,0))</x:f>
        <x:v>3</x:v>
      </x:c>
      <x:c r="O1131" s="2" t="n">
        <x:f>MAX(0,ROUND('기준스탯 72종'!I52-W1131-AE1131,0))</x:f>
        <x:v>4</x:v>
      </x:c>
      <x:c r="P1131" s="2" t="n">
        <x:f>MAX(0,ROUND('기준스탯 72종'!J52-X1131-AF1131,0))</x:f>
        <x:v>6</x:v>
      </x:c>
      <x:c r="Q1131" s="2" t="n">
        <x:f>MAX(0,ROUND('기준스탯 72종'!K52-Y1131-AG1131,0))</x:f>
        <x:v>0</x:v>
      </x:c>
      <x:c r="R1131" s="15" t="n">
        <x:f>'기준스탯 72종'!D52*G1131</x:f>
        <x:v>1.1199999999999999</x:v>
      </x:c>
      <x:c r="S1131" s="15" t="n">
        <x:f>'기준스탯 72종'!E52*G1131</x:f>
        <x:v>0.8399999999999999</x:v>
      </x:c>
      <x:c r="T1131" s="15" t="n">
        <x:f>'기준스탯 72종'!F52*G1131</x:f>
        <x:v>0.9799999999999999</x:v>
      </x:c>
      <x:c r="U1131" s="15" t="n">
        <x:f>'기준스탯 72종'!G52*G1131</x:f>
        <x:v>1.2599999999999998</x:v>
      </x:c>
      <x:c r="V1131" s="15" t="n">
        <x:f>'기준스탯 72종'!H52*G1131</x:f>
        <x:v>0.5599999999999999</x:v>
      </x:c>
      <x:c r="W1131" s="15" t="n">
        <x:f>'기준스탯 72종'!I52*G1131</x:f>
        <x:v>0.7</x:v>
      </x:c>
      <x:c r="X1131" s="15" t="n">
        <x:f>'기준스탯 72종'!J52*G1131</x:f>
        <x:v>0.9799999999999999</x:v>
      </x:c>
      <x:c r="Y1131" s="15" t="n">
        <x:f>'기준스탯 72종'!K52*G1131</x:f>
        <x:v>0</x:v>
      </x:c>
      <x:c r="Z1131" s="15" t="n">
        <x:f>'기준스탯 72종'!D52*H1131</x:f>
        <x:v>0</x:v>
      </x:c>
      <x:c r="AA1131" s="15" t="n">
        <x:f>'기준스탯 72종'!E52*H1131</x:f>
        <x:v>0</x:v>
      </x:c>
      <x:c r="AB1131" s="15" t="n">
        <x:f>'기준스탯 72종'!F52*H1131</x:f>
        <x:v>0</x:v>
      </x:c>
      <x:c r="AC1131" s="15" t="n">
        <x:f>'기준스탯 72종'!G52*H1131</x:f>
        <x:v>0</x:v>
      </x:c>
      <x:c r="AD1131" s="15" t="n">
        <x:f>'기준스탯 72종'!H52*H1131</x:f>
        <x:v>0</x:v>
      </x:c>
      <x:c r="AE1131" s="15" t="n">
        <x:f>'기준스탯 72종'!I52*H1131</x:f>
        <x:v>0</x:v>
      </x:c>
      <x:c r="AF1131" s="15" t="n">
        <x:f>'기준스탯 72종'!J52*H1131</x:f>
        <x:v>0</x:v>
      </x:c>
      <x:c r="AG1131" s="15" t="n">
        <x:f>'기준스탯 72종'!K52*H1131</x:f>
        <x:v>0</x:v>
      </x:c>
    </x:row>
    <x:row r="1132" ht="28" customHeight="1">
      <x:c r="A1132" s="2" t="n">
        <x:v>1125</x:v>
      </x:c>
      <x:c r="B1132" s="2" t="n">
        <x:v>45</x:v>
      </x:c>
      <x:c r="C1132" s="2" t="str">
        <x:v>전갈자리</x:v>
      </x:c>
      <x:c r="D1132" s="2" t="str">
        <x:v>사수</x:v>
      </x:c>
      <x:c r="E1132" s="2" t="n">
        <x:v>5</x:v>
      </x:c>
      <x:c r="F1132" s="2" t="n">
        <x:v>5</x:v>
      </x:c>
      <x:c r="G1132" s="14" t="n">
        <x:f>('레벨 계산식'!$E$4-E1132)*'레벨 계산식'!$B$5</x:f>
        <x:v>0</x:v>
      </x:c>
      <x:c r="H1132" s="14" t="n">
        <x:f>('등급 계산식'!$E$4-F1132)*'등급 계산식'!$B$5</x:f>
        <x:v>0</x:v>
      </x:c>
      <x:c r="I1132" s="14" t="n">
        <x:f>1-G1132-H1132</x:f>
        <x:v>1</x:v>
      </x:c>
      <x:c r="J1132" s="2" t="n">
        <x:f>MAX(1,ROUND('기준스탯 72종'!D52-R1132-Z1132,0))</x:f>
        <x:v>8</x:v>
      </x:c>
      <x:c r="K1132" s="2" t="n">
        <x:f>MAX(1,ROUND('기준스탯 72종'!E52-S1132-AA1132,0))</x:f>
        <x:v>6</x:v>
      </x:c>
      <x:c r="L1132" s="2" t="n">
        <x:f>MAX(1,ROUND('기준스탯 72종'!F52-T1132-AB1132,0))</x:f>
        <x:v>7</x:v>
      </x:c>
      <x:c r="M1132" s="2" t="n">
        <x:f>MAX(1,ROUND('기준스탯 72종'!G52-U1132-AC1132,0))</x:f>
        <x:v>9</x:v>
      </x:c>
      <x:c r="N1132" s="2" t="n">
        <x:f>MAX(0,ROUND('기준스탯 72종'!H52-V1132-AD1132,0))</x:f>
        <x:v>4</x:v>
      </x:c>
      <x:c r="O1132" s="2" t="n">
        <x:f>MAX(0,ROUND('기준스탯 72종'!I52-W1132-AE1132,0))</x:f>
        <x:v>5</x:v>
      </x:c>
      <x:c r="P1132" s="2" t="n">
        <x:f>MAX(0,ROUND('기준스탯 72종'!J52-X1132-AF1132,0))</x:f>
        <x:v>7</x:v>
      </x:c>
      <x:c r="Q1132" s="2" t="n">
        <x:f>MAX(0,ROUND('기준스탯 72종'!K52-Y1132-AG1132,0))</x:f>
        <x:v>0</x:v>
      </x:c>
      <x:c r="R1132" s="15" t="n">
        <x:f>'기준스탯 72종'!D52*G1132</x:f>
        <x:v>0</x:v>
      </x:c>
      <x:c r="S1132" s="15" t="n">
        <x:f>'기준스탯 72종'!E52*G1132</x:f>
        <x:v>0</x:v>
      </x:c>
      <x:c r="T1132" s="15" t="n">
        <x:f>'기준스탯 72종'!F52*G1132</x:f>
        <x:v>0</x:v>
      </x:c>
      <x:c r="U1132" s="15" t="n">
        <x:f>'기준스탯 72종'!G52*G1132</x:f>
        <x:v>0</x:v>
      </x:c>
      <x:c r="V1132" s="15" t="n">
        <x:f>'기준스탯 72종'!H52*G1132</x:f>
        <x:v>0</x:v>
      </x:c>
      <x:c r="W1132" s="15" t="n">
        <x:f>'기준스탯 72종'!I52*G1132</x:f>
        <x:v>0</x:v>
      </x:c>
      <x:c r="X1132" s="15" t="n">
        <x:f>'기준스탯 72종'!J52*G1132</x:f>
        <x:v>0</x:v>
      </x:c>
      <x:c r="Y1132" s="15" t="n">
        <x:f>'기준스탯 72종'!K52*G1132</x:f>
        <x:v>0</x:v>
      </x:c>
      <x:c r="Z1132" s="15" t="n">
        <x:f>'기준스탯 72종'!D52*H1132</x:f>
        <x:v>0</x:v>
      </x:c>
      <x:c r="AA1132" s="15" t="n">
        <x:f>'기준스탯 72종'!E52*H1132</x:f>
        <x:v>0</x:v>
      </x:c>
      <x:c r="AB1132" s="15" t="n">
        <x:f>'기준스탯 72종'!F52*H1132</x:f>
        <x:v>0</x:v>
      </x:c>
      <x:c r="AC1132" s="15" t="n">
        <x:f>'기준스탯 72종'!G52*H1132</x:f>
        <x:v>0</x:v>
      </x:c>
      <x:c r="AD1132" s="15" t="n">
        <x:f>'기준스탯 72종'!H52*H1132</x:f>
        <x:v>0</x:v>
      </x:c>
      <x:c r="AE1132" s="15" t="n">
        <x:f>'기준스탯 72종'!I52*H1132</x:f>
        <x:v>0</x:v>
      </x:c>
      <x:c r="AF1132" s="15" t="n">
        <x:f>'기준스탯 72종'!J52*H1132</x:f>
        <x:v>0</x:v>
      </x:c>
      <x:c r="AG1132" s="15" t="n">
        <x:f>'기준스탯 72종'!K52*H1132</x:f>
        <x:v>0</x:v>
      </x:c>
    </x:row>
    <x:row r="1133" ht="28" customHeight="1">
      <x:c r="A1133" s="2" t="n">
        <x:v>1126</x:v>
      </x:c>
      <x:c r="B1133" s="2" t="n">
        <x:v>46</x:v>
      </x:c>
      <x:c r="C1133" s="2" t="str">
        <x:v>전갈자리</x:v>
      </x:c>
      <x:c r="D1133" s="2" t="str">
        <x:v>정령사</x:v>
      </x:c>
      <x:c r="E1133" s="2" t="n">
        <x:v>1</x:v>
      </x:c>
      <x:c r="F1133" s="2" t="n">
        <x:v>1</x:v>
      </x:c>
      <x:c r="G1133" s="14" t="n">
        <x:f>('레벨 계산식'!$E$4-E1133)*'레벨 계산식'!$B$5</x:f>
        <x:v>0.5599999999999999</x:v>
      </x:c>
      <x:c r="H1133" s="14" t="n">
        <x:f>('등급 계산식'!$E$4-F1133)*'등급 계산식'!$B$5</x:f>
        <x:v>0.24000000000000005</x:v>
      </x:c>
      <x:c r="I1133" s="14" t="n">
        <x:f>1-G1133-H1133</x:f>
        <x:v>0.2</x:v>
      </x:c>
      <x:c r="J1133" s="2" t="n">
        <x:f>MAX(1,ROUND('기준스탯 72종'!D53-R1133-Z1133,0))</x:f>
        <x:v>1</x:v>
      </x:c>
      <x:c r="K1133" s="2" t="n">
        <x:f>MAX(1,ROUND('기준스탯 72종'!E53-S1133-AA1133,0))</x:f>
        <x:v>1</x:v>
      </x:c>
      <x:c r="L1133" s="2" t="n">
        <x:f>MAX(1,ROUND('기준스탯 72종'!F53-T1133-AB1133,0))</x:f>
        <x:v>2</x:v>
      </x:c>
      <x:c r="M1133" s="2" t="n">
        <x:f>MAX(1,ROUND('기준스탯 72종'!G53-U1133-AC1133,0))</x:f>
        <x:v>2</x:v>
      </x:c>
      <x:c r="N1133" s="2" t="n">
        <x:f>MAX(0,ROUND('기준스탯 72종'!H53-V1133-AD1133,0))</x:f>
        <x:v>0</x:v>
      </x:c>
      <x:c r="O1133" s="2" t="n">
        <x:f>MAX(0,ROUND('기준스탯 72종'!I53-W1133-AE1133,0))</x:f>
        <x:v>1</x:v>
      </x:c>
      <x:c r="P1133" s="2" t="n">
        <x:f>MAX(0,ROUND('기준스탯 72종'!J53-X1133-AF1133,0))</x:f>
        <x:v>1</x:v>
      </x:c>
      <x:c r="Q1133" s="2" t="n">
        <x:f>MAX(0,ROUND('기준스탯 72종'!K53-Y1133-AG1133,0))</x:f>
        <x:v>0</x:v>
      </x:c>
      <x:c r="R1133" s="15" t="n">
        <x:f>'기준스탯 72종'!D53*G1133</x:f>
        <x:v>3.3599999999999994</x:v>
      </x:c>
      <x:c r="S1133" s="15" t="n">
        <x:f>'기준스탯 72종'!E53*G1133</x:f>
        <x:v>3.9199999999999995</x:v>
      </x:c>
      <x:c r="T1133" s="15" t="n">
        <x:f>'기준스탯 72종'!F53*G1133</x:f>
        <x:v>5.039999999999999</x:v>
      </x:c>
      <x:c r="U1133" s="15" t="n">
        <x:f>'기준스탯 72종'!G53*G1133</x:f>
        <x:v>4.4799999999999995</x:v>
      </x:c>
      <x:c r="V1133" s="15" t="n">
        <x:f>'기준스탯 72종'!H53*G1133</x:f>
        <x:v>1.1199999999999999</x:v>
      </x:c>
      <x:c r="W1133" s="15" t="n">
        <x:f>'기준스탯 72종'!I53*G1133</x:f>
        <x:v>2.8</x:v>
      </x:c>
      <x:c r="X1133" s="15" t="n">
        <x:f>'기준스탯 72종'!J53*G1133</x:f>
        <x:v>3.9199999999999995</x:v>
      </x:c>
      <x:c r="Y1133" s="15" t="n">
        <x:f>'기준스탯 72종'!K53*G1133</x:f>
        <x:v>1.1199999999999999</x:v>
      </x:c>
      <x:c r="Z1133" s="15" t="n">
        <x:f>'기준스탯 72종'!D53*H1133</x:f>
        <x:v>1.4400000000000004</x:v>
      </x:c>
      <x:c r="AA1133" s="15" t="n">
        <x:f>'기준스탯 72종'!E53*H1133</x:f>
        <x:v>1.6800000000000004</x:v>
      </x:c>
      <x:c r="AB1133" s="15" t="n">
        <x:f>'기준스탯 72종'!F53*H1133</x:f>
        <x:v>2.1600000000000006</x:v>
      </x:c>
      <x:c r="AC1133" s="15" t="n">
        <x:f>'기준스탯 72종'!G53*H1133</x:f>
        <x:v>1.9200000000000004</x:v>
      </x:c>
      <x:c r="AD1133" s="15" t="n">
        <x:f>'기준스탯 72종'!H53*H1133</x:f>
        <x:v>0.4800000000000001</x:v>
      </x:c>
      <x:c r="AE1133" s="15" t="n">
        <x:f>'기준스탯 72종'!I53*H1133</x:f>
        <x:v>1.2000000000000002</x:v>
      </x:c>
      <x:c r="AF1133" s="15" t="n">
        <x:f>'기준스탯 72종'!J53*H1133</x:f>
        <x:v>1.6800000000000004</x:v>
      </x:c>
      <x:c r="AG1133" s="15" t="n">
        <x:f>'기준스탯 72종'!K53*H1133</x:f>
        <x:v>0.4800000000000001</x:v>
      </x:c>
    </x:row>
    <x:row r="1134" ht="28" customHeight="1">
      <x:c r="A1134" s="2" t="n">
        <x:v>1127</x:v>
      </x:c>
      <x:c r="B1134" s="2" t="n">
        <x:v>46</x:v>
      </x:c>
      <x:c r="C1134" s="2" t="str">
        <x:v>전갈자리</x:v>
      </x:c>
      <x:c r="D1134" s="2" t="str">
        <x:v>정령사</x:v>
      </x:c>
      <x:c r="E1134" s="2" t="n">
        <x:v>2</x:v>
      </x:c>
      <x:c r="F1134" s="2" t="n">
        <x:v>1</x:v>
      </x:c>
      <x:c r="G1134" s="14" t="n">
        <x:f>('레벨 계산식'!$E$4-E1134)*'레벨 계산식'!$B$5</x:f>
        <x:v>0.41999999999999993</x:v>
      </x:c>
      <x:c r="H1134" s="14" t="n">
        <x:f>('등급 계산식'!$E$4-F1134)*'등급 계산식'!$B$5</x:f>
        <x:v>0.24000000000000005</x:v>
      </x:c>
      <x:c r="I1134" s="14" t="n">
        <x:f>1-G1134-H1134</x:f>
        <x:v>0.34</x:v>
      </x:c>
      <x:c r="J1134" s="2" t="n">
        <x:f>MAX(1,ROUND('기준스탯 72종'!D53-R1134-Z1134,0))</x:f>
        <x:v>2</x:v>
      </x:c>
      <x:c r="K1134" s="2" t="n">
        <x:f>MAX(1,ROUND('기준스탯 72종'!E53-S1134-AA1134,0))</x:f>
        <x:v>2</x:v>
      </x:c>
      <x:c r="L1134" s="2" t="n">
        <x:f>MAX(1,ROUND('기준스탯 72종'!F53-T1134-AB1134,0))</x:f>
        <x:v>3</x:v>
      </x:c>
      <x:c r="M1134" s="2" t="n">
        <x:f>MAX(1,ROUND('기준스탯 72종'!G53-U1134-AC1134,0))</x:f>
        <x:v>3</x:v>
      </x:c>
      <x:c r="N1134" s="2" t="n">
        <x:f>MAX(0,ROUND('기준스탯 72종'!H53-V1134-AD1134,0))</x:f>
        <x:v>1</x:v>
      </x:c>
      <x:c r="O1134" s="2" t="n">
        <x:f>MAX(0,ROUND('기준스탯 72종'!I53-W1134-AE1134,0))</x:f>
        <x:v>2</x:v>
      </x:c>
      <x:c r="P1134" s="2" t="n">
        <x:f>MAX(0,ROUND('기준스탯 72종'!J53-X1134-AF1134,0))</x:f>
        <x:v>2</x:v>
      </x:c>
      <x:c r="Q1134" s="2" t="n">
        <x:f>MAX(0,ROUND('기준스탯 72종'!K53-Y1134-AG1134,0))</x:f>
        <x:v>1</x:v>
      </x:c>
      <x:c r="R1134" s="15" t="n">
        <x:f>'기준스탯 72종'!D53*G1134</x:f>
        <x:v>2.5199999999999996</x:v>
      </x:c>
      <x:c r="S1134" s="15" t="n">
        <x:f>'기준스탯 72종'!E53*G1134</x:f>
        <x:v>2.9399999999999995</x:v>
      </x:c>
      <x:c r="T1134" s="15" t="n">
        <x:f>'기준스탯 72종'!F53*G1134</x:f>
        <x:v>3.7799999999999994</x:v>
      </x:c>
      <x:c r="U1134" s="15" t="n">
        <x:f>'기준스탯 72종'!G53*G1134</x:f>
        <x:v>3.3599999999999994</x:v>
      </x:c>
      <x:c r="V1134" s="15" t="n">
        <x:f>'기준스탯 72종'!H53*G1134</x:f>
        <x:v>0.8399999999999999</x:v>
      </x:c>
      <x:c r="W1134" s="15" t="n">
        <x:f>'기준스탯 72종'!I53*G1134</x:f>
        <x:v>2.0999999999999996</x:v>
      </x:c>
      <x:c r="X1134" s="15" t="n">
        <x:f>'기준스탯 72종'!J53*G1134</x:f>
        <x:v>2.9399999999999995</x:v>
      </x:c>
      <x:c r="Y1134" s="15" t="n">
        <x:f>'기준스탯 72종'!K53*G1134</x:f>
        <x:v>0.8399999999999999</x:v>
      </x:c>
      <x:c r="Z1134" s="15" t="n">
        <x:f>'기준스탯 72종'!D53*H1134</x:f>
        <x:v>1.4400000000000004</x:v>
      </x:c>
      <x:c r="AA1134" s="15" t="n">
        <x:f>'기준스탯 72종'!E53*H1134</x:f>
        <x:v>1.6800000000000004</x:v>
      </x:c>
      <x:c r="AB1134" s="15" t="n">
        <x:f>'기준스탯 72종'!F53*H1134</x:f>
        <x:v>2.1600000000000006</x:v>
      </x:c>
      <x:c r="AC1134" s="15" t="n">
        <x:f>'기준스탯 72종'!G53*H1134</x:f>
        <x:v>1.9200000000000004</x:v>
      </x:c>
      <x:c r="AD1134" s="15" t="n">
        <x:f>'기준스탯 72종'!H53*H1134</x:f>
        <x:v>0.4800000000000001</x:v>
      </x:c>
      <x:c r="AE1134" s="15" t="n">
        <x:f>'기준스탯 72종'!I53*H1134</x:f>
        <x:v>1.2000000000000002</x:v>
      </x:c>
      <x:c r="AF1134" s="15" t="n">
        <x:f>'기준스탯 72종'!J53*H1134</x:f>
        <x:v>1.6800000000000004</x:v>
      </x:c>
      <x:c r="AG1134" s="15" t="n">
        <x:f>'기준스탯 72종'!K53*H1134</x:f>
        <x:v>0.4800000000000001</x:v>
      </x:c>
    </x:row>
    <x:row r="1135" ht="28" customHeight="1">
      <x:c r="A1135" s="2" t="n">
        <x:v>1128</x:v>
      </x:c>
      <x:c r="B1135" s="2" t="n">
        <x:v>46</x:v>
      </x:c>
      <x:c r="C1135" s="2" t="str">
        <x:v>전갈자리</x:v>
      </x:c>
      <x:c r="D1135" s="2" t="str">
        <x:v>정령사</x:v>
      </x:c>
      <x:c r="E1135" s="2" t="n">
        <x:v>3</x:v>
      </x:c>
      <x:c r="F1135" s="2" t="n">
        <x:v>1</x:v>
      </x:c>
      <x:c r="G1135" s="14" t="n">
        <x:f>('레벨 계산식'!$E$4-E1135)*'레벨 계산식'!$B$5</x:f>
        <x:v>0.27999999999999997</x:v>
      </x:c>
      <x:c r="H1135" s="14" t="n">
        <x:f>('등급 계산식'!$E$4-F1135)*'등급 계산식'!$B$5</x:f>
        <x:v>0.24000000000000005</x:v>
      </x:c>
      <x:c r="I1135" s="14" t="n">
        <x:f>1-G1135-H1135</x:f>
        <x:v>0.4799999999999999</x:v>
      </x:c>
      <x:c r="J1135" s="2" t="n">
        <x:f>MAX(1,ROUND('기준스탯 72종'!D53-R1135-Z1135,0))</x:f>
        <x:v>3</x:v>
      </x:c>
      <x:c r="K1135" s="2" t="n">
        <x:f>MAX(1,ROUND('기준스탯 72종'!E53-S1135-AA1135,0))</x:f>
        <x:v>3</x:v>
      </x:c>
      <x:c r="L1135" s="2" t="n">
        <x:f>MAX(1,ROUND('기준스탯 72종'!F53-T1135-AB1135,0))</x:f>
        <x:v>4</x:v>
      </x:c>
      <x:c r="M1135" s="2" t="n">
        <x:f>MAX(1,ROUND('기준스탯 72종'!G53-U1135-AC1135,0))</x:f>
        <x:v>4</x:v>
      </x:c>
      <x:c r="N1135" s="2" t="n">
        <x:f>MAX(0,ROUND('기준스탯 72종'!H53-V1135-AD1135,0))</x:f>
        <x:v>1</x:v>
      </x:c>
      <x:c r="O1135" s="2" t="n">
        <x:f>MAX(0,ROUND('기준스탯 72종'!I53-W1135-AE1135,0))</x:f>
        <x:v>2</x:v>
      </x:c>
      <x:c r="P1135" s="2" t="n">
        <x:f>MAX(0,ROUND('기준스탯 72종'!J53-X1135-AF1135,0))</x:f>
        <x:v>3</x:v>
      </x:c>
      <x:c r="Q1135" s="2" t="n">
        <x:f>MAX(0,ROUND('기준스탯 72종'!K53-Y1135-AG1135,0))</x:f>
        <x:v>1</x:v>
      </x:c>
      <x:c r="R1135" s="15" t="n">
        <x:f>'기준스탯 72종'!D53*G1135</x:f>
        <x:v>1.6799999999999997</x:v>
      </x:c>
      <x:c r="S1135" s="15" t="n">
        <x:f>'기준스탯 72종'!E53*G1135</x:f>
        <x:v>1.9599999999999997</x:v>
      </x:c>
      <x:c r="T1135" s="15" t="n">
        <x:f>'기준스탯 72종'!F53*G1135</x:f>
        <x:v>2.5199999999999996</x:v>
      </x:c>
      <x:c r="U1135" s="15" t="n">
        <x:f>'기준스탯 72종'!G53*G1135</x:f>
        <x:v>2.2399999999999998</x:v>
      </x:c>
      <x:c r="V1135" s="15" t="n">
        <x:f>'기준스탯 72종'!H53*G1135</x:f>
        <x:v>0.5599999999999999</x:v>
      </x:c>
      <x:c r="W1135" s="15" t="n">
        <x:f>'기준스탯 72종'!I53*G1135</x:f>
        <x:v>1.4</x:v>
      </x:c>
      <x:c r="X1135" s="15" t="n">
        <x:f>'기준스탯 72종'!J53*G1135</x:f>
        <x:v>1.9599999999999997</x:v>
      </x:c>
      <x:c r="Y1135" s="15" t="n">
        <x:f>'기준스탯 72종'!K53*G1135</x:f>
        <x:v>0.5599999999999999</x:v>
      </x:c>
      <x:c r="Z1135" s="15" t="n">
        <x:f>'기준스탯 72종'!D53*H1135</x:f>
        <x:v>1.4400000000000004</x:v>
      </x:c>
      <x:c r="AA1135" s="15" t="n">
        <x:f>'기준스탯 72종'!E53*H1135</x:f>
        <x:v>1.6800000000000004</x:v>
      </x:c>
      <x:c r="AB1135" s="15" t="n">
        <x:f>'기준스탯 72종'!F53*H1135</x:f>
        <x:v>2.1600000000000006</x:v>
      </x:c>
      <x:c r="AC1135" s="15" t="n">
        <x:f>'기준스탯 72종'!G53*H1135</x:f>
        <x:v>1.9200000000000004</x:v>
      </x:c>
      <x:c r="AD1135" s="15" t="n">
        <x:f>'기준스탯 72종'!H53*H1135</x:f>
        <x:v>0.4800000000000001</x:v>
      </x:c>
      <x:c r="AE1135" s="15" t="n">
        <x:f>'기준스탯 72종'!I53*H1135</x:f>
        <x:v>1.2000000000000002</x:v>
      </x:c>
      <x:c r="AF1135" s="15" t="n">
        <x:f>'기준스탯 72종'!J53*H1135</x:f>
        <x:v>1.6800000000000004</x:v>
      </x:c>
      <x:c r="AG1135" s="15" t="n">
        <x:f>'기준스탯 72종'!K53*H1135</x:f>
        <x:v>0.4800000000000001</x:v>
      </x:c>
    </x:row>
    <x:row r="1136" ht="28" customHeight="1">
      <x:c r="A1136" s="2" t="n">
        <x:v>1129</x:v>
      </x:c>
      <x:c r="B1136" s="2" t="n">
        <x:v>46</x:v>
      </x:c>
      <x:c r="C1136" s="2" t="str">
        <x:v>전갈자리</x:v>
      </x:c>
      <x:c r="D1136" s="2" t="str">
        <x:v>정령사</x:v>
      </x:c>
      <x:c r="E1136" s="2" t="n">
        <x:v>4</x:v>
      </x:c>
      <x:c r="F1136" s="2" t="n">
        <x:v>1</x:v>
      </x:c>
      <x:c r="G1136" s="14" t="n">
        <x:f>('레벨 계산식'!$E$4-E1136)*'레벨 계산식'!$B$5</x:f>
        <x:v>0.13999999999999999</x:v>
      </x:c>
      <x:c r="H1136" s="14" t="n">
        <x:f>('등급 계산식'!$E$4-F1136)*'등급 계산식'!$B$5</x:f>
        <x:v>0.24000000000000005</x:v>
      </x:c>
      <x:c r="I1136" s="14" t="n">
        <x:f>1-G1136-H1136</x:f>
        <x:v>0.6199999999999999</x:v>
      </x:c>
      <x:c r="J1136" s="2" t="n">
        <x:f>MAX(1,ROUND('기준스탯 72종'!D53-R1136-Z1136,0))</x:f>
        <x:v>4</x:v>
      </x:c>
      <x:c r="K1136" s="2" t="n">
        <x:f>MAX(1,ROUND('기준스탯 72종'!E53-S1136-AA1136,0))</x:f>
        <x:v>4</x:v>
      </x:c>
      <x:c r="L1136" s="2" t="n">
        <x:f>MAX(1,ROUND('기준스탯 72종'!F53-T1136-AB1136,0))</x:f>
        <x:v>6</x:v>
      </x:c>
      <x:c r="M1136" s="2" t="n">
        <x:f>MAX(1,ROUND('기준스탯 72종'!G53-U1136-AC1136,0))</x:f>
        <x:v>5</x:v>
      </x:c>
      <x:c r="N1136" s="2" t="n">
        <x:f>MAX(0,ROUND('기준스탯 72종'!H53-V1136-AD1136,0))</x:f>
        <x:v>1</x:v>
      </x:c>
      <x:c r="O1136" s="2" t="n">
        <x:f>MAX(0,ROUND('기준스탯 72종'!I53-W1136-AE1136,0))</x:f>
        <x:v>3</x:v>
      </x:c>
      <x:c r="P1136" s="2" t="n">
        <x:f>MAX(0,ROUND('기준스탯 72종'!J53-X1136-AF1136,0))</x:f>
        <x:v>4</x:v>
      </x:c>
      <x:c r="Q1136" s="2" t="n">
        <x:f>MAX(0,ROUND('기준스탯 72종'!K53-Y1136-AG1136,0))</x:f>
        <x:v>1</x:v>
      </x:c>
      <x:c r="R1136" s="15" t="n">
        <x:f>'기준스탯 72종'!D53*G1136</x:f>
        <x:v>0.8399999999999999</x:v>
      </x:c>
      <x:c r="S1136" s="15" t="n">
        <x:f>'기준스탯 72종'!E53*G1136</x:f>
        <x:v>0.9799999999999999</x:v>
      </x:c>
      <x:c r="T1136" s="15" t="n">
        <x:f>'기준스탯 72종'!F53*G1136</x:f>
        <x:v>1.2599999999999998</x:v>
      </x:c>
      <x:c r="U1136" s="15" t="n">
        <x:f>'기준스탯 72종'!G53*G1136</x:f>
        <x:v>1.1199999999999999</x:v>
      </x:c>
      <x:c r="V1136" s="15" t="n">
        <x:f>'기준스탯 72종'!H53*G1136</x:f>
        <x:v>0.27999999999999997</x:v>
      </x:c>
      <x:c r="W1136" s="15" t="n">
        <x:f>'기준스탯 72종'!I53*G1136</x:f>
        <x:v>0.7</x:v>
      </x:c>
      <x:c r="X1136" s="15" t="n">
        <x:f>'기준스탯 72종'!J53*G1136</x:f>
        <x:v>0.9799999999999999</x:v>
      </x:c>
      <x:c r="Y1136" s="15" t="n">
        <x:f>'기준스탯 72종'!K53*G1136</x:f>
        <x:v>0.27999999999999997</x:v>
      </x:c>
      <x:c r="Z1136" s="15" t="n">
        <x:f>'기준스탯 72종'!D53*H1136</x:f>
        <x:v>1.4400000000000004</x:v>
      </x:c>
      <x:c r="AA1136" s="15" t="n">
        <x:f>'기준스탯 72종'!E53*H1136</x:f>
        <x:v>1.6800000000000004</x:v>
      </x:c>
      <x:c r="AB1136" s="15" t="n">
        <x:f>'기준스탯 72종'!F53*H1136</x:f>
        <x:v>2.1600000000000006</x:v>
      </x:c>
      <x:c r="AC1136" s="15" t="n">
        <x:f>'기준스탯 72종'!G53*H1136</x:f>
        <x:v>1.9200000000000004</x:v>
      </x:c>
      <x:c r="AD1136" s="15" t="n">
        <x:f>'기준스탯 72종'!H53*H1136</x:f>
        <x:v>0.4800000000000001</x:v>
      </x:c>
      <x:c r="AE1136" s="15" t="n">
        <x:f>'기준스탯 72종'!I53*H1136</x:f>
        <x:v>1.2000000000000002</x:v>
      </x:c>
      <x:c r="AF1136" s="15" t="n">
        <x:f>'기준스탯 72종'!J53*H1136</x:f>
        <x:v>1.6800000000000004</x:v>
      </x:c>
      <x:c r="AG1136" s="15" t="n">
        <x:f>'기준스탯 72종'!K53*H1136</x:f>
        <x:v>0.4800000000000001</x:v>
      </x:c>
    </x:row>
    <x:row r="1137" ht="28" customHeight="1">
      <x:c r="A1137" s="2" t="n">
        <x:v>1130</x:v>
      </x:c>
      <x:c r="B1137" s="2" t="n">
        <x:v>46</x:v>
      </x:c>
      <x:c r="C1137" s="2" t="str">
        <x:v>전갈자리</x:v>
      </x:c>
      <x:c r="D1137" s="2" t="str">
        <x:v>정령사</x:v>
      </x:c>
      <x:c r="E1137" s="2" t="n">
        <x:v>5</x:v>
      </x:c>
      <x:c r="F1137" s="2" t="n">
        <x:v>1</x:v>
      </x:c>
      <x:c r="G1137" s="14" t="n">
        <x:f>('레벨 계산식'!$E$4-E1137)*'레벨 계산식'!$B$5</x:f>
        <x:v>0</x:v>
      </x:c>
      <x:c r="H1137" s="14" t="n">
        <x:f>('등급 계산식'!$E$4-F1137)*'등급 계산식'!$B$5</x:f>
        <x:v>0.24000000000000005</x:v>
      </x:c>
      <x:c r="I1137" s="14" t="n">
        <x:f>1-G1137-H1137</x:f>
        <x:v>0.76</x:v>
      </x:c>
      <x:c r="J1137" s="2" t="n">
        <x:f>MAX(1,ROUND('기준스탯 72종'!D53-R1137-Z1137,0))</x:f>
        <x:v>5</x:v>
      </x:c>
      <x:c r="K1137" s="2" t="n">
        <x:f>MAX(1,ROUND('기준스탯 72종'!E53-S1137-AA1137,0))</x:f>
        <x:v>5</x:v>
      </x:c>
      <x:c r="L1137" s="2" t="n">
        <x:f>MAX(1,ROUND('기준스탯 72종'!F53-T1137-AB1137,0))</x:f>
        <x:v>7</x:v>
      </x:c>
      <x:c r="M1137" s="2" t="n">
        <x:f>MAX(1,ROUND('기준스탯 72종'!G53-U1137-AC1137,0))</x:f>
        <x:v>6</x:v>
      </x:c>
      <x:c r="N1137" s="2" t="n">
        <x:f>MAX(0,ROUND('기준스탯 72종'!H53-V1137-AD1137,0))</x:f>
        <x:v>2</x:v>
      </x:c>
      <x:c r="O1137" s="2" t="n">
        <x:f>MAX(0,ROUND('기준스탯 72종'!I53-W1137-AE1137,0))</x:f>
        <x:v>4</x:v>
      </x:c>
      <x:c r="P1137" s="2" t="n">
        <x:f>MAX(0,ROUND('기준스탯 72종'!J53-X1137-AF1137,0))</x:f>
        <x:v>5</x:v>
      </x:c>
      <x:c r="Q1137" s="2" t="n">
        <x:f>MAX(0,ROUND('기준스탯 72종'!K53-Y1137-AG1137,0))</x:f>
        <x:v>2</x:v>
      </x:c>
      <x:c r="R1137" s="15" t="n">
        <x:f>'기준스탯 72종'!D53*G1137</x:f>
        <x:v>0</x:v>
      </x:c>
      <x:c r="S1137" s="15" t="n">
        <x:f>'기준스탯 72종'!E53*G1137</x:f>
        <x:v>0</x:v>
      </x:c>
      <x:c r="T1137" s="15" t="n">
        <x:f>'기준스탯 72종'!F53*G1137</x:f>
        <x:v>0</x:v>
      </x:c>
      <x:c r="U1137" s="15" t="n">
        <x:f>'기준스탯 72종'!G53*G1137</x:f>
        <x:v>0</x:v>
      </x:c>
      <x:c r="V1137" s="15" t="n">
        <x:f>'기준스탯 72종'!H53*G1137</x:f>
        <x:v>0</x:v>
      </x:c>
      <x:c r="W1137" s="15" t="n">
        <x:f>'기준스탯 72종'!I53*G1137</x:f>
        <x:v>0</x:v>
      </x:c>
      <x:c r="X1137" s="15" t="n">
        <x:f>'기준스탯 72종'!J53*G1137</x:f>
        <x:v>0</x:v>
      </x:c>
      <x:c r="Y1137" s="15" t="n">
        <x:f>'기준스탯 72종'!K53*G1137</x:f>
        <x:v>0</x:v>
      </x:c>
      <x:c r="Z1137" s="15" t="n">
        <x:f>'기준스탯 72종'!D53*H1137</x:f>
        <x:v>1.4400000000000004</x:v>
      </x:c>
      <x:c r="AA1137" s="15" t="n">
        <x:f>'기준스탯 72종'!E53*H1137</x:f>
        <x:v>1.6800000000000004</x:v>
      </x:c>
      <x:c r="AB1137" s="15" t="n">
        <x:f>'기준스탯 72종'!F53*H1137</x:f>
        <x:v>2.1600000000000006</x:v>
      </x:c>
      <x:c r="AC1137" s="15" t="n">
        <x:f>'기준스탯 72종'!G53*H1137</x:f>
        <x:v>1.9200000000000004</x:v>
      </x:c>
      <x:c r="AD1137" s="15" t="n">
        <x:f>'기준스탯 72종'!H53*H1137</x:f>
        <x:v>0.4800000000000001</x:v>
      </x:c>
      <x:c r="AE1137" s="15" t="n">
        <x:f>'기준스탯 72종'!I53*H1137</x:f>
        <x:v>1.2000000000000002</x:v>
      </x:c>
      <x:c r="AF1137" s="15" t="n">
        <x:f>'기준스탯 72종'!J53*H1137</x:f>
        <x:v>1.6800000000000004</x:v>
      </x:c>
      <x:c r="AG1137" s="15" t="n">
        <x:f>'기준스탯 72종'!K53*H1137</x:f>
        <x:v>0.4800000000000001</x:v>
      </x:c>
    </x:row>
    <x:row r="1138" ht="28" customHeight="1">
      <x:c r="A1138" s="2" t="n">
        <x:v>1131</x:v>
      </x:c>
      <x:c r="B1138" s="2" t="n">
        <x:v>46</x:v>
      </x:c>
      <x:c r="C1138" s="2" t="str">
        <x:v>전갈자리</x:v>
      </x:c>
      <x:c r="D1138" s="2" t="str">
        <x:v>정령사</x:v>
      </x:c>
      <x:c r="E1138" s="2" t="n">
        <x:v>1</x:v>
      </x:c>
      <x:c r="F1138" s="2" t="n">
        <x:v>2</x:v>
      </x:c>
      <x:c r="G1138" s="14" t="n">
        <x:f>('레벨 계산식'!$E$4-E1138)*'레벨 계산식'!$B$5</x:f>
        <x:v>0.5599999999999999</x:v>
      </x:c>
      <x:c r="H1138" s="14" t="n">
        <x:f>('등급 계산식'!$E$4-F1138)*'등급 계산식'!$B$5</x:f>
        <x:v>0.18000000000000005</x:v>
      </x:c>
      <x:c r="I1138" s="14" t="n">
        <x:f>1-G1138-H1138</x:f>
        <x:v>0.26</x:v>
      </x:c>
      <x:c r="J1138" s="2" t="n">
        <x:f>MAX(1,ROUND('기준스탯 72종'!D53-R1138-Z1138,0))</x:f>
        <x:v>2</x:v>
      </x:c>
      <x:c r="K1138" s="2" t="n">
        <x:f>MAX(1,ROUND('기준스탯 72종'!E53-S1138-AA1138,0))</x:f>
        <x:v>2</x:v>
      </x:c>
      <x:c r="L1138" s="2" t="n">
        <x:f>MAX(1,ROUND('기준스탯 72종'!F53-T1138-AB1138,0))</x:f>
        <x:v>2</x:v>
      </x:c>
      <x:c r="M1138" s="2" t="n">
        <x:f>MAX(1,ROUND('기준스탯 72종'!G53-U1138-AC1138,0))</x:f>
        <x:v>2</x:v>
      </x:c>
      <x:c r="N1138" s="2" t="n">
        <x:f>MAX(0,ROUND('기준스탯 72종'!H53-V1138-AD1138,0))</x:f>
        <x:v>1</x:v>
      </x:c>
      <x:c r="O1138" s="2" t="n">
        <x:f>MAX(0,ROUND('기준스탯 72종'!I53-W1138-AE1138,0))</x:f>
        <x:v>1</x:v>
      </x:c>
      <x:c r="P1138" s="2" t="n">
        <x:f>MAX(0,ROUND('기준스탯 72종'!J53-X1138-AF1138,0))</x:f>
        <x:v>2</x:v>
      </x:c>
      <x:c r="Q1138" s="2" t="n">
        <x:f>MAX(0,ROUND('기준스탯 72종'!K53-Y1138-AG1138,0))</x:f>
        <x:v>1</x:v>
      </x:c>
      <x:c r="R1138" s="15" t="n">
        <x:f>'기준스탯 72종'!D53*G1138</x:f>
        <x:v>3.3599999999999994</x:v>
      </x:c>
      <x:c r="S1138" s="15" t="n">
        <x:f>'기준스탯 72종'!E53*G1138</x:f>
        <x:v>3.9199999999999995</x:v>
      </x:c>
      <x:c r="T1138" s="15" t="n">
        <x:f>'기준스탯 72종'!F53*G1138</x:f>
        <x:v>5.039999999999999</x:v>
      </x:c>
      <x:c r="U1138" s="15" t="n">
        <x:f>'기준스탯 72종'!G53*G1138</x:f>
        <x:v>4.4799999999999995</x:v>
      </x:c>
      <x:c r="V1138" s="15" t="n">
        <x:f>'기준스탯 72종'!H53*G1138</x:f>
        <x:v>1.1199999999999999</x:v>
      </x:c>
      <x:c r="W1138" s="15" t="n">
        <x:f>'기준스탯 72종'!I53*G1138</x:f>
        <x:v>2.8</x:v>
      </x:c>
      <x:c r="X1138" s="15" t="n">
        <x:f>'기준스탯 72종'!J53*G1138</x:f>
        <x:v>3.9199999999999995</x:v>
      </x:c>
      <x:c r="Y1138" s="15" t="n">
        <x:f>'기준스탯 72종'!K53*G1138</x:f>
        <x:v>1.1199999999999999</x:v>
      </x:c>
      <x:c r="Z1138" s="15" t="n">
        <x:f>'기준스탯 72종'!D53*H1138</x:f>
        <x:v>1.0800000000000003</x:v>
      </x:c>
      <x:c r="AA1138" s="15" t="n">
        <x:f>'기준스탯 72종'!E53*H1138</x:f>
        <x:v>1.2600000000000002</x:v>
      </x:c>
      <x:c r="AB1138" s="15" t="n">
        <x:f>'기준스탯 72종'!F53*H1138</x:f>
        <x:v>1.6200000000000006</x:v>
      </x:c>
      <x:c r="AC1138" s="15" t="n">
        <x:f>'기준스탯 72종'!G53*H1138</x:f>
        <x:v>1.4400000000000004</x:v>
      </x:c>
      <x:c r="AD1138" s="15" t="n">
        <x:f>'기준스탯 72종'!H53*H1138</x:f>
        <x:v>0.3600000000000001</x:v>
      </x:c>
      <x:c r="AE1138" s="15" t="n">
        <x:f>'기준스탯 72종'!I53*H1138</x:f>
        <x:v>0.9000000000000002</x:v>
      </x:c>
      <x:c r="AF1138" s="15" t="n">
        <x:f>'기준스탯 72종'!J53*H1138</x:f>
        <x:v>1.2600000000000002</x:v>
      </x:c>
      <x:c r="AG1138" s="15" t="n">
        <x:f>'기준스탯 72종'!K53*H1138</x:f>
        <x:v>0.3600000000000001</x:v>
      </x:c>
    </x:row>
    <x:row r="1139" ht="28" customHeight="1">
      <x:c r="A1139" s="2" t="n">
        <x:v>1132</x:v>
      </x:c>
      <x:c r="B1139" s="2" t="n">
        <x:v>46</x:v>
      </x:c>
      <x:c r="C1139" s="2" t="str">
        <x:v>전갈자리</x:v>
      </x:c>
      <x:c r="D1139" s="2" t="str">
        <x:v>정령사</x:v>
      </x:c>
      <x:c r="E1139" s="2" t="n">
        <x:v>2</x:v>
      </x:c>
      <x:c r="F1139" s="2" t="n">
        <x:v>2</x:v>
      </x:c>
      <x:c r="G1139" s="14" t="n">
        <x:f>('레벨 계산식'!$E$4-E1139)*'레벨 계산식'!$B$5</x:f>
        <x:v>0.41999999999999993</x:v>
      </x:c>
      <x:c r="H1139" s="14" t="n">
        <x:f>('등급 계산식'!$E$4-F1139)*'등급 계산식'!$B$5</x:f>
        <x:v>0.18000000000000005</x:v>
      </x:c>
      <x:c r="I1139" s="14" t="n">
        <x:f>1-G1139-H1139</x:f>
        <x:v>0.4</x:v>
      </x:c>
      <x:c r="J1139" s="2" t="n">
        <x:f>MAX(1,ROUND('기준스탯 72종'!D53-R1139-Z1139,0))</x:f>
        <x:v>2</x:v>
      </x:c>
      <x:c r="K1139" s="2" t="n">
        <x:f>MAX(1,ROUND('기준스탯 72종'!E53-S1139-AA1139,0))</x:f>
        <x:v>3</x:v>
      </x:c>
      <x:c r="L1139" s="2" t="n">
        <x:f>MAX(1,ROUND('기준스탯 72종'!F53-T1139-AB1139,0))</x:f>
        <x:v>4</x:v>
      </x:c>
      <x:c r="M1139" s="2" t="n">
        <x:f>MAX(1,ROUND('기준스탯 72종'!G53-U1139-AC1139,0))</x:f>
        <x:v>3</x:v>
      </x:c>
      <x:c r="N1139" s="2" t="n">
        <x:f>MAX(0,ROUND('기준스탯 72종'!H53-V1139-AD1139,0))</x:f>
        <x:v>1</x:v>
      </x:c>
      <x:c r="O1139" s="2" t="n">
        <x:f>MAX(0,ROUND('기준스탯 72종'!I53-W1139-AE1139,0))</x:f>
        <x:v>2</x:v>
      </x:c>
      <x:c r="P1139" s="2" t="n">
        <x:f>MAX(0,ROUND('기준스탯 72종'!J53-X1139-AF1139,0))</x:f>
        <x:v>3</x:v>
      </x:c>
      <x:c r="Q1139" s="2" t="n">
        <x:f>MAX(0,ROUND('기준스탯 72종'!K53-Y1139-AG1139,0))</x:f>
        <x:v>1</x:v>
      </x:c>
      <x:c r="R1139" s="15" t="n">
        <x:f>'기준스탯 72종'!D53*G1139</x:f>
        <x:v>2.5199999999999996</x:v>
      </x:c>
      <x:c r="S1139" s="15" t="n">
        <x:f>'기준스탯 72종'!E53*G1139</x:f>
        <x:v>2.9399999999999995</x:v>
      </x:c>
      <x:c r="T1139" s="15" t="n">
        <x:f>'기준스탯 72종'!F53*G1139</x:f>
        <x:v>3.7799999999999994</x:v>
      </x:c>
      <x:c r="U1139" s="15" t="n">
        <x:f>'기준스탯 72종'!G53*G1139</x:f>
        <x:v>3.3599999999999994</x:v>
      </x:c>
      <x:c r="V1139" s="15" t="n">
        <x:f>'기준스탯 72종'!H53*G1139</x:f>
        <x:v>0.8399999999999999</x:v>
      </x:c>
      <x:c r="W1139" s="15" t="n">
        <x:f>'기준스탯 72종'!I53*G1139</x:f>
        <x:v>2.0999999999999996</x:v>
      </x:c>
      <x:c r="X1139" s="15" t="n">
        <x:f>'기준스탯 72종'!J53*G1139</x:f>
        <x:v>2.9399999999999995</x:v>
      </x:c>
      <x:c r="Y1139" s="15" t="n">
        <x:f>'기준스탯 72종'!K53*G1139</x:f>
        <x:v>0.8399999999999999</x:v>
      </x:c>
      <x:c r="Z1139" s="15" t="n">
        <x:f>'기준스탯 72종'!D53*H1139</x:f>
        <x:v>1.0800000000000003</x:v>
      </x:c>
      <x:c r="AA1139" s="15" t="n">
        <x:f>'기준스탯 72종'!E53*H1139</x:f>
        <x:v>1.2600000000000002</x:v>
      </x:c>
      <x:c r="AB1139" s="15" t="n">
        <x:f>'기준스탯 72종'!F53*H1139</x:f>
        <x:v>1.6200000000000006</x:v>
      </x:c>
      <x:c r="AC1139" s="15" t="n">
        <x:f>'기준스탯 72종'!G53*H1139</x:f>
        <x:v>1.4400000000000004</x:v>
      </x:c>
      <x:c r="AD1139" s="15" t="n">
        <x:f>'기준스탯 72종'!H53*H1139</x:f>
        <x:v>0.3600000000000001</x:v>
      </x:c>
      <x:c r="AE1139" s="15" t="n">
        <x:f>'기준스탯 72종'!I53*H1139</x:f>
        <x:v>0.9000000000000002</x:v>
      </x:c>
      <x:c r="AF1139" s="15" t="n">
        <x:f>'기준스탯 72종'!J53*H1139</x:f>
        <x:v>1.2600000000000002</x:v>
      </x:c>
      <x:c r="AG1139" s="15" t="n">
        <x:f>'기준스탯 72종'!K53*H1139</x:f>
        <x:v>0.3600000000000001</x:v>
      </x:c>
    </x:row>
    <x:row r="1140" ht="28" customHeight="1">
      <x:c r="A1140" s="2" t="n">
        <x:v>1133</x:v>
      </x:c>
      <x:c r="B1140" s="2" t="n">
        <x:v>46</x:v>
      </x:c>
      <x:c r="C1140" s="2" t="str">
        <x:v>전갈자리</x:v>
      </x:c>
      <x:c r="D1140" s="2" t="str">
        <x:v>정령사</x:v>
      </x:c>
      <x:c r="E1140" s="2" t="n">
        <x:v>3</x:v>
      </x:c>
      <x:c r="F1140" s="2" t="n">
        <x:v>2</x:v>
      </x:c>
      <x:c r="G1140" s="14" t="n">
        <x:f>('레벨 계산식'!$E$4-E1140)*'레벨 계산식'!$B$5</x:f>
        <x:v>0.27999999999999997</x:v>
      </x:c>
      <x:c r="H1140" s="14" t="n">
        <x:f>('등급 계산식'!$E$4-F1140)*'등급 계산식'!$B$5</x:f>
        <x:v>0.18000000000000005</x:v>
      </x:c>
      <x:c r="I1140" s="14" t="n">
        <x:f>1-G1140-H1140</x:f>
        <x:v>0.5399999999999999</x:v>
      </x:c>
      <x:c r="J1140" s="2" t="n">
        <x:f>MAX(1,ROUND('기준스탯 72종'!D53-R1140-Z1140,0))</x:f>
        <x:v>3</x:v>
      </x:c>
      <x:c r="K1140" s="2" t="n">
        <x:f>MAX(1,ROUND('기준스탯 72종'!E53-S1140-AA1140,0))</x:f>
        <x:v>4</x:v>
      </x:c>
      <x:c r="L1140" s="2" t="n">
        <x:f>MAX(1,ROUND('기준스탯 72종'!F53-T1140-AB1140,0))</x:f>
        <x:v>5</x:v>
      </x:c>
      <x:c r="M1140" s="2" t="n">
        <x:f>MAX(1,ROUND('기준스탯 72종'!G53-U1140-AC1140,0))</x:f>
        <x:v>4</x:v>
      </x:c>
      <x:c r="N1140" s="2" t="n">
        <x:f>MAX(0,ROUND('기준스탯 72종'!H53-V1140-AD1140,0))</x:f>
        <x:v>1</x:v>
      </x:c>
      <x:c r="O1140" s="2" t="n">
        <x:f>MAX(0,ROUND('기준스탯 72종'!I53-W1140-AE1140,0))</x:f>
        <x:v>3</x:v>
      </x:c>
      <x:c r="P1140" s="2" t="n">
        <x:f>MAX(0,ROUND('기준스탯 72종'!J53-X1140-AF1140,0))</x:f>
        <x:v>4</x:v>
      </x:c>
      <x:c r="Q1140" s="2" t="n">
        <x:f>MAX(0,ROUND('기준스탯 72종'!K53-Y1140-AG1140,0))</x:f>
        <x:v>1</x:v>
      </x:c>
      <x:c r="R1140" s="15" t="n">
        <x:f>'기준스탯 72종'!D53*G1140</x:f>
        <x:v>1.6799999999999997</x:v>
      </x:c>
      <x:c r="S1140" s="15" t="n">
        <x:f>'기준스탯 72종'!E53*G1140</x:f>
        <x:v>1.9599999999999997</x:v>
      </x:c>
      <x:c r="T1140" s="15" t="n">
        <x:f>'기준스탯 72종'!F53*G1140</x:f>
        <x:v>2.5199999999999996</x:v>
      </x:c>
      <x:c r="U1140" s="15" t="n">
        <x:f>'기준스탯 72종'!G53*G1140</x:f>
        <x:v>2.2399999999999998</x:v>
      </x:c>
      <x:c r="V1140" s="15" t="n">
        <x:f>'기준스탯 72종'!H53*G1140</x:f>
        <x:v>0.5599999999999999</x:v>
      </x:c>
      <x:c r="W1140" s="15" t="n">
        <x:f>'기준스탯 72종'!I53*G1140</x:f>
        <x:v>1.4</x:v>
      </x:c>
      <x:c r="X1140" s="15" t="n">
        <x:f>'기준스탯 72종'!J53*G1140</x:f>
        <x:v>1.9599999999999997</x:v>
      </x:c>
      <x:c r="Y1140" s="15" t="n">
        <x:f>'기준스탯 72종'!K53*G1140</x:f>
        <x:v>0.5599999999999999</x:v>
      </x:c>
      <x:c r="Z1140" s="15" t="n">
        <x:f>'기준스탯 72종'!D53*H1140</x:f>
        <x:v>1.0800000000000003</x:v>
      </x:c>
      <x:c r="AA1140" s="15" t="n">
        <x:f>'기준스탯 72종'!E53*H1140</x:f>
        <x:v>1.2600000000000002</x:v>
      </x:c>
      <x:c r="AB1140" s="15" t="n">
        <x:f>'기준스탯 72종'!F53*H1140</x:f>
        <x:v>1.6200000000000006</x:v>
      </x:c>
      <x:c r="AC1140" s="15" t="n">
        <x:f>'기준스탯 72종'!G53*H1140</x:f>
        <x:v>1.4400000000000004</x:v>
      </x:c>
      <x:c r="AD1140" s="15" t="n">
        <x:f>'기준스탯 72종'!H53*H1140</x:f>
        <x:v>0.3600000000000001</x:v>
      </x:c>
      <x:c r="AE1140" s="15" t="n">
        <x:f>'기준스탯 72종'!I53*H1140</x:f>
        <x:v>0.9000000000000002</x:v>
      </x:c>
      <x:c r="AF1140" s="15" t="n">
        <x:f>'기준스탯 72종'!J53*H1140</x:f>
        <x:v>1.2600000000000002</x:v>
      </x:c>
      <x:c r="AG1140" s="15" t="n">
        <x:f>'기준스탯 72종'!K53*H1140</x:f>
        <x:v>0.3600000000000001</x:v>
      </x:c>
    </x:row>
    <x:row r="1141" ht="28" customHeight="1">
      <x:c r="A1141" s="2" t="n">
        <x:v>1134</x:v>
      </x:c>
      <x:c r="B1141" s="2" t="n">
        <x:v>46</x:v>
      </x:c>
      <x:c r="C1141" s="2" t="str">
        <x:v>전갈자리</x:v>
      </x:c>
      <x:c r="D1141" s="2" t="str">
        <x:v>정령사</x:v>
      </x:c>
      <x:c r="E1141" s="2" t="n">
        <x:v>4</x:v>
      </x:c>
      <x:c r="F1141" s="2" t="n">
        <x:v>2</x:v>
      </x:c>
      <x:c r="G1141" s="14" t="n">
        <x:f>('레벨 계산식'!$E$4-E1141)*'레벨 계산식'!$B$5</x:f>
        <x:v>0.13999999999999999</x:v>
      </x:c>
      <x:c r="H1141" s="14" t="n">
        <x:f>('등급 계산식'!$E$4-F1141)*'등급 계산식'!$B$5</x:f>
        <x:v>0.18000000000000005</x:v>
      </x:c>
      <x:c r="I1141" s="14" t="n">
        <x:f>1-G1141-H1141</x:f>
        <x:v>0.6799999999999999</x:v>
      </x:c>
      <x:c r="J1141" s="2" t="n">
        <x:f>MAX(1,ROUND('기준스탯 72종'!D53-R1141-Z1141,0))</x:f>
        <x:v>4</x:v>
      </x:c>
      <x:c r="K1141" s="2" t="n">
        <x:f>MAX(1,ROUND('기준스탯 72종'!E53-S1141-AA1141,0))</x:f>
        <x:v>5</x:v>
      </x:c>
      <x:c r="L1141" s="2" t="n">
        <x:f>MAX(1,ROUND('기준스탯 72종'!F53-T1141-AB1141,0))</x:f>
        <x:v>6</x:v>
      </x:c>
      <x:c r="M1141" s="2" t="n">
        <x:f>MAX(1,ROUND('기준스탯 72종'!G53-U1141-AC1141,0))</x:f>
        <x:v>5</x:v>
      </x:c>
      <x:c r="N1141" s="2" t="n">
        <x:f>MAX(0,ROUND('기준스탯 72종'!H53-V1141-AD1141,0))</x:f>
        <x:v>1</x:v>
      </x:c>
      <x:c r="O1141" s="2" t="n">
        <x:f>MAX(0,ROUND('기준스탯 72종'!I53-W1141-AE1141,0))</x:f>
        <x:v>3</x:v>
      </x:c>
      <x:c r="P1141" s="2" t="n">
        <x:f>MAX(0,ROUND('기준스탯 72종'!J53-X1141-AF1141,0))</x:f>
        <x:v>5</x:v>
      </x:c>
      <x:c r="Q1141" s="2" t="n">
        <x:f>MAX(0,ROUND('기준스탯 72종'!K53-Y1141-AG1141,0))</x:f>
        <x:v>1</x:v>
      </x:c>
      <x:c r="R1141" s="15" t="n">
        <x:f>'기준스탯 72종'!D53*G1141</x:f>
        <x:v>0.8399999999999999</x:v>
      </x:c>
      <x:c r="S1141" s="15" t="n">
        <x:f>'기준스탯 72종'!E53*G1141</x:f>
        <x:v>0.9799999999999999</x:v>
      </x:c>
      <x:c r="T1141" s="15" t="n">
        <x:f>'기준스탯 72종'!F53*G1141</x:f>
        <x:v>1.2599999999999998</x:v>
      </x:c>
      <x:c r="U1141" s="15" t="n">
        <x:f>'기준스탯 72종'!G53*G1141</x:f>
        <x:v>1.1199999999999999</x:v>
      </x:c>
      <x:c r="V1141" s="15" t="n">
        <x:f>'기준스탯 72종'!H53*G1141</x:f>
        <x:v>0.27999999999999997</x:v>
      </x:c>
      <x:c r="W1141" s="15" t="n">
        <x:f>'기준스탯 72종'!I53*G1141</x:f>
        <x:v>0.7</x:v>
      </x:c>
      <x:c r="X1141" s="15" t="n">
        <x:f>'기준스탯 72종'!J53*G1141</x:f>
        <x:v>0.9799999999999999</x:v>
      </x:c>
      <x:c r="Y1141" s="15" t="n">
        <x:f>'기준스탯 72종'!K53*G1141</x:f>
        <x:v>0.27999999999999997</x:v>
      </x:c>
      <x:c r="Z1141" s="15" t="n">
        <x:f>'기준스탯 72종'!D53*H1141</x:f>
        <x:v>1.0800000000000003</x:v>
      </x:c>
      <x:c r="AA1141" s="15" t="n">
        <x:f>'기준스탯 72종'!E53*H1141</x:f>
        <x:v>1.2600000000000002</x:v>
      </x:c>
      <x:c r="AB1141" s="15" t="n">
        <x:f>'기준스탯 72종'!F53*H1141</x:f>
        <x:v>1.6200000000000006</x:v>
      </x:c>
      <x:c r="AC1141" s="15" t="n">
        <x:f>'기준스탯 72종'!G53*H1141</x:f>
        <x:v>1.4400000000000004</x:v>
      </x:c>
      <x:c r="AD1141" s="15" t="n">
        <x:f>'기준스탯 72종'!H53*H1141</x:f>
        <x:v>0.3600000000000001</x:v>
      </x:c>
      <x:c r="AE1141" s="15" t="n">
        <x:f>'기준스탯 72종'!I53*H1141</x:f>
        <x:v>0.9000000000000002</x:v>
      </x:c>
      <x:c r="AF1141" s="15" t="n">
        <x:f>'기준스탯 72종'!J53*H1141</x:f>
        <x:v>1.2600000000000002</x:v>
      </x:c>
      <x:c r="AG1141" s="15" t="n">
        <x:f>'기준스탯 72종'!K53*H1141</x:f>
        <x:v>0.3600000000000001</x:v>
      </x:c>
    </x:row>
    <x:row r="1142" ht="28" customHeight="1">
      <x:c r="A1142" s="2" t="n">
        <x:v>1135</x:v>
      </x:c>
      <x:c r="B1142" s="2" t="n">
        <x:v>46</x:v>
      </x:c>
      <x:c r="C1142" s="2" t="str">
        <x:v>전갈자리</x:v>
      </x:c>
      <x:c r="D1142" s="2" t="str">
        <x:v>정령사</x:v>
      </x:c>
      <x:c r="E1142" s="2" t="n">
        <x:v>5</x:v>
      </x:c>
      <x:c r="F1142" s="2" t="n">
        <x:v>2</x:v>
      </x:c>
      <x:c r="G1142" s="14" t="n">
        <x:f>('레벨 계산식'!$E$4-E1142)*'레벨 계산식'!$B$5</x:f>
        <x:v>0</x:v>
      </x:c>
      <x:c r="H1142" s="14" t="n">
        <x:f>('등급 계산식'!$E$4-F1142)*'등급 계산식'!$B$5</x:f>
        <x:v>0.18000000000000005</x:v>
      </x:c>
      <x:c r="I1142" s="14" t="n">
        <x:f>1-G1142-H1142</x:f>
        <x:v>0.82</x:v>
      </x:c>
      <x:c r="J1142" s="2" t="n">
        <x:f>MAX(1,ROUND('기준스탯 72종'!D53-R1142-Z1142,0))</x:f>
        <x:v>5</x:v>
      </x:c>
      <x:c r="K1142" s="2" t="n">
        <x:f>MAX(1,ROUND('기준스탯 72종'!E53-S1142-AA1142,0))</x:f>
        <x:v>6</x:v>
      </x:c>
      <x:c r="L1142" s="2" t="n">
        <x:f>MAX(1,ROUND('기준스탯 72종'!F53-T1142-AB1142,0))</x:f>
        <x:v>7</x:v>
      </x:c>
      <x:c r="M1142" s="2" t="n">
        <x:f>MAX(1,ROUND('기준스탯 72종'!G53-U1142-AC1142,0))</x:f>
        <x:v>7</x:v>
      </x:c>
      <x:c r="N1142" s="2" t="n">
        <x:f>MAX(0,ROUND('기준스탯 72종'!H53-V1142-AD1142,0))</x:f>
        <x:v>2</x:v>
      </x:c>
      <x:c r="O1142" s="2" t="n">
        <x:f>MAX(0,ROUND('기준스탯 72종'!I53-W1142-AE1142,0))</x:f>
        <x:v>4</x:v>
      </x:c>
      <x:c r="P1142" s="2" t="n">
        <x:f>MAX(0,ROUND('기준스탯 72종'!J53-X1142-AF1142,0))</x:f>
        <x:v>6</x:v>
      </x:c>
      <x:c r="Q1142" s="2" t="n">
        <x:f>MAX(0,ROUND('기준스탯 72종'!K53-Y1142-AG1142,0))</x:f>
        <x:v>2</x:v>
      </x:c>
      <x:c r="R1142" s="15" t="n">
        <x:f>'기준스탯 72종'!D53*G1142</x:f>
        <x:v>0</x:v>
      </x:c>
      <x:c r="S1142" s="15" t="n">
        <x:f>'기준스탯 72종'!E53*G1142</x:f>
        <x:v>0</x:v>
      </x:c>
      <x:c r="T1142" s="15" t="n">
        <x:f>'기준스탯 72종'!F53*G1142</x:f>
        <x:v>0</x:v>
      </x:c>
      <x:c r="U1142" s="15" t="n">
        <x:f>'기준스탯 72종'!G53*G1142</x:f>
        <x:v>0</x:v>
      </x:c>
      <x:c r="V1142" s="15" t="n">
        <x:f>'기준스탯 72종'!H53*G1142</x:f>
        <x:v>0</x:v>
      </x:c>
      <x:c r="W1142" s="15" t="n">
        <x:f>'기준스탯 72종'!I53*G1142</x:f>
        <x:v>0</x:v>
      </x:c>
      <x:c r="X1142" s="15" t="n">
        <x:f>'기준스탯 72종'!J53*G1142</x:f>
        <x:v>0</x:v>
      </x:c>
      <x:c r="Y1142" s="15" t="n">
        <x:f>'기준스탯 72종'!K53*G1142</x:f>
        <x:v>0</x:v>
      </x:c>
      <x:c r="Z1142" s="15" t="n">
        <x:f>'기준스탯 72종'!D53*H1142</x:f>
        <x:v>1.0800000000000003</x:v>
      </x:c>
      <x:c r="AA1142" s="15" t="n">
        <x:f>'기준스탯 72종'!E53*H1142</x:f>
        <x:v>1.2600000000000002</x:v>
      </x:c>
      <x:c r="AB1142" s="15" t="n">
        <x:f>'기준스탯 72종'!F53*H1142</x:f>
        <x:v>1.6200000000000006</x:v>
      </x:c>
      <x:c r="AC1142" s="15" t="n">
        <x:f>'기준스탯 72종'!G53*H1142</x:f>
        <x:v>1.4400000000000004</x:v>
      </x:c>
      <x:c r="AD1142" s="15" t="n">
        <x:f>'기준스탯 72종'!H53*H1142</x:f>
        <x:v>0.3600000000000001</x:v>
      </x:c>
      <x:c r="AE1142" s="15" t="n">
        <x:f>'기준스탯 72종'!I53*H1142</x:f>
        <x:v>0.9000000000000002</x:v>
      </x:c>
      <x:c r="AF1142" s="15" t="n">
        <x:f>'기준스탯 72종'!J53*H1142</x:f>
        <x:v>1.2600000000000002</x:v>
      </x:c>
      <x:c r="AG1142" s="15" t="n">
        <x:f>'기준스탯 72종'!K53*H1142</x:f>
        <x:v>0.3600000000000001</x:v>
      </x:c>
    </x:row>
    <x:row r="1143" ht="28" customHeight="1">
      <x:c r="A1143" s="2" t="n">
        <x:v>1136</x:v>
      </x:c>
      <x:c r="B1143" s="2" t="n">
        <x:v>46</x:v>
      </x:c>
      <x:c r="C1143" s="2" t="str">
        <x:v>전갈자리</x:v>
      </x:c>
      <x:c r="D1143" s="2" t="str">
        <x:v>정령사</x:v>
      </x:c>
      <x:c r="E1143" s="2" t="n">
        <x:v>1</x:v>
      </x:c>
      <x:c r="F1143" s="2" t="n">
        <x:v>3</x:v>
      </x:c>
      <x:c r="G1143" s="14" t="n">
        <x:f>('레벨 계산식'!$E$4-E1143)*'레벨 계산식'!$B$5</x:f>
        <x:v>0.5599999999999999</x:v>
      </x:c>
      <x:c r="H1143" s="14" t="n">
        <x:f>('등급 계산식'!$E$4-F1143)*'등급 계산식'!$B$5</x:f>
        <x:v>0.12000000000000002</x:v>
      </x:c>
      <x:c r="I1143" s="14" t="n">
        <x:f>1-G1143-H1143</x:f>
        <x:v>0.32000000000000006</x:v>
      </x:c>
      <x:c r="J1143" s="2" t="n">
        <x:f>MAX(1,ROUND('기준스탯 72종'!D53-R1143-Z1143,0))</x:f>
        <x:v>2</x:v>
      </x:c>
      <x:c r="K1143" s="2" t="n">
        <x:f>MAX(1,ROUND('기준스탯 72종'!E53-S1143-AA1143,0))</x:f>
        <x:v>2</x:v>
      </x:c>
      <x:c r="L1143" s="2" t="n">
        <x:f>MAX(1,ROUND('기준스탯 72종'!F53-T1143-AB1143,0))</x:f>
        <x:v>3</x:v>
      </x:c>
      <x:c r="M1143" s="2" t="n">
        <x:f>MAX(1,ROUND('기준스탯 72종'!G53-U1143-AC1143,0))</x:f>
        <x:v>3</x:v>
      </x:c>
      <x:c r="N1143" s="2" t="n">
        <x:f>MAX(0,ROUND('기준스탯 72종'!H53-V1143-AD1143,0))</x:f>
        <x:v>1</x:v>
      </x:c>
      <x:c r="O1143" s="2" t="n">
        <x:f>MAX(0,ROUND('기준스탯 72종'!I53-W1143-AE1143,0))</x:f>
        <x:v>2</x:v>
      </x:c>
      <x:c r="P1143" s="2" t="n">
        <x:f>MAX(0,ROUND('기준스탯 72종'!J53-X1143-AF1143,0))</x:f>
        <x:v>2</x:v>
      </x:c>
      <x:c r="Q1143" s="2" t="n">
        <x:f>MAX(0,ROUND('기준스탯 72종'!K53-Y1143-AG1143,0))</x:f>
        <x:v>1</x:v>
      </x:c>
      <x:c r="R1143" s="15" t="n">
        <x:f>'기준스탯 72종'!D53*G1143</x:f>
        <x:v>3.3599999999999994</x:v>
      </x:c>
      <x:c r="S1143" s="15" t="n">
        <x:f>'기준스탯 72종'!E53*G1143</x:f>
        <x:v>3.9199999999999995</x:v>
      </x:c>
      <x:c r="T1143" s="15" t="n">
        <x:f>'기준스탯 72종'!F53*G1143</x:f>
        <x:v>5.039999999999999</x:v>
      </x:c>
      <x:c r="U1143" s="15" t="n">
        <x:f>'기준스탯 72종'!G53*G1143</x:f>
        <x:v>4.4799999999999995</x:v>
      </x:c>
      <x:c r="V1143" s="15" t="n">
        <x:f>'기준스탯 72종'!H53*G1143</x:f>
        <x:v>1.1199999999999999</x:v>
      </x:c>
      <x:c r="W1143" s="15" t="n">
        <x:f>'기준스탯 72종'!I53*G1143</x:f>
        <x:v>2.8</x:v>
      </x:c>
      <x:c r="X1143" s="15" t="n">
        <x:f>'기준스탯 72종'!J53*G1143</x:f>
        <x:v>3.9199999999999995</x:v>
      </x:c>
      <x:c r="Y1143" s="15" t="n">
        <x:f>'기준스탯 72종'!K53*G1143</x:f>
        <x:v>1.1199999999999999</x:v>
      </x:c>
      <x:c r="Z1143" s="15" t="n">
        <x:f>'기준스탯 72종'!D53*H1143</x:f>
        <x:v>0.7200000000000002</x:v>
      </x:c>
      <x:c r="AA1143" s="15" t="n">
        <x:f>'기준스탯 72종'!E53*H1143</x:f>
        <x:v>0.8400000000000002</x:v>
      </x:c>
      <x:c r="AB1143" s="15" t="n">
        <x:f>'기준스탯 72종'!F53*H1143</x:f>
        <x:v>1.0800000000000003</x:v>
      </x:c>
      <x:c r="AC1143" s="15" t="n">
        <x:f>'기준스탯 72종'!G53*H1143</x:f>
        <x:v>0.9600000000000002</x:v>
      </x:c>
      <x:c r="AD1143" s="15" t="n">
        <x:f>'기준스탯 72종'!H53*H1143</x:f>
        <x:v>0.24000000000000005</x:v>
      </x:c>
      <x:c r="AE1143" s="15" t="n">
        <x:f>'기준스탯 72종'!I53*H1143</x:f>
        <x:v>0.6000000000000001</x:v>
      </x:c>
      <x:c r="AF1143" s="15" t="n">
        <x:f>'기준스탯 72종'!J53*H1143</x:f>
        <x:v>0.8400000000000002</x:v>
      </x:c>
      <x:c r="AG1143" s="15" t="n">
        <x:f>'기준스탯 72종'!K53*H1143</x:f>
        <x:v>0.24000000000000005</x:v>
      </x:c>
    </x:row>
    <x:row r="1144" ht="28" customHeight="1">
      <x:c r="A1144" s="2" t="n">
        <x:v>1137</x:v>
      </x:c>
      <x:c r="B1144" s="2" t="n">
        <x:v>46</x:v>
      </x:c>
      <x:c r="C1144" s="2" t="str">
        <x:v>전갈자리</x:v>
      </x:c>
      <x:c r="D1144" s="2" t="str">
        <x:v>정령사</x:v>
      </x:c>
      <x:c r="E1144" s="2" t="n">
        <x:v>2</x:v>
      </x:c>
      <x:c r="F1144" s="2" t="n">
        <x:v>3</x:v>
      </x:c>
      <x:c r="G1144" s="14" t="n">
        <x:f>('레벨 계산식'!$E$4-E1144)*'레벨 계산식'!$B$5</x:f>
        <x:v>0.41999999999999993</x:v>
      </x:c>
      <x:c r="H1144" s="14" t="n">
        <x:f>('등급 계산식'!$E$4-F1144)*'등급 계산식'!$B$5</x:f>
        <x:v>0.12000000000000002</x:v>
      </x:c>
      <x:c r="I1144" s="14" t="n">
        <x:f>1-G1144-H1144</x:f>
        <x:v>0.4600000000000001</x:v>
      </x:c>
      <x:c r="J1144" s="2" t="n">
        <x:f>MAX(1,ROUND('기준스탯 72종'!D53-R1144-Z1144,0))</x:f>
        <x:v>3</x:v>
      </x:c>
      <x:c r="K1144" s="2" t="n">
        <x:f>MAX(1,ROUND('기준스탯 72종'!E53-S1144-AA1144,0))</x:f>
        <x:v>3</x:v>
      </x:c>
      <x:c r="L1144" s="2" t="n">
        <x:f>MAX(1,ROUND('기준스탯 72종'!F53-T1144-AB1144,0))</x:f>
        <x:v>4</x:v>
      </x:c>
      <x:c r="M1144" s="2" t="n">
        <x:f>MAX(1,ROUND('기준스탯 72종'!G53-U1144-AC1144,0))</x:f>
        <x:v>4</x:v>
      </x:c>
      <x:c r="N1144" s="2" t="n">
        <x:f>MAX(0,ROUND('기준스탯 72종'!H53-V1144-AD1144,0))</x:f>
        <x:v>1</x:v>
      </x:c>
      <x:c r="O1144" s="2" t="n">
        <x:f>MAX(0,ROUND('기준스탯 72종'!I53-W1144-AE1144,0))</x:f>
        <x:v>2</x:v>
      </x:c>
      <x:c r="P1144" s="2" t="n">
        <x:f>MAX(0,ROUND('기준스탯 72종'!J53-X1144-AF1144,0))</x:f>
        <x:v>3</x:v>
      </x:c>
      <x:c r="Q1144" s="2" t="n">
        <x:f>MAX(0,ROUND('기준스탯 72종'!K53-Y1144-AG1144,0))</x:f>
        <x:v>1</x:v>
      </x:c>
      <x:c r="R1144" s="15" t="n">
        <x:f>'기준스탯 72종'!D53*G1144</x:f>
        <x:v>2.5199999999999996</x:v>
      </x:c>
      <x:c r="S1144" s="15" t="n">
        <x:f>'기준스탯 72종'!E53*G1144</x:f>
        <x:v>2.9399999999999995</x:v>
      </x:c>
      <x:c r="T1144" s="15" t="n">
        <x:f>'기준스탯 72종'!F53*G1144</x:f>
        <x:v>3.7799999999999994</x:v>
      </x:c>
      <x:c r="U1144" s="15" t="n">
        <x:f>'기준스탯 72종'!G53*G1144</x:f>
        <x:v>3.3599999999999994</x:v>
      </x:c>
      <x:c r="V1144" s="15" t="n">
        <x:f>'기준스탯 72종'!H53*G1144</x:f>
        <x:v>0.8399999999999999</x:v>
      </x:c>
      <x:c r="W1144" s="15" t="n">
        <x:f>'기준스탯 72종'!I53*G1144</x:f>
        <x:v>2.0999999999999996</x:v>
      </x:c>
      <x:c r="X1144" s="15" t="n">
        <x:f>'기준스탯 72종'!J53*G1144</x:f>
        <x:v>2.9399999999999995</x:v>
      </x:c>
      <x:c r="Y1144" s="15" t="n">
        <x:f>'기준스탯 72종'!K53*G1144</x:f>
        <x:v>0.8399999999999999</x:v>
      </x:c>
      <x:c r="Z1144" s="15" t="n">
        <x:f>'기준스탯 72종'!D53*H1144</x:f>
        <x:v>0.7200000000000002</x:v>
      </x:c>
      <x:c r="AA1144" s="15" t="n">
        <x:f>'기준스탯 72종'!E53*H1144</x:f>
        <x:v>0.8400000000000002</x:v>
      </x:c>
      <x:c r="AB1144" s="15" t="n">
        <x:f>'기준스탯 72종'!F53*H1144</x:f>
        <x:v>1.0800000000000003</x:v>
      </x:c>
      <x:c r="AC1144" s="15" t="n">
        <x:f>'기준스탯 72종'!G53*H1144</x:f>
        <x:v>0.9600000000000002</x:v>
      </x:c>
      <x:c r="AD1144" s="15" t="n">
        <x:f>'기준스탯 72종'!H53*H1144</x:f>
        <x:v>0.24000000000000005</x:v>
      </x:c>
      <x:c r="AE1144" s="15" t="n">
        <x:f>'기준스탯 72종'!I53*H1144</x:f>
        <x:v>0.6000000000000001</x:v>
      </x:c>
      <x:c r="AF1144" s="15" t="n">
        <x:f>'기준스탯 72종'!J53*H1144</x:f>
        <x:v>0.8400000000000002</x:v>
      </x:c>
      <x:c r="AG1144" s="15" t="n">
        <x:f>'기준스탯 72종'!K53*H1144</x:f>
        <x:v>0.24000000000000005</x:v>
      </x:c>
    </x:row>
    <x:row r="1145" ht="28" customHeight="1">
      <x:c r="A1145" s="2" t="n">
        <x:v>1138</x:v>
      </x:c>
      <x:c r="B1145" s="2" t="n">
        <x:v>46</x:v>
      </x:c>
      <x:c r="C1145" s="2" t="str">
        <x:v>전갈자리</x:v>
      </x:c>
      <x:c r="D1145" s="2" t="str">
        <x:v>정령사</x:v>
      </x:c>
      <x:c r="E1145" s="2" t="n">
        <x:v>3</x:v>
      </x:c>
      <x:c r="F1145" s="2" t="n">
        <x:v>3</x:v>
      </x:c>
      <x:c r="G1145" s="14" t="n">
        <x:f>('레벨 계산식'!$E$4-E1145)*'레벨 계산식'!$B$5</x:f>
        <x:v>0.27999999999999997</x:v>
      </x:c>
      <x:c r="H1145" s="14" t="n">
        <x:f>('등급 계산식'!$E$4-F1145)*'등급 계산식'!$B$5</x:f>
        <x:v>0.12000000000000002</x:v>
      </x:c>
      <x:c r="I1145" s="14" t="n">
        <x:f>1-G1145-H1145</x:f>
        <x:v>0.6</x:v>
      </x:c>
      <x:c r="J1145" s="2" t="n">
        <x:f>MAX(1,ROUND('기준스탯 72종'!D53-R1145-Z1145,0))</x:f>
        <x:v>4</x:v>
      </x:c>
      <x:c r="K1145" s="2" t="n">
        <x:f>MAX(1,ROUND('기준스탯 72종'!E53-S1145-AA1145,0))</x:f>
        <x:v>4</x:v>
      </x:c>
      <x:c r="L1145" s="2" t="n">
        <x:f>MAX(1,ROUND('기준스탯 72종'!F53-T1145-AB1145,0))</x:f>
        <x:v>5</x:v>
      </x:c>
      <x:c r="M1145" s="2" t="n">
        <x:f>MAX(1,ROUND('기준스탯 72종'!G53-U1145-AC1145,0))</x:f>
        <x:v>5</x:v>
      </x:c>
      <x:c r="N1145" s="2" t="n">
        <x:f>MAX(0,ROUND('기준스탯 72종'!H53-V1145-AD1145,0))</x:f>
        <x:v>1</x:v>
      </x:c>
      <x:c r="O1145" s="2" t="n">
        <x:f>MAX(0,ROUND('기준스탯 72종'!I53-W1145-AE1145,0))</x:f>
        <x:v>3</x:v>
      </x:c>
      <x:c r="P1145" s="2" t="n">
        <x:f>MAX(0,ROUND('기준스탯 72종'!J53-X1145-AF1145,0))</x:f>
        <x:v>4</x:v>
      </x:c>
      <x:c r="Q1145" s="2" t="n">
        <x:f>MAX(0,ROUND('기준스탯 72종'!K53-Y1145-AG1145,0))</x:f>
        <x:v>1</x:v>
      </x:c>
      <x:c r="R1145" s="15" t="n">
        <x:f>'기준스탯 72종'!D53*G1145</x:f>
        <x:v>1.6799999999999997</x:v>
      </x:c>
      <x:c r="S1145" s="15" t="n">
        <x:f>'기준스탯 72종'!E53*G1145</x:f>
        <x:v>1.9599999999999997</x:v>
      </x:c>
      <x:c r="T1145" s="15" t="n">
        <x:f>'기준스탯 72종'!F53*G1145</x:f>
        <x:v>2.5199999999999996</x:v>
      </x:c>
      <x:c r="U1145" s="15" t="n">
        <x:f>'기준스탯 72종'!G53*G1145</x:f>
        <x:v>2.2399999999999998</x:v>
      </x:c>
      <x:c r="V1145" s="15" t="n">
        <x:f>'기준스탯 72종'!H53*G1145</x:f>
        <x:v>0.5599999999999999</x:v>
      </x:c>
      <x:c r="W1145" s="15" t="n">
        <x:f>'기준스탯 72종'!I53*G1145</x:f>
        <x:v>1.4</x:v>
      </x:c>
      <x:c r="X1145" s="15" t="n">
        <x:f>'기준스탯 72종'!J53*G1145</x:f>
        <x:v>1.9599999999999997</x:v>
      </x:c>
      <x:c r="Y1145" s="15" t="n">
        <x:f>'기준스탯 72종'!K53*G1145</x:f>
        <x:v>0.5599999999999999</x:v>
      </x:c>
      <x:c r="Z1145" s="15" t="n">
        <x:f>'기준스탯 72종'!D53*H1145</x:f>
        <x:v>0.7200000000000002</x:v>
      </x:c>
      <x:c r="AA1145" s="15" t="n">
        <x:f>'기준스탯 72종'!E53*H1145</x:f>
        <x:v>0.8400000000000002</x:v>
      </x:c>
      <x:c r="AB1145" s="15" t="n">
        <x:f>'기준스탯 72종'!F53*H1145</x:f>
        <x:v>1.0800000000000003</x:v>
      </x:c>
      <x:c r="AC1145" s="15" t="n">
        <x:f>'기준스탯 72종'!G53*H1145</x:f>
        <x:v>0.9600000000000002</x:v>
      </x:c>
      <x:c r="AD1145" s="15" t="n">
        <x:f>'기준스탯 72종'!H53*H1145</x:f>
        <x:v>0.24000000000000005</x:v>
      </x:c>
      <x:c r="AE1145" s="15" t="n">
        <x:f>'기준스탯 72종'!I53*H1145</x:f>
        <x:v>0.6000000000000001</x:v>
      </x:c>
      <x:c r="AF1145" s="15" t="n">
        <x:f>'기준스탯 72종'!J53*H1145</x:f>
        <x:v>0.8400000000000002</x:v>
      </x:c>
      <x:c r="AG1145" s="15" t="n">
        <x:f>'기준스탯 72종'!K53*H1145</x:f>
        <x:v>0.24000000000000005</x:v>
      </x:c>
    </x:row>
    <x:row r="1146" ht="28" customHeight="1">
      <x:c r="A1146" s="2" t="n">
        <x:v>1139</x:v>
      </x:c>
      <x:c r="B1146" s="2" t="n">
        <x:v>46</x:v>
      </x:c>
      <x:c r="C1146" s="2" t="str">
        <x:v>전갈자리</x:v>
      </x:c>
      <x:c r="D1146" s="2" t="str">
        <x:v>정령사</x:v>
      </x:c>
      <x:c r="E1146" s="2" t="n">
        <x:v>4</x:v>
      </x:c>
      <x:c r="F1146" s="2" t="n">
        <x:v>3</x:v>
      </x:c>
      <x:c r="G1146" s="14" t="n">
        <x:f>('레벨 계산식'!$E$4-E1146)*'레벨 계산식'!$B$5</x:f>
        <x:v>0.13999999999999999</x:v>
      </x:c>
      <x:c r="H1146" s="14" t="n">
        <x:f>('등급 계산식'!$E$4-F1146)*'등급 계산식'!$B$5</x:f>
        <x:v>0.12000000000000002</x:v>
      </x:c>
      <x:c r="I1146" s="14" t="n">
        <x:f>1-G1146-H1146</x:f>
        <x:v>0.74</x:v>
      </x:c>
      <x:c r="J1146" s="2" t="n">
        <x:f>MAX(1,ROUND('기준스탯 72종'!D53-R1146-Z1146,0))</x:f>
        <x:v>4</x:v>
      </x:c>
      <x:c r="K1146" s="2" t="n">
        <x:f>MAX(1,ROUND('기준스탯 72종'!E53-S1146-AA1146,0))</x:f>
        <x:v>5</x:v>
      </x:c>
      <x:c r="L1146" s="2" t="n">
        <x:f>MAX(1,ROUND('기준스탯 72종'!F53-T1146-AB1146,0))</x:f>
        <x:v>7</x:v>
      </x:c>
      <x:c r="M1146" s="2" t="n">
        <x:f>MAX(1,ROUND('기준스탯 72종'!G53-U1146-AC1146,0))</x:f>
        <x:v>6</x:v>
      </x:c>
      <x:c r="N1146" s="2" t="n">
        <x:f>MAX(0,ROUND('기준스탯 72종'!H53-V1146-AD1146,0))</x:f>
        <x:v>1</x:v>
      </x:c>
      <x:c r="O1146" s="2" t="n">
        <x:f>MAX(0,ROUND('기준스탯 72종'!I53-W1146-AE1146,0))</x:f>
        <x:v>4</x:v>
      </x:c>
      <x:c r="P1146" s="2" t="n">
        <x:f>MAX(0,ROUND('기준스탯 72종'!J53-X1146-AF1146,0))</x:f>
        <x:v>5</x:v>
      </x:c>
      <x:c r="Q1146" s="2" t="n">
        <x:f>MAX(0,ROUND('기준스탯 72종'!K53-Y1146-AG1146,0))</x:f>
        <x:v>1</x:v>
      </x:c>
      <x:c r="R1146" s="15" t="n">
        <x:f>'기준스탯 72종'!D53*G1146</x:f>
        <x:v>0.8399999999999999</x:v>
      </x:c>
      <x:c r="S1146" s="15" t="n">
        <x:f>'기준스탯 72종'!E53*G1146</x:f>
        <x:v>0.9799999999999999</x:v>
      </x:c>
      <x:c r="T1146" s="15" t="n">
        <x:f>'기준스탯 72종'!F53*G1146</x:f>
        <x:v>1.2599999999999998</x:v>
      </x:c>
      <x:c r="U1146" s="15" t="n">
        <x:f>'기준스탯 72종'!G53*G1146</x:f>
        <x:v>1.1199999999999999</x:v>
      </x:c>
      <x:c r="V1146" s="15" t="n">
        <x:f>'기준스탯 72종'!H53*G1146</x:f>
        <x:v>0.27999999999999997</x:v>
      </x:c>
      <x:c r="W1146" s="15" t="n">
        <x:f>'기준스탯 72종'!I53*G1146</x:f>
        <x:v>0.7</x:v>
      </x:c>
      <x:c r="X1146" s="15" t="n">
        <x:f>'기준스탯 72종'!J53*G1146</x:f>
        <x:v>0.9799999999999999</x:v>
      </x:c>
      <x:c r="Y1146" s="15" t="n">
        <x:f>'기준스탯 72종'!K53*G1146</x:f>
        <x:v>0.27999999999999997</x:v>
      </x:c>
      <x:c r="Z1146" s="15" t="n">
        <x:f>'기준스탯 72종'!D53*H1146</x:f>
        <x:v>0.7200000000000002</x:v>
      </x:c>
      <x:c r="AA1146" s="15" t="n">
        <x:f>'기준스탯 72종'!E53*H1146</x:f>
        <x:v>0.8400000000000002</x:v>
      </x:c>
      <x:c r="AB1146" s="15" t="n">
        <x:f>'기준스탯 72종'!F53*H1146</x:f>
        <x:v>1.0800000000000003</x:v>
      </x:c>
      <x:c r="AC1146" s="15" t="n">
        <x:f>'기준스탯 72종'!G53*H1146</x:f>
        <x:v>0.9600000000000002</x:v>
      </x:c>
      <x:c r="AD1146" s="15" t="n">
        <x:f>'기준스탯 72종'!H53*H1146</x:f>
        <x:v>0.24000000000000005</x:v>
      </x:c>
      <x:c r="AE1146" s="15" t="n">
        <x:f>'기준스탯 72종'!I53*H1146</x:f>
        <x:v>0.6000000000000001</x:v>
      </x:c>
      <x:c r="AF1146" s="15" t="n">
        <x:f>'기준스탯 72종'!J53*H1146</x:f>
        <x:v>0.8400000000000002</x:v>
      </x:c>
      <x:c r="AG1146" s="15" t="n">
        <x:f>'기준스탯 72종'!K53*H1146</x:f>
        <x:v>0.24000000000000005</x:v>
      </x:c>
    </x:row>
    <x:row r="1147" ht="28" customHeight="1">
      <x:c r="A1147" s="2" t="n">
        <x:v>1140</x:v>
      </x:c>
      <x:c r="B1147" s="2" t="n">
        <x:v>46</x:v>
      </x:c>
      <x:c r="C1147" s="2" t="str">
        <x:v>전갈자리</x:v>
      </x:c>
      <x:c r="D1147" s="2" t="str">
        <x:v>정령사</x:v>
      </x:c>
      <x:c r="E1147" s="2" t="n">
        <x:v>5</x:v>
      </x:c>
      <x:c r="F1147" s="2" t="n">
        <x:v>3</x:v>
      </x:c>
      <x:c r="G1147" s="14" t="n">
        <x:f>('레벨 계산식'!$E$4-E1147)*'레벨 계산식'!$B$5</x:f>
        <x:v>0</x:v>
      </x:c>
      <x:c r="H1147" s="14" t="n">
        <x:f>('등급 계산식'!$E$4-F1147)*'등급 계산식'!$B$5</x:f>
        <x:v>0.12000000000000002</x:v>
      </x:c>
      <x:c r="I1147" s="14" t="n">
        <x:f>1-G1147-H1147</x:f>
        <x:v>0.88</x:v>
      </x:c>
      <x:c r="J1147" s="2" t="n">
        <x:f>MAX(1,ROUND('기준스탯 72종'!D53-R1147-Z1147,0))</x:f>
        <x:v>5</x:v>
      </x:c>
      <x:c r="K1147" s="2" t="n">
        <x:f>MAX(1,ROUND('기준스탯 72종'!E53-S1147-AA1147,0))</x:f>
        <x:v>6</x:v>
      </x:c>
      <x:c r="L1147" s="2" t="n">
        <x:f>MAX(1,ROUND('기준스탯 72종'!F53-T1147-AB1147,0))</x:f>
        <x:v>8</x:v>
      </x:c>
      <x:c r="M1147" s="2" t="n">
        <x:f>MAX(1,ROUND('기준스탯 72종'!G53-U1147-AC1147,0))</x:f>
        <x:v>7</x:v>
      </x:c>
      <x:c r="N1147" s="2" t="n">
        <x:f>MAX(0,ROUND('기준스탯 72종'!H53-V1147-AD1147,0))</x:f>
        <x:v>2</x:v>
      </x:c>
      <x:c r="O1147" s="2" t="n">
        <x:f>MAX(0,ROUND('기준스탯 72종'!I53-W1147-AE1147,0))</x:f>
        <x:v>4</x:v>
      </x:c>
      <x:c r="P1147" s="2" t="n">
        <x:f>MAX(0,ROUND('기준스탯 72종'!J53-X1147-AF1147,0))</x:f>
        <x:v>6</x:v>
      </x:c>
      <x:c r="Q1147" s="2" t="n">
        <x:f>MAX(0,ROUND('기준스탯 72종'!K53-Y1147-AG1147,0))</x:f>
        <x:v>2</x:v>
      </x:c>
      <x:c r="R1147" s="15" t="n">
        <x:f>'기준스탯 72종'!D53*G1147</x:f>
        <x:v>0</x:v>
      </x:c>
      <x:c r="S1147" s="15" t="n">
        <x:f>'기준스탯 72종'!E53*G1147</x:f>
        <x:v>0</x:v>
      </x:c>
      <x:c r="T1147" s="15" t="n">
        <x:f>'기준스탯 72종'!F53*G1147</x:f>
        <x:v>0</x:v>
      </x:c>
      <x:c r="U1147" s="15" t="n">
        <x:f>'기준스탯 72종'!G53*G1147</x:f>
        <x:v>0</x:v>
      </x:c>
      <x:c r="V1147" s="15" t="n">
        <x:f>'기준스탯 72종'!H53*G1147</x:f>
        <x:v>0</x:v>
      </x:c>
      <x:c r="W1147" s="15" t="n">
        <x:f>'기준스탯 72종'!I53*G1147</x:f>
        <x:v>0</x:v>
      </x:c>
      <x:c r="X1147" s="15" t="n">
        <x:f>'기준스탯 72종'!J53*G1147</x:f>
        <x:v>0</x:v>
      </x:c>
      <x:c r="Y1147" s="15" t="n">
        <x:f>'기준스탯 72종'!K53*G1147</x:f>
        <x:v>0</x:v>
      </x:c>
      <x:c r="Z1147" s="15" t="n">
        <x:f>'기준스탯 72종'!D53*H1147</x:f>
        <x:v>0.7200000000000002</x:v>
      </x:c>
      <x:c r="AA1147" s="15" t="n">
        <x:f>'기준스탯 72종'!E53*H1147</x:f>
        <x:v>0.8400000000000002</x:v>
      </x:c>
      <x:c r="AB1147" s="15" t="n">
        <x:f>'기준스탯 72종'!F53*H1147</x:f>
        <x:v>1.0800000000000003</x:v>
      </x:c>
      <x:c r="AC1147" s="15" t="n">
        <x:f>'기준스탯 72종'!G53*H1147</x:f>
        <x:v>0.9600000000000002</x:v>
      </x:c>
      <x:c r="AD1147" s="15" t="n">
        <x:f>'기준스탯 72종'!H53*H1147</x:f>
        <x:v>0.24000000000000005</x:v>
      </x:c>
      <x:c r="AE1147" s="15" t="n">
        <x:f>'기준스탯 72종'!I53*H1147</x:f>
        <x:v>0.6000000000000001</x:v>
      </x:c>
      <x:c r="AF1147" s="15" t="n">
        <x:f>'기준스탯 72종'!J53*H1147</x:f>
        <x:v>0.8400000000000002</x:v>
      </x:c>
      <x:c r="AG1147" s="15" t="n">
        <x:f>'기준스탯 72종'!K53*H1147</x:f>
        <x:v>0.24000000000000005</x:v>
      </x:c>
    </x:row>
    <x:row r="1148" ht="28" customHeight="1">
      <x:c r="A1148" s="2" t="n">
        <x:v>1141</x:v>
      </x:c>
      <x:c r="B1148" s="2" t="n">
        <x:v>46</x:v>
      </x:c>
      <x:c r="C1148" s="2" t="str">
        <x:v>전갈자리</x:v>
      </x:c>
      <x:c r="D1148" s="2" t="str">
        <x:v>정령사</x:v>
      </x:c>
      <x:c r="E1148" s="2" t="n">
        <x:v>1</x:v>
      </x:c>
      <x:c r="F1148" s="2" t="n">
        <x:v>4</x:v>
      </x:c>
      <x:c r="G1148" s="14" t="n">
        <x:f>('레벨 계산식'!$E$4-E1148)*'레벨 계산식'!$B$5</x:f>
        <x:v>0.5599999999999999</x:v>
      </x:c>
      <x:c r="H1148" s="14" t="n">
        <x:f>('등급 계산식'!$E$4-F1148)*'등급 계산식'!$B$5</x:f>
        <x:v>0.06000000000000001</x:v>
      </x:c>
      <x:c r="I1148" s="14" t="n">
        <x:f>1-G1148-H1148</x:f>
        <x:v>0.38000000000000006</x:v>
      </x:c>
      <x:c r="J1148" s="2" t="n">
        <x:f>MAX(1,ROUND('기준스탯 72종'!D53-R1148-Z1148,0))</x:f>
        <x:v>2</x:v>
      </x:c>
      <x:c r="K1148" s="2" t="n">
        <x:f>MAX(1,ROUND('기준스탯 72종'!E53-S1148-AA1148,0))</x:f>
        <x:v>3</x:v>
      </x:c>
      <x:c r="L1148" s="2" t="n">
        <x:f>MAX(1,ROUND('기준스탯 72종'!F53-T1148-AB1148,0))</x:f>
        <x:v>3</x:v>
      </x:c>
      <x:c r="M1148" s="2" t="n">
        <x:f>MAX(1,ROUND('기준스탯 72종'!G53-U1148-AC1148,0))</x:f>
        <x:v>3</x:v>
      </x:c>
      <x:c r="N1148" s="2" t="n">
        <x:f>MAX(0,ROUND('기준스탯 72종'!H53-V1148-AD1148,0))</x:f>
        <x:v>1</x:v>
      </x:c>
      <x:c r="O1148" s="2" t="n">
        <x:f>MAX(0,ROUND('기준스탯 72종'!I53-W1148-AE1148,0))</x:f>
        <x:v>2</x:v>
      </x:c>
      <x:c r="P1148" s="2" t="n">
        <x:f>MAX(0,ROUND('기준스탯 72종'!J53-X1148-AF1148,0))</x:f>
        <x:v>3</x:v>
      </x:c>
      <x:c r="Q1148" s="2" t="n">
        <x:f>MAX(0,ROUND('기준스탯 72종'!K53-Y1148-AG1148,0))</x:f>
        <x:v>1</x:v>
      </x:c>
      <x:c r="R1148" s="15" t="n">
        <x:f>'기준스탯 72종'!D53*G1148</x:f>
        <x:v>3.3599999999999994</x:v>
      </x:c>
      <x:c r="S1148" s="15" t="n">
        <x:f>'기준스탯 72종'!E53*G1148</x:f>
        <x:v>3.9199999999999995</x:v>
      </x:c>
      <x:c r="T1148" s="15" t="n">
        <x:f>'기준스탯 72종'!F53*G1148</x:f>
        <x:v>5.039999999999999</x:v>
      </x:c>
      <x:c r="U1148" s="15" t="n">
        <x:f>'기준스탯 72종'!G53*G1148</x:f>
        <x:v>4.4799999999999995</x:v>
      </x:c>
      <x:c r="V1148" s="15" t="n">
        <x:f>'기준스탯 72종'!H53*G1148</x:f>
        <x:v>1.1199999999999999</x:v>
      </x:c>
      <x:c r="W1148" s="15" t="n">
        <x:f>'기준스탯 72종'!I53*G1148</x:f>
        <x:v>2.8</x:v>
      </x:c>
      <x:c r="X1148" s="15" t="n">
        <x:f>'기준스탯 72종'!J53*G1148</x:f>
        <x:v>3.9199999999999995</x:v>
      </x:c>
      <x:c r="Y1148" s="15" t="n">
        <x:f>'기준스탯 72종'!K53*G1148</x:f>
        <x:v>1.1199999999999999</x:v>
      </x:c>
      <x:c r="Z1148" s="15" t="n">
        <x:f>'기준스탯 72종'!D53*H1148</x:f>
        <x:v>0.3600000000000001</x:v>
      </x:c>
      <x:c r="AA1148" s="15" t="n">
        <x:f>'기준스탯 72종'!E53*H1148</x:f>
        <x:v>0.4200000000000001</x:v>
      </x:c>
      <x:c r="AB1148" s="15" t="n">
        <x:f>'기준스탯 72종'!F53*H1148</x:f>
        <x:v>0.5400000000000001</x:v>
      </x:c>
      <x:c r="AC1148" s="15" t="n">
        <x:f>'기준스탯 72종'!G53*H1148</x:f>
        <x:v>0.4800000000000001</x:v>
      </x:c>
      <x:c r="AD1148" s="15" t="n">
        <x:f>'기준스탯 72종'!H53*H1148</x:f>
        <x:v>0.12000000000000002</x:v>
      </x:c>
      <x:c r="AE1148" s="15" t="n">
        <x:f>'기준스탯 72종'!I53*H1148</x:f>
        <x:v>0.30000000000000004</x:v>
      </x:c>
      <x:c r="AF1148" s="15" t="n">
        <x:f>'기준스탯 72종'!J53*H1148</x:f>
        <x:v>0.4200000000000001</x:v>
      </x:c>
      <x:c r="AG1148" s="15" t="n">
        <x:f>'기준스탯 72종'!K53*H1148</x:f>
        <x:v>0.12000000000000002</x:v>
      </x:c>
    </x:row>
    <x:row r="1149" ht="28" customHeight="1">
      <x:c r="A1149" s="2" t="n">
        <x:v>1142</x:v>
      </x:c>
      <x:c r="B1149" s="2" t="n">
        <x:v>46</x:v>
      </x:c>
      <x:c r="C1149" s="2" t="str">
        <x:v>전갈자리</x:v>
      </x:c>
      <x:c r="D1149" s="2" t="str">
        <x:v>정령사</x:v>
      </x:c>
      <x:c r="E1149" s="2" t="n">
        <x:v>2</x:v>
      </x:c>
      <x:c r="F1149" s="2" t="n">
        <x:v>4</x:v>
      </x:c>
      <x:c r="G1149" s="14" t="n">
        <x:f>('레벨 계산식'!$E$4-E1149)*'레벨 계산식'!$B$5</x:f>
        <x:v>0.41999999999999993</x:v>
      </x:c>
      <x:c r="H1149" s="14" t="n">
        <x:f>('등급 계산식'!$E$4-F1149)*'등급 계산식'!$B$5</x:f>
        <x:v>0.06000000000000001</x:v>
      </x:c>
      <x:c r="I1149" s="14" t="n">
        <x:f>1-G1149-H1149</x:f>
        <x:v>0.52</x:v>
      </x:c>
      <x:c r="J1149" s="2" t="n">
        <x:f>MAX(1,ROUND('기준스탯 72종'!D53-R1149-Z1149,0))</x:f>
        <x:v>3</x:v>
      </x:c>
      <x:c r="K1149" s="2" t="n">
        <x:f>MAX(1,ROUND('기준스탯 72종'!E53-S1149-AA1149,0))</x:f>
        <x:v>4</x:v>
      </x:c>
      <x:c r="L1149" s="2" t="n">
        <x:f>MAX(1,ROUND('기준스탯 72종'!F53-T1149-AB1149,0))</x:f>
        <x:v>5</x:v>
      </x:c>
      <x:c r="M1149" s="2" t="n">
        <x:f>MAX(1,ROUND('기준스탯 72종'!G53-U1149-AC1149,0))</x:f>
        <x:v>4</x:v>
      </x:c>
      <x:c r="N1149" s="2" t="n">
        <x:f>MAX(0,ROUND('기준스탯 72종'!H53-V1149-AD1149,0))</x:f>
        <x:v>1</x:v>
      </x:c>
      <x:c r="O1149" s="2" t="n">
        <x:f>MAX(0,ROUND('기준스탯 72종'!I53-W1149-AE1149,0))</x:f>
        <x:v>3</x:v>
      </x:c>
      <x:c r="P1149" s="2" t="n">
        <x:f>MAX(0,ROUND('기준스탯 72종'!J53-X1149-AF1149,0))</x:f>
        <x:v>4</x:v>
      </x:c>
      <x:c r="Q1149" s="2" t="n">
        <x:f>MAX(0,ROUND('기준스탯 72종'!K53-Y1149-AG1149,0))</x:f>
        <x:v>1</x:v>
      </x:c>
      <x:c r="R1149" s="15" t="n">
        <x:f>'기준스탯 72종'!D53*G1149</x:f>
        <x:v>2.5199999999999996</x:v>
      </x:c>
      <x:c r="S1149" s="15" t="n">
        <x:f>'기준스탯 72종'!E53*G1149</x:f>
        <x:v>2.9399999999999995</x:v>
      </x:c>
      <x:c r="T1149" s="15" t="n">
        <x:f>'기준스탯 72종'!F53*G1149</x:f>
        <x:v>3.7799999999999994</x:v>
      </x:c>
      <x:c r="U1149" s="15" t="n">
        <x:f>'기준스탯 72종'!G53*G1149</x:f>
        <x:v>3.3599999999999994</x:v>
      </x:c>
      <x:c r="V1149" s="15" t="n">
        <x:f>'기준스탯 72종'!H53*G1149</x:f>
        <x:v>0.8399999999999999</x:v>
      </x:c>
      <x:c r="W1149" s="15" t="n">
        <x:f>'기준스탯 72종'!I53*G1149</x:f>
        <x:v>2.0999999999999996</x:v>
      </x:c>
      <x:c r="X1149" s="15" t="n">
        <x:f>'기준스탯 72종'!J53*G1149</x:f>
        <x:v>2.9399999999999995</x:v>
      </x:c>
      <x:c r="Y1149" s="15" t="n">
        <x:f>'기준스탯 72종'!K53*G1149</x:f>
        <x:v>0.8399999999999999</x:v>
      </x:c>
      <x:c r="Z1149" s="15" t="n">
        <x:f>'기준스탯 72종'!D53*H1149</x:f>
        <x:v>0.3600000000000001</x:v>
      </x:c>
      <x:c r="AA1149" s="15" t="n">
        <x:f>'기준스탯 72종'!E53*H1149</x:f>
        <x:v>0.4200000000000001</x:v>
      </x:c>
      <x:c r="AB1149" s="15" t="n">
        <x:f>'기준스탯 72종'!F53*H1149</x:f>
        <x:v>0.5400000000000001</x:v>
      </x:c>
      <x:c r="AC1149" s="15" t="n">
        <x:f>'기준스탯 72종'!G53*H1149</x:f>
        <x:v>0.4800000000000001</x:v>
      </x:c>
      <x:c r="AD1149" s="15" t="n">
        <x:f>'기준스탯 72종'!H53*H1149</x:f>
        <x:v>0.12000000000000002</x:v>
      </x:c>
      <x:c r="AE1149" s="15" t="n">
        <x:f>'기준스탯 72종'!I53*H1149</x:f>
        <x:v>0.30000000000000004</x:v>
      </x:c>
      <x:c r="AF1149" s="15" t="n">
        <x:f>'기준스탯 72종'!J53*H1149</x:f>
        <x:v>0.4200000000000001</x:v>
      </x:c>
      <x:c r="AG1149" s="15" t="n">
        <x:f>'기준스탯 72종'!K53*H1149</x:f>
        <x:v>0.12000000000000002</x:v>
      </x:c>
    </x:row>
    <x:row r="1150" ht="28" customHeight="1">
      <x:c r="A1150" s="2" t="n">
        <x:v>1143</x:v>
      </x:c>
      <x:c r="B1150" s="2" t="n">
        <x:v>46</x:v>
      </x:c>
      <x:c r="C1150" s="2" t="str">
        <x:v>전갈자리</x:v>
      </x:c>
      <x:c r="D1150" s="2" t="str">
        <x:v>정령사</x:v>
      </x:c>
      <x:c r="E1150" s="2" t="n">
        <x:v>3</x:v>
      </x:c>
      <x:c r="F1150" s="2" t="n">
        <x:v>4</x:v>
      </x:c>
      <x:c r="G1150" s="14" t="n">
        <x:f>('레벨 계산식'!$E$4-E1150)*'레벨 계산식'!$B$5</x:f>
        <x:v>0.27999999999999997</x:v>
      </x:c>
      <x:c r="H1150" s="14" t="n">
        <x:f>('등급 계산식'!$E$4-F1150)*'등급 계산식'!$B$5</x:f>
        <x:v>0.06000000000000001</x:v>
      </x:c>
      <x:c r="I1150" s="14" t="n">
        <x:f>1-G1150-H1150</x:f>
        <x:v>0.6599999999999999</x:v>
      </x:c>
      <x:c r="J1150" s="2" t="n">
        <x:f>MAX(1,ROUND('기준스탯 72종'!D53-R1150-Z1150,0))</x:f>
        <x:v>4</x:v>
      </x:c>
      <x:c r="K1150" s="2" t="n">
        <x:f>MAX(1,ROUND('기준스탯 72종'!E53-S1150-AA1150,0))</x:f>
        <x:v>5</x:v>
      </x:c>
      <x:c r="L1150" s="2" t="n">
        <x:f>MAX(1,ROUND('기준스탯 72종'!F53-T1150-AB1150,0))</x:f>
        <x:v>6</x:v>
      </x:c>
      <x:c r="M1150" s="2" t="n">
        <x:f>MAX(1,ROUND('기준스탯 72종'!G53-U1150-AC1150,0))</x:f>
        <x:v>5</x:v>
      </x:c>
      <x:c r="N1150" s="2" t="n">
        <x:f>MAX(0,ROUND('기준스탯 72종'!H53-V1150-AD1150,0))</x:f>
        <x:v>1</x:v>
      </x:c>
      <x:c r="O1150" s="2" t="n">
        <x:f>MAX(0,ROUND('기준스탯 72종'!I53-W1150-AE1150,0))</x:f>
        <x:v>3</x:v>
      </x:c>
      <x:c r="P1150" s="2" t="n">
        <x:f>MAX(0,ROUND('기준스탯 72종'!J53-X1150-AF1150,0))</x:f>
        <x:v>5</x:v>
      </x:c>
      <x:c r="Q1150" s="2" t="n">
        <x:f>MAX(0,ROUND('기준스탯 72종'!K53-Y1150-AG1150,0))</x:f>
        <x:v>1</x:v>
      </x:c>
      <x:c r="R1150" s="15" t="n">
        <x:f>'기준스탯 72종'!D53*G1150</x:f>
        <x:v>1.6799999999999997</x:v>
      </x:c>
      <x:c r="S1150" s="15" t="n">
        <x:f>'기준스탯 72종'!E53*G1150</x:f>
        <x:v>1.9599999999999997</x:v>
      </x:c>
      <x:c r="T1150" s="15" t="n">
        <x:f>'기준스탯 72종'!F53*G1150</x:f>
        <x:v>2.5199999999999996</x:v>
      </x:c>
      <x:c r="U1150" s="15" t="n">
        <x:f>'기준스탯 72종'!G53*G1150</x:f>
        <x:v>2.2399999999999998</x:v>
      </x:c>
      <x:c r="V1150" s="15" t="n">
        <x:f>'기준스탯 72종'!H53*G1150</x:f>
        <x:v>0.5599999999999999</x:v>
      </x:c>
      <x:c r="W1150" s="15" t="n">
        <x:f>'기준스탯 72종'!I53*G1150</x:f>
        <x:v>1.4</x:v>
      </x:c>
      <x:c r="X1150" s="15" t="n">
        <x:f>'기준스탯 72종'!J53*G1150</x:f>
        <x:v>1.9599999999999997</x:v>
      </x:c>
      <x:c r="Y1150" s="15" t="n">
        <x:f>'기준스탯 72종'!K53*G1150</x:f>
        <x:v>0.5599999999999999</x:v>
      </x:c>
      <x:c r="Z1150" s="15" t="n">
        <x:f>'기준스탯 72종'!D53*H1150</x:f>
        <x:v>0.3600000000000001</x:v>
      </x:c>
      <x:c r="AA1150" s="15" t="n">
        <x:f>'기준스탯 72종'!E53*H1150</x:f>
        <x:v>0.4200000000000001</x:v>
      </x:c>
      <x:c r="AB1150" s="15" t="n">
        <x:f>'기준스탯 72종'!F53*H1150</x:f>
        <x:v>0.5400000000000001</x:v>
      </x:c>
      <x:c r="AC1150" s="15" t="n">
        <x:f>'기준스탯 72종'!G53*H1150</x:f>
        <x:v>0.4800000000000001</x:v>
      </x:c>
      <x:c r="AD1150" s="15" t="n">
        <x:f>'기준스탯 72종'!H53*H1150</x:f>
        <x:v>0.12000000000000002</x:v>
      </x:c>
      <x:c r="AE1150" s="15" t="n">
        <x:f>'기준스탯 72종'!I53*H1150</x:f>
        <x:v>0.30000000000000004</x:v>
      </x:c>
      <x:c r="AF1150" s="15" t="n">
        <x:f>'기준스탯 72종'!J53*H1150</x:f>
        <x:v>0.4200000000000001</x:v>
      </x:c>
      <x:c r="AG1150" s="15" t="n">
        <x:f>'기준스탯 72종'!K53*H1150</x:f>
        <x:v>0.12000000000000002</x:v>
      </x:c>
    </x:row>
    <x:row r="1151" ht="28" customHeight="1">
      <x:c r="A1151" s="2" t="n">
        <x:v>1144</x:v>
      </x:c>
      <x:c r="B1151" s="2" t="n">
        <x:v>46</x:v>
      </x:c>
      <x:c r="C1151" s="2" t="str">
        <x:v>전갈자리</x:v>
      </x:c>
      <x:c r="D1151" s="2" t="str">
        <x:v>정령사</x:v>
      </x:c>
      <x:c r="E1151" s="2" t="n">
        <x:v>4</x:v>
      </x:c>
      <x:c r="F1151" s="2" t="n">
        <x:v>4</x:v>
      </x:c>
      <x:c r="G1151" s="14" t="n">
        <x:f>('레벨 계산식'!$E$4-E1151)*'레벨 계산식'!$B$5</x:f>
        <x:v>0.13999999999999999</x:v>
      </x:c>
      <x:c r="H1151" s="14" t="n">
        <x:f>('등급 계산식'!$E$4-F1151)*'등급 계산식'!$B$5</x:f>
        <x:v>0.06000000000000001</x:v>
      </x:c>
      <x:c r="I1151" s="14" t="n">
        <x:f>1-G1151-H1151</x:f>
        <x:v>0.7999999999999999</x:v>
      </x:c>
      <x:c r="J1151" s="2" t="n">
        <x:f>MAX(1,ROUND('기준스탯 72종'!D53-R1151-Z1151,0))</x:f>
        <x:v>5</x:v>
      </x:c>
      <x:c r="K1151" s="2" t="n">
        <x:f>MAX(1,ROUND('기준스탯 72종'!E53-S1151-AA1151,0))</x:f>
        <x:v>6</x:v>
      </x:c>
      <x:c r="L1151" s="2" t="n">
        <x:f>MAX(1,ROUND('기준스탯 72종'!F53-T1151-AB1151,0))</x:f>
        <x:v>7</x:v>
      </x:c>
      <x:c r="M1151" s="2" t="n">
        <x:f>MAX(1,ROUND('기준스탯 72종'!G53-U1151-AC1151,0))</x:f>
        <x:v>6</x:v>
      </x:c>
      <x:c r="N1151" s="2" t="n">
        <x:f>MAX(0,ROUND('기준스탯 72종'!H53-V1151-AD1151,0))</x:f>
        <x:v>2</x:v>
      </x:c>
      <x:c r="O1151" s="2" t="n">
        <x:f>MAX(0,ROUND('기준스탯 72종'!I53-W1151-AE1151,0))</x:f>
        <x:v>4</x:v>
      </x:c>
      <x:c r="P1151" s="2" t="n">
        <x:f>MAX(0,ROUND('기준스탯 72종'!J53-X1151-AF1151,0))</x:f>
        <x:v>6</x:v>
      </x:c>
      <x:c r="Q1151" s="2" t="n">
        <x:f>MAX(0,ROUND('기준스탯 72종'!K53-Y1151-AG1151,0))</x:f>
        <x:v>2</x:v>
      </x:c>
      <x:c r="R1151" s="15" t="n">
        <x:f>'기준스탯 72종'!D53*G1151</x:f>
        <x:v>0.8399999999999999</x:v>
      </x:c>
      <x:c r="S1151" s="15" t="n">
        <x:f>'기준스탯 72종'!E53*G1151</x:f>
        <x:v>0.9799999999999999</x:v>
      </x:c>
      <x:c r="T1151" s="15" t="n">
        <x:f>'기준스탯 72종'!F53*G1151</x:f>
        <x:v>1.2599999999999998</x:v>
      </x:c>
      <x:c r="U1151" s="15" t="n">
        <x:f>'기준스탯 72종'!G53*G1151</x:f>
        <x:v>1.1199999999999999</x:v>
      </x:c>
      <x:c r="V1151" s="15" t="n">
        <x:f>'기준스탯 72종'!H53*G1151</x:f>
        <x:v>0.27999999999999997</x:v>
      </x:c>
      <x:c r="W1151" s="15" t="n">
        <x:f>'기준스탯 72종'!I53*G1151</x:f>
        <x:v>0.7</x:v>
      </x:c>
      <x:c r="X1151" s="15" t="n">
        <x:f>'기준스탯 72종'!J53*G1151</x:f>
        <x:v>0.9799999999999999</x:v>
      </x:c>
      <x:c r="Y1151" s="15" t="n">
        <x:f>'기준스탯 72종'!K53*G1151</x:f>
        <x:v>0.27999999999999997</x:v>
      </x:c>
      <x:c r="Z1151" s="15" t="n">
        <x:f>'기준스탯 72종'!D53*H1151</x:f>
        <x:v>0.3600000000000001</x:v>
      </x:c>
      <x:c r="AA1151" s="15" t="n">
        <x:f>'기준스탯 72종'!E53*H1151</x:f>
        <x:v>0.4200000000000001</x:v>
      </x:c>
      <x:c r="AB1151" s="15" t="n">
        <x:f>'기준스탯 72종'!F53*H1151</x:f>
        <x:v>0.5400000000000001</x:v>
      </x:c>
      <x:c r="AC1151" s="15" t="n">
        <x:f>'기준스탯 72종'!G53*H1151</x:f>
        <x:v>0.4800000000000001</x:v>
      </x:c>
      <x:c r="AD1151" s="15" t="n">
        <x:f>'기준스탯 72종'!H53*H1151</x:f>
        <x:v>0.12000000000000002</x:v>
      </x:c>
      <x:c r="AE1151" s="15" t="n">
        <x:f>'기준스탯 72종'!I53*H1151</x:f>
        <x:v>0.30000000000000004</x:v>
      </x:c>
      <x:c r="AF1151" s="15" t="n">
        <x:f>'기준스탯 72종'!J53*H1151</x:f>
        <x:v>0.4200000000000001</x:v>
      </x:c>
      <x:c r="AG1151" s="15" t="n">
        <x:f>'기준스탯 72종'!K53*H1151</x:f>
        <x:v>0.12000000000000002</x:v>
      </x:c>
    </x:row>
    <x:row r="1152" ht="28" customHeight="1">
      <x:c r="A1152" s="2" t="n">
        <x:v>1145</x:v>
      </x:c>
      <x:c r="B1152" s="2" t="n">
        <x:v>46</x:v>
      </x:c>
      <x:c r="C1152" s="2" t="str">
        <x:v>전갈자리</x:v>
      </x:c>
      <x:c r="D1152" s="2" t="str">
        <x:v>정령사</x:v>
      </x:c>
      <x:c r="E1152" s="2" t="n">
        <x:v>5</x:v>
      </x:c>
      <x:c r="F1152" s="2" t="n">
        <x:v>4</x:v>
      </x:c>
      <x:c r="G1152" s="14" t="n">
        <x:f>('레벨 계산식'!$E$4-E1152)*'레벨 계산식'!$B$5</x:f>
        <x:v>0</x:v>
      </x:c>
      <x:c r="H1152" s="14" t="n">
        <x:f>('등급 계산식'!$E$4-F1152)*'등급 계산식'!$B$5</x:f>
        <x:v>0.06000000000000001</x:v>
      </x:c>
      <x:c r="I1152" s="14" t="n">
        <x:f>1-G1152-H1152</x:f>
        <x:v>0.94</x:v>
      </x:c>
      <x:c r="J1152" s="2" t="n">
        <x:f>MAX(1,ROUND('기준스탯 72종'!D53-R1152-Z1152,0))</x:f>
        <x:v>6</x:v>
      </x:c>
      <x:c r="K1152" s="2" t="n">
        <x:f>MAX(1,ROUND('기준스탯 72종'!E53-S1152-AA1152,0))</x:f>
        <x:v>7</x:v>
      </x:c>
      <x:c r="L1152" s="2" t="n">
        <x:f>MAX(1,ROUND('기준스탯 72종'!F53-T1152-AB1152,0))</x:f>
        <x:v>8</x:v>
      </x:c>
      <x:c r="M1152" s="2" t="n">
        <x:f>MAX(1,ROUND('기준스탯 72종'!G53-U1152-AC1152,0))</x:f>
        <x:v>8</x:v>
      </x:c>
      <x:c r="N1152" s="2" t="n">
        <x:f>MAX(0,ROUND('기준스탯 72종'!H53-V1152-AD1152,0))</x:f>
        <x:v>2</x:v>
      </x:c>
      <x:c r="O1152" s="2" t="n">
        <x:f>MAX(0,ROUND('기준스탯 72종'!I53-W1152-AE1152,0))</x:f>
        <x:v>5</x:v>
      </x:c>
      <x:c r="P1152" s="2" t="n">
        <x:f>MAX(0,ROUND('기준스탯 72종'!J53-X1152-AF1152,0))</x:f>
        <x:v>7</x:v>
      </x:c>
      <x:c r="Q1152" s="2" t="n">
        <x:f>MAX(0,ROUND('기준스탯 72종'!K53-Y1152-AG1152,0))</x:f>
        <x:v>2</x:v>
      </x:c>
      <x:c r="R1152" s="15" t="n">
        <x:f>'기준스탯 72종'!D53*G1152</x:f>
        <x:v>0</x:v>
      </x:c>
      <x:c r="S1152" s="15" t="n">
        <x:f>'기준스탯 72종'!E53*G1152</x:f>
        <x:v>0</x:v>
      </x:c>
      <x:c r="T1152" s="15" t="n">
        <x:f>'기준스탯 72종'!F53*G1152</x:f>
        <x:v>0</x:v>
      </x:c>
      <x:c r="U1152" s="15" t="n">
        <x:f>'기준스탯 72종'!G53*G1152</x:f>
        <x:v>0</x:v>
      </x:c>
      <x:c r="V1152" s="15" t="n">
        <x:f>'기준스탯 72종'!H53*G1152</x:f>
        <x:v>0</x:v>
      </x:c>
      <x:c r="W1152" s="15" t="n">
        <x:f>'기준스탯 72종'!I53*G1152</x:f>
        <x:v>0</x:v>
      </x:c>
      <x:c r="X1152" s="15" t="n">
        <x:f>'기준스탯 72종'!J53*G1152</x:f>
        <x:v>0</x:v>
      </x:c>
      <x:c r="Y1152" s="15" t="n">
        <x:f>'기준스탯 72종'!K53*G1152</x:f>
        <x:v>0</x:v>
      </x:c>
      <x:c r="Z1152" s="15" t="n">
        <x:f>'기준스탯 72종'!D53*H1152</x:f>
        <x:v>0.3600000000000001</x:v>
      </x:c>
      <x:c r="AA1152" s="15" t="n">
        <x:f>'기준스탯 72종'!E53*H1152</x:f>
        <x:v>0.4200000000000001</x:v>
      </x:c>
      <x:c r="AB1152" s="15" t="n">
        <x:f>'기준스탯 72종'!F53*H1152</x:f>
        <x:v>0.5400000000000001</x:v>
      </x:c>
      <x:c r="AC1152" s="15" t="n">
        <x:f>'기준스탯 72종'!G53*H1152</x:f>
        <x:v>0.4800000000000001</x:v>
      </x:c>
      <x:c r="AD1152" s="15" t="n">
        <x:f>'기준스탯 72종'!H53*H1152</x:f>
        <x:v>0.12000000000000002</x:v>
      </x:c>
      <x:c r="AE1152" s="15" t="n">
        <x:f>'기준스탯 72종'!I53*H1152</x:f>
        <x:v>0.30000000000000004</x:v>
      </x:c>
      <x:c r="AF1152" s="15" t="n">
        <x:f>'기준스탯 72종'!J53*H1152</x:f>
        <x:v>0.4200000000000001</x:v>
      </x:c>
      <x:c r="AG1152" s="15" t="n">
        <x:f>'기준스탯 72종'!K53*H1152</x:f>
        <x:v>0.12000000000000002</x:v>
      </x:c>
    </x:row>
    <x:row r="1153" ht="28" customHeight="1">
      <x:c r="A1153" s="2" t="n">
        <x:v>1146</x:v>
      </x:c>
      <x:c r="B1153" s="2" t="n">
        <x:v>46</x:v>
      </x:c>
      <x:c r="C1153" s="2" t="str">
        <x:v>전갈자리</x:v>
      </x:c>
      <x:c r="D1153" s="2" t="str">
        <x:v>정령사</x:v>
      </x:c>
      <x:c r="E1153" s="2" t="n">
        <x:v>1</x:v>
      </x:c>
      <x:c r="F1153" s="2" t="n">
        <x:v>5</x:v>
      </x:c>
      <x:c r="G1153" s="14" t="n">
        <x:f>('레벨 계산식'!$E$4-E1153)*'레벨 계산식'!$B$5</x:f>
        <x:v>0.5599999999999999</x:v>
      </x:c>
      <x:c r="H1153" s="14" t="n">
        <x:f>('등급 계산식'!$E$4-F1153)*'등급 계산식'!$B$5</x:f>
        <x:v>0</x:v>
      </x:c>
      <x:c r="I1153" s="14" t="n">
        <x:f>1-G1153-H1153</x:f>
        <x:v>0.44000000000000006</x:v>
      </x:c>
      <x:c r="J1153" s="2" t="n">
        <x:f>MAX(1,ROUND('기준스탯 72종'!D53-R1153-Z1153,0))</x:f>
        <x:v>3</x:v>
      </x:c>
      <x:c r="K1153" s="2" t="n">
        <x:f>MAX(1,ROUND('기준스탯 72종'!E53-S1153-AA1153,0))</x:f>
        <x:v>3</x:v>
      </x:c>
      <x:c r="L1153" s="2" t="n">
        <x:f>MAX(1,ROUND('기준스탯 72종'!F53-T1153-AB1153,0))</x:f>
        <x:v>4</x:v>
      </x:c>
      <x:c r="M1153" s="2" t="n">
        <x:f>MAX(1,ROUND('기준스탯 72종'!G53-U1153-AC1153,0))</x:f>
        <x:v>4</x:v>
      </x:c>
      <x:c r="N1153" s="2" t="n">
        <x:f>MAX(0,ROUND('기준스탯 72종'!H53-V1153-AD1153,0))</x:f>
        <x:v>1</x:v>
      </x:c>
      <x:c r="O1153" s="2" t="n">
        <x:f>MAX(0,ROUND('기준스탯 72종'!I53-W1153-AE1153,0))</x:f>
        <x:v>2</x:v>
      </x:c>
      <x:c r="P1153" s="2" t="n">
        <x:f>MAX(0,ROUND('기준스탯 72종'!J53-X1153-AF1153,0))</x:f>
        <x:v>3</x:v>
      </x:c>
      <x:c r="Q1153" s="2" t="n">
        <x:f>MAX(0,ROUND('기준스탯 72종'!K53-Y1153-AG1153,0))</x:f>
        <x:v>1</x:v>
      </x:c>
      <x:c r="R1153" s="15" t="n">
        <x:f>'기준스탯 72종'!D53*G1153</x:f>
        <x:v>3.3599999999999994</x:v>
      </x:c>
      <x:c r="S1153" s="15" t="n">
        <x:f>'기준스탯 72종'!E53*G1153</x:f>
        <x:v>3.9199999999999995</x:v>
      </x:c>
      <x:c r="T1153" s="15" t="n">
        <x:f>'기준스탯 72종'!F53*G1153</x:f>
        <x:v>5.039999999999999</x:v>
      </x:c>
      <x:c r="U1153" s="15" t="n">
        <x:f>'기준스탯 72종'!G53*G1153</x:f>
        <x:v>4.4799999999999995</x:v>
      </x:c>
      <x:c r="V1153" s="15" t="n">
        <x:f>'기준스탯 72종'!H53*G1153</x:f>
        <x:v>1.1199999999999999</x:v>
      </x:c>
      <x:c r="W1153" s="15" t="n">
        <x:f>'기준스탯 72종'!I53*G1153</x:f>
        <x:v>2.8</x:v>
      </x:c>
      <x:c r="X1153" s="15" t="n">
        <x:f>'기준스탯 72종'!J53*G1153</x:f>
        <x:v>3.9199999999999995</x:v>
      </x:c>
      <x:c r="Y1153" s="15" t="n">
        <x:f>'기준스탯 72종'!K53*G1153</x:f>
        <x:v>1.1199999999999999</x:v>
      </x:c>
      <x:c r="Z1153" s="15" t="n">
        <x:f>'기준스탯 72종'!D53*H1153</x:f>
        <x:v>0</x:v>
      </x:c>
      <x:c r="AA1153" s="15" t="n">
        <x:f>'기준스탯 72종'!E53*H1153</x:f>
        <x:v>0</x:v>
      </x:c>
      <x:c r="AB1153" s="15" t="n">
        <x:f>'기준스탯 72종'!F53*H1153</x:f>
        <x:v>0</x:v>
      </x:c>
      <x:c r="AC1153" s="15" t="n">
        <x:f>'기준스탯 72종'!G53*H1153</x:f>
        <x:v>0</x:v>
      </x:c>
      <x:c r="AD1153" s="15" t="n">
        <x:f>'기준스탯 72종'!H53*H1153</x:f>
        <x:v>0</x:v>
      </x:c>
      <x:c r="AE1153" s="15" t="n">
        <x:f>'기준스탯 72종'!I53*H1153</x:f>
        <x:v>0</x:v>
      </x:c>
      <x:c r="AF1153" s="15" t="n">
        <x:f>'기준스탯 72종'!J53*H1153</x:f>
        <x:v>0</x:v>
      </x:c>
      <x:c r="AG1153" s="15" t="n">
        <x:f>'기준스탯 72종'!K53*H1153</x:f>
        <x:v>0</x:v>
      </x:c>
    </x:row>
    <x:row r="1154" ht="28" customHeight="1">
      <x:c r="A1154" s="2" t="n">
        <x:v>1147</x:v>
      </x:c>
      <x:c r="B1154" s="2" t="n">
        <x:v>46</x:v>
      </x:c>
      <x:c r="C1154" s="2" t="str">
        <x:v>전갈자리</x:v>
      </x:c>
      <x:c r="D1154" s="2" t="str">
        <x:v>정령사</x:v>
      </x:c>
      <x:c r="E1154" s="2" t="n">
        <x:v>2</x:v>
      </x:c>
      <x:c r="F1154" s="2" t="n">
        <x:v>5</x:v>
      </x:c>
      <x:c r="G1154" s="14" t="n">
        <x:f>('레벨 계산식'!$E$4-E1154)*'레벨 계산식'!$B$5</x:f>
        <x:v>0.41999999999999993</x:v>
      </x:c>
      <x:c r="H1154" s="14" t="n">
        <x:f>('등급 계산식'!$E$4-F1154)*'등급 계산식'!$B$5</x:f>
        <x:v>0</x:v>
      </x:c>
      <x:c r="I1154" s="14" t="n">
        <x:f>1-G1154-H1154</x:f>
        <x:v>0.5800000000000001</x:v>
      </x:c>
      <x:c r="J1154" s="2" t="n">
        <x:f>MAX(1,ROUND('기준스탯 72종'!D53-R1154-Z1154,0))</x:f>
        <x:v>3</x:v>
      </x:c>
      <x:c r="K1154" s="2" t="n">
        <x:f>MAX(1,ROUND('기준스탯 72종'!E53-S1154-AA1154,0))</x:f>
        <x:v>4</x:v>
      </x:c>
      <x:c r="L1154" s="2" t="n">
        <x:f>MAX(1,ROUND('기준스탯 72종'!F53-T1154-AB1154,0))</x:f>
        <x:v>5</x:v>
      </x:c>
      <x:c r="M1154" s="2" t="n">
        <x:f>MAX(1,ROUND('기준스탯 72종'!G53-U1154-AC1154,0))</x:f>
        <x:v>5</x:v>
      </x:c>
      <x:c r="N1154" s="2" t="n">
        <x:f>MAX(0,ROUND('기준스탯 72종'!H53-V1154-AD1154,0))</x:f>
        <x:v>1</x:v>
      </x:c>
      <x:c r="O1154" s="2" t="n">
        <x:f>MAX(0,ROUND('기준스탯 72종'!I53-W1154-AE1154,0))</x:f>
        <x:v>3</x:v>
      </x:c>
      <x:c r="P1154" s="2" t="n">
        <x:f>MAX(0,ROUND('기준스탯 72종'!J53-X1154-AF1154,0))</x:f>
        <x:v>4</x:v>
      </x:c>
      <x:c r="Q1154" s="2" t="n">
        <x:f>MAX(0,ROUND('기준스탯 72종'!K53-Y1154-AG1154,0))</x:f>
        <x:v>1</x:v>
      </x:c>
      <x:c r="R1154" s="15" t="n">
        <x:f>'기준스탯 72종'!D53*G1154</x:f>
        <x:v>2.5199999999999996</x:v>
      </x:c>
      <x:c r="S1154" s="15" t="n">
        <x:f>'기준스탯 72종'!E53*G1154</x:f>
        <x:v>2.9399999999999995</x:v>
      </x:c>
      <x:c r="T1154" s="15" t="n">
        <x:f>'기준스탯 72종'!F53*G1154</x:f>
        <x:v>3.7799999999999994</x:v>
      </x:c>
      <x:c r="U1154" s="15" t="n">
        <x:f>'기준스탯 72종'!G53*G1154</x:f>
        <x:v>3.3599999999999994</x:v>
      </x:c>
      <x:c r="V1154" s="15" t="n">
        <x:f>'기준스탯 72종'!H53*G1154</x:f>
        <x:v>0.8399999999999999</x:v>
      </x:c>
      <x:c r="W1154" s="15" t="n">
        <x:f>'기준스탯 72종'!I53*G1154</x:f>
        <x:v>2.0999999999999996</x:v>
      </x:c>
      <x:c r="X1154" s="15" t="n">
        <x:f>'기준스탯 72종'!J53*G1154</x:f>
        <x:v>2.9399999999999995</x:v>
      </x:c>
      <x:c r="Y1154" s="15" t="n">
        <x:f>'기준스탯 72종'!K53*G1154</x:f>
        <x:v>0.8399999999999999</x:v>
      </x:c>
      <x:c r="Z1154" s="15" t="n">
        <x:f>'기준스탯 72종'!D53*H1154</x:f>
        <x:v>0</x:v>
      </x:c>
      <x:c r="AA1154" s="15" t="n">
        <x:f>'기준스탯 72종'!E53*H1154</x:f>
        <x:v>0</x:v>
      </x:c>
      <x:c r="AB1154" s="15" t="n">
        <x:f>'기준스탯 72종'!F53*H1154</x:f>
        <x:v>0</x:v>
      </x:c>
      <x:c r="AC1154" s="15" t="n">
        <x:f>'기준스탯 72종'!G53*H1154</x:f>
        <x:v>0</x:v>
      </x:c>
      <x:c r="AD1154" s="15" t="n">
        <x:f>'기준스탯 72종'!H53*H1154</x:f>
        <x:v>0</x:v>
      </x:c>
      <x:c r="AE1154" s="15" t="n">
        <x:f>'기준스탯 72종'!I53*H1154</x:f>
        <x:v>0</x:v>
      </x:c>
      <x:c r="AF1154" s="15" t="n">
        <x:f>'기준스탯 72종'!J53*H1154</x:f>
        <x:v>0</x:v>
      </x:c>
      <x:c r="AG1154" s="15" t="n">
        <x:f>'기준스탯 72종'!K53*H1154</x:f>
        <x:v>0</x:v>
      </x:c>
    </x:row>
    <x:row r="1155" ht="28" customHeight="1">
      <x:c r="A1155" s="2" t="n">
        <x:v>1148</x:v>
      </x:c>
      <x:c r="B1155" s="2" t="n">
        <x:v>46</x:v>
      </x:c>
      <x:c r="C1155" s="2" t="str">
        <x:v>전갈자리</x:v>
      </x:c>
      <x:c r="D1155" s="2" t="str">
        <x:v>정령사</x:v>
      </x:c>
      <x:c r="E1155" s="2" t="n">
        <x:v>3</x:v>
      </x:c>
      <x:c r="F1155" s="2" t="n">
        <x:v>5</x:v>
      </x:c>
      <x:c r="G1155" s="14" t="n">
        <x:f>('레벨 계산식'!$E$4-E1155)*'레벨 계산식'!$B$5</x:f>
        <x:v>0.27999999999999997</x:v>
      </x:c>
      <x:c r="H1155" s="14" t="n">
        <x:f>('등급 계산식'!$E$4-F1155)*'등급 계산식'!$B$5</x:f>
        <x:v>0</x:v>
      </x:c>
      <x:c r="I1155" s="14" t="n">
        <x:f>1-G1155-H1155</x:f>
        <x:v>0.72</x:v>
      </x:c>
      <x:c r="J1155" s="2" t="n">
        <x:f>MAX(1,ROUND('기준스탯 72종'!D53-R1155-Z1155,0))</x:f>
        <x:v>4</x:v>
      </x:c>
      <x:c r="K1155" s="2" t="n">
        <x:f>MAX(1,ROUND('기준스탯 72종'!E53-S1155-AA1155,0))</x:f>
        <x:v>5</x:v>
      </x:c>
      <x:c r="L1155" s="2" t="n">
        <x:f>MAX(1,ROUND('기준스탯 72종'!F53-T1155-AB1155,0))</x:f>
        <x:v>6</x:v>
      </x:c>
      <x:c r="M1155" s="2" t="n">
        <x:f>MAX(1,ROUND('기준스탯 72종'!G53-U1155-AC1155,0))</x:f>
        <x:v>6</x:v>
      </x:c>
      <x:c r="N1155" s="2" t="n">
        <x:f>MAX(0,ROUND('기준스탯 72종'!H53-V1155-AD1155,0))</x:f>
        <x:v>1</x:v>
      </x:c>
      <x:c r="O1155" s="2" t="n">
        <x:f>MAX(0,ROUND('기준스탯 72종'!I53-W1155-AE1155,0))</x:f>
        <x:v>4</x:v>
      </x:c>
      <x:c r="P1155" s="2" t="n">
        <x:f>MAX(0,ROUND('기준스탯 72종'!J53-X1155-AF1155,0))</x:f>
        <x:v>5</x:v>
      </x:c>
      <x:c r="Q1155" s="2" t="n">
        <x:f>MAX(0,ROUND('기준스탯 72종'!K53-Y1155-AG1155,0))</x:f>
        <x:v>1</x:v>
      </x:c>
      <x:c r="R1155" s="15" t="n">
        <x:f>'기준스탯 72종'!D53*G1155</x:f>
        <x:v>1.6799999999999997</x:v>
      </x:c>
      <x:c r="S1155" s="15" t="n">
        <x:f>'기준스탯 72종'!E53*G1155</x:f>
        <x:v>1.9599999999999997</x:v>
      </x:c>
      <x:c r="T1155" s="15" t="n">
        <x:f>'기준스탯 72종'!F53*G1155</x:f>
        <x:v>2.5199999999999996</x:v>
      </x:c>
      <x:c r="U1155" s="15" t="n">
        <x:f>'기준스탯 72종'!G53*G1155</x:f>
        <x:v>2.2399999999999998</x:v>
      </x:c>
      <x:c r="V1155" s="15" t="n">
        <x:f>'기준스탯 72종'!H53*G1155</x:f>
        <x:v>0.5599999999999999</x:v>
      </x:c>
      <x:c r="W1155" s="15" t="n">
        <x:f>'기준스탯 72종'!I53*G1155</x:f>
        <x:v>1.4</x:v>
      </x:c>
      <x:c r="X1155" s="15" t="n">
        <x:f>'기준스탯 72종'!J53*G1155</x:f>
        <x:v>1.9599999999999997</x:v>
      </x:c>
      <x:c r="Y1155" s="15" t="n">
        <x:f>'기준스탯 72종'!K53*G1155</x:f>
        <x:v>0.5599999999999999</x:v>
      </x:c>
      <x:c r="Z1155" s="15" t="n">
        <x:f>'기준스탯 72종'!D53*H1155</x:f>
        <x:v>0</x:v>
      </x:c>
      <x:c r="AA1155" s="15" t="n">
        <x:f>'기준스탯 72종'!E53*H1155</x:f>
        <x:v>0</x:v>
      </x:c>
      <x:c r="AB1155" s="15" t="n">
        <x:f>'기준스탯 72종'!F53*H1155</x:f>
        <x:v>0</x:v>
      </x:c>
      <x:c r="AC1155" s="15" t="n">
        <x:f>'기준스탯 72종'!G53*H1155</x:f>
        <x:v>0</x:v>
      </x:c>
      <x:c r="AD1155" s="15" t="n">
        <x:f>'기준스탯 72종'!H53*H1155</x:f>
        <x:v>0</x:v>
      </x:c>
      <x:c r="AE1155" s="15" t="n">
        <x:f>'기준스탯 72종'!I53*H1155</x:f>
        <x:v>0</x:v>
      </x:c>
      <x:c r="AF1155" s="15" t="n">
        <x:f>'기준스탯 72종'!J53*H1155</x:f>
        <x:v>0</x:v>
      </x:c>
      <x:c r="AG1155" s="15" t="n">
        <x:f>'기준스탯 72종'!K53*H1155</x:f>
        <x:v>0</x:v>
      </x:c>
    </x:row>
    <x:row r="1156" ht="28" customHeight="1">
      <x:c r="A1156" s="2" t="n">
        <x:v>1149</x:v>
      </x:c>
      <x:c r="B1156" s="2" t="n">
        <x:v>46</x:v>
      </x:c>
      <x:c r="C1156" s="2" t="str">
        <x:v>전갈자리</x:v>
      </x:c>
      <x:c r="D1156" s="2" t="str">
        <x:v>정령사</x:v>
      </x:c>
      <x:c r="E1156" s="2" t="n">
        <x:v>4</x:v>
      </x:c>
      <x:c r="F1156" s="2" t="n">
        <x:v>5</x:v>
      </x:c>
      <x:c r="G1156" s="14" t="n">
        <x:f>('레벨 계산식'!$E$4-E1156)*'레벨 계산식'!$B$5</x:f>
        <x:v>0.13999999999999999</x:v>
      </x:c>
      <x:c r="H1156" s="14" t="n">
        <x:f>('등급 계산식'!$E$4-F1156)*'등급 계산식'!$B$5</x:f>
        <x:v>0</x:v>
      </x:c>
      <x:c r="I1156" s="14" t="n">
        <x:f>1-G1156-H1156</x:f>
        <x:v>0.86</x:v>
      </x:c>
      <x:c r="J1156" s="2" t="n">
        <x:f>MAX(1,ROUND('기준스탯 72종'!D53-R1156-Z1156,0))</x:f>
        <x:v>5</x:v>
      </x:c>
      <x:c r="K1156" s="2" t="n">
        <x:f>MAX(1,ROUND('기준스탯 72종'!E53-S1156-AA1156,0))</x:f>
        <x:v>6</x:v>
      </x:c>
      <x:c r="L1156" s="2" t="n">
        <x:f>MAX(1,ROUND('기준스탯 72종'!F53-T1156-AB1156,0))</x:f>
        <x:v>8</x:v>
      </x:c>
      <x:c r="M1156" s="2" t="n">
        <x:f>MAX(1,ROUND('기준스탯 72종'!G53-U1156-AC1156,0))</x:f>
        <x:v>7</x:v>
      </x:c>
      <x:c r="N1156" s="2" t="n">
        <x:f>MAX(0,ROUND('기준스탯 72종'!H53-V1156-AD1156,0))</x:f>
        <x:v>2</x:v>
      </x:c>
      <x:c r="O1156" s="2" t="n">
        <x:f>MAX(0,ROUND('기준스탯 72종'!I53-W1156-AE1156,0))</x:f>
        <x:v>4</x:v>
      </x:c>
      <x:c r="P1156" s="2" t="n">
        <x:f>MAX(0,ROUND('기준스탯 72종'!J53-X1156-AF1156,0))</x:f>
        <x:v>6</x:v>
      </x:c>
      <x:c r="Q1156" s="2" t="n">
        <x:f>MAX(0,ROUND('기준스탯 72종'!K53-Y1156-AG1156,0))</x:f>
        <x:v>2</x:v>
      </x:c>
      <x:c r="R1156" s="15" t="n">
        <x:f>'기준스탯 72종'!D53*G1156</x:f>
        <x:v>0.8399999999999999</x:v>
      </x:c>
      <x:c r="S1156" s="15" t="n">
        <x:f>'기준스탯 72종'!E53*G1156</x:f>
        <x:v>0.9799999999999999</x:v>
      </x:c>
      <x:c r="T1156" s="15" t="n">
        <x:f>'기준스탯 72종'!F53*G1156</x:f>
        <x:v>1.2599999999999998</x:v>
      </x:c>
      <x:c r="U1156" s="15" t="n">
        <x:f>'기준스탯 72종'!G53*G1156</x:f>
        <x:v>1.1199999999999999</x:v>
      </x:c>
      <x:c r="V1156" s="15" t="n">
        <x:f>'기준스탯 72종'!H53*G1156</x:f>
        <x:v>0.27999999999999997</x:v>
      </x:c>
      <x:c r="W1156" s="15" t="n">
        <x:f>'기준스탯 72종'!I53*G1156</x:f>
        <x:v>0.7</x:v>
      </x:c>
      <x:c r="X1156" s="15" t="n">
        <x:f>'기준스탯 72종'!J53*G1156</x:f>
        <x:v>0.9799999999999999</x:v>
      </x:c>
      <x:c r="Y1156" s="15" t="n">
        <x:f>'기준스탯 72종'!K53*G1156</x:f>
        <x:v>0.27999999999999997</x:v>
      </x:c>
      <x:c r="Z1156" s="15" t="n">
        <x:f>'기준스탯 72종'!D53*H1156</x:f>
        <x:v>0</x:v>
      </x:c>
      <x:c r="AA1156" s="15" t="n">
        <x:f>'기준스탯 72종'!E53*H1156</x:f>
        <x:v>0</x:v>
      </x:c>
      <x:c r="AB1156" s="15" t="n">
        <x:f>'기준스탯 72종'!F53*H1156</x:f>
        <x:v>0</x:v>
      </x:c>
      <x:c r="AC1156" s="15" t="n">
        <x:f>'기준스탯 72종'!G53*H1156</x:f>
        <x:v>0</x:v>
      </x:c>
      <x:c r="AD1156" s="15" t="n">
        <x:f>'기준스탯 72종'!H53*H1156</x:f>
        <x:v>0</x:v>
      </x:c>
      <x:c r="AE1156" s="15" t="n">
        <x:f>'기준스탯 72종'!I53*H1156</x:f>
        <x:v>0</x:v>
      </x:c>
      <x:c r="AF1156" s="15" t="n">
        <x:f>'기준스탯 72종'!J53*H1156</x:f>
        <x:v>0</x:v>
      </x:c>
      <x:c r="AG1156" s="15" t="n">
        <x:f>'기준스탯 72종'!K53*H1156</x:f>
        <x:v>0</x:v>
      </x:c>
    </x:row>
    <x:row r="1157" ht="28" customHeight="1">
      <x:c r="A1157" s="2" t="n">
        <x:v>1150</x:v>
      </x:c>
      <x:c r="B1157" s="2" t="n">
        <x:v>46</x:v>
      </x:c>
      <x:c r="C1157" s="2" t="str">
        <x:v>전갈자리</x:v>
      </x:c>
      <x:c r="D1157" s="2" t="str">
        <x:v>정령사</x:v>
      </x:c>
      <x:c r="E1157" s="2" t="n">
        <x:v>5</x:v>
      </x:c>
      <x:c r="F1157" s="2" t="n">
        <x:v>5</x:v>
      </x:c>
      <x:c r="G1157" s="14" t="n">
        <x:f>('레벨 계산식'!$E$4-E1157)*'레벨 계산식'!$B$5</x:f>
        <x:v>0</x:v>
      </x:c>
      <x:c r="H1157" s="14" t="n">
        <x:f>('등급 계산식'!$E$4-F1157)*'등급 계산식'!$B$5</x:f>
        <x:v>0</x:v>
      </x:c>
      <x:c r="I1157" s="14" t="n">
        <x:f>1-G1157-H1157</x:f>
        <x:v>1</x:v>
      </x:c>
      <x:c r="J1157" s="2" t="n">
        <x:f>MAX(1,ROUND('기준스탯 72종'!D53-R1157-Z1157,0))</x:f>
        <x:v>6</x:v>
      </x:c>
      <x:c r="K1157" s="2" t="n">
        <x:f>MAX(1,ROUND('기준스탯 72종'!E53-S1157-AA1157,0))</x:f>
        <x:v>7</x:v>
      </x:c>
      <x:c r="L1157" s="2" t="n">
        <x:f>MAX(1,ROUND('기준스탯 72종'!F53-T1157-AB1157,0))</x:f>
        <x:v>9</x:v>
      </x:c>
      <x:c r="M1157" s="2" t="n">
        <x:f>MAX(1,ROUND('기준스탯 72종'!G53-U1157-AC1157,0))</x:f>
        <x:v>8</x:v>
      </x:c>
      <x:c r="N1157" s="2" t="n">
        <x:f>MAX(0,ROUND('기준스탯 72종'!H53-V1157-AD1157,0))</x:f>
        <x:v>2</x:v>
      </x:c>
      <x:c r="O1157" s="2" t="n">
        <x:f>MAX(0,ROUND('기준스탯 72종'!I53-W1157-AE1157,0))</x:f>
        <x:v>5</x:v>
      </x:c>
      <x:c r="P1157" s="2" t="n">
        <x:f>MAX(0,ROUND('기준스탯 72종'!J53-X1157-AF1157,0))</x:f>
        <x:v>7</x:v>
      </x:c>
      <x:c r="Q1157" s="2" t="n">
        <x:f>MAX(0,ROUND('기준스탯 72종'!K53-Y1157-AG1157,0))</x:f>
        <x:v>2</x:v>
      </x:c>
      <x:c r="R1157" s="15" t="n">
        <x:f>'기준스탯 72종'!D53*G1157</x:f>
        <x:v>0</x:v>
      </x:c>
      <x:c r="S1157" s="15" t="n">
        <x:f>'기준스탯 72종'!E53*G1157</x:f>
        <x:v>0</x:v>
      </x:c>
      <x:c r="T1157" s="15" t="n">
        <x:f>'기준스탯 72종'!F53*G1157</x:f>
        <x:v>0</x:v>
      </x:c>
      <x:c r="U1157" s="15" t="n">
        <x:f>'기준스탯 72종'!G53*G1157</x:f>
        <x:v>0</x:v>
      </x:c>
      <x:c r="V1157" s="15" t="n">
        <x:f>'기준스탯 72종'!H53*G1157</x:f>
        <x:v>0</x:v>
      </x:c>
      <x:c r="W1157" s="15" t="n">
        <x:f>'기준스탯 72종'!I53*G1157</x:f>
        <x:v>0</x:v>
      </x:c>
      <x:c r="X1157" s="15" t="n">
        <x:f>'기준스탯 72종'!J53*G1157</x:f>
        <x:v>0</x:v>
      </x:c>
      <x:c r="Y1157" s="15" t="n">
        <x:f>'기준스탯 72종'!K53*G1157</x:f>
        <x:v>0</x:v>
      </x:c>
      <x:c r="Z1157" s="15" t="n">
        <x:f>'기준스탯 72종'!D53*H1157</x:f>
        <x:v>0</x:v>
      </x:c>
      <x:c r="AA1157" s="15" t="n">
        <x:f>'기준스탯 72종'!E53*H1157</x:f>
        <x:v>0</x:v>
      </x:c>
      <x:c r="AB1157" s="15" t="n">
        <x:f>'기준스탯 72종'!F53*H1157</x:f>
        <x:v>0</x:v>
      </x:c>
      <x:c r="AC1157" s="15" t="n">
        <x:f>'기준스탯 72종'!G53*H1157</x:f>
        <x:v>0</x:v>
      </x:c>
      <x:c r="AD1157" s="15" t="n">
        <x:f>'기준스탯 72종'!H53*H1157</x:f>
        <x:v>0</x:v>
      </x:c>
      <x:c r="AE1157" s="15" t="n">
        <x:f>'기준스탯 72종'!I53*H1157</x:f>
        <x:v>0</x:v>
      </x:c>
      <x:c r="AF1157" s="15" t="n">
        <x:f>'기준스탯 72종'!J53*H1157</x:f>
        <x:v>0</x:v>
      </x:c>
      <x:c r="AG1157" s="15" t="n">
        <x:f>'기준스탯 72종'!K53*H1157</x:f>
        <x:v>0</x:v>
      </x:c>
    </x:row>
    <x:row r="1158" ht="28" customHeight="1">
      <x:c r="A1158" s="2" t="n">
        <x:v>1151</x:v>
      </x:c>
      <x:c r="B1158" s="2" t="n">
        <x:v>47</x:v>
      </x:c>
      <x:c r="C1158" s="2" t="str">
        <x:v>전갈자리</x:v>
      </x:c>
      <x:c r="D1158" s="2" t="str">
        <x:v>도적</x:v>
      </x:c>
      <x:c r="E1158" s="2" t="n">
        <x:v>1</x:v>
      </x:c>
      <x:c r="F1158" s="2" t="n">
        <x:v>1</x:v>
      </x:c>
      <x:c r="G1158" s="14" t="n">
        <x:f>('레벨 계산식'!$E$4-E1158)*'레벨 계산식'!$B$5</x:f>
        <x:v>0.5599999999999999</x:v>
      </x:c>
      <x:c r="H1158" s="14" t="n">
        <x:f>('등급 계산식'!$E$4-F1158)*'등급 계산식'!$B$5</x:f>
        <x:v>0.24000000000000005</x:v>
      </x:c>
      <x:c r="I1158" s="14" t="n">
        <x:f>1-G1158-H1158</x:f>
        <x:v>0.2</x:v>
      </x:c>
      <x:c r="J1158" s="2" t="n">
        <x:f>MAX(1,ROUND('기준스탯 72종'!D54-R1158-Z1158,0))</x:f>
        <x:v>2</x:v>
      </x:c>
      <x:c r="K1158" s="2" t="n">
        <x:f>MAX(1,ROUND('기준스탯 72종'!E54-S1158-AA1158,0))</x:f>
        <x:v>1</x:v>
      </x:c>
      <x:c r="L1158" s="2" t="n">
        <x:f>MAX(1,ROUND('기준스탯 72종'!F54-T1158-AB1158,0))</x:f>
        <x:v>1</x:v>
      </x:c>
      <x:c r="M1158" s="2" t="n">
        <x:f>MAX(1,ROUND('기준스탯 72종'!G54-U1158-AC1158,0))</x:f>
        <x:v>2</x:v>
      </x:c>
      <x:c r="N1158" s="2" t="n">
        <x:f>MAX(0,ROUND('기준스탯 72종'!H54-V1158-AD1158,0))</x:f>
        <x:v>1</x:v>
      </x:c>
      <x:c r="O1158" s="2" t="n">
        <x:f>MAX(0,ROUND('기준스탯 72종'!I54-W1158-AE1158,0))</x:f>
        <x:v>1</x:v>
      </x:c>
      <x:c r="P1158" s="2" t="n">
        <x:f>MAX(0,ROUND('기준스탯 72종'!J54-X1158-AF1158,0))</x:f>
        <x:v>1</x:v>
      </x:c>
      <x:c r="Q1158" s="2" t="n">
        <x:f>MAX(0,ROUND('기준스탯 72종'!K54-Y1158-AG1158,0))</x:f>
        <x:v>0</x:v>
      </x:c>
      <x:c r="R1158" s="15" t="n">
        <x:f>'기준스탯 72종'!D54*G1158</x:f>
        <x:v>5.039999999999999</x:v>
      </x:c>
      <x:c r="S1158" s="15" t="n">
        <x:f>'기준스탯 72종'!E54*G1158</x:f>
        <x:v>2.8</x:v>
      </x:c>
      <x:c r="T1158" s="15" t="n">
        <x:f>'기준스탯 72종'!F54*G1158</x:f>
        <x:v>3.9199999999999995</x:v>
      </x:c>
      <x:c r="U1158" s="15" t="n">
        <x:f>'기준스탯 72종'!G54*G1158</x:f>
        <x:v>5.039999999999999</x:v>
      </x:c>
      <x:c r="V1158" s="15" t="n">
        <x:f>'기준스탯 72종'!H54*G1158</x:f>
        <x:v>2.2399999999999998</x:v>
      </x:c>
      <x:c r="W1158" s="15" t="n">
        <x:f>'기준스탯 72종'!I54*G1158</x:f>
        <x:v>3.9199999999999995</x:v>
      </x:c>
      <x:c r="X1158" s="15" t="n">
        <x:f>'기준스탯 72종'!J54*G1158</x:f>
        <x:v>2.8</x:v>
      </x:c>
      <x:c r="Y1158" s="15" t="n">
        <x:f>'기준스탯 72종'!K54*G1158</x:f>
        <x:v>0</x:v>
      </x:c>
      <x:c r="Z1158" s="15" t="n">
        <x:f>'기준스탯 72종'!D54*H1158</x:f>
        <x:v>2.1600000000000006</x:v>
      </x:c>
      <x:c r="AA1158" s="15" t="n">
        <x:f>'기준스탯 72종'!E54*H1158</x:f>
        <x:v>1.2000000000000002</x:v>
      </x:c>
      <x:c r="AB1158" s="15" t="n">
        <x:f>'기준스탯 72종'!F54*H1158</x:f>
        <x:v>1.6800000000000004</x:v>
      </x:c>
      <x:c r="AC1158" s="15" t="n">
        <x:f>'기준스탯 72종'!G54*H1158</x:f>
        <x:v>2.1600000000000006</x:v>
      </x:c>
      <x:c r="AD1158" s="15" t="n">
        <x:f>'기준스탯 72종'!H54*H1158</x:f>
        <x:v>0.9600000000000002</x:v>
      </x:c>
      <x:c r="AE1158" s="15" t="n">
        <x:f>'기준스탯 72종'!I54*H1158</x:f>
        <x:v>1.6800000000000004</x:v>
      </x:c>
      <x:c r="AF1158" s="15" t="n">
        <x:f>'기준스탯 72종'!J54*H1158</x:f>
        <x:v>1.2000000000000002</x:v>
      </x:c>
      <x:c r="AG1158" s="15" t="n">
        <x:f>'기준스탯 72종'!K54*H1158</x:f>
        <x:v>0</x:v>
      </x:c>
    </x:row>
    <x:row r="1159" ht="28" customHeight="1">
      <x:c r="A1159" s="2" t="n">
        <x:v>1152</x:v>
      </x:c>
      <x:c r="B1159" s="2" t="n">
        <x:v>47</x:v>
      </x:c>
      <x:c r="C1159" s="2" t="str">
        <x:v>전갈자리</x:v>
      </x:c>
      <x:c r="D1159" s="2" t="str">
        <x:v>도적</x:v>
      </x:c>
      <x:c r="E1159" s="2" t="n">
        <x:v>2</x:v>
      </x:c>
      <x:c r="F1159" s="2" t="n">
        <x:v>1</x:v>
      </x:c>
      <x:c r="G1159" s="14" t="n">
        <x:f>('레벨 계산식'!$E$4-E1159)*'레벨 계산식'!$B$5</x:f>
        <x:v>0.41999999999999993</x:v>
      </x:c>
      <x:c r="H1159" s="14" t="n">
        <x:f>('등급 계산식'!$E$4-F1159)*'등급 계산식'!$B$5</x:f>
        <x:v>0.24000000000000005</x:v>
      </x:c>
      <x:c r="I1159" s="14" t="n">
        <x:f>1-G1159-H1159</x:f>
        <x:v>0.34</x:v>
      </x:c>
      <x:c r="J1159" s="2" t="n">
        <x:f>MAX(1,ROUND('기준스탯 72종'!D54-R1159-Z1159,0))</x:f>
        <x:v>3</x:v>
      </x:c>
      <x:c r="K1159" s="2" t="n">
        <x:f>MAX(1,ROUND('기준스탯 72종'!E54-S1159-AA1159,0))</x:f>
        <x:v>2</x:v>
      </x:c>
      <x:c r="L1159" s="2" t="n">
        <x:f>MAX(1,ROUND('기준스탯 72종'!F54-T1159-AB1159,0))</x:f>
        <x:v>2</x:v>
      </x:c>
      <x:c r="M1159" s="2" t="n">
        <x:f>MAX(1,ROUND('기준스탯 72종'!G54-U1159-AC1159,0))</x:f>
        <x:v>3</x:v>
      </x:c>
      <x:c r="N1159" s="2" t="n">
        <x:f>MAX(0,ROUND('기준스탯 72종'!H54-V1159-AD1159,0))</x:f>
        <x:v>1</x:v>
      </x:c>
      <x:c r="O1159" s="2" t="n">
        <x:f>MAX(0,ROUND('기준스탯 72종'!I54-W1159-AE1159,0))</x:f>
        <x:v>2</x:v>
      </x:c>
      <x:c r="P1159" s="2" t="n">
        <x:f>MAX(0,ROUND('기준스탯 72종'!J54-X1159-AF1159,0))</x:f>
        <x:v>2</x:v>
      </x:c>
      <x:c r="Q1159" s="2" t="n">
        <x:f>MAX(0,ROUND('기준스탯 72종'!K54-Y1159-AG1159,0))</x:f>
        <x:v>0</x:v>
      </x:c>
      <x:c r="R1159" s="15" t="n">
        <x:f>'기준스탯 72종'!D54*G1159</x:f>
        <x:v>3.7799999999999994</x:v>
      </x:c>
      <x:c r="S1159" s="15" t="n">
        <x:f>'기준스탯 72종'!E54*G1159</x:f>
        <x:v>2.0999999999999996</x:v>
      </x:c>
      <x:c r="T1159" s="15" t="n">
        <x:f>'기준스탯 72종'!F54*G1159</x:f>
        <x:v>2.9399999999999995</x:v>
      </x:c>
      <x:c r="U1159" s="15" t="n">
        <x:f>'기준스탯 72종'!G54*G1159</x:f>
        <x:v>3.7799999999999994</x:v>
      </x:c>
      <x:c r="V1159" s="15" t="n">
        <x:f>'기준스탯 72종'!H54*G1159</x:f>
        <x:v>1.6799999999999997</x:v>
      </x:c>
      <x:c r="W1159" s="15" t="n">
        <x:f>'기준스탯 72종'!I54*G1159</x:f>
        <x:v>2.9399999999999995</x:v>
      </x:c>
      <x:c r="X1159" s="15" t="n">
        <x:f>'기준스탯 72종'!J54*G1159</x:f>
        <x:v>2.0999999999999996</x:v>
      </x:c>
      <x:c r="Y1159" s="15" t="n">
        <x:f>'기준스탯 72종'!K54*G1159</x:f>
        <x:v>0</x:v>
      </x:c>
      <x:c r="Z1159" s="15" t="n">
        <x:f>'기준스탯 72종'!D54*H1159</x:f>
        <x:v>2.1600000000000006</x:v>
      </x:c>
      <x:c r="AA1159" s="15" t="n">
        <x:f>'기준스탯 72종'!E54*H1159</x:f>
        <x:v>1.2000000000000002</x:v>
      </x:c>
      <x:c r="AB1159" s="15" t="n">
        <x:f>'기준스탯 72종'!F54*H1159</x:f>
        <x:v>1.6800000000000004</x:v>
      </x:c>
      <x:c r="AC1159" s="15" t="n">
        <x:f>'기준스탯 72종'!G54*H1159</x:f>
        <x:v>2.1600000000000006</x:v>
      </x:c>
      <x:c r="AD1159" s="15" t="n">
        <x:f>'기준스탯 72종'!H54*H1159</x:f>
        <x:v>0.9600000000000002</x:v>
      </x:c>
      <x:c r="AE1159" s="15" t="n">
        <x:f>'기준스탯 72종'!I54*H1159</x:f>
        <x:v>1.6800000000000004</x:v>
      </x:c>
      <x:c r="AF1159" s="15" t="n">
        <x:f>'기준스탯 72종'!J54*H1159</x:f>
        <x:v>1.2000000000000002</x:v>
      </x:c>
      <x:c r="AG1159" s="15" t="n">
        <x:f>'기준스탯 72종'!K54*H1159</x:f>
        <x:v>0</x:v>
      </x:c>
    </x:row>
    <x:row r="1160" ht="28" customHeight="1">
      <x:c r="A1160" s="2" t="n">
        <x:v>1153</x:v>
      </x:c>
      <x:c r="B1160" s="2" t="n">
        <x:v>47</x:v>
      </x:c>
      <x:c r="C1160" s="2" t="str">
        <x:v>전갈자리</x:v>
      </x:c>
      <x:c r="D1160" s="2" t="str">
        <x:v>도적</x:v>
      </x:c>
      <x:c r="E1160" s="2" t="n">
        <x:v>3</x:v>
      </x:c>
      <x:c r="F1160" s="2" t="n">
        <x:v>1</x:v>
      </x:c>
      <x:c r="G1160" s="14" t="n">
        <x:f>('레벨 계산식'!$E$4-E1160)*'레벨 계산식'!$B$5</x:f>
        <x:v>0.27999999999999997</x:v>
      </x:c>
      <x:c r="H1160" s="14" t="n">
        <x:f>('등급 계산식'!$E$4-F1160)*'등급 계산식'!$B$5</x:f>
        <x:v>0.24000000000000005</x:v>
      </x:c>
      <x:c r="I1160" s="14" t="n">
        <x:f>1-G1160-H1160</x:f>
        <x:v>0.4799999999999999</x:v>
      </x:c>
      <x:c r="J1160" s="2" t="n">
        <x:f>MAX(1,ROUND('기준스탯 72종'!D54-R1160-Z1160,0))</x:f>
        <x:v>4</x:v>
      </x:c>
      <x:c r="K1160" s="2" t="n">
        <x:f>MAX(1,ROUND('기준스탯 72종'!E54-S1160-AA1160,0))</x:f>
        <x:v>2</x:v>
      </x:c>
      <x:c r="L1160" s="2" t="n">
        <x:f>MAX(1,ROUND('기준스탯 72종'!F54-T1160-AB1160,0))</x:f>
        <x:v>3</x:v>
      </x:c>
      <x:c r="M1160" s="2" t="n">
        <x:f>MAX(1,ROUND('기준스탯 72종'!G54-U1160-AC1160,0))</x:f>
        <x:v>4</x:v>
      </x:c>
      <x:c r="N1160" s="2" t="n">
        <x:f>MAX(0,ROUND('기준스탯 72종'!H54-V1160-AD1160,0))</x:f>
        <x:v>2</x:v>
      </x:c>
      <x:c r="O1160" s="2" t="n">
        <x:f>MAX(0,ROUND('기준스탯 72종'!I54-W1160-AE1160,0))</x:f>
        <x:v>3</x:v>
      </x:c>
      <x:c r="P1160" s="2" t="n">
        <x:f>MAX(0,ROUND('기준스탯 72종'!J54-X1160-AF1160,0))</x:f>
        <x:v>2</x:v>
      </x:c>
      <x:c r="Q1160" s="2" t="n">
        <x:f>MAX(0,ROUND('기준스탯 72종'!K54-Y1160-AG1160,0))</x:f>
        <x:v>0</x:v>
      </x:c>
      <x:c r="R1160" s="15" t="n">
        <x:f>'기준스탯 72종'!D54*G1160</x:f>
        <x:v>2.5199999999999996</x:v>
      </x:c>
      <x:c r="S1160" s="15" t="n">
        <x:f>'기준스탯 72종'!E54*G1160</x:f>
        <x:v>1.4</x:v>
      </x:c>
      <x:c r="T1160" s="15" t="n">
        <x:f>'기준스탯 72종'!F54*G1160</x:f>
        <x:v>1.9599999999999997</x:v>
      </x:c>
      <x:c r="U1160" s="15" t="n">
        <x:f>'기준스탯 72종'!G54*G1160</x:f>
        <x:v>2.5199999999999996</x:v>
      </x:c>
      <x:c r="V1160" s="15" t="n">
        <x:f>'기준스탯 72종'!H54*G1160</x:f>
        <x:v>1.1199999999999999</x:v>
      </x:c>
      <x:c r="W1160" s="15" t="n">
        <x:f>'기준스탯 72종'!I54*G1160</x:f>
        <x:v>1.9599999999999997</x:v>
      </x:c>
      <x:c r="X1160" s="15" t="n">
        <x:f>'기준스탯 72종'!J54*G1160</x:f>
        <x:v>1.4</x:v>
      </x:c>
      <x:c r="Y1160" s="15" t="n">
        <x:f>'기준스탯 72종'!K54*G1160</x:f>
        <x:v>0</x:v>
      </x:c>
      <x:c r="Z1160" s="15" t="n">
        <x:f>'기준스탯 72종'!D54*H1160</x:f>
        <x:v>2.1600000000000006</x:v>
      </x:c>
      <x:c r="AA1160" s="15" t="n">
        <x:f>'기준스탯 72종'!E54*H1160</x:f>
        <x:v>1.2000000000000002</x:v>
      </x:c>
      <x:c r="AB1160" s="15" t="n">
        <x:f>'기준스탯 72종'!F54*H1160</x:f>
        <x:v>1.6800000000000004</x:v>
      </x:c>
      <x:c r="AC1160" s="15" t="n">
        <x:f>'기준스탯 72종'!G54*H1160</x:f>
        <x:v>2.1600000000000006</x:v>
      </x:c>
      <x:c r="AD1160" s="15" t="n">
        <x:f>'기준스탯 72종'!H54*H1160</x:f>
        <x:v>0.9600000000000002</x:v>
      </x:c>
      <x:c r="AE1160" s="15" t="n">
        <x:f>'기준스탯 72종'!I54*H1160</x:f>
        <x:v>1.6800000000000004</x:v>
      </x:c>
      <x:c r="AF1160" s="15" t="n">
        <x:f>'기준스탯 72종'!J54*H1160</x:f>
        <x:v>1.2000000000000002</x:v>
      </x:c>
      <x:c r="AG1160" s="15" t="n">
        <x:f>'기준스탯 72종'!K54*H1160</x:f>
        <x:v>0</x:v>
      </x:c>
    </x:row>
    <x:row r="1161" ht="28" customHeight="1">
      <x:c r="A1161" s="2" t="n">
        <x:v>1154</x:v>
      </x:c>
      <x:c r="B1161" s="2" t="n">
        <x:v>47</x:v>
      </x:c>
      <x:c r="C1161" s="2" t="str">
        <x:v>전갈자리</x:v>
      </x:c>
      <x:c r="D1161" s="2" t="str">
        <x:v>도적</x:v>
      </x:c>
      <x:c r="E1161" s="2" t="n">
        <x:v>4</x:v>
      </x:c>
      <x:c r="F1161" s="2" t="n">
        <x:v>1</x:v>
      </x:c>
      <x:c r="G1161" s="14" t="n">
        <x:f>('레벨 계산식'!$E$4-E1161)*'레벨 계산식'!$B$5</x:f>
        <x:v>0.13999999999999999</x:v>
      </x:c>
      <x:c r="H1161" s="14" t="n">
        <x:f>('등급 계산식'!$E$4-F1161)*'등급 계산식'!$B$5</x:f>
        <x:v>0.24000000000000005</x:v>
      </x:c>
      <x:c r="I1161" s="14" t="n">
        <x:f>1-G1161-H1161</x:f>
        <x:v>0.6199999999999999</x:v>
      </x:c>
      <x:c r="J1161" s="2" t="n">
        <x:f>MAX(1,ROUND('기준스탯 72종'!D54-R1161-Z1161,0))</x:f>
        <x:v>6</x:v>
      </x:c>
      <x:c r="K1161" s="2" t="n">
        <x:f>MAX(1,ROUND('기준스탯 72종'!E54-S1161-AA1161,0))</x:f>
        <x:v>3</x:v>
      </x:c>
      <x:c r="L1161" s="2" t="n">
        <x:f>MAX(1,ROUND('기준스탯 72종'!F54-T1161-AB1161,0))</x:f>
        <x:v>4</x:v>
      </x:c>
      <x:c r="M1161" s="2" t="n">
        <x:f>MAX(1,ROUND('기준스탯 72종'!G54-U1161-AC1161,0))</x:f>
        <x:v>6</x:v>
      </x:c>
      <x:c r="N1161" s="2" t="n">
        <x:f>MAX(0,ROUND('기준스탯 72종'!H54-V1161-AD1161,0))</x:f>
        <x:v>2</x:v>
      </x:c>
      <x:c r="O1161" s="2" t="n">
        <x:f>MAX(0,ROUND('기준스탯 72종'!I54-W1161-AE1161,0))</x:f>
        <x:v>4</x:v>
      </x:c>
      <x:c r="P1161" s="2" t="n">
        <x:f>MAX(0,ROUND('기준스탯 72종'!J54-X1161-AF1161,0))</x:f>
        <x:v>3</x:v>
      </x:c>
      <x:c r="Q1161" s="2" t="n">
        <x:f>MAX(0,ROUND('기준스탯 72종'!K54-Y1161-AG1161,0))</x:f>
        <x:v>0</x:v>
      </x:c>
      <x:c r="R1161" s="15" t="n">
        <x:f>'기준스탯 72종'!D54*G1161</x:f>
        <x:v>1.2599999999999998</x:v>
      </x:c>
      <x:c r="S1161" s="15" t="n">
        <x:f>'기준스탯 72종'!E54*G1161</x:f>
        <x:v>0.7</x:v>
      </x:c>
      <x:c r="T1161" s="15" t="n">
        <x:f>'기준스탯 72종'!F54*G1161</x:f>
        <x:v>0.9799999999999999</x:v>
      </x:c>
      <x:c r="U1161" s="15" t="n">
        <x:f>'기준스탯 72종'!G54*G1161</x:f>
        <x:v>1.2599999999999998</x:v>
      </x:c>
      <x:c r="V1161" s="15" t="n">
        <x:f>'기준스탯 72종'!H54*G1161</x:f>
        <x:v>0.5599999999999999</x:v>
      </x:c>
      <x:c r="W1161" s="15" t="n">
        <x:f>'기준스탯 72종'!I54*G1161</x:f>
        <x:v>0.9799999999999999</x:v>
      </x:c>
      <x:c r="X1161" s="15" t="n">
        <x:f>'기준스탯 72종'!J54*G1161</x:f>
        <x:v>0.7</x:v>
      </x:c>
      <x:c r="Y1161" s="15" t="n">
        <x:f>'기준스탯 72종'!K54*G1161</x:f>
        <x:v>0</x:v>
      </x:c>
      <x:c r="Z1161" s="15" t="n">
        <x:f>'기준스탯 72종'!D54*H1161</x:f>
        <x:v>2.1600000000000006</x:v>
      </x:c>
      <x:c r="AA1161" s="15" t="n">
        <x:f>'기준스탯 72종'!E54*H1161</x:f>
        <x:v>1.2000000000000002</x:v>
      </x:c>
      <x:c r="AB1161" s="15" t="n">
        <x:f>'기준스탯 72종'!F54*H1161</x:f>
        <x:v>1.6800000000000004</x:v>
      </x:c>
      <x:c r="AC1161" s="15" t="n">
        <x:f>'기준스탯 72종'!G54*H1161</x:f>
        <x:v>2.1600000000000006</x:v>
      </x:c>
      <x:c r="AD1161" s="15" t="n">
        <x:f>'기준스탯 72종'!H54*H1161</x:f>
        <x:v>0.9600000000000002</x:v>
      </x:c>
      <x:c r="AE1161" s="15" t="n">
        <x:f>'기준스탯 72종'!I54*H1161</x:f>
        <x:v>1.6800000000000004</x:v>
      </x:c>
      <x:c r="AF1161" s="15" t="n">
        <x:f>'기준스탯 72종'!J54*H1161</x:f>
        <x:v>1.2000000000000002</x:v>
      </x:c>
      <x:c r="AG1161" s="15" t="n">
        <x:f>'기준스탯 72종'!K54*H1161</x:f>
        <x:v>0</x:v>
      </x:c>
    </x:row>
    <x:row r="1162" ht="28" customHeight="1">
      <x:c r="A1162" s="2" t="n">
        <x:v>1155</x:v>
      </x:c>
      <x:c r="B1162" s="2" t="n">
        <x:v>47</x:v>
      </x:c>
      <x:c r="C1162" s="2" t="str">
        <x:v>전갈자리</x:v>
      </x:c>
      <x:c r="D1162" s="2" t="str">
        <x:v>도적</x:v>
      </x:c>
      <x:c r="E1162" s="2" t="n">
        <x:v>5</x:v>
      </x:c>
      <x:c r="F1162" s="2" t="n">
        <x:v>1</x:v>
      </x:c>
      <x:c r="G1162" s="14" t="n">
        <x:f>('레벨 계산식'!$E$4-E1162)*'레벨 계산식'!$B$5</x:f>
        <x:v>0</x:v>
      </x:c>
      <x:c r="H1162" s="14" t="n">
        <x:f>('등급 계산식'!$E$4-F1162)*'등급 계산식'!$B$5</x:f>
        <x:v>0.24000000000000005</x:v>
      </x:c>
      <x:c r="I1162" s="14" t="n">
        <x:f>1-G1162-H1162</x:f>
        <x:v>0.76</x:v>
      </x:c>
      <x:c r="J1162" s="2" t="n">
        <x:f>MAX(1,ROUND('기준스탯 72종'!D54-R1162-Z1162,0))</x:f>
        <x:v>7</x:v>
      </x:c>
      <x:c r="K1162" s="2" t="n">
        <x:f>MAX(1,ROUND('기준스탯 72종'!E54-S1162-AA1162,0))</x:f>
        <x:v>4</x:v>
      </x:c>
      <x:c r="L1162" s="2" t="n">
        <x:f>MAX(1,ROUND('기준스탯 72종'!F54-T1162-AB1162,0))</x:f>
        <x:v>5</x:v>
      </x:c>
      <x:c r="M1162" s="2" t="n">
        <x:f>MAX(1,ROUND('기준스탯 72종'!G54-U1162-AC1162,0))</x:f>
        <x:v>7</x:v>
      </x:c>
      <x:c r="N1162" s="2" t="n">
        <x:f>MAX(0,ROUND('기준스탯 72종'!H54-V1162-AD1162,0))</x:f>
        <x:v>3</x:v>
      </x:c>
      <x:c r="O1162" s="2" t="n">
        <x:f>MAX(0,ROUND('기준스탯 72종'!I54-W1162-AE1162,0))</x:f>
        <x:v>5</x:v>
      </x:c>
      <x:c r="P1162" s="2" t="n">
        <x:f>MAX(0,ROUND('기준스탯 72종'!J54-X1162-AF1162,0))</x:f>
        <x:v>4</x:v>
      </x:c>
      <x:c r="Q1162" s="2" t="n">
        <x:f>MAX(0,ROUND('기준스탯 72종'!K54-Y1162-AG1162,0))</x:f>
        <x:v>0</x:v>
      </x:c>
      <x:c r="R1162" s="15" t="n">
        <x:f>'기준스탯 72종'!D54*G1162</x:f>
        <x:v>0</x:v>
      </x:c>
      <x:c r="S1162" s="15" t="n">
        <x:f>'기준스탯 72종'!E54*G1162</x:f>
        <x:v>0</x:v>
      </x:c>
      <x:c r="T1162" s="15" t="n">
        <x:f>'기준스탯 72종'!F54*G1162</x:f>
        <x:v>0</x:v>
      </x:c>
      <x:c r="U1162" s="15" t="n">
        <x:f>'기준스탯 72종'!G54*G1162</x:f>
        <x:v>0</x:v>
      </x:c>
      <x:c r="V1162" s="15" t="n">
        <x:f>'기준스탯 72종'!H54*G1162</x:f>
        <x:v>0</x:v>
      </x:c>
      <x:c r="W1162" s="15" t="n">
        <x:f>'기준스탯 72종'!I54*G1162</x:f>
        <x:v>0</x:v>
      </x:c>
      <x:c r="X1162" s="15" t="n">
        <x:f>'기준스탯 72종'!J54*G1162</x:f>
        <x:v>0</x:v>
      </x:c>
      <x:c r="Y1162" s="15" t="n">
        <x:f>'기준스탯 72종'!K54*G1162</x:f>
        <x:v>0</x:v>
      </x:c>
      <x:c r="Z1162" s="15" t="n">
        <x:f>'기준스탯 72종'!D54*H1162</x:f>
        <x:v>2.1600000000000006</x:v>
      </x:c>
      <x:c r="AA1162" s="15" t="n">
        <x:f>'기준스탯 72종'!E54*H1162</x:f>
        <x:v>1.2000000000000002</x:v>
      </x:c>
      <x:c r="AB1162" s="15" t="n">
        <x:f>'기준스탯 72종'!F54*H1162</x:f>
        <x:v>1.6800000000000004</x:v>
      </x:c>
      <x:c r="AC1162" s="15" t="n">
        <x:f>'기준스탯 72종'!G54*H1162</x:f>
        <x:v>2.1600000000000006</x:v>
      </x:c>
      <x:c r="AD1162" s="15" t="n">
        <x:f>'기준스탯 72종'!H54*H1162</x:f>
        <x:v>0.9600000000000002</x:v>
      </x:c>
      <x:c r="AE1162" s="15" t="n">
        <x:f>'기준스탯 72종'!I54*H1162</x:f>
        <x:v>1.6800000000000004</x:v>
      </x:c>
      <x:c r="AF1162" s="15" t="n">
        <x:f>'기준스탯 72종'!J54*H1162</x:f>
        <x:v>1.2000000000000002</x:v>
      </x:c>
      <x:c r="AG1162" s="15" t="n">
        <x:f>'기준스탯 72종'!K54*H1162</x:f>
        <x:v>0</x:v>
      </x:c>
    </x:row>
    <x:row r="1163" ht="28" customHeight="1">
      <x:c r="A1163" s="2" t="n">
        <x:v>1156</x:v>
      </x:c>
      <x:c r="B1163" s="2" t="n">
        <x:v>47</x:v>
      </x:c>
      <x:c r="C1163" s="2" t="str">
        <x:v>전갈자리</x:v>
      </x:c>
      <x:c r="D1163" s="2" t="str">
        <x:v>도적</x:v>
      </x:c>
      <x:c r="E1163" s="2" t="n">
        <x:v>1</x:v>
      </x:c>
      <x:c r="F1163" s="2" t="n">
        <x:v>2</x:v>
      </x:c>
      <x:c r="G1163" s="14" t="n">
        <x:f>('레벨 계산식'!$E$4-E1163)*'레벨 계산식'!$B$5</x:f>
        <x:v>0.5599999999999999</x:v>
      </x:c>
      <x:c r="H1163" s="14" t="n">
        <x:f>('등급 계산식'!$E$4-F1163)*'등급 계산식'!$B$5</x:f>
        <x:v>0.18000000000000005</x:v>
      </x:c>
      <x:c r="I1163" s="14" t="n">
        <x:f>1-G1163-H1163</x:f>
        <x:v>0.26</x:v>
      </x:c>
      <x:c r="J1163" s="2" t="n">
        <x:f>MAX(1,ROUND('기준스탯 72종'!D54-R1163-Z1163,0))</x:f>
        <x:v>2</x:v>
      </x:c>
      <x:c r="K1163" s="2" t="n">
        <x:f>MAX(1,ROUND('기준스탯 72종'!E54-S1163-AA1163,0))</x:f>
        <x:v>1</x:v>
      </x:c>
      <x:c r="L1163" s="2" t="n">
        <x:f>MAX(1,ROUND('기준스탯 72종'!F54-T1163-AB1163,0))</x:f>
        <x:v>2</x:v>
      </x:c>
      <x:c r="M1163" s="2" t="n">
        <x:f>MAX(1,ROUND('기준스탯 72종'!G54-U1163-AC1163,0))</x:f>
        <x:v>2</x:v>
      </x:c>
      <x:c r="N1163" s="2" t="n">
        <x:f>MAX(0,ROUND('기준스탯 72종'!H54-V1163-AD1163,0))</x:f>
        <x:v>1</x:v>
      </x:c>
      <x:c r="O1163" s="2" t="n">
        <x:f>MAX(0,ROUND('기준스탯 72종'!I54-W1163-AE1163,0))</x:f>
        <x:v>2</x:v>
      </x:c>
      <x:c r="P1163" s="2" t="n">
        <x:f>MAX(0,ROUND('기준스탯 72종'!J54-X1163-AF1163,0))</x:f>
        <x:v>1</x:v>
      </x:c>
      <x:c r="Q1163" s="2" t="n">
        <x:f>MAX(0,ROUND('기준스탯 72종'!K54-Y1163-AG1163,0))</x:f>
        <x:v>0</x:v>
      </x:c>
      <x:c r="R1163" s="15" t="n">
        <x:f>'기준스탯 72종'!D54*G1163</x:f>
        <x:v>5.039999999999999</x:v>
      </x:c>
      <x:c r="S1163" s="15" t="n">
        <x:f>'기준스탯 72종'!E54*G1163</x:f>
        <x:v>2.8</x:v>
      </x:c>
      <x:c r="T1163" s="15" t="n">
        <x:f>'기준스탯 72종'!F54*G1163</x:f>
        <x:v>3.9199999999999995</x:v>
      </x:c>
      <x:c r="U1163" s="15" t="n">
        <x:f>'기준스탯 72종'!G54*G1163</x:f>
        <x:v>5.039999999999999</x:v>
      </x:c>
      <x:c r="V1163" s="15" t="n">
        <x:f>'기준스탯 72종'!H54*G1163</x:f>
        <x:v>2.2399999999999998</x:v>
      </x:c>
      <x:c r="W1163" s="15" t="n">
        <x:f>'기준스탯 72종'!I54*G1163</x:f>
        <x:v>3.9199999999999995</x:v>
      </x:c>
      <x:c r="X1163" s="15" t="n">
        <x:f>'기준스탯 72종'!J54*G1163</x:f>
        <x:v>2.8</x:v>
      </x:c>
      <x:c r="Y1163" s="15" t="n">
        <x:f>'기준스탯 72종'!K54*G1163</x:f>
        <x:v>0</x:v>
      </x:c>
      <x:c r="Z1163" s="15" t="n">
        <x:f>'기준스탯 72종'!D54*H1163</x:f>
        <x:v>1.6200000000000006</x:v>
      </x:c>
      <x:c r="AA1163" s="15" t="n">
        <x:f>'기준스탯 72종'!E54*H1163</x:f>
        <x:v>0.9000000000000002</x:v>
      </x:c>
      <x:c r="AB1163" s="15" t="n">
        <x:f>'기준스탯 72종'!F54*H1163</x:f>
        <x:v>1.2600000000000002</x:v>
      </x:c>
      <x:c r="AC1163" s="15" t="n">
        <x:f>'기준스탯 72종'!G54*H1163</x:f>
        <x:v>1.6200000000000006</x:v>
      </x:c>
      <x:c r="AD1163" s="15" t="n">
        <x:f>'기준스탯 72종'!H54*H1163</x:f>
        <x:v>0.7200000000000002</x:v>
      </x:c>
      <x:c r="AE1163" s="15" t="n">
        <x:f>'기준스탯 72종'!I54*H1163</x:f>
        <x:v>1.2600000000000002</x:v>
      </x:c>
      <x:c r="AF1163" s="15" t="n">
        <x:f>'기준스탯 72종'!J54*H1163</x:f>
        <x:v>0.9000000000000002</x:v>
      </x:c>
      <x:c r="AG1163" s="15" t="n">
        <x:f>'기준스탯 72종'!K54*H1163</x:f>
        <x:v>0</x:v>
      </x:c>
    </x:row>
    <x:row r="1164" ht="28" customHeight="1">
      <x:c r="A1164" s="2" t="n">
        <x:v>1157</x:v>
      </x:c>
      <x:c r="B1164" s="2" t="n">
        <x:v>47</x:v>
      </x:c>
      <x:c r="C1164" s="2" t="str">
        <x:v>전갈자리</x:v>
      </x:c>
      <x:c r="D1164" s="2" t="str">
        <x:v>도적</x:v>
      </x:c>
      <x:c r="E1164" s="2" t="n">
        <x:v>2</x:v>
      </x:c>
      <x:c r="F1164" s="2" t="n">
        <x:v>2</x:v>
      </x:c>
      <x:c r="G1164" s="14" t="n">
        <x:f>('레벨 계산식'!$E$4-E1164)*'레벨 계산식'!$B$5</x:f>
        <x:v>0.41999999999999993</x:v>
      </x:c>
      <x:c r="H1164" s="14" t="n">
        <x:f>('등급 계산식'!$E$4-F1164)*'등급 계산식'!$B$5</x:f>
        <x:v>0.18000000000000005</x:v>
      </x:c>
      <x:c r="I1164" s="14" t="n">
        <x:f>1-G1164-H1164</x:f>
        <x:v>0.4</x:v>
      </x:c>
      <x:c r="J1164" s="2" t="n">
        <x:f>MAX(1,ROUND('기준스탯 72종'!D54-R1164-Z1164,0))</x:f>
        <x:v>4</x:v>
      </x:c>
      <x:c r="K1164" s="2" t="n">
        <x:f>MAX(1,ROUND('기준스탯 72종'!E54-S1164-AA1164,0))</x:f>
        <x:v>2</x:v>
      </x:c>
      <x:c r="L1164" s="2" t="n">
        <x:f>MAX(1,ROUND('기준스탯 72종'!F54-T1164-AB1164,0))</x:f>
        <x:v>3</x:v>
      </x:c>
      <x:c r="M1164" s="2" t="n">
        <x:f>MAX(1,ROUND('기준스탯 72종'!G54-U1164-AC1164,0))</x:f>
        <x:v>4</x:v>
      </x:c>
      <x:c r="N1164" s="2" t="n">
        <x:f>MAX(0,ROUND('기준스탯 72종'!H54-V1164-AD1164,0))</x:f>
        <x:v>2</x:v>
      </x:c>
      <x:c r="O1164" s="2" t="n">
        <x:f>MAX(0,ROUND('기준스탯 72종'!I54-W1164-AE1164,0))</x:f>
        <x:v>3</x:v>
      </x:c>
      <x:c r="P1164" s="2" t="n">
        <x:f>MAX(0,ROUND('기준스탯 72종'!J54-X1164-AF1164,0))</x:f>
        <x:v>2</x:v>
      </x:c>
      <x:c r="Q1164" s="2" t="n">
        <x:f>MAX(0,ROUND('기준스탯 72종'!K54-Y1164-AG1164,0))</x:f>
        <x:v>0</x:v>
      </x:c>
      <x:c r="R1164" s="15" t="n">
        <x:f>'기준스탯 72종'!D54*G1164</x:f>
        <x:v>3.7799999999999994</x:v>
      </x:c>
      <x:c r="S1164" s="15" t="n">
        <x:f>'기준스탯 72종'!E54*G1164</x:f>
        <x:v>2.0999999999999996</x:v>
      </x:c>
      <x:c r="T1164" s="15" t="n">
        <x:f>'기준스탯 72종'!F54*G1164</x:f>
        <x:v>2.9399999999999995</x:v>
      </x:c>
      <x:c r="U1164" s="15" t="n">
        <x:f>'기준스탯 72종'!G54*G1164</x:f>
        <x:v>3.7799999999999994</x:v>
      </x:c>
      <x:c r="V1164" s="15" t="n">
        <x:f>'기준스탯 72종'!H54*G1164</x:f>
        <x:v>1.6799999999999997</x:v>
      </x:c>
      <x:c r="W1164" s="15" t="n">
        <x:f>'기준스탯 72종'!I54*G1164</x:f>
        <x:v>2.9399999999999995</x:v>
      </x:c>
      <x:c r="X1164" s="15" t="n">
        <x:f>'기준스탯 72종'!J54*G1164</x:f>
        <x:v>2.0999999999999996</x:v>
      </x:c>
      <x:c r="Y1164" s="15" t="n">
        <x:f>'기준스탯 72종'!K54*G1164</x:f>
        <x:v>0</x:v>
      </x:c>
      <x:c r="Z1164" s="15" t="n">
        <x:f>'기준스탯 72종'!D54*H1164</x:f>
        <x:v>1.6200000000000006</x:v>
      </x:c>
      <x:c r="AA1164" s="15" t="n">
        <x:f>'기준스탯 72종'!E54*H1164</x:f>
        <x:v>0.9000000000000002</x:v>
      </x:c>
      <x:c r="AB1164" s="15" t="n">
        <x:f>'기준스탯 72종'!F54*H1164</x:f>
        <x:v>1.2600000000000002</x:v>
      </x:c>
      <x:c r="AC1164" s="15" t="n">
        <x:f>'기준스탯 72종'!G54*H1164</x:f>
        <x:v>1.6200000000000006</x:v>
      </x:c>
      <x:c r="AD1164" s="15" t="n">
        <x:f>'기준스탯 72종'!H54*H1164</x:f>
        <x:v>0.7200000000000002</x:v>
      </x:c>
      <x:c r="AE1164" s="15" t="n">
        <x:f>'기준스탯 72종'!I54*H1164</x:f>
        <x:v>1.2600000000000002</x:v>
      </x:c>
      <x:c r="AF1164" s="15" t="n">
        <x:f>'기준스탯 72종'!J54*H1164</x:f>
        <x:v>0.9000000000000002</x:v>
      </x:c>
      <x:c r="AG1164" s="15" t="n">
        <x:f>'기준스탯 72종'!K54*H1164</x:f>
        <x:v>0</x:v>
      </x:c>
    </x:row>
    <x:row r="1165" ht="28" customHeight="1">
      <x:c r="A1165" s="2" t="n">
        <x:v>1158</x:v>
      </x:c>
      <x:c r="B1165" s="2" t="n">
        <x:v>47</x:v>
      </x:c>
      <x:c r="C1165" s="2" t="str">
        <x:v>전갈자리</x:v>
      </x:c>
      <x:c r="D1165" s="2" t="str">
        <x:v>도적</x:v>
      </x:c>
      <x:c r="E1165" s="2" t="n">
        <x:v>3</x:v>
      </x:c>
      <x:c r="F1165" s="2" t="n">
        <x:v>2</x:v>
      </x:c>
      <x:c r="G1165" s="14" t="n">
        <x:f>('레벨 계산식'!$E$4-E1165)*'레벨 계산식'!$B$5</x:f>
        <x:v>0.27999999999999997</x:v>
      </x:c>
      <x:c r="H1165" s="14" t="n">
        <x:f>('등급 계산식'!$E$4-F1165)*'등급 계산식'!$B$5</x:f>
        <x:v>0.18000000000000005</x:v>
      </x:c>
      <x:c r="I1165" s="14" t="n">
        <x:f>1-G1165-H1165</x:f>
        <x:v>0.5399999999999999</x:v>
      </x:c>
      <x:c r="J1165" s="2" t="n">
        <x:f>MAX(1,ROUND('기준스탯 72종'!D54-R1165-Z1165,0))</x:f>
        <x:v>5</x:v>
      </x:c>
      <x:c r="K1165" s="2" t="n">
        <x:f>MAX(1,ROUND('기준스탯 72종'!E54-S1165-AA1165,0))</x:f>
        <x:v>3</x:v>
      </x:c>
      <x:c r="L1165" s="2" t="n">
        <x:f>MAX(1,ROUND('기준스탯 72종'!F54-T1165-AB1165,0))</x:f>
        <x:v>4</x:v>
      </x:c>
      <x:c r="M1165" s="2" t="n">
        <x:f>MAX(1,ROUND('기준스탯 72종'!G54-U1165-AC1165,0))</x:f>
        <x:v>5</x:v>
      </x:c>
      <x:c r="N1165" s="2" t="n">
        <x:f>MAX(0,ROUND('기준스탯 72종'!H54-V1165-AD1165,0))</x:f>
        <x:v>2</x:v>
      </x:c>
      <x:c r="O1165" s="2" t="n">
        <x:f>MAX(0,ROUND('기준스탯 72종'!I54-W1165-AE1165,0))</x:f>
        <x:v>4</x:v>
      </x:c>
      <x:c r="P1165" s="2" t="n">
        <x:f>MAX(0,ROUND('기준스탯 72종'!J54-X1165-AF1165,0))</x:f>
        <x:v>3</x:v>
      </x:c>
      <x:c r="Q1165" s="2" t="n">
        <x:f>MAX(0,ROUND('기준스탯 72종'!K54-Y1165-AG1165,0))</x:f>
        <x:v>0</x:v>
      </x:c>
      <x:c r="R1165" s="15" t="n">
        <x:f>'기준스탯 72종'!D54*G1165</x:f>
        <x:v>2.5199999999999996</x:v>
      </x:c>
      <x:c r="S1165" s="15" t="n">
        <x:f>'기준스탯 72종'!E54*G1165</x:f>
        <x:v>1.4</x:v>
      </x:c>
      <x:c r="T1165" s="15" t="n">
        <x:f>'기준스탯 72종'!F54*G1165</x:f>
        <x:v>1.9599999999999997</x:v>
      </x:c>
      <x:c r="U1165" s="15" t="n">
        <x:f>'기준스탯 72종'!G54*G1165</x:f>
        <x:v>2.5199999999999996</x:v>
      </x:c>
      <x:c r="V1165" s="15" t="n">
        <x:f>'기준스탯 72종'!H54*G1165</x:f>
        <x:v>1.1199999999999999</x:v>
      </x:c>
      <x:c r="W1165" s="15" t="n">
        <x:f>'기준스탯 72종'!I54*G1165</x:f>
        <x:v>1.9599999999999997</x:v>
      </x:c>
      <x:c r="X1165" s="15" t="n">
        <x:f>'기준스탯 72종'!J54*G1165</x:f>
        <x:v>1.4</x:v>
      </x:c>
      <x:c r="Y1165" s="15" t="n">
        <x:f>'기준스탯 72종'!K54*G1165</x:f>
        <x:v>0</x:v>
      </x:c>
      <x:c r="Z1165" s="15" t="n">
        <x:f>'기준스탯 72종'!D54*H1165</x:f>
        <x:v>1.6200000000000006</x:v>
      </x:c>
      <x:c r="AA1165" s="15" t="n">
        <x:f>'기준스탯 72종'!E54*H1165</x:f>
        <x:v>0.9000000000000002</x:v>
      </x:c>
      <x:c r="AB1165" s="15" t="n">
        <x:f>'기준스탯 72종'!F54*H1165</x:f>
        <x:v>1.2600000000000002</x:v>
      </x:c>
      <x:c r="AC1165" s="15" t="n">
        <x:f>'기준스탯 72종'!G54*H1165</x:f>
        <x:v>1.6200000000000006</x:v>
      </x:c>
      <x:c r="AD1165" s="15" t="n">
        <x:f>'기준스탯 72종'!H54*H1165</x:f>
        <x:v>0.7200000000000002</x:v>
      </x:c>
      <x:c r="AE1165" s="15" t="n">
        <x:f>'기준스탯 72종'!I54*H1165</x:f>
        <x:v>1.2600000000000002</x:v>
      </x:c>
      <x:c r="AF1165" s="15" t="n">
        <x:f>'기준스탯 72종'!J54*H1165</x:f>
        <x:v>0.9000000000000002</x:v>
      </x:c>
      <x:c r="AG1165" s="15" t="n">
        <x:f>'기준스탯 72종'!K54*H1165</x:f>
        <x:v>0</x:v>
      </x:c>
    </x:row>
    <x:row r="1166" ht="28" customHeight="1">
      <x:c r="A1166" s="2" t="n">
        <x:v>1159</x:v>
      </x:c>
      <x:c r="B1166" s="2" t="n">
        <x:v>47</x:v>
      </x:c>
      <x:c r="C1166" s="2" t="str">
        <x:v>전갈자리</x:v>
      </x:c>
      <x:c r="D1166" s="2" t="str">
        <x:v>도적</x:v>
      </x:c>
      <x:c r="E1166" s="2" t="n">
        <x:v>4</x:v>
      </x:c>
      <x:c r="F1166" s="2" t="n">
        <x:v>2</x:v>
      </x:c>
      <x:c r="G1166" s="14" t="n">
        <x:f>('레벨 계산식'!$E$4-E1166)*'레벨 계산식'!$B$5</x:f>
        <x:v>0.13999999999999999</x:v>
      </x:c>
      <x:c r="H1166" s="14" t="n">
        <x:f>('등급 계산식'!$E$4-F1166)*'등급 계산식'!$B$5</x:f>
        <x:v>0.18000000000000005</x:v>
      </x:c>
      <x:c r="I1166" s="14" t="n">
        <x:f>1-G1166-H1166</x:f>
        <x:v>0.6799999999999999</x:v>
      </x:c>
      <x:c r="J1166" s="2" t="n">
        <x:f>MAX(1,ROUND('기준스탯 72종'!D54-R1166-Z1166,0))</x:f>
        <x:v>6</x:v>
      </x:c>
      <x:c r="K1166" s="2" t="n">
        <x:f>MAX(1,ROUND('기준스탯 72종'!E54-S1166-AA1166,0))</x:f>
        <x:v>3</x:v>
      </x:c>
      <x:c r="L1166" s="2" t="n">
        <x:f>MAX(1,ROUND('기준스탯 72종'!F54-T1166-AB1166,0))</x:f>
        <x:v>5</x:v>
      </x:c>
      <x:c r="M1166" s="2" t="n">
        <x:f>MAX(1,ROUND('기준스탯 72종'!G54-U1166-AC1166,0))</x:f>
        <x:v>6</x:v>
      </x:c>
      <x:c r="N1166" s="2" t="n">
        <x:f>MAX(0,ROUND('기준스탯 72종'!H54-V1166-AD1166,0))</x:f>
        <x:v>3</x:v>
      </x:c>
      <x:c r="O1166" s="2" t="n">
        <x:f>MAX(0,ROUND('기준스탯 72종'!I54-W1166-AE1166,0))</x:f>
        <x:v>5</x:v>
      </x:c>
      <x:c r="P1166" s="2" t="n">
        <x:f>MAX(0,ROUND('기준스탯 72종'!J54-X1166-AF1166,0))</x:f>
        <x:v>3</x:v>
      </x:c>
      <x:c r="Q1166" s="2" t="n">
        <x:f>MAX(0,ROUND('기준스탯 72종'!K54-Y1166-AG1166,0))</x:f>
        <x:v>0</x:v>
      </x:c>
      <x:c r="R1166" s="15" t="n">
        <x:f>'기준스탯 72종'!D54*G1166</x:f>
        <x:v>1.2599999999999998</x:v>
      </x:c>
      <x:c r="S1166" s="15" t="n">
        <x:f>'기준스탯 72종'!E54*G1166</x:f>
        <x:v>0.7</x:v>
      </x:c>
      <x:c r="T1166" s="15" t="n">
        <x:f>'기준스탯 72종'!F54*G1166</x:f>
        <x:v>0.9799999999999999</x:v>
      </x:c>
      <x:c r="U1166" s="15" t="n">
        <x:f>'기준스탯 72종'!G54*G1166</x:f>
        <x:v>1.2599999999999998</x:v>
      </x:c>
      <x:c r="V1166" s="15" t="n">
        <x:f>'기준스탯 72종'!H54*G1166</x:f>
        <x:v>0.5599999999999999</x:v>
      </x:c>
      <x:c r="W1166" s="15" t="n">
        <x:f>'기준스탯 72종'!I54*G1166</x:f>
        <x:v>0.9799999999999999</x:v>
      </x:c>
      <x:c r="X1166" s="15" t="n">
        <x:f>'기준스탯 72종'!J54*G1166</x:f>
        <x:v>0.7</x:v>
      </x:c>
      <x:c r="Y1166" s="15" t="n">
        <x:f>'기준스탯 72종'!K54*G1166</x:f>
        <x:v>0</x:v>
      </x:c>
      <x:c r="Z1166" s="15" t="n">
        <x:f>'기준스탯 72종'!D54*H1166</x:f>
        <x:v>1.6200000000000006</x:v>
      </x:c>
      <x:c r="AA1166" s="15" t="n">
        <x:f>'기준스탯 72종'!E54*H1166</x:f>
        <x:v>0.9000000000000002</x:v>
      </x:c>
      <x:c r="AB1166" s="15" t="n">
        <x:f>'기준스탯 72종'!F54*H1166</x:f>
        <x:v>1.2600000000000002</x:v>
      </x:c>
      <x:c r="AC1166" s="15" t="n">
        <x:f>'기준스탯 72종'!G54*H1166</x:f>
        <x:v>1.6200000000000006</x:v>
      </x:c>
      <x:c r="AD1166" s="15" t="n">
        <x:f>'기준스탯 72종'!H54*H1166</x:f>
        <x:v>0.7200000000000002</x:v>
      </x:c>
      <x:c r="AE1166" s="15" t="n">
        <x:f>'기준스탯 72종'!I54*H1166</x:f>
        <x:v>1.2600000000000002</x:v>
      </x:c>
      <x:c r="AF1166" s="15" t="n">
        <x:f>'기준스탯 72종'!J54*H1166</x:f>
        <x:v>0.9000000000000002</x:v>
      </x:c>
      <x:c r="AG1166" s="15" t="n">
        <x:f>'기준스탯 72종'!K54*H1166</x:f>
        <x:v>0</x:v>
      </x:c>
    </x:row>
    <x:row r="1167" ht="28" customHeight="1">
      <x:c r="A1167" s="2" t="n">
        <x:v>1160</x:v>
      </x:c>
      <x:c r="B1167" s="2" t="n">
        <x:v>47</x:v>
      </x:c>
      <x:c r="C1167" s="2" t="str">
        <x:v>전갈자리</x:v>
      </x:c>
      <x:c r="D1167" s="2" t="str">
        <x:v>도적</x:v>
      </x:c>
      <x:c r="E1167" s="2" t="n">
        <x:v>5</x:v>
      </x:c>
      <x:c r="F1167" s="2" t="n">
        <x:v>2</x:v>
      </x:c>
      <x:c r="G1167" s="14" t="n">
        <x:f>('레벨 계산식'!$E$4-E1167)*'레벨 계산식'!$B$5</x:f>
        <x:v>0</x:v>
      </x:c>
      <x:c r="H1167" s="14" t="n">
        <x:f>('등급 계산식'!$E$4-F1167)*'등급 계산식'!$B$5</x:f>
        <x:v>0.18000000000000005</x:v>
      </x:c>
      <x:c r="I1167" s="14" t="n">
        <x:f>1-G1167-H1167</x:f>
        <x:v>0.82</x:v>
      </x:c>
      <x:c r="J1167" s="2" t="n">
        <x:f>MAX(1,ROUND('기준스탯 72종'!D54-R1167-Z1167,0))</x:f>
        <x:v>7</x:v>
      </x:c>
      <x:c r="K1167" s="2" t="n">
        <x:f>MAX(1,ROUND('기준스탯 72종'!E54-S1167-AA1167,0))</x:f>
        <x:v>4</x:v>
      </x:c>
      <x:c r="L1167" s="2" t="n">
        <x:f>MAX(1,ROUND('기준스탯 72종'!F54-T1167-AB1167,0))</x:f>
        <x:v>6</x:v>
      </x:c>
      <x:c r="M1167" s="2" t="n">
        <x:f>MAX(1,ROUND('기준스탯 72종'!G54-U1167-AC1167,0))</x:f>
        <x:v>7</x:v>
      </x:c>
      <x:c r="N1167" s="2" t="n">
        <x:f>MAX(0,ROUND('기준스탯 72종'!H54-V1167-AD1167,0))</x:f>
        <x:v>3</x:v>
      </x:c>
      <x:c r="O1167" s="2" t="n">
        <x:f>MAX(0,ROUND('기준스탯 72종'!I54-W1167-AE1167,0))</x:f>
        <x:v>6</x:v>
      </x:c>
      <x:c r="P1167" s="2" t="n">
        <x:f>MAX(0,ROUND('기준스탯 72종'!J54-X1167-AF1167,0))</x:f>
        <x:v>4</x:v>
      </x:c>
      <x:c r="Q1167" s="2" t="n">
        <x:f>MAX(0,ROUND('기준스탯 72종'!K54-Y1167-AG1167,0))</x:f>
        <x:v>0</x:v>
      </x:c>
      <x:c r="R1167" s="15" t="n">
        <x:f>'기준스탯 72종'!D54*G1167</x:f>
        <x:v>0</x:v>
      </x:c>
      <x:c r="S1167" s="15" t="n">
        <x:f>'기준스탯 72종'!E54*G1167</x:f>
        <x:v>0</x:v>
      </x:c>
      <x:c r="T1167" s="15" t="n">
        <x:f>'기준스탯 72종'!F54*G1167</x:f>
        <x:v>0</x:v>
      </x:c>
      <x:c r="U1167" s="15" t="n">
        <x:f>'기준스탯 72종'!G54*G1167</x:f>
        <x:v>0</x:v>
      </x:c>
      <x:c r="V1167" s="15" t="n">
        <x:f>'기준스탯 72종'!H54*G1167</x:f>
        <x:v>0</x:v>
      </x:c>
      <x:c r="W1167" s="15" t="n">
        <x:f>'기준스탯 72종'!I54*G1167</x:f>
        <x:v>0</x:v>
      </x:c>
      <x:c r="X1167" s="15" t="n">
        <x:f>'기준스탯 72종'!J54*G1167</x:f>
        <x:v>0</x:v>
      </x:c>
      <x:c r="Y1167" s="15" t="n">
        <x:f>'기준스탯 72종'!K54*G1167</x:f>
        <x:v>0</x:v>
      </x:c>
      <x:c r="Z1167" s="15" t="n">
        <x:f>'기준스탯 72종'!D54*H1167</x:f>
        <x:v>1.6200000000000006</x:v>
      </x:c>
      <x:c r="AA1167" s="15" t="n">
        <x:f>'기준스탯 72종'!E54*H1167</x:f>
        <x:v>0.9000000000000002</x:v>
      </x:c>
      <x:c r="AB1167" s="15" t="n">
        <x:f>'기준스탯 72종'!F54*H1167</x:f>
        <x:v>1.2600000000000002</x:v>
      </x:c>
      <x:c r="AC1167" s="15" t="n">
        <x:f>'기준스탯 72종'!G54*H1167</x:f>
        <x:v>1.6200000000000006</x:v>
      </x:c>
      <x:c r="AD1167" s="15" t="n">
        <x:f>'기준스탯 72종'!H54*H1167</x:f>
        <x:v>0.7200000000000002</x:v>
      </x:c>
      <x:c r="AE1167" s="15" t="n">
        <x:f>'기준스탯 72종'!I54*H1167</x:f>
        <x:v>1.2600000000000002</x:v>
      </x:c>
      <x:c r="AF1167" s="15" t="n">
        <x:f>'기준스탯 72종'!J54*H1167</x:f>
        <x:v>0.9000000000000002</x:v>
      </x:c>
      <x:c r="AG1167" s="15" t="n">
        <x:f>'기준스탯 72종'!K54*H1167</x:f>
        <x:v>0</x:v>
      </x:c>
    </x:row>
    <x:row r="1168" ht="28" customHeight="1">
      <x:c r="A1168" s="2" t="n">
        <x:v>1161</x:v>
      </x:c>
      <x:c r="B1168" s="2" t="n">
        <x:v>47</x:v>
      </x:c>
      <x:c r="C1168" s="2" t="str">
        <x:v>전갈자리</x:v>
      </x:c>
      <x:c r="D1168" s="2" t="str">
        <x:v>도적</x:v>
      </x:c>
      <x:c r="E1168" s="2" t="n">
        <x:v>1</x:v>
      </x:c>
      <x:c r="F1168" s="2" t="n">
        <x:v>3</x:v>
      </x:c>
      <x:c r="G1168" s="14" t="n">
        <x:f>('레벨 계산식'!$E$4-E1168)*'레벨 계산식'!$B$5</x:f>
        <x:v>0.5599999999999999</x:v>
      </x:c>
      <x:c r="H1168" s="14" t="n">
        <x:f>('등급 계산식'!$E$4-F1168)*'등급 계산식'!$B$5</x:f>
        <x:v>0.12000000000000002</x:v>
      </x:c>
      <x:c r="I1168" s="14" t="n">
        <x:f>1-G1168-H1168</x:f>
        <x:v>0.32000000000000006</x:v>
      </x:c>
      <x:c r="J1168" s="2" t="n">
        <x:f>MAX(1,ROUND('기준스탯 72종'!D54-R1168-Z1168,0))</x:f>
        <x:v>3</x:v>
      </x:c>
      <x:c r="K1168" s="2" t="n">
        <x:f>MAX(1,ROUND('기준스탯 72종'!E54-S1168-AA1168,0))</x:f>
        <x:v>2</x:v>
      </x:c>
      <x:c r="L1168" s="2" t="n">
        <x:f>MAX(1,ROUND('기준스탯 72종'!F54-T1168-AB1168,0))</x:f>
        <x:v>2</x:v>
      </x:c>
      <x:c r="M1168" s="2" t="n">
        <x:f>MAX(1,ROUND('기준스탯 72종'!G54-U1168-AC1168,0))</x:f>
        <x:v>3</x:v>
      </x:c>
      <x:c r="N1168" s="2" t="n">
        <x:f>MAX(0,ROUND('기준스탯 72종'!H54-V1168-AD1168,0))</x:f>
        <x:v>1</x:v>
      </x:c>
      <x:c r="O1168" s="2" t="n">
        <x:f>MAX(0,ROUND('기준스탯 72종'!I54-W1168-AE1168,0))</x:f>
        <x:v>2</x:v>
      </x:c>
      <x:c r="P1168" s="2" t="n">
        <x:f>MAX(0,ROUND('기준스탯 72종'!J54-X1168-AF1168,0))</x:f>
        <x:v>2</x:v>
      </x:c>
      <x:c r="Q1168" s="2" t="n">
        <x:f>MAX(0,ROUND('기준스탯 72종'!K54-Y1168-AG1168,0))</x:f>
        <x:v>0</x:v>
      </x:c>
      <x:c r="R1168" s="15" t="n">
        <x:f>'기준스탯 72종'!D54*G1168</x:f>
        <x:v>5.039999999999999</x:v>
      </x:c>
      <x:c r="S1168" s="15" t="n">
        <x:f>'기준스탯 72종'!E54*G1168</x:f>
        <x:v>2.8</x:v>
      </x:c>
      <x:c r="T1168" s="15" t="n">
        <x:f>'기준스탯 72종'!F54*G1168</x:f>
        <x:v>3.9199999999999995</x:v>
      </x:c>
      <x:c r="U1168" s="15" t="n">
        <x:f>'기준스탯 72종'!G54*G1168</x:f>
        <x:v>5.039999999999999</x:v>
      </x:c>
      <x:c r="V1168" s="15" t="n">
        <x:f>'기준스탯 72종'!H54*G1168</x:f>
        <x:v>2.2399999999999998</x:v>
      </x:c>
      <x:c r="W1168" s="15" t="n">
        <x:f>'기준스탯 72종'!I54*G1168</x:f>
        <x:v>3.9199999999999995</x:v>
      </x:c>
      <x:c r="X1168" s="15" t="n">
        <x:f>'기준스탯 72종'!J54*G1168</x:f>
        <x:v>2.8</x:v>
      </x:c>
      <x:c r="Y1168" s="15" t="n">
        <x:f>'기준스탯 72종'!K54*G1168</x:f>
        <x:v>0</x:v>
      </x:c>
      <x:c r="Z1168" s="15" t="n">
        <x:f>'기준스탯 72종'!D54*H1168</x:f>
        <x:v>1.0800000000000003</x:v>
      </x:c>
      <x:c r="AA1168" s="15" t="n">
        <x:f>'기준스탯 72종'!E54*H1168</x:f>
        <x:v>0.6000000000000001</x:v>
      </x:c>
      <x:c r="AB1168" s="15" t="n">
        <x:f>'기준스탯 72종'!F54*H1168</x:f>
        <x:v>0.8400000000000002</x:v>
      </x:c>
      <x:c r="AC1168" s="15" t="n">
        <x:f>'기준스탯 72종'!G54*H1168</x:f>
        <x:v>1.0800000000000003</x:v>
      </x:c>
      <x:c r="AD1168" s="15" t="n">
        <x:f>'기준스탯 72종'!H54*H1168</x:f>
        <x:v>0.4800000000000001</x:v>
      </x:c>
      <x:c r="AE1168" s="15" t="n">
        <x:f>'기준스탯 72종'!I54*H1168</x:f>
        <x:v>0.8400000000000002</x:v>
      </x:c>
      <x:c r="AF1168" s="15" t="n">
        <x:f>'기준스탯 72종'!J54*H1168</x:f>
        <x:v>0.6000000000000001</x:v>
      </x:c>
      <x:c r="AG1168" s="15" t="n">
        <x:f>'기준스탯 72종'!K54*H1168</x:f>
        <x:v>0</x:v>
      </x:c>
    </x:row>
    <x:row r="1169" ht="28" customHeight="1">
      <x:c r="A1169" s="2" t="n">
        <x:v>1162</x:v>
      </x:c>
      <x:c r="B1169" s="2" t="n">
        <x:v>47</x:v>
      </x:c>
      <x:c r="C1169" s="2" t="str">
        <x:v>전갈자리</x:v>
      </x:c>
      <x:c r="D1169" s="2" t="str">
        <x:v>도적</x:v>
      </x:c>
      <x:c r="E1169" s="2" t="n">
        <x:v>2</x:v>
      </x:c>
      <x:c r="F1169" s="2" t="n">
        <x:v>3</x:v>
      </x:c>
      <x:c r="G1169" s="14" t="n">
        <x:f>('레벨 계산식'!$E$4-E1169)*'레벨 계산식'!$B$5</x:f>
        <x:v>0.41999999999999993</x:v>
      </x:c>
      <x:c r="H1169" s="14" t="n">
        <x:f>('등급 계산식'!$E$4-F1169)*'등급 계산식'!$B$5</x:f>
        <x:v>0.12000000000000002</x:v>
      </x:c>
      <x:c r="I1169" s="14" t="n">
        <x:f>1-G1169-H1169</x:f>
        <x:v>0.4600000000000001</x:v>
      </x:c>
      <x:c r="J1169" s="2" t="n">
        <x:f>MAX(1,ROUND('기준스탯 72종'!D54-R1169-Z1169,0))</x:f>
        <x:v>4</x:v>
      </x:c>
      <x:c r="K1169" s="2" t="n">
        <x:f>MAX(1,ROUND('기준스탯 72종'!E54-S1169-AA1169,0))</x:f>
        <x:v>2</x:v>
      </x:c>
      <x:c r="L1169" s="2" t="n">
        <x:f>MAX(1,ROUND('기준스탯 72종'!F54-T1169-AB1169,0))</x:f>
        <x:v>3</x:v>
      </x:c>
      <x:c r="M1169" s="2" t="n">
        <x:f>MAX(1,ROUND('기준스탯 72종'!G54-U1169-AC1169,0))</x:f>
        <x:v>4</x:v>
      </x:c>
      <x:c r="N1169" s="2" t="n">
        <x:f>MAX(0,ROUND('기준스탯 72종'!H54-V1169-AD1169,0))</x:f>
        <x:v>2</x:v>
      </x:c>
      <x:c r="O1169" s="2" t="n">
        <x:f>MAX(0,ROUND('기준스탯 72종'!I54-W1169-AE1169,0))</x:f>
        <x:v>3</x:v>
      </x:c>
      <x:c r="P1169" s="2" t="n">
        <x:f>MAX(0,ROUND('기준스탯 72종'!J54-X1169-AF1169,0))</x:f>
        <x:v>2</x:v>
      </x:c>
      <x:c r="Q1169" s="2" t="n">
        <x:f>MAX(0,ROUND('기준스탯 72종'!K54-Y1169-AG1169,0))</x:f>
        <x:v>0</x:v>
      </x:c>
      <x:c r="R1169" s="15" t="n">
        <x:f>'기준스탯 72종'!D54*G1169</x:f>
        <x:v>3.7799999999999994</x:v>
      </x:c>
      <x:c r="S1169" s="15" t="n">
        <x:f>'기준스탯 72종'!E54*G1169</x:f>
        <x:v>2.0999999999999996</x:v>
      </x:c>
      <x:c r="T1169" s="15" t="n">
        <x:f>'기준스탯 72종'!F54*G1169</x:f>
        <x:v>2.9399999999999995</x:v>
      </x:c>
      <x:c r="U1169" s="15" t="n">
        <x:f>'기준스탯 72종'!G54*G1169</x:f>
        <x:v>3.7799999999999994</x:v>
      </x:c>
      <x:c r="V1169" s="15" t="n">
        <x:f>'기준스탯 72종'!H54*G1169</x:f>
        <x:v>1.6799999999999997</x:v>
      </x:c>
      <x:c r="W1169" s="15" t="n">
        <x:f>'기준스탯 72종'!I54*G1169</x:f>
        <x:v>2.9399999999999995</x:v>
      </x:c>
      <x:c r="X1169" s="15" t="n">
        <x:f>'기준스탯 72종'!J54*G1169</x:f>
        <x:v>2.0999999999999996</x:v>
      </x:c>
      <x:c r="Y1169" s="15" t="n">
        <x:f>'기준스탯 72종'!K54*G1169</x:f>
        <x:v>0</x:v>
      </x:c>
      <x:c r="Z1169" s="15" t="n">
        <x:f>'기준스탯 72종'!D54*H1169</x:f>
        <x:v>1.0800000000000003</x:v>
      </x:c>
      <x:c r="AA1169" s="15" t="n">
        <x:f>'기준스탯 72종'!E54*H1169</x:f>
        <x:v>0.6000000000000001</x:v>
      </x:c>
      <x:c r="AB1169" s="15" t="n">
        <x:f>'기준스탯 72종'!F54*H1169</x:f>
        <x:v>0.8400000000000002</x:v>
      </x:c>
      <x:c r="AC1169" s="15" t="n">
        <x:f>'기준스탯 72종'!G54*H1169</x:f>
        <x:v>1.0800000000000003</x:v>
      </x:c>
      <x:c r="AD1169" s="15" t="n">
        <x:f>'기준스탯 72종'!H54*H1169</x:f>
        <x:v>0.4800000000000001</x:v>
      </x:c>
      <x:c r="AE1169" s="15" t="n">
        <x:f>'기준스탯 72종'!I54*H1169</x:f>
        <x:v>0.8400000000000002</x:v>
      </x:c>
      <x:c r="AF1169" s="15" t="n">
        <x:f>'기준스탯 72종'!J54*H1169</x:f>
        <x:v>0.6000000000000001</x:v>
      </x:c>
      <x:c r="AG1169" s="15" t="n">
        <x:f>'기준스탯 72종'!K54*H1169</x:f>
        <x:v>0</x:v>
      </x:c>
    </x:row>
    <x:row r="1170" ht="28" customHeight="1">
      <x:c r="A1170" s="2" t="n">
        <x:v>1163</x:v>
      </x:c>
      <x:c r="B1170" s="2" t="n">
        <x:v>47</x:v>
      </x:c>
      <x:c r="C1170" s="2" t="str">
        <x:v>전갈자리</x:v>
      </x:c>
      <x:c r="D1170" s="2" t="str">
        <x:v>도적</x:v>
      </x:c>
      <x:c r="E1170" s="2" t="n">
        <x:v>3</x:v>
      </x:c>
      <x:c r="F1170" s="2" t="n">
        <x:v>3</x:v>
      </x:c>
      <x:c r="G1170" s="14" t="n">
        <x:f>('레벨 계산식'!$E$4-E1170)*'레벨 계산식'!$B$5</x:f>
        <x:v>0.27999999999999997</x:v>
      </x:c>
      <x:c r="H1170" s="14" t="n">
        <x:f>('등급 계산식'!$E$4-F1170)*'등급 계산식'!$B$5</x:f>
        <x:v>0.12000000000000002</x:v>
      </x:c>
      <x:c r="I1170" s="14" t="n">
        <x:f>1-G1170-H1170</x:f>
        <x:v>0.6</x:v>
      </x:c>
      <x:c r="J1170" s="2" t="n">
        <x:f>MAX(1,ROUND('기준스탯 72종'!D54-R1170-Z1170,0))</x:f>
        <x:v>5</x:v>
      </x:c>
      <x:c r="K1170" s="2" t="n">
        <x:f>MAX(1,ROUND('기준스탯 72종'!E54-S1170-AA1170,0))</x:f>
        <x:v>3</x:v>
      </x:c>
      <x:c r="L1170" s="2" t="n">
        <x:f>MAX(1,ROUND('기준스탯 72종'!F54-T1170-AB1170,0))</x:f>
        <x:v>4</x:v>
      </x:c>
      <x:c r="M1170" s="2" t="n">
        <x:f>MAX(1,ROUND('기준스탯 72종'!G54-U1170-AC1170,0))</x:f>
        <x:v>5</x:v>
      </x:c>
      <x:c r="N1170" s="2" t="n">
        <x:f>MAX(0,ROUND('기준스탯 72종'!H54-V1170-AD1170,0))</x:f>
        <x:v>2</x:v>
      </x:c>
      <x:c r="O1170" s="2" t="n">
        <x:f>MAX(0,ROUND('기준스탯 72종'!I54-W1170-AE1170,0))</x:f>
        <x:v>4</x:v>
      </x:c>
      <x:c r="P1170" s="2" t="n">
        <x:f>MAX(0,ROUND('기준스탯 72종'!J54-X1170-AF1170,0))</x:f>
        <x:v>3</x:v>
      </x:c>
      <x:c r="Q1170" s="2" t="n">
        <x:f>MAX(0,ROUND('기준스탯 72종'!K54-Y1170-AG1170,0))</x:f>
        <x:v>0</x:v>
      </x:c>
      <x:c r="R1170" s="15" t="n">
        <x:f>'기준스탯 72종'!D54*G1170</x:f>
        <x:v>2.5199999999999996</x:v>
      </x:c>
      <x:c r="S1170" s="15" t="n">
        <x:f>'기준스탯 72종'!E54*G1170</x:f>
        <x:v>1.4</x:v>
      </x:c>
      <x:c r="T1170" s="15" t="n">
        <x:f>'기준스탯 72종'!F54*G1170</x:f>
        <x:v>1.9599999999999997</x:v>
      </x:c>
      <x:c r="U1170" s="15" t="n">
        <x:f>'기준스탯 72종'!G54*G1170</x:f>
        <x:v>2.5199999999999996</x:v>
      </x:c>
      <x:c r="V1170" s="15" t="n">
        <x:f>'기준스탯 72종'!H54*G1170</x:f>
        <x:v>1.1199999999999999</x:v>
      </x:c>
      <x:c r="W1170" s="15" t="n">
        <x:f>'기준스탯 72종'!I54*G1170</x:f>
        <x:v>1.9599999999999997</x:v>
      </x:c>
      <x:c r="X1170" s="15" t="n">
        <x:f>'기준스탯 72종'!J54*G1170</x:f>
        <x:v>1.4</x:v>
      </x:c>
      <x:c r="Y1170" s="15" t="n">
        <x:f>'기준스탯 72종'!K54*G1170</x:f>
        <x:v>0</x:v>
      </x:c>
      <x:c r="Z1170" s="15" t="n">
        <x:f>'기준스탯 72종'!D54*H1170</x:f>
        <x:v>1.0800000000000003</x:v>
      </x:c>
      <x:c r="AA1170" s="15" t="n">
        <x:f>'기준스탯 72종'!E54*H1170</x:f>
        <x:v>0.6000000000000001</x:v>
      </x:c>
      <x:c r="AB1170" s="15" t="n">
        <x:f>'기준스탯 72종'!F54*H1170</x:f>
        <x:v>0.8400000000000002</x:v>
      </x:c>
      <x:c r="AC1170" s="15" t="n">
        <x:f>'기준스탯 72종'!G54*H1170</x:f>
        <x:v>1.0800000000000003</x:v>
      </x:c>
      <x:c r="AD1170" s="15" t="n">
        <x:f>'기준스탯 72종'!H54*H1170</x:f>
        <x:v>0.4800000000000001</x:v>
      </x:c>
      <x:c r="AE1170" s="15" t="n">
        <x:f>'기준스탯 72종'!I54*H1170</x:f>
        <x:v>0.8400000000000002</x:v>
      </x:c>
      <x:c r="AF1170" s="15" t="n">
        <x:f>'기준스탯 72종'!J54*H1170</x:f>
        <x:v>0.6000000000000001</x:v>
      </x:c>
      <x:c r="AG1170" s="15" t="n">
        <x:f>'기준스탯 72종'!K54*H1170</x:f>
        <x:v>0</x:v>
      </x:c>
    </x:row>
    <x:row r="1171" ht="28" customHeight="1">
      <x:c r="A1171" s="2" t="n">
        <x:v>1164</x:v>
      </x:c>
      <x:c r="B1171" s="2" t="n">
        <x:v>47</x:v>
      </x:c>
      <x:c r="C1171" s="2" t="str">
        <x:v>전갈자리</x:v>
      </x:c>
      <x:c r="D1171" s="2" t="str">
        <x:v>도적</x:v>
      </x:c>
      <x:c r="E1171" s="2" t="n">
        <x:v>4</x:v>
      </x:c>
      <x:c r="F1171" s="2" t="n">
        <x:v>3</x:v>
      </x:c>
      <x:c r="G1171" s="14" t="n">
        <x:f>('레벨 계산식'!$E$4-E1171)*'레벨 계산식'!$B$5</x:f>
        <x:v>0.13999999999999999</x:v>
      </x:c>
      <x:c r="H1171" s="14" t="n">
        <x:f>('등급 계산식'!$E$4-F1171)*'등급 계산식'!$B$5</x:f>
        <x:v>0.12000000000000002</x:v>
      </x:c>
      <x:c r="I1171" s="14" t="n">
        <x:f>1-G1171-H1171</x:f>
        <x:v>0.74</x:v>
      </x:c>
      <x:c r="J1171" s="2" t="n">
        <x:f>MAX(1,ROUND('기준스탯 72종'!D54-R1171-Z1171,0))</x:f>
        <x:v>7</x:v>
      </x:c>
      <x:c r="K1171" s="2" t="n">
        <x:f>MAX(1,ROUND('기준스탯 72종'!E54-S1171-AA1171,0))</x:f>
        <x:v>4</x:v>
      </x:c>
      <x:c r="L1171" s="2" t="n">
        <x:f>MAX(1,ROUND('기준스탯 72종'!F54-T1171-AB1171,0))</x:f>
        <x:v>5</x:v>
      </x:c>
      <x:c r="M1171" s="2" t="n">
        <x:f>MAX(1,ROUND('기준스탯 72종'!G54-U1171-AC1171,0))</x:f>
        <x:v>7</x:v>
      </x:c>
      <x:c r="N1171" s="2" t="n">
        <x:f>MAX(0,ROUND('기준스탯 72종'!H54-V1171-AD1171,0))</x:f>
        <x:v>3</x:v>
      </x:c>
      <x:c r="O1171" s="2" t="n">
        <x:f>MAX(0,ROUND('기준스탯 72종'!I54-W1171-AE1171,0))</x:f>
        <x:v>5</x:v>
      </x:c>
      <x:c r="P1171" s="2" t="n">
        <x:f>MAX(0,ROUND('기준스탯 72종'!J54-X1171-AF1171,0))</x:f>
        <x:v>4</x:v>
      </x:c>
      <x:c r="Q1171" s="2" t="n">
        <x:f>MAX(0,ROUND('기준스탯 72종'!K54-Y1171-AG1171,0))</x:f>
        <x:v>0</x:v>
      </x:c>
      <x:c r="R1171" s="15" t="n">
        <x:f>'기준스탯 72종'!D54*G1171</x:f>
        <x:v>1.2599999999999998</x:v>
      </x:c>
      <x:c r="S1171" s="15" t="n">
        <x:f>'기준스탯 72종'!E54*G1171</x:f>
        <x:v>0.7</x:v>
      </x:c>
      <x:c r="T1171" s="15" t="n">
        <x:f>'기준스탯 72종'!F54*G1171</x:f>
        <x:v>0.9799999999999999</x:v>
      </x:c>
      <x:c r="U1171" s="15" t="n">
        <x:f>'기준스탯 72종'!G54*G1171</x:f>
        <x:v>1.2599999999999998</x:v>
      </x:c>
      <x:c r="V1171" s="15" t="n">
        <x:f>'기준스탯 72종'!H54*G1171</x:f>
        <x:v>0.5599999999999999</x:v>
      </x:c>
      <x:c r="W1171" s="15" t="n">
        <x:f>'기준스탯 72종'!I54*G1171</x:f>
        <x:v>0.9799999999999999</x:v>
      </x:c>
      <x:c r="X1171" s="15" t="n">
        <x:f>'기준스탯 72종'!J54*G1171</x:f>
        <x:v>0.7</x:v>
      </x:c>
      <x:c r="Y1171" s="15" t="n">
        <x:f>'기준스탯 72종'!K54*G1171</x:f>
        <x:v>0</x:v>
      </x:c>
      <x:c r="Z1171" s="15" t="n">
        <x:f>'기준스탯 72종'!D54*H1171</x:f>
        <x:v>1.0800000000000003</x:v>
      </x:c>
      <x:c r="AA1171" s="15" t="n">
        <x:f>'기준스탯 72종'!E54*H1171</x:f>
        <x:v>0.6000000000000001</x:v>
      </x:c>
      <x:c r="AB1171" s="15" t="n">
        <x:f>'기준스탯 72종'!F54*H1171</x:f>
        <x:v>0.8400000000000002</x:v>
      </x:c>
      <x:c r="AC1171" s="15" t="n">
        <x:f>'기준스탯 72종'!G54*H1171</x:f>
        <x:v>1.0800000000000003</x:v>
      </x:c>
      <x:c r="AD1171" s="15" t="n">
        <x:f>'기준스탯 72종'!H54*H1171</x:f>
        <x:v>0.4800000000000001</x:v>
      </x:c>
      <x:c r="AE1171" s="15" t="n">
        <x:f>'기준스탯 72종'!I54*H1171</x:f>
        <x:v>0.8400000000000002</x:v>
      </x:c>
      <x:c r="AF1171" s="15" t="n">
        <x:f>'기준스탯 72종'!J54*H1171</x:f>
        <x:v>0.6000000000000001</x:v>
      </x:c>
      <x:c r="AG1171" s="15" t="n">
        <x:f>'기준스탯 72종'!K54*H1171</x:f>
        <x:v>0</x:v>
      </x:c>
    </x:row>
    <x:row r="1172" ht="28" customHeight="1">
      <x:c r="A1172" s="2" t="n">
        <x:v>1165</x:v>
      </x:c>
      <x:c r="B1172" s="2" t="n">
        <x:v>47</x:v>
      </x:c>
      <x:c r="C1172" s="2" t="str">
        <x:v>전갈자리</x:v>
      </x:c>
      <x:c r="D1172" s="2" t="str">
        <x:v>도적</x:v>
      </x:c>
      <x:c r="E1172" s="2" t="n">
        <x:v>5</x:v>
      </x:c>
      <x:c r="F1172" s="2" t="n">
        <x:v>3</x:v>
      </x:c>
      <x:c r="G1172" s="14" t="n">
        <x:f>('레벨 계산식'!$E$4-E1172)*'레벨 계산식'!$B$5</x:f>
        <x:v>0</x:v>
      </x:c>
      <x:c r="H1172" s="14" t="n">
        <x:f>('등급 계산식'!$E$4-F1172)*'등급 계산식'!$B$5</x:f>
        <x:v>0.12000000000000002</x:v>
      </x:c>
      <x:c r="I1172" s="14" t="n">
        <x:f>1-G1172-H1172</x:f>
        <x:v>0.88</x:v>
      </x:c>
      <x:c r="J1172" s="2" t="n">
        <x:f>MAX(1,ROUND('기준스탯 72종'!D54-R1172-Z1172,0))</x:f>
        <x:v>8</x:v>
      </x:c>
      <x:c r="K1172" s="2" t="n">
        <x:f>MAX(1,ROUND('기준스탯 72종'!E54-S1172-AA1172,0))</x:f>
        <x:v>4</x:v>
      </x:c>
      <x:c r="L1172" s="2" t="n">
        <x:f>MAX(1,ROUND('기준스탯 72종'!F54-T1172-AB1172,0))</x:f>
        <x:v>6</x:v>
      </x:c>
      <x:c r="M1172" s="2" t="n">
        <x:f>MAX(1,ROUND('기준스탯 72종'!G54-U1172-AC1172,0))</x:f>
        <x:v>8</x:v>
      </x:c>
      <x:c r="N1172" s="2" t="n">
        <x:f>MAX(0,ROUND('기준스탯 72종'!H54-V1172-AD1172,0))</x:f>
        <x:v>4</x:v>
      </x:c>
      <x:c r="O1172" s="2" t="n">
        <x:f>MAX(0,ROUND('기준스탯 72종'!I54-W1172-AE1172,0))</x:f>
        <x:v>6</x:v>
      </x:c>
      <x:c r="P1172" s="2" t="n">
        <x:f>MAX(0,ROUND('기준스탯 72종'!J54-X1172-AF1172,0))</x:f>
        <x:v>4</x:v>
      </x:c>
      <x:c r="Q1172" s="2" t="n">
        <x:f>MAX(0,ROUND('기준스탯 72종'!K54-Y1172-AG1172,0))</x:f>
        <x:v>0</x:v>
      </x:c>
      <x:c r="R1172" s="15" t="n">
        <x:f>'기준스탯 72종'!D54*G1172</x:f>
        <x:v>0</x:v>
      </x:c>
      <x:c r="S1172" s="15" t="n">
        <x:f>'기준스탯 72종'!E54*G1172</x:f>
        <x:v>0</x:v>
      </x:c>
      <x:c r="T1172" s="15" t="n">
        <x:f>'기준스탯 72종'!F54*G1172</x:f>
        <x:v>0</x:v>
      </x:c>
      <x:c r="U1172" s="15" t="n">
        <x:f>'기준스탯 72종'!G54*G1172</x:f>
        <x:v>0</x:v>
      </x:c>
      <x:c r="V1172" s="15" t="n">
        <x:f>'기준스탯 72종'!H54*G1172</x:f>
        <x:v>0</x:v>
      </x:c>
      <x:c r="W1172" s="15" t="n">
        <x:f>'기준스탯 72종'!I54*G1172</x:f>
        <x:v>0</x:v>
      </x:c>
      <x:c r="X1172" s="15" t="n">
        <x:f>'기준스탯 72종'!J54*G1172</x:f>
        <x:v>0</x:v>
      </x:c>
      <x:c r="Y1172" s="15" t="n">
        <x:f>'기준스탯 72종'!K54*G1172</x:f>
        <x:v>0</x:v>
      </x:c>
      <x:c r="Z1172" s="15" t="n">
        <x:f>'기준스탯 72종'!D54*H1172</x:f>
        <x:v>1.0800000000000003</x:v>
      </x:c>
      <x:c r="AA1172" s="15" t="n">
        <x:f>'기준스탯 72종'!E54*H1172</x:f>
        <x:v>0.6000000000000001</x:v>
      </x:c>
      <x:c r="AB1172" s="15" t="n">
        <x:f>'기준스탯 72종'!F54*H1172</x:f>
        <x:v>0.8400000000000002</x:v>
      </x:c>
      <x:c r="AC1172" s="15" t="n">
        <x:f>'기준스탯 72종'!G54*H1172</x:f>
        <x:v>1.0800000000000003</x:v>
      </x:c>
      <x:c r="AD1172" s="15" t="n">
        <x:f>'기준스탯 72종'!H54*H1172</x:f>
        <x:v>0.4800000000000001</x:v>
      </x:c>
      <x:c r="AE1172" s="15" t="n">
        <x:f>'기준스탯 72종'!I54*H1172</x:f>
        <x:v>0.8400000000000002</x:v>
      </x:c>
      <x:c r="AF1172" s="15" t="n">
        <x:f>'기준스탯 72종'!J54*H1172</x:f>
        <x:v>0.6000000000000001</x:v>
      </x:c>
      <x:c r="AG1172" s="15" t="n">
        <x:f>'기준스탯 72종'!K54*H1172</x:f>
        <x:v>0</x:v>
      </x:c>
    </x:row>
    <x:row r="1173" ht="28" customHeight="1">
      <x:c r="A1173" s="2" t="n">
        <x:v>1166</x:v>
      </x:c>
      <x:c r="B1173" s="2" t="n">
        <x:v>47</x:v>
      </x:c>
      <x:c r="C1173" s="2" t="str">
        <x:v>전갈자리</x:v>
      </x:c>
      <x:c r="D1173" s="2" t="str">
        <x:v>도적</x:v>
      </x:c>
      <x:c r="E1173" s="2" t="n">
        <x:v>1</x:v>
      </x:c>
      <x:c r="F1173" s="2" t="n">
        <x:v>4</x:v>
      </x:c>
      <x:c r="G1173" s="14" t="n">
        <x:f>('레벨 계산식'!$E$4-E1173)*'레벨 계산식'!$B$5</x:f>
        <x:v>0.5599999999999999</x:v>
      </x:c>
      <x:c r="H1173" s="14" t="n">
        <x:f>('등급 계산식'!$E$4-F1173)*'등급 계산식'!$B$5</x:f>
        <x:v>0.06000000000000001</x:v>
      </x:c>
      <x:c r="I1173" s="14" t="n">
        <x:f>1-G1173-H1173</x:f>
        <x:v>0.38000000000000006</x:v>
      </x:c>
      <x:c r="J1173" s="2" t="n">
        <x:f>MAX(1,ROUND('기준스탯 72종'!D54-R1173-Z1173,0))</x:f>
        <x:v>3</x:v>
      </x:c>
      <x:c r="K1173" s="2" t="n">
        <x:f>MAX(1,ROUND('기준스탯 72종'!E54-S1173-AA1173,0))</x:f>
        <x:v>2</x:v>
      </x:c>
      <x:c r="L1173" s="2" t="n">
        <x:f>MAX(1,ROUND('기준스탯 72종'!F54-T1173-AB1173,0))</x:f>
        <x:v>3</x:v>
      </x:c>
      <x:c r="M1173" s="2" t="n">
        <x:f>MAX(1,ROUND('기준스탯 72종'!G54-U1173-AC1173,0))</x:f>
        <x:v>3</x:v>
      </x:c>
      <x:c r="N1173" s="2" t="n">
        <x:f>MAX(0,ROUND('기준스탯 72종'!H54-V1173-AD1173,0))</x:f>
        <x:v>2</x:v>
      </x:c>
      <x:c r="O1173" s="2" t="n">
        <x:f>MAX(0,ROUND('기준스탯 72종'!I54-W1173-AE1173,0))</x:f>
        <x:v>3</x:v>
      </x:c>
      <x:c r="P1173" s="2" t="n">
        <x:f>MAX(0,ROUND('기준스탯 72종'!J54-X1173-AF1173,0))</x:f>
        <x:v>2</x:v>
      </x:c>
      <x:c r="Q1173" s="2" t="n">
        <x:f>MAX(0,ROUND('기준스탯 72종'!K54-Y1173-AG1173,0))</x:f>
        <x:v>0</x:v>
      </x:c>
      <x:c r="R1173" s="15" t="n">
        <x:f>'기준스탯 72종'!D54*G1173</x:f>
        <x:v>5.039999999999999</x:v>
      </x:c>
      <x:c r="S1173" s="15" t="n">
        <x:f>'기준스탯 72종'!E54*G1173</x:f>
        <x:v>2.8</x:v>
      </x:c>
      <x:c r="T1173" s="15" t="n">
        <x:f>'기준스탯 72종'!F54*G1173</x:f>
        <x:v>3.9199999999999995</x:v>
      </x:c>
      <x:c r="U1173" s="15" t="n">
        <x:f>'기준스탯 72종'!G54*G1173</x:f>
        <x:v>5.039999999999999</x:v>
      </x:c>
      <x:c r="V1173" s="15" t="n">
        <x:f>'기준스탯 72종'!H54*G1173</x:f>
        <x:v>2.2399999999999998</x:v>
      </x:c>
      <x:c r="W1173" s="15" t="n">
        <x:f>'기준스탯 72종'!I54*G1173</x:f>
        <x:v>3.9199999999999995</x:v>
      </x:c>
      <x:c r="X1173" s="15" t="n">
        <x:f>'기준스탯 72종'!J54*G1173</x:f>
        <x:v>2.8</x:v>
      </x:c>
      <x:c r="Y1173" s="15" t="n">
        <x:f>'기준스탯 72종'!K54*G1173</x:f>
        <x:v>0</x:v>
      </x:c>
      <x:c r="Z1173" s="15" t="n">
        <x:f>'기준스탯 72종'!D54*H1173</x:f>
        <x:v>0.5400000000000001</x:v>
      </x:c>
      <x:c r="AA1173" s="15" t="n">
        <x:f>'기준스탯 72종'!E54*H1173</x:f>
        <x:v>0.30000000000000004</x:v>
      </x:c>
      <x:c r="AB1173" s="15" t="n">
        <x:f>'기준스탯 72종'!F54*H1173</x:f>
        <x:v>0.4200000000000001</x:v>
      </x:c>
      <x:c r="AC1173" s="15" t="n">
        <x:f>'기준스탯 72종'!G54*H1173</x:f>
        <x:v>0.5400000000000001</x:v>
      </x:c>
      <x:c r="AD1173" s="15" t="n">
        <x:f>'기준스탯 72종'!H54*H1173</x:f>
        <x:v>0.24000000000000005</x:v>
      </x:c>
      <x:c r="AE1173" s="15" t="n">
        <x:f>'기준스탯 72종'!I54*H1173</x:f>
        <x:v>0.4200000000000001</x:v>
      </x:c>
      <x:c r="AF1173" s="15" t="n">
        <x:f>'기준스탯 72종'!J54*H1173</x:f>
        <x:v>0.30000000000000004</x:v>
      </x:c>
      <x:c r="AG1173" s="15" t="n">
        <x:f>'기준스탯 72종'!K54*H1173</x:f>
        <x:v>0</x:v>
      </x:c>
    </x:row>
    <x:row r="1174" ht="28" customHeight="1">
      <x:c r="A1174" s="2" t="n">
        <x:v>1167</x:v>
      </x:c>
      <x:c r="B1174" s="2" t="n">
        <x:v>47</x:v>
      </x:c>
      <x:c r="C1174" s="2" t="str">
        <x:v>전갈자리</x:v>
      </x:c>
      <x:c r="D1174" s="2" t="str">
        <x:v>도적</x:v>
      </x:c>
      <x:c r="E1174" s="2" t="n">
        <x:v>2</x:v>
      </x:c>
      <x:c r="F1174" s="2" t="n">
        <x:v>4</x:v>
      </x:c>
      <x:c r="G1174" s="14" t="n">
        <x:f>('레벨 계산식'!$E$4-E1174)*'레벨 계산식'!$B$5</x:f>
        <x:v>0.41999999999999993</x:v>
      </x:c>
      <x:c r="H1174" s="14" t="n">
        <x:f>('등급 계산식'!$E$4-F1174)*'등급 계산식'!$B$5</x:f>
        <x:v>0.06000000000000001</x:v>
      </x:c>
      <x:c r="I1174" s="14" t="n">
        <x:f>1-G1174-H1174</x:f>
        <x:v>0.52</x:v>
      </x:c>
      <x:c r="J1174" s="2" t="n">
        <x:f>MAX(1,ROUND('기준스탯 72종'!D54-R1174-Z1174,0))</x:f>
        <x:v>5</x:v>
      </x:c>
      <x:c r="K1174" s="2" t="n">
        <x:f>MAX(1,ROUND('기준스탯 72종'!E54-S1174-AA1174,0))</x:f>
        <x:v>3</x:v>
      </x:c>
      <x:c r="L1174" s="2" t="n">
        <x:f>MAX(1,ROUND('기준스탯 72종'!F54-T1174-AB1174,0))</x:f>
        <x:v>4</x:v>
      </x:c>
      <x:c r="M1174" s="2" t="n">
        <x:f>MAX(1,ROUND('기준스탯 72종'!G54-U1174-AC1174,0))</x:f>
        <x:v>5</x:v>
      </x:c>
      <x:c r="N1174" s="2" t="n">
        <x:f>MAX(0,ROUND('기준스탯 72종'!H54-V1174-AD1174,0))</x:f>
        <x:v>2</x:v>
      </x:c>
      <x:c r="O1174" s="2" t="n">
        <x:f>MAX(0,ROUND('기준스탯 72종'!I54-W1174-AE1174,0))</x:f>
        <x:v>4</x:v>
      </x:c>
      <x:c r="P1174" s="2" t="n">
        <x:f>MAX(0,ROUND('기준스탯 72종'!J54-X1174-AF1174,0))</x:f>
        <x:v>3</x:v>
      </x:c>
      <x:c r="Q1174" s="2" t="n">
        <x:f>MAX(0,ROUND('기준스탯 72종'!K54-Y1174-AG1174,0))</x:f>
        <x:v>0</x:v>
      </x:c>
      <x:c r="R1174" s="15" t="n">
        <x:f>'기준스탯 72종'!D54*G1174</x:f>
        <x:v>3.7799999999999994</x:v>
      </x:c>
      <x:c r="S1174" s="15" t="n">
        <x:f>'기준스탯 72종'!E54*G1174</x:f>
        <x:v>2.0999999999999996</x:v>
      </x:c>
      <x:c r="T1174" s="15" t="n">
        <x:f>'기준스탯 72종'!F54*G1174</x:f>
        <x:v>2.9399999999999995</x:v>
      </x:c>
      <x:c r="U1174" s="15" t="n">
        <x:f>'기준스탯 72종'!G54*G1174</x:f>
        <x:v>3.7799999999999994</x:v>
      </x:c>
      <x:c r="V1174" s="15" t="n">
        <x:f>'기준스탯 72종'!H54*G1174</x:f>
        <x:v>1.6799999999999997</x:v>
      </x:c>
      <x:c r="W1174" s="15" t="n">
        <x:f>'기준스탯 72종'!I54*G1174</x:f>
        <x:v>2.9399999999999995</x:v>
      </x:c>
      <x:c r="X1174" s="15" t="n">
        <x:f>'기준스탯 72종'!J54*G1174</x:f>
        <x:v>2.0999999999999996</x:v>
      </x:c>
      <x:c r="Y1174" s="15" t="n">
        <x:f>'기준스탯 72종'!K54*G1174</x:f>
        <x:v>0</x:v>
      </x:c>
      <x:c r="Z1174" s="15" t="n">
        <x:f>'기준스탯 72종'!D54*H1174</x:f>
        <x:v>0.5400000000000001</x:v>
      </x:c>
      <x:c r="AA1174" s="15" t="n">
        <x:f>'기준스탯 72종'!E54*H1174</x:f>
        <x:v>0.30000000000000004</x:v>
      </x:c>
      <x:c r="AB1174" s="15" t="n">
        <x:f>'기준스탯 72종'!F54*H1174</x:f>
        <x:v>0.4200000000000001</x:v>
      </x:c>
      <x:c r="AC1174" s="15" t="n">
        <x:f>'기준스탯 72종'!G54*H1174</x:f>
        <x:v>0.5400000000000001</x:v>
      </x:c>
      <x:c r="AD1174" s="15" t="n">
        <x:f>'기준스탯 72종'!H54*H1174</x:f>
        <x:v>0.24000000000000005</x:v>
      </x:c>
      <x:c r="AE1174" s="15" t="n">
        <x:f>'기준스탯 72종'!I54*H1174</x:f>
        <x:v>0.4200000000000001</x:v>
      </x:c>
      <x:c r="AF1174" s="15" t="n">
        <x:f>'기준스탯 72종'!J54*H1174</x:f>
        <x:v>0.30000000000000004</x:v>
      </x:c>
      <x:c r="AG1174" s="15" t="n">
        <x:f>'기준스탯 72종'!K54*H1174</x:f>
        <x:v>0</x:v>
      </x:c>
    </x:row>
    <x:row r="1175" ht="28" customHeight="1">
      <x:c r="A1175" s="2" t="n">
        <x:v>1168</x:v>
      </x:c>
      <x:c r="B1175" s="2" t="n">
        <x:v>47</x:v>
      </x:c>
      <x:c r="C1175" s="2" t="str">
        <x:v>전갈자리</x:v>
      </x:c>
      <x:c r="D1175" s="2" t="str">
        <x:v>도적</x:v>
      </x:c>
      <x:c r="E1175" s="2" t="n">
        <x:v>3</x:v>
      </x:c>
      <x:c r="F1175" s="2" t="n">
        <x:v>4</x:v>
      </x:c>
      <x:c r="G1175" s="14" t="n">
        <x:f>('레벨 계산식'!$E$4-E1175)*'레벨 계산식'!$B$5</x:f>
        <x:v>0.27999999999999997</x:v>
      </x:c>
      <x:c r="H1175" s="14" t="n">
        <x:f>('등급 계산식'!$E$4-F1175)*'등급 계산식'!$B$5</x:f>
        <x:v>0.06000000000000001</x:v>
      </x:c>
      <x:c r="I1175" s="14" t="n">
        <x:f>1-G1175-H1175</x:f>
        <x:v>0.6599999999999999</x:v>
      </x:c>
      <x:c r="J1175" s="2" t="n">
        <x:f>MAX(1,ROUND('기준스탯 72종'!D54-R1175-Z1175,0))</x:f>
        <x:v>6</x:v>
      </x:c>
      <x:c r="K1175" s="2" t="n">
        <x:f>MAX(1,ROUND('기준스탯 72종'!E54-S1175-AA1175,0))</x:f>
        <x:v>3</x:v>
      </x:c>
      <x:c r="L1175" s="2" t="n">
        <x:f>MAX(1,ROUND('기준스탯 72종'!F54-T1175-AB1175,0))</x:f>
        <x:v>5</x:v>
      </x:c>
      <x:c r="M1175" s="2" t="n">
        <x:f>MAX(1,ROUND('기준스탯 72종'!G54-U1175-AC1175,0))</x:f>
        <x:v>6</x:v>
      </x:c>
      <x:c r="N1175" s="2" t="n">
        <x:f>MAX(0,ROUND('기준스탯 72종'!H54-V1175-AD1175,0))</x:f>
        <x:v>3</x:v>
      </x:c>
      <x:c r="O1175" s="2" t="n">
        <x:f>MAX(0,ROUND('기준스탯 72종'!I54-W1175-AE1175,0))</x:f>
        <x:v>5</x:v>
      </x:c>
      <x:c r="P1175" s="2" t="n">
        <x:f>MAX(0,ROUND('기준스탯 72종'!J54-X1175-AF1175,0))</x:f>
        <x:v>3</x:v>
      </x:c>
      <x:c r="Q1175" s="2" t="n">
        <x:f>MAX(0,ROUND('기준스탯 72종'!K54-Y1175-AG1175,0))</x:f>
        <x:v>0</x:v>
      </x:c>
      <x:c r="R1175" s="15" t="n">
        <x:f>'기준스탯 72종'!D54*G1175</x:f>
        <x:v>2.5199999999999996</x:v>
      </x:c>
      <x:c r="S1175" s="15" t="n">
        <x:f>'기준스탯 72종'!E54*G1175</x:f>
        <x:v>1.4</x:v>
      </x:c>
      <x:c r="T1175" s="15" t="n">
        <x:f>'기준스탯 72종'!F54*G1175</x:f>
        <x:v>1.9599999999999997</x:v>
      </x:c>
      <x:c r="U1175" s="15" t="n">
        <x:f>'기준스탯 72종'!G54*G1175</x:f>
        <x:v>2.5199999999999996</x:v>
      </x:c>
      <x:c r="V1175" s="15" t="n">
        <x:f>'기준스탯 72종'!H54*G1175</x:f>
        <x:v>1.1199999999999999</x:v>
      </x:c>
      <x:c r="W1175" s="15" t="n">
        <x:f>'기준스탯 72종'!I54*G1175</x:f>
        <x:v>1.9599999999999997</x:v>
      </x:c>
      <x:c r="X1175" s="15" t="n">
        <x:f>'기준스탯 72종'!J54*G1175</x:f>
        <x:v>1.4</x:v>
      </x:c>
      <x:c r="Y1175" s="15" t="n">
        <x:f>'기준스탯 72종'!K54*G1175</x:f>
        <x:v>0</x:v>
      </x:c>
      <x:c r="Z1175" s="15" t="n">
        <x:f>'기준스탯 72종'!D54*H1175</x:f>
        <x:v>0.5400000000000001</x:v>
      </x:c>
      <x:c r="AA1175" s="15" t="n">
        <x:f>'기준스탯 72종'!E54*H1175</x:f>
        <x:v>0.30000000000000004</x:v>
      </x:c>
      <x:c r="AB1175" s="15" t="n">
        <x:f>'기준스탯 72종'!F54*H1175</x:f>
        <x:v>0.4200000000000001</x:v>
      </x:c>
      <x:c r="AC1175" s="15" t="n">
        <x:f>'기준스탯 72종'!G54*H1175</x:f>
        <x:v>0.5400000000000001</x:v>
      </x:c>
      <x:c r="AD1175" s="15" t="n">
        <x:f>'기준스탯 72종'!H54*H1175</x:f>
        <x:v>0.24000000000000005</x:v>
      </x:c>
      <x:c r="AE1175" s="15" t="n">
        <x:f>'기준스탯 72종'!I54*H1175</x:f>
        <x:v>0.4200000000000001</x:v>
      </x:c>
      <x:c r="AF1175" s="15" t="n">
        <x:f>'기준스탯 72종'!J54*H1175</x:f>
        <x:v>0.30000000000000004</x:v>
      </x:c>
      <x:c r="AG1175" s="15" t="n">
        <x:f>'기준스탯 72종'!K54*H1175</x:f>
        <x:v>0</x:v>
      </x:c>
    </x:row>
    <x:row r="1176" ht="28" customHeight="1">
      <x:c r="A1176" s="2" t="n">
        <x:v>1169</x:v>
      </x:c>
      <x:c r="B1176" s="2" t="n">
        <x:v>47</x:v>
      </x:c>
      <x:c r="C1176" s="2" t="str">
        <x:v>전갈자리</x:v>
      </x:c>
      <x:c r="D1176" s="2" t="str">
        <x:v>도적</x:v>
      </x:c>
      <x:c r="E1176" s="2" t="n">
        <x:v>4</x:v>
      </x:c>
      <x:c r="F1176" s="2" t="n">
        <x:v>4</x:v>
      </x:c>
      <x:c r="G1176" s="14" t="n">
        <x:f>('레벨 계산식'!$E$4-E1176)*'레벨 계산식'!$B$5</x:f>
        <x:v>0.13999999999999999</x:v>
      </x:c>
      <x:c r="H1176" s="14" t="n">
        <x:f>('등급 계산식'!$E$4-F1176)*'등급 계산식'!$B$5</x:f>
        <x:v>0.06000000000000001</x:v>
      </x:c>
      <x:c r="I1176" s="14" t="n">
        <x:f>1-G1176-H1176</x:f>
        <x:v>0.7999999999999999</x:v>
      </x:c>
      <x:c r="J1176" s="2" t="n">
        <x:f>MAX(1,ROUND('기준스탯 72종'!D54-R1176-Z1176,0))</x:f>
        <x:v>7</x:v>
      </x:c>
      <x:c r="K1176" s="2" t="n">
        <x:f>MAX(1,ROUND('기준스탯 72종'!E54-S1176-AA1176,0))</x:f>
        <x:v>4</x:v>
      </x:c>
      <x:c r="L1176" s="2" t="n">
        <x:f>MAX(1,ROUND('기준스탯 72종'!F54-T1176-AB1176,0))</x:f>
        <x:v>6</x:v>
      </x:c>
      <x:c r="M1176" s="2" t="n">
        <x:f>MAX(1,ROUND('기준스탯 72종'!G54-U1176-AC1176,0))</x:f>
        <x:v>7</x:v>
      </x:c>
      <x:c r="N1176" s="2" t="n">
        <x:f>MAX(0,ROUND('기준스탯 72종'!H54-V1176-AD1176,0))</x:f>
        <x:v>3</x:v>
      </x:c>
      <x:c r="O1176" s="2" t="n">
        <x:f>MAX(0,ROUND('기준스탯 72종'!I54-W1176-AE1176,0))</x:f>
        <x:v>6</x:v>
      </x:c>
      <x:c r="P1176" s="2" t="n">
        <x:f>MAX(0,ROUND('기준스탯 72종'!J54-X1176-AF1176,0))</x:f>
        <x:v>4</x:v>
      </x:c>
      <x:c r="Q1176" s="2" t="n">
        <x:f>MAX(0,ROUND('기준스탯 72종'!K54-Y1176-AG1176,0))</x:f>
        <x:v>0</x:v>
      </x:c>
      <x:c r="R1176" s="15" t="n">
        <x:f>'기준스탯 72종'!D54*G1176</x:f>
        <x:v>1.2599999999999998</x:v>
      </x:c>
      <x:c r="S1176" s="15" t="n">
        <x:f>'기준스탯 72종'!E54*G1176</x:f>
        <x:v>0.7</x:v>
      </x:c>
      <x:c r="T1176" s="15" t="n">
        <x:f>'기준스탯 72종'!F54*G1176</x:f>
        <x:v>0.9799999999999999</x:v>
      </x:c>
      <x:c r="U1176" s="15" t="n">
        <x:f>'기준스탯 72종'!G54*G1176</x:f>
        <x:v>1.2599999999999998</x:v>
      </x:c>
      <x:c r="V1176" s="15" t="n">
        <x:f>'기준스탯 72종'!H54*G1176</x:f>
        <x:v>0.5599999999999999</x:v>
      </x:c>
      <x:c r="W1176" s="15" t="n">
        <x:f>'기준스탯 72종'!I54*G1176</x:f>
        <x:v>0.9799999999999999</x:v>
      </x:c>
      <x:c r="X1176" s="15" t="n">
        <x:f>'기준스탯 72종'!J54*G1176</x:f>
        <x:v>0.7</x:v>
      </x:c>
      <x:c r="Y1176" s="15" t="n">
        <x:f>'기준스탯 72종'!K54*G1176</x:f>
        <x:v>0</x:v>
      </x:c>
      <x:c r="Z1176" s="15" t="n">
        <x:f>'기준스탯 72종'!D54*H1176</x:f>
        <x:v>0.5400000000000001</x:v>
      </x:c>
      <x:c r="AA1176" s="15" t="n">
        <x:f>'기준스탯 72종'!E54*H1176</x:f>
        <x:v>0.30000000000000004</x:v>
      </x:c>
      <x:c r="AB1176" s="15" t="n">
        <x:f>'기준스탯 72종'!F54*H1176</x:f>
        <x:v>0.4200000000000001</x:v>
      </x:c>
      <x:c r="AC1176" s="15" t="n">
        <x:f>'기준스탯 72종'!G54*H1176</x:f>
        <x:v>0.5400000000000001</x:v>
      </x:c>
      <x:c r="AD1176" s="15" t="n">
        <x:f>'기준스탯 72종'!H54*H1176</x:f>
        <x:v>0.24000000000000005</x:v>
      </x:c>
      <x:c r="AE1176" s="15" t="n">
        <x:f>'기준스탯 72종'!I54*H1176</x:f>
        <x:v>0.4200000000000001</x:v>
      </x:c>
      <x:c r="AF1176" s="15" t="n">
        <x:f>'기준스탯 72종'!J54*H1176</x:f>
        <x:v>0.30000000000000004</x:v>
      </x:c>
      <x:c r="AG1176" s="15" t="n">
        <x:f>'기준스탯 72종'!K54*H1176</x:f>
        <x:v>0</x:v>
      </x:c>
    </x:row>
    <x:row r="1177" ht="28" customHeight="1">
      <x:c r="A1177" s="2" t="n">
        <x:v>1170</x:v>
      </x:c>
      <x:c r="B1177" s="2" t="n">
        <x:v>47</x:v>
      </x:c>
      <x:c r="C1177" s="2" t="str">
        <x:v>전갈자리</x:v>
      </x:c>
      <x:c r="D1177" s="2" t="str">
        <x:v>도적</x:v>
      </x:c>
      <x:c r="E1177" s="2" t="n">
        <x:v>5</x:v>
      </x:c>
      <x:c r="F1177" s="2" t="n">
        <x:v>4</x:v>
      </x:c>
      <x:c r="G1177" s="14" t="n">
        <x:f>('레벨 계산식'!$E$4-E1177)*'레벨 계산식'!$B$5</x:f>
        <x:v>0</x:v>
      </x:c>
      <x:c r="H1177" s="14" t="n">
        <x:f>('등급 계산식'!$E$4-F1177)*'등급 계산식'!$B$5</x:f>
        <x:v>0.06000000000000001</x:v>
      </x:c>
      <x:c r="I1177" s="14" t="n">
        <x:f>1-G1177-H1177</x:f>
        <x:v>0.94</x:v>
      </x:c>
      <x:c r="J1177" s="2" t="n">
        <x:f>MAX(1,ROUND('기준스탯 72종'!D54-R1177-Z1177,0))</x:f>
        <x:v>8</x:v>
      </x:c>
      <x:c r="K1177" s="2" t="n">
        <x:f>MAX(1,ROUND('기준스탯 72종'!E54-S1177-AA1177,0))</x:f>
        <x:v>5</x:v>
      </x:c>
      <x:c r="L1177" s="2" t="n">
        <x:f>MAX(1,ROUND('기준스탯 72종'!F54-T1177-AB1177,0))</x:f>
        <x:v>7</x:v>
      </x:c>
      <x:c r="M1177" s="2" t="n">
        <x:f>MAX(1,ROUND('기준스탯 72종'!G54-U1177-AC1177,0))</x:f>
        <x:v>8</x:v>
      </x:c>
      <x:c r="N1177" s="2" t="n">
        <x:f>MAX(0,ROUND('기준스탯 72종'!H54-V1177-AD1177,0))</x:f>
        <x:v>4</x:v>
      </x:c>
      <x:c r="O1177" s="2" t="n">
        <x:f>MAX(0,ROUND('기준스탯 72종'!I54-W1177-AE1177,0))</x:f>
        <x:v>7</x:v>
      </x:c>
      <x:c r="P1177" s="2" t="n">
        <x:f>MAX(0,ROUND('기준스탯 72종'!J54-X1177-AF1177,0))</x:f>
        <x:v>5</x:v>
      </x:c>
      <x:c r="Q1177" s="2" t="n">
        <x:f>MAX(0,ROUND('기준스탯 72종'!K54-Y1177-AG1177,0))</x:f>
        <x:v>0</x:v>
      </x:c>
      <x:c r="R1177" s="15" t="n">
        <x:f>'기준스탯 72종'!D54*G1177</x:f>
        <x:v>0</x:v>
      </x:c>
      <x:c r="S1177" s="15" t="n">
        <x:f>'기준스탯 72종'!E54*G1177</x:f>
        <x:v>0</x:v>
      </x:c>
      <x:c r="T1177" s="15" t="n">
        <x:f>'기준스탯 72종'!F54*G1177</x:f>
        <x:v>0</x:v>
      </x:c>
      <x:c r="U1177" s="15" t="n">
        <x:f>'기준스탯 72종'!G54*G1177</x:f>
        <x:v>0</x:v>
      </x:c>
      <x:c r="V1177" s="15" t="n">
        <x:f>'기준스탯 72종'!H54*G1177</x:f>
        <x:v>0</x:v>
      </x:c>
      <x:c r="W1177" s="15" t="n">
        <x:f>'기준스탯 72종'!I54*G1177</x:f>
        <x:v>0</x:v>
      </x:c>
      <x:c r="X1177" s="15" t="n">
        <x:f>'기준스탯 72종'!J54*G1177</x:f>
        <x:v>0</x:v>
      </x:c>
      <x:c r="Y1177" s="15" t="n">
        <x:f>'기준스탯 72종'!K54*G1177</x:f>
        <x:v>0</x:v>
      </x:c>
      <x:c r="Z1177" s="15" t="n">
        <x:f>'기준스탯 72종'!D54*H1177</x:f>
        <x:v>0.5400000000000001</x:v>
      </x:c>
      <x:c r="AA1177" s="15" t="n">
        <x:f>'기준스탯 72종'!E54*H1177</x:f>
        <x:v>0.30000000000000004</x:v>
      </x:c>
      <x:c r="AB1177" s="15" t="n">
        <x:f>'기준스탯 72종'!F54*H1177</x:f>
        <x:v>0.4200000000000001</x:v>
      </x:c>
      <x:c r="AC1177" s="15" t="n">
        <x:f>'기준스탯 72종'!G54*H1177</x:f>
        <x:v>0.5400000000000001</x:v>
      </x:c>
      <x:c r="AD1177" s="15" t="n">
        <x:f>'기준스탯 72종'!H54*H1177</x:f>
        <x:v>0.24000000000000005</x:v>
      </x:c>
      <x:c r="AE1177" s="15" t="n">
        <x:f>'기준스탯 72종'!I54*H1177</x:f>
        <x:v>0.4200000000000001</x:v>
      </x:c>
      <x:c r="AF1177" s="15" t="n">
        <x:f>'기준스탯 72종'!J54*H1177</x:f>
        <x:v>0.30000000000000004</x:v>
      </x:c>
      <x:c r="AG1177" s="15" t="n">
        <x:f>'기준스탯 72종'!K54*H1177</x:f>
        <x:v>0</x:v>
      </x:c>
    </x:row>
    <x:row r="1178" ht="28" customHeight="1">
      <x:c r="A1178" s="2" t="n">
        <x:v>1171</x:v>
      </x:c>
      <x:c r="B1178" s="2" t="n">
        <x:v>47</x:v>
      </x:c>
      <x:c r="C1178" s="2" t="str">
        <x:v>전갈자리</x:v>
      </x:c>
      <x:c r="D1178" s="2" t="str">
        <x:v>도적</x:v>
      </x:c>
      <x:c r="E1178" s="2" t="n">
        <x:v>1</x:v>
      </x:c>
      <x:c r="F1178" s="2" t="n">
        <x:v>5</x:v>
      </x:c>
      <x:c r="G1178" s="14" t="n">
        <x:f>('레벨 계산식'!$E$4-E1178)*'레벨 계산식'!$B$5</x:f>
        <x:v>0.5599999999999999</x:v>
      </x:c>
      <x:c r="H1178" s="14" t="n">
        <x:f>('등급 계산식'!$E$4-F1178)*'등급 계산식'!$B$5</x:f>
        <x:v>0</x:v>
      </x:c>
      <x:c r="I1178" s="14" t="n">
        <x:f>1-G1178-H1178</x:f>
        <x:v>0.44000000000000006</x:v>
      </x:c>
      <x:c r="J1178" s="2" t="n">
        <x:f>MAX(1,ROUND('기준스탯 72종'!D54-R1178-Z1178,0))</x:f>
        <x:v>4</x:v>
      </x:c>
      <x:c r="K1178" s="2" t="n">
        <x:f>MAX(1,ROUND('기준스탯 72종'!E54-S1178-AA1178,0))</x:f>
        <x:v>2</x:v>
      </x:c>
      <x:c r="L1178" s="2" t="n">
        <x:f>MAX(1,ROUND('기준스탯 72종'!F54-T1178-AB1178,0))</x:f>
        <x:v>3</x:v>
      </x:c>
      <x:c r="M1178" s="2" t="n">
        <x:f>MAX(1,ROUND('기준스탯 72종'!G54-U1178-AC1178,0))</x:f>
        <x:v>4</x:v>
      </x:c>
      <x:c r="N1178" s="2" t="n">
        <x:f>MAX(0,ROUND('기준스탯 72종'!H54-V1178-AD1178,0))</x:f>
        <x:v>2</x:v>
      </x:c>
      <x:c r="O1178" s="2" t="n">
        <x:f>MAX(0,ROUND('기준스탯 72종'!I54-W1178-AE1178,0))</x:f>
        <x:v>3</x:v>
      </x:c>
      <x:c r="P1178" s="2" t="n">
        <x:f>MAX(0,ROUND('기준스탯 72종'!J54-X1178-AF1178,0))</x:f>
        <x:v>2</x:v>
      </x:c>
      <x:c r="Q1178" s="2" t="n">
        <x:f>MAX(0,ROUND('기준스탯 72종'!K54-Y1178-AG1178,0))</x:f>
        <x:v>0</x:v>
      </x:c>
      <x:c r="R1178" s="15" t="n">
        <x:f>'기준스탯 72종'!D54*G1178</x:f>
        <x:v>5.039999999999999</x:v>
      </x:c>
      <x:c r="S1178" s="15" t="n">
        <x:f>'기준스탯 72종'!E54*G1178</x:f>
        <x:v>2.8</x:v>
      </x:c>
      <x:c r="T1178" s="15" t="n">
        <x:f>'기준스탯 72종'!F54*G1178</x:f>
        <x:v>3.9199999999999995</x:v>
      </x:c>
      <x:c r="U1178" s="15" t="n">
        <x:f>'기준스탯 72종'!G54*G1178</x:f>
        <x:v>5.039999999999999</x:v>
      </x:c>
      <x:c r="V1178" s="15" t="n">
        <x:f>'기준스탯 72종'!H54*G1178</x:f>
        <x:v>2.2399999999999998</x:v>
      </x:c>
      <x:c r="W1178" s="15" t="n">
        <x:f>'기준스탯 72종'!I54*G1178</x:f>
        <x:v>3.9199999999999995</x:v>
      </x:c>
      <x:c r="X1178" s="15" t="n">
        <x:f>'기준스탯 72종'!J54*G1178</x:f>
        <x:v>2.8</x:v>
      </x:c>
      <x:c r="Y1178" s="15" t="n">
        <x:f>'기준스탯 72종'!K54*G1178</x:f>
        <x:v>0</x:v>
      </x:c>
      <x:c r="Z1178" s="15" t="n">
        <x:f>'기준스탯 72종'!D54*H1178</x:f>
        <x:v>0</x:v>
      </x:c>
      <x:c r="AA1178" s="15" t="n">
        <x:f>'기준스탯 72종'!E54*H1178</x:f>
        <x:v>0</x:v>
      </x:c>
      <x:c r="AB1178" s="15" t="n">
        <x:f>'기준스탯 72종'!F54*H1178</x:f>
        <x:v>0</x:v>
      </x:c>
      <x:c r="AC1178" s="15" t="n">
        <x:f>'기준스탯 72종'!G54*H1178</x:f>
        <x:v>0</x:v>
      </x:c>
      <x:c r="AD1178" s="15" t="n">
        <x:f>'기준스탯 72종'!H54*H1178</x:f>
        <x:v>0</x:v>
      </x:c>
      <x:c r="AE1178" s="15" t="n">
        <x:f>'기준스탯 72종'!I54*H1178</x:f>
        <x:v>0</x:v>
      </x:c>
      <x:c r="AF1178" s="15" t="n">
        <x:f>'기준스탯 72종'!J54*H1178</x:f>
        <x:v>0</x:v>
      </x:c>
      <x:c r="AG1178" s="15" t="n">
        <x:f>'기준스탯 72종'!K54*H1178</x:f>
        <x:v>0</x:v>
      </x:c>
    </x:row>
    <x:row r="1179" ht="28" customHeight="1">
      <x:c r="A1179" s="2" t="n">
        <x:v>1172</x:v>
      </x:c>
      <x:c r="B1179" s="2" t="n">
        <x:v>47</x:v>
      </x:c>
      <x:c r="C1179" s="2" t="str">
        <x:v>전갈자리</x:v>
      </x:c>
      <x:c r="D1179" s="2" t="str">
        <x:v>도적</x:v>
      </x:c>
      <x:c r="E1179" s="2" t="n">
        <x:v>2</x:v>
      </x:c>
      <x:c r="F1179" s="2" t="n">
        <x:v>5</x:v>
      </x:c>
      <x:c r="G1179" s="14" t="n">
        <x:f>('레벨 계산식'!$E$4-E1179)*'레벨 계산식'!$B$5</x:f>
        <x:v>0.41999999999999993</x:v>
      </x:c>
      <x:c r="H1179" s="14" t="n">
        <x:f>('등급 계산식'!$E$4-F1179)*'등급 계산식'!$B$5</x:f>
        <x:v>0</x:v>
      </x:c>
      <x:c r="I1179" s="14" t="n">
        <x:f>1-G1179-H1179</x:f>
        <x:v>0.5800000000000001</x:v>
      </x:c>
      <x:c r="J1179" s="2" t="n">
        <x:f>MAX(1,ROUND('기준스탯 72종'!D54-R1179-Z1179,0))</x:f>
        <x:v>5</x:v>
      </x:c>
      <x:c r="K1179" s="2" t="n">
        <x:f>MAX(1,ROUND('기준스탯 72종'!E54-S1179-AA1179,0))</x:f>
        <x:v>3</x:v>
      </x:c>
      <x:c r="L1179" s="2" t="n">
        <x:f>MAX(1,ROUND('기준스탯 72종'!F54-T1179-AB1179,0))</x:f>
        <x:v>4</x:v>
      </x:c>
      <x:c r="M1179" s="2" t="n">
        <x:f>MAX(1,ROUND('기준스탯 72종'!G54-U1179-AC1179,0))</x:f>
        <x:v>5</x:v>
      </x:c>
      <x:c r="N1179" s="2" t="n">
        <x:f>MAX(0,ROUND('기준스탯 72종'!H54-V1179-AD1179,0))</x:f>
        <x:v>2</x:v>
      </x:c>
      <x:c r="O1179" s="2" t="n">
        <x:f>MAX(0,ROUND('기준스탯 72종'!I54-W1179-AE1179,0))</x:f>
        <x:v>4</x:v>
      </x:c>
      <x:c r="P1179" s="2" t="n">
        <x:f>MAX(0,ROUND('기준스탯 72종'!J54-X1179-AF1179,0))</x:f>
        <x:v>3</x:v>
      </x:c>
      <x:c r="Q1179" s="2" t="n">
        <x:f>MAX(0,ROUND('기준스탯 72종'!K54-Y1179-AG1179,0))</x:f>
        <x:v>0</x:v>
      </x:c>
      <x:c r="R1179" s="15" t="n">
        <x:f>'기준스탯 72종'!D54*G1179</x:f>
        <x:v>3.7799999999999994</x:v>
      </x:c>
      <x:c r="S1179" s="15" t="n">
        <x:f>'기준스탯 72종'!E54*G1179</x:f>
        <x:v>2.0999999999999996</x:v>
      </x:c>
      <x:c r="T1179" s="15" t="n">
        <x:f>'기준스탯 72종'!F54*G1179</x:f>
        <x:v>2.9399999999999995</x:v>
      </x:c>
      <x:c r="U1179" s="15" t="n">
        <x:f>'기준스탯 72종'!G54*G1179</x:f>
        <x:v>3.7799999999999994</x:v>
      </x:c>
      <x:c r="V1179" s="15" t="n">
        <x:f>'기준스탯 72종'!H54*G1179</x:f>
        <x:v>1.6799999999999997</x:v>
      </x:c>
      <x:c r="W1179" s="15" t="n">
        <x:f>'기준스탯 72종'!I54*G1179</x:f>
        <x:v>2.9399999999999995</x:v>
      </x:c>
      <x:c r="X1179" s="15" t="n">
        <x:f>'기준스탯 72종'!J54*G1179</x:f>
        <x:v>2.0999999999999996</x:v>
      </x:c>
      <x:c r="Y1179" s="15" t="n">
        <x:f>'기준스탯 72종'!K54*G1179</x:f>
        <x:v>0</x:v>
      </x:c>
      <x:c r="Z1179" s="15" t="n">
        <x:f>'기준스탯 72종'!D54*H1179</x:f>
        <x:v>0</x:v>
      </x:c>
      <x:c r="AA1179" s="15" t="n">
        <x:f>'기준스탯 72종'!E54*H1179</x:f>
        <x:v>0</x:v>
      </x:c>
      <x:c r="AB1179" s="15" t="n">
        <x:f>'기준스탯 72종'!F54*H1179</x:f>
        <x:v>0</x:v>
      </x:c>
      <x:c r="AC1179" s="15" t="n">
        <x:f>'기준스탯 72종'!G54*H1179</x:f>
        <x:v>0</x:v>
      </x:c>
      <x:c r="AD1179" s="15" t="n">
        <x:f>'기준스탯 72종'!H54*H1179</x:f>
        <x:v>0</x:v>
      </x:c>
      <x:c r="AE1179" s="15" t="n">
        <x:f>'기준스탯 72종'!I54*H1179</x:f>
        <x:v>0</x:v>
      </x:c>
      <x:c r="AF1179" s="15" t="n">
        <x:f>'기준스탯 72종'!J54*H1179</x:f>
        <x:v>0</x:v>
      </x:c>
      <x:c r="AG1179" s="15" t="n">
        <x:f>'기준스탯 72종'!K54*H1179</x:f>
        <x:v>0</x:v>
      </x:c>
    </x:row>
    <x:row r="1180" ht="28" customHeight="1">
      <x:c r="A1180" s="2" t="n">
        <x:v>1173</x:v>
      </x:c>
      <x:c r="B1180" s="2" t="n">
        <x:v>47</x:v>
      </x:c>
      <x:c r="C1180" s="2" t="str">
        <x:v>전갈자리</x:v>
      </x:c>
      <x:c r="D1180" s="2" t="str">
        <x:v>도적</x:v>
      </x:c>
      <x:c r="E1180" s="2" t="n">
        <x:v>3</x:v>
      </x:c>
      <x:c r="F1180" s="2" t="n">
        <x:v>5</x:v>
      </x:c>
      <x:c r="G1180" s="14" t="n">
        <x:f>('레벨 계산식'!$E$4-E1180)*'레벨 계산식'!$B$5</x:f>
        <x:v>0.27999999999999997</x:v>
      </x:c>
      <x:c r="H1180" s="14" t="n">
        <x:f>('등급 계산식'!$E$4-F1180)*'등급 계산식'!$B$5</x:f>
        <x:v>0</x:v>
      </x:c>
      <x:c r="I1180" s="14" t="n">
        <x:f>1-G1180-H1180</x:f>
        <x:v>0.72</x:v>
      </x:c>
      <x:c r="J1180" s="2" t="n">
        <x:f>MAX(1,ROUND('기준스탯 72종'!D54-R1180-Z1180,0))</x:f>
        <x:v>6</x:v>
      </x:c>
      <x:c r="K1180" s="2" t="n">
        <x:f>MAX(1,ROUND('기준스탯 72종'!E54-S1180-AA1180,0))</x:f>
        <x:v>4</x:v>
      </x:c>
      <x:c r="L1180" s="2" t="n">
        <x:f>MAX(1,ROUND('기준스탯 72종'!F54-T1180-AB1180,0))</x:f>
        <x:v>5</x:v>
      </x:c>
      <x:c r="M1180" s="2" t="n">
        <x:f>MAX(1,ROUND('기준스탯 72종'!G54-U1180-AC1180,0))</x:f>
        <x:v>6</x:v>
      </x:c>
      <x:c r="N1180" s="2" t="n">
        <x:f>MAX(0,ROUND('기준스탯 72종'!H54-V1180-AD1180,0))</x:f>
        <x:v>3</x:v>
      </x:c>
      <x:c r="O1180" s="2" t="n">
        <x:f>MAX(0,ROUND('기준스탯 72종'!I54-W1180-AE1180,0))</x:f>
        <x:v>5</x:v>
      </x:c>
      <x:c r="P1180" s="2" t="n">
        <x:f>MAX(0,ROUND('기준스탯 72종'!J54-X1180-AF1180,0))</x:f>
        <x:v>4</x:v>
      </x:c>
      <x:c r="Q1180" s="2" t="n">
        <x:f>MAX(0,ROUND('기준스탯 72종'!K54-Y1180-AG1180,0))</x:f>
        <x:v>0</x:v>
      </x:c>
      <x:c r="R1180" s="15" t="n">
        <x:f>'기준스탯 72종'!D54*G1180</x:f>
        <x:v>2.5199999999999996</x:v>
      </x:c>
      <x:c r="S1180" s="15" t="n">
        <x:f>'기준스탯 72종'!E54*G1180</x:f>
        <x:v>1.4</x:v>
      </x:c>
      <x:c r="T1180" s="15" t="n">
        <x:f>'기준스탯 72종'!F54*G1180</x:f>
        <x:v>1.9599999999999997</x:v>
      </x:c>
      <x:c r="U1180" s="15" t="n">
        <x:f>'기준스탯 72종'!G54*G1180</x:f>
        <x:v>2.5199999999999996</x:v>
      </x:c>
      <x:c r="V1180" s="15" t="n">
        <x:f>'기준스탯 72종'!H54*G1180</x:f>
        <x:v>1.1199999999999999</x:v>
      </x:c>
      <x:c r="W1180" s="15" t="n">
        <x:f>'기준스탯 72종'!I54*G1180</x:f>
        <x:v>1.9599999999999997</x:v>
      </x:c>
      <x:c r="X1180" s="15" t="n">
        <x:f>'기준스탯 72종'!J54*G1180</x:f>
        <x:v>1.4</x:v>
      </x:c>
      <x:c r="Y1180" s="15" t="n">
        <x:f>'기준스탯 72종'!K54*G1180</x:f>
        <x:v>0</x:v>
      </x:c>
      <x:c r="Z1180" s="15" t="n">
        <x:f>'기준스탯 72종'!D54*H1180</x:f>
        <x:v>0</x:v>
      </x:c>
      <x:c r="AA1180" s="15" t="n">
        <x:f>'기준스탯 72종'!E54*H1180</x:f>
        <x:v>0</x:v>
      </x:c>
      <x:c r="AB1180" s="15" t="n">
        <x:f>'기준스탯 72종'!F54*H1180</x:f>
        <x:v>0</x:v>
      </x:c>
      <x:c r="AC1180" s="15" t="n">
        <x:f>'기준스탯 72종'!G54*H1180</x:f>
        <x:v>0</x:v>
      </x:c>
      <x:c r="AD1180" s="15" t="n">
        <x:f>'기준스탯 72종'!H54*H1180</x:f>
        <x:v>0</x:v>
      </x:c>
      <x:c r="AE1180" s="15" t="n">
        <x:f>'기준스탯 72종'!I54*H1180</x:f>
        <x:v>0</x:v>
      </x:c>
      <x:c r="AF1180" s="15" t="n">
        <x:f>'기준스탯 72종'!J54*H1180</x:f>
        <x:v>0</x:v>
      </x:c>
      <x:c r="AG1180" s="15" t="n">
        <x:f>'기준스탯 72종'!K54*H1180</x:f>
        <x:v>0</x:v>
      </x:c>
    </x:row>
    <x:row r="1181" ht="28" customHeight="1">
      <x:c r="A1181" s="2" t="n">
        <x:v>1174</x:v>
      </x:c>
      <x:c r="B1181" s="2" t="n">
        <x:v>47</x:v>
      </x:c>
      <x:c r="C1181" s="2" t="str">
        <x:v>전갈자리</x:v>
      </x:c>
      <x:c r="D1181" s="2" t="str">
        <x:v>도적</x:v>
      </x:c>
      <x:c r="E1181" s="2" t="n">
        <x:v>4</x:v>
      </x:c>
      <x:c r="F1181" s="2" t="n">
        <x:v>5</x:v>
      </x:c>
      <x:c r="G1181" s="14" t="n">
        <x:f>('레벨 계산식'!$E$4-E1181)*'레벨 계산식'!$B$5</x:f>
        <x:v>0.13999999999999999</x:v>
      </x:c>
      <x:c r="H1181" s="14" t="n">
        <x:f>('등급 계산식'!$E$4-F1181)*'등급 계산식'!$B$5</x:f>
        <x:v>0</x:v>
      </x:c>
      <x:c r="I1181" s="14" t="n">
        <x:f>1-G1181-H1181</x:f>
        <x:v>0.86</x:v>
      </x:c>
      <x:c r="J1181" s="2" t="n">
        <x:f>MAX(1,ROUND('기준스탯 72종'!D54-R1181-Z1181,0))</x:f>
        <x:v>8</x:v>
      </x:c>
      <x:c r="K1181" s="2" t="n">
        <x:f>MAX(1,ROUND('기준스탯 72종'!E54-S1181-AA1181,0))</x:f>
        <x:v>4</x:v>
      </x:c>
      <x:c r="L1181" s="2" t="n">
        <x:f>MAX(1,ROUND('기준스탯 72종'!F54-T1181-AB1181,0))</x:f>
        <x:v>6</x:v>
      </x:c>
      <x:c r="M1181" s="2" t="n">
        <x:f>MAX(1,ROUND('기준스탯 72종'!G54-U1181-AC1181,0))</x:f>
        <x:v>8</x:v>
      </x:c>
      <x:c r="N1181" s="2" t="n">
        <x:f>MAX(0,ROUND('기준스탯 72종'!H54-V1181-AD1181,0))</x:f>
        <x:v>3</x:v>
      </x:c>
      <x:c r="O1181" s="2" t="n">
        <x:f>MAX(0,ROUND('기준스탯 72종'!I54-W1181-AE1181,0))</x:f>
        <x:v>6</x:v>
      </x:c>
      <x:c r="P1181" s="2" t="n">
        <x:f>MAX(0,ROUND('기준스탯 72종'!J54-X1181-AF1181,0))</x:f>
        <x:v>4</x:v>
      </x:c>
      <x:c r="Q1181" s="2" t="n">
        <x:f>MAX(0,ROUND('기준스탯 72종'!K54-Y1181-AG1181,0))</x:f>
        <x:v>0</x:v>
      </x:c>
      <x:c r="R1181" s="15" t="n">
        <x:f>'기준스탯 72종'!D54*G1181</x:f>
        <x:v>1.2599999999999998</x:v>
      </x:c>
      <x:c r="S1181" s="15" t="n">
        <x:f>'기준스탯 72종'!E54*G1181</x:f>
        <x:v>0.7</x:v>
      </x:c>
      <x:c r="T1181" s="15" t="n">
        <x:f>'기준스탯 72종'!F54*G1181</x:f>
        <x:v>0.9799999999999999</x:v>
      </x:c>
      <x:c r="U1181" s="15" t="n">
        <x:f>'기준스탯 72종'!G54*G1181</x:f>
        <x:v>1.2599999999999998</x:v>
      </x:c>
      <x:c r="V1181" s="15" t="n">
        <x:f>'기준스탯 72종'!H54*G1181</x:f>
        <x:v>0.5599999999999999</x:v>
      </x:c>
      <x:c r="W1181" s="15" t="n">
        <x:f>'기준스탯 72종'!I54*G1181</x:f>
        <x:v>0.9799999999999999</x:v>
      </x:c>
      <x:c r="X1181" s="15" t="n">
        <x:f>'기준스탯 72종'!J54*G1181</x:f>
        <x:v>0.7</x:v>
      </x:c>
      <x:c r="Y1181" s="15" t="n">
        <x:f>'기준스탯 72종'!K54*G1181</x:f>
        <x:v>0</x:v>
      </x:c>
      <x:c r="Z1181" s="15" t="n">
        <x:f>'기준스탯 72종'!D54*H1181</x:f>
        <x:v>0</x:v>
      </x:c>
      <x:c r="AA1181" s="15" t="n">
        <x:f>'기준스탯 72종'!E54*H1181</x:f>
        <x:v>0</x:v>
      </x:c>
      <x:c r="AB1181" s="15" t="n">
        <x:f>'기준스탯 72종'!F54*H1181</x:f>
        <x:v>0</x:v>
      </x:c>
      <x:c r="AC1181" s="15" t="n">
        <x:f>'기준스탯 72종'!G54*H1181</x:f>
        <x:v>0</x:v>
      </x:c>
      <x:c r="AD1181" s="15" t="n">
        <x:f>'기준스탯 72종'!H54*H1181</x:f>
        <x:v>0</x:v>
      </x:c>
      <x:c r="AE1181" s="15" t="n">
        <x:f>'기준스탯 72종'!I54*H1181</x:f>
        <x:v>0</x:v>
      </x:c>
      <x:c r="AF1181" s="15" t="n">
        <x:f>'기준스탯 72종'!J54*H1181</x:f>
        <x:v>0</x:v>
      </x:c>
      <x:c r="AG1181" s="15" t="n">
        <x:f>'기준스탯 72종'!K54*H1181</x:f>
        <x:v>0</x:v>
      </x:c>
    </x:row>
    <x:row r="1182" ht="28" customHeight="1">
      <x:c r="A1182" s="2" t="n">
        <x:v>1175</x:v>
      </x:c>
      <x:c r="B1182" s="2" t="n">
        <x:v>47</x:v>
      </x:c>
      <x:c r="C1182" s="2" t="str">
        <x:v>전갈자리</x:v>
      </x:c>
      <x:c r="D1182" s="2" t="str">
        <x:v>도적</x:v>
      </x:c>
      <x:c r="E1182" s="2" t="n">
        <x:v>5</x:v>
      </x:c>
      <x:c r="F1182" s="2" t="n">
        <x:v>5</x:v>
      </x:c>
      <x:c r="G1182" s="14" t="n">
        <x:f>('레벨 계산식'!$E$4-E1182)*'레벨 계산식'!$B$5</x:f>
        <x:v>0</x:v>
      </x:c>
      <x:c r="H1182" s="14" t="n">
        <x:f>('등급 계산식'!$E$4-F1182)*'등급 계산식'!$B$5</x:f>
        <x:v>0</x:v>
      </x:c>
      <x:c r="I1182" s="14" t="n">
        <x:f>1-G1182-H1182</x:f>
        <x:v>1</x:v>
      </x:c>
      <x:c r="J1182" s="2" t="n">
        <x:f>MAX(1,ROUND('기준스탯 72종'!D54-R1182-Z1182,0))</x:f>
        <x:v>9</x:v>
      </x:c>
      <x:c r="K1182" s="2" t="n">
        <x:f>MAX(1,ROUND('기준스탯 72종'!E54-S1182-AA1182,0))</x:f>
        <x:v>5</x:v>
      </x:c>
      <x:c r="L1182" s="2" t="n">
        <x:f>MAX(1,ROUND('기준스탯 72종'!F54-T1182-AB1182,0))</x:f>
        <x:v>7</x:v>
      </x:c>
      <x:c r="M1182" s="2" t="n">
        <x:f>MAX(1,ROUND('기준스탯 72종'!G54-U1182-AC1182,0))</x:f>
        <x:v>9</x:v>
      </x:c>
      <x:c r="N1182" s="2" t="n">
        <x:f>MAX(0,ROUND('기준스탯 72종'!H54-V1182-AD1182,0))</x:f>
        <x:v>4</x:v>
      </x:c>
      <x:c r="O1182" s="2" t="n">
        <x:f>MAX(0,ROUND('기준스탯 72종'!I54-W1182-AE1182,0))</x:f>
        <x:v>7</x:v>
      </x:c>
      <x:c r="P1182" s="2" t="n">
        <x:f>MAX(0,ROUND('기준스탯 72종'!J54-X1182-AF1182,0))</x:f>
        <x:v>5</x:v>
      </x:c>
      <x:c r="Q1182" s="2" t="n">
        <x:f>MAX(0,ROUND('기준스탯 72종'!K54-Y1182-AG1182,0))</x:f>
        <x:v>0</x:v>
      </x:c>
      <x:c r="R1182" s="15" t="n">
        <x:f>'기준스탯 72종'!D54*G1182</x:f>
        <x:v>0</x:v>
      </x:c>
      <x:c r="S1182" s="15" t="n">
        <x:f>'기준스탯 72종'!E54*G1182</x:f>
        <x:v>0</x:v>
      </x:c>
      <x:c r="T1182" s="15" t="n">
        <x:f>'기준스탯 72종'!F54*G1182</x:f>
        <x:v>0</x:v>
      </x:c>
      <x:c r="U1182" s="15" t="n">
        <x:f>'기준스탯 72종'!G54*G1182</x:f>
        <x:v>0</x:v>
      </x:c>
      <x:c r="V1182" s="15" t="n">
        <x:f>'기준스탯 72종'!H54*G1182</x:f>
        <x:v>0</x:v>
      </x:c>
      <x:c r="W1182" s="15" t="n">
        <x:f>'기준스탯 72종'!I54*G1182</x:f>
        <x:v>0</x:v>
      </x:c>
      <x:c r="X1182" s="15" t="n">
        <x:f>'기준스탯 72종'!J54*G1182</x:f>
        <x:v>0</x:v>
      </x:c>
      <x:c r="Y1182" s="15" t="n">
        <x:f>'기준스탯 72종'!K54*G1182</x:f>
        <x:v>0</x:v>
      </x:c>
      <x:c r="Z1182" s="15" t="n">
        <x:f>'기준스탯 72종'!D54*H1182</x:f>
        <x:v>0</x:v>
      </x:c>
      <x:c r="AA1182" s="15" t="n">
        <x:f>'기준스탯 72종'!E54*H1182</x:f>
        <x:v>0</x:v>
      </x:c>
      <x:c r="AB1182" s="15" t="n">
        <x:f>'기준스탯 72종'!F54*H1182</x:f>
        <x:v>0</x:v>
      </x:c>
      <x:c r="AC1182" s="15" t="n">
        <x:f>'기준스탯 72종'!G54*H1182</x:f>
        <x:v>0</x:v>
      </x:c>
      <x:c r="AD1182" s="15" t="n">
        <x:f>'기준스탯 72종'!H54*H1182</x:f>
        <x:v>0</x:v>
      </x:c>
      <x:c r="AE1182" s="15" t="n">
        <x:f>'기준스탯 72종'!I54*H1182</x:f>
        <x:v>0</x:v>
      </x:c>
      <x:c r="AF1182" s="15" t="n">
        <x:f>'기준스탯 72종'!J54*H1182</x:f>
        <x:v>0</x:v>
      </x:c>
      <x:c r="AG1182" s="15" t="n">
        <x:f>'기준스탯 72종'!K54*H1182</x:f>
        <x:v>0</x:v>
      </x:c>
    </x:row>
    <x:row r="1183" ht="28" customHeight="1">
      <x:c r="A1183" s="2" t="n">
        <x:v>1176</x:v>
      </x:c>
      <x:c r="B1183" s="2" t="n">
        <x:v>48</x:v>
      </x:c>
      <x:c r="C1183" s="2" t="str">
        <x:v>전갈자리</x:v>
      </x:c>
      <x:c r="D1183" s="2" t="str">
        <x:v>전사</x:v>
      </x:c>
      <x:c r="E1183" s="2" t="n">
        <x:v>1</x:v>
      </x:c>
      <x:c r="F1183" s="2" t="n">
        <x:v>1</x:v>
      </x:c>
      <x:c r="G1183" s="14" t="n">
        <x:f>('레벨 계산식'!$E$4-E1183)*'레벨 계산식'!$B$5</x:f>
        <x:v>0.5599999999999999</x:v>
      </x:c>
      <x:c r="H1183" s="14" t="n">
        <x:f>('등급 계산식'!$E$4-F1183)*'등급 계산식'!$B$5</x:f>
        <x:v>0.24000000000000005</x:v>
      </x:c>
      <x:c r="I1183" s="14" t="n">
        <x:f>1-G1183-H1183</x:f>
        <x:v>0.2</x:v>
      </x:c>
      <x:c r="J1183" s="2" t="n">
        <x:f>MAX(1,ROUND('기준스탯 72종'!D55-R1183-Z1183,0))</x:f>
        <x:v>2</x:v>
      </x:c>
      <x:c r="K1183" s="2" t="n">
        <x:f>MAX(1,ROUND('기준스탯 72종'!E55-S1183-AA1183,0))</x:f>
        <x:v>1</x:v>
      </x:c>
      <x:c r="L1183" s="2" t="n">
        <x:f>MAX(1,ROUND('기준스탯 72종'!F55-T1183-AB1183,0))</x:f>
        <x:v>2</x:v>
      </x:c>
      <x:c r="M1183" s="2" t="n">
        <x:f>MAX(1,ROUND('기준스탯 72종'!G55-U1183-AC1183,0))</x:f>
        <x:v>2</x:v>
      </x:c>
      <x:c r="N1183" s="2" t="n">
        <x:f>MAX(0,ROUND('기준스탯 72종'!H55-V1183-AD1183,0))</x:f>
        <x:v>1</x:v>
      </x:c>
      <x:c r="O1183" s="2" t="n">
        <x:f>MAX(0,ROUND('기준스탯 72종'!I55-W1183-AE1183,0))</x:f>
        <x:v>1</x:v>
      </x:c>
      <x:c r="P1183" s="2" t="n">
        <x:f>MAX(0,ROUND('기준스탯 72종'!J55-X1183-AF1183,0))</x:f>
        <x:v>1</x:v>
      </x:c>
      <x:c r="Q1183" s="2" t="n">
        <x:f>MAX(0,ROUND('기준스탯 72종'!K55-Y1183-AG1183,0))</x:f>
        <x:v>0</x:v>
      </x:c>
      <x:c r="R1183" s="15" t="n">
        <x:f>'기준스탯 72종'!D55*G1183</x:f>
        <x:v>5.039999999999999</x:v>
      </x:c>
      <x:c r="S1183" s="15" t="n">
        <x:f>'기준스탯 72종'!E55*G1183</x:f>
        <x:v>3.3599999999999994</x:v>
      </x:c>
      <x:c r="T1183" s="15" t="n">
        <x:f>'기준스탯 72종'!F55*G1183</x:f>
        <x:v>4.4799999999999995</x:v>
      </x:c>
      <x:c r="U1183" s="15" t="n">
        <x:f>'기준스탯 72종'!G55*G1183</x:f>
        <x:v>4.4799999999999995</x:v>
      </x:c>
      <x:c r="V1183" s="15" t="n">
        <x:f>'기준스탯 72종'!H55*G1183</x:f>
        <x:v>1.6799999999999997</x:v>
      </x:c>
      <x:c r="W1183" s="15" t="n">
        <x:f>'기준스탯 72종'!I55*G1183</x:f>
        <x:v>3.9199999999999995</x:v>
      </x:c>
      <x:c r="X1183" s="15" t="n">
        <x:f>'기준스탯 72종'!J55*G1183</x:f>
        <x:v>2.8</x:v>
      </x:c>
      <x:c r="Y1183" s="15" t="n">
        <x:f>'기준스탯 72종'!K55*G1183</x:f>
        <x:v>0.5599999999999999</x:v>
      </x:c>
      <x:c r="Z1183" s="15" t="n">
        <x:f>'기준스탯 72종'!D55*H1183</x:f>
        <x:v>2.1600000000000006</x:v>
      </x:c>
      <x:c r="AA1183" s="15" t="n">
        <x:f>'기준스탯 72종'!E55*H1183</x:f>
        <x:v>1.4400000000000004</x:v>
      </x:c>
      <x:c r="AB1183" s="15" t="n">
        <x:f>'기준스탯 72종'!F55*H1183</x:f>
        <x:v>1.9200000000000004</x:v>
      </x:c>
      <x:c r="AC1183" s="15" t="n">
        <x:f>'기준스탯 72종'!G55*H1183</x:f>
        <x:v>1.9200000000000004</x:v>
      </x:c>
      <x:c r="AD1183" s="15" t="n">
        <x:f>'기준스탯 72종'!H55*H1183</x:f>
        <x:v>0.7200000000000002</x:v>
      </x:c>
      <x:c r="AE1183" s="15" t="n">
        <x:f>'기준스탯 72종'!I55*H1183</x:f>
        <x:v>1.6800000000000004</x:v>
      </x:c>
      <x:c r="AF1183" s="15" t="n">
        <x:f>'기준스탯 72종'!J55*H1183</x:f>
        <x:v>1.2000000000000002</x:v>
      </x:c>
      <x:c r="AG1183" s="15" t="n">
        <x:f>'기준스탯 72종'!K55*H1183</x:f>
        <x:v>0.24000000000000005</x:v>
      </x:c>
    </x:row>
    <x:row r="1184" ht="28" customHeight="1">
      <x:c r="A1184" s="2" t="n">
        <x:v>1177</x:v>
      </x:c>
      <x:c r="B1184" s="2" t="n">
        <x:v>48</x:v>
      </x:c>
      <x:c r="C1184" s="2" t="str">
        <x:v>전갈자리</x:v>
      </x:c>
      <x:c r="D1184" s="2" t="str">
        <x:v>전사</x:v>
      </x:c>
      <x:c r="E1184" s="2" t="n">
        <x:v>2</x:v>
      </x:c>
      <x:c r="F1184" s="2" t="n">
        <x:v>1</x:v>
      </x:c>
      <x:c r="G1184" s="14" t="n">
        <x:f>('레벨 계산식'!$E$4-E1184)*'레벨 계산식'!$B$5</x:f>
        <x:v>0.41999999999999993</x:v>
      </x:c>
      <x:c r="H1184" s="14" t="n">
        <x:f>('등급 계산식'!$E$4-F1184)*'등급 계산식'!$B$5</x:f>
        <x:v>0.24000000000000005</x:v>
      </x:c>
      <x:c r="I1184" s="14" t="n">
        <x:f>1-G1184-H1184</x:f>
        <x:v>0.34</x:v>
      </x:c>
      <x:c r="J1184" s="2" t="n">
        <x:f>MAX(1,ROUND('기준스탯 72종'!D55-R1184-Z1184,0))</x:f>
        <x:v>3</x:v>
      </x:c>
      <x:c r="K1184" s="2" t="n">
        <x:f>MAX(1,ROUND('기준스탯 72종'!E55-S1184-AA1184,0))</x:f>
        <x:v>2</x:v>
      </x:c>
      <x:c r="L1184" s="2" t="n">
        <x:f>MAX(1,ROUND('기준스탯 72종'!F55-T1184-AB1184,0))</x:f>
        <x:v>3</x:v>
      </x:c>
      <x:c r="M1184" s="2" t="n">
        <x:f>MAX(1,ROUND('기준스탯 72종'!G55-U1184-AC1184,0))</x:f>
        <x:v>3</x:v>
      </x:c>
      <x:c r="N1184" s="2" t="n">
        <x:f>MAX(0,ROUND('기준스탯 72종'!H55-V1184-AD1184,0))</x:f>
        <x:v>1</x:v>
      </x:c>
      <x:c r="O1184" s="2" t="n">
        <x:f>MAX(0,ROUND('기준스탯 72종'!I55-W1184-AE1184,0))</x:f>
        <x:v>2</x:v>
      </x:c>
      <x:c r="P1184" s="2" t="n">
        <x:f>MAX(0,ROUND('기준스탯 72종'!J55-X1184-AF1184,0))</x:f>
        <x:v>2</x:v>
      </x:c>
      <x:c r="Q1184" s="2" t="n">
        <x:f>MAX(0,ROUND('기준스탯 72종'!K55-Y1184-AG1184,0))</x:f>
        <x:v>0</x:v>
      </x:c>
      <x:c r="R1184" s="15" t="n">
        <x:f>'기준스탯 72종'!D55*G1184</x:f>
        <x:v>3.7799999999999994</x:v>
      </x:c>
      <x:c r="S1184" s="15" t="n">
        <x:f>'기준스탯 72종'!E55*G1184</x:f>
        <x:v>2.5199999999999996</x:v>
      </x:c>
      <x:c r="T1184" s="15" t="n">
        <x:f>'기준스탯 72종'!F55*G1184</x:f>
        <x:v>3.3599999999999994</x:v>
      </x:c>
      <x:c r="U1184" s="15" t="n">
        <x:f>'기준스탯 72종'!G55*G1184</x:f>
        <x:v>3.3599999999999994</x:v>
      </x:c>
      <x:c r="V1184" s="15" t="n">
        <x:f>'기준스탯 72종'!H55*G1184</x:f>
        <x:v>1.2599999999999998</x:v>
      </x:c>
      <x:c r="W1184" s="15" t="n">
        <x:f>'기준스탯 72종'!I55*G1184</x:f>
        <x:v>2.9399999999999995</x:v>
      </x:c>
      <x:c r="X1184" s="15" t="n">
        <x:f>'기준스탯 72종'!J55*G1184</x:f>
        <x:v>2.0999999999999996</x:v>
      </x:c>
      <x:c r="Y1184" s="15" t="n">
        <x:f>'기준스탯 72종'!K55*G1184</x:f>
        <x:v>0.41999999999999993</x:v>
      </x:c>
      <x:c r="Z1184" s="15" t="n">
        <x:f>'기준스탯 72종'!D55*H1184</x:f>
        <x:v>2.1600000000000006</x:v>
      </x:c>
      <x:c r="AA1184" s="15" t="n">
        <x:f>'기준스탯 72종'!E55*H1184</x:f>
        <x:v>1.4400000000000004</x:v>
      </x:c>
      <x:c r="AB1184" s="15" t="n">
        <x:f>'기준스탯 72종'!F55*H1184</x:f>
        <x:v>1.9200000000000004</x:v>
      </x:c>
      <x:c r="AC1184" s="15" t="n">
        <x:f>'기준스탯 72종'!G55*H1184</x:f>
        <x:v>1.9200000000000004</x:v>
      </x:c>
      <x:c r="AD1184" s="15" t="n">
        <x:f>'기준스탯 72종'!H55*H1184</x:f>
        <x:v>0.7200000000000002</x:v>
      </x:c>
      <x:c r="AE1184" s="15" t="n">
        <x:f>'기준스탯 72종'!I55*H1184</x:f>
        <x:v>1.6800000000000004</x:v>
      </x:c>
      <x:c r="AF1184" s="15" t="n">
        <x:f>'기준스탯 72종'!J55*H1184</x:f>
        <x:v>1.2000000000000002</x:v>
      </x:c>
      <x:c r="AG1184" s="15" t="n">
        <x:f>'기준스탯 72종'!K55*H1184</x:f>
        <x:v>0.24000000000000005</x:v>
      </x:c>
    </x:row>
    <x:row r="1185" ht="28" customHeight="1">
      <x:c r="A1185" s="2" t="n">
        <x:v>1178</x:v>
      </x:c>
      <x:c r="B1185" s="2" t="n">
        <x:v>48</x:v>
      </x:c>
      <x:c r="C1185" s="2" t="str">
        <x:v>전갈자리</x:v>
      </x:c>
      <x:c r="D1185" s="2" t="str">
        <x:v>전사</x:v>
      </x:c>
      <x:c r="E1185" s="2" t="n">
        <x:v>3</x:v>
      </x:c>
      <x:c r="F1185" s="2" t="n">
        <x:v>1</x:v>
      </x:c>
      <x:c r="G1185" s="14" t="n">
        <x:f>('레벨 계산식'!$E$4-E1185)*'레벨 계산식'!$B$5</x:f>
        <x:v>0.27999999999999997</x:v>
      </x:c>
      <x:c r="H1185" s="14" t="n">
        <x:f>('등급 계산식'!$E$4-F1185)*'등급 계산식'!$B$5</x:f>
        <x:v>0.24000000000000005</x:v>
      </x:c>
      <x:c r="I1185" s="14" t="n">
        <x:f>1-G1185-H1185</x:f>
        <x:v>0.4799999999999999</x:v>
      </x:c>
      <x:c r="J1185" s="2" t="n">
        <x:f>MAX(1,ROUND('기준스탯 72종'!D55-R1185-Z1185,0))</x:f>
        <x:v>4</x:v>
      </x:c>
      <x:c r="K1185" s="2" t="n">
        <x:f>MAX(1,ROUND('기준스탯 72종'!E55-S1185-AA1185,0))</x:f>
        <x:v>3</x:v>
      </x:c>
      <x:c r="L1185" s="2" t="n">
        <x:f>MAX(1,ROUND('기준스탯 72종'!F55-T1185-AB1185,0))</x:f>
        <x:v>4</x:v>
      </x:c>
      <x:c r="M1185" s="2" t="n">
        <x:f>MAX(1,ROUND('기준스탯 72종'!G55-U1185-AC1185,0))</x:f>
        <x:v>4</x:v>
      </x:c>
      <x:c r="N1185" s="2" t="n">
        <x:f>MAX(0,ROUND('기준스탯 72종'!H55-V1185-AD1185,0))</x:f>
        <x:v>1</x:v>
      </x:c>
      <x:c r="O1185" s="2" t="n">
        <x:f>MAX(0,ROUND('기준스탯 72종'!I55-W1185-AE1185,0))</x:f>
        <x:v>3</x:v>
      </x:c>
      <x:c r="P1185" s="2" t="n">
        <x:f>MAX(0,ROUND('기준스탯 72종'!J55-X1185-AF1185,0))</x:f>
        <x:v>2</x:v>
      </x:c>
      <x:c r="Q1185" s="2" t="n">
        <x:f>MAX(0,ROUND('기준스탯 72종'!K55-Y1185-AG1185,0))</x:f>
        <x:v>0</x:v>
      </x:c>
      <x:c r="R1185" s="15" t="n">
        <x:f>'기준스탯 72종'!D55*G1185</x:f>
        <x:v>2.5199999999999996</x:v>
      </x:c>
      <x:c r="S1185" s="15" t="n">
        <x:f>'기준스탯 72종'!E55*G1185</x:f>
        <x:v>1.6799999999999997</x:v>
      </x:c>
      <x:c r="T1185" s="15" t="n">
        <x:f>'기준스탯 72종'!F55*G1185</x:f>
        <x:v>2.2399999999999998</x:v>
      </x:c>
      <x:c r="U1185" s="15" t="n">
        <x:f>'기준스탯 72종'!G55*G1185</x:f>
        <x:v>2.2399999999999998</x:v>
      </x:c>
      <x:c r="V1185" s="15" t="n">
        <x:f>'기준스탯 72종'!H55*G1185</x:f>
        <x:v>0.8399999999999999</x:v>
      </x:c>
      <x:c r="W1185" s="15" t="n">
        <x:f>'기준스탯 72종'!I55*G1185</x:f>
        <x:v>1.9599999999999997</x:v>
      </x:c>
      <x:c r="X1185" s="15" t="n">
        <x:f>'기준스탯 72종'!J55*G1185</x:f>
        <x:v>1.4</x:v>
      </x:c>
      <x:c r="Y1185" s="15" t="n">
        <x:f>'기준스탯 72종'!K55*G1185</x:f>
        <x:v>0.27999999999999997</x:v>
      </x:c>
      <x:c r="Z1185" s="15" t="n">
        <x:f>'기준스탯 72종'!D55*H1185</x:f>
        <x:v>2.1600000000000006</x:v>
      </x:c>
      <x:c r="AA1185" s="15" t="n">
        <x:f>'기준스탯 72종'!E55*H1185</x:f>
        <x:v>1.4400000000000004</x:v>
      </x:c>
      <x:c r="AB1185" s="15" t="n">
        <x:f>'기준스탯 72종'!F55*H1185</x:f>
        <x:v>1.9200000000000004</x:v>
      </x:c>
      <x:c r="AC1185" s="15" t="n">
        <x:f>'기준스탯 72종'!G55*H1185</x:f>
        <x:v>1.9200000000000004</x:v>
      </x:c>
      <x:c r="AD1185" s="15" t="n">
        <x:f>'기준스탯 72종'!H55*H1185</x:f>
        <x:v>0.7200000000000002</x:v>
      </x:c>
      <x:c r="AE1185" s="15" t="n">
        <x:f>'기준스탯 72종'!I55*H1185</x:f>
        <x:v>1.6800000000000004</x:v>
      </x:c>
      <x:c r="AF1185" s="15" t="n">
        <x:f>'기준스탯 72종'!J55*H1185</x:f>
        <x:v>1.2000000000000002</x:v>
      </x:c>
      <x:c r="AG1185" s="15" t="n">
        <x:f>'기준스탯 72종'!K55*H1185</x:f>
        <x:v>0.24000000000000005</x:v>
      </x:c>
    </x:row>
    <x:row r="1186" ht="28" customHeight="1">
      <x:c r="A1186" s="2" t="n">
        <x:v>1179</x:v>
      </x:c>
      <x:c r="B1186" s="2" t="n">
        <x:v>48</x:v>
      </x:c>
      <x:c r="C1186" s="2" t="str">
        <x:v>전갈자리</x:v>
      </x:c>
      <x:c r="D1186" s="2" t="str">
        <x:v>전사</x:v>
      </x:c>
      <x:c r="E1186" s="2" t="n">
        <x:v>4</x:v>
      </x:c>
      <x:c r="F1186" s="2" t="n">
        <x:v>1</x:v>
      </x:c>
      <x:c r="G1186" s="14" t="n">
        <x:f>('레벨 계산식'!$E$4-E1186)*'레벨 계산식'!$B$5</x:f>
        <x:v>0.13999999999999999</x:v>
      </x:c>
      <x:c r="H1186" s="14" t="n">
        <x:f>('등급 계산식'!$E$4-F1186)*'등급 계산식'!$B$5</x:f>
        <x:v>0.24000000000000005</x:v>
      </x:c>
      <x:c r="I1186" s="14" t="n">
        <x:f>1-G1186-H1186</x:f>
        <x:v>0.6199999999999999</x:v>
      </x:c>
      <x:c r="J1186" s="2" t="n">
        <x:f>MAX(1,ROUND('기준스탯 72종'!D55-R1186-Z1186,0))</x:f>
        <x:v>6</x:v>
      </x:c>
      <x:c r="K1186" s="2" t="n">
        <x:f>MAX(1,ROUND('기준스탯 72종'!E55-S1186-AA1186,0))</x:f>
        <x:v>4</x:v>
      </x:c>
      <x:c r="L1186" s="2" t="n">
        <x:f>MAX(1,ROUND('기준스탯 72종'!F55-T1186-AB1186,0))</x:f>
        <x:v>5</x:v>
      </x:c>
      <x:c r="M1186" s="2" t="n">
        <x:f>MAX(1,ROUND('기준스탯 72종'!G55-U1186-AC1186,0))</x:f>
        <x:v>5</x:v>
      </x:c>
      <x:c r="N1186" s="2" t="n">
        <x:f>MAX(0,ROUND('기준스탯 72종'!H55-V1186-AD1186,0))</x:f>
        <x:v>2</x:v>
      </x:c>
      <x:c r="O1186" s="2" t="n">
        <x:f>MAX(0,ROUND('기준스탯 72종'!I55-W1186-AE1186,0))</x:f>
        <x:v>4</x:v>
      </x:c>
      <x:c r="P1186" s="2" t="n">
        <x:f>MAX(0,ROUND('기준스탯 72종'!J55-X1186-AF1186,0))</x:f>
        <x:v>3</x:v>
      </x:c>
      <x:c r="Q1186" s="2" t="n">
        <x:f>MAX(0,ROUND('기준스탯 72종'!K55-Y1186-AG1186,0))</x:f>
        <x:v>1</x:v>
      </x:c>
      <x:c r="R1186" s="15" t="n">
        <x:f>'기준스탯 72종'!D55*G1186</x:f>
        <x:v>1.2599999999999998</x:v>
      </x:c>
      <x:c r="S1186" s="15" t="n">
        <x:f>'기준스탯 72종'!E55*G1186</x:f>
        <x:v>0.8399999999999999</x:v>
      </x:c>
      <x:c r="T1186" s="15" t="n">
        <x:f>'기준스탯 72종'!F55*G1186</x:f>
        <x:v>1.1199999999999999</x:v>
      </x:c>
      <x:c r="U1186" s="15" t="n">
        <x:f>'기준스탯 72종'!G55*G1186</x:f>
        <x:v>1.1199999999999999</x:v>
      </x:c>
      <x:c r="V1186" s="15" t="n">
        <x:f>'기준스탯 72종'!H55*G1186</x:f>
        <x:v>0.41999999999999993</x:v>
      </x:c>
      <x:c r="W1186" s="15" t="n">
        <x:f>'기준스탯 72종'!I55*G1186</x:f>
        <x:v>0.9799999999999999</x:v>
      </x:c>
      <x:c r="X1186" s="15" t="n">
        <x:f>'기준스탯 72종'!J55*G1186</x:f>
        <x:v>0.7</x:v>
      </x:c>
      <x:c r="Y1186" s="15" t="n">
        <x:f>'기준스탯 72종'!K55*G1186</x:f>
        <x:v>0.13999999999999999</x:v>
      </x:c>
      <x:c r="Z1186" s="15" t="n">
        <x:f>'기준스탯 72종'!D55*H1186</x:f>
        <x:v>2.1600000000000006</x:v>
      </x:c>
      <x:c r="AA1186" s="15" t="n">
        <x:f>'기준스탯 72종'!E55*H1186</x:f>
        <x:v>1.4400000000000004</x:v>
      </x:c>
      <x:c r="AB1186" s="15" t="n">
        <x:f>'기준스탯 72종'!F55*H1186</x:f>
        <x:v>1.9200000000000004</x:v>
      </x:c>
      <x:c r="AC1186" s="15" t="n">
        <x:f>'기준스탯 72종'!G55*H1186</x:f>
        <x:v>1.9200000000000004</x:v>
      </x:c>
      <x:c r="AD1186" s="15" t="n">
        <x:f>'기준스탯 72종'!H55*H1186</x:f>
        <x:v>0.7200000000000002</x:v>
      </x:c>
      <x:c r="AE1186" s="15" t="n">
        <x:f>'기준스탯 72종'!I55*H1186</x:f>
        <x:v>1.6800000000000004</x:v>
      </x:c>
      <x:c r="AF1186" s="15" t="n">
        <x:f>'기준스탯 72종'!J55*H1186</x:f>
        <x:v>1.2000000000000002</x:v>
      </x:c>
      <x:c r="AG1186" s="15" t="n">
        <x:f>'기준스탯 72종'!K55*H1186</x:f>
        <x:v>0.24000000000000005</x:v>
      </x:c>
    </x:row>
    <x:row r="1187" ht="28" customHeight="1">
      <x:c r="A1187" s="2" t="n">
        <x:v>1180</x:v>
      </x:c>
      <x:c r="B1187" s="2" t="n">
        <x:v>48</x:v>
      </x:c>
      <x:c r="C1187" s="2" t="str">
        <x:v>전갈자리</x:v>
      </x:c>
      <x:c r="D1187" s="2" t="str">
        <x:v>전사</x:v>
      </x:c>
      <x:c r="E1187" s="2" t="n">
        <x:v>5</x:v>
      </x:c>
      <x:c r="F1187" s="2" t="n">
        <x:v>1</x:v>
      </x:c>
      <x:c r="G1187" s="14" t="n">
        <x:f>('레벨 계산식'!$E$4-E1187)*'레벨 계산식'!$B$5</x:f>
        <x:v>0</x:v>
      </x:c>
      <x:c r="H1187" s="14" t="n">
        <x:f>('등급 계산식'!$E$4-F1187)*'등급 계산식'!$B$5</x:f>
        <x:v>0.24000000000000005</x:v>
      </x:c>
      <x:c r="I1187" s="14" t="n">
        <x:f>1-G1187-H1187</x:f>
        <x:v>0.76</x:v>
      </x:c>
      <x:c r="J1187" s="2" t="n">
        <x:f>MAX(1,ROUND('기준스탯 72종'!D55-R1187-Z1187,0))</x:f>
        <x:v>7</x:v>
      </x:c>
      <x:c r="K1187" s="2" t="n">
        <x:f>MAX(1,ROUND('기준스탯 72종'!E55-S1187-AA1187,0))</x:f>
        <x:v>5</x:v>
      </x:c>
      <x:c r="L1187" s="2" t="n">
        <x:f>MAX(1,ROUND('기준스탯 72종'!F55-T1187-AB1187,0))</x:f>
        <x:v>6</x:v>
      </x:c>
      <x:c r="M1187" s="2" t="n">
        <x:f>MAX(1,ROUND('기준스탯 72종'!G55-U1187-AC1187,0))</x:f>
        <x:v>6</x:v>
      </x:c>
      <x:c r="N1187" s="2" t="n">
        <x:f>MAX(0,ROUND('기준스탯 72종'!H55-V1187-AD1187,0))</x:f>
        <x:v>2</x:v>
      </x:c>
      <x:c r="O1187" s="2" t="n">
        <x:f>MAX(0,ROUND('기준스탯 72종'!I55-W1187-AE1187,0))</x:f>
        <x:v>5</x:v>
      </x:c>
      <x:c r="P1187" s="2" t="n">
        <x:f>MAX(0,ROUND('기준스탯 72종'!J55-X1187-AF1187,0))</x:f>
        <x:v>4</x:v>
      </x:c>
      <x:c r="Q1187" s="2" t="n">
        <x:f>MAX(0,ROUND('기준스탯 72종'!K55-Y1187-AG1187,0))</x:f>
        <x:v>1</x:v>
      </x:c>
      <x:c r="R1187" s="15" t="n">
        <x:f>'기준스탯 72종'!D55*G1187</x:f>
        <x:v>0</x:v>
      </x:c>
      <x:c r="S1187" s="15" t="n">
        <x:f>'기준스탯 72종'!E55*G1187</x:f>
        <x:v>0</x:v>
      </x:c>
      <x:c r="T1187" s="15" t="n">
        <x:f>'기준스탯 72종'!F55*G1187</x:f>
        <x:v>0</x:v>
      </x:c>
      <x:c r="U1187" s="15" t="n">
        <x:f>'기준스탯 72종'!G55*G1187</x:f>
        <x:v>0</x:v>
      </x:c>
      <x:c r="V1187" s="15" t="n">
        <x:f>'기준스탯 72종'!H55*G1187</x:f>
        <x:v>0</x:v>
      </x:c>
      <x:c r="W1187" s="15" t="n">
        <x:f>'기준스탯 72종'!I55*G1187</x:f>
        <x:v>0</x:v>
      </x:c>
      <x:c r="X1187" s="15" t="n">
        <x:f>'기준스탯 72종'!J55*G1187</x:f>
        <x:v>0</x:v>
      </x:c>
      <x:c r="Y1187" s="15" t="n">
        <x:f>'기준스탯 72종'!K55*G1187</x:f>
        <x:v>0</x:v>
      </x:c>
      <x:c r="Z1187" s="15" t="n">
        <x:f>'기준스탯 72종'!D55*H1187</x:f>
        <x:v>2.1600000000000006</x:v>
      </x:c>
      <x:c r="AA1187" s="15" t="n">
        <x:f>'기준스탯 72종'!E55*H1187</x:f>
        <x:v>1.4400000000000004</x:v>
      </x:c>
      <x:c r="AB1187" s="15" t="n">
        <x:f>'기준스탯 72종'!F55*H1187</x:f>
        <x:v>1.9200000000000004</x:v>
      </x:c>
      <x:c r="AC1187" s="15" t="n">
        <x:f>'기준스탯 72종'!G55*H1187</x:f>
        <x:v>1.9200000000000004</x:v>
      </x:c>
      <x:c r="AD1187" s="15" t="n">
        <x:f>'기준스탯 72종'!H55*H1187</x:f>
        <x:v>0.7200000000000002</x:v>
      </x:c>
      <x:c r="AE1187" s="15" t="n">
        <x:f>'기준스탯 72종'!I55*H1187</x:f>
        <x:v>1.6800000000000004</x:v>
      </x:c>
      <x:c r="AF1187" s="15" t="n">
        <x:f>'기준스탯 72종'!J55*H1187</x:f>
        <x:v>1.2000000000000002</x:v>
      </x:c>
      <x:c r="AG1187" s="15" t="n">
        <x:f>'기준스탯 72종'!K55*H1187</x:f>
        <x:v>0.24000000000000005</x:v>
      </x:c>
    </x:row>
    <x:row r="1188" ht="28" customHeight="1">
      <x:c r="A1188" s="2" t="n">
        <x:v>1181</x:v>
      </x:c>
      <x:c r="B1188" s="2" t="n">
        <x:v>48</x:v>
      </x:c>
      <x:c r="C1188" s="2" t="str">
        <x:v>전갈자리</x:v>
      </x:c>
      <x:c r="D1188" s="2" t="str">
        <x:v>전사</x:v>
      </x:c>
      <x:c r="E1188" s="2" t="n">
        <x:v>1</x:v>
      </x:c>
      <x:c r="F1188" s="2" t="n">
        <x:v>2</x:v>
      </x:c>
      <x:c r="G1188" s="14" t="n">
        <x:f>('레벨 계산식'!$E$4-E1188)*'레벨 계산식'!$B$5</x:f>
        <x:v>0.5599999999999999</x:v>
      </x:c>
      <x:c r="H1188" s="14" t="n">
        <x:f>('등급 계산식'!$E$4-F1188)*'등급 계산식'!$B$5</x:f>
        <x:v>0.18000000000000005</x:v>
      </x:c>
      <x:c r="I1188" s="14" t="n">
        <x:f>1-G1188-H1188</x:f>
        <x:v>0.26</x:v>
      </x:c>
      <x:c r="J1188" s="2" t="n">
        <x:f>MAX(1,ROUND('기준스탯 72종'!D55-R1188-Z1188,0))</x:f>
        <x:v>2</x:v>
      </x:c>
      <x:c r="K1188" s="2" t="n">
        <x:f>MAX(1,ROUND('기준스탯 72종'!E55-S1188-AA1188,0))</x:f>
        <x:v>2</x:v>
      </x:c>
      <x:c r="L1188" s="2" t="n">
        <x:f>MAX(1,ROUND('기준스탯 72종'!F55-T1188-AB1188,0))</x:f>
        <x:v>2</x:v>
      </x:c>
      <x:c r="M1188" s="2" t="n">
        <x:f>MAX(1,ROUND('기준스탯 72종'!G55-U1188-AC1188,0))</x:f>
        <x:v>2</x:v>
      </x:c>
      <x:c r="N1188" s="2" t="n">
        <x:f>MAX(0,ROUND('기준스탯 72종'!H55-V1188-AD1188,0))</x:f>
        <x:v>1</x:v>
      </x:c>
      <x:c r="O1188" s="2" t="n">
        <x:f>MAX(0,ROUND('기준스탯 72종'!I55-W1188-AE1188,0))</x:f>
        <x:v>2</x:v>
      </x:c>
      <x:c r="P1188" s="2" t="n">
        <x:f>MAX(0,ROUND('기준스탯 72종'!J55-X1188-AF1188,0))</x:f>
        <x:v>1</x:v>
      </x:c>
      <x:c r="Q1188" s="2" t="n">
        <x:f>MAX(0,ROUND('기준스탯 72종'!K55-Y1188-AG1188,0))</x:f>
        <x:v>0</x:v>
      </x:c>
      <x:c r="R1188" s="15" t="n">
        <x:f>'기준스탯 72종'!D55*G1188</x:f>
        <x:v>5.039999999999999</x:v>
      </x:c>
      <x:c r="S1188" s="15" t="n">
        <x:f>'기준스탯 72종'!E55*G1188</x:f>
        <x:v>3.3599999999999994</x:v>
      </x:c>
      <x:c r="T1188" s="15" t="n">
        <x:f>'기준스탯 72종'!F55*G1188</x:f>
        <x:v>4.4799999999999995</x:v>
      </x:c>
      <x:c r="U1188" s="15" t="n">
        <x:f>'기준스탯 72종'!G55*G1188</x:f>
        <x:v>4.4799999999999995</x:v>
      </x:c>
      <x:c r="V1188" s="15" t="n">
        <x:f>'기준스탯 72종'!H55*G1188</x:f>
        <x:v>1.6799999999999997</x:v>
      </x:c>
      <x:c r="W1188" s="15" t="n">
        <x:f>'기준스탯 72종'!I55*G1188</x:f>
        <x:v>3.9199999999999995</x:v>
      </x:c>
      <x:c r="X1188" s="15" t="n">
        <x:f>'기준스탯 72종'!J55*G1188</x:f>
        <x:v>2.8</x:v>
      </x:c>
      <x:c r="Y1188" s="15" t="n">
        <x:f>'기준스탯 72종'!K55*G1188</x:f>
        <x:v>0.5599999999999999</x:v>
      </x:c>
      <x:c r="Z1188" s="15" t="n">
        <x:f>'기준스탯 72종'!D55*H1188</x:f>
        <x:v>1.6200000000000006</x:v>
      </x:c>
      <x:c r="AA1188" s="15" t="n">
        <x:f>'기준스탯 72종'!E55*H1188</x:f>
        <x:v>1.0800000000000003</x:v>
      </x:c>
      <x:c r="AB1188" s="15" t="n">
        <x:f>'기준스탯 72종'!F55*H1188</x:f>
        <x:v>1.4400000000000004</x:v>
      </x:c>
      <x:c r="AC1188" s="15" t="n">
        <x:f>'기준스탯 72종'!G55*H1188</x:f>
        <x:v>1.4400000000000004</x:v>
      </x:c>
      <x:c r="AD1188" s="15" t="n">
        <x:f>'기준스탯 72종'!H55*H1188</x:f>
        <x:v>0.5400000000000001</x:v>
      </x:c>
      <x:c r="AE1188" s="15" t="n">
        <x:f>'기준스탯 72종'!I55*H1188</x:f>
        <x:v>1.2600000000000002</x:v>
      </x:c>
      <x:c r="AF1188" s="15" t="n">
        <x:f>'기준스탯 72종'!J55*H1188</x:f>
        <x:v>0.9000000000000002</x:v>
      </x:c>
      <x:c r="AG1188" s="15" t="n">
        <x:f>'기준스탯 72종'!K55*H1188</x:f>
        <x:v>0.18000000000000005</x:v>
      </x:c>
    </x:row>
    <x:row r="1189" ht="28" customHeight="1">
      <x:c r="A1189" s="2" t="n">
        <x:v>1182</x:v>
      </x:c>
      <x:c r="B1189" s="2" t="n">
        <x:v>48</x:v>
      </x:c>
      <x:c r="C1189" s="2" t="str">
        <x:v>전갈자리</x:v>
      </x:c>
      <x:c r="D1189" s="2" t="str">
        <x:v>전사</x:v>
      </x:c>
      <x:c r="E1189" s="2" t="n">
        <x:v>2</x:v>
      </x:c>
      <x:c r="F1189" s="2" t="n">
        <x:v>2</x:v>
      </x:c>
      <x:c r="G1189" s="14" t="n">
        <x:f>('레벨 계산식'!$E$4-E1189)*'레벨 계산식'!$B$5</x:f>
        <x:v>0.41999999999999993</x:v>
      </x:c>
      <x:c r="H1189" s="14" t="n">
        <x:f>('등급 계산식'!$E$4-F1189)*'등급 계산식'!$B$5</x:f>
        <x:v>0.18000000000000005</x:v>
      </x:c>
      <x:c r="I1189" s="14" t="n">
        <x:f>1-G1189-H1189</x:f>
        <x:v>0.4</x:v>
      </x:c>
      <x:c r="J1189" s="2" t="n">
        <x:f>MAX(1,ROUND('기준스탯 72종'!D55-R1189-Z1189,0))</x:f>
        <x:v>4</x:v>
      </x:c>
      <x:c r="K1189" s="2" t="n">
        <x:f>MAX(1,ROUND('기준스탯 72종'!E55-S1189-AA1189,0))</x:f>
        <x:v>2</x:v>
      </x:c>
      <x:c r="L1189" s="2" t="n">
        <x:f>MAX(1,ROUND('기준스탯 72종'!F55-T1189-AB1189,0))</x:f>
        <x:v>3</x:v>
      </x:c>
      <x:c r="M1189" s="2" t="n">
        <x:f>MAX(1,ROUND('기준스탯 72종'!G55-U1189-AC1189,0))</x:f>
        <x:v>3</x:v>
      </x:c>
      <x:c r="N1189" s="2" t="n">
        <x:f>MAX(0,ROUND('기준스탯 72종'!H55-V1189-AD1189,0))</x:f>
        <x:v>1</x:v>
      </x:c>
      <x:c r="O1189" s="2" t="n">
        <x:f>MAX(0,ROUND('기준스탯 72종'!I55-W1189-AE1189,0))</x:f>
        <x:v>3</x:v>
      </x:c>
      <x:c r="P1189" s="2" t="n">
        <x:f>MAX(0,ROUND('기준스탯 72종'!J55-X1189-AF1189,0))</x:f>
        <x:v>2</x:v>
      </x:c>
      <x:c r="Q1189" s="2" t="n">
        <x:f>MAX(0,ROUND('기준스탯 72종'!K55-Y1189-AG1189,0))</x:f>
        <x:v>0</x:v>
      </x:c>
      <x:c r="R1189" s="15" t="n">
        <x:f>'기준스탯 72종'!D55*G1189</x:f>
        <x:v>3.7799999999999994</x:v>
      </x:c>
      <x:c r="S1189" s="15" t="n">
        <x:f>'기준스탯 72종'!E55*G1189</x:f>
        <x:v>2.5199999999999996</x:v>
      </x:c>
      <x:c r="T1189" s="15" t="n">
        <x:f>'기준스탯 72종'!F55*G1189</x:f>
        <x:v>3.3599999999999994</x:v>
      </x:c>
      <x:c r="U1189" s="15" t="n">
        <x:f>'기준스탯 72종'!G55*G1189</x:f>
        <x:v>3.3599999999999994</x:v>
      </x:c>
      <x:c r="V1189" s="15" t="n">
        <x:f>'기준스탯 72종'!H55*G1189</x:f>
        <x:v>1.2599999999999998</x:v>
      </x:c>
      <x:c r="W1189" s="15" t="n">
        <x:f>'기준스탯 72종'!I55*G1189</x:f>
        <x:v>2.9399999999999995</x:v>
      </x:c>
      <x:c r="X1189" s="15" t="n">
        <x:f>'기준스탯 72종'!J55*G1189</x:f>
        <x:v>2.0999999999999996</x:v>
      </x:c>
      <x:c r="Y1189" s="15" t="n">
        <x:f>'기준스탯 72종'!K55*G1189</x:f>
        <x:v>0.41999999999999993</x:v>
      </x:c>
      <x:c r="Z1189" s="15" t="n">
        <x:f>'기준스탯 72종'!D55*H1189</x:f>
        <x:v>1.6200000000000006</x:v>
      </x:c>
      <x:c r="AA1189" s="15" t="n">
        <x:f>'기준스탯 72종'!E55*H1189</x:f>
        <x:v>1.0800000000000003</x:v>
      </x:c>
      <x:c r="AB1189" s="15" t="n">
        <x:f>'기준스탯 72종'!F55*H1189</x:f>
        <x:v>1.4400000000000004</x:v>
      </x:c>
      <x:c r="AC1189" s="15" t="n">
        <x:f>'기준스탯 72종'!G55*H1189</x:f>
        <x:v>1.4400000000000004</x:v>
      </x:c>
      <x:c r="AD1189" s="15" t="n">
        <x:f>'기준스탯 72종'!H55*H1189</x:f>
        <x:v>0.5400000000000001</x:v>
      </x:c>
      <x:c r="AE1189" s="15" t="n">
        <x:f>'기준스탯 72종'!I55*H1189</x:f>
        <x:v>1.2600000000000002</x:v>
      </x:c>
      <x:c r="AF1189" s="15" t="n">
        <x:f>'기준스탯 72종'!J55*H1189</x:f>
        <x:v>0.9000000000000002</x:v>
      </x:c>
      <x:c r="AG1189" s="15" t="n">
        <x:f>'기준스탯 72종'!K55*H1189</x:f>
        <x:v>0.18000000000000005</x:v>
      </x:c>
    </x:row>
    <x:row r="1190" ht="28" customHeight="1">
      <x:c r="A1190" s="2" t="n">
        <x:v>1183</x:v>
      </x:c>
      <x:c r="B1190" s="2" t="n">
        <x:v>48</x:v>
      </x:c>
      <x:c r="C1190" s="2" t="str">
        <x:v>전갈자리</x:v>
      </x:c>
      <x:c r="D1190" s="2" t="str">
        <x:v>전사</x:v>
      </x:c>
      <x:c r="E1190" s="2" t="n">
        <x:v>3</x:v>
      </x:c>
      <x:c r="F1190" s="2" t="n">
        <x:v>2</x:v>
      </x:c>
      <x:c r="G1190" s="14" t="n">
        <x:f>('레벨 계산식'!$E$4-E1190)*'레벨 계산식'!$B$5</x:f>
        <x:v>0.27999999999999997</x:v>
      </x:c>
      <x:c r="H1190" s="14" t="n">
        <x:f>('등급 계산식'!$E$4-F1190)*'등급 계산식'!$B$5</x:f>
        <x:v>0.18000000000000005</x:v>
      </x:c>
      <x:c r="I1190" s="14" t="n">
        <x:f>1-G1190-H1190</x:f>
        <x:v>0.5399999999999999</x:v>
      </x:c>
      <x:c r="J1190" s="2" t="n">
        <x:f>MAX(1,ROUND('기준스탯 72종'!D55-R1190-Z1190,0))</x:f>
        <x:v>5</x:v>
      </x:c>
      <x:c r="K1190" s="2" t="n">
        <x:f>MAX(1,ROUND('기준스탯 72종'!E55-S1190-AA1190,0))</x:f>
        <x:v>3</x:v>
      </x:c>
      <x:c r="L1190" s="2" t="n">
        <x:f>MAX(1,ROUND('기준스탯 72종'!F55-T1190-AB1190,0))</x:f>
        <x:v>4</x:v>
      </x:c>
      <x:c r="M1190" s="2" t="n">
        <x:f>MAX(1,ROUND('기준스탯 72종'!G55-U1190-AC1190,0))</x:f>
        <x:v>4</x:v>
      </x:c>
      <x:c r="N1190" s="2" t="n">
        <x:f>MAX(0,ROUND('기준스탯 72종'!H55-V1190-AD1190,0))</x:f>
        <x:v>2</x:v>
      </x:c>
      <x:c r="O1190" s="2" t="n">
        <x:f>MAX(0,ROUND('기준스탯 72종'!I55-W1190-AE1190,0))</x:f>
        <x:v>4</x:v>
      </x:c>
      <x:c r="P1190" s="2" t="n">
        <x:f>MAX(0,ROUND('기준스탯 72종'!J55-X1190-AF1190,0))</x:f>
        <x:v>3</x:v>
      </x:c>
      <x:c r="Q1190" s="2" t="n">
        <x:f>MAX(0,ROUND('기준스탯 72종'!K55-Y1190-AG1190,0))</x:f>
        <x:v>1</x:v>
      </x:c>
      <x:c r="R1190" s="15" t="n">
        <x:f>'기준스탯 72종'!D55*G1190</x:f>
        <x:v>2.5199999999999996</x:v>
      </x:c>
      <x:c r="S1190" s="15" t="n">
        <x:f>'기준스탯 72종'!E55*G1190</x:f>
        <x:v>1.6799999999999997</x:v>
      </x:c>
      <x:c r="T1190" s="15" t="n">
        <x:f>'기준스탯 72종'!F55*G1190</x:f>
        <x:v>2.2399999999999998</x:v>
      </x:c>
      <x:c r="U1190" s="15" t="n">
        <x:f>'기준스탯 72종'!G55*G1190</x:f>
        <x:v>2.2399999999999998</x:v>
      </x:c>
      <x:c r="V1190" s="15" t="n">
        <x:f>'기준스탯 72종'!H55*G1190</x:f>
        <x:v>0.8399999999999999</x:v>
      </x:c>
      <x:c r="W1190" s="15" t="n">
        <x:f>'기준스탯 72종'!I55*G1190</x:f>
        <x:v>1.9599999999999997</x:v>
      </x:c>
      <x:c r="X1190" s="15" t="n">
        <x:f>'기준스탯 72종'!J55*G1190</x:f>
        <x:v>1.4</x:v>
      </x:c>
      <x:c r="Y1190" s="15" t="n">
        <x:f>'기준스탯 72종'!K55*G1190</x:f>
        <x:v>0.27999999999999997</x:v>
      </x:c>
      <x:c r="Z1190" s="15" t="n">
        <x:f>'기준스탯 72종'!D55*H1190</x:f>
        <x:v>1.6200000000000006</x:v>
      </x:c>
      <x:c r="AA1190" s="15" t="n">
        <x:f>'기준스탯 72종'!E55*H1190</x:f>
        <x:v>1.0800000000000003</x:v>
      </x:c>
      <x:c r="AB1190" s="15" t="n">
        <x:f>'기준스탯 72종'!F55*H1190</x:f>
        <x:v>1.4400000000000004</x:v>
      </x:c>
      <x:c r="AC1190" s="15" t="n">
        <x:f>'기준스탯 72종'!G55*H1190</x:f>
        <x:v>1.4400000000000004</x:v>
      </x:c>
      <x:c r="AD1190" s="15" t="n">
        <x:f>'기준스탯 72종'!H55*H1190</x:f>
        <x:v>0.5400000000000001</x:v>
      </x:c>
      <x:c r="AE1190" s="15" t="n">
        <x:f>'기준스탯 72종'!I55*H1190</x:f>
        <x:v>1.2600000000000002</x:v>
      </x:c>
      <x:c r="AF1190" s="15" t="n">
        <x:f>'기준스탯 72종'!J55*H1190</x:f>
        <x:v>0.9000000000000002</x:v>
      </x:c>
      <x:c r="AG1190" s="15" t="n">
        <x:f>'기준스탯 72종'!K55*H1190</x:f>
        <x:v>0.18000000000000005</x:v>
      </x:c>
    </x:row>
    <x:row r="1191" ht="28" customHeight="1">
      <x:c r="A1191" s="2" t="n">
        <x:v>1184</x:v>
      </x:c>
      <x:c r="B1191" s="2" t="n">
        <x:v>48</x:v>
      </x:c>
      <x:c r="C1191" s="2" t="str">
        <x:v>전갈자리</x:v>
      </x:c>
      <x:c r="D1191" s="2" t="str">
        <x:v>전사</x:v>
      </x:c>
      <x:c r="E1191" s="2" t="n">
        <x:v>4</x:v>
      </x:c>
      <x:c r="F1191" s="2" t="n">
        <x:v>2</x:v>
      </x:c>
      <x:c r="G1191" s="14" t="n">
        <x:f>('레벨 계산식'!$E$4-E1191)*'레벨 계산식'!$B$5</x:f>
        <x:v>0.13999999999999999</x:v>
      </x:c>
      <x:c r="H1191" s="14" t="n">
        <x:f>('등급 계산식'!$E$4-F1191)*'등급 계산식'!$B$5</x:f>
        <x:v>0.18000000000000005</x:v>
      </x:c>
      <x:c r="I1191" s="14" t="n">
        <x:f>1-G1191-H1191</x:f>
        <x:v>0.6799999999999999</x:v>
      </x:c>
      <x:c r="J1191" s="2" t="n">
        <x:f>MAX(1,ROUND('기준스탯 72종'!D55-R1191-Z1191,0))</x:f>
        <x:v>6</x:v>
      </x:c>
      <x:c r="K1191" s="2" t="n">
        <x:f>MAX(1,ROUND('기준스탯 72종'!E55-S1191-AA1191,0))</x:f>
        <x:v>4</x:v>
      </x:c>
      <x:c r="L1191" s="2" t="n">
        <x:f>MAX(1,ROUND('기준스탯 72종'!F55-T1191-AB1191,0))</x:f>
        <x:v>5</x:v>
      </x:c>
      <x:c r="M1191" s="2" t="n">
        <x:f>MAX(1,ROUND('기준스탯 72종'!G55-U1191-AC1191,0))</x:f>
        <x:v>5</x:v>
      </x:c>
      <x:c r="N1191" s="2" t="n">
        <x:f>MAX(0,ROUND('기준스탯 72종'!H55-V1191-AD1191,0))</x:f>
        <x:v>2</x:v>
      </x:c>
      <x:c r="O1191" s="2" t="n">
        <x:f>MAX(0,ROUND('기준스탯 72종'!I55-W1191-AE1191,0))</x:f>
        <x:v>5</x:v>
      </x:c>
      <x:c r="P1191" s="2" t="n">
        <x:f>MAX(0,ROUND('기준스탯 72종'!J55-X1191-AF1191,0))</x:f>
        <x:v>3</x:v>
      </x:c>
      <x:c r="Q1191" s="2" t="n">
        <x:f>MAX(0,ROUND('기준스탯 72종'!K55-Y1191-AG1191,0))</x:f>
        <x:v>1</x:v>
      </x:c>
      <x:c r="R1191" s="15" t="n">
        <x:f>'기준스탯 72종'!D55*G1191</x:f>
        <x:v>1.2599999999999998</x:v>
      </x:c>
      <x:c r="S1191" s="15" t="n">
        <x:f>'기준스탯 72종'!E55*G1191</x:f>
        <x:v>0.8399999999999999</x:v>
      </x:c>
      <x:c r="T1191" s="15" t="n">
        <x:f>'기준스탯 72종'!F55*G1191</x:f>
        <x:v>1.1199999999999999</x:v>
      </x:c>
      <x:c r="U1191" s="15" t="n">
        <x:f>'기준스탯 72종'!G55*G1191</x:f>
        <x:v>1.1199999999999999</x:v>
      </x:c>
      <x:c r="V1191" s="15" t="n">
        <x:f>'기준스탯 72종'!H55*G1191</x:f>
        <x:v>0.41999999999999993</x:v>
      </x:c>
      <x:c r="W1191" s="15" t="n">
        <x:f>'기준스탯 72종'!I55*G1191</x:f>
        <x:v>0.9799999999999999</x:v>
      </x:c>
      <x:c r="X1191" s="15" t="n">
        <x:f>'기준스탯 72종'!J55*G1191</x:f>
        <x:v>0.7</x:v>
      </x:c>
      <x:c r="Y1191" s="15" t="n">
        <x:f>'기준스탯 72종'!K55*G1191</x:f>
        <x:v>0.13999999999999999</x:v>
      </x:c>
      <x:c r="Z1191" s="15" t="n">
        <x:f>'기준스탯 72종'!D55*H1191</x:f>
        <x:v>1.6200000000000006</x:v>
      </x:c>
      <x:c r="AA1191" s="15" t="n">
        <x:f>'기준스탯 72종'!E55*H1191</x:f>
        <x:v>1.0800000000000003</x:v>
      </x:c>
      <x:c r="AB1191" s="15" t="n">
        <x:f>'기준스탯 72종'!F55*H1191</x:f>
        <x:v>1.4400000000000004</x:v>
      </x:c>
      <x:c r="AC1191" s="15" t="n">
        <x:f>'기준스탯 72종'!G55*H1191</x:f>
        <x:v>1.4400000000000004</x:v>
      </x:c>
      <x:c r="AD1191" s="15" t="n">
        <x:f>'기준스탯 72종'!H55*H1191</x:f>
        <x:v>0.5400000000000001</x:v>
      </x:c>
      <x:c r="AE1191" s="15" t="n">
        <x:f>'기준스탯 72종'!I55*H1191</x:f>
        <x:v>1.2600000000000002</x:v>
      </x:c>
      <x:c r="AF1191" s="15" t="n">
        <x:f>'기준스탯 72종'!J55*H1191</x:f>
        <x:v>0.9000000000000002</x:v>
      </x:c>
      <x:c r="AG1191" s="15" t="n">
        <x:f>'기준스탯 72종'!K55*H1191</x:f>
        <x:v>0.18000000000000005</x:v>
      </x:c>
    </x:row>
    <x:row r="1192" ht="28" customHeight="1">
      <x:c r="A1192" s="2" t="n">
        <x:v>1185</x:v>
      </x:c>
      <x:c r="B1192" s="2" t="n">
        <x:v>48</x:v>
      </x:c>
      <x:c r="C1192" s="2" t="str">
        <x:v>전갈자리</x:v>
      </x:c>
      <x:c r="D1192" s="2" t="str">
        <x:v>전사</x:v>
      </x:c>
      <x:c r="E1192" s="2" t="n">
        <x:v>5</x:v>
      </x:c>
      <x:c r="F1192" s="2" t="n">
        <x:v>2</x:v>
      </x:c>
      <x:c r="G1192" s="14" t="n">
        <x:f>('레벨 계산식'!$E$4-E1192)*'레벨 계산식'!$B$5</x:f>
        <x:v>0</x:v>
      </x:c>
      <x:c r="H1192" s="14" t="n">
        <x:f>('등급 계산식'!$E$4-F1192)*'등급 계산식'!$B$5</x:f>
        <x:v>0.18000000000000005</x:v>
      </x:c>
      <x:c r="I1192" s="14" t="n">
        <x:f>1-G1192-H1192</x:f>
        <x:v>0.82</x:v>
      </x:c>
      <x:c r="J1192" s="2" t="n">
        <x:f>MAX(1,ROUND('기준스탯 72종'!D55-R1192-Z1192,0))</x:f>
        <x:v>7</x:v>
      </x:c>
      <x:c r="K1192" s="2" t="n">
        <x:f>MAX(1,ROUND('기준스탯 72종'!E55-S1192-AA1192,0))</x:f>
        <x:v>5</x:v>
      </x:c>
      <x:c r="L1192" s="2" t="n">
        <x:f>MAX(1,ROUND('기준스탯 72종'!F55-T1192-AB1192,0))</x:f>
        <x:v>7</x:v>
      </x:c>
      <x:c r="M1192" s="2" t="n">
        <x:f>MAX(1,ROUND('기준스탯 72종'!G55-U1192-AC1192,0))</x:f>
        <x:v>7</x:v>
      </x:c>
      <x:c r="N1192" s="2" t="n">
        <x:f>MAX(0,ROUND('기준스탯 72종'!H55-V1192-AD1192,0))</x:f>
        <x:v>2</x:v>
      </x:c>
      <x:c r="O1192" s="2" t="n">
        <x:f>MAX(0,ROUND('기준스탯 72종'!I55-W1192-AE1192,0))</x:f>
        <x:v>6</x:v>
      </x:c>
      <x:c r="P1192" s="2" t="n">
        <x:f>MAX(0,ROUND('기준스탯 72종'!J55-X1192-AF1192,0))</x:f>
        <x:v>4</x:v>
      </x:c>
      <x:c r="Q1192" s="2" t="n">
        <x:f>MAX(0,ROUND('기준스탯 72종'!K55-Y1192-AG1192,0))</x:f>
        <x:v>1</x:v>
      </x:c>
      <x:c r="R1192" s="15" t="n">
        <x:f>'기준스탯 72종'!D55*G1192</x:f>
        <x:v>0</x:v>
      </x:c>
      <x:c r="S1192" s="15" t="n">
        <x:f>'기준스탯 72종'!E55*G1192</x:f>
        <x:v>0</x:v>
      </x:c>
      <x:c r="T1192" s="15" t="n">
        <x:f>'기준스탯 72종'!F55*G1192</x:f>
        <x:v>0</x:v>
      </x:c>
      <x:c r="U1192" s="15" t="n">
        <x:f>'기준스탯 72종'!G55*G1192</x:f>
        <x:v>0</x:v>
      </x:c>
      <x:c r="V1192" s="15" t="n">
        <x:f>'기준스탯 72종'!H55*G1192</x:f>
        <x:v>0</x:v>
      </x:c>
      <x:c r="W1192" s="15" t="n">
        <x:f>'기준스탯 72종'!I55*G1192</x:f>
        <x:v>0</x:v>
      </x:c>
      <x:c r="X1192" s="15" t="n">
        <x:f>'기준스탯 72종'!J55*G1192</x:f>
        <x:v>0</x:v>
      </x:c>
      <x:c r="Y1192" s="15" t="n">
        <x:f>'기준스탯 72종'!K55*G1192</x:f>
        <x:v>0</x:v>
      </x:c>
      <x:c r="Z1192" s="15" t="n">
        <x:f>'기준스탯 72종'!D55*H1192</x:f>
        <x:v>1.6200000000000006</x:v>
      </x:c>
      <x:c r="AA1192" s="15" t="n">
        <x:f>'기준스탯 72종'!E55*H1192</x:f>
        <x:v>1.0800000000000003</x:v>
      </x:c>
      <x:c r="AB1192" s="15" t="n">
        <x:f>'기준스탯 72종'!F55*H1192</x:f>
        <x:v>1.4400000000000004</x:v>
      </x:c>
      <x:c r="AC1192" s="15" t="n">
        <x:f>'기준스탯 72종'!G55*H1192</x:f>
        <x:v>1.4400000000000004</x:v>
      </x:c>
      <x:c r="AD1192" s="15" t="n">
        <x:f>'기준스탯 72종'!H55*H1192</x:f>
        <x:v>0.5400000000000001</x:v>
      </x:c>
      <x:c r="AE1192" s="15" t="n">
        <x:f>'기준스탯 72종'!I55*H1192</x:f>
        <x:v>1.2600000000000002</x:v>
      </x:c>
      <x:c r="AF1192" s="15" t="n">
        <x:f>'기준스탯 72종'!J55*H1192</x:f>
        <x:v>0.9000000000000002</x:v>
      </x:c>
      <x:c r="AG1192" s="15" t="n">
        <x:f>'기준스탯 72종'!K55*H1192</x:f>
        <x:v>0.18000000000000005</x:v>
      </x:c>
    </x:row>
    <x:row r="1193" ht="28" customHeight="1">
      <x:c r="A1193" s="2" t="n">
        <x:v>1186</x:v>
      </x:c>
      <x:c r="B1193" s="2" t="n">
        <x:v>48</x:v>
      </x:c>
      <x:c r="C1193" s="2" t="str">
        <x:v>전갈자리</x:v>
      </x:c>
      <x:c r="D1193" s="2" t="str">
        <x:v>전사</x:v>
      </x:c>
      <x:c r="E1193" s="2" t="n">
        <x:v>1</x:v>
      </x:c>
      <x:c r="F1193" s="2" t="n">
        <x:v>3</x:v>
      </x:c>
      <x:c r="G1193" s="14" t="n">
        <x:f>('레벨 계산식'!$E$4-E1193)*'레벨 계산식'!$B$5</x:f>
        <x:v>0.5599999999999999</x:v>
      </x:c>
      <x:c r="H1193" s="14" t="n">
        <x:f>('등급 계산식'!$E$4-F1193)*'등급 계산식'!$B$5</x:f>
        <x:v>0.12000000000000002</x:v>
      </x:c>
      <x:c r="I1193" s="14" t="n">
        <x:f>1-G1193-H1193</x:f>
        <x:v>0.32000000000000006</x:v>
      </x:c>
      <x:c r="J1193" s="2" t="n">
        <x:f>MAX(1,ROUND('기준스탯 72종'!D55-R1193-Z1193,0))</x:f>
        <x:v>3</x:v>
      </x:c>
      <x:c r="K1193" s="2" t="n">
        <x:f>MAX(1,ROUND('기준스탯 72종'!E55-S1193-AA1193,0))</x:f>
        <x:v>2</x:v>
      </x:c>
      <x:c r="L1193" s="2" t="n">
        <x:f>MAX(1,ROUND('기준스탯 72종'!F55-T1193-AB1193,0))</x:f>
        <x:v>3</x:v>
      </x:c>
      <x:c r="M1193" s="2" t="n">
        <x:f>MAX(1,ROUND('기준스탯 72종'!G55-U1193-AC1193,0))</x:f>
        <x:v>3</x:v>
      </x:c>
      <x:c r="N1193" s="2" t="n">
        <x:f>MAX(0,ROUND('기준스탯 72종'!H55-V1193-AD1193,0))</x:f>
        <x:v>1</x:v>
      </x:c>
      <x:c r="O1193" s="2" t="n">
        <x:f>MAX(0,ROUND('기준스탯 72종'!I55-W1193-AE1193,0))</x:f>
        <x:v>2</x:v>
      </x:c>
      <x:c r="P1193" s="2" t="n">
        <x:f>MAX(0,ROUND('기준스탯 72종'!J55-X1193-AF1193,0))</x:f>
        <x:v>2</x:v>
      </x:c>
      <x:c r="Q1193" s="2" t="n">
        <x:f>MAX(0,ROUND('기준스탯 72종'!K55-Y1193-AG1193,0))</x:f>
        <x:v>0</x:v>
      </x:c>
      <x:c r="R1193" s="15" t="n">
        <x:f>'기준스탯 72종'!D55*G1193</x:f>
        <x:v>5.039999999999999</x:v>
      </x:c>
      <x:c r="S1193" s="15" t="n">
        <x:f>'기준스탯 72종'!E55*G1193</x:f>
        <x:v>3.3599999999999994</x:v>
      </x:c>
      <x:c r="T1193" s="15" t="n">
        <x:f>'기준스탯 72종'!F55*G1193</x:f>
        <x:v>4.4799999999999995</x:v>
      </x:c>
      <x:c r="U1193" s="15" t="n">
        <x:f>'기준스탯 72종'!G55*G1193</x:f>
        <x:v>4.4799999999999995</x:v>
      </x:c>
      <x:c r="V1193" s="15" t="n">
        <x:f>'기준스탯 72종'!H55*G1193</x:f>
        <x:v>1.6799999999999997</x:v>
      </x:c>
      <x:c r="W1193" s="15" t="n">
        <x:f>'기준스탯 72종'!I55*G1193</x:f>
        <x:v>3.9199999999999995</x:v>
      </x:c>
      <x:c r="X1193" s="15" t="n">
        <x:f>'기준스탯 72종'!J55*G1193</x:f>
        <x:v>2.8</x:v>
      </x:c>
      <x:c r="Y1193" s="15" t="n">
        <x:f>'기준스탯 72종'!K55*G1193</x:f>
        <x:v>0.5599999999999999</x:v>
      </x:c>
      <x:c r="Z1193" s="15" t="n">
        <x:f>'기준스탯 72종'!D55*H1193</x:f>
        <x:v>1.0800000000000003</x:v>
      </x:c>
      <x:c r="AA1193" s="15" t="n">
        <x:f>'기준스탯 72종'!E55*H1193</x:f>
        <x:v>0.7200000000000002</x:v>
      </x:c>
      <x:c r="AB1193" s="15" t="n">
        <x:f>'기준스탯 72종'!F55*H1193</x:f>
        <x:v>0.9600000000000002</x:v>
      </x:c>
      <x:c r="AC1193" s="15" t="n">
        <x:f>'기준스탯 72종'!G55*H1193</x:f>
        <x:v>0.9600000000000002</x:v>
      </x:c>
      <x:c r="AD1193" s="15" t="n">
        <x:f>'기준스탯 72종'!H55*H1193</x:f>
        <x:v>0.3600000000000001</x:v>
      </x:c>
      <x:c r="AE1193" s="15" t="n">
        <x:f>'기준스탯 72종'!I55*H1193</x:f>
        <x:v>0.8400000000000002</x:v>
      </x:c>
      <x:c r="AF1193" s="15" t="n">
        <x:f>'기준스탯 72종'!J55*H1193</x:f>
        <x:v>0.6000000000000001</x:v>
      </x:c>
      <x:c r="AG1193" s="15" t="n">
        <x:f>'기준스탯 72종'!K55*H1193</x:f>
        <x:v>0.12000000000000002</x:v>
      </x:c>
    </x:row>
    <x:row r="1194" ht="28" customHeight="1">
      <x:c r="A1194" s="2" t="n">
        <x:v>1187</x:v>
      </x:c>
      <x:c r="B1194" s="2" t="n">
        <x:v>48</x:v>
      </x:c>
      <x:c r="C1194" s="2" t="str">
        <x:v>전갈자리</x:v>
      </x:c>
      <x:c r="D1194" s="2" t="str">
        <x:v>전사</x:v>
      </x:c>
      <x:c r="E1194" s="2" t="n">
        <x:v>2</x:v>
      </x:c>
      <x:c r="F1194" s="2" t="n">
        <x:v>3</x:v>
      </x:c>
      <x:c r="G1194" s="14" t="n">
        <x:f>('레벨 계산식'!$E$4-E1194)*'레벨 계산식'!$B$5</x:f>
        <x:v>0.41999999999999993</x:v>
      </x:c>
      <x:c r="H1194" s="14" t="n">
        <x:f>('등급 계산식'!$E$4-F1194)*'등급 계산식'!$B$5</x:f>
        <x:v>0.12000000000000002</x:v>
      </x:c>
      <x:c r="I1194" s="14" t="n">
        <x:f>1-G1194-H1194</x:f>
        <x:v>0.4600000000000001</x:v>
      </x:c>
      <x:c r="J1194" s="2" t="n">
        <x:f>MAX(1,ROUND('기준스탯 72종'!D55-R1194-Z1194,0))</x:f>
        <x:v>4</x:v>
      </x:c>
      <x:c r="K1194" s="2" t="n">
        <x:f>MAX(1,ROUND('기준스탯 72종'!E55-S1194-AA1194,0))</x:f>
        <x:v>3</x:v>
      </x:c>
      <x:c r="L1194" s="2" t="n">
        <x:f>MAX(1,ROUND('기준스탯 72종'!F55-T1194-AB1194,0))</x:f>
        <x:v>4</x:v>
      </x:c>
      <x:c r="M1194" s="2" t="n">
        <x:f>MAX(1,ROUND('기준스탯 72종'!G55-U1194-AC1194,0))</x:f>
        <x:v>4</x:v>
      </x:c>
      <x:c r="N1194" s="2" t="n">
        <x:f>MAX(0,ROUND('기준스탯 72종'!H55-V1194-AD1194,0))</x:f>
        <x:v>1</x:v>
      </x:c>
      <x:c r="O1194" s="2" t="n">
        <x:f>MAX(0,ROUND('기준스탯 72종'!I55-W1194-AE1194,0))</x:f>
        <x:v>3</x:v>
      </x:c>
      <x:c r="P1194" s="2" t="n">
        <x:f>MAX(0,ROUND('기준스탯 72종'!J55-X1194-AF1194,0))</x:f>
        <x:v>2</x:v>
      </x:c>
      <x:c r="Q1194" s="2" t="n">
        <x:f>MAX(0,ROUND('기준스탯 72종'!K55-Y1194-AG1194,0))</x:f>
        <x:v>0</x:v>
      </x:c>
      <x:c r="R1194" s="15" t="n">
        <x:f>'기준스탯 72종'!D55*G1194</x:f>
        <x:v>3.7799999999999994</x:v>
      </x:c>
      <x:c r="S1194" s="15" t="n">
        <x:f>'기준스탯 72종'!E55*G1194</x:f>
        <x:v>2.5199999999999996</x:v>
      </x:c>
      <x:c r="T1194" s="15" t="n">
        <x:f>'기준스탯 72종'!F55*G1194</x:f>
        <x:v>3.3599999999999994</x:v>
      </x:c>
      <x:c r="U1194" s="15" t="n">
        <x:f>'기준스탯 72종'!G55*G1194</x:f>
        <x:v>3.3599999999999994</x:v>
      </x:c>
      <x:c r="V1194" s="15" t="n">
        <x:f>'기준스탯 72종'!H55*G1194</x:f>
        <x:v>1.2599999999999998</x:v>
      </x:c>
      <x:c r="W1194" s="15" t="n">
        <x:f>'기준스탯 72종'!I55*G1194</x:f>
        <x:v>2.9399999999999995</x:v>
      </x:c>
      <x:c r="X1194" s="15" t="n">
        <x:f>'기준스탯 72종'!J55*G1194</x:f>
        <x:v>2.0999999999999996</x:v>
      </x:c>
      <x:c r="Y1194" s="15" t="n">
        <x:f>'기준스탯 72종'!K55*G1194</x:f>
        <x:v>0.41999999999999993</x:v>
      </x:c>
      <x:c r="Z1194" s="15" t="n">
        <x:f>'기준스탯 72종'!D55*H1194</x:f>
        <x:v>1.0800000000000003</x:v>
      </x:c>
      <x:c r="AA1194" s="15" t="n">
        <x:f>'기준스탯 72종'!E55*H1194</x:f>
        <x:v>0.7200000000000002</x:v>
      </x:c>
      <x:c r="AB1194" s="15" t="n">
        <x:f>'기준스탯 72종'!F55*H1194</x:f>
        <x:v>0.9600000000000002</x:v>
      </x:c>
      <x:c r="AC1194" s="15" t="n">
        <x:f>'기준스탯 72종'!G55*H1194</x:f>
        <x:v>0.9600000000000002</x:v>
      </x:c>
      <x:c r="AD1194" s="15" t="n">
        <x:f>'기준스탯 72종'!H55*H1194</x:f>
        <x:v>0.3600000000000001</x:v>
      </x:c>
      <x:c r="AE1194" s="15" t="n">
        <x:f>'기준스탯 72종'!I55*H1194</x:f>
        <x:v>0.8400000000000002</x:v>
      </x:c>
      <x:c r="AF1194" s="15" t="n">
        <x:f>'기준스탯 72종'!J55*H1194</x:f>
        <x:v>0.6000000000000001</x:v>
      </x:c>
      <x:c r="AG1194" s="15" t="n">
        <x:f>'기준스탯 72종'!K55*H1194</x:f>
        <x:v>0.12000000000000002</x:v>
      </x:c>
    </x:row>
    <x:row r="1195" ht="28" customHeight="1">
      <x:c r="A1195" s="2" t="n">
        <x:v>1188</x:v>
      </x:c>
      <x:c r="B1195" s="2" t="n">
        <x:v>48</x:v>
      </x:c>
      <x:c r="C1195" s="2" t="str">
        <x:v>전갈자리</x:v>
      </x:c>
      <x:c r="D1195" s="2" t="str">
        <x:v>전사</x:v>
      </x:c>
      <x:c r="E1195" s="2" t="n">
        <x:v>3</x:v>
      </x:c>
      <x:c r="F1195" s="2" t="n">
        <x:v>3</x:v>
      </x:c>
      <x:c r="G1195" s="14" t="n">
        <x:f>('레벨 계산식'!$E$4-E1195)*'레벨 계산식'!$B$5</x:f>
        <x:v>0.27999999999999997</x:v>
      </x:c>
      <x:c r="H1195" s="14" t="n">
        <x:f>('등급 계산식'!$E$4-F1195)*'등급 계산식'!$B$5</x:f>
        <x:v>0.12000000000000002</x:v>
      </x:c>
      <x:c r="I1195" s="14" t="n">
        <x:f>1-G1195-H1195</x:f>
        <x:v>0.6</x:v>
      </x:c>
      <x:c r="J1195" s="2" t="n">
        <x:f>MAX(1,ROUND('기준스탯 72종'!D55-R1195-Z1195,0))</x:f>
        <x:v>5</x:v>
      </x:c>
      <x:c r="K1195" s="2" t="n">
        <x:f>MAX(1,ROUND('기준스탯 72종'!E55-S1195-AA1195,0))</x:f>
        <x:v>4</x:v>
      </x:c>
      <x:c r="L1195" s="2" t="n">
        <x:f>MAX(1,ROUND('기준스탯 72종'!F55-T1195-AB1195,0))</x:f>
        <x:v>5</x:v>
      </x:c>
      <x:c r="M1195" s="2" t="n">
        <x:f>MAX(1,ROUND('기준스탯 72종'!G55-U1195-AC1195,0))</x:f>
        <x:v>5</x:v>
      </x:c>
      <x:c r="N1195" s="2" t="n">
        <x:f>MAX(0,ROUND('기준스탯 72종'!H55-V1195-AD1195,0))</x:f>
        <x:v>2</x:v>
      </x:c>
      <x:c r="O1195" s="2" t="n">
        <x:f>MAX(0,ROUND('기준스탯 72종'!I55-W1195-AE1195,0))</x:f>
        <x:v>4</x:v>
      </x:c>
      <x:c r="P1195" s="2" t="n">
        <x:f>MAX(0,ROUND('기준스탯 72종'!J55-X1195-AF1195,0))</x:f>
        <x:v>3</x:v>
      </x:c>
      <x:c r="Q1195" s="2" t="n">
        <x:f>MAX(0,ROUND('기준스탯 72종'!K55-Y1195-AG1195,0))</x:f>
        <x:v>1</x:v>
      </x:c>
      <x:c r="R1195" s="15" t="n">
        <x:f>'기준스탯 72종'!D55*G1195</x:f>
        <x:v>2.5199999999999996</x:v>
      </x:c>
      <x:c r="S1195" s="15" t="n">
        <x:f>'기준스탯 72종'!E55*G1195</x:f>
        <x:v>1.6799999999999997</x:v>
      </x:c>
      <x:c r="T1195" s="15" t="n">
        <x:f>'기준스탯 72종'!F55*G1195</x:f>
        <x:v>2.2399999999999998</x:v>
      </x:c>
      <x:c r="U1195" s="15" t="n">
        <x:f>'기준스탯 72종'!G55*G1195</x:f>
        <x:v>2.2399999999999998</x:v>
      </x:c>
      <x:c r="V1195" s="15" t="n">
        <x:f>'기준스탯 72종'!H55*G1195</x:f>
        <x:v>0.8399999999999999</x:v>
      </x:c>
      <x:c r="W1195" s="15" t="n">
        <x:f>'기준스탯 72종'!I55*G1195</x:f>
        <x:v>1.9599999999999997</x:v>
      </x:c>
      <x:c r="X1195" s="15" t="n">
        <x:f>'기준스탯 72종'!J55*G1195</x:f>
        <x:v>1.4</x:v>
      </x:c>
      <x:c r="Y1195" s="15" t="n">
        <x:f>'기준스탯 72종'!K55*G1195</x:f>
        <x:v>0.27999999999999997</x:v>
      </x:c>
      <x:c r="Z1195" s="15" t="n">
        <x:f>'기준스탯 72종'!D55*H1195</x:f>
        <x:v>1.0800000000000003</x:v>
      </x:c>
      <x:c r="AA1195" s="15" t="n">
        <x:f>'기준스탯 72종'!E55*H1195</x:f>
        <x:v>0.7200000000000002</x:v>
      </x:c>
      <x:c r="AB1195" s="15" t="n">
        <x:f>'기준스탯 72종'!F55*H1195</x:f>
        <x:v>0.9600000000000002</x:v>
      </x:c>
      <x:c r="AC1195" s="15" t="n">
        <x:f>'기준스탯 72종'!G55*H1195</x:f>
        <x:v>0.9600000000000002</x:v>
      </x:c>
      <x:c r="AD1195" s="15" t="n">
        <x:f>'기준스탯 72종'!H55*H1195</x:f>
        <x:v>0.3600000000000001</x:v>
      </x:c>
      <x:c r="AE1195" s="15" t="n">
        <x:f>'기준스탯 72종'!I55*H1195</x:f>
        <x:v>0.8400000000000002</x:v>
      </x:c>
      <x:c r="AF1195" s="15" t="n">
        <x:f>'기준스탯 72종'!J55*H1195</x:f>
        <x:v>0.6000000000000001</x:v>
      </x:c>
      <x:c r="AG1195" s="15" t="n">
        <x:f>'기준스탯 72종'!K55*H1195</x:f>
        <x:v>0.12000000000000002</x:v>
      </x:c>
    </x:row>
    <x:row r="1196" ht="28" customHeight="1">
      <x:c r="A1196" s="2" t="n">
        <x:v>1189</x:v>
      </x:c>
      <x:c r="B1196" s="2" t="n">
        <x:v>48</x:v>
      </x:c>
      <x:c r="C1196" s="2" t="str">
        <x:v>전갈자리</x:v>
      </x:c>
      <x:c r="D1196" s="2" t="str">
        <x:v>전사</x:v>
      </x:c>
      <x:c r="E1196" s="2" t="n">
        <x:v>4</x:v>
      </x:c>
      <x:c r="F1196" s="2" t="n">
        <x:v>3</x:v>
      </x:c>
      <x:c r="G1196" s="14" t="n">
        <x:f>('레벨 계산식'!$E$4-E1196)*'레벨 계산식'!$B$5</x:f>
        <x:v>0.13999999999999999</x:v>
      </x:c>
      <x:c r="H1196" s="14" t="n">
        <x:f>('등급 계산식'!$E$4-F1196)*'등급 계산식'!$B$5</x:f>
        <x:v>0.12000000000000002</x:v>
      </x:c>
      <x:c r="I1196" s="14" t="n">
        <x:f>1-G1196-H1196</x:f>
        <x:v>0.74</x:v>
      </x:c>
      <x:c r="J1196" s="2" t="n">
        <x:f>MAX(1,ROUND('기준스탯 72종'!D55-R1196-Z1196,0))</x:f>
        <x:v>7</x:v>
      </x:c>
      <x:c r="K1196" s="2" t="n">
        <x:f>MAX(1,ROUND('기준스탯 72종'!E55-S1196-AA1196,0))</x:f>
        <x:v>4</x:v>
      </x:c>
      <x:c r="L1196" s="2" t="n">
        <x:f>MAX(1,ROUND('기준스탯 72종'!F55-T1196-AB1196,0))</x:f>
        <x:v>6</x:v>
      </x:c>
      <x:c r="M1196" s="2" t="n">
        <x:f>MAX(1,ROUND('기준스탯 72종'!G55-U1196-AC1196,0))</x:f>
        <x:v>6</x:v>
      </x:c>
      <x:c r="N1196" s="2" t="n">
        <x:f>MAX(0,ROUND('기준스탯 72종'!H55-V1196-AD1196,0))</x:f>
        <x:v>2</x:v>
      </x:c>
      <x:c r="O1196" s="2" t="n">
        <x:f>MAX(0,ROUND('기준스탯 72종'!I55-W1196-AE1196,0))</x:f>
        <x:v>5</x:v>
      </x:c>
      <x:c r="P1196" s="2" t="n">
        <x:f>MAX(0,ROUND('기준스탯 72종'!J55-X1196-AF1196,0))</x:f>
        <x:v>4</x:v>
      </x:c>
      <x:c r="Q1196" s="2" t="n">
        <x:f>MAX(0,ROUND('기준스탯 72종'!K55-Y1196-AG1196,0))</x:f>
        <x:v>1</x:v>
      </x:c>
      <x:c r="R1196" s="15" t="n">
        <x:f>'기준스탯 72종'!D55*G1196</x:f>
        <x:v>1.2599999999999998</x:v>
      </x:c>
      <x:c r="S1196" s="15" t="n">
        <x:f>'기준스탯 72종'!E55*G1196</x:f>
        <x:v>0.8399999999999999</x:v>
      </x:c>
      <x:c r="T1196" s="15" t="n">
        <x:f>'기준스탯 72종'!F55*G1196</x:f>
        <x:v>1.1199999999999999</x:v>
      </x:c>
      <x:c r="U1196" s="15" t="n">
        <x:f>'기준스탯 72종'!G55*G1196</x:f>
        <x:v>1.1199999999999999</x:v>
      </x:c>
      <x:c r="V1196" s="15" t="n">
        <x:f>'기준스탯 72종'!H55*G1196</x:f>
        <x:v>0.41999999999999993</x:v>
      </x:c>
      <x:c r="W1196" s="15" t="n">
        <x:f>'기준스탯 72종'!I55*G1196</x:f>
        <x:v>0.9799999999999999</x:v>
      </x:c>
      <x:c r="X1196" s="15" t="n">
        <x:f>'기준스탯 72종'!J55*G1196</x:f>
        <x:v>0.7</x:v>
      </x:c>
      <x:c r="Y1196" s="15" t="n">
        <x:f>'기준스탯 72종'!K55*G1196</x:f>
        <x:v>0.13999999999999999</x:v>
      </x:c>
      <x:c r="Z1196" s="15" t="n">
        <x:f>'기준스탯 72종'!D55*H1196</x:f>
        <x:v>1.0800000000000003</x:v>
      </x:c>
      <x:c r="AA1196" s="15" t="n">
        <x:f>'기준스탯 72종'!E55*H1196</x:f>
        <x:v>0.7200000000000002</x:v>
      </x:c>
      <x:c r="AB1196" s="15" t="n">
        <x:f>'기준스탯 72종'!F55*H1196</x:f>
        <x:v>0.9600000000000002</x:v>
      </x:c>
      <x:c r="AC1196" s="15" t="n">
        <x:f>'기준스탯 72종'!G55*H1196</x:f>
        <x:v>0.9600000000000002</x:v>
      </x:c>
      <x:c r="AD1196" s="15" t="n">
        <x:f>'기준스탯 72종'!H55*H1196</x:f>
        <x:v>0.3600000000000001</x:v>
      </x:c>
      <x:c r="AE1196" s="15" t="n">
        <x:f>'기준스탯 72종'!I55*H1196</x:f>
        <x:v>0.8400000000000002</x:v>
      </x:c>
      <x:c r="AF1196" s="15" t="n">
        <x:f>'기준스탯 72종'!J55*H1196</x:f>
        <x:v>0.6000000000000001</x:v>
      </x:c>
      <x:c r="AG1196" s="15" t="n">
        <x:f>'기준스탯 72종'!K55*H1196</x:f>
        <x:v>0.12000000000000002</x:v>
      </x:c>
    </x:row>
    <x:row r="1197" ht="28" customHeight="1">
      <x:c r="A1197" s="2" t="n">
        <x:v>1190</x:v>
      </x:c>
      <x:c r="B1197" s="2" t="n">
        <x:v>48</x:v>
      </x:c>
      <x:c r="C1197" s="2" t="str">
        <x:v>전갈자리</x:v>
      </x:c>
      <x:c r="D1197" s="2" t="str">
        <x:v>전사</x:v>
      </x:c>
      <x:c r="E1197" s="2" t="n">
        <x:v>5</x:v>
      </x:c>
      <x:c r="F1197" s="2" t="n">
        <x:v>3</x:v>
      </x:c>
      <x:c r="G1197" s="14" t="n">
        <x:f>('레벨 계산식'!$E$4-E1197)*'레벨 계산식'!$B$5</x:f>
        <x:v>0</x:v>
      </x:c>
      <x:c r="H1197" s="14" t="n">
        <x:f>('등급 계산식'!$E$4-F1197)*'등급 계산식'!$B$5</x:f>
        <x:v>0.12000000000000002</x:v>
      </x:c>
      <x:c r="I1197" s="14" t="n">
        <x:f>1-G1197-H1197</x:f>
        <x:v>0.88</x:v>
      </x:c>
      <x:c r="J1197" s="2" t="n">
        <x:f>MAX(1,ROUND('기준스탯 72종'!D55-R1197-Z1197,0))</x:f>
        <x:v>8</x:v>
      </x:c>
      <x:c r="K1197" s="2" t="n">
        <x:f>MAX(1,ROUND('기준스탯 72종'!E55-S1197-AA1197,0))</x:f>
        <x:v>5</x:v>
      </x:c>
      <x:c r="L1197" s="2" t="n">
        <x:f>MAX(1,ROUND('기준스탯 72종'!F55-T1197-AB1197,0))</x:f>
        <x:v>7</x:v>
      </x:c>
      <x:c r="M1197" s="2" t="n">
        <x:f>MAX(1,ROUND('기준스탯 72종'!G55-U1197-AC1197,0))</x:f>
        <x:v>7</x:v>
      </x:c>
      <x:c r="N1197" s="2" t="n">
        <x:f>MAX(0,ROUND('기준스탯 72종'!H55-V1197-AD1197,0))</x:f>
        <x:v>3</x:v>
      </x:c>
      <x:c r="O1197" s="2" t="n">
        <x:f>MAX(0,ROUND('기준스탯 72종'!I55-W1197-AE1197,0))</x:f>
        <x:v>6</x:v>
      </x:c>
      <x:c r="P1197" s="2" t="n">
        <x:f>MAX(0,ROUND('기준스탯 72종'!J55-X1197-AF1197,0))</x:f>
        <x:v>4</x:v>
      </x:c>
      <x:c r="Q1197" s="2" t="n">
        <x:f>MAX(0,ROUND('기준스탯 72종'!K55-Y1197-AG1197,0))</x:f>
        <x:v>1</x:v>
      </x:c>
      <x:c r="R1197" s="15" t="n">
        <x:f>'기준스탯 72종'!D55*G1197</x:f>
        <x:v>0</x:v>
      </x:c>
      <x:c r="S1197" s="15" t="n">
        <x:f>'기준스탯 72종'!E55*G1197</x:f>
        <x:v>0</x:v>
      </x:c>
      <x:c r="T1197" s="15" t="n">
        <x:f>'기준스탯 72종'!F55*G1197</x:f>
        <x:v>0</x:v>
      </x:c>
      <x:c r="U1197" s="15" t="n">
        <x:f>'기준스탯 72종'!G55*G1197</x:f>
        <x:v>0</x:v>
      </x:c>
      <x:c r="V1197" s="15" t="n">
        <x:f>'기준스탯 72종'!H55*G1197</x:f>
        <x:v>0</x:v>
      </x:c>
      <x:c r="W1197" s="15" t="n">
        <x:f>'기준스탯 72종'!I55*G1197</x:f>
        <x:v>0</x:v>
      </x:c>
      <x:c r="X1197" s="15" t="n">
        <x:f>'기준스탯 72종'!J55*G1197</x:f>
        <x:v>0</x:v>
      </x:c>
      <x:c r="Y1197" s="15" t="n">
        <x:f>'기준스탯 72종'!K55*G1197</x:f>
        <x:v>0</x:v>
      </x:c>
      <x:c r="Z1197" s="15" t="n">
        <x:f>'기준스탯 72종'!D55*H1197</x:f>
        <x:v>1.0800000000000003</x:v>
      </x:c>
      <x:c r="AA1197" s="15" t="n">
        <x:f>'기준스탯 72종'!E55*H1197</x:f>
        <x:v>0.7200000000000002</x:v>
      </x:c>
      <x:c r="AB1197" s="15" t="n">
        <x:f>'기준스탯 72종'!F55*H1197</x:f>
        <x:v>0.9600000000000002</x:v>
      </x:c>
      <x:c r="AC1197" s="15" t="n">
        <x:f>'기준스탯 72종'!G55*H1197</x:f>
        <x:v>0.9600000000000002</x:v>
      </x:c>
      <x:c r="AD1197" s="15" t="n">
        <x:f>'기준스탯 72종'!H55*H1197</x:f>
        <x:v>0.3600000000000001</x:v>
      </x:c>
      <x:c r="AE1197" s="15" t="n">
        <x:f>'기준스탯 72종'!I55*H1197</x:f>
        <x:v>0.8400000000000002</x:v>
      </x:c>
      <x:c r="AF1197" s="15" t="n">
        <x:f>'기준스탯 72종'!J55*H1197</x:f>
        <x:v>0.6000000000000001</x:v>
      </x:c>
      <x:c r="AG1197" s="15" t="n">
        <x:f>'기준스탯 72종'!K55*H1197</x:f>
        <x:v>0.12000000000000002</x:v>
      </x:c>
    </x:row>
    <x:row r="1198" ht="28" customHeight="1">
      <x:c r="A1198" s="2" t="n">
        <x:v>1191</x:v>
      </x:c>
      <x:c r="B1198" s="2" t="n">
        <x:v>48</x:v>
      </x:c>
      <x:c r="C1198" s="2" t="str">
        <x:v>전갈자리</x:v>
      </x:c>
      <x:c r="D1198" s="2" t="str">
        <x:v>전사</x:v>
      </x:c>
      <x:c r="E1198" s="2" t="n">
        <x:v>1</x:v>
      </x:c>
      <x:c r="F1198" s="2" t="n">
        <x:v>4</x:v>
      </x:c>
      <x:c r="G1198" s="14" t="n">
        <x:f>('레벨 계산식'!$E$4-E1198)*'레벨 계산식'!$B$5</x:f>
        <x:v>0.5599999999999999</x:v>
      </x:c>
      <x:c r="H1198" s="14" t="n">
        <x:f>('등급 계산식'!$E$4-F1198)*'등급 계산식'!$B$5</x:f>
        <x:v>0.06000000000000001</x:v>
      </x:c>
      <x:c r="I1198" s="14" t="n">
        <x:f>1-G1198-H1198</x:f>
        <x:v>0.38000000000000006</x:v>
      </x:c>
      <x:c r="J1198" s="2" t="n">
        <x:f>MAX(1,ROUND('기준스탯 72종'!D55-R1198-Z1198,0))</x:f>
        <x:v>3</x:v>
      </x:c>
      <x:c r="K1198" s="2" t="n">
        <x:f>MAX(1,ROUND('기준스탯 72종'!E55-S1198-AA1198,0))</x:f>
        <x:v>2</x:v>
      </x:c>
      <x:c r="L1198" s="2" t="n">
        <x:f>MAX(1,ROUND('기준스탯 72종'!F55-T1198-AB1198,0))</x:f>
        <x:v>3</x:v>
      </x:c>
      <x:c r="M1198" s="2" t="n">
        <x:f>MAX(1,ROUND('기준스탯 72종'!G55-U1198-AC1198,0))</x:f>
        <x:v>3</x:v>
      </x:c>
      <x:c r="N1198" s="2" t="n">
        <x:f>MAX(0,ROUND('기준스탯 72종'!H55-V1198-AD1198,0))</x:f>
        <x:v>1</x:v>
      </x:c>
      <x:c r="O1198" s="2" t="n">
        <x:f>MAX(0,ROUND('기준스탯 72종'!I55-W1198-AE1198,0))</x:f>
        <x:v>3</x:v>
      </x:c>
      <x:c r="P1198" s="2" t="n">
        <x:f>MAX(0,ROUND('기준스탯 72종'!J55-X1198-AF1198,0))</x:f>
        <x:v>2</x:v>
      </x:c>
      <x:c r="Q1198" s="2" t="n">
        <x:f>MAX(0,ROUND('기준스탯 72종'!K55-Y1198-AG1198,0))</x:f>
        <x:v>0</x:v>
      </x:c>
      <x:c r="R1198" s="15" t="n">
        <x:f>'기준스탯 72종'!D55*G1198</x:f>
        <x:v>5.039999999999999</x:v>
      </x:c>
      <x:c r="S1198" s="15" t="n">
        <x:f>'기준스탯 72종'!E55*G1198</x:f>
        <x:v>3.3599999999999994</x:v>
      </x:c>
      <x:c r="T1198" s="15" t="n">
        <x:f>'기준스탯 72종'!F55*G1198</x:f>
        <x:v>4.4799999999999995</x:v>
      </x:c>
      <x:c r="U1198" s="15" t="n">
        <x:f>'기준스탯 72종'!G55*G1198</x:f>
        <x:v>4.4799999999999995</x:v>
      </x:c>
      <x:c r="V1198" s="15" t="n">
        <x:f>'기준스탯 72종'!H55*G1198</x:f>
        <x:v>1.6799999999999997</x:v>
      </x:c>
      <x:c r="W1198" s="15" t="n">
        <x:f>'기준스탯 72종'!I55*G1198</x:f>
        <x:v>3.9199999999999995</x:v>
      </x:c>
      <x:c r="X1198" s="15" t="n">
        <x:f>'기준스탯 72종'!J55*G1198</x:f>
        <x:v>2.8</x:v>
      </x:c>
      <x:c r="Y1198" s="15" t="n">
        <x:f>'기준스탯 72종'!K55*G1198</x:f>
        <x:v>0.5599999999999999</x:v>
      </x:c>
      <x:c r="Z1198" s="15" t="n">
        <x:f>'기준스탯 72종'!D55*H1198</x:f>
        <x:v>0.5400000000000001</x:v>
      </x:c>
      <x:c r="AA1198" s="15" t="n">
        <x:f>'기준스탯 72종'!E55*H1198</x:f>
        <x:v>0.3600000000000001</x:v>
      </x:c>
      <x:c r="AB1198" s="15" t="n">
        <x:f>'기준스탯 72종'!F55*H1198</x:f>
        <x:v>0.4800000000000001</x:v>
      </x:c>
      <x:c r="AC1198" s="15" t="n">
        <x:f>'기준스탯 72종'!G55*H1198</x:f>
        <x:v>0.4800000000000001</x:v>
      </x:c>
      <x:c r="AD1198" s="15" t="n">
        <x:f>'기준스탯 72종'!H55*H1198</x:f>
        <x:v>0.18000000000000005</x:v>
      </x:c>
      <x:c r="AE1198" s="15" t="n">
        <x:f>'기준스탯 72종'!I55*H1198</x:f>
        <x:v>0.4200000000000001</x:v>
      </x:c>
      <x:c r="AF1198" s="15" t="n">
        <x:f>'기준스탯 72종'!J55*H1198</x:f>
        <x:v>0.30000000000000004</x:v>
      </x:c>
      <x:c r="AG1198" s="15" t="n">
        <x:f>'기준스탯 72종'!K55*H1198</x:f>
        <x:v>0.06000000000000001</x:v>
      </x:c>
    </x:row>
    <x:row r="1199" ht="28" customHeight="1">
      <x:c r="A1199" s="2" t="n">
        <x:v>1192</x:v>
      </x:c>
      <x:c r="B1199" s="2" t="n">
        <x:v>48</x:v>
      </x:c>
      <x:c r="C1199" s="2" t="str">
        <x:v>전갈자리</x:v>
      </x:c>
      <x:c r="D1199" s="2" t="str">
        <x:v>전사</x:v>
      </x:c>
      <x:c r="E1199" s="2" t="n">
        <x:v>2</x:v>
      </x:c>
      <x:c r="F1199" s="2" t="n">
        <x:v>4</x:v>
      </x:c>
      <x:c r="G1199" s="14" t="n">
        <x:f>('레벨 계산식'!$E$4-E1199)*'레벨 계산식'!$B$5</x:f>
        <x:v>0.41999999999999993</x:v>
      </x:c>
      <x:c r="H1199" s="14" t="n">
        <x:f>('등급 계산식'!$E$4-F1199)*'등급 계산식'!$B$5</x:f>
        <x:v>0.06000000000000001</x:v>
      </x:c>
      <x:c r="I1199" s="14" t="n">
        <x:f>1-G1199-H1199</x:f>
        <x:v>0.52</x:v>
      </x:c>
      <x:c r="J1199" s="2" t="n">
        <x:f>MAX(1,ROUND('기준스탯 72종'!D55-R1199-Z1199,0))</x:f>
        <x:v>5</x:v>
      </x:c>
      <x:c r="K1199" s="2" t="n">
        <x:f>MAX(1,ROUND('기준스탯 72종'!E55-S1199-AA1199,0))</x:f>
        <x:v>3</x:v>
      </x:c>
      <x:c r="L1199" s="2" t="n">
        <x:f>MAX(1,ROUND('기준스탯 72종'!F55-T1199-AB1199,0))</x:f>
        <x:v>4</x:v>
      </x:c>
      <x:c r="M1199" s="2" t="n">
        <x:f>MAX(1,ROUND('기준스탯 72종'!G55-U1199-AC1199,0))</x:f>
        <x:v>4</x:v>
      </x:c>
      <x:c r="N1199" s="2" t="n">
        <x:f>MAX(0,ROUND('기준스탯 72종'!H55-V1199-AD1199,0))</x:f>
        <x:v>2</x:v>
      </x:c>
      <x:c r="O1199" s="2" t="n">
        <x:f>MAX(0,ROUND('기준스탯 72종'!I55-W1199-AE1199,0))</x:f>
        <x:v>4</x:v>
      </x:c>
      <x:c r="P1199" s="2" t="n">
        <x:f>MAX(0,ROUND('기준스탯 72종'!J55-X1199-AF1199,0))</x:f>
        <x:v>3</x:v>
      </x:c>
      <x:c r="Q1199" s="2" t="n">
        <x:f>MAX(0,ROUND('기준스탯 72종'!K55-Y1199-AG1199,0))</x:f>
        <x:v>1</x:v>
      </x:c>
      <x:c r="R1199" s="15" t="n">
        <x:f>'기준스탯 72종'!D55*G1199</x:f>
        <x:v>3.7799999999999994</x:v>
      </x:c>
      <x:c r="S1199" s="15" t="n">
        <x:f>'기준스탯 72종'!E55*G1199</x:f>
        <x:v>2.5199999999999996</x:v>
      </x:c>
      <x:c r="T1199" s="15" t="n">
        <x:f>'기준스탯 72종'!F55*G1199</x:f>
        <x:v>3.3599999999999994</x:v>
      </x:c>
      <x:c r="U1199" s="15" t="n">
        <x:f>'기준스탯 72종'!G55*G1199</x:f>
        <x:v>3.3599999999999994</x:v>
      </x:c>
      <x:c r="V1199" s="15" t="n">
        <x:f>'기준스탯 72종'!H55*G1199</x:f>
        <x:v>1.2599999999999998</x:v>
      </x:c>
      <x:c r="W1199" s="15" t="n">
        <x:f>'기준스탯 72종'!I55*G1199</x:f>
        <x:v>2.9399999999999995</x:v>
      </x:c>
      <x:c r="X1199" s="15" t="n">
        <x:f>'기준스탯 72종'!J55*G1199</x:f>
        <x:v>2.0999999999999996</x:v>
      </x:c>
      <x:c r="Y1199" s="15" t="n">
        <x:f>'기준스탯 72종'!K55*G1199</x:f>
        <x:v>0.41999999999999993</x:v>
      </x:c>
      <x:c r="Z1199" s="15" t="n">
        <x:f>'기준스탯 72종'!D55*H1199</x:f>
        <x:v>0.5400000000000001</x:v>
      </x:c>
      <x:c r="AA1199" s="15" t="n">
        <x:f>'기준스탯 72종'!E55*H1199</x:f>
        <x:v>0.3600000000000001</x:v>
      </x:c>
      <x:c r="AB1199" s="15" t="n">
        <x:f>'기준스탯 72종'!F55*H1199</x:f>
        <x:v>0.4800000000000001</x:v>
      </x:c>
      <x:c r="AC1199" s="15" t="n">
        <x:f>'기준스탯 72종'!G55*H1199</x:f>
        <x:v>0.4800000000000001</x:v>
      </x:c>
      <x:c r="AD1199" s="15" t="n">
        <x:f>'기준스탯 72종'!H55*H1199</x:f>
        <x:v>0.18000000000000005</x:v>
      </x:c>
      <x:c r="AE1199" s="15" t="n">
        <x:f>'기준스탯 72종'!I55*H1199</x:f>
        <x:v>0.4200000000000001</x:v>
      </x:c>
      <x:c r="AF1199" s="15" t="n">
        <x:f>'기준스탯 72종'!J55*H1199</x:f>
        <x:v>0.30000000000000004</x:v>
      </x:c>
      <x:c r="AG1199" s="15" t="n">
        <x:f>'기준스탯 72종'!K55*H1199</x:f>
        <x:v>0.06000000000000001</x:v>
      </x:c>
    </x:row>
    <x:row r="1200" ht="28" customHeight="1">
      <x:c r="A1200" s="2" t="n">
        <x:v>1193</x:v>
      </x:c>
      <x:c r="B1200" s="2" t="n">
        <x:v>48</x:v>
      </x:c>
      <x:c r="C1200" s="2" t="str">
        <x:v>전갈자리</x:v>
      </x:c>
      <x:c r="D1200" s="2" t="str">
        <x:v>전사</x:v>
      </x:c>
      <x:c r="E1200" s="2" t="n">
        <x:v>3</x:v>
      </x:c>
      <x:c r="F1200" s="2" t="n">
        <x:v>4</x:v>
      </x:c>
      <x:c r="G1200" s="14" t="n">
        <x:f>('레벨 계산식'!$E$4-E1200)*'레벨 계산식'!$B$5</x:f>
        <x:v>0.27999999999999997</x:v>
      </x:c>
      <x:c r="H1200" s="14" t="n">
        <x:f>('등급 계산식'!$E$4-F1200)*'등급 계산식'!$B$5</x:f>
        <x:v>0.06000000000000001</x:v>
      </x:c>
      <x:c r="I1200" s="14" t="n">
        <x:f>1-G1200-H1200</x:f>
        <x:v>0.6599999999999999</x:v>
      </x:c>
      <x:c r="J1200" s="2" t="n">
        <x:f>MAX(1,ROUND('기준스탯 72종'!D55-R1200-Z1200,0))</x:f>
        <x:v>6</x:v>
      </x:c>
      <x:c r="K1200" s="2" t="n">
        <x:f>MAX(1,ROUND('기준스탯 72종'!E55-S1200-AA1200,0))</x:f>
        <x:v>4</x:v>
      </x:c>
      <x:c r="L1200" s="2" t="n">
        <x:f>MAX(1,ROUND('기준스탯 72종'!F55-T1200-AB1200,0))</x:f>
        <x:v>5</x:v>
      </x:c>
      <x:c r="M1200" s="2" t="n">
        <x:f>MAX(1,ROUND('기준스탯 72종'!G55-U1200-AC1200,0))</x:f>
        <x:v>5</x:v>
      </x:c>
      <x:c r="N1200" s="2" t="n">
        <x:f>MAX(0,ROUND('기준스탯 72종'!H55-V1200-AD1200,0))</x:f>
        <x:v>2</x:v>
      </x:c>
      <x:c r="O1200" s="2" t="n">
        <x:f>MAX(0,ROUND('기준스탯 72종'!I55-W1200-AE1200,0))</x:f>
        <x:v>5</x:v>
      </x:c>
      <x:c r="P1200" s="2" t="n">
        <x:f>MAX(0,ROUND('기준스탯 72종'!J55-X1200-AF1200,0))</x:f>
        <x:v>3</x:v>
      </x:c>
      <x:c r="Q1200" s="2" t="n">
        <x:f>MAX(0,ROUND('기준스탯 72종'!K55-Y1200-AG1200,0))</x:f>
        <x:v>1</x:v>
      </x:c>
      <x:c r="R1200" s="15" t="n">
        <x:f>'기준스탯 72종'!D55*G1200</x:f>
        <x:v>2.5199999999999996</x:v>
      </x:c>
      <x:c r="S1200" s="15" t="n">
        <x:f>'기준스탯 72종'!E55*G1200</x:f>
        <x:v>1.6799999999999997</x:v>
      </x:c>
      <x:c r="T1200" s="15" t="n">
        <x:f>'기준스탯 72종'!F55*G1200</x:f>
        <x:v>2.2399999999999998</x:v>
      </x:c>
      <x:c r="U1200" s="15" t="n">
        <x:f>'기준스탯 72종'!G55*G1200</x:f>
        <x:v>2.2399999999999998</x:v>
      </x:c>
      <x:c r="V1200" s="15" t="n">
        <x:f>'기준스탯 72종'!H55*G1200</x:f>
        <x:v>0.8399999999999999</x:v>
      </x:c>
      <x:c r="W1200" s="15" t="n">
        <x:f>'기준스탯 72종'!I55*G1200</x:f>
        <x:v>1.9599999999999997</x:v>
      </x:c>
      <x:c r="X1200" s="15" t="n">
        <x:f>'기준스탯 72종'!J55*G1200</x:f>
        <x:v>1.4</x:v>
      </x:c>
      <x:c r="Y1200" s="15" t="n">
        <x:f>'기준스탯 72종'!K55*G1200</x:f>
        <x:v>0.27999999999999997</x:v>
      </x:c>
      <x:c r="Z1200" s="15" t="n">
        <x:f>'기준스탯 72종'!D55*H1200</x:f>
        <x:v>0.5400000000000001</x:v>
      </x:c>
      <x:c r="AA1200" s="15" t="n">
        <x:f>'기준스탯 72종'!E55*H1200</x:f>
        <x:v>0.3600000000000001</x:v>
      </x:c>
      <x:c r="AB1200" s="15" t="n">
        <x:f>'기준스탯 72종'!F55*H1200</x:f>
        <x:v>0.4800000000000001</x:v>
      </x:c>
      <x:c r="AC1200" s="15" t="n">
        <x:f>'기준스탯 72종'!G55*H1200</x:f>
        <x:v>0.4800000000000001</x:v>
      </x:c>
      <x:c r="AD1200" s="15" t="n">
        <x:f>'기준스탯 72종'!H55*H1200</x:f>
        <x:v>0.18000000000000005</x:v>
      </x:c>
      <x:c r="AE1200" s="15" t="n">
        <x:f>'기준스탯 72종'!I55*H1200</x:f>
        <x:v>0.4200000000000001</x:v>
      </x:c>
      <x:c r="AF1200" s="15" t="n">
        <x:f>'기준스탯 72종'!J55*H1200</x:f>
        <x:v>0.30000000000000004</x:v>
      </x:c>
      <x:c r="AG1200" s="15" t="n">
        <x:f>'기준스탯 72종'!K55*H1200</x:f>
        <x:v>0.06000000000000001</x:v>
      </x:c>
    </x:row>
    <x:row r="1201" ht="28" customHeight="1">
      <x:c r="A1201" s="2" t="n">
        <x:v>1194</x:v>
      </x:c>
      <x:c r="B1201" s="2" t="n">
        <x:v>48</x:v>
      </x:c>
      <x:c r="C1201" s="2" t="str">
        <x:v>전갈자리</x:v>
      </x:c>
      <x:c r="D1201" s="2" t="str">
        <x:v>전사</x:v>
      </x:c>
      <x:c r="E1201" s="2" t="n">
        <x:v>4</x:v>
      </x:c>
      <x:c r="F1201" s="2" t="n">
        <x:v>4</x:v>
      </x:c>
      <x:c r="G1201" s="14" t="n">
        <x:f>('레벨 계산식'!$E$4-E1201)*'레벨 계산식'!$B$5</x:f>
        <x:v>0.13999999999999999</x:v>
      </x:c>
      <x:c r="H1201" s="14" t="n">
        <x:f>('등급 계산식'!$E$4-F1201)*'등급 계산식'!$B$5</x:f>
        <x:v>0.06000000000000001</x:v>
      </x:c>
      <x:c r="I1201" s="14" t="n">
        <x:f>1-G1201-H1201</x:f>
        <x:v>0.7999999999999999</x:v>
      </x:c>
      <x:c r="J1201" s="2" t="n">
        <x:f>MAX(1,ROUND('기준스탯 72종'!D55-R1201-Z1201,0))</x:f>
        <x:v>7</x:v>
      </x:c>
      <x:c r="K1201" s="2" t="n">
        <x:f>MAX(1,ROUND('기준스탯 72종'!E55-S1201-AA1201,0))</x:f>
        <x:v>5</x:v>
      </x:c>
      <x:c r="L1201" s="2" t="n">
        <x:f>MAX(1,ROUND('기준스탯 72종'!F55-T1201-AB1201,0))</x:f>
        <x:v>6</x:v>
      </x:c>
      <x:c r="M1201" s="2" t="n">
        <x:f>MAX(1,ROUND('기준스탯 72종'!G55-U1201-AC1201,0))</x:f>
        <x:v>6</x:v>
      </x:c>
      <x:c r="N1201" s="2" t="n">
        <x:f>MAX(0,ROUND('기준스탯 72종'!H55-V1201-AD1201,0))</x:f>
        <x:v>2</x:v>
      </x:c>
      <x:c r="O1201" s="2" t="n">
        <x:f>MAX(0,ROUND('기준스탯 72종'!I55-W1201-AE1201,0))</x:f>
        <x:v>6</x:v>
      </x:c>
      <x:c r="P1201" s="2" t="n">
        <x:f>MAX(0,ROUND('기준스탯 72종'!J55-X1201-AF1201,0))</x:f>
        <x:v>4</x:v>
      </x:c>
      <x:c r="Q1201" s="2" t="n">
        <x:f>MAX(0,ROUND('기준스탯 72종'!K55-Y1201-AG1201,0))</x:f>
        <x:v>1</x:v>
      </x:c>
      <x:c r="R1201" s="15" t="n">
        <x:f>'기준스탯 72종'!D55*G1201</x:f>
        <x:v>1.2599999999999998</x:v>
      </x:c>
      <x:c r="S1201" s="15" t="n">
        <x:f>'기준스탯 72종'!E55*G1201</x:f>
        <x:v>0.8399999999999999</x:v>
      </x:c>
      <x:c r="T1201" s="15" t="n">
        <x:f>'기준스탯 72종'!F55*G1201</x:f>
        <x:v>1.1199999999999999</x:v>
      </x:c>
      <x:c r="U1201" s="15" t="n">
        <x:f>'기준스탯 72종'!G55*G1201</x:f>
        <x:v>1.1199999999999999</x:v>
      </x:c>
      <x:c r="V1201" s="15" t="n">
        <x:f>'기준스탯 72종'!H55*G1201</x:f>
        <x:v>0.41999999999999993</x:v>
      </x:c>
      <x:c r="W1201" s="15" t="n">
        <x:f>'기준스탯 72종'!I55*G1201</x:f>
        <x:v>0.9799999999999999</x:v>
      </x:c>
      <x:c r="X1201" s="15" t="n">
        <x:f>'기준스탯 72종'!J55*G1201</x:f>
        <x:v>0.7</x:v>
      </x:c>
      <x:c r="Y1201" s="15" t="n">
        <x:f>'기준스탯 72종'!K55*G1201</x:f>
        <x:v>0.13999999999999999</x:v>
      </x:c>
      <x:c r="Z1201" s="15" t="n">
        <x:f>'기준스탯 72종'!D55*H1201</x:f>
        <x:v>0.5400000000000001</x:v>
      </x:c>
      <x:c r="AA1201" s="15" t="n">
        <x:f>'기준스탯 72종'!E55*H1201</x:f>
        <x:v>0.3600000000000001</x:v>
      </x:c>
      <x:c r="AB1201" s="15" t="n">
        <x:f>'기준스탯 72종'!F55*H1201</x:f>
        <x:v>0.4800000000000001</x:v>
      </x:c>
      <x:c r="AC1201" s="15" t="n">
        <x:f>'기준스탯 72종'!G55*H1201</x:f>
        <x:v>0.4800000000000001</x:v>
      </x:c>
      <x:c r="AD1201" s="15" t="n">
        <x:f>'기준스탯 72종'!H55*H1201</x:f>
        <x:v>0.18000000000000005</x:v>
      </x:c>
      <x:c r="AE1201" s="15" t="n">
        <x:f>'기준스탯 72종'!I55*H1201</x:f>
        <x:v>0.4200000000000001</x:v>
      </x:c>
      <x:c r="AF1201" s="15" t="n">
        <x:f>'기준스탯 72종'!J55*H1201</x:f>
        <x:v>0.30000000000000004</x:v>
      </x:c>
      <x:c r="AG1201" s="15" t="n">
        <x:f>'기준스탯 72종'!K55*H1201</x:f>
        <x:v>0.06000000000000001</x:v>
      </x:c>
    </x:row>
    <x:row r="1202" ht="28" customHeight="1">
      <x:c r="A1202" s="2" t="n">
        <x:v>1195</x:v>
      </x:c>
      <x:c r="B1202" s="2" t="n">
        <x:v>48</x:v>
      </x:c>
      <x:c r="C1202" s="2" t="str">
        <x:v>전갈자리</x:v>
      </x:c>
      <x:c r="D1202" s="2" t="str">
        <x:v>전사</x:v>
      </x:c>
      <x:c r="E1202" s="2" t="n">
        <x:v>5</x:v>
      </x:c>
      <x:c r="F1202" s="2" t="n">
        <x:v>4</x:v>
      </x:c>
      <x:c r="G1202" s="14" t="n">
        <x:f>('레벨 계산식'!$E$4-E1202)*'레벨 계산식'!$B$5</x:f>
        <x:v>0</x:v>
      </x:c>
      <x:c r="H1202" s="14" t="n">
        <x:f>('등급 계산식'!$E$4-F1202)*'등급 계산식'!$B$5</x:f>
        <x:v>0.06000000000000001</x:v>
      </x:c>
      <x:c r="I1202" s="14" t="n">
        <x:f>1-G1202-H1202</x:f>
        <x:v>0.94</x:v>
      </x:c>
      <x:c r="J1202" s="2" t="n">
        <x:f>MAX(1,ROUND('기준스탯 72종'!D55-R1202-Z1202,0))</x:f>
        <x:v>8</x:v>
      </x:c>
      <x:c r="K1202" s="2" t="n">
        <x:f>MAX(1,ROUND('기준스탯 72종'!E55-S1202-AA1202,0))</x:f>
        <x:v>6</x:v>
      </x:c>
      <x:c r="L1202" s="2" t="n">
        <x:f>MAX(1,ROUND('기준스탯 72종'!F55-T1202-AB1202,0))</x:f>
        <x:v>8</x:v>
      </x:c>
      <x:c r="M1202" s="2" t="n">
        <x:f>MAX(1,ROUND('기준스탯 72종'!G55-U1202-AC1202,0))</x:f>
        <x:v>8</x:v>
      </x:c>
      <x:c r="N1202" s="2" t="n">
        <x:f>MAX(0,ROUND('기준스탯 72종'!H55-V1202-AD1202,0))</x:f>
        <x:v>3</x:v>
      </x:c>
      <x:c r="O1202" s="2" t="n">
        <x:f>MAX(0,ROUND('기준스탯 72종'!I55-W1202-AE1202,0))</x:f>
        <x:v>7</x:v>
      </x:c>
      <x:c r="P1202" s="2" t="n">
        <x:f>MAX(0,ROUND('기준스탯 72종'!J55-X1202-AF1202,0))</x:f>
        <x:v>5</x:v>
      </x:c>
      <x:c r="Q1202" s="2" t="n">
        <x:f>MAX(0,ROUND('기준스탯 72종'!K55-Y1202-AG1202,0))</x:f>
        <x:v>1</x:v>
      </x:c>
      <x:c r="R1202" s="15" t="n">
        <x:f>'기준스탯 72종'!D55*G1202</x:f>
        <x:v>0</x:v>
      </x:c>
      <x:c r="S1202" s="15" t="n">
        <x:f>'기준스탯 72종'!E55*G1202</x:f>
        <x:v>0</x:v>
      </x:c>
      <x:c r="T1202" s="15" t="n">
        <x:f>'기준스탯 72종'!F55*G1202</x:f>
        <x:v>0</x:v>
      </x:c>
      <x:c r="U1202" s="15" t="n">
        <x:f>'기준스탯 72종'!G55*G1202</x:f>
        <x:v>0</x:v>
      </x:c>
      <x:c r="V1202" s="15" t="n">
        <x:f>'기준스탯 72종'!H55*G1202</x:f>
        <x:v>0</x:v>
      </x:c>
      <x:c r="W1202" s="15" t="n">
        <x:f>'기준스탯 72종'!I55*G1202</x:f>
        <x:v>0</x:v>
      </x:c>
      <x:c r="X1202" s="15" t="n">
        <x:f>'기준스탯 72종'!J55*G1202</x:f>
        <x:v>0</x:v>
      </x:c>
      <x:c r="Y1202" s="15" t="n">
        <x:f>'기준스탯 72종'!K55*G1202</x:f>
        <x:v>0</x:v>
      </x:c>
      <x:c r="Z1202" s="15" t="n">
        <x:f>'기준스탯 72종'!D55*H1202</x:f>
        <x:v>0.5400000000000001</x:v>
      </x:c>
      <x:c r="AA1202" s="15" t="n">
        <x:f>'기준스탯 72종'!E55*H1202</x:f>
        <x:v>0.3600000000000001</x:v>
      </x:c>
      <x:c r="AB1202" s="15" t="n">
        <x:f>'기준스탯 72종'!F55*H1202</x:f>
        <x:v>0.4800000000000001</x:v>
      </x:c>
      <x:c r="AC1202" s="15" t="n">
        <x:f>'기준스탯 72종'!G55*H1202</x:f>
        <x:v>0.4800000000000001</x:v>
      </x:c>
      <x:c r="AD1202" s="15" t="n">
        <x:f>'기준스탯 72종'!H55*H1202</x:f>
        <x:v>0.18000000000000005</x:v>
      </x:c>
      <x:c r="AE1202" s="15" t="n">
        <x:f>'기준스탯 72종'!I55*H1202</x:f>
        <x:v>0.4200000000000001</x:v>
      </x:c>
      <x:c r="AF1202" s="15" t="n">
        <x:f>'기준스탯 72종'!J55*H1202</x:f>
        <x:v>0.30000000000000004</x:v>
      </x:c>
      <x:c r="AG1202" s="15" t="n">
        <x:f>'기준스탯 72종'!K55*H1202</x:f>
        <x:v>0.06000000000000001</x:v>
      </x:c>
    </x:row>
    <x:row r="1203" ht="28" customHeight="1">
      <x:c r="A1203" s="2" t="n">
        <x:v>1196</x:v>
      </x:c>
      <x:c r="B1203" s="2" t="n">
        <x:v>48</x:v>
      </x:c>
      <x:c r="C1203" s="2" t="str">
        <x:v>전갈자리</x:v>
      </x:c>
      <x:c r="D1203" s="2" t="str">
        <x:v>전사</x:v>
      </x:c>
      <x:c r="E1203" s="2" t="n">
        <x:v>1</x:v>
      </x:c>
      <x:c r="F1203" s="2" t="n">
        <x:v>5</x:v>
      </x:c>
      <x:c r="G1203" s="14" t="n">
        <x:f>('레벨 계산식'!$E$4-E1203)*'레벨 계산식'!$B$5</x:f>
        <x:v>0.5599999999999999</x:v>
      </x:c>
      <x:c r="H1203" s="14" t="n">
        <x:f>('등급 계산식'!$E$4-F1203)*'등급 계산식'!$B$5</x:f>
        <x:v>0</x:v>
      </x:c>
      <x:c r="I1203" s="14" t="n">
        <x:f>1-G1203-H1203</x:f>
        <x:v>0.44000000000000006</x:v>
      </x:c>
      <x:c r="J1203" s="2" t="n">
        <x:f>MAX(1,ROUND('기준스탯 72종'!D55-R1203-Z1203,0))</x:f>
        <x:v>4</x:v>
      </x:c>
      <x:c r="K1203" s="2" t="n">
        <x:f>MAX(1,ROUND('기준스탯 72종'!E55-S1203-AA1203,0))</x:f>
        <x:v>3</x:v>
      </x:c>
      <x:c r="L1203" s="2" t="n">
        <x:f>MAX(1,ROUND('기준스탯 72종'!F55-T1203-AB1203,0))</x:f>
        <x:v>4</x:v>
      </x:c>
      <x:c r="M1203" s="2" t="n">
        <x:f>MAX(1,ROUND('기준스탯 72종'!G55-U1203-AC1203,0))</x:f>
        <x:v>4</x:v>
      </x:c>
      <x:c r="N1203" s="2" t="n">
        <x:f>MAX(0,ROUND('기준스탯 72종'!H55-V1203-AD1203,0))</x:f>
        <x:v>1</x:v>
      </x:c>
      <x:c r="O1203" s="2" t="n">
        <x:f>MAX(0,ROUND('기준스탯 72종'!I55-W1203-AE1203,0))</x:f>
        <x:v>3</x:v>
      </x:c>
      <x:c r="P1203" s="2" t="n">
        <x:f>MAX(0,ROUND('기준스탯 72종'!J55-X1203-AF1203,0))</x:f>
        <x:v>2</x:v>
      </x:c>
      <x:c r="Q1203" s="2" t="n">
        <x:f>MAX(0,ROUND('기준스탯 72종'!K55-Y1203-AG1203,0))</x:f>
        <x:v>0</x:v>
      </x:c>
      <x:c r="R1203" s="15" t="n">
        <x:f>'기준스탯 72종'!D55*G1203</x:f>
        <x:v>5.039999999999999</x:v>
      </x:c>
      <x:c r="S1203" s="15" t="n">
        <x:f>'기준스탯 72종'!E55*G1203</x:f>
        <x:v>3.3599999999999994</x:v>
      </x:c>
      <x:c r="T1203" s="15" t="n">
        <x:f>'기준스탯 72종'!F55*G1203</x:f>
        <x:v>4.4799999999999995</x:v>
      </x:c>
      <x:c r="U1203" s="15" t="n">
        <x:f>'기준스탯 72종'!G55*G1203</x:f>
        <x:v>4.4799999999999995</x:v>
      </x:c>
      <x:c r="V1203" s="15" t="n">
        <x:f>'기준스탯 72종'!H55*G1203</x:f>
        <x:v>1.6799999999999997</x:v>
      </x:c>
      <x:c r="W1203" s="15" t="n">
        <x:f>'기준스탯 72종'!I55*G1203</x:f>
        <x:v>3.9199999999999995</x:v>
      </x:c>
      <x:c r="X1203" s="15" t="n">
        <x:f>'기준스탯 72종'!J55*G1203</x:f>
        <x:v>2.8</x:v>
      </x:c>
      <x:c r="Y1203" s="15" t="n">
        <x:f>'기준스탯 72종'!K55*G1203</x:f>
        <x:v>0.5599999999999999</x:v>
      </x:c>
      <x:c r="Z1203" s="15" t="n">
        <x:f>'기준스탯 72종'!D55*H1203</x:f>
        <x:v>0</x:v>
      </x:c>
      <x:c r="AA1203" s="15" t="n">
        <x:f>'기준스탯 72종'!E55*H1203</x:f>
        <x:v>0</x:v>
      </x:c>
      <x:c r="AB1203" s="15" t="n">
        <x:f>'기준스탯 72종'!F55*H1203</x:f>
        <x:v>0</x:v>
      </x:c>
      <x:c r="AC1203" s="15" t="n">
        <x:f>'기준스탯 72종'!G55*H1203</x:f>
        <x:v>0</x:v>
      </x:c>
      <x:c r="AD1203" s="15" t="n">
        <x:f>'기준스탯 72종'!H55*H1203</x:f>
        <x:v>0</x:v>
      </x:c>
      <x:c r="AE1203" s="15" t="n">
        <x:f>'기준스탯 72종'!I55*H1203</x:f>
        <x:v>0</x:v>
      </x:c>
      <x:c r="AF1203" s="15" t="n">
        <x:f>'기준스탯 72종'!J55*H1203</x:f>
        <x:v>0</x:v>
      </x:c>
      <x:c r="AG1203" s="15" t="n">
        <x:f>'기준스탯 72종'!K55*H1203</x:f>
        <x:v>0</x:v>
      </x:c>
    </x:row>
    <x:row r="1204" ht="28" customHeight="1">
      <x:c r="A1204" s="2" t="n">
        <x:v>1197</x:v>
      </x:c>
      <x:c r="B1204" s="2" t="n">
        <x:v>48</x:v>
      </x:c>
      <x:c r="C1204" s="2" t="str">
        <x:v>전갈자리</x:v>
      </x:c>
      <x:c r="D1204" s="2" t="str">
        <x:v>전사</x:v>
      </x:c>
      <x:c r="E1204" s="2" t="n">
        <x:v>2</x:v>
      </x:c>
      <x:c r="F1204" s="2" t="n">
        <x:v>5</x:v>
      </x:c>
      <x:c r="G1204" s="14" t="n">
        <x:f>('레벨 계산식'!$E$4-E1204)*'레벨 계산식'!$B$5</x:f>
        <x:v>0.41999999999999993</x:v>
      </x:c>
      <x:c r="H1204" s="14" t="n">
        <x:f>('등급 계산식'!$E$4-F1204)*'등급 계산식'!$B$5</x:f>
        <x:v>0</x:v>
      </x:c>
      <x:c r="I1204" s="14" t="n">
        <x:f>1-G1204-H1204</x:f>
        <x:v>0.5800000000000001</x:v>
      </x:c>
      <x:c r="J1204" s="2" t="n">
        <x:f>MAX(1,ROUND('기준스탯 72종'!D55-R1204-Z1204,0))</x:f>
        <x:v>5</x:v>
      </x:c>
      <x:c r="K1204" s="2" t="n">
        <x:f>MAX(1,ROUND('기준스탯 72종'!E55-S1204-AA1204,0))</x:f>
        <x:v>3</x:v>
      </x:c>
      <x:c r="L1204" s="2" t="n">
        <x:f>MAX(1,ROUND('기준스탯 72종'!F55-T1204-AB1204,0))</x:f>
        <x:v>5</x:v>
      </x:c>
      <x:c r="M1204" s="2" t="n">
        <x:f>MAX(1,ROUND('기준스탯 72종'!G55-U1204-AC1204,0))</x:f>
        <x:v>5</x:v>
      </x:c>
      <x:c r="N1204" s="2" t="n">
        <x:f>MAX(0,ROUND('기준스탯 72종'!H55-V1204-AD1204,0))</x:f>
        <x:v>2</x:v>
      </x:c>
      <x:c r="O1204" s="2" t="n">
        <x:f>MAX(0,ROUND('기준스탯 72종'!I55-W1204-AE1204,0))</x:f>
        <x:v>4</x:v>
      </x:c>
      <x:c r="P1204" s="2" t="n">
        <x:f>MAX(0,ROUND('기준스탯 72종'!J55-X1204-AF1204,0))</x:f>
        <x:v>3</x:v>
      </x:c>
      <x:c r="Q1204" s="2" t="n">
        <x:f>MAX(0,ROUND('기준스탯 72종'!K55-Y1204-AG1204,0))</x:f>
        <x:v>1</x:v>
      </x:c>
      <x:c r="R1204" s="15" t="n">
        <x:f>'기준스탯 72종'!D55*G1204</x:f>
        <x:v>3.7799999999999994</x:v>
      </x:c>
      <x:c r="S1204" s="15" t="n">
        <x:f>'기준스탯 72종'!E55*G1204</x:f>
        <x:v>2.5199999999999996</x:v>
      </x:c>
      <x:c r="T1204" s="15" t="n">
        <x:f>'기준스탯 72종'!F55*G1204</x:f>
        <x:v>3.3599999999999994</x:v>
      </x:c>
      <x:c r="U1204" s="15" t="n">
        <x:f>'기준스탯 72종'!G55*G1204</x:f>
        <x:v>3.3599999999999994</x:v>
      </x:c>
      <x:c r="V1204" s="15" t="n">
        <x:f>'기준스탯 72종'!H55*G1204</x:f>
        <x:v>1.2599999999999998</x:v>
      </x:c>
      <x:c r="W1204" s="15" t="n">
        <x:f>'기준스탯 72종'!I55*G1204</x:f>
        <x:v>2.9399999999999995</x:v>
      </x:c>
      <x:c r="X1204" s="15" t="n">
        <x:f>'기준스탯 72종'!J55*G1204</x:f>
        <x:v>2.0999999999999996</x:v>
      </x:c>
      <x:c r="Y1204" s="15" t="n">
        <x:f>'기준스탯 72종'!K55*G1204</x:f>
        <x:v>0.41999999999999993</x:v>
      </x:c>
      <x:c r="Z1204" s="15" t="n">
        <x:f>'기준스탯 72종'!D55*H1204</x:f>
        <x:v>0</x:v>
      </x:c>
      <x:c r="AA1204" s="15" t="n">
        <x:f>'기준스탯 72종'!E55*H1204</x:f>
        <x:v>0</x:v>
      </x:c>
      <x:c r="AB1204" s="15" t="n">
        <x:f>'기준스탯 72종'!F55*H1204</x:f>
        <x:v>0</x:v>
      </x:c>
      <x:c r="AC1204" s="15" t="n">
        <x:f>'기준스탯 72종'!G55*H1204</x:f>
        <x:v>0</x:v>
      </x:c>
      <x:c r="AD1204" s="15" t="n">
        <x:f>'기준스탯 72종'!H55*H1204</x:f>
        <x:v>0</x:v>
      </x:c>
      <x:c r="AE1204" s="15" t="n">
        <x:f>'기준스탯 72종'!I55*H1204</x:f>
        <x:v>0</x:v>
      </x:c>
      <x:c r="AF1204" s="15" t="n">
        <x:f>'기준스탯 72종'!J55*H1204</x:f>
        <x:v>0</x:v>
      </x:c>
      <x:c r="AG1204" s="15" t="n">
        <x:f>'기준스탯 72종'!K55*H1204</x:f>
        <x:v>0</x:v>
      </x:c>
    </x:row>
    <x:row r="1205" ht="28" customHeight="1">
      <x:c r="A1205" s="2" t="n">
        <x:v>1198</x:v>
      </x:c>
      <x:c r="B1205" s="2" t="n">
        <x:v>48</x:v>
      </x:c>
      <x:c r="C1205" s="2" t="str">
        <x:v>전갈자리</x:v>
      </x:c>
      <x:c r="D1205" s="2" t="str">
        <x:v>전사</x:v>
      </x:c>
      <x:c r="E1205" s="2" t="n">
        <x:v>3</x:v>
      </x:c>
      <x:c r="F1205" s="2" t="n">
        <x:v>5</x:v>
      </x:c>
      <x:c r="G1205" s="14" t="n">
        <x:f>('레벨 계산식'!$E$4-E1205)*'레벨 계산식'!$B$5</x:f>
        <x:v>0.27999999999999997</x:v>
      </x:c>
      <x:c r="H1205" s="14" t="n">
        <x:f>('등급 계산식'!$E$4-F1205)*'등급 계산식'!$B$5</x:f>
        <x:v>0</x:v>
      </x:c>
      <x:c r="I1205" s="14" t="n">
        <x:f>1-G1205-H1205</x:f>
        <x:v>0.72</x:v>
      </x:c>
      <x:c r="J1205" s="2" t="n">
        <x:f>MAX(1,ROUND('기준스탯 72종'!D55-R1205-Z1205,0))</x:f>
        <x:v>6</x:v>
      </x:c>
      <x:c r="K1205" s="2" t="n">
        <x:f>MAX(1,ROUND('기준스탯 72종'!E55-S1205-AA1205,0))</x:f>
        <x:v>4</x:v>
      </x:c>
      <x:c r="L1205" s="2" t="n">
        <x:f>MAX(1,ROUND('기준스탯 72종'!F55-T1205-AB1205,0))</x:f>
        <x:v>6</x:v>
      </x:c>
      <x:c r="M1205" s="2" t="n">
        <x:f>MAX(1,ROUND('기준스탯 72종'!G55-U1205-AC1205,0))</x:f>
        <x:v>6</x:v>
      </x:c>
      <x:c r="N1205" s="2" t="n">
        <x:f>MAX(0,ROUND('기준스탯 72종'!H55-V1205-AD1205,0))</x:f>
        <x:v>2</x:v>
      </x:c>
      <x:c r="O1205" s="2" t="n">
        <x:f>MAX(0,ROUND('기준스탯 72종'!I55-W1205-AE1205,0))</x:f>
        <x:v>5</x:v>
      </x:c>
      <x:c r="P1205" s="2" t="n">
        <x:f>MAX(0,ROUND('기준스탯 72종'!J55-X1205-AF1205,0))</x:f>
        <x:v>4</x:v>
      </x:c>
      <x:c r="Q1205" s="2" t="n">
        <x:f>MAX(0,ROUND('기준스탯 72종'!K55-Y1205-AG1205,0))</x:f>
        <x:v>1</x:v>
      </x:c>
      <x:c r="R1205" s="15" t="n">
        <x:f>'기준스탯 72종'!D55*G1205</x:f>
        <x:v>2.5199999999999996</x:v>
      </x:c>
      <x:c r="S1205" s="15" t="n">
        <x:f>'기준스탯 72종'!E55*G1205</x:f>
        <x:v>1.6799999999999997</x:v>
      </x:c>
      <x:c r="T1205" s="15" t="n">
        <x:f>'기준스탯 72종'!F55*G1205</x:f>
        <x:v>2.2399999999999998</x:v>
      </x:c>
      <x:c r="U1205" s="15" t="n">
        <x:f>'기준스탯 72종'!G55*G1205</x:f>
        <x:v>2.2399999999999998</x:v>
      </x:c>
      <x:c r="V1205" s="15" t="n">
        <x:f>'기준스탯 72종'!H55*G1205</x:f>
        <x:v>0.8399999999999999</x:v>
      </x:c>
      <x:c r="W1205" s="15" t="n">
        <x:f>'기준스탯 72종'!I55*G1205</x:f>
        <x:v>1.9599999999999997</x:v>
      </x:c>
      <x:c r="X1205" s="15" t="n">
        <x:f>'기준스탯 72종'!J55*G1205</x:f>
        <x:v>1.4</x:v>
      </x:c>
      <x:c r="Y1205" s="15" t="n">
        <x:f>'기준스탯 72종'!K55*G1205</x:f>
        <x:v>0.27999999999999997</x:v>
      </x:c>
      <x:c r="Z1205" s="15" t="n">
        <x:f>'기준스탯 72종'!D55*H1205</x:f>
        <x:v>0</x:v>
      </x:c>
      <x:c r="AA1205" s="15" t="n">
        <x:f>'기준스탯 72종'!E55*H1205</x:f>
        <x:v>0</x:v>
      </x:c>
      <x:c r="AB1205" s="15" t="n">
        <x:f>'기준스탯 72종'!F55*H1205</x:f>
        <x:v>0</x:v>
      </x:c>
      <x:c r="AC1205" s="15" t="n">
        <x:f>'기준스탯 72종'!G55*H1205</x:f>
        <x:v>0</x:v>
      </x:c>
      <x:c r="AD1205" s="15" t="n">
        <x:f>'기준스탯 72종'!H55*H1205</x:f>
        <x:v>0</x:v>
      </x:c>
      <x:c r="AE1205" s="15" t="n">
        <x:f>'기준스탯 72종'!I55*H1205</x:f>
        <x:v>0</x:v>
      </x:c>
      <x:c r="AF1205" s="15" t="n">
        <x:f>'기준스탯 72종'!J55*H1205</x:f>
        <x:v>0</x:v>
      </x:c>
      <x:c r="AG1205" s="15" t="n">
        <x:f>'기준스탯 72종'!K55*H1205</x:f>
        <x:v>0</x:v>
      </x:c>
    </x:row>
    <x:row r="1206" ht="28" customHeight="1">
      <x:c r="A1206" s="2" t="n">
        <x:v>1199</x:v>
      </x:c>
      <x:c r="B1206" s="2" t="n">
        <x:v>48</x:v>
      </x:c>
      <x:c r="C1206" s="2" t="str">
        <x:v>전갈자리</x:v>
      </x:c>
      <x:c r="D1206" s="2" t="str">
        <x:v>전사</x:v>
      </x:c>
      <x:c r="E1206" s="2" t="n">
        <x:v>4</x:v>
      </x:c>
      <x:c r="F1206" s="2" t="n">
        <x:v>5</x:v>
      </x:c>
      <x:c r="G1206" s="14" t="n">
        <x:f>('레벨 계산식'!$E$4-E1206)*'레벨 계산식'!$B$5</x:f>
        <x:v>0.13999999999999999</x:v>
      </x:c>
      <x:c r="H1206" s="14" t="n">
        <x:f>('등급 계산식'!$E$4-F1206)*'등급 계산식'!$B$5</x:f>
        <x:v>0</x:v>
      </x:c>
      <x:c r="I1206" s="14" t="n">
        <x:f>1-G1206-H1206</x:f>
        <x:v>0.86</x:v>
      </x:c>
      <x:c r="J1206" s="2" t="n">
        <x:f>MAX(1,ROUND('기준스탯 72종'!D55-R1206-Z1206,0))</x:f>
        <x:v>8</x:v>
      </x:c>
      <x:c r="K1206" s="2" t="n">
        <x:f>MAX(1,ROUND('기준스탯 72종'!E55-S1206-AA1206,0))</x:f>
        <x:v>5</x:v>
      </x:c>
      <x:c r="L1206" s="2" t="n">
        <x:f>MAX(1,ROUND('기준스탯 72종'!F55-T1206-AB1206,0))</x:f>
        <x:v>7</x:v>
      </x:c>
      <x:c r="M1206" s="2" t="n">
        <x:f>MAX(1,ROUND('기준스탯 72종'!G55-U1206-AC1206,0))</x:f>
        <x:v>7</x:v>
      </x:c>
      <x:c r="N1206" s="2" t="n">
        <x:f>MAX(0,ROUND('기준스탯 72종'!H55-V1206-AD1206,0))</x:f>
        <x:v>3</x:v>
      </x:c>
      <x:c r="O1206" s="2" t="n">
        <x:f>MAX(0,ROUND('기준스탯 72종'!I55-W1206-AE1206,0))</x:f>
        <x:v>6</x:v>
      </x:c>
      <x:c r="P1206" s="2" t="n">
        <x:f>MAX(0,ROUND('기준스탯 72종'!J55-X1206-AF1206,0))</x:f>
        <x:v>4</x:v>
      </x:c>
      <x:c r="Q1206" s="2" t="n">
        <x:f>MAX(0,ROUND('기준스탯 72종'!K55-Y1206-AG1206,0))</x:f>
        <x:v>1</x:v>
      </x:c>
      <x:c r="R1206" s="15" t="n">
        <x:f>'기준스탯 72종'!D55*G1206</x:f>
        <x:v>1.2599999999999998</x:v>
      </x:c>
      <x:c r="S1206" s="15" t="n">
        <x:f>'기준스탯 72종'!E55*G1206</x:f>
        <x:v>0.8399999999999999</x:v>
      </x:c>
      <x:c r="T1206" s="15" t="n">
        <x:f>'기준스탯 72종'!F55*G1206</x:f>
        <x:v>1.1199999999999999</x:v>
      </x:c>
      <x:c r="U1206" s="15" t="n">
        <x:f>'기준스탯 72종'!G55*G1206</x:f>
        <x:v>1.1199999999999999</x:v>
      </x:c>
      <x:c r="V1206" s="15" t="n">
        <x:f>'기준스탯 72종'!H55*G1206</x:f>
        <x:v>0.41999999999999993</x:v>
      </x:c>
      <x:c r="W1206" s="15" t="n">
        <x:f>'기준스탯 72종'!I55*G1206</x:f>
        <x:v>0.9799999999999999</x:v>
      </x:c>
      <x:c r="X1206" s="15" t="n">
        <x:f>'기준스탯 72종'!J55*G1206</x:f>
        <x:v>0.7</x:v>
      </x:c>
      <x:c r="Y1206" s="15" t="n">
        <x:f>'기준스탯 72종'!K55*G1206</x:f>
        <x:v>0.13999999999999999</x:v>
      </x:c>
      <x:c r="Z1206" s="15" t="n">
        <x:f>'기준스탯 72종'!D55*H1206</x:f>
        <x:v>0</x:v>
      </x:c>
      <x:c r="AA1206" s="15" t="n">
        <x:f>'기준스탯 72종'!E55*H1206</x:f>
        <x:v>0</x:v>
      </x:c>
      <x:c r="AB1206" s="15" t="n">
        <x:f>'기준스탯 72종'!F55*H1206</x:f>
        <x:v>0</x:v>
      </x:c>
      <x:c r="AC1206" s="15" t="n">
        <x:f>'기준스탯 72종'!G55*H1206</x:f>
        <x:v>0</x:v>
      </x:c>
      <x:c r="AD1206" s="15" t="n">
        <x:f>'기준스탯 72종'!H55*H1206</x:f>
        <x:v>0</x:v>
      </x:c>
      <x:c r="AE1206" s="15" t="n">
        <x:f>'기준스탯 72종'!I55*H1206</x:f>
        <x:v>0</x:v>
      </x:c>
      <x:c r="AF1206" s="15" t="n">
        <x:f>'기준스탯 72종'!J55*H1206</x:f>
        <x:v>0</x:v>
      </x:c>
      <x:c r="AG1206" s="15" t="n">
        <x:f>'기준스탯 72종'!K55*H1206</x:f>
        <x:v>0</x:v>
      </x:c>
    </x:row>
    <x:row r="1207" ht="28" customHeight="1">
      <x:c r="A1207" s="2" t="n">
        <x:v>1200</x:v>
      </x:c>
      <x:c r="B1207" s="2" t="n">
        <x:v>48</x:v>
      </x:c>
      <x:c r="C1207" s="2" t="str">
        <x:v>전갈자리</x:v>
      </x:c>
      <x:c r="D1207" s="2" t="str">
        <x:v>전사</x:v>
      </x:c>
      <x:c r="E1207" s="2" t="n">
        <x:v>5</x:v>
      </x:c>
      <x:c r="F1207" s="2" t="n">
        <x:v>5</x:v>
      </x:c>
      <x:c r="G1207" s="14" t="n">
        <x:f>('레벨 계산식'!$E$4-E1207)*'레벨 계산식'!$B$5</x:f>
        <x:v>0</x:v>
      </x:c>
      <x:c r="H1207" s="14" t="n">
        <x:f>('등급 계산식'!$E$4-F1207)*'등급 계산식'!$B$5</x:f>
        <x:v>0</x:v>
      </x:c>
      <x:c r="I1207" s="14" t="n">
        <x:f>1-G1207-H1207</x:f>
        <x:v>1</x:v>
      </x:c>
      <x:c r="J1207" s="2" t="n">
        <x:f>MAX(1,ROUND('기준스탯 72종'!D55-R1207-Z1207,0))</x:f>
        <x:v>9</x:v>
      </x:c>
      <x:c r="K1207" s="2" t="n">
        <x:f>MAX(1,ROUND('기준스탯 72종'!E55-S1207-AA1207,0))</x:f>
        <x:v>6</x:v>
      </x:c>
      <x:c r="L1207" s="2" t="n">
        <x:f>MAX(1,ROUND('기준스탯 72종'!F55-T1207-AB1207,0))</x:f>
        <x:v>8</x:v>
      </x:c>
      <x:c r="M1207" s="2" t="n">
        <x:f>MAX(1,ROUND('기준스탯 72종'!G55-U1207-AC1207,0))</x:f>
        <x:v>8</x:v>
      </x:c>
      <x:c r="N1207" s="2" t="n">
        <x:f>MAX(0,ROUND('기준스탯 72종'!H55-V1207-AD1207,0))</x:f>
        <x:v>3</x:v>
      </x:c>
      <x:c r="O1207" s="2" t="n">
        <x:f>MAX(0,ROUND('기준스탯 72종'!I55-W1207-AE1207,0))</x:f>
        <x:v>7</x:v>
      </x:c>
      <x:c r="P1207" s="2" t="n">
        <x:f>MAX(0,ROUND('기준스탯 72종'!J55-X1207-AF1207,0))</x:f>
        <x:v>5</x:v>
      </x:c>
      <x:c r="Q1207" s="2" t="n">
        <x:f>MAX(0,ROUND('기준스탯 72종'!K55-Y1207-AG1207,0))</x:f>
        <x:v>1</x:v>
      </x:c>
      <x:c r="R1207" s="15" t="n">
        <x:f>'기준스탯 72종'!D55*G1207</x:f>
        <x:v>0</x:v>
      </x:c>
      <x:c r="S1207" s="15" t="n">
        <x:f>'기준스탯 72종'!E55*G1207</x:f>
        <x:v>0</x:v>
      </x:c>
      <x:c r="T1207" s="15" t="n">
        <x:f>'기준스탯 72종'!F55*G1207</x:f>
        <x:v>0</x:v>
      </x:c>
      <x:c r="U1207" s="15" t="n">
        <x:f>'기준스탯 72종'!G55*G1207</x:f>
        <x:v>0</x:v>
      </x:c>
      <x:c r="V1207" s="15" t="n">
        <x:f>'기준스탯 72종'!H55*G1207</x:f>
        <x:v>0</x:v>
      </x:c>
      <x:c r="W1207" s="15" t="n">
        <x:f>'기준스탯 72종'!I55*G1207</x:f>
        <x:v>0</x:v>
      </x:c>
      <x:c r="X1207" s="15" t="n">
        <x:f>'기준스탯 72종'!J55*G1207</x:f>
        <x:v>0</x:v>
      </x:c>
      <x:c r="Y1207" s="15" t="n">
        <x:f>'기준스탯 72종'!K55*G1207</x:f>
        <x:v>0</x:v>
      </x:c>
      <x:c r="Z1207" s="15" t="n">
        <x:f>'기준스탯 72종'!D55*H1207</x:f>
        <x:v>0</x:v>
      </x:c>
      <x:c r="AA1207" s="15" t="n">
        <x:f>'기준스탯 72종'!E55*H1207</x:f>
        <x:v>0</x:v>
      </x:c>
      <x:c r="AB1207" s="15" t="n">
        <x:f>'기준스탯 72종'!F55*H1207</x:f>
        <x:v>0</x:v>
      </x:c>
      <x:c r="AC1207" s="15" t="n">
        <x:f>'기준스탯 72종'!G55*H1207</x:f>
        <x:v>0</x:v>
      </x:c>
      <x:c r="AD1207" s="15" t="n">
        <x:f>'기준스탯 72종'!H55*H1207</x:f>
        <x:v>0</x:v>
      </x:c>
      <x:c r="AE1207" s="15" t="n">
        <x:f>'기준스탯 72종'!I55*H1207</x:f>
        <x:v>0</x:v>
      </x:c>
      <x:c r="AF1207" s="15" t="n">
        <x:f>'기준스탯 72종'!J55*H1207</x:f>
        <x:v>0</x:v>
      </x:c>
      <x:c r="AG1207" s="15" t="n">
        <x:f>'기준스탯 72종'!K55*H1207</x:f>
        <x:v>0</x:v>
      </x:c>
    </x:row>
    <x:row r="1208" ht="28" customHeight="1">
      <x:c r="A1208" s="2" t="n">
        <x:v>1201</x:v>
      </x:c>
      <x:c r="B1208" s="2" t="n">
        <x:v>49</x:v>
      </x:c>
      <x:c r="C1208" s="2" t="str">
        <x:v>사수자리</x:v>
      </x:c>
      <x:c r="D1208" s="2" t="str">
        <x:v>기사</x:v>
      </x:c>
      <x:c r="E1208" s="2" t="n">
        <x:v>1</x:v>
      </x:c>
      <x:c r="F1208" s="2" t="n">
        <x:v>1</x:v>
      </x:c>
      <x:c r="G1208" s="14" t="n">
        <x:f>('레벨 계산식'!$E$4-E1208)*'레벨 계산식'!$B$5</x:f>
        <x:v>0.5599999999999999</x:v>
      </x:c>
      <x:c r="H1208" s="14" t="n">
        <x:f>('등급 계산식'!$E$4-F1208)*'등급 계산식'!$B$5</x:f>
        <x:v>0.24000000000000005</x:v>
      </x:c>
      <x:c r="I1208" s="14" t="n">
        <x:f>1-G1208-H1208</x:f>
        <x:v>0.2</x:v>
      </x:c>
      <x:c r="J1208" s="2" t="n">
        <x:f>MAX(1,ROUND('기준스탯 72종'!D56-R1208-Z1208,0))</x:f>
        <x:v>1</x:v>
      </x:c>
      <x:c r="K1208" s="2" t="n">
        <x:f>MAX(1,ROUND('기준스탯 72종'!E56-S1208-AA1208,0))</x:f>
        <x:v>1</x:v>
      </x:c>
      <x:c r="L1208" s="2" t="n">
        <x:f>MAX(1,ROUND('기준스탯 72종'!F56-T1208-AB1208,0))</x:f>
        <x:v>2</x:v>
      </x:c>
      <x:c r="M1208" s="2" t="n">
        <x:f>MAX(1,ROUND('기준스탯 72종'!G56-U1208-AC1208,0))</x:f>
        <x:v>2</x:v>
      </x:c>
      <x:c r="N1208" s="2" t="n">
        <x:f>MAX(0,ROUND('기준스탯 72종'!H56-V1208-AD1208,0))</x:f>
        <x:v>1</x:v>
      </x:c>
      <x:c r="O1208" s="2" t="n">
        <x:f>MAX(0,ROUND('기준스탯 72종'!I56-W1208-AE1208,0))</x:f>
        <x:v>1</x:v>
      </x:c>
      <x:c r="P1208" s="2" t="n">
        <x:f>MAX(0,ROUND('기준스탯 72종'!J56-X1208-AF1208,0))</x:f>
        <x:v>1</x:v>
      </x:c>
      <x:c r="Q1208" s="2" t="n">
        <x:f>MAX(0,ROUND('기준스탯 72종'!K56-Y1208-AG1208,0))</x:f>
        <x:v>1</x:v>
      </x:c>
      <x:c r="R1208" s="15" t="n">
        <x:f>'기준스탯 72종'!D56*G1208</x:f>
        <x:v>3.9199999999999995</x:v>
      </x:c>
      <x:c r="S1208" s="15" t="n">
        <x:f>'기준스탯 72종'!E56*G1208</x:f>
        <x:v>3.9199999999999995</x:v>
      </x:c>
      <x:c r="T1208" s="15" t="n">
        <x:f>'기준스탯 72종'!F56*G1208</x:f>
        <x:v>4.4799999999999995</x:v>
      </x:c>
      <x:c r="U1208" s="15" t="n">
        <x:f>'기준스탯 72종'!G56*G1208</x:f>
        <x:v>4.4799999999999995</x:v>
      </x:c>
      <x:c r="V1208" s="15" t="n">
        <x:f>'기준스탯 72종'!H56*G1208</x:f>
        <x:v>2.8</x:v>
      </x:c>
      <x:c r="W1208" s="15" t="n">
        <x:f>'기준스탯 72종'!I56*G1208</x:f>
        <x:v>2.2399999999999998</x:v>
      </x:c>
      <x:c r="X1208" s="15" t="n">
        <x:f>'기준스탯 72종'!J56*G1208</x:f>
        <x:v>2.2399999999999998</x:v>
      </x:c>
      <x:c r="Y1208" s="15" t="n">
        <x:f>'기준스탯 72종'!K56*G1208</x:f>
        <x:v>1.6799999999999997</x:v>
      </x:c>
      <x:c r="Z1208" s="15" t="n">
        <x:f>'기준스탯 72종'!D56*H1208</x:f>
        <x:v>1.6800000000000004</x:v>
      </x:c>
      <x:c r="AA1208" s="15" t="n">
        <x:f>'기준스탯 72종'!E56*H1208</x:f>
        <x:v>1.6800000000000004</x:v>
      </x:c>
      <x:c r="AB1208" s="15" t="n">
        <x:f>'기준스탯 72종'!F56*H1208</x:f>
        <x:v>1.9200000000000004</x:v>
      </x:c>
      <x:c r="AC1208" s="15" t="n">
        <x:f>'기준스탯 72종'!G56*H1208</x:f>
        <x:v>1.9200000000000004</x:v>
      </x:c>
      <x:c r="AD1208" s="15" t="n">
        <x:f>'기준스탯 72종'!H56*H1208</x:f>
        <x:v>1.2000000000000002</x:v>
      </x:c>
      <x:c r="AE1208" s="15" t="n">
        <x:f>'기준스탯 72종'!I56*H1208</x:f>
        <x:v>0.9600000000000002</x:v>
      </x:c>
      <x:c r="AF1208" s="15" t="n">
        <x:f>'기준스탯 72종'!J56*H1208</x:f>
        <x:v>0.9600000000000002</x:v>
      </x:c>
      <x:c r="AG1208" s="15" t="n">
        <x:f>'기준스탯 72종'!K56*H1208</x:f>
        <x:v>0.7200000000000002</x:v>
      </x:c>
    </x:row>
    <x:row r="1209" ht="28" customHeight="1">
      <x:c r="A1209" s="2" t="n">
        <x:v>1202</x:v>
      </x:c>
      <x:c r="B1209" s="2" t="n">
        <x:v>49</x:v>
      </x:c>
      <x:c r="C1209" s="2" t="str">
        <x:v>사수자리</x:v>
      </x:c>
      <x:c r="D1209" s="2" t="str">
        <x:v>기사</x:v>
      </x:c>
      <x:c r="E1209" s="2" t="n">
        <x:v>2</x:v>
      </x:c>
      <x:c r="F1209" s="2" t="n">
        <x:v>1</x:v>
      </x:c>
      <x:c r="G1209" s="14" t="n">
        <x:f>('레벨 계산식'!$E$4-E1209)*'레벨 계산식'!$B$5</x:f>
        <x:v>0.41999999999999993</x:v>
      </x:c>
      <x:c r="H1209" s="14" t="n">
        <x:f>('등급 계산식'!$E$4-F1209)*'등급 계산식'!$B$5</x:f>
        <x:v>0.24000000000000005</x:v>
      </x:c>
      <x:c r="I1209" s="14" t="n">
        <x:f>1-G1209-H1209</x:f>
        <x:v>0.34</x:v>
      </x:c>
      <x:c r="J1209" s="2" t="n">
        <x:f>MAX(1,ROUND('기준스탯 72종'!D56-R1209-Z1209,0))</x:f>
        <x:v>2</x:v>
      </x:c>
      <x:c r="K1209" s="2" t="n">
        <x:f>MAX(1,ROUND('기준스탯 72종'!E56-S1209-AA1209,0))</x:f>
        <x:v>2</x:v>
      </x:c>
      <x:c r="L1209" s="2" t="n">
        <x:f>MAX(1,ROUND('기준스탯 72종'!F56-T1209-AB1209,0))</x:f>
        <x:v>3</x:v>
      </x:c>
      <x:c r="M1209" s="2" t="n">
        <x:f>MAX(1,ROUND('기준스탯 72종'!G56-U1209-AC1209,0))</x:f>
        <x:v>3</x:v>
      </x:c>
      <x:c r="N1209" s="2" t="n">
        <x:f>MAX(0,ROUND('기준스탯 72종'!H56-V1209-AD1209,0))</x:f>
        <x:v>2</x:v>
      </x:c>
      <x:c r="O1209" s="2" t="n">
        <x:f>MAX(0,ROUND('기준스탯 72종'!I56-W1209-AE1209,0))</x:f>
        <x:v>1</x:v>
      </x:c>
      <x:c r="P1209" s="2" t="n">
        <x:f>MAX(0,ROUND('기준스탯 72종'!J56-X1209-AF1209,0))</x:f>
        <x:v>1</x:v>
      </x:c>
      <x:c r="Q1209" s="2" t="n">
        <x:f>MAX(0,ROUND('기준스탯 72종'!K56-Y1209-AG1209,0))</x:f>
        <x:v>1</x:v>
      </x:c>
      <x:c r="R1209" s="15" t="n">
        <x:f>'기준스탯 72종'!D56*G1209</x:f>
        <x:v>2.9399999999999995</x:v>
      </x:c>
      <x:c r="S1209" s="15" t="n">
        <x:f>'기준스탯 72종'!E56*G1209</x:f>
        <x:v>2.9399999999999995</x:v>
      </x:c>
      <x:c r="T1209" s="15" t="n">
        <x:f>'기준스탯 72종'!F56*G1209</x:f>
        <x:v>3.3599999999999994</x:v>
      </x:c>
      <x:c r="U1209" s="15" t="n">
        <x:f>'기준스탯 72종'!G56*G1209</x:f>
        <x:v>3.3599999999999994</x:v>
      </x:c>
      <x:c r="V1209" s="15" t="n">
        <x:f>'기준스탯 72종'!H56*G1209</x:f>
        <x:v>2.0999999999999996</x:v>
      </x:c>
      <x:c r="W1209" s="15" t="n">
        <x:f>'기준스탯 72종'!I56*G1209</x:f>
        <x:v>1.6799999999999997</x:v>
      </x:c>
      <x:c r="X1209" s="15" t="n">
        <x:f>'기준스탯 72종'!J56*G1209</x:f>
        <x:v>1.6799999999999997</x:v>
      </x:c>
      <x:c r="Y1209" s="15" t="n">
        <x:f>'기준스탯 72종'!K56*G1209</x:f>
        <x:v>1.2599999999999998</x:v>
      </x:c>
      <x:c r="Z1209" s="15" t="n">
        <x:f>'기준스탯 72종'!D56*H1209</x:f>
        <x:v>1.6800000000000004</x:v>
      </x:c>
      <x:c r="AA1209" s="15" t="n">
        <x:f>'기준스탯 72종'!E56*H1209</x:f>
        <x:v>1.6800000000000004</x:v>
      </x:c>
      <x:c r="AB1209" s="15" t="n">
        <x:f>'기준스탯 72종'!F56*H1209</x:f>
        <x:v>1.9200000000000004</x:v>
      </x:c>
      <x:c r="AC1209" s="15" t="n">
        <x:f>'기준스탯 72종'!G56*H1209</x:f>
        <x:v>1.9200000000000004</x:v>
      </x:c>
      <x:c r="AD1209" s="15" t="n">
        <x:f>'기준스탯 72종'!H56*H1209</x:f>
        <x:v>1.2000000000000002</x:v>
      </x:c>
      <x:c r="AE1209" s="15" t="n">
        <x:f>'기준스탯 72종'!I56*H1209</x:f>
        <x:v>0.9600000000000002</x:v>
      </x:c>
      <x:c r="AF1209" s="15" t="n">
        <x:f>'기준스탯 72종'!J56*H1209</x:f>
        <x:v>0.9600000000000002</x:v>
      </x:c>
      <x:c r="AG1209" s="15" t="n">
        <x:f>'기준스탯 72종'!K56*H1209</x:f>
        <x:v>0.7200000000000002</x:v>
      </x:c>
    </x:row>
    <x:row r="1210" ht="28" customHeight="1">
      <x:c r="A1210" s="2" t="n">
        <x:v>1203</x:v>
      </x:c>
      <x:c r="B1210" s="2" t="n">
        <x:v>49</x:v>
      </x:c>
      <x:c r="C1210" s="2" t="str">
        <x:v>사수자리</x:v>
      </x:c>
      <x:c r="D1210" s="2" t="str">
        <x:v>기사</x:v>
      </x:c>
      <x:c r="E1210" s="2" t="n">
        <x:v>3</x:v>
      </x:c>
      <x:c r="F1210" s="2" t="n">
        <x:v>1</x:v>
      </x:c>
      <x:c r="G1210" s="14" t="n">
        <x:f>('레벨 계산식'!$E$4-E1210)*'레벨 계산식'!$B$5</x:f>
        <x:v>0.27999999999999997</x:v>
      </x:c>
      <x:c r="H1210" s="14" t="n">
        <x:f>('등급 계산식'!$E$4-F1210)*'등급 계산식'!$B$5</x:f>
        <x:v>0.24000000000000005</x:v>
      </x:c>
      <x:c r="I1210" s="14" t="n">
        <x:f>1-G1210-H1210</x:f>
        <x:v>0.4799999999999999</x:v>
      </x:c>
      <x:c r="J1210" s="2" t="n">
        <x:f>MAX(1,ROUND('기준스탯 72종'!D56-R1210-Z1210,0))</x:f>
        <x:v>3</x:v>
      </x:c>
      <x:c r="K1210" s="2" t="n">
        <x:f>MAX(1,ROUND('기준스탯 72종'!E56-S1210-AA1210,0))</x:f>
        <x:v>3</x:v>
      </x:c>
      <x:c r="L1210" s="2" t="n">
        <x:f>MAX(1,ROUND('기준스탯 72종'!F56-T1210-AB1210,0))</x:f>
        <x:v>4</x:v>
      </x:c>
      <x:c r="M1210" s="2" t="n">
        <x:f>MAX(1,ROUND('기준스탯 72종'!G56-U1210-AC1210,0))</x:f>
        <x:v>4</x:v>
      </x:c>
      <x:c r="N1210" s="2" t="n">
        <x:f>MAX(0,ROUND('기준스탯 72종'!H56-V1210-AD1210,0))</x:f>
        <x:v>2</x:v>
      </x:c>
      <x:c r="O1210" s="2" t="n">
        <x:f>MAX(0,ROUND('기준스탯 72종'!I56-W1210-AE1210,0))</x:f>
        <x:v>2</x:v>
      </x:c>
      <x:c r="P1210" s="2" t="n">
        <x:f>MAX(0,ROUND('기준스탯 72종'!J56-X1210-AF1210,0))</x:f>
        <x:v>2</x:v>
      </x:c>
      <x:c r="Q1210" s="2" t="n">
        <x:f>MAX(0,ROUND('기준스탯 72종'!K56-Y1210-AG1210,0))</x:f>
        <x:v>1</x:v>
      </x:c>
      <x:c r="R1210" s="15" t="n">
        <x:f>'기준스탯 72종'!D56*G1210</x:f>
        <x:v>1.9599999999999997</x:v>
      </x:c>
      <x:c r="S1210" s="15" t="n">
        <x:f>'기준스탯 72종'!E56*G1210</x:f>
        <x:v>1.9599999999999997</x:v>
      </x:c>
      <x:c r="T1210" s="15" t="n">
        <x:f>'기준스탯 72종'!F56*G1210</x:f>
        <x:v>2.2399999999999998</x:v>
      </x:c>
      <x:c r="U1210" s="15" t="n">
        <x:f>'기준스탯 72종'!G56*G1210</x:f>
        <x:v>2.2399999999999998</x:v>
      </x:c>
      <x:c r="V1210" s="15" t="n">
        <x:f>'기준스탯 72종'!H56*G1210</x:f>
        <x:v>1.4</x:v>
      </x:c>
      <x:c r="W1210" s="15" t="n">
        <x:f>'기준스탯 72종'!I56*G1210</x:f>
        <x:v>1.1199999999999999</x:v>
      </x:c>
      <x:c r="X1210" s="15" t="n">
        <x:f>'기준스탯 72종'!J56*G1210</x:f>
        <x:v>1.1199999999999999</x:v>
      </x:c>
      <x:c r="Y1210" s="15" t="n">
        <x:f>'기준스탯 72종'!K56*G1210</x:f>
        <x:v>0.8399999999999999</x:v>
      </x:c>
      <x:c r="Z1210" s="15" t="n">
        <x:f>'기준스탯 72종'!D56*H1210</x:f>
        <x:v>1.6800000000000004</x:v>
      </x:c>
      <x:c r="AA1210" s="15" t="n">
        <x:f>'기준스탯 72종'!E56*H1210</x:f>
        <x:v>1.6800000000000004</x:v>
      </x:c>
      <x:c r="AB1210" s="15" t="n">
        <x:f>'기준스탯 72종'!F56*H1210</x:f>
        <x:v>1.9200000000000004</x:v>
      </x:c>
      <x:c r="AC1210" s="15" t="n">
        <x:f>'기준스탯 72종'!G56*H1210</x:f>
        <x:v>1.9200000000000004</x:v>
      </x:c>
      <x:c r="AD1210" s="15" t="n">
        <x:f>'기준스탯 72종'!H56*H1210</x:f>
        <x:v>1.2000000000000002</x:v>
      </x:c>
      <x:c r="AE1210" s="15" t="n">
        <x:f>'기준스탯 72종'!I56*H1210</x:f>
        <x:v>0.9600000000000002</x:v>
      </x:c>
      <x:c r="AF1210" s="15" t="n">
        <x:f>'기준스탯 72종'!J56*H1210</x:f>
        <x:v>0.9600000000000002</x:v>
      </x:c>
      <x:c r="AG1210" s="15" t="n">
        <x:f>'기준스탯 72종'!K56*H1210</x:f>
        <x:v>0.7200000000000002</x:v>
      </x:c>
    </x:row>
    <x:row r="1211" ht="28" customHeight="1">
      <x:c r="A1211" s="2" t="n">
        <x:v>1204</x:v>
      </x:c>
      <x:c r="B1211" s="2" t="n">
        <x:v>49</x:v>
      </x:c>
      <x:c r="C1211" s="2" t="str">
        <x:v>사수자리</x:v>
      </x:c>
      <x:c r="D1211" s="2" t="str">
        <x:v>기사</x:v>
      </x:c>
      <x:c r="E1211" s="2" t="n">
        <x:v>4</x:v>
      </x:c>
      <x:c r="F1211" s="2" t="n">
        <x:v>1</x:v>
      </x:c>
      <x:c r="G1211" s="14" t="n">
        <x:f>('레벨 계산식'!$E$4-E1211)*'레벨 계산식'!$B$5</x:f>
        <x:v>0.13999999999999999</x:v>
      </x:c>
      <x:c r="H1211" s="14" t="n">
        <x:f>('등급 계산식'!$E$4-F1211)*'등급 계산식'!$B$5</x:f>
        <x:v>0.24000000000000005</x:v>
      </x:c>
      <x:c r="I1211" s="14" t="n">
        <x:f>1-G1211-H1211</x:f>
        <x:v>0.6199999999999999</x:v>
      </x:c>
      <x:c r="J1211" s="2" t="n">
        <x:f>MAX(1,ROUND('기준스탯 72종'!D56-R1211-Z1211,0))</x:f>
        <x:v>4</x:v>
      </x:c>
      <x:c r="K1211" s="2" t="n">
        <x:f>MAX(1,ROUND('기준스탯 72종'!E56-S1211-AA1211,0))</x:f>
        <x:v>4</x:v>
      </x:c>
      <x:c r="L1211" s="2" t="n">
        <x:f>MAX(1,ROUND('기준스탯 72종'!F56-T1211-AB1211,0))</x:f>
        <x:v>5</x:v>
      </x:c>
      <x:c r="M1211" s="2" t="n">
        <x:f>MAX(1,ROUND('기준스탯 72종'!G56-U1211-AC1211,0))</x:f>
        <x:v>5</x:v>
      </x:c>
      <x:c r="N1211" s="2" t="n">
        <x:f>MAX(0,ROUND('기준스탯 72종'!H56-V1211-AD1211,0))</x:f>
        <x:v>3</x:v>
      </x:c>
      <x:c r="O1211" s="2" t="n">
        <x:f>MAX(0,ROUND('기준스탯 72종'!I56-W1211-AE1211,0))</x:f>
        <x:v>2</x:v>
      </x:c>
      <x:c r="P1211" s="2" t="n">
        <x:f>MAX(0,ROUND('기준스탯 72종'!J56-X1211-AF1211,0))</x:f>
        <x:v>2</x:v>
      </x:c>
      <x:c r="Q1211" s="2" t="n">
        <x:f>MAX(0,ROUND('기준스탯 72종'!K56-Y1211-AG1211,0))</x:f>
        <x:v>2</x:v>
      </x:c>
      <x:c r="R1211" s="15" t="n">
        <x:f>'기준스탯 72종'!D56*G1211</x:f>
        <x:v>0.9799999999999999</x:v>
      </x:c>
      <x:c r="S1211" s="15" t="n">
        <x:f>'기준스탯 72종'!E56*G1211</x:f>
        <x:v>0.9799999999999999</x:v>
      </x:c>
      <x:c r="T1211" s="15" t="n">
        <x:f>'기준스탯 72종'!F56*G1211</x:f>
        <x:v>1.1199999999999999</x:v>
      </x:c>
      <x:c r="U1211" s="15" t="n">
        <x:f>'기준스탯 72종'!G56*G1211</x:f>
        <x:v>1.1199999999999999</x:v>
      </x:c>
      <x:c r="V1211" s="15" t="n">
        <x:f>'기준스탯 72종'!H56*G1211</x:f>
        <x:v>0.7</x:v>
      </x:c>
      <x:c r="W1211" s="15" t="n">
        <x:f>'기준스탯 72종'!I56*G1211</x:f>
        <x:v>0.5599999999999999</x:v>
      </x:c>
      <x:c r="X1211" s="15" t="n">
        <x:f>'기준스탯 72종'!J56*G1211</x:f>
        <x:v>0.5599999999999999</x:v>
      </x:c>
      <x:c r="Y1211" s="15" t="n">
        <x:f>'기준스탯 72종'!K56*G1211</x:f>
        <x:v>0.41999999999999993</x:v>
      </x:c>
      <x:c r="Z1211" s="15" t="n">
        <x:f>'기준스탯 72종'!D56*H1211</x:f>
        <x:v>1.6800000000000004</x:v>
      </x:c>
      <x:c r="AA1211" s="15" t="n">
        <x:f>'기준스탯 72종'!E56*H1211</x:f>
        <x:v>1.6800000000000004</x:v>
      </x:c>
      <x:c r="AB1211" s="15" t="n">
        <x:f>'기준스탯 72종'!F56*H1211</x:f>
        <x:v>1.9200000000000004</x:v>
      </x:c>
      <x:c r="AC1211" s="15" t="n">
        <x:f>'기준스탯 72종'!G56*H1211</x:f>
        <x:v>1.9200000000000004</x:v>
      </x:c>
      <x:c r="AD1211" s="15" t="n">
        <x:f>'기준스탯 72종'!H56*H1211</x:f>
        <x:v>1.2000000000000002</x:v>
      </x:c>
      <x:c r="AE1211" s="15" t="n">
        <x:f>'기준스탯 72종'!I56*H1211</x:f>
        <x:v>0.9600000000000002</x:v>
      </x:c>
      <x:c r="AF1211" s="15" t="n">
        <x:f>'기준스탯 72종'!J56*H1211</x:f>
        <x:v>0.9600000000000002</x:v>
      </x:c>
      <x:c r="AG1211" s="15" t="n">
        <x:f>'기준스탯 72종'!K56*H1211</x:f>
        <x:v>0.7200000000000002</x:v>
      </x:c>
    </x:row>
    <x:row r="1212" ht="28" customHeight="1">
      <x:c r="A1212" s="2" t="n">
        <x:v>1205</x:v>
      </x:c>
      <x:c r="B1212" s="2" t="n">
        <x:v>49</x:v>
      </x:c>
      <x:c r="C1212" s="2" t="str">
        <x:v>사수자리</x:v>
      </x:c>
      <x:c r="D1212" s="2" t="str">
        <x:v>기사</x:v>
      </x:c>
      <x:c r="E1212" s="2" t="n">
        <x:v>5</x:v>
      </x:c>
      <x:c r="F1212" s="2" t="n">
        <x:v>1</x:v>
      </x:c>
      <x:c r="G1212" s="14" t="n">
        <x:f>('레벨 계산식'!$E$4-E1212)*'레벨 계산식'!$B$5</x:f>
        <x:v>0</x:v>
      </x:c>
      <x:c r="H1212" s="14" t="n">
        <x:f>('등급 계산식'!$E$4-F1212)*'등급 계산식'!$B$5</x:f>
        <x:v>0.24000000000000005</x:v>
      </x:c>
      <x:c r="I1212" s="14" t="n">
        <x:f>1-G1212-H1212</x:f>
        <x:v>0.76</x:v>
      </x:c>
      <x:c r="J1212" s="2" t="n">
        <x:f>MAX(1,ROUND('기준스탯 72종'!D56-R1212-Z1212,0))</x:f>
        <x:v>5</x:v>
      </x:c>
      <x:c r="K1212" s="2" t="n">
        <x:f>MAX(1,ROUND('기준스탯 72종'!E56-S1212-AA1212,0))</x:f>
        <x:v>5</x:v>
      </x:c>
      <x:c r="L1212" s="2" t="n">
        <x:f>MAX(1,ROUND('기준스탯 72종'!F56-T1212-AB1212,0))</x:f>
        <x:v>6</x:v>
      </x:c>
      <x:c r="M1212" s="2" t="n">
        <x:f>MAX(1,ROUND('기준스탯 72종'!G56-U1212-AC1212,0))</x:f>
        <x:v>6</x:v>
      </x:c>
      <x:c r="N1212" s="2" t="n">
        <x:f>MAX(0,ROUND('기준스탯 72종'!H56-V1212-AD1212,0))</x:f>
        <x:v>4</x:v>
      </x:c>
      <x:c r="O1212" s="2" t="n">
        <x:f>MAX(0,ROUND('기준스탯 72종'!I56-W1212-AE1212,0))</x:f>
        <x:v>3</x:v>
      </x:c>
      <x:c r="P1212" s="2" t="n">
        <x:f>MAX(0,ROUND('기준스탯 72종'!J56-X1212-AF1212,0))</x:f>
        <x:v>3</x:v>
      </x:c>
      <x:c r="Q1212" s="2" t="n">
        <x:f>MAX(0,ROUND('기준스탯 72종'!K56-Y1212-AG1212,0))</x:f>
        <x:v>2</x:v>
      </x:c>
      <x:c r="R1212" s="15" t="n">
        <x:f>'기준스탯 72종'!D56*G1212</x:f>
        <x:v>0</x:v>
      </x:c>
      <x:c r="S1212" s="15" t="n">
        <x:f>'기준스탯 72종'!E56*G1212</x:f>
        <x:v>0</x:v>
      </x:c>
      <x:c r="T1212" s="15" t="n">
        <x:f>'기준스탯 72종'!F56*G1212</x:f>
        <x:v>0</x:v>
      </x:c>
      <x:c r="U1212" s="15" t="n">
        <x:f>'기준스탯 72종'!G56*G1212</x:f>
        <x:v>0</x:v>
      </x:c>
      <x:c r="V1212" s="15" t="n">
        <x:f>'기준스탯 72종'!H56*G1212</x:f>
        <x:v>0</x:v>
      </x:c>
      <x:c r="W1212" s="15" t="n">
        <x:f>'기준스탯 72종'!I56*G1212</x:f>
        <x:v>0</x:v>
      </x:c>
      <x:c r="X1212" s="15" t="n">
        <x:f>'기준스탯 72종'!J56*G1212</x:f>
        <x:v>0</x:v>
      </x:c>
      <x:c r="Y1212" s="15" t="n">
        <x:f>'기준스탯 72종'!K56*G1212</x:f>
        <x:v>0</x:v>
      </x:c>
      <x:c r="Z1212" s="15" t="n">
        <x:f>'기준스탯 72종'!D56*H1212</x:f>
        <x:v>1.6800000000000004</x:v>
      </x:c>
      <x:c r="AA1212" s="15" t="n">
        <x:f>'기준스탯 72종'!E56*H1212</x:f>
        <x:v>1.6800000000000004</x:v>
      </x:c>
      <x:c r="AB1212" s="15" t="n">
        <x:f>'기준스탯 72종'!F56*H1212</x:f>
        <x:v>1.9200000000000004</x:v>
      </x:c>
      <x:c r="AC1212" s="15" t="n">
        <x:f>'기준스탯 72종'!G56*H1212</x:f>
        <x:v>1.9200000000000004</x:v>
      </x:c>
      <x:c r="AD1212" s="15" t="n">
        <x:f>'기준스탯 72종'!H56*H1212</x:f>
        <x:v>1.2000000000000002</x:v>
      </x:c>
      <x:c r="AE1212" s="15" t="n">
        <x:f>'기준스탯 72종'!I56*H1212</x:f>
        <x:v>0.9600000000000002</x:v>
      </x:c>
      <x:c r="AF1212" s="15" t="n">
        <x:f>'기준스탯 72종'!J56*H1212</x:f>
        <x:v>0.9600000000000002</x:v>
      </x:c>
      <x:c r="AG1212" s="15" t="n">
        <x:f>'기준스탯 72종'!K56*H1212</x:f>
        <x:v>0.7200000000000002</x:v>
      </x:c>
    </x:row>
    <x:row r="1213" ht="28" customHeight="1">
      <x:c r="A1213" s="2" t="n">
        <x:v>1206</x:v>
      </x:c>
      <x:c r="B1213" s="2" t="n">
        <x:v>49</x:v>
      </x:c>
      <x:c r="C1213" s="2" t="str">
        <x:v>사수자리</x:v>
      </x:c>
      <x:c r="D1213" s="2" t="str">
        <x:v>기사</x:v>
      </x:c>
      <x:c r="E1213" s="2" t="n">
        <x:v>1</x:v>
      </x:c>
      <x:c r="F1213" s="2" t="n">
        <x:v>2</x:v>
      </x:c>
      <x:c r="G1213" s="14" t="n">
        <x:f>('레벨 계산식'!$E$4-E1213)*'레벨 계산식'!$B$5</x:f>
        <x:v>0.5599999999999999</x:v>
      </x:c>
      <x:c r="H1213" s="14" t="n">
        <x:f>('등급 계산식'!$E$4-F1213)*'등급 계산식'!$B$5</x:f>
        <x:v>0.18000000000000005</x:v>
      </x:c>
      <x:c r="I1213" s="14" t="n">
        <x:f>1-G1213-H1213</x:f>
        <x:v>0.26</x:v>
      </x:c>
      <x:c r="J1213" s="2" t="n">
        <x:f>MAX(1,ROUND('기준스탯 72종'!D56-R1213-Z1213,0))</x:f>
        <x:v>2</x:v>
      </x:c>
      <x:c r="K1213" s="2" t="n">
        <x:f>MAX(1,ROUND('기준스탯 72종'!E56-S1213-AA1213,0))</x:f>
        <x:v>2</x:v>
      </x:c>
      <x:c r="L1213" s="2" t="n">
        <x:f>MAX(1,ROUND('기준스탯 72종'!F56-T1213-AB1213,0))</x:f>
        <x:v>2</x:v>
      </x:c>
      <x:c r="M1213" s="2" t="n">
        <x:f>MAX(1,ROUND('기준스탯 72종'!G56-U1213-AC1213,0))</x:f>
        <x:v>2</x:v>
      </x:c>
      <x:c r="N1213" s="2" t="n">
        <x:f>MAX(0,ROUND('기준스탯 72종'!H56-V1213-AD1213,0))</x:f>
        <x:v>1</x:v>
      </x:c>
      <x:c r="O1213" s="2" t="n">
        <x:f>MAX(0,ROUND('기준스탯 72종'!I56-W1213-AE1213,0))</x:f>
        <x:v>1</x:v>
      </x:c>
      <x:c r="P1213" s="2" t="n">
        <x:f>MAX(0,ROUND('기준스탯 72종'!J56-X1213-AF1213,0))</x:f>
        <x:v>1</x:v>
      </x:c>
      <x:c r="Q1213" s="2" t="n">
        <x:f>MAX(0,ROUND('기준스탯 72종'!K56-Y1213-AG1213,0))</x:f>
        <x:v>1</x:v>
      </x:c>
      <x:c r="R1213" s="15" t="n">
        <x:f>'기준스탯 72종'!D56*G1213</x:f>
        <x:v>3.9199999999999995</x:v>
      </x:c>
      <x:c r="S1213" s="15" t="n">
        <x:f>'기준스탯 72종'!E56*G1213</x:f>
        <x:v>3.9199999999999995</x:v>
      </x:c>
      <x:c r="T1213" s="15" t="n">
        <x:f>'기준스탯 72종'!F56*G1213</x:f>
        <x:v>4.4799999999999995</x:v>
      </x:c>
      <x:c r="U1213" s="15" t="n">
        <x:f>'기준스탯 72종'!G56*G1213</x:f>
        <x:v>4.4799999999999995</x:v>
      </x:c>
      <x:c r="V1213" s="15" t="n">
        <x:f>'기준스탯 72종'!H56*G1213</x:f>
        <x:v>2.8</x:v>
      </x:c>
      <x:c r="W1213" s="15" t="n">
        <x:f>'기준스탯 72종'!I56*G1213</x:f>
        <x:v>2.2399999999999998</x:v>
      </x:c>
      <x:c r="X1213" s="15" t="n">
        <x:f>'기준스탯 72종'!J56*G1213</x:f>
        <x:v>2.2399999999999998</x:v>
      </x:c>
      <x:c r="Y1213" s="15" t="n">
        <x:f>'기준스탯 72종'!K56*G1213</x:f>
        <x:v>1.6799999999999997</x:v>
      </x:c>
      <x:c r="Z1213" s="15" t="n">
        <x:f>'기준스탯 72종'!D56*H1213</x:f>
        <x:v>1.2600000000000002</x:v>
      </x:c>
      <x:c r="AA1213" s="15" t="n">
        <x:f>'기준스탯 72종'!E56*H1213</x:f>
        <x:v>1.2600000000000002</x:v>
      </x:c>
      <x:c r="AB1213" s="15" t="n">
        <x:f>'기준스탯 72종'!F56*H1213</x:f>
        <x:v>1.4400000000000004</x:v>
      </x:c>
      <x:c r="AC1213" s="15" t="n">
        <x:f>'기준스탯 72종'!G56*H1213</x:f>
        <x:v>1.4400000000000004</x:v>
      </x:c>
      <x:c r="AD1213" s="15" t="n">
        <x:f>'기준스탯 72종'!H56*H1213</x:f>
        <x:v>0.9000000000000002</x:v>
      </x:c>
      <x:c r="AE1213" s="15" t="n">
        <x:f>'기준스탯 72종'!I56*H1213</x:f>
        <x:v>0.7200000000000002</x:v>
      </x:c>
      <x:c r="AF1213" s="15" t="n">
        <x:f>'기준스탯 72종'!J56*H1213</x:f>
        <x:v>0.7200000000000002</x:v>
      </x:c>
      <x:c r="AG1213" s="15" t="n">
        <x:f>'기준스탯 72종'!K56*H1213</x:f>
        <x:v>0.5400000000000001</x:v>
      </x:c>
    </x:row>
    <x:row r="1214" ht="28" customHeight="1">
      <x:c r="A1214" s="2" t="n">
        <x:v>1207</x:v>
      </x:c>
      <x:c r="B1214" s="2" t="n">
        <x:v>49</x:v>
      </x:c>
      <x:c r="C1214" s="2" t="str">
        <x:v>사수자리</x:v>
      </x:c>
      <x:c r="D1214" s="2" t="str">
        <x:v>기사</x:v>
      </x:c>
      <x:c r="E1214" s="2" t="n">
        <x:v>2</x:v>
      </x:c>
      <x:c r="F1214" s="2" t="n">
        <x:v>2</x:v>
      </x:c>
      <x:c r="G1214" s="14" t="n">
        <x:f>('레벨 계산식'!$E$4-E1214)*'레벨 계산식'!$B$5</x:f>
        <x:v>0.41999999999999993</x:v>
      </x:c>
      <x:c r="H1214" s="14" t="n">
        <x:f>('등급 계산식'!$E$4-F1214)*'등급 계산식'!$B$5</x:f>
        <x:v>0.18000000000000005</x:v>
      </x:c>
      <x:c r="I1214" s="14" t="n">
        <x:f>1-G1214-H1214</x:f>
        <x:v>0.4</x:v>
      </x:c>
      <x:c r="J1214" s="2" t="n">
        <x:f>MAX(1,ROUND('기준스탯 72종'!D56-R1214-Z1214,0))</x:f>
        <x:v>3</x:v>
      </x:c>
      <x:c r="K1214" s="2" t="n">
        <x:f>MAX(1,ROUND('기준스탯 72종'!E56-S1214-AA1214,0))</x:f>
        <x:v>3</x:v>
      </x:c>
      <x:c r="L1214" s="2" t="n">
        <x:f>MAX(1,ROUND('기준스탯 72종'!F56-T1214-AB1214,0))</x:f>
        <x:v>3</x:v>
      </x:c>
      <x:c r="M1214" s="2" t="n">
        <x:f>MAX(1,ROUND('기준스탯 72종'!G56-U1214-AC1214,0))</x:f>
        <x:v>3</x:v>
      </x:c>
      <x:c r="N1214" s="2" t="n">
        <x:f>MAX(0,ROUND('기준스탯 72종'!H56-V1214-AD1214,0))</x:f>
        <x:v>2</x:v>
      </x:c>
      <x:c r="O1214" s="2" t="n">
        <x:f>MAX(0,ROUND('기준스탯 72종'!I56-W1214-AE1214,0))</x:f>
        <x:v>2</x:v>
      </x:c>
      <x:c r="P1214" s="2" t="n">
        <x:f>MAX(0,ROUND('기준스탯 72종'!J56-X1214-AF1214,0))</x:f>
        <x:v>2</x:v>
      </x:c>
      <x:c r="Q1214" s="2" t="n">
        <x:f>MAX(0,ROUND('기준스탯 72종'!K56-Y1214-AG1214,0))</x:f>
        <x:v>1</x:v>
      </x:c>
      <x:c r="R1214" s="15" t="n">
        <x:f>'기준스탯 72종'!D56*G1214</x:f>
        <x:v>2.9399999999999995</x:v>
      </x:c>
      <x:c r="S1214" s="15" t="n">
        <x:f>'기준스탯 72종'!E56*G1214</x:f>
        <x:v>2.9399999999999995</x:v>
      </x:c>
      <x:c r="T1214" s="15" t="n">
        <x:f>'기준스탯 72종'!F56*G1214</x:f>
        <x:v>3.3599999999999994</x:v>
      </x:c>
      <x:c r="U1214" s="15" t="n">
        <x:f>'기준스탯 72종'!G56*G1214</x:f>
        <x:v>3.3599999999999994</x:v>
      </x:c>
      <x:c r="V1214" s="15" t="n">
        <x:f>'기준스탯 72종'!H56*G1214</x:f>
        <x:v>2.0999999999999996</x:v>
      </x:c>
      <x:c r="W1214" s="15" t="n">
        <x:f>'기준스탯 72종'!I56*G1214</x:f>
        <x:v>1.6799999999999997</x:v>
      </x:c>
      <x:c r="X1214" s="15" t="n">
        <x:f>'기준스탯 72종'!J56*G1214</x:f>
        <x:v>1.6799999999999997</x:v>
      </x:c>
      <x:c r="Y1214" s="15" t="n">
        <x:f>'기준스탯 72종'!K56*G1214</x:f>
        <x:v>1.2599999999999998</x:v>
      </x:c>
      <x:c r="Z1214" s="15" t="n">
        <x:f>'기준스탯 72종'!D56*H1214</x:f>
        <x:v>1.2600000000000002</x:v>
      </x:c>
      <x:c r="AA1214" s="15" t="n">
        <x:f>'기준스탯 72종'!E56*H1214</x:f>
        <x:v>1.2600000000000002</x:v>
      </x:c>
      <x:c r="AB1214" s="15" t="n">
        <x:f>'기준스탯 72종'!F56*H1214</x:f>
        <x:v>1.4400000000000004</x:v>
      </x:c>
      <x:c r="AC1214" s="15" t="n">
        <x:f>'기준스탯 72종'!G56*H1214</x:f>
        <x:v>1.4400000000000004</x:v>
      </x:c>
      <x:c r="AD1214" s="15" t="n">
        <x:f>'기준스탯 72종'!H56*H1214</x:f>
        <x:v>0.9000000000000002</x:v>
      </x:c>
      <x:c r="AE1214" s="15" t="n">
        <x:f>'기준스탯 72종'!I56*H1214</x:f>
        <x:v>0.7200000000000002</x:v>
      </x:c>
      <x:c r="AF1214" s="15" t="n">
        <x:f>'기준스탯 72종'!J56*H1214</x:f>
        <x:v>0.7200000000000002</x:v>
      </x:c>
      <x:c r="AG1214" s="15" t="n">
        <x:f>'기준스탯 72종'!K56*H1214</x:f>
        <x:v>0.5400000000000001</x:v>
      </x:c>
    </x:row>
    <x:row r="1215" ht="28" customHeight="1">
      <x:c r="A1215" s="2" t="n">
        <x:v>1208</x:v>
      </x:c>
      <x:c r="B1215" s="2" t="n">
        <x:v>49</x:v>
      </x:c>
      <x:c r="C1215" s="2" t="str">
        <x:v>사수자리</x:v>
      </x:c>
      <x:c r="D1215" s="2" t="str">
        <x:v>기사</x:v>
      </x:c>
      <x:c r="E1215" s="2" t="n">
        <x:v>3</x:v>
      </x:c>
      <x:c r="F1215" s="2" t="n">
        <x:v>2</x:v>
      </x:c>
      <x:c r="G1215" s="14" t="n">
        <x:f>('레벨 계산식'!$E$4-E1215)*'레벨 계산식'!$B$5</x:f>
        <x:v>0.27999999999999997</x:v>
      </x:c>
      <x:c r="H1215" s="14" t="n">
        <x:f>('등급 계산식'!$E$4-F1215)*'등급 계산식'!$B$5</x:f>
        <x:v>0.18000000000000005</x:v>
      </x:c>
      <x:c r="I1215" s="14" t="n">
        <x:f>1-G1215-H1215</x:f>
        <x:v>0.5399999999999999</x:v>
      </x:c>
      <x:c r="J1215" s="2" t="n">
        <x:f>MAX(1,ROUND('기준스탯 72종'!D56-R1215-Z1215,0))</x:f>
        <x:v>4</x:v>
      </x:c>
      <x:c r="K1215" s="2" t="n">
        <x:f>MAX(1,ROUND('기준스탯 72종'!E56-S1215-AA1215,0))</x:f>
        <x:v>4</x:v>
      </x:c>
      <x:c r="L1215" s="2" t="n">
        <x:f>MAX(1,ROUND('기준스탯 72종'!F56-T1215-AB1215,0))</x:f>
        <x:v>4</x:v>
      </x:c>
      <x:c r="M1215" s="2" t="n">
        <x:f>MAX(1,ROUND('기준스탯 72종'!G56-U1215-AC1215,0))</x:f>
        <x:v>4</x:v>
      </x:c>
      <x:c r="N1215" s="2" t="n">
        <x:f>MAX(0,ROUND('기준스탯 72종'!H56-V1215-AD1215,0))</x:f>
        <x:v>3</x:v>
      </x:c>
      <x:c r="O1215" s="2" t="n">
        <x:f>MAX(0,ROUND('기준스탯 72종'!I56-W1215-AE1215,0))</x:f>
        <x:v>2</x:v>
      </x:c>
      <x:c r="P1215" s="2" t="n">
        <x:f>MAX(0,ROUND('기준스탯 72종'!J56-X1215-AF1215,0))</x:f>
        <x:v>2</x:v>
      </x:c>
      <x:c r="Q1215" s="2" t="n">
        <x:f>MAX(0,ROUND('기준스탯 72종'!K56-Y1215-AG1215,0))</x:f>
        <x:v>2</x:v>
      </x:c>
      <x:c r="R1215" s="15" t="n">
        <x:f>'기준스탯 72종'!D56*G1215</x:f>
        <x:v>1.9599999999999997</x:v>
      </x:c>
      <x:c r="S1215" s="15" t="n">
        <x:f>'기준스탯 72종'!E56*G1215</x:f>
        <x:v>1.9599999999999997</x:v>
      </x:c>
      <x:c r="T1215" s="15" t="n">
        <x:f>'기준스탯 72종'!F56*G1215</x:f>
        <x:v>2.2399999999999998</x:v>
      </x:c>
      <x:c r="U1215" s="15" t="n">
        <x:f>'기준스탯 72종'!G56*G1215</x:f>
        <x:v>2.2399999999999998</x:v>
      </x:c>
      <x:c r="V1215" s="15" t="n">
        <x:f>'기준스탯 72종'!H56*G1215</x:f>
        <x:v>1.4</x:v>
      </x:c>
      <x:c r="W1215" s="15" t="n">
        <x:f>'기준스탯 72종'!I56*G1215</x:f>
        <x:v>1.1199999999999999</x:v>
      </x:c>
      <x:c r="X1215" s="15" t="n">
        <x:f>'기준스탯 72종'!J56*G1215</x:f>
        <x:v>1.1199999999999999</x:v>
      </x:c>
      <x:c r="Y1215" s="15" t="n">
        <x:f>'기준스탯 72종'!K56*G1215</x:f>
        <x:v>0.8399999999999999</x:v>
      </x:c>
      <x:c r="Z1215" s="15" t="n">
        <x:f>'기준스탯 72종'!D56*H1215</x:f>
        <x:v>1.2600000000000002</x:v>
      </x:c>
      <x:c r="AA1215" s="15" t="n">
        <x:f>'기준스탯 72종'!E56*H1215</x:f>
        <x:v>1.2600000000000002</x:v>
      </x:c>
      <x:c r="AB1215" s="15" t="n">
        <x:f>'기준스탯 72종'!F56*H1215</x:f>
        <x:v>1.4400000000000004</x:v>
      </x:c>
      <x:c r="AC1215" s="15" t="n">
        <x:f>'기준스탯 72종'!G56*H1215</x:f>
        <x:v>1.4400000000000004</x:v>
      </x:c>
      <x:c r="AD1215" s="15" t="n">
        <x:f>'기준스탯 72종'!H56*H1215</x:f>
        <x:v>0.9000000000000002</x:v>
      </x:c>
      <x:c r="AE1215" s="15" t="n">
        <x:f>'기준스탯 72종'!I56*H1215</x:f>
        <x:v>0.7200000000000002</x:v>
      </x:c>
      <x:c r="AF1215" s="15" t="n">
        <x:f>'기준스탯 72종'!J56*H1215</x:f>
        <x:v>0.7200000000000002</x:v>
      </x:c>
      <x:c r="AG1215" s="15" t="n">
        <x:f>'기준스탯 72종'!K56*H1215</x:f>
        <x:v>0.5400000000000001</x:v>
      </x:c>
    </x:row>
    <x:row r="1216" ht="28" customHeight="1">
      <x:c r="A1216" s="2" t="n">
        <x:v>1209</x:v>
      </x:c>
      <x:c r="B1216" s="2" t="n">
        <x:v>49</x:v>
      </x:c>
      <x:c r="C1216" s="2" t="str">
        <x:v>사수자리</x:v>
      </x:c>
      <x:c r="D1216" s="2" t="str">
        <x:v>기사</x:v>
      </x:c>
      <x:c r="E1216" s="2" t="n">
        <x:v>4</x:v>
      </x:c>
      <x:c r="F1216" s="2" t="n">
        <x:v>2</x:v>
      </x:c>
      <x:c r="G1216" s="14" t="n">
        <x:f>('레벨 계산식'!$E$4-E1216)*'레벨 계산식'!$B$5</x:f>
        <x:v>0.13999999999999999</x:v>
      </x:c>
      <x:c r="H1216" s="14" t="n">
        <x:f>('등급 계산식'!$E$4-F1216)*'등급 계산식'!$B$5</x:f>
        <x:v>0.18000000000000005</x:v>
      </x:c>
      <x:c r="I1216" s="14" t="n">
        <x:f>1-G1216-H1216</x:f>
        <x:v>0.6799999999999999</x:v>
      </x:c>
      <x:c r="J1216" s="2" t="n">
        <x:f>MAX(1,ROUND('기준스탯 72종'!D56-R1216-Z1216,0))</x:f>
        <x:v>5</x:v>
      </x:c>
      <x:c r="K1216" s="2" t="n">
        <x:f>MAX(1,ROUND('기준스탯 72종'!E56-S1216-AA1216,0))</x:f>
        <x:v>5</x:v>
      </x:c>
      <x:c r="L1216" s="2" t="n">
        <x:f>MAX(1,ROUND('기준스탯 72종'!F56-T1216-AB1216,0))</x:f>
        <x:v>5</x:v>
      </x:c>
      <x:c r="M1216" s="2" t="n">
        <x:f>MAX(1,ROUND('기준스탯 72종'!G56-U1216-AC1216,0))</x:f>
        <x:v>5</x:v>
      </x:c>
      <x:c r="N1216" s="2" t="n">
        <x:f>MAX(0,ROUND('기준스탯 72종'!H56-V1216-AD1216,0))</x:f>
        <x:v>3</x:v>
      </x:c>
      <x:c r="O1216" s="2" t="n">
        <x:f>MAX(0,ROUND('기준스탯 72종'!I56-W1216-AE1216,0))</x:f>
        <x:v>3</x:v>
      </x:c>
      <x:c r="P1216" s="2" t="n">
        <x:f>MAX(0,ROUND('기준스탯 72종'!J56-X1216-AF1216,0))</x:f>
        <x:v>3</x:v>
      </x:c>
      <x:c r="Q1216" s="2" t="n">
        <x:f>MAX(0,ROUND('기준스탯 72종'!K56-Y1216-AG1216,0))</x:f>
        <x:v>2</x:v>
      </x:c>
      <x:c r="R1216" s="15" t="n">
        <x:f>'기준스탯 72종'!D56*G1216</x:f>
        <x:v>0.9799999999999999</x:v>
      </x:c>
      <x:c r="S1216" s="15" t="n">
        <x:f>'기준스탯 72종'!E56*G1216</x:f>
        <x:v>0.9799999999999999</x:v>
      </x:c>
      <x:c r="T1216" s="15" t="n">
        <x:f>'기준스탯 72종'!F56*G1216</x:f>
        <x:v>1.1199999999999999</x:v>
      </x:c>
      <x:c r="U1216" s="15" t="n">
        <x:f>'기준스탯 72종'!G56*G1216</x:f>
        <x:v>1.1199999999999999</x:v>
      </x:c>
      <x:c r="V1216" s="15" t="n">
        <x:f>'기준스탯 72종'!H56*G1216</x:f>
        <x:v>0.7</x:v>
      </x:c>
      <x:c r="W1216" s="15" t="n">
        <x:f>'기준스탯 72종'!I56*G1216</x:f>
        <x:v>0.5599999999999999</x:v>
      </x:c>
      <x:c r="X1216" s="15" t="n">
        <x:f>'기준스탯 72종'!J56*G1216</x:f>
        <x:v>0.5599999999999999</x:v>
      </x:c>
      <x:c r="Y1216" s="15" t="n">
        <x:f>'기준스탯 72종'!K56*G1216</x:f>
        <x:v>0.41999999999999993</x:v>
      </x:c>
      <x:c r="Z1216" s="15" t="n">
        <x:f>'기준스탯 72종'!D56*H1216</x:f>
        <x:v>1.2600000000000002</x:v>
      </x:c>
      <x:c r="AA1216" s="15" t="n">
        <x:f>'기준스탯 72종'!E56*H1216</x:f>
        <x:v>1.2600000000000002</x:v>
      </x:c>
      <x:c r="AB1216" s="15" t="n">
        <x:f>'기준스탯 72종'!F56*H1216</x:f>
        <x:v>1.4400000000000004</x:v>
      </x:c>
      <x:c r="AC1216" s="15" t="n">
        <x:f>'기준스탯 72종'!G56*H1216</x:f>
        <x:v>1.4400000000000004</x:v>
      </x:c>
      <x:c r="AD1216" s="15" t="n">
        <x:f>'기준스탯 72종'!H56*H1216</x:f>
        <x:v>0.9000000000000002</x:v>
      </x:c>
      <x:c r="AE1216" s="15" t="n">
        <x:f>'기준스탯 72종'!I56*H1216</x:f>
        <x:v>0.7200000000000002</x:v>
      </x:c>
      <x:c r="AF1216" s="15" t="n">
        <x:f>'기준스탯 72종'!J56*H1216</x:f>
        <x:v>0.7200000000000002</x:v>
      </x:c>
      <x:c r="AG1216" s="15" t="n">
        <x:f>'기준스탯 72종'!K56*H1216</x:f>
        <x:v>0.5400000000000001</x:v>
      </x:c>
    </x:row>
    <x:row r="1217" ht="28" customHeight="1">
      <x:c r="A1217" s="2" t="n">
        <x:v>1210</x:v>
      </x:c>
      <x:c r="B1217" s="2" t="n">
        <x:v>49</x:v>
      </x:c>
      <x:c r="C1217" s="2" t="str">
        <x:v>사수자리</x:v>
      </x:c>
      <x:c r="D1217" s="2" t="str">
        <x:v>기사</x:v>
      </x:c>
      <x:c r="E1217" s="2" t="n">
        <x:v>5</x:v>
      </x:c>
      <x:c r="F1217" s="2" t="n">
        <x:v>2</x:v>
      </x:c>
      <x:c r="G1217" s="14" t="n">
        <x:f>('레벨 계산식'!$E$4-E1217)*'레벨 계산식'!$B$5</x:f>
        <x:v>0</x:v>
      </x:c>
      <x:c r="H1217" s="14" t="n">
        <x:f>('등급 계산식'!$E$4-F1217)*'등급 계산식'!$B$5</x:f>
        <x:v>0.18000000000000005</x:v>
      </x:c>
      <x:c r="I1217" s="14" t="n">
        <x:f>1-G1217-H1217</x:f>
        <x:v>0.82</x:v>
      </x:c>
      <x:c r="J1217" s="2" t="n">
        <x:f>MAX(1,ROUND('기준스탯 72종'!D56-R1217-Z1217,0))</x:f>
        <x:v>6</x:v>
      </x:c>
      <x:c r="K1217" s="2" t="n">
        <x:f>MAX(1,ROUND('기준스탯 72종'!E56-S1217-AA1217,0))</x:f>
        <x:v>6</x:v>
      </x:c>
      <x:c r="L1217" s="2" t="n">
        <x:f>MAX(1,ROUND('기준스탯 72종'!F56-T1217-AB1217,0))</x:f>
        <x:v>7</x:v>
      </x:c>
      <x:c r="M1217" s="2" t="n">
        <x:f>MAX(1,ROUND('기준스탯 72종'!G56-U1217-AC1217,0))</x:f>
        <x:v>7</x:v>
      </x:c>
      <x:c r="N1217" s="2" t="n">
        <x:f>MAX(0,ROUND('기준스탯 72종'!H56-V1217-AD1217,0))</x:f>
        <x:v>4</x:v>
      </x:c>
      <x:c r="O1217" s="2" t="n">
        <x:f>MAX(0,ROUND('기준스탯 72종'!I56-W1217-AE1217,0))</x:f>
        <x:v>3</x:v>
      </x:c>
      <x:c r="P1217" s="2" t="n">
        <x:f>MAX(0,ROUND('기준스탯 72종'!J56-X1217-AF1217,0))</x:f>
        <x:v>3</x:v>
      </x:c>
      <x:c r="Q1217" s="2" t="n">
        <x:f>MAX(0,ROUND('기준스탯 72종'!K56-Y1217-AG1217,0))</x:f>
        <x:v>2</x:v>
      </x:c>
      <x:c r="R1217" s="15" t="n">
        <x:f>'기준스탯 72종'!D56*G1217</x:f>
        <x:v>0</x:v>
      </x:c>
      <x:c r="S1217" s="15" t="n">
        <x:f>'기준스탯 72종'!E56*G1217</x:f>
        <x:v>0</x:v>
      </x:c>
      <x:c r="T1217" s="15" t="n">
        <x:f>'기준스탯 72종'!F56*G1217</x:f>
        <x:v>0</x:v>
      </x:c>
      <x:c r="U1217" s="15" t="n">
        <x:f>'기준스탯 72종'!G56*G1217</x:f>
        <x:v>0</x:v>
      </x:c>
      <x:c r="V1217" s="15" t="n">
        <x:f>'기준스탯 72종'!H56*G1217</x:f>
        <x:v>0</x:v>
      </x:c>
      <x:c r="W1217" s="15" t="n">
        <x:f>'기준스탯 72종'!I56*G1217</x:f>
        <x:v>0</x:v>
      </x:c>
      <x:c r="X1217" s="15" t="n">
        <x:f>'기준스탯 72종'!J56*G1217</x:f>
        <x:v>0</x:v>
      </x:c>
      <x:c r="Y1217" s="15" t="n">
        <x:f>'기준스탯 72종'!K56*G1217</x:f>
        <x:v>0</x:v>
      </x:c>
      <x:c r="Z1217" s="15" t="n">
        <x:f>'기준스탯 72종'!D56*H1217</x:f>
        <x:v>1.2600000000000002</x:v>
      </x:c>
      <x:c r="AA1217" s="15" t="n">
        <x:f>'기준스탯 72종'!E56*H1217</x:f>
        <x:v>1.2600000000000002</x:v>
      </x:c>
      <x:c r="AB1217" s="15" t="n">
        <x:f>'기준스탯 72종'!F56*H1217</x:f>
        <x:v>1.4400000000000004</x:v>
      </x:c>
      <x:c r="AC1217" s="15" t="n">
        <x:f>'기준스탯 72종'!G56*H1217</x:f>
        <x:v>1.4400000000000004</x:v>
      </x:c>
      <x:c r="AD1217" s="15" t="n">
        <x:f>'기준스탯 72종'!H56*H1217</x:f>
        <x:v>0.9000000000000002</x:v>
      </x:c>
      <x:c r="AE1217" s="15" t="n">
        <x:f>'기준스탯 72종'!I56*H1217</x:f>
        <x:v>0.7200000000000002</x:v>
      </x:c>
      <x:c r="AF1217" s="15" t="n">
        <x:f>'기준스탯 72종'!J56*H1217</x:f>
        <x:v>0.7200000000000002</x:v>
      </x:c>
      <x:c r="AG1217" s="15" t="n">
        <x:f>'기준스탯 72종'!K56*H1217</x:f>
        <x:v>0.5400000000000001</x:v>
      </x:c>
    </x:row>
    <x:row r="1218" ht="28" customHeight="1">
      <x:c r="A1218" s="2" t="n">
        <x:v>1211</x:v>
      </x:c>
      <x:c r="B1218" s="2" t="n">
        <x:v>49</x:v>
      </x:c>
      <x:c r="C1218" s="2" t="str">
        <x:v>사수자리</x:v>
      </x:c>
      <x:c r="D1218" s="2" t="str">
        <x:v>기사</x:v>
      </x:c>
      <x:c r="E1218" s="2" t="n">
        <x:v>1</x:v>
      </x:c>
      <x:c r="F1218" s="2" t="n">
        <x:v>3</x:v>
      </x:c>
      <x:c r="G1218" s="14" t="n">
        <x:f>('레벨 계산식'!$E$4-E1218)*'레벨 계산식'!$B$5</x:f>
        <x:v>0.5599999999999999</x:v>
      </x:c>
      <x:c r="H1218" s="14" t="n">
        <x:f>('등급 계산식'!$E$4-F1218)*'등급 계산식'!$B$5</x:f>
        <x:v>0.12000000000000002</x:v>
      </x:c>
      <x:c r="I1218" s="14" t="n">
        <x:f>1-G1218-H1218</x:f>
        <x:v>0.32000000000000006</x:v>
      </x:c>
      <x:c r="J1218" s="2" t="n">
        <x:f>MAX(1,ROUND('기준스탯 72종'!D56-R1218-Z1218,0))</x:f>
        <x:v>2</x:v>
      </x:c>
      <x:c r="K1218" s="2" t="n">
        <x:f>MAX(1,ROUND('기준스탯 72종'!E56-S1218-AA1218,0))</x:f>
        <x:v>2</x:v>
      </x:c>
      <x:c r="L1218" s="2" t="n">
        <x:f>MAX(1,ROUND('기준스탯 72종'!F56-T1218-AB1218,0))</x:f>
        <x:v>3</x:v>
      </x:c>
      <x:c r="M1218" s="2" t="n">
        <x:f>MAX(1,ROUND('기준스탯 72종'!G56-U1218-AC1218,0))</x:f>
        <x:v>3</x:v>
      </x:c>
      <x:c r="N1218" s="2" t="n">
        <x:f>MAX(0,ROUND('기준스탯 72종'!H56-V1218-AD1218,0))</x:f>
        <x:v>2</x:v>
      </x:c>
      <x:c r="O1218" s="2" t="n">
        <x:f>MAX(0,ROUND('기준스탯 72종'!I56-W1218-AE1218,0))</x:f>
        <x:v>1</x:v>
      </x:c>
      <x:c r="P1218" s="2" t="n">
        <x:f>MAX(0,ROUND('기준스탯 72종'!J56-X1218-AF1218,0))</x:f>
        <x:v>1</x:v>
      </x:c>
      <x:c r="Q1218" s="2" t="n">
        <x:f>MAX(0,ROUND('기준스탯 72종'!K56-Y1218-AG1218,0))</x:f>
        <x:v>1</x:v>
      </x:c>
      <x:c r="R1218" s="15" t="n">
        <x:f>'기준스탯 72종'!D56*G1218</x:f>
        <x:v>3.9199999999999995</x:v>
      </x:c>
      <x:c r="S1218" s="15" t="n">
        <x:f>'기준스탯 72종'!E56*G1218</x:f>
        <x:v>3.9199999999999995</x:v>
      </x:c>
      <x:c r="T1218" s="15" t="n">
        <x:f>'기준스탯 72종'!F56*G1218</x:f>
        <x:v>4.4799999999999995</x:v>
      </x:c>
      <x:c r="U1218" s="15" t="n">
        <x:f>'기준스탯 72종'!G56*G1218</x:f>
        <x:v>4.4799999999999995</x:v>
      </x:c>
      <x:c r="V1218" s="15" t="n">
        <x:f>'기준스탯 72종'!H56*G1218</x:f>
        <x:v>2.8</x:v>
      </x:c>
      <x:c r="W1218" s="15" t="n">
        <x:f>'기준스탯 72종'!I56*G1218</x:f>
        <x:v>2.2399999999999998</x:v>
      </x:c>
      <x:c r="X1218" s="15" t="n">
        <x:f>'기준스탯 72종'!J56*G1218</x:f>
        <x:v>2.2399999999999998</x:v>
      </x:c>
      <x:c r="Y1218" s="15" t="n">
        <x:f>'기준스탯 72종'!K56*G1218</x:f>
        <x:v>1.6799999999999997</x:v>
      </x:c>
      <x:c r="Z1218" s="15" t="n">
        <x:f>'기준스탯 72종'!D56*H1218</x:f>
        <x:v>0.8400000000000002</x:v>
      </x:c>
      <x:c r="AA1218" s="15" t="n">
        <x:f>'기준스탯 72종'!E56*H1218</x:f>
        <x:v>0.8400000000000002</x:v>
      </x:c>
      <x:c r="AB1218" s="15" t="n">
        <x:f>'기준스탯 72종'!F56*H1218</x:f>
        <x:v>0.9600000000000002</x:v>
      </x:c>
      <x:c r="AC1218" s="15" t="n">
        <x:f>'기준스탯 72종'!G56*H1218</x:f>
        <x:v>0.9600000000000002</x:v>
      </x:c>
      <x:c r="AD1218" s="15" t="n">
        <x:f>'기준스탯 72종'!H56*H1218</x:f>
        <x:v>0.6000000000000001</x:v>
      </x:c>
      <x:c r="AE1218" s="15" t="n">
        <x:f>'기준스탯 72종'!I56*H1218</x:f>
        <x:v>0.4800000000000001</x:v>
      </x:c>
      <x:c r="AF1218" s="15" t="n">
        <x:f>'기준스탯 72종'!J56*H1218</x:f>
        <x:v>0.4800000000000001</x:v>
      </x:c>
      <x:c r="AG1218" s="15" t="n">
        <x:f>'기준스탯 72종'!K56*H1218</x:f>
        <x:v>0.3600000000000001</x:v>
      </x:c>
    </x:row>
    <x:row r="1219" ht="28" customHeight="1">
      <x:c r="A1219" s="2" t="n">
        <x:v>1212</x:v>
      </x:c>
      <x:c r="B1219" s="2" t="n">
        <x:v>49</x:v>
      </x:c>
      <x:c r="C1219" s="2" t="str">
        <x:v>사수자리</x:v>
      </x:c>
      <x:c r="D1219" s="2" t="str">
        <x:v>기사</x:v>
      </x:c>
      <x:c r="E1219" s="2" t="n">
        <x:v>2</x:v>
      </x:c>
      <x:c r="F1219" s="2" t="n">
        <x:v>3</x:v>
      </x:c>
      <x:c r="G1219" s="14" t="n">
        <x:f>('레벨 계산식'!$E$4-E1219)*'레벨 계산식'!$B$5</x:f>
        <x:v>0.41999999999999993</x:v>
      </x:c>
      <x:c r="H1219" s="14" t="n">
        <x:f>('등급 계산식'!$E$4-F1219)*'등급 계산식'!$B$5</x:f>
        <x:v>0.12000000000000002</x:v>
      </x:c>
      <x:c r="I1219" s="14" t="n">
        <x:f>1-G1219-H1219</x:f>
        <x:v>0.4600000000000001</x:v>
      </x:c>
      <x:c r="J1219" s="2" t="n">
        <x:f>MAX(1,ROUND('기준스탯 72종'!D56-R1219-Z1219,0))</x:f>
        <x:v>3</x:v>
      </x:c>
      <x:c r="K1219" s="2" t="n">
        <x:f>MAX(1,ROUND('기준스탯 72종'!E56-S1219-AA1219,0))</x:f>
        <x:v>3</x:v>
      </x:c>
      <x:c r="L1219" s="2" t="n">
        <x:f>MAX(1,ROUND('기준스탯 72종'!F56-T1219-AB1219,0))</x:f>
        <x:v>4</x:v>
      </x:c>
      <x:c r="M1219" s="2" t="n">
        <x:f>MAX(1,ROUND('기준스탯 72종'!G56-U1219-AC1219,0))</x:f>
        <x:v>4</x:v>
      </x:c>
      <x:c r="N1219" s="2" t="n">
        <x:f>MAX(0,ROUND('기준스탯 72종'!H56-V1219-AD1219,0))</x:f>
        <x:v>2</x:v>
      </x:c>
      <x:c r="O1219" s="2" t="n">
        <x:f>MAX(0,ROUND('기준스탯 72종'!I56-W1219-AE1219,0))</x:f>
        <x:v>2</x:v>
      </x:c>
      <x:c r="P1219" s="2" t="n">
        <x:f>MAX(0,ROUND('기준스탯 72종'!J56-X1219-AF1219,0))</x:f>
        <x:v>2</x:v>
      </x:c>
      <x:c r="Q1219" s="2" t="n">
        <x:f>MAX(0,ROUND('기준스탯 72종'!K56-Y1219-AG1219,0))</x:f>
        <x:v>1</x:v>
      </x:c>
      <x:c r="R1219" s="15" t="n">
        <x:f>'기준스탯 72종'!D56*G1219</x:f>
        <x:v>2.9399999999999995</x:v>
      </x:c>
      <x:c r="S1219" s="15" t="n">
        <x:f>'기준스탯 72종'!E56*G1219</x:f>
        <x:v>2.9399999999999995</x:v>
      </x:c>
      <x:c r="T1219" s="15" t="n">
        <x:f>'기준스탯 72종'!F56*G1219</x:f>
        <x:v>3.3599999999999994</x:v>
      </x:c>
      <x:c r="U1219" s="15" t="n">
        <x:f>'기준스탯 72종'!G56*G1219</x:f>
        <x:v>3.3599999999999994</x:v>
      </x:c>
      <x:c r="V1219" s="15" t="n">
        <x:f>'기준스탯 72종'!H56*G1219</x:f>
        <x:v>2.0999999999999996</x:v>
      </x:c>
      <x:c r="W1219" s="15" t="n">
        <x:f>'기준스탯 72종'!I56*G1219</x:f>
        <x:v>1.6799999999999997</x:v>
      </x:c>
      <x:c r="X1219" s="15" t="n">
        <x:f>'기준스탯 72종'!J56*G1219</x:f>
        <x:v>1.6799999999999997</x:v>
      </x:c>
      <x:c r="Y1219" s="15" t="n">
        <x:f>'기준스탯 72종'!K56*G1219</x:f>
        <x:v>1.2599999999999998</x:v>
      </x:c>
      <x:c r="Z1219" s="15" t="n">
        <x:f>'기준스탯 72종'!D56*H1219</x:f>
        <x:v>0.8400000000000002</x:v>
      </x:c>
      <x:c r="AA1219" s="15" t="n">
        <x:f>'기준스탯 72종'!E56*H1219</x:f>
        <x:v>0.8400000000000002</x:v>
      </x:c>
      <x:c r="AB1219" s="15" t="n">
        <x:f>'기준스탯 72종'!F56*H1219</x:f>
        <x:v>0.9600000000000002</x:v>
      </x:c>
      <x:c r="AC1219" s="15" t="n">
        <x:f>'기준스탯 72종'!G56*H1219</x:f>
        <x:v>0.9600000000000002</x:v>
      </x:c>
      <x:c r="AD1219" s="15" t="n">
        <x:f>'기준스탯 72종'!H56*H1219</x:f>
        <x:v>0.6000000000000001</x:v>
      </x:c>
      <x:c r="AE1219" s="15" t="n">
        <x:f>'기준스탯 72종'!I56*H1219</x:f>
        <x:v>0.4800000000000001</x:v>
      </x:c>
      <x:c r="AF1219" s="15" t="n">
        <x:f>'기준스탯 72종'!J56*H1219</x:f>
        <x:v>0.4800000000000001</x:v>
      </x:c>
      <x:c r="AG1219" s="15" t="n">
        <x:f>'기준스탯 72종'!K56*H1219</x:f>
        <x:v>0.3600000000000001</x:v>
      </x:c>
    </x:row>
    <x:row r="1220" ht="28" customHeight="1">
      <x:c r="A1220" s="2" t="n">
        <x:v>1213</x:v>
      </x:c>
      <x:c r="B1220" s="2" t="n">
        <x:v>49</x:v>
      </x:c>
      <x:c r="C1220" s="2" t="str">
        <x:v>사수자리</x:v>
      </x:c>
      <x:c r="D1220" s="2" t="str">
        <x:v>기사</x:v>
      </x:c>
      <x:c r="E1220" s="2" t="n">
        <x:v>3</x:v>
      </x:c>
      <x:c r="F1220" s="2" t="n">
        <x:v>3</x:v>
      </x:c>
      <x:c r="G1220" s="14" t="n">
        <x:f>('레벨 계산식'!$E$4-E1220)*'레벨 계산식'!$B$5</x:f>
        <x:v>0.27999999999999997</x:v>
      </x:c>
      <x:c r="H1220" s="14" t="n">
        <x:f>('등급 계산식'!$E$4-F1220)*'등급 계산식'!$B$5</x:f>
        <x:v>0.12000000000000002</x:v>
      </x:c>
      <x:c r="I1220" s="14" t="n">
        <x:f>1-G1220-H1220</x:f>
        <x:v>0.6</x:v>
      </x:c>
      <x:c r="J1220" s="2" t="n">
        <x:f>MAX(1,ROUND('기준스탯 72종'!D56-R1220-Z1220,0))</x:f>
        <x:v>4</x:v>
      </x:c>
      <x:c r="K1220" s="2" t="n">
        <x:f>MAX(1,ROUND('기준스탯 72종'!E56-S1220-AA1220,0))</x:f>
        <x:v>4</x:v>
      </x:c>
      <x:c r="L1220" s="2" t="n">
        <x:f>MAX(1,ROUND('기준스탯 72종'!F56-T1220-AB1220,0))</x:f>
        <x:v>5</x:v>
      </x:c>
      <x:c r="M1220" s="2" t="n">
        <x:f>MAX(1,ROUND('기준스탯 72종'!G56-U1220-AC1220,0))</x:f>
        <x:v>5</x:v>
      </x:c>
      <x:c r="N1220" s="2" t="n">
        <x:f>MAX(0,ROUND('기준스탯 72종'!H56-V1220-AD1220,0))</x:f>
        <x:v>3</x:v>
      </x:c>
      <x:c r="O1220" s="2" t="n">
        <x:f>MAX(0,ROUND('기준스탯 72종'!I56-W1220-AE1220,0))</x:f>
        <x:v>2</x:v>
      </x:c>
      <x:c r="P1220" s="2" t="n">
        <x:f>MAX(0,ROUND('기준스탯 72종'!J56-X1220-AF1220,0))</x:f>
        <x:v>2</x:v>
      </x:c>
      <x:c r="Q1220" s="2" t="n">
        <x:f>MAX(0,ROUND('기준스탯 72종'!K56-Y1220-AG1220,0))</x:f>
        <x:v>2</x:v>
      </x:c>
      <x:c r="R1220" s="15" t="n">
        <x:f>'기준스탯 72종'!D56*G1220</x:f>
        <x:v>1.9599999999999997</x:v>
      </x:c>
      <x:c r="S1220" s="15" t="n">
        <x:f>'기준스탯 72종'!E56*G1220</x:f>
        <x:v>1.9599999999999997</x:v>
      </x:c>
      <x:c r="T1220" s="15" t="n">
        <x:f>'기준스탯 72종'!F56*G1220</x:f>
        <x:v>2.2399999999999998</x:v>
      </x:c>
      <x:c r="U1220" s="15" t="n">
        <x:f>'기준스탯 72종'!G56*G1220</x:f>
        <x:v>2.2399999999999998</x:v>
      </x:c>
      <x:c r="V1220" s="15" t="n">
        <x:f>'기준스탯 72종'!H56*G1220</x:f>
        <x:v>1.4</x:v>
      </x:c>
      <x:c r="W1220" s="15" t="n">
        <x:f>'기준스탯 72종'!I56*G1220</x:f>
        <x:v>1.1199999999999999</x:v>
      </x:c>
      <x:c r="X1220" s="15" t="n">
        <x:f>'기준스탯 72종'!J56*G1220</x:f>
        <x:v>1.1199999999999999</x:v>
      </x:c>
      <x:c r="Y1220" s="15" t="n">
        <x:f>'기준스탯 72종'!K56*G1220</x:f>
        <x:v>0.8399999999999999</x:v>
      </x:c>
      <x:c r="Z1220" s="15" t="n">
        <x:f>'기준스탯 72종'!D56*H1220</x:f>
        <x:v>0.8400000000000002</x:v>
      </x:c>
      <x:c r="AA1220" s="15" t="n">
        <x:f>'기준스탯 72종'!E56*H1220</x:f>
        <x:v>0.8400000000000002</x:v>
      </x:c>
      <x:c r="AB1220" s="15" t="n">
        <x:f>'기준스탯 72종'!F56*H1220</x:f>
        <x:v>0.9600000000000002</x:v>
      </x:c>
      <x:c r="AC1220" s="15" t="n">
        <x:f>'기준스탯 72종'!G56*H1220</x:f>
        <x:v>0.9600000000000002</x:v>
      </x:c>
      <x:c r="AD1220" s="15" t="n">
        <x:f>'기준스탯 72종'!H56*H1220</x:f>
        <x:v>0.6000000000000001</x:v>
      </x:c>
      <x:c r="AE1220" s="15" t="n">
        <x:f>'기준스탯 72종'!I56*H1220</x:f>
        <x:v>0.4800000000000001</x:v>
      </x:c>
      <x:c r="AF1220" s="15" t="n">
        <x:f>'기준스탯 72종'!J56*H1220</x:f>
        <x:v>0.4800000000000001</x:v>
      </x:c>
      <x:c r="AG1220" s="15" t="n">
        <x:f>'기준스탯 72종'!K56*H1220</x:f>
        <x:v>0.3600000000000001</x:v>
      </x:c>
    </x:row>
    <x:row r="1221" ht="28" customHeight="1">
      <x:c r="A1221" s="2" t="n">
        <x:v>1214</x:v>
      </x:c>
      <x:c r="B1221" s="2" t="n">
        <x:v>49</x:v>
      </x:c>
      <x:c r="C1221" s="2" t="str">
        <x:v>사수자리</x:v>
      </x:c>
      <x:c r="D1221" s="2" t="str">
        <x:v>기사</x:v>
      </x:c>
      <x:c r="E1221" s="2" t="n">
        <x:v>4</x:v>
      </x:c>
      <x:c r="F1221" s="2" t="n">
        <x:v>3</x:v>
      </x:c>
      <x:c r="G1221" s="14" t="n">
        <x:f>('레벨 계산식'!$E$4-E1221)*'레벨 계산식'!$B$5</x:f>
        <x:v>0.13999999999999999</x:v>
      </x:c>
      <x:c r="H1221" s="14" t="n">
        <x:f>('등급 계산식'!$E$4-F1221)*'등급 계산식'!$B$5</x:f>
        <x:v>0.12000000000000002</x:v>
      </x:c>
      <x:c r="I1221" s="14" t="n">
        <x:f>1-G1221-H1221</x:f>
        <x:v>0.74</x:v>
      </x:c>
      <x:c r="J1221" s="2" t="n">
        <x:f>MAX(1,ROUND('기준스탯 72종'!D56-R1221-Z1221,0))</x:f>
        <x:v>5</x:v>
      </x:c>
      <x:c r="K1221" s="2" t="n">
        <x:f>MAX(1,ROUND('기준스탯 72종'!E56-S1221-AA1221,0))</x:f>
        <x:v>5</x:v>
      </x:c>
      <x:c r="L1221" s="2" t="n">
        <x:f>MAX(1,ROUND('기준스탯 72종'!F56-T1221-AB1221,0))</x:f>
        <x:v>6</x:v>
      </x:c>
      <x:c r="M1221" s="2" t="n">
        <x:f>MAX(1,ROUND('기준스탯 72종'!G56-U1221-AC1221,0))</x:f>
        <x:v>6</x:v>
      </x:c>
      <x:c r="N1221" s="2" t="n">
        <x:f>MAX(0,ROUND('기준스탯 72종'!H56-V1221-AD1221,0))</x:f>
        <x:v>4</x:v>
      </x:c>
      <x:c r="O1221" s="2" t="n">
        <x:f>MAX(0,ROUND('기준스탯 72종'!I56-W1221-AE1221,0))</x:f>
        <x:v>3</x:v>
      </x:c>
      <x:c r="P1221" s="2" t="n">
        <x:f>MAX(0,ROUND('기준스탯 72종'!J56-X1221-AF1221,0))</x:f>
        <x:v>3</x:v>
      </x:c>
      <x:c r="Q1221" s="2" t="n">
        <x:f>MAX(0,ROUND('기준스탯 72종'!K56-Y1221-AG1221,0))</x:f>
        <x:v>2</x:v>
      </x:c>
      <x:c r="R1221" s="15" t="n">
        <x:f>'기준스탯 72종'!D56*G1221</x:f>
        <x:v>0.9799999999999999</x:v>
      </x:c>
      <x:c r="S1221" s="15" t="n">
        <x:f>'기준스탯 72종'!E56*G1221</x:f>
        <x:v>0.9799999999999999</x:v>
      </x:c>
      <x:c r="T1221" s="15" t="n">
        <x:f>'기준스탯 72종'!F56*G1221</x:f>
        <x:v>1.1199999999999999</x:v>
      </x:c>
      <x:c r="U1221" s="15" t="n">
        <x:f>'기준스탯 72종'!G56*G1221</x:f>
        <x:v>1.1199999999999999</x:v>
      </x:c>
      <x:c r="V1221" s="15" t="n">
        <x:f>'기준스탯 72종'!H56*G1221</x:f>
        <x:v>0.7</x:v>
      </x:c>
      <x:c r="W1221" s="15" t="n">
        <x:f>'기준스탯 72종'!I56*G1221</x:f>
        <x:v>0.5599999999999999</x:v>
      </x:c>
      <x:c r="X1221" s="15" t="n">
        <x:f>'기준스탯 72종'!J56*G1221</x:f>
        <x:v>0.5599999999999999</x:v>
      </x:c>
      <x:c r="Y1221" s="15" t="n">
        <x:f>'기준스탯 72종'!K56*G1221</x:f>
        <x:v>0.41999999999999993</x:v>
      </x:c>
      <x:c r="Z1221" s="15" t="n">
        <x:f>'기준스탯 72종'!D56*H1221</x:f>
        <x:v>0.8400000000000002</x:v>
      </x:c>
      <x:c r="AA1221" s="15" t="n">
        <x:f>'기준스탯 72종'!E56*H1221</x:f>
        <x:v>0.8400000000000002</x:v>
      </x:c>
      <x:c r="AB1221" s="15" t="n">
        <x:f>'기준스탯 72종'!F56*H1221</x:f>
        <x:v>0.9600000000000002</x:v>
      </x:c>
      <x:c r="AC1221" s="15" t="n">
        <x:f>'기준스탯 72종'!G56*H1221</x:f>
        <x:v>0.9600000000000002</x:v>
      </x:c>
      <x:c r="AD1221" s="15" t="n">
        <x:f>'기준스탯 72종'!H56*H1221</x:f>
        <x:v>0.6000000000000001</x:v>
      </x:c>
      <x:c r="AE1221" s="15" t="n">
        <x:f>'기준스탯 72종'!I56*H1221</x:f>
        <x:v>0.4800000000000001</x:v>
      </x:c>
      <x:c r="AF1221" s="15" t="n">
        <x:f>'기준스탯 72종'!J56*H1221</x:f>
        <x:v>0.4800000000000001</x:v>
      </x:c>
      <x:c r="AG1221" s="15" t="n">
        <x:f>'기준스탯 72종'!K56*H1221</x:f>
        <x:v>0.3600000000000001</x:v>
      </x:c>
    </x:row>
    <x:row r="1222" ht="28" customHeight="1">
      <x:c r="A1222" s="2" t="n">
        <x:v>1215</x:v>
      </x:c>
      <x:c r="B1222" s="2" t="n">
        <x:v>49</x:v>
      </x:c>
      <x:c r="C1222" s="2" t="str">
        <x:v>사수자리</x:v>
      </x:c>
      <x:c r="D1222" s="2" t="str">
        <x:v>기사</x:v>
      </x:c>
      <x:c r="E1222" s="2" t="n">
        <x:v>5</x:v>
      </x:c>
      <x:c r="F1222" s="2" t="n">
        <x:v>3</x:v>
      </x:c>
      <x:c r="G1222" s="14" t="n">
        <x:f>('레벨 계산식'!$E$4-E1222)*'레벨 계산식'!$B$5</x:f>
        <x:v>0</x:v>
      </x:c>
      <x:c r="H1222" s="14" t="n">
        <x:f>('등급 계산식'!$E$4-F1222)*'등급 계산식'!$B$5</x:f>
        <x:v>0.12000000000000002</x:v>
      </x:c>
      <x:c r="I1222" s="14" t="n">
        <x:f>1-G1222-H1222</x:f>
        <x:v>0.88</x:v>
      </x:c>
      <x:c r="J1222" s="2" t="n">
        <x:f>MAX(1,ROUND('기준스탯 72종'!D56-R1222-Z1222,0))</x:f>
        <x:v>6</x:v>
      </x:c>
      <x:c r="K1222" s="2" t="n">
        <x:f>MAX(1,ROUND('기준스탯 72종'!E56-S1222-AA1222,0))</x:f>
        <x:v>6</x:v>
      </x:c>
      <x:c r="L1222" s="2" t="n">
        <x:f>MAX(1,ROUND('기준스탯 72종'!F56-T1222-AB1222,0))</x:f>
        <x:v>7</x:v>
      </x:c>
      <x:c r="M1222" s="2" t="n">
        <x:f>MAX(1,ROUND('기준스탯 72종'!G56-U1222-AC1222,0))</x:f>
        <x:v>7</x:v>
      </x:c>
      <x:c r="N1222" s="2" t="n">
        <x:f>MAX(0,ROUND('기준스탯 72종'!H56-V1222-AD1222,0))</x:f>
        <x:v>4</x:v>
      </x:c>
      <x:c r="O1222" s="2" t="n">
        <x:f>MAX(0,ROUND('기준스탯 72종'!I56-W1222-AE1222,0))</x:f>
        <x:v>4</x:v>
      </x:c>
      <x:c r="P1222" s="2" t="n">
        <x:f>MAX(0,ROUND('기준스탯 72종'!J56-X1222-AF1222,0))</x:f>
        <x:v>4</x:v>
      </x:c>
      <x:c r="Q1222" s="2" t="n">
        <x:f>MAX(0,ROUND('기준스탯 72종'!K56-Y1222-AG1222,0))</x:f>
        <x:v>3</x:v>
      </x:c>
      <x:c r="R1222" s="15" t="n">
        <x:f>'기준스탯 72종'!D56*G1222</x:f>
        <x:v>0</x:v>
      </x:c>
      <x:c r="S1222" s="15" t="n">
        <x:f>'기준스탯 72종'!E56*G1222</x:f>
        <x:v>0</x:v>
      </x:c>
      <x:c r="T1222" s="15" t="n">
        <x:f>'기준스탯 72종'!F56*G1222</x:f>
        <x:v>0</x:v>
      </x:c>
      <x:c r="U1222" s="15" t="n">
        <x:f>'기준스탯 72종'!G56*G1222</x:f>
        <x:v>0</x:v>
      </x:c>
      <x:c r="V1222" s="15" t="n">
        <x:f>'기준스탯 72종'!H56*G1222</x:f>
        <x:v>0</x:v>
      </x:c>
      <x:c r="W1222" s="15" t="n">
        <x:f>'기준스탯 72종'!I56*G1222</x:f>
        <x:v>0</x:v>
      </x:c>
      <x:c r="X1222" s="15" t="n">
        <x:f>'기준스탯 72종'!J56*G1222</x:f>
        <x:v>0</x:v>
      </x:c>
      <x:c r="Y1222" s="15" t="n">
        <x:f>'기준스탯 72종'!K56*G1222</x:f>
        <x:v>0</x:v>
      </x:c>
      <x:c r="Z1222" s="15" t="n">
        <x:f>'기준스탯 72종'!D56*H1222</x:f>
        <x:v>0.8400000000000002</x:v>
      </x:c>
      <x:c r="AA1222" s="15" t="n">
        <x:f>'기준스탯 72종'!E56*H1222</x:f>
        <x:v>0.8400000000000002</x:v>
      </x:c>
      <x:c r="AB1222" s="15" t="n">
        <x:f>'기준스탯 72종'!F56*H1222</x:f>
        <x:v>0.9600000000000002</x:v>
      </x:c>
      <x:c r="AC1222" s="15" t="n">
        <x:f>'기준스탯 72종'!G56*H1222</x:f>
        <x:v>0.9600000000000002</x:v>
      </x:c>
      <x:c r="AD1222" s="15" t="n">
        <x:f>'기준스탯 72종'!H56*H1222</x:f>
        <x:v>0.6000000000000001</x:v>
      </x:c>
      <x:c r="AE1222" s="15" t="n">
        <x:f>'기준스탯 72종'!I56*H1222</x:f>
        <x:v>0.4800000000000001</x:v>
      </x:c>
      <x:c r="AF1222" s="15" t="n">
        <x:f>'기준스탯 72종'!J56*H1222</x:f>
        <x:v>0.4800000000000001</x:v>
      </x:c>
      <x:c r="AG1222" s="15" t="n">
        <x:f>'기준스탯 72종'!K56*H1222</x:f>
        <x:v>0.3600000000000001</x:v>
      </x:c>
    </x:row>
    <x:row r="1223" ht="28" customHeight="1">
      <x:c r="A1223" s="2" t="n">
        <x:v>1216</x:v>
      </x:c>
      <x:c r="B1223" s="2" t="n">
        <x:v>49</x:v>
      </x:c>
      <x:c r="C1223" s="2" t="str">
        <x:v>사수자리</x:v>
      </x:c>
      <x:c r="D1223" s="2" t="str">
        <x:v>기사</x:v>
      </x:c>
      <x:c r="E1223" s="2" t="n">
        <x:v>1</x:v>
      </x:c>
      <x:c r="F1223" s="2" t="n">
        <x:v>4</x:v>
      </x:c>
      <x:c r="G1223" s="14" t="n">
        <x:f>('레벨 계산식'!$E$4-E1223)*'레벨 계산식'!$B$5</x:f>
        <x:v>0.5599999999999999</x:v>
      </x:c>
      <x:c r="H1223" s="14" t="n">
        <x:f>('등급 계산식'!$E$4-F1223)*'등급 계산식'!$B$5</x:f>
        <x:v>0.06000000000000001</x:v>
      </x:c>
      <x:c r="I1223" s="14" t="n">
        <x:f>1-G1223-H1223</x:f>
        <x:v>0.38000000000000006</x:v>
      </x:c>
      <x:c r="J1223" s="2" t="n">
        <x:f>MAX(1,ROUND('기준스탯 72종'!D56-R1223-Z1223,0))</x:f>
        <x:v>3</x:v>
      </x:c>
      <x:c r="K1223" s="2" t="n">
        <x:f>MAX(1,ROUND('기준스탯 72종'!E56-S1223-AA1223,0))</x:f>
        <x:v>3</x:v>
      </x:c>
      <x:c r="L1223" s="2" t="n">
        <x:f>MAX(1,ROUND('기준스탯 72종'!F56-T1223-AB1223,0))</x:f>
        <x:v>3</x:v>
      </x:c>
      <x:c r="M1223" s="2" t="n">
        <x:f>MAX(1,ROUND('기준스탯 72종'!G56-U1223-AC1223,0))</x:f>
        <x:v>3</x:v>
      </x:c>
      <x:c r="N1223" s="2" t="n">
        <x:f>MAX(0,ROUND('기준스탯 72종'!H56-V1223-AD1223,0))</x:f>
        <x:v>2</x:v>
      </x:c>
      <x:c r="O1223" s="2" t="n">
        <x:f>MAX(0,ROUND('기준스탯 72종'!I56-W1223-AE1223,0))</x:f>
        <x:v>2</x:v>
      </x:c>
      <x:c r="P1223" s="2" t="n">
        <x:f>MAX(0,ROUND('기준스탯 72종'!J56-X1223-AF1223,0))</x:f>
        <x:v>2</x:v>
      </x:c>
      <x:c r="Q1223" s="2" t="n">
        <x:f>MAX(0,ROUND('기준스탯 72종'!K56-Y1223-AG1223,0))</x:f>
        <x:v>1</x:v>
      </x:c>
      <x:c r="R1223" s="15" t="n">
        <x:f>'기준스탯 72종'!D56*G1223</x:f>
        <x:v>3.9199999999999995</x:v>
      </x:c>
      <x:c r="S1223" s="15" t="n">
        <x:f>'기준스탯 72종'!E56*G1223</x:f>
        <x:v>3.9199999999999995</x:v>
      </x:c>
      <x:c r="T1223" s="15" t="n">
        <x:f>'기준스탯 72종'!F56*G1223</x:f>
        <x:v>4.4799999999999995</x:v>
      </x:c>
      <x:c r="U1223" s="15" t="n">
        <x:f>'기준스탯 72종'!G56*G1223</x:f>
        <x:v>4.4799999999999995</x:v>
      </x:c>
      <x:c r="V1223" s="15" t="n">
        <x:f>'기준스탯 72종'!H56*G1223</x:f>
        <x:v>2.8</x:v>
      </x:c>
      <x:c r="W1223" s="15" t="n">
        <x:f>'기준스탯 72종'!I56*G1223</x:f>
        <x:v>2.2399999999999998</x:v>
      </x:c>
      <x:c r="X1223" s="15" t="n">
        <x:f>'기준스탯 72종'!J56*G1223</x:f>
        <x:v>2.2399999999999998</x:v>
      </x:c>
      <x:c r="Y1223" s="15" t="n">
        <x:f>'기준스탯 72종'!K56*G1223</x:f>
        <x:v>1.6799999999999997</x:v>
      </x:c>
      <x:c r="Z1223" s="15" t="n">
        <x:f>'기준스탯 72종'!D56*H1223</x:f>
        <x:v>0.4200000000000001</x:v>
      </x:c>
      <x:c r="AA1223" s="15" t="n">
        <x:f>'기준스탯 72종'!E56*H1223</x:f>
        <x:v>0.4200000000000001</x:v>
      </x:c>
      <x:c r="AB1223" s="15" t="n">
        <x:f>'기준스탯 72종'!F56*H1223</x:f>
        <x:v>0.4800000000000001</x:v>
      </x:c>
      <x:c r="AC1223" s="15" t="n">
        <x:f>'기준스탯 72종'!G56*H1223</x:f>
        <x:v>0.4800000000000001</x:v>
      </x:c>
      <x:c r="AD1223" s="15" t="n">
        <x:f>'기준스탯 72종'!H56*H1223</x:f>
        <x:v>0.30000000000000004</x:v>
      </x:c>
      <x:c r="AE1223" s="15" t="n">
        <x:f>'기준스탯 72종'!I56*H1223</x:f>
        <x:v>0.24000000000000005</x:v>
      </x:c>
      <x:c r="AF1223" s="15" t="n">
        <x:f>'기준스탯 72종'!J56*H1223</x:f>
        <x:v>0.24000000000000005</x:v>
      </x:c>
      <x:c r="AG1223" s="15" t="n">
        <x:f>'기준스탯 72종'!K56*H1223</x:f>
        <x:v>0.18000000000000005</x:v>
      </x:c>
    </x:row>
    <x:row r="1224" ht="28" customHeight="1">
      <x:c r="A1224" s="2" t="n">
        <x:v>1217</x:v>
      </x:c>
      <x:c r="B1224" s="2" t="n">
        <x:v>49</x:v>
      </x:c>
      <x:c r="C1224" s="2" t="str">
        <x:v>사수자리</x:v>
      </x:c>
      <x:c r="D1224" s="2" t="str">
        <x:v>기사</x:v>
      </x:c>
      <x:c r="E1224" s="2" t="n">
        <x:v>2</x:v>
      </x:c>
      <x:c r="F1224" s="2" t="n">
        <x:v>4</x:v>
      </x:c>
      <x:c r="G1224" s="14" t="n">
        <x:f>('레벨 계산식'!$E$4-E1224)*'레벨 계산식'!$B$5</x:f>
        <x:v>0.41999999999999993</x:v>
      </x:c>
      <x:c r="H1224" s="14" t="n">
        <x:f>('등급 계산식'!$E$4-F1224)*'등급 계산식'!$B$5</x:f>
        <x:v>0.06000000000000001</x:v>
      </x:c>
      <x:c r="I1224" s="14" t="n">
        <x:f>1-G1224-H1224</x:f>
        <x:v>0.52</x:v>
      </x:c>
      <x:c r="J1224" s="2" t="n">
        <x:f>MAX(1,ROUND('기준스탯 72종'!D56-R1224-Z1224,0))</x:f>
        <x:v>4</x:v>
      </x:c>
      <x:c r="K1224" s="2" t="n">
        <x:f>MAX(1,ROUND('기준스탯 72종'!E56-S1224-AA1224,0))</x:f>
        <x:v>4</x:v>
      </x:c>
      <x:c r="L1224" s="2" t="n">
        <x:f>MAX(1,ROUND('기준스탯 72종'!F56-T1224-AB1224,0))</x:f>
        <x:v>4</x:v>
      </x:c>
      <x:c r="M1224" s="2" t="n">
        <x:f>MAX(1,ROUND('기준스탯 72종'!G56-U1224-AC1224,0))</x:f>
        <x:v>4</x:v>
      </x:c>
      <x:c r="N1224" s="2" t="n">
        <x:f>MAX(0,ROUND('기준스탯 72종'!H56-V1224-AD1224,0))</x:f>
        <x:v>3</x:v>
      </x:c>
      <x:c r="O1224" s="2" t="n">
        <x:f>MAX(0,ROUND('기준스탯 72종'!I56-W1224-AE1224,0))</x:f>
        <x:v>2</x:v>
      </x:c>
      <x:c r="P1224" s="2" t="n">
        <x:f>MAX(0,ROUND('기준스탯 72종'!J56-X1224-AF1224,0))</x:f>
        <x:v>2</x:v>
      </x:c>
      <x:c r="Q1224" s="2" t="n">
        <x:f>MAX(0,ROUND('기준스탯 72종'!K56-Y1224-AG1224,0))</x:f>
        <x:v>2</x:v>
      </x:c>
      <x:c r="R1224" s="15" t="n">
        <x:f>'기준스탯 72종'!D56*G1224</x:f>
        <x:v>2.9399999999999995</x:v>
      </x:c>
      <x:c r="S1224" s="15" t="n">
        <x:f>'기준스탯 72종'!E56*G1224</x:f>
        <x:v>2.9399999999999995</x:v>
      </x:c>
      <x:c r="T1224" s="15" t="n">
        <x:f>'기준스탯 72종'!F56*G1224</x:f>
        <x:v>3.3599999999999994</x:v>
      </x:c>
      <x:c r="U1224" s="15" t="n">
        <x:f>'기준스탯 72종'!G56*G1224</x:f>
        <x:v>3.3599999999999994</x:v>
      </x:c>
      <x:c r="V1224" s="15" t="n">
        <x:f>'기준스탯 72종'!H56*G1224</x:f>
        <x:v>2.0999999999999996</x:v>
      </x:c>
      <x:c r="W1224" s="15" t="n">
        <x:f>'기준스탯 72종'!I56*G1224</x:f>
        <x:v>1.6799999999999997</x:v>
      </x:c>
      <x:c r="X1224" s="15" t="n">
        <x:f>'기준스탯 72종'!J56*G1224</x:f>
        <x:v>1.6799999999999997</x:v>
      </x:c>
      <x:c r="Y1224" s="15" t="n">
        <x:f>'기준스탯 72종'!K56*G1224</x:f>
        <x:v>1.2599999999999998</x:v>
      </x:c>
      <x:c r="Z1224" s="15" t="n">
        <x:f>'기준스탯 72종'!D56*H1224</x:f>
        <x:v>0.4200000000000001</x:v>
      </x:c>
      <x:c r="AA1224" s="15" t="n">
        <x:f>'기준스탯 72종'!E56*H1224</x:f>
        <x:v>0.4200000000000001</x:v>
      </x:c>
      <x:c r="AB1224" s="15" t="n">
        <x:f>'기준스탯 72종'!F56*H1224</x:f>
        <x:v>0.4800000000000001</x:v>
      </x:c>
      <x:c r="AC1224" s="15" t="n">
        <x:f>'기준스탯 72종'!G56*H1224</x:f>
        <x:v>0.4800000000000001</x:v>
      </x:c>
      <x:c r="AD1224" s="15" t="n">
        <x:f>'기준스탯 72종'!H56*H1224</x:f>
        <x:v>0.30000000000000004</x:v>
      </x:c>
      <x:c r="AE1224" s="15" t="n">
        <x:f>'기준스탯 72종'!I56*H1224</x:f>
        <x:v>0.24000000000000005</x:v>
      </x:c>
      <x:c r="AF1224" s="15" t="n">
        <x:f>'기준스탯 72종'!J56*H1224</x:f>
        <x:v>0.24000000000000005</x:v>
      </x:c>
      <x:c r="AG1224" s="15" t="n">
        <x:f>'기준스탯 72종'!K56*H1224</x:f>
        <x:v>0.18000000000000005</x:v>
      </x:c>
    </x:row>
    <x:row r="1225" ht="28" customHeight="1">
      <x:c r="A1225" s="2" t="n">
        <x:v>1218</x:v>
      </x:c>
      <x:c r="B1225" s="2" t="n">
        <x:v>49</x:v>
      </x:c>
      <x:c r="C1225" s="2" t="str">
        <x:v>사수자리</x:v>
      </x:c>
      <x:c r="D1225" s="2" t="str">
        <x:v>기사</x:v>
      </x:c>
      <x:c r="E1225" s="2" t="n">
        <x:v>3</x:v>
      </x:c>
      <x:c r="F1225" s="2" t="n">
        <x:v>4</x:v>
      </x:c>
      <x:c r="G1225" s="14" t="n">
        <x:f>('레벨 계산식'!$E$4-E1225)*'레벨 계산식'!$B$5</x:f>
        <x:v>0.27999999999999997</x:v>
      </x:c>
      <x:c r="H1225" s="14" t="n">
        <x:f>('등급 계산식'!$E$4-F1225)*'등급 계산식'!$B$5</x:f>
        <x:v>0.06000000000000001</x:v>
      </x:c>
      <x:c r="I1225" s="14" t="n">
        <x:f>1-G1225-H1225</x:f>
        <x:v>0.6599999999999999</x:v>
      </x:c>
      <x:c r="J1225" s="2" t="n">
        <x:f>MAX(1,ROUND('기준스탯 72종'!D56-R1225-Z1225,0))</x:f>
        <x:v>5</x:v>
      </x:c>
      <x:c r="K1225" s="2" t="n">
        <x:f>MAX(1,ROUND('기준스탯 72종'!E56-S1225-AA1225,0))</x:f>
        <x:v>5</x:v>
      </x:c>
      <x:c r="L1225" s="2" t="n">
        <x:f>MAX(1,ROUND('기준스탯 72종'!F56-T1225-AB1225,0))</x:f>
        <x:v>5</x:v>
      </x:c>
      <x:c r="M1225" s="2" t="n">
        <x:f>MAX(1,ROUND('기준스탯 72종'!G56-U1225-AC1225,0))</x:f>
        <x:v>5</x:v>
      </x:c>
      <x:c r="N1225" s="2" t="n">
        <x:f>MAX(0,ROUND('기준스탯 72종'!H56-V1225-AD1225,0))</x:f>
        <x:v>3</x:v>
      </x:c>
      <x:c r="O1225" s="2" t="n">
        <x:f>MAX(0,ROUND('기준스탯 72종'!I56-W1225-AE1225,0))</x:f>
        <x:v>3</x:v>
      </x:c>
      <x:c r="P1225" s="2" t="n">
        <x:f>MAX(0,ROUND('기준스탯 72종'!J56-X1225-AF1225,0))</x:f>
        <x:v>3</x:v>
      </x:c>
      <x:c r="Q1225" s="2" t="n">
        <x:f>MAX(0,ROUND('기준스탯 72종'!K56-Y1225-AG1225,0))</x:f>
        <x:v>2</x:v>
      </x:c>
      <x:c r="R1225" s="15" t="n">
        <x:f>'기준스탯 72종'!D56*G1225</x:f>
        <x:v>1.9599999999999997</x:v>
      </x:c>
      <x:c r="S1225" s="15" t="n">
        <x:f>'기준스탯 72종'!E56*G1225</x:f>
        <x:v>1.9599999999999997</x:v>
      </x:c>
      <x:c r="T1225" s="15" t="n">
        <x:f>'기준스탯 72종'!F56*G1225</x:f>
        <x:v>2.2399999999999998</x:v>
      </x:c>
      <x:c r="U1225" s="15" t="n">
        <x:f>'기준스탯 72종'!G56*G1225</x:f>
        <x:v>2.2399999999999998</x:v>
      </x:c>
      <x:c r="V1225" s="15" t="n">
        <x:f>'기준스탯 72종'!H56*G1225</x:f>
        <x:v>1.4</x:v>
      </x:c>
      <x:c r="W1225" s="15" t="n">
        <x:f>'기준스탯 72종'!I56*G1225</x:f>
        <x:v>1.1199999999999999</x:v>
      </x:c>
      <x:c r="X1225" s="15" t="n">
        <x:f>'기준스탯 72종'!J56*G1225</x:f>
        <x:v>1.1199999999999999</x:v>
      </x:c>
      <x:c r="Y1225" s="15" t="n">
        <x:f>'기준스탯 72종'!K56*G1225</x:f>
        <x:v>0.8399999999999999</x:v>
      </x:c>
      <x:c r="Z1225" s="15" t="n">
        <x:f>'기준스탯 72종'!D56*H1225</x:f>
        <x:v>0.4200000000000001</x:v>
      </x:c>
      <x:c r="AA1225" s="15" t="n">
        <x:f>'기준스탯 72종'!E56*H1225</x:f>
        <x:v>0.4200000000000001</x:v>
      </x:c>
      <x:c r="AB1225" s="15" t="n">
        <x:f>'기준스탯 72종'!F56*H1225</x:f>
        <x:v>0.4800000000000001</x:v>
      </x:c>
      <x:c r="AC1225" s="15" t="n">
        <x:f>'기준스탯 72종'!G56*H1225</x:f>
        <x:v>0.4800000000000001</x:v>
      </x:c>
      <x:c r="AD1225" s="15" t="n">
        <x:f>'기준스탯 72종'!H56*H1225</x:f>
        <x:v>0.30000000000000004</x:v>
      </x:c>
      <x:c r="AE1225" s="15" t="n">
        <x:f>'기준스탯 72종'!I56*H1225</x:f>
        <x:v>0.24000000000000005</x:v>
      </x:c>
      <x:c r="AF1225" s="15" t="n">
        <x:f>'기준스탯 72종'!J56*H1225</x:f>
        <x:v>0.24000000000000005</x:v>
      </x:c>
      <x:c r="AG1225" s="15" t="n">
        <x:f>'기준스탯 72종'!K56*H1225</x:f>
        <x:v>0.18000000000000005</x:v>
      </x:c>
    </x:row>
    <x:row r="1226" ht="28" customHeight="1">
      <x:c r="A1226" s="2" t="n">
        <x:v>1219</x:v>
      </x:c>
      <x:c r="B1226" s="2" t="n">
        <x:v>49</x:v>
      </x:c>
      <x:c r="C1226" s="2" t="str">
        <x:v>사수자리</x:v>
      </x:c>
      <x:c r="D1226" s="2" t="str">
        <x:v>기사</x:v>
      </x:c>
      <x:c r="E1226" s="2" t="n">
        <x:v>4</x:v>
      </x:c>
      <x:c r="F1226" s="2" t="n">
        <x:v>4</x:v>
      </x:c>
      <x:c r="G1226" s="14" t="n">
        <x:f>('레벨 계산식'!$E$4-E1226)*'레벨 계산식'!$B$5</x:f>
        <x:v>0.13999999999999999</x:v>
      </x:c>
      <x:c r="H1226" s="14" t="n">
        <x:f>('등급 계산식'!$E$4-F1226)*'등급 계산식'!$B$5</x:f>
        <x:v>0.06000000000000001</x:v>
      </x:c>
      <x:c r="I1226" s="14" t="n">
        <x:f>1-G1226-H1226</x:f>
        <x:v>0.7999999999999999</x:v>
      </x:c>
      <x:c r="J1226" s="2" t="n">
        <x:f>MAX(1,ROUND('기준스탯 72종'!D56-R1226-Z1226,0))</x:f>
        <x:v>6</x:v>
      </x:c>
      <x:c r="K1226" s="2" t="n">
        <x:f>MAX(1,ROUND('기준스탯 72종'!E56-S1226-AA1226,0))</x:f>
        <x:v>6</x:v>
      </x:c>
      <x:c r="L1226" s="2" t="n">
        <x:f>MAX(1,ROUND('기준스탯 72종'!F56-T1226-AB1226,0))</x:f>
        <x:v>6</x:v>
      </x:c>
      <x:c r="M1226" s="2" t="n">
        <x:f>MAX(1,ROUND('기준스탯 72종'!G56-U1226-AC1226,0))</x:f>
        <x:v>6</x:v>
      </x:c>
      <x:c r="N1226" s="2" t="n">
        <x:f>MAX(0,ROUND('기준스탯 72종'!H56-V1226-AD1226,0))</x:f>
        <x:v>4</x:v>
      </x:c>
      <x:c r="O1226" s="2" t="n">
        <x:f>MAX(0,ROUND('기준스탯 72종'!I56-W1226-AE1226,0))</x:f>
        <x:v>3</x:v>
      </x:c>
      <x:c r="P1226" s="2" t="n">
        <x:f>MAX(0,ROUND('기준스탯 72종'!J56-X1226-AF1226,0))</x:f>
        <x:v>3</x:v>
      </x:c>
      <x:c r="Q1226" s="2" t="n">
        <x:f>MAX(0,ROUND('기준스탯 72종'!K56-Y1226-AG1226,0))</x:f>
        <x:v>2</x:v>
      </x:c>
      <x:c r="R1226" s="15" t="n">
        <x:f>'기준스탯 72종'!D56*G1226</x:f>
        <x:v>0.9799999999999999</x:v>
      </x:c>
      <x:c r="S1226" s="15" t="n">
        <x:f>'기준스탯 72종'!E56*G1226</x:f>
        <x:v>0.9799999999999999</x:v>
      </x:c>
      <x:c r="T1226" s="15" t="n">
        <x:f>'기준스탯 72종'!F56*G1226</x:f>
        <x:v>1.1199999999999999</x:v>
      </x:c>
      <x:c r="U1226" s="15" t="n">
        <x:f>'기준스탯 72종'!G56*G1226</x:f>
        <x:v>1.1199999999999999</x:v>
      </x:c>
      <x:c r="V1226" s="15" t="n">
        <x:f>'기준스탯 72종'!H56*G1226</x:f>
        <x:v>0.7</x:v>
      </x:c>
      <x:c r="W1226" s="15" t="n">
        <x:f>'기준스탯 72종'!I56*G1226</x:f>
        <x:v>0.5599999999999999</x:v>
      </x:c>
      <x:c r="X1226" s="15" t="n">
        <x:f>'기준스탯 72종'!J56*G1226</x:f>
        <x:v>0.5599999999999999</x:v>
      </x:c>
      <x:c r="Y1226" s="15" t="n">
        <x:f>'기준스탯 72종'!K56*G1226</x:f>
        <x:v>0.41999999999999993</x:v>
      </x:c>
      <x:c r="Z1226" s="15" t="n">
        <x:f>'기준스탯 72종'!D56*H1226</x:f>
        <x:v>0.4200000000000001</x:v>
      </x:c>
      <x:c r="AA1226" s="15" t="n">
        <x:f>'기준스탯 72종'!E56*H1226</x:f>
        <x:v>0.4200000000000001</x:v>
      </x:c>
      <x:c r="AB1226" s="15" t="n">
        <x:f>'기준스탯 72종'!F56*H1226</x:f>
        <x:v>0.4800000000000001</x:v>
      </x:c>
      <x:c r="AC1226" s="15" t="n">
        <x:f>'기준스탯 72종'!G56*H1226</x:f>
        <x:v>0.4800000000000001</x:v>
      </x:c>
      <x:c r="AD1226" s="15" t="n">
        <x:f>'기준스탯 72종'!H56*H1226</x:f>
        <x:v>0.30000000000000004</x:v>
      </x:c>
      <x:c r="AE1226" s="15" t="n">
        <x:f>'기준스탯 72종'!I56*H1226</x:f>
        <x:v>0.24000000000000005</x:v>
      </x:c>
      <x:c r="AF1226" s="15" t="n">
        <x:f>'기준스탯 72종'!J56*H1226</x:f>
        <x:v>0.24000000000000005</x:v>
      </x:c>
      <x:c r="AG1226" s="15" t="n">
        <x:f>'기준스탯 72종'!K56*H1226</x:f>
        <x:v>0.18000000000000005</x:v>
      </x:c>
    </x:row>
    <x:row r="1227" ht="28" customHeight="1">
      <x:c r="A1227" s="2" t="n">
        <x:v>1220</x:v>
      </x:c>
      <x:c r="B1227" s="2" t="n">
        <x:v>49</x:v>
      </x:c>
      <x:c r="C1227" s="2" t="str">
        <x:v>사수자리</x:v>
      </x:c>
      <x:c r="D1227" s="2" t="str">
        <x:v>기사</x:v>
      </x:c>
      <x:c r="E1227" s="2" t="n">
        <x:v>5</x:v>
      </x:c>
      <x:c r="F1227" s="2" t="n">
        <x:v>4</x:v>
      </x:c>
      <x:c r="G1227" s="14" t="n">
        <x:f>('레벨 계산식'!$E$4-E1227)*'레벨 계산식'!$B$5</x:f>
        <x:v>0</x:v>
      </x:c>
      <x:c r="H1227" s="14" t="n">
        <x:f>('등급 계산식'!$E$4-F1227)*'등급 계산식'!$B$5</x:f>
        <x:v>0.06000000000000001</x:v>
      </x:c>
      <x:c r="I1227" s="14" t="n">
        <x:f>1-G1227-H1227</x:f>
        <x:v>0.94</x:v>
      </x:c>
      <x:c r="J1227" s="2" t="n">
        <x:f>MAX(1,ROUND('기준스탯 72종'!D56-R1227-Z1227,0))</x:f>
        <x:v>7</x:v>
      </x:c>
      <x:c r="K1227" s="2" t="n">
        <x:f>MAX(1,ROUND('기준스탯 72종'!E56-S1227-AA1227,0))</x:f>
        <x:v>7</x:v>
      </x:c>
      <x:c r="L1227" s="2" t="n">
        <x:f>MAX(1,ROUND('기준스탯 72종'!F56-T1227-AB1227,0))</x:f>
        <x:v>8</x:v>
      </x:c>
      <x:c r="M1227" s="2" t="n">
        <x:f>MAX(1,ROUND('기준스탯 72종'!G56-U1227-AC1227,0))</x:f>
        <x:v>8</x:v>
      </x:c>
      <x:c r="N1227" s="2" t="n">
        <x:f>MAX(0,ROUND('기준스탯 72종'!H56-V1227-AD1227,0))</x:f>
        <x:v>5</x:v>
      </x:c>
      <x:c r="O1227" s="2" t="n">
        <x:f>MAX(0,ROUND('기준스탯 72종'!I56-W1227-AE1227,0))</x:f>
        <x:v>4</x:v>
      </x:c>
      <x:c r="P1227" s="2" t="n">
        <x:f>MAX(0,ROUND('기준스탯 72종'!J56-X1227-AF1227,0))</x:f>
        <x:v>4</x:v>
      </x:c>
      <x:c r="Q1227" s="2" t="n">
        <x:f>MAX(0,ROUND('기준스탯 72종'!K56-Y1227-AG1227,0))</x:f>
        <x:v>3</x:v>
      </x:c>
      <x:c r="R1227" s="15" t="n">
        <x:f>'기준스탯 72종'!D56*G1227</x:f>
        <x:v>0</x:v>
      </x:c>
      <x:c r="S1227" s="15" t="n">
        <x:f>'기준스탯 72종'!E56*G1227</x:f>
        <x:v>0</x:v>
      </x:c>
      <x:c r="T1227" s="15" t="n">
        <x:f>'기준스탯 72종'!F56*G1227</x:f>
        <x:v>0</x:v>
      </x:c>
      <x:c r="U1227" s="15" t="n">
        <x:f>'기준스탯 72종'!G56*G1227</x:f>
        <x:v>0</x:v>
      </x:c>
      <x:c r="V1227" s="15" t="n">
        <x:f>'기준스탯 72종'!H56*G1227</x:f>
        <x:v>0</x:v>
      </x:c>
      <x:c r="W1227" s="15" t="n">
        <x:f>'기준스탯 72종'!I56*G1227</x:f>
        <x:v>0</x:v>
      </x:c>
      <x:c r="X1227" s="15" t="n">
        <x:f>'기준스탯 72종'!J56*G1227</x:f>
        <x:v>0</x:v>
      </x:c>
      <x:c r="Y1227" s="15" t="n">
        <x:f>'기준스탯 72종'!K56*G1227</x:f>
        <x:v>0</x:v>
      </x:c>
      <x:c r="Z1227" s="15" t="n">
        <x:f>'기준스탯 72종'!D56*H1227</x:f>
        <x:v>0.4200000000000001</x:v>
      </x:c>
      <x:c r="AA1227" s="15" t="n">
        <x:f>'기준스탯 72종'!E56*H1227</x:f>
        <x:v>0.4200000000000001</x:v>
      </x:c>
      <x:c r="AB1227" s="15" t="n">
        <x:f>'기준스탯 72종'!F56*H1227</x:f>
        <x:v>0.4800000000000001</x:v>
      </x:c>
      <x:c r="AC1227" s="15" t="n">
        <x:f>'기준스탯 72종'!G56*H1227</x:f>
        <x:v>0.4800000000000001</x:v>
      </x:c>
      <x:c r="AD1227" s="15" t="n">
        <x:f>'기준스탯 72종'!H56*H1227</x:f>
        <x:v>0.30000000000000004</x:v>
      </x:c>
      <x:c r="AE1227" s="15" t="n">
        <x:f>'기준스탯 72종'!I56*H1227</x:f>
        <x:v>0.24000000000000005</x:v>
      </x:c>
      <x:c r="AF1227" s="15" t="n">
        <x:f>'기준스탯 72종'!J56*H1227</x:f>
        <x:v>0.24000000000000005</x:v>
      </x:c>
      <x:c r="AG1227" s="15" t="n">
        <x:f>'기준스탯 72종'!K56*H1227</x:f>
        <x:v>0.18000000000000005</x:v>
      </x:c>
    </x:row>
    <x:row r="1228" ht="28" customHeight="1">
      <x:c r="A1228" s="2" t="n">
        <x:v>1221</x:v>
      </x:c>
      <x:c r="B1228" s="2" t="n">
        <x:v>49</x:v>
      </x:c>
      <x:c r="C1228" s="2" t="str">
        <x:v>사수자리</x:v>
      </x:c>
      <x:c r="D1228" s="2" t="str">
        <x:v>기사</x:v>
      </x:c>
      <x:c r="E1228" s="2" t="n">
        <x:v>1</x:v>
      </x:c>
      <x:c r="F1228" s="2" t="n">
        <x:v>5</x:v>
      </x:c>
      <x:c r="G1228" s="14" t="n">
        <x:f>('레벨 계산식'!$E$4-E1228)*'레벨 계산식'!$B$5</x:f>
        <x:v>0.5599999999999999</x:v>
      </x:c>
      <x:c r="H1228" s="14" t="n">
        <x:f>('등급 계산식'!$E$4-F1228)*'등급 계산식'!$B$5</x:f>
        <x:v>0</x:v>
      </x:c>
      <x:c r="I1228" s="14" t="n">
        <x:f>1-G1228-H1228</x:f>
        <x:v>0.44000000000000006</x:v>
      </x:c>
      <x:c r="J1228" s="2" t="n">
        <x:f>MAX(1,ROUND('기준스탯 72종'!D56-R1228-Z1228,0))</x:f>
        <x:v>3</x:v>
      </x:c>
      <x:c r="K1228" s="2" t="n">
        <x:f>MAX(1,ROUND('기준스탯 72종'!E56-S1228-AA1228,0))</x:f>
        <x:v>3</x:v>
      </x:c>
      <x:c r="L1228" s="2" t="n">
        <x:f>MAX(1,ROUND('기준스탯 72종'!F56-T1228-AB1228,0))</x:f>
        <x:v>4</x:v>
      </x:c>
      <x:c r="M1228" s="2" t="n">
        <x:f>MAX(1,ROUND('기준스탯 72종'!G56-U1228-AC1228,0))</x:f>
        <x:v>4</x:v>
      </x:c>
      <x:c r="N1228" s="2" t="n">
        <x:f>MAX(0,ROUND('기준스탯 72종'!H56-V1228-AD1228,0))</x:f>
        <x:v>2</x:v>
      </x:c>
      <x:c r="O1228" s="2" t="n">
        <x:f>MAX(0,ROUND('기준스탯 72종'!I56-W1228-AE1228,0))</x:f>
        <x:v>2</x:v>
      </x:c>
      <x:c r="P1228" s="2" t="n">
        <x:f>MAX(0,ROUND('기준스탯 72종'!J56-X1228-AF1228,0))</x:f>
        <x:v>2</x:v>
      </x:c>
      <x:c r="Q1228" s="2" t="n">
        <x:f>MAX(0,ROUND('기준스탯 72종'!K56-Y1228-AG1228,0))</x:f>
        <x:v>1</x:v>
      </x:c>
      <x:c r="R1228" s="15" t="n">
        <x:f>'기준스탯 72종'!D56*G1228</x:f>
        <x:v>3.9199999999999995</x:v>
      </x:c>
      <x:c r="S1228" s="15" t="n">
        <x:f>'기준스탯 72종'!E56*G1228</x:f>
        <x:v>3.9199999999999995</x:v>
      </x:c>
      <x:c r="T1228" s="15" t="n">
        <x:f>'기준스탯 72종'!F56*G1228</x:f>
        <x:v>4.4799999999999995</x:v>
      </x:c>
      <x:c r="U1228" s="15" t="n">
        <x:f>'기준스탯 72종'!G56*G1228</x:f>
        <x:v>4.4799999999999995</x:v>
      </x:c>
      <x:c r="V1228" s="15" t="n">
        <x:f>'기준스탯 72종'!H56*G1228</x:f>
        <x:v>2.8</x:v>
      </x:c>
      <x:c r="W1228" s="15" t="n">
        <x:f>'기준스탯 72종'!I56*G1228</x:f>
        <x:v>2.2399999999999998</x:v>
      </x:c>
      <x:c r="X1228" s="15" t="n">
        <x:f>'기준스탯 72종'!J56*G1228</x:f>
        <x:v>2.2399999999999998</x:v>
      </x:c>
      <x:c r="Y1228" s="15" t="n">
        <x:f>'기준스탯 72종'!K56*G1228</x:f>
        <x:v>1.6799999999999997</x:v>
      </x:c>
      <x:c r="Z1228" s="15" t="n">
        <x:f>'기준스탯 72종'!D56*H1228</x:f>
        <x:v>0</x:v>
      </x:c>
      <x:c r="AA1228" s="15" t="n">
        <x:f>'기준스탯 72종'!E56*H1228</x:f>
        <x:v>0</x:v>
      </x:c>
      <x:c r="AB1228" s="15" t="n">
        <x:f>'기준스탯 72종'!F56*H1228</x:f>
        <x:v>0</x:v>
      </x:c>
      <x:c r="AC1228" s="15" t="n">
        <x:f>'기준스탯 72종'!G56*H1228</x:f>
        <x:v>0</x:v>
      </x:c>
      <x:c r="AD1228" s="15" t="n">
        <x:f>'기준스탯 72종'!H56*H1228</x:f>
        <x:v>0</x:v>
      </x:c>
      <x:c r="AE1228" s="15" t="n">
        <x:f>'기준스탯 72종'!I56*H1228</x:f>
        <x:v>0</x:v>
      </x:c>
      <x:c r="AF1228" s="15" t="n">
        <x:f>'기준스탯 72종'!J56*H1228</x:f>
        <x:v>0</x:v>
      </x:c>
      <x:c r="AG1228" s="15" t="n">
        <x:f>'기준스탯 72종'!K56*H1228</x:f>
        <x:v>0</x:v>
      </x:c>
    </x:row>
    <x:row r="1229" ht="28" customHeight="1">
      <x:c r="A1229" s="2" t="n">
        <x:v>1222</x:v>
      </x:c>
      <x:c r="B1229" s="2" t="n">
        <x:v>49</x:v>
      </x:c>
      <x:c r="C1229" s="2" t="str">
        <x:v>사수자리</x:v>
      </x:c>
      <x:c r="D1229" s="2" t="str">
        <x:v>기사</x:v>
      </x:c>
      <x:c r="E1229" s="2" t="n">
        <x:v>2</x:v>
      </x:c>
      <x:c r="F1229" s="2" t="n">
        <x:v>5</x:v>
      </x:c>
      <x:c r="G1229" s="14" t="n">
        <x:f>('레벨 계산식'!$E$4-E1229)*'레벨 계산식'!$B$5</x:f>
        <x:v>0.41999999999999993</x:v>
      </x:c>
      <x:c r="H1229" s="14" t="n">
        <x:f>('등급 계산식'!$E$4-F1229)*'등급 계산식'!$B$5</x:f>
        <x:v>0</x:v>
      </x:c>
      <x:c r="I1229" s="14" t="n">
        <x:f>1-G1229-H1229</x:f>
        <x:v>0.5800000000000001</x:v>
      </x:c>
      <x:c r="J1229" s="2" t="n">
        <x:f>MAX(1,ROUND('기준스탯 72종'!D56-R1229-Z1229,0))</x:f>
        <x:v>4</x:v>
      </x:c>
      <x:c r="K1229" s="2" t="n">
        <x:f>MAX(1,ROUND('기준스탯 72종'!E56-S1229-AA1229,0))</x:f>
        <x:v>4</x:v>
      </x:c>
      <x:c r="L1229" s="2" t="n">
        <x:f>MAX(1,ROUND('기준스탯 72종'!F56-T1229-AB1229,0))</x:f>
        <x:v>5</x:v>
      </x:c>
      <x:c r="M1229" s="2" t="n">
        <x:f>MAX(1,ROUND('기준스탯 72종'!G56-U1229-AC1229,0))</x:f>
        <x:v>5</x:v>
      </x:c>
      <x:c r="N1229" s="2" t="n">
        <x:f>MAX(0,ROUND('기준스탯 72종'!H56-V1229-AD1229,0))</x:f>
        <x:v>3</x:v>
      </x:c>
      <x:c r="O1229" s="2" t="n">
        <x:f>MAX(0,ROUND('기준스탯 72종'!I56-W1229-AE1229,0))</x:f>
        <x:v>2</x:v>
      </x:c>
      <x:c r="P1229" s="2" t="n">
        <x:f>MAX(0,ROUND('기준스탯 72종'!J56-X1229-AF1229,0))</x:f>
        <x:v>2</x:v>
      </x:c>
      <x:c r="Q1229" s="2" t="n">
        <x:f>MAX(0,ROUND('기준스탯 72종'!K56-Y1229-AG1229,0))</x:f>
        <x:v>2</x:v>
      </x:c>
      <x:c r="R1229" s="15" t="n">
        <x:f>'기준스탯 72종'!D56*G1229</x:f>
        <x:v>2.9399999999999995</x:v>
      </x:c>
      <x:c r="S1229" s="15" t="n">
        <x:f>'기준스탯 72종'!E56*G1229</x:f>
        <x:v>2.9399999999999995</x:v>
      </x:c>
      <x:c r="T1229" s="15" t="n">
        <x:f>'기준스탯 72종'!F56*G1229</x:f>
        <x:v>3.3599999999999994</x:v>
      </x:c>
      <x:c r="U1229" s="15" t="n">
        <x:f>'기준스탯 72종'!G56*G1229</x:f>
        <x:v>3.3599999999999994</x:v>
      </x:c>
      <x:c r="V1229" s="15" t="n">
        <x:f>'기준스탯 72종'!H56*G1229</x:f>
        <x:v>2.0999999999999996</x:v>
      </x:c>
      <x:c r="W1229" s="15" t="n">
        <x:f>'기준스탯 72종'!I56*G1229</x:f>
        <x:v>1.6799999999999997</x:v>
      </x:c>
      <x:c r="X1229" s="15" t="n">
        <x:f>'기준스탯 72종'!J56*G1229</x:f>
        <x:v>1.6799999999999997</x:v>
      </x:c>
      <x:c r="Y1229" s="15" t="n">
        <x:f>'기준스탯 72종'!K56*G1229</x:f>
        <x:v>1.2599999999999998</x:v>
      </x:c>
      <x:c r="Z1229" s="15" t="n">
        <x:f>'기준스탯 72종'!D56*H1229</x:f>
        <x:v>0</x:v>
      </x:c>
      <x:c r="AA1229" s="15" t="n">
        <x:f>'기준스탯 72종'!E56*H1229</x:f>
        <x:v>0</x:v>
      </x:c>
      <x:c r="AB1229" s="15" t="n">
        <x:f>'기준스탯 72종'!F56*H1229</x:f>
        <x:v>0</x:v>
      </x:c>
      <x:c r="AC1229" s="15" t="n">
        <x:f>'기준스탯 72종'!G56*H1229</x:f>
        <x:v>0</x:v>
      </x:c>
      <x:c r="AD1229" s="15" t="n">
        <x:f>'기준스탯 72종'!H56*H1229</x:f>
        <x:v>0</x:v>
      </x:c>
      <x:c r="AE1229" s="15" t="n">
        <x:f>'기준스탯 72종'!I56*H1229</x:f>
        <x:v>0</x:v>
      </x:c>
      <x:c r="AF1229" s="15" t="n">
        <x:f>'기준스탯 72종'!J56*H1229</x:f>
        <x:v>0</x:v>
      </x:c>
      <x:c r="AG1229" s="15" t="n">
        <x:f>'기준스탯 72종'!K56*H1229</x:f>
        <x:v>0</x:v>
      </x:c>
    </x:row>
    <x:row r="1230" ht="28" customHeight="1">
      <x:c r="A1230" s="2" t="n">
        <x:v>1223</x:v>
      </x:c>
      <x:c r="B1230" s="2" t="n">
        <x:v>49</x:v>
      </x:c>
      <x:c r="C1230" s="2" t="str">
        <x:v>사수자리</x:v>
      </x:c>
      <x:c r="D1230" s="2" t="str">
        <x:v>기사</x:v>
      </x:c>
      <x:c r="E1230" s="2" t="n">
        <x:v>3</x:v>
      </x:c>
      <x:c r="F1230" s="2" t="n">
        <x:v>5</x:v>
      </x:c>
      <x:c r="G1230" s="14" t="n">
        <x:f>('레벨 계산식'!$E$4-E1230)*'레벨 계산식'!$B$5</x:f>
        <x:v>0.27999999999999997</x:v>
      </x:c>
      <x:c r="H1230" s="14" t="n">
        <x:f>('등급 계산식'!$E$4-F1230)*'등급 계산식'!$B$5</x:f>
        <x:v>0</x:v>
      </x:c>
      <x:c r="I1230" s="14" t="n">
        <x:f>1-G1230-H1230</x:f>
        <x:v>0.72</x:v>
      </x:c>
      <x:c r="J1230" s="2" t="n">
        <x:f>MAX(1,ROUND('기준스탯 72종'!D56-R1230-Z1230,0))</x:f>
        <x:v>5</x:v>
      </x:c>
      <x:c r="K1230" s="2" t="n">
        <x:f>MAX(1,ROUND('기준스탯 72종'!E56-S1230-AA1230,0))</x:f>
        <x:v>5</x:v>
      </x:c>
      <x:c r="L1230" s="2" t="n">
        <x:f>MAX(1,ROUND('기준스탯 72종'!F56-T1230-AB1230,0))</x:f>
        <x:v>6</x:v>
      </x:c>
      <x:c r="M1230" s="2" t="n">
        <x:f>MAX(1,ROUND('기준스탯 72종'!G56-U1230-AC1230,0))</x:f>
        <x:v>6</x:v>
      </x:c>
      <x:c r="N1230" s="2" t="n">
        <x:f>MAX(0,ROUND('기준스탯 72종'!H56-V1230-AD1230,0))</x:f>
        <x:v>4</x:v>
      </x:c>
      <x:c r="O1230" s="2" t="n">
        <x:f>MAX(0,ROUND('기준스탯 72종'!I56-W1230-AE1230,0))</x:f>
        <x:v>3</x:v>
      </x:c>
      <x:c r="P1230" s="2" t="n">
        <x:f>MAX(0,ROUND('기준스탯 72종'!J56-X1230-AF1230,0))</x:f>
        <x:v>3</x:v>
      </x:c>
      <x:c r="Q1230" s="2" t="n">
        <x:f>MAX(0,ROUND('기준스탯 72종'!K56-Y1230-AG1230,0))</x:f>
        <x:v>2</x:v>
      </x:c>
      <x:c r="R1230" s="15" t="n">
        <x:f>'기준스탯 72종'!D56*G1230</x:f>
        <x:v>1.9599999999999997</x:v>
      </x:c>
      <x:c r="S1230" s="15" t="n">
        <x:f>'기준스탯 72종'!E56*G1230</x:f>
        <x:v>1.9599999999999997</x:v>
      </x:c>
      <x:c r="T1230" s="15" t="n">
        <x:f>'기준스탯 72종'!F56*G1230</x:f>
        <x:v>2.2399999999999998</x:v>
      </x:c>
      <x:c r="U1230" s="15" t="n">
        <x:f>'기준스탯 72종'!G56*G1230</x:f>
        <x:v>2.2399999999999998</x:v>
      </x:c>
      <x:c r="V1230" s="15" t="n">
        <x:f>'기준스탯 72종'!H56*G1230</x:f>
        <x:v>1.4</x:v>
      </x:c>
      <x:c r="W1230" s="15" t="n">
        <x:f>'기준스탯 72종'!I56*G1230</x:f>
        <x:v>1.1199999999999999</x:v>
      </x:c>
      <x:c r="X1230" s="15" t="n">
        <x:f>'기준스탯 72종'!J56*G1230</x:f>
        <x:v>1.1199999999999999</x:v>
      </x:c>
      <x:c r="Y1230" s="15" t="n">
        <x:f>'기준스탯 72종'!K56*G1230</x:f>
        <x:v>0.8399999999999999</x:v>
      </x:c>
      <x:c r="Z1230" s="15" t="n">
        <x:f>'기준스탯 72종'!D56*H1230</x:f>
        <x:v>0</x:v>
      </x:c>
      <x:c r="AA1230" s="15" t="n">
        <x:f>'기준스탯 72종'!E56*H1230</x:f>
        <x:v>0</x:v>
      </x:c>
      <x:c r="AB1230" s="15" t="n">
        <x:f>'기준스탯 72종'!F56*H1230</x:f>
        <x:v>0</x:v>
      </x:c>
      <x:c r="AC1230" s="15" t="n">
        <x:f>'기준스탯 72종'!G56*H1230</x:f>
        <x:v>0</x:v>
      </x:c>
      <x:c r="AD1230" s="15" t="n">
        <x:f>'기준스탯 72종'!H56*H1230</x:f>
        <x:v>0</x:v>
      </x:c>
      <x:c r="AE1230" s="15" t="n">
        <x:f>'기준스탯 72종'!I56*H1230</x:f>
        <x:v>0</x:v>
      </x:c>
      <x:c r="AF1230" s="15" t="n">
        <x:f>'기준스탯 72종'!J56*H1230</x:f>
        <x:v>0</x:v>
      </x:c>
      <x:c r="AG1230" s="15" t="n">
        <x:f>'기준스탯 72종'!K56*H1230</x:f>
        <x:v>0</x:v>
      </x:c>
    </x:row>
    <x:row r="1231" ht="28" customHeight="1">
      <x:c r="A1231" s="2" t="n">
        <x:v>1224</x:v>
      </x:c>
      <x:c r="B1231" s="2" t="n">
        <x:v>49</x:v>
      </x:c>
      <x:c r="C1231" s="2" t="str">
        <x:v>사수자리</x:v>
      </x:c>
      <x:c r="D1231" s="2" t="str">
        <x:v>기사</x:v>
      </x:c>
      <x:c r="E1231" s="2" t="n">
        <x:v>4</x:v>
      </x:c>
      <x:c r="F1231" s="2" t="n">
        <x:v>5</x:v>
      </x:c>
      <x:c r="G1231" s="14" t="n">
        <x:f>('레벨 계산식'!$E$4-E1231)*'레벨 계산식'!$B$5</x:f>
        <x:v>0.13999999999999999</x:v>
      </x:c>
      <x:c r="H1231" s="14" t="n">
        <x:f>('등급 계산식'!$E$4-F1231)*'등급 계산식'!$B$5</x:f>
        <x:v>0</x:v>
      </x:c>
      <x:c r="I1231" s="14" t="n">
        <x:f>1-G1231-H1231</x:f>
        <x:v>0.86</x:v>
      </x:c>
      <x:c r="J1231" s="2" t="n">
        <x:f>MAX(1,ROUND('기준스탯 72종'!D56-R1231-Z1231,0))</x:f>
        <x:v>6</x:v>
      </x:c>
      <x:c r="K1231" s="2" t="n">
        <x:f>MAX(1,ROUND('기준스탯 72종'!E56-S1231-AA1231,0))</x:f>
        <x:v>6</x:v>
      </x:c>
      <x:c r="L1231" s="2" t="n">
        <x:f>MAX(1,ROUND('기준스탯 72종'!F56-T1231-AB1231,0))</x:f>
        <x:v>7</x:v>
      </x:c>
      <x:c r="M1231" s="2" t="n">
        <x:f>MAX(1,ROUND('기준스탯 72종'!G56-U1231-AC1231,0))</x:f>
        <x:v>7</x:v>
      </x:c>
      <x:c r="N1231" s="2" t="n">
        <x:f>MAX(0,ROUND('기준스탯 72종'!H56-V1231-AD1231,0))</x:f>
        <x:v>4</x:v>
      </x:c>
      <x:c r="O1231" s="2" t="n">
        <x:f>MAX(0,ROUND('기준스탯 72종'!I56-W1231-AE1231,0))</x:f>
        <x:v>3</x:v>
      </x:c>
      <x:c r="P1231" s="2" t="n">
        <x:f>MAX(0,ROUND('기준스탯 72종'!J56-X1231-AF1231,0))</x:f>
        <x:v>3</x:v>
      </x:c>
      <x:c r="Q1231" s="2" t="n">
        <x:f>MAX(0,ROUND('기준스탯 72종'!K56-Y1231-AG1231,0))</x:f>
        <x:v>3</x:v>
      </x:c>
      <x:c r="R1231" s="15" t="n">
        <x:f>'기준스탯 72종'!D56*G1231</x:f>
        <x:v>0.9799999999999999</x:v>
      </x:c>
      <x:c r="S1231" s="15" t="n">
        <x:f>'기준스탯 72종'!E56*G1231</x:f>
        <x:v>0.9799999999999999</x:v>
      </x:c>
      <x:c r="T1231" s="15" t="n">
        <x:f>'기준스탯 72종'!F56*G1231</x:f>
        <x:v>1.1199999999999999</x:v>
      </x:c>
      <x:c r="U1231" s="15" t="n">
        <x:f>'기준스탯 72종'!G56*G1231</x:f>
        <x:v>1.1199999999999999</x:v>
      </x:c>
      <x:c r="V1231" s="15" t="n">
        <x:f>'기준스탯 72종'!H56*G1231</x:f>
        <x:v>0.7</x:v>
      </x:c>
      <x:c r="W1231" s="15" t="n">
        <x:f>'기준스탯 72종'!I56*G1231</x:f>
        <x:v>0.5599999999999999</x:v>
      </x:c>
      <x:c r="X1231" s="15" t="n">
        <x:f>'기준스탯 72종'!J56*G1231</x:f>
        <x:v>0.5599999999999999</x:v>
      </x:c>
      <x:c r="Y1231" s="15" t="n">
        <x:f>'기준스탯 72종'!K56*G1231</x:f>
        <x:v>0.41999999999999993</x:v>
      </x:c>
      <x:c r="Z1231" s="15" t="n">
        <x:f>'기준스탯 72종'!D56*H1231</x:f>
        <x:v>0</x:v>
      </x:c>
      <x:c r="AA1231" s="15" t="n">
        <x:f>'기준스탯 72종'!E56*H1231</x:f>
        <x:v>0</x:v>
      </x:c>
      <x:c r="AB1231" s="15" t="n">
        <x:f>'기준스탯 72종'!F56*H1231</x:f>
        <x:v>0</x:v>
      </x:c>
      <x:c r="AC1231" s="15" t="n">
        <x:f>'기준스탯 72종'!G56*H1231</x:f>
        <x:v>0</x:v>
      </x:c>
      <x:c r="AD1231" s="15" t="n">
        <x:f>'기준스탯 72종'!H56*H1231</x:f>
        <x:v>0</x:v>
      </x:c>
      <x:c r="AE1231" s="15" t="n">
        <x:f>'기준스탯 72종'!I56*H1231</x:f>
        <x:v>0</x:v>
      </x:c>
      <x:c r="AF1231" s="15" t="n">
        <x:f>'기준스탯 72종'!J56*H1231</x:f>
        <x:v>0</x:v>
      </x:c>
      <x:c r="AG1231" s="15" t="n">
        <x:f>'기준스탯 72종'!K56*H1231</x:f>
        <x:v>0</x:v>
      </x:c>
    </x:row>
    <x:row r="1232" ht="28" customHeight="1">
      <x:c r="A1232" s="2" t="n">
        <x:v>1225</x:v>
      </x:c>
      <x:c r="B1232" s="2" t="n">
        <x:v>49</x:v>
      </x:c>
      <x:c r="C1232" s="2" t="str">
        <x:v>사수자리</x:v>
      </x:c>
      <x:c r="D1232" s="2" t="str">
        <x:v>기사</x:v>
      </x:c>
      <x:c r="E1232" s="2" t="n">
        <x:v>5</x:v>
      </x:c>
      <x:c r="F1232" s="2" t="n">
        <x:v>5</x:v>
      </x:c>
      <x:c r="G1232" s="14" t="n">
        <x:f>('레벨 계산식'!$E$4-E1232)*'레벨 계산식'!$B$5</x:f>
        <x:v>0</x:v>
      </x:c>
      <x:c r="H1232" s="14" t="n">
        <x:f>('등급 계산식'!$E$4-F1232)*'등급 계산식'!$B$5</x:f>
        <x:v>0</x:v>
      </x:c>
      <x:c r="I1232" s="14" t="n">
        <x:f>1-G1232-H1232</x:f>
        <x:v>1</x:v>
      </x:c>
      <x:c r="J1232" s="2" t="n">
        <x:f>MAX(1,ROUND('기준스탯 72종'!D56-R1232-Z1232,0))</x:f>
        <x:v>7</x:v>
      </x:c>
      <x:c r="K1232" s="2" t="n">
        <x:f>MAX(1,ROUND('기준스탯 72종'!E56-S1232-AA1232,0))</x:f>
        <x:v>7</x:v>
      </x:c>
      <x:c r="L1232" s="2" t="n">
        <x:f>MAX(1,ROUND('기준스탯 72종'!F56-T1232-AB1232,0))</x:f>
        <x:v>8</x:v>
      </x:c>
      <x:c r="M1232" s="2" t="n">
        <x:f>MAX(1,ROUND('기준스탯 72종'!G56-U1232-AC1232,0))</x:f>
        <x:v>8</x:v>
      </x:c>
      <x:c r="N1232" s="2" t="n">
        <x:f>MAX(0,ROUND('기준스탯 72종'!H56-V1232-AD1232,0))</x:f>
        <x:v>5</x:v>
      </x:c>
      <x:c r="O1232" s="2" t="n">
        <x:f>MAX(0,ROUND('기준스탯 72종'!I56-W1232-AE1232,0))</x:f>
        <x:v>4</x:v>
      </x:c>
      <x:c r="P1232" s="2" t="n">
        <x:f>MAX(0,ROUND('기준스탯 72종'!J56-X1232-AF1232,0))</x:f>
        <x:v>4</x:v>
      </x:c>
      <x:c r="Q1232" s="2" t="n">
        <x:f>MAX(0,ROUND('기준스탯 72종'!K56-Y1232-AG1232,0))</x:f>
        <x:v>3</x:v>
      </x:c>
      <x:c r="R1232" s="15" t="n">
        <x:f>'기준스탯 72종'!D56*G1232</x:f>
        <x:v>0</x:v>
      </x:c>
      <x:c r="S1232" s="15" t="n">
        <x:f>'기준스탯 72종'!E56*G1232</x:f>
        <x:v>0</x:v>
      </x:c>
      <x:c r="T1232" s="15" t="n">
        <x:f>'기준스탯 72종'!F56*G1232</x:f>
        <x:v>0</x:v>
      </x:c>
      <x:c r="U1232" s="15" t="n">
        <x:f>'기준스탯 72종'!G56*G1232</x:f>
        <x:v>0</x:v>
      </x:c>
      <x:c r="V1232" s="15" t="n">
        <x:f>'기준스탯 72종'!H56*G1232</x:f>
        <x:v>0</x:v>
      </x:c>
      <x:c r="W1232" s="15" t="n">
        <x:f>'기준스탯 72종'!I56*G1232</x:f>
        <x:v>0</x:v>
      </x:c>
      <x:c r="X1232" s="15" t="n">
        <x:f>'기준스탯 72종'!J56*G1232</x:f>
        <x:v>0</x:v>
      </x:c>
      <x:c r="Y1232" s="15" t="n">
        <x:f>'기준스탯 72종'!K56*G1232</x:f>
        <x:v>0</x:v>
      </x:c>
      <x:c r="Z1232" s="15" t="n">
        <x:f>'기준스탯 72종'!D56*H1232</x:f>
        <x:v>0</x:v>
      </x:c>
      <x:c r="AA1232" s="15" t="n">
        <x:f>'기준스탯 72종'!E56*H1232</x:f>
        <x:v>0</x:v>
      </x:c>
      <x:c r="AB1232" s="15" t="n">
        <x:f>'기준스탯 72종'!F56*H1232</x:f>
        <x:v>0</x:v>
      </x:c>
      <x:c r="AC1232" s="15" t="n">
        <x:f>'기준스탯 72종'!G56*H1232</x:f>
        <x:v>0</x:v>
      </x:c>
      <x:c r="AD1232" s="15" t="n">
        <x:f>'기준스탯 72종'!H56*H1232</x:f>
        <x:v>0</x:v>
      </x:c>
      <x:c r="AE1232" s="15" t="n">
        <x:f>'기준스탯 72종'!I56*H1232</x:f>
        <x:v>0</x:v>
      </x:c>
      <x:c r="AF1232" s="15" t="n">
        <x:f>'기준스탯 72종'!J56*H1232</x:f>
        <x:v>0</x:v>
      </x:c>
      <x:c r="AG1232" s="15" t="n">
        <x:f>'기준스탯 72종'!K56*H1232</x:f>
        <x:v>0</x:v>
      </x:c>
    </x:row>
    <x:row r="1233" ht="28" customHeight="1">
      <x:c r="A1233" s="2" t="n">
        <x:v>1226</x:v>
      </x:c>
      <x:c r="B1233" s="2" t="n">
        <x:v>50</x:v>
      </x:c>
      <x:c r="C1233" s="2" t="str">
        <x:v>사수자리</x:v>
      </x:c>
      <x:c r="D1233" s="2" t="str">
        <x:v>마도사</x:v>
      </x:c>
      <x:c r="E1233" s="2" t="n">
        <x:v>1</x:v>
      </x:c>
      <x:c r="F1233" s="2" t="n">
        <x:v>1</x:v>
      </x:c>
      <x:c r="G1233" s="14" t="n">
        <x:f>('레벨 계산식'!$E$4-E1233)*'레벨 계산식'!$B$5</x:f>
        <x:v>0.5599999999999999</x:v>
      </x:c>
      <x:c r="H1233" s="14" t="n">
        <x:f>('등급 계산식'!$E$4-F1233)*'등급 계산식'!$B$5</x:f>
        <x:v>0.24000000000000005</x:v>
      </x:c>
      <x:c r="I1233" s="14" t="n">
        <x:f>1-G1233-H1233</x:f>
        <x:v>0.2</x:v>
      </x:c>
      <x:c r="J1233" s="2" t="n">
        <x:f>MAX(1,ROUND('기준스탯 72종'!D57-R1233-Z1233,0))</x:f>
        <x:v>2</x:v>
      </x:c>
      <x:c r="K1233" s="2" t="n">
        <x:f>MAX(1,ROUND('기준스탯 72종'!E57-S1233-AA1233,0))</x:f>
        <x:v>1</x:v>
      </x:c>
      <x:c r="L1233" s="2" t="n">
        <x:f>MAX(1,ROUND('기준스탯 72종'!F57-T1233-AB1233,0))</x:f>
        <x:v>1</x:v>
      </x:c>
      <x:c r="M1233" s="2" t="n">
        <x:f>MAX(1,ROUND('기준스탯 72종'!G57-U1233-AC1233,0))</x:f>
        <x:v>2</x:v>
      </x:c>
      <x:c r="N1233" s="2" t="n">
        <x:f>MAX(0,ROUND('기준스탯 72종'!H57-V1233-AD1233,0))</x:f>
        <x:v>1</x:v>
      </x:c>
      <x:c r="O1233" s="2" t="n">
        <x:f>MAX(0,ROUND('기준스탯 72종'!I57-W1233-AE1233,0))</x:f>
        <x:v>1</x:v>
      </x:c>
      <x:c r="P1233" s="2" t="n">
        <x:f>MAX(0,ROUND('기준스탯 72종'!J57-X1233-AF1233,0))</x:f>
        <x:v>1</x:v>
      </x:c>
      <x:c r="Q1233" s="2" t="n">
        <x:f>MAX(0,ROUND('기준스탯 72종'!K57-Y1233-AG1233,0))</x:f>
        <x:v>0</x:v>
      </x:c>
      <x:c r="R1233" s="15" t="n">
        <x:f>'기준스탯 72종'!D57*G1233</x:f>
        <x:v>5.039999999999999</x:v>
      </x:c>
      <x:c r="S1233" s="15" t="n">
        <x:f>'기준스탯 72종'!E57*G1233</x:f>
        <x:v>2.8</x:v>
      </x:c>
      <x:c r="T1233" s="15" t="n">
        <x:f>'기준스탯 72종'!F57*G1233</x:f>
        <x:v>3.3599999999999994</x:v>
      </x:c>
      <x:c r="U1233" s="15" t="n">
        <x:f>'기준스탯 72종'!G57*G1233</x:f>
        <x:v>5.039999999999999</x:v>
      </x:c>
      <x:c r="V1233" s="15" t="n">
        <x:f>'기준스탯 72종'!H57*G1233</x:f>
        <x:v>3.3599999999999994</x:v>
      </x:c>
      <x:c r="W1233" s="15" t="n">
        <x:f>'기준스탯 72종'!I57*G1233</x:f>
        <x:v>3.3599999999999994</x:v>
      </x:c>
      <x:c r="X1233" s="15" t="n">
        <x:f>'기준스탯 72종'!J57*G1233</x:f>
        <x:v>2.2399999999999998</x:v>
      </x:c>
      <x:c r="Y1233" s="15" t="n">
        <x:f>'기준스탯 72종'!K57*G1233</x:f>
        <x:v>0</x:v>
      </x:c>
      <x:c r="Z1233" s="15" t="n">
        <x:f>'기준스탯 72종'!D57*H1233</x:f>
        <x:v>2.1600000000000006</x:v>
      </x:c>
      <x:c r="AA1233" s="15" t="n">
        <x:f>'기준스탯 72종'!E57*H1233</x:f>
        <x:v>1.2000000000000002</x:v>
      </x:c>
      <x:c r="AB1233" s="15" t="n">
        <x:f>'기준스탯 72종'!F57*H1233</x:f>
        <x:v>1.4400000000000004</x:v>
      </x:c>
      <x:c r="AC1233" s="15" t="n">
        <x:f>'기준스탯 72종'!G57*H1233</x:f>
        <x:v>2.1600000000000006</x:v>
      </x:c>
      <x:c r="AD1233" s="15" t="n">
        <x:f>'기준스탯 72종'!H57*H1233</x:f>
        <x:v>1.4400000000000004</x:v>
      </x:c>
      <x:c r="AE1233" s="15" t="n">
        <x:f>'기준스탯 72종'!I57*H1233</x:f>
        <x:v>1.4400000000000004</x:v>
      </x:c>
      <x:c r="AF1233" s="15" t="n">
        <x:f>'기준스탯 72종'!J57*H1233</x:f>
        <x:v>0.9600000000000002</x:v>
      </x:c>
      <x:c r="AG1233" s="15" t="n">
        <x:f>'기준스탯 72종'!K57*H1233</x:f>
        <x:v>0</x:v>
      </x:c>
    </x:row>
    <x:row r="1234" ht="28" customHeight="1">
      <x:c r="A1234" s="2" t="n">
        <x:v>1227</x:v>
      </x:c>
      <x:c r="B1234" s="2" t="n">
        <x:v>50</x:v>
      </x:c>
      <x:c r="C1234" s="2" t="str">
        <x:v>사수자리</x:v>
      </x:c>
      <x:c r="D1234" s="2" t="str">
        <x:v>마도사</x:v>
      </x:c>
      <x:c r="E1234" s="2" t="n">
        <x:v>2</x:v>
      </x:c>
      <x:c r="F1234" s="2" t="n">
        <x:v>1</x:v>
      </x:c>
      <x:c r="G1234" s="14" t="n">
        <x:f>('레벨 계산식'!$E$4-E1234)*'레벨 계산식'!$B$5</x:f>
        <x:v>0.41999999999999993</x:v>
      </x:c>
      <x:c r="H1234" s="14" t="n">
        <x:f>('등급 계산식'!$E$4-F1234)*'등급 계산식'!$B$5</x:f>
        <x:v>0.24000000000000005</x:v>
      </x:c>
      <x:c r="I1234" s="14" t="n">
        <x:f>1-G1234-H1234</x:f>
        <x:v>0.34</x:v>
      </x:c>
      <x:c r="J1234" s="2" t="n">
        <x:f>MAX(1,ROUND('기준스탯 72종'!D57-R1234-Z1234,0))</x:f>
        <x:v>3</x:v>
      </x:c>
      <x:c r="K1234" s="2" t="n">
        <x:f>MAX(1,ROUND('기준스탯 72종'!E57-S1234-AA1234,0))</x:f>
        <x:v>2</x:v>
      </x:c>
      <x:c r="L1234" s="2" t="n">
        <x:f>MAX(1,ROUND('기준스탯 72종'!F57-T1234-AB1234,0))</x:f>
        <x:v>2</x:v>
      </x:c>
      <x:c r="M1234" s="2" t="n">
        <x:f>MAX(1,ROUND('기준스탯 72종'!G57-U1234-AC1234,0))</x:f>
        <x:v>3</x:v>
      </x:c>
      <x:c r="N1234" s="2" t="n">
        <x:f>MAX(0,ROUND('기준스탯 72종'!H57-V1234-AD1234,0))</x:f>
        <x:v>2</x:v>
      </x:c>
      <x:c r="O1234" s="2" t="n">
        <x:f>MAX(0,ROUND('기준스탯 72종'!I57-W1234-AE1234,0))</x:f>
        <x:v>2</x:v>
      </x:c>
      <x:c r="P1234" s="2" t="n">
        <x:f>MAX(0,ROUND('기준스탯 72종'!J57-X1234-AF1234,0))</x:f>
        <x:v>1</x:v>
      </x:c>
      <x:c r="Q1234" s="2" t="n">
        <x:f>MAX(0,ROUND('기준스탯 72종'!K57-Y1234-AG1234,0))</x:f>
        <x:v>0</x:v>
      </x:c>
      <x:c r="R1234" s="15" t="n">
        <x:f>'기준스탯 72종'!D57*G1234</x:f>
        <x:v>3.7799999999999994</x:v>
      </x:c>
      <x:c r="S1234" s="15" t="n">
        <x:f>'기준스탯 72종'!E57*G1234</x:f>
        <x:v>2.0999999999999996</x:v>
      </x:c>
      <x:c r="T1234" s="15" t="n">
        <x:f>'기준스탯 72종'!F57*G1234</x:f>
        <x:v>2.5199999999999996</x:v>
      </x:c>
      <x:c r="U1234" s="15" t="n">
        <x:f>'기준스탯 72종'!G57*G1234</x:f>
        <x:v>3.7799999999999994</x:v>
      </x:c>
      <x:c r="V1234" s="15" t="n">
        <x:f>'기준스탯 72종'!H57*G1234</x:f>
        <x:v>2.5199999999999996</x:v>
      </x:c>
      <x:c r="W1234" s="15" t="n">
        <x:f>'기준스탯 72종'!I57*G1234</x:f>
        <x:v>2.5199999999999996</x:v>
      </x:c>
      <x:c r="X1234" s="15" t="n">
        <x:f>'기준스탯 72종'!J57*G1234</x:f>
        <x:v>1.6799999999999997</x:v>
      </x:c>
      <x:c r="Y1234" s="15" t="n">
        <x:f>'기준스탯 72종'!K57*G1234</x:f>
        <x:v>0</x:v>
      </x:c>
      <x:c r="Z1234" s="15" t="n">
        <x:f>'기준스탯 72종'!D57*H1234</x:f>
        <x:v>2.1600000000000006</x:v>
      </x:c>
      <x:c r="AA1234" s="15" t="n">
        <x:f>'기준스탯 72종'!E57*H1234</x:f>
        <x:v>1.2000000000000002</x:v>
      </x:c>
      <x:c r="AB1234" s="15" t="n">
        <x:f>'기준스탯 72종'!F57*H1234</x:f>
        <x:v>1.4400000000000004</x:v>
      </x:c>
      <x:c r="AC1234" s="15" t="n">
        <x:f>'기준스탯 72종'!G57*H1234</x:f>
        <x:v>2.1600000000000006</x:v>
      </x:c>
      <x:c r="AD1234" s="15" t="n">
        <x:f>'기준스탯 72종'!H57*H1234</x:f>
        <x:v>1.4400000000000004</x:v>
      </x:c>
      <x:c r="AE1234" s="15" t="n">
        <x:f>'기준스탯 72종'!I57*H1234</x:f>
        <x:v>1.4400000000000004</x:v>
      </x:c>
      <x:c r="AF1234" s="15" t="n">
        <x:f>'기준스탯 72종'!J57*H1234</x:f>
        <x:v>0.9600000000000002</x:v>
      </x:c>
      <x:c r="AG1234" s="15" t="n">
        <x:f>'기준스탯 72종'!K57*H1234</x:f>
        <x:v>0</x:v>
      </x:c>
    </x:row>
    <x:row r="1235" ht="28" customHeight="1">
      <x:c r="A1235" s="2" t="n">
        <x:v>1228</x:v>
      </x:c>
      <x:c r="B1235" s="2" t="n">
        <x:v>50</x:v>
      </x:c>
      <x:c r="C1235" s="2" t="str">
        <x:v>사수자리</x:v>
      </x:c>
      <x:c r="D1235" s="2" t="str">
        <x:v>마도사</x:v>
      </x:c>
      <x:c r="E1235" s="2" t="n">
        <x:v>3</x:v>
      </x:c>
      <x:c r="F1235" s="2" t="n">
        <x:v>1</x:v>
      </x:c>
      <x:c r="G1235" s="14" t="n">
        <x:f>('레벨 계산식'!$E$4-E1235)*'레벨 계산식'!$B$5</x:f>
        <x:v>0.27999999999999997</x:v>
      </x:c>
      <x:c r="H1235" s="14" t="n">
        <x:f>('등급 계산식'!$E$4-F1235)*'등급 계산식'!$B$5</x:f>
        <x:v>0.24000000000000005</x:v>
      </x:c>
      <x:c r="I1235" s="14" t="n">
        <x:f>1-G1235-H1235</x:f>
        <x:v>0.4799999999999999</x:v>
      </x:c>
      <x:c r="J1235" s="2" t="n">
        <x:f>MAX(1,ROUND('기준스탯 72종'!D57-R1235-Z1235,0))</x:f>
        <x:v>4</x:v>
      </x:c>
      <x:c r="K1235" s="2" t="n">
        <x:f>MAX(1,ROUND('기준스탯 72종'!E57-S1235-AA1235,0))</x:f>
        <x:v>2</x:v>
      </x:c>
      <x:c r="L1235" s="2" t="n">
        <x:f>MAX(1,ROUND('기준스탯 72종'!F57-T1235-AB1235,0))</x:f>
        <x:v>3</x:v>
      </x:c>
      <x:c r="M1235" s="2" t="n">
        <x:f>MAX(1,ROUND('기준스탯 72종'!G57-U1235-AC1235,0))</x:f>
        <x:v>4</x:v>
      </x:c>
      <x:c r="N1235" s="2" t="n">
        <x:f>MAX(0,ROUND('기준스탯 72종'!H57-V1235-AD1235,0))</x:f>
        <x:v>3</x:v>
      </x:c>
      <x:c r="O1235" s="2" t="n">
        <x:f>MAX(0,ROUND('기준스탯 72종'!I57-W1235-AE1235,0))</x:f>
        <x:v>3</x:v>
      </x:c>
      <x:c r="P1235" s="2" t="n">
        <x:f>MAX(0,ROUND('기준스탯 72종'!J57-X1235-AF1235,0))</x:f>
        <x:v>2</x:v>
      </x:c>
      <x:c r="Q1235" s="2" t="n">
        <x:f>MAX(0,ROUND('기준스탯 72종'!K57-Y1235-AG1235,0))</x:f>
        <x:v>0</x:v>
      </x:c>
      <x:c r="R1235" s="15" t="n">
        <x:f>'기준스탯 72종'!D57*G1235</x:f>
        <x:v>2.5199999999999996</x:v>
      </x:c>
      <x:c r="S1235" s="15" t="n">
        <x:f>'기준스탯 72종'!E57*G1235</x:f>
        <x:v>1.4</x:v>
      </x:c>
      <x:c r="T1235" s="15" t="n">
        <x:f>'기준스탯 72종'!F57*G1235</x:f>
        <x:v>1.6799999999999997</x:v>
      </x:c>
      <x:c r="U1235" s="15" t="n">
        <x:f>'기준스탯 72종'!G57*G1235</x:f>
        <x:v>2.5199999999999996</x:v>
      </x:c>
      <x:c r="V1235" s="15" t="n">
        <x:f>'기준스탯 72종'!H57*G1235</x:f>
        <x:v>1.6799999999999997</x:v>
      </x:c>
      <x:c r="W1235" s="15" t="n">
        <x:f>'기준스탯 72종'!I57*G1235</x:f>
        <x:v>1.6799999999999997</x:v>
      </x:c>
      <x:c r="X1235" s="15" t="n">
        <x:f>'기준스탯 72종'!J57*G1235</x:f>
        <x:v>1.1199999999999999</x:v>
      </x:c>
      <x:c r="Y1235" s="15" t="n">
        <x:f>'기준스탯 72종'!K57*G1235</x:f>
        <x:v>0</x:v>
      </x:c>
      <x:c r="Z1235" s="15" t="n">
        <x:f>'기준스탯 72종'!D57*H1235</x:f>
        <x:v>2.1600000000000006</x:v>
      </x:c>
      <x:c r="AA1235" s="15" t="n">
        <x:f>'기준스탯 72종'!E57*H1235</x:f>
        <x:v>1.2000000000000002</x:v>
      </x:c>
      <x:c r="AB1235" s="15" t="n">
        <x:f>'기준스탯 72종'!F57*H1235</x:f>
        <x:v>1.4400000000000004</x:v>
      </x:c>
      <x:c r="AC1235" s="15" t="n">
        <x:f>'기준스탯 72종'!G57*H1235</x:f>
        <x:v>2.1600000000000006</x:v>
      </x:c>
      <x:c r="AD1235" s="15" t="n">
        <x:f>'기준스탯 72종'!H57*H1235</x:f>
        <x:v>1.4400000000000004</x:v>
      </x:c>
      <x:c r="AE1235" s="15" t="n">
        <x:f>'기준스탯 72종'!I57*H1235</x:f>
        <x:v>1.4400000000000004</x:v>
      </x:c>
      <x:c r="AF1235" s="15" t="n">
        <x:f>'기준스탯 72종'!J57*H1235</x:f>
        <x:v>0.9600000000000002</x:v>
      </x:c>
      <x:c r="AG1235" s="15" t="n">
        <x:f>'기준스탯 72종'!K57*H1235</x:f>
        <x:v>0</x:v>
      </x:c>
    </x:row>
    <x:row r="1236" ht="28" customHeight="1">
      <x:c r="A1236" s="2" t="n">
        <x:v>1229</x:v>
      </x:c>
      <x:c r="B1236" s="2" t="n">
        <x:v>50</x:v>
      </x:c>
      <x:c r="C1236" s="2" t="str">
        <x:v>사수자리</x:v>
      </x:c>
      <x:c r="D1236" s="2" t="str">
        <x:v>마도사</x:v>
      </x:c>
      <x:c r="E1236" s="2" t="n">
        <x:v>4</x:v>
      </x:c>
      <x:c r="F1236" s="2" t="n">
        <x:v>1</x:v>
      </x:c>
      <x:c r="G1236" s="14" t="n">
        <x:f>('레벨 계산식'!$E$4-E1236)*'레벨 계산식'!$B$5</x:f>
        <x:v>0.13999999999999999</x:v>
      </x:c>
      <x:c r="H1236" s="14" t="n">
        <x:f>('등급 계산식'!$E$4-F1236)*'등급 계산식'!$B$5</x:f>
        <x:v>0.24000000000000005</x:v>
      </x:c>
      <x:c r="I1236" s="14" t="n">
        <x:f>1-G1236-H1236</x:f>
        <x:v>0.6199999999999999</x:v>
      </x:c>
      <x:c r="J1236" s="2" t="n">
        <x:f>MAX(1,ROUND('기준스탯 72종'!D57-R1236-Z1236,0))</x:f>
        <x:v>6</x:v>
      </x:c>
      <x:c r="K1236" s="2" t="n">
        <x:f>MAX(1,ROUND('기준스탯 72종'!E57-S1236-AA1236,0))</x:f>
        <x:v>3</x:v>
      </x:c>
      <x:c r="L1236" s="2" t="n">
        <x:f>MAX(1,ROUND('기준스탯 72종'!F57-T1236-AB1236,0))</x:f>
        <x:v>4</x:v>
      </x:c>
      <x:c r="M1236" s="2" t="n">
        <x:f>MAX(1,ROUND('기준스탯 72종'!G57-U1236-AC1236,0))</x:f>
        <x:v>6</x:v>
      </x:c>
      <x:c r="N1236" s="2" t="n">
        <x:f>MAX(0,ROUND('기준스탯 72종'!H57-V1236-AD1236,0))</x:f>
        <x:v>4</x:v>
      </x:c>
      <x:c r="O1236" s="2" t="n">
        <x:f>MAX(0,ROUND('기준스탯 72종'!I57-W1236-AE1236,0))</x:f>
        <x:v>4</x:v>
      </x:c>
      <x:c r="P1236" s="2" t="n">
        <x:f>MAX(0,ROUND('기준스탯 72종'!J57-X1236-AF1236,0))</x:f>
        <x:v>2</x:v>
      </x:c>
      <x:c r="Q1236" s="2" t="n">
        <x:f>MAX(0,ROUND('기준스탯 72종'!K57-Y1236-AG1236,0))</x:f>
        <x:v>0</x:v>
      </x:c>
      <x:c r="R1236" s="15" t="n">
        <x:f>'기준스탯 72종'!D57*G1236</x:f>
        <x:v>1.2599999999999998</x:v>
      </x:c>
      <x:c r="S1236" s="15" t="n">
        <x:f>'기준스탯 72종'!E57*G1236</x:f>
        <x:v>0.7</x:v>
      </x:c>
      <x:c r="T1236" s="15" t="n">
        <x:f>'기준스탯 72종'!F57*G1236</x:f>
        <x:v>0.8399999999999999</x:v>
      </x:c>
      <x:c r="U1236" s="15" t="n">
        <x:f>'기준스탯 72종'!G57*G1236</x:f>
        <x:v>1.2599999999999998</x:v>
      </x:c>
      <x:c r="V1236" s="15" t="n">
        <x:f>'기준스탯 72종'!H57*G1236</x:f>
        <x:v>0.8399999999999999</x:v>
      </x:c>
      <x:c r="W1236" s="15" t="n">
        <x:f>'기준스탯 72종'!I57*G1236</x:f>
        <x:v>0.8399999999999999</x:v>
      </x:c>
      <x:c r="X1236" s="15" t="n">
        <x:f>'기준스탯 72종'!J57*G1236</x:f>
        <x:v>0.5599999999999999</x:v>
      </x:c>
      <x:c r="Y1236" s="15" t="n">
        <x:f>'기준스탯 72종'!K57*G1236</x:f>
        <x:v>0</x:v>
      </x:c>
      <x:c r="Z1236" s="15" t="n">
        <x:f>'기준스탯 72종'!D57*H1236</x:f>
        <x:v>2.1600000000000006</x:v>
      </x:c>
      <x:c r="AA1236" s="15" t="n">
        <x:f>'기준스탯 72종'!E57*H1236</x:f>
        <x:v>1.2000000000000002</x:v>
      </x:c>
      <x:c r="AB1236" s="15" t="n">
        <x:f>'기준스탯 72종'!F57*H1236</x:f>
        <x:v>1.4400000000000004</x:v>
      </x:c>
      <x:c r="AC1236" s="15" t="n">
        <x:f>'기준스탯 72종'!G57*H1236</x:f>
        <x:v>2.1600000000000006</x:v>
      </x:c>
      <x:c r="AD1236" s="15" t="n">
        <x:f>'기준스탯 72종'!H57*H1236</x:f>
        <x:v>1.4400000000000004</x:v>
      </x:c>
      <x:c r="AE1236" s="15" t="n">
        <x:f>'기준스탯 72종'!I57*H1236</x:f>
        <x:v>1.4400000000000004</x:v>
      </x:c>
      <x:c r="AF1236" s="15" t="n">
        <x:f>'기준스탯 72종'!J57*H1236</x:f>
        <x:v>0.9600000000000002</x:v>
      </x:c>
      <x:c r="AG1236" s="15" t="n">
        <x:f>'기준스탯 72종'!K57*H1236</x:f>
        <x:v>0</x:v>
      </x:c>
    </x:row>
    <x:row r="1237" ht="28" customHeight="1">
      <x:c r="A1237" s="2" t="n">
        <x:v>1230</x:v>
      </x:c>
      <x:c r="B1237" s="2" t="n">
        <x:v>50</x:v>
      </x:c>
      <x:c r="C1237" s="2" t="str">
        <x:v>사수자리</x:v>
      </x:c>
      <x:c r="D1237" s="2" t="str">
        <x:v>마도사</x:v>
      </x:c>
      <x:c r="E1237" s="2" t="n">
        <x:v>5</x:v>
      </x:c>
      <x:c r="F1237" s="2" t="n">
        <x:v>1</x:v>
      </x:c>
      <x:c r="G1237" s="14" t="n">
        <x:f>('레벨 계산식'!$E$4-E1237)*'레벨 계산식'!$B$5</x:f>
        <x:v>0</x:v>
      </x:c>
      <x:c r="H1237" s="14" t="n">
        <x:f>('등급 계산식'!$E$4-F1237)*'등급 계산식'!$B$5</x:f>
        <x:v>0.24000000000000005</x:v>
      </x:c>
      <x:c r="I1237" s="14" t="n">
        <x:f>1-G1237-H1237</x:f>
        <x:v>0.76</x:v>
      </x:c>
      <x:c r="J1237" s="2" t="n">
        <x:f>MAX(1,ROUND('기준스탯 72종'!D57-R1237-Z1237,0))</x:f>
        <x:v>7</x:v>
      </x:c>
      <x:c r="K1237" s="2" t="n">
        <x:f>MAX(1,ROUND('기준스탯 72종'!E57-S1237-AA1237,0))</x:f>
        <x:v>4</x:v>
      </x:c>
      <x:c r="L1237" s="2" t="n">
        <x:f>MAX(1,ROUND('기준스탯 72종'!F57-T1237-AB1237,0))</x:f>
        <x:v>5</x:v>
      </x:c>
      <x:c r="M1237" s="2" t="n">
        <x:f>MAX(1,ROUND('기준스탯 72종'!G57-U1237-AC1237,0))</x:f>
        <x:v>7</x:v>
      </x:c>
      <x:c r="N1237" s="2" t="n">
        <x:f>MAX(0,ROUND('기준스탯 72종'!H57-V1237-AD1237,0))</x:f>
        <x:v>5</x:v>
      </x:c>
      <x:c r="O1237" s="2" t="n">
        <x:f>MAX(0,ROUND('기준스탯 72종'!I57-W1237-AE1237,0))</x:f>
        <x:v>5</x:v>
      </x:c>
      <x:c r="P1237" s="2" t="n">
        <x:f>MAX(0,ROUND('기준스탯 72종'!J57-X1237-AF1237,0))</x:f>
        <x:v>3</x:v>
      </x:c>
      <x:c r="Q1237" s="2" t="n">
        <x:f>MAX(0,ROUND('기준스탯 72종'!K57-Y1237-AG1237,0))</x:f>
        <x:v>0</x:v>
      </x:c>
      <x:c r="R1237" s="15" t="n">
        <x:f>'기준스탯 72종'!D57*G1237</x:f>
        <x:v>0</x:v>
      </x:c>
      <x:c r="S1237" s="15" t="n">
        <x:f>'기준스탯 72종'!E57*G1237</x:f>
        <x:v>0</x:v>
      </x:c>
      <x:c r="T1237" s="15" t="n">
        <x:f>'기준스탯 72종'!F57*G1237</x:f>
        <x:v>0</x:v>
      </x:c>
      <x:c r="U1237" s="15" t="n">
        <x:f>'기준스탯 72종'!G57*G1237</x:f>
        <x:v>0</x:v>
      </x:c>
      <x:c r="V1237" s="15" t="n">
        <x:f>'기준스탯 72종'!H57*G1237</x:f>
        <x:v>0</x:v>
      </x:c>
      <x:c r="W1237" s="15" t="n">
        <x:f>'기준스탯 72종'!I57*G1237</x:f>
        <x:v>0</x:v>
      </x:c>
      <x:c r="X1237" s="15" t="n">
        <x:f>'기준스탯 72종'!J57*G1237</x:f>
        <x:v>0</x:v>
      </x:c>
      <x:c r="Y1237" s="15" t="n">
        <x:f>'기준스탯 72종'!K57*G1237</x:f>
        <x:v>0</x:v>
      </x:c>
      <x:c r="Z1237" s="15" t="n">
        <x:f>'기준스탯 72종'!D57*H1237</x:f>
        <x:v>2.1600000000000006</x:v>
      </x:c>
      <x:c r="AA1237" s="15" t="n">
        <x:f>'기준스탯 72종'!E57*H1237</x:f>
        <x:v>1.2000000000000002</x:v>
      </x:c>
      <x:c r="AB1237" s="15" t="n">
        <x:f>'기준스탯 72종'!F57*H1237</x:f>
        <x:v>1.4400000000000004</x:v>
      </x:c>
      <x:c r="AC1237" s="15" t="n">
        <x:f>'기준스탯 72종'!G57*H1237</x:f>
        <x:v>2.1600000000000006</x:v>
      </x:c>
      <x:c r="AD1237" s="15" t="n">
        <x:f>'기준스탯 72종'!H57*H1237</x:f>
        <x:v>1.4400000000000004</x:v>
      </x:c>
      <x:c r="AE1237" s="15" t="n">
        <x:f>'기준스탯 72종'!I57*H1237</x:f>
        <x:v>1.4400000000000004</x:v>
      </x:c>
      <x:c r="AF1237" s="15" t="n">
        <x:f>'기준스탯 72종'!J57*H1237</x:f>
        <x:v>0.9600000000000002</x:v>
      </x:c>
      <x:c r="AG1237" s="15" t="n">
        <x:f>'기준스탯 72종'!K57*H1237</x:f>
        <x:v>0</x:v>
      </x:c>
    </x:row>
    <x:row r="1238" ht="28" customHeight="1">
      <x:c r="A1238" s="2" t="n">
        <x:v>1231</x:v>
      </x:c>
      <x:c r="B1238" s="2" t="n">
        <x:v>50</x:v>
      </x:c>
      <x:c r="C1238" s="2" t="str">
        <x:v>사수자리</x:v>
      </x:c>
      <x:c r="D1238" s="2" t="str">
        <x:v>마도사</x:v>
      </x:c>
      <x:c r="E1238" s="2" t="n">
        <x:v>1</x:v>
      </x:c>
      <x:c r="F1238" s="2" t="n">
        <x:v>2</x:v>
      </x:c>
      <x:c r="G1238" s="14" t="n">
        <x:f>('레벨 계산식'!$E$4-E1238)*'레벨 계산식'!$B$5</x:f>
        <x:v>0.5599999999999999</x:v>
      </x:c>
      <x:c r="H1238" s="14" t="n">
        <x:f>('등급 계산식'!$E$4-F1238)*'등급 계산식'!$B$5</x:f>
        <x:v>0.18000000000000005</x:v>
      </x:c>
      <x:c r="I1238" s="14" t="n">
        <x:f>1-G1238-H1238</x:f>
        <x:v>0.26</x:v>
      </x:c>
      <x:c r="J1238" s="2" t="n">
        <x:f>MAX(1,ROUND('기준스탯 72종'!D57-R1238-Z1238,0))</x:f>
        <x:v>2</x:v>
      </x:c>
      <x:c r="K1238" s="2" t="n">
        <x:f>MAX(1,ROUND('기준스탯 72종'!E57-S1238-AA1238,0))</x:f>
        <x:v>1</x:v>
      </x:c>
      <x:c r="L1238" s="2" t="n">
        <x:f>MAX(1,ROUND('기준스탯 72종'!F57-T1238-AB1238,0))</x:f>
        <x:v>2</x:v>
      </x:c>
      <x:c r="M1238" s="2" t="n">
        <x:f>MAX(1,ROUND('기준스탯 72종'!G57-U1238-AC1238,0))</x:f>
        <x:v>2</x:v>
      </x:c>
      <x:c r="N1238" s="2" t="n">
        <x:f>MAX(0,ROUND('기준스탯 72종'!H57-V1238-AD1238,0))</x:f>
        <x:v>2</x:v>
      </x:c>
      <x:c r="O1238" s="2" t="n">
        <x:f>MAX(0,ROUND('기준스탯 72종'!I57-W1238-AE1238,0))</x:f>
        <x:v>2</x:v>
      </x:c>
      <x:c r="P1238" s="2" t="n">
        <x:f>MAX(0,ROUND('기준스탯 72종'!J57-X1238-AF1238,0))</x:f>
        <x:v>1</x:v>
      </x:c>
      <x:c r="Q1238" s="2" t="n">
        <x:f>MAX(0,ROUND('기준스탯 72종'!K57-Y1238-AG1238,0))</x:f>
        <x:v>0</x:v>
      </x:c>
      <x:c r="R1238" s="15" t="n">
        <x:f>'기준스탯 72종'!D57*G1238</x:f>
        <x:v>5.039999999999999</x:v>
      </x:c>
      <x:c r="S1238" s="15" t="n">
        <x:f>'기준스탯 72종'!E57*G1238</x:f>
        <x:v>2.8</x:v>
      </x:c>
      <x:c r="T1238" s="15" t="n">
        <x:f>'기준스탯 72종'!F57*G1238</x:f>
        <x:v>3.3599999999999994</x:v>
      </x:c>
      <x:c r="U1238" s="15" t="n">
        <x:f>'기준스탯 72종'!G57*G1238</x:f>
        <x:v>5.039999999999999</x:v>
      </x:c>
      <x:c r="V1238" s="15" t="n">
        <x:f>'기준스탯 72종'!H57*G1238</x:f>
        <x:v>3.3599999999999994</x:v>
      </x:c>
      <x:c r="W1238" s="15" t="n">
        <x:f>'기준스탯 72종'!I57*G1238</x:f>
        <x:v>3.3599999999999994</x:v>
      </x:c>
      <x:c r="X1238" s="15" t="n">
        <x:f>'기준스탯 72종'!J57*G1238</x:f>
        <x:v>2.2399999999999998</x:v>
      </x:c>
      <x:c r="Y1238" s="15" t="n">
        <x:f>'기준스탯 72종'!K57*G1238</x:f>
        <x:v>0</x:v>
      </x:c>
      <x:c r="Z1238" s="15" t="n">
        <x:f>'기준스탯 72종'!D57*H1238</x:f>
        <x:v>1.6200000000000006</x:v>
      </x:c>
      <x:c r="AA1238" s="15" t="n">
        <x:f>'기준스탯 72종'!E57*H1238</x:f>
        <x:v>0.9000000000000002</x:v>
      </x:c>
      <x:c r="AB1238" s="15" t="n">
        <x:f>'기준스탯 72종'!F57*H1238</x:f>
        <x:v>1.0800000000000003</x:v>
      </x:c>
      <x:c r="AC1238" s="15" t="n">
        <x:f>'기준스탯 72종'!G57*H1238</x:f>
        <x:v>1.6200000000000006</x:v>
      </x:c>
      <x:c r="AD1238" s="15" t="n">
        <x:f>'기준스탯 72종'!H57*H1238</x:f>
        <x:v>1.0800000000000003</x:v>
      </x:c>
      <x:c r="AE1238" s="15" t="n">
        <x:f>'기준스탯 72종'!I57*H1238</x:f>
        <x:v>1.0800000000000003</x:v>
      </x:c>
      <x:c r="AF1238" s="15" t="n">
        <x:f>'기준스탯 72종'!J57*H1238</x:f>
        <x:v>0.7200000000000002</x:v>
      </x:c>
      <x:c r="AG1238" s="15" t="n">
        <x:f>'기준스탯 72종'!K57*H1238</x:f>
        <x:v>0</x:v>
      </x:c>
    </x:row>
    <x:row r="1239" ht="28" customHeight="1">
      <x:c r="A1239" s="2" t="n">
        <x:v>1232</x:v>
      </x:c>
      <x:c r="B1239" s="2" t="n">
        <x:v>50</x:v>
      </x:c>
      <x:c r="C1239" s="2" t="str">
        <x:v>사수자리</x:v>
      </x:c>
      <x:c r="D1239" s="2" t="str">
        <x:v>마도사</x:v>
      </x:c>
      <x:c r="E1239" s="2" t="n">
        <x:v>2</x:v>
      </x:c>
      <x:c r="F1239" s="2" t="n">
        <x:v>2</x:v>
      </x:c>
      <x:c r="G1239" s="14" t="n">
        <x:f>('레벨 계산식'!$E$4-E1239)*'레벨 계산식'!$B$5</x:f>
        <x:v>0.41999999999999993</x:v>
      </x:c>
      <x:c r="H1239" s="14" t="n">
        <x:f>('등급 계산식'!$E$4-F1239)*'등급 계산식'!$B$5</x:f>
        <x:v>0.18000000000000005</x:v>
      </x:c>
      <x:c r="I1239" s="14" t="n">
        <x:f>1-G1239-H1239</x:f>
        <x:v>0.4</x:v>
      </x:c>
      <x:c r="J1239" s="2" t="n">
        <x:f>MAX(1,ROUND('기준스탯 72종'!D57-R1239-Z1239,0))</x:f>
        <x:v>4</x:v>
      </x:c>
      <x:c r="K1239" s="2" t="n">
        <x:f>MAX(1,ROUND('기준스탯 72종'!E57-S1239-AA1239,0))</x:f>
        <x:v>2</x:v>
      </x:c>
      <x:c r="L1239" s="2" t="n">
        <x:f>MAX(1,ROUND('기준스탯 72종'!F57-T1239-AB1239,0))</x:f>
        <x:v>2</x:v>
      </x:c>
      <x:c r="M1239" s="2" t="n">
        <x:f>MAX(1,ROUND('기준스탯 72종'!G57-U1239-AC1239,0))</x:f>
        <x:v>4</x:v>
      </x:c>
      <x:c r="N1239" s="2" t="n">
        <x:f>MAX(0,ROUND('기준스탯 72종'!H57-V1239-AD1239,0))</x:f>
        <x:v>2</x:v>
      </x:c>
      <x:c r="O1239" s="2" t="n">
        <x:f>MAX(0,ROUND('기준스탯 72종'!I57-W1239-AE1239,0))</x:f>
        <x:v>2</x:v>
      </x:c>
      <x:c r="P1239" s="2" t="n">
        <x:f>MAX(0,ROUND('기준스탯 72종'!J57-X1239-AF1239,0))</x:f>
        <x:v>2</x:v>
      </x:c>
      <x:c r="Q1239" s="2" t="n">
        <x:f>MAX(0,ROUND('기준스탯 72종'!K57-Y1239-AG1239,0))</x:f>
        <x:v>0</x:v>
      </x:c>
      <x:c r="R1239" s="15" t="n">
        <x:f>'기준스탯 72종'!D57*G1239</x:f>
        <x:v>3.7799999999999994</x:v>
      </x:c>
      <x:c r="S1239" s="15" t="n">
        <x:f>'기준스탯 72종'!E57*G1239</x:f>
        <x:v>2.0999999999999996</x:v>
      </x:c>
      <x:c r="T1239" s="15" t="n">
        <x:f>'기준스탯 72종'!F57*G1239</x:f>
        <x:v>2.5199999999999996</x:v>
      </x:c>
      <x:c r="U1239" s="15" t="n">
        <x:f>'기준스탯 72종'!G57*G1239</x:f>
        <x:v>3.7799999999999994</x:v>
      </x:c>
      <x:c r="V1239" s="15" t="n">
        <x:f>'기준스탯 72종'!H57*G1239</x:f>
        <x:v>2.5199999999999996</x:v>
      </x:c>
      <x:c r="W1239" s="15" t="n">
        <x:f>'기준스탯 72종'!I57*G1239</x:f>
        <x:v>2.5199999999999996</x:v>
      </x:c>
      <x:c r="X1239" s="15" t="n">
        <x:f>'기준스탯 72종'!J57*G1239</x:f>
        <x:v>1.6799999999999997</x:v>
      </x:c>
      <x:c r="Y1239" s="15" t="n">
        <x:f>'기준스탯 72종'!K57*G1239</x:f>
        <x:v>0</x:v>
      </x:c>
      <x:c r="Z1239" s="15" t="n">
        <x:f>'기준스탯 72종'!D57*H1239</x:f>
        <x:v>1.6200000000000006</x:v>
      </x:c>
      <x:c r="AA1239" s="15" t="n">
        <x:f>'기준스탯 72종'!E57*H1239</x:f>
        <x:v>0.9000000000000002</x:v>
      </x:c>
      <x:c r="AB1239" s="15" t="n">
        <x:f>'기준스탯 72종'!F57*H1239</x:f>
        <x:v>1.0800000000000003</x:v>
      </x:c>
      <x:c r="AC1239" s="15" t="n">
        <x:f>'기준스탯 72종'!G57*H1239</x:f>
        <x:v>1.6200000000000006</x:v>
      </x:c>
      <x:c r="AD1239" s="15" t="n">
        <x:f>'기준스탯 72종'!H57*H1239</x:f>
        <x:v>1.0800000000000003</x:v>
      </x:c>
      <x:c r="AE1239" s="15" t="n">
        <x:f>'기준스탯 72종'!I57*H1239</x:f>
        <x:v>1.0800000000000003</x:v>
      </x:c>
      <x:c r="AF1239" s="15" t="n">
        <x:f>'기준스탯 72종'!J57*H1239</x:f>
        <x:v>0.7200000000000002</x:v>
      </x:c>
      <x:c r="AG1239" s="15" t="n">
        <x:f>'기준스탯 72종'!K57*H1239</x:f>
        <x:v>0</x:v>
      </x:c>
    </x:row>
    <x:row r="1240" ht="28" customHeight="1">
      <x:c r="A1240" s="2" t="n">
        <x:v>1233</x:v>
      </x:c>
      <x:c r="B1240" s="2" t="n">
        <x:v>50</x:v>
      </x:c>
      <x:c r="C1240" s="2" t="str">
        <x:v>사수자리</x:v>
      </x:c>
      <x:c r="D1240" s="2" t="str">
        <x:v>마도사</x:v>
      </x:c>
      <x:c r="E1240" s="2" t="n">
        <x:v>3</x:v>
      </x:c>
      <x:c r="F1240" s="2" t="n">
        <x:v>2</x:v>
      </x:c>
      <x:c r="G1240" s="14" t="n">
        <x:f>('레벨 계산식'!$E$4-E1240)*'레벨 계산식'!$B$5</x:f>
        <x:v>0.27999999999999997</x:v>
      </x:c>
      <x:c r="H1240" s="14" t="n">
        <x:f>('등급 계산식'!$E$4-F1240)*'등급 계산식'!$B$5</x:f>
        <x:v>0.18000000000000005</x:v>
      </x:c>
      <x:c r="I1240" s="14" t="n">
        <x:f>1-G1240-H1240</x:f>
        <x:v>0.5399999999999999</x:v>
      </x:c>
      <x:c r="J1240" s="2" t="n">
        <x:f>MAX(1,ROUND('기준스탯 72종'!D57-R1240-Z1240,0))</x:f>
        <x:v>5</x:v>
      </x:c>
      <x:c r="K1240" s="2" t="n">
        <x:f>MAX(1,ROUND('기준스탯 72종'!E57-S1240-AA1240,0))</x:f>
        <x:v>3</x:v>
      </x:c>
      <x:c r="L1240" s="2" t="n">
        <x:f>MAX(1,ROUND('기준스탯 72종'!F57-T1240-AB1240,0))</x:f>
        <x:v>3</x:v>
      </x:c>
      <x:c r="M1240" s="2" t="n">
        <x:f>MAX(1,ROUND('기준스탯 72종'!G57-U1240-AC1240,0))</x:f>
        <x:v>5</x:v>
      </x:c>
      <x:c r="N1240" s="2" t="n">
        <x:f>MAX(0,ROUND('기준스탯 72종'!H57-V1240-AD1240,0))</x:f>
        <x:v>3</x:v>
      </x:c>
      <x:c r="O1240" s="2" t="n">
        <x:f>MAX(0,ROUND('기준스탯 72종'!I57-W1240-AE1240,0))</x:f>
        <x:v>3</x:v>
      </x:c>
      <x:c r="P1240" s="2" t="n">
        <x:f>MAX(0,ROUND('기준스탯 72종'!J57-X1240-AF1240,0))</x:f>
        <x:v>2</x:v>
      </x:c>
      <x:c r="Q1240" s="2" t="n">
        <x:f>MAX(0,ROUND('기준스탯 72종'!K57-Y1240-AG1240,0))</x:f>
        <x:v>0</x:v>
      </x:c>
      <x:c r="R1240" s="15" t="n">
        <x:f>'기준스탯 72종'!D57*G1240</x:f>
        <x:v>2.5199999999999996</x:v>
      </x:c>
      <x:c r="S1240" s="15" t="n">
        <x:f>'기준스탯 72종'!E57*G1240</x:f>
        <x:v>1.4</x:v>
      </x:c>
      <x:c r="T1240" s="15" t="n">
        <x:f>'기준스탯 72종'!F57*G1240</x:f>
        <x:v>1.6799999999999997</x:v>
      </x:c>
      <x:c r="U1240" s="15" t="n">
        <x:f>'기준스탯 72종'!G57*G1240</x:f>
        <x:v>2.5199999999999996</x:v>
      </x:c>
      <x:c r="V1240" s="15" t="n">
        <x:f>'기준스탯 72종'!H57*G1240</x:f>
        <x:v>1.6799999999999997</x:v>
      </x:c>
      <x:c r="W1240" s="15" t="n">
        <x:f>'기준스탯 72종'!I57*G1240</x:f>
        <x:v>1.6799999999999997</x:v>
      </x:c>
      <x:c r="X1240" s="15" t="n">
        <x:f>'기준스탯 72종'!J57*G1240</x:f>
        <x:v>1.1199999999999999</x:v>
      </x:c>
      <x:c r="Y1240" s="15" t="n">
        <x:f>'기준스탯 72종'!K57*G1240</x:f>
        <x:v>0</x:v>
      </x:c>
      <x:c r="Z1240" s="15" t="n">
        <x:f>'기준스탯 72종'!D57*H1240</x:f>
        <x:v>1.6200000000000006</x:v>
      </x:c>
      <x:c r="AA1240" s="15" t="n">
        <x:f>'기준스탯 72종'!E57*H1240</x:f>
        <x:v>0.9000000000000002</x:v>
      </x:c>
      <x:c r="AB1240" s="15" t="n">
        <x:f>'기준스탯 72종'!F57*H1240</x:f>
        <x:v>1.0800000000000003</x:v>
      </x:c>
      <x:c r="AC1240" s="15" t="n">
        <x:f>'기준스탯 72종'!G57*H1240</x:f>
        <x:v>1.6200000000000006</x:v>
      </x:c>
      <x:c r="AD1240" s="15" t="n">
        <x:f>'기준스탯 72종'!H57*H1240</x:f>
        <x:v>1.0800000000000003</x:v>
      </x:c>
      <x:c r="AE1240" s="15" t="n">
        <x:f>'기준스탯 72종'!I57*H1240</x:f>
        <x:v>1.0800000000000003</x:v>
      </x:c>
      <x:c r="AF1240" s="15" t="n">
        <x:f>'기준스탯 72종'!J57*H1240</x:f>
        <x:v>0.7200000000000002</x:v>
      </x:c>
      <x:c r="AG1240" s="15" t="n">
        <x:f>'기준스탯 72종'!K57*H1240</x:f>
        <x:v>0</x:v>
      </x:c>
    </x:row>
    <x:row r="1241" ht="28" customHeight="1">
      <x:c r="A1241" s="2" t="n">
        <x:v>1234</x:v>
      </x:c>
      <x:c r="B1241" s="2" t="n">
        <x:v>50</x:v>
      </x:c>
      <x:c r="C1241" s="2" t="str">
        <x:v>사수자리</x:v>
      </x:c>
      <x:c r="D1241" s="2" t="str">
        <x:v>마도사</x:v>
      </x:c>
      <x:c r="E1241" s="2" t="n">
        <x:v>4</x:v>
      </x:c>
      <x:c r="F1241" s="2" t="n">
        <x:v>2</x:v>
      </x:c>
      <x:c r="G1241" s="14" t="n">
        <x:f>('레벨 계산식'!$E$4-E1241)*'레벨 계산식'!$B$5</x:f>
        <x:v>0.13999999999999999</x:v>
      </x:c>
      <x:c r="H1241" s="14" t="n">
        <x:f>('등급 계산식'!$E$4-F1241)*'등급 계산식'!$B$5</x:f>
        <x:v>0.18000000000000005</x:v>
      </x:c>
      <x:c r="I1241" s="14" t="n">
        <x:f>1-G1241-H1241</x:f>
        <x:v>0.6799999999999999</x:v>
      </x:c>
      <x:c r="J1241" s="2" t="n">
        <x:f>MAX(1,ROUND('기준스탯 72종'!D57-R1241-Z1241,0))</x:f>
        <x:v>6</x:v>
      </x:c>
      <x:c r="K1241" s="2" t="n">
        <x:f>MAX(1,ROUND('기준스탯 72종'!E57-S1241-AA1241,0))</x:f>
        <x:v>3</x:v>
      </x:c>
      <x:c r="L1241" s="2" t="n">
        <x:f>MAX(1,ROUND('기준스탯 72종'!F57-T1241-AB1241,0))</x:f>
        <x:v>4</x:v>
      </x:c>
      <x:c r="M1241" s="2" t="n">
        <x:f>MAX(1,ROUND('기준스탯 72종'!G57-U1241-AC1241,0))</x:f>
        <x:v>6</x:v>
      </x:c>
      <x:c r="N1241" s="2" t="n">
        <x:f>MAX(0,ROUND('기준스탯 72종'!H57-V1241-AD1241,0))</x:f>
        <x:v>4</x:v>
      </x:c>
      <x:c r="O1241" s="2" t="n">
        <x:f>MAX(0,ROUND('기준스탯 72종'!I57-W1241-AE1241,0))</x:f>
        <x:v>4</x:v>
      </x:c>
      <x:c r="P1241" s="2" t="n">
        <x:f>MAX(0,ROUND('기준스탯 72종'!J57-X1241-AF1241,0))</x:f>
        <x:v>3</x:v>
      </x:c>
      <x:c r="Q1241" s="2" t="n">
        <x:f>MAX(0,ROUND('기준스탯 72종'!K57-Y1241-AG1241,0))</x:f>
        <x:v>0</x:v>
      </x:c>
      <x:c r="R1241" s="15" t="n">
        <x:f>'기준스탯 72종'!D57*G1241</x:f>
        <x:v>1.2599999999999998</x:v>
      </x:c>
      <x:c r="S1241" s="15" t="n">
        <x:f>'기준스탯 72종'!E57*G1241</x:f>
        <x:v>0.7</x:v>
      </x:c>
      <x:c r="T1241" s="15" t="n">
        <x:f>'기준스탯 72종'!F57*G1241</x:f>
        <x:v>0.8399999999999999</x:v>
      </x:c>
      <x:c r="U1241" s="15" t="n">
        <x:f>'기준스탯 72종'!G57*G1241</x:f>
        <x:v>1.2599999999999998</x:v>
      </x:c>
      <x:c r="V1241" s="15" t="n">
        <x:f>'기준스탯 72종'!H57*G1241</x:f>
        <x:v>0.8399999999999999</x:v>
      </x:c>
      <x:c r="W1241" s="15" t="n">
        <x:f>'기준스탯 72종'!I57*G1241</x:f>
        <x:v>0.8399999999999999</x:v>
      </x:c>
      <x:c r="X1241" s="15" t="n">
        <x:f>'기준스탯 72종'!J57*G1241</x:f>
        <x:v>0.5599999999999999</x:v>
      </x:c>
      <x:c r="Y1241" s="15" t="n">
        <x:f>'기준스탯 72종'!K57*G1241</x:f>
        <x:v>0</x:v>
      </x:c>
      <x:c r="Z1241" s="15" t="n">
        <x:f>'기준스탯 72종'!D57*H1241</x:f>
        <x:v>1.6200000000000006</x:v>
      </x:c>
      <x:c r="AA1241" s="15" t="n">
        <x:f>'기준스탯 72종'!E57*H1241</x:f>
        <x:v>0.9000000000000002</x:v>
      </x:c>
      <x:c r="AB1241" s="15" t="n">
        <x:f>'기준스탯 72종'!F57*H1241</x:f>
        <x:v>1.0800000000000003</x:v>
      </x:c>
      <x:c r="AC1241" s="15" t="n">
        <x:f>'기준스탯 72종'!G57*H1241</x:f>
        <x:v>1.6200000000000006</x:v>
      </x:c>
      <x:c r="AD1241" s="15" t="n">
        <x:f>'기준스탯 72종'!H57*H1241</x:f>
        <x:v>1.0800000000000003</x:v>
      </x:c>
      <x:c r="AE1241" s="15" t="n">
        <x:f>'기준스탯 72종'!I57*H1241</x:f>
        <x:v>1.0800000000000003</x:v>
      </x:c>
      <x:c r="AF1241" s="15" t="n">
        <x:f>'기준스탯 72종'!J57*H1241</x:f>
        <x:v>0.7200000000000002</x:v>
      </x:c>
      <x:c r="AG1241" s="15" t="n">
        <x:f>'기준스탯 72종'!K57*H1241</x:f>
        <x:v>0</x:v>
      </x:c>
    </x:row>
    <x:row r="1242" ht="28" customHeight="1">
      <x:c r="A1242" s="2" t="n">
        <x:v>1235</x:v>
      </x:c>
      <x:c r="B1242" s="2" t="n">
        <x:v>50</x:v>
      </x:c>
      <x:c r="C1242" s="2" t="str">
        <x:v>사수자리</x:v>
      </x:c>
      <x:c r="D1242" s="2" t="str">
        <x:v>마도사</x:v>
      </x:c>
      <x:c r="E1242" s="2" t="n">
        <x:v>5</x:v>
      </x:c>
      <x:c r="F1242" s="2" t="n">
        <x:v>2</x:v>
      </x:c>
      <x:c r="G1242" s="14" t="n">
        <x:f>('레벨 계산식'!$E$4-E1242)*'레벨 계산식'!$B$5</x:f>
        <x:v>0</x:v>
      </x:c>
      <x:c r="H1242" s="14" t="n">
        <x:f>('등급 계산식'!$E$4-F1242)*'등급 계산식'!$B$5</x:f>
        <x:v>0.18000000000000005</x:v>
      </x:c>
      <x:c r="I1242" s="14" t="n">
        <x:f>1-G1242-H1242</x:f>
        <x:v>0.82</x:v>
      </x:c>
      <x:c r="J1242" s="2" t="n">
        <x:f>MAX(1,ROUND('기준스탯 72종'!D57-R1242-Z1242,0))</x:f>
        <x:v>7</x:v>
      </x:c>
      <x:c r="K1242" s="2" t="n">
        <x:f>MAX(1,ROUND('기준스탯 72종'!E57-S1242-AA1242,0))</x:f>
        <x:v>4</x:v>
      </x:c>
      <x:c r="L1242" s="2" t="n">
        <x:f>MAX(1,ROUND('기준스탯 72종'!F57-T1242-AB1242,0))</x:f>
        <x:v>5</x:v>
      </x:c>
      <x:c r="M1242" s="2" t="n">
        <x:f>MAX(1,ROUND('기준스탯 72종'!G57-U1242-AC1242,0))</x:f>
        <x:v>7</x:v>
      </x:c>
      <x:c r="N1242" s="2" t="n">
        <x:f>MAX(0,ROUND('기준스탯 72종'!H57-V1242-AD1242,0))</x:f>
        <x:v>5</x:v>
      </x:c>
      <x:c r="O1242" s="2" t="n">
        <x:f>MAX(0,ROUND('기준스탯 72종'!I57-W1242-AE1242,0))</x:f>
        <x:v>5</x:v>
      </x:c>
      <x:c r="P1242" s="2" t="n">
        <x:f>MAX(0,ROUND('기준스탯 72종'!J57-X1242-AF1242,0))</x:f>
        <x:v>3</x:v>
      </x:c>
      <x:c r="Q1242" s="2" t="n">
        <x:f>MAX(0,ROUND('기준스탯 72종'!K57-Y1242-AG1242,0))</x:f>
        <x:v>0</x:v>
      </x:c>
      <x:c r="R1242" s="15" t="n">
        <x:f>'기준스탯 72종'!D57*G1242</x:f>
        <x:v>0</x:v>
      </x:c>
      <x:c r="S1242" s="15" t="n">
        <x:f>'기준스탯 72종'!E57*G1242</x:f>
        <x:v>0</x:v>
      </x:c>
      <x:c r="T1242" s="15" t="n">
        <x:f>'기준스탯 72종'!F57*G1242</x:f>
        <x:v>0</x:v>
      </x:c>
      <x:c r="U1242" s="15" t="n">
        <x:f>'기준스탯 72종'!G57*G1242</x:f>
        <x:v>0</x:v>
      </x:c>
      <x:c r="V1242" s="15" t="n">
        <x:f>'기준스탯 72종'!H57*G1242</x:f>
        <x:v>0</x:v>
      </x:c>
      <x:c r="W1242" s="15" t="n">
        <x:f>'기준스탯 72종'!I57*G1242</x:f>
        <x:v>0</x:v>
      </x:c>
      <x:c r="X1242" s="15" t="n">
        <x:f>'기준스탯 72종'!J57*G1242</x:f>
        <x:v>0</x:v>
      </x:c>
      <x:c r="Y1242" s="15" t="n">
        <x:f>'기준스탯 72종'!K57*G1242</x:f>
        <x:v>0</x:v>
      </x:c>
      <x:c r="Z1242" s="15" t="n">
        <x:f>'기준스탯 72종'!D57*H1242</x:f>
        <x:v>1.6200000000000006</x:v>
      </x:c>
      <x:c r="AA1242" s="15" t="n">
        <x:f>'기준스탯 72종'!E57*H1242</x:f>
        <x:v>0.9000000000000002</x:v>
      </x:c>
      <x:c r="AB1242" s="15" t="n">
        <x:f>'기준스탯 72종'!F57*H1242</x:f>
        <x:v>1.0800000000000003</x:v>
      </x:c>
      <x:c r="AC1242" s="15" t="n">
        <x:f>'기준스탯 72종'!G57*H1242</x:f>
        <x:v>1.6200000000000006</x:v>
      </x:c>
      <x:c r="AD1242" s="15" t="n">
        <x:f>'기준스탯 72종'!H57*H1242</x:f>
        <x:v>1.0800000000000003</x:v>
      </x:c>
      <x:c r="AE1242" s="15" t="n">
        <x:f>'기준스탯 72종'!I57*H1242</x:f>
        <x:v>1.0800000000000003</x:v>
      </x:c>
      <x:c r="AF1242" s="15" t="n">
        <x:f>'기준스탯 72종'!J57*H1242</x:f>
        <x:v>0.7200000000000002</x:v>
      </x:c>
      <x:c r="AG1242" s="15" t="n">
        <x:f>'기준스탯 72종'!K57*H1242</x:f>
        <x:v>0</x:v>
      </x:c>
    </x:row>
    <x:row r="1243" ht="28" customHeight="1">
      <x:c r="A1243" s="2" t="n">
        <x:v>1236</x:v>
      </x:c>
      <x:c r="B1243" s="2" t="n">
        <x:v>50</x:v>
      </x:c>
      <x:c r="C1243" s="2" t="str">
        <x:v>사수자리</x:v>
      </x:c>
      <x:c r="D1243" s="2" t="str">
        <x:v>마도사</x:v>
      </x:c>
      <x:c r="E1243" s="2" t="n">
        <x:v>1</x:v>
      </x:c>
      <x:c r="F1243" s="2" t="n">
        <x:v>3</x:v>
      </x:c>
      <x:c r="G1243" s="14" t="n">
        <x:f>('레벨 계산식'!$E$4-E1243)*'레벨 계산식'!$B$5</x:f>
        <x:v>0.5599999999999999</x:v>
      </x:c>
      <x:c r="H1243" s="14" t="n">
        <x:f>('등급 계산식'!$E$4-F1243)*'등급 계산식'!$B$5</x:f>
        <x:v>0.12000000000000002</x:v>
      </x:c>
      <x:c r="I1243" s="14" t="n">
        <x:f>1-G1243-H1243</x:f>
        <x:v>0.32000000000000006</x:v>
      </x:c>
      <x:c r="J1243" s="2" t="n">
        <x:f>MAX(1,ROUND('기준스탯 72종'!D57-R1243-Z1243,0))</x:f>
        <x:v>3</x:v>
      </x:c>
      <x:c r="K1243" s="2" t="n">
        <x:f>MAX(1,ROUND('기준스탯 72종'!E57-S1243-AA1243,0))</x:f>
        <x:v>2</x:v>
      </x:c>
      <x:c r="L1243" s="2" t="n">
        <x:f>MAX(1,ROUND('기준스탯 72종'!F57-T1243-AB1243,0))</x:f>
        <x:v>2</x:v>
      </x:c>
      <x:c r="M1243" s="2" t="n">
        <x:f>MAX(1,ROUND('기준스탯 72종'!G57-U1243-AC1243,0))</x:f>
        <x:v>3</x:v>
      </x:c>
      <x:c r="N1243" s="2" t="n">
        <x:f>MAX(0,ROUND('기준스탯 72종'!H57-V1243-AD1243,0))</x:f>
        <x:v>2</x:v>
      </x:c>
      <x:c r="O1243" s="2" t="n">
        <x:f>MAX(0,ROUND('기준스탯 72종'!I57-W1243-AE1243,0))</x:f>
        <x:v>2</x:v>
      </x:c>
      <x:c r="P1243" s="2" t="n">
        <x:f>MAX(0,ROUND('기준스탯 72종'!J57-X1243-AF1243,0))</x:f>
        <x:v>1</x:v>
      </x:c>
      <x:c r="Q1243" s="2" t="n">
        <x:f>MAX(0,ROUND('기준스탯 72종'!K57-Y1243-AG1243,0))</x:f>
        <x:v>0</x:v>
      </x:c>
      <x:c r="R1243" s="15" t="n">
        <x:f>'기준스탯 72종'!D57*G1243</x:f>
        <x:v>5.039999999999999</x:v>
      </x:c>
      <x:c r="S1243" s="15" t="n">
        <x:f>'기준스탯 72종'!E57*G1243</x:f>
        <x:v>2.8</x:v>
      </x:c>
      <x:c r="T1243" s="15" t="n">
        <x:f>'기준스탯 72종'!F57*G1243</x:f>
        <x:v>3.3599999999999994</x:v>
      </x:c>
      <x:c r="U1243" s="15" t="n">
        <x:f>'기준스탯 72종'!G57*G1243</x:f>
        <x:v>5.039999999999999</x:v>
      </x:c>
      <x:c r="V1243" s="15" t="n">
        <x:f>'기준스탯 72종'!H57*G1243</x:f>
        <x:v>3.3599999999999994</x:v>
      </x:c>
      <x:c r="W1243" s="15" t="n">
        <x:f>'기준스탯 72종'!I57*G1243</x:f>
        <x:v>3.3599999999999994</x:v>
      </x:c>
      <x:c r="X1243" s="15" t="n">
        <x:f>'기준스탯 72종'!J57*G1243</x:f>
        <x:v>2.2399999999999998</x:v>
      </x:c>
      <x:c r="Y1243" s="15" t="n">
        <x:f>'기준스탯 72종'!K57*G1243</x:f>
        <x:v>0</x:v>
      </x:c>
      <x:c r="Z1243" s="15" t="n">
        <x:f>'기준스탯 72종'!D57*H1243</x:f>
        <x:v>1.0800000000000003</x:v>
      </x:c>
      <x:c r="AA1243" s="15" t="n">
        <x:f>'기준스탯 72종'!E57*H1243</x:f>
        <x:v>0.6000000000000001</x:v>
      </x:c>
      <x:c r="AB1243" s="15" t="n">
        <x:f>'기준스탯 72종'!F57*H1243</x:f>
        <x:v>0.7200000000000002</x:v>
      </x:c>
      <x:c r="AC1243" s="15" t="n">
        <x:f>'기준스탯 72종'!G57*H1243</x:f>
        <x:v>1.0800000000000003</x:v>
      </x:c>
      <x:c r="AD1243" s="15" t="n">
        <x:f>'기준스탯 72종'!H57*H1243</x:f>
        <x:v>0.7200000000000002</x:v>
      </x:c>
      <x:c r="AE1243" s="15" t="n">
        <x:f>'기준스탯 72종'!I57*H1243</x:f>
        <x:v>0.7200000000000002</x:v>
      </x:c>
      <x:c r="AF1243" s="15" t="n">
        <x:f>'기준스탯 72종'!J57*H1243</x:f>
        <x:v>0.4800000000000001</x:v>
      </x:c>
      <x:c r="AG1243" s="15" t="n">
        <x:f>'기준스탯 72종'!K57*H1243</x:f>
        <x:v>0</x:v>
      </x:c>
    </x:row>
    <x:row r="1244" ht="28" customHeight="1">
      <x:c r="A1244" s="2" t="n">
        <x:v>1237</x:v>
      </x:c>
      <x:c r="B1244" s="2" t="n">
        <x:v>50</x:v>
      </x:c>
      <x:c r="C1244" s="2" t="str">
        <x:v>사수자리</x:v>
      </x:c>
      <x:c r="D1244" s="2" t="str">
        <x:v>마도사</x:v>
      </x:c>
      <x:c r="E1244" s="2" t="n">
        <x:v>2</x:v>
      </x:c>
      <x:c r="F1244" s="2" t="n">
        <x:v>3</x:v>
      </x:c>
      <x:c r="G1244" s="14" t="n">
        <x:f>('레벨 계산식'!$E$4-E1244)*'레벨 계산식'!$B$5</x:f>
        <x:v>0.41999999999999993</x:v>
      </x:c>
      <x:c r="H1244" s="14" t="n">
        <x:f>('등급 계산식'!$E$4-F1244)*'등급 계산식'!$B$5</x:f>
        <x:v>0.12000000000000002</x:v>
      </x:c>
      <x:c r="I1244" s="14" t="n">
        <x:f>1-G1244-H1244</x:f>
        <x:v>0.4600000000000001</x:v>
      </x:c>
      <x:c r="J1244" s="2" t="n">
        <x:f>MAX(1,ROUND('기준스탯 72종'!D57-R1244-Z1244,0))</x:f>
        <x:v>4</x:v>
      </x:c>
      <x:c r="K1244" s="2" t="n">
        <x:f>MAX(1,ROUND('기준스탯 72종'!E57-S1244-AA1244,0))</x:f>
        <x:v>2</x:v>
      </x:c>
      <x:c r="L1244" s="2" t="n">
        <x:f>MAX(1,ROUND('기준스탯 72종'!F57-T1244-AB1244,0))</x:f>
        <x:v>3</x:v>
      </x:c>
      <x:c r="M1244" s="2" t="n">
        <x:f>MAX(1,ROUND('기준스탯 72종'!G57-U1244-AC1244,0))</x:f>
        <x:v>4</x:v>
      </x:c>
      <x:c r="N1244" s="2" t="n">
        <x:f>MAX(0,ROUND('기준스탯 72종'!H57-V1244-AD1244,0))</x:f>
        <x:v>3</x:v>
      </x:c>
      <x:c r="O1244" s="2" t="n">
        <x:f>MAX(0,ROUND('기준스탯 72종'!I57-W1244-AE1244,0))</x:f>
        <x:v>3</x:v>
      </x:c>
      <x:c r="P1244" s="2" t="n">
        <x:f>MAX(0,ROUND('기준스탯 72종'!J57-X1244-AF1244,0))</x:f>
        <x:v>2</x:v>
      </x:c>
      <x:c r="Q1244" s="2" t="n">
        <x:f>MAX(0,ROUND('기준스탯 72종'!K57-Y1244-AG1244,0))</x:f>
        <x:v>0</x:v>
      </x:c>
      <x:c r="R1244" s="15" t="n">
        <x:f>'기준스탯 72종'!D57*G1244</x:f>
        <x:v>3.7799999999999994</x:v>
      </x:c>
      <x:c r="S1244" s="15" t="n">
        <x:f>'기준스탯 72종'!E57*G1244</x:f>
        <x:v>2.0999999999999996</x:v>
      </x:c>
      <x:c r="T1244" s="15" t="n">
        <x:f>'기준스탯 72종'!F57*G1244</x:f>
        <x:v>2.5199999999999996</x:v>
      </x:c>
      <x:c r="U1244" s="15" t="n">
        <x:f>'기준스탯 72종'!G57*G1244</x:f>
        <x:v>3.7799999999999994</x:v>
      </x:c>
      <x:c r="V1244" s="15" t="n">
        <x:f>'기준스탯 72종'!H57*G1244</x:f>
        <x:v>2.5199999999999996</x:v>
      </x:c>
      <x:c r="W1244" s="15" t="n">
        <x:f>'기준스탯 72종'!I57*G1244</x:f>
        <x:v>2.5199999999999996</x:v>
      </x:c>
      <x:c r="X1244" s="15" t="n">
        <x:f>'기준스탯 72종'!J57*G1244</x:f>
        <x:v>1.6799999999999997</x:v>
      </x:c>
      <x:c r="Y1244" s="15" t="n">
        <x:f>'기준스탯 72종'!K57*G1244</x:f>
        <x:v>0</x:v>
      </x:c>
      <x:c r="Z1244" s="15" t="n">
        <x:f>'기준스탯 72종'!D57*H1244</x:f>
        <x:v>1.0800000000000003</x:v>
      </x:c>
      <x:c r="AA1244" s="15" t="n">
        <x:f>'기준스탯 72종'!E57*H1244</x:f>
        <x:v>0.6000000000000001</x:v>
      </x:c>
      <x:c r="AB1244" s="15" t="n">
        <x:f>'기준스탯 72종'!F57*H1244</x:f>
        <x:v>0.7200000000000002</x:v>
      </x:c>
      <x:c r="AC1244" s="15" t="n">
        <x:f>'기준스탯 72종'!G57*H1244</x:f>
        <x:v>1.0800000000000003</x:v>
      </x:c>
      <x:c r="AD1244" s="15" t="n">
        <x:f>'기준스탯 72종'!H57*H1244</x:f>
        <x:v>0.7200000000000002</x:v>
      </x:c>
      <x:c r="AE1244" s="15" t="n">
        <x:f>'기준스탯 72종'!I57*H1244</x:f>
        <x:v>0.7200000000000002</x:v>
      </x:c>
      <x:c r="AF1244" s="15" t="n">
        <x:f>'기준스탯 72종'!J57*H1244</x:f>
        <x:v>0.4800000000000001</x:v>
      </x:c>
      <x:c r="AG1244" s="15" t="n">
        <x:f>'기준스탯 72종'!K57*H1244</x:f>
        <x:v>0</x:v>
      </x:c>
    </x:row>
    <x:row r="1245" ht="28" customHeight="1">
      <x:c r="A1245" s="2" t="n">
        <x:v>1238</x:v>
      </x:c>
      <x:c r="B1245" s="2" t="n">
        <x:v>50</x:v>
      </x:c>
      <x:c r="C1245" s="2" t="str">
        <x:v>사수자리</x:v>
      </x:c>
      <x:c r="D1245" s="2" t="str">
        <x:v>마도사</x:v>
      </x:c>
      <x:c r="E1245" s="2" t="n">
        <x:v>3</x:v>
      </x:c>
      <x:c r="F1245" s="2" t="n">
        <x:v>3</x:v>
      </x:c>
      <x:c r="G1245" s="14" t="n">
        <x:f>('레벨 계산식'!$E$4-E1245)*'레벨 계산식'!$B$5</x:f>
        <x:v>0.27999999999999997</x:v>
      </x:c>
      <x:c r="H1245" s="14" t="n">
        <x:f>('등급 계산식'!$E$4-F1245)*'등급 계산식'!$B$5</x:f>
        <x:v>0.12000000000000002</x:v>
      </x:c>
      <x:c r="I1245" s="14" t="n">
        <x:f>1-G1245-H1245</x:f>
        <x:v>0.6</x:v>
      </x:c>
      <x:c r="J1245" s="2" t="n">
        <x:f>MAX(1,ROUND('기준스탯 72종'!D57-R1245-Z1245,0))</x:f>
        <x:v>5</x:v>
      </x:c>
      <x:c r="K1245" s="2" t="n">
        <x:f>MAX(1,ROUND('기준스탯 72종'!E57-S1245-AA1245,0))</x:f>
        <x:v>3</x:v>
      </x:c>
      <x:c r="L1245" s="2" t="n">
        <x:f>MAX(1,ROUND('기준스탯 72종'!F57-T1245-AB1245,0))</x:f>
        <x:v>4</x:v>
      </x:c>
      <x:c r="M1245" s="2" t="n">
        <x:f>MAX(1,ROUND('기준스탯 72종'!G57-U1245-AC1245,0))</x:f>
        <x:v>5</x:v>
      </x:c>
      <x:c r="N1245" s="2" t="n">
        <x:f>MAX(0,ROUND('기준스탯 72종'!H57-V1245-AD1245,0))</x:f>
        <x:v>4</x:v>
      </x:c>
      <x:c r="O1245" s="2" t="n">
        <x:f>MAX(0,ROUND('기준스탯 72종'!I57-W1245-AE1245,0))</x:f>
        <x:v>4</x:v>
      </x:c>
      <x:c r="P1245" s="2" t="n">
        <x:f>MAX(0,ROUND('기준스탯 72종'!J57-X1245-AF1245,0))</x:f>
        <x:v>2</x:v>
      </x:c>
      <x:c r="Q1245" s="2" t="n">
        <x:f>MAX(0,ROUND('기준스탯 72종'!K57-Y1245-AG1245,0))</x:f>
        <x:v>0</x:v>
      </x:c>
      <x:c r="R1245" s="15" t="n">
        <x:f>'기준스탯 72종'!D57*G1245</x:f>
        <x:v>2.5199999999999996</x:v>
      </x:c>
      <x:c r="S1245" s="15" t="n">
        <x:f>'기준스탯 72종'!E57*G1245</x:f>
        <x:v>1.4</x:v>
      </x:c>
      <x:c r="T1245" s="15" t="n">
        <x:f>'기준스탯 72종'!F57*G1245</x:f>
        <x:v>1.6799999999999997</x:v>
      </x:c>
      <x:c r="U1245" s="15" t="n">
        <x:f>'기준스탯 72종'!G57*G1245</x:f>
        <x:v>2.5199999999999996</x:v>
      </x:c>
      <x:c r="V1245" s="15" t="n">
        <x:f>'기준스탯 72종'!H57*G1245</x:f>
        <x:v>1.6799999999999997</x:v>
      </x:c>
      <x:c r="W1245" s="15" t="n">
        <x:f>'기준스탯 72종'!I57*G1245</x:f>
        <x:v>1.6799999999999997</x:v>
      </x:c>
      <x:c r="X1245" s="15" t="n">
        <x:f>'기준스탯 72종'!J57*G1245</x:f>
        <x:v>1.1199999999999999</x:v>
      </x:c>
      <x:c r="Y1245" s="15" t="n">
        <x:f>'기준스탯 72종'!K57*G1245</x:f>
        <x:v>0</x:v>
      </x:c>
      <x:c r="Z1245" s="15" t="n">
        <x:f>'기준스탯 72종'!D57*H1245</x:f>
        <x:v>1.0800000000000003</x:v>
      </x:c>
      <x:c r="AA1245" s="15" t="n">
        <x:f>'기준스탯 72종'!E57*H1245</x:f>
        <x:v>0.6000000000000001</x:v>
      </x:c>
      <x:c r="AB1245" s="15" t="n">
        <x:f>'기준스탯 72종'!F57*H1245</x:f>
        <x:v>0.7200000000000002</x:v>
      </x:c>
      <x:c r="AC1245" s="15" t="n">
        <x:f>'기준스탯 72종'!G57*H1245</x:f>
        <x:v>1.0800000000000003</x:v>
      </x:c>
      <x:c r="AD1245" s="15" t="n">
        <x:f>'기준스탯 72종'!H57*H1245</x:f>
        <x:v>0.7200000000000002</x:v>
      </x:c>
      <x:c r="AE1245" s="15" t="n">
        <x:f>'기준스탯 72종'!I57*H1245</x:f>
        <x:v>0.7200000000000002</x:v>
      </x:c>
      <x:c r="AF1245" s="15" t="n">
        <x:f>'기준스탯 72종'!J57*H1245</x:f>
        <x:v>0.4800000000000001</x:v>
      </x:c>
      <x:c r="AG1245" s="15" t="n">
        <x:f>'기준스탯 72종'!K57*H1245</x:f>
        <x:v>0</x:v>
      </x:c>
    </x:row>
    <x:row r="1246" ht="28" customHeight="1">
      <x:c r="A1246" s="2" t="n">
        <x:v>1239</x:v>
      </x:c>
      <x:c r="B1246" s="2" t="n">
        <x:v>50</x:v>
      </x:c>
      <x:c r="C1246" s="2" t="str">
        <x:v>사수자리</x:v>
      </x:c>
      <x:c r="D1246" s="2" t="str">
        <x:v>마도사</x:v>
      </x:c>
      <x:c r="E1246" s="2" t="n">
        <x:v>4</x:v>
      </x:c>
      <x:c r="F1246" s="2" t="n">
        <x:v>3</x:v>
      </x:c>
      <x:c r="G1246" s="14" t="n">
        <x:f>('레벨 계산식'!$E$4-E1246)*'레벨 계산식'!$B$5</x:f>
        <x:v>0.13999999999999999</x:v>
      </x:c>
      <x:c r="H1246" s="14" t="n">
        <x:f>('등급 계산식'!$E$4-F1246)*'등급 계산식'!$B$5</x:f>
        <x:v>0.12000000000000002</x:v>
      </x:c>
      <x:c r="I1246" s="14" t="n">
        <x:f>1-G1246-H1246</x:f>
        <x:v>0.74</x:v>
      </x:c>
      <x:c r="J1246" s="2" t="n">
        <x:f>MAX(1,ROUND('기준스탯 72종'!D57-R1246-Z1246,0))</x:f>
        <x:v>7</x:v>
      </x:c>
      <x:c r="K1246" s="2" t="n">
        <x:f>MAX(1,ROUND('기준스탯 72종'!E57-S1246-AA1246,0))</x:f>
        <x:v>4</x:v>
      </x:c>
      <x:c r="L1246" s="2" t="n">
        <x:f>MAX(1,ROUND('기준스탯 72종'!F57-T1246-AB1246,0))</x:f>
        <x:v>4</x:v>
      </x:c>
      <x:c r="M1246" s="2" t="n">
        <x:f>MAX(1,ROUND('기준스탯 72종'!G57-U1246-AC1246,0))</x:f>
        <x:v>7</x:v>
      </x:c>
      <x:c r="N1246" s="2" t="n">
        <x:f>MAX(0,ROUND('기준스탯 72종'!H57-V1246-AD1246,0))</x:f>
        <x:v>4</x:v>
      </x:c>
      <x:c r="O1246" s="2" t="n">
        <x:f>MAX(0,ROUND('기준스탯 72종'!I57-W1246-AE1246,0))</x:f>
        <x:v>4</x:v>
      </x:c>
      <x:c r="P1246" s="2" t="n">
        <x:f>MAX(0,ROUND('기준스탯 72종'!J57-X1246-AF1246,0))</x:f>
        <x:v>3</x:v>
      </x:c>
      <x:c r="Q1246" s="2" t="n">
        <x:f>MAX(0,ROUND('기준스탯 72종'!K57-Y1246-AG1246,0))</x:f>
        <x:v>0</x:v>
      </x:c>
      <x:c r="R1246" s="15" t="n">
        <x:f>'기준스탯 72종'!D57*G1246</x:f>
        <x:v>1.2599999999999998</x:v>
      </x:c>
      <x:c r="S1246" s="15" t="n">
        <x:f>'기준스탯 72종'!E57*G1246</x:f>
        <x:v>0.7</x:v>
      </x:c>
      <x:c r="T1246" s="15" t="n">
        <x:f>'기준스탯 72종'!F57*G1246</x:f>
        <x:v>0.8399999999999999</x:v>
      </x:c>
      <x:c r="U1246" s="15" t="n">
        <x:f>'기준스탯 72종'!G57*G1246</x:f>
        <x:v>1.2599999999999998</x:v>
      </x:c>
      <x:c r="V1246" s="15" t="n">
        <x:f>'기준스탯 72종'!H57*G1246</x:f>
        <x:v>0.8399999999999999</x:v>
      </x:c>
      <x:c r="W1246" s="15" t="n">
        <x:f>'기준스탯 72종'!I57*G1246</x:f>
        <x:v>0.8399999999999999</x:v>
      </x:c>
      <x:c r="X1246" s="15" t="n">
        <x:f>'기준스탯 72종'!J57*G1246</x:f>
        <x:v>0.5599999999999999</x:v>
      </x:c>
      <x:c r="Y1246" s="15" t="n">
        <x:f>'기준스탯 72종'!K57*G1246</x:f>
        <x:v>0</x:v>
      </x:c>
      <x:c r="Z1246" s="15" t="n">
        <x:f>'기준스탯 72종'!D57*H1246</x:f>
        <x:v>1.0800000000000003</x:v>
      </x:c>
      <x:c r="AA1246" s="15" t="n">
        <x:f>'기준스탯 72종'!E57*H1246</x:f>
        <x:v>0.6000000000000001</x:v>
      </x:c>
      <x:c r="AB1246" s="15" t="n">
        <x:f>'기준스탯 72종'!F57*H1246</x:f>
        <x:v>0.7200000000000002</x:v>
      </x:c>
      <x:c r="AC1246" s="15" t="n">
        <x:f>'기준스탯 72종'!G57*H1246</x:f>
        <x:v>1.0800000000000003</x:v>
      </x:c>
      <x:c r="AD1246" s="15" t="n">
        <x:f>'기준스탯 72종'!H57*H1246</x:f>
        <x:v>0.7200000000000002</x:v>
      </x:c>
      <x:c r="AE1246" s="15" t="n">
        <x:f>'기준스탯 72종'!I57*H1246</x:f>
        <x:v>0.7200000000000002</x:v>
      </x:c>
      <x:c r="AF1246" s="15" t="n">
        <x:f>'기준스탯 72종'!J57*H1246</x:f>
        <x:v>0.4800000000000001</x:v>
      </x:c>
      <x:c r="AG1246" s="15" t="n">
        <x:f>'기준스탯 72종'!K57*H1246</x:f>
        <x:v>0</x:v>
      </x:c>
    </x:row>
    <x:row r="1247" ht="28" customHeight="1">
      <x:c r="A1247" s="2" t="n">
        <x:v>1240</x:v>
      </x:c>
      <x:c r="B1247" s="2" t="n">
        <x:v>50</x:v>
      </x:c>
      <x:c r="C1247" s="2" t="str">
        <x:v>사수자리</x:v>
      </x:c>
      <x:c r="D1247" s="2" t="str">
        <x:v>마도사</x:v>
      </x:c>
      <x:c r="E1247" s="2" t="n">
        <x:v>5</x:v>
      </x:c>
      <x:c r="F1247" s="2" t="n">
        <x:v>3</x:v>
      </x:c>
      <x:c r="G1247" s="14" t="n">
        <x:f>('레벨 계산식'!$E$4-E1247)*'레벨 계산식'!$B$5</x:f>
        <x:v>0</x:v>
      </x:c>
      <x:c r="H1247" s="14" t="n">
        <x:f>('등급 계산식'!$E$4-F1247)*'등급 계산식'!$B$5</x:f>
        <x:v>0.12000000000000002</x:v>
      </x:c>
      <x:c r="I1247" s="14" t="n">
        <x:f>1-G1247-H1247</x:f>
        <x:v>0.88</x:v>
      </x:c>
      <x:c r="J1247" s="2" t="n">
        <x:f>MAX(1,ROUND('기준스탯 72종'!D57-R1247-Z1247,0))</x:f>
        <x:v>8</x:v>
      </x:c>
      <x:c r="K1247" s="2" t="n">
        <x:f>MAX(1,ROUND('기준스탯 72종'!E57-S1247-AA1247,0))</x:f>
        <x:v>4</x:v>
      </x:c>
      <x:c r="L1247" s="2" t="n">
        <x:f>MAX(1,ROUND('기준스탯 72종'!F57-T1247-AB1247,0))</x:f>
        <x:v>5</x:v>
      </x:c>
      <x:c r="M1247" s="2" t="n">
        <x:f>MAX(1,ROUND('기준스탯 72종'!G57-U1247-AC1247,0))</x:f>
        <x:v>8</x:v>
      </x:c>
      <x:c r="N1247" s="2" t="n">
        <x:f>MAX(0,ROUND('기준스탯 72종'!H57-V1247-AD1247,0))</x:f>
        <x:v>5</x:v>
      </x:c>
      <x:c r="O1247" s="2" t="n">
        <x:f>MAX(0,ROUND('기준스탯 72종'!I57-W1247-AE1247,0))</x:f>
        <x:v>5</x:v>
      </x:c>
      <x:c r="P1247" s="2" t="n">
        <x:f>MAX(0,ROUND('기준스탯 72종'!J57-X1247-AF1247,0))</x:f>
        <x:v>4</x:v>
      </x:c>
      <x:c r="Q1247" s="2" t="n">
        <x:f>MAX(0,ROUND('기준스탯 72종'!K57-Y1247-AG1247,0))</x:f>
        <x:v>0</x:v>
      </x:c>
      <x:c r="R1247" s="15" t="n">
        <x:f>'기준스탯 72종'!D57*G1247</x:f>
        <x:v>0</x:v>
      </x:c>
      <x:c r="S1247" s="15" t="n">
        <x:f>'기준스탯 72종'!E57*G1247</x:f>
        <x:v>0</x:v>
      </x:c>
      <x:c r="T1247" s="15" t="n">
        <x:f>'기준스탯 72종'!F57*G1247</x:f>
        <x:v>0</x:v>
      </x:c>
      <x:c r="U1247" s="15" t="n">
        <x:f>'기준스탯 72종'!G57*G1247</x:f>
        <x:v>0</x:v>
      </x:c>
      <x:c r="V1247" s="15" t="n">
        <x:f>'기준스탯 72종'!H57*G1247</x:f>
        <x:v>0</x:v>
      </x:c>
      <x:c r="W1247" s="15" t="n">
        <x:f>'기준스탯 72종'!I57*G1247</x:f>
        <x:v>0</x:v>
      </x:c>
      <x:c r="X1247" s="15" t="n">
        <x:f>'기준스탯 72종'!J57*G1247</x:f>
        <x:v>0</x:v>
      </x:c>
      <x:c r="Y1247" s="15" t="n">
        <x:f>'기준스탯 72종'!K57*G1247</x:f>
        <x:v>0</x:v>
      </x:c>
      <x:c r="Z1247" s="15" t="n">
        <x:f>'기준스탯 72종'!D57*H1247</x:f>
        <x:v>1.0800000000000003</x:v>
      </x:c>
      <x:c r="AA1247" s="15" t="n">
        <x:f>'기준스탯 72종'!E57*H1247</x:f>
        <x:v>0.6000000000000001</x:v>
      </x:c>
      <x:c r="AB1247" s="15" t="n">
        <x:f>'기준스탯 72종'!F57*H1247</x:f>
        <x:v>0.7200000000000002</x:v>
      </x:c>
      <x:c r="AC1247" s="15" t="n">
        <x:f>'기준스탯 72종'!G57*H1247</x:f>
        <x:v>1.0800000000000003</x:v>
      </x:c>
      <x:c r="AD1247" s="15" t="n">
        <x:f>'기준스탯 72종'!H57*H1247</x:f>
        <x:v>0.7200000000000002</x:v>
      </x:c>
      <x:c r="AE1247" s="15" t="n">
        <x:f>'기준스탯 72종'!I57*H1247</x:f>
        <x:v>0.7200000000000002</x:v>
      </x:c>
      <x:c r="AF1247" s="15" t="n">
        <x:f>'기준스탯 72종'!J57*H1247</x:f>
        <x:v>0.4800000000000001</x:v>
      </x:c>
      <x:c r="AG1247" s="15" t="n">
        <x:f>'기준스탯 72종'!K57*H1247</x:f>
        <x:v>0</x:v>
      </x:c>
    </x:row>
    <x:row r="1248" ht="28" customHeight="1">
      <x:c r="A1248" s="2" t="n">
        <x:v>1241</x:v>
      </x:c>
      <x:c r="B1248" s="2" t="n">
        <x:v>50</x:v>
      </x:c>
      <x:c r="C1248" s="2" t="str">
        <x:v>사수자리</x:v>
      </x:c>
      <x:c r="D1248" s="2" t="str">
        <x:v>마도사</x:v>
      </x:c>
      <x:c r="E1248" s="2" t="n">
        <x:v>1</x:v>
      </x:c>
      <x:c r="F1248" s="2" t="n">
        <x:v>4</x:v>
      </x:c>
      <x:c r="G1248" s="14" t="n">
        <x:f>('레벨 계산식'!$E$4-E1248)*'레벨 계산식'!$B$5</x:f>
        <x:v>0.5599999999999999</x:v>
      </x:c>
      <x:c r="H1248" s="14" t="n">
        <x:f>('등급 계산식'!$E$4-F1248)*'등급 계산식'!$B$5</x:f>
        <x:v>0.06000000000000001</x:v>
      </x:c>
      <x:c r="I1248" s="14" t="n">
        <x:f>1-G1248-H1248</x:f>
        <x:v>0.38000000000000006</x:v>
      </x:c>
      <x:c r="J1248" s="2" t="n">
        <x:f>MAX(1,ROUND('기준스탯 72종'!D57-R1248-Z1248,0))</x:f>
        <x:v>3</x:v>
      </x:c>
      <x:c r="K1248" s="2" t="n">
        <x:f>MAX(1,ROUND('기준스탯 72종'!E57-S1248-AA1248,0))</x:f>
        <x:v>2</x:v>
      </x:c>
      <x:c r="L1248" s="2" t="n">
        <x:f>MAX(1,ROUND('기준스탯 72종'!F57-T1248-AB1248,0))</x:f>
        <x:v>2</x:v>
      </x:c>
      <x:c r="M1248" s="2" t="n">
        <x:f>MAX(1,ROUND('기준스탯 72종'!G57-U1248-AC1248,0))</x:f>
        <x:v>3</x:v>
      </x:c>
      <x:c r="N1248" s="2" t="n">
        <x:f>MAX(0,ROUND('기준스탯 72종'!H57-V1248-AD1248,0))</x:f>
        <x:v>2</x:v>
      </x:c>
      <x:c r="O1248" s="2" t="n">
        <x:f>MAX(0,ROUND('기준스탯 72종'!I57-W1248-AE1248,0))</x:f>
        <x:v>2</x:v>
      </x:c>
      <x:c r="P1248" s="2" t="n">
        <x:f>MAX(0,ROUND('기준스탯 72종'!J57-X1248-AF1248,0))</x:f>
        <x:v>2</x:v>
      </x:c>
      <x:c r="Q1248" s="2" t="n">
        <x:f>MAX(0,ROUND('기준스탯 72종'!K57-Y1248-AG1248,0))</x:f>
        <x:v>0</x:v>
      </x:c>
      <x:c r="R1248" s="15" t="n">
        <x:f>'기준스탯 72종'!D57*G1248</x:f>
        <x:v>5.039999999999999</x:v>
      </x:c>
      <x:c r="S1248" s="15" t="n">
        <x:f>'기준스탯 72종'!E57*G1248</x:f>
        <x:v>2.8</x:v>
      </x:c>
      <x:c r="T1248" s="15" t="n">
        <x:f>'기준스탯 72종'!F57*G1248</x:f>
        <x:v>3.3599999999999994</x:v>
      </x:c>
      <x:c r="U1248" s="15" t="n">
        <x:f>'기준스탯 72종'!G57*G1248</x:f>
        <x:v>5.039999999999999</x:v>
      </x:c>
      <x:c r="V1248" s="15" t="n">
        <x:f>'기준스탯 72종'!H57*G1248</x:f>
        <x:v>3.3599999999999994</x:v>
      </x:c>
      <x:c r="W1248" s="15" t="n">
        <x:f>'기준스탯 72종'!I57*G1248</x:f>
        <x:v>3.3599999999999994</x:v>
      </x:c>
      <x:c r="X1248" s="15" t="n">
        <x:f>'기준스탯 72종'!J57*G1248</x:f>
        <x:v>2.2399999999999998</x:v>
      </x:c>
      <x:c r="Y1248" s="15" t="n">
        <x:f>'기준스탯 72종'!K57*G1248</x:f>
        <x:v>0</x:v>
      </x:c>
      <x:c r="Z1248" s="15" t="n">
        <x:f>'기준스탯 72종'!D57*H1248</x:f>
        <x:v>0.5400000000000001</x:v>
      </x:c>
      <x:c r="AA1248" s="15" t="n">
        <x:f>'기준스탯 72종'!E57*H1248</x:f>
        <x:v>0.30000000000000004</x:v>
      </x:c>
      <x:c r="AB1248" s="15" t="n">
        <x:f>'기준스탯 72종'!F57*H1248</x:f>
        <x:v>0.3600000000000001</x:v>
      </x:c>
      <x:c r="AC1248" s="15" t="n">
        <x:f>'기준스탯 72종'!G57*H1248</x:f>
        <x:v>0.5400000000000001</x:v>
      </x:c>
      <x:c r="AD1248" s="15" t="n">
        <x:f>'기준스탯 72종'!H57*H1248</x:f>
        <x:v>0.3600000000000001</x:v>
      </x:c>
      <x:c r="AE1248" s="15" t="n">
        <x:f>'기준스탯 72종'!I57*H1248</x:f>
        <x:v>0.3600000000000001</x:v>
      </x:c>
      <x:c r="AF1248" s="15" t="n">
        <x:f>'기준스탯 72종'!J57*H1248</x:f>
        <x:v>0.24000000000000005</x:v>
      </x:c>
      <x:c r="AG1248" s="15" t="n">
        <x:f>'기준스탯 72종'!K57*H1248</x:f>
        <x:v>0</x:v>
      </x:c>
    </x:row>
    <x:row r="1249" ht="28" customHeight="1">
      <x:c r="A1249" s="2" t="n">
        <x:v>1242</x:v>
      </x:c>
      <x:c r="B1249" s="2" t="n">
        <x:v>50</x:v>
      </x:c>
      <x:c r="C1249" s="2" t="str">
        <x:v>사수자리</x:v>
      </x:c>
      <x:c r="D1249" s="2" t="str">
        <x:v>마도사</x:v>
      </x:c>
      <x:c r="E1249" s="2" t="n">
        <x:v>2</x:v>
      </x:c>
      <x:c r="F1249" s="2" t="n">
        <x:v>4</x:v>
      </x:c>
      <x:c r="G1249" s="14" t="n">
        <x:f>('레벨 계산식'!$E$4-E1249)*'레벨 계산식'!$B$5</x:f>
        <x:v>0.41999999999999993</x:v>
      </x:c>
      <x:c r="H1249" s="14" t="n">
        <x:f>('등급 계산식'!$E$4-F1249)*'등급 계산식'!$B$5</x:f>
        <x:v>0.06000000000000001</x:v>
      </x:c>
      <x:c r="I1249" s="14" t="n">
        <x:f>1-G1249-H1249</x:f>
        <x:v>0.52</x:v>
      </x:c>
      <x:c r="J1249" s="2" t="n">
        <x:f>MAX(1,ROUND('기준스탯 72종'!D57-R1249-Z1249,0))</x:f>
        <x:v>5</x:v>
      </x:c>
      <x:c r="K1249" s="2" t="n">
        <x:f>MAX(1,ROUND('기준스탯 72종'!E57-S1249-AA1249,0))</x:f>
        <x:v>3</x:v>
      </x:c>
      <x:c r="L1249" s="2" t="n">
        <x:f>MAX(1,ROUND('기준스탯 72종'!F57-T1249-AB1249,0))</x:f>
        <x:v>3</x:v>
      </x:c>
      <x:c r="M1249" s="2" t="n">
        <x:f>MAX(1,ROUND('기준스탯 72종'!G57-U1249-AC1249,0))</x:f>
        <x:v>5</x:v>
      </x:c>
      <x:c r="N1249" s="2" t="n">
        <x:f>MAX(0,ROUND('기준스탯 72종'!H57-V1249-AD1249,0))</x:f>
        <x:v>3</x:v>
      </x:c>
      <x:c r="O1249" s="2" t="n">
        <x:f>MAX(0,ROUND('기준스탯 72종'!I57-W1249-AE1249,0))</x:f>
        <x:v>3</x:v>
      </x:c>
      <x:c r="P1249" s="2" t="n">
        <x:f>MAX(0,ROUND('기준스탯 72종'!J57-X1249-AF1249,0))</x:f>
        <x:v>2</x:v>
      </x:c>
      <x:c r="Q1249" s="2" t="n">
        <x:f>MAX(0,ROUND('기준스탯 72종'!K57-Y1249-AG1249,0))</x:f>
        <x:v>0</x:v>
      </x:c>
      <x:c r="R1249" s="15" t="n">
        <x:f>'기준스탯 72종'!D57*G1249</x:f>
        <x:v>3.7799999999999994</x:v>
      </x:c>
      <x:c r="S1249" s="15" t="n">
        <x:f>'기준스탯 72종'!E57*G1249</x:f>
        <x:v>2.0999999999999996</x:v>
      </x:c>
      <x:c r="T1249" s="15" t="n">
        <x:f>'기준스탯 72종'!F57*G1249</x:f>
        <x:v>2.5199999999999996</x:v>
      </x:c>
      <x:c r="U1249" s="15" t="n">
        <x:f>'기준스탯 72종'!G57*G1249</x:f>
        <x:v>3.7799999999999994</x:v>
      </x:c>
      <x:c r="V1249" s="15" t="n">
        <x:f>'기준스탯 72종'!H57*G1249</x:f>
        <x:v>2.5199999999999996</x:v>
      </x:c>
      <x:c r="W1249" s="15" t="n">
        <x:f>'기준스탯 72종'!I57*G1249</x:f>
        <x:v>2.5199999999999996</x:v>
      </x:c>
      <x:c r="X1249" s="15" t="n">
        <x:f>'기준스탯 72종'!J57*G1249</x:f>
        <x:v>1.6799999999999997</x:v>
      </x:c>
      <x:c r="Y1249" s="15" t="n">
        <x:f>'기준스탯 72종'!K57*G1249</x:f>
        <x:v>0</x:v>
      </x:c>
      <x:c r="Z1249" s="15" t="n">
        <x:f>'기준스탯 72종'!D57*H1249</x:f>
        <x:v>0.5400000000000001</x:v>
      </x:c>
      <x:c r="AA1249" s="15" t="n">
        <x:f>'기준스탯 72종'!E57*H1249</x:f>
        <x:v>0.30000000000000004</x:v>
      </x:c>
      <x:c r="AB1249" s="15" t="n">
        <x:f>'기준스탯 72종'!F57*H1249</x:f>
        <x:v>0.3600000000000001</x:v>
      </x:c>
      <x:c r="AC1249" s="15" t="n">
        <x:f>'기준스탯 72종'!G57*H1249</x:f>
        <x:v>0.5400000000000001</x:v>
      </x:c>
      <x:c r="AD1249" s="15" t="n">
        <x:f>'기준스탯 72종'!H57*H1249</x:f>
        <x:v>0.3600000000000001</x:v>
      </x:c>
      <x:c r="AE1249" s="15" t="n">
        <x:f>'기준스탯 72종'!I57*H1249</x:f>
        <x:v>0.3600000000000001</x:v>
      </x:c>
      <x:c r="AF1249" s="15" t="n">
        <x:f>'기준스탯 72종'!J57*H1249</x:f>
        <x:v>0.24000000000000005</x:v>
      </x:c>
      <x:c r="AG1249" s="15" t="n">
        <x:f>'기준스탯 72종'!K57*H1249</x:f>
        <x:v>0</x:v>
      </x:c>
    </x:row>
    <x:row r="1250" ht="28" customHeight="1">
      <x:c r="A1250" s="2" t="n">
        <x:v>1243</x:v>
      </x:c>
      <x:c r="B1250" s="2" t="n">
        <x:v>50</x:v>
      </x:c>
      <x:c r="C1250" s="2" t="str">
        <x:v>사수자리</x:v>
      </x:c>
      <x:c r="D1250" s="2" t="str">
        <x:v>마도사</x:v>
      </x:c>
      <x:c r="E1250" s="2" t="n">
        <x:v>3</x:v>
      </x:c>
      <x:c r="F1250" s="2" t="n">
        <x:v>4</x:v>
      </x:c>
      <x:c r="G1250" s="14" t="n">
        <x:f>('레벨 계산식'!$E$4-E1250)*'레벨 계산식'!$B$5</x:f>
        <x:v>0.27999999999999997</x:v>
      </x:c>
      <x:c r="H1250" s="14" t="n">
        <x:f>('등급 계산식'!$E$4-F1250)*'등급 계산식'!$B$5</x:f>
        <x:v>0.06000000000000001</x:v>
      </x:c>
      <x:c r="I1250" s="14" t="n">
        <x:f>1-G1250-H1250</x:f>
        <x:v>0.6599999999999999</x:v>
      </x:c>
      <x:c r="J1250" s="2" t="n">
        <x:f>MAX(1,ROUND('기준스탯 72종'!D57-R1250-Z1250,0))</x:f>
        <x:v>6</x:v>
      </x:c>
      <x:c r="K1250" s="2" t="n">
        <x:f>MAX(1,ROUND('기준스탯 72종'!E57-S1250-AA1250,0))</x:f>
        <x:v>3</x:v>
      </x:c>
      <x:c r="L1250" s="2" t="n">
        <x:f>MAX(1,ROUND('기준스탯 72종'!F57-T1250-AB1250,0))</x:f>
        <x:v>4</x:v>
      </x:c>
      <x:c r="M1250" s="2" t="n">
        <x:f>MAX(1,ROUND('기준스탯 72종'!G57-U1250-AC1250,0))</x:f>
        <x:v>6</x:v>
      </x:c>
      <x:c r="N1250" s="2" t="n">
        <x:f>MAX(0,ROUND('기준스탯 72종'!H57-V1250-AD1250,0))</x:f>
        <x:v>4</x:v>
      </x:c>
      <x:c r="O1250" s="2" t="n">
        <x:f>MAX(0,ROUND('기준스탯 72종'!I57-W1250-AE1250,0))</x:f>
        <x:v>4</x:v>
      </x:c>
      <x:c r="P1250" s="2" t="n">
        <x:f>MAX(0,ROUND('기준스탯 72종'!J57-X1250-AF1250,0))</x:f>
        <x:v>3</x:v>
      </x:c>
      <x:c r="Q1250" s="2" t="n">
        <x:f>MAX(0,ROUND('기준스탯 72종'!K57-Y1250-AG1250,0))</x:f>
        <x:v>0</x:v>
      </x:c>
      <x:c r="R1250" s="15" t="n">
        <x:f>'기준스탯 72종'!D57*G1250</x:f>
        <x:v>2.5199999999999996</x:v>
      </x:c>
      <x:c r="S1250" s="15" t="n">
        <x:f>'기준스탯 72종'!E57*G1250</x:f>
        <x:v>1.4</x:v>
      </x:c>
      <x:c r="T1250" s="15" t="n">
        <x:f>'기준스탯 72종'!F57*G1250</x:f>
        <x:v>1.6799999999999997</x:v>
      </x:c>
      <x:c r="U1250" s="15" t="n">
        <x:f>'기준스탯 72종'!G57*G1250</x:f>
        <x:v>2.5199999999999996</x:v>
      </x:c>
      <x:c r="V1250" s="15" t="n">
        <x:f>'기준스탯 72종'!H57*G1250</x:f>
        <x:v>1.6799999999999997</x:v>
      </x:c>
      <x:c r="W1250" s="15" t="n">
        <x:f>'기준스탯 72종'!I57*G1250</x:f>
        <x:v>1.6799999999999997</x:v>
      </x:c>
      <x:c r="X1250" s="15" t="n">
        <x:f>'기준스탯 72종'!J57*G1250</x:f>
        <x:v>1.1199999999999999</x:v>
      </x:c>
      <x:c r="Y1250" s="15" t="n">
        <x:f>'기준스탯 72종'!K57*G1250</x:f>
        <x:v>0</x:v>
      </x:c>
      <x:c r="Z1250" s="15" t="n">
        <x:f>'기준스탯 72종'!D57*H1250</x:f>
        <x:v>0.5400000000000001</x:v>
      </x:c>
      <x:c r="AA1250" s="15" t="n">
        <x:f>'기준스탯 72종'!E57*H1250</x:f>
        <x:v>0.30000000000000004</x:v>
      </x:c>
      <x:c r="AB1250" s="15" t="n">
        <x:f>'기준스탯 72종'!F57*H1250</x:f>
        <x:v>0.3600000000000001</x:v>
      </x:c>
      <x:c r="AC1250" s="15" t="n">
        <x:f>'기준스탯 72종'!G57*H1250</x:f>
        <x:v>0.5400000000000001</x:v>
      </x:c>
      <x:c r="AD1250" s="15" t="n">
        <x:f>'기준스탯 72종'!H57*H1250</x:f>
        <x:v>0.3600000000000001</x:v>
      </x:c>
      <x:c r="AE1250" s="15" t="n">
        <x:f>'기준스탯 72종'!I57*H1250</x:f>
        <x:v>0.3600000000000001</x:v>
      </x:c>
      <x:c r="AF1250" s="15" t="n">
        <x:f>'기준스탯 72종'!J57*H1250</x:f>
        <x:v>0.24000000000000005</x:v>
      </x:c>
      <x:c r="AG1250" s="15" t="n">
        <x:f>'기준스탯 72종'!K57*H1250</x:f>
        <x:v>0</x:v>
      </x:c>
    </x:row>
    <x:row r="1251" ht="28" customHeight="1">
      <x:c r="A1251" s="2" t="n">
        <x:v>1244</x:v>
      </x:c>
      <x:c r="B1251" s="2" t="n">
        <x:v>50</x:v>
      </x:c>
      <x:c r="C1251" s="2" t="str">
        <x:v>사수자리</x:v>
      </x:c>
      <x:c r="D1251" s="2" t="str">
        <x:v>마도사</x:v>
      </x:c>
      <x:c r="E1251" s="2" t="n">
        <x:v>4</x:v>
      </x:c>
      <x:c r="F1251" s="2" t="n">
        <x:v>4</x:v>
      </x:c>
      <x:c r="G1251" s="14" t="n">
        <x:f>('레벨 계산식'!$E$4-E1251)*'레벨 계산식'!$B$5</x:f>
        <x:v>0.13999999999999999</x:v>
      </x:c>
      <x:c r="H1251" s="14" t="n">
        <x:f>('등급 계산식'!$E$4-F1251)*'등급 계산식'!$B$5</x:f>
        <x:v>0.06000000000000001</x:v>
      </x:c>
      <x:c r="I1251" s="14" t="n">
        <x:f>1-G1251-H1251</x:f>
        <x:v>0.7999999999999999</x:v>
      </x:c>
      <x:c r="J1251" s="2" t="n">
        <x:f>MAX(1,ROUND('기준스탯 72종'!D57-R1251-Z1251,0))</x:f>
        <x:v>7</x:v>
      </x:c>
      <x:c r="K1251" s="2" t="n">
        <x:f>MAX(1,ROUND('기준스탯 72종'!E57-S1251-AA1251,0))</x:f>
        <x:v>4</x:v>
      </x:c>
      <x:c r="L1251" s="2" t="n">
        <x:f>MAX(1,ROUND('기준스탯 72종'!F57-T1251-AB1251,0))</x:f>
        <x:v>5</x:v>
      </x:c>
      <x:c r="M1251" s="2" t="n">
        <x:f>MAX(1,ROUND('기준스탯 72종'!G57-U1251-AC1251,0))</x:f>
        <x:v>7</x:v>
      </x:c>
      <x:c r="N1251" s="2" t="n">
        <x:f>MAX(0,ROUND('기준스탯 72종'!H57-V1251-AD1251,0))</x:f>
        <x:v>5</x:v>
      </x:c>
      <x:c r="O1251" s="2" t="n">
        <x:f>MAX(0,ROUND('기준스탯 72종'!I57-W1251-AE1251,0))</x:f>
        <x:v>5</x:v>
      </x:c>
      <x:c r="P1251" s="2" t="n">
        <x:f>MAX(0,ROUND('기준스탯 72종'!J57-X1251-AF1251,0))</x:f>
        <x:v>3</x:v>
      </x:c>
      <x:c r="Q1251" s="2" t="n">
        <x:f>MAX(0,ROUND('기준스탯 72종'!K57-Y1251-AG1251,0))</x:f>
        <x:v>0</x:v>
      </x:c>
      <x:c r="R1251" s="15" t="n">
        <x:f>'기준스탯 72종'!D57*G1251</x:f>
        <x:v>1.2599999999999998</x:v>
      </x:c>
      <x:c r="S1251" s="15" t="n">
        <x:f>'기준스탯 72종'!E57*G1251</x:f>
        <x:v>0.7</x:v>
      </x:c>
      <x:c r="T1251" s="15" t="n">
        <x:f>'기준스탯 72종'!F57*G1251</x:f>
        <x:v>0.8399999999999999</x:v>
      </x:c>
      <x:c r="U1251" s="15" t="n">
        <x:f>'기준스탯 72종'!G57*G1251</x:f>
        <x:v>1.2599999999999998</x:v>
      </x:c>
      <x:c r="V1251" s="15" t="n">
        <x:f>'기준스탯 72종'!H57*G1251</x:f>
        <x:v>0.8399999999999999</x:v>
      </x:c>
      <x:c r="W1251" s="15" t="n">
        <x:f>'기준스탯 72종'!I57*G1251</x:f>
        <x:v>0.8399999999999999</x:v>
      </x:c>
      <x:c r="X1251" s="15" t="n">
        <x:f>'기준스탯 72종'!J57*G1251</x:f>
        <x:v>0.5599999999999999</x:v>
      </x:c>
      <x:c r="Y1251" s="15" t="n">
        <x:f>'기준스탯 72종'!K57*G1251</x:f>
        <x:v>0</x:v>
      </x:c>
      <x:c r="Z1251" s="15" t="n">
        <x:f>'기준스탯 72종'!D57*H1251</x:f>
        <x:v>0.5400000000000001</x:v>
      </x:c>
      <x:c r="AA1251" s="15" t="n">
        <x:f>'기준스탯 72종'!E57*H1251</x:f>
        <x:v>0.30000000000000004</x:v>
      </x:c>
      <x:c r="AB1251" s="15" t="n">
        <x:f>'기준스탯 72종'!F57*H1251</x:f>
        <x:v>0.3600000000000001</x:v>
      </x:c>
      <x:c r="AC1251" s="15" t="n">
        <x:f>'기준스탯 72종'!G57*H1251</x:f>
        <x:v>0.5400000000000001</x:v>
      </x:c>
      <x:c r="AD1251" s="15" t="n">
        <x:f>'기준스탯 72종'!H57*H1251</x:f>
        <x:v>0.3600000000000001</x:v>
      </x:c>
      <x:c r="AE1251" s="15" t="n">
        <x:f>'기준스탯 72종'!I57*H1251</x:f>
        <x:v>0.3600000000000001</x:v>
      </x:c>
      <x:c r="AF1251" s="15" t="n">
        <x:f>'기준스탯 72종'!J57*H1251</x:f>
        <x:v>0.24000000000000005</x:v>
      </x:c>
      <x:c r="AG1251" s="15" t="n">
        <x:f>'기준스탯 72종'!K57*H1251</x:f>
        <x:v>0</x:v>
      </x:c>
    </x:row>
    <x:row r="1252" ht="28" customHeight="1">
      <x:c r="A1252" s="2" t="n">
        <x:v>1245</x:v>
      </x:c>
      <x:c r="B1252" s="2" t="n">
        <x:v>50</x:v>
      </x:c>
      <x:c r="C1252" s="2" t="str">
        <x:v>사수자리</x:v>
      </x:c>
      <x:c r="D1252" s="2" t="str">
        <x:v>마도사</x:v>
      </x:c>
      <x:c r="E1252" s="2" t="n">
        <x:v>5</x:v>
      </x:c>
      <x:c r="F1252" s="2" t="n">
        <x:v>4</x:v>
      </x:c>
      <x:c r="G1252" s="14" t="n">
        <x:f>('레벨 계산식'!$E$4-E1252)*'레벨 계산식'!$B$5</x:f>
        <x:v>0</x:v>
      </x:c>
      <x:c r="H1252" s="14" t="n">
        <x:f>('등급 계산식'!$E$4-F1252)*'등급 계산식'!$B$5</x:f>
        <x:v>0.06000000000000001</x:v>
      </x:c>
      <x:c r="I1252" s="14" t="n">
        <x:f>1-G1252-H1252</x:f>
        <x:v>0.94</x:v>
      </x:c>
      <x:c r="J1252" s="2" t="n">
        <x:f>MAX(1,ROUND('기준스탯 72종'!D57-R1252-Z1252,0))</x:f>
        <x:v>8</x:v>
      </x:c>
      <x:c r="K1252" s="2" t="n">
        <x:f>MAX(1,ROUND('기준스탯 72종'!E57-S1252-AA1252,0))</x:f>
        <x:v>5</x:v>
      </x:c>
      <x:c r="L1252" s="2" t="n">
        <x:f>MAX(1,ROUND('기준스탯 72종'!F57-T1252-AB1252,0))</x:f>
        <x:v>6</x:v>
      </x:c>
      <x:c r="M1252" s="2" t="n">
        <x:f>MAX(1,ROUND('기준스탯 72종'!G57-U1252-AC1252,0))</x:f>
        <x:v>8</x:v>
      </x:c>
      <x:c r="N1252" s="2" t="n">
        <x:f>MAX(0,ROUND('기준스탯 72종'!H57-V1252-AD1252,0))</x:f>
        <x:v>6</x:v>
      </x:c>
      <x:c r="O1252" s="2" t="n">
        <x:f>MAX(0,ROUND('기준스탯 72종'!I57-W1252-AE1252,0))</x:f>
        <x:v>6</x:v>
      </x:c>
      <x:c r="P1252" s="2" t="n">
        <x:f>MAX(0,ROUND('기준스탯 72종'!J57-X1252-AF1252,0))</x:f>
        <x:v>4</x:v>
      </x:c>
      <x:c r="Q1252" s="2" t="n">
        <x:f>MAX(0,ROUND('기준스탯 72종'!K57-Y1252-AG1252,0))</x:f>
        <x:v>0</x:v>
      </x:c>
      <x:c r="R1252" s="15" t="n">
        <x:f>'기준스탯 72종'!D57*G1252</x:f>
        <x:v>0</x:v>
      </x:c>
      <x:c r="S1252" s="15" t="n">
        <x:f>'기준스탯 72종'!E57*G1252</x:f>
        <x:v>0</x:v>
      </x:c>
      <x:c r="T1252" s="15" t="n">
        <x:f>'기준스탯 72종'!F57*G1252</x:f>
        <x:v>0</x:v>
      </x:c>
      <x:c r="U1252" s="15" t="n">
        <x:f>'기준스탯 72종'!G57*G1252</x:f>
        <x:v>0</x:v>
      </x:c>
      <x:c r="V1252" s="15" t="n">
        <x:f>'기준스탯 72종'!H57*G1252</x:f>
        <x:v>0</x:v>
      </x:c>
      <x:c r="W1252" s="15" t="n">
        <x:f>'기준스탯 72종'!I57*G1252</x:f>
        <x:v>0</x:v>
      </x:c>
      <x:c r="X1252" s="15" t="n">
        <x:f>'기준스탯 72종'!J57*G1252</x:f>
        <x:v>0</x:v>
      </x:c>
      <x:c r="Y1252" s="15" t="n">
        <x:f>'기준스탯 72종'!K57*G1252</x:f>
        <x:v>0</x:v>
      </x:c>
      <x:c r="Z1252" s="15" t="n">
        <x:f>'기준스탯 72종'!D57*H1252</x:f>
        <x:v>0.5400000000000001</x:v>
      </x:c>
      <x:c r="AA1252" s="15" t="n">
        <x:f>'기준스탯 72종'!E57*H1252</x:f>
        <x:v>0.30000000000000004</x:v>
      </x:c>
      <x:c r="AB1252" s="15" t="n">
        <x:f>'기준스탯 72종'!F57*H1252</x:f>
        <x:v>0.3600000000000001</x:v>
      </x:c>
      <x:c r="AC1252" s="15" t="n">
        <x:f>'기준스탯 72종'!G57*H1252</x:f>
        <x:v>0.5400000000000001</x:v>
      </x:c>
      <x:c r="AD1252" s="15" t="n">
        <x:f>'기준스탯 72종'!H57*H1252</x:f>
        <x:v>0.3600000000000001</x:v>
      </x:c>
      <x:c r="AE1252" s="15" t="n">
        <x:f>'기준스탯 72종'!I57*H1252</x:f>
        <x:v>0.3600000000000001</x:v>
      </x:c>
      <x:c r="AF1252" s="15" t="n">
        <x:f>'기준스탯 72종'!J57*H1252</x:f>
        <x:v>0.24000000000000005</x:v>
      </x:c>
      <x:c r="AG1252" s="15" t="n">
        <x:f>'기준스탯 72종'!K57*H1252</x:f>
        <x:v>0</x:v>
      </x:c>
    </x:row>
    <x:row r="1253" ht="28" customHeight="1">
      <x:c r="A1253" s="2" t="n">
        <x:v>1246</x:v>
      </x:c>
      <x:c r="B1253" s="2" t="n">
        <x:v>50</x:v>
      </x:c>
      <x:c r="C1253" s="2" t="str">
        <x:v>사수자리</x:v>
      </x:c>
      <x:c r="D1253" s="2" t="str">
        <x:v>마도사</x:v>
      </x:c>
      <x:c r="E1253" s="2" t="n">
        <x:v>1</x:v>
      </x:c>
      <x:c r="F1253" s="2" t="n">
        <x:v>5</x:v>
      </x:c>
      <x:c r="G1253" s="14" t="n">
        <x:f>('레벨 계산식'!$E$4-E1253)*'레벨 계산식'!$B$5</x:f>
        <x:v>0.5599999999999999</x:v>
      </x:c>
      <x:c r="H1253" s="14" t="n">
        <x:f>('등급 계산식'!$E$4-F1253)*'등급 계산식'!$B$5</x:f>
        <x:v>0</x:v>
      </x:c>
      <x:c r="I1253" s="14" t="n">
        <x:f>1-G1253-H1253</x:f>
        <x:v>0.44000000000000006</x:v>
      </x:c>
      <x:c r="J1253" s="2" t="n">
        <x:f>MAX(1,ROUND('기준스탯 72종'!D57-R1253-Z1253,0))</x:f>
        <x:v>4</x:v>
      </x:c>
      <x:c r="K1253" s="2" t="n">
        <x:f>MAX(1,ROUND('기준스탯 72종'!E57-S1253-AA1253,0))</x:f>
        <x:v>2</x:v>
      </x:c>
      <x:c r="L1253" s="2" t="n">
        <x:f>MAX(1,ROUND('기준스탯 72종'!F57-T1253-AB1253,0))</x:f>
        <x:v>3</x:v>
      </x:c>
      <x:c r="M1253" s="2" t="n">
        <x:f>MAX(1,ROUND('기준스탯 72종'!G57-U1253-AC1253,0))</x:f>
        <x:v>4</x:v>
      </x:c>
      <x:c r="N1253" s="2" t="n">
        <x:f>MAX(0,ROUND('기준스탯 72종'!H57-V1253-AD1253,0))</x:f>
        <x:v>3</x:v>
      </x:c>
      <x:c r="O1253" s="2" t="n">
        <x:f>MAX(0,ROUND('기준스탯 72종'!I57-W1253-AE1253,0))</x:f>
        <x:v>3</x:v>
      </x:c>
      <x:c r="P1253" s="2" t="n">
        <x:f>MAX(0,ROUND('기준스탯 72종'!J57-X1253-AF1253,0))</x:f>
        <x:v>2</x:v>
      </x:c>
      <x:c r="Q1253" s="2" t="n">
        <x:f>MAX(0,ROUND('기준스탯 72종'!K57-Y1253-AG1253,0))</x:f>
        <x:v>0</x:v>
      </x:c>
      <x:c r="R1253" s="15" t="n">
        <x:f>'기준스탯 72종'!D57*G1253</x:f>
        <x:v>5.039999999999999</x:v>
      </x:c>
      <x:c r="S1253" s="15" t="n">
        <x:f>'기준스탯 72종'!E57*G1253</x:f>
        <x:v>2.8</x:v>
      </x:c>
      <x:c r="T1253" s="15" t="n">
        <x:f>'기준스탯 72종'!F57*G1253</x:f>
        <x:v>3.3599999999999994</x:v>
      </x:c>
      <x:c r="U1253" s="15" t="n">
        <x:f>'기준스탯 72종'!G57*G1253</x:f>
        <x:v>5.039999999999999</x:v>
      </x:c>
      <x:c r="V1253" s="15" t="n">
        <x:f>'기준스탯 72종'!H57*G1253</x:f>
        <x:v>3.3599999999999994</x:v>
      </x:c>
      <x:c r="W1253" s="15" t="n">
        <x:f>'기준스탯 72종'!I57*G1253</x:f>
        <x:v>3.3599999999999994</x:v>
      </x:c>
      <x:c r="X1253" s="15" t="n">
        <x:f>'기준스탯 72종'!J57*G1253</x:f>
        <x:v>2.2399999999999998</x:v>
      </x:c>
      <x:c r="Y1253" s="15" t="n">
        <x:f>'기준스탯 72종'!K57*G1253</x:f>
        <x:v>0</x:v>
      </x:c>
      <x:c r="Z1253" s="15" t="n">
        <x:f>'기준스탯 72종'!D57*H1253</x:f>
        <x:v>0</x:v>
      </x:c>
      <x:c r="AA1253" s="15" t="n">
        <x:f>'기준스탯 72종'!E57*H1253</x:f>
        <x:v>0</x:v>
      </x:c>
      <x:c r="AB1253" s="15" t="n">
        <x:f>'기준스탯 72종'!F57*H1253</x:f>
        <x:v>0</x:v>
      </x:c>
      <x:c r="AC1253" s="15" t="n">
        <x:f>'기준스탯 72종'!G57*H1253</x:f>
        <x:v>0</x:v>
      </x:c>
      <x:c r="AD1253" s="15" t="n">
        <x:f>'기준스탯 72종'!H57*H1253</x:f>
        <x:v>0</x:v>
      </x:c>
      <x:c r="AE1253" s="15" t="n">
        <x:f>'기준스탯 72종'!I57*H1253</x:f>
        <x:v>0</x:v>
      </x:c>
      <x:c r="AF1253" s="15" t="n">
        <x:f>'기준스탯 72종'!J57*H1253</x:f>
        <x:v>0</x:v>
      </x:c>
      <x:c r="AG1253" s="15" t="n">
        <x:f>'기준스탯 72종'!K57*H1253</x:f>
        <x:v>0</x:v>
      </x:c>
    </x:row>
    <x:row r="1254" ht="28" customHeight="1">
      <x:c r="A1254" s="2" t="n">
        <x:v>1247</x:v>
      </x:c>
      <x:c r="B1254" s="2" t="n">
        <x:v>50</x:v>
      </x:c>
      <x:c r="C1254" s="2" t="str">
        <x:v>사수자리</x:v>
      </x:c>
      <x:c r="D1254" s="2" t="str">
        <x:v>마도사</x:v>
      </x:c>
      <x:c r="E1254" s="2" t="n">
        <x:v>2</x:v>
      </x:c>
      <x:c r="F1254" s="2" t="n">
        <x:v>5</x:v>
      </x:c>
      <x:c r="G1254" s="14" t="n">
        <x:f>('레벨 계산식'!$E$4-E1254)*'레벨 계산식'!$B$5</x:f>
        <x:v>0.41999999999999993</x:v>
      </x:c>
      <x:c r="H1254" s="14" t="n">
        <x:f>('등급 계산식'!$E$4-F1254)*'등급 계산식'!$B$5</x:f>
        <x:v>0</x:v>
      </x:c>
      <x:c r="I1254" s="14" t="n">
        <x:f>1-G1254-H1254</x:f>
        <x:v>0.5800000000000001</x:v>
      </x:c>
      <x:c r="J1254" s="2" t="n">
        <x:f>MAX(1,ROUND('기준스탯 72종'!D57-R1254-Z1254,0))</x:f>
        <x:v>5</x:v>
      </x:c>
      <x:c r="K1254" s="2" t="n">
        <x:f>MAX(1,ROUND('기준스탯 72종'!E57-S1254-AA1254,0))</x:f>
        <x:v>3</x:v>
      </x:c>
      <x:c r="L1254" s="2" t="n">
        <x:f>MAX(1,ROUND('기준스탯 72종'!F57-T1254-AB1254,0))</x:f>
        <x:v>3</x:v>
      </x:c>
      <x:c r="M1254" s="2" t="n">
        <x:f>MAX(1,ROUND('기준스탯 72종'!G57-U1254-AC1254,0))</x:f>
        <x:v>5</x:v>
      </x:c>
      <x:c r="N1254" s="2" t="n">
        <x:f>MAX(0,ROUND('기준스탯 72종'!H57-V1254-AD1254,0))</x:f>
        <x:v>3</x:v>
      </x:c>
      <x:c r="O1254" s="2" t="n">
        <x:f>MAX(0,ROUND('기준스탯 72종'!I57-W1254-AE1254,0))</x:f>
        <x:v>3</x:v>
      </x:c>
      <x:c r="P1254" s="2" t="n">
        <x:f>MAX(0,ROUND('기준스탯 72종'!J57-X1254-AF1254,0))</x:f>
        <x:v>2</x:v>
      </x:c>
      <x:c r="Q1254" s="2" t="n">
        <x:f>MAX(0,ROUND('기준스탯 72종'!K57-Y1254-AG1254,0))</x:f>
        <x:v>0</x:v>
      </x:c>
      <x:c r="R1254" s="15" t="n">
        <x:f>'기준스탯 72종'!D57*G1254</x:f>
        <x:v>3.7799999999999994</x:v>
      </x:c>
      <x:c r="S1254" s="15" t="n">
        <x:f>'기준스탯 72종'!E57*G1254</x:f>
        <x:v>2.0999999999999996</x:v>
      </x:c>
      <x:c r="T1254" s="15" t="n">
        <x:f>'기준스탯 72종'!F57*G1254</x:f>
        <x:v>2.5199999999999996</x:v>
      </x:c>
      <x:c r="U1254" s="15" t="n">
        <x:f>'기준스탯 72종'!G57*G1254</x:f>
        <x:v>3.7799999999999994</x:v>
      </x:c>
      <x:c r="V1254" s="15" t="n">
        <x:f>'기준스탯 72종'!H57*G1254</x:f>
        <x:v>2.5199999999999996</x:v>
      </x:c>
      <x:c r="W1254" s="15" t="n">
        <x:f>'기준스탯 72종'!I57*G1254</x:f>
        <x:v>2.5199999999999996</x:v>
      </x:c>
      <x:c r="X1254" s="15" t="n">
        <x:f>'기준스탯 72종'!J57*G1254</x:f>
        <x:v>1.6799999999999997</x:v>
      </x:c>
      <x:c r="Y1254" s="15" t="n">
        <x:f>'기준스탯 72종'!K57*G1254</x:f>
        <x:v>0</x:v>
      </x:c>
      <x:c r="Z1254" s="15" t="n">
        <x:f>'기준스탯 72종'!D57*H1254</x:f>
        <x:v>0</x:v>
      </x:c>
      <x:c r="AA1254" s="15" t="n">
        <x:f>'기준스탯 72종'!E57*H1254</x:f>
        <x:v>0</x:v>
      </x:c>
      <x:c r="AB1254" s="15" t="n">
        <x:f>'기준스탯 72종'!F57*H1254</x:f>
        <x:v>0</x:v>
      </x:c>
      <x:c r="AC1254" s="15" t="n">
        <x:f>'기준스탯 72종'!G57*H1254</x:f>
        <x:v>0</x:v>
      </x:c>
      <x:c r="AD1254" s="15" t="n">
        <x:f>'기준스탯 72종'!H57*H1254</x:f>
        <x:v>0</x:v>
      </x:c>
      <x:c r="AE1254" s="15" t="n">
        <x:f>'기준스탯 72종'!I57*H1254</x:f>
        <x:v>0</x:v>
      </x:c>
      <x:c r="AF1254" s="15" t="n">
        <x:f>'기준스탯 72종'!J57*H1254</x:f>
        <x:v>0</x:v>
      </x:c>
      <x:c r="AG1254" s="15" t="n">
        <x:f>'기준스탯 72종'!K57*H1254</x:f>
        <x:v>0</x:v>
      </x:c>
    </x:row>
    <x:row r="1255" ht="28" customHeight="1">
      <x:c r="A1255" s="2" t="n">
        <x:v>1248</x:v>
      </x:c>
      <x:c r="B1255" s="2" t="n">
        <x:v>50</x:v>
      </x:c>
      <x:c r="C1255" s="2" t="str">
        <x:v>사수자리</x:v>
      </x:c>
      <x:c r="D1255" s="2" t="str">
        <x:v>마도사</x:v>
      </x:c>
      <x:c r="E1255" s="2" t="n">
        <x:v>3</x:v>
      </x:c>
      <x:c r="F1255" s="2" t="n">
        <x:v>5</x:v>
      </x:c>
      <x:c r="G1255" s="14" t="n">
        <x:f>('레벨 계산식'!$E$4-E1255)*'레벨 계산식'!$B$5</x:f>
        <x:v>0.27999999999999997</x:v>
      </x:c>
      <x:c r="H1255" s="14" t="n">
        <x:f>('등급 계산식'!$E$4-F1255)*'등급 계산식'!$B$5</x:f>
        <x:v>0</x:v>
      </x:c>
      <x:c r="I1255" s="14" t="n">
        <x:f>1-G1255-H1255</x:f>
        <x:v>0.72</x:v>
      </x:c>
      <x:c r="J1255" s="2" t="n">
        <x:f>MAX(1,ROUND('기준스탯 72종'!D57-R1255-Z1255,0))</x:f>
        <x:v>6</x:v>
      </x:c>
      <x:c r="K1255" s="2" t="n">
        <x:f>MAX(1,ROUND('기준스탯 72종'!E57-S1255-AA1255,0))</x:f>
        <x:v>4</x:v>
      </x:c>
      <x:c r="L1255" s="2" t="n">
        <x:f>MAX(1,ROUND('기준스탯 72종'!F57-T1255-AB1255,0))</x:f>
        <x:v>4</x:v>
      </x:c>
      <x:c r="M1255" s="2" t="n">
        <x:f>MAX(1,ROUND('기준스탯 72종'!G57-U1255-AC1255,0))</x:f>
        <x:v>6</x:v>
      </x:c>
      <x:c r="N1255" s="2" t="n">
        <x:f>MAX(0,ROUND('기준스탯 72종'!H57-V1255-AD1255,0))</x:f>
        <x:v>4</x:v>
      </x:c>
      <x:c r="O1255" s="2" t="n">
        <x:f>MAX(0,ROUND('기준스탯 72종'!I57-W1255-AE1255,0))</x:f>
        <x:v>4</x:v>
      </x:c>
      <x:c r="P1255" s="2" t="n">
        <x:f>MAX(0,ROUND('기준스탯 72종'!J57-X1255-AF1255,0))</x:f>
        <x:v>3</x:v>
      </x:c>
      <x:c r="Q1255" s="2" t="n">
        <x:f>MAX(0,ROUND('기준스탯 72종'!K57-Y1255-AG1255,0))</x:f>
        <x:v>0</x:v>
      </x:c>
      <x:c r="R1255" s="15" t="n">
        <x:f>'기준스탯 72종'!D57*G1255</x:f>
        <x:v>2.5199999999999996</x:v>
      </x:c>
      <x:c r="S1255" s="15" t="n">
        <x:f>'기준스탯 72종'!E57*G1255</x:f>
        <x:v>1.4</x:v>
      </x:c>
      <x:c r="T1255" s="15" t="n">
        <x:f>'기준스탯 72종'!F57*G1255</x:f>
        <x:v>1.6799999999999997</x:v>
      </x:c>
      <x:c r="U1255" s="15" t="n">
        <x:f>'기준스탯 72종'!G57*G1255</x:f>
        <x:v>2.5199999999999996</x:v>
      </x:c>
      <x:c r="V1255" s="15" t="n">
        <x:f>'기준스탯 72종'!H57*G1255</x:f>
        <x:v>1.6799999999999997</x:v>
      </x:c>
      <x:c r="W1255" s="15" t="n">
        <x:f>'기준스탯 72종'!I57*G1255</x:f>
        <x:v>1.6799999999999997</x:v>
      </x:c>
      <x:c r="X1255" s="15" t="n">
        <x:f>'기준스탯 72종'!J57*G1255</x:f>
        <x:v>1.1199999999999999</x:v>
      </x:c>
      <x:c r="Y1255" s="15" t="n">
        <x:f>'기준스탯 72종'!K57*G1255</x:f>
        <x:v>0</x:v>
      </x:c>
      <x:c r="Z1255" s="15" t="n">
        <x:f>'기준스탯 72종'!D57*H1255</x:f>
        <x:v>0</x:v>
      </x:c>
      <x:c r="AA1255" s="15" t="n">
        <x:f>'기준스탯 72종'!E57*H1255</x:f>
        <x:v>0</x:v>
      </x:c>
      <x:c r="AB1255" s="15" t="n">
        <x:f>'기준스탯 72종'!F57*H1255</x:f>
        <x:v>0</x:v>
      </x:c>
      <x:c r="AC1255" s="15" t="n">
        <x:f>'기준스탯 72종'!G57*H1255</x:f>
        <x:v>0</x:v>
      </x:c>
      <x:c r="AD1255" s="15" t="n">
        <x:f>'기준스탯 72종'!H57*H1255</x:f>
        <x:v>0</x:v>
      </x:c>
      <x:c r="AE1255" s="15" t="n">
        <x:f>'기준스탯 72종'!I57*H1255</x:f>
        <x:v>0</x:v>
      </x:c>
      <x:c r="AF1255" s="15" t="n">
        <x:f>'기준스탯 72종'!J57*H1255</x:f>
        <x:v>0</x:v>
      </x:c>
      <x:c r="AG1255" s="15" t="n">
        <x:f>'기준스탯 72종'!K57*H1255</x:f>
        <x:v>0</x:v>
      </x:c>
    </x:row>
    <x:row r="1256" ht="28" customHeight="1">
      <x:c r="A1256" s="2" t="n">
        <x:v>1249</x:v>
      </x:c>
      <x:c r="B1256" s="2" t="n">
        <x:v>50</x:v>
      </x:c>
      <x:c r="C1256" s="2" t="str">
        <x:v>사수자리</x:v>
      </x:c>
      <x:c r="D1256" s="2" t="str">
        <x:v>마도사</x:v>
      </x:c>
      <x:c r="E1256" s="2" t="n">
        <x:v>4</x:v>
      </x:c>
      <x:c r="F1256" s="2" t="n">
        <x:v>5</x:v>
      </x:c>
      <x:c r="G1256" s="14" t="n">
        <x:f>('레벨 계산식'!$E$4-E1256)*'레벨 계산식'!$B$5</x:f>
        <x:v>0.13999999999999999</x:v>
      </x:c>
      <x:c r="H1256" s="14" t="n">
        <x:f>('등급 계산식'!$E$4-F1256)*'등급 계산식'!$B$5</x:f>
        <x:v>0</x:v>
      </x:c>
      <x:c r="I1256" s="14" t="n">
        <x:f>1-G1256-H1256</x:f>
        <x:v>0.86</x:v>
      </x:c>
      <x:c r="J1256" s="2" t="n">
        <x:f>MAX(1,ROUND('기준스탯 72종'!D57-R1256-Z1256,0))</x:f>
        <x:v>8</x:v>
      </x:c>
      <x:c r="K1256" s="2" t="n">
        <x:f>MAX(1,ROUND('기준스탯 72종'!E57-S1256-AA1256,0))</x:f>
        <x:v>4</x:v>
      </x:c>
      <x:c r="L1256" s="2" t="n">
        <x:f>MAX(1,ROUND('기준스탯 72종'!F57-T1256-AB1256,0))</x:f>
        <x:v>5</x:v>
      </x:c>
      <x:c r="M1256" s="2" t="n">
        <x:f>MAX(1,ROUND('기준스탯 72종'!G57-U1256-AC1256,0))</x:f>
        <x:v>8</x:v>
      </x:c>
      <x:c r="N1256" s="2" t="n">
        <x:f>MAX(0,ROUND('기준스탯 72종'!H57-V1256-AD1256,0))</x:f>
        <x:v>5</x:v>
      </x:c>
      <x:c r="O1256" s="2" t="n">
        <x:f>MAX(0,ROUND('기준스탯 72종'!I57-W1256-AE1256,0))</x:f>
        <x:v>5</x:v>
      </x:c>
      <x:c r="P1256" s="2" t="n">
        <x:f>MAX(0,ROUND('기준스탯 72종'!J57-X1256-AF1256,0))</x:f>
        <x:v>3</x:v>
      </x:c>
      <x:c r="Q1256" s="2" t="n">
        <x:f>MAX(0,ROUND('기준스탯 72종'!K57-Y1256-AG1256,0))</x:f>
        <x:v>0</x:v>
      </x:c>
      <x:c r="R1256" s="15" t="n">
        <x:f>'기준스탯 72종'!D57*G1256</x:f>
        <x:v>1.2599999999999998</x:v>
      </x:c>
      <x:c r="S1256" s="15" t="n">
        <x:f>'기준스탯 72종'!E57*G1256</x:f>
        <x:v>0.7</x:v>
      </x:c>
      <x:c r="T1256" s="15" t="n">
        <x:f>'기준스탯 72종'!F57*G1256</x:f>
        <x:v>0.8399999999999999</x:v>
      </x:c>
      <x:c r="U1256" s="15" t="n">
        <x:f>'기준스탯 72종'!G57*G1256</x:f>
        <x:v>1.2599999999999998</x:v>
      </x:c>
      <x:c r="V1256" s="15" t="n">
        <x:f>'기준스탯 72종'!H57*G1256</x:f>
        <x:v>0.8399999999999999</x:v>
      </x:c>
      <x:c r="W1256" s="15" t="n">
        <x:f>'기준스탯 72종'!I57*G1256</x:f>
        <x:v>0.8399999999999999</x:v>
      </x:c>
      <x:c r="X1256" s="15" t="n">
        <x:f>'기준스탯 72종'!J57*G1256</x:f>
        <x:v>0.5599999999999999</x:v>
      </x:c>
      <x:c r="Y1256" s="15" t="n">
        <x:f>'기준스탯 72종'!K57*G1256</x:f>
        <x:v>0</x:v>
      </x:c>
      <x:c r="Z1256" s="15" t="n">
        <x:f>'기준스탯 72종'!D57*H1256</x:f>
        <x:v>0</x:v>
      </x:c>
      <x:c r="AA1256" s="15" t="n">
        <x:f>'기준스탯 72종'!E57*H1256</x:f>
        <x:v>0</x:v>
      </x:c>
      <x:c r="AB1256" s="15" t="n">
        <x:f>'기준스탯 72종'!F57*H1256</x:f>
        <x:v>0</x:v>
      </x:c>
      <x:c r="AC1256" s="15" t="n">
        <x:f>'기준스탯 72종'!G57*H1256</x:f>
        <x:v>0</x:v>
      </x:c>
      <x:c r="AD1256" s="15" t="n">
        <x:f>'기준스탯 72종'!H57*H1256</x:f>
        <x:v>0</x:v>
      </x:c>
      <x:c r="AE1256" s="15" t="n">
        <x:f>'기준스탯 72종'!I57*H1256</x:f>
        <x:v>0</x:v>
      </x:c>
      <x:c r="AF1256" s="15" t="n">
        <x:f>'기준스탯 72종'!J57*H1256</x:f>
        <x:v>0</x:v>
      </x:c>
      <x:c r="AG1256" s="15" t="n">
        <x:f>'기준스탯 72종'!K57*H1256</x:f>
        <x:v>0</x:v>
      </x:c>
    </x:row>
    <x:row r="1257" ht="28" customHeight="1">
      <x:c r="A1257" s="2" t="n">
        <x:v>1250</x:v>
      </x:c>
      <x:c r="B1257" s="2" t="n">
        <x:v>50</x:v>
      </x:c>
      <x:c r="C1257" s="2" t="str">
        <x:v>사수자리</x:v>
      </x:c>
      <x:c r="D1257" s="2" t="str">
        <x:v>마도사</x:v>
      </x:c>
      <x:c r="E1257" s="2" t="n">
        <x:v>5</x:v>
      </x:c>
      <x:c r="F1257" s="2" t="n">
        <x:v>5</x:v>
      </x:c>
      <x:c r="G1257" s="14" t="n">
        <x:f>('레벨 계산식'!$E$4-E1257)*'레벨 계산식'!$B$5</x:f>
        <x:v>0</x:v>
      </x:c>
      <x:c r="H1257" s="14" t="n">
        <x:f>('등급 계산식'!$E$4-F1257)*'등급 계산식'!$B$5</x:f>
        <x:v>0</x:v>
      </x:c>
      <x:c r="I1257" s="14" t="n">
        <x:f>1-G1257-H1257</x:f>
        <x:v>1</x:v>
      </x:c>
      <x:c r="J1257" s="2" t="n">
        <x:f>MAX(1,ROUND('기준스탯 72종'!D57-R1257-Z1257,0))</x:f>
        <x:v>9</x:v>
      </x:c>
      <x:c r="K1257" s="2" t="n">
        <x:f>MAX(1,ROUND('기준스탯 72종'!E57-S1257-AA1257,0))</x:f>
        <x:v>5</x:v>
      </x:c>
      <x:c r="L1257" s="2" t="n">
        <x:f>MAX(1,ROUND('기준스탯 72종'!F57-T1257-AB1257,0))</x:f>
        <x:v>6</x:v>
      </x:c>
      <x:c r="M1257" s="2" t="n">
        <x:f>MAX(1,ROUND('기준스탯 72종'!G57-U1257-AC1257,0))</x:f>
        <x:v>9</x:v>
      </x:c>
      <x:c r="N1257" s="2" t="n">
        <x:f>MAX(0,ROUND('기준스탯 72종'!H57-V1257-AD1257,0))</x:f>
        <x:v>6</x:v>
      </x:c>
      <x:c r="O1257" s="2" t="n">
        <x:f>MAX(0,ROUND('기준스탯 72종'!I57-W1257-AE1257,0))</x:f>
        <x:v>6</x:v>
      </x:c>
      <x:c r="P1257" s="2" t="n">
        <x:f>MAX(0,ROUND('기준스탯 72종'!J57-X1257-AF1257,0))</x:f>
        <x:v>4</x:v>
      </x:c>
      <x:c r="Q1257" s="2" t="n">
        <x:f>MAX(0,ROUND('기준스탯 72종'!K57-Y1257-AG1257,0))</x:f>
        <x:v>0</x:v>
      </x:c>
      <x:c r="R1257" s="15" t="n">
        <x:f>'기준스탯 72종'!D57*G1257</x:f>
        <x:v>0</x:v>
      </x:c>
      <x:c r="S1257" s="15" t="n">
        <x:f>'기준스탯 72종'!E57*G1257</x:f>
        <x:v>0</x:v>
      </x:c>
      <x:c r="T1257" s="15" t="n">
        <x:f>'기준스탯 72종'!F57*G1257</x:f>
        <x:v>0</x:v>
      </x:c>
      <x:c r="U1257" s="15" t="n">
        <x:f>'기준스탯 72종'!G57*G1257</x:f>
        <x:v>0</x:v>
      </x:c>
      <x:c r="V1257" s="15" t="n">
        <x:f>'기준스탯 72종'!H57*G1257</x:f>
        <x:v>0</x:v>
      </x:c>
      <x:c r="W1257" s="15" t="n">
        <x:f>'기준스탯 72종'!I57*G1257</x:f>
        <x:v>0</x:v>
      </x:c>
      <x:c r="X1257" s="15" t="n">
        <x:f>'기준스탯 72종'!J57*G1257</x:f>
        <x:v>0</x:v>
      </x:c>
      <x:c r="Y1257" s="15" t="n">
        <x:f>'기준스탯 72종'!K57*G1257</x:f>
        <x:v>0</x:v>
      </x:c>
      <x:c r="Z1257" s="15" t="n">
        <x:f>'기준스탯 72종'!D57*H1257</x:f>
        <x:v>0</x:v>
      </x:c>
      <x:c r="AA1257" s="15" t="n">
        <x:f>'기준스탯 72종'!E57*H1257</x:f>
        <x:v>0</x:v>
      </x:c>
      <x:c r="AB1257" s="15" t="n">
        <x:f>'기준스탯 72종'!F57*H1257</x:f>
        <x:v>0</x:v>
      </x:c>
      <x:c r="AC1257" s="15" t="n">
        <x:f>'기준스탯 72종'!G57*H1257</x:f>
        <x:v>0</x:v>
      </x:c>
      <x:c r="AD1257" s="15" t="n">
        <x:f>'기준스탯 72종'!H57*H1257</x:f>
        <x:v>0</x:v>
      </x:c>
      <x:c r="AE1257" s="15" t="n">
        <x:f>'기준스탯 72종'!I57*H1257</x:f>
        <x:v>0</x:v>
      </x:c>
      <x:c r="AF1257" s="15" t="n">
        <x:f>'기준스탯 72종'!J57*H1257</x:f>
        <x:v>0</x:v>
      </x:c>
      <x:c r="AG1257" s="15" t="n">
        <x:f>'기준스탯 72종'!K57*H1257</x:f>
        <x:v>0</x:v>
      </x:c>
    </x:row>
    <x:row r="1258" ht="28" customHeight="1">
      <x:c r="A1258" s="2" t="n">
        <x:v>1251</x:v>
      </x:c>
      <x:c r="B1258" s="2" t="n">
        <x:v>51</x:v>
      </x:c>
      <x:c r="C1258" s="2" t="str">
        <x:v>사수자리</x:v>
      </x:c>
      <x:c r="D1258" s="2" t="str">
        <x:v>사수</x:v>
      </x:c>
      <x:c r="E1258" s="2" t="n">
        <x:v>1</x:v>
      </x:c>
      <x:c r="F1258" s="2" t="n">
        <x:v>1</x:v>
      </x:c>
      <x:c r="G1258" s="14" t="n">
        <x:f>('레벨 계산식'!$E$4-E1258)*'레벨 계산식'!$B$5</x:f>
        <x:v>0.5599999999999999</x:v>
      </x:c>
      <x:c r="H1258" s="14" t="n">
        <x:f>('등급 계산식'!$E$4-F1258)*'등급 계산식'!$B$5</x:f>
        <x:v>0.24000000000000005</x:v>
      </x:c>
      <x:c r="I1258" s="14" t="n">
        <x:f>1-G1258-H1258</x:f>
        <x:v>0.2</x:v>
      </x:c>
      <x:c r="J1258" s="2" t="n">
        <x:f>MAX(1,ROUND('기준스탯 72종'!D58-R1258-Z1258,0))</x:f>
        <x:v>2</x:v>
      </x:c>
      <x:c r="K1258" s="2" t="n">
        <x:f>MAX(1,ROUND('기준스탯 72종'!E58-S1258-AA1258,0))</x:f>
        <x:v>1</x:v>
      </x:c>
      <x:c r="L1258" s="2" t="n">
        <x:f>MAX(1,ROUND('기준스탯 72종'!F58-T1258-AB1258,0))</x:f>
        <x:v>1</x:v>
      </x:c>
      <x:c r="M1258" s="2" t="n">
        <x:f>MAX(1,ROUND('기준스탯 72종'!G58-U1258-AC1258,0))</x:f>
        <x:v>2</x:v>
      </x:c>
      <x:c r="N1258" s="2" t="n">
        <x:f>MAX(0,ROUND('기준스탯 72종'!H58-V1258-AD1258,0))</x:f>
        <x:v>1</x:v>
      </x:c>
      <x:c r="O1258" s="2" t="n">
        <x:f>MAX(0,ROUND('기준스탯 72종'!I58-W1258-AE1258,0))</x:f>
        <x:v>1</x:v>
      </x:c>
      <x:c r="P1258" s="2" t="n">
        <x:f>MAX(0,ROUND('기준스탯 72종'!J58-X1258-AF1258,0))</x:f>
        <x:v>1</x:v>
      </x:c>
      <x:c r="Q1258" s="2" t="n">
        <x:f>MAX(0,ROUND('기준스탯 72종'!K58-Y1258-AG1258,0))</x:f>
        <x:v>0</x:v>
      </x:c>
      <x:c r="R1258" s="15" t="n">
        <x:f>'기준스탯 72종'!D58*G1258</x:f>
        <x:v>4.4799999999999995</x:v>
      </x:c>
      <x:c r="S1258" s="15" t="n">
        <x:f>'기준스탯 72종'!E58*G1258</x:f>
        <x:v>3.3599999999999994</x:v>
      </x:c>
      <x:c r="T1258" s="15" t="n">
        <x:f>'기준스탯 72종'!F58*G1258</x:f>
        <x:v>3.3599999999999994</x:v>
      </x:c>
      <x:c r="U1258" s="15" t="n">
        <x:f>'기준스탯 72종'!G58*G1258</x:f>
        <x:v>5.6</x:v>
      </x:c>
      <x:c r="V1258" s="15" t="n">
        <x:f>'기준스탯 72종'!H58*G1258</x:f>
        <x:v>3.9199999999999995</x:v>
      </x:c>
      <x:c r="W1258" s="15" t="n">
        <x:f>'기준스탯 72종'!I58*G1258</x:f>
        <x:v>2.2399999999999998</x:v>
      </x:c>
      <x:c r="X1258" s="15" t="n">
        <x:f>'기준스탯 72종'!J58*G1258</x:f>
        <x:v>2.8</x:v>
      </x:c>
      <x:c r="Y1258" s="15" t="n">
        <x:f>'기준스탯 72종'!K58*G1258</x:f>
        <x:v>0</x:v>
      </x:c>
      <x:c r="Z1258" s="15" t="n">
        <x:f>'기준스탯 72종'!D58*H1258</x:f>
        <x:v>1.9200000000000004</x:v>
      </x:c>
      <x:c r="AA1258" s="15" t="n">
        <x:f>'기준스탯 72종'!E58*H1258</x:f>
        <x:v>1.4400000000000004</x:v>
      </x:c>
      <x:c r="AB1258" s="15" t="n">
        <x:f>'기준스탯 72종'!F58*H1258</x:f>
        <x:v>1.4400000000000004</x:v>
      </x:c>
      <x:c r="AC1258" s="15" t="n">
        <x:f>'기준스탯 72종'!G58*H1258</x:f>
        <x:v>2.4000000000000004</x:v>
      </x:c>
      <x:c r="AD1258" s="15" t="n">
        <x:f>'기준스탯 72종'!H58*H1258</x:f>
        <x:v>1.6800000000000004</x:v>
      </x:c>
      <x:c r="AE1258" s="15" t="n">
        <x:f>'기준스탯 72종'!I58*H1258</x:f>
        <x:v>0.9600000000000002</x:v>
      </x:c>
      <x:c r="AF1258" s="15" t="n">
        <x:f>'기준스탯 72종'!J58*H1258</x:f>
        <x:v>1.2000000000000002</x:v>
      </x:c>
      <x:c r="AG1258" s="15" t="n">
        <x:f>'기준스탯 72종'!K58*H1258</x:f>
        <x:v>0</x:v>
      </x:c>
    </x:row>
    <x:row r="1259" ht="28" customHeight="1">
      <x:c r="A1259" s="2" t="n">
        <x:v>1252</x:v>
      </x:c>
      <x:c r="B1259" s="2" t="n">
        <x:v>51</x:v>
      </x:c>
      <x:c r="C1259" s="2" t="str">
        <x:v>사수자리</x:v>
      </x:c>
      <x:c r="D1259" s="2" t="str">
        <x:v>사수</x:v>
      </x:c>
      <x:c r="E1259" s="2" t="n">
        <x:v>2</x:v>
      </x:c>
      <x:c r="F1259" s="2" t="n">
        <x:v>1</x:v>
      </x:c>
      <x:c r="G1259" s="14" t="n">
        <x:f>('레벨 계산식'!$E$4-E1259)*'레벨 계산식'!$B$5</x:f>
        <x:v>0.41999999999999993</x:v>
      </x:c>
      <x:c r="H1259" s="14" t="n">
        <x:f>('등급 계산식'!$E$4-F1259)*'등급 계산식'!$B$5</x:f>
        <x:v>0.24000000000000005</x:v>
      </x:c>
      <x:c r="I1259" s="14" t="n">
        <x:f>1-G1259-H1259</x:f>
        <x:v>0.34</x:v>
      </x:c>
      <x:c r="J1259" s="2" t="n">
        <x:f>MAX(1,ROUND('기준스탯 72종'!D58-R1259-Z1259,0))</x:f>
        <x:v>3</x:v>
      </x:c>
      <x:c r="K1259" s="2" t="n">
        <x:f>MAX(1,ROUND('기준스탯 72종'!E58-S1259-AA1259,0))</x:f>
        <x:v>2</x:v>
      </x:c>
      <x:c r="L1259" s="2" t="n">
        <x:f>MAX(1,ROUND('기준스탯 72종'!F58-T1259-AB1259,0))</x:f>
        <x:v>2</x:v>
      </x:c>
      <x:c r="M1259" s="2" t="n">
        <x:f>MAX(1,ROUND('기준스탯 72종'!G58-U1259-AC1259,0))</x:f>
        <x:v>3</x:v>
      </x:c>
      <x:c r="N1259" s="2" t="n">
        <x:f>MAX(0,ROUND('기준스탯 72종'!H58-V1259-AD1259,0))</x:f>
        <x:v>2</x:v>
      </x:c>
      <x:c r="O1259" s="2" t="n">
        <x:f>MAX(0,ROUND('기준스탯 72종'!I58-W1259-AE1259,0))</x:f>
        <x:v>1</x:v>
      </x:c>
      <x:c r="P1259" s="2" t="n">
        <x:f>MAX(0,ROUND('기준스탯 72종'!J58-X1259-AF1259,0))</x:f>
        <x:v>2</x:v>
      </x:c>
      <x:c r="Q1259" s="2" t="n">
        <x:f>MAX(0,ROUND('기준스탯 72종'!K58-Y1259-AG1259,0))</x:f>
        <x:v>0</x:v>
      </x:c>
      <x:c r="R1259" s="15" t="n">
        <x:f>'기준스탯 72종'!D58*G1259</x:f>
        <x:v>3.3599999999999994</x:v>
      </x:c>
      <x:c r="S1259" s="15" t="n">
        <x:f>'기준스탯 72종'!E58*G1259</x:f>
        <x:v>2.5199999999999996</x:v>
      </x:c>
      <x:c r="T1259" s="15" t="n">
        <x:f>'기준스탯 72종'!F58*G1259</x:f>
        <x:v>2.5199999999999996</x:v>
      </x:c>
      <x:c r="U1259" s="15" t="n">
        <x:f>'기준스탯 72종'!G58*G1259</x:f>
        <x:v>4.199999999999999</x:v>
      </x:c>
      <x:c r="V1259" s="15" t="n">
        <x:f>'기준스탯 72종'!H58*G1259</x:f>
        <x:v>2.9399999999999995</x:v>
      </x:c>
      <x:c r="W1259" s="15" t="n">
        <x:f>'기준스탯 72종'!I58*G1259</x:f>
        <x:v>1.6799999999999997</x:v>
      </x:c>
      <x:c r="X1259" s="15" t="n">
        <x:f>'기준스탯 72종'!J58*G1259</x:f>
        <x:v>2.0999999999999996</x:v>
      </x:c>
      <x:c r="Y1259" s="15" t="n">
        <x:f>'기준스탯 72종'!K58*G1259</x:f>
        <x:v>0</x:v>
      </x:c>
      <x:c r="Z1259" s="15" t="n">
        <x:f>'기준스탯 72종'!D58*H1259</x:f>
        <x:v>1.9200000000000004</x:v>
      </x:c>
      <x:c r="AA1259" s="15" t="n">
        <x:f>'기준스탯 72종'!E58*H1259</x:f>
        <x:v>1.4400000000000004</x:v>
      </x:c>
      <x:c r="AB1259" s="15" t="n">
        <x:f>'기준스탯 72종'!F58*H1259</x:f>
        <x:v>1.4400000000000004</x:v>
      </x:c>
      <x:c r="AC1259" s="15" t="n">
        <x:f>'기준스탯 72종'!G58*H1259</x:f>
        <x:v>2.4000000000000004</x:v>
      </x:c>
      <x:c r="AD1259" s="15" t="n">
        <x:f>'기준스탯 72종'!H58*H1259</x:f>
        <x:v>1.6800000000000004</x:v>
      </x:c>
      <x:c r="AE1259" s="15" t="n">
        <x:f>'기준스탯 72종'!I58*H1259</x:f>
        <x:v>0.9600000000000002</x:v>
      </x:c>
      <x:c r="AF1259" s="15" t="n">
        <x:f>'기준스탯 72종'!J58*H1259</x:f>
        <x:v>1.2000000000000002</x:v>
      </x:c>
      <x:c r="AG1259" s="15" t="n">
        <x:f>'기준스탯 72종'!K58*H1259</x:f>
        <x:v>0</x:v>
      </x:c>
    </x:row>
    <x:row r="1260" ht="28" customHeight="1">
      <x:c r="A1260" s="2" t="n">
        <x:v>1253</x:v>
      </x:c>
      <x:c r="B1260" s="2" t="n">
        <x:v>51</x:v>
      </x:c>
      <x:c r="C1260" s="2" t="str">
        <x:v>사수자리</x:v>
      </x:c>
      <x:c r="D1260" s="2" t="str">
        <x:v>사수</x:v>
      </x:c>
      <x:c r="E1260" s="2" t="n">
        <x:v>3</x:v>
      </x:c>
      <x:c r="F1260" s="2" t="n">
        <x:v>1</x:v>
      </x:c>
      <x:c r="G1260" s="14" t="n">
        <x:f>('레벨 계산식'!$E$4-E1260)*'레벨 계산식'!$B$5</x:f>
        <x:v>0.27999999999999997</x:v>
      </x:c>
      <x:c r="H1260" s="14" t="n">
        <x:f>('등급 계산식'!$E$4-F1260)*'등급 계산식'!$B$5</x:f>
        <x:v>0.24000000000000005</x:v>
      </x:c>
      <x:c r="I1260" s="14" t="n">
        <x:f>1-G1260-H1260</x:f>
        <x:v>0.4799999999999999</x:v>
      </x:c>
      <x:c r="J1260" s="2" t="n">
        <x:f>MAX(1,ROUND('기준스탯 72종'!D58-R1260-Z1260,0))</x:f>
        <x:v>4</x:v>
      </x:c>
      <x:c r="K1260" s="2" t="n">
        <x:f>MAX(1,ROUND('기준스탯 72종'!E58-S1260-AA1260,0))</x:f>
        <x:v>3</x:v>
      </x:c>
      <x:c r="L1260" s="2" t="n">
        <x:f>MAX(1,ROUND('기준스탯 72종'!F58-T1260-AB1260,0))</x:f>
        <x:v>3</x:v>
      </x:c>
      <x:c r="M1260" s="2" t="n">
        <x:f>MAX(1,ROUND('기준스탯 72종'!G58-U1260-AC1260,0))</x:f>
        <x:v>5</x:v>
      </x:c>
      <x:c r="N1260" s="2" t="n">
        <x:f>MAX(0,ROUND('기준스탯 72종'!H58-V1260-AD1260,0))</x:f>
        <x:v>3</x:v>
      </x:c>
      <x:c r="O1260" s="2" t="n">
        <x:f>MAX(0,ROUND('기준스탯 72종'!I58-W1260-AE1260,0))</x:f>
        <x:v>2</x:v>
      </x:c>
      <x:c r="P1260" s="2" t="n">
        <x:f>MAX(0,ROUND('기준스탯 72종'!J58-X1260-AF1260,0))</x:f>
        <x:v>2</x:v>
      </x:c>
      <x:c r="Q1260" s="2" t="n">
        <x:f>MAX(0,ROUND('기준스탯 72종'!K58-Y1260-AG1260,0))</x:f>
        <x:v>0</x:v>
      </x:c>
      <x:c r="R1260" s="15" t="n">
        <x:f>'기준스탯 72종'!D58*G1260</x:f>
        <x:v>2.2399999999999998</x:v>
      </x:c>
      <x:c r="S1260" s="15" t="n">
        <x:f>'기준스탯 72종'!E58*G1260</x:f>
        <x:v>1.6799999999999997</x:v>
      </x:c>
      <x:c r="T1260" s="15" t="n">
        <x:f>'기준스탯 72종'!F58*G1260</x:f>
        <x:v>1.6799999999999997</x:v>
      </x:c>
      <x:c r="U1260" s="15" t="n">
        <x:f>'기준스탯 72종'!G58*G1260</x:f>
        <x:v>2.8</x:v>
      </x:c>
      <x:c r="V1260" s="15" t="n">
        <x:f>'기준스탯 72종'!H58*G1260</x:f>
        <x:v>1.9599999999999997</x:v>
      </x:c>
      <x:c r="W1260" s="15" t="n">
        <x:f>'기준스탯 72종'!I58*G1260</x:f>
        <x:v>1.1199999999999999</x:v>
      </x:c>
      <x:c r="X1260" s="15" t="n">
        <x:f>'기준스탯 72종'!J58*G1260</x:f>
        <x:v>1.4</x:v>
      </x:c>
      <x:c r="Y1260" s="15" t="n">
        <x:f>'기준스탯 72종'!K58*G1260</x:f>
        <x:v>0</x:v>
      </x:c>
      <x:c r="Z1260" s="15" t="n">
        <x:f>'기준스탯 72종'!D58*H1260</x:f>
        <x:v>1.9200000000000004</x:v>
      </x:c>
      <x:c r="AA1260" s="15" t="n">
        <x:f>'기준스탯 72종'!E58*H1260</x:f>
        <x:v>1.4400000000000004</x:v>
      </x:c>
      <x:c r="AB1260" s="15" t="n">
        <x:f>'기준스탯 72종'!F58*H1260</x:f>
        <x:v>1.4400000000000004</x:v>
      </x:c>
      <x:c r="AC1260" s="15" t="n">
        <x:f>'기준스탯 72종'!G58*H1260</x:f>
        <x:v>2.4000000000000004</x:v>
      </x:c>
      <x:c r="AD1260" s="15" t="n">
        <x:f>'기준스탯 72종'!H58*H1260</x:f>
        <x:v>1.6800000000000004</x:v>
      </x:c>
      <x:c r="AE1260" s="15" t="n">
        <x:f>'기준스탯 72종'!I58*H1260</x:f>
        <x:v>0.9600000000000002</x:v>
      </x:c>
      <x:c r="AF1260" s="15" t="n">
        <x:f>'기준스탯 72종'!J58*H1260</x:f>
        <x:v>1.2000000000000002</x:v>
      </x:c>
      <x:c r="AG1260" s="15" t="n">
        <x:f>'기준스탯 72종'!K58*H1260</x:f>
        <x:v>0</x:v>
      </x:c>
    </x:row>
    <x:row r="1261" ht="28" customHeight="1">
      <x:c r="A1261" s="2" t="n">
        <x:v>1254</x:v>
      </x:c>
      <x:c r="B1261" s="2" t="n">
        <x:v>51</x:v>
      </x:c>
      <x:c r="C1261" s="2" t="str">
        <x:v>사수자리</x:v>
      </x:c>
      <x:c r="D1261" s="2" t="str">
        <x:v>사수</x:v>
      </x:c>
      <x:c r="E1261" s="2" t="n">
        <x:v>4</x:v>
      </x:c>
      <x:c r="F1261" s="2" t="n">
        <x:v>1</x:v>
      </x:c>
      <x:c r="G1261" s="14" t="n">
        <x:f>('레벨 계산식'!$E$4-E1261)*'레벨 계산식'!$B$5</x:f>
        <x:v>0.13999999999999999</x:v>
      </x:c>
      <x:c r="H1261" s="14" t="n">
        <x:f>('등급 계산식'!$E$4-F1261)*'등급 계산식'!$B$5</x:f>
        <x:v>0.24000000000000005</x:v>
      </x:c>
      <x:c r="I1261" s="14" t="n">
        <x:f>1-G1261-H1261</x:f>
        <x:v>0.6199999999999999</x:v>
      </x:c>
      <x:c r="J1261" s="2" t="n">
        <x:f>MAX(1,ROUND('기준스탯 72종'!D58-R1261-Z1261,0))</x:f>
        <x:v>5</x:v>
      </x:c>
      <x:c r="K1261" s="2" t="n">
        <x:f>MAX(1,ROUND('기준스탯 72종'!E58-S1261-AA1261,0))</x:f>
        <x:v>4</x:v>
      </x:c>
      <x:c r="L1261" s="2" t="n">
        <x:f>MAX(1,ROUND('기준스탯 72종'!F58-T1261-AB1261,0))</x:f>
        <x:v>4</x:v>
      </x:c>
      <x:c r="M1261" s="2" t="n">
        <x:f>MAX(1,ROUND('기준스탯 72종'!G58-U1261-AC1261,0))</x:f>
        <x:v>6</x:v>
      </x:c>
      <x:c r="N1261" s="2" t="n">
        <x:f>MAX(0,ROUND('기준스탯 72종'!H58-V1261-AD1261,0))</x:f>
        <x:v>4</x:v>
      </x:c>
      <x:c r="O1261" s="2" t="n">
        <x:f>MAX(0,ROUND('기준스탯 72종'!I58-W1261-AE1261,0))</x:f>
        <x:v>2</x:v>
      </x:c>
      <x:c r="P1261" s="2" t="n">
        <x:f>MAX(0,ROUND('기준스탯 72종'!J58-X1261-AF1261,0))</x:f>
        <x:v>3</x:v>
      </x:c>
      <x:c r="Q1261" s="2" t="n">
        <x:f>MAX(0,ROUND('기준스탯 72종'!K58-Y1261-AG1261,0))</x:f>
        <x:v>0</x:v>
      </x:c>
      <x:c r="R1261" s="15" t="n">
        <x:f>'기준스탯 72종'!D58*G1261</x:f>
        <x:v>1.1199999999999999</x:v>
      </x:c>
      <x:c r="S1261" s="15" t="n">
        <x:f>'기준스탯 72종'!E58*G1261</x:f>
        <x:v>0.8399999999999999</x:v>
      </x:c>
      <x:c r="T1261" s="15" t="n">
        <x:f>'기준스탯 72종'!F58*G1261</x:f>
        <x:v>0.8399999999999999</x:v>
      </x:c>
      <x:c r="U1261" s="15" t="n">
        <x:f>'기준스탯 72종'!G58*G1261</x:f>
        <x:v>1.4</x:v>
      </x:c>
      <x:c r="V1261" s="15" t="n">
        <x:f>'기준스탯 72종'!H58*G1261</x:f>
        <x:v>0.9799999999999999</x:v>
      </x:c>
      <x:c r="W1261" s="15" t="n">
        <x:f>'기준스탯 72종'!I58*G1261</x:f>
        <x:v>0.5599999999999999</x:v>
      </x:c>
      <x:c r="X1261" s="15" t="n">
        <x:f>'기준스탯 72종'!J58*G1261</x:f>
        <x:v>0.7</x:v>
      </x:c>
      <x:c r="Y1261" s="15" t="n">
        <x:f>'기준스탯 72종'!K58*G1261</x:f>
        <x:v>0</x:v>
      </x:c>
      <x:c r="Z1261" s="15" t="n">
        <x:f>'기준스탯 72종'!D58*H1261</x:f>
        <x:v>1.9200000000000004</x:v>
      </x:c>
      <x:c r="AA1261" s="15" t="n">
        <x:f>'기준스탯 72종'!E58*H1261</x:f>
        <x:v>1.4400000000000004</x:v>
      </x:c>
      <x:c r="AB1261" s="15" t="n">
        <x:f>'기준스탯 72종'!F58*H1261</x:f>
        <x:v>1.4400000000000004</x:v>
      </x:c>
      <x:c r="AC1261" s="15" t="n">
        <x:f>'기준스탯 72종'!G58*H1261</x:f>
        <x:v>2.4000000000000004</x:v>
      </x:c>
      <x:c r="AD1261" s="15" t="n">
        <x:f>'기준스탯 72종'!H58*H1261</x:f>
        <x:v>1.6800000000000004</x:v>
      </x:c>
      <x:c r="AE1261" s="15" t="n">
        <x:f>'기준스탯 72종'!I58*H1261</x:f>
        <x:v>0.9600000000000002</x:v>
      </x:c>
      <x:c r="AF1261" s="15" t="n">
        <x:f>'기준스탯 72종'!J58*H1261</x:f>
        <x:v>1.2000000000000002</x:v>
      </x:c>
      <x:c r="AG1261" s="15" t="n">
        <x:f>'기준스탯 72종'!K58*H1261</x:f>
        <x:v>0</x:v>
      </x:c>
    </x:row>
    <x:row r="1262" ht="28" customHeight="1">
      <x:c r="A1262" s="2" t="n">
        <x:v>1255</x:v>
      </x:c>
      <x:c r="B1262" s="2" t="n">
        <x:v>51</x:v>
      </x:c>
      <x:c r="C1262" s="2" t="str">
        <x:v>사수자리</x:v>
      </x:c>
      <x:c r="D1262" s="2" t="str">
        <x:v>사수</x:v>
      </x:c>
      <x:c r="E1262" s="2" t="n">
        <x:v>5</x:v>
      </x:c>
      <x:c r="F1262" s="2" t="n">
        <x:v>1</x:v>
      </x:c>
      <x:c r="G1262" s="14" t="n">
        <x:f>('레벨 계산식'!$E$4-E1262)*'레벨 계산식'!$B$5</x:f>
        <x:v>0</x:v>
      </x:c>
      <x:c r="H1262" s="14" t="n">
        <x:f>('등급 계산식'!$E$4-F1262)*'등급 계산식'!$B$5</x:f>
        <x:v>0.24000000000000005</x:v>
      </x:c>
      <x:c r="I1262" s="14" t="n">
        <x:f>1-G1262-H1262</x:f>
        <x:v>0.76</x:v>
      </x:c>
      <x:c r="J1262" s="2" t="n">
        <x:f>MAX(1,ROUND('기준스탯 72종'!D58-R1262-Z1262,0))</x:f>
        <x:v>6</x:v>
      </x:c>
      <x:c r="K1262" s="2" t="n">
        <x:f>MAX(1,ROUND('기준스탯 72종'!E58-S1262-AA1262,0))</x:f>
        <x:v>5</x:v>
      </x:c>
      <x:c r="L1262" s="2" t="n">
        <x:f>MAX(1,ROUND('기준스탯 72종'!F58-T1262-AB1262,0))</x:f>
        <x:v>5</x:v>
      </x:c>
      <x:c r="M1262" s="2" t="n">
        <x:f>MAX(1,ROUND('기준스탯 72종'!G58-U1262-AC1262,0))</x:f>
        <x:v>8</x:v>
      </x:c>
      <x:c r="N1262" s="2" t="n">
        <x:f>MAX(0,ROUND('기준스탯 72종'!H58-V1262-AD1262,0))</x:f>
        <x:v>5</x:v>
      </x:c>
      <x:c r="O1262" s="2" t="n">
        <x:f>MAX(0,ROUND('기준스탯 72종'!I58-W1262-AE1262,0))</x:f>
        <x:v>3</x:v>
      </x:c>
      <x:c r="P1262" s="2" t="n">
        <x:f>MAX(0,ROUND('기준스탯 72종'!J58-X1262-AF1262,0))</x:f>
        <x:v>4</x:v>
      </x:c>
      <x:c r="Q1262" s="2" t="n">
        <x:f>MAX(0,ROUND('기준스탯 72종'!K58-Y1262-AG1262,0))</x:f>
        <x:v>0</x:v>
      </x:c>
      <x:c r="R1262" s="15" t="n">
        <x:f>'기준스탯 72종'!D58*G1262</x:f>
        <x:v>0</x:v>
      </x:c>
      <x:c r="S1262" s="15" t="n">
        <x:f>'기준스탯 72종'!E58*G1262</x:f>
        <x:v>0</x:v>
      </x:c>
      <x:c r="T1262" s="15" t="n">
        <x:f>'기준스탯 72종'!F58*G1262</x:f>
        <x:v>0</x:v>
      </x:c>
      <x:c r="U1262" s="15" t="n">
        <x:f>'기준스탯 72종'!G58*G1262</x:f>
        <x:v>0</x:v>
      </x:c>
      <x:c r="V1262" s="15" t="n">
        <x:f>'기준스탯 72종'!H58*G1262</x:f>
        <x:v>0</x:v>
      </x:c>
      <x:c r="W1262" s="15" t="n">
        <x:f>'기준스탯 72종'!I58*G1262</x:f>
        <x:v>0</x:v>
      </x:c>
      <x:c r="X1262" s="15" t="n">
        <x:f>'기준스탯 72종'!J58*G1262</x:f>
        <x:v>0</x:v>
      </x:c>
      <x:c r="Y1262" s="15" t="n">
        <x:f>'기준스탯 72종'!K58*G1262</x:f>
        <x:v>0</x:v>
      </x:c>
      <x:c r="Z1262" s="15" t="n">
        <x:f>'기준스탯 72종'!D58*H1262</x:f>
        <x:v>1.9200000000000004</x:v>
      </x:c>
      <x:c r="AA1262" s="15" t="n">
        <x:f>'기준스탯 72종'!E58*H1262</x:f>
        <x:v>1.4400000000000004</x:v>
      </x:c>
      <x:c r="AB1262" s="15" t="n">
        <x:f>'기준스탯 72종'!F58*H1262</x:f>
        <x:v>1.4400000000000004</x:v>
      </x:c>
      <x:c r="AC1262" s="15" t="n">
        <x:f>'기준스탯 72종'!G58*H1262</x:f>
        <x:v>2.4000000000000004</x:v>
      </x:c>
      <x:c r="AD1262" s="15" t="n">
        <x:f>'기준스탯 72종'!H58*H1262</x:f>
        <x:v>1.6800000000000004</x:v>
      </x:c>
      <x:c r="AE1262" s="15" t="n">
        <x:f>'기준스탯 72종'!I58*H1262</x:f>
        <x:v>0.9600000000000002</x:v>
      </x:c>
      <x:c r="AF1262" s="15" t="n">
        <x:f>'기준스탯 72종'!J58*H1262</x:f>
        <x:v>1.2000000000000002</x:v>
      </x:c>
      <x:c r="AG1262" s="15" t="n">
        <x:f>'기준스탯 72종'!K58*H1262</x:f>
        <x:v>0</x:v>
      </x:c>
    </x:row>
    <x:row r="1263" ht="28" customHeight="1">
      <x:c r="A1263" s="2" t="n">
        <x:v>1256</x:v>
      </x:c>
      <x:c r="B1263" s="2" t="n">
        <x:v>51</x:v>
      </x:c>
      <x:c r="C1263" s="2" t="str">
        <x:v>사수자리</x:v>
      </x:c>
      <x:c r="D1263" s="2" t="str">
        <x:v>사수</x:v>
      </x:c>
      <x:c r="E1263" s="2" t="n">
        <x:v>1</x:v>
      </x:c>
      <x:c r="F1263" s="2" t="n">
        <x:v>2</x:v>
      </x:c>
      <x:c r="G1263" s="14" t="n">
        <x:f>('레벨 계산식'!$E$4-E1263)*'레벨 계산식'!$B$5</x:f>
        <x:v>0.5599999999999999</x:v>
      </x:c>
      <x:c r="H1263" s="14" t="n">
        <x:f>('등급 계산식'!$E$4-F1263)*'등급 계산식'!$B$5</x:f>
        <x:v>0.18000000000000005</x:v>
      </x:c>
      <x:c r="I1263" s="14" t="n">
        <x:f>1-G1263-H1263</x:f>
        <x:v>0.26</x:v>
      </x:c>
      <x:c r="J1263" s="2" t="n">
        <x:f>MAX(1,ROUND('기준스탯 72종'!D58-R1263-Z1263,0))</x:f>
        <x:v>2</x:v>
      </x:c>
      <x:c r="K1263" s="2" t="n">
        <x:f>MAX(1,ROUND('기준스탯 72종'!E58-S1263-AA1263,0))</x:f>
        <x:v>2</x:v>
      </x:c>
      <x:c r="L1263" s="2" t="n">
        <x:f>MAX(1,ROUND('기준스탯 72종'!F58-T1263-AB1263,0))</x:f>
        <x:v>2</x:v>
      </x:c>
      <x:c r="M1263" s="2" t="n">
        <x:f>MAX(1,ROUND('기준스탯 72종'!G58-U1263-AC1263,0))</x:f>
        <x:v>3</x:v>
      </x:c>
      <x:c r="N1263" s="2" t="n">
        <x:f>MAX(0,ROUND('기준스탯 72종'!H58-V1263-AD1263,0))</x:f>
        <x:v>2</x:v>
      </x:c>
      <x:c r="O1263" s="2" t="n">
        <x:f>MAX(0,ROUND('기준스탯 72종'!I58-W1263-AE1263,0))</x:f>
        <x:v>1</x:v>
      </x:c>
      <x:c r="P1263" s="2" t="n">
        <x:f>MAX(0,ROUND('기준스탯 72종'!J58-X1263-AF1263,0))</x:f>
        <x:v>1</x:v>
      </x:c>
      <x:c r="Q1263" s="2" t="n">
        <x:f>MAX(0,ROUND('기준스탯 72종'!K58-Y1263-AG1263,0))</x:f>
        <x:v>0</x:v>
      </x:c>
      <x:c r="R1263" s="15" t="n">
        <x:f>'기준스탯 72종'!D58*G1263</x:f>
        <x:v>4.4799999999999995</x:v>
      </x:c>
      <x:c r="S1263" s="15" t="n">
        <x:f>'기준스탯 72종'!E58*G1263</x:f>
        <x:v>3.3599999999999994</x:v>
      </x:c>
      <x:c r="T1263" s="15" t="n">
        <x:f>'기준스탯 72종'!F58*G1263</x:f>
        <x:v>3.3599999999999994</x:v>
      </x:c>
      <x:c r="U1263" s="15" t="n">
        <x:f>'기준스탯 72종'!G58*G1263</x:f>
        <x:v>5.6</x:v>
      </x:c>
      <x:c r="V1263" s="15" t="n">
        <x:f>'기준스탯 72종'!H58*G1263</x:f>
        <x:v>3.9199999999999995</x:v>
      </x:c>
      <x:c r="W1263" s="15" t="n">
        <x:f>'기준스탯 72종'!I58*G1263</x:f>
        <x:v>2.2399999999999998</x:v>
      </x:c>
      <x:c r="X1263" s="15" t="n">
        <x:f>'기준스탯 72종'!J58*G1263</x:f>
        <x:v>2.8</x:v>
      </x:c>
      <x:c r="Y1263" s="15" t="n">
        <x:f>'기준스탯 72종'!K58*G1263</x:f>
        <x:v>0</x:v>
      </x:c>
      <x:c r="Z1263" s="15" t="n">
        <x:f>'기준스탯 72종'!D58*H1263</x:f>
        <x:v>1.4400000000000004</x:v>
      </x:c>
      <x:c r="AA1263" s="15" t="n">
        <x:f>'기준스탯 72종'!E58*H1263</x:f>
        <x:v>1.0800000000000003</x:v>
      </x:c>
      <x:c r="AB1263" s="15" t="n">
        <x:f>'기준스탯 72종'!F58*H1263</x:f>
        <x:v>1.0800000000000003</x:v>
      </x:c>
      <x:c r="AC1263" s="15" t="n">
        <x:f>'기준스탯 72종'!G58*H1263</x:f>
        <x:v>1.8000000000000005</x:v>
      </x:c>
      <x:c r="AD1263" s="15" t="n">
        <x:f>'기준스탯 72종'!H58*H1263</x:f>
        <x:v>1.2600000000000002</x:v>
      </x:c>
      <x:c r="AE1263" s="15" t="n">
        <x:f>'기준스탯 72종'!I58*H1263</x:f>
        <x:v>0.7200000000000002</x:v>
      </x:c>
      <x:c r="AF1263" s="15" t="n">
        <x:f>'기준스탯 72종'!J58*H1263</x:f>
        <x:v>0.9000000000000002</x:v>
      </x:c>
      <x:c r="AG1263" s="15" t="n">
        <x:f>'기준스탯 72종'!K58*H1263</x:f>
        <x:v>0</x:v>
      </x:c>
    </x:row>
    <x:row r="1264" ht="28" customHeight="1">
      <x:c r="A1264" s="2" t="n">
        <x:v>1257</x:v>
      </x:c>
      <x:c r="B1264" s="2" t="n">
        <x:v>51</x:v>
      </x:c>
      <x:c r="C1264" s="2" t="str">
        <x:v>사수자리</x:v>
      </x:c>
      <x:c r="D1264" s="2" t="str">
        <x:v>사수</x:v>
      </x:c>
      <x:c r="E1264" s="2" t="n">
        <x:v>2</x:v>
      </x:c>
      <x:c r="F1264" s="2" t="n">
        <x:v>2</x:v>
      </x:c>
      <x:c r="G1264" s="14" t="n">
        <x:f>('레벨 계산식'!$E$4-E1264)*'레벨 계산식'!$B$5</x:f>
        <x:v>0.41999999999999993</x:v>
      </x:c>
      <x:c r="H1264" s="14" t="n">
        <x:f>('등급 계산식'!$E$4-F1264)*'등급 계산식'!$B$5</x:f>
        <x:v>0.18000000000000005</x:v>
      </x:c>
      <x:c r="I1264" s="14" t="n">
        <x:f>1-G1264-H1264</x:f>
        <x:v>0.4</x:v>
      </x:c>
      <x:c r="J1264" s="2" t="n">
        <x:f>MAX(1,ROUND('기준스탯 72종'!D58-R1264-Z1264,0))</x:f>
        <x:v>3</x:v>
      </x:c>
      <x:c r="K1264" s="2" t="n">
        <x:f>MAX(1,ROUND('기준스탯 72종'!E58-S1264-AA1264,0))</x:f>
        <x:v>2</x:v>
      </x:c>
      <x:c r="L1264" s="2" t="n">
        <x:f>MAX(1,ROUND('기준스탯 72종'!F58-T1264-AB1264,0))</x:f>
        <x:v>2</x:v>
      </x:c>
      <x:c r="M1264" s="2" t="n">
        <x:f>MAX(1,ROUND('기준스탯 72종'!G58-U1264-AC1264,0))</x:f>
        <x:v>4</x:v>
      </x:c>
      <x:c r="N1264" s="2" t="n">
        <x:f>MAX(0,ROUND('기준스탯 72종'!H58-V1264-AD1264,0))</x:f>
        <x:v>3</x:v>
      </x:c>
      <x:c r="O1264" s="2" t="n">
        <x:f>MAX(0,ROUND('기준스탯 72종'!I58-W1264-AE1264,0))</x:f>
        <x:v>2</x:v>
      </x:c>
      <x:c r="P1264" s="2" t="n">
        <x:f>MAX(0,ROUND('기준스탯 72종'!J58-X1264-AF1264,0))</x:f>
        <x:v>2</x:v>
      </x:c>
      <x:c r="Q1264" s="2" t="n">
        <x:f>MAX(0,ROUND('기준스탯 72종'!K58-Y1264-AG1264,0))</x:f>
        <x:v>0</x:v>
      </x:c>
      <x:c r="R1264" s="15" t="n">
        <x:f>'기준스탯 72종'!D58*G1264</x:f>
        <x:v>3.3599999999999994</x:v>
      </x:c>
      <x:c r="S1264" s="15" t="n">
        <x:f>'기준스탯 72종'!E58*G1264</x:f>
        <x:v>2.5199999999999996</x:v>
      </x:c>
      <x:c r="T1264" s="15" t="n">
        <x:f>'기준스탯 72종'!F58*G1264</x:f>
        <x:v>2.5199999999999996</x:v>
      </x:c>
      <x:c r="U1264" s="15" t="n">
        <x:f>'기준스탯 72종'!G58*G1264</x:f>
        <x:v>4.199999999999999</x:v>
      </x:c>
      <x:c r="V1264" s="15" t="n">
        <x:f>'기준스탯 72종'!H58*G1264</x:f>
        <x:v>2.9399999999999995</x:v>
      </x:c>
      <x:c r="W1264" s="15" t="n">
        <x:f>'기준스탯 72종'!I58*G1264</x:f>
        <x:v>1.6799999999999997</x:v>
      </x:c>
      <x:c r="X1264" s="15" t="n">
        <x:f>'기준스탯 72종'!J58*G1264</x:f>
        <x:v>2.0999999999999996</x:v>
      </x:c>
      <x:c r="Y1264" s="15" t="n">
        <x:f>'기준스탯 72종'!K58*G1264</x:f>
        <x:v>0</x:v>
      </x:c>
      <x:c r="Z1264" s="15" t="n">
        <x:f>'기준스탯 72종'!D58*H1264</x:f>
        <x:v>1.4400000000000004</x:v>
      </x:c>
      <x:c r="AA1264" s="15" t="n">
        <x:f>'기준스탯 72종'!E58*H1264</x:f>
        <x:v>1.0800000000000003</x:v>
      </x:c>
      <x:c r="AB1264" s="15" t="n">
        <x:f>'기준스탯 72종'!F58*H1264</x:f>
        <x:v>1.0800000000000003</x:v>
      </x:c>
      <x:c r="AC1264" s="15" t="n">
        <x:f>'기준스탯 72종'!G58*H1264</x:f>
        <x:v>1.8000000000000005</x:v>
      </x:c>
      <x:c r="AD1264" s="15" t="n">
        <x:f>'기준스탯 72종'!H58*H1264</x:f>
        <x:v>1.2600000000000002</x:v>
      </x:c>
      <x:c r="AE1264" s="15" t="n">
        <x:f>'기준스탯 72종'!I58*H1264</x:f>
        <x:v>0.7200000000000002</x:v>
      </x:c>
      <x:c r="AF1264" s="15" t="n">
        <x:f>'기준스탯 72종'!J58*H1264</x:f>
        <x:v>0.9000000000000002</x:v>
      </x:c>
      <x:c r="AG1264" s="15" t="n">
        <x:f>'기준스탯 72종'!K58*H1264</x:f>
        <x:v>0</x:v>
      </x:c>
    </x:row>
    <x:row r="1265" ht="28" customHeight="1">
      <x:c r="A1265" s="2" t="n">
        <x:v>1258</x:v>
      </x:c>
      <x:c r="B1265" s="2" t="n">
        <x:v>51</x:v>
      </x:c>
      <x:c r="C1265" s="2" t="str">
        <x:v>사수자리</x:v>
      </x:c>
      <x:c r="D1265" s="2" t="str">
        <x:v>사수</x:v>
      </x:c>
      <x:c r="E1265" s="2" t="n">
        <x:v>3</x:v>
      </x:c>
      <x:c r="F1265" s="2" t="n">
        <x:v>2</x:v>
      </x:c>
      <x:c r="G1265" s="14" t="n">
        <x:f>('레벨 계산식'!$E$4-E1265)*'레벨 계산식'!$B$5</x:f>
        <x:v>0.27999999999999997</x:v>
      </x:c>
      <x:c r="H1265" s="14" t="n">
        <x:f>('등급 계산식'!$E$4-F1265)*'등급 계산식'!$B$5</x:f>
        <x:v>0.18000000000000005</x:v>
      </x:c>
      <x:c r="I1265" s="14" t="n">
        <x:f>1-G1265-H1265</x:f>
        <x:v>0.5399999999999999</x:v>
      </x:c>
      <x:c r="J1265" s="2" t="n">
        <x:f>MAX(1,ROUND('기준스탯 72종'!D58-R1265-Z1265,0))</x:f>
        <x:v>4</x:v>
      </x:c>
      <x:c r="K1265" s="2" t="n">
        <x:f>MAX(1,ROUND('기준스탯 72종'!E58-S1265-AA1265,0))</x:f>
        <x:v>3</x:v>
      </x:c>
      <x:c r="L1265" s="2" t="n">
        <x:f>MAX(1,ROUND('기준스탯 72종'!F58-T1265-AB1265,0))</x:f>
        <x:v>3</x:v>
      </x:c>
      <x:c r="M1265" s="2" t="n">
        <x:f>MAX(1,ROUND('기준스탯 72종'!G58-U1265-AC1265,0))</x:f>
        <x:v>5</x:v>
      </x:c>
      <x:c r="N1265" s="2" t="n">
        <x:f>MAX(0,ROUND('기준스탯 72종'!H58-V1265-AD1265,0))</x:f>
        <x:v>4</x:v>
      </x:c>
      <x:c r="O1265" s="2" t="n">
        <x:f>MAX(0,ROUND('기준스탯 72종'!I58-W1265-AE1265,0))</x:f>
        <x:v>2</x:v>
      </x:c>
      <x:c r="P1265" s="2" t="n">
        <x:f>MAX(0,ROUND('기준스탯 72종'!J58-X1265-AF1265,0))</x:f>
        <x:v>3</x:v>
      </x:c>
      <x:c r="Q1265" s="2" t="n">
        <x:f>MAX(0,ROUND('기준스탯 72종'!K58-Y1265-AG1265,0))</x:f>
        <x:v>0</x:v>
      </x:c>
      <x:c r="R1265" s="15" t="n">
        <x:f>'기준스탯 72종'!D58*G1265</x:f>
        <x:v>2.2399999999999998</x:v>
      </x:c>
      <x:c r="S1265" s="15" t="n">
        <x:f>'기준스탯 72종'!E58*G1265</x:f>
        <x:v>1.6799999999999997</x:v>
      </x:c>
      <x:c r="T1265" s="15" t="n">
        <x:f>'기준스탯 72종'!F58*G1265</x:f>
        <x:v>1.6799999999999997</x:v>
      </x:c>
      <x:c r="U1265" s="15" t="n">
        <x:f>'기준스탯 72종'!G58*G1265</x:f>
        <x:v>2.8</x:v>
      </x:c>
      <x:c r="V1265" s="15" t="n">
        <x:f>'기준스탯 72종'!H58*G1265</x:f>
        <x:v>1.9599999999999997</x:v>
      </x:c>
      <x:c r="W1265" s="15" t="n">
        <x:f>'기준스탯 72종'!I58*G1265</x:f>
        <x:v>1.1199999999999999</x:v>
      </x:c>
      <x:c r="X1265" s="15" t="n">
        <x:f>'기준스탯 72종'!J58*G1265</x:f>
        <x:v>1.4</x:v>
      </x:c>
      <x:c r="Y1265" s="15" t="n">
        <x:f>'기준스탯 72종'!K58*G1265</x:f>
        <x:v>0</x:v>
      </x:c>
      <x:c r="Z1265" s="15" t="n">
        <x:f>'기준스탯 72종'!D58*H1265</x:f>
        <x:v>1.4400000000000004</x:v>
      </x:c>
      <x:c r="AA1265" s="15" t="n">
        <x:f>'기준스탯 72종'!E58*H1265</x:f>
        <x:v>1.0800000000000003</x:v>
      </x:c>
      <x:c r="AB1265" s="15" t="n">
        <x:f>'기준스탯 72종'!F58*H1265</x:f>
        <x:v>1.0800000000000003</x:v>
      </x:c>
      <x:c r="AC1265" s="15" t="n">
        <x:f>'기준스탯 72종'!G58*H1265</x:f>
        <x:v>1.8000000000000005</x:v>
      </x:c>
      <x:c r="AD1265" s="15" t="n">
        <x:f>'기준스탯 72종'!H58*H1265</x:f>
        <x:v>1.2600000000000002</x:v>
      </x:c>
      <x:c r="AE1265" s="15" t="n">
        <x:f>'기준스탯 72종'!I58*H1265</x:f>
        <x:v>0.7200000000000002</x:v>
      </x:c>
      <x:c r="AF1265" s="15" t="n">
        <x:f>'기준스탯 72종'!J58*H1265</x:f>
        <x:v>0.9000000000000002</x:v>
      </x:c>
      <x:c r="AG1265" s="15" t="n">
        <x:f>'기준스탯 72종'!K58*H1265</x:f>
        <x:v>0</x:v>
      </x:c>
    </x:row>
    <x:row r="1266" ht="28" customHeight="1">
      <x:c r="A1266" s="2" t="n">
        <x:v>1259</x:v>
      </x:c>
      <x:c r="B1266" s="2" t="n">
        <x:v>51</x:v>
      </x:c>
      <x:c r="C1266" s="2" t="str">
        <x:v>사수자리</x:v>
      </x:c>
      <x:c r="D1266" s="2" t="str">
        <x:v>사수</x:v>
      </x:c>
      <x:c r="E1266" s="2" t="n">
        <x:v>4</x:v>
      </x:c>
      <x:c r="F1266" s="2" t="n">
        <x:v>2</x:v>
      </x:c>
      <x:c r="G1266" s="14" t="n">
        <x:f>('레벨 계산식'!$E$4-E1266)*'레벨 계산식'!$B$5</x:f>
        <x:v>0.13999999999999999</x:v>
      </x:c>
      <x:c r="H1266" s="14" t="n">
        <x:f>('등급 계산식'!$E$4-F1266)*'등급 계산식'!$B$5</x:f>
        <x:v>0.18000000000000005</x:v>
      </x:c>
      <x:c r="I1266" s="14" t="n">
        <x:f>1-G1266-H1266</x:f>
        <x:v>0.6799999999999999</x:v>
      </x:c>
      <x:c r="J1266" s="2" t="n">
        <x:f>MAX(1,ROUND('기준스탯 72종'!D58-R1266-Z1266,0))</x:f>
        <x:v>5</x:v>
      </x:c>
      <x:c r="K1266" s="2" t="n">
        <x:f>MAX(1,ROUND('기준스탯 72종'!E58-S1266-AA1266,0))</x:f>
        <x:v>4</x:v>
      </x:c>
      <x:c r="L1266" s="2" t="n">
        <x:f>MAX(1,ROUND('기준스탯 72종'!F58-T1266-AB1266,0))</x:f>
        <x:v>4</x:v>
      </x:c>
      <x:c r="M1266" s="2" t="n">
        <x:f>MAX(1,ROUND('기준스탯 72종'!G58-U1266-AC1266,0))</x:f>
        <x:v>7</x:v>
      </x:c>
      <x:c r="N1266" s="2" t="n">
        <x:f>MAX(0,ROUND('기준스탯 72종'!H58-V1266-AD1266,0))</x:f>
        <x:v>5</x:v>
      </x:c>
      <x:c r="O1266" s="2" t="n">
        <x:f>MAX(0,ROUND('기준스탯 72종'!I58-W1266-AE1266,0))</x:f>
        <x:v>3</x:v>
      </x:c>
      <x:c r="P1266" s="2" t="n">
        <x:f>MAX(0,ROUND('기준스탯 72종'!J58-X1266-AF1266,0))</x:f>
        <x:v>3</x:v>
      </x:c>
      <x:c r="Q1266" s="2" t="n">
        <x:f>MAX(0,ROUND('기준스탯 72종'!K58-Y1266-AG1266,0))</x:f>
        <x:v>0</x:v>
      </x:c>
      <x:c r="R1266" s="15" t="n">
        <x:f>'기준스탯 72종'!D58*G1266</x:f>
        <x:v>1.1199999999999999</x:v>
      </x:c>
      <x:c r="S1266" s="15" t="n">
        <x:f>'기준스탯 72종'!E58*G1266</x:f>
        <x:v>0.8399999999999999</x:v>
      </x:c>
      <x:c r="T1266" s="15" t="n">
        <x:f>'기준스탯 72종'!F58*G1266</x:f>
        <x:v>0.8399999999999999</x:v>
      </x:c>
      <x:c r="U1266" s="15" t="n">
        <x:f>'기준스탯 72종'!G58*G1266</x:f>
        <x:v>1.4</x:v>
      </x:c>
      <x:c r="V1266" s="15" t="n">
        <x:f>'기준스탯 72종'!H58*G1266</x:f>
        <x:v>0.9799999999999999</x:v>
      </x:c>
      <x:c r="W1266" s="15" t="n">
        <x:f>'기준스탯 72종'!I58*G1266</x:f>
        <x:v>0.5599999999999999</x:v>
      </x:c>
      <x:c r="X1266" s="15" t="n">
        <x:f>'기준스탯 72종'!J58*G1266</x:f>
        <x:v>0.7</x:v>
      </x:c>
      <x:c r="Y1266" s="15" t="n">
        <x:f>'기준스탯 72종'!K58*G1266</x:f>
        <x:v>0</x:v>
      </x:c>
      <x:c r="Z1266" s="15" t="n">
        <x:f>'기준스탯 72종'!D58*H1266</x:f>
        <x:v>1.4400000000000004</x:v>
      </x:c>
      <x:c r="AA1266" s="15" t="n">
        <x:f>'기준스탯 72종'!E58*H1266</x:f>
        <x:v>1.0800000000000003</x:v>
      </x:c>
      <x:c r="AB1266" s="15" t="n">
        <x:f>'기준스탯 72종'!F58*H1266</x:f>
        <x:v>1.0800000000000003</x:v>
      </x:c>
      <x:c r="AC1266" s="15" t="n">
        <x:f>'기준스탯 72종'!G58*H1266</x:f>
        <x:v>1.8000000000000005</x:v>
      </x:c>
      <x:c r="AD1266" s="15" t="n">
        <x:f>'기준스탯 72종'!H58*H1266</x:f>
        <x:v>1.2600000000000002</x:v>
      </x:c>
      <x:c r="AE1266" s="15" t="n">
        <x:f>'기준스탯 72종'!I58*H1266</x:f>
        <x:v>0.7200000000000002</x:v>
      </x:c>
      <x:c r="AF1266" s="15" t="n">
        <x:f>'기준스탯 72종'!J58*H1266</x:f>
        <x:v>0.9000000000000002</x:v>
      </x:c>
      <x:c r="AG1266" s="15" t="n">
        <x:f>'기준스탯 72종'!K58*H1266</x:f>
        <x:v>0</x:v>
      </x:c>
    </x:row>
    <x:row r="1267" ht="28" customHeight="1">
      <x:c r="A1267" s="2" t="n">
        <x:v>1260</x:v>
      </x:c>
      <x:c r="B1267" s="2" t="n">
        <x:v>51</x:v>
      </x:c>
      <x:c r="C1267" s="2" t="str">
        <x:v>사수자리</x:v>
      </x:c>
      <x:c r="D1267" s="2" t="str">
        <x:v>사수</x:v>
      </x:c>
      <x:c r="E1267" s="2" t="n">
        <x:v>5</x:v>
      </x:c>
      <x:c r="F1267" s="2" t="n">
        <x:v>2</x:v>
      </x:c>
      <x:c r="G1267" s="14" t="n">
        <x:f>('레벨 계산식'!$E$4-E1267)*'레벨 계산식'!$B$5</x:f>
        <x:v>0</x:v>
      </x:c>
      <x:c r="H1267" s="14" t="n">
        <x:f>('등급 계산식'!$E$4-F1267)*'등급 계산식'!$B$5</x:f>
        <x:v>0.18000000000000005</x:v>
      </x:c>
      <x:c r="I1267" s="14" t="n">
        <x:f>1-G1267-H1267</x:f>
        <x:v>0.82</x:v>
      </x:c>
      <x:c r="J1267" s="2" t="n">
        <x:f>MAX(1,ROUND('기준스탯 72종'!D58-R1267-Z1267,0))</x:f>
        <x:v>7</x:v>
      </x:c>
      <x:c r="K1267" s="2" t="n">
        <x:f>MAX(1,ROUND('기준스탯 72종'!E58-S1267-AA1267,0))</x:f>
        <x:v>5</x:v>
      </x:c>
      <x:c r="L1267" s="2" t="n">
        <x:f>MAX(1,ROUND('기준스탯 72종'!F58-T1267-AB1267,0))</x:f>
        <x:v>5</x:v>
      </x:c>
      <x:c r="M1267" s="2" t="n">
        <x:f>MAX(1,ROUND('기준스탯 72종'!G58-U1267-AC1267,0))</x:f>
        <x:v>8</x:v>
      </x:c>
      <x:c r="N1267" s="2" t="n">
        <x:f>MAX(0,ROUND('기준스탯 72종'!H58-V1267-AD1267,0))</x:f>
        <x:v>6</x:v>
      </x:c>
      <x:c r="O1267" s="2" t="n">
        <x:f>MAX(0,ROUND('기준스탯 72종'!I58-W1267-AE1267,0))</x:f>
        <x:v>3</x:v>
      </x:c>
      <x:c r="P1267" s="2" t="n">
        <x:f>MAX(0,ROUND('기준스탯 72종'!J58-X1267-AF1267,0))</x:f>
        <x:v>4</x:v>
      </x:c>
      <x:c r="Q1267" s="2" t="n">
        <x:f>MAX(0,ROUND('기준스탯 72종'!K58-Y1267-AG1267,0))</x:f>
        <x:v>0</x:v>
      </x:c>
      <x:c r="R1267" s="15" t="n">
        <x:f>'기준스탯 72종'!D58*G1267</x:f>
        <x:v>0</x:v>
      </x:c>
      <x:c r="S1267" s="15" t="n">
        <x:f>'기준스탯 72종'!E58*G1267</x:f>
        <x:v>0</x:v>
      </x:c>
      <x:c r="T1267" s="15" t="n">
        <x:f>'기준스탯 72종'!F58*G1267</x:f>
        <x:v>0</x:v>
      </x:c>
      <x:c r="U1267" s="15" t="n">
        <x:f>'기준스탯 72종'!G58*G1267</x:f>
        <x:v>0</x:v>
      </x:c>
      <x:c r="V1267" s="15" t="n">
        <x:f>'기준스탯 72종'!H58*G1267</x:f>
        <x:v>0</x:v>
      </x:c>
      <x:c r="W1267" s="15" t="n">
        <x:f>'기준스탯 72종'!I58*G1267</x:f>
        <x:v>0</x:v>
      </x:c>
      <x:c r="X1267" s="15" t="n">
        <x:f>'기준스탯 72종'!J58*G1267</x:f>
        <x:v>0</x:v>
      </x:c>
      <x:c r="Y1267" s="15" t="n">
        <x:f>'기준스탯 72종'!K58*G1267</x:f>
        <x:v>0</x:v>
      </x:c>
      <x:c r="Z1267" s="15" t="n">
        <x:f>'기준스탯 72종'!D58*H1267</x:f>
        <x:v>1.4400000000000004</x:v>
      </x:c>
      <x:c r="AA1267" s="15" t="n">
        <x:f>'기준스탯 72종'!E58*H1267</x:f>
        <x:v>1.0800000000000003</x:v>
      </x:c>
      <x:c r="AB1267" s="15" t="n">
        <x:f>'기준스탯 72종'!F58*H1267</x:f>
        <x:v>1.0800000000000003</x:v>
      </x:c>
      <x:c r="AC1267" s="15" t="n">
        <x:f>'기준스탯 72종'!G58*H1267</x:f>
        <x:v>1.8000000000000005</x:v>
      </x:c>
      <x:c r="AD1267" s="15" t="n">
        <x:f>'기준스탯 72종'!H58*H1267</x:f>
        <x:v>1.2600000000000002</x:v>
      </x:c>
      <x:c r="AE1267" s="15" t="n">
        <x:f>'기준스탯 72종'!I58*H1267</x:f>
        <x:v>0.7200000000000002</x:v>
      </x:c>
      <x:c r="AF1267" s="15" t="n">
        <x:f>'기준스탯 72종'!J58*H1267</x:f>
        <x:v>0.9000000000000002</x:v>
      </x:c>
      <x:c r="AG1267" s="15" t="n">
        <x:f>'기준스탯 72종'!K58*H1267</x:f>
        <x:v>0</x:v>
      </x:c>
    </x:row>
    <x:row r="1268" ht="28" customHeight="1">
      <x:c r="A1268" s="2" t="n">
        <x:v>1261</x:v>
      </x:c>
      <x:c r="B1268" s="2" t="n">
        <x:v>51</x:v>
      </x:c>
      <x:c r="C1268" s="2" t="str">
        <x:v>사수자리</x:v>
      </x:c>
      <x:c r="D1268" s="2" t="str">
        <x:v>사수</x:v>
      </x:c>
      <x:c r="E1268" s="2" t="n">
        <x:v>1</x:v>
      </x:c>
      <x:c r="F1268" s="2" t="n">
        <x:v>3</x:v>
      </x:c>
      <x:c r="G1268" s="14" t="n">
        <x:f>('레벨 계산식'!$E$4-E1268)*'레벨 계산식'!$B$5</x:f>
        <x:v>0.5599999999999999</x:v>
      </x:c>
      <x:c r="H1268" s="14" t="n">
        <x:f>('등급 계산식'!$E$4-F1268)*'등급 계산식'!$B$5</x:f>
        <x:v>0.12000000000000002</x:v>
      </x:c>
      <x:c r="I1268" s="14" t="n">
        <x:f>1-G1268-H1268</x:f>
        <x:v>0.32000000000000006</x:v>
      </x:c>
      <x:c r="J1268" s="2" t="n">
        <x:f>MAX(1,ROUND('기준스탯 72종'!D58-R1268-Z1268,0))</x:f>
        <x:v>3</x:v>
      </x:c>
      <x:c r="K1268" s="2" t="n">
        <x:f>MAX(1,ROUND('기준스탯 72종'!E58-S1268-AA1268,0))</x:f>
        <x:v>2</x:v>
      </x:c>
      <x:c r="L1268" s="2" t="n">
        <x:f>MAX(1,ROUND('기준스탯 72종'!F58-T1268-AB1268,0))</x:f>
        <x:v>2</x:v>
      </x:c>
      <x:c r="M1268" s="2" t="n">
        <x:f>MAX(1,ROUND('기준스탯 72종'!G58-U1268-AC1268,0))</x:f>
        <x:v>3</x:v>
      </x:c>
      <x:c r="N1268" s="2" t="n">
        <x:f>MAX(0,ROUND('기준스탯 72종'!H58-V1268-AD1268,0))</x:f>
        <x:v>2</x:v>
      </x:c>
      <x:c r="O1268" s="2" t="n">
        <x:f>MAX(0,ROUND('기준스탯 72종'!I58-W1268-AE1268,0))</x:f>
        <x:v>1</x:v>
      </x:c>
      <x:c r="P1268" s="2" t="n">
        <x:f>MAX(0,ROUND('기준스탯 72종'!J58-X1268-AF1268,0))</x:f>
        <x:v>2</x:v>
      </x:c>
      <x:c r="Q1268" s="2" t="n">
        <x:f>MAX(0,ROUND('기준스탯 72종'!K58-Y1268-AG1268,0))</x:f>
        <x:v>0</x:v>
      </x:c>
      <x:c r="R1268" s="15" t="n">
        <x:f>'기준스탯 72종'!D58*G1268</x:f>
        <x:v>4.4799999999999995</x:v>
      </x:c>
      <x:c r="S1268" s="15" t="n">
        <x:f>'기준스탯 72종'!E58*G1268</x:f>
        <x:v>3.3599999999999994</x:v>
      </x:c>
      <x:c r="T1268" s="15" t="n">
        <x:f>'기준스탯 72종'!F58*G1268</x:f>
        <x:v>3.3599999999999994</x:v>
      </x:c>
      <x:c r="U1268" s="15" t="n">
        <x:f>'기준스탯 72종'!G58*G1268</x:f>
        <x:v>5.6</x:v>
      </x:c>
      <x:c r="V1268" s="15" t="n">
        <x:f>'기준스탯 72종'!H58*G1268</x:f>
        <x:v>3.9199999999999995</x:v>
      </x:c>
      <x:c r="W1268" s="15" t="n">
        <x:f>'기준스탯 72종'!I58*G1268</x:f>
        <x:v>2.2399999999999998</x:v>
      </x:c>
      <x:c r="X1268" s="15" t="n">
        <x:f>'기준스탯 72종'!J58*G1268</x:f>
        <x:v>2.8</x:v>
      </x:c>
      <x:c r="Y1268" s="15" t="n">
        <x:f>'기준스탯 72종'!K58*G1268</x:f>
        <x:v>0</x:v>
      </x:c>
      <x:c r="Z1268" s="15" t="n">
        <x:f>'기준스탯 72종'!D58*H1268</x:f>
        <x:v>0.9600000000000002</x:v>
      </x:c>
      <x:c r="AA1268" s="15" t="n">
        <x:f>'기준스탯 72종'!E58*H1268</x:f>
        <x:v>0.7200000000000002</x:v>
      </x:c>
      <x:c r="AB1268" s="15" t="n">
        <x:f>'기준스탯 72종'!F58*H1268</x:f>
        <x:v>0.7200000000000002</x:v>
      </x:c>
      <x:c r="AC1268" s="15" t="n">
        <x:f>'기준스탯 72종'!G58*H1268</x:f>
        <x:v>1.2000000000000002</x:v>
      </x:c>
      <x:c r="AD1268" s="15" t="n">
        <x:f>'기준스탯 72종'!H58*H1268</x:f>
        <x:v>0.8400000000000002</x:v>
      </x:c>
      <x:c r="AE1268" s="15" t="n">
        <x:f>'기준스탯 72종'!I58*H1268</x:f>
        <x:v>0.4800000000000001</x:v>
      </x:c>
      <x:c r="AF1268" s="15" t="n">
        <x:f>'기준스탯 72종'!J58*H1268</x:f>
        <x:v>0.6000000000000001</x:v>
      </x:c>
      <x:c r="AG1268" s="15" t="n">
        <x:f>'기준스탯 72종'!K58*H1268</x:f>
        <x:v>0</x:v>
      </x:c>
    </x:row>
    <x:row r="1269" ht="28" customHeight="1">
      <x:c r="A1269" s="2" t="n">
        <x:v>1262</x:v>
      </x:c>
      <x:c r="B1269" s="2" t="n">
        <x:v>51</x:v>
      </x:c>
      <x:c r="C1269" s="2" t="str">
        <x:v>사수자리</x:v>
      </x:c>
      <x:c r="D1269" s="2" t="str">
        <x:v>사수</x:v>
      </x:c>
      <x:c r="E1269" s="2" t="n">
        <x:v>2</x:v>
      </x:c>
      <x:c r="F1269" s="2" t="n">
        <x:v>3</x:v>
      </x:c>
      <x:c r="G1269" s="14" t="n">
        <x:f>('레벨 계산식'!$E$4-E1269)*'레벨 계산식'!$B$5</x:f>
        <x:v>0.41999999999999993</x:v>
      </x:c>
      <x:c r="H1269" s="14" t="n">
        <x:f>('등급 계산식'!$E$4-F1269)*'등급 계산식'!$B$5</x:f>
        <x:v>0.12000000000000002</x:v>
      </x:c>
      <x:c r="I1269" s="14" t="n">
        <x:f>1-G1269-H1269</x:f>
        <x:v>0.4600000000000001</x:v>
      </x:c>
      <x:c r="J1269" s="2" t="n">
        <x:f>MAX(1,ROUND('기준스탯 72종'!D58-R1269-Z1269,0))</x:f>
        <x:v>4</x:v>
      </x:c>
      <x:c r="K1269" s="2" t="n">
        <x:f>MAX(1,ROUND('기준스탯 72종'!E58-S1269-AA1269,0))</x:f>
        <x:v>3</x:v>
      </x:c>
      <x:c r="L1269" s="2" t="n">
        <x:f>MAX(1,ROUND('기준스탯 72종'!F58-T1269-AB1269,0))</x:f>
        <x:v>3</x:v>
      </x:c>
      <x:c r="M1269" s="2" t="n">
        <x:f>MAX(1,ROUND('기준스탯 72종'!G58-U1269-AC1269,0))</x:f>
        <x:v>5</x:v>
      </x:c>
      <x:c r="N1269" s="2" t="n">
        <x:f>MAX(0,ROUND('기준스탯 72종'!H58-V1269-AD1269,0))</x:f>
        <x:v>3</x:v>
      </x:c>
      <x:c r="O1269" s="2" t="n">
        <x:f>MAX(0,ROUND('기준스탯 72종'!I58-W1269-AE1269,0))</x:f>
        <x:v>2</x:v>
      </x:c>
      <x:c r="P1269" s="2" t="n">
        <x:f>MAX(0,ROUND('기준스탯 72종'!J58-X1269-AF1269,0))</x:f>
        <x:v>2</x:v>
      </x:c>
      <x:c r="Q1269" s="2" t="n">
        <x:f>MAX(0,ROUND('기준스탯 72종'!K58-Y1269-AG1269,0))</x:f>
        <x:v>0</x:v>
      </x:c>
      <x:c r="R1269" s="15" t="n">
        <x:f>'기준스탯 72종'!D58*G1269</x:f>
        <x:v>3.3599999999999994</x:v>
      </x:c>
      <x:c r="S1269" s="15" t="n">
        <x:f>'기준스탯 72종'!E58*G1269</x:f>
        <x:v>2.5199999999999996</x:v>
      </x:c>
      <x:c r="T1269" s="15" t="n">
        <x:f>'기준스탯 72종'!F58*G1269</x:f>
        <x:v>2.5199999999999996</x:v>
      </x:c>
      <x:c r="U1269" s="15" t="n">
        <x:f>'기준스탯 72종'!G58*G1269</x:f>
        <x:v>4.199999999999999</x:v>
      </x:c>
      <x:c r="V1269" s="15" t="n">
        <x:f>'기준스탯 72종'!H58*G1269</x:f>
        <x:v>2.9399999999999995</x:v>
      </x:c>
      <x:c r="W1269" s="15" t="n">
        <x:f>'기준스탯 72종'!I58*G1269</x:f>
        <x:v>1.6799999999999997</x:v>
      </x:c>
      <x:c r="X1269" s="15" t="n">
        <x:f>'기준스탯 72종'!J58*G1269</x:f>
        <x:v>2.0999999999999996</x:v>
      </x:c>
      <x:c r="Y1269" s="15" t="n">
        <x:f>'기준스탯 72종'!K58*G1269</x:f>
        <x:v>0</x:v>
      </x:c>
      <x:c r="Z1269" s="15" t="n">
        <x:f>'기준스탯 72종'!D58*H1269</x:f>
        <x:v>0.9600000000000002</x:v>
      </x:c>
      <x:c r="AA1269" s="15" t="n">
        <x:f>'기준스탯 72종'!E58*H1269</x:f>
        <x:v>0.7200000000000002</x:v>
      </x:c>
      <x:c r="AB1269" s="15" t="n">
        <x:f>'기준스탯 72종'!F58*H1269</x:f>
        <x:v>0.7200000000000002</x:v>
      </x:c>
      <x:c r="AC1269" s="15" t="n">
        <x:f>'기준스탯 72종'!G58*H1269</x:f>
        <x:v>1.2000000000000002</x:v>
      </x:c>
      <x:c r="AD1269" s="15" t="n">
        <x:f>'기준스탯 72종'!H58*H1269</x:f>
        <x:v>0.8400000000000002</x:v>
      </x:c>
      <x:c r="AE1269" s="15" t="n">
        <x:f>'기준스탯 72종'!I58*H1269</x:f>
        <x:v>0.4800000000000001</x:v>
      </x:c>
      <x:c r="AF1269" s="15" t="n">
        <x:f>'기준스탯 72종'!J58*H1269</x:f>
        <x:v>0.6000000000000001</x:v>
      </x:c>
      <x:c r="AG1269" s="15" t="n">
        <x:f>'기준스탯 72종'!K58*H1269</x:f>
        <x:v>0</x:v>
      </x:c>
    </x:row>
    <x:row r="1270" ht="28" customHeight="1">
      <x:c r="A1270" s="2" t="n">
        <x:v>1263</x:v>
      </x:c>
      <x:c r="B1270" s="2" t="n">
        <x:v>51</x:v>
      </x:c>
      <x:c r="C1270" s="2" t="str">
        <x:v>사수자리</x:v>
      </x:c>
      <x:c r="D1270" s="2" t="str">
        <x:v>사수</x:v>
      </x:c>
      <x:c r="E1270" s="2" t="n">
        <x:v>3</x:v>
      </x:c>
      <x:c r="F1270" s="2" t="n">
        <x:v>3</x:v>
      </x:c>
      <x:c r="G1270" s="14" t="n">
        <x:f>('레벨 계산식'!$E$4-E1270)*'레벨 계산식'!$B$5</x:f>
        <x:v>0.27999999999999997</x:v>
      </x:c>
      <x:c r="H1270" s="14" t="n">
        <x:f>('등급 계산식'!$E$4-F1270)*'등급 계산식'!$B$5</x:f>
        <x:v>0.12000000000000002</x:v>
      </x:c>
      <x:c r="I1270" s="14" t="n">
        <x:f>1-G1270-H1270</x:f>
        <x:v>0.6</x:v>
      </x:c>
      <x:c r="J1270" s="2" t="n">
        <x:f>MAX(1,ROUND('기준스탯 72종'!D58-R1270-Z1270,0))</x:f>
        <x:v>5</x:v>
      </x:c>
      <x:c r="K1270" s="2" t="n">
        <x:f>MAX(1,ROUND('기준스탯 72종'!E58-S1270-AA1270,0))</x:f>
        <x:v>4</x:v>
      </x:c>
      <x:c r="L1270" s="2" t="n">
        <x:f>MAX(1,ROUND('기준스탯 72종'!F58-T1270-AB1270,0))</x:f>
        <x:v>4</x:v>
      </x:c>
      <x:c r="M1270" s="2" t="n">
        <x:f>MAX(1,ROUND('기준스탯 72종'!G58-U1270-AC1270,0))</x:f>
        <x:v>6</x:v>
      </x:c>
      <x:c r="N1270" s="2" t="n">
        <x:f>MAX(0,ROUND('기준스탯 72종'!H58-V1270-AD1270,0))</x:f>
        <x:v>4</x:v>
      </x:c>
      <x:c r="O1270" s="2" t="n">
        <x:f>MAX(0,ROUND('기준스탯 72종'!I58-W1270-AE1270,0))</x:f>
        <x:v>2</x:v>
      </x:c>
      <x:c r="P1270" s="2" t="n">
        <x:f>MAX(0,ROUND('기준스탯 72종'!J58-X1270-AF1270,0))</x:f>
        <x:v>3</x:v>
      </x:c>
      <x:c r="Q1270" s="2" t="n">
        <x:f>MAX(0,ROUND('기준스탯 72종'!K58-Y1270-AG1270,0))</x:f>
        <x:v>0</x:v>
      </x:c>
      <x:c r="R1270" s="15" t="n">
        <x:f>'기준스탯 72종'!D58*G1270</x:f>
        <x:v>2.2399999999999998</x:v>
      </x:c>
      <x:c r="S1270" s="15" t="n">
        <x:f>'기준스탯 72종'!E58*G1270</x:f>
        <x:v>1.6799999999999997</x:v>
      </x:c>
      <x:c r="T1270" s="15" t="n">
        <x:f>'기준스탯 72종'!F58*G1270</x:f>
        <x:v>1.6799999999999997</x:v>
      </x:c>
      <x:c r="U1270" s="15" t="n">
        <x:f>'기준스탯 72종'!G58*G1270</x:f>
        <x:v>2.8</x:v>
      </x:c>
      <x:c r="V1270" s="15" t="n">
        <x:f>'기준스탯 72종'!H58*G1270</x:f>
        <x:v>1.9599999999999997</x:v>
      </x:c>
      <x:c r="W1270" s="15" t="n">
        <x:f>'기준스탯 72종'!I58*G1270</x:f>
        <x:v>1.1199999999999999</x:v>
      </x:c>
      <x:c r="X1270" s="15" t="n">
        <x:f>'기준스탯 72종'!J58*G1270</x:f>
        <x:v>1.4</x:v>
      </x:c>
      <x:c r="Y1270" s="15" t="n">
        <x:f>'기준스탯 72종'!K58*G1270</x:f>
        <x:v>0</x:v>
      </x:c>
      <x:c r="Z1270" s="15" t="n">
        <x:f>'기준스탯 72종'!D58*H1270</x:f>
        <x:v>0.9600000000000002</x:v>
      </x:c>
      <x:c r="AA1270" s="15" t="n">
        <x:f>'기준스탯 72종'!E58*H1270</x:f>
        <x:v>0.7200000000000002</x:v>
      </x:c>
      <x:c r="AB1270" s="15" t="n">
        <x:f>'기준스탯 72종'!F58*H1270</x:f>
        <x:v>0.7200000000000002</x:v>
      </x:c>
      <x:c r="AC1270" s="15" t="n">
        <x:f>'기준스탯 72종'!G58*H1270</x:f>
        <x:v>1.2000000000000002</x:v>
      </x:c>
      <x:c r="AD1270" s="15" t="n">
        <x:f>'기준스탯 72종'!H58*H1270</x:f>
        <x:v>0.8400000000000002</x:v>
      </x:c>
      <x:c r="AE1270" s="15" t="n">
        <x:f>'기준스탯 72종'!I58*H1270</x:f>
        <x:v>0.4800000000000001</x:v>
      </x:c>
      <x:c r="AF1270" s="15" t="n">
        <x:f>'기준스탯 72종'!J58*H1270</x:f>
        <x:v>0.6000000000000001</x:v>
      </x:c>
      <x:c r="AG1270" s="15" t="n">
        <x:f>'기준스탯 72종'!K58*H1270</x:f>
        <x:v>0</x:v>
      </x:c>
    </x:row>
    <x:row r="1271" ht="28" customHeight="1">
      <x:c r="A1271" s="2" t="n">
        <x:v>1264</x:v>
      </x:c>
      <x:c r="B1271" s="2" t="n">
        <x:v>51</x:v>
      </x:c>
      <x:c r="C1271" s="2" t="str">
        <x:v>사수자리</x:v>
      </x:c>
      <x:c r="D1271" s="2" t="str">
        <x:v>사수</x:v>
      </x:c>
      <x:c r="E1271" s="2" t="n">
        <x:v>4</x:v>
      </x:c>
      <x:c r="F1271" s="2" t="n">
        <x:v>3</x:v>
      </x:c>
      <x:c r="G1271" s="14" t="n">
        <x:f>('레벨 계산식'!$E$4-E1271)*'레벨 계산식'!$B$5</x:f>
        <x:v>0.13999999999999999</x:v>
      </x:c>
      <x:c r="H1271" s="14" t="n">
        <x:f>('등급 계산식'!$E$4-F1271)*'등급 계산식'!$B$5</x:f>
        <x:v>0.12000000000000002</x:v>
      </x:c>
      <x:c r="I1271" s="14" t="n">
        <x:f>1-G1271-H1271</x:f>
        <x:v>0.74</x:v>
      </x:c>
      <x:c r="J1271" s="2" t="n">
        <x:f>MAX(1,ROUND('기준스탯 72종'!D58-R1271-Z1271,0))</x:f>
        <x:v>6</x:v>
      </x:c>
      <x:c r="K1271" s="2" t="n">
        <x:f>MAX(1,ROUND('기준스탯 72종'!E58-S1271-AA1271,0))</x:f>
        <x:v>4</x:v>
      </x:c>
      <x:c r="L1271" s="2" t="n">
        <x:f>MAX(1,ROUND('기준스탯 72종'!F58-T1271-AB1271,0))</x:f>
        <x:v>4</x:v>
      </x:c>
      <x:c r="M1271" s="2" t="n">
        <x:f>MAX(1,ROUND('기준스탯 72종'!G58-U1271-AC1271,0))</x:f>
        <x:v>7</x:v>
      </x:c>
      <x:c r="N1271" s="2" t="n">
        <x:f>MAX(0,ROUND('기준스탯 72종'!H58-V1271-AD1271,0))</x:f>
        <x:v>5</x:v>
      </x:c>
      <x:c r="O1271" s="2" t="n">
        <x:f>MAX(0,ROUND('기준스탯 72종'!I58-W1271-AE1271,0))</x:f>
        <x:v>3</x:v>
      </x:c>
      <x:c r="P1271" s="2" t="n">
        <x:f>MAX(0,ROUND('기준스탯 72종'!J58-X1271-AF1271,0))</x:f>
        <x:v>4</x:v>
      </x:c>
      <x:c r="Q1271" s="2" t="n">
        <x:f>MAX(0,ROUND('기준스탯 72종'!K58-Y1271-AG1271,0))</x:f>
        <x:v>0</x:v>
      </x:c>
      <x:c r="R1271" s="15" t="n">
        <x:f>'기준스탯 72종'!D58*G1271</x:f>
        <x:v>1.1199999999999999</x:v>
      </x:c>
      <x:c r="S1271" s="15" t="n">
        <x:f>'기준스탯 72종'!E58*G1271</x:f>
        <x:v>0.8399999999999999</x:v>
      </x:c>
      <x:c r="T1271" s="15" t="n">
        <x:f>'기준스탯 72종'!F58*G1271</x:f>
        <x:v>0.8399999999999999</x:v>
      </x:c>
      <x:c r="U1271" s="15" t="n">
        <x:f>'기준스탯 72종'!G58*G1271</x:f>
        <x:v>1.4</x:v>
      </x:c>
      <x:c r="V1271" s="15" t="n">
        <x:f>'기준스탯 72종'!H58*G1271</x:f>
        <x:v>0.9799999999999999</x:v>
      </x:c>
      <x:c r="W1271" s="15" t="n">
        <x:f>'기준스탯 72종'!I58*G1271</x:f>
        <x:v>0.5599999999999999</x:v>
      </x:c>
      <x:c r="X1271" s="15" t="n">
        <x:f>'기준스탯 72종'!J58*G1271</x:f>
        <x:v>0.7</x:v>
      </x:c>
      <x:c r="Y1271" s="15" t="n">
        <x:f>'기준스탯 72종'!K58*G1271</x:f>
        <x:v>0</x:v>
      </x:c>
      <x:c r="Z1271" s="15" t="n">
        <x:f>'기준스탯 72종'!D58*H1271</x:f>
        <x:v>0.9600000000000002</x:v>
      </x:c>
      <x:c r="AA1271" s="15" t="n">
        <x:f>'기준스탯 72종'!E58*H1271</x:f>
        <x:v>0.7200000000000002</x:v>
      </x:c>
      <x:c r="AB1271" s="15" t="n">
        <x:f>'기준스탯 72종'!F58*H1271</x:f>
        <x:v>0.7200000000000002</x:v>
      </x:c>
      <x:c r="AC1271" s="15" t="n">
        <x:f>'기준스탯 72종'!G58*H1271</x:f>
        <x:v>1.2000000000000002</x:v>
      </x:c>
      <x:c r="AD1271" s="15" t="n">
        <x:f>'기준스탯 72종'!H58*H1271</x:f>
        <x:v>0.8400000000000002</x:v>
      </x:c>
      <x:c r="AE1271" s="15" t="n">
        <x:f>'기준스탯 72종'!I58*H1271</x:f>
        <x:v>0.4800000000000001</x:v>
      </x:c>
      <x:c r="AF1271" s="15" t="n">
        <x:f>'기준스탯 72종'!J58*H1271</x:f>
        <x:v>0.6000000000000001</x:v>
      </x:c>
      <x:c r="AG1271" s="15" t="n">
        <x:f>'기준스탯 72종'!K58*H1271</x:f>
        <x:v>0</x:v>
      </x:c>
    </x:row>
    <x:row r="1272" ht="28" customHeight="1">
      <x:c r="A1272" s="2" t="n">
        <x:v>1265</x:v>
      </x:c>
      <x:c r="B1272" s="2" t="n">
        <x:v>51</x:v>
      </x:c>
      <x:c r="C1272" s="2" t="str">
        <x:v>사수자리</x:v>
      </x:c>
      <x:c r="D1272" s="2" t="str">
        <x:v>사수</x:v>
      </x:c>
      <x:c r="E1272" s="2" t="n">
        <x:v>5</x:v>
      </x:c>
      <x:c r="F1272" s="2" t="n">
        <x:v>3</x:v>
      </x:c>
      <x:c r="G1272" s="14" t="n">
        <x:f>('레벨 계산식'!$E$4-E1272)*'레벨 계산식'!$B$5</x:f>
        <x:v>0</x:v>
      </x:c>
      <x:c r="H1272" s="14" t="n">
        <x:f>('등급 계산식'!$E$4-F1272)*'등급 계산식'!$B$5</x:f>
        <x:v>0.12000000000000002</x:v>
      </x:c>
      <x:c r="I1272" s="14" t="n">
        <x:f>1-G1272-H1272</x:f>
        <x:v>0.88</x:v>
      </x:c>
      <x:c r="J1272" s="2" t="n">
        <x:f>MAX(1,ROUND('기준스탯 72종'!D58-R1272-Z1272,0))</x:f>
        <x:v>7</x:v>
      </x:c>
      <x:c r="K1272" s="2" t="n">
        <x:f>MAX(1,ROUND('기준스탯 72종'!E58-S1272-AA1272,0))</x:f>
        <x:v>5</x:v>
      </x:c>
      <x:c r="L1272" s="2" t="n">
        <x:f>MAX(1,ROUND('기준스탯 72종'!F58-T1272-AB1272,0))</x:f>
        <x:v>5</x:v>
      </x:c>
      <x:c r="M1272" s="2" t="n">
        <x:f>MAX(1,ROUND('기준스탯 72종'!G58-U1272-AC1272,0))</x:f>
        <x:v>9</x:v>
      </x:c>
      <x:c r="N1272" s="2" t="n">
        <x:f>MAX(0,ROUND('기준스탯 72종'!H58-V1272-AD1272,0))</x:f>
        <x:v>6</x:v>
      </x:c>
      <x:c r="O1272" s="2" t="n">
        <x:f>MAX(0,ROUND('기준스탯 72종'!I58-W1272-AE1272,0))</x:f>
        <x:v>4</x:v>
      </x:c>
      <x:c r="P1272" s="2" t="n">
        <x:f>MAX(0,ROUND('기준스탯 72종'!J58-X1272-AF1272,0))</x:f>
        <x:v>4</x:v>
      </x:c>
      <x:c r="Q1272" s="2" t="n">
        <x:f>MAX(0,ROUND('기준스탯 72종'!K58-Y1272-AG1272,0))</x:f>
        <x:v>0</x:v>
      </x:c>
      <x:c r="R1272" s="15" t="n">
        <x:f>'기준스탯 72종'!D58*G1272</x:f>
        <x:v>0</x:v>
      </x:c>
      <x:c r="S1272" s="15" t="n">
        <x:f>'기준스탯 72종'!E58*G1272</x:f>
        <x:v>0</x:v>
      </x:c>
      <x:c r="T1272" s="15" t="n">
        <x:f>'기준스탯 72종'!F58*G1272</x:f>
        <x:v>0</x:v>
      </x:c>
      <x:c r="U1272" s="15" t="n">
        <x:f>'기준스탯 72종'!G58*G1272</x:f>
        <x:v>0</x:v>
      </x:c>
      <x:c r="V1272" s="15" t="n">
        <x:f>'기준스탯 72종'!H58*G1272</x:f>
        <x:v>0</x:v>
      </x:c>
      <x:c r="W1272" s="15" t="n">
        <x:f>'기준스탯 72종'!I58*G1272</x:f>
        <x:v>0</x:v>
      </x:c>
      <x:c r="X1272" s="15" t="n">
        <x:f>'기준스탯 72종'!J58*G1272</x:f>
        <x:v>0</x:v>
      </x:c>
      <x:c r="Y1272" s="15" t="n">
        <x:f>'기준스탯 72종'!K58*G1272</x:f>
        <x:v>0</x:v>
      </x:c>
      <x:c r="Z1272" s="15" t="n">
        <x:f>'기준스탯 72종'!D58*H1272</x:f>
        <x:v>0.9600000000000002</x:v>
      </x:c>
      <x:c r="AA1272" s="15" t="n">
        <x:f>'기준스탯 72종'!E58*H1272</x:f>
        <x:v>0.7200000000000002</x:v>
      </x:c>
      <x:c r="AB1272" s="15" t="n">
        <x:f>'기준스탯 72종'!F58*H1272</x:f>
        <x:v>0.7200000000000002</x:v>
      </x:c>
      <x:c r="AC1272" s="15" t="n">
        <x:f>'기준스탯 72종'!G58*H1272</x:f>
        <x:v>1.2000000000000002</x:v>
      </x:c>
      <x:c r="AD1272" s="15" t="n">
        <x:f>'기준스탯 72종'!H58*H1272</x:f>
        <x:v>0.8400000000000002</x:v>
      </x:c>
      <x:c r="AE1272" s="15" t="n">
        <x:f>'기준스탯 72종'!I58*H1272</x:f>
        <x:v>0.4800000000000001</x:v>
      </x:c>
      <x:c r="AF1272" s="15" t="n">
        <x:f>'기준스탯 72종'!J58*H1272</x:f>
        <x:v>0.6000000000000001</x:v>
      </x:c>
      <x:c r="AG1272" s="15" t="n">
        <x:f>'기준스탯 72종'!K58*H1272</x:f>
        <x:v>0</x:v>
      </x:c>
    </x:row>
    <x:row r="1273" ht="28" customHeight="1">
      <x:c r="A1273" s="2" t="n">
        <x:v>1266</x:v>
      </x:c>
      <x:c r="B1273" s="2" t="n">
        <x:v>51</x:v>
      </x:c>
      <x:c r="C1273" s="2" t="str">
        <x:v>사수자리</x:v>
      </x:c>
      <x:c r="D1273" s="2" t="str">
        <x:v>사수</x:v>
      </x:c>
      <x:c r="E1273" s="2" t="n">
        <x:v>1</x:v>
      </x:c>
      <x:c r="F1273" s="2" t="n">
        <x:v>4</x:v>
      </x:c>
      <x:c r="G1273" s="14" t="n">
        <x:f>('레벨 계산식'!$E$4-E1273)*'레벨 계산식'!$B$5</x:f>
        <x:v>0.5599999999999999</x:v>
      </x:c>
      <x:c r="H1273" s="14" t="n">
        <x:f>('등급 계산식'!$E$4-F1273)*'등급 계산식'!$B$5</x:f>
        <x:v>0.06000000000000001</x:v>
      </x:c>
      <x:c r="I1273" s="14" t="n">
        <x:f>1-G1273-H1273</x:f>
        <x:v>0.38000000000000006</x:v>
      </x:c>
      <x:c r="J1273" s="2" t="n">
        <x:f>MAX(1,ROUND('기준스탯 72종'!D58-R1273-Z1273,0))</x:f>
        <x:v>3</x:v>
      </x:c>
      <x:c r="K1273" s="2" t="n">
        <x:f>MAX(1,ROUND('기준스탯 72종'!E58-S1273-AA1273,0))</x:f>
        <x:v>2</x:v>
      </x:c>
      <x:c r="L1273" s="2" t="n">
        <x:f>MAX(1,ROUND('기준스탯 72종'!F58-T1273-AB1273,0))</x:f>
        <x:v>2</x:v>
      </x:c>
      <x:c r="M1273" s="2" t="n">
        <x:f>MAX(1,ROUND('기준스탯 72종'!G58-U1273-AC1273,0))</x:f>
        <x:v>4</x:v>
      </x:c>
      <x:c r="N1273" s="2" t="n">
        <x:f>MAX(0,ROUND('기준스탯 72종'!H58-V1273-AD1273,0))</x:f>
        <x:v>3</x:v>
      </x:c>
      <x:c r="O1273" s="2" t="n">
        <x:f>MAX(0,ROUND('기준스탯 72종'!I58-W1273-AE1273,0))</x:f>
        <x:v>2</x:v>
      </x:c>
      <x:c r="P1273" s="2" t="n">
        <x:f>MAX(0,ROUND('기준스탯 72종'!J58-X1273-AF1273,0))</x:f>
        <x:v>2</x:v>
      </x:c>
      <x:c r="Q1273" s="2" t="n">
        <x:f>MAX(0,ROUND('기준스탯 72종'!K58-Y1273-AG1273,0))</x:f>
        <x:v>0</x:v>
      </x:c>
      <x:c r="R1273" s="15" t="n">
        <x:f>'기준스탯 72종'!D58*G1273</x:f>
        <x:v>4.4799999999999995</x:v>
      </x:c>
      <x:c r="S1273" s="15" t="n">
        <x:f>'기준스탯 72종'!E58*G1273</x:f>
        <x:v>3.3599999999999994</x:v>
      </x:c>
      <x:c r="T1273" s="15" t="n">
        <x:f>'기준스탯 72종'!F58*G1273</x:f>
        <x:v>3.3599999999999994</x:v>
      </x:c>
      <x:c r="U1273" s="15" t="n">
        <x:f>'기준스탯 72종'!G58*G1273</x:f>
        <x:v>5.6</x:v>
      </x:c>
      <x:c r="V1273" s="15" t="n">
        <x:f>'기준스탯 72종'!H58*G1273</x:f>
        <x:v>3.9199999999999995</x:v>
      </x:c>
      <x:c r="W1273" s="15" t="n">
        <x:f>'기준스탯 72종'!I58*G1273</x:f>
        <x:v>2.2399999999999998</x:v>
      </x:c>
      <x:c r="X1273" s="15" t="n">
        <x:f>'기준스탯 72종'!J58*G1273</x:f>
        <x:v>2.8</x:v>
      </x:c>
      <x:c r="Y1273" s="15" t="n">
        <x:f>'기준스탯 72종'!K58*G1273</x:f>
        <x:v>0</x:v>
      </x:c>
      <x:c r="Z1273" s="15" t="n">
        <x:f>'기준스탯 72종'!D58*H1273</x:f>
        <x:v>0.4800000000000001</x:v>
      </x:c>
      <x:c r="AA1273" s="15" t="n">
        <x:f>'기준스탯 72종'!E58*H1273</x:f>
        <x:v>0.3600000000000001</x:v>
      </x:c>
      <x:c r="AB1273" s="15" t="n">
        <x:f>'기준스탯 72종'!F58*H1273</x:f>
        <x:v>0.3600000000000001</x:v>
      </x:c>
      <x:c r="AC1273" s="15" t="n">
        <x:f>'기준스탯 72종'!G58*H1273</x:f>
        <x:v>0.6000000000000001</x:v>
      </x:c>
      <x:c r="AD1273" s="15" t="n">
        <x:f>'기준스탯 72종'!H58*H1273</x:f>
        <x:v>0.4200000000000001</x:v>
      </x:c>
      <x:c r="AE1273" s="15" t="n">
        <x:f>'기준스탯 72종'!I58*H1273</x:f>
        <x:v>0.24000000000000005</x:v>
      </x:c>
      <x:c r="AF1273" s="15" t="n">
        <x:f>'기준스탯 72종'!J58*H1273</x:f>
        <x:v>0.30000000000000004</x:v>
      </x:c>
      <x:c r="AG1273" s="15" t="n">
        <x:f>'기준스탯 72종'!K58*H1273</x:f>
        <x:v>0</x:v>
      </x:c>
    </x:row>
    <x:row r="1274" ht="28" customHeight="1">
      <x:c r="A1274" s="2" t="n">
        <x:v>1267</x:v>
      </x:c>
      <x:c r="B1274" s="2" t="n">
        <x:v>51</x:v>
      </x:c>
      <x:c r="C1274" s="2" t="str">
        <x:v>사수자리</x:v>
      </x:c>
      <x:c r="D1274" s="2" t="str">
        <x:v>사수</x:v>
      </x:c>
      <x:c r="E1274" s="2" t="n">
        <x:v>2</x:v>
      </x:c>
      <x:c r="F1274" s="2" t="n">
        <x:v>4</x:v>
      </x:c>
      <x:c r="G1274" s="14" t="n">
        <x:f>('레벨 계산식'!$E$4-E1274)*'레벨 계산식'!$B$5</x:f>
        <x:v>0.41999999999999993</x:v>
      </x:c>
      <x:c r="H1274" s="14" t="n">
        <x:f>('등급 계산식'!$E$4-F1274)*'등급 계산식'!$B$5</x:f>
        <x:v>0.06000000000000001</x:v>
      </x:c>
      <x:c r="I1274" s="14" t="n">
        <x:f>1-G1274-H1274</x:f>
        <x:v>0.52</x:v>
      </x:c>
      <x:c r="J1274" s="2" t="n">
        <x:f>MAX(1,ROUND('기준스탯 72종'!D58-R1274-Z1274,0))</x:f>
        <x:v>4</x:v>
      </x:c>
      <x:c r="K1274" s="2" t="n">
        <x:f>MAX(1,ROUND('기준스탯 72종'!E58-S1274-AA1274,0))</x:f>
        <x:v>3</x:v>
      </x:c>
      <x:c r="L1274" s="2" t="n">
        <x:f>MAX(1,ROUND('기준스탯 72종'!F58-T1274-AB1274,0))</x:f>
        <x:v>3</x:v>
      </x:c>
      <x:c r="M1274" s="2" t="n">
        <x:f>MAX(1,ROUND('기준스탯 72종'!G58-U1274-AC1274,0))</x:f>
        <x:v>5</x:v>
      </x:c>
      <x:c r="N1274" s="2" t="n">
        <x:f>MAX(0,ROUND('기준스탯 72종'!H58-V1274-AD1274,0))</x:f>
        <x:v>4</x:v>
      </x:c>
      <x:c r="O1274" s="2" t="n">
        <x:f>MAX(0,ROUND('기준스탯 72종'!I58-W1274-AE1274,0))</x:f>
        <x:v>2</x:v>
      </x:c>
      <x:c r="P1274" s="2" t="n">
        <x:f>MAX(0,ROUND('기준스탯 72종'!J58-X1274-AF1274,0))</x:f>
        <x:v>3</x:v>
      </x:c>
      <x:c r="Q1274" s="2" t="n">
        <x:f>MAX(0,ROUND('기준스탯 72종'!K58-Y1274-AG1274,0))</x:f>
        <x:v>0</x:v>
      </x:c>
      <x:c r="R1274" s="15" t="n">
        <x:f>'기준스탯 72종'!D58*G1274</x:f>
        <x:v>3.3599999999999994</x:v>
      </x:c>
      <x:c r="S1274" s="15" t="n">
        <x:f>'기준스탯 72종'!E58*G1274</x:f>
        <x:v>2.5199999999999996</x:v>
      </x:c>
      <x:c r="T1274" s="15" t="n">
        <x:f>'기준스탯 72종'!F58*G1274</x:f>
        <x:v>2.5199999999999996</x:v>
      </x:c>
      <x:c r="U1274" s="15" t="n">
        <x:f>'기준스탯 72종'!G58*G1274</x:f>
        <x:v>4.199999999999999</x:v>
      </x:c>
      <x:c r="V1274" s="15" t="n">
        <x:f>'기준스탯 72종'!H58*G1274</x:f>
        <x:v>2.9399999999999995</x:v>
      </x:c>
      <x:c r="W1274" s="15" t="n">
        <x:f>'기준스탯 72종'!I58*G1274</x:f>
        <x:v>1.6799999999999997</x:v>
      </x:c>
      <x:c r="X1274" s="15" t="n">
        <x:f>'기준스탯 72종'!J58*G1274</x:f>
        <x:v>2.0999999999999996</x:v>
      </x:c>
      <x:c r="Y1274" s="15" t="n">
        <x:f>'기준스탯 72종'!K58*G1274</x:f>
        <x:v>0</x:v>
      </x:c>
      <x:c r="Z1274" s="15" t="n">
        <x:f>'기준스탯 72종'!D58*H1274</x:f>
        <x:v>0.4800000000000001</x:v>
      </x:c>
      <x:c r="AA1274" s="15" t="n">
        <x:f>'기준스탯 72종'!E58*H1274</x:f>
        <x:v>0.3600000000000001</x:v>
      </x:c>
      <x:c r="AB1274" s="15" t="n">
        <x:f>'기준스탯 72종'!F58*H1274</x:f>
        <x:v>0.3600000000000001</x:v>
      </x:c>
      <x:c r="AC1274" s="15" t="n">
        <x:f>'기준스탯 72종'!G58*H1274</x:f>
        <x:v>0.6000000000000001</x:v>
      </x:c>
      <x:c r="AD1274" s="15" t="n">
        <x:f>'기준스탯 72종'!H58*H1274</x:f>
        <x:v>0.4200000000000001</x:v>
      </x:c>
      <x:c r="AE1274" s="15" t="n">
        <x:f>'기준스탯 72종'!I58*H1274</x:f>
        <x:v>0.24000000000000005</x:v>
      </x:c>
      <x:c r="AF1274" s="15" t="n">
        <x:f>'기준스탯 72종'!J58*H1274</x:f>
        <x:v>0.30000000000000004</x:v>
      </x:c>
      <x:c r="AG1274" s="15" t="n">
        <x:f>'기준스탯 72종'!K58*H1274</x:f>
        <x:v>0</x:v>
      </x:c>
    </x:row>
    <x:row r="1275" ht="28" customHeight="1">
      <x:c r="A1275" s="2" t="n">
        <x:v>1268</x:v>
      </x:c>
      <x:c r="B1275" s="2" t="n">
        <x:v>51</x:v>
      </x:c>
      <x:c r="C1275" s="2" t="str">
        <x:v>사수자리</x:v>
      </x:c>
      <x:c r="D1275" s="2" t="str">
        <x:v>사수</x:v>
      </x:c>
      <x:c r="E1275" s="2" t="n">
        <x:v>3</x:v>
      </x:c>
      <x:c r="F1275" s="2" t="n">
        <x:v>4</x:v>
      </x:c>
      <x:c r="G1275" s="14" t="n">
        <x:f>('레벨 계산식'!$E$4-E1275)*'레벨 계산식'!$B$5</x:f>
        <x:v>0.27999999999999997</x:v>
      </x:c>
      <x:c r="H1275" s="14" t="n">
        <x:f>('등급 계산식'!$E$4-F1275)*'등급 계산식'!$B$5</x:f>
        <x:v>0.06000000000000001</x:v>
      </x:c>
      <x:c r="I1275" s="14" t="n">
        <x:f>1-G1275-H1275</x:f>
        <x:v>0.6599999999999999</x:v>
      </x:c>
      <x:c r="J1275" s="2" t="n">
        <x:f>MAX(1,ROUND('기준스탯 72종'!D58-R1275-Z1275,0))</x:f>
        <x:v>5</x:v>
      </x:c>
      <x:c r="K1275" s="2" t="n">
        <x:f>MAX(1,ROUND('기준스탯 72종'!E58-S1275-AA1275,0))</x:f>
        <x:v>4</x:v>
      </x:c>
      <x:c r="L1275" s="2" t="n">
        <x:f>MAX(1,ROUND('기준스탯 72종'!F58-T1275-AB1275,0))</x:f>
        <x:v>4</x:v>
      </x:c>
      <x:c r="M1275" s="2" t="n">
        <x:f>MAX(1,ROUND('기준스탯 72종'!G58-U1275-AC1275,0))</x:f>
        <x:v>7</x:v>
      </x:c>
      <x:c r="N1275" s="2" t="n">
        <x:f>MAX(0,ROUND('기준스탯 72종'!H58-V1275-AD1275,0))</x:f>
        <x:v>5</x:v>
      </x:c>
      <x:c r="O1275" s="2" t="n">
        <x:f>MAX(0,ROUND('기준스탯 72종'!I58-W1275-AE1275,0))</x:f>
        <x:v>3</x:v>
      </x:c>
      <x:c r="P1275" s="2" t="n">
        <x:f>MAX(0,ROUND('기준스탯 72종'!J58-X1275-AF1275,0))</x:f>
        <x:v>3</x:v>
      </x:c>
      <x:c r="Q1275" s="2" t="n">
        <x:f>MAX(0,ROUND('기준스탯 72종'!K58-Y1275-AG1275,0))</x:f>
        <x:v>0</x:v>
      </x:c>
      <x:c r="R1275" s="15" t="n">
        <x:f>'기준스탯 72종'!D58*G1275</x:f>
        <x:v>2.2399999999999998</x:v>
      </x:c>
      <x:c r="S1275" s="15" t="n">
        <x:f>'기준스탯 72종'!E58*G1275</x:f>
        <x:v>1.6799999999999997</x:v>
      </x:c>
      <x:c r="T1275" s="15" t="n">
        <x:f>'기준스탯 72종'!F58*G1275</x:f>
        <x:v>1.6799999999999997</x:v>
      </x:c>
      <x:c r="U1275" s="15" t="n">
        <x:f>'기준스탯 72종'!G58*G1275</x:f>
        <x:v>2.8</x:v>
      </x:c>
      <x:c r="V1275" s="15" t="n">
        <x:f>'기준스탯 72종'!H58*G1275</x:f>
        <x:v>1.9599999999999997</x:v>
      </x:c>
      <x:c r="W1275" s="15" t="n">
        <x:f>'기준스탯 72종'!I58*G1275</x:f>
        <x:v>1.1199999999999999</x:v>
      </x:c>
      <x:c r="X1275" s="15" t="n">
        <x:f>'기준스탯 72종'!J58*G1275</x:f>
        <x:v>1.4</x:v>
      </x:c>
      <x:c r="Y1275" s="15" t="n">
        <x:f>'기준스탯 72종'!K58*G1275</x:f>
        <x:v>0</x:v>
      </x:c>
      <x:c r="Z1275" s="15" t="n">
        <x:f>'기준스탯 72종'!D58*H1275</x:f>
        <x:v>0.4800000000000001</x:v>
      </x:c>
      <x:c r="AA1275" s="15" t="n">
        <x:f>'기준스탯 72종'!E58*H1275</x:f>
        <x:v>0.3600000000000001</x:v>
      </x:c>
      <x:c r="AB1275" s="15" t="n">
        <x:f>'기준스탯 72종'!F58*H1275</x:f>
        <x:v>0.3600000000000001</x:v>
      </x:c>
      <x:c r="AC1275" s="15" t="n">
        <x:f>'기준스탯 72종'!G58*H1275</x:f>
        <x:v>0.6000000000000001</x:v>
      </x:c>
      <x:c r="AD1275" s="15" t="n">
        <x:f>'기준스탯 72종'!H58*H1275</x:f>
        <x:v>0.4200000000000001</x:v>
      </x:c>
      <x:c r="AE1275" s="15" t="n">
        <x:f>'기준스탯 72종'!I58*H1275</x:f>
        <x:v>0.24000000000000005</x:v>
      </x:c>
      <x:c r="AF1275" s="15" t="n">
        <x:f>'기준스탯 72종'!J58*H1275</x:f>
        <x:v>0.30000000000000004</x:v>
      </x:c>
      <x:c r="AG1275" s="15" t="n">
        <x:f>'기준스탯 72종'!K58*H1275</x:f>
        <x:v>0</x:v>
      </x:c>
    </x:row>
    <x:row r="1276" ht="28" customHeight="1">
      <x:c r="A1276" s="2" t="n">
        <x:v>1269</x:v>
      </x:c>
      <x:c r="B1276" s="2" t="n">
        <x:v>51</x:v>
      </x:c>
      <x:c r="C1276" s="2" t="str">
        <x:v>사수자리</x:v>
      </x:c>
      <x:c r="D1276" s="2" t="str">
        <x:v>사수</x:v>
      </x:c>
      <x:c r="E1276" s="2" t="n">
        <x:v>4</x:v>
      </x:c>
      <x:c r="F1276" s="2" t="n">
        <x:v>4</x:v>
      </x:c>
      <x:c r="G1276" s="14" t="n">
        <x:f>('레벨 계산식'!$E$4-E1276)*'레벨 계산식'!$B$5</x:f>
        <x:v>0.13999999999999999</x:v>
      </x:c>
      <x:c r="H1276" s="14" t="n">
        <x:f>('등급 계산식'!$E$4-F1276)*'등급 계산식'!$B$5</x:f>
        <x:v>0.06000000000000001</x:v>
      </x:c>
      <x:c r="I1276" s="14" t="n">
        <x:f>1-G1276-H1276</x:f>
        <x:v>0.7999999999999999</x:v>
      </x:c>
      <x:c r="J1276" s="2" t="n">
        <x:f>MAX(1,ROUND('기준스탯 72종'!D58-R1276-Z1276,0))</x:f>
        <x:v>6</x:v>
      </x:c>
      <x:c r="K1276" s="2" t="n">
        <x:f>MAX(1,ROUND('기준스탯 72종'!E58-S1276-AA1276,0))</x:f>
        <x:v>5</x:v>
      </x:c>
      <x:c r="L1276" s="2" t="n">
        <x:f>MAX(1,ROUND('기준스탯 72종'!F58-T1276-AB1276,0))</x:f>
        <x:v>5</x:v>
      </x:c>
      <x:c r="M1276" s="2" t="n">
        <x:f>MAX(1,ROUND('기준스탯 72종'!G58-U1276-AC1276,0))</x:f>
        <x:v>8</x:v>
      </x:c>
      <x:c r="N1276" s="2" t="n">
        <x:f>MAX(0,ROUND('기준스탯 72종'!H58-V1276-AD1276,0))</x:f>
        <x:v>6</x:v>
      </x:c>
      <x:c r="O1276" s="2" t="n">
        <x:f>MAX(0,ROUND('기준스탯 72종'!I58-W1276-AE1276,0))</x:f>
        <x:v>3</x:v>
      </x:c>
      <x:c r="P1276" s="2" t="n">
        <x:f>MAX(0,ROUND('기준스탯 72종'!J58-X1276-AF1276,0))</x:f>
        <x:v>4</x:v>
      </x:c>
      <x:c r="Q1276" s="2" t="n">
        <x:f>MAX(0,ROUND('기준스탯 72종'!K58-Y1276-AG1276,0))</x:f>
        <x:v>0</x:v>
      </x:c>
      <x:c r="R1276" s="15" t="n">
        <x:f>'기준스탯 72종'!D58*G1276</x:f>
        <x:v>1.1199999999999999</x:v>
      </x:c>
      <x:c r="S1276" s="15" t="n">
        <x:f>'기준스탯 72종'!E58*G1276</x:f>
        <x:v>0.8399999999999999</x:v>
      </x:c>
      <x:c r="T1276" s="15" t="n">
        <x:f>'기준스탯 72종'!F58*G1276</x:f>
        <x:v>0.8399999999999999</x:v>
      </x:c>
      <x:c r="U1276" s="15" t="n">
        <x:f>'기준스탯 72종'!G58*G1276</x:f>
        <x:v>1.4</x:v>
      </x:c>
      <x:c r="V1276" s="15" t="n">
        <x:f>'기준스탯 72종'!H58*G1276</x:f>
        <x:v>0.9799999999999999</x:v>
      </x:c>
      <x:c r="W1276" s="15" t="n">
        <x:f>'기준스탯 72종'!I58*G1276</x:f>
        <x:v>0.5599999999999999</x:v>
      </x:c>
      <x:c r="X1276" s="15" t="n">
        <x:f>'기준스탯 72종'!J58*G1276</x:f>
        <x:v>0.7</x:v>
      </x:c>
      <x:c r="Y1276" s="15" t="n">
        <x:f>'기준스탯 72종'!K58*G1276</x:f>
        <x:v>0</x:v>
      </x:c>
      <x:c r="Z1276" s="15" t="n">
        <x:f>'기준스탯 72종'!D58*H1276</x:f>
        <x:v>0.4800000000000001</x:v>
      </x:c>
      <x:c r="AA1276" s="15" t="n">
        <x:f>'기준스탯 72종'!E58*H1276</x:f>
        <x:v>0.3600000000000001</x:v>
      </x:c>
      <x:c r="AB1276" s="15" t="n">
        <x:f>'기준스탯 72종'!F58*H1276</x:f>
        <x:v>0.3600000000000001</x:v>
      </x:c>
      <x:c r="AC1276" s="15" t="n">
        <x:f>'기준스탯 72종'!G58*H1276</x:f>
        <x:v>0.6000000000000001</x:v>
      </x:c>
      <x:c r="AD1276" s="15" t="n">
        <x:f>'기준스탯 72종'!H58*H1276</x:f>
        <x:v>0.4200000000000001</x:v>
      </x:c>
      <x:c r="AE1276" s="15" t="n">
        <x:f>'기준스탯 72종'!I58*H1276</x:f>
        <x:v>0.24000000000000005</x:v>
      </x:c>
      <x:c r="AF1276" s="15" t="n">
        <x:f>'기준스탯 72종'!J58*H1276</x:f>
        <x:v>0.30000000000000004</x:v>
      </x:c>
      <x:c r="AG1276" s="15" t="n">
        <x:f>'기준스탯 72종'!K58*H1276</x:f>
        <x:v>0</x:v>
      </x:c>
    </x:row>
    <x:row r="1277" ht="28" customHeight="1">
      <x:c r="A1277" s="2" t="n">
        <x:v>1270</x:v>
      </x:c>
      <x:c r="B1277" s="2" t="n">
        <x:v>51</x:v>
      </x:c>
      <x:c r="C1277" s="2" t="str">
        <x:v>사수자리</x:v>
      </x:c>
      <x:c r="D1277" s="2" t="str">
        <x:v>사수</x:v>
      </x:c>
      <x:c r="E1277" s="2" t="n">
        <x:v>5</x:v>
      </x:c>
      <x:c r="F1277" s="2" t="n">
        <x:v>4</x:v>
      </x:c>
      <x:c r="G1277" s="14" t="n">
        <x:f>('레벨 계산식'!$E$4-E1277)*'레벨 계산식'!$B$5</x:f>
        <x:v>0</x:v>
      </x:c>
      <x:c r="H1277" s="14" t="n">
        <x:f>('등급 계산식'!$E$4-F1277)*'등급 계산식'!$B$5</x:f>
        <x:v>0.06000000000000001</x:v>
      </x:c>
      <x:c r="I1277" s="14" t="n">
        <x:f>1-G1277-H1277</x:f>
        <x:v>0.94</x:v>
      </x:c>
      <x:c r="J1277" s="2" t="n">
        <x:f>MAX(1,ROUND('기준스탯 72종'!D58-R1277-Z1277,0))</x:f>
        <x:v>8</x:v>
      </x:c>
      <x:c r="K1277" s="2" t="n">
        <x:f>MAX(1,ROUND('기준스탯 72종'!E58-S1277-AA1277,0))</x:f>
        <x:v>6</x:v>
      </x:c>
      <x:c r="L1277" s="2" t="n">
        <x:f>MAX(1,ROUND('기준스탯 72종'!F58-T1277-AB1277,0))</x:f>
        <x:v>6</x:v>
      </x:c>
      <x:c r="M1277" s="2" t="n">
        <x:f>MAX(1,ROUND('기준스탯 72종'!G58-U1277-AC1277,0))</x:f>
        <x:v>9</x:v>
      </x:c>
      <x:c r="N1277" s="2" t="n">
        <x:f>MAX(0,ROUND('기준스탯 72종'!H58-V1277-AD1277,0))</x:f>
        <x:v>7</x:v>
      </x:c>
      <x:c r="O1277" s="2" t="n">
        <x:f>MAX(0,ROUND('기준스탯 72종'!I58-W1277-AE1277,0))</x:f>
        <x:v>4</x:v>
      </x:c>
      <x:c r="P1277" s="2" t="n">
        <x:f>MAX(0,ROUND('기준스탯 72종'!J58-X1277-AF1277,0))</x:f>
        <x:v>5</x:v>
      </x:c>
      <x:c r="Q1277" s="2" t="n">
        <x:f>MAX(0,ROUND('기준스탯 72종'!K58-Y1277-AG1277,0))</x:f>
        <x:v>0</x:v>
      </x:c>
      <x:c r="R1277" s="15" t="n">
        <x:f>'기준스탯 72종'!D58*G1277</x:f>
        <x:v>0</x:v>
      </x:c>
      <x:c r="S1277" s="15" t="n">
        <x:f>'기준스탯 72종'!E58*G1277</x:f>
        <x:v>0</x:v>
      </x:c>
      <x:c r="T1277" s="15" t="n">
        <x:f>'기준스탯 72종'!F58*G1277</x:f>
        <x:v>0</x:v>
      </x:c>
      <x:c r="U1277" s="15" t="n">
        <x:f>'기준스탯 72종'!G58*G1277</x:f>
        <x:v>0</x:v>
      </x:c>
      <x:c r="V1277" s="15" t="n">
        <x:f>'기준스탯 72종'!H58*G1277</x:f>
        <x:v>0</x:v>
      </x:c>
      <x:c r="W1277" s="15" t="n">
        <x:f>'기준스탯 72종'!I58*G1277</x:f>
        <x:v>0</x:v>
      </x:c>
      <x:c r="X1277" s="15" t="n">
        <x:f>'기준스탯 72종'!J58*G1277</x:f>
        <x:v>0</x:v>
      </x:c>
      <x:c r="Y1277" s="15" t="n">
        <x:f>'기준스탯 72종'!K58*G1277</x:f>
        <x:v>0</x:v>
      </x:c>
      <x:c r="Z1277" s="15" t="n">
        <x:f>'기준스탯 72종'!D58*H1277</x:f>
        <x:v>0.4800000000000001</x:v>
      </x:c>
      <x:c r="AA1277" s="15" t="n">
        <x:f>'기준스탯 72종'!E58*H1277</x:f>
        <x:v>0.3600000000000001</x:v>
      </x:c>
      <x:c r="AB1277" s="15" t="n">
        <x:f>'기준스탯 72종'!F58*H1277</x:f>
        <x:v>0.3600000000000001</x:v>
      </x:c>
      <x:c r="AC1277" s="15" t="n">
        <x:f>'기준스탯 72종'!G58*H1277</x:f>
        <x:v>0.6000000000000001</x:v>
      </x:c>
      <x:c r="AD1277" s="15" t="n">
        <x:f>'기준스탯 72종'!H58*H1277</x:f>
        <x:v>0.4200000000000001</x:v>
      </x:c>
      <x:c r="AE1277" s="15" t="n">
        <x:f>'기준스탯 72종'!I58*H1277</x:f>
        <x:v>0.24000000000000005</x:v>
      </x:c>
      <x:c r="AF1277" s="15" t="n">
        <x:f>'기준스탯 72종'!J58*H1277</x:f>
        <x:v>0.30000000000000004</x:v>
      </x:c>
      <x:c r="AG1277" s="15" t="n">
        <x:f>'기준스탯 72종'!K58*H1277</x:f>
        <x:v>0</x:v>
      </x:c>
    </x:row>
    <x:row r="1278" ht="28" customHeight="1">
      <x:c r="A1278" s="2" t="n">
        <x:v>1271</x:v>
      </x:c>
      <x:c r="B1278" s="2" t="n">
        <x:v>51</x:v>
      </x:c>
      <x:c r="C1278" s="2" t="str">
        <x:v>사수자리</x:v>
      </x:c>
      <x:c r="D1278" s="2" t="str">
        <x:v>사수</x:v>
      </x:c>
      <x:c r="E1278" s="2" t="n">
        <x:v>1</x:v>
      </x:c>
      <x:c r="F1278" s="2" t="n">
        <x:v>5</x:v>
      </x:c>
      <x:c r="G1278" s="14" t="n">
        <x:f>('레벨 계산식'!$E$4-E1278)*'레벨 계산식'!$B$5</x:f>
        <x:v>0.5599999999999999</x:v>
      </x:c>
      <x:c r="H1278" s="14" t="n">
        <x:f>('등급 계산식'!$E$4-F1278)*'등급 계산식'!$B$5</x:f>
        <x:v>0</x:v>
      </x:c>
      <x:c r="I1278" s="14" t="n">
        <x:f>1-G1278-H1278</x:f>
        <x:v>0.44000000000000006</x:v>
      </x:c>
      <x:c r="J1278" s="2" t="n">
        <x:f>MAX(1,ROUND('기준스탯 72종'!D58-R1278-Z1278,0))</x:f>
        <x:v>4</x:v>
      </x:c>
      <x:c r="K1278" s="2" t="n">
        <x:f>MAX(1,ROUND('기준스탯 72종'!E58-S1278-AA1278,0))</x:f>
        <x:v>3</x:v>
      </x:c>
      <x:c r="L1278" s="2" t="n">
        <x:f>MAX(1,ROUND('기준스탯 72종'!F58-T1278-AB1278,0))</x:f>
        <x:v>3</x:v>
      </x:c>
      <x:c r="M1278" s="2" t="n">
        <x:f>MAX(1,ROUND('기준스탯 72종'!G58-U1278-AC1278,0))</x:f>
        <x:v>4</x:v>
      </x:c>
      <x:c r="N1278" s="2" t="n">
        <x:f>MAX(0,ROUND('기준스탯 72종'!H58-V1278-AD1278,0))</x:f>
        <x:v>3</x:v>
      </x:c>
      <x:c r="O1278" s="2" t="n">
        <x:f>MAX(0,ROUND('기준스탯 72종'!I58-W1278-AE1278,0))</x:f>
        <x:v>2</x:v>
      </x:c>
      <x:c r="P1278" s="2" t="n">
        <x:f>MAX(0,ROUND('기준스탯 72종'!J58-X1278-AF1278,0))</x:f>
        <x:v>2</x:v>
      </x:c>
      <x:c r="Q1278" s="2" t="n">
        <x:f>MAX(0,ROUND('기준스탯 72종'!K58-Y1278-AG1278,0))</x:f>
        <x:v>0</x:v>
      </x:c>
      <x:c r="R1278" s="15" t="n">
        <x:f>'기준스탯 72종'!D58*G1278</x:f>
        <x:v>4.4799999999999995</x:v>
      </x:c>
      <x:c r="S1278" s="15" t="n">
        <x:f>'기준스탯 72종'!E58*G1278</x:f>
        <x:v>3.3599999999999994</x:v>
      </x:c>
      <x:c r="T1278" s="15" t="n">
        <x:f>'기준스탯 72종'!F58*G1278</x:f>
        <x:v>3.3599999999999994</x:v>
      </x:c>
      <x:c r="U1278" s="15" t="n">
        <x:f>'기준스탯 72종'!G58*G1278</x:f>
        <x:v>5.6</x:v>
      </x:c>
      <x:c r="V1278" s="15" t="n">
        <x:f>'기준스탯 72종'!H58*G1278</x:f>
        <x:v>3.9199999999999995</x:v>
      </x:c>
      <x:c r="W1278" s="15" t="n">
        <x:f>'기준스탯 72종'!I58*G1278</x:f>
        <x:v>2.2399999999999998</x:v>
      </x:c>
      <x:c r="X1278" s="15" t="n">
        <x:f>'기준스탯 72종'!J58*G1278</x:f>
        <x:v>2.8</x:v>
      </x:c>
      <x:c r="Y1278" s="15" t="n">
        <x:f>'기준스탯 72종'!K58*G1278</x:f>
        <x:v>0</x:v>
      </x:c>
      <x:c r="Z1278" s="15" t="n">
        <x:f>'기준스탯 72종'!D58*H1278</x:f>
        <x:v>0</x:v>
      </x:c>
      <x:c r="AA1278" s="15" t="n">
        <x:f>'기준스탯 72종'!E58*H1278</x:f>
        <x:v>0</x:v>
      </x:c>
      <x:c r="AB1278" s="15" t="n">
        <x:f>'기준스탯 72종'!F58*H1278</x:f>
        <x:v>0</x:v>
      </x:c>
      <x:c r="AC1278" s="15" t="n">
        <x:f>'기준스탯 72종'!G58*H1278</x:f>
        <x:v>0</x:v>
      </x:c>
      <x:c r="AD1278" s="15" t="n">
        <x:f>'기준스탯 72종'!H58*H1278</x:f>
        <x:v>0</x:v>
      </x:c>
      <x:c r="AE1278" s="15" t="n">
        <x:f>'기준스탯 72종'!I58*H1278</x:f>
        <x:v>0</x:v>
      </x:c>
      <x:c r="AF1278" s="15" t="n">
        <x:f>'기준스탯 72종'!J58*H1278</x:f>
        <x:v>0</x:v>
      </x:c>
      <x:c r="AG1278" s="15" t="n">
        <x:f>'기준스탯 72종'!K58*H1278</x:f>
        <x:v>0</x:v>
      </x:c>
    </x:row>
    <x:row r="1279" ht="28" customHeight="1">
      <x:c r="A1279" s="2" t="n">
        <x:v>1272</x:v>
      </x:c>
      <x:c r="B1279" s="2" t="n">
        <x:v>51</x:v>
      </x:c>
      <x:c r="C1279" s="2" t="str">
        <x:v>사수자리</x:v>
      </x:c>
      <x:c r="D1279" s="2" t="str">
        <x:v>사수</x:v>
      </x:c>
      <x:c r="E1279" s="2" t="n">
        <x:v>2</x:v>
      </x:c>
      <x:c r="F1279" s="2" t="n">
        <x:v>5</x:v>
      </x:c>
      <x:c r="G1279" s="14" t="n">
        <x:f>('레벨 계산식'!$E$4-E1279)*'레벨 계산식'!$B$5</x:f>
        <x:v>0.41999999999999993</x:v>
      </x:c>
      <x:c r="H1279" s="14" t="n">
        <x:f>('등급 계산식'!$E$4-F1279)*'등급 계산식'!$B$5</x:f>
        <x:v>0</x:v>
      </x:c>
      <x:c r="I1279" s="14" t="n">
        <x:f>1-G1279-H1279</x:f>
        <x:v>0.5800000000000001</x:v>
      </x:c>
      <x:c r="J1279" s="2" t="n">
        <x:f>MAX(1,ROUND('기준스탯 72종'!D58-R1279-Z1279,0))</x:f>
        <x:v>5</x:v>
      </x:c>
      <x:c r="K1279" s="2" t="n">
        <x:f>MAX(1,ROUND('기준스탯 72종'!E58-S1279-AA1279,0))</x:f>
        <x:v>3</x:v>
      </x:c>
      <x:c r="L1279" s="2" t="n">
        <x:f>MAX(1,ROUND('기준스탯 72종'!F58-T1279-AB1279,0))</x:f>
        <x:v>3</x:v>
      </x:c>
      <x:c r="M1279" s="2" t="n">
        <x:f>MAX(1,ROUND('기준스탯 72종'!G58-U1279-AC1279,0))</x:f>
        <x:v>6</x:v>
      </x:c>
      <x:c r="N1279" s="2" t="n">
        <x:f>MAX(0,ROUND('기준스탯 72종'!H58-V1279-AD1279,0))</x:f>
        <x:v>4</x:v>
      </x:c>
      <x:c r="O1279" s="2" t="n">
        <x:f>MAX(0,ROUND('기준스탯 72종'!I58-W1279-AE1279,0))</x:f>
        <x:v>2</x:v>
      </x:c>
      <x:c r="P1279" s="2" t="n">
        <x:f>MAX(0,ROUND('기준스탯 72종'!J58-X1279-AF1279,0))</x:f>
        <x:v>3</x:v>
      </x:c>
      <x:c r="Q1279" s="2" t="n">
        <x:f>MAX(0,ROUND('기준스탯 72종'!K58-Y1279-AG1279,0))</x:f>
        <x:v>0</x:v>
      </x:c>
      <x:c r="R1279" s="15" t="n">
        <x:f>'기준스탯 72종'!D58*G1279</x:f>
        <x:v>3.3599999999999994</x:v>
      </x:c>
      <x:c r="S1279" s="15" t="n">
        <x:f>'기준스탯 72종'!E58*G1279</x:f>
        <x:v>2.5199999999999996</x:v>
      </x:c>
      <x:c r="T1279" s="15" t="n">
        <x:f>'기준스탯 72종'!F58*G1279</x:f>
        <x:v>2.5199999999999996</x:v>
      </x:c>
      <x:c r="U1279" s="15" t="n">
        <x:f>'기준스탯 72종'!G58*G1279</x:f>
        <x:v>4.199999999999999</x:v>
      </x:c>
      <x:c r="V1279" s="15" t="n">
        <x:f>'기준스탯 72종'!H58*G1279</x:f>
        <x:v>2.9399999999999995</x:v>
      </x:c>
      <x:c r="W1279" s="15" t="n">
        <x:f>'기준스탯 72종'!I58*G1279</x:f>
        <x:v>1.6799999999999997</x:v>
      </x:c>
      <x:c r="X1279" s="15" t="n">
        <x:f>'기준스탯 72종'!J58*G1279</x:f>
        <x:v>2.0999999999999996</x:v>
      </x:c>
      <x:c r="Y1279" s="15" t="n">
        <x:f>'기준스탯 72종'!K58*G1279</x:f>
        <x:v>0</x:v>
      </x:c>
      <x:c r="Z1279" s="15" t="n">
        <x:f>'기준스탯 72종'!D58*H1279</x:f>
        <x:v>0</x:v>
      </x:c>
      <x:c r="AA1279" s="15" t="n">
        <x:f>'기준스탯 72종'!E58*H1279</x:f>
        <x:v>0</x:v>
      </x:c>
      <x:c r="AB1279" s="15" t="n">
        <x:f>'기준스탯 72종'!F58*H1279</x:f>
        <x:v>0</x:v>
      </x:c>
      <x:c r="AC1279" s="15" t="n">
        <x:f>'기준스탯 72종'!G58*H1279</x:f>
        <x:v>0</x:v>
      </x:c>
      <x:c r="AD1279" s="15" t="n">
        <x:f>'기준스탯 72종'!H58*H1279</x:f>
        <x:v>0</x:v>
      </x:c>
      <x:c r="AE1279" s="15" t="n">
        <x:f>'기준스탯 72종'!I58*H1279</x:f>
        <x:v>0</x:v>
      </x:c>
      <x:c r="AF1279" s="15" t="n">
        <x:f>'기준스탯 72종'!J58*H1279</x:f>
        <x:v>0</x:v>
      </x:c>
      <x:c r="AG1279" s="15" t="n">
        <x:f>'기준스탯 72종'!K58*H1279</x:f>
        <x:v>0</x:v>
      </x:c>
    </x:row>
    <x:row r="1280" ht="28" customHeight="1">
      <x:c r="A1280" s="2" t="n">
        <x:v>1273</x:v>
      </x:c>
      <x:c r="B1280" s="2" t="n">
        <x:v>51</x:v>
      </x:c>
      <x:c r="C1280" s="2" t="str">
        <x:v>사수자리</x:v>
      </x:c>
      <x:c r="D1280" s="2" t="str">
        <x:v>사수</x:v>
      </x:c>
      <x:c r="E1280" s="2" t="n">
        <x:v>3</x:v>
      </x:c>
      <x:c r="F1280" s="2" t="n">
        <x:v>5</x:v>
      </x:c>
      <x:c r="G1280" s="14" t="n">
        <x:f>('레벨 계산식'!$E$4-E1280)*'레벨 계산식'!$B$5</x:f>
        <x:v>0.27999999999999997</x:v>
      </x:c>
      <x:c r="H1280" s="14" t="n">
        <x:f>('등급 계산식'!$E$4-F1280)*'등급 계산식'!$B$5</x:f>
        <x:v>0</x:v>
      </x:c>
      <x:c r="I1280" s="14" t="n">
        <x:f>1-G1280-H1280</x:f>
        <x:v>0.72</x:v>
      </x:c>
      <x:c r="J1280" s="2" t="n">
        <x:f>MAX(1,ROUND('기준스탯 72종'!D58-R1280-Z1280,0))</x:f>
        <x:v>6</x:v>
      </x:c>
      <x:c r="K1280" s="2" t="n">
        <x:f>MAX(1,ROUND('기준스탯 72종'!E58-S1280-AA1280,0))</x:f>
        <x:v>4</x:v>
      </x:c>
      <x:c r="L1280" s="2" t="n">
        <x:f>MAX(1,ROUND('기준스탯 72종'!F58-T1280-AB1280,0))</x:f>
        <x:v>4</x:v>
      </x:c>
      <x:c r="M1280" s="2" t="n">
        <x:f>MAX(1,ROUND('기준스탯 72종'!G58-U1280-AC1280,0))</x:f>
        <x:v>7</x:v>
      </x:c>
      <x:c r="N1280" s="2" t="n">
        <x:f>MAX(0,ROUND('기준스탯 72종'!H58-V1280-AD1280,0))</x:f>
        <x:v>5</x:v>
      </x:c>
      <x:c r="O1280" s="2" t="n">
        <x:f>MAX(0,ROUND('기준스탯 72종'!I58-W1280-AE1280,0))</x:f>
        <x:v>3</x:v>
      </x:c>
      <x:c r="P1280" s="2" t="n">
        <x:f>MAX(0,ROUND('기준스탯 72종'!J58-X1280-AF1280,0))</x:f>
        <x:v>4</x:v>
      </x:c>
      <x:c r="Q1280" s="2" t="n">
        <x:f>MAX(0,ROUND('기준스탯 72종'!K58-Y1280-AG1280,0))</x:f>
        <x:v>0</x:v>
      </x:c>
      <x:c r="R1280" s="15" t="n">
        <x:f>'기준스탯 72종'!D58*G1280</x:f>
        <x:v>2.2399999999999998</x:v>
      </x:c>
      <x:c r="S1280" s="15" t="n">
        <x:f>'기준스탯 72종'!E58*G1280</x:f>
        <x:v>1.6799999999999997</x:v>
      </x:c>
      <x:c r="T1280" s="15" t="n">
        <x:f>'기준스탯 72종'!F58*G1280</x:f>
        <x:v>1.6799999999999997</x:v>
      </x:c>
      <x:c r="U1280" s="15" t="n">
        <x:f>'기준스탯 72종'!G58*G1280</x:f>
        <x:v>2.8</x:v>
      </x:c>
      <x:c r="V1280" s="15" t="n">
        <x:f>'기준스탯 72종'!H58*G1280</x:f>
        <x:v>1.9599999999999997</x:v>
      </x:c>
      <x:c r="W1280" s="15" t="n">
        <x:f>'기준스탯 72종'!I58*G1280</x:f>
        <x:v>1.1199999999999999</x:v>
      </x:c>
      <x:c r="X1280" s="15" t="n">
        <x:f>'기준스탯 72종'!J58*G1280</x:f>
        <x:v>1.4</x:v>
      </x:c>
      <x:c r="Y1280" s="15" t="n">
        <x:f>'기준스탯 72종'!K58*G1280</x:f>
        <x:v>0</x:v>
      </x:c>
      <x:c r="Z1280" s="15" t="n">
        <x:f>'기준스탯 72종'!D58*H1280</x:f>
        <x:v>0</x:v>
      </x:c>
      <x:c r="AA1280" s="15" t="n">
        <x:f>'기준스탯 72종'!E58*H1280</x:f>
        <x:v>0</x:v>
      </x:c>
      <x:c r="AB1280" s="15" t="n">
        <x:f>'기준스탯 72종'!F58*H1280</x:f>
        <x:v>0</x:v>
      </x:c>
      <x:c r="AC1280" s="15" t="n">
        <x:f>'기준스탯 72종'!G58*H1280</x:f>
        <x:v>0</x:v>
      </x:c>
      <x:c r="AD1280" s="15" t="n">
        <x:f>'기준스탯 72종'!H58*H1280</x:f>
        <x:v>0</x:v>
      </x:c>
      <x:c r="AE1280" s="15" t="n">
        <x:f>'기준스탯 72종'!I58*H1280</x:f>
        <x:v>0</x:v>
      </x:c>
      <x:c r="AF1280" s="15" t="n">
        <x:f>'기준스탯 72종'!J58*H1280</x:f>
        <x:v>0</x:v>
      </x:c>
      <x:c r="AG1280" s="15" t="n">
        <x:f>'기준스탯 72종'!K58*H1280</x:f>
        <x:v>0</x:v>
      </x:c>
    </x:row>
    <x:row r="1281" ht="28" customHeight="1">
      <x:c r="A1281" s="2" t="n">
        <x:v>1274</x:v>
      </x:c>
      <x:c r="B1281" s="2" t="n">
        <x:v>51</x:v>
      </x:c>
      <x:c r="C1281" s="2" t="str">
        <x:v>사수자리</x:v>
      </x:c>
      <x:c r="D1281" s="2" t="str">
        <x:v>사수</x:v>
      </x:c>
      <x:c r="E1281" s="2" t="n">
        <x:v>4</x:v>
      </x:c>
      <x:c r="F1281" s="2" t="n">
        <x:v>5</x:v>
      </x:c>
      <x:c r="G1281" s="14" t="n">
        <x:f>('레벨 계산식'!$E$4-E1281)*'레벨 계산식'!$B$5</x:f>
        <x:v>0.13999999999999999</x:v>
      </x:c>
      <x:c r="H1281" s="14" t="n">
        <x:f>('등급 계산식'!$E$4-F1281)*'등급 계산식'!$B$5</x:f>
        <x:v>0</x:v>
      </x:c>
      <x:c r="I1281" s="14" t="n">
        <x:f>1-G1281-H1281</x:f>
        <x:v>0.86</x:v>
      </x:c>
      <x:c r="J1281" s="2" t="n">
        <x:f>MAX(1,ROUND('기준스탯 72종'!D58-R1281-Z1281,0))</x:f>
        <x:v>7</x:v>
      </x:c>
      <x:c r="K1281" s="2" t="n">
        <x:f>MAX(1,ROUND('기준스탯 72종'!E58-S1281-AA1281,0))</x:f>
        <x:v>5</x:v>
      </x:c>
      <x:c r="L1281" s="2" t="n">
        <x:f>MAX(1,ROUND('기준스탯 72종'!F58-T1281-AB1281,0))</x:f>
        <x:v>5</x:v>
      </x:c>
      <x:c r="M1281" s="2" t="n">
        <x:f>MAX(1,ROUND('기준스탯 72종'!G58-U1281-AC1281,0))</x:f>
        <x:v>9</x:v>
      </x:c>
      <x:c r="N1281" s="2" t="n">
        <x:f>MAX(0,ROUND('기준스탯 72종'!H58-V1281-AD1281,0))</x:f>
        <x:v>6</x:v>
      </x:c>
      <x:c r="O1281" s="2" t="n">
        <x:f>MAX(0,ROUND('기준스탯 72종'!I58-W1281-AE1281,0))</x:f>
        <x:v>3</x:v>
      </x:c>
      <x:c r="P1281" s="2" t="n">
        <x:f>MAX(0,ROUND('기준스탯 72종'!J58-X1281-AF1281,0))</x:f>
        <x:v>4</x:v>
      </x:c>
      <x:c r="Q1281" s="2" t="n">
        <x:f>MAX(0,ROUND('기준스탯 72종'!K58-Y1281-AG1281,0))</x:f>
        <x:v>0</x:v>
      </x:c>
      <x:c r="R1281" s="15" t="n">
        <x:f>'기준스탯 72종'!D58*G1281</x:f>
        <x:v>1.1199999999999999</x:v>
      </x:c>
      <x:c r="S1281" s="15" t="n">
        <x:f>'기준스탯 72종'!E58*G1281</x:f>
        <x:v>0.8399999999999999</x:v>
      </x:c>
      <x:c r="T1281" s="15" t="n">
        <x:f>'기준스탯 72종'!F58*G1281</x:f>
        <x:v>0.8399999999999999</x:v>
      </x:c>
      <x:c r="U1281" s="15" t="n">
        <x:f>'기준스탯 72종'!G58*G1281</x:f>
        <x:v>1.4</x:v>
      </x:c>
      <x:c r="V1281" s="15" t="n">
        <x:f>'기준스탯 72종'!H58*G1281</x:f>
        <x:v>0.9799999999999999</x:v>
      </x:c>
      <x:c r="W1281" s="15" t="n">
        <x:f>'기준스탯 72종'!I58*G1281</x:f>
        <x:v>0.5599999999999999</x:v>
      </x:c>
      <x:c r="X1281" s="15" t="n">
        <x:f>'기준스탯 72종'!J58*G1281</x:f>
        <x:v>0.7</x:v>
      </x:c>
      <x:c r="Y1281" s="15" t="n">
        <x:f>'기준스탯 72종'!K58*G1281</x:f>
        <x:v>0</x:v>
      </x:c>
      <x:c r="Z1281" s="15" t="n">
        <x:f>'기준스탯 72종'!D58*H1281</x:f>
        <x:v>0</x:v>
      </x:c>
      <x:c r="AA1281" s="15" t="n">
        <x:f>'기준스탯 72종'!E58*H1281</x:f>
        <x:v>0</x:v>
      </x:c>
      <x:c r="AB1281" s="15" t="n">
        <x:f>'기준스탯 72종'!F58*H1281</x:f>
        <x:v>0</x:v>
      </x:c>
      <x:c r="AC1281" s="15" t="n">
        <x:f>'기준스탯 72종'!G58*H1281</x:f>
        <x:v>0</x:v>
      </x:c>
      <x:c r="AD1281" s="15" t="n">
        <x:f>'기준스탯 72종'!H58*H1281</x:f>
        <x:v>0</x:v>
      </x:c>
      <x:c r="AE1281" s="15" t="n">
        <x:f>'기준스탯 72종'!I58*H1281</x:f>
        <x:v>0</x:v>
      </x:c>
      <x:c r="AF1281" s="15" t="n">
        <x:f>'기준스탯 72종'!J58*H1281</x:f>
        <x:v>0</x:v>
      </x:c>
      <x:c r="AG1281" s="15" t="n">
        <x:f>'기준스탯 72종'!K58*H1281</x:f>
        <x:v>0</x:v>
      </x:c>
    </x:row>
    <x:row r="1282" ht="28" customHeight="1">
      <x:c r="A1282" s="2" t="n">
        <x:v>1275</x:v>
      </x:c>
      <x:c r="B1282" s="2" t="n">
        <x:v>51</x:v>
      </x:c>
      <x:c r="C1282" s="2" t="str">
        <x:v>사수자리</x:v>
      </x:c>
      <x:c r="D1282" s="2" t="str">
        <x:v>사수</x:v>
      </x:c>
      <x:c r="E1282" s="2" t="n">
        <x:v>5</x:v>
      </x:c>
      <x:c r="F1282" s="2" t="n">
        <x:v>5</x:v>
      </x:c>
      <x:c r="G1282" s="14" t="n">
        <x:f>('레벨 계산식'!$E$4-E1282)*'레벨 계산식'!$B$5</x:f>
        <x:v>0</x:v>
      </x:c>
      <x:c r="H1282" s="14" t="n">
        <x:f>('등급 계산식'!$E$4-F1282)*'등급 계산식'!$B$5</x:f>
        <x:v>0</x:v>
      </x:c>
      <x:c r="I1282" s="14" t="n">
        <x:f>1-G1282-H1282</x:f>
        <x:v>1</x:v>
      </x:c>
      <x:c r="J1282" s="2" t="n">
        <x:f>MAX(1,ROUND('기준스탯 72종'!D58-R1282-Z1282,0))</x:f>
        <x:v>8</x:v>
      </x:c>
      <x:c r="K1282" s="2" t="n">
        <x:f>MAX(1,ROUND('기준스탯 72종'!E58-S1282-AA1282,0))</x:f>
        <x:v>6</x:v>
      </x:c>
      <x:c r="L1282" s="2" t="n">
        <x:f>MAX(1,ROUND('기준스탯 72종'!F58-T1282-AB1282,0))</x:f>
        <x:v>6</x:v>
      </x:c>
      <x:c r="M1282" s="2" t="n">
        <x:f>MAX(1,ROUND('기준스탯 72종'!G58-U1282-AC1282,0))</x:f>
        <x:v>10</x:v>
      </x:c>
      <x:c r="N1282" s="2" t="n">
        <x:f>MAX(0,ROUND('기준스탯 72종'!H58-V1282-AD1282,0))</x:f>
        <x:v>7</x:v>
      </x:c>
      <x:c r="O1282" s="2" t="n">
        <x:f>MAX(0,ROUND('기준스탯 72종'!I58-W1282-AE1282,0))</x:f>
        <x:v>4</x:v>
      </x:c>
      <x:c r="P1282" s="2" t="n">
        <x:f>MAX(0,ROUND('기준스탯 72종'!J58-X1282-AF1282,0))</x:f>
        <x:v>5</x:v>
      </x:c>
      <x:c r="Q1282" s="2" t="n">
        <x:f>MAX(0,ROUND('기준스탯 72종'!K58-Y1282-AG1282,0))</x:f>
        <x:v>0</x:v>
      </x:c>
      <x:c r="R1282" s="15" t="n">
        <x:f>'기준스탯 72종'!D58*G1282</x:f>
        <x:v>0</x:v>
      </x:c>
      <x:c r="S1282" s="15" t="n">
        <x:f>'기준스탯 72종'!E58*G1282</x:f>
        <x:v>0</x:v>
      </x:c>
      <x:c r="T1282" s="15" t="n">
        <x:f>'기준스탯 72종'!F58*G1282</x:f>
        <x:v>0</x:v>
      </x:c>
      <x:c r="U1282" s="15" t="n">
        <x:f>'기준스탯 72종'!G58*G1282</x:f>
        <x:v>0</x:v>
      </x:c>
      <x:c r="V1282" s="15" t="n">
        <x:f>'기준스탯 72종'!H58*G1282</x:f>
        <x:v>0</x:v>
      </x:c>
      <x:c r="W1282" s="15" t="n">
        <x:f>'기준스탯 72종'!I58*G1282</x:f>
        <x:v>0</x:v>
      </x:c>
      <x:c r="X1282" s="15" t="n">
        <x:f>'기준스탯 72종'!J58*G1282</x:f>
        <x:v>0</x:v>
      </x:c>
      <x:c r="Y1282" s="15" t="n">
        <x:f>'기준스탯 72종'!K58*G1282</x:f>
        <x:v>0</x:v>
      </x:c>
      <x:c r="Z1282" s="15" t="n">
        <x:f>'기준스탯 72종'!D58*H1282</x:f>
        <x:v>0</x:v>
      </x:c>
      <x:c r="AA1282" s="15" t="n">
        <x:f>'기준스탯 72종'!E58*H1282</x:f>
        <x:v>0</x:v>
      </x:c>
      <x:c r="AB1282" s="15" t="n">
        <x:f>'기준스탯 72종'!F58*H1282</x:f>
        <x:v>0</x:v>
      </x:c>
      <x:c r="AC1282" s="15" t="n">
        <x:f>'기준스탯 72종'!G58*H1282</x:f>
        <x:v>0</x:v>
      </x:c>
      <x:c r="AD1282" s="15" t="n">
        <x:f>'기준스탯 72종'!H58*H1282</x:f>
        <x:v>0</x:v>
      </x:c>
      <x:c r="AE1282" s="15" t="n">
        <x:f>'기준스탯 72종'!I58*H1282</x:f>
        <x:v>0</x:v>
      </x:c>
      <x:c r="AF1282" s="15" t="n">
        <x:f>'기준스탯 72종'!J58*H1282</x:f>
        <x:v>0</x:v>
      </x:c>
      <x:c r="AG1282" s="15" t="n">
        <x:f>'기준스탯 72종'!K58*H1282</x:f>
        <x:v>0</x:v>
      </x:c>
    </x:row>
    <x:row r="1283" ht="28" customHeight="1">
      <x:c r="A1283" s="2" t="n">
        <x:v>1276</x:v>
      </x:c>
      <x:c r="B1283" s="2" t="n">
        <x:v>52</x:v>
      </x:c>
      <x:c r="C1283" s="2" t="str">
        <x:v>사수자리</x:v>
      </x:c>
      <x:c r="D1283" s="2" t="str">
        <x:v>정령사</x:v>
      </x:c>
      <x:c r="E1283" s="2" t="n">
        <x:v>1</x:v>
      </x:c>
      <x:c r="F1283" s="2" t="n">
        <x:v>1</x:v>
      </x:c>
      <x:c r="G1283" s="14" t="n">
        <x:f>('레벨 계산식'!$E$4-E1283)*'레벨 계산식'!$B$5</x:f>
        <x:v>0.5599999999999999</x:v>
      </x:c>
      <x:c r="H1283" s="14" t="n">
        <x:f>('등급 계산식'!$E$4-F1283)*'등급 계산식'!$B$5</x:f>
        <x:v>0.24000000000000005</x:v>
      </x:c>
      <x:c r="I1283" s="14" t="n">
        <x:f>1-G1283-H1283</x:f>
        <x:v>0.2</x:v>
      </x:c>
      <x:c r="J1283" s="2" t="n">
        <x:f>MAX(1,ROUND('기준스탯 72종'!D59-R1283-Z1283,0))</x:f>
        <x:v>1</x:v>
      </x:c>
      <x:c r="K1283" s="2" t="n">
        <x:f>MAX(1,ROUND('기준스탯 72종'!E59-S1283-AA1283,0))</x:f>
        <x:v>1</x:v>
      </x:c>
      <x:c r="L1283" s="2" t="n">
        <x:f>MAX(1,ROUND('기준스탯 72종'!F59-T1283-AB1283,0))</x:f>
        <x:v>2</x:v>
      </x:c>
      <x:c r="M1283" s="2" t="n">
        <x:f>MAX(1,ROUND('기준스탯 72종'!G59-U1283-AC1283,0))</x:f>
        <x:v>2</x:v>
      </x:c>
      <x:c r="N1283" s="2" t="n">
        <x:f>MAX(0,ROUND('기준스탯 72종'!H59-V1283-AD1283,0))</x:f>
        <x:v>1</x:v>
      </x:c>
      <x:c r="O1283" s="2" t="n">
        <x:f>MAX(0,ROUND('기준스탯 72종'!I59-W1283-AE1283,0))</x:f>
        <x:v>1</x:v>
      </x:c>
      <x:c r="P1283" s="2" t="n">
        <x:f>MAX(0,ROUND('기준스탯 72종'!J59-X1283-AF1283,0))</x:f>
        <x:v>1</x:v>
      </x:c>
      <x:c r="Q1283" s="2" t="n">
        <x:f>MAX(0,ROUND('기준스탯 72종'!K59-Y1283-AG1283,0))</x:f>
        <x:v>0</x:v>
      </x:c>
      <x:c r="R1283" s="15" t="n">
        <x:f>'기준스탯 72종'!D59*G1283</x:f>
        <x:v>3.3599999999999994</x:v>
      </x:c>
      <x:c r="S1283" s="15" t="n">
        <x:f>'기준스탯 72종'!E59*G1283</x:f>
        <x:v>3.9199999999999995</x:v>
      </x:c>
      <x:c r="T1283" s="15" t="n">
        <x:f>'기준스탯 72종'!F59*G1283</x:f>
        <x:v>4.4799999999999995</x:v>
      </x:c>
      <x:c r="U1283" s="15" t="n">
        <x:f>'기준스탯 72종'!G59*G1283</x:f>
        <x:v>5.039999999999999</x:v>
      </x:c>
      <x:c r="V1283" s="15" t="n">
        <x:f>'기준스탯 72종'!H59*G1283</x:f>
        <x:v>2.8</x:v>
      </x:c>
      <x:c r="W1283" s="15" t="n">
        <x:f>'기준스탯 72종'!I59*G1283</x:f>
        <x:v>2.2399999999999998</x:v>
      </x:c>
      <x:c r="X1283" s="15" t="n">
        <x:f>'기준스탯 72종'!J59*G1283</x:f>
        <x:v>2.8</x:v>
      </x:c>
      <x:c r="Y1283" s="15" t="n">
        <x:f>'기준스탯 72종'!K59*G1283</x:f>
        <x:v>1.1199999999999999</x:v>
      </x:c>
      <x:c r="Z1283" s="15" t="n">
        <x:f>'기준스탯 72종'!D59*H1283</x:f>
        <x:v>1.4400000000000004</x:v>
      </x:c>
      <x:c r="AA1283" s="15" t="n">
        <x:f>'기준스탯 72종'!E59*H1283</x:f>
        <x:v>1.6800000000000004</x:v>
      </x:c>
      <x:c r="AB1283" s="15" t="n">
        <x:f>'기준스탯 72종'!F59*H1283</x:f>
        <x:v>1.9200000000000004</x:v>
      </x:c>
      <x:c r="AC1283" s="15" t="n">
        <x:f>'기준스탯 72종'!G59*H1283</x:f>
        <x:v>2.1600000000000006</x:v>
      </x:c>
      <x:c r="AD1283" s="15" t="n">
        <x:f>'기준스탯 72종'!H59*H1283</x:f>
        <x:v>1.2000000000000002</x:v>
      </x:c>
      <x:c r="AE1283" s="15" t="n">
        <x:f>'기준스탯 72종'!I59*H1283</x:f>
        <x:v>0.9600000000000002</x:v>
      </x:c>
      <x:c r="AF1283" s="15" t="n">
        <x:f>'기준스탯 72종'!J59*H1283</x:f>
        <x:v>1.2000000000000002</x:v>
      </x:c>
      <x:c r="AG1283" s="15" t="n">
        <x:f>'기준스탯 72종'!K59*H1283</x:f>
        <x:v>0.4800000000000001</x:v>
      </x:c>
    </x:row>
    <x:row r="1284" ht="28" customHeight="1">
      <x:c r="A1284" s="2" t="n">
        <x:v>1277</x:v>
      </x:c>
      <x:c r="B1284" s="2" t="n">
        <x:v>52</x:v>
      </x:c>
      <x:c r="C1284" s="2" t="str">
        <x:v>사수자리</x:v>
      </x:c>
      <x:c r="D1284" s="2" t="str">
        <x:v>정령사</x:v>
      </x:c>
      <x:c r="E1284" s="2" t="n">
        <x:v>2</x:v>
      </x:c>
      <x:c r="F1284" s="2" t="n">
        <x:v>1</x:v>
      </x:c>
      <x:c r="G1284" s="14" t="n">
        <x:f>('레벨 계산식'!$E$4-E1284)*'레벨 계산식'!$B$5</x:f>
        <x:v>0.41999999999999993</x:v>
      </x:c>
      <x:c r="H1284" s="14" t="n">
        <x:f>('등급 계산식'!$E$4-F1284)*'등급 계산식'!$B$5</x:f>
        <x:v>0.24000000000000005</x:v>
      </x:c>
      <x:c r="I1284" s="14" t="n">
        <x:f>1-G1284-H1284</x:f>
        <x:v>0.34</x:v>
      </x:c>
      <x:c r="J1284" s="2" t="n">
        <x:f>MAX(1,ROUND('기준스탯 72종'!D59-R1284-Z1284,0))</x:f>
        <x:v>2</x:v>
      </x:c>
      <x:c r="K1284" s="2" t="n">
        <x:f>MAX(1,ROUND('기준스탯 72종'!E59-S1284-AA1284,0))</x:f>
        <x:v>2</x:v>
      </x:c>
      <x:c r="L1284" s="2" t="n">
        <x:f>MAX(1,ROUND('기준스탯 72종'!F59-T1284-AB1284,0))</x:f>
        <x:v>3</x:v>
      </x:c>
      <x:c r="M1284" s="2" t="n">
        <x:f>MAX(1,ROUND('기준스탯 72종'!G59-U1284-AC1284,0))</x:f>
        <x:v>3</x:v>
      </x:c>
      <x:c r="N1284" s="2" t="n">
        <x:f>MAX(0,ROUND('기준스탯 72종'!H59-V1284-AD1284,0))</x:f>
        <x:v>2</x:v>
      </x:c>
      <x:c r="O1284" s="2" t="n">
        <x:f>MAX(0,ROUND('기준스탯 72종'!I59-W1284-AE1284,0))</x:f>
        <x:v>1</x:v>
      </x:c>
      <x:c r="P1284" s="2" t="n">
        <x:f>MAX(0,ROUND('기준스탯 72종'!J59-X1284-AF1284,0))</x:f>
        <x:v>2</x:v>
      </x:c>
      <x:c r="Q1284" s="2" t="n">
        <x:f>MAX(0,ROUND('기준스탯 72종'!K59-Y1284-AG1284,0))</x:f>
        <x:v>1</x:v>
      </x:c>
      <x:c r="R1284" s="15" t="n">
        <x:f>'기준스탯 72종'!D59*G1284</x:f>
        <x:v>2.5199999999999996</x:v>
      </x:c>
      <x:c r="S1284" s="15" t="n">
        <x:f>'기준스탯 72종'!E59*G1284</x:f>
        <x:v>2.9399999999999995</x:v>
      </x:c>
      <x:c r="T1284" s="15" t="n">
        <x:f>'기준스탯 72종'!F59*G1284</x:f>
        <x:v>3.3599999999999994</x:v>
      </x:c>
      <x:c r="U1284" s="15" t="n">
        <x:f>'기준스탯 72종'!G59*G1284</x:f>
        <x:v>3.7799999999999994</x:v>
      </x:c>
      <x:c r="V1284" s="15" t="n">
        <x:f>'기준스탯 72종'!H59*G1284</x:f>
        <x:v>2.0999999999999996</x:v>
      </x:c>
      <x:c r="W1284" s="15" t="n">
        <x:f>'기준스탯 72종'!I59*G1284</x:f>
        <x:v>1.6799999999999997</x:v>
      </x:c>
      <x:c r="X1284" s="15" t="n">
        <x:f>'기준스탯 72종'!J59*G1284</x:f>
        <x:v>2.0999999999999996</x:v>
      </x:c>
      <x:c r="Y1284" s="15" t="n">
        <x:f>'기준스탯 72종'!K59*G1284</x:f>
        <x:v>0.8399999999999999</x:v>
      </x:c>
      <x:c r="Z1284" s="15" t="n">
        <x:f>'기준스탯 72종'!D59*H1284</x:f>
        <x:v>1.4400000000000004</x:v>
      </x:c>
      <x:c r="AA1284" s="15" t="n">
        <x:f>'기준스탯 72종'!E59*H1284</x:f>
        <x:v>1.6800000000000004</x:v>
      </x:c>
      <x:c r="AB1284" s="15" t="n">
        <x:f>'기준스탯 72종'!F59*H1284</x:f>
        <x:v>1.9200000000000004</x:v>
      </x:c>
      <x:c r="AC1284" s="15" t="n">
        <x:f>'기준스탯 72종'!G59*H1284</x:f>
        <x:v>2.1600000000000006</x:v>
      </x:c>
      <x:c r="AD1284" s="15" t="n">
        <x:f>'기준스탯 72종'!H59*H1284</x:f>
        <x:v>1.2000000000000002</x:v>
      </x:c>
      <x:c r="AE1284" s="15" t="n">
        <x:f>'기준스탯 72종'!I59*H1284</x:f>
        <x:v>0.9600000000000002</x:v>
      </x:c>
      <x:c r="AF1284" s="15" t="n">
        <x:f>'기준스탯 72종'!J59*H1284</x:f>
        <x:v>1.2000000000000002</x:v>
      </x:c>
      <x:c r="AG1284" s="15" t="n">
        <x:f>'기준스탯 72종'!K59*H1284</x:f>
        <x:v>0.4800000000000001</x:v>
      </x:c>
    </x:row>
    <x:row r="1285" ht="28" customHeight="1">
      <x:c r="A1285" s="2" t="n">
        <x:v>1278</x:v>
      </x:c>
      <x:c r="B1285" s="2" t="n">
        <x:v>52</x:v>
      </x:c>
      <x:c r="C1285" s="2" t="str">
        <x:v>사수자리</x:v>
      </x:c>
      <x:c r="D1285" s="2" t="str">
        <x:v>정령사</x:v>
      </x:c>
      <x:c r="E1285" s="2" t="n">
        <x:v>3</x:v>
      </x:c>
      <x:c r="F1285" s="2" t="n">
        <x:v>1</x:v>
      </x:c>
      <x:c r="G1285" s="14" t="n">
        <x:f>('레벨 계산식'!$E$4-E1285)*'레벨 계산식'!$B$5</x:f>
        <x:v>0.27999999999999997</x:v>
      </x:c>
      <x:c r="H1285" s="14" t="n">
        <x:f>('등급 계산식'!$E$4-F1285)*'등급 계산식'!$B$5</x:f>
        <x:v>0.24000000000000005</x:v>
      </x:c>
      <x:c r="I1285" s="14" t="n">
        <x:f>1-G1285-H1285</x:f>
        <x:v>0.4799999999999999</x:v>
      </x:c>
      <x:c r="J1285" s="2" t="n">
        <x:f>MAX(1,ROUND('기준스탯 72종'!D59-R1285-Z1285,0))</x:f>
        <x:v>3</x:v>
      </x:c>
      <x:c r="K1285" s="2" t="n">
        <x:f>MAX(1,ROUND('기준스탯 72종'!E59-S1285-AA1285,0))</x:f>
        <x:v>3</x:v>
      </x:c>
      <x:c r="L1285" s="2" t="n">
        <x:f>MAX(1,ROUND('기준스탯 72종'!F59-T1285-AB1285,0))</x:f>
        <x:v>4</x:v>
      </x:c>
      <x:c r="M1285" s="2" t="n">
        <x:f>MAX(1,ROUND('기준스탯 72종'!G59-U1285-AC1285,0))</x:f>
        <x:v>4</x:v>
      </x:c>
      <x:c r="N1285" s="2" t="n">
        <x:f>MAX(0,ROUND('기준스탯 72종'!H59-V1285-AD1285,0))</x:f>
        <x:v>2</x:v>
      </x:c>
      <x:c r="O1285" s="2" t="n">
        <x:f>MAX(0,ROUND('기준스탯 72종'!I59-W1285-AE1285,0))</x:f>
        <x:v>2</x:v>
      </x:c>
      <x:c r="P1285" s="2" t="n">
        <x:f>MAX(0,ROUND('기준스탯 72종'!J59-X1285-AF1285,0))</x:f>
        <x:v>2</x:v>
      </x:c>
      <x:c r="Q1285" s="2" t="n">
        <x:f>MAX(0,ROUND('기준스탯 72종'!K59-Y1285-AG1285,0))</x:f>
        <x:v>1</x:v>
      </x:c>
      <x:c r="R1285" s="15" t="n">
        <x:f>'기준스탯 72종'!D59*G1285</x:f>
        <x:v>1.6799999999999997</x:v>
      </x:c>
      <x:c r="S1285" s="15" t="n">
        <x:f>'기준스탯 72종'!E59*G1285</x:f>
        <x:v>1.9599999999999997</x:v>
      </x:c>
      <x:c r="T1285" s="15" t="n">
        <x:f>'기준스탯 72종'!F59*G1285</x:f>
        <x:v>2.2399999999999998</x:v>
      </x:c>
      <x:c r="U1285" s="15" t="n">
        <x:f>'기준스탯 72종'!G59*G1285</x:f>
        <x:v>2.5199999999999996</x:v>
      </x:c>
      <x:c r="V1285" s="15" t="n">
        <x:f>'기준스탯 72종'!H59*G1285</x:f>
        <x:v>1.4</x:v>
      </x:c>
      <x:c r="W1285" s="15" t="n">
        <x:f>'기준스탯 72종'!I59*G1285</x:f>
        <x:v>1.1199999999999999</x:v>
      </x:c>
      <x:c r="X1285" s="15" t="n">
        <x:f>'기준스탯 72종'!J59*G1285</x:f>
        <x:v>1.4</x:v>
      </x:c>
      <x:c r="Y1285" s="15" t="n">
        <x:f>'기준스탯 72종'!K59*G1285</x:f>
        <x:v>0.5599999999999999</x:v>
      </x:c>
      <x:c r="Z1285" s="15" t="n">
        <x:f>'기준스탯 72종'!D59*H1285</x:f>
        <x:v>1.4400000000000004</x:v>
      </x:c>
      <x:c r="AA1285" s="15" t="n">
        <x:f>'기준스탯 72종'!E59*H1285</x:f>
        <x:v>1.6800000000000004</x:v>
      </x:c>
      <x:c r="AB1285" s="15" t="n">
        <x:f>'기준스탯 72종'!F59*H1285</x:f>
        <x:v>1.9200000000000004</x:v>
      </x:c>
      <x:c r="AC1285" s="15" t="n">
        <x:f>'기준스탯 72종'!G59*H1285</x:f>
        <x:v>2.1600000000000006</x:v>
      </x:c>
      <x:c r="AD1285" s="15" t="n">
        <x:f>'기준스탯 72종'!H59*H1285</x:f>
        <x:v>1.2000000000000002</x:v>
      </x:c>
      <x:c r="AE1285" s="15" t="n">
        <x:f>'기준스탯 72종'!I59*H1285</x:f>
        <x:v>0.9600000000000002</x:v>
      </x:c>
      <x:c r="AF1285" s="15" t="n">
        <x:f>'기준스탯 72종'!J59*H1285</x:f>
        <x:v>1.2000000000000002</x:v>
      </x:c>
      <x:c r="AG1285" s="15" t="n">
        <x:f>'기준스탯 72종'!K59*H1285</x:f>
        <x:v>0.4800000000000001</x:v>
      </x:c>
    </x:row>
    <x:row r="1286" ht="28" customHeight="1">
      <x:c r="A1286" s="2" t="n">
        <x:v>1279</x:v>
      </x:c>
      <x:c r="B1286" s="2" t="n">
        <x:v>52</x:v>
      </x:c>
      <x:c r="C1286" s="2" t="str">
        <x:v>사수자리</x:v>
      </x:c>
      <x:c r="D1286" s="2" t="str">
        <x:v>정령사</x:v>
      </x:c>
      <x:c r="E1286" s="2" t="n">
        <x:v>4</x:v>
      </x:c>
      <x:c r="F1286" s="2" t="n">
        <x:v>1</x:v>
      </x:c>
      <x:c r="G1286" s="14" t="n">
        <x:f>('레벨 계산식'!$E$4-E1286)*'레벨 계산식'!$B$5</x:f>
        <x:v>0.13999999999999999</x:v>
      </x:c>
      <x:c r="H1286" s="14" t="n">
        <x:f>('등급 계산식'!$E$4-F1286)*'등급 계산식'!$B$5</x:f>
        <x:v>0.24000000000000005</x:v>
      </x:c>
      <x:c r="I1286" s="14" t="n">
        <x:f>1-G1286-H1286</x:f>
        <x:v>0.6199999999999999</x:v>
      </x:c>
      <x:c r="J1286" s="2" t="n">
        <x:f>MAX(1,ROUND('기준스탯 72종'!D59-R1286-Z1286,0))</x:f>
        <x:v>4</x:v>
      </x:c>
      <x:c r="K1286" s="2" t="n">
        <x:f>MAX(1,ROUND('기준스탯 72종'!E59-S1286-AA1286,0))</x:f>
        <x:v>4</x:v>
      </x:c>
      <x:c r="L1286" s="2" t="n">
        <x:f>MAX(1,ROUND('기준스탯 72종'!F59-T1286-AB1286,0))</x:f>
        <x:v>5</x:v>
      </x:c>
      <x:c r="M1286" s="2" t="n">
        <x:f>MAX(1,ROUND('기준스탯 72종'!G59-U1286-AC1286,0))</x:f>
        <x:v>6</x:v>
      </x:c>
      <x:c r="N1286" s="2" t="n">
        <x:f>MAX(0,ROUND('기준스탯 72종'!H59-V1286-AD1286,0))</x:f>
        <x:v>3</x:v>
      </x:c>
      <x:c r="O1286" s="2" t="n">
        <x:f>MAX(0,ROUND('기준스탯 72종'!I59-W1286-AE1286,0))</x:f>
        <x:v>2</x:v>
      </x:c>
      <x:c r="P1286" s="2" t="n">
        <x:f>MAX(0,ROUND('기준스탯 72종'!J59-X1286-AF1286,0))</x:f>
        <x:v>3</x:v>
      </x:c>
      <x:c r="Q1286" s="2" t="n">
        <x:f>MAX(0,ROUND('기준스탯 72종'!K59-Y1286-AG1286,0))</x:f>
        <x:v>1</x:v>
      </x:c>
      <x:c r="R1286" s="15" t="n">
        <x:f>'기준스탯 72종'!D59*G1286</x:f>
        <x:v>0.8399999999999999</x:v>
      </x:c>
      <x:c r="S1286" s="15" t="n">
        <x:f>'기준스탯 72종'!E59*G1286</x:f>
        <x:v>0.9799999999999999</x:v>
      </x:c>
      <x:c r="T1286" s="15" t="n">
        <x:f>'기준스탯 72종'!F59*G1286</x:f>
        <x:v>1.1199999999999999</x:v>
      </x:c>
      <x:c r="U1286" s="15" t="n">
        <x:f>'기준스탯 72종'!G59*G1286</x:f>
        <x:v>1.2599999999999998</x:v>
      </x:c>
      <x:c r="V1286" s="15" t="n">
        <x:f>'기준스탯 72종'!H59*G1286</x:f>
        <x:v>0.7</x:v>
      </x:c>
      <x:c r="W1286" s="15" t="n">
        <x:f>'기준스탯 72종'!I59*G1286</x:f>
        <x:v>0.5599999999999999</x:v>
      </x:c>
      <x:c r="X1286" s="15" t="n">
        <x:f>'기준스탯 72종'!J59*G1286</x:f>
        <x:v>0.7</x:v>
      </x:c>
      <x:c r="Y1286" s="15" t="n">
        <x:f>'기준스탯 72종'!K59*G1286</x:f>
        <x:v>0.27999999999999997</x:v>
      </x:c>
      <x:c r="Z1286" s="15" t="n">
        <x:f>'기준스탯 72종'!D59*H1286</x:f>
        <x:v>1.4400000000000004</x:v>
      </x:c>
      <x:c r="AA1286" s="15" t="n">
        <x:f>'기준스탯 72종'!E59*H1286</x:f>
        <x:v>1.6800000000000004</x:v>
      </x:c>
      <x:c r="AB1286" s="15" t="n">
        <x:f>'기준스탯 72종'!F59*H1286</x:f>
        <x:v>1.9200000000000004</x:v>
      </x:c>
      <x:c r="AC1286" s="15" t="n">
        <x:f>'기준스탯 72종'!G59*H1286</x:f>
        <x:v>2.1600000000000006</x:v>
      </x:c>
      <x:c r="AD1286" s="15" t="n">
        <x:f>'기준스탯 72종'!H59*H1286</x:f>
        <x:v>1.2000000000000002</x:v>
      </x:c>
      <x:c r="AE1286" s="15" t="n">
        <x:f>'기준스탯 72종'!I59*H1286</x:f>
        <x:v>0.9600000000000002</x:v>
      </x:c>
      <x:c r="AF1286" s="15" t="n">
        <x:f>'기준스탯 72종'!J59*H1286</x:f>
        <x:v>1.2000000000000002</x:v>
      </x:c>
      <x:c r="AG1286" s="15" t="n">
        <x:f>'기준스탯 72종'!K59*H1286</x:f>
        <x:v>0.4800000000000001</x:v>
      </x:c>
    </x:row>
    <x:row r="1287" ht="28" customHeight="1">
      <x:c r="A1287" s="2" t="n">
        <x:v>1280</x:v>
      </x:c>
      <x:c r="B1287" s="2" t="n">
        <x:v>52</x:v>
      </x:c>
      <x:c r="C1287" s="2" t="str">
        <x:v>사수자리</x:v>
      </x:c>
      <x:c r="D1287" s="2" t="str">
        <x:v>정령사</x:v>
      </x:c>
      <x:c r="E1287" s="2" t="n">
        <x:v>5</x:v>
      </x:c>
      <x:c r="F1287" s="2" t="n">
        <x:v>1</x:v>
      </x:c>
      <x:c r="G1287" s="14" t="n">
        <x:f>('레벨 계산식'!$E$4-E1287)*'레벨 계산식'!$B$5</x:f>
        <x:v>0</x:v>
      </x:c>
      <x:c r="H1287" s="14" t="n">
        <x:f>('등급 계산식'!$E$4-F1287)*'등급 계산식'!$B$5</x:f>
        <x:v>0.24000000000000005</x:v>
      </x:c>
      <x:c r="I1287" s="14" t="n">
        <x:f>1-G1287-H1287</x:f>
        <x:v>0.76</x:v>
      </x:c>
      <x:c r="J1287" s="2" t="n">
        <x:f>MAX(1,ROUND('기준스탯 72종'!D59-R1287-Z1287,0))</x:f>
        <x:v>5</x:v>
      </x:c>
      <x:c r="K1287" s="2" t="n">
        <x:f>MAX(1,ROUND('기준스탯 72종'!E59-S1287-AA1287,0))</x:f>
        <x:v>5</x:v>
      </x:c>
      <x:c r="L1287" s="2" t="n">
        <x:f>MAX(1,ROUND('기준스탯 72종'!F59-T1287-AB1287,0))</x:f>
        <x:v>6</x:v>
      </x:c>
      <x:c r="M1287" s="2" t="n">
        <x:f>MAX(1,ROUND('기준스탯 72종'!G59-U1287-AC1287,0))</x:f>
        <x:v>7</x:v>
      </x:c>
      <x:c r="N1287" s="2" t="n">
        <x:f>MAX(0,ROUND('기준스탯 72종'!H59-V1287-AD1287,0))</x:f>
        <x:v>4</x:v>
      </x:c>
      <x:c r="O1287" s="2" t="n">
        <x:f>MAX(0,ROUND('기준스탯 72종'!I59-W1287-AE1287,0))</x:f>
        <x:v>3</x:v>
      </x:c>
      <x:c r="P1287" s="2" t="n">
        <x:f>MAX(0,ROUND('기준스탯 72종'!J59-X1287-AF1287,0))</x:f>
        <x:v>4</x:v>
      </x:c>
      <x:c r="Q1287" s="2" t="n">
        <x:f>MAX(0,ROUND('기준스탯 72종'!K59-Y1287-AG1287,0))</x:f>
        <x:v>2</x:v>
      </x:c>
      <x:c r="R1287" s="15" t="n">
        <x:f>'기준스탯 72종'!D59*G1287</x:f>
        <x:v>0</x:v>
      </x:c>
      <x:c r="S1287" s="15" t="n">
        <x:f>'기준스탯 72종'!E59*G1287</x:f>
        <x:v>0</x:v>
      </x:c>
      <x:c r="T1287" s="15" t="n">
        <x:f>'기준스탯 72종'!F59*G1287</x:f>
        <x:v>0</x:v>
      </x:c>
      <x:c r="U1287" s="15" t="n">
        <x:f>'기준스탯 72종'!G59*G1287</x:f>
        <x:v>0</x:v>
      </x:c>
      <x:c r="V1287" s="15" t="n">
        <x:f>'기준스탯 72종'!H59*G1287</x:f>
        <x:v>0</x:v>
      </x:c>
      <x:c r="W1287" s="15" t="n">
        <x:f>'기준스탯 72종'!I59*G1287</x:f>
        <x:v>0</x:v>
      </x:c>
      <x:c r="X1287" s="15" t="n">
        <x:f>'기준스탯 72종'!J59*G1287</x:f>
        <x:v>0</x:v>
      </x:c>
      <x:c r="Y1287" s="15" t="n">
        <x:f>'기준스탯 72종'!K59*G1287</x:f>
        <x:v>0</x:v>
      </x:c>
      <x:c r="Z1287" s="15" t="n">
        <x:f>'기준스탯 72종'!D59*H1287</x:f>
        <x:v>1.4400000000000004</x:v>
      </x:c>
      <x:c r="AA1287" s="15" t="n">
        <x:f>'기준스탯 72종'!E59*H1287</x:f>
        <x:v>1.6800000000000004</x:v>
      </x:c>
      <x:c r="AB1287" s="15" t="n">
        <x:f>'기준스탯 72종'!F59*H1287</x:f>
        <x:v>1.9200000000000004</x:v>
      </x:c>
      <x:c r="AC1287" s="15" t="n">
        <x:f>'기준스탯 72종'!G59*H1287</x:f>
        <x:v>2.1600000000000006</x:v>
      </x:c>
      <x:c r="AD1287" s="15" t="n">
        <x:f>'기준스탯 72종'!H59*H1287</x:f>
        <x:v>1.2000000000000002</x:v>
      </x:c>
      <x:c r="AE1287" s="15" t="n">
        <x:f>'기준스탯 72종'!I59*H1287</x:f>
        <x:v>0.9600000000000002</x:v>
      </x:c>
      <x:c r="AF1287" s="15" t="n">
        <x:f>'기준스탯 72종'!J59*H1287</x:f>
        <x:v>1.2000000000000002</x:v>
      </x:c>
      <x:c r="AG1287" s="15" t="n">
        <x:f>'기준스탯 72종'!K59*H1287</x:f>
        <x:v>0.4800000000000001</x:v>
      </x:c>
    </x:row>
    <x:row r="1288" ht="28" customHeight="1">
      <x:c r="A1288" s="2" t="n">
        <x:v>1281</x:v>
      </x:c>
      <x:c r="B1288" s="2" t="n">
        <x:v>52</x:v>
      </x:c>
      <x:c r="C1288" s="2" t="str">
        <x:v>사수자리</x:v>
      </x:c>
      <x:c r="D1288" s="2" t="str">
        <x:v>정령사</x:v>
      </x:c>
      <x:c r="E1288" s="2" t="n">
        <x:v>1</x:v>
      </x:c>
      <x:c r="F1288" s="2" t="n">
        <x:v>2</x:v>
      </x:c>
      <x:c r="G1288" s="14" t="n">
        <x:f>('레벨 계산식'!$E$4-E1288)*'레벨 계산식'!$B$5</x:f>
        <x:v>0.5599999999999999</x:v>
      </x:c>
      <x:c r="H1288" s="14" t="n">
        <x:f>('등급 계산식'!$E$4-F1288)*'등급 계산식'!$B$5</x:f>
        <x:v>0.18000000000000005</x:v>
      </x:c>
      <x:c r="I1288" s="14" t="n">
        <x:f>1-G1288-H1288</x:f>
        <x:v>0.26</x:v>
      </x:c>
      <x:c r="J1288" s="2" t="n">
        <x:f>MAX(1,ROUND('기준스탯 72종'!D59-R1288-Z1288,0))</x:f>
        <x:v>2</x:v>
      </x:c>
      <x:c r="K1288" s="2" t="n">
        <x:f>MAX(1,ROUND('기준스탯 72종'!E59-S1288-AA1288,0))</x:f>
        <x:v>2</x:v>
      </x:c>
      <x:c r="L1288" s="2" t="n">
        <x:f>MAX(1,ROUND('기준스탯 72종'!F59-T1288-AB1288,0))</x:f>
        <x:v>2</x:v>
      </x:c>
      <x:c r="M1288" s="2" t="n">
        <x:f>MAX(1,ROUND('기준스탯 72종'!G59-U1288-AC1288,0))</x:f>
        <x:v>2</x:v>
      </x:c>
      <x:c r="N1288" s="2" t="n">
        <x:f>MAX(0,ROUND('기준스탯 72종'!H59-V1288-AD1288,0))</x:f>
        <x:v>1</x:v>
      </x:c>
      <x:c r="O1288" s="2" t="n">
        <x:f>MAX(0,ROUND('기준스탯 72종'!I59-W1288-AE1288,0))</x:f>
        <x:v>1</x:v>
      </x:c>
      <x:c r="P1288" s="2" t="n">
        <x:f>MAX(0,ROUND('기준스탯 72종'!J59-X1288-AF1288,0))</x:f>
        <x:v>1</x:v>
      </x:c>
      <x:c r="Q1288" s="2" t="n">
        <x:f>MAX(0,ROUND('기준스탯 72종'!K59-Y1288-AG1288,0))</x:f>
        <x:v>1</x:v>
      </x:c>
      <x:c r="R1288" s="15" t="n">
        <x:f>'기준스탯 72종'!D59*G1288</x:f>
        <x:v>3.3599999999999994</x:v>
      </x:c>
      <x:c r="S1288" s="15" t="n">
        <x:f>'기준스탯 72종'!E59*G1288</x:f>
        <x:v>3.9199999999999995</x:v>
      </x:c>
      <x:c r="T1288" s="15" t="n">
        <x:f>'기준스탯 72종'!F59*G1288</x:f>
        <x:v>4.4799999999999995</x:v>
      </x:c>
      <x:c r="U1288" s="15" t="n">
        <x:f>'기준스탯 72종'!G59*G1288</x:f>
        <x:v>5.039999999999999</x:v>
      </x:c>
      <x:c r="V1288" s="15" t="n">
        <x:f>'기준스탯 72종'!H59*G1288</x:f>
        <x:v>2.8</x:v>
      </x:c>
      <x:c r="W1288" s="15" t="n">
        <x:f>'기준스탯 72종'!I59*G1288</x:f>
        <x:v>2.2399999999999998</x:v>
      </x:c>
      <x:c r="X1288" s="15" t="n">
        <x:f>'기준스탯 72종'!J59*G1288</x:f>
        <x:v>2.8</x:v>
      </x:c>
      <x:c r="Y1288" s="15" t="n">
        <x:f>'기준스탯 72종'!K59*G1288</x:f>
        <x:v>1.1199999999999999</x:v>
      </x:c>
      <x:c r="Z1288" s="15" t="n">
        <x:f>'기준스탯 72종'!D59*H1288</x:f>
        <x:v>1.0800000000000003</x:v>
      </x:c>
      <x:c r="AA1288" s="15" t="n">
        <x:f>'기준스탯 72종'!E59*H1288</x:f>
        <x:v>1.2600000000000002</x:v>
      </x:c>
      <x:c r="AB1288" s="15" t="n">
        <x:f>'기준스탯 72종'!F59*H1288</x:f>
        <x:v>1.4400000000000004</x:v>
      </x:c>
      <x:c r="AC1288" s="15" t="n">
        <x:f>'기준스탯 72종'!G59*H1288</x:f>
        <x:v>1.6200000000000006</x:v>
      </x:c>
      <x:c r="AD1288" s="15" t="n">
        <x:f>'기준스탯 72종'!H59*H1288</x:f>
        <x:v>0.9000000000000002</x:v>
      </x:c>
      <x:c r="AE1288" s="15" t="n">
        <x:f>'기준스탯 72종'!I59*H1288</x:f>
        <x:v>0.7200000000000002</x:v>
      </x:c>
      <x:c r="AF1288" s="15" t="n">
        <x:f>'기준스탯 72종'!J59*H1288</x:f>
        <x:v>0.9000000000000002</x:v>
      </x:c>
      <x:c r="AG1288" s="15" t="n">
        <x:f>'기준스탯 72종'!K59*H1288</x:f>
        <x:v>0.3600000000000001</x:v>
      </x:c>
    </x:row>
    <x:row r="1289" ht="28" customHeight="1">
      <x:c r="A1289" s="2" t="n">
        <x:v>1282</x:v>
      </x:c>
      <x:c r="B1289" s="2" t="n">
        <x:v>52</x:v>
      </x:c>
      <x:c r="C1289" s="2" t="str">
        <x:v>사수자리</x:v>
      </x:c>
      <x:c r="D1289" s="2" t="str">
        <x:v>정령사</x:v>
      </x:c>
      <x:c r="E1289" s="2" t="n">
        <x:v>2</x:v>
      </x:c>
      <x:c r="F1289" s="2" t="n">
        <x:v>2</x:v>
      </x:c>
      <x:c r="G1289" s="14" t="n">
        <x:f>('레벨 계산식'!$E$4-E1289)*'레벨 계산식'!$B$5</x:f>
        <x:v>0.41999999999999993</x:v>
      </x:c>
      <x:c r="H1289" s="14" t="n">
        <x:f>('등급 계산식'!$E$4-F1289)*'등급 계산식'!$B$5</x:f>
        <x:v>0.18000000000000005</x:v>
      </x:c>
      <x:c r="I1289" s="14" t="n">
        <x:f>1-G1289-H1289</x:f>
        <x:v>0.4</x:v>
      </x:c>
      <x:c r="J1289" s="2" t="n">
        <x:f>MAX(1,ROUND('기준스탯 72종'!D59-R1289-Z1289,0))</x:f>
        <x:v>2</x:v>
      </x:c>
      <x:c r="K1289" s="2" t="n">
        <x:f>MAX(1,ROUND('기준스탯 72종'!E59-S1289-AA1289,0))</x:f>
        <x:v>3</x:v>
      </x:c>
      <x:c r="L1289" s="2" t="n">
        <x:f>MAX(1,ROUND('기준스탯 72종'!F59-T1289-AB1289,0))</x:f>
        <x:v>3</x:v>
      </x:c>
      <x:c r="M1289" s="2" t="n">
        <x:f>MAX(1,ROUND('기준스탯 72종'!G59-U1289-AC1289,0))</x:f>
        <x:v>4</x:v>
      </x:c>
      <x:c r="N1289" s="2" t="n">
        <x:f>MAX(0,ROUND('기준스탯 72종'!H59-V1289-AD1289,0))</x:f>
        <x:v>2</x:v>
      </x:c>
      <x:c r="O1289" s="2" t="n">
        <x:f>MAX(0,ROUND('기준스탯 72종'!I59-W1289-AE1289,0))</x:f>
        <x:v>2</x:v>
      </x:c>
      <x:c r="P1289" s="2" t="n">
        <x:f>MAX(0,ROUND('기준스탯 72종'!J59-X1289-AF1289,0))</x:f>
        <x:v>2</x:v>
      </x:c>
      <x:c r="Q1289" s="2" t="n">
        <x:f>MAX(0,ROUND('기준스탯 72종'!K59-Y1289-AG1289,0))</x:f>
        <x:v>1</x:v>
      </x:c>
      <x:c r="R1289" s="15" t="n">
        <x:f>'기준스탯 72종'!D59*G1289</x:f>
        <x:v>2.5199999999999996</x:v>
      </x:c>
      <x:c r="S1289" s="15" t="n">
        <x:f>'기준스탯 72종'!E59*G1289</x:f>
        <x:v>2.9399999999999995</x:v>
      </x:c>
      <x:c r="T1289" s="15" t="n">
        <x:f>'기준스탯 72종'!F59*G1289</x:f>
        <x:v>3.3599999999999994</x:v>
      </x:c>
      <x:c r="U1289" s="15" t="n">
        <x:f>'기준스탯 72종'!G59*G1289</x:f>
        <x:v>3.7799999999999994</x:v>
      </x:c>
      <x:c r="V1289" s="15" t="n">
        <x:f>'기준스탯 72종'!H59*G1289</x:f>
        <x:v>2.0999999999999996</x:v>
      </x:c>
      <x:c r="W1289" s="15" t="n">
        <x:f>'기준스탯 72종'!I59*G1289</x:f>
        <x:v>1.6799999999999997</x:v>
      </x:c>
      <x:c r="X1289" s="15" t="n">
        <x:f>'기준스탯 72종'!J59*G1289</x:f>
        <x:v>2.0999999999999996</x:v>
      </x:c>
      <x:c r="Y1289" s="15" t="n">
        <x:f>'기준스탯 72종'!K59*G1289</x:f>
        <x:v>0.8399999999999999</x:v>
      </x:c>
      <x:c r="Z1289" s="15" t="n">
        <x:f>'기준스탯 72종'!D59*H1289</x:f>
        <x:v>1.0800000000000003</x:v>
      </x:c>
      <x:c r="AA1289" s="15" t="n">
        <x:f>'기준스탯 72종'!E59*H1289</x:f>
        <x:v>1.2600000000000002</x:v>
      </x:c>
      <x:c r="AB1289" s="15" t="n">
        <x:f>'기준스탯 72종'!F59*H1289</x:f>
        <x:v>1.4400000000000004</x:v>
      </x:c>
      <x:c r="AC1289" s="15" t="n">
        <x:f>'기준스탯 72종'!G59*H1289</x:f>
        <x:v>1.6200000000000006</x:v>
      </x:c>
      <x:c r="AD1289" s="15" t="n">
        <x:f>'기준스탯 72종'!H59*H1289</x:f>
        <x:v>0.9000000000000002</x:v>
      </x:c>
      <x:c r="AE1289" s="15" t="n">
        <x:f>'기준스탯 72종'!I59*H1289</x:f>
        <x:v>0.7200000000000002</x:v>
      </x:c>
      <x:c r="AF1289" s="15" t="n">
        <x:f>'기준스탯 72종'!J59*H1289</x:f>
        <x:v>0.9000000000000002</x:v>
      </x:c>
      <x:c r="AG1289" s="15" t="n">
        <x:f>'기준스탯 72종'!K59*H1289</x:f>
        <x:v>0.3600000000000001</x:v>
      </x:c>
    </x:row>
    <x:row r="1290" ht="28" customHeight="1">
      <x:c r="A1290" s="2" t="n">
        <x:v>1283</x:v>
      </x:c>
      <x:c r="B1290" s="2" t="n">
        <x:v>52</x:v>
      </x:c>
      <x:c r="C1290" s="2" t="str">
        <x:v>사수자리</x:v>
      </x:c>
      <x:c r="D1290" s="2" t="str">
        <x:v>정령사</x:v>
      </x:c>
      <x:c r="E1290" s="2" t="n">
        <x:v>3</x:v>
      </x:c>
      <x:c r="F1290" s="2" t="n">
        <x:v>2</x:v>
      </x:c>
      <x:c r="G1290" s="14" t="n">
        <x:f>('레벨 계산식'!$E$4-E1290)*'레벨 계산식'!$B$5</x:f>
        <x:v>0.27999999999999997</x:v>
      </x:c>
      <x:c r="H1290" s="14" t="n">
        <x:f>('등급 계산식'!$E$4-F1290)*'등급 계산식'!$B$5</x:f>
        <x:v>0.18000000000000005</x:v>
      </x:c>
      <x:c r="I1290" s="14" t="n">
        <x:f>1-G1290-H1290</x:f>
        <x:v>0.5399999999999999</x:v>
      </x:c>
      <x:c r="J1290" s="2" t="n">
        <x:f>MAX(1,ROUND('기준스탯 72종'!D59-R1290-Z1290,0))</x:f>
        <x:v>3</x:v>
      </x:c>
      <x:c r="K1290" s="2" t="n">
        <x:f>MAX(1,ROUND('기준스탯 72종'!E59-S1290-AA1290,0))</x:f>
        <x:v>4</x:v>
      </x:c>
      <x:c r="L1290" s="2" t="n">
        <x:f>MAX(1,ROUND('기준스탯 72종'!F59-T1290-AB1290,0))</x:f>
        <x:v>4</x:v>
      </x:c>
      <x:c r="M1290" s="2" t="n">
        <x:f>MAX(1,ROUND('기준스탯 72종'!G59-U1290-AC1290,0))</x:f>
        <x:v>5</x:v>
      </x:c>
      <x:c r="N1290" s="2" t="n">
        <x:f>MAX(0,ROUND('기준스탯 72종'!H59-V1290-AD1290,0))</x:f>
        <x:v>3</x:v>
      </x:c>
      <x:c r="O1290" s="2" t="n">
        <x:f>MAX(0,ROUND('기준스탯 72종'!I59-W1290-AE1290,0))</x:f>
        <x:v>2</x:v>
      </x:c>
      <x:c r="P1290" s="2" t="n">
        <x:f>MAX(0,ROUND('기준스탯 72종'!J59-X1290-AF1290,0))</x:f>
        <x:v>3</x:v>
      </x:c>
      <x:c r="Q1290" s="2" t="n">
        <x:f>MAX(0,ROUND('기준스탯 72종'!K59-Y1290-AG1290,0))</x:f>
        <x:v>1</x:v>
      </x:c>
      <x:c r="R1290" s="15" t="n">
        <x:f>'기준스탯 72종'!D59*G1290</x:f>
        <x:v>1.6799999999999997</x:v>
      </x:c>
      <x:c r="S1290" s="15" t="n">
        <x:f>'기준스탯 72종'!E59*G1290</x:f>
        <x:v>1.9599999999999997</x:v>
      </x:c>
      <x:c r="T1290" s="15" t="n">
        <x:f>'기준스탯 72종'!F59*G1290</x:f>
        <x:v>2.2399999999999998</x:v>
      </x:c>
      <x:c r="U1290" s="15" t="n">
        <x:f>'기준스탯 72종'!G59*G1290</x:f>
        <x:v>2.5199999999999996</x:v>
      </x:c>
      <x:c r="V1290" s="15" t="n">
        <x:f>'기준스탯 72종'!H59*G1290</x:f>
        <x:v>1.4</x:v>
      </x:c>
      <x:c r="W1290" s="15" t="n">
        <x:f>'기준스탯 72종'!I59*G1290</x:f>
        <x:v>1.1199999999999999</x:v>
      </x:c>
      <x:c r="X1290" s="15" t="n">
        <x:f>'기준스탯 72종'!J59*G1290</x:f>
        <x:v>1.4</x:v>
      </x:c>
      <x:c r="Y1290" s="15" t="n">
        <x:f>'기준스탯 72종'!K59*G1290</x:f>
        <x:v>0.5599999999999999</x:v>
      </x:c>
      <x:c r="Z1290" s="15" t="n">
        <x:f>'기준스탯 72종'!D59*H1290</x:f>
        <x:v>1.0800000000000003</x:v>
      </x:c>
      <x:c r="AA1290" s="15" t="n">
        <x:f>'기준스탯 72종'!E59*H1290</x:f>
        <x:v>1.2600000000000002</x:v>
      </x:c>
      <x:c r="AB1290" s="15" t="n">
        <x:f>'기준스탯 72종'!F59*H1290</x:f>
        <x:v>1.4400000000000004</x:v>
      </x:c>
      <x:c r="AC1290" s="15" t="n">
        <x:f>'기준스탯 72종'!G59*H1290</x:f>
        <x:v>1.6200000000000006</x:v>
      </x:c>
      <x:c r="AD1290" s="15" t="n">
        <x:f>'기준스탯 72종'!H59*H1290</x:f>
        <x:v>0.9000000000000002</x:v>
      </x:c>
      <x:c r="AE1290" s="15" t="n">
        <x:f>'기준스탯 72종'!I59*H1290</x:f>
        <x:v>0.7200000000000002</x:v>
      </x:c>
      <x:c r="AF1290" s="15" t="n">
        <x:f>'기준스탯 72종'!J59*H1290</x:f>
        <x:v>0.9000000000000002</x:v>
      </x:c>
      <x:c r="AG1290" s="15" t="n">
        <x:f>'기준스탯 72종'!K59*H1290</x:f>
        <x:v>0.3600000000000001</x:v>
      </x:c>
    </x:row>
    <x:row r="1291" ht="28" customHeight="1">
      <x:c r="A1291" s="2" t="n">
        <x:v>1284</x:v>
      </x:c>
      <x:c r="B1291" s="2" t="n">
        <x:v>52</x:v>
      </x:c>
      <x:c r="C1291" s="2" t="str">
        <x:v>사수자리</x:v>
      </x:c>
      <x:c r="D1291" s="2" t="str">
        <x:v>정령사</x:v>
      </x:c>
      <x:c r="E1291" s="2" t="n">
        <x:v>4</x:v>
      </x:c>
      <x:c r="F1291" s="2" t="n">
        <x:v>2</x:v>
      </x:c>
      <x:c r="G1291" s="14" t="n">
        <x:f>('레벨 계산식'!$E$4-E1291)*'레벨 계산식'!$B$5</x:f>
        <x:v>0.13999999999999999</x:v>
      </x:c>
      <x:c r="H1291" s="14" t="n">
        <x:f>('등급 계산식'!$E$4-F1291)*'등급 계산식'!$B$5</x:f>
        <x:v>0.18000000000000005</x:v>
      </x:c>
      <x:c r="I1291" s="14" t="n">
        <x:f>1-G1291-H1291</x:f>
        <x:v>0.6799999999999999</x:v>
      </x:c>
      <x:c r="J1291" s="2" t="n">
        <x:f>MAX(1,ROUND('기준스탯 72종'!D59-R1291-Z1291,0))</x:f>
        <x:v>4</x:v>
      </x:c>
      <x:c r="K1291" s="2" t="n">
        <x:f>MAX(1,ROUND('기준스탯 72종'!E59-S1291-AA1291,0))</x:f>
        <x:v>5</x:v>
      </x:c>
      <x:c r="L1291" s="2" t="n">
        <x:f>MAX(1,ROUND('기준스탯 72종'!F59-T1291-AB1291,0))</x:f>
        <x:v>5</x:v>
      </x:c>
      <x:c r="M1291" s="2" t="n">
        <x:f>MAX(1,ROUND('기준스탯 72종'!G59-U1291-AC1291,0))</x:f>
        <x:v>6</x:v>
      </x:c>
      <x:c r="N1291" s="2" t="n">
        <x:f>MAX(0,ROUND('기준스탯 72종'!H59-V1291-AD1291,0))</x:f>
        <x:v>3</x:v>
      </x:c>
      <x:c r="O1291" s="2" t="n">
        <x:f>MAX(0,ROUND('기준스탯 72종'!I59-W1291-AE1291,0))</x:f>
        <x:v>3</x:v>
      </x:c>
      <x:c r="P1291" s="2" t="n">
        <x:f>MAX(0,ROUND('기준스탯 72종'!J59-X1291-AF1291,0))</x:f>
        <x:v>3</x:v>
      </x:c>
      <x:c r="Q1291" s="2" t="n">
        <x:f>MAX(0,ROUND('기준스탯 72종'!K59-Y1291-AG1291,0))</x:f>
        <x:v>1</x:v>
      </x:c>
      <x:c r="R1291" s="15" t="n">
        <x:f>'기준스탯 72종'!D59*G1291</x:f>
        <x:v>0.8399999999999999</x:v>
      </x:c>
      <x:c r="S1291" s="15" t="n">
        <x:f>'기준스탯 72종'!E59*G1291</x:f>
        <x:v>0.9799999999999999</x:v>
      </x:c>
      <x:c r="T1291" s="15" t="n">
        <x:f>'기준스탯 72종'!F59*G1291</x:f>
        <x:v>1.1199999999999999</x:v>
      </x:c>
      <x:c r="U1291" s="15" t="n">
        <x:f>'기준스탯 72종'!G59*G1291</x:f>
        <x:v>1.2599999999999998</x:v>
      </x:c>
      <x:c r="V1291" s="15" t="n">
        <x:f>'기준스탯 72종'!H59*G1291</x:f>
        <x:v>0.7</x:v>
      </x:c>
      <x:c r="W1291" s="15" t="n">
        <x:f>'기준스탯 72종'!I59*G1291</x:f>
        <x:v>0.5599999999999999</x:v>
      </x:c>
      <x:c r="X1291" s="15" t="n">
        <x:f>'기준스탯 72종'!J59*G1291</x:f>
        <x:v>0.7</x:v>
      </x:c>
      <x:c r="Y1291" s="15" t="n">
        <x:f>'기준스탯 72종'!K59*G1291</x:f>
        <x:v>0.27999999999999997</x:v>
      </x:c>
      <x:c r="Z1291" s="15" t="n">
        <x:f>'기준스탯 72종'!D59*H1291</x:f>
        <x:v>1.0800000000000003</x:v>
      </x:c>
      <x:c r="AA1291" s="15" t="n">
        <x:f>'기준스탯 72종'!E59*H1291</x:f>
        <x:v>1.2600000000000002</x:v>
      </x:c>
      <x:c r="AB1291" s="15" t="n">
        <x:f>'기준스탯 72종'!F59*H1291</x:f>
        <x:v>1.4400000000000004</x:v>
      </x:c>
      <x:c r="AC1291" s="15" t="n">
        <x:f>'기준스탯 72종'!G59*H1291</x:f>
        <x:v>1.6200000000000006</x:v>
      </x:c>
      <x:c r="AD1291" s="15" t="n">
        <x:f>'기준스탯 72종'!H59*H1291</x:f>
        <x:v>0.9000000000000002</x:v>
      </x:c>
      <x:c r="AE1291" s="15" t="n">
        <x:f>'기준스탯 72종'!I59*H1291</x:f>
        <x:v>0.7200000000000002</x:v>
      </x:c>
      <x:c r="AF1291" s="15" t="n">
        <x:f>'기준스탯 72종'!J59*H1291</x:f>
        <x:v>0.9000000000000002</x:v>
      </x:c>
      <x:c r="AG1291" s="15" t="n">
        <x:f>'기준스탯 72종'!K59*H1291</x:f>
        <x:v>0.3600000000000001</x:v>
      </x:c>
    </x:row>
    <x:row r="1292" ht="28" customHeight="1">
      <x:c r="A1292" s="2" t="n">
        <x:v>1285</x:v>
      </x:c>
      <x:c r="B1292" s="2" t="n">
        <x:v>52</x:v>
      </x:c>
      <x:c r="C1292" s="2" t="str">
        <x:v>사수자리</x:v>
      </x:c>
      <x:c r="D1292" s="2" t="str">
        <x:v>정령사</x:v>
      </x:c>
      <x:c r="E1292" s="2" t="n">
        <x:v>5</x:v>
      </x:c>
      <x:c r="F1292" s="2" t="n">
        <x:v>2</x:v>
      </x:c>
      <x:c r="G1292" s="14" t="n">
        <x:f>('레벨 계산식'!$E$4-E1292)*'레벨 계산식'!$B$5</x:f>
        <x:v>0</x:v>
      </x:c>
      <x:c r="H1292" s="14" t="n">
        <x:f>('등급 계산식'!$E$4-F1292)*'등급 계산식'!$B$5</x:f>
        <x:v>0.18000000000000005</x:v>
      </x:c>
      <x:c r="I1292" s="14" t="n">
        <x:f>1-G1292-H1292</x:f>
        <x:v>0.82</x:v>
      </x:c>
      <x:c r="J1292" s="2" t="n">
        <x:f>MAX(1,ROUND('기준스탯 72종'!D59-R1292-Z1292,0))</x:f>
        <x:v>5</x:v>
      </x:c>
      <x:c r="K1292" s="2" t="n">
        <x:f>MAX(1,ROUND('기준스탯 72종'!E59-S1292-AA1292,0))</x:f>
        <x:v>6</x:v>
      </x:c>
      <x:c r="L1292" s="2" t="n">
        <x:f>MAX(1,ROUND('기준스탯 72종'!F59-T1292-AB1292,0))</x:f>
        <x:v>7</x:v>
      </x:c>
      <x:c r="M1292" s="2" t="n">
        <x:f>MAX(1,ROUND('기준스탯 72종'!G59-U1292-AC1292,0))</x:f>
        <x:v>7</x:v>
      </x:c>
      <x:c r="N1292" s="2" t="n">
        <x:f>MAX(0,ROUND('기준스탯 72종'!H59-V1292-AD1292,0))</x:f>
        <x:v>4</x:v>
      </x:c>
      <x:c r="O1292" s="2" t="n">
        <x:f>MAX(0,ROUND('기준스탯 72종'!I59-W1292-AE1292,0))</x:f>
        <x:v>3</x:v>
      </x:c>
      <x:c r="P1292" s="2" t="n">
        <x:f>MAX(0,ROUND('기준스탯 72종'!J59-X1292-AF1292,0))</x:f>
        <x:v>4</x:v>
      </x:c>
      <x:c r="Q1292" s="2" t="n">
        <x:f>MAX(0,ROUND('기준스탯 72종'!K59-Y1292-AG1292,0))</x:f>
        <x:v>2</x:v>
      </x:c>
      <x:c r="R1292" s="15" t="n">
        <x:f>'기준스탯 72종'!D59*G1292</x:f>
        <x:v>0</x:v>
      </x:c>
      <x:c r="S1292" s="15" t="n">
        <x:f>'기준스탯 72종'!E59*G1292</x:f>
        <x:v>0</x:v>
      </x:c>
      <x:c r="T1292" s="15" t="n">
        <x:f>'기준스탯 72종'!F59*G1292</x:f>
        <x:v>0</x:v>
      </x:c>
      <x:c r="U1292" s="15" t="n">
        <x:f>'기준스탯 72종'!G59*G1292</x:f>
        <x:v>0</x:v>
      </x:c>
      <x:c r="V1292" s="15" t="n">
        <x:f>'기준스탯 72종'!H59*G1292</x:f>
        <x:v>0</x:v>
      </x:c>
      <x:c r="W1292" s="15" t="n">
        <x:f>'기준스탯 72종'!I59*G1292</x:f>
        <x:v>0</x:v>
      </x:c>
      <x:c r="X1292" s="15" t="n">
        <x:f>'기준스탯 72종'!J59*G1292</x:f>
        <x:v>0</x:v>
      </x:c>
      <x:c r="Y1292" s="15" t="n">
        <x:f>'기준스탯 72종'!K59*G1292</x:f>
        <x:v>0</x:v>
      </x:c>
      <x:c r="Z1292" s="15" t="n">
        <x:f>'기준스탯 72종'!D59*H1292</x:f>
        <x:v>1.0800000000000003</x:v>
      </x:c>
      <x:c r="AA1292" s="15" t="n">
        <x:f>'기준스탯 72종'!E59*H1292</x:f>
        <x:v>1.2600000000000002</x:v>
      </x:c>
      <x:c r="AB1292" s="15" t="n">
        <x:f>'기준스탯 72종'!F59*H1292</x:f>
        <x:v>1.4400000000000004</x:v>
      </x:c>
      <x:c r="AC1292" s="15" t="n">
        <x:f>'기준스탯 72종'!G59*H1292</x:f>
        <x:v>1.6200000000000006</x:v>
      </x:c>
      <x:c r="AD1292" s="15" t="n">
        <x:f>'기준스탯 72종'!H59*H1292</x:f>
        <x:v>0.9000000000000002</x:v>
      </x:c>
      <x:c r="AE1292" s="15" t="n">
        <x:f>'기준스탯 72종'!I59*H1292</x:f>
        <x:v>0.7200000000000002</x:v>
      </x:c>
      <x:c r="AF1292" s="15" t="n">
        <x:f>'기준스탯 72종'!J59*H1292</x:f>
        <x:v>0.9000000000000002</x:v>
      </x:c>
      <x:c r="AG1292" s="15" t="n">
        <x:f>'기준스탯 72종'!K59*H1292</x:f>
        <x:v>0.3600000000000001</x:v>
      </x:c>
    </x:row>
    <x:row r="1293" ht="28" customHeight="1">
      <x:c r="A1293" s="2" t="n">
        <x:v>1286</x:v>
      </x:c>
      <x:c r="B1293" s="2" t="n">
        <x:v>52</x:v>
      </x:c>
      <x:c r="C1293" s="2" t="str">
        <x:v>사수자리</x:v>
      </x:c>
      <x:c r="D1293" s="2" t="str">
        <x:v>정령사</x:v>
      </x:c>
      <x:c r="E1293" s="2" t="n">
        <x:v>1</x:v>
      </x:c>
      <x:c r="F1293" s="2" t="n">
        <x:v>3</x:v>
      </x:c>
      <x:c r="G1293" s="14" t="n">
        <x:f>('레벨 계산식'!$E$4-E1293)*'레벨 계산식'!$B$5</x:f>
        <x:v>0.5599999999999999</x:v>
      </x:c>
      <x:c r="H1293" s="14" t="n">
        <x:f>('등급 계산식'!$E$4-F1293)*'등급 계산식'!$B$5</x:f>
        <x:v>0.12000000000000002</x:v>
      </x:c>
      <x:c r="I1293" s="14" t="n">
        <x:f>1-G1293-H1293</x:f>
        <x:v>0.32000000000000006</x:v>
      </x:c>
      <x:c r="J1293" s="2" t="n">
        <x:f>MAX(1,ROUND('기준스탯 72종'!D59-R1293-Z1293,0))</x:f>
        <x:v>2</x:v>
      </x:c>
      <x:c r="K1293" s="2" t="n">
        <x:f>MAX(1,ROUND('기준스탯 72종'!E59-S1293-AA1293,0))</x:f>
        <x:v>2</x:v>
      </x:c>
      <x:c r="L1293" s="2" t="n">
        <x:f>MAX(1,ROUND('기준스탯 72종'!F59-T1293-AB1293,0))</x:f>
        <x:v>3</x:v>
      </x:c>
      <x:c r="M1293" s="2" t="n">
        <x:f>MAX(1,ROUND('기준스탯 72종'!G59-U1293-AC1293,0))</x:f>
        <x:v>3</x:v>
      </x:c>
      <x:c r="N1293" s="2" t="n">
        <x:f>MAX(0,ROUND('기준스탯 72종'!H59-V1293-AD1293,0))</x:f>
        <x:v>2</x:v>
      </x:c>
      <x:c r="O1293" s="2" t="n">
        <x:f>MAX(0,ROUND('기준스탯 72종'!I59-W1293-AE1293,0))</x:f>
        <x:v>1</x:v>
      </x:c>
      <x:c r="P1293" s="2" t="n">
        <x:f>MAX(0,ROUND('기준스탯 72종'!J59-X1293-AF1293,0))</x:f>
        <x:v>2</x:v>
      </x:c>
      <x:c r="Q1293" s="2" t="n">
        <x:f>MAX(0,ROUND('기준스탯 72종'!K59-Y1293-AG1293,0))</x:f>
        <x:v>1</x:v>
      </x:c>
      <x:c r="R1293" s="15" t="n">
        <x:f>'기준스탯 72종'!D59*G1293</x:f>
        <x:v>3.3599999999999994</x:v>
      </x:c>
      <x:c r="S1293" s="15" t="n">
        <x:f>'기준스탯 72종'!E59*G1293</x:f>
        <x:v>3.9199999999999995</x:v>
      </x:c>
      <x:c r="T1293" s="15" t="n">
        <x:f>'기준스탯 72종'!F59*G1293</x:f>
        <x:v>4.4799999999999995</x:v>
      </x:c>
      <x:c r="U1293" s="15" t="n">
        <x:f>'기준스탯 72종'!G59*G1293</x:f>
        <x:v>5.039999999999999</x:v>
      </x:c>
      <x:c r="V1293" s="15" t="n">
        <x:f>'기준스탯 72종'!H59*G1293</x:f>
        <x:v>2.8</x:v>
      </x:c>
      <x:c r="W1293" s="15" t="n">
        <x:f>'기준스탯 72종'!I59*G1293</x:f>
        <x:v>2.2399999999999998</x:v>
      </x:c>
      <x:c r="X1293" s="15" t="n">
        <x:f>'기준스탯 72종'!J59*G1293</x:f>
        <x:v>2.8</x:v>
      </x:c>
      <x:c r="Y1293" s="15" t="n">
        <x:f>'기준스탯 72종'!K59*G1293</x:f>
        <x:v>1.1199999999999999</x:v>
      </x:c>
      <x:c r="Z1293" s="15" t="n">
        <x:f>'기준스탯 72종'!D59*H1293</x:f>
        <x:v>0.7200000000000002</x:v>
      </x:c>
      <x:c r="AA1293" s="15" t="n">
        <x:f>'기준스탯 72종'!E59*H1293</x:f>
        <x:v>0.8400000000000002</x:v>
      </x:c>
      <x:c r="AB1293" s="15" t="n">
        <x:f>'기준스탯 72종'!F59*H1293</x:f>
        <x:v>0.9600000000000002</x:v>
      </x:c>
      <x:c r="AC1293" s="15" t="n">
        <x:f>'기준스탯 72종'!G59*H1293</x:f>
        <x:v>1.0800000000000003</x:v>
      </x:c>
      <x:c r="AD1293" s="15" t="n">
        <x:f>'기준스탯 72종'!H59*H1293</x:f>
        <x:v>0.6000000000000001</x:v>
      </x:c>
      <x:c r="AE1293" s="15" t="n">
        <x:f>'기준스탯 72종'!I59*H1293</x:f>
        <x:v>0.4800000000000001</x:v>
      </x:c>
      <x:c r="AF1293" s="15" t="n">
        <x:f>'기준스탯 72종'!J59*H1293</x:f>
        <x:v>0.6000000000000001</x:v>
      </x:c>
      <x:c r="AG1293" s="15" t="n">
        <x:f>'기준스탯 72종'!K59*H1293</x:f>
        <x:v>0.24000000000000005</x:v>
      </x:c>
    </x:row>
    <x:row r="1294" ht="28" customHeight="1">
      <x:c r="A1294" s="2" t="n">
        <x:v>1287</x:v>
      </x:c>
      <x:c r="B1294" s="2" t="n">
        <x:v>52</x:v>
      </x:c>
      <x:c r="C1294" s="2" t="str">
        <x:v>사수자리</x:v>
      </x:c>
      <x:c r="D1294" s="2" t="str">
        <x:v>정령사</x:v>
      </x:c>
      <x:c r="E1294" s="2" t="n">
        <x:v>2</x:v>
      </x:c>
      <x:c r="F1294" s="2" t="n">
        <x:v>3</x:v>
      </x:c>
      <x:c r="G1294" s="14" t="n">
        <x:f>('레벨 계산식'!$E$4-E1294)*'레벨 계산식'!$B$5</x:f>
        <x:v>0.41999999999999993</x:v>
      </x:c>
      <x:c r="H1294" s="14" t="n">
        <x:f>('등급 계산식'!$E$4-F1294)*'등급 계산식'!$B$5</x:f>
        <x:v>0.12000000000000002</x:v>
      </x:c>
      <x:c r="I1294" s="14" t="n">
        <x:f>1-G1294-H1294</x:f>
        <x:v>0.4600000000000001</x:v>
      </x:c>
      <x:c r="J1294" s="2" t="n">
        <x:f>MAX(1,ROUND('기준스탯 72종'!D59-R1294-Z1294,0))</x:f>
        <x:v>3</x:v>
      </x:c>
      <x:c r="K1294" s="2" t="n">
        <x:f>MAX(1,ROUND('기준스탯 72종'!E59-S1294-AA1294,0))</x:f>
        <x:v>3</x:v>
      </x:c>
      <x:c r="L1294" s="2" t="n">
        <x:f>MAX(1,ROUND('기준스탯 72종'!F59-T1294-AB1294,0))</x:f>
        <x:v>4</x:v>
      </x:c>
      <x:c r="M1294" s="2" t="n">
        <x:f>MAX(1,ROUND('기준스탯 72종'!G59-U1294-AC1294,0))</x:f>
        <x:v>4</x:v>
      </x:c>
      <x:c r="N1294" s="2" t="n">
        <x:f>MAX(0,ROUND('기준스탯 72종'!H59-V1294-AD1294,0))</x:f>
        <x:v>2</x:v>
      </x:c>
      <x:c r="O1294" s="2" t="n">
        <x:f>MAX(0,ROUND('기준스탯 72종'!I59-W1294-AE1294,0))</x:f>
        <x:v>2</x:v>
      </x:c>
      <x:c r="P1294" s="2" t="n">
        <x:f>MAX(0,ROUND('기준스탯 72종'!J59-X1294-AF1294,0))</x:f>
        <x:v>2</x:v>
      </x:c>
      <x:c r="Q1294" s="2" t="n">
        <x:f>MAX(0,ROUND('기준스탯 72종'!K59-Y1294-AG1294,0))</x:f>
        <x:v>1</x:v>
      </x:c>
      <x:c r="R1294" s="15" t="n">
        <x:f>'기준스탯 72종'!D59*G1294</x:f>
        <x:v>2.5199999999999996</x:v>
      </x:c>
      <x:c r="S1294" s="15" t="n">
        <x:f>'기준스탯 72종'!E59*G1294</x:f>
        <x:v>2.9399999999999995</x:v>
      </x:c>
      <x:c r="T1294" s="15" t="n">
        <x:f>'기준스탯 72종'!F59*G1294</x:f>
        <x:v>3.3599999999999994</x:v>
      </x:c>
      <x:c r="U1294" s="15" t="n">
        <x:f>'기준스탯 72종'!G59*G1294</x:f>
        <x:v>3.7799999999999994</x:v>
      </x:c>
      <x:c r="V1294" s="15" t="n">
        <x:f>'기준스탯 72종'!H59*G1294</x:f>
        <x:v>2.0999999999999996</x:v>
      </x:c>
      <x:c r="W1294" s="15" t="n">
        <x:f>'기준스탯 72종'!I59*G1294</x:f>
        <x:v>1.6799999999999997</x:v>
      </x:c>
      <x:c r="X1294" s="15" t="n">
        <x:f>'기준스탯 72종'!J59*G1294</x:f>
        <x:v>2.0999999999999996</x:v>
      </x:c>
      <x:c r="Y1294" s="15" t="n">
        <x:f>'기준스탯 72종'!K59*G1294</x:f>
        <x:v>0.8399999999999999</x:v>
      </x:c>
      <x:c r="Z1294" s="15" t="n">
        <x:f>'기준스탯 72종'!D59*H1294</x:f>
        <x:v>0.7200000000000002</x:v>
      </x:c>
      <x:c r="AA1294" s="15" t="n">
        <x:f>'기준스탯 72종'!E59*H1294</x:f>
        <x:v>0.8400000000000002</x:v>
      </x:c>
      <x:c r="AB1294" s="15" t="n">
        <x:f>'기준스탯 72종'!F59*H1294</x:f>
        <x:v>0.9600000000000002</x:v>
      </x:c>
      <x:c r="AC1294" s="15" t="n">
        <x:f>'기준스탯 72종'!G59*H1294</x:f>
        <x:v>1.0800000000000003</x:v>
      </x:c>
      <x:c r="AD1294" s="15" t="n">
        <x:f>'기준스탯 72종'!H59*H1294</x:f>
        <x:v>0.6000000000000001</x:v>
      </x:c>
      <x:c r="AE1294" s="15" t="n">
        <x:f>'기준스탯 72종'!I59*H1294</x:f>
        <x:v>0.4800000000000001</x:v>
      </x:c>
      <x:c r="AF1294" s="15" t="n">
        <x:f>'기준스탯 72종'!J59*H1294</x:f>
        <x:v>0.6000000000000001</x:v>
      </x:c>
      <x:c r="AG1294" s="15" t="n">
        <x:f>'기준스탯 72종'!K59*H1294</x:f>
        <x:v>0.24000000000000005</x:v>
      </x:c>
    </x:row>
    <x:row r="1295" ht="28" customHeight="1">
      <x:c r="A1295" s="2" t="n">
        <x:v>1288</x:v>
      </x:c>
      <x:c r="B1295" s="2" t="n">
        <x:v>52</x:v>
      </x:c>
      <x:c r="C1295" s="2" t="str">
        <x:v>사수자리</x:v>
      </x:c>
      <x:c r="D1295" s="2" t="str">
        <x:v>정령사</x:v>
      </x:c>
      <x:c r="E1295" s="2" t="n">
        <x:v>3</x:v>
      </x:c>
      <x:c r="F1295" s="2" t="n">
        <x:v>3</x:v>
      </x:c>
      <x:c r="G1295" s="14" t="n">
        <x:f>('레벨 계산식'!$E$4-E1295)*'레벨 계산식'!$B$5</x:f>
        <x:v>0.27999999999999997</x:v>
      </x:c>
      <x:c r="H1295" s="14" t="n">
        <x:f>('등급 계산식'!$E$4-F1295)*'등급 계산식'!$B$5</x:f>
        <x:v>0.12000000000000002</x:v>
      </x:c>
      <x:c r="I1295" s="14" t="n">
        <x:f>1-G1295-H1295</x:f>
        <x:v>0.6</x:v>
      </x:c>
      <x:c r="J1295" s="2" t="n">
        <x:f>MAX(1,ROUND('기준스탯 72종'!D59-R1295-Z1295,0))</x:f>
        <x:v>4</x:v>
      </x:c>
      <x:c r="K1295" s="2" t="n">
        <x:f>MAX(1,ROUND('기준스탯 72종'!E59-S1295-AA1295,0))</x:f>
        <x:v>4</x:v>
      </x:c>
      <x:c r="L1295" s="2" t="n">
        <x:f>MAX(1,ROUND('기준스탯 72종'!F59-T1295-AB1295,0))</x:f>
        <x:v>5</x:v>
      </x:c>
      <x:c r="M1295" s="2" t="n">
        <x:f>MAX(1,ROUND('기준스탯 72종'!G59-U1295-AC1295,0))</x:f>
        <x:v>5</x:v>
      </x:c>
      <x:c r="N1295" s="2" t="n">
        <x:f>MAX(0,ROUND('기준스탯 72종'!H59-V1295-AD1295,0))</x:f>
        <x:v>3</x:v>
      </x:c>
      <x:c r="O1295" s="2" t="n">
        <x:f>MAX(0,ROUND('기준스탯 72종'!I59-W1295-AE1295,0))</x:f>
        <x:v>2</x:v>
      </x:c>
      <x:c r="P1295" s="2" t="n">
        <x:f>MAX(0,ROUND('기준스탯 72종'!J59-X1295-AF1295,0))</x:f>
        <x:v>3</x:v>
      </x:c>
      <x:c r="Q1295" s="2" t="n">
        <x:f>MAX(0,ROUND('기준스탯 72종'!K59-Y1295-AG1295,0))</x:f>
        <x:v>1</x:v>
      </x:c>
      <x:c r="R1295" s="15" t="n">
        <x:f>'기준스탯 72종'!D59*G1295</x:f>
        <x:v>1.6799999999999997</x:v>
      </x:c>
      <x:c r="S1295" s="15" t="n">
        <x:f>'기준스탯 72종'!E59*G1295</x:f>
        <x:v>1.9599999999999997</x:v>
      </x:c>
      <x:c r="T1295" s="15" t="n">
        <x:f>'기준스탯 72종'!F59*G1295</x:f>
        <x:v>2.2399999999999998</x:v>
      </x:c>
      <x:c r="U1295" s="15" t="n">
        <x:f>'기준스탯 72종'!G59*G1295</x:f>
        <x:v>2.5199999999999996</x:v>
      </x:c>
      <x:c r="V1295" s="15" t="n">
        <x:f>'기준스탯 72종'!H59*G1295</x:f>
        <x:v>1.4</x:v>
      </x:c>
      <x:c r="W1295" s="15" t="n">
        <x:f>'기준스탯 72종'!I59*G1295</x:f>
        <x:v>1.1199999999999999</x:v>
      </x:c>
      <x:c r="X1295" s="15" t="n">
        <x:f>'기준스탯 72종'!J59*G1295</x:f>
        <x:v>1.4</x:v>
      </x:c>
      <x:c r="Y1295" s="15" t="n">
        <x:f>'기준스탯 72종'!K59*G1295</x:f>
        <x:v>0.5599999999999999</x:v>
      </x:c>
      <x:c r="Z1295" s="15" t="n">
        <x:f>'기준스탯 72종'!D59*H1295</x:f>
        <x:v>0.7200000000000002</x:v>
      </x:c>
      <x:c r="AA1295" s="15" t="n">
        <x:f>'기준스탯 72종'!E59*H1295</x:f>
        <x:v>0.8400000000000002</x:v>
      </x:c>
      <x:c r="AB1295" s="15" t="n">
        <x:f>'기준스탯 72종'!F59*H1295</x:f>
        <x:v>0.9600000000000002</x:v>
      </x:c>
      <x:c r="AC1295" s="15" t="n">
        <x:f>'기준스탯 72종'!G59*H1295</x:f>
        <x:v>1.0800000000000003</x:v>
      </x:c>
      <x:c r="AD1295" s="15" t="n">
        <x:f>'기준스탯 72종'!H59*H1295</x:f>
        <x:v>0.6000000000000001</x:v>
      </x:c>
      <x:c r="AE1295" s="15" t="n">
        <x:f>'기준스탯 72종'!I59*H1295</x:f>
        <x:v>0.4800000000000001</x:v>
      </x:c>
      <x:c r="AF1295" s="15" t="n">
        <x:f>'기준스탯 72종'!J59*H1295</x:f>
        <x:v>0.6000000000000001</x:v>
      </x:c>
      <x:c r="AG1295" s="15" t="n">
        <x:f>'기준스탯 72종'!K59*H1295</x:f>
        <x:v>0.24000000000000005</x:v>
      </x:c>
    </x:row>
    <x:row r="1296" ht="28" customHeight="1">
      <x:c r="A1296" s="2" t="n">
        <x:v>1289</x:v>
      </x:c>
      <x:c r="B1296" s="2" t="n">
        <x:v>52</x:v>
      </x:c>
      <x:c r="C1296" s="2" t="str">
        <x:v>사수자리</x:v>
      </x:c>
      <x:c r="D1296" s="2" t="str">
        <x:v>정령사</x:v>
      </x:c>
      <x:c r="E1296" s="2" t="n">
        <x:v>4</x:v>
      </x:c>
      <x:c r="F1296" s="2" t="n">
        <x:v>3</x:v>
      </x:c>
      <x:c r="G1296" s="14" t="n">
        <x:f>('레벨 계산식'!$E$4-E1296)*'레벨 계산식'!$B$5</x:f>
        <x:v>0.13999999999999999</x:v>
      </x:c>
      <x:c r="H1296" s="14" t="n">
        <x:f>('등급 계산식'!$E$4-F1296)*'등급 계산식'!$B$5</x:f>
        <x:v>0.12000000000000002</x:v>
      </x:c>
      <x:c r="I1296" s="14" t="n">
        <x:f>1-G1296-H1296</x:f>
        <x:v>0.74</x:v>
      </x:c>
      <x:c r="J1296" s="2" t="n">
        <x:f>MAX(1,ROUND('기준스탯 72종'!D59-R1296-Z1296,0))</x:f>
        <x:v>4</x:v>
      </x:c>
      <x:c r="K1296" s="2" t="n">
        <x:f>MAX(1,ROUND('기준스탯 72종'!E59-S1296-AA1296,0))</x:f>
        <x:v>5</x:v>
      </x:c>
      <x:c r="L1296" s="2" t="n">
        <x:f>MAX(1,ROUND('기준스탯 72종'!F59-T1296-AB1296,0))</x:f>
        <x:v>6</x:v>
      </x:c>
      <x:c r="M1296" s="2" t="n">
        <x:f>MAX(1,ROUND('기준스탯 72종'!G59-U1296-AC1296,0))</x:f>
        <x:v>7</x:v>
      </x:c>
      <x:c r="N1296" s="2" t="n">
        <x:f>MAX(0,ROUND('기준스탯 72종'!H59-V1296-AD1296,0))</x:f>
        <x:v>4</x:v>
      </x:c>
      <x:c r="O1296" s="2" t="n">
        <x:f>MAX(0,ROUND('기준스탯 72종'!I59-W1296-AE1296,0))</x:f>
        <x:v>3</x:v>
      </x:c>
      <x:c r="P1296" s="2" t="n">
        <x:f>MAX(0,ROUND('기준스탯 72종'!J59-X1296-AF1296,0))</x:f>
        <x:v>4</x:v>
      </x:c>
      <x:c r="Q1296" s="2" t="n">
        <x:f>MAX(0,ROUND('기준스탯 72종'!K59-Y1296-AG1296,0))</x:f>
        <x:v>1</x:v>
      </x:c>
      <x:c r="R1296" s="15" t="n">
        <x:f>'기준스탯 72종'!D59*G1296</x:f>
        <x:v>0.8399999999999999</x:v>
      </x:c>
      <x:c r="S1296" s="15" t="n">
        <x:f>'기준스탯 72종'!E59*G1296</x:f>
        <x:v>0.9799999999999999</x:v>
      </x:c>
      <x:c r="T1296" s="15" t="n">
        <x:f>'기준스탯 72종'!F59*G1296</x:f>
        <x:v>1.1199999999999999</x:v>
      </x:c>
      <x:c r="U1296" s="15" t="n">
        <x:f>'기준스탯 72종'!G59*G1296</x:f>
        <x:v>1.2599999999999998</x:v>
      </x:c>
      <x:c r="V1296" s="15" t="n">
        <x:f>'기준스탯 72종'!H59*G1296</x:f>
        <x:v>0.7</x:v>
      </x:c>
      <x:c r="W1296" s="15" t="n">
        <x:f>'기준스탯 72종'!I59*G1296</x:f>
        <x:v>0.5599999999999999</x:v>
      </x:c>
      <x:c r="X1296" s="15" t="n">
        <x:f>'기준스탯 72종'!J59*G1296</x:f>
        <x:v>0.7</x:v>
      </x:c>
      <x:c r="Y1296" s="15" t="n">
        <x:f>'기준스탯 72종'!K59*G1296</x:f>
        <x:v>0.27999999999999997</x:v>
      </x:c>
      <x:c r="Z1296" s="15" t="n">
        <x:f>'기준스탯 72종'!D59*H1296</x:f>
        <x:v>0.7200000000000002</x:v>
      </x:c>
      <x:c r="AA1296" s="15" t="n">
        <x:f>'기준스탯 72종'!E59*H1296</x:f>
        <x:v>0.8400000000000002</x:v>
      </x:c>
      <x:c r="AB1296" s="15" t="n">
        <x:f>'기준스탯 72종'!F59*H1296</x:f>
        <x:v>0.9600000000000002</x:v>
      </x:c>
      <x:c r="AC1296" s="15" t="n">
        <x:f>'기준스탯 72종'!G59*H1296</x:f>
        <x:v>1.0800000000000003</x:v>
      </x:c>
      <x:c r="AD1296" s="15" t="n">
        <x:f>'기준스탯 72종'!H59*H1296</x:f>
        <x:v>0.6000000000000001</x:v>
      </x:c>
      <x:c r="AE1296" s="15" t="n">
        <x:f>'기준스탯 72종'!I59*H1296</x:f>
        <x:v>0.4800000000000001</x:v>
      </x:c>
      <x:c r="AF1296" s="15" t="n">
        <x:f>'기준스탯 72종'!J59*H1296</x:f>
        <x:v>0.6000000000000001</x:v>
      </x:c>
      <x:c r="AG1296" s="15" t="n">
        <x:f>'기준스탯 72종'!K59*H1296</x:f>
        <x:v>0.24000000000000005</x:v>
      </x:c>
    </x:row>
    <x:row r="1297" ht="28" customHeight="1">
      <x:c r="A1297" s="2" t="n">
        <x:v>1290</x:v>
      </x:c>
      <x:c r="B1297" s="2" t="n">
        <x:v>52</x:v>
      </x:c>
      <x:c r="C1297" s="2" t="str">
        <x:v>사수자리</x:v>
      </x:c>
      <x:c r="D1297" s="2" t="str">
        <x:v>정령사</x:v>
      </x:c>
      <x:c r="E1297" s="2" t="n">
        <x:v>5</x:v>
      </x:c>
      <x:c r="F1297" s="2" t="n">
        <x:v>3</x:v>
      </x:c>
      <x:c r="G1297" s="14" t="n">
        <x:f>('레벨 계산식'!$E$4-E1297)*'레벨 계산식'!$B$5</x:f>
        <x:v>0</x:v>
      </x:c>
      <x:c r="H1297" s="14" t="n">
        <x:f>('등급 계산식'!$E$4-F1297)*'등급 계산식'!$B$5</x:f>
        <x:v>0.12000000000000002</x:v>
      </x:c>
      <x:c r="I1297" s="14" t="n">
        <x:f>1-G1297-H1297</x:f>
        <x:v>0.88</x:v>
      </x:c>
      <x:c r="J1297" s="2" t="n">
        <x:f>MAX(1,ROUND('기준스탯 72종'!D59-R1297-Z1297,0))</x:f>
        <x:v>5</x:v>
      </x:c>
      <x:c r="K1297" s="2" t="n">
        <x:f>MAX(1,ROUND('기준스탯 72종'!E59-S1297-AA1297,0))</x:f>
        <x:v>6</x:v>
      </x:c>
      <x:c r="L1297" s="2" t="n">
        <x:f>MAX(1,ROUND('기준스탯 72종'!F59-T1297-AB1297,0))</x:f>
        <x:v>7</x:v>
      </x:c>
      <x:c r="M1297" s="2" t="n">
        <x:f>MAX(1,ROUND('기준스탯 72종'!G59-U1297-AC1297,0))</x:f>
        <x:v>8</x:v>
      </x:c>
      <x:c r="N1297" s="2" t="n">
        <x:f>MAX(0,ROUND('기준스탯 72종'!H59-V1297-AD1297,0))</x:f>
        <x:v>4</x:v>
      </x:c>
      <x:c r="O1297" s="2" t="n">
        <x:f>MAX(0,ROUND('기준스탯 72종'!I59-W1297-AE1297,0))</x:f>
        <x:v>4</x:v>
      </x:c>
      <x:c r="P1297" s="2" t="n">
        <x:f>MAX(0,ROUND('기준스탯 72종'!J59-X1297-AF1297,0))</x:f>
        <x:v>4</x:v>
      </x:c>
      <x:c r="Q1297" s="2" t="n">
        <x:f>MAX(0,ROUND('기준스탯 72종'!K59-Y1297-AG1297,0))</x:f>
        <x:v>2</x:v>
      </x:c>
      <x:c r="R1297" s="15" t="n">
        <x:f>'기준스탯 72종'!D59*G1297</x:f>
        <x:v>0</x:v>
      </x:c>
      <x:c r="S1297" s="15" t="n">
        <x:f>'기준스탯 72종'!E59*G1297</x:f>
        <x:v>0</x:v>
      </x:c>
      <x:c r="T1297" s="15" t="n">
        <x:f>'기준스탯 72종'!F59*G1297</x:f>
        <x:v>0</x:v>
      </x:c>
      <x:c r="U1297" s="15" t="n">
        <x:f>'기준스탯 72종'!G59*G1297</x:f>
        <x:v>0</x:v>
      </x:c>
      <x:c r="V1297" s="15" t="n">
        <x:f>'기준스탯 72종'!H59*G1297</x:f>
        <x:v>0</x:v>
      </x:c>
      <x:c r="W1297" s="15" t="n">
        <x:f>'기준스탯 72종'!I59*G1297</x:f>
        <x:v>0</x:v>
      </x:c>
      <x:c r="X1297" s="15" t="n">
        <x:f>'기준스탯 72종'!J59*G1297</x:f>
        <x:v>0</x:v>
      </x:c>
      <x:c r="Y1297" s="15" t="n">
        <x:f>'기준스탯 72종'!K59*G1297</x:f>
        <x:v>0</x:v>
      </x:c>
      <x:c r="Z1297" s="15" t="n">
        <x:f>'기준스탯 72종'!D59*H1297</x:f>
        <x:v>0.7200000000000002</x:v>
      </x:c>
      <x:c r="AA1297" s="15" t="n">
        <x:f>'기준스탯 72종'!E59*H1297</x:f>
        <x:v>0.8400000000000002</x:v>
      </x:c>
      <x:c r="AB1297" s="15" t="n">
        <x:f>'기준스탯 72종'!F59*H1297</x:f>
        <x:v>0.9600000000000002</x:v>
      </x:c>
      <x:c r="AC1297" s="15" t="n">
        <x:f>'기준스탯 72종'!G59*H1297</x:f>
        <x:v>1.0800000000000003</x:v>
      </x:c>
      <x:c r="AD1297" s="15" t="n">
        <x:f>'기준스탯 72종'!H59*H1297</x:f>
        <x:v>0.6000000000000001</x:v>
      </x:c>
      <x:c r="AE1297" s="15" t="n">
        <x:f>'기준스탯 72종'!I59*H1297</x:f>
        <x:v>0.4800000000000001</x:v>
      </x:c>
      <x:c r="AF1297" s="15" t="n">
        <x:f>'기준스탯 72종'!J59*H1297</x:f>
        <x:v>0.6000000000000001</x:v>
      </x:c>
      <x:c r="AG1297" s="15" t="n">
        <x:f>'기준스탯 72종'!K59*H1297</x:f>
        <x:v>0.24000000000000005</x:v>
      </x:c>
    </x:row>
    <x:row r="1298" ht="28" customHeight="1">
      <x:c r="A1298" s="2" t="n">
        <x:v>1291</x:v>
      </x:c>
      <x:c r="B1298" s="2" t="n">
        <x:v>52</x:v>
      </x:c>
      <x:c r="C1298" s="2" t="str">
        <x:v>사수자리</x:v>
      </x:c>
      <x:c r="D1298" s="2" t="str">
        <x:v>정령사</x:v>
      </x:c>
      <x:c r="E1298" s="2" t="n">
        <x:v>1</x:v>
      </x:c>
      <x:c r="F1298" s="2" t="n">
        <x:v>4</x:v>
      </x:c>
      <x:c r="G1298" s="14" t="n">
        <x:f>('레벨 계산식'!$E$4-E1298)*'레벨 계산식'!$B$5</x:f>
        <x:v>0.5599999999999999</x:v>
      </x:c>
      <x:c r="H1298" s="14" t="n">
        <x:f>('등급 계산식'!$E$4-F1298)*'등급 계산식'!$B$5</x:f>
        <x:v>0.06000000000000001</x:v>
      </x:c>
      <x:c r="I1298" s="14" t="n">
        <x:f>1-G1298-H1298</x:f>
        <x:v>0.38000000000000006</x:v>
      </x:c>
      <x:c r="J1298" s="2" t="n">
        <x:f>MAX(1,ROUND('기준스탯 72종'!D59-R1298-Z1298,0))</x:f>
        <x:v>2</x:v>
      </x:c>
      <x:c r="K1298" s="2" t="n">
        <x:f>MAX(1,ROUND('기준스탯 72종'!E59-S1298-AA1298,0))</x:f>
        <x:v>3</x:v>
      </x:c>
      <x:c r="L1298" s="2" t="n">
        <x:f>MAX(1,ROUND('기준스탯 72종'!F59-T1298-AB1298,0))</x:f>
        <x:v>3</x:v>
      </x:c>
      <x:c r="M1298" s="2" t="n">
        <x:f>MAX(1,ROUND('기준스탯 72종'!G59-U1298-AC1298,0))</x:f>
        <x:v>3</x:v>
      </x:c>
      <x:c r="N1298" s="2" t="n">
        <x:f>MAX(0,ROUND('기준스탯 72종'!H59-V1298-AD1298,0))</x:f>
        <x:v>2</x:v>
      </x:c>
      <x:c r="O1298" s="2" t="n">
        <x:f>MAX(0,ROUND('기준스탯 72종'!I59-W1298-AE1298,0))</x:f>
        <x:v>2</x:v>
      </x:c>
      <x:c r="P1298" s="2" t="n">
        <x:f>MAX(0,ROUND('기준스탯 72종'!J59-X1298-AF1298,0))</x:f>
        <x:v>2</x:v>
      </x:c>
      <x:c r="Q1298" s="2" t="n">
        <x:f>MAX(0,ROUND('기준스탯 72종'!K59-Y1298-AG1298,0))</x:f>
        <x:v>1</x:v>
      </x:c>
      <x:c r="R1298" s="15" t="n">
        <x:f>'기준스탯 72종'!D59*G1298</x:f>
        <x:v>3.3599999999999994</x:v>
      </x:c>
      <x:c r="S1298" s="15" t="n">
        <x:f>'기준스탯 72종'!E59*G1298</x:f>
        <x:v>3.9199999999999995</x:v>
      </x:c>
      <x:c r="T1298" s="15" t="n">
        <x:f>'기준스탯 72종'!F59*G1298</x:f>
        <x:v>4.4799999999999995</x:v>
      </x:c>
      <x:c r="U1298" s="15" t="n">
        <x:f>'기준스탯 72종'!G59*G1298</x:f>
        <x:v>5.039999999999999</x:v>
      </x:c>
      <x:c r="V1298" s="15" t="n">
        <x:f>'기준스탯 72종'!H59*G1298</x:f>
        <x:v>2.8</x:v>
      </x:c>
      <x:c r="W1298" s="15" t="n">
        <x:f>'기준스탯 72종'!I59*G1298</x:f>
        <x:v>2.2399999999999998</x:v>
      </x:c>
      <x:c r="X1298" s="15" t="n">
        <x:f>'기준스탯 72종'!J59*G1298</x:f>
        <x:v>2.8</x:v>
      </x:c>
      <x:c r="Y1298" s="15" t="n">
        <x:f>'기준스탯 72종'!K59*G1298</x:f>
        <x:v>1.1199999999999999</x:v>
      </x:c>
      <x:c r="Z1298" s="15" t="n">
        <x:f>'기준스탯 72종'!D59*H1298</x:f>
        <x:v>0.3600000000000001</x:v>
      </x:c>
      <x:c r="AA1298" s="15" t="n">
        <x:f>'기준스탯 72종'!E59*H1298</x:f>
        <x:v>0.4200000000000001</x:v>
      </x:c>
      <x:c r="AB1298" s="15" t="n">
        <x:f>'기준스탯 72종'!F59*H1298</x:f>
        <x:v>0.4800000000000001</x:v>
      </x:c>
      <x:c r="AC1298" s="15" t="n">
        <x:f>'기준스탯 72종'!G59*H1298</x:f>
        <x:v>0.5400000000000001</x:v>
      </x:c>
      <x:c r="AD1298" s="15" t="n">
        <x:f>'기준스탯 72종'!H59*H1298</x:f>
        <x:v>0.30000000000000004</x:v>
      </x:c>
      <x:c r="AE1298" s="15" t="n">
        <x:f>'기준스탯 72종'!I59*H1298</x:f>
        <x:v>0.24000000000000005</x:v>
      </x:c>
      <x:c r="AF1298" s="15" t="n">
        <x:f>'기준스탯 72종'!J59*H1298</x:f>
        <x:v>0.30000000000000004</x:v>
      </x:c>
      <x:c r="AG1298" s="15" t="n">
        <x:f>'기준스탯 72종'!K59*H1298</x:f>
        <x:v>0.12000000000000002</x:v>
      </x:c>
    </x:row>
    <x:row r="1299" ht="28" customHeight="1">
      <x:c r="A1299" s="2" t="n">
        <x:v>1292</x:v>
      </x:c>
      <x:c r="B1299" s="2" t="n">
        <x:v>52</x:v>
      </x:c>
      <x:c r="C1299" s="2" t="str">
        <x:v>사수자리</x:v>
      </x:c>
      <x:c r="D1299" s="2" t="str">
        <x:v>정령사</x:v>
      </x:c>
      <x:c r="E1299" s="2" t="n">
        <x:v>2</x:v>
      </x:c>
      <x:c r="F1299" s="2" t="n">
        <x:v>4</x:v>
      </x:c>
      <x:c r="G1299" s="14" t="n">
        <x:f>('레벨 계산식'!$E$4-E1299)*'레벨 계산식'!$B$5</x:f>
        <x:v>0.41999999999999993</x:v>
      </x:c>
      <x:c r="H1299" s="14" t="n">
        <x:f>('등급 계산식'!$E$4-F1299)*'등급 계산식'!$B$5</x:f>
        <x:v>0.06000000000000001</x:v>
      </x:c>
      <x:c r="I1299" s="14" t="n">
        <x:f>1-G1299-H1299</x:f>
        <x:v>0.52</x:v>
      </x:c>
      <x:c r="J1299" s="2" t="n">
        <x:f>MAX(1,ROUND('기준스탯 72종'!D59-R1299-Z1299,0))</x:f>
        <x:v>3</x:v>
      </x:c>
      <x:c r="K1299" s="2" t="n">
        <x:f>MAX(1,ROUND('기준스탯 72종'!E59-S1299-AA1299,0))</x:f>
        <x:v>4</x:v>
      </x:c>
      <x:c r="L1299" s="2" t="n">
        <x:f>MAX(1,ROUND('기준스탯 72종'!F59-T1299-AB1299,0))</x:f>
        <x:v>4</x:v>
      </x:c>
      <x:c r="M1299" s="2" t="n">
        <x:f>MAX(1,ROUND('기준스탯 72종'!G59-U1299-AC1299,0))</x:f>
        <x:v>5</x:v>
      </x:c>
      <x:c r="N1299" s="2" t="n">
        <x:f>MAX(0,ROUND('기준스탯 72종'!H59-V1299-AD1299,0))</x:f>
        <x:v>3</x:v>
      </x:c>
      <x:c r="O1299" s="2" t="n">
        <x:f>MAX(0,ROUND('기준스탯 72종'!I59-W1299-AE1299,0))</x:f>
        <x:v>2</x:v>
      </x:c>
      <x:c r="P1299" s="2" t="n">
        <x:f>MAX(0,ROUND('기준스탯 72종'!J59-X1299-AF1299,0))</x:f>
        <x:v>3</x:v>
      </x:c>
      <x:c r="Q1299" s="2" t="n">
        <x:f>MAX(0,ROUND('기준스탯 72종'!K59-Y1299-AG1299,0))</x:f>
        <x:v>1</x:v>
      </x:c>
      <x:c r="R1299" s="15" t="n">
        <x:f>'기준스탯 72종'!D59*G1299</x:f>
        <x:v>2.5199999999999996</x:v>
      </x:c>
      <x:c r="S1299" s="15" t="n">
        <x:f>'기준스탯 72종'!E59*G1299</x:f>
        <x:v>2.9399999999999995</x:v>
      </x:c>
      <x:c r="T1299" s="15" t="n">
        <x:f>'기준스탯 72종'!F59*G1299</x:f>
        <x:v>3.3599999999999994</x:v>
      </x:c>
      <x:c r="U1299" s="15" t="n">
        <x:f>'기준스탯 72종'!G59*G1299</x:f>
        <x:v>3.7799999999999994</x:v>
      </x:c>
      <x:c r="V1299" s="15" t="n">
        <x:f>'기준스탯 72종'!H59*G1299</x:f>
        <x:v>2.0999999999999996</x:v>
      </x:c>
      <x:c r="W1299" s="15" t="n">
        <x:f>'기준스탯 72종'!I59*G1299</x:f>
        <x:v>1.6799999999999997</x:v>
      </x:c>
      <x:c r="X1299" s="15" t="n">
        <x:f>'기준스탯 72종'!J59*G1299</x:f>
        <x:v>2.0999999999999996</x:v>
      </x:c>
      <x:c r="Y1299" s="15" t="n">
        <x:f>'기준스탯 72종'!K59*G1299</x:f>
        <x:v>0.8399999999999999</x:v>
      </x:c>
      <x:c r="Z1299" s="15" t="n">
        <x:f>'기준스탯 72종'!D59*H1299</x:f>
        <x:v>0.3600000000000001</x:v>
      </x:c>
      <x:c r="AA1299" s="15" t="n">
        <x:f>'기준스탯 72종'!E59*H1299</x:f>
        <x:v>0.4200000000000001</x:v>
      </x:c>
      <x:c r="AB1299" s="15" t="n">
        <x:f>'기준스탯 72종'!F59*H1299</x:f>
        <x:v>0.4800000000000001</x:v>
      </x:c>
      <x:c r="AC1299" s="15" t="n">
        <x:f>'기준스탯 72종'!G59*H1299</x:f>
        <x:v>0.5400000000000001</x:v>
      </x:c>
      <x:c r="AD1299" s="15" t="n">
        <x:f>'기준스탯 72종'!H59*H1299</x:f>
        <x:v>0.30000000000000004</x:v>
      </x:c>
      <x:c r="AE1299" s="15" t="n">
        <x:f>'기준스탯 72종'!I59*H1299</x:f>
        <x:v>0.24000000000000005</x:v>
      </x:c>
      <x:c r="AF1299" s="15" t="n">
        <x:f>'기준스탯 72종'!J59*H1299</x:f>
        <x:v>0.30000000000000004</x:v>
      </x:c>
      <x:c r="AG1299" s="15" t="n">
        <x:f>'기준스탯 72종'!K59*H1299</x:f>
        <x:v>0.12000000000000002</x:v>
      </x:c>
    </x:row>
    <x:row r="1300" ht="28" customHeight="1">
      <x:c r="A1300" s="2" t="n">
        <x:v>1293</x:v>
      </x:c>
      <x:c r="B1300" s="2" t="n">
        <x:v>52</x:v>
      </x:c>
      <x:c r="C1300" s="2" t="str">
        <x:v>사수자리</x:v>
      </x:c>
      <x:c r="D1300" s="2" t="str">
        <x:v>정령사</x:v>
      </x:c>
      <x:c r="E1300" s="2" t="n">
        <x:v>3</x:v>
      </x:c>
      <x:c r="F1300" s="2" t="n">
        <x:v>4</x:v>
      </x:c>
      <x:c r="G1300" s="14" t="n">
        <x:f>('레벨 계산식'!$E$4-E1300)*'레벨 계산식'!$B$5</x:f>
        <x:v>0.27999999999999997</x:v>
      </x:c>
      <x:c r="H1300" s="14" t="n">
        <x:f>('등급 계산식'!$E$4-F1300)*'등급 계산식'!$B$5</x:f>
        <x:v>0.06000000000000001</x:v>
      </x:c>
      <x:c r="I1300" s="14" t="n">
        <x:f>1-G1300-H1300</x:f>
        <x:v>0.6599999999999999</x:v>
      </x:c>
      <x:c r="J1300" s="2" t="n">
        <x:f>MAX(1,ROUND('기준스탯 72종'!D59-R1300-Z1300,0))</x:f>
        <x:v>4</x:v>
      </x:c>
      <x:c r="K1300" s="2" t="n">
        <x:f>MAX(1,ROUND('기준스탯 72종'!E59-S1300-AA1300,0))</x:f>
        <x:v>5</x:v>
      </x:c>
      <x:c r="L1300" s="2" t="n">
        <x:f>MAX(1,ROUND('기준스탯 72종'!F59-T1300-AB1300,0))</x:f>
        <x:v>5</x:v>
      </x:c>
      <x:c r="M1300" s="2" t="n">
        <x:f>MAX(1,ROUND('기준스탯 72종'!G59-U1300-AC1300,0))</x:f>
        <x:v>6</x:v>
      </x:c>
      <x:c r="N1300" s="2" t="n">
        <x:f>MAX(0,ROUND('기준스탯 72종'!H59-V1300-AD1300,0))</x:f>
        <x:v>3</x:v>
      </x:c>
      <x:c r="O1300" s="2" t="n">
        <x:f>MAX(0,ROUND('기준스탯 72종'!I59-W1300-AE1300,0))</x:f>
        <x:v>3</x:v>
      </x:c>
      <x:c r="P1300" s="2" t="n">
        <x:f>MAX(0,ROUND('기준스탯 72종'!J59-X1300-AF1300,0))</x:f>
        <x:v>3</x:v>
      </x:c>
      <x:c r="Q1300" s="2" t="n">
        <x:f>MAX(0,ROUND('기준스탯 72종'!K59-Y1300-AG1300,0))</x:f>
        <x:v>1</x:v>
      </x:c>
      <x:c r="R1300" s="15" t="n">
        <x:f>'기준스탯 72종'!D59*G1300</x:f>
        <x:v>1.6799999999999997</x:v>
      </x:c>
      <x:c r="S1300" s="15" t="n">
        <x:f>'기준스탯 72종'!E59*G1300</x:f>
        <x:v>1.9599999999999997</x:v>
      </x:c>
      <x:c r="T1300" s="15" t="n">
        <x:f>'기준스탯 72종'!F59*G1300</x:f>
        <x:v>2.2399999999999998</x:v>
      </x:c>
      <x:c r="U1300" s="15" t="n">
        <x:f>'기준스탯 72종'!G59*G1300</x:f>
        <x:v>2.5199999999999996</x:v>
      </x:c>
      <x:c r="V1300" s="15" t="n">
        <x:f>'기준스탯 72종'!H59*G1300</x:f>
        <x:v>1.4</x:v>
      </x:c>
      <x:c r="W1300" s="15" t="n">
        <x:f>'기준스탯 72종'!I59*G1300</x:f>
        <x:v>1.1199999999999999</x:v>
      </x:c>
      <x:c r="X1300" s="15" t="n">
        <x:f>'기준스탯 72종'!J59*G1300</x:f>
        <x:v>1.4</x:v>
      </x:c>
      <x:c r="Y1300" s="15" t="n">
        <x:f>'기준스탯 72종'!K59*G1300</x:f>
        <x:v>0.5599999999999999</x:v>
      </x:c>
      <x:c r="Z1300" s="15" t="n">
        <x:f>'기준스탯 72종'!D59*H1300</x:f>
        <x:v>0.3600000000000001</x:v>
      </x:c>
      <x:c r="AA1300" s="15" t="n">
        <x:f>'기준스탯 72종'!E59*H1300</x:f>
        <x:v>0.4200000000000001</x:v>
      </x:c>
      <x:c r="AB1300" s="15" t="n">
        <x:f>'기준스탯 72종'!F59*H1300</x:f>
        <x:v>0.4800000000000001</x:v>
      </x:c>
      <x:c r="AC1300" s="15" t="n">
        <x:f>'기준스탯 72종'!G59*H1300</x:f>
        <x:v>0.5400000000000001</x:v>
      </x:c>
      <x:c r="AD1300" s="15" t="n">
        <x:f>'기준스탯 72종'!H59*H1300</x:f>
        <x:v>0.30000000000000004</x:v>
      </x:c>
      <x:c r="AE1300" s="15" t="n">
        <x:f>'기준스탯 72종'!I59*H1300</x:f>
        <x:v>0.24000000000000005</x:v>
      </x:c>
      <x:c r="AF1300" s="15" t="n">
        <x:f>'기준스탯 72종'!J59*H1300</x:f>
        <x:v>0.30000000000000004</x:v>
      </x:c>
      <x:c r="AG1300" s="15" t="n">
        <x:f>'기준스탯 72종'!K59*H1300</x:f>
        <x:v>0.12000000000000002</x:v>
      </x:c>
    </x:row>
    <x:row r="1301" ht="28" customHeight="1">
      <x:c r="A1301" s="2" t="n">
        <x:v>1294</x:v>
      </x:c>
      <x:c r="B1301" s="2" t="n">
        <x:v>52</x:v>
      </x:c>
      <x:c r="C1301" s="2" t="str">
        <x:v>사수자리</x:v>
      </x:c>
      <x:c r="D1301" s="2" t="str">
        <x:v>정령사</x:v>
      </x:c>
      <x:c r="E1301" s="2" t="n">
        <x:v>4</x:v>
      </x:c>
      <x:c r="F1301" s="2" t="n">
        <x:v>4</x:v>
      </x:c>
      <x:c r="G1301" s="14" t="n">
        <x:f>('레벨 계산식'!$E$4-E1301)*'레벨 계산식'!$B$5</x:f>
        <x:v>0.13999999999999999</x:v>
      </x:c>
      <x:c r="H1301" s="14" t="n">
        <x:f>('등급 계산식'!$E$4-F1301)*'등급 계산식'!$B$5</x:f>
        <x:v>0.06000000000000001</x:v>
      </x:c>
      <x:c r="I1301" s="14" t="n">
        <x:f>1-G1301-H1301</x:f>
        <x:v>0.7999999999999999</x:v>
      </x:c>
      <x:c r="J1301" s="2" t="n">
        <x:f>MAX(1,ROUND('기준스탯 72종'!D59-R1301-Z1301,0))</x:f>
        <x:v>5</x:v>
      </x:c>
      <x:c r="K1301" s="2" t="n">
        <x:f>MAX(1,ROUND('기준스탯 72종'!E59-S1301-AA1301,0))</x:f>
        <x:v>6</x:v>
      </x:c>
      <x:c r="L1301" s="2" t="n">
        <x:f>MAX(1,ROUND('기준스탯 72종'!F59-T1301-AB1301,0))</x:f>
        <x:v>6</x:v>
      </x:c>
      <x:c r="M1301" s="2" t="n">
        <x:f>MAX(1,ROUND('기준스탯 72종'!G59-U1301-AC1301,0))</x:f>
        <x:v>7</x:v>
      </x:c>
      <x:c r="N1301" s="2" t="n">
        <x:f>MAX(0,ROUND('기준스탯 72종'!H59-V1301-AD1301,0))</x:f>
        <x:v>4</x:v>
      </x:c>
      <x:c r="O1301" s="2" t="n">
        <x:f>MAX(0,ROUND('기준스탯 72종'!I59-W1301-AE1301,0))</x:f>
        <x:v>3</x:v>
      </x:c>
      <x:c r="P1301" s="2" t="n">
        <x:f>MAX(0,ROUND('기준스탯 72종'!J59-X1301-AF1301,0))</x:f>
        <x:v>4</x:v>
      </x:c>
      <x:c r="Q1301" s="2" t="n">
        <x:f>MAX(0,ROUND('기준스탯 72종'!K59-Y1301-AG1301,0))</x:f>
        <x:v>2</x:v>
      </x:c>
      <x:c r="R1301" s="15" t="n">
        <x:f>'기준스탯 72종'!D59*G1301</x:f>
        <x:v>0.8399999999999999</x:v>
      </x:c>
      <x:c r="S1301" s="15" t="n">
        <x:f>'기준스탯 72종'!E59*G1301</x:f>
        <x:v>0.9799999999999999</x:v>
      </x:c>
      <x:c r="T1301" s="15" t="n">
        <x:f>'기준스탯 72종'!F59*G1301</x:f>
        <x:v>1.1199999999999999</x:v>
      </x:c>
      <x:c r="U1301" s="15" t="n">
        <x:f>'기준스탯 72종'!G59*G1301</x:f>
        <x:v>1.2599999999999998</x:v>
      </x:c>
      <x:c r="V1301" s="15" t="n">
        <x:f>'기준스탯 72종'!H59*G1301</x:f>
        <x:v>0.7</x:v>
      </x:c>
      <x:c r="W1301" s="15" t="n">
        <x:f>'기준스탯 72종'!I59*G1301</x:f>
        <x:v>0.5599999999999999</x:v>
      </x:c>
      <x:c r="X1301" s="15" t="n">
        <x:f>'기준스탯 72종'!J59*G1301</x:f>
        <x:v>0.7</x:v>
      </x:c>
      <x:c r="Y1301" s="15" t="n">
        <x:f>'기준스탯 72종'!K59*G1301</x:f>
        <x:v>0.27999999999999997</x:v>
      </x:c>
      <x:c r="Z1301" s="15" t="n">
        <x:f>'기준스탯 72종'!D59*H1301</x:f>
        <x:v>0.3600000000000001</x:v>
      </x:c>
      <x:c r="AA1301" s="15" t="n">
        <x:f>'기준스탯 72종'!E59*H1301</x:f>
        <x:v>0.4200000000000001</x:v>
      </x:c>
      <x:c r="AB1301" s="15" t="n">
        <x:f>'기준스탯 72종'!F59*H1301</x:f>
        <x:v>0.4800000000000001</x:v>
      </x:c>
      <x:c r="AC1301" s="15" t="n">
        <x:f>'기준스탯 72종'!G59*H1301</x:f>
        <x:v>0.5400000000000001</x:v>
      </x:c>
      <x:c r="AD1301" s="15" t="n">
        <x:f>'기준스탯 72종'!H59*H1301</x:f>
        <x:v>0.30000000000000004</x:v>
      </x:c>
      <x:c r="AE1301" s="15" t="n">
        <x:f>'기준스탯 72종'!I59*H1301</x:f>
        <x:v>0.24000000000000005</x:v>
      </x:c>
      <x:c r="AF1301" s="15" t="n">
        <x:f>'기준스탯 72종'!J59*H1301</x:f>
        <x:v>0.30000000000000004</x:v>
      </x:c>
      <x:c r="AG1301" s="15" t="n">
        <x:f>'기준스탯 72종'!K59*H1301</x:f>
        <x:v>0.12000000000000002</x:v>
      </x:c>
    </x:row>
    <x:row r="1302" ht="28" customHeight="1">
      <x:c r="A1302" s="2" t="n">
        <x:v>1295</x:v>
      </x:c>
      <x:c r="B1302" s="2" t="n">
        <x:v>52</x:v>
      </x:c>
      <x:c r="C1302" s="2" t="str">
        <x:v>사수자리</x:v>
      </x:c>
      <x:c r="D1302" s="2" t="str">
        <x:v>정령사</x:v>
      </x:c>
      <x:c r="E1302" s="2" t="n">
        <x:v>5</x:v>
      </x:c>
      <x:c r="F1302" s="2" t="n">
        <x:v>4</x:v>
      </x:c>
      <x:c r="G1302" s="14" t="n">
        <x:f>('레벨 계산식'!$E$4-E1302)*'레벨 계산식'!$B$5</x:f>
        <x:v>0</x:v>
      </x:c>
      <x:c r="H1302" s="14" t="n">
        <x:f>('등급 계산식'!$E$4-F1302)*'등급 계산식'!$B$5</x:f>
        <x:v>0.06000000000000001</x:v>
      </x:c>
      <x:c r="I1302" s="14" t="n">
        <x:f>1-G1302-H1302</x:f>
        <x:v>0.94</x:v>
      </x:c>
      <x:c r="J1302" s="2" t="n">
        <x:f>MAX(1,ROUND('기준스탯 72종'!D59-R1302-Z1302,0))</x:f>
        <x:v>6</x:v>
      </x:c>
      <x:c r="K1302" s="2" t="n">
        <x:f>MAX(1,ROUND('기준스탯 72종'!E59-S1302-AA1302,0))</x:f>
        <x:v>7</x:v>
      </x:c>
      <x:c r="L1302" s="2" t="n">
        <x:f>MAX(1,ROUND('기준스탯 72종'!F59-T1302-AB1302,0))</x:f>
        <x:v>8</x:v>
      </x:c>
      <x:c r="M1302" s="2" t="n">
        <x:f>MAX(1,ROUND('기준스탯 72종'!G59-U1302-AC1302,0))</x:f>
        <x:v>8</x:v>
      </x:c>
      <x:c r="N1302" s="2" t="n">
        <x:f>MAX(0,ROUND('기준스탯 72종'!H59-V1302-AD1302,0))</x:f>
        <x:v>5</x:v>
      </x:c>
      <x:c r="O1302" s="2" t="n">
        <x:f>MAX(0,ROUND('기준스탯 72종'!I59-W1302-AE1302,0))</x:f>
        <x:v>4</x:v>
      </x:c>
      <x:c r="P1302" s="2" t="n">
        <x:f>MAX(0,ROUND('기준스탯 72종'!J59-X1302-AF1302,0))</x:f>
        <x:v>5</x:v>
      </x:c>
      <x:c r="Q1302" s="2" t="n">
        <x:f>MAX(0,ROUND('기준스탯 72종'!K59-Y1302-AG1302,0))</x:f>
        <x:v>2</x:v>
      </x:c>
      <x:c r="R1302" s="15" t="n">
        <x:f>'기준스탯 72종'!D59*G1302</x:f>
        <x:v>0</x:v>
      </x:c>
      <x:c r="S1302" s="15" t="n">
        <x:f>'기준스탯 72종'!E59*G1302</x:f>
        <x:v>0</x:v>
      </x:c>
      <x:c r="T1302" s="15" t="n">
        <x:f>'기준스탯 72종'!F59*G1302</x:f>
        <x:v>0</x:v>
      </x:c>
      <x:c r="U1302" s="15" t="n">
        <x:f>'기준스탯 72종'!G59*G1302</x:f>
        <x:v>0</x:v>
      </x:c>
      <x:c r="V1302" s="15" t="n">
        <x:f>'기준스탯 72종'!H59*G1302</x:f>
        <x:v>0</x:v>
      </x:c>
      <x:c r="W1302" s="15" t="n">
        <x:f>'기준스탯 72종'!I59*G1302</x:f>
        <x:v>0</x:v>
      </x:c>
      <x:c r="X1302" s="15" t="n">
        <x:f>'기준스탯 72종'!J59*G1302</x:f>
        <x:v>0</x:v>
      </x:c>
      <x:c r="Y1302" s="15" t="n">
        <x:f>'기준스탯 72종'!K59*G1302</x:f>
        <x:v>0</x:v>
      </x:c>
      <x:c r="Z1302" s="15" t="n">
        <x:f>'기준스탯 72종'!D59*H1302</x:f>
        <x:v>0.3600000000000001</x:v>
      </x:c>
      <x:c r="AA1302" s="15" t="n">
        <x:f>'기준스탯 72종'!E59*H1302</x:f>
        <x:v>0.4200000000000001</x:v>
      </x:c>
      <x:c r="AB1302" s="15" t="n">
        <x:f>'기준스탯 72종'!F59*H1302</x:f>
        <x:v>0.4800000000000001</x:v>
      </x:c>
      <x:c r="AC1302" s="15" t="n">
        <x:f>'기준스탯 72종'!G59*H1302</x:f>
        <x:v>0.5400000000000001</x:v>
      </x:c>
      <x:c r="AD1302" s="15" t="n">
        <x:f>'기준스탯 72종'!H59*H1302</x:f>
        <x:v>0.30000000000000004</x:v>
      </x:c>
      <x:c r="AE1302" s="15" t="n">
        <x:f>'기준스탯 72종'!I59*H1302</x:f>
        <x:v>0.24000000000000005</x:v>
      </x:c>
      <x:c r="AF1302" s="15" t="n">
        <x:f>'기준스탯 72종'!J59*H1302</x:f>
        <x:v>0.30000000000000004</x:v>
      </x:c>
      <x:c r="AG1302" s="15" t="n">
        <x:f>'기준스탯 72종'!K59*H1302</x:f>
        <x:v>0.12000000000000002</x:v>
      </x:c>
    </x:row>
    <x:row r="1303" ht="28" customHeight="1">
      <x:c r="A1303" s="2" t="n">
        <x:v>1296</x:v>
      </x:c>
      <x:c r="B1303" s="2" t="n">
        <x:v>52</x:v>
      </x:c>
      <x:c r="C1303" s="2" t="str">
        <x:v>사수자리</x:v>
      </x:c>
      <x:c r="D1303" s="2" t="str">
        <x:v>정령사</x:v>
      </x:c>
      <x:c r="E1303" s="2" t="n">
        <x:v>1</x:v>
      </x:c>
      <x:c r="F1303" s="2" t="n">
        <x:v>5</x:v>
      </x:c>
      <x:c r="G1303" s="14" t="n">
        <x:f>('레벨 계산식'!$E$4-E1303)*'레벨 계산식'!$B$5</x:f>
        <x:v>0.5599999999999999</x:v>
      </x:c>
      <x:c r="H1303" s="14" t="n">
        <x:f>('등급 계산식'!$E$4-F1303)*'등급 계산식'!$B$5</x:f>
        <x:v>0</x:v>
      </x:c>
      <x:c r="I1303" s="14" t="n">
        <x:f>1-G1303-H1303</x:f>
        <x:v>0.44000000000000006</x:v>
      </x:c>
      <x:c r="J1303" s="2" t="n">
        <x:f>MAX(1,ROUND('기준스탯 72종'!D59-R1303-Z1303,0))</x:f>
        <x:v>3</x:v>
      </x:c>
      <x:c r="K1303" s="2" t="n">
        <x:f>MAX(1,ROUND('기준스탯 72종'!E59-S1303-AA1303,0))</x:f>
        <x:v>3</x:v>
      </x:c>
      <x:c r="L1303" s="2" t="n">
        <x:f>MAX(1,ROUND('기준스탯 72종'!F59-T1303-AB1303,0))</x:f>
        <x:v>4</x:v>
      </x:c>
      <x:c r="M1303" s="2" t="n">
        <x:f>MAX(1,ROUND('기준스탯 72종'!G59-U1303-AC1303,0))</x:f>
        <x:v>4</x:v>
      </x:c>
      <x:c r="N1303" s="2" t="n">
        <x:f>MAX(0,ROUND('기준스탯 72종'!H59-V1303-AD1303,0))</x:f>
        <x:v>2</x:v>
      </x:c>
      <x:c r="O1303" s="2" t="n">
        <x:f>MAX(0,ROUND('기준스탯 72종'!I59-W1303-AE1303,0))</x:f>
        <x:v>2</x:v>
      </x:c>
      <x:c r="P1303" s="2" t="n">
        <x:f>MAX(0,ROUND('기준스탯 72종'!J59-X1303-AF1303,0))</x:f>
        <x:v>2</x:v>
      </x:c>
      <x:c r="Q1303" s="2" t="n">
        <x:f>MAX(0,ROUND('기준스탯 72종'!K59-Y1303-AG1303,0))</x:f>
        <x:v>1</x:v>
      </x:c>
      <x:c r="R1303" s="15" t="n">
        <x:f>'기준스탯 72종'!D59*G1303</x:f>
        <x:v>3.3599999999999994</x:v>
      </x:c>
      <x:c r="S1303" s="15" t="n">
        <x:f>'기준스탯 72종'!E59*G1303</x:f>
        <x:v>3.9199999999999995</x:v>
      </x:c>
      <x:c r="T1303" s="15" t="n">
        <x:f>'기준스탯 72종'!F59*G1303</x:f>
        <x:v>4.4799999999999995</x:v>
      </x:c>
      <x:c r="U1303" s="15" t="n">
        <x:f>'기준스탯 72종'!G59*G1303</x:f>
        <x:v>5.039999999999999</x:v>
      </x:c>
      <x:c r="V1303" s="15" t="n">
        <x:f>'기준스탯 72종'!H59*G1303</x:f>
        <x:v>2.8</x:v>
      </x:c>
      <x:c r="W1303" s="15" t="n">
        <x:f>'기준스탯 72종'!I59*G1303</x:f>
        <x:v>2.2399999999999998</x:v>
      </x:c>
      <x:c r="X1303" s="15" t="n">
        <x:f>'기준스탯 72종'!J59*G1303</x:f>
        <x:v>2.8</x:v>
      </x:c>
      <x:c r="Y1303" s="15" t="n">
        <x:f>'기준스탯 72종'!K59*G1303</x:f>
        <x:v>1.1199999999999999</x:v>
      </x:c>
      <x:c r="Z1303" s="15" t="n">
        <x:f>'기준스탯 72종'!D59*H1303</x:f>
        <x:v>0</x:v>
      </x:c>
      <x:c r="AA1303" s="15" t="n">
        <x:f>'기준스탯 72종'!E59*H1303</x:f>
        <x:v>0</x:v>
      </x:c>
      <x:c r="AB1303" s="15" t="n">
        <x:f>'기준스탯 72종'!F59*H1303</x:f>
        <x:v>0</x:v>
      </x:c>
      <x:c r="AC1303" s="15" t="n">
        <x:f>'기준스탯 72종'!G59*H1303</x:f>
        <x:v>0</x:v>
      </x:c>
      <x:c r="AD1303" s="15" t="n">
        <x:f>'기준스탯 72종'!H59*H1303</x:f>
        <x:v>0</x:v>
      </x:c>
      <x:c r="AE1303" s="15" t="n">
        <x:f>'기준스탯 72종'!I59*H1303</x:f>
        <x:v>0</x:v>
      </x:c>
      <x:c r="AF1303" s="15" t="n">
        <x:f>'기준스탯 72종'!J59*H1303</x:f>
        <x:v>0</x:v>
      </x:c>
      <x:c r="AG1303" s="15" t="n">
        <x:f>'기준스탯 72종'!K59*H1303</x:f>
        <x:v>0</x:v>
      </x:c>
    </x:row>
    <x:row r="1304" ht="28" customHeight="1">
      <x:c r="A1304" s="2" t="n">
        <x:v>1297</x:v>
      </x:c>
      <x:c r="B1304" s="2" t="n">
        <x:v>52</x:v>
      </x:c>
      <x:c r="C1304" s="2" t="str">
        <x:v>사수자리</x:v>
      </x:c>
      <x:c r="D1304" s="2" t="str">
        <x:v>정령사</x:v>
      </x:c>
      <x:c r="E1304" s="2" t="n">
        <x:v>2</x:v>
      </x:c>
      <x:c r="F1304" s="2" t="n">
        <x:v>5</x:v>
      </x:c>
      <x:c r="G1304" s="14" t="n">
        <x:f>('레벨 계산식'!$E$4-E1304)*'레벨 계산식'!$B$5</x:f>
        <x:v>0.41999999999999993</x:v>
      </x:c>
      <x:c r="H1304" s="14" t="n">
        <x:f>('등급 계산식'!$E$4-F1304)*'등급 계산식'!$B$5</x:f>
        <x:v>0</x:v>
      </x:c>
      <x:c r="I1304" s="14" t="n">
        <x:f>1-G1304-H1304</x:f>
        <x:v>0.5800000000000001</x:v>
      </x:c>
      <x:c r="J1304" s="2" t="n">
        <x:f>MAX(1,ROUND('기준스탯 72종'!D59-R1304-Z1304,0))</x:f>
        <x:v>3</x:v>
      </x:c>
      <x:c r="K1304" s="2" t="n">
        <x:f>MAX(1,ROUND('기준스탯 72종'!E59-S1304-AA1304,0))</x:f>
        <x:v>4</x:v>
      </x:c>
      <x:c r="L1304" s="2" t="n">
        <x:f>MAX(1,ROUND('기준스탯 72종'!F59-T1304-AB1304,0))</x:f>
        <x:v>5</x:v>
      </x:c>
      <x:c r="M1304" s="2" t="n">
        <x:f>MAX(1,ROUND('기준스탯 72종'!G59-U1304-AC1304,0))</x:f>
        <x:v>5</x:v>
      </x:c>
      <x:c r="N1304" s="2" t="n">
        <x:f>MAX(0,ROUND('기준스탯 72종'!H59-V1304-AD1304,0))</x:f>
        <x:v>3</x:v>
      </x:c>
      <x:c r="O1304" s="2" t="n">
        <x:f>MAX(0,ROUND('기준스탯 72종'!I59-W1304-AE1304,0))</x:f>
        <x:v>2</x:v>
      </x:c>
      <x:c r="P1304" s="2" t="n">
        <x:f>MAX(0,ROUND('기준스탯 72종'!J59-X1304-AF1304,0))</x:f>
        <x:v>3</x:v>
      </x:c>
      <x:c r="Q1304" s="2" t="n">
        <x:f>MAX(0,ROUND('기준스탯 72종'!K59-Y1304-AG1304,0))</x:f>
        <x:v>1</x:v>
      </x:c>
      <x:c r="R1304" s="15" t="n">
        <x:f>'기준스탯 72종'!D59*G1304</x:f>
        <x:v>2.5199999999999996</x:v>
      </x:c>
      <x:c r="S1304" s="15" t="n">
        <x:f>'기준스탯 72종'!E59*G1304</x:f>
        <x:v>2.9399999999999995</x:v>
      </x:c>
      <x:c r="T1304" s="15" t="n">
        <x:f>'기준스탯 72종'!F59*G1304</x:f>
        <x:v>3.3599999999999994</x:v>
      </x:c>
      <x:c r="U1304" s="15" t="n">
        <x:f>'기준스탯 72종'!G59*G1304</x:f>
        <x:v>3.7799999999999994</x:v>
      </x:c>
      <x:c r="V1304" s="15" t="n">
        <x:f>'기준스탯 72종'!H59*G1304</x:f>
        <x:v>2.0999999999999996</x:v>
      </x:c>
      <x:c r="W1304" s="15" t="n">
        <x:f>'기준스탯 72종'!I59*G1304</x:f>
        <x:v>1.6799999999999997</x:v>
      </x:c>
      <x:c r="X1304" s="15" t="n">
        <x:f>'기준스탯 72종'!J59*G1304</x:f>
        <x:v>2.0999999999999996</x:v>
      </x:c>
      <x:c r="Y1304" s="15" t="n">
        <x:f>'기준스탯 72종'!K59*G1304</x:f>
        <x:v>0.8399999999999999</x:v>
      </x:c>
      <x:c r="Z1304" s="15" t="n">
        <x:f>'기준스탯 72종'!D59*H1304</x:f>
        <x:v>0</x:v>
      </x:c>
      <x:c r="AA1304" s="15" t="n">
        <x:f>'기준스탯 72종'!E59*H1304</x:f>
        <x:v>0</x:v>
      </x:c>
      <x:c r="AB1304" s="15" t="n">
        <x:f>'기준스탯 72종'!F59*H1304</x:f>
        <x:v>0</x:v>
      </x:c>
      <x:c r="AC1304" s="15" t="n">
        <x:f>'기준스탯 72종'!G59*H1304</x:f>
        <x:v>0</x:v>
      </x:c>
      <x:c r="AD1304" s="15" t="n">
        <x:f>'기준스탯 72종'!H59*H1304</x:f>
        <x:v>0</x:v>
      </x:c>
      <x:c r="AE1304" s="15" t="n">
        <x:f>'기준스탯 72종'!I59*H1304</x:f>
        <x:v>0</x:v>
      </x:c>
      <x:c r="AF1304" s="15" t="n">
        <x:f>'기준스탯 72종'!J59*H1304</x:f>
        <x:v>0</x:v>
      </x:c>
      <x:c r="AG1304" s="15" t="n">
        <x:f>'기준스탯 72종'!K59*H1304</x:f>
        <x:v>0</x:v>
      </x:c>
    </x:row>
    <x:row r="1305" ht="28" customHeight="1">
      <x:c r="A1305" s="2" t="n">
        <x:v>1298</x:v>
      </x:c>
      <x:c r="B1305" s="2" t="n">
        <x:v>52</x:v>
      </x:c>
      <x:c r="C1305" s="2" t="str">
        <x:v>사수자리</x:v>
      </x:c>
      <x:c r="D1305" s="2" t="str">
        <x:v>정령사</x:v>
      </x:c>
      <x:c r="E1305" s="2" t="n">
        <x:v>3</x:v>
      </x:c>
      <x:c r="F1305" s="2" t="n">
        <x:v>5</x:v>
      </x:c>
      <x:c r="G1305" s="14" t="n">
        <x:f>('레벨 계산식'!$E$4-E1305)*'레벨 계산식'!$B$5</x:f>
        <x:v>0.27999999999999997</x:v>
      </x:c>
      <x:c r="H1305" s="14" t="n">
        <x:f>('등급 계산식'!$E$4-F1305)*'등급 계산식'!$B$5</x:f>
        <x:v>0</x:v>
      </x:c>
      <x:c r="I1305" s="14" t="n">
        <x:f>1-G1305-H1305</x:f>
        <x:v>0.72</x:v>
      </x:c>
      <x:c r="J1305" s="2" t="n">
        <x:f>MAX(1,ROUND('기준스탯 72종'!D59-R1305-Z1305,0))</x:f>
        <x:v>4</x:v>
      </x:c>
      <x:c r="K1305" s="2" t="n">
        <x:f>MAX(1,ROUND('기준스탯 72종'!E59-S1305-AA1305,0))</x:f>
        <x:v>5</x:v>
      </x:c>
      <x:c r="L1305" s="2" t="n">
        <x:f>MAX(1,ROUND('기준스탯 72종'!F59-T1305-AB1305,0))</x:f>
        <x:v>6</x:v>
      </x:c>
      <x:c r="M1305" s="2" t="n">
        <x:f>MAX(1,ROUND('기준스탯 72종'!G59-U1305-AC1305,0))</x:f>
        <x:v>6</x:v>
      </x:c>
      <x:c r="N1305" s="2" t="n">
        <x:f>MAX(0,ROUND('기준스탯 72종'!H59-V1305-AD1305,0))</x:f>
        <x:v>4</x:v>
      </x:c>
      <x:c r="O1305" s="2" t="n">
        <x:f>MAX(0,ROUND('기준스탯 72종'!I59-W1305-AE1305,0))</x:f>
        <x:v>3</x:v>
      </x:c>
      <x:c r="P1305" s="2" t="n">
        <x:f>MAX(0,ROUND('기준스탯 72종'!J59-X1305-AF1305,0))</x:f>
        <x:v>4</x:v>
      </x:c>
      <x:c r="Q1305" s="2" t="n">
        <x:f>MAX(0,ROUND('기준스탯 72종'!K59-Y1305-AG1305,0))</x:f>
        <x:v>1</x:v>
      </x:c>
      <x:c r="R1305" s="15" t="n">
        <x:f>'기준스탯 72종'!D59*G1305</x:f>
        <x:v>1.6799999999999997</x:v>
      </x:c>
      <x:c r="S1305" s="15" t="n">
        <x:f>'기준스탯 72종'!E59*G1305</x:f>
        <x:v>1.9599999999999997</x:v>
      </x:c>
      <x:c r="T1305" s="15" t="n">
        <x:f>'기준스탯 72종'!F59*G1305</x:f>
        <x:v>2.2399999999999998</x:v>
      </x:c>
      <x:c r="U1305" s="15" t="n">
        <x:f>'기준스탯 72종'!G59*G1305</x:f>
        <x:v>2.5199999999999996</x:v>
      </x:c>
      <x:c r="V1305" s="15" t="n">
        <x:f>'기준스탯 72종'!H59*G1305</x:f>
        <x:v>1.4</x:v>
      </x:c>
      <x:c r="W1305" s="15" t="n">
        <x:f>'기준스탯 72종'!I59*G1305</x:f>
        <x:v>1.1199999999999999</x:v>
      </x:c>
      <x:c r="X1305" s="15" t="n">
        <x:f>'기준스탯 72종'!J59*G1305</x:f>
        <x:v>1.4</x:v>
      </x:c>
      <x:c r="Y1305" s="15" t="n">
        <x:f>'기준스탯 72종'!K59*G1305</x:f>
        <x:v>0.5599999999999999</x:v>
      </x:c>
      <x:c r="Z1305" s="15" t="n">
        <x:f>'기준스탯 72종'!D59*H1305</x:f>
        <x:v>0</x:v>
      </x:c>
      <x:c r="AA1305" s="15" t="n">
        <x:f>'기준스탯 72종'!E59*H1305</x:f>
        <x:v>0</x:v>
      </x:c>
      <x:c r="AB1305" s="15" t="n">
        <x:f>'기준스탯 72종'!F59*H1305</x:f>
        <x:v>0</x:v>
      </x:c>
      <x:c r="AC1305" s="15" t="n">
        <x:f>'기준스탯 72종'!G59*H1305</x:f>
        <x:v>0</x:v>
      </x:c>
      <x:c r="AD1305" s="15" t="n">
        <x:f>'기준스탯 72종'!H59*H1305</x:f>
        <x:v>0</x:v>
      </x:c>
      <x:c r="AE1305" s="15" t="n">
        <x:f>'기준스탯 72종'!I59*H1305</x:f>
        <x:v>0</x:v>
      </x:c>
      <x:c r="AF1305" s="15" t="n">
        <x:f>'기준스탯 72종'!J59*H1305</x:f>
        <x:v>0</x:v>
      </x:c>
      <x:c r="AG1305" s="15" t="n">
        <x:f>'기준스탯 72종'!K59*H1305</x:f>
        <x:v>0</x:v>
      </x:c>
    </x:row>
    <x:row r="1306" ht="28" customHeight="1">
      <x:c r="A1306" s="2" t="n">
        <x:v>1299</x:v>
      </x:c>
      <x:c r="B1306" s="2" t="n">
        <x:v>52</x:v>
      </x:c>
      <x:c r="C1306" s="2" t="str">
        <x:v>사수자리</x:v>
      </x:c>
      <x:c r="D1306" s="2" t="str">
        <x:v>정령사</x:v>
      </x:c>
      <x:c r="E1306" s="2" t="n">
        <x:v>4</x:v>
      </x:c>
      <x:c r="F1306" s="2" t="n">
        <x:v>5</x:v>
      </x:c>
      <x:c r="G1306" s="14" t="n">
        <x:f>('레벨 계산식'!$E$4-E1306)*'레벨 계산식'!$B$5</x:f>
        <x:v>0.13999999999999999</x:v>
      </x:c>
      <x:c r="H1306" s="14" t="n">
        <x:f>('등급 계산식'!$E$4-F1306)*'등급 계산식'!$B$5</x:f>
        <x:v>0</x:v>
      </x:c>
      <x:c r="I1306" s="14" t="n">
        <x:f>1-G1306-H1306</x:f>
        <x:v>0.86</x:v>
      </x:c>
      <x:c r="J1306" s="2" t="n">
        <x:f>MAX(1,ROUND('기준스탯 72종'!D59-R1306-Z1306,0))</x:f>
        <x:v>5</x:v>
      </x:c>
      <x:c r="K1306" s="2" t="n">
        <x:f>MAX(1,ROUND('기준스탯 72종'!E59-S1306-AA1306,0))</x:f>
        <x:v>6</x:v>
      </x:c>
      <x:c r="L1306" s="2" t="n">
        <x:f>MAX(1,ROUND('기준스탯 72종'!F59-T1306-AB1306,0))</x:f>
        <x:v>7</x:v>
      </x:c>
      <x:c r="M1306" s="2" t="n">
        <x:f>MAX(1,ROUND('기준스탯 72종'!G59-U1306-AC1306,0))</x:f>
        <x:v>8</x:v>
      </x:c>
      <x:c r="N1306" s="2" t="n">
        <x:f>MAX(0,ROUND('기준스탯 72종'!H59-V1306-AD1306,0))</x:f>
        <x:v>4</x:v>
      </x:c>
      <x:c r="O1306" s="2" t="n">
        <x:f>MAX(0,ROUND('기준스탯 72종'!I59-W1306-AE1306,0))</x:f>
        <x:v>3</x:v>
      </x:c>
      <x:c r="P1306" s="2" t="n">
        <x:f>MAX(0,ROUND('기준스탯 72종'!J59-X1306-AF1306,0))</x:f>
        <x:v>4</x:v>
      </x:c>
      <x:c r="Q1306" s="2" t="n">
        <x:f>MAX(0,ROUND('기준스탯 72종'!K59-Y1306-AG1306,0))</x:f>
        <x:v>2</x:v>
      </x:c>
      <x:c r="R1306" s="15" t="n">
        <x:f>'기준스탯 72종'!D59*G1306</x:f>
        <x:v>0.8399999999999999</x:v>
      </x:c>
      <x:c r="S1306" s="15" t="n">
        <x:f>'기준스탯 72종'!E59*G1306</x:f>
        <x:v>0.9799999999999999</x:v>
      </x:c>
      <x:c r="T1306" s="15" t="n">
        <x:f>'기준스탯 72종'!F59*G1306</x:f>
        <x:v>1.1199999999999999</x:v>
      </x:c>
      <x:c r="U1306" s="15" t="n">
        <x:f>'기준스탯 72종'!G59*G1306</x:f>
        <x:v>1.2599999999999998</x:v>
      </x:c>
      <x:c r="V1306" s="15" t="n">
        <x:f>'기준스탯 72종'!H59*G1306</x:f>
        <x:v>0.7</x:v>
      </x:c>
      <x:c r="W1306" s="15" t="n">
        <x:f>'기준스탯 72종'!I59*G1306</x:f>
        <x:v>0.5599999999999999</x:v>
      </x:c>
      <x:c r="X1306" s="15" t="n">
        <x:f>'기준스탯 72종'!J59*G1306</x:f>
        <x:v>0.7</x:v>
      </x:c>
      <x:c r="Y1306" s="15" t="n">
        <x:f>'기준스탯 72종'!K59*G1306</x:f>
        <x:v>0.27999999999999997</x:v>
      </x:c>
      <x:c r="Z1306" s="15" t="n">
        <x:f>'기준스탯 72종'!D59*H1306</x:f>
        <x:v>0</x:v>
      </x:c>
      <x:c r="AA1306" s="15" t="n">
        <x:f>'기준스탯 72종'!E59*H1306</x:f>
        <x:v>0</x:v>
      </x:c>
      <x:c r="AB1306" s="15" t="n">
        <x:f>'기준스탯 72종'!F59*H1306</x:f>
        <x:v>0</x:v>
      </x:c>
      <x:c r="AC1306" s="15" t="n">
        <x:f>'기준스탯 72종'!G59*H1306</x:f>
        <x:v>0</x:v>
      </x:c>
      <x:c r="AD1306" s="15" t="n">
        <x:f>'기준스탯 72종'!H59*H1306</x:f>
        <x:v>0</x:v>
      </x:c>
      <x:c r="AE1306" s="15" t="n">
        <x:f>'기준스탯 72종'!I59*H1306</x:f>
        <x:v>0</x:v>
      </x:c>
      <x:c r="AF1306" s="15" t="n">
        <x:f>'기준스탯 72종'!J59*H1306</x:f>
        <x:v>0</x:v>
      </x:c>
      <x:c r="AG1306" s="15" t="n">
        <x:f>'기준스탯 72종'!K59*H1306</x:f>
        <x:v>0</x:v>
      </x:c>
    </x:row>
    <x:row r="1307" ht="28" customHeight="1">
      <x:c r="A1307" s="2" t="n">
        <x:v>1300</x:v>
      </x:c>
      <x:c r="B1307" s="2" t="n">
        <x:v>52</x:v>
      </x:c>
      <x:c r="C1307" s="2" t="str">
        <x:v>사수자리</x:v>
      </x:c>
      <x:c r="D1307" s="2" t="str">
        <x:v>정령사</x:v>
      </x:c>
      <x:c r="E1307" s="2" t="n">
        <x:v>5</x:v>
      </x:c>
      <x:c r="F1307" s="2" t="n">
        <x:v>5</x:v>
      </x:c>
      <x:c r="G1307" s="14" t="n">
        <x:f>('레벨 계산식'!$E$4-E1307)*'레벨 계산식'!$B$5</x:f>
        <x:v>0</x:v>
      </x:c>
      <x:c r="H1307" s="14" t="n">
        <x:f>('등급 계산식'!$E$4-F1307)*'등급 계산식'!$B$5</x:f>
        <x:v>0</x:v>
      </x:c>
      <x:c r="I1307" s="14" t="n">
        <x:f>1-G1307-H1307</x:f>
        <x:v>1</x:v>
      </x:c>
      <x:c r="J1307" s="2" t="n">
        <x:f>MAX(1,ROUND('기준스탯 72종'!D59-R1307-Z1307,0))</x:f>
        <x:v>6</x:v>
      </x:c>
      <x:c r="K1307" s="2" t="n">
        <x:f>MAX(1,ROUND('기준스탯 72종'!E59-S1307-AA1307,0))</x:f>
        <x:v>7</x:v>
      </x:c>
      <x:c r="L1307" s="2" t="n">
        <x:f>MAX(1,ROUND('기준스탯 72종'!F59-T1307-AB1307,0))</x:f>
        <x:v>8</x:v>
      </x:c>
      <x:c r="M1307" s="2" t="n">
        <x:f>MAX(1,ROUND('기준스탯 72종'!G59-U1307-AC1307,0))</x:f>
        <x:v>9</x:v>
      </x:c>
      <x:c r="N1307" s="2" t="n">
        <x:f>MAX(0,ROUND('기준스탯 72종'!H59-V1307-AD1307,0))</x:f>
        <x:v>5</x:v>
      </x:c>
      <x:c r="O1307" s="2" t="n">
        <x:f>MAX(0,ROUND('기준스탯 72종'!I59-W1307-AE1307,0))</x:f>
        <x:v>4</x:v>
      </x:c>
      <x:c r="P1307" s="2" t="n">
        <x:f>MAX(0,ROUND('기준스탯 72종'!J59-X1307-AF1307,0))</x:f>
        <x:v>5</x:v>
      </x:c>
      <x:c r="Q1307" s="2" t="n">
        <x:f>MAX(0,ROUND('기준스탯 72종'!K59-Y1307-AG1307,0))</x:f>
        <x:v>2</x:v>
      </x:c>
      <x:c r="R1307" s="15" t="n">
        <x:f>'기준스탯 72종'!D59*G1307</x:f>
        <x:v>0</x:v>
      </x:c>
      <x:c r="S1307" s="15" t="n">
        <x:f>'기준스탯 72종'!E59*G1307</x:f>
        <x:v>0</x:v>
      </x:c>
      <x:c r="T1307" s="15" t="n">
        <x:f>'기준스탯 72종'!F59*G1307</x:f>
        <x:v>0</x:v>
      </x:c>
      <x:c r="U1307" s="15" t="n">
        <x:f>'기준스탯 72종'!G59*G1307</x:f>
        <x:v>0</x:v>
      </x:c>
      <x:c r="V1307" s="15" t="n">
        <x:f>'기준스탯 72종'!H59*G1307</x:f>
        <x:v>0</x:v>
      </x:c>
      <x:c r="W1307" s="15" t="n">
        <x:f>'기준스탯 72종'!I59*G1307</x:f>
        <x:v>0</x:v>
      </x:c>
      <x:c r="X1307" s="15" t="n">
        <x:f>'기준스탯 72종'!J59*G1307</x:f>
        <x:v>0</x:v>
      </x:c>
      <x:c r="Y1307" s="15" t="n">
        <x:f>'기준스탯 72종'!K59*G1307</x:f>
        <x:v>0</x:v>
      </x:c>
      <x:c r="Z1307" s="15" t="n">
        <x:f>'기준스탯 72종'!D59*H1307</x:f>
        <x:v>0</x:v>
      </x:c>
      <x:c r="AA1307" s="15" t="n">
        <x:f>'기준스탯 72종'!E59*H1307</x:f>
        <x:v>0</x:v>
      </x:c>
      <x:c r="AB1307" s="15" t="n">
        <x:f>'기준스탯 72종'!F59*H1307</x:f>
        <x:v>0</x:v>
      </x:c>
      <x:c r="AC1307" s="15" t="n">
        <x:f>'기준스탯 72종'!G59*H1307</x:f>
        <x:v>0</x:v>
      </x:c>
      <x:c r="AD1307" s="15" t="n">
        <x:f>'기준스탯 72종'!H59*H1307</x:f>
        <x:v>0</x:v>
      </x:c>
      <x:c r="AE1307" s="15" t="n">
        <x:f>'기준스탯 72종'!I59*H1307</x:f>
        <x:v>0</x:v>
      </x:c>
      <x:c r="AF1307" s="15" t="n">
        <x:f>'기준스탯 72종'!J59*H1307</x:f>
        <x:v>0</x:v>
      </x:c>
      <x:c r="AG1307" s="15" t="n">
        <x:f>'기준스탯 72종'!K59*H1307</x:f>
        <x:v>0</x:v>
      </x:c>
    </x:row>
    <x:row r="1308" ht="28" customHeight="1">
      <x:c r="A1308" s="2" t="n">
        <x:v>1301</x:v>
      </x:c>
      <x:c r="B1308" s="2" t="n">
        <x:v>53</x:v>
      </x:c>
      <x:c r="C1308" s="2" t="str">
        <x:v>사수자리</x:v>
      </x:c>
      <x:c r="D1308" s="2" t="str">
        <x:v>도적</x:v>
      </x:c>
      <x:c r="E1308" s="2" t="n">
        <x:v>1</x:v>
      </x:c>
      <x:c r="F1308" s="2" t="n">
        <x:v>1</x:v>
      </x:c>
      <x:c r="G1308" s="14" t="n">
        <x:f>('레벨 계산식'!$E$4-E1308)*'레벨 계산식'!$B$5</x:f>
        <x:v>0.5599999999999999</x:v>
      </x:c>
      <x:c r="H1308" s="14" t="n">
        <x:f>('등급 계산식'!$E$4-F1308)*'등급 계산식'!$B$5</x:f>
        <x:v>0.24000000000000005</x:v>
      </x:c>
      <x:c r="I1308" s="14" t="n">
        <x:f>1-G1308-H1308</x:f>
        <x:v>0.2</x:v>
      </x:c>
      <x:c r="J1308" s="2" t="n">
        <x:f>MAX(1,ROUND('기준스탯 72종'!D60-R1308-Z1308,0))</x:f>
        <x:v>2</x:v>
      </x:c>
      <x:c r="K1308" s="2" t="n">
        <x:f>MAX(1,ROUND('기준스탯 72종'!E60-S1308-AA1308,0))</x:f>
        <x:v>1</x:v>
      </x:c>
      <x:c r="L1308" s="2" t="n">
        <x:f>MAX(1,ROUND('기준스탯 72종'!F60-T1308-AB1308,0))</x:f>
        <x:v>1</x:v>
      </x:c>
      <x:c r="M1308" s="2" t="n">
        <x:f>MAX(1,ROUND('기준스탯 72종'!G60-U1308-AC1308,0))</x:f>
        <x:v>2</x:v>
      </x:c>
      <x:c r="N1308" s="2" t="n">
        <x:f>MAX(0,ROUND('기준스탯 72종'!H60-V1308-AD1308,0))</x:f>
        <x:v>1</x:v>
      </x:c>
      <x:c r="O1308" s="2" t="n">
        <x:f>MAX(0,ROUND('기준스탯 72종'!I60-W1308-AE1308,0))</x:f>
        <x:v>1</x:v>
      </x:c>
      <x:c r="P1308" s="2" t="n">
        <x:f>MAX(0,ROUND('기준스탯 72종'!J60-X1308-AF1308,0))</x:f>
        <x:v>1</x:v>
      </x:c>
      <x:c r="Q1308" s="2" t="n">
        <x:f>MAX(0,ROUND('기준스탯 72종'!K60-Y1308-AG1308,0))</x:f>
        <x:v>0</x:v>
      </x:c>
      <x:c r="R1308" s="15" t="n">
        <x:f>'기준스탯 72종'!D60*G1308</x:f>
        <x:v>5.039999999999999</x:v>
      </x:c>
      <x:c r="S1308" s="15" t="n">
        <x:f>'기준스탯 72종'!E60*G1308</x:f>
        <x:v>2.8</x:v>
      </x:c>
      <x:c r="T1308" s="15" t="n">
        <x:f>'기준스탯 72종'!F60*G1308</x:f>
        <x:v>3.3599999999999994</x:v>
      </x:c>
      <x:c r="U1308" s="15" t="n">
        <x:f>'기준스탯 72종'!G60*G1308</x:f>
        <x:v>5.6</x:v>
      </x:c>
      <x:c r="V1308" s="15" t="n">
        <x:f>'기준스탯 72종'!H60*G1308</x:f>
        <x:v>3.9199999999999995</x:v>
      </x:c>
      <x:c r="W1308" s="15" t="n">
        <x:f>'기준스탯 72종'!I60*G1308</x:f>
        <x:v>3.3599999999999994</x:v>
      </x:c>
      <x:c r="X1308" s="15" t="n">
        <x:f>'기준스탯 72종'!J60*G1308</x:f>
        <x:v>1.6799999999999997</x:v>
      </x:c>
      <x:c r="Y1308" s="15" t="n">
        <x:f>'기준스탯 72종'!K60*G1308</x:f>
        <x:v>0</x:v>
      </x:c>
      <x:c r="Z1308" s="15" t="n">
        <x:f>'기준스탯 72종'!D60*H1308</x:f>
        <x:v>2.1600000000000006</x:v>
      </x:c>
      <x:c r="AA1308" s="15" t="n">
        <x:f>'기준스탯 72종'!E60*H1308</x:f>
        <x:v>1.2000000000000002</x:v>
      </x:c>
      <x:c r="AB1308" s="15" t="n">
        <x:f>'기준스탯 72종'!F60*H1308</x:f>
        <x:v>1.4400000000000004</x:v>
      </x:c>
      <x:c r="AC1308" s="15" t="n">
        <x:f>'기준스탯 72종'!G60*H1308</x:f>
        <x:v>2.4000000000000004</x:v>
      </x:c>
      <x:c r="AD1308" s="15" t="n">
        <x:f>'기준스탯 72종'!H60*H1308</x:f>
        <x:v>1.6800000000000004</x:v>
      </x:c>
      <x:c r="AE1308" s="15" t="n">
        <x:f>'기준스탯 72종'!I60*H1308</x:f>
        <x:v>1.4400000000000004</x:v>
      </x:c>
      <x:c r="AF1308" s="15" t="n">
        <x:f>'기준스탯 72종'!J60*H1308</x:f>
        <x:v>0.7200000000000002</x:v>
      </x:c>
      <x:c r="AG1308" s="15" t="n">
        <x:f>'기준스탯 72종'!K60*H1308</x:f>
        <x:v>0</x:v>
      </x:c>
    </x:row>
    <x:row r="1309" ht="28" customHeight="1">
      <x:c r="A1309" s="2" t="n">
        <x:v>1302</x:v>
      </x:c>
      <x:c r="B1309" s="2" t="n">
        <x:v>53</x:v>
      </x:c>
      <x:c r="C1309" s="2" t="str">
        <x:v>사수자리</x:v>
      </x:c>
      <x:c r="D1309" s="2" t="str">
        <x:v>도적</x:v>
      </x:c>
      <x:c r="E1309" s="2" t="n">
        <x:v>2</x:v>
      </x:c>
      <x:c r="F1309" s="2" t="n">
        <x:v>1</x:v>
      </x:c>
      <x:c r="G1309" s="14" t="n">
        <x:f>('레벨 계산식'!$E$4-E1309)*'레벨 계산식'!$B$5</x:f>
        <x:v>0.41999999999999993</x:v>
      </x:c>
      <x:c r="H1309" s="14" t="n">
        <x:f>('등급 계산식'!$E$4-F1309)*'등급 계산식'!$B$5</x:f>
        <x:v>0.24000000000000005</x:v>
      </x:c>
      <x:c r="I1309" s="14" t="n">
        <x:f>1-G1309-H1309</x:f>
        <x:v>0.34</x:v>
      </x:c>
      <x:c r="J1309" s="2" t="n">
        <x:f>MAX(1,ROUND('기준스탯 72종'!D60-R1309-Z1309,0))</x:f>
        <x:v>3</x:v>
      </x:c>
      <x:c r="K1309" s="2" t="n">
        <x:f>MAX(1,ROUND('기준스탯 72종'!E60-S1309-AA1309,0))</x:f>
        <x:v>2</x:v>
      </x:c>
      <x:c r="L1309" s="2" t="n">
        <x:f>MAX(1,ROUND('기준스탯 72종'!F60-T1309-AB1309,0))</x:f>
        <x:v>2</x:v>
      </x:c>
      <x:c r="M1309" s="2" t="n">
        <x:f>MAX(1,ROUND('기준스탯 72종'!G60-U1309-AC1309,0))</x:f>
        <x:v>3</x:v>
      </x:c>
      <x:c r="N1309" s="2" t="n">
        <x:f>MAX(0,ROUND('기준스탯 72종'!H60-V1309-AD1309,0))</x:f>
        <x:v>2</x:v>
      </x:c>
      <x:c r="O1309" s="2" t="n">
        <x:f>MAX(0,ROUND('기준스탯 72종'!I60-W1309-AE1309,0))</x:f>
        <x:v>2</x:v>
      </x:c>
      <x:c r="P1309" s="2" t="n">
        <x:f>MAX(0,ROUND('기준스탯 72종'!J60-X1309-AF1309,0))</x:f>
        <x:v>1</x:v>
      </x:c>
      <x:c r="Q1309" s="2" t="n">
        <x:f>MAX(0,ROUND('기준스탯 72종'!K60-Y1309-AG1309,0))</x:f>
        <x:v>0</x:v>
      </x:c>
      <x:c r="R1309" s="15" t="n">
        <x:f>'기준스탯 72종'!D60*G1309</x:f>
        <x:v>3.7799999999999994</x:v>
      </x:c>
      <x:c r="S1309" s="15" t="n">
        <x:f>'기준스탯 72종'!E60*G1309</x:f>
        <x:v>2.0999999999999996</x:v>
      </x:c>
      <x:c r="T1309" s="15" t="n">
        <x:f>'기준스탯 72종'!F60*G1309</x:f>
        <x:v>2.5199999999999996</x:v>
      </x:c>
      <x:c r="U1309" s="15" t="n">
        <x:f>'기준스탯 72종'!G60*G1309</x:f>
        <x:v>4.199999999999999</x:v>
      </x:c>
      <x:c r="V1309" s="15" t="n">
        <x:f>'기준스탯 72종'!H60*G1309</x:f>
        <x:v>2.9399999999999995</x:v>
      </x:c>
      <x:c r="W1309" s="15" t="n">
        <x:f>'기준스탯 72종'!I60*G1309</x:f>
        <x:v>2.5199999999999996</x:v>
      </x:c>
      <x:c r="X1309" s="15" t="n">
        <x:f>'기준스탯 72종'!J60*G1309</x:f>
        <x:v>1.2599999999999998</x:v>
      </x:c>
      <x:c r="Y1309" s="15" t="n">
        <x:f>'기준스탯 72종'!K60*G1309</x:f>
        <x:v>0</x:v>
      </x:c>
      <x:c r="Z1309" s="15" t="n">
        <x:f>'기준스탯 72종'!D60*H1309</x:f>
        <x:v>2.1600000000000006</x:v>
      </x:c>
      <x:c r="AA1309" s="15" t="n">
        <x:f>'기준스탯 72종'!E60*H1309</x:f>
        <x:v>1.2000000000000002</x:v>
      </x:c>
      <x:c r="AB1309" s="15" t="n">
        <x:f>'기준스탯 72종'!F60*H1309</x:f>
        <x:v>1.4400000000000004</x:v>
      </x:c>
      <x:c r="AC1309" s="15" t="n">
        <x:f>'기준스탯 72종'!G60*H1309</x:f>
        <x:v>2.4000000000000004</x:v>
      </x:c>
      <x:c r="AD1309" s="15" t="n">
        <x:f>'기준스탯 72종'!H60*H1309</x:f>
        <x:v>1.6800000000000004</x:v>
      </x:c>
      <x:c r="AE1309" s="15" t="n">
        <x:f>'기준스탯 72종'!I60*H1309</x:f>
        <x:v>1.4400000000000004</x:v>
      </x:c>
      <x:c r="AF1309" s="15" t="n">
        <x:f>'기준스탯 72종'!J60*H1309</x:f>
        <x:v>0.7200000000000002</x:v>
      </x:c>
      <x:c r="AG1309" s="15" t="n">
        <x:f>'기준스탯 72종'!K60*H1309</x:f>
        <x:v>0</x:v>
      </x:c>
    </x:row>
    <x:row r="1310" ht="28" customHeight="1">
      <x:c r="A1310" s="2" t="n">
        <x:v>1303</x:v>
      </x:c>
      <x:c r="B1310" s="2" t="n">
        <x:v>53</x:v>
      </x:c>
      <x:c r="C1310" s="2" t="str">
        <x:v>사수자리</x:v>
      </x:c>
      <x:c r="D1310" s="2" t="str">
        <x:v>도적</x:v>
      </x:c>
      <x:c r="E1310" s="2" t="n">
        <x:v>3</x:v>
      </x:c>
      <x:c r="F1310" s="2" t="n">
        <x:v>1</x:v>
      </x:c>
      <x:c r="G1310" s="14" t="n">
        <x:f>('레벨 계산식'!$E$4-E1310)*'레벨 계산식'!$B$5</x:f>
        <x:v>0.27999999999999997</x:v>
      </x:c>
      <x:c r="H1310" s="14" t="n">
        <x:f>('등급 계산식'!$E$4-F1310)*'등급 계산식'!$B$5</x:f>
        <x:v>0.24000000000000005</x:v>
      </x:c>
      <x:c r="I1310" s="14" t="n">
        <x:f>1-G1310-H1310</x:f>
        <x:v>0.4799999999999999</x:v>
      </x:c>
      <x:c r="J1310" s="2" t="n">
        <x:f>MAX(1,ROUND('기준스탯 72종'!D60-R1310-Z1310,0))</x:f>
        <x:v>4</x:v>
      </x:c>
      <x:c r="K1310" s="2" t="n">
        <x:f>MAX(1,ROUND('기준스탯 72종'!E60-S1310-AA1310,0))</x:f>
        <x:v>2</x:v>
      </x:c>
      <x:c r="L1310" s="2" t="n">
        <x:f>MAX(1,ROUND('기준스탯 72종'!F60-T1310-AB1310,0))</x:f>
        <x:v>3</x:v>
      </x:c>
      <x:c r="M1310" s="2" t="n">
        <x:f>MAX(1,ROUND('기준스탯 72종'!G60-U1310-AC1310,0))</x:f>
        <x:v>5</x:v>
      </x:c>
      <x:c r="N1310" s="2" t="n">
        <x:f>MAX(0,ROUND('기준스탯 72종'!H60-V1310-AD1310,0))</x:f>
        <x:v>3</x:v>
      </x:c>
      <x:c r="O1310" s="2" t="n">
        <x:f>MAX(0,ROUND('기준스탯 72종'!I60-W1310-AE1310,0))</x:f>
        <x:v>3</x:v>
      </x:c>
      <x:c r="P1310" s="2" t="n">
        <x:f>MAX(0,ROUND('기준스탯 72종'!J60-X1310-AF1310,0))</x:f>
        <x:v>1</x:v>
      </x:c>
      <x:c r="Q1310" s="2" t="n">
        <x:f>MAX(0,ROUND('기준스탯 72종'!K60-Y1310-AG1310,0))</x:f>
        <x:v>0</x:v>
      </x:c>
      <x:c r="R1310" s="15" t="n">
        <x:f>'기준스탯 72종'!D60*G1310</x:f>
        <x:v>2.5199999999999996</x:v>
      </x:c>
      <x:c r="S1310" s="15" t="n">
        <x:f>'기준스탯 72종'!E60*G1310</x:f>
        <x:v>1.4</x:v>
      </x:c>
      <x:c r="T1310" s="15" t="n">
        <x:f>'기준스탯 72종'!F60*G1310</x:f>
        <x:v>1.6799999999999997</x:v>
      </x:c>
      <x:c r="U1310" s="15" t="n">
        <x:f>'기준스탯 72종'!G60*G1310</x:f>
        <x:v>2.8</x:v>
      </x:c>
      <x:c r="V1310" s="15" t="n">
        <x:f>'기준스탯 72종'!H60*G1310</x:f>
        <x:v>1.9599999999999997</x:v>
      </x:c>
      <x:c r="W1310" s="15" t="n">
        <x:f>'기준스탯 72종'!I60*G1310</x:f>
        <x:v>1.6799999999999997</x:v>
      </x:c>
      <x:c r="X1310" s="15" t="n">
        <x:f>'기준스탯 72종'!J60*G1310</x:f>
        <x:v>0.8399999999999999</x:v>
      </x:c>
      <x:c r="Y1310" s="15" t="n">
        <x:f>'기준스탯 72종'!K60*G1310</x:f>
        <x:v>0</x:v>
      </x:c>
      <x:c r="Z1310" s="15" t="n">
        <x:f>'기준스탯 72종'!D60*H1310</x:f>
        <x:v>2.1600000000000006</x:v>
      </x:c>
      <x:c r="AA1310" s="15" t="n">
        <x:f>'기준스탯 72종'!E60*H1310</x:f>
        <x:v>1.2000000000000002</x:v>
      </x:c>
      <x:c r="AB1310" s="15" t="n">
        <x:f>'기준스탯 72종'!F60*H1310</x:f>
        <x:v>1.4400000000000004</x:v>
      </x:c>
      <x:c r="AC1310" s="15" t="n">
        <x:f>'기준스탯 72종'!G60*H1310</x:f>
        <x:v>2.4000000000000004</x:v>
      </x:c>
      <x:c r="AD1310" s="15" t="n">
        <x:f>'기준스탯 72종'!H60*H1310</x:f>
        <x:v>1.6800000000000004</x:v>
      </x:c>
      <x:c r="AE1310" s="15" t="n">
        <x:f>'기준스탯 72종'!I60*H1310</x:f>
        <x:v>1.4400000000000004</x:v>
      </x:c>
      <x:c r="AF1310" s="15" t="n">
        <x:f>'기준스탯 72종'!J60*H1310</x:f>
        <x:v>0.7200000000000002</x:v>
      </x:c>
      <x:c r="AG1310" s="15" t="n">
        <x:f>'기준스탯 72종'!K60*H1310</x:f>
        <x:v>0</x:v>
      </x:c>
    </x:row>
    <x:row r="1311" ht="28" customHeight="1">
      <x:c r="A1311" s="2" t="n">
        <x:v>1304</x:v>
      </x:c>
      <x:c r="B1311" s="2" t="n">
        <x:v>53</x:v>
      </x:c>
      <x:c r="C1311" s="2" t="str">
        <x:v>사수자리</x:v>
      </x:c>
      <x:c r="D1311" s="2" t="str">
        <x:v>도적</x:v>
      </x:c>
      <x:c r="E1311" s="2" t="n">
        <x:v>4</x:v>
      </x:c>
      <x:c r="F1311" s="2" t="n">
        <x:v>1</x:v>
      </x:c>
      <x:c r="G1311" s="14" t="n">
        <x:f>('레벨 계산식'!$E$4-E1311)*'레벨 계산식'!$B$5</x:f>
        <x:v>0.13999999999999999</x:v>
      </x:c>
      <x:c r="H1311" s="14" t="n">
        <x:f>('등급 계산식'!$E$4-F1311)*'등급 계산식'!$B$5</x:f>
        <x:v>0.24000000000000005</x:v>
      </x:c>
      <x:c r="I1311" s="14" t="n">
        <x:f>1-G1311-H1311</x:f>
        <x:v>0.6199999999999999</x:v>
      </x:c>
      <x:c r="J1311" s="2" t="n">
        <x:f>MAX(1,ROUND('기준스탯 72종'!D60-R1311-Z1311,0))</x:f>
        <x:v>6</x:v>
      </x:c>
      <x:c r="K1311" s="2" t="n">
        <x:f>MAX(1,ROUND('기준스탯 72종'!E60-S1311-AA1311,0))</x:f>
        <x:v>3</x:v>
      </x:c>
      <x:c r="L1311" s="2" t="n">
        <x:f>MAX(1,ROUND('기준스탯 72종'!F60-T1311-AB1311,0))</x:f>
        <x:v>4</x:v>
      </x:c>
      <x:c r="M1311" s="2" t="n">
        <x:f>MAX(1,ROUND('기준스탯 72종'!G60-U1311-AC1311,0))</x:f>
        <x:v>6</x:v>
      </x:c>
      <x:c r="N1311" s="2" t="n">
        <x:f>MAX(0,ROUND('기준스탯 72종'!H60-V1311-AD1311,0))</x:f>
        <x:v>4</x:v>
      </x:c>
      <x:c r="O1311" s="2" t="n">
        <x:f>MAX(0,ROUND('기준스탯 72종'!I60-W1311-AE1311,0))</x:f>
        <x:v>4</x:v>
      </x:c>
      <x:c r="P1311" s="2" t="n">
        <x:f>MAX(0,ROUND('기준스탯 72종'!J60-X1311-AF1311,0))</x:f>
        <x:v>2</x:v>
      </x:c>
      <x:c r="Q1311" s="2" t="n">
        <x:f>MAX(0,ROUND('기준스탯 72종'!K60-Y1311-AG1311,0))</x:f>
        <x:v>0</x:v>
      </x:c>
      <x:c r="R1311" s="15" t="n">
        <x:f>'기준스탯 72종'!D60*G1311</x:f>
        <x:v>1.2599999999999998</x:v>
      </x:c>
      <x:c r="S1311" s="15" t="n">
        <x:f>'기준스탯 72종'!E60*G1311</x:f>
        <x:v>0.7</x:v>
      </x:c>
      <x:c r="T1311" s="15" t="n">
        <x:f>'기준스탯 72종'!F60*G1311</x:f>
        <x:v>0.8399999999999999</x:v>
      </x:c>
      <x:c r="U1311" s="15" t="n">
        <x:f>'기준스탯 72종'!G60*G1311</x:f>
        <x:v>1.4</x:v>
      </x:c>
      <x:c r="V1311" s="15" t="n">
        <x:f>'기준스탯 72종'!H60*G1311</x:f>
        <x:v>0.9799999999999999</x:v>
      </x:c>
      <x:c r="W1311" s="15" t="n">
        <x:f>'기준스탯 72종'!I60*G1311</x:f>
        <x:v>0.8399999999999999</x:v>
      </x:c>
      <x:c r="X1311" s="15" t="n">
        <x:f>'기준스탯 72종'!J60*G1311</x:f>
        <x:v>0.41999999999999993</x:v>
      </x:c>
      <x:c r="Y1311" s="15" t="n">
        <x:f>'기준스탯 72종'!K60*G1311</x:f>
        <x:v>0</x:v>
      </x:c>
      <x:c r="Z1311" s="15" t="n">
        <x:f>'기준스탯 72종'!D60*H1311</x:f>
        <x:v>2.1600000000000006</x:v>
      </x:c>
      <x:c r="AA1311" s="15" t="n">
        <x:f>'기준스탯 72종'!E60*H1311</x:f>
        <x:v>1.2000000000000002</x:v>
      </x:c>
      <x:c r="AB1311" s="15" t="n">
        <x:f>'기준스탯 72종'!F60*H1311</x:f>
        <x:v>1.4400000000000004</x:v>
      </x:c>
      <x:c r="AC1311" s="15" t="n">
        <x:f>'기준스탯 72종'!G60*H1311</x:f>
        <x:v>2.4000000000000004</x:v>
      </x:c>
      <x:c r="AD1311" s="15" t="n">
        <x:f>'기준스탯 72종'!H60*H1311</x:f>
        <x:v>1.6800000000000004</x:v>
      </x:c>
      <x:c r="AE1311" s="15" t="n">
        <x:f>'기준스탯 72종'!I60*H1311</x:f>
        <x:v>1.4400000000000004</x:v>
      </x:c>
      <x:c r="AF1311" s="15" t="n">
        <x:f>'기준스탯 72종'!J60*H1311</x:f>
        <x:v>0.7200000000000002</x:v>
      </x:c>
      <x:c r="AG1311" s="15" t="n">
        <x:f>'기준스탯 72종'!K60*H1311</x:f>
        <x:v>0</x:v>
      </x:c>
    </x:row>
    <x:row r="1312" ht="28" customHeight="1">
      <x:c r="A1312" s="2" t="n">
        <x:v>1305</x:v>
      </x:c>
      <x:c r="B1312" s="2" t="n">
        <x:v>53</x:v>
      </x:c>
      <x:c r="C1312" s="2" t="str">
        <x:v>사수자리</x:v>
      </x:c>
      <x:c r="D1312" s="2" t="str">
        <x:v>도적</x:v>
      </x:c>
      <x:c r="E1312" s="2" t="n">
        <x:v>5</x:v>
      </x:c>
      <x:c r="F1312" s="2" t="n">
        <x:v>1</x:v>
      </x:c>
      <x:c r="G1312" s="14" t="n">
        <x:f>('레벨 계산식'!$E$4-E1312)*'레벨 계산식'!$B$5</x:f>
        <x:v>0</x:v>
      </x:c>
      <x:c r="H1312" s="14" t="n">
        <x:f>('등급 계산식'!$E$4-F1312)*'등급 계산식'!$B$5</x:f>
        <x:v>0.24000000000000005</x:v>
      </x:c>
      <x:c r="I1312" s="14" t="n">
        <x:f>1-G1312-H1312</x:f>
        <x:v>0.76</x:v>
      </x:c>
      <x:c r="J1312" s="2" t="n">
        <x:f>MAX(1,ROUND('기준스탯 72종'!D60-R1312-Z1312,0))</x:f>
        <x:v>7</x:v>
      </x:c>
      <x:c r="K1312" s="2" t="n">
        <x:f>MAX(1,ROUND('기준스탯 72종'!E60-S1312-AA1312,0))</x:f>
        <x:v>4</x:v>
      </x:c>
      <x:c r="L1312" s="2" t="n">
        <x:f>MAX(1,ROUND('기준스탯 72종'!F60-T1312-AB1312,0))</x:f>
        <x:v>5</x:v>
      </x:c>
      <x:c r="M1312" s="2" t="n">
        <x:f>MAX(1,ROUND('기준스탯 72종'!G60-U1312-AC1312,0))</x:f>
        <x:v>8</x:v>
      </x:c>
      <x:c r="N1312" s="2" t="n">
        <x:f>MAX(0,ROUND('기준스탯 72종'!H60-V1312-AD1312,0))</x:f>
        <x:v>5</x:v>
      </x:c>
      <x:c r="O1312" s="2" t="n">
        <x:f>MAX(0,ROUND('기준스탯 72종'!I60-W1312-AE1312,0))</x:f>
        <x:v>5</x:v>
      </x:c>
      <x:c r="P1312" s="2" t="n">
        <x:f>MAX(0,ROUND('기준스탯 72종'!J60-X1312-AF1312,0))</x:f>
        <x:v>2</x:v>
      </x:c>
      <x:c r="Q1312" s="2" t="n">
        <x:f>MAX(0,ROUND('기준스탯 72종'!K60-Y1312-AG1312,0))</x:f>
        <x:v>0</x:v>
      </x:c>
      <x:c r="R1312" s="15" t="n">
        <x:f>'기준스탯 72종'!D60*G1312</x:f>
        <x:v>0</x:v>
      </x:c>
      <x:c r="S1312" s="15" t="n">
        <x:f>'기준스탯 72종'!E60*G1312</x:f>
        <x:v>0</x:v>
      </x:c>
      <x:c r="T1312" s="15" t="n">
        <x:f>'기준스탯 72종'!F60*G1312</x:f>
        <x:v>0</x:v>
      </x:c>
      <x:c r="U1312" s="15" t="n">
        <x:f>'기준스탯 72종'!G60*G1312</x:f>
        <x:v>0</x:v>
      </x:c>
      <x:c r="V1312" s="15" t="n">
        <x:f>'기준스탯 72종'!H60*G1312</x:f>
        <x:v>0</x:v>
      </x:c>
      <x:c r="W1312" s="15" t="n">
        <x:f>'기준스탯 72종'!I60*G1312</x:f>
        <x:v>0</x:v>
      </x:c>
      <x:c r="X1312" s="15" t="n">
        <x:f>'기준스탯 72종'!J60*G1312</x:f>
        <x:v>0</x:v>
      </x:c>
      <x:c r="Y1312" s="15" t="n">
        <x:f>'기준스탯 72종'!K60*G1312</x:f>
        <x:v>0</x:v>
      </x:c>
      <x:c r="Z1312" s="15" t="n">
        <x:f>'기준스탯 72종'!D60*H1312</x:f>
        <x:v>2.1600000000000006</x:v>
      </x:c>
      <x:c r="AA1312" s="15" t="n">
        <x:f>'기준스탯 72종'!E60*H1312</x:f>
        <x:v>1.2000000000000002</x:v>
      </x:c>
      <x:c r="AB1312" s="15" t="n">
        <x:f>'기준스탯 72종'!F60*H1312</x:f>
        <x:v>1.4400000000000004</x:v>
      </x:c>
      <x:c r="AC1312" s="15" t="n">
        <x:f>'기준스탯 72종'!G60*H1312</x:f>
        <x:v>2.4000000000000004</x:v>
      </x:c>
      <x:c r="AD1312" s="15" t="n">
        <x:f>'기준스탯 72종'!H60*H1312</x:f>
        <x:v>1.6800000000000004</x:v>
      </x:c>
      <x:c r="AE1312" s="15" t="n">
        <x:f>'기준스탯 72종'!I60*H1312</x:f>
        <x:v>1.4400000000000004</x:v>
      </x:c>
      <x:c r="AF1312" s="15" t="n">
        <x:f>'기준스탯 72종'!J60*H1312</x:f>
        <x:v>0.7200000000000002</x:v>
      </x:c>
      <x:c r="AG1312" s="15" t="n">
        <x:f>'기준스탯 72종'!K60*H1312</x:f>
        <x:v>0</x:v>
      </x:c>
    </x:row>
    <x:row r="1313" ht="28" customHeight="1">
      <x:c r="A1313" s="2" t="n">
        <x:v>1306</x:v>
      </x:c>
      <x:c r="B1313" s="2" t="n">
        <x:v>53</x:v>
      </x:c>
      <x:c r="C1313" s="2" t="str">
        <x:v>사수자리</x:v>
      </x:c>
      <x:c r="D1313" s="2" t="str">
        <x:v>도적</x:v>
      </x:c>
      <x:c r="E1313" s="2" t="n">
        <x:v>1</x:v>
      </x:c>
      <x:c r="F1313" s="2" t="n">
        <x:v>2</x:v>
      </x:c>
      <x:c r="G1313" s="14" t="n">
        <x:f>('레벨 계산식'!$E$4-E1313)*'레벨 계산식'!$B$5</x:f>
        <x:v>0.5599999999999999</x:v>
      </x:c>
      <x:c r="H1313" s="14" t="n">
        <x:f>('등급 계산식'!$E$4-F1313)*'등급 계산식'!$B$5</x:f>
        <x:v>0.18000000000000005</x:v>
      </x:c>
      <x:c r="I1313" s="14" t="n">
        <x:f>1-G1313-H1313</x:f>
        <x:v>0.26</x:v>
      </x:c>
      <x:c r="J1313" s="2" t="n">
        <x:f>MAX(1,ROUND('기준스탯 72종'!D60-R1313-Z1313,0))</x:f>
        <x:v>2</x:v>
      </x:c>
      <x:c r="K1313" s="2" t="n">
        <x:f>MAX(1,ROUND('기준스탯 72종'!E60-S1313-AA1313,0))</x:f>
        <x:v>1</x:v>
      </x:c>
      <x:c r="L1313" s="2" t="n">
        <x:f>MAX(1,ROUND('기준스탯 72종'!F60-T1313-AB1313,0))</x:f>
        <x:v>2</x:v>
      </x:c>
      <x:c r="M1313" s="2" t="n">
        <x:f>MAX(1,ROUND('기준스탯 72종'!G60-U1313-AC1313,0))</x:f>
        <x:v>3</x:v>
      </x:c>
      <x:c r="N1313" s="2" t="n">
        <x:f>MAX(0,ROUND('기준스탯 72종'!H60-V1313-AD1313,0))</x:f>
        <x:v>2</x:v>
      </x:c>
      <x:c r="O1313" s="2" t="n">
        <x:f>MAX(0,ROUND('기준스탯 72종'!I60-W1313-AE1313,0))</x:f>
        <x:v>2</x:v>
      </x:c>
      <x:c r="P1313" s="2" t="n">
        <x:f>MAX(0,ROUND('기준스탯 72종'!J60-X1313-AF1313,0))</x:f>
        <x:v>1</x:v>
      </x:c>
      <x:c r="Q1313" s="2" t="n">
        <x:f>MAX(0,ROUND('기준스탯 72종'!K60-Y1313-AG1313,0))</x:f>
        <x:v>0</x:v>
      </x:c>
      <x:c r="R1313" s="15" t="n">
        <x:f>'기준스탯 72종'!D60*G1313</x:f>
        <x:v>5.039999999999999</x:v>
      </x:c>
      <x:c r="S1313" s="15" t="n">
        <x:f>'기준스탯 72종'!E60*G1313</x:f>
        <x:v>2.8</x:v>
      </x:c>
      <x:c r="T1313" s="15" t="n">
        <x:f>'기준스탯 72종'!F60*G1313</x:f>
        <x:v>3.3599999999999994</x:v>
      </x:c>
      <x:c r="U1313" s="15" t="n">
        <x:f>'기준스탯 72종'!G60*G1313</x:f>
        <x:v>5.6</x:v>
      </x:c>
      <x:c r="V1313" s="15" t="n">
        <x:f>'기준스탯 72종'!H60*G1313</x:f>
        <x:v>3.9199999999999995</x:v>
      </x:c>
      <x:c r="W1313" s="15" t="n">
        <x:f>'기준스탯 72종'!I60*G1313</x:f>
        <x:v>3.3599999999999994</x:v>
      </x:c>
      <x:c r="X1313" s="15" t="n">
        <x:f>'기준스탯 72종'!J60*G1313</x:f>
        <x:v>1.6799999999999997</x:v>
      </x:c>
      <x:c r="Y1313" s="15" t="n">
        <x:f>'기준스탯 72종'!K60*G1313</x:f>
        <x:v>0</x:v>
      </x:c>
      <x:c r="Z1313" s="15" t="n">
        <x:f>'기준스탯 72종'!D60*H1313</x:f>
        <x:v>1.6200000000000006</x:v>
      </x:c>
      <x:c r="AA1313" s="15" t="n">
        <x:f>'기준스탯 72종'!E60*H1313</x:f>
        <x:v>0.9000000000000002</x:v>
      </x:c>
      <x:c r="AB1313" s="15" t="n">
        <x:f>'기준스탯 72종'!F60*H1313</x:f>
        <x:v>1.0800000000000003</x:v>
      </x:c>
      <x:c r="AC1313" s="15" t="n">
        <x:f>'기준스탯 72종'!G60*H1313</x:f>
        <x:v>1.8000000000000005</x:v>
      </x:c>
      <x:c r="AD1313" s="15" t="n">
        <x:f>'기준스탯 72종'!H60*H1313</x:f>
        <x:v>1.2600000000000002</x:v>
      </x:c>
      <x:c r="AE1313" s="15" t="n">
        <x:f>'기준스탯 72종'!I60*H1313</x:f>
        <x:v>1.0800000000000003</x:v>
      </x:c>
      <x:c r="AF1313" s="15" t="n">
        <x:f>'기준스탯 72종'!J60*H1313</x:f>
        <x:v>0.5400000000000001</x:v>
      </x:c>
      <x:c r="AG1313" s="15" t="n">
        <x:f>'기준스탯 72종'!K60*H1313</x:f>
        <x:v>0</x:v>
      </x:c>
    </x:row>
    <x:row r="1314" ht="28" customHeight="1">
      <x:c r="A1314" s="2" t="n">
        <x:v>1307</x:v>
      </x:c>
      <x:c r="B1314" s="2" t="n">
        <x:v>53</x:v>
      </x:c>
      <x:c r="C1314" s="2" t="str">
        <x:v>사수자리</x:v>
      </x:c>
      <x:c r="D1314" s="2" t="str">
        <x:v>도적</x:v>
      </x:c>
      <x:c r="E1314" s="2" t="n">
        <x:v>2</x:v>
      </x:c>
      <x:c r="F1314" s="2" t="n">
        <x:v>2</x:v>
      </x:c>
      <x:c r="G1314" s="14" t="n">
        <x:f>('레벨 계산식'!$E$4-E1314)*'레벨 계산식'!$B$5</x:f>
        <x:v>0.41999999999999993</x:v>
      </x:c>
      <x:c r="H1314" s="14" t="n">
        <x:f>('등급 계산식'!$E$4-F1314)*'등급 계산식'!$B$5</x:f>
        <x:v>0.18000000000000005</x:v>
      </x:c>
      <x:c r="I1314" s="14" t="n">
        <x:f>1-G1314-H1314</x:f>
        <x:v>0.4</x:v>
      </x:c>
      <x:c r="J1314" s="2" t="n">
        <x:f>MAX(1,ROUND('기준스탯 72종'!D60-R1314-Z1314,0))</x:f>
        <x:v>4</x:v>
      </x:c>
      <x:c r="K1314" s="2" t="n">
        <x:f>MAX(1,ROUND('기준스탯 72종'!E60-S1314-AA1314,0))</x:f>
        <x:v>2</x:v>
      </x:c>
      <x:c r="L1314" s="2" t="n">
        <x:f>MAX(1,ROUND('기준스탯 72종'!F60-T1314-AB1314,0))</x:f>
        <x:v>2</x:v>
      </x:c>
      <x:c r="M1314" s="2" t="n">
        <x:f>MAX(1,ROUND('기준스탯 72종'!G60-U1314-AC1314,0))</x:f>
        <x:v>4</x:v>
      </x:c>
      <x:c r="N1314" s="2" t="n">
        <x:f>MAX(0,ROUND('기준스탯 72종'!H60-V1314-AD1314,0))</x:f>
        <x:v>3</x:v>
      </x:c>
      <x:c r="O1314" s="2" t="n">
        <x:f>MAX(0,ROUND('기준스탯 72종'!I60-W1314-AE1314,0))</x:f>
        <x:v>2</x:v>
      </x:c>
      <x:c r="P1314" s="2" t="n">
        <x:f>MAX(0,ROUND('기준스탯 72종'!J60-X1314-AF1314,0))</x:f>
        <x:v>1</x:v>
      </x:c>
      <x:c r="Q1314" s="2" t="n">
        <x:f>MAX(0,ROUND('기준스탯 72종'!K60-Y1314-AG1314,0))</x:f>
        <x:v>0</x:v>
      </x:c>
      <x:c r="R1314" s="15" t="n">
        <x:f>'기준스탯 72종'!D60*G1314</x:f>
        <x:v>3.7799999999999994</x:v>
      </x:c>
      <x:c r="S1314" s="15" t="n">
        <x:f>'기준스탯 72종'!E60*G1314</x:f>
        <x:v>2.0999999999999996</x:v>
      </x:c>
      <x:c r="T1314" s="15" t="n">
        <x:f>'기준스탯 72종'!F60*G1314</x:f>
        <x:v>2.5199999999999996</x:v>
      </x:c>
      <x:c r="U1314" s="15" t="n">
        <x:f>'기준스탯 72종'!G60*G1314</x:f>
        <x:v>4.199999999999999</x:v>
      </x:c>
      <x:c r="V1314" s="15" t="n">
        <x:f>'기준스탯 72종'!H60*G1314</x:f>
        <x:v>2.9399999999999995</x:v>
      </x:c>
      <x:c r="W1314" s="15" t="n">
        <x:f>'기준스탯 72종'!I60*G1314</x:f>
        <x:v>2.5199999999999996</x:v>
      </x:c>
      <x:c r="X1314" s="15" t="n">
        <x:f>'기준스탯 72종'!J60*G1314</x:f>
        <x:v>1.2599999999999998</x:v>
      </x:c>
      <x:c r="Y1314" s="15" t="n">
        <x:f>'기준스탯 72종'!K60*G1314</x:f>
        <x:v>0</x:v>
      </x:c>
      <x:c r="Z1314" s="15" t="n">
        <x:f>'기준스탯 72종'!D60*H1314</x:f>
        <x:v>1.6200000000000006</x:v>
      </x:c>
      <x:c r="AA1314" s="15" t="n">
        <x:f>'기준스탯 72종'!E60*H1314</x:f>
        <x:v>0.9000000000000002</x:v>
      </x:c>
      <x:c r="AB1314" s="15" t="n">
        <x:f>'기준스탯 72종'!F60*H1314</x:f>
        <x:v>1.0800000000000003</x:v>
      </x:c>
      <x:c r="AC1314" s="15" t="n">
        <x:f>'기준스탯 72종'!G60*H1314</x:f>
        <x:v>1.8000000000000005</x:v>
      </x:c>
      <x:c r="AD1314" s="15" t="n">
        <x:f>'기준스탯 72종'!H60*H1314</x:f>
        <x:v>1.2600000000000002</x:v>
      </x:c>
      <x:c r="AE1314" s="15" t="n">
        <x:f>'기준스탯 72종'!I60*H1314</x:f>
        <x:v>1.0800000000000003</x:v>
      </x:c>
      <x:c r="AF1314" s="15" t="n">
        <x:f>'기준스탯 72종'!J60*H1314</x:f>
        <x:v>0.5400000000000001</x:v>
      </x:c>
      <x:c r="AG1314" s="15" t="n">
        <x:f>'기준스탯 72종'!K60*H1314</x:f>
        <x:v>0</x:v>
      </x:c>
    </x:row>
    <x:row r="1315" ht="28" customHeight="1">
      <x:c r="A1315" s="2" t="n">
        <x:v>1308</x:v>
      </x:c>
      <x:c r="B1315" s="2" t="n">
        <x:v>53</x:v>
      </x:c>
      <x:c r="C1315" s="2" t="str">
        <x:v>사수자리</x:v>
      </x:c>
      <x:c r="D1315" s="2" t="str">
        <x:v>도적</x:v>
      </x:c>
      <x:c r="E1315" s="2" t="n">
        <x:v>3</x:v>
      </x:c>
      <x:c r="F1315" s="2" t="n">
        <x:v>2</x:v>
      </x:c>
      <x:c r="G1315" s="14" t="n">
        <x:f>('레벨 계산식'!$E$4-E1315)*'레벨 계산식'!$B$5</x:f>
        <x:v>0.27999999999999997</x:v>
      </x:c>
      <x:c r="H1315" s="14" t="n">
        <x:f>('등급 계산식'!$E$4-F1315)*'등급 계산식'!$B$5</x:f>
        <x:v>0.18000000000000005</x:v>
      </x:c>
      <x:c r="I1315" s="14" t="n">
        <x:f>1-G1315-H1315</x:f>
        <x:v>0.5399999999999999</x:v>
      </x:c>
      <x:c r="J1315" s="2" t="n">
        <x:f>MAX(1,ROUND('기준스탯 72종'!D60-R1315-Z1315,0))</x:f>
        <x:v>5</x:v>
      </x:c>
      <x:c r="K1315" s="2" t="n">
        <x:f>MAX(1,ROUND('기준스탯 72종'!E60-S1315-AA1315,0))</x:f>
        <x:v>3</x:v>
      </x:c>
      <x:c r="L1315" s="2" t="n">
        <x:f>MAX(1,ROUND('기준스탯 72종'!F60-T1315-AB1315,0))</x:f>
        <x:v>3</x:v>
      </x:c>
      <x:c r="M1315" s="2" t="n">
        <x:f>MAX(1,ROUND('기준스탯 72종'!G60-U1315-AC1315,0))</x:f>
        <x:v>5</x:v>
      </x:c>
      <x:c r="N1315" s="2" t="n">
        <x:f>MAX(0,ROUND('기준스탯 72종'!H60-V1315-AD1315,0))</x:f>
        <x:v>4</x:v>
      </x:c>
      <x:c r="O1315" s="2" t="n">
        <x:f>MAX(0,ROUND('기준스탯 72종'!I60-W1315-AE1315,0))</x:f>
        <x:v>3</x:v>
      </x:c>
      <x:c r="P1315" s="2" t="n">
        <x:f>MAX(0,ROUND('기준스탯 72종'!J60-X1315-AF1315,0))</x:f>
        <x:v>2</x:v>
      </x:c>
      <x:c r="Q1315" s="2" t="n">
        <x:f>MAX(0,ROUND('기준스탯 72종'!K60-Y1315-AG1315,0))</x:f>
        <x:v>0</x:v>
      </x:c>
      <x:c r="R1315" s="15" t="n">
        <x:f>'기준스탯 72종'!D60*G1315</x:f>
        <x:v>2.5199999999999996</x:v>
      </x:c>
      <x:c r="S1315" s="15" t="n">
        <x:f>'기준스탯 72종'!E60*G1315</x:f>
        <x:v>1.4</x:v>
      </x:c>
      <x:c r="T1315" s="15" t="n">
        <x:f>'기준스탯 72종'!F60*G1315</x:f>
        <x:v>1.6799999999999997</x:v>
      </x:c>
      <x:c r="U1315" s="15" t="n">
        <x:f>'기준스탯 72종'!G60*G1315</x:f>
        <x:v>2.8</x:v>
      </x:c>
      <x:c r="V1315" s="15" t="n">
        <x:f>'기준스탯 72종'!H60*G1315</x:f>
        <x:v>1.9599999999999997</x:v>
      </x:c>
      <x:c r="W1315" s="15" t="n">
        <x:f>'기준스탯 72종'!I60*G1315</x:f>
        <x:v>1.6799999999999997</x:v>
      </x:c>
      <x:c r="X1315" s="15" t="n">
        <x:f>'기준스탯 72종'!J60*G1315</x:f>
        <x:v>0.8399999999999999</x:v>
      </x:c>
      <x:c r="Y1315" s="15" t="n">
        <x:f>'기준스탯 72종'!K60*G1315</x:f>
        <x:v>0</x:v>
      </x:c>
      <x:c r="Z1315" s="15" t="n">
        <x:f>'기준스탯 72종'!D60*H1315</x:f>
        <x:v>1.6200000000000006</x:v>
      </x:c>
      <x:c r="AA1315" s="15" t="n">
        <x:f>'기준스탯 72종'!E60*H1315</x:f>
        <x:v>0.9000000000000002</x:v>
      </x:c>
      <x:c r="AB1315" s="15" t="n">
        <x:f>'기준스탯 72종'!F60*H1315</x:f>
        <x:v>1.0800000000000003</x:v>
      </x:c>
      <x:c r="AC1315" s="15" t="n">
        <x:f>'기준스탯 72종'!G60*H1315</x:f>
        <x:v>1.8000000000000005</x:v>
      </x:c>
      <x:c r="AD1315" s="15" t="n">
        <x:f>'기준스탯 72종'!H60*H1315</x:f>
        <x:v>1.2600000000000002</x:v>
      </x:c>
      <x:c r="AE1315" s="15" t="n">
        <x:f>'기준스탯 72종'!I60*H1315</x:f>
        <x:v>1.0800000000000003</x:v>
      </x:c>
      <x:c r="AF1315" s="15" t="n">
        <x:f>'기준스탯 72종'!J60*H1315</x:f>
        <x:v>0.5400000000000001</x:v>
      </x:c>
      <x:c r="AG1315" s="15" t="n">
        <x:f>'기준스탯 72종'!K60*H1315</x:f>
        <x:v>0</x:v>
      </x:c>
    </x:row>
    <x:row r="1316" ht="28" customHeight="1">
      <x:c r="A1316" s="2" t="n">
        <x:v>1309</x:v>
      </x:c>
      <x:c r="B1316" s="2" t="n">
        <x:v>53</x:v>
      </x:c>
      <x:c r="C1316" s="2" t="str">
        <x:v>사수자리</x:v>
      </x:c>
      <x:c r="D1316" s="2" t="str">
        <x:v>도적</x:v>
      </x:c>
      <x:c r="E1316" s="2" t="n">
        <x:v>4</x:v>
      </x:c>
      <x:c r="F1316" s="2" t="n">
        <x:v>2</x:v>
      </x:c>
      <x:c r="G1316" s="14" t="n">
        <x:f>('레벨 계산식'!$E$4-E1316)*'레벨 계산식'!$B$5</x:f>
        <x:v>0.13999999999999999</x:v>
      </x:c>
      <x:c r="H1316" s="14" t="n">
        <x:f>('등급 계산식'!$E$4-F1316)*'등급 계산식'!$B$5</x:f>
        <x:v>0.18000000000000005</x:v>
      </x:c>
      <x:c r="I1316" s="14" t="n">
        <x:f>1-G1316-H1316</x:f>
        <x:v>0.6799999999999999</x:v>
      </x:c>
      <x:c r="J1316" s="2" t="n">
        <x:f>MAX(1,ROUND('기준스탯 72종'!D60-R1316-Z1316,0))</x:f>
        <x:v>6</x:v>
      </x:c>
      <x:c r="K1316" s="2" t="n">
        <x:f>MAX(1,ROUND('기준스탯 72종'!E60-S1316-AA1316,0))</x:f>
        <x:v>3</x:v>
      </x:c>
      <x:c r="L1316" s="2" t="n">
        <x:f>MAX(1,ROUND('기준스탯 72종'!F60-T1316-AB1316,0))</x:f>
        <x:v>4</x:v>
      </x:c>
      <x:c r="M1316" s="2" t="n">
        <x:f>MAX(1,ROUND('기준스탯 72종'!G60-U1316-AC1316,0))</x:f>
        <x:v>7</x:v>
      </x:c>
      <x:c r="N1316" s="2" t="n">
        <x:f>MAX(0,ROUND('기준스탯 72종'!H60-V1316-AD1316,0))</x:f>
        <x:v>5</x:v>
      </x:c>
      <x:c r="O1316" s="2" t="n">
        <x:f>MAX(0,ROUND('기준스탯 72종'!I60-W1316-AE1316,0))</x:f>
        <x:v>4</x:v>
      </x:c>
      <x:c r="P1316" s="2" t="n">
        <x:f>MAX(0,ROUND('기준스탯 72종'!J60-X1316-AF1316,0))</x:f>
        <x:v>2</x:v>
      </x:c>
      <x:c r="Q1316" s="2" t="n">
        <x:f>MAX(0,ROUND('기준스탯 72종'!K60-Y1316-AG1316,0))</x:f>
        <x:v>0</x:v>
      </x:c>
      <x:c r="R1316" s="15" t="n">
        <x:f>'기준스탯 72종'!D60*G1316</x:f>
        <x:v>1.2599999999999998</x:v>
      </x:c>
      <x:c r="S1316" s="15" t="n">
        <x:f>'기준스탯 72종'!E60*G1316</x:f>
        <x:v>0.7</x:v>
      </x:c>
      <x:c r="T1316" s="15" t="n">
        <x:f>'기준스탯 72종'!F60*G1316</x:f>
        <x:v>0.8399999999999999</x:v>
      </x:c>
      <x:c r="U1316" s="15" t="n">
        <x:f>'기준스탯 72종'!G60*G1316</x:f>
        <x:v>1.4</x:v>
      </x:c>
      <x:c r="V1316" s="15" t="n">
        <x:f>'기준스탯 72종'!H60*G1316</x:f>
        <x:v>0.9799999999999999</x:v>
      </x:c>
      <x:c r="W1316" s="15" t="n">
        <x:f>'기준스탯 72종'!I60*G1316</x:f>
        <x:v>0.8399999999999999</x:v>
      </x:c>
      <x:c r="X1316" s="15" t="n">
        <x:f>'기준스탯 72종'!J60*G1316</x:f>
        <x:v>0.41999999999999993</x:v>
      </x:c>
      <x:c r="Y1316" s="15" t="n">
        <x:f>'기준스탯 72종'!K60*G1316</x:f>
        <x:v>0</x:v>
      </x:c>
      <x:c r="Z1316" s="15" t="n">
        <x:f>'기준스탯 72종'!D60*H1316</x:f>
        <x:v>1.6200000000000006</x:v>
      </x:c>
      <x:c r="AA1316" s="15" t="n">
        <x:f>'기준스탯 72종'!E60*H1316</x:f>
        <x:v>0.9000000000000002</x:v>
      </x:c>
      <x:c r="AB1316" s="15" t="n">
        <x:f>'기준스탯 72종'!F60*H1316</x:f>
        <x:v>1.0800000000000003</x:v>
      </x:c>
      <x:c r="AC1316" s="15" t="n">
        <x:f>'기준스탯 72종'!G60*H1316</x:f>
        <x:v>1.8000000000000005</x:v>
      </x:c>
      <x:c r="AD1316" s="15" t="n">
        <x:f>'기준스탯 72종'!H60*H1316</x:f>
        <x:v>1.2600000000000002</x:v>
      </x:c>
      <x:c r="AE1316" s="15" t="n">
        <x:f>'기준스탯 72종'!I60*H1316</x:f>
        <x:v>1.0800000000000003</x:v>
      </x:c>
      <x:c r="AF1316" s="15" t="n">
        <x:f>'기준스탯 72종'!J60*H1316</x:f>
        <x:v>0.5400000000000001</x:v>
      </x:c>
      <x:c r="AG1316" s="15" t="n">
        <x:f>'기준스탯 72종'!K60*H1316</x:f>
        <x:v>0</x:v>
      </x:c>
    </x:row>
    <x:row r="1317" ht="28" customHeight="1">
      <x:c r="A1317" s="2" t="n">
        <x:v>1310</x:v>
      </x:c>
      <x:c r="B1317" s="2" t="n">
        <x:v>53</x:v>
      </x:c>
      <x:c r="C1317" s="2" t="str">
        <x:v>사수자리</x:v>
      </x:c>
      <x:c r="D1317" s="2" t="str">
        <x:v>도적</x:v>
      </x:c>
      <x:c r="E1317" s="2" t="n">
        <x:v>5</x:v>
      </x:c>
      <x:c r="F1317" s="2" t="n">
        <x:v>2</x:v>
      </x:c>
      <x:c r="G1317" s="14" t="n">
        <x:f>('레벨 계산식'!$E$4-E1317)*'레벨 계산식'!$B$5</x:f>
        <x:v>0</x:v>
      </x:c>
      <x:c r="H1317" s="14" t="n">
        <x:f>('등급 계산식'!$E$4-F1317)*'등급 계산식'!$B$5</x:f>
        <x:v>0.18000000000000005</x:v>
      </x:c>
      <x:c r="I1317" s="14" t="n">
        <x:f>1-G1317-H1317</x:f>
        <x:v>0.82</x:v>
      </x:c>
      <x:c r="J1317" s="2" t="n">
        <x:f>MAX(1,ROUND('기준스탯 72종'!D60-R1317-Z1317,0))</x:f>
        <x:v>7</x:v>
      </x:c>
      <x:c r="K1317" s="2" t="n">
        <x:f>MAX(1,ROUND('기준스탯 72종'!E60-S1317-AA1317,0))</x:f>
        <x:v>4</x:v>
      </x:c>
      <x:c r="L1317" s="2" t="n">
        <x:f>MAX(1,ROUND('기준스탯 72종'!F60-T1317-AB1317,0))</x:f>
        <x:v>5</x:v>
      </x:c>
      <x:c r="M1317" s="2" t="n">
        <x:f>MAX(1,ROUND('기준스탯 72종'!G60-U1317-AC1317,0))</x:f>
        <x:v>8</x:v>
      </x:c>
      <x:c r="N1317" s="2" t="n">
        <x:f>MAX(0,ROUND('기준스탯 72종'!H60-V1317-AD1317,0))</x:f>
        <x:v>6</x:v>
      </x:c>
      <x:c r="O1317" s="2" t="n">
        <x:f>MAX(0,ROUND('기준스탯 72종'!I60-W1317-AE1317,0))</x:f>
        <x:v>5</x:v>
      </x:c>
      <x:c r="P1317" s="2" t="n">
        <x:f>MAX(0,ROUND('기준스탯 72종'!J60-X1317-AF1317,0))</x:f>
        <x:v>2</x:v>
      </x:c>
      <x:c r="Q1317" s="2" t="n">
        <x:f>MAX(0,ROUND('기준스탯 72종'!K60-Y1317-AG1317,0))</x:f>
        <x:v>0</x:v>
      </x:c>
      <x:c r="R1317" s="15" t="n">
        <x:f>'기준스탯 72종'!D60*G1317</x:f>
        <x:v>0</x:v>
      </x:c>
      <x:c r="S1317" s="15" t="n">
        <x:f>'기준스탯 72종'!E60*G1317</x:f>
        <x:v>0</x:v>
      </x:c>
      <x:c r="T1317" s="15" t="n">
        <x:f>'기준스탯 72종'!F60*G1317</x:f>
        <x:v>0</x:v>
      </x:c>
      <x:c r="U1317" s="15" t="n">
        <x:f>'기준스탯 72종'!G60*G1317</x:f>
        <x:v>0</x:v>
      </x:c>
      <x:c r="V1317" s="15" t="n">
        <x:f>'기준스탯 72종'!H60*G1317</x:f>
        <x:v>0</x:v>
      </x:c>
      <x:c r="W1317" s="15" t="n">
        <x:f>'기준스탯 72종'!I60*G1317</x:f>
        <x:v>0</x:v>
      </x:c>
      <x:c r="X1317" s="15" t="n">
        <x:f>'기준스탯 72종'!J60*G1317</x:f>
        <x:v>0</x:v>
      </x:c>
      <x:c r="Y1317" s="15" t="n">
        <x:f>'기준스탯 72종'!K60*G1317</x:f>
        <x:v>0</x:v>
      </x:c>
      <x:c r="Z1317" s="15" t="n">
        <x:f>'기준스탯 72종'!D60*H1317</x:f>
        <x:v>1.6200000000000006</x:v>
      </x:c>
      <x:c r="AA1317" s="15" t="n">
        <x:f>'기준스탯 72종'!E60*H1317</x:f>
        <x:v>0.9000000000000002</x:v>
      </x:c>
      <x:c r="AB1317" s="15" t="n">
        <x:f>'기준스탯 72종'!F60*H1317</x:f>
        <x:v>1.0800000000000003</x:v>
      </x:c>
      <x:c r="AC1317" s="15" t="n">
        <x:f>'기준스탯 72종'!G60*H1317</x:f>
        <x:v>1.8000000000000005</x:v>
      </x:c>
      <x:c r="AD1317" s="15" t="n">
        <x:f>'기준스탯 72종'!H60*H1317</x:f>
        <x:v>1.2600000000000002</x:v>
      </x:c>
      <x:c r="AE1317" s="15" t="n">
        <x:f>'기준스탯 72종'!I60*H1317</x:f>
        <x:v>1.0800000000000003</x:v>
      </x:c>
      <x:c r="AF1317" s="15" t="n">
        <x:f>'기준스탯 72종'!J60*H1317</x:f>
        <x:v>0.5400000000000001</x:v>
      </x:c>
      <x:c r="AG1317" s="15" t="n">
        <x:f>'기준스탯 72종'!K60*H1317</x:f>
        <x:v>0</x:v>
      </x:c>
    </x:row>
    <x:row r="1318" ht="28" customHeight="1">
      <x:c r="A1318" s="2" t="n">
        <x:v>1311</x:v>
      </x:c>
      <x:c r="B1318" s="2" t="n">
        <x:v>53</x:v>
      </x:c>
      <x:c r="C1318" s="2" t="str">
        <x:v>사수자리</x:v>
      </x:c>
      <x:c r="D1318" s="2" t="str">
        <x:v>도적</x:v>
      </x:c>
      <x:c r="E1318" s="2" t="n">
        <x:v>1</x:v>
      </x:c>
      <x:c r="F1318" s="2" t="n">
        <x:v>3</x:v>
      </x:c>
      <x:c r="G1318" s="14" t="n">
        <x:f>('레벨 계산식'!$E$4-E1318)*'레벨 계산식'!$B$5</x:f>
        <x:v>0.5599999999999999</x:v>
      </x:c>
      <x:c r="H1318" s="14" t="n">
        <x:f>('등급 계산식'!$E$4-F1318)*'등급 계산식'!$B$5</x:f>
        <x:v>0.12000000000000002</x:v>
      </x:c>
      <x:c r="I1318" s="14" t="n">
        <x:f>1-G1318-H1318</x:f>
        <x:v>0.32000000000000006</x:v>
      </x:c>
      <x:c r="J1318" s="2" t="n">
        <x:f>MAX(1,ROUND('기준스탯 72종'!D60-R1318-Z1318,0))</x:f>
        <x:v>3</x:v>
      </x:c>
      <x:c r="K1318" s="2" t="n">
        <x:f>MAX(1,ROUND('기준스탯 72종'!E60-S1318-AA1318,0))</x:f>
        <x:v>2</x:v>
      </x:c>
      <x:c r="L1318" s="2" t="n">
        <x:f>MAX(1,ROUND('기준스탯 72종'!F60-T1318-AB1318,0))</x:f>
        <x:v>2</x:v>
      </x:c>
      <x:c r="M1318" s="2" t="n">
        <x:f>MAX(1,ROUND('기준스탯 72종'!G60-U1318-AC1318,0))</x:f>
        <x:v>3</x:v>
      </x:c>
      <x:c r="N1318" s="2" t="n">
        <x:f>MAX(0,ROUND('기준스탯 72종'!H60-V1318-AD1318,0))</x:f>
        <x:v>2</x:v>
      </x:c>
      <x:c r="O1318" s="2" t="n">
        <x:f>MAX(0,ROUND('기준스탯 72종'!I60-W1318-AE1318,0))</x:f>
        <x:v>2</x:v>
      </x:c>
      <x:c r="P1318" s="2" t="n">
        <x:f>MAX(0,ROUND('기준스탯 72종'!J60-X1318-AF1318,0))</x:f>
        <x:v>1</x:v>
      </x:c>
      <x:c r="Q1318" s="2" t="n">
        <x:f>MAX(0,ROUND('기준스탯 72종'!K60-Y1318-AG1318,0))</x:f>
        <x:v>0</x:v>
      </x:c>
      <x:c r="R1318" s="15" t="n">
        <x:f>'기준스탯 72종'!D60*G1318</x:f>
        <x:v>5.039999999999999</x:v>
      </x:c>
      <x:c r="S1318" s="15" t="n">
        <x:f>'기준스탯 72종'!E60*G1318</x:f>
        <x:v>2.8</x:v>
      </x:c>
      <x:c r="T1318" s="15" t="n">
        <x:f>'기준스탯 72종'!F60*G1318</x:f>
        <x:v>3.3599999999999994</x:v>
      </x:c>
      <x:c r="U1318" s="15" t="n">
        <x:f>'기준스탯 72종'!G60*G1318</x:f>
        <x:v>5.6</x:v>
      </x:c>
      <x:c r="V1318" s="15" t="n">
        <x:f>'기준스탯 72종'!H60*G1318</x:f>
        <x:v>3.9199999999999995</x:v>
      </x:c>
      <x:c r="W1318" s="15" t="n">
        <x:f>'기준스탯 72종'!I60*G1318</x:f>
        <x:v>3.3599999999999994</x:v>
      </x:c>
      <x:c r="X1318" s="15" t="n">
        <x:f>'기준스탯 72종'!J60*G1318</x:f>
        <x:v>1.6799999999999997</x:v>
      </x:c>
      <x:c r="Y1318" s="15" t="n">
        <x:f>'기준스탯 72종'!K60*G1318</x:f>
        <x:v>0</x:v>
      </x:c>
      <x:c r="Z1318" s="15" t="n">
        <x:f>'기준스탯 72종'!D60*H1318</x:f>
        <x:v>1.0800000000000003</x:v>
      </x:c>
      <x:c r="AA1318" s="15" t="n">
        <x:f>'기준스탯 72종'!E60*H1318</x:f>
        <x:v>0.6000000000000001</x:v>
      </x:c>
      <x:c r="AB1318" s="15" t="n">
        <x:f>'기준스탯 72종'!F60*H1318</x:f>
        <x:v>0.7200000000000002</x:v>
      </x:c>
      <x:c r="AC1318" s="15" t="n">
        <x:f>'기준스탯 72종'!G60*H1318</x:f>
        <x:v>1.2000000000000002</x:v>
      </x:c>
      <x:c r="AD1318" s="15" t="n">
        <x:f>'기준스탯 72종'!H60*H1318</x:f>
        <x:v>0.8400000000000002</x:v>
      </x:c>
      <x:c r="AE1318" s="15" t="n">
        <x:f>'기준스탯 72종'!I60*H1318</x:f>
        <x:v>0.7200000000000002</x:v>
      </x:c>
      <x:c r="AF1318" s="15" t="n">
        <x:f>'기준스탯 72종'!J60*H1318</x:f>
        <x:v>0.3600000000000001</x:v>
      </x:c>
      <x:c r="AG1318" s="15" t="n">
        <x:f>'기준스탯 72종'!K60*H1318</x:f>
        <x:v>0</x:v>
      </x:c>
    </x:row>
    <x:row r="1319" ht="28" customHeight="1">
      <x:c r="A1319" s="2" t="n">
        <x:v>1312</x:v>
      </x:c>
      <x:c r="B1319" s="2" t="n">
        <x:v>53</x:v>
      </x:c>
      <x:c r="C1319" s="2" t="str">
        <x:v>사수자리</x:v>
      </x:c>
      <x:c r="D1319" s="2" t="str">
        <x:v>도적</x:v>
      </x:c>
      <x:c r="E1319" s="2" t="n">
        <x:v>2</x:v>
      </x:c>
      <x:c r="F1319" s="2" t="n">
        <x:v>3</x:v>
      </x:c>
      <x:c r="G1319" s="14" t="n">
        <x:f>('레벨 계산식'!$E$4-E1319)*'레벨 계산식'!$B$5</x:f>
        <x:v>0.41999999999999993</x:v>
      </x:c>
      <x:c r="H1319" s="14" t="n">
        <x:f>('등급 계산식'!$E$4-F1319)*'등급 계산식'!$B$5</x:f>
        <x:v>0.12000000000000002</x:v>
      </x:c>
      <x:c r="I1319" s="14" t="n">
        <x:f>1-G1319-H1319</x:f>
        <x:v>0.4600000000000001</x:v>
      </x:c>
      <x:c r="J1319" s="2" t="n">
        <x:f>MAX(1,ROUND('기준스탯 72종'!D60-R1319-Z1319,0))</x:f>
        <x:v>4</x:v>
      </x:c>
      <x:c r="K1319" s="2" t="n">
        <x:f>MAX(1,ROUND('기준스탯 72종'!E60-S1319-AA1319,0))</x:f>
        <x:v>2</x:v>
      </x:c>
      <x:c r="L1319" s="2" t="n">
        <x:f>MAX(1,ROUND('기준스탯 72종'!F60-T1319-AB1319,0))</x:f>
        <x:v>3</x:v>
      </x:c>
      <x:c r="M1319" s="2" t="n">
        <x:f>MAX(1,ROUND('기준스탯 72종'!G60-U1319-AC1319,0))</x:f>
        <x:v>5</x:v>
      </x:c>
      <x:c r="N1319" s="2" t="n">
        <x:f>MAX(0,ROUND('기준스탯 72종'!H60-V1319-AD1319,0))</x:f>
        <x:v>3</x:v>
      </x:c>
      <x:c r="O1319" s="2" t="n">
        <x:f>MAX(0,ROUND('기준스탯 72종'!I60-W1319-AE1319,0))</x:f>
        <x:v>3</x:v>
      </x:c>
      <x:c r="P1319" s="2" t="n">
        <x:f>MAX(0,ROUND('기준스탯 72종'!J60-X1319-AF1319,0))</x:f>
        <x:v>1</x:v>
      </x:c>
      <x:c r="Q1319" s="2" t="n">
        <x:f>MAX(0,ROUND('기준스탯 72종'!K60-Y1319-AG1319,0))</x:f>
        <x:v>0</x:v>
      </x:c>
      <x:c r="R1319" s="15" t="n">
        <x:f>'기준스탯 72종'!D60*G1319</x:f>
        <x:v>3.7799999999999994</x:v>
      </x:c>
      <x:c r="S1319" s="15" t="n">
        <x:f>'기준스탯 72종'!E60*G1319</x:f>
        <x:v>2.0999999999999996</x:v>
      </x:c>
      <x:c r="T1319" s="15" t="n">
        <x:f>'기준스탯 72종'!F60*G1319</x:f>
        <x:v>2.5199999999999996</x:v>
      </x:c>
      <x:c r="U1319" s="15" t="n">
        <x:f>'기준스탯 72종'!G60*G1319</x:f>
        <x:v>4.199999999999999</x:v>
      </x:c>
      <x:c r="V1319" s="15" t="n">
        <x:f>'기준스탯 72종'!H60*G1319</x:f>
        <x:v>2.9399999999999995</x:v>
      </x:c>
      <x:c r="W1319" s="15" t="n">
        <x:f>'기준스탯 72종'!I60*G1319</x:f>
        <x:v>2.5199999999999996</x:v>
      </x:c>
      <x:c r="X1319" s="15" t="n">
        <x:f>'기준스탯 72종'!J60*G1319</x:f>
        <x:v>1.2599999999999998</x:v>
      </x:c>
      <x:c r="Y1319" s="15" t="n">
        <x:f>'기준스탯 72종'!K60*G1319</x:f>
        <x:v>0</x:v>
      </x:c>
      <x:c r="Z1319" s="15" t="n">
        <x:f>'기준스탯 72종'!D60*H1319</x:f>
        <x:v>1.0800000000000003</x:v>
      </x:c>
      <x:c r="AA1319" s="15" t="n">
        <x:f>'기준스탯 72종'!E60*H1319</x:f>
        <x:v>0.6000000000000001</x:v>
      </x:c>
      <x:c r="AB1319" s="15" t="n">
        <x:f>'기준스탯 72종'!F60*H1319</x:f>
        <x:v>0.7200000000000002</x:v>
      </x:c>
      <x:c r="AC1319" s="15" t="n">
        <x:f>'기준스탯 72종'!G60*H1319</x:f>
        <x:v>1.2000000000000002</x:v>
      </x:c>
      <x:c r="AD1319" s="15" t="n">
        <x:f>'기준스탯 72종'!H60*H1319</x:f>
        <x:v>0.8400000000000002</x:v>
      </x:c>
      <x:c r="AE1319" s="15" t="n">
        <x:f>'기준스탯 72종'!I60*H1319</x:f>
        <x:v>0.7200000000000002</x:v>
      </x:c>
      <x:c r="AF1319" s="15" t="n">
        <x:f>'기준스탯 72종'!J60*H1319</x:f>
        <x:v>0.3600000000000001</x:v>
      </x:c>
      <x:c r="AG1319" s="15" t="n">
        <x:f>'기준스탯 72종'!K60*H1319</x:f>
        <x:v>0</x:v>
      </x:c>
    </x:row>
    <x:row r="1320" ht="28" customHeight="1">
      <x:c r="A1320" s="2" t="n">
        <x:v>1313</x:v>
      </x:c>
      <x:c r="B1320" s="2" t="n">
        <x:v>53</x:v>
      </x:c>
      <x:c r="C1320" s="2" t="str">
        <x:v>사수자리</x:v>
      </x:c>
      <x:c r="D1320" s="2" t="str">
        <x:v>도적</x:v>
      </x:c>
      <x:c r="E1320" s="2" t="n">
        <x:v>3</x:v>
      </x:c>
      <x:c r="F1320" s="2" t="n">
        <x:v>3</x:v>
      </x:c>
      <x:c r="G1320" s="14" t="n">
        <x:f>('레벨 계산식'!$E$4-E1320)*'레벨 계산식'!$B$5</x:f>
        <x:v>0.27999999999999997</x:v>
      </x:c>
      <x:c r="H1320" s="14" t="n">
        <x:f>('등급 계산식'!$E$4-F1320)*'등급 계산식'!$B$5</x:f>
        <x:v>0.12000000000000002</x:v>
      </x:c>
      <x:c r="I1320" s="14" t="n">
        <x:f>1-G1320-H1320</x:f>
        <x:v>0.6</x:v>
      </x:c>
      <x:c r="J1320" s="2" t="n">
        <x:f>MAX(1,ROUND('기준스탯 72종'!D60-R1320-Z1320,0))</x:f>
        <x:v>5</x:v>
      </x:c>
      <x:c r="K1320" s="2" t="n">
        <x:f>MAX(1,ROUND('기준스탯 72종'!E60-S1320-AA1320,0))</x:f>
        <x:v>3</x:v>
      </x:c>
      <x:c r="L1320" s="2" t="n">
        <x:f>MAX(1,ROUND('기준스탯 72종'!F60-T1320-AB1320,0))</x:f>
        <x:v>4</x:v>
      </x:c>
      <x:c r="M1320" s="2" t="n">
        <x:f>MAX(1,ROUND('기준스탯 72종'!G60-U1320-AC1320,0))</x:f>
        <x:v>6</x:v>
      </x:c>
      <x:c r="N1320" s="2" t="n">
        <x:f>MAX(0,ROUND('기준스탯 72종'!H60-V1320-AD1320,0))</x:f>
        <x:v>4</x:v>
      </x:c>
      <x:c r="O1320" s="2" t="n">
        <x:f>MAX(0,ROUND('기준스탯 72종'!I60-W1320-AE1320,0))</x:f>
        <x:v>4</x:v>
      </x:c>
      <x:c r="P1320" s="2" t="n">
        <x:f>MAX(0,ROUND('기준스탯 72종'!J60-X1320-AF1320,0))</x:f>
        <x:v>2</x:v>
      </x:c>
      <x:c r="Q1320" s="2" t="n">
        <x:f>MAX(0,ROUND('기준스탯 72종'!K60-Y1320-AG1320,0))</x:f>
        <x:v>0</x:v>
      </x:c>
      <x:c r="R1320" s="15" t="n">
        <x:f>'기준스탯 72종'!D60*G1320</x:f>
        <x:v>2.5199999999999996</x:v>
      </x:c>
      <x:c r="S1320" s="15" t="n">
        <x:f>'기준스탯 72종'!E60*G1320</x:f>
        <x:v>1.4</x:v>
      </x:c>
      <x:c r="T1320" s="15" t="n">
        <x:f>'기준스탯 72종'!F60*G1320</x:f>
        <x:v>1.6799999999999997</x:v>
      </x:c>
      <x:c r="U1320" s="15" t="n">
        <x:f>'기준스탯 72종'!G60*G1320</x:f>
        <x:v>2.8</x:v>
      </x:c>
      <x:c r="V1320" s="15" t="n">
        <x:f>'기준스탯 72종'!H60*G1320</x:f>
        <x:v>1.9599999999999997</x:v>
      </x:c>
      <x:c r="W1320" s="15" t="n">
        <x:f>'기준스탯 72종'!I60*G1320</x:f>
        <x:v>1.6799999999999997</x:v>
      </x:c>
      <x:c r="X1320" s="15" t="n">
        <x:f>'기준스탯 72종'!J60*G1320</x:f>
        <x:v>0.8399999999999999</x:v>
      </x:c>
      <x:c r="Y1320" s="15" t="n">
        <x:f>'기준스탯 72종'!K60*G1320</x:f>
        <x:v>0</x:v>
      </x:c>
      <x:c r="Z1320" s="15" t="n">
        <x:f>'기준스탯 72종'!D60*H1320</x:f>
        <x:v>1.0800000000000003</x:v>
      </x:c>
      <x:c r="AA1320" s="15" t="n">
        <x:f>'기준스탯 72종'!E60*H1320</x:f>
        <x:v>0.6000000000000001</x:v>
      </x:c>
      <x:c r="AB1320" s="15" t="n">
        <x:f>'기준스탯 72종'!F60*H1320</x:f>
        <x:v>0.7200000000000002</x:v>
      </x:c>
      <x:c r="AC1320" s="15" t="n">
        <x:f>'기준스탯 72종'!G60*H1320</x:f>
        <x:v>1.2000000000000002</x:v>
      </x:c>
      <x:c r="AD1320" s="15" t="n">
        <x:f>'기준스탯 72종'!H60*H1320</x:f>
        <x:v>0.8400000000000002</x:v>
      </x:c>
      <x:c r="AE1320" s="15" t="n">
        <x:f>'기준스탯 72종'!I60*H1320</x:f>
        <x:v>0.7200000000000002</x:v>
      </x:c>
      <x:c r="AF1320" s="15" t="n">
        <x:f>'기준스탯 72종'!J60*H1320</x:f>
        <x:v>0.3600000000000001</x:v>
      </x:c>
      <x:c r="AG1320" s="15" t="n">
        <x:f>'기준스탯 72종'!K60*H1320</x:f>
        <x:v>0</x:v>
      </x:c>
    </x:row>
    <x:row r="1321" ht="28" customHeight="1">
      <x:c r="A1321" s="2" t="n">
        <x:v>1314</x:v>
      </x:c>
      <x:c r="B1321" s="2" t="n">
        <x:v>53</x:v>
      </x:c>
      <x:c r="C1321" s="2" t="str">
        <x:v>사수자리</x:v>
      </x:c>
      <x:c r="D1321" s="2" t="str">
        <x:v>도적</x:v>
      </x:c>
      <x:c r="E1321" s="2" t="n">
        <x:v>4</x:v>
      </x:c>
      <x:c r="F1321" s="2" t="n">
        <x:v>3</x:v>
      </x:c>
      <x:c r="G1321" s="14" t="n">
        <x:f>('레벨 계산식'!$E$4-E1321)*'레벨 계산식'!$B$5</x:f>
        <x:v>0.13999999999999999</x:v>
      </x:c>
      <x:c r="H1321" s="14" t="n">
        <x:f>('등급 계산식'!$E$4-F1321)*'등급 계산식'!$B$5</x:f>
        <x:v>0.12000000000000002</x:v>
      </x:c>
      <x:c r="I1321" s="14" t="n">
        <x:f>1-G1321-H1321</x:f>
        <x:v>0.74</x:v>
      </x:c>
      <x:c r="J1321" s="2" t="n">
        <x:f>MAX(1,ROUND('기준스탯 72종'!D60-R1321-Z1321,0))</x:f>
        <x:v>7</x:v>
      </x:c>
      <x:c r="K1321" s="2" t="n">
        <x:f>MAX(1,ROUND('기준스탯 72종'!E60-S1321-AA1321,0))</x:f>
        <x:v>4</x:v>
      </x:c>
      <x:c r="L1321" s="2" t="n">
        <x:f>MAX(1,ROUND('기준스탯 72종'!F60-T1321-AB1321,0))</x:f>
        <x:v>4</x:v>
      </x:c>
      <x:c r="M1321" s="2" t="n">
        <x:f>MAX(1,ROUND('기준스탯 72종'!G60-U1321-AC1321,0))</x:f>
        <x:v>7</x:v>
      </x:c>
      <x:c r="N1321" s="2" t="n">
        <x:f>MAX(0,ROUND('기준스탯 72종'!H60-V1321-AD1321,0))</x:f>
        <x:v>5</x:v>
      </x:c>
      <x:c r="O1321" s="2" t="n">
        <x:f>MAX(0,ROUND('기준스탯 72종'!I60-W1321-AE1321,0))</x:f>
        <x:v>4</x:v>
      </x:c>
      <x:c r="P1321" s="2" t="n">
        <x:f>MAX(0,ROUND('기준스탯 72종'!J60-X1321-AF1321,0))</x:f>
        <x:v>2</x:v>
      </x:c>
      <x:c r="Q1321" s="2" t="n">
        <x:f>MAX(0,ROUND('기준스탯 72종'!K60-Y1321-AG1321,0))</x:f>
        <x:v>0</x:v>
      </x:c>
      <x:c r="R1321" s="15" t="n">
        <x:f>'기준스탯 72종'!D60*G1321</x:f>
        <x:v>1.2599999999999998</x:v>
      </x:c>
      <x:c r="S1321" s="15" t="n">
        <x:f>'기준스탯 72종'!E60*G1321</x:f>
        <x:v>0.7</x:v>
      </x:c>
      <x:c r="T1321" s="15" t="n">
        <x:f>'기준스탯 72종'!F60*G1321</x:f>
        <x:v>0.8399999999999999</x:v>
      </x:c>
      <x:c r="U1321" s="15" t="n">
        <x:f>'기준스탯 72종'!G60*G1321</x:f>
        <x:v>1.4</x:v>
      </x:c>
      <x:c r="V1321" s="15" t="n">
        <x:f>'기준스탯 72종'!H60*G1321</x:f>
        <x:v>0.9799999999999999</x:v>
      </x:c>
      <x:c r="W1321" s="15" t="n">
        <x:f>'기준스탯 72종'!I60*G1321</x:f>
        <x:v>0.8399999999999999</x:v>
      </x:c>
      <x:c r="X1321" s="15" t="n">
        <x:f>'기준스탯 72종'!J60*G1321</x:f>
        <x:v>0.41999999999999993</x:v>
      </x:c>
      <x:c r="Y1321" s="15" t="n">
        <x:f>'기준스탯 72종'!K60*G1321</x:f>
        <x:v>0</x:v>
      </x:c>
      <x:c r="Z1321" s="15" t="n">
        <x:f>'기준스탯 72종'!D60*H1321</x:f>
        <x:v>1.0800000000000003</x:v>
      </x:c>
      <x:c r="AA1321" s="15" t="n">
        <x:f>'기준스탯 72종'!E60*H1321</x:f>
        <x:v>0.6000000000000001</x:v>
      </x:c>
      <x:c r="AB1321" s="15" t="n">
        <x:f>'기준스탯 72종'!F60*H1321</x:f>
        <x:v>0.7200000000000002</x:v>
      </x:c>
      <x:c r="AC1321" s="15" t="n">
        <x:f>'기준스탯 72종'!G60*H1321</x:f>
        <x:v>1.2000000000000002</x:v>
      </x:c>
      <x:c r="AD1321" s="15" t="n">
        <x:f>'기준스탯 72종'!H60*H1321</x:f>
        <x:v>0.8400000000000002</x:v>
      </x:c>
      <x:c r="AE1321" s="15" t="n">
        <x:f>'기준스탯 72종'!I60*H1321</x:f>
        <x:v>0.7200000000000002</x:v>
      </x:c>
      <x:c r="AF1321" s="15" t="n">
        <x:f>'기준스탯 72종'!J60*H1321</x:f>
        <x:v>0.3600000000000001</x:v>
      </x:c>
      <x:c r="AG1321" s="15" t="n">
        <x:f>'기준스탯 72종'!K60*H1321</x:f>
        <x:v>0</x:v>
      </x:c>
    </x:row>
    <x:row r="1322" ht="28" customHeight="1">
      <x:c r="A1322" s="2" t="n">
        <x:v>1315</x:v>
      </x:c>
      <x:c r="B1322" s="2" t="n">
        <x:v>53</x:v>
      </x:c>
      <x:c r="C1322" s="2" t="str">
        <x:v>사수자리</x:v>
      </x:c>
      <x:c r="D1322" s="2" t="str">
        <x:v>도적</x:v>
      </x:c>
      <x:c r="E1322" s="2" t="n">
        <x:v>5</x:v>
      </x:c>
      <x:c r="F1322" s="2" t="n">
        <x:v>3</x:v>
      </x:c>
      <x:c r="G1322" s="14" t="n">
        <x:f>('레벨 계산식'!$E$4-E1322)*'레벨 계산식'!$B$5</x:f>
        <x:v>0</x:v>
      </x:c>
      <x:c r="H1322" s="14" t="n">
        <x:f>('등급 계산식'!$E$4-F1322)*'등급 계산식'!$B$5</x:f>
        <x:v>0.12000000000000002</x:v>
      </x:c>
      <x:c r="I1322" s="14" t="n">
        <x:f>1-G1322-H1322</x:f>
        <x:v>0.88</x:v>
      </x:c>
      <x:c r="J1322" s="2" t="n">
        <x:f>MAX(1,ROUND('기준스탯 72종'!D60-R1322-Z1322,0))</x:f>
        <x:v>8</x:v>
      </x:c>
      <x:c r="K1322" s="2" t="n">
        <x:f>MAX(1,ROUND('기준스탯 72종'!E60-S1322-AA1322,0))</x:f>
        <x:v>4</x:v>
      </x:c>
      <x:c r="L1322" s="2" t="n">
        <x:f>MAX(1,ROUND('기준스탯 72종'!F60-T1322-AB1322,0))</x:f>
        <x:v>5</x:v>
      </x:c>
      <x:c r="M1322" s="2" t="n">
        <x:f>MAX(1,ROUND('기준스탯 72종'!G60-U1322-AC1322,0))</x:f>
        <x:v>9</x:v>
      </x:c>
      <x:c r="N1322" s="2" t="n">
        <x:f>MAX(0,ROUND('기준스탯 72종'!H60-V1322-AD1322,0))</x:f>
        <x:v>6</x:v>
      </x:c>
      <x:c r="O1322" s="2" t="n">
        <x:f>MAX(0,ROUND('기준스탯 72종'!I60-W1322-AE1322,0))</x:f>
        <x:v>5</x:v>
      </x:c>
      <x:c r="P1322" s="2" t="n">
        <x:f>MAX(0,ROUND('기준스탯 72종'!J60-X1322-AF1322,0))</x:f>
        <x:v>3</x:v>
      </x:c>
      <x:c r="Q1322" s="2" t="n">
        <x:f>MAX(0,ROUND('기준스탯 72종'!K60-Y1322-AG1322,0))</x:f>
        <x:v>0</x:v>
      </x:c>
      <x:c r="R1322" s="15" t="n">
        <x:f>'기준스탯 72종'!D60*G1322</x:f>
        <x:v>0</x:v>
      </x:c>
      <x:c r="S1322" s="15" t="n">
        <x:f>'기준스탯 72종'!E60*G1322</x:f>
        <x:v>0</x:v>
      </x:c>
      <x:c r="T1322" s="15" t="n">
        <x:f>'기준스탯 72종'!F60*G1322</x:f>
        <x:v>0</x:v>
      </x:c>
      <x:c r="U1322" s="15" t="n">
        <x:f>'기준스탯 72종'!G60*G1322</x:f>
        <x:v>0</x:v>
      </x:c>
      <x:c r="V1322" s="15" t="n">
        <x:f>'기준스탯 72종'!H60*G1322</x:f>
        <x:v>0</x:v>
      </x:c>
      <x:c r="W1322" s="15" t="n">
        <x:f>'기준스탯 72종'!I60*G1322</x:f>
        <x:v>0</x:v>
      </x:c>
      <x:c r="X1322" s="15" t="n">
        <x:f>'기준스탯 72종'!J60*G1322</x:f>
        <x:v>0</x:v>
      </x:c>
      <x:c r="Y1322" s="15" t="n">
        <x:f>'기준스탯 72종'!K60*G1322</x:f>
        <x:v>0</x:v>
      </x:c>
      <x:c r="Z1322" s="15" t="n">
        <x:f>'기준스탯 72종'!D60*H1322</x:f>
        <x:v>1.0800000000000003</x:v>
      </x:c>
      <x:c r="AA1322" s="15" t="n">
        <x:f>'기준스탯 72종'!E60*H1322</x:f>
        <x:v>0.6000000000000001</x:v>
      </x:c>
      <x:c r="AB1322" s="15" t="n">
        <x:f>'기준스탯 72종'!F60*H1322</x:f>
        <x:v>0.7200000000000002</x:v>
      </x:c>
      <x:c r="AC1322" s="15" t="n">
        <x:f>'기준스탯 72종'!G60*H1322</x:f>
        <x:v>1.2000000000000002</x:v>
      </x:c>
      <x:c r="AD1322" s="15" t="n">
        <x:f>'기준스탯 72종'!H60*H1322</x:f>
        <x:v>0.8400000000000002</x:v>
      </x:c>
      <x:c r="AE1322" s="15" t="n">
        <x:f>'기준스탯 72종'!I60*H1322</x:f>
        <x:v>0.7200000000000002</x:v>
      </x:c>
      <x:c r="AF1322" s="15" t="n">
        <x:f>'기준스탯 72종'!J60*H1322</x:f>
        <x:v>0.3600000000000001</x:v>
      </x:c>
      <x:c r="AG1322" s="15" t="n">
        <x:f>'기준스탯 72종'!K60*H1322</x:f>
        <x:v>0</x:v>
      </x:c>
    </x:row>
    <x:row r="1323" ht="28" customHeight="1">
      <x:c r="A1323" s="2" t="n">
        <x:v>1316</x:v>
      </x:c>
      <x:c r="B1323" s="2" t="n">
        <x:v>53</x:v>
      </x:c>
      <x:c r="C1323" s="2" t="str">
        <x:v>사수자리</x:v>
      </x:c>
      <x:c r="D1323" s="2" t="str">
        <x:v>도적</x:v>
      </x:c>
      <x:c r="E1323" s="2" t="n">
        <x:v>1</x:v>
      </x:c>
      <x:c r="F1323" s="2" t="n">
        <x:v>4</x:v>
      </x:c>
      <x:c r="G1323" s="14" t="n">
        <x:f>('레벨 계산식'!$E$4-E1323)*'레벨 계산식'!$B$5</x:f>
        <x:v>0.5599999999999999</x:v>
      </x:c>
      <x:c r="H1323" s="14" t="n">
        <x:f>('등급 계산식'!$E$4-F1323)*'등급 계산식'!$B$5</x:f>
        <x:v>0.06000000000000001</x:v>
      </x:c>
      <x:c r="I1323" s="14" t="n">
        <x:f>1-G1323-H1323</x:f>
        <x:v>0.38000000000000006</x:v>
      </x:c>
      <x:c r="J1323" s="2" t="n">
        <x:f>MAX(1,ROUND('기준스탯 72종'!D60-R1323-Z1323,0))</x:f>
        <x:v>3</x:v>
      </x:c>
      <x:c r="K1323" s="2" t="n">
        <x:f>MAX(1,ROUND('기준스탯 72종'!E60-S1323-AA1323,0))</x:f>
        <x:v>2</x:v>
      </x:c>
      <x:c r="L1323" s="2" t="n">
        <x:f>MAX(1,ROUND('기준스탯 72종'!F60-T1323-AB1323,0))</x:f>
        <x:v>2</x:v>
      </x:c>
      <x:c r="M1323" s="2" t="n">
        <x:f>MAX(1,ROUND('기준스탯 72종'!G60-U1323-AC1323,0))</x:f>
        <x:v>4</x:v>
      </x:c>
      <x:c r="N1323" s="2" t="n">
        <x:f>MAX(0,ROUND('기준스탯 72종'!H60-V1323-AD1323,0))</x:f>
        <x:v>3</x:v>
      </x:c>
      <x:c r="O1323" s="2" t="n">
        <x:f>MAX(0,ROUND('기준스탯 72종'!I60-W1323-AE1323,0))</x:f>
        <x:v>2</x:v>
      </x:c>
      <x:c r="P1323" s="2" t="n">
        <x:f>MAX(0,ROUND('기준스탯 72종'!J60-X1323-AF1323,0))</x:f>
        <x:v>1</x:v>
      </x:c>
      <x:c r="Q1323" s="2" t="n">
        <x:f>MAX(0,ROUND('기준스탯 72종'!K60-Y1323-AG1323,0))</x:f>
        <x:v>0</x:v>
      </x:c>
      <x:c r="R1323" s="15" t="n">
        <x:f>'기준스탯 72종'!D60*G1323</x:f>
        <x:v>5.039999999999999</x:v>
      </x:c>
      <x:c r="S1323" s="15" t="n">
        <x:f>'기준스탯 72종'!E60*G1323</x:f>
        <x:v>2.8</x:v>
      </x:c>
      <x:c r="T1323" s="15" t="n">
        <x:f>'기준스탯 72종'!F60*G1323</x:f>
        <x:v>3.3599999999999994</x:v>
      </x:c>
      <x:c r="U1323" s="15" t="n">
        <x:f>'기준스탯 72종'!G60*G1323</x:f>
        <x:v>5.6</x:v>
      </x:c>
      <x:c r="V1323" s="15" t="n">
        <x:f>'기준스탯 72종'!H60*G1323</x:f>
        <x:v>3.9199999999999995</x:v>
      </x:c>
      <x:c r="W1323" s="15" t="n">
        <x:f>'기준스탯 72종'!I60*G1323</x:f>
        <x:v>3.3599999999999994</x:v>
      </x:c>
      <x:c r="X1323" s="15" t="n">
        <x:f>'기준스탯 72종'!J60*G1323</x:f>
        <x:v>1.6799999999999997</x:v>
      </x:c>
      <x:c r="Y1323" s="15" t="n">
        <x:f>'기준스탯 72종'!K60*G1323</x:f>
        <x:v>0</x:v>
      </x:c>
      <x:c r="Z1323" s="15" t="n">
        <x:f>'기준스탯 72종'!D60*H1323</x:f>
        <x:v>0.5400000000000001</x:v>
      </x:c>
      <x:c r="AA1323" s="15" t="n">
        <x:f>'기준스탯 72종'!E60*H1323</x:f>
        <x:v>0.30000000000000004</x:v>
      </x:c>
      <x:c r="AB1323" s="15" t="n">
        <x:f>'기준스탯 72종'!F60*H1323</x:f>
        <x:v>0.3600000000000001</x:v>
      </x:c>
      <x:c r="AC1323" s="15" t="n">
        <x:f>'기준스탯 72종'!G60*H1323</x:f>
        <x:v>0.6000000000000001</x:v>
      </x:c>
      <x:c r="AD1323" s="15" t="n">
        <x:f>'기준스탯 72종'!H60*H1323</x:f>
        <x:v>0.4200000000000001</x:v>
      </x:c>
      <x:c r="AE1323" s="15" t="n">
        <x:f>'기준스탯 72종'!I60*H1323</x:f>
        <x:v>0.3600000000000001</x:v>
      </x:c>
      <x:c r="AF1323" s="15" t="n">
        <x:f>'기준스탯 72종'!J60*H1323</x:f>
        <x:v>0.18000000000000005</x:v>
      </x:c>
      <x:c r="AG1323" s="15" t="n">
        <x:f>'기준스탯 72종'!K60*H1323</x:f>
        <x:v>0</x:v>
      </x:c>
    </x:row>
    <x:row r="1324" ht="28" customHeight="1">
      <x:c r="A1324" s="2" t="n">
        <x:v>1317</x:v>
      </x:c>
      <x:c r="B1324" s="2" t="n">
        <x:v>53</x:v>
      </x:c>
      <x:c r="C1324" s="2" t="str">
        <x:v>사수자리</x:v>
      </x:c>
      <x:c r="D1324" s="2" t="str">
        <x:v>도적</x:v>
      </x:c>
      <x:c r="E1324" s="2" t="n">
        <x:v>2</x:v>
      </x:c>
      <x:c r="F1324" s="2" t="n">
        <x:v>4</x:v>
      </x:c>
      <x:c r="G1324" s="14" t="n">
        <x:f>('레벨 계산식'!$E$4-E1324)*'레벨 계산식'!$B$5</x:f>
        <x:v>0.41999999999999993</x:v>
      </x:c>
      <x:c r="H1324" s="14" t="n">
        <x:f>('등급 계산식'!$E$4-F1324)*'등급 계산식'!$B$5</x:f>
        <x:v>0.06000000000000001</x:v>
      </x:c>
      <x:c r="I1324" s="14" t="n">
        <x:f>1-G1324-H1324</x:f>
        <x:v>0.52</x:v>
      </x:c>
      <x:c r="J1324" s="2" t="n">
        <x:f>MAX(1,ROUND('기준스탯 72종'!D60-R1324-Z1324,0))</x:f>
        <x:v>5</x:v>
      </x:c>
      <x:c r="K1324" s="2" t="n">
        <x:f>MAX(1,ROUND('기준스탯 72종'!E60-S1324-AA1324,0))</x:f>
        <x:v>3</x:v>
      </x:c>
      <x:c r="L1324" s="2" t="n">
        <x:f>MAX(1,ROUND('기준스탯 72종'!F60-T1324-AB1324,0))</x:f>
        <x:v>3</x:v>
      </x:c>
      <x:c r="M1324" s="2" t="n">
        <x:f>MAX(1,ROUND('기준스탯 72종'!G60-U1324-AC1324,0))</x:f>
        <x:v>5</x:v>
      </x:c>
      <x:c r="N1324" s="2" t="n">
        <x:f>MAX(0,ROUND('기준스탯 72종'!H60-V1324-AD1324,0))</x:f>
        <x:v>4</x:v>
      </x:c>
      <x:c r="O1324" s="2" t="n">
        <x:f>MAX(0,ROUND('기준스탯 72종'!I60-W1324-AE1324,0))</x:f>
        <x:v>3</x:v>
      </x:c>
      <x:c r="P1324" s="2" t="n">
        <x:f>MAX(0,ROUND('기준스탯 72종'!J60-X1324-AF1324,0))</x:f>
        <x:v>2</x:v>
      </x:c>
      <x:c r="Q1324" s="2" t="n">
        <x:f>MAX(0,ROUND('기준스탯 72종'!K60-Y1324-AG1324,0))</x:f>
        <x:v>0</x:v>
      </x:c>
      <x:c r="R1324" s="15" t="n">
        <x:f>'기준스탯 72종'!D60*G1324</x:f>
        <x:v>3.7799999999999994</x:v>
      </x:c>
      <x:c r="S1324" s="15" t="n">
        <x:f>'기준스탯 72종'!E60*G1324</x:f>
        <x:v>2.0999999999999996</x:v>
      </x:c>
      <x:c r="T1324" s="15" t="n">
        <x:f>'기준스탯 72종'!F60*G1324</x:f>
        <x:v>2.5199999999999996</x:v>
      </x:c>
      <x:c r="U1324" s="15" t="n">
        <x:f>'기준스탯 72종'!G60*G1324</x:f>
        <x:v>4.199999999999999</x:v>
      </x:c>
      <x:c r="V1324" s="15" t="n">
        <x:f>'기준스탯 72종'!H60*G1324</x:f>
        <x:v>2.9399999999999995</x:v>
      </x:c>
      <x:c r="W1324" s="15" t="n">
        <x:f>'기준스탯 72종'!I60*G1324</x:f>
        <x:v>2.5199999999999996</x:v>
      </x:c>
      <x:c r="X1324" s="15" t="n">
        <x:f>'기준스탯 72종'!J60*G1324</x:f>
        <x:v>1.2599999999999998</x:v>
      </x:c>
      <x:c r="Y1324" s="15" t="n">
        <x:f>'기준스탯 72종'!K60*G1324</x:f>
        <x:v>0</x:v>
      </x:c>
      <x:c r="Z1324" s="15" t="n">
        <x:f>'기준스탯 72종'!D60*H1324</x:f>
        <x:v>0.5400000000000001</x:v>
      </x:c>
      <x:c r="AA1324" s="15" t="n">
        <x:f>'기준스탯 72종'!E60*H1324</x:f>
        <x:v>0.30000000000000004</x:v>
      </x:c>
      <x:c r="AB1324" s="15" t="n">
        <x:f>'기준스탯 72종'!F60*H1324</x:f>
        <x:v>0.3600000000000001</x:v>
      </x:c>
      <x:c r="AC1324" s="15" t="n">
        <x:f>'기준스탯 72종'!G60*H1324</x:f>
        <x:v>0.6000000000000001</x:v>
      </x:c>
      <x:c r="AD1324" s="15" t="n">
        <x:f>'기준스탯 72종'!H60*H1324</x:f>
        <x:v>0.4200000000000001</x:v>
      </x:c>
      <x:c r="AE1324" s="15" t="n">
        <x:f>'기준스탯 72종'!I60*H1324</x:f>
        <x:v>0.3600000000000001</x:v>
      </x:c>
      <x:c r="AF1324" s="15" t="n">
        <x:f>'기준스탯 72종'!J60*H1324</x:f>
        <x:v>0.18000000000000005</x:v>
      </x:c>
      <x:c r="AG1324" s="15" t="n">
        <x:f>'기준스탯 72종'!K60*H1324</x:f>
        <x:v>0</x:v>
      </x:c>
    </x:row>
    <x:row r="1325" ht="28" customHeight="1">
      <x:c r="A1325" s="2" t="n">
        <x:v>1318</x:v>
      </x:c>
      <x:c r="B1325" s="2" t="n">
        <x:v>53</x:v>
      </x:c>
      <x:c r="C1325" s="2" t="str">
        <x:v>사수자리</x:v>
      </x:c>
      <x:c r="D1325" s="2" t="str">
        <x:v>도적</x:v>
      </x:c>
      <x:c r="E1325" s="2" t="n">
        <x:v>3</x:v>
      </x:c>
      <x:c r="F1325" s="2" t="n">
        <x:v>4</x:v>
      </x:c>
      <x:c r="G1325" s="14" t="n">
        <x:f>('레벨 계산식'!$E$4-E1325)*'레벨 계산식'!$B$5</x:f>
        <x:v>0.27999999999999997</x:v>
      </x:c>
      <x:c r="H1325" s="14" t="n">
        <x:f>('등급 계산식'!$E$4-F1325)*'등급 계산식'!$B$5</x:f>
        <x:v>0.06000000000000001</x:v>
      </x:c>
      <x:c r="I1325" s="14" t="n">
        <x:f>1-G1325-H1325</x:f>
        <x:v>0.6599999999999999</x:v>
      </x:c>
      <x:c r="J1325" s="2" t="n">
        <x:f>MAX(1,ROUND('기준스탯 72종'!D60-R1325-Z1325,0))</x:f>
        <x:v>6</x:v>
      </x:c>
      <x:c r="K1325" s="2" t="n">
        <x:f>MAX(1,ROUND('기준스탯 72종'!E60-S1325-AA1325,0))</x:f>
        <x:v>3</x:v>
      </x:c>
      <x:c r="L1325" s="2" t="n">
        <x:f>MAX(1,ROUND('기준스탯 72종'!F60-T1325-AB1325,0))</x:f>
        <x:v>4</x:v>
      </x:c>
      <x:c r="M1325" s="2" t="n">
        <x:f>MAX(1,ROUND('기준스탯 72종'!G60-U1325-AC1325,0))</x:f>
        <x:v>7</x:v>
      </x:c>
      <x:c r="N1325" s="2" t="n">
        <x:f>MAX(0,ROUND('기준스탯 72종'!H60-V1325-AD1325,0))</x:f>
        <x:v>5</x:v>
      </x:c>
      <x:c r="O1325" s="2" t="n">
        <x:f>MAX(0,ROUND('기준스탯 72종'!I60-W1325-AE1325,0))</x:f>
        <x:v>4</x:v>
      </x:c>
      <x:c r="P1325" s="2" t="n">
        <x:f>MAX(0,ROUND('기준스탯 72종'!J60-X1325-AF1325,0))</x:f>
        <x:v>2</x:v>
      </x:c>
      <x:c r="Q1325" s="2" t="n">
        <x:f>MAX(0,ROUND('기준스탯 72종'!K60-Y1325-AG1325,0))</x:f>
        <x:v>0</x:v>
      </x:c>
      <x:c r="R1325" s="15" t="n">
        <x:f>'기준스탯 72종'!D60*G1325</x:f>
        <x:v>2.5199999999999996</x:v>
      </x:c>
      <x:c r="S1325" s="15" t="n">
        <x:f>'기준스탯 72종'!E60*G1325</x:f>
        <x:v>1.4</x:v>
      </x:c>
      <x:c r="T1325" s="15" t="n">
        <x:f>'기준스탯 72종'!F60*G1325</x:f>
        <x:v>1.6799999999999997</x:v>
      </x:c>
      <x:c r="U1325" s="15" t="n">
        <x:f>'기준스탯 72종'!G60*G1325</x:f>
        <x:v>2.8</x:v>
      </x:c>
      <x:c r="V1325" s="15" t="n">
        <x:f>'기준스탯 72종'!H60*G1325</x:f>
        <x:v>1.9599999999999997</x:v>
      </x:c>
      <x:c r="W1325" s="15" t="n">
        <x:f>'기준스탯 72종'!I60*G1325</x:f>
        <x:v>1.6799999999999997</x:v>
      </x:c>
      <x:c r="X1325" s="15" t="n">
        <x:f>'기준스탯 72종'!J60*G1325</x:f>
        <x:v>0.8399999999999999</x:v>
      </x:c>
      <x:c r="Y1325" s="15" t="n">
        <x:f>'기준스탯 72종'!K60*G1325</x:f>
        <x:v>0</x:v>
      </x:c>
      <x:c r="Z1325" s="15" t="n">
        <x:f>'기준스탯 72종'!D60*H1325</x:f>
        <x:v>0.5400000000000001</x:v>
      </x:c>
      <x:c r="AA1325" s="15" t="n">
        <x:f>'기준스탯 72종'!E60*H1325</x:f>
        <x:v>0.30000000000000004</x:v>
      </x:c>
      <x:c r="AB1325" s="15" t="n">
        <x:f>'기준스탯 72종'!F60*H1325</x:f>
        <x:v>0.3600000000000001</x:v>
      </x:c>
      <x:c r="AC1325" s="15" t="n">
        <x:f>'기준스탯 72종'!G60*H1325</x:f>
        <x:v>0.6000000000000001</x:v>
      </x:c>
      <x:c r="AD1325" s="15" t="n">
        <x:f>'기준스탯 72종'!H60*H1325</x:f>
        <x:v>0.4200000000000001</x:v>
      </x:c>
      <x:c r="AE1325" s="15" t="n">
        <x:f>'기준스탯 72종'!I60*H1325</x:f>
        <x:v>0.3600000000000001</x:v>
      </x:c>
      <x:c r="AF1325" s="15" t="n">
        <x:f>'기준스탯 72종'!J60*H1325</x:f>
        <x:v>0.18000000000000005</x:v>
      </x:c>
      <x:c r="AG1325" s="15" t="n">
        <x:f>'기준스탯 72종'!K60*H1325</x:f>
        <x:v>0</x:v>
      </x:c>
    </x:row>
    <x:row r="1326" ht="28" customHeight="1">
      <x:c r="A1326" s="2" t="n">
        <x:v>1319</x:v>
      </x:c>
      <x:c r="B1326" s="2" t="n">
        <x:v>53</x:v>
      </x:c>
      <x:c r="C1326" s="2" t="str">
        <x:v>사수자리</x:v>
      </x:c>
      <x:c r="D1326" s="2" t="str">
        <x:v>도적</x:v>
      </x:c>
      <x:c r="E1326" s="2" t="n">
        <x:v>4</x:v>
      </x:c>
      <x:c r="F1326" s="2" t="n">
        <x:v>4</x:v>
      </x:c>
      <x:c r="G1326" s="14" t="n">
        <x:f>('레벨 계산식'!$E$4-E1326)*'레벨 계산식'!$B$5</x:f>
        <x:v>0.13999999999999999</x:v>
      </x:c>
      <x:c r="H1326" s="14" t="n">
        <x:f>('등급 계산식'!$E$4-F1326)*'등급 계산식'!$B$5</x:f>
        <x:v>0.06000000000000001</x:v>
      </x:c>
      <x:c r="I1326" s="14" t="n">
        <x:f>1-G1326-H1326</x:f>
        <x:v>0.7999999999999999</x:v>
      </x:c>
      <x:c r="J1326" s="2" t="n">
        <x:f>MAX(1,ROUND('기준스탯 72종'!D60-R1326-Z1326,0))</x:f>
        <x:v>7</x:v>
      </x:c>
      <x:c r="K1326" s="2" t="n">
        <x:f>MAX(1,ROUND('기준스탯 72종'!E60-S1326-AA1326,0))</x:f>
        <x:v>4</x:v>
      </x:c>
      <x:c r="L1326" s="2" t="n">
        <x:f>MAX(1,ROUND('기준스탯 72종'!F60-T1326-AB1326,0))</x:f>
        <x:v>5</x:v>
      </x:c>
      <x:c r="M1326" s="2" t="n">
        <x:f>MAX(1,ROUND('기준스탯 72종'!G60-U1326-AC1326,0))</x:f>
        <x:v>8</x:v>
      </x:c>
      <x:c r="N1326" s="2" t="n">
        <x:f>MAX(0,ROUND('기준스탯 72종'!H60-V1326-AD1326,0))</x:f>
        <x:v>6</x:v>
      </x:c>
      <x:c r="O1326" s="2" t="n">
        <x:f>MAX(0,ROUND('기준스탯 72종'!I60-W1326-AE1326,0))</x:f>
        <x:v>5</x:v>
      </x:c>
      <x:c r="P1326" s="2" t="n">
        <x:f>MAX(0,ROUND('기준스탯 72종'!J60-X1326-AF1326,0))</x:f>
        <x:v>2</x:v>
      </x:c>
      <x:c r="Q1326" s="2" t="n">
        <x:f>MAX(0,ROUND('기준스탯 72종'!K60-Y1326-AG1326,0))</x:f>
        <x:v>0</x:v>
      </x:c>
      <x:c r="R1326" s="15" t="n">
        <x:f>'기준스탯 72종'!D60*G1326</x:f>
        <x:v>1.2599999999999998</x:v>
      </x:c>
      <x:c r="S1326" s="15" t="n">
        <x:f>'기준스탯 72종'!E60*G1326</x:f>
        <x:v>0.7</x:v>
      </x:c>
      <x:c r="T1326" s="15" t="n">
        <x:f>'기준스탯 72종'!F60*G1326</x:f>
        <x:v>0.8399999999999999</x:v>
      </x:c>
      <x:c r="U1326" s="15" t="n">
        <x:f>'기준스탯 72종'!G60*G1326</x:f>
        <x:v>1.4</x:v>
      </x:c>
      <x:c r="V1326" s="15" t="n">
        <x:f>'기준스탯 72종'!H60*G1326</x:f>
        <x:v>0.9799999999999999</x:v>
      </x:c>
      <x:c r="W1326" s="15" t="n">
        <x:f>'기준스탯 72종'!I60*G1326</x:f>
        <x:v>0.8399999999999999</x:v>
      </x:c>
      <x:c r="X1326" s="15" t="n">
        <x:f>'기준스탯 72종'!J60*G1326</x:f>
        <x:v>0.41999999999999993</x:v>
      </x:c>
      <x:c r="Y1326" s="15" t="n">
        <x:f>'기준스탯 72종'!K60*G1326</x:f>
        <x:v>0</x:v>
      </x:c>
      <x:c r="Z1326" s="15" t="n">
        <x:f>'기준스탯 72종'!D60*H1326</x:f>
        <x:v>0.5400000000000001</x:v>
      </x:c>
      <x:c r="AA1326" s="15" t="n">
        <x:f>'기준스탯 72종'!E60*H1326</x:f>
        <x:v>0.30000000000000004</x:v>
      </x:c>
      <x:c r="AB1326" s="15" t="n">
        <x:f>'기준스탯 72종'!F60*H1326</x:f>
        <x:v>0.3600000000000001</x:v>
      </x:c>
      <x:c r="AC1326" s="15" t="n">
        <x:f>'기준스탯 72종'!G60*H1326</x:f>
        <x:v>0.6000000000000001</x:v>
      </x:c>
      <x:c r="AD1326" s="15" t="n">
        <x:f>'기준스탯 72종'!H60*H1326</x:f>
        <x:v>0.4200000000000001</x:v>
      </x:c>
      <x:c r="AE1326" s="15" t="n">
        <x:f>'기준스탯 72종'!I60*H1326</x:f>
        <x:v>0.3600000000000001</x:v>
      </x:c>
      <x:c r="AF1326" s="15" t="n">
        <x:f>'기준스탯 72종'!J60*H1326</x:f>
        <x:v>0.18000000000000005</x:v>
      </x:c>
      <x:c r="AG1326" s="15" t="n">
        <x:f>'기준스탯 72종'!K60*H1326</x:f>
        <x:v>0</x:v>
      </x:c>
    </x:row>
    <x:row r="1327" ht="28" customHeight="1">
      <x:c r="A1327" s="2" t="n">
        <x:v>1320</x:v>
      </x:c>
      <x:c r="B1327" s="2" t="n">
        <x:v>53</x:v>
      </x:c>
      <x:c r="C1327" s="2" t="str">
        <x:v>사수자리</x:v>
      </x:c>
      <x:c r="D1327" s="2" t="str">
        <x:v>도적</x:v>
      </x:c>
      <x:c r="E1327" s="2" t="n">
        <x:v>5</x:v>
      </x:c>
      <x:c r="F1327" s="2" t="n">
        <x:v>4</x:v>
      </x:c>
      <x:c r="G1327" s="14" t="n">
        <x:f>('레벨 계산식'!$E$4-E1327)*'레벨 계산식'!$B$5</x:f>
        <x:v>0</x:v>
      </x:c>
      <x:c r="H1327" s="14" t="n">
        <x:f>('등급 계산식'!$E$4-F1327)*'등급 계산식'!$B$5</x:f>
        <x:v>0.06000000000000001</x:v>
      </x:c>
      <x:c r="I1327" s="14" t="n">
        <x:f>1-G1327-H1327</x:f>
        <x:v>0.94</x:v>
      </x:c>
      <x:c r="J1327" s="2" t="n">
        <x:f>MAX(1,ROUND('기준스탯 72종'!D60-R1327-Z1327,0))</x:f>
        <x:v>8</x:v>
      </x:c>
      <x:c r="K1327" s="2" t="n">
        <x:f>MAX(1,ROUND('기준스탯 72종'!E60-S1327-AA1327,0))</x:f>
        <x:v>5</x:v>
      </x:c>
      <x:c r="L1327" s="2" t="n">
        <x:f>MAX(1,ROUND('기준스탯 72종'!F60-T1327-AB1327,0))</x:f>
        <x:v>6</x:v>
      </x:c>
      <x:c r="M1327" s="2" t="n">
        <x:f>MAX(1,ROUND('기준스탯 72종'!G60-U1327-AC1327,0))</x:f>
        <x:v>9</x:v>
      </x:c>
      <x:c r="N1327" s="2" t="n">
        <x:f>MAX(0,ROUND('기준스탯 72종'!H60-V1327-AD1327,0))</x:f>
        <x:v>7</x:v>
      </x:c>
      <x:c r="O1327" s="2" t="n">
        <x:f>MAX(0,ROUND('기준스탯 72종'!I60-W1327-AE1327,0))</x:f>
        <x:v>6</x:v>
      </x:c>
      <x:c r="P1327" s="2" t="n">
        <x:f>MAX(0,ROUND('기준스탯 72종'!J60-X1327-AF1327,0))</x:f>
        <x:v>3</x:v>
      </x:c>
      <x:c r="Q1327" s="2" t="n">
        <x:f>MAX(0,ROUND('기준스탯 72종'!K60-Y1327-AG1327,0))</x:f>
        <x:v>0</x:v>
      </x:c>
      <x:c r="R1327" s="15" t="n">
        <x:f>'기준스탯 72종'!D60*G1327</x:f>
        <x:v>0</x:v>
      </x:c>
      <x:c r="S1327" s="15" t="n">
        <x:f>'기준스탯 72종'!E60*G1327</x:f>
        <x:v>0</x:v>
      </x:c>
      <x:c r="T1327" s="15" t="n">
        <x:f>'기준스탯 72종'!F60*G1327</x:f>
        <x:v>0</x:v>
      </x:c>
      <x:c r="U1327" s="15" t="n">
        <x:f>'기준스탯 72종'!G60*G1327</x:f>
        <x:v>0</x:v>
      </x:c>
      <x:c r="V1327" s="15" t="n">
        <x:f>'기준스탯 72종'!H60*G1327</x:f>
        <x:v>0</x:v>
      </x:c>
      <x:c r="W1327" s="15" t="n">
        <x:f>'기준스탯 72종'!I60*G1327</x:f>
        <x:v>0</x:v>
      </x:c>
      <x:c r="X1327" s="15" t="n">
        <x:f>'기준스탯 72종'!J60*G1327</x:f>
        <x:v>0</x:v>
      </x:c>
      <x:c r="Y1327" s="15" t="n">
        <x:f>'기준스탯 72종'!K60*G1327</x:f>
        <x:v>0</x:v>
      </x:c>
      <x:c r="Z1327" s="15" t="n">
        <x:f>'기준스탯 72종'!D60*H1327</x:f>
        <x:v>0.5400000000000001</x:v>
      </x:c>
      <x:c r="AA1327" s="15" t="n">
        <x:f>'기준스탯 72종'!E60*H1327</x:f>
        <x:v>0.30000000000000004</x:v>
      </x:c>
      <x:c r="AB1327" s="15" t="n">
        <x:f>'기준스탯 72종'!F60*H1327</x:f>
        <x:v>0.3600000000000001</x:v>
      </x:c>
      <x:c r="AC1327" s="15" t="n">
        <x:f>'기준스탯 72종'!G60*H1327</x:f>
        <x:v>0.6000000000000001</x:v>
      </x:c>
      <x:c r="AD1327" s="15" t="n">
        <x:f>'기준스탯 72종'!H60*H1327</x:f>
        <x:v>0.4200000000000001</x:v>
      </x:c>
      <x:c r="AE1327" s="15" t="n">
        <x:f>'기준스탯 72종'!I60*H1327</x:f>
        <x:v>0.3600000000000001</x:v>
      </x:c>
      <x:c r="AF1327" s="15" t="n">
        <x:f>'기준스탯 72종'!J60*H1327</x:f>
        <x:v>0.18000000000000005</x:v>
      </x:c>
      <x:c r="AG1327" s="15" t="n">
        <x:f>'기준스탯 72종'!K60*H1327</x:f>
        <x:v>0</x:v>
      </x:c>
    </x:row>
    <x:row r="1328" ht="28" customHeight="1">
      <x:c r="A1328" s="2" t="n">
        <x:v>1321</x:v>
      </x:c>
      <x:c r="B1328" s="2" t="n">
        <x:v>53</x:v>
      </x:c>
      <x:c r="C1328" s="2" t="str">
        <x:v>사수자리</x:v>
      </x:c>
      <x:c r="D1328" s="2" t="str">
        <x:v>도적</x:v>
      </x:c>
      <x:c r="E1328" s="2" t="n">
        <x:v>1</x:v>
      </x:c>
      <x:c r="F1328" s="2" t="n">
        <x:v>5</x:v>
      </x:c>
      <x:c r="G1328" s="14" t="n">
        <x:f>('레벨 계산식'!$E$4-E1328)*'레벨 계산식'!$B$5</x:f>
        <x:v>0.5599999999999999</x:v>
      </x:c>
      <x:c r="H1328" s="14" t="n">
        <x:f>('등급 계산식'!$E$4-F1328)*'등급 계산식'!$B$5</x:f>
        <x:v>0</x:v>
      </x:c>
      <x:c r="I1328" s="14" t="n">
        <x:f>1-G1328-H1328</x:f>
        <x:v>0.44000000000000006</x:v>
      </x:c>
      <x:c r="J1328" s="2" t="n">
        <x:f>MAX(1,ROUND('기준스탯 72종'!D60-R1328-Z1328,0))</x:f>
        <x:v>4</x:v>
      </x:c>
      <x:c r="K1328" s="2" t="n">
        <x:f>MAX(1,ROUND('기준스탯 72종'!E60-S1328-AA1328,0))</x:f>
        <x:v>2</x:v>
      </x:c>
      <x:c r="L1328" s="2" t="n">
        <x:f>MAX(1,ROUND('기준스탯 72종'!F60-T1328-AB1328,0))</x:f>
        <x:v>3</x:v>
      </x:c>
      <x:c r="M1328" s="2" t="n">
        <x:f>MAX(1,ROUND('기준스탯 72종'!G60-U1328-AC1328,0))</x:f>
        <x:v>4</x:v>
      </x:c>
      <x:c r="N1328" s="2" t="n">
        <x:f>MAX(0,ROUND('기준스탯 72종'!H60-V1328-AD1328,0))</x:f>
        <x:v>3</x:v>
      </x:c>
      <x:c r="O1328" s="2" t="n">
        <x:f>MAX(0,ROUND('기준스탯 72종'!I60-W1328-AE1328,0))</x:f>
        <x:v>3</x:v>
      </x:c>
      <x:c r="P1328" s="2" t="n">
        <x:f>MAX(0,ROUND('기준스탯 72종'!J60-X1328-AF1328,0))</x:f>
        <x:v>1</x:v>
      </x:c>
      <x:c r="Q1328" s="2" t="n">
        <x:f>MAX(0,ROUND('기준스탯 72종'!K60-Y1328-AG1328,0))</x:f>
        <x:v>0</x:v>
      </x:c>
      <x:c r="R1328" s="15" t="n">
        <x:f>'기준스탯 72종'!D60*G1328</x:f>
        <x:v>5.039999999999999</x:v>
      </x:c>
      <x:c r="S1328" s="15" t="n">
        <x:f>'기준스탯 72종'!E60*G1328</x:f>
        <x:v>2.8</x:v>
      </x:c>
      <x:c r="T1328" s="15" t="n">
        <x:f>'기준스탯 72종'!F60*G1328</x:f>
        <x:v>3.3599999999999994</x:v>
      </x:c>
      <x:c r="U1328" s="15" t="n">
        <x:f>'기준스탯 72종'!G60*G1328</x:f>
        <x:v>5.6</x:v>
      </x:c>
      <x:c r="V1328" s="15" t="n">
        <x:f>'기준스탯 72종'!H60*G1328</x:f>
        <x:v>3.9199999999999995</x:v>
      </x:c>
      <x:c r="W1328" s="15" t="n">
        <x:f>'기준스탯 72종'!I60*G1328</x:f>
        <x:v>3.3599999999999994</x:v>
      </x:c>
      <x:c r="X1328" s="15" t="n">
        <x:f>'기준스탯 72종'!J60*G1328</x:f>
        <x:v>1.6799999999999997</x:v>
      </x:c>
      <x:c r="Y1328" s="15" t="n">
        <x:f>'기준스탯 72종'!K60*G1328</x:f>
        <x:v>0</x:v>
      </x:c>
      <x:c r="Z1328" s="15" t="n">
        <x:f>'기준스탯 72종'!D60*H1328</x:f>
        <x:v>0</x:v>
      </x:c>
      <x:c r="AA1328" s="15" t="n">
        <x:f>'기준스탯 72종'!E60*H1328</x:f>
        <x:v>0</x:v>
      </x:c>
      <x:c r="AB1328" s="15" t="n">
        <x:f>'기준스탯 72종'!F60*H1328</x:f>
        <x:v>0</x:v>
      </x:c>
      <x:c r="AC1328" s="15" t="n">
        <x:f>'기준스탯 72종'!G60*H1328</x:f>
        <x:v>0</x:v>
      </x:c>
      <x:c r="AD1328" s="15" t="n">
        <x:f>'기준스탯 72종'!H60*H1328</x:f>
        <x:v>0</x:v>
      </x:c>
      <x:c r="AE1328" s="15" t="n">
        <x:f>'기준스탯 72종'!I60*H1328</x:f>
        <x:v>0</x:v>
      </x:c>
      <x:c r="AF1328" s="15" t="n">
        <x:f>'기준스탯 72종'!J60*H1328</x:f>
        <x:v>0</x:v>
      </x:c>
      <x:c r="AG1328" s="15" t="n">
        <x:f>'기준스탯 72종'!K60*H1328</x:f>
        <x:v>0</x:v>
      </x:c>
    </x:row>
    <x:row r="1329" ht="28" customHeight="1">
      <x:c r="A1329" s="2" t="n">
        <x:v>1322</x:v>
      </x:c>
      <x:c r="B1329" s="2" t="n">
        <x:v>53</x:v>
      </x:c>
      <x:c r="C1329" s="2" t="str">
        <x:v>사수자리</x:v>
      </x:c>
      <x:c r="D1329" s="2" t="str">
        <x:v>도적</x:v>
      </x:c>
      <x:c r="E1329" s="2" t="n">
        <x:v>2</x:v>
      </x:c>
      <x:c r="F1329" s="2" t="n">
        <x:v>5</x:v>
      </x:c>
      <x:c r="G1329" s="14" t="n">
        <x:f>('레벨 계산식'!$E$4-E1329)*'레벨 계산식'!$B$5</x:f>
        <x:v>0.41999999999999993</x:v>
      </x:c>
      <x:c r="H1329" s="14" t="n">
        <x:f>('등급 계산식'!$E$4-F1329)*'등급 계산식'!$B$5</x:f>
        <x:v>0</x:v>
      </x:c>
      <x:c r="I1329" s="14" t="n">
        <x:f>1-G1329-H1329</x:f>
        <x:v>0.5800000000000001</x:v>
      </x:c>
      <x:c r="J1329" s="2" t="n">
        <x:f>MAX(1,ROUND('기준스탯 72종'!D60-R1329-Z1329,0))</x:f>
        <x:v>5</x:v>
      </x:c>
      <x:c r="K1329" s="2" t="n">
        <x:f>MAX(1,ROUND('기준스탯 72종'!E60-S1329-AA1329,0))</x:f>
        <x:v>3</x:v>
      </x:c>
      <x:c r="L1329" s="2" t="n">
        <x:f>MAX(1,ROUND('기준스탯 72종'!F60-T1329-AB1329,0))</x:f>
        <x:v>3</x:v>
      </x:c>
      <x:c r="M1329" s="2" t="n">
        <x:f>MAX(1,ROUND('기준스탯 72종'!G60-U1329-AC1329,0))</x:f>
        <x:v>6</x:v>
      </x:c>
      <x:c r="N1329" s="2" t="n">
        <x:f>MAX(0,ROUND('기준스탯 72종'!H60-V1329-AD1329,0))</x:f>
        <x:v>4</x:v>
      </x:c>
      <x:c r="O1329" s="2" t="n">
        <x:f>MAX(0,ROUND('기준스탯 72종'!I60-W1329-AE1329,0))</x:f>
        <x:v>3</x:v>
      </x:c>
      <x:c r="P1329" s="2" t="n">
        <x:f>MAX(0,ROUND('기준스탯 72종'!J60-X1329-AF1329,0))</x:f>
        <x:v>2</x:v>
      </x:c>
      <x:c r="Q1329" s="2" t="n">
        <x:f>MAX(0,ROUND('기준스탯 72종'!K60-Y1329-AG1329,0))</x:f>
        <x:v>0</x:v>
      </x:c>
      <x:c r="R1329" s="15" t="n">
        <x:f>'기준스탯 72종'!D60*G1329</x:f>
        <x:v>3.7799999999999994</x:v>
      </x:c>
      <x:c r="S1329" s="15" t="n">
        <x:f>'기준스탯 72종'!E60*G1329</x:f>
        <x:v>2.0999999999999996</x:v>
      </x:c>
      <x:c r="T1329" s="15" t="n">
        <x:f>'기준스탯 72종'!F60*G1329</x:f>
        <x:v>2.5199999999999996</x:v>
      </x:c>
      <x:c r="U1329" s="15" t="n">
        <x:f>'기준스탯 72종'!G60*G1329</x:f>
        <x:v>4.199999999999999</x:v>
      </x:c>
      <x:c r="V1329" s="15" t="n">
        <x:f>'기준스탯 72종'!H60*G1329</x:f>
        <x:v>2.9399999999999995</x:v>
      </x:c>
      <x:c r="W1329" s="15" t="n">
        <x:f>'기준스탯 72종'!I60*G1329</x:f>
        <x:v>2.5199999999999996</x:v>
      </x:c>
      <x:c r="X1329" s="15" t="n">
        <x:f>'기준스탯 72종'!J60*G1329</x:f>
        <x:v>1.2599999999999998</x:v>
      </x:c>
      <x:c r="Y1329" s="15" t="n">
        <x:f>'기준스탯 72종'!K60*G1329</x:f>
        <x:v>0</x:v>
      </x:c>
      <x:c r="Z1329" s="15" t="n">
        <x:f>'기준스탯 72종'!D60*H1329</x:f>
        <x:v>0</x:v>
      </x:c>
      <x:c r="AA1329" s="15" t="n">
        <x:f>'기준스탯 72종'!E60*H1329</x:f>
        <x:v>0</x:v>
      </x:c>
      <x:c r="AB1329" s="15" t="n">
        <x:f>'기준스탯 72종'!F60*H1329</x:f>
        <x:v>0</x:v>
      </x:c>
      <x:c r="AC1329" s="15" t="n">
        <x:f>'기준스탯 72종'!G60*H1329</x:f>
        <x:v>0</x:v>
      </x:c>
      <x:c r="AD1329" s="15" t="n">
        <x:f>'기준스탯 72종'!H60*H1329</x:f>
        <x:v>0</x:v>
      </x:c>
      <x:c r="AE1329" s="15" t="n">
        <x:f>'기준스탯 72종'!I60*H1329</x:f>
        <x:v>0</x:v>
      </x:c>
      <x:c r="AF1329" s="15" t="n">
        <x:f>'기준스탯 72종'!J60*H1329</x:f>
        <x:v>0</x:v>
      </x:c>
      <x:c r="AG1329" s="15" t="n">
        <x:f>'기준스탯 72종'!K60*H1329</x:f>
        <x:v>0</x:v>
      </x:c>
    </x:row>
    <x:row r="1330" ht="28" customHeight="1">
      <x:c r="A1330" s="2" t="n">
        <x:v>1323</x:v>
      </x:c>
      <x:c r="B1330" s="2" t="n">
        <x:v>53</x:v>
      </x:c>
      <x:c r="C1330" s="2" t="str">
        <x:v>사수자리</x:v>
      </x:c>
      <x:c r="D1330" s="2" t="str">
        <x:v>도적</x:v>
      </x:c>
      <x:c r="E1330" s="2" t="n">
        <x:v>3</x:v>
      </x:c>
      <x:c r="F1330" s="2" t="n">
        <x:v>5</x:v>
      </x:c>
      <x:c r="G1330" s="14" t="n">
        <x:f>('레벨 계산식'!$E$4-E1330)*'레벨 계산식'!$B$5</x:f>
        <x:v>0.27999999999999997</x:v>
      </x:c>
      <x:c r="H1330" s="14" t="n">
        <x:f>('등급 계산식'!$E$4-F1330)*'등급 계산식'!$B$5</x:f>
        <x:v>0</x:v>
      </x:c>
      <x:c r="I1330" s="14" t="n">
        <x:f>1-G1330-H1330</x:f>
        <x:v>0.72</x:v>
      </x:c>
      <x:c r="J1330" s="2" t="n">
        <x:f>MAX(1,ROUND('기준스탯 72종'!D60-R1330-Z1330,0))</x:f>
        <x:v>6</x:v>
      </x:c>
      <x:c r="K1330" s="2" t="n">
        <x:f>MAX(1,ROUND('기준스탯 72종'!E60-S1330-AA1330,0))</x:f>
        <x:v>4</x:v>
      </x:c>
      <x:c r="L1330" s="2" t="n">
        <x:f>MAX(1,ROUND('기준스탯 72종'!F60-T1330-AB1330,0))</x:f>
        <x:v>4</x:v>
      </x:c>
      <x:c r="M1330" s="2" t="n">
        <x:f>MAX(1,ROUND('기준스탯 72종'!G60-U1330-AC1330,0))</x:f>
        <x:v>7</x:v>
      </x:c>
      <x:c r="N1330" s="2" t="n">
        <x:f>MAX(0,ROUND('기준스탯 72종'!H60-V1330-AD1330,0))</x:f>
        <x:v>5</x:v>
      </x:c>
      <x:c r="O1330" s="2" t="n">
        <x:f>MAX(0,ROUND('기준스탯 72종'!I60-W1330-AE1330,0))</x:f>
        <x:v>4</x:v>
      </x:c>
      <x:c r="P1330" s="2" t="n">
        <x:f>MAX(0,ROUND('기준스탯 72종'!J60-X1330-AF1330,0))</x:f>
        <x:v>2</x:v>
      </x:c>
      <x:c r="Q1330" s="2" t="n">
        <x:f>MAX(0,ROUND('기준스탯 72종'!K60-Y1330-AG1330,0))</x:f>
        <x:v>0</x:v>
      </x:c>
      <x:c r="R1330" s="15" t="n">
        <x:f>'기준스탯 72종'!D60*G1330</x:f>
        <x:v>2.5199999999999996</x:v>
      </x:c>
      <x:c r="S1330" s="15" t="n">
        <x:f>'기준스탯 72종'!E60*G1330</x:f>
        <x:v>1.4</x:v>
      </x:c>
      <x:c r="T1330" s="15" t="n">
        <x:f>'기준스탯 72종'!F60*G1330</x:f>
        <x:v>1.6799999999999997</x:v>
      </x:c>
      <x:c r="U1330" s="15" t="n">
        <x:f>'기준스탯 72종'!G60*G1330</x:f>
        <x:v>2.8</x:v>
      </x:c>
      <x:c r="V1330" s="15" t="n">
        <x:f>'기준스탯 72종'!H60*G1330</x:f>
        <x:v>1.9599999999999997</x:v>
      </x:c>
      <x:c r="W1330" s="15" t="n">
        <x:f>'기준스탯 72종'!I60*G1330</x:f>
        <x:v>1.6799999999999997</x:v>
      </x:c>
      <x:c r="X1330" s="15" t="n">
        <x:f>'기준스탯 72종'!J60*G1330</x:f>
        <x:v>0.8399999999999999</x:v>
      </x:c>
      <x:c r="Y1330" s="15" t="n">
        <x:f>'기준스탯 72종'!K60*G1330</x:f>
        <x:v>0</x:v>
      </x:c>
      <x:c r="Z1330" s="15" t="n">
        <x:f>'기준스탯 72종'!D60*H1330</x:f>
        <x:v>0</x:v>
      </x:c>
      <x:c r="AA1330" s="15" t="n">
        <x:f>'기준스탯 72종'!E60*H1330</x:f>
        <x:v>0</x:v>
      </x:c>
      <x:c r="AB1330" s="15" t="n">
        <x:f>'기준스탯 72종'!F60*H1330</x:f>
        <x:v>0</x:v>
      </x:c>
      <x:c r="AC1330" s="15" t="n">
        <x:f>'기준스탯 72종'!G60*H1330</x:f>
        <x:v>0</x:v>
      </x:c>
      <x:c r="AD1330" s="15" t="n">
        <x:f>'기준스탯 72종'!H60*H1330</x:f>
        <x:v>0</x:v>
      </x:c>
      <x:c r="AE1330" s="15" t="n">
        <x:f>'기준스탯 72종'!I60*H1330</x:f>
        <x:v>0</x:v>
      </x:c>
      <x:c r="AF1330" s="15" t="n">
        <x:f>'기준스탯 72종'!J60*H1330</x:f>
        <x:v>0</x:v>
      </x:c>
      <x:c r="AG1330" s="15" t="n">
        <x:f>'기준스탯 72종'!K60*H1330</x:f>
        <x:v>0</x:v>
      </x:c>
    </x:row>
    <x:row r="1331" ht="28" customHeight="1">
      <x:c r="A1331" s="2" t="n">
        <x:v>1324</x:v>
      </x:c>
      <x:c r="B1331" s="2" t="n">
        <x:v>53</x:v>
      </x:c>
      <x:c r="C1331" s="2" t="str">
        <x:v>사수자리</x:v>
      </x:c>
      <x:c r="D1331" s="2" t="str">
        <x:v>도적</x:v>
      </x:c>
      <x:c r="E1331" s="2" t="n">
        <x:v>4</x:v>
      </x:c>
      <x:c r="F1331" s="2" t="n">
        <x:v>5</x:v>
      </x:c>
      <x:c r="G1331" s="14" t="n">
        <x:f>('레벨 계산식'!$E$4-E1331)*'레벨 계산식'!$B$5</x:f>
        <x:v>0.13999999999999999</x:v>
      </x:c>
      <x:c r="H1331" s="14" t="n">
        <x:f>('등급 계산식'!$E$4-F1331)*'등급 계산식'!$B$5</x:f>
        <x:v>0</x:v>
      </x:c>
      <x:c r="I1331" s="14" t="n">
        <x:f>1-G1331-H1331</x:f>
        <x:v>0.86</x:v>
      </x:c>
      <x:c r="J1331" s="2" t="n">
        <x:f>MAX(1,ROUND('기준스탯 72종'!D60-R1331-Z1331,0))</x:f>
        <x:v>8</x:v>
      </x:c>
      <x:c r="K1331" s="2" t="n">
        <x:f>MAX(1,ROUND('기준스탯 72종'!E60-S1331-AA1331,0))</x:f>
        <x:v>4</x:v>
      </x:c>
      <x:c r="L1331" s="2" t="n">
        <x:f>MAX(1,ROUND('기준스탯 72종'!F60-T1331-AB1331,0))</x:f>
        <x:v>5</x:v>
      </x:c>
      <x:c r="M1331" s="2" t="n">
        <x:f>MAX(1,ROUND('기준스탯 72종'!G60-U1331-AC1331,0))</x:f>
        <x:v>9</x:v>
      </x:c>
      <x:c r="N1331" s="2" t="n">
        <x:f>MAX(0,ROUND('기준스탯 72종'!H60-V1331-AD1331,0))</x:f>
        <x:v>6</x:v>
      </x:c>
      <x:c r="O1331" s="2" t="n">
        <x:f>MAX(0,ROUND('기준스탯 72종'!I60-W1331-AE1331,0))</x:f>
        <x:v>5</x:v>
      </x:c>
      <x:c r="P1331" s="2" t="n">
        <x:f>MAX(0,ROUND('기준스탯 72종'!J60-X1331-AF1331,0))</x:f>
        <x:v>3</x:v>
      </x:c>
      <x:c r="Q1331" s="2" t="n">
        <x:f>MAX(0,ROUND('기준스탯 72종'!K60-Y1331-AG1331,0))</x:f>
        <x:v>0</x:v>
      </x:c>
      <x:c r="R1331" s="15" t="n">
        <x:f>'기준스탯 72종'!D60*G1331</x:f>
        <x:v>1.2599999999999998</x:v>
      </x:c>
      <x:c r="S1331" s="15" t="n">
        <x:f>'기준스탯 72종'!E60*G1331</x:f>
        <x:v>0.7</x:v>
      </x:c>
      <x:c r="T1331" s="15" t="n">
        <x:f>'기준스탯 72종'!F60*G1331</x:f>
        <x:v>0.8399999999999999</x:v>
      </x:c>
      <x:c r="U1331" s="15" t="n">
        <x:f>'기준스탯 72종'!G60*G1331</x:f>
        <x:v>1.4</x:v>
      </x:c>
      <x:c r="V1331" s="15" t="n">
        <x:f>'기준스탯 72종'!H60*G1331</x:f>
        <x:v>0.9799999999999999</x:v>
      </x:c>
      <x:c r="W1331" s="15" t="n">
        <x:f>'기준스탯 72종'!I60*G1331</x:f>
        <x:v>0.8399999999999999</x:v>
      </x:c>
      <x:c r="X1331" s="15" t="n">
        <x:f>'기준스탯 72종'!J60*G1331</x:f>
        <x:v>0.41999999999999993</x:v>
      </x:c>
      <x:c r="Y1331" s="15" t="n">
        <x:f>'기준스탯 72종'!K60*G1331</x:f>
        <x:v>0</x:v>
      </x:c>
      <x:c r="Z1331" s="15" t="n">
        <x:f>'기준스탯 72종'!D60*H1331</x:f>
        <x:v>0</x:v>
      </x:c>
      <x:c r="AA1331" s="15" t="n">
        <x:f>'기준스탯 72종'!E60*H1331</x:f>
        <x:v>0</x:v>
      </x:c>
      <x:c r="AB1331" s="15" t="n">
        <x:f>'기준스탯 72종'!F60*H1331</x:f>
        <x:v>0</x:v>
      </x:c>
      <x:c r="AC1331" s="15" t="n">
        <x:f>'기준스탯 72종'!G60*H1331</x:f>
        <x:v>0</x:v>
      </x:c>
      <x:c r="AD1331" s="15" t="n">
        <x:f>'기준스탯 72종'!H60*H1331</x:f>
        <x:v>0</x:v>
      </x:c>
      <x:c r="AE1331" s="15" t="n">
        <x:f>'기준스탯 72종'!I60*H1331</x:f>
        <x:v>0</x:v>
      </x:c>
      <x:c r="AF1331" s="15" t="n">
        <x:f>'기준스탯 72종'!J60*H1331</x:f>
        <x:v>0</x:v>
      </x:c>
      <x:c r="AG1331" s="15" t="n">
        <x:f>'기준스탯 72종'!K60*H1331</x:f>
        <x:v>0</x:v>
      </x:c>
    </x:row>
    <x:row r="1332" ht="28" customHeight="1">
      <x:c r="A1332" s="2" t="n">
        <x:v>1325</x:v>
      </x:c>
      <x:c r="B1332" s="2" t="n">
        <x:v>53</x:v>
      </x:c>
      <x:c r="C1332" s="2" t="str">
        <x:v>사수자리</x:v>
      </x:c>
      <x:c r="D1332" s="2" t="str">
        <x:v>도적</x:v>
      </x:c>
      <x:c r="E1332" s="2" t="n">
        <x:v>5</x:v>
      </x:c>
      <x:c r="F1332" s="2" t="n">
        <x:v>5</x:v>
      </x:c>
      <x:c r="G1332" s="14" t="n">
        <x:f>('레벨 계산식'!$E$4-E1332)*'레벨 계산식'!$B$5</x:f>
        <x:v>0</x:v>
      </x:c>
      <x:c r="H1332" s="14" t="n">
        <x:f>('등급 계산식'!$E$4-F1332)*'등급 계산식'!$B$5</x:f>
        <x:v>0</x:v>
      </x:c>
      <x:c r="I1332" s="14" t="n">
        <x:f>1-G1332-H1332</x:f>
        <x:v>1</x:v>
      </x:c>
      <x:c r="J1332" s="2" t="n">
        <x:f>MAX(1,ROUND('기준스탯 72종'!D60-R1332-Z1332,0))</x:f>
        <x:v>9</x:v>
      </x:c>
      <x:c r="K1332" s="2" t="n">
        <x:f>MAX(1,ROUND('기준스탯 72종'!E60-S1332-AA1332,0))</x:f>
        <x:v>5</x:v>
      </x:c>
      <x:c r="L1332" s="2" t="n">
        <x:f>MAX(1,ROUND('기준스탯 72종'!F60-T1332-AB1332,0))</x:f>
        <x:v>6</x:v>
      </x:c>
      <x:c r="M1332" s="2" t="n">
        <x:f>MAX(1,ROUND('기준스탯 72종'!G60-U1332-AC1332,0))</x:f>
        <x:v>10</x:v>
      </x:c>
      <x:c r="N1332" s="2" t="n">
        <x:f>MAX(0,ROUND('기준스탯 72종'!H60-V1332-AD1332,0))</x:f>
        <x:v>7</x:v>
      </x:c>
      <x:c r="O1332" s="2" t="n">
        <x:f>MAX(0,ROUND('기준스탯 72종'!I60-W1332-AE1332,0))</x:f>
        <x:v>6</x:v>
      </x:c>
      <x:c r="P1332" s="2" t="n">
        <x:f>MAX(0,ROUND('기준스탯 72종'!J60-X1332-AF1332,0))</x:f>
        <x:v>3</x:v>
      </x:c>
      <x:c r="Q1332" s="2" t="n">
        <x:f>MAX(0,ROUND('기준스탯 72종'!K60-Y1332-AG1332,0))</x:f>
        <x:v>0</x:v>
      </x:c>
      <x:c r="R1332" s="15" t="n">
        <x:f>'기준스탯 72종'!D60*G1332</x:f>
        <x:v>0</x:v>
      </x:c>
      <x:c r="S1332" s="15" t="n">
        <x:f>'기준스탯 72종'!E60*G1332</x:f>
        <x:v>0</x:v>
      </x:c>
      <x:c r="T1332" s="15" t="n">
        <x:f>'기준스탯 72종'!F60*G1332</x:f>
        <x:v>0</x:v>
      </x:c>
      <x:c r="U1332" s="15" t="n">
        <x:f>'기준스탯 72종'!G60*G1332</x:f>
        <x:v>0</x:v>
      </x:c>
      <x:c r="V1332" s="15" t="n">
        <x:f>'기준스탯 72종'!H60*G1332</x:f>
        <x:v>0</x:v>
      </x:c>
      <x:c r="W1332" s="15" t="n">
        <x:f>'기준스탯 72종'!I60*G1332</x:f>
        <x:v>0</x:v>
      </x:c>
      <x:c r="X1332" s="15" t="n">
        <x:f>'기준스탯 72종'!J60*G1332</x:f>
        <x:v>0</x:v>
      </x:c>
      <x:c r="Y1332" s="15" t="n">
        <x:f>'기준스탯 72종'!K60*G1332</x:f>
        <x:v>0</x:v>
      </x:c>
      <x:c r="Z1332" s="15" t="n">
        <x:f>'기준스탯 72종'!D60*H1332</x:f>
        <x:v>0</x:v>
      </x:c>
      <x:c r="AA1332" s="15" t="n">
        <x:f>'기준스탯 72종'!E60*H1332</x:f>
        <x:v>0</x:v>
      </x:c>
      <x:c r="AB1332" s="15" t="n">
        <x:f>'기준스탯 72종'!F60*H1332</x:f>
        <x:v>0</x:v>
      </x:c>
      <x:c r="AC1332" s="15" t="n">
        <x:f>'기준스탯 72종'!G60*H1332</x:f>
        <x:v>0</x:v>
      </x:c>
      <x:c r="AD1332" s="15" t="n">
        <x:f>'기준스탯 72종'!H60*H1332</x:f>
        <x:v>0</x:v>
      </x:c>
      <x:c r="AE1332" s="15" t="n">
        <x:f>'기준스탯 72종'!I60*H1332</x:f>
        <x:v>0</x:v>
      </x:c>
      <x:c r="AF1332" s="15" t="n">
        <x:f>'기준스탯 72종'!J60*H1332</x:f>
        <x:v>0</x:v>
      </x:c>
      <x:c r="AG1332" s="15" t="n">
        <x:f>'기준스탯 72종'!K60*H1332</x:f>
        <x:v>0</x:v>
      </x:c>
    </x:row>
    <x:row r="1333" ht="28" customHeight="1">
      <x:c r="A1333" s="2" t="n">
        <x:v>1326</x:v>
      </x:c>
      <x:c r="B1333" s="2" t="n">
        <x:v>54</x:v>
      </x:c>
      <x:c r="C1333" s="2" t="str">
        <x:v>사수자리</x:v>
      </x:c>
      <x:c r="D1333" s="2" t="str">
        <x:v>전사</x:v>
      </x:c>
      <x:c r="E1333" s="2" t="n">
        <x:v>1</x:v>
      </x:c>
      <x:c r="F1333" s="2" t="n">
        <x:v>1</x:v>
      </x:c>
      <x:c r="G1333" s="14" t="n">
        <x:f>('레벨 계산식'!$E$4-E1333)*'레벨 계산식'!$B$5</x:f>
        <x:v>0.5599999999999999</x:v>
      </x:c>
      <x:c r="H1333" s="14" t="n">
        <x:f>('등급 계산식'!$E$4-F1333)*'등급 계산식'!$B$5</x:f>
        <x:v>0.24000000000000005</x:v>
      </x:c>
      <x:c r="I1333" s="14" t="n">
        <x:f>1-G1333-H1333</x:f>
        <x:v>0.2</x:v>
      </x:c>
      <x:c r="J1333" s="2" t="n">
        <x:f>MAX(1,ROUND('기준스탯 72종'!D61-R1333-Z1333,0))</x:f>
        <x:v>2</x:v>
      </x:c>
      <x:c r="K1333" s="2" t="n">
        <x:f>MAX(1,ROUND('기준스탯 72종'!E61-S1333-AA1333,0))</x:f>
        <x:v>1</x:v>
      </x:c>
      <x:c r="L1333" s="2" t="n">
        <x:f>MAX(1,ROUND('기준스탯 72종'!F61-T1333-AB1333,0))</x:f>
        <x:v>1</x:v>
      </x:c>
      <x:c r="M1333" s="2" t="n">
        <x:f>MAX(1,ROUND('기준스탯 72종'!G61-U1333-AC1333,0))</x:f>
        <x:v>2</x:v>
      </x:c>
      <x:c r="N1333" s="2" t="n">
        <x:f>MAX(0,ROUND('기준스탯 72종'!H61-V1333-AD1333,0))</x:f>
        <x:v>1</x:v>
      </x:c>
      <x:c r="O1333" s="2" t="n">
        <x:f>MAX(0,ROUND('기준스탯 72종'!I61-W1333-AE1333,0))</x:f>
        <x:v>1</x:v>
      </x:c>
      <x:c r="P1333" s="2" t="n">
        <x:f>MAX(0,ROUND('기준스탯 72종'!J61-X1333-AF1333,0))</x:f>
        <x:v>1</x:v>
      </x:c>
      <x:c r="Q1333" s="2" t="n">
        <x:f>MAX(0,ROUND('기준스탯 72종'!K61-Y1333-AG1333,0))</x:f>
        <x:v>0</x:v>
      </x:c>
      <x:c r="R1333" s="15" t="n">
        <x:f>'기준스탯 72종'!D61*G1333</x:f>
        <x:v>5.039999999999999</x:v>
      </x:c>
      <x:c r="S1333" s="15" t="n">
        <x:f>'기준스탯 72종'!E61*G1333</x:f>
        <x:v>3.3599999999999994</x:v>
      </x:c>
      <x:c r="T1333" s="15" t="n">
        <x:f>'기준스탯 72종'!F61*G1333</x:f>
        <x:v>3.9199999999999995</x:v>
      </x:c>
      <x:c r="U1333" s="15" t="n">
        <x:f>'기준스탯 72종'!G61*G1333</x:f>
        <x:v>5.039999999999999</x:v>
      </x:c>
      <x:c r="V1333" s="15" t="n">
        <x:f>'기준스탯 72종'!H61*G1333</x:f>
        <x:v>3.3599999999999994</x:v>
      </x:c>
      <x:c r="W1333" s="15" t="n">
        <x:f>'기준스탯 72종'!I61*G1333</x:f>
        <x:v>3.3599999999999994</x:v>
      </x:c>
      <x:c r="X1333" s="15" t="n">
        <x:f>'기준스탯 72종'!J61*G1333</x:f>
        <x:v>1.6799999999999997</x:v>
      </x:c>
      <x:c r="Y1333" s="15" t="n">
        <x:f>'기준스탯 72종'!K61*G1333</x:f>
        <x:v>0.5599999999999999</x:v>
      </x:c>
      <x:c r="Z1333" s="15" t="n">
        <x:f>'기준스탯 72종'!D61*H1333</x:f>
        <x:v>2.1600000000000006</x:v>
      </x:c>
      <x:c r="AA1333" s="15" t="n">
        <x:f>'기준스탯 72종'!E61*H1333</x:f>
        <x:v>1.4400000000000004</x:v>
      </x:c>
      <x:c r="AB1333" s="15" t="n">
        <x:f>'기준스탯 72종'!F61*H1333</x:f>
        <x:v>1.6800000000000004</x:v>
      </x:c>
      <x:c r="AC1333" s="15" t="n">
        <x:f>'기준스탯 72종'!G61*H1333</x:f>
        <x:v>2.1600000000000006</x:v>
      </x:c>
      <x:c r="AD1333" s="15" t="n">
        <x:f>'기준스탯 72종'!H61*H1333</x:f>
        <x:v>1.4400000000000004</x:v>
      </x:c>
      <x:c r="AE1333" s="15" t="n">
        <x:f>'기준스탯 72종'!I61*H1333</x:f>
        <x:v>1.4400000000000004</x:v>
      </x:c>
      <x:c r="AF1333" s="15" t="n">
        <x:f>'기준스탯 72종'!J61*H1333</x:f>
        <x:v>0.7200000000000002</x:v>
      </x:c>
      <x:c r="AG1333" s="15" t="n">
        <x:f>'기준스탯 72종'!K61*H1333</x:f>
        <x:v>0.24000000000000005</x:v>
      </x:c>
    </x:row>
    <x:row r="1334" ht="28" customHeight="1">
      <x:c r="A1334" s="2" t="n">
        <x:v>1327</x:v>
      </x:c>
      <x:c r="B1334" s="2" t="n">
        <x:v>54</x:v>
      </x:c>
      <x:c r="C1334" s="2" t="str">
        <x:v>사수자리</x:v>
      </x:c>
      <x:c r="D1334" s="2" t="str">
        <x:v>전사</x:v>
      </x:c>
      <x:c r="E1334" s="2" t="n">
        <x:v>2</x:v>
      </x:c>
      <x:c r="F1334" s="2" t="n">
        <x:v>1</x:v>
      </x:c>
      <x:c r="G1334" s="14" t="n">
        <x:f>('레벨 계산식'!$E$4-E1334)*'레벨 계산식'!$B$5</x:f>
        <x:v>0.41999999999999993</x:v>
      </x:c>
      <x:c r="H1334" s="14" t="n">
        <x:f>('등급 계산식'!$E$4-F1334)*'등급 계산식'!$B$5</x:f>
        <x:v>0.24000000000000005</x:v>
      </x:c>
      <x:c r="I1334" s="14" t="n">
        <x:f>1-G1334-H1334</x:f>
        <x:v>0.34</x:v>
      </x:c>
      <x:c r="J1334" s="2" t="n">
        <x:f>MAX(1,ROUND('기준스탯 72종'!D61-R1334-Z1334,0))</x:f>
        <x:v>3</x:v>
      </x:c>
      <x:c r="K1334" s="2" t="n">
        <x:f>MAX(1,ROUND('기준스탯 72종'!E61-S1334-AA1334,0))</x:f>
        <x:v>2</x:v>
      </x:c>
      <x:c r="L1334" s="2" t="n">
        <x:f>MAX(1,ROUND('기준스탯 72종'!F61-T1334-AB1334,0))</x:f>
        <x:v>2</x:v>
      </x:c>
      <x:c r="M1334" s="2" t="n">
        <x:f>MAX(1,ROUND('기준스탯 72종'!G61-U1334-AC1334,0))</x:f>
        <x:v>3</x:v>
      </x:c>
      <x:c r="N1334" s="2" t="n">
        <x:f>MAX(0,ROUND('기준스탯 72종'!H61-V1334-AD1334,0))</x:f>
        <x:v>2</x:v>
      </x:c>
      <x:c r="O1334" s="2" t="n">
        <x:f>MAX(0,ROUND('기준스탯 72종'!I61-W1334-AE1334,0))</x:f>
        <x:v>2</x:v>
      </x:c>
      <x:c r="P1334" s="2" t="n">
        <x:f>MAX(0,ROUND('기준스탯 72종'!J61-X1334-AF1334,0))</x:f>
        <x:v>1</x:v>
      </x:c>
      <x:c r="Q1334" s="2" t="n">
        <x:f>MAX(0,ROUND('기준스탯 72종'!K61-Y1334-AG1334,0))</x:f>
        <x:v>0</x:v>
      </x:c>
      <x:c r="R1334" s="15" t="n">
        <x:f>'기준스탯 72종'!D61*G1334</x:f>
        <x:v>3.7799999999999994</x:v>
      </x:c>
      <x:c r="S1334" s="15" t="n">
        <x:f>'기준스탯 72종'!E61*G1334</x:f>
        <x:v>2.5199999999999996</x:v>
      </x:c>
      <x:c r="T1334" s="15" t="n">
        <x:f>'기준스탯 72종'!F61*G1334</x:f>
        <x:v>2.9399999999999995</x:v>
      </x:c>
      <x:c r="U1334" s="15" t="n">
        <x:f>'기준스탯 72종'!G61*G1334</x:f>
        <x:v>3.7799999999999994</x:v>
      </x:c>
      <x:c r="V1334" s="15" t="n">
        <x:f>'기준스탯 72종'!H61*G1334</x:f>
        <x:v>2.5199999999999996</x:v>
      </x:c>
      <x:c r="W1334" s="15" t="n">
        <x:f>'기준스탯 72종'!I61*G1334</x:f>
        <x:v>2.5199999999999996</x:v>
      </x:c>
      <x:c r="X1334" s="15" t="n">
        <x:f>'기준스탯 72종'!J61*G1334</x:f>
        <x:v>1.2599999999999998</x:v>
      </x:c>
      <x:c r="Y1334" s="15" t="n">
        <x:f>'기준스탯 72종'!K61*G1334</x:f>
        <x:v>0.41999999999999993</x:v>
      </x:c>
      <x:c r="Z1334" s="15" t="n">
        <x:f>'기준스탯 72종'!D61*H1334</x:f>
        <x:v>2.1600000000000006</x:v>
      </x:c>
      <x:c r="AA1334" s="15" t="n">
        <x:f>'기준스탯 72종'!E61*H1334</x:f>
        <x:v>1.4400000000000004</x:v>
      </x:c>
      <x:c r="AB1334" s="15" t="n">
        <x:f>'기준스탯 72종'!F61*H1334</x:f>
        <x:v>1.6800000000000004</x:v>
      </x:c>
      <x:c r="AC1334" s="15" t="n">
        <x:f>'기준스탯 72종'!G61*H1334</x:f>
        <x:v>2.1600000000000006</x:v>
      </x:c>
      <x:c r="AD1334" s="15" t="n">
        <x:f>'기준스탯 72종'!H61*H1334</x:f>
        <x:v>1.4400000000000004</x:v>
      </x:c>
      <x:c r="AE1334" s="15" t="n">
        <x:f>'기준스탯 72종'!I61*H1334</x:f>
        <x:v>1.4400000000000004</x:v>
      </x:c>
      <x:c r="AF1334" s="15" t="n">
        <x:f>'기준스탯 72종'!J61*H1334</x:f>
        <x:v>0.7200000000000002</x:v>
      </x:c>
      <x:c r="AG1334" s="15" t="n">
        <x:f>'기준스탯 72종'!K61*H1334</x:f>
        <x:v>0.24000000000000005</x:v>
      </x:c>
    </x:row>
    <x:row r="1335" ht="28" customHeight="1">
      <x:c r="A1335" s="2" t="n">
        <x:v>1328</x:v>
      </x:c>
      <x:c r="B1335" s="2" t="n">
        <x:v>54</x:v>
      </x:c>
      <x:c r="C1335" s="2" t="str">
        <x:v>사수자리</x:v>
      </x:c>
      <x:c r="D1335" s="2" t="str">
        <x:v>전사</x:v>
      </x:c>
      <x:c r="E1335" s="2" t="n">
        <x:v>3</x:v>
      </x:c>
      <x:c r="F1335" s="2" t="n">
        <x:v>1</x:v>
      </x:c>
      <x:c r="G1335" s="14" t="n">
        <x:f>('레벨 계산식'!$E$4-E1335)*'레벨 계산식'!$B$5</x:f>
        <x:v>0.27999999999999997</x:v>
      </x:c>
      <x:c r="H1335" s="14" t="n">
        <x:f>('등급 계산식'!$E$4-F1335)*'등급 계산식'!$B$5</x:f>
        <x:v>0.24000000000000005</x:v>
      </x:c>
      <x:c r="I1335" s="14" t="n">
        <x:f>1-G1335-H1335</x:f>
        <x:v>0.4799999999999999</x:v>
      </x:c>
      <x:c r="J1335" s="2" t="n">
        <x:f>MAX(1,ROUND('기준스탯 72종'!D61-R1335-Z1335,0))</x:f>
        <x:v>4</x:v>
      </x:c>
      <x:c r="K1335" s="2" t="n">
        <x:f>MAX(1,ROUND('기준스탯 72종'!E61-S1335-AA1335,0))</x:f>
        <x:v>3</x:v>
      </x:c>
      <x:c r="L1335" s="2" t="n">
        <x:f>MAX(1,ROUND('기준스탯 72종'!F61-T1335-AB1335,0))</x:f>
        <x:v>3</x:v>
      </x:c>
      <x:c r="M1335" s="2" t="n">
        <x:f>MAX(1,ROUND('기준스탯 72종'!G61-U1335-AC1335,0))</x:f>
        <x:v>4</x:v>
      </x:c>
      <x:c r="N1335" s="2" t="n">
        <x:f>MAX(0,ROUND('기준스탯 72종'!H61-V1335-AD1335,0))</x:f>
        <x:v>3</x:v>
      </x:c>
      <x:c r="O1335" s="2" t="n">
        <x:f>MAX(0,ROUND('기준스탯 72종'!I61-W1335-AE1335,0))</x:f>
        <x:v>3</x:v>
      </x:c>
      <x:c r="P1335" s="2" t="n">
        <x:f>MAX(0,ROUND('기준스탯 72종'!J61-X1335-AF1335,0))</x:f>
        <x:v>1</x:v>
      </x:c>
      <x:c r="Q1335" s="2" t="n">
        <x:f>MAX(0,ROUND('기준스탯 72종'!K61-Y1335-AG1335,0))</x:f>
        <x:v>0</x:v>
      </x:c>
      <x:c r="R1335" s="15" t="n">
        <x:f>'기준스탯 72종'!D61*G1335</x:f>
        <x:v>2.5199999999999996</x:v>
      </x:c>
      <x:c r="S1335" s="15" t="n">
        <x:f>'기준스탯 72종'!E61*G1335</x:f>
        <x:v>1.6799999999999997</x:v>
      </x:c>
      <x:c r="T1335" s="15" t="n">
        <x:f>'기준스탯 72종'!F61*G1335</x:f>
        <x:v>1.9599999999999997</x:v>
      </x:c>
      <x:c r="U1335" s="15" t="n">
        <x:f>'기준스탯 72종'!G61*G1335</x:f>
        <x:v>2.5199999999999996</x:v>
      </x:c>
      <x:c r="V1335" s="15" t="n">
        <x:f>'기준스탯 72종'!H61*G1335</x:f>
        <x:v>1.6799999999999997</x:v>
      </x:c>
      <x:c r="W1335" s="15" t="n">
        <x:f>'기준스탯 72종'!I61*G1335</x:f>
        <x:v>1.6799999999999997</x:v>
      </x:c>
      <x:c r="X1335" s="15" t="n">
        <x:f>'기준스탯 72종'!J61*G1335</x:f>
        <x:v>0.8399999999999999</x:v>
      </x:c>
      <x:c r="Y1335" s="15" t="n">
        <x:f>'기준스탯 72종'!K61*G1335</x:f>
        <x:v>0.27999999999999997</x:v>
      </x:c>
      <x:c r="Z1335" s="15" t="n">
        <x:f>'기준스탯 72종'!D61*H1335</x:f>
        <x:v>2.1600000000000006</x:v>
      </x:c>
      <x:c r="AA1335" s="15" t="n">
        <x:f>'기준스탯 72종'!E61*H1335</x:f>
        <x:v>1.4400000000000004</x:v>
      </x:c>
      <x:c r="AB1335" s="15" t="n">
        <x:f>'기준스탯 72종'!F61*H1335</x:f>
        <x:v>1.6800000000000004</x:v>
      </x:c>
      <x:c r="AC1335" s="15" t="n">
        <x:f>'기준스탯 72종'!G61*H1335</x:f>
        <x:v>2.1600000000000006</x:v>
      </x:c>
      <x:c r="AD1335" s="15" t="n">
        <x:f>'기준스탯 72종'!H61*H1335</x:f>
        <x:v>1.4400000000000004</x:v>
      </x:c>
      <x:c r="AE1335" s="15" t="n">
        <x:f>'기준스탯 72종'!I61*H1335</x:f>
        <x:v>1.4400000000000004</x:v>
      </x:c>
      <x:c r="AF1335" s="15" t="n">
        <x:f>'기준스탯 72종'!J61*H1335</x:f>
        <x:v>0.7200000000000002</x:v>
      </x:c>
      <x:c r="AG1335" s="15" t="n">
        <x:f>'기준스탯 72종'!K61*H1335</x:f>
        <x:v>0.24000000000000005</x:v>
      </x:c>
    </x:row>
    <x:row r="1336" ht="28" customHeight="1">
      <x:c r="A1336" s="2" t="n">
        <x:v>1329</x:v>
      </x:c>
      <x:c r="B1336" s="2" t="n">
        <x:v>54</x:v>
      </x:c>
      <x:c r="C1336" s="2" t="str">
        <x:v>사수자리</x:v>
      </x:c>
      <x:c r="D1336" s="2" t="str">
        <x:v>전사</x:v>
      </x:c>
      <x:c r="E1336" s="2" t="n">
        <x:v>4</x:v>
      </x:c>
      <x:c r="F1336" s="2" t="n">
        <x:v>1</x:v>
      </x:c>
      <x:c r="G1336" s="14" t="n">
        <x:f>('레벨 계산식'!$E$4-E1336)*'레벨 계산식'!$B$5</x:f>
        <x:v>0.13999999999999999</x:v>
      </x:c>
      <x:c r="H1336" s="14" t="n">
        <x:f>('등급 계산식'!$E$4-F1336)*'등급 계산식'!$B$5</x:f>
        <x:v>0.24000000000000005</x:v>
      </x:c>
      <x:c r="I1336" s="14" t="n">
        <x:f>1-G1336-H1336</x:f>
        <x:v>0.6199999999999999</x:v>
      </x:c>
      <x:c r="J1336" s="2" t="n">
        <x:f>MAX(1,ROUND('기준스탯 72종'!D61-R1336-Z1336,0))</x:f>
        <x:v>6</x:v>
      </x:c>
      <x:c r="K1336" s="2" t="n">
        <x:f>MAX(1,ROUND('기준스탯 72종'!E61-S1336-AA1336,0))</x:f>
        <x:v>4</x:v>
      </x:c>
      <x:c r="L1336" s="2" t="n">
        <x:f>MAX(1,ROUND('기준스탯 72종'!F61-T1336-AB1336,0))</x:f>
        <x:v>4</x:v>
      </x:c>
      <x:c r="M1336" s="2" t="n">
        <x:f>MAX(1,ROUND('기준스탯 72종'!G61-U1336-AC1336,0))</x:f>
        <x:v>6</x:v>
      </x:c>
      <x:c r="N1336" s="2" t="n">
        <x:f>MAX(0,ROUND('기준스탯 72종'!H61-V1336-AD1336,0))</x:f>
        <x:v>4</x:v>
      </x:c>
      <x:c r="O1336" s="2" t="n">
        <x:f>MAX(0,ROUND('기준스탯 72종'!I61-W1336-AE1336,0))</x:f>
        <x:v>4</x:v>
      </x:c>
      <x:c r="P1336" s="2" t="n">
        <x:f>MAX(0,ROUND('기준스탯 72종'!J61-X1336-AF1336,0))</x:f>
        <x:v>2</x:v>
      </x:c>
      <x:c r="Q1336" s="2" t="n">
        <x:f>MAX(0,ROUND('기준스탯 72종'!K61-Y1336-AG1336,0))</x:f>
        <x:v>1</x:v>
      </x:c>
      <x:c r="R1336" s="15" t="n">
        <x:f>'기준스탯 72종'!D61*G1336</x:f>
        <x:v>1.2599999999999998</x:v>
      </x:c>
      <x:c r="S1336" s="15" t="n">
        <x:f>'기준스탯 72종'!E61*G1336</x:f>
        <x:v>0.8399999999999999</x:v>
      </x:c>
      <x:c r="T1336" s="15" t="n">
        <x:f>'기준스탯 72종'!F61*G1336</x:f>
        <x:v>0.9799999999999999</x:v>
      </x:c>
      <x:c r="U1336" s="15" t="n">
        <x:f>'기준스탯 72종'!G61*G1336</x:f>
        <x:v>1.2599999999999998</x:v>
      </x:c>
      <x:c r="V1336" s="15" t="n">
        <x:f>'기준스탯 72종'!H61*G1336</x:f>
        <x:v>0.8399999999999999</x:v>
      </x:c>
      <x:c r="W1336" s="15" t="n">
        <x:f>'기준스탯 72종'!I61*G1336</x:f>
        <x:v>0.8399999999999999</x:v>
      </x:c>
      <x:c r="X1336" s="15" t="n">
        <x:f>'기준스탯 72종'!J61*G1336</x:f>
        <x:v>0.41999999999999993</x:v>
      </x:c>
      <x:c r="Y1336" s="15" t="n">
        <x:f>'기준스탯 72종'!K61*G1336</x:f>
        <x:v>0.13999999999999999</x:v>
      </x:c>
      <x:c r="Z1336" s="15" t="n">
        <x:f>'기준스탯 72종'!D61*H1336</x:f>
        <x:v>2.1600000000000006</x:v>
      </x:c>
      <x:c r="AA1336" s="15" t="n">
        <x:f>'기준스탯 72종'!E61*H1336</x:f>
        <x:v>1.4400000000000004</x:v>
      </x:c>
      <x:c r="AB1336" s="15" t="n">
        <x:f>'기준스탯 72종'!F61*H1336</x:f>
        <x:v>1.6800000000000004</x:v>
      </x:c>
      <x:c r="AC1336" s="15" t="n">
        <x:f>'기준스탯 72종'!G61*H1336</x:f>
        <x:v>2.1600000000000006</x:v>
      </x:c>
      <x:c r="AD1336" s="15" t="n">
        <x:f>'기준스탯 72종'!H61*H1336</x:f>
        <x:v>1.4400000000000004</x:v>
      </x:c>
      <x:c r="AE1336" s="15" t="n">
        <x:f>'기준스탯 72종'!I61*H1336</x:f>
        <x:v>1.4400000000000004</x:v>
      </x:c>
      <x:c r="AF1336" s="15" t="n">
        <x:f>'기준스탯 72종'!J61*H1336</x:f>
        <x:v>0.7200000000000002</x:v>
      </x:c>
      <x:c r="AG1336" s="15" t="n">
        <x:f>'기준스탯 72종'!K61*H1336</x:f>
        <x:v>0.24000000000000005</x:v>
      </x:c>
    </x:row>
    <x:row r="1337" ht="28" customHeight="1">
      <x:c r="A1337" s="2" t="n">
        <x:v>1330</x:v>
      </x:c>
      <x:c r="B1337" s="2" t="n">
        <x:v>54</x:v>
      </x:c>
      <x:c r="C1337" s="2" t="str">
        <x:v>사수자리</x:v>
      </x:c>
      <x:c r="D1337" s="2" t="str">
        <x:v>전사</x:v>
      </x:c>
      <x:c r="E1337" s="2" t="n">
        <x:v>5</x:v>
      </x:c>
      <x:c r="F1337" s="2" t="n">
        <x:v>1</x:v>
      </x:c>
      <x:c r="G1337" s="14" t="n">
        <x:f>('레벨 계산식'!$E$4-E1337)*'레벨 계산식'!$B$5</x:f>
        <x:v>0</x:v>
      </x:c>
      <x:c r="H1337" s="14" t="n">
        <x:f>('등급 계산식'!$E$4-F1337)*'등급 계산식'!$B$5</x:f>
        <x:v>0.24000000000000005</x:v>
      </x:c>
      <x:c r="I1337" s="14" t="n">
        <x:f>1-G1337-H1337</x:f>
        <x:v>0.76</x:v>
      </x:c>
      <x:c r="J1337" s="2" t="n">
        <x:f>MAX(1,ROUND('기준스탯 72종'!D61-R1337-Z1337,0))</x:f>
        <x:v>7</x:v>
      </x:c>
      <x:c r="K1337" s="2" t="n">
        <x:f>MAX(1,ROUND('기준스탯 72종'!E61-S1337-AA1337,0))</x:f>
        <x:v>5</x:v>
      </x:c>
      <x:c r="L1337" s="2" t="n">
        <x:f>MAX(1,ROUND('기준스탯 72종'!F61-T1337-AB1337,0))</x:f>
        <x:v>5</x:v>
      </x:c>
      <x:c r="M1337" s="2" t="n">
        <x:f>MAX(1,ROUND('기준스탯 72종'!G61-U1337-AC1337,0))</x:f>
        <x:v>7</x:v>
      </x:c>
      <x:c r="N1337" s="2" t="n">
        <x:f>MAX(0,ROUND('기준스탯 72종'!H61-V1337-AD1337,0))</x:f>
        <x:v>5</x:v>
      </x:c>
      <x:c r="O1337" s="2" t="n">
        <x:f>MAX(0,ROUND('기준스탯 72종'!I61-W1337-AE1337,0))</x:f>
        <x:v>5</x:v>
      </x:c>
      <x:c r="P1337" s="2" t="n">
        <x:f>MAX(0,ROUND('기준스탯 72종'!J61-X1337-AF1337,0))</x:f>
        <x:v>2</x:v>
      </x:c>
      <x:c r="Q1337" s="2" t="n">
        <x:f>MAX(0,ROUND('기준스탯 72종'!K61-Y1337-AG1337,0))</x:f>
        <x:v>1</x:v>
      </x:c>
      <x:c r="R1337" s="15" t="n">
        <x:f>'기준스탯 72종'!D61*G1337</x:f>
        <x:v>0</x:v>
      </x:c>
      <x:c r="S1337" s="15" t="n">
        <x:f>'기준스탯 72종'!E61*G1337</x:f>
        <x:v>0</x:v>
      </x:c>
      <x:c r="T1337" s="15" t="n">
        <x:f>'기준스탯 72종'!F61*G1337</x:f>
        <x:v>0</x:v>
      </x:c>
      <x:c r="U1337" s="15" t="n">
        <x:f>'기준스탯 72종'!G61*G1337</x:f>
        <x:v>0</x:v>
      </x:c>
      <x:c r="V1337" s="15" t="n">
        <x:f>'기준스탯 72종'!H61*G1337</x:f>
        <x:v>0</x:v>
      </x:c>
      <x:c r="W1337" s="15" t="n">
        <x:f>'기준스탯 72종'!I61*G1337</x:f>
        <x:v>0</x:v>
      </x:c>
      <x:c r="X1337" s="15" t="n">
        <x:f>'기준스탯 72종'!J61*G1337</x:f>
        <x:v>0</x:v>
      </x:c>
      <x:c r="Y1337" s="15" t="n">
        <x:f>'기준스탯 72종'!K61*G1337</x:f>
        <x:v>0</x:v>
      </x:c>
      <x:c r="Z1337" s="15" t="n">
        <x:f>'기준스탯 72종'!D61*H1337</x:f>
        <x:v>2.1600000000000006</x:v>
      </x:c>
      <x:c r="AA1337" s="15" t="n">
        <x:f>'기준스탯 72종'!E61*H1337</x:f>
        <x:v>1.4400000000000004</x:v>
      </x:c>
      <x:c r="AB1337" s="15" t="n">
        <x:f>'기준스탯 72종'!F61*H1337</x:f>
        <x:v>1.6800000000000004</x:v>
      </x:c>
      <x:c r="AC1337" s="15" t="n">
        <x:f>'기준스탯 72종'!G61*H1337</x:f>
        <x:v>2.1600000000000006</x:v>
      </x:c>
      <x:c r="AD1337" s="15" t="n">
        <x:f>'기준스탯 72종'!H61*H1337</x:f>
        <x:v>1.4400000000000004</x:v>
      </x:c>
      <x:c r="AE1337" s="15" t="n">
        <x:f>'기준스탯 72종'!I61*H1337</x:f>
        <x:v>1.4400000000000004</x:v>
      </x:c>
      <x:c r="AF1337" s="15" t="n">
        <x:f>'기준스탯 72종'!J61*H1337</x:f>
        <x:v>0.7200000000000002</x:v>
      </x:c>
      <x:c r="AG1337" s="15" t="n">
        <x:f>'기준스탯 72종'!K61*H1337</x:f>
        <x:v>0.24000000000000005</x:v>
      </x:c>
    </x:row>
    <x:row r="1338" ht="28" customHeight="1">
      <x:c r="A1338" s="2" t="n">
        <x:v>1331</x:v>
      </x:c>
      <x:c r="B1338" s="2" t="n">
        <x:v>54</x:v>
      </x:c>
      <x:c r="C1338" s="2" t="str">
        <x:v>사수자리</x:v>
      </x:c>
      <x:c r="D1338" s="2" t="str">
        <x:v>전사</x:v>
      </x:c>
      <x:c r="E1338" s="2" t="n">
        <x:v>1</x:v>
      </x:c>
      <x:c r="F1338" s="2" t="n">
        <x:v>2</x:v>
      </x:c>
      <x:c r="G1338" s="14" t="n">
        <x:f>('레벨 계산식'!$E$4-E1338)*'레벨 계산식'!$B$5</x:f>
        <x:v>0.5599999999999999</x:v>
      </x:c>
      <x:c r="H1338" s="14" t="n">
        <x:f>('등급 계산식'!$E$4-F1338)*'등급 계산식'!$B$5</x:f>
        <x:v>0.18000000000000005</x:v>
      </x:c>
      <x:c r="I1338" s="14" t="n">
        <x:f>1-G1338-H1338</x:f>
        <x:v>0.26</x:v>
      </x:c>
      <x:c r="J1338" s="2" t="n">
        <x:f>MAX(1,ROUND('기준스탯 72종'!D61-R1338-Z1338,0))</x:f>
        <x:v>2</x:v>
      </x:c>
      <x:c r="K1338" s="2" t="n">
        <x:f>MAX(1,ROUND('기준스탯 72종'!E61-S1338-AA1338,0))</x:f>
        <x:v>2</x:v>
      </x:c>
      <x:c r="L1338" s="2" t="n">
        <x:f>MAX(1,ROUND('기준스탯 72종'!F61-T1338-AB1338,0))</x:f>
        <x:v>2</x:v>
      </x:c>
      <x:c r="M1338" s="2" t="n">
        <x:f>MAX(1,ROUND('기준스탯 72종'!G61-U1338-AC1338,0))</x:f>
        <x:v>2</x:v>
      </x:c>
      <x:c r="N1338" s="2" t="n">
        <x:f>MAX(0,ROUND('기준스탯 72종'!H61-V1338-AD1338,0))</x:f>
        <x:v>2</x:v>
      </x:c>
      <x:c r="O1338" s="2" t="n">
        <x:f>MAX(0,ROUND('기준스탯 72종'!I61-W1338-AE1338,0))</x:f>
        <x:v>2</x:v>
      </x:c>
      <x:c r="P1338" s="2" t="n">
        <x:f>MAX(0,ROUND('기준스탯 72종'!J61-X1338-AF1338,0))</x:f>
        <x:v>1</x:v>
      </x:c>
      <x:c r="Q1338" s="2" t="n">
        <x:f>MAX(0,ROUND('기준스탯 72종'!K61-Y1338-AG1338,0))</x:f>
        <x:v>0</x:v>
      </x:c>
      <x:c r="R1338" s="15" t="n">
        <x:f>'기준스탯 72종'!D61*G1338</x:f>
        <x:v>5.039999999999999</x:v>
      </x:c>
      <x:c r="S1338" s="15" t="n">
        <x:f>'기준스탯 72종'!E61*G1338</x:f>
        <x:v>3.3599999999999994</x:v>
      </x:c>
      <x:c r="T1338" s="15" t="n">
        <x:f>'기준스탯 72종'!F61*G1338</x:f>
        <x:v>3.9199999999999995</x:v>
      </x:c>
      <x:c r="U1338" s="15" t="n">
        <x:f>'기준스탯 72종'!G61*G1338</x:f>
        <x:v>5.039999999999999</x:v>
      </x:c>
      <x:c r="V1338" s="15" t="n">
        <x:f>'기준스탯 72종'!H61*G1338</x:f>
        <x:v>3.3599999999999994</x:v>
      </x:c>
      <x:c r="W1338" s="15" t="n">
        <x:f>'기준스탯 72종'!I61*G1338</x:f>
        <x:v>3.3599999999999994</x:v>
      </x:c>
      <x:c r="X1338" s="15" t="n">
        <x:f>'기준스탯 72종'!J61*G1338</x:f>
        <x:v>1.6799999999999997</x:v>
      </x:c>
      <x:c r="Y1338" s="15" t="n">
        <x:f>'기준스탯 72종'!K61*G1338</x:f>
        <x:v>0.5599999999999999</x:v>
      </x:c>
      <x:c r="Z1338" s="15" t="n">
        <x:f>'기준스탯 72종'!D61*H1338</x:f>
        <x:v>1.6200000000000006</x:v>
      </x:c>
      <x:c r="AA1338" s="15" t="n">
        <x:f>'기준스탯 72종'!E61*H1338</x:f>
        <x:v>1.0800000000000003</x:v>
      </x:c>
      <x:c r="AB1338" s="15" t="n">
        <x:f>'기준스탯 72종'!F61*H1338</x:f>
        <x:v>1.2600000000000002</x:v>
      </x:c>
      <x:c r="AC1338" s="15" t="n">
        <x:f>'기준스탯 72종'!G61*H1338</x:f>
        <x:v>1.6200000000000006</x:v>
      </x:c>
      <x:c r="AD1338" s="15" t="n">
        <x:f>'기준스탯 72종'!H61*H1338</x:f>
        <x:v>1.0800000000000003</x:v>
      </x:c>
      <x:c r="AE1338" s="15" t="n">
        <x:f>'기준스탯 72종'!I61*H1338</x:f>
        <x:v>1.0800000000000003</x:v>
      </x:c>
      <x:c r="AF1338" s="15" t="n">
        <x:f>'기준스탯 72종'!J61*H1338</x:f>
        <x:v>0.5400000000000001</x:v>
      </x:c>
      <x:c r="AG1338" s="15" t="n">
        <x:f>'기준스탯 72종'!K61*H1338</x:f>
        <x:v>0.18000000000000005</x:v>
      </x:c>
    </x:row>
    <x:row r="1339" ht="28" customHeight="1">
      <x:c r="A1339" s="2" t="n">
        <x:v>1332</x:v>
      </x:c>
      <x:c r="B1339" s="2" t="n">
        <x:v>54</x:v>
      </x:c>
      <x:c r="C1339" s="2" t="str">
        <x:v>사수자리</x:v>
      </x:c>
      <x:c r="D1339" s="2" t="str">
        <x:v>전사</x:v>
      </x:c>
      <x:c r="E1339" s="2" t="n">
        <x:v>2</x:v>
      </x:c>
      <x:c r="F1339" s="2" t="n">
        <x:v>2</x:v>
      </x:c>
      <x:c r="G1339" s="14" t="n">
        <x:f>('레벨 계산식'!$E$4-E1339)*'레벨 계산식'!$B$5</x:f>
        <x:v>0.41999999999999993</x:v>
      </x:c>
      <x:c r="H1339" s="14" t="n">
        <x:f>('등급 계산식'!$E$4-F1339)*'등급 계산식'!$B$5</x:f>
        <x:v>0.18000000000000005</x:v>
      </x:c>
      <x:c r="I1339" s="14" t="n">
        <x:f>1-G1339-H1339</x:f>
        <x:v>0.4</x:v>
      </x:c>
      <x:c r="J1339" s="2" t="n">
        <x:f>MAX(1,ROUND('기준스탯 72종'!D61-R1339-Z1339,0))</x:f>
        <x:v>4</x:v>
      </x:c>
      <x:c r="K1339" s="2" t="n">
        <x:f>MAX(1,ROUND('기준스탯 72종'!E61-S1339-AA1339,0))</x:f>
        <x:v>2</x:v>
      </x:c>
      <x:c r="L1339" s="2" t="n">
        <x:f>MAX(1,ROUND('기준스탯 72종'!F61-T1339-AB1339,0))</x:f>
        <x:v>3</x:v>
      </x:c>
      <x:c r="M1339" s="2" t="n">
        <x:f>MAX(1,ROUND('기준스탯 72종'!G61-U1339-AC1339,0))</x:f>
        <x:v>4</x:v>
      </x:c>
      <x:c r="N1339" s="2" t="n">
        <x:f>MAX(0,ROUND('기준스탯 72종'!H61-V1339-AD1339,0))</x:f>
        <x:v>2</x:v>
      </x:c>
      <x:c r="O1339" s="2" t="n">
        <x:f>MAX(0,ROUND('기준스탯 72종'!I61-W1339-AE1339,0))</x:f>
        <x:v>2</x:v>
      </x:c>
      <x:c r="P1339" s="2" t="n">
        <x:f>MAX(0,ROUND('기준스탯 72종'!J61-X1339-AF1339,0))</x:f>
        <x:v>1</x:v>
      </x:c>
      <x:c r="Q1339" s="2" t="n">
        <x:f>MAX(0,ROUND('기준스탯 72종'!K61-Y1339-AG1339,0))</x:f>
        <x:v>0</x:v>
      </x:c>
      <x:c r="R1339" s="15" t="n">
        <x:f>'기준스탯 72종'!D61*G1339</x:f>
        <x:v>3.7799999999999994</x:v>
      </x:c>
      <x:c r="S1339" s="15" t="n">
        <x:f>'기준스탯 72종'!E61*G1339</x:f>
        <x:v>2.5199999999999996</x:v>
      </x:c>
      <x:c r="T1339" s="15" t="n">
        <x:f>'기준스탯 72종'!F61*G1339</x:f>
        <x:v>2.9399999999999995</x:v>
      </x:c>
      <x:c r="U1339" s="15" t="n">
        <x:f>'기준스탯 72종'!G61*G1339</x:f>
        <x:v>3.7799999999999994</x:v>
      </x:c>
      <x:c r="V1339" s="15" t="n">
        <x:f>'기준스탯 72종'!H61*G1339</x:f>
        <x:v>2.5199999999999996</x:v>
      </x:c>
      <x:c r="W1339" s="15" t="n">
        <x:f>'기준스탯 72종'!I61*G1339</x:f>
        <x:v>2.5199999999999996</x:v>
      </x:c>
      <x:c r="X1339" s="15" t="n">
        <x:f>'기준스탯 72종'!J61*G1339</x:f>
        <x:v>1.2599999999999998</x:v>
      </x:c>
      <x:c r="Y1339" s="15" t="n">
        <x:f>'기준스탯 72종'!K61*G1339</x:f>
        <x:v>0.41999999999999993</x:v>
      </x:c>
      <x:c r="Z1339" s="15" t="n">
        <x:f>'기준스탯 72종'!D61*H1339</x:f>
        <x:v>1.6200000000000006</x:v>
      </x:c>
      <x:c r="AA1339" s="15" t="n">
        <x:f>'기준스탯 72종'!E61*H1339</x:f>
        <x:v>1.0800000000000003</x:v>
      </x:c>
      <x:c r="AB1339" s="15" t="n">
        <x:f>'기준스탯 72종'!F61*H1339</x:f>
        <x:v>1.2600000000000002</x:v>
      </x:c>
      <x:c r="AC1339" s="15" t="n">
        <x:f>'기준스탯 72종'!G61*H1339</x:f>
        <x:v>1.6200000000000006</x:v>
      </x:c>
      <x:c r="AD1339" s="15" t="n">
        <x:f>'기준스탯 72종'!H61*H1339</x:f>
        <x:v>1.0800000000000003</x:v>
      </x:c>
      <x:c r="AE1339" s="15" t="n">
        <x:f>'기준스탯 72종'!I61*H1339</x:f>
        <x:v>1.0800000000000003</x:v>
      </x:c>
      <x:c r="AF1339" s="15" t="n">
        <x:f>'기준스탯 72종'!J61*H1339</x:f>
        <x:v>0.5400000000000001</x:v>
      </x:c>
      <x:c r="AG1339" s="15" t="n">
        <x:f>'기준스탯 72종'!K61*H1339</x:f>
        <x:v>0.18000000000000005</x:v>
      </x:c>
    </x:row>
    <x:row r="1340" ht="28" customHeight="1">
      <x:c r="A1340" s="2" t="n">
        <x:v>1333</x:v>
      </x:c>
      <x:c r="B1340" s="2" t="n">
        <x:v>54</x:v>
      </x:c>
      <x:c r="C1340" s="2" t="str">
        <x:v>사수자리</x:v>
      </x:c>
      <x:c r="D1340" s="2" t="str">
        <x:v>전사</x:v>
      </x:c>
      <x:c r="E1340" s="2" t="n">
        <x:v>3</x:v>
      </x:c>
      <x:c r="F1340" s="2" t="n">
        <x:v>2</x:v>
      </x:c>
      <x:c r="G1340" s="14" t="n">
        <x:f>('레벨 계산식'!$E$4-E1340)*'레벨 계산식'!$B$5</x:f>
        <x:v>0.27999999999999997</x:v>
      </x:c>
      <x:c r="H1340" s="14" t="n">
        <x:f>('등급 계산식'!$E$4-F1340)*'등급 계산식'!$B$5</x:f>
        <x:v>0.18000000000000005</x:v>
      </x:c>
      <x:c r="I1340" s="14" t="n">
        <x:f>1-G1340-H1340</x:f>
        <x:v>0.5399999999999999</x:v>
      </x:c>
      <x:c r="J1340" s="2" t="n">
        <x:f>MAX(1,ROUND('기준스탯 72종'!D61-R1340-Z1340,0))</x:f>
        <x:v>5</x:v>
      </x:c>
      <x:c r="K1340" s="2" t="n">
        <x:f>MAX(1,ROUND('기준스탯 72종'!E61-S1340-AA1340,0))</x:f>
        <x:v>3</x:v>
      </x:c>
      <x:c r="L1340" s="2" t="n">
        <x:f>MAX(1,ROUND('기준스탯 72종'!F61-T1340-AB1340,0))</x:f>
        <x:v>4</x:v>
      </x:c>
      <x:c r="M1340" s="2" t="n">
        <x:f>MAX(1,ROUND('기준스탯 72종'!G61-U1340-AC1340,0))</x:f>
        <x:v>5</x:v>
      </x:c>
      <x:c r="N1340" s="2" t="n">
        <x:f>MAX(0,ROUND('기준스탯 72종'!H61-V1340-AD1340,0))</x:f>
        <x:v>3</x:v>
      </x:c>
      <x:c r="O1340" s="2" t="n">
        <x:f>MAX(0,ROUND('기준스탯 72종'!I61-W1340-AE1340,0))</x:f>
        <x:v>3</x:v>
      </x:c>
      <x:c r="P1340" s="2" t="n">
        <x:f>MAX(0,ROUND('기준스탯 72종'!J61-X1340-AF1340,0))</x:f>
        <x:v>2</x:v>
      </x:c>
      <x:c r="Q1340" s="2" t="n">
        <x:f>MAX(0,ROUND('기준스탯 72종'!K61-Y1340-AG1340,0))</x:f>
        <x:v>1</x:v>
      </x:c>
      <x:c r="R1340" s="15" t="n">
        <x:f>'기준스탯 72종'!D61*G1340</x:f>
        <x:v>2.5199999999999996</x:v>
      </x:c>
      <x:c r="S1340" s="15" t="n">
        <x:f>'기준스탯 72종'!E61*G1340</x:f>
        <x:v>1.6799999999999997</x:v>
      </x:c>
      <x:c r="T1340" s="15" t="n">
        <x:f>'기준스탯 72종'!F61*G1340</x:f>
        <x:v>1.9599999999999997</x:v>
      </x:c>
      <x:c r="U1340" s="15" t="n">
        <x:f>'기준스탯 72종'!G61*G1340</x:f>
        <x:v>2.5199999999999996</x:v>
      </x:c>
      <x:c r="V1340" s="15" t="n">
        <x:f>'기준스탯 72종'!H61*G1340</x:f>
        <x:v>1.6799999999999997</x:v>
      </x:c>
      <x:c r="W1340" s="15" t="n">
        <x:f>'기준스탯 72종'!I61*G1340</x:f>
        <x:v>1.6799999999999997</x:v>
      </x:c>
      <x:c r="X1340" s="15" t="n">
        <x:f>'기준스탯 72종'!J61*G1340</x:f>
        <x:v>0.8399999999999999</x:v>
      </x:c>
      <x:c r="Y1340" s="15" t="n">
        <x:f>'기준스탯 72종'!K61*G1340</x:f>
        <x:v>0.27999999999999997</x:v>
      </x:c>
      <x:c r="Z1340" s="15" t="n">
        <x:f>'기준스탯 72종'!D61*H1340</x:f>
        <x:v>1.6200000000000006</x:v>
      </x:c>
      <x:c r="AA1340" s="15" t="n">
        <x:f>'기준스탯 72종'!E61*H1340</x:f>
        <x:v>1.0800000000000003</x:v>
      </x:c>
      <x:c r="AB1340" s="15" t="n">
        <x:f>'기준스탯 72종'!F61*H1340</x:f>
        <x:v>1.2600000000000002</x:v>
      </x:c>
      <x:c r="AC1340" s="15" t="n">
        <x:f>'기준스탯 72종'!G61*H1340</x:f>
        <x:v>1.6200000000000006</x:v>
      </x:c>
      <x:c r="AD1340" s="15" t="n">
        <x:f>'기준스탯 72종'!H61*H1340</x:f>
        <x:v>1.0800000000000003</x:v>
      </x:c>
      <x:c r="AE1340" s="15" t="n">
        <x:f>'기준스탯 72종'!I61*H1340</x:f>
        <x:v>1.0800000000000003</x:v>
      </x:c>
      <x:c r="AF1340" s="15" t="n">
        <x:f>'기준스탯 72종'!J61*H1340</x:f>
        <x:v>0.5400000000000001</x:v>
      </x:c>
      <x:c r="AG1340" s="15" t="n">
        <x:f>'기준스탯 72종'!K61*H1340</x:f>
        <x:v>0.18000000000000005</x:v>
      </x:c>
    </x:row>
    <x:row r="1341" ht="28" customHeight="1">
      <x:c r="A1341" s="2" t="n">
        <x:v>1334</x:v>
      </x:c>
      <x:c r="B1341" s="2" t="n">
        <x:v>54</x:v>
      </x:c>
      <x:c r="C1341" s="2" t="str">
        <x:v>사수자리</x:v>
      </x:c>
      <x:c r="D1341" s="2" t="str">
        <x:v>전사</x:v>
      </x:c>
      <x:c r="E1341" s="2" t="n">
        <x:v>4</x:v>
      </x:c>
      <x:c r="F1341" s="2" t="n">
        <x:v>2</x:v>
      </x:c>
      <x:c r="G1341" s="14" t="n">
        <x:f>('레벨 계산식'!$E$4-E1341)*'레벨 계산식'!$B$5</x:f>
        <x:v>0.13999999999999999</x:v>
      </x:c>
      <x:c r="H1341" s="14" t="n">
        <x:f>('등급 계산식'!$E$4-F1341)*'등급 계산식'!$B$5</x:f>
        <x:v>0.18000000000000005</x:v>
      </x:c>
      <x:c r="I1341" s="14" t="n">
        <x:f>1-G1341-H1341</x:f>
        <x:v>0.6799999999999999</x:v>
      </x:c>
      <x:c r="J1341" s="2" t="n">
        <x:f>MAX(1,ROUND('기준스탯 72종'!D61-R1341-Z1341,0))</x:f>
        <x:v>6</x:v>
      </x:c>
      <x:c r="K1341" s="2" t="n">
        <x:f>MAX(1,ROUND('기준스탯 72종'!E61-S1341-AA1341,0))</x:f>
        <x:v>4</x:v>
      </x:c>
      <x:c r="L1341" s="2" t="n">
        <x:f>MAX(1,ROUND('기준스탯 72종'!F61-T1341-AB1341,0))</x:f>
        <x:v>5</x:v>
      </x:c>
      <x:c r="M1341" s="2" t="n">
        <x:f>MAX(1,ROUND('기준스탯 72종'!G61-U1341-AC1341,0))</x:f>
        <x:v>6</x:v>
      </x:c>
      <x:c r="N1341" s="2" t="n">
        <x:f>MAX(0,ROUND('기준스탯 72종'!H61-V1341-AD1341,0))</x:f>
        <x:v>4</x:v>
      </x:c>
      <x:c r="O1341" s="2" t="n">
        <x:f>MAX(0,ROUND('기준스탯 72종'!I61-W1341-AE1341,0))</x:f>
        <x:v>4</x:v>
      </x:c>
      <x:c r="P1341" s="2" t="n">
        <x:f>MAX(0,ROUND('기준스탯 72종'!J61-X1341-AF1341,0))</x:f>
        <x:v>2</x:v>
      </x:c>
      <x:c r="Q1341" s="2" t="n">
        <x:f>MAX(0,ROUND('기준스탯 72종'!K61-Y1341-AG1341,0))</x:f>
        <x:v>1</x:v>
      </x:c>
      <x:c r="R1341" s="15" t="n">
        <x:f>'기준스탯 72종'!D61*G1341</x:f>
        <x:v>1.2599999999999998</x:v>
      </x:c>
      <x:c r="S1341" s="15" t="n">
        <x:f>'기준스탯 72종'!E61*G1341</x:f>
        <x:v>0.8399999999999999</x:v>
      </x:c>
      <x:c r="T1341" s="15" t="n">
        <x:f>'기준스탯 72종'!F61*G1341</x:f>
        <x:v>0.9799999999999999</x:v>
      </x:c>
      <x:c r="U1341" s="15" t="n">
        <x:f>'기준스탯 72종'!G61*G1341</x:f>
        <x:v>1.2599999999999998</x:v>
      </x:c>
      <x:c r="V1341" s="15" t="n">
        <x:f>'기준스탯 72종'!H61*G1341</x:f>
        <x:v>0.8399999999999999</x:v>
      </x:c>
      <x:c r="W1341" s="15" t="n">
        <x:f>'기준스탯 72종'!I61*G1341</x:f>
        <x:v>0.8399999999999999</x:v>
      </x:c>
      <x:c r="X1341" s="15" t="n">
        <x:f>'기준스탯 72종'!J61*G1341</x:f>
        <x:v>0.41999999999999993</x:v>
      </x:c>
      <x:c r="Y1341" s="15" t="n">
        <x:f>'기준스탯 72종'!K61*G1341</x:f>
        <x:v>0.13999999999999999</x:v>
      </x:c>
      <x:c r="Z1341" s="15" t="n">
        <x:f>'기준스탯 72종'!D61*H1341</x:f>
        <x:v>1.6200000000000006</x:v>
      </x:c>
      <x:c r="AA1341" s="15" t="n">
        <x:f>'기준스탯 72종'!E61*H1341</x:f>
        <x:v>1.0800000000000003</x:v>
      </x:c>
      <x:c r="AB1341" s="15" t="n">
        <x:f>'기준스탯 72종'!F61*H1341</x:f>
        <x:v>1.2600000000000002</x:v>
      </x:c>
      <x:c r="AC1341" s="15" t="n">
        <x:f>'기준스탯 72종'!G61*H1341</x:f>
        <x:v>1.6200000000000006</x:v>
      </x:c>
      <x:c r="AD1341" s="15" t="n">
        <x:f>'기준스탯 72종'!H61*H1341</x:f>
        <x:v>1.0800000000000003</x:v>
      </x:c>
      <x:c r="AE1341" s="15" t="n">
        <x:f>'기준스탯 72종'!I61*H1341</x:f>
        <x:v>1.0800000000000003</x:v>
      </x:c>
      <x:c r="AF1341" s="15" t="n">
        <x:f>'기준스탯 72종'!J61*H1341</x:f>
        <x:v>0.5400000000000001</x:v>
      </x:c>
      <x:c r="AG1341" s="15" t="n">
        <x:f>'기준스탯 72종'!K61*H1341</x:f>
        <x:v>0.18000000000000005</x:v>
      </x:c>
    </x:row>
    <x:row r="1342" ht="28" customHeight="1">
      <x:c r="A1342" s="2" t="n">
        <x:v>1335</x:v>
      </x:c>
      <x:c r="B1342" s="2" t="n">
        <x:v>54</x:v>
      </x:c>
      <x:c r="C1342" s="2" t="str">
        <x:v>사수자리</x:v>
      </x:c>
      <x:c r="D1342" s="2" t="str">
        <x:v>전사</x:v>
      </x:c>
      <x:c r="E1342" s="2" t="n">
        <x:v>5</x:v>
      </x:c>
      <x:c r="F1342" s="2" t="n">
        <x:v>2</x:v>
      </x:c>
      <x:c r="G1342" s="14" t="n">
        <x:f>('레벨 계산식'!$E$4-E1342)*'레벨 계산식'!$B$5</x:f>
        <x:v>0</x:v>
      </x:c>
      <x:c r="H1342" s="14" t="n">
        <x:f>('등급 계산식'!$E$4-F1342)*'등급 계산식'!$B$5</x:f>
        <x:v>0.18000000000000005</x:v>
      </x:c>
      <x:c r="I1342" s="14" t="n">
        <x:f>1-G1342-H1342</x:f>
        <x:v>0.82</x:v>
      </x:c>
      <x:c r="J1342" s="2" t="n">
        <x:f>MAX(1,ROUND('기준스탯 72종'!D61-R1342-Z1342,0))</x:f>
        <x:v>7</x:v>
      </x:c>
      <x:c r="K1342" s="2" t="n">
        <x:f>MAX(1,ROUND('기준스탯 72종'!E61-S1342-AA1342,0))</x:f>
        <x:v>5</x:v>
      </x:c>
      <x:c r="L1342" s="2" t="n">
        <x:f>MAX(1,ROUND('기준스탯 72종'!F61-T1342-AB1342,0))</x:f>
        <x:v>6</x:v>
      </x:c>
      <x:c r="M1342" s="2" t="n">
        <x:f>MAX(1,ROUND('기준스탯 72종'!G61-U1342-AC1342,0))</x:f>
        <x:v>7</x:v>
      </x:c>
      <x:c r="N1342" s="2" t="n">
        <x:f>MAX(0,ROUND('기준스탯 72종'!H61-V1342-AD1342,0))</x:f>
        <x:v>5</x:v>
      </x:c>
      <x:c r="O1342" s="2" t="n">
        <x:f>MAX(0,ROUND('기준스탯 72종'!I61-W1342-AE1342,0))</x:f>
        <x:v>5</x:v>
      </x:c>
      <x:c r="P1342" s="2" t="n">
        <x:f>MAX(0,ROUND('기준스탯 72종'!J61-X1342-AF1342,0))</x:f>
        <x:v>2</x:v>
      </x:c>
      <x:c r="Q1342" s="2" t="n">
        <x:f>MAX(0,ROUND('기준스탯 72종'!K61-Y1342-AG1342,0))</x:f>
        <x:v>1</x:v>
      </x:c>
      <x:c r="R1342" s="15" t="n">
        <x:f>'기준스탯 72종'!D61*G1342</x:f>
        <x:v>0</x:v>
      </x:c>
      <x:c r="S1342" s="15" t="n">
        <x:f>'기준스탯 72종'!E61*G1342</x:f>
        <x:v>0</x:v>
      </x:c>
      <x:c r="T1342" s="15" t="n">
        <x:f>'기준스탯 72종'!F61*G1342</x:f>
        <x:v>0</x:v>
      </x:c>
      <x:c r="U1342" s="15" t="n">
        <x:f>'기준스탯 72종'!G61*G1342</x:f>
        <x:v>0</x:v>
      </x:c>
      <x:c r="V1342" s="15" t="n">
        <x:f>'기준스탯 72종'!H61*G1342</x:f>
        <x:v>0</x:v>
      </x:c>
      <x:c r="W1342" s="15" t="n">
        <x:f>'기준스탯 72종'!I61*G1342</x:f>
        <x:v>0</x:v>
      </x:c>
      <x:c r="X1342" s="15" t="n">
        <x:f>'기준스탯 72종'!J61*G1342</x:f>
        <x:v>0</x:v>
      </x:c>
      <x:c r="Y1342" s="15" t="n">
        <x:f>'기준스탯 72종'!K61*G1342</x:f>
        <x:v>0</x:v>
      </x:c>
      <x:c r="Z1342" s="15" t="n">
        <x:f>'기준스탯 72종'!D61*H1342</x:f>
        <x:v>1.6200000000000006</x:v>
      </x:c>
      <x:c r="AA1342" s="15" t="n">
        <x:f>'기준스탯 72종'!E61*H1342</x:f>
        <x:v>1.0800000000000003</x:v>
      </x:c>
      <x:c r="AB1342" s="15" t="n">
        <x:f>'기준스탯 72종'!F61*H1342</x:f>
        <x:v>1.2600000000000002</x:v>
      </x:c>
      <x:c r="AC1342" s="15" t="n">
        <x:f>'기준스탯 72종'!G61*H1342</x:f>
        <x:v>1.6200000000000006</x:v>
      </x:c>
      <x:c r="AD1342" s="15" t="n">
        <x:f>'기준스탯 72종'!H61*H1342</x:f>
        <x:v>1.0800000000000003</x:v>
      </x:c>
      <x:c r="AE1342" s="15" t="n">
        <x:f>'기준스탯 72종'!I61*H1342</x:f>
        <x:v>1.0800000000000003</x:v>
      </x:c>
      <x:c r="AF1342" s="15" t="n">
        <x:f>'기준스탯 72종'!J61*H1342</x:f>
        <x:v>0.5400000000000001</x:v>
      </x:c>
      <x:c r="AG1342" s="15" t="n">
        <x:f>'기준스탯 72종'!K61*H1342</x:f>
        <x:v>0.18000000000000005</x:v>
      </x:c>
    </x:row>
    <x:row r="1343" ht="28" customHeight="1">
      <x:c r="A1343" s="2" t="n">
        <x:v>1336</x:v>
      </x:c>
      <x:c r="B1343" s="2" t="n">
        <x:v>54</x:v>
      </x:c>
      <x:c r="C1343" s="2" t="str">
        <x:v>사수자리</x:v>
      </x:c>
      <x:c r="D1343" s="2" t="str">
        <x:v>전사</x:v>
      </x:c>
      <x:c r="E1343" s="2" t="n">
        <x:v>1</x:v>
      </x:c>
      <x:c r="F1343" s="2" t="n">
        <x:v>3</x:v>
      </x:c>
      <x:c r="G1343" s="14" t="n">
        <x:f>('레벨 계산식'!$E$4-E1343)*'레벨 계산식'!$B$5</x:f>
        <x:v>0.5599999999999999</x:v>
      </x:c>
      <x:c r="H1343" s="14" t="n">
        <x:f>('등급 계산식'!$E$4-F1343)*'등급 계산식'!$B$5</x:f>
        <x:v>0.12000000000000002</x:v>
      </x:c>
      <x:c r="I1343" s="14" t="n">
        <x:f>1-G1343-H1343</x:f>
        <x:v>0.32000000000000006</x:v>
      </x:c>
      <x:c r="J1343" s="2" t="n">
        <x:f>MAX(1,ROUND('기준스탯 72종'!D61-R1343-Z1343,0))</x:f>
        <x:v>3</x:v>
      </x:c>
      <x:c r="K1343" s="2" t="n">
        <x:f>MAX(1,ROUND('기준스탯 72종'!E61-S1343-AA1343,0))</x:f>
        <x:v>2</x:v>
      </x:c>
      <x:c r="L1343" s="2" t="n">
        <x:f>MAX(1,ROUND('기준스탯 72종'!F61-T1343-AB1343,0))</x:f>
        <x:v>2</x:v>
      </x:c>
      <x:c r="M1343" s="2" t="n">
        <x:f>MAX(1,ROUND('기준스탯 72종'!G61-U1343-AC1343,0))</x:f>
        <x:v>3</x:v>
      </x:c>
      <x:c r="N1343" s="2" t="n">
        <x:f>MAX(0,ROUND('기준스탯 72종'!H61-V1343-AD1343,0))</x:f>
        <x:v>2</x:v>
      </x:c>
      <x:c r="O1343" s="2" t="n">
        <x:f>MAX(0,ROUND('기준스탯 72종'!I61-W1343-AE1343,0))</x:f>
        <x:v>2</x:v>
      </x:c>
      <x:c r="P1343" s="2" t="n">
        <x:f>MAX(0,ROUND('기준스탯 72종'!J61-X1343-AF1343,0))</x:f>
        <x:v>1</x:v>
      </x:c>
      <x:c r="Q1343" s="2" t="n">
        <x:f>MAX(0,ROUND('기준스탯 72종'!K61-Y1343-AG1343,0))</x:f>
        <x:v>0</x:v>
      </x:c>
      <x:c r="R1343" s="15" t="n">
        <x:f>'기준스탯 72종'!D61*G1343</x:f>
        <x:v>5.039999999999999</x:v>
      </x:c>
      <x:c r="S1343" s="15" t="n">
        <x:f>'기준스탯 72종'!E61*G1343</x:f>
        <x:v>3.3599999999999994</x:v>
      </x:c>
      <x:c r="T1343" s="15" t="n">
        <x:f>'기준스탯 72종'!F61*G1343</x:f>
        <x:v>3.9199999999999995</x:v>
      </x:c>
      <x:c r="U1343" s="15" t="n">
        <x:f>'기준스탯 72종'!G61*G1343</x:f>
        <x:v>5.039999999999999</x:v>
      </x:c>
      <x:c r="V1343" s="15" t="n">
        <x:f>'기준스탯 72종'!H61*G1343</x:f>
        <x:v>3.3599999999999994</x:v>
      </x:c>
      <x:c r="W1343" s="15" t="n">
        <x:f>'기준스탯 72종'!I61*G1343</x:f>
        <x:v>3.3599999999999994</x:v>
      </x:c>
      <x:c r="X1343" s="15" t="n">
        <x:f>'기준스탯 72종'!J61*G1343</x:f>
        <x:v>1.6799999999999997</x:v>
      </x:c>
      <x:c r="Y1343" s="15" t="n">
        <x:f>'기준스탯 72종'!K61*G1343</x:f>
        <x:v>0.5599999999999999</x:v>
      </x:c>
      <x:c r="Z1343" s="15" t="n">
        <x:f>'기준스탯 72종'!D61*H1343</x:f>
        <x:v>1.0800000000000003</x:v>
      </x:c>
      <x:c r="AA1343" s="15" t="n">
        <x:f>'기준스탯 72종'!E61*H1343</x:f>
        <x:v>0.7200000000000002</x:v>
      </x:c>
      <x:c r="AB1343" s="15" t="n">
        <x:f>'기준스탯 72종'!F61*H1343</x:f>
        <x:v>0.8400000000000002</x:v>
      </x:c>
      <x:c r="AC1343" s="15" t="n">
        <x:f>'기준스탯 72종'!G61*H1343</x:f>
        <x:v>1.0800000000000003</x:v>
      </x:c>
      <x:c r="AD1343" s="15" t="n">
        <x:f>'기준스탯 72종'!H61*H1343</x:f>
        <x:v>0.7200000000000002</x:v>
      </x:c>
      <x:c r="AE1343" s="15" t="n">
        <x:f>'기준스탯 72종'!I61*H1343</x:f>
        <x:v>0.7200000000000002</x:v>
      </x:c>
      <x:c r="AF1343" s="15" t="n">
        <x:f>'기준스탯 72종'!J61*H1343</x:f>
        <x:v>0.3600000000000001</x:v>
      </x:c>
      <x:c r="AG1343" s="15" t="n">
        <x:f>'기준스탯 72종'!K61*H1343</x:f>
        <x:v>0.12000000000000002</x:v>
      </x:c>
    </x:row>
    <x:row r="1344" ht="28" customHeight="1">
      <x:c r="A1344" s="2" t="n">
        <x:v>1337</x:v>
      </x:c>
      <x:c r="B1344" s="2" t="n">
        <x:v>54</x:v>
      </x:c>
      <x:c r="C1344" s="2" t="str">
        <x:v>사수자리</x:v>
      </x:c>
      <x:c r="D1344" s="2" t="str">
        <x:v>전사</x:v>
      </x:c>
      <x:c r="E1344" s="2" t="n">
        <x:v>2</x:v>
      </x:c>
      <x:c r="F1344" s="2" t="n">
        <x:v>3</x:v>
      </x:c>
      <x:c r="G1344" s="14" t="n">
        <x:f>('레벨 계산식'!$E$4-E1344)*'레벨 계산식'!$B$5</x:f>
        <x:v>0.41999999999999993</x:v>
      </x:c>
      <x:c r="H1344" s="14" t="n">
        <x:f>('등급 계산식'!$E$4-F1344)*'등급 계산식'!$B$5</x:f>
        <x:v>0.12000000000000002</x:v>
      </x:c>
      <x:c r="I1344" s="14" t="n">
        <x:f>1-G1344-H1344</x:f>
        <x:v>0.4600000000000001</x:v>
      </x:c>
      <x:c r="J1344" s="2" t="n">
        <x:f>MAX(1,ROUND('기준스탯 72종'!D61-R1344-Z1344,0))</x:f>
        <x:v>4</x:v>
      </x:c>
      <x:c r="K1344" s="2" t="n">
        <x:f>MAX(1,ROUND('기준스탯 72종'!E61-S1344-AA1344,0))</x:f>
        <x:v>3</x:v>
      </x:c>
      <x:c r="L1344" s="2" t="n">
        <x:f>MAX(1,ROUND('기준스탯 72종'!F61-T1344-AB1344,0))</x:f>
        <x:v>3</x:v>
      </x:c>
      <x:c r="M1344" s="2" t="n">
        <x:f>MAX(1,ROUND('기준스탯 72종'!G61-U1344-AC1344,0))</x:f>
        <x:v>4</x:v>
      </x:c>
      <x:c r="N1344" s="2" t="n">
        <x:f>MAX(0,ROUND('기준스탯 72종'!H61-V1344-AD1344,0))</x:f>
        <x:v>3</x:v>
      </x:c>
      <x:c r="O1344" s="2" t="n">
        <x:f>MAX(0,ROUND('기준스탯 72종'!I61-W1344-AE1344,0))</x:f>
        <x:v>3</x:v>
      </x:c>
      <x:c r="P1344" s="2" t="n">
        <x:f>MAX(0,ROUND('기준스탯 72종'!J61-X1344-AF1344,0))</x:f>
        <x:v>1</x:v>
      </x:c>
      <x:c r="Q1344" s="2" t="n">
        <x:f>MAX(0,ROUND('기준스탯 72종'!K61-Y1344-AG1344,0))</x:f>
        <x:v>0</x:v>
      </x:c>
      <x:c r="R1344" s="15" t="n">
        <x:f>'기준스탯 72종'!D61*G1344</x:f>
        <x:v>3.7799999999999994</x:v>
      </x:c>
      <x:c r="S1344" s="15" t="n">
        <x:f>'기준스탯 72종'!E61*G1344</x:f>
        <x:v>2.5199999999999996</x:v>
      </x:c>
      <x:c r="T1344" s="15" t="n">
        <x:f>'기준스탯 72종'!F61*G1344</x:f>
        <x:v>2.9399999999999995</x:v>
      </x:c>
      <x:c r="U1344" s="15" t="n">
        <x:f>'기준스탯 72종'!G61*G1344</x:f>
        <x:v>3.7799999999999994</x:v>
      </x:c>
      <x:c r="V1344" s="15" t="n">
        <x:f>'기준스탯 72종'!H61*G1344</x:f>
        <x:v>2.5199999999999996</x:v>
      </x:c>
      <x:c r="W1344" s="15" t="n">
        <x:f>'기준스탯 72종'!I61*G1344</x:f>
        <x:v>2.5199999999999996</x:v>
      </x:c>
      <x:c r="X1344" s="15" t="n">
        <x:f>'기준스탯 72종'!J61*G1344</x:f>
        <x:v>1.2599999999999998</x:v>
      </x:c>
      <x:c r="Y1344" s="15" t="n">
        <x:f>'기준스탯 72종'!K61*G1344</x:f>
        <x:v>0.41999999999999993</x:v>
      </x:c>
      <x:c r="Z1344" s="15" t="n">
        <x:f>'기준스탯 72종'!D61*H1344</x:f>
        <x:v>1.0800000000000003</x:v>
      </x:c>
      <x:c r="AA1344" s="15" t="n">
        <x:f>'기준스탯 72종'!E61*H1344</x:f>
        <x:v>0.7200000000000002</x:v>
      </x:c>
      <x:c r="AB1344" s="15" t="n">
        <x:f>'기준스탯 72종'!F61*H1344</x:f>
        <x:v>0.8400000000000002</x:v>
      </x:c>
      <x:c r="AC1344" s="15" t="n">
        <x:f>'기준스탯 72종'!G61*H1344</x:f>
        <x:v>1.0800000000000003</x:v>
      </x:c>
      <x:c r="AD1344" s="15" t="n">
        <x:f>'기준스탯 72종'!H61*H1344</x:f>
        <x:v>0.7200000000000002</x:v>
      </x:c>
      <x:c r="AE1344" s="15" t="n">
        <x:f>'기준스탯 72종'!I61*H1344</x:f>
        <x:v>0.7200000000000002</x:v>
      </x:c>
      <x:c r="AF1344" s="15" t="n">
        <x:f>'기준스탯 72종'!J61*H1344</x:f>
        <x:v>0.3600000000000001</x:v>
      </x:c>
      <x:c r="AG1344" s="15" t="n">
        <x:f>'기준스탯 72종'!K61*H1344</x:f>
        <x:v>0.12000000000000002</x:v>
      </x:c>
    </x:row>
    <x:row r="1345" ht="28" customHeight="1">
      <x:c r="A1345" s="2" t="n">
        <x:v>1338</x:v>
      </x:c>
      <x:c r="B1345" s="2" t="n">
        <x:v>54</x:v>
      </x:c>
      <x:c r="C1345" s="2" t="str">
        <x:v>사수자리</x:v>
      </x:c>
      <x:c r="D1345" s="2" t="str">
        <x:v>전사</x:v>
      </x:c>
      <x:c r="E1345" s="2" t="n">
        <x:v>3</x:v>
      </x:c>
      <x:c r="F1345" s="2" t="n">
        <x:v>3</x:v>
      </x:c>
      <x:c r="G1345" s="14" t="n">
        <x:f>('레벨 계산식'!$E$4-E1345)*'레벨 계산식'!$B$5</x:f>
        <x:v>0.27999999999999997</x:v>
      </x:c>
      <x:c r="H1345" s="14" t="n">
        <x:f>('등급 계산식'!$E$4-F1345)*'등급 계산식'!$B$5</x:f>
        <x:v>0.12000000000000002</x:v>
      </x:c>
      <x:c r="I1345" s="14" t="n">
        <x:f>1-G1345-H1345</x:f>
        <x:v>0.6</x:v>
      </x:c>
      <x:c r="J1345" s="2" t="n">
        <x:f>MAX(1,ROUND('기준스탯 72종'!D61-R1345-Z1345,0))</x:f>
        <x:v>5</x:v>
      </x:c>
      <x:c r="K1345" s="2" t="n">
        <x:f>MAX(1,ROUND('기준스탯 72종'!E61-S1345-AA1345,0))</x:f>
        <x:v>4</x:v>
      </x:c>
      <x:c r="L1345" s="2" t="n">
        <x:f>MAX(1,ROUND('기준스탯 72종'!F61-T1345-AB1345,0))</x:f>
        <x:v>4</x:v>
      </x:c>
      <x:c r="M1345" s="2" t="n">
        <x:f>MAX(1,ROUND('기준스탯 72종'!G61-U1345-AC1345,0))</x:f>
        <x:v>5</x:v>
      </x:c>
      <x:c r="N1345" s="2" t="n">
        <x:f>MAX(0,ROUND('기준스탯 72종'!H61-V1345-AD1345,0))</x:f>
        <x:v>4</x:v>
      </x:c>
      <x:c r="O1345" s="2" t="n">
        <x:f>MAX(0,ROUND('기준스탯 72종'!I61-W1345-AE1345,0))</x:f>
        <x:v>4</x:v>
      </x:c>
      <x:c r="P1345" s="2" t="n">
        <x:f>MAX(0,ROUND('기준스탯 72종'!J61-X1345-AF1345,0))</x:f>
        <x:v>2</x:v>
      </x:c>
      <x:c r="Q1345" s="2" t="n">
        <x:f>MAX(0,ROUND('기준스탯 72종'!K61-Y1345-AG1345,0))</x:f>
        <x:v>1</x:v>
      </x:c>
      <x:c r="R1345" s="15" t="n">
        <x:f>'기준스탯 72종'!D61*G1345</x:f>
        <x:v>2.5199999999999996</x:v>
      </x:c>
      <x:c r="S1345" s="15" t="n">
        <x:f>'기준스탯 72종'!E61*G1345</x:f>
        <x:v>1.6799999999999997</x:v>
      </x:c>
      <x:c r="T1345" s="15" t="n">
        <x:f>'기준스탯 72종'!F61*G1345</x:f>
        <x:v>1.9599999999999997</x:v>
      </x:c>
      <x:c r="U1345" s="15" t="n">
        <x:f>'기준스탯 72종'!G61*G1345</x:f>
        <x:v>2.5199999999999996</x:v>
      </x:c>
      <x:c r="V1345" s="15" t="n">
        <x:f>'기준스탯 72종'!H61*G1345</x:f>
        <x:v>1.6799999999999997</x:v>
      </x:c>
      <x:c r="W1345" s="15" t="n">
        <x:f>'기준스탯 72종'!I61*G1345</x:f>
        <x:v>1.6799999999999997</x:v>
      </x:c>
      <x:c r="X1345" s="15" t="n">
        <x:f>'기준스탯 72종'!J61*G1345</x:f>
        <x:v>0.8399999999999999</x:v>
      </x:c>
      <x:c r="Y1345" s="15" t="n">
        <x:f>'기준스탯 72종'!K61*G1345</x:f>
        <x:v>0.27999999999999997</x:v>
      </x:c>
      <x:c r="Z1345" s="15" t="n">
        <x:f>'기준스탯 72종'!D61*H1345</x:f>
        <x:v>1.0800000000000003</x:v>
      </x:c>
      <x:c r="AA1345" s="15" t="n">
        <x:f>'기준스탯 72종'!E61*H1345</x:f>
        <x:v>0.7200000000000002</x:v>
      </x:c>
      <x:c r="AB1345" s="15" t="n">
        <x:f>'기준스탯 72종'!F61*H1345</x:f>
        <x:v>0.8400000000000002</x:v>
      </x:c>
      <x:c r="AC1345" s="15" t="n">
        <x:f>'기준스탯 72종'!G61*H1345</x:f>
        <x:v>1.0800000000000003</x:v>
      </x:c>
      <x:c r="AD1345" s="15" t="n">
        <x:f>'기준스탯 72종'!H61*H1345</x:f>
        <x:v>0.7200000000000002</x:v>
      </x:c>
      <x:c r="AE1345" s="15" t="n">
        <x:f>'기준스탯 72종'!I61*H1345</x:f>
        <x:v>0.7200000000000002</x:v>
      </x:c>
      <x:c r="AF1345" s="15" t="n">
        <x:f>'기준스탯 72종'!J61*H1345</x:f>
        <x:v>0.3600000000000001</x:v>
      </x:c>
      <x:c r="AG1345" s="15" t="n">
        <x:f>'기준스탯 72종'!K61*H1345</x:f>
        <x:v>0.12000000000000002</x:v>
      </x:c>
    </x:row>
    <x:row r="1346" ht="28" customHeight="1">
      <x:c r="A1346" s="2" t="n">
        <x:v>1339</x:v>
      </x:c>
      <x:c r="B1346" s="2" t="n">
        <x:v>54</x:v>
      </x:c>
      <x:c r="C1346" s="2" t="str">
        <x:v>사수자리</x:v>
      </x:c>
      <x:c r="D1346" s="2" t="str">
        <x:v>전사</x:v>
      </x:c>
      <x:c r="E1346" s="2" t="n">
        <x:v>4</x:v>
      </x:c>
      <x:c r="F1346" s="2" t="n">
        <x:v>3</x:v>
      </x:c>
      <x:c r="G1346" s="14" t="n">
        <x:f>('레벨 계산식'!$E$4-E1346)*'레벨 계산식'!$B$5</x:f>
        <x:v>0.13999999999999999</x:v>
      </x:c>
      <x:c r="H1346" s="14" t="n">
        <x:f>('등급 계산식'!$E$4-F1346)*'등급 계산식'!$B$5</x:f>
        <x:v>0.12000000000000002</x:v>
      </x:c>
      <x:c r="I1346" s="14" t="n">
        <x:f>1-G1346-H1346</x:f>
        <x:v>0.74</x:v>
      </x:c>
      <x:c r="J1346" s="2" t="n">
        <x:f>MAX(1,ROUND('기준스탯 72종'!D61-R1346-Z1346,0))</x:f>
        <x:v>7</x:v>
      </x:c>
      <x:c r="K1346" s="2" t="n">
        <x:f>MAX(1,ROUND('기준스탯 72종'!E61-S1346-AA1346,0))</x:f>
        <x:v>4</x:v>
      </x:c>
      <x:c r="L1346" s="2" t="n">
        <x:f>MAX(1,ROUND('기준스탯 72종'!F61-T1346-AB1346,0))</x:f>
        <x:v>5</x:v>
      </x:c>
      <x:c r="M1346" s="2" t="n">
        <x:f>MAX(1,ROUND('기준스탯 72종'!G61-U1346-AC1346,0))</x:f>
        <x:v>7</x:v>
      </x:c>
      <x:c r="N1346" s="2" t="n">
        <x:f>MAX(0,ROUND('기준스탯 72종'!H61-V1346-AD1346,0))</x:f>
        <x:v>4</x:v>
      </x:c>
      <x:c r="O1346" s="2" t="n">
        <x:f>MAX(0,ROUND('기준스탯 72종'!I61-W1346-AE1346,0))</x:f>
        <x:v>4</x:v>
      </x:c>
      <x:c r="P1346" s="2" t="n">
        <x:f>MAX(0,ROUND('기준스탯 72종'!J61-X1346-AF1346,0))</x:f>
        <x:v>2</x:v>
      </x:c>
      <x:c r="Q1346" s="2" t="n">
        <x:f>MAX(0,ROUND('기준스탯 72종'!K61-Y1346-AG1346,0))</x:f>
        <x:v>1</x:v>
      </x:c>
      <x:c r="R1346" s="15" t="n">
        <x:f>'기준스탯 72종'!D61*G1346</x:f>
        <x:v>1.2599999999999998</x:v>
      </x:c>
      <x:c r="S1346" s="15" t="n">
        <x:f>'기준스탯 72종'!E61*G1346</x:f>
        <x:v>0.8399999999999999</x:v>
      </x:c>
      <x:c r="T1346" s="15" t="n">
        <x:f>'기준스탯 72종'!F61*G1346</x:f>
        <x:v>0.9799999999999999</x:v>
      </x:c>
      <x:c r="U1346" s="15" t="n">
        <x:f>'기준스탯 72종'!G61*G1346</x:f>
        <x:v>1.2599999999999998</x:v>
      </x:c>
      <x:c r="V1346" s="15" t="n">
        <x:f>'기준스탯 72종'!H61*G1346</x:f>
        <x:v>0.8399999999999999</x:v>
      </x:c>
      <x:c r="W1346" s="15" t="n">
        <x:f>'기준스탯 72종'!I61*G1346</x:f>
        <x:v>0.8399999999999999</x:v>
      </x:c>
      <x:c r="X1346" s="15" t="n">
        <x:f>'기준스탯 72종'!J61*G1346</x:f>
        <x:v>0.41999999999999993</x:v>
      </x:c>
      <x:c r="Y1346" s="15" t="n">
        <x:f>'기준스탯 72종'!K61*G1346</x:f>
        <x:v>0.13999999999999999</x:v>
      </x:c>
      <x:c r="Z1346" s="15" t="n">
        <x:f>'기준스탯 72종'!D61*H1346</x:f>
        <x:v>1.0800000000000003</x:v>
      </x:c>
      <x:c r="AA1346" s="15" t="n">
        <x:f>'기준스탯 72종'!E61*H1346</x:f>
        <x:v>0.7200000000000002</x:v>
      </x:c>
      <x:c r="AB1346" s="15" t="n">
        <x:f>'기준스탯 72종'!F61*H1346</x:f>
        <x:v>0.8400000000000002</x:v>
      </x:c>
      <x:c r="AC1346" s="15" t="n">
        <x:f>'기준스탯 72종'!G61*H1346</x:f>
        <x:v>1.0800000000000003</x:v>
      </x:c>
      <x:c r="AD1346" s="15" t="n">
        <x:f>'기준스탯 72종'!H61*H1346</x:f>
        <x:v>0.7200000000000002</x:v>
      </x:c>
      <x:c r="AE1346" s="15" t="n">
        <x:f>'기준스탯 72종'!I61*H1346</x:f>
        <x:v>0.7200000000000002</x:v>
      </x:c>
      <x:c r="AF1346" s="15" t="n">
        <x:f>'기준스탯 72종'!J61*H1346</x:f>
        <x:v>0.3600000000000001</x:v>
      </x:c>
      <x:c r="AG1346" s="15" t="n">
        <x:f>'기준스탯 72종'!K61*H1346</x:f>
        <x:v>0.12000000000000002</x:v>
      </x:c>
    </x:row>
    <x:row r="1347" ht="28" customHeight="1">
      <x:c r="A1347" s="2" t="n">
        <x:v>1340</x:v>
      </x:c>
      <x:c r="B1347" s="2" t="n">
        <x:v>54</x:v>
      </x:c>
      <x:c r="C1347" s="2" t="str">
        <x:v>사수자리</x:v>
      </x:c>
      <x:c r="D1347" s="2" t="str">
        <x:v>전사</x:v>
      </x:c>
      <x:c r="E1347" s="2" t="n">
        <x:v>5</x:v>
      </x:c>
      <x:c r="F1347" s="2" t="n">
        <x:v>3</x:v>
      </x:c>
      <x:c r="G1347" s="14" t="n">
        <x:f>('레벨 계산식'!$E$4-E1347)*'레벨 계산식'!$B$5</x:f>
        <x:v>0</x:v>
      </x:c>
      <x:c r="H1347" s="14" t="n">
        <x:f>('등급 계산식'!$E$4-F1347)*'등급 계산식'!$B$5</x:f>
        <x:v>0.12000000000000002</x:v>
      </x:c>
      <x:c r="I1347" s="14" t="n">
        <x:f>1-G1347-H1347</x:f>
        <x:v>0.88</x:v>
      </x:c>
      <x:c r="J1347" s="2" t="n">
        <x:f>MAX(1,ROUND('기준스탯 72종'!D61-R1347-Z1347,0))</x:f>
        <x:v>8</x:v>
      </x:c>
      <x:c r="K1347" s="2" t="n">
        <x:f>MAX(1,ROUND('기준스탯 72종'!E61-S1347-AA1347,0))</x:f>
        <x:v>5</x:v>
      </x:c>
      <x:c r="L1347" s="2" t="n">
        <x:f>MAX(1,ROUND('기준스탯 72종'!F61-T1347-AB1347,0))</x:f>
        <x:v>6</x:v>
      </x:c>
      <x:c r="M1347" s="2" t="n">
        <x:f>MAX(1,ROUND('기준스탯 72종'!G61-U1347-AC1347,0))</x:f>
        <x:v>8</x:v>
      </x:c>
      <x:c r="N1347" s="2" t="n">
        <x:f>MAX(0,ROUND('기준스탯 72종'!H61-V1347-AD1347,0))</x:f>
        <x:v>5</x:v>
      </x:c>
      <x:c r="O1347" s="2" t="n">
        <x:f>MAX(0,ROUND('기준스탯 72종'!I61-W1347-AE1347,0))</x:f>
        <x:v>5</x:v>
      </x:c>
      <x:c r="P1347" s="2" t="n">
        <x:f>MAX(0,ROUND('기준스탯 72종'!J61-X1347-AF1347,0))</x:f>
        <x:v>3</x:v>
      </x:c>
      <x:c r="Q1347" s="2" t="n">
        <x:f>MAX(0,ROUND('기준스탯 72종'!K61-Y1347-AG1347,0))</x:f>
        <x:v>1</x:v>
      </x:c>
      <x:c r="R1347" s="15" t="n">
        <x:f>'기준스탯 72종'!D61*G1347</x:f>
        <x:v>0</x:v>
      </x:c>
      <x:c r="S1347" s="15" t="n">
        <x:f>'기준스탯 72종'!E61*G1347</x:f>
        <x:v>0</x:v>
      </x:c>
      <x:c r="T1347" s="15" t="n">
        <x:f>'기준스탯 72종'!F61*G1347</x:f>
        <x:v>0</x:v>
      </x:c>
      <x:c r="U1347" s="15" t="n">
        <x:f>'기준스탯 72종'!G61*G1347</x:f>
        <x:v>0</x:v>
      </x:c>
      <x:c r="V1347" s="15" t="n">
        <x:f>'기준스탯 72종'!H61*G1347</x:f>
        <x:v>0</x:v>
      </x:c>
      <x:c r="W1347" s="15" t="n">
        <x:f>'기준스탯 72종'!I61*G1347</x:f>
        <x:v>0</x:v>
      </x:c>
      <x:c r="X1347" s="15" t="n">
        <x:f>'기준스탯 72종'!J61*G1347</x:f>
        <x:v>0</x:v>
      </x:c>
      <x:c r="Y1347" s="15" t="n">
        <x:f>'기준스탯 72종'!K61*G1347</x:f>
        <x:v>0</x:v>
      </x:c>
      <x:c r="Z1347" s="15" t="n">
        <x:f>'기준스탯 72종'!D61*H1347</x:f>
        <x:v>1.0800000000000003</x:v>
      </x:c>
      <x:c r="AA1347" s="15" t="n">
        <x:f>'기준스탯 72종'!E61*H1347</x:f>
        <x:v>0.7200000000000002</x:v>
      </x:c>
      <x:c r="AB1347" s="15" t="n">
        <x:f>'기준스탯 72종'!F61*H1347</x:f>
        <x:v>0.8400000000000002</x:v>
      </x:c>
      <x:c r="AC1347" s="15" t="n">
        <x:f>'기준스탯 72종'!G61*H1347</x:f>
        <x:v>1.0800000000000003</x:v>
      </x:c>
      <x:c r="AD1347" s="15" t="n">
        <x:f>'기준스탯 72종'!H61*H1347</x:f>
        <x:v>0.7200000000000002</x:v>
      </x:c>
      <x:c r="AE1347" s="15" t="n">
        <x:f>'기준스탯 72종'!I61*H1347</x:f>
        <x:v>0.7200000000000002</x:v>
      </x:c>
      <x:c r="AF1347" s="15" t="n">
        <x:f>'기준스탯 72종'!J61*H1347</x:f>
        <x:v>0.3600000000000001</x:v>
      </x:c>
      <x:c r="AG1347" s="15" t="n">
        <x:f>'기준스탯 72종'!K61*H1347</x:f>
        <x:v>0.12000000000000002</x:v>
      </x:c>
    </x:row>
    <x:row r="1348" ht="28" customHeight="1">
      <x:c r="A1348" s="2" t="n">
        <x:v>1341</x:v>
      </x:c>
      <x:c r="B1348" s="2" t="n">
        <x:v>54</x:v>
      </x:c>
      <x:c r="C1348" s="2" t="str">
        <x:v>사수자리</x:v>
      </x:c>
      <x:c r="D1348" s="2" t="str">
        <x:v>전사</x:v>
      </x:c>
      <x:c r="E1348" s="2" t="n">
        <x:v>1</x:v>
      </x:c>
      <x:c r="F1348" s="2" t="n">
        <x:v>4</x:v>
      </x:c>
      <x:c r="G1348" s="14" t="n">
        <x:f>('레벨 계산식'!$E$4-E1348)*'레벨 계산식'!$B$5</x:f>
        <x:v>0.5599999999999999</x:v>
      </x:c>
      <x:c r="H1348" s="14" t="n">
        <x:f>('등급 계산식'!$E$4-F1348)*'등급 계산식'!$B$5</x:f>
        <x:v>0.06000000000000001</x:v>
      </x:c>
      <x:c r="I1348" s="14" t="n">
        <x:f>1-G1348-H1348</x:f>
        <x:v>0.38000000000000006</x:v>
      </x:c>
      <x:c r="J1348" s="2" t="n">
        <x:f>MAX(1,ROUND('기준스탯 72종'!D61-R1348-Z1348,0))</x:f>
        <x:v>3</x:v>
      </x:c>
      <x:c r="K1348" s="2" t="n">
        <x:f>MAX(1,ROUND('기준스탯 72종'!E61-S1348-AA1348,0))</x:f>
        <x:v>2</x:v>
      </x:c>
      <x:c r="L1348" s="2" t="n">
        <x:f>MAX(1,ROUND('기준스탯 72종'!F61-T1348-AB1348,0))</x:f>
        <x:v>3</x:v>
      </x:c>
      <x:c r="M1348" s="2" t="n">
        <x:f>MAX(1,ROUND('기준스탯 72종'!G61-U1348-AC1348,0))</x:f>
        <x:v>3</x:v>
      </x:c>
      <x:c r="N1348" s="2" t="n">
        <x:f>MAX(0,ROUND('기준스탯 72종'!H61-V1348-AD1348,0))</x:f>
        <x:v>2</x:v>
      </x:c>
      <x:c r="O1348" s="2" t="n">
        <x:f>MAX(0,ROUND('기준스탯 72종'!I61-W1348-AE1348,0))</x:f>
        <x:v>2</x:v>
      </x:c>
      <x:c r="P1348" s="2" t="n">
        <x:f>MAX(0,ROUND('기준스탯 72종'!J61-X1348-AF1348,0))</x:f>
        <x:v>1</x:v>
      </x:c>
      <x:c r="Q1348" s="2" t="n">
        <x:f>MAX(0,ROUND('기준스탯 72종'!K61-Y1348-AG1348,0))</x:f>
        <x:v>0</x:v>
      </x:c>
      <x:c r="R1348" s="15" t="n">
        <x:f>'기준스탯 72종'!D61*G1348</x:f>
        <x:v>5.039999999999999</x:v>
      </x:c>
      <x:c r="S1348" s="15" t="n">
        <x:f>'기준스탯 72종'!E61*G1348</x:f>
        <x:v>3.3599999999999994</x:v>
      </x:c>
      <x:c r="T1348" s="15" t="n">
        <x:f>'기준스탯 72종'!F61*G1348</x:f>
        <x:v>3.9199999999999995</x:v>
      </x:c>
      <x:c r="U1348" s="15" t="n">
        <x:f>'기준스탯 72종'!G61*G1348</x:f>
        <x:v>5.039999999999999</x:v>
      </x:c>
      <x:c r="V1348" s="15" t="n">
        <x:f>'기준스탯 72종'!H61*G1348</x:f>
        <x:v>3.3599999999999994</x:v>
      </x:c>
      <x:c r="W1348" s="15" t="n">
        <x:f>'기준스탯 72종'!I61*G1348</x:f>
        <x:v>3.3599999999999994</x:v>
      </x:c>
      <x:c r="X1348" s="15" t="n">
        <x:f>'기준스탯 72종'!J61*G1348</x:f>
        <x:v>1.6799999999999997</x:v>
      </x:c>
      <x:c r="Y1348" s="15" t="n">
        <x:f>'기준스탯 72종'!K61*G1348</x:f>
        <x:v>0.5599999999999999</x:v>
      </x:c>
      <x:c r="Z1348" s="15" t="n">
        <x:f>'기준스탯 72종'!D61*H1348</x:f>
        <x:v>0.5400000000000001</x:v>
      </x:c>
      <x:c r="AA1348" s="15" t="n">
        <x:f>'기준스탯 72종'!E61*H1348</x:f>
        <x:v>0.3600000000000001</x:v>
      </x:c>
      <x:c r="AB1348" s="15" t="n">
        <x:f>'기준스탯 72종'!F61*H1348</x:f>
        <x:v>0.4200000000000001</x:v>
      </x:c>
      <x:c r="AC1348" s="15" t="n">
        <x:f>'기준스탯 72종'!G61*H1348</x:f>
        <x:v>0.5400000000000001</x:v>
      </x:c>
      <x:c r="AD1348" s="15" t="n">
        <x:f>'기준스탯 72종'!H61*H1348</x:f>
        <x:v>0.3600000000000001</x:v>
      </x:c>
      <x:c r="AE1348" s="15" t="n">
        <x:f>'기준스탯 72종'!I61*H1348</x:f>
        <x:v>0.3600000000000001</x:v>
      </x:c>
      <x:c r="AF1348" s="15" t="n">
        <x:f>'기준스탯 72종'!J61*H1348</x:f>
        <x:v>0.18000000000000005</x:v>
      </x:c>
      <x:c r="AG1348" s="15" t="n">
        <x:f>'기준스탯 72종'!K61*H1348</x:f>
        <x:v>0.06000000000000001</x:v>
      </x:c>
    </x:row>
    <x:row r="1349" ht="28" customHeight="1">
      <x:c r="A1349" s="2" t="n">
        <x:v>1342</x:v>
      </x:c>
      <x:c r="B1349" s="2" t="n">
        <x:v>54</x:v>
      </x:c>
      <x:c r="C1349" s="2" t="str">
        <x:v>사수자리</x:v>
      </x:c>
      <x:c r="D1349" s="2" t="str">
        <x:v>전사</x:v>
      </x:c>
      <x:c r="E1349" s="2" t="n">
        <x:v>2</x:v>
      </x:c>
      <x:c r="F1349" s="2" t="n">
        <x:v>4</x:v>
      </x:c>
      <x:c r="G1349" s="14" t="n">
        <x:f>('레벨 계산식'!$E$4-E1349)*'레벨 계산식'!$B$5</x:f>
        <x:v>0.41999999999999993</x:v>
      </x:c>
      <x:c r="H1349" s="14" t="n">
        <x:f>('등급 계산식'!$E$4-F1349)*'등급 계산식'!$B$5</x:f>
        <x:v>0.06000000000000001</x:v>
      </x:c>
      <x:c r="I1349" s="14" t="n">
        <x:f>1-G1349-H1349</x:f>
        <x:v>0.52</x:v>
      </x:c>
      <x:c r="J1349" s="2" t="n">
        <x:f>MAX(1,ROUND('기준스탯 72종'!D61-R1349-Z1349,0))</x:f>
        <x:v>5</x:v>
      </x:c>
      <x:c r="K1349" s="2" t="n">
        <x:f>MAX(1,ROUND('기준스탯 72종'!E61-S1349-AA1349,0))</x:f>
        <x:v>3</x:v>
      </x:c>
      <x:c r="L1349" s="2" t="n">
        <x:f>MAX(1,ROUND('기준스탯 72종'!F61-T1349-AB1349,0))</x:f>
        <x:v>4</x:v>
      </x:c>
      <x:c r="M1349" s="2" t="n">
        <x:f>MAX(1,ROUND('기준스탯 72종'!G61-U1349-AC1349,0))</x:f>
        <x:v>5</x:v>
      </x:c>
      <x:c r="N1349" s="2" t="n">
        <x:f>MAX(0,ROUND('기준스탯 72종'!H61-V1349-AD1349,0))</x:f>
        <x:v>3</x:v>
      </x:c>
      <x:c r="O1349" s="2" t="n">
        <x:f>MAX(0,ROUND('기준스탯 72종'!I61-W1349-AE1349,0))</x:f>
        <x:v>3</x:v>
      </x:c>
      <x:c r="P1349" s="2" t="n">
        <x:f>MAX(0,ROUND('기준스탯 72종'!J61-X1349-AF1349,0))</x:f>
        <x:v>2</x:v>
      </x:c>
      <x:c r="Q1349" s="2" t="n">
        <x:f>MAX(0,ROUND('기준스탯 72종'!K61-Y1349-AG1349,0))</x:f>
        <x:v>1</x:v>
      </x:c>
      <x:c r="R1349" s="15" t="n">
        <x:f>'기준스탯 72종'!D61*G1349</x:f>
        <x:v>3.7799999999999994</x:v>
      </x:c>
      <x:c r="S1349" s="15" t="n">
        <x:f>'기준스탯 72종'!E61*G1349</x:f>
        <x:v>2.5199999999999996</x:v>
      </x:c>
      <x:c r="T1349" s="15" t="n">
        <x:f>'기준스탯 72종'!F61*G1349</x:f>
        <x:v>2.9399999999999995</x:v>
      </x:c>
      <x:c r="U1349" s="15" t="n">
        <x:f>'기준스탯 72종'!G61*G1349</x:f>
        <x:v>3.7799999999999994</x:v>
      </x:c>
      <x:c r="V1349" s="15" t="n">
        <x:f>'기준스탯 72종'!H61*G1349</x:f>
        <x:v>2.5199999999999996</x:v>
      </x:c>
      <x:c r="W1349" s="15" t="n">
        <x:f>'기준스탯 72종'!I61*G1349</x:f>
        <x:v>2.5199999999999996</x:v>
      </x:c>
      <x:c r="X1349" s="15" t="n">
        <x:f>'기준스탯 72종'!J61*G1349</x:f>
        <x:v>1.2599999999999998</x:v>
      </x:c>
      <x:c r="Y1349" s="15" t="n">
        <x:f>'기준스탯 72종'!K61*G1349</x:f>
        <x:v>0.41999999999999993</x:v>
      </x:c>
      <x:c r="Z1349" s="15" t="n">
        <x:f>'기준스탯 72종'!D61*H1349</x:f>
        <x:v>0.5400000000000001</x:v>
      </x:c>
      <x:c r="AA1349" s="15" t="n">
        <x:f>'기준스탯 72종'!E61*H1349</x:f>
        <x:v>0.3600000000000001</x:v>
      </x:c>
      <x:c r="AB1349" s="15" t="n">
        <x:f>'기준스탯 72종'!F61*H1349</x:f>
        <x:v>0.4200000000000001</x:v>
      </x:c>
      <x:c r="AC1349" s="15" t="n">
        <x:f>'기준스탯 72종'!G61*H1349</x:f>
        <x:v>0.5400000000000001</x:v>
      </x:c>
      <x:c r="AD1349" s="15" t="n">
        <x:f>'기준스탯 72종'!H61*H1349</x:f>
        <x:v>0.3600000000000001</x:v>
      </x:c>
      <x:c r="AE1349" s="15" t="n">
        <x:f>'기준스탯 72종'!I61*H1349</x:f>
        <x:v>0.3600000000000001</x:v>
      </x:c>
      <x:c r="AF1349" s="15" t="n">
        <x:f>'기준스탯 72종'!J61*H1349</x:f>
        <x:v>0.18000000000000005</x:v>
      </x:c>
      <x:c r="AG1349" s="15" t="n">
        <x:f>'기준스탯 72종'!K61*H1349</x:f>
        <x:v>0.06000000000000001</x:v>
      </x:c>
    </x:row>
    <x:row r="1350" ht="28" customHeight="1">
      <x:c r="A1350" s="2" t="n">
        <x:v>1343</x:v>
      </x:c>
      <x:c r="B1350" s="2" t="n">
        <x:v>54</x:v>
      </x:c>
      <x:c r="C1350" s="2" t="str">
        <x:v>사수자리</x:v>
      </x:c>
      <x:c r="D1350" s="2" t="str">
        <x:v>전사</x:v>
      </x:c>
      <x:c r="E1350" s="2" t="n">
        <x:v>3</x:v>
      </x:c>
      <x:c r="F1350" s="2" t="n">
        <x:v>4</x:v>
      </x:c>
      <x:c r="G1350" s="14" t="n">
        <x:f>('레벨 계산식'!$E$4-E1350)*'레벨 계산식'!$B$5</x:f>
        <x:v>0.27999999999999997</x:v>
      </x:c>
      <x:c r="H1350" s="14" t="n">
        <x:f>('등급 계산식'!$E$4-F1350)*'등급 계산식'!$B$5</x:f>
        <x:v>0.06000000000000001</x:v>
      </x:c>
      <x:c r="I1350" s="14" t="n">
        <x:f>1-G1350-H1350</x:f>
        <x:v>0.6599999999999999</x:v>
      </x:c>
      <x:c r="J1350" s="2" t="n">
        <x:f>MAX(1,ROUND('기준스탯 72종'!D61-R1350-Z1350,0))</x:f>
        <x:v>6</x:v>
      </x:c>
      <x:c r="K1350" s="2" t="n">
        <x:f>MAX(1,ROUND('기준스탯 72종'!E61-S1350-AA1350,0))</x:f>
        <x:v>4</x:v>
      </x:c>
      <x:c r="L1350" s="2" t="n">
        <x:f>MAX(1,ROUND('기준스탯 72종'!F61-T1350-AB1350,0))</x:f>
        <x:v>5</x:v>
      </x:c>
      <x:c r="M1350" s="2" t="n">
        <x:f>MAX(1,ROUND('기준스탯 72종'!G61-U1350-AC1350,0))</x:f>
        <x:v>6</x:v>
      </x:c>
      <x:c r="N1350" s="2" t="n">
        <x:f>MAX(0,ROUND('기준스탯 72종'!H61-V1350-AD1350,0))</x:f>
        <x:v>4</x:v>
      </x:c>
      <x:c r="O1350" s="2" t="n">
        <x:f>MAX(0,ROUND('기준스탯 72종'!I61-W1350-AE1350,0))</x:f>
        <x:v>4</x:v>
      </x:c>
      <x:c r="P1350" s="2" t="n">
        <x:f>MAX(0,ROUND('기준스탯 72종'!J61-X1350-AF1350,0))</x:f>
        <x:v>2</x:v>
      </x:c>
      <x:c r="Q1350" s="2" t="n">
        <x:f>MAX(0,ROUND('기준스탯 72종'!K61-Y1350-AG1350,0))</x:f>
        <x:v>1</x:v>
      </x:c>
      <x:c r="R1350" s="15" t="n">
        <x:f>'기준스탯 72종'!D61*G1350</x:f>
        <x:v>2.5199999999999996</x:v>
      </x:c>
      <x:c r="S1350" s="15" t="n">
        <x:f>'기준스탯 72종'!E61*G1350</x:f>
        <x:v>1.6799999999999997</x:v>
      </x:c>
      <x:c r="T1350" s="15" t="n">
        <x:f>'기준스탯 72종'!F61*G1350</x:f>
        <x:v>1.9599999999999997</x:v>
      </x:c>
      <x:c r="U1350" s="15" t="n">
        <x:f>'기준스탯 72종'!G61*G1350</x:f>
        <x:v>2.5199999999999996</x:v>
      </x:c>
      <x:c r="V1350" s="15" t="n">
        <x:f>'기준스탯 72종'!H61*G1350</x:f>
        <x:v>1.6799999999999997</x:v>
      </x:c>
      <x:c r="W1350" s="15" t="n">
        <x:f>'기준스탯 72종'!I61*G1350</x:f>
        <x:v>1.6799999999999997</x:v>
      </x:c>
      <x:c r="X1350" s="15" t="n">
        <x:f>'기준스탯 72종'!J61*G1350</x:f>
        <x:v>0.8399999999999999</x:v>
      </x:c>
      <x:c r="Y1350" s="15" t="n">
        <x:f>'기준스탯 72종'!K61*G1350</x:f>
        <x:v>0.27999999999999997</x:v>
      </x:c>
      <x:c r="Z1350" s="15" t="n">
        <x:f>'기준스탯 72종'!D61*H1350</x:f>
        <x:v>0.5400000000000001</x:v>
      </x:c>
      <x:c r="AA1350" s="15" t="n">
        <x:f>'기준스탯 72종'!E61*H1350</x:f>
        <x:v>0.3600000000000001</x:v>
      </x:c>
      <x:c r="AB1350" s="15" t="n">
        <x:f>'기준스탯 72종'!F61*H1350</x:f>
        <x:v>0.4200000000000001</x:v>
      </x:c>
      <x:c r="AC1350" s="15" t="n">
        <x:f>'기준스탯 72종'!G61*H1350</x:f>
        <x:v>0.5400000000000001</x:v>
      </x:c>
      <x:c r="AD1350" s="15" t="n">
        <x:f>'기준스탯 72종'!H61*H1350</x:f>
        <x:v>0.3600000000000001</x:v>
      </x:c>
      <x:c r="AE1350" s="15" t="n">
        <x:f>'기준스탯 72종'!I61*H1350</x:f>
        <x:v>0.3600000000000001</x:v>
      </x:c>
      <x:c r="AF1350" s="15" t="n">
        <x:f>'기준스탯 72종'!J61*H1350</x:f>
        <x:v>0.18000000000000005</x:v>
      </x:c>
      <x:c r="AG1350" s="15" t="n">
        <x:f>'기준스탯 72종'!K61*H1350</x:f>
        <x:v>0.06000000000000001</x:v>
      </x:c>
    </x:row>
    <x:row r="1351" ht="28" customHeight="1">
      <x:c r="A1351" s="2" t="n">
        <x:v>1344</x:v>
      </x:c>
      <x:c r="B1351" s="2" t="n">
        <x:v>54</x:v>
      </x:c>
      <x:c r="C1351" s="2" t="str">
        <x:v>사수자리</x:v>
      </x:c>
      <x:c r="D1351" s="2" t="str">
        <x:v>전사</x:v>
      </x:c>
      <x:c r="E1351" s="2" t="n">
        <x:v>4</x:v>
      </x:c>
      <x:c r="F1351" s="2" t="n">
        <x:v>4</x:v>
      </x:c>
      <x:c r="G1351" s="14" t="n">
        <x:f>('레벨 계산식'!$E$4-E1351)*'레벨 계산식'!$B$5</x:f>
        <x:v>0.13999999999999999</x:v>
      </x:c>
      <x:c r="H1351" s="14" t="n">
        <x:f>('등급 계산식'!$E$4-F1351)*'등급 계산식'!$B$5</x:f>
        <x:v>0.06000000000000001</x:v>
      </x:c>
      <x:c r="I1351" s="14" t="n">
        <x:f>1-G1351-H1351</x:f>
        <x:v>0.7999999999999999</x:v>
      </x:c>
      <x:c r="J1351" s="2" t="n">
        <x:f>MAX(1,ROUND('기준스탯 72종'!D61-R1351-Z1351,0))</x:f>
        <x:v>7</x:v>
      </x:c>
      <x:c r="K1351" s="2" t="n">
        <x:f>MAX(1,ROUND('기준스탯 72종'!E61-S1351-AA1351,0))</x:f>
        <x:v>5</x:v>
      </x:c>
      <x:c r="L1351" s="2" t="n">
        <x:f>MAX(1,ROUND('기준스탯 72종'!F61-T1351-AB1351,0))</x:f>
        <x:v>6</x:v>
      </x:c>
      <x:c r="M1351" s="2" t="n">
        <x:f>MAX(1,ROUND('기준스탯 72종'!G61-U1351-AC1351,0))</x:f>
        <x:v>7</x:v>
      </x:c>
      <x:c r="N1351" s="2" t="n">
        <x:f>MAX(0,ROUND('기준스탯 72종'!H61-V1351-AD1351,0))</x:f>
        <x:v>5</x:v>
      </x:c>
      <x:c r="O1351" s="2" t="n">
        <x:f>MAX(0,ROUND('기준스탯 72종'!I61-W1351-AE1351,0))</x:f>
        <x:v>5</x:v>
      </x:c>
      <x:c r="P1351" s="2" t="n">
        <x:f>MAX(0,ROUND('기준스탯 72종'!J61-X1351-AF1351,0))</x:f>
        <x:v>2</x:v>
      </x:c>
      <x:c r="Q1351" s="2" t="n">
        <x:f>MAX(0,ROUND('기준스탯 72종'!K61-Y1351-AG1351,0))</x:f>
        <x:v>1</x:v>
      </x:c>
      <x:c r="R1351" s="15" t="n">
        <x:f>'기준스탯 72종'!D61*G1351</x:f>
        <x:v>1.2599999999999998</x:v>
      </x:c>
      <x:c r="S1351" s="15" t="n">
        <x:f>'기준스탯 72종'!E61*G1351</x:f>
        <x:v>0.8399999999999999</x:v>
      </x:c>
      <x:c r="T1351" s="15" t="n">
        <x:f>'기준스탯 72종'!F61*G1351</x:f>
        <x:v>0.9799999999999999</x:v>
      </x:c>
      <x:c r="U1351" s="15" t="n">
        <x:f>'기준스탯 72종'!G61*G1351</x:f>
        <x:v>1.2599999999999998</x:v>
      </x:c>
      <x:c r="V1351" s="15" t="n">
        <x:f>'기준스탯 72종'!H61*G1351</x:f>
        <x:v>0.8399999999999999</x:v>
      </x:c>
      <x:c r="W1351" s="15" t="n">
        <x:f>'기준스탯 72종'!I61*G1351</x:f>
        <x:v>0.8399999999999999</x:v>
      </x:c>
      <x:c r="X1351" s="15" t="n">
        <x:f>'기준스탯 72종'!J61*G1351</x:f>
        <x:v>0.41999999999999993</x:v>
      </x:c>
      <x:c r="Y1351" s="15" t="n">
        <x:f>'기준스탯 72종'!K61*G1351</x:f>
        <x:v>0.13999999999999999</x:v>
      </x:c>
      <x:c r="Z1351" s="15" t="n">
        <x:f>'기준스탯 72종'!D61*H1351</x:f>
        <x:v>0.5400000000000001</x:v>
      </x:c>
      <x:c r="AA1351" s="15" t="n">
        <x:f>'기준스탯 72종'!E61*H1351</x:f>
        <x:v>0.3600000000000001</x:v>
      </x:c>
      <x:c r="AB1351" s="15" t="n">
        <x:f>'기준스탯 72종'!F61*H1351</x:f>
        <x:v>0.4200000000000001</x:v>
      </x:c>
      <x:c r="AC1351" s="15" t="n">
        <x:f>'기준스탯 72종'!G61*H1351</x:f>
        <x:v>0.5400000000000001</x:v>
      </x:c>
      <x:c r="AD1351" s="15" t="n">
        <x:f>'기준스탯 72종'!H61*H1351</x:f>
        <x:v>0.3600000000000001</x:v>
      </x:c>
      <x:c r="AE1351" s="15" t="n">
        <x:f>'기준스탯 72종'!I61*H1351</x:f>
        <x:v>0.3600000000000001</x:v>
      </x:c>
      <x:c r="AF1351" s="15" t="n">
        <x:f>'기준스탯 72종'!J61*H1351</x:f>
        <x:v>0.18000000000000005</x:v>
      </x:c>
      <x:c r="AG1351" s="15" t="n">
        <x:f>'기준스탯 72종'!K61*H1351</x:f>
        <x:v>0.06000000000000001</x:v>
      </x:c>
    </x:row>
    <x:row r="1352" ht="28" customHeight="1">
      <x:c r="A1352" s="2" t="n">
        <x:v>1345</x:v>
      </x:c>
      <x:c r="B1352" s="2" t="n">
        <x:v>54</x:v>
      </x:c>
      <x:c r="C1352" s="2" t="str">
        <x:v>사수자리</x:v>
      </x:c>
      <x:c r="D1352" s="2" t="str">
        <x:v>전사</x:v>
      </x:c>
      <x:c r="E1352" s="2" t="n">
        <x:v>5</x:v>
      </x:c>
      <x:c r="F1352" s="2" t="n">
        <x:v>4</x:v>
      </x:c>
      <x:c r="G1352" s="14" t="n">
        <x:f>('레벨 계산식'!$E$4-E1352)*'레벨 계산식'!$B$5</x:f>
        <x:v>0</x:v>
      </x:c>
      <x:c r="H1352" s="14" t="n">
        <x:f>('등급 계산식'!$E$4-F1352)*'등급 계산식'!$B$5</x:f>
        <x:v>0.06000000000000001</x:v>
      </x:c>
      <x:c r="I1352" s="14" t="n">
        <x:f>1-G1352-H1352</x:f>
        <x:v>0.94</x:v>
      </x:c>
      <x:c r="J1352" s="2" t="n">
        <x:f>MAX(1,ROUND('기준스탯 72종'!D61-R1352-Z1352,0))</x:f>
        <x:v>8</x:v>
      </x:c>
      <x:c r="K1352" s="2" t="n">
        <x:f>MAX(1,ROUND('기준스탯 72종'!E61-S1352-AA1352,0))</x:f>
        <x:v>6</x:v>
      </x:c>
      <x:c r="L1352" s="2" t="n">
        <x:f>MAX(1,ROUND('기준스탯 72종'!F61-T1352-AB1352,0))</x:f>
        <x:v>7</x:v>
      </x:c>
      <x:c r="M1352" s="2" t="n">
        <x:f>MAX(1,ROUND('기준스탯 72종'!G61-U1352-AC1352,0))</x:f>
        <x:v>8</x:v>
      </x:c>
      <x:c r="N1352" s="2" t="n">
        <x:f>MAX(0,ROUND('기준스탯 72종'!H61-V1352-AD1352,0))</x:f>
        <x:v>6</x:v>
      </x:c>
      <x:c r="O1352" s="2" t="n">
        <x:f>MAX(0,ROUND('기준스탯 72종'!I61-W1352-AE1352,0))</x:f>
        <x:v>6</x:v>
      </x:c>
      <x:c r="P1352" s="2" t="n">
        <x:f>MAX(0,ROUND('기준스탯 72종'!J61-X1352-AF1352,0))</x:f>
        <x:v>3</x:v>
      </x:c>
      <x:c r="Q1352" s="2" t="n">
        <x:f>MAX(0,ROUND('기준스탯 72종'!K61-Y1352-AG1352,0))</x:f>
        <x:v>1</x:v>
      </x:c>
      <x:c r="R1352" s="15" t="n">
        <x:f>'기준스탯 72종'!D61*G1352</x:f>
        <x:v>0</x:v>
      </x:c>
      <x:c r="S1352" s="15" t="n">
        <x:f>'기준스탯 72종'!E61*G1352</x:f>
        <x:v>0</x:v>
      </x:c>
      <x:c r="T1352" s="15" t="n">
        <x:f>'기준스탯 72종'!F61*G1352</x:f>
        <x:v>0</x:v>
      </x:c>
      <x:c r="U1352" s="15" t="n">
        <x:f>'기준스탯 72종'!G61*G1352</x:f>
        <x:v>0</x:v>
      </x:c>
      <x:c r="V1352" s="15" t="n">
        <x:f>'기준스탯 72종'!H61*G1352</x:f>
        <x:v>0</x:v>
      </x:c>
      <x:c r="W1352" s="15" t="n">
        <x:f>'기준스탯 72종'!I61*G1352</x:f>
        <x:v>0</x:v>
      </x:c>
      <x:c r="X1352" s="15" t="n">
        <x:f>'기준스탯 72종'!J61*G1352</x:f>
        <x:v>0</x:v>
      </x:c>
      <x:c r="Y1352" s="15" t="n">
        <x:f>'기준스탯 72종'!K61*G1352</x:f>
        <x:v>0</x:v>
      </x:c>
      <x:c r="Z1352" s="15" t="n">
        <x:f>'기준스탯 72종'!D61*H1352</x:f>
        <x:v>0.5400000000000001</x:v>
      </x:c>
      <x:c r="AA1352" s="15" t="n">
        <x:f>'기준스탯 72종'!E61*H1352</x:f>
        <x:v>0.3600000000000001</x:v>
      </x:c>
      <x:c r="AB1352" s="15" t="n">
        <x:f>'기준스탯 72종'!F61*H1352</x:f>
        <x:v>0.4200000000000001</x:v>
      </x:c>
      <x:c r="AC1352" s="15" t="n">
        <x:f>'기준스탯 72종'!G61*H1352</x:f>
        <x:v>0.5400000000000001</x:v>
      </x:c>
      <x:c r="AD1352" s="15" t="n">
        <x:f>'기준스탯 72종'!H61*H1352</x:f>
        <x:v>0.3600000000000001</x:v>
      </x:c>
      <x:c r="AE1352" s="15" t="n">
        <x:f>'기준스탯 72종'!I61*H1352</x:f>
        <x:v>0.3600000000000001</x:v>
      </x:c>
      <x:c r="AF1352" s="15" t="n">
        <x:f>'기준스탯 72종'!J61*H1352</x:f>
        <x:v>0.18000000000000005</x:v>
      </x:c>
      <x:c r="AG1352" s="15" t="n">
        <x:f>'기준스탯 72종'!K61*H1352</x:f>
        <x:v>0.06000000000000001</x:v>
      </x:c>
    </x:row>
    <x:row r="1353" ht="28" customHeight="1">
      <x:c r="A1353" s="2" t="n">
        <x:v>1346</x:v>
      </x:c>
      <x:c r="B1353" s="2" t="n">
        <x:v>54</x:v>
      </x:c>
      <x:c r="C1353" s="2" t="str">
        <x:v>사수자리</x:v>
      </x:c>
      <x:c r="D1353" s="2" t="str">
        <x:v>전사</x:v>
      </x:c>
      <x:c r="E1353" s="2" t="n">
        <x:v>1</x:v>
      </x:c>
      <x:c r="F1353" s="2" t="n">
        <x:v>5</x:v>
      </x:c>
      <x:c r="G1353" s="14" t="n">
        <x:f>('레벨 계산식'!$E$4-E1353)*'레벨 계산식'!$B$5</x:f>
        <x:v>0.5599999999999999</x:v>
      </x:c>
      <x:c r="H1353" s="14" t="n">
        <x:f>('등급 계산식'!$E$4-F1353)*'등급 계산식'!$B$5</x:f>
        <x:v>0</x:v>
      </x:c>
      <x:c r="I1353" s="14" t="n">
        <x:f>1-G1353-H1353</x:f>
        <x:v>0.44000000000000006</x:v>
      </x:c>
      <x:c r="J1353" s="2" t="n">
        <x:f>MAX(1,ROUND('기준스탯 72종'!D61-R1353-Z1353,0))</x:f>
        <x:v>4</x:v>
      </x:c>
      <x:c r="K1353" s="2" t="n">
        <x:f>MAX(1,ROUND('기준스탯 72종'!E61-S1353-AA1353,0))</x:f>
        <x:v>3</x:v>
      </x:c>
      <x:c r="L1353" s="2" t="n">
        <x:f>MAX(1,ROUND('기준스탯 72종'!F61-T1353-AB1353,0))</x:f>
        <x:v>3</x:v>
      </x:c>
      <x:c r="M1353" s="2" t="n">
        <x:f>MAX(1,ROUND('기준스탯 72종'!G61-U1353-AC1353,0))</x:f>
        <x:v>4</x:v>
      </x:c>
      <x:c r="N1353" s="2" t="n">
        <x:f>MAX(0,ROUND('기준스탯 72종'!H61-V1353-AD1353,0))</x:f>
        <x:v>3</x:v>
      </x:c>
      <x:c r="O1353" s="2" t="n">
        <x:f>MAX(0,ROUND('기준스탯 72종'!I61-W1353-AE1353,0))</x:f>
        <x:v>3</x:v>
      </x:c>
      <x:c r="P1353" s="2" t="n">
        <x:f>MAX(0,ROUND('기준스탯 72종'!J61-X1353-AF1353,0))</x:f>
        <x:v>1</x:v>
      </x:c>
      <x:c r="Q1353" s="2" t="n">
        <x:f>MAX(0,ROUND('기준스탯 72종'!K61-Y1353-AG1353,0))</x:f>
        <x:v>0</x:v>
      </x:c>
      <x:c r="R1353" s="15" t="n">
        <x:f>'기준스탯 72종'!D61*G1353</x:f>
        <x:v>5.039999999999999</x:v>
      </x:c>
      <x:c r="S1353" s="15" t="n">
        <x:f>'기준스탯 72종'!E61*G1353</x:f>
        <x:v>3.3599999999999994</x:v>
      </x:c>
      <x:c r="T1353" s="15" t="n">
        <x:f>'기준스탯 72종'!F61*G1353</x:f>
        <x:v>3.9199999999999995</x:v>
      </x:c>
      <x:c r="U1353" s="15" t="n">
        <x:f>'기준스탯 72종'!G61*G1353</x:f>
        <x:v>5.039999999999999</x:v>
      </x:c>
      <x:c r="V1353" s="15" t="n">
        <x:f>'기준스탯 72종'!H61*G1353</x:f>
        <x:v>3.3599999999999994</x:v>
      </x:c>
      <x:c r="W1353" s="15" t="n">
        <x:f>'기준스탯 72종'!I61*G1353</x:f>
        <x:v>3.3599999999999994</x:v>
      </x:c>
      <x:c r="X1353" s="15" t="n">
        <x:f>'기준스탯 72종'!J61*G1353</x:f>
        <x:v>1.6799999999999997</x:v>
      </x:c>
      <x:c r="Y1353" s="15" t="n">
        <x:f>'기준스탯 72종'!K61*G1353</x:f>
        <x:v>0.5599999999999999</x:v>
      </x:c>
      <x:c r="Z1353" s="15" t="n">
        <x:f>'기준스탯 72종'!D61*H1353</x:f>
        <x:v>0</x:v>
      </x:c>
      <x:c r="AA1353" s="15" t="n">
        <x:f>'기준스탯 72종'!E61*H1353</x:f>
        <x:v>0</x:v>
      </x:c>
      <x:c r="AB1353" s="15" t="n">
        <x:f>'기준스탯 72종'!F61*H1353</x:f>
        <x:v>0</x:v>
      </x:c>
      <x:c r="AC1353" s="15" t="n">
        <x:f>'기준스탯 72종'!G61*H1353</x:f>
        <x:v>0</x:v>
      </x:c>
      <x:c r="AD1353" s="15" t="n">
        <x:f>'기준스탯 72종'!H61*H1353</x:f>
        <x:v>0</x:v>
      </x:c>
      <x:c r="AE1353" s="15" t="n">
        <x:f>'기준스탯 72종'!I61*H1353</x:f>
        <x:v>0</x:v>
      </x:c>
      <x:c r="AF1353" s="15" t="n">
        <x:f>'기준스탯 72종'!J61*H1353</x:f>
        <x:v>0</x:v>
      </x:c>
      <x:c r="AG1353" s="15" t="n">
        <x:f>'기준스탯 72종'!K61*H1353</x:f>
        <x:v>0</x:v>
      </x:c>
    </x:row>
    <x:row r="1354" ht="28" customHeight="1">
      <x:c r="A1354" s="2" t="n">
        <x:v>1347</x:v>
      </x:c>
      <x:c r="B1354" s="2" t="n">
        <x:v>54</x:v>
      </x:c>
      <x:c r="C1354" s="2" t="str">
        <x:v>사수자리</x:v>
      </x:c>
      <x:c r="D1354" s="2" t="str">
        <x:v>전사</x:v>
      </x:c>
      <x:c r="E1354" s="2" t="n">
        <x:v>2</x:v>
      </x:c>
      <x:c r="F1354" s="2" t="n">
        <x:v>5</x:v>
      </x:c>
      <x:c r="G1354" s="14" t="n">
        <x:f>('레벨 계산식'!$E$4-E1354)*'레벨 계산식'!$B$5</x:f>
        <x:v>0.41999999999999993</x:v>
      </x:c>
      <x:c r="H1354" s="14" t="n">
        <x:f>('등급 계산식'!$E$4-F1354)*'등급 계산식'!$B$5</x:f>
        <x:v>0</x:v>
      </x:c>
      <x:c r="I1354" s="14" t="n">
        <x:f>1-G1354-H1354</x:f>
        <x:v>0.5800000000000001</x:v>
      </x:c>
      <x:c r="J1354" s="2" t="n">
        <x:f>MAX(1,ROUND('기준스탯 72종'!D61-R1354-Z1354,0))</x:f>
        <x:v>5</x:v>
      </x:c>
      <x:c r="K1354" s="2" t="n">
        <x:f>MAX(1,ROUND('기준스탯 72종'!E61-S1354-AA1354,0))</x:f>
        <x:v>3</x:v>
      </x:c>
      <x:c r="L1354" s="2" t="n">
        <x:f>MAX(1,ROUND('기준스탯 72종'!F61-T1354-AB1354,0))</x:f>
        <x:v>4</x:v>
      </x:c>
      <x:c r="M1354" s="2" t="n">
        <x:f>MAX(1,ROUND('기준스탯 72종'!G61-U1354-AC1354,0))</x:f>
        <x:v>5</x:v>
      </x:c>
      <x:c r="N1354" s="2" t="n">
        <x:f>MAX(0,ROUND('기준스탯 72종'!H61-V1354-AD1354,0))</x:f>
        <x:v>3</x:v>
      </x:c>
      <x:c r="O1354" s="2" t="n">
        <x:f>MAX(0,ROUND('기준스탯 72종'!I61-W1354-AE1354,0))</x:f>
        <x:v>3</x:v>
      </x:c>
      <x:c r="P1354" s="2" t="n">
        <x:f>MAX(0,ROUND('기준스탯 72종'!J61-X1354-AF1354,0))</x:f>
        <x:v>2</x:v>
      </x:c>
      <x:c r="Q1354" s="2" t="n">
        <x:f>MAX(0,ROUND('기준스탯 72종'!K61-Y1354-AG1354,0))</x:f>
        <x:v>1</x:v>
      </x:c>
      <x:c r="R1354" s="15" t="n">
        <x:f>'기준스탯 72종'!D61*G1354</x:f>
        <x:v>3.7799999999999994</x:v>
      </x:c>
      <x:c r="S1354" s="15" t="n">
        <x:f>'기준스탯 72종'!E61*G1354</x:f>
        <x:v>2.5199999999999996</x:v>
      </x:c>
      <x:c r="T1354" s="15" t="n">
        <x:f>'기준스탯 72종'!F61*G1354</x:f>
        <x:v>2.9399999999999995</x:v>
      </x:c>
      <x:c r="U1354" s="15" t="n">
        <x:f>'기준스탯 72종'!G61*G1354</x:f>
        <x:v>3.7799999999999994</x:v>
      </x:c>
      <x:c r="V1354" s="15" t="n">
        <x:f>'기준스탯 72종'!H61*G1354</x:f>
        <x:v>2.5199999999999996</x:v>
      </x:c>
      <x:c r="W1354" s="15" t="n">
        <x:f>'기준스탯 72종'!I61*G1354</x:f>
        <x:v>2.5199999999999996</x:v>
      </x:c>
      <x:c r="X1354" s="15" t="n">
        <x:f>'기준스탯 72종'!J61*G1354</x:f>
        <x:v>1.2599999999999998</x:v>
      </x:c>
      <x:c r="Y1354" s="15" t="n">
        <x:f>'기준스탯 72종'!K61*G1354</x:f>
        <x:v>0.41999999999999993</x:v>
      </x:c>
      <x:c r="Z1354" s="15" t="n">
        <x:f>'기준스탯 72종'!D61*H1354</x:f>
        <x:v>0</x:v>
      </x:c>
      <x:c r="AA1354" s="15" t="n">
        <x:f>'기준스탯 72종'!E61*H1354</x:f>
        <x:v>0</x:v>
      </x:c>
      <x:c r="AB1354" s="15" t="n">
        <x:f>'기준스탯 72종'!F61*H1354</x:f>
        <x:v>0</x:v>
      </x:c>
      <x:c r="AC1354" s="15" t="n">
        <x:f>'기준스탯 72종'!G61*H1354</x:f>
        <x:v>0</x:v>
      </x:c>
      <x:c r="AD1354" s="15" t="n">
        <x:f>'기준스탯 72종'!H61*H1354</x:f>
        <x:v>0</x:v>
      </x:c>
      <x:c r="AE1354" s="15" t="n">
        <x:f>'기준스탯 72종'!I61*H1354</x:f>
        <x:v>0</x:v>
      </x:c>
      <x:c r="AF1354" s="15" t="n">
        <x:f>'기준스탯 72종'!J61*H1354</x:f>
        <x:v>0</x:v>
      </x:c>
      <x:c r="AG1354" s="15" t="n">
        <x:f>'기준스탯 72종'!K61*H1354</x:f>
        <x:v>0</x:v>
      </x:c>
    </x:row>
    <x:row r="1355" ht="28" customHeight="1">
      <x:c r="A1355" s="2" t="n">
        <x:v>1348</x:v>
      </x:c>
      <x:c r="B1355" s="2" t="n">
        <x:v>54</x:v>
      </x:c>
      <x:c r="C1355" s="2" t="str">
        <x:v>사수자리</x:v>
      </x:c>
      <x:c r="D1355" s="2" t="str">
        <x:v>전사</x:v>
      </x:c>
      <x:c r="E1355" s="2" t="n">
        <x:v>3</x:v>
      </x:c>
      <x:c r="F1355" s="2" t="n">
        <x:v>5</x:v>
      </x:c>
      <x:c r="G1355" s="14" t="n">
        <x:f>('레벨 계산식'!$E$4-E1355)*'레벨 계산식'!$B$5</x:f>
        <x:v>0.27999999999999997</x:v>
      </x:c>
      <x:c r="H1355" s="14" t="n">
        <x:f>('등급 계산식'!$E$4-F1355)*'등급 계산식'!$B$5</x:f>
        <x:v>0</x:v>
      </x:c>
      <x:c r="I1355" s="14" t="n">
        <x:f>1-G1355-H1355</x:f>
        <x:v>0.72</x:v>
      </x:c>
      <x:c r="J1355" s="2" t="n">
        <x:f>MAX(1,ROUND('기준스탯 72종'!D61-R1355-Z1355,0))</x:f>
        <x:v>6</x:v>
      </x:c>
      <x:c r="K1355" s="2" t="n">
        <x:f>MAX(1,ROUND('기준스탯 72종'!E61-S1355-AA1355,0))</x:f>
        <x:v>4</x:v>
      </x:c>
      <x:c r="L1355" s="2" t="n">
        <x:f>MAX(1,ROUND('기준스탯 72종'!F61-T1355-AB1355,0))</x:f>
        <x:v>5</x:v>
      </x:c>
      <x:c r="M1355" s="2" t="n">
        <x:f>MAX(1,ROUND('기준스탯 72종'!G61-U1355-AC1355,0))</x:f>
        <x:v>6</x:v>
      </x:c>
      <x:c r="N1355" s="2" t="n">
        <x:f>MAX(0,ROUND('기준스탯 72종'!H61-V1355-AD1355,0))</x:f>
        <x:v>4</x:v>
      </x:c>
      <x:c r="O1355" s="2" t="n">
        <x:f>MAX(0,ROUND('기준스탯 72종'!I61-W1355-AE1355,0))</x:f>
        <x:v>4</x:v>
      </x:c>
      <x:c r="P1355" s="2" t="n">
        <x:f>MAX(0,ROUND('기준스탯 72종'!J61-X1355-AF1355,0))</x:f>
        <x:v>2</x:v>
      </x:c>
      <x:c r="Q1355" s="2" t="n">
        <x:f>MAX(0,ROUND('기준스탯 72종'!K61-Y1355-AG1355,0))</x:f>
        <x:v>1</x:v>
      </x:c>
      <x:c r="R1355" s="15" t="n">
        <x:f>'기준스탯 72종'!D61*G1355</x:f>
        <x:v>2.5199999999999996</x:v>
      </x:c>
      <x:c r="S1355" s="15" t="n">
        <x:f>'기준스탯 72종'!E61*G1355</x:f>
        <x:v>1.6799999999999997</x:v>
      </x:c>
      <x:c r="T1355" s="15" t="n">
        <x:f>'기준스탯 72종'!F61*G1355</x:f>
        <x:v>1.9599999999999997</x:v>
      </x:c>
      <x:c r="U1355" s="15" t="n">
        <x:f>'기준스탯 72종'!G61*G1355</x:f>
        <x:v>2.5199999999999996</x:v>
      </x:c>
      <x:c r="V1355" s="15" t="n">
        <x:f>'기준스탯 72종'!H61*G1355</x:f>
        <x:v>1.6799999999999997</x:v>
      </x:c>
      <x:c r="W1355" s="15" t="n">
        <x:f>'기준스탯 72종'!I61*G1355</x:f>
        <x:v>1.6799999999999997</x:v>
      </x:c>
      <x:c r="X1355" s="15" t="n">
        <x:f>'기준스탯 72종'!J61*G1355</x:f>
        <x:v>0.8399999999999999</x:v>
      </x:c>
      <x:c r="Y1355" s="15" t="n">
        <x:f>'기준스탯 72종'!K61*G1355</x:f>
        <x:v>0.27999999999999997</x:v>
      </x:c>
      <x:c r="Z1355" s="15" t="n">
        <x:f>'기준스탯 72종'!D61*H1355</x:f>
        <x:v>0</x:v>
      </x:c>
      <x:c r="AA1355" s="15" t="n">
        <x:f>'기준스탯 72종'!E61*H1355</x:f>
        <x:v>0</x:v>
      </x:c>
      <x:c r="AB1355" s="15" t="n">
        <x:f>'기준스탯 72종'!F61*H1355</x:f>
        <x:v>0</x:v>
      </x:c>
      <x:c r="AC1355" s="15" t="n">
        <x:f>'기준스탯 72종'!G61*H1355</x:f>
        <x:v>0</x:v>
      </x:c>
      <x:c r="AD1355" s="15" t="n">
        <x:f>'기준스탯 72종'!H61*H1355</x:f>
        <x:v>0</x:v>
      </x:c>
      <x:c r="AE1355" s="15" t="n">
        <x:f>'기준스탯 72종'!I61*H1355</x:f>
        <x:v>0</x:v>
      </x:c>
      <x:c r="AF1355" s="15" t="n">
        <x:f>'기준스탯 72종'!J61*H1355</x:f>
        <x:v>0</x:v>
      </x:c>
      <x:c r="AG1355" s="15" t="n">
        <x:f>'기준스탯 72종'!K61*H1355</x:f>
        <x:v>0</x:v>
      </x:c>
    </x:row>
    <x:row r="1356" ht="28" customHeight="1">
      <x:c r="A1356" s="2" t="n">
        <x:v>1349</x:v>
      </x:c>
      <x:c r="B1356" s="2" t="n">
        <x:v>54</x:v>
      </x:c>
      <x:c r="C1356" s="2" t="str">
        <x:v>사수자리</x:v>
      </x:c>
      <x:c r="D1356" s="2" t="str">
        <x:v>전사</x:v>
      </x:c>
      <x:c r="E1356" s="2" t="n">
        <x:v>4</x:v>
      </x:c>
      <x:c r="F1356" s="2" t="n">
        <x:v>5</x:v>
      </x:c>
      <x:c r="G1356" s="14" t="n">
        <x:f>('레벨 계산식'!$E$4-E1356)*'레벨 계산식'!$B$5</x:f>
        <x:v>0.13999999999999999</x:v>
      </x:c>
      <x:c r="H1356" s="14" t="n">
        <x:f>('등급 계산식'!$E$4-F1356)*'등급 계산식'!$B$5</x:f>
        <x:v>0</x:v>
      </x:c>
      <x:c r="I1356" s="14" t="n">
        <x:f>1-G1356-H1356</x:f>
        <x:v>0.86</x:v>
      </x:c>
      <x:c r="J1356" s="2" t="n">
        <x:f>MAX(1,ROUND('기준스탯 72종'!D61-R1356-Z1356,0))</x:f>
        <x:v>8</x:v>
      </x:c>
      <x:c r="K1356" s="2" t="n">
        <x:f>MAX(1,ROUND('기준스탯 72종'!E61-S1356-AA1356,0))</x:f>
        <x:v>5</x:v>
      </x:c>
      <x:c r="L1356" s="2" t="n">
        <x:f>MAX(1,ROUND('기준스탯 72종'!F61-T1356-AB1356,0))</x:f>
        <x:v>6</x:v>
      </x:c>
      <x:c r="M1356" s="2" t="n">
        <x:f>MAX(1,ROUND('기준스탯 72종'!G61-U1356-AC1356,0))</x:f>
        <x:v>8</x:v>
      </x:c>
      <x:c r="N1356" s="2" t="n">
        <x:f>MAX(0,ROUND('기준스탯 72종'!H61-V1356-AD1356,0))</x:f>
        <x:v>5</x:v>
      </x:c>
      <x:c r="O1356" s="2" t="n">
        <x:f>MAX(0,ROUND('기준스탯 72종'!I61-W1356-AE1356,0))</x:f>
        <x:v>5</x:v>
      </x:c>
      <x:c r="P1356" s="2" t="n">
        <x:f>MAX(0,ROUND('기준스탯 72종'!J61-X1356-AF1356,0))</x:f>
        <x:v>3</x:v>
      </x:c>
      <x:c r="Q1356" s="2" t="n">
        <x:f>MAX(0,ROUND('기준스탯 72종'!K61-Y1356-AG1356,0))</x:f>
        <x:v>1</x:v>
      </x:c>
      <x:c r="R1356" s="15" t="n">
        <x:f>'기준스탯 72종'!D61*G1356</x:f>
        <x:v>1.2599999999999998</x:v>
      </x:c>
      <x:c r="S1356" s="15" t="n">
        <x:f>'기준스탯 72종'!E61*G1356</x:f>
        <x:v>0.8399999999999999</x:v>
      </x:c>
      <x:c r="T1356" s="15" t="n">
        <x:f>'기준스탯 72종'!F61*G1356</x:f>
        <x:v>0.9799999999999999</x:v>
      </x:c>
      <x:c r="U1356" s="15" t="n">
        <x:f>'기준스탯 72종'!G61*G1356</x:f>
        <x:v>1.2599999999999998</x:v>
      </x:c>
      <x:c r="V1356" s="15" t="n">
        <x:f>'기준스탯 72종'!H61*G1356</x:f>
        <x:v>0.8399999999999999</x:v>
      </x:c>
      <x:c r="W1356" s="15" t="n">
        <x:f>'기준스탯 72종'!I61*G1356</x:f>
        <x:v>0.8399999999999999</x:v>
      </x:c>
      <x:c r="X1356" s="15" t="n">
        <x:f>'기준스탯 72종'!J61*G1356</x:f>
        <x:v>0.41999999999999993</x:v>
      </x:c>
      <x:c r="Y1356" s="15" t="n">
        <x:f>'기준스탯 72종'!K61*G1356</x:f>
        <x:v>0.13999999999999999</x:v>
      </x:c>
      <x:c r="Z1356" s="15" t="n">
        <x:f>'기준스탯 72종'!D61*H1356</x:f>
        <x:v>0</x:v>
      </x:c>
      <x:c r="AA1356" s="15" t="n">
        <x:f>'기준스탯 72종'!E61*H1356</x:f>
        <x:v>0</x:v>
      </x:c>
      <x:c r="AB1356" s="15" t="n">
        <x:f>'기준스탯 72종'!F61*H1356</x:f>
        <x:v>0</x:v>
      </x:c>
      <x:c r="AC1356" s="15" t="n">
        <x:f>'기준스탯 72종'!G61*H1356</x:f>
        <x:v>0</x:v>
      </x:c>
      <x:c r="AD1356" s="15" t="n">
        <x:f>'기준스탯 72종'!H61*H1356</x:f>
        <x:v>0</x:v>
      </x:c>
      <x:c r="AE1356" s="15" t="n">
        <x:f>'기준스탯 72종'!I61*H1356</x:f>
        <x:v>0</x:v>
      </x:c>
      <x:c r="AF1356" s="15" t="n">
        <x:f>'기준스탯 72종'!J61*H1356</x:f>
        <x:v>0</x:v>
      </x:c>
      <x:c r="AG1356" s="15" t="n">
        <x:f>'기준스탯 72종'!K61*H1356</x:f>
        <x:v>0</x:v>
      </x:c>
    </x:row>
    <x:row r="1357" ht="28" customHeight="1">
      <x:c r="A1357" s="2" t="n">
        <x:v>1350</x:v>
      </x:c>
      <x:c r="B1357" s="2" t="n">
        <x:v>54</x:v>
      </x:c>
      <x:c r="C1357" s="2" t="str">
        <x:v>사수자리</x:v>
      </x:c>
      <x:c r="D1357" s="2" t="str">
        <x:v>전사</x:v>
      </x:c>
      <x:c r="E1357" s="2" t="n">
        <x:v>5</x:v>
      </x:c>
      <x:c r="F1357" s="2" t="n">
        <x:v>5</x:v>
      </x:c>
      <x:c r="G1357" s="14" t="n">
        <x:f>('레벨 계산식'!$E$4-E1357)*'레벨 계산식'!$B$5</x:f>
        <x:v>0</x:v>
      </x:c>
      <x:c r="H1357" s="14" t="n">
        <x:f>('등급 계산식'!$E$4-F1357)*'등급 계산식'!$B$5</x:f>
        <x:v>0</x:v>
      </x:c>
      <x:c r="I1357" s="14" t="n">
        <x:f>1-G1357-H1357</x:f>
        <x:v>1</x:v>
      </x:c>
      <x:c r="J1357" s="2" t="n">
        <x:f>MAX(1,ROUND('기준스탯 72종'!D61-R1357-Z1357,0))</x:f>
        <x:v>9</x:v>
      </x:c>
      <x:c r="K1357" s="2" t="n">
        <x:f>MAX(1,ROUND('기준스탯 72종'!E61-S1357-AA1357,0))</x:f>
        <x:v>6</x:v>
      </x:c>
      <x:c r="L1357" s="2" t="n">
        <x:f>MAX(1,ROUND('기준스탯 72종'!F61-T1357-AB1357,0))</x:f>
        <x:v>7</x:v>
      </x:c>
      <x:c r="M1357" s="2" t="n">
        <x:f>MAX(1,ROUND('기준스탯 72종'!G61-U1357-AC1357,0))</x:f>
        <x:v>9</x:v>
      </x:c>
      <x:c r="N1357" s="2" t="n">
        <x:f>MAX(0,ROUND('기준스탯 72종'!H61-V1357-AD1357,0))</x:f>
        <x:v>6</x:v>
      </x:c>
      <x:c r="O1357" s="2" t="n">
        <x:f>MAX(0,ROUND('기준스탯 72종'!I61-W1357-AE1357,0))</x:f>
        <x:v>6</x:v>
      </x:c>
      <x:c r="P1357" s="2" t="n">
        <x:f>MAX(0,ROUND('기준스탯 72종'!J61-X1357-AF1357,0))</x:f>
        <x:v>3</x:v>
      </x:c>
      <x:c r="Q1357" s="2" t="n">
        <x:f>MAX(0,ROUND('기준스탯 72종'!K61-Y1357-AG1357,0))</x:f>
        <x:v>1</x:v>
      </x:c>
      <x:c r="R1357" s="15" t="n">
        <x:f>'기준스탯 72종'!D61*G1357</x:f>
        <x:v>0</x:v>
      </x:c>
      <x:c r="S1357" s="15" t="n">
        <x:f>'기준스탯 72종'!E61*G1357</x:f>
        <x:v>0</x:v>
      </x:c>
      <x:c r="T1357" s="15" t="n">
        <x:f>'기준스탯 72종'!F61*G1357</x:f>
        <x:v>0</x:v>
      </x:c>
      <x:c r="U1357" s="15" t="n">
        <x:f>'기준스탯 72종'!G61*G1357</x:f>
        <x:v>0</x:v>
      </x:c>
      <x:c r="V1357" s="15" t="n">
        <x:f>'기준스탯 72종'!H61*G1357</x:f>
        <x:v>0</x:v>
      </x:c>
      <x:c r="W1357" s="15" t="n">
        <x:f>'기준스탯 72종'!I61*G1357</x:f>
        <x:v>0</x:v>
      </x:c>
      <x:c r="X1357" s="15" t="n">
        <x:f>'기준스탯 72종'!J61*G1357</x:f>
        <x:v>0</x:v>
      </x:c>
      <x:c r="Y1357" s="15" t="n">
        <x:f>'기준스탯 72종'!K61*G1357</x:f>
        <x:v>0</x:v>
      </x:c>
      <x:c r="Z1357" s="15" t="n">
        <x:f>'기준스탯 72종'!D61*H1357</x:f>
        <x:v>0</x:v>
      </x:c>
      <x:c r="AA1357" s="15" t="n">
        <x:f>'기준스탯 72종'!E61*H1357</x:f>
        <x:v>0</x:v>
      </x:c>
      <x:c r="AB1357" s="15" t="n">
        <x:f>'기준스탯 72종'!F61*H1357</x:f>
        <x:v>0</x:v>
      </x:c>
      <x:c r="AC1357" s="15" t="n">
        <x:f>'기준스탯 72종'!G61*H1357</x:f>
        <x:v>0</x:v>
      </x:c>
      <x:c r="AD1357" s="15" t="n">
        <x:f>'기준스탯 72종'!H61*H1357</x:f>
        <x:v>0</x:v>
      </x:c>
      <x:c r="AE1357" s="15" t="n">
        <x:f>'기준스탯 72종'!I61*H1357</x:f>
        <x:v>0</x:v>
      </x:c>
      <x:c r="AF1357" s="15" t="n">
        <x:f>'기준스탯 72종'!J61*H1357</x:f>
        <x:v>0</x:v>
      </x:c>
      <x:c r="AG1357" s="15" t="n">
        <x:f>'기준스탯 72종'!K61*H1357</x:f>
        <x:v>0</x:v>
      </x:c>
    </x:row>
    <x:row r="1358" ht="28" customHeight="1">
      <x:c r="A1358" s="2" t="n">
        <x:v>1351</x:v>
      </x:c>
      <x:c r="B1358" s="2" t="n">
        <x:v>55</x:v>
      </x:c>
      <x:c r="C1358" s="2" t="str">
        <x:v>염소자리</x:v>
      </x:c>
      <x:c r="D1358" s="2" t="str">
        <x:v>기사</x:v>
      </x:c>
      <x:c r="E1358" s="2" t="n">
        <x:v>1</x:v>
      </x:c>
      <x:c r="F1358" s="2" t="n">
        <x:v>1</x:v>
      </x:c>
      <x:c r="G1358" s="14" t="n">
        <x:f>('레벨 계산식'!$E$4-E1358)*'레벨 계산식'!$B$5</x:f>
        <x:v>0.5599999999999999</x:v>
      </x:c>
      <x:c r="H1358" s="14" t="n">
        <x:f>('등급 계산식'!$E$4-F1358)*'등급 계산식'!$B$5</x:f>
        <x:v>0.24000000000000005</x:v>
      </x:c>
      <x:c r="I1358" s="14" t="n">
        <x:f>1-G1358-H1358</x:f>
        <x:v>0.2</x:v>
      </x:c>
      <x:c r="J1358" s="2" t="n">
        <x:f>MAX(1,ROUND('기준스탯 72종'!D62-R1358-Z1358,0))</x:f>
        <x:v>1</x:v>
      </x:c>
      <x:c r="K1358" s="2" t="n">
        <x:f>MAX(1,ROUND('기준스탯 72종'!E62-S1358-AA1358,0))</x:f>
        <x:v>2</x:v>
      </x:c>
      <x:c r="L1358" s="2" t="n">
        <x:f>MAX(1,ROUND('기준스탯 72종'!F62-T1358-AB1358,0))</x:f>
        <x:v>2</x:v>
      </x:c>
      <x:c r="M1358" s="2" t="n">
        <x:f>MAX(1,ROUND('기준스탯 72종'!G62-U1358-AC1358,0))</x:f>
        <x:v>1</x:v>
      </x:c>
      <x:c r="N1358" s="2" t="n">
        <x:f>MAX(0,ROUND('기준스탯 72종'!H62-V1358-AD1358,0))</x:f>
        <x:v>0</x:v>
      </x:c>
      <x:c r="O1358" s="2" t="n">
        <x:f>MAX(0,ROUND('기준스탯 72종'!I62-W1358-AE1358,0))</x:f>
        <x:v>1</x:v>
      </x:c>
      <x:c r="P1358" s="2" t="n">
        <x:f>MAX(0,ROUND('기준스탯 72종'!J62-X1358-AF1358,0))</x:f>
        <x:v>0</x:v>
      </x:c>
      <x:c r="Q1358" s="2" t="n">
        <x:f>MAX(0,ROUND('기준스탯 72종'!K62-Y1358-AG1358,0))</x:f>
        <x:v>2</x:v>
      </x:c>
      <x:c r="R1358" s="15" t="n">
        <x:f>'기준스탯 72종'!D62*G1358</x:f>
        <x:v>3.3599999999999994</x:v>
      </x:c>
      <x:c r="S1358" s="15" t="n">
        <x:f>'기준스탯 72종'!E62*G1358</x:f>
        <x:v>5.039999999999999</x:v>
      </x:c>
      <x:c r="T1358" s="15" t="n">
        <x:f>'기준스탯 72종'!F62*G1358</x:f>
        <x:v>5.6</x:v>
      </x:c>
      <x:c r="U1358" s="15" t="n">
        <x:f>'기준스탯 72종'!G62*G1358</x:f>
        <x:v>2.8</x:v>
      </x:c>
      <x:c r="V1358" s="15" t="n">
        <x:f>'기준스탯 72종'!H62*G1358</x:f>
        <x:v>0.5599999999999999</x:v>
      </x:c>
      <x:c r="W1358" s="15" t="n">
        <x:f>'기준스탯 72종'!I62*G1358</x:f>
        <x:v>2.8</x:v>
      </x:c>
      <x:c r="X1358" s="15" t="n">
        <x:f>'기준스탯 72종'!J62*G1358</x:f>
        <x:v>1.1199999999999999</x:v>
      </x:c>
      <x:c r="Y1358" s="15" t="n">
        <x:f>'기준스탯 72종'!K62*G1358</x:f>
        <x:v>4.4799999999999995</x:v>
      </x:c>
      <x:c r="Z1358" s="15" t="n">
        <x:f>'기준스탯 72종'!D62*H1358</x:f>
        <x:v>1.4400000000000004</x:v>
      </x:c>
      <x:c r="AA1358" s="15" t="n">
        <x:f>'기준스탯 72종'!E62*H1358</x:f>
        <x:v>2.1600000000000006</x:v>
      </x:c>
      <x:c r="AB1358" s="15" t="n">
        <x:f>'기준스탯 72종'!F62*H1358</x:f>
        <x:v>2.4000000000000004</x:v>
      </x:c>
      <x:c r="AC1358" s="15" t="n">
        <x:f>'기준스탯 72종'!G62*H1358</x:f>
        <x:v>1.2000000000000002</x:v>
      </x:c>
      <x:c r="AD1358" s="15" t="n">
        <x:f>'기준스탯 72종'!H62*H1358</x:f>
        <x:v>0.24000000000000005</x:v>
      </x:c>
      <x:c r="AE1358" s="15" t="n">
        <x:f>'기준스탯 72종'!I62*H1358</x:f>
        <x:v>1.2000000000000002</x:v>
      </x:c>
      <x:c r="AF1358" s="15" t="n">
        <x:f>'기준스탯 72종'!J62*H1358</x:f>
        <x:v>0.4800000000000001</x:v>
      </x:c>
      <x:c r="AG1358" s="15" t="n">
        <x:f>'기준스탯 72종'!K62*H1358</x:f>
        <x:v>1.9200000000000004</x:v>
      </x:c>
    </x:row>
    <x:row r="1359" ht="28" customHeight="1">
      <x:c r="A1359" s="2" t="n">
        <x:v>1352</x:v>
      </x:c>
      <x:c r="B1359" s="2" t="n">
        <x:v>55</x:v>
      </x:c>
      <x:c r="C1359" s="2" t="str">
        <x:v>염소자리</x:v>
      </x:c>
      <x:c r="D1359" s="2" t="str">
        <x:v>기사</x:v>
      </x:c>
      <x:c r="E1359" s="2" t="n">
        <x:v>2</x:v>
      </x:c>
      <x:c r="F1359" s="2" t="n">
        <x:v>1</x:v>
      </x:c>
      <x:c r="G1359" s="14" t="n">
        <x:f>('레벨 계산식'!$E$4-E1359)*'레벨 계산식'!$B$5</x:f>
        <x:v>0.41999999999999993</x:v>
      </x:c>
      <x:c r="H1359" s="14" t="n">
        <x:f>('등급 계산식'!$E$4-F1359)*'등급 계산식'!$B$5</x:f>
        <x:v>0.24000000000000005</x:v>
      </x:c>
      <x:c r="I1359" s="14" t="n">
        <x:f>1-G1359-H1359</x:f>
        <x:v>0.34</x:v>
      </x:c>
      <x:c r="J1359" s="2" t="n">
        <x:f>MAX(1,ROUND('기준스탯 72종'!D62-R1359-Z1359,0))</x:f>
        <x:v>2</x:v>
      </x:c>
      <x:c r="K1359" s="2" t="n">
        <x:f>MAX(1,ROUND('기준스탯 72종'!E62-S1359-AA1359,0))</x:f>
        <x:v>3</x:v>
      </x:c>
      <x:c r="L1359" s="2" t="n">
        <x:f>MAX(1,ROUND('기준스탯 72종'!F62-T1359-AB1359,0))</x:f>
        <x:v>3</x:v>
      </x:c>
      <x:c r="M1359" s="2" t="n">
        <x:f>MAX(1,ROUND('기준스탯 72종'!G62-U1359-AC1359,0))</x:f>
        <x:v>2</x:v>
      </x:c>
      <x:c r="N1359" s="2" t="n">
        <x:f>MAX(0,ROUND('기준스탯 72종'!H62-V1359-AD1359,0))</x:f>
        <x:v>0</x:v>
      </x:c>
      <x:c r="O1359" s="2" t="n">
        <x:f>MAX(0,ROUND('기준스탯 72종'!I62-W1359-AE1359,0))</x:f>
        <x:v>2</x:v>
      </x:c>
      <x:c r="P1359" s="2" t="n">
        <x:f>MAX(0,ROUND('기준스탯 72종'!J62-X1359-AF1359,0))</x:f>
        <x:v>1</x:v>
      </x:c>
      <x:c r="Q1359" s="2" t="n">
        <x:f>MAX(0,ROUND('기준스탯 72종'!K62-Y1359-AG1359,0))</x:f>
        <x:v>3</x:v>
      </x:c>
      <x:c r="R1359" s="15" t="n">
        <x:f>'기준스탯 72종'!D62*G1359</x:f>
        <x:v>2.5199999999999996</x:v>
      </x:c>
      <x:c r="S1359" s="15" t="n">
        <x:f>'기준스탯 72종'!E62*G1359</x:f>
        <x:v>3.7799999999999994</x:v>
      </x:c>
      <x:c r="T1359" s="15" t="n">
        <x:f>'기준스탯 72종'!F62*G1359</x:f>
        <x:v>4.199999999999999</x:v>
      </x:c>
      <x:c r="U1359" s="15" t="n">
        <x:f>'기준스탯 72종'!G62*G1359</x:f>
        <x:v>2.0999999999999996</x:v>
      </x:c>
      <x:c r="V1359" s="15" t="n">
        <x:f>'기준스탯 72종'!H62*G1359</x:f>
        <x:v>0.41999999999999993</x:v>
      </x:c>
      <x:c r="W1359" s="15" t="n">
        <x:f>'기준스탯 72종'!I62*G1359</x:f>
        <x:v>2.0999999999999996</x:v>
      </x:c>
      <x:c r="X1359" s="15" t="n">
        <x:f>'기준스탯 72종'!J62*G1359</x:f>
        <x:v>0.8399999999999999</x:v>
      </x:c>
      <x:c r="Y1359" s="15" t="n">
        <x:f>'기준스탯 72종'!K62*G1359</x:f>
        <x:v>3.3599999999999994</x:v>
      </x:c>
      <x:c r="Z1359" s="15" t="n">
        <x:f>'기준스탯 72종'!D62*H1359</x:f>
        <x:v>1.4400000000000004</x:v>
      </x:c>
      <x:c r="AA1359" s="15" t="n">
        <x:f>'기준스탯 72종'!E62*H1359</x:f>
        <x:v>2.1600000000000006</x:v>
      </x:c>
      <x:c r="AB1359" s="15" t="n">
        <x:f>'기준스탯 72종'!F62*H1359</x:f>
        <x:v>2.4000000000000004</x:v>
      </x:c>
      <x:c r="AC1359" s="15" t="n">
        <x:f>'기준스탯 72종'!G62*H1359</x:f>
        <x:v>1.2000000000000002</x:v>
      </x:c>
      <x:c r="AD1359" s="15" t="n">
        <x:f>'기준스탯 72종'!H62*H1359</x:f>
        <x:v>0.24000000000000005</x:v>
      </x:c>
      <x:c r="AE1359" s="15" t="n">
        <x:f>'기준스탯 72종'!I62*H1359</x:f>
        <x:v>1.2000000000000002</x:v>
      </x:c>
      <x:c r="AF1359" s="15" t="n">
        <x:f>'기준스탯 72종'!J62*H1359</x:f>
        <x:v>0.4800000000000001</x:v>
      </x:c>
      <x:c r="AG1359" s="15" t="n">
        <x:f>'기준스탯 72종'!K62*H1359</x:f>
        <x:v>1.9200000000000004</x:v>
      </x:c>
    </x:row>
    <x:row r="1360" ht="28" customHeight="1">
      <x:c r="A1360" s="2" t="n">
        <x:v>1353</x:v>
      </x:c>
      <x:c r="B1360" s="2" t="n">
        <x:v>55</x:v>
      </x:c>
      <x:c r="C1360" s="2" t="str">
        <x:v>염소자리</x:v>
      </x:c>
      <x:c r="D1360" s="2" t="str">
        <x:v>기사</x:v>
      </x:c>
      <x:c r="E1360" s="2" t="n">
        <x:v>3</x:v>
      </x:c>
      <x:c r="F1360" s="2" t="n">
        <x:v>1</x:v>
      </x:c>
      <x:c r="G1360" s="14" t="n">
        <x:f>('레벨 계산식'!$E$4-E1360)*'레벨 계산식'!$B$5</x:f>
        <x:v>0.27999999999999997</x:v>
      </x:c>
      <x:c r="H1360" s="14" t="n">
        <x:f>('등급 계산식'!$E$4-F1360)*'등급 계산식'!$B$5</x:f>
        <x:v>0.24000000000000005</x:v>
      </x:c>
      <x:c r="I1360" s="14" t="n">
        <x:f>1-G1360-H1360</x:f>
        <x:v>0.4799999999999999</x:v>
      </x:c>
      <x:c r="J1360" s="2" t="n">
        <x:f>MAX(1,ROUND('기준스탯 72종'!D62-R1360-Z1360,0))</x:f>
        <x:v>3</x:v>
      </x:c>
      <x:c r="K1360" s="2" t="n">
        <x:f>MAX(1,ROUND('기준스탯 72종'!E62-S1360-AA1360,0))</x:f>
        <x:v>4</x:v>
      </x:c>
      <x:c r="L1360" s="2" t="n">
        <x:f>MAX(1,ROUND('기준스탯 72종'!F62-T1360-AB1360,0))</x:f>
        <x:v>5</x:v>
      </x:c>
      <x:c r="M1360" s="2" t="n">
        <x:f>MAX(1,ROUND('기준스탯 72종'!G62-U1360-AC1360,0))</x:f>
        <x:v>2</x:v>
      </x:c>
      <x:c r="N1360" s="2" t="n">
        <x:f>MAX(0,ROUND('기준스탯 72종'!H62-V1360-AD1360,0))</x:f>
        <x:v>0</x:v>
      </x:c>
      <x:c r="O1360" s="2" t="n">
        <x:f>MAX(0,ROUND('기준스탯 72종'!I62-W1360-AE1360,0))</x:f>
        <x:v>2</x:v>
      </x:c>
      <x:c r="P1360" s="2" t="n">
        <x:f>MAX(0,ROUND('기준스탯 72종'!J62-X1360-AF1360,0))</x:f>
        <x:v>1</x:v>
      </x:c>
      <x:c r="Q1360" s="2" t="n">
        <x:f>MAX(0,ROUND('기준스탯 72종'!K62-Y1360-AG1360,0))</x:f>
        <x:v>4</x:v>
      </x:c>
      <x:c r="R1360" s="15" t="n">
        <x:f>'기준스탯 72종'!D62*G1360</x:f>
        <x:v>1.6799999999999997</x:v>
      </x:c>
      <x:c r="S1360" s="15" t="n">
        <x:f>'기준스탯 72종'!E62*G1360</x:f>
        <x:v>2.5199999999999996</x:v>
      </x:c>
      <x:c r="T1360" s="15" t="n">
        <x:f>'기준스탯 72종'!F62*G1360</x:f>
        <x:v>2.8</x:v>
      </x:c>
      <x:c r="U1360" s="15" t="n">
        <x:f>'기준스탯 72종'!G62*G1360</x:f>
        <x:v>1.4</x:v>
      </x:c>
      <x:c r="V1360" s="15" t="n">
        <x:f>'기준스탯 72종'!H62*G1360</x:f>
        <x:v>0.27999999999999997</x:v>
      </x:c>
      <x:c r="W1360" s="15" t="n">
        <x:f>'기준스탯 72종'!I62*G1360</x:f>
        <x:v>1.4</x:v>
      </x:c>
      <x:c r="X1360" s="15" t="n">
        <x:f>'기준스탯 72종'!J62*G1360</x:f>
        <x:v>0.5599999999999999</x:v>
      </x:c>
      <x:c r="Y1360" s="15" t="n">
        <x:f>'기준스탯 72종'!K62*G1360</x:f>
        <x:v>2.2399999999999998</x:v>
      </x:c>
      <x:c r="Z1360" s="15" t="n">
        <x:f>'기준스탯 72종'!D62*H1360</x:f>
        <x:v>1.4400000000000004</x:v>
      </x:c>
      <x:c r="AA1360" s="15" t="n">
        <x:f>'기준스탯 72종'!E62*H1360</x:f>
        <x:v>2.1600000000000006</x:v>
      </x:c>
      <x:c r="AB1360" s="15" t="n">
        <x:f>'기준스탯 72종'!F62*H1360</x:f>
        <x:v>2.4000000000000004</x:v>
      </x:c>
      <x:c r="AC1360" s="15" t="n">
        <x:f>'기준스탯 72종'!G62*H1360</x:f>
        <x:v>1.2000000000000002</x:v>
      </x:c>
      <x:c r="AD1360" s="15" t="n">
        <x:f>'기준스탯 72종'!H62*H1360</x:f>
        <x:v>0.24000000000000005</x:v>
      </x:c>
      <x:c r="AE1360" s="15" t="n">
        <x:f>'기준스탯 72종'!I62*H1360</x:f>
        <x:v>1.2000000000000002</x:v>
      </x:c>
      <x:c r="AF1360" s="15" t="n">
        <x:f>'기준스탯 72종'!J62*H1360</x:f>
        <x:v>0.4800000000000001</x:v>
      </x:c>
      <x:c r="AG1360" s="15" t="n">
        <x:f>'기준스탯 72종'!K62*H1360</x:f>
        <x:v>1.9200000000000004</x:v>
      </x:c>
    </x:row>
    <x:row r="1361" ht="28" customHeight="1">
      <x:c r="A1361" s="2" t="n">
        <x:v>1354</x:v>
      </x:c>
      <x:c r="B1361" s="2" t="n">
        <x:v>55</x:v>
      </x:c>
      <x:c r="C1361" s="2" t="str">
        <x:v>염소자리</x:v>
      </x:c>
      <x:c r="D1361" s="2" t="str">
        <x:v>기사</x:v>
      </x:c>
      <x:c r="E1361" s="2" t="n">
        <x:v>4</x:v>
      </x:c>
      <x:c r="F1361" s="2" t="n">
        <x:v>1</x:v>
      </x:c>
      <x:c r="G1361" s="14" t="n">
        <x:f>('레벨 계산식'!$E$4-E1361)*'레벨 계산식'!$B$5</x:f>
        <x:v>0.13999999999999999</x:v>
      </x:c>
      <x:c r="H1361" s="14" t="n">
        <x:f>('등급 계산식'!$E$4-F1361)*'등급 계산식'!$B$5</x:f>
        <x:v>0.24000000000000005</x:v>
      </x:c>
      <x:c r="I1361" s="14" t="n">
        <x:f>1-G1361-H1361</x:f>
        <x:v>0.6199999999999999</x:v>
      </x:c>
      <x:c r="J1361" s="2" t="n">
        <x:f>MAX(1,ROUND('기준스탯 72종'!D62-R1361-Z1361,0))</x:f>
        <x:v>4</x:v>
      </x:c>
      <x:c r="K1361" s="2" t="n">
        <x:f>MAX(1,ROUND('기준스탯 72종'!E62-S1361-AA1361,0))</x:f>
        <x:v>6</x:v>
      </x:c>
      <x:c r="L1361" s="2" t="n">
        <x:f>MAX(1,ROUND('기준스탯 72종'!F62-T1361-AB1361,0))</x:f>
        <x:v>6</x:v>
      </x:c>
      <x:c r="M1361" s="2" t="n">
        <x:f>MAX(1,ROUND('기준스탯 72종'!G62-U1361-AC1361,0))</x:f>
        <x:v>3</x:v>
      </x:c>
      <x:c r="N1361" s="2" t="n">
        <x:f>MAX(0,ROUND('기준스탯 72종'!H62-V1361-AD1361,0))</x:f>
        <x:v>1</x:v>
      </x:c>
      <x:c r="O1361" s="2" t="n">
        <x:f>MAX(0,ROUND('기준스탯 72종'!I62-W1361-AE1361,0))</x:f>
        <x:v>3</x:v>
      </x:c>
      <x:c r="P1361" s="2" t="n">
        <x:f>MAX(0,ROUND('기준스탯 72종'!J62-X1361-AF1361,0))</x:f>
        <x:v>1</x:v>
      </x:c>
      <x:c r="Q1361" s="2" t="n">
        <x:f>MAX(0,ROUND('기준스탯 72종'!K62-Y1361-AG1361,0))</x:f>
        <x:v>5</x:v>
      </x:c>
      <x:c r="R1361" s="15" t="n">
        <x:f>'기준스탯 72종'!D62*G1361</x:f>
        <x:v>0.8399999999999999</x:v>
      </x:c>
      <x:c r="S1361" s="15" t="n">
        <x:f>'기준스탯 72종'!E62*G1361</x:f>
        <x:v>1.2599999999999998</x:v>
      </x:c>
      <x:c r="T1361" s="15" t="n">
        <x:f>'기준스탯 72종'!F62*G1361</x:f>
        <x:v>1.4</x:v>
      </x:c>
      <x:c r="U1361" s="15" t="n">
        <x:f>'기준스탯 72종'!G62*G1361</x:f>
        <x:v>0.7</x:v>
      </x:c>
      <x:c r="V1361" s="15" t="n">
        <x:f>'기준스탯 72종'!H62*G1361</x:f>
        <x:v>0.13999999999999999</x:v>
      </x:c>
      <x:c r="W1361" s="15" t="n">
        <x:f>'기준스탯 72종'!I62*G1361</x:f>
        <x:v>0.7</x:v>
      </x:c>
      <x:c r="X1361" s="15" t="n">
        <x:f>'기준스탯 72종'!J62*G1361</x:f>
        <x:v>0.27999999999999997</x:v>
      </x:c>
      <x:c r="Y1361" s="15" t="n">
        <x:f>'기준스탯 72종'!K62*G1361</x:f>
        <x:v>1.1199999999999999</x:v>
      </x:c>
      <x:c r="Z1361" s="15" t="n">
        <x:f>'기준스탯 72종'!D62*H1361</x:f>
        <x:v>1.4400000000000004</x:v>
      </x:c>
      <x:c r="AA1361" s="15" t="n">
        <x:f>'기준스탯 72종'!E62*H1361</x:f>
        <x:v>2.1600000000000006</x:v>
      </x:c>
      <x:c r="AB1361" s="15" t="n">
        <x:f>'기준스탯 72종'!F62*H1361</x:f>
        <x:v>2.4000000000000004</x:v>
      </x:c>
      <x:c r="AC1361" s="15" t="n">
        <x:f>'기준스탯 72종'!G62*H1361</x:f>
        <x:v>1.2000000000000002</x:v>
      </x:c>
      <x:c r="AD1361" s="15" t="n">
        <x:f>'기준스탯 72종'!H62*H1361</x:f>
        <x:v>0.24000000000000005</x:v>
      </x:c>
      <x:c r="AE1361" s="15" t="n">
        <x:f>'기준스탯 72종'!I62*H1361</x:f>
        <x:v>1.2000000000000002</x:v>
      </x:c>
      <x:c r="AF1361" s="15" t="n">
        <x:f>'기준스탯 72종'!J62*H1361</x:f>
        <x:v>0.4800000000000001</x:v>
      </x:c>
      <x:c r="AG1361" s="15" t="n">
        <x:f>'기준스탯 72종'!K62*H1361</x:f>
        <x:v>1.9200000000000004</x:v>
      </x:c>
    </x:row>
    <x:row r="1362" ht="28" customHeight="1">
      <x:c r="A1362" s="2" t="n">
        <x:v>1355</x:v>
      </x:c>
      <x:c r="B1362" s="2" t="n">
        <x:v>55</x:v>
      </x:c>
      <x:c r="C1362" s="2" t="str">
        <x:v>염소자리</x:v>
      </x:c>
      <x:c r="D1362" s="2" t="str">
        <x:v>기사</x:v>
      </x:c>
      <x:c r="E1362" s="2" t="n">
        <x:v>5</x:v>
      </x:c>
      <x:c r="F1362" s="2" t="n">
        <x:v>1</x:v>
      </x:c>
      <x:c r="G1362" s="14" t="n">
        <x:f>('레벨 계산식'!$E$4-E1362)*'레벨 계산식'!$B$5</x:f>
        <x:v>0</x:v>
      </x:c>
      <x:c r="H1362" s="14" t="n">
        <x:f>('등급 계산식'!$E$4-F1362)*'등급 계산식'!$B$5</x:f>
        <x:v>0.24000000000000005</x:v>
      </x:c>
      <x:c r="I1362" s="14" t="n">
        <x:f>1-G1362-H1362</x:f>
        <x:v>0.76</x:v>
      </x:c>
      <x:c r="J1362" s="2" t="n">
        <x:f>MAX(1,ROUND('기준스탯 72종'!D62-R1362-Z1362,0))</x:f>
        <x:v>5</x:v>
      </x:c>
      <x:c r="K1362" s="2" t="n">
        <x:f>MAX(1,ROUND('기준스탯 72종'!E62-S1362-AA1362,0))</x:f>
        <x:v>7</x:v>
      </x:c>
      <x:c r="L1362" s="2" t="n">
        <x:f>MAX(1,ROUND('기준스탯 72종'!F62-T1362-AB1362,0))</x:f>
        <x:v>8</x:v>
      </x:c>
      <x:c r="M1362" s="2" t="n">
        <x:f>MAX(1,ROUND('기준스탯 72종'!G62-U1362-AC1362,0))</x:f>
        <x:v>4</x:v>
      </x:c>
      <x:c r="N1362" s="2" t="n">
        <x:f>MAX(0,ROUND('기준스탯 72종'!H62-V1362-AD1362,0))</x:f>
        <x:v>1</x:v>
      </x:c>
      <x:c r="O1362" s="2" t="n">
        <x:f>MAX(0,ROUND('기준스탯 72종'!I62-W1362-AE1362,0))</x:f>
        <x:v>4</x:v>
      </x:c>
      <x:c r="P1362" s="2" t="n">
        <x:f>MAX(0,ROUND('기준스탯 72종'!J62-X1362-AF1362,0))</x:f>
        <x:v>2</x:v>
      </x:c>
      <x:c r="Q1362" s="2" t="n">
        <x:f>MAX(0,ROUND('기준스탯 72종'!K62-Y1362-AG1362,0))</x:f>
        <x:v>6</x:v>
      </x:c>
      <x:c r="R1362" s="15" t="n">
        <x:f>'기준스탯 72종'!D62*G1362</x:f>
        <x:v>0</x:v>
      </x:c>
      <x:c r="S1362" s="15" t="n">
        <x:f>'기준스탯 72종'!E62*G1362</x:f>
        <x:v>0</x:v>
      </x:c>
      <x:c r="T1362" s="15" t="n">
        <x:f>'기준스탯 72종'!F62*G1362</x:f>
        <x:v>0</x:v>
      </x:c>
      <x:c r="U1362" s="15" t="n">
        <x:f>'기준스탯 72종'!G62*G1362</x:f>
        <x:v>0</x:v>
      </x:c>
      <x:c r="V1362" s="15" t="n">
        <x:f>'기준스탯 72종'!H62*G1362</x:f>
        <x:v>0</x:v>
      </x:c>
      <x:c r="W1362" s="15" t="n">
        <x:f>'기준스탯 72종'!I62*G1362</x:f>
        <x:v>0</x:v>
      </x:c>
      <x:c r="X1362" s="15" t="n">
        <x:f>'기준스탯 72종'!J62*G1362</x:f>
        <x:v>0</x:v>
      </x:c>
      <x:c r="Y1362" s="15" t="n">
        <x:f>'기준스탯 72종'!K62*G1362</x:f>
        <x:v>0</x:v>
      </x:c>
      <x:c r="Z1362" s="15" t="n">
        <x:f>'기준스탯 72종'!D62*H1362</x:f>
        <x:v>1.4400000000000004</x:v>
      </x:c>
      <x:c r="AA1362" s="15" t="n">
        <x:f>'기준스탯 72종'!E62*H1362</x:f>
        <x:v>2.1600000000000006</x:v>
      </x:c>
      <x:c r="AB1362" s="15" t="n">
        <x:f>'기준스탯 72종'!F62*H1362</x:f>
        <x:v>2.4000000000000004</x:v>
      </x:c>
      <x:c r="AC1362" s="15" t="n">
        <x:f>'기준스탯 72종'!G62*H1362</x:f>
        <x:v>1.2000000000000002</x:v>
      </x:c>
      <x:c r="AD1362" s="15" t="n">
        <x:f>'기준스탯 72종'!H62*H1362</x:f>
        <x:v>0.24000000000000005</x:v>
      </x:c>
      <x:c r="AE1362" s="15" t="n">
        <x:f>'기준스탯 72종'!I62*H1362</x:f>
        <x:v>1.2000000000000002</x:v>
      </x:c>
      <x:c r="AF1362" s="15" t="n">
        <x:f>'기준스탯 72종'!J62*H1362</x:f>
        <x:v>0.4800000000000001</x:v>
      </x:c>
      <x:c r="AG1362" s="15" t="n">
        <x:f>'기준스탯 72종'!K62*H1362</x:f>
        <x:v>1.9200000000000004</x:v>
      </x:c>
    </x:row>
    <x:row r="1363" ht="28" customHeight="1">
      <x:c r="A1363" s="2" t="n">
        <x:v>1356</x:v>
      </x:c>
      <x:c r="B1363" s="2" t="n">
        <x:v>55</x:v>
      </x:c>
      <x:c r="C1363" s="2" t="str">
        <x:v>염소자리</x:v>
      </x:c>
      <x:c r="D1363" s="2" t="str">
        <x:v>기사</x:v>
      </x:c>
      <x:c r="E1363" s="2" t="n">
        <x:v>1</x:v>
      </x:c>
      <x:c r="F1363" s="2" t="n">
        <x:v>2</x:v>
      </x:c>
      <x:c r="G1363" s="14" t="n">
        <x:f>('레벨 계산식'!$E$4-E1363)*'레벨 계산식'!$B$5</x:f>
        <x:v>0.5599999999999999</x:v>
      </x:c>
      <x:c r="H1363" s="14" t="n">
        <x:f>('등급 계산식'!$E$4-F1363)*'등급 계산식'!$B$5</x:f>
        <x:v>0.18000000000000005</x:v>
      </x:c>
      <x:c r="I1363" s="14" t="n">
        <x:f>1-G1363-H1363</x:f>
        <x:v>0.26</x:v>
      </x:c>
      <x:c r="J1363" s="2" t="n">
        <x:f>MAX(1,ROUND('기준스탯 72종'!D62-R1363-Z1363,0))</x:f>
        <x:v>2</x:v>
      </x:c>
      <x:c r="K1363" s="2" t="n">
        <x:f>MAX(1,ROUND('기준스탯 72종'!E62-S1363-AA1363,0))</x:f>
        <x:v>2</x:v>
      </x:c>
      <x:c r="L1363" s="2" t="n">
        <x:f>MAX(1,ROUND('기준스탯 72종'!F62-T1363-AB1363,0))</x:f>
        <x:v>3</x:v>
      </x:c>
      <x:c r="M1363" s="2" t="n">
        <x:f>MAX(1,ROUND('기준스탯 72종'!G62-U1363-AC1363,0))</x:f>
        <x:v>1</x:v>
      </x:c>
      <x:c r="N1363" s="2" t="n">
        <x:f>MAX(0,ROUND('기준스탯 72종'!H62-V1363-AD1363,0))</x:f>
        <x:v>0</x:v>
      </x:c>
      <x:c r="O1363" s="2" t="n">
        <x:f>MAX(0,ROUND('기준스탯 72종'!I62-W1363-AE1363,0))</x:f>
        <x:v>1</x:v>
      </x:c>
      <x:c r="P1363" s="2" t="n">
        <x:f>MAX(0,ROUND('기준스탯 72종'!J62-X1363-AF1363,0))</x:f>
        <x:v>1</x:v>
      </x:c>
      <x:c r="Q1363" s="2" t="n">
        <x:f>MAX(0,ROUND('기준스탯 72종'!K62-Y1363-AG1363,0))</x:f>
        <x:v>2</x:v>
      </x:c>
      <x:c r="R1363" s="15" t="n">
        <x:f>'기준스탯 72종'!D62*G1363</x:f>
        <x:v>3.3599999999999994</x:v>
      </x:c>
      <x:c r="S1363" s="15" t="n">
        <x:f>'기준스탯 72종'!E62*G1363</x:f>
        <x:v>5.039999999999999</x:v>
      </x:c>
      <x:c r="T1363" s="15" t="n">
        <x:f>'기준스탯 72종'!F62*G1363</x:f>
        <x:v>5.6</x:v>
      </x:c>
      <x:c r="U1363" s="15" t="n">
        <x:f>'기준스탯 72종'!G62*G1363</x:f>
        <x:v>2.8</x:v>
      </x:c>
      <x:c r="V1363" s="15" t="n">
        <x:f>'기준스탯 72종'!H62*G1363</x:f>
        <x:v>0.5599999999999999</x:v>
      </x:c>
      <x:c r="W1363" s="15" t="n">
        <x:f>'기준스탯 72종'!I62*G1363</x:f>
        <x:v>2.8</x:v>
      </x:c>
      <x:c r="X1363" s="15" t="n">
        <x:f>'기준스탯 72종'!J62*G1363</x:f>
        <x:v>1.1199999999999999</x:v>
      </x:c>
      <x:c r="Y1363" s="15" t="n">
        <x:f>'기준스탯 72종'!K62*G1363</x:f>
        <x:v>4.4799999999999995</x:v>
      </x:c>
      <x:c r="Z1363" s="15" t="n">
        <x:f>'기준스탯 72종'!D62*H1363</x:f>
        <x:v>1.0800000000000003</x:v>
      </x:c>
      <x:c r="AA1363" s="15" t="n">
        <x:f>'기준스탯 72종'!E62*H1363</x:f>
        <x:v>1.6200000000000006</x:v>
      </x:c>
      <x:c r="AB1363" s="15" t="n">
        <x:f>'기준스탯 72종'!F62*H1363</x:f>
        <x:v>1.8000000000000005</x:v>
      </x:c>
      <x:c r="AC1363" s="15" t="n">
        <x:f>'기준스탯 72종'!G62*H1363</x:f>
        <x:v>0.9000000000000002</x:v>
      </x:c>
      <x:c r="AD1363" s="15" t="n">
        <x:f>'기준스탯 72종'!H62*H1363</x:f>
        <x:v>0.18000000000000005</x:v>
      </x:c>
      <x:c r="AE1363" s="15" t="n">
        <x:f>'기준스탯 72종'!I62*H1363</x:f>
        <x:v>0.9000000000000002</x:v>
      </x:c>
      <x:c r="AF1363" s="15" t="n">
        <x:f>'기준스탯 72종'!J62*H1363</x:f>
        <x:v>0.3600000000000001</x:v>
      </x:c>
      <x:c r="AG1363" s="15" t="n">
        <x:f>'기준스탯 72종'!K62*H1363</x:f>
        <x:v>1.4400000000000004</x:v>
      </x:c>
    </x:row>
    <x:row r="1364" ht="28" customHeight="1">
      <x:c r="A1364" s="2" t="n">
        <x:v>1357</x:v>
      </x:c>
      <x:c r="B1364" s="2" t="n">
        <x:v>55</x:v>
      </x:c>
      <x:c r="C1364" s="2" t="str">
        <x:v>염소자리</x:v>
      </x:c>
      <x:c r="D1364" s="2" t="str">
        <x:v>기사</x:v>
      </x:c>
      <x:c r="E1364" s="2" t="n">
        <x:v>2</x:v>
      </x:c>
      <x:c r="F1364" s="2" t="n">
        <x:v>2</x:v>
      </x:c>
      <x:c r="G1364" s="14" t="n">
        <x:f>('레벨 계산식'!$E$4-E1364)*'레벨 계산식'!$B$5</x:f>
        <x:v>0.41999999999999993</x:v>
      </x:c>
      <x:c r="H1364" s="14" t="n">
        <x:f>('등급 계산식'!$E$4-F1364)*'등급 계산식'!$B$5</x:f>
        <x:v>0.18000000000000005</x:v>
      </x:c>
      <x:c r="I1364" s="14" t="n">
        <x:f>1-G1364-H1364</x:f>
        <x:v>0.4</x:v>
      </x:c>
      <x:c r="J1364" s="2" t="n">
        <x:f>MAX(1,ROUND('기준스탯 72종'!D62-R1364-Z1364,0))</x:f>
        <x:v>2</x:v>
      </x:c>
      <x:c r="K1364" s="2" t="n">
        <x:f>MAX(1,ROUND('기준스탯 72종'!E62-S1364-AA1364,0))</x:f>
        <x:v>4</x:v>
      </x:c>
      <x:c r="L1364" s="2" t="n">
        <x:f>MAX(1,ROUND('기준스탯 72종'!F62-T1364-AB1364,0))</x:f>
        <x:v>4</x:v>
      </x:c>
      <x:c r="M1364" s="2" t="n">
        <x:f>MAX(1,ROUND('기준스탯 72종'!G62-U1364-AC1364,0))</x:f>
        <x:v>2</x:v>
      </x:c>
      <x:c r="N1364" s="2" t="n">
        <x:f>MAX(0,ROUND('기준스탯 72종'!H62-V1364-AD1364,0))</x:f>
        <x:v>0</x:v>
      </x:c>
      <x:c r="O1364" s="2" t="n">
        <x:f>MAX(0,ROUND('기준스탯 72종'!I62-W1364-AE1364,0))</x:f>
        <x:v>2</x:v>
      </x:c>
      <x:c r="P1364" s="2" t="n">
        <x:f>MAX(0,ROUND('기준스탯 72종'!J62-X1364-AF1364,0))</x:f>
        <x:v>1</x:v>
      </x:c>
      <x:c r="Q1364" s="2" t="n">
        <x:f>MAX(0,ROUND('기준스탯 72종'!K62-Y1364-AG1364,0))</x:f>
        <x:v>3</x:v>
      </x:c>
      <x:c r="R1364" s="15" t="n">
        <x:f>'기준스탯 72종'!D62*G1364</x:f>
        <x:v>2.5199999999999996</x:v>
      </x:c>
      <x:c r="S1364" s="15" t="n">
        <x:f>'기준스탯 72종'!E62*G1364</x:f>
        <x:v>3.7799999999999994</x:v>
      </x:c>
      <x:c r="T1364" s="15" t="n">
        <x:f>'기준스탯 72종'!F62*G1364</x:f>
        <x:v>4.199999999999999</x:v>
      </x:c>
      <x:c r="U1364" s="15" t="n">
        <x:f>'기준스탯 72종'!G62*G1364</x:f>
        <x:v>2.0999999999999996</x:v>
      </x:c>
      <x:c r="V1364" s="15" t="n">
        <x:f>'기준스탯 72종'!H62*G1364</x:f>
        <x:v>0.41999999999999993</x:v>
      </x:c>
      <x:c r="W1364" s="15" t="n">
        <x:f>'기준스탯 72종'!I62*G1364</x:f>
        <x:v>2.0999999999999996</x:v>
      </x:c>
      <x:c r="X1364" s="15" t="n">
        <x:f>'기준스탯 72종'!J62*G1364</x:f>
        <x:v>0.8399999999999999</x:v>
      </x:c>
      <x:c r="Y1364" s="15" t="n">
        <x:f>'기준스탯 72종'!K62*G1364</x:f>
        <x:v>3.3599999999999994</x:v>
      </x:c>
      <x:c r="Z1364" s="15" t="n">
        <x:f>'기준스탯 72종'!D62*H1364</x:f>
        <x:v>1.0800000000000003</x:v>
      </x:c>
      <x:c r="AA1364" s="15" t="n">
        <x:f>'기준스탯 72종'!E62*H1364</x:f>
        <x:v>1.6200000000000006</x:v>
      </x:c>
      <x:c r="AB1364" s="15" t="n">
        <x:f>'기준스탯 72종'!F62*H1364</x:f>
        <x:v>1.8000000000000005</x:v>
      </x:c>
      <x:c r="AC1364" s="15" t="n">
        <x:f>'기준스탯 72종'!G62*H1364</x:f>
        <x:v>0.9000000000000002</x:v>
      </x:c>
      <x:c r="AD1364" s="15" t="n">
        <x:f>'기준스탯 72종'!H62*H1364</x:f>
        <x:v>0.18000000000000005</x:v>
      </x:c>
      <x:c r="AE1364" s="15" t="n">
        <x:f>'기준스탯 72종'!I62*H1364</x:f>
        <x:v>0.9000000000000002</x:v>
      </x:c>
      <x:c r="AF1364" s="15" t="n">
        <x:f>'기준스탯 72종'!J62*H1364</x:f>
        <x:v>0.3600000000000001</x:v>
      </x:c>
      <x:c r="AG1364" s="15" t="n">
        <x:f>'기준스탯 72종'!K62*H1364</x:f>
        <x:v>1.4400000000000004</x:v>
      </x:c>
    </x:row>
    <x:row r="1365" ht="28" customHeight="1">
      <x:c r="A1365" s="2" t="n">
        <x:v>1358</x:v>
      </x:c>
      <x:c r="B1365" s="2" t="n">
        <x:v>55</x:v>
      </x:c>
      <x:c r="C1365" s="2" t="str">
        <x:v>염소자리</x:v>
      </x:c>
      <x:c r="D1365" s="2" t="str">
        <x:v>기사</x:v>
      </x:c>
      <x:c r="E1365" s="2" t="n">
        <x:v>3</x:v>
      </x:c>
      <x:c r="F1365" s="2" t="n">
        <x:v>2</x:v>
      </x:c>
      <x:c r="G1365" s="14" t="n">
        <x:f>('레벨 계산식'!$E$4-E1365)*'레벨 계산식'!$B$5</x:f>
        <x:v>0.27999999999999997</x:v>
      </x:c>
      <x:c r="H1365" s="14" t="n">
        <x:f>('등급 계산식'!$E$4-F1365)*'등급 계산식'!$B$5</x:f>
        <x:v>0.18000000000000005</x:v>
      </x:c>
      <x:c r="I1365" s="14" t="n">
        <x:f>1-G1365-H1365</x:f>
        <x:v>0.5399999999999999</x:v>
      </x:c>
      <x:c r="J1365" s="2" t="n">
        <x:f>MAX(1,ROUND('기준스탯 72종'!D62-R1365-Z1365,0))</x:f>
        <x:v>3</x:v>
      </x:c>
      <x:c r="K1365" s="2" t="n">
        <x:f>MAX(1,ROUND('기준스탯 72종'!E62-S1365-AA1365,0))</x:f>
        <x:v>5</x:v>
      </x:c>
      <x:c r="L1365" s="2" t="n">
        <x:f>MAX(1,ROUND('기준스탯 72종'!F62-T1365-AB1365,0))</x:f>
        <x:v>5</x:v>
      </x:c>
      <x:c r="M1365" s="2" t="n">
        <x:f>MAX(1,ROUND('기준스탯 72종'!G62-U1365-AC1365,0))</x:f>
        <x:v>3</x:v>
      </x:c>
      <x:c r="N1365" s="2" t="n">
        <x:f>MAX(0,ROUND('기준스탯 72종'!H62-V1365-AD1365,0))</x:f>
        <x:v>1</x:v>
      </x:c>
      <x:c r="O1365" s="2" t="n">
        <x:f>MAX(0,ROUND('기준스탯 72종'!I62-W1365-AE1365,0))</x:f>
        <x:v>3</x:v>
      </x:c>
      <x:c r="P1365" s="2" t="n">
        <x:f>MAX(0,ROUND('기준스탯 72종'!J62-X1365-AF1365,0))</x:f>
        <x:v>1</x:v>
      </x:c>
      <x:c r="Q1365" s="2" t="n">
        <x:f>MAX(0,ROUND('기준스탯 72종'!K62-Y1365-AG1365,0))</x:f>
        <x:v>4</x:v>
      </x:c>
      <x:c r="R1365" s="15" t="n">
        <x:f>'기준스탯 72종'!D62*G1365</x:f>
        <x:v>1.6799999999999997</x:v>
      </x:c>
      <x:c r="S1365" s="15" t="n">
        <x:f>'기준스탯 72종'!E62*G1365</x:f>
        <x:v>2.5199999999999996</x:v>
      </x:c>
      <x:c r="T1365" s="15" t="n">
        <x:f>'기준스탯 72종'!F62*G1365</x:f>
        <x:v>2.8</x:v>
      </x:c>
      <x:c r="U1365" s="15" t="n">
        <x:f>'기준스탯 72종'!G62*G1365</x:f>
        <x:v>1.4</x:v>
      </x:c>
      <x:c r="V1365" s="15" t="n">
        <x:f>'기준스탯 72종'!H62*G1365</x:f>
        <x:v>0.27999999999999997</x:v>
      </x:c>
      <x:c r="W1365" s="15" t="n">
        <x:f>'기준스탯 72종'!I62*G1365</x:f>
        <x:v>1.4</x:v>
      </x:c>
      <x:c r="X1365" s="15" t="n">
        <x:f>'기준스탯 72종'!J62*G1365</x:f>
        <x:v>0.5599999999999999</x:v>
      </x:c>
      <x:c r="Y1365" s="15" t="n">
        <x:f>'기준스탯 72종'!K62*G1365</x:f>
        <x:v>2.2399999999999998</x:v>
      </x:c>
      <x:c r="Z1365" s="15" t="n">
        <x:f>'기준스탯 72종'!D62*H1365</x:f>
        <x:v>1.0800000000000003</x:v>
      </x:c>
      <x:c r="AA1365" s="15" t="n">
        <x:f>'기준스탯 72종'!E62*H1365</x:f>
        <x:v>1.6200000000000006</x:v>
      </x:c>
      <x:c r="AB1365" s="15" t="n">
        <x:f>'기준스탯 72종'!F62*H1365</x:f>
        <x:v>1.8000000000000005</x:v>
      </x:c>
      <x:c r="AC1365" s="15" t="n">
        <x:f>'기준스탯 72종'!G62*H1365</x:f>
        <x:v>0.9000000000000002</x:v>
      </x:c>
      <x:c r="AD1365" s="15" t="n">
        <x:f>'기준스탯 72종'!H62*H1365</x:f>
        <x:v>0.18000000000000005</x:v>
      </x:c>
      <x:c r="AE1365" s="15" t="n">
        <x:f>'기준스탯 72종'!I62*H1365</x:f>
        <x:v>0.9000000000000002</x:v>
      </x:c>
      <x:c r="AF1365" s="15" t="n">
        <x:f>'기준스탯 72종'!J62*H1365</x:f>
        <x:v>0.3600000000000001</x:v>
      </x:c>
      <x:c r="AG1365" s="15" t="n">
        <x:f>'기준스탯 72종'!K62*H1365</x:f>
        <x:v>1.4400000000000004</x:v>
      </x:c>
    </x:row>
    <x:row r="1366" ht="28" customHeight="1">
      <x:c r="A1366" s="2" t="n">
        <x:v>1359</x:v>
      </x:c>
      <x:c r="B1366" s="2" t="n">
        <x:v>55</x:v>
      </x:c>
      <x:c r="C1366" s="2" t="str">
        <x:v>염소자리</x:v>
      </x:c>
      <x:c r="D1366" s="2" t="str">
        <x:v>기사</x:v>
      </x:c>
      <x:c r="E1366" s="2" t="n">
        <x:v>4</x:v>
      </x:c>
      <x:c r="F1366" s="2" t="n">
        <x:v>2</x:v>
      </x:c>
      <x:c r="G1366" s="14" t="n">
        <x:f>('레벨 계산식'!$E$4-E1366)*'레벨 계산식'!$B$5</x:f>
        <x:v>0.13999999999999999</x:v>
      </x:c>
      <x:c r="H1366" s="14" t="n">
        <x:f>('등급 계산식'!$E$4-F1366)*'등급 계산식'!$B$5</x:f>
        <x:v>0.18000000000000005</x:v>
      </x:c>
      <x:c r="I1366" s="14" t="n">
        <x:f>1-G1366-H1366</x:f>
        <x:v>0.6799999999999999</x:v>
      </x:c>
      <x:c r="J1366" s="2" t="n">
        <x:f>MAX(1,ROUND('기준스탯 72종'!D62-R1366-Z1366,0))</x:f>
        <x:v>4</x:v>
      </x:c>
      <x:c r="K1366" s="2" t="n">
        <x:f>MAX(1,ROUND('기준스탯 72종'!E62-S1366-AA1366,0))</x:f>
        <x:v>6</x:v>
      </x:c>
      <x:c r="L1366" s="2" t="n">
        <x:f>MAX(1,ROUND('기준스탯 72종'!F62-T1366-AB1366,0))</x:f>
        <x:v>7</x:v>
      </x:c>
      <x:c r="M1366" s="2" t="n">
        <x:f>MAX(1,ROUND('기준스탯 72종'!G62-U1366-AC1366,0))</x:f>
        <x:v>3</x:v>
      </x:c>
      <x:c r="N1366" s="2" t="n">
        <x:f>MAX(0,ROUND('기준스탯 72종'!H62-V1366-AD1366,0))</x:f>
        <x:v>1</x:v>
      </x:c>
      <x:c r="O1366" s="2" t="n">
        <x:f>MAX(0,ROUND('기준스탯 72종'!I62-W1366-AE1366,0))</x:f>
        <x:v>3</x:v>
      </x:c>
      <x:c r="P1366" s="2" t="n">
        <x:f>MAX(0,ROUND('기준스탯 72종'!J62-X1366-AF1366,0))</x:f>
        <x:v>1</x:v>
      </x:c>
      <x:c r="Q1366" s="2" t="n">
        <x:f>MAX(0,ROUND('기준스탯 72종'!K62-Y1366-AG1366,0))</x:f>
        <x:v>5</x:v>
      </x:c>
      <x:c r="R1366" s="15" t="n">
        <x:f>'기준스탯 72종'!D62*G1366</x:f>
        <x:v>0.8399999999999999</x:v>
      </x:c>
      <x:c r="S1366" s="15" t="n">
        <x:f>'기준스탯 72종'!E62*G1366</x:f>
        <x:v>1.2599999999999998</x:v>
      </x:c>
      <x:c r="T1366" s="15" t="n">
        <x:f>'기준스탯 72종'!F62*G1366</x:f>
        <x:v>1.4</x:v>
      </x:c>
      <x:c r="U1366" s="15" t="n">
        <x:f>'기준스탯 72종'!G62*G1366</x:f>
        <x:v>0.7</x:v>
      </x:c>
      <x:c r="V1366" s="15" t="n">
        <x:f>'기준스탯 72종'!H62*G1366</x:f>
        <x:v>0.13999999999999999</x:v>
      </x:c>
      <x:c r="W1366" s="15" t="n">
        <x:f>'기준스탯 72종'!I62*G1366</x:f>
        <x:v>0.7</x:v>
      </x:c>
      <x:c r="X1366" s="15" t="n">
        <x:f>'기준스탯 72종'!J62*G1366</x:f>
        <x:v>0.27999999999999997</x:v>
      </x:c>
      <x:c r="Y1366" s="15" t="n">
        <x:f>'기준스탯 72종'!K62*G1366</x:f>
        <x:v>1.1199999999999999</x:v>
      </x:c>
      <x:c r="Z1366" s="15" t="n">
        <x:f>'기준스탯 72종'!D62*H1366</x:f>
        <x:v>1.0800000000000003</x:v>
      </x:c>
      <x:c r="AA1366" s="15" t="n">
        <x:f>'기준스탯 72종'!E62*H1366</x:f>
        <x:v>1.6200000000000006</x:v>
      </x:c>
      <x:c r="AB1366" s="15" t="n">
        <x:f>'기준스탯 72종'!F62*H1366</x:f>
        <x:v>1.8000000000000005</x:v>
      </x:c>
      <x:c r="AC1366" s="15" t="n">
        <x:f>'기준스탯 72종'!G62*H1366</x:f>
        <x:v>0.9000000000000002</x:v>
      </x:c>
      <x:c r="AD1366" s="15" t="n">
        <x:f>'기준스탯 72종'!H62*H1366</x:f>
        <x:v>0.18000000000000005</x:v>
      </x:c>
      <x:c r="AE1366" s="15" t="n">
        <x:f>'기준스탯 72종'!I62*H1366</x:f>
        <x:v>0.9000000000000002</x:v>
      </x:c>
      <x:c r="AF1366" s="15" t="n">
        <x:f>'기준스탯 72종'!J62*H1366</x:f>
        <x:v>0.3600000000000001</x:v>
      </x:c>
      <x:c r="AG1366" s="15" t="n">
        <x:f>'기준스탯 72종'!K62*H1366</x:f>
        <x:v>1.4400000000000004</x:v>
      </x:c>
    </x:row>
    <x:row r="1367" ht="28" customHeight="1">
      <x:c r="A1367" s="2" t="n">
        <x:v>1360</x:v>
      </x:c>
      <x:c r="B1367" s="2" t="n">
        <x:v>55</x:v>
      </x:c>
      <x:c r="C1367" s="2" t="str">
        <x:v>염소자리</x:v>
      </x:c>
      <x:c r="D1367" s="2" t="str">
        <x:v>기사</x:v>
      </x:c>
      <x:c r="E1367" s="2" t="n">
        <x:v>5</x:v>
      </x:c>
      <x:c r="F1367" s="2" t="n">
        <x:v>2</x:v>
      </x:c>
      <x:c r="G1367" s="14" t="n">
        <x:f>('레벨 계산식'!$E$4-E1367)*'레벨 계산식'!$B$5</x:f>
        <x:v>0</x:v>
      </x:c>
      <x:c r="H1367" s="14" t="n">
        <x:f>('등급 계산식'!$E$4-F1367)*'등급 계산식'!$B$5</x:f>
        <x:v>0.18000000000000005</x:v>
      </x:c>
      <x:c r="I1367" s="14" t="n">
        <x:f>1-G1367-H1367</x:f>
        <x:v>0.82</x:v>
      </x:c>
      <x:c r="J1367" s="2" t="n">
        <x:f>MAX(1,ROUND('기준스탯 72종'!D62-R1367-Z1367,0))</x:f>
        <x:v>5</x:v>
      </x:c>
      <x:c r="K1367" s="2" t="n">
        <x:f>MAX(1,ROUND('기준스탯 72종'!E62-S1367-AA1367,0))</x:f>
        <x:v>7</x:v>
      </x:c>
      <x:c r="L1367" s="2" t="n">
        <x:f>MAX(1,ROUND('기준스탯 72종'!F62-T1367-AB1367,0))</x:f>
        <x:v>8</x:v>
      </x:c>
      <x:c r="M1367" s="2" t="n">
        <x:f>MAX(1,ROUND('기준스탯 72종'!G62-U1367-AC1367,0))</x:f>
        <x:v>4</x:v>
      </x:c>
      <x:c r="N1367" s="2" t="n">
        <x:f>MAX(0,ROUND('기준스탯 72종'!H62-V1367-AD1367,0))</x:f>
        <x:v>1</x:v>
      </x:c>
      <x:c r="O1367" s="2" t="n">
        <x:f>MAX(0,ROUND('기준스탯 72종'!I62-W1367-AE1367,0))</x:f>
        <x:v>4</x:v>
      </x:c>
      <x:c r="P1367" s="2" t="n">
        <x:f>MAX(0,ROUND('기준스탯 72종'!J62-X1367-AF1367,0))</x:f>
        <x:v>2</x:v>
      </x:c>
      <x:c r="Q1367" s="2" t="n">
        <x:f>MAX(0,ROUND('기준스탯 72종'!K62-Y1367-AG1367,0))</x:f>
        <x:v>7</x:v>
      </x:c>
      <x:c r="R1367" s="15" t="n">
        <x:f>'기준스탯 72종'!D62*G1367</x:f>
        <x:v>0</x:v>
      </x:c>
      <x:c r="S1367" s="15" t="n">
        <x:f>'기준스탯 72종'!E62*G1367</x:f>
        <x:v>0</x:v>
      </x:c>
      <x:c r="T1367" s="15" t="n">
        <x:f>'기준스탯 72종'!F62*G1367</x:f>
        <x:v>0</x:v>
      </x:c>
      <x:c r="U1367" s="15" t="n">
        <x:f>'기준스탯 72종'!G62*G1367</x:f>
        <x:v>0</x:v>
      </x:c>
      <x:c r="V1367" s="15" t="n">
        <x:f>'기준스탯 72종'!H62*G1367</x:f>
        <x:v>0</x:v>
      </x:c>
      <x:c r="W1367" s="15" t="n">
        <x:f>'기준스탯 72종'!I62*G1367</x:f>
        <x:v>0</x:v>
      </x:c>
      <x:c r="X1367" s="15" t="n">
        <x:f>'기준스탯 72종'!J62*G1367</x:f>
        <x:v>0</x:v>
      </x:c>
      <x:c r="Y1367" s="15" t="n">
        <x:f>'기준스탯 72종'!K62*G1367</x:f>
        <x:v>0</x:v>
      </x:c>
      <x:c r="Z1367" s="15" t="n">
        <x:f>'기준스탯 72종'!D62*H1367</x:f>
        <x:v>1.0800000000000003</x:v>
      </x:c>
      <x:c r="AA1367" s="15" t="n">
        <x:f>'기준스탯 72종'!E62*H1367</x:f>
        <x:v>1.6200000000000006</x:v>
      </x:c>
      <x:c r="AB1367" s="15" t="n">
        <x:f>'기준스탯 72종'!F62*H1367</x:f>
        <x:v>1.8000000000000005</x:v>
      </x:c>
      <x:c r="AC1367" s="15" t="n">
        <x:f>'기준스탯 72종'!G62*H1367</x:f>
        <x:v>0.9000000000000002</x:v>
      </x:c>
      <x:c r="AD1367" s="15" t="n">
        <x:f>'기준스탯 72종'!H62*H1367</x:f>
        <x:v>0.18000000000000005</x:v>
      </x:c>
      <x:c r="AE1367" s="15" t="n">
        <x:f>'기준스탯 72종'!I62*H1367</x:f>
        <x:v>0.9000000000000002</x:v>
      </x:c>
      <x:c r="AF1367" s="15" t="n">
        <x:f>'기준스탯 72종'!J62*H1367</x:f>
        <x:v>0.3600000000000001</x:v>
      </x:c>
      <x:c r="AG1367" s="15" t="n">
        <x:f>'기준스탯 72종'!K62*H1367</x:f>
        <x:v>1.4400000000000004</x:v>
      </x:c>
    </x:row>
    <x:row r="1368" ht="28" customHeight="1">
      <x:c r="A1368" s="2" t="n">
        <x:v>1361</x:v>
      </x:c>
      <x:c r="B1368" s="2" t="n">
        <x:v>55</x:v>
      </x:c>
      <x:c r="C1368" s="2" t="str">
        <x:v>염소자리</x:v>
      </x:c>
      <x:c r="D1368" s="2" t="str">
        <x:v>기사</x:v>
      </x:c>
      <x:c r="E1368" s="2" t="n">
        <x:v>1</x:v>
      </x:c>
      <x:c r="F1368" s="2" t="n">
        <x:v>3</x:v>
      </x:c>
      <x:c r="G1368" s="14" t="n">
        <x:f>('레벨 계산식'!$E$4-E1368)*'레벨 계산식'!$B$5</x:f>
        <x:v>0.5599999999999999</x:v>
      </x:c>
      <x:c r="H1368" s="14" t="n">
        <x:f>('등급 계산식'!$E$4-F1368)*'등급 계산식'!$B$5</x:f>
        <x:v>0.12000000000000002</x:v>
      </x:c>
      <x:c r="I1368" s="14" t="n">
        <x:f>1-G1368-H1368</x:f>
        <x:v>0.32000000000000006</x:v>
      </x:c>
      <x:c r="J1368" s="2" t="n">
        <x:f>MAX(1,ROUND('기준스탯 72종'!D62-R1368-Z1368,0))</x:f>
        <x:v>2</x:v>
      </x:c>
      <x:c r="K1368" s="2" t="n">
        <x:f>MAX(1,ROUND('기준스탯 72종'!E62-S1368-AA1368,0))</x:f>
        <x:v>3</x:v>
      </x:c>
      <x:c r="L1368" s="2" t="n">
        <x:f>MAX(1,ROUND('기준스탯 72종'!F62-T1368-AB1368,0))</x:f>
        <x:v>3</x:v>
      </x:c>
      <x:c r="M1368" s="2" t="n">
        <x:f>MAX(1,ROUND('기준스탯 72종'!G62-U1368-AC1368,0))</x:f>
        <x:v>2</x:v>
      </x:c>
      <x:c r="N1368" s="2" t="n">
        <x:f>MAX(0,ROUND('기준스탯 72종'!H62-V1368-AD1368,0))</x:f>
        <x:v>0</x:v>
      </x:c>
      <x:c r="O1368" s="2" t="n">
        <x:f>MAX(0,ROUND('기준스탯 72종'!I62-W1368-AE1368,0))</x:f>
        <x:v>2</x:v>
      </x:c>
      <x:c r="P1368" s="2" t="n">
        <x:f>MAX(0,ROUND('기준스탯 72종'!J62-X1368-AF1368,0))</x:f>
        <x:v>1</x:v>
      </x:c>
      <x:c r="Q1368" s="2" t="n">
        <x:f>MAX(0,ROUND('기준스탯 72종'!K62-Y1368-AG1368,0))</x:f>
        <x:v>3</x:v>
      </x:c>
      <x:c r="R1368" s="15" t="n">
        <x:f>'기준스탯 72종'!D62*G1368</x:f>
        <x:v>3.3599999999999994</x:v>
      </x:c>
      <x:c r="S1368" s="15" t="n">
        <x:f>'기준스탯 72종'!E62*G1368</x:f>
        <x:v>5.039999999999999</x:v>
      </x:c>
      <x:c r="T1368" s="15" t="n">
        <x:f>'기준스탯 72종'!F62*G1368</x:f>
        <x:v>5.6</x:v>
      </x:c>
      <x:c r="U1368" s="15" t="n">
        <x:f>'기준스탯 72종'!G62*G1368</x:f>
        <x:v>2.8</x:v>
      </x:c>
      <x:c r="V1368" s="15" t="n">
        <x:f>'기준스탯 72종'!H62*G1368</x:f>
        <x:v>0.5599999999999999</x:v>
      </x:c>
      <x:c r="W1368" s="15" t="n">
        <x:f>'기준스탯 72종'!I62*G1368</x:f>
        <x:v>2.8</x:v>
      </x:c>
      <x:c r="X1368" s="15" t="n">
        <x:f>'기준스탯 72종'!J62*G1368</x:f>
        <x:v>1.1199999999999999</x:v>
      </x:c>
      <x:c r="Y1368" s="15" t="n">
        <x:f>'기준스탯 72종'!K62*G1368</x:f>
        <x:v>4.4799999999999995</x:v>
      </x:c>
      <x:c r="Z1368" s="15" t="n">
        <x:f>'기준스탯 72종'!D62*H1368</x:f>
        <x:v>0.7200000000000002</x:v>
      </x:c>
      <x:c r="AA1368" s="15" t="n">
        <x:f>'기준스탯 72종'!E62*H1368</x:f>
        <x:v>1.0800000000000003</x:v>
      </x:c>
      <x:c r="AB1368" s="15" t="n">
        <x:f>'기준스탯 72종'!F62*H1368</x:f>
        <x:v>1.2000000000000002</x:v>
      </x:c>
      <x:c r="AC1368" s="15" t="n">
        <x:f>'기준스탯 72종'!G62*H1368</x:f>
        <x:v>0.6000000000000001</x:v>
      </x:c>
      <x:c r="AD1368" s="15" t="n">
        <x:f>'기준스탯 72종'!H62*H1368</x:f>
        <x:v>0.12000000000000002</x:v>
      </x:c>
      <x:c r="AE1368" s="15" t="n">
        <x:f>'기준스탯 72종'!I62*H1368</x:f>
        <x:v>0.6000000000000001</x:v>
      </x:c>
      <x:c r="AF1368" s="15" t="n">
        <x:f>'기준스탯 72종'!J62*H1368</x:f>
        <x:v>0.24000000000000005</x:v>
      </x:c>
      <x:c r="AG1368" s="15" t="n">
        <x:f>'기준스탯 72종'!K62*H1368</x:f>
        <x:v>0.9600000000000002</x:v>
      </x:c>
    </x:row>
    <x:row r="1369" ht="28" customHeight="1">
      <x:c r="A1369" s="2" t="n">
        <x:v>1362</x:v>
      </x:c>
      <x:c r="B1369" s="2" t="n">
        <x:v>55</x:v>
      </x:c>
      <x:c r="C1369" s="2" t="str">
        <x:v>염소자리</x:v>
      </x:c>
      <x:c r="D1369" s="2" t="str">
        <x:v>기사</x:v>
      </x:c>
      <x:c r="E1369" s="2" t="n">
        <x:v>2</x:v>
      </x:c>
      <x:c r="F1369" s="2" t="n">
        <x:v>3</x:v>
      </x:c>
      <x:c r="G1369" s="14" t="n">
        <x:f>('레벨 계산식'!$E$4-E1369)*'레벨 계산식'!$B$5</x:f>
        <x:v>0.41999999999999993</x:v>
      </x:c>
      <x:c r="H1369" s="14" t="n">
        <x:f>('등급 계산식'!$E$4-F1369)*'등급 계산식'!$B$5</x:f>
        <x:v>0.12000000000000002</x:v>
      </x:c>
      <x:c r="I1369" s="14" t="n">
        <x:f>1-G1369-H1369</x:f>
        <x:v>0.4600000000000001</x:v>
      </x:c>
      <x:c r="J1369" s="2" t="n">
        <x:f>MAX(1,ROUND('기준스탯 72종'!D62-R1369-Z1369,0))</x:f>
        <x:v>3</x:v>
      </x:c>
      <x:c r="K1369" s="2" t="n">
        <x:f>MAX(1,ROUND('기준스탯 72종'!E62-S1369-AA1369,0))</x:f>
        <x:v>4</x:v>
      </x:c>
      <x:c r="L1369" s="2" t="n">
        <x:f>MAX(1,ROUND('기준스탯 72종'!F62-T1369-AB1369,0))</x:f>
        <x:v>5</x:v>
      </x:c>
      <x:c r="M1369" s="2" t="n">
        <x:f>MAX(1,ROUND('기준스탯 72종'!G62-U1369-AC1369,0))</x:f>
        <x:v>2</x:v>
      </x:c>
      <x:c r="N1369" s="2" t="n">
        <x:f>MAX(0,ROUND('기준스탯 72종'!H62-V1369-AD1369,0))</x:f>
        <x:v>0</x:v>
      </x:c>
      <x:c r="O1369" s="2" t="n">
        <x:f>MAX(0,ROUND('기준스탯 72종'!I62-W1369-AE1369,0))</x:f>
        <x:v>2</x:v>
      </x:c>
      <x:c r="P1369" s="2" t="n">
        <x:f>MAX(0,ROUND('기준스탯 72종'!J62-X1369-AF1369,0))</x:f>
        <x:v>1</x:v>
      </x:c>
      <x:c r="Q1369" s="2" t="n">
        <x:f>MAX(0,ROUND('기준스탯 72종'!K62-Y1369-AG1369,0))</x:f>
        <x:v>4</x:v>
      </x:c>
      <x:c r="R1369" s="15" t="n">
        <x:f>'기준스탯 72종'!D62*G1369</x:f>
        <x:v>2.5199999999999996</x:v>
      </x:c>
      <x:c r="S1369" s="15" t="n">
        <x:f>'기준스탯 72종'!E62*G1369</x:f>
        <x:v>3.7799999999999994</x:v>
      </x:c>
      <x:c r="T1369" s="15" t="n">
        <x:f>'기준스탯 72종'!F62*G1369</x:f>
        <x:v>4.199999999999999</x:v>
      </x:c>
      <x:c r="U1369" s="15" t="n">
        <x:f>'기준스탯 72종'!G62*G1369</x:f>
        <x:v>2.0999999999999996</x:v>
      </x:c>
      <x:c r="V1369" s="15" t="n">
        <x:f>'기준스탯 72종'!H62*G1369</x:f>
        <x:v>0.41999999999999993</x:v>
      </x:c>
      <x:c r="W1369" s="15" t="n">
        <x:f>'기준스탯 72종'!I62*G1369</x:f>
        <x:v>2.0999999999999996</x:v>
      </x:c>
      <x:c r="X1369" s="15" t="n">
        <x:f>'기준스탯 72종'!J62*G1369</x:f>
        <x:v>0.8399999999999999</x:v>
      </x:c>
      <x:c r="Y1369" s="15" t="n">
        <x:f>'기준스탯 72종'!K62*G1369</x:f>
        <x:v>3.3599999999999994</x:v>
      </x:c>
      <x:c r="Z1369" s="15" t="n">
        <x:f>'기준스탯 72종'!D62*H1369</x:f>
        <x:v>0.7200000000000002</x:v>
      </x:c>
      <x:c r="AA1369" s="15" t="n">
        <x:f>'기준스탯 72종'!E62*H1369</x:f>
        <x:v>1.0800000000000003</x:v>
      </x:c>
      <x:c r="AB1369" s="15" t="n">
        <x:f>'기준스탯 72종'!F62*H1369</x:f>
        <x:v>1.2000000000000002</x:v>
      </x:c>
      <x:c r="AC1369" s="15" t="n">
        <x:f>'기준스탯 72종'!G62*H1369</x:f>
        <x:v>0.6000000000000001</x:v>
      </x:c>
      <x:c r="AD1369" s="15" t="n">
        <x:f>'기준스탯 72종'!H62*H1369</x:f>
        <x:v>0.12000000000000002</x:v>
      </x:c>
      <x:c r="AE1369" s="15" t="n">
        <x:f>'기준스탯 72종'!I62*H1369</x:f>
        <x:v>0.6000000000000001</x:v>
      </x:c>
      <x:c r="AF1369" s="15" t="n">
        <x:f>'기준스탯 72종'!J62*H1369</x:f>
        <x:v>0.24000000000000005</x:v>
      </x:c>
      <x:c r="AG1369" s="15" t="n">
        <x:f>'기준스탯 72종'!K62*H1369</x:f>
        <x:v>0.9600000000000002</x:v>
      </x:c>
    </x:row>
    <x:row r="1370" ht="28" customHeight="1">
      <x:c r="A1370" s="2" t="n">
        <x:v>1363</x:v>
      </x:c>
      <x:c r="B1370" s="2" t="n">
        <x:v>55</x:v>
      </x:c>
      <x:c r="C1370" s="2" t="str">
        <x:v>염소자리</x:v>
      </x:c>
      <x:c r="D1370" s="2" t="str">
        <x:v>기사</x:v>
      </x:c>
      <x:c r="E1370" s="2" t="n">
        <x:v>3</x:v>
      </x:c>
      <x:c r="F1370" s="2" t="n">
        <x:v>3</x:v>
      </x:c>
      <x:c r="G1370" s="14" t="n">
        <x:f>('레벨 계산식'!$E$4-E1370)*'레벨 계산식'!$B$5</x:f>
        <x:v>0.27999999999999997</x:v>
      </x:c>
      <x:c r="H1370" s="14" t="n">
        <x:f>('등급 계산식'!$E$4-F1370)*'등급 계산식'!$B$5</x:f>
        <x:v>0.12000000000000002</x:v>
      </x:c>
      <x:c r="I1370" s="14" t="n">
        <x:f>1-G1370-H1370</x:f>
        <x:v>0.6</x:v>
      </x:c>
      <x:c r="J1370" s="2" t="n">
        <x:f>MAX(1,ROUND('기준스탯 72종'!D62-R1370-Z1370,0))</x:f>
        <x:v>4</x:v>
      </x:c>
      <x:c r="K1370" s="2" t="n">
        <x:f>MAX(1,ROUND('기준스탯 72종'!E62-S1370-AA1370,0))</x:f>
        <x:v>5</x:v>
      </x:c>
      <x:c r="L1370" s="2" t="n">
        <x:f>MAX(1,ROUND('기준스탯 72종'!F62-T1370-AB1370,0))</x:f>
        <x:v>6</x:v>
      </x:c>
      <x:c r="M1370" s="2" t="n">
        <x:f>MAX(1,ROUND('기준스탯 72종'!G62-U1370-AC1370,0))</x:f>
        <x:v>3</x:v>
      </x:c>
      <x:c r="N1370" s="2" t="n">
        <x:f>MAX(0,ROUND('기준스탯 72종'!H62-V1370-AD1370,0))</x:f>
        <x:v>1</x:v>
      </x:c>
      <x:c r="O1370" s="2" t="n">
        <x:f>MAX(0,ROUND('기준스탯 72종'!I62-W1370-AE1370,0))</x:f>
        <x:v>3</x:v>
      </x:c>
      <x:c r="P1370" s="2" t="n">
        <x:f>MAX(0,ROUND('기준스탯 72종'!J62-X1370-AF1370,0))</x:f>
        <x:v>1</x:v>
      </x:c>
      <x:c r="Q1370" s="2" t="n">
        <x:f>MAX(0,ROUND('기준스탯 72종'!K62-Y1370-AG1370,0))</x:f>
        <x:v>5</x:v>
      </x:c>
      <x:c r="R1370" s="15" t="n">
        <x:f>'기준스탯 72종'!D62*G1370</x:f>
        <x:v>1.6799999999999997</x:v>
      </x:c>
      <x:c r="S1370" s="15" t="n">
        <x:f>'기준스탯 72종'!E62*G1370</x:f>
        <x:v>2.5199999999999996</x:v>
      </x:c>
      <x:c r="T1370" s="15" t="n">
        <x:f>'기준스탯 72종'!F62*G1370</x:f>
        <x:v>2.8</x:v>
      </x:c>
      <x:c r="U1370" s="15" t="n">
        <x:f>'기준스탯 72종'!G62*G1370</x:f>
        <x:v>1.4</x:v>
      </x:c>
      <x:c r="V1370" s="15" t="n">
        <x:f>'기준스탯 72종'!H62*G1370</x:f>
        <x:v>0.27999999999999997</x:v>
      </x:c>
      <x:c r="W1370" s="15" t="n">
        <x:f>'기준스탯 72종'!I62*G1370</x:f>
        <x:v>1.4</x:v>
      </x:c>
      <x:c r="X1370" s="15" t="n">
        <x:f>'기준스탯 72종'!J62*G1370</x:f>
        <x:v>0.5599999999999999</x:v>
      </x:c>
      <x:c r="Y1370" s="15" t="n">
        <x:f>'기준스탯 72종'!K62*G1370</x:f>
        <x:v>2.2399999999999998</x:v>
      </x:c>
      <x:c r="Z1370" s="15" t="n">
        <x:f>'기준스탯 72종'!D62*H1370</x:f>
        <x:v>0.7200000000000002</x:v>
      </x:c>
      <x:c r="AA1370" s="15" t="n">
        <x:f>'기준스탯 72종'!E62*H1370</x:f>
        <x:v>1.0800000000000003</x:v>
      </x:c>
      <x:c r="AB1370" s="15" t="n">
        <x:f>'기준스탯 72종'!F62*H1370</x:f>
        <x:v>1.2000000000000002</x:v>
      </x:c>
      <x:c r="AC1370" s="15" t="n">
        <x:f>'기준스탯 72종'!G62*H1370</x:f>
        <x:v>0.6000000000000001</x:v>
      </x:c>
      <x:c r="AD1370" s="15" t="n">
        <x:f>'기준스탯 72종'!H62*H1370</x:f>
        <x:v>0.12000000000000002</x:v>
      </x:c>
      <x:c r="AE1370" s="15" t="n">
        <x:f>'기준스탯 72종'!I62*H1370</x:f>
        <x:v>0.6000000000000001</x:v>
      </x:c>
      <x:c r="AF1370" s="15" t="n">
        <x:f>'기준스탯 72종'!J62*H1370</x:f>
        <x:v>0.24000000000000005</x:v>
      </x:c>
      <x:c r="AG1370" s="15" t="n">
        <x:f>'기준스탯 72종'!K62*H1370</x:f>
        <x:v>0.9600000000000002</x:v>
      </x:c>
    </x:row>
    <x:row r="1371" ht="28" customHeight="1">
      <x:c r="A1371" s="2" t="n">
        <x:v>1364</x:v>
      </x:c>
      <x:c r="B1371" s="2" t="n">
        <x:v>55</x:v>
      </x:c>
      <x:c r="C1371" s="2" t="str">
        <x:v>염소자리</x:v>
      </x:c>
      <x:c r="D1371" s="2" t="str">
        <x:v>기사</x:v>
      </x:c>
      <x:c r="E1371" s="2" t="n">
        <x:v>4</x:v>
      </x:c>
      <x:c r="F1371" s="2" t="n">
        <x:v>3</x:v>
      </x:c>
      <x:c r="G1371" s="14" t="n">
        <x:f>('레벨 계산식'!$E$4-E1371)*'레벨 계산식'!$B$5</x:f>
        <x:v>0.13999999999999999</x:v>
      </x:c>
      <x:c r="H1371" s="14" t="n">
        <x:f>('등급 계산식'!$E$4-F1371)*'등급 계산식'!$B$5</x:f>
        <x:v>0.12000000000000002</x:v>
      </x:c>
      <x:c r="I1371" s="14" t="n">
        <x:f>1-G1371-H1371</x:f>
        <x:v>0.74</x:v>
      </x:c>
      <x:c r="J1371" s="2" t="n">
        <x:f>MAX(1,ROUND('기준스탯 72종'!D62-R1371-Z1371,0))</x:f>
        <x:v>4</x:v>
      </x:c>
      <x:c r="K1371" s="2" t="n">
        <x:f>MAX(1,ROUND('기준스탯 72종'!E62-S1371-AA1371,0))</x:f>
        <x:v>7</x:v>
      </x:c>
      <x:c r="L1371" s="2" t="n">
        <x:f>MAX(1,ROUND('기준스탯 72종'!F62-T1371-AB1371,0))</x:f>
        <x:v>7</x:v>
      </x:c>
      <x:c r="M1371" s="2" t="n">
        <x:f>MAX(1,ROUND('기준스탯 72종'!G62-U1371-AC1371,0))</x:f>
        <x:v>4</x:v>
      </x:c>
      <x:c r="N1371" s="2" t="n">
        <x:f>MAX(0,ROUND('기준스탯 72종'!H62-V1371-AD1371,0))</x:f>
        <x:v>1</x:v>
      </x:c>
      <x:c r="O1371" s="2" t="n">
        <x:f>MAX(0,ROUND('기준스탯 72종'!I62-W1371-AE1371,0))</x:f>
        <x:v>4</x:v>
      </x:c>
      <x:c r="P1371" s="2" t="n">
        <x:f>MAX(0,ROUND('기준스탯 72종'!J62-X1371-AF1371,0))</x:f>
        <x:v>1</x:v>
      </x:c>
      <x:c r="Q1371" s="2" t="n">
        <x:f>MAX(0,ROUND('기준스탯 72종'!K62-Y1371-AG1371,0))</x:f>
        <x:v>6</x:v>
      </x:c>
      <x:c r="R1371" s="15" t="n">
        <x:f>'기준스탯 72종'!D62*G1371</x:f>
        <x:v>0.8399999999999999</x:v>
      </x:c>
      <x:c r="S1371" s="15" t="n">
        <x:f>'기준스탯 72종'!E62*G1371</x:f>
        <x:v>1.2599999999999998</x:v>
      </x:c>
      <x:c r="T1371" s="15" t="n">
        <x:f>'기준스탯 72종'!F62*G1371</x:f>
        <x:v>1.4</x:v>
      </x:c>
      <x:c r="U1371" s="15" t="n">
        <x:f>'기준스탯 72종'!G62*G1371</x:f>
        <x:v>0.7</x:v>
      </x:c>
      <x:c r="V1371" s="15" t="n">
        <x:f>'기준스탯 72종'!H62*G1371</x:f>
        <x:v>0.13999999999999999</x:v>
      </x:c>
      <x:c r="W1371" s="15" t="n">
        <x:f>'기준스탯 72종'!I62*G1371</x:f>
        <x:v>0.7</x:v>
      </x:c>
      <x:c r="X1371" s="15" t="n">
        <x:f>'기준스탯 72종'!J62*G1371</x:f>
        <x:v>0.27999999999999997</x:v>
      </x:c>
      <x:c r="Y1371" s="15" t="n">
        <x:f>'기준스탯 72종'!K62*G1371</x:f>
        <x:v>1.1199999999999999</x:v>
      </x:c>
      <x:c r="Z1371" s="15" t="n">
        <x:f>'기준스탯 72종'!D62*H1371</x:f>
        <x:v>0.7200000000000002</x:v>
      </x:c>
      <x:c r="AA1371" s="15" t="n">
        <x:f>'기준스탯 72종'!E62*H1371</x:f>
        <x:v>1.0800000000000003</x:v>
      </x:c>
      <x:c r="AB1371" s="15" t="n">
        <x:f>'기준스탯 72종'!F62*H1371</x:f>
        <x:v>1.2000000000000002</x:v>
      </x:c>
      <x:c r="AC1371" s="15" t="n">
        <x:f>'기준스탯 72종'!G62*H1371</x:f>
        <x:v>0.6000000000000001</x:v>
      </x:c>
      <x:c r="AD1371" s="15" t="n">
        <x:f>'기준스탯 72종'!H62*H1371</x:f>
        <x:v>0.12000000000000002</x:v>
      </x:c>
      <x:c r="AE1371" s="15" t="n">
        <x:f>'기준스탯 72종'!I62*H1371</x:f>
        <x:v>0.6000000000000001</x:v>
      </x:c>
      <x:c r="AF1371" s="15" t="n">
        <x:f>'기준스탯 72종'!J62*H1371</x:f>
        <x:v>0.24000000000000005</x:v>
      </x:c>
      <x:c r="AG1371" s="15" t="n">
        <x:f>'기준스탯 72종'!K62*H1371</x:f>
        <x:v>0.9600000000000002</x:v>
      </x:c>
    </x:row>
    <x:row r="1372" ht="28" customHeight="1">
      <x:c r="A1372" s="2" t="n">
        <x:v>1365</x:v>
      </x:c>
      <x:c r="B1372" s="2" t="n">
        <x:v>55</x:v>
      </x:c>
      <x:c r="C1372" s="2" t="str">
        <x:v>염소자리</x:v>
      </x:c>
      <x:c r="D1372" s="2" t="str">
        <x:v>기사</x:v>
      </x:c>
      <x:c r="E1372" s="2" t="n">
        <x:v>5</x:v>
      </x:c>
      <x:c r="F1372" s="2" t="n">
        <x:v>3</x:v>
      </x:c>
      <x:c r="G1372" s="14" t="n">
        <x:f>('레벨 계산식'!$E$4-E1372)*'레벨 계산식'!$B$5</x:f>
        <x:v>0</x:v>
      </x:c>
      <x:c r="H1372" s="14" t="n">
        <x:f>('등급 계산식'!$E$4-F1372)*'등급 계산식'!$B$5</x:f>
        <x:v>0.12000000000000002</x:v>
      </x:c>
      <x:c r="I1372" s="14" t="n">
        <x:f>1-G1372-H1372</x:f>
        <x:v>0.88</x:v>
      </x:c>
      <x:c r="J1372" s="2" t="n">
        <x:f>MAX(1,ROUND('기준스탯 72종'!D62-R1372-Z1372,0))</x:f>
        <x:v>5</x:v>
      </x:c>
      <x:c r="K1372" s="2" t="n">
        <x:f>MAX(1,ROUND('기준스탯 72종'!E62-S1372-AA1372,0))</x:f>
        <x:v>8</x:v>
      </x:c>
      <x:c r="L1372" s="2" t="n">
        <x:f>MAX(1,ROUND('기준스탯 72종'!F62-T1372-AB1372,0))</x:f>
        <x:v>9</x:v>
      </x:c>
      <x:c r="M1372" s="2" t="n">
        <x:f>MAX(1,ROUND('기준스탯 72종'!G62-U1372-AC1372,0))</x:f>
        <x:v>4</x:v>
      </x:c>
      <x:c r="N1372" s="2" t="n">
        <x:f>MAX(0,ROUND('기준스탯 72종'!H62-V1372-AD1372,0))</x:f>
        <x:v>1</x:v>
      </x:c>
      <x:c r="O1372" s="2" t="n">
        <x:f>MAX(0,ROUND('기준스탯 72종'!I62-W1372-AE1372,0))</x:f>
        <x:v>4</x:v>
      </x:c>
      <x:c r="P1372" s="2" t="n">
        <x:f>MAX(0,ROUND('기준스탯 72종'!J62-X1372-AF1372,0))</x:f>
        <x:v>2</x:v>
      </x:c>
      <x:c r="Q1372" s="2" t="n">
        <x:f>MAX(0,ROUND('기준스탯 72종'!K62-Y1372-AG1372,0))</x:f>
        <x:v>7</x:v>
      </x:c>
      <x:c r="R1372" s="15" t="n">
        <x:f>'기준스탯 72종'!D62*G1372</x:f>
        <x:v>0</x:v>
      </x:c>
      <x:c r="S1372" s="15" t="n">
        <x:f>'기준스탯 72종'!E62*G1372</x:f>
        <x:v>0</x:v>
      </x:c>
      <x:c r="T1372" s="15" t="n">
        <x:f>'기준스탯 72종'!F62*G1372</x:f>
        <x:v>0</x:v>
      </x:c>
      <x:c r="U1372" s="15" t="n">
        <x:f>'기준스탯 72종'!G62*G1372</x:f>
        <x:v>0</x:v>
      </x:c>
      <x:c r="V1372" s="15" t="n">
        <x:f>'기준스탯 72종'!H62*G1372</x:f>
        <x:v>0</x:v>
      </x:c>
      <x:c r="W1372" s="15" t="n">
        <x:f>'기준스탯 72종'!I62*G1372</x:f>
        <x:v>0</x:v>
      </x:c>
      <x:c r="X1372" s="15" t="n">
        <x:f>'기준스탯 72종'!J62*G1372</x:f>
        <x:v>0</x:v>
      </x:c>
      <x:c r="Y1372" s="15" t="n">
        <x:f>'기준스탯 72종'!K62*G1372</x:f>
        <x:v>0</x:v>
      </x:c>
      <x:c r="Z1372" s="15" t="n">
        <x:f>'기준스탯 72종'!D62*H1372</x:f>
        <x:v>0.7200000000000002</x:v>
      </x:c>
      <x:c r="AA1372" s="15" t="n">
        <x:f>'기준스탯 72종'!E62*H1372</x:f>
        <x:v>1.0800000000000003</x:v>
      </x:c>
      <x:c r="AB1372" s="15" t="n">
        <x:f>'기준스탯 72종'!F62*H1372</x:f>
        <x:v>1.2000000000000002</x:v>
      </x:c>
      <x:c r="AC1372" s="15" t="n">
        <x:f>'기준스탯 72종'!G62*H1372</x:f>
        <x:v>0.6000000000000001</x:v>
      </x:c>
      <x:c r="AD1372" s="15" t="n">
        <x:f>'기준스탯 72종'!H62*H1372</x:f>
        <x:v>0.12000000000000002</x:v>
      </x:c>
      <x:c r="AE1372" s="15" t="n">
        <x:f>'기준스탯 72종'!I62*H1372</x:f>
        <x:v>0.6000000000000001</x:v>
      </x:c>
      <x:c r="AF1372" s="15" t="n">
        <x:f>'기준스탯 72종'!J62*H1372</x:f>
        <x:v>0.24000000000000005</x:v>
      </x:c>
      <x:c r="AG1372" s="15" t="n">
        <x:f>'기준스탯 72종'!K62*H1372</x:f>
        <x:v>0.9600000000000002</x:v>
      </x:c>
    </x:row>
    <x:row r="1373" ht="28" customHeight="1">
      <x:c r="A1373" s="2" t="n">
        <x:v>1366</x:v>
      </x:c>
      <x:c r="B1373" s="2" t="n">
        <x:v>55</x:v>
      </x:c>
      <x:c r="C1373" s="2" t="str">
        <x:v>염소자리</x:v>
      </x:c>
      <x:c r="D1373" s="2" t="str">
        <x:v>기사</x:v>
      </x:c>
      <x:c r="E1373" s="2" t="n">
        <x:v>1</x:v>
      </x:c>
      <x:c r="F1373" s="2" t="n">
        <x:v>4</x:v>
      </x:c>
      <x:c r="G1373" s="14" t="n">
        <x:f>('레벨 계산식'!$E$4-E1373)*'레벨 계산식'!$B$5</x:f>
        <x:v>0.5599999999999999</x:v>
      </x:c>
      <x:c r="H1373" s="14" t="n">
        <x:f>('등급 계산식'!$E$4-F1373)*'등급 계산식'!$B$5</x:f>
        <x:v>0.06000000000000001</x:v>
      </x:c>
      <x:c r="I1373" s="14" t="n">
        <x:f>1-G1373-H1373</x:f>
        <x:v>0.38000000000000006</x:v>
      </x:c>
      <x:c r="J1373" s="2" t="n">
        <x:f>MAX(1,ROUND('기준스탯 72종'!D62-R1373-Z1373,0))</x:f>
        <x:v>2</x:v>
      </x:c>
      <x:c r="K1373" s="2" t="n">
        <x:f>MAX(1,ROUND('기준스탯 72종'!E62-S1373-AA1373,0))</x:f>
        <x:v>3</x:v>
      </x:c>
      <x:c r="L1373" s="2" t="n">
        <x:f>MAX(1,ROUND('기준스탯 72종'!F62-T1373-AB1373,0))</x:f>
        <x:v>4</x:v>
      </x:c>
      <x:c r="M1373" s="2" t="n">
        <x:f>MAX(1,ROUND('기준스탯 72종'!G62-U1373-AC1373,0))</x:f>
        <x:v>2</x:v>
      </x:c>
      <x:c r="N1373" s="2" t="n">
        <x:f>MAX(0,ROUND('기준스탯 72종'!H62-V1373-AD1373,0))</x:f>
        <x:v>0</x:v>
      </x:c>
      <x:c r="O1373" s="2" t="n">
        <x:f>MAX(0,ROUND('기준스탯 72종'!I62-W1373-AE1373,0))</x:f>
        <x:v>2</x:v>
      </x:c>
      <x:c r="P1373" s="2" t="n">
        <x:f>MAX(0,ROUND('기준스탯 72종'!J62-X1373-AF1373,0))</x:f>
        <x:v>1</x:v>
      </x:c>
      <x:c r="Q1373" s="2" t="n">
        <x:f>MAX(0,ROUND('기준스탯 72종'!K62-Y1373-AG1373,0))</x:f>
        <x:v>3</x:v>
      </x:c>
      <x:c r="R1373" s="15" t="n">
        <x:f>'기준스탯 72종'!D62*G1373</x:f>
        <x:v>3.3599999999999994</x:v>
      </x:c>
      <x:c r="S1373" s="15" t="n">
        <x:f>'기준스탯 72종'!E62*G1373</x:f>
        <x:v>5.039999999999999</x:v>
      </x:c>
      <x:c r="T1373" s="15" t="n">
        <x:f>'기준스탯 72종'!F62*G1373</x:f>
        <x:v>5.6</x:v>
      </x:c>
      <x:c r="U1373" s="15" t="n">
        <x:f>'기준스탯 72종'!G62*G1373</x:f>
        <x:v>2.8</x:v>
      </x:c>
      <x:c r="V1373" s="15" t="n">
        <x:f>'기준스탯 72종'!H62*G1373</x:f>
        <x:v>0.5599999999999999</x:v>
      </x:c>
      <x:c r="W1373" s="15" t="n">
        <x:f>'기준스탯 72종'!I62*G1373</x:f>
        <x:v>2.8</x:v>
      </x:c>
      <x:c r="X1373" s="15" t="n">
        <x:f>'기준스탯 72종'!J62*G1373</x:f>
        <x:v>1.1199999999999999</x:v>
      </x:c>
      <x:c r="Y1373" s="15" t="n">
        <x:f>'기준스탯 72종'!K62*G1373</x:f>
        <x:v>4.4799999999999995</x:v>
      </x:c>
      <x:c r="Z1373" s="15" t="n">
        <x:f>'기준스탯 72종'!D62*H1373</x:f>
        <x:v>0.3600000000000001</x:v>
      </x:c>
      <x:c r="AA1373" s="15" t="n">
        <x:f>'기준스탯 72종'!E62*H1373</x:f>
        <x:v>0.5400000000000001</x:v>
      </x:c>
      <x:c r="AB1373" s="15" t="n">
        <x:f>'기준스탯 72종'!F62*H1373</x:f>
        <x:v>0.6000000000000001</x:v>
      </x:c>
      <x:c r="AC1373" s="15" t="n">
        <x:f>'기준스탯 72종'!G62*H1373</x:f>
        <x:v>0.30000000000000004</x:v>
      </x:c>
      <x:c r="AD1373" s="15" t="n">
        <x:f>'기준스탯 72종'!H62*H1373</x:f>
        <x:v>0.06000000000000001</x:v>
      </x:c>
      <x:c r="AE1373" s="15" t="n">
        <x:f>'기준스탯 72종'!I62*H1373</x:f>
        <x:v>0.30000000000000004</x:v>
      </x:c>
      <x:c r="AF1373" s="15" t="n">
        <x:f>'기준스탯 72종'!J62*H1373</x:f>
        <x:v>0.12000000000000002</x:v>
      </x:c>
      <x:c r="AG1373" s="15" t="n">
        <x:f>'기준스탯 72종'!K62*H1373</x:f>
        <x:v>0.4800000000000001</x:v>
      </x:c>
    </x:row>
    <x:row r="1374" ht="28" customHeight="1">
      <x:c r="A1374" s="2" t="n">
        <x:v>1367</x:v>
      </x:c>
      <x:c r="B1374" s="2" t="n">
        <x:v>55</x:v>
      </x:c>
      <x:c r="C1374" s="2" t="str">
        <x:v>염소자리</x:v>
      </x:c>
      <x:c r="D1374" s="2" t="str">
        <x:v>기사</x:v>
      </x:c>
      <x:c r="E1374" s="2" t="n">
        <x:v>2</x:v>
      </x:c>
      <x:c r="F1374" s="2" t="n">
        <x:v>4</x:v>
      </x:c>
      <x:c r="G1374" s="14" t="n">
        <x:f>('레벨 계산식'!$E$4-E1374)*'레벨 계산식'!$B$5</x:f>
        <x:v>0.41999999999999993</x:v>
      </x:c>
      <x:c r="H1374" s="14" t="n">
        <x:f>('등급 계산식'!$E$4-F1374)*'등급 계산식'!$B$5</x:f>
        <x:v>0.06000000000000001</x:v>
      </x:c>
      <x:c r="I1374" s="14" t="n">
        <x:f>1-G1374-H1374</x:f>
        <x:v>0.52</x:v>
      </x:c>
      <x:c r="J1374" s="2" t="n">
        <x:f>MAX(1,ROUND('기준스탯 72종'!D62-R1374-Z1374,0))</x:f>
        <x:v>3</x:v>
      </x:c>
      <x:c r="K1374" s="2" t="n">
        <x:f>MAX(1,ROUND('기준스탯 72종'!E62-S1374-AA1374,0))</x:f>
        <x:v>5</x:v>
      </x:c>
      <x:c r="L1374" s="2" t="n">
        <x:f>MAX(1,ROUND('기준스탯 72종'!F62-T1374-AB1374,0))</x:f>
        <x:v>5</x:v>
      </x:c>
      <x:c r="M1374" s="2" t="n">
        <x:f>MAX(1,ROUND('기준스탯 72종'!G62-U1374-AC1374,0))</x:f>
        <x:v>3</x:v>
      </x:c>
      <x:c r="N1374" s="2" t="n">
        <x:f>MAX(0,ROUND('기준스탯 72종'!H62-V1374-AD1374,0))</x:f>
        <x:v>1</x:v>
      </x:c>
      <x:c r="O1374" s="2" t="n">
        <x:f>MAX(0,ROUND('기준스탯 72종'!I62-W1374-AE1374,0))</x:f>
        <x:v>3</x:v>
      </x:c>
      <x:c r="P1374" s="2" t="n">
        <x:f>MAX(0,ROUND('기준스탯 72종'!J62-X1374-AF1374,0))</x:f>
        <x:v>1</x:v>
      </x:c>
      <x:c r="Q1374" s="2" t="n">
        <x:f>MAX(0,ROUND('기준스탯 72종'!K62-Y1374-AG1374,0))</x:f>
        <x:v>4</x:v>
      </x:c>
      <x:c r="R1374" s="15" t="n">
        <x:f>'기준스탯 72종'!D62*G1374</x:f>
        <x:v>2.5199999999999996</x:v>
      </x:c>
      <x:c r="S1374" s="15" t="n">
        <x:f>'기준스탯 72종'!E62*G1374</x:f>
        <x:v>3.7799999999999994</x:v>
      </x:c>
      <x:c r="T1374" s="15" t="n">
        <x:f>'기준스탯 72종'!F62*G1374</x:f>
        <x:v>4.199999999999999</x:v>
      </x:c>
      <x:c r="U1374" s="15" t="n">
        <x:f>'기준스탯 72종'!G62*G1374</x:f>
        <x:v>2.0999999999999996</x:v>
      </x:c>
      <x:c r="V1374" s="15" t="n">
        <x:f>'기준스탯 72종'!H62*G1374</x:f>
        <x:v>0.41999999999999993</x:v>
      </x:c>
      <x:c r="W1374" s="15" t="n">
        <x:f>'기준스탯 72종'!I62*G1374</x:f>
        <x:v>2.0999999999999996</x:v>
      </x:c>
      <x:c r="X1374" s="15" t="n">
        <x:f>'기준스탯 72종'!J62*G1374</x:f>
        <x:v>0.8399999999999999</x:v>
      </x:c>
      <x:c r="Y1374" s="15" t="n">
        <x:f>'기준스탯 72종'!K62*G1374</x:f>
        <x:v>3.3599999999999994</x:v>
      </x:c>
      <x:c r="Z1374" s="15" t="n">
        <x:f>'기준스탯 72종'!D62*H1374</x:f>
        <x:v>0.3600000000000001</x:v>
      </x:c>
      <x:c r="AA1374" s="15" t="n">
        <x:f>'기준스탯 72종'!E62*H1374</x:f>
        <x:v>0.5400000000000001</x:v>
      </x:c>
      <x:c r="AB1374" s="15" t="n">
        <x:f>'기준스탯 72종'!F62*H1374</x:f>
        <x:v>0.6000000000000001</x:v>
      </x:c>
      <x:c r="AC1374" s="15" t="n">
        <x:f>'기준스탯 72종'!G62*H1374</x:f>
        <x:v>0.30000000000000004</x:v>
      </x:c>
      <x:c r="AD1374" s="15" t="n">
        <x:f>'기준스탯 72종'!H62*H1374</x:f>
        <x:v>0.06000000000000001</x:v>
      </x:c>
      <x:c r="AE1374" s="15" t="n">
        <x:f>'기준스탯 72종'!I62*H1374</x:f>
        <x:v>0.30000000000000004</x:v>
      </x:c>
      <x:c r="AF1374" s="15" t="n">
        <x:f>'기준스탯 72종'!J62*H1374</x:f>
        <x:v>0.12000000000000002</x:v>
      </x:c>
      <x:c r="AG1374" s="15" t="n">
        <x:f>'기준스탯 72종'!K62*H1374</x:f>
        <x:v>0.4800000000000001</x:v>
      </x:c>
    </x:row>
    <x:row r="1375" ht="28" customHeight="1">
      <x:c r="A1375" s="2" t="n">
        <x:v>1368</x:v>
      </x:c>
      <x:c r="B1375" s="2" t="n">
        <x:v>55</x:v>
      </x:c>
      <x:c r="C1375" s="2" t="str">
        <x:v>염소자리</x:v>
      </x:c>
      <x:c r="D1375" s="2" t="str">
        <x:v>기사</x:v>
      </x:c>
      <x:c r="E1375" s="2" t="n">
        <x:v>3</x:v>
      </x:c>
      <x:c r="F1375" s="2" t="n">
        <x:v>4</x:v>
      </x:c>
      <x:c r="G1375" s="14" t="n">
        <x:f>('레벨 계산식'!$E$4-E1375)*'레벨 계산식'!$B$5</x:f>
        <x:v>0.27999999999999997</x:v>
      </x:c>
      <x:c r="H1375" s="14" t="n">
        <x:f>('등급 계산식'!$E$4-F1375)*'등급 계산식'!$B$5</x:f>
        <x:v>0.06000000000000001</x:v>
      </x:c>
      <x:c r="I1375" s="14" t="n">
        <x:f>1-G1375-H1375</x:f>
        <x:v>0.6599999999999999</x:v>
      </x:c>
      <x:c r="J1375" s="2" t="n">
        <x:f>MAX(1,ROUND('기준스탯 72종'!D62-R1375-Z1375,0))</x:f>
        <x:v>4</x:v>
      </x:c>
      <x:c r="K1375" s="2" t="n">
        <x:f>MAX(1,ROUND('기준스탯 72종'!E62-S1375-AA1375,0))</x:f>
        <x:v>6</x:v>
      </x:c>
      <x:c r="L1375" s="2" t="n">
        <x:f>MAX(1,ROUND('기준스탯 72종'!F62-T1375-AB1375,0))</x:f>
        <x:v>7</x:v>
      </x:c>
      <x:c r="M1375" s="2" t="n">
        <x:f>MAX(1,ROUND('기준스탯 72종'!G62-U1375-AC1375,0))</x:f>
        <x:v>3</x:v>
      </x:c>
      <x:c r="N1375" s="2" t="n">
        <x:f>MAX(0,ROUND('기준스탯 72종'!H62-V1375-AD1375,0))</x:f>
        <x:v>1</x:v>
      </x:c>
      <x:c r="O1375" s="2" t="n">
        <x:f>MAX(0,ROUND('기준스탯 72종'!I62-W1375-AE1375,0))</x:f>
        <x:v>3</x:v>
      </x:c>
      <x:c r="P1375" s="2" t="n">
        <x:f>MAX(0,ROUND('기준스탯 72종'!J62-X1375-AF1375,0))</x:f>
        <x:v>1</x:v>
      </x:c>
      <x:c r="Q1375" s="2" t="n">
        <x:f>MAX(0,ROUND('기준스탯 72종'!K62-Y1375-AG1375,0))</x:f>
        <x:v>5</x:v>
      </x:c>
      <x:c r="R1375" s="15" t="n">
        <x:f>'기준스탯 72종'!D62*G1375</x:f>
        <x:v>1.6799999999999997</x:v>
      </x:c>
      <x:c r="S1375" s="15" t="n">
        <x:f>'기준스탯 72종'!E62*G1375</x:f>
        <x:v>2.5199999999999996</x:v>
      </x:c>
      <x:c r="T1375" s="15" t="n">
        <x:f>'기준스탯 72종'!F62*G1375</x:f>
        <x:v>2.8</x:v>
      </x:c>
      <x:c r="U1375" s="15" t="n">
        <x:f>'기준스탯 72종'!G62*G1375</x:f>
        <x:v>1.4</x:v>
      </x:c>
      <x:c r="V1375" s="15" t="n">
        <x:f>'기준스탯 72종'!H62*G1375</x:f>
        <x:v>0.27999999999999997</x:v>
      </x:c>
      <x:c r="W1375" s="15" t="n">
        <x:f>'기준스탯 72종'!I62*G1375</x:f>
        <x:v>1.4</x:v>
      </x:c>
      <x:c r="X1375" s="15" t="n">
        <x:f>'기준스탯 72종'!J62*G1375</x:f>
        <x:v>0.5599999999999999</x:v>
      </x:c>
      <x:c r="Y1375" s="15" t="n">
        <x:f>'기준스탯 72종'!K62*G1375</x:f>
        <x:v>2.2399999999999998</x:v>
      </x:c>
      <x:c r="Z1375" s="15" t="n">
        <x:f>'기준스탯 72종'!D62*H1375</x:f>
        <x:v>0.3600000000000001</x:v>
      </x:c>
      <x:c r="AA1375" s="15" t="n">
        <x:f>'기준스탯 72종'!E62*H1375</x:f>
        <x:v>0.5400000000000001</x:v>
      </x:c>
      <x:c r="AB1375" s="15" t="n">
        <x:f>'기준스탯 72종'!F62*H1375</x:f>
        <x:v>0.6000000000000001</x:v>
      </x:c>
      <x:c r="AC1375" s="15" t="n">
        <x:f>'기준스탯 72종'!G62*H1375</x:f>
        <x:v>0.30000000000000004</x:v>
      </x:c>
      <x:c r="AD1375" s="15" t="n">
        <x:f>'기준스탯 72종'!H62*H1375</x:f>
        <x:v>0.06000000000000001</x:v>
      </x:c>
      <x:c r="AE1375" s="15" t="n">
        <x:f>'기준스탯 72종'!I62*H1375</x:f>
        <x:v>0.30000000000000004</x:v>
      </x:c>
      <x:c r="AF1375" s="15" t="n">
        <x:f>'기준스탯 72종'!J62*H1375</x:f>
        <x:v>0.12000000000000002</x:v>
      </x:c>
      <x:c r="AG1375" s="15" t="n">
        <x:f>'기준스탯 72종'!K62*H1375</x:f>
        <x:v>0.4800000000000001</x:v>
      </x:c>
    </x:row>
    <x:row r="1376" ht="28" customHeight="1">
      <x:c r="A1376" s="2" t="n">
        <x:v>1369</x:v>
      </x:c>
      <x:c r="B1376" s="2" t="n">
        <x:v>55</x:v>
      </x:c>
      <x:c r="C1376" s="2" t="str">
        <x:v>염소자리</x:v>
      </x:c>
      <x:c r="D1376" s="2" t="str">
        <x:v>기사</x:v>
      </x:c>
      <x:c r="E1376" s="2" t="n">
        <x:v>4</x:v>
      </x:c>
      <x:c r="F1376" s="2" t="n">
        <x:v>4</x:v>
      </x:c>
      <x:c r="G1376" s="14" t="n">
        <x:f>('레벨 계산식'!$E$4-E1376)*'레벨 계산식'!$B$5</x:f>
        <x:v>0.13999999999999999</x:v>
      </x:c>
      <x:c r="H1376" s="14" t="n">
        <x:f>('등급 계산식'!$E$4-F1376)*'등급 계산식'!$B$5</x:f>
        <x:v>0.06000000000000001</x:v>
      </x:c>
      <x:c r="I1376" s="14" t="n">
        <x:f>1-G1376-H1376</x:f>
        <x:v>0.7999999999999999</x:v>
      </x:c>
      <x:c r="J1376" s="2" t="n">
        <x:f>MAX(1,ROUND('기준스탯 72종'!D62-R1376-Z1376,0))</x:f>
        <x:v>5</x:v>
      </x:c>
      <x:c r="K1376" s="2" t="n">
        <x:f>MAX(1,ROUND('기준스탯 72종'!E62-S1376-AA1376,0))</x:f>
        <x:v>7</x:v>
      </x:c>
      <x:c r="L1376" s="2" t="n">
        <x:f>MAX(1,ROUND('기준스탯 72종'!F62-T1376-AB1376,0))</x:f>
        <x:v>8</x:v>
      </x:c>
      <x:c r="M1376" s="2" t="n">
        <x:f>MAX(1,ROUND('기준스탯 72종'!G62-U1376-AC1376,0))</x:f>
        <x:v>4</x:v>
      </x:c>
      <x:c r="N1376" s="2" t="n">
        <x:f>MAX(0,ROUND('기준스탯 72종'!H62-V1376-AD1376,0))</x:f>
        <x:v>1</x:v>
      </x:c>
      <x:c r="O1376" s="2" t="n">
        <x:f>MAX(0,ROUND('기준스탯 72종'!I62-W1376-AE1376,0))</x:f>
        <x:v>4</x:v>
      </x:c>
      <x:c r="P1376" s="2" t="n">
        <x:f>MAX(0,ROUND('기준스탯 72종'!J62-X1376-AF1376,0))</x:f>
        <x:v>2</x:v>
      </x:c>
      <x:c r="Q1376" s="2" t="n">
        <x:f>MAX(0,ROUND('기준스탯 72종'!K62-Y1376-AG1376,0))</x:f>
        <x:v>6</x:v>
      </x:c>
      <x:c r="R1376" s="15" t="n">
        <x:f>'기준스탯 72종'!D62*G1376</x:f>
        <x:v>0.8399999999999999</x:v>
      </x:c>
      <x:c r="S1376" s="15" t="n">
        <x:f>'기준스탯 72종'!E62*G1376</x:f>
        <x:v>1.2599999999999998</x:v>
      </x:c>
      <x:c r="T1376" s="15" t="n">
        <x:f>'기준스탯 72종'!F62*G1376</x:f>
        <x:v>1.4</x:v>
      </x:c>
      <x:c r="U1376" s="15" t="n">
        <x:f>'기준스탯 72종'!G62*G1376</x:f>
        <x:v>0.7</x:v>
      </x:c>
      <x:c r="V1376" s="15" t="n">
        <x:f>'기준스탯 72종'!H62*G1376</x:f>
        <x:v>0.13999999999999999</x:v>
      </x:c>
      <x:c r="W1376" s="15" t="n">
        <x:f>'기준스탯 72종'!I62*G1376</x:f>
        <x:v>0.7</x:v>
      </x:c>
      <x:c r="X1376" s="15" t="n">
        <x:f>'기준스탯 72종'!J62*G1376</x:f>
        <x:v>0.27999999999999997</x:v>
      </x:c>
      <x:c r="Y1376" s="15" t="n">
        <x:f>'기준스탯 72종'!K62*G1376</x:f>
        <x:v>1.1199999999999999</x:v>
      </x:c>
      <x:c r="Z1376" s="15" t="n">
        <x:f>'기준스탯 72종'!D62*H1376</x:f>
        <x:v>0.3600000000000001</x:v>
      </x:c>
      <x:c r="AA1376" s="15" t="n">
        <x:f>'기준스탯 72종'!E62*H1376</x:f>
        <x:v>0.5400000000000001</x:v>
      </x:c>
      <x:c r="AB1376" s="15" t="n">
        <x:f>'기준스탯 72종'!F62*H1376</x:f>
        <x:v>0.6000000000000001</x:v>
      </x:c>
      <x:c r="AC1376" s="15" t="n">
        <x:f>'기준스탯 72종'!G62*H1376</x:f>
        <x:v>0.30000000000000004</x:v>
      </x:c>
      <x:c r="AD1376" s="15" t="n">
        <x:f>'기준스탯 72종'!H62*H1376</x:f>
        <x:v>0.06000000000000001</x:v>
      </x:c>
      <x:c r="AE1376" s="15" t="n">
        <x:f>'기준스탯 72종'!I62*H1376</x:f>
        <x:v>0.30000000000000004</x:v>
      </x:c>
      <x:c r="AF1376" s="15" t="n">
        <x:f>'기준스탯 72종'!J62*H1376</x:f>
        <x:v>0.12000000000000002</x:v>
      </x:c>
      <x:c r="AG1376" s="15" t="n">
        <x:f>'기준스탯 72종'!K62*H1376</x:f>
        <x:v>0.4800000000000001</x:v>
      </x:c>
    </x:row>
    <x:row r="1377" ht="28" customHeight="1">
      <x:c r="A1377" s="2" t="n">
        <x:v>1370</x:v>
      </x:c>
      <x:c r="B1377" s="2" t="n">
        <x:v>55</x:v>
      </x:c>
      <x:c r="C1377" s="2" t="str">
        <x:v>염소자리</x:v>
      </x:c>
      <x:c r="D1377" s="2" t="str">
        <x:v>기사</x:v>
      </x:c>
      <x:c r="E1377" s="2" t="n">
        <x:v>5</x:v>
      </x:c>
      <x:c r="F1377" s="2" t="n">
        <x:v>4</x:v>
      </x:c>
      <x:c r="G1377" s="14" t="n">
        <x:f>('레벨 계산식'!$E$4-E1377)*'레벨 계산식'!$B$5</x:f>
        <x:v>0</x:v>
      </x:c>
      <x:c r="H1377" s="14" t="n">
        <x:f>('등급 계산식'!$E$4-F1377)*'등급 계산식'!$B$5</x:f>
        <x:v>0.06000000000000001</x:v>
      </x:c>
      <x:c r="I1377" s="14" t="n">
        <x:f>1-G1377-H1377</x:f>
        <x:v>0.94</x:v>
      </x:c>
      <x:c r="J1377" s="2" t="n">
        <x:f>MAX(1,ROUND('기준스탯 72종'!D62-R1377-Z1377,0))</x:f>
        <x:v>6</x:v>
      </x:c>
      <x:c r="K1377" s="2" t="n">
        <x:f>MAX(1,ROUND('기준스탯 72종'!E62-S1377-AA1377,0))</x:f>
        <x:v>8</x:v>
      </x:c>
      <x:c r="L1377" s="2" t="n">
        <x:f>MAX(1,ROUND('기준스탯 72종'!F62-T1377-AB1377,0))</x:f>
        <x:v>9</x:v>
      </x:c>
      <x:c r="M1377" s="2" t="n">
        <x:f>MAX(1,ROUND('기준스탯 72종'!G62-U1377-AC1377,0))</x:f>
        <x:v>5</x:v>
      </x:c>
      <x:c r="N1377" s="2" t="n">
        <x:f>MAX(0,ROUND('기준스탯 72종'!H62-V1377-AD1377,0))</x:f>
        <x:v>1</x:v>
      </x:c>
      <x:c r="O1377" s="2" t="n">
        <x:f>MAX(0,ROUND('기준스탯 72종'!I62-W1377-AE1377,0))</x:f>
        <x:v>5</x:v>
      </x:c>
      <x:c r="P1377" s="2" t="n">
        <x:f>MAX(0,ROUND('기준스탯 72종'!J62-X1377-AF1377,0))</x:f>
        <x:v>2</x:v>
      </x:c>
      <x:c r="Q1377" s="2" t="n">
        <x:f>MAX(0,ROUND('기준스탯 72종'!K62-Y1377-AG1377,0))</x:f>
        <x:v>8</x:v>
      </x:c>
      <x:c r="R1377" s="15" t="n">
        <x:f>'기준스탯 72종'!D62*G1377</x:f>
        <x:v>0</x:v>
      </x:c>
      <x:c r="S1377" s="15" t="n">
        <x:f>'기준스탯 72종'!E62*G1377</x:f>
        <x:v>0</x:v>
      </x:c>
      <x:c r="T1377" s="15" t="n">
        <x:f>'기준스탯 72종'!F62*G1377</x:f>
        <x:v>0</x:v>
      </x:c>
      <x:c r="U1377" s="15" t="n">
        <x:f>'기준스탯 72종'!G62*G1377</x:f>
        <x:v>0</x:v>
      </x:c>
      <x:c r="V1377" s="15" t="n">
        <x:f>'기준스탯 72종'!H62*G1377</x:f>
        <x:v>0</x:v>
      </x:c>
      <x:c r="W1377" s="15" t="n">
        <x:f>'기준스탯 72종'!I62*G1377</x:f>
        <x:v>0</x:v>
      </x:c>
      <x:c r="X1377" s="15" t="n">
        <x:f>'기준스탯 72종'!J62*G1377</x:f>
        <x:v>0</x:v>
      </x:c>
      <x:c r="Y1377" s="15" t="n">
        <x:f>'기준스탯 72종'!K62*G1377</x:f>
        <x:v>0</x:v>
      </x:c>
      <x:c r="Z1377" s="15" t="n">
        <x:f>'기준스탯 72종'!D62*H1377</x:f>
        <x:v>0.3600000000000001</x:v>
      </x:c>
      <x:c r="AA1377" s="15" t="n">
        <x:f>'기준스탯 72종'!E62*H1377</x:f>
        <x:v>0.5400000000000001</x:v>
      </x:c>
      <x:c r="AB1377" s="15" t="n">
        <x:f>'기준스탯 72종'!F62*H1377</x:f>
        <x:v>0.6000000000000001</x:v>
      </x:c>
      <x:c r="AC1377" s="15" t="n">
        <x:f>'기준스탯 72종'!G62*H1377</x:f>
        <x:v>0.30000000000000004</x:v>
      </x:c>
      <x:c r="AD1377" s="15" t="n">
        <x:f>'기준스탯 72종'!H62*H1377</x:f>
        <x:v>0.06000000000000001</x:v>
      </x:c>
      <x:c r="AE1377" s="15" t="n">
        <x:f>'기준스탯 72종'!I62*H1377</x:f>
        <x:v>0.30000000000000004</x:v>
      </x:c>
      <x:c r="AF1377" s="15" t="n">
        <x:f>'기준스탯 72종'!J62*H1377</x:f>
        <x:v>0.12000000000000002</x:v>
      </x:c>
      <x:c r="AG1377" s="15" t="n">
        <x:f>'기준스탯 72종'!K62*H1377</x:f>
        <x:v>0.4800000000000001</x:v>
      </x:c>
    </x:row>
    <x:row r="1378" ht="28" customHeight="1">
      <x:c r="A1378" s="2" t="n">
        <x:v>1371</x:v>
      </x:c>
      <x:c r="B1378" s="2" t="n">
        <x:v>55</x:v>
      </x:c>
      <x:c r="C1378" s="2" t="str">
        <x:v>염소자리</x:v>
      </x:c>
      <x:c r="D1378" s="2" t="str">
        <x:v>기사</x:v>
      </x:c>
      <x:c r="E1378" s="2" t="n">
        <x:v>1</x:v>
      </x:c>
      <x:c r="F1378" s="2" t="n">
        <x:v>5</x:v>
      </x:c>
      <x:c r="G1378" s="14" t="n">
        <x:f>('레벨 계산식'!$E$4-E1378)*'레벨 계산식'!$B$5</x:f>
        <x:v>0.5599999999999999</x:v>
      </x:c>
      <x:c r="H1378" s="14" t="n">
        <x:f>('등급 계산식'!$E$4-F1378)*'등급 계산식'!$B$5</x:f>
        <x:v>0</x:v>
      </x:c>
      <x:c r="I1378" s="14" t="n">
        <x:f>1-G1378-H1378</x:f>
        <x:v>0.44000000000000006</x:v>
      </x:c>
      <x:c r="J1378" s="2" t="n">
        <x:f>MAX(1,ROUND('기준스탯 72종'!D62-R1378-Z1378,0))</x:f>
        <x:v>3</x:v>
      </x:c>
      <x:c r="K1378" s="2" t="n">
        <x:f>MAX(1,ROUND('기준스탯 72종'!E62-S1378-AA1378,0))</x:f>
        <x:v>4</x:v>
      </x:c>
      <x:c r="L1378" s="2" t="n">
        <x:f>MAX(1,ROUND('기준스탯 72종'!F62-T1378-AB1378,0))</x:f>
        <x:v>4</x:v>
      </x:c>
      <x:c r="M1378" s="2" t="n">
        <x:f>MAX(1,ROUND('기준스탯 72종'!G62-U1378-AC1378,0))</x:f>
        <x:v>2</x:v>
      </x:c>
      <x:c r="N1378" s="2" t="n">
        <x:f>MAX(0,ROUND('기준스탯 72종'!H62-V1378-AD1378,0))</x:f>
        <x:v>0</x:v>
      </x:c>
      <x:c r="O1378" s="2" t="n">
        <x:f>MAX(0,ROUND('기준스탯 72종'!I62-W1378-AE1378,0))</x:f>
        <x:v>2</x:v>
      </x:c>
      <x:c r="P1378" s="2" t="n">
        <x:f>MAX(0,ROUND('기준스탯 72종'!J62-X1378-AF1378,0))</x:f>
        <x:v>1</x:v>
      </x:c>
      <x:c r="Q1378" s="2" t="n">
        <x:f>MAX(0,ROUND('기준스탯 72종'!K62-Y1378-AG1378,0))</x:f>
        <x:v>4</x:v>
      </x:c>
      <x:c r="R1378" s="15" t="n">
        <x:f>'기준스탯 72종'!D62*G1378</x:f>
        <x:v>3.3599999999999994</x:v>
      </x:c>
      <x:c r="S1378" s="15" t="n">
        <x:f>'기준스탯 72종'!E62*G1378</x:f>
        <x:v>5.039999999999999</x:v>
      </x:c>
      <x:c r="T1378" s="15" t="n">
        <x:f>'기준스탯 72종'!F62*G1378</x:f>
        <x:v>5.6</x:v>
      </x:c>
      <x:c r="U1378" s="15" t="n">
        <x:f>'기준스탯 72종'!G62*G1378</x:f>
        <x:v>2.8</x:v>
      </x:c>
      <x:c r="V1378" s="15" t="n">
        <x:f>'기준스탯 72종'!H62*G1378</x:f>
        <x:v>0.5599999999999999</x:v>
      </x:c>
      <x:c r="W1378" s="15" t="n">
        <x:f>'기준스탯 72종'!I62*G1378</x:f>
        <x:v>2.8</x:v>
      </x:c>
      <x:c r="X1378" s="15" t="n">
        <x:f>'기준스탯 72종'!J62*G1378</x:f>
        <x:v>1.1199999999999999</x:v>
      </x:c>
      <x:c r="Y1378" s="15" t="n">
        <x:f>'기준스탯 72종'!K62*G1378</x:f>
        <x:v>4.4799999999999995</x:v>
      </x:c>
      <x:c r="Z1378" s="15" t="n">
        <x:f>'기준스탯 72종'!D62*H1378</x:f>
        <x:v>0</x:v>
      </x:c>
      <x:c r="AA1378" s="15" t="n">
        <x:f>'기준스탯 72종'!E62*H1378</x:f>
        <x:v>0</x:v>
      </x:c>
      <x:c r="AB1378" s="15" t="n">
        <x:f>'기준스탯 72종'!F62*H1378</x:f>
        <x:v>0</x:v>
      </x:c>
      <x:c r="AC1378" s="15" t="n">
        <x:f>'기준스탯 72종'!G62*H1378</x:f>
        <x:v>0</x:v>
      </x:c>
      <x:c r="AD1378" s="15" t="n">
        <x:f>'기준스탯 72종'!H62*H1378</x:f>
        <x:v>0</x:v>
      </x:c>
      <x:c r="AE1378" s="15" t="n">
        <x:f>'기준스탯 72종'!I62*H1378</x:f>
        <x:v>0</x:v>
      </x:c>
      <x:c r="AF1378" s="15" t="n">
        <x:f>'기준스탯 72종'!J62*H1378</x:f>
        <x:v>0</x:v>
      </x:c>
      <x:c r="AG1378" s="15" t="n">
        <x:f>'기준스탯 72종'!K62*H1378</x:f>
        <x:v>0</x:v>
      </x:c>
    </x:row>
    <x:row r="1379" ht="28" customHeight="1">
      <x:c r="A1379" s="2" t="n">
        <x:v>1372</x:v>
      </x:c>
      <x:c r="B1379" s="2" t="n">
        <x:v>55</x:v>
      </x:c>
      <x:c r="C1379" s="2" t="str">
        <x:v>염소자리</x:v>
      </x:c>
      <x:c r="D1379" s="2" t="str">
        <x:v>기사</x:v>
      </x:c>
      <x:c r="E1379" s="2" t="n">
        <x:v>2</x:v>
      </x:c>
      <x:c r="F1379" s="2" t="n">
        <x:v>5</x:v>
      </x:c>
      <x:c r="G1379" s="14" t="n">
        <x:f>('레벨 계산식'!$E$4-E1379)*'레벨 계산식'!$B$5</x:f>
        <x:v>0.41999999999999993</x:v>
      </x:c>
      <x:c r="H1379" s="14" t="n">
        <x:f>('등급 계산식'!$E$4-F1379)*'등급 계산식'!$B$5</x:f>
        <x:v>0</x:v>
      </x:c>
      <x:c r="I1379" s="14" t="n">
        <x:f>1-G1379-H1379</x:f>
        <x:v>0.5800000000000001</x:v>
      </x:c>
      <x:c r="J1379" s="2" t="n">
        <x:f>MAX(1,ROUND('기준스탯 72종'!D62-R1379-Z1379,0))</x:f>
        <x:v>3</x:v>
      </x:c>
      <x:c r="K1379" s="2" t="n">
        <x:f>MAX(1,ROUND('기준스탯 72종'!E62-S1379-AA1379,0))</x:f>
        <x:v>5</x:v>
      </x:c>
      <x:c r="L1379" s="2" t="n">
        <x:f>MAX(1,ROUND('기준스탯 72종'!F62-T1379-AB1379,0))</x:f>
        <x:v>6</x:v>
      </x:c>
      <x:c r="M1379" s="2" t="n">
        <x:f>MAX(1,ROUND('기준스탯 72종'!G62-U1379-AC1379,0))</x:f>
        <x:v>3</x:v>
      </x:c>
      <x:c r="N1379" s="2" t="n">
        <x:f>MAX(0,ROUND('기준스탯 72종'!H62-V1379-AD1379,0))</x:f>
        <x:v>1</x:v>
      </x:c>
      <x:c r="O1379" s="2" t="n">
        <x:f>MAX(0,ROUND('기준스탯 72종'!I62-W1379-AE1379,0))</x:f>
        <x:v>3</x:v>
      </x:c>
      <x:c r="P1379" s="2" t="n">
        <x:f>MAX(0,ROUND('기준스탯 72종'!J62-X1379-AF1379,0))</x:f>
        <x:v>1</x:v>
      </x:c>
      <x:c r="Q1379" s="2" t="n">
        <x:f>MAX(0,ROUND('기준스탯 72종'!K62-Y1379-AG1379,0))</x:f>
        <x:v>5</x:v>
      </x:c>
      <x:c r="R1379" s="15" t="n">
        <x:f>'기준스탯 72종'!D62*G1379</x:f>
        <x:v>2.5199999999999996</x:v>
      </x:c>
      <x:c r="S1379" s="15" t="n">
        <x:f>'기준스탯 72종'!E62*G1379</x:f>
        <x:v>3.7799999999999994</x:v>
      </x:c>
      <x:c r="T1379" s="15" t="n">
        <x:f>'기준스탯 72종'!F62*G1379</x:f>
        <x:v>4.199999999999999</x:v>
      </x:c>
      <x:c r="U1379" s="15" t="n">
        <x:f>'기준스탯 72종'!G62*G1379</x:f>
        <x:v>2.0999999999999996</x:v>
      </x:c>
      <x:c r="V1379" s="15" t="n">
        <x:f>'기준스탯 72종'!H62*G1379</x:f>
        <x:v>0.41999999999999993</x:v>
      </x:c>
      <x:c r="W1379" s="15" t="n">
        <x:f>'기준스탯 72종'!I62*G1379</x:f>
        <x:v>2.0999999999999996</x:v>
      </x:c>
      <x:c r="X1379" s="15" t="n">
        <x:f>'기준스탯 72종'!J62*G1379</x:f>
        <x:v>0.8399999999999999</x:v>
      </x:c>
      <x:c r="Y1379" s="15" t="n">
        <x:f>'기준스탯 72종'!K62*G1379</x:f>
        <x:v>3.3599999999999994</x:v>
      </x:c>
      <x:c r="Z1379" s="15" t="n">
        <x:f>'기준스탯 72종'!D62*H1379</x:f>
        <x:v>0</x:v>
      </x:c>
      <x:c r="AA1379" s="15" t="n">
        <x:f>'기준스탯 72종'!E62*H1379</x:f>
        <x:v>0</x:v>
      </x:c>
      <x:c r="AB1379" s="15" t="n">
        <x:f>'기준스탯 72종'!F62*H1379</x:f>
        <x:v>0</x:v>
      </x:c>
      <x:c r="AC1379" s="15" t="n">
        <x:f>'기준스탯 72종'!G62*H1379</x:f>
        <x:v>0</x:v>
      </x:c>
      <x:c r="AD1379" s="15" t="n">
        <x:f>'기준스탯 72종'!H62*H1379</x:f>
        <x:v>0</x:v>
      </x:c>
      <x:c r="AE1379" s="15" t="n">
        <x:f>'기준스탯 72종'!I62*H1379</x:f>
        <x:v>0</x:v>
      </x:c>
      <x:c r="AF1379" s="15" t="n">
        <x:f>'기준스탯 72종'!J62*H1379</x:f>
        <x:v>0</x:v>
      </x:c>
      <x:c r="AG1379" s="15" t="n">
        <x:f>'기준스탯 72종'!K62*H1379</x:f>
        <x:v>0</x:v>
      </x:c>
    </x:row>
    <x:row r="1380" ht="28" customHeight="1">
      <x:c r="A1380" s="2" t="n">
        <x:v>1373</x:v>
      </x:c>
      <x:c r="B1380" s="2" t="n">
        <x:v>55</x:v>
      </x:c>
      <x:c r="C1380" s="2" t="str">
        <x:v>염소자리</x:v>
      </x:c>
      <x:c r="D1380" s="2" t="str">
        <x:v>기사</x:v>
      </x:c>
      <x:c r="E1380" s="2" t="n">
        <x:v>3</x:v>
      </x:c>
      <x:c r="F1380" s="2" t="n">
        <x:v>5</x:v>
      </x:c>
      <x:c r="G1380" s="14" t="n">
        <x:f>('레벨 계산식'!$E$4-E1380)*'레벨 계산식'!$B$5</x:f>
        <x:v>0.27999999999999997</x:v>
      </x:c>
      <x:c r="H1380" s="14" t="n">
        <x:f>('등급 계산식'!$E$4-F1380)*'등급 계산식'!$B$5</x:f>
        <x:v>0</x:v>
      </x:c>
      <x:c r="I1380" s="14" t="n">
        <x:f>1-G1380-H1380</x:f>
        <x:v>0.72</x:v>
      </x:c>
      <x:c r="J1380" s="2" t="n">
        <x:f>MAX(1,ROUND('기준스탯 72종'!D62-R1380-Z1380,0))</x:f>
        <x:v>4</x:v>
      </x:c>
      <x:c r="K1380" s="2" t="n">
        <x:f>MAX(1,ROUND('기준스탯 72종'!E62-S1380-AA1380,0))</x:f>
        <x:v>6</x:v>
      </x:c>
      <x:c r="L1380" s="2" t="n">
        <x:f>MAX(1,ROUND('기준스탯 72종'!F62-T1380-AB1380,0))</x:f>
        <x:v>7</x:v>
      </x:c>
      <x:c r="M1380" s="2" t="n">
        <x:f>MAX(1,ROUND('기준스탯 72종'!G62-U1380-AC1380,0))</x:f>
        <x:v>4</x:v>
      </x:c>
      <x:c r="N1380" s="2" t="n">
        <x:f>MAX(0,ROUND('기준스탯 72종'!H62-V1380-AD1380,0))</x:f>
        <x:v>1</x:v>
      </x:c>
      <x:c r="O1380" s="2" t="n">
        <x:f>MAX(0,ROUND('기준스탯 72종'!I62-W1380-AE1380,0))</x:f>
        <x:v>4</x:v>
      </x:c>
      <x:c r="P1380" s="2" t="n">
        <x:f>MAX(0,ROUND('기준스탯 72종'!J62-X1380-AF1380,0))</x:f>
        <x:v>1</x:v>
      </x:c>
      <x:c r="Q1380" s="2" t="n">
        <x:f>MAX(0,ROUND('기준스탯 72종'!K62-Y1380-AG1380,0))</x:f>
        <x:v>6</x:v>
      </x:c>
      <x:c r="R1380" s="15" t="n">
        <x:f>'기준스탯 72종'!D62*G1380</x:f>
        <x:v>1.6799999999999997</x:v>
      </x:c>
      <x:c r="S1380" s="15" t="n">
        <x:f>'기준스탯 72종'!E62*G1380</x:f>
        <x:v>2.5199999999999996</x:v>
      </x:c>
      <x:c r="T1380" s="15" t="n">
        <x:f>'기준스탯 72종'!F62*G1380</x:f>
        <x:v>2.8</x:v>
      </x:c>
      <x:c r="U1380" s="15" t="n">
        <x:f>'기준스탯 72종'!G62*G1380</x:f>
        <x:v>1.4</x:v>
      </x:c>
      <x:c r="V1380" s="15" t="n">
        <x:f>'기준스탯 72종'!H62*G1380</x:f>
        <x:v>0.27999999999999997</x:v>
      </x:c>
      <x:c r="W1380" s="15" t="n">
        <x:f>'기준스탯 72종'!I62*G1380</x:f>
        <x:v>1.4</x:v>
      </x:c>
      <x:c r="X1380" s="15" t="n">
        <x:f>'기준스탯 72종'!J62*G1380</x:f>
        <x:v>0.5599999999999999</x:v>
      </x:c>
      <x:c r="Y1380" s="15" t="n">
        <x:f>'기준스탯 72종'!K62*G1380</x:f>
        <x:v>2.2399999999999998</x:v>
      </x:c>
      <x:c r="Z1380" s="15" t="n">
        <x:f>'기준스탯 72종'!D62*H1380</x:f>
        <x:v>0</x:v>
      </x:c>
      <x:c r="AA1380" s="15" t="n">
        <x:f>'기준스탯 72종'!E62*H1380</x:f>
        <x:v>0</x:v>
      </x:c>
      <x:c r="AB1380" s="15" t="n">
        <x:f>'기준스탯 72종'!F62*H1380</x:f>
        <x:v>0</x:v>
      </x:c>
      <x:c r="AC1380" s="15" t="n">
        <x:f>'기준스탯 72종'!G62*H1380</x:f>
        <x:v>0</x:v>
      </x:c>
      <x:c r="AD1380" s="15" t="n">
        <x:f>'기준스탯 72종'!H62*H1380</x:f>
        <x:v>0</x:v>
      </x:c>
      <x:c r="AE1380" s="15" t="n">
        <x:f>'기준스탯 72종'!I62*H1380</x:f>
        <x:v>0</x:v>
      </x:c>
      <x:c r="AF1380" s="15" t="n">
        <x:f>'기준스탯 72종'!J62*H1380</x:f>
        <x:v>0</x:v>
      </x:c>
      <x:c r="AG1380" s="15" t="n">
        <x:f>'기준스탯 72종'!K62*H1380</x:f>
        <x:v>0</x:v>
      </x:c>
    </x:row>
    <x:row r="1381" ht="28" customHeight="1">
      <x:c r="A1381" s="2" t="n">
        <x:v>1374</x:v>
      </x:c>
      <x:c r="B1381" s="2" t="n">
        <x:v>55</x:v>
      </x:c>
      <x:c r="C1381" s="2" t="str">
        <x:v>염소자리</x:v>
      </x:c>
      <x:c r="D1381" s="2" t="str">
        <x:v>기사</x:v>
      </x:c>
      <x:c r="E1381" s="2" t="n">
        <x:v>4</x:v>
      </x:c>
      <x:c r="F1381" s="2" t="n">
        <x:v>5</x:v>
      </x:c>
      <x:c r="G1381" s="14" t="n">
        <x:f>('레벨 계산식'!$E$4-E1381)*'레벨 계산식'!$B$5</x:f>
        <x:v>0.13999999999999999</x:v>
      </x:c>
      <x:c r="H1381" s="14" t="n">
        <x:f>('등급 계산식'!$E$4-F1381)*'등급 계산식'!$B$5</x:f>
        <x:v>0</x:v>
      </x:c>
      <x:c r="I1381" s="14" t="n">
        <x:f>1-G1381-H1381</x:f>
        <x:v>0.86</x:v>
      </x:c>
      <x:c r="J1381" s="2" t="n">
        <x:f>MAX(1,ROUND('기준스탯 72종'!D62-R1381-Z1381,0))</x:f>
        <x:v>5</x:v>
      </x:c>
      <x:c r="K1381" s="2" t="n">
        <x:f>MAX(1,ROUND('기준스탯 72종'!E62-S1381-AA1381,0))</x:f>
        <x:v>8</x:v>
      </x:c>
      <x:c r="L1381" s="2" t="n">
        <x:f>MAX(1,ROUND('기준스탯 72종'!F62-T1381-AB1381,0))</x:f>
        <x:v>9</x:v>
      </x:c>
      <x:c r="M1381" s="2" t="n">
        <x:f>MAX(1,ROUND('기준스탯 72종'!G62-U1381-AC1381,0))</x:f>
        <x:v>4</x:v>
      </x:c>
      <x:c r="N1381" s="2" t="n">
        <x:f>MAX(0,ROUND('기준스탯 72종'!H62-V1381-AD1381,0))</x:f>
        <x:v>1</x:v>
      </x:c>
      <x:c r="O1381" s="2" t="n">
        <x:f>MAX(0,ROUND('기준스탯 72종'!I62-W1381-AE1381,0))</x:f>
        <x:v>4</x:v>
      </x:c>
      <x:c r="P1381" s="2" t="n">
        <x:f>MAX(0,ROUND('기준스탯 72종'!J62-X1381-AF1381,0))</x:f>
        <x:v>2</x:v>
      </x:c>
      <x:c r="Q1381" s="2" t="n">
        <x:f>MAX(0,ROUND('기준스탯 72종'!K62-Y1381-AG1381,0))</x:f>
        <x:v>7</x:v>
      </x:c>
      <x:c r="R1381" s="15" t="n">
        <x:f>'기준스탯 72종'!D62*G1381</x:f>
        <x:v>0.8399999999999999</x:v>
      </x:c>
      <x:c r="S1381" s="15" t="n">
        <x:f>'기준스탯 72종'!E62*G1381</x:f>
        <x:v>1.2599999999999998</x:v>
      </x:c>
      <x:c r="T1381" s="15" t="n">
        <x:f>'기준스탯 72종'!F62*G1381</x:f>
        <x:v>1.4</x:v>
      </x:c>
      <x:c r="U1381" s="15" t="n">
        <x:f>'기준스탯 72종'!G62*G1381</x:f>
        <x:v>0.7</x:v>
      </x:c>
      <x:c r="V1381" s="15" t="n">
        <x:f>'기준스탯 72종'!H62*G1381</x:f>
        <x:v>0.13999999999999999</x:v>
      </x:c>
      <x:c r="W1381" s="15" t="n">
        <x:f>'기준스탯 72종'!I62*G1381</x:f>
        <x:v>0.7</x:v>
      </x:c>
      <x:c r="X1381" s="15" t="n">
        <x:f>'기준스탯 72종'!J62*G1381</x:f>
        <x:v>0.27999999999999997</x:v>
      </x:c>
      <x:c r="Y1381" s="15" t="n">
        <x:f>'기준스탯 72종'!K62*G1381</x:f>
        <x:v>1.1199999999999999</x:v>
      </x:c>
      <x:c r="Z1381" s="15" t="n">
        <x:f>'기준스탯 72종'!D62*H1381</x:f>
        <x:v>0</x:v>
      </x:c>
      <x:c r="AA1381" s="15" t="n">
        <x:f>'기준스탯 72종'!E62*H1381</x:f>
        <x:v>0</x:v>
      </x:c>
      <x:c r="AB1381" s="15" t="n">
        <x:f>'기준스탯 72종'!F62*H1381</x:f>
        <x:v>0</x:v>
      </x:c>
      <x:c r="AC1381" s="15" t="n">
        <x:f>'기준스탯 72종'!G62*H1381</x:f>
        <x:v>0</x:v>
      </x:c>
      <x:c r="AD1381" s="15" t="n">
        <x:f>'기준스탯 72종'!H62*H1381</x:f>
        <x:v>0</x:v>
      </x:c>
      <x:c r="AE1381" s="15" t="n">
        <x:f>'기준스탯 72종'!I62*H1381</x:f>
        <x:v>0</x:v>
      </x:c>
      <x:c r="AF1381" s="15" t="n">
        <x:f>'기준스탯 72종'!J62*H1381</x:f>
        <x:v>0</x:v>
      </x:c>
      <x:c r="AG1381" s="15" t="n">
        <x:f>'기준스탯 72종'!K62*H1381</x:f>
        <x:v>0</x:v>
      </x:c>
    </x:row>
    <x:row r="1382" ht="28" customHeight="1">
      <x:c r="A1382" s="2" t="n">
        <x:v>1375</x:v>
      </x:c>
      <x:c r="B1382" s="2" t="n">
        <x:v>55</x:v>
      </x:c>
      <x:c r="C1382" s="2" t="str">
        <x:v>염소자리</x:v>
      </x:c>
      <x:c r="D1382" s="2" t="str">
        <x:v>기사</x:v>
      </x:c>
      <x:c r="E1382" s="2" t="n">
        <x:v>5</x:v>
      </x:c>
      <x:c r="F1382" s="2" t="n">
        <x:v>5</x:v>
      </x:c>
      <x:c r="G1382" s="14" t="n">
        <x:f>('레벨 계산식'!$E$4-E1382)*'레벨 계산식'!$B$5</x:f>
        <x:v>0</x:v>
      </x:c>
      <x:c r="H1382" s="14" t="n">
        <x:f>('등급 계산식'!$E$4-F1382)*'등급 계산식'!$B$5</x:f>
        <x:v>0</x:v>
      </x:c>
      <x:c r="I1382" s="14" t="n">
        <x:f>1-G1382-H1382</x:f>
        <x:v>1</x:v>
      </x:c>
      <x:c r="J1382" s="2" t="n">
        <x:f>MAX(1,ROUND('기준스탯 72종'!D62-R1382-Z1382,0))</x:f>
        <x:v>6</x:v>
      </x:c>
      <x:c r="K1382" s="2" t="n">
        <x:f>MAX(1,ROUND('기준스탯 72종'!E62-S1382-AA1382,0))</x:f>
        <x:v>9</x:v>
      </x:c>
      <x:c r="L1382" s="2" t="n">
        <x:f>MAX(1,ROUND('기준스탯 72종'!F62-T1382-AB1382,0))</x:f>
        <x:v>10</x:v>
      </x:c>
      <x:c r="M1382" s="2" t="n">
        <x:f>MAX(1,ROUND('기준스탯 72종'!G62-U1382-AC1382,0))</x:f>
        <x:v>5</x:v>
      </x:c>
      <x:c r="N1382" s="2" t="n">
        <x:f>MAX(0,ROUND('기준스탯 72종'!H62-V1382-AD1382,0))</x:f>
        <x:v>1</x:v>
      </x:c>
      <x:c r="O1382" s="2" t="n">
        <x:f>MAX(0,ROUND('기준스탯 72종'!I62-W1382-AE1382,0))</x:f>
        <x:v>5</x:v>
      </x:c>
      <x:c r="P1382" s="2" t="n">
        <x:f>MAX(0,ROUND('기준스탯 72종'!J62-X1382-AF1382,0))</x:f>
        <x:v>2</x:v>
      </x:c>
      <x:c r="Q1382" s="2" t="n">
        <x:f>MAX(0,ROUND('기준스탯 72종'!K62-Y1382-AG1382,0))</x:f>
        <x:v>8</x:v>
      </x:c>
      <x:c r="R1382" s="15" t="n">
        <x:f>'기준스탯 72종'!D62*G1382</x:f>
        <x:v>0</x:v>
      </x:c>
      <x:c r="S1382" s="15" t="n">
        <x:f>'기준스탯 72종'!E62*G1382</x:f>
        <x:v>0</x:v>
      </x:c>
      <x:c r="T1382" s="15" t="n">
        <x:f>'기준스탯 72종'!F62*G1382</x:f>
        <x:v>0</x:v>
      </x:c>
      <x:c r="U1382" s="15" t="n">
        <x:f>'기준스탯 72종'!G62*G1382</x:f>
        <x:v>0</x:v>
      </x:c>
      <x:c r="V1382" s="15" t="n">
        <x:f>'기준스탯 72종'!H62*G1382</x:f>
        <x:v>0</x:v>
      </x:c>
      <x:c r="W1382" s="15" t="n">
        <x:f>'기준스탯 72종'!I62*G1382</x:f>
        <x:v>0</x:v>
      </x:c>
      <x:c r="X1382" s="15" t="n">
        <x:f>'기준스탯 72종'!J62*G1382</x:f>
        <x:v>0</x:v>
      </x:c>
      <x:c r="Y1382" s="15" t="n">
        <x:f>'기준스탯 72종'!K62*G1382</x:f>
        <x:v>0</x:v>
      </x:c>
      <x:c r="Z1382" s="15" t="n">
        <x:f>'기준스탯 72종'!D62*H1382</x:f>
        <x:v>0</x:v>
      </x:c>
      <x:c r="AA1382" s="15" t="n">
        <x:f>'기준스탯 72종'!E62*H1382</x:f>
        <x:v>0</x:v>
      </x:c>
      <x:c r="AB1382" s="15" t="n">
        <x:f>'기준스탯 72종'!F62*H1382</x:f>
        <x:v>0</x:v>
      </x:c>
      <x:c r="AC1382" s="15" t="n">
        <x:f>'기준스탯 72종'!G62*H1382</x:f>
        <x:v>0</x:v>
      </x:c>
      <x:c r="AD1382" s="15" t="n">
        <x:f>'기준스탯 72종'!H62*H1382</x:f>
        <x:v>0</x:v>
      </x:c>
      <x:c r="AE1382" s="15" t="n">
        <x:f>'기준스탯 72종'!I62*H1382</x:f>
        <x:v>0</x:v>
      </x:c>
      <x:c r="AF1382" s="15" t="n">
        <x:f>'기준스탯 72종'!J62*H1382</x:f>
        <x:v>0</x:v>
      </x:c>
      <x:c r="AG1382" s="15" t="n">
        <x:f>'기준스탯 72종'!K62*H1382</x:f>
        <x:v>0</x:v>
      </x:c>
    </x:row>
    <x:row r="1383" ht="28" customHeight="1">
      <x:c r="A1383" s="2" t="n">
        <x:v>1376</x:v>
      </x:c>
      <x:c r="B1383" s="2" t="n">
        <x:v>56</x:v>
      </x:c>
      <x:c r="C1383" s="2" t="str">
        <x:v>염소자리</x:v>
      </x:c>
      <x:c r="D1383" s="2" t="str">
        <x:v>마도사</x:v>
      </x:c>
      <x:c r="E1383" s="2" t="n">
        <x:v>1</x:v>
      </x:c>
      <x:c r="F1383" s="2" t="n">
        <x:v>1</x:v>
      </x:c>
      <x:c r="G1383" s="14" t="n">
        <x:f>('레벨 계산식'!$E$4-E1383)*'레벨 계산식'!$B$5</x:f>
        <x:v>0.5599999999999999</x:v>
      </x:c>
      <x:c r="H1383" s="14" t="n">
        <x:f>('등급 계산식'!$E$4-F1383)*'등급 계산식'!$B$5</x:f>
        <x:v>0.24000000000000005</x:v>
      </x:c>
      <x:c r="I1383" s="14" t="n">
        <x:f>1-G1383-H1383</x:f>
        <x:v>0.2</x:v>
      </x:c>
      <x:c r="J1383" s="2" t="n">
        <x:f>MAX(1,ROUND('기준스탯 72종'!D63-R1383-Z1383,0))</x:f>
        <x:v>2</x:v>
      </x:c>
      <x:c r="K1383" s="2" t="n">
        <x:f>MAX(1,ROUND('기준스탯 72종'!E63-S1383-AA1383,0))</x:f>
        <x:v>1</x:v>
      </x:c>
      <x:c r="L1383" s="2" t="n">
        <x:f>MAX(1,ROUND('기준스탯 72종'!F63-T1383-AB1383,0))</x:f>
        <x:v>2</x:v>
      </x:c>
      <x:c r="M1383" s="2" t="n">
        <x:f>MAX(1,ROUND('기준스탯 72종'!G63-U1383-AC1383,0))</x:f>
        <x:v>1</x:v>
      </x:c>
      <x:c r="N1383" s="2" t="n">
        <x:f>MAX(0,ROUND('기준스탯 72종'!H63-V1383-AD1383,0))</x:f>
        <x:v>0</x:v>
      </x:c>
      <x:c r="O1383" s="2" t="n">
        <x:f>MAX(0,ROUND('기준스탯 72종'!I63-W1383-AE1383,0))</x:f>
        <x:v>1</x:v>
      </x:c>
      <x:c r="P1383" s="2" t="n">
        <x:f>MAX(0,ROUND('기준스탯 72종'!J63-X1383-AF1383,0))</x:f>
        <x:v>0</x:v>
      </x:c>
      <x:c r="Q1383" s="2" t="n">
        <x:f>MAX(0,ROUND('기준스탯 72종'!K63-Y1383-AG1383,0))</x:f>
        <x:v>1</x:v>
      </x:c>
      <x:c r="R1383" s="15" t="n">
        <x:f>'기준스탯 72종'!D63*G1383</x:f>
        <x:v>4.4799999999999995</x:v>
      </x:c>
      <x:c r="S1383" s="15" t="n">
        <x:f>'기준스탯 72종'!E63*G1383</x:f>
        <x:v>3.9199999999999995</x:v>
      </x:c>
      <x:c r="T1383" s="15" t="n">
        <x:f>'기준스탯 72종'!F63*G1383</x:f>
        <x:v>4.4799999999999995</x:v>
      </x:c>
      <x:c r="U1383" s="15" t="n">
        <x:f>'기준스탯 72종'!G63*G1383</x:f>
        <x:v>3.3599999999999994</x:v>
      </x:c>
      <x:c r="V1383" s="15" t="n">
        <x:f>'기준스탯 72종'!H63*G1383</x:f>
        <x:v>1.1199999999999999</x:v>
      </x:c>
      <x:c r="W1383" s="15" t="n">
        <x:f>'기준스탯 72종'!I63*G1383</x:f>
        <x:v>3.9199999999999995</x:v>
      </x:c>
      <x:c r="X1383" s="15" t="n">
        <x:f>'기준스탯 72종'!J63*G1383</x:f>
        <x:v>1.1199999999999999</x:v>
      </x:c>
      <x:c r="Y1383" s="15" t="n">
        <x:f>'기준스탯 72종'!K63*G1383</x:f>
        <x:v>2.8</x:v>
      </x:c>
      <x:c r="Z1383" s="15" t="n">
        <x:f>'기준스탯 72종'!D63*H1383</x:f>
        <x:v>1.9200000000000004</x:v>
      </x:c>
      <x:c r="AA1383" s="15" t="n">
        <x:f>'기준스탯 72종'!E63*H1383</x:f>
        <x:v>1.6800000000000004</x:v>
      </x:c>
      <x:c r="AB1383" s="15" t="n">
        <x:f>'기준스탯 72종'!F63*H1383</x:f>
        <x:v>1.9200000000000004</x:v>
      </x:c>
      <x:c r="AC1383" s="15" t="n">
        <x:f>'기준스탯 72종'!G63*H1383</x:f>
        <x:v>1.4400000000000004</x:v>
      </x:c>
      <x:c r="AD1383" s="15" t="n">
        <x:f>'기준스탯 72종'!H63*H1383</x:f>
        <x:v>0.4800000000000001</x:v>
      </x:c>
      <x:c r="AE1383" s="15" t="n">
        <x:f>'기준스탯 72종'!I63*H1383</x:f>
        <x:v>1.6800000000000004</x:v>
      </x:c>
      <x:c r="AF1383" s="15" t="n">
        <x:f>'기준스탯 72종'!J63*H1383</x:f>
        <x:v>0.4800000000000001</x:v>
      </x:c>
      <x:c r="AG1383" s="15" t="n">
        <x:f>'기준스탯 72종'!K63*H1383</x:f>
        <x:v>1.2000000000000002</x:v>
      </x:c>
    </x:row>
    <x:row r="1384" ht="28" customHeight="1">
      <x:c r="A1384" s="2" t="n">
        <x:v>1377</x:v>
      </x:c>
      <x:c r="B1384" s="2" t="n">
        <x:v>56</x:v>
      </x:c>
      <x:c r="C1384" s="2" t="str">
        <x:v>염소자리</x:v>
      </x:c>
      <x:c r="D1384" s="2" t="str">
        <x:v>마도사</x:v>
      </x:c>
      <x:c r="E1384" s="2" t="n">
        <x:v>2</x:v>
      </x:c>
      <x:c r="F1384" s="2" t="n">
        <x:v>1</x:v>
      </x:c>
      <x:c r="G1384" s="14" t="n">
        <x:f>('레벨 계산식'!$E$4-E1384)*'레벨 계산식'!$B$5</x:f>
        <x:v>0.41999999999999993</x:v>
      </x:c>
      <x:c r="H1384" s="14" t="n">
        <x:f>('등급 계산식'!$E$4-F1384)*'등급 계산식'!$B$5</x:f>
        <x:v>0.24000000000000005</x:v>
      </x:c>
      <x:c r="I1384" s="14" t="n">
        <x:f>1-G1384-H1384</x:f>
        <x:v>0.34</x:v>
      </x:c>
      <x:c r="J1384" s="2" t="n">
        <x:f>MAX(1,ROUND('기준스탯 72종'!D63-R1384-Z1384,0))</x:f>
        <x:v>3</x:v>
      </x:c>
      <x:c r="K1384" s="2" t="n">
        <x:f>MAX(1,ROUND('기준스탯 72종'!E63-S1384-AA1384,0))</x:f>
        <x:v>2</x:v>
      </x:c>
      <x:c r="L1384" s="2" t="n">
        <x:f>MAX(1,ROUND('기준스탯 72종'!F63-T1384-AB1384,0))</x:f>
        <x:v>3</x:v>
      </x:c>
      <x:c r="M1384" s="2" t="n">
        <x:f>MAX(1,ROUND('기준스탯 72종'!G63-U1384-AC1384,0))</x:f>
        <x:v>2</x:v>
      </x:c>
      <x:c r="N1384" s="2" t="n">
        <x:f>MAX(0,ROUND('기준스탯 72종'!H63-V1384-AD1384,0))</x:f>
        <x:v>1</x:v>
      </x:c>
      <x:c r="O1384" s="2" t="n">
        <x:f>MAX(0,ROUND('기준스탯 72종'!I63-W1384-AE1384,0))</x:f>
        <x:v>2</x:v>
      </x:c>
      <x:c r="P1384" s="2" t="n">
        <x:f>MAX(0,ROUND('기준스탯 72종'!J63-X1384-AF1384,0))</x:f>
        <x:v>1</x:v>
      </x:c>
      <x:c r="Q1384" s="2" t="n">
        <x:f>MAX(0,ROUND('기준스탯 72종'!K63-Y1384-AG1384,0))</x:f>
        <x:v>2</x:v>
      </x:c>
      <x:c r="R1384" s="15" t="n">
        <x:f>'기준스탯 72종'!D63*G1384</x:f>
        <x:v>3.3599999999999994</x:v>
      </x:c>
      <x:c r="S1384" s="15" t="n">
        <x:f>'기준스탯 72종'!E63*G1384</x:f>
        <x:v>2.9399999999999995</x:v>
      </x:c>
      <x:c r="T1384" s="15" t="n">
        <x:f>'기준스탯 72종'!F63*G1384</x:f>
        <x:v>3.3599999999999994</x:v>
      </x:c>
      <x:c r="U1384" s="15" t="n">
        <x:f>'기준스탯 72종'!G63*G1384</x:f>
        <x:v>2.5199999999999996</x:v>
      </x:c>
      <x:c r="V1384" s="15" t="n">
        <x:f>'기준스탯 72종'!H63*G1384</x:f>
        <x:v>0.8399999999999999</x:v>
      </x:c>
      <x:c r="W1384" s="15" t="n">
        <x:f>'기준스탯 72종'!I63*G1384</x:f>
        <x:v>2.9399999999999995</x:v>
      </x:c>
      <x:c r="X1384" s="15" t="n">
        <x:f>'기준스탯 72종'!J63*G1384</x:f>
        <x:v>0.8399999999999999</x:v>
      </x:c>
      <x:c r="Y1384" s="15" t="n">
        <x:f>'기준스탯 72종'!K63*G1384</x:f>
        <x:v>2.0999999999999996</x:v>
      </x:c>
      <x:c r="Z1384" s="15" t="n">
        <x:f>'기준스탯 72종'!D63*H1384</x:f>
        <x:v>1.9200000000000004</x:v>
      </x:c>
      <x:c r="AA1384" s="15" t="n">
        <x:f>'기준스탯 72종'!E63*H1384</x:f>
        <x:v>1.6800000000000004</x:v>
      </x:c>
      <x:c r="AB1384" s="15" t="n">
        <x:f>'기준스탯 72종'!F63*H1384</x:f>
        <x:v>1.9200000000000004</x:v>
      </x:c>
      <x:c r="AC1384" s="15" t="n">
        <x:f>'기준스탯 72종'!G63*H1384</x:f>
        <x:v>1.4400000000000004</x:v>
      </x:c>
      <x:c r="AD1384" s="15" t="n">
        <x:f>'기준스탯 72종'!H63*H1384</x:f>
        <x:v>0.4800000000000001</x:v>
      </x:c>
      <x:c r="AE1384" s="15" t="n">
        <x:f>'기준스탯 72종'!I63*H1384</x:f>
        <x:v>1.6800000000000004</x:v>
      </x:c>
      <x:c r="AF1384" s="15" t="n">
        <x:f>'기준스탯 72종'!J63*H1384</x:f>
        <x:v>0.4800000000000001</x:v>
      </x:c>
      <x:c r="AG1384" s="15" t="n">
        <x:f>'기준스탯 72종'!K63*H1384</x:f>
        <x:v>1.2000000000000002</x:v>
      </x:c>
    </x:row>
    <x:row r="1385" ht="28" customHeight="1">
      <x:c r="A1385" s="2" t="n">
        <x:v>1378</x:v>
      </x:c>
      <x:c r="B1385" s="2" t="n">
        <x:v>56</x:v>
      </x:c>
      <x:c r="C1385" s="2" t="str">
        <x:v>염소자리</x:v>
      </x:c>
      <x:c r="D1385" s="2" t="str">
        <x:v>마도사</x:v>
      </x:c>
      <x:c r="E1385" s="2" t="n">
        <x:v>3</x:v>
      </x:c>
      <x:c r="F1385" s="2" t="n">
        <x:v>1</x:v>
      </x:c>
      <x:c r="G1385" s="14" t="n">
        <x:f>('레벨 계산식'!$E$4-E1385)*'레벨 계산식'!$B$5</x:f>
        <x:v>0.27999999999999997</x:v>
      </x:c>
      <x:c r="H1385" s="14" t="n">
        <x:f>('등급 계산식'!$E$4-F1385)*'등급 계산식'!$B$5</x:f>
        <x:v>0.24000000000000005</x:v>
      </x:c>
      <x:c r="I1385" s="14" t="n">
        <x:f>1-G1385-H1385</x:f>
        <x:v>0.4799999999999999</x:v>
      </x:c>
      <x:c r="J1385" s="2" t="n">
        <x:f>MAX(1,ROUND('기준스탯 72종'!D63-R1385-Z1385,0))</x:f>
        <x:v>4</x:v>
      </x:c>
      <x:c r="K1385" s="2" t="n">
        <x:f>MAX(1,ROUND('기준스탯 72종'!E63-S1385-AA1385,0))</x:f>
        <x:v>3</x:v>
      </x:c>
      <x:c r="L1385" s="2" t="n">
        <x:f>MAX(1,ROUND('기준스탯 72종'!F63-T1385-AB1385,0))</x:f>
        <x:v>4</x:v>
      </x:c>
      <x:c r="M1385" s="2" t="n">
        <x:f>MAX(1,ROUND('기준스탯 72종'!G63-U1385-AC1385,0))</x:f>
        <x:v>3</x:v>
      </x:c>
      <x:c r="N1385" s="2" t="n">
        <x:f>MAX(0,ROUND('기준스탯 72종'!H63-V1385-AD1385,0))</x:f>
        <x:v>1</x:v>
      </x:c>
      <x:c r="O1385" s="2" t="n">
        <x:f>MAX(0,ROUND('기준스탯 72종'!I63-W1385-AE1385,0))</x:f>
        <x:v>3</x:v>
      </x:c>
      <x:c r="P1385" s="2" t="n">
        <x:f>MAX(0,ROUND('기준스탯 72종'!J63-X1385-AF1385,0))</x:f>
        <x:v>1</x:v>
      </x:c>
      <x:c r="Q1385" s="2" t="n">
        <x:f>MAX(0,ROUND('기준스탯 72종'!K63-Y1385-AG1385,0))</x:f>
        <x:v>2</x:v>
      </x:c>
      <x:c r="R1385" s="15" t="n">
        <x:f>'기준스탯 72종'!D63*G1385</x:f>
        <x:v>2.2399999999999998</x:v>
      </x:c>
      <x:c r="S1385" s="15" t="n">
        <x:f>'기준스탯 72종'!E63*G1385</x:f>
        <x:v>1.9599999999999997</x:v>
      </x:c>
      <x:c r="T1385" s="15" t="n">
        <x:f>'기준스탯 72종'!F63*G1385</x:f>
        <x:v>2.2399999999999998</x:v>
      </x:c>
      <x:c r="U1385" s="15" t="n">
        <x:f>'기준스탯 72종'!G63*G1385</x:f>
        <x:v>1.6799999999999997</x:v>
      </x:c>
      <x:c r="V1385" s="15" t="n">
        <x:f>'기준스탯 72종'!H63*G1385</x:f>
        <x:v>0.5599999999999999</x:v>
      </x:c>
      <x:c r="W1385" s="15" t="n">
        <x:f>'기준스탯 72종'!I63*G1385</x:f>
        <x:v>1.9599999999999997</x:v>
      </x:c>
      <x:c r="X1385" s="15" t="n">
        <x:f>'기준스탯 72종'!J63*G1385</x:f>
        <x:v>0.5599999999999999</x:v>
      </x:c>
      <x:c r="Y1385" s="15" t="n">
        <x:f>'기준스탯 72종'!K63*G1385</x:f>
        <x:v>1.4</x:v>
      </x:c>
      <x:c r="Z1385" s="15" t="n">
        <x:f>'기준스탯 72종'!D63*H1385</x:f>
        <x:v>1.9200000000000004</x:v>
      </x:c>
      <x:c r="AA1385" s="15" t="n">
        <x:f>'기준스탯 72종'!E63*H1385</x:f>
        <x:v>1.6800000000000004</x:v>
      </x:c>
      <x:c r="AB1385" s="15" t="n">
        <x:f>'기준스탯 72종'!F63*H1385</x:f>
        <x:v>1.9200000000000004</x:v>
      </x:c>
      <x:c r="AC1385" s="15" t="n">
        <x:f>'기준스탯 72종'!G63*H1385</x:f>
        <x:v>1.4400000000000004</x:v>
      </x:c>
      <x:c r="AD1385" s="15" t="n">
        <x:f>'기준스탯 72종'!H63*H1385</x:f>
        <x:v>0.4800000000000001</x:v>
      </x:c>
      <x:c r="AE1385" s="15" t="n">
        <x:f>'기준스탯 72종'!I63*H1385</x:f>
        <x:v>1.6800000000000004</x:v>
      </x:c>
      <x:c r="AF1385" s="15" t="n">
        <x:f>'기준스탯 72종'!J63*H1385</x:f>
        <x:v>0.4800000000000001</x:v>
      </x:c>
      <x:c r="AG1385" s="15" t="n">
        <x:f>'기준스탯 72종'!K63*H1385</x:f>
        <x:v>1.2000000000000002</x:v>
      </x:c>
    </x:row>
    <x:row r="1386" ht="28" customHeight="1">
      <x:c r="A1386" s="2" t="n">
        <x:v>1379</x:v>
      </x:c>
      <x:c r="B1386" s="2" t="n">
        <x:v>56</x:v>
      </x:c>
      <x:c r="C1386" s="2" t="str">
        <x:v>염소자리</x:v>
      </x:c>
      <x:c r="D1386" s="2" t="str">
        <x:v>마도사</x:v>
      </x:c>
      <x:c r="E1386" s="2" t="n">
        <x:v>4</x:v>
      </x:c>
      <x:c r="F1386" s="2" t="n">
        <x:v>1</x:v>
      </x:c>
      <x:c r="G1386" s="14" t="n">
        <x:f>('레벨 계산식'!$E$4-E1386)*'레벨 계산식'!$B$5</x:f>
        <x:v>0.13999999999999999</x:v>
      </x:c>
      <x:c r="H1386" s="14" t="n">
        <x:f>('등급 계산식'!$E$4-F1386)*'등급 계산식'!$B$5</x:f>
        <x:v>0.24000000000000005</x:v>
      </x:c>
      <x:c r="I1386" s="14" t="n">
        <x:f>1-G1386-H1386</x:f>
        <x:v>0.6199999999999999</x:v>
      </x:c>
      <x:c r="J1386" s="2" t="n">
        <x:f>MAX(1,ROUND('기준스탯 72종'!D63-R1386-Z1386,0))</x:f>
        <x:v>5</x:v>
      </x:c>
      <x:c r="K1386" s="2" t="n">
        <x:f>MAX(1,ROUND('기준스탯 72종'!E63-S1386-AA1386,0))</x:f>
        <x:v>4</x:v>
      </x:c>
      <x:c r="L1386" s="2" t="n">
        <x:f>MAX(1,ROUND('기준스탯 72종'!F63-T1386-AB1386,0))</x:f>
        <x:v>5</x:v>
      </x:c>
      <x:c r="M1386" s="2" t="n">
        <x:f>MAX(1,ROUND('기준스탯 72종'!G63-U1386-AC1386,0))</x:f>
        <x:v>4</x:v>
      </x:c>
      <x:c r="N1386" s="2" t="n">
        <x:f>MAX(0,ROUND('기준스탯 72종'!H63-V1386-AD1386,0))</x:f>
        <x:v>1</x:v>
      </x:c>
      <x:c r="O1386" s="2" t="n">
        <x:f>MAX(0,ROUND('기준스탯 72종'!I63-W1386-AE1386,0))</x:f>
        <x:v>4</x:v>
      </x:c>
      <x:c r="P1386" s="2" t="n">
        <x:f>MAX(0,ROUND('기준스탯 72종'!J63-X1386-AF1386,0))</x:f>
        <x:v>1</x:v>
      </x:c>
      <x:c r="Q1386" s="2" t="n">
        <x:f>MAX(0,ROUND('기준스탯 72종'!K63-Y1386-AG1386,0))</x:f>
        <x:v>3</x:v>
      </x:c>
      <x:c r="R1386" s="15" t="n">
        <x:f>'기준스탯 72종'!D63*G1386</x:f>
        <x:v>1.1199999999999999</x:v>
      </x:c>
      <x:c r="S1386" s="15" t="n">
        <x:f>'기준스탯 72종'!E63*G1386</x:f>
        <x:v>0.9799999999999999</x:v>
      </x:c>
      <x:c r="T1386" s="15" t="n">
        <x:f>'기준스탯 72종'!F63*G1386</x:f>
        <x:v>1.1199999999999999</x:v>
      </x:c>
      <x:c r="U1386" s="15" t="n">
        <x:f>'기준스탯 72종'!G63*G1386</x:f>
        <x:v>0.8399999999999999</x:v>
      </x:c>
      <x:c r="V1386" s="15" t="n">
        <x:f>'기준스탯 72종'!H63*G1386</x:f>
        <x:v>0.27999999999999997</x:v>
      </x:c>
      <x:c r="W1386" s="15" t="n">
        <x:f>'기준스탯 72종'!I63*G1386</x:f>
        <x:v>0.9799999999999999</x:v>
      </x:c>
      <x:c r="X1386" s="15" t="n">
        <x:f>'기준스탯 72종'!J63*G1386</x:f>
        <x:v>0.27999999999999997</x:v>
      </x:c>
      <x:c r="Y1386" s="15" t="n">
        <x:f>'기준스탯 72종'!K63*G1386</x:f>
        <x:v>0.7</x:v>
      </x:c>
      <x:c r="Z1386" s="15" t="n">
        <x:f>'기준스탯 72종'!D63*H1386</x:f>
        <x:v>1.9200000000000004</x:v>
      </x:c>
      <x:c r="AA1386" s="15" t="n">
        <x:f>'기준스탯 72종'!E63*H1386</x:f>
        <x:v>1.6800000000000004</x:v>
      </x:c>
      <x:c r="AB1386" s="15" t="n">
        <x:f>'기준스탯 72종'!F63*H1386</x:f>
        <x:v>1.9200000000000004</x:v>
      </x:c>
      <x:c r="AC1386" s="15" t="n">
        <x:f>'기준스탯 72종'!G63*H1386</x:f>
        <x:v>1.4400000000000004</x:v>
      </x:c>
      <x:c r="AD1386" s="15" t="n">
        <x:f>'기준스탯 72종'!H63*H1386</x:f>
        <x:v>0.4800000000000001</x:v>
      </x:c>
      <x:c r="AE1386" s="15" t="n">
        <x:f>'기준스탯 72종'!I63*H1386</x:f>
        <x:v>1.6800000000000004</x:v>
      </x:c>
      <x:c r="AF1386" s="15" t="n">
        <x:f>'기준스탯 72종'!J63*H1386</x:f>
        <x:v>0.4800000000000001</x:v>
      </x:c>
      <x:c r="AG1386" s="15" t="n">
        <x:f>'기준스탯 72종'!K63*H1386</x:f>
        <x:v>1.2000000000000002</x:v>
      </x:c>
    </x:row>
    <x:row r="1387" ht="28" customHeight="1">
      <x:c r="A1387" s="2" t="n">
        <x:v>1380</x:v>
      </x:c>
      <x:c r="B1387" s="2" t="n">
        <x:v>56</x:v>
      </x:c>
      <x:c r="C1387" s="2" t="str">
        <x:v>염소자리</x:v>
      </x:c>
      <x:c r="D1387" s="2" t="str">
        <x:v>마도사</x:v>
      </x:c>
      <x:c r="E1387" s="2" t="n">
        <x:v>5</x:v>
      </x:c>
      <x:c r="F1387" s="2" t="n">
        <x:v>1</x:v>
      </x:c>
      <x:c r="G1387" s="14" t="n">
        <x:f>('레벨 계산식'!$E$4-E1387)*'레벨 계산식'!$B$5</x:f>
        <x:v>0</x:v>
      </x:c>
      <x:c r="H1387" s="14" t="n">
        <x:f>('등급 계산식'!$E$4-F1387)*'등급 계산식'!$B$5</x:f>
        <x:v>0.24000000000000005</x:v>
      </x:c>
      <x:c r="I1387" s="14" t="n">
        <x:f>1-G1387-H1387</x:f>
        <x:v>0.76</x:v>
      </x:c>
      <x:c r="J1387" s="2" t="n">
        <x:f>MAX(1,ROUND('기준스탯 72종'!D63-R1387-Z1387,0))</x:f>
        <x:v>6</x:v>
      </x:c>
      <x:c r="K1387" s="2" t="n">
        <x:f>MAX(1,ROUND('기준스탯 72종'!E63-S1387-AA1387,0))</x:f>
        <x:v>5</x:v>
      </x:c>
      <x:c r="L1387" s="2" t="n">
        <x:f>MAX(1,ROUND('기준스탯 72종'!F63-T1387-AB1387,0))</x:f>
        <x:v>6</x:v>
      </x:c>
      <x:c r="M1387" s="2" t="n">
        <x:f>MAX(1,ROUND('기준스탯 72종'!G63-U1387-AC1387,0))</x:f>
        <x:v>5</x:v>
      </x:c>
      <x:c r="N1387" s="2" t="n">
        <x:f>MAX(0,ROUND('기준스탯 72종'!H63-V1387-AD1387,0))</x:f>
        <x:v>2</x:v>
      </x:c>
      <x:c r="O1387" s="2" t="n">
        <x:f>MAX(0,ROUND('기준스탯 72종'!I63-W1387-AE1387,0))</x:f>
        <x:v>5</x:v>
      </x:c>
      <x:c r="P1387" s="2" t="n">
        <x:f>MAX(0,ROUND('기준스탯 72종'!J63-X1387-AF1387,0))</x:f>
        <x:v>2</x:v>
      </x:c>
      <x:c r="Q1387" s="2" t="n">
        <x:f>MAX(0,ROUND('기준스탯 72종'!K63-Y1387-AG1387,0))</x:f>
        <x:v>4</x:v>
      </x:c>
      <x:c r="R1387" s="15" t="n">
        <x:f>'기준스탯 72종'!D63*G1387</x:f>
        <x:v>0</x:v>
      </x:c>
      <x:c r="S1387" s="15" t="n">
        <x:f>'기준스탯 72종'!E63*G1387</x:f>
        <x:v>0</x:v>
      </x:c>
      <x:c r="T1387" s="15" t="n">
        <x:f>'기준스탯 72종'!F63*G1387</x:f>
        <x:v>0</x:v>
      </x:c>
      <x:c r="U1387" s="15" t="n">
        <x:f>'기준스탯 72종'!G63*G1387</x:f>
        <x:v>0</x:v>
      </x:c>
      <x:c r="V1387" s="15" t="n">
        <x:f>'기준스탯 72종'!H63*G1387</x:f>
        <x:v>0</x:v>
      </x:c>
      <x:c r="W1387" s="15" t="n">
        <x:f>'기준스탯 72종'!I63*G1387</x:f>
        <x:v>0</x:v>
      </x:c>
      <x:c r="X1387" s="15" t="n">
        <x:f>'기준스탯 72종'!J63*G1387</x:f>
        <x:v>0</x:v>
      </x:c>
      <x:c r="Y1387" s="15" t="n">
        <x:f>'기준스탯 72종'!K63*G1387</x:f>
        <x:v>0</x:v>
      </x:c>
      <x:c r="Z1387" s="15" t="n">
        <x:f>'기준스탯 72종'!D63*H1387</x:f>
        <x:v>1.9200000000000004</x:v>
      </x:c>
      <x:c r="AA1387" s="15" t="n">
        <x:f>'기준스탯 72종'!E63*H1387</x:f>
        <x:v>1.6800000000000004</x:v>
      </x:c>
      <x:c r="AB1387" s="15" t="n">
        <x:f>'기준스탯 72종'!F63*H1387</x:f>
        <x:v>1.9200000000000004</x:v>
      </x:c>
      <x:c r="AC1387" s="15" t="n">
        <x:f>'기준스탯 72종'!G63*H1387</x:f>
        <x:v>1.4400000000000004</x:v>
      </x:c>
      <x:c r="AD1387" s="15" t="n">
        <x:f>'기준스탯 72종'!H63*H1387</x:f>
        <x:v>0.4800000000000001</x:v>
      </x:c>
      <x:c r="AE1387" s="15" t="n">
        <x:f>'기준스탯 72종'!I63*H1387</x:f>
        <x:v>1.6800000000000004</x:v>
      </x:c>
      <x:c r="AF1387" s="15" t="n">
        <x:f>'기준스탯 72종'!J63*H1387</x:f>
        <x:v>0.4800000000000001</x:v>
      </x:c>
      <x:c r="AG1387" s="15" t="n">
        <x:f>'기준스탯 72종'!K63*H1387</x:f>
        <x:v>1.2000000000000002</x:v>
      </x:c>
    </x:row>
    <x:row r="1388" ht="28" customHeight="1">
      <x:c r="A1388" s="2" t="n">
        <x:v>1381</x:v>
      </x:c>
      <x:c r="B1388" s="2" t="n">
        <x:v>56</x:v>
      </x:c>
      <x:c r="C1388" s="2" t="str">
        <x:v>염소자리</x:v>
      </x:c>
      <x:c r="D1388" s="2" t="str">
        <x:v>마도사</x:v>
      </x:c>
      <x:c r="E1388" s="2" t="n">
        <x:v>1</x:v>
      </x:c>
      <x:c r="F1388" s="2" t="n">
        <x:v>2</x:v>
      </x:c>
      <x:c r="G1388" s="14" t="n">
        <x:f>('레벨 계산식'!$E$4-E1388)*'레벨 계산식'!$B$5</x:f>
        <x:v>0.5599999999999999</x:v>
      </x:c>
      <x:c r="H1388" s="14" t="n">
        <x:f>('등급 계산식'!$E$4-F1388)*'등급 계산식'!$B$5</x:f>
        <x:v>0.18000000000000005</x:v>
      </x:c>
      <x:c r="I1388" s="14" t="n">
        <x:f>1-G1388-H1388</x:f>
        <x:v>0.26</x:v>
      </x:c>
      <x:c r="J1388" s="2" t="n">
        <x:f>MAX(1,ROUND('기준스탯 72종'!D63-R1388-Z1388,0))</x:f>
        <x:v>2</x:v>
      </x:c>
      <x:c r="K1388" s="2" t="n">
        <x:f>MAX(1,ROUND('기준스탯 72종'!E63-S1388-AA1388,0))</x:f>
        <x:v>2</x:v>
      </x:c>
      <x:c r="L1388" s="2" t="n">
        <x:f>MAX(1,ROUND('기준스탯 72종'!F63-T1388-AB1388,0))</x:f>
        <x:v>2</x:v>
      </x:c>
      <x:c r="M1388" s="2" t="n">
        <x:f>MAX(1,ROUND('기준스탯 72종'!G63-U1388-AC1388,0))</x:f>
        <x:v>2</x:v>
      </x:c>
      <x:c r="N1388" s="2" t="n">
        <x:f>MAX(0,ROUND('기준스탯 72종'!H63-V1388-AD1388,0))</x:f>
        <x:v>1</x:v>
      </x:c>
      <x:c r="O1388" s="2" t="n">
        <x:f>MAX(0,ROUND('기준스탯 72종'!I63-W1388-AE1388,0))</x:f>
        <x:v>2</x:v>
      </x:c>
      <x:c r="P1388" s="2" t="n">
        <x:f>MAX(0,ROUND('기준스탯 72종'!J63-X1388-AF1388,0))</x:f>
        <x:v>1</x:v>
      </x:c>
      <x:c r="Q1388" s="2" t="n">
        <x:f>MAX(0,ROUND('기준스탯 72종'!K63-Y1388-AG1388,0))</x:f>
        <x:v>1</x:v>
      </x:c>
      <x:c r="R1388" s="15" t="n">
        <x:f>'기준스탯 72종'!D63*G1388</x:f>
        <x:v>4.4799999999999995</x:v>
      </x:c>
      <x:c r="S1388" s="15" t="n">
        <x:f>'기준스탯 72종'!E63*G1388</x:f>
        <x:v>3.9199999999999995</x:v>
      </x:c>
      <x:c r="T1388" s="15" t="n">
        <x:f>'기준스탯 72종'!F63*G1388</x:f>
        <x:v>4.4799999999999995</x:v>
      </x:c>
      <x:c r="U1388" s="15" t="n">
        <x:f>'기준스탯 72종'!G63*G1388</x:f>
        <x:v>3.3599999999999994</x:v>
      </x:c>
      <x:c r="V1388" s="15" t="n">
        <x:f>'기준스탯 72종'!H63*G1388</x:f>
        <x:v>1.1199999999999999</x:v>
      </x:c>
      <x:c r="W1388" s="15" t="n">
        <x:f>'기준스탯 72종'!I63*G1388</x:f>
        <x:v>3.9199999999999995</x:v>
      </x:c>
      <x:c r="X1388" s="15" t="n">
        <x:f>'기준스탯 72종'!J63*G1388</x:f>
        <x:v>1.1199999999999999</x:v>
      </x:c>
      <x:c r="Y1388" s="15" t="n">
        <x:f>'기준스탯 72종'!K63*G1388</x:f>
        <x:v>2.8</x:v>
      </x:c>
      <x:c r="Z1388" s="15" t="n">
        <x:f>'기준스탯 72종'!D63*H1388</x:f>
        <x:v>1.4400000000000004</x:v>
      </x:c>
      <x:c r="AA1388" s="15" t="n">
        <x:f>'기준스탯 72종'!E63*H1388</x:f>
        <x:v>1.2600000000000002</x:v>
      </x:c>
      <x:c r="AB1388" s="15" t="n">
        <x:f>'기준스탯 72종'!F63*H1388</x:f>
        <x:v>1.4400000000000004</x:v>
      </x:c>
      <x:c r="AC1388" s="15" t="n">
        <x:f>'기준스탯 72종'!G63*H1388</x:f>
        <x:v>1.0800000000000003</x:v>
      </x:c>
      <x:c r="AD1388" s="15" t="n">
        <x:f>'기준스탯 72종'!H63*H1388</x:f>
        <x:v>0.3600000000000001</x:v>
      </x:c>
      <x:c r="AE1388" s="15" t="n">
        <x:f>'기준스탯 72종'!I63*H1388</x:f>
        <x:v>1.2600000000000002</x:v>
      </x:c>
      <x:c r="AF1388" s="15" t="n">
        <x:f>'기준스탯 72종'!J63*H1388</x:f>
        <x:v>0.3600000000000001</x:v>
      </x:c>
      <x:c r="AG1388" s="15" t="n">
        <x:f>'기준스탯 72종'!K63*H1388</x:f>
        <x:v>0.9000000000000002</x:v>
      </x:c>
    </x:row>
    <x:row r="1389" ht="28" customHeight="1">
      <x:c r="A1389" s="2" t="n">
        <x:v>1382</x:v>
      </x:c>
      <x:c r="B1389" s="2" t="n">
        <x:v>56</x:v>
      </x:c>
      <x:c r="C1389" s="2" t="str">
        <x:v>염소자리</x:v>
      </x:c>
      <x:c r="D1389" s="2" t="str">
        <x:v>마도사</x:v>
      </x:c>
      <x:c r="E1389" s="2" t="n">
        <x:v>2</x:v>
      </x:c>
      <x:c r="F1389" s="2" t="n">
        <x:v>2</x:v>
      </x:c>
      <x:c r="G1389" s="14" t="n">
        <x:f>('레벨 계산식'!$E$4-E1389)*'레벨 계산식'!$B$5</x:f>
        <x:v>0.41999999999999993</x:v>
      </x:c>
      <x:c r="H1389" s="14" t="n">
        <x:f>('등급 계산식'!$E$4-F1389)*'등급 계산식'!$B$5</x:f>
        <x:v>0.18000000000000005</x:v>
      </x:c>
      <x:c r="I1389" s="14" t="n">
        <x:f>1-G1389-H1389</x:f>
        <x:v>0.4</x:v>
      </x:c>
      <x:c r="J1389" s="2" t="n">
        <x:f>MAX(1,ROUND('기준스탯 72종'!D63-R1389-Z1389,0))</x:f>
        <x:v>3</x:v>
      </x:c>
      <x:c r="K1389" s="2" t="n">
        <x:f>MAX(1,ROUND('기준스탯 72종'!E63-S1389-AA1389,0))</x:f>
        <x:v>3</x:v>
      </x:c>
      <x:c r="L1389" s="2" t="n">
        <x:f>MAX(1,ROUND('기준스탯 72종'!F63-T1389-AB1389,0))</x:f>
        <x:v>3</x:v>
      </x:c>
      <x:c r="M1389" s="2" t="n">
        <x:f>MAX(1,ROUND('기준스탯 72종'!G63-U1389-AC1389,0))</x:f>
        <x:v>2</x:v>
      </x:c>
      <x:c r="N1389" s="2" t="n">
        <x:f>MAX(0,ROUND('기준스탯 72종'!H63-V1389-AD1389,0))</x:f>
        <x:v>1</x:v>
      </x:c>
      <x:c r="O1389" s="2" t="n">
        <x:f>MAX(0,ROUND('기준스탯 72종'!I63-W1389-AE1389,0))</x:f>
        <x:v>3</x:v>
      </x:c>
      <x:c r="P1389" s="2" t="n">
        <x:f>MAX(0,ROUND('기준스탯 72종'!J63-X1389-AF1389,0))</x:f>
        <x:v>1</x:v>
      </x:c>
      <x:c r="Q1389" s="2" t="n">
        <x:f>MAX(0,ROUND('기준스탯 72종'!K63-Y1389-AG1389,0))</x:f>
        <x:v>2</x:v>
      </x:c>
      <x:c r="R1389" s="15" t="n">
        <x:f>'기준스탯 72종'!D63*G1389</x:f>
        <x:v>3.3599999999999994</x:v>
      </x:c>
      <x:c r="S1389" s="15" t="n">
        <x:f>'기준스탯 72종'!E63*G1389</x:f>
        <x:v>2.9399999999999995</x:v>
      </x:c>
      <x:c r="T1389" s="15" t="n">
        <x:f>'기준스탯 72종'!F63*G1389</x:f>
        <x:v>3.3599999999999994</x:v>
      </x:c>
      <x:c r="U1389" s="15" t="n">
        <x:f>'기준스탯 72종'!G63*G1389</x:f>
        <x:v>2.5199999999999996</x:v>
      </x:c>
      <x:c r="V1389" s="15" t="n">
        <x:f>'기준스탯 72종'!H63*G1389</x:f>
        <x:v>0.8399999999999999</x:v>
      </x:c>
      <x:c r="W1389" s="15" t="n">
        <x:f>'기준스탯 72종'!I63*G1389</x:f>
        <x:v>2.9399999999999995</x:v>
      </x:c>
      <x:c r="X1389" s="15" t="n">
        <x:f>'기준스탯 72종'!J63*G1389</x:f>
        <x:v>0.8399999999999999</x:v>
      </x:c>
      <x:c r="Y1389" s="15" t="n">
        <x:f>'기준스탯 72종'!K63*G1389</x:f>
        <x:v>2.0999999999999996</x:v>
      </x:c>
      <x:c r="Z1389" s="15" t="n">
        <x:f>'기준스탯 72종'!D63*H1389</x:f>
        <x:v>1.4400000000000004</x:v>
      </x:c>
      <x:c r="AA1389" s="15" t="n">
        <x:f>'기준스탯 72종'!E63*H1389</x:f>
        <x:v>1.2600000000000002</x:v>
      </x:c>
      <x:c r="AB1389" s="15" t="n">
        <x:f>'기준스탯 72종'!F63*H1389</x:f>
        <x:v>1.4400000000000004</x:v>
      </x:c>
      <x:c r="AC1389" s="15" t="n">
        <x:f>'기준스탯 72종'!G63*H1389</x:f>
        <x:v>1.0800000000000003</x:v>
      </x:c>
      <x:c r="AD1389" s="15" t="n">
        <x:f>'기준스탯 72종'!H63*H1389</x:f>
        <x:v>0.3600000000000001</x:v>
      </x:c>
      <x:c r="AE1389" s="15" t="n">
        <x:f>'기준스탯 72종'!I63*H1389</x:f>
        <x:v>1.2600000000000002</x:v>
      </x:c>
      <x:c r="AF1389" s="15" t="n">
        <x:f>'기준스탯 72종'!J63*H1389</x:f>
        <x:v>0.3600000000000001</x:v>
      </x:c>
      <x:c r="AG1389" s="15" t="n">
        <x:f>'기준스탯 72종'!K63*H1389</x:f>
        <x:v>0.9000000000000002</x:v>
      </x:c>
    </x:row>
    <x:row r="1390" ht="28" customHeight="1">
      <x:c r="A1390" s="2" t="n">
        <x:v>1383</x:v>
      </x:c>
      <x:c r="B1390" s="2" t="n">
        <x:v>56</x:v>
      </x:c>
      <x:c r="C1390" s="2" t="str">
        <x:v>염소자리</x:v>
      </x:c>
      <x:c r="D1390" s="2" t="str">
        <x:v>마도사</x:v>
      </x:c>
      <x:c r="E1390" s="2" t="n">
        <x:v>3</x:v>
      </x:c>
      <x:c r="F1390" s="2" t="n">
        <x:v>2</x:v>
      </x:c>
      <x:c r="G1390" s="14" t="n">
        <x:f>('레벨 계산식'!$E$4-E1390)*'레벨 계산식'!$B$5</x:f>
        <x:v>0.27999999999999997</x:v>
      </x:c>
      <x:c r="H1390" s="14" t="n">
        <x:f>('등급 계산식'!$E$4-F1390)*'등급 계산식'!$B$5</x:f>
        <x:v>0.18000000000000005</x:v>
      </x:c>
      <x:c r="I1390" s="14" t="n">
        <x:f>1-G1390-H1390</x:f>
        <x:v>0.5399999999999999</x:v>
      </x:c>
      <x:c r="J1390" s="2" t="n">
        <x:f>MAX(1,ROUND('기준스탯 72종'!D63-R1390-Z1390,0))</x:f>
        <x:v>4</x:v>
      </x:c>
      <x:c r="K1390" s="2" t="n">
        <x:f>MAX(1,ROUND('기준스탯 72종'!E63-S1390-AA1390,0))</x:f>
        <x:v>4</x:v>
      </x:c>
      <x:c r="L1390" s="2" t="n">
        <x:f>MAX(1,ROUND('기준스탯 72종'!F63-T1390-AB1390,0))</x:f>
        <x:v>4</x:v>
      </x:c>
      <x:c r="M1390" s="2" t="n">
        <x:f>MAX(1,ROUND('기준스탯 72종'!G63-U1390-AC1390,0))</x:f>
        <x:v>3</x:v>
      </x:c>
      <x:c r="N1390" s="2" t="n">
        <x:f>MAX(0,ROUND('기준스탯 72종'!H63-V1390-AD1390,0))</x:f>
        <x:v>1</x:v>
      </x:c>
      <x:c r="O1390" s="2" t="n">
        <x:f>MAX(0,ROUND('기준스탯 72종'!I63-W1390-AE1390,0))</x:f>
        <x:v>4</x:v>
      </x:c>
      <x:c r="P1390" s="2" t="n">
        <x:f>MAX(0,ROUND('기준스탯 72종'!J63-X1390-AF1390,0))</x:f>
        <x:v>1</x:v>
      </x:c>
      <x:c r="Q1390" s="2" t="n">
        <x:f>MAX(0,ROUND('기준스탯 72종'!K63-Y1390-AG1390,0))</x:f>
        <x:v>3</x:v>
      </x:c>
      <x:c r="R1390" s="15" t="n">
        <x:f>'기준스탯 72종'!D63*G1390</x:f>
        <x:v>2.2399999999999998</x:v>
      </x:c>
      <x:c r="S1390" s="15" t="n">
        <x:f>'기준스탯 72종'!E63*G1390</x:f>
        <x:v>1.9599999999999997</x:v>
      </x:c>
      <x:c r="T1390" s="15" t="n">
        <x:f>'기준스탯 72종'!F63*G1390</x:f>
        <x:v>2.2399999999999998</x:v>
      </x:c>
      <x:c r="U1390" s="15" t="n">
        <x:f>'기준스탯 72종'!G63*G1390</x:f>
        <x:v>1.6799999999999997</x:v>
      </x:c>
      <x:c r="V1390" s="15" t="n">
        <x:f>'기준스탯 72종'!H63*G1390</x:f>
        <x:v>0.5599999999999999</x:v>
      </x:c>
      <x:c r="W1390" s="15" t="n">
        <x:f>'기준스탯 72종'!I63*G1390</x:f>
        <x:v>1.9599999999999997</x:v>
      </x:c>
      <x:c r="X1390" s="15" t="n">
        <x:f>'기준스탯 72종'!J63*G1390</x:f>
        <x:v>0.5599999999999999</x:v>
      </x:c>
      <x:c r="Y1390" s="15" t="n">
        <x:f>'기준스탯 72종'!K63*G1390</x:f>
        <x:v>1.4</x:v>
      </x:c>
      <x:c r="Z1390" s="15" t="n">
        <x:f>'기준스탯 72종'!D63*H1390</x:f>
        <x:v>1.4400000000000004</x:v>
      </x:c>
      <x:c r="AA1390" s="15" t="n">
        <x:f>'기준스탯 72종'!E63*H1390</x:f>
        <x:v>1.2600000000000002</x:v>
      </x:c>
      <x:c r="AB1390" s="15" t="n">
        <x:f>'기준스탯 72종'!F63*H1390</x:f>
        <x:v>1.4400000000000004</x:v>
      </x:c>
      <x:c r="AC1390" s="15" t="n">
        <x:f>'기준스탯 72종'!G63*H1390</x:f>
        <x:v>1.0800000000000003</x:v>
      </x:c>
      <x:c r="AD1390" s="15" t="n">
        <x:f>'기준스탯 72종'!H63*H1390</x:f>
        <x:v>0.3600000000000001</x:v>
      </x:c>
      <x:c r="AE1390" s="15" t="n">
        <x:f>'기준스탯 72종'!I63*H1390</x:f>
        <x:v>1.2600000000000002</x:v>
      </x:c>
      <x:c r="AF1390" s="15" t="n">
        <x:f>'기준스탯 72종'!J63*H1390</x:f>
        <x:v>0.3600000000000001</x:v>
      </x:c>
      <x:c r="AG1390" s="15" t="n">
        <x:f>'기준스탯 72종'!K63*H1390</x:f>
        <x:v>0.9000000000000002</x:v>
      </x:c>
    </x:row>
    <x:row r="1391" ht="28" customHeight="1">
      <x:c r="A1391" s="2" t="n">
        <x:v>1384</x:v>
      </x:c>
      <x:c r="B1391" s="2" t="n">
        <x:v>56</x:v>
      </x:c>
      <x:c r="C1391" s="2" t="str">
        <x:v>염소자리</x:v>
      </x:c>
      <x:c r="D1391" s="2" t="str">
        <x:v>마도사</x:v>
      </x:c>
      <x:c r="E1391" s="2" t="n">
        <x:v>4</x:v>
      </x:c>
      <x:c r="F1391" s="2" t="n">
        <x:v>2</x:v>
      </x:c>
      <x:c r="G1391" s="14" t="n">
        <x:f>('레벨 계산식'!$E$4-E1391)*'레벨 계산식'!$B$5</x:f>
        <x:v>0.13999999999999999</x:v>
      </x:c>
      <x:c r="H1391" s="14" t="n">
        <x:f>('등급 계산식'!$E$4-F1391)*'등급 계산식'!$B$5</x:f>
        <x:v>0.18000000000000005</x:v>
      </x:c>
      <x:c r="I1391" s="14" t="n">
        <x:f>1-G1391-H1391</x:f>
        <x:v>0.6799999999999999</x:v>
      </x:c>
      <x:c r="J1391" s="2" t="n">
        <x:f>MAX(1,ROUND('기준스탯 72종'!D63-R1391-Z1391,0))</x:f>
        <x:v>5</x:v>
      </x:c>
      <x:c r="K1391" s="2" t="n">
        <x:f>MAX(1,ROUND('기준스탯 72종'!E63-S1391-AA1391,0))</x:f>
        <x:v>5</x:v>
      </x:c>
      <x:c r="L1391" s="2" t="n">
        <x:f>MAX(1,ROUND('기준스탯 72종'!F63-T1391-AB1391,0))</x:f>
        <x:v>5</x:v>
      </x:c>
      <x:c r="M1391" s="2" t="n">
        <x:f>MAX(1,ROUND('기준스탯 72종'!G63-U1391-AC1391,0))</x:f>
        <x:v>4</x:v>
      </x:c>
      <x:c r="N1391" s="2" t="n">
        <x:f>MAX(0,ROUND('기준스탯 72종'!H63-V1391-AD1391,0))</x:f>
        <x:v>1</x:v>
      </x:c>
      <x:c r="O1391" s="2" t="n">
        <x:f>MAX(0,ROUND('기준스탯 72종'!I63-W1391-AE1391,0))</x:f>
        <x:v>5</x:v>
      </x:c>
      <x:c r="P1391" s="2" t="n">
        <x:f>MAX(0,ROUND('기준스탯 72종'!J63-X1391-AF1391,0))</x:f>
        <x:v>1</x:v>
      </x:c>
      <x:c r="Q1391" s="2" t="n">
        <x:f>MAX(0,ROUND('기준스탯 72종'!K63-Y1391-AG1391,0))</x:f>
        <x:v>3</x:v>
      </x:c>
      <x:c r="R1391" s="15" t="n">
        <x:f>'기준스탯 72종'!D63*G1391</x:f>
        <x:v>1.1199999999999999</x:v>
      </x:c>
      <x:c r="S1391" s="15" t="n">
        <x:f>'기준스탯 72종'!E63*G1391</x:f>
        <x:v>0.9799999999999999</x:v>
      </x:c>
      <x:c r="T1391" s="15" t="n">
        <x:f>'기준스탯 72종'!F63*G1391</x:f>
        <x:v>1.1199999999999999</x:v>
      </x:c>
      <x:c r="U1391" s="15" t="n">
        <x:f>'기준스탯 72종'!G63*G1391</x:f>
        <x:v>0.8399999999999999</x:v>
      </x:c>
      <x:c r="V1391" s="15" t="n">
        <x:f>'기준스탯 72종'!H63*G1391</x:f>
        <x:v>0.27999999999999997</x:v>
      </x:c>
      <x:c r="W1391" s="15" t="n">
        <x:f>'기준스탯 72종'!I63*G1391</x:f>
        <x:v>0.9799999999999999</x:v>
      </x:c>
      <x:c r="X1391" s="15" t="n">
        <x:f>'기준스탯 72종'!J63*G1391</x:f>
        <x:v>0.27999999999999997</x:v>
      </x:c>
      <x:c r="Y1391" s="15" t="n">
        <x:f>'기준스탯 72종'!K63*G1391</x:f>
        <x:v>0.7</x:v>
      </x:c>
      <x:c r="Z1391" s="15" t="n">
        <x:f>'기준스탯 72종'!D63*H1391</x:f>
        <x:v>1.4400000000000004</x:v>
      </x:c>
      <x:c r="AA1391" s="15" t="n">
        <x:f>'기준스탯 72종'!E63*H1391</x:f>
        <x:v>1.2600000000000002</x:v>
      </x:c>
      <x:c r="AB1391" s="15" t="n">
        <x:f>'기준스탯 72종'!F63*H1391</x:f>
        <x:v>1.4400000000000004</x:v>
      </x:c>
      <x:c r="AC1391" s="15" t="n">
        <x:f>'기준스탯 72종'!G63*H1391</x:f>
        <x:v>1.0800000000000003</x:v>
      </x:c>
      <x:c r="AD1391" s="15" t="n">
        <x:f>'기준스탯 72종'!H63*H1391</x:f>
        <x:v>0.3600000000000001</x:v>
      </x:c>
      <x:c r="AE1391" s="15" t="n">
        <x:f>'기준스탯 72종'!I63*H1391</x:f>
        <x:v>1.2600000000000002</x:v>
      </x:c>
      <x:c r="AF1391" s="15" t="n">
        <x:f>'기준스탯 72종'!J63*H1391</x:f>
        <x:v>0.3600000000000001</x:v>
      </x:c>
      <x:c r="AG1391" s="15" t="n">
        <x:f>'기준스탯 72종'!K63*H1391</x:f>
        <x:v>0.9000000000000002</x:v>
      </x:c>
    </x:row>
    <x:row r="1392" ht="28" customHeight="1">
      <x:c r="A1392" s="2" t="n">
        <x:v>1385</x:v>
      </x:c>
      <x:c r="B1392" s="2" t="n">
        <x:v>56</x:v>
      </x:c>
      <x:c r="C1392" s="2" t="str">
        <x:v>염소자리</x:v>
      </x:c>
      <x:c r="D1392" s="2" t="str">
        <x:v>마도사</x:v>
      </x:c>
      <x:c r="E1392" s="2" t="n">
        <x:v>5</x:v>
      </x:c>
      <x:c r="F1392" s="2" t="n">
        <x:v>2</x:v>
      </x:c>
      <x:c r="G1392" s="14" t="n">
        <x:f>('레벨 계산식'!$E$4-E1392)*'레벨 계산식'!$B$5</x:f>
        <x:v>0</x:v>
      </x:c>
      <x:c r="H1392" s="14" t="n">
        <x:f>('등급 계산식'!$E$4-F1392)*'등급 계산식'!$B$5</x:f>
        <x:v>0.18000000000000005</x:v>
      </x:c>
      <x:c r="I1392" s="14" t="n">
        <x:f>1-G1392-H1392</x:f>
        <x:v>0.82</x:v>
      </x:c>
      <x:c r="J1392" s="2" t="n">
        <x:f>MAX(1,ROUND('기준스탯 72종'!D63-R1392-Z1392,0))</x:f>
        <x:v>7</x:v>
      </x:c>
      <x:c r="K1392" s="2" t="n">
        <x:f>MAX(1,ROUND('기준스탯 72종'!E63-S1392-AA1392,0))</x:f>
        <x:v>6</x:v>
      </x:c>
      <x:c r="L1392" s="2" t="n">
        <x:f>MAX(1,ROUND('기준스탯 72종'!F63-T1392-AB1392,0))</x:f>
        <x:v>7</x:v>
      </x:c>
      <x:c r="M1392" s="2" t="n">
        <x:f>MAX(1,ROUND('기준스탯 72종'!G63-U1392-AC1392,0))</x:f>
        <x:v>5</x:v>
      </x:c>
      <x:c r="N1392" s="2" t="n">
        <x:f>MAX(0,ROUND('기준스탯 72종'!H63-V1392-AD1392,0))</x:f>
        <x:v>2</x:v>
      </x:c>
      <x:c r="O1392" s="2" t="n">
        <x:f>MAX(0,ROUND('기준스탯 72종'!I63-W1392-AE1392,0))</x:f>
        <x:v>6</x:v>
      </x:c>
      <x:c r="P1392" s="2" t="n">
        <x:f>MAX(0,ROUND('기준스탯 72종'!J63-X1392-AF1392,0))</x:f>
        <x:v>2</x:v>
      </x:c>
      <x:c r="Q1392" s="2" t="n">
        <x:f>MAX(0,ROUND('기준스탯 72종'!K63-Y1392-AG1392,0))</x:f>
        <x:v>4</x:v>
      </x:c>
      <x:c r="R1392" s="15" t="n">
        <x:f>'기준스탯 72종'!D63*G1392</x:f>
        <x:v>0</x:v>
      </x:c>
      <x:c r="S1392" s="15" t="n">
        <x:f>'기준스탯 72종'!E63*G1392</x:f>
        <x:v>0</x:v>
      </x:c>
      <x:c r="T1392" s="15" t="n">
        <x:f>'기준스탯 72종'!F63*G1392</x:f>
        <x:v>0</x:v>
      </x:c>
      <x:c r="U1392" s="15" t="n">
        <x:f>'기준스탯 72종'!G63*G1392</x:f>
        <x:v>0</x:v>
      </x:c>
      <x:c r="V1392" s="15" t="n">
        <x:f>'기준스탯 72종'!H63*G1392</x:f>
        <x:v>0</x:v>
      </x:c>
      <x:c r="W1392" s="15" t="n">
        <x:f>'기준스탯 72종'!I63*G1392</x:f>
        <x:v>0</x:v>
      </x:c>
      <x:c r="X1392" s="15" t="n">
        <x:f>'기준스탯 72종'!J63*G1392</x:f>
        <x:v>0</x:v>
      </x:c>
      <x:c r="Y1392" s="15" t="n">
        <x:f>'기준스탯 72종'!K63*G1392</x:f>
        <x:v>0</x:v>
      </x:c>
      <x:c r="Z1392" s="15" t="n">
        <x:f>'기준스탯 72종'!D63*H1392</x:f>
        <x:v>1.4400000000000004</x:v>
      </x:c>
      <x:c r="AA1392" s="15" t="n">
        <x:f>'기준스탯 72종'!E63*H1392</x:f>
        <x:v>1.2600000000000002</x:v>
      </x:c>
      <x:c r="AB1392" s="15" t="n">
        <x:f>'기준스탯 72종'!F63*H1392</x:f>
        <x:v>1.4400000000000004</x:v>
      </x:c>
      <x:c r="AC1392" s="15" t="n">
        <x:f>'기준스탯 72종'!G63*H1392</x:f>
        <x:v>1.0800000000000003</x:v>
      </x:c>
      <x:c r="AD1392" s="15" t="n">
        <x:f>'기준스탯 72종'!H63*H1392</x:f>
        <x:v>0.3600000000000001</x:v>
      </x:c>
      <x:c r="AE1392" s="15" t="n">
        <x:f>'기준스탯 72종'!I63*H1392</x:f>
        <x:v>1.2600000000000002</x:v>
      </x:c>
      <x:c r="AF1392" s="15" t="n">
        <x:f>'기준스탯 72종'!J63*H1392</x:f>
        <x:v>0.3600000000000001</x:v>
      </x:c>
      <x:c r="AG1392" s="15" t="n">
        <x:f>'기준스탯 72종'!K63*H1392</x:f>
        <x:v>0.9000000000000002</x:v>
      </x:c>
    </x:row>
    <x:row r="1393" ht="28" customHeight="1">
      <x:c r="A1393" s="2" t="n">
        <x:v>1386</x:v>
      </x:c>
      <x:c r="B1393" s="2" t="n">
        <x:v>56</x:v>
      </x:c>
      <x:c r="C1393" s="2" t="str">
        <x:v>염소자리</x:v>
      </x:c>
      <x:c r="D1393" s="2" t="str">
        <x:v>마도사</x:v>
      </x:c>
      <x:c r="E1393" s="2" t="n">
        <x:v>1</x:v>
      </x:c>
      <x:c r="F1393" s="2" t="n">
        <x:v>3</x:v>
      </x:c>
      <x:c r="G1393" s="14" t="n">
        <x:f>('레벨 계산식'!$E$4-E1393)*'레벨 계산식'!$B$5</x:f>
        <x:v>0.5599999999999999</x:v>
      </x:c>
      <x:c r="H1393" s="14" t="n">
        <x:f>('등급 계산식'!$E$4-F1393)*'등급 계산식'!$B$5</x:f>
        <x:v>0.12000000000000002</x:v>
      </x:c>
      <x:c r="I1393" s="14" t="n">
        <x:f>1-G1393-H1393</x:f>
        <x:v>0.32000000000000006</x:v>
      </x:c>
      <x:c r="J1393" s="2" t="n">
        <x:f>MAX(1,ROUND('기준스탯 72종'!D63-R1393-Z1393,0))</x:f>
        <x:v>3</x:v>
      </x:c>
      <x:c r="K1393" s="2" t="n">
        <x:f>MAX(1,ROUND('기준스탯 72종'!E63-S1393-AA1393,0))</x:f>
        <x:v>2</x:v>
      </x:c>
      <x:c r="L1393" s="2" t="n">
        <x:f>MAX(1,ROUND('기준스탯 72종'!F63-T1393-AB1393,0))</x:f>
        <x:v>3</x:v>
      </x:c>
      <x:c r="M1393" s="2" t="n">
        <x:f>MAX(1,ROUND('기준스탯 72종'!G63-U1393-AC1393,0))</x:f>
        <x:v>2</x:v>
      </x:c>
      <x:c r="N1393" s="2" t="n">
        <x:f>MAX(0,ROUND('기준스탯 72종'!H63-V1393-AD1393,0))</x:f>
        <x:v>1</x:v>
      </x:c>
      <x:c r="O1393" s="2" t="n">
        <x:f>MAX(0,ROUND('기준스탯 72종'!I63-W1393-AE1393,0))</x:f>
        <x:v>2</x:v>
      </x:c>
      <x:c r="P1393" s="2" t="n">
        <x:f>MAX(0,ROUND('기준스탯 72종'!J63-X1393-AF1393,0))</x:f>
        <x:v>1</x:v>
      </x:c>
      <x:c r="Q1393" s="2" t="n">
        <x:f>MAX(0,ROUND('기준스탯 72종'!K63-Y1393-AG1393,0))</x:f>
        <x:v>2</x:v>
      </x:c>
      <x:c r="R1393" s="15" t="n">
        <x:f>'기준스탯 72종'!D63*G1393</x:f>
        <x:v>4.4799999999999995</x:v>
      </x:c>
      <x:c r="S1393" s="15" t="n">
        <x:f>'기준스탯 72종'!E63*G1393</x:f>
        <x:v>3.9199999999999995</x:v>
      </x:c>
      <x:c r="T1393" s="15" t="n">
        <x:f>'기준스탯 72종'!F63*G1393</x:f>
        <x:v>4.4799999999999995</x:v>
      </x:c>
      <x:c r="U1393" s="15" t="n">
        <x:f>'기준스탯 72종'!G63*G1393</x:f>
        <x:v>3.3599999999999994</x:v>
      </x:c>
      <x:c r="V1393" s="15" t="n">
        <x:f>'기준스탯 72종'!H63*G1393</x:f>
        <x:v>1.1199999999999999</x:v>
      </x:c>
      <x:c r="W1393" s="15" t="n">
        <x:f>'기준스탯 72종'!I63*G1393</x:f>
        <x:v>3.9199999999999995</x:v>
      </x:c>
      <x:c r="X1393" s="15" t="n">
        <x:f>'기준스탯 72종'!J63*G1393</x:f>
        <x:v>1.1199999999999999</x:v>
      </x:c>
      <x:c r="Y1393" s="15" t="n">
        <x:f>'기준스탯 72종'!K63*G1393</x:f>
        <x:v>2.8</x:v>
      </x:c>
      <x:c r="Z1393" s="15" t="n">
        <x:f>'기준스탯 72종'!D63*H1393</x:f>
        <x:v>0.9600000000000002</x:v>
      </x:c>
      <x:c r="AA1393" s="15" t="n">
        <x:f>'기준스탯 72종'!E63*H1393</x:f>
        <x:v>0.8400000000000002</x:v>
      </x:c>
      <x:c r="AB1393" s="15" t="n">
        <x:f>'기준스탯 72종'!F63*H1393</x:f>
        <x:v>0.9600000000000002</x:v>
      </x:c>
      <x:c r="AC1393" s="15" t="n">
        <x:f>'기준스탯 72종'!G63*H1393</x:f>
        <x:v>0.7200000000000002</x:v>
      </x:c>
      <x:c r="AD1393" s="15" t="n">
        <x:f>'기준스탯 72종'!H63*H1393</x:f>
        <x:v>0.24000000000000005</x:v>
      </x:c>
      <x:c r="AE1393" s="15" t="n">
        <x:f>'기준스탯 72종'!I63*H1393</x:f>
        <x:v>0.8400000000000002</x:v>
      </x:c>
      <x:c r="AF1393" s="15" t="n">
        <x:f>'기준스탯 72종'!J63*H1393</x:f>
        <x:v>0.24000000000000005</x:v>
      </x:c>
      <x:c r="AG1393" s="15" t="n">
        <x:f>'기준스탯 72종'!K63*H1393</x:f>
        <x:v>0.6000000000000001</x:v>
      </x:c>
    </x:row>
    <x:row r="1394" ht="28" customHeight="1">
      <x:c r="A1394" s="2" t="n">
        <x:v>1387</x:v>
      </x:c>
      <x:c r="B1394" s="2" t="n">
        <x:v>56</x:v>
      </x:c>
      <x:c r="C1394" s="2" t="str">
        <x:v>염소자리</x:v>
      </x:c>
      <x:c r="D1394" s="2" t="str">
        <x:v>마도사</x:v>
      </x:c>
      <x:c r="E1394" s="2" t="n">
        <x:v>2</x:v>
      </x:c>
      <x:c r="F1394" s="2" t="n">
        <x:v>3</x:v>
      </x:c>
      <x:c r="G1394" s="14" t="n">
        <x:f>('레벨 계산식'!$E$4-E1394)*'레벨 계산식'!$B$5</x:f>
        <x:v>0.41999999999999993</x:v>
      </x:c>
      <x:c r="H1394" s="14" t="n">
        <x:f>('등급 계산식'!$E$4-F1394)*'등급 계산식'!$B$5</x:f>
        <x:v>0.12000000000000002</x:v>
      </x:c>
      <x:c r="I1394" s="14" t="n">
        <x:f>1-G1394-H1394</x:f>
        <x:v>0.4600000000000001</x:v>
      </x:c>
      <x:c r="J1394" s="2" t="n">
        <x:f>MAX(1,ROUND('기준스탯 72종'!D63-R1394-Z1394,0))</x:f>
        <x:v>4</x:v>
      </x:c>
      <x:c r="K1394" s="2" t="n">
        <x:f>MAX(1,ROUND('기준스탯 72종'!E63-S1394-AA1394,0))</x:f>
        <x:v>3</x:v>
      </x:c>
      <x:c r="L1394" s="2" t="n">
        <x:f>MAX(1,ROUND('기준스탯 72종'!F63-T1394-AB1394,0))</x:f>
        <x:v>4</x:v>
      </x:c>
      <x:c r="M1394" s="2" t="n">
        <x:f>MAX(1,ROUND('기준스탯 72종'!G63-U1394-AC1394,0))</x:f>
        <x:v>3</x:v>
      </x:c>
      <x:c r="N1394" s="2" t="n">
        <x:f>MAX(0,ROUND('기준스탯 72종'!H63-V1394-AD1394,0))</x:f>
        <x:v>1</x:v>
      </x:c>
      <x:c r="O1394" s="2" t="n">
        <x:f>MAX(0,ROUND('기준스탯 72종'!I63-W1394-AE1394,0))</x:f>
        <x:v>3</x:v>
      </x:c>
      <x:c r="P1394" s="2" t="n">
        <x:f>MAX(0,ROUND('기준스탯 72종'!J63-X1394-AF1394,0))</x:f>
        <x:v>1</x:v>
      </x:c>
      <x:c r="Q1394" s="2" t="n">
        <x:f>MAX(0,ROUND('기준스탯 72종'!K63-Y1394-AG1394,0))</x:f>
        <x:v>2</x:v>
      </x:c>
      <x:c r="R1394" s="15" t="n">
        <x:f>'기준스탯 72종'!D63*G1394</x:f>
        <x:v>3.3599999999999994</x:v>
      </x:c>
      <x:c r="S1394" s="15" t="n">
        <x:f>'기준스탯 72종'!E63*G1394</x:f>
        <x:v>2.9399999999999995</x:v>
      </x:c>
      <x:c r="T1394" s="15" t="n">
        <x:f>'기준스탯 72종'!F63*G1394</x:f>
        <x:v>3.3599999999999994</x:v>
      </x:c>
      <x:c r="U1394" s="15" t="n">
        <x:f>'기준스탯 72종'!G63*G1394</x:f>
        <x:v>2.5199999999999996</x:v>
      </x:c>
      <x:c r="V1394" s="15" t="n">
        <x:f>'기준스탯 72종'!H63*G1394</x:f>
        <x:v>0.8399999999999999</x:v>
      </x:c>
      <x:c r="W1394" s="15" t="n">
        <x:f>'기준스탯 72종'!I63*G1394</x:f>
        <x:v>2.9399999999999995</x:v>
      </x:c>
      <x:c r="X1394" s="15" t="n">
        <x:f>'기준스탯 72종'!J63*G1394</x:f>
        <x:v>0.8399999999999999</x:v>
      </x:c>
      <x:c r="Y1394" s="15" t="n">
        <x:f>'기준스탯 72종'!K63*G1394</x:f>
        <x:v>2.0999999999999996</x:v>
      </x:c>
      <x:c r="Z1394" s="15" t="n">
        <x:f>'기준스탯 72종'!D63*H1394</x:f>
        <x:v>0.9600000000000002</x:v>
      </x:c>
      <x:c r="AA1394" s="15" t="n">
        <x:f>'기준스탯 72종'!E63*H1394</x:f>
        <x:v>0.8400000000000002</x:v>
      </x:c>
      <x:c r="AB1394" s="15" t="n">
        <x:f>'기준스탯 72종'!F63*H1394</x:f>
        <x:v>0.9600000000000002</x:v>
      </x:c>
      <x:c r="AC1394" s="15" t="n">
        <x:f>'기준스탯 72종'!G63*H1394</x:f>
        <x:v>0.7200000000000002</x:v>
      </x:c>
      <x:c r="AD1394" s="15" t="n">
        <x:f>'기준스탯 72종'!H63*H1394</x:f>
        <x:v>0.24000000000000005</x:v>
      </x:c>
      <x:c r="AE1394" s="15" t="n">
        <x:f>'기준스탯 72종'!I63*H1394</x:f>
        <x:v>0.8400000000000002</x:v>
      </x:c>
      <x:c r="AF1394" s="15" t="n">
        <x:f>'기준스탯 72종'!J63*H1394</x:f>
        <x:v>0.24000000000000005</x:v>
      </x:c>
      <x:c r="AG1394" s="15" t="n">
        <x:f>'기준스탯 72종'!K63*H1394</x:f>
        <x:v>0.6000000000000001</x:v>
      </x:c>
    </x:row>
    <x:row r="1395" ht="28" customHeight="1">
      <x:c r="A1395" s="2" t="n">
        <x:v>1388</x:v>
      </x:c>
      <x:c r="B1395" s="2" t="n">
        <x:v>56</x:v>
      </x:c>
      <x:c r="C1395" s="2" t="str">
        <x:v>염소자리</x:v>
      </x:c>
      <x:c r="D1395" s="2" t="str">
        <x:v>마도사</x:v>
      </x:c>
      <x:c r="E1395" s="2" t="n">
        <x:v>3</x:v>
      </x:c>
      <x:c r="F1395" s="2" t="n">
        <x:v>3</x:v>
      </x:c>
      <x:c r="G1395" s="14" t="n">
        <x:f>('레벨 계산식'!$E$4-E1395)*'레벨 계산식'!$B$5</x:f>
        <x:v>0.27999999999999997</x:v>
      </x:c>
      <x:c r="H1395" s="14" t="n">
        <x:f>('등급 계산식'!$E$4-F1395)*'등급 계산식'!$B$5</x:f>
        <x:v>0.12000000000000002</x:v>
      </x:c>
      <x:c r="I1395" s="14" t="n">
        <x:f>1-G1395-H1395</x:f>
        <x:v>0.6</x:v>
      </x:c>
      <x:c r="J1395" s="2" t="n">
        <x:f>MAX(1,ROUND('기준스탯 72종'!D63-R1395-Z1395,0))</x:f>
        <x:v>5</x:v>
      </x:c>
      <x:c r="K1395" s="2" t="n">
        <x:f>MAX(1,ROUND('기준스탯 72종'!E63-S1395-AA1395,0))</x:f>
        <x:v>4</x:v>
      </x:c>
      <x:c r="L1395" s="2" t="n">
        <x:f>MAX(1,ROUND('기준스탯 72종'!F63-T1395-AB1395,0))</x:f>
        <x:v>5</x:v>
      </x:c>
      <x:c r="M1395" s="2" t="n">
        <x:f>MAX(1,ROUND('기준스탯 72종'!G63-U1395-AC1395,0))</x:f>
        <x:v>4</x:v>
      </x:c>
      <x:c r="N1395" s="2" t="n">
        <x:f>MAX(0,ROUND('기준스탯 72종'!H63-V1395-AD1395,0))</x:f>
        <x:v>1</x:v>
      </x:c>
      <x:c r="O1395" s="2" t="n">
        <x:f>MAX(0,ROUND('기준스탯 72종'!I63-W1395-AE1395,0))</x:f>
        <x:v>4</x:v>
      </x:c>
      <x:c r="P1395" s="2" t="n">
        <x:f>MAX(0,ROUND('기준스탯 72종'!J63-X1395-AF1395,0))</x:f>
        <x:v>1</x:v>
      </x:c>
      <x:c r="Q1395" s="2" t="n">
        <x:f>MAX(0,ROUND('기준스탯 72종'!K63-Y1395-AG1395,0))</x:f>
        <x:v>3</x:v>
      </x:c>
      <x:c r="R1395" s="15" t="n">
        <x:f>'기준스탯 72종'!D63*G1395</x:f>
        <x:v>2.2399999999999998</x:v>
      </x:c>
      <x:c r="S1395" s="15" t="n">
        <x:f>'기준스탯 72종'!E63*G1395</x:f>
        <x:v>1.9599999999999997</x:v>
      </x:c>
      <x:c r="T1395" s="15" t="n">
        <x:f>'기준스탯 72종'!F63*G1395</x:f>
        <x:v>2.2399999999999998</x:v>
      </x:c>
      <x:c r="U1395" s="15" t="n">
        <x:f>'기준스탯 72종'!G63*G1395</x:f>
        <x:v>1.6799999999999997</x:v>
      </x:c>
      <x:c r="V1395" s="15" t="n">
        <x:f>'기준스탯 72종'!H63*G1395</x:f>
        <x:v>0.5599999999999999</x:v>
      </x:c>
      <x:c r="W1395" s="15" t="n">
        <x:f>'기준스탯 72종'!I63*G1395</x:f>
        <x:v>1.9599999999999997</x:v>
      </x:c>
      <x:c r="X1395" s="15" t="n">
        <x:f>'기준스탯 72종'!J63*G1395</x:f>
        <x:v>0.5599999999999999</x:v>
      </x:c>
      <x:c r="Y1395" s="15" t="n">
        <x:f>'기준스탯 72종'!K63*G1395</x:f>
        <x:v>1.4</x:v>
      </x:c>
      <x:c r="Z1395" s="15" t="n">
        <x:f>'기준스탯 72종'!D63*H1395</x:f>
        <x:v>0.9600000000000002</x:v>
      </x:c>
      <x:c r="AA1395" s="15" t="n">
        <x:f>'기준스탯 72종'!E63*H1395</x:f>
        <x:v>0.8400000000000002</x:v>
      </x:c>
      <x:c r="AB1395" s="15" t="n">
        <x:f>'기준스탯 72종'!F63*H1395</x:f>
        <x:v>0.9600000000000002</x:v>
      </x:c>
      <x:c r="AC1395" s="15" t="n">
        <x:f>'기준스탯 72종'!G63*H1395</x:f>
        <x:v>0.7200000000000002</x:v>
      </x:c>
      <x:c r="AD1395" s="15" t="n">
        <x:f>'기준스탯 72종'!H63*H1395</x:f>
        <x:v>0.24000000000000005</x:v>
      </x:c>
      <x:c r="AE1395" s="15" t="n">
        <x:f>'기준스탯 72종'!I63*H1395</x:f>
        <x:v>0.8400000000000002</x:v>
      </x:c>
      <x:c r="AF1395" s="15" t="n">
        <x:f>'기준스탯 72종'!J63*H1395</x:f>
        <x:v>0.24000000000000005</x:v>
      </x:c>
      <x:c r="AG1395" s="15" t="n">
        <x:f>'기준스탯 72종'!K63*H1395</x:f>
        <x:v>0.6000000000000001</x:v>
      </x:c>
    </x:row>
    <x:row r="1396" ht="28" customHeight="1">
      <x:c r="A1396" s="2" t="n">
        <x:v>1389</x:v>
      </x:c>
      <x:c r="B1396" s="2" t="n">
        <x:v>56</x:v>
      </x:c>
      <x:c r="C1396" s="2" t="str">
        <x:v>염소자리</x:v>
      </x:c>
      <x:c r="D1396" s="2" t="str">
        <x:v>마도사</x:v>
      </x:c>
      <x:c r="E1396" s="2" t="n">
        <x:v>4</x:v>
      </x:c>
      <x:c r="F1396" s="2" t="n">
        <x:v>3</x:v>
      </x:c>
      <x:c r="G1396" s="14" t="n">
        <x:f>('레벨 계산식'!$E$4-E1396)*'레벨 계산식'!$B$5</x:f>
        <x:v>0.13999999999999999</x:v>
      </x:c>
      <x:c r="H1396" s="14" t="n">
        <x:f>('등급 계산식'!$E$4-F1396)*'등급 계산식'!$B$5</x:f>
        <x:v>0.12000000000000002</x:v>
      </x:c>
      <x:c r="I1396" s="14" t="n">
        <x:f>1-G1396-H1396</x:f>
        <x:v>0.74</x:v>
      </x:c>
      <x:c r="J1396" s="2" t="n">
        <x:f>MAX(1,ROUND('기준스탯 72종'!D63-R1396-Z1396,0))</x:f>
        <x:v>6</x:v>
      </x:c>
      <x:c r="K1396" s="2" t="n">
        <x:f>MAX(1,ROUND('기준스탯 72종'!E63-S1396-AA1396,0))</x:f>
        <x:v>5</x:v>
      </x:c>
      <x:c r="L1396" s="2" t="n">
        <x:f>MAX(1,ROUND('기준스탯 72종'!F63-T1396-AB1396,0))</x:f>
        <x:v>6</x:v>
      </x:c>
      <x:c r="M1396" s="2" t="n">
        <x:f>MAX(1,ROUND('기준스탯 72종'!G63-U1396-AC1396,0))</x:f>
        <x:v>4</x:v>
      </x:c>
      <x:c r="N1396" s="2" t="n">
        <x:f>MAX(0,ROUND('기준스탯 72종'!H63-V1396-AD1396,0))</x:f>
        <x:v>1</x:v>
      </x:c>
      <x:c r="O1396" s="2" t="n">
        <x:f>MAX(0,ROUND('기준스탯 72종'!I63-W1396-AE1396,0))</x:f>
        <x:v>5</x:v>
      </x:c>
      <x:c r="P1396" s="2" t="n">
        <x:f>MAX(0,ROUND('기준스탯 72종'!J63-X1396-AF1396,0))</x:f>
        <x:v>1</x:v>
      </x:c>
      <x:c r="Q1396" s="2" t="n">
        <x:f>MAX(0,ROUND('기준스탯 72종'!K63-Y1396-AG1396,0))</x:f>
        <x:v>4</x:v>
      </x:c>
      <x:c r="R1396" s="15" t="n">
        <x:f>'기준스탯 72종'!D63*G1396</x:f>
        <x:v>1.1199999999999999</x:v>
      </x:c>
      <x:c r="S1396" s="15" t="n">
        <x:f>'기준스탯 72종'!E63*G1396</x:f>
        <x:v>0.9799999999999999</x:v>
      </x:c>
      <x:c r="T1396" s="15" t="n">
        <x:f>'기준스탯 72종'!F63*G1396</x:f>
        <x:v>1.1199999999999999</x:v>
      </x:c>
      <x:c r="U1396" s="15" t="n">
        <x:f>'기준스탯 72종'!G63*G1396</x:f>
        <x:v>0.8399999999999999</x:v>
      </x:c>
      <x:c r="V1396" s="15" t="n">
        <x:f>'기준스탯 72종'!H63*G1396</x:f>
        <x:v>0.27999999999999997</x:v>
      </x:c>
      <x:c r="W1396" s="15" t="n">
        <x:f>'기준스탯 72종'!I63*G1396</x:f>
        <x:v>0.9799999999999999</x:v>
      </x:c>
      <x:c r="X1396" s="15" t="n">
        <x:f>'기준스탯 72종'!J63*G1396</x:f>
        <x:v>0.27999999999999997</x:v>
      </x:c>
      <x:c r="Y1396" s="15" t="n">
        <x:f>'기준스탯 72종'!K63*G1396</x:f>
        <x:v>0.7</x:v>
      </x:c>
      <x:c r="Z1396" s="15" t="n">
        <x:f>'기준스탯 72종'!D63*H1396</x:f>
        <x:v>0.9600000000000002</x:v>
      </x:c>
      <x:c r="AA1396" s="15" t="n">
        <x:f>'기준스탯 72종'!E63*H1396</x:f>
        <x:v>0.8400000000000002</x:v>
      </x:c>
      <x:c r="AB1396" s="15" t="n">
        <x:f>'기준스탯 72종'!F63*H1396</x:f>
        <x:v>0.9600000000000002</x:v>
      </x:c>
      <x:c r="AC1396" s="15" t="n">
        <x:f>'기준스탯 72종'!G63*H1396</x:f>
        <x:v>0.7200000000000002</x:v>
      </x:c>
      <x:c r="AD1396" s="15" t="n">
        <x:f>'기준스탯 72종'!H63*H1396</x:f>
        <x:v>0.24000000000000005</x:v>
      </x:c>
      <x:c r="AE1396" s="15" t="n">
        <x:f>'기준스탯 72종'!I63*H1396</x:f>
        <x:v>0.8400000000000002</x:v>
      </x:c>
      <x:c r="AF1396" s="15" t="n">
        <x:f>'기준스탯 72종'!J63*H1396</x:f>
        <x:v>0.24000000000000005</x:v>
      </x:c>
      <x:c r="AG1396" s="15" t="n">
        <x:f>'기준스탯 72종'!K63*H1396</x:f>
        <x:v>0.6000000000000001</x:v>
      </x:c>
    </x:row>
    <x:row r="1397" ht="28" customHeight="1">
      <x:c r="A1397" s="2" t="n">
        <x:v>1390</x:v>
      </x:c>
      <x:c r="B1397" s="2" t="n">
        <x:v>56</x:v>
      </x:c>
      <x:c r="C1397" s="2" t="str">
        <x:v>염소자리</x:v>
      </x:c>
      <x:c r="D1397" s="2" t="str">
        <x:v>마도사</x:v>
      </x:c>
      <x:c r="E1397" s="2" t="n">
        <x:v>5</x:v>
      </x:c>
      <x:c r="F1397" s="2" t="n">
        <x:v>3</x:v>
      </x:c>
      <x:c r="G1397" s="14" t="n">
        <x:f>('레벨 계산식'!$E$4-E1397)*'레벨 계산식'!$B$5</x:f>
        <x:v>0</x:v>
      </x:c>
      <x:c r="H1397" s="14" t="n">
        <x:f>('등급 계산식'!$E$4-F1397)*'등급 계산식'!$B$5</x:f>
        <x:v>0.12000000000000002</x:v>
      </x:c>
      <x:c r="I1397" s="14" t="n">
        <x:f>1-G1397-H1397</x:f>
        <x:v>0.88</x:v>
      </x:c>
      <x:c r="J1397" s="2" t="n">
        <x:f>MAX(1,ROUND('기준스탯 72종'!D63-R1397-Z1397,0))</x:f>
        <x:v>7</x:v>
      </x:c>
      <x:c r="K1397" s="2" t="n">
        <x:f>MAX(1,ROUND('기준스탯 72종'!E63-S1397-AA1397,0))</x:f>
        <x:v>6</x:v>
      </x:c>
      <x:c r="L1397" s="2" t="n">
        <x:f>MAX(1,ROUND('기준스탯 72종'!F63-T1397-AB1397,0))</x:f>
        <x:v>7</x:v>
      </x:c>
      <x:c r="M1397" s="2" t="n">
        <x:f>MAX(1,ROUND('기준스탯 72종'!G63-U1397-AC1397,0))</x:f>
        <x:v>5</x:v>
      </x:c>
      <x:c r="N1397" s="2" t="n">
        <x:f>MAX(0,ROUND('기준스탯 72종'!H63-V1397-AD1397,0))</x:f>
        <x:v>2</x:v>
      </x:c>
      <x:c r="O1397" s="2" t="n">
        <x:f>MAX(0,ROUND('기준스탯 72종'!I63-W1397-AE1397,0))</x:f>
        <x:v>6</x:v>
      </x:c>
      <x:c r="P1397" s="2" t="n">
        <x:f>MAX(0,ROUND('기준스탯 72종'!J63-X1397-AF1397,0))</x:f>
        <x:v>2</x:v>
      </x:c>
      <x:c r="Q1397" s="2" t="n">
        <x:f>MAX(0,ROUND('기준스탯 72종'!K63-Y1397-AG1397,0))</x:f>
        <x:v>4</x:v>
      </x:c>
      <x:c r="R1397" s="15" t="n">
        <x:f>'기준스탯 72종'!D63*G1397</x:f>
        <x:v>0</x:v>
      </x:c>
      <x:c r="S1397" s="15" t="n">
        <x:f>'기준스탯 72종'!E63*G1397</x:f>
        <x:v>0</x:v>
      </x:c>
      <x:c r="T1397" s="15" t="n">
        <x:f>'기준스탯 72종'!F63*G1397</x:f>
        <x:v>0</x:v>
      </x:c>
      <x:c r="U1397" s="15" t="n">
        <x:f>'기준스탯 72종'!G63*G1397</x:f>
        <x:v>0</x:v>
      </x:c>
      <x:c r="V1397" s="15" t="n">
        <x:f>'기준스탯 72종'!H63*G1397</x:f>
        <x:v>0</x:v>
      </x:c>
      <x:c r="W1397" s="15" t="n">
        <x:f>'기준스탯 72종'!I63*G1397</x:f>
        <x:v>0</x:v>
      </x:c>
      <x:c r="X1397" s="15" t="n">
        <x:f>'기준스탯 72종'!J63*G1397</x:f>
        <x:v>0</x:v>
      </x:c>
      <x:c r="Y1397" s="15" t="n">
        <x:f>'기준스탯 72종'!K63*G1397</x:f>
        <x:v>0</x:v>
      </x:c>
      <x:c r="Z1397" s="15" t="n">
        <x:f>'기준스탯 72종'!D63*H1397</x:f>
        <x:v>0.9600000000000002</x:v>
      </x:c>
      <x:c r="AA1397" s="15" t="n">
        <x:f>'기준스탯 72종'!E63*H1397</x:f>
        <x:v>0.8400000000000002</x:v>
      </x:c>
      <x:c r="AB1397" s="15" t="n">
        <x:f>'기준스탯 72종'!F63*H1397</x:f>
        <x:v>0.9600000000000002</x:v>
      </x:c>
      <x:c r="AC1397" s="15" t="n">
        <x:f>'기준스탯 72종'!G63*H1397</x:f>
        <x:v>0.7200000000000002</x:v>
      </x:c>
      <x:c r="AD1397" s="15" t="n">
        <x:f>'기준스탯 72종'!H63*H1397</x:f>
        <x:v>0.24000000000000005</x:v>
      </x:c>
      <x:c r="AE1397" s="15" t="n">
        <x:f>'기준스탯 72종'!I63*H1397</x:f>
        <x:v>0.8400000000000002</x:v>
      </x:c>
      <x:c r="AF1397" s="15" t="n">
        <x:f>'기준스탯 72종'!J63*H1397</x:f>
        <x:v>0.24000000000000005</x:v>
      </x:c>
      <x:c r="AG1397" s="15" t="n">
        <x:f>'기준스탯 72종'!K63*H1397</x:f>
        <x:v>0.6000000000000001</x:v>
      </x:c>
    </x:row>
    <x:row r="1398" ht="28" customHeight="1">
      <x:c r="A1398" s="2" t="n">
        <x:v>1391</x:v>
      </x:c>
      <x:c r="B1398" s="2" t="n">
        <x:v>56</x:v>
      </x:c>
      <x:c r="C1398" s="2" t="str">
        <x:v>염소자리</x:v>
      </x:c>
      <x:c r="D1398" s="2" t="str">
        <x:v>마도사</x:v>
      </x:c>
      <x:c r="E1398" s="2" t="n">
        <x:v>1</x:v>
      </x:c>
      <x:c r="F1398" s="2" t="n">
        <x:v>4</x:v>
      </x:c>
      <x:c r="G1398" s="14" t="n">
        <x:f>('레벨 계산식'!$E$4-E1398)*'레벨 계산식'!$B$5</x:f>
        <x:v>0.5599999999999999</x:v>
      </x:c>
      <x:c r="H1398" s="14" t="n">
        <x:f>('등급 계산식'!$E$4-F1398)*'등급 계산식'!$B$5</x:f>
        <x:v>0.06000000000000001</x:v>
      </x:c>
      <x:c r="I1398" s="14" t="n">
        <x:f>1-G1398-H1398</x:f>
        <x:v>0.38000000000000006</x:v>
      </x:c>
      <x:c r="J1398" s="2" t="n">
        <x:f>MAX(1,ROUND('기준스탯 72종'!D63-R1398-Z1398,0))</x:f>
        <x:v>3</x:v>
      </x:c>
      <x:c r="K1398" s="2" t="n">
        <x:f>MAX(1,ROUND('기준스탯 72종'!E63-S1398-AA1398,0))</x:f>
        <x:v>3</x:v>
      </x:c>
      <x:c r="L1398" s="2" t="n">
        <x:f>MAX(1,ROUND('기준스탯 72종'!F63-T1398-AB1398,0))</x:f>
        <x:v>3</x:v>
      </x:c>
      <x:c r="M1398" s="2" t="n">
        <x:f>MAX(1,ROUND('기준스탯 72종'!G63-U1398-AC1398,0))</x:f>
        <x:v>2</x:v>
      </x:c>
      <x:c r="N1398" s="2" t="n">
        <x:f>MAX(0,ROUND('기준스탯 72종'!H63-V1398-AD1398,0))</x:f>
        <x:v>1</x:v>
      </x:c>
      <x:c r="O1398" s="2" t="n">
        <x:f>MAX(0,ROUND('기준스탯 72종'!I63-W1398-AE1398,0))</x:f>
        <x:v>3</x:v>
      </x:c>
      <x:c r="P1398" s="2" t="n">
        <x:f>MAX(0,ROUND('기준스탯 72종'!J63-X1398-AF1398,0))</x:f>
        <x:v>1</x:v>
      </x:c>
      <x:c r="Q1398" s="2" t="n">
        <x:f>MAX(0,ROUND('기준스탯 72종'!K63-Y1398-AG1398,0))</x:f>
        <x:v>2</x:v>
      </x:c>
      <x:c r="R1398" s="15" t="n">
        <x:f>'기준스탯 72종'!D63*G1398</x:f>
        <x:v>4.4799999999999995</x:v>
      </x:c>
      <x:c r="S1398" s="15" t="n">
        <x:f>'기준스탯 72종'!E63*G1398</x:f>
        <x:v>3.9199999999999995</x:v>
      </x:c>
      <x:c r="T1398" s="15" t="n">
        <x:f>'기준스탯 72종'!F63*G1398</x:f>
        <x:v>4.4799999999999995</x:v>
      </x:c>
      <x:c r="U1398" s="15" t="n">
        <x:f>'기준스탯 72종'!G63*G1398</x:f>
        <x:v>3.3599999999999994</x:v>
      </x:c>
      <x:c r="V1398" s="15" t="n">
        <x:f>'기준스탯 72종'!H63*G1398</x:f>
        <x:v>1.1199999999999999</x:v>
      </x:c>
      <x:c r="W1398" s="15" t="n">
        <x:f>'기준스탯 72종'!I63*G1398</x:f>
        <x:v>3.9199999999999995</x:v>
      </x:c>
      <x:c r="X1398" s="15" t="n">
        <x:f>'기준스탯 72종'!J63*G1398</x:f>
        <x:v>1.1199999999999999</x:v>
      </x:c>
      <x:c r="Y1398" s="15" t="n">
        <x:f>'기준스탯 72종'!K63*G1398</x:f>
        <x:v>2.8</x:v>
      </x:c>
      <x:c r="Z1398" s="15" t="n">
        <x:f>'기준스탯 72종'!D63*H1398</x:f>
        <x:v>0.4800000000000001</x:v>
      </x:c>
      <x:c r="AA1398" s="15" t="n">
        <x:f>'기준스탯 72종'!E63*H1398</x:f>
        <x:v>0.4200000000000001</x:v>
      </x:c>
      <x:c r="AB1398" s="15" t="n">
        <x:f>'기준스탯 72종'!F63*H1398</x:f>
        <x:v>0.4800000000000001</x:v>
      </x:c>
      <x:c r="AC1398" s="15" t="n">
        <x:f>'기준스탯 72종'!G63*H1398</x:f>
        <x:v>0.3600000000000001</x:v>
      </x:c>
      <x:c r="AD1398" s="15" t="n">
        <x:f>'기준스탯 72종'!H63*H1398</x:f>
        <x:v>0.12000000000000002</x:v>
      </x:c>
      <x:c r="AE1398" s="15" t="n">
        <x:f>'기준스탯 72종'!I63*H1398</x:f>
        <x:v>0.4200000000000001</x:v>
      </x:c>
      <x:c r="AF1398" s="15" t="n">
        <x:f>'기준스탯 72종'!J63*H1398</x:f>
        <x:v>0.12000000000000002</x:v>
      </x:c>
      <x:c r="AG1398" s="15" t="n">
        <x:f>'기준스탯 72종'!K63*H1398</x:f>
        <x:v>0.30000000000000004</x:v>
      </x:c>
    </x:row>
    <x:row r="1399" ht="28" customHeight="1">
      <x:c r="A1399" s="2" t="n">
        <x:v>1392</x:v>
      </x:c>
      <x:c r="B1399" s="2" t="n">
        <x:v>56</x:v>
      </x:c>
      <x:c r="C1399" s="2" t="str">
        <x:v>염소자리</x:v>
      </x:c>
      <x:c r="D1399" s="2" t="str">
        <x:v>마도사</x:v>
      </x:c>
      <x:c r="E1399" s="2" t="n">
        <x:v>2</x:v>
      </x:c>
      <x:c r="F1399" s="2" t="n">
        <x:v>4</x:v>
      </x:c>
      <x:c r="G1399" s="14" t="n">
        <x:f>('레벨 계산식'!$E$4-E1399)*'레벨 계산식'!$B$5</x:f>
        <x:v>0.41999999999999993</x:v>
      </x:c>
      <x:c r="H1399" s="14" t="n">
        <x:f>('등급 계산식'!$E$4-F1399)*'등급 계산식'!$B$5</x:f>
        <x:v>0.06000000000000001</x:v>
      </x:c>
      <x:c r="I1399" s="14" t="n">
        <x:f>1-G1399-H1399</x:f>
        <x:v>0.52</x:v>
      </x:c>
      <x:c r="J1399" s="2" t="n">
        <x:f>MAX(1,ROUND('기준스탯 72종'!D63-R1399-Z1399,0))</x:f>
        <x:v>4</x:v>
      </x:c>
      <x:c r="K1399" s="2" t="n">
        <x:f>MAX(1,ROUND('기준스탯 72종'!E63-S1399-AA1399,0))</x:f>
        <x:v>4</x:v>
      </x:c>
      <x:c r="L1399" s="2" t="n">
        <x:f>MAX(1,ROUND('기준스탯 72종'!F63-T1399-AB1399,0))</x:f>
        <x:v>4</x:v>
      </x:c>
      <x:c r="M1399" s="2" t="n">
        <x:f>MAX(1,ROUND('기준스탯 72종'!G63-U1399-AC1399,0))</x:f>
        <x:v>3</x:v>
      </x:c>
      <x:c r="N1399" s="2" t="n">
        <x:f>MAX(0,ROUND('기준스탯 72종'!H63-V1399-AD1399,0))</x:f>
        <x:v>1</x:v>
      </x:c>
      <x:c r="O1399" s="2" t="n">
        <x:f>MAX(0,ROUND('기준스탯 72종'!I63-W1399-AE1399,0))</x:f>
        <x:v>4</x:v>
      </x:c>
      <x:c r="P1399" s="2" t="n">
        <x:f>MAX(0,ROUND('기준스탯 72종'!J63-X1399-AF1399,0))</x:f>
        <x:v>1</x:v>
      </x:c>
      <x:c r="Q1399" s="2" t="n">
        <x:f>MAX(0,ROUND('기준스탯 72종'!K63-Y1399-AG1399,0))</x:f>
        <x:v>3</x:v>
      </x:c>
      <x:c r="R1399" s="15" t="n">
        <x:f>'기준스탯 72종'!D63*G1399</x:f>
        <x:v>3.3599999999999994</x:v>
      </x:c>
      <x:c r="S1399" s="15" t="n">
        <x:f>'기준스탯 72종'!E63*G1399</x:f>
        <x:v>2.9399999999999995</x:v>
      </x:c>
      <x:c r="T1399" s="15" t="n">
        <x:f>'기준스탯 72종'!F63*G1399</x:f>
        <x:v>3.3599999999999994</x:v>
      </x:c>
      <x:c r="U1399" s="15" t="n">
        <x:f>'기준스탯 72종'!G63*G1399</x:f>
        <x:v>2.5199999999999996</x:v>
      </x:c>
      <x:c r="V1399" s="15" t="n">
        <x:f>'기준스탯 72종'!H63*G1399</x:f>
        <x:v>0.8399999999999999</x:v>
      </x:c>
      <x:c r="W1399" s="15" t="n">
        <x:f>'기준스탯 72종'!I63*G1399</x:f>
        <x:v>2.9399999999999995</x:v>
      </x:c>
      <x:c r="X1399" s="15" t="n">
        <x:f>'기준스탯 72종'!J63*G1399</x:f>
        <x:v>0.8399999999999999</x:v>
      </x:c>
      <x:c r="Y1399" s="15" t="n">
        <x:f>'기준스탯 72종'!K63*G1399</x:f>
        <x:v>2.0999999999999996</x:v>
      </x:c>
      <x:c r="Z1399" s="15" t="n">
        <x:f>'기준스탯 72종'!D63*H1399</x:f>
        <x:v>0.4800000000000001</x:v>
      </x:c>
      <x:c r="AA1399" s="15" t="n">
        <x:f>'기준스탯 72종'!E63*H1399</x:f>
        <x:v>0.4200000000000001</x:v>
      </x:c>
      <x:c r="AB1399" s="15" t="n">
        <x:f>'기준스탯 72종'!F63*H1399</x:f>
        <x:v>0.4800000000000001</x:v>
      </x:c>
      <x:c r="AC1399" s="15" t="n">
        <x:f>'기준스탯 72종'!G63*H1399</x:f>
        <x:v>0.3600000000000001</x:v>
      </x:c>
      <x:c r="AD1399" s="15" t="n">
        <x:f>'기준스탯 72종'!H63*H1399</x:f>
        <x:v>0.12000000000000002</x:v>
      </x:c>
      <x:c r="AE1399" s="15" t="n">
        <x:f>'기준스탯 72종'!I63*H1399</x:f>
        <x:v>0.4200000000000001</x:v>
      </x:c>
      <x:c r="AF1399" s="15" t="n">
        <x:f>'기준스탯 72종'!J63*H1399</x:f>
        <x:v>0.12000000000000002</x:v>
      </x:c>
      <x:c r="AG1399" s="15" t="n">
        <x:f>'기준스탯 72종'!K63*H1399</x:f>
        <x:v>0.30000000000000004</x:v>
      </x:c>
    </x:row>
    <x:row r="1400" ht="28" customHeight="1">
      <x:c r="A1400" s="2" t="n">
        <x:v>1393</x:v>
      </x:c>
      <x:c r="B1400" s="2" t="n">
        <x:v>56</x:v>
      </x:c>
      <x:c r="C1400" s="2" t="str">
        <x:v>염소자리</x:v>
      </x:c>
      <x:c r="D1400" s="2" t="str">
        <x:v>마도사</x:v>
      </x:c>
      <x:c r="E1400" s="2" t="n">
        <x:v>3</x:v>
      </x:c>
      <x:c r="F1400" s="2" t="n">
        <x:v>4</x:v>
      </x:c>
      <x:c r="G1400" s="14" t="n">
        <x:f>('레벨 계산식'!$E$4-E1400)*'레벨 계산식'!$B$5</x:f>
        <x:v>0.27999999999999997</x:v>
      </x:c>
      <x:c r="H1400" s="14" t="n">
        <x:f>('등급 계산식'!$E$4-F1400)*'등급 계산식'!$B$5</x:f>
        <x:v>0.06000000000000001</x:v>
      </x:c>
      <x:c r="I1400" s="14" t="n">
        <x:f>1-G1400-H1400</x:f>
        <x:v>0.6599999999999999</x:v>
      </x:c>
      <x:c r="J1400" s="2" t="n">
        <x:f>MAX(1,ROUND('기준스탯 72종'!D63-R1400-Z1400,0))</x:f>
        <x:v>5</x:v>
      </x:c>
      <x:c r="K1400" s="2" t="n">
        <x:f>MAX(1,ROUND('기준스탯 72종'!E63-S1400-AA1400,0))</x:f>
        <x:v>5</x:v>
      </x:c>
      <x:c r="L1400" s="2" t="n">
        <x:f>MAX(1,ROUND('기준스탯 72종'!F63-T1400-AB1400,0))</x:f>
        <x:v>5</x:v>
      </x:c>
      <x:c r="M1400" s="2" t="n">
        <x:f>MAX(1,ROUND('기준스탯 72종'!G63-U1400-AC1400,0))</x:f>
        <x:v>4</x:v>
      </x:c>
      <x:c r="N1400" s="2" t="n">
        <x:f>MAX(0,ROUND('기준스탯 72종'!H63-V1400-AD1400,0))</x:f>
        <x:v>1</x:v>
      </x:c>
      <x:c r="O1400" s="2" t="n">
        <x:f>MAX(0,ROUND('기준스탯 72종'!I63-W1400-AE1400,0))</x:f>
        <x:v>5</x:v>
      </x:c>
      <x:c r="P1400" s="2" t="n">
        <x:f>MAX(0,ROUND('기준스탯 72종'!J63-X1400-AF1400,0))</x:f>
        <x:v>1</x:v>
      </x:c>
      <x:c r="Q1400" s="2" t="n">
        <x:f>MAX(0,ROUND('기준스탯 72종'!K63-Y1400-AG1400,0))</x:f>
        <x:v>3</x:v>
      </x:c>
      <x:c r="R1400" s="15" t="n">
        <x:f>'기준스탯 72종'!D63*G1400</x:f>
        <x:v>2.2399999999999998</x:v>
      </x:c>
      <x:c r="S1400" s="15" t="n">
        <x:f>'기준스탯 72종'!E63*G1400</x:f>
        <x:v>1.9599999999999997</x:v>
      </x:c>
      <x:c r="T1400" s="15" t="n">
        <x:f>'기준스탯 72종'!F63*G1400</x:f>
        <x:v>2.2399999999999998</x:v>
      </x:c>
      <x:c r="U1400" s="15" t="n">
        <x:f>'기준스탯 72종'!G63*G1400</x:f>
        <x:v>1.6799999999999997</x:v>
      </x:c>
      <x:c r="V1400" s="15" t="n">
        <x:f>'기준스탯 72종'!H63*G1400</x:f>
        <x:v>0.5599999999999999</x:v>
      </x:c>
      <x:c r="W1400" s="15" t="n">
        <x:f>'기준스탯 72종'!I63*G1400</x:f>
        <x:v>1.9599999999999997</x:v>
      </x:c>
      <x:c r="X1400" s="15" t="n">
        <x:f>'기준스탯 72종'!J63*G1400</x:f>
        <x:v>0.5599999999999999</x:v>
      </x:c>
      <x:c r="Y1400" s="15" t="n">
        <x:f>'기준스탯 72종'!K63*G1400</x:f>
        <x:v>1.4</x:v>
      </x:c>
      <x:c r="Z1400" s="15" t="n">
        <x:f>'기준스탯 72종'!D63*H1400</x:f>
        <x:v>0.4800000000000001</x:v>
      </x:c>
      <x:c r="AA1400" s="15" t="n">
        <x:f>'기준스탯 72종'!E63*H1400</x:f>
        <x:v>0.4200000000000001</x:v>
      </x:c>
      <x:c r="AB1400" s="15" t="n">
        <x:f>'기준스탯 72종'!F63*H1400</x:f>
        <x:v>0.4800000000000001</x:v>
      </x:c>
      <x:c r="AC1400" s="15" t="n">
        <x:f>'기준스탯 72종'!G63*H1400</x:f>
        <x:v>0.3600000000000001</x:v>
      </x:c>
      <x:c r="AD1400" s="15" t="n">
        <x:f>'기준스탯 72종'!H63*H1400</x:f>
        <x:v>0.12000000000000002</x:v>
      </x:c>
      <x:c r="AE1400" s="15" t="n">
        <x:f>'기준스탯 72종'!I63*H1400</x:f>
        <x:v>0.4200000000000001</x:v>
      </x:c>
      <x:c r="AF1400" s="15" t="n">
        <x:f>'기준스탯 72종'!J63*H1400</x:f>
        <x:v>0.12000000000000002</x:v>
      </x:c>
      <x:c r="AG1400" s="15" t="n">
        <x:f>'기준스탯 72종'!K63*H1400</x:f>
        <x:v>0.30000000000000004</x:v>
      </x:c>
    </x:row>
    <x:row r="1401" ht="28" customHeight="1">
      <x:c r="A1401" s="2" t="n">
        <x:v>1394</x:v>
      </x:c>
      <x:c r="B1401" s="2" t="n">
        <x:v>56</x:v>
      </x:c>
      <x:c r="C1401" s="2" t="str">
        <x:v>염소자리</x:v>
      </x:c>
      <x:c r="D1401" s="2" t="str">
        <x:v>마도사</x:v>
      </x:c>
      <x:c r="E1401" s="2" t="n">
        <x:v>4</x:v>
      </x:c>
      <x:c r="F1401" s="2" t="n">
        <x:v>4</x:v>
      </x:c>
      <x:c r="G1401" s="14" t="n">
        <x:f>('레벨 계산식'!$E$4-E1401)*'레벨 계산식'!$B$5</x:f>
        <x:v>0.13999999999999999</x:v>
      </x:c>
      <x:c r="H1401" s="14" t="n">
        <x:f>('등급 계산식'!$E$4-F1401)*'등급 계산식'!$B$5</x:f>
        <x:v>0.06000000000000001</x:v>
      </x:c>
      <x:c r="I1401" s="14" t="n">
        <x:f>1-G1401-H1401</x:f>
        <x:v>0.7999999999999999</x:v>
      </x:c>
      <x:c r="J1401" s="2" t="n">
        <x:f>MAX(1,ROUND('기준스탯 72종'!D63-R1401-Z1401,0))</x:f>
        <x:v>6</x:v>
      </x:c>
      <x:c r="K1401" s="2" t="n">
        <x:f>MAX(1,ROUND('기준스탯 72종'!E63-S1401-AA1401,0))</x:f>
        <x:v>6</x:v>
      </x:c>
      <x:c r="L1401" s="2" t="n">
        <x:f>MAX(1,ROUND('기준스탯 72종'!F63-T1401-AB1401,0))</x:f>
        <x:v>6</x:v>
      </x:c>
      <x:c r="M1401" s="2" t="n">
        <x:f>MAX(1,ROUND('기준스탯 72종'!G63-U1401-AC1401,0))</x:f>
        <x:v>5</x:v>
      </x:c>
      <x:c r="N1401" s="2" t="n">
        <x:f>MAX(0,ROUND('기준스탯 72종'!H63-V1401-AD1401,0))</x:f>
        <x:v>2</x:v>
      </x:c>
      <x:c r="O1401" s="2" t="n">
        <x:f>MAX(0,ROUND('기준스탯 72종'!I63-W1401-AE1401,0))</x:f>
        <x:v>6</x:v>
      </x:c>
      <x:c r="P1401" s="2" t="n">
        <x:f>MAX(0,ROUND('기준스탯 72종'!J63-X1401-AF1401,0))</x:f>
        <x:v>2</x:v>
      </x:c>
      <x:c r="Q1401" s="2" t="n">
        <x:f>MAX(0,ROUND('기준스탯 72종'!K63-Y1401-AG1401,0))</x:f>
        <x:v>4</x:v>
      </x:c>
      <x:c r="R1401" s="15" t="n">
        <x:f>'기준스탯 72종'!D63*G1401</x:f>
        <x:v>1.1199999999999999</x:v>
      </x:c>
      <x:c r="S1401" s="15" t="n">
        <x:f>'기준스탯 72종'!E63*G1401</x:f>
        <x:v>0.9799999999999999</x:v>
      </x:c>
      <x:c r="T1401" s="15" t="n">
        <x:f>'기준스탯 72종'!F63*G1401</x:f>
        <x:v>1.1199999999999999</x:v>
      </x:c>
      <x:c r="U1401" s="15" t="n">
        <x:f>'기준스탯 72종'!G63*G1401</x:f>
        <x:v>0.8399999999999999</x:v>
      </x:c>
      <x:c r="V1401" s="15" t="n">
        <x:f>'기준스탯 72종'!H63*G1401</x:f>
        <x:v>0.27999999999999997</x:v>
      </x:c>
      <x:c r="W1401" s="15" t="n">
        <x:f>'기준스탯 72종'!I63*G1401</x:f>
        <x:v>0.9799999999999999</x:v>
      </x:c>
      <x:c r="X1401" s="15" t="n">
        <x:f>'기준스탯 72종'!J63*G1401</x:f>
        <x:v>0.27999999999999997</x:v>
      </x:c>
      <x:c r="Y1401" s="15" t="n">
        <x:f>'기준스탯 72종'!K63*G1401</x:f>
        <x:v>0.7</x:v>
      </x:c>
      <x:c r="Z1401" s="15" t="n">
        <x:f>'기준스탯 72종'!D63*H1401</x:f>
        <x:v>0.4800000000000001</x:v>
      </x:c>
      <x:c r="AA1401" s="15" t="n">
        <x:f>'기준스탯 72종'!E63*H1401</x:f>
        <x:v>0.4200000000000001</x:v>
      </x:c>
      <x:c r="AB1401" s="15" t="n">
        <x:f>'기준스탯 72종'!F63*H1401</x:f>
        <x:v>0.4800000000000001</x:v>
      </x:c>
      <x:c r="AC1401" s="15" t="n">
        <x:f>'기준스탯 72종'!G63*H1401</x:f>
        <x:v>0.3600000000000001</x:v>
      </x:c>
      <x:c r="AD1401" s="15" t="n">
        <x:f>'기준스탯 72종'!H63*H1401</x:f>
        <x:v>0.12000000000000002</x:v>
      </x:c>
      <x:c r="AE1401" s="15" t="n">
        <x:f>'기준스탯 72종'!I63*H1401</x:f>
        <x:v>0.4200000000000001</x:v>
      </x:c>
      <x:c r="AF1401" s="15" t="n">
        <x:f>'기준스탯 72종'!J63*H1401</x:f>
        <x:v>0.12000000000000002</x:v>
      </x:c>
      <x:c r="AG1401" s="15" t="n">
        <x:f>'기준스탯 72종'!K63*H1401</x:f>
        <x:v>0.30000000000000004</x:v>
      </x:c>
    </x:row>
    <x:row r="1402" ht="28" customHeight="1">
      <x:c r="A1402" s="2" t="n">
        <x:v>1395</x:v>
      </x:c>
      <x:c r="B1402" s="2" t="n">
        <x:v>56</x:v>
      </x:c>
      <x:c r="C1402" s="2" t="str">
        <x:v>염소자리</x:v>
      </x:c>
      <x:c r="D1402" s="2" t="str">
        <x:v>마도사</x:v>
      </x:c>
      <x:c r="E1402" s="2" t="n">
        <x:v>5</x:v>
      </x:c>
      <x:c r="F1402" s="2" t="n">
        <x:v>4</x:v>
      </x:c>
      <x:c r="G1402" s="14" t="n">
        <x:f>('레벨 계산식'!$E$4-E1402)*'레벨 계산식'!$B$5</x:f>
        <x:v>0</x:v>
      </x:c>
      <x:c r="H1402" s="14" t="n">
        <x:f>('등급 계산식'!$E$4-F1402)*'등급 계산식'!$B$5</x:f>
        <x:v>0.06000000000000001</x:v>
      </x:c>
      <x:c r="I1402" s="14" t="n">
        <x:f>1-G1402-H1402</x:f>
        <x:v>0.94</x:v>
      </x:c>
      <x:c r="J1402" s="2" t="n">
        <x:f>MAX(1,ROUND('기준스탯 72종'!D63-R1402-Z1402,0))</x:f>
        <x:v>8</x:v>
      </x:c>
      <x:c r="K1402" s="2" t="n">
        <x:f>MAX(1,ROUND('기준스탯 72종'!E63-S1402-AA1402,0))</x:f>
        <x:v>7</x:v>
      </x:c>
      <x:c r="L1402" s="2" t="n">
        <x:f>MAX(1,ROUND('기준스탯 72종'!F63-T1402-AB1402,0))</x:f>
        <x:v>8</x:v>
      </x:c>
      <x:c r="M1402" s="2" t="n">
        <x:f>MAX(1,ROUND('기준스탯 72종'!G63-U1402-AC1402,0))</x:f>
        <x:v>6</x:v>
      </x:c>
      <x:c r="N1402" s="2" t="n">
        <x:f>MAX(0,ROUND('기준스탯 72종'!H63-V1402-AD1402,0))</x:f>
        <x:v>2</x:v>
      </x:c>
      <x:c r="O1402" s="2" t="n">
        <x:f>MAX(0,ROUND('기준스탯 72종'!I63-W1402-AE1402,0))</x:f>
        <x:v>7</x:v>
      </x:c>
      <x:c r="P1402" s="2" t="n">
        <x:f>MAX(0,ROUND('기준스탯 72종'!J63-X1402-AF1402,0))</x:f>
        <x:v>2</x:v>
      </x:c>
      <x:c r="Q1402" s="2" t="n">
        <x:f>MAX(0,ROUND('기준스탯 72종'!K63-Y1402-AG1402,0))</x:f>
        <x:v>5</x:v>
      </x:c>
      <x:c r="R1402" s="15" t="n">
        <x:f>'기준스탯 72종'!D63*G1402</x:f>
        <x:v>0</x:v>
      </x:c>
      <x:c r="S1402" s="15" t="n">
        <x:f>'기준스탯 72종'!E63*G1402</x:f>
        <x:v>0</x:v>
      </x:c>
      <x:c r="T1402" s="15" t="n">
        <x:f>'기준스탯 72종'!F63*G1402</x:f>
        <x:v>0</x:v>
      </x:c>
      <x:c r="U1402" s="15" t="n">
        <x:f>'기준스탯 72종'!G63*G1402</x:f>
        <x:v>0</x:v>
      </x:c>
      <x:c r="V1402" s="15" t="n">
        <x:f>'기준스탯 72종'!H63*G1402</x:f>
        <x:v>0</x:v>
      </x:c>
      <x:c r="W1402" s="15" t="n">
        <x:f>'기준스탯 72종'!I63*G1402</x:f>
        <x:v>0</x:v>
      </x:c>
      <x:c r="X1402" s="15" t="n">
        <x:f>'기준스탯 72종'!J63*G1402</x:f>
        <x:v>0</x:v>
      </x:c>
      <x:c r="Y1402" s="15" t="n">
        <x:f>'기준스탯 72종'!K63*G1402</x:f>
        <x:v>0</x:v>
      </x:c>
      <x:c r="Z1402" s="15" t="n">
        <x:f>'기준스탯 72종'!D63*H1402</x:f>
        <x:v>0.4800000000000001</x:v>
      </x:c>
      <x:c r="AA1402" s="15" t="n">
        <x:f>'기준스탯 72종'!E63*H1402</x:f>
        <x:v>0.4200000000000001</x:v>
      </x:c>
      <x:c r="AB1402" s="15" t="n">
        <x:f>'기준스탯 72종'!F63*H1402</x:f>
        <x:v>0.4800000000000001</x:v>
      </x:c>
      <x:c r="AC1402" s="15" t="n">
        <x:f>'기준스탯 72종'!G63*H1402</x:f>
        <x:v>0.3600000000000001</x:v>
      </x:c>
      <x:c r="AD1402" s="15" t="n">
        <x:f>'기준스탯 72종'!H63*H1402</x:f>
        <x:v>0.12000000000000002</x:v>
      </x:c>
      <x:c r="AE1402" s="15" t="n">
        <x:f>'기준스탯 72종'!I63*H1402</x:f>
        <x:v>0.4200000000000001</x:v>
      </x:c>
      <x:c r="AF1402" s="15" t="n">
        <x:f>'기준스탯 72종'!J63*H1402</x:f>
        <x:v>0.12000000000000002</x:v>
      </x:c>
      <x:c r="AG1402" s="15" t="n">
        <x:f>'기준스탯 72종'!K63*H1402</x:f>
        <x:v>0.30000000000000004</x:v>
      </x:c>
    </x:row>
    <x:row r="1403" ht="28" customHeight="1">
      <x:c r="A1403" s="2" t="n">
        <x:v>1396</x:v>
      </x:c>
      <x:c r="B1403" s="2" t="n">
        <x:v>56</x:v>
      </x:c>
      <x:c r="C1403" s="2" t="str">
        <x:v>염소자리</x:v>
      </x:c>
      <x:c r="D1403" s="2" t="str">
        <x:v>마도사</x:v>
      </x:c>
      <x:c r="E1403" s="2" t="n">
        <x:v>1</x:v>
      </x:c>
      <x:c r="F1403" s="2" t="n">
        <x:v>5</x:v>
      </x:c>
      <x:c r="G1403" s="14" t="n">
        <x:f>('레벨 계산식'!$E$4-E1403)*'레벨 계산식'!$B$5</x:f>
        <x:v>0.5599999999999999</x:v>
      </x:c>
      <x:c r="H1403" s="14" t="n">
        <x:f>('등급 계산식'!$E$4-F1403)*'등급 계산식'!$B$5</x:f>
        <x:v>0</x:v>
      </x:c>
      <x:c r="I1403" s="14" t="n">
        <x:f>1-G1403-H1403</x:f>
        <x:v>0.44000000000000006</x:v>
      </x:c>
      <x:c r="J1403" s="2" t="n">
        <x:f>MAX(1,ROUND('기준스탯 72종'!D63-R1403-Z1403,0))</x:f>
        <x:v>4</x:v>
      </x:c>
      <x:c r="K1403" s="2" t="n">
        <x:f>MAX(1,ROUND('기준스탯 72종'!E63-S1403-AA1403,0))</x:f>
        <x:v>3</x:v>
      </x:c>
      <x:c r="L1403" s="2" t="n">
        <x:f>MAX(1,ROUND('기준스탯 72종'!F63-T1403-AB1403,0))</x:f>
        <x:v>4</x:v>
      </x:c>
      <x:c r="M1403" s="2" t="n">
        <x:f>MAX(1,ROUND('기준스탯 72종'!G63-U1403-AC1403,0))</x:f>
        <x:v>3</x:v>
      </x:c>
      <x:c r="N1403" s="2" t="n">
        <x:f>MAX(0,ROUND('기준스탯 72종'!H63-V1403-AD1403,0))</x:f>
        <x:v>1</x:v>
      </x:c>
      <x:c r="O1403" s="2" t="n">
        <x:f>MAX(0,ROUND('기준스탯 72종'!I63-W1403-AE1403,0))</x:f>
        <x:v>3</x:v>
      </x:c>
      <x:c r="P1403" s="2" t="n">
        <x:f>MAX(0,ROUND('기준스탯 72종'!J63-X1403-AF1403,0))</x:f>
        <x:v>1</x:v>
      </x:c>
      <x:c r="Q1403" s="2" t="n">
        <x:f>MAX(0,ROUND('기준스탯 72종'!K63-Y1403-AG1403,0))</x:f>
        <x:v>2</x:v>
      </x:c>
      <x:c r="R1403" s="15" t="n">
        <x:f>'기준스탯 72종'!D63*G1403</x:f>
        <x:v>4.4799999999999995</x:v>
      </x:c>
      <x:c r="S1403" s="15" t="n">
        <x:f>'기준스탯 72종'!E63*G1403</x:f>
        <x:v>3.9199999999999995</x:v>
      </x:c>
      <x:c r="T1403" s="15" t="n">
        <x:f>'기준스탯 72종'!F63*G1403</x:f>
        <x:v>4.4799999999999995</x:v>
      </x:c>
      <x:c r="U1403" s="15" t="n">
        <x:f>'기준스탯 72종'!G63*G1403</x:f>
        <x:v>3.3599999999999994</x:v>
      </x:c>
      <x:c r="V1403" s="15" t="n">
        <x:f>'기준스탯 72종'!H63*G1403</x:f>
        <x:v>1.1199999999999999</x:v>
      </x:c>
      <x:c r="W1403" s="15" t="n">
        <x:f>'기준스탯 72종'!I63*G1403</x:f>
        <x:v>3.9199999999999995</x:v>
      </x:c>
      <x:c r="X1403" s="15" t="n">
        <x:f>'기준스탯 72종'!J63*G1403</x:f>
        <x:v>1.1199999999999999</x:v>
      </x:c>
      <x:c r="Y1403" s="15" t="n">
        <x:f>'기준스탯 72종'!K63*G1403</x:f>
        <x:v>2.8</x:v>
      </x:c>
      <x:c r="Z1403" s="15" t="n">
        <x:f>'기준스탯 72종'!D63*H1403</x:f>
        <x:v>0</x:v>
      </x:c>
      <x:c r="AA1403" s="15" t="n">
        <x:f>'기준스탯 72종'!E63*H1403</x:f>
        <x:v>0</x:v>
      </x:c>
      <x:c r="AB1403" s="15" t="n">
        <x:f>'기준스탯 72종'!F63*H1403</x:f>
        <x:v>0</x:v>
      </x:c>
      <x:c r="AC1403" s="15" t="n">
        <x:f>'기준스탯 72종'!G63*H1403</x:f>
        <x:v>0</x:v>
      </x:c>
      <x:c r="AD1403" s="15" t="n">
        <x:f>'기준스탯 72종'!H63*H1403</x:f>
        <x:v>0</x:v>
      </x:c>
      <x:c r="AE1403" s="15" t="n">
        <x:f>'기준스탯 72종'!I63*H1403</x:f>
        <x:v>0</x:v>
      </x:c>
      <x:c r="AF1403" s="15" t="n">
        <x:f>'기준스탯 72종'!J63*H1403</x:f>
        <x:v>0</x:v>
      </x:c>
      <x:c r="AG1403" s="15" t="n">
        <x:f>'기준스탯 72종'!K63*H1403</x:f>
        <x:v>0</x:v>
      </x:c>
    </x:row>
    <x:row r="1404" ht="28" customHeight="1">
      <x:c r="A1404" s="2" t="n">
        <x:v>1397</x:v>
      </x:c>
      <x:c r="B1404" s="2" t="n">
        <x:v>56</x:v>
      </x:c>
      <x:c r="C1404" s="2" t="str">
        <x:v>염소자리</x:v>
      </x:c>
      <x:c r="D1404" s="2" t="str">
        <x:v>마도사</x:v>
      </x:c>
      <x:c r="E1404" s="2" t="n">
        <x:v>2</x:v>
      </x:c>
      <x:c r="F1404" s="2" t="n">
        <x:v>5</x:v>
      </x:c>
      <x:c r="G1404" s="14" t="n">
        <x:f>('레벨 계산식'!$E$4-E1404)*'레벨 계산식'!$B$5</x:f>
        <x:v>0.41999999999999993</x:v>
      </x:c>
      <x:c r="H1404" s="14" t="n">
        <x:f>('등급 계산식'!$E$4-F1404)*'등급 계산식'!$B$5</x:f>
        <x:v>0</x:v>
      </x:c>
      <x:c r="I1404" s="14" t="n">
        <x:f>1-G1404-H1404</x:f>
        <x:v>0.5800000000000001</x:v>
      </x:c>
      <x:c r="J1404" s="2" t="n">
        <x:f>MAX(1,ROUND('기준스탯 72종'!D63-R1404-Z1404,0))</x:f>
        <x:v>5</x:v>
      </x:c>
      <x:c r="K1404" s="2" t="n">
        <x:f>MAX(1,ROUND('기준스탯 72종'!E63-S1404-AA1404,0))</x:f>
        <x:v>4</x:v>
      </x:c>
      <x:c r="L1404" s="2" t="n">
        <x:f>MAX(1,ROUND('기준스탯 72종'!F63-T1404-AB1404,0))</x:f>
        <x:v>5</x:v>
      </x:c>
      <x:c r="M1404" s="2" t="n">
        <x:f>MAX(1,ROUND('기준스탯 72종'!G63-U1404-AC1404,0))</x:f>
        <x:v>3</x:v>
      </x:c>
      <x:c r="N1404" s="2" t="n">
        <x:f>MAX(0,ROUND('기준스탯 72종'!H63-V1404-AD1404,0))</x:f>
        <x:v>1</x:v>
      </x:c>
      <x:c r="O1404" s="2" t="n">
        <x:f>MAX(0,ROUND('기준스탯 72종'!I63-W1404-AE1404,0))</x:f>
        <x:v>4</x:v>
      </x:c>
      <x:c r="P1404" s="2" t="n">
        <x:f>MAX(0,ROUND('기준스탯 72종'!J63-X1404-AF1404,0))</x:f>
        <x:v>1</x:v>
      </x:c>
      <x:c r="Q1404" s="2" t="n">
        <x:f>MAX(0,ROUND('기준스탯 72종'!K63-Y1404-AG1404,0))</x:f>
        <x:v>3</x:v>
      </x:c>
      <x:c r="R1404" s="15" t="n">
        <x:f>'기준스탯 72종'!D63*G1404</x:f>
        <x:v>3.3599999999999994</x:v>
      </x:c>
      <x:c r="S1404" s="15" t="n">
        <x:f>'기준스탯 72종'!E63*G1404</x:f>
        <x:v>2.9399999999999995</x:v>
      </x:c>
      <x:c r="T1404" s="15" t="n">
        <x:f>'기준스탯 72종'!F63*G1404</x:f>
        <x:v>3.3599999999999994</x:v>
      </x:c>
      <x:c r="U1404" s="15" t="n">
        <x:f>'기준스탯 72종'!G63*G1404</x:f>
        <x:v>2.5199999999999996</x:v>
      </x:c>
      <x:c r="V1404" s="15" t="n">
        <x:f>'기준스탯 72종'!H63*G1404</x:f>
        <x:v>0.8399999999999999</x:v>
      </x:c>
      <x:c r="W1404" s="15" t="n">
        <x:f>'기준스탯 72종'!I63*G1404</x:f>
        <x:v>2.9399999999999995</x:v>
      </x:c>
      <x:c r="X1404" s="15" t="n">
        <x:f>'기준스탯 72종'!J63*G1404</x:f>
        <x:v>0.8399999999999999</x:v>
      </x:c>
      <x:c r="Y1404" s="15" t="n">
        <x:f>'기준스탯 72종'!K63*G1404</x:f>
        <x:v>2.0999999999999996</x:v>
      </x:c>
      <x:c r="Z1404" s="15" t="n">
        <x:f>'기준스탯 72종'!D63*H1404</x:f>
        <x:v>0</x:v>
      </x:c>
      <x:c r="AA1404" s="15" t="n">
        <x:f>'기준스탯 72종'!E63*H1404</x:f>
        <x:v>0</x:v>
      </x:c>
      <x:c r="AB1404" s="15" t="n">
        <x:f>'기준스탯 72종'!F63*H1404</x:f>
        <x:v>0</x:v>
      </x:c>
      <x:c r="AC1404" s="15" t="n">
        <x:f>'기준스탯 72종'!G63*H1404</x:f>
        <x:v>0</x:v>
      </x:c>
      <x:c r="AD1404" s="15" t="n">
        <x:f>'기준스탯 72종'!H63*H1404</x:f>
        <x:v>0</x:v>
      </x:c>
      <x:c r="AE1404" s="15" t="n">
        <x:f>'기준스탯 72종'!I63*H1404</x:f>
        <x:v>0</x:v>
      </x:c>
      <x:c r="AF1404" s="15" t="n">
        <x:f>'기준스탯 72종'!J63*H1404</x:f>
        <x:v>0</x:v>
      </x:c>
      <x:c r="AG1404" s="15" t="n">
        <x:f>'기준스탯 72종'!K63*H1404</x:f>
        <x:v>0</x:v>
      </x:c>
    </x:row>
    <x:row r="1405" ht="28" customHeight="1">
      <x:c r="A1405" s="2" t="n">
        <x:v>1398</x:v>
      </x:c>
      <x:c r="B1405" s="2" t="n">
        <x:v>56</x:v>
      </x:c>
      <x:c r="C1405" s="2" t="str">
        <x:v>염소자리</x:v>
      </x:c>
      <x:c r="D1405" s="2" t="str">
        <x:v>마도사</x:v>
      </x:c>
      <x:c r="E1405" s="2" t="n">
        <x:v>3</x:v>
      </x:c>
      <x:c r="F1405" s="2" t="n">
        <x:v>5</x:v>
      </x:c>
      <x:c r="G1405" s="14" t="n">
        <x:f>('레벨 계산식'!$E$4-E1405)*'레벨 계산식'!$B$5</x:f>
        <x:v>0.27999999999999997</x:v>
      </x:c>
      <x:c r="H1405" s="14" t="n">
        <x:f>('등급 계산식'!$E$4-F1405)*'등급 계산식'!$B$5</x:f>
        <x:v>0</x:v>
      </x:c>
      <x:c r="I1405" s="14" t="n">
        <x:f>1-G1405-H1405</x:f>
        <x:v>0.72</x:v>
      </x:c>
      <x:c r="J1405" s="2" t="n">
        <x:f>MAX(1,ROUND('기준스탯 72종'!D63-R1405-Z1405,0))</x:f>
        <x:v>6</x:v>
      </x:c>
      <x:c r="K1405" s="2" t="n">
        <x:f>MAX(1,ROUND('기준스탯 72종'!E63-S1405-AA1405,0))</x:f>
        <x:v>5</x:v>
      </x:c>
      <x:c r="L1405" s="2" t="n">
        <x:f>MAX(1,ROUND('기준스탯 72종'!F63-T1405-AB1405,0))</x:f>
        <x:v>6</x:v>
      </x:c>
      <x:c r="M1405" s="2" t="n">
        <x:f>MAX(1,ROUND('기준스탯 72종'!G63-U1405-AC1405,0))</x:f>
        <x:v>4</x:v>
      </x:c>
      <x:c r="N1405" s="2" t="n">
        <x:f>MAX(0,ROUND('기준스탯 72종'!H63-V1405-AD1405,0))</x:f>
        <x:v>1</x:v>
      </x:c>
      <x:c r="O1405" s="2" t="n">
        <x:f>MAX(0,ROUND('기준스탯 72종'!I63-W1405-AE1405,0))</x:f>
        <x:v>5</x:v>
      </x:c>
      <x:c r="P1405" s="2" t="n">
        <x:f>MAX(0,ROUND('기준스탯 72종'!J63-X1405-AF1405,0))</x:f>
        <x:v>1</x:v>
      </x:c>
      <x:c r="Q1405" s="2" t="n">
        <x:f>MAX(0,ROUND('기준스탯 72종'!K63-Y1405-AG1405,0))</x:f>
        <x:v>4</x:v>
      </x:c>
      <x:c r="R1405" s="15" t="n">
        <x:f>'기준스탯 72종'!D63*G1405</x:f>
        <x:v>2.2399999999999998</x:v>
      </x:c>
      <x:c r="S1405" s="15" t="n">
        <x:f>'기준스탯 72종'!E63*G1405</x:f>
        <x:v>1.9599999999999997</x:v>
      </x:c>
      <x:c r="T1405" s="15" t="n">
        <x:f>'기준스탯 72종'!F63*G1405</x:f>
        <x:v>2.2399999999999998</x:v>
      </x:c>
      <x:c r="U1405" s="15" t="n">
        <x:f>'기준스탯 72종'!G63*G1405</x:f>
        <x:v>1.6799999999999997</x:v>
      </x:c>
      <x:c r="V1405" s="15" t="n">
        <x:f>'기준스탯 72종'!H63*G1405</x:f>
        <x:v>0.5599999999999999</x:v>
      </x:c>
      <x:c r="W1405" s="15" t="n">
        <x:f>'기준스탯 72종'!I63*G1405</x:f>
        <x:v>1.9599999999999997</x:v>
      </x:c>
      <x:c r="X1405" s="15" t="n">
        <x:f>'기준스탯 72종'!J63*G1405</x:f>
        <x:v>0.5599999999999999</x:v>
      </x:c>
      <x:c r="Y1405" s="15" t="n">
        <x:f>'기준스탯 72종'!K63*G1405</x:f>
        <x:v>1.4</x:v>
      </x:c>
      <x:c r="Z1405" s="15" t="n">
        <x:f>'기준스탯 72종'!D63*H1405</x:f>
        <x:v>0</x:v>
      </x:c>
      <x:c r="AA1405" s="15" t="n">
        <x:f>'기준스탯 72종'!E63*H1405</x:f>
        <x:v>0</x:v>
      </x:c>
      <x:c r="AB1405" s="15" t="n">
        <x:f>'기준스탯 72종'!F63*H1405</x:f>
        <x:v>0</x:v>
      </x:c>
      <x:c r="AC1405" s="15" t="n">
        <x:f>'기준스탯 72종'!G63*H1405</x:f>
        <x:v>0</x:v>
      </x:c>
      <x:c r="AD1405" s="15" t="n">
        <x:f>'기준스탯 72종'!H63*H1405</x:f>
        <x:v>0</x:v>
      </x:c>
      <x:c r="AE1405" s="15" t="n">
        <x:f>'기준스탯 72종'!I63*H1405</x:f>
        <x:v>0</x:v>
      </x:c>
      <x:c r="AF1405" s="15" t="n">
        <x:f>'기준스탯 72종'!J63*H1405</x:f>
        <x:v>0</x:v>
      </x:c>
      <x:c r="AG1405" s="15" t="n">
        <x:f>'기준스탯 72종'!K63*H1405</x:f>
        <x:v>0</x:v>
      </x:c>
    </x:row>
    <x:row r="1406" ht="28" customHeight="1">
      <x:c r="A1406" s="2" t="n">
        <x:v>1399</x:v>
      </x:c>
      <x:c r="B1406" s="2" t="n">
        <x:v>56</x:v>
      </x:c>
      <x:c r="C1406" s="2" t="str">
        <x:v>염소자리</x:v>
      </x:c>
      <x:c r="D1406" s="2" t="str">
        <x:v>마도사</x:v>
      </x:c>
      <x:c r="E1406" s="2" t="n">
        <x:v>4</x:v>
      </x:c>
      <x:c r="F1406" s="2" t="n">
        <x:v>5</x:v>
      </x:c>
      <x:c r="G1406" s="14" t="n">
        <x:f>('레벨 계산식'!$E$4-E1406)*'레벨 계산식'!$B$5</x:f>
        <x:v>0.13999999999999999</x:v>
      </x:c>
      <x:c r="H1406" s="14" t="n">
        <x:f>('등급 계산식'!$E$4-F1406)*'등급 계산식'!$B$5</x:f>
        <x:v>0</x:v>
      </x:c>
      <x:c r="I1406" s="14" t="n">
        <x:f>1-G1406-H1406</x:f>
        <x:v>0.86</x:v>
      </x:c>
      <x:c r="J1406" s="2" t="n">
        <x:f>MAX(1,ROUND('기준스탯 72종'!D63-R1406-Z1406,0))</x:f>
        <x:v>7</x:v>
      </x:c>
      <x:c r="K1406" s="2" t="n">
        <x:f>MAX(1,ROUND('기준스탯 72종'!E63-S1406-AA1406,0))</x:f>
        <x:v>6</x:v>
      </x:c>
      <x:c r="L1406" s="2" t="n">
        <x:f>MAX(1,ROUND('기준스탯 72종'!F63-T1406-AB1406,0))</x:f>
        <x:v>7</x:v>
      </x:c>
      <x:c r="M1406" s="2" t="n">
        <x:f>MAX(1,ROUND('기준스탯 72종'!G63-U1406-AC1406,0))</x:f>
        <x:v>5</x:v>
      </x:c>
      <x:c r="N1406" s="2" t="n">
        <x:f>MAX(0,ROUND('기준스탯 72종'!H63-V1406-AD1406,0))</x:f>
        <x:v>2</x:v>
      </x:c>
      <x:c r="O1406" s="2" t="n">
        <x:f>MAX(0,ROUND('기준스탯 72종'!I63-W1406-AE1406,0))</x:f>
        <x:v>6</x:v>
      </x:c>
      <x:c r="P1406" s="2" t="n">
        <x:f>MAX(0,ROUND('기준스탯 72종'!J63-X1406-AF1406,0))</x:f>
        <x:v>2</x:v>
      </x:c>
      <x:c r="Q1406" s="2" t="n">
        <x:f>MAX(0,ROUND('기준스탯 72종'!K63-Y1406-AG1406,0))</x:f>
        <x:v>4</x:v>
      </x:c>
      <x:c r="R1406" s="15" t="n">
        <x:f>'기준스탯 72종'!D63*G1406</x:f>
        <x:v>1.1199999999999999</x:v>
      </x:c>
      <x:c r="S1406" s="15" t="n">
        <x:f>'기준스탯 72종'!E63*G1406</x:f>
        <x:v>0.9799999999999999</x:v>
      </x:c>
      <x:c r="T1406" s="15" t="n">
        <x:f>'기준스탯 72종'!F63*G1406</x:f>
        <x:v>1.1199999999999999</x:v>
      </x:c>
      <x:c r="U1406" s="15" t="n">
        <x:f>'기준스탯 72종'!G63*G1406</x:f>
        <x:v>0.8399999999999999</x:v>
      </x:c>
      <x:c r="V1406" s="15" t="n">
        <x:f>'기준스탯 72종'!H63*G1406</x:f>
        <x:v>0.27999999999999997</x:v>
      </x:c>
      <x:c r="W1406" s="15" t="n">
        <x:f>'기준스탯 72종'!I63*G1406</x:f>
        <x:v>0.9799999999999999</x:v>
      </x:c>
      <x:c r="X1406" s="15" t="n">
        <x:f>'기준스탯 72종'!J63*G1406</x:f>
        <x:v>0.27999999999999997</x:v>
      </x:c>
      <x:c r="Y1406" s="15" t="n">
        <x:f>'기준스탯 72종'!K63*G1406</x:f>
        <x:v>0.7</x:v>
      </x:c>
      <x:c r="Z1406" s="15" t="n">
        <x:f>'기준스탯 72종'!D63*H1406</x:f>
        <x:v>0</x:v>
      </x:c>
      <x:c r="AA1406" s="15" t="n">
        <x:f>'기준스탯 72종'!E63*H1406</x:f>
        <x:v>0</x:v>
      </x:c>
      <x:c r="AB1406" s="15" t="n">
        <x:f>'기준스탯 72종'!F63*H1406</x:f>
        <x:v>0</x:v>
      </x:c>
      <x:c r="AC1406" s="15" t="n">
        <x:f>'기준스탯 72종'!G63*H1406</x:f>
        <x:v>0</x:v>
      </x:c>
      <x:c r="AD1406" s="15" t="n">
        <x:f>'기준스탯 72종'!H63*H1406</x:f>
        <x:v>0</x:v>
      </x:c>
      <x:c r="AE1406" s="15" t="n">
        <x:f>'기준스탯 72종'!I63*H1406</x:f>
        <x:v>0</x:v>
      </x:c>
      <x:c r="AF1406" s="15" t="n">
        <x:f>'기준스탯 72종'!J63*H1406</x:f>
        <x:v>0</x:v>
      </x:c>
      <x:c r="AG1406" s="15" t="n">
        <x:f>'기준스탯 72종'!K63*H1406</x:f>
        <x:v>0</x:v>
      </x:c>
    </x:row>
    <x:row r="1407" ht="28" customHeight="1">
      <x:c r="A1407" s="2" t="n">
        <x:v>1400</x:v>
      </x:c>
      <x:c r="B1407" s="2" t="n">
        <x:v>56</x:v>
      </x:c>
      <x:c r="C1407" s="2" t="str">
        <x:v>염소자리</x:v>
      </x:c>
      <x:c r="D1407" s="2" t="str">
        <x:v>마도사</x:v>
      </x:c>
      <x:c r="E1407" s="2" t="n">
        <x:v>5</x:v>
      </x:c>
      <x:c r="F1407" s="2" t="n">
        <x:v>5</x:v>
      </x:c>
      <x:c r="G1407" s="14" t="n">
        <x:f>('레벨 계산식'!$E$4-E1407)*'레벨 계산식'!$B$5</x:f>
        <x:v>0</x:v>
      </x:c>
      <x:c r="H1407" s="14" t="n">
        <x:f>('등급 계산식'!$E$4-F1407)*'등급 계산식'!$B$5</x:f>
        <x:v>0</x:v>
      </x:c>
      <x:c r="I1407" s="14" t="n">
        <x:f>1-G1407-H1407</x:f>
        <x:v>1</x:v>
      </x:c>
      <x:c r="J1407" s="2" t="n">
        <x:f>MAX(1,ROUND('기준스탯 72종'!D63-R1407-Z1407,0))</x:f>
        <x:v>8</x:v>
      </x:c>
      <x:c r="K1407" s="2" t="n">
        <x:f>MAX(1,ROUND('기준스탯 72종'!E63-S1407-AA1407,0))</x:f>
        <x:v>7</x:v>
      </x:c>
      <x:c r="L1407" s="2" t="n">
        <x:f>MAX(1,ROUND('기준스탯 72종'!F63-T1407-AB1407,0))</x:f>
        <x:v>8</x:v>
      </x:c>
      <x:c r="M1407" s="2" t="n">
        <x:f>MAX(1,ROUND('기준스탯 72종'!G63-U1407-AC1407,0))</x:f>
        <x:v>6</x:v>
      </x:c>
      <x:c r="N1407" s="2" t="n">
        <x:f>MAX(0,ROUND('기준스탯 72종'!H63-V1407-AD1407,0))</x:f>
        <x:v>2</x:v>
      </x:c>
      <x:c r="O1407" s="2" t="n">
        <x:f>MAX(0,ROUND('기준스탯 72종'!I63-W1407-AE1407,0))</x:f>
        <x:v>7</x:v>
      </x:c>
      <x:c r="P1407" s="2" t="n">
        <x:f>MAX(0,ROUND('기준스탯 72종'!J63-X1407-AF1407,0))</x:f>
        <x:v>2</x:v>
      </x:c>
      <x:c r="Q1407" s="2" t="n">
        <x:f>MAX(0,ROUND('기준스탯 72종'!K63-Y1407-AG1407,0))</x:f>
        <x:v>5</x:v>
      </x:c>
      <x:c r="R1407" s="15" t="n">
        <x:f>'기준스탯 72종'!D63*G1407</x:f>
        <x:v>0</x:v>
      </x:c>
      <x:c r="S1407" s="15" t="n">
        <x:f>'기준스탯 72종'!E63*G1407</x:f>
        <x:v>0</x:v>
      </x:c>
      <x:c r="T1407" s="15" t="n">
        <x:f>'기준스탯 72종'!F63*G1407</x:f>
        <x:v>0</x:v>
      </x:c>
      <x:c r="U1407" s="15" t="n">
        <x:f>'기준스탯 72종'!G63*G1407</x:f>
        <x:v>0</x:v>
      </x:c>
      <x:c r="V1407" s="15" t="n">
        <x:f>'기준스탯 72종'!H63*G1407</x:f>
        <x:v>0</x:v>
      </x:c>
      <x:c r="W1407" s="15" t="n">
        <x:f>'기준스탯 72종'!I63*G1407</x:f>
        <x:v>0</x:v>
      </x:c>
      <x:c r="X1407" s="15" t="n">
        <x:f>'기준스탯 72종'!J63*G1407</x:f>
        <x:v>0</x:v>
      </x:c>
      <x:c r="Y1407" s="15" t="n">
        <x:f>'기준스탯 72종'!K63*G1407</x:f>
        <x:v>0</x:v>
      </x:c>
      <x:c r="Z1407" s="15" t="n">
        <x:f>'기준스탯 72종'!D63*H1407</x:f>
        <x:v>0</x:v>
      </x:c>
      <x:c r="AA1407" s="15" t="n">
        <x:f>'기준스탯 72종'!E63*H1407</x:f>
        <x:v>0</x:v>
      </x:c>
      <x:c r="AB1407" s="15" t="n">
        <x:f>'기준스탯 72종'!F63*H1407</x:f>
        <x:v>0</x:v>
      </x:c>
      <x:c r="AC1407" s="15" t="n">
        <x:f>'기준스탯 72종'!G63*H1407</x:f>
        <x:v>0</x:v>
      </x:c>
      <x:c r="AD1407" s="15" t="n">
        <x:f>'기준스탯 72종'!H63*H1407</x:f>
        <x:v>0</x:v>
      </x:c>
      <x:c r="AE1407" s="15" t="n">
        <x:f>'기준스탯 72종'!I63*H1407</x:f>
        <x:v>0</x:v>
      </x:c>
      <x:c r="AF1407" s="15" t="n">
        <x:f>'기준스탯 72종'!J63*H1407</x:f>
        <x:v>0</x:v>
      </x:c>
      <x:c r="AG1407" s="15" t="n">
        <x:f>'기준스탯 72종'!K63*H1407</x:f>
        <x:v>0</x:v>
      </x:c>
    </x:row>
    <x:row r="1408" ht="28" customHeight="1">
      <x:c r="A1408" s="2" t="n">
        <x:v>1401</x:v>
      </x:c>
      <x:c r="B1408" s="2" t="n">
        <x:v>57</x:v>
      </x:c>
      <x:c r="C1408" s="2" t="str">
        <x:v>염소자리</x:v>
      </x:c>
      <x:c r="D1408" s="2" t="str">
        <x:v>사수</x:v>
      </x:c>
      <x:c r="E1408" s="2" t="n">
        <x:v>1</x:v>
      </x:c>
      <x:c r="F1408" s="2" t="n">
        <x:v>1</x:v>
      </x:c>
      <x:c r="G1408" s="14" t="n">
        <x:f>('레벨 계산식'!$E$4-E1408)*'레벨 계산식'!$B$5</x:f>
        <x:v>0.5599999999999999</x:v>
      </x:c>
      <x:c r="H1408" s="14" t="n">
        <x:f>('등급 계산식'!$E$4-F1408)*'등급 계산식'!$B$5</x:f>
        <x:v>0.24000000000000005</x:v>
      </x:c>
      <x:c r="I1408" s="14" t="n">
        <x:f>1-G1408-H1408</x:f>
        <x:v>0.2</x:v>
      </x:c>
      <x:c r="J1408" s="2" t="n">
        <x:f>MAX(1,ROUND('기준스탯 72종'!D64-R1408-Z1408,0))</x:f>
        <x:v>1</x:v>
      </x:c>
      <x:c r="K1408" s="2" t="n">
        <x:f>MAX(1,ROUND('기준스탯 72종'!E64-S1408-AA1408,0))</x:f>
        <x:v>2</x:v>
      </x:c>
      <x:c r="L1408" s="2" t="n">
        <x:f>MAX(1,ROUND('기준스탯 72종'!F64-T1408-AB1408,0))</x:f>
        <x:v>2</x:v>
      </x:c>
      <x:c r="M1408" s="2" t="n">
        <x:f>MAX(1,ROUND('기준스탯 72종'!G64-U1408-AC1408,0))</x:f>
        <x:v>1</x:v>
      </x:c>
      <x:c r="N1408" s="2" t="n">
        <x:f>MAX(0,ROUND('기준스탯 72종'!H64-V1408-AD1408,0))</x:f>
        <x:v>1</x:v>
      </x:c>
      <x:c r="O1408" s="2" t="n">
        <x:f>MAX(0,ROUND('기준스탯 72종'!I64-W1408-AE1408,0))</x:f>
        <x:v>1</x:v>
      </x:c>
      <x:c r="P1408" s="2" t="n">
        <x:f>MAX(0,ROUND('기준스탯 72종'!J64-X1408-AF1408,0))</x:f>
        <x:v>1</x:v>
      </x:c>
      <x:c r="Q1408" s="2" t="n">
        <x:f>MAX(0,ROUND('기준스탯 72종'!K64-Y1408-AG1408,0))</x:f>
        <x:v>1</x:v>
      </x:c>
      <x:c r="R1408" s="15" t="n">
        <x:f>'기준스탯 72종'!D64*G1408</x:f>
        <x:v>3.9199999999999995</x:v>
      </x:c>
      <x:c r="S1408" s="15" t="n">
        <x:f>'기준스탯 72종'!E64*G1408</x:f>
        <x:v>4.4799999999999995</x:v>
      </x:c>
      <x:c r="T1408" s="15" t="n">
        <x:f>'기준스탯 72종'!F64*G1408</x:f>
        <x:v>4.4799999999999995</x:v>
      </x:c>
      <x:c r="U1408" s="15" t="n">
        <x:f>'기준스탯 72종'!G64*G1408</x:f>
        <x:v>3.9199999999999995</x:v>
      </x:c>
      <x:c r="V1408" s="15" t="n">
        <x:f>'기준스탯 72종'!H64*G1408</x:f>
        <x:v>1.6799999999999997</x:v>
      </x:c>
      <x:c r="W1408" s="15" t="n">
        <x:f>'기준스탯 72종'!I64*G1408</x:f>
        <x:v>2.8</x:v>
      </x:c>
      <x:c r="X1408" s="15" t="n">
        <x:f>'기준스탯 72종'!J64*G1408</x:f>
        <x:v>1.6799999999999997</x:v>
      </x:c>
      <x:c r="Y1408" s="15" t="n">
        <x:f>'기준스탯 72종'!K64*G1408</x:f>
        <x:v>2.8</x:v>
      </x:c>
      <x:c r="Z1408" s="15" t="n">
        <x:f>'기준스탯 72종'!D64*H1408</x:f>
        <x:v>1.6800000000000004</x:v>
      </x:c>
      <x:c r="AA1408" s="15" t="n">
        <x:f>'기준스탯 72종'!E64*H1408</x:f>
        <x:v>1.9200000000000004</x:v>
      </x:c>
      <x:c r="AB1408" s="15" t="n">
        <x:f>'기준스탯 72종'!F64*H1408</x:f>
        <x:v>1.9200000000000004</x:v>
      </x:c>
      <x:c r="AC1408" s="15" t="n">
        <x:f>'기준스탯 72종'!G64*H1408</x:f>
        <x:v>1.6800000000000004</x:v>
      </x:c>
      <x:c r="AD1408" s="15" t="n">
        <x:f>'기준스탯 72종'!H64*H1408</x:f>
        <x:v>0.7200000000000002</x:v>
      </x:c>
      <x:c r="AE1408" s="15" t="n">
        <x:f>'기준스탯 72종'!I64*H1408</x:f>
        <x:v>1.2000000000000002</x:v>
      </x:c>
      <x:c r="AF1408" s="15" t="n">
        <x:f>'기준스탯 72종'!J64*H1408</x:f>
        <x:v>0.7200000000000002</x:v>
      </x:c>
      <x:c r="AG1408" s="15" t="n">
        <x:f>'기준스탯 72종'!K64*H1408</x:f>
        <x:v>1.2000000000000002</x:v>
      </x:c>
    </x:row>
    <x:row r="1409" ht="28" customHeight="1">
      <x:c r="A1409" s="2" t="n">
        <x:v>1402</x:v>
      </x:c>
      <x:c r="B1409" s="2" t="n">
        <x:v>57</x:v>
      </x:c>
      <x:c r="C1409" s="2" t="str">
        <x:v>염소자리</x:v>
      </x:c>
      <x:c r="D1409" s="2" t="str">
        <x:v>사수</x:v>
      </x:c>
      <x:c r="E1409" s="2" t="n">
        <x:v>2</x:v>
      </x:c>
      <x:c r="F1409" s="2" t="n">
        <x:v>1</x:v>
      </x:c>
      <x:c r="G1409" s="14" t="n">
        <x:f>('레벨 계산식'!$E$4-E1409)*'레벨 계산식'!$B$5</x:f>
        <x:v>0.41999999999999993</x:v>
      </x:c>
      <x:c r="H1409" s="14" t="n">
        <x:f>('등급 계산식'!$E$4-F1409)*'등급 계산식'!$B$5</x:f>
        <x:v>0.24000000000000005</x:v>
      </x:c>
      <x:c r="I1409" s="14" t="n">
        <x:f>1-G1409-H1409</x:f>
        <x:v>0.34</x:v>
      </x:c>
      <x:c r="J1409" s="2" t="n">
        <x:f>MAX(1,ROUND('기준스탯 72종'!D64-R1409-Z1409,0))</x:f>
        <x:v>2</x:v>
      </x:c>
      <x:c r="K1409" s="2" t="n">
        <x:f>MAX(1,ROUND('기준스탯 72종'!E64-S1409-AA1409,0))</x:f>
        <x:v>3</x:v>
      </x:c>
      <x:c r="L1409" s="2" t="n">
        <x:f>MAX(1,ROUND('기준스탯 72종'!F64-T1409-AB1409,0))</x:f>
        <x:v>3</x:v>
      </x:c>
      <x:c r="M1409" s="2" t="n">
        <x:f>MAX(1,ROUND('기준스탯 72종'!G64-U1409-AC1409,0))</x:f>
        <x:v>2</x:v>
      </x:c>
      <x:c r="N1409" s="2" t="n">
        <x:f>MAX(0,ROUND('기준스탯 72종'!H64-V1409-AD1409,0))</x:f>
        <x:v>1</x:v>
      </x:c>
      <x:c r="O1409" s="2" t="n">
        <x:f>MAX(0,ROUND('기준스탯 72종'!I64-W1409-AE1409,0))</x:f>
        <x:v>2</x:v>
      </x:c>
      <x:c r="P1409" s="2" t="n">
        <x:f>MAX(0,ROUND('기준스탯 72종'!J64-X1409-AF1409,0))</x:f>
        <x:v>1</x:v>
      </x:c>
      <x:c r="Q1409" s="2" t="n">
        <x:f>MAX(0,ROUND('기준스탯 72종'!K64-Y1409-AG1409,0))</x:f>
        <x:v>2</x:v>
      </x:c>
      <x:c r="R1409" s="15" t="n">
        <x:f>'기준스탯 72종'!D64*G1409</x:f>
        <x:v>2.9399999999999995</x:v>
      </x:c>
      <x:c r="S1409" s="15" t="n">
        <x:f>'기준스탯 72종'!E64*G1409</x:f>
        <x:v>3.3599999999999994</x:v>
      </x:c>
      <x:c r="T1409" s="15" t="n">
        <x:f>'기준스탯 72종'!F64*G1409</x:f>
        <x:v>3.3599999999999994</x:v>
      </x:c>
      <x:c r="U1409" s="15" t="n">
        <x:f>'기준스탯 72종'!G64*G1409</x:f>
        <x:v>2.9399999999999995</x:v>
      </x:c>
      <x:c r="V1409" s="15" t="n">
        <x:f>'기준스탯 72종'!H64*G1409</x:f>
        <x:v>1.2599999999999998</x:v>
      </x:c>
      <x:c r="W1409" s="15" t="n">
        <x:f>'기준스탯 72종'!I64*G1409</x:f>
        <x:v>2.0999999999999996</x:v>
      </x:c>
      <x:c r="X1409" s="15" t="n">
        <x:f>'기준스탯 72종'!J64*G1409</x:f>
        <x:v>1.2599999999999998</x:v>
      </x:c>
      <x:c r="Y1409" s="15" t="n">
        <x:f>'기준스탯 72종'!K64*G1409</x:f>
        <x:v>2.0999999999999996</x:v>
      </x:c>
      <x:c r="Z1409" s="15" t="n">
        <x:f>'기준스탯 72종'!D64*H1409</x:f>
        <x:v>1.6800000000000004</x:v>
      </x:c>
      <x:c r="AA1409" s="15" t="n">
        <x:f>'기준스탯 72종'!E64*H1409</x:f>
        <x:v>1.9200000000000004</x:v>
      </x:c>
      <x:c r="AB1409" s="15" t="n">
        <x:f>'기준스탯 72종'!F64*H1409</x:f>
        <x:v>1.9200000000000004</x:v>
      </x:c>
      <x:c r="AC1409" s="15" t="n">
        <x:f>'기준스탯 72종'!G64*H1409</x:f>
        <x:v>1.6800000000000004</x:v>
      </x:c>
      <x:c r="AD1409" s="15" t="n">
        <x:f>'기준스탯 72종'!H64*H1409</x:f>
        <x:v>0.7200000000000002</x:v>
      </x:c>
      <x:c r="AE1409" s="15" t="n">
        <x:f>'기준스탯 72종'!I64*H1409</x:f>
        <x:v>1.2000000000000002</x:v>
      </x:c>
      <x:c r="AF1409" s="15" t="n">
        <x:f>'기준스탯 72종'!J64*H1409</x:f>
        <x:v>0.7200000000000002</x:v>
      </x:c>
      <x:c r="AG1409" s="15" t="n">
        <x:f>'기준스탯 72종'!K64*H1409</x:f>
        <x:v>1.2000000000000002</x:v>
      </x:c>
    </x:row>
    <x:row r="1410" ht="28" customHeight="1">
      <x:c r="A1410" s="2" t="n">
        <x:v>1403</x:v>
      </x:c>
      <x:c r="B1410" s="2" t="n">
        <x:v>57</x:v>
      </x:c>
      <x:c r="C1410" s="2" t="str">
        <x:v>염소자리</x:v>
      </x:c>
      <x:c r="D1410" s="2" t="str">
        <x:v>사수</x:v>
      </x:c>
      <x:c r="E1410" s="2" t="n">
        <x:v>3</x:v>
      </x:c>
      <x:c r="F1410" s="2" t="n">
        <x:v>1</x:v>
      </x:c>
      <x:c r="G1410" s="14" t="n">
        <x:f>('레벨 계산식'!$E$4-E1410)*'레벨 계산식'!$B$5</x:f>
        <x:v>0.27999999999999997</x:v>
      </x:c>
      <x:c r="H1410" s="14" t="n">
        <x:f>('등급 계산식'!$E$4-F1410)*'등급 계산식'!$B$5</x:f>
        <x:v>0.24000000000000005</x:v>
      </x:c>
      <x:c r="I1410" s="14" t="n">
        <x:f>1-G1410-H1410</x:f>
        <x:v>0.4799999999999999</x:v>
      </x:c>
      <x:c r="J1410" s="2" t="n">
        <x:f>MAX(1,ROUND('기준스탯 72종'!D64-R1410-Z1410,0))</x:f>
        <x:v>3</x:v>
      </x:c>
      <x:c r="K1410" s="2" t="n">
        <x:f>MAX(1,ROUND('기준스탯 72종'!E64-S1410-AA1410,0))</x:f>
        <x:v>4</x:v>
      </x:c>
      <x:c r="L1410" s="2" t="n">
        <x:f>MAX(1,ROUND('기준스탯 72종'!F64-T1410-AB1410,0))</x:f>
        <x:v>4</x:v>
      </x:c>
      <x:c r="M1410" s="2" t="n">
        <x:f>MAX(1,ROUND('기준스탯 72종'!G64-U1410-AC1410,0))</x:f>
        <x:v>3</x:v>
      </x:c>
      <x:c r="N1410" s="2" t="n">
        <x:f>MAX(0,ROUND('기준스탯 72종'!H64-V1410-AD1410,0))</x:f>
        <x:v>1</x:v>
      </x:c>
      <x:c r="O1410" s="2" t="n">
        <x:f>MAX(0,ROUND('기준스탯 72종'!I64-W1410-AE1410,0))</x:f>
        <x:v>2</x:v>
      </x:c>
      <x:c r="P1410" s="2" t="n">
        <x:f>MAX(0,ROUND('기준스탯 72종'!J64-X1410-AF1410,0))</x:f>
        <x:v>1</x:v>
      </x:c>
      <x:c r="Q1410" s="2" t="n">
        <x:f>MAX(0,ROUND('기준스탯 72종'!K64-Y1410-AG1410,0))</x:f>
        <x:v>2</x:v>
      </x:c>
      <x:c r="R1410" s="15" t="n">
        <x:f>'기준스탯 72종'!D64*G1410</x:f>
        <x:v>1.9599999999999997</x:v>
      </x:c>
      <x:c r="S1410" s="15" t="n">
        <x:f>'기준스탯 72종'!E64*G1410</x:f>
        <x:v>2.2399999999999998</x:v>
      </x:c>
      <x:c r="T1410" s="15" t="n">
        <x:f>'기준스탯 72종'!F64*G1410</x:f>
        <x:v>2.2399999999999998</x:v>
      </x:c>
      <x:c r="U1410" s="15" t="n">
        <x:f>'기준스탯 72종'!G64*G1410</x:f>
        <x:v>1.9599999999999997</x:v>
      </x:c>
      <x:c r="V1410" s="15" t="n">
        <x:f>'기준스탯 72종'!H64*G1410</x:f>
        <x:v>0.8399999999999999</x:v>
      </x:c>
      <x:c r="W1410" s="15" t="n">
        <x:f>'기준스탯 72종'!I64*G1410</x:f>
        <x:v>1.4</x:v>
      </x:c>
      <x:c r="X1410" s="15" t="n">
        <x:f>'기준스탯 72종'!J64*G1410</x:f>
        <x:v>0.8399999999999999</x:v>
      </x:c>
      <x:c r="Y1410" s="15" t="n">
        <x:f>'기준스탯 72종'!K64*G1410</x:f>
        <x:v>1.4</x:v>
      </x:c>
      <x:c r="Z1410" s="15" t="n">
        <x:f>'기준스탯 72종'!D64*H1410</x:f>
        <x:v>1.6800000000000004</x:v>
      </x:c>
      <x:c r="AA1410" s="15" t="n">
        <x:f>'기준스탯 72종'!E64*H1410</x:f>
        <x:v>1.9200000000000004</x:v>
      </x:c>
      <x:c r="AB1410" s="15" t="n">
        <x:f>'기준스탯 72종'!F64*H1410</x:f>
        <x:v>1.9200000000000004</x:v>
      </x:c>
      <x:c r="AC1410" s="15" t="n">
        <x:f>'기준스탯 72종'!G64*H1410</x:f>
        <x:v>1.6800000000000004</x:v>
      </x:c>
      <x:c r="AD1410" s="15" t="n">
        <x:f>'기준스탯 72종'!H64*H1410</x:f>
        <x:v>0.7200000000000002</x:v>
      </x:c>
      <x:c r="AE1410" s="15" t="n">
        <x:f>'기준스탯 72종'!I64*H1410</x:f>
        <x:v>1.2000000000000002</x:v>
      </x:c>
      <x:c r="AF1410" s="15" t="n">
        <x:f>'기준스탯 72종'!J64*H1410</x:f>
        <x:v>0.7200000000000002</x:v>
      </x:c>
      <x:c r="AG1410" s="15" t="n">
        <x:f>'기준스탯 72종'!K64*H1410</x:f>
        <x:v>1.2000000000000002</x:v>
      </x:c>
    </x:row>
    <x:row r="1411" ht="28" customHeight="1">
      <x:c r="A1411" s="2" t="n">
        <x:v>1404</x:v>
      </x:c>
      <x:c r="B1411" s="2" t="n">
        <x:v>57</x:v>
      </x:c>
      <x:c r="C1411" s="2" t="str">
        <x:v>염소자리</x:v>
      </x:c>
      <x:c r="D1411" s="2" t="str">
        <x:v>사수</x:v>
      </x:c>
      <x:c r="E1411" s="2" t="n">
        <x:v>4</x:v>
      </x:c>
      <x:c r="F1411" s="2" t="n">
        <x:v>1</x:v>
      </x:c>
      <x:c r="G1411" s="14" t="n">
        <x:f>('레벨 계산식'!$E$4-E1411)*'레벨 계산식'!$B$5</x:f>
        <x:v>0.13999999999999999</x:v>
      </x:c>
      <x:c r="H1411" s="14" t="n">
        <x:f>('등급 계산식'!$E$4-F1411)*'등급 계산식'!$B$5</x:f>
        <x:v>0.24000000000000005</x:v>
      </x:c>
      <x:c r="I1411" s="14" t="n">
        <x:f>1-G1411-H1411</x:f>
        <x:v>0.6199999999999999</x:v>
      </x:c>
      <x:c r="J1411" s="2" t="n">
        <x:f>MAX(1,ROUND('기준스탯 72종'!D64-R1411-Z1411,0))</x:f>
        <x:v>4</x:v>
      </x:c>
      <x:c r="K1411" s="2" t="n">
        <x:f>MAX(1,ROUND('기준스탯 72종'!E64-S1411-AA1411,0))</x:f>
        <x:v>5</x:v>
      </x:c>
      <x:c r="L1411" s="2" t="n">
        <x:f>MAX(1,ROUND('기준스탯 72종'!F64-T1411-AB1411,0))</x:f>
        <x:v>5</x:v>
      </x:c>
      <x:c r="M1411" s="2" t="n">
        <x:f>MAX(1,ROUND('기준스탯 72종'!G64-U1411-AC1411,0))</x:f>
        <x:v>4</x:v>
      </x:c>
      <x:c r="N1411" s="2" t="n">
        <x:f>MAX(0,ROUND('기준스탯 72종'!H64-V1411-AD1411,0))</x:f>
        <x:v>2</x:v>
      </x:c>
      <x:c r="O1411" s="2" t="n">
        <x:f>MAX(0,ROUND('기준스탯 72종'!I64-W1411-AE1411,0))</x:f>
        <x:v>3</x:v>
      </x:c>
      <x:c r="P1411" s="2" t="n">
        <x:f>MAX(0,ROUND('기준스탯 72종'!J64-X1411-AF1411,0))</x:f>
        <x:v>2</x:v>
      </x:c>
      <x:c r="Q1411" s="2" t="n">
        <x:f>MAX(0,ROUND('기준스탯 72종'!K64-Y1411-AG1411,0))</x:f>
        <x:v>3</x:v>
      </x:c>
      <x:c r="R1411" s="15" t="n">
        <x:f>'기준스탯 72종'!D64*G1411</x:f>
        <x:v>0.9799999999999999</x:v>
      </x:c>
      <x:c r="S1411" s="15" t="n">
        <x:f>'기준스탯 72종'!E64*G1411</x:f>
        <x:v>1.1199999999999999</x:v>
      </x:c>
      <x:c r="T1411" s="15" t="n">
        <x:f>'기준스탯 72종'!F64*G1411</x:f>
        <x:v>1.1199999999999999</x:v>
      </x:c>
      <x:c r="U1411" s="15" t="n">
        <x:f>'기준스탯 72종'!G64*G1411</x:f>
        <x:v>0.9799999999999999</x:v>
      </x:c>
      <x:c r="V1411" s="15" t="n">
        <x:f>'기준스탯 72종'!H64*G1411</x:f>
        <x:v>0.41999999999999993</x:v>
      </x:c>
      <x:c r="W1411" s="15" t="n">
        <x:f>'기준스탯 72종'!I64*G1411</x:f>
        <x:v>0.7</x:v>
      </x:c>
      <x:c r="X1411" s="15" t="n">
        <x:f>'기준스탯 72종'!J64*G1411</x:f>
        <x:v>0.41999999999999993</x:v>
      </x:c>
      <x:c r="Y1411" s="15" t="n">
        <x:f>'기준스탯 72종'!K64*G1411</x:f>
        <x:v>0.7</x:v>
      </x:c>
      <x:c r="Z1411" s="15" t="n">
        <x:f>'기준스탯 72종'!D64*H1411</x:f>
        <x:v>1.6800000000000004</x:v>
      </x:c>
      <x:c r="AA1411" s="15" t="n">
        <x:f>'기준스탯 72종'!E64*H1411</x:f>
        <x:v>1.9200000000000004</x:v>
      </x:c>
      <x:c r="AB1411" s="15" t="n">
        <x:f>'기준스탯 72종'!F64*H1411</x:f>
        <x:v>1.9200000000000004</x:v>
      </x:c>
      <x:c r="AC1411" s="15" t="n">
        <x:f>'기준스탯 72종'!G64*H1411</x:f>
        <x:v>1.6800000000000004</x:v>
      </x:c>
      <x:c r="AD1411" s="15" t="n">
        <x:f>'기준스탯 72종'!H64*H1411</x:f>
        <x:v>0.7200000000000002</x:v>
      </x:c>
      <x:c r="AE1411" s="15" t="n">
        <x:f>'기준스탯 72종'!I64*H1411</x:f>
        <x:v>1.2000000000000002</x:v>
      </x:c>
      <x:c r="AF1411" s="15" t="n">
        <x:f>'기준스탯 72종'!J64*H1411</x:f>
        <x:v>0.7200000000000002</x:v>
      </x:c>
      <x:c r="AG1411" s="15" t="n">
        <x:f>'기준스탯 72종'!K64*H1411</x:f>
        <x:v>1.2000000000000002</x:v>
      </x:c>
    </x:row>
    <x:row r="1412" ht="28" customHeight="1">
      <x:c r="A1412" s="2" t="n">
        <x:v>1405</x:v>
      </x:c>
      <x:c r="B1412" s="2" t="n">
        <x:v>57</x:v>
      </x:c>
      <x:c r="C1412" s="2" t="str">
        <x:v>염소자리</x:v>
      </x:c>
      <x:c r="D1412" s="2" t="str">
        <x:v>사수</x:v>
      </x:c>
      <x:c r="E1412" s="2" t="n">
        <x:v>5</x:v>
      </x:c>
      <x:c r="F1412" s="2" t="n">
        <x:v>1</x:v>
      </x:c>
      <x:c r="G1412" s="14" t="n">
        <x:f>('레벨 계산식'!$E$4-E1412)*'레벨 계산식'!$B$5</x:f>
        <x:v>0</x:v>
      </x:c>
      <x:c r="H1412" s="14" t="n">
        <x:f>('등급 계산식'!$E$4-F1412)*'등급 계산식'!$B$5</x:f>
        <x:v>0.24000000000000005</x:v>
      </x:c>
      <x:c r="I1412" s="14" t="n">
        <x:f>1-G1412-H1412</x:f>
        <x:v>0.76</x:v>
      </x:c>
      <x:c r="J1412" s="2" t="n">
        <x:f>MAX(1,ROUND('기준스탯 72종'!D64-R1412-Z1412,0))</x:f>
        <x:v>5</x:v>
      </x:c>
      <x:c r="K1412" s="2" t="n">
        <x:f>MAX(1,ROUND('기준스탯 72종'!E64-S1412-AA1412,0))</x:f>
        <x:v>6</x:v>
      </x:c>
      <x:c r="L1412" s="2" t="n">
        <x:f>MAX(1,ROUND('기준스탯 72종'!F64-T1412-AB1412,0))</x:f>
        <x:v>6</x:v>
      </x:c>
      <x:c r="M1412" s="2" t="n">
        <x:f>MAX(1,ROUND('기준스탯 72종'!G64-U1412-AC1412,0))</x:f>
        <x:v>5</x:v>
      </x:c>
      <x:c r="N1412" s="2" t="n">
        <x:f>MAX(0,ROUND('기준스탯 72종'!H64-V1412-AD1412,0))</x:f>
        <x:v>2</x:v>
      </x:c>
      <x:c r="O1412" s="2" t="n">
        <x:f>MAX(0,ROUND('기준스탯 72종'!I64-W1412-AE1412,0))</x:f>
        <x:v>4</x:v>
      </x:c>
      <x:c r="P1412" s="2" t="n">
        <x:f>MAX(0,ROUND('기준스탯 72종'!J64-X1412-AF1412,0))</x:f>
        <x:v>2</x:v>
      </x:c>
      <x:c r="Q1412" s="2" t="n">
        <x:f>MAX(0,ROUND('기준스탯 72종'!K64-Y1412-AG1412,0))</x:f>
        <x:v>4</x:v>
      </x:c>
      <x:c r="R1412" s="15" t="n">
        <x:f>'기준스탯 72종'!D64*G1412</x:f>
        <x:v>0</x:v>
      </x:c>
      <x:c r="S1412" s="15" t="n">
        <x:f>'기준스탯 72종'!E64*G1412</x:f>
        <x:v>0</x:v>
      </x:c>
      <x:c r="T1412" s="15" t="n">
        <x:f>'기준스탯 72종'!F64*G1412</x:f>
        <x:v>0</x:v>
      </x:c>
      <x:c r="U1412" s="15" t="n">
        <x:f>'기준스탯 72종'!G64*G1412</x:f>
        <x:v>0</x:v>
      </x:c>
      <x:c r="V1412" s="15" t="n">
        <x:f>'기준스탯 72종'!H64*G1412</x:f>
        <x:v>0</x:v>
      </x:c>
      <x:c r="W1412" s="15" t="n">
        <x:f>'기준스탯 72종'!I64*G1412</x:f>
        <x:v>0</x:v>
      </x:c>
      <x:c r="X1412" s="15" t="n">
        <x:f>'기준스탯 72종'!J64*G1412</x:f>
        <x:v>0</x:v>
      </x:c>
      <x:c r="Y1412" s="15" t="n">
        <x:f>'기준스탯 72종'!K64*G1412</x:f>
        <x:v>0</x:v>
      </x:c>
      <x:c r="Z1412" s="15" t="n">
        <x:f>'기준스탯 72종'!D64*H1412</x:f>
        <x:v>1.6800000000000004</x:v>
      </x:c>
      <x:c r="AA1412" s="15" t="n">
        <x:f>'기준스탯 72종'!E64*H1412</x:f>
        <x:v>1.9200000000000004</x:v>
      </x:c>
      <x:c r="AB1412" s="15" t="n">
        <x:f>'기준스탯 72종'!F64*H1412</x:f>
        <x:v>1.9200000000000004</x:v>
      </x:c>
      <x:c r="AC1412" s="15" t="n">
        <x:f>'기준스탯 72종'!G64*H1412</x:f>
        <x:v>1.6800000000000004</x:v>
      </x:c>
      <x:c r="AD1412" s="15" t="n">
        <x:f>'기준스탯 72종'!H64*H1412</x:f>
        <x:v>0.7200000000000002</x:v>
      </x:c>
      <x:c r="AE1412" s="15" t="n">
        <x:f>'기준스탯 72종'!I64*H1412</x:f>
        <x:v>1.2000000000000002</x:v>
      </x:c>
      <x:c r="AF1412" s="15" t="n">
        <x:f>'기준스탯 72종'!J64*H1412</x:f>
        <x:v>0.7200000000000002</x:v>
      </x:c>
      <x:c r="AG1412" s="15" t="n">
        <x:f>'기준스탯 72종'!K64*H1412</x:f>
        <x:v>1.2000000000000002</x:v>
      </x:c>
    </x:row>
    <x:row r="1413" ht="28" customHeight="1">
      <x:c r="A1413" s="2" t="n">
        <x:v>1406</x:v>
      </x:c>
      <x:c r="B1413" s="2" t="n">
        <x:v>57</x:v>
      </x:c>
      <x:c r="C1413" s="2" t="str">
        <x:v>염소자리</x:v>
      </x:c>
      <x:c r="D1413" s="2" t="str">
        <x:v>사수</x:v>
      </x:c>
      <x:c r="E1413" s="2" t="n">
        <x:v>1</x:v>
      </x:c>
      <x:c r="F1413" s="2" t="n">
        <x:v>2</x:v>
      </x:c>
      <x:c r="G1413" s="14" t="n">
        <x:f>('레벨 계산식'!$E$4-E1413)*'레벨 계산식'!$B$5</x:f>
        <x:v>0.5599999999999999</x:v>
      </x:c>
      <x:c r="H1413" s="14" t="n">
        <x:f>('등급 계산식'!$E$4-F1413)*'등급 계산식'!$B$5</x:f>
        <x:v>0.18000000000000005</x:v>
      </x:c>
      <x:c r="I1413" s="14" t="n">
        <x:f>1-G1413-H1413</x:f>
        <x:v>0.26</x:v>
      </x:c>
      <x:c r="J1413" s="2" t="n">
        <x:f>MAX(1,ROUND('기준스탯 72종'!D64-R1413-Z1413,0))</x:f>
        <x:v>2</x:v>
      </x:c>
      <x:c r="K1413" s="2" t="n">
        <x:f>MAX(1,ROUND('기준스탯 72종'!E64-S1413-AA1413,0))</x:f>
        <x:v>2</x:v>
      </x:c>
      <x:c r="L1413" s="2" t="n">
        <x:f>MAX(1,ROUND('기준스탯 72종'!F64-T1413-AB1413,0))</x:f>
        <x:v>2</x:v>
      </x:c>
      <x:c r="M1413" s="2" t="n">
        <x:f>MAX(1,ROUND('기준스탯 72종'!G64-U1413-AC1413,0))</x:f>
        <x:v>2</x:v>
      </x:c>
      <x:c r="N1413" s="2" t="n">
        <x:f>MAX(0,ROUND('기준스탯 72종'!H64-V1413-AD1413,0))</x:f>
        <x:v>1</x:v>
      </x:c>
      <x:c r="O1413" s="2" t="n">
        <x:f>MAX(0,ROUND('기준스탯 72종'!I64-W1413-AE1413,0))</x:f>
        <x:v>1</x:v>
      </x:c>
      <x:c r="P1413" s="2" t="n">
        <x:f>MAX(0,ROUND('기준스탯 72종'!J64-X1413-AF1413,0))</x:f>
        <x:v>1</x:v>
      </x:c>
      <x:c r="Q1413" s="2" t="n">
        <x:f>MAX(0,ROUND('기준스탯 72종'!K64-Y1413-AG1413,0))</x:f>
        <x:v>1</x:v>
      </x:c>
      <x:c r="R1413" s="15" t="n">
        <x:f>'기준스탯 72종'!D64*G1413</x:f>
        <x:v>3.9199999999999995</x:v>
      </x:c>
      <x:c r="S1413" s="15" t="n">
        <x:f>'기준스탯 72종'!E64*G1413</x:f>
        <x:v>4.4799999999999995</x:v>
      </x:c>
      <x:c r="T1413" s="15" t="n">
        <x:f>'기준스탯 72종'!F64*G1413</x:f>
        <x:v>4.4799999999999995</x:v>
      </x:c>
      <x:c r="U1413" s="15" t="n">
        <x:f>'기준스탯 72종'!G64*G1413</x:f>
        <x:v>3.9199999999999995</x:v>
      </x:c>
      <x:c r="V1413" s="15" t="n">
        <x:f>'기준스탯 72종'!H64*G1413</x:f>
        <x:v>1.6799999999999997</x:v>
      </x:c>
      <x:c r="W1413" s="15" t="n">
        <x:f>'기준스탯 72종'!I64*G1413</x:f>
        <x:v>2.8</x:v>
      </x:c>
      <x:c r="X1413" s="15" t="n">
        <x:f>'기준스탯 72종'!J64*G1413</x:f>
        <x:v>1.6799999999999997</x:v>
      </x:c>
      <x:c r="Y1413" s="15" t="n">
        <x:f>'기준스탯 72종'!K64*G1413</x:f>
        <x:v>2.8</x:v>
      </x:c>
      <x:c r="Z1413" s="15" t="n">
        <x:f>'기준스탯 72종'!D64*H1413</x:f>
        <x:v>1.2600000000000002</x:v>
      </x:c>
      <x:c r="AA1413" s="15" t="n">
        <x:f>'기준스탯 72종'!E64*H1413</x:f>
        <x:v>1.4400000000000004</x:v>
      </x:c>
      <x:c r="AB1413" s="15" t="n">
        <x:f>'기준스탯 72종'!F64*H1413</x:f>
        <x:v>1.4400000000000004</x:v>
      </x:c>
      <x:c r="AC1413" s="15" t="n">
        <x:f>'기준스탯 72종'!G64*H1413</x:f>
        <x:v>1.2600000000000002</x:v>
      </x:c>
      <x:c r="AD1413" s="15" t="n">
        <x:f>'기준스탯 72종'!H64*H1413</x:f>
        <x:v>0.5400000000000001</x:v>
      </x:c>
      <x:c r="AE1413" s="15" t="n">
        <x:f>'기준스탯 72종'!I64*H1413</x:f>
        <x:v>0.9000000000000002</x:v>
      </x:c>
      <x:c r="AF1413" s="15" t="n">
        <x:f>'기준스탯 72종'!J64*H1413</x:f>
        <x:v>0.5400000000000001</x:v>
      </x:c>
      <x:c r="AG1413" s="15" t="n">
        <x:f>'기준스탯 72종'!K64*H1413</x:f>
        <x:v>0.9000000000000002</x:v>
      </x:c>
    </x:row>
    <x:row r="1414" ht="28" customHeight="1">
      <x:c r="A1414" s="2" t="n">
        <x:v>1407</x:v>
      </x:c>
      <x:c r="B1414" s="2" t="n">
        <x:v>57</x:v>
      </x:c>
      <x:c r="C1414" s="2" t="str">
        <x:v>염소자리</x:v>
      </x:c>
      <x:c r="D1414" s="2" t="str">
        <x:v>사수</x:v>
      </x:c>
      <x:c r="E1414" s="2" t="n">
        <x:v>2</x:v>
      </x:c>
      <x:c r="F1414" s="2" t="n">
        <x:v>2</x:v>
      </x:c>
      <x:c r="G1414" s="14" t="n">
        <x:f>('레벨 계산식'!$E$4-E1414)*'레벨 계산식'!$B$5</x:f>
        <x:v>0.41999999999999993</x:v>
      </x:c>
      <x:c r="H1414" s="14" t="n">
        <x:f>('등급 계산식'!$E$4-F1414)*'등급 계산식'!$B$5</x:f>
        <x:v>0.18000000000000005</x:v>
      </x:c>
      <x:c r="I1414" s="14" t="n">
        <x:f>1-G1414-H1414</x:f>
        <x:v>0.4</x:v>
      </x:c>
      <x:c r="J1414" s="2" t="n">
        <x:f>MAX(1,ROUND('기준스탯 72종'!D64-R1414-Z1414,0))</x:f>
        <x:v>3</x:v>
      </x:c>
      <x:c r="K1414" s="2" t="n">
        <x:f>MAX(1,ROUND('기준스탯 72종'!E64-S1414-AA1414,0))</x:f>
        <x:v>3</x:v>
      </x:c>
      <x:c r="L1414" s="2" t="n">
        <x:f>MAX(1,ROUND('기준스탯 72종'!F64-T1414-AB1414,0))</x:f>
        <x:v>3</x:v>
      </x:c>
      <x:c r="M1414" s="2" t="n">
        <x:f>MAX(1,ROUND('기준스탯 72종'!G64-U1414-AC1414,0))</x:f>
        <x:v>3</x:v>
      </x:c>
      <x:c r="N1414" s="2" t="n">
        <x:f>MAX(0,ROUND('기준스탯 72종'!H64-V1414-AD1414,0))</x:f>
        <x:v>1</x:v>
      </x:c>
      <x:c r="O1414" s="2" t="n">
        <x:f>MAX(0,ROUND('기준스탯 72종'!I64-W1414-AE1414,0))</x:f>
        <x:v>2</x:v>
      </x:c>
      <x:c r="P1414" s="2" t="n">
        <x:f>MAX(0,ROUND('기준스탯 72종'!J64-X1414-AF1414,0))</x:f>
        <x:v>1</x:v>
      </x:c>
      <x:c r="Q1414" s="2" t="n">
        <x:f>MAX(0,ROUND('기준스탯 72종'!K64-Y1414-AG1414,0))</x:f>
        <x:v>2</x:v>
      </x:c>
      <x:c r="R1414" s="15" t="n">
        <x:f>'기준스탯 72종'!D64*G1414</x:f>
        <x:v>2.9399999999999995</x:v>
      </x:c>
      <x:c r="S1414" s="15" t="n">
        <x:f>'기준스탯 72종'!E64*G1414</x:f>
        <x:v>3.3599999999999994</x:v>
      </x:c>
      <x:c r="T1414" s="15" t="n">
        <x:f>'기준스탯 72종'!F64*G1414</x:f>
        <x:v>3.3599999999999994</x:v>
      </x:c>
      <x:c r="U1414" s="15" t="n">
        <x:f>'기준스탯 72종'!G64*G1414</x:f>
        <x:v>2.9399999999999995</x:v>
      </x:c>
      <x:c r="V1414" s="15" t="n">
        <x:f>'기준스탯 72종'!H64*G1414</x:f>
        <x:v>1.2599999999999998</x:v>
      </x:c>
      <x:c r="W1414" s="15" t="n">
        <x:f>'기준스탯 72종'!I64*G1414</x:f>
        <x:v>2.0999999999999996</x:v>
      </x:c>
      <x:c r="X1414" s="15" t="n">
        <x:f>'기준스탯 72종'!J64*G1414</x:f>
        <x:v>1.2599999999999998</x:v>
      </x:c>
      <x:c r="Y1414" s="15" t="n">
        <x:f>'기준스탯 72종'!K64*G1414</x:f>
        <x:v>2.0999999999999996</x:v>
      </x:c>
      <x:c r="Z1414" s="15" t="n">
        <x:f>'기준스탯 72종'!D64*H1414</x:f>
        <x:v>1.2600000000000002</x:v>
      </x:c>
      <x:c r="AA1414" s="15" t="n">
        <x:f>'기준스탯 72종'!E64*H1414</x:f>
        <x:v>1.4400000000000004</x:v>
      </x:c>
      <x:c r="AB1414" s="15" t="n">
        <x:f>'기준스탯 72종'!F64*H1414</x:f>
        <x:v>1.4400000000000004</x:v>
      </x:c>
      <x:c r="AC1414" s="15" t="n">
        <x:f>'기준스탯 72종'!G64*H1414</x:f>
        <x:v>1.2600000000000002</x:v>
      </x:c>
      <x:c r="AD1414" s="15" t="n">
        <x:f>'기준스탯 72종'!H64*H1414</x:f>
        <x:v>0.5400000000000001</x:v>
      </x:c>
      <x:c r="AE1414" s="15" t="n">
        <x:f>'기준스탯 72종'!I64*H1414</x:f>
        <x:v>0.9000000000000002</x:v>
      </x:c>
      <x:c r="AF1414" s="15" t="n">
        <x:f>'기준스탯 72종'!J64*H1414</x:f>
        <x:v>0.5400000000000001</x:v>
      </x:c>
      <x:c r="AG1414" s="15" t="n">
        <x:f>'기준스탯 72종'!K64*H1414</x:f>
        <x:v>0.9000000000000002</x:v>
      </x:c>
    </x:row>
    <x:row r="1415" ht="28" customHeight="1">
      <x:c r="A1415" s="2" t="n">
        <x:v>1408</x:v>
      </x:c>
      <x:c r="B1415" s="2" t="n">
        <x:v>57</x:v>
      </x:c>
      <x:c r="C1415" s="2" t="str">
        <x:v>염소자리</x:v>
      </x:c>
      <x:c r="D1415" s="2" t="str">
        <x:v>사수</x:v>
      </x:c>
      <x:c r="E1415" s="2" t="n">
        <x:v>3</x:v>
      </x:c>
      <x:c r="F1415" s="2" t="n">
        <x:v>2</x:v>
      </x:c>
      <x:c r="G1415" s="14" t="n">
        <x:f>('레벨 계산식'!$E$4-E1415)*'레벨 계산식'!$B$5</x:f>
        <x:v>0.27999999999999997</x:v>
      </x:c>
      <x:c r="H1415" s="14" t="n">
        <x:f>('등급 계산식'!$E$4-F1415)*'등급 계산식'!$B$5</x:f>
        <x:v>0.18000000000000005</x:v>
      </x:c>
      <x:c r="I1415" s="14" t="n">
        <x:f>1-G1415-H1415</x:f>
        <x:v>0.5399999999999999</x:v>
      </x:c>
      <x:c r="J1415" s="2" t="n">
        <x:f>MAX(1,ROUND('기준스탯 72종'!D64-R1415-Z1415,0))</x:f>
        <x:v>4</x:v>
      </x:c>
      <x:c r="K1415" s="2" t="n">
        <x:f>MAX(1,ROUND('기준스탯 72종'!E64-S1415-AA1415,0))</x:f>
        <x:v>4</x:v>
      </x:c>
      <x:c r="L1415" s="2" t="n">
        <x:f>MAX(1,ROUND('기준스탯 72종'!F64-T1415-AB1415,0))</x:f>
        <x:v>4</x:v>
      </x:c>
      <x:c r="M1415" s="2" t="n">
        <x:f>MAX(1,ROUND('기준스탯 72종'!G64-U1415-AC1415,0))</x:f>
        <x:v>4</x:v>
      </x:c>
      <x:c r="N1415" s="2" t="n">
        <x:f>MAX(0,ROUND('기준스탯 72종'!H64-V1415-AD1415,0))</x:f>
        <x:v>2</x:v>
      </x:c>
      <x:c r="O1415" s="2" t="n">
        <x:f>MAX(0,ROUND('기준스탯 72종'!I64-W1415-AE1415,0))</x:f>
        <x:v>3</x:v>
      </x:c>
      <x:c r="P1415" s="2" t="n">
        <x:f>MAX(0,ROUND('기준스탯 72종'!J64-X1415-AF1415,0))</x:f>
        <x:v>2</x:v>
      </x:c>
      <x:c r="Q1415" s="2" t="n">
        <x:f>MAX(0,ROUND('기준스탯 72종'!K64-Y1415-AG1415,0))</x:f>
        <x:v>3</x:v>
      </x:c>
      <x:c r="R1415" s="15" t="n">
        <x:f>'기준스탯 72종'!D64*G1415</x:f>
        <x:v>1.9599999999999997</x:v>
      </x:c>
      <x:c r="S1415" s="15" t="n">
        <x:f>'기준스탯 72종'!E64*G1415</x:f>
        <x:v>2.2399999999999998</x:v>
      </x:c>
      <x:c r="T1415" s="15" t="n">
        <x:f>'기준스탯 72종'!F64*G1415</x:f>
        <x:v>2.2399999999999998</x:v>
      </x:c>
      <x:c r="U1415" s="15" t="n">
        <x:f>'기준스탯 72종'!G64*G1415</x:f>
        <x:v>1.9599999999999997</x:v>
      </x:c>
      <x:c r="V1415" s="15" t="n">
        <x:f>'기준스탯 72종'!H64*G1415</x:f>
        <x:v>0.8399999999999999</x:v>
      </x:c>
      <x:c r="W1415" s="15" t="n">
        <x:f>'기준스탯 72종'!I64*G1415</x:f>
        <x:v>1.4</x:v>
      </x:c>
      <x:c r="X1415" s="15" t="n">
        <x:f>'기준스탯 72종'!J64*G1415</x:f>
        <x:v>0.8399999999999999</x:v>
      </x:c>
      <x:c r="Y1415" s="15" t="n">
        <x:f>'기준스탯 72종'!K64*G1415</x:f>
        <x:v>1.4</x:v>
      </x:c>
      <x:c r="Z1415" s="15" t="n">
        <x:f>'기준스탯 72종'!D64*H1415</x:f>
        <x:v>1.2600000000000002</x:v>
      </x:c>
      <x:c r="AA1415" s="15" t="n">
        <x:f>'기준스탯 72종'!E64*H1415</x:f>
        <x:v>1.4400000000000004</x:v>
      </x:c>
      <x:c r="AB1415" s="15" t="n">
        <x:f>'기준스탯 72종'!F64*H1415</x:f>
        <x:v>1.4400000000000004</x:v>
      </x:c>
      <x:c r="AC1415" s="15" t="n">
        <x:f>'기준스탯 72종'!G64*H1415</x:f>
        <x:v>1.2600000000000002</x:v>
      </x:c>
      <x:c r="AD1415" s="15" t="n">
        <x:f>'기준스탯 72종'!H64*H1415</x:f>
        <x:v>0.5400000000000001</x:v>
      </x:c>
      <x:c r="AE1415" s="15" t="n">
        <x:f>'기준스탯 72종'!I64*H1415</x:f>
        <x:v>0.9000000000000002</x:v>
      </x:c>
      <x:c r="AF1415" s="15" t="n">
        <x:f>'기준스탯 72종'!J64*H1415</x:f>
        <x:v>0.5400000000000001</x:v>
      </x:c>
      <x:c r="AG1415" s="15" t="n">
        <x:f>'기준스탯 72종'!K64*H1415</x:f>
        <x:v>0.9000000000000002</x:v>
      </x:c>
    </x:row>
    <x:row r="1416" ht="28" customHeight="1">
      <x:c r="A1416" s="2" t="n">
        <x:v>1409</x:v>
      </x:c>
      <x:c r="B1416" s="2" t="n">
        <x:v>57</x:v>
      </x:c>
      <x:c r="C1416" s="2" t="str">
        <x:v>염소자리</x:v>
      </x:c>
      <x:c r="D1416" s="2" t="str">
        <x:v>사수</x:v>
      </x:c>
      <x:c r="E1416" s="2" t="n">
        <x:v>4</x:v>
      </x:c>
      <x:c r="F1416" s="2" t="n">
        <x:v>2</x:v>
      </x:c>
      <x:c r="G1416" s="14" t="n">
        <x:f>('레벨 계산식'!$E$4-E1416)*'레벨 계산식'!$B$5</x:f>
        <x:v>0.13999999999999999</x:v>
      </x:c>
      <x:c r="H1416" s="14" t="n">
        <x:f>('등급 계산식'!$E$4-F1416)*'등급 계산식'!$B$5</x:f>
        <x:v>0.18000000000000005</x:v>
      </x:c>
      <x:c r="I1416" s="14" t="n">
        <x:f>1-G1416-H1416</x:f>
        <x:v>0.6799999999999999</x:v>
      </x:c>
      <x:c r="J1416" s="2" t="n">
        <x:f>MAX(1,ROUND('기준스탯 72종'!D64-R1416-Z1416,0))</x:f>
        <x:v>5</x:v>
      </x:c>
      <x:c r="K1416" s="2" t="n">
        <x:f>MAX(1,ROUND('기준스탯 72종'!E64-S1416-AA1416,0))</x:f>
        <x:v>5</x:v>
      </x:c>
      <x:c r="L1416" s="2" t="n">
        <x:f>MAX(1,ROUND('기준스탯 72종'!F64-T1416-AB1416,0))</x:f>
        <x:v>5</x:v>
      </x:c>
      <x:c r="M1416" s="2" t="n">
        <x:f>MAX(1,ROUND('기준스탯 72종'!G64-U1416-AC1416,0))</x:f>
        <x:v>5</x:v>
      </x:c>
      <x:c r="N1416" s="2" t="n">
        <x:f>MAX(0,ROUND('기준스탯 72종'!H64-V1416-AD1416,0))</x:f>
        <x:v>2</x:v>
      </x:c>
      <x:c r="O1416" s="2" t="n">
        <x:f>MAX(0,ROUND('기준스탯 72종'!I64-W1416-AE1416,0))</x:f>
        <x:v>3</x:v>
      </x:c>
      <x:c r="P1416" s="2" t="n">
        <x:f>MAX(0,ROUND('기준스탯 72종'!J64-X1416-AF1416,0))</x:f>
        <x:v>2</x:v>
      </x:c>
      <x:c r="Q1416" s="2" t="n">
        <x:f>MAX(0,ROUND('기준스탯 72종'!K64-Y1416-AG1416,0))</x:f>
        <x:v>3</x:v>
      </x:c>
      <x:c r="R1416" s="15" t="n">
        <x:f>'기준스탯 72종'!D64*G1416</x:f>
        <x:v>0.9799999999999999</x:v>
      </x:c>
      <x:c r="S1416" s="15" t="n">
        <x:f>'기준스탯 72종'!E64*G1416</x:f>
        <x:v>1.1199999999999999</x:v>
      </x:c>
      <x:c r="T1416" s="15" t="n">
        <x:f>'기준스탯 72종'!F64*G1416</x:f>
        <x:v>1.1199999999999999</x:v>
      </x:c>
      <x:c r="U1416" s="15" t="n">
        <x:f>'기준스탯 72종'!G64*G1416</x:f>
        <x:v>0.9799999999999999</x:v>
      </x:c>
      <x:c r="V1416" s="15" t="n">
        <x:f>'기준스탯 72종'!H64*G1416</x:f>
        <x:v>0.41999999999999993</x:v>
      </x:c>
      <x:c r="W1416" s="15" t="n">
        <x:f>'기준스탯 72종'!I64*G1416</x:f>
        <x:v>0.7</x:v>
      </x:c>
      <x:c r="X1416" s="15" t="n">
        <x:f>'기준스탯 72종'!J64*G1416</x:f>
        <x:v>0.41999999999999993</x:v>
      </x:c>
      <x:c r="Y1416" s="15" t="n">
        <x:f>'기준스탯 72종'!K64*G1416</x:f>
        <x:v>0.7</x:v>
      </x:c>
      <x:c r="Z1416" s="15" t="n">
        <x:f>'기준스탯 72종'!D64*H1416</x:f>
        <x:v>1.2600000000000002</x:v>
      </x:c>
      <x:c r="AA1416" s="15" t="n">
        <x:f>'기준스탯 72종'!E64*H1416</x:f>
        <x:v>1.4400000000000004</x:v>
      </x:c>
      <x:c r="AB1416" s="15" t="n">
        <x:f>'기준스탯 72종'!F64*H1416</x:f>
        <x:v>1.4400000000000004</x:v>
      </x:c>
      <x:c r="AC1416" s="15" t="n">
        <x:f>'기준스탯 72종'!G64*H1416</x:f>
        <x:v>1.2600000000000002</x:v>
      </x:c>
      <x:c r="AD1416" s="15" t="n">
        <x:f>'기준스탯 72종'!H64*H1416</x:f>
        <x:v>0.5400000000000001</x:v>
      </x:c>
      <x:c r="AE1416" s="15" t="n">
        <x:f>'기준스탯 72종'!I64*H1416</x:f>
        <x:v>0.9000000000000002</x:v>
      </x:c>
      <x:c r="AF1416" s="15" t="n">
        <x:f>'기준스탯 72종'!J64*H1416</x:f>
        <x:v>0.5400000000000001</x:v>
      </x:c>
      <x:c r="AG1416" s="15" t="n">
        <x:f>'기준스탯 72종'!K64*H1416</x:f>
        <x:v>0.9000000000000002</x:v>
      </x:c>
    </x:row>
    <x:row r="1417" ht="28" customHeight="1">
      <x:c r="A1417" s="2" t="n">
        <x:v>1410</x:v>
      </x:c>
      <x:c r="B1417" s="2" t="n">
        <x:v>57</x:v>
      </x:c>
      <x:c r="C1417" s="2" t="str">
        <x:v>염소자리</x:v>
      </x:c>
      <x:c r="D1417" s="2" t="str">
        <x:v>사수</x:v>
      </x:c>
      <x:c r="E1417" s="2" t="n">
        <x:v>5</x:v>
      </x:c>
      <x:c r="F1417" s="2" t="n">
        <x:v>2</x:v>
      </x:c>
      <x:c r="G1417" s="14" t="n">
        <x:f>('레벨 계산식'!$E$4-E1417)*'레벨 계산식'!$B$5</x:f>
        <x:v>0</x:v>
      </x:c>
      <x:c r="H1417" s="14" t="n">
        <x:f>('등급 계산식'!$E$4-F1417)*'등급 계산식'!$B$5</x:f>
        <x:v>0.18000000000000005</x:v>
      </x:c>
      <x:c r="I1417" s="14" t="n">
        <x:f>1-G1417-H1417</x:f>
        <x:v>0.82</x:v>
      </x:c>
      <x:c r="J1417" s="2" t="n">
        <x:f>MAX(1,ROUND('기준스탯 72종'!D64-R1417-Z1417,0))</x:f>
        <x:v>6</x:v>
      </x:c>
      <x:c r="K1417" s="2" t="n">
        <x:f>MAX(1,ROUND('기준스탯 72종'!E64-S1417-AA1417,0))</x:f>
        <x:v>7</x:v>
      </x:c>
      <x:c r="L1417" s="2" t="n">
        <x:f>MAX(1,ROUND('기준스탯 72종'!F64-T1417-AB1417,0))</x:f>
        <x:v>7</x:v>
      </x:c>
      <x:c r="M1417" s="2" t="n">
        <x:f>MAX(1,ROUND('기준스탯 72종'!G64-U1417-AC1417,0))</x:f>
        <x:v>6</x:v>
      </x:c>
      <x:c r="N1417" s="2" t="n">
        <x:f>MAX(0,ROUND('기준스탯 72종'!H64-V1417-AD1417,0))</x:f>
        <x:v>2</x:v>
      </x:c>
      <x:c r="O1417" s="2" t="n">
        <x:f>MAX(0,ROUND('기준스탯 72종'!I64-W1417-AE1417,0))</x:f>
        <x:v>4</x:v>
      </x:c>
      <x:c r="P1417" s="2" t="n">
        <x:f>MAX(0,ROUND('기준스탯 72종'!J64-X1417-AF1417,0))</x:f>
        <x:v>2</x:v>
      </x:c>
      <x:c r="Q1417" s="2" t="n">
        <x:f>MAX(0,ROUND('기준스탯 72종'!K64-Y1417-AG1417,0))</x:f>
        <x:v>4</x:v>
      </x:c>
      <x:c r="R1417" s="15" t="n">
        <x:f>'기준스탯 72종'!D64*G1417</x:f>
        <x:v>0</x:v>
      </x:c>
      <x:c r="S1417" s="15" t="n">
        <x:f>'기준스탯 72종'!E64*G1417</x:f>
        <x:v>0</x:v>
      </x:c>
      <x:c r="T1417" s="15" t="n">
        <x:f>'기준스탯 72종'!F64*G1417</x:f>
        <x:v>0</x:v>
      </x:c>
      <x:c r="U1417" s="15" t="n">
        <x:f>'기준스탯 72종'!G64*G1417</x:f>
        <x:v>0</x:v>
      </x:c>
      <x:c r="V1417" s="15" t="n">
        <x:f>'기준스탯 72종'!H64*G1417</x:f>
        <x:v>0</x:v>
      </x:c>
      <x:c r="W1417" s="15" t="n">
        <x:f>'기준스탯 72종'!I64*G1417</x:f>
        <x:v>0</x:v>
      </x:c>
      <x:c r="X1417" s="15" t="n">
        <x:f>'기준스탯 72종'!J64*G1417</x:f>
        <x:v>0</x:v>
      </x:c>
      <x:c r="Y1417" s="15" t="n">
        <x:f>'기준스탯 72종'!K64*G1417</x:f>
        <x:v>0</x:v>
      </x:c>
      <x:c r="Z1417" s="15" t="n">
        <x:f>'기준스탯 72종'!D64*H1417</x:f>
        <x:v>1.2600000000000002</x:v>
      </x:c>
      <x:c r="AA1417" s="15" t="n">
        <x:f>'기준스탯 72종'!E64*H1417</x:f>
        <x:v>1.4400000000000004</x:v>
      </x:c>
      <x:c r="AB1417" s="15" t="n">
        <x:f>'기준스탯 72종'!F64*H1417</x:f>
        <x:v>1.4400000000000004</x:v>
      </x:c>
      <x:c r="AC1417" s="15" t="n">
        <x:f>'기준스탯 72종'!G64*H1417</x:f>
        <x:v>1.2600000000000002</x:v>
      </x:c>
      <x:c r="AD1417" s="15" t="n">
        <x:f>'기준스탯 72종'!H64*H1417</x:f>
        <x:v>0.5400000000000001</x:v>
      </x:c>
      <x:c r="AE1417" s="15" t="n">
        <x:f>'기준스탯 72종'!I64*H1417</x:f>
        <x:v>0.9000000000000002</x:v>
      </x:c>
      <x:c r="AF1417" s="15" t="n">
        <x:f>'기준스탯 72종'!J64*H1417</x:f>
        <x:v>0.5400000000000001</x:v>
      </x:c>
      <x:c r="AG1417" s="15" t="n">
        <x:f>'기준스탯 72종'!K64*H1417</x:f>
        <x:v>0.9000000000000002</x:v>
      </x:c>
    </x:row>
    <x:row r="1418" ht="28" customHeight="1">
      <x:c r="A1418" s="2" t="n">
        <x:v>1411</x:v>
      </x:c>
      <x:c r="B1418" s="2" t="n">
        <x:v>57</x:v>
      </x:c>
      <x:c r="C1418" s="2" t="str">
        <x:v>염소자리</x:v>
      </x:c>
      <x:c r="D1418" s="2" t="str">
        <x:v>사수</x:v>
      </x:c>
      <x:c r="E1418" s="2" t="n">
        <x:v>1</x:v>
      </x:c>
      <x:c r="F1418" s="2" t="n">
        <x:v>3</x:v>
      </x:c>
      <x:c r="G1418" s="14" t="n">
        <x:f>('레벨 계산식'!$E$4-E1418)*'레벨 계산식'!$B$5</x:f>
        <x:v>0.5599999999999999</x:v>
      </x:c>
      <x:c r="H1418" s="14" t="n">
        <x:f>('등급 계산식'!$E$4-F1418)*'등급 계산식'!$B$5</x:f>
        <x:v>0.12000000000000002</x:v>
      </x:c>
      <x:c r="I1418" s="14" t="n">
        <x:f>1-G1418-H1418</x:f>
        <x:v>0.32000000000000006</x:v>
      </x:c>
      <x:c r="J1418" s="2" t="n">
        <x:f>MAX(1,ROUND('기준스탯 72종'!D64-R1418-Z1418,0))</x:f>
        <x:v>2</x:v>
      </x:c>
      <x:c r="K1418" s="2" t="n">
        <x:f>MAX(1,ROUND('기준스탯 72종'!E64-S1418-AA1418,0))</x:f>
        <x:v>3</x:v>
      </x:c>
      <x:c r="L1418" s="2" t="n">
        <x:f>MAX(1,ROUND('기준스탯 72종'!F64-T1418-AB1418,0))</x:f>
        <x:v>3</x:v>
      </x:c>
      <x:c r="M1418" s="2" t="n">
        <x:f>MAX(1,ROUND('기준스탯 72종'!G64-U1418-AC1418,0))</x:f>
        <x:v>2</x:v>
      </x:c>
      <x:c r="N1418" s="2" t="n">
        <x:f>MAX(0,ROUND('기준스탯 72종'!H64-V1418-AD1418,0))</x:f>
        <x:v>1</x:v>
      </x:c>
      <x:c r="O1418" s="2" t="n">
        <x:f>MAX(0,ROUND('기준스탯 72종'!I64-W1418-AE1418,0))</x:f>
        <x:v>2</x:v>
      </x:c>
      <x:c r="P1418" s="2" t="n">
        <x:f>MAX(0,ROUND('기준스탯 72종'!J64-X1418-AF1418,0))</x:f>
        <x:v>1</x:v>
      </x:c>
      <x:c r="Q1418" s="2" t="n">
        <x:f>MAX(0,ROUND('기준스탯 72종'!K64-Y1418-AG1418,0))</x:f>
        <x:v>2</x:v>
      </x:c>
      <x:c r="R1418" s="15" t="n">
        <x:f>'기준스탯 72종'!D64*G1418</x:f>
        <x:v>3.9199999999999995</x:v>
      </x:c>
      <x:c r="S1418" s="15" t="n">
        <x:f>'기준스탯 72종'!E64*G1418</x:f>
        <x:v>4.4799999999999995</x:v>
      </x:c>
      <x:c r="T1418" s="15" t="n">
        <x:f>'기준스탯 72종'!F64*G1418</x:f>
        <x:v>4.4799999999999995</x:v>
      </x:c>
      <x:c r="U1418" s="15" t="n">
        <x:f>'기준스탯 72종'!G64*G1418</x:f>
        <x:v>3.9199999999999995</x:v>
      </x:c>
      <x:c r="V1418" s="15" t="n">
        <x:f>'기준스탯 72종'!H64*G1418</x:f>
        <x:v>1.6799999999999997</x:v>
      </x:c>
      <x:c r="W1418" s="15" t="n">
        <x:f>'기준스탯 72종'!I64*G1418</x:f>
        <x:v>2.8</x:v>
      </x:c>
      <x:c r="X1418" s="15" t="n">
        <x:f>'기준스탯 72종'!J64*G1418</x:f>
        <x:v>1.6799999999999997</x:v>
      </x:c>
      <x:c r="Y1418" s="15" t="n">
        <x:f>'기준스탯 72종'!K64*G1418</x:f>
        <x:v>2.8</x:v>
      </x:c>
      <x:c r="Z1418" s="15" t="n">
        <x:f>'기준스탯 72종'!D64*H1418</x:f>
        <x:v>0.8400000000000002</x:v>
      </x:c>
      <x:c r="AA1418" s="15" t="n">
        <x:f>'기준스탯 72종'!E64*H1418</x:f>
        <x:v>0.9600000000000002</x:v>
      </x:c>
      <x:c r="AB1418" s="15" t="n">
        <x:f>'기준스탯 72종'!F64*H1418</x:f>
        <x:v>0.9600000000000002</x:v>
      </x:c>
      <x:c r="AC1418" s="15" t="n">
        <x:f>'기준스탯 72종'!G64*H1418</x:f>
        <x:v>0.8400000000000002</x:v>
      </x:c>
      <x:c r="AD1418" s="15" t="n">
        <x:f>'기준스탯 72종'!H64*H1418</x:f>
        <x:v>0.3600000000000001</x:v>
      </x:c>
      <x:c r="AE1418" s="15" t="n">
        <x:f>'기준스탯 72종'!I64*H1418</x:f>
        <x:v>0.6000000000000001</x:v>
      </x:c>
      <x:c r="AF1418" s="15" t="n">
        <x:f>'기준스탯 72종'!J64*H1418</x:f>
        <x:v>0.3600000000000001</x:v>
      </x:c>
      <x:c r="AG1418" s="15" t="n">
        <x:f>'기준스탯 72종'!K64*H1418</x:f>
        <x:v>0.6000000000000001</x:v>
      </x:c>
    </x:row>
    <x:row r="1419" ht="28" customHeight="1">
      <x:c r="A1419" s="2" t="n">
        <x:v>1412</x:v>
      </x:c>
      <x:c r="B1419" s="2" t="n">
        <x:v>57</x:v>
      </x:c>
      <x:c r="C1419" s="2" t="str">
        <x:v>염소자리</x:v>
      </x:c>
      <x:c r="D1419" s="2" t="str">
        <x:v>사수</x:v>
      </x:c>
      <x:c r="E1419" s="2" t="n">
        <x:v>2</x:v>
      </x:c>
      <x:c r="F1419" s="2" t="n">
        <x:v>3</x:v>
      </x:c>
      <x:c r="G1419" s="14" t="n">
        <x:f>('레벨 계산식'!$E$4-E1419)*'레벨 계산식'!$B$5</x:f>
        <x:v>0.41999999999999993</x:v>
      </x:c>
      <x:c r="H1419" s="14" t="n">
        <x:f>('등급 계산식'!$E$4-F1419)*'등급 계산식'!$B$5</x:f>
        <x:v>0.12000000000000002</x:v>
      </x:c>
      <x:c r="I1419" s="14" t="n">
        <x:f>1-G1419-H1419</x:f>
        <x:v>0.4600000000000001</x:v>
      </x:c>
      <x:c r="J1419" s="2" t="n">
        <x:f>MAX(1,ROUND('기준스탯 72종'!D64-R1419-Z1419,0))</x:f>
        <x:v>3</x:v>
      </x:c>
      <x:c r="K1419" s="2" t="n">
        <x:f>MAX(1,ROUND('기준스탯 72종'!E64-S1419-AA1419,0))</x:f>
        <x:v>4</x:v>
      </x:c>
      <x:c r="L1419" s="2" t="n">
        <x:f>MAX(1,ROUND('기준스탯 72종'!F64-T1419-AB1419,0))</x:f>
        <x:v>4</x:v>
      </x:c>
      <x:c r="M1419" s="2" t="n">
        <x:f>MAX(1,ROUND('기준스탯 72종'!G64-U1419-AC1419,0))</x:f>
        <x:v>3</x:v>
      </x:c>
      <x:c r="N1419" s="2" t="n">
        <x:f>MAX(0,ROUND('기준스탯 72종'!H64-V1419-AD1419,0))</x:f>
        <x:v>1</x:v>
      </x:c>
      <x:c r="O1419" s="2" t="n">
        <x:f>MAX(0,ROUND('기준스탯 72종'!I64-W1419-AE1419,0))</x:f>
        <x:v>2</x:v>
      </x:c>
      <x:c r="P1419" s="2" t="n">
        <x:f>MAX(0,ROUND('기준스탯 72종'!J64-X1419-AF1419,0))</x:f>
        <x:v>1</x:v>
      </x:c>
      <x:c r="Q1419" s="2" t="n">
        <x:f>MAX(0,ROUND('기준스탯 72종'!K64-Y1419-AG1419,0))</x:f>
        <x:v>2</x:v>
      </x:c>
      <x:c r="R1419" s="15" t="n">
        <x:f>'기준스탯 72종'!D64*G1419</x:f>
        <x:v>2.9399999999999995</x:v>
      </x:c>
      <x:c r="S1419" s="15" t="n">
        <x:f>'기준스탯 72종'!E64*G1419</x:f>
        <x:v>3.3599999999999994</x:v>
      </x:c>
      <x:c r="T1419" s="15" t="n">
        <x:f>'기준스탯 72종'!F64*G1419</x:f>
        <x:v>3.3599999999999994</x:v>
      </x:c>
      <x:c r="U1419" s="15" t="n">
        <x:f>'기준스탯 72종'!G64*G1419</x:f>
        <x:v>2.9399999999999995</x:v>
      </x:c>
      <x:c r="V1419" s="15" t="n">
        <x:f>'기준스탯 72종'!H64*G1419</x:f>
        <x:v>1.2599999999999998</x:v>
      </x:c>
      <x:c r="W1419" s="15" t="n">
        <x:f>'기준스탯 72종'!I64*G1419</x:f>
        <x:v>2.0999999999999996</x:v>
      </x:c>
      <x:c r="X1419" s="15" t="n">
        <x:f>'기준스탯 72종'!J64*G1419</x:f>
        <x:v>1.2599999999999998</x:v>
      </x:c>
      <x:c r="Y1419" s="15" t="n">
        <x:f>'기준스탯 72종'!K64*G1419</x:f>
        <x:v>2.0999999999999996</x:v>
      </x:c>
      <x:c r="Z1419" s="15" t="n">
        <x:f>'기준스탯 72종'!D64*H1419</x:f>
        <x:v>0.8400000000000002</x:v>
      </x:c>
      <x:c r="AA1419" s="15" t="n">
        <x:f>'기준스탯 72종'!E64*H1419</x:f>
        <x:v>0.9600000000000002</x:v>
      </x:c>
      <x:c r="AB1419" s="15" t="n">
        <x:f>'기준스탯 72종'!F64*H1419</x:f>
        <x:v>0.9600000000000002</x:v>
      </x:c>
      <x:c r="AC1419" s="15" t="n">
        <x:f>'기준스탯 72종'!G64*H1419</x:f>
        <x:v>0.8400000000000002</x:v>
      </x:c>
      <x:c r="AD1419" s="15" t="n">
        <x:f>'기준스탯 72종'!H64*H1419</x:f>
        <x:v>0.3600000000000001</x:v>
      </x:c>
      <x:c r="AE1419" s="15" t="n">
        <x:f>'기준스탯 72종'!I64*H1419</x:f>
        <x:v>0.6000000000000001</x:v>
      </x:c>
      <x:c r="AF1419" s="15" t="n">
        <x:f>'기준스탯 72종'!J64*H1419</x:f>
        <x:v>0.3600000000000001</x:v>
      </x:c>
      <x:c r="AG1419" s="15" t="n">
        <x:f>'기준스탯 72종'!K64*H1419</x:f>
        <x:v>0.6000000000000001</x:v>
      </x:c>
    </x:row>
    <x:row r="1420" ht="28" customHeight="1">
      <x:c r="A1420" s="2" t="n">
        <x:v>1413</x:v>
      </x:c>
      <x:c r="B1420" s="2" t="n">
        <x:v>57</x:v>
      </x:c>
      <x:c r="C1420" s="2" t="str">
        <x:v>염소자리</x:v>
      </x:c>
      <x:c r="D1420" s="2" t="str">
        <x:v>사수</x:v>
      </x:c>
      <x:c r="E1420" s="2" t="n">
        <x:v>3</x:v>
      </x:c>
      <x:c r="F1420" s="2" t="n">
        <x:v>3</x:v>
      </x:c>
      <x:c r="G1420" s="14" t="n">
        <x:f>('레벨 계산식'!$E$4-E1420)*'레벨 계산식'!$B$5</x:f>
        <x:v>0.27999999999999997</x:v>
      </x:c>
      <x:c r="H1420" s="14" t="n">
        <x:f>('등급 계산식'!$E$4-F1420)*'등급 계산식'!$B$5</x:f>
        <x:v>0.12000000000000002</x:v>
      </x:c>
      <x:c r="I1420" s="14" t="n">
        <x:f>1-G1420-H1420</x:f>
        <x:v>0.6</x:v>
      </x:c>
      <x:c r="J1420" s="2" t="n">
        <x:f>MAX(1,ROUND('기준스탯 72종'!D64-R1420-Z1420,0))</x:f>
        <x:v>4</x:v>
      </x:c>
      <x:c r="K1420" s="2" t="n">
        <x:f>MAX(1,ROUND('기준스탯 72종'!E64-S1420-AA1420,0))</x:f>
        <x:v>5</x:v>
      </x:c>
      <x:c r="L1420" s="2" t="n">
        <x:f>MAX(1,ROUND('기준스탯 72종'!F64-T1420-AB1420,0))</x:f>
        <x:v>5</x:v>
      </x:c>
      <x:c r="M1420" s="2" t="n">
        <x:f>MAX(1,ROUND('기준스탯 72종'!G64-U1420-AC1420,0))</x:f>
        <x:v>4</x:v>
      </x:c>
      <x:c r="N1420" s="2" t="n">
        <x:f>MAX(0,ROUND('기준스탯 72종'!H64-V1420-AD1420,0))</x:f>
        <x:v>2</x:v>
      </x:c>
      <x:c r="O1420" s="2" t="n">
        <x:f>MAX(0,ROUND('기준스탯 72종'!I64-W1420-AE1420,0))</x:f>
        <x:v>3</x:v>
      </x:c>
      <x:c r="P1420" s="2" t="n">
        <x:f>MAX(0,ROUND('기준스탯 72종'!J64-X1420-AF1420,0))</x:f>
        <x:v>2</x:v>
      </x:c>
      <x:c r="Q1420" s="2" t="n">
        <x:f>MAX(0,ROUND('기준스탯 72종'!K64-Y1420-AG1420,0))</x:f>
        <x:v>3</x:v>
      </x:c>
      <x:c r="R1420" s="15" t="n">
        <x:f>'기준스탯 72종'!D64*G1420</x:f>
        <x:v>1.9599999999999997</x:v>
      </x:c>
      <x:c r="S1420" s="15" t="n">
        <x:f>'기준스탯 72종'!E64*G1420</x:f>
        <x:v>2.2399999999999998</x:v>
      </x:c>
      <x:c r="T1420" s="15" t="n">
        <x:f>'기준스탯 72종'!F64*G1420</x:f>
        <x:v>2.2399999999999998</x:v>
      </x:c>
      <x:c r="U1420" s="15" t="n">
        <x:f>'기준스탯 72종'!G64*G1420</x:f>
        <x:v>1.9599999999999997</x:v>
      </x:c>
      <x:c r="V1420" s="15" t="n">
        <x:f>'기준스탯 72종'!H64*G1420</x:f>
        <x:v>0.8399999999999999</x:v>
      </x:c>
      <x:c r="W1420" s="15" t="n">
        <x:f>'기준스탯 72종'!I64*G1420</x:f>
        <x:v>1.4</x:v>
      </x:c>
      <x:c r="X1420" s="15" t="n">
        <x:f>'기준스탯 72종'!J64*G1420</x:f>
        <x:v>0.8399999999999999</x:v>
      </x:c>
      <x:c r="Y1420" s="15" t="n">
        <x:f>'기준스탯 72종'!K64*G1420</x:f>
        <x:v>1.4</x:v>
      </x:c>
      <x:c r="Z1420" s="15" t="n">
        <x:f>'기준스탯 72종'!D64*H1420</x:f>
        <x:v>0.8400000000000002</x:v>
      </x:c>
      <x:c r="AA1420" s="15" t="n">
        <x:f>'기준스탯 72종'!E64*H1420</x:f>
        <x:v>0.9600000000000002</x:v>
      </x:c>
      <x:c r="AB1420" s="15" t="n">
        <x:f>'기준스탯 72종'!F64*H1420</x:f>
        <x:v>0.9600000000000002</x:v>
      </x:c>
      <x:c r="AC1420" s="15" t="n">
        <x:f>'기준스탯 72종'!G64*H1420</x:f>
        <x:v>0.8400000000000002</x:v>
      </x:c>
      <x:c r="AD1420" s="15" t="n">
        <x:f>'기준스탯 72종'!H64*H1420</x:f>
        <x:v>0.3600000000000001</x:v>
      </x:c>
      <x:c r="AE1420" s="15" t="n">
        <x:f>'기준스탯 72종'!I64*H1420</x:f>
        <x:v>0.6000000000000001</x:v>
      </x:c>
      <x:c r="AF1420" s="15" t="n">
        <x:f>'기준스탯 72종'!J64*H1420</x:f>
        <x:v>0.3600000000000001</x:v>
      </x:c>
      <x:c r="AG1420" s="15" t="n">
        <x:f>'기준스탯 72종'!K64*H1420</x:f>
        <x:v>0.6000000000000001</x:v>
      </x:c>
    </x:row>
    <x:row r="1421" ht="28" customHeight="1">
      <x:c r="A1421" s="2" t="n">
        <x:v>1414</x:v>
      </x:c>
      <x:c r="B1421" s="2" t="n">
        <x:v>57</x:v>
      </x:c>
      <x:c r="C1421" s="2" t="str">
        <x:v>염소자리</x:v>
      </x:c>
      <x:c r="D1421" s="2" t="str">
        <x:v>사수</x:v>
      </x:c>
      <x:c r="E1421" s="2" t="n">
        <x:v>4</x:v>
      </x:c>
      <x:c r="F1421" s="2" t="n">
        <x:v>3</x:v>
      </x:c>
      <x:c r="G1421" s="14" t="n">
        <x:f>('레벨 계산식'!$E$4-E1421)*'레벨 계산식'!$B$5</x:f>
        <x:v>0.13999999999999999</x:v>
      </x:c>
      <x:c r="H1421" s="14" t="n">
        <x:f>('등급 계산식'!$E$4-F1421)*'등급 계산식'!$B$5</x:f>
        <x:v>0.12000000000000002</x:v>
      </x:c>
      <x:c r="I1421" s="14" t="n">
        <x:f>1-G1421-H1421</x:f>
        <x:v>0.74</x:v>
      </x:c>
      <x:c r="J1421" s="2" t="n">
        <x:f>MAX(1,ROUND('기준스탯 72종'!D64-R1421-Z1421,0))</x:f>
        <x:v>5</x:v>
      </x:c>
      <x:c r="K1421" s="2" t="n">
        <x:f>MAX(1,ROUND('기준스탯 72종'!E64-S1421-AA1421,0))</x:f>
        <x:v>6</x:v>
      </x:c>
      <x:c r="L1421" s="2" t="n">
        <x:f>MAX(1,ROUND('기준스탯 72종'!F64-T1421-AB1421,0))</x:f>
        <x:v>6</x:v>
      </x:c>
      <x:c r="M1421" s="2" t="n">
        <x:f>MAX(1,ROUND('기준스탯 72종'!G64-U1421-AC1421,0))</x:f>
        <x:v>5</x:v>
      </x:c>
      <x:c r="N1421" s="2" t="n">
        <x:f>MAX(0,ROUND('기준스탯 72종'!H64-V1421-AD1421,0))</x:f>
        <x:v>2</x:v>
      </x:c>
      <x:c r="O1421" s="2" t="n">
        <x:f>MAX(0,ROUND('기준스탯 72종'!I64-W1421-AE1421,0))</x:f>
        <x:v>4</x:v>
      </x:c>
      <x:c r="P1421" s="2" t="n">
        <x:f>MAX(0,ROUND('기준스탯 72종'!J64-X1421-AF1421,0))</x:f>
        <x:v>2</x:v>
      </x:c>
      <x:c r="Q1421" s="2" t="n">
        <x:f>MAX(0,ROUND('기준스탯 72종'!K64-Y1421-AG1421,0))</x:f>
        <x:v>4</x:v>
      </x:c>
      <x:c r="R1421" s="15" t="n">
        <x:f>'기준스탯 72종'!D64*G1421</x:f>
        <x:v>0.9799999999999999</x:v>
      </x:c>
      <x:c r="S1421" s="15" t="n">
        <x:f>'기준스탯 72종'!E64*G1421</x:f>
        <x:v>1.1199999999999999</x:v>
      </x:c>
      <x:c r="T1421" s="15" t="n">
        <x:f>'기준스탯 72종'!F64*G1421</x:f>
        <x:v>1.1199999999999999</x:v>
      </x:c>
      <x:c r="U1421" s="15" t="n">
        <x:f>'기준스탯 72종'!G64*G1421</x:f>
        <x:v>0.9799999999999999</x:v>
      </x:c>
      <x:c r="V1421" s="15" t="n">
        <x:f>'기준스탯 72종'!H64*G1421</x:f>
        <x:v>0.41999999999999993</x:v>
      </x:c>
      <x:c r="W1421" s="15" t="n">
        <x:f>'기준스탯 72종'!I64*G1421</x:f>
        <x:v>0.7</x:v>
      </x:c>
      <x:c r="X1421" s="15" t="n">
        <x:f>'기준스탯 72종'!J64*G1421</x:f>
        <x:v>0.41999999999999993</x:v>
      </x:c>
      <x:c r="Y1421" s="15" t="n">
        <x:f>'기준스탯 72종'!K64*G1421</x:f>
        <x:v>0.7</x:v>
      </x:c>
      <x:c r="Z1421" s="15" t="n">
        <x:f>'기준스탯 72종'!D64*H1421</x:f>
        <x:v>0.8400000000000002</x:v>
      </x:c>
      <x:c r="AA1421" s="15" t="n">
        <x:f>'기준스탯 72종'!E64*H1421</x:f>
        <x:v>0.9600000000000002</x:v>
      </x:c>
      <x:c r="AB1421" s="15" t="n">
        <x:f>'기준스탯 72종'!F64*H1421</x:f>
        <x:v>0.9600000000000002</x:v>
      </x:c>
      <x:c r="AC1421" s="15" t="n">
        <x:f>'기준스탯 72종'!G64*H1421</x:f>
        <x:v>0.8400000000000002</x:v>
      </x:c>
      <x:c r="AD1421" s="15" t="n">
        <x:f>'기준스탯 72종'!H64*H1421</x:f>
        <x:v>0.3600000000000001</x:v>
      </x:c>
      <x:c r="AE1421" s="15" t="n">
        <x:f>'기준스탯 72종'!I64*H1421</x:f>
        <x:v>0.6000000000000001</x:v>
      </x:c>
      <x:c r="AF1421" s="15" t="n">
        <x:f>'기준스탯 72종'!J64*H1421</x:f>
        <x:v>0.3600000000000001</x:v>
      </x:c>
      <x:c r="AG1421" s="15" t="n">
        <x:f>'기준스탯 72종'!K64*H1421</x:f>
        <x:v>0.6000000000000001</x:v>
      </x:c>
    </x:row>
    <x:row r="1422" ht="28" customHeight="1">
      <x:c r="A1422" s="2" t="n">
        <x:v>1415</x:v>
      </x:c>
      <x:c r="B1422" s="2" t="n">
        <x:v>57</x:v>
      </x:c>
      <x:c r="C1422" s="2" t="str">
        <x:v>염소자리</x:v>
      </x:c>
      <x:c r="D1422" s="2" t="str">
        <x:v>사수</x:v>
      </x:c>
      <x:c r="E1422" s="2" t="n">
        <x:v>5</x:v>
      </x:c>
      <x:c r="F1422" s="2" t="n">
        <x:v>3</x:v>
      </x:c>
      <x:c r="G1422" s="14" t="n">
        <x:f>('레벨 계산식'!$E$4-E1422)*'레벨 계산식'!$B$5</x:f>
        <x:v>0</x:v>
      </x:c>
      <x:c r="H1422" s="14" t="n">
        <x:f>('등급 계산식'!$E$4-F1422)*'등급 계산식'!$B$5</x:f>
        <x:v>0.12000000000000002</x:v>
      </x:c>
      <x:c r="I1422" s="14" t="n">
        <x:f>1-G1422-H1422</x:f>
        <x:v>0.88</x:v>
      </x:c>
      <x:c r="J1422" s="2" t="n">
        <x:f>MAX(1,ROUND('기준스탯 72종'!D64-R1422-Z1422,0))</x:f>
        <x:v>6</x:v>
      </x:c>
      <x:c r="K1422" s="2" t="n">
        <x:f>MAX(1,ROUND('기준스탯 72종'!E64-S1422-AA1422,0))</x:f>
        <x:v>7</x:v>
      </x:c>
      <x:c r="L1422" s="2" t="n">
        <x:f>MAX(1,ROUND('기준스탯 72종'!F64-T1422-AB1422,0))</x:f>
        <x:v>7</x:v>
      </x:c>
      <x:c r="M1422" s="2" t="n">
        <x:f>MAX(1,ROUND('기준스탯 72종'!G64-U1422-AC1422,0))</x:f>
        <x:v>6</x:v>
      </x:c>
      <x:c r="N1422" s="2" t="n">
        <x:f>MAX(0,ROUND('기준스탯 72종'!H64-V1422-AD1422,0))</x:f>
        <x:v>3</x:v>
      </x:c>
      <x:c r="O1422" s="2" t="n">
        <x:f>MAX(0,ROUND('기준스탯 72종'!I64-W1422-AE1422,0))</x:f>
        <x:v>4</x:v>
      </x:c>
      <x:c r="P1422" s="2" t="n">
        <x:f>MAX(0,ROUND('기준스탯 72종'!J64-X1422-AF1422,0))</x:f>
        <x:v>3</x:v>
      </x:c>
      <x:c r="Q1422" s="2" t="n">
        <x:f>MAX(0,ROUND('기준스탯 72종'!K64-Y1422-AG1422,0))</x:f>
        <x:v>4</x:v>
      </x:c>
      <x:c r="R1422" s="15" t="n">
        <x:f>'기준스탯 72종'!D64*G1422</x:f>
        <x:v>0</x:v>
      </x:c>
      <x:c r="S1422" s="15" t="n">
        <x:f>'기준스탯 72종'!E64*G1422</x:f>
        <x:v>0</x:v>
      </x:c>
      <x:c r="T1422" s="15" t="n">
        <x:f>'기준스탯 72종'!F64*G1422</x:f>
        <x:v>0</x:v>
      </x:c>
      <x:c r="U1422" s="15" t="n">
        <x:f>'기준스탯 72종'!G64*G1422</x:f>
        <x:v>0</x:v>
      </x:c>
      <x:c r="V1422" s="15" t="n">
        <x:f>'기준스탯 72종'!H64*G1422</x:f>
        <x:v>0</x:v>
      </x:c>
      <x:c r="W1422" s="15" t="n">
        <x:f>'기준스탯 72종'!I64*G1422</x:f>
        <x:v>0</x:v>
      </x:c>
      <x:c r="X1422" s="15" t="n">
        <x:f>'기준스탯 72종'!J64*G1422</x:f>
        <x:v>0</x:v>
      </x:c>
      <x:c r="Y1422" s="15" t="n">
        <x:f>'기준스탯 72종'!K64*G1422</x:f>
        <x:v>0</x:v>
      </x:c>
      <x:c r="Z1422" s="15" t="n">
        <x:f>'기준스탯 72종'!D64*H1422</x:f>
        <x:v>0.8400000000000002</x:v>
      </x:c>
      <x:c r="AA1422" s="15" t="n">
        <x:f>'기준스탯 72종'!E64*H1422</x:f>
        <x:v>0.9600000000000002</x:v>
      </x:c>
      <x:c r="AB1422" s="15" t="n">
        <x:f>'기준스탯 72종'!F64*H1422</x:f>
        <x:v>0.9600000000000002</x:v>
      </x:c>
      <x:c r="AC1422" s="15" t="n">
        <x:f>'기준스탯 72종'!G64*H1422</x:f>
        <x:v>0.8400000000000002</x:v>
      </x:c>
      <x:c r="AD1422" s="15" t="n">
        <x:f>'기준스탯 72종'!H64*H1422</x:f>
        <x:v>0.3600000000000001</x:v>
      </x:c>
      <x:c r="AE1422" s="15" t="n">
        <x:f>'기준스탯 72종'!I64*H1422</x:f>
        <x:v>0.6000000000000001</x:v>
      </x:c>
      <x:c r="AF1422" s="15" t="n">
        <x:f>'기준스탯 72종'!J64*H1422</x:f>
        <x:v>0.3600000000000001</x:v>
      </x:c>
      <x:c r="AG1422" s="15" t="n">
        <x:f>'기준스탯 72종'!K64*H1422</x:f>
        <x:v>0.6000000000000001</x:v>
      </x:c>
    </x:row>
    <x:row r="1423" ht="28" customHeight="1">
      <x:c r="A1423" s="2" t="n">
        <x:v>1416</x:v>
      </x:c>
      <x:c r="B1423" s="2" t="n">
        <x:v>57</x:v>
      </x:c>
      <x:c r="C1423" s="2" t="str">
        <x:v>염소자리</x:v>
      </x:c>
      <x:c r="D1423" s="2" t="str">
        <x:v>사수</x:v>
      </x:c>
      <x:c r="E1423" s="2" t="n">
        <x:v>1</x:v>
      </x:c>
      <x:c r="F1423" s="2" t="n">
        <x:v>4</x:v>
      </x:c>
      <x:c r="G1423" s="14" t="n">
        <x:f>('레벨 계산식'!$E$4-E1423)*'레벨 계산식'!$B$5</x:f>
        <x:v>0.5599999999999999</x:v>
      </x:c>
      <x:c r="H1423" s="14" t="n">
        <x:f>('등급 계산식'!$E$4-F1423)*'등급 계산식'!$B$5</x:f>
        <x:v>0.06000000000000001</x:v>
      </x:c>
      <x:c r="I1423" s="14" t="n">
        <x:f>1-G1423-H1423</x:f>
        <x:v>0.38000000000000006</x:v>
      </x:c>
      <x:c r="J1423" s="2" t="n">
        <x:f>MAX(1,ROUND('기준스탯 72종'!D64-R1423-Z1423,0))</x:f>
        <x:v>3</x:v>
      </x:c>
      <x:c r="K1423" s="2" t="n">
        <x:f>MAX(1,ROUND('기준스탯 72종'!E64-S1423-AA1423,0))</x:f>
        <x:v>3</x:v>
      </x:c>
      <x:c r="L1423" s="2" t="n">
        <x:f>MAX(1,ROUND('기준스탯 72종'!F64-T1423-AB1423,0))</x:f>
        <x:v>3</x:v>
      </x:c>
      <x:c r="M1423" s="2" t="n">
        <x:f>MAX(1,ROUND('기준스탯 72종'!G64-U1423-AC1423,0))</x:f>
        <x:v>3</x:v>
      </x:c>
      <x:c r="N1423" s="2" t="n">
        <x:f>MAX(0,ROUND('기준스탯 72종'!H64-V1423-AD1423,0))</x:f>
        <x:v>1</x:v>
      </x:c>
      <x:c r="O1423" s="2" t="n">
        <x:f>MAX(0,ROUND('기준스탯 72종'!I64-W1423-AE1423,0))</x:f>
        <x:v>2</x:v>
      </x:c>
      <x:c r="P1423" s="2" t="n">
        <x:f>MAX(0,ROUND('기준스탯 72종'!J64-X1423-AF1423,0))</x:f>
        <x:v>1</x:v>
      </x:c>
      <x:c r="Q1423" s="2" t="n">
        <x:f>MAX(0,ROUND('기준스탯 72종'!K64-Y1423-AG1423,0))</x:f>
        <x:v>2</x:v>
      </x:c>
      <x:c r="R1423" s="15" t="n">
        <x:f>'기준스탯 72종'!D64*G1423</x:f>
        <x:v>3.9199999999999995</x:v>
      </x:c>
      <x:c r="S1423" s="15" t="n">
        <x:f>'기준스탯 72종'!E64*G1423</x:f>
        <x:v>4.4799999999999995</x:v>
      </x:c>
      <x:c r="T1423" s="15" t="n">
        <x:f>'기준스탯 72종'!F64*G1423</x:f>
        <x:v>4.4799999999999995</x:v>
      </x:c>
      <x:c r="U1423" s="15" t="n">
        <x:f>'기준스탯 72종'!G64*G1423</x:f>
        <x:v>3.9199999999999995</x:v>
      </x:c>
      <x:c r="V1423" s="15" t="n">
        <x:f>'기준스탯 72종'!H64*G1423</x:f>
        <x:v>1.6799999999999997</x:v>
      </x:c>
      <x:c r="W1423" s="15" t="n">
        <x:f>'기준스탯 72종'!I64*G1423</x:f>
        <x:v>2.8</x:v>
      </x:c>
      <x:c r="X1423" s="15" t="n">
        <x:f>'기준스탯 72종'!J64*G1423</x:f>
        <x:v>1.6799999999999997</x:v>
      </x:c>
      <x:c r="Y1423" s="15" t="n">
        <x:f>'기준스탯 72종'!K64*G1423</x:f>
        <x:v>2.8</x:v>
      </x:c>
      <x:c r="Z1423" s="15" t="n">
        <x:f>'기준스탯 72종'!D64*H1423</x:f>
        <x:v>0.4200000000000001</x:v>
      </x:c>
      <x:c r="AA1423" s="15" t="n">
        <x:f>'기준스탯 72종'!E64*H1423</x:f>
        <x:v>0.4800000000000001</x:v>
      </x:c>
      <x:c r="AB1423" s="15" t="n">
        <x:f>'기준스탯 72종'!F64*H1423</x:f>
        <x:v>0.4800000000000001</x:v>
      </x:c>
      <x:c r="AC1423" s="15" t="n">
        <x:f>'기준스탯 72종'!G64*H1423</x:f>
        <x:v>0.4200000000000001</x:v>
      </x:c>
      <x:c r="AD1423" s="15" t="n">
        <x:f>'기준스탯 72종'!H64*H1423</x:f>
        <x:v>0.18000000000000005</x:v>
      </x:c>
      <x:c r="AE1423" s="15" t="n">
        <x:f>'기준스탯 72종'!I64*H1423</x:f>
        <x:v>0.30000000000000004</x:v>
      </x:c>
      <x:c r="AF1423" s="15" t="n">
        <x:f>'기준스탯 72종'!J64*H1423</x:f>
        <x:v>0.18000000000000005</x:v>
      </x:c>
      <x:c r="AG1423" s="15" t="n">
        <x:f>'기준스탯 72종'!K64*H1423</x:f>
        <x:v>0.30000000000000004</x:v>
      </x:c>
    </x:row>
    <x:row r="1424" ht="28" customHeight="1">
      <x:c r="A1424" s="2" t="n">
        <x:v>1417</x:v>
      </x:c>
      <x:c r="B1424" s="2" t="n">
        <x:v>57</x:v>
      </x:c>
      <x:c r="C1424" s="2" t="str">
        <x:v>염소자리</x:v>
      </x:c>
      <x:c r="D1424" s="2" t="str">
        <x:v>사수</x:v>
      </x:c>
      <x:c r="E1424" s="2" t="n">
        <x:v>2</x:v>
      </x:c>
      <x:c r="F1424" s="2" t="n">
        <x:v>4</x:v>
      </x:c>
      <x:c r="G1424" s="14" t="n">
        <x:f>('레벨 계산식'!$E$4-E1424)*'레벨 계산식'!$B$5</x:f>
        <x:v>0.41999999999999993</x:v>
      </x:c>
      <x:c r="H1424" s="14" t="n">
        <x:f>('등급 계산식'!$E$4-F1424)*'등급 계산식'!$B$5</x:f>
        <x:v>0.06000000000000001</x:v>
      </x:c>
      <x:c r="I1424" s="14" t="n">
        <x:f>1-G1424-H1424</x:f>
        <x:v>0.52</x:v>
      </x:c>
      <x:c r="J1424" s="2" t="n">
        <x:f>MAX(1,ROUND('기준스탯 72종'!D64-R1424-Z1424,0))</x:f>
        <x:v>4</x:v>
      </x:c>
      <x:c r="K1424" s="2" t="n">
        <x:f>MAX(1,ROUND('기준스탯 72종'!E64-S1424-AA1424,0))</x:f>
        <x:v>4</x:v>
      </x:c>
      <x:c r="L1424" s="2" t="n">
        <x:f>MAX(1,ROUND('기준스탯 72종'!F64-T1424-AB1424,0))</x:f>
        <x:v>4</x:v>
      </x:c>
      <x:c r="M1424" s="2" t="n">
        <x:f>MAX(1,ROUND('기준스탯 72종'!G64-U1424-AC1424,0))</x:f>
        <x:v>4</x:v>
      </x:c>
      <x:c r="N1424" s="2" t="n">
        <x:f>MAX(0,ROUND('기준스탯 72종'!H64-V1424-AD1424,0))</x:f>
        <x:v>2</x:v>
      </x:c>
      <x:c r="O1424" s="2" t="n">
        <x:f>MAX(0,ROUND('기준스탯 72종'!I64-W1424-AE1424,0))</x:f>
        <x:v>3</x:v>
      </x:c>
      <x:c r="P1424" s="2" t="n">
        <x:f>MAX(0,ROUND('기준스탯 72종'!J64-X1424-AF1424,0))</x:f>
        <x:v>2</x:v>
      </x:c>
      <x:c r="Q1424" s="2" t="n">
        <x:f>MAX(0,ROUND('기준스탯 72종'!K64-Y1424-AG1424,0))</x:f>
        <x:v>3</x:v>
      </x:c>
      <x:c r="R1424" s="15" t="n">
        <x:f>'기준스탯 72종'!D64*G1424</x:f>
        <x:v>2.9399999999999995</x:v>
      </x:c>
      <x:c r="S1424" s="15" t="n">
        <x:f>'기준스탯 72종'!E64*G1424</x:f>
        <x:v>3.3599999999999994</x:v>
      </x:c>
      <x:c r="T1424" s="15" t="n">
        <x:f>'기준스탯 72종'!F64*G1424</x:f>
        <x:v>3.3599999999999994</x:v>
      </x:c>
      <x:c r="U1424" s="15" t="n">
        <x:f>'기준스탯 72종'!G64*G1424</x:f>
        <x:v>2.9399999999999995</x:v>
      </x:c>
      <x:c r="V1424" s="15" t="n">
        <x:f>'기준스탯 72종'!H64*G1424</x:f>
        <x:v>1.2599999999999998</x:v>
      </x:c>
      <x:c r="W1424" s="15" t="n">
        <x:f>'기준스탯 72종'!I64*G1424</x:f>
        <x:v>2.0999999999999996</x:v>
      </x:c>
      <x:c r="X1424" s="15" t="n">
        <x:f>'기준스탯 72종'!J64*G1424</x:f>
        <x:v>1.2599999999999998</x:v>
      </x:c>
      <x:c r="Y1424" s="15" t="n">
        <x:f>'기준스탯 72종'!K64*G1424</x:f>
        <x:v>2.0999999999999996</x:v>
      </x:c>
      <x:c r="Z1424" s="15" t="n">
        <x:f>'기준스탯 72종'!D64*H1424</x:f>
        <x:v>0.4200000000000001</x:v>
      </x:c>
      <x:c r="AA1424" s="15" t="n">
        <x:f>'기준스탯 72종'!E64*H1424</x:f>
        <x:v>0.4800000000000001</x:v>
      </x:c>
      <x:c r="AB1424" s="15" t="n">
        <x:f>'기준스탯 72종'!F64*H1424</x:f>
        <x:v>0.4800000000000001</x:v>
      </x:c>
      <x:c r="AC1424" s="15" t="n">
        <x:f>'기준스탯 72종'!G64*H1424</x:f>
        <x:v>0.4200000000000001</x:v>
      </x:c>
      <x:c r="AD1424" s="15" t="n">
        <x:f>'기준스탯 72종'!H64*H1424</x:f>
        <x:v>0.18000000000000005</x:v>
      </x:c>
      <x:c r="AE1424" s="15" t="n">
        <x:f>'기준스탯 72종'!I64*H1424</x:f>
        <x:v>0.30000000000000004</x:v>
      </x:c>
      <x:c r="AF1424" s="15" t="n">
        <x:f>'기준스탯 72종'!J64*H1424</x:f>
        <x:v>0.18000000000000005</x:v>
      </x:c>
      <x:c r="AG1424" s="15" t="n">
        <x:f>'기준스탯 72종'!K64*H1424</x:f>
        <x:v>0.30000000000000004</x:v>
      </x:c>
    </x:row>
    <x:row r="1425" ht="28" customHeight="1">
      <x:c r="A1425" s="2" t="n">
        <x:v>1418</x:v>
      </x:c>
      <x:c r="B1425" s="2" t="n">
        <x:v>57</x:v>
      </x:c>
      <x:c r="C1425" s="2" t="str">
        <x:v>염소자리</x:v>
      </x:c>
      <x:c r="D1425" s="2" t="str">
        <x:v>사수</x:v>
      </x:c>
      <x:c r="E1425" s="2" t="n">
        <x:v>3</x:v>
      </x:c>
      <x:c r="F1425" s="2" t="n">
        <x:v>4</x:v>
      </x:c>
      <x:c r="G1425" s="14" t="n">
        <x:f>('레벨 계산식'!$E$4-E1425)*'레벨 계산식'!$B$5</x:f>
        <x:v>0.27999999999999997</x:v>
      </x:c>
      <x:c r="H1425" s="14" t="n">
        <x:f>('등급 계산식'!$E$4-F1425)*'등급 계산식'!$B$5</x:f>
        <x:v>0.06000000000000001</x:v>
      </x:c>
      <x:c r="I1425" s="14" t="n">
        <x:f>1-G1425-H1425</x:f>
        <x:v>0.6599999999999999</x:v>
      </x:c>
      <x:c r="J1425" s="2" t="n">
        <x:f>MAX(1,ROUND('기준스탯 72종'!D64-R1425-Z1425,0))</x:f>
        <x:v>5</x:v>
      </x:c>
      <x:c r="K1425" s="2" t="n">
        <x:f>MAX(1,ROUND('기준스탯 72종'!E64-S1425-AA1425,0))</x:f>
        <x:v>5</x:v>
      </x:c>
      <x:c r="L1425" s="2" t="n">
        <x:f>MAX(1,ROUND('기준스탯 72종'!F64-T1425-AB1425,0))</x:f>
        <x:v>5</x:v>
      </x:c>
      <x:c r="M1425" s="2" t="n">
        <x:f>MAX(1,ROUND('기준스탯 72종'!G64-U1425-AC1425,0))</x:f>
        <x:v>5</x:v>
      </x:c>
      <x:c r="N1425" s="2" t="n">
        <x:f>MAX(0,ROUND('기준스탯 72종'!H64-V1425-AD1425,0))</x:f>
        <x:v>2</x:v>
      </x:c>
      <x:c r="O1425" s="2" t="n">
        <x:f>MAX(0,ROUND('기준스탯 72종'!I64-W1425-AE1425,0))</x:f>
        <x:v>3</x:v>
      </x:c>
      <x:c r="P1425" s="2" t="n">
        <x:f>MAX(0,ROUND('기준스탯 72종'!J64-X1425-AF1425,0))</x:f>
        <x:v>2</x:v>
      </x:c>
      <x:c r="Q1425" s="2" t="n">
        <x:f>MAX(0,ROUND('기준스탯 72종'!K64-Y1425-AG1425,0))</x:f>
        <x:v>3</x:v>
      </x:c>
      <x:c r="R1425" s="15" t="n">
        <x:f>'기준스탯 72종'!D64*G1425</x:f>
        <x:v>1.9599999999999997</x:v>
      </x:c>
      <x:c r="S1425" s="15" t="n">
        <x:f>'기준스탯 72종'!E64*G1425</x:f>
        <x:v>2.2399999999999998</x:v>
      </x:c>
      <x:c r="T1425" s="15" t="n">
        <x:f>'기준스탯 72종'!F64*G1425</x:f>
        <x:v>2.2399999999999998</x:v>
      </x:c>
      <x:c r="U1425" s="15" t="n">
        <x:f>'기준스탯 72종'!G64*G1425</x:f>
        <x:v>1.9599999999999997</x:v>
      </x:c>
      <x:c r="V1425" s="15" t="n">
        <x:f>'기준스탯 72종'!H64*G1425</x:f>
        <x:v>0.8399999999999999</x:v>
      </x:c>
      <x:c r="W1425" s="15" t="n">
        <x:f>'기준스탯 72종'!I64*G1425</x:f>
        <x:v>1.4</x:v>
      </x:c>
      <x:c r="X1425" s="15" t="n">
        <x:f>'기준스탯 72종'!J64*G1425</x:f>
        <x:v>0.8399999999999999</x:v>
      </x:c>
      <x:c r="Y1425" s="15" t="n">
        <x:f>'기준스탯 72종'!K64*G1425</x:f>
        <x:v>1.4</x:v>
      </x:c>
      <x:c r="Z1425" s="15" t="n">
        <x:f>'기준스탯 72종'!D64*H1425</x:f>
        <x:v>0.4200000000000001</x:v>
      </x:c>
      <x:c r="AA1425" s="15" t="n">
        <x:f>'기준스탯 72종'!E64*H1425</x:f>
        <x:v>0.4800000000000001</x:v>
      </x:c>
      <x:c r="AB1425" s="15" t="n">
        <x:f>'기준스탯 72종'!F64*H1425</x:f>
        <x:v>0.4800000000000001</x:v>
      </x:c>
      <x:c r="AC1425" s="15" t="n">
        <x:f>'기준스탯 72종'!G64*H1425</x:f>
        <x:v>0.4200000000000001</x:v>
      </x:c>
      <x:c r="AD1425" s="15" t="n">
        <x:f>'기준스탯 72종'!H64*H1425</x:f>
        <x:v>0.18000000000000005</x:v>
      </x:c>
      <x:c r="AE1425" s="15" t="n">
        <x:f>'기준스탯 72종'!I64*H1425</x:f>
        <x:v>0.30000000000000004</x:v>
      </x:c>
      <x:c r="AF1425" s="15" t="n">
        <x:f>'기준스탯 72종'!J64*H1425</x:f>
        <x:v>0.18000000000000005</x:v>
      </x:c>
      <x:c r="AG1425" s="15" t="n">
        <x:f>'기준스탯 72종'!K64*H1425</x:f>
        <x:v>0.30000000000000004</x:v>
      </x:c>
    </x:row>
    <x:row r="1426" ht="28" customHeight="1">
      <x:c r="A1426" s="2" t="n">
        <x:v>1419</x:v>
      </x:c>
      <x:c r="B1426" s="2" t="n">
        <x:v>57</x:v>
      </x:c>
      <x:c r="C1426" s="2" t="str">
        <x:v>염소자리</x:v>
      </x:c>
      <x:c r="D1426" s="2" t="str">
        <x:v>사수</x:v>
      </x:c>
      <x:c r="E1426" s="2" t="n">
        <x:v>4</x:v>
      </x:c>
      <x:c r="F1426" s="2" t="n">
        <x:v>4</x:v>
      </x:c>
      <x:c r="G1426" s="14" t="n">
        <x:f>('레벨 계산식'!$E$4-E1426)*'레벨 계산식'!$B$5</x:f>
        <x:v>0.13999999999999999</x:v>
      </x:c>
      <x:c r="H1426" s="14" t="n">
        <x:f>('등급 계산식'!$E$4-F1426)*'등급 계산식'!$B$5</x:f>
        <x:v>0.06000000000000001</x:v>
      </x:c>
      <x:c r="I1426" s="14" t="n">
        <x:f>1-G1426-H1426</x:f>
        <x:v>0.7999999999999999</x:v>
      </x:c>
      <x:c r="J1426" s="2" t="n">
        <x:f>MAX(1,ROUND('기준스탯 72종'!D64-R1426-Z1426,0))</x:f>
        <x:v>6</x:v>
      </x:c>
      <x:c r="K1426" s="2" t="n">
        <x:f>MAX(1,ROUND('기준스탯 72종'!E64-S1426-AA1426,0))</x:f>
        <x:v>6</x:v>
      </x:c>
      <x:c r="L1426" s="2" t="n">
        <x:f>MAX(1,ROUND('기준스탯 72종'!F64-T1426-AB1426,0))</x:f>
        <x:v>6</x:v>
      </x:c>
      <x:c r="M1426" s="2" t="n">
        <x:f>MAX(1,ROUND('기준스탯 72종'!G64-U1426-AC1426,0))</x:f>
        <x:v>6</x:v>
      </x:c>
      <x:c r="N1426" s="2" t="n">
        <x:f>MAX(0,ROUND('기준스탯 72종'!H64-V1426-AD1426,0))</x:f>
        <x:v>2</x:v>
      </x:c>
      <x:c r="O1426" s="2" t="n">
        <x:f>MAX(0,ROUND('기준스탯 72종'!I64-W1426-AE1426,0))</x:f>
        <x:v>4</x:v>
      </x:c>
      <x:c r="P1426" s="2" t="n">
        <x:f>MAX(0,ROUND('기준스탯 72종'!J64-X1426-AF1426,0))</x:f>
        <x:v>2</x:v>
      </x:c>
      <x:c r="Q1426" s="2" t="n">
        <x:f>MAX(0,ROUND('기준스탯 72종'!K64-Y1426-AG1426,0))</x:f>
        <x:v>4</x:v>
      </x:c>
      <x:c r="R1426" s="15" t="n">
        <x:f>'기준스탯 72종'!D64*G1426</x:f>
        <x:v>0.9799999999999999</x:v>
      </x:c>
      <x:c r="S1426" s="15" t="n">
        <x:f>'기준스탯 72종'!E64*G1426</x:f>
        <x:v>1.1199999999999999</x:v>
      </x:c>
      <x:c r="T1426" s="15" t="n">
        <x:f>'기준스탯 72종'!F64*G1426</x:f>
        <x:v>1.1199999999999999</x:v>
      </x:c>
      <x:c r="U1426" s="15" t="n">
        <x:f>'기준스탯 72종'!G64*G1426</x:f>
        <x:v>0.9799999999999999</x:v>
      </x:c>
      <x:c r="V1426" s="15" t="n">
        <x:f>'기준스탯 72종'!H64*G1426</x:f>
        <x:v>0.41999999999999993</x:v>
      </x:c>
      <x:c r="W1426" s="15" t="n">
        <x:f>'기준스탯 72종'!I64*G1426</x:f>
        <x:v>0.7</x:v>
      </x:c>
      <x:c r="X1426" s="15" t="n">
        <x:f>'기준스탯 72종'!J64*G1426</x:f>
        <x:v>0.41999999999999993</x:v>
      </x:c>
      <x:c r="Y1426" s="15" t="n">
        <x:f>'기준스탯 72종'!K64*G1426</x:f>
        <x:v>0.7</x:v>
      </x:c>
      <x:c r="Z1426" s="15" t="n">
        <x:f>'기준스탯 72종'!D64*H1426</x:f>
        <x:v>0.4200000000000001</x:v>
      </x:c>
      <x:c r="AA1426" s="15" t="n">
        <x:f>'기준스탯 72종'!E64*H1426</x:f>
        <x:v>0.4800000000000001</x:v>
      </x:c>
      <x:c r="AB1426" s="15" t="n">
        <x:f>'기준스탯 72종'!F64*H1426</x:f>
        <x:v>0.4800000000000001</x:v>
      </x:c>
      <x:c r="AC1426" s="15" t="n">
        <x:f>'기준스탯 72종'!G64*H1426</x:f>
        <x:v>0.4200000000000001</x:v>
      </x:c>
      <x:c r="AD1426" s="15" t="n">
        <x:f>'기준스탯 72종'!H64*H1426</x:f>
        <x:v>0.18000000000000005</x:v>
      </x:c>
      <x:c r="AE1426" s="15" t="n">
        <x:f>'기준스탯 72종'!I64*H1426</x:f>
        <x:v>0.30000000000000004</x:v>
      </x:c>
      <x:c r="AF1426" s="15" t="n">
        <x:f>'기준스탯 72종'!J64*H1426</x:f>
        <x:v>0.18000000000000005</x:v>
      </x:c>
      <x:c r="AG1426" s="15" t="n">
        <x:f>'기준스탯 72종'!K64*H1426</x:f>
        <x:v>0.30000000000000004</x:v>
      </x:c>
    </x:row>
    <x:row r="1427" ht="28" customHeight="1">
      <x:c r="A1427" s="2" t="n">
        <x:v>1420</x:v>
      </x:c>
      <x:c r="B1427" s="2" t="n">
        <x:v>57</x:v>
      </x:c>
      <x:c r="C1427" s="2" t="str">
        <x:v>염소자리</x:v>
      </x:c>
      <x:c r="D1427" s="2" t="str">
        <x:v>사수</x:v>
      </x:c>
      <x:c r="E1427" s="2" t="n">
        <x:v>5</x:v>
      </x:c>
      <x:c r="F1427" s="2" t="n">
        <x:v>4</x:v>
      </x:c>
      <x:c r="G1427" s="14" t="n">
        <x:f>('레벨 계산식'!$E$4-E1427)*'레벨 계산식'!$B$5</x:f>
        <x:v>0</x:v>
      </x:c>
      <x:c r="H1427" s="14" t="n">
        <x:f>('등급 계산식'!$E$4-F1427)*'등급 계산식'!$B$5</x:f>
        <x:v>0.06000000000000001</x:v>
      </x:c>
      <x:c r="I1427" s="14" t="n">
        <x:f>1-G1427-H1427</x:f>
        <x:v>0.94</x:v>
      </x:c>
      <x:c r="J1427" s="2" t="n">
        <x:f>MAX(1,ROUND('기준스탯 72종'!D64-R1427-Z1427,0))</x:f>
        <x:v>7</x:v>
      </x:c>
      <x:c r="K1427" s="2" t="n">
        <x:f>MAX(1,ROUND('기준스탯 72종'!E64-S1427-AA1427,0))</x:f>
        <x:v>8</x:v>
      </x:c>
      <x:c r="L1427" s="2" t="n">
        <x:f>MAX(1,ROUND('기준스탯 72종'!F64-T1427-AB1427,0))</x:f>
        <x:v>8</x:v>
      </x:c>
      <x:c r="M1427" s="2" t="n">
        <x:f>MAX(1,ROUND('기준스탯 72종'!G64-U1427-AC1427,0))</x:f>
        <x:v>7</x:v>
      </x:c>
      <x:c r="N1427" s="2" t="n">
        <x:f>MAX(0,ROUND('기준스탯 72종'!H64-V1427-AD1427,0))</x:f>
        <x:v>3</x:v>
      </x:c>
      <x:c r="O1427" s="2" t="n">
        <x:f>MAX(0,ROUND('기준스탯 72종'!I64-W1427-AE1427,0))</x:f>
        <x:v>5</x:v>
      </x:c>
      <x:c r="P1427" s="2" t="n">
        <x:f>MAX(0,ROUND('기준스탯 72종'!J64-X1427-AF1427,0))</x:f>
        <x:v>3</x:v>
      </x:c>
      <x:c r="Q1427" s="2" t="n">
        <x:f>MAX(0,ROUND('기준스탯 72종'!K64-Y1427-AG1427,0))</x:f>
        <x:v>5</x:v>
      </x:c>
      <x:c r="R1427" s="15" t="n">
        <x:f>'기준스탯 72종'!D64*G1427</x:f>
        <x:v>0</x:v>
      </x:c>
      <x:c r="S1427" s="15" t="n">
        <x:f>'기준스탯 72종'!E64*G1427</x:f>
        <x:v>0</x:v>
      </x:c>
      <x:c r="T1427" s="15" t="n">
        <x:f>'기준스탯 72종'!F64*G1427</x:f>
        <x:v>0</x:v>
      </x:c>
      <x:c r="U1427" s="15" t="n">
        <x:f>'기준스탯 72종'!G64*G1427</x:f>
        <x:v>0</x:v>
      </x:c>
      <x:c r="V1427" s="15" t="n">
        <x:f>'기준스탯 72종'!H64*G1427</x:f>
        <x:v>0</x:v>
      </x:c>
      <x:c r="W1427" s="15" t="n">
        <x:f>'기준스탯 72종'!I64*G1427</x:f>
        <x:v>0</x:v>
      </x:c>
      <x:c r="X1427" s="15" t="n">
        <x:f>'기준스탯 72종'!J64*G1427</x:f>
        <x:v>0</x:v>
      </x:c>
      <x:c r="Y1427" s="15" t="n">
        <x:f>'기준스탯 72종'!K64*G1427</x:f>
        <x:v>0</x:v>
      </x:c>
      <x:c r="Z1427" s="15" t="n">
        <x:f>'기준스탯 72종'!D64*H1427</x:f>
        <x:v>0.4200000000000001</x:v>
      </x:c>
      <x:c r="AA1427" s="15" t="n">
        <x:f>'기준스탯 72종'!E64*H1427</x:f>
        <x:v>0.4800000000000001</x:v>
      </x:c>
      <x:c r="AB1427" s="15" t="n">
        <x:f>'기준스탯 72종'!F64*H1427</x:f>
        <x:v>0.4800000000000001</x:v>
      </x:c>
      <x:c r="AC1427" s="15" t="n">
        <x:f>'기준스탯 72종'!G64*H1427</x:f>
        <x:v>0.4200000000000001</x:v>
      </x:c>
      <x:c r="AD1427" s="15" t="n">
        <x:f>'기준스탯 72종'!H64*H1427</x:f>
        <x:v>0.18000000000000005</x:v>
      </x:c>
      <x:c r="AE1427" s="15" t="n">
        <x:f>'기준스탯 72종'!I64*H1427</x:f>
        <x:v>0.30000000000000004</x:v>
      </x:c>
      <x:c r="AF1427" s="15" t="n">
        <x:f>'기준스탯 72종'!J64*H1427</x:f>
        <x:v>0.18000000000000005</x:v>
      </x:c>
      <x:c r="AG1427" s="15" t="n">
        <x:f>'기준스탯 72종'!K64*H1427</x:f>
        <x:v>0.30000000000000004</x:v>
      </x:c>
    </x:row>
    <x:row r="1428" ht="28" customHeight="1">
      <x:c r="A1428" s="2" t="n">
        <x:v>1421</x:v>
      </x:c>
      <x:c r="B1428" s="2" t="n">
        <x:v>57</x:v>
      </x:c>
      <x:c r="C1428" s="2" t="str">
        <x:v>염소자리</x:v>
      </x:c>
      <x:c r="D1428" s="2" t="str">
        <x:v>사수</x:v>
      </x:c>
      <x:c r="E1428" s="2" t="n">
        <x:v>1</x:v>
      </x:c>
      <x:c r="F1428" s="2" t="n">
        <x:v>5</x:v>
      </x:c>
      <x:c r="G1428" s="14" t="n">
        <x:f>('레벨 계산식'!$E$4-E1428)*'레벨 계산식'!$B$5</x:f>
        <x:v>0.5599999999999999</x:v>
      </x:c>
      <x:c r="H1428" s="14" t="n">
        <x:f>('등급 계산식'!$E$4-F1428)*'등급 계산식'!$B$5</x:f>
        <x:v>0</x:v>
      </x:c>
      <x:c r="I1428" s="14" t="n">
        <x:f>1-G1428-H1428</x:f>
        <x:v>0.44000000000000006</x:v>
      </x:c>
      <x:c r="J1428" s="2" t="n">
        <x:f>MAX(1,ROUND('기준스탯 72종'!D64-R1428-Z1428,0))</x:f>
        <x:v>3</x:v>
      </x:c>
      <x:c r="K1428" s="2" t="n">
        <x:f>MAX(1,ROUND('기준스탯 72종'!E64-S1428-AA1428,0))</x:f>
        <x:v>4</x:v>
      </x:c>
      <x:c r="L1428" s="2" t="n">
        <x:f>MAX(1,ROUND('기준스탯 72종'!F64-T1428-AB1428,0))</x:f>
        <x:v>4</x:v>
      </x:c>
      <x:c r="M1428" s="2" t="n">
        <x:f>MAX(1,ROUND('기준스탯 72종'!G64-U1428-AC1428,0))</x:f>
        <x:v>3</x:v>
      </x:c>
      <x:c r="N1428" s="2" t="n">
        <x:f>MAX(0,ROUND('기준스탯 72종'!H64-V1428-AD1428,0))</x:f>
        <x:v>1</x:v>
      </x:c>
      <x:c r="O1428" s="2" t="n">
        <x:f>MAX(0,ROUND('기준스탯 72종'!I64-W1428-AE1428,0))</x:f>
        <x:v>2</x:v>
      </x:c>
      <x:c r="P1428" s="2" t="n">
        <x:f>MAX(0,ROUND('기준스탯 72종'!J64-X1428-AF1428,0))</x:f>
        <x:v>1</x:v>
      </x:c>
      <x:c r="Q1428" s="2" t="n">
        <x:f>MAX(0,ROUND('기준스탯 72종'!K64-Y1428-AG1428,0))</x:f>
        <x:v>2</x:v>
      </x:c>
      <x:c r="R1428" s="15" t="n">
        <x:f>'기준스탯 72종'!D64*G1428</x:f>
        <x:v>3.9199999999999995</x:v>
      </x:c>
      <x:c r="S1428" s="15" t="n">
        <x:f>'기준스탯 72종'!E64*G1428</x:f>
        <x:v>4.4799999999999995</x:v>
      </x:c>
      <x:c r="T1428" s="15" t="n">
        <x:f>'기준스탯 72종'!F64*G1428</x:f>
        <x:v>4.4799999999999995</x:v>
      </x:c>
      <x:c r="U1428" s="15" t="n">
        <x:f>'기준스탯 72종'!G64*G1428</x:f>
        <x:v>3.9199999999999995</x:v>
      </x:c>
      <x:c r="V1428" s="15" t="n">
        <x:f>'기준스탯 72종'!H64*G1428</x:f>
        <x:v>1.6799999999999997</x:v>
      </x:c>
      <x:c r="W1428" s="15" t="n">
        <x:f>'기준스탯 72종'!I64*G1428</x:f>
        <x:v>2.8</x:v>
      </x:c>
      <x:c r="X1428" s="15" t="n">
        <x:f>'기준스탯 72종'!J64*G1428</x:f>
        <x:v>1.6799999999999997</x:v>
      </x:c>
      <x:c r="Y1428" s="15" t="n">
        <x:f>'기준스탯 72종'!K64*G1428</x:f>
        <x:v>2.8</x:v>
      </x:c>
      <x:c r="Z1428" s="15" t="n">
        <x:f>'기준스탯 72종'!D64*H1428</x:f>
        <x:v>0</x:v>
      </x:c>
      <x:c r="AA1428" s="15" t="n">
        <x:f>'기준스탯 72종'!E64*H1428</x:f>
        <x:v>0</x:v>
      </x:c>
      <x:c r="AB1428" s="15" t="n">
        <x:f>'기준스탯 72종'!F64*H1428</x:f>
        <x:v>0</x:v>
      </x:c>
      <x:c r="AC1428" s="15" t="n">
        <x:f>'기준스탯 72종'!G64*H1428</x:f>
        <x:v>0</x:v>
      </x:c>
      <x:c r="AD1428" s="15" t="n">
        <x:f>'기준스탯 72종'!H64*H1428</x:f>
        <x:v>0</x:v>
      </x:c>
      <x:c r="AE1428" s="15" t="n">
        <x:f>'기준스탯 72종'!I64*H1428</x:f>
        <x:v>0</x:v>
      </x:c>
      <x:c r="AF1428" s="15" t="n">
        <x:f>'기준스탯 72종'!J64*H1428</x:f>
        <x:v>0</x:v>
      </x:c>
      <x:c r="AG1428" s="15" t="n">
        <x:f>'기준스탯 72종'!K64*H1428</x:f>
        <x:v>0</x:v>
      </x:c>
    </x:row>
    <x:row r="1429" ht="28" customHeight="1">
      <x:c r="A1429" s="2" t="n">
        <x:v>1422</x:v>
      </x:c>
      <x:c r="B1429" s="2" t="n">
        <x:v>57</x:v>
      </x:c>
      <x:c r="C1429" s="2" t="str">
        <x:v>염소자리</x:v>
      </x:c>
      <x:c r="D1429" s="2" t="str">
        <x:v>사수</x:v>
      </x:c>
      <x:c r="E1429" s="2" t="n">
        <x:v>2</x:v>
      </x:c>
      <x:c r="F1429" s="2" t="n">
        <x:v>5</x:v>
      </x:c>
      <x:c r="G1429" s="14" t="n">
        <x:f>('레벨 계산식'!$E$4-E1429)*'레벨 계산식'!$B$5</x:f>
        <x:v>0.41999999999999993</x:v>
      </x:c>
      <x:c r="H1429" s="14" t="n">
        <x:f>('등급 계산식'!$E$4-F1429)*'등급 계산식'!$B$5</x:f>
        <x:v>0</x:v>
      </x:c>
      <x:c r="I1429" s="14" t="n">
        <x:f>1-G1429-H1429</x:f>
        <x:v>0.5800000000000001</x:v>
      </x:c>
      <x:c r="J1429" s="2" t="n">
        <x:f>MAX(1,ROUND('기준스탯 72종'!D64-R1429-Z1429,0))</x:f>
        <x:v>4</x:v>
      </x:c>
      <x:c r="K1429" s="2" t="n">
        <x:f>MAX(1,ROUND('기준스탯 72종'!E64-S1429-AA1429,0))</x:f>
        <x:v>5</x:v>
      </x:c>
      <x:c r="L1429" s="2" t="n">
        <x:f>MAX(1,ROUND('기준스탯 72종'!F64-T1429-AB1429,0))</x:f>
        <x:v>5</x:v>
      </x:c>
      <x:c r="M1429" s="2" t="n">
        <x:f>MAX(1,ROUND('기준스탯 72종'!G64-U1429-AC1429,0))</x:f>
        <x:v>4</x:v>
      </x:c>
      <x:c r="N1429" s="2" t="n">
        <x:f>MAX(0,ROUND('기준스탯 72종'!H64-V1429-AD1429,0))</x:f>
        <x:v>2</x:v>
      </x:c>
      <x:c r="O1429" s="2" t="n">
        <x:f>MAX(0,ROUND('기준스탯 72종'!I64-W1429-AE1429,0))</x:f>
        <x:v>3</x:v>
      </x:c>
      <x:c r="P1429" s="2" t="n">
        <x:f>MAX(0,ROUND('기준스탯 72종'!J64-X1429-AF1429,0))</x:f>
        <x:v>2</x:v>
      </x:c>
      <x:c r="Q1429" s="2" t="n">
        <x:f>MAX(0,ROUND('기준스탯 72종'!K64-Y1429-AG1429,0))</x:f>
        <x:v>3</x:v>
      </x:c>
      <x:c r="R1429" s="15" t="n">
        <x:f>'기준스탯 72종'!D64*G1429</x:f>
        <x:v>2.9399999999999995</x:v>
      </x:c>
      <x:c r="S1429" s="15" t="n">
        <x:f>'기준스탯 72종'!E64*G1429</x:f>
        <x:v>3.3599999999999994</x:v>
      </x:c>
      <x:c r="T1429" s="15" t="n">
        <x:f>'기준스탯 72종'!F64*G1429</x:f>
        <x:v>3.3599999999999994</x:v>
      </x:c>
      <x:c r="U1429" s="15" t="n">
        <x:f>'기준스탯 72종'!G64*G1429</x:f>
        <x:v>2.9399999999999995</x:v>
      </x:c>
      <x:c r="V1429" s="15" t="n">
        <x:f>'기준스탯 72종'!H64*G1429</x:f>
        <x:v>1.2599999999999998</x:v>
      </x:c>
      <x:c r="W1429" s="15" t="n">
        <x:f>'기준스탯 72종'!I64*G1429</x:f>
        <x:v>2.0999999999999996</x:v>
      </x:c>
      <x:c r="X1429" s="15" t="n">
        <x:f>'기준스탯 72종'!J64*G1429</x:f>
        <x:v>1.2599999999999998</x:v>
      </x:c>
      <x:c r="Y1429" s="15" t="n">
        <x:f>'기준스탯 72종'!K64*G1429</x:f>
        <x:v>2.0999999999999996</x:v>
      </x:c>
      <x:c r="Z1429" s="15" t="n">
        <x:f>'기준스탯 72종'!D64*H1429</x:f>
        <x:v>0</x:v>
      </x:c>
      <x:c r="AA1429" s="15" t="n">
        <x:f>'기준스탯 72종'!E64*H1429</x:f>
        <x:v>0</x:v>
      </x:c>
      <x:c r="AB1429" s="15" t="n">
        <x:f>'기준스탯 72종'!F64*H1429</x:f>
        <x:v>0</x:v>
      </x:c>
      <x:c r="AC1429" s="15" t="n">
        <x:f>'기준스탯 72종'!G64*H1429</x:f>
        <x:v>0</x:v>
      </x:c>
      <x:c r="AD1429" s="15" t="n">
        <x:f>'기준스탯 72종'!H64*H1429</x:f>
        <x:v>0</x:v>
      </x:c>
      <x:c r="AE1429" s="15" t="n">
        <x:f>'기준스탯 72종'!I64*H1429</x:f>
        <x:v>0</x:v>
      </x:c>
      <x:c r="AF1429" s="15" t="n">
        <x:f>'기준스탯 72종'!J64*H1429</x:f>
        <x:v>0</x:v>
      </x:c>
      <x:c r="AG1429" s="15" t="n">
        <x:f>'기준스탯 72종'!K64*H1429</x:f>
        <x:v>0</x:v>
      </x:c>
    </x:row>
    <x:row r="1430" ht="28" customHeight="1">
      <x:c r="A1430" s="2" t="n">
        <x:v>1423</x:v>
      </x:c>
      <x:c r="B1430" s="2" t="n">
        <x:v>57</x:v>
      </x:c>
      <x:c r="C1430" s="2" t="str">
        <x:v>염소자리</x:v>
      </x:c>
      <x:c r="D1430" s="2" t="str">
        <x:v>사수</x:v>
      </x:c>
      <x:c r="E1430" s="2" t="n">
        <x:v>3</x:v>
      </x:c>
      <x:c r="F1430" s="2" t="n">
        <x:v>5</x:v>
      </x:c>
      <x:c r="G1430" s="14" t="n">
        <x:f>('레벨 계산식'!$E$4-E1430)*'레벨 계산식'!$B$5</x:f>
        <x:v>0.27999999999999997</x:v>
      </x:c>
      <x:c r="H1430" s="14" t="n">
        <x:f>('등급 계산식'!$E$4-F1430)*'등급 계산식'!$B$5</x:f>
        <x:v>0</x:v>
      </x:c>
      <x:c r="I1430" s="14" t="n">
        <x:f>1-G1430-H1430</x:f>
        <x:v>0.72</x:v>
      </x:c>
      <x:c r="J1430" s="2" t="n">
        <x:f>MAX(1,ROUND('기준스탯 72종'!D64-R1430-Z1430,0))</x:f>
        <x:v>5</x:v>
      </x:c>
      <x:c r="K1430" s="2" t="n">
        <x:f>MAX(1,ROUND('기준스탯 72종'!E64-S1430-AA1430,0))</x:f>
        <x:v>6</x:v>
      </x:c>
      <x:c r="L1430" s="2" t="n">
        <x:f>MAX(1,ROUND('기준스탯 72종'!F64-T1430-AB1430,0))</x:f>
        <x:v>6</x:v>
      </x:c>
      <x:c r="M1430" s="2" t="n">
        <x:f>MAX(1,ROUND('기준스탯 72종'!G64-U1430-AC1430,0))</x:f>
        <x:v>5</x:v>
      </x:c>
      <x:c r="N1430" s="2" t="n">
        <x:f>MAX(0,ROUND('기준스탯 72종'!H64-V1430-AD1430,0))</x:f>
        <x:v>2</x:v>
      </x:c>
      <x:c r="O1430" s="2" t="n">
        <x:f>MAX(0,ROUND('기준스탯 72종'!I64-W1430-AE1430,0))</x:f>
        <x:v>4</x:v>
      </x:c>
      <x:c r="P1430" s="2" t="n">
        <x:f>MAX(0,ROUND('기준스탯 72종'!J64-X1430-AF1430,0))</x:f>
        <x:v>2</x:v>
      </x:c>
      <x:c r="Q1430" s="2" t="n">
        <x:f>MAX(0,ROUND('기준스탯 72종'!K64-Y1430-AG1430,0))</x:f>
        <x:v>4</x:v>
      </x:c>
      <x:c r="R1430" s="15" t="n">
        <x:f>'기준스탯 72종'!D64*G1430</x:f>
        <x:v>1.9599999999999997</x:v>
      </x:c>
      <x:c r="S1430" s="15" t="n">
        <x:f>'기준스탯 72종'!E64*G1430</x:f>
        <x:v>2.2399999999999998</x:v>
      </x:c>
      <x:c r="T1430" s="15" t="n">
        <x:f>'기준스탯 72종'!F64*G1430</x:f>
        <x:v>2.2399999999999998</x:v>
      </x:c>
      <x:c r="U1430" s="15" t="n">
        <x:f>'기준스탯 72종'!G64*G1430</x:f>
        <x:v>1.9599999999999997</x:v>
      </x:c>
      <x:c r="V1430" s="15" t="n">
        <x:f>'기준스탯 72종'!H64*G1430</x:f>
        <x:v>0.8399999999999999</x:v>
      </x:c>
      <x:c r="W1430" s="15" t="n">
        <x:f>'기준스탯 72종'!I64*G1430</x:f>
        <x:v>1.4</x:v>
      </x:c>
      <x:c r="X1430" s="15" t="n">
        <x:f>'기준스탯 72종'!J64*G1430</x:f>
        <x:v>0.8399999999999999</x:v>
      </x:c>
      <x:c r="Y1430" s="15" t="n">
        <x:f>'기준스탯 72종'!K64*G1430</x:f>
        <x:v>1.4</x:v>
      </x:c>
      <x:c r="Z1430" s="15" t="n">
        <x:f>'기준스탯 72종'!D64*H1430</x:f>
        <x:v>0</x:v>
      </x:c>
      <x:c r="AA1430" s="15" t="n">
        <x:f>'기준스탯 72종'!E64*H1430</x:f>
        <x:v>0</x:v>
      </x:c>
      <x:c r="AB1430" s="15" t="n">
        <x:f>'기준스탯 72종'!F64*H1430</x:f>
        <x:v>0</x:v>
      </x:c>
      <x:c r="AC1430" s="15" t="n">
        <x:f>'기준스탯 72종'!G64*H1430</x:f>
        <x:v>0</x:v>
      </x:c>
      <x:c r="AD1430" s="15" t="n">
        <x:f>'기준스탯 72종'!H64*H1430</x:f>
        <x:v>0</x:v>
      </x:c>
      <x:c r="AE1430" s="15" t="n">
        <x:f>'기준스탯 72종'!I64*H1430</x:f>
        <x:v>0</x:v>
      </x:c>
      <x:c r="AF1430" s="15" t="n">
        <x:f>'기준스탯 72종'!J64*H1430</x:f>
        <x:v>0</x:v>
      </x:c>
      <x:c r="AG1430" s="15" t="n">
        <x:f>'기준스탯 72종'!K64*H1430</x:f>
        <x:v>0</x:v>
      </x:c>
    </x:row>
    <x:row r="1431" ht="28" customHeight="1">
      <x:c r="A1431" s="2" t="n">
        <x:v>1424</x:v>
      </x:c>
      <x:c r="B1431" s="2" t="n">
        <x:v>57</x:v>
      </x:c>
      <x:c r="C1431" s="2" t="str">
        <x:v>염소자리</x:v>
      </x:c>
      <x:c r="D1431" s="2" t="str">
        <x:v>사수</x:v>
      </x:c>
      <x:c r="E1431" s="2" t="n">
        <x:v>4</x:v>
      </x:c>
      <x:c r="F1431" s="2" t="n">
        <x:v>5</x:v>
      </x:c>
      <x:c r="G1431" s="14" t="n">
        <x:f>('레벨 계산식'!$E$4-E1431)*'레벨 계산식'!$B$5</x:f>
        <x:v>0.13999999999999999</x:v>
      </x:c>
      <x:c r="H1431" s="14" t="n">
        <x:f>('등급 계산식'!$E$4-F1431)*'등급 계산식'!$B$5</x:f>
        <x:v>0</x:v>
      </x:c>
      <x:c r="I1431" s="14" t="n">
        <x:f>1-G1431-H1431</x:f>
        <x:v>0.86</x:v>
      </x:c>
      <x:c r="J1431" s="2" t="n">
        <x:f>MAX(1,ROUND('기준스탯 72종'!D64-R1431-Z1431,0))</x:f>
        <x:v>6</x:v>
      </x:c>
      <x:c r="K1431" s="2" t="n">
        <x:f>MAX(1,ROUND('기준스탯 72종'!E64-S1431-AA1431,0))</x:f>
        <x:v>7</x:v>
      </x:c>
      <x:c r="L1431" s="2" t="n">
        <x:f>MAX(1,ROUND('기준스탯 72종'!F64-T1431-AB1431,0))</x:f>
        <x:v>7</x:v>
      </x:c>
      <x:c r="M1431" s="2" t="n">
        <x:f>MAX(1,ROUND('기준스탯 72종'!G64-U1431-AC1431,0))</x:f>
        <x:v>6</x:v>
      </x:c>
      <x:c r="N1431" s="2" t="n">
        <x:f>MAX(0,ROUND('기준스탯 72종'!H64-V1431-AD1431,0))</x:f>
        <x:v>3</x:v>
      </x:c>
      <x:c r="O1431" s="2" t="n">
        <x:f>MAX(0,ROUND('기준스탯 72종'!I64-W1431-AE1431,0))</x:f>
        <x:v>4</x:v>
      </x:c>
      <x:c r="P1431" s="2" t="n">
        <x:f>MAX(0,ROUND('기준스탯 72종'!J64-X1431-AF1431,0))</x:f>
        <x:v>3</x:v>
      </x:c>
      <x:c r="Q1431" s="2" t="n">
        <x:f>MAX(0,ROUND('기준스탯 72종'!K64-Y1431-AG1431,0))</x:f>
        <x:v>4</x:v>
      </x:c>
      <x:c r="R1431" s="15" t="n">
        <x:f>'기준스탯 72종'!D64*G1431</x:f>
        <x:v>0.9799999999999999</x:v>
      </x:c>
      <x:c r="S1431" s="15" t="n">
        <x:f>'기준스탯 72종'!E64*G1431</x:f>
        <x:v>1.1199999999999999</x:v>
      </x:c>
      <x:c r="T1431" s="15" t="n">
        <x:f>'기준스탯 72종'!F64*G1431</x:f>
        <x:v>1.1199999999999999</x:v>
      </x:c>
      <x:c r="U1431" s="15" t="n">
        <x:f>'기준스탯 72종'!G64*G1431</x:f>
        <x:v>0.9799999999999999</x:v>
      </x:c>
      <x:c r="V1431" s="15" t="n">
        <x:f>'기준스탯 72종'!H64*G1431</x:f>
        <x:v>0.41999999999999993</x:v>
      </x:c>
      <x:c r="W1431" s="15" t="n">
        <x:f>'기준스탯 72종'!I64*G1431</x:f>
        <x:v>0.7</x:v>
      </x:c>
      <x:c r="X1431" s="15" t="n">
        <x:f>'기준스탯 72종'!J64*G1431</x:f>
        <x:v>0.41999999999999993</x:v>
      </x:c>
      <x:c r="Y1431" s="15" t="n">
        <x:f>'기준스탯 72종'!K64*G1431</x:f>
        <x:v>0.7</x:v>
      </x:c>
      <x:c r="Z1431" s="15" t="n">
        <x:f>'기준스탯 72종'!D64*H1431</x:f>
        <x:v>0</x:v>
      </x:c>
      <x:c r="AA1431" s="15" t="n">
        <x:f>'기준스탯 72종'!E64*H1431</x:f>
        <x:v>0</x:v>
      </x:c>
      <x:c r="AB1431" s="15" t="n">
        <x:f>'기준스탯 72종'!F64*H1431</x:f>
        <x:v>0</x:v>
      </x:c>
      <x:c r="AC1431" s="15" t="n">
        <x:f>'기준스탯 72종'!G64*H1431</x:f>
        <x:v>0</x:v>
      </x:c>
      <x:c r="AD1431" s="15" t="n">
        <x:f>'기준스탯 72종'!H64*H1431</x:f>
        <x:v>0</x:v>
      </x:c>
      <x:c r="AE1431" s="15" t="n">
        <x:f>'기준스탯 72종'!I64*H1431</x:f>
        <x:v>0</x:v>
      </x:c>
      <x:c r="AF1431" s="15" t="n">
        <x:f>'기준스탯 72종'!J64*H1431</x:f>
        <x:v>0</x:v>
      </x:c>
      <x:c r="AG1431" s="15" t="n">
        <x:f>'기준스탯 72종'!K64*H1431</x:f>
        <x:v>0</x:v>
      </x:c>
    </x:row>
    <x:row r="1432" ht="28" customHeight="1">
      <x:c r="A1432" s="2" t="n">
        <x:v>1425</x:v>
      </x:c>
      <x:c r="B1432" s="2" t="n">
        <x:v>57</x:v>
      </x:c>
      <x:c r="C1432" s="2" t="str">
        <x:v>염소자리</x:v>
      </x:c>
      <x:c r="D1432" s="2" t="str">
        <x:v>사수</x:v>
      </x:c>
      <x:c r="E1432" s="2" t="n">
        <x:v>5</x:v>
      </x:c>
      <x:c r="F1432" s="2" t="n">
        <x:v>5</x:v>
      </x:c>
      <x:c r="G1432" s="14" t="n">
        <x:f>('레벨 계산식'!$E$4-E1432)*'레벨 계산식'!$B$5</x:f>
        <x:v>0</x:v>
      </x:c>
      <x:c r="H1432" s="14" t="n">
        <x:f>('등급 계산식'!$E$4-F1432)*'등급 계산식'!$B$5</x:f>
        <x:v>0</x:v>
      </x:c>
      <x:c r="I1432" s="14" t="n">
        <x:f>1-G1432-H1432</x:f>
        <x:v>1</x:v>
      </x:c>
      <x:c r="J1432" s="2" t="n">
        <x:f>MAX(1,ROUND('기준스탯 72종'!D64-R1432-Z1432,0))</x:f>
        <x:v>7</x:v>
      </x:c>
      <x:c r="K1432" s="2" t="n">
        <x:f>MAX(1,ROUND('기준스탯 72종'!E64-S1432-AA1432,0))</x:f>
        <x:v>8</x:v>
      </x:c>
      <x:c r="L1432" s="2" t="n">
        <x:f>MAX(1,ROUND('기준스탯 72종'!F64-T1432-AB1432,0))</x:f>
        <x:v>8</x:v>
      </x:c>
      <x:c r="M1432" s="2" t="n">
        <x:f>MAX(1,ROUND('기준스탯 72종'!G64-U1432-AC1432,0))</x:f>
        <x:v>7</x:v>
      </x:c>
      <x:c r="N1432" s="2" t="n">
        <x:f>MAX(0,ROUND('기준스탯 72종'!H64-V1432-AD1432,0))</x:f>
        <x:v>3</x:v>
      </x:c>
      <x:c r="O1432" s="2" t="n">
        <x:f>MAX(0,ROUND('기준스탯 72종'!I64-W1432-AE1432,0))</x:f>
        <x:v>5</x:v>
      </x:c>
      <x:c r="P1432" s="2" t="n">
        <x:f>MAX(0,ROUND('기준스탯 72종'!J64-X1432-AF1432,0))</x:f>
        <x:v>3</x:v>
      </x:c>
      <x:c r="Q1432" s="2" t="n">
        <x:f>MAX(0,ROUND('기준스탯 72종'!K64-Y1432-AG1432,0))</x:f>
        <x:v>5</x:v>
      </x:c>
      <x:c r="R1432" s="15" t="n">
        <x:f>'기준스탯 72종'!D64*G1432</x:f>
        <x:v>0</x:v>
      </x:c>
      <x:c r="S1432" s="15" t="n">
        <x:f>'기준스탯 72종'!E64*G1432</x:f>
        <x:v>0</x:v>
      </x:c>
      <x:c r="T1432" s="15" t="n">
        <x:f>'기준스탯 72종'!F64*G1432</x:f>
        <x:v>0</x:v>
      </x:c>
      <x:c r="U1432" s="15" t="n">
        <x:f>'기준스탯 72종'!G64*G1432</x:f>
        <x:v>0</x:v>
      </x:c>
      <x:c r="V1432" s="15" t="n">
        <x:f>'기준스탯 72종'!H64*G1432</x:f>
        <x:v>0</x:v>
      </x:c>
      <x:c r="W1432" s="15" t="n">
        <x:f>'기준스탯 72종'!I64*G1432</x:f>
        <x:v>0</x:v>
      </x:c>
      <x:c r="X1432" s="15" t="n">
        <x:f>'기준스탯 72종'!J64*G1432</x:f>
        <x:v>0</x:v>
      </x:c>
      <x:c r="Y1432" s="15" t="n">
        <x:f>'기준스탯 72종'!K64*G1432</x:f>
        <x:v>0</x:v>
      </x:c>
      <x:c r="Z1432" s="15" t="n">
        <x:f>'기준스탯 72종'!D64*H1432</x:f>
        <x:v>0</x:v>
      </x:c>
      <x:c r="AA1432" s="15" t="n">
        <x:f>'기준스탯 72종'!E64*H1432</x:f>
        <x:v>0</x:v>
      </x:c>
      <x:c r="AB1432" s="15" t="n">
        <x:f>'기준스탯 72종'!F64*H1432</x:f>
        <x:v>0</x:v>
      </x:c>
      <x:c r="AC1432" s="15" t="n">
        <x:f>'기준스탯 72종'!G64*H1432</x:f>
        <x:v>0</x:v>
      </x:c>
      <x:c r="AD1432" s="15" t="n">
        <x:f>'기준스탯 72종'!H64*H1432</x:f>
        <x:v>0</x:v>
      </x:c>
      <x:c r="AE1432" s="15" t="n">
        <x:f>'기준스탯 72종'!I64*H1432</x:f>
        <x:v>0</x:v>
      </x:c>
      <x:c r="AF1432" s="15" t="n">
        <x:f>'기준스탯 72종'!J64*H1432</x:f>
        <x:v>0</x:v>
      </x:c>
      <x:c r="AG1432" s="15" t="n">
        <x:f>'기준스탯 72종'!K64*H1432</x:f>
        <x:v>0</x:v>
      </x:c>
    </x:row>
    <x:row r="1433" ht="28" customHeight="1">
      <x:c r="A1433" s="2" t="n">
        <x:v>1426</x:v>
      </x:c>
      <x:c r="B1433" s="2" t="n">
        <x:v>58</x:v>
      </x:c>
      <x:c r="C1433" s="2" t="str">
        <x:v>염소자리</x:v>
      </x:c>
      <x:c r="D1433" s="2" t="str">
        <x:v>정령사</x:v>
      </x:c>
      <x:c r="E1433" s="2" t="n">
        <x:v>1</x:v>
      </x:c>
      <x:c r="F1433" s="2" t="n">
        <x:v>1</x:v>
      </x:c>
      <x:c r="G1433" s="14" t="n">
        <x:f>('레벨 계산식'!$E$4-E1433)*'레벨 계산식'!$B$5</x:f>
        <x:v>0.5599999999999999</x:v>
      </x:c>
      <x:c r="H1433" s="14" t="n">
        <x:f>('등급 계산식'!$E$4-F1433)*'등급 계산식'!$B$5</x:f>
        <x:v>0.24000000000000005</x:v>
      </x:c>
      <x:c r="I1433" s="14" t="n">
        <x:f>1-G1433-H1433</x:f>
        <x:v>0.2</x:v>
      </x:c>
      <x:c r="J1433" s="2" t="n">
        <x:f>MAX(1,ROUND('기준스탯 72종'!D65-R1433-Z1433,0))</x:f>
        <x:v>1</x:v>
      </x:c>
      <x:c r="K1433" s="2" t="n">
        <x:f>MAX(1,ROUND('기준스탯 72종'!E65-S1433-AA1433,0))</x:f>
        <x:v>2</x:v>
      </x:c>
      <x:c r="L1433" s="2" t="n">
        <x:f>MAX(1,ROUND('기준스탯 72종'!F65-T1433-AB1433,0))</x:f>
        <x:v>2</x:v>
      </x:c>
      <x:c r="M1433" s="2" t="n">
        <x:f>MAX(1,ROUND('기준스탯 72종'!G65-U1433-AC1433,0))</x:f>
        <x:v>1</x:v>
      </x:c>
      <x:c r="N1433" s="2" t="n">
        <x:f>MAX(0,ROUND('기준스탯 72종'!H65-V1433-AD1433,0))</x:f>
        <x:v>0</x:v>
      </x:c>
      <x:c r="O1433" s="2" t="n">
        <x:f>MAX(0,ROUND('기준스탯 72종'!I65-W1433-AE1433,0))</x:f>
        <x:v>1</x:v>
      </x:c>
      <x:c r="P1433" s="2" t="n">
        <x:f>MAX(0,ROUND('기준스탯 72종'!J65-X1433-AF1433,0))</x:f>
        <x:v>1</x:v>
      </x:c>
      <x:c r="Q1433" s="2" t="n">
        <x:f>MAX(0,ROUND('기준스탯 72종'!K65-Y1433-AG1433,0))</x:f>
        <x:v>1</x:v>
      </x:c>
      <x:c r="R1433" s="15" t="n">
        <x:f>'기준스탯 72종'!D65*G1433</x:f>
        <x:v>3.3599999999999994</x:v>
      </x:c>
      <x:c r="S1433" s="15" t="n">
        <x:f>'기준스탯 72종'!E65*G1433</x:f>
        <x:v>5.039999999999999</x:v>
      </x:c>
      <x:c r="T1433" s="15" t="n">
        <x:f>'기준스탯 72종'!F65*G1433</x:f>
        <x:v>5.6</x:v>
      </x:c>
      <x:c r="U1433" s="15" t="n">
        <x:f>'기준스탯 72종'!G65*G1433</x:f>
        <x:v>3.3599999999999994</x:v>
      </x:c>
      <x:c r="V1433" s="15" t="n">
        <x:f>'기준스탯 72종'!H65*G1433</x:f>
        <x:v>0.5599999999999999</x:v>
      </x:c>
      <x:c r="W1433" s="15" t="n">
        <x:f>'기준스탯 72종'!I65*G1433</x:f>
        <x:v>2.8</x:v>
      </x:c>
      <x:c r="X1433" s="15" t="n">
        <x:f>'기준스탯 72종'!J65*G1433</x:f>
        <x:v>1.6799999999999997</x:v>
      </x:c>
      <x:c r="Y1433" s="15" t="n">
        <x:f>'기준스탯 72종'!K65*G1433</x:f>
        <x:v>3.9199999999999995</x:v>
      </x:c>
      <x:c r="Z1433" s="15" t="n">
        <x:f>'기준스탯 72종'!D65*H1433</x:f>
        <x:v>1.4400000000000004</x:v>
      </x:c>
      <x:c r="AA1433" s="15" t="n">
        <x:f>'기준스탯 72종'!E65*H1433</x:f>
        <x:v>2.1600000000000006</x:v>
      </x:c>
      <x:c r="AB1433" s="15" t="n">
        <x:f>'기준스탯 72종'!F65*H1433</x:f>
        <x:v>2.4000000000000004</x:v>
      </x:c>
      <x:c r="AC1433" s="15" t="n">
        <x:f>'기준스탯 72종'!G65*H1433</x:f>
        <x:v>1.4400000000000004</x:v>
      </x:c>
      <x:c r="AD1433" s="15" t="n">
        <x:f>'기준스탯 72종'!H65*H1433</x:f>
        <x:v>0.24000000000000005</x:v>
      </x:c>
      <x:c r="AE1433" s="15" t="n">
        <x:f>'기준스탯 72종'!I65*H1433</x:f>
        <x:v>1.2000000000000002</x:v>
      </x:c>
      <x:c r="AF1433" s="15" t="n">
        <x:f>'기준스탯 72종'!J65*H1433</x:f>
        <x:v>0.7200000000000002</x:v>
      </x:c>
      <x:c r="AG1433" s="15" t="n">
        <x:f>'기준스탯 72종'!K65*H1433</x:f>
        <x:v>1.6800000000000004</x:v>
      </x:c>
    </x:row>
    <x:row r="1434" ht="28" customHeight="1">
      <x:c r="A1434" s="2" t="n">
        <x:v>1427</x:v>
      </x:c>
      <x:c r="B1434" s="2" t="n">
        <x:v>58</x:v>
      </x:c>
      <x:c r="C1434" s="2" t="str">
        <x:v>염소자리</x:v>
      </x:c>
      <x:c r="D1434" s="2" t="str">
        <x:v>정령사</x:v>
      </x:c>
      <x:c r="E1434" s="2" t="n">
        <x:v>2</x:v>
      </x:c>
      <x:c r="F1434" s="2" t="n">
        <x:v>1</x:v>
      </x:c>
      <x:c r="G1434" s="14" t="n">
        <x:f>('레벨 계산식'!$E$4-E1434)*'레벨 계산식'!$B$5</x:f>
        <x:v>0.41999999999999993</x:v>
      </x:c>
      <x:c r="H1434" s="14" t="n">
        <x:f>('등급 계산식'!$E$4-F1434)*'등급 계산식'!$B$5</x:f>
        <x:v>0.24000000000000005</x:v>
      </x:c>
      <x:c r="I1434" s="14" t="n">
        <x:f>1-G1434-H1434</x:f>
        <x:v>0.34</x:v>
      </x:c>
      <x:c r="J1434" s="2" t="n">
        <x:f>MAX(1,ROUND('기준스탯 72종'!D65-R1434-Z1434,0))</x:f>
        <x:v>2</x:v>
      </x:c>
      <x:c r="K1434" s="2" t="n">
        <x:f>MAX(1,ROUND('기준스탯 72종'!E65-S1434-AA1434,0))</x:f>
        <x:v>3</x:v>
      </x:c>
      <x:c r="L1434" s="2" t="n">
        <x:f>MAX(1,ROUND('기준스탯 72종'!F65-T1434-AB1434,0))</x:f>
        <x:v>3</x:v>
      </x:c>
      <x:c r="M1434" s="2" t="n">
        <x:f>MAX(1,ROUND('기준스탯 72종'!G65-U1434-AC1434,0))</x:f>
        <x:v>2</x:v>
      </x:c>
      <x:c r="N1434" s="2" t="n">
        <x:f>MAX(0,ROUND('기준스탯 72종'!H65-V1434-AD1434,0))</x:f>
        <x:v>0</x:v>
      </x:c>
      <x:c r="O1434" s="2" t="n">
        <x:f>MAX(0,ROUND('기준스탯 72종'!I65-W1434-AE1434,0))</x:f>
        <x:v>2</x:v>
      </x:c>
      <x:c r="P1434" s="2" t="n">
        <x:f>MAX(0,ROUND('기준스탯 72종'!J65-X1434-AF1434,0))</x:f>
        <x:v>1</x:v>
      </x:c>
      <x:c r="Q1434" s="2" t="n">
        <x:f>MAX(0,ROUND('기준스탯 72종'!K65-Y1434-AG1434,0))</x:f>
        <x:v>2</x:v>
      </x:c>
      <x:c r="R1434" s="15" t="n">
        <x:f>'기준스탯 72종'!D65*G1434</x:f>
        <x:v>2.5199999999999996</x:v>
      </x:c>
      <x:c r="S1434" s="15" t="n">
        <x:f>'기준스탯 72종'!E65*G1434</x:f>
        <x:v>3.7799999999999994</x:v>
      </x:c>
      <x:c r="T1434" s="15" t="n">
        <x:f>'기준스탯 72종'!F65*G1434</x:f>
        <x:v>4.199999999999999</x:v>
      </x:c>
      <x:c r="U1434" s="15" t="n">
        <x:f>'기준스탯 72종'!G65*G1434</x:f>
        <x:v>2.5199999999999996</x:v>
      </x:c>
      <x:c r="V1434" s="15" t="n">
        <x:f>'기준스탯 72종'!H65*G1434</x:f>
        <x:v>0.41999999999999993</x:v>
      </x:c>
      <x:c r="W1434" s="15" t="n">
        <x:f>'기준스탯 72종'!I65*G1434</x:f>
        <x:v>2.0999999999999996</x:v>
      </x:c>
      <x:c r="X1434" s="15" t="n">
        <x:f>'기준스탯 72종'!J65*G1434</x:f>
        <x:v>1.2599999999999998</x:v>
      </x:c>
      <x:c r="Y1434" s="15" t="n">
        <x:f>'기준스탯 72종'!K65*G1434</x:f>
        <x:v>2.9399999999999995</x:v>
      </x:c>
      <x:c r="Z1434" s="15" t="n">
        <x:f>'기준스탯 72종'!D65*H1434</x:f>
        <x:v>1.4400000000000004</x:v>
      </x:c>
      <x:c r="AA1434" s="15" t="n">
        <x:f>'기준스탯 72종'!E65*H1434</x:f>
        <x:v>2.1600000000000006</x:v>
      </x:c>
      <x:c r="AB1434" s="15" t="n">
        <x:f>'기준스탯 72종'!F65*H1434</x:f>
        <x:v>2.4000000000000004</x:v>
      </x:c>
      <x:c r="AC1434" s="15" t="n">
        <x:f>'기준스탯 72종'!G65*H1434</x:f>
        <x:v>1.4400000000000004</x:v>
      </x:c>
      <x:c r="AD1434" s="15" t="n">
        <x:f>'기준스탯 72종'!H65*H1434</x:f>
        <x:v>0.24000000000000005</x:v>
      </x:c>
      <x:c r="AE1434" s="15" t="n">
        <x:f>'기준스탯 72종'!I65*H1434</x:f>
        <x:v>1.2000000000000002</x:v>
      </x:c>
      <x:c r="AF1434" s="15" t="n">
        <x:f>'기준스탯 72종'!J65*H1434</x:f>
        <x:v>0.7200000000000002</x:v>
      </x:c>
      <x:c r="AG1434" s="15" t="n">
        <x:f>'기준스탯 72종'!K65*H1434</x:f>
        <x:v>1.6800000000000004</x:v>
      </x:c>
    </x:row>
    <x:row r="1435" ht="28" customHeight="1">
      <x:c r="A1435" s="2" t="n">
        <x:v>1428</x:v>
      </x:c>
      <x:c r="B1435" s="2" t="n">
        <x:v>58</x:v>
      </x:c>
      <x:c r="C1435" s="2" t="str">
        <x:v>염소자리</x:v>
      </x:c>
      <x:c r="D1435" s="2" t="str">
        <x:v>정령사</x:v>
      </x:c>
      <x:c r="E1435" s="2" t="n">
        <x:v>3</x:v>
      </x:c>
      <x:c r="F1435" s="2" t="n">
        <x:v>1</x:v>
      </x:c>
      <x:c r="G1435" s="14" t="n">
        <x:f>('레벨 계산식'!$E$4-E1435)*'레벨 계산식'!$B$5</x:f>
        <x:v>0.27999999999999997</x:v>
      </x:c>
      <x:c r="H1435" s="14" t="n">
        <x:f>('등급 계산식'!$E$4-F1435)*'등급 계산식'!$B$5</x:f>
        <x:v>0.24000000000000005</x:v>
      </x:c>
      <x:c r="I1435" s="14" t="n">
        <x:f>1-G1435-H1435</x:f>
        <x:v>0.4799999999999999</x:v>
      </x:c>
      <x:c r="J1435" s="2" t="n">
        <x:f>MAX(1,ROUND('기준스탯 72종'!D65-R1435-Z1435,0))</x:f>
        <x:v>3</x:v>
      </x:c>
      <x:c r="K1435" s="2" t="n">
        <x:f>MAX(1,ROUND('기준스탯 72종'!E65-S1435-AA1435,0))</x:f>
        <x:v>4</x:v>
      </x:c>
      <x:c r="L1435" s="2" t="n">
        <x:f>MAX(1,ROUND('기준스탯 72종'!F65-T1435-AB1435,0))</x:f>
        <x:v>5</x:v>
      </x:c>
      <x:c r="M1435" s="2" t="n">
        <x:f>MAX(1,ROUND('기준스탯 72종'!G65-U1435-AC1435,0))</x:f>
        <x:v>3</x:v>
      </x:c>
      <x:c r="N1435" s="2" t="n">
        <x:f>MAX(0,ROUND('기준스탯 72종'!H65-V1435-AD1435,0))</x:f>
        <x:v>0</x:v>
      </x:c>
      <x:c r="O1435" s="2" t="n">
        <x:f>MAX(0,ROUND('기준스탯 72종'!I65-W1435-AE1435,0))</x:f>
        <x:v>2</x:v>
      </x:c>
      <x:c r="P1435" s="2" t="n">
        <x:f>MAX(0,ROUND('기준스탯 72종'!J65-X1435-AF1435,0))</x:f>
        <x:v>1</x:v>
      </x:c>
      <x:c r="Q1435" s="2" t="n">
        <x:f>MAX(0,ROUND('기준스탯 72종'!K65-Y1435-AG1435,0))</x:f>
        <x:v>3</x:v>
      </x:c>
      <x:c r="R1435" s="15" t="n">
        <x:f>'기준스탯 72종'!D65*G1435</x:f>
        <x:v>1.6799999999999997</x:v>
      </x:c>
      <x:c r="S1435" s="15" t="n">
        <x:f>'기준스탯 72종'!E65*G1435</x:f>
        <x:v>2.5199999999999996</x:v>
      </x:c>
      <x:c r="T1435" s="15" t="n">
        <x:f>'기준스탯 72종'!F65*G1435</x:f>
        <x:v>2.8</x:v>
      </x:c>
      <x:c r="U1435" s="15" t="n">
        <x:f>'기준스탯 72종'!G65*G1435</x:f>
        <x:v>1.6799999999999997</x:v>
      </x:c>
      <x:c r="V1435" s="15" t="n">
        <x:f>'기준스탯 72종'!H65*G1435</x:f>
        <x:v>0.27999999999999997</x:v>
      </x:c>
      <x:c r="W1435" s="15" t="n">
        <x:f>'기준스탯 72종'!I65*G1435</x:f>
        <x:v>1.4</x:v>
      </x:c>
      <x:c r="X1435" s="15" t="n">
        <x:f>'기준스탯 72종'!J65*G1435</x:f>
        <x:v>0.8399999999999999</x:v>
      </x:c>
      <x:c r="Y1435" s="15" t="n">
        <x:f>'기준스탯 72종'!K65*G1435</x:f>
        <x:v>1.9599999999999997</x:v>
      </x:c>
      <x:c r="Z1435" s="15" t="n">
        <x:f>'기준스탯 72종'!D65*H1435</x:f>
        <x:v>1.4400000000000004</x:v>
      </x:c>
      <x:c r="AA1435" s="15" t="n">
        <x:f>'기준스탯 72종'!E65*H1435</x:f>
        <x:v>2.1600000000000006</x:v>
      </x:c>
      <x:c r="AB1435" s="15" t="n">
        <x:f>'기준스탯 72종'!F65*H1435</x:f>
        <x:v>2.4000000000000004</x:v>
      </x:c>
      <x:c r="AC1435" s="15" t="n">
        <x:f>'기준스탯 72종'!G65*H1435</x:f>
        <x:v>1.4400000000000004</x:v>
      </x:c>
      <x:c r="AD1435" s="15" t="n">
        <x:f>'기준스탯 72종'!H65*H1435</x:f>
        <x:v>0.24000000000000005</x:v>
      </x:c>
      <x:c r="AE1435" s="15" t="n">
        <x:f>'기준스탯 72종'!I65*H1435</x:f>
        <x:v>1.2000000000000002</x:v>
      </x:c>
      <x:c r="AF1435" s="15" t="n">
        <x:f>'기준스탯 72종'!J65*H1435</x:f>
        <x:v>0.7200000000000002</x:v>
      </x:c>
      <x:c r="AG1435" s="15" t="n">
        <x:f>'기준스탯 72종'!K65*H1435</x:f>
        <x:v>1.6800000000000004</x:v>
      </x:c>
    </x:row>
    <x:row r="1436" ht="28" customHeight="1">
      <x:c r="A1436" s="2" t="n">
        <x:v>1429</x:v>
      </x:c>
      <x:c r="B1436" s="2" t="n">
        <x:v>58</x:v>
      </x:c>
      <x:c r="C1436" s="2" t="str">
        <x:v>염소자리</x:v>
      </x:c>
      <x:c r="D1436" s="2" t="str">
        <x:v>정령사</x:v>
      </x:c>
      <x:c r="E1436" s="2" t="n">
        <x:v>4</x:v>
      </x:c>
      <x:c r="F1436" s="2" t="n">
        <x:v>1</x:v>
      </x:c>
      <x:c r="G1436" s="14" t="n">
        <x:f>('레벨 계산식'!$E$4-E1436)*'레벨 계산식'!$B$5</x:f>
        <x:v>0.13999999999999999</x:v>
      </x:c>
      <x:c r="H1436" s="14" t="n">
        <x:f>('등급 계산식'!$E$4-F1436)*'등급 계산식'!$B$5</x:f>
        <x:v>0.24000000000000005</x:v>
      </x:c>
      <x:c r="I1436" s="14" t="n">
        <x:f>1-G1436-H1436</x:f>
        <x:v>0.6199999999999999</x:v>
      </x:c>
      <x:c r="J1436" s="2" t="n">
        <x:f>MAX(1,ROUND('기준스탯 72종'!D65-R1436-Z1436,0))</x:f>
        <x:v>4</x:v>
      </x:c>
      <x:c r="K1436" s="2" t="n">
        <x:f>MAX(1,ROUND('기준스탯 72종'!E65-S1436-AA1436,0))</x:f>
        <x:v>6</x:v>
      </x:c>
      <x:c r="L1436" s="2" t="n">
        <x:f>MAX(1,ROUND('기준스탯 72종'!F65-T1436-AB1436,0))</x:f>
        <x:v>6</x:v>
      </x:c>
      <x:c r="M1436" s="2" t="n">
        <x:f>MAX(1,ROUND('기준스탯 72종'!G65-U1436-AC1436,0))</x:f>
        <x:v>4</x:v>
      </x:c>
      <x:c r="N1436" s="2" t="n">
        <x:f>MAX(0,ROUND('기준스탯 72종'!H65-V1436-AD1436,0))</x:f>
        <x:v>1</x:v>
      </x:c>
      <x:c r="O1436" s="2" t="n">
        <x:f>MAX(0,ROUND('기준스탯 72종'!I65-W1436-AE1436,0))</x:f>
        <x:v>3</x:v>
      </x:c>
      <x:c r="P1436" s="2" t="n">
        <x:f>MAX(0,ROUND('기준스탯 72종'!J65-X1436-AF1436,0))</x:f>
        <x:v>2</x:v>
      </x:c>
      <x:c r="Q1436" s="2" t="n">
        <x:f>MAX(0,ROUND('기준스탯 72종'!K65-Y1436-AG1436,0))</x:f>
        <x:v>4</x:v>
      </x:c>
      <x:c r="R1436" s="15" t="n">
        <x:f>'기준스탯 72종'!D65*G1436</x:f>
        <x:v>0.8399999999999999</x:v>
      </x:c>
      <x:c r="S1436" s="15" t="n">
        <x:f>'기준스탯 72종'!E65*G1436</x:f>
        <x:v>1.2599999999999998</x:v>
      </x:c>
      <x:c r="T1436" s="15" t="n">
        <x:f>'기준스탯 72종'!F65*G1436</x:f>
        <x:v>1.4</x:v>
      </x:c>
      <x:c r="U1436" s="15" t="n">
        <x:f>'기준스탯 72종'!G65*G1436</x:f>
        <x:v>0.8399999999999999</x:v>
      </x:c>
      <x:c r="V1436" s="15" t="n">
        <x:f>'기준스탯 72종'!H65*G1436</x:f>
        <x:v>0.13999999999999999</x:v>
      </x:c>
      <x:c r="W1436" s="15" t="n">
        <x:f>'기준스탯 72종'!I65*G1436</x:f>
        <x:v>0.7</x:v>
      </x:c>
      <x:c r="X1436" s="15" t="n">
        <x:f>'기준스탯 72종'!J65*G1436</x:f>
        <x:v>0.41999999999999993</x:v>
      </x:c>
      <x:c r="Y1436" s="15" t="n">
        <x:f>'기준스탯 72종'!K65*G1436</x:f>
        <x:v>0.9799999999999999</x:v>
      </x:c>
      <x:c r="Z1436" s="15" t="n">
        <x:f>'기준스탯 72종'!D65*H1436</x:f>
        <x:v>1.4400000000000004</x:v>
      </x:c>
      <x:c r="AA1436" s="15" t="n">
        <x:f>'기준스탯 72종'!E65*H1436</x:f>
        <x:v>2.1600000000000006</x:v>
      </x:c>
      <x:c r="AB1436" s="15" t="n">
        <x:f>'기준스탯 72종'!F65*H1436</x:f>
        <x:v>2.4000000000000004</x:v>
      </x:c>
      <x:c r="AC1436" s="15" t="n">
        <x:f>'기준스탯 72종'!G65*H1436</x:f>
        <x:v>1.4400000000000004</x:v>
      </x:c>
      <x:c r="AD1436" s="15" t="n">
        <x:f>'기준스탯 72종'!H65*H1436</x:f>
        <x:v>0.24000000000000005</x:v>
      </x:c>
      <x:c r="AE1436" s="15" t="n">
        <x:f>'기준스탯 72종'!I65*H1436</x:f>
        <x:v>1.2000000000000002</x:v>
      </x:c>
      <x:c r="AF1436" s="15" t="n">
        <x:f>'기준스탯 72종'!J65*H1436</x:f>
        <x:v>0.7200000000000002</x:v>
      </x:c>
      <x:c r="AG1436" s="15" t="n">
        <x:f>'기준스탯 72종'!K65*H1436</x:f>
        <x:v>1.6800000000000004</x:v>
      </x:c>
    </x:row>
    <x:row r="1437" ht="28" customHeight="1">
      <x:c r="A1437" s="2" t="n">
        <x:v>1430</x:v>
      </x:c>
      <x:c r="B1437" s="2" t="n">
        <x:v>58</x:v>
      </x:c>
      <x:c r="C1437" s="2" t="str">
        <x:v>염소자리</x:v>
      </x:c>
      <x:c r="D1437" s="2" t="str">
        <x:v>정령사</x:v>
      </x:c>
      <x:c r="E1437" s="2" t="n">
        <x:v>5</x:v>
      </x:c>
      <x:c r="F1437" s="2" t="n">
        <x:v>1</x:v>
      </x:c>
      <x:c r="G1437" s="14" t="n">
        <x:f>('레벨 계산식'!$E$4-E1437)*'레벨 계산식'!$B$5</x:f>
        <x:v>0</x:v>
      </x:c>
      <x:c r="H1437" s="14" t="n">
        <x:f>('등급 계산식'!$E$4-F1437)*'등급 계산식'!$B$5</x:f>
        <x:v>0.24000000000000005</x:v>
      </x:c>
      <x:c r="I1437" s="14" t="n">
        <x:f>1-G1437-H1437</x:f>
        <x:v>0.76</x:v>
      </x:c>
      <x:c r="J1437" s="2" t="n">
        <x:f>MAX(1,ROUND('기준스탯 72종'!D65-R1437-Z1437,0))</x:f>
        <x:v>5</x:v>
      </x:c>
      <x:c r="K1437" s="2" t="n">
        <x:f>MAX(1,ROUND('기준스탯 72종'!E65-S1437-AA1437,0))</x:f>
        <x:v>7</x:v>
      </x:c>
      <x:c r="L1437" s="2" t="n">
        <x:f>MAX(1,ROUND('기준스탯 72종'!F65-T1437-AB1437,0))</x:f>
        <x:v>8</x:v>
      </x:c>
      <x:c r="M1437" s="2" t="n">
        <x:f>MAX(1,ROUND('기준스탯 72종'!G65-U1437-AC1437,0))</x:f>
        <x:v>5</x:v>
      </x:c>
      <x:c r="N1437" s="2" t="n">
        <x:f>MAX(0,ROUND('기준스탯 72종'!H65-V1437-AD1437,0))</x:f>
        <x:v>1</x:v>
      </x:c>
      <x:c r="O1437" s="2" t="n">
        <x:f>MAX(0,ROUND('기준스탯 72종'!I65-W1437-AE1437,0))</x:f>
        <x:v>4</x:v>
      </x:c>
      <x:c r="P1437" s="2" t="n">
        <x:f>MAX(0,ROUND('기준스탯 72종'!J65-X1437-AF1437,0))</x:f>
        <x:v>2</x:v>
      </x:c>
      <x:c r="Q1437" s="2" t="n">
        <x:f>MAX(0,ROUND('기준스탯 72종'!K65-Y1437-AG1437,0))</x:f>
        <x:v>5</x:v>
      </x:c>
      <x:c r="R1437" s="15" t="n">
        <x:f>'기준스탯 72종'!D65*G1437</x:f>
        <x:v>0</x:v>
      </x:c>
      <x:c r="S1437" s="15" t="n">
        <x:f>'기준스탯 72종'!E65*G1437</x:f>
        <x:v>0</x:v>
      </x:c>
      <x:c r="T1437" s="15" t="n">
        <x:f>'기준스탯 72종'!F65*G1437</x:f>
        <x:v>0</x:v>
      </x:c>
      <x:c r="U1437" s="15" t="n">
        <x:f>'기준스탯 72종'!G65*G1437</x:f>
        <x:v>0</x:v>
      </x:c>
      <x:c r="V1437" s="15" t="n">
        <x:f>'기준스탯 72종'!H65*G1437</x:f>
        <x:v>0</x:v>
      </x:c>
      <x:c r="W1437" s="15" t="n">
        <x:f>'기준스탯 72종'!I65*G1437</x:f>
        <x:v>0</x:v>
      </x:c>
      <x:c r="X1437" s="15" t="n">
        <x:f>'기준스탯 72종'!J65*G1437</x:f>
        <x:v>0</x:v>
      </x:c>
      <x:c r="Y1437" s="15" t="n">
        <x:f>'기준스탯 72종'!K65*G1437</x:f>
        <x:v>0</x:v>
      </x:c>
      <x:c r="Z1437" s="15" t="n">
        <x:f>'기준스탯 72종'!D65*H1437</x:f>
        <x:v>1.4400000000000004</x:v>
      </x:c>
      <x:c r="AA1437" s="15" t="n">
        <x:f>'기준스탯 72종'!E65*H1437</x:f>
        <x:v>2.1600000000000006</x:v>
      </x:c>
      <x:c r="AB1437" s="15" t="n">
        <x:f>'기준스탯 72종'!F65*H1437</x:f>
        <x:v>2.4000000000000004</x:v>
      </x:c>
      <x:c r="AC1437" s="15" t="n">
        <x:f>'기준스탯 72종'!G65*H1437</x:f>
        <x:v>1.4400000000000004</x:v>
      </x:c>
      <x:c r="AD1437" s="15" t="n">
        <x:f>'기준스탯 72종'!H65*H1437</x:f>
        <x:v>0.24000000000000005</x:v>
      </x:c>
      <x:c r="AE1437" s="15" t="n">
        <x:f>'기준스탯 72종'!I65*H1437</x:f>
        <x:v>1.2000000000000002</x:v>
      </x:c>
      <x:c r="AF1437" s="15" t="n">
        <x:f>'기준스탯 72종'!J65*H1437</x:f>
        <x:v>0.7200000000000002</x:v>
      </x:c>
      <x:c r="AG1437" s="15" t="n">
        <x:f>'기준스탯 72종'!K65*H1437</x:f>
        <x:v>1.6800000000000004</x:v>
      </x:c>
    </x:row>
    <x:row r="1438" ht="28" customHeight="1">
      <x:c r="A1438" s="2" t="n">
        <x:v>1431</x:v>
      </x:c>
      <x:c r="B1438" s="2" t="n">
        <x:v>58</x:v>
      </x:c>
      <x:c r="C1438" s="2" t="str">
        <x:v>염소자리</x:v>
      </x:c>
      <x:c r="D1438" s="2" t="str">
        <x:v>정령사</x:v>
      </x:c>
      <x:c r="E1438" s="2" t="n">
        <x:v>1</x:v>
      </x:c>
      <x:c r="F1438" s="2" t="n">
        <x:v>2</x:v>
      </x:c>
      <x:c r="G1438" s="14" t="n">
        <x:f>('레벨 계산식'!$E$4-E1438)*'레벨 계산식'!$B$5</x:f>
        <x:v>0.5599999999999999</x:v>
      </x:c>
      <x:c r="H1438" s="14" t="n">
        <x:f>('등급 계산식'!$E$4-F1438)*'등급 계산식'!$B$5</x:f>
        <x:v>0.18000000000000005</x:v>
      </x:c>
      <x:c r="I1438" s="14" t="n">
        <x:f>1-G1438-H1438</x:f>
        <x:v>0.26</x:v>
      </x:c>
      <x:c r="J1438" s="2" t="n">
        <x:f>MAX(1,ROUND('기준스탯 72종'!D65-R1438-Z1438,0))</x:f>
        <x:v>2</x:v>
      </x:c>
      <x:c r="K1438" s="2" t="n">
        <x:f>MAX(1,ROUND('기준스탯 72종'!E65-S1438-AA1438,0))</x:f>
        <x:v>2</x:v>
      </x:c>
      <x:c r="L1438" s="2" t="n">
        <x:f>MAX(1,ROUND('기준스탯 72종'!F65-T1438-AB1438,0))</x:f>
        <x:v>3</x:v>
      </x:c>
      <x:c r="M1438" s="2" t="n">
        <x:f>MAX(1,ROUND('기준스탯 72종'!G65-U1438-AC1438,0))</x:f>
        <x:v>2</x:v>
      </x:c>
      <x:c r="N1438" s="2" t="n">
        <x:f>MAX(0,ROUND('기준스탯 72종'!H65-V1438-AD1438,0))</x:f>
        <x:v>0</x:v>
      </x:c>
      <x:c r="O1438" s="2" t="n">
        <x:f>MAX(0,ROUND('기준스탯 72종'!I65-W1438-AE1438,0))</x:f>
        <x:v>1</x:v>
      </x:c>
      <x:c r="P1438" s="2" t="n">
        <x:f>MAX(0,ROUND('기준스탯 72종'!J65-X1438-AF1438,0))</x:f>
        <x:v>1</x:v>
      </x:c>
      <x:c r="Q1438" s="2" t="n">
        <x:f>MAX(0,ROUND('기준스탯 72종'!K65-Y1438-AG1438,0))</x:f>
        <x:v>2</x:v>
      </x:c>
      <x:c r="R1438" s="15" t="n">
        <x:f>'기준스탯 72종'!D65*G1438</x:f>
        <x:v>3.3599999999999994</x:v>
      </x:c>
      <x:c r="S1438" s="15" t="n">
        <x:f>'기준스탯 72종'!E65*G1438</x:f>
        <x:v>5.039999999999999</x:v>
      </x:c>
      <x:c r="T1438" s="15" t="n">
        <x:f>'기준스탯 72종'!F65*G1438</x:f>
        <x:v>5.6</x:v>
      </x:c>
      <x:c r="U1438" s="15" t="n">
        <x:f>'기준스탯 72종'!G65*G1438</x:f>
        <x:v>3.3599999999999994</x:v>
      </x:c>
      <x:c r="V1438" s="15" t="n">
        <x:f>'기준스탯 72종'!H65*G1438</x:f>
        <x:v>0.5599999999999999</x:v>
      </x:c>
      <x:c r="W1438" s="15" t="n">
        <x:f>'기준스탯 72종'!I65*G1438</x:f>
        <x:v>2.8</x:v>
      </x:c>
      <x:c r="X1438" s="15" t="n">
        <x:f>'기준스탯 72종'!J65*G1438</x:f>
        <x:v>1.6799999999999997</x:v>
      </x:c>
      <x:c r="Y1438" s="15" t="n">
        <x:f>'기준스탯 72종'!K65*G1438</x:f>
        <x:v>3.9199999999999995</x:v>
      </x:c>
      <x:c r="Z1438" s="15" t="n">
        <x:f>'기준스탯 72종'!D65*H1438</x:f>
        <x:v>1.0800000000000003</x:v>
      </x:c>
      <x:c r="AA1438" s="15" t="n">
        <x:f>'기준스탯 72종'!E65*H1438</x:f>
        <x:v>1.6200000000000006</x:v>
      </x:c>
      <x:c r="AB1438" s="15" t="n">
        <x:f>'기준스탯 72종'!F65*H1438</x:f>
        <x:v>1.8000000000000005</x:v>
      </x:c>
      <x:c r="AC1438" s="15" t="n">
        <x:f>'기준스탯 72종'!G65*H1438</x:f>
        <x:v>1.0800000000000003</x:v>
      </x:c>
      <x:c r="AD1438" s="15" t="n">
        <x:f>'기준스탯 72종'!H65*H1438</x:f>
        <x:v>0.18000000000000005</x:v>
      </x:c>
      <x:c r="AE1438" s="15" t="n">
        <x:f>'기준스탯 72종'!I65*H1438</x:f>
        <x:v>0.9000000000000002</x:v>
      </x:c>
      <x:c r="AF1438" s="15" t="n">
        <x:f>'기준스탯 72종'!J65*H1438</x:f>
        <x:v>0.5400000000000001</x:v>
      </x:c>
      <x:c r="AG1438" s="15" t="n">
        <x:f>'기준스탯 72종'!K65*H1438</x:f>
        <x:v>1.2600000000000002</x:v>
      </x:c>
    </x:row>
    <x:row r="1439" ht="28" customHeight="1">
      <x:c r="A1439" s="2" t="n">
        <x:v>1432</x:v>
      </x:c>
      <x:c r="B1439" s="2" t="n">
        <x:v>58</x:v>
      </x:c>
      <x:c r="C1439" s="2" t="str">
        <x:v>염소자리</x:v>
      </x:c>
      <x:c r="D1439" s="2" t="str">
        <x:v>정령사</x:v>
      </x:c>
      <x:c r="E1439" s="2" t="n">
        <x:v>2</x:v>
      </x:c>
      <x:c r="F1439" s="2" t="n">
        <x:v>2</x:v>
      </x:c>
      <x:c r="G1439" s="14" t="n">
        <x:f>('레벨 계산식'!$E$4-E1439)*'레벨 계산식'!$B$5</x:f>
        <x:v>0.41999999999999993</x:v>
      </x:c>
      <x:c r="H1439" s="14" t="n">
        <x:f>('등급 계산식'!$E$4-F1439)*'등급 계산식'!$B$5</x:f>
        <x:v>0.18000000000000005</x:v>
      </x:c>
      <x:c r="I1439" s="14" t="n">
        <x:f>1-G1439-H1439</x:f>
        <x:v>0.4</x:v>
      </x:c>
      <x:c r="J1439" s="2" t="n">
        <x:f>MAX(1,ROUND('기준스탯 72종'!D65-R1439-Z1439,0))</x:f>
        <x:v>2</x:v>
      </x:c>
      <x:c r="K1439" s="2" t="n">
        <x:f>MAX(1,ROUND('기준스탯 72종'!E65-S1439-AA1439,0))</x:f>
        <x:v>4</x:v>
      </x:c>
      <x:c r="L1439" s="2" t="n">
        <x:f>MAX(1,ROUND('기준스탯 72종'!F65-T1439-AB1439,0))</x:f>
        <x:v>4</x:v>
      </x:c>
      <x:c r="M1439" s="2" t="n">
        <x:f>MAX(1,ROUND('기준스탯 72종'!G65-U1439-AC1439,0))</x:f>
        <x:v>2</x:v>
      </x:c>
      <x:c r="N1439" s="2" t="n">
        <x:f>MAX(0,ROUND('기준스탯 72종'!H65-V1439-AD1439,0))</x:f>
        <x:v>0</x:v>
      </x:c>
      <x:c r="O1439" s="2" t="n">
        <x:f>MAX(0,ROUND('기준스탯 72종'!I65-W1439-AE1439,0))</x:f>
        <x:v>2</x:v>
      </x:c>
      <x:c r="P1439" s="2" t="n">
        <x:f>MAX(0,ROUND('기준스탯 72종'!J65-X1439-AF1439,0))</x:f>
        <x:v>1</x:v>
      </x:c>
      <x:c r="Q1439" s="2" t="n">
        <x:f>MAX(0,ROUND('기준스탯 72종'!K65-Y1439-AG1439,0))</x:f>
        <x:v>3</x:v>
      </x:c>
      <x:c r="R1439" s="15" t="n">
        <x:f>'기준스탯 72종'!D65*G1439</x:f>
        <x:v>2.5199999999999996</x:v>
      </x:c>
      <x:c r="S1439" s="15" t="n">
        <x:f>'기준스탯 72종'!E65*G1439</x:f>
        <x:v>3.7799999999999994</x:v>
      </x:c>
      <x:c r="T1439" s="15" t="n">
        <x:f>'기준스탯 72종'!F65*G1439</x:f>
        <x:v>4.199999999999999</x:v>
      </x:c>
      <x:c r="U1439" s="15" t="n">
        <x:f>'기준스탯 72종'!G65*G1439</x:f>
        <x:v>2.5199999999999996</x:v>
      </x:c>
      <x:c r="V1439" s="15" t="n">
        <x:f>'기준스탯 72종'!H65*G1439</x:f>
        <x:v>0.41999999999999993</x:v>
      </x:c>
      <x:c r="W1439" s="15" t="n">
        <x:f>'기준스탯 72종'!I65*G1439</x:f>
        <x:v>2.0999999999999996</x:v>
      </x:c>
      <x:c r="X1439" s="15" t="n">
        <x:f>'기준스탯 72종'!J65*G1439</x:f>
        <x:v>1.2599999999999998</x:v>
      </x:c>
      <x:c r="Y1439" s="15" t="n">
        <x:f>'기준스탯 72종'!K65*G1439</x:f>
        <x:v>2.9399999999999995</x:v>
      </x:c>
      <x:c r="Z1439" s="15" t="n">
        <x:f>'기준스탯 72종'!D65*H1439</x:f>
        <x:v>1.0800000000000003</x:v>
      </x:c>
      <x:c r="AA1439" s="15" t="n">
        <x:f>'기준스탯 72종'!E65*H1439</x:f>
        <x:v>1.6200000000000006</x:v>
      </x:c>
      <x:c r="AB1439" s="15" t="n">
        <x:f>'기준스탯 72종'!F65*H1439</x:f>
        <x:v>1.8000000000000005</x:v>
      </x:c>
      <x:c r="AC1439" s="15" t="n">
        <x:f>'기준스탯 72종'!G65*H1439</x:f>
        <x:v>1.0800000000000003</x:v>
      </x:c>
      <x:c r="AD1439" s="15" t="n">
        <x:f>'기준스탯 72종'!H65*H1439</x:f>
        <x:v>0.18000000000000005</x:v>
      </x:c>
      <x:c r="AE1439" s="15" t="n">
        <x:f>'기준스탯 72종'!I65*H1439</x:f>
        <x:v>0.9000000000000002</x:v>
      </x:c>
      <x:c r="AF1439" s="15" t="n">
        <x:f>'기준스탯 72종'!J65*H1439</x:f>
        <x:v>0.5400000000000001</x:v>
      </x:c>
      <x:c r="AG1439" s="15" t="n">
        <x:f>'기준스탯 72종'!K65*H1439</x:f>
        <x:v>1.2600000000000002</x:v>
      </x:c>
    </x:row>
    <x:row r="1440" ht="28" customHeight="1">
      <x:c r="A1440" s="2" t="n">
        <x:v>1433</x:v>
      </x:c>
      <x:c r="B1440" s="2" t="n">
        <x:v>58</x:v>
      </x:c>
      <x:c r="C1440" s="2" t="str">
        <x:v>염소자리</x:v>
      </x:c>
      <x:c r="D1440" s="2" t="str">
        <x:v>정령사</x:v>
      </x:c>
      <x:c r="E1440" s="2" t="n">
        <x:v>3</x:v>
      </x:c>
      <x:c r="F1440" s="2" t="n">
        <x:v>2</x:v>
      </x:c>
      <x:c r="G1440" s="14" t="n">
        <x:f>('레벨 계산식'!$E$4-E1440)*'레벨 계산식'!$B$5</x:f>
        <x:v>0.27999999999999997</x:v>
      </x:c>
      <x:c r="H1440" s="14" t="n">
        <x:f>('등급 계산식'!$E$4-F1440)*'등급 계산식'!$B$5</x:f>
        <x:v>0.18000000000000005</x:v>
      </x:c>
      <x:c r="I1440" s="14" t="n">
        <x:f>1-G1440-H1440</x:f>
        <x:v>0.5399999999999999</x:v>
      </x:c>
      <x:c r="J1440" s="2" t="n">
        <x:f>MAX(1,ROUND('기준스탯 72종'!D65-R1440-Z1440,0))</x:f>
        <x:v>3</x:v>
      </x:c>
      <x:c r="K1440" s="2" t="n">
        <x:f>MAX(1,ROUND('기준스탯 72종'!E65-S1440-AA1440,0))</x:f>
        <x:v>5</x:v>
      </x:c>
      <x:c r="L1440" s="2" t="n">
        <x:f>MAX(1,ROUND('기준스탯 72종'!F65-T1440-AB1440,0))</x:f>
        <x:v>5</x:v>
      </x:c>
      <x:c r="M1440" s="2" t="n">
        <x:f>MAX(1,ROUND('기준스탯 72종'!G65-U1440-AC1440,0))</x:f>
        <x:v>3</x:v>
      </x:c>
      <x:c r="N1440" s="2" t="n">
        <x:f>MAX(0,ROUND('기준스탯 72종'!H65-V1440-AD1440,0))</x:f>
        <x:v>1</x:v>
      </x:c>
      <x:c r="O1440" s="2" t="n">
        <x:f>MAX(0,ROUND('기준스탯 72종'!I65-W1440-AE1440,0))</x:f>
        <x:v>3</x:v>
      </x:c>
      <x:c r="P1440" s="2" t="n">
        <x:f>MAX(0,ROUND('기준스탯 72종'!J65-X1440-AF1440,0))</x:f>
        <x:v>2</x:v>
      </x:c>
      <x:c r="Q1440" s="2" t="n">
        <x:f>MAX(0,ROUND('기준스탯 72종'!K65-Y1440-AG1440,0))</x:f>
        <x:v>4</x:v>
      </x:c>
      <x:c r="R1440" s="15" t="n">
        <x:f>'기준스탯 72종'!D65*G1440</x:f>
        <x:v>1.6799999999999997</x:v>
      </x:c>
      <x:c r="S1440" s="15" t="n">
        <x:f>'기준스탯 72종'!E65*G1440</x:f>
        <x:v>2.5199999999999996</x:v>
      </x:c>
      <x:c r="T1440" s="15" t="n">
        <x:f>'기준스탯 72종'!F65*G1440</x:f>
        <x:v>2.8</x:v>
      </x:c>
      <x:c r="U1440" s="15" t="n">
        <x:f>'기준스탯 72종'!G65*G1440</x:f>
        <x:v>1.6799999999999997</x:v>
      </x:c>
      <x:c r="V1440" s="15" t="n">
        <x:f>'기준스탯 72종'!H65*G1440</x:f>
        <x:v>0.27999999999999997</x:v>
      </x:c>
      <x:c r="W1440" s="15" t="n">
        <x:f>'기준스탯 72종'!I65*G1440</x:f>
        <x:v>1.4</x:v>
      </x:c>
      <x:c r="X1440" s="15" t="n">
        <x:f>'기준스탯 72종'!J65*G1440</x:f>
        <x:v>0.8399999999999999</x:v>
      </x:c>
      <x:c r="Y1440" s="15" t="n">
        <x:f>'기준스탯 72종'!K65*G1440</x:f>
        <x:v>1.9599999999999997</x:v>
      </x:c>
      <x:c r="Z1440" s="15" t="n">
        <x:f>'기준스탯 72종'!D65*H1440</x:f>
        <x:v>1.0800000000000003</x:v>
      </x:c>
      <x:c r="AA1440" s="15" t="n">
        <x:f>'기준스탯 72종'!E65*H1440</x:f>
        <x:v>1.6200000000000006</x:v>
      </x:c>
      <x:c r="AB1440" s="15" t="n">
        <x:f>'기준스탯 72종'!F65*H1440</x:f>
        <x:v>1.8000000000000005</x:v>
      </x:c>
      <x:c r="AC1440" s="15" t="n">
        <x:f>'기준스탯 72종'!G65*H1440</x:f>
        <x:v>1.0800000000000003</x:v>
      </x:c>
      <x:c r="AD1440" s="15" t="n">
        <x:f>'기준스탯 72종'!H65*H1440</x:f>
        <x:v>0.18000000000000005</x:v>
      </x:c>
      <x:c r="AE1440" s="15" t="n">
        <x:f>'기준스탯 72종'!I65*H1440</x:f>
        <x:v>0.9000000000000002</x:v>
      </x:c>
      <x:c r="AF1440" s="15" t="n">
        <x:f>'기준스탯 72종'!J65*H1440</x:f>
        <x:v>0.5400000000000001</x:v>
      </x:c>
      <x:c r="AG1440" s="15" t="n">
        <x:f>'기준스탯 72종'!K65*H1440</x:f>
        <x:v>1.2600000000000002</x:v>
      </x:c>
    </x:row>
    <x:row r="1441" ht="28" customHeight="1">
      <x:c r="A1441" s="2" t="n">
        <x:v>1434</x:v>
      </x:c>
      <x:c r="B1441" s="2" t="n">
        <x:v>58</x:v>
      </x:c>
      <x:c r="C1441" s="2" t="str">
        <x:v>염소자리</x:v>
      </x:c>
      <x:c r="D1441" s="2" t="str">
        <x:v>정령사</x:v>
      </x:c>
      <x:c r="E1441" s="2" t="n">
        <x:v>4</x:v>
      </x:c>
      <x:c r="F1441" s="2" t="n">
        <x:v>2</x:v>
      </x:c>
      <x:c r="G1441" s="14" t="n">
        <x:f>('레벨 계산식'!$E$4-E1441)*'레벨 계산식'!$B$5</x:f>
        <x:v>0.13999999999999999</x:v>
      </x:c>
      <x:c r="H1441" s="14" t="n">
        <x:f>('등급 계산식'!$E$4-F1441)*'등급 계산식'!$B$5</x:f>
        <x:v>0.18000000000000005</x:v>
      </x:c>
      <x:c r="I1441" s="14" t="n">
        <x:f>1-G1441-H1441</x:f>
        <x:v>0.6799999999999999</x:v>
      </x:c>
      <x:c r="J1441" s="2" t="n">
        <x:f>MAX(1,ROUND('기준스탯 72종'!D65-R1441-Z1441,0))</x:f>
        <x:v>4</x:v>
      </x:c>
      <x:c r="K1441" s="2" t="n">
        <x:f>MAX(1,ROUND('기준스탯 72종'!E65-S1441-AA1441,0))</x:f>
        <x:v>6</x:v>
      </x:c>
      <x:c r="L1441" s="2" t="n">
        <x:f>MAX(1,ROUND('기준스탯 72종'!F65-T1441-AB1441,0))</x:f>
        <x:v>7</x:v>
      </x:c>
      <x:c r="M1441" s="2" t="n">
        <x:f>MAX(1,ROUND('기준스탯 72종'!G65-U1441-AC1441,0))</x:f>
        <x:v>4</x:v>
      </x:c>
      <x:c r="N1441" s="2" t="n">
        <x:f>MAX(0,ROUND('기준스탯 72종'!H65-V1441-AD1441,0))</x:f>
        <x:v>1</x:v>
      </x:c>
      <x:c r="O1441" s="2" t="n">
        <x:f>MAX(0,ROUND('기준스탯 72종'!I65-W1441-AE1441,0))</x:f>
        <x:v>3</x:v>
      </x:c>
      <x:c r="P1441" s="2" t="n">
        <x:f>MAX(0,ROUND('기준스탯 72종'!J65-X1441-AF1441,0))</x:f>
        <x:v>2</x:v>
      </x:c>
      <x:c r="Q1441" s="2" t="n">
        <x:f>MAX(0,ROUND('기준스탯 72종'!K65-Y1441-AG1441,0))</x:f>
        <x:v>5</x:v>
      </x:c>
      <x:c r="R1441" s="15" t="n">
        <x:f>'기준스탯 72종'!D65*G1441</x:f>
        <x:v>0.8399999999999999</x:v>
      </x:c>
      <x:c r="S1441" s="15" t="n">
        <x:f>'기준스탯 72종'!E65*G1441</x:f>
        <x:v>1.2599999999999998</x:v>
      </x:c>
      <x:c r="T1441" s="15" t="n">
        <x:f>'기준스탯 72종'!F65*G1441</x:f>
        <x:v>1.4</x:v>
      </x:c>
      <x:c r="U1441" s="15" t="n">
        <x:f>'기준스탯 72종'!G65*G1441</x:f>
        <x:v>0.8399999999999999</x:v>
      </x:c>
      <x:c r="V1441" s="15" t="n">
        <x:f>'기준스탯 72종'!H65*G1441</x:f>
        <x:v>0.13999999999999999</x:v>
      </x:c>
      <x:c r="W1441" s="15" t="n">
        <x:f>'기준스탯 72종'!I65*G1441</x:f>
        <x:v>0.7</x:v>
      </x:c>
      <x:c r="X1441" s="15" t="n">
        <x:f>'기준스탯 72종'!J65*G1441</x:f>
        <x:v>0.41999999999999993</x:v>
      </x:c>
      <x:c r="Y1441" s="15" t="n">
        <x:f>'기준스탯 72종'!K65*G1441</x:f>
        <x:v>0.9799999999999999</x:v>
      </x:c>
      <x:c r="Z1441" s="15" t="n">
        <x:f>'기준스탯 72종'!D65*H1441</x:f>
        <x:v>1.0800000000000003</x:v>
      </x:c>
      <x:c r="AA1441" s="15" t="n">
        <x:f>'기준스탯 72종'!E65*H1441</x:f>
        <x:v>1.6200000000000006</x:v>
      </x:c>
      <x:c r="AB1441" s="15" t="n">
        <x:f>'기준스탯 72종'!F65*H1441</x:f>
        <x:v>1.8000000000000005</x:v>
      </x:c>
      <x:c r="AC1441" s="15" t="n">
        <x:f>'기준스탯 72종'!G65*H1441</x:f>
        <x:v>1.0800000000000003</x:v>
      </x:c>
      <x:c r="AD1441" s="15" t="n">
        <x:f>'기준스탯 72종'!H65*H1441</x:f>
        <x:v>0.18000000000000005</x:v>
      </x:c>
      <x:c r="AE1441" s="15" t="n">
        <x:f>'기준스탯 72종'!I65*H1441</x:f>
        <x:v>0.9000000000000002</x:v>
      </x:c>
      <x:c r="AF1441" s="15" t="n">
        <x:f>'기준스탯 72종'!J65*H1441</x:f>
        <x:v>0.5400000000000001</x:v>
      </x:c>
      <x:c r="AG1441" s="15" t="n">
        <x:f>'기준스탯 72종'!K65*H1441</x:f>
        <x:v>1.2600000000000002</x:v>
      </x:c>
    </x:row>
    <x:row r="1442" ht="28" customHeight="1">
      <x:c r="A1442" s="2" t="n">
        <x:v>1435</x:v>
      </x:c>
      <x:c r="B1442" s="2" t="n">
        <x:v>58</x:v>
      </x:c>
      <x:c r="C1442" s="2" t="str">
        <x:v>염소자리</x:v>
      </x:c>
      <x:c r="D1442" s="2" t="str">
        <x:v>정령사</x:v>
      </x:c>
      <x:c r="E1442" s="2" t="n">
        <x:v>5</x:v>
      </x:c>
      <x:c r="F1442" s="2" t="n">
        <x:v>2</x:v>
      </x:c>
      <x:c r="G1442" s="14" t="n">
        <x:f>('레벨 계산식'!$E$4-E1442)*'레벨 계산식'!$B$5</x:f>
        <x:v>0</x:v>
      </x:c>
      <x:c r="H1442" s="14" t="n">
        <x:f>('등급 계산식'!$E$4-F1442)*'등급 계산식'!$B$5</x:f>
        <x:v>0.18000000000000005</x:v>
      </x:c>
      <x:c r="I1442" s="14" t="n">
        <x:f>1-G1442-H1442</x:f>
        <x:v>0.82</x:v>
      </x:c>
      <x:c r="J1442" s="2" t="n">
        <x:f>MAX(1,ROUND('기준스탯 72종'!D65-R1442-Z1442,0))</x:f>
        <x:v>5</x:v>
      </x:c>
      <x:c r="K1442" s="2" t="n">
        <x:f>MAX(1,ROUND('기준스탯 72종'!E65-S1442-AA1442,0))</x:f>
        <x:v>7</x:v>
      </x:c>
      <x:c r="L1442" s="2" t="n">
        <x:f>MAX(1,ROUND('기준스탯 72종'!F65-T1442-AB1442,0))</x:f>
        <x:v>8</x:v>
      </x:c>
      <x:c r="M1442" s="2" t="n">
        <x:f>MAX(1,ROUND('기준스탯 72종'!G65-U1442-AC1442,0))</x:f>
        <x:v>5</x:v>
      </x:c>
      <x:c r="N1442" s="2" t="n">
        <x:f>MAX(0,ROUND('기준스탯 72종'!H65-V1442-AD1442,0))</x:f>
        <x:v>1</x:v>
      </x:c>
      <x:c r="O1442" s="2" t="n">
        <x:f>MAX(0,ROUND('기준스탯 72종'!I65-W1442-AE1442,0))</x:f>
        <x:v>4</x:v>
      </x:c>
      <x:c r="P1442" s="2" t="n">
        <x:f>MAX(0,ROUND('기준스탯 72종'!J65-X1442-AF1442,0))</x:f>
        <x:v>2</x:v>
      </x:c>
      <x:c r="Q1442" s="2" t="n">
        <x:f>MAX(0,ROUND('기준스탯 72종'!K65-Y1442-AG1442,0))</x:f>
        <x:v>6</x:v>
      </x:c>
      <x:c r="R1442" s="15" t="n">
        <x:f>'기준스탯 72종'!D65*G1442</x:f>
        <x:v>0</x:v>
      </x:c>
      <x:c r="S1442" s="15" t="n">
        <x:f>'기준스탯 72종'!E65*G1442</x:f>
        <x:v>0</x:v>
      </x:c>
      <x:c r="T1442" s="15" t="n">
        <x:f>'기준스탯 72종'!F65*G1442</x:f>
        <x:v>0</x:v>
      </x:c>
      <x:c r="U1442" s="15" t="n">
        <x:f>'기준스탯 72종'!G65*G1442</x:f>
        <x:v>0</x:v>
      </x:c>
      <x:c r="V1442" s="15" t="n">
        <x:f>'기준스탯 72종'!H65*G1442</x:f>
        <x:v>0</x:v>
      </x:c>
      <x:c r="W1442" s="15" t="n">
        <x:f>'기준스탯 72종'!I65*G1442</x:f>
        <x:v>0</x:v>
      </x:c>
      <x:c r="X1442" s="15" t="n">
        <x:f>'기준스탯 72종'!J65*G1442</x:f>
        <x:v>0</x:v>
      </x:c>
      <x:c r="Y1442" s="15" t="n">
        <x:f>'기준스탯 72종'!K65*G1442</x:f>
        <x:v>0</x:v>
      </x:c>
      <x:c r="Z1442" s="15" t="n">
        <x:f>'기준스탯 72종'!D65*H1442</x:f>
        <x:v>1.0800000000000003</x:v>
      </x:c>
      <x:c r="AA1442" s="15" t="n">
        <x:f>'기준스탯 72종'!E65*H1442</x:f>
        <x:v>1.6200000000000006</x:v>
      </x:c>
      <x:c r="AB1442" s="15" t="n">
        <x:f>'기준스탯 72종'!F65*H1442</x:f>
        <x:v>1.8000000000000005</x:v>
      </x:c>
      <x:c r="AC1442" s="15" t="n">
        <x:f>'기준스탯 72종'!G65*H1442</x:f>
        <x:v>1.0800000000000003</x:v>
      </x:c>
      <x:c r="AD1442" s="15" t="n">
        <x:f>'기준스탯 72종'!H65*H1442</x:f>
        <x:v>0.18000000000000005</x:v>
      </x:c>
      <x:c r="AE1442" s="15" t="n">
        <x:f>'기준스탯 72종'!I65*H1442</x:f>
        <x:v>0.9000000000000002</x:v>
      </x:c>
      <x:c r="AF1442" s="15" t="n">
        <x:f>'기준스탯 72종'!J65*H1442</x:f>
        <x:v>0.5400000000000001</x:v>
      </x:c>
      <x:c r="AG1442" s="15" t="n">
        <x:f>'기준스탯 72종'!K65*H1442</x:f>
        <x:v>1.2600000000000002</x:v>
      </x:c>
    </x:row>
    <x:row r="1443" ht="28" customHeight="1">
      <x:c r="A1443" s="2" t="n">
        <x:v>1436</x:v>
      </x:c>
      <x:c r="B1443" s="2" t="n">
        <x:v>58</x:v>
      </x:c>
      <x:c r="C1443" s="2" t="str">
        <x:v>염소자리</x:v>
      </x:c>
      <x:c r="D1443" s="2" t="str">
        <x:v>정령사</x:v>
      </x:c>
      <x:c r="E1443" s="2" t="n">
        <x:v>1</x:v>
      </x:c>
      <x:c r="F1443" s="2" t="n">
        <x:v>3</x:v>
      </x:c>
      <x:c r="G1443" s="14" t="n">
        <x:f>('레벨 계산식'!$E$4-E1443)*'레벨 계산식'!$B$5</x:f>
        <x:v>0.5599999999999999</x:v>
      </x:c>
      <x:c r="H1443" s="14" t="n">
        <x:f>('등급 계산식'!$E$4-F1443)*'등급 계산식'!$B$5</x:f>
        <x:v>0.12000000000000002</x:v>
      </x:c>
      <x:c r="I1443" s="14" t="n">
        <x:f>1-G1443-H1443</x:f>
        <x:v>0.32000000000000006</x:v>
      </x:c>
      <x:c r="J1443" s="2" t="n">
        <x:f>MAX(1,ROUND('기준스탯 72종'!D65-R1443-Z1443,0))</x:f>
        <x:v>2</x:v>
      </x:c>
      <x:c r="K1443" s="2" t="n">
        <x:f>MAX(1,ROUND('기준스탯 72종'!E65-S1443-AA1443,0))</x:f>
        <x:v>3</x:v>
      </x:c>
      <x:c r="L1443" s="2" t="n">
        <x:f>MAX(1,ROUND('기준스탯 72종'!F65-T1443-AB1443,0))</x:f>
        <x:v>3</x:v>
      </x:c>
      <x:c r="M1443" s="2" t="n">
        <x:f>MAX(1,ROUND('기준스탯 72종'!G65-U1443-AC1443,0))</x:f>
        <x:v>2</x:v>
      </x:c>
      <x:c r="N1443" s="2" t="n">
        <x:f>MAX(0,ROUND('기준스탯 72종'!H65-V1443-AD1443,0))</x:f>
        <x:v>0</x:v>
      </x:c>
      <x:c r="O1443" s="2" t="n">
        <x:f>MAX(0,ROUND('기준스탯 72종'!I65-W1443-AE1443,0))</x:f>
        <x:v>2</x:v>
      </x:c>
      <x:c r="P1443" s="2" t="n">
        <x:f>MAX(0,ROUND('기준스탯 72종'!J65-X1443-AF1443,0))</x:f>
        <x:v>1</x:v>
      </x:c>
      <x:c r="Q1443" s="2" t="n">
        <x:f>MAX(0,ROUND('기준스탯 72종'!K65-Y1443-AG1443,0))</x:f>
        <x:v>2</x:v>
      </x:c>
      <x:c r="R1443" s="15" t="n">
        <x:f>'기준스탯 72종'!D65*G1443</x:f>
        <x:v>3.3599999999999994</x:v>
      </x:c>
      <x:c r="S1443" s="15" t="n">
        <x:f>'기준스탯 72종'!E65*G1443</x:f>
        <x:v>5.039999999999999</x:v>
      </x:c>
      <x:c r="T1443" s="15" t="n">
        <x:f>'기준스탯 72종'!F65*G1443</x:f>
        <x:v>5.6</x:v>
      </x:c>
      <x:c r="U1443" s="15" t="n">
        <x:f>'기준스탯 72종'!G65*G1443</x:f>
        <x:v>3.3599999999999994</x:v>
      </x:c>
      <x:c r="V1443" s="15" t="n">
        <x:f>'기준스탯 72종'!H65*G1443</x:f>
        <x:v>0.5599999999999999</x:v>
      </x:c>
      <x:c r="W1443" s="15" t="n">
        <x:f>'기준스탯 72종'!I65*G1443</x:f>
        <x:v>2.8</x:v>
      </x:c>
      <x:c r="X1443" s="15" t="n">
        <x:f>'기준스탯 72종'!J65*G1443</x:f>
        <x:v>1.6799999999999997</x:v>
      </x:c>
      <x:c r="Y1443" s="15" t="n">
        <x:f>'기준스탯 72종'!K65*G1443</x:f>
        <x:v>3.9199999999999995</x:v>
      </x:c>
      <x:c r="Z1443" s="15" t="n">
        <x:f>'기준스탯 72종'!D65*H1443</x:f>
        <x:v>0.7200000000000002</x:v>
      </x:c>
      <x:c r="AA1443" s="15" t="n">
        <x:f>'기준스탯 72종'!E65*H1443</x:f>
        <x:v>1.0800000000000003</x:v>
      </x:c>
      <x:c r="AB1443" s="15" t="n">
        <x:f>'기준스탯 72종'!F65*H1443</x:f>
        <x:v>1.2000000000000002</x:v>
      </x:c>
      <x:c r="AC1443" s="15" t="n">
        <x:f>'기준스탯 72종'!G65*H1443</x:f>
        <x:v>0.7200000000000002</x:v>
      </x:c>
      <x:c r="AD1443" s="15" t="n">
        <x:f>'기준스탯 72종'!H65*H1443</x:f>
        <x:v>0.12000000000000002</x:v>
      </x:c>
      <x:c r="AE1443" s="15" t="n">
        <x:f>'기준스탯 72종'!I65*H1443</x:f>
        <x:v>0.6000000000000001</x:v>
      </x:c>
      <x:c r="AF1443" s="15" t="n">
        <x:f>'기준스탯 72종'!J65*H1443</x:f>
        <x:v>0.3600000000000001</x:v>
      </x:c>
      <x:c r="AG1443" s="15" t="n">
        <x:f>'기준스탯 72종'!K65*H1443</x:f>
        <x:v>0.8400000000000002</x:v>
      </x:c>
    </x:row>
    <x:row r="1444" ht="28" customHeight="1">
      <x:c r="A1444" s="2" t="n">
        <x:v>1437</x:v>
      </x:c>
      <x:c r="B1444" s="2" t="n">
        <x:v>58</x:v>
      </x:c>
      <x:c r="C1444" s="2" t="str">
        <x:v>염소자리</x:v>
      </x:c>
      <x:c r="D1444" s="2" t="str">
        <x:v>정령사</x:v>
      </x:c>
      <x:c r="E1444" s="2" t="n">
        <x:v>2</x:v>
      </x:c>
      <x:c r="F1444" s="2" t="n">
        <x:v>3</x:v>
      </x:c>
      <x:c r="G1444" s="14" t="n">
        <x:f>('레벨 계산식'!$E$4-E1444)*'레벨 계산식'!$B$5</x:f>
        <x:v>0.41999999999999993</x:v>
      </x:c>
      <x:c r="H1444" s="14" t="n">
        <x:f>('등급 계산식'!$E$4-F1444)*'등급 계산식'!$B$5</x:f>
        <x:v>0.12000000000000002</x:v>
      </x:c>
      <x:c r="I1444" s="14" t="n">
        <x:f>1-G1444-H1444</x:f>
        <x:v>0.4600000000000001</x:v>
      </x:c>
      <x:c r="J1444" s="2" t="n">
        <x:f>MAX(1,ROUND('기준스탯 72종'!D65-R1444-Z1444,0))</x:f>
        <x:v>3</x:v>
      </x:c>
      <x:c r="K1444" s="2" t="n">
        <x:f>MAX(1,ROUND('기준스탯 72종'!E65-S1444-AA1444,0))</x:f>
        <x:v>4</x:v>
      </x:c>
      <x:c r="L1444" s="2" t="n">
        <x:f>MAX(1,ROUND('기준스탯 72종'!F65-T1444-AB1444,0))</x:f>
        <x:v>5</x:v>
      </x:c>
      <x:c r="M1444" s="2" t="n">
        <x:f>MAX(1,ROUND('기준스탯 72종'!G65-U1444-AC1444,0))</x:f>
        <x:v>3</x:v>
      </x:c>
      <x:c r="N1444" s="2" t="n">
        <x:f>MAX(0,ROUND('기준스탯 72종'!H65-V1444-AD1444,0))</x:f>
        <x:v>0</x:v>
      </x:c>
      <x:c r="O1444" s="2" t="n">
        <x:f>MAX(0,ROUND('기준스탯 72종'!I65-W1444-AE1444,0))</x:f>
        <x:v>2</x:v>
      </x:c>
      <x:c r="P1444" s="2" t="n">
        <x:f>MAX(0,ROUND('기준스탯 72종'!J65-X1444-AF1444,0))</x:f>
        <x:v>1</x:v>
      </x:c>
      <x:c r="Q1444" s="2" t="n">
        <x:f>MAX(0,ROUND('기준스탯 72종'!K65-Y1444-AG1444,0))</x:f>
        <x:v>3</x:v>
      </x:c>
      <x:c r="R1444" s="15" t="n">
        <x:f>'기준스탯 72종'!D65*G1444</x:f>
        <x:v>2.5199999999999996</x:v>
      </x:c>
      <x:c r="S1444" s="15" t="n">
        <x:f>'기준스탯 72종'!E65*G1444</x:f>
        <x:v>3.7799999999999994</x:v>
      </x:c>
      <x:c r="T1444" s="15" t="n">
        <x:f>'기준스탯 72종'!F65*G1444</x:f>
        <x:v>4.199999999999999</x:v>
      </x:c>
      <x:c r="U1444" s="15" t="n">
        <x:f>'기준스탯 72종'!G65*G1444</x:f>
        <x:v>2.5199999999999996</x:v>
      </x:c>
      <x:c r="V1444" s="15" t="n">
        <x:f>'기준스탯 72종'!H65*G1444</x:f>
        <x:v>0.41999999999999993</x:v>
      </x:c>
      <x:c r="W1444" s="15" t="n">
        <x:f>'기준스탯 72종'!I65*G1444</x:f>
        <x:v>2.0999999999999996</x:v>
      </x:c>
      <x:c r="X1444" s="15" t="n">
        <x:f>'기준스탯 72종'!J65*G1444</x:f>
        <x:v>1.2599999999999998</x:v>
      </x:c>
      <x:c r="Y1444" s="15" t="n">
        <x:f>'기준스탯 72종'!K65*G1444</x:f>
        <x:v>2.9399999999999995</x:v>
      </x:c>
      <x:c r="Z1444" s="15" t="n">
        <x:f>'기준스탯 72종'!D65*H1444</x:f>
        <x:v>0.7200000000000002</x:v>
      </x:c>
      <x:c r="AA1444" s="15" t="n">
        <x:f>'기준스탯 72종'!E65*H1444</x:f>
        <x:v>1.0800000000000003</x:v>
      </x:c>
      <x:c r="AB1444" s="15" t="n">
        <x:f>'기준스탯 72종'!F65*H1444</x:f>
        <x:v>1.2000000000000002</x:v>
      </x:c>
      <x:c r="AC1444" s="15" t="n">
        <x:f>'기준스탯 72종'!G65*H1444</x:f>
        <x:v>0.7200000000000002</x:v>
      </x:c>
      <x:c r="AD1444" s="15" t="n">
        <x:f>'기준스탯 72종'!H65*H1444</x:f>
        <x:v>0.12000000000000002</x:v>
      </x:c>
      <x:c r="AE1444" s="15" t="n">
        <x:f>'기준스탯 72종'!I65*H1444</x:f>
        <x:v>0.6000000000000001</x:v>
      </x:c>
      <x:c r="AF1444" s="15" t="n">
        <x:f>'기준스탯 72종'!J65*H1444</x:f>
        <x:v>0.3600000000000001</x:v>
      </x:c>
      <x:c r="AG1444" s="15" t="n">
        <x:f>'기준스탯 72종'!K65*H1444</x:f>
        <x:v>0.8400000000000002</x:v>
      </x:c>
    </x:row>
    <x:row r="1445" ht="28" customHeight="1">
      <x:c r="A1445" s="2" t="n">
        <x:v>1438</x:v>
      </x:c>
      <x:c r="B1445" s="2" t="n">
        <x:v>58</x:v>
      </x:c>
      <x:c r="C1445" s="2" t="str">
        <x:v>염소자리</x:v>
      </x:c>
      <x:c r="D1445" s="2" t="str">
        <x:v>정령사</x:v>
      </x:c>
      <x:c r="E1445" s="2" t="n">
        <x:v>3</x:v>
      </x:c>
      <x:c r="F1445" s="2" t="n">
        <x:v>3</x:v>
      </x:c>
      <x:c r="G1445" s="14" t="n">
        <x:f>('레벨 계산식'!$E$4-E1445)*'레벨 계산식'!$B$5</x:f>
        <x:v>0.27999999999999997</x:v>
      </x:c>
      <x:c r="H1445" s="14" t="n">
        <x:f>('등급 계산식'!$E$4-F1445)*'등급 계산식'!$B$5</x:f>
        <x:v>0.12000000000000002</x:v>
      </x:c>
      <x:c r="I1445" s="14" t="n">
        <x:f>1-G1445-H1445</x:f>
        <x:v>0.6</x:v>
      </x:c>
      <x:c r="J1445" s="2" t="n">
        <x:f>MAX(1,ROUND('기준스탯 72종'!D65-R1445-Z1445,0))</x:f>
        <x:v>4</x:v>
      </x:c>
      <x:c r="K1445" s="2" t="n">
        <x:f>MAX(1,ROUND('기준스탯 72종'!E65-S1445-AA1445,0))</x:f>
        <x:v>5</x:v>
      </x:c>
      <x:c r="L1445" s="2" t="n">
        <x:f>MAX(1,ROUND('기준스탯 72종'!F65-T1445-AB1445,0))</x:f>
        <x:v>6</x:v>
      </x:c>
      <x:c r="M1445" s="2" t="n">
        <x:f>MAX(1,ROUND('기준스탯 72종'!G65-U1445-AC1445,0))</x:f>
        <x:v>4</x:v>
      </x:c>
      <x:c r="N1445" s="2" t="n">
        <x:f>MAX(0,ROUND('기준스탯 72종'!H65-V1445-AD1445,0))</x:f>
        <x:v>1</x:v>
      </x:c>
      <x:c r="O1445" s="2" t="n">
        <x:f>MAX(0,ROUND('기준스탯 72종'!I65-W1445-AE1445,0))</x:f>
        <x:v>3</x:v>
      </x:c>
      <x:c r="P1445" s="2" t="n">
        <x:f>MAX(0,ROUND('기준스탯 72종'!J65-X1445-AF1445,0))</x:f>
        <x:v>2</x:v>
      </x:c>
      <x:c r="Q1445" s="2" t="n">
        <x:f>MAX(0,ROUND('기준스탯 72종'!K65-Y1445-AG1445,0))</x:f>
        <x:v>4</x:v>
      </x:c>
      <x:c r="R1445" s="15" t="n">
        <x:f>'기준스탯 72종'!D65*G1445</x:f>
        <x:v>1.6799999999999997</x:v>
      </x:c>
      <x:c r="S1445" s="15" t="n">
        <x:f>'기준스탯 72종'!E65*G1445</x:f>
        <x:v>2.5199999999999996</x:v>
      </x:c>
      <x:c r="T1445" s="15" t="n">
        <x:f>'기준스탯 72종'!F65*G1445</x:f>
        <x:v>2.8</x:v>
      </x:c>
      <x:c r="U1445" s="15" t="n">
        <x:f>'기준스탯 72종'!G65*G1445</x:f>
        <x:v>1.6799999999999997</x:v>
      </x:c>
      <x:c r="V1445" s="15" t="n">
        <x:f>'기준스탯 72종'!H65*G1445</x:f>
        <x:v>0.27999999999999997</x:v>
      </x:c>
      <x:c r="W1445" s="15" t="n">
        <x:f>'기준스탯 72종'!I65*G1445</x:f>
        <x:v>1.4</x:v>
      </x:c>
      <x:c r="X1445" s="15" t="n">
        <x:f>'기준스탯 72종'!J65*G1445</x:f>
        <x:v>0.8399999999999999</x:v>
      </x:c>
      <x:c r="Y1445" s="15" t="n">
        <x:f>'기준스탯 72종'!K65*G1445</x:f>
        <x:v>1.9599999999999997</x:v>
      </x:c>
      <x:c r="Z1445" s="15" t="n">
        <x:f>'기준스탯 72종'!D65*H1445</x:f>
        <x:v>0.7200000000000002</x:v>
      </x:c>
      <x:c r="AA1445" s="15" t="n">
        <x:f>'기준스탯 72종'!E65*H1445</x:f>
        <x:v>1.0800000000000003</x:v>
      </x:c>
      <x:c r="AB1445" s="15" t="n">
        <x:f>'기준스탯 72종'!F65*H1445</x:f>
        <x:v>1.2000000000000002</x:v>
      </x:c>
      <x:c r="AC1445" s="15" t="n">
        <x:f>'기준스탯 72종'!G65*H1445</x:f>
        <x:v>0.7200000000000002</x:v>
      </x:c>
      <x:c r="AD1445" s="15" t="n">
        <x:f>'기준스탯 72종'!H65*H1445</x:f>
        <x:v>0.12000000000000002</x:v>
      </x:c>
      <x:c r="AE1445" s="15" t="n">
        <x:f>'기준스탯 72종'!I65*H1445</x:f>
        <x:v>0.6000000000000001</x:v>
      </x:c>
      <x:c r="AF1445" s="15" t="n">
        <x:f>'기준스탯 72종'!J65*H1445</x:f>
        <x:v>0.3600000000000001</x:v>
      </x:c>
      <x:c r="AG1445" s="15" t="n">
        <x:f>'기준스탯 72종'!K65*H1445</x:f>
        <x:v>0.8400000000000002</x:v>
      </x:c>
    </x:row>
    <x:row r="1446" ht="28" customHeight="1">
      <x:c r="A1446" s="2" t="n">
        <x:v>1439</x:v>
      </x:c>
      <x:c r="B1446" s="2" t="n">
        <x:v>58</x:v>
      </x:c>
      <x:c r="C1446" s="2" t="str">
        <x:v>염소자리</x:v>
      </x:c>
      <x:c r="D1446" s="2" t="str">
        <x:v>정령사</x:v>
      </x:c>
      <x:c r="E1446" s="2" t="n">
        <x:v>4</x:v>
      </x:c>
      <x:c r="F1446" s="2" t="n">
        <x:v>3</x:v>
      </x:c>
      <x:c r="G1446" s="14" t="n">
        <x:f>('레벨 계산식'!$E$4-E1446)*'레벨 계산식'!$B$5</x:f>
        <x:v>0.13999999999999999</x:v>
      </x:c>
      <x:c r="H1446" s="14" t="n">
        <x:f>('등급 계산식'!$E$4-F1446)*'등급 계산식'!$B$5</x:f>
        <x:v>0.12000000000000002</x:v>
      </x:c>
      <x:c r="I1446" s="14" t="n">
        <x:f>1-G1446-H1446</x:f>
        <x:v>0.74</x:v>
      </x:c>
      <x:c r="J1446" s="2" t="n">
        <x:f>MAX(1,ROUND('기준스탯 72종'!D65-R1446-Z1446,0))</x:f>
        <x:v>4</x:v>
      </x:c>
      <x:c r="K1446" s="2" t="n">
        <x:f>MAX(1,ROUND('기준스탯 72종'!E65-S1446-AA1446,0))</x:f>
        <x:v>7</x:v>
      </x:c>
      <x:c r="L1446" s="2" t="n">
        <x:f>MAX(1,ROUND('기준스탯 72종'!F65-T1446-AB1446,0))</x:f>
        <x:v>7</x:v>
      </x:c>
      <x:c r="M1446" s="2" t="n">
        <x:f>MAX(1,ROUND('기준스탯 72종'!G65-U1446-AC1446,0))</x:f>
        <x:v>4</x:v>
      </x:c>
      <x:c r="N1446" s="2" t="n">
        <x:f>MAX(0,ROUND('기준스탯 72종'!H65-V1446-AD1446,0))</x:f>
        <x:v>1</x:v>
      </x:c>
      <x:c r="O1446" s="2" t="n">
        <x:f>MAX(0,ROUND('기준스탯 72종'!I65-W1446-AE1446,0))</x:f>
        <x:v>4</x:v>
      </x:c>
      <x:c r="P1446" s="2" t="n">
        <x:f>MAX(0,ROUND('기준스탯 72종'!J65-X1446-AF1446,0))</x:f>
        <x:v>2</x:v>
      </x:c>
      <x:c r="Q1446" s="2" t="n">
        <x:f>MAX(0,ROUND('기준스탯 72종'!K65-Y1446-AG1446,0))</x:f>
        <x:v>5</x:v>
      </x:c>
      <x:c r="R1446" s="15" t="n">
        <x:f>'기준스탯 72종'!D65*G1446</x:f>
        <x:v>0.8399999999999999</x:v>
      </x:c>
      <x:c r="S1446" s="15" t="n">
        <x:f>'기준스탯 72종'!E65*G1446</x:f>
        <x:v>1.2599999999999998</x:v>
      </x:c>
      <x:c r="T1446" s="15" t="n">
        <x:f>'기준스탯 72종'!F65*G1446</x:f>
        <x:v>1.4</x:v>
      </x:c>
      <x:c r="U1446" s="15" t="n">
        <x:f>'기준스탯 72종'!G65*G1446</x:f>
        <x:v>0.8399999999999999</x:v>
      </x:c>
      <x:c r="V1446" s="15" t="n">
        <x:f>'기준스탯 72종'!H65*G1446</x:f>
        <x:v>0.13999999999999999</x:v>
      </x:c>
      <x:c r="W1446" s="15" t="n">
        <x:f>'기준스탯 72종'!I65*G1446</x:f>
        <x:v>0.7</x:v>
      </x:c>
      <x:c r="X1446" s="15" t="n">
        <x:f>'기준스탯 72종'!J65*G1446</x:f>
        <x:v>0.41999999999999993</x:v>
      </x:c>
      <x:c r="Y1446" s="15" t="n">
        <x:f>'기준스탯 72종'!K65*G1446</x:f>
        <x:v>0.9799999999999999</x:v>
      </x:c>
      <x:c r="Z1446" s="15" t="n">
        <x:f>'기준스탯 72종'!D65*H1446</x:f>
        <x:v>0.7200000000000002</x:v>
      </x:c>
      <x:c r="AA1446" s="15" t="n">
        <x:f>'기준스탯 72종'!E65*H1446</x:f>
        <x:v>1.0800000000000003</x:v>
      </x:c>
      <x:c r="AB1446" s="15" t="n">
        <x:f>'기준스탯 72종'!F65*H1446</x:f>
        <x:v>1.2000000000000002</x:v>
      </x:c>
      <x:c r="AC1446" s="15" t="n">
        <x:f>'기준스탯 72종'!G65*H1446</x:f>
        <x:v>0.7200000000000002</x:v>
      </x:c>
      <x:c r="AD1446" s="15" t="n">
        <x:f>'기준스탯 72종'!H65*H1446</x:f>
        <x:v>0.12000000000000002</x:v>
      </x:c>
      <x:c r="AE1446" s="15" t="n">
        <x:f>'기준스탯 72종'!I65*H1446</x:f>
        <x:v>0.6000000000000001</x:v>
      </x:c>
      <x:c r="AF1446" s="15" t="n">
        <x:f>'기준스탯 72종'!J65*H1446</x:f>
        <x:v>0.3600000000000001</x:v>
      </x:c>
      <x:c r="AG1446" s="15" t="n">
        <x:f>'기준스탯 72종'!K65*H1446</x:f>
        <x:v>0.8400000000000002</x:v>
      </x:c>
    </x:row>
    <x:row r="1447" ht="28" customHeight="1">
      <x:c r="A1447" s="2" t="n">
        <x:v>1440</x:v>
      </x:c>
      <x:c r="B1447" s="2" t="n">
        <x:v>58</x:v>
      </x:c>
      <x:c r="C1447" s="2" t="str">
        <x:v>염소자리</x:v>
      </x:c>
      <x:c r="D1447" s="2" t="str">
        <x:v>정령사</x:v>
      </x:c>
      <x:c r="E1447" s="2" t="n">
        <x:v>5</x:v>
      </x:c>
      <x:c r="F1447" s="2" t="n">
        <x:v>3</x:v>
      </x:c>
      <x:c r="G1447" s="14" t="n">
        <x:f>('레벨 계산식'!$E$4-E1447)*'레벨 계산식'!$B$5</x:f>
        <x:v>0</x:v>
      </x:c>
      <x:c r="H1447" s="14" t="n">
        <x:f>('등급 계산식'!$E$4-F1447)*'등급 계산식'!$B$5</x:f>
        <x:v>0.12000000000000002</x:v>
      </x:c>
      <x:c r="I1447" s="14" t="n">
        <x:f>1-G1447-H1447</x:f>
        <x:v>0.88</x:v>
      </x:c>
      <x:c r="J1447" s="2" t="n">
        <x:f>MAX(1,ROUND('기준스탯 72종'!D65-R1447-Z1447,0))</x:f>
        <x:v>5</x:v>
      </x:c>
      <x:c r="K1447" s="2" t="n">
        <x:f>MAX(1,ROUND('기준스탯 72종'!E65-S1447-AA1447,0))</x:f>
        <x:v>8</x:v>
      </x:c>
      <x:c r="L1447" s="2" t="n">
        <x:f>MAX(1,ROUND('기준스탯 72종'!F65-T1447-AB1447,0))</x:f>
        <x:v>9</x:v>
      </x:c>
      <x:c r="M1447" s="2" t="n">
        <x:f>MAX(1,ROUND('기준스탯 72종'!G65-U1447-AC1447,0))</x:f>
        <x:v>5</x:v>
      </x:c>
      <x:c r="N1447" s="2" t="n">
        <x:f>MAX(0,ROUND('기준스탯 72종'!H65-V1447-AD1447,0))</x:f>
        <x:v>1</x:v>
      </x:c>
      <x:c r="O1447" s="2" t="n">
        <x:f>MAX(0,ROUND('기준스탯 72종'!I65-W1447-AE1447,0))</x:f>
        <x:v>4</x:v>
      </x:c>
      <x:c r="P1447" s="2" t="n">
        <x:f>MAX(0,ROUND('기준스탯 72종'!J65-X1447-AF1447,0))</x:f>
        <x:v>3</x:v>
      </x:c>
      <x:c r="Q1447" s="2" t="n">
        <x:f>MAX(0,ROUND('기준스탯 72종'!K65-Y1447-AG1447,0))</x:f>
        <x:v>6</x:v>
      </x:c>
      <x:c r="R1447" s="15" t="n">
        <x:f>'기준스탯 72종'!D65*G1447</x:f>
        <x:v>0</x:v>
      </x:c>
      <x:c r="S1447" s="15" t="n">
        <x:f>'기준스탯 72종'!E65*G1447</x:f>
        <x:v>0</x:v>
      </x:c>
      <x:c r="T1447" s="15" t="n">
        <x:f>'기준스탯 72종'!F65*G1447</x:f>
        <x:v>0</x:v>
      </x:c>
      <x:c r="U1447" s="15" t="n">
        <x:f>'기준스탯 72종'!G65*G1447</x:f>
        <x:v>0</x:v>
      </x:c>
      <x:c r="V1447" s="15" t="n">
        <x:f>'기준스탯 72종'!H65*G1447</x:f>
        <x:v>0</x:v>
      </x:c>
      <x:c r="W1447" s="15" t="n">
        <x:f>'기준스탯 72종'!I65*G1447</x:f>
        <x:v>0</x:v>
      </x:c>
      <x:c r="X1447" s="15" t="n">
        <x:f>'기준스탯 72종'!J65*G1447</x:f>
        <x:v>0</x:v>
      </x:c>
      <x:c r="Y1447" s="15" t="n">
        <x:f>'기준스탯 72종'!K65*G1447</x:f>
        <x:v>0</x:v>
      </x:c>
      <x:c r="Z1447" s="15" t="n">
        <x:f>'기준스탯 72종'!D65*H1447</x:f>
        <x:v>0.7200000000000002</x:v>
      </x:c>
      <x:c r="AA1447" s="15" t="n">
        <x:f>'기준스탯 72종'!E65*H1447</x:f>
        <x:v>1.0800000000000003</x:v>
      </x:c>
      <x:c r="AB1447" s="15" t="n">
        <x:f>'기준스탯 72종'!F65*H1447</x:f>
        <x:v>1.2000000000000002</x:v>
      </x:c>
      <x:c r="AC1447" s="15" t="n">
        <x:f>'기준스탯 72종'!G65*H1447</x:f>
        <x:v>0.7200000000000002</x:v>
      </x:c>
      <x:c r="AD1447" s="15" t="n">
        <x:f>'기준스탯 72종'!H65*H1447</x:f>
        <x:v>0.12000000000000002</x:v>
      </x:c>
      <x:c r="AE1447" s="15" t="n">
        <x:f>'기준스탯 72종'!I65*H1447</x:f>
        <x:v>0.6000000000000001</x:v>
      </x:c>
      <x:c r="AF1447" s="15" t="n">
        <x:f>'기준스탯 72종'!J65*H1447</x:f>
        <x:v>0.3600000000000001</x:v>
      </x:c>
      <x:c r="AG1447" s="15" t="n">
        <x:f>'기준스탯 72종'!K65*H1447</x:f>
        <x:v>0.8400000000000002</x:v>
      </x:c>
    </x:row>
    <x:row r="1448" ht="28" customHeight="1">
      <x:c r="A1448" s="2" t="n">
        <x:v>1441</x:v>
      </x:c>
      <x:c r="B1448" s="2" t="n">
        <x:v>58</x:v>
      </x:c>
      <x:c r="C1448" s="2" t="str">
        <x:v>염소자리</x:v>
      </x:c>
      <x:c r="D1448" s="2" t="str">
        <x:v>정령사</x:v>
      </x:c>
      <x:c r="E1448" s="2" t="n">
        <x:v>1</x:v>
      </x:c>
      <x:c r="F1448" s="2" t="n">
        <x:v>4</x:v>
      </x:c>
      <x:c r="G1448" s="14" t="n">
        <x:f>('레벨 계산식'!$E$4-E1448)*'레벨 계산식'!$B$5</x:f>
        <x:v>0.5599999999999999</x:v>
      </x:c>
      <x:c r="H1448" s="14" t="n">
        <x:f>('등급 계산식'!$E$4-F1448)*'등급 계산식'!$B$5</x:f>
        <x:v>0.06000000000000001</x:v>
      </x:c>
      <x:c r="I1448" s="14" t="n">
        <x:f>1-G1448-H1448</x:f>
        <x:v>0.38000000000000006</x:v>
      </x:c>
      <x:c r="J1448" s="2" t="n">
        <x:f>MAX(1,ROUND('기준스탯 72종'!D65-R1448-Z1448,0))</x:f>
        <x:v>2</x:v>
      </x:c>
      <x:c r="K1448" s="2" t="n">
        <x:f>MAX(1,ROUND('기준스탯 72종'!E65-S1448-AA1448,0))</x:f>
        <x:v>3</x:v>
      </x:c>
      <x:c r="L1448" s="2" t="n">
        <x:f>MAX(1,ROUND('기준스탯 72종'!F65-T1448-AB1448,0))</x:f>
        <x:v>4</x:v>
      </x:c>
      <x:c r="M1448" s="2" t="n">
        <x:f>MAX(1,ROUND('기준스탯 72종'!G65-U1448-AC1448,0))</x:f>
        <x:v>2</x:v>
      </x:c>
      <x:c r="N1448" s="2" t="n">
        <x:f>MAX(0,ROUND('기준스탯 72종'!H65-V1448-AD1448,0))</x:f>
        <x:v>0</x:v>
      </x:c>
      <x:c r="O1448" s="2" t="n">
        <x:f>MAX(0,ROUND('기준스탯 72종'!I65-W1448-AE1448,0))</x:f>
        <x:v>2</x:v>
      </x:c>
      <x:c r="P1448" s="2" t="n">
        <x:f>MAX(0,ROUND('기준스탯 72종'!J65-X1448-AF1448,0))</x:f>
        <x:v>1</x:v>
      </x:c>
      <x:c r="Q1448" s="2" t="n">
        <x:f>MAX(0,ROUND('기준스탯 72종'!K65-Y1448-AG1448,0))</x:f>
        <x:v>3</x:v>
      </x:c>
      <x:c r="R1448" s="15" t="n">
        <x:f>'기준스탯 72종'!D65*G1448</x:f>
        <x:v>3.3599999999999994</x:v>
      </x:c>
      <x:c r="S1448" s="15" t="n">
        <x:f>'기준스탯 72종'!E65*G1448</x:f>
        <x:v>5.039999999999999</x:v>
      </x:c>
      <x:c r="T1448" s="15" t="n">
        <x:f>'기준스탯 72종'!F65*G1448</x:f>
        <x:v>5.6</x:v>
      </x:c>
      <x:c r="U1448" s="15" t="n">
        <x:f>'기준스탯 72종'!G65*G1448</x:f>
        <x:v>3.3599999999999994</x:v>
      </x:c>
      <x:c r="V1448" s="15" t="n">
        <x:f>'기준스탯 72종'!H65*G1448</x:f>
        <x:v>0.5599999999999999</x:v>
      </x:c>
      <x:c r="W1448" s="15" t="n">
        <x:f>'기준스탯 72종'!I65*G1448</x:f>
        <x:v>2.8</x:v>
      </x:c>
      <x:c r="X1448" s="15" t="n">
        <x:f>'기준스탯 72종'!J65*G1448</x:f>
        <x:v>1.6799999999999997</x:v>
      </x:c>
      <x:c r="Y1448" s="15" t="n">
        <x:f>'기준스탯 72종'!K65*G1448</x:f>
        <x:v>3.9199999999999995</x:v>
      </x:c>
      <x:c r="Z1448" s="15" t="n">
        <x:f>'기준스탯 72종'!D65*H1448</x:f>
        <x:v>0.3600000000000001</x:v>
      </x:c>
      <x:c r="AA1448" s="15" t="n">
        <x:f>'기준스탯 72종'!E65*H1448</x:f>
        <x:v>0.5400000000000001</x:v>
      </x:c>
      <x:c r="AB1448" s="15" t="n">
        <x:f>'기준스탯 72종'!F65*H1448</x:f>
        <x:v>0.6000000000000001</x:v>
      </x:c>
      <x:c r="AC1448" s="15" t="n">
        <x:f>'기준스탯 72종'!G65*H1448</x:f>
        <x:v>0.3600000000000001</x:v>
      </x:c>
      <x:c r="AD1448" s="15" t="n">
        <x:f>'기준스탯 72종'!H65*H1448</x:f>
        <x:v>0.06000000000000001</x:v>
      </x:c>
      <x:c r="AE1448" s="15" t="n">
        <x:f>'기준스탯 72종'!I65*H1448</x:f>
        <x:v>0.30000000000000004</x:v>
      </x:c>
      <x:c r="AF1448" s="15" t="n">
        <x:f>'기준스탯 72종'!J65*H1448</x:f>
        <x:v>0.18000000000000005</x:v>
      </x:c>
      <x:c r="AG1448" s="15" t="n">
        <x:f>'기준스탯 72종'!K65*H1448</x:f>
        <x:v>0.4200000000000001</x:v>
      </x:c>
    </x:row>
    <x:row r="1449" ht="28" customHeight="1">
      <x:c r="A1449" s="2" t="n">
        <x:v>1442</x:v>
      </x:c>
      <x:c r="B1449" s="2" t="n">
        <x:v>58</x:v>
      </x:c>
      <x:c r="C1449" s="2" t="str">
        <x:v>염소자리</x:v>
      </x:c>
      <x:c r="D1449" s="2" t="str">
        <x:v>정령사</x:v>
      </x:c>
      <x:c r="E1449" s="2" t="n">
        <x:v>2</x:v>
      </x:c>
      <x:c r="F1449" s="2" t="n">
        <x:v>4</x:v>
      </x:c>
      <x:c r="G1449" s="14" t="n">
        <x:f>('레벨 계산식'!$E$4-E1449)*'레벨 계산식'!$B$5</x:f>
        <x:v>0.41999999999999993</x:v>
      </x:c>
      <x:c r="H1449" s="14" t="n">
        <x:f>('등급 계산식'!$E$4-F1449)*'등급 계산식'!$B$5</x:f>
        <x:v>0.06000000000000001</x:v>
      </x:c>
      <x:c r="I1449" s="14" t="n">
        <x:f>1-G1449-H1449</x:f>
        <x:v>0.52</x:v>
      </x:c>
      <x:c r="J1449" s="2" t="n">
        <x:f>MAX(1,ROUND('기준스탯 72종'!D65-R1449-Z1449,0))</x:f>
        <x:v>3</x:v>
      </x:c>
      <x:c r="K1449" s="2" t="n">
        <x:f>MAX(1,ROUND('기준스탯 72종'!E65-S1449-AA1449,0))</x:f>
        <x:v>5</x:v>
      </x:c>
      <x:c r="L1449" s="2" t="n">
        <x:f>MAX(1,ROUND('기준스탯 72종'!F65-T1449-AB1449,0))</x:f>
        <x:v>5</x:v>
      </x:c>
      <x:c r="M1449" s="2" t="n">
        <x:f>MAX(1,ROUND('기준스탯 72종'!G65-U1449-AC1449,0))</x:f>
        <x:v>3</x:v>
      </x:c>
      <x:c r="N1449" s="2" t="n">
        <x:f>MAX(0,ROUND('기준스탯 72종'!H65-V1449-AD1449,0))</x:f>
        <x:v>1</x:v>
      </x:c>
      <x:c r="O1449" s="2" t="n">
        <x:f>MAX(0,ROUND('기준스탯 72종'!I65-W1449-AE1449,0))</x:f>
        <x:v>3</x:v>
      </x:c>
      <x:c r="P1449" s="2" t="n">
        <x:f>MAX(0,ROUND('기준스탯 72종'!J65-X1449-AF1449,0))</x:f>
        <x:v>2</x:v>
      </x:c>
      <x:c r="Q1449" s="2" t="n">
        <x:f>MAX(0,ROUND('기준스탯 72종'!K65-Y1449-AG1449,0))</x:f>
        <x:v>4</x:v>
      </x:c>
      <x:c r="R1449" s="15" t="n">
        <x:f>'기준스탯 72종'!D65*G1449</x:f>
        <x:v>2.5199999999999996</x:v>
      </x:c>
      <x:c r="S1449" s="15" t="n">
        <x:f>'기준스탯 72종'!E65*G1449</x:f>
        <x:v>3.7799999999999994</x:v>
      </x:c>
      <x:c r="T1449" s="15" t="n">
        <x:f>'기준스탯 72종'!F65*G1449</x:f>
        <x:v>4.199999999999999</x:v>
      </x:c>
      <x:c r="U1449" s="15" t="n">
        <x:f>'기준스탯 72종'!G65*G1449</x:f>
        <x:v>2.5199999999999996</x:v>
      </x:c>
      <x:c r="V1449" s="15" t="n">
        <x:f>'기준스탯 72종'!H65*G1449</x:f>
        <x:v>0.41999999999999993</x:v>
      </x:c>
      <x:c r="W1449" s="15" t="n">
        <x:f>'기준스탯 72종'!I65*G1449</x:f>
        <x:v>2.0999999999999996</x:v>
      </x:c>
      <x:c r="X1449" s="15" t="n">
        <x:f>'기준스탯 72종'!J65*G1449</x:f>
        <x:v>1.2599999999999998</x:v>
      </x:c>
      <x:c r="Y1449" s="15" t="n">
        <x:f>'기준스탯 72종'!K65*G1449</x:f>
        <x:v>2.9399999999999995</x:v>
      </x:c>
      <x:c r="Z1449" s="15" t="n">
        <x:f>'기준스탯 72종'!D65*H1449</x:f>
        <x:v>0.3600000000000001</x:v>
      </x:c>
      <x:c r="AA1449" s="15" t="n">
        <x:f>'기준스탯 72종'!E65*H1449</x:f>
        <x:v>0.5400000000000001</x:v>
      </x:c>
      <x:c r="AB1449" s="15" t="n">
        <x:f>'기준스탯 72종'!F65*H1449</x:f>
        <x:v>0.6000000000000001</x:v>
      </x:c>
      <x:c r="AC1449" s="15" t="n">
        <x:f>'기준스탯 72종'!G65*H1449</x:f>
        <x:v>0.3600000000000001</x:v>
      </x:c>
      <x:c r="AD1449" s="15" t="n">
        <x:f>'기준스탯 72종'!H65*H1449</x:f>
        <x:v>0.06000000000000001</x:v>
      </x:c>
      <x:c r="AE1449" s="15" t="n">
        <x:f>'기준스탯 72종'!I65*H1449</x:f>
        <x:v>0.30000000000000004</x:v>
      </x:c>
      <x:c r="AF1449" s="15" t="n">
        <x:f>'기준스탯 72종'!J65*H1449</x:f>
        <x:v>0.18000000000000005</x:v>
      </x:c>
      <x:c r="AG1449" s="15" t="n">
        <x:f>'기준스탯 72종'!K65*H1449</x:f>
        <x:v>0.4200000000000001</x:v>
      </x:c>
    </x:row>
    <x:row r="1450" ht="28" customHeight="1">
      <x:c r="A1450" s="2" t="n">
        <x:v>1443</x:v>
      </x:c>
      <x:c r="B1450" s="2" t="n">
        <x:v>58</x:v>
      </x:c>
      <x:c r="C1450" s="2" t="str">
        <x:v>염소자리</x:v>
      </x:c>
      <x:c r="D1450" s="2" t="str">
        <x:v>정령사</x:v>
      </x:c>
      <x:c r="E1450" s="2" t="n">
        <x:v>3</x:v>
      </x:c>
      <x:c r="F1450" s="2" t="n">
        <x:v>4</x:v>
      </x:c>
      <x:c r="G1450" s="14" t="n">
        <x:f>('레벨 계산식'!$E$4-E1450)*'레벨 계산식'!$B$5</x:f>
        <x:v>0.27999999999999997</x:v>
      </x:c>
      <x:c r="H1450" s="14" t="n">
        <x:f>('등급 계산식'!$E$4-F1450)*'등급 계산식'!$B$5</x:f>
        <x:v>0.06000000000000001</x:v>
      </x:c>
      <x:c r="I1450" s="14" t="n">
        <x:f>1-G1450-H1450</x:f>
        <x:v>0.6599999999999999</x:v>
      </x:c>
      <x:c r="J1450" s="2" t="n">
        <x:f>MAX(1,ROUND('기준스탯 72종'!D65-R1450-Z1450,0))</x:f>
        <x:v>4</x:v>
      </x:c>
      <x:c r="K1450" s="2" t="n">
        <x:f>MAX(1,ROUND('기준스탯 72종'!E65-S1450-AA1450,0))</x:f>
        <x:v>6</x:v>
      </x:c>
      <x:c r="L1450" s="2" t="n">
        <x:f>MAX(1,ROUND('기준스탯 72종'!F65-T1450-AB1450,0))</x:f>
        <x:v>7</x:v>
      </x:c>
      <x:c r="M1450" s="2" t="n">
        <x:f>MAX(1,ROUND('기준스탯 72종'!G65-U1450-AC1450,0))</x:f>
        <x:v>4</x:v>
      </x:c>
      <x:c r="N1450" s="2" t="n">
        <x:f>MAX(0,ROUND('기준스탯 72종'!H65-V1450-AD1450,0))</x:f>
        <x:v>1</x:v>
      </x:c>
      <x:c r="O1450" s="2" t="n">
        <x:f>MAX(0,ROUND('기준스탯 72종'!I65-W1450-AE1450,0))</x:f>
        <x:v>3</x:v>
      </x:c>
      <x:c r="P1450" s="2" t="n">
        <x:f>MAX(0,ROUND('기준스탯 72종'!J65-X1450-AF1450,0))</x:f>
        <x:v>2</x:v>
      </x:c>
      <x:c r="Q1450" s="2" t="n">
        <x:f>MAX(0,ROUND('기준스탯 72종'!K65-Y1450-AG1450,0))</x:f>
        <x:v>5</x:v>
      </x:c>
      <x:c r="R1450" s="15" t="n">
        <x:f>'기준스탯 72종'!D65*G1450</x:f>
        <x:v>1.6799999999999997</x:v>
      </x:c>
      <x:c r="S1450" s="15" t="n">
        <x:f>'기준스탯 72종'!E65*G1450</x:f>
        <x:v>2.5199999999999996</x:v>
      </x:c>
      <x:c r="T1450" s="15" t="n">
        <x:f>'기준스탯 72종'!F65*G1450</x:f>
        <x:v>2.8</x:v>
      </x:c>
      <x:c r="U1450" s="15" t="n">
        <x:f>'기준스탯 72종'!G65*G1450</x:f>
        <x:v>1.6799999999999997</x:v>
      </x:c>
      <x:c r="V1450" s="15" t="n">
        <x:f>'기준스탯 72종'!H65*G1450</x:f>
        <x:v>0.27999999999999997</x:v>
      </x:c>
      <x:c r="W1450" s="15" t="n">
        <x:f>'기준스탯 72종'!I65*G1450</x:f>
        <x:v>1.4</x:v>
      </x:c>
      <x:c r="X1450" s="15" t="n">
        <x:f>'기준스탯 72종'!J65*G1450</x:f>
        <x:v>0.8399999999999999</x:v>
      </x:c>
      <x:c r="Y1450" s="15" t="n">
        <x:f>'기준스탯 72종'!K65*G1450</x:f>
        <x:v>1.9599999999999997</x:v>
      </x:c>
      <x:c r="Z1450" s="15" t="n">
        <x:f>'기준스탯 72종'!D65*H1450</x:f>
        <x:v>0.3600000000000001</x:v>
      </x:c>
      <x:c r="AA1450" s="15" t="n">
        <x:f>'기준스탯 72종'!E65*H1450</x:f>
        <x:v>0.5400000000000001</x:v>
      </x:c>
      <x:c r="AB1450" s="15" t="n">
        <x:f>'기준스탯 72종'!F65*H1450</x:f>
        <x:v>0.6000000000000001</x:v>
      </x:c>
      <x:c r="AC1450" s="15" t="n">
        <x:f>'기준스탯 72종'!G65*H1450</x:f>
        <x:v>0.3600000000000001</x:v>
      </x:c>
      <x:c r="AD1450" s="15" t="n">
        <x:f>'기준스탯 72종'!H65*H1450</x:f>
        <x:v>0.06000000000000001</x:v>
      </x:c>
      <x:c r="AE1450" s="15" t="n">
        <x:f>'기준스탯 72종'!I65*H1450</x:f>
        <x:v>0.30000000000000004</x:v>
      </x:c>
      <x:c r="AF1450" s="15" t="n">
        <x:f>'기준스탯 72종'!J65*H1450</x:f>
        <x:v>0.18000000000000005</x:v>
      </x:c>
      <x:c r="AG1450" s="15" t="n">
        <x:f>'기준스탯 72종'!K65*H1450</x:f>
        <x:v>0.4200000000000001</x:v>
      </x:c>
    </x:row>
    <x:row r="1451" ht="28" customHeight="1">
      <x:c r="A1451" s="2" t="n">
        <x:v>1444</x:v>
      </x:c>
      <x:c r="B1451" s="2" t="n">
        <x:v>58</x:v>
      </x:c>
      <x:c r="C1451" s="2" t="str">
        <x:v>염소자리</x:v>
      </x:c>
      <x:c r="D1451" s="2" t="str">
        <x:v>정령사</x:v>
      </x:c>
      <x:c r="E1451" s="2" t="n">
        <x:v>4</x:v>
      </x:c>
      <x:c r="F1451" s="2" t="n">
        <x:v>4</x:v>
      </x:c>
      <x:c r="G1451" s="14" t="n">
        <x:f>('레벨 계산식'!$E$4-E1451)*'레벨 계산식'!$B$5</x:f>
        <x:v>0.13999999999999999</x:v>
      </x:c>
      <x:c r="H1451" s="14" t="n">
        <x:f>('등급 계산식'!$E$4-F1451)*'등급 계산식'!$B$5</x:f>
        <x:v>0.06000000000000001</x:v>
      </x:c>
      <x:c r="I1451" s="14" t="n">
        <x:f>1-G1451-H1451</x:f>
        <x:v>0.7999999999999999</x:v>
      </x:c>
      <x:c r="J1451" s="2" t="n">
        <x:f>MAX(1,ROUND('기준스탯 72종'!D65-R1451-Z1451,0))</x:f>
        <x:v>5</x:v>
      </x:c>
      <x:c r="K1451" s="2" t="n">
        <x:f>MAX(1,ROUND('기준스탯 72종'!E65-S1451-AA1451,0))</x:f>
        <x:v>7</x:v>
      </x:c>
      <x:c r="L1451" s="2" t="n">
        <x:f>MAX(1,ROUND('기준스탯 72종'!F65-T1451-AB1451,0))</x:f>
        <x:v>8</x:v>
      </x:c>
      <x:c r="M1451" s="2" t="n">
        <x:f>MAX(1,ROUND('기준스탯 72종'!G65-U1451-AC1451,0))</x:f>
        <x:v>5</x:v>
      </x:c>
      <x:c r="N1451" s="2" t="n">
        <x:f>MAX(0,ROUND('기준스탯 72종'!H65-V1451-AD1451,0))</x:f>
        <x:v>1</x:v>
      </x:c>
      <x:c r="O1451" s="2" t="n">
        <x:f>MAX(0,ROUND('기준스탯 72종'!I65-W1451-AE1451,0))</x:f>
        <x:v>4</x:v>
      </x:c>
      <x:c r="P1451" s="2" t="n">
        <x:f>MAX(0,ROUND('기준스탯 72종'!J65-X1451-AF1451,0))</x:f>
        <x:v>2</x:v>
      </x:c>
      <x:c r="Q1451" s="2" t="n">
        <x:f>MAX(0,ROUND('기준스탯 72종'!K65-Y1451-AG1451,0))</x:f>
        <x:v>6</x:v>
      </x:c>
      <x:c r="R1451" s="15" t="n">
        <x:f>'기준스탯 72종'!D65*G1451</x:f>
        <x:v>0.8399999999999999</x:v>
      </x:c>
      <x:c r="S1451" s="15" t="n">
        <x:f>'기준스탯 72종'!E65*G1451</x:f>
        <x:v>1.2599999999999998</x:v>
      </x:c>
      <x:c r="T1451" s="15" t="n">
        <x:f>'기준스탯 72종'!F65*G1451</x:f>
        <x:v>1.4</x:v>
      </x:c>
      <x:c r="U1451" s="15" t="n">
        <x:f>'기준스탯 72종'!G65*G1451</x:f>
        <x:v>0.8399999999999999</x:v>
      </x:c>
      <x:c r="V1451" s="15" t="n">
        <x:f>'기준스탯 72종'!H65*G1451</x:f>
        <x:v>0.13999999999999999</x:v>
      </x:c>
      <x:c r="W1451" s="15" t="n">
        <x:f>'기준스탯 72종'!I65*G1451</x:f>
        <x:v>0.7</x:v>
      </x:c>
      <x:c r="X1451" s="15" t="n">
        <x:f>'기준스탯 72종'!J65*G1451</x:f>
        <x:v>0.41999999999999993</x:v>
      </x:c>
      <x:c r="Y1451" s="15" t="n">
        <x:f>'기준스탯 72종'!K65*G1451</x:f>
        <x:v>0.9799999999999999</x:v>
      </x:c>
      <x:c r="Z1451" s="15" t="n">
        <x:f>'기준스탯 72종'!D65*H1451</x:f>
        <x:v>0.3600000000000001</x:v>
      </x:c>
      <x:c r="AA1451" s="15" t="n">
        <x:f>'기준스탯 72종'!E65*H1451</x:f>
        <x:v>0.5400000000000001</x:v>
      </x:c>
      <x:c r="AB1451" s="15" t="n">
        <x:f>'기준스탯 72종'!F65*H1451</x:f>
        <x:v>0.6000000000000001</x:v>
      </x:c>
      <x:c r="AC1451" s="15" t="n">
        <x:f>'기준스탯 72종'!G65*H1451</x:f>
        <x:v>0.3600000000000001</x:v>
      </x:c>
      <x:c r="AD1451" s="15" t="n">
        <x:f>'기준스탯 72종'!H65*H1451</x:f>
        <x:v>0.06000000000000001</x:v>
      </x:c>
      <x:c r="AE1451" s="15" t="n">
        <x:f>'기준스탯 72종'!I65*H1451</x:f>
        <x:v>0.30000000000000004</x:v>
      </x:c>
      <x:c r="AF1451" s="15" t="n">
        <x:f>'기준스탯 72종'!J65*H1451</x:f>
        <x:v>0.18000000000000005</x:v>
      </x:c>
      <x:c r="AG1451" s="15" t="n">
        <x:f>'기준스탯 72종'!K65*H1451</x:f>
        <x:v>0.4200000000000001</x:v>
      </x:c>
    </x:row>
    <x:row r="1452" ht="28" customHeight="1">
      <x:c r="A1452" s="2" t="n">
        <x:v>1445</x:v>
      </x:c>
      <x:c r="B1452" s="2" t="n">
        <x:v>58</x:v>
      </x:c>
      <x:c r="C1452" s="2" t="str">
        <x:v>염소자리</x:v>
      </x:c>
      <x:c r="D1452" s="2" t="str">
        <x:v>정령사</x:v>
      </x:c>
      <x:c r="E1452" s="2" t="n">
        <x:v>5</x:v>
      </x:c>
      <x:c r="F1452" s="2" t="n">
        <x:v>4</x:v>
      </x:c>
      <x:c r="G1452" s="14" t="n">
        <x:f>('레벨 계산식'!$E$4-E1452)*'레벨 계산식'!$B$5</x:f>
        <x:v>0</x:v>
      </x:c>
      <x:c r="H1452" s="14" t="n">
        <x:f>('등급 계산식'!$E$4-F1452)*'등급 계산식'!$B$5</x:f>
        <x:v>0.06000000000000001</x:v>
      </x:c>
      <x:c r="I1452" s="14" t="n">
        <x:f>1-G1452-H1452</x:f>
        <x:v>0.94</x:v>
      </x:c>
      <x:c r="J1452" s="2" t="n">
        <x:f>MAX(1,ROUND('기준스탯 72종'!D65-R1452-Z1452,0))</x:f>
        <x:v>6</x:v>
      </x:c>
      <x:c r="K1452" s="2" t="n">
        <x:f>MAX(1,ROUND('기준스탯 72종'!E65-S1452-AA1452,0))</x:f>
        <x:v>8</x:v>
      </x:c>
      <x:c r="L1452" s="2" t="n">
        <x:f>MAX(1,ROUND('기준스탯 72종'!F65-T1452-AB1452,0))</x:f>
        <x:v>9</x:v>
      </x:c>
      <x:c r="M1452" s="2" t="n">
        <x:f>MAX(1,ROUND('기준스탯 72종'!G65-U1452-AC1452,0))</x:f>
        <x:v>6</x:v>
      </x:c>
      <x:c r="N1452" s="2" t="n">
        <x:f>MAX(0,ROUND('기준스탯 72종'!H65-V1452-AD1452,0))</x:f>
        <x:v>1</x:v>
      </x:c>
      <x:c r="O1452" s="2" t="n">
        <x:f>MAX(0,ROUND('기준스탯 72종'!I65-W1452-AE1452,0))</x:f>
        <x:v>5</x:v>
      </x:c>
      <x:c r="P1452" s="2" t="n">
        <x:f>MAX(0,ROUND('기준스탯 72종'!J65-X1452-AF1452,0))</x:f>
        <x:v>3</x:v>
      </x:c>
      <x:c r="Q1452" s="2" t="n">
        <x:f>MAX(0,ROUND('기준스탯 72종'!K65-Y1452-AG1452,0))</x:f>
        <x:v>7</x:v>
      </x:c>
      <x:c r="R1452" s="15" t="n">
        <x:f>'기준스탯 72종'!D65*G1452</x:f>
        <x:v>0</x:v>
      </x:c>
      <x:c r="S1452" s="15" t="n">
        <x:f>'기준스탯 72종'!E65*G1452</x:f>
        <x:v>0</x:v>
      </x:c>
      <x:c r="T1452" s="15" t="n">
        <x:f>'기준스탯 72종'!F65*G1452</x:f>
        <x:v>0</x:v>
      </x:c>
      <x:c r="U1452" s="15" t="n">
        <x:f>'기준스탯 72종'!G65*G1452</x:f>
        <x:v>0</x:v>
      </x:c>
      <x:c r="V1452" s="15" t="n">
        <x:f>'기준스탯 72종'!H65*G1452</x:f>
        <x:v>0</x:v>
      </x:c>
      <x:c r="W1452" s="15" t="n">
        <x:f>'기준스탯 72종'!I65*G1452</x:f>
        <x:v>0</x:v>
      </x:c>
      <x:c r="X1452" s="15" t="n">
        <x:f>'기준스탯 72종'!J65*G1452</x:f>
        <x:v>0</x:v>
      </x:c>
      <x:c r="Y1452" s="15" t="n">
        <x:f>'기준스탯 72종'!K65*G1452</x:f>
        <x:v>0</x:v>
      </x:c>
      <x:c r="Z1452" s="15" t="n">
        <x:f>'기준스탯 72종'!D65*H1452</x:f>
        <x:v>0.3600000000000001</x:v>
      </x:c>
      <x:c r="AA1452" s="15" t="n">
        <x:f>'기준스탯 72종'!E65*H1452</x:f>
        <x:v>0.5400000000000001</x:v>
      </x:c>
      <x:c r="AB1452" s="15" t="n">
        <x:f>'기준스탯 72종'!F65*H1452</x:f>
        <x:v>0.6000000000000001</x:v>
      </x:c>
      <x:c r="AC1452" s="15" t="n">
        <x:f>'기준스탯 72종'!G65*H1452</x:f>
        <x:v>0.3600000000000001</x:v>
      </x:c>
      <x:c r="AD1452" s="15" t="n">
        <x:f>'기준스탯 72종'!H65*H1452</x:f>
        <x:v>0.06000000000000001</x:v>
      </x:c>
      <x:c r="AE1452" s="15" t="n">
        <x:f>'기준스탯 72종'!I65*H1452</x:f>
        <x:v>0.30000000000000004</x:v>
      </x:c>
      <x:c r="AF1452" s="15" t="n">
        <x:f>'기준스탯 72종'!J65*H1452</x:f>
        <x:v>0.18000000000000005</x:v>
      </x:c>
      <x:c r="AG1452" s="15" t="n">
        <x:f>'기준스탯 72종'!K65*H1452</x:f>
        <x:v>0.4200000000000001</x:v>
      </x:c>
    </x:row>
    <x:row r="1453" ht="28" customHeight="1">
      <x:c r="A1453" s="2" t="n">
        <x:v>1446</x:v>
      </x:c>
      <x:c r="B1453" s="2" t="n">
        <x:v>58</x:v>
      </x:c>
      <x:c r="C1453" s="2" t="str">
        <x:v>염소자리</x:v>
      </x:c>
      <x:c r="D1453" s="2" t="str">
        <x:v>정령사</x:v>
      </x:c>
      <x:c r="E1453" s="2" t="n">
        <x:v>1</x:v>
      </x:c>
      <x:c r="F1453" s="2" t="n">
        <x:v>5</x:v>
      </x:c>
      <x:c r="G1453" s="14" t="n">
        <x:f>('레벨 계산식'!$E$4-E1453)*'레벨 계산식'!$B$5</x:f>
        <x:v>0.5599999999999999</x:v>
      </x:c>
      <x:c r="H1453" s="14" t="n">
        <x:f>('등급 계산식'!$E$4-F1453)*'등급 계산식'!$B$5</x:f>
        <x:v>0</x:v>
      </x:c>
      <x:c r="I1453" s="14" t="n">
        <x:f>1-G1453-H1453</x:f>
        <x:v>0.44000000000000006</x:v>
      </x:c>
      <x:c r="J1453" s="2" t="n">
        <x:f>MAX(1,ROUND('기준스탯 72종'!D65-R1453-Z1453,0))</x:f>
        <x:v>3</x:v>
      </x:c>
      <x:c r="K1453" s="2" t="n">
        <x:f>MAX(1,ROUND('기준스탯 72종'!E65-S1453-AA1453,0))</x:f>
        <x:v>4</x:v>
      </x:c>
      <x:c r="L1453" s="2" t="n">
        <x:f>MAX(1,ROUND('기준스탯 72종'!F65-T1453-AB1453,0))</x:f>
        <x:v>4</x:v>
      </x:c>
      <x:c r="M1453" s="2" t="n">
        <x:f>MAX(1,ROUND('기준스탯 72종'!G65-U1453-AC1453,0))</x:f>
        <x:v>3</x:v>
      </x:c>
      <x:c r="N1453" s="2" t="n">
        <x:f>MAX(0,ROUND('기준스탯 72종'!H65-V1453-AD1453,0))</x:f>
        <x:v>0</x:v>
      </x:c>
      <x:c r="O1453" s="2" t="n">
        <x:f>MAX(0,ROUND('기준스탯 72종'!I65-W1453-AE1453,0))</x:f>
        <x:v>2</x:v>
      </x:c>
      <x:c r="P1453" s="2" t="n">
        <x:f>MAX(0,ROUND('기준스탯 72종'!J65-X1453-AF1453,0))</x:f>
        <x:v>1</x:v>
      </x:c>
      <x:c r="Q1453" s="2" t="n">
        <x:f>MAX(0,ROUND('기준스탯 72종'!K65-Y1453-AG1453,0))</x:f>
        <x:v>3</x:v>
      </x:c>
      <x:c r="R1453" s="15" t="n">
        <x:f>'기준스탯 72종'!D65*G1453</x:f>
        <x:v>3.3599999999999994</x:v>
      </x:c>
      <x:c r="S1453" s="15" t="n">
        <x:f>'기준스탯 72종'!E65*G1453</x:f>
        <x:v>5.039999999999999</x:v>
      </x:c>
      <x:c r="T1453" s="15" t="n">
        <x:f>'기준스탯 72종'!F65*G1453</x:f>
        <x:v>5.6</x:v>
      </x:c>
      <x:c r="U1453" s="15" t="n">
        <x:f>'기준스탯 72종'!G65*G1453</x:f>
        <x:v>3.3599999999999994</x:v>
      </x:c>
      <x:c r="V1453" s="15" t="n">
        <x:f>'기준스탯 72종'!H65*G1453</x:f>
        <x:v>0.5599999999999999</x:v>
      </x:c>
      <x:c r="W1453" s="15" t="n">
        <x:f>'기준스탯 72종'!I65*G1453</x:f>
        <x:v>2.8</x:v>
      </x:c>
      <x:c r="X1453" s="15" t="n">
        <x:f>'기준스탯 72종'!J65*G1453</x:f>
        <x:v>1.6799999999999997</x:v>
      </x:c>
      <x:c r="Y1453" s="15" t="n">
        <x:f>'기준스탯 72종'!K65*G1453</x:f>
        <x:v>3.9199999999999995</x:v>
      </x:c>
      <x:c r="Z1453" s="15" t="n">
        <x:f>'기준스탯 72종'!D65*H1453</x:f>
        <x:v>0</x:v>
      </x:c>
      <x:c r="AA1453" s="15" t="n">
        <x:f>'기준스탯 72종'!E65*H1453</x:f>
        <x:v>0</x:v>
      </x:c>
      <x:c r="AB1453" s="15" t="n">
        <x:f>'기준스탯 72종'!F65*H1453</x:f>
        <x:v>0</x:v>
      </x:c>
      <x:c r="AC1453" s="15" t="n">
        <x:f>'기준스탯 72종'!G65*H1453</x:f>
        <x:v>0</x:v>
      </x:c>
      <x:c r="AD1453" s="15" t="n">
        <x:f>'기준스탯 72종'!H65*H1453</x:f>
        <x:v>0</x:v>
      </x:c>
      <x:c r="AE1453" s="15" t="n">
        <x:f>'기준스탯 72종'!I65*H1453</x:f>
        <x:v>0</x:v>
      </x:c>
      <x:c r="AF1453" s="15" t="n">
        <x:f>'기준스탯 72종'!J65*H1453</x:f>
        <x:v>0</x:v>
      </x:c>
      <x:c r="AG1453" s="15" t="n">
        <x:f>'기준스탯 72종'!K65*H1453</x:f>
        <x:v>0</x:v>
      </x:c>
    </x:row>
    <x:row r="1454" ht="28" customHeight="1">
      <x:c r="A1454" s="2" t="n">
        <x:v>1447</x:v>
      </x:c>
      <x:c r="B1454" s="2" t="n">
        <x:v>58</x:v>
      </x:c>
      <x:c r="C1454" s="2" t="str">
        <x:v>염소자리</x:v>
      </x:c>
      <x:c r="D1454" s="2" t="str">
        <x:v>정령사</x:v>
      </x:c>
      <x:c r="E1454" s="2" t="n">
        <x:v>2</x:v>
      </x:c>
      <x:c r="F1454" s="2" t="n">
        <x:v>5</x:v>
      </x:c>
      <x:c r="G1454" s="14" t="n">
        <x:f>('레벨 계산식'!$E$4-E1454)*'레벨 계산식'!$B$5</x:f>
        <x:v>0.41999999999999993</x:v>
      </x:c>
      <x:c r="H1454" s="14" t="n">
        <x:f>('등급 계산식'!$E$4-F1454)*'등급 계산식'!$B$5</x:f>
        <x:v>0</x:v>
      </x:c>
      <x:c r="I1454" s="14" t="n">
        <x:f>1-G1454-H1454</x:f>
        <x:v>0.5800000000000001</x:v>
      </x:c>
      <x:c r="J1454" s="2" t="n">
        <x:f>MAX(1,ROUND('기준스탯 72종'!D65-R1454-Z1454,0))</x:f>
        <x:v>3</x:v>
      </x:c>
      <x:c r="K1454" s="2" t="n">
        <x:f>MAX(1,ROUND('기준스탯 72종'!E65-S1454-AA1454,0))</x:f>
        <x:v>5</x:v>
      </x:c>
      <x:c r="L1454" s="2" t="n">
        <x:f>MAX(1,ROUND('기준스탯 72종'!F65-T1454-AB1454,0))</x:f>
        <x:v>6</x:v>
      </x:c>
      <x:c r="M1454" s="2" t="n">
        <x:f>MAX(1,ROUND('기준스탯 72종'!G65-U1454-AC1454,0))</x:f>
        <x:v>3</x:v>
      </x:c>
      <x:c r="N1454" s="2" t="n">
        <x:f>MAX(0,ROUND('기준스탯 72종'!H65-V1454-AD1454,0))</x:f>
        <x:v>1</x:v>
      </x:c>
      <x:c r="O1454" s="2" t="n">
        <x:f>MAX(0,ROUND('기준스탯 72종'!I65-W1454-AE1454,0))</x:f>
        <x:v>3</x:v>
      </x:c>
      <x:c r="P1454" s="2" t="n">
        <x:f>MAX(0,ROUND('기준스탯 72종'!J65-X1454-AF1454,0))</x:f>
        <x:v>2</x:v>
      </x:c>
      <x:c r="Q1454" s="2" t="n">
        <x:f>MAX(0,ROUND('기준스탯 72종'!K65-Y1454-AG1454,0))</x:f>
        <x:v>4</x:v>
      </x:c>
      <x:c r="R1454" s="15" t="n">
        <x:f>'기준스탯 72종'!D65*G1454</x:f>
        <x:v>2.5199999999999996</x:v>
      </x:c>
      <x:c r="S1454" s="15" t="n">
        <x:f>'기준스탯 72종'!E65*G1454</x:f>
        <x:v>3.7799999999999994</x:v>
      </x:c>
      <x:c r="T1454" s="15" t="n">
        <x:f>'기준스탯 72종'!F65*G1454</x:f>
        <x:v>4.199999999999999</x:v>
      </x:c>
      <x:c r="U1454" s="15" t="n">
        <x:f>'기준스탯 72종'!G65*G1454</x:f>
        <x:v>2.5199999999999996</x:v>
      </x:c>
      <x:c r="V1454" s="15" t="n">
        <x:f>'기준스탯 72종'!H65*G1454</x:f>
        <x:v>0.41999999999999993</x:v>
      </x:c>
      <x:c r="W1454" s="15" t="n">
        <x:f>'기준스탯 72종'!I65*G1454</x:f>
        <x:v>2.0999999999999996</x:v>
      </x:c>
      <x:c r="X1454" s="15" t="n">
        <x:f>'기준스탯 72종'!J65*G1454</x:f>
        <x:v>1.2599999999999998</x:v>
      </x:c>
      <x:c r="Y1454" s="15" t="n">
        <x:f>'기준스탯 72종'!K65*G1454</x:f>
        <x:v>2.9399999999999995</x:v>
      </x:c>
      <x:c r="Z1454" s="15" t="n">
        <x:f>'기준스탯 72종'!D65*H1454</x:f>
        <x:v>0</x:v>
      </x:c>
      <x:c r="AA1454" s="15" t="n">
        <x:f>'기준스탯 72종'!E65*H1454</x:f>
        <x:v>0</x:v>
      </x:c>
      <x:c r="AB1454" s="15" t="n">
        <x:f>'기준스탯 72종'!F65*H1454</x:f>
        <x:v>0</x:v>
      </x:c>
      <x:c r="AC1454" s="15" t="n">
        <x:f>'기준스탯 72종'!G65*H1454</x:f>
        <x:v>0</x:v>
      </x:c>
      <x:c r="AD1454" s="15" t="n">
        <x:f>'기준스탯 72종'!H65*H1454</x:f>
        <x:v>0</x:v>
      </x:c>
      <x:c r="AE1454" s="15" t="n">
        <x:f>'기준스탯 72종'!I65*H1454</x:f>
        <x:v>0</x:v>
      </x:c>
      <x:c r="AF1454" s="15" t="n">
        <x:f>'기준스탯 72종'!J65*H1454</x:f>
        <x:v>0</x:v>
      </x:c>
      <x:c r="AG1454" s="15" t="n">
        <x:f>'기준스탯 72종'!K65*H1454</x:f>
        <x:v>0</x:v>
      </x:c>
    </x:row>
    <x:row r="1455" ht="28" customHeight="1">
      <x:c r="A1455" s="2" t="n">
        <x:v>1448</x:v>
      </x:c>
      <x:c r="B1455" s="2" t="n">
        <x:v>58</x:v>
      </x:c>
      <x:c r="C1455" s="2" t="str">
        <x:v>염소자리</x:v>
      </x:c>
      <x:c r="D1455" s="2" t="str">
        <x:v>정령사</x:v>
      </x:c>
      <x:c r="E1455" s="2" t="n">
        <x:v>3</x:v>
      </x:c>
      <x:c r="F1455" s="2" t="n">
        <x:v>5</x:v>
      </x:c>
      <x:c r="G1455" s="14" t="n">
        <x:f>('레벨 계산식'!$E$4-E1455)*'레벨 계산식'!$B$5</x:f>
        <x:v>0.27999999999999997</x:v>
      </x:c>
      <x:c r="H1455" s="14" t="n">
        <x:f>('등급 계산식'!$E$4-F1455)*'등급 계산식'!$B$5</x:f>
        <x:v>0</x:v>
      </x:c>
      <x:c r="I1455" s="14" t="n">
        <x:f>1-G1455-H1455</x:f>
        <x:v>0.72</x:v>
      </x:c>
      <x:c r="J1455" s="2" t="n">
        <x:f>MAX(1,ROUND('기준스탯 72종'!D65-R1455-Z1455,0))</x:f>
        <x:v>4</x:v>
      </x:c>
      <x:c r="K1455" s="2" t="n">
        <x:f>MAX(1,ROUND('기준스탯 72종'!E65-S1455-AA1455,0))</x:f>
        <x:v>6</x:v>
      </x:c>
      <x:c r="L1455" s="2" t="n">
        <x:f>MAX(1,ROUND('기준스탯 72종'!F65-T1455-AB1455,0))</x:f>
        <x:v>7</x:v>
      </x:c>
      <x:c r="M1455" s="2" t="n">
        <x:f>MAX(1,ROUND('기준스탯 72종'!G65-U1455-AC1455,0))</x:f>
        <x:v>4</x:v>
      </x:c>
      <x:c r="N1455" s="2" t="n">
        <x:f>MAX(0,ROUND('기준스탯 72종'!H65-V1455-AD1455,0))</x:f>
        <x:v>1</x:v>
      </x:c>
      <x:c r="O1455" s="2" t="n">
        <x:f>MAX(0,ROUND('기준스탯 72종'!I65-W1455-AE1455,0))</x:f>
        <x:v>4</x:v>
      </x:c>
      <x:c r="P1455" s="2" t="n">
        <x:f>MAX(0,ROUND('기준스탯 72종'!J65-X1455-AF1455,0))</x:f>
        <x:v>2</x:v>
      </x:c>
      <x:c r="Q1455" s="2" t="n">
        <x:f>MAX(0,ROUND('기준스탯 72종'!K65-Y1455-AG1455,0))</x:f>
        <x:v>5</x:v>
      </x:c>
      <x:c r="R1455" s="15" t="n">
        <x:f>'기준스탯 72종'!D65*G1455</x:f>
        <x:v>1.6799999999999997</x:v>
      </x:c>
      <x:c r="S1455" s="15" t="n">
        <x:f>'기준스탯 72종'!E65*G1455</x:f>
        <x:v>2.5199999999999996</x:v>
      </x:c>
      <x:c r="T1455" s="15" t="n">
        <x:f>'기준스탯 72종'!F65*G1455</x:f>
        <x:v>2.8</x:v>
      </x:c>
      <x:c r="U1455" s="15" t="n">
        <x:f>'기준스탯 72종'!G65*G1455</x:f>
        <x:v>1.6799999999999997</x:v>
      </x:c>
      <x:c r="V1455" s="15" t="n">
        <x:f>'기준스탯 72종'!H65*G1455</x:f>
        <x:v>0.27999999999999997</x:v>
      </x:c>
      <x:c r="W1455" s="15" t="n">
        <x:f>'기준스탯 72종'!I65*G1455</x:f>
        <x:v>1.4</x:v>
      </x:c>
      <x:c r="X1455" s="15" t="n">
        <x:f>'기준스탯 72종'!J65*G1455</x:f>
        <x:v>0.8399999999999999</x:v>
      </x:c>
      <x:c r="Y1455" s="15" t="n">
        <x:f>'기준스탯 72종'!K65*G1455</x:f>
        <x:v>1.9599999999999997</x:v>
      </x:c>
      <x:c r="Z1455" s="15" t="n">
        <x:f>'기준스탯 72종'!D65*H1455</x:f>
        <x:v>0</x:v>
      </x:c>
      <x:c r="AA1455" s="15" t="n">
        <x:f>'기준스탯 72종'!E65*H1455</x:f>
        <x:v>0</x:v>
      </x:c>
      <x:c r="AB1455" s="15" t="n">
        <x:f>'기준스탯 72종'!F65*H1455</x:f>
        <x:v>0</x:v>
      </x:c>
      <x:c r="AC1455" s="15" t="n">
        <x:f>'기준스탯 72종'!G65*H1455</x:f>
        <x:v>0</x:v>
      </x:c>
      <x:c r="AD1455" s="15" t="n">
        <x:f>'기준스탯 72종'!H65*H1455</x:f>
        <x:v>0</x:v>
      </x:c>
      <x:c r="AE1455" s="15" t="n">
        <x:f>'기준스탯 72종'!I65*H1455</x:f>
        <x:v>0</x:v>
      </x:c>
      <x:c r="AF1455" s="15" t="n">
        <x:f>'기준스탯 72종'!J65*H1455</x:f>
        <x:v>0</x:v>
      </x:c>
      <x:c r="AG1455" s="15" t="n">
        <x:f>'기준스탯 72종'!K65*H1455</x:f>
        <x:v>0</x:v>
      </x:c>
    </x:row>
    <x:row r="1456" ht="28" customHeight="1">
      <x:c r="A1456" s="2" t="n">
        <x:v>1449</x:v>
      </x:c>
      <x:c r="B1456" s="2" t="n">
        <x:v>58</x:v>
      </x:c>
      <x:c r="C1456" s="2" t="str">
        <x:v>염소자리</x:v>
      </x:c>
      <x:c r="D1456" s="2" t="str">
        <x:v>정령사</x:v>
      </x:c>
      <x:c r="E1456" s="2" t="n">
        <x:v>4</x:v>
      </x:c>
      <x:c r="F1456" s="2" t="n">
        <x:v>5</x:v>
      </x:c>
      <x:c r="G1456" s="14" t="n">
        <x:f>('레벨 계산식'!$E$4-E1456)*'레벨 계산식'!$B$5</x:f>
        <x:v>0.13999999999999999</x:v>
      </x:c>
      <x:c r="H1456" s="14" t="n">
        <x:f>('등급 계산식'!$E$4-F1456)*'등급 계산식'!$B$5</x:f>
        <x:v>0</x:v>
      </x:c>
      <x:c r="I1456" s="14" t="n">
        <x:f>1-G1456-H1456</x:f>
        <x:v>0.86</x:v>
      </x:c>
      <x:c r="J1456" s="2" t="n">
        <x:f>MAX(1,ROUND('기준스탯 72종'!D65-R1456-Z1456,0))</x:f>
        <x:v>5</x:v>
      </x:c>
      <x:c r="K1456" s="2" t="n">
        <x:f>MAX(1,ROUND('기준스탯 72종'!E65-S1456-AA1456,0))</x:f>
        <x:v>8</x:v>
      </x:c>
      <x:c r="L1456" s="2" t="n">
        <x:f>MAX(1,ROUND('기준스탯 72종'!F65-T1456-AB1456,0))</x:f>
        <x:v>9</x:v>
      </x:c>
      <x:c r="M1456" s="2" t="n">
        <x:f>MAX(1,ROUND('기준스탯 72종'!G65-U1456-AC1456,0))</x:f>
        <x:v>5</x:v>
      </x:c>
      <x:c r="N1456" s="2" t="n">
        <x:f>MAX(0,ROUND('기준스탯 72종'!H65-V1456-AD1456,0))</x:f>
        <x:v>1</x:v>
      </x:c>
      <x:c r="O1456" s="2" t="n">
        <x:f>MAX(0,ROUND('기준스탯 72종'!I65-W1456-AE1456,0))</x:f>
        <x:v>4</x:v>
      </x:c>
      <x:c r="P1456" s="2" t="n">
        <x:f>MAX(0,ROUND('기준스탯 72종'!J65-X1456-AF1456,0))</x:f>
        <x:v>3</x:v>
      </x:c>
      <x:c r="Q1456" s="2" t="n">
        <x:f>MAX(0,ROUND('기준스탯 72종'!K65-Y1456-AG1456,0))</x:f>
        <x:v>6</x:v>
      </x:c>
      <x:c r="R1456" s="15" t="n">
        <x:f>'기준스탯 72종'!D65*G1456</x:f>
        <x:v>0.8399999999999999</x:v>
      </x:c>
      <x:c r="S1456" s="15" t="n">
        <x:f>'기준스탯 72종'!E65*G1456</x:f>
        <x:v>1.2599999999999998</x:v>
      </x:c>
      <x:c r="T1456" s="15" t="n">
        <x:f>'기준스탯 72종'!F65*G1456</x:f>
        <x:v>1.4</x:v>
      </x:c>
      <x:c r="U1456" s="15" t="n">
        <x:f>'기준스탯 72종'!G65*G1456</x:f>
        <x:v>0.8399999999999999</x:v>
      </x:c>
      <x:c r="V1456" s="15" t="n">
        <x:f>'기준스탯 72종'!H65*G1456</x:f>
        <x:v>0.13999999999999999</x:v>
      </x:c>
      <x:c r="W1456" s="15" t="n">
        <x:f>'기준스탯 72종'!I65*G1456</x:f>
        <x:v>0.7</x:v>
      </x:c>
      <x:c r="X1456" s="15" t="n">
        <x:f>'기준스탯 72종'!J65*G1456</x:f>
        <x:v>0.41999999999999993</x:v>
      </x:c>
      <x:c r="Y1456" s="15" t="n">
        <x:f>'기준스탯 72종'!K65*G1456</x:f>
        <x:v>0.9799999999999999</x:v>
      </x:c>
      <x:c r="Z1456" s="15" t="n">
        <x:f>'기준스탯 72종'!D65*H1456</x:f>
        <x:v>0</x:v>
      </x:c>
      <x:c r="AA1456" s="15" t="n">
        <x:f>'기준스탯 72종'!E65*H1456</x:f>
        <x:v>0</x:v>
      </x:c>
      <x:c r="AB1456" s="15" t="n">
        <x:f>'기준스탯 72종'!F65*H1456</x:f>
        <x:v>0</x:v>
      </x:c>
      <x:c r="AC1456" s="15" t="n">
        <x:f>'기준스탯 72종'!G65*H1456</x:f>
        <x:v>0</x:v>
      </x:c>
      <x:c r="AD1456" s="15" t="n">
        <x:f>'기준스탯 72종'!H65*H1456</x:f>
        <x:v>0</x:v>
      </x:c>
      <x:c r="AE1456" s="15" t="n">
        <x:f>'기준스탯 72종'!I65*H1456</x:f>
        <x:v>0</x:v>
      </x:c>
      <x:c r="AF1456" s="15" t="n">
        <x:f>'기준스탯 72종'!J65*H1456</x:f>
        <x:v>0</x:v>
      </x:c>
      <x:c r="AG1456" s="15" t="n">
        <x:f>'기준스탯 72종'!K65*H1456</x:f>
        <x:v>0</x:v>
      </x:c>
    </x:row>
    <x:row r="1457" ht="28" customHeight="1">
      <x:c r="A1457" s="2" t="n">
        <x:v>1450</x:v>
      </x:c>
      <x:c r="B1457" s="2" t="n">
        <x:v>58</x:v>
      </x:c>
      <x:c r="C1457" s="2" t="str">
        <x:v>염소자리</x:v>
      </x:c>
      <x:c r="D1457" s="2" t="str">
        <x:v>정령사</x:v>
      </x:c>
      <x:c r="E1457" s="2" t="n">
        <x:v>5</x:v>
      </x:c>
      <x:c r="F1457" s="2" t="n">
        <x:v>5</x:v>
      </x:c>
      <x:c r="G1457" s="14" t="n">
        <x:f>('레벨 계산식'!$E$4-E1457)*'레벨 계산식'!$B$5</x:f>
        <x:v>0</x:v>
      </x:c>
      <x:c r="H1457" s="14" t="n">
        <x:f>('등급 계산식'!$E$4-F1457)*'등급 계산식'!$B$5</x:f>
        <x:v>0</x:v>
      </x:c>
      <x:c r="I1457" s="14" t="n">
        <x:f>1-G1457-H1457</x:f>
        <x:v>1</x:v>
      </x:c>
      <x:c r="J1457" s="2" t="n">
        <x:f>MAX(1,ROUND('기준스탯 72종'!D65-R1457-Z1457,0))</x:f>
        <x:v>6</x:v>
      </x:c>
      <x:c r="K1457" s="2" t="n">
        <x:f>MAX(1,ROUND('기준스탯 72종'!E65-S1457-AA1457,0))</x:f>
        <x:v>9</x:v>
      </x:c>
      <x:c r="L1457" s="2" t="n">
        <x:f>MAX(1,ROUND('기준스탯 72종'!F65-T1457-AB1457,0))</x:f>
        <x:v>10</x:v>
      </x:c>
      <x:c r="M1457" s="2" t="n">
        <x:f>MAX(1,ROUND('기준스탯 72종'!G65-U1457-AC1457,0))</x:f>
        <x:v>6</x:v>
      </x:c>
      <x:c r="N1457" s="2" t="n">
        <x:f>MAX(0,ROUND('기준스탯 72종'!H65-V1457-AD1457,0))</x:f>
        <x:v>1</x:v>
      </x:c>
      <x:c r="O1457" s="2" t="n">
        <x:f>MAX(0,ROUND('기준스탯 72종'!I65-W1457-AE1457,0))</x:f>
        <x:v>5</x:v>
      </x:c>
      <x:c r="P1457" s="2" t="n">
        <x:f>MAX(0,ROUND('기준스탯 72종'!J65-X1457-AF1457,0))</x:f>
        <x:v>3</x:v>
      </x:c>
      <x:c r="Q1457" s="2" t="n">
        <x:f>MAX(0,ROUND('기준스탯 72종'!K65-Y1457-AG1457,0))</x:f>
        <x:v>7</x:v>
      </x:c>
      <x:c r="R1457" s="15" t="n">
        <x:f>'기준스탯 72종'!D65*G1457</x:f>
        <x:v>0</x:v>
      </x:c>
      <x:c r="S1457" s="15" t="n">
        <x:f>'기준스탯 72종'!E65*G1457</x:f>
        <x:v>0</x:v>
      </x:c>
      <x:c r="T1457" s="15" t="n">
        <x:f>'기준스탯 72종'!F65*G1457</x:f>
        <x:v>0</x:v>
      </x:c>
      <x:c r="U1457" s="15" t="n">
        <x:f>'기준스탯 72종'!G65*G1457</x:f>
        <x:v>0</x:v>
      </x:c>
      <x:c r="V1457" s="15" t="n">
        <x:f>'기준스탯 72종'!H65*G1457</x:f>
        <x:v>0</x:v>
      </x:c>
      <x:c r="W1457" s="15" t="n">
        <x:f>'기준스탯 72종'!I65*G1457</x:f>
        <x:v>0</x:v>
      </x:c>
      <x:c r="X1457" s="15" t="n">
        <x:f>'기준스탯 72종'!J65*G1457</x:f>
        <x:v>0</x:v>
      </x:c>
      <x:c r="Y1457" s="15" t="n">
        <x:f>'기준스탯 72종'!K65*G1457</x:f>
        <x:v>0</x:v>
      </x:c>
      <x:c r="Z1457" s="15" t="n">
        <x:f>'기준스탯 72종'!D65*H1457</x:f>
        <x:v>0</x:v>
      </x:c>
      <x:c r="AA1457" s="15" t="n">
        <x:f>'기준스탯 72종'!E65*H1457</x:f>
        <x:v>0</x:v>
      </x:c>
      <x:c r="AB1457" s="15" t="n">
        <x:f>'기준스탯 72종'!F65*H1457</x:f>
        <x:v>0</x:v>
      </x:c>
      <x:c r="AC1457" s="15" t="n">
        <x:f>'기준스탯 72종'!G65*H1457</x:f>
        <x:v>0</x:v>
      </x:c>
      <x:c r="AD1457" s="15" t="n">
        <x:f>'기준스탯 72종'!H65*H1457</x:f>
        <x:v>0</x:v>
      </x:c>
      <x:c r="AE1457" s="15" t="n">
        <x:f>'기준스탯 72종'!I65*H1457</x:f>
        <x:v>0</x:v>
      </x:c>
      <x:c r="AF1457" s="15" t="n">
        <x:f>'기준스탯 72종'!J65*H1457</x:f>
        <x:v>0</x:v>
      </x:c>
      <x:c r="AG1457" s="15" t="n">
        <x:f>'기준스탯 72종'!K65*H1457</x:f>
        <x:v>0</x:v>
      </x:c>
    </x:row>
    <x:row r="1458" ht="28" customHeight="1">
      <x:c r="A1458" s="2" t="n">
        <x:v>1451</x:v>
      </x:c>
      <x:c r="B1458" s="2" t="n">
        <x:v>59</x:v>
      </x:c>
      <x:c r="C1458" s="2" t="str">
        <x:v>염소자리</x:v>
      </x:c>
      <x:c r="D1458" s="2" t="str">
        <x:v>도적</x:v>
      </x:c>
      <x:c r="E1458" s="2" t="n">
        <x:v>1</x:v>
      </x:c>
      <x:c r="F1458" s="2" t="n">
        <x:v>1</x:v>
      </x:c>
      <x:c r="G1458" s="14" t="n">
        <x:f>('레벨 계산식'!$E$4-E1458)*'레벨 계산식'!$B$5</x:f>
        <x:v>0.5599999999999999</x:v>
      </x:c>
      <x:c r="H1458" s="14" t="n">
        <x:f>('등급 계산식'!$E$4-F1458)*'등급 계산식'!$B$5</x:f>
        <x:v>0.24000000000000005</x:v>
      </x:c>
      <x:c r="I1458" s="14" t="n">
        <x:f>1-G1458-H1458</x:f>
        <x:v>0.2</x:v>
      </x:c>
      <x:c r="J1458" s="2" t="n">
        <x:f>MAX(1,ROUND('기준스탯 72종'!D66-R1458-Z1458,0))</x:f>
        <x:v>2</x:v>
      </x:c>
      <x:c r="K1458" s="2" t="n">
        <x:f>MAX(1,ROUND('기준스탯 72종'!E66-S1458-AA1458,0))</x:f>
        <x:v>1</x:v>
      </x:c>
      <x:c r="L1458" s="2" t="n">
        <x:f>MAX(1,ROUND('기준스탯 72종'!F66-T1458-AB1458,0))</x:f>
        <x:v>2</x:v>
      </x:c>
      <x:c r="M1458" s="2" t="n">
        <x:f>MAX(1,ROUND('기준스탯 72종'!G66-U1458-AC1458,0))</x:f>
        <x:v>1</x:v>
      </x:c>
      <x:c r="N1458" s="2" t="n">
        <x:f>MAX(0,ROUND('기준스탯 72종'!H66-V1458-AD1458,0))</x:f>
        <x:v>1</x:v>
      </x:c>
      <x:c r="O1458" s="2" t="n">
        <x:f>MAX(0,ROUND('기준스탯 72종'!I66-W1458-AE1458,0))</x:f>
        <x:v>1</x:v>
      </x:c>
      <x:c r="P1458" s="2" t="n">
        <x:f>MAX(0,ROUND('기준스탯 72종'!J66-X1458-AF1458,0))</x:f>
        <x:v>0</x:v>
      </x:c>
      <x:c r="Q1458" s="2" t="n">
        <x:f>MAX(0,ROUND('기준스탯 72종'!K66-Y1458-AG1458,0))</x:f>
        <x:v>1</x:v>
      </x:c>
      <x:c r="R1458" s="15" t="n">
        <x:f>'기준스탯 72종'!D66*G1458</x:f>
        <x:v>4.4799999999999995</x:v>
      </x:c>
      <x:c r="S1458" s="15" t="n">
        <x:f>'기준스탯 72종'!E66*G1458</x:f>
        <x:v>3.9199999999999995</x:v>
      </x:c>
      <x:c r="T1458" s="15" t="n">
        <x:f>'기준스탯 72종'!F66*G1458</x:f>
        <x:v>4.4799999999999995</x:v>
      </x:c>
      <x:c r="U1458" s="15" t="n">
        <x:f>'기준스탯 72종'!G66*G1458</x:f>
        <x:v>3.9199999999999995</x:v>
      </x:c>
      <x:c r="V1458" s="15" t="n">
        <x:f>'기준스탯 72종'!H66*G1458</x:f>
        <x:v>1.6799999999999997</x:v>
      </x:c>
      <x:c r="W1458" s="15" t="n">
        <x:f>'기준스탯 72종'!I66*G1458</x:f>
        <x:v>3.9199999999999995</x:v>
      </x:c>
      <x:c r="X1458" s="15" t="n">
        <x:f>'기준스탯 72종'!J66*G1458</x:f>
        <x:v>0.5599999999999999</x:v>
      </x:c>
      <x:c r="Y1458" s="15" t="n">
        <x:f>'기준스탯 72종'!K66*G1458</x:f>
        <x:v>2.8</x:v>
      </x:c>
      <x:c r="Z1458" s="15" t="n">
        <x:f>'기준스탯 72종'!D66*H1458</x:f>
        <x:v>1.9200000000000004</x:v>
      </x:c>
      <x:c r="AA1458" s="15" t="n">
        <x:f>'기준스탯 72종'!E66*H1458</x:f>
        <x:v>1.6800000000000004</x:v>
      </x:c>
      <x:c r="AB1458" s="15" t="n">
        <x:f>'기준스탯 72종'!F66*H1458</x:f>
        <x:v>1.9200000000000004</x:v>
      </x:c>
      <x:c r="AC1458" s="15" t="n">
        <x:f>'기준스탯 72종'!G66*H1458</x:f>
        <x:v>1.6800000000000004</x:v>
      </x:c>
      <x:c r="AD1458" s="15" t="n">
        <x:f>'기준스탯 72종'!H66*H1458</x:f>
        <x:v>0.7200000000000002</x:v>
      </x:c>
      <x:c r="AE1458" s="15" t="n">
        <x:f>'기준스탯 72종'!I66*H1458</x:f>
        <x:v>1.6800000000000004</x:v>
      </x:c>
      <x:c r="AF1458" s="15" t="n">
        <x:f>'기준스탯 72종'!J66*H1458</x:f>
        <x:v>0.24000000000000005</x:v>
      </x:c>
      <x:c r="AG1458" s="15" t="n">
        <x:f>'기준스탯 72종'!K66*H1458</x:f>
        <x:v>1.2000000000000002</x:v>
      </x:c>
    </x:row>
    <x:row r="1459" ht="28" customHeight="1">
      <x:c r="A1459" s="2" t="n">
        <x:v>1452</x:v>
      </x:c>
      <x:c r="B1459" s="2" t="n">
        <x:v>59</x:v>
      </x:c>
      <x:c r="C1459" s="2" t="str">
        <x:v>염소자리</x:v>
      </x:c>
      <x:c r="D1459" s="2" t="str">
        <x:v>도적</x:v>
      </x:c>
      <x:c r="E1459" s="2" t="n">
        <x:v>2</x:v>
      </x:c>
      <x:c r="F1459" s="2" t="n">
        <x:v>1</x:v>
      </x:c>
      <x:c r="G1459" s="14" t="n">
        <x:f>('레벨 계산식'!$E$4-E1459)*'레벨 계산식'!$B$5</x:f>
        <x:v>0.41999999999999993</x:v>
      </x:c>
      <x:c r="H1459" s="14" t="n">
        <x:f>('등급 계산식'!$E$4-F1459)*'등급 계산식'!$B$5</x:f>
        <x:v>0.24000000000000005</x:v>
      </x:c>
      <x:c r="I1459" s="14" t="n">
        <x:f>1-G1459-H1459</x:f>
        <x:v>0.34</x:v>
      </x:c>
      <x:c r="J1459" s="2" t="n">
        <x:f>MAX(1,ROUND('기준스탯 72종'!D66-R1459-Z1459,0))</x:f>
        <x:v>3</x:v>
      </x:c>
      <x:c r="K1459" s="2" t="n">
        <x:f>MAX(1,ROUND('기준스탯 72종'!E66-S1459-AA1459,0))</x:f>
        <x:v>2</x:v>
      </x:c>
      <x:c r="L1459" s="2" t="n">
        <x:f>MAX(1,ROUND('기준스탯 72종'!F66-T1459-AB1459,0))</x:f>
        <x:v>3</x:v>
      </x:c>
      <x:c r="M1459" s="2" t="n">
        <x:f>MAX(1,ROUND('기준스탯 72종'!G66-U1459-AC1459,0))</x:f>
        <x:v>2</x:v>
      </x:c>
      <x:c r="N1459" s="2" t="n">
        <x:f>MAX(0,ROUND('기준스탯 72종'!H66-V1459-AD1459,0))</x:f>
        <x:v>1</x:v>
      </x:c>
      <x:c r="O1459" s="2" t="n">
        <x:f>MAX(0,ROUND('기준스탯 72종'!I66-W1459-AE1459,0))</x:f>
        <x:v>2</x:v>
      </x:c>
      <x:c r="P1459" s="2" t="n">
        <x:f>MAX(0,ROUND('기준스탯 72종'!J66-X1459-AF1459,0))</x:f>
        <x:v>0</x:v>
      </x:c>
      <x:c r="Q1459" s="2" t="n">
        <x:f>MAX(0,ROUND('기준스탯 72종'!K66-Y1459-AG1459,0))</x:f>
        <x:v>2</x:v>
      </x:c>
      <x:c r="R1459" s="15" t="n">
        <x:f>'기준스탯 72종'!D66*G1459</x:f>
        <x:v>3.3599999999999994</x:v>
      </x:c>
      <x:c r="S1459" s="15" t="n">
        <x:f>'기준스탯 72종'!E66*G1459</x:f>
        <x:v>2.9399999999999995</x:v>
      </x:c>
      <x:c r="T1459" s="15" t="n">
        <x:f>'기준스탯 72종'!F66*G1459</x:f>
        <x:v>3.3599999999999994</x:v>
      </x:c>
      <x:c r="U1459" s="15" t="n">
        <x:f>'기준스탯 72종'!G66*G1459</x:f>
        <x:v>2.9399999999999995</x:v>
      </x:c>
      <x:c r="V1459" s="15" t="n">
        <x:f>'기준스탯 72종'!H66*G1459</x:f>
        <x:v>1.2599999999999998</x:v>
      </x:c>
      <x:c r="W1459" s="15" t="n">
        <x:f>'기준스탯 72종'!I66*G1459</x:f>
        <x:v>2.9399999999999995</x:v>
      </x:c>
      <x:c r="X1459" s="15" t="n">
        <x:f>'기준스탯 72종'!J66*G1459</x:f>
        <x:v>0.41999999999999993</x:v>
      </x:c>
      <x:c r="Y1459" s="15" t="n">
        <x:f>'기준스탯 72종'!K66*G1459</x:f>
        <x:v>2.0999999999999996</x:v>
      </x:c>
      <x:c r="Z1459" s="15" t="n">
        <x:f>'기준스탯 72종'!D66*H1459</x:f>
        <x:v>1.9200000000000004</x:v>
      </x:c>
      <x:c r="AA1459" s="15" t="n">
        <x:f>'기준스탯 72종'!E66*H1459</x:f>
        <x:v>1.6800000000000004</x:v>
      </x:c>
      <x:c r="AB1459" s="15" t="n">
        <x:f>'기준스탯 72종'!F66*H1459</x:f>
        <x:v>1.9200000000000004</x:v>
      </x:c>
      <x:c r="AC1459" s="15" t="n">
        <x:f>'기준스탯 72종'!G66*H1459</x:f>
        <x:v>1.6800000000000004</x:v>
      </x:c>
      <x:c r="AD1459" s="15" t="n">
        <x:f>'기준스탯 72종'!H66*H1459</x:f>
        <x:v>0.7200000000000002</x:v>
      </x:c>
      <x:c r="AE1459" s="15" t="n">
        <x:f>'기준스탯 72종'!I66*H1459</x:f>
        <x:v>1.6800000000000004</x:v>
      </x:c>
      <x:c r="AF1459" s="15" t="n">
        <x:f>'기준스탯 72종'!J66*H1459</x:f>
        <x:v>0.24000000000000005</x:v>
      </x:c>
      <x:c r="AG1459" s="15" t="n">
        <x:f>'기준스탯 72종'!K66*H1459</x:f>
        <x:v>1.2000000000000002</x:v>
      </x:c>
    </x:row>
    <x:row r="1460" ht="28" customHeight="1">
      <x:c r="A1460" s="2" t="n">
        <x:v>1453</x:v>
      </x:c>
      <x:c r="B1460" s="2" t="n">
        <x:v>59</x:v>
      </x:c>
      <x:c r="C1460" s="2" t="str">
        <x:v>염소자리</x:v>
      </x:c>
      <x:c r="D1460" s="2" t="str">
        <x:v>도적</x:v>
      </x:c>
      <x:c r="E1460" s="2" t="n">
        <x:v>3</x:v>
      </x:c>
      <x:c r="F1460" s="2" t="n">
        <x:v>1</x:v>
      </x:c>
      <x:c r="G1460" s="14" t="n">
        <x:f>('레벨 계산식'!$E$4-E1460)*'레벨 계산식'!$B$5</x:f>
        <x:v>0.27999999999999997</x:v>
      </x:c>
      <x:c r="H1460" s="14" t="n">
        <x:f>('등급 계산식'!$E$4-F1460)*'등급 계산식'!$B$5</x:f>
        <x:v>0.24000000000000005</x:v>
      </x:c>
      <x:c r="I1460" s="14" t="n">
        <x:f>1-G1460-H1460</x:f>
        <x:v>0.4799999999999999</x:v>
      </x:c>
      <x:c r="J1460" s="2" t="n">
        <x:f>MAX(1,ROUND('기준스탯 72종'!D66-R1460-Z1460,0))</x:f>
        <x:v>4</x:v>
      </x:c>
      <x:c r="K1460" s="2" t="n">
        <x:f>MAX(1,ROUND('기준스탯 72종'!E66-S1460-AA1460,0))</x:f>
        <x:v>3</x:v>
      </x:c>
      <x:c r="L1460" s="2" t="n">
        <x:f>MAX(1,ROUND('기준스탯 72종'!F66-T1460-AB1460,0))</x:f>
        <x:v>4</x:v>
      </x:c>
      <x:c r="M1460" s="2" t="n">
        <x:f>MAX(1,ROUND('기준스탯 72종'!G66-U1460-AC1460,0))</x:f>
        <x:v>3</x:v>
      </x:c>
      <x:c r="N1460" s="2" t="n">
        <x:f>MAX(0,ROUND('기준스탯 72종'!H66-V1460-AD1460,0))</x:f>
        <x:v>1</x:v>
      </x:c>
      <x:c r="O1460" s="2" t="n">
        <x:f>MAX(0,ROUND('기준스탯 72종'!I66-W1460-AE1460,0))</x:f>
        <x:v>3</x:v>
      </x:c>
      <x:c r="P1460" s="2" t="n">
        <x:f>MAX(0,ROUND('기준스탯 72종'!J66-X1460-AF1460,0))</x:f>
        <x:v>0</x:v>
      </x:c>
      <x:c r="Q1460" s="2" t="n">
        <x:f>MAX(0,ROUND('기준스탯 72종'!K66-Y1460-AG1460,0))</x:f>
        <x:v>2</x:v>
      </x:c>
      <x:c r="R1460" s="15" t="n">
        <x:f>'기준스탯 72종'!D66*G1460</x:f>
        <x:v>2.2399999999999998</x:v>
      </x:c>
      <x:c r="S1460" s="15" t="n">
        <x:f>'기준스탯 72종'!E66*G1460</x:f>
        <x:v>1.9599999999999997</x:v>
      </x:c>
      <x:c r="T1460" s="15" t="n">
        <x:f>'기준스탯 72종'!F66*G1460</x:f>
        <x:v>2.2399999999999998</x:v>
      </x:c>
      <x:c r="U1460" s="15" t="n">
        <x:f>'기준스탯 72종'!G66*G1460</x:f>
        <x:v>1.9599999999999997</x:v>
      </x:c>
      <x:c r="V1460" s="15" t="n">
        <x:f>'기준스탯 72종'!H66*G1460</x:f>
        <x:v>0.8399999999999999</x:v>
      </x:c>
      <x:c r="W1460" s="15" t="n">
        <x:f>'기준스탯 72종'!I66*G1460</x:f>
        <x:v>1.9599999999999997</x:v>
      </x:c>
      <x:c r="X1460" s="15" t="n">
        <x:f>'기준스탯 72종'!J66*G1460</x:f>
        <x:v>0.27999999999999997</x:v>
      </x:c>
      <x:c r="Y1460" s="15" t="n">
        <x:f>'기준스탯 72종'!K66*G1460</x:f>
        <x:v>1.4</x:v>
      </x:c>
      <x:c r="Z1460" s="15" t="n">
        <x:f>'기준스탯 72종'!D66*H1460</x:f>
        <x:v>1.9200000000000004</x:v>
      </x:c>
      <x:c r="AA1460" s="15" t="n">
        <x:f>'기준스탯 72종'!E66*H1460</x:f>
        <x:v>1.6800000000000004</x:v>
      </x:c>
      <x:c r="AB1460" s="15" t="n">
        <x:f>'기준스탯 72종'!F66*H1460</x:f>
        <x:v>1.9200000000000004</x:v>
      </x:c>
      <x:c r="AC1460" s="15" t="n">
        <x:f>'기준스탯 72종'!G66*H1460</x:f>
        <x:v>1.6800000000000004</x:v>
      </x:c>
      <x:c r="AD1460" s="15" t="n">
        <x:f>'기준스탯 72종'!H66*H1460</x:f>
        <x:v>0.7200000000000002</x:v>
      </x:c>
      <x:c r="AE1460" s="15" t="n">
        <x:f>'기준스탯 72종'!I66*H1460</x:f>
        <x:v>1.6800000000000004</x:v>
      </x:c>
      <x:c r="AF1460" s="15" t="n">
        <x:f>'기준스탯 72종'!J66*H1460</x:f>
        <x:v>0.24000000000000005</x:v>
      </x:c>
      <x:c r="AG1460" s="15" t="n">
        <x:f>'기준스탯 72종'!K66*H1460</x:f>
        <x:v>1.2000000000000002</x:v>
      </x:c>
    </x:row>
    <x:row r="1461" ht="28" customHeight="1">
      <x:c r="A1461" s="2" t="n">
        <x:v>1454</x:v>
      </x:c>
      <x:c r="B1461" s="2" t="n">
        <x:v>59</x:v>
      </x:c>
      <x:c r="C1461" s="2" t="str">
        <x:v>염소자리</x:v>
      </x:c>
      <x:c r="D1461" s="2" t="str">
        <x:v>도적</x:v>
      </x:c>
      <x:c r="E1461" s="2" t="n">
        <x:v>4</x:v>
      </x:c>
      <x:c r="F1461" s="2" t="n">
        <x:v>1</x:v>
      </x:c>
      <x:c r="G1461" s="14" t="n">
        <x:f>('레벨 계산식'!$E$4-E1461)*'레벨 계산식'!$B$5</x:f>
        <x:v>0.13999999999999999</x:v>
      </x:c>
      <x:c r="H1461" s="14" t="n">
        <x:f>('등급 계산식'!$E$4-F1461)*'등급 계산식'!$B$5</x:f>
        <x:v>0.24000000000000005</x:v>
      </x:c>
      <x:c r="I1461" s="14" t="n">
        <x:f>1-G1461-H1461</x:f>
        <x:v>0.6199999999999999</x:v>
      </x:c>
      <x:c r="J1461" s="2" t="n">
        <x:f>MAX(1,ROUND('기준스탯 72종'!D66-R1461-Z1461,0))</x:f>
        <x:v>5</x:v>
      </x:c>
      <x:c r="K1461" s="2" t="n">
        <x:f>MAX(1,ROUND('기준스탯 72종'!E66-S1461-AA1461,0))</x:f>
        <x:v>4</x:v>
      </x:c>
      <x:c r="L1461" s="2" t="n">
        <x:f>MAX(1,ROUND('기준스탯 72종'!F66-T1461-AB1461,0))</x:f>
        <x:v>5</x:v>
      </x:c>
      <x:c r="M1461" s="2" t="n">
        <x:f>MAX(1,ROUND('기준스탯 72종'!G66-U1461-AC1461,0))</x:f>
        <x:v>4</x:v>
      </x:c>
      <x:c r="N1461" s="2" t="n">
        <x:f>MAX(0,ROUND('기준스탯 72종'!H66-V1461-AD1461,0))</x:f>
        <x:v>2</x:v>
      </x:c>
      <x:c r="O1461" s="2" t="n">
        <x:f>MAX(0,ROUND('기준스탯 72종'!I66-W1461-AE1461,0))</x:f>
        <x:v>4</x:v>
      </x:c>
      <x:c r="P1461" s="2" t="n">
        <x:f>MAX(0,ROUND('기준스탯 72종'!J66-X1461-AF1461,0))</x:f>
        <x:v>1</x:v>
      </x:c>
      <x:c r="Q1461" s="2" t="n">
        <x:f>MAX(0,ROUND('기준스탯 72종'!K66-Y1461-AG1461,0))</x:f>
        <x:v>3</x:v>
      </x:c>
      <x:c r="R1461" s="15" t="n">
        <x:f>'기준스탯 72종'!D66*G1461</x:f>
        <x:v>1.1199999999999999</x:v>
      </x:c>
      <x:c r="S1461" s="15" t="n">
        <x:f>'기준스탯 72종'!E66*G1461</x:f>
        <x:v>0.9799999999999999</x:v>
      </x:c>
      <x:c r="T1461" s="15" t="n">
        <x:f>'기준스탯 72종'!F66*G1461</x:f>
        <x:v>1.1199999999999999</x:v>
      </x:c>
      <x:c r="U1461" s="15" t="n">
        <x:f>'기준스탯 72종'!G66*G1461</x:f>
        <x:v>0.9799999999999999</x:v>
      </x:c>
      <x:c r="V1461" s="15" t="n">
        <x:f>'기준스탯 72종'!H66*G1461</x:f>
        <x:v>0.41999999999999993</x:v>
      </x:c>
      <x:c r="W1461" s="15" t="n">
        <x:f>'기준스탯 72종'!I66*G1461</x:f>
        <x:v>0.9799999999999999</x:v>
      </x:c>
      <x:c r="X1461" s="15" t="n">
        <x:f>'기준스탯 72종'!J66*G1461</x:f>
        <x:v>0.13999999999999999</x:v>
      </x:c>
      <x:c r="Y1461" s="15" t="n">
        <x:f>'기준스탯 72종'!K66*G1461</x:f>
        <x:v>0.7</x:v>
      </x:c>
      <x:c r="Z1461" s="15" t="n">
        <x:f>'기준스탯 72종'!D66*H1461</x:f>
        <x:v>1.9200000000000004</x:v>
      </x:c>
      <x:c r="AA1461" s="15" t="n">
        <x:f>'기준스탯 72종'!E66*H1461</x:f>
        <x:v>1.6800000000000004</x:v>
      </x:c>
      <x:c r="AB1461" s="15" t="n">
        <x:f>'기준스탯 72종'!F66*H1461</x:f>
        <x:v>1.9200000000000004</x:v>
      </x:c>
      <x:c r="AC1461" s="15" t="n">
        <x:f>'기준스탯 72종'!G66*H1461</x:f>
        <x:v>1.6800000000000004</x:v>
      </x:c>
      <x:c r="AD1461" s="15" t="n">
        <x:f>'기준스탯 72종'!H66*H1461</x:f>
        <x:v>0.7200000000000002</x:v>
      </x:c>
      <x:c r="AE1461" s="15" t="n">
        <x:f>'기준스탯 72종'!I66*H1461</x:f>
        <x:v>1.6800000000000004</x:v>
      </x:c>
      <x:c r="AF1461" s="15" t="n">
        <x:f>'기준스탯 72종'!J66*H1461</x:f>
        <x:v>0.24000000000000005</x:v>
      </x:c>
      <x:c r="AG1461" s="15" t="n">
        <x:f>'기준스탯 72종'!K66*H1461</x:f>
        <x:v>1.2000000000000002</x:v>
      </x:c>
    </x:row>
    <x:row r="1462" ht="28" customHeight="1">
      <x:c r="A1462" s="2" t="n">
        <x:v>1455</x:v>
      </x:c>
      <x:c r="B1462" s="2" t="n">
        <x:v>59</x:v>
      </x:c>
      <x:c r="C1462" s="2" t="str">
        <x:v>염소자리</x:v>
      </x:c>
      <x:c r="D1462" s="2" t="str">
        <x:v>도적</x:v>
      </x:c>
      <x:c r="E1462" s="2" t="n">
        <x:v>5</x:v>
      </x:c>
      <x:c r="F1462" s="2" t="n">
        <x:v>1</x:v>
      </x:c>
      <x:c r="G1462" s="14" t="n">
        <x:f>('레벨 계산식'!$E$4-E1462)*'레벨 계산식'!$B$5</x:f>
        <x:v>0</x:v>
      </x:c>
      <x:c r="H1462" s="14" t="n">
        <x:f>('등급 계산식'!$E$4-F1462)*'등급 계산식'!$B$5</x:f>
        <x:v>0.24000000000000005</x:v>
      </x:c>
      <x:c r="I1462" s="14" t="n">
        <x:f>1-G1462-H1462</x:f>
        <x:v>0.76</x:v>
      </x:c>
      <x:c r="J1462" s="2" t="n">
        <x:f>MAX(1,ROUND('기준스탯 72종'!D66-R1462-Z1462,0))</x:f>
        <x:v>6</x:v>
      </x:c>
      <x:c r="K1462" s="2" t="n">
        <x:f>MAX(1,ROUND('기준스탯 72종'!E66-S1462-AA1462,0))</x:f>
        <x:v>5</x:v>
      </x:c>
      <x:c r="L1462" s="2" t="n">
        <x:f>MAX(1,ROUND('기준스탯 72종'!F66-T1462-AB1462,0))</x:f>
        <x:v>6</x:v>
      </x:c>
      <x:c r="M1462" s="2" t="n">
        <x:f>MAX(1,ROUND('기준스탯 72종'!G66-U1462-AC1462,0))</x:f>
        <x:v>5</x:v>
      </x:c>
      <x:c r="N1462" s="2" t="n">
        <x:f>MAX(0,ROUND('기준스탯 72종'!H66-V1462-AD1462,0))</x:f>
        <x:v>2</x:v>
      </x:c>
      <x:c r="O1462" s="2" t="n">
        <x:f>MAX(0,ROUND('기준스탯 72종'!I66-W1462-AE1462,0))</x:f>
        <x:v>5</x:v>
      </x:c>
      <x:c r="P1462" s="2" t="n">
        <x:f>MAX(0,ROUND('기준스탯 72종'!J66-X1462-AF1462,0))</x:f>
        <x:v>1</x:v>
      </x:c>
      <x:c r="Q1462" s="2" t="n">
        <x:f>MAX(0,ROUND('기준스탯 72종'!K66-Y1462-AG1462,0))</x:f>
        <x:v>4</x:v>
      </x:c>
      <x:c r="R1462" s="15" t="n">
        <x:f>'기준스탯 72종'!D66*G1462</x:f>
        <x:v>0</x:v>
      </x:c>
      <x:c r="S1462" s="15" t="n">
        <x:f>'기준스탯 72종'!E66*G1462</x:f>
        <x:v>0</x:v>
      </x:c>
      <x:c r="T1462" s="15" t="n">
        <x:f>'기준스탯 72종'!F66*G1462</x:f>
        <x:v>0</x:v>
      </x:c>
      <x:c r="U1462" s="15" t="n">
        <x:f>'기준스탯 72종'!G66*G1462</x:f>
        <x:v>0</x:v>
      </x:c>
      <x:c r="V1462" s="15" t="n">
        <x:f>'기준스탯 72종'!H66*G1462</x:f>
        <x:v>0</x:v>
      </x:c>
      <x:c r="W1462" s="15" t="n">
        <x:f>'기준스탯 72종'!I66*G1462</x:f>
        <x:v>0</x:v>
      </x:c>
      <x:c r="X1462" s="15" t="n">
        <x:f>'기준스탯 72종'!J66*G1462</x:f>
        <x:v>0</x:v>
      </x:c>
      <x:c r="Y1462" s="15" t="n">
        <x:f>'기준스탯 72종'!K66*G1462</x:f>
        <x:v>0</x:v>
      </x:c>
      <x:c r="Z1462" s="15" t="n">
        <x:f>'기준스탯 72종'!D66*H1462</x:f>
        <x:v>1.9200000000000004</x:v>
      </x:c>
      <x:c r="AA1462" s="15" t="n">
        <x:f>'기준스탯 72종'!E66*H1462</x:f>
        <x:v>1.6800000000000004</x:v>
      </x:c>
      <x:c r="AB1462" s="15" t="n">
        <x:f>'기준스탯 72종'!F66*H1462</x:f>
        <x:v>1.9200000000000004</x:v>
      </x:c>
      <x:c r="AC1462" s="15" t="n">
        <x:f>'기준스탯 72종'!G66*H1462</x:f>
        <x:v>1.6800000000000004</x:v>
      </x:c>
      <x:c r="AD1462" s="15" t="n">
        <x:f>'기준스탯 72종'!H66*H1462</x:f>
        <x:v>0.7200000000000002</x:v>
      </x:c>
      <x:c r="AE1462" s="15" t="n">
        <x:f>'기준스탯 72종'!I66*H1462</x:f>
        <x:v>1.6800000000000004</x:v>
      </x:c>
      <x:c r="AF1462" s="15" t="n">
        <x:f>'기준스탯 72종'!J66*H1462</x:f>
        <x:v>0.24000000000000005</x:v>
      </x:c>
      <x:c r="AG1462" s="15" t="n">
        <x:f>'기준스탯 72종'!K66*H1462</x:f>
        <x:v>1.2000000000000002</x:v>
      </x:c>
    </x:row>
    <x:row r="1463" ht="28" customHeight="1">
      <x:c r="A1463" s="2" t="n">
        <x:v>1456</x:v>
      </x:c>
      <x:c r="B1463" s="2" t="n">
        <x:v>59</x:v>
      </x:c>
      <x:c r="C1463" s="2" t="str">
        <x:v>염소자리</x:v>
      </x:c>
      <x:c r="D1463" s="2" t="str">
        <x:v>도적</x:v>
      </x:c>
      <x:c r="E1463" s="2" t="n">
        <x:v>1</x:v>
      </x:c>
      <x:c r="F1463" s="2" t="n">
        <x:v>2</x:v>
      </x:c>
      <x:c r="G1463" s="14" t="n">
        <x:f>('레벨 계산식'!$E$4-E1463)*'레벨 계산식'!$B$5</x:f>
        <x:v>0.5599999999999999</x:v>
      </x:c>
      <x:c r="H1463" s="14" t="n">
        <x:f>('등급 계산식'!$E$4-F1463)*'등급 계산식'!$B$5</x:f>
        <x:v>0.18000000000000005</x:v>
      </x:c>
      <x:c r="I1463" s="14" t="n">
        <x:f>1-G1463-H1463</x:f>
        <x:v>0.26</x:v>
      </x:c>
      <x:c r="J1463" s="2" t="n">
        <x:f>MAX(1,ROUND('기준스탯 72종'!D66-R1463-Z1463,0))</x:f>
        <x:v>2</x:v>
      </x:c>
      <x:c r="K1463" s="2" t="n">
        <x:f>MAX(1,ROUND('기준스탯 72종'!E66-S1463-AA1463,0))</x:f>
        <x:v>2</x:v>
      </x:c>
      <x:c r="L1463" s="2" t="n">
        <x:f>MAX(1,ROUND('기준스탯 72종'!F66-T1463-AB1463,0))</x:f>
        <x:v>2</x:v>
      </x:c>
      <x:c r="M1463" s="2" t="n">
        <x:f>MAX(1,ROUND('기준스탯 72종'!G66-U1463-AC1463,0))</x:f>
        <x:v>2</x:v>
      </x:c>
      <x:c r="N1463" s="2" t="n">
        <x:f>MAX(0,ROUND('기준스탯 72종'!H66-V1463-AD1463,0))</x:f>
        <x:v>1</x:v>
      </x:c>
      <x:c r="O1463" s="2" t="n">
        <x:f>MAX(0,ROUND('기준스탯 72종'!I66-W1463-AE1463,0))</x:f>
        <x:v>2</x:v>
      </x:c>
      <x:c r="P1463" s="2" t="n">
        <x:f>MAX(0,ROUND('기준스탯 72종'!J66-X1463-AF1463,0))</x:f>
        <x:v>0</x:v>
      </x:c>
      <x:c r="Q1463" s="2" t="n">
        <x:f>MAX(0,ROUND('기준스탯 72종'!K66-Y1463-AG1463,0))</x:f>
        <x:v>1</x:v>
      </x:c>
      <x:c r="R1463" s="15" t="n">
        <x:f>'기준스탯 72종'!D66*G1463</x:f>
        <x:v>4.4799999999999995</x:v>
      </x:c>
      <x:c r="S1463" s="15" t="n">
        <x:f>'기준스탯 72종'!E66*G1463</x:f>
        <x:v>3.9199999999999995</x:v>
      </x:c>
      <x:c r="T1463" s="15" t="n">
        <x:f>'기준스탯 72종'!F66*G1463</x:f>
        <x:v>4.4799999999999995</x:v>
      </x:c>
      <x:c r="U1463" s="15" t="n">
        <x:f>'기준스탯 72종'!G66*G1463</x:f>
        <x:v>3.9199999999999995</x:v>
      </x:c>
      <x:c r="V1463" s="15" t="n">
        <x:f>'기준스탯 72종'!H66*G1463</x:f>
        <x:v>1.6799999999999997</x:v>
      </x:c>
      <x:c r="W1463" s="15" t="n">
        <x:f>'기준스탯 72종'!I66*G1463</x:f>
        <x:v>3.9199999999999995</x:v>
      </x:c>
      <x:c r="X1463" s="15" t="n">
        <x:f>'기준스탯 72종'!J66*G1463</x:f>
        <x:v>0.5599999999999999</x:v>
      </x:c>
      <x:c r="Y1463" s="15" t="n">
        <x:f>'기준스탯 72종'!K66*G1463</x:f>
        <x:v>2.8</x:v>
      </x:c>
      <x:c r="Z1463" s="15" t="n">
        <x:f>'기준스탯 72종'!D66*H1463</x:f>
        <x:v>1.4400000000000004</x:v>
      </x:c>
      <x:c r="AA1463" s="15" t="n">
        <x:f>'기준스탯 72종'!E66*H1463</x:f>
        <x:v>1.2600000000000002</x:v>
      </x:c>
      <x:c r="AB1463" s="15" t="n">
        <x:f>'기준스탯 72종'!F66*H1463</x:f>
        <x:v>1.4400000000000004</x:v>
      </x:c>
      <x:c r="AC1463" s="15" t="n">
        <x:f>'기준스탯 72종'!G66*H1463</x:f>
        <x:v>1.2600000000000002</x:v>
      </x:c>
      <x:c r="AD1463" s="15" t="n">
        <x:f>'기준스탯 72종'!H66*H1463</x:f>
        <x:v>0.5400000000000001</x:v>
      </x:c>
      <x:c r="AE1463" s="15" t="n">
        <x:f>'기준스탯 72종'!I66*H1463</x:f>
        <x:v>1.2600000000000002</x:v>
      </x:c>
      <x:c r="AF1463" s="15" t="n">
        <x:f>'기준스탯 72종'!J66*H1463</x:f>
        <x:v>0.18000000000000005</x:v>
      </x:c>
      <x:c r="AG1463" s="15" t="n">
        <x:f>'기준스탯 72종'!K66*H1463</x:f>
        <x:v>0.9000000000000002</x:v>
      </x:c>
    </x:row>
    <x:row r="1464" ht="28" customHeight="1">
      <x:c r="A1464" s="2" t="n">
        <x:v>1457</x:v>
      </x:c>
      <x:c r="B1464" s="2" t="n">
        <x:v>59</x:v>
      </x:c>
      <x:c r="C1464" s="2" t="str">
        <x:v>염소자리</x:v>
      </x:c>
      <x:c r="D1464" s="2" t="str">
        <x:v>도적</x:v>
      </x:c>
      <x:c r="E1464" s="2" t="n">
        <x:v>2</x:v>
      </x:c>
      <x:c r="F1464" s="2" t="n">
        <x:v>2</x:v>
      </x:c>
      <x:c r="G1464" s="14" t="n">
        <x:f>('레벨 계산식'!$E$4-E1464)*'레벨 계산식'!$B$5</x:f>
        <x:v>0.41999999999999993</x:v>
      </x:c>
      <x:c r="H1464" s="14" t="n">
        <x:f>('등급 계산식'!$E$4-F1464)*'등급 계산식'!$B$5</x:f>
        <x:v>0.18000000000000005</x:v>
      </x:c>
      <x:c r="I1464" s="14" t="n">
        <x:f>1-G1464-H1464</x:f>
        <x:v>0.4</x:v>
      </x:c>
      <x:c r="J1464" s="2" t="n">
        <x:f>MAX(1,ROUND('기준스탯 72종'!D66-R1464-Z1464,0))</x:f>
        <x:v>3</x:v>
      </x:c>
      <x:c r="K1464" s="2" t="n">
        <x:f>MAX(1,ROUND('기준스탯 72종'!E66-S1464-AA1464,0))</x:f>
        <x:v>3</x:v>
      </x:c>
      <x:c r="L1464" s="2" t="n">
        <x:f>MAX(1,ROUND('기준스탯 72종'!F66-T1464-AB1464,0))</x:f>
        <x:v>3</x:v>
      </x:c>
      <x:c r="M1464" s="2" t="n">
        <x:f>MAX(1,ROUND('기준스탯 72종'!G66-U1464-AC1464,0))</x:f>
        <x:v>3</x:v>
      </x:c>
      <x:c r="N1464" s="2" t="n">
        <x:f>MAX(0,ROUND('기준스탯 72종'!H66-V1464-AD1464,0))</x:f>
        <x:v>1</x:v>
      </x:c>
      <x:c r="O1464" s="2" t="n">
        <x:f>MAX(0,ROUND('기준스탯 72종'!I66-W1464-AE1464,0))</x:f>
        <x:v>3</x:v>
      </x:c>
      <x:c r="P1464" s="2" t="n">
        <x:f>MAX(0,ROUND('기준스탯 72종'!J66-X1464-AF1464,0))</x:f>
        <x:v>0</x:v>
      </x:c>
      <x:c r="Q1464" s="2" t="n">
        <x:f>MAX(0,ROUND('기준스탯 72종'!K66-Y1464-AG1464,0))</x:f>
        <x:v>2</x:v>
      </x:c>
      <x:c r="R1464" s="15" t="n">
        <x:f>'기준스탯 72종'!D66*G1464</x:f>
        <x:v>3.3599999999999994</x:v>
      </x:c>
      <x:c r="S1464" s="15" t="n">
        <x:f>'기준스탯 72종'!E66*G1464</x:f>
        <x:v>2.9399999999999995</x:v>
      </x:c>
      <x:c r="T1464" s="15" t="n">
        <x:f>'기준스탯 72종'!F66*G1464</x:f>
        <x:v>3.3599999999999994</x:v>
      </x:c>
      <x:c r="U1464" s="15" t="n">
        <x:f>'기준스탯 72종'!G66*G1464</x:f>
        <x:v>2.9399999999999995</x:v>
      </x:c>
      <x:c r="V1464" s="15" t="n">
        <x:f>'기준스탯 72종'!H66*G1464</x:f>
        <x:v>1.2599999999999998</x:v>
      </x:c>
      <x:c r="W1464" s="15" t="n">
        <x:f>'기준스탯 72종'!I66*G1464</x:f>
        <x:v>2.9399999999999995</x:v>
      </x:c>
      <x:c r="X1464" s="15" t="n">
        <x:f>'기준스탯 72종'!J66*G1464</x:f>
        <x:v>0.41999999999999993</x:v>
      </x:c>
      <x:c r="Y1464" s="15" t="n">
        <x:f>'기준스탯 72종'!K66*G1464</x:f>
        <x:v>2.0999999999999996</x:v>
      </x:c>
      <x:c r="Z1464" s="15" t="n">
        <x:f>'기준스탯 72종'!D66*H1464</x:f>
        <x:v>1.4400000000000004</x:v>
      </x:c>
      <x:c r="AA1464" s="15" t="n">
        <x:f>'기준스탯 72종'!E66*H1464</x:f>
        <x:v>1.2600000000000002</x:v>
      </x:c>
      <x:c r="AB1464" s="15" t="n">
        <x:f>'기준스탯 72종'!F66*H1464</x:f>
        <x:v>1.4400000000000004</x:v>
      </x:c>
      <x:c r="AC1464" s="15" t="n">
        <x:f>'기준스탯 72종'!G66*H1464</x:f>
        <x:v>1.2600000000000002</x:v>
      </x:c>
      <x:c r="AD1464" s="15" t="n">
        <x:f>'기준스탯 72종'!H66*H1464</x:f>
        <x:v>0.5400000000000001</x:v>
      </x:c>
      <x:c r="AE1464" s="15" t="n">
        <x:f>'기준스탯 72종'!I66*H1464</x:f>
        <x:v>1.2600000000000002</x:v>
      </x:c>
      <x:c r="AF1464" s="15" t="n">
        <x:f>'기준스탯 72종'!J66*H1464</x:f>
        <x:v>0.18000000000000005</x:v>
      </x:c>
      <x:c r="AG1464" s="15" t="n">
        <x:f>'기준스탯 72종'!K66*H1464</x:f>
        <x:v>0.9000000000000002</x:v>
      </x:c>
    </x:row>
    <x:row r="1465" ht="28" customHeight="1">
      <x:c r="A1465" s="2" t="n">
        <x:v>1458</x:v>
      </x:c>
      <x:c r="B1465" s="2" t="n">
        <x:v>59</x:v>
      </x:c>
      <x:c r="C1465" s="2" t="str">
        <x:v>염소자리</x:v>
      </x:c>
      <x:c r="D1465" s="2" t="str">
        <x:v>도적</x:v>
      </x:c>
      <x:c r="E1465" s="2" t="n">
        <x:v>3</x:v>
      </x:c>
      <x:c r="F1465" s="2" t="n">
        <x:v>2</x:v>
      </x:c>
      <x:c r="G1465" s="14" t="n">
        <x:f>('레벨 계산식'!$E$4-E1465)*'레벨 계산식'!$B$5</x:f>
        <x:v>0.27999999999999997</x:v>
      </x:c>
      <x:c r="H1465" s="14" t="n">
        <x:f>('등급 계산식'!$E$4-F1465)*'등급 계산식'!$B$5</x:f>
        <x:v>0.18000000000000005</x:v>
      </x:c>
      <x:c r="I1465" s="14" t="n">
        <x:f>1-G1465-H1465</x:f>
        <x:v>0.5399999999999999</x:v>
      </x:c>
      <x:c r="J1465" s="2" t="n">
        <x:f>MAX(1,ROUND('기준스탯 72종'!D66-R1465-Z1465,0))</x:f>
        <x:v>4</x:v>
      </x:c>
      <x:c r="K1465" s="2" t="n">
        <x:f>MAX(1,ROUND('기준스탯 72종'!E66-S1465-AA1465,0))</x:f>
        <x:v>4</x:v>
      </x:c>
      <x:c r="L1465" s="2" t="n">
        <x:f>MAX(1,ROUND('기준스탯 72종'!F66-T1465-AB1465,0))</x:f>
        <x:v>4</x:v>
      </x:c>
      <x:c r="M1465" s="2" t="n">
        <x:f>MAX(1,ROUND('기준스탯 72종'!G66-U1465-AC1465,0))</x:f>
        <x:v>4</x:v>
      </x:c>
      <x:c r="N1465" s="2" t="n">
        <x:f>MAX(0,ROUND('기준스탯 72종'!H66-V1465-AD1465,0))</x:f>
        <x:v>2</x:v>
      </x:c>
      <x:c r="O1465" s="2" t="n">
        <x:f>MAX(0,ROUND('기준스탯 72종'!I66-W1465-AE1465,0))</x:f>
        <x:v>4</x:v>
      </x:c>
      <x:c r="P1465" s="2" t="n">
        <x:f>MAX(0,ROUND('기준스탯 72종'!J66-X1465-AF1465,0))</x:f>
        <x:v>1</x:v>
      </x:c>
      <x:c r="Q1465" s="2" t="n">
        <x:f>MAX(0,ROUND('기준스탯 72종'!K66-Y1465-AG1465,0))</x:f>
        <x:v>3</x:v>
      </x:c>
      <x:c r="R1465" s="15" t="n">
        <x:f>'기준스탯 72종'!D66*G1465</x:f>
        <x:v>2.2399999999999998</x:v>
      </x:c>
      <x:c r="S1465" s="15" t="n">
        <x:f>'기준스탯 72종'!E66*G1465</x:f>
        <x:v>1.9599999999999997</x:v>
      </x:c>
      <x:c r="T1465" s="15" t="n">
        <x:f>'기준스탯 72종'!F66*G1465</x:f>
        <x:v>2.2399999999999998</x:v>
      </x:c>
      <x:c r="U1465" s="15" t="n">
        <x:f>'기준스탯 72종'!G66*G1465</x:f>
        <x:v>1.9599999999999997</x:v>
      </x:c>
      <x:c r="V1465" s="15" t="n">
        <x:f>'기준스탯 72종'!H66*G1465</x:f>
        <x:v>0.8399999999999999</x:v>
      </x:c>
      <x:c r="W1465" s="15" t="n">
        <x:f>'기준스탯 72종'!I66*G1465</x:f>
        <x:v>1.9599999999999997</x:v>
      </x:c>
      <x:c r="X1465" s="15" t="n">
        <x:f>'기준스탯 72종'!J66*G1465</x:f>
        <x:v>0.27999999999999997</x:v>
      </x:c>
      <x:c r="Y1465" s="15" t="n">
        <x:f>'기준스탯 72종'!K66*G1465</x:f>
        <x:v>1.4</x:v>
      </x:c>
      <x:c r="Z1465" s="15" t="n">
        <x:f>'기준스탯 72종'!D66*H1465</x:f>
        <x:v>1.4400000000000004</x:v>
      </x:c>
      <x:c r="AA1465" s="15" t="n">
        <x:f>'기준스탯 72종'!E66*H1465</x:f>
        <x:v>1.2600000000000002</x:v>
      </x:c>
      <x:c r="AB1465" s="15" t="n">
        <x:f>'기준스탯 72종'!F66*H1465</x:f>
        <x:v>1.4400000000000004</x:v>
      </x:c>
      <x:c r="AC1465" s="15" t="n">
        <x:f>'기준스탯 72종'!G66*H1465</x:f>
        <x:v>1.2600000000000002</x:v>
      </x:c>
      <x:c r="AD1465" s="15" t="n">
        <x:f>'기준스탯 72종'!H66*H1465</x:f>
        <x:v>0.5400000000000001</x:v>
      </x:c>
      <x:c r="AE1465" s="15" t="n">
        <x:f>'기준스탯 72종'!I66*H1465</x:f>
        <x:v>1.2600000000000002</x:v>
      </x:c>
      <x:c r="AF1465" s="15" t="n">
        <x:f>'기준스탯 72종'!J66*H1465</x:f>
        <x:v>0.18000000000000005</x:v>
      </x:c>
      <x:c r="AG1465" s="15" t="n">
        <x:f>'기준스탯 72종'!K66*H1465</x:f>
        <x:v>0.9000000000000002</x:v>
      </x:c>
    </x:row>
    <x:row r="1466" ht="28" customHeight="1">
      <x:c r="A1466" s="2" t="n">
        <x:v>1459</x:v>
      </x:c>
      <x:c r="B1466" s="2" t="n">
        <x:v>59</x:v>
      </x:c>
      <x:c r="C1466" s="2" t="str">
        <x:v>염소자리</x:v>
      </x:c>
      <x:c r="D1466" s="2" t="str">
        <x:v>도적</x:v>
      </x:c>
      <x:c r="E1466" s="2" t="n">
        <x:v>4</x:v>
      </x:c>
      <x:c r="F1466" s="2" t="n">
        <x:v>2</x:v>
      </x:c>
      <x:c r="G1466" s="14" t="n">
        <x:f>('레벨 계산식'!$E$4-E1466)*'레벨 계산식'!$B$5</x:f>
        <x:v>0.13999999999999999</x:v>
      </x:c>
      <x:c r="H1466" s="14" t="n">
        <x:f>('등급 계산식'!$E$4-F1466)*'등급 계산식'!$B$5</x:f>
        <x:v>0.18000000000000005</x:v>
      </x:c>
      <x:c r="I1466" s="14" t="n">
        <x:f>1-G1466-H1466</x:f>
        <x:v>0.6799999999999999</x:v>
      </x:c>
      <x:c r="J1466" s="2" t="n">
        <x:f>MAX(1,ROUND('기준스탯 72종'!D66-R1466-Z1466,0))</x:f>
        <x:v>5</x:v>
      </x:c>
      <x:c r="K1466" s="2" t="n">
        <x:f>MAX(1,ROUND('기준스탯 72종'!E66-S1466-AA1466,0))</x:f>
        <x:v>5</x:v>
      </x:c>
      <x:c r="L1466" s="2" t="n">
        <x:f>MAX(1,ROUND('기준스탯 72종'!F66-T1466-AB1466,0))</x:f>
        <x:v>5</x:v>
      </x:c>
      <x:c r="M1466" s="2" t="n">
        <x:f>MAX(1,ROUND('기준스탯 72종'!G66-U1466-AC1466,0))</x:f>
        <x:v>5</x:v>
      </x:c>
      <x:c r="N1466" s="2" t="n">
        <x:f>MAX(0,ROUND('기준스탯 72종'!H66-V1466-AD1466,0))</x:f>
        <x:v>2</x:v>
      </x:c>
      <x:c r="O1466" s="2" t="n">
        <x:f>MAX(0,ROUND('기준스탯 72종'!I66-W1466-AE1466,0))</x:f>
        <x:v>5</x:v>
      </x:c>
      <x:c r="P1466" s="2" t="n">
        <x:f>MAX(0,ROUND('기준스탯 72종'!J66-X1466-AF1466,0))</x:f>
        <x:v>1</x:v>
      </x:c>
      <x:c r="Q1466" s="2" t="n">
        <x:f>MAX(0,ROUND('기준스탯 72종'!K66-Y1466-AG1466,0))</x:f>
        <x:v>3</x:v>
      </x:c>
      <x:c r="R1466" s="15" t="n">
        <x:f>'기준스탯 72종'!D66*G1466</x:f>
        <x:v>1.1199999999999999</x:v>
      </x:c>
      <x:c r="S1466" s="15" t="n">
        <x:f>'기준스탯 72종'!E66*G1466</x:f>
        <x:v>0.9799999999999999</x:v>
      </x:c>
      <x:c r="T1466" s="15" t="n">
        <x:f>'기준스탯 72종'!F66*G1466</x:f>
        <x:v>1.1199999999999999</x:v>
      </x:c>
      <x:c r="U1466" s="15" t="n">
        <x:f>'기준스탯 72종'!G66*G1466</x:f>
        <x:v>0.9799999999999999</x:v>
      </x:c>
      <x:c r="V1466" s="15" t="n">
        <x:f>'기준스탯 72종'!H66*G1466</x:f>
        <x:v>0.41999999999999993</x:v>
      </x:c>
      <x:c r="W1466" s="15" t="n">
        <x:f>'기준스탯 72종'!I66*G1466</x:f>
        <x:v>0.9799999999999999</x:v>
      </x:c>
      <x:c r="X1466" s="15" t="n">
        <x:f>'기준스탯 72종'!J66*G1466</x:f>
        <x:v>0.13999999999999999</x:v>
      </x:c>
      <x:c r="Y1466" s="15" t="n">
        <x:f>'기준스탯 72종'!K66*G1466</x:f>
        <x:v>0.7</x:v>
      </x:c>
      <x:c r="Z1466" s="15" t="n">
        <x:f>'기준스탯 72종'!D66*H1466</x:f>
        <x:v>1.4400000000000004</x:v>
      </x:c>
      <x:c r="AA1466" s="15" t="n">
        <x:f>'기준스탯 72종'!E66*H1466</x:f>
        <x:v>1.2600000000000002</x:v>
      </x:c>
      <x:c r="AB1466" s="15" t="n">
        <x:f>'기준스탯 72종'!F66*H1466</x:f>
        <x:v>1.4400000000000004</x:v>
      </x:c>
      <x:c r="AC1466" s="15" t="n">
        <x:f>'기준스탯 72종'!G66*H1466</x:f>
        <x:v>1.2600000000000002</x:v>
      </x:c>
      <x:c r="AD1466" s="15" t="n">
        <x:f>'기준스탯 72종'!H66*H1466</x:f>
        <x:v>0.5400000000000001</x:v>
      </x:c>
      <x:c r="AE1466" s="15" t="n">
        <x:f>'기준스탯 72종'!I66*H1466</x:f>
        <x:v>1.2600000000000002</x:v>
      </x:c>
      <x:c r="AF1466" s="15" t="n">
        <x:f>'기준스탯 72종'!J66*H1466</x:f>
        <x:v>0.18000000000000005</x:v>
      </x:c>
      <x:c r="AG1466" s="15" t="n">
        <x:f>'기준스탯 72종'!K66*H1466</x:f>
        <x:v>0.9000000000000002</x:v>
      </x:c>
    </x:row>
    <x:row r="1467" ht="28" customHeight="1">
      <x:c r="A1467" s="2" t="n">
        <x:v>1460</x:v>
      </x:c>
      <x:c r="B1467" s="2" t="n">
        <x:v>59</x:v>
      </x:c>
      <x:c r="C1467" s="2" t="str">
        <x:v>염소자리</x:v>
      </x:c>
      <x:c r="D1467" s="2" t="str">
        <x:v>도적</x:v>
      </x:c>
      <x:c r="E1467" s="2" t="n">
        <x:v>5</x:v>
      </x:c>
      <x:c r="F1467" s="2" t="n">
        <x:v>2</x:v>
      </x:c>
      <x:c r="G1467" s="14" t="n">
        <x:f>('레벨 계산식'!$E$4-E1467)*'레벨 계산식'!$B$5</x:f>
        <x:v>0</x:v>
      </x:c>
      <x:c r="H1467" s="14" t="n">
        <x:f>('등급 계산식'!$E$4-F1467)*'등급 계산식'!$B$5</x:f>
        <x:v>0.18000000000000005</x:v>
      </x:c>
      <x:c r="I1467" s="14" t="n">
        <x:f>1-G1467-H1467</x:f>
        <x:v>0.82</x:v>
      </x:c>
      <x:c r="J1467" s="2" t="n">
        <x:f>MAX(1,ROUND('기준스탯 72종'!D66-R1467-Z1467,0))</x:f>
        <x:v>7</x:v>
      </x:c>
      <x:c r="K1467" s="2" t="n">
        <x:f>MAX(1,ROUND('기준스탯 72종'!E66-S1467-AA1467,0))</x:f>
        <x:v>6</x:v>
      </x:c>
      <x:c r="L1467" s="2" t="n">
        <x:f>MAX(1,ROUND('기준스탯 72종'!F66-T1467-AB1467,0))</x:f>
        <x:v>7</x:v>
      </x:c>
      <x:c r="M1467" s="2" t="n">
        <x:f>MAX(1,ROUND('기준스탯 72종'!G66-U1467-AC1467,0))</x:f>
        <x:v>6</x:v>
      </x:c>
      <x:c r="N1467" s="2" t="n">
        <x:f>MAX(0,ROUND('기준스탯 72종'!H66-V1467-AD1467,0))</x:f>
        <x:v>2</x:v>
      </x:c>
      <x:c r="O1467" s="2" t="n">
        <x:f>MAX(0,ROUND('기준스탯 72종'!I66-W1467-AE1467,0))</x:f>
        <x:v>6</x:v>
      </x:c>
      <x:c r="P1467" s="2" t="n">
        <x:f>MAX(0,ROUND('기준스탯 72종'!J66-X1467-AF1467,0))</x:f>
        <x:v>1</x:v>
      </x:c>
      <x:c r="Q1467" s="2" t="n">
        <x:f>MAX(0,ROUND('기준스탯 72종'!K66-Y1467-AG1467,0))</x:f>
        <x:v>4</x:v>
      </x:c>
      <x:c r="R1467" s="15" t="n">
        <x:f>'기준스탯 72종'!D66*G1467</x:f>
        <x:v>0</x:v>
      </x:c>
      <x:c r="S1467" s="15" t="n">
        <x:f>'기준스탯 72종'!E66*G1467</x:f>
        <x:v>0</x:v>
      </x:c>
      <x:c r="T1467" s="15" t="n">
        <x:f>'기준스탯 72종'!F66*G1467</x:f>
        <x:v>0</x:v>
      </x:c>
      <x:c r="U1467" s="15" t="n">
        <x:f>'기준스탯 72종'!G66*G1467</x:f>
        <x:v>0</x:v>
      </x:c>
      <x:c r="V1467" s="15" t="n">
        <x:f>'기준스탯 72종'!H66*G1467</x:f>
        <x:v>0</x:v>
      </x:c>
      <x:c r="W1467" s="15" t="n">
        <x:f>'기준스탯 72종'!I66*G1467</x:f>
        <x:v>0</x:v>
      </x:c>
      <x:c r="X1467" s="15" t="n">
        <x:f>'기준스탯 72종'!J66*G1467</x:f>
        <x:v>0</x:v>
      </x:c>
      <x:c r="Y1467" s="15" t="n">
        <x:f>'기준스탯 72종'!K66*G1467</x:f>
        <x:v>0</x:v>
      </x:c>
      <x:c r="Z1467" s="15" t="n">
        <x:f>'기준스탯 72종'!D66*H1467</x:f>
        <x:v>1.4400000000000004</x:v>
      </x:c>
      <x:c r="AA1467" s="15" t="n">
        <x:f>'기준스탯 72종'!E66*H1467</x:f>
        <x:v>1.2600000000000002</x:v>
      </x:c>
      <x:c r="AB1467" s="15" t="n">
        <x:f>'기준스탯 72종'!F66*H1467</x:f>
        <x:v>1.4400000000000004</x:v>
      </x:c>
      <x:c r="AC1467" s="15" t="n">
        <x:f>'기준스탯 72종'!G66*H1467</x:f>
        <x:v>1.2600000000000002</x:v>
      </x:c>
      <x:c r="AD1467" s="15" t="n">
        <x:f>'기준스탯 72종'!H66*H1467</x:f>
        <x:v>0.5400000000000001</x:v>
      </x:c>
      <x:c r="AE1467" s="15" t="n">
        <x:f>'기준스탯 72종'!I66*H1467</x:f>
        <x:v>1.2600000000000002</x:v>
      </x:c>
      <x:c r="AF1467" s="15" t="n">
        <x:f>'기준스탯 72종'!J66*H1467</x:f>
        <x:v>0.18000000000000005</x:v>
      </x:c>
      <x:c r="AG1467" s="15" t="n">
        <x:f>'기준스탯 72종'!K66*H1467</x:f>
        <x:v>0.9000000000000002</x:v>
      </x:c>
    </x:row>
    <x:row r="1468" ht="28" customHeight="1">
      <x:c r="A1468" s="2" t="n">
        <x:v>1461</x:v>
      </x:c>
      <x:c r="B1468" s="2" t="n">
        <x:v>59</x:v>
      </x:c>
      <x:c r="C1468" s="2" t="str">
        <x:v>염소자리</x:v>
      </x:c>
      <x:c r="D1468" s="2" t="str">
        <x:v>도적</x:v>
      </x:c>
      <x:c r="E1468" s="2" t="n">
        <x:v>1</x:v>
      </x:c>
      <x:c r="F1468" s="2" t="n">
        <x:v>3</x:v>
      </x:c>
      <x:c r="G1468" s="14" t="n">
        <x:f>('레벨 계산식'!$E$4-E1468)*'레벨 계산식'!$B$5</x:f>
        <x:v>0.5599999999999999</x:v>
      </x:c>
      <x:c r="H1468" s="14" t="n">
        <x:f>('등급 계산식'!$E$4-F1468)*'등급 계산식'!$B$5</x:f>
        <x:v>0.12000000000000002</x:v>
      </x:c>
      <x:c r="I1468" s="14" t="n">
        <x:f>1-G1468-H1468</x:f>
        <x:v>0.32000000000000006</x:v>
      </x:c>
      <x:c r="J1468" s="2" t="n">
        <x:f>MAX(1,ROUND('기준스탯 72종'!D66-R1468-Z1468,0))</x:f>
        <x:v>3</x:v>
      </x:c>
      <x:c r="K1468" s="2" t="n">
        <x:f>MAX(1,ROUND('기준스탯 72종'!E66-S1468-AA1468,0))</x:f>
        <x:v>2</x:v>
      </x:c>
      <x:c r="L1468" s="2" t="n">
        <x:f>MAX(1,ROUND('기준스탯 72종'!F66-T1468-AB1468,0))</x:f>
        <x:v>3</x:v>
      </x:c>
      <x:c r="M1468" s="2" t="n">
        <x:f>MAX(1,ROUND('기준스탯 72종'!G66-U1468-AC1468,0))</x:f>
        <x:v>2</x:v>
      </x:c>
      <x:c r="N1468" s="2" t="n">
        <x:f>MAX(0,ROUND('기준스탯 72종'!H66-V1468-AD1468,0))</x:f>
        <x:v>1</x:v>
      </x:c>
      <x:c r="O1468" s="2" t="n">
        <x:f>MAX(0,ROUND('기준스탯 72종'!I66-W1468-AE1468,0))</x:f>
        <x:v>2</x:v>
      </x:c>
      <x:c r="P1468" s="2" t="n">
        <x:f>MAX(0,ROUND('기준스탯 72종'!J66-X1468-AF1468,0))</x:f>
        <x:v>0</x:v>
      </x:c>
      <x:c r="Q1468" s="2" t="n">
        <x:f>MAX(0,ROUND('기준스탯 72종'!K66-Y1468-AG1468,0))</x:f>
        <x:v>2</x:v>
      </x:c>
      <x:c r="R1468" s="15" t="n">
        <x:f>'기준스탯 72종'!D66*G1468</x:f>
        <x:v>4.4799999999999995</x:v>
      </x:c>
      <x:c r="S1468" s="15" t="n">
        <x:f>'기준스탯 72종'!E66*G1468</x:f>
        <x:v>3.9199999999999995</x:v>
      </x:c>
      <x:c r="T1468" s="15" t="n">
        <x:f>'기준스탯 72종'!F66*G1468</x:f>
        <x:v>4.4799999999999995</x:v>
      </x:c>
      <x:c r="U1468" s="15" t="n">
        <x:f>'기준스탯 72종'!G66*G1468</x:f>
        <x:v>3.9199999999999995</x:v>
      </x:c>
      <x:c r="V1468" s="15" t="n">
        <x:f>'기준스탯 72종'!H66*G1468</x:f>
        <x:v>1.6799999999999997</x:v>
      </x:c>
      <x:c r="W1468" s="15" t="n">
        <x:f>'기준스탯 72종'!I66*G1468</x:f>
        <x:v>3.9199999999999995</x:v>
      </x:c>
      <x:c r="X1468" s="15" t="n">
        <x:f>'기준스탯 72종'!J66*G1468</x:f>
        <x:v>0.5599999999999999</x:v>
      </x:c>
      <x:c r="Y1468" s="15" t="n">
        <x:f>'기준스탯 72종'!K66*G1468</x:f>
        <x:v>2.8</x:v>
      </x:c>
      <x:c r="Z1468" s="15" t="n">
        <x:f>'기준스탯 72종'!D66*H1468</x:f>
        <x:v>0.9600000000000002</x:v>
      </x:c>
      <x:c r="AA1468" s="15" t="n">
        <x:f>'기준스탯 72종'!E66*H1468</x:f>
        <x:v>0.8400000000000002</x:v>
      </x:c>
      <x:c r="AB1468" s="15" t="n">
        <x:f>'기준스탯 72종'!F66*H1468</x:f>
        <x:v>0.9600000000000002</x:v>
      </x:c>
      <x:c r="AC1468" s="15" t="n">
        <x:f>'기준스탯 72종'!G66*H1468</x:f>
        <x:v>0.8400000000000002</x:v>
      </x:c>
      <x:c r="AD1468" s="15" t="n">
        <x:f>'기준스탯 72종'!H66*H1468</x:f>
        <x:v>0.3600000000000001</x:v>
      </x:c>
      <x:c r="AE1468" s="15" t="n">
        <x:f>'기준스탯 72종'!I66*H1468</x:f>
        <x:v>0.8400000000000002</x:v>
      </x:c>
      <x:c r="AF1468" s="15" t="n">
        <x:f>'기준스탯 72종'!J66*H1468</x:f>
        <x:v>0.12000000000000002</x:v>
      </x:c>
      <x:c r="AG1468" s="15" t="n">
        <x:f>'기준스탯 72종'!K66*H1468</x:f>
        <x:v>0.6000000000000001</x:v>
      </x:c>
    </x:row>
    <x:row r="1469" ht="28" customHeight="1">
      <x:c r="A1469" s="2" t="n">
        <x:v>1462</x:v>
      </x:c>
      <x:c r="B1469" s="2" t="n">
        <x:v>59</x:v>
      </x:c>
      <x:c r="C1469" s="2" t="str">
        <x:v>염소자리</x:v>
      </x:c>
      <x:c r="D1469" s="2" t="str">
        <x:v>도적</x:v>
      </x:c>
      <x:c r="E1469" s="2" t="n">
        <x:v>2</x:v>
      </x:c>
      <x:c r="F1469" s="2" t="n">
        <x:v>3</x:v>
      </x:c>
      <x:c r="G1469" s="14" t="n">
        <x:f>('레벨 계산식'!$E$4-E1469)*'레벨 계산식'!$B$5</x:f>
        <x:v>0.41999999999999993</x:v>
      </x:c>
      <x:c r="H1469" s="14" t="n">
        <x:f>('등급 계산식'!$E$4-F1469)*'등급 계산식'!$B$5</x:f>
        <x:v>0.12000000000000002</x:v>
      </x:c>
      <x:c r="I1469" s="14" t="n">
        <x:f>1-G1469-H1469</x:f>
        <x:v>0.4600000000000001</x:v>
      </x:c>
      <x:c r="J1469" s="2" t="n">
        <x:f>MAX(1,ROUND('기준스탯 72종'!D66-R1469-Z1469,0))</x:f>
        <x:v>4</x:v>
      </x:c>
      <x:c r="K1469" s="2" t="n">
        <x:f>MAX(1,ROUND('기준스탯 72종'!E66-S1469-AA1469,0))</x:f>
        <x:v>3</x:v>
      </x:c>
      <x:c r="L1469" s="2" t="n">
        <x:f>MAX(1,ROUND('기준스탯 72종'!F66-T1469-AB1469,0))</x:f>
        <x:v>4</x:v>
      </x:c>
      <x:c r="M1469" s="2" t="n">
        <x:f>MAX(1,ROUND('기준스탯 72종'!G66-U1469-AC1469,0))</x:f>
        <x:v>3</x:v>
      </x:c>
      <x:c r="N1469" s="2" t="n">
        <x:f>MAX(0,ROUND('기준스탯 72종'!H66-V1469-AD1469,0))</x:f>
        <x:v>1</x:v>
      </x:c>
      <x:c r="O1469" s="2" t="n">
        <x:f>MAX(0,ROUND('기준스탯 72종'!I66-W1469-AE1469,0))</x:f>
        <x:v>3</x:v>
      </x:c>
      <x:c r="P1469" s="2" t="n">
        <x:f>MAX(0,ROUND('기준스탯 72종'!J66-X1469-AF1469,0))</x:f>
        <x:v>0</x:v>
      </x:c>
      <x:c r="Q1469" s="2" t="n">
        <x:f>MAX(0,ROUND('기준스탯 72종'!K66-Y1469-AG1469,0))</x:f>
        <x:v>2</x:v>
      </x:c>
      <x:c r="R1469" s="15" t="n">
        <x:f>'기준스탯 72종'!D66*G1469</x:f>
        <x:v>3.3599999999999994</x:v>
      </x:c>
      <x:c r="S1469" s="15" t="n">
        <x:f>'기준스탯 72종'!E66*G1469</x:f>
        <x:v>2.9399999999999995</x:v>
      </x:c>
      <x:c r="T1469" s="15" t="n">
        <x:f>'기준스탯 72종'!F66*G1469</x:f>
        <x:v>3.3599999999999994</x:v>
      </x:c>
      <x:c r="U1469" s="15" t="n">
        <x:f>'기준스탯 72종'!G66*G1469</x:f>
        <x:v>2.9399999999999995</x:v>
      </x:c>
      <x:c r="V1469" s="15" t="n">
        <x:f>'기준스탯 72종'!H66*G1469</x:f>
        <x:v>1.2599999999999998</x:v>
      </x:c>
      <x:c r="W1469" s="15" t="n">
        <x:f>'기준스탯 72종'!I66*G1469</x:f>
        <x:v>2.9399999999999995</x:v>
      </x:c>
      <x:c r="X1469" s="15" t="n">
        <x:f>'기준스탯 72종'!J66*G1469</x:f>
        <x:v>0.41999999999999993</x:v>
      </x:c>
      <x:c r="Y1469" s="15" t="n">
        <x:f>'기준스탯 72종'!K66*G1469</x:f>
        <x:v>2.0999999999999996</x:v>
      </x:c>
      <x:c r="Z1469" s="15" t="n">
        <x:f>'기준스탯 72종'!D66*H1469</x:f>
        <x:v>0.9600000000000002</x:v>
      </x:c>
      <x:c r="AA1469" s="15" t="n">
        <x:f>'기준스탯 72종'!E66*H1469</x:f>
        <x:v>0.8400000000000002</x:v>
      </x:c>
      <x:c r="AB1469" s="15" t="n">
        <x:f>'기준스탯 72종'!F66*H1469</x:f>
        <x:v>0.9600000000000002</x:v>
      </x:c>
      <x:c r="AC1469" s="15" t="n">
        <x:f>'기준스탯 72종'!G66*H1469</x:f>
        <x:v>0.8400000000000002</x:v>
      </x:c>
      <x:c r="AD1469" s="15" t="n">
        <x:f>'기준스탯 72종'!H66*H1469</x:f>
        <x:v>0.3600000000000001</x:v>
      </x:c>
      <x:c r="AE1469" s="15" t="n">
        <x:f>'기준스탯 72종'!I66*H1469</x:f>
        <x:v>0.8400000000000002</x:v>
      </x:c>
      <x:c r="AF1469" s="15" t="n">
        <x:f>'기준스탯 72종'!J66*H1469</x:f>
        <x:v>0.12000000000000002</x:v>
      </x:c>
      <x:c r="AG1469" s="15" t="n">
        <x:f>'기준스탯 72종'!K66*H1469</x:f>
        <x:v>0.6000000000000001</x:v>
      </x:c>
    </x:row>
    <x:row r="1470" ht="28" customHeight="1">
      <x:c r="A1470" s="2" t="n">
        <x:v>1463</x:v>
      </x:c>
      <x:c r="B1470" s="2" t="n">
        <x:v>59</x:v>
      </x:c>
      <x:c r="C1470" s="2" t="str">
        <x:v>염소자리</x:v>
      </x:c>
      <x:c r="D1470" s="2" t="str">
        <x:v>도적</x:v>
      </x:c>
      <x:c r="E1470" s="2" t="n">
        <x:v>3</x:v>
      </x:c>
      <x:c r="F1470" s="2" t="n">
        <x:v>3</x:v>
      </x:c>
      <x:c r="G1470" s="14" t="n">
        <x:f>('레벨 계산식'!$E$4-E1470)*'레벨 계산식'!$B$5</x:f>
        <x:v>0.27999999999999997</x:v>
      </x:c>
      <x:c r="H1470" s="14" t="n">
        <x:f>('등급 계산식'!$E$4-F1470)*'등급 계산식'!$B$5</x:f>
        <x:v>0.12000000000000002</x:v>
      </x:c>
      <x:c r="I1470" s="14" t="n">
        <x:f>1-G1470-H1470</x:f>
        <x:v>0.6</x:v>
      </x:c>
      <x:c r="J1470" s="2" t="n">
        <x:f>MAX(1,ROUND('기준스탯 72종'!D66-R1470-Z1470,0))</x:f>
        <x:v>5</x:v>
      </x:c>
      <x:c r="K1470" s="2" t="n">
        <x:f>MAX(1,ROUND('기준스탯 72종'!E66-S1470-AA1470,0))</x:f>
        <x:v>4</x:v>
      </x:c>
      <x:c r="L1470" s="2" t="n">
        <x:f>MAX(1,ROUND('기준스탯 72종'!F66-T1470-AB1470,0))</x:f>
        <x:v>5</x:v>
      </x:c>
      <x:c r="M1470" s="2" t="n">
        <x:f>MAX(1,ROUND('기준스탯 72종'!G66-U1470-AC1470,0))</x:f>
        <x:v>4</x:v>
      </x:c>
      <x:c r="N1470" s="2" t="n">
        <x:f>MAX(0,ROUND('기준스탯 72종'!H66-V1470-AD1470,0))</x:f>
        <x:v>2</x:v>
      </x:c>
      <x:c r="O1470" s="2" t="n">
        <x:f>MAX(0,ROUND('기준스탯 72종'!I66-W1470-AE1470,0))</x:f>
        <x:v>4</x:v>
      </x:c>
      <x:c r="P1470" s="2" t="n">
        <x:f>MAX(0,ROUND('기준스탯 72종'!J66-X1470-AF1470,0))</x:f>
        <x:v>1</x:v>
      </x:c>
      <x:c r="Q1470" s="2" t="n">
        <x:f>MAX(0,ROUND('기준스탯 72종'!K66-Y1470-AG1470,0))</x:f>
        <x:v>3</x:v>
      </x:c>
      <x:c r="R1470" s="15" t="n">
        <x:f>'기준스탯 72종'!D66*G1470</x:f>
        <x:v>2.2399999999999998</x:v>
      </x:c>
      <x:c r="S1470" s="15" t="n">
        <x:f>'기준스탯 72종'!E66*G1470</x:f>
        <x:v>1.9599999999999997</x:v>
      </x:c>
      <x:c r="T1470" s="15" t="n">
        <x:f>'기준스탯 72종'!F66*G1470</x:f>
        <x:v>2.2399999999999998</x:v>
      </x:c>
      <x:c r="U1470" s="15" t="n">
        <x:f>'기준스탯 72종'!G66*G1470</x:f>
        <x:v>1.9599999999999997</x:v>
      </x:c>
      <x:c r="V1470" s="15" t="n">
        <x:f>'기준스탯 72종'!H66*G1470</x:f>
        <x:v>0.8399999999999999</x:v>
      </x:c>
      <x:c r="W1470" s="15" t="n">
        <x:f>'기준스탯 72종'!I66*G1470</x:f>
        <x:v>1.9599999999999997</x:v>
      </x:c>
      <x:c r="X1470" s="15" t="n">
        <x:f>'기준스탯 72종'!J66*G1470</x:f>
        <x:v>0.27999999999999997</x:v>
      </x:c>
      <x:c r="Y1470" s="15" t="n">
        <x:f>'기준스탯 72종'!K66*G1470</x:f>
        <x:v>1.4</x:v>
      </x:c>
      <x:c r="Z1470" s="15" t="n">
        <x:f>'기준스탯 72종'!D66*H1470</x:f>
        <x:v>0.9600000000000002</x:v>
      </x:c>
      <x:c r="AA1470" s="15" t="n">
        <x:f>'기준스탯 72종'!E66*H1470</x:f>
        <x:v>0.8400000000000002</x:v>
      </x:c>
      <x:c r="AB1470" s="15" t="n">
        <x:f>'기준스탯 72종'!F66*H1470</x:f>
        <x:v>0.9600000000000002</x:v>
      </x:c>
      <x:c r="AC1470" s="15" t="n">
        <x:f>'기준스탯 72종'!G66*H1470</x:f>
        <x:v>0.8400000000000002</x:v>
      </x:c>
      <x:c r="AD1470" s="15" t="n">
        <x:f>'기준스탯 72종'!H66*H1470</x:f>
        <x:v>0.3600000000000001</x:v>
      </x:c>
      <x:c r="AE1470" s="15" t="n">
        <x:f>'기준스탯 72종'!I66*H1470</x:f>
        <x:v>0.8400000000000002</x:v>
      </x:c>
      <x:c r="AF1470" s="15" t="n">
        <x:f>'기준스탯 72종'!J66*H1470</x:f>
        <x:v>0.12000000000000002</x:v>
      </x:c>
      <x:c r="AG1470" s="15" t="n">
        <x:f>'기준스탯 72종'!K66*H1470</x:f>
        <x:v>0.6000000000000001</x:v>
      </x:c>
    </x:row>
    <x:row r="1471" ht="28" customHeight="1">
      <x:c r="A1471" s="2" t="n">
        <x:v>1464</x:v>
      </x:c>
      <x:c r="B1471" s="2" t="n">
        <x:v>59</x:v>
      </x:c>
      <x:c r="C1471" s="2" t="str">
        <x:v>염소자리</x:v>
      </x:c>
      <x:c r="D1471" s="2" t="str">
        <x:v>도적</x:v>
      </x:c>
      <x:c r="E1471" s="2" t="n">
        <x:v>4</x:v>
      </x:c>
      <x:c r="F1471" s="2" t="n">
        <x:v>3</x:v>
      </x:c>
      <x:c r="G1471" s="14" t="n">
        <x:f>('레벨 계산식'!$E$4-E1471)*'레벨 계산식'!$B$5</x:f>
        <x:v>0.13999999999999999</x:v>
      </x:c>
      <x:c r="H1471" s="14" t="n">
        <x:f>('등급 계산식'!$E$4-F1471)*'등급 계산식'!$B$5</x:f>
        <x:v>0.12000000000000002</x:v>
      </x:c>
      <x:c r="I1471" s="14" t="n">
        <x:f>1-G1471-H1471</x:f>
        <x:v>0.74</x:v>
      </x:c>
      <x:c r="J1471" s="2" t="n">
        <x:f>MAX(1,ROUND('기준스탯 72종'!D66-R1471-Z1471,0))</x:f>
        <x:v>6</x:v>
      </x:c>
      <x:c r="K1471" s="2" t="n">
        <x:f>MAX(1,ROUND('기준스탯 72종'!E66-S1471-AA1471,0))</x:f>
        <x:v>5</x:v>
      </x:c>
      <x:c r="L1471" s="2" t="n">
        <x:f>MAX(1,ROUND('기준스탯 72종'!F66-T1471-AB1471,0))</x:f>
        <x:v>6</x:v>
      </x:c>
      <x:c r="M1471" s="2" t="n">
        <x:f>MAX(1,ROUND('기준스탯 72종'!G66-U1471-AC1471,0))</x:f>
        <x:v>5</x:v>
      </x:c>
      <x:c r="N1471" s="2" t="n">
        <x:f>MAX(0,ROUND('기준스탯 72종'!H66-V1471-AD1471,0))</x:f>
        <x:v>2</x:v>
      </x:c>
      <x:c r="O1471" s="2" t="n">
        <x:f>MAX(0,ROUND('기준스탯 72종'!I66-W1471-AE1471,0))</x:f>
        <x:v>5</x:v>
      </x:c>
      <x:c r="P1471" s="2" t="n">
        <x:f>MAX(0,ROUND('기준스탯 72종'!J66-X1471-AF1471,0))</x:f>
        <x:v>1</x:v>
      </x:c>
      <x:c r="Q1471" s="2" t="n">
        <x:f>MAX(0,ROUND('기준스탯 72종'!K66-Y1471-AG1471,0))</x:f>
        <x:v>4</x:v>
      </x:c>
      <x:c r="R1471" s="15" t="n">
        <x:f>'기준스탯 72종'!D66*G1471</x:f>
        <x:v>1.1199999999999999</x:v>
      </x:c>
      <x:c r="S1471" s="15" t="n">
        <x:f>'기준스탯 72종'!E66*G1471</x:f>
        <x:v>0.9799999999999999</x:v>
      </x:c>
      <x:c r="T1471" s="15" t="n">
        <x:f>'기준스탯 72종'!F66*G1471</x:f>
        <x:v>1.1199999999999999</x:v>
      </x:c>
      <x:c r="U1471" s="15" t="n">
        <x:f>'기준스탯 72종'!G66*G1471</x:f>
        <x:v>0.9799999999999999</x:v>
      </x:c>
      <x:c r="V1471" s="15" t="n">
        <x:f>'기준스탯 72종'!H66*G1471</x:f>
        <x:v>0.41999999999999993</x:v>
      </x:c>
      <x:c r="W1471" s="15" t="n">
        <x:f>'기준스탯 72종'!I66*G1471</x:f>
        <x:v>0.9799999999999999</x:v>
      </x:c>
      <x:c r="X1471" s="15" t="n">
        <x:f>'기준스탯 72종'!J66*G1471</x:f>
        <x:v>0.13999999999999999</x:v>
      </x:c>
      <x:c r="Y1471" s="15" t="n">
        <x:f>'기준스탯 72종'!K66*G1471</x:f>
        <x:v>0.7</x:v>
      </x:c>
      <x:c r="Z1471" s="15" t="n">
        <x:f>'기준스탯 72종'!D66*H1471</x:f>
        <x:v>0.9600000000000002</x:v>
      </x:c>
      <x:c r="AA1471" s="15" t="n">
        <x:f>'기준스탯 72종'!E66*H1471</x:f>
        <x:v>0.8400000000000002</x:v>
      </x:c>
      <x:c r="AB1471" s="15" t="n">
        <x:f>'기준스탯 72종'!F66*H1471</x:f>
        <x:v>0.9600000000000002</x:v>
      </x:c>
      <x:c r="AC1471" s="15" t="n">
        <x:f>'기준스탯 72종'!G66*H1471</x:f>
        <x:v>0.8400000000000002</x:v>
      </x:c>
      <x:c r="AD1471" s="15" t="n">
        <x:f>'기준스탯 72종'!H66*H1471</x:f>
        <x:v>0.3600000000000001</x:v>
      </x:c>
      <x:c r="AE1471" s="15" t="n">
        <x:f>'기준스탯 72종'!I66*H1471</x:f>
        <x:v>0.8400000000000002</x:v>
      </x:c>
      <x:c r="AF1471" s="15" t="n">
        <x:f>'기준스탯 72종'!J66*H1471</x:f>
        <x:v>0.12000000000000002</x:v>
      </x:c>
      <x:c r="AG1471" s="15" t="n">
        <x:f>'기준스탯 72종'!K66*H1471</x:f>
        <x:v>0.6000000000000001</x:v>
      </x:c>
    </x:row>
    <x:row r="1472" ht="28" customHeight="1">
      <x:c r="A1472" s="2" t="n">
        <x:v>1465</x:v>
      </x:c>
      <x:c r="B1472" s="2" t="n">
        <x:v>59</x:v>
      </x:c>
      <x:c r="C1472" s="2" t="str">
        <x:v>염소자리</x:v>
      </x:c>
      <x:c r="D1472" s="2" t="str">
        <x:v>도적</x:v>
      </x:c>
      <x:c r="E1472" s="2" t="n">
        <x:v>5</x:v>
      </x:c>
      <x:c r="F1472" s="2" t="n">
        <x:v>3</x:v>
      </x:c>
      <x:c r="G1472" s="14" t="n">
        <x:f>('레벨 계산식'!$E$4-E1472)*'레벨 계산식'!$B$5</x:f>
        <x:v>0</x:v>
      </x:c>
      <x:c r="H1472" s="14" t="n">
        <x:f>('등급 계산식'!$E$4-F1472)*'등급 계산식'!$B$5</x:f>
        <x:v>0.12000000000000002</x:v>
      </x:c>
      <x:c r="I1472" s="14" t="n">
        <x:f>1-G1472-H1472</x:f>
        <x:v>0.88</x:v>
      </x:c>
      <x:c r="J1472" s="2" t="n">
        <x:f>MAX(1,ROUND('기준스탯 72종'!D66-R1472-Z1472,0))</x:f>
        <x:v>7</x:v>
      </x:c>
      <x:c r="K1472" s="2" t="n">
        <x:f>MAX(1,ROUND('기준스탯 72종'!E66-S1472-AA1472,0))</x:f>
        <x:v>6</x:v>
      </x:c>
      <x:c r="L1472" s="2" t="n">
        <x:f>MAX(1,ROUND('기준스탯 72종'!F66-T1472-AB1472,0))</x:f>
        <x:v>7</x:v>
      </x:c>
      <x:c r="M1472" s="2" t="n">
        <x:f>MAX(1,ROUND('기준스탯 72종'!G66-U1472-AC1472,0))</x:f>
        <x:v>6</x:v>
      </x:c>
      <x:c r="N1472" s="2" t="n">
        <x:f>MAX(0,ROUND('기준스탯 72종'!H66-V1472-AD1472,0))</x:f>
        <x:v>3</x:v>
      </x:c>
      <x:c r="O1472" s="2" t="n">
        <x:f>MAX(0,ROUND('기준스탯 72종'!I66-W1472-AE1472,0))</x:f>
        <x:v>6</x:v>
      </x:c>
      <x:c r="P1472" s="2" t="n">
        <x:f>MAX(0,ROUND('기준스탯 72종'!J66-X1472-AF1472,0))</x:f>
        <x:v>1</x:v>
      </x:c>
      <x:c r="Q1472" s="2" t="n">
        <x:f>MAX(0,ROUND('기준스탯 72종'!K66-Y1472-AG1472,0))</x:f>
        <x:v>4</x:v>
      </x:c>
      <x:c r="R1472" s="15" t="n">
        <x:f>'기준스탯 72종'!D66*G1472</x:f>
        <x:v>0</x:v>
      </x:c>
      <x:c r="S1472" s="15" t="n">
        <x:f>'기준스탯 72종'!E66*G1472</x:f>
        <x:v>0</x:v>
      </x:c>
      <x:c r="T1472" s="15" t="n">
        <x:f>'기준스탯 72종'!F66*G1472</x:f>
        <x:v>0</x:v>
      </x:c>
      <x:c r="U1472" s="15" t="n">
        <x:f>'기준스탯 72종'!G66*G1472</x:f>
        <x:v>0</x:v>
      </x:c>
      <x:c r="V1472" s="15" t="n">
        <x:f>'기준스탯 72종'!H66*G1472</x:f>
        <x:v>0</x:v>
      </x:c>
      <x:c r="W1472" s="15" t="n">
        <x:f>'기준스탯 72종'!I66*G1472</x:f>
        <x:v>0</x:v>
      </x:c>
      <x:c r="X1472" s="15" t="n">
        <x:f>'기준스탯 72종'!J66*G1472</x:f>
        <x:v>0</x:v>
      </x:c>
      <x:c r="Y1472" s="15" t="n">
        <x:f>'기준스탯 72종'!K66*G1472</x:f>
        <x:v>0</x:v>
      </x:c>
      <x:c r="Z1472" s="15" t="n">
        <x:f>'기준스탯 72종'!D66*H1472</x:f>
        <x:v>0.9600000000000002</x:v>
      </x:c>
      <x:c r="AA1472" s="15" t="n">
        <x:f>'기준스탯 72종'!E66*H1472</x:f>
        <x:v>0.8400000000000002</x:v>
      </x:c>
      <x:c r="AB1472" s="15" t="n">
        <x:f>'기준스탯 72종'!F66*H1472</x:f>
        <x:v>0.9600000000000002</x:v>
      </x:c>
      <x:c r="AC1472" s="15" t="n">
        <x:f>'기준스탯 72종'!G66*H1472</x:f>
        <x:v>0.8400000000000002</x:v>
      </x:c>
      <x:c r="AD1472" s="15" t="n">
        <x:f>'기준스탯 72종'!H66*H1472</x:f>
        <x:v>0.3600000000000001</x:v>
      </x:c>
      <x:c r="AE1472" s="15" t="n">
        <x:f>'기준스탯 72종'!I66*H1472</x:f>
        <x:v>0.8400000000000002</x:v>
      </x:c>
      <x:c r="AF1472" s="15" t="n">
        <x:f>'기준스탯 72종'!J66*H1472</x:f>
        <x:v>0.12000000000000002</x:v>
      </x:c>
      <x:c r="AG1472" s="15" t="n">
        <x:f>'기준스탯 72종'!K66*H1472</x:f>
        <x:v>0.6000000000000001</x:v>
      </x:c>
    </x:row>
    <x:row r="1473" ht="28" customHeight="1">
      <x:c r="A1473" s="2" t="n">
        <x:v>1466</x:v>
      </x:c>
      <x:c r="B1473" s="2" t="n">
        <x:v>59</x:v>
      </x:c>
      <x:c r="C1473" s="2" t="str">
        <x:v>염소자리</x:v>
      </x:c>
      <x:c r="D1473" s="2" t="str">
        <x:v>도적</x:v>
      </x:c>
      <x:c r="E1473" s="2" t="n">
        <x:v>1</x:v>
      </x:c>
      <x:c r="F1473" s="2" t="n">
        <x:v>4</x:v>
      </x:c>
      <x:c r="G1473" s="14" t="n">
        <x:f>('레벨 계산식'!$E$4-E1473)*'레벨 계산식'!$B$5</x:f>
        <x:v>0.5599999999999999</x:v>
      </x:c>
      <x:c r="H1473" s="14" t="n">
        <x:f>('등급 계산식'!$E$4-F1473)*'등급 계산식'!$B$5</x:f>
        <x:v>0.06000000000000001</x:v>
      </x:c>
      <x:c r="I1473" s="14" t="n">
        <x:f>1-G1473-H1473</x:f>
        <x:v>0.38000000000000006</x:v>
      </x:c>
      <x:c r="J1473" s="2" t="n">
        <x:f>MAX(1,ROUND('기준스탯 72종'!D66-R1473-Z1473,0))</x:f>
        <x:v>3</x:v>
      </x:c>
      <x:c r="K1473" s="2" t="n">
        <x:f>MAX(1,ROUND('기준스탯 72종'!E66-S1473-AA1473,0))</x:f>
        <x:v>3</x:v>
      </x:c>
      <x:c r="L1473" s="2" t="n">
        <x:f>MAX(1,ROUND('기준스탯 72종'!F66-T1473-AB1473,0))</x:f>
        <x:v>3</x:v>
      </x:c>
      <x:c r="M1473" s="2" t="n">
        <x:f>MAX(1,ROUND('기준스탯 72종'!G66-U1473-AC1473,0))</x:f>
        <x:v>3</x:v>
      </x:c>
      <x:c r="N1473" s="2" t="n">
        <x:f>MAX(0,ROUND('기준스탯 72종'!H66-V1473-AD1473,0))</x:f>
        <x:v>1</x:v>
      </x:c>
      <x:c r="O1473" s="2" t="n">
        <x:f>MAX(0,ROUND('기준스탯 72종'!I66-W1473-AE1473,0))</x:f>
        <x:v>3</x:v>
      </x:c>
      <x:c r="P1473" s="2" t="n">
        <x:f>MAX(0,ROUND('기준스탯 72종'!J66-X1473-AF1473,0))</x:f>
        <x:v>0</x:v>
      </x:c>
      <x:c r="Q1473" s="2" t="n">
        <x:f>MAX(0,ROUND('기준스탯 72종'!K66-Y1473-AG1473,0))</x:f>
        <x:v>2</x:v>
      </x:c>
      <x:c r="R1473" s="15" t="n">
        <x:f>'기준스탯 72종'!D66*G1473</x:f>
        <x:v>4.4799999999999995</x:v>
      </x:c>
      <x:c r="S1473" s="15" t="n">
        <x:f>'기준스탯 72종'!E66*G1473</x:f>
        <x:v>3.9199999999999995</x:v>
      </x:c>
      <x:c r="T1473" s="15" t="n">
        <x:f>'기준스탯 72종'!F66*G1473</x:f>
        <x:v>4.4799999999999995</x:v>
      </x:c>
      <x:c r="U1473" s="15" t="n">
        <x:f>'기준스탯 72종'!G66*G1473</x:f>
        <x:v>3.9199999999999995</x:v>
      </x:c>
      <x:c r="V1473" s="15" t="n">
        <x:f>'기준스탯 72종'!H66*G1473</x:f>
        <x:v>1.6799999999999997</x:v>
      </x:c>
      <x:c r="W1473" s="15" t="n">
        <x:f>'기준스탯 72종'!I66*G1473</x:f>
        <x:v>3.9199999999999995</x:v>
      </x:c>
      <x:c r="X1473" s="15" t="n">
        <x:f>'기준스탯 72종'!J66*G1473</x:f>
        <x:v>0.5599999999999999</x:v>
      </x:c>
      <x:c r="Y1473" s="15" t="n">
        <x:f>'기준스탯 72종'!K66*G1473</x:f>
        <x:v>2.8</x:v>
      </x:c>
      <x:c r="Z1473" s="15" t="n">
        <x:f>'기준스탯 72종'!D66*H1473</x:f>
        <x:v>0.4800000000000001</x:v>
      </x:c>
      <x:c r="AA1473" s="15" t="n">
        <x:f>'기준스탯 72종'!E66*H1473</x:f>
        <x:v>0.4200000000000001</x:v>
      </x:c>
      <x:c r="AB1473" s="15" t="n">
        <x:f>'기준스탯 72종'!F66*H1473</x:f>
        <x:v>0.4800000000000001</x:v>
      </x:c>
      <x:c r="AC1473" s="15" t="n">
        <x:f>'기준스탯 72종'!G66*H1473</x:f>
        <x:v>0.4200000000000001</x:v>
      </x:c>
      <x:c r="AD1473" s="15" t="n">
        <x:f>'기준스탯 72종'!H66*H1473</x:f>
        <x:v>0.18000000000000005</x:v>
      </x:c>
      <x:c r="AE1473" s="15" t="n">
        <x:f>'기준스탯 72종'!I66*H1473</x:f>
        <x:v>0.4200000000000001</x:v>
      </x:c>
      <x:c r="AF1473" s="15" t="n">
        <x:f>'기준스탯 72종'!J66*H1473</x:f>
        <x:v>0.06000000000000001</x:v>
      </x:c>
      <x:c r="AG1473" s="15" t="n">
        <x:f>'기준스탯 72종'!K66*H1473</x:f>
        <x:v>0.30000000000000004</x:v>
      </x:c>
    </x:row>
    <x:row r="1474" ht="28" customHeight="1">
      <x:c r="A1474" s="2" t="n">
        <x:v>1467</x:v>
      </x:c>
      <x:c r="B1474" s="2" t="n">
        <x:v>59</x:v>
      </x:c>
      <x:c r="C1474" s="2" t="str">
        <x:v>염소자리</x:v>
      </x:c>
      <x:c r="D1474" s="2" t="str">
        <x:v>도적</x:v>
      </x:c>
      <x:c r="E1474" s="2" t="n">
        <x:v>2</x:v>
      </x:c>
      <x:c r="F1474" s="2" t="n">
        <x:v>4</x:v>
      </x:c>
      <x:c r="G1474" s="14" t="n">
        <x:f>('레벨 계산식'!$E$4-E1474)*'레벨 계산식'!$B$5</x:f>
        <x:v>0.41999999999999993</x:v>
      </x:c>
      <x:c r="H1474" s="14" t="n">
        <x:f>('등급 계산식'!$E$4-F1474)*'등급 계산식'!$B$5</x:f>
        <x:v>0.06000000000000001</x:v>
      </x:c>
      <x:c r="I1474" s="14" t="n">
        <x:f>1-G1474-H1474</x:f>
        <x:v>0.52</x:v>
      </x:c>
      <x:c r="J1474" s="2" t="n">
        <x:f>MAX(1,ROUND('기준스탯 72종'!D66-R1474-Z1474,0))</x:f>
        <x:v>4</x:v>
      </x:c>
      <x:c r="K1474" s="2" t="n">
        <x:f>MAX(1,ROUND('기준스탯 72종'!E66-S1474-AA1474,0))</x:f>
        <x:v>4</x:v>
      </x:c>
      <x:c r="L1474" s="2" t="n">
        <x:f>MAX(1,ROUND('기준스탯 72종'!F66-T1474-AB1474,0))</x:f>
        <x:v>4</x:v>
      </x:c>
      <x:c r="M1474" s="2" t="n">
        <x:f>MAX(1,ROUND('기준스탯 72종'!G66-U1474-AC1474,0))</x:f>
        <x:v>4</x:v>
      </x:c>
      <x:c r="N1474" s="2" t="n">
        <x:f>MAX(0,ROUND('기준스탯 72종'!H66-V1474-AD1474,0))</x:f>
        <x:v>2</x:v>
      </x:c>
      <x:c r="O1474" s="2" t="n">
        <x:f>MAX(0,ROUND('기준스탯 72종'!I66-W1474-AE1474,0))</x:f>
        <x:v>4</x:v>
      </x:c>
      <x:c r="P1474" s="2" t="n">
        <x:f>MAX(0,ROUND('기준스탯 72종'!J66-X1474-AF1474,0))</x:f>
        <x:v>1</x:v>
      </x:c>
      <x:c r="Q1474" s="2" t="n">
        <x:f>MAX(0,ROUND('기준스탯 72종'!K66-Y1474-AG1474,0))</x:f>
        <x:v>3</x:v>
      </x:c>
      <x:c r="R1474" s="15" t="n">
        <x:f>'기준스탯 72종'!D66*G1474</x:f>
        <x:v>3.3599999999999994</x:v>
      </x:c>
      <x:c r="S1474" s="15" t="n">
        <x:f>'기준스탯 72종'!E66*G1474</x:f>
        <x:v>2.9399999999999995</x:v>
      </x:c>
      <x:c r="T1474" s="15" t="n">
        <x:f>'기준스탯 72종'!F66*G1474</x:f>
        <x:v>3.3599999999999994</x:v>
      </x:c>
      <x:c r="U1474" s="15" t="n">
        <x:f>'기준스탯 72종'!G66*G1474</x:f>
        <x:v>2.9399999999999995</x:v>
      </x:c>
      <x:c r="V1474" s="15" t="n">
        <x:f>'기준스탯 72종'!H66*G1474</x:f>
        <x:v>1.2599999999999998</x:v>
      </x:c>
      <x:c r="W1474" s="15" t="n">
        <x:f>'기준스탯 72종'!I66*G1474</x:f>
        <x:v>2.9399999999999995</x:v>
      </x:c>
      <x:c r="X1474" s="15" t="n">
        <x:f>'기준스탯 72종'!J66*G1474</x:f>
        <x:v>0.41999999999999993</x:v>
      </x:c>
      <x:c r="Y1474" s="15" t="n">
        <x:f>'기준스탯 72종'!K66*G1474</x:f>
        <x:v>2.0999999999999996</x:v>
      </x:c>
      <x:c r="Z1474" s="15" t="n">
        <x:f>'기준스탯 72종'!D66*H1474</x:f>
        <x:v>0.4800000000000001</x:v>
      </x:c>
      <x:c r="AA1474" s="15" t="n">
        <x:f>'기준스탯 72종'!E66*H1474</x:f>
        <x:v>0.4200000000000001</x:v>
      </x:c>
      <x:c r="AB1474" s="15" t="n">
        <x:f>'기준스탯 72종'!F66*H1474</x:f>
        <x:v>0.4800000000000001</x:v>
      </x:c>
      <x:c r="AC1474" s="15" t="n">
        <x:f>'기준스탯 72종'!G66*H1474</x:f>
        <x:v>0.4200000000000001</x:v>
      </x:c>
      <x:c r="AD1474" s="15" t="n">
        <x:f>'기준스탯 72종'!H66*H1474</x:f>
        <x:v>0.18000000000000005</x:v>
      </x:c>
      <x:c r="AE1474" s="15" t="n">
        <x:f>'기준스탯 72종'!I66*H1474</x:f>
        <x:v>0.4200000000000001</x:v>
      </x:c>
      <x:c r="AF1474" s="15" t="n">
        <x:f>'기준스탯 72종'!J66*H1474</x:f>
        <x:v>0.06000000000000001</x:v>
      </x:c>
      <x:c r="AG1474" s="15" t="n">
        <x:f>'기준스탯 72종'!K66*H1474</x:f>
        <x:v>0.30000000000000004</x:v>
      </x:c>
    </x:row>
    <x:row r="1475" ht="28" customHeight="1">
      <x:c r="A1475" s="2" t="n">
        <x:v>1468</x:v>
      </x:c>
      <x:c r="B1475" s="2" t="n">
        <x:v>59</x:v>
      </x:c>
      <x:c r="C1475" s="2" t="str">
        <x:v>염소자리</x:v>
      </x:c>
      <x:c r="D1475" s="2" t="str">
        <x:v>도적</x:v>
      </x:c>
      <x:c r="E1475" s="2" t="n">
        <x:v>3</x:v>
      </x:c>
      <x:c r="F1475" s="2" t="n">
        <x:v>4</x:v>
      </x:c>
      <x:c r="G1475" s="14" t="n">
        <x:f>('레벨 계산식'!$E$4-E1475)*'레벨 계산식'!$B$5</x:f>
        <x:v>0.27999999999999997</x:v>
      </x:c>
      <x:c r="H1475" s="14" t="n">
        <x:f>('등급 계산식'!$E$4-F1475)*'등급 계산식'!$B$5</x:f>
        <x:v>0.06000000000000001</x:v>
      </x:c>
      <x:c r="I1475" s="14" t="n">
        <x:f>1-G1475-H1475</x:f>
        <x:v>0.6599999999999999</x:v>
      </x:c>
      <x:c r="J1475" s="2" t="n">
        <x:f>MAX(1,ROUND('기준스탯 72종'!D66-R1475-Z1475,0))</x:f>
        <x:v>5</x:v>
      </x:c>
      <x:c r="K1475" s="2" t="n">
        <x:f>MAX(1,ROUND('기준스탯 72종'!E66-S1475-AA1475,0))</x:f>
        <x:v>5</x:v>
      </x:c>
      <x:c r="L1475" s="2" t="n">
        <x:f>MAX(1,ROUND('기준스탯 72종'!F66-T1475-AB1475,0))</x:f>
        <x:v>5</x:v>
      </x:c>
      <x:c r="M1475" s="2" t="n">
        <x:f>MAX(1,ROUND('기준스탯 72종'!G66-U1475-AC1475,0))</x:f>
        <x:v>5</x:v>
      </x:c>
      <x:c r="N1475" s="2" t="n">
        <x:f>MAX(0,ROUND('기준스탯 72종'!H66-V1475-AD1475,0))</x:f>
        <x:v>2</x:v>
      </x:c>
      <x:c r="O1475" s="2" t="n">
        <x:f>MAX(0,ROUND('기준스탯 72종'!I66-W1475-AE1475,0))</x:f>
        <x:v>5</x:v>
      </x:c>
      <x:c r="P1475" s="2" t="n">
        <x:f>MAX(0,ROUND('기준스탯 72종'!J66-X1475-AF1475,0))</x:f>
        <x:v>1</x:v>
      </x:c>
      <x:c r="Q1475" s="2" t="n">
        <x:f>MAX(0,ROUND('기준스탯 72종'!K66-Y1475-AG1475,0))</x:f>
        <x:v>3</x:v>
      </x:c>
      <x:c r="R1475" s="15" t="n">
        <x:f>'기준스탯 72종'!D66*G1475</x:f>
        <x:v>2.2399999999999998</x:v>
      </x:c>
      <x:c r="S1475" s="15" t="n">
        <x:f>'기준스탯 72종'!E66*G1475</x:f>
        <x:v>1.9599999999999997</x:v>
      </x:c>
      <x:c r="T1475" s="15" t="n">
        <x:f>'기준스탯 72종'!F66*G1475</x:f>
        <x:v>2.2399999999999998</x:v>
      </x:c>
      <x:c r="U1475" s="15" t="n">
        <x:f>'기준스탯 72종'!G66*G1475</x:f>
        <x:v>1.9599999999999997</x:v>
      </x:c>
      <x:c r="V1475" s="15" t="n">
        <x:f>'기준스탯 72종'!H66*G1475</x:f>
        <x:v>0.8399999999999999</x:v>
      </x:c>
      <x:c r="W1475" s="15" t="n">
        <x:f>'기준스탯 72종'!I66*G1475</x:f>
        <x:v>1.9599999999999997</x:v>
      </x:c>
      <x:c r="X1475" s="15" t="n">
        <x:f>'기준스탯 72종'!J66*G1475</x:f>
        <x:v>0.27999999999999997</x:v>
      </x:c>
      <x:c r="Y1475" s="15" t="n">
        <x:f>'기준스탯 72종'!K66*G1475</x:f>
        <x:v>1.4</x:v>
      </x:c>
      <x:c r="Z1475" s="15" t="n">
        <x:f>'기준스탯 72종'!D66*H1475</x:f>
        <x:v>0.4800000000000001</x:v>
      </x:c>
      <x:c r="AA1475" s="15" t="n">
        <x:f>'기준스탯 72종'!E66*H1475</x:f>
        <x:v>0.4200000000000001</x:v>
      </x:c>
      <x:c r="AB1475" s="15" t="n">
        <x:f>'기준스탯 72종'!F66*H1475</x:f>
        <x:v>0.4800000000000001</x:v>
      </x:c>
      <x:c r="AC1475" s="15" t="n">
        <x:f>'기준스탯 72종'!G66*H1475</x:f>
        <x:v>0.4200000000000001</x:v>
      </x:c>
      <x:c r="AD1475" s="15" t="n">
        <x:f>'기준스탯 72종'!H66*H1475</x:f>
        <x:v>0.18000000000000005</x:v>
      </x:c>
      <x:c r="AE1475" s="15" t="n">
        <x:f>'기준스탯 72종'!I66*H1475</x:f>
        <x:v>0.4200000000000001</x:v>
      </x:c>
      <x:c r="AF1475" s="15" t="n">
        <x:f>'기준스탯 72종'!J66*H1475</x:f>
        <x:v>0.06000000000000001</x:v>
      </x:c>
      <x:c r="AG1475" s="15" t="n">
        <x:f>'기준스탯 72종'!K66*H1475</x:f>
        <x:v>0.30000000000000004</x:v>
      </x:c>
    </x:row>
    <x:row r="1476" ht="28" customHeight="1">
      <x:c r="A1476" s="2" t="n">
        <x:v>1469</x:v>
      </x:c>
      <x:c r="B1476" s="2" t="n">
        <x:v>59</x:v>
      </x:c>
      <x:c r="C1476" s="2" t="str">
        <x:v>염소자리</x:v>
      </x:c>
      <x:c r="D1476" s="2" t="str">
        <x:v>도적</x:v>
      </x:c>
      <x:c r="E1476" s="2" t="n">
        <x:v>4</x:v>
      </x:c>
      <x:c r="F1476" s="2" t="n">
        <x:v>4</x:v>
      </x:c>
      <x:c r="G1476" s="14" t="n">
        <x:f>('레벨 계산식'!$E$4-E1476)*'레벨 계산식'!$B$5</x:f>
        <x:v>0.13999999999999999</x:v>
      </x:c>
      <x:c r="H1476" s="14" t="n">
        <x:f>('등급 계산식'!$E$4-F1476)*'등급 계산식'!$B$5</x:f>
        <x:v>0.06000000000000001</x:v>
      </x:c>
      <x:c r="I1476" s="14" t="n">
        <x:f>1-G1476-H1476</x:f>
        <x:v>0.7999999999999999</x:v>
      </x:c>
      <x:c r="J1476" s="2" t="n">
        <x:f>MAX(1,ROUND('기준스탯 72종'!D66-R1476-Z1476,0))</x:f>
        <x:v>6</x:v>
      </x:c>
      <x:c r="K1476" s="2" t="n">
        <x:f>MAX(1,ROUND('기준스탯 72종'!E66-S1476-AA1476,0))</x:f>
        <x:v>6</x:v>
      </x:c>
      <x:c r="L1476" s="2" t="n">
        <x:f>MAX(1,ROUND('기준스탯 72종'!F66-T1476-AB1476,0))</x:f>
        <x:v>6</x:v>
      </x:c>
      <x:c r="M1476" s="2" t="n">
        <x:f>MAX(1,ROUND('기준스탯 72종'!G66-U1476-AC1476,0))</x:f>
        <x:v>6</x:v>
      </x:c>
      <x:c r="N1476" s="2" t="n">
        <x:f>MAX(0,ROUND('기준스탯 72종'!H66-V1476-AD1476,0))</x:f>
        <x:v>2</x:v>
      </x:c>
      <x:c r="O1476" s="2" t="n">
        <x:f>MAX(0,ROUND('기준스탯 72종'!I66-W1476-AE1476,0))</x:f>
        <x:v>6</x:v>
      </x:c>
      <x:c r="P1476" s="2" t="n">
        <x:f>MAX(0,ROUND('기준스탯 72종'!J66-X1476-AF1476,0))</x:f>
        <x:v>1</x:v>
      </x:c>
      <x:c r="Q1476" s="2" t="n">
        <x:f>MAX(0,ROUND('기준스탯 72종'!K66-Y1476-AG1476,0))</x:f>
        <x:v>4</x:v>
      </x:c>
      <x:c r="R1476" s="15" t="n">
        <x:f>'기준스탯 72종'!D66*G1476</x:f>
        <x:v>1.1199999999999999</x:v>
      </x:c>
      <x:c r="S1476" s="15" t="n">
        <x:f>'기준스탯 72종'!E66*G1476</x:f>
        <x:v>0.9799999999999999</x:v>
      </x:c>
      <x:c r="T1476" s="15" t="n">
        <x:f>'기준스탯 72종'!F66*G1476</x:f>
        <x:v>1.1199999999999999</x:v>
      </x:c>
      <x:c r="U1476" s="15" t="n">
        <x:f>'기준스탯 72종'!G66*G1476</x:f>
        <x:v>0.9799999999999999</x:v>
      </x:c>
      <x:c r="V1476" s="15" t="n">
        <x:f>'기준스탯 72종'!H66*G1476</x:f>
        <x:v>0.41999999999999993</x:v>
      </x:c>
      <x:c r="W1476" s="15" t="n">
        <x:f>'기준스탯 72종'!I66*G1476</x:f>
        <x:v>0.9799999999999999</x:v>
      </x:c>
      <x:c r="X1476" s="15" t="n">
        <x:f>'기준스탯 72종'!J66*G1476</x:f>
        <x:v>0.13999999999999999</x:v>
      </x:c>
      <x:c r="Y1476" s="15" t="n">
        <x:f>'기준스탯 72종'!K66*G1476</x:f>
        <x:v>0.7</x:v>
      </x:c>
      <x:c r="Z1476" s="15" t="n">
        <x:f>'기준스탯 72종'!D66*H1476</x:f>
        <x:v>0.4800000000000001</x:v>
      </x:c>
      <x:c r="AA1476" s="15" t="n">
        <x:f>'기준스탯 72종'!E66*H1476</x:f>
        <x:v>0.4200000000000001</x:v>
      </x:c>
      <x:c r="AB1476" s="15" t="n">
        <x:f>'기준스탯 72종'!F66*H1476</x:f>
        <x:v>0.4800000000000001</x:v>
      </x:c>
      <x:c r="AC1476" s="15" t="n">
        <x:f>'기준스탯 72종'!G66*H1476</x:f>
        <x:v>0.4200000000000001</x:v>
      </x:c>
      <x:c r="AD1476" s="15" t="n">
        <x:f>'기준스탯 72종'!H66*H1476</x:f>
        <x:v>0.18000000000000005</x:v>
      </x:c>
      <x:c r="AE1476" s="15" t="n">
        <x:f>'기준스탯 72종'!I66*H1476</x:f>
        <x:v>0.4200000000000001</x:v>
      </x:c>
      <x:c r="AF1476" s="15" t="n">
        <x:f>'기준스탯 72종'!J66*H1476</x:f>
        <x:v>0.06000000000000001</x:v>
      </x:c>
      <x:c r="AG1476" s="15" t="n">
        <x:f>'기준스탯 72종'!K66*H1476</x:f>
        <x:v>0.30000000000000004</x:v>
      </x:c>
    </x:row>
    <x:row r="1477" ht="28" customHeight="1">
      <x:c r="A1477" s="2" t="n">
        <x:v>1470</x:v>
      </x:c>
      <x:c r="B1477" s="2" t="n">
        <x:v>59</x:v>
      </x:c>
      <x:c r="C1477" s="2" t="str">
        <x:v>염소자리</x:v>
      </x:c>
      <x:c r="D1477" s="2" t="str">
        <x:v>도적</x:v>
      </x:c>
      <x:c r="E1477" s="2" t="n">
        <x:v>5</x:v>
      </x:c>
      <x:c r="F1477" s="2" t="n">
        <x:v>4</x:v>
      </x:c>
      <x:c r="G1477" s="14" t="n">
        <x:f>('레벨 계산식'!$E$4-E1477)*'레벨 계산식'!$B$5</x:f>
        <x:v>0</x:v>
      </x:c>
      <x:c r="H1477" s="14" t="n">
        <x:f>('등급 계산식'!$E$4-F1477)*'등급 계산식'!$B$5</x:f>
        <x:v>0.06000000000000001</x:v>
      </x:c>
      <x:c r="I1477" s="14" t="n">
        <x:f>1-G1477-H1477</x:f>
        <x:v>0.94</x:v>
      </x:c>
      <x:c r="J1477" s="2" t="n">
        <x:f>MAX(1,ROUND('기준스탯 72종'!D66-R1477-Z1477,0))</x:f>
        <x:v>8</x:v>
      </x:c>
      <x:c r="K1477" s="2" t="n">
        <x:f>MAX(1,ROUND('기준스탯 72종'!E66-S1477-AA1477,0))</x:f>
        <x:v>7</x:v>
      </x:c>
      <x:c r="L1477" s="2" t="n">
        <x:f>MAX(1,ROUND('기준스탯 72종'!F66-T1477-AB1477,0))</x:f>
        <x:v>8</x:v>
      </x:c>
      <x:c r="M1477" s="2" t="n">
        <x:f>MAX(1,ROUND('기준스탯 72종'!G66-U1477-AC1477,0))</x:f>
        <x:v>7</x:v>
      </x:c>
      <x:c r="N1477" s="2" t="n">
        <x:f>MAX(0,ROUND('기준스탯 72종'!H66-V1477-AD1477,0))</x:f>
        <x:v>3</x:v>
      </x:c>
      <x:c r="O1477" s="2" t="n">
        <x:f>MAX(0,ROUND('기준스탯 72종'!I66-W1477-AE1477,0))</x:f>
        <x:v>7</x:v>
      </x:c>
      <x:c r="P1477" s="2" t="n">
        <x:f>MAX(0,ROUND('기준스탯 72종'!J66-X1477-AF1477,0))</x:f>
        <x:v>1</x:v>
      </x:c>
      <x:c r="Q1477" s="2" t="n">
        <x:f>MAX(0,ROUND('기준스탯 72종'!K66-Y1477-AG1477,0))</x:f>
        <x:v>5</x:v>
      </x:c>
      <x:c r="R1477" s="15" t="n">
        <x:f>'기준스탯 72종'!D66*G1477</x:f>
        <x:v>0</x:v>
      </x:c>
      <x:c r="S1477" s="15" t="n">
        <x:f>'기준스탯 72종'!E66*G1477</x:f>
        <x:v>0</x:v>
      </x:c>
      <x:c r="T1477" s="15" t="n">
        <x:f>'기준스탯 72종'!F66*G1477</x:f>
        <x:v>0</x:v>
      </x:c>
      <x:c r="U1477" s="15" t="n">
        <x:f>'기준스탯 72종'!G66*G1477</x:f>
        <x:v>0</x:v>
      </x:c>
      <x:c r="V1477" s="15" t="n">
        <x:f>'기준스탯 72종'!H66*G1477</x:f>
        <x:v>0</x:v>
      </x:c>
      <x:c r="W1477" s="15" t="n">
        <x:f>'기준스탯 72종'!I66*G1477</x:f>
        <x:v>0</x:v>
      </x:c>
      <x:c r="X1477" s="15" t="n">
        <x:f>'기준스탯 72종'!J66*G1477</x:f>
        <x:v>0</x:v>
      </x:c>
      <x:c r="Y1477" s="15" t="n">
        <x:f>'기준스탯 72종'!K66*G1477</x:f>
        <x:v>0</x:v>
      </x:c>
      <x:c r="Z1477" s="15" t="n">
        <x:f>'기준스탯 72종'!D66*H1477</x:f>
        <x:v>0.4800000000000001</x:v>
      </x:c>
      <x:c r="AA1477" s="15" t="n">
        <x:f>'기준스탯 72종'!E66*H1477</x:f>
        <x:v>0.4200000000000001</x:v>
      </x:c>
      <x:c r="AB1477" s="15" t="n">
        <x:f>'기준스탯 72종'!F66*H1477</x:f>
        <x:v>0.4800000000000001</x:v>
      </x:c>
      <x:c r="AC1477" s="15" t="n">
        <x:f>'기준스탯 72종'!G66*H1477</x:f>
        <x:v>0.4200000000000001</x:v>
      </x:c>
      <x:c r="AD1477" s="15" t="n">
        <x:f>'기준스탯 72종'!H66*H1477</x:f>
        <x:v>0.18000000000000005</x:v>
      </x:c>
      <x:c r="AE1477" s="15" t="n">
        <x:f>'기준스탯 72종'!I66*H1477</x:f>
        <x:v>0.4200000000000001</x:v>
      </x:c>
      <x:c r="AF1477" s="15" t="n">
        <x:f>'기준스탯 72종'!J66*H1477</x:f>
        <x:v>0.06000000000000001</x:v>
      </x:c>
      <x:c r="AG1477" s="15" t="n">
        <x:f>'기준스탯 72종'!K66*H1477</x:f>
        <x:v>0.30000000000000004</x:v>
      </x:c>
    </x:row>
    <x:row r="1478" ht="28" customHeight="1">
      <x:c r="A1478" s="2" t="n">
        <x:v>1471</x:v>
      </x:c>
      <x:c r="B1478" s="2" t="n">
        <x:v>59</x:v>
      </x:c>
      <x:c r="C1478" s="2" t="str">
        <x:v>염소자리</x:v>
      </x:c>
      <x:c r="D1478" s="2" t="str">
        <x:v>도적</x:v>
      </x:c>
      <x:c r="E1478" s="2" t="n">
        <x:v>1</x:v>
      </x:c>
      <x:c r="F1478" s="2" t="n">
        <x:v>5</x:v>
      </x:c>
      <x:c r="G1478" s="14" t="n">
        <x:f>('레벨 계산식'!$E$4-E1478)*'레벨 계산식'!$B$5</x:f>
        <x:v>0.5599999999999999</x:v>
      </x:c>
      <x:c r="H1478" s="14" t="n">
        <x:f>('등급 계산식'!$E$4-F1478)*'등급 계산식'!$B$5</x:f>
        <x:v>0</x:v>
      </x:c>
      <x:c r="I1478" s="14" t="n">
        <x:f>1-G1478-H1478</x:f>
        <x:v>0.44000000000000006</x:v>
      </x:c>
      <x:c r="J1478" s="2" t="n">
        <x:f>MAX(1,ROUND('기준스탯 72종'!D66-R1478-Z1478,0))</x:f>
        <x:v>4</x:v>
      </x:c>
      <x:c r="K1478" s="2" t="n">
        <x:f>MAX(1,ROUND('기준스탯 72종'!E66-S1478-AA1478,0))</x:f>
        <x:v>3</x:v>
      </x:c>
      <x:c r="L1478" s="2" t="n">
        <x:f>MAX(1,ROUND('기준스탯 72종'!F66-T1478-AB1478,0))</x:f>
        <x:v>4</x:v>
      </x:c>
      <x:c r="M1478" s="2" t="n">
        <x:f>MAX(1,ROUND('기준스탯 72종'!G66-U1478-AC1478,0))</x:f>
        <x:v>3</x:v>
      </x:c>
      <x:c r="N1478" s="2" t="n">
        <x:f>MAX(0,ROUND('기준스탯 72종'!H66-V1478-AD1478,0))</x:f>
        <x:v>1</x:v>
      </x:c>
      <x:c r="O1478" s="2" t="n">
        <x:f>MAX(0,ROUND('기준스탯 72종'!I66-W1478-AE1478,0))</x:f>
        <x:v>3</x:v>
      </x:c>
      <x:c r="P1478" s="2" t="n">
        <x:f>MAX(0,ROUND('기준스탯 72종'!J66-X1478-AF1478,0))</x:f>
        <x:v>0</x:v>
      </x:c>
      <x:c r="Q1478" s="2" t="n">
        <x:f>MAX(0,ROUND('기준스탯 72종'!K66-Y1478-AG1478,0))</x:f>
        <x:v>2</x:v>
      </x:c>
      <x:c r="R1478" s="15" t="n">
        <x:f>'기준스탯 72종'!D66*G1478</x:f>
        <x:v>4.4799999999999995</x:v>
      </x:c>
      <x:c r="S1478" s="15" t="n">
        <x:f>'기준스탯 72종'!E66*G1478</x:f>
        <x:v>3.9199999999999995</x:v>
      </x:c>
      <x:c r="T1478" s="15" t="n">
        <x:f>'기준스탯 72종'!F66*G1478</x:f>
        <x:v>4.4799999999999995</x:v>
      </x:c>
      <x:c r="U1478" s="15" t="n">
        <x:f>'기준스탯 72종'!G66*G1478</x:f>
        <x:v>3.9199999999999995</x:v>
      </x:c>
      <x:c r="V1478" s="15" t="n">
        <x:f>'기준스탯 72종'!H66*G1478</x:f>
        <x:v>1.6799999999999997</x:v>
      </x:c>
      <x:c r="W1478" s="15" t="n">
        <x:f>'기준스탯 72종'!I66*G1478</x:f>
        <x:v>3.9199999999999995</x:v>
      </x:c>
      <x:c r="X1478" s="15" t="n">
        <x:f>'기준스탯 72종'!J66*G1478</x:f>
        <x:v>0.5599999999999999</x:v>
      </x:c>
      <x:c r="Y1478" s="15" t="n">
        <x:f>'기준스탯 72종'!K66*G1478</x:f>
        <x:v>2.8</x:v>
      </x:c>
      <x:c r="Z1478" s="15" t="n">
        <x:f>'기준스탯 72종'!D66*H1478</x:f>
        <x:v>0</x:v>
      </x:c>
      <x:c r="AA1478" s="15" t="n">
        <x:f>'기준스탯 72종'!E66*H1478</x:f>
        <x:v>0</x:v>
      </x:c>
      <x:c r="AB1478" s="15" t="n">
        <x:f>'기준스탯 72종'!F66*H1478</x:f>
        <x:v>0</x:v>
      </x:c>
      <x:c r="AC1478" s="15" t="n">
        <x:f>'기준스탯 72종'!G66*H1478</x:f>
        <x:v>0</x:v>
      </x:c>
      <x:c r="AD1478" s="15" t="n">
        <x:f>'기준스탯 72종'!H66*H1478</x:f>
        <x:v>0</x:v>
      </x:c>
      <x:c r="AE1478" s="15" t="n">
        <x:f>'기준스탯 72종'!I66*H1478</x:f>
        <x:v>0</x:v>
      </x:c>
      <x:c r="AF1478" s="15" t="n">
        <x:f>'기준스탯 72종'!J66*H1478</x:f>
        <x:v>0</x:v>
      </x:c>
      <x:c r="AG1478" s="15" t="n">
        <x:f>'기준스탯 72종'!K66*H1478</x:f>
        <x:v>0</x:v>
      </x:c>
    </x:row>
    <x:row r="1479" ht="28" customHeight="1">
      <x:c r="A1479" s="2" t="n">
        <x:v>1472</x:v>
      </x:c>
      <x:c r="B1479" s="2" t="n">
        <x:v>59</x:v>
      </x:c>
      <x:c r="C1479" s="2" t="str">
        <x:v>염소자리</x:v>
      </x:c>
      <x:c r="D1479" s="2" t="str">
        <x:v>도적</x:v>
      </x:c>
      <x:c r="E1479" s="2" t="n">
        <x:v>2</x:v>
      </x:c>
      <x:c r="F1479" s="2" t="n">
        <x:v>5</x:v>
      </x:c>
      <x:c r="G1479" s="14" t="n">
        <x:f>('레벨 계산식'!$E$4-E1479)*'레벨 계산식'!$B$5</x:f>
        <x:v>0.41999999999999993</x:v>
      </x:c>
      <x:c r="H1479" s="14" t="n">
        <x:f>('등급 계산식'!$E$4-F1479)*'등급 계산식'!$B$5</x:f>
        <x:v>0</x:v>
      </x:c>
      <x:c r="I1479" s="14" t="n">
        <x:f>1-G1479-H1479</x:f>
        <x:v>0.5800000000000001</x:v>
      </x:c>
      <x:c r="J1479" s="2" t="n">
        <x:f>MAX(1,ROUND('기준스탯 72종'!D66-R1479-Z1479,0))</x:f>
        <x:v>5</x:v>
      </x:c>
      <x:c r="K1479" s="2" t="n">
        <x:f>MAX(1,ROUND('기준스탯 72종'!E66-S1479-AA1479,0))</x:f>
        <x:v>4</x:v>
      </x:c>
      <x:c r="L1479" s="2" t="n">
        <x:f>MAX(1,ROUND('기준스탯 72종'!F66-T1479-AB1479,0))</x:f>
        <x:v>5</x:v>
      </x:c>
      <x:c r="M1479" s="2" t="n">
        <x:f>MAX(1,ROUND('기준스탯 72종'!G66-U1479-AC1479,0))</x:f>
        <x:v>4</x:v>
      </x:c>
      <x:c r="N1479" s="2" t="n">
        <x:f>MAX(0,ROUND('기준스탯 72종'!H66-V1479-AD1479,0))</x:f>
        <x:v>2</x:v>
      </x:c>
      <x:c r="O1479" s="2" t="n">
        <x:f>MAX(0,ROUND('기준스탯 72종'!I66-W1479-AE1479,0))</x:f>
        <x:v>4</x:v>
      </x:c>
      <x:c r="P1479" s="2" t="n">
        <x:f>MAX(0,ROUND('기준스탯 72종'!J66-X1479-AF1479,0))</x:f>
        <x:v>1</x:v>
      </x:c>
      <x:c r="Q1479" s="2" t="n">
        <x:f>MAX(0,ROUND('기준스탯 72종'!K66-Y1479-AG1479,0))</x:f>
        <x:v>3</x:v>
      </x:c>
      <x:c r="R1479" s="15" t="n">
        <x:f>'기준스탯 72종'!D66*G1479</x:f>
        <x:v>3.3599999999999994</x:v>
      </x:c>
      <x:c r="S1479" s="15" t="n">
        <x:f>'기준스탯 72종'!E66*G1479</x:f>
        <x:v>2.9399999999999995</x:v>
      </x:c>
      <x:c r="T1479" s="15" t="n">
        <x:f>'기준스탯 72종'!F66*G1479</x:f>
        <x:v>3.3599999999999994</x:v>
      </x:c>
      <x:c r="U1479" s="15" t="n">
        <x:f>'기준스탯 72종'!G66*G1479</x:f>
        <x:v>2.9399999999999995</x:v>
      </x:c>
      <x:c r="V1479" s="15" t="n">
        <x:f>'기준스탯 72종'!H66*G1479</x:f>
        <x:v>1.2599999999999998</x:v>
      </x:c>
      <x:c r="W1479" s="15" t="n">
        <x:f>'기준스탯 72종'!I66*G1479</x:f>
        <x:v>2.9399999999999995</x:v>
      </x:c>
      <x:c r="X1479" s="15" t="n">
        <x:f>'기준스탯 72종'!J66*G1479</x:f>
        <x:v>0.41999999999999993</x:v>
      </x:c>
      <x:c r="Y1479" s="15" t="n">
        <x:f>'기준스탯 72종'!K66*G1479</x:f>
        <x:v>2.0999999999999996</x:v>
      </x:c>
      <x:c r="Z1479" s="15" t="n">
        <x:f>'기준스탯 72종'!D66*H1479</x:f>
        <x:v>0</x:v>
      </x:c>
      <x:c r="AA1479" s="15" t="n">
        <x:f>'기준스탯 72종'!E66*H1479</x:f>
        <x:v>0</x:v>
      </x:c>
      <x:c r="AB1479" s="15" t="n">
        <x:f>'기준스탯 72종'!F66*H1479</x:f>
        <x:v>0</x:v>
      </x:c>
      <x:c r="AC1479" s="15" t="n">
        <x:f>'기준스탯 72종'!G66*H1479</x:f>
        <x:v>0</x:v>
      </x:c>
      <x:c r="AD1479" s="15" t="n">
        <x:f>'기준스탯 72종'!H66*H1479</x:f>
        <x:v>0</x:v>
      </x:c>
      <x:c r="AE1479" s="15" t="n">
        <x:f>'기준스탯 72종'!I66*H1479</x:f>
        <x:v>0</x:v>
      </x:c>
      <x:c r="AF1479" s="15" t="n">
        <x:f>'기준스탯 72종'!J66*H1479</x:f>
        <x:v>0</x:v>
      </x:c>
      <x:c r="AG1479" s="15" t="n">
        <x:f>'기준스탯 72종'!K66*H1479</x:f>
        <x:v>0</x:v>
      </x:c>
    </x:row>
    <x:row r="1480" ht="28" customHeight="1">
      <x:c r="A1480" s="2" t="n">
        <x:v>1473</x:v>
      </x:c>
      <x:c r="B1480" s="2" t="n">
        <x:v>59</x:v>
      </x:c>
      <x:c r="C1480" s="2" t="str">
        <x:v>염소자리</x:v>
      </x:c>
      <x:c r="D1480" s="2" t="str">
        <x:v>도적</x:v>
      </x:c>
      <x:c r="E1480" s="2" t="n">
        <x:v>3</x:v>
      </x:c>
      <x:c r="F1480" s="2" t="n">
        <x:v>5</x:v>
      </x:c>
      <x:c r="G1480" s="14" t="n">
        <x:f>('레벨 계산식'!$E$4-E1480)*'레벨 계산식'!$B$5</x:f>
        <x:v>0.27999999999999997</x:v>
      </x:c>
      <x:c r="H1480" s="14" t="n">
        <x:f>('등급 계산식'!$E$4-F1480)*'등급 계산식'!$B$5</x:f>
        <x:v>0</x:v>
      </x:c>
      <x:c r="I1480" s="14" t="n">
        <x:f>1-G1480-H1480</x:f>
        <x:v>0.72</x:v>
      </x:c>
      <x:c r="J1480" s="2" t="n">
        <x:f>MAX(1,ROUND('기준스탯 72종'!D66-R1480-Z1480,0))</x:f>
        <x:v>6</x:v>
      </x:c>
      <x:c r="K1480" s="2" t="n">
        <x:f>MAX(1,ROUND('기준스탯 72종'!E66-S1480-AA1480,0))</x:f>
        <x:v>5</x:v>
      </x:c>
      <x:c r="L1480" s="2" t="n">
        <x:f>MAX(1,ROUND('기준스탯 72종'!F66-T1480-AB1480,0))</x:f>
        <x:v>6</x:v>
      </x:c>
      <x:c r="M1480" s="2" t="n">
        <x:f>MAX(1,ROUND('기준스탯 72종'!G66-U1480-AC1480,0))</x:f>
        <x:v>5</x:v>
      </x:c>
      <x:c r="N1480" s="2" t="n">
        <x:f>MAX(0,ROUND('기준스탯 72종'!H66-V1480-AD1480,0))</x:f>
        <x:v>2</x:v>
      </x:c>
      <x:c r="O1480" s="2" t="n">
        <x:f>MAX(0,ROUND('기준스탯 72종'!I66-W1480-AE1480,0))</x:f>
        <x:v>5</x:v>
      </x:c>
      <x:c r="P1480" s="2" t="n">
        <x:f>MAX(0,ROUND('기준스탯 72종'!J66-X1480-AF1480,0))</x:f>
        <x:v>1</x:v>
      </x:c>
      <x:c r="Q1480" s="2" t="n">
        <x:f>MAX(0,ROUND('기준스탯 72종'!K66-Y1480-AG1480,0))</x:f>
        <x:v>4</x:v>
      </x:c>
      <x:c r="R1480" s="15" t="n">
        <x:f>'기준스탯 72종'!D66*G1480</x:f>
        <x:v>2.2399999999999998</x:v>
      </x:c>
      <x:c r="S1480" s="15" t="n">
        <x:f>'기준스탯 72종'!E66*G1480</x:f>
        <x:v>1.9599999999999997</x:v>
      </x:c>
      <x:c r="T1480" s="15" t="n">
        <x:f>'기준스탯 72종'!F66*G1480</x:f>
        <x:v>2.2399999999999998</x:v>
      </x:c>
      <x:c r="U1480" s="15" t="n">
        <x:f>'기준스탯 72종'!G66*G1480</x:f>
        <x:v>1.9599999999999997</x:v>
      </x:c>
      <x:c r="V1480" s="15" t="n">
        <x:f>'기준스탯 72종'!H66*G1480</x:f>
        <x:v>0.8399999999999999</x:v>
      </x:c>
      <x:c r="W1480" s="15" t="n">
        <x:f>'기준스탯 72종'!I66*G1480</x:f>
        <x:v>1.9599999999999997</x:v>
      </x:c>
      <x:c r="X1480" s="15" t="n">
        <x:f>'기준스탯 72종'!J66*G1480</x:f>
        <x:v>0.27999999999999997</x:v>
      </x:c>
      <x:c r="Y1480" s="15" t="n">
        <x:f>'기준스탯 72종'!K66*G1480</x:f>
        <x:v>1.4</x:v>
      </x:c>
      <x:c r="Z1480" s="15" t="n">
        <x:f>'기준스탯 72종'!D66*H1480</x:f>
        <x:v>0</x:v>
      </x:c>
      <x:c r="AA1480" s="15" t="n">
        <x:f>'기준스탯 72종'!E66*H1480</x:f>
        <x:v>0</x:v>
      </x:c>
      <x:c r="AB1480" s="15" t="n">
        <x:f>'기준스탯 72종'!F66*H1480</x:f>
        <x:v>0</x:v>
      </x:c>
      <x:c r="AC1480" s="15" t="n">
        <x:f>'기준스탯 72종'!G66*H1480</x:f>
        <x:v>0</x:v>
      </x:c>
      <x:c r="AD1480" s="15" t="n">
        <x:f>'기준스탯 72종'!H66*H1480</x:f>
        <x:v>0</x:v>
      </x:c>
      <x:c r="AE1480" s="15" t="n">
        <x:f>'기준스탯 72종'!I66*H1480</x:f>
        <x:v>0</x:v>
      </x:c>
      <x:c r="AF1480" s="15" t="n">
        <x:f>'기준스탯 72종'!J66*H1480</x:f>
        <x:v>0</x:v>
      </x:c>
      <x:c r="AG1480" s="15" t="n">
        <x:f>'기준스탯 72종'!K66*H1480</x:f>
        <x:v>0</x:v>
      </x:c>
    </x:row>
    <x:row r="1481" ht="28" customHeight="1">
      <x:c r="A1481" s="2" t="n">
        <x:v>1474</x:v>
      </x:c>
      <x:c r="B1481" s="2" t="n">
        <x:v>59</x:v>
      </x:c>
      <x:c r="C1481" s="2" t="str">
        <x:v>염소자리</x:v>
      </x:c>
      <x:c r="D1481" s="2" t="str">
        <x:v>도적</x:v>
      </x:c>
      <x:c r="E1481" s="2" t="n">
        <x:v>4</x:v>
      </x:c>
      <x:c r="F1481" s="2" t="n">
        <x:v>5</x:v>
      </x:c>
      <x:c r="G1481" s="14" t="n">
        <x:f>('레벨 계산식'!$E$4-E1481)*'레벨 계산식'!$B$5</x:f>
        <x:v>0.13999999999999999</x:v>
      </x:c>
      <x:c r="H1481" s="14" t="n">
        <x:f>('등급 계산식'!$E$4-F1481)*'등급 계산식'!$B$5</x:f>
        <x:v>0</x:v>
      </x:c>
      <x:c r="I1481" s="14" t="n">
        <x:f>1-G1481-H1481</x:f>
        <x:v>0.86</x:v>
      </x:c>
      <x:c r="J1481" s="2" t="n">
        <x:f>MAX(1,ROUND('기준스탯 72종'!D66-R1481-Z1481,0))</x:f>
        <x:v>7</x:v>
      </x:c>
      <x:c r="K1481" s="2" t="n">
        <x:f>MAX(1,ROUND('기준스탯 72종'!E66-S1481-AA1481,0))</x:f>
        <x:v>6</x:v>
      </x:c>
      <x:c r="L1481" s="2" t="n">
        <x:f>MAX(1,ROUND('기준스탯 72종'!F66-T1481-AB1481,0))</x:f>
        <x:v>7</x:v>
      </x:c>
      <x:c r="M1481" s="2" t="n">
        <x:f>MAX(1,ROUND('기준스탯 72종'!G66-U1481-AC1481,0))</x:f>
        <x:v>6</x:v>
      </x:c>
      <x:c r="N1481" s="2" t="n">
        <x:f>MAX(0,ROUND('기준스탯 72종'!H66-V1481-AD1481,0))</x:f>
        <x:v>3</x:v>
      </x:c>
      <x:c r="O1481" s="2" t="n">
        <x:f>MAX(0,ROUND('기준스탯 72종'!I66-W1481-AE1481,0))</x:f>
        <x:v>6</x:v>
      </x:c>
      <x:c r="P1481" s="2" t="n">
        <x:f>MAX(0,ROUND('기준스탯 72종'!J66-X1481-AF1481,0))</x:f>
        <x:v>1</x:v>
      </x:c>
      <x:c r="Q1481" s="2" t="n">
        <x:f>MAX(0,ROUND('기준스탯 72종'!K66-Y1481-AG1481,0))</x:f>
        <x:v>4</x:v>
      </x:c>
      <x:c r="R1481" s="15" t="n">
        <x:f>'기준스탯 72종'!D66*G1481</x:f>
        <x:v>1.1199999999999999</x:v>
      </x:c>
      <x:c r="S1481" s="15" t="n">
        <x:f>'기준스탯 72종'!E66*G1481</x:f>
        <x:v>0.9799999999999999</x:v>
      </x:c>
      <x:c r="T1481" s="15" t="n">
        <x:f>'기준스탯 72종'!F66*G1481</x:f>
        <x:v>1.1199999999999999</x:v>
      </x:c>
      <x:c r="U1481" s="15" t="n">
        <x:f>'기준스탯 72종'!G66*G1481</x:f>
        <x:v>0.9799999999999999</x:v>
      </x:c>
      <x:c r="V1481" s="15" t="n">
        <x:f>'기준스탯 72종'!H66*G1481</x:f>
        <x:v>0.41999999999999993</x:v>
      </x:c>
      <x:c r="W1481" s="15" t="n">
        <x:f>'기준스탯 72종'!I66*G1481</x:f>
        <x:v>0.9799999999999999</x:v>
      </x:c>
      <x:c r="X1481" s="15" t="n">
        <x:f>'기준스탯 72종'!J66*G1481</x:f>
        <x:v>0.13999999999999999</x:v>
      </x:c>
      <x:c r="Y1481" s="15" t="n">
        <x:f>'기준스탯 72종'!K66*G1481</x:f>
        <x:v>0.7</x:v>
      </x:c>
      <x:c r="Z1481" s="15" t="n">
        <x:f>'기준스탯 72종'!D66*H1481</x:f>
        <x:v>0</x:v>
      </x:c>
      <x:c r="AA1481" s="15" t="n">
        <x:f>'기준스탯 72종'!E66*H1481</x:f>
        <x:v>0</x:v>
      </x:c>
      <x:c r="AB1481" s="15" t="n">
        <x:f>'기준스탯 72종'!F66*H1481</x:f>
        <x:v>0</x:v>
      </x:c>
      <x:c r="AC1481" s="15" t="n">
        <x:f>'기준스탯 72종'!G66*H1481</x:f>
        <x:v>0</x:v>
      </x:c>
      <x:c r="AD1481" s="15" t="n">
        <x:f>'기준스탯 72종'!H66*H1481</x:f>
        <x:v>0</x:v>
      </x:c>
      <x:c r="AE1481" s="15" t="n">
        <x:f>'기준스탯 72종'!I66*H1481</x:f>
        <x:v>0</x:v>
      </x:c>
      <x:c r="AF1481" s="15" t="n">
        <x:f>'기준스탯 72종'!J66*H1481</x:f>
        <x:v>0</x:v>
      </x:c>
      <x:c r="AG1481" s="15" t="n">
        <x:f>'기준스탯 72종'!K66*H1481</x:f>
        <x:v>0</x:v>
      </x:c>
    </x:row>
    <x:row r="1482" ht="28" customHeight="1">
      <x:c r="A1482" s="2" t="n">
        <x:v>1475</x:v>
      </x:c>
      <x:c r="B1482" s="2" t="n">
        <x:v>59</x:v>
      </x:c>
      <x:c r="C1482" s="2" t="str">
        <x:v>염소자리</x:v>
      </x:c>
      <x:c r="D1482" s="2" t="str">
        <x:v>도적</x:v>
      </x:c>
      <x:c r="E1482" s="2" t="n">
        <x:v>5</x:v>
      </x:c>
      <x:c r="F1482" s="2" t="n">
        <x:v>5</x:v>
      </x:c>
      <x:c r="G1482" s="14" t="n">
        <x:f>('레벨 계산식'!$E$4-E1482)*'레벨 계산식'!$B$5</x:f>
        <x:v>0</x:v>
      </x:c>
      <x:c r="H1482" s="14" t="n">
        <x:f>('등급 계산식'!$E$4-F1482)*'등급 계산식'!$B$5</x:f>
        <x:v>0</x:v>
      </x:c>
      <x:c r="I1482" s="14" t="n">
        <x:f>1-G1482-H1482</x:f>
        <x:v>1</x:v>
      </x:c>
      <x:c r="J1482" s="2" t="n">
        <x:f>MAX(1,ROUND('기준스탯 72종'!D66-R1482-Z1482,0))</x:f>
        <x:v>8</x:v>
      </x:c>
      <x:c r="K1482" s="2" t="n">
        <x:f>MAX(1,ROUND('기준스탯 72종'!E66-S1482-AA1482,0))</x:f>
        <x:v>7</x:v>
      </x:c>
      <x:c r="L1482" s="2" t="n">
        <x:f>MAX(1,ROUND('기준스탯 72종'!F66-T1482-AB1482,0))</x:f>
        <x:v>8</x:v>
      </x:c>
      <x:c r="M1482" s="2" t="n">
        <x:f>MAX(1,ROUND('기준스탯 72종'!G66-U1482-AC1482,0))</x:f>
        <x:v>7</x:v>
      </x:c>
      <x:c r="N1482" s="2" t="n">
        <x:f>MAX(0,ROUND('기준스탯 72종'!H66-V1482-AD1482,0))</x:f>
        <x:v>3</x:v>
      </x:c>
      <x:c r="O1482" s="2" t="n">
        <x:f>MAX(0,ROUND('기준스탯 72종'!I66-W1482-AE1482,0))</x:f>
        <x:v>7</x:v>
      </x:c>
      <x:c r="P1482" s="2" t="n">
        <x:f>MAX(0,ROUND('기준스탯 72종'!J66-X1482-AF1482,0))</x:f>
        <x:v>1</x:v>
      </x:c>
      <x:c r="Q1482" s="2" t="n">
        <x:f>MAX(0,ROUND('기준스탯 72종'!K66-Y1482-AG1482,0))</x:f>
        <x:v>5</x:v>
      </x:c>
      <x:c r="R1482" s="15" t="n">
        <x:f>'기준스탯 72종'!D66*G1482</x:f>
        <x:v>0</x:v>
      </x:c>
      <x:c r="S1482" s="15" t="n">
        <x:f>'기준스탯 72종'!E66*G1482</x:f>
        <x:v>0</x:v>
      </x:c>
      <x:c r="T1482" s="15" t="n">
        <x:f>'기준스탯 72종'!F66*G1482</x:f>
        <x:v>0</x:v>
      </x:c>
      <x:c r="U1482" s="15" t="n">
        <x:f>'기준스탯 72종'!G66*G1482</x:f>
        <x:v>0</x:v>
      </x:c>
      <x:c r="V1482" s="15" t="n">
        <x:f>'기준스탯 72종'!H66*G1482</x:f>
        <x:v>0</x:v>
      </x:c>
      <x:c r="W1482" s="15" t="n">
        <x:f>'기준스탯 72종'!I66*G1482</x:f>
        <x:v>0</x:v>
      </x:c>
      <x:c r="X1482" s="15" t="n">
        <x:f>'기준스탯 72종'!J66*G1482</x:f>
        <x:v>0</x:v>
      </x:c>
      <x:c r="Y1482" s="15" t="n">
        <x:f>'기준스탯 72종'!K66*G1482</x:f>
        <x:v>0</x:v>
      </x:c>
      <x:c r="Z1482" s="15" t="n">
        <x:f>'기준스탯 72종'!D66*H1482</x:f>
        <x:v>0</x:v>
      </x:c>
      <x:c r="AA1482" s="15" t="n">
        <x:f>'기준스탯 72종'!E66*H1482</x:f>
        <x:v>0</x:v>
      </x:c>
      <x:c r="AB1482" s="15" t="n">
        <x:f>'기준스탯 72종'!F66*H1482</x:f>
        <x:v>0</x:v>
      </x:c>
      <x:c r="AC1482" s="15" t="n">
        <x:f>'기준스탯 72종'!G66*H1482</x:f>
        <x:v>0</x:v>
      </x:c>
      <x:c r="AD1482" s="15" t="n">
        <x:f>'기준스탯 72종'!H66*H1482</x:f>
        <x:v>0</x:v>
      </x:c>
      <x:c r="AE1482" s="15" t="n">
        <x:f>'기준스탯 72종'!I66*H1482</x:f>
        <x:v>0</x:v>
      </x:c>
      <x:c r="AF1482" s="15" t="n">
        <x:f>'기준스탯 72종'!J66*H1482</x:f>
        <x:v>0</x:v>
      </x:c>
      <x:c r="AG1482" s="15" t="n">
        <x:f>'기준스탯 72종'!K66*H1482</x:f>
        <x:v>0</x:v>
      </x:c>
    </x:row>
    <x:row r="1483" ht="28" customHeight="1">
      <x:c r="A1483" s="2" t="n">
        <x:v>1476</x:v>
      </x:c>
      <x:c r="B1483" s="2" t="n">
        <x:v>60</x:v>
      </x:c>
      <x:c r="C1483" s="2" t="str">
        <x:v>염소자리</x:v>
      </x:c>
      <x:c r="D1483" s="2" t="str">
        <x:v>전사</x:v>
      </x:c>
      <x:c r="E1483" s="2" t="n">
        <x:v>1</x:v>
      </x:c>
      <x:c r="F1483" s="2" t="n">
        <x:v>1</x:v>
      </x:c>
      <x:c r="G1483" s="14" t="n">
        <x:f>('레벨 계산식'!$E$4-E1483)*'레벨 계산식'!$B$5</x:f>
        <x:v>0.5599999999999999</x:v>
      </x:c>
      <x:c r="H1483" s="14" t="n">
        <x:f>('등급 계산식'!$E$4-F1483)*'등급 계산식'!$B$5</x:f>
        <x:v>0.24000000000000005</x:v>
      </x:c>
      <x:c r="I1483" s="14" t="n">
        <x:f>1-G1483-H1483</x:f>
        <x:v>0.2</x:v>
      </x:c>
      <x:c r="J1483" s="2" t="n">
        <x:f>MAX(1,ROUND('기준스탯 72종'!D67-R1483-Z1483,0))</x:f>
        <x:v>2</x:v>
      </x:c>
      <x:c r="K1483" s="2" t="n">
        <x:f>MAX(1,ROUND('기준스탯 72종'!E67-S1483-AA1483,0))</x:f>
        <x:v>2</x:v>
      </x:c>
      <x:c r="L1483" s="2" t="n">
        <x:f>MAX(1,ROUND('기준스탯 72종'!F67-T1483-AB1483,0))</x:f>
        <x:v>2</x:v>
      </x:c>
      <x:c r="M1483" s="2" t="n">
        <x:f>MAX(1,ROUND('기준스탯 72종'!G67-U1483-AC1483,0))</x:f>
        <x:v>1</x:v>
      </x:c>
      <x:c r="N1483" s="2" t="n">
        <x:f>MAX(0,ROUND('기준스탯 72종'!H67-V1483-AD1483,0))</x:f>
        <x:v>0</x:v>
      </x:c>
      <x:c r="O1483" s="2" t="n">
        <x:f>MAX(0,ROUND('기준스탯 72종'!I67-W1483-AE1483,0))</x:f>
        <x:v>1</x:v>
      </x:c>
      <x:c r="P1483" s="2" t="n">
        <x:f>MAX(0,ROUND('기준스탯 72종'!J67-X1483-AF1483,0))</x:f>
        <x:v>0</x:v>
      </x:c>
      <x:c r="Q1483" s="2" t="n">
        <x:f>MAX(0,ROUND('기준스탯 72종'!K67-Y1483-AG1483,0))</x:f>
        <x:v>1</x:v>
      </x:c>
      <x:c r="R1483" s="15" t="n">
        <x:f>'기준스탯 72종'!D67*G1483</x:f>
        <x:v>4.4799999999999995</x:v>
      </x:c>
      <x:c r="S1483" s="15" t="n">
        <x:f>'기준스탯 72종'!E67*G1483</x:f>
        <x:v>4.4799999999999995</x:v>
      </x:c>
      <x:c r="T1483" s="15" t="n">
        <x:f>'기준스탯 72종'!F67*G1483</x:f>
        <x:v>5.039999999999999</x:v>
      </x:c>
      <x:c r="U1483" s="15" t="n">
        <x:f>'기준스탯 72종'!G67*G1483</x:f>
        <x:v>3.3599999999999994</x:v>
      </x:c>
      <x:c r="V1483" s="15" t="n">
        <x:f>'기준스탯 72종'!H67*G1483</x:f>
        <x:v>1.1199999999999999</x:v>
      </x:c>
      <x:c r="W1483" s="15" t="n">
        <x:f>'기준스탯 72종'!I67*G1483</x:f>
        <x:v>3.9199999999999995</x:v>
      </x:c>
      <x:c r="X1483" s="15" t="n">
        <x:f>'기준스탯 72종'!J67*G1483</x:f>
        <x:v>0.5599999999999999</x:v>
      </x:c>
      <x:c r="Y1483" s="15" t="n">
        <x:f>'기준스탯 72종'!K67*G1483</x:f>
        <x:v>3.3599999999999994</x:v>
      </x:c>
      <x:c r="Z1483" s="15" t="n">
        <x:f>'기준스탯 72종'!D67*H1483</x:f>
        <x:v>1.9200000000000004</x:v>
      </x:c>
      <x:c r="AA1483" s="15" t="n">
        <x:f>'기준스탯 72종'!E67*H1483</x:f>
        <x:v>1.9200000000000004</x:v>
      </x:c>
      <x:c r="AB1483" s="15" t="n">
        <x:f>'기준스탯 72종'!F67*H1483</x:f>
        <x:v>2.1600000000000006</x:v>
      </x:c>
      <x:c r="AC1483" s="15" t="n">
        <x:f>'기준스탯 72종'!G67*H1483</x:f>
        <x:v>1.4400000000000004</x:v>
      </x:c>
      <x:c r="AD1483" s="15" t="n">
        <x:f>'기준스탯 72종'!H67*H1483</x:f>
        <x:v>0.4800000000000001</x:v>
      </x:c>
      <x:c r="AE1483" s="15" t="n">
        <x:f>'기준스탯 72종'!I67*H1483</x:f>
        <x:v>1.6800000000000004</x:v>
      </x:c>
      <x:c r="AF1483" s="15" t="n">
        <x:f>'기준스탯 72종'!J67*H1483</x:f>
        <x:v>0.24000000000000005</x:v>
      </x:c>
      <x:c r="AG1483" s="15" t="n">
        <x:f>'기준스탯 72종'!K67*H1483</x:f>
        <x:v>1.4400000000000004</x:v>
      </x:c>
    </x:row>
    <x:row r="1484" ht="28" customHeight="1">
      <x:c r="A1484" s="2" t="n">
        <x:v>1477</x:v>
      </x:c>
      <x:c r="B1484" s="2" t="n">
        <x:v>60</x:v>
      </x:c>
      <x:c r="C1484" s="2" t="str">
        <x:v>염소자리</x:v>
      </x:c>
      <x:c r="D1484" s="2" t="str">
        <x:v>전사</x:v>
      </x:c>
      <x:c r="E1484" s="2" t="n">
        <x:v>2</x:v>
      </x:c>
      <x:c r="F1484" s="2" t="n">
        <x:v>1</x:v>
      </x:c>
      <x:c r="G1484" s="14" t="n">
        <x:f>('레벨 계산식'!$E$4-E1484)*'레벨 계산식'!$B$5</x:f>
        <x:v>0.41999999999999993</x:v>
      </x:c>
      <x:c r="H1484" s="14" t="n">
        <x:f>('등급 계산식'!$E$4-F1484)*'등급 계산식'!$B$5</x:f>
        <x:v>0.24000000000000005</x:v>
      </x:c>
      <x:c r="I1484" s="14" t="n">
        <x:f>1-G1484-H1484</x:f>
        <x:v>0.34</x:v>
      </x:c>
      <x:c r="J1484" s="2" t="n">
        <x:f>MAX(1,ROUND('기준스탯 72종'!D67-R1484-Z1484,0))</x:f>
        <x:v>3</x:v>
      </x:c>
      <x:c r="K1484" s="2" t="n">
        <x:f>MAX(1,ROUND('기준스탯 72종'!E67-S1484-AA1484,0))</x:f>
        <x:v>3</x:v>
      </x:c>
      <x:c r="L1484" s="2" t="n">
        <x:f>MAX(1,ROUND('기준스탯 72종'!F67-T1484-AB1484,0))</x:f>
        <x:v>3</x:v>
      </x:c>
      <x:c r="M1484" s="2" t="n">
        <x:f>MAX(1,ROUND('기준스탯 72종'!G67-U1484-AC1484,0))</x:f>
        <x:v>2</x:v>
      </x:c>
      <x:c r="N1484" s="2" t="n">
        <x:f>MAX(0,ROUND('기준스탯 72종'!H67-V1484-AD1484,0))</x:f>
        <x:v>1</x:v>
      </x:c>
      <x:c r="O1484" s="2" t="n">
        <x:f>MAX(0,ROUND('기준스탯 72종'!I67-W1484-AE1484,0))</x:f>
        <x:v>2</x:v>
      </x:c>
      <x:c r="P1484" s="2" t="n">
        <x:f>MAX(0,ROUND('기준스탯 72종'!J67-X1484-AF1484,0))</x:f>
        <x:v>0</x:v>
      </x:c>
      <x:c r="Q1484" s="2" t="n">
        <x:f>MAX(0,ROUND('기준스탯 72종'!K67-Y1484-AG1484,0))</x:f>
        <x:v>2</x:v>
      </x:c>
      <x:c r="R1484" s="15" t="n">
        <x:f>'기준스탯 72종'!D67*G1484</x:f>
        <x:v>3.3599999999999994</x:v>
      </x:c>
      <x:c r="S1484" s="15" t="n">
        <x:f>'기준스탯 72종'!E67*G1484</x:f>
        <x:v>3.3599999999999994</x:v>
      </x:c>
      <x:c r="T1484" s="15" t="n">
        <x:f>'기준스탯 72종'!F67*G1484</x:f>
        <x:v>3.7799999999999994</x:v>
      </x:c>
      <x:c r="U1484" s="15" t="n">
        <x:f>'기준스탯 72종'!G67*G1484</x:f>
        <x:v>2.5199999999999996</x:v>
      </x:c>
      <x:c r="V1484" s="15" t="n">
        <x:f>'기준스탯 72종'!H67*G1484</x:f>
        <x:v>0.8399999999999999</x:v>
      </x:c>
      <x:c r="W1484" s="15" t="n">
        <x:f>'기준스탯 72종'!I67*G1484</x:f>
        <x:v>2.9399999999999995</x:v>
      </x:c>
      <x:c r="X1484" s="15" t="n">
        <x:f>'기준스탯 72종'!J67*G1484</x:f>
        <x:v>0.41999999999999993</x:v>
      </x:c>
      <x:c r="Y1484" s="15" t="n">
        <x:f>'기준스탯 72종'!K67*G1484</x:f>
        <x:v>2.5199999999999996</x:v>
      </x:c>
      <x:c r="Z1484" s="15" t="n">
        <x:f>'기준스탯 72종'!D67*H1484</x:f>
        <x:v>1.9200000000000004</x:v>
      </x:c>
      <x:c r="AA1484" s="15" t="n">
        <x:f>'기준스탯 72종'!E67*H1484</x:f>
        <x:v>1.9200000000000004</x:v>
      </x:c>
      <x:c r="AB1484" s="15" t="n">
        <x:f>'기준스탯 72종'!F67*H1484</x:f>
        <x:v>2.1600000000000006</x:v>
      </x:c>
      <x:c r="AC1484" s="15" t="n">
        <x:f>'기준스탯 72종'!G67*H1484</x:f>
        <x:v>1.4400000000000004</x:v>
      </x:c>
      <x:c r="AD1484" s="15" t="n">
        <x:f>'기준스탯 72종'!H67*H1484</x:f>
        <x:v>0.4800000000000001</x:v>
      </x:c>
      <x:c r="AE1484" s="15" t="n">
        <x:f>'기준스탯 72종'!I67*H1484</x:f>
        <x:v>1.6800000000000004</x:v>
      </x:c>
      <x:c r="AF1484" s="15" t="n">
        <x:f>'기준스탯 72종'!J67*H1484</x:f>
        <x:v>0.24000000000000005</x:v>
      </x:c>
      <x:c r="AG1484" s="15" t="n">
        <x:f>'기준스탯 72종'!K67*H1484</x:f>
        <x:v>1.4400000000000004</x:v>
      </x:c>
    </x:row>
    <x:row r="1485" ht="28" customHeight="1">
      <x:c r="A1485" s="2" t="n">
        <x:v>1478</x:v>
      </x:c>
      <x:c r="B1485" s="2" t="n">
        <x:v>60</x:v>
      </x:c>
      <x:c r="C1485" s="2" t="str">
        <x:v>염소자리</x:v>
      </x:c>
      <x:c r="D1485" s="2" t="str">
        <x:v>전사</x:v>
      </x:c>
      <x:c r="E1485" s="2" t="n">
        <x:v>3</x:v>
      </x:c>
      <x:c r="F1485" s="2" t="n">
        <x:v>1</x:v>
      </x:c>
      <x:c r="G1485" s="14" t="n">
        <x:f>('레벨 계산식'!$E$4-E1485)*'레벨 계산식'!$B$5</x:f>
        <x:v>0.27999999999999997</x:v>
      </x:c>
      <x:c r="H1485" s="14" t="n">
        <x:f>('등급 계산식'!$E$4-F1485)*'등급 계산식'!$B$5</x:f>
        <x:v>0.24000000000000005</x:v>
      </x:c>
      <x:c r="I1485" s="14" t="n">
        <x:f>1-G1485-H1485</x:f>
        <x:v>0.4799999999999999</x:v>
      </x:c>
      <x:c r="J1485" s="2" t="n">
        <x:f>MAX(1,ROUND('기준스탯 72종'!D67-R1485-Z1485,0))</x:f>
        <x:v>4</x:v>
      </x:c>
      <x:c r="K1485" s="2" t="n">
        <x:f>MAX(1,ROUND('기준스탯 72종'!E67-S1485-AA1485,0))</x:f>
        <x:v>4</x:v>
      </x:c>
      <x:c r="L1485" s="2" t="n">
        <x:f>MAX(1,ROUND('기준스탯 72종'!F67-T1485-AB1485,0))</x:f>
        <x:v>4</x:v>
      </x:c>
      <x:c r="M1485" s="2" t="n">
        <x:f>MAX(1,ROUND('기준스탯 72종'!G67-U1485-AC1485,0))</x:f>
        <x:v>3</x:v>
      </x:c>
      <x:c r="N1485" s="2" t="n">
        <x:f>MAX(0,ROUND('기준스탯 72종'!H67-V1485-AD1485,0))</x:f>
        <x:v>1</x:v>
      </x:c>
      <x:c r="O1485" s="2" t="n">
        <x:f>MAX(0,ROUND('기준스탯 72종'!I67-W1485-AE1485,0))</x:f>
        <x:v>3</x:v>
      </x:c>
      <x:c r="P1485" s="2" t="n">
        <x:f>MAX(0,ROUND('기준스탯 72종'!J67-X1485-AF1485,0))</x:f>
        <x:v>0</x:v>
      </x:c>
      <x:c r="Q1485" s="2" t="n">
        <x:f>MAX(0,ROUND('기준스탯 72종'!K67-Y1485-AG1485,0))</x:f>
        <x:v>3</x:v>
      </x:c>
      <x:c r="R1485" s="15" t="n">
        <x:f>'기준스탯 72종'!D67*G1485</x:f>
        <x:v>2.2399999999999998</x:v>
      </x:c>
      <x:c r="S1485" s="15" t="n">
        <x:f>'기준스탯 72종'!E67*G1485</x:f>
        <x:v>2.2399999999999998</x:v>
      </x:c>
      <x:c r="T1485" s="15" t="n">
        <x:f>'기준스탯 72종'!F67*G1485</x:f>
        <x:v>2.5199999999999996</x:v>
      </x:c>
      <x:c r="U1485" s="15" t="n">
        <x:f>'기준스탯 72종'!G67*G1485</x:f>
        <x:v>1.6799999999999997</x:v>
      </x:c>
      <x:c r="V1485" s="15" t="n">
        <x:f>'기준스탯 72종'!H67*G1485</x:f>
        <x:v>0.5599999999999999</x:v>
      </x:c>
      <x:c r="W1485" s="15" t="n">
        <x:f>'기준스탯 72종'!I67*G1485</x:f>
        <x:v>1.9599999999999997</x:v>
      </x:c>
      <x:c r="X1485" s="15" t="n">
        <x:f>'기준스탯 72종'!J67*G1485</x:f>
        <x:v>0.27999999999999997</x:v>
      </x:c>
      <x:c r="Y1485" s="15" t="n">
        <x:f>'기준스탯 72종'!K67*G1485</x:f>
        <x:v>1.6799999999999997</x:v>
      </x:c>
      <x:c r="Z1485" s="15" t="n">
        <x:f>'기준스탯 72종'!D67*H1485</x:f>
        <x:v>1.9200000000000004</x:v>
      </x:c>
      <x:c r="AA1485" s="15" t="n">
        <x:f>'기준스탯 72종'!E67*H1485</x:f>
        <x:v>1.9200000000000004</x:v>
      </x:c>
      <x:c r="AB1485" s="15" t="n">
        <x:f>'기준스탯 72종'!F67*H1485</x:f>
        <x:v>2.1600000000000006</x:v>
      </x:c>
      <x:c r="AC1485" s="15" t="n">
        <x:f>'기준스탯 72종'!G67*H1485</x:f>
        <x:v>1.4400000000000004</x:v>
      </x:c>
      <x:c r="AD1485" s="15" t="n">
        <x:f>'기준스탯 72종'!H67*H1485</x:f>
        <x:v>0.4800000000000001</x:v>
      </x:c>
      <x:c r="AE1485" s="15" t="n">
        <x:f>'기준스탯 72종'!I67*H1485</x:f>
        <x:v>1.6800000000000004</x:v>
      </x:c>
      <x:c r="AF1485" s="15" t="n">
        <x:f>'기준스탯 72종'!J67*H1485</x:f>
        <x:v>0.24000000000000005</x:v>
      </x:c>
      <x:c r="AG1485" s="15" t="n">
        <x:f>'기준스탯 72종'!K67*H1485</x:f>
        <x:v>1.4400000000000004</x:v>
      </x:c>
    </x:row>
    <x:row r="1486" ht="28" customHeight="1">
      <x:c r="A1486" s="2" t="n">
        <x:v>1479</x:v>
      </x:c>
      <x:c r="B1486" s="2" t="n">
        <x:v>60</x:v>
      </x:c>
      <x:c r="C1486" s="2" t="str">
        <x:v>염소자리</x:v>
      </x:c>
      <x:c r="D1486" s="2" t="str">
        <x:v>전사</x:v>
      </x:c>
      <x:c r="E1486" s="2" t="n">
        <x:v>4</x:v>
      </x:c>
      <x:c r="F1486" s="2" t="n">
        <x:v>1</x:v>
      </x:c>
      <x:c r="G1486" s="14" t="n">
        <x:f>('레벨 계산식'!$E$4-E1486)*'레벨 계산식'!$B$5</x:f>
        <x:v>0.13999999999999999</x:v>
      </x:c>
      <x:c r="H1486" s="14" t="n">
        <x:f>('등급 계산식'!$E$4-F1486)*'등급 계산식'!$B$5</x:f>
        <x:v>0.24000000000000005</x:v>
      </x:c>
      <x:c r="I1486" s="14" t="n">
        <x:f>1-G1486-H1486</x:f>
        <x:v>0.6199999999999999</x:v>
      </x:c>
      <x:c r="J1486" s="2" t="n">
        <x:f>MAX(1,ROUND('기준스탯 72종'!D67-R1486-Z1486,0))</x:f>
        <x:v>5</x:v>
      </x:c>
      <x:c r="K1486" s="2" t="n">
        <x:f>MAX(1,ROUND('기준스탯 72종'!E67-S1486-AA1486,0))</x:f>
        <x:v>5</x:v>
      </x:c>
      <x:c r="L1486" s="2" t="n">
        <x:f>MAX(1,ROUND('기준스탯 72종'!F67-T1486-AB1486,0))</x:f>
        <x:v>6</x:v>
      </x:c>
      <x:c r="M1486" s="2" t="n">
        <x:f>MAX(1,ROUND('기준스탯 72종'!G67-U1486-AC1486,0))</x:f>
        <x:v>4</x:v>
      </x:c>
      <x:c r="N1486" s="2" t="n">
        <x:f>MAX(0,ROUND('기준스탯 72종'!H67-V1486-AD1486,0))</x:f>
        <x:v>1</x:v>
      </x:c>
      <x:c r="O1486" s="2" t="n">
        <x:f>MAX(0,ROUND('기준스탯 72종'!I67-W1486-AE1486,0))</x:f>
        <x:v>4</x:v>
      </x:c>
      <x:c r="P1486" s="2" t="n">
        <x:f>MAX(0,ROUND('기준스탯 72종'!J67-X1486-AF1486,0))</x:f>
        <x:v>1</x:v>
      </x:c>
      <x:c r="Q1486" s="2" t="n">
        <x:f>MAX(0,ROUND('기준스탯 72종'!K67-Y1486-AG1486,0))</x:f>
        <x:v>4</x:v>
      </x:c>
      <x:c r="R1486" s="15" t="n">
        <x:f>'기준스탯 72종'!D67*G1486</x:f>
        <x:v>1.1199999999999999</x:v>
      </x:c>
      <x:c r="S1486" s="15" t="n">
        <x:f>'기준스탯 72종'!E67*G1486</x:f>
        <x:v>1.1199999999999999</x:v>
      </x:c>
      <x:c r="T1486" s="15" t="n">
        <x:f>'기준스탯 72종'!F67*G1486</x:f>
        <x:v>1.2599999999999998</x:v>
      </x:c>
      <x:c r="U1486" s="15" t="n">
        <x:f>'기준스탯 72종'!G67*G1486</x:f>
        <x:v>0.8399999999999999</x:v>
      </x:c>
      <x:c r="V1486" s="15" t="n">
        <x:f>'기준스탯 72종'!H67*G1486</x:f>
        <x:v>0.27999999999999997</x:v>
      </x:c>
      <x:c r="W1486" s="15" t="n">
        <x:f>'기준스탯 72종'!I67*G1486</x:f>
        <x:v>0.9799999999999999</x:v>
      </x:c>
      <x:c r="X1486" s="15" t="n">
        <x:f>'기준스탯 72종'!J67*G1486</x:f>
        <x:v>0.13999999999999999</x:v>
      </x:c>
      <x:c r="Y1486" s="15" t="n">
        <x:f>'기준스탯 72종'!K67*G1486</x:f>
        <x:v>0.8399999999999999</x:v>
      </x:c>
      <x:c r="Z1486" s="15" t="n">
        <x:f>'기준스탯 72종'!D67*H1486</x:f>
        <x:v>1.9200000000000004</x:v>
      </x:c>
      <x:c r="AA1486" s="15" t="n">
        <x:f>'기준스탯 72종'!E67*H1486</x:f>
        <x:v>1.9200000000000004</x:v>
      </x:c>
      <x:c r="AB1486" s="15" t="n">
        <x:f>'기준스탯 72종'!F67*H1486</x:f>
        <x:v>2.1600000000000006</x:v>
      </x:c>
      <x:c r="AC1486" s="15" t="n">
        <x:f>'기준스탯 72종'!G67*H1486</x:f>
        <x:v>1.4400000000000004</x:v>
      </x:c>
      <x:c r="AD1486" s="15" t="n">
        <x:f>'기준스탯 72종'!H67*H1486</x:f>
        <x:v>0.4800000000000001</x:v>
      </x:c>
      <x:c r="AE1486" s="15" t="n">
        <x:f>'기준스탯 72종'!I67*H1486</x:f>
        <x:v>1.6800000000000004</x:v>
      </x:c>
      <x:c r="AF1486" s="15" t="n">
        <x:f>'기준스탯 72종'!J67*H1486</x:f>
        <x:v>0.24000000000000005</x:v>
      </x:c>
      <x:c r="AG1486" s="15" t="n">
        <x:f>'기준스탯 72종'!K67*H1486</x:f>
        <x:v>1.4400000000000004</x:v>
      </x:c>
    </x:row>
    <x:row r="1487" ht="28" customHeight="1">
      <x:c r="A1487" s="2" t="n">
        <x:v>1480</x:v>
      </x:c>
      <x:c r="B1487" s="2" t="n">
        <x:v>60</x:v>
      </x:c>
      <x:c r="C1487" s="2" t="str">
        <x:v>염소자리</x:v>
      </x:c>
      <x:c r="D1487" s="2" t="str">
        <x:v>전사</x:v>
      </x:c>
      <x:c r="E1487" s="2" t="n">
        <x:v>5</x:v>
      </x:c>
      <x:c r="F1487" s="2" t="n">
        <x:v>1</x:v>
      </x:c>
      <x:c r="G1487" s="14" t="n">
        <x:f>('레벨 계산식'!$E$4-E1487)*'레벨 계산식'!$B$5</x:f>
        <x:v>0</x:v>
      </x:c>
      <x:c r="H1487" s="14" t="n">
        <x:f>('등급 계산식'!$E$4-F1487)*'등급 계산식'!$B$5</x:f>
        <x:v>0.24000000000000005</x:v>
      </x:c>
      <x:c r="I1487" s="14" t="n">
        <x:f>1-G1487-H1487</x:f>
        <x:v>0.76</x:v>
      </x:c>
      <x:c r="J1487" s="2" t="n">
        <x:f>MAX(1,ROUND('기준스탯 72종'!D67-R1487-Z1487,0))</x:f>
        <x:v>6</x:v>
      </x:c>
      <x:c r="K1487" s="2" t="n">
        <x:f>MAX(1,ROUND('기준스탯 72종'!E67-S1487-AA1487,0))</x:f>
        <x:v>6</x:v>
      </x:c>
      <x:c r="L1487" s="2" t="n">
        <x:f>MAX(1,ROUND('기준스탯 72종'!F67-T1487-AB1487,0))</x:f>
        <x:v>7</x:v>
      </x:c>
      <x:c r="M1487" s="2" t="n">
        <x:f>MAX(1,ROUND('기준스탯 72종'!G67-U1487-AC1487,0))</x:f>
        <x:v>5</x:v>
      </x:c>
      <x:c r="N1487" s="2" t="n">
        <x:f>MAX(0,ROUND('기준스탯 72종'!H67-V1487-AD1487,0))</x:f>
        <x:v>2</x:v>
      </x:c>
      <x:c r="O1487" s="2" t="n">
        <x:f>MAX(0,ROUND('기준스탯 72종'!I67-W1487-AE1487,0))</x:f>
        <x:v>5</x:v>
      </x:c>
      <x:c r="P1487" s="2" t="n">
        <x:f>MAX(0,ROUND('기준스탯 72종'!J67-X1487-AF1487,0))</x:f>
        <x:v>1</x:v>
      </x:c>
      <x:c r="Q1487" s="2" t="n">
        <x:f>MAX(0,ROUND('기준스탯 72종'!K67-Y1487-AG1487,0))</x:f>
        <x:v>5</x:v>
      </x:c>
      <x:c r="R1487" s="15" t="n">
        <x:f>'기준스탯 72종'!D67*G1487</x:f>
        <x:v>0</x:v>
      </x:c>
      <x:c r="S1487" s="15" t="n">
        <x:f>'기준스탯 72종'!E67*G1487</x:f>
        <x:v>0</x:v>
      </x:c>
      <x:c r="T1487" s="15" t="n">
        <x:f>'기준스탯 72종'!F67*G1487</x:f>
        <x:v>0</x:v>
      </x:c>
      <x:c r="U1487" s="15" t="n">
        <x:f>'기준스탯 72종'!G67*G1487</x:f>
        <x:v>0</x:v>
      </x:c>
      <x:c r="V1487" s="15" t="n">
        <x:f>'기준스탯 72종'!H67*G1487</x:f>
        <x:v>0</x:v>
      </x:c>
      <x:c r="W1487" s="15" t="n">
        <x:f>'기준스탯 72종'!I67*G1487</x:f>
        <x:v>0</x:v>
      </x:c>
      <x:c r="X1487" s="15" t="n">
        <x:f>'기준스탯 72종'!J67*G1487</x:f>
        <x:v>0</x:v>
      </x:c>
      <x:c r="Y1487" s="15" t="n">
        <x:f>'기준스탯 72종'!K67*G1487</x:f>
        <x:v>0</x:v>
      </x:c>
      <x:c r="Z1487" s="15" t="n">
        <x:f>'기준스탯 72종'!D67*H1487</x:f>
        <x:v>1.9200000000000004</x:v>
      </x:c>
      <x:c r="AA1487" s="15" t="n">
        <x:f>'기준스탯 72종'!E67*H1487</x:f>
        <x:v>1.9200000000000004</x:v>
      </x:c>
      <x:c r="AB1487" s="15" t="n">
        <x:f>'기준스탯 72종'!F67*H1487</x:f>
        <x:v>2.1600000000000006</x:v>
      </x:c>
      <x:c r="AC1487" s="15" t="n">
        <x:f>'기준스탯 72종'!G67*H1487</x:f>
        <x:v>1.4400000000000004</x:v>
      </x:c>
      <x:c r="AD1487" s="15" t="n">
        <x:f>'기준스탯 72종'!H67*H1487</x:f>
        <x:v>0.4800000000000001</x:v>
      </x:c>
      <x:c r="AE1487" s="15" t="n">
        <x:f>'기준스탯 72종'!I67*H1487</x:f>
        <x:v>1.6800000000000004</x:v>
      </x:c>
      <x:c r="AF1487" s="15" t="n">
        <x:f>'기준스탯 72종'!J67*H1487</x:f>
        <x:v>0.24000000000000005</x:v>
      </x:c>
      <x:c r="AG1487" s="15" t="n">
        <x:f>'기준스탯 72종'!K67*H1487</x:f>
        <x:v>1.4400000000000004</x:v>
      </x:c>
    </x:row>
    <x:row r="1488" ht="28" customHeight="1">
      <x:c r="A1488" s="2" t="n">
        <x:v>1481</x:v>
      </x:c>
      <x:c r="B1488" s="2" t="n">
        <x:v>60</x:v>
      </x:c>
      <x:c r="C1488" s="2" t="str">
        <x:v>염소자리</x:v>
      </x:c>
      <x:c r="D1488" s="2" t="str">
        <x:v>전사</x:v>
      </x:c>
      <x:c r="E1488" s="2" t="n">
        <x:v>1</x:v>
      </x:c>
      <x:c r="F1488" s="2" t="n">
        <x:v>2</x:v>
      </x:c>
      <x:c r="G1488" s="14" t="n">
        <x:f>('레벨 계산식'!$E$4-E1488)*'레벨 계산식'!$B$5</x:f>
        <x:v>0.5599999999999999</x:v>
      </x:c>
      <x:c r="H1488" s="14" t="n">
        <x:f>('등급 계산식'!$E$4-F1488)*'등급 계산식'!$B$5</x:f>
        <x:v>0.18000000000000005</x:v>
      </x:c>
      <x:c r="I1488" s="14" t="n">
        <x:f>1-G1488-H1488</x:f>
        <x:v>0.26</x:v>
      </x:c>
      <x:c r="J1488" s="2" t="n">
        <x:f>MAX(1,ROUND('기준스탯 72종'!D67-R1488-Z1488,0))</x:f>
        <x:v>2</x:v>
      </x:c>
      <x:c r="K1488" s="2" t="n">
        <x:f>MAX(1,ROUND('기준스탯 72종'!E67-S1488-AA1488,0))</x:f>
        <x:v>2</x:v>
      </x:c>
      <x:c r="L1488" s="2" t="n">
        <x:f>MAX(1,ROUND('기준스탯 72종'!F67-T1488-AB1488,0))</x:f>
        <x:v>2</x:v>
      </x:c>
      <x:c r="M1488" s="2" t="n">
        <x:f>MAX(1,ROUND('기준스탯 72종'!G67-U1488-AC1488,0))</x:f>
        <x:v>2</x:v>
      </x:c>
      <x:c r="N1488" s="2" t="n">
        <x:f>MAX(0,ROUND('기준스탯 72종'!H67-V1488-AD1488,0))</x:f>
        <x:v>1</x:v>
      </x:c>
      <x:c r="O1488" s="2" t="n">
        <x:f>MAX(0,ROUND('기준스탯 72종'!I67-W1488-AE1488,0))</x:f>
        <x:v>2</x:v>
      </x:c>
      <x:c r="P1488" s="2" t="n">
        <x:f>MAX(0,ROUND('기준스탯 72종'!J67-X1488-AF1488,0))</x:f>
        <x:v>0</x:v>
      </x:c>
      <x:c r="Q1488" s="2" t="n">
        <x:f>MAX(0,ROUND('기준스탯 72종'!K67-Y1488-AG1488,0))</x:f>
        <x:v>2</x:v>
      </x:c>
      <x:c r="R1488" s="15" t="n">
        <x:f>'기준스탯 72종'!D67*G1488</x:f>
        <x:v>4.4799999999999995</x:v>
      </x:c>
      <x:c r="S1488" s="15" t="n">
        <x:f>'기준스탯 72종'!E67*G1488</x:f>
        <x:v>4.4799999999999995</x:v>
      </x:c>
      <x:c r="T1488" s="15" t="n">
        <x:f>'기준스탯 72종'!F67*G1488</x:f>
        <x:v>5.039999999999999</x:v>
      </x:c>
      <x:c r="U1488" s="15" t="n">
        <x:f>'기준스탯 72종'!G67*G1488</x:f>
        <x:v>3.3599999999999994</x:v>
      </x:c>
      <x:c r="V1488" s="15" t="n">
        <x:f>'기준스탯 72종'!H67*G1488</x:f>
        <x:v>1.1199999999999999</x:v>
      </x:c>
      <x:c r="W1488" s="15" t="n">
        <x:f>'기준스탯 72종'!I67*G1488</x:f>
        <x:v>3.9199999999999995</x:v>
      </x:c>
      <x:c r="X1488" s="15" t="n">
        <x:f>'기준스탯 72종'!J67*G1488</x:f>
        <x:v>0.5599999999999999</x:v>
      </x:c>
      <x:c r="Y1488" s="15" t="n">
        <x:f>'기준스탯 72종'!K67*G1488</x:f>
        <x:v>3.3599999999999994</x:v>
      </x:c>
      <x:c r="Z1488" s="15" t="n">
        <x:f>'기준스탯 72종'!D67*H1488</x:f>
        <x:v>1.4400000000000004</x:v>
      </x:c>
      <x:c r="AA1488" s="15" t="n">
        <x:f>'기준스탯 72종'!E67*H1488</x:f>
        <x:v>1.4400000000000004</x:v>
      </x:c>
      <x:c r="AB1488" s="15" t="n">
        <x:f>'기준스탯 72종'!F67*H1488</x:f>
        <x:v>1.6200000000000006</x:v>
      </x:c>
      <x:c r="AC1488" s="15" t="n">
        <x:f>'기준스탯 72종'!G67*H1488</x:f>
        <x:v>1.0800000000000003</x:v>
      </x:c>
      <x:c r="AD1488" s="15" t="n">
        <x:f>'기준스탯 72종'!H67*H1488</x:f>
        <x:v>0.3600000000000001</x:v>
      </x:c>
      <x:c r="AE1488" s="15" t="n">
        <x:f>'기준스탯 72종'!I67*H1488</x:f>
        <x:v>1.2600000000000002</x:v>
      </x:c>
      <x:c r="AF1488" s="15" t="n">
        <x:f>'기준스탯 72종'!J67*H1488</x:f>
        <x:v>0.18000000000000005</x:v>
      </x:c>
      <x:c r="AG1488" s="15" t="n">
        <x:f>'기준스탯 72종'!K67*H1488</x:f>
        <x:v>1.0800000000000003</x:v>
      </x:c>
    </x:row>
    <x:row r="1489" ht="28" customHeight="1">
      <x:c r="A1489" s="2" t="n">
        <x:v>1482</x:v>
      </x:c>
      <x:c r="B1489" s="2" t="n">
        <x:v>60</x:v>
      </x:c>
      <x:c r="C1489" s="2" t="str">
        <x:v>염소자리</x:v>
      </x:c>
      <x:c r="D1489" s="2" t="str">
        <x:v>전사</x:v>
      </x:c>
      <x:c r="E1489" s="2" t="n">
        <x:v>2</x:v>
      </x:c>
      <x:c r="F1489" s="2" t="n">
        <x:v>2</x:v>
      </x:c>
      <x:c r="G1489" s="14" t="n">
        <x:f>('레벨 계산식'!$E$4-E1489)*'레벨 계산식'!$B$5</x:f>
        <x:v>0.41999999999999993</x:v>
      </x:c>
      <x:c r="H1489" s="14" t="n">
        <x:f>('등급 계산식'!$E$4-F1489)*'등급 계산식'!$B$5</x:f>
        <x:v>0.18000000000000005</x:v>
      </x:c>
      <x:c r="I1489" s="14" t="n">
        <x:f>1-G1489-H1489</x:f>
        <x:v>0.4</x:v>
      </x:c>
      <x:c r="J1489" s="2" t="n">
        <x:f>MAX(1,ROUND('기준스탯 72종'!D67-R1489-Z1489,0))</x:f>
        <x:v>3</x:v>
      </x:c>
      <x:c r="K1489" s="2" t="n">
        <x:f>MAX(1,ROUND('기준스탯 72종'!E67-S1489-AA1489,0))</x:f>
        <x:v>3</x:v>
      </x:c>
      <x:c r="L1489" s="2" t="n">
        <x:f>MAX(1,ROUND('기준스탯 72종'!F67-T1489-AB1489,0))</x:f>
        <x:v>4</x:v>
      </x:c>
      <x:c r="M1489" s="2" t="n">
        <x:f>MAX(1,ROUND('기준스탯 72종'!G67-U1489-AC1489,0))</x:f>
        <x:v>2</x:v>
      </x:c>
      <x:c r="N1489" s="2" t="n">
        <x:f>MAX(0,ROUND('기준스탯 72종'!H67-V1489-AD1489,0))</x:f>
        <x:v>1</x:v>
      </x:c>
      <x:c r="O1489" s="2" t="n">
        <x:f>MAX(0,ROUND('기준스탯 72종'!I67-W1489-AE1489,0))</x:f>
        <x:v>3</x:v>
      </x:c>
      <x:c r="P1489" s="2" t="n">
        <x:f>MAX(0,ROUND('기준스탯 72종'!J67-X1489-AF1489,0))</x:f>
        <x:v>0</x:v>
      </x:c>
      <x:c r="Q1489" s="2" t="n">
        <x:f>MAX(0,ROUND('기준스탯 72종'!K67-Y1489-AG1489,0))</x:f>
        <x:v>2</x:v>
      </x:c>
      <x:c r="R1489" s="15" t="n">
        <x:f>'기준스탯 72종'!D67*G1489</x:f>
        <x:v>3.3599999999999994</x:v>
      </x:c>
      <x:c r="S1489" s="15" t="n">
        <x:f>'기준스탯 72종'!E67*G1489</x:f>
        <x:v>3.3599999999999994</x:v>
      </x:c>
      <x:c r="T1489" s="15" t="n">
        <x:f>'기준스탯 72종'!F67*G1489</x:f>
        <x:v>3.7799999999999994</x:v>
      </x:c>
      <x:c r="U1489" s="15" t="n">
        <x:f>'기준스탯 72종'!G67*G1489</x:f>
        <x:v>2.5199999999999996</x:v>
      </x:c>
      <x:c r="V1489" s="15" t="n">
        <x:f>'기준스탯 72종'!H67*G1489</x:f>
        <x:v>0.8399999999999999</x:v>
      </x:c>
      <x:c r="W1489" s="15" t="n">
        <x:f>'기준스탯 72종'!I67*G1489</x:f>
        <x:v>2.9399999999999995</x:v>
      </x:c>
      <x:c r="X1489" s="15" t="n">
        <x:f>'기준스탯 72종'!J67*G1489</x:f>
        <x:v>0.41999999999999993</x:v>
      </x:c>
      <x:c r="Y1489" s="15" t="n">
        <x:f>'기준스탯 72종'!K67*G1489</x:f>
        <x:v>2.5199999999999996</x:v>
      </x:c>
      <x:c r="Z1489" s="15" t="n">
        <x:f>'기준스탯 72종'!D67*H1489</x:f>
        <x:v>1.4400000000000004</x:v>
      </x:c>
      <x:c r="AA1489" s="15" t="n">
        <x:f>'기준스탯 72종'!E67*H1489</x:f>
        <x:v>1.4400000000000004</x:v>
      </x:c>
      <x:c r="AB1489" s="15" t="n">
        <x:f>'기준스탯 72종'!F67*H1489</x:f>
        <x:v>1.6200000000000006</x:v>
      </x:c>
      <x:c r="AC1489" s="15" t="n">
        <x:f>'기준스탯 72종'!G67*H1489</x:f>
        <x:v>1.0800000000000003</x:v>
      </x:c>
      <x:c r="AD1489" s="15" t="n">
        <x:f>'기준스탯 72종'!H67*H1489</x:f>
        <x:v>0.3600000000000001</x:v>
      </x:c>
      <x:c r="AE1489" s="15" t="n">
        <x:f>'기준스탯 72종'!I67*H1489</x:f>
        <x:v>1.2600000000000002</x:v>
      </x:c>
      <x:c r="AF1489" s="15" t="n">
        <x:f>'기준스탯 72종'!J67*H1489</x:f>
        <x:v>0.18000000000000005</x:v>
      </x:c>
      <x:c r="AG1489" s="15" t="n">
        <x:f>'기준스탯 72종'!K67*H1489</x:f>
        <x:v>1.0800000000000003</x:v>
      </x:c>
    </x:row>
    <x:row r="1490" ht="28" customHeight="1">
      <x:c r="A1490" s="2" t="n">
        <x:v>1483</x:v>
      </x:c>
      <x:c r="B1490" s="2" t="n">
        <x:v>60</x:v>
      </x:c>
      <x:c r="C1490" s="2" t="str">
        <x:v>염소자리</x:v>
      </x:c>
      <x:c r="D1490" s="2" t="str">
        <x:v>전사</x:v>
      </x:c>
      <x:c r="E1490" s="2" t="n">
        <x:v>3</x:v>
      </x:c>
      <x:c r="F1490" s="2" t="n">
        <x:v>2</x:v>
      </x:c>
      <x:c r="G1490" s="14" t="n">
        <x:f>('레벨 계산식'!$E$4-E1490)*'레벨 계산식'!$B$5</x:f>
        <x:v>0.27999999999999997</x:v>
      </x:c>
      <x:c r="H1490" s="14" t="n">
        <x:f>('등급 계산식'!$E$4-F1490)*'등급 계산식'!$B$5</x:f>
        <x:v>0.18000000000000005</x:v>
      </x:c>
      <x:c r="I1490" s="14" t="n">
        <x:f>1-G1490-H1490</x:f>
        <x:v>0.5399999999999999</x:v>
      </x:c>
      <x:c r="J1490" s="2" t="n">
        <x:f>MAX(1,ROUND('기준스탯 72종'!D67-R1490-Z1490,0))</x:f>
        <x:v>4</x:v>
      </x:c>
      <x:c r="K1490" s="2" t="n">
        <x:f>MAX(1,ROUND('기준스탯 72종'!E67-S1490-AA1490,0))</x:f>
        <x:v>4</x:v>
      </x:c>
      <x:c r="L1490" s="2" t="n">
        <x:f>MAX(1,ROUND('기준스탯 72종'!F67-T1490-AB1490,0))</x:f>
        <x:v>5</x:v>
      </x:c>
      <x:c r="M1490" s="2" t="n">
        <x:f>MAX(1,ROUND('기준스탯 72종'!G67-U1490-AC1490,0))</x:f>
        <x:v>3</x:v>
      </x:c>
      <x:c r="N1490" s="2" t="n">
        <x:f>MAX(0,ROUND('기준스탯 72종'!H67-V1490-AD1490,0))</x:f>
        <x:v>1</x:v>
      </x:c>
      <x:c r="O1490" s="2" t="n">
        <x:f>MAX(0,ROUND('기준스탯 72종'!I67-W1490-AE1490,0))</x:f>
        <x:v>4</x:v>
      </x:c>
      <x:c r="P1490" s="2" t="n">
        <x:f>MAX(0,ROUND('기준스탯 72종'!J67-X1490-AF1490,0))</x:f>
        <x:v>1</x:v>
      </x:c>
      <x:c r="Q1490" s="2" t="n">
        <x:f>MAX(0,ROUND('기준스탯 72종'!K67-Y1490-AG1490,0))</x:f>
        <x:v>3</x:v>
      </x:c>
      <x:c r="R1490" s="15" t="n">
        <x:f>'기준스탯 72종'!D67*G1490</x:f>
        <x:v>2.2399999999999998</x:v>
      </x:c>
      <x:c r="S1490" s="15" t="n">
        <x:f>'기준스탯 72종'!E67*G1490</x:f>
        <x:v>2.2399999999999998</x:v>
      </x:c>
      <x:c r="T1490" s="15" t="n">
        <x:f>'기준스탯 72종'!F67*G1490</x:f>
        <x:v>2.5199999999999996</x:v>
      </x:c>
      <x:c r="U1490" s="15" t="n">
        <x:f>'기준스탯 72종'!G67*G1490</x:f>
        <x:v>1.6799999999999997</x:v>
      </x:c>
      <x:c r="V1490" s="15" t="n">
        <x:f>'기준스탯 72종'!H67*G1490</x:f>
        <x:v>0.5599999999999999</x:v>
      </x:c>
      <x:c r="W1490" s="15" t="n">
        <x:f>'기준스탯 72종'!I67*G1490</x:f>
        <x:v>1.9599999999999997</x:v>
      </x:c>
      <x:c r="X1490" s="15" t="n">
        <x:f>'기준스탯 72종'!J67*G1490</x:f>
        <x:v>0.27999999999999997</x:v>
      </x:c>
      <x:c r="Y1490" s="15" t="n">
        <x:f>'기준스탯 72종'!K67*G1490</x:f>
        <x:v>1.6799999999999997</x:v>
      </x:c>
      <x:c r="Z1490" s="15" t="n">
        <x:f>'기준스탯 72종'!D67*H1490</x:f>
        <x:v>1.4400000000000004</x:v>
      </x:c>
      <x:c r="AA1490" s="15" t="n">
        <x:f>'기준스탯 72종'!E67*H1490</x:f>
        <x:v>1.4400000000000004</x:v>
      </x:c>
      <x:c r="AB1490" s="15" t="n">
        <x:f>'기준스탯 72종'!F67*H1490</x:f>
        <x:v>1.6200000000000006</x:v>
      </x:c>
      <x:c r="AC1490" s="15" t="n">
        <x:f>'기준스탯 72종'!G67*H1490</x:f>
        <x:v>1.0800000000000003</x:v>
      </x:c>
      <x:c r="AD1490" s="15" t="n">
        <x:f>'기준스탯 72종'!H67*H1490</x:f>
        <x:v>0.3600000000000001</x:v>
      </x:c>
      <x:c r="AE1490" s="15" t="n">
        <x:f>'기준스탯 72종'!I67*H1490</x:f>
        <x:v>1.2600000000000002</x:v>
      </x:c>
      <x:c r="AF1490" s="15" t="n">
        <x:f>'기준스탯 72종'!J67*H1490</x:f>
        <x:v>0.18000000000000005</x:v>
      </x:c>
      <x:c r="AG1490" s="15" t="n">
        <x:f>'기준스탯 72종'!K67*H1490</x:f>
        <x:v>1.0800000000000003</x:v>
      </x:c>
    </x:row>
    <x:row r="1491" ht="28" customHeight="1">
      <x:c r="A1491" s="2" t="n">
        <x:v>1484</x:v>
      </x:c>
      <x:c r="B1491" s="2" t="n">
        <x:v>60</x:v>
      </x:c>
      <x:c r="C1491" s="2" t="str">
        <x:v>염소자리</x:v>
      </x:c>
      <x:c r="D1491" s="2" t="str">
        <x:v>전사</x:v>
      </x:c>
      <x:c r="E1491" s="2" t="n">
        <x:v>4</x:v>
      </x:c>
      <x:c r="F1491" s="2" t="n">
        <x:v>2</x:v>
      </x:c>
      <x:c r="G1491" s="14" t="n">
        <x:f>('레벨 계산식'!$E$4-E1491)*'레벨 계산식'!$B$5</x:f>
        <x:v>0.13999999999999999</x:v>
      </x:c>
      <x:c r="H1491" s="14" t="n">
        <x:f>('등급 계산식'!$E$4-F1491)*'등급 계산식'!$B$5</x:f>
        <x:v>0.18000000000000005</x:v>
      </x:c>
      <x:c r="I1491" s="14" t="n">
        <x:f>1-G1491-H1491</x:f>
        <x:v>0.6799999999999999</x:v>
      </x:c>
      <x:c r="J1491" s="2" t="n">
        <x:f>MAX(1,ROUND('기준스탯 72종'!D67-R1491-Z1491,0))</x:f>
        <x:v>5</x:v>
      </x:c>
      <x:c r="K1491" s="2" t="n">
        <x:f>MAX(1,ROUND('기준스탯 72종'!E67-S1491-AA1491,0))</x:f>
        <x:v>5</x:v>
      </x:c>
      <x:c r="L1491" s="2" t="n">
        <x:f>MAX(1,ROUND('기준스탯 72종'!F67-T1491-AB1491,0))</x:f>
        <x:v>6</x:v>
      </x:c>
      <x:c r="M1491" s="2" t="n">
        <x:f>MAX(1,ROUND('기준스탯 72종'!G67-U1491-AC1491,0))</x:f>
        <x:v>4</x:v>
      </x:c>
      <x:c r="N1491" s="2" t="n">
        <x:f>MAX(0,ROUND('기준스탯 72종'!H67-V1491-AD1491,0))</x:f>
        <x:v>1</x:v>
      </x:c>
      <x:c r="O1491" s="2" t="n">
        <x:f>MAX(0,ROUND('기준스탯 72종'!I67-W1491-AE1491,0))</x:f>
        <x:v>5</x:v>
      </x:c>
      <x:c r="P1491" s="2" t="n">
        <x:f>MAX(0,ROUND('기준스탯 72종'!J67-X1491-AF1491,0))</x:f>
        <x:v>1</x:v>
      </x:c>
      <x:c r="Q1491" s="2" t="n">
        <x:f>MAX(0,ROUND('기준스탯 72종'!K67-Y1491-AG1491,0))</x:f>
        <x:v>4</x:v>
      </x:c>
      <x:c r="R1491" s="15" t="n">
        <x:f>'기준스탯 72종'!D67*G1491</x:f>
        <x:v>1.1199999999999999</x:v>
      </x:c>
      <x:c r="S1491" s="15" t="n">
        <x:f>'기준스탯 72종'!E67*G1491</x:f>
        <x:v>1.1199999999999999</x:v>
      </x:c>
      <x:c r="T1491" s="15" t="n">
        <x:f>'기준스탯 72종'!F67*G1491</x:f>
        <x:v>1.2599999999999998</x:v>
      </x:c>
      <x:c r="U1491" s="15" t="n">
        <x:f>'기준스탯 72종'!G67*G1491</x:f>
        <x:v>0.8399999999999999</x:v>
      </x:c>
      <x:c r="V1491" s="15" t="n">
        <x:f>'기준스탯 72종'!H67*G1491</x:f>
        <x:v>0.27999999999999997</x:v>
      </x:c>
      <x:c r="W1491" s="15" t="n">
        <x:f>'기준스탯 72종'!I67*G1491</x:f>
        <x:v>0.9799999999999999</x:v>
      </x:c>
      <x:c r="X1491" s="15" t="n">
        <x:f>'기준스탯 72종'!J67*G1491</x:f>
        <x:v>0.13999999999999999</x:v>
      </x:c>
      <x:c r="Y1491" s="15" t="n">
        <x:f>'기준스탯 72종'!K67*G1491</x:f>
        <x:v>0.8399999999999999</x:v>
      </x:c>
      <x:c r="Z1491" s="15" t="n">
        <x:f>'기준스탯 72종'!D67*H1491</x:f>
        <x:v>1.4400000000000004</x:v>
      </x:c>
      <x:c r="AA1491" s="15" t="n">
        <x:f>'기준스탯 72종'!E67*H1491</x:f>
        <x:v>1.4400000000000004</x:v>
      </x:c>
      <x:c r="AB1491" s="15" t="n">
        <x:f>'기준스탯 72종'!F67*H1491</x:f>
        <x:v>1.6200000000000006</x:v>
      </x:c>
      <x:c r="AC1491" s="15" t="n">
        <x:f>'기준스탯 72종'!G67*H1491</x:f>
        <x:v>1.0800000000000003</x:v>
      </x:c>
      <x:c r="AD1491" s="15" t="n">
        <x:f>'기준스탯 72종'!H67*H1491</x:f>
        <x:v>0.3600000000000001</x:v>
      </x:c>
      <x:c r="AE1491" s="15" t="n">
        <x:f>'기준스탯 72종'!I67*H1491</x:f>
        <x:v>1.2600000000000002</x:v>
      </x:c>
      <x:c r="AF1491" s="15" t="n">
        <x:f>'기준스탯 72종'!J67*H1491</x:f>
        <x:v>0.18000000000000005</x:v>
      </x:c>
      <x:c r="AG1491" s="15" t="n">
        <x:f>'기준스탯 72종'!K67*H1491</x:f>
        <x:v>1.0800000000000003</x:v>
      </x:c>
    </x:row>
    <x:row r="1492" ht="28" customHeight="1">
      <x:c r="A1492" s="2" t="n">
        <x:v>1485</x:v>
      </x:c>
      <x:c r="B1492" s="2" t="n">
        <x:v>60</x:v>
      </x:c>
      <x:c r="C1492" s="2" t="str">
        <x:v>염소자리</x:v>
      </x:c>
      <x:c r="D1492" s="2" t="str">
        <x:v>전사</x:v>
      </x:c>
      <x:c r="E1492" s="2" t="n">
        <x:v>5</x:v>
      </x:c>
      <x:c r="F1492" s="2" t="n">
        <x:v>2</x:v>
      </x:c>
      <x:c r="G1492" s="14" t="n">
        <x:f>('레벨 계산식'!$E$4-E1492)*'레벨 계산식'!$B$5</x:f>
        <x:v>0</x:v>
      </x:c>
      <x:c r="H1492" s="14" t="n">
        <x:f>('등급 계산식'!$E$4-F1492)*'등급 계산식'!$B$5</x:f>
        <x:v>0.18000000000000005</x:v>
      </x:c>
      <x:c r="I1492" s="14" t="n">
        <x:f>1-G1492-H1492</x:f>
        <x:v>0.82</x:v>
      </x:c>
      <x:c r="J1492" s="2" t="n">
        <x:f>MAX(1,ROUND('기준스탯 72종'!D67-R1492-Z1492,0))</x:f>
        <x:v>7</x:v>
      </x:c>
      <x:c r="K1492" s="2" t="n">
        <x:f>MAX(1,ROUND('기준스탯 72종'!E67-S1492-AA1492,0))</x:f>
        <x:v>7</x:v>
      </x:c>
      <x:c r="L1492" s="2" t="n">
        <x:f>MAX(1,ROUND('기준스탯 72종'!F67-T1492-AB1492,0))</x:f>
        <x:v>7</x:v>
      </x:c>
      <x:c r="M1492" s="2" t="n">
        <x:f>MAX(1,ROUND('기준스탯 72종'!G67-U1492-AC1492,0))</x:f>
        <x:v>5</x:v>
      </x:c>
      <x:c r="N1492" s="2" t="n">
        <x:f>MAX(0,ROUND('기준스탯 72종'!H67-V1492-AD1492,0))</x:f>
        <x:v>2</x:v>
      </x:c>
      <x:c r="O1492" s="2" t="n">
        <x:f>MAX(0,ROUND('기준스탯 72종'!I67-W1492-AE1492,0))</x:f>
        <x:v>6</x:v>
      </x:c>
      <x:c r="P1492" s="2" t="n">
        <x:f>MAX(0,ROUND('기준스탯 72종'!J67-X1492-AF1492,0))</x:f>
        <x:v>1</x:v>
      </x:c>
      <x:c r="Q1492" s="2" t="n">
        <x:f>MAX(0,ROUND('기준스탯 72종'!K67-Y1492-AG1492,0))</x:f>
        <x:v>5</x:v>
      </x:c>
      <x:c r="R1492" s="15" t="n">
        <x:f>'기준스탯 72종'!D67*G1492</x:f>
        <x:v>0</x:v>
      </x:c>
      <x:c r="S1492" s="15" t="n">
        <x:f>'기준스탯 72종'!E67*G1492</x:f>
        <x:v>0</x:v>
      </x:c>
      <x:c r="T1492" s="15" t="n">
        <x:f>'기준스탯 72종'!F67*G1492</x:f>
        <x:v>0</x:v>
      </x:c>
      <x:c r="U1492" s="15" t="n">
        <x:f>'기준스탯 72종'!G67*G1492</x:f>
        <x:v>0</x:v>
      </x:c>
      <x:c r="V1492" s="15" t="n">
        <x:f>'기준스탯 72종'!H67*G1492</x:f>
        <x:v>0</x:v>
      </x:c>
      <x:c r="W1492" s="15" t="n">
        <x:f>'기준스탯 72종'!I67*G1492</x:f>
        <x:v>0</x:v>
      </x:c>
      <x:c r="X1492" s="15" t="n">
        <x:f>'기준스탯 72종'!J67*G1492</x:f>
        <x:v>0</x:v>
      </x:c>
      <x:c r="Y1492" s="15" t="n">
        <x:f>'기준스탯 72종'!K67*G1492</x:f>
        <x:v>0</x:v>
      </x:c>
      <x:c r="Z1492" s="15" t="n">
        <x:f>'기준스탯 72종'!D67*H1492</x:f>
        <x:v>1.4400000000000004</x:v>
      </x:c>
      <x:c r="AA1492" s="15" t="n">
        <x:f>'기준스탯 72종'!E67*H1492</x:f>
        <x:v>1.4400000000000004</x:v>
      </x:c>
      <x:c r="AB1492" s="15" t="n">
        <x:f>'기준스탯 72종'!F67*H1492</x:f>
        <x:v>1.6200000000000006</x:v>
      </x:c>
      <x:c r="AC1492" s="15" t="n">
        <x:f>'기준스탯 72종'!G67*H1492</x:f>
        <x:v>1.0800000000000003</x:v>
      </x:c>
      <x:c r="AD1492" s="15" t="n">
        <x:f>'기준스탯 72종'!H67*H1492</x:f>
        <x:v>0.3600000000000001</x:v>
      </x:c>
      <x:c r="AE1492" s="15" t="n">
        <x:f>'기준스탯 72종'!I67*H1492</x:f>
        <x:v>1.2600000000000002</x:v>
      </x:c>
      <x:c r="AF1492" s="15" t="n">
        <x:f>'기준스탯 72종'!J67*H1492</x:f>
        <x:v>0.18000000000000005</x:v>
      </x:c>
      <x:c r="AG1492" s="15" t="n">
        <x:f>'기준스탯 72종'!K67*H1492</x:f>
        <x:v>1.0800000000000003</x:v>
      </x:c>
    </x:row>
    <x:row r="1493" ht="28" customHeight="1">
      <x:c r="A1493" s="2" t="n">
        <x:v>1486</x:v>
      </x:c>
      <x:c r="B1493" s="2" t="n">
        <x:v>60</x:v>
      </x:c>
      <x:c r="C1493" s="2" t="str">
        <x:v>염소자리</x:v>
      </x:c>
      <x:c r="D1493" s="2" t="str">
        <x:v>전사</x:v>
      </x:c>
      <x:c r="E1493" s="2" t="n">
        <x:v>1</x:v>
      </x:c>
      <x:c r="F1493" s="2" t="n">
        <x:v>3</x:v>
      </x:c>
      <x:c r="G1493" s="14" t="n">
        <x:f>('레벨 계산식'!$E$4-E1493)*'레벨 계산식'!$B$5</x:f>
        <x:v>0.5599999999999999</x:v>
      </x:c>
      <x:c r="H1493" s="14" t="n">
        <x:f>('등급 계산식'!$E$4-F1493)*'등급 계산식'!$B$5</x:f>
        <x:v>0.12000000000000002</x:v>
      </x:c>
      <x:c r="I1493" s="14" t="n">
        <x:f>1-G1493-H1493</x:f>
        <x:v>0.32000000000000006</x:v>
      </x:c>
      <x:c r="J1493" s="2" t="n">
        <x:f>MAX(1,ROUND('기준스탯 72종'!D67-R1493-Z1493,0))</x:f>
        <x:v>3</x:v>
      </x:c>
      <x:c r="K1493" s="2" t="n">
        <x:f>MAX(1,ROUND('기준스탯 72종'!E67-S1493-AA1493,0))</x:f>
        <x:v>3</x:v>
      </x:c>
      <x:c r="L1493" s="2" t="n">
        <x:f>MAX(1,ROUND('기준스탯 72종'!F67-T1493-AB1493,0))</x:f>
        <x:v>3</x:v>
      </x:c>
      <x:c r="M1493" s="2" t="n">
        <x:f>MAX(1,ROUND('기준스탯 72종'!G67-U1493-AC1493,0))</x:f>
        <x:v>2</x:v>
      </x:c>
      <x:c r="N1493" s="2" t="n">
        <x:f>MAX(0,ROUND('기준스탯 72종'!H67-V1493-AD1493,0))</x:f>
        <x:v>1</x:v>
      </x:c>
      <x:c r="O1493" s="2" t="n">
        <x:f>MAX(0,ROUND('기준스탯 72종'!I67-W1493-AE1493,0))</x:f>
        <x:v>2</x:v>
      </x:c>
      <x:c r="P1493" s="2" t="n">
        <x:f>MAX(0,ROUND('기준스탯 72종'!J67-X1493-AF1493,0))</x:f>
        <x:v>0</x:v>
      </x:c>
      <x:c r="Q1493" s="2" t="n">
        <x:f>MAX(0,ROUND('기준스탯 72종'!K67-Y1493-AG1493,0))</x:f>
        <x:v>2</x:v>
      </x:c>
      <x:c r="R1493" s="15" t="n">
        <x:f>'기준스탯 72종'!D67*G1493</x:f>
        <x:v>4.4799999999999995</x:v>
      </x:c>
      <x:c r="S1493" s="15" t="n">
        <x:f>'기준스탯 72종'!E67*G1493</x:f>
        <x:v>4.4799999999999995</x:v>
      </x:c>
      <x:c r="T1493" s="15" t="n">
        <x:f>'기준스탯 72종'!F67*G1493</x:f>
        <x:v>5.039999999999999</x:v>
      </x:c>
      <x:c r="U1493" s="15" t="n">
        <x:f>'기준스탯 72종'!G67*G1493</x:f>
        <x:v>3.3599999999999994</x:v>
      </x:c>
      <x:c r="V1493" s="15" t="n">
        <x:f>'기준스탯 72종'!H67*G1493</x:f>
        <x:v>1.1199999999999999</x:v>
      </x:c>
      <x:c r="W1493" s="15" t="n">
        <x:f>'기준스탯 72종'!I67*G1493</x:f>
        <x:v>3.9199999999999995</x:v>
      </x:c>
      <x:c r="X1493" s="15" t="n">
        <x:f>'기준스탯 72종'!J67*G1493</x:f>
        <x:v>0.5599999999999999</x:v>
      </x:c>
      <x:c r="Y1493" s="15" t="n">
        <x:f>'기준스탯 72종'!K67*G1493</x:f>
        <x:v>3.3599999999999994</x:v>
      </x:c>
      <x:c r="Z1493" s="15" t="n">
        <x:f>'기준스탯 72종'!D67*H1493</x:f>
        <x:v>0.9600000000000002</x:v>
      </x:c>
      <x:c r="AA1493" s="15" t="n">
        <x:f>'기준스탯 72종'!E67*H1493</x:f>
        <x:v>0.9600000000000002</x:v>
      </x:c>
      <x:c r="AB1493" s="15" t="n">
        <x:f>'기준스탯 72종'!F67*H1493</x:f>
        <x:v>1.0800000000000003</x:v>
      </x:c>
      <x:c r="AC1493" s="15" t="n">
        <x:f>'기준스탯 72종'!G67*H1493</x:f>
        <x:v>0.7200000000000002</x:v>
      </x:c>
      <x:c r="AD1493" s="15" t="n">
        <x:f>'기준스탯 72종'!H67*H1493</x:f>
        <x:v>0.24000000000000005</x:v>
      </x:c>
      <x:c r="AE1493" s="15" t="n">
        <x:f>'기준스탯 72종'!I67*H1493</x:f>
        <x:v>0.8400000000000002</x:v>
      </x:c>
      <x:c r="AF1493" s="15" t="n">
        <x:f>'기준스탯 72종'!J67*H1493</x:f>
        <x:v>0.12000000000000002</x:v>
      </x:c>
      <x:c r="AG1493" s="15" t="n">
        <x:f>'기준스탯 72종'!K67*H1493</x:f>
        <x:v>0.7200000000000002</x:v>
      </x:c>
    </x:row>
    <x:row r="1494" ht="28" customHeight="1">
      <x:c r="A1494" s="2" t="n">
        <x:v>1487</x:v>
      </x:c>
      <x:c r="B1494" s="2" t="n">
        <x:v>60</x:v>
      </x:c>
      <x:c r="C1494" s="2" t="str">
        <x:v>염소자리</x:v>
      </x:c>
      <x:c r="D1494" s="2" t="str">
        <x:v>전사</x:v>
      </x:c>
      <x:c r="E1494" s="2" t="n">
        <x:v>2</x:v>
      </x:c>
      <x:c r="F1494" s="2" t="n">
        <x:v>3</x:v>
      </x:c>
      <x:c r="G1494" s="14" t="n">
        <x:f>('레벨 계산식'!$E$4-E1494)*'레벨 계산식'!$B$5</x:f>
        <x:v>0.41999999999999993</x:v>
      </x:c>
      <x:c r="H1494" s="14" t="n">
        <x:f>('등급 계산식'!$E$4-F1494)*'등급 계산식'!$B$5</x:f>
        <x:v>0.12000000000000002</x:v>
      </x:c>
      <x:c r="I1494" s="14" t="n">
        <x:f>1-G1494-H1494</x:f>
        <x:v>0.4600000000000001</x:v>
      </x:c>
      <x:c r="J1494" s="2" t="n">
        <x:f>MAX(1,ROUND('기준스탯 72종'!D67-R1494-Z1494,0))</x:f>
        <x:v>4</x:v>
      </x:c>
      <x:c r="K1494" s="2" t="n">
        <x:f>MAX(1,ROUND('기준스탯 72종'!E67-S1494-AA1494,0))</x:f>
        <x:v>4</x:v>
      </x:c>
      <x:c r="L1494" s="2" t="n">
        <x:f>MAX(1,ROUND('기준스탯 72종'!F67-T1494-AB1494,0))</x:f>
        <x:v>4</x:v>
      </x:c>
      <x:c r="M1494" s="2" t="n">
        <x:f>MAX(1,ROUND('기준스탯 72종'!G67-U1494-AC1494,0))</x:f>
        <x:v>3</x:v>
      </x:c>
      <x:c r="N1494" s="2" t="n">
        <x:f>MAX(0,ROUND('기준스탯 72종'!H67-V1494-AD1494,0))</x:f>
        <x:v>1</x:v>
      </x:c>
      <x:c r="O1494" s="2" t="n">
        <x:f>MAX(0,ROUND('기준스탯 72종'!I67-W1494-AE1494,0))</x:f>
        <x:v>3</x:v>
      </x:c>
      <x:c r="P1494" s="2" t="n">
        <x:f>MAX(0,ROUND('기준스탯 72종'!J67-X1494-AF1494,0))</x:f>
        <x:v>0</x:v>
      </x:c>
      <x:c r="Q1494" s="2" t="n">
        <x:f>MAX(0,ROUND('기준스탯 72종'!K67-Y1494-AG1494,0))</x:f>
        <x:v>3</x:v>
      </x:c>
      <x:c r="R1494" s="15" t="n">
        <x:f>'기준스탯 72종'!D67*G1494</x:f>
        <x:v>3.3599999999999994</x:v>
      </x:c>
      <x:c r="S1494" s="15" t="n">
        <x:f>'기준스탯 72종'!E67*G1494</x:f>
        <x:v>3.3599999999999994</x:v>
      </x:c>
      <x:c r="T1494" s="15" t="n">
        <x:f>'기준스탯 72종'!F67*G1494</x:f>
        <x:v>3.7799999999999994</x:v>
      </x:c>
      <x:c r="U1494" s="15" t="n">
        <x:f>'기준스탯 72종'!G67*G1494</x:f>
        <x:v>2.5199999999999996</x:v>
      </x:c>
      <x:c r="V1494" s="15" t="n">
        <x:f>'기준스탯 72종'!H67*G1494</x:f>
        <x:v>0.8399999999999999</x:v>
      </x:c>
      <x:c r="W1494" s="15" t="n">
        <x:f>'기준스탯 72종'!I67*G1494</x:f>
        <x:v>2.9399999999999995</x:v>
      </x:c>
      <x:c r="X1494" s="15" t="n">
        <x:f>'기준스탯 72종'!J67*G1494</x:f>
        <x:v>0.41999999999999993</x:v>
      </x:c>
      <x:c r="Y1494" s="15" t="n">
        <x:f>'기준스탯 72종'!K67*G1494</x:f>
        <x:v>2.5199999999999996</x:v>
      </x:c>
      <x:c r="Z1494" s="15" t="n">
        <x:f>'기준스탯 72종'!D67*H1494</x:f>
        <x:v>0.9600000000000002</x:v>
      </x:c>
      <x:c r="AA1494" s="15" t="n">
        <x:f>'기준스탯 72종'!E67*H1494</x:f>
        <x:v>0.9600000000000002</x:v>
      </x:c>
      <x:c r="AB1494" s="15" t="n">
        <x:f>'기준스탯 72종'!F67*H1494</x:f>
        <x:v>1.0800000000000003</x:v>
      </x:c>
      <x:c r="AC1494" s="15" t="n">
        <x:f>'기준스탯 72종'!G67*H1494</x:f>
        <x:v>0.7200000000000002</x:v>
      </x:c>
      <x:c r="AD1494" s="15" t="n">
        <x:f>'기준스탯 72종'!H67*H1494</x:f>
        <x:v>0.24000000000000005</x:v>
      </x:c>
      <x:c r="AE1494" s="15" t="n">
        <x:f>'기준스탯 72종'!I67*H1494</x:f>
        <x:v>0.8400000000000002</x:v>
      </x:c>
      <x:c r="AF1494" s="15" t="n">
        <x:f>'기준스탯 72종'!J67*H1494</x:f>
        <x:v>0.12000000000000002</x:v>
      </x:c>
      <x:c r="AG1494" s="15" t="n">
        <x:f>'기준스탯 72종'!K67*H1494</x:f>
        <x:v>0.7200000000000002</x:v>
      </x:c>
    </x:row>
    <x:row r="1495" ht="28" customHeight="1">
      <x:c r="A1495" s="2" t="n">
        <x:v>1488</x:v>
      </x:c>
      <x:c r="B1495" s="2" t="n">
        <x:v>60</x:v>
      </x:c>
      <x:c r="C1495" s="2" t="str">
        <x:v>염소자리</x:v>
      </x:c>
      <x:c r="D1495" s="2" t="str">
        <x:v>전사</x:v>
      </x:c>
      <x:c r="E1495" s="2" t="n">
        <x:v>3</x:v>
      </x:c>
      <x:c r="F1495" s="2" t="n">
        <x:v>3</x:v>
      </x:c>
      <x:c r="G1495" s="14" t="n">
        <x:f>('레벨 계산식'!$E$4-E1495)*'레벨 계산식'!$B$5</x:f>
        <x:v>0.27999999999999997</x:v>
      </x:c>
      <x:c r="H1495" s="14" t="n">
        <x:f>('등급 계산식'!$E$4-F1495)*'등급 계산식'!$B$5</x:f>
        <x:v>0.12000000000000002</x:v>
      </x:c>
      <x:c r="I1495" s="14" t="n">
        <x:f>1-G1495-H1495</x:f>
        <x:v>0.6</x:v>
      </x:c>
      <x:c r="J1495" s="2" t="n">
        <x:f>MAX(1,ROUND('기준스탯 72종'!D67-R1495-Z1495,0))</x:f>
        <x:v>5</x:v>
      </x:c>
      <x:c r="K1495" s="2" t="n">
        <x:f>MAX(1,ROUND('기준스탯 72종'!E67-S1495-AA1495,0))</x:f>
        <x:v>5</x:v>
      </x:c>
      <x:c r="L1495" s="2" t="n">
        <x:f>MAX(1,ROUND('기준스탯 72종'!F67-T1495-AB1495,0))</x:f>
        <x:v>5</x:v>
      </x:c>
      <x:c r="M1495" s="2" t="n">
        <x:f>MAX(1,ROUND('기준스탯 72종'!G67-U1495-AC1495,0))</x:f>
        <x:v>4</x:v>
      </x:c>
      <x:c r="N1495" s="2" t="n">
        <x:f>MAX(0,ROUND('기준스탯 72종'!H67-V1495-AD1495,0))</x:f>
        <x:v>1</x:v>
      </x:c>
      <x:c r="O1495" s="2" t="n">
        <x:f>MAX(0,ROUND('기준스탯 72종'!I67-W1495-AE1495,0))</x:f>
        <x:v>4</x:v>
      </x:c>
      <x:c r="P1495" s="2" t="n">
        <x:f>MAX(0,ROUND('기준스탯 72종'!J67-X1495-AF1495,0))</x:f>
        <x:v>1</x:v>
      </x:c>
      <x:c r="Q1495" s="2" t="n">
        <x:f>MAX(0,ROUND('기준스탯 72종'!K67-Y1495-AG1495,0))</x:f>
        <x:v>4</x:v>
      </x:c>
      <x:c r="R1495" s="15" t="n">
        <x:f>'기준스탯 72종'!D67*G1495</x:f>
        <x:v>2.2399999999999998</x:v>
      </x:c>
      <x:c r="S1495" s="15" t="n">
        <x:f>'기준스탯 72종'!E67*G1495</x:f>
        <x:v>2.2399999999999998</x:v>
      </x:c>
      <x:c r="T1495" s="15" t="n">
        <x:f>'기준스탯 72종'!F67*G1495</x:f>
        <x:v>2.5199999999999996</x:v>
      </x:c>
      <x:c r="U1495" s="15" t="n">
        <x:f>'기준스탯 72종'!G67*G1495</x:f>
        <x:v>1.6799999999999997</x:v>
      </x:c>
      <x:c r="V1495" s="15" t="n">
        <x:f>'기준스탯 72종'!H67*G1495</x:f>
        <x:v>0.5599999999999999</x:v>
      </x:c>
      <x:c r="W1495" s="15" t="n">
        <x:f>'기준스탯 72종'!I67*G1495</x:f>
        <x:v>1.9599999999999997</x:v>
      </x:c>
      <x:c r="X1495" s="15" t="n">
        <x:f>'기준스탯 72종'!J67*G1495</x:f>
        <x:v>0.27999999999999997</x:v>
      </x:c>
      <x:c r="Y1495" s="15" t="n">
        <x:f>'기준스탯 72종'!K67*G1495</x:f>
        <x:v>1.6799999999999997</x:v>
      </x:c>
      <x:c r="Z1495" s="15" t="n">
        <x:f>'기준스탯 72종'!D67*H1495</x:f>
        <x:v>0.9600000000000002</x:v>
      </x:c>
      <x:c r="AA1495" s="15" t="n">
        <x:f>'기준스탯 72종'!E67*H1495</x:f>
        <x:v>0.9600000000000002</x:v>
      </x:c>
      <x:c r="AB1495" s="15" t="n">
        <x:f>'기준스탯 72종'!F67*H1495</x:f>
        <x:v>1.0800000000000003</x:v>
      </x:c>
      <x:c r="AC1495" s="15" t="n">
        <x:f>'기준스탯 72종'!G67*H1495</x:f>
        <x:v>0.7200000000000002</x:v>
      </x:c>
      <x:c r="AD1495" s="15" t="n">
        <x:f>'기준스탯 72종'!H67*H1495</x:f>
        <x:v>0.24000000000000005</x:v>
      </x:c>
      <x:c r="AE1495" s="15" t="n">
        <x:f>'기준스탯 72종'!I67*H1495</x:f>
        <x:v>0.8400000000000002</x:v>
      </x:c>
      <x:c r="AF1495" s="15" t="n">
        <x:f>'기준스탯 72종'!J67*H1495</x:f>
        <x:v>0.12000000000000002</x:v>
      </x:c>
      <x:c r="AG1495" s="15" t="n">
        <x:f>'기준스탯 72종'!K67*H1495</x:f>
        <x:v>0.7200000000000002</x:v>
      </x:c>
    </x:row>
    <x:row r="1496" ht="28" customHeight="1">
      <x:c r="A1496" s="2" t="n">
        <x:v>1489</x:v>
      </x:c>
      <x:c r="B1496" s="2" t="n">
        <x:v>60</x:v>
      </x:c>
      <x:c r="C1496" s="2" t="str">
        <x:v>염소자리</x:v>
      </x:c>
      <x:c r="D1496" s="2" t="str">
        <x:v>전사</x:v>
      </x:c>
      <x:c r="E1496" s="2" t="n">
        <x:v>4</x:v>
      </x:c>
      <x:c r="F1496" s="2" t="n">
        <x:v>3</x:v>
      </x:c>
      <x:c r="G1496" s="14" t="n">
        <x:f>('레벨 계산식'!$E$4-E1496)*'레벨 계산식'!$B$5</x:f>
        <x:v>0.13999999999999999</x:v>
      </x:c>
      <x:c r="H1496" s="14" t="n">
        <x:f>('등급 계산식'!$E$4-F1496)*'등급 계산식'!$B$5</x:f>
        <x:v>0.12000000000000002</x:v>
      </x:c>
      <x:c r="I1496" s="14" t="n">
        <x:f>1-G1496-H1496</x:f>
        <x:v>0.74</x:v>
      </x:c>
      <x:c r="J1496" s="2" t="n">
        <x:f>MAX(1,ROUND('기준스탯 72종'!D67-R1496-Z1496,0))</x:f>
        <x:v>6</x:v>
      </x:c>
      <x:c r="K1496" s="2" t="n">
        <x:f>MAX(1,ROUND('기준스탯 72종'!E67-S1496-AA1496,0))</x:f>
        <x:v>6</x:v>
      </x:c>
      <x:c r="L1496" s="2" t="n">
        <x:f>MAX(1,ROUND('기준스탯 72종'!F67-T1496-AB1496,0))</x:f>
        <x:v>7</x:v>
      </x:c>
      <x:c r="M1496" s="2" t="n">
        <x:f>MAX(1,ROUND('기준스탯 72종'!G67-U1496-AC1496,0))</x:f>
        <x:v>4</x:v>
      </x:c>
      <x:c r="N1496" s="2" t="n">
        <x:f>MAX(0,ROUND('기준스탯 72종'!H67-V1496-AD1496,0))</x:f>
        <x:v>1</x:v>
      </x:c>
      <x:c r="O1496" s="2" t="n">
        <x:f>MAX(0,ROUND('기준스탯 72종'!I67-W1496-AE1496,0))</x:f>
        <x:v>5</x:v>
      </x:c>
      <x:c r="P1496" s="2" t="n">
        <x:f>MAX(0,ROUND('기준스탯 72종'!J67-X1496-AF1496,0))</x:f>
        <x:v>1</x:v>
      </x:c>
      <x:c r="Q1496" s="2" t="n">
        <x:f>MAX(0,ROUND('기준스탯 72종'!K67-Y1496-AG1496,0))</x:f>
        <x:v>4</x:v>
      </x:c>
      <x:c r="R1496" s="15" t="n">
        <x:f>'기준스탯 72종'!D67*G1496</x:f>
        <x:v>1.1199999999999999</x:v>
      </x:c>
      <x:c r="S1496" s="15" t="n">
        <x:f>'기준스탯 72종'!E67*G1496</x:f>
        <x:v>1.1199999999999999</x:v>
      </x:c>
      <x:c r="T1496" s="15" t="n">
        <x:f>'기준스탯 72종'!F67*G1496</x:f>
        <x:v>1.2599999999999998</x:v>
      </x:c>
      <x:c r="U1496" s="15" t="n">
        <x:f>'기준스탯 72종'!G67*G1496</x:f>
        <x:v>0.8399999999999999</x:v>
      </x:c>
      <x:c r="V1496" s="15" t="n">
        <x:f>'기준스탯 72종'!H67*G1496</x:f>
        <x:v>0.27999999999999997</x:v>
      </x:c>
      <x:c r="W1496" s="15" t="n">
        <x:f>'기준스탯 72종'!I67*G1496</x:f>
        <x:v>0.9799999999999999</x:v>
      </x:c>
      <x:c r="X1496" s="15" t="n">
        <x:f>'기준스탯 72종'!J67*G1496</x:f>
        <x:v>0.13999999999999999</x:v>
      </x:c>
      <x:c r="Y1496" s="15" t="n">
        <x:f>'기준스탯 72종'!K67*G1496</x:f>
        <x:v>0.8399999999999999</x:v>
      </x:c>
      <x:c r="Z1496" s="15" t="n">
        <x:f>'기준스탯 72종'!D67*H1496</x:f>
        <x:v>0.9600000000000002</x:v>
      </x:c>
      <x:c r="AA1496" s="15" t="n">
        <x:f>'기준스탯 72종'!E67*H1496</x:f>
        <x:v>0.9600000000000002</x:v>
      </x:c>
      <x:c r="AB1496" s="15" t="n">
        <x:f>'기준스탯 72종'!F67*H1496</x:f>
        <x:v>1.0800000000000003</x:v>
      </x:c>
      <x:c r="AC1496" s="15" t="n">
        <x:f>'기준스탯 72종'!G67*H1496</x:f>
        <x:v>0.7200000000000002</x:v>
      </x:c>
      <x:c r="AD1496" s="15" t="n">
        <x:f>'기준스탯 72종'!H67*H1496</x:f>
        <x:v>0.24000000000000005</x:v>
      </x:c>
      <x:c r="AE1496" s="15" t="n">
        <x:f>'기준스탯 72종'!I67*H1496</x:f>
        <x:v>0.8400000000000002</x:v>
      </x:c>
      <x:c r="AF1496" s="15" t="n">
        <x:f>'기준스탯 72종'!J67*H1496</x:f>
        <x:v>0.12000000000000002</x:v>
      </x:c>
      <x:c r="AG1496" s="15" t="n">
        <x:f>'기준스탯 72종'!K67*H1496</x:f>
        <x:v>0.7200000000000002</x:v>
      </x:c>
    </x:row>
    <x:row r="1497" ht="28" customHeight="1">
      <x:c r="A1497" s="2" t="n">
        <x:v>1490</x:v>
      </x:c>
      <x:c r="B1497" s="2" t="n">
        <x:v>60</x:v>
      </x:c>
      <x:c r="C1497" s="2" t="str">
        <x:v>염소자리</x:v>
      </x:c>
      <x:c r="D1497" s="2" t="str">
        <x:v>전사</x:v>
      </x:c>
      <x:c r="E1497" s="2" t="n">
        <x:v>5</x:v>
      </x:c>
      <x:c r="F1497" s="2" t="n">
        <x:v>3</x:v>
      </x:c>
      <x:c r="G1497" s="14" t="n">
        <x:f>('레벨 계산식'!$E$4-E1497)*'레벨 계산식'!$B$5</x:f>
        <x:v>0</x:v>
      </x:c>
      <x:c r="H1497" s="14" t="n">
        <x:f>('등급 계산식'!$E$4-F1497)*'등급 계산식'!$B$5</x:f>
        <x:v>0.12000000000000002</x:v>
      </x:c>
      <x:c r="I1497" s="14" t="n">
        <x:f>1-G1497-H1497</x:f>
        <x:v>0.88</x:v>
      </x:c>
      <x:c r="J1497" s="2" t="n">
        <x:f>MAX(1,ROUND('기준스탯 72종'!D67-R1497-Z1497,0))</x:f>
        <x:v>7</x:v>
      </x:c>
      <x:c r="K1497" s="2" t="n">
        <x:f>MAX(1,ROUND('기준스탯 72종'!E67-S1497-AA1497,0))</x:f>
        <x:v>7</x:v>
      </x:c>
      <x:c r="L1497" s="2" t="n">
        <x:f>MAX(1,ROUND('기준스탯 72종'!F67-T1497-AB1497,0))</x:f>
        <x:v>8</x:v>
      </x:c>
      <x:c r="M1497" s="2" t="n">
        <x:f>MAX(1,ROUND('기준스탯 72종'!G67-U1497-AC1497,0))</x:f>
        <x:v>5</x:v>
      </x:c>
      <x:c r="N1497" s="2" t="n">
        <x:f>MAX(0,ROUND('기준스탯 72종'!H67-V1497-AD1497,0))</x:f>
        <x:v>2</x:v>
      </x:c>
      <x:c r="O1497" s="2" t="n">
        <x:f>MAX(0,ROUND('기준스탯 72종'!I67-W1497-AE1497,0))</x:f>
        <x:v>6</x:v>
      </x:c>
      <x:c r="P1497" s="2" t="n">
        <x:f>MAX(0,ROUND('기준스탯 72종'!J67-X1497-AF1497,0))</x:f>
        <x:v>1</x:v>
      </x:c>
      <x:c r="Q1497" s="2" t="n">
        <x:f>MAX(0,ROUND('기준스탯 72종'!K67-Y1497-AG1497,0))</x:f>
        <x:v>5</x:v>
      </x:c>
      <x:c r="R1497" s="15" t="n">
        <x:f>'기준스탯 72종'!D67*G1497</x:f>
        <x:v>0</x:v>
      </x:c>
      <x:c r="S1497" s="15" t="n">
        <x:f>'기준스탯 72종'!E67*G1497</x:f>
        <x:v>0</x:v>
      </x:c>
      <x:c r="T1497" s="15" t="n">
        <x:f>'기준스탯 72종'!F67*G1497</x:f>
        <x:v>0</x:v>
      </x:c>
      <x:c r="U1497" s="15" t="n">
        <x:f>'기준스탯 72종'!G67*G1497</x:f>
        <x:v>0</x:v>
      </x:c>
      <x:c r="V1497" s="15" t="n">
        <x:f>'기준스탯 72종'!H67*G1497</x:f>
        <x:v>0</x:v>
      </x:c>
      <x:c r="W1497" s="15" t="n">
        <x:f>'기준스탯 72종'!I67*G1497</x:f>
        <x:v>0</x:v>
      </x:c>
      <x:c r="X1497" s="15" t="n">
        <x:f>'기준스탯 72종'!J67*G1497</x:f>
        <x:v>0</x:v>
      </x:c>
      <x:c r="Y1497" s="15" t="n">
        <x:f>'기준스탯 72종'!K67*G1497</x:f>
        <x:v>0</x:v>
      </x:c>
      <x:c r="Z1497" s="15" t="n">
        <x:f>'기준스탯 72종'!D67*H1497</x:f>
        <x:v>0.9600000000000002</x:v>
      </x:c>
      <x:c r="AA1497" s="15" t="n">
        <x:f>'기준스탯 72종'!E67*H1497</x:f>
        <x:v>0.9600000000000002</x:v>
      </x:c>
      <x:c r="AB1497" s="15" t="n">
        <x:f>'기준스탯 72종'!F67*H1497</x:f>
        <x:v>1.0800000000000003</x:v>
      </x:c>
      <x:c r="AC1497" s="15" t="n">
        <x:f>'기준스탯 72종'!G67*H1497</x:f>
        <x:v>0.7200000000000002</x:v>
      </x:c>
      <x:c r="AD1497" s="15" t="n">
        <x:f>'기준스탯 72종'!H67*H1497</x:f>
        <x:v>0.24000000000000005</x:v>
      </x:c>
      <x:c r="AE1497" s="15" t="n">
        <x:f>'기준스탯 72종'!I67*H1497</x:f>
        <x:v>0.8400000000000002</x:v>
      </x:c>
      <x:c r="AF1497" s="15" t="n">
        <x:f>'기준스탯 72종'!J67*H1497</x:f>
        <x:v>0.12000000000000002</x:v>
      </x:c>
      <x:c r="AG1497" s="15" t="n">
        <x:f>'기준스탯 72종'!K67*H1497</x:f>
        <x:v>0.7200000000000002</x:v>
      </x:c>
    </x:row>
    <x:row r="1498" ht="28" customHeight="1">
      <x:c r="A1498" s="2" t="n">
        <x:v>1491</x:v>
      </x:c>
      <x:c r="B1498" s="2" t="n">
        <x:v>60</x:v>
      </x:c>
      <x:c r="C1498" s="2" t="str">
        <x:v>염소자리</x:v>
      </x:c>
      <x:c r="D1498" s="2" t="str">
        <x:v>전사</x:v>
      </x:c>
      <x:c r="E1498" s="2" t="n">
        <x:v>1</x:v>
      </x:c>
      <x:c r="F1498" s="2" t="n">
        <x:v>4</x:v>
      </x:c>
      <x:c r="G1498" s="14" t="n">
        <x:f>('레벨 계산식'!$E$4-E1498)*'레벨 계산식'!$B$5</x:f>
        <x:v>0.5599999999999999</x:v>
      </x:c>
      <x:c r="H1498" s="14" t="n">
        <x:f>('등급 계산식'!$E$4-F1498)*'등급 계산식'!$B$5</x:f>
        <x:v>0.06000000000000001</x:v>
      </x:c>
      <x:c r="I1498" s="14" t="n">
        <x:f>1-G1498-H1498</x:f>
        <x:v>0.38000000000000006</x:v>
      </x:c>
      <x:c r="J1498" s="2" t="n">
        <x:f>MAX(1,ROUND('기준스탯 72종'!D67-R1498-Z1498,0))</x:f>
        <x:v>3</x:v>
      </x:c>
      <x:c r="K1498" s="2" t="n">
        <x:f>MAX(1,ROUND('기준스탯 72종'!E67-S1498-AA1498,0))</x:f>
        <x:v>3</x:v>
      </x:c>
      <x:c r="L1498" s="2" t="n">
        <x:f>MAX(1,ROUND('기준스탯 72종'!F67-T1498-AB1498,0))</x:f>
        <x:v>3</x:v>
      </x:c>
      <x:c r="M1498" s="2" t="n">
        <x:f>MAX(1,ROUND('기준스탯 72종'!G67-U1498-AC1498,0))</x:f>
        <x:v>2</x:v>
      </x:c>
      <x:c r="N1498" s="2" t="n">
        <x:f>MAX(0,ROUND('기준스탯 72종'!H67-V1498-AD1498,0))</x:f>
        <x:v>1</x:v>
      </x:c>
      <x:c r="O1498" s="2" t="n">
        <x:f>MAX(0,ROUND('기준스탯 72종'!I67-W1498-AE1498,0))</x:f>
        <x:v>3</x:v>
      </x:c>
      <x:c r="P1498" s="2" t="n">
        <x:f>MAX(0,ROUND('기준스탯 72종'!J67-X1498-AF1498,0))</x:f>
        <x:v>0</x:v>
      </x:c>
      <x:c r="Q1498" s="2" t="n">
        <x:f>MAX(0,ROUND('기준스탯 72종'!K67-Y1498-AG1498,0))</x:f>
        <x:v>2</x:v>
      </x:c>
      <x:c r="R1498" s="15" t="n">
        <x:f>'기준스탯 72종'!D67*G1498</x:f>
        <x:v>4.4799999999999995</x:v>
      </x:c>
      <x:c r="S1498" s="15" t="n">
        <x:f>'기준스탯 72종'!E67*G1498</x:f>
        <x:v>4.4799999999999995</x:v>
      </x:c>
      <x:c r="T1498" s="15" t="n">
        <x:f>'기준스탯 72종'!F67*G1498</x:f>
        <x:v>5.039999999999999</x:v>
      </x:c>
      <x:c r="U1498" s="15" t="n">
        <x:f>'기준스탯 72종'!G67*G1498</x:f>
        <x:v>3.3599999999999994</x:v>
      </x:c>
      <x:c r="V1498" s="15" t="n">
        <x:f>'기준스탯 72종'!H67*G1498</x:f>
        <x:v>1.1199999999999999</x:v>
      </x:c>
      <x:c r="W1498" s="15" t="n">
        <x:f>'기준스탯 72종'!I67*G1498</x:f>
        <x:v>3.9199999999999995</x:v>
      </x:c>
      <x:c r="X1498" s="15" t="n">
        <x:f>'기준스탯 72종'!J67*G1498</x:f>
        <x:v>0.5599999999999999</x:v>
      </x:c>
      <x:c r="Y1498" s="15" t="n">
        <x:f>'기준스탯 72종'!K67*G1498</x:f>
        <x:v>3.3599999999999994</x:v>
      </x:c>
      <x:c r="Z1498" s="15" t="n">
        <x:f>'기준스탯 72종'!D67*H1498</x:f>
        <x:v>0.4800000000000001</x:v>
      </x:c>
      <x:c r="AA1498" s="15" t="n">
        <x:f>'기준스탯 72종'!E67*H1498</x:f>
        <x:v>0.4800000000000001</x:v>
      </x:c>
      <x:c r="AB1498" s="15" t="n">
        <x:f>'기준스탯 72종'!F67*H1498</x:f>
        <x:v>0.5400000000000001</x:v>
      </x:c>
      <x:c r="AC1498" s="15" t="n">
        <x:f>'기준스탯 72종'!G67*H1498</x:f>
        <x:v>0.3600000000000001</x:v>
      </x:c>
      <x:c r="AD1498" s="15" t="n">
        <x:f>'기준스탯 72종'!H67*H1498</x:f>
        <x:v>0.12000000000000002</x:v>
      </x:c>
      <x:c r="AE1498" s="15" t="n">
        <x:f>'기준스탯 72종'!I67*H1498</x:f>
        <x:v>0.4200000000000001</x:v>
      </x:c>
      <x:c r="AF1498" s="15" t="n">
        <x:f>'기준스탯 72종'!J67*H1498</x:f>
        <x:v>0.06000000000000001</x:v>
      </x:c>
      <x:c r="AG1498" s="15" t="n">
        <x:f>'기준스탯 72종'!K67*H1498</x:f>
        <x:v>0.3600000000000001</x:v>
      </x:c>
    </x:row>
    <x:row r="1499" ht="28" customHeight="1">
      <x:c r="A1499" s="2" t="n">
        <x:v>1492</x:v>
      </x:c>
      <x:c r="B1499" s="2" t="n">
        <x:v>60</x:v>
      </x:c>
      <x:c r="C1499" s="2" t="str">
        <x:v>염소자리</x:v>
      </x:c>
      <x:c r="D1499" s="2" t="str">
        <x:v>전사</x:v>
      </x:c>
      <x:c r="E1499" s="2" t="n">
        <x:v>2</x:v>
      </x:c>
      <x:c r="F1499" s="2" t="n">
        <x:v>4</x:v>
      </x:c>
      <x:c r="G1499" s="14" t="n">
        <x:f>('레벨 계산식'!$E$4-E1499)*'레벨 계산식'!$B$5</x:f>
        <x:v>0.41999999999999993</x:v>
      </x:c>
      <x:c r="H1499" s="14" t="n">
        <x:f>('등급 계산식'!$E$4-F1499)*'등급 계산식'!$B$5</x:f>
        <x:v>0.06000000000000001</x:v>
      </x:c>
      <x:c r="I1499" s="14" t="n">
        <x:f>1-G1499-H1499</x:f>
        <x:v>0.52</x:v>
      </x:c>
      <x:c r="J1499" s="2" t="n">
        <x:f>MAX(1,ROUND('기준스탯 72종'!D67-R1499-Z1499,0))</x:f>
        <x:v>4</x:v>
      </x:c>
      <x:c r="K1499" s="2" t="n">
        <x:f>MAX(1,ROUND('기준스탯 72종'!E67-S1499-AA1499,0))</x:f>
        <x:v>4</x:v>
      </x:c>
      <x:c r="L1499" s="2" t="n">
        <x:f>MAX(1,ROUND('기준스탯 72종'!F67-T1499-AB1499,0))</x:f>
        <x:v>5</x:v>
      </x:c>
      <x:c r="M1499" s="2" t="n">
        <x:f>MAX(1,ROUND('기준스탯 72종'!G67-U1499-AC1499,0))</x:f>
        <x:v>3</x:v>
      </x:c>
      <x:c r="N1499" s="2" t="n">
        <x:f>MAX(0,ROUND('기준스탯 72종'!H67-V1499-AD1499,0))</x:f>
        <x:v>1</x:v>
      </x:c>
      <x:c r="O1499" s="2" t="n">
        <x:f>MAX(0,ROUND('기준스탯 72종'!I67-W1499-AE1499,0))</x:f>
        <x:v>4</x:v>
      </x:c>
      <x:c r="P1499" s="2" t="n">
        <x:f>MAX(0,ROUND('기준스탯 72종'!J67-X1499-AF1499,0))</x:f>
        <x:v>1</x:v>
      </x:c>
      <x:c r="Q1499" s="2" t="n">
        <x:f>MAX(0,ROUND('기준스탯 72종'!K67-Y1499-AG1499,0))</x:f>
        <x:v>3</x:v>
      </x:c>
      <x:c r="R1499" s="15" t="n">
        <x:f>'기준스탯 72종'!D67*G1499</x:f>
        <x:v>3.3599999999999994</x:v>
      </x:c>
      <x:c r="S1499" s="15" t="n">
        <x:f>'기준스탯 72종'!E67*G1499</x:f>
        <x:v>3.3599999999999994</x:v>
      </x:c>
      <x:c r="T1499" s="15" t="n">
        <x:f>'기준스탯 72종'!F67*G1499</x:f>
        <x:v>3.7799999999999994</x:v>
      </x:c>
      <x:c r="U1499" s="15" t="n">
        <x:f>'기준스탯 72종'!G67*G1499</x:f>
        <x:v>2.5199999999999996</x:v>
      </x:c>
      <x:c r="V1499" s="15" t="n">
        <x:f>'기준스탯 72종'!H67*G1499</x:f>
        <x:v>0.8399999999999999</x:v>
      </x:c>
      <x:c r="W1499" s="15" t="n">
        <x:f>'기준스탯 72종'!I67*G1499</x:f>
        <x:v>2.9399999999999995</x:v>
      </x:c>
      <x:c r="X1499" s="15" t="n">
        <x:f>'기준스탯 72종'!J67*G1499</x:f>
        <x:v>0.41999999999999993</x:v>
      </x:c>
      <x:c r="Y1499" s="15" t="n">
        <x:f>'기준스탯 72종'!K67*G1499</x:f>
        <x:v>2.5199999999999996</x:v>
      </x:c>
      <x:c r="Z1499" s="15" t="n">
        <x:f>'기준스탯 72종'!D67*H1499</x:f>
        <x:v>0.4800000000000001</x:v>
      </x:c>
      <x:c r="AA1499" s="15" t="n">
        <x:f>'기준스탯 72종'!E67*H1499</x:f>
        <x:v>0.4800000000000001</x:v>
      </x:c>
      <x:c r="AB1499" s="15" t="n">
        <x:f>'기준스탯 72종'!F67*H1499</x:f>
        <x:v>0.5400000000000001</x:v>
      </x:c>
      <x:c r="AC1499" s="15" t="n">
        <x:f>'기준스탯 72종'!G67*H1499</x:f>
        <x:v>0.3600000000000001</x:v>
      </x:c>
      <x:c r="AD1499" s="15" t="n">
        <x:f>'기준스탯 72종'!H67*H1499</x:f>
        <x:v>0.12000000000000002</x:v>
      </x:c>
      <x:c r="AE1499" s="15" t="n">
        <x:f>'기준스탯 72종'!I67*H1499</x:f>
        <x:v>0.4200000000000001</x:v>
      </x:c>
      <x:c r="AF1499" s="15" t="n">
        <x:f>'기준스탯 72종'!J67*H1499</x:f>
        <x:v>0.06000000000000001</x:v>
      </x:c>
      <x:c r="AG1499" s="15" t="n">
        <x:f>'기준스탯 72종'!K67*H1499</x:f>
        <x:v>0.3600000000000001</x:v>
      </x:c>
    </x:row>
    <x:row r="1500" ht="28" customHeight="1">
      <x:c r="A1500" s="2" t="n">
        <x:v>1493</x:v>
      </x:c>
      <x:c r="B1500" s="2" t="n">
        <x:v>60</x:v>
      </x:c>
      <x:c r="C1500" s="2" t="str">
        <x:v>염소자리</x:v>
      </x:c>
      <x:c r="D1500" s="2" t="str">
        <x:v>전사</x:v>
      </x:c>
      <x:c r="E1500" s="2" t="n">
        <x:v>3</x:v>
      </x:c>
      <x:c r="F1500" s="2" t="n">
        <x:v>4</x:v>
      </x:c>
      <x:c r="G1500" s="14" t="n">
        <x:f>('레벨 계산식'!$E$4-E1500)*'레벨 계산식'!$B$5</x:f>
        <x:v>0.27999999999999997</x:v>
      </x:c>
      <x:c r="H1500" s="14" t="n">
        <x:f>('등급 계산식'!$E$4-F1500)*'등급 계산식'!$B$5</x:f>
        <x:v>0.06000000000000001</x:v>
      </x:c>
      <x:c r="I1500" s="14" t="n">
        <x:f>1-G1500-H1500</x:f>
        <x:v>0.6599999999999999</x:v>
      </x:c>
      <x:c r="J1500" s="2" t="n">
        <x:f>MAX(1,ROUND('기준스탯 72종'!D67-R1500-Z1500,0))</x:f>
        <x:v>5</x:v>
      </x:c>
      <x:c r="K1500" s="2" t="n">
        <x:f>MAX(1,ROUND('기준스탯 72종'!E67-S1500-AA1500,0))</x:f>
        <x:v>5</x:v>
      </x:c>
      <x:c r="L1500" s="2" t="n">
        <x:f>MAX(1,ROUND('기준스탯 72종'!F67-T1500-AB1500,0))</x:f>
        <x:v>6</x:v>
      </x:c>
      <x:c r="M1500" s="2" t="n">
        <x:f>MAX(1,ROUND('기준스탯 72종'!G67-U1500-AC1500,0))</x:f>
        <x:v>4</x:v>
      </x:c>
      <x:c r="N1500" s="2" t="n">
        <x:f>MAX(0,ROUND('기준스탯 72종'!H67-V1500-AD1500,0))</x:f>
        <x:v>1</x:v>
      </x:c>
      <x:c r="O1500" s="2" t="n">
        <x:f>MAX(0,ROUND('기준스탯 72종'!I67-W1500-AE1500,0))</x:f>
        <x:v>5</x:v>
      </x:c>
      <x:c r="P1500" s="2" t="n">
        <x:f>MAX(0,ROUND('기준스탯 72종'!J67-X1500-AF1500,0))</x:f>
        <x:v>1</x:v>
      </x:c>
      <x:c r="Q1500" s="2" t="n">
        <x:f>MAX(0,ROUND('기준스탯 72종'!K67-Y1500-AG1500,0))</x:f>
        <x:v>4</x:v>
      </x:c>
      <x:c r="R1500" s="15" t="n">
        <x:f>'기준스탯 72종'!D67*G1500</x:f>
        <x:v>2.2399999999999998</x:v>
      </x:c>
      <x:c r="S1500" s="15" t="n">
        <x:f>'기준스탯 72종'!E67*G1500</x:f>
        <x:v>2.2399999999999998</x:v>
      </x:c>
      <x:c r="T1500" s="15" t="n">
        <x:f>'기준스탯 72종'!F67*G1500</x:f>
        <x:v>2.5199999999999996</x:v>
      </x:c>
      <x:c r="U1500" s="15" t="n">
        <x:f>'기준스탯 72종'!G67*G1500</x:f>
        <x:v>1.6799999999999997</x:v>
      </x:c>
      <x:c r="V1500" s="15" t="n">
        <x:f>'기준스탯 72종'!H67*G1500</x:f>
        <x:v>0.5599999999999999</x:v>
      </x:c>
      <x:c r="W1500" s="15" t="n">
        <x:f>'기준스탯 72종'!I67*G1500</x:f>
        <x:v>1.9599999999999997</x:v>
      </x:c>
      <x:c r="X1500" s="15" t="n">
        <x:f>'기준스탯 72종'!J67*G1500</x:f>
        <x:v>0.27999999999999997</x:v>
      </x:c>
      <x:c r="Y1500" s="15" t="n">
        <x:f>'기준스탯 72종'!K67*G1500</x:f>
        <x:v>1.6799999999999997</x:v>
      </x:c>
      <x:c r="Z1500" s="15" t="n">
        <x:f>'기준스탯 72종'!D67*H1500</x:f>
        <x:v>0.4800000000000001</x:v>
      </x:c>
      <x:c r="AA1500" s="15" t="n">
        <x:f>'기준스탯 72종'!E67*H1500</x:f>
        <x:v>0.4800000000000001</x:v>
      </x:c>
      <x:c r="AB1500" s="15" t="n">
        <x:f>'기준스탯 72종'!F67*H1500</x:f>
        <x:v>0.5400000000000001</x:v>
      </x:c>
      <x:c r="AC1500" s="15" t="n">
        <x:f>'기준스탯 72종'!G67*H1500</x:f>
        <x:v>0.3600000000000001</x:v>
      </x:c>
      <x:c r="AD1500" s="15" t="n">
        <x:f>'기준스탯 72종'!H67*H1500</x:f>
        <x:v>0.12000000000000002</x:v>
      </x:c>
      <x:c r="AE1500" s="15" t="n">
        <x:f>'기준스탯 72종'!I67*H1500</x:f>
        <x:v>0.4200000000000001</x:v>
      </x:c>
      <x:c r="AF1500" s="15" t="n">
        <x:f>'기준스탯 72종'!J67*H1500</x:f>
        <x:v>0.06000000000000001</x:v>
      </x:c>
      <x:c r="AG1500" s="15" t="n">
        <x:f>'기준스탯 72종'!K67*H1500</x:f>
        <x:v>0.3600000000000001</x:v>
      </x:c>
    </x:row>
    <x:row r="1501" ht="28" customHeight="1">
      <x:c r="A1501" s="2" t="n">
        <x:v>1494</x:v>
      </x:c>
      <x:c r="B1501" s="2" t="n">
        <x:v>60</x:v>
      </x:c>
      <x:c r="C1501" s="2" t="str">
        <x:v>염소자리</x:v>
      </x:c>
      <x:c r="D1501" s="2" t="str">
        <x:v>전사</x:v>
      </x:c>
      <x:c r="E1501" s="2" t="n">
        <x:v>4</x:v>
      </x:c>
      <x:c r="F1501" s="2" t="n">
        <x:v>4</x:v>
      </x:c>
      <x:c r="G1501" s="14" t="n">
        <x:f>('레벨 계산식'!$E$4-E1501)*'레벨 계산식'!$B$5</x:f>
        <x:v>0.13999999999999999</x:v>
      </x:c>
      <x:c r="H1501" s="14" t="n">
        <x:f>('등급 계산식'!$E$4-F1501)*'등급 계산식'!$B$5</x:f>
        <x:v>0.06000000000000001</x:v>
      </x:c>
      <x:c r="I1501" s="14" t="n">
        <x:f>1-G1501-H1501</x:f>
        <x:v>0.7999999999999999</x:v>
      </x:c>
      <x:c r="J1501" s="2" t="n">
        <x:f>MAX(1,ROUND('기준스탯 72종'!D67-R1501-Z1501,0))</x:f>
        <x:v>6</x:v>
      </x:c>
      <x:c r="K1501" s="2" t="n">
        <x:f>MAX(1,ROUND('기준스탯 72종'!E67-S1501-AA1501,0))</x:f>
        <x:v>6</x:v>
      </x:c>
      <x:c r="L1501" s="2" t="n">
        <x:f>MAX(1,ROUND('기준스탯 72종'!F67-T1501-AB1501,0))</x:f>
        <x:v>7</x:v>
      </x:c>
      <x:c r="M1501" s="2" t="n">
        <x:f>MAX(1,ROUND('기준스탯 72종'!G67-U1501-AC1501,0))</x:f>
        <x:v>5</x:v>
      </x:c>
      <x:c r="N1501" s="2" t="n">
        <x:f>MAX(0,ROUND('기준스탯 72종'!H67-V1501-AD1501,0))</x:f>
        <x:v>2</x:v>
      </x:c>
      <x:c r="O1501" s="2" t="n">
        <x:f>MAX(0,ROUND('기준스탯 72종'!I67-W1501-AE1501,0))</x:f>
        <x:v>6</x:v>
      </x:c>
      <x:c r="P1501" s="2" t="n">
        <x:f>MAX(0,ROUND('기준스탯 72종'!J67-X1501-AF1501,0))</x:f>
        <x:v>1</x:v>
      </x:c>
      <x:c r="Q1501" s="2" t="n">
        <x:f>MAX(0,ROUND('기준스탯 72종'!K67-Y1501-AG1501,0))</x:f>
        <x:v>5</x:v>
      </x:c>
      <x:c r="R1501" s="15" t="n">
        <x:f>'기준스탯 72종'!D67*G1501</x:f>
        <x:v>1.1199999999999999</x:v>
      </x:c>
      <x:c r="S1501" s="15" t="n">
        <x:f>'기준스탯 72종'!E67*G1501</x:f>
        <x:v>1.1199999999999999</x:v>
      </x:c>
      <x:c r="T1501" s="15" t="n">
        <x:f>'기준스탯 72종'!F67*G1501</x:f>
        <x:v>1.2599999999999998</x:v>
      </x:c>
      <x:c r="U1501" s="15" t="n">
        <x:f>'기준스탯 72종'!G67*G1501</x:f>
        <x:v>0.8399999999999999</x:v>
      </x:c>
      <x:c r="V1501" s="15" t="n">
        <x:f>'기준스탯 72종'!H67*G1501</x:f>
        <x:v>0.27999999999999997</x:v>
      </x:c>
      <x:c r="W1501" s="15" t="n">
        <x:f>'기준스탯 72종'!I67*G1501</x:f>
        <x:v>0.9799999999999999</x:v>
      </x:c>
      <x:c r="X1501" s="15" t="n">
        <x:f>'기준스탯 72종'!J67*G1501</x:f>
        <x:v>0.13999999999999999</x:v>
      </x:c>
      <x:c r="Y1501" s="15" t="n">
        <x:f>'기준스탯 72종'!K67*G1501</x:f>
        <x:v>0.8399999999999999</x:v>
      </x:c>
      <x:c r="Z1501" s="15" t="n">
        <x:f>'기준스탯 72종'!D67*H1501</x:f>
        <x:v>0.4800000000000001</x:v>
      </x:c>
      <x:c r="AA1501" s="15" t="n">
        <x:f>'기준스탯 72종'!E67*H1501</x:f>
        <x:v>0.4800000000000001</x:v>
      </x:c>
      <x:c r="AB1501" s="15" t="n">
        <x:f>'기준스탯 72종'!F67*H1501</x:f>
        <x:v>0.5400000000000001</x:v>
      </x:c>
      <x:c r="AC1501" s="15" t="n">
        <x:f>'기준스탯 72종'!G67*H1501</x:f>
        <x:v>0.3600000000000001</x:v>
      </x:c>
      <x:c r="AD1501" s="15" t="n">
        <x:f>'기준스탯 72종'!H67*H1501</x:f>
        <x:v>0.12000000000000002</x:v>
      </x:c>
      <x:c r="AE1501" s="15" t="n">
        <x:f>'기준스탯 72종'!I67*H1501</x:f>
        <x:v>0.4200000000000001</x:v>
      </x:c>
      <x:c r="AF1501" s="15" t="n">
        <x:f>'기준스탯 72종'!J67*H1501</x:f>
        <x:v>0.06000000000000001</x:v>
      </x:c>
      <x:c r="AG1501" s="15" t="n">
        <x:f>'기준스탯 72종'!K67*H1501</x:f>
        <x:v>0.3600000000000001</x:v>
      </x:c>
    </x:row>
    <x:row r="1502" ht="28" customHeight="1">
      <x:c r="A1502" s="2" t="n">
        <x:v>1495</x:v>
      </x:c>
      <x:c r="B1502" s="2" t="n">
        <x:v>60</x:v>
      </x:c>
      <x:c r="C1502" s="2" t="str">
        <x:v>염소자리</x:v>
      </x:c>
      <x:c r="D1502" s="2" t="str">
        <x:v>전사</x:v>
      </x:c>
      <x:c r="E1502" s="2" t="n">
        <x:v>5</x:v>
      </x:c>
      <x:c r="F1502" s="2" t="n">
        <x:v>4</x:v>
      </x:c>
      <x:c r="G1502" s="14" t="n">
        <x:f>('레벨 계산식'!$E$4-E1502)*'레벨 계산식'!$B$5</x:f>
        <x:v>0</x:v>
      </x:c>
      <x:c r="H1502" s="14" t="n">
        <x:f>('등급 계산식'!$E$4-F1502)*'등급 계산식'!$B$5</x:f>
        <x:v>0.06000000000000001</x:v>
      </x:c>
      <x:c r="I1502" s="14" t="n">
        <x:f>1-G1502-H1502</x:f>
        <x:v>0.94</x:v>
      </x:c>
      <x:c r="J1502" s="2" t="n">
        <x:f>MAX(1,ROUND('기준스탯 72종'!D67-R1502-Z1502,0))</x:f>
        <x:v>8</x:v>
      </x:c>
      <x:c r="K1502" s="2" t="n">
        <x:f>MAX(1,ROUND('기준스탯 72종'!E67-S1502-AA1502,0))</x:f>
        <x:v>8</x:v>
      </x:c>
      <x:c r="L1502" s="2" t="n">
        <x:f>MAX(1,ROUND('기준스탯 72종'!F67-T1502-AB1502,0))</x:f>
        <x:v>8</x:v>
      </x:c>
      <x:c r="M1502" s="2" t="n">
        <x:f>MAX(1,ROUND('기준스탯 72종'!G67-U1502-AC1502,0))</x:f>
        <x:v>6</x:v>
      </x:c>
      <x:c r="N1502" s="2" t="n">
        <x:f>MAX(0,ROUND('기준스탯 72종'!H67-V1502-AD1502,0))</x:f>
        <x:v>2</x:v>
      </x:c>
      <x:c r="O1502" s="2" t="n">
        <x:f>MAX(0,ROUND('기준스탯 72종'!I67-W1502-AE1502,0))</x:f>
        <x:v>7</x:v>
      </x:c>
      <x:c r="P1502" s="2" t="n">
        <x:f>MAX(0,ROUND('기준스탯 72종'!J67-X1502-AF1502,0))</x:f>
        <x:v>1</x:v>
      </x:c>
      <x:c r="Q1502" s="2" t="n">
        <x:f>MAX(0,ROUND('기준스탯 72종'!K67-Y1502-AG1502,0))</x:f>
        <x:v>6</x:v>
      </x:c>
      <x:c r="R1502" s="15" t="n">
        <x:f>'기준스탯 72종'!D67*G1502</x:f>
        <x:v>0</x:v>
      </x:c>
      <x:c r="S1502" s="15" t="n">
        <x:f>'기준스탯 72종'!E67*G1502</x:f>
        <x:v>0</x:v>
      </x:c>
      <x:c r="T1502" s="15" t="n">
        <x:f>'기준스탯 72종'!F67*G1502</x:f>
        <x:v>0</x:v>
      </x:c>
      <x:c r="U1502" s="15" t="n">
        <x:f>'기준스탯 72종'!G67*G1502</x:f>
        <x:v>0</x:v>
      </x:c>
      <x:c r="V1502" s="15" t="n">
        <x:f>'기준스탯 72종'!H67*G1502</x:f>
        <x:v>0</x:v>
      </x:c>
      <x:c r="W1502" s="15" t="n">
        <x:f>'기준스탯 72종'!I67*G1502</x:f>
        <x:v>0</x:v>
      </x:c>
      <x:c r="X1502" s="15" t="n">
        <x:f>'기준스탯 72종'!J67*G1502</x:f>
        <x:v>0</x:v>
      </x:c>
      <x:c r="Y1502" s="15" t="n">
        <x:f>'기준스탯 72종'!K67*G1502</x:f>
        <x:v>0</x:v>
      </x:c>
      <x:c r="Z1502" s="15" t="n">
        <x:f>'기준스탯 72종'!D67*H1502</x:f>
        <x:v>0.4800000000000001</x:v>
      </x:c>
      <x:c r="AA1502" s="15" t="n">
        <x:f>'기준스탯 72종'!E67*H1502</x:f>
        <x:v>0.4800000000000001</x:v>
      </x:c>
      <x:c r="AB1502" s="15" t="n">
        <x:f>'기준스탯 72종'!F67*H1502</x:f>
        <x:v>0.5400000000000001</x:v>
      </x:c>
      <x:c r="AC1502" s="15" t="n">
        <x:f>'기준스탯 72종'!G67*H1502</x:f>
        <x:v>0.3600000000000001</x:v>
      </x:c>
      <x:c r="AD1502" s="15" t="n">
        <x:f>'기준스탯 72종'!H67*H1502</x:f>
        <x:v>0.12000000000000002</x:v>
      </x:c>
      <x:c r="AE1502" s="15" t="n">
        <x:f>'기준스탯 72종'!I67*H1502</x:f>
        <x:v>0.4200000000000001</x:v>
      </x:c>
      <x:c r="AF1502" s="15" t="n">
        <x:f>'기준스탯 72종'!J67*H1502</x:f>
        <x:v>0.06000000000000001</x:v>
      </x:c>
      <x:c r="AG1502" s="15" t="n">
        <x:f>'기준스탯 72종'!K67*H1502</x:f>
        <x:v>0.3600000000000001</x:v>
      </x:c>
    </x:row>
    <x:row r="1503" ht="28" customHeight="1">
      <x:c r="A1503" s="2" t="n">
        <x:v>1496</x:v>
      </x:c>
      <x:c r="B1503" s="2" t="n">
        <x:v>60</x:v>
      </x:c>
      <x:c r="C1503" s="2" t="str">
        <x:v>염소자리</x:v>
      </x:c>
      <x:c r="D1503" s="2" t="str">
        <x:v>전사</x:v>
      </x:c>
      <x:c r="E1503" s="2" t="n">
        <x:v>1</x:v>
      </x:c>
      <x:c r="F1503" s="2" t="n">
        <x:v>5</x:v>
      </x:c>
      <x:c r="G1503" s="14" t="n">
        <x:f>('레벨 계산식'!$E$4-E1503)*'레벨 계산식'!$B$5</x:f>
        <x:v>0.5599999999999999</x:v>
      </x:c>
      <x:c r="H1503" s="14" t="n">
        <x:f>('등급 계산식'!$E$4-F1503)*'등급 계산식'!$B$5</x:f>
        <x:v>0</x:v>
      </x:c>
      <x:c r="I1503" s="14" t="n">
        <x:f>1-G1503-H1503</x:f>
        <x:v>0.44000000000000006</x:v>
      </x:c>
      <x:c r="J1503" s="2" t="n">
        <x:f>MAX(1,ROUND('기준스탯 72종'!D67-R1503-Z1503,0))</x:f>
        <x:v>4</x:v>
      </x:c>
      <x:c r="K1503" s="2" t="n">
        <x:f>MAX(1,ROUND('기준스탯 72종'!E67-S1503-AA1503,0))</x:f>
        <x:v>4</x:v>
      </x:c>
      <x:c r="L1503" s="2" t="n">
        <x:f>MAX(1,ROUND('기준스탯 72종'!F67-T1503-AB1503,0))</x:f>
        <x:v>4</x:v>
      </x:c>
      <x:c r="M1503" s="2" t="n">
        <x:f>MAX(1,ROUND('기준스탯 72종'!G67-U1503-AC1503,0))</x:f>
        <x:v>3</x:v>
      </x:c>
      <x:c r="N1503" s="2" t="n">
        <x:f>MAX(0,ROUND('기준스탯 72종'!H67-V1503-AD1503,0))</x:f>
        <x:v>1</x:v>
      </x:c>
      <x:c r="O1503" s="2" t="n">
        <x:f>MAX(0,ROUND('기준스탯 72종'!I67-W1503-AE1503,0))</x:f>
        <x:v>3</x:v>
      </x:c>
      <x:c r="P1503" s="2" t="n">
        <x:f>MAX(0,ROUND('기준스탯 72종'!J67-X1503-AF1503,0))</x:f>
        <x:v>0</x:v>
      </x:c>
      <x:c r="Q1503" s="2" t="n">
        <x:f>MAX(0,ROUND('기준스탯 72종'!K67-Y1503-AG1503,0))</x:f>
        <x:v>3</x:v>
      </x:c>
      <x:c r="R1503" s="15" t="n">
        <x:f>'기준스탯 72종'!D67*G1503</x:f>
        <x:v>4.4799999999999995</x:v>
      </x:c>
      <x:c r="S1503" s="15" t="n">
        <x:f>'기준스탯 72종'!E67*G1503</x:f>
        <x:v>4.4799999999999995</x:v>
      </x:c>
      <x:c r="T1503" s="15" t="n">
        <x:f>'기준스탯 72종'!F67*G1503</x:f>
        <x:v>5.039999999999999</x:v>
      </x:c>
      <x:c r="U1503" s="15" t="n">
        <x:f>'기준스탯 72종'!G67*G1503</x:f>
        <x:v>3.3599999999999994</x:v>
      </x:c>
      <x:c r="V1503" s="15" t="n">
        <x:f>'기준스탯 72종'!H67*G1503</x:f>
        <x:v>1.1199999999999999</x:v>
      </x:c>
      <x:c r="W1503" s="15" t="n">
        <x:f>'기준스탯 72종'!I67*G1503</x:f>
        <x:v>3.9199999999999995</x:v>
      </x:c>
      <x:c r="X1503" s="15" t="n">
        <x:f>'기준스탯 72종'!J67*G1503</x:f>
        <x:v>0.5599999999999999</x:v>
      </x:c>
      <x:c r="Y1503" s="15" t="n">
        <x:f>'기준스탯 72종'!K67*G1503</x:f>
        <x:v>3.3599999999999994</x:v>
      </x:c>
      <x:c r="Z1503" s="15" t="n">
        <x:f>'기준스탯 72종'!D67*H1503</x:f>
        <x:v>0</x:v>
      </x:c>
      <x:c r="AA1503" s="15" t="n">
        <x:f>'기준스탯 72종'!E67*H1503</x:f>
        <x:v>0</x:v>
      </x:c>
      <x:c r="AB1503" s="15" t="n">
        <x:f>'기준스탯 72종'!F67*H1503</x:f>
        <x:v>0</x:v>
      </x:c>
      <x:c r="AC1503" s="15" t="n">
        <x:f>'기준스탯 72종'!G67*H1503</x:f>
        <x:v>0</x:v>
      </x:c>
      <x:c r="AD1503" s="15" t="n">
        <x:f>'기준스탯 72종'!H67*H1503</x:f>
        <x:v>0</x:v>
      </x:c>
      <x:c r="AE1503" s="15" t="n">
        <x:f>'기준스탯 72종'!I67*H1503</x:f>
        <x:v>0</x:v>
      </x:c>
      <x:c r="AF1503" s="15" t="n">
        <x:f>'기준스탯 72종'!J67*H1503</x:f>
        <x:v>0</x:v>
      </x:c>
      <x:c r="AG1503" s="15" t="n">
        <x:f>'기준스탯 72종'!K67*H1503</x:f>
        <x:v>0</x:v>
      </x:c>
    </x:row>
    <x:row r="1504" ht="28" customHeight="1">
      <x:c r="A1504" s="2" t="n">
        <x:v>1497</x:v>
      </x:c>
      <x:c r="B1504" s="2" t="n">
        <x:v>60</x:v>
      </x:c>
      <x:c r="C1504" s="2" t="str">
        <x:v>염소자리</x:v>
      </x:c>
      <x:c r="D1504" s="2" t="str">
        <x:v>전사</x:v>
      </x:c>
      <x:c r="E1504" s="2" t="n">
        <x:v>2</x:v>
      </x:c>
      <x:c r="F1504" s="2" t="n">
        <x:v>5</x:v>
      </x:c>
      <x:c r="G1504" s="14" t="n">
        <x:f>('레벨 계산식'!$E$4-E1504)*'레벨 계산식'!$B$5</x:f>
        <x:v>0.41999999999999993</x:v>
      </x:c>
      <x:c r="H1504" s="14" t="n">
        <x:f>('등급 계산식'!$E$4-F1504)*'등급 계산식'!$B$5</x:f>
        <x:v>0</x:v>
      </x:c>
      <x:c r="I1504" s="14" t="n">
        <x:f>1-G1504-H1504</x:f>
        <x:v>0.5800000000000001</x:v>
      </x:c>
      <x:c r="J1504" s="2" t="n">
        <x:f>MAX(1,ROUND('기준스탯 72종'!D67-R1504-Z1504,0))</x:f>
        <x:v>5</x:v>
      </x:c>
      <x:c r="K1504" s="2" t="n">
        <x:f>MAX(1,ROUND('기준스탯 72종'!E67-S1504-AA1504,0))</x:f>
        <x:v>5</x:v>
      </x:c>
      <x:c r="L1504" s="2" t="n">
        <x:f>MAX(1,ROUND('기준스탯 72종'!F67-T1504-AB1504,0))</x:f>
        <x:v>5</x:v>
      </x:c>
      <x:c r="M1504" s="2" t="n">
        <x:f>MAX(1,ROUND('기준스탯 72종'!G67-U1504-AC1504,0))</x:f>
        <x:v>3</x:v>
      </x:c>
      <x:c r="N1504" s="2" t="n">
        <x:f>MAX(0,ROUND('기준스탯 72종'!H67-V1504-AD1504,0))</x:f>
        <x:v>1</x:v>
      </x:c>
      <x:c r="O1504" s="2" t="n">
        <x:f>MAX(0,ROUND('기준스탯 72종'!I67-W1504-AE1504,0))</x:f>
        <x:v>4</x:v>
      </x:c>
      <x:c r="P1504" s="2" t="n">
        <x:f>MAX(0,ROUND('기준스탯 72종'!J67-X1504-AF1504,0))</x:f>
        <x:v>1</x:v>
      </x:c>
      <x:c r="Q1504" s="2" t="n">
        <x:f>MAX(0,ROUND('기준스탯 72종'!K67-Y1504-AG1504,0))</x:f>
        <x:v>3</x:v>
      </x:c>
      <x:c r="R1504" s="15" t="n">
        <x:f>'기준스탯 72종'!D67*G1504</x:f>
        <x:v>3.3599999999999994</x:v>
      </x:c>
      <x:c r="S1504" s="15" t="n">
        <x:f>'기준스탯 72종'!E67*G1504</x:f>
        <x:v>3.3599999999999994</x:v>
      </x:c>
      <x:c r="T1504" s="15" t="n">
        <x:f>'기준스탯 72종'!F67*G1504</x:f>
        <x:v>3.7799999999999994</x:v>
      </x:c>
      <x:c r="U1504" s="15" t="n">
        <x:f>'기준스탯 72종'!G67*G1504</x:f>
        <x:v>2.5199999999999996</x:v>
      </x:c>
      <x:c r="V1504" s="15" t="n">
        <x:f>'기준스탯 72종'!H67*G1504</x:f>
        <x:v>0.8399999999999999</x:v>
      </x:c>
      <x:c r="W1504" s="15" t="n">
        <x:f>'기준스탯 72종'!I67*G1504</x:f>
        <x:v>2.9399999999999995</x:v>
      </x:c>
      <x:c r="X1504" s="15" t="n">
        <x:f>'기준스탯 72종'!J67*G1504</x:f>
        <x:v>0.41999999999999993</x:v>
      </x:c>
      <x:c r="Y1504" s="15" t="n">
        <x:f>'기준스탯 72종'!K67*G1504</x:f>
        <x:v>2.5199999999999996</x:v>
      </x:c>
      <x:c r="Z1504" s="15" t="n">
        <x:f>'기준스탯 72종'!D67*H1504</x:f>
        <x:v>0</x:v>
      </x:c>
      <x:c r="AA1504" s="15" t="n">
        <x:f>'기준스탯 72종'!E67*H1504</x:f>
        <x:v>0</x:v>
      </x:c>
      <x:c r="AB1504" s="15" t="n">
        <x:f>'기준스탯 72종'!F67*H1504</x:f>
        <x:v>0</x:v>
      </x:c>
      <x:c r="AC1504" s="15" t="n">
        <x:f>'기준스탯 72종'!G67*H1504</x:f>
        <x:v>0</x:v>
      </x:c>
      <x:c r="AD1504" s="15" t="n">
        <x:f>'기준스탯 72종'!H67*H1504</x:f>
        <x:v>0</x:v>
      </x:c>
      <x:c r="AE1504" s="15" t="n">
        <x:f>'기준스탯 72종'!I67*H1504</x:f>
        <x:v>0</x:v>
      </x:c>
      <x:c r="AF1504" s="15" t="n">
        <x:f>'기준스탯 72종'!J67*H1504</x:f>
        <x:v>0</x:v>
      </x:c>
      <x:c r="AG1504" s="15" t="n">
        <x:f>'기준스탯 72종'!K67*H1504</x:f>
        <x:v>0</x:v>
      </x:c>
    </x:row>
    <x:row r="1505" ht="28" customHeight="1">
      <x:c r="A1505" s="2" t="n">
        <x:v>1498</x:v>
      </x:c>
      <x:c r="B1505" s="2" t="n">
        <x:v>60</x:v>
      </x:c>
      <x:c r="C1505" s="2" t="str">
        <x:v>염소자리</x:v>
      </x:c>
      <x:c r="D1505" s="2" t="str">
        <x:v>전사</x:v>
      </x:c>
      <x:c r="E1505" s="2" t="n">
        <x:v>3</x:v>
      </x:c>
      <x:c r="F1505" s="2" t="n">
        <x:v>5</x:v>
      </x:c>
      <x:c r="G1505" s="14" t="n">
        <x:f>('레벨 계산식'!$E$4-E1505)*'레벨 계산식'!$B$5</x:f>
        <x:v>0.27999999999999997</x:v>
      </x:c>
      <x:c r="H1505" s="14" t="n">
        <x:f>('등급 계산식'!$E$4-F1505)*'등급 계산식'!$B$5</x:f>
        <x:v>0</x:v>
      </x:c>
      <x:c r="I1505" s="14" t="n">
        <x:f>1-G1505-H1505</x:f>
        <x:v>0.72</x:v>
      </x:c>
      <x:c r="J1505" s="2" t="n">
        <x:f>MAX(1,ROUND('기준스탯 72종'!D67-R1505-Z1505,0))</x:f>
        <x:v>6</x:v>
      </x:c>
      <x:c r="K1505" s="2" t="n">
        <x:f>MAX(1,ROUND('기준스탯 72종'!E67-S1505-AA1505,0))</x:f>
        <x:v>6</x:v>
      </x:c>
      <x:c r="L1505" s="2" t="n">
        <x:f>MAX(1,ROUND('기준스탯 72종'!F67-T1505-AB1505,0))</x:f>
        <x:v>6</x:v>
      </x:c>
      <x:c r="M1505" s="2" t="n">
        <x:f>MAX(1,ROUND('기준스탯 72종'!G67-U1505-AC1505,0))</x:f>
        <x:v>4</x:v>
      </x:c>
      <x:c r="N1505" s="2" t="n">
        <x:f>MAX(0,ROUND('기준스탯 72종'!H67-V1505-AD1505,0))</x:f>
        <x:v>1</x:v>
      </x:c>
      <x:c r="O1505" s="2" t="n">
        <x:f>MAX(0,ROUND('기준스탯 72종'!I67-W1505-AE1505,0))</x:f>
        <x:v>5</x:v>
      </x:c>
      <x:c r="P1505" s="2" t="n">
        <x:f>MAX(0,ROUND('기준스탯 72종'!J67-X1505-AF1505,0))</x:f>
        <x:v>1</x:v>
      </x:c>
      <x:c r="Q1505" s="2" t="n">
        <x:f>MAX(0,ROUND('기준스탯 72종'!K67-Y1505-AG1505,0))</x:f>
        <x:v>4</x:v>
      </x:c>
      <x:c r="R1505" s="15" t="n">
        <x:f>'기준스탯 72종'!D67*G1505</x:f>
        <x:v>2.2399999999999998</x:v>
      </x:c>
      <x:c r="S1505" s="15" t="n">
        <x:f>'기준스탯 72종'!E67*G1505</x:f>
        <x:v>2.2399999999999998</x:v>
      </x:c>
      <x:c r="T1505" s="15" t="n">
        <x:f>'기준스탯 72종'!F67*G1505</x:f>
        <x:v>2.5199999999999996</x:v>
      </x:c>
      <x:c r="U1505" s="15" t="n">
        <x:f>'기준스탯 72종'!G67*G1505</x:f>
        <x:v>1.6799999999999997</x:v>
      </x:c>
      <x:c r="V1505" s="15" t="n">
        <x:f>'기준스탯 72종'!H67*G1505</x:f>
        <x:v>0.5599999999999999</x:v>
      </x:c>
      <x:c r="W1505" s="15" t="n">
        <x:f>'기준스탯 72종'!I67*G1505</x:f>
        <x:v>1.9599999999999997</x:v>
      </x:c>
      <x:c r="X1505" s="15" t="n">
        <x:f>'기준스탯 72종'!J67*G1505</x:f>
        <x:v>0.27999999999999997</x:v>
      </x:c>
      <x:c r="Y1505" s="15" t="n">
        <x:f>'기준스탯 72종'!K67*G1505</x:f>
        <x:v>1.6799999999999997</x:v>
      </x:c>
      <x:c r="Z1505" s="15" t="n">
        <x:f>'기준스탯 72종'!D67*H1505</x:f>
        <x:v>0</x:v>
      </x:c>
      <x:c r="AA1505" s="15" t="n">
        <x:f>'기준스탯 72종'!E67*H1505</x:f>
        <x:v>0</x:v>
      </x:c>
      <x:c r="AB1505" s="15" t="n">
        <x:f>'기준스탯 72종'!F67*H1505</x:f>
        <x:v>0</x:v>
      </x:c>
      <x:c r="AC1505" s="15" t="n">
        <x:f>'기준스탯 72종'!G67*H1505</x:f>
        <x:v>0</x:v>
      </x:c>
      <x:c r="AD1505" s="15" t="n">
        <x:f>'기준스탯 72종'!H67*H1505</x:f>
        <x:v>0</x:v>
      </x:c>
      <x:c r="AE1505" s="15" t="n">
        <x:f>'기준스탯 72종'!I67*H1505</x:f>
        <x:v>0</x:v>
      </x:c>
      <x:c r="AF1505" s="15" t="n">
        <x:f>'기준스탯 72종'!J67*H1505</x:f>
        <x:v>0</x:v>
      </x:c>
      <x:c r="AG1505" s="15" t="n">
        <x:f>'기준스탯 72종'!K67*H1505</x:f>
        <x:v>0</x:v>
      </x:c>
    </x:row>
    <x:row r="1506" ht="28" customHeight="1">
      <x:c r="A1506" s="2" t="n">
        <x:v>1499</x:v>
      </x:c>
      <x:c r="B1506" s="2" t="n">
        <x:v>60</x:v>
      </x:c>
      <x:c r="C1506" s="2" t="str">
        <x:v>염소자리</x:v>
      </x:c>
      <x:c r="D1506" s="2" t="str">
        <x:v>전사</x:v>
      </x:c>
      <x:c r="E1506" s="2" t="n">
        <x:v>4</x:v>
      </x:c>
      <x:c r="F1506" s="2" t="n">
        <x:v>5</x:v>
      </x:c>
      <x:c r="G1506" s="14" t="n">
        <x:f>('레벨 계산식'!$E$4-E1506)*'레벨 계산식'!$B$5</x:f>
        <x:v>0.13999999999999999</x:v>
      </x:c>
      <x:c r="H1506" s="14" t="n">
        <x:f>('등급 계산식'!$E$4-F1506)*'등급 계산식'!$B$5</x:f>
        <x:v>0</x:v>
      </x:c>
      <x:c r="I1506" s="14" t="n">
        <x:f>1-G1506-H1506</x:f>
        <x:v>0.86</x:v>
      </x:c>
      <x:c r="J1506" s="2" t="n">
        <x:f>MAX(1,ROUND('기준스탯 72종'!D67-R1506-Z1506,0))</x:f>
        <x:v>7</x:v>
      </x:c>
      <x:c r="K1506" s="2" t="n">
        <x:f>MAX(1,ROUND('기준스탯 72종'!E67-S1506-AA1506,0))</x:f>
        <x:v>7</x:v>
      </x:c>
      <x:c r="L1506" s="2" t="n">
        <x:f>MAX(1,ROUND('기준스탯 72종'!F67-T1506-AB1506,0))</x:f>
        <x:v>8</x:v>
      </x:c>
      <x:c r="M1506" s="2" t="n">
        <x:f>MAX(1,ROUND('기준스탯 72종'!G67-U1506-AC1506,0))</x:f>
        <x:v>5</x:v>
      </x:c>
      <x:c r="N1506" s="2" t="n">
        <x:f>MAX(0,ROUND('기준스탯 72종'!H67-V1506-AD1506,0))</x:f>
        <x:v>2</x:v>
      </x:c>
      <x:c r="O1506" s="2" t="n">
        <x:f>MAX(0,ROUND('기준스탯 72종'!I67-W1506-AE1506,0))</x:f>
        <x:v>6</x:v>
      </x:c>
      <x:c r="P1506" s="2" t="n">
        <x:f>MAX(0,ROUND('기준스탯 72종'!J67-X1506-AF1506,0))</x:f>
        <x:v>1</x:v>
      </x:c>
      <x:c r="Q1506" s="2" t="n">
        <x:f>MAX(0,ROUND('기준스탯 72종'!K67-Y1506-AG1506,0))</x:f>
        <x:v>5</x:v>
      </x:c>
      <x:c r="R1506" s="15" t="n">
        <x:f>'기준스탯 72종'!D67*G1506</x:f>
        <x:v>1.1199999999999999</x:v>
      </x:c>
      <x:c r="S1506" s="15" t="n">
        <x:f>'기준스탯 72종'!E67*G1506</x:f>
        <x:v>1.1199999999999999</x:v>
      </x:c>
      <x:c r="T1506" s="15" t="n">
        <x:f>'기준스탯 72종'!F67*G1506</x:f>
        <x:v>1.2599999999999998</x:v>
      </x:c>
      <x:c r="U1506" s="15" t="n">
        <x:f>'기준스탯 72종'!G67*G1506</x:f>
        <x:v>0.8399999999999999</x:v>
      </x:c>
      <x:c r="V1506" s="15" t="n">
        <x:f>'기준스탯 72종'!H67*G1506</x:f>
        <x:v>0.27999999999999997</x:v>
      </x:c>
      <x:c r="W1506" s="15" t="n">
        <x:f>'기준스탯 72종'!I67*G1506</x:f>
        <x:v>0.9799999999999999</x:v>
      </x:c>
      <x:c r="X1506" s="15" t="n">
        <x:f>'기준스탯 72종'!J67*G1506</x:f>
        <x:v>0.13999999999999999</x:v>
      </x:c>
      <x:c r="Y1506" s="15" t="n">
        <x:f>'기준스탯 72종'!K67*G1506</x:f>
        <x:v>0.8399999999999999</x:v>
      </x:c>
      <x:c r="Z1506" s="15" t="n">
        <x:f>'기준스탯 72종'!D67*H1506</x:f>
        <x:v>0</x:v>
      </x:c>
      <x:c r="AA1506" s="15" t="n">
        <x:f>'기준스탯 72종'!E67*H1506</x:f>
        <x:v>0</x:v>
      </x:c>
      <x:c r="AB1506" s="15" t="n">
        <x:f>'기준스탯 72종'!F67*H1506</x:f>
        <x:v>0</x:v>
      </x:c>
      <x:c r="AC1506" s="15" t="n">
        <x:f>'기준스탯 72종'!G67*H1506</x:f>
        <x:v>0</x:v>
      </x:c>
      <x:c r="AD1506" s="15" t="n">
        <x:f>'기준스탯 72종'!H67*H1506</x:f>
        <x:v>0</x:v>
      </x:c>
      <x:c r="AE1506" s="15" t="n">
        <x:f>'기준스탯 72종'!I67*H1506</x:f>
        <x:v>0</x:v>
      </x:c>
      <x:c r="AF1506" s="15" t="n">
        <x:f>'기준스탯 72종'!J67*H1506</x:f>
        <x:v>0</x:v>
      </x:c>
      <x:c r="AG1506" s="15" t="n">
        <x:f>'기준스탯 72종'!K67*H1506</x:f>
        <x:v>0</x:v>
      </x:c>
    </x:row>
    <x:row r="1507" ht="28" customHeight="1">
      <x:c r="A1507" s="2" t="n">
        <x:v>1500</x:v>
      </x:c>
      <x:c r="B1507" s="2" t="n">
        <x:v>60</x:v>
      </x:c>
      <x:c r="C1507" s="2" t="str">
        <x:v>염소자리</x:v>
      </x:c>
      <x:c r="D1507" s="2" t="str">
        <x:v>전사</x:v>
      </x:c>
      <x:c r="E1507" s="2" t="n">
        <x:v>5</x:v>
      </x:c>
      <x:c r="F1507" s="2" t="n">
        <x:v>5</x:v>
      </x:c>
      <x:c r="G1507" s="14" t="n">
        <x:f>('레벨 계산식'!$E$4-E1507)*'레벨 계산식'!$B$5</x:f>
        <x:v>0</x:v>
      </x:c>
      <x:c r="H1507" s="14" t="n">
        <x:f>('등급 계산식'!$E$4-F1507)*'등급 계산식'!$B$5</x:f>
        <x:v>0</x:v>
      </x:c>
      <x:c r="I1507" s="14" t="n">
        <x:f>1-G1507-H1507</x:f>
        <x:v>1</x:v>
      </x:c>
      <x:c r="J1507" s="2" t="n">
        <x:f>MAX(1,ROUND('기준스탯 72종'!D67-R1507-Z1507,0))</x:f>
        <x:v>8</x:v>
      </x:c>
      <x:c r="K1507" s="2" t="n">
        <x:f>MAX(1,ROUND('기준스탯 72종'!E67-S1507-AA1507,0))</x:f>
        <x:v>8</x:v>
      </x:c>
      <x:c r="L1507" s="2" t="n">
        <x:f>MAX(1,ROUND('기준스탯 72종'!F67-T1507-AB1507,0))</x:f>
        <x:v>9</x:v>
      </x:c>
      <x:c r="M1507" s="2" t="n">
        <x:f>MAX(1,ROUND('기준스탯 72종'!G67-U1507-AC1507,0))</x:f>
        <x:v>6</x:v>
      </x:c>
      <x:c r="N1507" s="2" t="n">
        <x:f>MAX(0,ROUND('기준스탯 72종'!H67-V1507-AD1507,0))</x:f>
        <x:v>2</x:v>
      </x:c>
      <x:c r="O1507" s="2" t="n">
        <x:f>MAX(0,ROUND('기준스탯 72종'!I67-W1507-AE1507,0))</x:f>
        <x:v>7</x:v>
      </x:c>
      <x:c r="P1507" s="2" t="n">
        <x:f>MAX(0,ROUND('기준스탯 72종'!J67-X1507-AF1507,0))</x:f>
        <x:v>1</x:v>
      </x:c>
      <x:c r="Q1507" s="2" t="n">
        <x:f>MAX(0,ROUND('기준스탯 72종'!K67-Y1507-AG1507,0))</x:f>
        <x:v>6</x:v>
      </x:c>
      <x:c r="R1507" s="15" t="n">
        <x:f>'기준스탯 72종'!D67*G1507</x:f>
        <x:v>0</x:v>
      </x:c>
      <x:c r="S1507" s="15" t="n">
        <x:f>'기준스탯 72종'!E67*G1507</x:f>
        <x:v>0</x:v>
      </x:c>
      <x:c r="T1507" s="15" t="n">
        <x:f>'기준스탯 72종'!F67*G1507</x:f>
        <x:v>0</x:v>
      </x:c>
      <x:c r="U1507" s="15" t="n">
        <x:f>'기준스탯 72종'!G67*G1507</x:f>
        <x:v>0</x:v>
      </x:c>
      <x:c r="V1507" s="15" t="n">
        <x:f>'기준스탯 72종'!H67*G1507</x:f>
        <x:v>0</x:v>
      </x:c>
      <x:c r="W1507" s="15" t="n">
        <x:f>'기준스탯 72종'!I67*G1507</x:f>
        <x:v>0</x:v>
      </x:c>
      <x:c r="X1507" s="15" t="n">
        <x:f>'기준스탯 72종'!J67*G1507</x:f>
        <x:v>0</x:v>
      </x:c>
      <x:c r="Y1507" s="15" t="n">
        <x:f>'기준스탯 72종'!K67*G1507</x:f>
        <x:v>0</x:v>
      </x:c>
      <x:c r="Z1507" s="15" t="n">
        <x:f>'기준스탯 72종'!D67*H1507</x:f>
        <x:v>0</x:v>
      </x:c>
      <x:c r="AA1507" s="15" t="n">
        <x:f>'기준스탯 72종'!E67*H1507</x:f>
        <x:v>0</x:v>
      </x:c>
      <x:c r="AB1507" s="15" t="n">
        <x:f>'기준스탯 72종'!F67*H1507</x:f>
        <x:v>0</x:v>
      </x:c>
      <x:c r="AC1507" s="15" t="n">
        <x:f>'기준스탯 72종'!G67*H1507</x:f>
        <x:v>0</x:v>
      </x:c>
      <x:c r="AD1507" s="15" t="n">
        <x:f>'기준스탯 72종'!H67*H1507</x:f>
        <x:v>0</x:v>
      </x:c>
      <x:c r="AE1507" s="15" t="n">
        <x:f>'기준스탯 72종'!I67*H1507</x:f>
        <x:v>0</x:v>
      </x:c>
      <x:c r="AF1507" s="15" t="n">
        <x:f>'기준스탯 72종'!J67*H1507</x:f>
        <x:v>0</x:v>
      </x:c>
      <x:c r="AG1507" s="15" t="n">
        <x:f>'기준스탯 72종'!K67*H1507</x:f>
        <x:v>0</x:v>
      </x:c>
    </x:row>
    <x:row r="1508" ht="28" customHeight="1">
      <x:c r="A1508" s="2" t="n">
        <x:v>1501</x:v>
      </x:c>
      <x:c r="B1508" s="2" t="n">
        <x:v>61</x:v>
      </x:c>
      <x:c r="C1508" s="2" t="str">
        <x:v>물병자리</x:v>
      </x:c>
      <x:c r="D1508" s="2" t="str">
        <x:v>기사</x:v>
      </x:c>
      <x:c r="E1508" s="2" t="n">
        <x:v>1</x:v>
      </x:c>
      <x:c r="F1508" s="2" t="n">
        <x:v>1</x:v>
      </x:c>
      <x:c r="G1508" s="14" t="n">
        <x:f>('레벨 계산식'!$E$4-E1508)*'레벨 계산식'!$B$5</x:f>
        <x:v>0.5599999999999999</x:v>
      </x:c>
      <x:c r="H1508" s="14" t="n">
        <x:f>('등급 계산식'!$E$4-F1508)*'등급 계산식'!$B$5</x:f>
        <x:v>0.24000000000000005</x:v>
      </x:c>
      <x:c r="I1508" s="14" t="n">
        <x:f>1-G1508-H1508</x:f>
        <x:v>0.2</x:v>
      </x:c>
      <x:c r="J1508" s="2" t="n">
        <x:f>MAX(1,ROUND('기준스탯 72종'!D68-R1508-Z1508,0))</x:f>
        <x:v>1</x:v>
      </x:c>
      <x:c r="K1508" s="2" t="n">
        <x:f>MAX(1,ROUND('기준스탯 72종'!E68-S1508-AA1508,0))</x:f>
        <x:v>2</x:v>
      </x:c>
      <x:c r="L1508" s="2" t="n">
        <x:f>MAX(1,ROUND('기준스탯 72종'!F68-T1508-AB1508,0))</x:f>
        <x:v>2</x:v>
      </x:c>
      <x:c r="M1508" s="2" t="n">
        <x:f>MAX(1,ROUND('기준스탯 72종'!G68-U1508-AC1508,0))</x:f>
        <x:v>2</x:v>
      </x:c>
      <x:c r="N1508" s="2" t="n">
        <x:f>MAX(0,ROUND('기준스탯 72종'!H68-V1508-AD1508,0))</x:f>
        <x:v>1</x:v>
      </x:c>
      <x:c r="O1508" s="2" t="n">
        <x:f>MAX(0,ROUND('기준스탯 72종'!I68-W1508-AE1508,0))</x:f>
        <x:v>1</x:v>
      </x:c>
      <x:c r="P1508" s="2" t="n">
        <x:f>MAX(0,ROUND('기준스탯 72종'!J68-X1508-AF1508,0))</x:f>
        <x:v>1</x:v>
      </x:c>
      <x:c r="Q1508" s="2" t="n">
        <x:f>MAX(0,ROUND('기준스탯 72종'!K68-Y1508-AG1508,0))</x:f>
        <x:v>1</x:v>
      </x:c>
      <x:c r="R1508" s="15" t="n">
        <x:f>'기준스탯 72종'!D68*G1508</x:f>
        <x:v>3.3599999999999994</x:v>
      </x:c>
      <x:c r="S1508" s="15" t="n">
        <x:f>'기준스탯 72종'!E68*G1508</x:f>
        <x:v>4.4799999999999995</x:v>
      </x:c>
      <x:c r="T1508" s="15" t="n">
        <x:f>'기준스탯 72종'!F68*G1508</x:f>
        <x:v>4.4799999999999995</x:v>
      </x:c>
      <x:c r="U1508" s="15" t="n">
        <x:f>'기준스탯 72종'!G68*G1508</x:f>
        <x:v>4.4799999999999995</x:v>
      </x:c>
      <x:c r="V1508" s="15" t="n">
        <x:f>'기준스탯 72종'!H68*G1508</x:f>
        <x:v>1.6799999999999997</x:v>
      </x:c>
      <x:c r="W1508" s="15" t="n">
        <x:f>'기준스탯 72종'!I68*G1508</x:f>
        <x:v>1.6799999999999997</x:v>
      </x:c>
      <x:c r="X1508" s="15" t="n">
        <x:f>'기준스탯 72종'!J68*G1508</x:f>
        <x:v>2.8</x:v>
      </x:c>
      <x:c r="Y1508" s="15" t="n">
        <x:f>'기준스탯 72종'!K68*G1508</x:f>
        <x:v>2.8</x:v>
      </x:c>
      <x:c r="Z1508" s="15" t="n">
        <x:f>'기준스탯 72종'!D68*H1508</x:f>
        <x:v>1.4400000000000004</x:v>
      </x:c>
      <x:c r="AA1508" s="15" t="n">
        <x:f>'기준스탯 72종'!E68*H1508</x:f>
        <x:v>1.9200000000000004</x:v>
      </x:c>
      <x:c r="AB1508" s="15" t="n">
        <x:f>'기준스탯 72종'!F68*H1508</x:f>
        <x:v>1.9200000000000004</x:v>
      </x:c>
      <x:c r="AC1508" s="15" t="n">
        <x:f>'기준스탯 72종'!G68*H1508</x:f>
        <x:v>1.9200000000000004</x:v>
      </x:c>
      <x:c r="AD1508" s="15" t="n">
        <x:f>'기준스탯 72종'!H68*H1508</x:f>
        <x:v>0.7200000000000002</x:v>
      </x:c>
      <x:c r="AE1508" s="15" t="n">
        <x:f>'기준스탯 72종'!I68*H1508</x:f>
        <x:v>0.7200000000000002</x:v>
      </x:c>
      <x:c r="AF1508" s="15" t="n">
        <x:f>'기준스탯 72종'!J68*H1508</x:f>
        <x:v>1.2000000000000002</x:v>
      </x:c>
      <x:c r="AG1508" s="15" t="n">
        <x:f>'기준스탯 72종'!K68*H1508</x:f>
        <x:v>1.2000000000000002</x:v>
      </x:c>
    </x:row>
    <x:row r="1509" ht="28" customHeight="1">
      <x:c r="A1509" s="2" t="n">
        <x:v>1502</x:v>
      </x:c>
      <x:c r="B1509" s="2" t="n">
        <x:v>61</x:v>
      </x:c>
      <x:c r="C1509" s="2" t="str">
        <x:v>물병자리</x:v>
      </x:c>
      <x:c r="D1509" s="2" t="str">
        <x:v>기사</x:v>
      </x:c>
      <x:c r="E1509" s="2" t="n">
        <x:v>2</x:v>
      </x:c>
      <x:c r="F1509" s="2" t="n">
        <x:v>1</x:v>
      </x:c>
      <x:c r="G1509" s="14" t="n">
        <x:f>('레벨 계산식'!$E$4-E1509)*'레벨 계산식'!$B$5</x:f>
        <x:v>0.41999999999999993</x:v>
      </x:c>
      <x:c r="H1509" s="14" t="n">
        <x:f>('등급 계산식'!$E$4-F1509)*'등급 계산식'!$B$5</x:f>
        <x:v>0.24000000000000005</x:v>
      </x:c>
      <x:c r="I1509" s="14" t="n">
        <x:f>1-G1509-H1509</x:f>
        <x:v>0.34</x:v>
      </x:c>
      <x:c r="J1509" s="2" t="n">
        <x:f>MAX(1,ROUND('기준스탯 72종'!D68-R1509-Z1509,0))</x:f>
        <x:v>2</x:v>
      </x:c>
      <x:c r="K1509" s="2" t="n">
        <x:f>MAX(1,ROUND('기준스탯 72종'!E68-S1509-AA1509,0))</x:f>
        <x:v>3</x:v>
      </x:c>
      <x:c r="L1509" s="2" t="n">
        <x:f>MAX(1,ROUND('기준스탯 72종'!F68-T1509-AB1509,0))</x:f>
        <x:v>3</x:v>
      </x:c>
      <x:c r="M1509" s="2" t="n">
        <x:f>MAX(1,ROUND('기준스탯 72종'!G68-U1509-AC1509,0))</x:f>
        <x:v>3</x:v>
      </x:c>
      <x:c r="N1509" s="2" t="n">
        <x:f>MAX(0,ROUND('기준스탯 72종'!H68-V1509-AD1509,0))</x:f>
        <x:v>1</x:v>
      </x:c>
      <x:c r="O1509" s="2" t="n">
        <x:f>MAX(0,ROUND('기준스탯 72종'!I68-W1509-AE1509,0))</x:f>
        <x:v>1</x:v>
      </x:c>
      <x:c r="P1509" s="2" t="n">
        <x:f>MAX(0,ROUND('기준스탯 72종'!J68-X1509-AF1509,0))</x:f>
        <x:v>2</x:v>
      </x:c>
      <x:c r="Q1509" s="2" t="n">
        <x:f>MAX(0,ROUND('기준스탯 72종'!K68-Y1509-AG1509,0))</x:f>
        <x:v>2</x:v>
      </x:c>
      <x:c r="R1509" s="15" t="n">
        <x:f>'기준스탯 72종'!D68*G1509</x:f>
        <x:v>2.5199999999999996</x:v>
      </x:c>
      <x:c r="S1509" s="15" t="n">
        <x:f>'기준스탯 72종'!E68*G1509</x:f>
        <x:v>3.3599999999999994</x:v>
      </x:c>
      <x:c r="T1509" s="15" t="n">
        <x:f>'기준스탯 72종'!F68*G1509</x:f>
        <x:v>3.3599999999999994</x:v>
      </x:c>
      <x:c r="U1509" s="15" t="n">
        <x:f>'기준스탯 72종'!G68*G1509</x:f>
        <x:v>3.3599999999999994</x:v>
      </x:c>
      <x:c r="V1509" s="15" t="n">
        <x:f>'기준스탯 72종'!H68*G1509</x:f>
        <x:v>1.2599999999999998</x:v>
      </x:c>
      <x:c r="W1509" s="15" t="n">
        <x:f>'기준스탯 72종'!I68*G1509</x:f>
        <x:v>1.2599999999999998</x:v>
      </x:c>
      <x:c r="X1509" s="15" t="n">
        <x:f>'기준스탯 72종'!J68*G1509</x:f>
        <x:v>2.0999999999999996</x:v>
      </x:c>
      <x:c r="Y1509" s="15" t="n">
        <x:f>'기준스탯 72종'!K68*G1509</x:f>
        <x:v>2.0999999999999996</x:v>
      </x:c>
      <x:c r="Z1509" s="15" t="n">
        <x:f>'기준스탯 72종'!D68*H1509</x:f>
        <x:v>1.4400000000000004</x:v>
      </x:c>
      <x:c r="AA1509" s="15" t="n">
        <x:f>'기준스탯 72종'!E68*H1509</x:f>
        <x:v>1.9200000000000004</x:v>
      </x:c>
      <x:c r="AB1509" s="15" t="n">
        <x:f>'기준스탯 72종'!F68*H1509</x:f>
        <x:v>1.9200000000000004</x:v>
      </x:c>
      <x:c r="AC1509" s="15" t="n">
        <x:f>'기준스탯 72종'!G68*H1509</x:f>
        <x:v>1.9200000000000004</x:v>
      </x:c>
      <x:c r="AD1509" s="15" t="n">
        <x:f>'기준스탯 72종'!H68*H1509</x:f>
        <x:v>0.7200000000000002</x:v>
      </x:c>
      <x:c r="AE1509" s="15" t="n">
        <x:f>'기준스탯 72종'!I68*H1509</x:f>
        <x:v>0.7200000000000002</x:v>
      </x:c>
      <x:c r="AF1509" s="15" t="n">
        <x:f>'기준스탯 72종'!J68*H1509</x:f>
        <x:v>1.2000000000000002</x:v>
      </x:c>
      <x:c r="AG1509" s="15" t="n">
        <x:f>'기준스탯 72종'!K68*H1509</x:f>
        <x:v>1.2000000000000002</x:v>
      </x:c>
    </x:row>
    <x:row r="1510" ht="28" customHeight="1">
      <x:c r="A1510" s="2" t="n">
        <x:v>1503</x:v>
      </x:c>
      <x:c r="B1510" s="2" t="n">
        <x:v>61</x:v>
      </x:c>
      <x:c r="C1510" s="2" t="str">
        <x:v>물병자리</x:v>
      </x:c>
      <x:c r="D1510" s="2" t="str">
        <x:v>기사</x:v>
      </x:c>
      <x:c r="E1510" s="2" t="n">
        <x:v>3</x:v>
      </x:c>
      <x:c r="F1510" s="2" t="n">
        <x:v>1</x:v>
      </x:c>
      <x:c r="G1510" s="14" t="n">
        <x:f>('레벨 계산식'!$E$4-E1510)*'레벨 계산식'!$B$5</x:f>
        <x:v>0.27999999999999997</x:v>
      </x:c>
      <x:c r="H1510" s="14" t="n">
        <x:f>('등급 계산식'!$E$4-F1510)*'등급 계산식'!$B$5</x:f>
        <x:v>0.24000000000000005</x:v>
      </x:c>
      <x:c r="I1510" s="14" t="n">
        <x:f>1-G1510-H1510</x:f>
        <x:v>0.4799999999999999</x:v>
      </x:c>
      <x:c r="J1510" s="2" t="n">
        <x:f>MAX(1,ROUND('기준스탯 72종'!D68-R1510-Z1510,0))</x:f>
        <x:v>3</x:v>
      </x:c>
      <x:c r="K1510" s="2" t="n">
        <x:f>MAX(1,ROUND('기준스탯 72종'!E68-S1510-AA1510,0))</x:f>
        <x:v>4</x:v>
      </x:c>
      <x:c r="L1510" s="2" t="n">
        <x:f>MAX(1,ROUND('기준스탯 72종'!F68-T1510-AB1510,0))</x:f>
        <x:v>4</x:v>
      </x:c>
      <x:c r="M1510" s="2" t="n">
        <x:f>MAX(1,ROUND('기준스탯 72종'!G68-U1510-AC1510,0))</x:f>
        <x:v>4</x:v>
      </x:c>
      <x:c r="N1510" s="2" t="n">
        <x:f>MAX(0,ROUND('기준스탯 72종'!H68-V1510-AD1510,0))</x:f>
        <x:v>1</x:v>
      </x:c>
      <x:c r="O1510" s="2" t="n">
        <x:f>MAX(0,ROUND('기준스탯 72종'!I68-W1510-AE1510,0))</x:f>
        <x:v>1</x:v>
      </x:c>
      <x:c r="P1510" s="2" t="n">
        <x:f>MAX(0,ROUND('기준스탯 72종'!J68-X1510-AF1510,0))</x:f>
        <x:v>2</x:v>
      </x:c>
      <x:c r="Q1510" s="2" t="n">
        <x:f>MAX(0,ROUND('기준스탯 72종'!K68-Y1510-AG1510,0))</x:f>
        <x:v>2</x:v>
      </x:c>
      <x:c r="R1510" s="15" t="n">
        <x:f>'기준스탯 72종'!D68*G1510</x:f>
        <x:v>1.6799999999999997</x:v>
      </x:c>
      <x:c r="S1510" s="15" t="n">
        <x:f>'기준스탯 72종'!E68*G1510</x:f>
        <x:v>2.2399999999999998</x:v>
      </x:c>
      <x:c r="T1510" s="15" t="n">
        <x:f>'기준스탯 72종'!F68*G1510</x:f>
        <x:v>2.2399999999999998</x:v>
      </x:c>
      <x:c r="U1510" s="15" t="n">
        <x:f>'기준스탯 72종'!G68*G1510</x:f>
        <x:v>2.2399999999999998</x:v>
      </x:c>
      <x:c r="V1510" s="15" t="n">
        <x:f>'기준스탯 72종'!H68*G1510</x:f>
        <x:v>0.8399999999999999</x:v>
      </x:c>
      <x:c r="W1510" s="15" t="n">
        <x:f>'기준스탯 72종'!I68*G1510</x:f>
        <x:v>0.8399999999999999</x:v>
      </x:c>
      <x:c r="X1510" s="15" t="n">
        <x:f>'기준스탯 72종'!J68*G1510</x:f>
        <x:v>1.4</x:v>
      </x:c>
      <x:c r="Y1510" s="15" t="n">
        <x:f>'기준스탯 72종'!K68*G1510</x:f>
        <x:v>1.4</x:v>
      </x:c>
      <x:c r="Z1510" s="15" t="n">
        <x:f>'기준스탯 72종'!D68*H1510</x:f>
        <x:v>1.4400000000000004</x:v>
      </x:c>
      <x:c r="AA1510" s="15" t="n">
        <x:f>'기준스탯 72종'!E68*H1510</x:f>
        <x:v>1.9200000000000004</x:v>
      </x:c>
      <x:c r="AB1510" s="15" t="n">
        <x:f>'기준스탯 72종'!F68*H1510</x:f>
        <x:v>1.9200000000000004</x:v>
      </x:c>
      <x:c r="AC1510" s="15" t="n">
        <x:f>'기준스탯 72종'!G68*H1510</x:f>
        <x:v>1.9200000000000004</x:v>
      </x:c>
      <x:c r="AD1510" s="15" t="n">
        <x:f>'기준스탯 72종'!H68*H1510</x:f>
        <x:v>0.7200000000000002</x:v>
      </x:c>
      <x:c r="AE1510" s="15" t="n">
        <x:f>'기준스탯 72종'!I68*H1510</x:f>
        <x:v>0.7200000000000002</x:v>
      </x:c>
      <x:c r="AF1510" s="15" t="n">
        <x:f>'기준스탯 72종'!J68*H1510</x:f>
        <x:v>1.2000000000000002</x:v>
      </x:c>
      <x:c r="AG1510" s="15" t="n">
        <x:f>'기준스탯 72종'!K68*H1510</x:f>
        <x:v>1.2000000000000002</x:v>
      </x:c>
    </x:row>
    <x:row r="1511" ht="28" customHeight="1">
      <x:c r="A1511" s="2" t="n">
        <x:v>1504</x:v>
      </x:c>
      <x:c r="B1511" s="2" t="n">
        <x:v>61</x:v>
      </x:c>
      <x:c r="C1511" s="2" t="str">
        <x:v>물병자리</x:v>
      </x:c>
      <x:c r="D1511" s="2" t="str">
        <x:v>기사</x:v>
      </x:c>
      <x:c r="E1511" s="2" t="n">
        <x:v>4</x:v>
      </x:c>
      <x:c r="F1511" s="2" t="n">
        <x:v>1</x:v>
      </x:c>
      <x:c r="G1511" s="14" t="n">
        <x:f>('레벨 계산식'!$E$4-E1511)*'레벨 계산식'!$B$5</x:f>
        <x:v>0.13999999999999999</x:v>
      </x:c>
      <x:c r="H1511" s="14" t="n">
        <x:f>('등급 계산식'!$E$4-F1511)*'등급 계산식'!$B$5</x:f>
        <x:v>0.24000000000000005</x:v>
      </x:c>
      <x:c r="I1511" s="14" t="n">
        <x:f>1-G1511-H1511</x:f>
        <x:v>0.6199999999999999</x:v>
      </x:c>
      <x:c r="J1511" s="2" t="n">
        <x:f>MAX(1,ROUND('기준스탯 72종'!D68-R1511-Z1511,0))</x:f>
        <x:v>4</x:v>
      </x:c>
      <x:c r="K1511" s="2" t="n">
        <x:f>MAX(1,ROUND('기준스탯 72종'!E68-S1511-AA1511,0))</x:f>
        <x:v>5</x:v>
      </x:c>
      <x:c r="L1511" s="2" t="n">
        <x:f>MAX(1,ROUND('기준스탯 72종'!F68-T1511-AB1511,0))</x:f>
        <x:v>5</x:v>
      </x:c>
      <x:c r="M1511" s="2" t="n">
        <x:f>MAX(1,ROUND('기준스탯 72종'!G68-U1511-AC1511,0))</x:f>
        <x:v>5</x:v>
      </x:c>
      <x:c r="N1511" s="2" t="n">
        <x:f>MAX(0,ROUND('기준스탯 72종'!H68-V1511-AD1511,0))</x:f>
        <x:v>2</x:v>
      </x:c>
      <x:c r="O1511" s="2" t="n">
        <x:f>MAX(0,ROUND('기준스탯 72종'!I68-W1511-AE1511,0))</x:f>
        <x:v>2</x:v>
      </x:c>
      <x:c r="P1511" s="2" t="n">
        <x:f>MAX(0,ROUND('기준스탯 72종'!J68-X1511-AF1511,0))</x:f>
        <x:v>3</x:v>
      </x:c>
      <x:c r="Q1511" s="2" t="n">
        <x:f>MAX(0,ROUND('기준스탯 72종'!K68-Y1511-AG1511,0))</x:f>
        <x:v>3</x:v>
      </x:c>
      <x:c r="R1511" s="15" t="n">
        <x:f>'기준스탯 72종'!D68*G1511</x:f>
        <x:v>0.8399999999999999</x:v>
      </x:c>
      <x:c r="S1511" s="15" t="n">
        <x:f>'기준스탯 72종'!E68*G1511</x:f>
        <x:v>1.1199999999999999</x:v>
      </x:c>
      <x:c r="T1511" s="15" t="n">
        <x:f>'기준스탯 72종'!F68*G1511</x:f>
        <x:v>1.1199999999999999</x:v>
      </x:c>
      <x:c r="U1511" s="15" t="n">
        <x:f>'기준스탯 72종'!G68*G1511</x:f>
        <x:v>1.1199999999999999</x:v>
      </x:c>
      <x:c r="V1511" s="15" t="n">
        <x:f>'기준스탯 72종'!H68*G1511</x:f>
        <x:v>0.41999999999999993</x:v>
      </x:c>
      <x:c r="W1511" s="15" t="n">
        <x:f>'기준스탯 72종'!I68*G1511</x:f>
        <x:v>0.41999999999999993</x:v>
      </x:c>
      <x:c r="X1511" s="15" t="n">
        <x:f>'기준스탯 72종'!J68*G1511</x:f>
        <x:v>0.7</x:v>
      </x:c>
      <x:c r="Y1511" s="15" t="n">
        <x:f>'기준스탯 72종'!K68*G1511</x:f>
        <x:v>0.7</x:v>
      </x:c>
      <x:c r="Z1511" s="15" t="n">
        <x:f>'기준스탯 72종'!D68*H1511</x:f>
        <x:v>1.4400000000000004</x:v>
      </x:c>
      <x:c r="AA1511" s="15" t="n">
        <x:f>'기준스탯 72종'!E68*H1511</x:f>
        <x:v>1.9200000000000004</x:v>
      </x:c>
      <x:c r="AB1511" s="15" t="n">
        <x:f>'기준스탯 72종'!F68*H1511</x:f>
        <x:v>1.9200000000000004</x:v>
      </x:c>
      <x:c r="AC1511" s="15" t="n">
        <x:f>'기준스탯 72종'!G68*H1511</x:f>
        <x:v>1.9200000000000004</x:v>
      </x:c>
      <x:c r="AD1511" s="15" t="n">
        <x:f>'기준스탯 72종'!H68*H1511</x:f>
        <x:v>0.7200000000000002</x:v>
      </x:c>
      <x:c r="AE1511" s="15" t="n">
        <x:f>'기준스탯 72종'!I68*H1511</x:f>
        <x:v>0.7200000000000002</x:v>
      </x:c>
      <x:c r="AF1511" s="15" t="n">
        <x:f>'기준스탯 72종'!J68*H1511</x:f>
        <x:v>1.2000000000000002</x:v>
      </x:c>
      <x:c r="AG1511" s="15" t="n">
        <x:f>'기준스탯 72종'!K68*H1511</x:f>
        <x:v>1.2000000000000002</x:v>
      </x:c>
    </x:row>
    <x:row r="1512" ht="28" customHeight="1">
      <x:c r="A1512" s="2" t="n">
        <x:v>1505</x:v>
      </x:c>
      <x:c r="B1512" s="2" t="n">
        <x:v>61</x:v>
      </x:c>
      <x:c r="C1512" s="2" t="str">
        <x:v>물병자리</x:v>
      </x:c>
      <x:c r="D1512" s="2" t="str">
        <x:v>기사</x:v>
      </x:c>
      <x:c r="E1512" s="2" t="n">
        <x:v>5</x:v>
      </x:c>
      <x:c r="F1512" s="2" t="n">
        <x:v>1</x:v>
      </x:c>
      <x:c r="G1512" s="14" t="n">
        <x:f>('레벨 계산식'!$E$4-E1512)*'레벨 계산식'!$B$5</x:f>
        <x:v>0</x:v>
      </x:c>
      <x:c r="H1512" s="14" t="n">
        <x:f>('등급 계산식'!$E$4-F1512)*'등급 계산식'!$B$5</x:f>
        <x:v>0.24000000000000005</x:v>
      </x:c>
      <x:c r="I1512" s="14" t="n">
        <x:f>1-G1512-H1512</x:f>
        <x:v>0.76</x:v>
      </x:c>
      <x:c r="J1512" s="2" t="n">
        <x:f>MAX(1,ROUND('기준스탯 72종'!D68-R1512-Z1512,0))</x:f>
        <x:v>5</x:v>
      </x:c>
      <x:c r="K1512" s="2" t="n">
        <x:f>MAX(1,ROUND('기준스탯 72종'!E68-S1512-AA1512,0))</x:f>
        <x:v>6</x:v>
      </x:c>
      <x:c r="L1512" s="2" t="n">
        <x:f>MAX(1,ROUND('기준스탯 72종'!F68-T1512-AB1512,0))</x:f>
        <x:v>6</x:v>
      </x:c>
      <x:c r="M1512" s="2" t="n">
        <x:f>MAX(1,ROUND('기준스탯 72종'!G68-U1512-AC1512,0))</x:f>
        <x:v>6</x:v>
      </x:c>
      <x:c r="N1512" s="2" t="n">
        <x:f>MAX(0,ROUND('기준스탯 72종'!H68-V1512-AD1512,0))</x:f>
        <x:v>2</x:v>
      </x:c>
      <x:c r="O1512" s="2" t="n">
        <x:f>MAX(0,ROUND('기준스탯 72종'!I68-W1512-AE1512,0))</x:f>
        <x:v>2</x:v>
      </x:c>
      <x:c r="P1512" s="2" t="n">
        <x:f>MAX(0,ROUND('기준스탯 72종'!J68-X1512-AF1512,0))</x:f>
        <x:v>4</x:v>
      </x:c>
      <x:c r="Q1512" s="2" t="n">
        <x:f>MAX(0,ROUND('기준스탯 72종'!K68-Y1512-AG1512,0))</x:f>
        <x:v>4</x:v>
      </x:c>
      <x:c r="R1512" s="15" t="n">
        <x:f>'기준스탯 72종'!D68*G1512</x:f>
        <x:v>0</x:v>
      </x:c>
      <x:c r="S1512" s="15" t="n">
        <x:f>'기준스탯 72종'!E68*G1512</x:f>
        <x:v>0</x:v>
      </x:c>
      <x:c r="T1512" s="15" t="n">
        <x:f>'기준스탯 72종'!F68*G1512</x:f>
        <x:v>0</x:v>
      </x:c>
      <x:c r="U1512" s="15" t="n">
        <x:f>'기준스탯 72종'!G68*G1512</x:f>
        <x:v>0</x:v>
      </x:c>
      <x:c r="V1512" s="15" t="n">
        <x:f>'기준스탯 72종'!H68*G1512</x:f>
        <x:v>0</x:v>
      </x:c>
      <x:c r="W1512" s="15" t="n">
        <x:f>'기준스탯 72종'!I68*G1512</x:f>
        <x:v>0</x:v>
      </x:c>
      <x:c r="X1512" s="15" t="n">
        <x:f>'기준스탯 72종'!J68*G1512</x:f>
        <x:v>0</x:v>
      </x:c>
      <x:c r="Y1512" s="15" t="n">
        <x:f>'기준스탯 72종'!K68*G1512</x:f>
        <x:v>0</x:v>
      </x:c>
      <x:c r="Z1512" s="15" t="n">
        <x:f>'기준스탯 72종'!D68*H1512</x:f>
        <x:v>1.4400000000000004</x:v>
      </x:c>
      <x:c r="AA1512" s="15" t="n">
        <x:f>'기준스탯 72종'!E68*H1512</x:f>
        <x:v>1.9200000000000004</x:v>
      </x:c>
      <x:c r="AB1512" s="15" t="n">
        <x:f>'기준스탯 72종'!F68*H1512</x:f>
        <x:v>1.9200000000000004</x:v>
      </x:c>
      <x:c r="AC1512" s="15" t="n">
        <x:f>'기준스탯 72종'!G68*H1512</x:f>
        <x:v>1.9200000000000004</x:v>
      </x:c>
      <x:c r="AD1512" s="15" t="n">
        <x:f>'기준스탯 72종'!H68*H1512</x:f>
        <x:v>0.7200000000000002</x:v>
      </x:c>
      <x:c r="AE1512" s="15" t="n">
        <x:f>'기준스탯 72종'!I68*H1512</x:f>
        <x:v>0.7200000000000002</x:v>
      </x:c>
      <x:c r="AF1512" s="15" t="n">
        <x:f>'기준스탯 72종'!J68*H1512</x:f>
        <x:v>1.2000000000000002</x:v>
      </x:c>
      <x:c r="AG1512" s="15" t="n">
        <x:f>'기준스탯 72종'!K68*H1512</x:f>
        <x:v>1.2000000000000002</x:v>
      </x:c>
    </x:row>
    <x:row r="1513" ht="28" customHeight="1">
      <x:c r="A1513" s="2" t="n">
        <x:v>1506</x:v>
      </x:c>
      <x:c r="B1513" s="2" t="n">
        <x:v>61</x:v>
      </x:c>
      <x:c r="C1513" s="2" t="str">
        <x:v>물병자리</x:v>
      </x:c>
      <x:c r="D1513" s="2" t="str">
        <x:v>기사</x:v>
      </x:c>
      <x:c r="E1513" s="2" t="n">
        <x:v>1</x:v>
      </x:c>
      <x:c r="F1513" s="2" t="n">
        <x:v>2</x:v>
      </x:c>
      <x:c r="G1513" s="14" t="n">
        <x:f>('레벨 계산식'!$E$4-E1513)*'레벨 계산식'!$B$5</x:f>
        <x:v>0.5599999999999999</x:v>
      </x:c>
      <x:c r="H1513" s="14" t="n">
        <x:f>('등급 계산식'!$E$4-F1513)*'등급 계산식'!$B$5</x:f>
        <x:v>0.18000000000000005</x:v>
      </x:c>
      <x:c r="I1513" s="14" t="n">
        <x:f>1-G1513-H1513</x:f>
        <x:v>0.26</x:v>
      </x:c>
      <x:c r="J1513" s="2" t="n">
        <x:f>MAX(1,ROUND('기준스탯 72종'!D68-R1513-Z1513,0))</x:f>
        <x:v>2</x:v>
      </x:c>
      <x:c r="K1513" s="2" t="n">
        <x:f>MAX(1,ROUND('기준스탯 72종'!E68-S1513-AA1513,0))</x:f>
        <x:v>2</x:v>
      </x:c>
      <x:c r="L1513" s="2" t="n">
        <x:f>MAX(1,ROUND('기준스탯 72종'!F68-T1513-AB1513,0))</x:f>
        <x:v>2</x:v>
      </x:c>
      <x:c r="M1513" s="2" t="n">
        <x:f>MAX(1,ROUND('기준스탯 72종'!G68-U1513-AC1513,0))</x:f>
        <x:v>2</x:v>
      </x:c>
      <x:c r="N1513" s="2" t="n">
        <x:f>MAX(0,ROUND('기준스탯 72종'!H68-V1513-AD1513,0))</x:f>
        <x:v>1</x:v>
      </x:c>
      <x:c r="O1513" s="2" t="n">
        <x:f>MAX(0,ROUND('기준스탯 72종'!I68-W1513-AE1513,0))</x:f>
        <x:v>1</x:v>
      </x:c>
      <x:c r="P1513" s="2" t="n">
        <x:f>MAX(0,ROUND('기준스탯 72종'!J68-X1513-AF1513,0))</x:f>
        <x:v>1</x:v>
      </x:c>
      <x:c r="Q1513" s="2" t="n">
        <x:f>MAX(0,ROUND('기준스탯 72종'!K68-Y1513-AG1513,0))</x:f>
        <x:v>1</x:v>
      </x:c>
      <x:c r="R1513" s="15" t="n">
        <x:f>'기준스탯 72종'!D68*G1513</x:f>
        <x:v>3.3599999999999994</x:v>
      </x:c>
      <x:c r="S1513" s="15" t="n">
        <x:f>'기준스탯 72종'!E68*G1513</x:f>
        <x:v>4.4799999999999995</x:v>
      </x:c>
      <x:c r="T1513" s="15" t="n">
        <x:f>'기준스탯 72종'!F68*G1513</x:f>
        <x:v>4.4799999999999995</x:v>
      </x:c>
      <x:c r="U1513" s="15" t="n">
        <x:f>'기준스탯 72종'!G68*G1513</x:f>
        <x:v>4.4799999999999995</x:v>
      </x:c>
      <x:c r="V1513" s="15" t="n">
        <x:f>'기준스탯 72종'!H68*G1513</x:f>
        <x:v>1.6799999999999997</x:v>
      </x:c>
      <x:c r="W1513" s="15" t="n">
        <x:f>'기준스탯 72종'!I68*G1513</x:f>
        <x:v>1.6799999999999997</x:v>
      </x:c>
      <x:c r="X1513" s="15" t="n">
        <x:f>'기준스탯 72종'!J68*G1513</x:f>
        <x:v>2.8</x:v>
      </x:c>
      <x:c r="Y1513" s="15" t="n">
        <x:f>'기준스탯 72종'!K68*G1513</x:f>
        <x:v>2.8</x:v>
      </x:c>
      <x:c r="Z1513" s="15" t="n">
        <x:f>'기준스탯 72종'!D68*H1513</x:f>
        <x:v>1.0800000000000003</x:v>
      </x:c>
      <x:c r="AA1513" s="15" t="n">
        <x:f>'기준스탯 72종'!E68*H1513</x:f>
        <x:v>1.4400000000000004</x:v>
      </x:c>
      <x:c r="AB1513" s="15" t="n">
        <x:f>'기준스탯 72종'!F68*H1513</x:f>
        <x:v>1.4400000000000004</x:v>
      </x:c>
      <x:c r="AC1513" s="15" t="n">
        <x:f>'기준스탯 72종'!G68*H1513</x:f>
        <x:v>1.4400000000000004</x:v>
      </x:c>
      <x:c r="AD1513" s="15" t="n">
        <x:f>'기준스탯 72종'!H68*H1513</x:f>
        <x:v>0.5400000000000001</x:v>
      </x:c>
      <x:c r="AE1513" s="15" t="n">
        <x:f>'기준스탯 72종'!I68*H1513</x:f>
        <x:v>0.5400000000000001</x:v>
      </x:c>
      <x:c r="AF1513" s="15" t="n">
        <x:f>'기준스탯 72종'!J68*H1513</x:f>
        <x:v>0.9000000000000002</x:v>
      </x:c>
      <x:c r="AG1513" s="15" t="n">
        <x:f>'기준스탯 72종'!K68*H1513</x:f>
        <x:v>0.9000000000000002</x:v>
      </x:c>
    </x:row>
    <x:row r="1514" ht="28" customHeight="1">
      <x:c r="A1514" s="2" t="n">
        <x:v>1507</x:v>
      </x:c>
      <x:c r="B1514" s="2" t="n">
        <x:v>61</x:v>
      </x:c>
      <x:c r="C1514" s="2" t="str">
        <x:v>물병자리</x:v>
      </x:c>
      <x:c r="D1514" s="2" t="str">
        <x:v>기사</x:v>
      </x:c>
      <x:c r="E1514" s="2" t="n">
        <x:v>2</x:v>
      </x:c>
      <x:c r="F1514" s="2" t="n">
        <x:v>2</x:v>
      </x:c>
      <x:c r="G1514" s="14" t="n">
        <x:f>('레벨 계산식'!$E$4-E1514)*'레벨 계산식'!$B$5</x:f>
        <x:v>0.41999999999999993</x:v>
      </x:c>
      <x:c r="H1514" s="14" t="n">
        <x:f>('등급 계산식'!$E$4-F1514)*'등급 계산식'!$B$5</x:f>
        <x:v>0.18000000000000005</x:v>
      </x:c>
      <x:c r="I1514" s="14" t="n">
        <x:f>1-G1514-H1514</x:f>
        <x:v>0.4</x:v>
      </x:c>
      <x:c r="J1514" s="2" t="n">
        <x:f>MAX(1,ROUND('기준스탯 72종'!D68-R1514-Z1514,0))</x:f>
        <x:v>2</x:v>
      </x:c>
      <x:c r="K1514" s="2" t="n">
        <x:f>MAX(1,ROUND('기준스탯 72종'!E68-S1514-AA1514,0))</x:f>
        <x:v>3</x:v>
      </x:c>
      <x:c r="L1514" s="2" t="n">
        <x:f>MAX(1,ROUND('기준스탯 72종'!F68-T1514-AB1514,0))</x:f>
        <x:v>3</x:v>
      </x:c>
      <x:c r="M1514" s="2" t="n">
        <x:f>MAX(1,ROUND('기준스탯 72종'!G68-U1514-AC1514,0))</x:f>
        <x:v>3</x:v>
      </x:c>
      <x:c r="N1514" s="2" t="n">
        <x:f>MAX(0,ROUND('기준스탯 72종'!H68-V1514-AD1514,0))</x:f>
        <x:v>1</x:v>
      </x:c>
      <x:c r="O1514" s="2" t="n">
        <x:f>MAX(0,ROUND('기준스탯 72종'!I68-W1514-AE1514,0))</x:f>
        <x:v>1</x:v>
      </x:c>
      <x:c r="P1514" s="2" t="n">
        <x:f>MAX(0,ROUND('기준스탯 72종'!J68-X1514-AF1514,0))</x:f>
        <x:v>2</x:v>
      </x:c>
      <x:c r="Q1514" s="2" t="n">
        <x:f>MAX(0,ROUND('기준스탯 72종'!K68-Y1514-AG1514,0))</x:f>
        <x:v>2</x:v>
      </x:c>
      <x:c r="R1514" s="15" t="n">
        <x:f>'기준스탯 72종'!D68*G1514</x:f>
        <x:v>2.5199999999999996</x:v>
      </x:c>
      <x:c r="S1514" s="15" t="n">
        <x:f>'기준스탯 72종'!E68*G1514</x:f>
        <x:v>3.3599999999999994</x:v>
      </x:c>
      <x:c r="T1514" s="15" t="n">
        <x:f>'기준스탯 72종'!F68*G1514</x:f>
        <x:v>3.3599999999999994</x:v>
      </x:c>
      <x:c r="U1514" s="15" t="n">
        <x:f>'기준스탯 72종'!G68*G1514</x:f>
        <x:v>3.3599999999999994</x:v>
      </x:c>
      <x:c r="V1514" s="15" t="n">
        <x:f>'기준스탯 72종'!H68*G1514</x:f>
        <x:v>1.2599999999999998</x:v>
      </x:c>
      <x:c r="W1514" s="15" t="n">
        <x:f>'기준스탯 72종'!I68*G1514</x:f>
        <x:v>1.2599999999999998</x:v>
      </x:c>
      <x:c r="X1514" s="15" t="n">
        <x:f>'기준스탯 72종'!J68*G1514</x:f>
        <x:v>2.0999999999999996</x:v>
      </x:c>
      <x:c r="Y1514" s="15" t="n">
        <x:f>'기준스탯 72종'!K68*G1514</x:f>
        <x:v>2.0999999999999996</x:v>
      </x:c>
      <x:c r="Z1514" s="15" t="n">
        <x:f>'기준스탯 72종'!D68*H1514</x:f>
        <x:v>1.0800000000000003</x:v>
      </x:c>
      <x:c r="AA1514" s="15" t="n">
        <x:f>'기준스탯 72종'!E68*H1514</x:f>
        <x:v>1.4400000000000004</x:v>
      </x:c>
      <x:c r="AB1514" s="15" t="n">
        <x:f>'기준스탯 72종'!F68*H1514</x:f>
        <x:v>1.4400000000000004</x:v>
      </x:c>
      <x:c r="AC1514" s="15" t="n">
        <x:f>'기준스탯 72종'!G68*H1514</x:f>
        <x:v>1.4400000000000004</x:v>
      </x:c>
      <x:c r="AD1514" s="15" t="n">
        <x:f>'기준스탯 72종'!H68*H1514</x:f>
        <x:v>0.5400000000000001</x:v>
      </x:c>
      <x:c r="AE1514" s="15" t="n">
        <x:f>'기준스탯 72종'!I68*H1514</x:f>
        <x:v>0.5400000000000001</x:v>
      </x:c>
      <x:c r="AF1514" s="15" t="n">
        <x:f>'기준스탯 72종'!J68*H1514</x:f>
        <x:v>0.9000000000000002</x:v>
      </x:c>
      <x:c r="AG1514" s="15" t="n">
        <x:f>'기준스탯 72종'!K68*H1514</x:f>
        <x:v>0.9000000000000002</x:v>
      </x:c>
    </x:row>
    <x:row r="1515" ht="28" customHeight="1">
      <x:c r="A1515" s="2" t="n">
        <x:v>1508</x:v>
      </x:c>
      <x:c r="B1515" s="2" t="n">
        <x:v>61</x:v>
      </x:c>
      <x:c r="C1515" s="2" t="str">
        <x:v>물병자리</x:v>
      </x:c>
      <x:c r="D1515" s="2" t="str">
        <x:v>기사</x:v>
      </x:c>
      <x:c r="E1515" s="2" t="n">
        <x:v>3</x:v>
      </x:c>
      <x:c r="F1515" s="2" t="n">
        <x:v>2</x:v>
      </x:c>
      <x:c r="G1515" s="14" t="n">
        <x:f>('레벨 계산식'!$E$4-E1515)*'레벨 계산식'!$B$5</x:f>
        <x:v>0.27999999999999997</x:v>
      </x:c>
      <x:c r="H1515" s="14" t="n">
        <x:f>('등급 계산식'!$E$4-F1515)*'등급 계산식'!$B$5</x:f>
        <x:v>0.18000000000000005</x:v>
      </x:c>
      <x:c r="I1515" s="14" t="n">
        <x:f>1-G1515-H1515</x:f>
        <x:v>0.5399999999999999</x:v>
      </x:c>
      <x:c r="J1515" s="2" t="n">
        <x:f>MAX(1,ROUND('기준스탯 72종'!D68-R1515-Z1515,0))</x:f>
        <x:v>3</x:v>
      </x:c>
      <x:c r="K1515" s="2" t="n">
        <x:f>MAX(1,ROUND('기준스탯 72종'!E68-S1515-AA1515,0))</x:f>
        <x:v>4</x:v>
      </x:c>
      <x:c r="L1515" s="2" t="n">
        <x:f>MAX(1,ROUND('기준스탯 72종'!F68-T1515-AB1515,0))</x:f>
        <x:v>4</x:v>
      </x:c>
      <x:c r="M1515" s="2" t="n">
        <x:f>MAX(1,ROUND('기준스탯 72종'!G68-U1515-AC1515,0))</x:f>
        <x:v>4</x:v>
      </x:c>
      <x:c r="N1515" s="2" t="n">
        <x:f>MAX(0,ROUND('기준스탯 72종'!H68-V1515-AD1515,0))</x:f>
        <x:v>2</x:v>
      </x:c>
      <x:c r="O1515" s="2" t="n">
        <x:f>MAX(0,ROUND('기준스탯 72종'!I68-W1515-AE1515,0))</x:f>
        <x:v>2</x:v>
      </x:c>
      <x:c r="P1515" s="2" t="n">
        <x:f>MAX(0,ROUND('기준스탯 72종'!J68-X1515-AF1515,0))</x:f>
        <x:v>3</x:v>
      </x:c>
      <x:c r="Q1515" s="2" t="n">
        <x:f>MAX(0,ROUND('기준스탯 72종'!K68-Y1515-AG1515,0))</x:f>
        <x:v>3</x:v>
      </x:c>
      <x:c r="R1515" s="15" t="n">
        <x:f>'기준스탯 72종'!D68*G1515</x:f>
        <x:v>1.6799999999999997</x:v>
      </x:c>
      <x:c r="S1515" s="15" t="n">
        <x:f>'기준스탯 72종'!E68*G1515</x:f>
        <x:v>2.2399999999999998</x:v>
      </x:c>
      <x:c r="T1515" s="15" t="n">
        <x:f>'기준스탯 72종'!F68*G1515</x:f>
        <x:v>2.2399999999999998</x:v>
      </x:c>
      <x:c r="U1515" s="15" t="n">
        <x:f>'기준스탯 72종'!G68*G1515</x:f>
        <x:v>2.2399999999999998</x:v>
      </x:c>
      <x:c r="V1515" s="15" t="n">
        <x:f>'기준스탯 72종'!H68*G1515</x:f>
        <x:v>0.8399999999999999</x:v>
      </x:c>
      <x:c r="W1515" s="15" t="n">
        <x:f>'기준스탯 72종'!I68*G1515</x:f>
        <x:v>0.8399999999999999</x:v>
      </x:c>
      <x:c r="X1515" s="15" t="n">
        <x:f>'기준스탯 72종'!J68*G1515</x:f>
        <x:v>1.4</x:v>
      </x:c>
      <x:c r="Y1515" s="15" t="n">
        <x:f>'기준스탯 72종'!K68*G1515</x:f>
        <x:v>1.4</x:v>
      </x:c>
      <x:c r="Z1515" s="15" t="n">
        <x:f>'기준스탯 72종'!D68*H1515</x:f>
        <x:v>1.0800000000000003</x:v>
      </x:c>
      <x:c r="AA1515" s="15" t="n">
        <x:f>'기준스탯 72종'!E68*H1515</x:f>
        <x:v>1.4400000000000004</x:v>
      </x:c>
      <x:c r="AB1515" s="15" t="n">
        <x:f>'기준스탯 72종'!F68*H1515</x:f>
        <x:v>1.4400000000000004</x:v>
      </x:c>
      <x:c r="AC1515" s="15" t="n">
        <x:f>'기준스탯 72종'!G68*H1515</x:f>
        <x:v>1.4400000000000004</x:v>
      </x:c>
      <x:c r="AD1515" s="15" t="n">
        <x:f>'기준스탯 72종'!H68*H1515</x:f>
        <x:v>0.5400000000000001</x:v>
      </x:c>
      <x:c r="AE1515" s="15" t="n">
        <x:f>'기준스탯 72종'!I68*H1515</x:f>
        <x:v>0.5400000000000001</x:v>
      </x:c>
      <x:c r="AF1515" s="15" t="n">
        <x:f>'기준스탯 72종'!J68*H1515</x:f>
        <x:v>0.9000000000000002</x:v>
      </x:c>
      <x:c r="AG1515" s="15" t="n">
        <x:f>'기준스탯 72종'!K68*H1515</x:f>
        <x:v>0.9000000000000002</x:v>
      </x:c>
    </x:row>
    <x:row r="1516" ht="28" customHeight="1">
      <x:c r="A1516" s="2" t="n">
        <x:v>1509</x:v>
      </x:c>
      <x:c r="B1516" s="2" t="n">
        <x:v>61</x:v>
      </x:c>
      <x:c r="C1516" s="2" t="str">
        <x:v>물병자리</x:v>
      </x:c>
      <x:c r="D1516" s="2" t="str">
        <x:v>기사</x:v>
      </x:c>
      <x:c r="E1516" s="2" t="n">
        <x:v>4</x:v>
      </x:c>
      <x:c r="F1516" s="2" t="n">
        <x:v>2</x:v>
      </x:c>
      <x:c r="G1516" s="14" t="n">
        <x:f>('레벨 계산식'!$E$4-E1516)*'레벨 계산식'!$B$5</x:f>
        <x:v>0.13999999999999999</x:v>
      </x:c>
      <x:c r="H1516" s="14" t="n">
        <x:f>('등급 계산식'!$E$4-F1516)*'등급 계산식'!$B$5</x:f>
        <x:v>0.18000000000000005</x:v>
      </x:c>
      <x:c r="I1516" s="14" t="n">
        <x:f>1-G1516-H1516</x:f>
        <x:v>0.6799999999999999</x:v>
      </x:c>
      <x:c r="J1516" s="2" t="n">
        <x:f>MAX(1,ROUND('기준스탯 72종'!D68-R1516-Z1516,0))</x:f>
        <x:v>4</x:v>
      </x:c>
      <x:c r="K1516" s="2" t="n">
        <x:f>MAX(1,ROUND('기준스탯 72종'!E68-S1516-AA1516,0))</x:f>
        <x:v>5</x:v>
      </x:c>
      <x:c r="L1516" s="2" t="n">
        <x:f>MAX(1,ROUND('기준스탯 72종'!F68-T1516-AB1516,0))</x:f>
        <x:v>5</x:v>
      </x:c>
      <x:c r="M1516" s="2" t="n">
        <x:f>MAX(1,ROUND('기준스탯 72종'!G68-U1516-AC1516,0))</x:f>
        <x:v>5</x:v>
      </x:c>
      <x:c r="N1516" s="2" t="n">
        <x:f>MAX(0,ROUND('기준스탯 72종'!H68-V1516-AD1516,0))</x:f>
        <x:v>2</x:v>
      </x:c>
      <x:c r="O1516" s="2" t="n">
        <x:f>MAX(0,ROUND('기준스탯 72종'!I68-W1516-AE1516,0))</x:f>
        <x:v>2</x:v>
      </x:c>
      <x:c r="P1516" s="2" t="n">
        <x:f>MAX(0,ROUND('기준스탯 72종'!J68-X1516-AF1516,0))</x:f>
        <x:v>3</x:v>
      </x:c>
      <x:c r="Q1516" s="2" t="n">
        <x:f>MAX(0,ROUND('기준스탯 72종'!K68-Y1516-AG1516,0))</x:f>
        <x:v>3</x:v>
      </x:c>
      <x:c r="R1516" s="15" t="n">
        <x:f>'기준스탯 72종'!D68*G1516</x:f>
        <x:v>0.8399999999999999</x:v>
      </x:c>
      <x:c r="S1516" s="15" t="n">
        <x:f>'기준스탯 72종'!E68*G1516</x:f>
        <x:v>1.1199999999999999</x:v>
      </x:c>
      <x:c r="T1516" s="15" t="n">
        <x:f>'기준스탯 72종'!F68*G1516</x:f>
        <x:v>1.1199999999999999</x:v>
      </x:c>
      <x:c r="U1516" s="15" t="n">
        <x:f>'기준스탯 72종'!G68*G1516</x:f>
        <x:v>1.1199999999999999</x:v>
      </x:c>
      <x:c r="V1516" s="15" t="n">
        <x:f>'기준스탯 72종'!H68*G1516</x:f>
        <x:v>0.41999999999999993</x:v>
      </x:c>
      <x:c r="W1516" s="15" t="n">
        <x:f>'기준스탯 72종'!I68*G1516</x:f>
        <x:v>0.41999999999999993</x:v>
      </x:c>
      <x:c r="X1516" s="15" t="n">
        <x:f>'기준스탯 72종'!J68*G1516</x:f>
        <x:v>0.7</x:v>
      </x:c>
      <x:c r="Y1516" s="15" t="n">
        <x:f>'기준스탯 72종'!K68*G1516</x:f>
        <x:v>0.7</x:v>
      </x:c>
      <x:c r="Z1516" s="15" t="n">
        <x:f>'기준스탯 72종'!D68*H1516</x:f>
        <x:v>1.0800000000000003</x:v>
      </x:c>
      <x:c r="AA1516" s="15" t="n">
        <x:f>'기준스탯 72종'!E68*H1516</x:f>
        <x:v>1.4400000000000004</x:v>
      </x:c>
      <x:c r="AB1516" s="15" t="n">
        <x:f>'기준스탯 72종'!F68*H1516</x:f>
        <x:v>1.4400000000000004</x:v>
      </x:c>
      <x:c r="AC1516" s="15" t="n">
        <x:f>'기준스탯 72종'!G68*H1516</x:f>
        <x:v>1.4400000000000004</x:v>
      </x:c>
      <x:c r="AD1516" s="15" t="n">
        <x:f>'기준스탯 72종'!H68*H1516</x:f>
        <x:v>0.5400000000000001</x:v>
      </x:c>
      <x:c r="AE1516" s="15" t="n">
        <x:f>'기준스탯 72종'!I68*H1516</x:f>
        <x:v>0.5400000000000001</x:v>
      </x:c>
      <x:c r="AF1516" s="15" t="n">
        <x:f>'기준스탯 72종'!J68*H1516</x:f>
        <x:v>0.9000000000000002</x:v>
      </x:c>
      <x:c r="AG1516" s="15" t="n">
        <x:f>'기준스탯 72종'!K68*H1516</x:f>
        <x:v>0.9000000000000002</x:v>
      </x:c>
    </x:row>
    <x:row r="1517" ht="28" customHeight="1">
      <x:c r="A1517" s="2" t="n">
        <x:v>1510</x:v>
      </x:c>
      <x:c r="B1517" s="2" t="n">
        <x:v>61</x:v>
      </x:c>
      <x:c r="C1517" s="2" t="str">
        <x:v>물병자리</x:v>
      </x:c>
      <x:c r="D1517" s="2" t="str">
        <x:v>기사</x:v>
      </x:c>
      <x:c r="E1517" s="2" t="n">
        <x:v>5</x:v>
      </x:c>
      <x:c r="F1517" s="2" t="n">
        <x:v>2</x:v>
      </x:c>
      <x:c r="G1517" s="14" t="n">
        <x:f>('레벨 계산식'!$E$4-E1517)*'레벨 계산식'!$B$5</x:f>
        <x:v>0</x:v>
      </x:c>
      <x:c r="H1517" s="14" t="n">
        <x:f>('등급 계산식'!$E$4-F1517)*'등급 계산식'!$B$5</x:f>
        <x:v>0.18000000000000005</x:v>
      </x:c>
      <x:c r="I1517" s="14" t="n">
        <x:f>1-G1517-H1517</x:f>
        <x:v>0.82</x:v>
      </x:c>
      <x:c r="J1517" s="2" t="n">
        <x:f>MAX(1,ROUND('기준스탯 72종'!D68-R1517-Z1517,0))</x:f>
        <x:v>5</x:v>
      </x:c>
      <x:c r="K1517" s="2" t="n">
        <x:f>MAX(1,ROUND('기준스탯 72종'!E68-S1517-AA1517,0))</x:f>
        <x:v>7</x:v>
      </x:c>
      <x:c r="L1517" s="2" t="n">
        <x:f>MAX(1,ROUND('기준스탯 72종'!F68-T1517-AB1517,0))</x:f>
        <x:v>7</x:v>
      </x:c>
      <x:c r="M1517" s="2" t="n">
        <x:f>MAX(1,ROUND('기준스탯 72종'!G68-U1517-AC1517,0))</x:f>
        <x:v>7</x:v>
      </x:c>
      <x:c r="N1517" s="2" t="n">
        <x:f>MAX(0,ROUND('기준스탯 72종'!H68-V1517-AD1517,0))</x:f>
        <x:v>2</x:v>
      </x:c>
      <x:c r="O1517" s="2" t="n">
        <x:f>MAX(0,ROUND('기준스탯 72종'!I68-W1517-AE1517,0))</x:f>
        <x:v>2</x:v>
      </x:c>
      <x:c r="P1517" s="2" t="n">
        <x:f>MAX(0,ROUND('기준스탯 72종'!J68-X1517-AF1517,0))</x:f>
        <x:v>4</x:v>
      </x:c>
      <x:c r="Q1517" s="2" t="n">
        <x:f>MAX(0,ROUND('기준스탯 72종'!K68-Y1517-AG1517,0))</x:f>
        <x:v>4</x:v>
      </x:c>
      <x:c r="R1517" s="15" t="n">
        <x:f>'기준스탯 72종'!D68*G1517</x:f>
        <x:v>0</x:v>
      </x:c>
      <x:c r="S1517" s="15" t="n">
        <x:f>'기준스탯 72종'!E68*G1517</x:f>
        <x:v>0</x:v>
      </x:c>
      <x:c r="T1517" s="15" t="n">
        <x:f>'기준스탯 72종'!F68*G1517</x:f>
        <x:v>0</x:v>
      </x:c>
      <x:c r="U1517" s="15" t="n">
        <x:f>'기준스탯 72종'!G68*G1517</x:f>
        <x:v>0</x:v>
      </x:c>
      <x:c r="V1517" s="15" t="n">
        <x:f>'기준스탯 72종'!H68*G1517</x:f>
        <x:v>0</x:v>
      </x:c>
      <x:c r="W1517" s="15" t="n">
        <x:f>'기준스탯 72종'!I68*G1517</x:f>
        <x:v>0</x:v>
      </x:c>
      <x:c r="X1517" s="15" t="n">
        <x:f>'기준스탯 72종'!J68*G1517</x:f>
        <x:v>0</x:v>
      </x:c>
      <x:c r="Y1517" s="15" t="n">
        <x:f>'기준스탯 72종'!K68*G1517</x:f>
        <x:v>0</x:v>
      </x:c>
      <x:c r="Z1517" s="15" t="n">
        <x:f>'기준스탯 72종'!D68*H1517</x:f>
        <x:v>1.0800000000000003</x:v>
      </x:c>
      <x:c r="AA1517" s="15" t="n">
        <x:f>'기준스탯 72종'!E68*H1517</x:f>
        <x:v>1.4400000000000004</x:v>
      </x:c>
      <x:c r="AB1517" s="15" t="n">
        <x:f>'기준스탯 72종'!F68*H1517</x:f>
        <x:v>1.4400000000000004</x:v>
      </x:c>
      <x:c r="AC1517" s="15" t="n">
        <x:f>'기준스탯 72종'!G68*H1517</x:f>
        <x:v>1.4400000000000004</x:v>
      </x:c>
      <x:c r="AD1517" s="15" t="n">
        <x:f>'기준스탯 72종'!H68*H1517</x:f>
        <x:v>0.5400000000000001</x:v>
      </x:c>
      <x:c r="AE1517" s="15" t="n">
        <x:f>'기준스탯 72종'!I68*H1517</x:f>
        <x:v>0.5400000000000001</x:v>
      </x:c>
      <x:c r="AF1517" s="15" t="n">
        <x:f>'기준스탯 72종'!J68*H1517</x:f>
        <x:v>0.9000000000000002</x:v>
      </x:c>
      <x:c r="AG1517" s="15" t="n">
        <x:f>'기준스탯 72종'!K68*H1517</x:f>
        <x:v>0.9000000000000002</x:v>
      </x:c>
    </x:row>
    <x:row r="1518" ht="28" customHeight="1">
      <x:c r="A1518" s="2" t="n">
        <x:v>1511</x:v>
      </x:c>
      <x:c r="B1518" s="2" t="n">
        <x:v>61</x:v>
      </x:c>
      <x:c r="C1518" s="2" t="str">
        <x:v>물병자리</x:v>
      </x:c>
      <x:c r="D1518" s="2" t="str">
        <x:v>기사</x:v>
      </x:c>
      <x:c r="E1518" s="2" t="n">
        <x:v>1</x:v>
      </x:c>
      <x:c r="F1518" s="2" t="n">
        <x:v>3</x:v>
      </x:c>
      <x:c r="G1518" s="14" t="n">
        <x:f>('레벨 계산식'!$E$4-E1518)*'레벨 계산식'!$B$5</x:f>
        <x:v>0.5599999999999999</x:v>
      </x:c>
      <x:c r="H1518" s="14" t="n">
        <x:f>('등급 계산식'!$E$4-F1518)*'등급 계산식'!$B$5</x:f>
        <x:v>0.12000000000000002</x:v>
      </x:c>
      <x:c r="I1518" s="14" t="n">
        <x:f>1-G1518-H1518</x:f>
        <x:v>0.32000000000000006</x:v>
      </x:c>
      <x:c r="J1518" s="2" t="n">
        <x:f>MAX(1,ROUND('기준스탯 72종'!D68-R1518-Z1518,0))</x:f>
        <x:v>2</x:v>
      </x:c>
      <x:c r="K1518" s="2" t="n">
        <x:f>MAX(1,ROUND('기준스탯 72종'!E68-S1518-AA1518,0))</x:f>
        <x:v>3</x:v>
      </x:c>
      <x:c r="L1518" s="2" t="n">
        <x:f>MAX(1,ROUND('기준스탯 72종'!F68-T1518-AB1518,0))</x:f>
        <x:v>3</x:v>
      </x:c>
      <x:c r="M1518" s="2" t="n">
        <x:f>MAX(1,ROUND('기준스탯 72종'!G68-U1518-AC1518,0))</x:f>
        <x:v>3</x:v>
      </x:c>
      <x:c r="N1518" s="2" t="n">
        <x:f>MAX(0,ROUND('기준스탯 72종'!H68-V1518-AD1518,0))</x:f>
        <x:v>1</x:v>
      </x:c>
      <x:c r="O1518" s="2" t="n">
        <x:f>MAX(0,ROUND('기준스탯 72종'!I68-W1518-AE1518,0))</x:f>
        <x:v>1</x:v>
      </x:c>
      <x:c r="P1518" s="2" t="n">
        <x:f>MAX(0,ROUND('기준스탯 72종'!J68-X1518-AF1518,0))</x:f>
        <x:v>2</x:v>
      </x:c>
      <x:c r="Q1518" s="2" t="n">
        <x:f>MAX(0,ROUND('기준스탯 72종'!K68-Y1518-AG1518,0))</x:f>
        <x:v>2</x:v>
      </x:c>
      <x:c r="R1518" s="15" t="n">
        <x:f>'기준스탯 72종'!D68*G1518</x:f>
        <x:v>3.3599999999999994</x:v>
      </x:c>
      <x:c r="S1518" s="15" t="n">
        <x:f>'기준스탯 72종'!E68*G1518</x:f>
        <x:v>4.4799999999999995</x:v>
      </x:c>
      <x:c r="T1518" s="15" t="n">
        <x:f>'기준스탯 72종'!F68*G1518</x:f>
        <x:v>4.4799999999999995</x:v>
      </x:c>
      <x:c r="U1518" s="15" t="n">
        <x:f>'기준스탯 72종'!G68*G1518</x:f>
        <x:v>4.4799999999999995</x:v>
      </x:c>
      <x:c r="V1518" s="15" t="n">
        <x:f>'기준스탯 72종'!H68*G1518</x:f>
        <x:v>1.6799999999999997</x:v>
      </x:c>
      <x:c r="W1518" s="15" t="n">
        <x:f>'기준스탯 72종'!I68*G1518</x:f>
        <x:v>1.6799999999999997</x:v>
      </x:c>
      <x:c r="X1518" s="15" t="n">
        <x:f>'기준스탯 72종'!J68*G1518</x:f>
        <x:v>2.8</x:v>
      </x:c>
      <x:c r="Y1518" s="15" t="n">
        <x:f>'기준스탯 72종'!K68*G1518</x:f>
        <x:v>2.8</x:v>
      </x:c>
      <x:c r="Z1518" s="15" t="n">
        <x:f>'기준스탯 72종'!D68*H1518</x:f>
        <x:v>0.7200000000000002</x:v>
      </x:c>
      <x:c r="AA1518" s="15" t="n">
        <x:f>'기준스탯 72종'!E68*H1518</x:f>
        <x:v>0.9600000000000002</x:v>
      </x:c>
      <x:c r="AB1518" s="15" t="n">
        <x:f>'기준스탯 72종'!F68*H1518</x:f>
        <x:v>0.9600000000000002</x:v>
      </x:c>
      <x:c r="AC1518" s="15" t="n">
        <x:f>'기준스탯 72종'!G68*H1518</x:f>
        <x:v>0.9600000000000002</x:v>
      </x:c>
      <x:c r="AD1518" s="15" t="n">
        <x:f>'기준스탯 72종'!H68*H1518</x:f>
        <x:v>0.3600000000000001</x:v>
      </x:c>
      <x:c r="AE1518" s="15" t="n">
        <x:f>'기준스탯 72종'!I68*H1518</x:f>
        <x:v>0.3600000000000001</x:v>
      </x:c>
      <x:c r="AF1518" s="15" t="n">
        <x:f>'기준스탯 72종'!J68*H1518</x:f>
        <x:v>0.6000000000000001</x:v>
      </x:c>
      <x:c r="AG1518" s="15" t="n">
        <x:f>'기준스탯 72종'!K68*H1518</x:f>
        <x:v>0.6000000000000001</x:v>
      </x:c>
    </x:row>
    <x:row r="1519" ht="28" customHeight="1">
      <x:c r="A1519" s="2" t="n">
        <x:v>1512</x:v>
      </x:c>
      <x:c r="B1519" s="2" t="n">
        <x:v>61</x:v>
      </x:c>
      <x:c r="C1519" s="2" t="str">
        <x:v>물병자리</x:v>
      </x:c>
      <x:c r="D1519" s="2" t="str">
        <x:v>기사</x:v>
      </x:c>
      <x:c r="E1519" s="2" t="n">
        <x:v>2</x:v>
      </x:c>
      <x:c r="F1519" s="2" t="n">
        <x:v>3</x:v>
      </x:c>
      <x:c r="G1519" s="14" t="n">
        <x:f>('레벨 계산식'!$E$4-E1519)*'레벨 계산식'!$B$5</x:f>
        <x:v>0.41999999999999993</x:v>
      </x:c>
      <x:c r="H1519" s="14" t="n">
        <x:f>('등급 계산식'!$E$4-F1519)*'등급 계산식'!$B$5</x:f>
        <x:v>0.12000000000000002</x:v>
      </x:c>
      <x:c r="I1519" s="14" t="n">
        <x:f>1-G1519-H1519</x:f>
        <x:v>0.4600000000000001</x:v>
      </x:c>
      <x:c r="J1519" s="2" t="n">
        <x:f>MAX(1,ROUND('기준스탯 72종'!D68-R1519-Z1519,0))</x:f>
        <x:v>3</x:v>
      </x:c>
      <x:c r="K1519" s="2" t="n">
        <x:f>MAX(1,ROUND('기준스탯 72종'!E68-S1519-AA1519,0))</x:f>
        <x:v>4</x:v>
      </x:c>
      <x:c r="L1519" s="2" t="n">
        <x:f>MAX(1,ROUND('기준스탯 72종'!F68-T1519-AB1519,0))</x:f>
        <x:v>4</x:v>
      </x:c>
      <x:c r="M1519" s="2" t="n">
        <x:f>MAX(1,ROUND('기준스탯 72종'!G68-U1519-AC1519,0))</x:f>
        <x:v>4</x:v>
      </x:c>
      <x:c r="N1519" s="2" t="n">
        <x:f>MAX(0,ROUND('기준스탯 72종'!H68-V1519-AD1519,0))</x:f>
        <x:v>1</x:v>
      </x:c>
      <x:c r="O1519" s="2" t="n">
        <x:f>MAX(0,ROUND('기준스탯 72종'!I68-W1519-AE1519,0))</x:f>
        <x:v>1</x:v>
      </x:c>
      <x:c r="P1519" s="2" t="n">
        <x:f>MAX(0,ROUND('기준스탯 72종'!J68-X1519-AF1519,0))</x:f>
        <x:v>2</x:v>
      </x:c>
      <x:c r="Q1519" s="2" t="n">
        <x:f>MAX(0,ROUND('기준스탯 72종'!K68-Y1519-AG1519,0))</x:f>
        <x:v>2</x:v>
      </x:c>
      <x:c r="R1519" s="15" t="n">
        <x:f>'기준스탯 72종'!D68*G1519</x:f>
        <x:v>2.5199999999999996</x:v>
      </x:c>
      <x:c r="S1519" s="15" t="n">
        <x:f>'기준스탯 72종'!E68*G1519</x:f>
        <x:v>3.3599999999999994</x:v>
      </x:c>
      <x:c r="T1519" s="15" t="n">
        <x:f>'기준스탯 72종'!F68*G1519</x:f>
        <x:v>3.3599999999999994</x:v>
      </x:c>
      <x:c r="U1519" s="15" t="n">
        <x:f>'기준스탯 72종'!G68*G1519</x:f>
        <x:v>3.3599999999999994</x:v>
      </x:c>
      <x:c r="V1519" s="15" t="n">
        <x:f>'기준스탯 72종'!H68*G1519</x:f>
        <x:v>1.2599999999999998</x:v>
      </x:c>
      <x:c r="W1519" s="15" t="n">
        <x:f>'기준스탯 72종'!I68*G1519</x:f>
        <x:v>1.2599999999999998</x:v>
      </x:c>
      <x:c r="X1519" s="15" t="n">
        <x:f>'기준스탯 72종'!J68*G1519</x:f>
        <x:v>2.0999999999999996</x:v>
      </x:c>
      <x:c r="Y1519" s="15" t="n">
        <x:f>'기준스탯 72종'!K68*G1519</x:f>
        <x:v>2.0999999999999996</x:v>
      </x:c>
      <x:c r="Z1519" s="15" t="n">
        <x:f>'기준스탯 72종'!D68*H1519</x:f>
        <x:v>0.7200000000000002</x:v>
      </x:c>
      <x:c r="AA1519" s="15" t="n">
        <x:f>'기준스탯 72종'!E68*H1519</x:f>
        <x:v>0.9600000000000002</x:v>
      </x:c>
      <x:c r="AB1519" s="15" t="n">
        <x:f>'기준스탯 72종'!F68*H1519</x:f>
        <x:v>0.9600000000000002</x:v>
      </x:c>
      <x:c r="AC1519" s="15" t="n">
        <x:f>'기준스탯 72종'!G68*H1519</x:f>
        <x:v>0.9600000000000002</x:v>
      </x:c>
      <x:c r="AD1519" s="15" t="n">
        <x:f>'기준스탯 72종'!H68*H1519</x:f>
        <x:v>0.3600000000000001</x:v>
      </x:c>
      <x:c r="AE1519" s="15" t="n">
        <x:f>'기준스탯 72종'!I68*H1519</x:f>
        <x:v>0.3600000000000001</x:v>
      </x:c>
      <x:c r="AF1519" s="15" t="n">
        <x:f>'기준스탯 72종'!J68*H1519</x:f>
        <x:v>0.6000000000000001</x:v>
      </x:c>
      <x:c r="AG1519" s="15" t="n">
        <x:f>'기준스탯 72종'!K68*H1519</x:f>
        <x:v>0.6000000000000001</x:v>
      </x:c>
    </x:row>
    <x:row r="1520" ht="28" customHeight="1">
      <x:c r="A1520" s="2" t="n">
        <x:v>1513</x:v>
      </x:c>
      <x:c r="B1520" s="2" t="n">
        <x:v>61</x:v>
      </x:c>
      <x:c r="C1520" s="2" t="str">
        <x:v>물병자리</x:v>
      </x:c>
      <x:c r="D1520" s="2" t="str">
        <x:v>기사</x:v>
      </x:c>
      <x:c r="E1520" s="2" t="n">
        <x:v>3</x:v>
      </x:c>
      <x:c r="F1520" s="2" t="n">
        <x:v>3</x:v>
      </x:c>
      <x:c r="G1520" s="14" t="n">
        <x:f>('레벨 계산식'!$E$4-E1520)*'레벨 계산식'!$B$5</x:f>
        <x:v>0.27999999999999997</x:v>
      </x:c>
      <x:c r="H1520" s="14" t="n">
        <x:f>('등급 계산식'!$E$4-F1520)*'등급 계산식'!$B$5</x:f>
        <x:v>0.12000000000000002</x:v>
      </x:c>
      <x:c r="I1520" s="14" t="n">
        <x:f>1-G1520-H1520</x:f>
        <x:v>0.6</x:v>
      </x:c>
      <x:c r="J1520" s="2" t="n">
        <x:f>MAX(1,ROUND('기준스탯 72종'!D68-R1520-Z1520,0))</x:f>
        <x:v>4</x:v>
      </x:c>
      <x:c r="K1520" s="2" t="n">
        <x:f>MAX(1,ROUND('기준스탯 72종'!E68-S1520-AA1520,0))</x:f>
        <x:v>5</x:v>
      </x:c>
      <x:c r="L1520" s="2" t="n">
        <x:f>MAX(1,ROUND('기준스탯 72종'!F68-T1520-AB1520,0))</x:f>
        <x:v>5</x:v>
      </x:c>
      <x:c r="M1520" s="2" t="n">
        <x:f>MAX(1,ROUND('기준스탯 72종'!G68-U1520-AC1520,0))</x:f>
        <x:v>5</x:v>
      </x:c>
      <x:c r="N1520" s="2" t="n">
        <x:f>MAX(0,ROUND('기준스탯 72종'!H68-V1520-AD1520,0))</x:f>
        <x:v>2</x:v>
      </x:c>
      <x:c r="O1520" s="2" t="n">
        <x:f>MAX(0,ROUND('기준스탯 72종'!I68-W1520-AE1520,0))</x:f>
        <x:v>2</x:v>
      </x:c>
      <x:c r="P1520" s="2" t="n">
        <x:f>MAX(0,ROUND('기준스탯 72종'!J68-X1520-AF1520,0))</x:f>
        <x:v>3</x:v>
      </x:c>
      <x:c r="Q1520" s="2" t="n">
        <x:f>MAX(0,ROUND('기준스탯 72종'!K68-Y1520-AG1520,0))</x:f>
        <x:v>3</x:v>
      </x:c>
      <x:c r="R1520" s="15" t="n">
        <x:f>'기준스탯 72종'!D68*G1520</x:f>
        <x:v>1.6799999999999997</x:v>
      </x:c>
      <x:c r="S1520" s="15" t="n">
        <x:f>'기준스탯 72종'!E68*G1520</x:f>
        <x:v>2.2399999999999998</x:v>
      </x:c>
      <x:c r="T1520" s="15" t="n">
        <x:f>'기준스탯 72종'!F68*G1520</x:f>
        <x:v>2.2399999999999998</x:v>
      </x:c>
      <x:c r="U1520" s="15" t="n">
        <x:f>'기준스탯 72종'!G68*G1520</x:f>
        <x:v>2.2399999999999998</x:v>
      </x:c>
      <x:c r="V1520" s="15" t="n">
        <x:f>'기준스탯 72종'!H68*G1520</x:f>
        <x:v>0.8399999999999999</x:v>
      </x:c>
      <x:c r="W1520" s="15" t="n">
        <x:f>'기준스탯 72종'!I68*G1520</x:f>
        <x:v>0.8399999999999999</x:v>
      </x:c>
      <x:c r="X1520" s="15" t="n">
        <x:f>'기준스탯 72종'!J68*G1520</x:f>
        <x:v>1.4</x:v>
      </x:c>
      <x:c r="Y1520" s="15" t="n">
        <x:f>'기준스탯 72종'!K68*G1520</x:f>
        <x:v>1.4</x:v>
      </x:c>
      <x:c r="Z1520" s="15" t="n">
        <x:f>'기준스탯 72종'!D68*H1520</x:f>
        <x:v>0.7200000000000002</x:v>
      </x:c>
      <x:c r="AA1520" s="15" t="n">
        <x:f>'기준스탯 72종'!E68*H1520</x:f>
        <x:v>0.9600000000000002</x:v>
      </x:c>
      <x:c r="AB1520" s="15" t="n">
        <x:f>'기준스탯 72종'!F68*H1520</x:f>
        <x:v>0.9600000000000002</x:v>
      </x:c>
      <x:c r="AC1520" s="15" t="n">
        <x:f>'기준스탯 72종'!G68*H1520</x:f>
        <x:v>0.9600000000000002</x:v>
      </x:c>
      <x:c r="AD1520" s="15" t="n">
        <x:f>'기준스탯 72종'!H68*H1520</x:f>
        <x:v>0.3600000000000001</x:v>
      </x:c>
      <x:c r="AE1520" s="15" t="n">
        <x:f>'기준스탯 72종'!I68*H1520</x:f>
        <x:v>0.3600000000000001</x:v>
      </x:c>
      <x:c r="AF1520" s="15" t="n">
        <x:f>'기준스탯 72종'!J68*H1520</x:f>
        <x:v>0.6000000000000001</x:v>
      </x:c>
      <x:c r="AG1520" s="15" t="n">
        <x:f>'기준스탯 72종'!K68*H1520</x:f>
        <x:v>0.6000000000000001</x:v>
      </x:c>
    </x:row>
    <x:row r="1521" ht="28" customHeight="1">
      <x:c r="A1521" s="2" t="n">
        <x:v>1514</x:v>
      </x:c>
      <x:c r="B1521" s="2" t="n">
        <x:v>61</x:v>
      </x:c>
      <x:c r="C1521" s="2" t="str">
        <x:v>물병자리</x:v>
      </x:c>
      <x:c r="D1521" s="2" t="str">
        <x:v>기사</x:v>
      </x:c>
      <x:c r="E1521" s="2" t="n">
        <x:v>4</x:v>
      </x:c>
      <x:c r="F1521" s="2" t="n">
        <x:v>3</x:v>
      </x:c>
      <x:c r="G1521" s="14" t="n">
        <x:f>('레벨 계산식'!$E$4-E1521)*'레벨 계산식'!$B$5</x:f>
        <x:v>0.13999999999999999</x:v>
      </x:c>
      <x:c r="H1521" s="14" t="n">
        <x:f>('등급 계산식'!$E$4-F1521)*'등급 계산식'!$B$5</x:f>
        <x:v>0.12000000000000002</x:v>
      </x:c>
      <x:c r="I1521" s="14" t="n">
        <x:f>1-G1521-H1521</x:f>
        <x:v>0.74</x:v>
      </x:c>
      <x:c r="J1521" s="2" t="n">
        <x:f>MAX(1,ROUND('기준스탯 72종'!D68-R1521-Z1521,0))</x:f>
        <x:v>4</x:v>
      </x:c>
      <x:c r="K1521" s="2" t="n">
        <x:f>MAX(1,ROUND('기준스탯 72종'!E68-S1521-AA1521,0))</x:f>
        <x:v>6</x:v>
      </x:c>
      <x:c r="L1521" s="2" t="n">
        <x:f>MAX(1,ROUND('기준스탯 72종'!F68-T1521-AB1521,0))</x:f>
        <x:v>6</x:v>
      </x:c>
      <x:c r="M1521" s="2" t="n">
        <x:f>MAX(1,ROUND('기준스탯 72종'!G68-U1521-AC1521,0))</x:f>
        <x:v>6</x:v>
      </x:c>
      <x:c r="N1521" s="2" t="n">
        <x:f>MAX(0,ROUND('기준스탯 72종'!H68-V1521-AD1521,0))</x:f>
        <x:v>2</x:v>
      </x:c>
      <x:c r="O1521" s="2" t="n">
        <x:f>MAX(0,ROUND('기준스탯 72종'!I68-W1521-AE1521,0))</x:f>
        <x:v>2</x:v>
      </x:c>
      <x:c r="P1521" s="2" t="n">
        <x:f>MAX(0,ROUND('기준스탯 72종'!J68-X1521-AF1521,0))</x:f>
        <x:v>4</x:v>
      </x:c>
      <x:c r="Q1521" s="2" t="n">
        <x:f>MAX(0,ROUND('기준스탯 72종'!K68-Y1521-AG1521,0))</x:f>
        <x:v>4</x:v>
      </x:c>
      <x:c r="R1521" s="15" t="n">
        <x:f>'기준스탯 72종'!D68*G1521</x:f>
        <x:v>0.8399999999999999</x:v>
      </x:c>
      <x:c r="S1521" s="15" t="n">
        <x:f>'기준스탯 72종'!E68*G1521</x:f>
        <x:v>1.1199999999999999</x:v>
      </x:c>
      <x:c r="T1521" s="15" t="n">
        <x:f>'기준스탯 72종'!F68*G1521</x:f>
        <x:v>1.1199999999999999</x:v>
      </x:c>
      <x:c r="U1521" s="15" t="n">
        <x:f>'기준스탯 72종'!G68*G1521</x:f>
        <x:v>1.1199999999999999</x:v>
      </x:c>
      <x:c r="V1521" s="15" t="n">
        <x:f>'기준스탯 72종'!H68*G1521</x:f>
        <x:v>0.41999999999999993</x:v>
      </x:c>
      <x:c r="W1521" s="15" t="n">
        <x:f>'기준스탯 72종'!I68*G1521</x:f>
        <x:v>0.41999999999999993</x:v>
      </x:c>
      <x:c r="X1521" s="15" t="n">
        <x:f>'기준스탯 72종'!J68*G1521</x:f>
        <x:v>0.7</x:v>
      </x:c>
      <x:c r="Y1521" s="15" t="n">
        <x:f>'기준스탯 72종'!K68*G1521</x:f>
        <x:v>0.7</x:v>
      </x:c>
      <x:c r="Z1521" s="15" t="n">
        <x:f>'기준스탯 72종'!D68*H1521</x:f>
        <x:v>0.7200000000000002</x:v>
      </x:c>
      <x:c r="AA1521" s="15" t="n">
        <x:f>'기준스탯 72종'!E68*H1521</x:f>
        <x:v>0.9600000000000002</x:v>
      </x:c>
      <x:c r="AB1521" s="15" t="n">
        <x:f>'기준스탯 72종'!F68*H1521</x:f>
        <x:v>0.9600000000000002</x:v>
      </x:c>
      <x:c r="AC1521" s="15" t="n">
        <x:f>'기준스탯 72종'!G68*H1521</x:f>
        <x:v>0.9600000000000002</x:v>
      </x:c>
      <x:c r="AD1521" s="15" t="n">
        <x:f>'기준스탯 72종'!H68*H1521</x:f>
        <x:v>0.3600000000000001</x:v>
      </x:c>
      <x:c r="AE1521" s="15" t="n">
        <x:f>'기준스탯 72종'!I68*H1521</x:f>
        <x:v>0.3600000000000001</x:v>
      </x:c>
      <x:c r="AF1521" s="15" t="n">
        <x:f>'기준스탯 72종'!J68*H1521</x:f>
        <x:v>0.6000000000000001</x:v>
      </x:c>
      <x:c r="AG1521" s="15" t="n">
        <x:f>'기준스탯 72종'!K68*H1521</x:f>
        <x:v>0.6000000000000001</x:v>
      </x:c>
    </x:row>
    <x:row r="1522" ht="28" customHeight="1">
      <x:c r="A1522" s="2" t="n">
        <x:v>1515</x:v>
      </x:c>
      <x:c r="B1522" s="2" t="n">
        <x:v>61</x:v>
      </x:c>
      <x:c r="C1522" s="2" t="str">
        <x:v>물병자리</x:v>
      </x:c>
      <x:c r="D1522" s="2" t="str">
        <x:v>기사</x:v>
      </x:c>
      <x:c r="E1522" s="2" t="n">
        <x:v>5</x:v>
      </x:c>
      <x:c r="F1522" s="2" t="n">
        <x:v>3</x:v>
      </x:c>
      <x:c r="G1522" s="14" t="n">
        <x:f>('레벨 계산식'!$E$4-E1522)*'레벨 계산식'!$B$5</x:f>
        <x:v>0</x:v>
      </x:c>
      <x:c r="H1522" s="14" t="n">
        <x:f>('등급 계산식'!$E$4-F1522)*'등급 계산식'!$B$5</x:f>
        <x:v>0.12000000000000002</x:v>
      </x:c>
      <x:c r="I1522" s="14" t="n">
        <x:f>1-G1522-H1522</x:f>
        <x:v>0.88</x:v>
      </x:c>
      <x:c r="J1522" s="2" t="n">
        <x:f>MAX(1,ROUND('기준스탯 72종'!D68-R1522-Z1522,0))</x:f>
        <x:v>5</x:v>
      </x:c>
      <x:c r="K1522" s="2" t="n">
        <x:f>MAX(1,ROUND('기준스탯 72종'!E68-S1522-AA1522,0))</x:f>
        <x:v>7</x:v>
      </x:c>
      <x:c r="L1522" s="2" t="n">
        <x:f>MAX(1,ROUND('기준스탯 72종'!F68-T1522-AB1522,0))</x:f>
        <x:v>7</x:v>
      </x:c>
      <x:c r="M1522" s="2" t="n">
        <x:f>MAX(1,ROUND('기준스탯 72종'!G68-U1522-AC1522,0))</x:f>
        <x:v>7</x:v>
      </x:c>
      <x:c r="N1522" s="2" t="n">
        <x:f>MAX(0,ROUND('기준스탯 72종'!H68-V1522-AD1522,0))</x:f>
        <x:v>3</x:v>
      </x:c>
      <x:c r="O1522" s="2" t="n">
        <x:f>MAX(0,ROUND('기준스탯 72종'!I68-W1522-AE1522,0))</x:f>
        <x:v>3</x:v>
      </x:c>
      <x:c r="P1522" s="2" t="n">
        <x:f>MAX(0,ROUND('기준스탯 72종'!J68-X1522-AF1522,0))</x:f>
        <x:v>4</x:v>
      </x:c>
      <x:c r="Q1522" s="2" t="n">
        <x:f>MAX(0,ROUND('기준스탯 72종'!K68-Y1522-AG1522,0))</x:f>
        <x:v>4</x:v>
      </x:c>
      <x:c r="R1522" s="15" t="n">
        <x:f>'기준스탯 72종'!D68*G1522</x:f>
        <x:v>0</x:v>
      </x:c>
      <x:c r="S1522" s="15" t="n">
        <x:f>'기준스탯 72종'!E68*G1522</x:f>
        <x:v>0</x:v>
      </x:c>
      <x:c r="T1522" s="15" t="n">
        <x:f>'기준스탯 72종'!F68*G1522</x:f>
        <x:v>0</x:v>
      </x:c>
      <x:c r="U1522" s="15" t="n">
        <x:f>'기준스탯 72종'!G68*G1522</x:f>
        <x:v>0</x:v>
      </x:c>
      <x:c r="V1522" s="15" t="n">
        <x:f>'기준스탯 72종'!H68*G1522</x:f>
        <x:v>0</x:v>
      </x:c>
      <x:c r="W1522" s="15" t="n">
        <x:f>'기준스탯 72종'!I68*G1522</x:f>
        <x:v>0</x:v>
      </x:c>
      <x:c r="X1522" s="15" t="n">
        <x:f>'기준스탯 72종'!J68*G1522</x:f>
        <x:v>0</x:v>
      </x:c>
      <x:c r="Y1522" s="15" t="n">
        <x:f>'기준스탯 72종'!K68*G1522</x:f>
        <x:v>0</x:v>
      </x:c>
      <x:c r="Z1522" s="15" t="n">
        <x:f>'기준스탯 72종'!D68*H1522</x:f>
        <x:v>0.7200000000000002</x:v>
      </x:c>
      <x:c r="AA1522" s="15" t="n">
        <x:f>'기준스탯 72종'!E68*H1522</x:f>
        <x:v>0.9600000000000002</x:v>
      </x:c>
      <x:c r="AB1522" s="15" t="n">
        <x:f>'기준스탯 72종'!F68*H1522</x:f>
        <x:v>0.9600000000000002</x:v>
      </x:c>
      <x:c r="AC1522" s="15" t="n">
        <x:f>'기준스탯 72종'!G68*H1522</x:f>
        <x:v>0.9600000000000002</x:v>
      </x:c>
      <x:c r="AD1522" s="15" t="n">
        <x:f>'기준스탯 72종'!H68*H1522</x:f>
        <x:v>0.3600000000000001</x:v>
      </x:c>
      <x:c r="AE1522" s="15" t="n">
        <x:f>'기준스탯 72종'!I68*H1522</x:f>
        <x:v>0.3600000000000001</x:v>
      </x:c>
      <x:c r="AF1522" s="15" t="n">
        <x:f>'기준스탯 72종'!J68*H1522</x:f>
        <x:v>0.6000000000000001</x:v>
      </x:c>
      <x:c r="AG1522" s="15" t="n">
        <x:f>'기준스탯 72종'!K68*H1522</x:f>
        <x:v>0.6000000000000001</x:v>
      </x:c>
    </x:row>
    <x:row r="1523" ht="28" customHeight="1">
      <x:c r="A1523" s="2" t="n">
        <x:v>1516</x:v>
      </x:c>
      <x:c r="B1523" s="2" t="n">
        <x:v>61</x:v>
      </x:c>
      <x:c r="C1523" s="2" t="str">
        <x:v>물병자리</x:v>
      </x:c>
      <x:c r="D1523" s="2" t="str">
        <x:v>기사</x:v>
      </x:c>
      <x:c r="E1523" s="2" t="n">
        <x:v>1</x:v>
      </x:c>
      <x:c r="F1523" s="2" t="n">
        <x:v>4</x:v>
      </x:c>
      <x:c r="G1523" s="14" t="n">
        <x:f>('레벨 계산식'!$E$4-E1523)*'레벨 계산식'!$B$5</x:f>
        <x:v>0.5599999999999999</x:v>
      </x:c>
      <x:c r="H1523" s="14" t="n">
        <x:f>('등급 계산식'!$E$4-F1523)*'등급 계산식'!$B$5</x:f>
        <x:v>0.06000000000000001</x:v>
      </x:c>
      <x:c r="I1523" s="14" t="n">
        <x:f>1-G1523-H1523</x:f>
        <x:v>0.38000000000000006</x:v>
      </x:c>
      <x:c r="J1523" s="2" t="n">
        <x:f>MAX(1,ROUND('기준스탯 72종'!D68-R1523-Z1523,0))</x:f>
        <x:v>2</x:v>
      </x:c>
      <x:c r="K1523" s="2" t="n">
        <x:f>MAX(1,ROUND('기준스탯 72종'!E68-S1523-AA1523,0))</x:f>
        <x:v>3</x:v>
      </x:c>
      <x:c r="L1523" s="2" t="n">
        <x:f>MAX(1,ROUND('기준스탯 72종'!F68-T1523-AB1523,0))</x:f>
        <x:v>3</x:v>
      </x:c>
      <x:c r="M1523" s="2" t="n">
        <x:f>MAX(1,ROUND('기준스탯 72종'!G68-U1523-AC1523,0))</x:f>
        <x:v>3</x:v>
      </x:c>
      <x:c r="N1523" s="2" t="n">
        <x:f>MAX(0,ROUND('기준스탯 72종'!H68-V1523-AD1523,0))</x:f>
        <x:v>1</x:v>
      </x:c>
      <x:c r="O1523" s="2" t="n">
        <x:f>MAX(0,ROUND('기준스탯 72종'!I68-W1523-AE1523,0))</x:f>
        <x:v>1</x:v>
      </x:c>
      <x:c r="P1523" s="2" t="n">
        <x:f>MAX(0,ROUND('기준스탯 72종'!J68-X1523-AF1523,0))</x:f>
        <x:v>2</x:v>
      </x:c>
      <x:c r="Q1523" s="2" t="n">
        <x:f>MAX(0,ROUND('기준스탯 72종'!K68-Y1523-AG1523,0))</x:f>
        <x:v>2</x:v>
      </x:c>
      <x:c r="R1523" s="15" t="n">
        <x:f>'기준스탯 72종'!D68*G1523</x:f>
        <x:v>3.3599999999999994</x:v>
      </x:c>
      <x:c r="S1523" s="15" t="n">
        <x:f>'기준스탯 72종'!E68*G1523</x:f>
        <x:v>4.4799999999999995</x:v>
      </x:c>
      <x:c r="T1523" s="15" t="n">
        <x:f>'기준스탯 72종'!F68*G1523</x:f>
        <x:v>4.4799999999999995</x:v>
      </x:c>
      <x:c r="U1523" s="15" t="n">
        <x:f>'기준스탯 72종'!G68*G1523</x:f>
        <x:v>4.4799999999999995</x:v>
      </x:c>
      <x:c r="V1523" s="15" t="n">
        <x:f>'기준스탯 72종'!H68*G1523</x:f>
        <x:v>1.6799999999999997</x:v>
      </x:c>
      <x:c r="W1523" s="15" t="n">
        <x:f>'기준스탯 72종'!I68*G1523</x:f>
        <x:v>1.6799999999999997</x:v>
      </x:c>
      <x:c r="X1523" s="15" t="n">
        <x:f>'기준스탯 72종'!J68*G1523</x:f>
        <x:v>2.8</x:v>
      </x:c>
      <x:c r="Y1523" s="15" t="n">
        <x:f>'기준스탯 72종'!K68*G1523</x:f>
        <x:v>2.8</x:v>
      </x:c>
      <x:c r="Z1523" s="15" t="n">
        <x:f>'기준스탯 72종'!D68*H1523</x:f>
        <x:v>0.3600000000000001</x:v>
      </x:c>
      <x:c r="AA1523" s="15" t="n">
        <x:f>'기준스탯 72종'!E68*H1523</x:f>
        <x:v>0.4800000000000001</x:v>
      </x:c>
      <x:c r="AB1523" s="15" t="n">
        <x:f>'기준스탯 72종'!F68*H1523</x:f>
        <x:v>0.4800000000000001</x:v>
      </x:c>
      <x:c r="AC1523" s="15" t="n">
        <x:f>'기준스탯 72종'!G68*H1523</x:f>
        <x:v>0.4800000000000001</x:v>
      </x:c>
      <x:c r="AD1523" s="15" t="n">
        <x:f>'기준스탯 72종'!H68*H1523</x:f>
        <x:v>0.18000000000000005</x:v>
      </x:c>
      <x:c r="AE1523" s="15" t="n">
        <x:f>'기준스탯 72종'!I68*H1523</x:f>
        <x:v>0.18000000000000005</x:v>
      </x:c>
      <x:c r="AF1523" s="15" t="n">
        <x:f>'기준스탯 72종'!J68*H1523</x:f>
        <x:v>0.30000000000000004</x:v>
      </x:c>
      <x:c r="AG1523" s="15" t="n">
        <x:f>'기준스탯 72종'!K68*H1523</x:f>
        <x:v>0.30000000000000004</x:v>
      </x:c>
    </x:row>
    <x:row r="1524" ht="28" customHeight="1">
      <x:c r="A1524" s="2" t="n">
        <x:v>1517</x:v>
      </x:c>
      <x:c r="B1524" s="2" t="n">
        <x:v>61</x:v>
      </x:c>
      <x:c r="C1524" s="2" t="str">
        <x:v>물병자리</x:v>
      </x:c>
      <x:c r="D1524" s="2" t="str">
        <x:v>기사</x:v>
      </x:c>
      <x:c r="E1524" s="2" t="n">
        <x:v>2</x:v>
      </x:c>
      <x:c r="F1524" s="2" t="n">
        <x:v>4</x:v>
      </x:c>
      <x:c r="G1524" s="14" t="n">
        <x:f>('레벨 계산식'!$E$4-E1524)*'레벨 계산식'!$B$5</x:f>
        <x:v>0.41999999999999993</x:v>
      </x:c>
      <x:c r="H1524" s="14" t="n">
        <x:f>('등급 계산식'!$E$4-F1524)*'등급 계산식'!$B$5</x:f>
        <x:v>0.06000000000000001</x:v>
      </x:c>
      <x:c r="I1524" s="14" t="n">
        <x:f>1-G1524-H1524</x:f>
        <x:v>0.52</x:v>
      </x:c>
      <x:c r="J1524" s="2" t="n">
        <x:f>MAX(1,ROUND('기준스탯 72종'!D68-R1524-Z1524,0))</x:f>
        <x:v>3</x:v>
      </x:c>
      <x:c r="K1524" s="2" t="n">
        <x:f>MAX(1,ROUND('기준스탯 72종'!E68-S1524-AA1524,0))</x:f>
        <x:v>4</x:v>
      </x:c>
      <x:c r="L1524" s="2" t="n">
        <x:f>MAX(1,ROUND('기준스탯 72종'!F68-T1524-AB1524,0))</x:f>
        <x:v>4</x:v>
      </x:c>
      <x:c r="M1524" s="2" t="n">
        <x:f>MAX(1,ROUND('기준스탯 72종'!G68-U1524-AC1524,0))</x:f>
        <x:v>4</x:v>
      </x:c>
      <x:c r="N1524" s="2" t="n">
        <x:f>MAX(0,ROUND('기준스탯 72종'!H68-V1524-AD1524,0))</x:f>
        <x:v>2</x:v>
      </x:c>
      <x:c r="O1524" s="2" t="n">
        <x:f>MAX(0,ROUND('기준스탯 72종'!I68-W1524-AE1524,0))</x:f>
        <x:v>2</x:v>
      </x:c>
      <x:c r="P1524" s="2" t="n">
        <x:f>MAX(0,ROUND('기준스탯 72종'!J68-X1524-AF1524,0))</x:f>
        <x:v>3</x:v>
      </x:c>
      <x:c r="Q1524" s="2" t="n">
        <x:f>MAX(0,ROUND('기준스탯 72종'!K68-Y1524-AG1524,0))</x:f>
        <x:v>3</x:v>
      </x:c>
      <x:c r="R1524" s="15" t="n">
        <x:f>'기준스탯 72종'!D68*G1524</x:f>
        <x:v>2.5199999999999996</x:v>
      </x:c>
      <x:c r="S1524" s="15" t="n">
        <x:f>'기준스탯 72종'!E68*G1524</x:f>
        <x:v>3.3599999999999994</x:v>
      </x:c>
      <x:c r="T1524" s="15" t="n">
        <x:f>'기준스탯 72종'!F68*G1524</x:f>
        <x:v>3.3599999999999994</x:v>
      </x:c>
      <x:c r="U1524" s="15" t="n">
        <x:f>'기준스탯 72종'!G68*G1524</x:f>
        <x:v>3.3599999999999994</x:v>
      </x:c>
      <x:c r="V1524" s="15" t="n">
        <x:f>'기준스탯 72종'!H68*G1524</x:f>
        <x:v>1.2599999999999998</x:v>
      </x:c>
      <x:c r="W1524" s="15" t="n">
        <x:f>'기준스탯 72종'!I68*G1524</x:f>
        <x:v>1.2599999999999998</x:v>
      </x:c>
      <x:c r="X1524" s="15" t="n">
        <x:f>'기준스탯 72종'!J68*G1524</x:f>
        <x:v>2.0999999999999996</x:v>
      </x:c>
      <x:c r="Y1524" s="15" t="n">
        <x:f>'기준스탯 72종'!K68*G1524</x:f>
        <x:v>2.0999999999999996</x:v>
      </x:c>
      <x:c r="Z1524" s="15" t="n">
        <x:f>'기준스탯 72종'!D68*H1524</x:f>
        <x:v>0.3600000000000001</x:v>
      </x:c>
      <x:c r="AA1524" s="15" t="n">
        <x:f>'기준스탯 72종'!E68*H1524</x:f>
        <x:v>0.4800000000000001</x:v>
      </x:c>
      <x:c r="AB1524" s="15" t="n">
        <x:f>'기준스탯 72종'!F68*H1524</x:f>
        <x:v>0.4800000000000001</x:v>
      </x:c>
      <x:c r="AC1524" s="15" t="n">
        <x:f>'기준스탯 72종'!G68*H1524</x:f>
        <x:v>0.4800000000000001</x:v>
      </x:c>
      <x:c r="AD1524" s="15" t="n">
        <x:f>'기준스탯 72종'!H68*H1524</x:f>
        <x:v>0.18000000000000005</x:v>
      </x:c>
      <x:c r="AE1524" s="15" t="n">
        <x:f>'기준스탯 72종'!I68*H1524</x:f>
        <x:v>0.18000000000000005</x:v>
      </x:c>
      <x:c r="AF1524" s="15" t="n">
        <x:f>'기준스탯 72종'!J68*H1524</x:f>
        <x:v>0.30000000000000004</x:v>
      </x:c>
      <x:c r="AG1524" s="15" t="n">
        <x:f>'기준스탯 72종'!K68*H1524</x:f>
        <x:v>0.30000000000000004</x:v>
      </x:c>
    </x:row>
    <x:row r="1525" ht="28" customHeight="1">
      <x:c r="A1525" s="2" t="n">
        <x:v>1518</x:v>
      </x:c>
      <x:c r="B1525" s="2" t="n">
        <x:v>61</x:v>
      </x:c>
      <x:c r="C1525" s="2" t="str">
        <x:v>물병자리</x:v>
      </x:c>
      <x:c r="D1525" s="2" t="str">
        <x:v>기사</x:v>
      </x:c>
      <x:c r="E1525" s="2" t="n">
        <x:v>3</x:v>
      </x:c>
      <x:c r="F1525" s="2" t="n">
        <x:v>4</x:v>
      </x:c>
      <x:c r="G1525" s="14" t="n">
        <x:f>('레벨 계산식'!$E$4-E1525)*'레벨 계산식'!$B$5</x:f>
        <x:v>0.27999999999999997</x:v>
      </x:c>
      <x:c r="H1525" s="14" t="n">
        <x:f>('등급 계산식'!$E$4-F1525)*'등급 계산식'!$B$5</x:f>
        <x:v>0.06000000000000001</x:v>
      </x:c>
      <x:c r="I1525" s="14" t="n">
        <x:f>1-G1525-H1525</x:f>
        <x:v>0.6599999999999999</x:v>
      </x:c>
      <x:c r="J1525" s="2" t="n">
        <x:f>MAX(1,ROUND('기준스탯 72종'!D68-R1525-Z1525,0))</x:f>
        <x:v>4</x:v>
      </x:c>
      <x:c r="K1525" s="2" t="n">
        <x:f>MAX(1,ROUND('기준스탯 72종'!E68-S1525-AA1525,0))</x:f>
        <x:v>5</x:v>
      </x:c>
      <x:c r="L1525" s="2" t="n">
        <x:f>MAX(1,ROUND('기준스탯 72종'!F68-T1525-AB1525,0))</x:f>
        <x:v>5</x:v>
      </x:c>
      <x:c r="M1525" s="2" t="n">
        <x:f>MAX(1,ROUND('기준스탯 72종'!G68-U1525-AC1525,0))</x:f>
        <x:v>5</x:v>
      </x:c>
      <x:c r="N1525" s="2" t="n">
        <x:f>MAX(0,ROUND('기준스탯 72종'!H68-V1525-AD1525,0))</x:f>
        <x:v>2</x:v>
      </x:c>
      <x:c r="O1525" s="2" t="n">
        <x:f>MAX(0,ROUND('기준스탯 72종'!I68-W1525-AE1525,0))</x:f>
        <x:v>2</x:v>
      </x:c>
      <x:c r="P1525" s="2" t="n">
        <x:f>MAX(0,ROUND('기준스탯 72종'!J68-X1525-AF1525,0))</x:f>
        <x:v>3</x:v>
      </x:c>
      <x:c r="Q1525" s="2" t="n">
        <x:f>MAX(0,ROUND('기준스탯 72종'!K68-Y1525-AG1525,0))</x:f>
        <x:v>3</x:v>
      </x:c>
      <x:c r="R1525" s="15" t="n">
        <x:f>'기준스탯 72종'!D68*G1525</x:f>
        <x:v>1.6799999999999997</x:v>
      </x:c>
      <x:c r="S1525" s="15" t="n">
        <x:f>'기준스탯 72종'!E68*G1525</x:f>
        <x:v>2.2399999999999998</x:v>
      </x:c>
      <x:c r="T1525" s="15" t="n">
        <x:f>'기준스탯 72종'!F68*G1525</x:f>
        <x:v>2.2399999999999998</x:v>
      </x:c>
      <x:c r="U1525" s="15" t="n">
        <x:f>'기준스탯 72종'!G68*G1525</x:f>
        <x:v>2.2399999999999998</x:v>
      </x:c>
      <x:c r="V1525" s="15" t="n">
        <x:f>'기준스탯 72종'!H68*G1525</x:f>
        <x:v>0.8399999999999999</x:v>
      </x:c>
      <x:c r="W1525" s="15" t="n">
        <x:f>'기준스탯 72종'!I68*G1525</x:f>
        <x:v>0.8399999999999999</x:v>
      </x:c>
      <x:c r="X1525" s="15" t="n">
        <x:f>'기준스탯 72종'!J68*G1525</x:f>
        <x:v>1.4</x:v>
      </x:c>
      <x:c r="Y1525" s="15" t="n">
        <x:f>'기준스탯 72종'!K68*G1525</x:f>
        <x:v>1.4</x:v>
      </x:c>
      <x:c r="Z1525" s="15" t="n">
        <x:f>'기준스탯 72종'!D68*H1525</x:f>
        <x:v>0.3600000000000001</x:v>
      </x:c>
      <x:c r="AA1525" s="15" t="n">
        <x:f>'기준스탯 72종'!E68*H1525</x:f>
        <x:v>0.4800000000000001</x:v>
      </x:c>
      <x:c r="AB1525" s="15" t="n">
        <x:f>'기준스탯 72종'!F68*H1525</x:f>
        <x:v>0.4800000000000001</x:v>
      </x:c>
      <x:c r="AC1525" s="15" t="n">
        <x:f>'기준스탯 72종'!G68*H1525</x:f>
        <x:v>0.4800000000000001</x:v>
      </x:c>
      <x:c r="AD1525" s="15" t="n">
        <x:f>'기준스탯 72종'!H68*H1525</x:f>
        <x:v>0.18000000000000005</x:v>
      </x:c>
      <x:c r="AE1525" s="15" t="n">
        <x:f>'기준스탯 72종'!I68*H1525</x:f>
        <x:v>0.18000000000000005</x:v>
      </x:c>
      <x:c r="AF1525" s="15" t="n">
        <x:f>'기준스탯 72종'!J68*H1525</x:f>
        <x:v>0.30000000000000004</x:v>
      </x:c>
      <x:c r="AG1525" s="15" t="n">
        <x:f>'기준스탯 72종'!K68*H1525</x:f>
        <x:v>0.30000000000000004</x:v>
      </x:c>
    </x:row>
    <x:row r="1526" ht="28" customHeight="1">
      <x:c r="A1526" s="2" t="n">
        <x:v>1519</x:v>
      </x:c>
      <x:c r="B1526" s="2" t="n">
        <x:v>61</x:v>
      </x:c>
      <x:c r="C1526" s="2" t="str">
        <x:v>물병자리</x:v>
      </x:c>
      <x:c r="D1526" s="2" t="str">
        <x:v>기사</x:v>
      </x:c>
      <x:c r="E1526" s="2" t="n">
        <x:v>4</x:v>
      </x:c>
      <x:c r="F1526" s="2" t="n">
        <x:v>4</x:v>
      </x:c>
      <x:c r="G1526" s="14" t="n">
        <x:f>('레벨 계산식'!$E$4-E1526)*'레벨 계산식'!$B$5</x:f>
        <x:v>0.13999999999999999</x:v>
      </x:c>
      <x:c r="H1526" s="14" t="n">
        <x:f>('등급 계산식'!$E$4-F1526)*'등급 계산식'!$B$5</x:f>
        <x:v>0.06000000000000001</x:v>
      </x:c>
      <x:c r="I1526" s="14" t="n">
        <x:f>1-G1526-H1526</x:f>
        <x:v>0.7999999999999999</x:v>
      </x:c>
      <x:c r="J1526" s="2" t="n">
        <x:f>MAX(1,ROUND('기준스탯 72종'!D68-R1526-Z1526,0))</x:f>
        <x:v>5</x:v>
      </x:c>
      <x:c r="K1526" s="2" t="n">
        <x:f>MAX(1,ROUND('기준스탯 72종'!E68-S1526-AA1526,0))</x:f>
        <x:v>6</x:v>
      </x:c>
      <x:c r="L1526" s="2" t="n">
        <x:f>MAX(1,ROUND('기준스탯 72종'!F68-T1526-AB1526,0))</x:f>
        <x:v>6</x:v>
      </x:c>
      <x:c r="M1526" s="2" t="n">
        <x:f>MAX(1,ROUND('기준스탯 72종'!G68-U1526-AC1526,0))</x:f>
        <x:v>6</x:v>
      </x:c>
      <x:c r="N1526" s="2" t="n">
        <x:f>MAX(0,ROUND('기준스탯 72종'!H68-V1526-AD1526,0))</x:f>
        <x:v>2</x:v>
      </x:c>
      <x:c r="O1526" s="2" t="n">
        <x:f>MAX(0,ROUND('기준스탯 72종'!I68-W1526-AE1526,0))</x:f>
        <x:v>2</x:v>
      </x:c>
      <x:c r="P1526" s="2" t="n">
        <x:f>MAX(0,ROUND('기준스탯 72종'!J68-X1526-AF1526,0))</x:f>
        <x:v>4</x:v>
      </x:c>
      <x:c r="Q1526" s="2" t="n">
        <x:f>MAX(0,ROUND('기준스탯 72종'!K68-Y1526-AG1526,0))</x:f>
        <x:v>4</x:v>
      </x:c>
      <x:c r="R1526" s="15" t="n">
        <x:f>'기준스탯 72종'!D68*G1526</x:f>
        <x:v>0.8399999999999999</x:v>
      </x:c>
      <x:c r="S1526" s="15" t="n">
        <x:f>'기준스탯 72종'!E68*G1526</x:f>
        <x:v>1.1199999999999999</x:v>
      </x:c>
      <x:c r="T1526" s="15" t="n">
        <x:f>'기준스탯 72종'!F68*G1526</x:f>
        <x:v>1.1199999999999999</x:v>
      </x:c>
      <x:c r="U1526" s="15" t="n">
        <x:f>'기준스탯 72종'!G68*G1526</x:f>
        <x:v>1.1199999999999999</x:v>
      </x:c>
      <x:c r="V1526" s="15" t="n">
        <x:f>'기준스탯 72종'!H68*G1526</x:f>
        <x:v>0.41999999999999993</x:v>
      </x:c>
      <x:c r="W1526" s="15" t="n">
        <x:f>'기준스탯 72종'!I68*G1526</x:f>
        <x:v>0.41999999999999993</x:v>
      </x:c>
      <x:c r="X1526" s="15" t="n">
        <x:f>'기준스탯 72종'!J68*G1526</x:f>
        <x:v>0.7</x:v>
      </x:c>
      <x:c r="Y1526" s="15" t="n">
        <x:f>'기준스탯 72종'!K68*G1526</x:f>
        <x:v>0.7</x:v>
      </x:c>
      <x:c r="Z1526" s="15" t="n">
        <x:f>'기준스탯 72종'!D68*H1526</x:f>
        <x:v>0.3600000000000001</x:v>
      </x:c>
      <x:c r="AA1526" s="15" t="n">
        <x:f>'기준스탯 72종'!E68*H1526</x:f>
        <x:v>0.4800000000000001</x:v>
      </x:c>
      <x:c r="AB1526" s="15" t="n">
        <x:f>'기준스탯 72종'!F68*H1526</x:f>
        <x:v>0.4800000000000001</x:v>
      </x:c>
      <x:c r="AC1526" s="15" t="n">
        <x:f>'기준스탯 72종'!G68*H1526</x:f>
        <x:v>0.4800000000000001</x:v>
      </x:c>
      <x:c r="AD1526" s="15" t="n">
        <x:f>'기준스탯 72종'!H68*H1526</x:f>
        <x:v>0.18000000000000005</x:v>
      </x:c>
      <x:c r="AE1526" s="15" t="n">
        <x:f>'기준스탯 72종'!I68*H1526</x:f>
        <x:v>0.18000000000000005</x:v>
      </x:c>
      <x:c r="AF1526" s="15" t="n">
        <x:f>'기준스탯 72종'!J68*H1526</x:f>
        <x:v>0.30000000000000004</x:v>
      </x:c>
      <x:c r="AG1526" s="15" t="n">
        <x:f>'기준스탯 72종'!K68*H1526</x:f>
        <x:v>0.30000000000000004</x:v>
      </x:c>
    </x:row>
    <x:row r="1527" ht="28" customHeight="1">
      <x:c r="A1527" s="2" t="n">
        <x:v>1520</x:v>
      </x:c>
      <x:c r="B1527" s="2" t="n">
        <x:v>61</x:v>
      </x:c>
      <x:c r="C1527" s="2" t="str">
        <x:v>물병자리</x:v>
      </x:c>
      <x:c r="D1527" s="2" t="str">
        <x:v>기사</x:v>
      </x:c>
      <x:c r="E1527" s="2" t="n">
        <x:v>5</x:v>
      </x:c>
      <x:c r="F1527" s="2" t="n">
        <x:v>4</x:v>
      </x:c>
      <x:c r="G1527" s="14" t="n">
        <x:f>('레벨 계산식'!$E$4-E1527)*'레벨 계산식'!$B$5</x:f>
        <x:v>0</x:v>
      </x:c>
      <x:c r="H1527" s="14" t="n">
        <x:f>('등급 계산식'!$E$4-F1527)*'등급 계산식'!$B$5</x:f>
        <x:v>0.06000000000000001</x:v>
      </x:c>
      <x:c r="I1527" s="14" t="n">
        <x:f>1-G1527-H1527</x:f>
        <x:v>0.94</x:v>
      </x:c>
      <x:c r="J1527" s="2" t="n">
        <x:f>MAX(1,ROUND('기준스탯 72종'!D68-R1527-Z1527,0))</x:f>
        <x:v>6</x:v>
      </x:c>
      <x:c r="K1527" s="2" t="n">
        <x:f>MAX(1,ROUND('기준스탯 72종'!E68-S1527-AA1527,0))</x:f>
        <x:v>8</x:v>
      </x:c>
      <x:c r="L1527" s="2" t="n">
        <x:f>MAX(1,ROUND('기준스탯 72종'!F68-T1527-AB1527,0))</x:f>
        <x:v>8</x:v>
      </x:c>
      <x:c r="M1527" s="2" t="n">
        <x:f>MAX(1,ROUND('기준스탯 72종'!G68-U1527-AC1527,0))</x:f>
        <x:v>8</x:v>
      </x:c>
      <x:c r="N1527" s="2" t="n">
        <x:f>MAX(0,ROUND('기준스탯 72종'!H68-V1527-AD1527,0))</x:f>
        <x:v>3</x:v>
      </x:c>
      <x:c r="O1527" s="2" t="n">
        <x:f>MAX(0,ROUND('기준스탯 72종'!I68-W1527-AE1527,0))</x:f>
        <x:v>3</x:v>
      </x:c>
      <x:c r="P1527" s="2" t="n">
        <x:f>MAX(0,ROUND('기준스탯 72종'!J68-X1527-AF1527,0))</x:f>
        <x:v>5</x:v>
      </x:c>
      <x:c r="Q1527" s="2" t="n">
        <x:f>MAX(0,ROUND('기준스탯 72종'!K68-Y1527-AG1527,0))</x:f>
        <x:v>5</x:v>
      </x:c>
      <x:c r="R1527" s="15" t="n">
        <x:f>'기준스탯 72종'!D68*G1527</x:f>
        <x:v>0</x:v>
      </x:c>
      <x:c r="S1527" s="15" t="n">
        <x:f>'기준스탯 72종'!E68*G1527</x:f>
        <x:v>0</x:v>
      </x:c>
      <x:c r="T1527" s="15" t="n">
        <x:f>'기준스탯 72종'!F68*G1527</x:f>
        <x:v>0</x:v>
      </x:c>
      <x:c r="U1527" s="15" t="n">
        <x:f>'기준스탯 72종'!G68*G1527</x:f>
        <x:v>0</x:v>
      </x:c>
      <x:c r="V1527" s="15" t="n">
        <x:f>'기준스탯 72종'!H68*G1527</x:f>
        <x:v>0</x:v>
      </x:c>
      <x:c r="W1527" s="15" t="n">
        <x:f>'기준스탯 72종'!I68*G1527</x:f>
        <x:v>0</x:v>
      </x:c>
      <x:c r="X1527" s="15" t="n">
        <x:f>'기준스탯 72종'!J68*G1527</x:f>
        <x:v>0</x:v>
      </x:c>
      <x:c r="Y1527" s="15" t="n">
        <x:f>'기준스탯 72종'!K68*G1527</x:f>
        <x:v>0</x:v>
      </x:c>
      <x:c r="Z1527" s="15" t="n">
        <x:f>'기준스탯 72종'!D68*H1527</x:f>
        <x:v>0.3600000000000001</x:v>
      </x:c>
      <x:c r="AA1527" s="15" t="n">
        <x:f>'기준스탯 72종'!E68*H1527</x:f>
        <x:v>0.4800000000000001</x:v>
      </x:c>
      <x:c r="AB1527" s="15" t="n">
        <x:f>'기준스탯 72종'!F68*H1527</x:f>
        <x:v>0.4800000000000001</x:v>
      </x:c>
      <x:c r="AC1527" s="15" t="n">
        <x:f>'기준스탯 72종'!G68*H1527</x:f>
        <x:v>0.4800000000000001</x:v>
      </x:c>
      <x:c r="AD1527" s="15" t="n">
        <x:f>'기준스탯 72종'!H68*H1527</x:f>
        <x:v>0.18000000000000005</x:v>
      </x:c>
      <x:c r="AE1527" s="15" t="n">
        <x:f>'기준스탯 72종'!I68*H1527</x:f>
        <x:v>0.18000000000000005</x:v>
      </x:c>
      <x:c r="AF1527" s="15" t="n">
        <x:f>'기준스탯 72종'!J68*H1527</x:f>
        <x:v>0.30000000000000004</x:v>
      </x:c>
      <x:c r="AG1527" s="15" t="n">
        <x:f>'기준스탯 72종'!K68*H1527</x:f>
        <x:v>0.30000000000000004</x:v>
      </x:c>
    </x:row>
    <x:row r="1528" ht="28" customHeight="1">
      <x:c r="A1528" s="2" t="n">
        <x:v>1521</x:v>
      </x:c>
      <x:c r="B1528" s="2" t="n">
        <x:v>61</x:v>
      </x:c>
      <x:c r="C1528" s="2" t="str">
        <x:v>물병자리</x:v>
      </x:c>
      <x:c r="D1528" s="2" t="str">
        <x:v>기사</x:v>
      </x:c>
      <x:c r="E1528" s="2" t="n">
        <x:v>1</x:v>
      </x:c>
      <x:c r="F1528" s="2" t="n">
        <x:v>5</x:v>
      </x:c>
      <x:c r="G1528" s="14" t="n">
        <x:f>('레벨 계산식'!$E$4-E1528)*'레벨 계산식'!$B$5</x:f>
        <x:v>0.5599999999999999</x:v>
      </x:c>
      <x:c r="H1528" s="14" t="n">
        <x:f>('등급 계산식'!$E$4-F1528)*'등급 계산식'!$B$5</x:f>
        <x:v>0</x:v>
      </x:c>
      <x:c r="I1528" s="14" t="n">
        <x:f>1-G1528-H1528</x:f>
        <x:v>0.44000000000000006</x:v>
      </x:c>
      <x:c r="J1528" s="2" t="n">
        <x:f>MAX(1,ROUND('기준스탯 72종'!D68-R1528-Z1528,0))</x:f>
        <x:v>3</x:v>
      </x:c>
      <x:c r="K1528" s="2" t="n">
        <x:f>MAX(1,ROUND('기준스탯 72종'!E68-S1528-AA1528,0))</x:f>
        <x:v>4</x:v>
      </x:c>
      <x:c r="L1528" s="2" t="n">
        <x:f>MAX(1,ROUND('기준스탯 72종'!F68-T1528-AB1528,0))</x:f>
        <x:v>4</x:v>
      </x:c>
      <x:c r="M1528" s="2" t="n">
        <x:f>MAX(1,ROUND('기준스탯 72종'!G68-U1528-AC1528,0))</x:f>
        <x:v>4</x:v>
      </x:c>
      <x:c r="N1528" s="2" t="n">
        <x:f>MAX(0,ROUND('기준스탯 72종'!H68-V1528-AD1528,0))</x:f>
        <x:v>1</x:v>
      </x:c>
      <x:c r="O1528" s="2" t="n">
        <x:f>MAX(0,ROUND('기준스탯 72종'!I68-W1528-AE1528,0))</x:f>
        <x:v>1</x:v>
      </x:c>
      <x:c r="P1528" s="2" t="n">
        <x:f>MAX(0,ROUND('기준스탯 72종'!J68-X1528-AF1528,0))</x:f>
        <x:v>2</x:v>
      </x:c>
      <x:c r="Q1528" s="2" t="n">
        <x:f>MAX(0,ROUND('기준스탯 72종'!K68-Y1528-AG1528,0))</x:f>
        <x:v>2</x:v>
      </x:c>
      <x:c r="R1528" s="15" t="n">
        <x:f>'기준스탯 72종'!D68*G1528</x:f>
        <x:v>3.3599999999999994</x:v>
      </x:c>
      <x:c r="S1528" s="15" t="n">
        <x:f>'기준스탯 72종'!E68*G1528</x:f>
        <x:v>4.4799999999999995</x:v>
      </x:c>
      <x:c r="T1528" s="15" t="n">
        <x:f>'기준스탯 72종'!F68*G1528</x:f>
        <x:v>4.4799999999999995</x:v>
      </x:c>
      <x:c r="U1528" s="15" t="n">
        <x:f>'기준스탯 72종'!G68*G1528</x:f>
        <x:v>4.4799999999999995</x:v>
      </x:c>
      <x:c r="V1528" s="15" t="n">
        <x:f>'기준스탯 72종'!H68*G1528</x:f>
        <x:v>1.6799999999999997</x:v>
      </x:c>
      <x:c r="W1528" s="15" t="n">
        <x:f>'기준스탯 72종'!I68*G1528</x:f>
        <x:v>1.6799999999999997</x:v>
      </x:c>
      <x:c r="X1528" s="15" t="n">
        <x:f>'기준스탯 72종'!J68*G1528</x:f>
        <x:v>2.8</x:v>
      </x:c>
      <x:c r="Y1528" s="15" t="n">
        <x:f>'기준스탯 72종'!K68*G1528</x:f>
        <x:v>2.8</x:v>
      </x:c>
      <x:c r="Z1528" s="15" t="n">
        <x:f>'기준스탯 72종'!D68*H1528</x:f>
        <x:v>0</x:v>
      </x:c>
      <x:c r="AA1528" s="15" t="n">
        <x:f>'기준스탯 72종'!E68*H1528</x:f>
        <x:v>0</x:v>
      </x:c>
      <x:c r="AB1528" s="15" t="n">
        <x:f>'기준스탯 72종'!F68*H1528</x:f>
        <x:v>0</x:v>
      </x:c>
      <x:c r="AC1528" s="15" t="n">
        <x:f>'기준스탯 72종'!G68*H1528</x:f>
        <x:v>0</x:v>
      </x:c>
      <x:c r="AD1528" s="15" t="n">
        <x:f>'기준스탯 72종'!H68*H1528</x:f>
        <x:v>0</x:v>
      </x:c>
      <x:c r="AE1528" s="15" t="n">
        <x:f>'기준스탯 72종'!I68*H1528</x:f>
        <x:v>0</x:v>
      </x:c>
      <x:c r="AF1528" s="15" t="n">
        <x:f>'기준스탯 72종'!J68*H1528</x:f>
        <x:v>0</x:v>
      </x:c>
      <x:c r="AG1528" s="15" t="n">
        <x:f>'기준스탯 72종'!K68*H1528</x:f>
        <x:v>0</x:v>
      </x:c>
    </x:row>
    <x:row r="1529" ht="28" customHeight="1">
      <x:c r="A1529" s="2" t="n">
        <x:v>1522</x:v>
      </x:c>
      <x:c r="B1529" s="2" t="n">
        <x:v>61</x:v>
      </x:c>
      <x:c r="C1529" s="2" t="str">
        <x:v>물병자리</x:v>
      </x:c>
      <x:c r="D1529" s="2" t="str">
        <x:v>기사</x:v>
      </x:c>
      <x:c r="E1529" s="2" t="n">
        <x:v>2</x:v>
      </x:c>
      <x:c r="F1529" s="2" t="n">
        <x:v>5</x:v>
      </x:c>
      <x:c r="G1529" s="14" t="n">
        <x:f>('레벨 계산식'!$E$4-E1529)*'레벨 계산식'!$B$5</x:f>
        <x:v>0.41999999999999993</x:v>
      </x:c>
      <x:c r="H1529" s="14" t="n">
        <x:f>('등급 계산식'!$E$4-F1529)*'등급 계산식'!$B$5</x:f>
        <x:v>0</x:v>
      </x:c>
      <x:c r="I1529" s="14" t="n">
        <x:f>1-G1529-H1529</x:f>
        <x:v>0.5800000000000001</x:v>
      </x:c>
      <x:c r="J1529" s="2" t="n">
        <x:f>MAX(1,ROUND('기준스탯 72종'!D68-R1529-Z1529,0))</x:f>
        <x:v>3</x:v>
      </x:c>
      <x:c r="K1529" s="2" t="n">
        <x:f>MAX(1,ROUND('기준스탯 72종'!E68-S1529-AA1529,0))</x:f>
        <x:v>5</x:v>
      </x:c>
      <x:c r="L1529" s="2" t="n">
        <x:f>MAX(1,ROUND('기준스탯 72종'!F68-T1529-AB1529,0))</x:f>
        <x:v>5</x:v>
      </x:c>
      <x:c r="M1529" s="2" t="n">
        <x:f>MAX(1,ROUND('기준스탯 72종'!G68-U1529-AC1529,0))</x:f>
        <x:v>5</x:v>
      </x:c>
      <x:c r="N1529" s="2" t="n">
        <x:f>MAX(0,ROUND('기준스탯 72종'!H68-V1529-AD1529,0))</x:f>
        <x:v>2</x:v>
      </x:c>
      <x:c r="O1529" s="2" t="n">
        <x:f>MAX(0,ROUND('기준스탯 72종'!I68-W1529-AE1529,0))</x:f>
        <x:v>2</x:v>
      </x:c>
      <x:c r="P1529" s="2" t="n">
        <x:f>MAX(0,ROUND('기준스탯 72종'!J68-X1529-AF1529,0))</x:f>
        <x:v>3</x:v>
      </x:c>
      <x:c r="Q1529" s="2" t="n">
        <x:f>MAX(0,ROUND('기준스탯 72종'!K68-Y1529-AG1529,0))</x:f>
        <x:v>3</x:v>
      </x:c>
      <x:c r="R1529" s="15" t="n">
        <x:f>'기준스탯 72종'!D68*G1529</x:f>
        <x:v>2.5199999999999996</x:v>
      </x:c>
      <x:c r="S1529" s="15" t="n">
        <x:f>'기준스탯 72종'!E68*G1529</x:f>
        <x:v>3.3599999999999994</x:v>
      </x:c>
      <x:c r="T1529" s="15" t="n">
        <x:f>'기준스탯 72종'!F68*G1529</x:f>
        <x:v>3.3599999999999994</x:v>
      </x:c>
      <x:c r="U1529" s="15" t="n">
        <x:f>'기준스탯 72종'!G68*G1529</x:f>
        <x:v>3.3599999999999994</x:v>
      </x:c>
      <x:c r="V1529" s="15" t="n">
        <x:f>'기준스탯 72종'!H68*G1529</x:f>
        <x:v>1.2599999999999998</x:v>
      </x:c>
      <x:c r="W1529" s="15" t="n">
        <x:f>'기준스탯 72종'!I68*G1529</x:f>
        <x:v>1.2599999999999998</x:v>
      </x:c>
      <x:c r="X1529" s="15" t="n">
        <x:f>'기준스탯 72종'!J68*G1529</x:f>
        <x:v>2.0999999999999996</x:v>
      </x:c>
      <x:c r="Y1529" s="15" t="n">
        <x:f>'기준스탯 72종'!K68*G1529</x:f>
        <x:v>2.0999999999999996</x:v>
      </x:c>
      <x:c r="Z1529" s="15" t="n">
        <x:f>'기준스탯 72종'!D68*H1529</x:f>
        <x:v>0</x:v>
      </x:c>
      <x:c r="AA1529" s="15" t="n">
        <x:f>'기준스탯 72종'!E68*H1529</x:f>
        <x:v>0</x:v>
      </x:c>
      <x:c r="AB1529" s="15" t="n">
        <x:f>'기준스탯 72종'!F68*H1529</x:f>
        <x:v>0</x:v>
      </x:c>
      <x:c r="AC1529" s="15" t="n">
        <x:f>'기준스탯 72종'!G68*H1529</x:f>
        <x:v>0</x:v>
      </x:c>
      <x:c r="AD1529" s="15" t="n">
        <x:f>'기준스탯 72종'!H68*H1529</x:f>
        <x:v>0</x:v>
      </x:c>
      <x:c r="AE1529" s="15" t="n">
        <x:f>'기준스탯 72종'!I68*H1529</x:f>
        <x:v>0</x:v>
      </x:c>
      <x:c r="AF1529" s="15" t="n">
        <x:f>'기준스탯 72종'!J68*H1529</x:f>
        <x:v>0</x:v>
      </x:c>
      <x:c r="AG1529" s="15" t="n">
        <x:f>'기준스탯 72종'!K68*H1529</x:f>
        <x:v>0</x:v>
      </x:c>
    </x:row>
    <x:row r="1530" ht="28" customHeight="1">
      <x:c r="A1530" s="2" t="n">
        <x:v>1523</x:v>
      </x:c>
      <x:c r="B1530" s="2" t="n">
        <x:v>61</x:v>
      </x:c>
      <x:c r="C1530" s="2" t="str">
        <x:v>물병자리</x:v>
      </x:c>
      <x:c r="D1530" s="2" t="str">
        <x:v>기사</x:v>
      </x:c>
      <x:c r="E1530" s="2" t="n">
        <x:v>3</x:v>
      </x:c>
      <x:c r="F1530" s="2" t="n">
        <x:v>5</x:v>
      </x:c>
      <x:c r="G1530" s="14" t="n">
        <x:f>('레벨 계산식'!$E$4-E1530)*'레벨 계산식'!$B$5</x:f>
        <x:v>0.27999999999999997</x:v>
      </x:c>
      <x:c r="H1530" s="14" t="n">
        <x:f>('등급 계산식'!$E$4-F1530)*'등급 계산식'!$B$5</x:f>
        <x:v>0</x:v>
      </x:c>
      <x:c r="I1530" s="14" t="n">
        <x:f>1-G1530-H1530</x:f>
        <x:v>0.72</x:v>
      </x:c>
      <x:c r="J1530" s="2" t="n">
        <x:f>MAX(1,ROUND('기준스탯 72종'!D68-R1530-Z1530,0))</x:f>
        <x:v>4</x:v>
      </x:c>
      <x:c r="K1530" s="2" t="n">
        <x:f>MAX(1,ROUND('기준스탯 72종'!E68-S1530-AA1530,0))</x:f>
        <x:v>6</x:v>
      </x:c>
      <x:c r="L1530" s="2" t="n">
        <x:f>MAX(1,ROUND('기준스탯 72종'!F68-T1530-AB1530,0))</x:f>
        <x:v>6</x:v>
      </x:c>
      <x:c r="M1530" s="2" t="n">
        <x:f>MAX(1,ROUND('기준스탯 72종'!G68-U1530-AC1530,0))</x:f>
        <x:v>6</x:v>
      </x:c>
      <x:c r="N1530" s="2" t="n">
        <x:f>MAX(0,ROUND('기준스탯 72종'!H68-V1530-AD1530,0))</x:f>
        <x:v>2</x:v>
      </x:c>
      <x:c r="O1530" s="2" t="n">
        <x:f>MAX(0,ROUND('기준스탯 72종'!I68-W1530-AE1530,0))</x:f>
        <x:v>2</x:v>
      </x:c>
      <x:c r="P1530" s="2" t="n">
        <x:f>MAX(0,ROUND('기준스탯 72종'!J68-X1530-AF1530,0))</x:f>
        <x:v>4</x:v>
      </x:c>
      <x:c r="Q1530" s="2" t="n">
        <x:f>MAX(0,ROUND('기준스탯 72종'!K68-Y1530-AG1530,0))</x:f>
        <x:v>4</x:v>
      </x:c>
      <x:c r="R1530" s="15" t="n">
        <x:f>'기준스탯 72종'!D68*G1530</x:f>
        <x:v>1.6799999999999997</x:v>
      </x:c>
      <x:c r="S1530" s="15" t="n">
        <x:f>'기준스탯 72종'!E68*G1530</x:f>
        <x:v>2.2399999999999998</x:v>
      </x:c>
      <x:c r="T1530" s="15" t="n">
        <x:f>'기준스탯 72종'!F68*G1530</x:f>
        <x:v>2.2399999999999998</x:v>
      </x:c>
      <x:c r="U1530" s="15" t="n">
        <x:f>'기준스탯 72종'!G68*G1530</x:f>
        <x:v>2.2399999999999998</x:v>
      </x:c>
      <x:c r="V1530" s="15" t="n">
        <x:f>'기준스탯 72종'!H68*G1530</x:f>
        <x:v>0.8399999999999999</x:v>
      </x:c>
      <x:c r="W1530" s="15" t="n">
        <x:f>'기준스탯 72종'!I68*G1530</x:f>
        <x:v>0.8399999999999999</x:v>
      </x:c>
      <x:c r="X1530" s="15" t="n">
        <x:f>'기준스탯 72종'!J68*G1530</x:f>
        <x:v>1.4</x:v>
      </x:c>
      <x:c r="Y1530" s="15" t="n">
        <x:f>'기준스탯 72종'!K68*G1530</x:f>
        <x:v>1.4</x:v>
      </x:c>
      <x:c r="Z1530" s="15" t="n">
        <x:f>'기준스탯 72종'!D68*H1530</x:f>
        <x:v>0</x:v>
      </x:c>
      <x:c r="AA1530" s="15" t="n">
        <x:f>'기준스탯 72종'!E68*H1530</x:f>
        <x:v>0</x:v>
      </x:c>
      <x:c r="AB1530" s="15" t="n">
        <x:f>'기준스탯 72종'!F68*H1530</x:f>
        <x:v>0</x:v>
      </x:c>
      <x:c r="AC1530" s="15" t="n">
        <x:f>'기준스탯 72종'!G68*H1530</x:f>
        <x:v>0</x:v>
      </x:c>
      <x:c r="AD1530" s="15" t="n">
        <x:f>'기준스탯 72종'!H68*H1530</x:f>
        <x:v>0</x:v>
      </x:c>
      <x:c r="AE1530" s="15" t="n">
        <x:f>'기준스탯 72종'!I68*H1530</x:f>
        <x:v>0</x:v>
      </x:c>
      <x:c r="AF1530" s="15" t="n">
        <x:f>'기준스탯 72종'!J68*H1530</x:f>
        <x:v>0</x:v>
      </x:c>
      <x:c r="AG1530" s="15" t="n">
        <x:f>'기준스탯 72종'!K68*H1530</x:f>
        <x:v>0</x:v>
      </x:c>
    </x:row>
    <x:row r="1531" ht="28" customHeight="1">
      <x:c r="A1531" s="2" t="n">
        <x:v>1524</x:v>
      </x:c>
      <x:c r="B1531" s="2" t="n">
        <x:v>61</x:v>
      </x:c>
      <x:c r="C1531" s="2" t="str">
        <x:v>물병자리</x:v>
      </x:c>
      <x:c r="D1531" s="2" t="str">
        <x:v>기사</x:v>
      </x:c>
      <x:c r="E1531" s="2" t="n">
        <x:v>4</x:v>
      </x:c>
      <x:c r="F1531" s="2" t="n">
        <x:v>5</x:v>
      </x:c>
      <x:c r="G1531" s="14" t="n">
        <x:f>('레벨 계산식'!$E$4-E1531)*'레벨 계산식'!$B$5</x:f>
        <x:v>0.13999999999999999</x:v>
      </x:c>
      <x:c r="H1531" s="14" t="n">
        <x:f>('등급 계산식'!$E$4-F1531)*'등급 계산식'!$B$5</x:f>
        <x:v>0</x:v>
      </x:c>
      <x:c r="I1531" s="14" t="n">
        <x:f>1-G1531-H1531</x:f>
        <x:v>0.86</x:v>
      </x:c>
      <x:c r="J1531" s="2" t="n">
        <x:f>MAX(1,ROUND('기준스탯 72종'!D68-R1531-Z1531,0))</x:f>
        <x:v>5</x:v>
      </x:c>
      <x:c r="K1531" s="2" t="n">
        <x:f>MAX(1,ROUND('기준스탯 72종'!E68-S1531-AA1531,0))</x:f>
        <x:v>7</x:v>
      </x:c>
      <x:c r="L1531" s="2" t="n">
        <x:f>MAX(1,ROUND('기준스탯 72종'!F68-T1531-AB1531,0))</x:f>
        <x:v>7</x:v>
      </x:c>
      <x:c r="M1531" s="2" t="n">
        <x:f>MAX(1,ROUND('기준스탯 72종'!G68-U1531-AC1531,0))</x:f>
        <x:v>7</x:v>
      </x:c>
      <x:c r="N1531" s="2" t="n">
        <x:f>MAX(0,ROUND('기준스탯 72종'!H68-V1531-AD1531,0))</x:f>
        <x:v>3</x:v>
      </x:c>
      <x:c r="O1531" s="2" t="n">
        <x:f>MAX(0,ROUND('기준스탯 72종'!I68-W1531-AE1531,0))</x:f>
        <x:v>3</x:v>
      </x:c>
      <x:c r="P1531" s="2" t="n">
        <x:f>MAX(0,ROUND('기준스탯 72종'!J68-X1531-AF1531,0))</x:f>
        <x:v>4</x:v>
      </x:c>
      <x:c r="Q1531" s="2" t="n">
        <x:f>MAX(0,ROUND('기준스탯 72종'!K68-Y1531-AG1531,0))</x:f>
        <x:v>4</x:v>
      </x:c>
      <x:c r="R1531" s="15" t="n">
        <x:f>'기준스탯 72종'!D68*G1531</x:f>
        <x:v>0.8399999999999999</x:v>
      </x:c>
      <x:c r="S1531" s="15" t="n">
        <x:f>'기준스탯 72종'!E68*G1531</x:f>
        <x:v>1.1199999999999999</x:v>
      </x:c>
      <x:c r="T1531" s="15" t="n">
        <x:f>'기준스탯 72종'!F68*G1531</x:f>
        <x:v>1.1199999999999999</x:v>
      </x:c>
      <x:c r="U1531" s="15" t="n">
        <x:f>'기준스탯 72종'!G68*G1531</x:f>
        <x:v>1.1199999999999999</x:v>
      </x:c>
      <x:c r="V1531" s="15" t="n">
        <x:f>'기준스탯 72종'!H68*G1531</x:f>
        <x:v>0.41999999999999993</x:v>
      </x:c>
      <x:c r="W1531" s="15" t="n">
        <x:f>'기준스탯 72종'!I68*G1531</x:f>
        <x:v>0.41999999999999993</x:v>
      </x:c>
      <x:c r="X1531" s="15" t="n">
        <x:f>'기준스탯 72종'!J68*G1531</x:f>
        <x:v>0.7</x:v>
      </x:c>
      <x:c r="Y1531" s="15" t="n">
        <x:f>'기준스탯 72종'!K68*G1531</x:f>
        <x:v>0.7</x:v>
      </x:c>
      <x:c r="Z1531" s="15" t="n">
        <x:f>'기준스탯 72종'!D68*H1531</x:f>
        <x:v>0</x:v>
      </x:c>
      <x:c r="AA1531" s="15" t="n">
        <x:f>'기준스탯 72종'!E68*H1531</x:f>
        <x:v>0</x:v>
      </x:c>
      <x:c r="AB1531" s="15" t="n">
        <x:f>'기준스탯 72종'!F68*H1531</x:f>
        <x:v>0</x:v>
      </x:c>
      <x:c r="AC1531" s="15" t="n">
        <x:f>'기준스탯 72종'!G68*H1531</x:f>
        <x:v>0</x:v>
      </x:c>
      <x:c r="AD1531" s="15" t="n">
        <x:f>'기준스탯 72종'!H68*H1531</x:f>
        <x:v>0</x:v>
      </x:c>
      <x:c r="AE1531" s="15" t="n">
        <x:f>'기준스탯 72종'!I68*H1531</x:f>
        <x:v>0</x:v>
      </x:c>
      <x:c r="AF1531" s="15" t="n">
        <x:f>'기준스탯 72종'!J68*H1531</x:f>
        <x:v>0</x:v>
      </x:c>
      <x:c r="AG1531" s="15" t="n">
        <x:f>'기준스탯 72종'!K68*H1531</x:f>
        <x:v>0</x:v>
      </x:c>
    </x:row>
    <x:row r="1532" ht="28" customHeight="1">
      <x:c r="A1532" s="2" t="n">
        <x:v>1525</x:v>
      </x:c>
      <x:c r="B1532" s="2" t="n">
        <x:v>61</x:v>
      </x:c>
      <x:c r="C1532" s="2" t="str">
        <x:v>물병자리</x:v>
      </x:c>
      <x:c r="D1532" s="2" t="str">
        <x:v>기사</x:v>
      </x:c>
      <x:c r="E1532" s="2" t="n">
        <x:v>5</x:v>
      </x:c>
      <x:c r="F1532" s="2" t="n">
        <x:v>5</x:v>
      </x:c>
      <x:c r="G1532" s="14" t="n">
        <x:f>('레벨 계산식'!$E$4-E1532)*'레벨 계산식'!$B$5</x:f>
        <x:v>0</x:v>
      </x:c>
      <x:c r="H1532" s="14" t="n">
        <x:f>('등급 계산식'!$E$4-F1532)*'등급 계산식'!$B$5</x:f>
        <x:v>0</x:v>
      </x:c>
      <x:c r="I1532" s="14" t="n">
        <x:f>1-G1532-H1532</x:f>
        <x:v>1</x:v>
      </x:c>
      <x:c r="J1532" s="2" t="n">
        <x:f>MAX(1,ROUND('기준스탯 72종'!D68-R1532-Z1532,0))</x:f>
        <x:v>6</x:v>
      </x:c>
      <x:c r="K1532" s="2" t="n">
        <x:f>MAX(1,ROUND('기준스탯 72종'!E68-S1532-AA1532,0))</x:f>
        <x:v>8</x:v>
      </x:c>
      <x:c r="L1532" s="2" t="n">
        <x:f>MAX(1,ROUND('기준스탯 72종'!F68-T1532-AB1532,0))</x:f>
        <x:v>8</x:v>
      </x:c>
      <x:c r="M1532" s="2" t="n">
        <x:f>MAX(1,ROUND('기준스탯 72종'!G68-U1532-AC1532,0))</x:f>
        <x:v>8</x:v>
      </x:c>
      <x:c r="N1532" s="2" t="n">
        <x:f>MAX(0,ROUND('기준스탯 72종'!H68-V1532-AD1532,0))</x:f>
        <x:v>3</x:v>
      </x:c>
      <x:c r="O1532" s="2" t="n">
        <x:f>MAX(0,ROUND('기준스탯 72종'!I68-W1532-AE1532,0))</x:f>
        <x:v>3</x:v>
      </x:c>
      <x:c r="P1532" s="2" t="n">
        <x:f>MAX(0,ROUND('기준스탯 72종'!J68-X1532-AF1532,0))</x:f>
        <x:v>5</x:v>
      </x:c>
      <x:c r="Q1532" s="2" t="n">
        <x:f>MAX(0,ROUND('기준스탯 72종'!K68-Y1532-AG1532,0))</x:f>
        <x:v>5</x:v>
      </x:c>
      <x:c r="R1532" s="15" t="n">
        <x:f>'기준스탯 72종'!D68*G1532</x:f>
        <x:v>0</x:v>
      </x:c>
      <x:c r="S1532" s="15" t="n">
        <x:f>'기준스탯 72종'!E68*G1532</x:f>
        <x:v>0</x:v>
      </x:c>
      <x:c r="T1532" s="15" t="n">
        <x:f>'기준스탯 72종'!F68*G1532</x:f>
        <x:v>0</x:v>
      </x:c>
      <x:c r="U1532" s="15" t="n">
        <x:f>'기준스탯 72종'!G68*G1532</x:f>
        <x:v>0</x:v>
      </x:c>
      <x:c r="V1532" s="15" t="n">
        <x:f>'기준스탯 72종'!H68*G1532</x:f>
        <x:v>0</x:v>
      </x:c>
      <x:c r="W1532" s="15" t="n">
        <x:f>'기준스탯 72종'!I68*G1532</x:f>
        <x:v>0</x:v>
      </x:c>
      <x:c r="X1532" s="15" t="n">
        <x:f>'기준스탯 72종'!J68*G1532</x:f>
        <x:v>0</x:v>
      </x:c>
      <x:c r="Y1532" s="15" t="n">
        <x:f>'기준스탯 72종'!K68*G1532</x:f>
        <x:v>0</x:v>
      </x:c>
      <x:c r="Z1532" s="15" t="n">
        <x:f>'기준스탯 72종'!D68*H1532</x:f>
        <x:v>0</x:v>
      </x:c>
      <x:c r="AA1532" s="15" t="n">
        <x:f>'기준스탯 72종'!E68*H1532</x:f>
        <x:v>0</x:v>
      </x:c>
      <x:c r="AB1532" s="15" t="n">
        <x:f>'기준스탯 72종'!F68*H1532</x:f>
        <x:v>0</x:v>
      </x:c>
      <x:c r="AC1532" s="15" t="n">
        <x:f>'기준스탯 72종'!G68*H1532</x:f>
        <x:v>0</x:v>
      </x:c>
      <x:c r="AD1532" s="15" t="n">
        <x:f>'기준스탯 72종'!H68*H1532</x:f>
        <x:v>0</x:v>
      </x:c>
      <x:c r="AE1532" s="15" t="n">
        <x:f>'기준스탯 72종'!I68*H1532</x:f>
        <x:v>0</x:v>
      </x:c>
      <x:c r="AF1532" s="15" t="n">
        <x:f>'기준스탯 72종'!J68*H1532</x:f>
        <x:v>0</x:v>
      </x:c>
      <x:c r="AG1532" s="15" t="n">
        <x:f>'기준스탯 72종'!K68*H1532</x:f>
        <x:v>0</x:v>
      </x:c>
    </x:row>
    <x:row r="1533" ht="28" customHeight="1">
      <x:c r="A1533" s="2" t="n">
        <x:v>1526</x:v>
      </x:c>
      <x:c r="B1533" s="2" t="n">
        <x:v>62</x:v>
      </x:c>
      <x:c r="C1533" s="2" t="str">
        <x:v>물병자리</x:v>
      </x:c>
      <x:c r="D1533" s="2" t="str">
        <x:v>마도사</x:v>
      </x:c>
      <x:c r="E1533" s="2" t="n">
        <x:v>1</x:v>
      </x:c>
      <x:c r="F1533" s="2" t="n">
        <x:v>1</x:v>
      </x:c>
      <x:c r="G1533" s="14" t="n">
        <x:f>('레벨 계산식'!$E$4-E1533)*'레벨 계산식'!$B$5</x:f>
        <x:v>0.5599999999999999</x:v>
      </x:c>
      <x:c r="H1533" s="14" t="n">
        <x:f>('등급 계산식'!$E$4-F1533)*'등급 계산식'!$B$5</x:f>
        <x:v>0.24000000000000005</x:v>
      </x:c>
      <x:c r="I1533" s="14" t="n">
        <x:f>1-G1533-H1533</x:f>
        <x:v>0.2</x:v>
      </x:c>
      <x:c r="J1533" s="2" t="n">
        <x:f>MAX(1,ROUND('기준스탯 72종'!D69-R1533-Z1533,0))</x:f>
        <x:v>2</x:v>
      </x:c>
      <x:c r="K1533" s="2" t="n">
        <x:f>MAX(1,ROUND('기준스탯 72종'!E69-S1533-AA1533,0))</x:f>
        <x:v>1</x:v>
      </x:c>
      <x:c r="L1533" s="2" t="n">
        <x:f>MAX(1,ROUND('기준스탯 72종'!F69-T1533-AB1533,0))</x:f>
        <x:v>1</x:v>
      </x:c>
      <x:c r="M1533" s="2" t="n">
        <x:f>MAX(1,ROUND('기준스탯 72종'!G69-U1533-AC1533,0))</x:f>
        <x:v>2</x:v>
      </x:c>
      <x:c r="N1533" s="2" t="n">
        <x:f>MAX(0,ROUND('기준스탯 72종'!H69-V1533-AD1533,0))</x:f>
        <x:v>1</x:v>
      </x:c>
      <x:c r="O1533" s="2" t="n">
        <x:f>MAX(0,ROUND('기준스탯 72종'!I69-W1533-AE1533,0))</x:f>
        <x:v>1</x:v>
      </x:c>
      <x:c r="P1533" s="2" t="n">
        <x:f>MAX(0,ROUND('기준스탯 72종'!J69-X1533-AF1533,0))</x:f>
        <x:v>1</x:v>
      </x:c>
      <x:c r="Q1533" s="2" t="n">
        <x:f>MAX(0,ROUND('기준스탯 72종'!K69-Y1533-AG1533,0))</x:f>
        <x:v>0</x:v>
      </x:c>
      <x:c r="R1533" s="15" t="n">
        <x:f>'기준스탯 72종'!D69*G1533</x:f>
        <x:v>4.4799999999999995</x:v>
      </x:c>
      <x:c r="S1533" s="15" t="n">
        <x:f>'기준스탯 72종'!E69*G1533</x:f>
        <x:v>3.3599999999999994</x:v>
      </x:c>
      <x:c r="T1533" s="15" t="n">
        <x:f>'기준스탯 72종'!F69*G1533</x:f>
        <x:v>3.3599999999999994</x:v>
      </x:c>
      <x:c r="U1533" s="15" t="n">
        <x:f>'기준스탯 72종'!G69*G1533</x:f>
        <x:v>5.039999999999999</x:v>
      </x:c>
      <x:c r="V1533" s="15" t="n">
        <x:f>'기준스탯 72종'!H69*G1533</x:f>
        <x:v>2.2399999999999998</x:v>
      </x:c>
      <x:c r="W1533" s="15" t="n">
        <x:f>'기준스탯 72종'!I69*G1533</x:f>
        <x:v>2.8</x:v>
      </x:c>
      <x:c r="X1533" s="15" t="n">
        <x:f>'기준스탯 72종'!J69*G1533</x:f>
        <x:v>2.8</x:v>
      </x:c>
      <x:c r="Y1533" s="15" t="n">
        <x:f>'기준스탯 72종'!K69*G1533</x:f>
        <x:v>1.1199999999999999</x:v>
      </x:c>
      <x:c r="Z1533" s="15" t="n">
        <x:f>'기준스탯 72종'!D69*H1533</x:f>
        <x:v>1.9200000000000004</x:v>
      </x:c>
      <x:c r="AA1533" s="15" t="n">
        <x:f>'기준스탯 72종'!E69*H1533</x:f>
        <x:v>1.4400000000000004</x:v>
      </x:c>
      <x:c r="AB1533" s="15" t="n">
        <x:f>'기준스탯 72종'!F69*H1533</x:f>
        <x:v>1.4400000000000004</x:v>
      </x:c>
      <x:c r="AC1533" s="15" t="n">
        <x:f>'기준스탯 72종'!G69*H1533</x:f>
        <x:v>2.1600000000000006</x:v>
      </x:c>
      <x:c r="AD1533" s="15" t="n">
        <x:f>'기준스탯 72종'!H69*H1533</x:f>
        <x:v>0.9600000000000002</x:v>
      </x:c>
      <x:c r="AE1533" s="15" t="n">
        <x:f>'기준스탯 72종'!I69*H1533</x:f>
        <x:v>1.2000000000000002</x:v>
      </x:c>
      <x:c r="AF1533" s="15" t="n">
        <x:f>'기준스탯 72종'!J69*H1533</x:f>
        <x:v>1.2000000000000002</x:v>
      </x:c>
      <x:c r="AG1533" s="15" t="n">
        <x:f>'기준스탯 72종'!K69*H1533</x:f>
        <x:v>0.4800000000000001</x:v>
      </x:c>
    </x:row>
    <x:row r="1534" ht="28" customHeight="1">
      <x:c r="A1534" s="2" t="n">
        <x:v>1527</x:v>
      </x:c>
      <x:c r="B1534" s="2" t="n">
        <x:v>62</x:v>
      </x:c>
      <x:c r="C1534" s="2" t="str">
        <x:v>물병자리</x:v>
      </x:c>
      <x:c r="D1534" s="2" t="str">
        <x:v>마도사</x:v>
      </x:c>
      <x:c r="E1534" s="2" t="n">
        <x:v>2</x:v>
      </x:c>
      <x:c r="F1534" s="2" t="n">
        <x:v>1</x:v>
      </x:c>
      <x:c r="G1534" s="14" t="n">
        <x:f>('레벨 계산식'!$E$4-E1534)*'레벨 계산식'!$B$5</x:f>
        <x:v>0.41999999999999993</x:v>
      </x:c>
      <x:c r="H1534" s="14" t="n">
        <x:f>('등급 계산식'!$E$4-F1534)*'등급 계산식'!$B$5</x:f>
        <x:v>0.24000000000000005</x:v>
      </x:c>
      <x:c r="I1534" s="14" t="n">
        <x:f>1-G1534-H1534</x:f>
        <x:v>0.34</x:v>
      </x:c>
      <x:c r="J1534" s="2" t="n">
        <x:f>MAX(1,ROUND('기준스탯 72종'!D69-R1534-Z1534,0))</x:f>
        <x:v>3</x:v>
      </x:c>
      <x:c r="K1534" s="2" t="n">
        <x:f>MAX(1,ROUND('기준스탯 72종'!E69-S1534-AA1534,0))</x:f>
        <x:v>2</x:v>
      </x:c>
      <x:c r="L1534" s="2" t="n">
        <x:f>MAX(1,ROUND('기준스탯 72종'!F69-T1534-AB1534,0))</x:f>
        <x:v>2</x:v>
      </x:c>
      <x:c r="M1534" s="2" t="n">
        <x:f>MAX(1,ROUND('기준스탯 72종'!G69-U1534-AC1534,0))</x:f>
        <x:v>3</x:v>
      </x:c>
      <x:c r="N1534" s="2" t="n">
        <x:f>MAX(0,ROUND('기준스탯 72종'!H69-V1534-AD1534,0))</x:f>
        <x:v>1</x:v>
      </x:c>
      <x:c r="O1534" s="2" t="n">
        <x:f>MAX(0,ROUND('기준스탯 72종'!I69-W1534-AE1534,0))</x:f>
        <x:v>2</x:v>
      </x:c>
      <x:c r="P1534" s="2" t="n">
        <x:f>MAX(0,ROUND('기준스탯 72종'!J69-X1534-AF1534,0))</x:f>
        <x:v>2</x:v>
      </x:c>
      <x:c r="Q1534" s="2" t="n">
        <x:f>MAX(0,ROUND('기준스탯 72종'!K69-Y1534-AG1534,0))</x:f>
        <x:v>1</x:v>
      </x:c>
      <x:c r="R1534" s="15" t="n">
        <x:f>'기준스탯 72종'!D69*G1534</x:f>
        <x:v>3.3599999999999994</x:v>
      </x:c>
      <x:c r="S1534" s="15" t="n">
        <x:f>'기준스탯 72종'!E69*G1534</x:f>
        <x:v>2.5199999999999996</x:v>
      </x:c>
      <x:c r="T1534" s="15" t="n">
        <x:f>'기준스탯 72종'!F69*G1534</x:f>
        <x:v>2.5199999999999996</x:v>
      </x:c>
      <x:c r="U1534" s="15" t="n">
        <x:f>'기준스탯 72종'!G69*G1534</x:f>
        <x:v>3.7799999999999994</x:v>
      </x:c>
      <x:c r="V1534" s="15" t="n">
        <x:f>'기준스탯 72종'!H69*G1534</x:f>
        <x:v>1.6799999999999997</x:v>
      </x:c>
      <x:c r="W1534" s="15" t="n">
        <x:f>'기준스탯 72종'!I69*G1534</x:f>
        <x:v>2.0999999999999996</x:v>
      </x:c>
      <x:c r="X1534" s="15" t="n">
        <x:f>'기준스탯 72종'!J69*G1534</x:f>
        <x:v>2.0999999999999996</x:v>
      </x:c>
      <x:c r="Y1534" s="15" t="n">
        <x:f>'기준스탯 72종'!K69*G1534</x:f>
        <x:v>0.8399999999999999</x:v>
      </x:c>
      <x:c r="Z1534" s="15" t="n">
        <x:f>'기준스탯 72종'!D69*H1534</x:f>
        <x:v>1.9200000000000004</x:v>
      </x:c>
      <x:c r="AA1534" s="15" t="n">
        <x:f>'기준스탯 72종'!E69*H1534</x:f>
        <x:v>1.4400000000000004</x:v>
      </x:c>
      <x:c r="AB1534" s="15" t="n">
        <x:f>'기준스탯 72종'!F69*H1534</x:f>
        <x:v>1.4400000000000004</x:v>
      </x:c>
      <x:c r="AC1534" s="15" t="n">
        <x:f>'기준스탯 72종'!G69*H1534</x:f>
        <x:v>2.1600000000000006</x:v>
      </x:c>
      <x:c r="AD1534" s="15" t="n">
        <x:f>'기준스탯 72종'!H69*H1534</x:f>
        <x:v>0.9600000000000002</x:v>
      </x:c>
      <x:c r="AE1534" s="15" t="n">
        <x:f>'기준스탯 72종'!I69*H1534</x:f>
        <x:v>1.2000000000000002</x:v>
      </x:c>
      <x:c r="AF1534" s="15" t="n">
        <x:f>'기준스탯 72종'!J69*H1534</x:f>
        <x:v>1.2000000000000002</x:v>
      </x:c>
      <x:c r="AG1534" s="15" t="n">
        <x:f>'기준스탯 72종'!K69*H1534</x:f>
        <x:v>0.4800000000000001</x:v>
      </x:c>
    </x:row>
    <x:row r="1535" ht="28" customHeight="1">
      <x:c r="A1535" s="2" t="n">
        <x:v>1528</x:v>
      </x:c>
      <x:c r="B1535" s="2" t="n">
        <x:v>62</x:v>
      </x:c>
      <x:c r="C1535" s="2" t="str">
        <x:v>물병자리</x:v>
      </x:c>
      <x:c r="D1535" s="2" t="str">
        <x:v>마도사</x:v>
      </x:c>
      <x:c r="E1535" s="2" t="n">
        <x:v>3</x:v>
      </x:c>
      <x:c r="F1535" s="2" t="n">
        <x:v>1</x:v>
      </x:c>
      <x:c r="G1535" s="14" t="n">
        <x:f>('레벨 계산식'!$E$4-E1535)*'레벨 계산식'!$B$5</x:f>
        <x:v>0.27999999999999997</x:v>
      </x:c>
      <x:c r="H1535" s="14" t="n">
        <x:f>('등급 계산식'!$E$4-F1535)*'등급 계산식'!$B$5</x:f>
        <x:v>0.24000000000000005</x:v>
      </x:c>
      <x:c r="I1535" s="14" t="n">
        <x:f>1-G1535-H1535</x:f>
        <x:v>0.4799999999999999</x:v>
      </x:c>
      <x:c r="J1535" s="2" t="n">
        <x:f>MAX(1,ROUND('기준스탯 72종'!D69-R1535-Z1535,0))</x:f>
        <x:v>4</x:v>
      </x:c>
      <x:c r="K1535" s="2" t="n">
        <x:f>MAX(1,ROUND('기준스탯 72종'!E69-S1535-AA1535,0))</x:f>
        <x:v>3</x:v>
      </x:c>
      <x:c r="L1535" s="2" t="n">
        <x:f>MAX(1,ROUND('기준스탯 72종'!F69-T1535-AB1535,0))</x:f>
        <x:v>3</x:v>
      </x:c>
      <x:c r="M1535" s="2" t="n">
        <x:f>MAX(1,ROUND('기준스탯 72종'!G69-U1535-AC1535,0))</x:f>
        <x:v>4</x:v>
      </x:c>
      <x:c r="N1535" s="2" t="n">
        <x:f>MAX(0,ROUND('기준스탯 72종'!H69-V1535-AD1535,0))</x:f>
        <x:v>2</x:v>
      </x:c>
      <x:c r="O1535" s="2" t="n">
        <x:f>MAX(0,ROUND('기준스탯 72종'!I69-W1535-AE1535,0))</x:f>
        <x:v>2</x:v>
      </x:c>
      <x:c r="P1535" s="2" t="n">
        <x:f>MAX(0,ROUND('기준스탯 72종'!J69-X1535-AF1535,0))</x:f>
        <x:v>2</x:v>
      </x:c>
      <x:c r="Q1535" s="2" t="n">
        <x:f>MAX(0,ROUND('기준스탯 72종'!K69-Y1535-AG1535,0))</x:f>
        <x:v>1</x:v>
      </x:c>
      <x:c r="R1535" s="15" t="n">
        <x:f>'기준스탯 72종'!D69*G1535</x:f>
        <x:v>2.2399999999999998</x:v>
      </x:c>
      <x:c r="S1535" s="15" t="n">
        <x:f>'기준스탯 72종'!E69*G1535</x:f>
        <x:v>1.6799999999999997</x:v>
      </x:c>
      <x:c r="T1535" s="15" t="n">
        <x:f>'기준스탯 72종'!F69*G1535</x:f>
        <x:v>1.6799999999999997</x:v>
      </x:c>
      <x:c r="U1535" s="15" t="n">
        <x:f>'기준스탯 72종'!G69*G1535</x:f>
        <x:v>2.5199999999999996</x:v>
      </x:c>
      <x:c r="V1535" s="15" t="n">
        <x:f>'기준스탯 72종'!H69*G1535</x:f>
        <x:v>1.1199999999999999</x:v>
      </x:c>
      <x:c r="W1535" s="15" t="n">
        <x:f>'기준스탯 72종'!I69*G1535</x:f>
        <x:v>1.4</x:v>
      </x:c>
      <x:c r="X1535" s="15" t="n">
        <x:f>'기준스탯 72종'!J69*G1535</x:f>
        <x:v>1.4</x:v>
      </x:c>
      <x:c r="Y1535" s="15" t="n">
        <x:f>'기준스탯 72종'!K69*G1535</x:f>
        <x:v>0.5599999999999999</x:v>
      </x:c>
      <x:c r="Z1535" s="15" t="n">
        <x:f>'기준스탯 72종'!D69*H1535</x:f>
        <x:v>1.9200000000000004</x:v>
      </x:c>
      <x:c r="AA1535" s="15" t="n">
        <x:f>'기준스탯 72종'!E69*H1535</x:f>
        <x:v>1.4400000000000004</x:v>
      </x:c>
      <x:c r="AB1535" s="15" t="n">
        <x:f>'기준스탯 72종'!F69*H1535</x:f>
        <x:v>1.4400000000000004</x:v>
      </x:c>
      <x:c r="AC1535" s="15" t="n">
        <x:f>'기준스탯 72종'!G69*H1535</x:f>
        <x:v>2.1600000000000006</x:v>
      </x:c>
      <x:c r="AD1535" s="15" t="n">
        <x:f>'기준스탯 72종'!H69*H1535</x:f>
        <x:v>0.9600000000000002</x:v>
      </x:c>
      <x:c r="AE1535" s="15" t="n">
        <x:f>'기준스탯 72종'!I69*H1535</x:f>
        <x:v>1.2000000000000002</x:v>
      </x:c>
      <x:c r="AF1535" s="15" t="n">
        <x:f>'기준스탯 72종'!J69*H1535</x:f>
        <x:v>1.2000000000000002</x:v>
      </x:c>
      <x:c r="AG1535" s="15" t="n">
        <x:f>'기준스탯 72종'!K69*H1535</x:f>
        <x:v>0.4800000000000001</x:v>
      </x:c>
    </x:row>
    <x:row r="1536" ht="28" customHeight="1">
      <x:c r="A1536" s="2" t="n">
        <x:v>1529</x:v>
      </x:c>
      <x:c r="B1536" s="2" t="n">
        <x:v>62</x:v>
      </x:c>
      <x:c r="C1536" s="2" t="str">
        <x:v>물병자리</x:v>
      </x:c>
      <x:c r="D1536" s="2" t="str">
        <x:v>마도사</x:v>
      </x:c>
      <x:c r="E1536" s="2" t="n">
        <x:v>4</x:v>
      </x:c>
      <x:c r="F1536" s="2" t="n">
        <x:v>1</x:v>
      </x:c>
      <x:c r="G1536" s="14" t="n">
        <x:f>('레벨 계산식'!$E$4-E1536)*'레벨 계산식'!$B$5</x:f>
        <x:v>0.13999999999999999</x:v>
      </x:c>
      <x:c r="H1536" s="14" t="n">
        <x:f>('등급 계산식'!$E$4-F1536)*'등급 계산식'!$B$5</x:f>
        <x:v>0.24000000000000005</x:v>
      </x:c>
      <x:c r="I1536" s="14" t="n">
        <x:f>1-G1536-H1536</x:f>
        <x:v>0.6199999999999999</x:v>
      </x:c>
      <x:c r="J1536" s="2" t="n">
        <x:f>MAX(1,ROUND('기준스탯 72종'!D69-R1536-Z1536,0))</x:f>
        <x:v>5</x:v>
      </x:c>
      <x:c r="K1536" s="2" t="n">
        <x:f>MAX(1,ROUND('기준스탯 72종'!E69-S1536-AA1536,0))</x:f>
        <x:v>4</x:v>
      </x:c>
      <x:c r="L1536" s="2" t="n">
        <x:f>MAX(1,ROUND('기준스탯 72종'!F69-T1536-AB1536,0))</x:f>
        <x:v>4</x:v>
      </x:c>
      <x:c r="M1536" s="2" t="n">
        <x:f>MAX(1,ROUND('기준스탯 72종'!G69-U1536-AC1536,0))</x:f>
        <x:v>6</x:v>
      </x:c>
      <x:c r="N1536" s="2" t="n">
        <x:f>MAX(0,ROUND('기준스탯 72종'!H69-V1536-AD1536,0))</x:f>
        <x:v>2</x:v>
      </x:c>
      <x:c r="O1536" s="2" t="n">
        <x:f>MAX(0,ROUND('기준스탯 72종'!I69-W1536-AE1536,0))</x:f>
        <x:v>3</x:v>
      </x:c>
      <x:c r="P1536" s="2" t="n">
        <x:f>MAX(0,ROUND('기준스탯 72종'!J69-X1536-AF1536,0))</x:f>
        <x:v>3</x:v>
      </x:c>
      <x:c r="Q1536" s="2" t="n">
        <x:f>MAX(0,ROUND('기준스탯 72종'!K69-Y1536-AG1536,0))</x:f>
        <x:v>1</x:v>
      </x:c>
      <x:c r="R1536" s="15" t="n">
        <x:f>'기준스탯 72종'!D69*G1536</x:f>
        <x:v>1.1199999999999999</x:v>
      </x:c>
      <x:c r="S1536" s="15" t="n">
        <x:f>'기준스탯 72종'!E69*G1536</x:f>
        <x:v>0.8399999999999999</x:v>
      </x:c>
      <x:c r="T1536" s="15" t="n">
        <x:f>'기준스탯 72종'!F69*G1536</x:f>
        <x:v>0.8399999999999999</x:v>
      </x:c>
      <x:c r="U1536" s="15" t="n">
        <x:f>'기준스탯 72종'!G69*G1536</x:f>
        <x:v>1.2599999999999998</x:v>
      </x:c>
      <x:c r="V1536" s="15" t="n">
        <x:f>'기준스탯 72종'!H69*G1536</x:f>
        <x:v>0.5599999999999999</x:v>
      </x:c>
      <x:c r="W1536" s="15" t="n">
        <x:f>'기준스탯 72종'!I69*G1536</x:f>
        <x:v>0.7</x:v>
      </x:c>
      <x:c r="X1536" s="15" t="n">
        <x:f>'기준스탯 72종'!J69*G1536</x:f>
        <x:v>0.7</x:v>
      </x:c>
      <x:c r="Y1536" s="15" t="n">
        <x:f>'기준스탯 72종'!K69*G1536</x:f>
        <x:v>0.27999999999999997</x:v>
      </x:c>
      <x:c r="Z1536" s="15" t="n">
        <x:f>'기준스탯 72종'!D69*H1536</x:f>
        <x:v>1.9200000000000004</x:v>
      </x:c>
      <x:c r="AA1536" s="15" t="n">
        <x:f>'기준스탯 72종'!E69*H1536</x:f>
        <x:v>1.4400000000000004</x:v>
      </x:c>
      <x:c r="AB1536" s="15" t="n">
        <x:f>'기준스탯 72종'!F69*H1536</x:f>
        <x:v>1.4400000000000004</x:v>
      </x:c>
      <x:c r="AC1536" s="15" t="n">
        <x:f>'기준스탯 72종'!G69*H1536</x:f>
        <x:v>2.1600000000000006</x:v>
      </x:c>
      <x:c r="AD1536" s="15" t="n">
        <x:f>'기준스탯 72종'!H69*H1536</x:f>
        <x:v>0.9600000000000002</x:v>
      </x:c>
      <x:c r="AE1536" s="15" t="n">
        <x:f>'기준스탯 72종'!I69*H1536</x:f>
        <x:v>1.2000000000000002</x:v>
      </x:c>
      <x:c r="AF1536" s="15" t="n">
        <x:f>'기준스탯 72종'!J69*H1536</x:f>
        <x:v>1.2000000000000002</x:v>
      </x:c>
      <x:c r="AG1536" s="15" t="n">
        <x:f>'기준스탯 72종'!K69*H1536</x:f>
        <x:v>0.4800000000000001</x:v>
      </x:c>
    </x:row>
    <x:row r="1537" ht="28" customHeight="1">
      <x:c r="A1537" s="2" t="n">
        <x:v>1530</x:v>
      </x:c>
      <x:c r="B1537" s="2" t="n">
        <x:v>62</x:v>
      </x:c>
      <x:c r="C1537" s="2" t="str">
        <x:v>물병자리</x:v>
      </x:c>
      <x:c r="D1537" s="2" t="str">
        <x:v>마도사</x:v>
      </x:c>
      <x:c r="E1537" s="2" t="n">
        <x:v>5</x:v>
      </x:c>
      <x:c r="F1537" s="2" t="n">
        <x:v>1</x:v>
      </x:c>
      <x:c r="G1537" s="14" t="n">
        <x:f>('레벨 계산식'!$E$4-E1537)*'레벨 계산식'!$B$5</x:f>
        <x:v>0</x:v>
      </x:c>
      <x:c r="H1537" s="14" t="n">
        <x:f>('등급 계산식'!$E$4-F1537)*'등급 계산식'!$B$5</x:f>
        <x:v>0.24000000000000005</x:v>
      </x:c>
      <x:c r="I1537" s="14" t="n">
        <x:f>1-G1537-H1537</x:f>
        <x:v>0.76</x:v>
      </x:c>
      <x:c r="J1537" s="2" t="n">
        <x:f>MAX(1,ROUND('기준스탯 72종'!D69-R1537-Z1537,0))</x:f>
        <x:v>6</x:v>
      </x:c>
      <x:c r="K1537" s="2" t="n">
        <x:f>MAX(1,ROUND('기준스탯 72종'!E69-S1537-AA1537,0))</x:f>
        <x:v>5</x:v>
      </x:c>
      <x:c r="L1537" s="2" t="n">
        <x:f>MAX(1,ROUND('기준스탯 72종'!F69-T1537-AB1537,0))</x:f>
        <x:v>5</x:v>
      </x:c>
      <x:c r="M1537" s="2" t="n">
        <x:f>MAX(1,ROUND('기준스탯 72종'!G69-U1537-AC1537,0))</x:f>
        <x:v>7</x:v>
      </x:c>
      <x:c r="N1537" s="2" t="n">
        <x:f>MAX(0,ROUND('기준스탯 72종'!H69-V1537-AD1537,0))</x:f>
        <x:v>3</x:v>
      </x:c>
      <x:c r="O1537" s="2" t="n">
        <x:f>MAX(0,ROUND('기준스탯 72종'!I69-W1537-AE1537,0))</x:f>
        <x:v>4</x:v>
      </x:c>
      <x:c r="P1537" s="2" t="n">
        <x:f>MAX(0,ROUND('기준스탯 72종'!J69-X1537-AF1537,0))</x:f>
        <x:v>4</x:v>
      </x:c>
      <x:c r="Q1537" s="2" t="n">
        <x:f>MAX(0,ROUND('기준스탯 72종'!K69-Y1537-AG1537,0))</x:f>
        <x:v>2</x:v>
      </x:c>
      <x:c r="R1537" s="15" t="n">
        <x:f>'기준스탯 72종'!D69*G1537</x:f>
        <x:v>0</x:v>
      </x:c>
      <x:c r="S1537" s="15" t="n">
        <x:f>'기준스탯 72종'!E69*G1537</x:f>
        <x:v>0</x:v>
      </x:c>
      <x:c r="T1537" s="15" t="n">
        <x:f>'기준스탯 72종'!F69*G1537</x:f>
        <x:v>0</x:v>
      </x:c>
      <x:c r="U1537" s="15" t="n">
        <x:f>'기준스탯 72종'!G69*G1537</x:f>
        <x:v>0</x:v>
      </x:c>
      <x:c r="V1537" s="15" t="n">
        <x:f>'기준스탯 72종'!H69*G1537</x:f>
        <x:v>0</x:v>
      </x:c>
      <x:c r="W1537" s="15" t="n">
        <x:f>'기준스탯 72종'!I69*G1537</x:f>
        <x:v>0</x:v>
      </x:c>
      <x:c r="X1537" s="15" t="n">
        <x:f>'기준스탯 72종'!J69*G1537</x:f>
        <x:v>0</x:v>
      </x:c>
      <x:c r="Y1537" s="15" t="n">
        <x:f>'기준스탯 72종'!K69*G1537</x:f>
        <x:v>0</x:v>
      </x:c>
      <x:c r="Z1537" s="15" t="n">
        <x:f>'기준스탯 72종'!D69*H1537</x:f>
        <x:v>1.9200000000000004</x:v>
      </x:c>
      <x:c r="AA1537" s="15" t="n">
        <x:f>'기준스탯 72종'!E69*H1537</x:f>
        <x:v>1.4400000000000004</x:v>
      </x:c>
      <x:c r="AB1537" s="15" t="n">
        <x:f>'기준스탯 72종'!F69*H1537</x:f>
        <x:v>1.4400000000000004</x:v>
      </x:c>
      <x:c r="AC1537" s="15" t="n">
        <x:f>'기준스탯 72종'!G69*H1537</x:f>
        <x:v>2.1600000000000006</x:v>
      </x:c>
      <x:c r="AD1537" s="15" t="n">
        <x:f>'기준스탯 72종'!H69*H1537</x:f>
        <x:v>0.9600000000000002</x:v>
      </x:c>
      <x:c r="AE1537" s="15" t="n">
        <x:f>'기준스탯 72종'!I69*H1537</x:f>
        <x:v>1.2000000000000002</x:v>
      </x:c>
      <x:c r="AF1537" s="15" t="n">
        <x:f>'기준스탯 72종'!J69*H1537</x:f>
        <x:v>1.2000000000000002</x:v>
      </x:c>
      <x:c r="AG1537" s="15" t="n">
        <x:f>'기준스탯 72종'!K69*H1537</x:f>
        <x:v>0.4800000000000001</x:v>
      </x:c>
    </x:row>
    <x:row r="1538" ht="28" customHeight="1">
      <x:c r="A1538" s="2" t="n">
        <x:v>1531</x:v>
      </x:c>
      <x:c r="B1538" s="2" t="n">
        <x:v>62</x:v>
      </x:c>
      <x:c r="C1538" s="2" t="str">
        <x:v>물병자리</x:v>
      </x:c>
      <x:c r="D1538" s="2" t="str">
        <x:v>마도사</x:v>
      </x:c>
      <x:c r="E1538" s="2" t="n">
        <x:v>1</x:v>
      </x:c>
      <x:c r="F1538" s="2" t="n">
        <x:v>2</x:v>
      </x:c>
      <x:c r="G1538" s="14" t="n">
        <x:f>('레벨 계산식'!$E$4-E1538)*'레벨 계산식'!$B$5</x:f>
        <x:v>0.5599999999999999</x:v>
      </x:c>
      <x:c r="H1538" s="14" t="n">
        <x:f>('등급 계산식'!$E$4-F1538)*'등급 계산식'!$B$5</x:f>
        <x:v>0.18000000000000005</x:v>
      </x:c>
      <x:c r="I1538" s="14" t="n">
        <x:f>1-G1538-H1538</x:f>
        <x:v>0.26</x:v>
      </x:c>
      <x:c r="J1538" s="2" t="n">
        <x:f>MAX(1,ROUND('기준스탯 72종'!D69-R1538-Z1538,0))</x:f>
        <x:v>2</x:v>
      </x:c>
      <x:c r="K1538" s="2" t="n">
        <x:f>MAX(1,ROUND('기준스탯 72종'!E69-S1538-AA1538,0))</x:f>
        <x:v>2</x:v>
      </x:c>
      <x:c r="L1538" s="2" t="n">
        <x:f>MAX(1,ROUND('기준스탯 72종'!F69-T1538-AB1538,0))</x:f>
        <x:v>2</x:v>
      </x:c>
      <x:c r="M1538" s="2" t="n">
        <x:f>MAX(1,ROUND('기준스탯 72종'!G69-U1538-AC1538,0))</x:f>
        <x:v>2</x:v>
      </x:c>
      <x:c r="N1538" s="2" t="n">
        <x:f>MAX(0,ROUND('기준스탯 72종'!H69-V1538-AD1538,0))</x:f>
        <x:v>1</x:v>
      </x:c>
      <x:c r="O1538" s="2" t="n">
        <x:f>MAX(0,ROUND('기준스탯 72종'!I69-W1538-AE1538,0))</x:f>
        <x:v>1</x:v>
      </x:c>
      <x:c r="P1538" s="2" t="n">
        <x:f>MAX(0,ROUND('기준스탯 72종'!J69-X1538-AF1538,0))</x:f>
        <x:v>1</x:v>
      </x:c>
      <x:c r="Q1538" s="2" t="n">
        <x:f>MAX(0,ROUND('기준스탯 72종'!K69-Y1538-AG1538,0))</x:f>
        <x:v>1</x:v>
      </x:c>
      <x:c r="R1538" s="15" t="n">
        <x:f>'기준스탯 72종'!D69*G1538</x:f>
        <x:v>4.4799999999999995</x:v>
      </x:c>
      <x:c r="S1538" s="15" t="n">
        <x:f>'기준스탯 72종'!E69*G1538</x:f>
        <x:v>3.3599999999999994</x:v>
      </x:c>
      <x:c r="T1538" s="15" t="n">
        <x:f>'기준스탯 72종'!F69*G1538</x:f>
        <x:v>3.3599999999999994</x:v>
      </x:c>
      <x:c r="U1538" s="15" t="n">
        <x:f>'기준스탯 72종'!G69*G1538</x:f>
        <x:v>5.039999999999999</x:v>
      </x:c>
      <x:c r="V1538" s="15" t="n">
        <x:f>'기준스탯 72종'!H69*G1538</x:f>
        <x:v>2.2399999999999998</x:v>
      </x:c>
      <x:c r="W1538" s="15" t="n">
        <x:f>'기준스탯 72종'!I69*G1538</x:f>
        <x:v>2.8</x:v>
      </x:c>
      <x:c r="X1538" s="15" t="n">
        <x:f>'기준스탯 72종'!J69*G1538</x:f>
        <x:v>2.8</x:v>
      </x:c>
      <x:c r="Y1538" s="15" t="n">
        <x:f>'기준스탯 72종'!K69*G1538</x:f>
        <x:v>1.1199999999999999</x:v>
      </x:c>
      <x:c r="Z1538" s="15" t="n">
        <x:f>'기준스탯 72종'!D69*H1538</x:f>
        <x:v>1.4400000000000004</x:v>
      </x:c>
      <x:c r="AA1538" s="15" t="n">
        <x:f>'기준스탯 72종'!E69*H1538</x:f>
        <x:v>1.0800000000000003</x:v>
      </x:c>
      <x:c r="AB1538" s="15" t="n">
        <x:f>'기준스탯 72종'!F69*H1538</x:f>
        <x:v>1.0800000000000003</x:v>
      </x:c>
      <x:c r="AC1538" s="15" t="n">
        <x:f>'기준스탯 72종'!G69*H1538</x:f>
        <x:v>1.6200000000000006</x:v>
      </x:c>
      <x:c r="AD1538" s="15" t="n">
        <x:f>'기준스탯 72종'!H69*H1538</x:f>
        <x:v>0.7200000000000002</x:v>
      </x:c>
      <x:c r="AE1538" s="15" t="n">
        <x:f>'기준스탯 72종'!I69*H1538</x:f>
        <x:v>0.9000000000000002</x:v>
      </x:c>
      <x:c r="AF1538" s="15" t="n">
        <x:f>'기준스탯 72종'!J69*H1538</x:f>
        <x:v>0.9000000000000002</x:v>
      </x:c>
      <x:c r="AG1538" s="15" t="n">
        <x:f>'기준스탯 72종'!K69*H1538</x:f>
        <x:v>0.3600000000000001</x:v>
      </x:c>
    </x:row>
    <x:row r="1539" ht="28" customHeight="1">
      <x:c r="A1539" s="2" t="n">
        <x:v>1532</x:v>
      </x:c>
      <x:c r="B1539" s="2" t="n">
        <x:v>62</x:v>
      </x:c>
      <x:c r="C1539" s="2" t="str">
        <x:v>물병자리</x:v>
      </x:c>
      <x:c r="D1539" s="2" t="str">
        <x:v>마도사</x:v>
      </x:c>
      <x:c r="E1539" s="2" t="n">
        <x:v>2</x:v>
      </x:c>
      <x:c r="F1539" s="2" t="n">
        <x:v>2</x:v>
      </x:c>
      <x:c r="G1539" s="14" t="n">
        <x:f>('레벨 계산식'!$E$4-E1539)*'레벨 계산식'!$B$5</x:f>
        <x:v>0.41999999999999993</x:v>
      </x:c>
      <x:c r="H1539" s="14" t="n">
        <x:f>('등급 계산식'!$E$4-F1539)*'등급 계산식'!$B$5</x:f>
        <x:v>0.18000000000000005</x:v>
      </x:c>
      <x:c r="I1539" s="14" t="n">
        <x:f>1-G1539-H1539</x:f>
        <x:v>0.4</x:v>
      </x:c>
      <x:c r="J1539" s="2" t="n">
        <x:f>MAX(1,ROUND('기준스탯 72종'!D69-R1539-Z1539,0))</x:f>
        <x:v>3</x:v>
      </x:c>
      <x:c r="K1539" s="2" t="n">
        <x:f>MAX(1,ROUND('기준스탯 72종'!E69-S1539-AA1539,0))</x:f>
        <x:v>2</x:v>
      </x:c>
      <x:c r="L1539" s="2" t="n">
        <x:f>MAX(1,ROUND('기준스탯 72종'!F69-T1539-AB1539,0))</x:f>
        <x:v>2</x:v>
      </x:c>
      <x:c r="M1539" s="2" t="n">
        <x:f>MAX(1,ROUND('기준스탯 72종'!G69-U1539-AC1539,0))</x:f>
        <x:v>4</x:v>
      </x:c>
      <x:c r="N1539" s="2" t="n">
        <x:f>MAX(0,ROUND('기준스탯 72종'!H69-V1539-AD1539,0))</x:f>
        <x:v>2</x:v>
      </x:c>
      <x:c r="O1539" s="2" t="n">
        <x:f>MAX(0,ROUND('기준스탯 72종'!I69-W1539-AE1539,0))</x:f>
        <x:v>2</x:v>
      </x:c>
      <x:c r="P1539" s="2" t="n">
        <x:f>MAX(0,ROUND('기준스탯 72종'!J69-X1539-AF1539,0))</x:f>
        <x:v>2</x:v>
      </x:c>
      <x:c r="Q1539" s="2" t="n">
        <x:f>MAX(0,ROUND('기준스탯 72종'!K69-Y1539-AG1539,0))</x:f>
        <x:v>1</x:v>
      </x:c>
      <x:c r="R1539" s="15" t="n">
        <x:f>'기준스탯 72종'!D69*G1539</x:f>
        <x:v>3.3599999999999994</x:v>
      </x:c>
      <x:c r="S1539" s="15" t="n">
        <x:f>'기준스탯 72종'!E69*G1539</x:f>
        <x:v>2.5199999999999996</x:v>
      </x:c>
      <x:c r="T1539" s="15" t="n">
        <x:f>'기준스탯 72종'!F69*G1539</x:f>
        <x:v>2.5199999999999996</x:v>
      </x:c>
      <x:c r="U1539" s="15" t="n">
        <x:f>'기준스탯 72종'!G69*G1539</x:f>
        <x:v>3.7799999999999994</x:v>
      </x:c>
      <x:c r="V1539" s="15" t="n">
        <x:f>'기준스탯 72종'!H69*G1539</x:f>
        <x:v>1.6799999999999997</x:v>
      </x:c>
      <x:c r="W1539" s="15" t="n">
        <x:f>'기준스탯 72종'!I69*G1539</x:f>
        <x:v>2.0999999999999996</x:v>
      </x:c>
      <x:c r="X1539" s="15" t="n">
        <x:f>'기준스탯 72종'!J69*G1539</x:f>
        <x:v>2.0999999999999996</x:v>
      </x:c>
      <x:c r="Y1539" s="15" t="n">
        <x:f>'기준스탯 72종'!K69*G1539</x:f>
        <x:v>0.8399999999999999</x:v>
      </x:c>
      <x:c r="Z1539" s="15" t="n">
        <x:f>'기준스탯 72종'!D69*H1539</x:f>
        <x:v>1.4400000000000004</x:v>
      </x:c>
      <x:c r="AA1539" s="15" t="n">
        <x:f>'기준스탯 72종'!E69*H1539</x:f>
        <x:v>1.0800000000000003</x:v>
      </x:c>
      <x:c r="AB1539" s="15" t="n">
        <x:f>'기준스탯 72종'!F69*H1539</x:f>
        <x:v>1.0800000000000003</x:v>
      </x:c>
      <x:c r="AC1539" s="15" t="n">
        <x:f>'기준스탯 72종'!G69*H1539</x:f>
        <x:v>1.6200000000000006</x:v>
      </x:c>
      <x:c r="AD1539" s="15" t="n">
        <x:f>'기준스탯 72종'!H69*H1539</x:f>
        <x:v>0.7200000000000002</x:v>
      </x:c>
      <x:c r="AE1539" s="15" t="n">
        <x:f>'기준스탯 72종'!I69*H1539</x:f>
        <x:v>0.9000000000000002</x:v>
      </x:c>
      <x:c r="AF1539" s="15" t="n">
        <x:f>'기준스탯 72종'!J69*H1539</x:f>
        <x:v>0.9000000000000002</x:v>
      </x:c>
      <x:c r="AG1539" s="15" t="n">
        <x:f>'기준스탯 72종'!K69*H1539</x:f>
        <x:v>0.3600000000000001</x:v>
      </x:c>
    </x:row>
    <x:row r="1540" ht="28" customHeight="1">
      <x:c r="A1540" s="2" t="n">
        <x:v>1533</x:v>
      </x:c>
      <x:c r="B1540" s="2" t="n">
        <x:v>62</x:v>
      </x:c>
      <x:c r="C1540" s="2" t="str">
        <x:v>물병자리</x:v>
      </x:c>
      <x:c r="D1540" s="2" t="str">
        <x:v>마도사</x:v>
      </x:c>
      <x:c r="E1540" s="2" t="n">
        <x:v>3</x:v>
      </x:c>
      <x:c r="F1540" s="2" t="n">
        <x:v>2</x:v>
      </x:c>
      <x:c r="G1540" s="14" t="n">
        <x:f>('레벨 계산식'!$E$4-E1540)*'레벨 계산식'!$B$5</x:f>
        <x:v>0.27999999999999997</x:v>
      </x:c>
      <x:c r="H1540" s="14" t="n">
        <x:f>('등급 계산식'!$E$4-F1540)*'등급 계산식'!$B$5</x:f>
        <x:v>0.18000000000000005</x:v>
      </x:c>
      <x:c r="I1540" s="14" t="n">
        <x:f>1-G1540-H1540</x:f>
        <x:v>0.5399999999999999</x:v>
      </x:c>
      <x:c r="J1540" s="2" t="n">
        <x:f>MAX(1,ROUND('기준스탯 72종'!D69-R1540-Z1540,0))</x:f>
        <x:v>4</x:v>
      </x:c>
      <x:c r="K1540" s="2" t="n">
        <x:f>MAX(1,ROUND('기준스탯 72종'!E69-S1540-AA1540,0))</x:f>
        <x:v>3</x:v>
      </x:c>
      <x:c r="L1540" s="2" t="n">
        <x:f>MAX(1,ROUND('기준스탯 72종'!F69-T1540-AB1540,0))</x:f>
        <x:v>3</x:v>
      </x:c>
      <x:c r="M1540" s="2" t="n">
        <x:f>MAX(1,ROUND('기준스탯 72종'!G69-U1540-AC1540,0))</x:f>
        <x:v>5</x:v>
      </x:c>
      <x:c r="N1540" s="2" t="n">
        <x:f>MAX(0,ROUND('기준스탯 72종'!H69-V1540-AD1540,0))</x:f>
        <x:v>2</x:v>
      </x:c>
      <x:c r="O1540" s="2" t="n">
        <x:f>MAX(0,ROUND('기준스탯 72종'!I69-W1540-AE1540,0))</x:f>
        <x:v>3</x:v>
      </x:c>
      <x:c r="P1540" s="2" t="n">
        <x:f>MAX(0,ROUND('기준스탯 72종'!J69-X1540-AF1540,0))</x:f>
        <x:v>3</x:v>
      </x:c>
      <x:c r="Q1540" s="2" t="n">
        <x:f>MAX(0,ROUND('기준스탯 72종'!K69-Y1540-AG1540,0))</x:f>
        <x:v>1</x:v>
      </x:c>
      <x:c r="R1540" s="15" t="n">
        <x:f>'기준스탯 72종'!D69*G1540</x:f>
        <x:v>2.2399999999999998</x:v>
      </x:c>
      <x:c r="S1540" s="15" t="n">
        <x:f>'기준스탯 72종'!E69*G1540</x:f>
        <x:v>1.6799999999999997</x:v>
      </x:c>
      <x:c r="T1540" s="15" t="n">
        <x:f>'기준스탯 72종'!F69*G1540</x:f>
        <x:v>1.6799999999999997</x:v>
      </x:c>
      <x:c r="U1540" s="15" t="n">
        <x:f>'기준스탯 72종'!G69*G1540</x:f>
        <x:v>2.5199999999999996</x:v>
      </x:c>
      <x:c r="V1540" s="15" t="n">
        <x:f>'기준스탯 72종'!H69*G1540</x:f>
        <x:v>1.1199999999999999</x:v>
      </x:c>
      <x:c r="W1540" s="15" t="n">
        <x:f>'기준스탯 72종'!I69*G1540</x:f>
        <x:v>1.4</x:v>
      </x:c>
      <x:c r="X1540" s="15" t="n">
        <x:f>'기준스탯 72종'!J69*G1540</x:f>
        <x:v>1.4</x:v>
      </x:c>
      <x:c r="Y1540" s="15" t="n">
        <x:f>'기준스탯 72종'!K69*G1540</x:f>
        <x:v>0.5599999999999999</x:v>
      </x:c>
      <x:c r="Z1540" s="15" t="n">
        <x:f>'기준스탯 72종'!D69*H1540</x:f>
        <x:v>1.4400000000000004</x:v>
      </x:c>
      <x:c r="AA1540" s="15" t="n">
        <x:f>'기준스탯 72종'!E69*H1540</x:f>
        <x:v>1.0800000000000003</x:v>
      </x:c>
      <x:c r="AB1540" s="15" t="n">
        <x:f>'기준스탯 72종'!F69*H1540</x:f>
        <x:v>1.0800000000000003</x:v>
      </x:c>
      <x:c r="AC1540" s="15" t="n">
        <x:f>'기준스탯 72종'!G69*H1540</x:f>
        <x:v>1.6200000000000006</x:v>
      </x:c>
      <x:c r="AD1540" s="15" t="n">
        <x:f>'기준스탯 72종'!H69*H1540</x:f>
        <x:v>0.7200000000000002</x:v>
      </x:c>
      <x:c r="AE1540" s="15" t="n">
        <x:f>'기준스탯 72종'!I69*H1540</x:f>
        <x:v>0.9000000000000002</x:v>
      </x:c>
      <x:c r="AF1540" s="15" t="n">
        <x:f>'기준스탯 72종'!J69*H1540</x:f>
        <x:v>0.9000000000000002</x:v>
      </x:c>
      <x:c r="AG1540" s="15" t="n">
        <x:f>'기준스탯 72종'!K69*H1540</x:f>
        <x:v>0.3600000000000001</x:v>
      </x:c>
    </x:row>
    <x:row r="1541" ht="28" customHeight="1">
      <x:c r="A1541" s="2" t="n">
        <x:v>1534</x:v>
      </x:c>
      <x:c r="B1541" s="2" t="n">
        <x:v>62</x:v>
      </x:c>
      <x:c r="C1541" s="2" t="str">
        <x:v>물병자리</x:v>
      </x:c>
      <x:c r="D1541" s="2" t="str">
        <x:v>마도사</x:v>
      </x:c>
      <x:c r="E1541" s="2" t="n">
        <x:v>4</x:v>
      </x:c>
      <x:c r="F1541" s="2" t="n">
        <x:v>2</x:v>
      </x:c>
      <x:c r="G1541" s="14" t="n">
        <x:f>('레벨 계산식'!$E$4-E1541)*'레벨 계산식'!$B$5</x:f>
        <x:v>0.13999999999999999</x:v>
      </x:c>
      <x:c r="H1541" s="14" t="n">
        <x:f>('등급 계산식'!$E$4-F1541)*'등급 계산식'!$B$5</x:f>
        <x:v>0.18000000000000005</x:v>
      </x:c>
      <x:c r="I1541" s="14" t="n">
        <x:f>1-G1541-H1541</x:f>
        <x:v>0.6799999999999999</x:v>
      </x:c>
      <x:c r="J1541" s="2" t="n">
        <x:f>MAX(1,ROUND('기준스탯 72종'!D69-R1541-Z1541,0))</x:f>
        <x:v>5</x:v>
      </x:c>
      <x:c r="K1541" s="2" t="n">
        <x:f>MAX(1,ROUND('기준스탯 72종'!E69-S1541-AA1541,0))</x:f>
        <x:v>4</x:v>
      </x:c>
      <x:c r="L1541" s="2" t="n">
        <x:f>MAX(1,ROUND('기준스탯 72종'!F69-T1541-AB1541,0))</x:f>
        <x:v>4</x:v>
      </x:c>
      <x:c r="M1541" s="2" t="n">
        <x:f>MAX(1,ROUND('기준스탯 72종'!G69-U1541-AC1541,0))</x:f>
        <x:v>6</x:v>
      </x:c>
      <x:c r="N1541" s="2" t="n">
        <x:f>MAX(0,ROUND('기준스탯 72종'!H69-V1541-AD1541,0))</x:f>
        <x:v>3</x:v>
      </x:c>
      <x:c r="O1541" s="2" t="n">
        <x:f>MAX(0,ROUND('기준스탯 72종'!I69-W1541-AE1541,0))</x:f>
        <x:v>3</x:v>
      </x:c>
      <x:c r="P1541" s="2" t="n">
        <x:f>MAX(0,ROUND('기준스탯 72종'!J69-X1541-AF1541,0))</x:f>
        <x:v>3</x:v>
      </x:c>
      <x:c r="Q1541" s="2" t="n">
        <x:f>MAX(0,ROUND('기준스탯 72종'!K69-Y1541-AG1541,0))</x:f>
        <x:v>1</x:v>
      </x:c>
      <x:c r="R1541" s="15" t="n">
        <x:f>'기준스탯 72종'!D69*G1541</x:f>
        <x:v>1.1199999999999999</x:v>
      </x:c>
      <x:c r="S1541" s="15" t="n">
        <x:f>'기준스탯 72종'!E69*G1541</x:f>
        <x:v>0.8399999999999999</x:v>
      </x:c>
      <x:c r="T1541" s="15" t="n">
        <x:f>'기준스탯 72종'!F69*G1541</x:f>
        <x:v>0.8399999999999999</x:v>
      </x:c>
      <x:c r="U1541" s="15" t="n">
        <x:f>'기준스탯 72종'!G69*G1541</x:f>
        <x:v>1.2599999999999998</x:v>
      </x:c>
      <x:c r="V1541" s="15" t="n">
        <x:f>'기준스탯 72종'!H69*G1541</x:f>
        <x:v>0.5599999999999999</x:v>
      </x:c>
      <x:c r="W1541" s="15" t="n">
        <x:f>'기준스탯 72종'!I69*G1541</x:f>
        <x:v>0.7</x:v>
      </x:c>
      <x:c r="X1541" s="15" t="n">
        <x:f>'기준스탯 72종'!J69*G1541</x:f>
        <x:v>0.7</x:v>
      </x:c>
      <x:c r="Y1541" s="15" t="n">
        <x:f>'기준스탯 72종'!K69*G1541</x:f>
        <x:v>0.27999999999999997</x:v>
      </x:c>
      <x:c r="Z1541" s="15" t="n">
        <x:f>'기준스탯 72종'!D69*H1541</x:f>
        <x:v>1.4400000000000004</x:v>
      </x:c>
      <x:c r="AA1541" s="15" t="n">
        <x:f>'기준스탯 72종'!E69*H1541</x:f>
        <x:v>1.0800000000000003</x:v>
      </x:c>
      <x:c r="AB1541" s="15" t="n">
        <x:f>'기준스탯 72종'!F69*H1541</x:f>
        <x:v>1.0800000000000003</x:v>
      </x:c>
      <x:c r="AC1541" s="15" t="n">
        <x:f>'기준스탯 72종'!G69*H1541</x:f>
        <x:v>1.6200000000000006</x:v>
      </x:c>
      <x:c r="AD1541" s="15" t="n">
        <x:f>'기준스탯 72종'!H69*H1541</x:f>
        <x:v>0.7200000000000002</x:v>
      </x:c>
      <x:c r="AE1541" s="15" t="n">
        <x:f>'기준스탯 72종'!I69*H1541</x:f>
        <x:v>0.9000000000000002</x:v>
      </x:c>
      <x:c r="AF1541" s="15" t="n">
        <x:f>'기준스탯 72종'!J69*H1541</x:f>
        <x:v>0.9000000000000002</x:v>
      </x:c>
      <x:c r="AG1541" s="15" t="n">
        <x:f>'기준스탯 72종'!K69*H1541</x:f>
        <x:v>0.3600000000000001</x:v>
      </x:c>
    </x:row>
    <x:row r="1542" ht="28" customHeight="1">
      <x:c r="A1542" s="2" t="n">
        <x:v>1535</x:v>
      </x:c>
      <x:c r="B1542" s="2" t="n">
        <x:v>62</x:v>
      </x:c>
      <x:c r="C1542" s="2" t="str">
        <x:v>물병자리</x:v>
      </x:c>
      <x:c r="D1542" s="2" t="str">
        <x:v>마도사</x:v>
      </x:c>
      <x:c r="E1542" s="2" t="n">
        <x:v>5</x:v>
      </x:c>
      <x:c r="F1542" s="2" t="n">
        <x:v>2</x:v>
      </x:c>
      <x:c r="G1542" s="14" t="n">
        <x:f>('레벨 계산식'!$E$4-E1542)*'레벨 계산식'!$B$5</x:f>
        <x:v>0</x:v>
      </x:c>
      <x:c r="H1542" s="14" t="n">
        <x:f>('등급 계산식'!$E$4-F1542)*'등급 계산식'!$B$5</x:f>
        <x:v>0.18000000000000005</x:v>
      </x:c>
      <x:c r="I1542" s="14" t="n">
        <x:f>1-G1542-H1542</x:f>
        <x:v>0.82</x:v>
      </x:c>
      <x:c r="J1542" s="2" t="n">
        <x:f>MAX(1,ROUND('기준스탯 72종'!D69-R1542-Z1542,0))</x:f>
        <x:v>7</x:v>
      </x:c>
      <x:c r="K1542" s="2" t="n">
        <x:f>MAX(1,ROUND('기준스탯 72종'!E69-S1542-AA1542,0))</x:f>
        <x:v>5</x:v>
      </x:c>
      <x:c r="L1542" s="2" t="n">
        <x:f>MAX(1,ROUND('기준스탯 72종'!F69-T1542-AB1542,0))</x:f>
        <x:v>5</x:v>
      </x:c>
      <x:c r="M1542" s="2" t="n">
        <x:f>MAX(1,ROUND('기준스탯 72종'!G69-U1542-AC1542,0))</x:f>
        <x:v>7</x:v>
      </x:c>
      <x:c r="N1542" s="2" t="n">
        <x:f>MAX(0,ROUND('기준스탯 72종'!H69-V1542-AD1542,0))</x:f>
        <x:v>3</x:v>
      </x:c>
      <x:c r="O1542" s="2" t="n">
        <x:f>MAX(0,ROUND('기준스탯 72종'!I69-W1542-AE1542,0))</x:f>
        <x:v>4</x:v>
      </x:c>
      <x:c r="P1542" s="2" t="n">
        <x:f>MAX(0,ROUND('기준스탯 72종'!J69-X1542-AF1542,0))</x:f>
        <x:v>4</x:v>
      </x:c>
      <x:c r="Q1542" s="2" t="n">
        <x:f>MAX(0,ROUND('기준스탯 72종'!K69-Y1542-AG1542,0))</x:f>
        <x:v>2</x:v>
      </x:c>
      <x:c r="R1542" s="15" t="n">
        <x:f>'기준스탯 72종'!D69*G1542</x:f>
        <x:v>0</x:v>
      </x:c>
      <x:c r="S1542" s="15" t="n">
        <x:f>'기준스탯 72종'!E69*G1542</x:f>
        <x:v>0</x:v>
      </x:c>
      <x:c r="T1542" s="15" t="n">
        <x:f>'기준스탯 72종'!F69*G1542</x:f>
        <x:v>0</x:v>
      </x:c>
      <x:c r="U1542" s="15" t="n">
        <x:f>'기준스탯 72종'!G69*G1542</x:f>
        <x:v>0</x:v>
      </x:c>
      <x:c r="V1542" s="15" t="n">
        <x:f>'기준스탯 72종'!H69*G1542</x:f>
        <x:v>0</x:v>
      </x:c>
      <x:c r="W1542" s="15" t="n">
        <x:f>'기준스탯 72종'!I69*G1542</x:f>
        <x:v>0</x:v>
      </x:c>
      <x:c r="X1542" s="15" t="n">
        <x:f>'기준스탯 72종'!J69*G1542</x:f>
        <x:v>0</x:v>
      </x:c>
      <x:c r="Y1542" s="15" t="n">
        <x:f>'기준스탯 72종'!K69*G1542</x:f>
        <x:v>0</x:v>
      </x:c>
      <x:c r="Z1542" s="15" t="n">
        <x:f>'기준스탯 72종'!D69*H1542</x:f>
        <x:v>1.4400000000000004</x:v>
      </x:c>
      <x:c r="AA1542" s="15" t="n">
        <x:f>'기준스탯 72종'!E69*H1542</x:f>
        <x:v>1.0800000000000003</x:v>
      </x:c>
      <x:c r="AB1542" s="15" t="n">
        <x:f>'기준스탯 72종'!F69*H1542</x:f>
        <x:v>1.0800000000000003</x:v>
      </x:c>
      <x:c r="AC1542" s="15" t="n">
        <x:f>'기준스탯 72종'!G69*H1542</x:f>
        <x:v>1.6200000000000006</x:v>
      </x:c>
      <x:c r="AD1542" s="15" t="n">
        <x:f>'기준스탯 72종'!H69*H1542</x:f>
        <x:v>0.7200000000000002</x:v>
      </x:c>
      <x:c r="AE1542" s="15" t="n">
        <x:f>'기준스탯 72종'!I69*H1542</x:f>
        <x:v>0.9000000000000002</x:v>
      </x:c>
      <x:c r="AF1542" s="15" t="n">
        <x:f>'기준스탯 72종'!J69*H1542</x:f>
        <x:v>0.9000000000000002</x:v>
      </x:c>
      <x:c r="AG1542" s="15" t="n">
        <x:f>'기준스탯 72종'!K69*H1542</x:f>
        <x:v>0.3600000000000001</x:v>
      </x:c>
    </x:row>
    <x:row r="1543" ht="28" customHeight="1">
      <x:c r="A1543" s="2" t="n">
        <x:v>1536</x:v>
      </x:c>
      <x:c r="B1543" s="2" t="n">
        <x:v>62</x:v>
      </x:c>
      <x:c r="C1543" s="2" t="str">
        <x:v>물병자리</x:v>
      </x:c>
      <x:c r="D1543" s="2" t="str">
        <x:v>마도사</x:v>
      </x:c>
      <x:c r="E1543" s="2" t="n">
        <x:v>1</x:v>
      </x:c>
      <x:c r="F1543" s="2" t="n">
        <x:v>3</x:v>
      </x:c>
      <x:c r="G1543" s="14" t="n">
        <x:f>('레벨 계산식'!$E$4-E1543)*'레벨 계산식'!$B$5</x:f>
        <x:v>0.5599999999999999</x:v>
      </x:c>
      <x:c r="H1543" s="14" t="n">
        <x:f>('등급 계산식'!$E$4-F1543)*'등급 계산식'!$B$5</x:f>
        <x:v>0.12000000000000002</x:v>
      </x:c>
      <x:c r="I1543" s="14" t="n">
        <x:f>1-G1543-H1543</x:f>
        <x:v>0.32000000000000006</x:v>
      </x:c>
      <x:c r="J1543" s="2" t="n">
        <x:f>MAX(1,ROUND('기준스탯 72종'!D69-R1543-Z1543,0))</x:f>
        <x:v>3</x:v>
      </x:c>
      <x:c r="K1543" s="2" t="n">
        <x:f>MAX(1,ROUND('기준스탯 72종'!E69-S1543-AA1543,0))</x:f>
        <x:v>2</x:v>
      </x:c>
      <x:c r="L1543" s="2" t="n">
        <x:f>MAX(1,ROUND('기준스탯 72종'!F69-T1543-AB1543,0))</x:f>
        <x:v>2</x:v>
      </x:c>
      <x:c r="M1543" s="2" t="n">
        <x:f>MAX(1,ROUND('기준스탯 72종'!G69-U1543-AC1543,0))</x:f>
        <x:v>3</x:v>
      </x:c>
      <x:c r="N1543" s="2" t="n">
        <x:f>MAX(0,ROUND('기준스탯 72종'!H69-V1543-AD1543,0))</x:f>
        <x:v>1</x:v>
      </x:c>
      <x:c r="O1543" s="2" t="n">
        <x:f>MAX(0,ROUND('기준스탯 72종'!I69-W1543-AE1543,0))</x:f>
        <x:v>2</x:v>
      </x:c>
      <x:c r="P1543" s="2" t="n">
        <x:f>MAX(0,ROUND('기준스탯 72종'!J69-X1543-AF1543,0))</x:f>
        <x:v>2</x:v>
      </x:c>
      <x:c r="Q1543" s="2" t="n">
        <x:f>MAX(0,ROUND('기준스탯 72종'!K69-Y1543-AG1543,0))</x:f>
        <x:v>1</x:v>
      </x:c>
      <x:c r="R1543" s="15" t="n">
        <x:f>'기준스탯 72종'!D69*G1543</x:f>
        <x:v>4.4799999999999995</x:v>
      </x:c>
      <x:c r="S1543" s="15" t="n">
        <x:f>'기준스탯 72종'!E69*G1543</x:f>
        <x:v>3.3599999999999994</x:v>
      </x:c>
      <x:c r="T1543" s="15" t="n">
        <x:f>'기준스탯 72종'!F69*G1543</x:f>
        <x:v>3.3599999999999994</x:v>
      </x:c>
      <x:c r="U1543" s="15" t="n">
        <x:f>'기준스탯 72종'!G69*G1543</x:f>
        <x:v>5.039999999999999</x:v>
      </x:c>
      <x:c r="V1543" s="15" t="n">
        <x:f>'기준스탯 72종'!H69*G1543</x:f>
        <x:v>2.2399999999999998</x:v>
      </x:c>
      <x:c r="W1543" s="15" t="n">
        <x:f>'기준스탯 72종'!I69*G1543</x:f>
        <x:v>2.8</x:v>
      </x:c>
      <x:c r="X1543" s="15" t="n">
        <x:f>'기준스탯 72종'!J69*G1543</x:f>
        <x:v>2.8</x:v>
      </x:c>
      <x:c r="Y1543" s="15" t="n">
        <x:f>'기준스탯 72종'!K69*G1543</x:f>
        <x:v>1.1199999999999999</x:v>
      </x:c>
      <x:c r="Z1543" s="15" t="n">
        <x:f>'기준스탯 72종'!D69*H1543</x:f>
        <x:v>0.9600000000000002</x:v>
      </x:c>
      <x:c r="AA1543" s="15" t="n">
        <x:f>'기준스탯 72종'!E69*H1543</x:f>
        <x:v>0.7200000000000002</x:v>
      </x:c>
      <x:c r="AB1543" s="15" t="n">
        <x:f>'기준스탯 72종'!F69*H1543</x:f>
        <x:v>0.7200000000000002</x:v>
      </x:c>
      <x:c r="AC1543" s="15" t="n">
        <x:f>'기준스탯 72종'!G69*H1543</x:f>
        <x:v>1.0800000000000003</x:v>
      </x:c>
      <x:c r="AD1543" s="15" t="n">
        <x:f>'기준스탯 72종'!H69*H1543</x:f>
        <x:v>0.4800000000000001</x:v>
      </x:c>
      <x:c r="AE1543" s="15" t="n">
        <x:f>'기준스탯 72종'!I69*H1543</x:f>
        <x:v>0.6000000000000001</x:v>
      </x:c>
      <x:c r="AF1543" s="15" t="n">
        <x:f>'기준스탯 72종'!J69*H1543</x:f>
        <x:v>0.6000000000000001</x:v>
      </x:c>
      <x:c r="AG1543" s="15" t="n">
        <x:f>'기준스탯 72종'!K69*H1543</x:f>
        <x:v>0.24000000000000005</x:v>
      </x:c>
    </x:row>
    <x:row r="1544" ht="28" customHeight="1">
      <x:c r="A1544" s="2" t="n">
        <x:v>1537</x:v>
      </x:c>
      <x:c r="B1544" s="2" t="n">
        <x:v>62</x:v>
      </x:c>
      <x:c r="C1544" s="2" t="str">
        <x:v>물병자리</x:v>
      </x:c>
      <x:c r="D1544" s="2" t="str">
        <x:v>마도사</x:v>
      </x:c>
      <x:c r="E1544" s="2" t="n">
        <x:v>2</x:v>
      </x:c>
      <x:c r="F1544" s="2" t="n">
        <x:v>3</x:v>
      </x:c>
      <x:c r="G1544" s="14" t="n">
        <x:f>('레벨 계산식'!$E$4-E1544)*'레벨 계산식'!$B$5</x:f>
        <x:v>0.41999999999999993</x:v>
      </x:c>
      <x:c r="H1544" s="14" t="n">
        <x:f>('등급 계산식'!$E$4-F1544)*'등급 계산식'!$B$5</x:f>
        <x:v>0.12000000000000002</x:v>
      </x:c>
      <x:c r="I1544" s="14" t="n">
        <x:f>1-G1544-H1544</x:f>
        <x:v>0.4600000000000001</x:v>
      </x:c>
      <x:c r="J1544" s="2" t="n">
        <x:f>MAX(1,ROUND('기준스탯 72종'!D69-R1544-Z1544,0))</x:f>
        <x:v>4</x:v>
      </x:c>
      <x:c r="K1544" s="2" t="n">
        <x:f>MAX(1,ROUND('기준스탯 72종'!E69-S1544-AA1544,0))</x:f>
        <x:v>3</x:v>
      </x:c>
      <x:c r="L1544" s="2" t="n">
        <x:f>MAX(1,ROUND('기준스탯 72종'!F69-T1544-AB1544,0))</x:f>
        <x:v>3</x:v>
      </x:c>
      <x:c r="M1544" s="2" t="n">
        <x:f>MAX(1,ROUND('기준스탯 72종'!G69-U1544-AC1544,0))</x:f>
        <x:v>4</x:v>
      </x:c>
      <x:c r="N1544" s="2" t="n">
        <x:f>MAX(0,ROUND('기준스탯 72종'!H69-V1544-AD1544,0))</x:f>
        <x:v>2</x:v>
      </x:c>
      <x:c r="O1544" s="2" t="n">
        <x:f>MAX(0,ROUND('기준스탯 72종'!I69-W1544-AE1544,0))</x:f>
        <x:v>2</x:v>
      </x:c>
      <x:c r="P1544" s="2" t="n">
        <x:f>MAX(0,ROUND('기준스탯 72종'!J69-X1544-AF1544,0))</x:f>
        <x:v>2</x:v>
      </x:c>
      <x:c r="Q1544" s="2" t="n">
        <x:f>MAX(0,ROUND('기준스탯 72종'!K69-Y1544-AG1544,0))</x:f>
        <x:v>1</x:v>
      </x:c>
      <x:c r="R1544" s="15" t="n">
        <x:f>'기준스탯 72종'!D69*G1544</x:f>
        <x:v>3.3599999999999994</x:v>
      </x:c>
      <x:c r="S1544" s="15" t="n">
        <x:f>'기준스탯 72종'!E69*G1544</x:f>
        <x:v>2.5199999999999996</x:v>
      </x:c>
      <x:c r="T1544" s="15" t="n">
        <x:f>'기준스탯 72종'!F69*G1544</x:f>
        <x:v>2.5199999999999996</x:v>
      </x:c>
      <x:c r="U1544" s="15" t="n">
        <x:f>'기준스탯 72종'!G69*G1544</x:f>
        <x:v>3.7799999999999994</x:v>
      </x:c>
      <x:c r="V1544" s="15" t="n">
        <x:f>'기준스탯 72종'!H69*G1544</x:f>
        <x:v>1.6799999999999997</x:v>
      </x:c>
      <x:c r="W1544" s="15" t="n">
        <x:f>'기준스탯 72종'!I69*G1544</x:f>
        <x:v>2.0999999999999996</x:v>
      </x:c>
      <x:c r="X1544" s="15" t="n">
        <x:f>'기준스탯 72종'!J69*G1544</x:f>
        <x:v>2.0999999999999996</x:v>
      </x:c>
      <x:c r="Y1544" s="15" t="n">
        <x:f>'기준스탯 72종'!K69*G1544</x:f>
        <x:v>0.8399999999999999</x:v>
      </x:c>
      <x:c r="Z1544" s="15" t="n">
        <x:f>'기준스탯 72종'!D69*H1544</x:f>
        <x:v>0.9600000000000002</x:v>
      </x:c>
      <x:c r="AA1544" s="15" t="n">
        <x:f>'기준스탯 72종'!E69*H1544</x:f>
        <x:v>0.7200000000000002</x:v>
      </x:c>
      <x:c r="AB1544" s="15" t="n">
        <x:f>'기준스탯 72종'!F69*H1544</x:f>
        <x:v>0.7200000000000002</x:v>
      </x:c>
      <x:c r="AC1544" s="15" t="n">
        <x:f>'기준스탯 72종'!G69*H1544</x:f>
        <x:v>1.0800000000000003</x:v>
      </x:c>
      <x:c r="AD1544" s="15" t="n">
        <x:f>'기준스탯 72종'!H69*H1544</x:f>
        <x:v>0.4800000000000001</x:v>
      </x:c>
      <x:c r="AE1544" s="15" t="n">
        <x:f>'기준스탯 72종'!I69*H1544</x:f>
        <x:v>0.6000000000000001</x:v>
      </x:c>
      <x:c r="AF1544" s="15" t="n">
        <x:f>'기준스탯 72종'!J69*H1544</x:f>
        <x:v>0.6000000000000001</x:v>
      </x:c>
      <x:c r="AG1544" s="15" t="n">
        <x:f>'기준스탯 72종'!K69*H1544</x:f>
        <x:v>0.24000000000000005</x:v>
      </x:c>
    </x:row>
    <x:row r="1545" ht="28" customHeight="1">
      <x:c r="A1545" s="2" t="n">
        <x:v>1538</x:v>
      </x:c>
      <x:c r="B1545" s="2" t="n">
        <x:v>62</x:v>
      </x:c>
      <x:c r="C1545" s="2" t="str">
        <x:v>물병자리</x:v>
      </x:c>
      <x:c r="D1545" s="2" t="str">
        <x:v>마도사</x:v>
      </x:c>
      <x:c r="E1545" s="2" t="n">
        <x:v>3</x:v>
      </x:c>
      <x:c r="F1545" s="2" t="n">
        <x:v>3</x:v>
      </x:c>
      <x:c r="G1545" s="14" t="n">
        <x:f>('레벨 계산식'!$E$4-E1545)*'레벨 계산식'!$B$5</x:f>
        <x:v>0.27999999999999997</x:v>
      </x:c>
      <x:c r="H1545" s="14" t="n">
        <x:f>('등급 계산식'!$E$4-F1545)*'등급 계산식'!$B$5</x:f>
        <x:v>0.12000000000000002</x:v>
      </x:c>
      <x:c r="I1545" s="14" t="n">
        <x:f>1-G1545-H1545</x:f>
        <x:v>0.6</x:v>
      </x:c>
      <x:c r="J1545" s="2" t="n">
        <x:f>MAX(1,ROUND('기준스탯 72종'!D69-R1545-Z1545,0))</x:f>
        <x:v>5</x:v>
      </x:c>
      <x:c r="K1545" s="2" t="n">
        <x:f>MAX(1,ROUND('기준스탯 72종'!E69-S1545-AA1545,0))</x:f>
        <x:v>4</x:v>
      </x:c>
      <x:c r="L1545" s="2" t="n">
        <x:f>MAX(1,ROUND('기준스탯 72종'!F69-T1545-AB1545,0))</x:f>
        <x:v>4</x:v>
      </x:c>
      <x:c r="M1545" s="2" t="n">
        <x:f>MAX(1,ROUND('기준스탯 72종'!G69-U1545-AC1545,0))</x:f>
        <x:v>5</x:v>
      </x:c>
      <x:c r="N1545" s="2" t="n">
        <x:f>MAX(0,ROUND('기준스탯 72종'!H69-V1545-AD1545,0))</x:f>
        <x:v>2</x:v>
      </x:c>
      <x:c r="O1545" s="2" t="n">
        <x:f>MAX(0,ROUND('기준스탯 72종'!I69-W1545-AE1545,0))</x:f>
        <x:v>3</x:v>
      </x:c>
      <x:c r="P1545" s="2" t="n">
        <x:f>MAX(0,ROUND('기준스탯 72종'!J69-X1545-AF1545,0))</x:f>
        <x:v>3</x:v>
      </x:c>
      <x:c r="Q1545" s="2" t="n">
        <x:f>MAX(0,ROUND('기준스탯 72종'!K69-Y1545-AG1545,0))</x:f>
        <x:v>1</x:v>
      </x:c>
      <x:c r="R1545" s="15" t="n">
        <x:f>'기준스탯 72종'!D69*G1545</x:f>
        <x:v>2.2399999999999998</x:v>
      </x:c>
      <x:c r="S1545" s="15" t="n">
        <x:f>'기준스탯 72종'!E69*G1545</x:f>
        <x:v>1.6799999999999997</x:v>
      </x:c>
      <x:c r="T1545" s="15" t="n">
        <x:f>'기준스탯 72종'!F69*G1545</x:f>
        <x:v>1.6799999999999997</x:v>
      </x:c>
      <x:c r="U1545" s="15" t="n">
        <x:f>'기준스탯 72종'!G69*G1545</x:f>
        <x:v>2.5199999999999996</x:v>
      </x:c>
      <x:c r="V1545" s="15" t="n">
        <x:f>'기준스탯 72종'!H69*G1545</x:f>
        <x:v>1.1199999999999999</x:v>
      </x:c>
      <x:c r="W1545" s="15" t="n">
        <x:f>'기준스탯 72종'!I69*G1545</x:f>
        <x:v>1.4</x:v>
      </x:c>
      <x:c r="X1545" s="15" t="n">
        <x:f>'기준스탯 72종'!J69*G1545</x:f>
        <x:v>1.4</x:v>
      </x:c>
      <x:c r="Y1545" s="15" t="n">
        <x:f>'기준스탯 72종'!K69*G1545</x:f>
        <x:v>0.5599999999999999</x:v>
      </x:c>
      <x:c r="Z1545" s="15" t="n">
        <x:f>'기준스탯 72종'!D69*H1545</x:f>
        <x:v>0.9600000000000002</x:v>
      </x:c>
      <x:c r="AA1545" s="15" t="n">
        <x:f>'기준스탯 72종'!E69*H1545</x:f>
        <x:v>0.7200000000000002</x:v>
      </x:c>
      <x:c r="AB1545" s="15" t="n">
        <x:f>'기준스탯 72종'!F69*H1545</x:f>
        <x:v>0.7200000000000002</x:v>
      </x:c>
      <x:c r="AC1545" s="15" t="n">
        <x:f>'기준스탯 72종'!G69*H1545</x:f>
        <x:v>1.0800000000000003</x:v>
      </x:c>
      <x:c r="AD1545" s="15" t="n">
        <x:f>'기준스탯 72종'!H69*H1545</x:f>
        <x:v>0.4800000000000001</x:v>
      </x:c>
      <x:c r="AE1545" s="15" t="n">
        <x:f>'기준스탯 72종'!I69*H1545</x:f>
        <x:v>0.6000000000000001</x:v>
      </x:c>
      <x:c r="AF1545" s="15" t="n">
        <x:f>'기준스탯 72종'!J69*H1545</x:f>
        <x:v>0.6000000000000001</x:v>
      </x:c>
      <x:c r="AG1545" s="15" t="n">
        <x:f>'기준스탯 72종'!K69*H1545</x:f>
        <x:v>0.24000000000000005</x:v>
      </x:c>
    </x:row>
    <x:row r="1546" ht="28" customHeight="1">
      <x:c r="A1546" s="2" t="n">
        <x:v>1539</x:v>
      </x:c>
      <x:c r="B1546" s="2" t="n">
        <x:v>62</x:v>
      </x:c>
      <x:c r="C1546" s="2" t="str">
        <x:v>물병자리</x:v>
      </x:c>
      <x:c r="D1546" s="2" t="str">
        <x:v>마도사</x:v>
      </x:c>
      <x:c r="E1546" s="2" t="n">
        <x:v>4</x:v>
      </x:c>
      <x:c r="F1546" s="2" t="n">
        <x:v>3</x:v>
      </x:c>
      <x:c r="G1546" s="14" t="n">
        <x:f>('레벨 계산식'!$E$4-E1546)*'레벨 계산식'!$B$5</x:f>
        <x:v>0.13999999999999999</x:v>
      </x:c>
      <x:c r="H1546" s="14" t="n">
        <x:f>('등급 계산식'!$E$4-F1546)*'등급 계산식'!$B$5</x:f>
        <x:v>0.12000000000000002</x:v>
      </x:c>
      <x:c r="I1546" s="14" t="n">
        <x:f>1-G1546-H1546</x:f>
        <x:v>0.74</x:v>
      </x:c>
      <x:c r="J1546" s="2" t="n">
        <x:f>MAX(1,ROUND('기준스탯 72종'!D69-R1546-Z1546,0))</x:f>
        <x:v>6</x:v>
      </x:c>
      <x:c r="K1546" s="2" t="n">
        <x:f>MAX(1,ROUND('기준스탯 72종'!E69-S1546-AA1546,0))</x:f>
        <x:v>4</x:v>
      </x:c>
      <x:c r="L1546" s="2" t="n">
        <x:f>MAX(1,ROUND('기준스탯 72종'!F69-T1546-AB1546,0))</x:f>
        <x:v>4</x:v>
      </x:c>
      <x:c r="M1546" s="2" t="n">
        <x:f>MAX(1,ROUND('기준스탯 72종'!G69-U1546-AC1546,0))</x:f>
        <x:v>7</x:v>
      </x:c>
      <x:c r="N1546" s="2" t="n">
        <x:f>MAX(0,ROUND('기준스탯 72종'!H69-V1546-AD1546,0))</x:f>
        <x:v>3</x:v>
      </x:c>
      <x:c r="O1546" s="2" t="n">
        <x:f>MAX(0,ROUND('기준스탯 72종'!I69-W1546-AE1546,0))</x:f>
        <x:v>4</x:v>
      </x:c>
      <x:c r="P1546" s="2" t="n">
        <x:f>MAX(0,ROUND('기준스탯 72종'!J69-X1546-AF1546,0))</x:f>
        <x:v>4</x:v>
      </x:c>
      <x:c r="Q1546" s="2" t="n">
        <x:f>MAX(0,ROUND('기준스탯 72종'!K69-Y1546-AG1546,0))</x:f>
        <x:v>1</x:v>
      </x:c>
      <x:c r="R1546" s="15" t="n">
        <x:f>'기준스탯 72종'!D69*G1546</x:f>
        <x:v>1.1199999999999999</x:v>
      </x:c>
      <x:c r="S1546" s="15" t="n">
        <x:f>'기준스탯 72종'!E69*G1546</x:f>
        <x:v>0.8399999999999999</x:v>
      </x:c>
      <x:c r="T1546" s="15" t="n">
        <x:f>'기준스탯 72종'!F69*G1546</x:f>
        <x:v>0.8399999999999999</x:v>
      </x:c>
      <x:c r="U1546" s="15" t="n">
        <x:f>'기준스탯 72종'!G69*G1546</x:f>
        <x:v>1.2599999999999998</x:v>
      </x:c>
      <x:c r="V1546" s="15" t="n">
        <x:f>'기준스탯 72종'!H69*G1546</x:f>
        <x:v>0.5599999999999999</x:v>
      </x:c>
      <x:c r="W1546" s="15" t="n">
        <x:f>'기준스탯 72종'!I69*G1546</x:f>
        <x:v>0.7</x:v>
      </x:c>
      <x:c r="X1546" s="15" t="n">
        <x:f>'기준스탯 72종'!J69*G1546</x:f>
        <x:v>0.7</x:v>
      </x:c>
      <x:c r="Y1546" s="15" t="n">
        <x:f>'기준스탯 72종'!K69*G1546</x:f>
        <x:v>0.27999999999999997</x:v>
      </x:c>
      <x:c r="Z1546" s="15" t="n">
        <x:f>'기준스탯 72종'!D69*H1546</x:f>
        <x:v>0.9600000000000002</x:v>
      </x:c>
      <x:c r="AA1546" s="15" t="n">
        <x:f>'기준스탯 72종'!E69*H1546</x:f>
        <x:v>0.7200000000000002</x:v>
      </x:c>
      <x:c r="AB1546" s="15" t="n">
        <x:f>'기준스탯 72종'!F69*H1546</x:f>
        <x:v>0.7200000000000002</x:v>
      </x:c>
      <x:c r="AC1546" s="15" t="n">
        <x:f>'기준스탯 72종'!G69*H1546</x:f>
        <x:v>1.0800000000000003</x:v>
      </x:c>
      <x:c r="AD1546" s="15" t="n">
        <x:f>'기준스탯 72종'!H69*H1546</x:f>
        <x:v>0.4800000000000001</x:v>
      </x:c>
      <x:c r="AE1546" s="15" t="n">
        <x:f>'기준스탯 72종'!I69*H1546</x:f>
        <x:v>0.6000000000000001</x:v>
      </x:c>
      <x:c r="AF1546" s="15" t="n">
        <x:f>'기준스탯 72종'!J69*H1546</x:f>
        <x:v>0.6000000000000001</x:v>
      </x:c>
      <x:c r="AG1546" s="15" t="n">
        <x:f>'기준스탯 72종'!K69*H1546</x:f>
        <x:v>0.24000000000000005</x:v>
      </x:c>
    </x:row>
    <x:row r="1547" ht="28" customHeight="1">
      <x:c r="A1547" s="2" t="n">
        <x:v>1540</x:v>
      </x:c>
      <x:c r="B1547" s="2" t="n">
        <x:v>62</x:v>
      </x:c>
      <x:c r="C1547" s="2" t="str">
        <x:v>물병자리</x:v>
      </x:c>
      <x:c r="D1547" s="2" t="str">
        <x:v>마도사</x:v>
      </x:c>
      <x:c r="E1547" s="2" t="n">
        <x:v>5</x:v>
      </x:c>
      <x:c r="F1547" s="2" t="n">
        <x:v>3</x:v>
      </x:c>
      <x:c r="G1547" s="14" t="n">
        <x:f>('레벨 계산식'!$E$4-E1547)*'레벨 계산식'!$B$5</x:f>
        <x:v>0</x:v>
      </x:c>
      <x:c r="H1547" s="14" t="n">
        <x:f>('등급 계산식'!$E$4-F1547)*'등급 계산식'!$B$5</x:f>
        <x:v>0.12000000000000002</x:v>
      </x:c>
      <x:c r="I1547" s="14" t="n">
        <x:f>1-G1547-H1547</x:f>
        <x:v>0.88</x:v>
      </x:c>
      <x:c r="J1547" s="2" t="n">
        <x:f>MAX(1,ROUND('기준스탯 72종'!D69-R1547-Z1547,0))</x:f>
        <x:v>7</x:v>
      </x:c>
      <x:c r="K1547" s="2" t="n">
        <x:f>MAX(1,ROUND('기준스탯 72종'!E69-S1547-AA1547,0))</x:f>
        <x:v>5</x:v>
      </x:c>
      <x:c r="L1547" s="2" t="n">
        <x:f>MAX(1,ROUND('기준스탯 72종'!F69-T1547-AB1547,0))</x:f>
        <x:v>5</x:v>
      </x:c>
      <x:c r="M1547" s="2" t="n">
        <x:f>MAX(1,ROUND('기준스탯 72종'!G69-U1547-AC1547,0))</x:f>
        <x:v>8</x:v>
      </x:c>
      <x:c r="N1547" s="2" t="n">
        <x:f>MAX(0,ROUND('기준스탯 72종'!H69-V1547-AD1547,0))</x:f>
        <x:v>4</x:v>
      </x:c>
      <x:c r="O1547" s="2" t="n">
        <x:f>MAX(0,ROUND('기준스탯 72종'!I69-W1547-AE1547,0))</x:f>
        <x:v>4</x:v>
      </x:c>
      <x:c r="P1547" s="2" t="n">
        <x:f>MAX(0,ROUND('기준스탯 72종'!J69-X1547-AF1547,0))</x:f>
        <x:v>4</x:v>
      </x:c>
      <x:c r="Q1547" s="2" t="n">
        <x:f>MAX(0,ROUND('기준스탯 72종'!K69-Y1547-AG1547,0))</x:f>
        <x:v>2</x:v>
      </x:c>
      <x:c r="R1547" s="15" t="n">
        <x:f>'기준스탯 72종'!D69*G1547</x:f>
        <x:v>0</x:v>
      </x:c>
      <x:c r="S1547" s="15" t="n">
        <x:f>'기준스탯 72종'!E69*G1547</x:f>
        <x:v>0</x:v>
      </x:c>
      <x:c r="T1547" s="15" t="n">
        <x:f>'기준스탯 72종'!F69*G1547</x:f>
        <x:v>0</x:v>
      </x:c>
      <x:c r="U1547" s="15" t="n">
        <x:f>'기준스탯 72종'!G69*G1547</x:f>
        <x:v>0</x:v>
      </x:c>
      <x:c r="V1547" s="15" t="n">
        <x:f>'기준스탯 72종'!H69*G1547</x:f>
        <x:v>0</x:v>
      </x:c>
      <x:c r="W1547" s="15" t="n">
        <x:f>'기준스탯 72종'!I69*G1547</x:f>
        <x:v>0</x:v>
      </x:c>
      <x:c r="X1547" s="15" t="n">
        <x:f>'기준스탯 72종'!J69*G1547</x:f>
        <x:v>0</x:v>
      </x:c>
      <x:c r="Y1547" s="15" t="n">
        <x:f>'기준스탯 72종'!K69*G1547</x:f>
        <x:v>0</x:v>
      </x:c>
      <x:c r="Z1547" s="15" t="n">
        <x:f>'기준스탯 72종'!D69*H1547</x:f>
        <x:v>0.9600000000000002</x:v>
      </x:c>
      <x:c r="AA1547" s="15" t="n">
        <x:f>'기준스탯 72종'!E69*H1547</x:f>
        <x:v>0.7200000000000002</x:v>
      </x:c>
      <x:c r="AB1547" s="15" t="n">
        <x:f>'기준스탯 72종'!F69*H1547</x:f>
        <x:v>0.7200000000000002</x:v>
      </x:c>
      <x:c r="AC1547" s="15" t="n">
        <x:f>'기준스탯 72종'!G69*H1547</x:f>
        <x:v>1.0800000000000003</x:v>
      </x:c>
      <x:c r="AD1547" s="15" t="n">
        <x:f>'기준스탯 72종'!H69*H1547</x:f>
        <x:v>0.4800000000000001</x:v>
      </x:c>
      <x:c r="AE1547" s="15" t="n">
        <x:f>'기준스탯 72종'!I69*H1547</x:f>
        <x:v>0.6000000000000001</x:v>
      </x:c>
      <x:c r="AF1547" s="15" t="n">
        <x:f>'기준스탯 72종'!J69*H1547</x:f>
        <x:v>0.6000000000000001</x:v>
      </x:c>
      <x:c r="AG1547" s="15" t="n">
        <x:f>'기준스탯 72종'!K69*H1547</x:f>
        <x:v>0.24000000000000005</x:v>
      </x:c>
    </x:row>
    <x:row r="1548" ht="28" customHeight="1">
      <x:c r="A1548" s="2" t="n">
        <x:v>1541</x:v>
      </x:c>
      <x:c r="B1548" s="2" t="n">
        <x:v>62</x:v>
      </x:c>
      <x:c r="C1548" s="2" t="str">
        <x:v>물병자리</x:v>
      </x:c>
      <x:c r="D1548" s="2" t="str">
        <x:v>마도사</x:v>
      </x:c>
      <x:c r="E1548" s="2" t="n">
        <x:v>1</x:v>
      </x:c>
      <x:c r="F1548" s="2" t="n">
        <x:v>4</x:v>
      </x:c>
      <x:c r="G1548" s="14" t="n">
        <x:f>('레벨 계산식'!$E$4-E1548)*'레벨 계산식'!$B$5</x:f>
        <x:v>0.5599999999999999</x:v>
      </x:c>
      <x:c r="H1548" s="14" t="n">
        <x:f>('등급 계산식'!$E$4-F1548)*'등급 계산식'!$B$5</x:f>
        <x:v>0.06000000000000001</x:v>
      </x:c>
      <x:c r="I1548" s="14" t="n">
        <x:f>1-G1548-H1548</x:f>
        <x:v>0.38000000000000006</x:v>
      </x:c>
      <x:c r="J1548" s="2" t="n">
        <x:f>MAX(1,ROUND('기준스탯 72종'!D69-R1548-Z1548,0))</x:f>
        <x:v>3</x:v>
      </x:c>
      <x:c r="K1548" s="2" t="n">
        <x:f>MAX(1,ROUND('기준스탯 72종'!E69-S1548-AA1548,0))</x:f>
        <x:v>2</x:v>
      </x:c>
      <x:c r="L1548" s="2" t="n">
        <x:f>MAX(1,ROUND('기준스탯 72종'!F69-T1548-AB1548,0))</x:f>
        <x:v>2</x:v>
      </x:c>
      <x:c r="M1548" s="2" t="n">
        <x:f>MAX(1,ROUND('기준스탯 72종'!G69-U1548-AC1548,0))</x:f>
        <x:v>3</x:v>
      </x:c>
      <x:c r="N1548" s="2" t="n">
        <x:f>MAX(0,ROUND('기준스탯 72종'!H69-V1548-AD1548,0))</x:f>
        <x:v>2</x:v>
      </x:c>
      <x:c r="O1548" s="2" t="n">
        <x:f>MAX(0,ROUND('기준스탯 72종'!I69-W1548-AE1548,0))</x:f>
        <x:v>2</x:v>
      </x:c>
      <x:c r="P1548" s="2" t="n">
        <x:f>MAX(0,ROUND('기준스탯 72종'!J69-X1548-AF1548,0))</x:f>
        <x:v>2</x:v>
      </x:c>
      <x:c r="Q1548" s="2" t="n">
        <x:f>MAX(0,ROUND('기준스탯 72종'!K69-Y1548-AG1548,0))</x:f>
        <x:v>1</x:v>
      </x:c>
      <x:c r="R1548" s="15" t="n">
        <x:f>'기준스탯 72종'!D69*G1548</x:f>
        <x:v>4.4799999999999995</x:v>
      </x:c>
      <x:c r="S1548" s="15" t="n">
        <x:f>'기준스탯 72종'!E69*G1548</x:f>
        <x:v>3.3599999999999994</x:v>
      </x:c>
      <x:c r="T1548" s="15" t="n">
        <x:f>'기준스탯 72종'!F69*G1548</x:f>
        <x:v>3.3599999999999994</x:v>
      </x:c>
      <x:c r="U1548" s="15" t="n">
        <x:f>'기준스탯 72종'!G69*G1548</x:f>
        <x:v>5.039999999999999</x:v>
      </x:c>
      <x:c r="V1548" s="15" t="n">
        <x:f>'기준스탯 72종'!H69*G1548</x:f>
        <x:v>2.2399999999999998</x:v>
      </x:c>
      <x:c r="W1548" s="15" t="n">
        <x:f>'기준스탯 72종'!I69*G1548</x:f>
        <x:v>2.8</x:v>
      </x:c>
      <x:c r="X1548" s="15" t="n">
        <x:f>'기준스탯 72종'!J69*G1548</x:f>
        <x:v>2.8</x:v>
      </x:c>
      <x:c r="Y1548" s="15" t="n">
        <x:f>'기준스탯 72종'!K69*G1548</x:f>
        <x:v>1.1199999999999999</x:v>
      </x:c>
      <x:c r="Z1548" s="15" t="n">
        <x:f>'기준스탯 72종'!D69*H1548</x:f>
        <x:v>0.4800000000000001</x:v>
      </x:c>
      <x:c r="AA1548" s="15" t="n">
        <x:f>'기준스탯 72종'!E69*H1548</x:f>
        <x:v>0.3600000000000001</x:v>
      </x:c>
      <x:c r="AB1548" s="15" t="n">
        <x:f>'기준스탯 72종'!F69*H1548</x:f>
        <x:v>0.3600000000000001</x:v>
      </x:c>
      <x:c r="AC1548" s="15" t="n">
        <x:f>'기준스탯 72종'!G69*H1548</x:f>
        <x:v>0.5400000000000001</x:v>
      </x:c>
      <x:c r="AD1548" s="15" t="n">
        <x:f>'기준스탯 72종'!H69*H1548</x:f>
        <x:v>0.24000000000000005</x:v>
      </x:c>
      <x:c r="AE1548" s="15" t="n">
        <x:f>'기준스탯 72종'!I69*H1548</x:f>
        <x:v>0.30000000000000004</x:v>
      </x:c>
      <x:c r="AF1548" s="15" t="n">
        <x:f>'기준스탯 72종'!J69*H1548</x:f>
        <x:v>0.30000000000000004</x:v>
      </x:c>
      <x:c r="AG1548" s="15" t="n">
        <x:f>'기준스탯 72종'!K69*H1548</x:f>
        <x:v>0.12000000000000002</x:v>
      </x:c>
    </x:row>
    <x:row r="1549" ht="28" customHeight="1">
      <x:c r="A1549" s="2" t="n">
        <x:v>1542</x:v>
      </x:c>
      <x:c r="B1549" s="2" t="n">
        <x:v>62</x:v>
      </x:c>
      <x:c r="C1549" s="2" t="str">
        <x:v>물병자리</x:v>
      </x:c>
      <x:c r="D1549" s="2" t="str">
        <x:v>마도사</x:v>
      </x:c>
      <x:c r="E1549" s="2" t="n">
        <x:v>2</x:v>
      </x:c>
      <x:c r="F1549" s="2" t="n">
        <x:v>4</x:v>
      </x:c>
      <x:c r="G1549" s="14" t="n">
        <x:f>('레벨 계산식'!$E$4-E1549)*'레벨 계산식'!$B$5</x:f>
        <x:v>0.41999999999999993</x:v>
      </x:c>
      <x:c r="H1549" s="14" t="n">
        <x:f>('등급 계산식'!$E$4-F1549)*'등급 계산식'!$B$5</x:f>
        <x:v>0.06000000000000001</x:v>
      </x:c>
      <x:c r="I1549" s="14" t="n">
        <x:f>1-G1549-H1549</x:f>
        <x:v>0.52</x:v>
      </x:c>
      <x:c r="J1549" s="2" t="n">
        <x:f>MAX(1,ROUND('기준스탯 72종'!D69-R1549-Z1549,0))</x:f>
        <x:v>4</x:v>
      </x:c>
      <x:c r="K1549" s="2" t="n">
        <x:f>MAX(1,ROUND('기준스탯 72종'!E69-S1549-AA1549,0))</x:f>
        <x:v>3</x:v>
      </x:c>
      <x:c r="L1549" s="2" t="n">
        <x:f>MAX(1,ROUND('기준스탯 72종'!F69-T1549-AB1549,0))</x:f>
        <x:v>3</x:v>
      </x:c>
      <x:c r="M1549" s="2" t="n">
        <x:f>MAX(1,ROUND('기준스탯 72종'!G69-U1549-AC1549,0))</x:f>
        <x:v>5</x:v>
      </x:c>
      <x:c r="N1549" s="2" t="n">
        <x:f>MAX(0,ROUND('기준스탯 72종'!H69-V1549-AD1549,0))</x:f>
        <x:v>2</x:v>
      </x:c>
      <x:c r="O1549" s="2" t="n">
        <x:f>MAX(0,ROUND('기준스탯 72종'!I69-W1549-AE1549,0))</x:f>
        <x:v>3</x:v>
      </x:c>
      <x:c r="P1549" s="2" t="n">
        <x:f>MAX(0,ROUND('기준스탯 72종'!J69-X1549-AF1549,0))</x:f>
        <x:v>3</x:v>
      </x:c>
      <x:c r="Q1549" s="2" t="n">
        <x:f>MAX(0,ROUND('기준스탯 72종'!K69-Y1549-AG1549,0))</x:f>
        <x:v>1</x:v>
      </x:c>
      <x:c r="R1549" s="15" t="n">
        <x:f>'기준스탯 72종'!D69*G1549</x:f>
        <x:v>3.3599999999999994</x:v>
      </x:c>
      <x:c r="S1549" s="15" t="n">
        <x:f>'기준스탯 72종'!E69*G1549</x:f>
        <x:v>2.5199999999999996</x:v>
      </x:c>
      <x:c r="T1549" s="15" t="n">
        <x:f>'기준스탯 72종'!F69*G1549</x:f>
        <x:v>2.5199999999999996</x:v>
      </x:c>
      <x:c r="U1549" s="15" t="n">
        <x:f>'기준스탯 72종'!G69*G1549</x:f>
        <x:v>3.7799999999999994</x:v>
      </x:c>
      <x:c r="V1549" s="15" t="n">
        <x:f>'기준스탯 72종'!H69*G1549</x:f>
        <x:v>1.6799999999999997</x:v>
      </x:c>
      <x:c r="W1549" s="15" t="n">
        <x:f>'기준스탯 72종'!I69*G1549</x:f>
        <x:v>2.0999999999999996</x:v>
      </x:c>
      <x:c r="X1549" s="15" t="n">
        <x:f>'기준스탯 72종'!J69*G1549</x:f>
        <x:v>2.0999999999999996</x:v>
      </x:c>
      <x:c r="Y1549" s="15" t="n">
        <x:f>'기준스탯 72종'!K69*G1549</x:f>
        <x:v>0.8399999999999999</x:v>
      </x:c>
      <x:c r="Z1549" s="15" t="n">
        <x:f>'기준스탯 72종'!D69*H1549</x:f>
        <x:v>0.4800000000000001</x:v>
      </x:c>
      <x:c r="AA1549" s="15" t="n">
        <x:f>'기준스탯 72종'!E69*H1549</x:f>
        <x:v>0.3600000000000001</x:v>
      </x:c>
      <x:c r="AB1549" s="15" t="n">
        <x:f>'기준스탯 72종'!F69*H1549</x:f>
        <x:v>0.3600000000000001</x:v>
      </x:c>
      <x:c r="AC1549" s="15" t="n">
        <x:f>'기준스탯 72종'!G69*H1549</x:f>
        <x:v>0.5400000000000001</x:v>
      </x:c>
      <x:c r="AD1549" s="15" t="n">
        <x:f>'기준스탯 72종'!H69*H1549</x:f>
        <x:v>0.24000000000000005</x:v>
      </x:c>
      <x:c r="AE1549" s="15" t="n">
        <x:f>'기준스탯 72종'!I69*H1549</x:f>
        <x:v>0.30000000000000004</x:v>
      </x:c>
      <x:c r="AF1549" s="15" t="n">
        <x:f>'기준스탯 72종'!J69*H1549</x:f>
        <x:v>0.30000000000000004</x:v>
      </x:c>
      <x:c r="AG1549" s="15" t="n">
        <x:f>'기준스탯 72종'!K69*H1549</x:f>
        <x:v>0.12000000000000002</x:v>
      </x:c>
    </x:row>
    <x:row r="1550" ht="28" customHeight="1">
      <x:c r="A1550" s="2" t="n">
        <x:v>1543</x:v>
      </x:c>
      <x:c r="B1550" s="2" t="n">
        <x:v>62</x:v>
      </x:c>
      <x:c r="C1550" s="2" t="str">
        <x:v>물병자리</x:v>
      </x:c>
      <x:c r="D1550" s="2" t="str">
        <x:v>마도사</x:v>
      </x:c>
      <x:c r="E1550" s="2" t="n">
        <x:v>3</x:v>
      </x:c>
      <x:c r="F1550" s="2" t="n">
        <x:v>4</x:v>
      </x:c>
      <x:c r="G1550" s="14" t="n">
        <x:f>('레벨 계산식'!$E$4-E1550)*'레벨 계산식'!$B$5</x:f>
        <x:v>0.27999999999999997</x:v>
      </x:c>
      <x:c r="H1550" s="14" t="n">
        <x:f>('등급 계산식'!$E$4-F1550)*'등급 계산식'!$B$5</x:f>
        <x:v>0.06000000000000001</x:v>
      </x:c>
      <x:c r="I1550" s="14" t="n">
        <x:f>1-G1550-H1550</x:f>
        <x:v>0.6599999999999999</x:v>
      </x:c>
      <x:c r="J1550" s="2" t="n">
        <x:f>MAX(1,ROUND('기준스탯 72종'!D69-R1550-Z1550,0))</x:f>
        <x:v>5</x:v>
      </x:c>
      <x:c r="K1550" s="2" t="n">
        <x:f>MAX(1,ROUND('기준스탯 72종'!E69-S1550-AA1550,0))</x:f>
        <x:v>4</x:v>
      </x:c>
      <x:c r="L1550" s="2" t="n">
        <x:f>MAX(1,ROUND('기준스탯 72종'!F69-T1550-AB1550,0))</x:f>
        <x:v>4</x:v>
      </x:c>
      <x:c r="M1550" s="2" t="n">
        <x:f>MAX(1,ROUND('기준스탯 72종'!G69-U1550-AC1550,0))</x:f>
        <x:v>6</x:v>
      </x:c>
      <x:c r="N1550" s="2" t="n">
        <x:f>MAX(0,ROUND('기준스탯 72종'!H69-V1550-AD1550,0))</x:f>
        <x:v>3</x:v>
      </x:c>
      <x:c r="O1550" s="2" t="n">
        <x:f>MAX(0,ROUND('기준스탯 72종'!I69-W1550-AE1550,0))</x:f>
        <x:v>3</x:v>
      </x:c>
      <x:c r="P1550" s="2" t="n">
        <x:f>MAX(0,ROUND('기준스탯 72종'!J69-X1550-AF1550,0))</x:f>
        <x:v>3</x:v>
      </x:c>
      <x:c r="Q1550" s="2" t="n">
        <x:f>MAX(0,ROUND('기준스탯 72종'!K69-Y1550-AG1550,0))</x:f>
        <x:v>1</x:v>
      </x:c>
      <x:c r="R1550" s="15" t="n">
        <x:f>'기준스탯 72종'!D69*G1550</x:f>
        <x:v>2.2399999999999998</x:v>
      </x:c>
      <x:c r="S1550" s="15" t="n">
        <x:f>'기준스탯 72종'!E69*G1550</x:f>
        <x:v>1.6799999999999997</x:v>
      </x:c>
      <x:c r="T1550" s="15" t="n">
        <x:f>'기준스탯 72종'!F69*G1550</x:f>
        <x:v>1.6799999999999997</x:v>
      </x:c>
      <x:c r="U1550" s="15" t="n">
        <x:f>'기준스탯 72종'!G69*G1550</x:f>
        <x:v>2.5199999999999996</x:v>
      </x:c>
      <x:c r="V1550" s="15" t="n">
        <x:f>'기준스탯 72종'!H69*G1550</x:f>
        <x:v>1.1199999999999999</x:v>
      </x:c>
      <x:c r="W1550" s="15" t="n">
        <x:f>'기준스탯 72종'!I69*G1550</x:f>
        <x:v>1.4</x:v>
      </x:c>
      <x:c r="X1550" s="15" t="n">
        <x:f>'기준스탯 72종'!J69*G1550</x:f>
        <x:v>1.4</x:v>
      </x:c>
      <x:c r="Y1550" s="15" t="n">
        <x:f>'기준스탯 72종'!K69*G1550</x:f>
        <x:v>0.5599999999999999</x:v>
      </x:c>
      <x:c r="Z1550" s="15" t="n">
        <x:f>'기준스탯 72종'!D69*H1550</x:f>
        <x:v>0.4800000000000001</x:v>
      </x:c>
      <x:c r="AA1550" s="15" t="n">
        <x:f>'기준스탯 72종'!E69*H1550</x:f>
        <x:v>0.3600000000000001</x:v>
      </x:c>
      <x:c r="AB1550" s="15" t="n">
        <x:f>'기준스탯 72종'!F69*H1550</x:f>
        <x:v>0.3600000000000001</x:v>
      </x:c>
      <x:c r="AC1550" s="15" t="n">
        <x:f>'기준스탯 72종'!G69*H1550</x:f>
        <x:v>0.5400000000000001</x:v>
      </x:c>
      <x:c r="AD1550" s="15" t="n">
        <x:f>'기준스탯 72종'!H69*H1550</x:f>
        <x:v>0.24000000000000005</x:v>
      </x:c>
      <x:c r="AE1550" s="15" t="n">
        <x:f>'기준스탯 72종'!I69*H1550</x:f>
        <x:v>0.30000000000000004</x:v>
      </x:c>
      <x:c r="AF1550" s="15" t="n">
        <x:f>'기준스탯 72종'!J69*H1550</x:f>
        <x:v>0.30000000000000004</x:v>
      </x:c>
      <x:c r="AG1550" s="15" t="n">
        <x:f>'기준스탯 72종'!K69*H1550</x:f>
        <x:v>0.12000000000000002</x:v>
      </x:c>
    </x:row>
    <x:row r="1551" ht="28" customHeight="1">
      <x:c r="A1551" s="2" t="n">
        <x:v>1544</x:v>
      </x:c>
      <x:c r="B1551" s="2" t="n">
        <x:v>62</x:v>
      </x:c>
      <x:c r="C1551" s="2" t="str">
        <x:v>물병자리</x:v>
      </x:c>
      <x:c r="D1551" s="2" t="str">
        <x:v>마도사</x:v>
      </x:c>
      <x:c r="E1551" s="2" t="n">
        <x:v>4</x:v>
      </x:c>
      <x:c r="F1551" s="2" t="n">
        <x:v>4</x:v>
      </x:c>
      <x:c r="G1551" s="14" t="n">
        <x:f>('레벨 계산식'!$E$4-E1551)*'레벨 계산식'!$B$5</x:f>
        <x:v>0.13999999999999999</x:v>
      </x:c>
      <x:c r="H1551" s="14" t="n">
        <x:f>('등급 계산식'!$E$4-F1551)*'등급 계산식'!$B$5</x:f>
        <x:v>0.06000000000000001</x:v>
      </x:c>
      <x:c r="I1551" s="14" t="n">
        <x:f>1-G1551-H1551</x:f>
        <x:v>0.7999999999999999</x:v>
      </x:c>
      <x:c r="J1551" s="2" t="n">
        <x:f>MAX(1,ROUND('기준스탯 72종'!D69-R1551-Z1551,0))</x:f>
        <x:v>6</x:v>
      </x:c>
      <x:c r="K1551" s="2" t="n">
        <x:f>MAX(1,ROUND('기준스탯 72종'!E69-S1551-AA1551,0))</x:f>
        <x:v>5</x:v>
      </x:c>
      <x:c r="L1551" s="2" t="n">
        <x:f>MAX(1,ROUND('기준스탯 72종'!F69-T1551-AB1551,0))</x:f>
        <x:v>5</x:v>
      </x:c>
      <x:c r="M1551" s="2" t="n">
        <x:f>MAX(1,ROUND('기준스탯 72종'!G69-U1551-AC1551,0))</x:f>
        <x:v>7</x:v>
      </x:c>
      <x:c r="N1551" s="2" t="n">
        <x:f>MAX(0,ROUND('기준스탯 72종'!H69-V1551-AD1551,0))</x:f>
        <x:v>3</x:v>
      </x:c>
      <x:c r="O1551" s="2" t="n">
        <x:f>MAX(0,ROUND('기준스탯 72종'!I69-W1551-AE1551,0))</x:f>
        <x:v>4</x:v>
      </x:c>
      <x:c r="P1551" s="2" t="n">
        <x:f>MAX(0,ROUND('기준스탯 72종'!J69-X1551-AF1551,0))</x:f>
        <x:v>4</x:v>
      </x:c>
      <x:c r="Q1551" s="2" t="n">
        <x:f>MAX(0,ROUND('기준스탯 72종'!K69-Y1551-AG1551,0))</x:f>
        <x:v>2</x:v>
      </x:c>
      <x:c r="R1551" s="15" t="n">
        <x:f>'기준스탯 72종'!D69*G1551</x:f>
        <x:v>1.1199999999999999</x:v>
      </x:c>
      <x:c r="S1551" s="15" t="n">
        <x:f>'기준스탯 72종'!E69*G1551</x:f>
        <x:v>0.8399999999999999</x:v>
      </x:c>
      <x:c r="T1551" s="15" t="n">
        <x:f>'기준스탯 72종'!F69*G1551</x:f>
        <x:v>0.8399999999999999</x:v>
      </x:c>
      <x:c r="U1551" s="15" t="n">
        <x:f>'기준스탯 72종'!G69*G1551</x:f>
        <x:v>1.2599999999999998</x:v>
      </x:c>
      <x:c r="V1551" s="15" t="n">
        <x:f>'기준스탯 72종'!H69*G1551</x:f>
        <x:v>0.5599999999999999</x:v>
      </x:c>
      <x:c r="W1551" s="15" t="n">
        <x:f>'기준스탯 72종'!I69*G1551</x:f>
        <x:v>0.7</x:v>
      </x:c>
      <x:c r="X1551" s="15" t="n">
        <x:f>'기준스탯 72종'!J69*G1551</x:f>
        <x:v>0.7</x:v>
      </x:c>
      <x:c r="Y1551" s="15" t="n">
        <x:f>'기준스탯 72종'!K69*G1551</x:f>
        <x:v>0.27999999999999997</x:v>
      </x:c>
      <x:c r="Z1551" s="15" t="n">
        <x:f>'기준스탯 72종'!D69*H1551</x:f>
        <x:v>0.4800000000000001</x:v>
      </x:c>
      <x:c r="AA1551" s="15" t="n">
        <x:f>'기준스탯 72종'!E69*H1551</x:f>
        <x:v>0.3600000000000001</x:v>
      </x:c>
      <x:c r="AB1551" s="15" t="n">
        <x:f>'기준스탯 72종'!F69*H1551</x:f>
        <x:v>0.3600000000000001</x:v>
      </x:c>
      <x:c r="AC1551" s="15" t="n">
        <x:f>'기준스탯 72종'!G69*H1551</x:f>
        <x:v>0.5400000000000001</x:v>
      </x:c>
      <x:c r="AD1551" s="15" t="n">
        <x:f>'기준스탯 72종'!H69*H1551</x:f>
        <x:v>0.24000000000000005</x:v>
      </x:c>
      <x:c r="AE1551" s="15" t="n">
        <x:f>'기준스탯 72종'!I69*H1551</x:f>
        <x:v>0.30000000000000004</x:v>
      </x:c>
      <x:c r="AF1551" s="15" t="n">
        <x:f>'기준스탯 72종'!J69*H1551</x:f>
        <x:v>0.30000000000000004</x:v>
      </x:c>
      <x:c r="AG1551" s="15" t="n">
        <x:f>'기준스탯 72종'!K69*H1551</x:f>
        <x:v>0.12000000000000002</x:v>
      </x:c>
    </x:row>
    <x:row r="1552" ht="28" customHeight="1">
      <x:c r="A1552" s="2" t="n">
        <x:v>1545</x:v>
      </x:c>
      <x:c r="B1552" s="2" t="n">
        <x:v>62</x:v>
      </x:c>
      <x:c r="C1552" s="2" t="str">
        <x:v>물병자리</x:v>
      </x:c>
      <x:c r="D1552" s="2" t="str">
        <x:v>마도사</x:v>
      </x:c>
      <x:c r="E1552" s="2" t="n">
        <x:v>5</x:v>
      </x:c>
      <x:c r="F1552" s="2" t="n">
        <x:v>4</x:v>
      </x:c>
      <x:c r="G1552" s="14" t="n">
        <x:f>('레벨 계산식'!$E$4-E1552)*'레벨 계산식'!$B$5</x:f>
        <x:v>0</x:v>
      </x:c>
      <x:c r="H1552" s="14" t="n">
        <x:f>('등급 계산식'!$E$4-F1552)*'등급 계산식'!$B$5</x:f>
        <x:v>0.06000000000000001</x:v>
      </x:c>
      <x:c r="I1552" s="14" t="n">
        <x:f>1-G1552-H1552</x:f>
        <x:v>0.94</x:v>
      </x:c>
      <x:c r="J1552" s="2" t="n">
        <x:f>MAX(1,ROUND('기준스탯 72종'!D69-R1552-Z1552,0))</x:f>
        <x:v>8</x:v>
      </x:c>
      <x:c r="K1552" s="2" t="n">
        <x:f>MAX(1,ROUND('기준스탯 72종'!E69-S1552-AA1552,0))</x:f>
        <x:v>6</x:v>
      </x:c>
      <x:c r="L1552" s="2" t="n">
        <x:f>MAX(1,ROUND('기준스탯 72종'!F69-T1552-AB1552,0))</x:f>
        <x:v>6</x:v>
      </x:c>
      <x:c r="M1552" s="2" t="n">
        <x:f>MAX(1,ROUND('기준스탯 72종'!G69-U1552-AC1552,0))</x:f>
        <x:v>8</x:v>
      </x:c>
      <x:c r="N1552" s="2" t="n">
        <x:f>MAX(0,ROUND('기준스탯 72종'!H69-V1552-AD1552,0))</x:f>
        <x:v>4</x:v>
      </x:c>
      <x:c r="O1552" s="2" t="n">
        <x:f>MAX(0,ROUND('기준스탯 72종'!I69-W1552-AE1552,0))</x:f>
        <x:v>5</x:v>
      </x:c>
      <x:c r="P1552" s="2" t="n">
        <x:f>MAX(0,ROUND('기준스탯 72종'!J69-X1552-AF1552,0))</x:f>
        <x:v>5</x:v>
      </x:c>
      <x:c r="Q1552" s="2" t="n">
        <x:f>MAX(0,ROUND('기준스탯 72종'!K69-Y1552-AG1552,0))</x:f>
        <x:v>2</x:v>
      </x:c>
      <x:c r="R1552" s="15" t="n">
        <x:f>'기준스탯 72종'!D69*G1552</x:f>
        <x:v>0</x:v>
      </x:c>
      <x:c r="S1552" s="15" t="n">
        <x:f>'기준스탯 72종'!E69*G1552</x:f>
        <x:v>0</x:v>
      </x:c>
      <x:c r="T1552" s="15" t="n">
        <x:f>'기준스탯 72종'!F69*G1552</x:f>
        <x:v>0</x:v>
      </x:c>
      <x:c r="U1552" s="15" t="n">
        <x:f>'기준스탯 72종'!G69*G1552</x:f>
        <x:v>0</x:v>
      </x:c>
      <x:c r="V1552" s="15" t="n">
        <x:f>'기준스탯 72종'!H69*G1552</x:f>
        <x:v>0</x:v>
      </x:c>
      <x:c r="W1552" s="15" t="n">
        <x:f>'기준스탯 72종'!I69*G1552</x:f>
        <x:v>0</x:v>
      </x:c>
      <x:c r="X1552" s="15" t="n">
        <x:f>'기준스탯 72종'!J69*G1552</x:f>
        <x:v>0</x:v>
      </x:c>
      <x:c r="Y1552" s="15" t="n">
        <x:f>'기준스탯 72종'!K69*G1552</x:f>
        <x:v>0</x:v>
      </x:c>
      <x:c r="Z1552" s="15" t="n">
        <x:f>'기준스탯 72종'!D69*H1552</x:f>
        <x:v>0.4800000000000001</x:v>
      </x:c>
      <x:c r="AA1552" s="15" t="n">
        <x:f>'기준스탯 72종'!E69*H1552</x:f>
        <x:v>0.3600000000000001</x:v>
      </x:c>
      <x:c r="AB1552" s="15" t="n">
        <x:f>'기준스탯 72종'!F69*H1552</x:f>
        <x:v>0.3600000000000001</x:v>
      </x:c>
      <x:c r="AC1552" s="15" t="n">
        <x:f>'기준스탯 72종'!G69*H1552</x:f>
        <x:v>0.5400000000000001</x:v>
      </x:c>
      <x:c r="AD1552" s="15" t="n">
        <x:f>'기준스탯 72종'!H69*H1552</x:f>
        <x:v>0.24000000000000005</x:v>
      </x:c>
      <x:c r="AE1552" s="15" t="n">
        <x:f>'기준스탯 72종'!I69*H1552</x:f>
        <x:v>0.30000000000000004</x:v>
      </x:c>
      <x:c r="AF1552" s="15" t="n">
        <x:f>'기준스탯 72종'!J69*H1552</x:f>
        <x:v>0.30000000000000004</x:v>
      </x:c>
      <x:c r="AG1552" s="15" t="n">
        <x:f>'기준스탯 72종'!K69*H1552</x:f>
        <x:v>0.12000000000000002</x:v>
      </x:c>
    </x:row>
    <x:row r="1553" ht="28" customHeight="1">
      <x:c r="A1553" s="2" t="n">
        <x:v>1546</x:v>
      </x:c>
      <x:c r="B1553" s="2" t="n">
        <x:v>62</x:v>
      </x:c>
      <x:c r="C1553" s="2" t="str">
        <x:v>물병자리</x:v>
      </x:c>
      <x:c r="D1553" s="2" t="str">
        <x:v>마도사</x:v>
      </x:c>
      <x:c r="E1553" s="2" t="n">
        <x:v>1</x:v>
      </x:c>
      <x:c r="F1553" s="2" t="n">
        <x:v>5</x:v>
      </x:c>
      <x:c r="G1553" s="14" t="n">
        <x:f>('레벨 계산식'!$E$4-E1553)*'레벨 계산식'!$B$5</x:f>
        <x:v>0.5599999999999999</x:v>
      </x:c>
      <x:c r="H1553" s="14" t="n">
        <x:f>('등급 계산식'!$E$4-F1553)*'등급 계산식'!$B$5</x:f>
        <x:v>0</x:v>
      </x:c>
      <x:c r="I1553" s="14" t="n">
        <x:f>1-G1553-H1553</x:f>
        <x:v>0.44000000000000006</x:v>
      </x:c>
      <x:c r="J1553" s="2" t="n">
        <x:f>MAX(1,ROUND('기준스탯 72종'!D69-R1553-Z1553,0))</x:f>
        <x:v>4</x:v>
      </x:c>
      <x:c r="K1553" s="2" t="n">
        <x:f>MAX(1,ROUND('기준스탯 72종'!E69-S1553-AA1553,0))</x:f>
        <x:v>3</x:v>
      </x:c>
      <x:c r="L1553" s="2" t="n">
        <x:f>MAX(1,ROUND('기준스탯 72종'!F69-T1553-AB1553,0))</x:f>
        <x:v>3</x:v>
      </x:c>
      <x:c r="M1553" s="2" t="n">
        <x:f>MAX(1,ROUND('기준스탯 72종'!G69-U1553-AC1553,0))</x:f>
        <x:v>4</x:v>
      </x:c>
      <x:c r="N1553" s="2" t="n">
        <x:f>MAX(0,ROUND('기준스탯 72종'!H69-V1553-AD1553,0))</x:f>
        <x:v>2</x:v>
      </x:c>
      <x:c r="O1553" s="2" t="n">
        <x:f>MAX(0,ROUND('기준스탯 72종'!I69-W1553-AE1553,0))</x:f>
        <x:v>2</x:v>
      </x:c>
      <x:c r="P1553" s="2" t="n">
        <x:f>MAX(0,ROUND('기준스탯 72종'!J69-X1553-AF1553,0))</x:f>
        <x:v>2</x:v>
      </x:c>
      <x:c r="Q1553" s="2" t="n">
        <x:f>MAX(0,ROUND('기준스탯 72종'!K69-Y1553-AG1553,0))</x:f>
        <x:v>1</x:v>
      </x:c>
      <x:c r="R1553" s="15" t="n">
        <x:f>'기준스탯 72종'!D69*G1553</x:f>
        <x:v>4.4799999999999995</x:v>
      </x:c>
      <x:c r="S1553" s="15" t="n">
        <x:f>'기준스탯 72종'!E69*G1553</x:f>
        <x:v>3.3599999999999994</x:v>
      </x:c>
      <x:c r="T1553" s="15" t="n">
        <x:f>'기준스탯 72종'!F69*G1553</x:f>
        <x:v>3.3599999999999994</x:v>
      </x:c>
      <x:c r="U1553" s="15" t="n">
        <x:f>'기준스탯 72종'!G69*G1553</x:f>
        <x:v>5.039999999999999</x:v>
      </x:c>
      <x:c r="V1553" s="15" t="n">
        <x:f>'기준스탯 72종'!H69*G1553</x:f>
        <x:v>2.2399999999999998</x:v>
      </x:c>
      <x:c r="W1553" s="15" t="n">
        <x:f>'기준스탯 72종'!I69*G1553</x:f>
        <x:v>2.8</x:v>
      </x:c>
      <x:c r="X1553" s="15" t="n">
        <x:f>'기준스탯 72종'!J69*G1553</x:f>
        <x:v>2.8</x:v>
      </x:c>
      <x:c r="Y1553" s="15" t="n">
        <x:f>'기준스탯 72종'!K69*G1553</x:f>
        <x:v>1.1199999999999999</x:v>
      </x:c>
      <x:c r="Z1553" s="15" t="n">
        <x:f>'기준스탯 72종'!D69*H1553</x:f>
        <x:v>0</x:v>
      </x:c>
      <x:c r="AA1553" s="15" t="n">
        <x:f>'기준스탯 72종'!E69*H1553</x:f>
        <x:v>0</x:v>
      </x:c>
      <x:c r="AB1553" s="15" t="n">
        <x:f>'기준스탯 72종'!F69*H1553</x:f>
        <x:v>0</x:v>
      </x:c>
      <x:c r="AC1553" s="15" t="n">
        <x:f>'기준스탯 72종'!G69*H1553</x:f>
        <x:v>0</x:v>
      </x:c>
      <x:c r="AD1553" s="15" t="n">
        <x:f>'기준스탯 72종'!H69*H1553</x:f>
        <x:v>0</x:v>
      </x:c>
      <x:c r="AE1553" s="15" t="n">
        <x:f>'기준스탯 72종'!I69*H1553</x:f>
        <x:v>0</x:v>
      </x:c>
      <x:c r="AF1553" s="15" t="n">
        <x:f>'기준스탯 72종'!J69*H1553</x:f>
        <x:v>0</x:v>
      </x:c>
      <x:c r="AG1553" s="15" t="n">
        <x:f>'기준스탯 72종'!K69*H1553</x:f>
        <x:v>0</x:v>
      </x:c>
    </x:row>
    <x:row r="1554" ht="28" customHeight="1">
      <x:c r="A1554" s="2" t="n">
        <x:v>1547</x:v>
      </x:c>
      <x:c r="B1554" s="2" t="n">
        <x:v>62</x:v>
      </x:c>
      <x:c r="C1554" s="2" t="str">
        <x:v>물병자리</x:v>
      </x:c>
      <x:c r="D1554" s="2" t="str">
        <x:v>마도사</x:v>
      </x:c>
      <x:c r="E1554" s="2" t="n">
        <x:v>2</x:v>
      </x:c>
      <x:c r="F1554" s="2" t="n">
        <x:v>5</x:v>
      </x:c>
      <x:c r="G1554" s="14" t="n">
        <x:f>('레벨 계산식'!$E$4-E1554)*'레벨 계산식'!$B$5</x:f>
        <x:v>0.41999999999999993</x:v>
      </x:c>
      <x:c r="H1554" s="14" t="n">
        <x:f>('등급 계산식'!$E$4-F1554)*'등급 계산식'!$B$5</x:f>
        <x:v>0</x:v>
      </x:c>
      <x:c r="I1554" s="14" t="n">
        <x:f>1-G1554-H1554</x:f>
        <x:v>0.5800000000000001</x:v>
      </x:c>
      <x:c r="J1554" s="2" t="n">
        <x:f>MAX(1,ROUND('기준스탯 72종'!D69-R1554-Z1554,0))</x:f>
        <x:v>5</x:v>
      </x:c>
      <x:c r="K1554" s="2" t="n">
        <x:f>MAX(1,ROUND('기준스탯 72종'!E69-S1554-AA1554,0))</x:f>
        <x:v>3</x:v>
      </x:c>
      <x:c r="L1554" s="2" t="n">
        <x:f>MAX(1,ROUND('기준스탯 72종'!F69-T1554-AB1554,0))</x:f>
        <x:v>3</x:v>
      </x:c>
      <x:c r="M1554" s="2" t="n">
        <x:f>MAX(1,ROUND('기준스탯 72종'!G69-U1554-AC1554,0))</x:f>
        <x:v>5</x:v>
      </x:c>
      <x:c r="N1554" s="2" t="n">
        <x:f>MAX(0,ROUND('기준스탯 72종'!H69-V1554-AD1554,0))</x:f>
        <x:v>2</x:v>
      </x:c>
      <x:c r="O1554" s="2" t="n">
        <x:f>MAX(0,ROUND('기준스탯 72종'!I69-W1554-AE1554,0))</x:f>
        <x:v>3</x:v>
      </x:c>
      <x:c r="P1554" s="2" t="n">
        <x:f>MAX(0,ROUND('기준스탯 72종'!J69-X1554-AF1554,0))</x:f>
        <x:v>3</x:v>
      </x:c>
      <x:c r="Q1554" s="2" t="n">
        <x:f>MAX(0,ROUND('기준스탯 72종'!K69-Y1554-AG1554,0))</x:f>
        <x:v>1</x:v>
      </x:c>
      <x:c r="R1554" s="15" t="n">
        <x:f>'기준스탯 72종'!D69*G1554</x:f>
        <x:v>3.3599999999999994</x:v>
      </x:c>
      <x:c r="S1554" s="15" t="n">
        <x:f>'기준스탯 72종'!E69*G1554</x:f>
        <x:v>2.5199999999999996</x:v>
      </x:c>
      <x:c r="T1554" s="15" t="n">
        <x:f>'기준스탯 72종'!F69*G1554</x:f>
        <x:v>2.5199999999999996</x:v>
      </x:c>
      <x:c r="U1554" s="15" t="n">
        <x:f>'기준스탯 72종'!G69*G1554</x:f>
        <x:v>3.7799999999999994</x:v>
      </x:c>
      <x:c r="V1554" s="15" t="n">
        <x:f>'기준스탯 72종'!H69*G1554</x:f>
        <x:v>1.6799999999999997</x:v>
      </x:c>
      <x:c r="W1554" s="15" t="n">
        <x:f>'기준스탯 72종'!I69*G1554</x:f>
        <x:v>2.0999999999999996</x:v>
      </x:c>
      <x:c r="X1554" s="15" t="n">
        <x:f>'기준스탯 72종'!J69*G1554</x:f>
        <x:v>2.0999999999999996</x:v>
      </x:c>
      <x:c r="Y1554" s="15" t="n">
        <x:f>'기준스탯 72종'!K69*G1554</x:f>
        <x:v>0.8399999999999999</x:v>
      </x:c>
      <x:c r="Z1554" s="15" t="n">
        <x:f>'기준스탯 72종'!D69*H1554</x:f>
        <x:v>0</x:v>
      </x:c>
      <x:c r="AA1554" s="15" t="n">
        <x:f>'기준스탯 72종'!E69*H1554</x:f>
        <x:v>0</x:v>
      </x:c>
      <x:c r="AB1554" s="15" t="n">
        <x:f>'기준스탯 72종'!F69*H1554</x:f>
        <x:v>0</x:v>
      </x:c>
      <x:c r="AC1554" s="15" t="n">
        <x:f>'기준스탯 72종'!G69*H1554</x:f>
        <x:v>0</x:v>
      </x:c>
      <x:c r="AD1554" s="15" t="n">
        <x:f>'기준스탯 72종'!H69*H1554</x:f>
        <x:v>0</x:v>
      </x:c>
      <x:c r="AE1554" s="15" t="n">
        <x:f>'기준스탯 72종'!I69*H1554</x:f>
        <x:v>0</x:v>
      </x:c>
      <x:c r="AF1554" s="15" t="n">
        <x:f>'기준스탯 72종'!J69*H1554</x:f>
        <x:v>0</x:v>
      </x:c>
      <x:c r="AG1554" s="15" t="n">
        <x:f>'기준스탯 72종'!K69*H1554</x:f>
        <x:v>0</x:v>
      </x:c>
    </x:row>
    <x:row r="1555" ht="28" customHeight="1">
      <x:c r="A1555" s="2" t="n">
        <x:v>1548</x:v>
      </x:c>
      <x:c r="B1555" s="2" t="n">
        <x:v>62</x:v>
      </x:c>
      <x:c r="C1555" s="2" t="str">
        <x:v>물병자리</x:v>
      </x:c>
      <x:c r="D1555" s="2" t="str">
        <x:v>마도사</x:v>
      </x:c>
      <x:c r="E1555" s="2" t="n">
        <x:v>3</x:v>
      </x:c>
      <x:c r="F1555" s="2" t="n">
        <x:v>5</x:v>
      </x:c>
      <x:c r="G1555" s="14" t="n">
        <x:f>('레벨 계산식'!$E$4-E1555)*'레벨 계산식'!$B$5</x:f>
        <x:v>0.27999999999999997</x:v>
      </x:c>
      <x:c r="H1555" s="14" t="n">
        <x:f>('등급 계산식'!$E$4-F1555)*'등급 계산식'!$B$5</x:f>
        <x:v>0</x:v>
      </x:c>
      <x:c r="I1555" s="14" t="n">
        <x:f>1-G1555-H1555</x:f>
        <x:v>0.72</x:v>
      </x:c>
      <x:c r="J1555" s="2" t="n">
        <x:f>MAX(1,ROUND('기준스탯 72종'!D69-R1555-Z1555,0))</x:f>
        <x:v>6</x:v>
      </x:c>
      <x:c r="K1555" s="2" t="n">
        <x:f>MAX(1,ROUND('기준스탯 72종'!E69-S1555-AA1555,0))</x:f>
        <x:v>4</x:v>
      </x:c>
      <x:c r="L1555" s="2" t="n">
        <x:f>MAX(1,ROUND('기준스탯 72종'!F69-T1555-AB1555,0))</x:f>
        <x:v>4</x:v>
      </x:c>
      <x:c r="M1555" s="2" t="n">
        <x:f>MAX(1,ROUND('기준스탯 72종'!G69-U1555-AC1555,0))</x:f>
        <x:v>6</x:v>
      </x:c>
      <x:c r="N1555" s="2" t="n">
        <x:f>MAX(0,ROUND('기준스탯 72종'!H69-V1555-AD1555,0))</x:f>
        <x:v>3</x:v>
      </x:c>
      <x:c r="O1555" s="2" t="n">
        <x:f>MAX(0,ROUND('기준스탯 72종'!I69-W1555-AE1555,0))</x:f>
        <x:v>4</x:v>
      </x:c>
      <x:c r="P1555" s="2" t="n">
        <x:f>MAX(0,ROUND('기준스탯 72종'!J69-X1555-AF1555,0))</x:f>
        <x:v>4</x:v>
      </x:c>
      <x:c r="Q1555" s="2" t="n">
        <x:f>MAX(0,ROUND('기준스탯 72종'!K69-Y1555-AG1555,0))</x:f>
        <x:v>1</x:v>
      </x:c>
      <x:c r="R1555" s="15" t="n">
        <x:f>'기준스탯 72종'!D69*G1555</x:f>
        <x:v>2.2399999999999998</x:v>
      </x:c>
      <x:c r="S1555" s="15" t="n">
        <x:f>'기준스탯 72종'!E69*G1555</x:f>
        <x:v>1.6799999999999997</x:v>
      </x:c>
      <x:c r="T1555" s="15" t="n">
        <x:f>'기준스탯 72종'!F69*G1555</x:f>
        <x:v>1.6799999999999997</x:v>
      </x:c>
      <x:c r="U1555" s="15" t="n">
        <x:f>'기준스탯 72종'!G69*G1555</x:f>
        <x:v>2.5199999999999996</x:v>
      </x:c>
      <x:c r="V1555" s="15" t="n">
        <x:f>'기준스탯 72종'!H69*G1555</x:f>
        <x:v>1.1199999999999999</x:v>
      </x:c>
      <x:c r="W1555" s="15" t="n">
        <x:f>'기준스탯 72종'!I69*G1555</x:f>
        <x:v>1.4</x:v>
      </x:c>
      <x:c r="X1555" s="15" t="n">
        <x:f>'기준스탯 72종'!J69*G1555</x:f>
        <x:v>1.4</x:v>
      </x:c>
      <x:c r="Y1555" s="15" t="n">
        <x:f>'기준스탯 72종'!K69*G1555</x:f>
        <x:v>0.5599999999999999</x:v>
      </x:c>
      <x:c r="Z1555" s="15" t="n">
        <x:f>'기준스탯 72종'!D69*H1555</x:f>
        <x:v>0</x:v>
      </x:c>
      <x:c r="AA1555" s="15" t="n">
        <x:f>'기준스탯 72종'!E69*H1555</x:f>
        <x:v>0</x:v>
      </x:c>
      <x:c r="AB1555" s="15" t="n">
        <x:f>'기준스탯 72종'!F69*H1555</x:f>
        <x:v>0</x:v>
      </x:c>
      <x:c r="AC1555" s="15" t="n">
        <x:f>'기준스탯 72종'!G69*H1555</x:f>
        <x:v>0</x:v>
      </x:c>
      <x:c r="AD1555" s="15" t="n">
        <x:f>'기준스탯 72종'!H69*H1555</x:f>
        <x:v>0</x:v>
      </x:c>
      <x:c r="AE1555" s="15" t="n">
        <x:f>'기준스탯 72종'!I69*H1555</x:f>
        <x:v>0</x:v>
      </x:c>
      <x:c r="AF1555" s="15" t="n">
        <x:f>'기준스탯 72종'!J69*H1555</x:f>
        <x:v>0</x:v>
      </x:c>
      <x:c r="AG1555" s="15" t="n">
        <x:f>'기준스탯 72종'!K69*H1555</x:f>
        <x:v>0</x:v>
      </x:c>
    </x:row>
    <x:row r="1556" ht="28" customHeight="1">
      <x:c r="A1556" s="2" t="n">
        <x:v>1549</x:v>
      </x:c>
      <x:c r="B1556" s="2" t="n">
        <x:v>62</x:v>
      </x:c>
      <x:c r="C1556" s="2" t="str">
        <x:v>물병자리</x:v>
      </x:c>
      <x:c r="D1556" s="2" t="str">
        <x:v>마도사</x:v>
      </x:c>
      <x:c r="E1556" s="2" t="n">
        <x:v>4</x:v>
      </x:c>
      <x:c r="F1556" s="2" t="n">
        <x:v>5</x:v>
      </x:c>
      <x:c r="G1556" s="14" t="n">
        <x:f>('레벨 계산식'!$E$4-E1556)*'레벨 계산식'!$B$5</x:f>
        <x:v>0.13999999999999999</x:v>
      </x:c>
      <x:c r="H1556" s="14" t="n">
        <x:f>('등급 계산식'!$E$4-F1556)*'등급 계산식'!$B$5</x:f>
        <x:v>0</x:v>
      </x:c>
      <x:c r="I1556" s="14" t="n">
        <x:f>1-G1556-H1556</x:f>
        <x:v>0.86</x:v>
      </x:c>
      <x:c r="J1556" s="2" t="n">
        <x:f>MAX(1,ROUND('기준스탯 72종'!D69-R1556-Z1556,0))</x:f>
        <x:v>7</x:v>
      </x:c>
      <x:c r="K1556" s="2" t="n">
        <x:f>MAX(1,ROUND('기준스탯 72종'!E69-S1556-AA1556,0))</x:f>
        <x:v>5</x:v>
      </x:c>
      <x:c r="L1556" s="2" t="n">
        <x:f>MAX(1,ROUND('기준스탯 72종'!F69-T1556-AB1556,0))</x:f>
        <x:v>5</x:v>
      </x:c>
      <x:c r="M1556" s="2" t="n">
        <x:f>MAX(1,ROUND('기준스탯 72종'!G69-U1556-AC1556,0))</x:f>
        <x:v>8</x:v>
      </x:c>
      <x:c r="N1556" s="2" t="n">
        <x:f>MAX(0,ROUND('기준스탯 72종'!H69-V1556-AD1556,0))</x:f>
        <x:v>3</x:v>
      </x:c>
      <x:c r="O1556" s="2" t="n">
        <x:f>MAX(0,ROUND('기준스탯 72종'!I69-W1556-AE1556,0))</x:f>
        <x:v>4</x:v>
      </x:c>
      <x:c r="P1556" s="2" t="n">
        <x:f>MAX(0,ROUND('기준스탯 72종'!J69-X1556-AF1556,0))</x:f>
        <x:v>4</x:v>
      </x:c>
      <x:c r="Q1556" s="2" t="n">
        <x:f>MAX(0,ROUND('기준스탯 72종'!K69-Y1556-AG1556,0))</x:f>
        <x:v>2</x:v>
      </x:c>
      <x:c r="R1556" s="15" t="n">
        <x:f>'기준스탯 72종'!D69*G1556</x:f>
        <x:v>1.1199999999999999</x:v>
      </x:c>
      <x:c r="S1556" s="15" t="n">
        <x:f>'기준스탯 72종'!E69*G1556</x:f>
        <x:v>0.8399999999999999</x:v>
      </x:c>
      <x:c r="T1556" s="15" t="n">
        <x:f>'기준스탯 72종'!F69*G1556</x:f>
        <x:v>0.8399999999999999</x:v>
      </x:c>
      <x:c r="U1556" s="15" t="n">
        <x:f>'기준스탯 72종'!G69*G1556</x:f>
        <x:v>1.2599999999999998</x:v>
      </x:c>
      <x:c r="V1556" s="15" t="n">
        <x:f>'기준스탯 72종'!H69*G1556</x:f>
        <x:v>0.5599999999999999</x:v>
      </x:c>
      <x:c r="W1556" s="15" t="n">
        <x:f>'기준스탯 72종'!I69*G1556</x:f>
        <x:v>0.7</x:v>
      </x:c>
      <x:c r="X1556" s="15" t="n">
        <x:f>'기준스탯 72종'!J69*G1556</x:f>
        <x:v>0.7</x:v>
      </x:c>
      <x:c r="Y1556" s="15" t="n">
        <x:f>'기준스탯 72종'!K69*G1556</x:f>
        <x:v>0.27999999999999997</x:v>
      </x:c>
      <x:c r="Z1556" s="15" t="n">
        <x:f>'기준스탯 72종'!D69*H1556</x:f>
        <x:v>0</x:v>
      </x:c>
      <x:c r="AA1556" s="15" t="n">
        <x:f>'기준스탯 72종'!E69*H1556</x:f>
        <x:v>0</x:v>
      </x:c>
      <x:c r="AB1556" s="15" t="n">
        <x:f>'기준스탯 72종'!F69*H1556</x:f>
        <x:v>0</x:v>
      </x:c>
      <x:c r="AC1556" s="15" t="n">
        <x:f>'기준스탯 72종'!G69*H1556</x:f>
        <x:v>0</x:v>
      </x:c>
      <x:c r="AD1556" s="15" t="n">
        <x:f>'기준스탯 72종'!H69*H1556</x:f>
        <x:v>0</x:v>
      </x:c>
      <x:c r="AE1556" s="15" t="n">
        <x:f>'기준스탯 72종'!I69*H1556</x:f>
        <x:v>0</x:v>
      </x:c>
      <x:c r="AF1556" s="15" t="n">
        <x:f>'기준스탯 72종'!J69*H1556</x:f>
        <x:v>0</x:v>
      </x:c>
      <x:c r="AG1556" s="15" t="n">
        <x:f>'기준스탯 72종'!K69*H1556</x:f>
        <x:v>0</x:v>
      </x:c>
    </x:row>
    <x:row r="1557" ht="28" customHeight="1">
      <x:c r="A1557" s="2" t="n">
        <x:v>1550</x:v>
      </x:c>
      <x:c r="B1557" s="2" t="n">
        <x:v>62</x:v>
      </x:c>
      <x:c r="C1557" s="2" t="str">
        <x:v>물병자리</x:v>
      </x:c>
      <x:c r="D1557" s="2" t="str">
        <x:v>마도사</x:v>
      </x:c>
      <x:c r="E1557" s="2" t="n">
        <x:v>5</x:v>
      </x:c>
      <x:c r="F1557" s="2" t="n">
        <x:v>5</x:v>
      </x:c>
      <x:c r="G1557" s="14" t="n">
        <x:f>('레벨 계산식'!$E$4-E1557)*'레벨 계산식'!$B$5</x:f>
        <x:v>0</x:v>
      </x:c>
      <x:c r="H1557" s="14" t="n">
        <x:f>('등급 계산식'!$E$4-F1557)*'등급 계산식'!$B$5</x:f>
        <x:v>0</x:v>
      </x:c>
      <x:c r="I1557" s="14" t="n">
        <x:f>1-G1557-H1557</x:f>
        <x:v>1</x:v>
      </x:c>
      <x:c r="J1557" s="2" t="n">
        <x:f>MAX(1,ROUND('기준스탯 72종'!D69-R1557-Z1557,0))</x:f>
        <x:v>8</x:v>
      </x:c>
      <x:c r="K1557" s="2" t="n">
        <x:f>MAX(1,ROUND('기준스탯 72종'!E69-S1557-AA1557,0))</x:f>
        <x:v>6</x:v>
      </x:c>
      <x:c r="L1557" s="2" t="n">
        <x:f>MAX(1,ROUND('기준스탯 72종'!F69-T1557-AB1557,0))</x:f>
        <x:v>6</x:v>
      </x:c>
      <x:c r="M1557" s="2" t="n">
        <x:f>MAX(1,ROUND('기준스탯 72종'!G69-U1557-AC1557,0))</x:f>
        <x:v>9</x:v>
      </x:c>
      <x:c r="N1557" s="2" t="n">
        <x:f>MAX(0,ROUND('기준스탯 72종'!H69-V1557-AD1557,0))</x:f>
        <x:v>4</x:v>
      </x:c>
      <x:c r="O1557" s="2" t="n">
        <x:f>MAX(0,ROUND('기준스탯 72종'!I69-W1557-AE1557,0))</x:f>
        <x:v>5</x:v>
      </x:c>
      <x:c r="P1557" s="2" t="n">
        <x:f>MAX(0,ROUND('기준스탯 72종'!J69-X1557-AF1557,0))</x:f>
        <x:v>5</x:v>
      </x:c>
      <x:c r="Q1557" s="2" t="n">
        <x:f>MAX(0,ROUND('기준스탯 72종'!K69-Y1557-AG1557,0))</x:f>
        <x:v>2</x:v>
      </x:c>
      <x:c r="R1557" s="15" t="n">
        <x:f>'기준스탯 72종'!D69*G1557</x:f>
        <x:v>0</x:v>
      </x:c>
      <x:c r="S1557" s="15" t="n">
        <x:f>'기준스탯 72종'!E69*G1557</x:f>
        <x:v>0</x:v>
      </x:c>
      <x:c r="T1557" s="15" t="n">
        <x:f>'기준스탯 72종'!F69*G1557</x:f>
        <x:v>0</x:v>
      </x:c>
      <x:c r="U1557" s="15" t="n">
        <x:f>'기준스탯 72종'!G69*G1557</x:f>
        <x:v>0</x:v>
      </x:c>
      <x:c r="V1557" s="15" t="n">
        <x:f>'기준스탯 72종'!H69*G1557</x:f>
        <x:v>0</x:v>
      </x:c>
      <x:c r="W1557" s="15" t="n">
        <x:f>'기준스탯 72종'!I69*G1557</x:f>
        <x:v>0</x:v>
      </x:c>
      <x:c r="X1557" s="15" t="n">
        <x:f>'기준스탯 72종'!J69*G1557</x:f>
        <x:v>0</x:v>
      </x:c>
      <x:c r="Y1557" s="15" t="n">
        <x:f>'기준스탯 72종'!K69*G1557</x:f>
        <x:v>0</x:v>
      </x:c>
      <x:c r="Z1557" s="15" t="n">
        <x:f>'기준스탯 72종'!D69*H1557</x:f>
        <x:v>0</x:v>
      </x:c>
      <x:c r="AA1557" s="15" t="n">
        <x:f>'기준스탯 72종'!E69*H1557</x:f>
        <x:v>0</x:v>
      </x:c>
      <x:c r="AB1557" s="15" t="n">
        <x:f>'기준스탯 72종'!F69*H1557</x:f>
        <x:v>0</x:v>
      </x:c>
      <x:c r="AC1557" s="15" t="n">
        <x:f>'기준스탯 72종'!G69*H1557</x:f>
        <x:v>0</x:v>
      </x:c>
      <x:c r="AD1557" s="15" t="n">
        <x:f>'기준스탯 72종'!H69*H1557</x:f>
        <x:v>0</x:v>
      </x:c>
      <x:c r="AE1557" s="15" t="n">
        <x:f>'기준스탯 72종'!I69*H1557</x:f>
        <x:v>0</x:v>
      </x:c>
      <x:c r="AF1557" s="15" t="n">
        <x:f>'기준스탯 72종'!J69*H1557</x:f>
        <x:v>0</x:v>
      </x:c>
      <x:c r="AG1557" s="15" t="n">
        <x:f>'기준스탯 72종'!K69*H1557</x:f>
        <x:v>0</x:v>
      </x:c>
    </x:row>
    <x:row r="1558" ht="28" customHeight="1">
      <x:c r="A1558" s="2" t="n">
        <x:v>1551</x:v>
      </x:c>
      <x:c r="B1558" s="2" t="n">
        <x:v>63</x:v>
      </x:c>
      <x:c r="C1558" s="2" t="str">
        <x:v>물병자리</x:v>
      </x:c>
      <x:c r="D1558" s="2" t="str">
        <x:v>사수</x:v>
      </x:c>
      <x:c r="E1558" s="2" t="n">
        <x:v>1</x:v>
      </x:c>
      <x:c r="F1558" s="2" t="n">
        <x:v>1</x:v>
      </x:c>
      <x:c r="G1558" s="14" t="n">
        <x:f>('레벨 계산식'!$E$4-E1558)*'레벨 계산식'!$B$5</x:f>
        <x:v>0.5599999999999999</x:v>
      </x:c>
      <x:c r="H1558" s="14" t="n">
        <x:f>('등급 계산식'!$E$4-F1558)*'등급 계산식'!$B$5</x:f>
        <x:v>0.24000000000000005</x:v>
      </x:c>
      <x:c r="I1558" s="14" t="n">
        <x:f>1-G1558-H1558</x:f>
        <x:v>0.2</x:v>
      </x:c>
      <x:c r="J1558" s="2" t="n">
        <x:f>MAX(1,ROUND('기준스탯 72종'!D70-R1558-Z1558,0))</x:f>
        <x:v>1</x:v>
      </x:c>
      <x:c r="K1558" s="2" t="n">
        <x:f>MAX(1,ROUND('기준스탯 72종'!E70-S1558-AA1558,0))</x:f>
        <x:v>1</x:v>
      </x:c>
      <x:c r="L1558" s="2" t="n">
        <x:f>MAX(1,ROUND('기준스탯 72종'!F70-T1558-AB1558,0))</x:f>
        <x:v>1</x:v>
      </x:c>
      <x:c r="M1558" s="2" t="n">
        <x:f>MAX(1,ROUND('기준스탯 72종'!G70-U1558-AC1558,0))</x:f>
        <x:v>2</x:v>
      </x:c>
      <x:c r="N1558" s="2" t="n">
        <x:f>MAX(0,ROUND('기준스탯 72종'!H70-V1558-AD1558,0))</x:f>
        <x:v>1</x:v>
      </x:c>
      <x:c r="O1558" s="2" t="n">
        <x:f>MAX(0,ROUND('기준스탯 72종'!I70-W1558-AE1558,0))</x:f>
        <x:v>1</x:v>
      </x:c>
      <x:c r="P1558" s="2" t="n">
        <x:f>MAX(0,ROUND('기준스탯 72종'!J70-X1558-AF1558,0))</x:f>
        <x:v>1</x:v>
      </x:c>
      <x:c r="Q1558" s="2" t="n">
        <x:f>MAX(0,ROUND('기준스탯 72종'!K70-Y1558-AG1558,0))</x:f>
        <x:v>0</x:v>
      </x:c>
      <x:c r="R1558" s="15" t="n">
        <x:f>'기준스탯 72종'!D70*G1558</x:f>
        <x:v>3.9199999999999995</x:v>
      </x:c>
      <x:c r="S1558" s="15" t="n">
        <x:f>'기준스탯 72종'!E70*G1558</x:f>
        <x:v>3.9199999999999995</x:v>
      </x:c>
      <x:c r="T1558" s="15" t="n">
        <x:f>'기준스탯 72종'!F70*G1558</x:f>
        <x:v>3.3599999999999994</x:v>
      </x:c>
      <x:c r="U1558" s="15" t="n">
        <x:f>'기준스탯 72종'!G70*G1558</x:f>
        <x:v>5.6</x:v>
      </x:c>
      <x:c r="V1558" s="15" t="n">
        <x:f>'기준스탯 72종'!H70*G1558</x:f>
        <x:v>2.8</x:v>
      </x:c>
      <x:c r="W1558" s="15" t="n">
        <x:f>'기준스탯 72종'!I70*G1558</x:f>
        <x:v>1.6799999999999997</x:v>
      </x:c>
      <x:c r="X1558" s="15" t="n">
        <x:f>'기준스탯 72종'!J70*G1558</x:f>
        <x:v>3.3599999999999994</x:v>
      </x:c>
      <x:c r="Y1558" s="15" t="n">
        <x:f>'기준스탯 72종'!K70*G1558</x:f>
        <x:v>1.1199999999999999</x:v>
      </x:c>
      <x:c r="Z1558" s="15" t="n">
        <x:f>'기준스탯 72종'!D70*H1558</x:f>
        <x:v>1.6800000000000004</x:v>
      </x:c>
      <x:c r="AA1558" s="15" t="n">
        <x:f>'기준스탯 72종'!E70*H1558</x:f>
        <x:v>1.6800000000000004</x:v>
      </x:c>
      <x:c r="AB1558" s="15" t="n">
        <x:f>'기준스탯 72종'!F70*H1558</x:f>
        <x:v>1.4400000000000004</x:v>
      </x:c>
      <x:c r="AC1558" s="15" t="n">
        <x:f>'기준스탯 72종'!G70*H1558</x:f>
        <x:v>2.4000000000000004</x:v>
      </x:c>
      <x:c r="AD1558" s="15" t="n">
        <x:f>'기준스탯 72종'!H70*H1558</x:f>
        <x:v>1.2000000000000002</x:v>
      </x:c>
      <x:c r="AE1558" s="15" t="n">
        <x:f>'기준스탯 72종'!I70*H1558</x:f>
        <x:v>0.7200000000000002</x:v>
      </x:c>
      <x:c r="AF1558" s="15" t="n">
        <x:f>'기준스탯 72종'!J70*H1558</x:f>
        <x:v>1.4400000000000004</x:v>
      </x:c>
      <x:c r="AG1558" s="15" t="n">
        <x:f>'기준스탯 72종'!K70*H1558</x:f>
        <x:v>0.4800000000000001</x:v>
      </x:c>
    </x:row>
    <x:row r="1559" ht="28" customHeight="1">
      <x:c r="A1559" s="2" t="n">
        <x:v>1552</x:v>
      </x:c>
      <x:c r="B1559" s="2" t="n">
        <x:v>63</x:v>
      </x:c>
      <x:c r="C1559" s="2" t="str">
        <x:v>물병자리</x:v>
      </x:c>
      <x:c r="D1559" s="2" t="str">
        <x:v>사수</x:v>
      </x:c>
      <x:c r="E1559" s="2" t="n">
        <x:v>2</x:v>
      </x:c>
      <x:c r="F1559" s="2" t="n">
        <x:v>1</x:v>
      </x:c>
      <x:c r="G1559" s="14" t="n">
        <x:f>('레벨 계산식'!$E$4-E1559)*'레벨 계산식'!$B$5</x:f>
        <x:v>0.41999999999999993</x:v>
      </x:c>
      <x:c r="H1559" s="14" t="n">
        <x:f>('등급 계산식'!$E$4-F1559)*'등급 계산식'!$B$5</x:f>
        <x:v>0.24000000000000005</x:v>
      </x:c>
      <x:c r="I1559" s="14" t="n">
        <x:f>1-G1559-H1559</x:f>
        <x:v>0.34</x:v>
      </x:c>
      <x:c r="J1559" s="2" t="n">
        <x:f>MAX(1,ROUND('기준스탯 72종'!D70-R1559-Z1559,0))</x:f>
        <x:v>2</x:v>
      </x:c>
      <x:c r="K1559" s="2" t="n">
        <x:f>MAX(1,ROUND('기준스탯 72종'!E70-S1559-AA1559,0))</x:f>
        <x:v>2</x:v>
      </x:c>
      <x:c r="L1559" s="2" t="n">
        <x:f>MAX(1,ROUND('기준스탯 72종'!F70-T1559-AB1559,0))</x:f>
        <x:v>2</x:v>
      </x:c>
      <x:c r="M1559" s="2" t="n">
        <x:f>MAX(1,ROUND('기준스탯 72종'!G70-U1559-AC1559,0))</x:f>
        <x:v>3</x:v>
      </x:c>
      <x:c r="N1559" s="2" t="n">
        <x:f>MAX(0,ROUND('기준스탯 72종'!H70-V1559-AD1559,0))</x:f>
        <x:v>2</x:v>
      </x:c>
      <x:c r="O1559" s="2" t="n">
        <x:f>MAX(0,ROUND('기준스탯 72종'!I70-W1559-AE1559,0))</x:f>
        <x:v>1</x:v>
      </x:c>
      <x:c r="P1559" s="2" t="n">
        <x:f>MAX(0,ROUND('기준스탯 72종'!J70-X1559-AF1559,0))</x:f>
        <x:v>2</x:v>
      </x:c>
      <x:c r="Q1559" s="2" t="n">
        <x:f>MAX(0,ROUND('기준스탯 72종'!K70-Y1559-AG1559,0))</x:f>
        <x:v>1</x:v>
      </x:c>
      <x:c r="R1559" s="15" t="n">
        <x:f>'기준스탯 72종'!D70*G1559</x:f>
        <x:v>2.9399999999999995</x:v>
      </x:c>
      <x:c r="S1559" s="15" t="n">
        <x:f>'기준스탯 72종'!E70*G1559</x:f>
        <x:v>2.9399999999999995</x:v>
      </x:c>
      <x:c r="T1559" s="15" t="n">
        <x:f>'기준스탯 72종'!F70*G1559</x:f>
        <x:v>2.5199999999999996</x:v>
      </x:c>
      <x:c r="U1559" s="15" t="n">
        <x:f>'기준스탯 72종'!G70*G1559</x:f>
        <x:v>4.199999999999999</x:v>
      </x:c>
      <x:c r="V1559" s="15" t="n">
        <x:f>'기준스탯 72종'!H70*G1559</x:f>
        <x:v>2.0999999999999996</x:v>
      </x:c>
      <x:c r="W1559" s="15" t="n">
        <x:f>'기준스탯 72종'!I70*G1559</x:f>
        <x:v>1.2599999999999998</x:v>
      </x:c>
      <x:c r="X1559" s="15" t="n">
        <x:f>'기준스탯 72종'!J70*G1559</x:f>
        <x:v>2.5199999999999996</x:v>
      </x:c>
      <x:c r="Y1559" s="15" t="n">
        <x:f>'기준스탯 72종'!K70*G1559</x:f>
        <x:v>0.8399999999999999</x:v>
      </x:c>
      <x:c r="Z1559" s="15" t="n">
        <x:f>'기준스탯 72종'!D70*H1559</x:f>
        <x:v>1.6800000000000004</x:v>
      </x:c>
      <x:c r="AA1559" s="15" t="n">
        <x:f>'기준스탯 72종'!E70*H1559</x:f>
        <x:v>1.6800000000000004</x:v>
      </x:c>
      <x:c r="AB1559" s="15" t="n">
        <x:f>'기준스탯 72종'!F70*H1559</x:f>
        <x:v>1.4400000000000004</x:v>
      </x:c>
      <x:c r="AC1559" s="15" t="n">
        <x:f>'기준스탯 72종'!G70*H1559</x:f>
        <x:v>2.4000000000000004</x:v>
      </x:c>
      <x:c r="AD1559" s="15" t="n">
        <x:f>'기준스탯 72종'!H70*H1559</x:f>
        <x:v>1.2000000000000002</x:v>
      </x:c>
      <x:c r="AE1559" s="15" t="n">
        <x:f>'기준스탯 72종'!I70*H1559</x:f>
        <x:v>0.7200000000000002</x:v>
      </x:c>
      <x:c r="AF1559" s="15" t="n">
        <x:f>'기준스탯 72종'!J70*H1559</x:f>
        <x:v>1.4400000000000004</x:v>
      </x:c>
      <x:c r="AG1559" s="15" t="n">
        <x:f>'기준스탯 72종'!K70*H1559</x:f>
        <x:v>0.4800000000000001</x:v>
      </x:c>
    </x:row>
    <x:row r="1560" ht="28" customHeight="1">
      <x:c r="A1560" s="2" t="n">
        <x:v>1553</x:v>
      </x:c>
      <x:c r="B1560" s="2" t="n">
        <x:v>63</x:v>
      </x:c>
      <x:c r="C1560" s="2" t="str">
        <x:v>물병자리</x:v>
      </x:c>
      <x:c r="D1560" s="2" t="str">
        <x:v>사수</x:v>
      </x:c>
      <x:c r="E1560" s="2" t="n">
        <x:v>3</x:v>
      </x:c>
      <x:c r="F1560" s="2" t="n">
        <x:v>1</x:v>
      </x:c>
      <x:c r="G1560" s="14" t="n">
        <x:f>('레벨 계산식'!$E$4-E1560)*'레벨 계산식'!$B$5</x:f>
        <x:v>0.27999999999999997</x:v>
      </x:c>
      <x:c r="H1560" s="14" t="n">
        <x:f>('등급 계산식'!$E$4-F1560)*'등급 계산식'!$B$5</x:f>
        <x:v>0.24000000000000005</x:v>
      </x:c>
      <x:c r="I1560" s="14" t="n">
        <x:f>1-G1560-H1560</x:f>
        <x:v>0.4799999999999999</x:v>
      </x:c>
      <x:c r="J1560" s="2" t="n">
        <x:f>MAX(1,ROUND('기준스탯 72종'!D70-R1560-Z1560,0))</x:f>
        <x:v>3</x:v>
      </x:c>
      <x:c r="K1560" s="2" t="n">
        <x:f>MAX(1,ROUND('기준스탯 72종'!E70-S1560-AA1560,0))</x:f>
        <x:v>3</x:v>
      </x:c>
      <x:c r="L1560" s="2" t="n">
        <x:f>MAX(1,ROUND('기준스탯 72종'!F70-T1560-AB1560,0))</x:f>
        <x:v>3</x:v>
      </x:c>
      <x:c r="M1560" s="2" t="n">
        <x:f>MAX(1,ROUND('기준스탯 72종'!G70-U1560-AC1560,0))</x:f>
        <x:v>5</x:v>
      </x:c>
      <x:c r="N1560" s="2" t="n">
        <x:f>MAX(0,ROUND('기준스탯 72종'!H70-V1560-AD1560,0))</x:f>
        <x:v>2</x:v>
      </x:c>
      <x:c r="O1560" s="2" t="n">
        <x:f>MAX(0,ROUND('기준스탯 72종'!I70-W1560-AE1560,0))</x:f>
        <x:v>1</x:v>
      </x:c>
      <x:c r="P1560" s="2" t="n">
        <x:f>MAX(0,ROUND('기준스탯 72종'!J70-X1560-AF1560,0))</x:f>
        <x:v>3</x:v>
      </x:c>
      <x:c r="Q1560" s="2" t="n">
        <x:f>MAX(0,ROUND('기준스탯 72종'!K70-Y1560-AG1560,0))</x:f>
        <x:v>1</x:v>
      </x:c>
      <x:c r="R1560" s="15" t="n">
        <x:f>'기준스탯 72종'!D70*G1560</x:f>
        <x:v>1.9599999999999997</x:v>
      </x:c>
      <x:c r="S1560" s="15" t="n">
        <x:f>'기준스탯 72종'!E70*G1560</x:f>
        <x:v>1.9599999999999997</x:v>
      </x:c>
      <x:c r="T1560" s="15" t="n">
        <x:f>'기준스탯 72종'!F70*G1560</x:f>
        <x:v>1.6799999999999997</x:v>
      </x:c>
      <x:c r="U1560" s="15" t="n">
        <x:f>'기준스탯 72종'!G70*G1560</x:f>
        <x:v>2.8</x:v>
      </x:c>
      <x:c r="V1560" s="15" t="n">
        <x:f>'기준스탯 72종'!H70*G1560</x:f>
        <x:v>1.4</x:v>
      </x:c>
      <x:c r="W1560" s="15" t="n">
        <x:f>'기준스탯 72종'!I70*G1560</x:f>
        <x:v>0.8399999999999999</x:v>
      </x:c>
      <x:c r="X1560" s="15" t="n">
        <x:f>'기준스탯 72종'!J70*G1560</x:f>
        <x:v>1.6799999999999997</x:v>
      </x:c>
      <x:c r="Y1560" s="15" t="n">
        <x:f>'기준스탯 72종'!K70*G1560</x:f>
        <x:v>0.5599999999999999</x:v>
      </x:c>
      <x:c r="Z1560" s="15" t="n">
        <x:f>'기준스탯 72종'!D70*H1560</x:f>
        <x:v>1.6800000000000004</x:v>
      </x:c>
      <x:c r="AA1560" s="15" t="n">
        <x:f>'기준스탯 72종'!E70*H1560</x:f>
        <x:v>1.6800000000000004</x:v>
      </x:c>
      <x:c r="AB1560" s="15" t="n">
        <x:f>'기준스탯 72종'!F70*H1560</x:f>
        <x:v>1.4400000000000004</x:v>
      </x:c>
      <x:c r="AC1560" s="15" t="n">
        <x:f>'기준스탯 72종'!G70*H1560</x:f>
        <x:v>2.4000000000000004</x:v>
      </x:c>
      <x:c r="AD1560" s="15" t="n">
        <x:f>'기준스탯 72종'!H70*H1560</x:f>
        <x:v>1.2000000000000002</x:v>
      </x:c>
      <x:c r="AE1560" s="15" t="n">
        <x:f>'기준스탯 72종'!I70*H1560</x:f>
        <x:v>0.7200000000000002</x:v>
      </x:c>
      <x:c r="AF1560" s="15" t="n">
        <x:f>'기준스탯 72종'!J70*H1560</x:f>
        <x:v>1.4400000000000004</x:v>
      </x:c>
      <x:c r="AG1560" s="15" t="n">
        <x:f>'기준스탯 72종'!K70*H1560</x:f>
        <x:v>0.4800000000000001</x:v>
      </x:c>
    </x:row>
    <x:row r="1561" ht="28" customHeight="1">
      <x:c r="A1561" s="2" t="n">
        <x:v>1554</x:v>
      </x:c>
      <x:c r="B1561" s="2" t="n">
        <x:v>63</x:v>
      </x:c>
      <x:c r="C1561" s="2" t="str">
        <x:v>물병자리</x:v>
      </x:c>
      <x:c r="D1561" s="2" t="str">
        <x:v>사수</x:v>
      </x:c>
      <x:c r="E1561" s="2" t="n">
        <x:v>4</x:v>
      </x:c>
      <x:c r="F1561" s="2" t="n">
        <x:v>1</x:v>
      </x:c>
      <x:c r="G1561" s="14" t="n">
        <x:f>('레벨 계산식'!$E$4-E1561)*'레벨 계산식'!$B$5</x:f>
        <x:v>0.13999999999999999</x:v>
      </x:c>
      <x:c r="H1561" s="14" t="n">
        <x:f>('등급 계산식'!$E$4-F1561)*'등급 계산식'!$B$5</x:f>
        <x:v>0.24000000000000005</x:v>
      </x:c>
      <x:c r="I1561" s="14" t="n">
        <x:f>1-G1561-H1561</x:f>
        <x:v>0.6199999999999999</x:v>
      </x:c>
      <x:c r="J1561" s="2" t="n">
        <x:f>MAX(1,ROUND('기준스탯 72종'!D70-R1561-Z1561,0))</x:f>
        <x:v>4</x:v>
      </x:c>
      <x:c r="K1561" s="2" t="n">
        <x:f>MAX(1,ROUND('기준스탯 72종'!E70-S1561-AA1561,0))</x:f>
        <x:v>4</x:v>
      </x:c>
      <x:c r="L1561" s="2" t="n">
        <x:f>MAX(1,ROUND('기준스탯 72종'!F70-T1561-AB1561,0))</x:f>
        <x:v>4</x:v>
      </x:c>
      <x:c r="M1561" s="2" t="n">
        <x:f>MAX(1,ROUND('기준스탯 72종'!G70-U1561-AC1561,0))</x:f>
        <x:v>6</x:v>
      </x:c>
      <x:c r="N1561" s="2" t="n">
        <x:f>MAX(0,ROUND('기준스탯 72종'!H70-V1561-AD1561,0))</x:f>
        <x:v>3</x:v>
      </x:c>
      <x:c r="O1561" s="2" t="n">
        <x:f>MAX(0,ROUND('기준스탯 72종'!I70-W1561-AE1561,0))</x:f>
        <x:v>2</x:v>
      </x:c>
      <x:c r="P1561" s="2" t="n">
        <x:f>MAX(0,ROUND('기준스탯 72종'!J70-X1561-AF1561,0))</x:f>
        <x:v>4</x:v>
      </x:c>
      <x:c r="Q1561" s="2" t="n">
        <x:f>MAX(0,ROUND('기준스탯 72종'!K70-Y1561-AG1561,0))</x:f>
        <x:v>1</x:v>
      </x:c>
      <x:c r="R1561" s="15" t="n">
        <x:f>'기준스탯 72종'!D70*G1561</x:f>
        <x:v>0.9799999999999999</x:v>
      </x:c>
      <x:c r="S1561" s="15" t="n">
        <x:f>'기준스탯 72종'!E70*G1561</x:f>
        <x:v>0.9799999999999999</x:v>
      </x:c>
      <x:c r="T1561" s="15" t="n">
        <x:f>'기준스탯 72종'!F70*G1561</x:f>
        <x:v>0.8399999999999999</x:v>
      </x:c>
      <x:c r="U1561" s="15" t="n">
        <x:f>'기준스탯 72종'!G70*G1561</x:f>
        <x:v>1.4</x:v>
      </x:c>
      <x:c r="V1561" s="15" t="n">
        <x:f>'기준스탯 72종'!H70*G1561</x:f>
        <x:v>0.7</x:v>
      </x:c>
      <x:c r="W1561" s="15" t="n">
        <x:f>'기준스탯 72종'!I70*G1561</x:f>
        <x:v>0.41999999999999993</x:v>
      </x:c>
      <x:c r="X1561" s="15" t="n">
        <x:f>'기준스탯 72종'!J70*G1561</x:f>
        <x:v>0.8399999999999999</x:v>
      </x:c>
      <x:c r="Y1561" s="15" t="n">
        <x:f>'기준스탯 72종'!K70*G1561</x:f>
        <x:v>0.27999999999999997</x:v>
      </x:c>
      <x:c r="Z1561" s="15" t="n">
        <x:f>'기준스탯 72종'!D70*H1561</x:f>
        <x:v>1.6800000000000004</x:v>
      </x:c>
      <x:c r="AA1561" s="15" t="n">
        <x:f>'기준스탯 72종'!E70*H1561</x:f>
        <x:v>1.6800000000000004</x:v>
      </x:c>
      <x:c r="AB1561" s="15" t="n">
        <x:f>'기준스탯 72종'!F70*H1561</x:f>
        <x:v>1.4400000000000004</x:v>
      </x:c>
      <x:c r="AC1561" s="15" t="n">
        <x:f>'기준스탯 72종'!G70*H1561</x:f>
        <x:v>2.4000000000000004</x:v>
      </x:c>
      <x:c r="AD1561" s="15" t="n">
        <x:f>'기준스탯 72종'!H70*H1561</x:f>
        <x:v>1.2000000000000002</x:v>
      </x:c>
      <x:c r="AE1561" s="15" t="n">
        <x:f>'기준스탯 72종'!I70*H1561</x:f>
        <x:v>0.7200000000000002</x:v>
      </x:c>
      <x:c r="AF1561" s="15" t="n">
        <x:f>'기준스탯 72종'!J70*H1561</x:f>
        <x:v>1.4400000000000004</x:v>
      </x:c>
      <x:c r="AG1561" s="15" t="n">
        <x:f>'기준스탯 72종'!K70*H1561</x:f>
        <x:v>0.4800000000000001</x:v>
      </x:c>
    </x:row>
    <x:row r="1562" ht="28" customHeight="1">
      <x:c r="A1562" s="2" t="n">
        <x:v>1555</x:v>
      </x:c>
      <x:c r="B1562" s="2" t="n">
        <x:v>63</x:v>
      </x:c>
      <x:c r="C1562" s="2" t="str">
        <x:v>물병자리</x:v>
      </x:c>
      <x:c r="D1562" s="2" t="str">
        <x:v>사수</x:v>
      </x:c>
      <x:c r="E1562" s="2" t="n">
        <x:v>5</x:v>
      </x:c>
      <x:c r="F1562" s="2" t="n">
        <x:v>1</x:v>
      </x:c>
      <x:c r="G1562" s="14" t="n">
        <x:f>('레벨 계산식'!$E$4-E1562)*'레벨 계산식'!$B$5</x:f>
        <x:v>0</x:v>
      </x:c>
      <x:c r="H1562" s="14" t="n">
        <x:f>('등급 계산식'!$E$4-F1562)*'등급 계산식'!$B$5</x:f>
        <x:v>0.24000000000000005</x:v>
      </x:c>
      <x:c r="I1562" s="14" t="n">
        <x:f>1-G1562-H1562</x:f>
        <x:v>0.76</x:v>
      </x:c>
      <x:c r="J1562" s="2" t="n">
        <x:f>MAX(1,ROUND('기준스탯 72종'!D70-R1562-Z1562,0))</x:f>
        <x:v>5</x:v>
      </x:c>
      <x:c r="K1562" s="2" t="n">
        <x:f>MAX(1,ROUND('기준스탯 72종'!E70-S1562-AA1562,0))</x:f>
        <x:v>5</x:v>
      </x:c>
      <x:c r="L1562" s="2" t="n">
        <x:f>MAX(1,ROUND('기준스탯 72종'!F70-T1562-AB1562,0))</x:f>
        <x:v>5</x:v>
      </x:c>
      <x:c r="M1562" s="2" t="n">
        <x:f>MAX(1,ROUND('기준스탯 72종'!G70-U1562-AC1562,0))</x:f>
        <x:v>8</x:v>
      </x:c>
      <x:c r="N1562" s="2" t="n">
        <x:f>MAX(0,ROUND('기준스탯 72종'!H70-V1562-AD1562,0))</x:f>
        <x:v>4</x:v>
      </x:c>
      <x:c r="O1562" s="2" t="n">
        <x:f>MAX(0,ROUND('기준스탯 72종'!I70-W1562-AE1562,0))</x:f>
        <x:v>2</x:v>
      </x:c>
      <x:c r="P1562" s="2" t="n">
        <x:f>MAX(0,ROUND('기준스탯 72종'!J70-X1562-AF1562,0))</x:f>
        <x:v>5</x:v>
      </x:c>
      <x:c r="Q1562" s="2" t="n">
        <x:f>MAX(0,ROUND('기준스탯 72종'!K70-Y1562-AG1562,0))</x:f>
        <x:v>2</x:v>
      </x:c>
      <x:c r="R1562" s="15" t="n">
        <x:f>'기준스탯 72종'!D70*G1562</x:f>
        <x:v>0</x:v>
      </x:c>
      <x:c r="S1562" s="15" t="n">
        <x:f>'기준스탯 72종'!E70*G1562</x:f>
        <x:v>0</x:v>
      </x:c>
      <x:c r="T1562" s="15" t="n">
        <x:f>'기준스탯 72종'!F70*G1562</x:f>
        <x:v>0</x:v>
      </x:c>
      <x:c r="U1562" s="15" t="n">
        <x:f>'기준스탯 72종'!G70*G1562</x:f>
        <x:v>0</x:v>
      </x:c>
      <x:c r="V1562" s="15" t="n">
        <x:f>'기준스탯 72종'!H70*G1562</x:f>
        <x:v>0</x:v>
      </x:c>
      <x:c r="W1562" s="15" t="n">
        <x:f>'기준스탯 72종'!I70*G1562</x:f>
        <x:v>0</x:v>
      </x:c>
      <x:c r="X1562" s="15" t="n">
        <x:f>'기준스탯 72종'!J70*G1562</x:f>
        <x:v>0</x:v>
      </x:c>
      <x:c r="Y1562" s="15" t="n">
        <x:f>'기준스탯 72종'!K70*G1562</x:f>
        <x:v>0</x:v>
      </x:c>
      <x:c r="Z1562" s="15" t="n">
        <x:f>'기준스탯 72종'!D70*H1562</x:f>
        <x:v>1.6800000000000004</x:v>
      </x:c>
      <x:c r="AA1562" s="15" t="n">
        <x:f>'기준스탯 72종'!E70*H1562</x:f>
        <x:v>1.6800000000000004</x:v>
      </x:c>
      <x:c r="AB1562" s="15" t="n">
        <x:f>'기준스탯 72종'!F70*H1562</x:f>
        <x:v>1.4400000000000004</x:v>
      </x:c>
      <x:c r="AC1562" s="15" t="n">
        <x:f>'기준스탯 72종'!G70*H1562</x:f>
        <x:v>2.4000000000000004</x:v>
      </x:c>
      <x:c r="AD1562" s="15" t="n">
        <x:f>'기준스탯 72종'!H70*H1562</x:f>
        <x:v>1.2000000000000002</x:v>
      </x:c>
      <x:c r="AE1562" s="15" t="n">
        <x:f>'기준스탯 72종'!I70*H1562</x:f>
        <x:v>0.7200000000000002</x:v>
      </x:c>
      <x:c r="AF1562" s="15" t="n">
        <x:f>'기준스탯 72종'!J70*H1562</x:f>
        <x:v>1.4400000000000004</x:v>
      </x:c>
      <x:c r="AG1562" s="15" t="n">
        <x:f>'기준스탯 72종'!K70*H1562</x:f>
        <x:v>0.4800000000000001</x:v>
      </x:c>
    </x:row>
    <x:row r="1563" ht="28" customHeight="1">
      <x:c r="A1563" s="2" t="n">
        <x:v>1556</x:v>
      </x:c>
      <x:c r="B1563" s="2" t="n">
        <x:v>63</x:v>
      </x:c>
      <x:c r="C1563" s="2" t="str">
        <x:v>물병자리</x:v>
      </x:c>
      <x:c r="D1563" s="2" t="str">
        <x:v>사수</x:v>
      </x:c>
      <x:c r="E1563" s="2" t="n">
        <x:v>1</x:v>
      </x:c>
      <x:c r="F1563" s="2" t="n">
        <x:v>2</x:v>
      </x:c>
      <x:c r="G1563" s="14" t="n">
        <x:f>('레벨 계산식'!$E$4-E1563)*'레벨 계산식'!$B$5</x:f>
        <x:v>0.5599999999999999</x:v>
      </x:c>
      <x:c r="H1563" s="14" t="n">
        <x:f>('등급 계산식'!$E$4-F1563)*'등급 계산식'!$B$5</x:f>
        <x:v>0.18000000000000005</x:v>
      </x:c>
      <x:c r="I1563" s="14" t="n">
        <x:f>1-G1563-H1563</x:f>
        <x:v>0.26</x:v>
      </x:c>
      <x:c r="J1563" s="2" t="n">
        <x:f>MAX(1,ROUND('기준스탯 72종'!D70-R1563-Z1563,0))</x:f>
        <x:v>2</x:v>
      </x:c>
      <x:c r="K1563" s="2" t="n">
        <x:f>MAX(1,ROUND('기준스탯 72종'!E70-S1563-AA1563,0))</x:f>
        <x:v>2</x:v>
      </x:c>
      <x:c r="L1563" s="2" t="n">
        <x:f>MAX(1,ROUND('기준스탯 72종'!F70-T1563-AB1563,0))</x:f>
        <x:v>2</x:v>
      </x:c>
      <x:c r="M1563" s="2" t="n">
        <x:f>MAX(1,ROUND('기준스탯 72종'!G70-U1563-AC1563,0))</x:f>
        <x:v>3</x:v>
      </x:c>
      <x:c r="N1563" s="2" t="n">
        <x:f>MAX(0,ROUND('기준스탯 72종'!H70-V1563-AD1563,0))</x:f>
        <x:v>1</x:v>
      </x:c>
      <x:c r="O1563" s="2" t="n">
        <x:f>MAX(0,ROUND('기준스탯 72종'!I70-W1563-AE1563,0))</x:f>
        <x:v>1</x:v>
      </x:c>
      <x:c r="P1563" s="2" t="n">
        <x:f>MAX(0,ROUND('기준스탯 72종'!J70-X1563-AF1563,0))</x:f>
        <x:v>2</x:v>
      </x:c>
      <x:c r="Q1563" s="2" t="n">
        <x:f>MAX(0,ROUND('기준스탯 72종'!K70-Y1563-AG1563,0))</x:f>
        <x:v>1</x:v>
      </x:c>
      <x:c r="R1563" s="15" t="n">
        <x:f>'기준스탯 72종'!D70*G1563</x:f>
        <x:v>3.9199999999999995</x:v>
      </x:c>
      <x:c r="S1563" s="15" t="n">
        <x:f>'기준스탯 72종'!E70*G1563</x:f>
        <x:v>3.9199999999999995</x:v>
      </x:c>
      <x:c r="T1563" s="15" t="n">
        <x:f>'기준스탯 72종'!F70*G1563</x:f>
        <x:v>3.3599999999999994</x:v>
      </x:c>
      <x:c r="U1563" s="15" t="n">
        <x:f>'기준스탯 72종'!G70*G1563</x:f>
        <x:v>5.6</x:v>
      </x:c>
      <x:c r="V1563" s="15" t="n">
        <x:f>'기준스탯 72종'!H70*G1563</x:f>
        <x:v>2.8</x:v>
      </x:c>
      <x:c r="W1563" s="15" t="n">
        <x:f>'기준스탯 72종'!I70*G1563</x:f>
        <x:v>1.6799999999999997</x:v>
      </x:c>
      <x:c r="X1563" s="15" t="n">
        <x:f>'기준스탯 72종'!J70*G1563</x:f>
        <x:v>3.3599999999999994</x:v>
      </x:c>
      <x:c r="Y1563" s="15" t="n">
        <x:f>'기준스탯 72종'!K70*G1563</x:f>
        <x:v>1.1199999999999999</x:v>
      </x:c>
      <x:c r="Z1563" s="15" t="n">
        <x:f>'기준스탯 72종'!D70*H1563</x:f>
        <x:v>1.2600000000000002</x:v>
      </x:c>
      <x:c r="AA1563" s="15" t="n">
        <x:f>'기준스탯 72종'!E70*H1563</x:f>
        <x:v>1.2600000000000002</x:v>
      </x:c>
      <x:c r="AB1563" s="15" t="n">
        <x:f>'기준스탯 72종'!F70*H1563</x:f>
        <x:v>1.0800000000000003</x:v>
      </x:c>
      <x:c r="AC1563" s="15" t="n">
        <x:f>'기준스탯 72종'!G70*H1563</x:f>
        <x:v>1.8000000000000005</x:v>
      </x:c>
      <x:c r="AD1563" s="15" t="n">
        <x:f>'기준스탯 72종'!H70*H1563</x:f>
        <x:v>0.9000000000000002</x:v>
      </x:c>
      <x:c r="AE1563" s="15" t="n">
        <x:f>'기준스탯 72종'!I70*H1563</x:f>
        <x:v>0.5400000000000001</x:v>
      </x:c>
      <x:c r="AF1563" s="15" t="n">
        <x:f>'기준스탯 72종'!J70*H1563</x:f>
        <x:v>1.0800000000000003</x:v>
      </x:c>
      <x:c r="AG1563" s="15" t="n">
        <x:f>'기준스탯 72종'!K70*H1563</x:f>
        <x:v>0.3600000000000001</x:v>
      </x:c>
    </x:row>
    <x:row r="1564" ht="28" customHeight="1">
      <x:c r="A1564" s="2" t="n">
        <x:v>1557</x:v>
      </x:c>
      <x:c r="B1564" s="2" t="n">
        <x:v>63</x:v>
      </x:c>
      <x:c r="C1564" s="2" t="str">
        <x:v>물병자리</x:v>
      </x:c>
      <x:c r="D1564" s="2" t="str">
        <x:v>사수</x:v>
      </x:c>
      <x:c r="E1564" s="2" t="n">
        <x:v>2</x:v>
      </x:c>
      <x:c r="F1564" s="2" t="n">
        <x:v>2</x:v>
      </x:c>
      <x:c r="G1564" s="14" t="n">
        <x:f>('레벨 계산식'!$E$4-E1564)*'레벨 계산식'!$B$5</x:f>
        <x:v>0.41999999999999993</x:v>
      </x:c>
      <x:c r="H1564" s="14" t="n">
        <x:f>('등급 계산식'!$E$4-F1564)*'등급 계산식'!$B$5</x:f>
        <x:v>0.18000000000000005</x:v>
      </x:c>
      <x:c r="I1564" s="14" t="n">
        <x:f>1-G1564-H1564</x:f>
        <x:v>0.4</x:v>
      </x:c>
      <x:c r="J1564" s="2" t="n">
        <x:f>MAX(1,ROUND('기준스탯 72종'!D70-R1564-Z1564,0))</x:f>
        <x:v>3</x:v>
      </x:c>
      <x:c r="K1564" s="2" t="n">
        <x:f>MAX(1,ROUND('기준스탯 72종'!E70-S1564-AA1564,0))</x:f>
        <x:v>3</x:v>
      </x:c>
      <x:c r="L1564" s="2" t="n">
        <x:f>MAX(1,ROUND('기준스탯 72종'!F70-T1564-AB1564,0))</x:f>
        <x:v>2</x:v>
      </x:c>
      <x:c r="M1564" s="2" t="n">
        <x:f>MAX(1,ROUND('기준스탯 72종'!G70-U1564-AC1564,0))</x:f>
        <x:v>4</x:v>
      </x:c>
      <x:c r="N1564" s="2" t="n">
        <x:f>MAX(0,ROUND('기준스탯 72종'!H70-V1564-AD1564,0))</x:f>
        <x:v>2</x:v>
      </x:c>
      <x:c r="O1564" s="2" t="n">
        <x:f>MAX(0,ROUND('기준스탯 72종'!I70-W1564-AE1564,0))</x:f>
        <x:v>1</x:v>
      </x:c>
      <x:c r="P1564" s="2" t="n">
        <x:f>MAX(0,ROUND('기준스탯 72종'!J70-X1564-AF1564,0))</x:f>
        <x:v>2</x:v>
      </x:c>
      <x:c r="Q1564" s="2" t="n">
        <x:f>MAX(0,ROUND('기준스탯 72종'!K70-Y1564-AG1564,0))</x:f>
        <x:v>1</x:v>
      </x:c>
      <x:c r="R1564" s="15" t="n">
        <x:f>'기준스탯 72종'!D70*G1564</x:f>
        <x:v>2.9399999999999995</x:v>
      </x:c>
      <x:c r="S1564" s="15" t="n">
        <x:f>'기준스탯 72종'!E70*G1564</x:f>
        <x:v>2.9399999999999995</x:v>
      </x:c>
      <x:c r="T1564" s="15" t="n">
        <x:f>'기준스탯 72종'!F70*G1564</x:f>
        <x:v>2.5199999999999996</x:v>
      </x:c>
      <x:c r="U1564" s="15" t="n">
        <x:f>'기준스탯 72종'!G70*G1564</x:f>
        <x:v>4.199999999999999</x:v>
      </x:c>
      <x:c r="V1564" s="15" t="n">
        <x:f>'기준스탯 72종'!H70*G1564</x:f>
        <x:v>2.0999999999999996</x:v>
      </x:c>
      <x:c r="W1564" s="15" t="n">
        <x:f>'기준스탯 72종'!I70*G1564</x:f>
        <x:v>1.2599999999999998</x:v>
      </x:c>
      <x:c r="X1564" s="15" t="n">
        <x:f>'기준스탯 72종'!J70*G1564</x:f>
        <x:v>2.5199999999999996</x:v>
      </x:c>
      <x:c r="Y1564" s="15" t="n">
        <x:f>'기준스탯 72종'!K70*G1564</x:f>
        <x:v>0.8399999999999999</x:v>
      </x:c>
      <x:c r="Z1564" s="15" t="n">
        <x:f>'기준스탯 72종'!D70*H1564</x:f>
        <x:v>1.2600000000000002</x:v>
      </x:c>
      <x:c r="AA1564" s="15" t="n">
        <x:f>'기준스탯 72종'!E70*H1564</x:f>
        <x:v>1.2600000000000002</x:v>
      </x:c>
      <x:c r="AB1564" s="15" t="n">
        <x:f>'기준스탯 72종'!F70*H1564</x:f>
        <x:v>1.0800000000000003</x:v>
      </x:c>
      <x:c r="AC1564" s="15" t="n">
        <x:f>'기준스탯 72종'!G70*H1564</x:f>
        <x:v>1.8000000000000005</x:v>
      </x:c>
      <x:c r="AD1564" s="15" t="n">
        <x:f>'기준스탯 72종'!H70*H1564</x:f>
        <x:v>0.9000000000000002</x:v>
      </x:c>
      <x:c r="AE1564" s="15" t="n">
        <x:f>'기준스탯 72종'!I70*H1564</x:f>
        <x:v>0.5400000000000001</x:v>
      </x:c>
      <x:c r="AF1564" s="15" t="n">
        <x:f>'기준스탯 72종'!J70*H1564</x:f>
        <x:v>1.0800000000000003</x:v>
      </x:c>
      <x:c r="AG1564" s="15" t="n">
        <x:f>'기준스탯 72종'!K70*H1564</x:f>
        <x:v>0.3600000000000001</x:v>
      </x:c>
    </x:row>
    <x:row r="1565" ht="28" customHeight="1">
      <x:c r="A1565" s="2" t="n">
        <x:v>1558</x:v>
      </x:c>
      <x:c r="B1565" s="2" t="n">
        <x:v>63</x:v>
      </x:c>
      <x:c r="C1565" s="2" t="str">
        <x:v>물병자리</x:v>
      </x:c>
      <x:c r="D1565" s="2" t="str">
        <x:v>사수</x:v>
      </x:c>
      <x:c r="E1565" s="2" t="n">
        <x:v>3</x:v>
      </x:c>
      <x:c r="F1565" s="2" t="n">
        <x:v>2</x:v>
      </x:c>
      <x:c r="G1565" s="14" t="n">
        <x:f>('레벨 계산식'!$E$4-E1565)*'레벨 계산식'!$B$5</x:f>
        <x:v>0.27999999999999997</x:v>
      </x:c>
      <x:c r="H1565" s="14" t="n">
        <x:f>('등급 계산식'!$E$4-F1565)*'등급 계산식'!$B$5</x:f>
        <x:v>0.18000000000000005</x:v>
      </x:c>
      <x:c r="I1565" s="14" t="n">
        <x:f>1-G1565-H1565</x:f>
        <x:v>0.5399999999999999</x:v>
      </x:c>
      <x:c r="J1565" s="2" t="n">
        <x:f>MAX(1,ROUND('기준스탯 72종'!D70-R1565-Z1565,0))</x:f>
        <x:v>4</x:v>
      </x:c>
      <x:c r="K1565" s="2" t="n">
        <x:f>MAX(1,ROUND('기준스탯 72종'!E70-S1565-AA1565,0))</x:f>
        <x:v>4</x:v>
      </x:c>
      <x:c r="L1565" s="2" t="n">
        <x:f>MAX(1,ROUND('기준스탯 72종'!F70-T1565-AB1565,0))</x:f>
        <x:v>3</x:v>
      </x:c>
      <x:c r="M1565" s="2" t="n">
        <x:f>MAX(1,ROUND('기준스탯 72종'!G70-U1565-AC1565,0))</x:f>
        <x:v>5</x:v>
      </x:c>
      <x:c r="N1565" s="2" t="n">
        <x:f>MAX(0,ROUND('기준스탯 72종'!H70-V1565-AD1565,0))</x:f>
        <x:v>3</x:v>
      </x:c>
      <x:c r="O1565" s="2" t="n">
        <x:f>MAX(0,ROUND('기준스탯 72종'!I70-W1565-AE1565,0))</x:f>
        <x:v>2</x:v>
      </x:c>
      <x:c r="P1565" s="2" t="n">
        <x:f>MAX(0,ROUND('기준스탯 72종'!J70-X1565-AF1565,0))</x:f>
        <x:v>3</x:v>
      </x:c>
      <x:c r="Q1565" s="2" t="n">
        <x:f>MAX(0,ROUND('기준스탯 72종'!K70-Y1565-AG1565,0))</x:f>
        <x:v>1</x:v>
      </x:c>
      <x:c r="R1565" s="15" t="n">
        <x:f>'기준스탯 72종'!D70*G1565</x:f>
        <x:v>1.9599999999999997</x:v>
      </x:c>
      <x:c r="S1565" s="15" t="n">
        <x:f>'기준스탯 72종'!E70*G1565</x:f>
        <x:v>1.9599999999999997</x:v>
      </x:c>
      <x:c r="T1565" s="15" t="n">
        <x:f>'기준스탯 72종'!F70*G1565</x:f>
        <x:v>1.6799999999999997</x:v>
      </x:c>
      <x:c r="U1565" s="15" t="n">
        <x:f>'기준스탯 72종'!G70*G1565</x:f>
        <x:v>2.8</x:v>
      </x:c>
      <x:c r="V1565" s="15" t="n">
        <x:f>'기준스탯 72종'!H70*G1565</x:f>
        <x:v>1.4</x:v>
      </x:c>
      <x:c r="W1565" s="15" t="n">
        <x:f>'기준스탯 72종'!I70*G1565</x:f>
        <x:v>0.8399999999999999</x:v>
      </x:c>
      <x:c r="X1565" s="15" t="n">
        <x:f>'기준스탯 72종'!J70*G1565</x:f>
        <x:v>1.6799999999999997</x:v>
      </x:c>
      <x:c r="Y1565" s="15" t="n">
        <x:f>'기준스탯 72종'!K70*G1565</x:f>
        <x:v>0.5599999999999999</x:v>
      </x:c>
      <x:c r="Z1565" s="15" t="n">
        <x:f>'기준스탯 72종'!D70*H1565</x:f>
        <x:v>1.2600000000000002</x:v>
      </x:c>
      <x:c r="AA1565" s="15" t="n">
        <x:f>'기준스탯 72종'!E70*H1565</x:f>
        <x:v>1.2600000000000002</x:v>
      </x:c>
      <x:c r="AB1565" s="15" t="n">
        <x:f>'기준스탯 72종'!F70*H1565</x:f>
        <x:v>1.0800000000000003</x:v>
      </x:c>
      <x:c r="AC1565" s="15" t="n">
        <x:f>'기준스탯 72종'!G70*H1565</x:f>
        <x:v>1.8000000000000005</x:v>
      </x:c>
      <x:c r="AD1565" s="15" t="n">
        <x:f>'기준스탯 72종'!H70*H1565</x:f>
        <x:v>0.9000000000000002</x:v>
      </x:c>
      <x:c r="AE1565" s="15" t="n">
        <x:f>'기준스탯 72종'!I70*H1565</x:f>
        <x:v>0.5400000000000001</x:v>
      </x:c>
      <x:c r="AF1565" s="15" t="n">
        <x:f>'기준스탯 72종'!J70*H1565</x:f>
        <x:v>1.0800000000000003</x:v>
      </x:c>
      <x:c r="AG1565" s="15" t="n">
        <x:f>'기준스탯 72종'!K70*H1565</x:f>
        <x:v>0.3600000000000001</x:v>
      </x:c>
    </x:row>
    <x:row r="1566" ht="28" customHeight="1">
      <x:c r="A1566" s="2" t="n">
        <x:v>1559</x:v>
      </x:c>
      <x:c r="B1566" s="2" t="n">
        <x:v>63</x:v>
      </x:c>
      <x:c r="C1566" s="2" t="str">
        <x:v>물병자리</x:v>
      </x:c>
      <x:c r="D1566" s="2" t="str">
        <x:v>사수</x:v>
      </x:c>
      <x:c r="E1566" s="2" t="n">
        <x:v>4</x:v>
      </x:c>
      <x:c r="F1566" s="2" t="n">
        <x:v>2</x:v>
      </x:c>
      <x:c r="G1566" s="14" t="n">
        <x:f>('레벨 계산식'!$E$4-E1566)*'레벨 계산식'!$B$5</x:f>
        <x:v>0.13999999999999999</x:v>
      </x:c>
      <x:c r="H1566" s="14" t="n">
        <x:f>('등급 계산식'!$E$4-F1566)*'등급 계산식'!$B$5</x:f>
        <x:v>0.18000000000000005</x:v>
      </x:c>
      <x:c r="I1566" s="14" t="n">
        <x:f>1-G1566-H1566</x:f>
        <x:v>0.6799999999999999</x:v>
      </x:c>
      <x:c r="J1566" s="2" t="n">
        <x:f>MAX(1,ROUND('기준스탯 72종'!D70-R1566-Z1566,0))</x:f>
        <x:v>5</x:v>
      </x:c>
      <x:c r="K1566" s="2" t="n">
        <x:f>MAX(1,ROUND('기준스탯 72종'!E70-S1566-AA1566,0))</x:f>
        <x:v>5</x:v>
      </x:c>
      <x:c r="L1566" s="2" t="n">
        <x:f>MAX(1,ROUND('기준스탯 72종'!F70-T1566-AB1566,0))</x:f>
        <x:v>4</x:v>
      </x:c>
      <x:c r="M1566" s="2" t="n">
        <x:f>MAX(1,ROUND('기준스탯 72종'!G70-U1566-AC1566,0))</x:f>
        <x:v>7</x:v>
      </x:c>
      <x:c r="N1566" s="2" t="n">
        <x:f>MAX(0,ROUND('기준스탯 72종'!H70-V1566-AD1566,0))</x:f>
        <x:v>3</x:v>
      </x:c>
      <x:c r="O1566" s="2" t="n">
        <x:f>MAX(0,ROUND('기준스탯 72종'!I70-W1566-AE1566,0))</x:f>
        <x:v>2</x:v>
      </x:c>
      <x:c r="P1566" s="2" t="n">
        <x:f>MAX(0,ROUND('기준스탯 72종'!J70-X1566-AF1566,0))</x:f>
        <x:v>4</x:v>
      </x:c>
      <x:c r="Q1566" s="2" t="n">
        <x:f>MAX(0,ROUND('기준스탯 72종'!K70-Y1566-AG1566,0))</x:f>
        <x:v>1</x:v>
      </x:c>
      <x:c r="R1566" s="15" t="n">
        <x:f>'기준스탯 72종'!D70*G1566</x:f>
        <x:v>0.9799999999999999</x:v>
      </x:c>
      <x:c r="S1566" s="15" t="n">
        <x:f>'기준스탯 72종'!E70*G1566</x:f>
        <x:v>0.9799999999999999</x:v>
      </x:c>
      <x:c r="T1566" s="15" t="n">
        <x:f>'기준스탯 72종'!F70*G1566</x:f>
        <x:v>0.8399999999999999</x:v>
      </x:c>
      <x:c r="U1566" s="15" t="n">
        <x:f>'기준스탯 72종'!G70*G1566</x:f>
        <x:v>1.4</x:v>
      </x:c>
      <x:c r="V1566" s="15" t="n">
        <x:f>'기준스탯 72종'!H70*G1566</x:f>
        <x:v>0.7</x:v>
      </x:c>
      <x:c r="W1566" s="15" t="n">
        <x:f>'기준스탯 72종'!I70*G1566</x:f>
        <x:v>0.41999999999999993</x:v>
      </x:c>
      <x:c r="X1566" s="15" t="n">
        <x:f>'기준스탯 72종'!J70*G1566</x:f>
        <x:v>0.8399999999999999</x:v>
      </x:c>
      <x:c r="Y1566" s="15" t="n">
        <x:f>'기준스탯 72종'!K70*G1566</x:f>
        <x:v>0.27999999999999997</x:v>
      </x:c>
      <x:c r="Z1566" s="15" t="n">
        <x:f>'기준스탯 72종'!D70*H1566</x:f>
        <x:v>1.2600000000000002</x:v>
      </x:c>
      <x:c r="AA1566" s="15" t="n">
        <x:f>'기준스탯 72종'!E70*H1566</x:f>
        <x:v>1.2600000000000002</x:v>
      </x:c>
      <x:c r="AB1566" s="15" t="n">
        <x:f>'기준스탯 72종'!F70*H1566</x:f>
        <x:v>1.0800000000000003</x:v>
      </x:c>
      <x:c r="AC1566" s="15" t="n">
        <x:f>'기준스탯 72종'!G70*H1566</x:f>
        <x:v>1.8000000000000005</x:v>
      </x:c>
      <x:c r="AD1566" s="15" t="n">
        <x:f>'기준스탯 72종'!H70*H1566</x:f>
        <x:v>0.9000000000000002</x:v>
      </x:c>
      <x:c r="AE1566" s="15" t="n">
        <x:f>'기준스탯 72종'!I70*H1566</x:f>
        <x:v>0.5400000000000001</x:v>
      </x:c>
      <x:c r="AF1566" s="15" t="n">
        <x:f>'기준스탯 72종'!J70*H1566</x:f>
        <x:v>1.0800000000000003</x:v>
      </x:c>
      <x:c r="AG1566" s="15" t="n">
        <x:f>'기준스탯 72종'!K70*H1566</x:f>
        <x:v>0.3600000000000001</x:v>
      </x:c>
    </x:row>
    <x:row r="1567" ht="28" customHeight="1">
      <x:c r="A1567" s="2" t="n">
        <x:v>1560</x:v>
      </x:c>
      <x:c r="B1567" s="2" t="n">
        <x:v>63</x:v>
      </x:c>
      <x:c r="C1567" s="2" t="str">
        <x:v>물병자리</x:v>
      </x:c>
      <x:c r="D1567" s="2" t="str">
        <x:v>사수</x:v>
      </x:c>
      <x:c r="E1567" s="2" t="n">
        <x:v>5</x:v>
      </x:c>
      <x:c r="F1567" s="2" t="n">
        <x:v>2</x:v>
      </x:c>
      <x:c r="G1567" s="14" t="n">
        <x:f>('레벨 계산식'!$E$4-E1567)*'레벨 계산식'!$B$5</x:f>
        <x:v>0</x:v>
      </x:c>
      <x:c r="H1567" s="14" t="n">
        <x:f>('등급 계산식'!$E$4-F1567)*'등급 계산식'!$B$5</x:f>
        <x:v>0.18000000000000005</x:v>
      </x:c>
      <x:c r="I1567" s="14" t="n">
        <x:f>1-G1567-H1567</x:f>
        <x:v>0.82</x:v>
      </x:c>
      <x:c r="J1567" s="2" t="n">
        <x:f>MAX(1,ROUND('기준스탯 72종'!D70-R1567-Z1567,0))</x:f>
        <x:v>6</x:v>
      </x:c>
      <x:c r="K1567" s="2" t="n">
        <x:f>MAX(1,ROUND('기준스탯 72종'!E70-S1567-AA1567,0))</x:f>
        <x:v>6</x:v>
      </x:c>
      <x:c r="L1567" s="2" t="n">
        <x:f>MAX(1,ROUND('기준스탯 72종'!F70-T1567-AB1567,0))</x:f>
        <x:v>5</x:v>
      </x:c>
      <x:c r="M1567" s="2" t="n">
        <x:f>MAX(1,ROUND('기준스탯 72종'!G70-U1567-AC1567,0))</x:f>
        <x:v>8</x:v>
      </x:c>
      <x:c r="N1567" s="2" t="n">
        <x:f>MAX(0,ROUND('기준스탯 72종'!H70-V1567-AD1567,0))</x:f>
        <x:v>4</x:v>
      </x:c>
      <x:c r="O1567" s="2" t="n">
        <x:f>MAX(0,ROUND('기준스탯 72종'!I70-W1567-AE1567,0))</x:f>
        <x:v>2</x:v>
      </x:c>
      <x:c r="P1567" s="2" t="n">
        <x:f>MAX(0,ROUND('기준스탯 72종'!J70-X1567-AF1567,0))</x:f>
        <x:v>5</x:v>
      </x:c>
      <x:c r="Q1567" s="2" t="n">
        <x:f>MAX(0,ROUND('기준스탯 72종'!K70-Y1567-AG1567,0))</x:f>
        <x:v>2</x:v>
      </x:c>
      <x:c r="R1567" s="15" t="n">
        <x:f>'기준스탯 72종'!D70*G1567</x:f>
        <x:v>0</x:v>
      </x:c>
      <x:c r="S1567" s="15" t="n">
        <x:f>'기준스탯 72종'!E70*G1567</x:f>
        <x:v>0</x:v>
      </x:c>
      <x:c r="T1567" s="15" t="n">
        <x:f>'기준스탯 72종'!F70*G1567</x:f>
        <x:v>0</x:v>
      </x:c>
      <x:c r="U1567" s="15" t="n">
        <x:f>'기준스탯 72종'!G70*G1567</x:f>
        <x:v>0</x:v>
      </x:c>
      <x:c r="V1567" s="15" t="n">
        <x:f>'기준스탯 72종'!H70*G1567</x:f>
        <x:v>0</x:v>
      </x:c>
      <x:c r="W1567" s="15" t="n">
        <x:f>'기준스탯 72종'!I70*G1567</x:f>
        <x:v>0</x:v>
      </x:c>
      <x:c r="X1567" s="15" t="n">
        <x:f>'기준스탯 72종'!J70*G1567</x:f>
        <x:v>0</x:v>
      </x:c>
      <x:c r="Y1567" s="15" t="n">
        <x:f>'기준스탯 72종'!K70*G1567</x:f>
        <x:v>0</x:v>
      </x:c>
      <x:c r="Z1567" s="15" t="n">
        <x:f>'기준스탯 72종'!D70*H1567</x:f>
        <x:v>1.2600000000000002</x:v>
      </x:c>
      <x:c r="AA1567" s="15" t="n">
        <x:f>'기준스탯 72종'!E70*H1567</x:f>
        <x:v>1.2600000000000002</x:v>
      </x:c>
      <x:c r="AB1567" s="15" t="n">
        <x:f>'기준스탯 72종'!F70*H1567</x:f>
        <x:v>1.0800000000000003</x:v>
      </x:c>
      <x:c r="AC1567" s="15" t="n">
        <x:f>'기준스탯 72종'!G70*H1567</x:f>
        <x:v>1.8000000000000005</x:v>
      </x:c>
      <x:c r="AD1567" s="15" t="n">
        <x:f>'기준스탯 72종'!H70*H1567</x:f>
        <x:v>0.9000000000000002</x:v>
      </x:c>
      <x:c r="AE1567" s="15" t="n">
        <x:f>'기준스탯 72종'!I70*H1567</x:f>
        <x:v>0.5400000000000001</x:v>
      </x:c>
      <x:c r="AF1567" s="15" t="n">
        <x:f>'기준스탯 72종'!J70*H1567</x:f>
        <x:v>1.0800000000000003</x:v>
      </x:c>
      <x:c r="AG1567" s="15" t="n">
        <x:f>'기준스탯 72종'!K70*H1567</x:f>
        <x:v>0.3600000000000001</x:v>
      </x:c>
    </x:row>
    <x:row r="1568" ht="28" customHeight="1">
      <x:c r="A1568" s="2" t="n">
        <x:v>1561</x:v>
      </x:c>
      <x:c r="B1568" s="2" t="n">
        <x:v>63</x:v>
      </x:c>
      <x:c r="C1568" s="2" t="str">
        <x:v>물병자리</x:v>
      </x:c>
      <x:c r="D1568" s="2" t="str">
        <x:v>사수</x:v>
      </x:c>
      <x:c r="E1568" s="2" t="n">
        <x:v>1</x:v>
      </x:c>
      <x:c r="F1568" s="2" t="n">
        <x:v>3</x:v>
      </x:c>
      <x:c r="G1568" s="14" t="n">
        <x:f>('레벨 계산식'!$E$4-E1568)*'레벨 계산식'!$B$5</x:f>
        <x:v>0.5599999999999999</x:v>
      </x:c>
      <x:c r="H1568" s="14" t="n">
        <x:f>('등급 계산식'!$E$4-F1568)*'등급 계산식'!$B$5</x:f>
        <x:v>0.12000000000000002</x:v>
      </x:c>
      <x:c r="I1568" s="14" t="n">
        <x:f>1-G1568-H1568</x:f>
        <x:v>0.32000000000000006</x:v>
      </x:c>
      <x:c r="J1568" s="2" t="n">
        <x:f>MAX(1,ROUND('기준스탯 72종'!D70-R1568-Z1568,0))</x:f>
        <x:v>2</x:v>
      </x:c>
      <x:c r="K1568" s="2" t="n">
        <x:f>MAX(1,ROUND('기준스탯 72종'!E70-S1568-AA1568,0))</x:f>
        <x:v>2</x:v>
      </x:c>
      <x:c r="L1568" s="2" t="n">
        <x:f>MAX(1,ROUND('기준스탯 72종'!F70-T1568-AB1568,0))</x:f>
        <x:v>2</x:v>
      </x:c>
      <x:c r="M1568" s="2" t="n">
        <x:f>MAX(1,ROUND('기준스탯 72종'!G70-U1568-AC1568,0))</x:f>
        <x:v>3</x:v>
      </x:c>
      <x:c r="N1568" s="2" t="n">
        <x:f>MAX(0,ROUND('기준스탯 72종'!H70-V1568-AD1568,0))</x:f>
        <x:v>2</x:v>
      </x:c>
      <x:c r="O1568" s="2" t="n">
        <x:f>MAX(0,ROUND('기준스탯 72종'!I70-W1568-AE1568,0))</x:f>
        <x:v>1</x:v>
      </x:c>
      <x:c r="P1568" s="2" t="n">
        <x:f>MAX(0,ROUND('기준스탯 72종'!J70-X1568-AF1568,0))</x:f>
        <x:v>2</x:v>
      </x:c>
      <x:c r="Q1568" s="2" t="n">
        <x:f>MAX(0,ROUND('기준스탯 72종'!K70-Y1568-AG1568,0))</x:f>
        <x:v>1</x:v>
      </x:c>
      <x:c r="R1568" s="15" t="n">
        <x:f>'기준스탯 72종'!D70*G1568</x:f>
        <x:v>3.9199999999999995</x:v>
      </x:c>
      <x:c r="S1568" s="15" t="n">
        <x:f>'기준스탯 72종'!E70*G1568</x:f>
        <x:v>3.9199999999999995</x:v>
      </x:c>
      <x:c r="T1568" s="15" t="n">
        <x:f>'기준스탯 72종'!F70*G1568</x:f>
        <x:v>3.3599999999999994</x:v>
      </x:c>
      <x:c r="U1568" s="15" t="n">
        <x:f>'기준스탯 72종'!G70*G1568</x:f>
        <x:v>5.6</x:v>
      </x:c>
      <x:c r="V1568" s="15" t="n">
        <x:f>'기준스탯 72종'!H70*G1568</x:f>
        <x:v>2.8</x:v>
      </x:c>
      <x:c r="W1568" s="15" t="n">
        <x:f>'기준스탯 72종'!I70*G1568</x:f>
        <x:v>1.6799999999999997</x:v>
      </x:c>
      <x:c r="X1568" s="15" t="n">
        <x:f>'기준스탯 72종'!J70*G1568</x:f>
        <x:v>3.3599999999999994</x:v>
      </x:c>
      <x:c r="Y1568" s="15" t="n">
        <x:f>'기준스탯 72종'!K70*G1568</x:f>
        <x:v>1.1199999999999999</x:v>
      </x:c>
      <x:c r="Z1568" s="15" t="n">
        <x:f>'기준스탯 72종'!D70*H1568</x:f>
        <x:v>0.8400000000000002</x:v>
      </x:c>
      <x:c r="AA1568" s="15" t="n">
        <x:f>'기준스탯 72종'!E70*H1568</x:f>
        <x:v>0.8400000000000002</x:v>
      </x:c>
      <x:c r="AB1568" s="15" t="n">
        <x:f>'기준스탯 72종'!F70*H1568</x:f>
        <x:v>0.7200000000000002</x:v>
      </x:c>
      <x:c r="AC1568" s="15" t="n">
        <x:f>'기준스탯 72종'!G70*H1568</x:f>
        <x:v>1.2000000000000002</x:v>
      </x:c>
      <x:c r="AD1568" s="15" t="n">
        <x:f>'기준스탯 72종'!H70*H1568</x:f>
        <x:v>0.6000000000000001</x:v>
      </x:c>
      <x:c r="AE1568" s="15" t="n">
        <x:f>'기준스탯 72종'!I70*H1568</x:f>
        <x:v>0.3600000000000001</x:v>
      </x:c>
      <x:c r="AF1568" s="15" t="n">
        <x:f>'기준스탯 72종'!J70*H1568</x:f>
        <x:v>0.7200000000000002</x:v>
      </x:c>
      <x:c r="AG1568" s="15" t="n">
        <x:f>'기준스탯 72종'!K70*H1568</x:f>
        <x:v>0.24000000000000005</x:v>
      </x:c>
    </x:row>
    <x:row r="1569" ht="28" customHeight="1">
      <x:c r="A1569" s="2" t="n">
        <x:v>1562</x:v>
      </x:c>
      <x:c r="B1569" s="2" t="n">
        <x:v>63</x:v>
      </x:c>
      <x:c r="C1569" s="2" t="str">
        <x:v>물병자리</x:v>
      </x:c>
      <x:c r="D1569" s="2" t="str">
        <x:v>사수</x:v>
      </x:c>
      <x:c r="E1569" s="2" t="n">
        <x:v>2</x:v>
      </x:c>
      <x:c r="F1569" s="2" t="n">
        <x:v>3</x:v>
      </x:c>
      <x:c r="G1569" s="14" t="n">
        <x:f>('레벨 계산식'!$E$4-E1569)*'레벨 계산식'!$B$5</x:f>
        <x:v>0.41999999999999993</x:v>
      </x:c>
      <x:c r="H1569" s="14" t="n">
        <x:f>('등급 계산식'!$E$4-F1569)*'등급 계산식'!$B$5</x:f>
        <x:v>0.12000000000000002</x:v>
      </x:c>
      <x:c r="I1569" s="14" t="n">
        <x:f>1-G1569-H1569</x:f>
        <x:v>0.4600000000000001</x:v>
      </x:c>
      <x:c r="J1569" s="2" t="n">
        <x:f>MAX(1,ROUND('기준스탯 72종'!D70-R1569-Z1569,0))</x:f>
        <x:v>3</x:v>
      </x:c>
      <x:c r="K1569" s="2" t="n">
        <x:f>MAX(1,ROUND('기준스탯 72종'!E70-S1569-AA1569,0))</x:f>
        <x:v>3</x:v>
      </x:c>
      <x:c r="L1569" s="2" t="n">
        <x:f>MAX(1,ROUND('기준스탯 72종'!F70-T1569-AB1569,0))</x:f>
        <x:v>3</x:v>
      </x:c>
      <x:c r="M1569" s="2" t="n">
        <x:f>MAX(1,ROUND('기준스탯 72종'!G70-U1569-AC1569,0))</x:f>
        <x:v>5</x:v>
      </x:c>
      <x:c r="N1569" s="2" t="n">
        <x:f>MAX(0,ROUND('기준스탯 72종'!H70-V1569-AD1569,0))</x:f>
        <x:v>2</x:v>
      </x:c>
      <x:c r="O1569" s="2" t="n">
        <x:f>MAX(0,ROUND('기준스탯 72종'!I70-W1569-AE1569,0))</x:f>
        <x:v>1</x:v>
      </x:c>
      <x:c r="P1569" s="2" t="n">
        <x:f>MAX(0,ROUND('기준스탯 72종'!J70-X1569-AF1569,0))</x:f>
        <x:v>3</x:v>
      </x:c>
      <x:c r="Q1569" s="2" t="n">
        <x:f>MAX(0,ROUND('기준스탯 72종'!K70-Y1569-AG1569,0))</x:f>
        <x:v>1</x:v>
      </x:c>
      <x:c r="R1569" s="15" t="n">
        <x:f>'기준스탯 72종'!D70*G1569</x:f>
        <x:v>2.9399999999999995</x:v>
      </x:c>
      <x:c r="S1569" s="15" t="n">
        <x:f>'기준스탯 72종'!E70*G1569</x:f>
        <x:v>2.9399999999999995</x:v>
      </x:c>
      <x:c r="T1569" s="15" t="n">
        <x:f>'기준스탯 72종'!F70*G1569</x:f>
        <x:v>2.5199999999999996</x:v>
      </x:c>
      <x:c r="U1569" s="15" t="n">
        <x:f>'기준스탯 72종'!G70*G1569</x:f>
        <x:v>4.199999999999999</x:v>
      </x:c>
      <x:c r="V1569" s="15" t="n">
        <x:f>'기준스탯 72종'!H70*G1569</x:f>
        <x:v>2.0999999999999996</x:v>
      </x:c>
      <x:c r="W1569" s="15" t="n">
        <x:f>'기준스탯 72종'!I70*G1569</x:f>
        <x:v>1.2599999999999998</x:v>
      </x:c>
      <x:c r="X1569" s="15" t="n">
        <x:f>'기준스탯 72종'!J70*G1569</x:f>
        <x:v>2.5199999999999996</x:v>
      </x:c>
      <x:c r="Y1569" s="15" t="n">
        <x:f>'기준스탯 72종'!K70*G1569</x:f>
        <x:v>0.8399999999999999</x:v>
      </x:c>
      <x:c r="Z1569" s="15" t="n">
        <x:f>'기준스탯 72종'!D70*H1569</x:f>
        <x:v>0.8400000000000002</x:v>
      </x:c>
      <x:c r="AA1569" s="15" t="n">
        <x:f>'기준스탯 72종'!E70*H1569</x:f>
        <x:v>0.8400000000000002</x:v>
      </x:c>
      <x:c r="AB1569" s="15" t="n">
        <x:f>'기준스탯 72종'!F70*H1569</x:f>
        <x:v>0.7200000000000002</x:v>
      </x:c>
      <x:c r="AC1569" s="15" t="n">
        <x:f>'기준스탯 72종'!G70*H1569</x:f>
        <x:v>1.2000000000000002</x:v>
      </x:c>
      <x:c r="AD1569" s="15" t="n">
        <x:f>'기준스탯 72종'!H70*H1569</x:f>
        <x:v>0.6000000000000001</x:v>
      </x:c>
      <x:c r="AE1569" s="15" t="n">
        <x:f>'기준스탯 72종'!I70*H1569</x:f>
        <x:v>0.3600000000000001</x:v>
      </x:c>
      <x:c r="AF1569" s="15" t="n">
        <x:f>'기준스탯 72종'!J70*H1569</x:f>
        <x:v>0.7200000000000002</x:v>
      </x:c>
      <x:c r="AG1569" s="15" t="n">
        <x:f>'기준스탯 72종'!K70*H1569</x:f>
        <x:v>0.24000000000000005</x:v>
      </x:c>
    </x:row>
    <x:row r="1570" ht="28" customHeight="1">
      <x:c r="A1570" s="2" t="n">
        <x:v>1563</x:v>
      </x:c>
      <x:c r="B1570" s="2" t="n">
        <x:v>63</x:v>
      </x:c>
      <x:c r="C1570" s="2" t="str">
        <x:v>물병자리</x:v>
      </x:c>
      <x:c r="D1570" s="2" t="str">
        <x:v>사수</x:v>
      </x:c>
      <x:c r="E1570" s="2" t="n">
        <x:v>3</x:v>
      </x:c>
      <x:c r="F1570" s="2" t="n">
        <x:v>3</x:v>
      </x:c>
      <x:c r="G1570" s="14" t="n">
        <x:f>('레벨 계산식'!$E$4-E1570)*'레벨 계산식'!$B$5</x:f>
        <x:v>0.27999999999999997</x:v>
      </x:c>
      <x:c r="H1570" s="14" t="n">
        <x:f>('등급 계산식'!$E$4-F1570)*'등급 계산식'!$B$5</x:f>
        <x:v>0.12000000000000002</x:v>
      </x:c>
      <x:c r="I1570" s="14" t="n">
        <x:f>1-G1570-H1570</x:f>
        <x:v>0.6</x:v>
      </x:c>
      <x:c r="J1570" s="2" t="n">
        <x:f>MAX(1,ROUND('기준스탯 72종'!D70-R1570-Z1570,0))</x:f>
        <x:v>4</x:v>
      </x:c>
      <x:c r="K1570" s="2" t="n">
        <x:f>MAX(1,ROUND('기준스탯 72종'!E70-S1570-AA1570,0))</x:f>
        <x:v>4</x:v>
      </x:c>
      <x:c r="L1570" s="2" t="n">
        <x:f>MAX(1,ROUND('기준스탯 72종'!F70-T1570-AB1570,0))</x:f>
        <x:v>4</x:v>
      </x:c>
      <x:c r="M1570" s="2" t="n">
        <x:f>MAX(1,ROUND('기준스탯 72종'!G70-U1570-AC1570,0))</x:f>
        <x:v>6</x:v>
      </x:c>
      <x:c r="N1570" s="2" t="n">
        <x:f>MAX(0,ROUND('기준스탯 72종'!H70-V1570-AD1570,0))</x:f>
        <x:v>3</x:v>
      </x:c>
      <x:c r="O1570" s="2" t="n">
        <x:f>MAX(0,ROUND('기준스탯 72종'!I70-W1570-AE1570,0))</x:f>
        <x:v>2</x:v>
      </x:c>
      <x:c r="P1570" s="2" t="n">
        <x:f>MAX(0,ROUND('기준스탯 72종'!J70-X1570-AF1570,0))</x:f>
        <x:v>4</x:v>
      </x:c>
      <x:c r="Q1570" s="2" t="n">
        <x:f>MAX(0,ROUND('기준스탯 72종'!K70-Y1570-AG1570,0))</x:f>
        <x:v>1</x:v>
      </x:c>
      <x:c r="R1570" s="15" t="n">
        <x:f>'기준스탯 72종'!D70*G1570</x:f>
        <x:v>1.9599999999999997</x:v>
      </x:c>
      <x:c r="S1570" s="15" t="n">
        <x:f>'기준스탯 72종'!E70*G1570</x:f>
        <x:v>1.9599999999999997</x:v>
      </x:c>
      <x:c r="T1570" s="15" t="n">
        <x:f>'기준스탯 72종'!F70*G1570</x:f>
        <x:v>1.6799999999999997</x:v>
      </x:c>
      <x:c r="U1570" s="15" t="n">
        <x:f>'기준스탯 72종'!G70*G1570</x:f>
        <x:v>2.8</x:v>
      </x:c>
      <x:c r="V1570" s="15" t="n">
        <x:f>'기준스탯 72종'!H70*G1570</x:f>
        <x:v>1.4</x:v>
      </x:c>
      <x:c r="W1570" s="15" t="n">
        <x:f>'기준스탯 72종'!I70*G1570</x:f>
        <x:v>0.8399999999999999</x:v>
      </x:c>
      <x:c r="X1570" s="15" t="n">
        <x:f>'기준스탯 72종'!J70*G1570</x:f>
        <x:v>1.6799999999999997</x:v>
      </x:c>
      <x:c r="Y1570" s="15" t="n">
        <x:f>'기준스탯 72종'!K70*G1570</x:f>
        <x:v>0.5599999999999999</x:v>
      </x:c>
      <x:c r="Z1570" s="15" t="n">
        <x:f>'기준스탯 72종'!D70*H1570</x:f>
        <x:v>0.8400000000000002</x:v>
      </x:c>
      <x:c r="AA1570" s="15" t="n">
        <x:f>'기준스탯 72종'!E70*H1570</x:f>
        <x:v>0.8400000000000002</x:v>
      </x:c>
      <x:c r="AB1570" s="15" t="n">
        <x:f>'기준스탯 72종'!F70*H1570</x:f>
        <x:v>0.7200000000000002</x:v>
      </x:c>
      <x:c r="AC1570" s="15" t="n">
        <x:f>'기준스탯 72종'!G70*H1570</x:f>
        <x:v>1.2000000000000002</x:v>
      </x:c>
      <x:c r="AD1570" s="15" t="n">
        <x:f>'기준스탯 72종'!H70*H1570</x:f>
        <x:v>0.6000000000000001</x:v>
      </x:c>
      <x:c r="AE1570" s="15" t="n">
        <x:f>'기준스탯 72종'!I70*H1570</x:f>
        <x:v>0.3600000000000001</x:v>
      </x:c>
      <x:c r="AF1570" s="15" t="n">
        <x:f>'기준스탯 72종'!J70*H1570</x:f>
        <x:v>0.7200000000000002</x:v>
      </x:c>
      <x:c r="AG1570" s="15" t="n">
        <x:f>'기준스탯 72종'!K70*H1570</x:f>
        <x:v>0.24000000000000005</x:v>
      </x:c>
    </x:row>
    <x:row r="1571" ht="28" customHeight="1">
      <x:c r="A1571" s="2" t="n">
        <x:v>1564</x:v>
      </x:c>
      <x:c r="B1571" s="2" t="n">
        <x:v>63</x:v>
      </x:c>
      <x:c r="C1571" s="2" t="str">
        <x:v>물병자리</x:v>
      </x:c>
      <x:c r="D1571" s="2" t="str">
        <x:v>사수</x:v>
      </x:c>
      <x:c r="E1571" s="2" t="n">
        <x:v>4</x:v>
      </x:c>
      <x:c r="F1571" s="2" t="n">
        <x:v>3</x:v>
      </x:c>
      <x:c r="G1571" s="14" t="n">
        <x:f>('레벨 계산식'!$E$4-E1571)*'레벨 계산식'!$B$5</x:f>
        <x:v>0.13999999999999999</x:v>
      </x:c>
      <x:c r="H1571" s="14" t="n">
        <x:f>('등급 계산식'!$E$4-F1571)*'등급 계산식'!$B$5</x:f>
        <x:v>0.12000000000000002</x:v>
      </x:c>
      <x:c r="I1571" s="14" t="n">
        <x:f>1-G1571-H1571</x:f>
        <x:v>0.74</x:v>
      </x:c>
      <x:c r="J1571" s="2" t="n">
        <x:f>MAX(1,ROUND('기준스탯 72종'!D70-R1571-Z1571,0))</x:f>
        <x:v>5</x:v>
      </x:c>
      <x:c r="K1571" s="2" t="n">
        <x:f>MAX(1,ROUND('기준스탯 72종'!E70-S1571-AA1571,0))</x:f>
        <x:v>5</x:v>
      </x:c>
      <x:c r="L1571" s="2" t="n">
        <x:f>MAX(1,ROUND('기준스탯 72종'!F70-T1571-AB1571,0))</x:f>
        <x:v>4</x:v>
      </x:c>
      <x:c r="M1571" s="2" t="n">
        <x:f>MAX(1,ROUND('기준스탯 72종'!G70-U1571-AC1571,0))</x:f>
        <x:v>7</x:v>
      </x:c>
      <x:c r="N1571" s="2" t="n">
        <x:f>MAX(0,ROUND('기준스탯 72종'!H70-V1571-AD1571,0))</x:f>
        <x:v>4</x:v>
      </x:c>
      <x:c r="O1571" s="2" t="n">
        <x:f>MAX(0,ROUND('기준스탯 72종'!I70-W1571-AE1571,0))</x:f>
        <x:v>2</x:v>
      </x:c>
      <x:c r="P1571" s="2" t="n">
        <x:f>MAX(0,ROUND('기준스탯 72종'!J70-X1571-AF1571,0))</x:f>
        <x:v>4</x:v>
      </x:c>
      <x:c r="Q1571" s="2" t="n">
        <x:f>MAX(0,ROUND('기준스탯 72종'!K70-Y1571-AG1571,0))</x:f>
        <x:v>1</x:v>
      </x:c>
      <x:c r="R1571" s="15" t="n">
        <x:f>'기준스탯 72종'!D70*G1571</x:f>
        <x:v>0.9799999999999999</x:v>
      </x:c>
      <x:c r="S1571" s="15" t="n">
        <x:f>'기준스탯 72종'!E70*G1571</x:f>
        <x:v>0.9799999999999999</x:v>
      </x:c>
      <x:c r="T1571" s="15" t="n">
        <x:f>'기준스탯 72종'!F70*G1571</x:f>
        <x:v>0.8399999999999999</x:v>
      </x:c>
      <x:c r="U1571" s="15" t="n">
        <x:f>'기준스탯 72종'!G70*G1571</x:f>
        <x:v>1.4</x:v>
      </x:c>
      <x:c r="V1571" s="15" t="n">
        <x:f>'기준스탯 72종'!H70*G1571</x:f>
        <x:v>0.7</x:v>
      </x:c>
      <x:c r="W1571" s="15" t="n">
        <x:f>'기준스탯 72종'!I70*G1571</x:f>
        <x:v>0.41999999999999993</x:v>
      </x:c>
      <x:c r="X1571" s="15" t="n">
        <x:f>'기준스탯 72종'!J70*G1571</x:f>
        <x:v>0.8399999999999999</x:v>
      </x:c>
      <x:c r="Y1571" s="15" t="n">
        <x:f>'기준스탯 72종'!K70*G1571</x:f>
        <x:v>0.27999999999999997</x:v>
      </x:c>
      <x:c r="Z1571" s="15" t="n">
        <x:f>'기준스탯 72종'!D70*H1571</x:f>
        <x:v>0.8400000000000002</x:v>
      </x:c>
      <x:c r="AA1571" s="15" t="n">
        <x:f>'기준스탯 72종'!E70*H1571</x:f>
        <x:v>0.8400000000000002</x:v>
      </x:c>
      <x:c r="AB1571" s="15" t="n">
        <x:f>'기준스탯 72종'!F70*H1571</x:f>
        <x:v>0.7200000000000002</x:v>
      </x:c>
      <x:c r="AC1571" s="15" t="n">
        <x:f>'기준스탯 72종'!G70*H1571</x:f>
        <x:v>1.2000000000000002</x:v>
      </x:c>
      <x:c r="AD1571" s="15" t="n">
        <x:f>'기준스탯 72종'!H70*H1571</x:f>
        <x:v>0.6000000000000001</x:v>
      </x:c>
      <x:c r="AE1571" s="15" t="n">
        <x:f>'기준스탯 72종'!I70*H1571</x:f>
        <x:v>0.3600000000000001</x:v>
      </x:c>
      <x:c r="AF1571" s="15" t="n">
        <x:f>'기준스탯 72종'!J70*H1571</x:f>
        <x:v>0.7200000000000002</x:v>
      </x:c>
      <x:c r="AG1571" s="15" t="n">
        <x:f>'기준스탯 72종'!K70*H1571</x:f>
        <x:v>0.24000000000000005</x:v>
      </x:c>
    </x:row>
    <x:row r="1572" ht="28" customHeight="1">
      <x:c r="A1572" s="2" t="n">
        <x:v>1565</x:v>
      </x:c>
      <x:c r="B1572" s="2" t="n">
        <x:v>63</x:v>
      </x:c>
      <x:c r="C1572" s="2" t="str">
        <x:v>물병자리</x:v>
      </x:c>
      <x:c r="D1572" s="2" t="str">
        <x:v>사수</x:v>
      </x:c>
      <x:c r="E1572" s="2" t="n">
        <x:v>5</x:v>
      </x:c>
      <x:c r="F1572" s="2" t="n">
        <x:v>3</x:v>
      </x:c>
      <x:c r="G1572" s="14" t="n">
        <x:f>('레벨 계산식'!$E$4-E1572)*'레벨 계산식'!$B$5</x:f>
        <x:v>0</x:v>
      </x:c>
      <x:c r="H1572" s="14" t="n">
        <x:f>('등급 계산식'!$E$4-F1572)*'등급 계산식'!$B$5</x:f>
        <x:v>0.12000000000000002</x:v>
      </x:c>
      <x:c r="I1572" s="14" t="n">
        <x:f>1-G1572-H1572</x:f>
        <x:v>0.88</x:v>
      </x:c>
      <x:c r="J1572" s="2" t="n">
        <x:f>MAX(1,ROUND('기준스탯 72종'!D70-R1572-Z1572,0))</x:f>
        <x:v>6</x:v>
      </x:c>
      <x:c r="K1572" s="2" t="n">
        <x:f>MAX(1,ROUND('기준스탯 72종'!E70-S1572-AA1572,0))</x:f>
        <x:v>6</x:v>
      </x:c>
      <x:c r="L1572" s="2" t="n">
        <x:f>MAX(1,ROUND('기준스탯 72종'!F70-T1572-AB1572,0))</x:f>
        <x:v>5</x:v>
      </x:c>
      <x:c r="M1572" s="2" t="n">
        <x:f>MAX(1,ROUND('기준스탯 72종'!G70-U1572-AC1572,0))</x:f>
        <x:v>9</x:v>
      </x:c>
      <x:c r="N1572" s="2" t="n">
        <x:f>MAX(0,ROUND('기준스탯 72종'!H70-V1572-AD1572,0))</x:f>
        <x:v>4</x:v>
      </x:c>
      <x:c r="O1572" s="2" t="n">
        <x:f>MAX(0,ROUND('기준스탯 72종'!I70-W1572-AE1572,0))</x:f>
        <x:v>3</x:v>
      </x:c>
      <x:c r="P1572" s="2" t="n">
        <x:f>MAX(0,ROUND('기준스탯 72종'!J70-X1572-AF1572,0))</x:f>
        <x:v>5</x:v>
      </x:c>
      <x:c r="Q1572" s="2" t="n">
        <x:f>MAX(0,ROUND('기준스탯 72종'!K70-Y1572-AG1572,0))</x:f>
        <x:v>2</x:v>
      </x:c>
      <x:c r="R1572" s="15" t="n">
        <x:f>'기준스탯 72종'!D70*G1572</x:f>
        <x:v>0</x:v>
      </x:c>
      <x:c r="S1572" s="15" t="n">
        <x:f>'기준스탯 72종'!E70*G1572</x:f>
        <x:v>0</x:v>
      </x:c>
      <x:c r="T1572" s="15" t="n">
        <x:f>'기준스탯 72종'!F70*G1572</x:f>
        <x:v>0</x:v>
      </x:c>
      <x:c r="U1572" s="15" t="n">
        <x:f>'기준스탯 72종'!G70*G1572</x:f>
        <x:v>0</x:v>
      </x:c>
      <x:c r="V1572" s="15" t="n">
        <x:f>'기준스탯 72종'!H70*G1572</x:f>
        <x:v>0</x:v>
      </x:c>
      <x:c r="W1572" s="15" t="n">
        <x:f>'기준스탯 72종'!I70*G1572</x:f>
        <x:v>0</x:v>
      </x:c>
      <x:c r="X1572" s="15" t="n">
        <x:f>'기준스탯 72종'!J70*G1572</x:f>
        <x:v>0</x:v>
      </x:c>
      <x:c r="Y1572" s="15" t="n">
        <x:f>'기준스탯 72종'!K70*G1572</x:f>
        <x:v>0</x:v>
      </x:c>
      <x:c r="Z1572" s="15" t="n">
        <x:f>'기준스탯 72종'!D70*H1572</x:f>
        <x:v>0.8400000000000002</x:v>
      </x:c>
      <x:c r="AA1572" s="15" t="n">
        <x:f>'기준스탯 72종'!E70*H1572</x:f>
        <x:v>0.8400000000000002</x:v>
      </x:c>
      <x:c r="AB1572" s="15" t="n">
        <x:f>'기준스탯 72종'!F70*H1572</x:f>
        <x:v>0.7200000000000002</x:v>
      </x:c>
      <x:c r="AC1572" s="15" t="n">
        <x:f>'기준스탯 72종'!G70*H1572</x:f>
        <x:v>1.2000000000000002</x:v>
      </x:c>
      <x:c r="AD1572" s="15" t="n">
        <x:f>'기준스탯 72종'!H70*H1572</x:f>
        <x:v>0.6000000000000001</x:v>
      </x:c>
      <x:c r="AE1572" s="15" t="n">
        <x:f>'기준스탯 72종'!I70*H1572</x:f>
        <x:v>0.3600000000000001</x:v>
      </x:c>
      <x:c r="AF1572" s="15" t="n">
        <x:f>'기준스탯 72종'!J70*H1572</x:f>
        <x:v>0.7200000000000002</x:v>
      </x:c>
      <x:c r="AG1572" s="15" t="n">
        <x:f>'기준스탯 72종'!K70*H1572</x:f>
        <x:v>0.24000000000000005</x:v>
      </x:c>
    </x:row>
    <x:row r="1573" ht="28" customHeight="1">
      <x:c r="A1573" s="2" t="n">
        <x:v>1566</x:v>
      </x:c>
      <x:c r="B1573" s="2" t="n">
        <x:v>63</x:v>
      </x:c>
      <x:c r="C1573" s="2" t="str">
        <x:v>물병자리</x:v>
      </x:c>
      <x:c r="D1573" s="2" t="str">
        <x:v>사수</x:v>
      </x:c>
      <x:c r="E1573" s="2" t="n">
        <x:v>1</x:v>
      </x:c>
      <x:c r="F1573" s="2" t="n">
        <x:v>4</x:v>
      </x:c>
      <x:c r="G1573" s="14" t="n">
        <x:f>('레벨 계산식'!$E$4-E1573)*'레벨 계산식'!$B$5</x:f>
        <x:v>0.5599999999999999</x:v>
      </x:c>
      <x:c r="H1573" s="14" t="n">
        <x:f>('등급 계산식'!$E$4-F1573)*'등급 계산식'!$B$5</x:f>
        <x:v>0.06000000000000001</x:v>
      </x:c>
      <x:c r="I1573" s="14" t="n">
        <x:f>1-G1573-H1573</x:f>
        <x:v>0.38000000000000006</x:v>
      </x:c>
      <x:c r="J1573" s="2" t="n">
        <x:f>MAX(1,ROUND('기준스탯 72종'!D70-R1573-Z1573,0))</x:f>
        <x:v>3</x:v>
      </x:c>
      <x:c r="K1573" s="2" t="n">
        <x:f>MAX(1,ROUND('기준스탯 72종'!E70-S1573-AA1573,0))</x:f>
        <x:v>3</x:v>
      </x:c>
      <x:c r="L1573" s="2" t="n">
        <x:f>MAX(1,ROUND('기준스탯 72종'!F70-T1573-AB1573,0))</x:f>
        <x:v>2</x:v>
      </x:c>
      <x:c r="M1573" s="2" t="n">
        <x:f>MAX(1,ROUND('기준스탯 72종'!G70-U1573-AC1573,0))</x:f>
        <x:v>4</x:v>
      </x:c>
      <x:c r="N1573" s="2" t="n">
        <x:f>MAX(0,ROUND('기준스탯 72종'!H70-V1573-AD1573,0))</x:f>
        <x:v>2</x:v>
      </x:c>
      <x:c r="O1573" s="2" t="n">
        <x:f>MAX(0,ROUND('기준스탯 72종'!I70-W1573-AE1573,0))</x:f>
        <x:v>1</x:v>
      </x:c>
      <x:c r="P1573" s="2" t="n">
        <x:f>MAX(0,ROUND('기준스탯 72종'!J70-X1573-AF1573,0))</x:f>
        <x:v>2</x:v>
      </x:c>
      <x:c r="Q1573" s="2" t="n">
        <x:f>MAX(0,ROUND('기준스탯 72종'!K70-Y1573-AG1573,0))</x:f>
        <x:v>1</x:v>
      </x:c>
      <x:c r="R1573" s="15" t="n">
        <x:f>'기준스탯 72종'!D70*G1573</x:f>
        <x:v>3.9199999999999995</x:v>
      </x:c>
      <x:c r="S1573" s="15" t="n">
        <x:f>'기준스탯 72종'!E70*G1573</x:f>
        <x:v>3.9199999999999995</x:v>
      </x:c>
      <x:c r="T1573" s="15" t="n">
        <x:f>'기준스탯 72종'!F70*G1573</x:f>
        <x:v>3.3599999999999994</x:v>
      </x:c>
      <x:c r="U1573" s="15" t="n">
        <x:f>'기준스탯 72종'!G70*G1573</x:f>
        <x:v>5.6</x:v>
      </x:c>
      <x:c r="V1573" s="15" t="n">
        <x:f>'기준스탯 72종'!H70*G1573</x:f>
        <x:v>2.8</x:v>
      </x:c>
      <x:c r="W1573" s="15" t="n">
        <x:f>'기준스탯 72종'!I70*G1573</x:f>
        <x:v>1.6799999999999997</x:v>
      </x:c>
      <x:c r="X1573" s="15" t="n">
        <x:f>'기준스탯 72종'!J70*G1573</x:f>
        <x:v>3.3599999999999994</x:v>
      </x:c>
      <x:c r="Y1573" s="15" t="n">
        <x:f>'기준스탯 72종'!K70*G1573</x:f>
        <x:v>1.1199999999999999</x:v>
      </x:c>
      <x:c r="Z1573" s="15" t="n">
        <x:f>'기준스탯 72종'!D70*H1573</x:f>
        <x:v>0.4200000000000001</x:v>
      </x:c>
      <x:c r="AA1573" s="15" t="n">
        <x:f>'기준스탯 72종'!E70*H1573</x:f>
        <x:v>0.4200000000000001</x:v>
      </x:c>
      <x:c r="AB1573" s="15" t="n">
        <x:f>'기준스탯 72종'!F70*H1573</x:f>
        <x:v>0.3600000000000001</x:v>
      </x:c>
      <x:c r="AC1573" s="15" t="n">
        <x:f>'기준스탯 72종'!G70*H1573</x:f>
        <x:v>0.6000000000000001</x:v>
      </x:c>
      <x:c r="AD1573" s="15" t="n">
        <x:f>'기준스탯 72종'!H70*H1573</x:f>
        <x:v>0.30000000000000004</x:v>
      </x:c>
      <x:c r="AE1573" s="15" t="n">
        <x:f>'기준스탯 72종'!I70*H1573</x:f>
        <x:v>0.18000000000000005</x:v>
      </x:c>
      <x:c r="AF1573" s="15" t="n">
        <x:f>'기준스탯 72종'!J70*H1573</x:f>
        <x:v>0.3600000000000001</x:v>
      </x:c>
      <x:c r="AG1573" s="15" t="n">
        <x:f>'기준스탯 72종'!K70*H1573</x:f>
        <x:v>0.12000000000000002</x:v>
      </x:c>
    </x:row>
    <x:row r="1574" ht="28" customHeight="1">
      <x:c r="A1574" s="2" t="n">
        <x:v>1567</x:v>
      </x:c>
      <x:c r="B1574" s="2" t="n">
        <x:v>63</x:v>
      </x:c>
      <x:c r="C1574" s="2" t="str">
        <x:v>물병자리</x:v>
      </x:c>
      <x:c r="D1574" s="2" t="str">
        <x:v>사수</x:v>
      </x:c>
      <x:c r="E1574" s="2" t="n">
        <x:v>2</x:v>
      </x:c>
      <x:c r="F1574" s="2" t="n">
        <x:v>4</x:v>
      </x:c>
      <x:c r="G1574" s="14" t="n">
        <x:f>('레벨 계산식'!$E$4-E1574)*'레벨 계산식'!$B$5</x:f>
        <x:v>0.41999999999999993</x:v>
      </x:c>
      <x:c r="H1574" s="14" t="n">
        <x:f>('등급 계산식'!$E$4-F1574)*'등급 계산식'!$B$5</x:f>
        <x:v>0.06000000000000001</x:v>
      </x:c>
      <x:c r="I1574" s="14" t="n">
        <x:f>1-G1574-H1574</x:f>
        <x:v>0.52</x:v>
      </x:c>
      <x:c r="J1574" s="2" t="n">
        <x:f>MAX(1,ROUND('기준스탯 72종'!D70-R1574-Z1574,0))</x:f>
        <x:v>4</x:v>
      </x:c>
      <x:c r="K1574" s="2" t="n">
        <x:f>MAX(1,ROUND('기준스탯 72종'!E70-S1574-AA1574,0))</x:f>
        <x:v>4</x:v>
      </x:c>
      <x:c r="L1574" s="2" t="n">
        <x:f>MAX(1,ROUND('기준스탯 72종'!F70-T1574-AB1574,0))</x:f>
        <x:v>3</x:v>
      </x:c>
      <x:c r="M1574" s="2" t="n">
        <x:f>MAX(1,ROUND('기준스탯 72종'!G70-U1574-AC1574,0))</x:f>
        <x:v>5</x:v>
      </x:c>
      <x:c r="N1574" s="2" t="n">
        <x:f>MAX(0,ROUND('기준스탯 72종'!H70-V1574-AD1574,0))</x:f>
        <x:v>3</x:v>
      </x:c>
      <x:c r="O1574" s="2" t="n">
        <x:f>MAX(0,ROUND('기준스탯 72종'!I70-W1574-AE1574,0))</x:f>
        <x:v>2</x:v>
      </x:c>
      <x:c r="P1574" s="2" t="n">
        <x:f>MAX(0,ROUND('기준스탯 72종'!J70-X1574-AF1574,0))</x:f>
        <x:v>3</x:v>
      </x:c>
      <x:c r="Q1574" s="2" t="n">
        <x:f>MAX(0,ROUND('기준스탯 72종'!K70-Y1574-AG1574,0))</x:f>
        <x:v>1</x:v>
      </x:c>
      <x:c r="R1574" s="15" t="n">
        <x:f>'기준스탯 72종'!D70*G1574</x:f>
        <x:v>2.9399999999999995</x:v>
      </x:c>
      <x:c r="S1574" s="15" t="n">
        <x:f>'기준스탯 72종'!E70*G1574</x:f>
        <x:v>2.9399999999999995</x:v>
      </x:c>
      <x:c r="T1574" s="15" t="n">
        <x:f>'기준스탯 72종'!F70*G1574</x:f>
        <x:v>2.5199999999999996</x:v>
      </x:c>
      <x:c r="U1574" s="15" t="n">
        <x:f>'기준스탯 72종'!G70*G1574</x:f>
        <x:v>4.199999999999999</x:v>
      </x:c>
      <x:c r="V1574" s="15" t="n">
        <x:f>'기준스탯 72종'!H70*G1574</x:f>
        <x:v>2.0999999999999996</x:v>
      </x:c>
      <x:c r="W1574" s="15" t="n">
        <x:f>'기준스탯 72종'!I70*G1574</x:f>
        <x:v>1.2599999999999998</x:v>
      </x:c>
      <x:c r="X1574" s="15" t="n">
        <x:f>'기준스탯 72종'!J70*G1574</x:f>
        <x:v>2.5199999999999996</x:v>
      </x:c>
      <x:c r="Y1574" s="15" t="n">
        <x:f>'기준스탯 72종'!K70*G1574</x:f>
        <x:v>0.8399999999999999</x:v>
      </x:c>
      <x:c r="Z1574" s="15" t="n">
        <x:f>'기준스탯 72종'!D70*H1574</x:f>
        <x:v>0.4200000000000001</x:v>
      </x:c>
      <x:c r="AA1574" s="15" t="n">
        <x:f>'기준스탯 72종'!E70*H1574</x:f>
        <x:v>0.4200000000000001</x:v>
      </x:c>
      <x:c r="AB1574" s="15" t="n">
        <x:f>'기준스탯 72종'!F70*H1574</x:f>
        <x:v>0.3600000000000001</x:v>
      </x:c>
      <x:c r="AC1574" s="15" t="n">
        <x:f>'기준스탯 72종'!G70*H1574</x:f>
        <x:v>0.6000000000000001</x:v>
      </x:c>
      <x:c r="AD1574" s="15" t="n">
        <x:f>'기준스탯 72종'!H70*H1574</x:f>
        <x:v>0.30000000000000004</x:v>
      </x:c>
      <x:c r="AE1574" s="15" t="n">
        <x:f>'기준스탯 72종'!I70*H1574</x:f>
        <x:v>0.18000000000000005</x:v>
      </x:c>
      <x:c r="AF1574" s="15" t="n">
        <x:f>'기준스탯 72종'!J70*H1574</x:f>
        <x:v>0.3600000000000001</x:v>
      </x:c>
      <x:c r="AG1574" s="15" t="n">
        <x:f>'기준스탯 72종'!K70*H1574</x:f>
        <x:v>0.12000000000000002</x:v>
      </x:c>
    </x:row>
    <x:row r="1575" ht="28" customHeight="1">
      <x:c r="A1575" s="2" t="n">
        <x:v>1568</x:v>
      </x:c>
      <x:c r="B1575" s="2" t="n">
        <x:v>63</x:v>
      </x:c>
      <x:c r="C1575" s="2" t="str">
        <x:v>물병자리</x:v>
      </x:c>
      <x:c r="D1575" s="2" t="str">
        <x:v>사수</x:v>
      </x:c>
      <x:c r="E1575" s="2" t="n">
        <x:v>3</x:v>
      </x:c>
      <x:c r="F1575" s="2" t="n">
        <x:v>4</x:v>
      </x:c>
      <x:c r="G1575" s="14" t="n">
        <x:f>('레벨 계산식'!$E$4-E1575)*'레벨 계산식'!$B$5</x:f>
        <x:v>0.27999999999999997</x:v>
      </x:c>
      <x:c r="H1575" s="14" t="n">
        <x:f>('등급 계산식'!$E$4-F1575)*'등급 계산식'!$B$5</x:f>
        <x:v>0.06000000000000001</x:v>
      </x:c>
      <x:c r="I1575" s="14" t="n">
        <x:f>1-G1575-H1575</x:f>
        <x:v>0.6599999999999999</x:v>
      </x:c>
      <x:c r="J1575" s="2" t="n">
        <x:f>MAX(1,ROUND('기준스탯 72종'!D70-R1575-Z1575,0))</x:f>
        <x:v>5</x:v>
      </x:c>
      <x:c r="K1575" s="2" t="n">
        <x:f>MAX(1,ROUND('기준스탯 72종'!E70-S1575-AA1575,0))</x:f>
        <x:v>5</x:v>
      </x:c>
      <x:c r="L1575" s="2" t="n">
        <x:f>MAX(1,ROUND('기준스탯 72종'!F70-T1575-AB1575,0))</x:f>
        <x:v>4</x:v>
      </x:c>
      <x:c r="M1575" s="2" t="n">
        <x:f>MAX(1,ROUND('기준스탯 72종'!G70-U1575-AC1575,0))</x:f>
        <x:v>7</x:v>
      </x:c>
      <x:c r="N1575" s="2" t="n">
        <x:f>MAX(0,ROUND('기준스탯 72종'!H70-V1575-AD1575,0))</x:f>
        <x:v>3</x:v>
      </x:c>
      <x:c r="O1575" s="2" t="n">
        <x:f>MAX(0,ROUND('기준스탯 72종'!I70-W1575-AE1575,0))</x:f>
        <x:v>2</x:v>
      </x:c>
      <x:c r="P1575" s="2" t="n">
        <x:f>MAX(0,ROUND('기준스탯 72종'!J70-X1575-AF1575,0))</x:f>
        <x:v>4</x:v>
      </x:c>
      <x:c r="Q1575" s="2" t="n">
        <x:f>MAX(0,ROUND('기준스탯 72종'!K70-Y1575-AG1575,0))</x:f>
        <x:v>1</x:v>
      </x:c>
      <x:c r="R1575" s="15" t="n">
        <x:f>'기준스탯 72종'!D70*G1575</x:f>
        <x:v>1.9599999999999997</x:v>
      </x:c>
      <x:c r="S1575" s="15" t="n">
        <x:f>'기준스탯 72종'!E70*G1575</x:f>
        <x:v>1.9599999999999997</x:v>
      </x:c>
      <x:c r="T1575" s="15" t="n">
        <x:f>'기준스탯 72종'!F70*G1575</x:f>
        <x:v>1.6799999999999997</x:v>
      </x:c>
      <x:c r="U1575" s="15" t="n">
        <x:f>'기준스탯 72종'!G70*G1575</x:f>
        <x:v>2.8</x:v>
      </x:c>
      <x:c r="V1575" s="15" t="n">
        <x:f>'기준스탯 72종'!H70*G1575</x:f>
        <x:v>1.4</x:v>
      </x:c>
      <x:c r="W1575" s="15" t="n">
        <x:f>'기준스탯 72종'!I70*G1575</x:f>
        <x:v>0.8399999999999999</x:v>
      </x:c>
      <x:c r="X1575" s="15" t="n">
        <x:f>'기준스탯 72종'!J70*G1575</x:f>
        <x:v>1.6799999999999997</x:v>
      </x:c>
      <x:c r="Y1575" s="15" t="n">
        <x:f>'기준스탯 72종'!K70*G1575</x:f>
        <x:v>0.5599999999999999</x:v>
      </x:c>
      <x:c r="Z1575" s="15" t="n">
        <x:f>'기준스탯 72종'!D70*H1575</x:f>
        <x:v>0.4200000000000001</x:v>
      </x:c>
      <x:c r="AA1575" s="15" t="n">
        <x:f>'기준스탯 72종'!E70*H1575</x:f>
        <x:v>0.4200000000000001</x:v>
      </x:c>
      <x:c r="AB1575" s="15" t="n">
        <x:f>'기준스탯 72종'!F70*H1575</x:f>
        <x:v>0.3600000000000001</x:v>
      </x:c>
      <x:c r="AC1575" s="15" t="n">
        <x:f>'기준스탯 72종'!G70*H1575</x:f>
        <x:v>0.6000000000000001</x:v>
      </x:c>
      <x:c r="AD1575" s="15" t="n">
        <x:f>'기준스탯 72종'!H70*H1575</x:f>
        <x:v>0.30000000000000004</x:v>
      </x:c>
      <x:c r="AE1575" s="15" t="n">
        <x:f>'기준스탯 72종'!I70*H1575</x:f>
        <x:v>0.18000000000000005</x:v>
      </x:c>
      <x:c r="AF1575" s="15" t="n">
        <x:f>'기준스탯 72종'!J70*H1575</x:f>
        <x:v>0.3600000000000001</x:v>
      </x:c>
      <x:c r="AG1575" s="15" t="n">
        <x:f>'기준스탯 72종'!K70*H1575</x:f>
        <x:v>0.12000000000000002</x:v>
      </x:c>
    </x:row>
    <x:row r="1576" ht="28" customHeight="1">
      <x:c r="A1576" s="2" t="n">
        <x:v>1569</x:v>
      </x:c>
      <x:c r="B1576" s="2" t="n">
        <x:v>63</x:v>
      </x:c>
      <x:c r="C1576" s="2" t="str">
        <x:v>물병자리</x:v>
      </x:c>
      <x:c r="D1576" s="2" t="str">
        <x:v>사수</x:v>
      </x:c>
      <x:c r="E1576" s="2" t="n">
        <x:v>4</x:v>
      </x:c>
      <x:c r="F1576" s="2" t="n">
        <x:v>4</x:v>
      </x:c>
      <x:c r="G1576" s="14" t="n">
        <x:f>('레벨 계산식'!$E$4-E1576)*'레벨 계산식'!$B$5</x:f>
        <x:v>0.13999999999999999</x:v>
      </x:c>
      <x:c r="H1576" s="14" t="n">
        <x:f>('등급 계산식'!$E$4-F1576)*'등급 계산식'!$B$5</x:f>
        <x:v>0.06000000000000001</x:v>
      </x:c>
      <x:c r="I1576" s="14" t="n">
        <x:f>1-G1576-H1576</x:f>
        <x:v>0.7999999999999999</x:v>
      </x:c>
      <x:c r="J1576" s="2" t="n">
        <x:f>MAX(1,ROUND('기준스탯 72종'!D70-R1576-Z1576,0))</x:f>
        <x:v>6</x:v>
      </x:c>
      <x:c r="K1576" s="2" t="n">
        <x:f>MAX(1,ROUND('기준스탯 72종'!E70-S1576-AA1576,0))</x:f>
        <x:v>6</x:v>
      </x:c>
      <x:c r="L1576" s="2" t="n">
        <x:f>MAX(1,ROUND('기준스탯 72종'!F70-T1576-AB1576,0))</x:f>
        <x:v>5</x:v>
      </x:c>
      <x:c r="M1576" s="2" t="n">
        <x:f>MAX(1,ROUND('기준스탯 72종'!G70-U1576-AC1576,0))</x:f>
        <x:v>8</x:v>
      </x:c>
      <x:c r="N1576" s="2" t="n">
        <x:f>MAX(0,ROUND('기준스탯 72종'!H70-V1576-AD1576,0))</x:f>
        <x:v>4</x:v>
      </x:c>
      <x:c r="O1576" s="2" t="n">
        <x:f>MAX(0,ROUND('기준스탯 72종'!I70-W1576-AE1576,0))</x:f>
        <x:v>2</x:v>
      </x:c>
      <x:c r="P1576" s="2" t="n">
        <x:f>MAX(0,ROUND('기준스탯 72종'!J70-X1576-AF1576,0))</x:f>
        <x:v>5</x:v>
      </x:c>
      <x:c r="Q1576" s="2" t="n">
        <x:f>MAX(0,ROUND('기준스탯 72종'!K70-Y1576-AG1576,0))</x:f>
        <x:v>2</x:v>
      </x:c>
      <x:c r="R1576" s="15" t="n">
        <x:f>'기준스탯 72종'!D70*G1576</x:f>
        <x:v>0.9799999999999999</x:v>
      </x:c>
      <x:c r="S1576" s="15" t="n">
        <x:f>'기준스탯 72종'!E70*G1576</x:f>
        <x:v>0.9799999999999999</x:v>
      </x:c>
      <x:c r="T1576" s="15" t="n">
        <x:f>'기준스탯 72종'!F70*G1576</x:f>
        <x:v>0.8399999999999999</x:v>
      </x:c>
      <x:c r="U1576" s="15" t="n">
        <x:f>'기준스탯 72종'!G70*G1576</x:f>
        <x:v>1.4</x:v>
      </x:c>
      <x:c r="V1576" s="15" t="n">
        <x:f>'기준스탯 72종'!H70*G1576</x:f>
        <x:v>0.7</x:v>
      </x:c>
      <x:c r="W1576" s="15" t="n">
        <x:f>'기준스탯 72종'!I70*G1576</x:f>
        <x:v>0.41999999999999993</x:v>
      </x:c>
      <x:c r="X1576" s="15" t="n">
        <x:f>'기준스탯 72종'!J70*G1576</x:f>
        <x:v>0.8399999999999999</x:v>
      </x:c>
      <x:c r="Y1576" s="15" t="n">
        <x:f>'기준스탯 72종'!K70*G1576</x:f>
        <x:v>0.27999999999999997</x:v>
      </x:c>
      <x:c r="Z1576" s="15" t="n">
        <x:f>'기준스탯 72종'!D70*H1576</x:f>
        <x:v>0.4200000000000001</x:v>
      </x:c>
      <x:c r="AA1576" s="15" t="n">
        <x:f>'기준스탯 72종'!E70*H1576</x:f>
        <x:v>0.4200000000000001</x:v>
      </x:c>
      <x:c r="AB1576" s="15" t="n">
        <x:f>'기준스탯 72종'!F70*H1576</x:f>
        <x:v>0.3600000000000001</x:v>
      </x:c>
      <x:c r="AC1576" s="15" t="n">
        <x:f>'기준스탯 72종'!G70*H1576</x:f>
        <x:v>0.6000000000000001</x:v>
      </x:c>
      <x:c r="AD1576" s="15" t="n">
        <x:f>'기준스탯 72종'!H70*H1576</x:f>
        <x:v>0.30000000000000004</x:v>
      </x:c>
      <x:c r="AE1576" s="15" t="n">
        <x:f>'기준스탯 72종'!I70*H1576</x:f>
        <x:v>0.18000000000000005</x:v>
      </x:c>
      <x:c r="AF1576" s="15" t="n">
        <x:f>'기준스탯 72종'!J70*H1576</x:f>
        <x:v>0.3600000000000001</x:v>
      </x:c>
      <x:c r="AG1576" s="15" t="n">
        <x:f>'기준스탯 72종'!K70*H1576</x:f>
        <x:v>0.12000000000000002</x:v>
      </x:c>
    </x:row>
    <x:row r="1577" ht="28" customHeight="1">
      <x:c r="A1577" s="2" t="n">
        <x:v>1570</x:v>
      </x:c>
      <x:c r="B1577" s="2" t="n">
        <x:v>63</x:v>
      </x:c>
      <x:c r="C1577" s="2" t="str">
        <x:v>물병자리</x:v>
      </x:c>
      <x:c r="D1577" s="2" t="str">
        <x:v>사수</x:v>
      </x:c>
      <x:c r="E1577" s="2" t="n">
        <x:v>5</x:v>
      </x:c>
      <x:c r="F1577" s="2" t="n">
        <x:v>4</x:v>
      </x:c>
      <x:c r="G1577" s="14" t="n">
        <x:f>('레벨 계산식'!$E$4-E1577)*'레벨 계산식'!$B$5</x:f>
        <x:v>0</x:v>
      </x:c>
      <x:c r="H1577" s="14" t="n">
        <x:f>('등급 계산식'!$E$4-F1577)*'등급 계산식'!$B$5</x:f>
        <x:v>0.06000000000000001</x:v>
      </x:c>
      <x:c r="I1577" s="14" t="n">
        <x:f>1-G1577-H1577</x:f>
        <x:v>0.94</x:v>
      </x:c>
      <x:c r="J1577" s="2" t="n">
        <x:f>MAX(1,ROUND('기준스탯 72종'!D70-R1577-Z1577,0))</x:f>
        <x:v>7</x:v>
      </x:c>
      <x:c r="K1577" s="2" t="n">
        <x:f>MAX(1,ROUND('기준스탯 72종'!E70-S1577-AA1577,0))</x:f>
        <x:v>7</x:v>
      </x:c>
      <x:c r="L1577" s="2" t="n">
        <x:f>MAX(1,ROUND('기준스탯 72종'!F70-T1577-AB1577,0))</x:f>
        <x:v>6</x:v>
      </x:c>
      <x:c r="M1577" s="2" t="n">
        <x:f>MAX(1,ROUND('기준스탯 72종'!G70-U1577-AC1577,0))</x:f>
        <x:v>9</x:v>
      </x:c>
      <x:c r="N1577" s="2" t="n">
        <x:f>MAX(0,ROUND('기준스탯 72종'!H70-V1577-AD1577,0))</x:f>
        <x:v>5</x:v>
      </x:c>
      <x:c r="O1577" s="2" t="n">
        <x:f>MAX(0,ROUND('기준스탯 72종'!I70-W1577-AE1577,0))</x:f>
        <x:v>3</x:v>
      </x:c>
      <x:c r="P1577" s="2" t="n">
        <x:f>MAX(0,ROUND('기준스탯 72종'!J70-X1577-AF1577,0))</x:f>
        <x:v>6</x:v>
      </x:c>
      <x:c r="Q1577" s="2" t="n">
        <x:f>MAX(0,ROUND('기준스탯 72종'!K70-Y1577-AG1577,0))</x:f>
        <x:v>2</x:v>
      </x:c>
      <x:c r="R1577" s="15" t="n">
        <x:f>'기준스탯 72종'!D70*G1577</x:f>
        <x:v>0</x:v>
      </x:c>
      <x:c r="S1577" s="15" t="n">
        <x:f>'기준스탯 72종'!E70*G1577</x:f>
        <x:v>0</x:v>
      </x:c>
      <x:c r="T1577" s="15" t="n">
        <x:f>'기준스탯 72종'!F70*G1577</x:f>
        <x:v>0</x:v>
      </x:c>
      <x:c r="U1577" s="15" t="n">
        <x:f>'기준스탯 72종'!G70*G1577</x:f>
        <x:v>0</x:v>
      </x:c>
      <x:c r="V1577" s="15" t="n">
        <x:f>'기준스탯 72종'!H70*G1577</x:f>
        <x:v>0</x:v>
      </x:c>
      <x:c r="W1577" s="15" t="n">
        <x:f>'기준스탯 72종'!I70*G1577</x:f>
        <x:v>0</x:v>
      </x:c>
      <x:c r="X1577" s="15" t="n">
        <x:f>'기준스탯 72종'!J70*G1577</x:f>
        <x:v>0</x:v>
      </x:c>
      <x:c r="Y1577" s="15" t="n">
        <x:f>'기준스탯 72종'!K70*G1577</x:f>
        <x:v>0</x:v>
      </x:c>
      <x:c r="Z1577" s="15" t="n">
        <x:f>'기준스탯 72종'!D70*H1577</x:f>
        <x:v>0.4200000000000001</x:v>
      </x:c>
      <x:c r="AA1577" s="15" t="n">
        <x:f>'기준스탯 72종'!E70*H1577</x:f>
        <x:v>0.4200000000000001</x:v>
      </x:c>
      <x:c r="AB1577" s="15" t="n">
        <x:f>'기준스탯 72종'!F70*H1577</x:f>
        <x:v>0.3600000000000001</x:v>
      </x:c>
      <x:c r="AC1577" s="15" t="n">
        <x:f>'기준스탯 72종'!G70*H1577</x:f>
        <x:v>0.6000000000000001</x:v>
      </x:c>
      <x:c r="AD1577" s="15" t="n">
        <x:f>'기준스탯 72종'!H70*H1577</x:f>
        <x:v>0.30000000000000004</x:v>
      </x:c>
      <x:c r="AE1577" s="15" t="n">
        <x:f>'기준스탯 72종'!I70*H1577</x:f>
        <x:v>0.18000000000000005</x:v>
      </x:c>
      <x:c r="AF1577" s="15" t="n">
        <x:f>'기준스탯 72종'!J70*H1577</x:f>
        <x:v>0.3600000000000001</x:v>
      </x:c>
      <x:c r="AG1577" s="15" t="n">
        <x:f>'기준스탯 72종'!K70*H1577</x:f>
        <x:v>0.12000000000000002</x:v>
      </x:c>
    </x:row>
    <x:row r="1578" ht="28" customHeight="1">
      <x:c r="A1578" s="2" t="n">
        <x:v>1571</x:v>
      </x:c>
      <x:c r="B1578" s="2" t="n">
        <x:v>63</x:v>
      </x:c>
      <x:c r="C1578" s="2" t="str">
        <x:v>물병자리</x:v>
      </x:c>
      <x:c r="D1578" s="2" t="str">
        <x:v>사수</x:v>
      </x:c>
      <x:c r="E1578" s="2" t="n">
        <x:v>1</x:v>
      </x:c>
      <x:c r="F1578" s="2" t="n">
        <x:v>5</x:v>
      </x:c>
      <x:c r="G1578" s="14" t="n">
        <x:f>('레벨 계산식'!$E$4-E1578)*'레벨 계산식'!$B$5</x:f>
        <x:v>0.5599999999999999</x:v>
      </x:c>
      <x:c r="H1578" s="14" t="n">
        <x:f>('등급 계산식'!$E$4-F1578)*'등급 계산식'!$B$5</x:f>
        <x:v>0</x:v>
      </x:c>
      <x:c r="I1578" s="14" t="n">
        <x:f>1-G1578-H1578</x:f>
        <x:v>0.44000000000000006</x:v>
      </x:c>
      <x:c r="J1578" s="2" t="n">
        <x:f>MAX(1,ROUND('기준스탯 72종'!D70-R1578-Z1578,0))</x:f>
        <x:v>3</x:v>
      </x:c>
      <x:c r="K1578" s="2" t="n">
        <x:f>MAX(1,ROUND('기준스탯 72종'!E70-S1578-AA1578,0))</x:f>
        <x:v>3</x:v>
      </x:c>
      <x:c r="L1578" s="2" t="n">
        <x:f>MAX(1,ROUND('기준스탯 72종'!F70-T1578-AB1578,0))</x:f>
        <x:v>3</x:v>
      </x:c>
      <x:c r="M1578" s="2" t="n">
        <x:f>MAX(1,ROUND('기준스탯 72종'!G70-U1578-AC1578,0))</x:f>
        <x:v>4</x:v>
      </x:c>
      <x:c r="N1578" s="2" t="n">
        <x:f>MAX(0,ROUND('기준스탯 72종'!H70-V1578-AD1578,0))</x:f>
        <x:v>2</x:v>
      </x:c>
      <x:c r="O1578" s="2" t="n">
        <x:f>MAX(0,ROUND('기준스탯 72종'!I70-W1578-AE1578,0))</x:f>
        <x:v>1</x:v>
      </x:c>
      <x:c r="P1578" s="2" t="n">
        <x:f>MAX(0,ROUND('기준스탯 72종'!J70-X1578-AF1578,0))</x:f>
        <x:v>3</x:v>
      </x:c>
      <x:c r="Q1578" s="2" t="n">
        <x:f>MAX(0,ROUND('기준스탯 72종'!K70-Y1578-AG1578,0))</x:f>
        <x:v>1</x:v>
      </x:c>
      <x:c r="R1578" s="15" t="n">
        <x:f>'기준스탯 72종'!D70*G1578</x:f>
        <x:v>3.9199999999999995</x:v>
      </x:c>
      <x:c r="S1578" s="15" t="n">
        <x:f>'기준스탯 72종'!E70*G1578</x:f>
        <x:v>3.9199999999999995</x:v>
      </x:c>
      <x:c r="T1578" s="15" t="n">
        <x:f>'기준스탯 72종'!F70*G1578</x:f>
        <x:v>3.3599999999999994</x:v>
      </x:c>
      <x:c r="U1578" s="15" t="n">
        <x:f>'기준스탯 72종'!G70*G1578</x:f>
        <x:v>5.6</x:v>
      </x:c>
      <x:c r="V1578" s="15" t="n">
        <x:f>'기준스탯 72종'!H70*G1578</x:f>
        <x:v>2.8</x:v>
      </x:c>
      <x:c r="W1578" s="15" t="n">
        <x:f>'기준스탯 72종'!I70*G1578</x:f>
        <x:v>1.6799999999999997</x:v>
      </x:c>
      <x:c r="X1578" s="15" t="n">
        <x:f>'기준스탯 72종'!J70*G1578</x:f>
        <x:v>3.3599999999999994</x:v>
      </x:c>
      <x:c r="Y1578" s="15" t="n">
        <x:f>'기준스탯 72종'!K70*G1578</x:f>
        <x:v>1.1199999999999999</x:v>
      </x:c>
      <x:c r="Z1578" s="15" t="n">
        <x:f>'기준스탯 72종'!D70*H1578</x:f>
        <x:v>0</x:v>
      </x:c>
      <x:c r="AA1578" s="15" t="n">
        <x:f>'기준스탯 72종'!E70*H1578</x:f>
        <x:v>0</x:v>
      </x:c>
      <x:c r="AB1578" s="15" t="n">
        <x:f>'기준스탯 72종'!F70*H1578</x:f>
        <x:v>0</x:v>
      </x:c>
      <x:c r="AC1578" s="15" t="n">
        <x:f>'기준스탯 72종'!G70*H1578</x:f>
        <x:v>0</x:v>
      </x:c>
      <x:c r="AD1578" s="15" t="n">
        <x:f>'기준스탯 72종'!H70*H1578</x:f>
        <x:v>0</x:v>
      </x:c>
      <x:c r="AE1578" s="15" t="n">
        <x:f>'기준스탯 72종'!I70*H1578</x:f>
        <x:v>0</x:v>
      </x:c>
      <x:c r="AF1578" s="15" t="n">
        <x:f>'기준스탯 72종'!J70*H1578</x:f>
        <x:v>0</x:v>
      </x:c>
      <x:c r="AG1578" s="15" t="n">
        <x:f>'기준스탯 72종'!K70*H1578</x:f>
        <x:v>0</x:v>
      </x:c>
    </x:row>
    <x:row r="1579" ht="28" customHeight="1">
      <x:c r="A1579" s="2" t="n">
        <x:v>1572</x:v>
      </x:c>
      <x:c r="B1579" s="2" t="n">
        <x:v>63</x:v>
      </x:c>
      <x:c r="C1579" s="2" t="str">
        <x:v>물병자리</x:v>
      </x:c>
      <x:c r="D1579" s="2" t="str">
        <x:v>사수</x:v>
      </x:c>
      <x:c r="E1579" s="2" t="n">
        <x:v>2</x:v>
      </x:c>
      <x:c r="F1579" s="2" t="n">
        <x:v>5</x:v>
      </x:c>
      <x:c r="G1579" s="14" t="n">
        <x:f>('레벨 계산식'!$E$4-E1579)*'레벨 계산식'!$B$5</x:f>
        <x:v>0.41999999999999993</x:v>
      </x:c>
      <x:c r="H1579" s="14" t="n">
        <x:f>('등급 계산식'!$E$4-F1579)*'등급 계산식'!$B$5</x:f>
        <x:v>0</x:v>
      </x:c>
      <x:c r="I1579" s="14" t="n">
        <x:f>1-G1579-H1579</x:f>
        <x:v>0.5800000000000001</x:v>
      </x:c>
      <x:c r="J1579" s="2" t="n">
        <x:f>MAX(1,ROUND('기준스탯 72종'!D70-R1579-Z1579,0))</x:f>
        <x:v>4</x:v>
      </x:c>
      <x:c r="K1579" s="2" t="n">
        <x:f>MAX(1,ROUND('기준스탯 72종'!E70-S1579-AA1579,0))</x:f>
        <x:v>4</x:v>
      </x:c>
      <x:c r="L1579" s="2" t="n">
        <x:f>MAX(1,ROUND('기준스탯 72종'!F70-T1579-AB1579,0))</x:f>
        <x:v>3</x:v>
      </x:c>
      <x:c r="M1579" s="2" t="n">
        <x:f>MAX(1,ROUND('기준스탯 72종'!G70-U1579-AC1579,0))</x:f>
        <x:v>6</x:v>
      </x:c>
      <x:c r="N1579" s="2" t="n">
        <x:f>MAX(0,ROUND('기준스탯 72종'!H70-V1579-AD1579,0))</x:f>
        <x:v>3</x:v>
      </x:c>
      <x:c r="O1579" s="2" t="n">
        <x:f>MAX(0,ROUND('기준스탯 72종'!I70-W1579-AE1579,0))</x:f>
        <x:v>2</x:v>
      </x:c>
      <x:c r="P1579" s="2" t="n">
        <x:f>MAX(0,ROUND('기준스탯 72종'!J70-X1579-AF1579,0))</x:f>
        <x:v>3</x:v>
      </x:c>
      <x:c r="Q1579" s="2" t="n">
        <x:f>MAX(0,ROUND('기준스탯 72종'!K70-Y1579-AG1579,0))</x:f>
        <x:v>1</x:v>
      </x:c>
      <x:c r="R1579" s="15" t="n">
        <x:f>'기준스탯 72종'!D70*G1579</x:f>
        <x:v>2.9399999999999995</x:v>
      </x:c>
      <x:c r="S1579" s="15" t="n">
        <x:f>'기준스탯 72종'!E70*G1579</x:f>
        <x:v>2.9399999999999995</x:v>
      </x:c>
      <x:c r="T1579" s="15" t="n">
        <x:f>'기준스탯 72종'!F70*G1579</x:f>
        <x:v>2.5199999999999996</x:v>
      </x:c>
      <x:c r="U1579" s="15" t="n">
        <x:f>'기준스탯 72종'!G70*G1579</x:f>
        <x:v>4.199999999999999</x:v>
      </x:c>
      <x:c r="V1579" s="15" t="n">
        <x:f>'기준스탯 72종'!H70*G1579</x:f>
        <x:v>2.0999999999999996</x:v>
      </x:c>
      <x:c r="W1579" s="15" t="n">
        <x:f>'기준스탯 72종'!I70*G1579</x:f>
        <x:v>1.2599999999999998</x:v>
      </x:c>
      <x:c r="X1579" s="15" t="n">
        <x:f>'기준스탯 72종'!J70*G1579</x:f>
        <x:v>2.5199999999999996</x:v>
      </x:c>
      <x:c r="Y1579" s="15" t="n">
        <x:f>'기준스탯 72종'!K70*G1579</x:f>
        <x:v>0.8399999999999999</x:v>
      </x:c>
      <x:c r="Z1579" s="15" t="n">
        <x:f>'기준스탯 72종'!D70*H1579</x:f>
        <x:v>0</x:v>
      </x:c>
      <x:c r="AA1579" s="15" t="n">
        <x:f>'기준스탯 72종'!E70*H1579</x:f>
        <x:v>0</x:v>
      </x:c>
      <x:c r="AB1579" s="15" t="n">
        <x:f>'기준스탯 72종'!F70*H1579</x:f>
        <x:v>0</x:v>
      </x:c>
      <x:c r="AC1579" s="15" t="n">
        <x:f>'기준스탯 72종'!G70*H1579</x:f>
        <x:v>0</x:v>
      </x:c>
      <x:c r="AD1579" s="15" t="n">
        <x:f>'기준스탯 72종'!H70*H1579</x:f>
        <x:v>0</x:v>
      </x:c>
      <x:c r="AE1579" s="15" t="n">
        <x:f>'기준스탯 72종'!I70*H1579</x:f>
        <x:v>0</x:v>
      </x:c>
      <x:c r="AF1579" s="15" t="n">
        <x:f>'기준스탯 72종'!J70*H1579</x:f>
        <x:v>0</x:v>
      </x:c>
      <x:c r="AG1579" s="15" t="n">
        <x:f>'기준스탯 72종'!K70*H1579</x:f>
        <x:v>0</x:v>
      </x:c>
    </x:row>
    <x:row r="1580" ht="28" customHeight="1">
      <x:c r="A1580" s="2" t="n">
        <x:v>1573</x:v>
      </x:c>
      <x:c r="B1580" s="2" t="n">
        <x:v>63</x:v>
      </x:c>
      <x:c r="C1580" s="2" t="str">
        <x:v>물병자리</x:v>
      </x:c>
      <x:c r="D1580" s="2" t="str">
        <x:v>사수</x:v>
      </x:c>
      <x:c r="E1580" s="2" t="n">
        <x:v>3</x:v>
      </x:c>
      <x:c r="F1580" s="2" t="n">
        <x:v>5</x:v>
      </x:c>
      <x:c r="G1580" s="14" t="n">
        <x:f>('레벨 계산식'!$E$4-E1580)*'레벨 계산식'!$B$5</x:f>
        <x:v>0.27999999999999997</x:v>
      </x:c>
      <x:c r="H1580" s="14" t="n">
        <x:f>('등급 계산식'!$E$4-F1580)*'등급 계산식'!$B$5</x:f>
        <x:v>0</x:v>
      </x:c>
      <x:c r="I1580" s="14" t="n">
        <x:f>1-G1580-H1580</x:f>
        <x:v>0.72</x:v>
      </x:c>
      <x:c r="J1580" s="2" t="n">
        <x:f>MAX(1,ROUND('기준스탯 72종'!D70-R1580-Z1580,0))</x:f>
        <x:v>5</x:v>
      </x:c>
      <x:c r="K1580" s="2" t="n">
        <x:f>MAX(1,ROUND('기준스탯 72종'!E70-S1580-AA1580,0))</x:f>
        <x:v>5</x:v>
      </x:c>
      <x:c r="L1580" s="2" t="n">
        <x:f>MAX(1,ROUND('기준스탯 72종'!F70-T1580-AB1580,0))</x:f>
        <x:v>4</x:v>
      </x:c>
      <x:c r="M1580" s="2" t="n">
        <x:f>MAX(1,ROUND('기준스탯 72종'!G70-U1580-AC1580,0))</x:f>
        <x:v>7</x:v>
      </x:c>
      <x:c r="N1580" s="2" t="n">
        <x:f>MAX(0,ROUND('기준스탯 72종'!H70-V1580-AD1580,0))</x:f>
        <x:v>4</x:v>
      </x:c>
      <x:c r="O1580" s="2" t="n">
        <x:f>MAX(0,ROUND('기준스탯 72종'!I70-W1580-AE1580,0))</x:f>
        <x:v>2</x:v>
      </x:c>
      <x:c r="P1580" s="2" t="n">
        <x:f>MAX(0,ROUND('기준스탯 72종'!J70-X1580-AF1580,0))</x:f>
        <x:v>4</x:v>
      </x:c>
      <x:c r="Q1580" s="2" t="n">
        <x:f>MAX(0,ROUND('기준스탯 72종'!K70-Y1580-AG1580,0))</x:f>
        <x:v>1</x:v>
      </x:c>
      <x:c r="R1580" s="15" t="n">
        <x:f>'기준스탯 72종'!D70*G1580</x:f>
        <x:v>1.9599999999999997</x:v>
      </x:c>
      <x:c r="S1580" s="15" t="n">
        <x:f>'기준스탯 72종'!E70*G1580</x:f>
        <x:v>1.9599999999999997</x:v>
      </x:c>
      <x:c r="T1580" s="15" t="n">
        <x:f>'기준스탯 72종'!F70*G1580</x:f>
        <x:v>1.6799999999999997</x:v>
      </x:c>
      <x:c r="U1580" s="15" t="n">
        <x:f>'기준스탯 72종'!G70*G1580</x:f>
        <x:v>2.8</x:v>
      </x:c>
      <x:c r="V1580" s="15" t="n">
        <x:f>'기준스탯 72종'!H70*G1580</x:f>
        <x:v>1.4</x:v>
      </x:c>
      <x:c r="W1580" s="15" t="n">
        <x:f>'기준스탯 72종'!I70*G1580</x:f>
        <x:v>0.8399999999999999</x:v>
      </x:c>
      <x:c r="X1580" s="15" t="n">
        <x:f>'기준스탯 72종'!J70*G1580</x:f>
        <x:v>1.6799999999999997</x:v>
      </x:c>
      <x:c r="Y1580" s="15" t="n">
        <x:f>'기준스탯 72종'!K70*G1580</x:f>
        <x:v>0.5599999999999999</x:v>
      </x:c>
      <x:c r="Z1580" s="15" t="n">
        <x:f>'기준스탯 72종'!D70*H1580</x:f>
        <x:v>0</x:v>
      </x:c>
      <x:c r="AA1580" s="15" t="n">
        <x:f>'기준스탯 72종'!E70*H1580</x:f>
        <x:v>0</x:v>
      </x:c>
      <x:c r="AB1580" s="15" t="n">
        <x:f>'기준스탯 72종'!F70*H1580</x:f>
        <x:v>0</x:v>
      </x:c>
      <x:c r="AC1580" s="15" t="n">
        <x:f>'기준스탯 72종'!G70*H1580</x:f>
        <x:v>0</x:v>
      </x:c>
      <x:c r="AD1580" s="15" t="n">
        <x:f>'기준스탯 72종'!H70*H1580</x:f>
        <x:v>0</x:v>
      </x:c>
      <x:c r="AE1580" s="15" t="n">
        <x:f>'기준스탯 72종'!I70*H1580</x:f>
        <x:v>0</x:v>
      </x:c>
      <x:c r="AF1580" s="15" t="n">
        <x:f>'기준스탯 72종'!J70*H1580</x:f>
        <x:v>0</x:v>
      </x:c>
      <x:c r="AG1580" s="15" t="n">
        <x:f>'기준스탯 72종'!K70*H1580</x:f>
        <x:v>0</x:v>
      </x:c>
    </x:row>
    <x:row r="1581" ht="28" customHeight="1">
      <x:c r="A1581" s="2" t="n">
        <x:v>1574</x:v>
      </x:c>
      <x:c r="B1581" s="2" t="n">
        <x:v>63</x:v>
      </x:c>
      <x:c r="C1581" s="2" t="str">
        <x:v>물병자리</x:v>
      </x:c>
      <x:c r="D1581" s="2" t="str">
        <x:v>사수</x:v>
      </x:c>
      <x:c r="E1581" s="2" t="n">
        <x:v>4</x:v>
      </x:c>
      <x:c r="F1581" s="2" t="n">
        <x:v>5</x:v>
      </x:c>
      <x:c r="G1581" s="14" t="n">
        <x:f>('레벨 계산식'!$E$4-E1581)*'레벨 계산식'!$B$5</x:f>
        <x:v>0.13999999999999999</x:v>
      </x:c>
      <x:c r="H1581" s="14" t="n">
        <x:f>('등급 계산식'!$E$4-F1581)*'등급 계산식'!$B$5</x:f>
        <x:v>0</x:v>
      </x:c>
      <x:c r="I1581" s="14" t="n">
        <x:f>1-G1581-H1581</x:f>
        <x:v>0.86</x:v>
      </x:c>
      <x:c r="J1581" s="2" t="n">
        <x:f>MAX(1,ROUND('기준스탯 72종'!D70-R1581-Z1581,0))</x:f>
        <x:v>6</x:v>
      </x:c>
      <x:c r="K1581" s="2" t="n">
        <x:f>MAX(1,ROUND('기준스탯 72종'!E70-S1581-AA1581,0))</x:f>
        <x:v>6</x:v>
      </x:c>
      <x:c r="L1581" s="2" t="n">
        <x:f>MAX(1,ROUND('기준스탯 72종'!F70-T1581-AB1581,0))</x:f>
        <x:v>5</x:v>
      </x:c>
      <x:c r="M1581" s="2" t="n">
        <x:f>MAX(1,ROUND('기준스탯 72종'!G70-U1581-AC1581,0))</x:f>
        <x:v>9</x:v>
      </x:c>
      <x:c r="N1581" s="2" t="n">
        <x:f>MAX(0,ROUND('기준스탯 72종'!H70-V1581-AD1581,0))</x:f>
        <x:v>4</x:v>
      </x:c>
      <x:c r="O1581" s="2" t="n">
        <x:f>MAX(0,ROUND('기준스탯 72종'!I70-W1581-AE1581,0))</x:f>
        <x:v>3</x:v>
      </x:c>
      <x:c r="P1581" s="2" t="n">
        <x:f>MAX(0,ROUND('기준스탯 72종'!J70-X1581-AF1581,0))</x:f>
        <x:v>5</x:v>
      </x:c>
      <x:c r="Q1581" s="2" t="n">
        <x:f>MAX(0,ROUND('기준스탯 72종'!K70-Y1581-AG1581,0))</x:f>
        <x:v>2</x:v>
      </x:c>
      <x:c r="R1581" s="15" t="n">
        <x:f>'기준스탯 72종'!D70*G1581</x:f>
        <x:v>0.9799999999999999</x:v>
      </x:c>
      <x:c r="S1581" s="15" t="n">
        <x:f>'기준스탯 72종'!E70*G1581</x:f>
        <x:v>0.9799999999999999</x:v>
      </x:c>
      <x:c r="T1581" s="15" t="n">
        <x:f>'기준스탯 72종'!F70*G1581</x:f>
        <x:v>0.8399999999999999</x:v>
      </x:c>
      <x:c r="U1581" s="15" t="n">
        <x:f>'기준스탯 72종'!G70*G1581</x:f>
        <x:v>1.4</x:v>
      </x:c>
      <x:c r="V1581" s="15" t="n">
        <x:f>'기준스탯 72종'!H70*G1581</x:f>
        <x:v>0.7</x:v>
      </x:c>
      <x:c r="W1581" s="15" t="n">
        <x:f>'기준스탯 72종'!I70*G1581</x:f>
        <x:v>0.41999999999999993</x:v>
      </x:c>
      <x:c r="X1581" s="15" t="n">
        <x:f>'기준스탯 72종'!J70*G1581</x:f>
        <x:v>0.8399999999999999</x:v>
      </x:c>
      <x:c r="Y1581" s="15" t="n">
        <x:f>'기준스탯 72종'!K70*G1581</x:f>
        <x:v>0.27999999999999997</x:v>
      </x:c>
      <x:c r="Z1581" s="15" t="n">
        <x:f>'기준스탯 72종'!D70*H1581</x:f>
        <x:v>0</x:v>
      </x:c>
      <x:c r="AA1581" s="15" t="n">
        <x:f>'기준스탯 72종'!E70*H1581</x:f>
        <x:v>0</x:v>
      </x:c>
      <x:c r="AB1581" s="15" t="n">
        <x:f>'기준스탯 72종'!F70*H1581</x:f>
        <x:v>0</x:v>
      </x:c>
      <x:c r="AC1581" s="15" t="n">
        <x:f>'기준스탯 72종'!G70*H1581</x:f>
        <x:v>0</x:v>
      </x:c>
      <x:c r="AD1581" s="15" t="n">
        <x:f>'기준스탯 72종'!H70*H1581</x:f>
        <x:v>0</x:v>
      </x:c>
      <x:c r="AE1581" s="15" t="n">
        <x:f>'기준스탯 72종'!I70*H1581</x:f>
        <x:v>0</x:v>
      </x:c>
      <x:c r="AF1581" s="15" t="n">
        <x:f>'기준스탯 72종'!J70*H1581</x:f>
        <x:v>0</x:v>
      </x:c>
      <x:c r="AG1581" s="15" t="n">
        <x:f>'기준스탯 72종'!K70*H1581</x:f>
        <x:v>0</x:v>
      </x:c>
    </x:row>
    <x:row r="1582" ht="28" customHeight="1">
      <x:c r="A1582" s="2" t="n">
        <x:v>1575</x:v>
      </x:c>
      <x:c r="B1582" s="2" t="n">
        <x:v>63</x:v>
      </x:c>
      <x:c r="C1582" s="2" t="str">
        <x:v>물병자리</x:v>
      </x:c>
      <x:c r="D1582" s="2" t="str">
        <x:v>사수</x:v>
      </x:c>
      <x:c r="E1582" s="2" t="n">
        <x:v>5</x:v>
      </x:c>
      <x:c r="F1582" s="2" t="n">
        <x:v>5</x:v>
      </x:c>
      <x:c r="G1582" s="14" t="n">
        <x:f>('레벨 계산식'!$E$4-E1582)*'레벨 계산식'!$B$5</x:f>
        <x:v>0</x:v>
      </x:c>
      <x:c r="H1582" s="14" t="n">
        <x:f>('등급 계산식'!$E$4-F1582)*'등급 계산식'!$B$5</x:f>
        <x:v>0</x:v>
      </x:c>
      <x:c r="I1582" s="14" t="n">
        <x:f>1-G1582-H1582</x:f>
        <x:v>1</x:v>
      </x:c>
      <x:c r="J1582" s="2" t="n">
        <x:f>MAX(1,ROUND('기준스탯 72종'!D70-R1582-Z1582,0))</x:f>
        <x:v>7</x:v>
      </x:c>
      <x:c r="K1582" s="2" t="n">
        <x:f>MAX(1,ROUND('기준스탯 72종'!E70-S1582-AA1582,0))</x:f>
        <x:v>7</x:v>
      </x:c>
      <x:c r="L1582" s="2" t="n">
        <x:f>MAX(1,ROUND('기준스탯 72종'!F70-T1582-AB1582,0))</x:f>
        <x:v>6</x:v>
      </x:c>
      <x:c r="M1582" s="2" t="n">
        <x:f>MAX(1,ROUND('기준스탯 72종'!G70-U1582-AC1582,0))</x:f>
        <x:v>10</x:v>
      </x:c>
      <x:c r="N1582" s="2" t="n">
        <x:f>MAX(0,ROUND('기준스탯 72종'!H70-V1582-AD1582,0))</x:f>
        <x:v>5</x:v>
      </x:c>
      <x:c r="O1582" s="2" t="n">
        <x:f>MAX(0,ROUND('기준스탯 72종'!I70-W1582-AE1582,0))</x:f>
        <x:v>3</x:v>
      </x:c>
      <x:c r="P1582" s="2" t="n">
        <x:f>MAX(0,ROUND('기준스탯 72종'!J70-X1582-AF1582,0))</x:f>
        <x:v>6</x:v>
      </x:c>
      <x:c r="Q1582" s="2" t="n">
        <x:f>MAX(0,ROUND('기준스탯 72종'!K70-Y1582-AG1582,0))</x:f>
        <x:v>2</x:v>
      </x:c>
      <x:c r="R1582" s="15" t="n">
        <x:f>'기준스탯 72종'!D70*G1582</x:f>
        <x:v>0</x:v>
      </x:c>
      <x:c r="S1582" s="15" t="n">
        <x:f>'기준스탯 72종'!E70*G1582</x:f>
        <x:v>0</x:v>
      </x:c>
      <x:c r="T1582" s="15" t="n">
        <x:f>'기준스탯 72종'!F70*G1582</x:f>
        <x:v>0</x:v>
      </x:c>
      <x:c r="U1582" s="15" t="n">
        <x:f>'기준스탯 72종'!G70*G1582</x:f>
        <x:v>0</x:v>
      </x:c>
      <x:c r="V1582" s="15" t="n">
        <x:f>'기준스탯 72종'!H70*G1582</x:f>
        <x:v>0</x:v>
      </x:c>
      <x:c r="W1582" s="15" t="n">
        <x:f>'기준스탯 72종'!I70*G1582</x:f>
        <x:v>0</x:v>
      </x:c>
      <x:c r="X1582" s="15" t="n">
        <x:f>'기준스탯 72종'!J70*G1582</x:f>
        <x:v>0</x:v>
      </x:c>
      <x:c r="Y1582" s="15" t="n">
        <x:f>'기준스탯 72종'!K70*G1582</x:f>
        <x:v>0</x:v>
      </x:c>
      <x:c r="Z1582" s="15" t="n">
        <x:f>'기준스탯 72종'!D70*H1582</x:f>
        <x:v>0</x:v>
      </x:c>
      <x:c r="AA1582" s="15" t="n">
        <x:f>'기준스탯 72종'!E70*H1582</x:f>
        <x:v>0</x:v>
      </x:c>
      <x:c r="AB1582" s="15" t="n">
        <x:f>'기준스탯 72종'!F70*H1582</x:f>
        <x:v>0</x:v>
      </x:c>
      <x:c r="AC1582" s="15" t="n">
        <x:f>'기준스탯 72종'!G70*H1582</x:f>
        <x:v>0</x:v>
      </x:c>
      <x:c r="AD1582" s="15" t="n">
        <x:f>'기준스탯 72종'!H70*H1582</x:f>
        <x:v>0</x:v>
      </x:c>
      <x:c r="AE1582" s="15" t="n">
        <x:f>'기준스탯 72종'!I70*H1582</x:f>
        <x:v>0</x:v>
      </x:c>
      <x:c r="AF1582" s="15" t="n">
        <x:f>'기준스탯 72종'!J70*H1582</x:f>
        <x:v>0</x:v>
      </x:c>
      <x:c r="AG1582" s="15" t="n">
        <x:f>'기준스탯 72종'!K70*H1582</x:f>
        <x:v>0</x:v>
      </x:c>
    </x:row>
    <x:row r="1583" ht="28" customHeight="1">
      <x:c r="A1583" s="2" t="n">
        <x:v>1576</x:v>
      </x:c>
      <x:c r="B1583" s="2" t="n">
        <x:v>64</x:v>
      </x:c>
      <x:c r="C1583" s="2" t="str">
        <x:v>물병자리</x:v>
      </x:c>
      <x:c r="D1583" s="2" t="str">
        <x:v>정령사</x:v>
      </x:c>
      <x:c r="E1583" s="2" t="n">
        <x:v>1</x:v>
      </x:c>
      <x:c r="F1583" s="2" t="n">
        <x:v>1</x:v>
      </x:c>
      <x:c r="G1583" s="14" t="n">
        <x:f>('레벨 계산식'!$E$4-E1583)*'레벨 계산식'!$B$5</x:f>
        <x:v>0.5599999999999999</x:v>
      </x:c>
      <x:c r="H1583" s="14" t="n">
        <x:f>('등급 계산식'!$E$4-F1583)*'등급 계산식'!$B$5</x:f>
        <x:v>0.24000000000000005</x:v>
      </x:c>
      <x:c r="I1583" s="14" t="n">
        <x:f>1-G1583-H1583</x:f>
        <x:v>0.2</x:v>
      </x:c>
      <x:c r="J1583" s="2" t="n">
        <x:f>MAX(1,ROUND('기준스탯 72종'!D71-R1583-Z1583,0))</x:f>
        <x:v>1</x:v>
      </x:c>
      <x:c r="K1583" s="2" t="n">
        <x:f>MAX(1,ROUND('기준스탯 72종'!E71-S1583-AA1583,0))</x:f>
        <x:v>2</x:v>
      </x:c>
      <x:c r="L1583" s="2" t="n">
        <x:f>MAX(1,ROUND('기준스탯 72종'!F71-T1583-AB1583,0))</x:f>
        <x:v>2</x:v>
      </x:c>
      <x:c r="M1583" s="2" t="n">
        <x:f>MAX(1,ROUND('기준스탯 72종'!G71-U1583-AC1583,0))</x:f>
        <x:v>2</x:v>
      </x:c>
      <x:c r="N1583" s="2" t="n">
        <x:f>MAX(0,ROUND('기준스탯 72종'!H71-V1583-AD1583,0))</x:f>
        <x:v>1</x:v>
      </x:c>
      <x:c r="O1583" s="2" t="n">
        <x:f>MAX(0,ROUND('기준스탯 72종'!I71-W1583-AE1583,0))</x:f>
        <x:v>1</x:v>
      </x:c>
      <x:c r="P1583" s="2" t="n">
        <x:f>MAX(0,ROUND('기준스탯 72종'!J71-X1583-AF1583,0))</x:f>
        <x:v>1</x:v>
      </x:c>
      <x:c r="Q1583" s="2" t="n">
        <x:f>MAX(0,ROUND('기준스탯 72종'!K71-Y1583-AG1583,0))</x:f>
        <x:v>1</x:v>
      </x:c>
      <x:c r="R1583" s="15" t="n">
        <x:f>'기준스탯 72종'!D71*G1583</x:f>
        <x:v>3.3599999999999994</x:v>
      </x:c>
      <x:c r="S1583" s="15" t="n">
        <x:f>'기준스탯 72종'!E71*G1583</x:f>
        <x:v>4.4799999999999995</x:v>
      </x:c>
      <x:c r="T1583" s="15" t="n">
        <x:f>'기준스탯 72종'!F71*G1583</x:f>
        <x:v>4.4799999999999995</x:v>
      </x:c>
      <x:c r="U1583" s="15" t="n">
        <x:f>'기준스탯 72종'!G71*G1583</x:f>
        <x:v>5.039999999999999</x:v>
      </x:c>
      <x:c r="V1583" s="15" t="n">
        <x:f>'기준스탯 72종'!H71*G1583</x:f>
        <x:v>1.6799999999999997</x:v>
      </x:c>
      <x:c r="W1583" s="15" t="n">
        <x:f>'기준스탯 72종'!I71*G1583</x:f>
        <x:v>1.6799999999999997</x:v>
      </x:c>
      <x:c r="X1583" s="15" t="n">
        <x:f>'기준스탯 72종'!J71*G1583</x:f>
        <x:v>3.3599999999999994</x:v>
      </x:c>
      <x:c r="Y1583" s="15" t="n">
        <x:f>'기준스탯 72종'!K71*G1583</x:f>
        <x:v>2.2399999999999998</x:v>
      </x:c>
      <x:c r="Z1583" s="15" t="n">
        <x:f>'기준스탯 72종'!D71*H1583</x:f>
        <x:v>1.4400000000000004</x:v>
      </x:c>
      <x:c r="AA1583" s="15" t="n">
        <x:f>'기준스탯 72종'!E71*H1583</x:f>
        <x:v>1.9200000000000004</x:v>
      </x:c>
      <x:c r="AB1583" s="15" t="n">
        <x:f>'기준스탯 72종'!F71*H1583</x:f>
        <x:v>1.9200000000000004</x:v>
      </x:c>
      <x:c r="AC1583" s="15" t="n">
        <x:f>'기준스탯 72종'!G71*H1583</x:f>
        <x:v>2.1600000000000006</x:v>
      </x:c>
      <x:c r="AD1583" s="15" t="n">
        <x:f>'기준스탯 72종'!H71*H1583</x:f>
        <x:v>0.7200000000000002</x:v>
      </x:c>
      <x:c r="AE1583" s="15" t="n">
        <x:f>'기준스탯 72종'!I71*H1583</x:f>
        <x:v>0.7200000000000002</x:v>
      </x:c>
      <x:c r="AF1583" s="15" t="n">
        <x:f>'기준스탯 72종'!J71*H1583</x:f>
        <x:v>1.4400000000000004</x:v>
      </x:c>
      <x:c r="AG1583" s="15" t="n">
        <x:f>'기준스탯 72종'!K71*H1583</x:f>
        <x:v>0.9600000000000002</x:v>
      </x:c>
    </x:row>
    <x:row r="1584" ht="28" customHeight="1">
      <x:c r="A1584" s="2" t="n">
        <x:v>1577</x:v>
      </x:c>
      <x:c r="B1584" s="2" t="n">
        <x:v>64</x:v>
      </x:c>
      <x:c r="C1584" s="2" t="str">
        <x:v>물병자리</x:v>
      </x:c>
      <x:c r="D1584" s="2" t="str">
        <x:v>정령사</x:v>
      </x:c>
      <x:c r="E1584" s="2" t="n">
        <x:v>2</x:v>
      </x:c>
      <x:c r="F1584" s="2" t="n">
        <x:v>1</x:v>
      </x:c>
      <x:c r="G1584" s="14" t="n">
        <x:f>('레벨 계산식'!$E$4-E1584)*'레벨 계산식'!$B$5</x:f>
        <x:v>0.41999999999999993</x:v>
      </x:c>
      <x:c r="H1584" s="14" t="n">
        <x:f>('등급 계산식'!$E$4-F1584)*'등급 계산식'!$B$5</x:f>
        <x:v>0.24000000000000005</x:v>
      </x:c>
      <x:c r="I1584" s="14" t="n">
        <x:f>1-G1584-H1584</x:f>
        <x:v>0.34</x:v>
      </x:c>
      <x:c r="J1584" s="2" t="n">
        <x:f>MAX(1,ROUND('기준스탯 72종'!D71-R1584-Z1584,0))</x:f>
        <x:v>2</x:v>
      </x:c>
      <x:c r="K1584" s="2" t="n">
        <x:f>MAX(1,ROUND('기준스탯 72종'!E71-S1584-AA1584,0))</x:f>
        <x:v>3</x:v>
      </x:c>
      <x:c r="L1584" s="2" t="n">
        <x:f>MAX(1,ROUND('기준스탯 72종'!F71-T1584-AB1584,0))</x:f>
        <x:v>3</x:v>
      </x:c>
      <x:c r="M1584" s="2" t="n">
        <x:f>MAX(1,ROUND('기준스탯 72종'!G71-U1584-AC1584,0))</x:f>
        <x:v>3</x:v>
      </x:c>
      <x:c r="N1584" s="2" t="n">
        <x:f>MAX(0,ROUND('기준스탯 72종'!H71-V1584-AD1584,0))</x:f>
        <x:v>1</x:v>
      </x:c>
      <x:c r="O1584" s="2" t="n">
        <x:f>MAX(0,ROUND('기준스탯 72종'!I71-W1584-AE1584,0))</x:f>
        <x:v>1</x:v>
      </x:c>
      <x:c r="P1584" s="2" t="n">
        <x:f>MAX(0,ROUND('기준스탯 72종'!J71-X1584-AF1584,0))</x:f>
        <x:v>2</x:v>
      </x:c>
      <x:c r="Q1584" s="2" t="n">
        <x:f>MAX(0,ROUND('기준스탯 72종'!K71-Y1584-AG1584,0))</x:f>
        <x:v>1</x:v>
      </x:c>
      <x:c r="R1584" s="15" t="n">
        <x:f>'기준스탯 72종'!D71*G1584</x:f>
        <x:v>2.5199999999999996</x:v>
      </x:c>
      <x:c r="S1584" s="15" t="n">
        <x:f>'기준스탯 72종'!E71*G1584</x:f>
        <x:v>3.3599999999999994</x:v>
      </x:c>
      <x:c r="T1584" s="15" t="n">
        <x:f>'기준스탯 72종'!F71*G1584</x:f>
        <x:v>3.3599999999999994</x:v>
      </x:c>
      <x:c r="U1584" s="15" t="n">
        <x:f>'기준스탯 72종'!G71*G1584</x:f>
        <x:v>3.7799999999999994</x:v>
      </x:c>
      <x:c r="V1584" s="15" t="n">
        <x:f>'기준스탯 72종'!H71*G1584</x:f>
        <x:v>1.2599999999999998</x:v>
      </x:c>
      <x:c r="W1584" s="15" t="n">
        <x:f>'기준스탯 72종'!I71*G1584</x:f>
        <x:v>1.2599999999999998</x:v>
      </x:c>
      <x:c r="X1584" s="15" t="n">
        <x:f>'기준스탯 72종'!J71*G1584</x:f>
        <x:v>2.5199999999999996</x:v>
      </x:c>
      <x:c r="Y1584" s="15" t="n">
        <x:f>'기준스탯 72종'!K71*G1584</x:f>
        <x:v>1.6799999999999997</x:v>
      </x:c>
      <x:c r="Z1584" s="15" t="n">
        <x:f>'기준스탯 72종'!D71*H1584</x:f>
        <x:v>1.4400000000000004</x:v>
      </x:c>
      <x:c r="AA1584" s="15" t="n">
        <x:f>'기준스탯 72종'!E71*H1584</x:f>
        <x:v>1.9200000000000004</x:v>
      </x:c>
      <x:c r="AB1584" s="15" t="n">
        <x:f>'기준스탯 72종'!F71*H1584</x:f>
        <x:v>1.9200000000000004</x:v>
      </x:c>
      <x:c r="AC1584" s="15" t="n">
        <x:f>'기준스탯 72종'!G71*H1584</x:f>
        <x:v>2.1600000000000006</x:v>
      </x:c>
      <x:c r="AD1584" s="15" t="n">
        <x:f>'기준스탯 72종'!H71*H1584</x:f>
        <x:v>0.7200000000000002</x:v>
      </x:c>
      <x:c r="AE1584" s="15" t="n">
        <x:f>'기준스탯 72종'!I71*H1584</x:f>
        <x:v>0.7200000000000002</x:v>
      </x:c>
      <x:c r="AF1584" s="15" t="n">
        <x:f>'기준스탯 72종'!J71*H1584</x:f>
        <x:v>1.4400000000000004</x:v>
      </x:c>
      <x:c r="AG1584" s="15" t="n">
        <x:f>'기준스탯 72종'!K71*H1584</x:f>
        <x:v>0.9600000000000002</x:v>
      </x:c>
    </x:row>
    <x:row r="1585" ht="28" customHeight="1">
      <x:c r="A1585" s="2" t="n">
        <x:v>1578</x:v>
      </x:c>
      <x:c r="B1585" s="2" t="n">
        <x:v>64</x:v>
      </x:c>
      <x:c r="C1585" s="2" t="str">
        <x:v>물병자리</x:v>
      </x:c>
      <x:c r="D1585" s="2" t="str">
        <x:v>정령사</x:v>
      </x:c>
      <x:c r="E1585" s="2" t="n">
        <x:v>3</x:v>
      </x:c>
      <x:c r="F1585" s="2" t="n">
        <x:v>1</x:v>
      </x:c>
      <x:c r="G1585" s="14" t="n">
        <x:f>('레벨 계산식'!$E$4-E1585)*'레벨 계산식'!$B$5</x:f>
        <x:v>0.27999999999999997</x:v>
      </x:c>
      <x:c r="H1585" s="14" t="n">
        <x:f>('등급 계산식'!$E$4-F1585)*'등급 계산식'!$B$5</x:f>
        <x:v>0.24000000000000005</x:v>
      </x:c>
      <x:c r="I1585" s="14" t="n">
        <x:f>1-G1585-H1585</x:f>
        <x:v>0.4799999999999999</x:v>
      </x:c>
      <x:c r="J1585" s="2" t="n">
        <x:f>MAX(1,ROUND('기준스탯 72종'!D71-R1585-Z1585,0))</x:f>
        <x:v>3</x:v>
      </x:c>
      <x:c r="K1585" s="2" t="n">
        <x:f>MAX(1,ROUND('기준스탯 72종'!E71-S1585-AA1585,0))</x:f>
        <x:v>4</x:v>
      </x:c>
      <x:c r="L1585" s="2" t="n">
        <x:f>MAX(1,ROUND('기준스탯 72종'!F71-T1585-AB1585,0))</x:f>
        <x:v>4</x:v>
      </x:c>
      <x:c r="M1585" s="2" t="n">
        <x:f>MAX(1,ROUND('기준스탯 72종'!G71-U1585-AC1585,0))</x:f>
        <x:v>4</x:v>
      </x:c>
      <x:c r="N1585" s="2" t="n">
        <x:f>MAX(0,ROUND('기준스탯 72종'!H71-V1585-AD1585,0))</x:f>
        <x:v>1</x:v>
      </x:c>
      <x:c r="O1585" s="2" t="n">
        <x:f>MAX(0,ROUND('기준스탯 72종'!I71-W1585-AE1585,0))</x:f>
        <x:v>1</x:v>
      </x:c>
      <x:c r="P1585" s="2" t="n">
        <x:f>MAX(0,ROUND('기준스탯 72종'!J71-X1585-AF1585,0))</x:f>
        <x:v>3</x:v>
      </x:c>
      <x:c r="Q1585" s="2" t="n">
        <x:f>MAX(0,ROUND('기준스탯 72종'!K71-Y1585-AG1585,0))</x:f>
        <x:v>2</x:v>
      </x:c>
      <x:c r="R1585" s="15" t="n">
        <x:f>'기준스탯 72종'!D71*G1585</x:f>
        <x:v>1.6799999999999997</x:v>
      </x:c>
      <x:c r="S1585" s="15" t="n">
        <x:f>'기준스탯 72종'!E71*G1585</x:f>
        <x:v>2.2399999999999998</x:v>
      </x:c>
      <x:c r="T1585" s="15" t="n">
        <x:f>'기준스탯 72종'!F71*G1585</x:f>
        <x:v>2.2399999999999998</x:v>
      </x:c>
      <x:c r="U1585" s="15" t="n">
        <x:f>'기준스탯 72종'!G71*G1585</x:f>
        <x:v>2.5199999999999996</x:v>
      </x:c>
      <x:c r="V1585" s="15" t="n">
        <x:f>'기준스탯 72종'!H71*G1585</x:f>
        <x:v>0.8399999999999999</x:v>
      </x:c>
      <x:c r="W1585" s="15" t="n">
        <x:f>'기준스탯 72종'!I71*G1585</x:f>
        <x:v>0.8399999999999999</x:v>
      </x:c>
      <x:c r="X1585" s="15" t="n">
        <x:f>'기준스탯 72종'!J71*G1585</x:f>
        <x:v>1.6799999999999997</x:v>
      </x:c>
      <x:c r="Y1585" s="15" t="n">
        <x:f>'기준스탯 72종'!K71*G1585</x:f>
        <x:v>1.1199999999999999</x:v>
      </x:c>
      <x:c r="Z1585" s="15" t="n">
        <x:f>'기준스탯 72종'!D71*H1585</x:f>
        <x:v>1.4400000000000004</x:v>
      </x:c>
      <x:c r="AA1585" s="15" t="n">
        <x:f>'기준스탯 72종'!E71*H1585</x:f>
        <x:v>1.9200000000000004</x:v>
      </x:c>
      <x:c r="AB1585" s="15" t="n">
        <x:f>'기준스탯 72종'!F71*H1585</x:f>
        <x:v>1.9200000000000004</x:v>
      </x:c>
      <x:c r="AC1585" s="15" t="n">
        <x:f>'기준스탯 72종'!G71*H1585</x:f>
        <x:v>2.1600000000000006</x:v>
      </x:c>
      <x:c r="AD1585" s="15" t="n">
        <x:f>'기준스탯 72종'!H71*H1585</x:f>
        <x:v>0.7200000000000002</x:v>
      </x:c>
      <x:c r="AE1585" s="15" t="n">
        <x:f>'기준스탯 72종'!I71*H1585</x:f>
        <x:v>0.7200000000000002</x:v>
      </x:c>
      <x:c r="AF1585" s="15" t="n">
        <x:f>'기준스탯 72종'!J71*H1585</x:f>
        <x:v>1.4400000000000004</x:v>
      </x:c>
      <x:c r="AG1585" s="15" t="n">
        <x:f>'기준스탯 72종'!K71*H1585</x:f>
        <x:v>0.9600000000000002</x:v>
      </x:c>
    </x:row>
    <x:row r="1586" ht="28" customHeight="1">
      <x:c r="A1586" s="2" t="n">
        <x:v>1579</x:v>
      </x:c>
      <x:c r="B1586" s="2" t="n">
        <x:v>64</x:v>
      </x:c>
      <x:c r="C1586" s="2" t="str">
        <x:v>물병자리</x:v>
      </x:c>
      <x:c r="D1586" s="2" t="str">
        <x:v>정령사</x:v>
      </x:c>
      <x:c r="E1586" s="2" t="n">
        <x:v>4</x:v>
      </x:c>
      <x:c r="F1586" s="2" t="n">
        <x:v>1</x:v>
      </x:c>
      <x:c r="G1586" s="14" t="n">
        <x:f>('레벨 계산식'!$E$4-E1586)*'레벨 계산식'!$B$5</x:f>
        <x:v>0.13999999999999999</x:v>
      </x:c>
      <x:c r="H1586" s="14" t="n">
        <x:f>('등급 계산식'!$E$4-F1586)*'등급 계산식'!$B$5</x:f>
        <x:v>0.24000000000000005</x:v>
      </x:c>
      <x:c r="I1586" s="14" t="n">
        <x:f>1-G1586-H1586</x:f>
        <x:v>0.6199999999999999</x:v>
      </x:c>
      <x:c r="J1586" s="2" t="n">
        <x:f>MAX(1,ROUND('기준스탯 72종'!D71-R1586-Z1586,0))</x:f>
        <x:v>4</x:v>
      </x:c>
      <x:c r="K1586" s="2" t="n">
        <x:f>MAX(1,ROUND('기준스탯 72종'!E71-S1586-AA1586,0))</x:f>
        <x:v>5</x:v>
      </x:c>
      <x:c r="L1586" s="2" t="n">
        <x:f>MAX(1,ROUND('기준스탯 72종'!F71-T1586-AB1586,0))</x:f>
        <x:v>5</x:v>
      </x:c>
      <x:c r="M1586" s="2" t="n">
        <x:f>MAX(1,ROUND('기준스탯 72종'!G71-U1586-AC1586,0))</x:f>
        <x:v>6</x:v>
      </x:c>
      <x:c r="N1586" s="2" t="n">
        <x:f>MAX(0,ROUND('기준스탯 72종'!H71-V1586-AD1586,0))</x:f>
        <x:v>2</x:v>
      </x:c>
      <x:c r="O1586" s="2" t="n">
        <x:f>MAX(0,ROUND('기준스탯 72종'!I71-W1586-AE1586,0))</x:f>
        <x:v>2</x:v>
      </x:c>
      <x:c r="P1586" s="2" t="n">
        <x:f>MAX(0,ROUND('기준스탯 72종'!J71-X1586-AF1586,0))</x:f>
        <x:v>4</x:v>
      </x:c>
      <x:c r="Q1586" s="2" t="n">
        <x:f>MAX(0,ROUND('기준스탯 72종'!K71-Y1586-AG1586,0))</x:f>
        <x:v>2</x:v>
      </x:c>
      <x:c r="R1586" s="15" t="n">
        <x:f>'기준스탯 72종'!D71*G1586</x:f>
        <x:v>0.8399999999999999</x:v>
      </x:c>
      <x:c r="S1586" s="15" t="n">
        <x:f>'기준스탯 72종'!E71*G1586</x:f>
        <x:v>1.1199999999999999</x:v>
      </x:c>
      <x:c r="T1586" s="15" t="n">
        <x:f>'기준스탯 72종'!F71*G1586</x:f>
        <x:v>1.1199999999999999</x:v>
      </x:c>
      <x:c r="U1586" s="15" t="n">
        <x:f>'기준스탯 72종'!G71*G1586</x:f>
        <x:v>1.2599999999999998</x:v>
      </x:c>
      <x:c r="V1586" s="15" t="n">
        <x:f>'기준스탯 72종'!H71*G1586</x:f>
        <x:v>0.41999999999999993</x:v>
      </x:c>
      <x:c r="W1586" s="15" t="n">
        <x:f>'기준스탯 72종'!I71*G1586</x:f>
        <x:v>0.41999999999999993</x:v>
      </x:c>
      <x:c r="X1586" s="15" t="n">
        <x:f>'기준스탯 72종'!J71*G1586</x:f>
        <x:v>0.8399999999999999</x:v>
      </x:c>
      <x:c r="Y1586" s="15" t="n">
        <x:f>'기준스탯 72종'!K71*G1586</x:f>
        <x:v>0.5599999999999999</x:v>
      </x:c>
      <x:c r="Z1586" s="15" t="n">
        <x:f>'기준스탯 72종'!D71*H1586</x:f>
        <x:v>1.4400000000000004</x:v>
      </x:c>
      <x:c r="AA1586" s="15" t="n">
        <x:f>'기준스탯 72종'!E71*H1586</x:f>
        <x:v>1.9200000000000004</x:v>
      </x:c>
      <x:c r="AB1586" s="15" t="n">
        <x:f>'기준스탯 72종'!F71*H1586</x:f>
        <x:v>1.9200000000000004</x:v>
      </x:c>
      <x:c r="AC1586" s="15" t="n">
        <x:f>'기준스탯 72종'!G71*H1586</x:f>
        <x:v>2.1600000000000006</x:v>
      </x:c>
      <x:c r="AD1586" s="15" t="n">
        <x:f>'기준스탯 72종'!H71*H1586</x:f>
        <x:v>0.7200000000000002</x:v>
      </x:c>
      <x:c r="AE1586" s="15" t="n">
        <x:f>'기준스탯 72종'!I71*H1586</x:f>
        <x:v>0.7200000000000002</x:v>
      </x:c>
      <x:c r="AF1586" s="15" t="n">
        <x:f>'기준스탯 72종'!J71*H1586</x:f>
        <x:v>1.4400000000000004</x:v>
      </x:c>
      <x:c r="AG1586" s="15" t="n">
        <x:f>'기준스탯 72종'!K71*H1586</x:f>
        <x:v>0.9600000000000002</x:v>
      </x:c>
    </x:row>
    <x:row r="1587" ht="28" customHeight="1">
      <x:c r="A1587" s="2" t="n">
        <x:v>1580</x:v>
      </x:c>
      <x:c r="B1587" s="2" t="n">
        <x:v>64</x:v>
      </x:c>
      <x:c r="C1587" s="2" t="str">
        <x:v>물병자리</x:v>
      </x:c>
      <x:c r="D1587" s="2" t="str">
        <x:v>정령사</x:v>
      </x:c>
      <x:c r="E1587" s="2" t="n">
        <x:v>5</x:v>
      </x:c>
      <x:c r="F1587" s="2" t="n">
        <x:v>1</x:v>
      </x:c>
      <x:c r="G1587" s="14" t="n">
        <x:f>('레벨 계산식'!$E$4-E1587)*'레벨 계산식'!$B$5</x:f>
        <x:v>0</x:v>
      </x:c>
      <x:c r="H1587" s="14" t="n">
        <x:f>('등급 계산식'!$E$4-F1587)*'등급 계산식'!$B$5</x:f>
        <x:v>0.24000000000000005</x:v>
      </x:c>
      <x:c r="I1587" s="14" t="n">
        <x:f>1-G1587-H1587</x:f>
        <x:v>0.76</x:v>
      </x:c>
      <x:c r="J1587" s="2" t="n">
        <x:f>MAX(1,ROUND('기준스탯 72종'!D71-R1587-Z1587,0))</x:f>
        <x:v>5</x:v>
      </x:c>
      <x:c r="K1587" s="2" t="n">
        <x:f>MAX(1,ROUND('기준스탯 72종'!E71-S1587-AA1587,0))</x:f>
        <x:v>6</x:v>
      </x:c>
      <x:c r="L1587" s="2" t="n">
        <x:f>MAX(1,ROUND('기준스탯 72종'!F71-T1587-AB1587,0))</x:f>
        <x:v>6</x:v>
      </x:c>
      <x:c r="M1587" s="2" t="n">
        <x:f>MAX(1,ROUND('기준스탯 72종'!G71-U1587-AC1587,0))</x:f>
        <x:v>7</x:v>
      </x:c>
      <x:c r="N1587" s="2" t="n">
        <x:f>MAX(0,ROUND('기준스탯 72종'!H71-V1587-AD1587,0))</x:f>
        <x:v>2</x:v>
      </x:c>
      <x:c r="O1587" s="2" t="n">
        <x:f>MAX(0,ROUND('기준스탯 72종'!I71-W1587-AE1587,0))</x:f>
        <x:v>2</x:v>
      </x:c>
      <x:c r="P1587" s="2" t="n">
        <x:f>MAX(0,ROUND('기준스탯 72종'!J71-X1587-AF1587,0))</x:f>
        <x:v>5</x:v>
      </x:c>
      <x:c r="Q1587" s="2" t="n">
        <x:f>MAX(0,ROUND('기준스탯 72종'!K71-Y1587-AG1587,0))</x:f>
        <x:v>3</x:v>
      </x:c>
      <x:c r="R1587" s="15" t="n">
        <x:f>'기준스탯 72종'!D71*G1587</x:f>
        <x:v>0</x:v>
      </x:c>
      <x:c r="S1587" s="15" t="n">
        <x:f>'기준스탯 72종'!E71*G1587</x:f>
        <x:v>0</x:v>
      </x:c>
      <x:c r="T1587" s="15" t="n">
        <x:f>'기준스탯 72종'!F71*G1587</x:f>
        <x:v>0</x:v>
      </x:c>
      <x:c r="U1587" s="15" t="n">
        <x:f>'기준스탯 72종'!G71*G1587</x:f>
        <x:v>0</x:v>
      </x:c>
      <x:c r="V1587" s="15" t="n">
        <x:f>'기준스탯 72종'!H71*G1587</x:f>
        <x:v>0</x:v>
      </x:c>
      <x:c r="W1587" s="15" t="n">
        <x:f>'기준스탯 72종'!I71*G1587</x:f>
        <x:v>0</x:v>
      </x:c>
      <x:c r="X1587" s="15" t="n">
        <x:f>'기준스탯 72종'!J71*G1587</x:f>
        <x:v>0</x:v>
      </x:c>
      <x:c r="Y1587" s="15" t="n">
        <x:f>'기준스탯 72종'!K71*G1587</x:f>
        <x:v>0</x:v>
      </x:c>
      <x:c r="Z1587" s="15" t="n">
        <x:f>'기준스탯 72종'!D71*H1587</x:f>
        <x:v>1.4400000000000004</x:v>
      </x:c>
      <x:c r="AA1587" s="15" t="n">
        <x:f>'기준스탯 72종'!E71*H1587</x:f>
        <x:v>1.9200000000000004</x:v>
      </x:c>
      <x:c r="AB1587" s="15" t="n">
        <x:f>'기준스탯 72종'!F71*H1587</x:f>
        <x:v>1.9200000000000004</x:v>
      </x:c>
      <x:c r="AC1587" s="15" t="n">
        <x:f>'기준스탯 72종'!G71*H1587</x:f>
        <x:v>2.1600000000000006</x:v>
      </x:c>
      <x:c r="AD1587" s="15" t="n">
        <x:f>'기준스탯 72종'!H71*H1587</x:f>
        <x:v>0.7200000000000002</x:v>
      </x:c>
      <x:c r="AE1587" s="15" t="n">
        <x:f>'기준스탯 72종'!I71*H1587</x:f>
        <x:v>0.7200000000000002</x:v>
      </x:c>
      <x:c r="AF1587" s="15" t="n">
        <x:f>'기준스탯 72종'!J71*H1587</x:f>
        <x:v>1.4400000000000004</x:v>
      </x:c>
      <x:c r="AG1587" s="15" t="n">
        <x:f>'기준스탯 72종'!K71*H1587</x:f>
        <x:v>0.9600000000000002</x:v>
      </x:c>
    </x:row>
    <x:row r="1588" ht="28" customHeight="1">
      <x:c r="A1588" s="2" t="n">
        <x:v>1581</x:v>
      </x:c>
      <x:c r="B1588" s="2" t="n">
        <x:v>64</x:v>
      </x:c>
      <x:c r="C1588" s="2" t="str">
        <x:v>물병자리</x:v>
      </x:c>
      <x:c r="D1588" s="2" t="str">
        <x:v>정령사</x:v>
      </x:c>
      <x:c r="E1588" s="2" t="n">
        <x:v>1</x:v>
      </x:c>
      <x:c r="F1588" s="2" t="n">
        <x:v>2</x:v>
      </x:c>
      <x:c r="G1588" s="14" t="n">
        <x:f>('레벨 계산식'!$E$4-E1588)*'레벨 계산식'!$B$5</x:f>
        <x:v>0.5599999999999999</x:v>
      </x:c>
      <x:c r="H1588" s="14" t="n">
        <x:f>('등급 계산식'!$E$4-F1588)*'등급 계산식'!$B$5</x:f>
        <x:v>0.18000000000000005</x:v>
      </x:c>
      <x:c r="I1588" s="14" t="n">
        <x:f>1-G1588-H1588</x:f>
        <x:v>0.26</x:v>
      </x:c>
      <x:c r="J1588" s="2" t="n">
        <x:f>MAX(1,ROUND('기준스탯 72종'!D71-R1588-Z1588,0))</x:f>
        <x:v>2</x:v>
      </x:c>
      <x:c r="K1588" s="2" t="n">
        <x:f>MAX(1,ROUND('기준스탯 72종'!E71-S1588-AA1588,0))</x:f>
        <x:v>2</x:v>
      </x:c>
      <x:c r="L1588" s="2" t="n">
        <x:f>MAX(1,ROUND('기준스탯 72종'!F71-T1588-AB1588,0))</x:f>
        <x:v>2</x:v>
      </x:c>
      <x:c r="M1588" s="2" t="n">
        <x:f>MAX(1,ROUND('기준스탯 72종'!G71-U1588-AC1588,0))</x:f>
        <x:v>2</x:v>
      </x:c>
      <x:c r="N1588" s="2" t="n">
        <x:f>MAX(0,ROUND('기준스탯 72종'!H71-V1588-AD1588,0))</x:f>
        <x:v>1</x:v>
      </x:c>
      <x:c r="O1588" s="2" t="n">
        <x:f>MAX(0,ROUND('기준스탯 72종'!I71-W1588-AE1588,0))</x:f>
        <x:v>1</x:v>
      </x:c>
      <x:c r="P1588" s="2" t="n">
        <x:f>MAX(0,ROUND('기준스탯 72종'!J71-X1588-AF1588,0))</x:f>
        <x:v>2</x:v>
      </x:c>
      <x:c r="Q1588" s="2" t="n">
        <x:f>MAX(0,ROUND('기준스탯 72종'!K71-Y1588-AG1588,0))</x:f>
        <x:v>1</x:v>
      </x:c>
      <x:c r="R1588" s="15" t="n">
        <x:f>'기준스탯 72종'!D71*G1588</x:f>
        <x:v>3.3599999999999994</x:v>
      </x:c>
      <x:c r="S1588" s="15" t="n">
        <x:f>'기준스탯 72종'!E71*G1588</x:f>
        <x:v>4.4799999999999995</x:v>
      </x:c>
      <x:c r="T1588" s="15" t="n">
        <x:f>'기준스탯 72종'!F71*G1588</x:f>
        <x:v>4.4799999999999995</x:v>
      </x:c>
      <x:c r="U1588" s="15" t="n">
        <x:f>'기준스탯 72종'!G71*G1588</x:f>
        <x:v>5.039999999999999</x:v>
      </x:c>
      <x:c r="V1588" s="15" t="n">
        <x:f>'기준스탯 72종'!H71*G1588</x:f>
        <x:v>1.6799999999999997</x:v>
      </x:c>
      <x:c r="W1588" s="15" t="n">
        <x:f>'기준스탯 72종'!I71*G1588</x:f>
        <x:v>1.6799999999999997</x:v>
      </x:c>
      <x:c r="X1588" s="15" t="n">
        <x:f>'기준스탯 72종'!J71*G1588</x:f>
        <x:v>3.3599999999999994</x:v>
      </x:c>
      <x:c r="Y1588" s="15" t="n">
        <x:f>'기준스탯 72종'!K71*G1588</x:f>
        <x:v>2.2399999999999998</x:v>
      </x:c>
      <x:c r="Z1588" s="15" t="n">
        <x:f>'기준스탯 72종'!D71*H1588</x:f>
        <x:v>1.0800000000000003</x:v>
      </x:c>
      <x:c r="AA1588" s="15" t="n">
        <x:f>'기준스탯 72종'!E71*H1588</x:f>
        <x:v>1.4400000000000004</x:v>
      </x:c>
      <x:c r="AB1588" s="15" t="n">
        <x:f>'기준스탯 72종'!F71*H1588</x:f>
        <x:v>1.4400000000000004</x:v>
      </x:c>
      <x:c r="AC1588" s="15" t="n">
        <x:f>'기준스탯 72종'!G71*H1588</x:f>
        <x:v>1.6200000000000006</x:v>
      </x:c>
      <x:c r="AD1588" s="15" t="n">
        <x:f>'기준스탯 72종'!H71*H1588</x:f>
        <x:v>0.5400000000000001</x:v>
      </x:c>
      <x:c r="AE1588" s="15" t="n">
        <x:f>'기준스탯 72종'!I71*H1588</x:f>
        <x:v>0.5400000000000001</x:v>
      </x:c>
      <x:c r="AF1588" s="15" t="n">
        <x:f>'기준스탯 72종'!J71*H1588</x:f>
        <x:v>1.0800000000000003</x:v>
      </x:c>
      <x:c r="AG1588" s="15" t="n">
        <x:f>'기준스탯 72종'!K71*H1588</x:f>
        <x:v>0.7200000000000002</x:v>
      </x:c>
    </x:row>
    <x:row r="1589" ht="28" customHeight="1">
      <x:c r="A1589" s="2" t="n">
        <x:v>1582</x:v>
      </x:c>
      <x:c r="B1589" s="2" t="n">
        <x:v>64</x:v>
      </x:c>
      <x:c r="C1589" s="2" t="str">
        <x:v>물병자리</x:v>
      </x:c>
      <x:c r="D1589" s="2" t="str">
        <x:v>정령사</x:v>
      </x:c>
      <x:c r="E1589" s="2" t="n">
        <x:v>2</x:v>
      </x:c>
      <x:c r="F1589" s="2" t="n">
        <x:v>2</x:v>
      </x:c>
      <x:c r="G1589" s="14" t="n">
        <x:f>('레벨 계산식'!$E$4-E1589)*'레벨 계산식'!$B$5</x:f>
        <x:v>0.41999999999999993</x:v>
      </x:c>
      <x:c r="H1589" s="14" t="n">
        <x:f>('등급 계산식'!$E$4-F1589)*'등급 계산식'!$B$5</x:f>
        <x:v>0.18000000000000005</x:v>
      </x:c>
      <x:c r="I1589" s="14" t="n">
        <x:f>1-G1589-H1589</x:f>
        <x:v>0.4</x:v>
      </x:c>
      <x:c r="J1589" s="2" t="n">
        <x:f>MAX(1,ROUND('기준스탯 72종'!D71-R1589-Z1589,0))</x:f>
        <x:v>2</x:v>
      </x:c>
      <x:c r="K1589" s="2" t="n">
        <x:f>MAX(1,ROUND('기준스탯 72종'!E71-S1589-AA1589,0))</x:f>
        <x:v>3</x:v>
      </x:c>
      <x:c r="L1589" s="2" t="n">
        <x:f>MAX(1,ROUND('기준스탯 72종'!F71-T1589-AB1589,0))</x:f>
        <x:v>3</x:v>
      </x:c>
      <x:c r="M1589" s="2" t="n">
        <x:f>MAX(1,ROUND('기준스탯 72종'!G71-U1589-AC1589,0))</x:f>
        <x:v>4</x:v>
      </x:c>
      <x:c r="N1589" s="2" t="n">
        <x:f>MAX(0,ROUND('기준스탯 72종'!H71-V1589-AD1589,0))</x:f>
        <x:v>1</x:v>
      </x:c>
      <x:c r="O1589" s="2" t="n">
        <x:f>MAX(0,ROUND('기준스탯 72종'!I71-W1589-AE1589,0))</x:f>
        <x:v>1</x:v>
      </x:c>
      <x:c r="P1589" s="2" t="n">
        <x:f>MAX(0,ROUND('기준스탯 72종'!J71-X1589-AF1589,0))</x:f>
        <x:v>2</x:v>
      </x:c>
      <x:c r="Q1589" s="2" t="n">
        <x:f>MAX(0,ROUND('기준스탯 72종'!K71-Y1589-AG1589,0))</x:f>
        <x:v>2</x:v>
      </x:c>
      <x:c r="R1589" s="15" t="n">
        <x:f>'기준스탯 72종'!D71*G1589</x:f>
        <x:v>2.5199999999999996</x:v>
      </x:c>
      <x:c r="S1589" s="15" t="n">
        <x:f>'기준스탯 72종'!E71*G1589</x:f>
        <x:v>3.3599999999999994</x:v>
      </x:c>
      <x:c r="T1589" s="15" t="n">
        <x:f>'기준스탯 72종'!F71*G1589</x:f>
        <x:v>3.3599999999999994</x:v>
      </x:c>
      <x:c r="U1589" s="15" t="n">
        <x:f>'기준스탯 72종'!G71*G1589</x:f>
        <x:v>3.7799999999999994</x:v>
      </x:c>
      <x:c r="V1589" s="15" t="n">
        <x:f>'기준스탯 72종'!H71*G1589</x:f>
        <x:v>1.2599999999999998</x:v>
      </x:c>
      <x:c r="W1589" s="15" t="n">
        <x:f>'기준스탯 72종'!I71*G1589</x:f>
        <x:v>1.2599999999999998</x:v>
      </x:c>
      <x:c r="X1589" s="15" t="n">
        <x:f>'기준스탯 72종'!J71*G1589</x:f>
        <x:v>2.5199999999999996</x:v>
      </x:c>
      <x:c r="Y1589" s="15" t="n">
        <x:f>'기준스탯 72종'!K71*G1589</x:f>
        <x:v>1.6799999999999997</x:v>
      </x:c>
      <x:c r="Z1589" s="15" t="n">
        <x:f>'기준스탯 72종'!D71*H1589</x:f>
        <x:v>1.0800000000000003</x:v>
      </x:c>
      <x:c r="AA1589" s="15" t="n">
        <x:f>'기준스탯 72종'!E71*H1589</x:f>
        <x:v>1.4400000000000004</x:v>
      </x:c>
      <x:c r="AB1589" s="15" t="n">
        <x:f>'기준스탯 72종'!F71*H1589</x:f>
        <x:v>1.4400000000000004</x:v>
      </x:c>
      <x:c r="AC1589" s="15" t="n">
        <x:f>'기준스탯 72종'!G71*H1589</x:f>
        <x:v>1.6200000000000006</x:v>
      </x:c>
      <x:c r="AD1589" s="15" t="n">
        <x:f>'기준스탯 72종'!H71*H1589</x:f>
        <x:v>0.5400000000000001</x:v>
      </x:c>
      <x:c r="AE1589" s="15" t="n">
        <x:f>'기준스탯 72종'!I71*H1589</x:f>
        <x:v>0.5400000000000001</x:v>
      </x:c>
      <x:c r="AF1589" s="15" t="n">
        <x:f>'기준스탯 72종'!J71*H1589</x:f>
        <x:v>1.0800000000000003</x:v>
      </x:c>
      <x:c r="AG1589" s="15" t="n">
        <x:f>'기준스탯 72종'!K71*H1589</x:f>
        <x:v>0.7200000000000002</x:v>
      </x:c>
    </x:row>
    <x:row r="1590" ht="28" customHeight="1">
      <x:c r="A1590" s="2" t="n">
        <x:v>1583</x:v>
      </x:c>
      <x:c r="B1590" s="2" t="n">
        <x:v>64</x:v>
      </x:c>
      <x:c r="C1590" s="2" t="str">
        <x:v>물병자리</x:v>
      </x:c>
      <x:c r="D1590" s="2" t="str">
        <x:v>정령사</x:v>
      </x:c>
      <x:c r="E1590" s="2" t="n">
        <x:v>3</x:v>
      </x:c>
      <x:c r="F1590" s="2" t="n">
        <x:v>2</x:v>
      </x:c>
      <x:c r="G1590" s="14" t="n">
        <x:f>('레벨 계산식'!$E$4-E1590)*'레벨 계산식'!$B$5</x:f>
        <x:v>0.27999999999999997</x:v>
      </x:c>
      <x:c r="H1590" s="14" t="n">
        <x:f>('등급 계산식'!$E$4-F1590)*'등급 계산식'!$B$5</x:f>
        <x:v>0.18000000000000005</x:v>
      </x:c>
      <x:c r="I1590" s="14" t="n">
        <x:f>1-G1590-H1590</x:f>
        <x:v>0.5399999999999999</x:v>
      </x:c>
      <x:c r="J1590" s="2" t="n">
        <x:f>MAX(1,ROUND('기준스탯 72종'!D71-R1590-Z1590,0))</x:f>
        <x:v>3</x:v>
      </x:c>
      <x:c r="K1590" s="2" t="n">
        <x:f>MAX(1,ROUND('기준스탯 72종'!E71-S1590-AA1590,0))</x:f>
        <x:v>4</x:v>
      </x:c>
      <x:c r="L1590" s="2" t="n">
        <x:f>MAX(1,ROUND('기준스탯 72종'!F71-T1590-AB1590,0))</x:f>
        <x:v>4</x:v>
      </x:c>
      <x:c r="M1590" s="2" t="n">
        <x:f>MAX(1,ROUND('기준스탯 72종'!G71-U1590-AC1590,0))</x:f>
        <x:v>5</x:v>
      </x:c>
      <x:c r="N1590" s="2" t="n">
        <x:f>MAX(0,ROUND('기준스탯 72종'!H71-V1590-AD1590,0))</x:f>
        <x:v>2</x:v>
      </x:c>
      <x:c r="O1590" s="2" t="n">
        <x:f>MAX(0,ROUND('기준스탯 72종'!I71-W1590-AE1590,0))</x:f>
        <x:v>2</x:v>
      </x:c>
      <x:c r="P1590" s="2" t="n">
        <x:f>MAX(0,ROUND('기준스탯 72종'!J71-X1590-AF1590,0))</x:f>
        <x:v>3</x:v>
      </x:c>
      <x:c r="Q1590" s="2" t="n">
        <x:f>MAX(0,ROUND('기준스탯 72종'!K71-Y1590-AG1590,0))</x:f>
        <x:v>2</x:v>
      </x:c>
      <x:c r="R1590" s="15" t="n">
        <x:f>'기준스탯 72종'!D71*G1590</x:f>
        <x:v>1.6799999999999997</x:v>
      </x:c>
      <x:c r="S1590" s="15" t="n">
        <x:f>'기준스탯 72종'!E71*G1590</x:f>
        <x:v>2.2399999999999998</x:v>
      </x:c>
      <x:c r="T1590" s="15" t="n">
        <x:f>'기준스탯 72종'!F71*G1590</x:f>
        <x:v>2.2399999999999998</x:v>
      </x:c>
      <x:c r="U1590" s="15" t="n">
        <x:f>'기준스탯 72종'!G71*G1590</x:f>
        <x:v>2.5199999999999996</x:v>
      </x:c>
      <x:c r="V1590" s="15" t="n">
        <x:f>'기준스탯 72종'!H71*G1590</x:f>
        <x:v>0.8399999999999999</x:v>
      </x:c>
      <x:c r="W1590" s="15" t="n">
        <x:f>'기준스탯 72종'!I71*G1590</x:f>
        <x:v>0.8399999999999999</x:v>
      </x:c>
      <x:c r="X1590" s="15" t="n">
        <x:f>'기준스탯 72종'!J71*G1590</x:f>
        <x:v>1.6799999999999997</x:v>
      </x:c>
      <x:c r="Y1590" s="15" t="n">
        <x:f>'기준스탯 72종'!K71*G1590</x:f>
        <x:v>1.1199999999999999</x:v>
      </x:c>
      <x:c r="Z1590" s="15" t="n">
        <x:f>'기준스탯 72종'!D71*H1590</x:f>
        <x:v>1.0800000000000003</x:v>
      </x:c>
      <x:c r="AA1590" s="15" t="n">
        <x:f>'기준스탯 72종'!E71*H1590</x:f>
        <x:v>1.4400000000000004</x:v>
      </x:c>
      <x:c r="AB1590" s="15" t="n">
        <x:f>'기준스탯 72종'!F71*H1590</x:f>
        <x:v>1.4400000000000004</x:v>
      </x:c>
      <x:c r="AC1590" s="15" t="n">
        <x:f>'기준스탯 72종'!G71*H1590</x:f>
        <x:v>1.6200000000000006</x:v>
      </x:c>
      <x:c r="AD1590" s="15" t="n">
        <x:f>'기준스탯 72종'!H71*H1590</x:f>
        <x:v>0.5400000000000001</x:v>
      </x:c>
      <x:c r="AE1590" s="15" t="n">
        <x:f>'기준스탯 72종'!I71*H1590</x:f>
        <x:v>0.5400000000000001</x:v>
      </x:c>
      <x:c r="AF1590" s="15" t="n">
        <x:f>'기준스탯 72종'!J71*H1590</x:f>
        <x:v>1.0800000000000003</x:v>
      </x:c>
      <x:c r="AG1590" s="15" t="n">
        <x:f>'기준스탯 72종'!K71*H1590</x:f>
        <x:v>0.7200000000000002</x:v>
      </x:c>
    </x:row>
    <x:row r="1591" ht="28" customHeight="1">
      <x:c r="A1591" s="2" t="n">
        <x:v>1584</x:v>
      </x:c>
      <x:c r="B1591" s="2" t="n">
        <x:v>64</x:v>
      </x:c>
      <x:c r="C1591" s="2" t="str">
        <x:v>물병자리</x:v>
      </x:c>
      <x:c r="D1591" s="2" t="str">
        <x:v>정령사</x:v>
      </x:c>
      <x:c r="E1591" s="2" t="n">
        <x:v>4</x:v>
      </x:c>
      <x:c r="F1591" s="2" t="n">
        <x:v>2</x:v>
      </x:c>
      <x:c r="G1591" s="14" t="n">
        <x:f>('레벨 계산식'!$E$4-E1591)*'레벨 계산식'!$B$5</x:f>
        <x:v>0.13999999999999999</x:v>
      </x:c>
      <x:c r="H1591" s="14" t="n">
        <x:f>('등급 계산식'!$E$4-F1591)*'등급 계산식'!$B$5</x:f>
        <x:v>0.18000000000000005</x:v>
      </x:c>
      <x:c r="I1591" s="14" t="n">
        <x:f>1-G1591-H1591</x:f>
        <x:v>0.6799999999999999</x:v>
      </x:c>
      <x:c r="J1591" s="2" t="n">
        <x:f>MAX(1,ROUND('기준스탯 72종'!D71-R1591-Z1591,0))</x:f>
        <x:v>4</x:v>
      </x:c>
      <x:c r="K1591" s="2" t="n">
        <x:f>MAX(1,ROUND('기준스탯 72종'!E71-S1591-AA1591,0))</x:f>
        <x:v>5</x:v>
      </x:c>
      <x:c r="L1591" s="2" t="n">
        <x:f>MAX(1,ROUND('기준스탯 72종'!F71-T1591-AB1591,0))</x:f>
        <x:v>5</x:v>
      </x:c>
      <x:c r="M1591" s="2" t="n">
        <x:f>MAX(1,ROUND('기준스탯 72종'!G71-U1591-AC1591,0))</x:f>
        <x:v>6</x:v>
      </x:c>
      <x:c r="N1591" s="2" t="n">
        <x:f>MAX(0,ROUND('기준스탯 72종'!H71-V1591-AD1591,0))</x:f>
        <x:v>2</x:v>
      </x:c>
      <x:c r="O1591" s="2" t="n">
        <x:f>MAX(0,ROUND('기준스탯 72종'!I71-W1591-AE1591,0))</x:f>
        <x:v>2</x:v>
      </x:c>
      <x:c r="P1591" s="2" t="n">
        <x:f>MAX(0,ROUND('기준스탯 72종'!J71-X1591-AF1591,0))</x:f>
        <x:v>4</x:v>
      </x:c>
      <x:c r="Q1591" s="2" t="n">
        <x:f>MAX(0,ROUND('기준스탯 72종'!K71-Y1591-AG1591,0))</x:f>
        <x:v>3</x:v>
      </x:c>
      <x:c r="R1591" s="15" t="n">
        <x:f>'기준스탯 72종'!D71*G1591</x:f>
        <x:v>0.8399999999999999</x:v>
      </x:c>
      <x:c r="S1591" s="15" t="n">
        <x:f>'기준스탯 72종'!E71*G1591</x:f>
        <x:v>1.1199999999999999</x:v>
      </x:c>
      <x:c r="T1591" s="15" t="n">
        <x:f>'기준스탯 72종'!F71*G1591</x:f>
        <x:v>1.1199999999999999</x:v>
      </x:c>
      <x:c r="U1591" s="15" t="n">
        <x:f>'기준스탯 72종'!G71*G1591</x:f>
        <x:v>1.2599999999999998</x:v>
      </x:c>
      <x:c r="V1591" s="15" t="n">
        <x:f>'기준스탯 72종'!H71*G1591</x:f>
        <x:v>0.41999999999999993</x:v>
      </x:c>
      <x:c r="W1591" s="15" t="n">
        <x:f>'기준스탯 72종'!I71*G1591</x:f>
        <x:v>0.41999999999999993</x:v>
      </x:c>
      <x:c r="X1591" s="15" t="n">
        <x:f>'기준스탯 72종'!J71*G1591</x:f>
        <x:v>0.8399999999999999</x:v>
      </x:c>
      <x:c r="Y1591" s="15" t="n">
        <x:f>'기준스탯 72종'!K71*G1591</x:f>
        <x:v>0.5599999999999999</x:v>
      </x:c>
      <x:c r="Z1591" s="15" t="n">
        <x:f>'기준스탯 72종'!D71*H1591</x:f>
        <x:v>1.0800000000000003</x:v>
      </x:c>
      <x:c r="AA1591" s="15" t="n">
        <x:f>'기준스탯 72종'!E71*H1591</x:f>
        <x:v>1.4400000000000004</x:v>
      </x:c>
      <x:c r="AB1591" s="15" t="n">
        <x:f>'기준스탯 72종'!F71*H1591</x:f>
        <x:v>1.4400000000000004</x:v>
      </x:c>
      <x:c r="AC1591" s="15" t="n">
        <x:f>'기준스탯 72종'!G71*H1591</x:f>
        <x:v>1.6200000000000006</x:v>
      </x:c>
      <x:c r="AD1591" s="15" t="n">
        <x:f>'기준스탯 72종'!H71*H1591</x:f>
        <x:v>0.5400000000000001</x:v>
      </x:c>
      <x:c r="AE1591" s="15" t="n">
        <x:f>'기준스탯 72종'!I71*H1591</x:f>
        <x:v>0.5400000000000001</x:v>
      </x:c>
      <x:c r="AF1591" s="15" t="n">
        <x:f>'기준스탯 72종'!J71*H1591</x:f>
        <x:v>1.0800000000000003</x:v>
      </x:c>
      <x:c r="AG1591" s="15" t="n">
        <x:f>'기준스탯 72종'!K71*H1591</x:f>
        <x:v>0.7200000000000002</x:v>
      </x:c>
    </x:row>
    <x:row r="1592" ht="28" customHeight="1">
      <x:c r="A1592" s="2" t="n">
        <x:v>1585</x:v>
      </x:c>
      <x:c r="B1592" s="2" t="n">
        <x:v>64</x:v>
      </x:c>
      <x:c r="C1592" s="2" t="str">
        <x:v>물병자리</x:v>
      </x:c>
      <x:c r="D1592" s="2" t="str">
        <x:v>정령사</x:v>
      </x:c>
      <x:c r="E1592" s="2" t="n">
        <x:v>5</x:v>
      </x:c>
      <x:c r="F1592" s="2" t="n">
        <x:v>2</x:v>
      </x:c>
      <x:c r="G1592" s="14" t="n">
        <x:f>('레벨 계산식'!$E$4-E1592)*'레벨 계산식'!$B$5</x:f>
        <x:v>0</x:v>
      </x:c>
      <x:c r="H1592" s="14" t="n">
        <x:f>('등급 계산식'!$E$4-F1592)*'등급 계산식'!$B$5</x:f>
        <x:v>0.18000000000000005</x:v>
      </x:c>
      <x:c r="I1592" s="14" t="n">
        <x:f>1-G1592-H1592</x:f>
        <x:v>0.82</x:v>
      </x:c>
      <x:c r="J1592" s="2" t="n">
        <x:f>MAX(1,ROUND('기준스탯 72종'!D71-R1592-Z1592,0))</x:f>
        <x:v>5</x:v>
      </x:c>
      <x:c r="K1592" s="2" t="n">
        <x:f>MAX(1,ROUND('기준스탯 72종'!E71-S1592-AA1592,0))</x:f>
        <x:v>7</x:v>
      </x:c>
      <x:c r="L1592" s="2" t="n">
        <x:f>MAX(1,ROUND('기준스탯 72종'!F71-T1592-AB1592,0))</x:f>
        <x:v>7</x:v>
      </x:c>
      <x:c r="M1592" s="2" t="n">
        <x:f>MAX(1,ROUND('기준스탯 72종'!G71-U1592-AC1592,0))</x:f>
        <x:v>7</x:v>
      </x:c>
      <x:c r="N1592" s="2" t="n">
        <x:f>MAX(0,ROUND('기준스탯 72종'!H71-V1592-AD1592,0))</x:f>
        <x:v>2</x:v>
      </x:c>
      <x:c r="O1592" s="2" t="n">
        <x:f>MAX(0,ROUND('기준스탯 72종'!I71-W1592-AE1592,0))</x:f>
        <x:v>2</x:v>
      </x:c>
      <x:c r="P1592" s="2" t="n">
        <x:f>MAX(0,ROUND('기준스탯 72종'!J71-X1592-AF1592,0))</x:f>
        <x:v>5</x:v>
      </x:c>
      <x:c r="Q1592" s="2" t="n">
        <x:f>MAX(0,ROUND('기준스탯 72종'!K71-Y1592-AG1592,0))</x:f>
        <x:v>3</x:v>
      </x:c>
      <x:c r="R1592" s="15" t="n">
        <x:f>'기준스탯 72종'!D71*G1592</x:f>
        <x:v>0</x:v>
      </x:c>
      <x:c r="S1592" s="15" t="n">
        <x:f>'기준스탯 72종'!E71*G1592</x:f>
        <x:v>0</x:v>
      </x:c>
      <x:c r="T1592" s="15" t="n">
        <x:f>'기준스탯 72종'!F71*G1592</x:f>
        <x:v>0</x:v>
      </x:c>
      <x:c r="U1592" s="15" t="n">
        <x:f>'기준스탯 72종'!G71*G1592</x:f>
        <x:v>0</x:v>
      </x:c>
      <x:c r="V1592" s="15" t="n">
        <x:f>'기준스탯 72종'!H71*G1592</x:f>
        <x:v>0</x:v>
      </x:c>
      <x:c r="W1592" s="15" t="n">
        <x:f>'기준스탯 72종'!I71*G1592</x:f>
        <x:v>0</x:v>
      </x:c>
      <x:c r="X1592" s="15" t="n">
        <x:f>'기준스탯 72종'!J71*G1592</x:f>
        <x:v>0</x:v>
      </x:c>
      <x:c r="Y1592" s="15" t="n">
        <x:f>'기준스탯 72종'!K71*G1592</x:f>
        <x:v>0</x:v>
      </x:c>
      <x:c r="Z1592" s="15" t="n">
        <x:f>'기준스탯 72종'!D71*H1592</x:f>
        <x:v>1.0800000000000003</x:v>
      </x:c>
      <x:c r="AA1592" s="15" t="n">
        <x:f>'기준스탯 72종'!E71*H1592</x:f>
        <x:v>1.4400000000000004</x:v>
      </x:c>
      <x:c r="AB1592" s="15" t="n">
        <x:f>'기준스탯 72종'!F71*H1592</x:f>
        <x:v>1.4400000000000004</x:v>
      </x:c>
      <x:c r="AC1592" s="15" t="n">
        <x:f>'기준스탯 72종'!G71*H1592</x:f>
        <x:v>1.6200000000000006</x:v>
      </x:c>
      <x:c r="AD1592" s="15" t="n">
        <x:f>'기준스탯 72종'!H71*H1592</x:f>
        <x:v>0.5400000000000001</x:v>
      </x:c>
      <x:c r="AE1592" s="15" t="n">
        <x:f>'기준스탯 72종'!I71*H1592</x:f>
        <x:v>0.5400000000000001</x:v>
      </x:c>
      <x:c r="AF1592" s="15" t="n">
        <x:f>'기준스탯 72종'!J71*H1592</x:f>
        <x:v>1.0800000000000003</x:v>
      </x:c>
      <x:c r="AG1592" s="15" t="n">
        <x:f>'기준스탯 72종'!K71*H1592</x:f>
        <x:v>0.7200000000000002</x:v>
      </x:c>
    </x:row>
    <x:row r="1593" ht="28" customHeight="1">
      <x:c r="A1593" s="2" t="n">
        <x:v>1586</x:v>
      </x:c>
      <x:c r="B1593" s="2" t="n">
        <x:v>64</x:v>
      </x:c>
      <x:c r="C1593" s="2" t="str">
        <x:v>물병자리</x:v>
      </x:c>
      <x:c r="D1593" s="2" t="str">
        <x:v>정령사</x:v>
      </x:c>
      <x:c r="E1593" s="2" t="n">
        <x:v>1</x:v>
      </x:c>
      <x:c r="F1593" s="2" t="n">
        <x:v>3</x:v>
      </x:c>
      <x:c r="G1593" s="14" t="n">
        <x:f>('레벨 계산식'!$E$4-E1593)*'레벨 계산식'!$B$5</x:f>
        <x:v>0.5599999999999999</x:v>
      </x:c>
      <x:c r="H1593" s="14" t="n">
        <x:f>('등급 계산식'!$E$4-F1593)*'등급 계산식'!$B$5</x:f>
        <x:v>0.12000000000000002</x:v>
      </x:c>
      <x:c r="I1593" s="14" t="n">
        <x:f>1-G1593-H1593</x:f>
        <x:v>0.32000000000000006</x:v>
      </x:c>
      <x:c r="J1593" s="2" t="n">
        <x:f>MAX(1,ROUND('기준스탯 72종'!D71-R1593-Z1593,0))</x:f>
        <x:v>2</x:v>
      </x:c>
      <x:c r="K1593" s="2" t="n">
        <x:f>MAX(1,ROUND('기준스탯 72종'!E71-S1593-AA1593,0))</x:f>
        <x:v>3</x:v>
      </x:c>
      <x:c r="L1593" s="2" t="n">
        <x:f>MAX(1,ROUND('기준스탯 72종'!F71-T1593-AB1593,0))</x:f>
        <x:v>3</x:v>
      </x:c>
      <x:c r="M1593" s="2" t="n">
        <x:f>MAX(1,ROUND('기준스탯 72종'!G71-U1593-AC1593,0))</x:f>
        <x:v>3</x:v>
      </x:c>
      <x:c r="N1593" s="2" t="n">
        <x:f>MAX(0,ROUND('기준스탯 72종'!H71-V1593-AD1593,0))</x:f>
        <x:v>1</x:v>
      </x:c>
      <x:c r="O1593" s="2" t="n">
        <x:f>MAX(0,ROUND('기준스탯 72종'!I71-W1593-AE1593,0))</x:f>
        <x:v>1</x:v>
      </x:c>
      <x:c r="P1593" s="2" t="n">
        <x:f>MAX(0,ROUND('기준스탯 72종'!J71-X1593-AF1593,0))</x:f>
        <x:v>2</x:v>
      </x:c>
      <x:c r="Q1593" s="2" t="n">
        <x:f>MAX(0,ROUND('기준스탯 72종'!K71-Y1593-AG1593,0))</x:f>
        <x:v>1</x:v>
      </x:c>
      <x:c r="R1593" s="15" t="n">
        <x:f>'기준스탯 72종'!D71*G1593</x:f>
        <x:v>3.3599999999999994</x:v>
      </x:c>
      <x:c r="S1593" s="15" t="n">
        <x:f>'기준스탯 72종'!E71*G1593</x:f>
        <x:v>4.4799999999999995</x:v>
      </x:c>
      <x:c r="T1593" s="15" t="n">
        <x:f>'기준스탯 72종'!F71*G1593</x:f>
        <x:v>4.4799999999999995</x:v>
      </x:c>
      <x:c r="U1593" s="15" t="n">
        <x:f>'기준스탯 72종'!G71*G1593</x:f>
        <x:v>5.039999999999999</x:v>
      </x:c>
      <x:c r="V1593" s="15" t="n">
        <x:f>'기준스탯 72종'!H71*G1593</x:f>
        <x:v>1.6799999999999997</x:v>
      </x:c>
      <x:c r="W1593" s="15" t="n">
        <x:f>'기준스탯 72종'!I71*G1593</x:f>
        <x:v>1.6799999999999997</x:v>
      </x:c>
      <x:c r="X1593" s="15" t="n">
        <x:f>'기준스탯 72종'!J71*G1593</x:f>
        <x:v>3.3599999999999994</x:v>
      </x:c>
      <x:c r="Y1593" s="15" t="n">
        <x:f>'기준스탯 72종'!K71*G1593</x:f>
        <x:v>2.2399999999999998</x:v>
      </x:c>
      <x:c r="Z1593" s="15" t="n">
        <x:f>'기준스탯 72종'!D71*H1593</x:f>
        <x:v>0.7200000000000002</x:v>
      </x:c>
      <x:c r="AA1593" s="15" t="n">
        <x:f>'기준스탯 72종'!E71*H1593</x:f>
        <x:v>0.9600000000000002</x:v>
      </x:c>
      <x:c r="AB1593" s="15" t="n">
        <x:f>'기준스탯 72종'!F71*H1593</x:f>
        <x:v>0.9600000000000002</x:v>
      </x:c>
      <x:c r="AC1593" s="15" t="n">
        <x:f>'기준스탯 72종'!G71*H1593</x:f>
        <x:v>1.0800000000000003</x:v>
      </x:c>
      <x:c r="AD1593" s="15" t="n">
        <x:f>'기준스탯 72종'!H71*H1593</x:f>
        <x:v>0.3600000000000001</x:v>
      </x:c>
      <x:c r="AE1593" s="15" t="n">
        <x:f>'기준스탯 72종'!I71*H1593</x:f>
        <x:v>0.3600000000000001</x:v>
      </x:c>
      <x:c r="AF1593" s="15" t="n">
        <x:f>'기준스탯 72종'!J71*H1593</x:f>
        <x:v>0.7200000000000002</x:v>
      </x:c>
      <x:c r="AG1593" s="15" t="n">
        <x:f>'기준스탯 72종'!K71*H1593</x:f>
        <x:v>0.4800000000000001</x:v>
      </x:c>
    </x:row>
    <x:row r="1594" ht="28" customHeight="1">
      <x:c r="A1594" s="2" t="n">
        <x:v>1587</x:v>
      </x:c>
      <x:c r="B1594" s="2" t="n">
        <x:v>64</x:v>
      </x:c>
      <x:c r="C1594" s="2" t="str">
        <x:v>물병자리</x:v>
      </x:c>
      <x:c r="D1594" s="2" t="str">
        <x:v>정령사</x:v>
      </x:c>
      <x:c r="E1594" s="2" t="n">
        <x:v>2</x:v>
      </x:c>
      <x:c r="F1594" s="2" t="n">
        <x:v>3</x:v>
      </x:c>
      <x:c r="G1594" s="14" t="n">
        <x:f>('레벨 계산식'!$E$4-E1594)*'레벨 계산식'!$B$5</x:f>
        <x:v>0.41999999999999993</x:v>
      </x:c>
      <x:c r="H1594" s="14" t="n">
        <x:f>('등급 계산식'!$E$4-F1594)*'등급 계산식'!$B$5</x:f>
        <x:v>0.12000000000000002</x:v>
      </x:c>
      <x:c r="I1594" s="14" t="n">
        <x:f>1-G1594-H1594</x:f>
        <x:v>0.4600000000000001</x:v>
      </x:c>
      <x:c r="J1594" s="2" t="n">
        <x:f>MAX(1,ROUND('기준스탯 72종'!D71-R1594-Z1594,0))</x:f>
        <x:v>3</x:v>
      </x:c>
      <x:c r="K1594" s="2" t="n">
        <x:f>MAX(1,ROUND('기준스탯 72종'!E71-S1594-AA1594,0))</x:f>
        <x:v>4</x:v>
      </x:c>
      <x:c r="L1594" s="2" t="n">
        <x:f>MAX(1,ROUND('기준스탯 72종'!F71-T1594-AB1594,0))</x:f>
        <x:v>4</x:v>
      </x:c>
      <x:c r="M1594" s="2" t="n">
        <x:f>MAX(1,ROUND('기준스탯 72종'!G71-U1594-AC1594,0))</x:f>
        <x:v>4</x:v>
      </x:c>
      <x:c r="N1594" s="2" t="n">
        <x:f>MAX(0,ROUND('기준스탯 72종'!H71-V1594-AD1594,0))</x:f>
        <x:v>1</x:v>
      </x:c>
      <x:c r="O1594" s="2" t="n">
        <x:f>MAX(0,ROUND('기준스탯 72종'!I71-W1594-AE1594,0))</x:f>
        <x:v>1</x:v>
      </x:c>
      <x:c r="P1594" s="2" t="n">
        <x:f>MAX(0,ROUND('기준스탯 72종'!J71-X1594-AF1594,0))</x:f>
        <x:v>3</x:v>
      </x:c>
      <x:c r="Q1594" s="2" t="n">
        <x:f>MAX(0,ROUND('기준스탯 72종'!K71-Y1594-AG1594,0))</x:f>
        <x:v>2</x:v>
      </x:c>
      <x:c r="R1594" s="15" t="n">
        <x:f>'기준스탯 72종'!D71*G1594</x:f>
        <x:v>2.5199999999999996</x:v>
      </x:c>
      <x:c r="S1594" s="15" t="n">
        <x:f>'기준스탯 72종'!E71*G1594</x:f>
        <x:v>3.3599999999999994</x:v>
      </x:c>
      <x:c r="T1594" s="15" t="n">
        <x:f>'기준스탯 72종'!F71*G1594</x:f>
        <x:v>3.3599999999999994</x:v>
      </x:c>
      <x:c r="U1594" s="15" t="n">
        <x:f>'기준스탯 72종'!G71*G1594</x:f>
        <x:v>3.7799999999999994</x:v>
      </x:c>
      <x:c r="V1594" s="15" t="n">
        <x:f>'기준스탯 72종'!H71*G1594</x:f>
        <x:v>1.2599999999999998</x:v>
      </x:c>
      <x:c r="W1594" s="15" t="n">
        <x:f>'기준스탯 72종'!I71*G1594</x:f>
        <x:v>1.2599999999999998</x:v>
      </x:c>
      <x:c r="X1594" s="15" t="n">
        <x:f>'기준스탯 72종'!J71*G1594</x:f>
        <x:v>2.5199999999999996</x:v>
      </x:c>
      <x:c r="Y1594" s="15" t="n">
        <x:f>'기준스탯 72종'!K71*G1594</x:f>
        <x:v>1.6799999999999997</x:v>
      </x:c>
      <x:c r="Z1594" s="15" t="n">
        <x:f>'기준스탯 72종'!D71*H1594</x:f>
        <x:v>0.7200000000000002</x:v>
      </x:c>
      <x:c r="AA1594" s="15" t="n">
        <x:f>'기준스탯 72종'!E71*H1594</x:f>
        <x:v>0.9600000000000002</x:v>
      </x:c>
      <x:c r="AB1594" s="15" t="n">
        <x:f>'기준스탯 72종'!F71*H1594</x:f>
        <x:v>0.9600000000000002</x:v>
      </x:c>
      <x:c r="AC1594" s="15" t="n">
        <x:f>'기준스탯 72종'!G71*H1594</x:f>
        <x:v>1.0800000000000003</x:v>
      </x:c>
      <x:c r="AD1594" s="15" t="n">
        <x:f>'기준스탯 72종'!H71*H1594</x:f>
        <x:v>0.3600000000000001</x:v>
      </x:c>
      <x:c r="AE1594" s="15" t="n">
        <x:f>'기준스탯 72종'!I71*H1594</x:f>
        <x:v>0.3600000000000001</x:v>
      </x:c>
      <x:c r="AF1594" s="15" t="n">
        <x:f>'기준스탯 72종'!J71*H1594</x:f>
        <x:v>0.7200000000000002</x:v>
      </x:c>
      <x:c r="AG1594" s="15" t="n">
        <x:f>'기준스탯 72종'!K71*H1594</x:f>
        <x:v>0.4800000000000001</x:v>
      </x:c>
    </x:row>
    <x:row r="1595" ht="28" customHeight="1">
      <x:c r="A1595" s="2" t="n">
        <x:v>1588</x:v>
      </x:c>
      <x:c r="B1595" s="2" t="n">
        <x:v>64</x:v>
      </x:c>
      <x:c r="C1595" s="2" t="str">
        <x:v>물병자리</x:v>
      </x:c>
      <x:c r="D1595" s="2" t="str">
        <x:v>정령사</x:v>
      </x:c>
      <x:c r="E1595" s="2" t="n">
        <x:v>3</x:v>
      </x:c>
      <x:c r="F1595" s="2" t="n">
        <x:v>3</x:v>
      </x:c>
      <x:c r="G1595" s="14" t="n">
        <x:f>('레벨 계산식'!$E$4-E1595)*'레벨 계산식'!$B$5</x:f>
        <x:v>0.27999999999999997</x:v>
      </x:c>
      <x:c r="H1595" s="14" t="n">
        <x:f>('등급 계산식'!$E$4-F1595)*'등급 계산식'!$B$5</x:f>
        <x:v>0.12000000000000002</x:v>
      </x:c>
      <x:c r="I1595" s="14" t="n">
        <x:f>1-G1595-H1595</x:f>
        <x:v>0.6</x:v>
      </x:c>
      <x:c r="J1595" s="2" t="n">
        <x:f>MAX(1,ROUND('기준스탯 72종'!D71-R1595-Z1595,0))</x:f>
        <x:v>4</x:v>
      </x:c>
      <x:c r="K1595" s="2" t="n">
        <x:f>MAX(1,ROUND('기준스탯 72종'!E71-S1595-AA1595,0))</x:f>
        <x:v>5</x:v>
      </x:c>
      <x:c r="L1595" s="2" t="n">
        <x:f>MAX(1,ROUND('기준스탯 72종'!F71-T1595-AB1595,0))</x:f>
        <x:v>5</x:v>
      </x:c>
      <x:c r="M1595" s="2" t="n">
        <x:f>MAX(1,ROUND('기준스탯 72종'!G71-U1595-AC1595,0))</x:f>
        <x:v>5</x:v>
      </x:c>
      <x:c r="N1595" s="2" t="n">
        <x:f>MAX(0,ROUND('기준스탯 72종'!H71-V1595-AD1595,0))</x:f>
        <x:v>2</x:v>
      </x:c>
      <x:c r="O1595" s="2" t="n">
        <x:f>MAX(0,ROUND('기준스탯 72종'!I71-W1595-AE1595,0))</x:f>
        <x:v>2</x:v>
      </x:c>
      <x:c r="P1595" s="2" t="n">
        <x:f>MAX(0,ROUND('기준스탯 72종'!J71-X1595-AF1595,0))</x:f>
        <x:v>4</x:v>
      </x:c>
      <x:c r="Q1595" s="2" t="n">
        <x:f>MAX(0,ROUND('기준스탯 72종'!K71-Y1595-AG1595,0))</x:f>
        <x:v>2</x:v>
      </x:c>
      <x:c r="R1595" s="15" t="n">
        <x:f>'기준스탯 72종'!D71*G1595</x:f>
        <x:v>1.6799999999999997</x:v>
      </x:c>
      <x:c r="S1595" s="15" t="n">
        <x:f>'기준스탯 72종'!E71*G1595</x:f>
        <x:v>2.2399999999999998</x:v>
      </x:c>
      <x:c r="T1595" s="15" t="n">
        <x:f>'기준스탯 72종'!F71*G1595</x:f>
        <x:v>2.2399999999999998</x:v>
      </x:c>
      <x:c r="U1595" s="15" t="n">
        <x:f>'기준스탯 72종'!G71*G1595</x:f>
        <x:v>2.5199999999999996</x:v>
      </x:c>
      <x:c r="V1595" s="15" t="n">
        <x:f>'기준스탯 72종'!H71*G1595</x:f>
        <x:v>0.8399999999999999</x:v>
      </x:c>
      <x:c r="W1595" s="15" t="n">
        <x:f>'기준스탯 72종'!I71*G1595</x:f>
        <x:v>0.8399999999999999</x:v>
      </x:c>
      <x:c r="X1595" s="15" t="n">
        <x:f>'기준스탯 72종'!J71*G1595</x:f>
        <x:v>1.6799999999999997</x:v>
      </x:c>
      <x:c r="Y1595" s="15" t="n">
        <x:f>'기준스탯 72종'!K71*G1595</x:f>
        <x:v>1.1199999999999999</x:v>
      </x:c>
      <x:c r="Z1595" s="15" t="n">
        <x:f>'기준스탯 72종'!D71*H1595</x:f>
        <x:v>0.7200000000000002</x:v>
      </x:c>
      <x:c r="AA1595" s="15" t="n">
        <x:f>'기준스탯 72종'!E71*H1595</x:f>
        <x:v>0.9600000000000002</x:v>
      </x:c>
      <x:c r="AB1595" s="15" t="n">
        <x:f>'기준스탯 72종'!F71*H1595</x:f>
        <x:v>0.9600000000000002</x:v>
      </x:c>
      <x:c r="AC1595" s="15" t="n">
        <x:f>'기준스탯 72종'!G71*H1595</x:f>
        <x:v>1.0800000000000003</x:v>
      </x:c>
      <x:c r="AD1595" s="15" t="n">
        <x:f>'기준스탯 72종'!H71*H1595</x:f>
        <x:v>0.3600000000000001</x:v>
      </x:c>
      <x:c r="AE1595" s="15" t="n">
        <x:f>'기준스탯 72종'!I71*H1595</x:f>
        <x:v>0.3600000000000001</x:v>
      </x:c>
      <x:c r="AF1595" s="15" t="n">
        <x:f>'기준스탯 72종'!J71*H1595</x:f>
        <x:v>0.7200000000000002</x:v>
      </x:c>
      <x:c r="AG1595" s="15" t="n">
        <x:f>'기준스탯 72종'!K71*H1595</x:f>
        <x:v>0.4800000000000001</x:v>
      </x:c>
    </x:row>
    <x:row r="1596" ht="28" customHeight="1">
      <x:c r="A1596" s="2" t="n">
        <x:v>1589</x:v>
      </x:c>
      <x:c r="B1596" s="2" t="n">
        <x:v>64</x:v>
      </x:c>
      <x:c r="C1596" s="2" t="str">
        <x:v>물병자리</x:v>
      </x:c>
      <x:c r="D1596" s="2" t="str">
        <x:v>정령사</x:v>
      </x:c>
      <x:c r="E1596" s="2" t="n">
        <x:v>4</x:v>
      </x:c>
      <x:c r="F1596" s="2" t="n">
        <x:v>3</x:v>
      </x:c>
      <x:c r="G1596" s="14" t="n">
        <x:f>('레벨 계산식'!$E$4-E1596)*'레벨 계산식'!$B$5</x:f>
        <x:v>0.13999999999999999</x:v>
      </x:c>
      <x:c r="H1596" s="14" t="n">
        <x:f>('등급 계산식'!$E$4-F1596)*'등급 계산식'!$B$5</x:f>
        <x:v>0.12000000000000002</x:v>
      </x:c>
      <x:c r="I1596" s="14" t="n">
        <x:f>1-G1596-H1596</x:f>
        <x:v>0.74</x:v>
      </x:c>
      <x:c r="J1596" s="2" t="n">
        <x:f>MAX(1,ROUND('기준스탯 72종'!D71-R1596-Z1596,0))</x:f>
        <x:v>4</x:v>
      </x:c>
      <x:c r="K1596" s="2" t="n">
        <x:f>MAX(1,ROUND('기준스탯 72종'!E71-S1596-AA1596,0))</x:f>
        <x:v>6</x:v>
      </x:c>
      <x:c r="L1596" s="2" t="n">
        <x:f>MAX(1,ROUND('기준스탯 72종'!F71-T1596-AB1596,0))</x:f>
        <x:v>6</x:v>
      </x:c>
      <x:c r="M1596" s="2" t="n">
        <x:f>MAX(1,ROUND('기준스탯 72종'!G71-U1596-AC1596,0))</x:f>
        <x:v>7</x:v>
      </x:c>
      <x:c r="N1596" s="2" t="n">
        <x:f>MAX(0,ROUND('기준스탯 72종'!H71-V1596-AD1596,0))</x:f>
        <x:v>2</x:v>
      </x:c>
      <x:c r="O1596" s="2" t="n">
        <x:f>MAX(0,ROUND('기준스탯 72종'!I71-W1596-AE1596,0))</x:f>
        <x:v>2</x:v>
      </x:c>
      <x:c r="P1596" s="2" t="n">
        <x:f>MAX(0,ROUND('기준스탯 72종'!J71-X1596-AF1596,0))</x:f>
        <x:v>4</x:v>
      </x:c>
      <x:c r="Q1596" s="2" t="n">
        <x:f>MAX(0,ROUND('기준스탯 72종'!K71-Y1596-AG1596,0))</x:f>
        <x:v>3</x:v>
      </x:c>
      <x:c r="R1596" s="15" t="n">
        <x:f>'기준스탯 72종'!D71*G1596</x:f>
        <x:v>0.8399999999999999</x:v>
      </x:c>
      <x:c r="S1596" s="15" t="n">
        <x:f>'기준스탯 72종'!E71*G1596</x:f>
        <x:v>1.1199999999999999</x:v>
      </x:c>
      <x:c r="T1596" s="15" t="n">
        <x:f>'기준스탯 72종'!F71*G1596</x:f>
        <x:v>1.1199999999999999</x:v>
      </x:c>
      <x:c r="U1596" s="15" t="n">
        <x:f>'기준스탯 72종'!G71*G1596</x:f>
        <x:v>1.2599999999999998</x:v>
      </x:c>
      <x:c r="V1596" s="15" t="n">
        <x:f>'기준스탯 72종'!H71*G1596</x:f>
        <x:v>0.41999999999999993</x:v>
      </x:c>
      <x:c r="W1596" s="15" t="n">
        <x:f>'기준스탯 72종'!I71*G1596</x:f>
        <x:v>0.41999999999999993</x:v>
      </x:c>
      <x:c r="X1596" s="15" t="n">
        <x:f>'기준스탯 72종'!J71*G1596</x:f>
        <x:v>0.8399999999999999</x:v>
      </x:c>
      <x:c r="Y1596" s="15" t="n">
        <x:f>'기준스탯 72종'!K71*G1596</x:f>
        <x:v>0.5599999999999999</x:v>
      </x:c>
      <x:c r="Z1596" s="15" t="n">
        <x:f>'기준스탯 72종'!D71*H1596</x:f>
        <x:v>0.7200000000000002</x:v>
      </x:c>
      <x:c r="AA1596" s="15" t="n">
        <x:f>'기준스탯 72종'!E71*H1596</x:f>
        <x:v>0.9600000000000002</x:v>
      </x:c>
      <x:c r="AB1596" s="15" t="n">
        <x:f>'기준스탯 72종'!F71*H1596</x:f>
        <x:v>0.9600000000000002</x:v>
      </x:c>
      <x:c r="AC1596" s="15" t="n">
        <x:f>'기준스탯 72종'!G71*H1596</x:f>
        <x:v>1.0800000000000003</x:v>
      </x:c>
      <x:c r="AD1596" s="15" t="n">
        <x:f>'기준스탯 72종'!H71*H1596</x:f>
        <x:v>0.3600000000000001</x:v>
      </x:c>
      <x:c r="AE1596" s="15" t="n">
        <x:f>'기준스탯 72종'!I71*H1596</x:f>
        <x:v>0.3600000000000001</x:v>
      </x:c>
      <x:c r="AF1596" s="15" t="n">
        <x:f>'기준스탯 72종'!J71*H1596</x:f>
        <x:v>0.7200000000000002</x:v>
      </x:c>
      <x:c r="AG1596" s="15" t="n">
        <x:f>'기준스탯 72종'!K71*H1596</x:f>
        <x:v>0.4800000000000001</x:v>
      </x:c>
    </x:row>
    <x:row r="1597" ht="28" customHeight="1">
      <x:c r="A1597" s="2" t="n">
        <x:v>1590</x:v>
      </x:c>
      <x:c r="B1597" s="2" t="n">
        <x:v>64</x:v>
      </x:c>
      <x:c r="C1597" s="2" t="str">
        <x:v>물병자리</x:v>
      </x:c>
      <x:c r="D1597" s="2" t="str">
        <x:v>정령사</x:v>
      </x:c>
      <x:c r="E1597" s="2" t="n">
        <x:v>5</x:v>
      </x:c>
      <x:c r="F1597" s="2" t="n">
        <x:v>3</x:v>
      </x:c>
      <x:c r="G1597" s="14" t="n">
        <x:f>('레벨 계산식'!$E$4-E1597)*'레벨 계산식'!$B$5</x:f>
        <x:v>0</x:v>
      </x:c>
      <x:c r="H1597" s="14" t="n">
        <x:f>('등급 계산식'!$E$4-F1597)*'등급 계산식'!$B$5</x:f>
        <x:v>0.12000000000000002</x:v>
      </x:c>
      <x:c r="I1597" s="14" t="n">
        <x:f>1-G1597-H1597</x:f>
        <x:v>0.88</x:v>
      </x:c>
      <x:c r="J1597" s="2" t="n">
        <x:f>MAX(1,ROUND('기준스탯 72종'!D71-R1597-Z1597,0))</x:f>
        <x:v>5</x:v>
      </x:c>
      <x:c r="K1597" s="2" t="n">
        <x:f>MAX(1,ROUND('기준스탯 72종'!E71-S1597-AA1597,0))</x:f>
        <x:v>7</x:v>
      </x:c>
      <x:c r="L1597" s="2" t="n">
        <x:f>MAX(1,ROUND('기준스탯 72종'!F71-T1597-AB1597,0))</x:f>
        <x:v>7</x:v>
      </x:c>
      <x:c r="M1597" s="2" t="n">
        <x:f>MAX(1,ROUND('기준스탯 72종'!G71-U1597-AC1597,0))</x:f>
        <x:v>8</x:v>
      </x:c>
      <x:c r="N1597" s="2" t="n">
        <x:f>MAX(0,ROUND('기준스탯 72종'!H71-V1597-AD1597,0))</x:f>
        <x:v>3</x:v>
      </x:c>
      <x:c r="O1597" s="2" t="n">
        <x:f>MAX(0,ROUND('기준스탯 72종'!I71-W1597-AE1597,0))</x:f>
        <x:v>3</x:v>
      </x:c>
      <x:c r="P1597" s="2" t="n">
        <x:f>MAX(0,ROUND('기준스탯 72종'!J71-X1597-AF1597,0))</x:f>
        <x:v>5</x:v>
      </x:c>
      <x:c r="Q1597" s="2" t="n">
        <x:f>MAX(0,ROUND('기준스탯 72종'!K71-Y1597-AG1597,0))</x:f>
        <x:v>4</x:v>
      </x:c>
      <x:c r="R1597" s="15" t="n">
        <x:f>'기준스탯 72종'!D71*G1597</x:f>
        <x:v>0</x:v>
      </x:c>
      <x:c r="S1597" s="15" t="n">
        <x:f>'기준스탯 72종'!E71*G1597</x:f>
        <x:v>0</x:v>
      </x:c>
      <x:c r="T1597" s="15" t="n">
        <x:f>'기준스탯 72종'!F71*G1597</x:f>
        <x:v>0</x:v>
      </x:c>
      <x:c r="U1597" s="15" t="n">
        <x:f>'기준스탯 72종'!G71*G1597</x:f>
        <x:v>0</x:v>
      </x:c>
      <x:c r="V1597" s="15" t="n">
        <x:f>'기준스탯 72종'!H71*G1597</x:f>
        <x:v>0</x:v>
      </x:c>
      <x:c r="W1597" s="15" t="n">
        <x:f>'기준스탯 72종'!I71*G1597</x:f>
        <x:v>0</x:v>
      </x:c>
      <x:c r="X1597" s="15" t="n">
        <x:f>'기준스탯 72종'!J71*G1597</x:f>
        <x:v>0</x:v>
      </x:c>
      <x:c r="Y1597" s="15" t="n">
        <x:f>'기준스탯 72종'!K71*G1597</x:f>
        <x:v>0</x:v>
      </x:c>
      <x:c r="Z1597" s="15" t="n">
        <x:f>'기준스탯 72종'!D71*H1597</x:f>
        <x:v>0.7200000000000002</x:v>
      </x:c>
      <x:c r="AA1597" s="15" t="n">
        <x:f>'기준스탯 72종'!E71*H1597</x:f>
        <x:v>0.9600000000000002</x:v>
      </x:c>
      <x:c r="AB1597" s="15" t="n">
        <x:f>'기준스탯 72종'!F71*H1597</x:f>
        <x:v>0.9600000000000002</x:v>
      </x:c>
      <x:c r="AC1597" s="15" t="n">
        <x:f>'기준스탯 72종'!G71*H1597</x:f>
        <x:v>1.0800000000000003</x:v>
      </x:c>
      <x:c r="AD1597" s="15" t="n">
        <x:f>'기준스탯 72종'!H71*H1597</x:f>
        <x:v>0.3600000000000001</x:v>
      </x:c>
      <x:c r="AE1597" s="15" t="n">
        <x:f>'기준스탯 72종'!I71*H1597</x:f>
        <x:v>0.3600000000000001</x:v>
      </x:c>
      <x:c r="AF1597" s="15" t="n">
        <x:f>'기준스탯 72종'!J71*H1597</x:f>
        <x:v>0.7200000000000002</x:v>
      </x:c>
      <x:c r="AG1597" s="15" t="n">
        <x:f>'기준스탯 72종'!K71*H1597</x:f>
        <x:v>0.4800000000000001</x:v>
      </x:c>
    </x:row>
    <x:row r="1598" ht="28" customHeight="1">
      <x:c r="A1598" s="2" t="n">
        <x:v>1591</x:v>
      </x:c>
      <x:c r="B1598" s="2" t="n">
        <x:v>64</x:v>
      </x:c>
      <x:c r="C1598" s="2" t="str">
        <x:v>물병자리</x:v>
      </x:c>
      <x:c r="D1598" s="2" t="str">
        <x:v>정령사</x:v>
      </x:c>
      <x:c r="E1598" s="2" t="n">
        <x:v>1</x:v>
      </x:c>
      <x:c r="F1598" s="2" t="n">
        <x:v>4</x:v>
      </x:c>
      <x:c r="G1598" s="14" t="n">
        <x:f>('레벨 계산식'!$E$4-E1598)*'레벨 계산식'!$B$5</x:f>
        <x:v>0.5599999999999999</x:v>
      </x:c>
      <x:c r="H1598" s="14" t="n">
        <x:f>('등급 계산식'!$E$4-F1598)*'등급 계산식'!$B$5</x:f>
        <x:v>0.06000000000000001</x:v>
      </x:c>
      <x:c r="I1598" s="14" t="n">
        <x:f>1-G1598-H1598</x:f>
        <x:v>0.38000000000000006</x:v>
      </x:c>
      <x:c r="J1598" s="2" t="n">
        <x:f>MAX(1,ROUND('기준스탯 72종'!D71-R1598-Z1598,0))</x:f>
        <x:v>2</x:v>
      </x:c>
      <x:c r="K1598" s="2" t="n">
        <x:f>MAX(1,ROUND('기준스탯 72종'!E71-S1598-AA1598,0))</x:f>
        <x:v>3</x:v>
      </x:c>
      <x:c r="L1598" s="2" t="n">
        <x:f>MAX(1,ROUND('기준스탯 72종'!F71-T1598-AB1598,0))</x:f>
        <x:v>3</x:v>
      </x:c>
      <x:c r="M1598" s="2" t="n">
        <x:f>MAX(1,ROUND('기준스탯 72종'!G71-U1598-AC1598,0))</x:f>
        <x:v>3</x:v>
      </x:c>
      <x:c r="N1598" s="2" t="n">
        <x:f>MAX(0,ROUND('기준스탯 72종'!H71-V1598-AD1598,0))</x:f>
        <x:v>1</x:v>
      </x:c>
      <x:c r="O1598" s="2" t="n">
        <x:f>MAX(0,ROUND('기준스탯 72종'!I71-W1598-AE1598,0))</x:f>
        <x:v>1</x:v>
      </x:c>
      <x:c r="P1598" s="2" t="n">
        <x:f>MAX(0,ROUND('기준스탯 72종'!J71-X1598-AF1598,0))</x:f>
        <x:v>2</x:v>
      </x:c>
      <x:c r="Q1598" s="2" t="n">
        <x:f>MAX(0,ROUND('기준스탯 72종'!K71-Y1598-AG1598,0))</x:f>
        <x:v>2</x:v>
      </x:c>
      <x:c r="R1598" s="15" t="n">
        <x:f>'기준스탯 72종'!D71*G1598</x:f>
        <x:v>3.3599999999999994</x:v>
      </x:c>
      <x:c r="S1598" s="15" t="n">
        <x:f>'기준스탯 72종'!E71*G1598</x:f>
        <x:v>4.4799999999999995</x:v>
      </x:c>
      <x:c r="T1598" s="15" t="n">
        <x:f>'기준스탯 72종'!F71*G1598</x:f>
        <x:v>4.4799999999999995</x:v>
      </x:c>
      <x:c r="U1598" s="15" t="n">
        <x:f>'기준스탯 72종'!G71*G1598</x:f>
        <x:v>5.039999999999999</x:v>
      </x:c>
      <x:c r="V1598" s="15" t="n">
        <x:f>'기준스탯 72종'!H71*G1598</x:f>
        <x:v>1.6799999999999997</x:v>
      </x:c>
      <x:c r="W1598" s="15" t="n">
        <x:f>'기준스탯 72종'!I71*G1598</x:f>
        <x:v>1.6799999999999997</x:v>
      </x:c>
      <x:c r="X1598" s="15" t="n">
        <x:f>'기준스탯 72종'!J71*G1598</x:f>
        <x:v>3.3599999999999994</x:v>
      </x:c>
      <x:c r="Y1598" s="15" t="n">
        <x:f>'기준스탯 72종'!K71*G1598</x:f>
        <x:v>2.2399999999999998</x:v>
      </x:c>
      <x:c r="Z1598" s="15" t="n">
        <x:f>'기준스탯 72종'!D71*H1598</x:f>
        <x:v>0.3600000000000001</x:v>
      </x:c>
      <x:c r="AA1598" s="15" t="n">
        <x:f>'기준스탯 72종'!E71*H1598</x:f>
        <x:v>0.4800000000000001</x:v>
      </x:c>
      <x:c r="AB1598" s="15" t="n">
        <x:f>'기준스탯 72종'!F71*H1598</x:f>
        <x:v>0.4800000000000001</x:v>
      </x:c>
      <x:c r="AC1598" s="15" t="n">
        <x:f>'기준스탯 72종'!G71*H1598</x:f>
        <x:v>0.5400000000000001</x:v>
      </x:c>
      <x:c r="AD1598" s="15" t="n">
        <x:f>'기준스탯 72종'!H71*H1598</x:f>
        <x:v>0.18000000000000005</x:v>
      </x:c>
      <x:c r="AE1598" s="15" t="n">
        <x:f>'기준스탯 72종'!I71*H1598</x:f>
        <x:v>0.18000000000000005</x:v>
      </x:c>
      <x:c r="AF1598" s="15" t="n">
        <x:f>'기준스탯 72종'!J71*H1598</x:f>
        <x:v>0.3600000000000001</x:v>
      </x:c>
      <x:c r="AG1598" s="15" t="n">
        <x:f>'기준스탯 72종'!K71*H1598</x:f>
        <x:v>0.24000000000000005</x:v>
      </x:c>
    </x:row>
    <x:row r="1599" ht="28" customHeight="1">
      <x:c r="A1599" s="2" t="n">
        <x:v>1592</x:v>
      </x:c>
      <x:c r="B1599" s="2" t="n">
        <x:v>64</x:v>
      </x:c>
      <x:c r="C1599" s="2" t="str">
        <x:v>물병자리</x:v>
      </x:c>
      <x:c r="D1599" s="2" t="str">
        <x:v>정령사</x:v>
      </x:c>
      <x:c r="E1599" s="2" t="n">
        <x:v>2</x:v>
      </x:c>
      <x:c r="F1599" s="2" t="n">
        <x:v>4</x:v>
      </x:c>
      <x:c r="G1599" s="14" t="n">
        <x:f>('레벨 계산식'!$E$4-E1599)*'레벨 계산식'!$B$5</x:f>
        <x:v>0.41999999999999993</x:v>
      </x:c>
      <x:c r="H1599" s="14" t="n">
        <x:f>('등급 계산식'!$E$4-F1599)*'등급 계산식'!$B$5</x:f>
        <x:v>0.06000000000000001</x:v>
      </x:c>
      <x:c r="I1599" s="14" t="n">
        <x:f>1-G1599-H1599</x:f>
        <x:v>0.52</x:v>
      </x:c>
      <x:c r="J1599" s="2" t="n">
        <x:f>MAX(1,ROUND('기준스탯 72종'!D71-R1599-Z1599,0))</x:f>
        <x:v>3</x:v>
      </x:c>
      <x:c r="K1599" s="2" t="n">
        <x:f>MAX(1,ROUND('기준스탯 72종'!E71-S1599-AA1599,0))</x:f>
        <x:v>4</x:v>
      </x:c>
      <x:c r="L1599" s="2" t="n">
        <x:f>MAX(1,ROUND('기준스탯 72종'!F71-T1599-AB1599,0))</x:f>
        <x:v>4</x:v>
      </x:c>
      <x:c r="M1599" s="2" t="n">
        <x:f>MAX(1,ROUND('기준스탯 72종'!G71-U1599-AC1599,0))</x:f>
        <x:v>5</x:v>
      </x:c>
      <x:c r="N1599" s="2" t="n">
        <x:f>MAX(0,ROUND('기준스탯 72종'!H71-V1599-AD1599,0))</x:f>
        <x:v>2</x:v>
      </x:c>
      <x:c r="O1599" s="2" t="n">
        <x:f>MAX(0,ROUND('기준스탯 72종'!I71-W1599-AE1599,0))</x:f>
        <x:v>2</x:v>
      </x:c>
      <x:c r="P1599" s="2" t="n">
        <x:f>MAX(0,ROUND('기준스탯 72종'!J71-X1599-AF1599,0))</x:f>
        <x:v>3</x:v>
      </x:c>
      <x:c r="Q1599" s="2" t="n">
        <x:f>MAX(0,ROUND('기준스탯 72종'!K71-Y1599-AG1599,0))</x:f>
        <x:v>2</x:v>
      </x:c>
      <x:c r="R1599" s="15" t="n">
        <x:f>'기준스탯 72종'!D71*G1599</x:f>
        <x:v>2.5199999999999996</x:v>
      </x:c>
      <x:c r="S1599" s="15" t="n">
        <x:f>'기준스탯 72종'!E71*G1599</x:f>
        <x:v>3.3599999999999994</x:v>
      </x:c>
      <x:c r="T1599" s="15" t="n">
        <x:f>'기준스탯 72종'!F71*G1599</x:f>
        <x:v>3.3599999999999994</x:v>
      </x:c>
      <x:c r="U1599" s="15" t="n">
        <x:f>'기준스탯 72종'!G71*G1599</x:f>
        <x:v>3.7799999999999994</x:v>
      </x:c>
      <x:c r="V1599" s="15" t="n">
        <x:f>'기준스탯 72종'!H71*G1599</x:f>
        <x:v>1.2599999999999998</x:v>
      </x:c>
      <x:c r="W1599" s="15" t="n">
        <x:f>'기준스탯 72종'!I71*G1599</x:f>
        <x:v>1.2599999999999998</x:v>
      </x:c>
      <x:c r="X1599" s="15" t="n">
        <x:f>'기준스탯 72종'!J71*G1599</x:f>
        <x:v>2.5199999999999996</x:v>
      </x:c>
      <x:c r="Y1599" s="15" t="n">
        <x:f>'기준스탯 72종'!K71*G1599</x:f>
        <x:v>1.6799999999999997</x:v>
      </x:c>
      <x:c r="Z1599" s="15" t="n">
        <x:f>'기준스탯 72종'!D71*H1599</x:f>
        <x:v>0.3600000000000001</x:v>
      </x:c>
      <x:c r="AA1599" s="15" t="n">
        <x:f>'기준스탯 72종'!E71*H1599</x:f>
        <x:v>0.4800000000000001</x:v>
      </x:c>
      <x:c r="AB1599" s="15" t="n">
        <x:f>'기준스탯 72종'!F71*H1599</x:f>
        <x:v>0.4800000000000001</x:v>
      </x:c>
      <x:c r="AC1599" s="15" t="n">
        <x:f>'기준스탯 72종'!G71*H1599</x:f>
        <x:v>0.5400000000000001</x:v>
      </x:c>
      <x:c r="AD1599" s="15" t="n">
        <x:f>'기준스탯 72종'!H71*H1599</x:f>
        <x:v>0.18000000000000005</x:v>
      </x:c>
      <x:c r="AE1599" s="15" t="n">
        <x:f>'기준스탯 72종'!I71*H1599</x:f>
        <x:v>0.18000000000000005</x:v>
      </x:c>
      <x:c r="AF1599" s="15" t="n">
        <x:f>'기준스탯 72종'!J71*H1599</x:f>
        <x:v>0.3600000000000001</x:v>
      </x:c>
      <x:c r="AG1599" s="15" t="n">
        <x:f>'기준스탯 72종'!K71*H1599</x:f>
        <x:v>0.24000000000000005</x:v>
      </x:c>
    </x:row>
    <x:row r="1600" ht="28" customHeight="1">
      <x:c r="A1600" s="2" t="n">
        <x:v>1593</x:v>
      </x:c>
      <x:c r="B1600" s="2" t="n">
        <x:v>64</x:v>
      </x:c>
      <x:c r="C1600" s="2" t="str">
        <x:v>물병자리</x:v>
      </x:c>
      <x:c r="D1600" s="2" t="str">
        <x:v>정령사</x:v>
      </x:c>
      <x:c r="E1600" s="2" t="n">
        <x:v>3</x:v>
      </x:c>
      <x:c r="F1600" s="2" t="n">
        <x:v>4</x:v>
      </x:c>
      <x:c r="G1600" s="14" t="n">
        <x:f>('레벨 계산식'!$E$4-E1600)*'레벨 계산식'!$B$5</x:f>
        <x:v>0.27999999999999997</x:v>
      </x:c>
      <x:c r="H1600" s="14" t="n">
        <x:f>('등급 계산식'!$E$4-F1600)*'등급 계산식'!$B$5</x:f>
        <x:v>0.06000000000000001</x:v>
      </x:c>
      <x:c r="I1600" s="14" t="n">
        <x:f>1-G1600-H1600</x:f>
        <x:v>0.6599999999999999</x:v>
      </x:c>
      <x:c r="J1600" s="2" t="n">
        <x:f>MAX(1,ROUND('기준스탯 72종'!D71-R1600-Z1600,0))</x:f>
        <x:v>4</x:v>
      </x:c>
      <x:c r="K1600" s="2" t="n">
        <x:f>MAX(1,ROUND('기준스탯 72종'!E71-S1600-AA1600,0))</x:f>
        <x:v>5</x:v>
      </x:c>
      <x:c r="L1600" s="2" t="n">
        <x:f>MAX(1,ROUND('기준스탯 72종'!F71-T1600-AB1600,0))</x:f>
        <x:v>5</x:v>
      </x:c>
      <x:c r="M1600" s="2" t="n">
        <x:f>MAX(1,ROUND('기준스탯 72종'!G71-U1600-AC1600,0))</x:f>
        <x:v>6</x:v>
      </x:c>
      <x:c r="N1600" s="2" t="n">
        <x:f>MAX(0,ROUND('기준스탯 72종'!H71-V1600-AD1600,0))</x:f>
        <x:v>2</x:v>
      </x:c>
      <x:c r="O1600" s="2" t="n">
        <x:f>MAX(0,ROUND('기준스탯 72종'!I71-W1600-AE1600,0))</x:f>
        <x:v>2</x:v>
      </x:c>
      <x:c r="P1600" s="2" t="n">
        <x:f>MAX(0,ROUND('기준스탯 72종'!J71-X1600-AF1600,0))</x:f>
        <x:v>4</x:v>
      </x:c>
      <x:c r="Q1600" s="2" t="n">
        <x:f>MAX(0,ROUND('기준스탯 72종'!K71-Y1600-AG1600,0))</x:f>
        <x:v>3</x:v>
      </x:c>
      <x:c r="R1600" s="15" t="n">
        <x:f>'기준스탯 72종'!D71*G1600</x:f>
        <x:v>1.6799999999999997</x:v>
      </x:c>
      <x:c r="S1600" s="15" t="n">
        <x:f>'기준스탯 72종'!E71*G1600</x:f>
        <x:v>2.2399999999999998</x:v>
      </x:c>
      <x:c r="T1600" s="15" t="n">
        <x:f>'기준스탯 72종'!F71*G1600</x:f>
        <x:v>2.2399999999999998</x:v>
      </x:c>
      <x:c r="U1600" s="15" t="n">
        <x:f>'기준스탯 72종'!G71*G1600</x:f>
        <x:v>2.5199999999999996</x:v>
      </x:c>
      <x:c r="V1600" s="15" t="n">
        <x:f>'기준스탯 72종'!H71*G1600</x:f>
        <x:v>0.8399999999999999</x:v>
      </x:c>
      <x:c r="W1600" s="15" t="n">
        <x:f>'기준스탯 72종'!I71*G1600</x:f>
        <x:v>0.8399999999999999</x:v>
      </x:c>
      <x:c r="X1600" s="15" t="n">
        <x:f>'기준스탯 72종'!J71*G1600</x:f>
        <x:v>1.6799999999999997</x:v>
      </x:c>
      <x:c r="Y1600" s="15" t="n">
        <x:f>'기준스탯 72종'!K71*G1600</x:f>
        <x:v>1.1199999999999999</x:v>
      </x:c>
      <x:c r="Z1600" s="15" t="n">
        <x:f>'기준스탯 72종'!D71*H1600</x:f>
        <x:v>0.3600000000000001</x:v>
      </x:c>
      <x:c r="AA1600" s="15" t="n">
        <x:f>'기준스탯 72종'!E71*H1600</x:f>
        <x:v>0.4800000000000001</x:v>
      </x:c>
      <x:c r="AB1600" s="15" t="n">
        <x:f>'기준스탯 72종'!F71*H1600</x:f>
        <x:v>0.4800000000000001</x:v>
      </x:c>
      <x:c r="AC1600" s="15" t="n">
        <x:f>'기준스탯 72종'!G71*H1600</x:f>
        <x:v>0.5400000000000001</x:v>
      </x:c>
      <x:c r="AD1600" s="15" t="n">
        <x:f>'기준스탯 72종'!H71*H1600</x:f>
        <x:v>0.18000000000000005</x:v>
      </x:c>
      <x:c r="AE1600" s="15" t="n">
        <x:f>'기준스탯 72종'!I71*H1600</x:f>
        <x:v>0.18000000000000005</x:v>
      </x:c>
      <x:c r="AF1600" s="15" t="n">
        <x:f>'기준스탯 72종'!J71*H1600</x:f>
        <x:v>0.3600000000000001</x:v>
      </x:c>
      <x:c r="AG1600" s="15" t="n">
        <x:f>'기준스탯 72종'!K71*H1600</x:f>
        <x:v>0.24000000000000005</x:v>
      </x:c>
    </x:row>
    <x:row r="1601" ht="28" customHeight="1">
      <x:c r="A1601" s="2" t="n">
        <x:v>1594</x:v>
      </x:c>
      <x:c r="B1601" s="2" t="n">
        <x:v>64</x:v>
      </x:c>
      <x:c r="C1601" s="2" t="str">
        <x:v>물병자리</x:v>
      </x:c>
      <x:c r="D1601" s="2" t="str">
        <x:v>정령사</x:v>
      </x:c>
      <x:c r="E1601" s="2" t="n">
        <x:v>4</x:v>
      </x:c>
      <x:c r="F1601" s="2" t="n">
        <x:v>4</x:v>
      </x:c>
      <x:c r="G1601" s="14" t="n">
        <x:f>('레벨 계산식'!$E$4-E1601)*'레벨 계산식'!$B$5</x:f>
        <x:v>0.13999999999999999</x:v>
      </x:c>
      <x:c r="H1601" s="14" t="n">
        <x:f>('등급 계산식'!$E$4-F1601)*'등급 계산식'!$B$5</x:f>
        <x:v>0.06000000000000001</x:v>
      </x:c>
      <x:c r="I1601" s="14" t="n">
        <x:f>1-G1601-H1601</x:f>
        <x:v>0.7999999999999999</x:v>
      </x:c>
      <x:c r="J1601" s="2" t="n">
        <x:f>MAX(1,ROUND('기준스탯 72종'!D71-R1601-Z1601,0))</x:f>
        <x:v>5</x:v>
      </x:c>
      <x:c r="K1601" s="2" t="n">
        <x:f>MAX(1,ROUND('기준스탯 72종'!E71-S1601-AA1601,0))</x:f>
        <x:v>6</x:v>
      </x:c>
      <x:c r="L1601" s="2" t="n">
        <x:f>MAX(1,ROUND('기준스탯 72종'!F71-T1601-AB1601,0))</x:f>
        <x:v>6</x:v>
      </x:c>
      <x:c r="M1601" s="2" t="n">
        <x:f>MAX(1,ROUND('기준스탯 72종'!G71-U1601-AC1601,0))</x:f>
        <x:v>7</x:v>
      </x:c>
      <x:c r="N1601" s="2" t="n">
        <x:f>MAX(0,ROUND('기준스탯 72종'!H71-V1601-AD1601,0))</x:f>
        <x:v>2</x:v>
      </x:c>
      <x:c r="O1601" s="2" t="n">
        <x:f>MAX(0,ROUND('기준스탯 72종'!I71-W1601-AE1601,0))</x:f>
        <x:v>2</x:v>
      </x:c>
      <x:c r="P1601" s="2" t="n">
        <x:f>MAX(0,ROUND('기준스탯 72종'!J71-X1601-AF1601,0))</x:f>
        <x:v>5</x:v>
      </x:c>
      <x:c r="Q1601" s="2" t="n">
        <x:f>MAX(0,ROUND('기준스탯 72종'!K71-Y1601-AG1601,0))</x:f>
        <x:v>3</x:v>
      </x:c>
      <x:c r="R1601" s="15" t="n">
        <x:f>'기준스탯 72종'!D71*G1601</x:f>
        <x:v>0.8399999999999999</x:v>
      </x:c>
      <x:c r="S1601" s="15" t="n">
        <x:f>'기준스탯 72종'!E71*G1601</x:f>
        <x:v>1.1199999999999999</x:v>
      </x:c>
      <x:c r="T1601" s="15" t="n">
        <x:f>'기준스탯 72종'!F71*G1601</x:f>
        <x:v>1.1199999999999999</x:v>
      </x:c>
      <x:c r="U1601" s="15" t="n">
        <x:f>'기준스탯 72종'!G71*G1601</x:f>
        <x:v>1.2599999999999998</x:v>
      </x:c>
      <x:c r="V1601" s="15" t="n">
        <x:f>'기준스탯 72종'!H71*G1601</x:f>
        <x:v>0.41999999999999993</x:v>
      </x:c>
      <x:c r="W1601" s="15" t="n">
        <x:f>'기준스탯 72종'!I71*G1601</x:f>
        <x:v>0.41999999999999993</x:v>
      </x:c>
      <x:c r="X1601" s="15" t="n">
        <x:f>'기준스탯 72종'!J71*G1601</x:f>
        <x:v>0.8399999999999999</x:v>
      </x:c>
      <x:c r="Y1601" s="15" t="n">
        <x:f>'기준스탯 72종'!K71*G1601</x:f>
        <x:v>0.5599999999999999</x:v>
      </x:c>
      <x:c r="Z1601" s="15" t="n">
        <x:f>'기준스탯 72종'!D71*H1601</x:f>
        <x:v>0.3600000000000001</x:v>
      </x:c>
      <x:c r="AA1601" s="15" t="n">
        <x:f>'기준스탯 72종'!E71*H1601</x:f>
        <x:v>0.4800000000000001</x:v>
      </x:c>
      <x:c r="AB1601" s="15" t="n">
        <x:f>'기준스탯 72종'!F71*H1601</x:f>
        <x:v>0.4800000000000001</x:v>
      </x:c>
      <x:c r="AC1601" s="15" t="n">
        <x:f>'기준스탯 72종'!G71*H1601</x:f>
        <x:v>0.5400000000000001</x:v>
      </x:c>
      <x:c r="AD1601" s="15" t="n">
        <x:f>'기준스탯 72종'!H71*H1601</x:f>
        <x:v>0.18000000000000005</x:v>
      </x:c>
      <x:c r="AE1601" s="15" t="n">
        <x:f>'기준스탯 72종'!I71*H1601</x:f>
        <x:v>0.18000000000000005</x:v>
      </x:c>
      <x:c r="AF1601" s="15" t="n">
        <x:f>'기준스탯 72종'!J71*H1601</x:f>
        <x:v>0.3600000000000001</x:v>
      </x:c>
      <x:c r="AG1601" s="15" t="n">
        <x:f>'기준스탯 72종'!K71*H1601</x:f>
        <x:v>0.24000000000000005</x:v>
      </x:c>
    </x:row>
    <x:row r="1602" ht="28" customHeight="1">
      <x:c r="A1602" s="2" t="n">
        <x:v>1595</x:v>
      </x:c>
      <x:c r="B1602" s="2" t="n">
        <x:v>64</x:v>
      </x:c>
      <x:c r="C1602" s="2" t="str">
        <x:v>물병자리</x:v>
      </x:c>
      <x:c r="D1602" s="2" t="str">
        <x:v>정령사</x:v>
      </x:c>
      <x:c r="E1602" s="2" t="n">
        <x:v>5</x:v>
      </x:c>
      <x:c r="F1602" s="2" t="n">
        <x:v>4</x:v>
      </x:c>
      <x:c r="G1602" s="14" t="n">
        <x:f>('레벨 계산식'!$E$4-E1602)*'레벨 계산식'!$B$5</x:f>
        <x:v>0</x:v>
      </x:c>
      <x:c r="H1602" s="14" t="n">
        <x:f>('등급 계산식'!$E$4-F1602)*'등급 계산식'!$B$5</x:f>
        <x:v>0.06000000000000001</x:v>
      </x:c>
      <x:c r="I1602" s="14" t="n">
        <x:f>1-G1602-H1602</x:f>
        <x:v>0.94</x:v>
      </x:c>
      <x:c r="J1602" s="2" t="n">
        <x:f>MAX(1,ROUND('기준스탯 72종'!D71-R1602-Z1602,0))</x:f>
        <x:v>6</x:v>
      </x:c>
      <x:c r="K1602" s="2" t="n">
        <x:f>MAX(1,ROUND('기준스탯 72종'!E71-S1602-AA1602,0))</x:f>
        <x:v>8</x:v>
      </x:c>
      <x:c r="L1602" s="2" t="n">
        <x:f>MAX(1,ROUND('기준스탯 72종'!F71-T1602-AB1602,0))</x:f>
        <x:v>8</x:v>
      </x:c>
      <x:c r="M1602" s="2" t="n">
        <x:f>MAX(1,ROUND('기준스탯 72종'!G71-U1602-AC1602,0))</x:f>
        <x:v>8</x:v>
      </x:c>
      <x:c r="N1602" s="2" t="n">
        <x:f>MAX(0,ROUND('기준스탯 72종'!H71-V1602-AD1602,0))</x:f>
        <x:v>3</x:v>
      </x:c>
      <x:c r="O1602" s="2" t="n">
        <x:f>MAX(0,ROUND('기준스탯 72종'!I71-W1602-AE1602,0))</x:f>
        <x:v>3</x:v>
      </x:c>
      <x:c r="P1602" s="2" t="n">
        <x:f>MAX(0,ROUND('기준스탯 72종'!J71-X1602-AF1602,0))</x:f>
        <x:v>6</x:v>
      </x:c>
      <x:c r="Q1602" s="2" t="n">
        <x:f>MAX(0,ROUND('기준스탯 72종'!K71-Y1602-AG1602,0))</x:f>
        <x:v>4</x:v>
      </x:c>
      <x:c r="R1602" s="15" t="n">
        <x:f>'기준스탯 72종'!D71*G1602</x:f>
        <x:v>0</x:v>
      </x:c>
      <x:c r="S1602" s="15" t="n">
        <x:f>'기준스탯 72종'!E71*G1602</x:f>
        <x:v>0</x:v>
      </x:c>
      <x:c r="T1602" s="15" t="n">
        <x:f>'기준스탯 72종'!F71*G1602</x:f>
        <x:v>0</x:v>
      </x:c>
      <x:c r="U1602" s="15" t="n">
        <x:f>'기준스탯 72종'!G71*G1602</x:f>
        <x:v>0</x:v>
      </x:c>
      <x:c r="V1602" s="15" t="n">
        <x:f>'기준스탯 72종'!H71*G1602</x:f>
        <x:v>0</x:v>
      </x:c>
      <x:c r="W1602" s="15" t="n">
        <x:f>'기준스탯 72종'!I71*G1602</x:f>
        <x:v>0</x:v>
      </x:c>
      <x:c r="X1602" s="15" t="n">
        <x:f>'기준스탯 72종'!J71*G1602</x:f>
        <x:v>0</x:v>
      </x:c>
      <x:c r="Y1602" s="15" t="n">
        <x:f>'기준스탯 72종'!K71*G1602</x:f>
        <x:v>0</x:v>
      </x:c>
      <x:c r="Z1602" s="15" t="n">
        <x:f>'기준스탯 72종'!D71*H1602</x:f>
        <x:v>0.3600000000000001</x:v>
      </x:c>
      <x:c r="AA1602" s="15" t="n">
        <x:f>'기준스탯 72종'!E71*H1602</x:f>
        <x:v>0.4800000000000001</x:v>
      </x:c>
      <x:c r="AB1602" s="15" t="n">
        <x:f>'기준스탯 72종'!F71*H1602</x:f>
        <x:v>0.4800000000000001</x:v>
      </x:c>
      <x:c r="AC1602" s="15" t="n">
        <x:f>'기준스탯 72종'!G71*H1602</x:f>
        <x:v>0.5400000000000001</x:v>
      </x:c>
      <x:c r="AD1602" s="15" t="n">
        <x:f>'기준스탯 72종'!H71*H1602</x:f>
        <x:v>0.18000000000000005</x:v>
      </x:c>
      <x:c r="AE1602" s="15" t="n">
        <x:f>'기준스탯 72종'!I71*H1602</x:f>
        <x:v>0.18000000000000005</x:v>
      </x:c>
      <x:c r="AF1602" s="15" t="n">
        <x:f>'기준스탯 72종'!J71*H1602</x:f>
        <x:v>0.3600000000000001</x:v>
      </x:c>
      <x:c r="AG1602" s="15" t="n">
        <x:f>'기준스탯 72종'!K71*H1602</x:f>
        <x:v>0.24000000000000005</x:v>
      </x:c>
    </x:row>
    <x:row r="1603" ht="28" customHeight="1">
      <x:c r="A1603" s="2" t="n">
        <x:v>1596</x:v>
      </x:c>
      <x:c r="B1603" s="2" t="n">
        <x:v>64</x:v>
      </x:c>
      <x:c r="C1603" s="2" t="str">
        <x:v>물병자리</x:v>
      </x:c>
      <x:c r="D1603" s="2" t="str">
        <x:v>정령사</x:v>
      </x:c>
      <x:c r="E1603" s="2" t="n">
        <x:v>1</x:v>
      </x:c>
      <x:c r="F1603" s="2" t="n">
        <x:v>5</x:v>
      </x:c>
      <x:c r="G1603" s="14" t="n">
        <x:f>('레벨 계산식'!$E$4-E1603)*'레벨 계산식'!$B$5</x:f>
        <x:v>0.5599999999999999</x:v>
      </x:c>
      <x:c r="H1603" s="14" t="n">
        <x:f>('등급 계산식'!$E$4-F1603)*'등급 계산식'!$B$5</x:f>
        <x:v>0</x:v>
      </x:c>
      <x:c r="I1603" s="14" t="n">
        <x:f>1-G1603-H1603</x:f>
        <x:v>0.44000000000000006</x:v>
      </x:c>
      <x:c r="J1603" s="2" t="n">
        <x:f>MAX(1,ROUND('기준스탯 72종'!D71-R1603-Z1603,0))</x:f>
        <x:v>3</x:v>
      </x:c>
      <x:c r="K1603" s="2" t="n">
        <x:f>MAX(1,ROUND('기준스탯 72종'!E71-S1603-AA1603,0))</x:f>
        <x:v>4</x:v>
      </x:c>
      <x:c r="L1603" s="2" t="n">
        <x:f>MAX(1,ROUND('기준스탯 72종'!F71-T1603-AB1603,0))</x:f>
        <x:v>4</x:v>
      </x:c>
      <x:c r="M1603" s="2" t="n">
        <x:f>MAX(1,ROUND('기준스탯 72종'!G71-U1603-AC1603,0))</x:f>
        <x:v>4</x:v>
      </x:c>
      <x:c r="N1603" s="2" t="n">
        <x:f>MAX(0,ROUND('기준스탯 72종'!H71-V1603-AD1603,0))</x:f>
        <x:v>1</x:v>
      </x:c>
      <x:c r="O1603" s="2" t="n">
        <x:f>MAX(0,ROUND('기준스탯 72종'!I71-W1603-AE1603,0))</x:f>
        <x:v>1</x:v>
      </x:c>
      <x:c r="P1603" s="2" t="n">
        <x:f>MAX(0,ROUND('기준스탯 72종'!J71-X1603-AF1603,0))</x:f>
        <x:v>3</x:v>
      </x:c>
      <x:c r="Q1603" s="2" t="n">
        <x:f>MAX(0,ROUND('기준스탯 72종'!K71-Y1603-AG1603,0))</x:f>
        <x:v>2</x:v>
      </x:c>
      <x:c r="R1603" s="15" t="n">
        <x:f>'기준스탯 72종'!D71*G1603</x:f>
        <x:v>3.3599999999999994</x:v>
      </x:c>
      <x:c r="S1603" s="15" t="n">
        <x:f>'기준스탯 72종'!E71*G1603</x:f>
        <x:v>4.4799999999999995</x:v>
      </x:c>
      <x:c r="T1603" s="15" t="n">
        <x:f>'기준스탯 72종'!F71*G1603</x:f>
        <x:v>4.4799999999999995</x:v>
      </x:c>
      <x:c r="U1603" s="15" t="n">
        <x:f>'기준스탯 72종'!G71*G1603</x:f>
        <x:v>5.039999999999999</x:v>
      </x:c>
      <x:c r="V1603" s="15" t="n">
        <x:f>'기준스탯 72종'!H71*G1603</x:f>
        <x:v>1.6799999999999997</x:v>
      </x:c>
      <x:c r="W1603" s="15" t="n">
        <x:f>'기준스탯 72종'!I71*G1603</x:f>
        <x:v>1.6799999999999997</x:v>
      </x:c>
      <x:c r="X1603" s="15" t="n">
        <x:f>'기준스탯 72종'!J71*G1603</x:f>
        <x:v>3.3599999999999994</x:v>
      </x:c>
      <x:c r="Y1603" s="15" t="n">
        <x:f>'기준스탯 72종'!K71*G1603</x:f>
        <x:v>2.2399999999999998</x:v>
      </x:c>
      <x:c r="Z1603" s="15" t="n">
        <x:f>'기준스탯 72종'!D71*H1603</x:f>
        <x:v>0</x:v>
      </x:c>
      <x:c r="AA1603" s="15" t="n">
        <x:f>'기준스탯 72종'!E71*H1603</x:f>
        <x:v>0</x:v>
      </x:c>
      <x:c r="AB1603" s="15" t="n">
        <x:f>'기준스탯 72종'!F71*H1603</x:f>
        <x:v>0</x:v>
      </x:c>
      <x:c r="AC1603" s="15" t="n">
        <x:f>'기준스탯 72종'!G71*H1603</x:f>
        <x:v>0</x:v>
      </x:c>
      <x:c r="AD1603" s="15" t="n">
        <x:f>'기준스탯 72종'!H71*H1603</x:f>
        <x:v>0</x:v>
      </x:c>
      <x:c r="AE1603" s="15" t="n">
        <x:f>'기준스탯 72종'!I71*H1603</x:f>
        <x:v>0</x:v>
      </x:c>
      <x:c r="AF1603" s="15" t="n">
        <x:f>'기준스탯 72종'!J71*H1603</x:f>
        <x:v>0</x:v>
      </x:c>
      <x:c r="AG1603" s="15" t="n">
        <x:f>'기준스탯 72종'!K71*H1603</x:f>
        <x:v>0</x:v>
      </x:c>
    </x:row>
    <x:row r="1604" ht="28" customHeight="1">
      <x:c r="A1604" s="2" t="n">
        <x:v>1597</x:v>
      </x:c>
      <x:c r="B1604" s="2" t="n">
        <x:v>64</x:v>
      </x:c>
      <x:c r="C1604" s="2" t="str">
        <x:v>물병자리</x:v>
      </x:c>
      <x:c r="D1604" s="2" t="str">
        <x:v>정령사</x:v>
      </x:c>
      <x:c r="E1604" s="2" t="n">
        <x:v>2</x:v>
      </x:c>
      <x:c r="F1604" s="2" t="n">
        <x:v>5</x:v>
      </x:c>
      <x:c r="G1604" s="14" t="n">
        <x:f>('레벨 계산식'!$E$4-E1604)*'레벨 계산식'!$B$5</x:f>
        <x:v>0.41999999999999993</x:v>
      </x:c>
      <x:c r="H1604" s="14" t="n">
        <x:f>('등급 계산식'!$E$4-F1604)*'등급 계산식'!$B$5</x:f>
        <x:v>0</x:v>
      </x:c>
      <x:c r="I1604" s="14" t="n">
        <x:f>1-G1604-H1604</x:f>
        <x:v>0.5800000000000001</x:v>
      </x:c>
      <x:c r="J1604" s="2" t="n">
        <x:f>MAX(1,ROUND('기준스탯 72종'!D71-R1604-Z1604,0))</x:f>
        <x:v>3</x:v>
      </x:c>
      <x:c r="K1604" s="2" t="n">
        <x:f>MAX(1,ROUND('기준스탯 72종'!E71-S1604-AA1604,0))</x:f>
        <x:v>5</x:v>
      </x:c>
      <x:c r="L1604" s="2" t="n">
        <x:f>MAX(1,ROUND('기준스탯 72종'!F71-T1604-AB1604,0))</x:f>
        <x:v>5</x:v>
      </x:c>
      <x:c r="M1604" s="2" t="n">
        <x:f>MAX(1,ROUND('기준스탯 72종'!G71-U1604-AC1604,0))</x:f>
        <x:v>5</x:v>
      </x:c>
      <x:c r="N1604" s="2" t="n">
        <x:f>MAX(0,ROUND('기준스탯 72종'!H71-V1604-AD1604,0))</x:f>
        <x:v>2</x:v>
      </x:c>
      <x:c r="O1604" s="2" t="n">
        <x:f>MAX(0,ROUND('기준스탯 72종'!I71-W1604-AE1604,0))</x:f>
        <x:v>2</x:v>
      </x:c>
      <x:c r="P1604" s="2" t="n">
        <x:f>MAX(0,ROUND('기준스탯 72종'!J71-X1604-AF1604,0))</x:f>
        <x:v>3</x:v>
      </x:c>
      <x:c r="Q1604" s="2" t="n">
        <x:f>MAX(0,ROUND('기준스탯 72종'!K71-Y1604-AG1604,0))</x:f>
        <x:v>2</x:v>
      </x:c>
      <x:c r="R1604" s="15" t="n">
        <x:f>'기준스탯 72종'!D71*G1604</x:f>
        <x:v>2.5199999999999996</x:v>
      </x:c>
      <x:c r="S1604" s="15" t="n">
        <x:f>'기준스탯 72종'!E71*G1604</x:f>
        <x:v>3.3599999999999994</x:v>
      </x:c>
      <x:c r="T1604" s="15" t="n">
        <x:f>'기준스탯 72종'!F71*G1604</x:f>
        <x:v>3.3599999999999994</x:v>
      </x:c>
      <x:c r="U1604" s="15" t="n">
        <x:f>'기준스탯 72종'!G71*G1604</x:f>
        <x:v>3.7799999999999994</x:v>
      </x:c>
      <x:c r="V1604" s="15" t="n">
        <x:f>'기준스탯 72종'!H71*G1604</x:f>
        <x:v>1.2599999999999998</x:v>
      </x:c>
      <x:c r="W1604" s="15" t="n">
        <x:f>'기준스탯 72종'!I71*G1604</x:f>
        <x:v>1.2599999999999998</x:v>
      </x:c>
      <x:c r="X1604" s="15" t="n">
        <x:f>'기준스탯 72종'!J71*G1604</x:f>
        <x:v>2.5199999999999996</x:v>
      </x:c>
      <x:c r="Y1604" s="15" t="n">
        <x:f>'기준스탯 72종'!K71*G1604</x:f>
        <x:v>1.6799999999999997</x:v>
      </x:c>
      <x:c r="Z1604" s="15" t="n">
        <x:f>'기준스탯 72종'!D71*H1604</x:f>
        <x:v>0</x:v>
      </x:c>
      <x:c r="AA1604" s="15" t="n">
        <x:f>'기준스탯 72종'!E71*H1604</x:f>
        <x:v>0</x:v>
      </x:c>
      <x:c r="AB1604" s="15" t="n">
        <x:f>'기준스탯 72종'!F71*H1604</x:f>
        <x:v>0</x:v>
      </x:c>
      <x:c r="AC1604" s="15" t="n">
        <x:f>'기준스탯 72종'!G71*H1604</x:f>
        <x:v>0</x:v>
      </x:c>
      <x:c r="AD1604" s="15" t="n">
        <x:f>'기준스탯 72종'!H71*H1604</x:f>
        <x:v>0</x:v>
      </x:c>
      <x:c r="AE1604" s="15" t="n">
        <x:f>'기준스탯 72종'!I71*H1604</x:f>
        <x:v>0</x:v>
      </x:c>
      <x:c r="AF1604" s="15" t="n">
        <x:f>'기준스탯 72종'!J71*H1604</x:f>
        <x:v>0</x:v>
      </x:c>
      <x:c r="AG1604" s="15" t="n">
        <x:f>'기준스탯 72종'!K71*H1604</x:f>
        <x:v>0</x:v>
      </x:c>
    </x:row>
    <x:row r="1605" ht="28" customHeight="1">
      <x:c r="A1605" s="2" t="n">
        <x:v>1598</x:v>
      </x:c>
      <x:c r="B1605" s="2" t="n">
        <x:v>64</x:v>
      </x:c>
      <x:c r="C1605" s="2" t="str">
        <x:v>물병자리</x:v>
      </x:c>
      <x:c r="D1605" s="2" t="str">
        <x:v>정령사</x:v>
      </x:c>
      <x:c r="E1605" s="2" t="n">
        <x:v>3</x:v>
      </x:c>
      <x:c r="F1605" s="2" t="n">
        <x:v>5</x:v>
      </x:c>
      <x:c r="G1605" s="14" t="n">
        <x:f>('레벨 계산식'!$E$4-E1605)*'레벨 계산식'!$B$5</x:f>
        <x:v>0.27999999999999997</x:v>
      </x:c>
      <x:c r="H1605" s="14" t="n">
        <x:f>('등급 계산식'!$E$4-F1605)*'등급 계산식'!$B$5</x:f>
        <x:v>0</x:v>
      </x:c>
      <x:c r="I1605" s="14" t="n">
        <x:f>1-G1605-H1605</x:f>
        <x:v>0.72</x:v>
      </x:c>
      <x:c r="J1605" s="2" t="n">
        <x:f>MAX(1,ROUND('기준스탯 72종'!D71-R1605-Z1605,0))</x:f>
        <x:v>4</x:v>
      </x:c>
      <x:c r="K1605" s="2" t="n">
        <x:f>MAX(1,ROUND('기준스탯 72종'!E71-S1605-AA1605,0))</x:f>
        <x:v>6</x:v>
      </x:c>
      <x:c r="L1605" s="2" t="n">
        <x:f>MAX(1,ROUND('기준스탯 72종'!F71-T1605-AB1605,0))</x:f>
        <x:v>6</x:v>
      </x:c>
      <x:c r="M1605" s="2" t="n">
        <x:f>MAX(1,ROUND('기준스탯 72종'!G71-U1605-AC1605,0))</x:f>
        <x:v>6</x:v>
      </x:c>
      <x:c r="N1605" s="2" t="n">
        <x:f>MAX(0,ROUND('기준스탯 72종'!H71-V1605-AD1605,0))</x:f>
        <x:v>2</x:v>
      </x:c>
      <x:c r="O1605" s="2" t="n">
        <x:f>MAX(0,ROUND('기준스탯 72종'!I71-W1605-AE1605,0))</x:f>
        <x:v>2</x:v>
      </x:c>
      <x:c r="P1605" s="2" t="n">
        <x:f>MAX(0,ROUND('기준스탯 72종'!J71-X1605-AF1605,0))</x:f>
        <x:v>4</x:v>
      </x:c>
      <x:c r="Q1605" s="2" t="n">
        <x:f>MAX(0,ROUND('기준스탯 72종'!K71-Y1605-AG1605,0))</x:f>
        <x:v>3</x:v>
      </x:c>
      <x:c r="R1605" s="15" t="n">
        <x:f>'기준스탯 72종'!D71*G1605</x:f>
        <x:v>1.6799999999999997</x:v>
      </x:c>
      <x:c r="S1605" s="15" t="n">
        <x:f>'기준스탯 72종'!E71*G1605</x:f>
        <x:v>2.2399999999999998</x:v>
      </x:c>
      <x:c r="T1605" s="15" t="n">
        <x:f>'기준스탯 72종'!F71*G1605</x:f>
        <x:v>2.2399999999999998</x:v>
      </x:c>
      <x:c r="U1605" s="15" t="n">
        <x:f>'기준스탯 72종'!G71*G1605</x:f>
        <x:v>2.5199999999999996</x:v>
      </x:c>
      <x:c r="V1605" s="15" t="n">
        <x:f>'기준스탯 72종'!H71*G1605</x:f>
        <x:v>0.8399999999999999</x:v>
      </x:c>
      <x:c r="W1605" s="15" t="n">
        <x:f>'기준스탯 72종'!I71*G1605</x:f>
        <x:v>0.8399999999999999</x:v>
      </x:c>
      <x:c r="X1605" s="15" t="n">
        <x:f>'기준스탯 72종'!J71*G1605</x:f>
        <x:v>1.6799999999999997</x:v>
      </x:c>
      <x:c r="Y1605" s="15" t="n">
        <x:f>'기준스탯 72종'!K71*G1605</x:f>
        <x:v>1.1199999999999999</x:v>
      </x:c>
      <x:c r="Z1605" s="15" t="n">
        <x:f>'기준스탯 72종'!D71*H1605</x:f>
        <x:v>0</x:v>
      </x:c>
      <x:c r="AA1605" s="15" t="n">
        <x:f>'기준스탯 72종'!E71*H1605</x:f>
        <x:v>0</x:v>
      </x:c>
      <x:c r="AB1605" s="15" t="n">
        <x:f>'기준스탯 72종'!F71*H1605</x:f>
        <x:v>0</x:v>
      </x:c>
      <x:c r="AC1605" s="15" t="n">
        <x:f>'기준스탯 72종'!G71*H1605</x:f>
        <x:v>0</x:v>
      </x:c>
      <x:c r="AD1605" s="15" t="n">
        <x:f>'기준스탯 72종'!H71*H1605</x:f>
        <x:v>0</x:v>
      </x:c>
      <x:c r="AE1605" s="15" t="n">
        <x:f>'기준스탯 72종'!I71*H1605</x:f>
        <x:v>0</x:v>
      </x:c>
      <x:c r="AF1605" s="15" t="n">
        <x:f>'기준스탯 72종'!J71*H1605</x:f>
        <x:v>0</x:v>
      </x:c>
      <x:c r="AG1605" s="15" t="n">
        <x:f>'기준스탯 72종'!K71*H1605</x:f>
        <x:v>0</x:v>
      </x:c>
    </x:row>
    <x:row r="1606" ht="28" customHeight="1">
      <x:c r="A1606" s="2" t="n">
        <x:v>1599</x:v>
      </x:c>
      <x:c r="B1606" s="2" t="n">
        <x:v>64</x:v>
      </x:c>
      <x:c r="C1606" s="2" t="str">
        <x:v>물병자리</x:v>
      </x:c>
      <x:c r="D1606" s="2" t="str">
        <x:v>정령사</x:v>
      </x:c>
      <x:c r="E1606" s="2" t="n">
        <x:v>4</x:v>
      </x:c>
      <x:c r="F1606" s="2" t="n">
        <x:v>5</x:v>
      </x:c>
      <x:c r="G1606" s="14" t="n">
        <x:f>('레벨 계산식'!$E$4-E1606)*'레벨 계산식'!$B$5</x:f>
        <x:v>0.13999999999999999</x:v>
      </x:c>
      <x:c r="H1606" s="14" t="n">
        <x:f>('등급 계산식'!$E$4-F1606)*'등급 계산식'!$B$5</x:f>
        <x:v>0</x:v>
      </x:c>
      <x:c r="I1606" s="14" t="n">
        <x:f>1-G1606-H1606</x:f>
        <x:v>0.86</x:v>
      </x:c>
      <x:c r="J1606" s="2" t="n">
        <x:f>MAX(1,ROUND('기준스탯 72종'!D71-R1606-Z1606,0))</x:f>
        <x:v>5</x:v>
      </x:c>
      <x:c r="K1606" s="2" t="n">
        <x:f>MAX(1,ROUND('기준스탯 72종'!E71-S1606-AA1606,0))</x:f>
        <x:v>7</x:v>
      </x:c>
      <x:c r="L1606" s="2" t="n">
        <x:f>MAX(1,ROUND('기준스탯 72종'!F71-T1606-AB1606,0))</x:f>
        <x:v>7</x:v>
      </x:c>
      <x:c r="M1606" s="2" t="n">
        <x:f>MAX(1,ROUND('기준스탯 72종'!G71-U1606-AC1606,0))</x:f>
        <x:v>8</x:v>
      </x:c>
      <x:c r="N1606" s="2" t="n">
        <x:f>MAX(0,ROUND('기준스탯 72종'!H71-V1606-AD1606,0))</x:f>
        <x:v>3</x:v>
      </x:c>
      <x:c r="O1606" s="2" t="n">
        <x:f>MAX(0,ROUND('기준스탯 72종'!I71-W1606-AE1606,0))</x:f>
        <x:v>3</x:v>
      </x:c>
      <x:c r="P1606" s="2" t="n">
        <x:f>MAX(0,ROUND('기준스탯 72종'!J71-X1606-AF1606,0))</x:f>
        <x:v>5</x:v>
      </x:c>
      <x:c r="Q1606" s="2" t="n">
        <x:f>MAX(0,ROUND('기준스탯 72종'!K71-Y1606-AG1606,0))</x:f>
        <x:v>3</x:v>
      </x:c>
      <x:c r="R1606" s="15" t="n">
        <x:f>'기준스탯 72종'!D71*G1606</x:f>
        <x:v>0.8399999999999999</x:v>
      </x:c>
      <x:c r="S1606" s="15" t="n">
        <x:f>'기준스탯 72종'!E71*G1606</x:f>
        <x:v>1.1199999999999999</x:v>
      </x:c>
      <x:c r="T1606" s="15" t="n">
        <x:f>'기준스탯 72종'!F71*G1606</x:f>
        <x:v>1.1199999999999999</x:v>
      </x:c>
      <x:c r="U1606" s="15" t="n">
        <x:f>'기준스탯 72종'!G71*G1606</x:f>
        <x:v>1.2599999999999998</x:v>
      </x:c>
      <x:c r="V1606" s="15" t="n">
        <x:f>'기준스탯 72종'!H71*G1606</x:f>
        <x:v>0.41999999999999993</x:v>
      </x:c>
      <x:c r="W1606" s="15" t="n">
        <x:f>'기준스탯 72종'!I71*G1606</x:f>
        <x:v>0.41999999999999993</x:v>
      </x:c>
      <x:c r="X1606" s="15" t="n">
        <x:f>'기준스탯 72종'!J71*G1606</x:f>
        <x:v>0.8399999999999999</x:v>
      </x:c>
      <x:c r="Y1606" s="15" t="n">
        <x:f>'기준스탯 72종'!K71*G1606</x:f>
        <x:v>0.5599999999999999</x:v>
      </x:c>
      <x:c r="Z1606" s="15" t="n">
        <x:f>'기준스탯 72종'!D71*H1606</x:f>
        <x:v>0</x:v>
      </x:c>
      <x:c r="AA1606" s="15" t="n">
        <x:f>'기준스탯 72종'!E71*H1606</x:f>
        <x:v>0</x:v>
      </x:c>
      <x:c r="AB1606" s="15" t="n">
        <x:f>'기준스탯 72종'!F71*H1606</x:f>
        <x:v>0</x:v>
      </x:c>
      <x:c r="AC1606" s="15" t="n">
        <x:f>'기준스탯 72종'!G71*H1606</x:f>
        <x:v>0</x:v>
      </x:c>
      <x:c r="AD1606" s="15" t="n">
        <x:f>'기준스탯 72종'!H71*H1606</x:f>
        <x:v>0</x:v>
      </x:c>
      <x:c r="AE1606" s="15" t="n">
        <x:f>'기준스탯 72종'!I71*H1606</x:f>
        <x:v>0</x:v>
      </x:c>
      <x:c r="AF1606" s="15" t="n">
        <x:f>'기준스탯 72종'!J71*H1606</x:f>
        <x:v>0</x:v>
      </x:c>
      <x:c r="AG1606" s="15" t="n">
        <x:f>'기준스탯 72종'!K71*H1606</x:f>
        <x:v>0</x:v>
      </x:c>
    </x:row>
    <x:row r="1607" ht="28" customHeight="1">
      <x:c r="A1607" s="2" t="n">
        <x:v>1600</x:v>
      </x:c>
      <x:c r="B1607" s="2" t="n">
        <x:v>64</x:v>
      </x:c>
      <x:c r="C1607" s="2" t="str">
        <x:v>물병자리</x:v>
      </x:c>
      <x:c r="D1607" s="2" t="str">
        <x:v>정령사</x:v>
      </x:c>
      <x:c r="E1607" s="2" t="n">
        <x:v>5</x:v>
      </x:c>
      <x:c r="F1607" s="2" t="n">
        <x:v>5</x:v>
      </x:c>
      <x:c r="G1607" s="14" t="n">
        <x:f>('레벨 계산식'!$E$4-E1607)*'레벨 계산식'!$B$5</x:f>
        <x:v>0</x:v>
      </x:c>
      <x:c r="H1607" s="14" t="n">
        <x:f>('등급 계산식'!$E$4-F1607)*'등급 계산식'!$B$5</x:f>
        <x:v>0</x:v>
      </x:c>
      <x:c r="I1607" s="14" t="n">
        <x:f>1-G1607-H1607</x:f>
        <x:v>1</x:v>
      </x:c>
      <x:c r="J1607" s="2" t="n">
        <x:f>MAX(1,ROUND('기준스탯 72종'!D71-R1607-Z1607,0))</x:f>
        <x:v>6</x:v>
      </x:c>
      <x:c r="K1607" s="2" t="n">
        <x:f>MAX(1,ROUND('기준스탯 72종'!E71-S1607-AA1607,0))</x:f>
        <x:v>8</x:v>
      </x:c>
      <x:c r="L1607" s="2" t="n">
        <x:f>MAX(1,ROUND('기준스탯 72종'!F71-T1607-AB1607,0))</x:f>
        <x:v>8</x:v>
      </x:c>
      <x:c r="M1607" s="2" t="n">
        <x:f>MAX(1,ROUND('기준스탯 72종'!G71-U1607-AC1607,0))</x:f>
        <x:v>9</x:v>
      </x:c>
      <x:c r="N1607" s="2" t="n">
        <x:f>MAX(0,ROUND('기준스탯 72종'!H71-V1607-AD1607,0))</x:f>
        <x:v>3</x:v>
      </x:c>
      <x:c r="O1607" s="2" t="n">
        <x:f>MAX(0,ROUND('기준스탯 72종'!I71-W1607-AE1607,0))</x:f>
        <x:v>3</x:v>
      </x:c>
      <x:c r="P1607" s="2" t="n">
        <x:f>MAX(0,ROUND('기준스탯 72종'!J71-X1607-AF1607,0))</x:f>
        <x:v>6</x:v>
      </x:c>
      <x:c r="Q1607" s="2" t="n">
        <x:f>MAX(0,ROUND('기준스탯 72종'!K71-Y1607-AG1607,0))</x:f>
        <x:v>4</x:v>
      </x:c>
      <x:c r="R1607" s="15" t="n">
        <x:f>'기준스탯 72종'!D71*G1607</x:f>
        <x:v>0</x:v>
      </x:c>
      <x:c r="S1607" s="15" t="n">
        <x:f>'기준스탯 72종'!E71*G1607</x:f>
        <x:v>0</x:v>
      </x:c>
      <x:c r="T1607" s="15" t="n">
        <x:f>'기준스탯 72종'!F71*G1607</x:f>
        <x:v>0</x:v>
      </x:c>
      <x:c r="U1607" s="15" t="n">
        <x:f>'기준스탯 72종'!G71*G1607</x:f>
        <x:v>0</x:v>
      </x:c>
      <x:c r="V1607" s="15" t="n">
        <x:f>'기준스탯 72종'!H71*G1607</x:f>
        <x:v>0</x:v>
      </x:c>
      <x:c r="W1607" s="15" t="n">
        <x:f>'기준스탯 72종'!I71*G1607</x:f>
        <x:v>0</x:v>
      </x:c>
      <x:c r="X1607" s="15" t="n">
        <x:f>'기준스탯 72종'!J71*G1607</x:f>
        <x:v>0</x:v>
      </x:c>
      <x:c r="Y1607" s="15" t="n">
        <x:f>'기준스탯 72종'!K71*G1607</x:f>
        <x:v>0</x:v>
      </x:c>
      <x:c r="Z1607" s="15" t="n">
        <x:f>'기준스탯 72종'!D71*H1607</x:f>
        <x:v>0</x:v>
      </x:c>
      <x:c r="AA1607" s="15" t="n">
        <x:f>'기준스탯 72종'!E71*H1607</x:f>
        <x:v>0</x:v>
      </x:c>
      <x:c r="AB1607" s="15" t="n">
        <x:f>'기준스탯 72종'!F71*H1607</x:f>
        <x:v>0</x:v>
      </x:c>
      <x:c r="AC1607" s="15" t="n">
        <x:f>'기준스탯 72종'!G71*H1607</x:f>
        <x:v>0</x:v>
      </x:c>
      <x:c r="AD1607" s="15" t="n">
        <x:f>'기준스탯 72종'!H71*H1607</x:f>
        <x:v>0</x:v>
      </x:c>
      <x:c r="AE1607" s="15" t="n">
        <x:f>'기준스탯 72종'!I71*H1607</x:f>
        <x:v>0</x:v>
      </x:c>
      <x:c r="AF1607" s="15" t="n">
        <x:f>'기준스탯 72종'!J71*H1607</x:f>
        <x:v>0</x:v>
      </x:c>
      <x:c r="AG1607" s="15" t="n">
        <x:f>'기준스탯 72종'!K71*H1607</x:f>
        <x:v>0</x:v>
      </x:c>
    </x:row>
    <x:row r="1608" ht="28" customHeight="1">
      <x:c r="A1608" s="2" t="n">
        <x:v>1601</x:v>
      </x:c>
      <x:c r="B1608" s="2" t="n">
        <x:v>65</x:v>
      </x:c>
      <x:c r="C1608" s="2" t="str">
        <x:v>물병자리</x:v>
      </x:c>
      <x:c r="D1608" s="2" t="str">
        <x:v>도적</x:v>
      </x:c>
      <x:c r="E1608" s="2" t="n">
        <x:v>1</x:v>
      </x:c>
      <x:c r="F1608" s="2" t="n">
        <x:v>1</x:v>
      </x:c>
      <x:c r="G1608" s="14" t="n">
        <x:f>('레벨 계산식'!$E$4-E1608)*'레벨 계산식'!$B$5</x:f>
        <x:v>0.5599999999999999</x:v>
      </x:c>
      <x:c r="H1608" s="14" t="n">
        <x:f>('등급 계산식'!$E$4-F1608)*'등급 계산식'!$B$5</x:f>
        <x:v>0.24000000000000005</x:v>
      </x:c>
      <x:c r="I1608" s="14" t="n">
        <x:f>1-G1608-H1608</x:f>
        <x:v>0.2</x:v>
      </x:c>
      <x:c r="J1608" s="2" t="n">
        <x:f>MAX(1,ROUND('기준스탯 72종'!D72-R1608-Z1608,0))</x:f>
        <x:v>2</x:v>
      </x:c>
      <x:c r="K1608" s="2" t="n">
        <x:f>MAX(1,ROUND('기준스탯 72종'!E72-S1608-AA1608,0))</x:f>
        <x:v>1</x:v>
      </x:c>
      <x:c r="L1608" s="2" t="n">
        <x:f>MAX(1,ROUND('기준스탯 72종'!F72-T1608-AB1608,0))</x:f>
        <x:v>1</x:v>
      </x:c>
      <x:c r="M1608" s="2" t="n">
        <x:f>MAX(1,ROUND('기준스탯 72종'!G72-U1608-AC1608,0))</x:f>
        <x:v>2</x:v>
      </x:c>
      <x:c r="N1608" s="2" t="n">
        <x:f>MAX(0,ROUND('기준스탯 72종'!H72-V1608-AD1608,0))</x:f>
        <x:v>1</x:v>
      </x:c>
      <x:c r="O1608" s="2" t="n">
        <x:f>MAX(0,ROUND('기준스탯 72종'!I72-W1608-AE1608,0))</x:f>
        <x:v>1</x:v>
      </x:c>
      <x:c r="P1608" s="2" t="n">
        <x:f>MAX(0,ROUND('기준스탯 72종'!J72-X1608-AF1608,0))</x:f>
        <x:v>1</x:v>
      </x:c>
      <x:c r="Q1608" s="2" t="n">
        <x:f>MAX(0,ROUND('기준스탯 72종'!K72-Y1608-AG1608,0))</x:f>
        <x:v>0</x:v>
      </x:c>
      <x:c r="R1608" s="15" t="n">
        <x:f>'기준스탯 72종'!D72*G1608</x:f>
        <x:v>4.4799999999999995</x:v>
      </x:c>
      <x:c r="S1608" s="15" t="n">
        <x:f>'기준스탯 72종'!E72*G1608</x:f>
        <x:v>3.3599999999999994</x:v>
      </x:c>
      <x:c r="T1608" s="15" t="n">
        <x:f>'기준스탯 72종'!F72*G1608</x:f>
        <x:v>3.3599999999999994</x:v>
      </x:c>
      <x:c r="U1608" s="15" t="n">
        <x:f>'기준스탯 72종'!G72*G1608</x:f>
        <x:v>5.6</x:v>
      </x:c>
      <x:c r="V1608" s="15" t="n">
        <x:f>'기준스탯 72종'!H72*G1608</x:f>
        <x:v>2.8</x:v>
      </x:c>
      <x:c r="W1608" s="15" t="n">
        <x:f>'기준스탯 72종'!I72*G1608</x:f>
        <x:v>2.8</x:v>
      </x:c>
      <x:c r="X1608" s="15" t="n">
        <x:f>'기준스탯 72종'!J72*G1608</x:f>
        <x:v>2.2399999999999998</x:v>
      </x:c>
      <x:c r="Y1608" s="15" t="n">
        <x:f>'기준스탯 72종'!K72*G1608</x:f>
        <x:v>1.1199999999999999</x:v>
      </x:c>
      <x:c r="Z1608" s="15" t="n">
        <x:f>'기준스탯 72종'!D72*H1608</x:f>
        <x:v>1.9200000000000004</x:v>
      </x:c>
      <x:c r="AA1608" s="15" t="n">
        <x:f>'기준스탯 72종'!E72*H1608</x:f>
        <x:v>1.4400000000000004</x:v>
      </x:c>
      <x:c r="AB1608" s="15" t="n">
        <x:f>'기준스탯 72종'!F72*H1608</x:f>
        <x:v>1.4400000000000004</x:v>
      </x:c>
      <x:c r="AC1608" s="15" t="n">
        <x:f>'기준스탯 72종'!G72*H1608</x:f>
        <x:v>2.4000000000000004</x:v>
      </x:c>
      <x:c r="AD1608" s="15" t="n">
        <x:f>'기준스탯 72종'!H72*H1608</x:f>
        <x:v>1.2000000000000002</x:v>
      </x:c>
      <x:c r="AE1608" s="15" t="n">
        <x:f>'기준스탯 72종'!I72*H1608</x:f>
        <x:v>1.2000000000000002</x:v>
      </x:c>
      <x:c r="AF1608" s="15" t="n">
        <x:f>'기준스탯 72종'!J72*H1608</x:f>
        <x:v>0.9600000000000002</x:v>
      </x:c>
      <x:c r="AG1608" s="15" t="n">
        <x:f>'기준스탯 72종'!K72*H1608</x:f>
        <x:v>0.4800000000000001</x:v>
      </x:c>
    </x:row>
    <x:row r="1609" ht="28" customHeight="1">
      <x:c r="A1609" s="2" t="n">
        <x:v>1602</x:v>
      </x:c>
      <x:c r="B1609" s="2" t="n">
        <x:v>65</x:v>
      </x:c>
      <x:c r="C1609" s="2" t="str">
        <x:v>물병자리</x:v>
      </x:c>
      <x:c r="D1609" s="2" t="str">
        <x:v>도적</x:v>
      </x:c>
      <x:c r="E1609" s="2" t="n">
        <x:v>2</x:v>
      </x:c>
      <x:c r="F1609" s="2" t="n">
        <x:v>1</x:v>
      </x:c>
      <x:c r="G1609" s="14" t="n">
        <x:f>('레벨 계산식'!$E$4-E1609)*'레벨 계산식'!$B$5</x:f>
        <x:v>0.41999999999999993</x:v>
      </x:c>
      <x:c r="H1609" s="14" t="n">
        <x:f>('등급 계산식'!$E$4-F1609)*'등급 계산식'!$B$5</x:f>
        <x:v>0.24000000000000005</x:v>
      </x:c>
      <x:c r="I1609" s="14" t="n">
        <x:f>1-G1609-H1609</x:f>
        <x:v>0.34</x:v>
      </x:c>
      <x:c r="J1609" s="2" t="n">
        <x:f>MAX(1,ROUND('기준스탯 72종'!D72-R1609-Z1609,0))</x:f>
        <x:v>3</x:v>
      </x:c>
      <x:c r="K1609" s="2" t="n">
        <x:f>MAX(1,ROUND('기준스탯 72종'!E72-S1609-AA1609,0))</x:f>
        <x:v>2</x:v>
      </x:c>
      <x:c r="L1609" s="2" t="n">
        <x:f>MAX(1,ROUND('기준스탯 72종'!F72-T1609-AB1609,0))</x:f>
        <x:v>2</x:v>
      </x:c>
      <x:c r="M1609" s="2" t="n">
        <x:f>MAX(1,ROUND('기준스탯 72종'!G72-U1609-AC1609,0))</x:f>
        <x:v>3</x:v>
      </x:c>
      <x:c r="N1609" s="2" t="n">
        <x:f>MAX(0,ROUND('기준스탯 72종'!H72-V1609-AD1609,0))</x:f>
        <x:v>2</x:v>
      </x:c>
      <x:c r="O1609" s="2" t="n">
        <x:f>MAX(0,ROUND('기준스탯 72종'!I72-W1609-AE1609,0))</x:f>
        <x:v>2</x:v>
      </x:c>
      <x:c r="P1609" s="2" t="n">
        <x:f>MAX(0,ROUND('기준스탯 72종'!J72-X1609-AF1609,0))</x:f>
        <x:v>1</x:v>
      </x:c>
      <x:c r="Q1609" s="2" t="n">
        <x:f>MAX(0,ROUND('기준스탯 72종'!K72-Y1609-AG1609,0))</x:f>
        <x:v>1</x:v>
      </x:c>
      <x:c r="R1609" s="15" t="n">
        <x:f>'기준스탯 72종'!D72*G1609</x:f>
        <x:v>3.3599999999999994</x:v>
      </x:c>
      <x:c r="S1609" s="15" t="n">
        <x:f>'기준스탯 72종'!E72*G1609</x:f>
        <x:v>2.5199999999999996</x:v>
      </x:c>
      <x:c r="T1609" s="15" t="n">
        <x:f>'기준스탯 72종'!F72*G1609</x:f>
        <x:v>2.5199999999999996</x:v>
      </x:c>
      <x:c r="U1609" s="15" t="n">
        <x:f>'기준스탯 72종'!G72*G1609</x:f>
        <x:v>4.199999999999999</x:v>
      </x:c>
      <x:c r="V1609" s="15" t="n">
        <x:f>'기준스탯 72종'!H72*G1609</x:f>
        <x:v>2.0999999999999996</x:v>
      </x:c>
      <x:c r="W1609" s="15" t="n">
        <x:f>'기준스탯 72종'!I72*G1609</x:f>
        <x:v>2.0999999999999996</x:v>
      </x:c>
      <x:c r="X1609" s="15" t="n">
        <x:f>'기준스탯 72종'!J72*G1609</x:f>
        <x:v>1.6799999999999997</x:v>
      </x:c>
      <x:c r="Y1609" s="15" t="n">
        <x:f>'기준스탯 72종'!K72*G1609</x:f>
        <x:v>0.8399999999999999</x:v>
      </x:c>
      <x:c r="Z1609" s="15" t="n">
        <x:f>'기준스탯 72종'!D72*H1609</x:f>
        <x:v>1.9200000000000004</x:v>
      </x:c>
      <x:c r="AA1609" s="15" t="n">
        <x:f>'기준스탯 72종'!E72*H1609</x:f>
        <x:v>1.4400000000000004</x:v>
      </x:c>
      <x:c r="AB1609" s="15" t="n">
        <x:f>'기준스탯 72종'!F72*H1609</x:f>
        <x:v>1.4400000000000004</x:v>
      </x:c>
      <x:c r="AC1609" s="15" t="n">
        <x:f>'기준스탯 72종'!G72*H1609</x:f>
        <x:v>2.4000000000000004</x:v>
      </x:c>
      <x:c r="AD1609" s="15" t="n">
        <x:f>'기준스탯 72종'!H72*H1609</x:f>
        <x:v>1.2000000000000002</x:v>
      </x:c>
      <x:c r="AE1609" s="15" t="n">
        <x:f>'기준스탯 72종'!I72*H1609</x:f>
        <x:v>1.2000000000000002</x:v>
      </x:c>
      <x:c r="AF1609" s="15" t="n">
        <x:f>'기준스탯 72종'!J72*H1609</x:f>
        <x:v>0.9600000000000002</x:v>
      </x:c>
      <x:c r="AG1609" s="15" t="n">
        <x:f>'기준스탯 72종'!K72*H1609</x:f>
        <x:v>0.4800000000000001</x:v>
      </x:c>
    </x:row>
    <x:row r="1610" ht="28" customHeight="1">
      <x:c r="A1610" s="2" t="n">
        <x:v>1603</x:v>
      </x:c>
      <x:c r="B1610" s="2" t="n">
        <x:v>65</x:v>
      </x:c>
      <x:c r="C1610" s="2" t="str">
        <x:v>물병자리</x:v>
      </x:c>
      <x:c r="D1610" s="2" t="str">
        <x:v>도적</x:v>
      </x:c>
      <x:c r="E1610" s="2" t="n">
        <x:v>3</x:v>
      </x:c>
      <x:c r="F1610" s="2" t="n">
        <x:v>1</x:v>
      </x:c>
      <x:c r="G1610" s="14" t="n">
        <x:f>('레벨 계산식'!$E$4-E1610)*'레벨 계산식'!$B$5</x:f>
        <x:v>0.27999999999999997</x:v>
      </x:c>
      <x:c r="H1610" s="14" t="n">
        <x:f>('등급 계산식'!$E$4-F1610)*'등급 계산식'!$B$5</x:f>
        <x:v>0.24000000000000005</x:v>
      </x:c>
      <x:c r="I1610" s="14" t="n">
        <x:f>1-G1610-H1610</x:f>
        <x:v>0.4799999999999999</x:v>
      </x:c>
      <x:c r="J1610" s="2" t="n">
        <x:f>MAX(1,ROUND('기준스탯 72종'!D72-R1610-Z1610,0))</x:f>
        <x:v>4</x:v>
      </x:c>
      <x:c r="K1610" s="2" t="n">
        <x:f>MAX(1,ROUND('기준스탯 72종'!E72-S1610-AA1610,0))</x:f>
        <x:v>3</x:v>
      </x:c>
      <x:c r="L1610" s="2" t="n">
        <x:f>MAX(1,ROUND('기준스탯 72종'!F72-T1610-AB1610,0))</x:f>
        <x:v>3</x:v>
      </x:c>
      <x:c r="M1610" s="2" t="n">
        <x:f>MAX(1,ROUND('기준스탯 72종'!G72-U1610-AC1610,0))</x:f>
        <x:v>5</x:v>
      </x:c>
      <x:c r="N1610" s="2" t="n">
        <x:f>MAX(0,ROUND('기준스탯 72종'!H72-V1610-AD1610,0))</x:f>
        <x:v>2</x:v>
      </x:c>
      <x:c r="O1610" s="2" t="n">
        <x:f>MAX(0,ROUND('기준스탯 72종'!I72-W1610-AE1610,0))</x:f>
        <x:v>2</x:v>
      </x:c>
      <x:c r="P1610" s="2" t="n">
        <x:f>MAX(0,ROUND('기준스탯 72종'!J72-X1610-AF1610,0))</x:f>
        <x:v>2</x:v>
      </x:c>
      <x:c r="Q1610" s="2" t="n">
        <x:f>MAX(0,ROUND('기준스탯 72종'!K72-Y1610-AG1610,0))</x:f>
        <x:v>1</x:v>
      </x:c>
      <x:c r="R1610" s="15" t="n">
        <x:f>'기준스탯 72종'!D72*G1610</x:f>
        <x:v>2.2399999999999998</x:v>
      </x:c>
      <x:c r="S1610" s="15" t="n">
        <x:f>'기준스탯 72종'!E72*G1610</x:f>
        <x:v>1.6799999999999997</x:v>
      </x:c>
      <x:c r="T1610" s="15" t="n">
        <x:f>'기준스탯 72종'!F72*G1610</x:f>
        <x:v>1.6799999999999997</x:v>
      </x:c>
      <x:c r="U1610" s="15" t="n">
        <x:f>'기준스탯 72종'!G72*G1610</x:f>
        <x:v>2.8</x:v>
      </x:c>
      <x:c r="V1610" s="15" t="n">
        <x:f>'기준스탯 72종'!H72*G1610</x:f>
        <x:v>1.4</x:v>
      </x:c>
      <x:c r="W1610" s="15" t="n">
        <x:f>'기준스탯 72종'!I72*G1610</x:f>
        <x:v>1.4</x:v>
      </x:c>
      <x:c r="X1610" s="15" t="n">
        <x:f>'기준스탯 72종'!J72*G1610</x:f>
        <x:v>1.1199999999999999</x:v>
      </x:c>
      <x:c r="Y1610" s="15" t="n">
        <x:f>'기준스탯 72종'!K72*G1610</x:f>
        <x:v>0.5599999999999999</x:v>
      </x:c>
      <x:c r="Z1610" s="15" t="n">
        <x:f>'기준스탯 72종'!D72*H1610</x:f>
        <x:v>1.9200000000000004</x:v>
      </x:c>
      <x:c r="AA1610" s="15" t="n">
        <x:f>'기준스탯 72종'!E72*H1610</x:f>
        <x:v>1.4400000000000004</x:v>
      </x:c>
      <x:c r="AB1610" s="15" t="n">
        <x:f>'기준스탯 72종'!F72*H1610</x:f>
        <x:v>1.4400000000000004</x:v>
      </x:c>
      <x:c r="AC1610" s="15" t="n">
        <x:f>'기준스탯 72종'!G72*H1610</x:f>
        <x:v>2.4000000000000004</x:v>
      </x:c>
      <x:c r="AD1610" s="15" t="n">
        <x:f>'기준스탯 72종'!H72*H1610</x:f>
        <x:v>1.2000000000000002</x:v>
      </x:c>
      <x:c r="AE1610" s="15" t="n">
        <x:f>'기준스탯 72종'!I72*H1610</x:f>
        <x:v>1.2000000000000002</x:v>
      </x:c>
      <x:c r="AF1610" s="15" t="n">
        <x:f>'기준스탯 72종'!J72*H1610</x:f>
        <x:v>0.9600000000000002</x:v>
      </x:c>
      <x:c r="AG1610" s="15" t="n">
        <x:f>'기준스탯 72종'!K72*H1610</x:f>
        <x:v>0.4800000000000001</x:v>
      </x:c>
    </x:row>
    <x:row r="1611" ht="28" customHeight="1">
      <x:c r="A1611" s="2" t="n">
        <x:v>1604</x:v>
      </x:c>
      <x:c r="B1611" s="2" t="n">
        <x:v>65</x:v>
      </x:c>
      <x:c r="C1611" s="2" t="str">
        <x:v>물병자리</x:v>
      </x:c>
      <x:c r="D1611" s="2" t="str">
        <x:v>도적</x:v>
      </x:c>
      <x:c r="E1611" s="2" t="n">
        <x:v>4</x:v>
      </x:c>
      <x:c r="F1611" s="2" t="n">
        <x:v>1</x:v>
      </x:c>
      <x:c r="G1611" s="14" t="n">
        <x:f>('레벨 계산식'!$E$4-E1611)*'레벨 계산식'!$B$5</x:f>
        <x:v>0.13999999999999999</x:v>
      </x:c>
      <x:c r="H1611" s="14" t="n">
        <x:f>('등급 계산식'!$E$4-F1611)*'등급 계산식'!$B$5</x:f>
        <x:v>0.24000000000000005</x:v>
      </x:c>
      <x:c r="I1611" s="14" t="n">
        <x:f>1-G1611-H1611</x:f>
        <x:v>0.6199999999999999</x:v>
      </x:c>
      <x:c r="J1611" s="2" t="n">
        <x:f>MAX(1,ROUND('기준스탯 72종'!D72-R1611-Z1611,0))</x:f>
        <x:v>5</x:v>
      </x:c>
      <x:c r="K1611" s="2" t="n">
        <x:f>MAX(1,ROUND('기준스탯 72종'!E72-S1611-AA1611,0))</x:f>
        <x:v>4</x:v>
      </x:c>
      <x:c r="L1611" s="2" t="n">
        <x:f>MAX(1,ROUND('기준스탯 72종'!F72-T1611-AB1611,0))</x:f>
        <x:v>4</x:v>
      </x:c>
      <x:c r="M1611" s="2" t="n">
        <x:f>MAX(1,ROUND('기준스탯 72종'!G72-U1611-AC1611,0))</x:f>
        <x:v>6</x:v>
      </x:c>
      <x:c r="N1611" s="2" t="n">
        <x:f>MAX(0,ROUND('기준스탯 72종'!H72-V1611-AD1611,0))</x:f>
        <x:v>3</x:v>
      </x:c>
      <x:c r="O1611" s="2" t="n">
        <x:f>MAX(0,ROUND('기준스탯 72종'!I72-W1611-AE1611,0))</x:f>
        <x:v>3</x:v>
      </x:c>
      <x:c r="P1611" s="2" t="n">
        <x:f>MAX(0,ROUND('기준스탯 72종'!J72-X1611-AF1611,0))</x:f>
        <x:v>2</x:v>
      </x:c>
      <x:c r="Q1611" s="2" t="n">
        <x:f>MAX(0,ROUND('기준스탯 72종'!K72-Y1611-AG1611,0))</x:f>
        <x:v>1</x:v>
      </x:c>
      <x:c r="R1611" s="15" t="n">
        <x:f>'기준스탯 72종'!D72*G1611</x:f>
        <x:v>1.1199999999999999</x:v>
      </x:c>
      <x:c r="S1611" s="15" t="n">
        <x:f>'기준스탯 72종'!E72*G1611</x:f>
        <x:v>0.8399999999999999</x:v>
      </x:c>
      <x:c r="T1611" s="15" t="n">
        <x:f>'기준스탯 72종'!F72*G1611</x:f>
        <x:v>0.8399999999999999</x:v>
      </x:c>
      <x:c r="U1611" s="15" t="n">
        <x:f>'기준스탯 72종'!G72*G1611</x:f>
        <x:v>1.4</x:v>
      </x:c>
      <x:c r="V1611" s="15" t="n">
        <x:f>'기준스탯 72종'!H72*G1611</x:f>
        <x:v>0.7</x:v>
      </x:c>
      <x:c r="W1611" s="15" t="n">
        <x:f>'기준스탯 72종'!I72*G1611</x:f>
        <x:v>0.7</x:v>
      </x:c>
      <x:c r="X1611" s="15" t="n">
        <x:f>'기준스탯 72종'!J72*G1611</x:f>
        <x:v>0.5599999999999999</x:v>
      </x:c>
      <x:c r="Y1611" s="15" t="n">
        <x:f>'기준스탯 72종'!K72*G1611</x:f>
        <x:v>0.27999999999999997</x:v>
      </x:c>
      <x:c r="Z1611" s="15" t="n">
        <x:f>'기준스탯 72종'!D72*H1611</x:f>
        <x:v>1.9200000000000004</x:v>
      </x:c>
      <x:c r="AA1611" s="15" t="n">
        <x:f>'기준스탯 72종'!E72*H1611</x:f>
        <x:v>1.4400000000000004</x:v>
      </x:c>
      <x:c r="AB1611" s="15" t="n">
        <x:f>'기준스탯 72종'!F72*H1611</x:f>
        <x:v>1.4400000000000004</x:v>
      </x:c>
      <x:c r="AC1611" s="15" t="n">
        <x:f>'기준스탯 72종'!G72*H1611</x:f>
        <x:v>2.4000000000000004</x:v>
      </x:c>
      <x:c r="AD1611" s="15" t="n">
        <x:f>'기준스탯 72종'!H72*H1611</x:f>
        <x:v>1.2000000000000002</x:v>
      </x:c>
      <x:c r="AE1611" s="15" t="n">
        <x:f>'기준스탯 72종'!I72*H1611</x:f>
        <x:v>1.2000000000000002</x:v>
      </x:c>
      <x:c r="AF1611" s="15" t="n">
        <x:f>'기준스탯 72종'!J72*H1611</x:f>
        <x:v>0.9600000000000002</x:v>
      </x:c>
      <x:c r="AG1611" s="15" t="n">
        <x:f>'기준스탯 72종'!K72*H1611</x:f>
        <x:v>0.4800000000000001</x:v>
      </x:c>
    </x:row>
    <x:row r="1612" ht="28" customHeight="1">
      <x:c r="A1612" s="2" t="n">
        <x:v>1605</x:v>
      </x:c>
      <x:c r="B1612" s="2" t="n">
        <x:v>65</x:v>
      </x:c>
      <x:c r="C1612" s="2" t="str">
        <x:v>물병자리</x:v>
      </x:c>
      <x:c r="D1612" s="2" t="str">
        <x:v>도적</x:v>
      </x:c>
      <x:c r="E1612" s="2" t="n">
        <x:v>5</x:v>
      </x:c>
      <x:c r="F1612" s="2" t="n">
        <x:v>1</x:v>
      </x:c>
      <x:c r="G1612" s="14" t="n">
        <x:f>('레벨 계산식'!$E$4-E1612)*'레벨 계산식'!$B$5</x:f>
        <x:v>0</x:v>
      </x:c>
      <x:c r="H1612" s="14" t="n">
        <x:f>('등급 계산식'!$E$4-F1612)*'등급 계산식'!$B$5</x:f>
        <x:v>0.24000000000000005</x:v>
      </x:c>
      <x:c r="I1612" s="14" t="n">
        <x:f>1-G1612-H1612</x:f>
        <x:v>0.76</x:v>
      </x:c>
      <x:c r="J1612" s="2" t="n">
        <x:f>MAX(1,ROUND('기준스탯 72종'!D72-R1612-Z1612,0))</x:f>
        <x:v>6</x:v>
      </x:c>
      <x:c r="K1612" s="2" t="n">
        <x:f>MAX(1,ROUND('기준스탯 72종'!E72-S1612-AA1612,0))</x:f>
        <x:v>5</x:v>
      </x:c>
      <x:c r="L1612" s="2" t="n">
        <x:f>MAX(1,ROUND('기준스탯 72종'!F72-T1612-AB1612,0))</x:f>
        <x:v>5</x:v>
      </x:c>
      <x:c r="M1612" s="2" t="n">
        <x:f>MAX(1,ROUND('기준스탯 72종'!G72-U1612-AC1612,0))</x:f>
        <x:v>8</x:v>
      </x:c>
      <x:c r="N1612" s="2" t="n">
        <x:f>MAX(0,ROUND('기준스탯 72종'!H72-V1612-AD1612,0))</x:f>
        <x:v>4</x:v>
      </x:c>
      <x:c r="O1612" s="2" t="n">
        <x:f>MAX(0,ROUND('기준스탯 72종'!I72-W1612-AE1612,0))</x:f>
        <x:v>4</x:v>
      </x:c>
      <x:c r="P1612" s="2" t="n">
        <x:f>MAX(0,ROUND('기준스탯 72종'!J72-X1612-AF1612,0))</x:f>
        <x:v>3</x:v>
      </x:c>
      <x:c r="Q1612" s="2" t="n">
        <x:f>MAX(0,ROUND('기준스탯 72종'!K72-Y1612-AG1612,0))</x:f>
        <x:v>2</x:v>
      </x:c>
      <x:c r="R1612" s="15" t="n">
        <x:f>'기준스탯 72종'!D72*G1612</x:f>
        <x:v>0</x:v>
      </x:c>
      <x:c r="S1612" s="15" t="n">
        <x:f>'기준스탯 72종'!E72*G1612</x:f>
        <x:v>0</x:v>
      </x:c>
      <x:c r="T1612" s="15" t="n">
        <x:f>'기준스탯 72종'!F72*G1612</x:f>
        <x:v>0</x:v>
      </x:c>
      <x:c r="U1612" s="15" t="n">
        <x:f>'기준스탯 72종'!G72*G1612</x:f>
        <x:v>0</x:v>
      </x:c>
      <x:c r="V1612" s="15" t="n">
        <x:f>'기준스탯 72종'!H72*G1612</x:f>
        <x:v>0</x:v>
      </x:c>
      <x:c r="W1612" s="15" t="n">
        <x:f>'기준스탯 72종'!I72*G1612</x:f>
        <x:v>0</x:v>
      </x:c>
      <x:c r="X1612" s="15" t="n">
        <x:f>'기준스탯 72종'!J72*G1612</x:f>
        <x:v>0</x:v>
      </x:c>
      <x:c r="Y1612" s="15" t="n">
        <x:f>'기준스탯 72종'!K72*G1612</x:f>
        <x:v>0</x:v>
      </x:c>
      <x:c r="Z1612" s="15" t="n">
        <x:f>'기준스탯 72종'!D72*H1612</x:f>
        <x:v>1.9200000000000004</x:v>
      </x:c>
      <x:c r="AA1612" s="15" t="n">
        <x:f>'기준스탯 72종'!E72*H1612</x:f>
        <x:v>1.4400000000000004</x:v>
      </x:c>
      <x:c r="AB1612" s="15" t="n">
        <x:f>'기준스탯 72종'!F72*H1612</x:f>
        <x:v>1.4400000000000004</x:v>
      </x:c>
      <x:c r="AC1612" s="15" t="n">
        <x:f>'기준스탯 72종'!G72*H1612</x:f>
        <x:v>2.4000000000000004</x:v>
      </x:c>
      <x:c r="AD1612" s="15" t="n">
        <x:f>'기준스탯 72종'!H72*H1612</x:f>
        <x:v>1.2000000000000002</x:v>
      </x:c>
      <x:c r="AE1612" s="15" t="n">
        <x:f>'기준스탯 72종'!I72*H1612</x:f>
        <x:v>1.2000000000000002</x:v>
      </x:c>
      <x:c r="AF1612" s="15" t="n">
        <x:f>'기준스탯 72종'!J72*H1612</x:f>
        <x:v>0.9600000000000002</x:v>
      </x:c>
      <x:c r="AG1612" s="15" t="n">
        <x:f>'기준스탯 72종'!K72*H1612</x:f>
        <x:v>0.4800000000000001</x:v>
      </x:c>
    </x:row>
    <x:row r="1613" ht="28" customHeight="1">
      <x:c r="A1613" s="2" t="n">
        <x:v>1606</x:v>
      </x:c>
      <x:c r="B1613" s="2" t="n">
        <x:v>65</x:v>
      </x:c>
      <x:c r="C1613" s="2" t="str">
        <x:v>물병자리</x:v>
      </x:c>
      <x:c r="D1613" s="2" t="str">
        <x:v>도적</x:v>
      </x:c>
      <x:c r="E1613" s="2" t="n">
        <x:v>1</x:v>
      </x:c>
      <x:c r="F1613" s="2" t="n">
        <x:v>2</x:v>
      </x:c>
      <x:c r="G1613" s="14" t="n">
        <x:f>('레벨 계산식'!$E$4-E1613)*'레벨 계산식'!$B$5</x:f>
        <x:v>0.5599999999999999</x:v>
      </x:c>
      <x:c r="H1613" s="14" t="n">
        <x:f>('등급 계산식'!$E$4-F1613)*'등급 계산식'!$B$5</x:f>
        <x:v>0.18000000000000005</x:v>
      </x:c>
      <x:c r="I1613" s="14" t="n">
        <x:f>1-G1613-H1613</x:f>
        <x:v>0.26</x:v>
      </x:c>
      <x:c r="J1613" s="2" t="n">
        <x:f>MAX(1,ROUND('기준스탯 72종'!D72-R1613-Z1613,0))</x:f>
        <x:v>2</x:v>
      </x:c>
      <x:c r="K1613" s="2" t="n">
        <x:f>MAX(1,ROUND('기준스탯 72종'!E72-S1613-AA1613,0))</x:f>
        <x:v>2</x:v>
      </x:c>
      <x:c r="L1613" s="2" t="n">
        <x:f>MAX(1,ROUND('기준스탯 72종'!F72-T1613-AB1613,0))</x:f>
        <x:v>2</x:v>
      </x:c>
      <x:c r="M1613" s="2" t="n">
        <x:f>MAX(1,ROUND('기준스탯 72종'!G72-U1613-AC1613,0))</x:f>
        <x:v>3</x:v>
      </x:c>
      <x:c r="N1613" s="2" t="n">
        <x:f>MAX(0,ROUND('기준스탯 72종'!H72-V1613-AD1613,0))</x:f>
        <x:v>1</x:v>
      </x:c>
      <x:c r="O1613" s="2" t="n">
        <x:f>MAX(0,ROUND('기준스탯 72종'!I72-W1613-AE1613,0))</x:f>
        <x:v>1</x:v>
      </x:c>
      <x:c r="P1613" s="2" t="n">
        <x:f>MAX(0,ROUND('기준스탯 72종'!J72-X1613-AF1613,0))</x:f>
        <x:v>1</x:v>
      </x:c>
      <x:c r="Q1613" s="2" t="n">
        <x:f>MAX(0,ROUND('기준스탯 72종'!K72-Y1613-AG1613,0))</x:f>
        <x:v>1</x:v>
      </x:c>
      <x:c r="R1613" s="15" t="n">
        <x:f>'기준스탯 72종'!D72*G1613</x:f>
        <x:v>4.4799999999999995</x:v>
      </x:c>
      <x:c r="S1613" s="15" t="n">
        <x:f>'기준스탯 72종'!E72*G1613</x:f>
        <x:v>3.3599999999999994</x:v>
      </x:c>
      <x:c r="T1613" s="15" t="n">
        <x:f>'기준스탯 72종'!F72*G1613</x:f>
        <x:v>3.3599999999999994</x:v>
      </x:c>
      <x:c r="U1613" s="15" t="n">
        <x:f>'기준스탯 72종'!G72*G1613</x:f>
        <x:v>5.6</x:v>
      </x:c>
      <x:c r="V1613" s="15" t="n">
        <x:f>'기준스탯 72종'!H72*G1613</x:f>
        <x:v>2.8</x:v>
      </x:c>
      <x:c r="W1613" s="15" t="n">
        <x:f>'기준스탯 72종'!I72*G1613</x:f>
        <x:v>2.8</x:v>
      </x:c>
      <x:c r="X1613" s="15" t="n">
        <x:f>'기준스탯 72종'!J72*G1613</x:f>
        <x:v>2.2399999999999998</x:v>
      </x:c>
      <x:c r="Y1613" s="15" t="n">
        <x:f>'기준스탯 72종'!K72*G1613</x:f>
        <x:v>1.1199999999999999</x:v>
      </x:c>
      <x:c r="Z1613" s="15" t="n">
        <x:f>'기준스탯 72종'!D72*H1613</x:f>
        <x:v>1.4400000000000004</x:v>
      </x:c>
      <x:c r="AA1613" s="15" t="n">
        <x:f>'기준스탯 72종'!E72*H1613</x:f>
        <x:v>1.0800000000000003</x:v>
      </x:c>
      <x:c r="AB1613" s="15" t="n">
        <x:f>'기준스탯 72종'!F72*H1613</x:f>
        <x:v>1.0800000000000003</x:v>
      </x:c>
      <x:c r="AC1613" s="15" t="n">
        <x:f>'기준스탯 72종'!G72*H1613</x:f>
        <x:v>1.8000000000000005</x:v>
      </x:c>
      <x:c r="AD1613" s="15" t="n">
        <x:f>'기준스탯 72종'!H72*H1613</x:f>
        <x:v>0.9000000000000002</x:v>
      </x:c>
      <x:c r="AE1613" s="15" t="n">
        <x:f>'기준스탯 72종'!I72*H1613</x:f>
        <x:v>0.9000000000000002</x:v>
      </x:c>
      <x:c r="AF1613" s="15" t="n">
        <x:f>'기준스탯 72종'!J72*H1613</x:f>
        <x:v>0.7200000000000002</x:v>
      </x:c>
      <x:c r="AG1613" s="15" t="n">
        <x:f>'기준스탯 72종'!K72*H1613</x:f>
        <x:v>0.3600000000000001</x:v>
      </x:c>
    </x:row>
    <x:row r="1614" ht="28" customHeight="1">
      <x:c r="A1614" s="2" t="n">
        <x:v>1607</x:v>
      </x:c>
      <x:c r="B1614" s="2" t="n">
        <x:v>65</x:v>
      </x:c>
      <x:c r="C1614" s="2" t="str">
        <x:v>물병자리</x:v>
      </x:c>
      <x:c r="D1614" s="2" t="str">
        <x:v>도적</x:v>
      </x:c>
      <x:c r="E1614" s="2" t="n">
        <x:v>2</x:v>
      </x:c>
      <x:c r="F1614" s="2" t="n">
        <x:v>2</x:v>
      </x:c>
      <x:c r="G1614" s="14" t="n">
        <x:f>('레벨 계산식'!$E$4-E1614)*'레벨 계산식'!$B$5</x:f>
        <x:v>0.41999999999999993</x:v>
      </x:c>
      <x:c r="H1614" s="14" t="n">
        <x:f>('등급 계산식'!$E$4-F1614)*'등급 계산식'!$B$5</x:f>
        <x:v>0.18000000000000005</x:v>
      </x:c>
      <x:c r="I1614" s="14" t="n">
        <x:f>1-G1614-H1614</x:f>
        <x:v>0.4</x:v>
      </x:c>
      <x:c r="J1614" s="2" t="n">
        <x:f>MAX(1,ROUND('기준스탯 72종'!D72-R1614-Z1614,0))</x:f>
        <x:v>3</x:v>
      </x:c>
      <x:c r="K1614" s="2" t="n">
        <x:f>MAX(1,ROUND('기준스탯 72종'!E72-S1614-AA1614,0))</x:f>
        <x:v>2</x:v>
      </x:c>
      <x:c r="L1614" s="2" t="n">
        <x:f>MAX(1,ROUND('기준스탯 72종'!F72-T1614-AB1614,0))</x:f>
        <x:v>2</x:v>
      </x:c>
      <x:c r="M1614" s="2" t="n">
        <x:f>MAX(1,ROUND('기준스탯 72종'!G72-U1614-AC1614,0))</x:f>
        <x:v>4</x:v>
      </x:c>
      <x:c r="N1614" s="2" t="n">
        <x:f>MAX(0,ROUND('기준스탯 72종'!H72-V1614-AD1614,0))</x:f>
        <x:v>2</x:v>
      </x:c>
      <x:c r="O1614" s="2" t="n">
        <x:f>MAX(0,ROUND('기준스탯 72종'!I72-W1614-AE1614,0))</x:f>
        <x:v>2</x:v>
      </x:c>
      <x:c r="P1614" s="2" t="n">
        <x:f>MAX(0,ROUND('기준스탯 72종'!J72-X1614-AF1614,0))</x:f>
        <x:v>2</x:v>
      </x:c>
      <x:c r="Q1614" s="2" t="n">
        <x:f>MAX(0,ROUND('기준스탯 72종'!K72-Y1614-AG1614,0))</x:f>
        <x:v>1</x:v>
      </x:c>
      <x:c r="R1614" s="15" t="n">
        <x:f>'기준스탯 72종'!D72*G1614</x:f>
        <x:v>3.3599999999999994</x:v>
      </x:c>
      <x:c r="S1614" s="15" t="n">
        <x:f>'기준스탯 72종'!E72*G1614</x:f>
        <x:v>2.5199999999999996</x:v>
      </x:c>
      <x:c r="T1614" s="15" t="n">
        <x:f>'기준스탯 72종'!F72*G1614</x:f>
        <x:v>2.5199999999999996</x:v>
      </x:c>
      <x:c r="U1614" s="15" t="n">
        <x:f>'기준스탯 72종'!G72*G1614</x:f>
        <x:v>4.199999999999999</x:v>
      </x:c>
      <x:c r="V1614" s="15" t="n">
        <x:f>'기준스탯 72종'!H72*G1614</x:f>
        <x:v>2.0999999999999996</x:v>
      </x:c>
      <x:c r="W1614" s="15" t="n">
        <x:f>'기준스탯 72종'!I72*G1614</x:f>
        <x:v>2.0999999999999996</x:v>
      </x:c>
      <x:c r="X1614" s="15" t="n">
        <x:f>'기준스탯 72종'!J72*G1614</x:f>
        <x:v>1.6799999999999997</x:v>
      </x:c>
      <x:c r="Y1614" s="15" t="n">
        <x:f>'기준스탯 72종'!K72*G1614</x:f>
        <x:v>0.8399999999999999</x:v>
      </x:c>
      <x:c r="Z1614" s="15" t="n">
        <x:f>'기준스탯 72종'!D72*H1614</x:f>
        <x:v>1.4400000000000004</x:v>
      </x:c>
      <x:c r="AA1614" s="15" t="n">
        <x:f>'기준스탯 72종'!E72*H1614</x:f>
        <x:v>1.0800000000000003</x:v>
      </x:c>
      <x:c r="AB1614" s="15" t="n">
        <x:f>'기준스탯 72종'!F72*H1614</x:f>
        <x:v>1.0800000000000003</x:v>
      </x:c>
      <x:c r="AC1614" s="15" t="n">
        <x:f>'기준스탯 72종'!G72*H1614</x:f>
        <x:v>1.8000000000000005</x:v>
      </x:c>
      <x:c r="AD1614" s="15" t="n">
        <x:f>'기준스탯 72종'!H72*H1614</x:f>
        <x:v>0.9000000000000002</x:v>
      </x:c>
      <x:c r="AE1614" s="15" t="n">
        <x:f>'기준스탯 72종'!I72*H1614</x:f>
        <x:v>0.9000000000000002</x:v>
      </x:c>
      <x:c r="AF1614" s="15" t="n">
        <x:f>'기준스탯 72종'!J72*H1614</x:f>
        <x:v>0.7200000000000002</x:v>
      </x:c>
      <x:c r="AG1614" s="15" t="n">
        <x:f>'기준스탯 72종'!K72*H1614</x:f>
        <x:v>0.3600000000000001</x:v>
      </x:c>
    </x:row>
    <x:row r="1615" ht="28" customHeight="1">
      <x:c r="A1615" s="2" t="n">
        <x:v>1608</x:v>
      </x:c>
      <x:c r="B1615" s="2" t="n">
        <x:v>65</x:v>
      </x:c>
      <x:c r="C1615" s="2" t="str">
        <x:v>물병자리</x:v>
      </x:c>
      <x:c r="D1615" s="2" t="str">
        <x:v>도적</x:v>
      </x:c>
      <x:c r="E1615" s="2" t="n">
        <x:v>3</x:v>
      </x:c>
      <x:c r="F1615" s="2" t="n">
        <x:v>2</x:v>
      </x:c>
      <x:c r="G1615" s="14" t="n">
        <x:f>('레벨 계산식'!$E$4-E1615)*'레벨 계산식'!$B$5</x:f>
        <x:v>0.27999999999999997</x:v>
      </x:c>
      <x:c r="H1615" s="14" t="n">
        <x:f>('등급 계산식'!$E$4-F1615)*'등급 계산식'!$B$5</x:f>
        <x:v>0.18000000000000005</x:v>
      </x:c>
      <x:c r="I1615" s="14" t="n">
        <x:f>1-G1615-H1615</x:f>
        <x:v>0.5399999999999999</x:v>
      </x:c>
      <x:c r="J1615" s="2" t="n">
        <x:f>MAX(1,ROUND('기준스탯 72종'!D72-R1615-Z1615,0))</x:f>
        <x:v>4</x:v>
      </x:c>
      <x:c r="K1615" s="2" t="n">
        <x:f>MAX(1,ROUND('기준스탯 72종'!E72-S1615-AA1615,0))</x:f>
        <x:v>3</x:v>
      </x:c>
      <x:c r="L1615" s="2" t="n">
        <x:f>MAX(1,ROUND('기준스탯 72종'!F72-T1615-AB1615,0))</x:f>
        <x:v>3</x:v>
      </x:c>
      <x:c r="M1615" s="2" t="n">
        <x:f>MAX(1,ROUND('기준스탯 72종'!G72-U1615-AC1615,0))</x:f>
        <x:v>5</x:v>
      </x:c>
      <x:c r="N1615" s="2" t="n">
        <x:f>MAX(0,ROUND('기준스탯 72종'!H72-V1615-AD1615,0))</x:f>
        <x:v>3</x:v>
      </x:c>
      <x:c r="O1615" s="2" t="n">
        <x:f>MAX(0,ROUND('기준스탯 72종'!I72-W1615-AE1615,0))</x:f>
        <x:v>3</x:v>
      </x:c>
      <x:c r="P1615" s="2" t="n">
        <x:f>MAX(0,ROUND('기준스탯 72종'!J72-X1615-AF1615,0))</x:f>
        <x:v>2</x:v>
      </x:c>
      <x:c r="Q1615" s="2" t="n">
        <x:f>MAX(0,ROUND('기준스탯 72종'!K72-Y1615-AG1615,0))</x:f>
        <x:v>1</x:v>
      </x:c>
      <x:c r="R1615" s="15" t="n">
        <x:f>'기준스탯 72종'!D72*G1615</x:f>
        <x:v>2.2399999999999998</x:v>
      </x:c>
      <x:c r="S1615" s="15" t="n">
        <x:f>'기준스탯 72종'!E72*G1615</x:f>
        <x:v>1.6799999999999997</x:v>
      </x:c>
      <x:c r="T1615" s="15" t="n">
        <x:f>'기준스탯 72종'!F72*G1615</x:f>
        <x:v>1.6799999999999997</x:v>
      </x:c>
      <x:c r="U1615" s="15" t="n">
        <x:f>'기준스탯 72종'!G72*G1615</x:f>
        <x:v>2.8</x:v>
      </x:c>
      <x:c r="V1615" s="15" t="n">
        <x:f>'기준스탯 72종'!H72*G1615</x:f>
        <x:v>1.4</x:v>
      </x:c>
      <x:c r="W1615" s="15" t="n">
        <x:f>'기준스탯 72종'!I72*G1615</x:f>
        <x:v>1.4</x:v>
      </x:c>
      <x:c r="X1615" s="15" t="n">
        <x:f>'기준스탯 72종'!J72*G1615</x:f>
        <x:v>1.1199999999999999</x:v>
      </x:c>
      <x:c r="Y1615" s="15" t="n">
        <x:f>'기준스탯 72종'!K72*G1615</x:f>
        <x:v>0.5599999999999999</x:v>
      </x:c>
      <x:c r="Z1615" s="15" t="n">
        <x:f>'기준스탯 72종'!D72*H1615</x:f>
        <x:v>1.4400000000000004</x:v>
      </x:c>
      <x:c r="AA1615" s="15" t="n">
        <x:f>'기준스탯 72종'!E72*H1615</x:f>
        <x:v>1.0800000000000003</x:v>
      </x:c>
      <x:c r="AB1615" s="15" t="n">
        <x:f>'기준스탯 72종'!F72*H1615</x:f>
        <x:v>1.0800000000000003</x:v>
      </x:c>
      <x:c r="AC1615" s="15" t="n">
        <x:f>'기준스탯 72종'!G72*H1615</x:f>
        <x:v>1.8000000000000005</x:v>
      </x:c>
      <x:c r="AD1615" s="15" t="n">
        <x:f>'기준스탯 72종'!H72*H1615</x:f>
        <x:v>0.9000000000000002</x:v>
      </x:c>
      <x:c r="AE1615" s="15" t="n">
        <x:f>'기준스탯 72종'!I72*H1615</x:f>
        <x:v>0.9000000000000002</x:v>
      </x:c>
      <x:c r="AF1615" s="15" t="n">
        <x:f>'기준스탯 72종'!J72*H1615</x:f>
        <x:v>0.7200000000000002</x:v>
      </x:c>
      <x:c r="AG1615" s="15" t="n">
        <x:f>'기준스탯 72종'!K72*H1615</x:f>
        <x:v>0.3600000000000001</x:v>
      </x:c>
    </x:row>
    <x:row r="1616" ht="28" customHeight="1">
      <x:c r="A1616" s="2" t="n">
        <x:v>1609</x:v>
      </x:c>
      <x:c r="B1616" s="2" t="n">
        <x:v>65</x:v>
      </x:c>
      <x:c r="C1616" s="2" t="str">
        <x:v>물병자리</x:v>
      </x:c>
      <x:c r="D1616" s="2" t="str">
        <x:v>도적</x:v>
      </x:c>
      <x:c r="E1616" s="2" t="n">
        <x:v>4</x:v>
      </x:c>
      <x:c r="F1616" s="2" t="n">
        <x:v>2</x:v>
      </x:c>
      <x:c r="G1616" s="14" t="n">
        <x:f>('레벨 계산식'!$E$4-E1616)*'레벨 계산식'!$B$5</x:f>
        <x:v>0.13999999999999999</x:v>
      </x:c>
      <x:c r="H1616" s="14" t="n">
        <x:f>('등급 계산식'!$E$4-F1616)*'등급 계산식'!$B$5</x:f>
        <x:v>0.18000000000000005</x:v>
      </x:c>
      <x:c r="I1616" s="14" t="n">
        <x:f>1-G1616-H1616</x:f>
        <x:v>0.6799999999999999</x:v>
      </x:c>
      <x:c r="J1616" s="2" t="n">
        <x:f>MAX(1,ROUND('기준스탯 72종'!D72-R1616-Z1616,0))</x:f>
        <x:v>5</x:v>
      </x:c>
      <x:c r="K1616" s="2" t="n">
        <x:f>MAX(1,ROUND('기준스탯 72종'!E72-S1616-AA1616,0))</x:f>
        <x:v>4</x:v>
      </x:c>
      <x:c r="L1616" s="2" t="n">
        <x:f>MAX(1,ROUND('기준스탯 72종'!F72-T1616-AB1616,0))</x:f>
        <x:v>4</x:v>
      </x:c>
      <x:c r="M1616" s="2" t="n">
        <x:f>MAX(1,ROUND('기준스탯 72종'!G72-U1616-AC1616,0))</x:f>
        <x:v>7</x:v>
      </x:c>
      <x:c r="N1616" s="2" t="n">
        <x:f>MAX(0,ROUND('기준스탯 72종'!H72-V1616-AD1616,0))</x:f>
        <x:v>3</x:v>
      </x:c>
      <x:c r="O1616" s="2" t="n">
        <x:f>MAX(0,ROUND('기준스탯 72종'!I72-W1616-AE1616,0))</x:f>
        <x:v>3</x:v>
      </x:c>
      <x:c r="P1616" s="2" t="n">
        <x:f>MAX(0,ROUND('기준스탯 72종'!J72-X1616-AF1616,0))</x:f>
        <x:v>3</x:v>
      </x:c>
      <x:c r="Q1616" s="2" t="n">
        <x:f>MAX(0,ROUND('기준스탯 72종'!K72-Y1616-AG1616,0))</x:f>
        <x:v>1</x:v>
      </x:c>
      <x:c r="R1616" s="15" t="n">
        <x:f>'기준스탯 72종'!D72*G1616</x:f>
        <x:v>1.1199999999999999</x:v>
      </x:c>
      <x:c r="S1616" s="15" t="n">
        <x:f>'기준스탯 72종'!E72*G1616</x:f>
        <x:v>0.8399999999999999</x:v>
      </x:c>
      <x:c r="T1616" s="15" t="n">
        <x:f>'기준스탯 72종'!F72*G1616</x:f>
        <x:v>0.8399999999999999</x:v>
      </x:c>
      <x:c r="U1616" s="15" t="n">
        <x:f>'기준스탯 72종'!G72*G1616</x:f>
        <x:v>1.4</x:v>
      </x:c>
      <x:c r="V1616" s="15" t="n">
        <x:f>'기준스탯 72종'!H72*G1616</x:f>
        <x:v>0.7</x:v>
      </x:c>
      <x:c r="W1616" s="15" t="n">
        <x:f>'기준스탯 72종'!I72*G1616</x:f>
        <x:v>0.7</x:v>
      </x:c>
      <x:c r="X1616" s="15" t="n">
        <x:f>'기준스탯 72종'!J72*G1616</x:f>
        <x:v>0.5599999999999999</x:v>
      </x:c>
      <x:c r="Y1616" s="15" t="n">
        <x:f>'기준스탯 72종'!K72*G1616</x:f>
        <x:v>0.27999999999999997</x:v>
      </x:c>
      <x:c r="Z1616" s="15" t="n">
        <x:f>'기준스탯 72종'!D72*H1616</x:f>
        <x:v>1.4400000000000004</x:v>
      </x:c>
      <x:c r="AA1616" s="15" t="n">
        <x:f>'기준스탯 72종'!E72*H1616</x:f>
        <x:v>1.0800000000000003</x:v>
      </x:c>
      <x:c r="AB1616" s="15" t="n">
        <x:f>'기준스탯 72종'!F72*H1616</x:f>
        <x:v>1.0800000000000003</x:v>
      </x:c>
      <x:c r="AC1616" s="15" t="n">
        <x:f>'기준스탯 72종'!G72*H1616</x:f>
        <x:v>1.8000000000000005</x:v>
      </x:c>
      <x:c r="AD1616" s="15" t="n">
        <x:f>'기준스탯 72종'!H72*H1616</x:f>
        <x:v>0.9000000000000002</x:v>
      </x:c>
      <x:c r="AE1616" s="15" t="n">
        <x:f>'기준스탯 72종'!I72*H1616</x:f>
        <x:v>0.9000000000000002</x:v>
      </x:c>
      <x:c r="AF1616" s="15" t="n">
        <x:f>'기준스탯 72종'!J72*H1616</x:f>
        <x:v>0.7200000000000002</x:v>
      </x:c>
      <x:c r="AG1616" s="15" t="n">
        <x:f>'기준스탯 72종'!K72*H1616</x:f>
        <x:v>0.3600000000000001</x:v>
      </x:c>
    </x:row>
    <x:row r="1617" ht="28" customHeight="1">
      <x:c r="A1617" s="2" t="n">
        <x:v>1610</x:v>
      </x:c>
      <x:c r="B1617" s="2" t="n">
        <x:v>65</x:v>
      </x:c>
      <x:c r="C1617" s="2" t="str">
        <x:v>물병자리</x:v>
      </x:c>
      <x:c r="D1617" s="2" t="str">
        <x:v>도적</x:v>
      </x:c>
      <x:c r="E1617" s="2" t="n">
        <x:v>5</x:v>
      </x:c>
      <x:c r="F1617" s="2" t="n">
        <x:v>2</x:v>
      </x:c>
      <x:c r="G1617" s="14" t="n">
        <x:f>('레벨 계산식'!$E$4-E1617)*'레벨 계산식'!$B$5</x:f>
        <x:v>0</x:v>
      </x:c>
      <x:c r="H1617" s="14" t="n">
        <x:f>('등급 계산식'!$E$4-F1617)*'등급 계산식'!$B$5</x:f>
        <x:v>0.18000000000000005</x:v>
      </x:c>
      <x:c r="I1617" s="14" t="n">
        <x:f>1-G1617-H1617</x:f>
        <x:v>0.82</x:v>
      </x:c>
      <x:c r="J1617" s="2" t="n">
        <x:f>MAX(1,ROUND('기준스탯 72종'!D72-R1617-Z1617,0))</x:f>
        <x:v>7</x:v>
      </x:c>
      <x:c r="K1617" s="2" t="n">
        <x:f>MAX(1,ROUND('기준스탯 72종'!E72-S1617-AA1617,0))</x:f>
        <x:v>5</x:v>
      </x:c>
      <x:c r="L1617" s="2" t="n">
        <x:f>MAX(1,ROUND('기준스탯 72종'!F72-T1617-AB1617,0))</x:f>
        <x:v>5</x:v>
      </x:c>
      <x:c r="M1617" s="2" t="n">
        <x:f>MAX(1,ROUND('기준스탯 72종'!G72-U1617-AC1617,0))</x:f>
        <x:v>8</x:v>
      </x:c>
      <x:c r="N1617" s="2" t="n">
        <x:f>MAX(0,ROUND('기준스탯 72종'!H72-V1617-AD1617,0))</x:f>
        <x:v>4</x:v>
      </x:c>
      <x:c r="O1617" s="2" t="n">
        <x:f>MAX(0,ROUND('기준스탯 72종'!I72-W1617-AE1617,0))</x:f>
        <x:v>4</x:v>
      </x:c>
      <x:c r="P1617" s="2" t="n">
        <x:f>MAX(0,ROUND('기준스탯 72종'!J72-X1617-AF1617,0))</x:f>
        <x:v>3</x:v>
      </x:c>
      <x:c r="Q1617" s="2" t="n">
        <x:f>MAX(0,ROUND('기준스탯 72종'!K72-Y1617-AG1617,0))</x:f>
        <x:v>2</x:v>
      </x:c>
      <x:c r="R1617" s="15" t="n">
        <x:f>'기준스탯 72종'!D72*G1617</x:f>
        <x:v>0</x:v>
      </x:c>
      <x:c r="S1617" s="15" t="n">
        <x:f>'기준스탯 72종'!E72*G1617</x:f>
        <x:v>0</x:v>
      </x:c>
      <x:c r="T1617" s="15" t="n">
        <x:f>'기준스탯 72종'!F72*G1617</x:f>
        <x:v>0</x:v>
      </x:c>
      <x:c r="U1617" s="15" t="n">
        <x:f>'기준스탯 72종'!G72*G1617</x:f>
        <x:v>0</x:v>
      </x:c>
      <x:c r="V1617" s="15" t="n">
        <x:f>'기준스탯 72종'!H72*G1617</x:f>
        <x:v>0</x:v>
      </x:c>
      <x:c r="W1617" s="15" t="n">
        <x:f>'기준스탯 72종'!I72*G1617</x:f>
        <x:v>0</x:v>
      </x:c>
      <x:c r="X1617" s="15" t="n">
        <x:f>'기준스탯 72종'!J72*G1617</x:f>
        <x:v>0</x:v>
      </x:c>
      <x:c r="Y1617" s="15" t="n">
        <x:f>'기준스탯 72종'!K72*G1617</x:f>
        <x:v>0</x:v>
      </x:c>
      <x:c r="Z1617" s="15" t="n">
        <x:f>'기준스탯 72종'!D72*H1617</x:f>
        <x:v>1.4400000000000004</x:v>
      </x:c>
      <x:c r="AA1617" s="15" t="n">
        <x:f>'기준스탯 72종'!E72*H1617</x:f>
        <x:v>1.0800000000000003</x:v>
      </x:c>
      <x:c r="AB1617" s="15" t="n">
        <x:f>'기준스탯 72종'!F72*H1617</x:f>
        <x:v>1.0800000000000003</x:v>
      </x:c>
      <x:c r="AC1617" s="15" t="n">
        <x:f>'기준스탯 72종'!G72*H1617</x:f>
        <x:v>1.8000000000000005</x:v>
      </x:c>
      <x:c r="AD1617" s="15" t="n">
        <x:f>'기준스탯 72종'!H72*H1617</x:f>
        <x:v>0.9000000000000002</x:v>
      </x:c>
      <x:c r="AE1617" s="15" t="n">
        <x:f>'기준스탯 72종'!I72*H1617</x:f>
        <x:v>0.9000000000000002</x:v>
      </x:c>
      <x:c r="AF1617" s="15" t="n">
        <x:f>'기준스탯 72종'!J72*H1617</x:f>
        <x:v>0.7200000000000002</x:v>
      </x:c>
      <x:c r="AG1617" s="15" t="n">
        <x:f>'기준스탯 72종'!K72*H1617</x:f>
        <x:v>0.3600000000000001</x:v>
      </x:c>
    </x:row>
    <x:row r="1618" ht="28" customHeight="1">
      <x:c r="A1618" s="2" t="n">
        <x:v>1611</x:v>
      </x:c>
      <x:c r="B1618" s="2" t="n">
        <x:v>65</x:v>
      </x:c>
      <x:c r="C1618" s="2" t="str">
        <x:v>물병자리</x:v>
      </x:c>
      <x:c r="D1618" s="2" t="str">
        <x:v>도적</x:v>
      </x:c>
      <x:c r="E1618" s="2" t="n">
        <x:v>1</x:v>
      </x:c>
      <x:c r="F1618" s="2" t="n">
        <x:v>3</x:v>
      </x:c>
      <x:c r="G1618" s="14" t="n">
        <x:f>('레벨 계산식'!$E$4-E1618)*'레벨 계산식'!$B$5</x:f>
        <x:v>0.5599999999999999</x:v>
      </x:c>
      <x:c r="H1618" s="14" t="n">
        <x:f>('등급 계산식'!$E$4-F1618)*'등급 계산식'!$B$5</x:f>
        <x:v>0.12000000000000002</x:v>
      </x:c>
      <x:c r="I1618" s="14" t="n">
        <x:f>1-G1618-H1618</x:f>
        <x:v>0.32000000000000006</x:v>
      </x:c>
      <x:c r="J1618" s="2" t="n">
        <x:f>MAX(1,ROUND('기준스탯 72종'!D72-R1618-Z1618,0))</x:f>
        <x:v>3</x:v>
      </x:c>
      <x:c r="K1618" s="2" t="n">
        <x:f>MAX(1,ROUND('기준스탯 72종'!E72-S1618-AA1618,0))</x:f>
        <x:v>2</x:v>
      </x:c>
      <x:c r="L1618" s="2" t="n">
        <x:f>MAX(1,ROUND('기준스탯 72종'!F72-T1618-AB1618,0))</x:f>
        <x:v>2</x:v>
      </x:c>
      <x:c r="M1618" s="2" t="n">
        <x:f>MAX(1,ROUND('기준스탯 72종'!G72-U1618-AC1618,0))</x:f>
        <x:v>3</x:v>
      </x:c>
      <x:c r="N1618" s="2" t="n">
        <x:f>MAX(0,ROUND('기준스탯 72종'!H72-V1618-AD1618,0))</x:f>
        <x:v>2</x:v>
      </x:c>
      <x:c r="O1618" s="2" t="n">
        <x:f>MAX(0,ROUND('기준스탯 72종'!I72-W1618-AE1618,0))</x:f>
        <x:v>2</x:v>
      </x:c>
      <x:c r="P1618" s="2" t="n">
        <x:f>MAX(0,ROUND('기준스탯 72종'!J72-X1618-AF1618,0))</x:f>
        <x:v>1</x:v>
      </x:c>
      <x:c r="Q1618" s="2" t="n">
        <x:f>MAX(0,ROUND('기준스탯 72종'!K72-Y1618-AG1618,0))</x:f>
        <x:v>1</x:v>
      </x:c>
      <x:c r="R1618" s="15" t="n">
        <x:f>'기준스탯 72종'!D72*G1618</x:f>
        <x:v>4.4799999999999995</x:v>
      </x:c>
      <x:c r="S1618" s="15" t="n">
        <x:f>'기준스탯 72종'!E72*G1618</x:f>
        <x:v>3.3599999999999994</x:v>
      </x:c>
      <x:c r="T1618" s="15" t="n">
        <x:f>'기준스탯 72종'!F72*G1618</x:f>
        <x:v>3.3599999999999994</x:v>
      </x:c>
      <x:c r="U1618" s="15" t="n">
        <x:f>'기준스탯 72종'!G72*G1618</x:f>
        <x:v>5.6</x:v>
      </x:c>
      <x:c r="V1618" s="15" t="n">
        <x:f>'기준스탯 72종'!H72*G1618</x:f>
        <x:v>2.8</x:v>
      </x:c>
      <x:c r="W1618" s="15" t="n">
        <x:f>'기준스탯 72종'!I72*G1618</x:f>
        <x:v>2.8</x:v>
      </x:c>
      <x:c r="X1618" s="15" t="n">
        <x:f>'기준스탯 72종'!J72*G1618</x:f>
        <x:v>2.2399999999999998</x:v>
      </x:c>
      <x:c r="Y1618" s="15" t="n">
        <x:f>'기준스탯 72종'!K72*G1618</x:f>
        <x:v>1.1199999999999999</x:v>
      </x:c>
      <x:c r="Z1618" s="15" t="n">
        <x:f>'기준스탯 72종'!D72*H1618</x:f>
        <x:v>0.9600000000000002</x:v>
      </x:c>
      <x:c r="AA1618" s="15" t="n">
        <x:f>'기준스탯 72종'!E72*H1618</x:f>
        <x:v>0.7200000000000002</x:v>
      </x:c>
      <x:c r="AB1618" s="15" t="n">
        <x:f>'기준스탯 72종'!F72*H1618</x:f>
        <x:v>0.7200000000000002</x:v>
      </x:c>
      <x:c r="AC1618" s="15" t="n">
        <x:f>'기준스탯 72종'!G72*H1618</x:f>
        <x:v>1.2000000000000002</x:v>
      </x:c>
      <x:c r="AD1618" s="15" t="n">
        <x:f>'기준스탯 72종'!H72*H1618</x:f>
        <x:v>0.6000000000000001</x:v>
      </x:c>
      <x:c r="AE1618" s="15" t="n">
        <x:f>'기준스탯 72종'!I72*H1618</x:f>
        <x:v>0.6000000000000001</x:v>
      </x:c>
      <x:c r="AF1618" s="15" t="n">
        <x:f>'기준스탯 72종'!J72*H1618</x:f>
        <x:v>0.4800000000000001</x:v>
      </x:c>
      <x:c r="AG1618" s="15" t="n">
        <x:f>'기준스탯 72종'!K72*H1618</x:f>
        <x:v>0.24000000000000005</x:v>
      </x:c>
    </x:row>
    <x:row r="1619" ht="28" customHeight="1">
      <x:c r="A1619" s="2" t="n">
        <x:v>1612</x:v>
      </x:c>
      <x:c r="B1619" s="2" t="n">
        <x:v>65</x:v>
      </x:c>
      <x:c r="C1619" s="2" t="str">
        <x:v>물병자리</x:v>
      </x:c>
      <x:c r="D1619" s="2" t="str">
        <x:v>도적</x:v>
      </x:c>
      <x:c r="E1619" s="2" t="n">
        <x:v>2</x:v>
      </x:c>
      <x:c r="F1619" s="2" t="n">
        <x:v>3</x:v>
      </x:c>
      <x:c r="G1619" s="14" t="n">
        <x:f>('레벨 계산식'!$E$4-E1619)*'레벨 계산식'!$B$5</x:f>
        <x:v>0.41999999999999993</x:v>
      </x:c>
      <x:c r="H1619" s="14" t="n">
        <x:f>('등급 계산식'!$E$4-F1619)*'등급 계산식'!$B$5</x:f>
        <x:v>0.12000000000000002</x:v>
      </x:c>
      <x:c r="I1619" s="14" t="n">
        <x:f>1-G1619-H1619</x:f>
        <x:v>0.4600000000000001</x:v>
      </x:c>
      <x:c r="J1619" s="2" t="n">
        <x:f>MAX(1,ROUND('기준스탯 72종'!D72-R1619-Z1619,0))</x:f>
        <x:v>4</x:v>
      </x:c>
      <x:c r="K1619" s="2" t="n">
        <x:f>MAX(1,ROUND('기준스탯 72종'!E72-S1619-AA1619,0))</x:f>
        <x:v>3</x:v>
      </x:c>
      <x:c r="L1619" s="2" t="n">
        <x:f>MAX(1,ROUND('기준스탯 72종'!F72-T1619-AB1619,0))</x:f>
        <x:v>3</x:v>
      </x:c>
      <x:c r="M1619" s="2" t="n">
        <x:f>MAX(1,ROUND('기준스탯 72종'!G72-U1619-AC1619,0))</x:f>
        <x:v>5</x:v>
      </x:c>
      <x:c r="N1619" s="2" t="n">
        <x:f>MAX(0,ROUND('기준스탯 72종'!H72-V1619-AD1619,0))</x:f>
        <x:v>2</x:v>
      </x:c>
      <x:c r="O1619" s="2" t="n">
        <x:f>MAX(0,ROUND('기준스탯 72종'!I72-W1619-AE1619,0))</x:f>
        <x:v>2</x:v>
      </x:c>
      <x:c r="P1619" s="2" t="n">
        <x:f>MAX(0,ROUND('기준스탯 72종'!J72-X1619-AF1619,0))</x:f>
        <x:v>2</x:v>
      </x:c>
      <x:c r="Q1619" s="2" t="n">
        <x:f>MAX(0,ROUND('기준스탯 72종'!K72-Y1619-AG1619,0))</x:f>
        <x:v>1</x:v>
      </x:c>
      <x:c r="R1619" s="15" t="n">
        <x:f>'기준스탯 72종'!D72*G1619</x:f>
        <x:v>3.3599999999999994</x:v>
      </x:c>
      <x:c r="S1619" s="15" t="n">
        <x:f>'기준스탯 72종'!E72*G1619</x:f>
        <x:v>2.5199999999999996</x:v>
      </x:c>
      <x:c r="T1619" s="15" t="n">
        <x:f>'기준스탯 72종'!F72*G1619</x:f>
        <x:v>2.5199999999999996</x:v>
      </x:c>
      <x:c r="U1619" s="15" t="n">
        <x:f>'기준스탯 72종'!G72*G1619</x:f>
        <x:v>4.199999999999999</x:v>
      </x:c>
      <x:c r="V1619" s="15" t="n">
        <x:f>'기준스탯 72종'!H72*G1619</x:f>
        <x:v>2.0999999999999996</x:v>
      </x:c>
      <x:c r="W1619" s="15" t="n">
        <x:f>'기준스탯 72종'!I72*G1619</x:f>
        <x:v>2.0999999999999996</x:v>
      </x:c>
      <x:c r="X1619" s="15" t="n">
        <x:f>'기준스탯 72종'!J72*G1619</x:f>
        <x:v>1.6799999999999997</x:v>
      </x:c>
      <x:c r="Y1619" s="15" t="n">
        <x:f>'기준스탯 72종'!K72*G1619</x:f>
        <x:v>0.8399999999999999</x:v>
      </x:c>
      <x:c r="Z1619" s="15" t="n">
        <x:f>'기준스탯 72종'!D72*H1619</x:f>
        <x:v>0.9600000000000002</x:v>
      </x:c>
      <x:c r="AA1619" s="15" t="n">
        <x:f>'기준스탯 72종'!E72*H1619</x:f>
        <x:v>0.7200000000000002</x:v>
      </x:c>
      <x:c r="AB1619" s="15" t="n">
        <x:f>'기준스탯 72종'!F72*H1619</x:f>
        <x:v>0.7200000000000002</x:v>
      </x:c>
      <x:c r="AC1619" s="15" t="n">
        <x:f>'기준스탯 72종'!G72*H1619</x:f>
        <x:v>1.2000000000000002</x:v>
      </x:c>
      <x:c r="AD1619" s="15" t="n">
        <x:f>'기준스탯 72종'!H72*H1619</x:f>
        <x:v>0.6000000000000001</x:v>
      </x:c>
      <x:c r="AE1619" s="15" t="n">
        <x:f>'기준스탯 72종'!I72*H1619</x:f>
        <x:v>0.6000000000000001</x:v>
      </x:c>
      <x:c r="AF1619" s="15" t="n">
        <x:f>'기준스탯 72종'!J72*H1619</x:f>
        <x:v>0.4800000000000001</x:v>
      </x:c>
      <x:c r="AG1619" s="15" t="n">
        <x:f>'기준스탯 72종'!K72*H1619</x:f>
        <x:v>0.24000000000000005</x:v>
      </x:c>
    </x:row>
    <x:row r="1620" ht="28" customHeight="1">
      <x:c r="A1620" s="2" t="n">
        <x:v>1613</x:v>
      </x:c>
      <x:c r="B1620" s="2" t="n">
        <x:v>65</x:v>
      </x:c>
      <x:c r="C1620" s="2" t="str">
        <x:v>물병자리</x:v>
      </x:c>
      <x:c r="D1620" s="2" t="str">
        <x:v>도적</x:v>
      </x:c>
      <x:c r="E1620" s="2" t="n">
        <x:v>3</x:v>
      </x:c>
      <x:c r="F1620" s="2" t="n">
        <x:v>3</x:v>
      </x:c>
      <x:c r="G1620" s="14" t="n">
        <x:f>('레벨 계산식'!$E$4-E1620)*'레벨 계산식'!$B$5</x:f>
        <x:v>0.27999999999999997</x:v>
      </x:c>
      <x:c r="H1620" s="14" t="n">
        <x:f>('등급 계산식'!$E$4-F1620)*'등급 계산식'!$B$5</x:f>
        <x:v>0.12000000000000002</x:v>
      </x:c>
      <x:c r="I1620" s="14" t="n">
        <x:f>1-G1620-H1620</x:f>
        <x:v>0.6</x:v>
      </x:c>
      <x:c r="J1620" s="2" t="n">
        <x:f>MAX(1,ROUND('기준스탯 72종'!D72-R1620-Z1620,0))</x:f>
        <x:v>5</x:v>
      </x:c>
      <x:c r="K1620" s="2" t="n">
        <x:f>MAX(1,ROUND('기준스탯 72종'!E72-S1620-AA1620,0))</x:f>
        <x:v>4</x:v>
      </x:c>
      <x:c r="L1620" s="2" t="n">
        <x:f>MAX(1,ROUND('기준스탯 72종'!F72-T1620-AB1620,0))</x:f>
        <x:v>4</x:v>
      </x:c>
      <x:c r="M1620" s="2" t="n">
        <x:f>MAX(1,ROUND('기준스탯 72종'!G72-U1620-AC1620,0))</x:f>
        <x:v>6</x:v>
      </x:c>
      <x:c r="N1620" s="2" t="n">
        <x:f>MAX(0,ROUND('기준스탯 72종'!H72-V1620-AD1620,0))</x:f>
        <x:v>3</x:v>
      </x:c>
      <x:c r="O1620" s="2" t="n">
        <x:f>MAX(0,ROUND('기준스탯 72종'!I72-W1620-AE1620,0))</x:f>
        <x:v>3</x:v>
      </x:c>
      <x:c r="P1620" s="2" t="n">
        <x:f>MAX(0,ROUND('기준스탯 72종'!J72-X1620-AF1620,0))</x:f>
        <x:v>2</x:v>
      </x:c>
      <x:c r="Q1620" s="2" t="n">
        <x:f>MAX(0,ROUND('기준스탯 72종'!K72-Y1620-AG1620,0))</x:f>
        <x:v>1</x:v>
      </x:c>
      <x:c r="R1620" s="15" t="n">
        <x:f>'기준스탯 72종'!D72*G1620</x:f>
        <x:v>2.2399999999999998</x:v>
      </x:c>
      <x:c r="S1620" s="15" t="n">
        <x:f>'기준스탯 72종'!E72*G1620</x:f>
        <x:v>1.6799999999999997</x:v>
      </x:c>
      <x:c r="T1620" s="15" t="n">
        <x:f>'기준스탯 72종'!F72*G1620</x:f>
        <x:v>1.6799999999999997</x:v>
      </x:c>
      <x:c r="U1620" s="15" t="n">
        <x:f>'기준스탯 72종'!G72*G1620</x:f>
        <x:v>2.8</x:v>
      </x:c>
      <x:c r="V1620" s="15" t="n">
        <x:f>'기준스탯 72종'!H72*G1620</x:f>
        <x:v>1.4</x:v>
      </x:c>
      <x:c r="W1620" s="15" t="n">
        <x:f>'기준스탯 72종'!I72*G1620</x:f>
        <x:v>1.4</x:v>
      </x:c>
      <x:c r="X1620" s="15" t="n">
        <x:f>'기준스탯 72종'!J72*G1620</x:f>
        <x:v>1.1199999999999999</x:v>
      </x:c>
      <x:c r="Y1620" s="15" t="n">
        <x:f>'기준스탯 72종'!K72*G1620</x:f>
        <x:v>0.5599999999999999</x:v>
      </x:c>
      <x:c r="Z1620" s="15" t="n">
        <x:f>'기준스탯 72종'!D72*H1620</x:f>
        <x:v>0.9600000000000002</x:v>
      </x:c>
      <x:c r="AA1620" s="15" t="n">
        <x:f>'기준스탯 72종'!E72*H1620</x:f>
        <x:v>0.7200000000000002</x:v>
      </x:c>
      <x:c r="AB1620" s="15" t="n">
        <x:f>'기준스탯 72종'!F72*H1620</x:f>
        <x:v>0.7200000000000002</x:v>
      </x:c>
      <x:c r="AC1620" s="15" t="n">
        <x:f>'기준스탯 72종'!G72*H1620</x:f>
        <x:v>1.2000000000000002</x:v>
      </x:c>
      <x:c r="AD1620" s="15" t="n">
        <x:f>'기준스탯 72종'!H72*H1620</x:f>
        <x:v>0.6000000000000001</x:v>
      </x:c>
      <x:c r="AE1620" s="15" t="n">
        <x:f>'기준스탯 72종'!I72*H1620</x:f>
        <x:v>0.6000000000000001</x:v>
      </x:c>
      <x:c r="AF1620" s="15" t="n">
        <x:f>'기준스탯 72종'!J72*H1620</x:f>
        <x:v>0.4800000000000001</x:v>
      </x:c>
      <x:c r="AG1620" s="15" t="n">
        <x:f>'기준스탯 72종'!K72*H1620</x:f>
        <x:v>0.24000000000000005</x:v>
      </x:c>
    </x:row>
    <x:row r="1621" ht="28" customHeight="1">
      <x:c r="A1621" s="2" t="n">
        <x:v>1614</x:v>
      </x:c>
      <x:c r="B1621" s="2" t="n">
        <x:v>65</x:v>
      </x:c>
      <x:c r="C1621" s="2" t="str">
        <x:v>물병자리</x:v>
      </x:c>
      <x:c r="D1621" s="2" t="str">
        <x:v>도적</x:v>
      </x:c>
      <x:c r="E1621" s="2" t="n">
        <x:v>4</x:v>
      </x:c>
      <x:c r="F1621" s="2" t="n">
        <x:v>3</x:v>
      </x:c>
      <x:c r="G1621" s="14" t="n">
        <x:f>('레벨 계산식'!$E$4-E1621)*'레벨 계산식'!$B$5</x:f>
        <x:v>0.13999999999999999</x:v>
      </x:c>
      <x:c r="H1621" s="14" t="n">
        <x:f>('등급 계산식'!$E$4-F1621)*'등급 계산식'!$B$5</x:f>
        <x:v>0.12000000000000002</x:v>
      </x:c>
      <x:c r="I1621" s="14" t="n">
        <x:f>1-G1621-H1621</x:f>
        <x:v>0.74</x:v>
      </x:c>
      <x:c r="J1621" s="2" t="n">
        <x:f>MAX(1,ROUND('기준스탯 72종'!D72-R1621-Z1621,0))</x:f>
        <x:v>6</x:v>
      </x:c>
      <x:c r="K1621" s="2" t="n">
        <x:f>MAX(1,ROUND('기준스탯 72종'!E72-S1621-AA1621,0))</x:f>
        <x:v>4</x:v>
      </x:c>
      <x:c r="L1621" s="2" t="n">
        <x:f>MAX(1,ROUND('기준스탯 72종'!F72-T1621-AB1621,0))</x:f>
        <x:v>4</x:v>
      </x:c>
      <x:c r="M1621" s="2" t="n">
        <x:f>MAX(1,ROUND('기준스탯 72종'!G72-U1621-AC1621,0))</x:f>
        <x:v>7</x:v>
      </x:c>
      <x:c r="N1621" s="2" t="n">
        <x:f>MAX(0,ROUND('기준스탯 72종'!H72-V1621-AD1621,0))</x:f>
        <x:v>4</x:v>
      </x:c>
      <x:c r="O1621" s="2" t="n">
        <x:f>MAX(0,ROUND('기준스탯 72종'!I72-W1621-AE1621,0))</x:f>
        <x:v>4</x:v>
      </x:c>
      <x:c r="P1621" s="2" t="n">
        <x:f>MAX(0,ROUND('기준스탯 72종'!J72-X1621-AF1621,0))</x:f>
        <x:v>3</x:v>
      </x:c>
      <x:c r="Q1621" s="2" t="n">
        <x:f>MAX(0,ROUND('기준스탯 72종'!K72-Y1621-AG1621,0))</x:f>
        <x:v>1</x:v>
      </x:c>
      <x:c r="R1621" s="15" t="n">
        <x:f>'기준스탯 72종'!D72*G1621</x:f>
        <x:v>1.1199999999999999</x:v>
      </x:c>
      <x:c r="S1621" s="15" t="n">
        <x:f>'기준스탯 72종'!E72*G1621</x:f>
        <x:v>0.8399999999999999</x:v>
      </x:c>
      <x:c r="T1621" s="15" t="n">
        <x:f>'기준스탯 72종'!F72*G1621</x:f>
        <x:v>0.8399999999999999</x:v>
      </x:c>
      <x:c r="U1621" s="15" t="n">
        <x:f>'기준스탯 72종'!G72*G1621</x:f>
        <x:v>1.4</x:v>
      </x:c>
      <x:c r="V1621" s="15" t="n">
        <x:f>'기준스탯 72종'!H72*G1621</x:f>
        <x:v>0.7</x:v>
      </x:c>
      <x:c r="W1621" s="15" t="n">
        <x:f>'기준스탯 72종'!I72*G1621</x:f>
        <x:v>0.7</x:v>
      </x:c>
      <x:c r="X1621" s="15" t="n">
        <x:f>'기준스탯 72종'!J72*G1621</x:f>
        <x:v>0.5599999999999999</x:v>
      </x:c>
      <x:c r="Y1621" s="15" t="n">
        <x:f>'기준스탯 72종'!K72*G1621</x:f>
        <x:v>0.27999999999999997</x:v>
      </x:c>
      <x:c r="Z1621" s="15" t="n">
        <x:f>'기준스탯 72종'!D72*H1621</x:f>
        <x:v>0.9600000000000002</x:v>
      </x:c>
      <x:c r="AA1621" s="15" t="n">
        <x:f>'기준스탯 72종'!E72*H1621</x:f>
        <x:v>0.7200000000000002</x:v>
      </x:c>
      <x:c r="AB1621" s="15" t="n">
        <x:f>'기준스탯 72종'!F72*H1621</x:f>
        <x:v>0.7200000000000002</x:v>
      </x:c>
      <x:c r="AC1621" s="15" t="n">
        <x:f>'기준스탯 72종'!G72*H1621</x:f>
        <x:v>1.2000000000000002</x:v>
      </x:c>
      <x:c r="AD1621" s="15" t="n">
        <x:f>'기준스탯 72종'!H72*H1621</x:f>
        <x:v>0.6000000000000001</x:v>
      </x:c>
      <x:c r="AE1621" s="15" t="n">
        <x:f>'기준스탯 72종'!I72*H1621</x:f>
        <x:v>0.6000000000000001</x:v>
      </x:c>
      <x:c r="AF1621" s="15" t="n">
        <x:f>'기준스탯 72종'!J72*H1621</x:f>
        <x:v>0.4800000000000001</x:v>
      </x:c>
      <x:c r="AG1621" s="15" t="n">
        <x:f>'기준스탯 72종'!K72*H1621</x:f>
        <x:v>0.24000000000000005</x:v>
      </x:c>
    </x:row>
    <x:row r="1622" ht="28" customHeight="1">
      <x:c r="A1622" s="2" t="n">
        <x:v>1615</x:v>
      </x:c>
      <x:c r="B1622" s="2" t="n">
        <x:v>65</x:v>
      </x:c>
      <x:c r="C1622" s="2" t="str">
        <x:v>물병자리</x:v>
      </x:c>
      <x:c r="D1622" s="2" t="str">
        <x:v>도적</x:v>
      </x:c>
      <x:c r="E1622" s="2" t="n">
        <x:v>5</x:v>
      </x:c>
      <x:c r="F1622" s="2" t="n">
        <x:v>3</x:v>
      </x:c>
      <x:c r="G1622" s="14" t="n">
        <x:f>('레벨 계산식'!$E$4-E1622)*'레벨 계산식'!$B$5</x:f>
        <x:v>0</x:v>
      </x:c>
      <x:c r="H1622" s="14" t="n">
        <x:f>('등급 계산식'!$E$4-F1622)*'등급 계산식'!$B$5</x:f>
        <x:v>0.12000000000000002</x:v>
      </x:c>
      <x:c r="I1622" s="14" t="n">
        <x:f>1-G1622-H1622</x:f>
        <x:v>0.88</x:v>
      </x:c>
      <x:c r="J1622" s="2" t="n">
        <x:f>MAX(1,ROUND('기준스탯 72종'!D72-R1622-Z1622,0))</x:f>
        <x:v>7</x:v>
      </x:c>
      <x:c r="K1622" s="2" t="n">
        <x:f>MAX(1,ROUND('기준스탯 72종'!E72-S1622-AA1622,0))</x:f>
        <x:v>5</x:v>
      </x:c>
      <x:c r="L1622" s="2" t="n">
        <x:f>MAX(1,ROUND('기준스탯 72종'!F72-T1622-AB1622,0))</x:f>
        <x:v>5</x:v>
      </x:c>
      <x:c r="M1622" s="2" t="n">
        <x:f>MAX(1,ROUND('기준스탯 72종'!G72-U1622-AC1622,0))</x:f>
        <x:v>9</x:v>
      </x:c>
      <x:c r="N1622" s="2" t="n">
        <x:f>MAX(0,ROUND('기준스탯 72종'!H72-V1622-AD1622,0))</x:f>
        <x:v>4</x:v>
      </x:c>
      <x:c r="O1622" s="2" t="n">
        <x:f>MAX(0,ROUND('기준스탯 72종'!I72-W1622-AE1622,0))</x:f>
        <x:v>4</x:v>
      </x:c>
      <x:c r="P1622" s="2" t="n">
        <x:f>MAX(0,ROUND('기준스탯 72종'!J72-X1622-AF1622,0))</x:f>
        <x:v>4</x:v>
      </x:c>
      <x:c r="Q1622" s="2" t="n">
        <x:f>MAX(0,ROUND('기준스탯 72종'!K72-Y1622-AG1622,0))</x:f>
        <x:v>2</x:v>
      </x:c>
      <x:c r="R1622" s="15" t="n">
        <x:f>'기준스탯 72종'!D72*G1622</x:f>
        <x:v>0</x:v>
      </x:c>
      <x:c r="S1622" s="15" t="n">
        <x:f>'기준스탯 72종'!E72*G1622</x:f>
        <x:v>0</x:v>
      </x:c>
      <x:c r="T1622" s="15" t="n">
        <x:f>'기준스탯 72종'!F72*G1622</x:f>
        <x:v>0</x:v>
      </x:c>
      <x:c r="U1622" s="15" t="n">
        <x:f>'기준스탯 72종'!G72*G1622</x:f>
        <x:v>0</x:v>
      </x:c>
      <x:c r="V1622" s="15" t="n">
        <x:f>'기준스탯 72종'!H72*G1622</x:f>
        <x:v>0</x:v>
      </x:c>
      <x:c r="W1622" s="15" t="n">
        <x:f>'기준스탯 72종'!I72*G1622</x:f>
        <x:v>0</x:v>
      </x:c>
      <x:c r="X1622" s="15" t="n">
        <x:f>'기준스탯 72종'!J72*G1622</x:f>
        <x:v>0</x:v>
      </x:c>
      <x:c r="Y1622" s="15" t="n">
        <x:f>'기준스탯 72종'!K72*G1622</x:f>
        <x:v>0</x:v>
      </x:c>
      <x:c r="Z1622" s="15" t="n">
        <x:f>'기준스탯 72종'!D72*H1622</x:f>
        <x:v>0.9600000000000002</x:v>
      </x:c>
      <x:c r="AA1622" s="15" t="n">
        <x:f>'기준스탯 72종'!E72*H1622</x:f>
        <x:v>0.7200000000000002</x:v>
      </x:c>
      <x:c r="AB1622" s="15" t="n">
        <x:f>'기준스탯 72종'!F72*H1622</x:f>
        <x:v>0.7200000000000002</x:v>
      </x:c>
      <x:c r="AC1622" s="15" t="n">
        <x:f>'기준스탯 72종'!G72*H1622</x:f>
        <x:v>1.2000000000000002</x:v>
      </x:c>
      <x:c r="AD1622" s="15" t="n">
        <x:f>'기준스탯 72종'!H72*H1622</x:f>
        <x:v>0.6000000000000001</x:v>
      </x:c>
      <x:c r="AE1622" s="15" t="n">
        <x:f>'기준스탯 72종'!I72*H1622</x:f>
        <x:v>0.6000000000000001</x:v>
      </x:c>
      <x:c r="AF1622" s="15" t="n">
        <x:f>'기준스탯 72종'!J72*H1622</x:f>
        <x:v>0.4800000000000001</x:v>
      </x:c>
      <x:c r="AG1622" s="15" t="n">
        <x:f>'기준스탯 72종'!K72*H1622</x:f>
        <x:v>0.24000000000000005</x:v>
      </x:c>
    </x:row>
    <x:row r="1623" ht="28" customHeight="1">
      <x:c r="A1623" s="2" t="n">
        <x:v>1616</x:v>
      </x:c>
      <x:c r="B1623" s="2" t="n">
        <x:v>65</x:v>
      </x:c>
      <x:c r="C1623" s="2" t="str">
        <x:v>물병자리</x:v>
      </x:c>
      <x:c r="D1623" s="2" t="str">
        <x:v>도적</x:v>
      </x:c>
      <x:c r="E1623" s="2" t="n">
        <x:v>1</x:v>
      </x:c>
      <x:c r="F1623" s="2" t="n">
        <x:v>4</x:v>
      </x:c>
      <x:c r="G1623" s="14" t="n">
        <x:f>('레벨 계산식'!$E$4-E1623)*'레벨 계산식'!$B$5</x:f>
        <x:v>0.5599999999999999</x:v>
      </x:c>
      <x:c r="H1623" s="14" t="n">
        <x:f>('등급 계산식'!$E$4-F1623)*'등급 계산식'!$B$5</x:f>
        <x:v>0.06000000000000001</x:v>
      </x:c>
      <x:c r="I1623" s="14" t="n">
        <x:f>1-G1623-H1623</x:f>
        <x:v>0.38000000000000006</x:v>
      </x:c>
      <x:c r="J1623" s="2" t="n">
        <x:f>MAX(1,ROUND('기준스탯 72종'!D72-R1623-Z1623,0))</x:f>
        <x:v>3</x:v>
      </x:c>
      <x:c r="K1623" s="2" t="n">
        <x:f>MAX(1,ROUND('기준스탯 72종'!E72-S1623-AA1623,0))</x:f>
        <x:v>2</x:v>
      </x:c>
      <x:c r="L1623" s="2" t="n">
        <x:f>MAX(1,ROUND('기준스탯 72종'!F72-T1623-AB1623,0))</x:f>
        <x:v>2</x:v>
      </x:c>
      <x:c r="M1623" s="2" t="n">
        <x:f>MAX(1,ROUND('기준스탯 72종'!G72-U1623-AC1623,0))</x:f>
        <x:v>4</x:v>
      </x:c>
      <x:c r="N1623" s="2" t="n">
        <x:f>MAX(0,ROUND('기준스탯 72종'!H72-V1623-AD1623,0))</x:f>
        <x:v>2</x:v>
      </x:c>
      <x:c r="O1623" s="2" t="n">
        <x:f>MAX(0,ROUND('기준스탯 72종'!I72-W1623-AE1623,0))</x:f>
        <x:v>2</x:v>
      </x:c>
      <x:c r="P1623" s="2" t="n">
        <x:f>MAX(0,ROUND('기준스탯 72종'!J72-X1623-AF1623,0))</x:f>
        <x:v>2</x:v>
      </x:c>
      <x:c r="Q1623" s="2" t="n">
        <x:f>MAX(0,ROUND('기준스탯 72종'!K72-Y1623-AG1623,0))</x:f>
        <x:v>1</x:v>
      </x:c>
      <x:c r="R1623" s="15" t="n">
        <x:f>'기준스탯 72종'!D72*G1623</x:f>
        <x:v>4.4799999999999995</x:v>
      </x:c>
      <x:c r="S1623" s="15" t="n">
        <x:f>'기준스탯 72종'!E72*G1623</x:f>
        <x:v>3.3599999999999994</x:v>
      </x:c>
      <x:c r="T1623" s="15" t="n">
        <x:f>'기준스탯 72종'!F72*G1623</x:f>
        <x:v>3.3599999999999994</x:v>
      </x:c>
      <x:c r="U1623" s="15" t="n">
        <x:f>'기준스탯 72종'!G72*G1623</x:f>
        <x:v>5.6</x:v>
      </x:c>
      <x:c r="V1623" s="15" t="n">
        <x:f>'기준스탯 72종'!H72*G1623</x:f>
        <x:v>2.8</x:v>
      </x:c>
      <x:c r="W1623" s="15" t="n">
        <x:f>'기준스탯 72종'!I72*G1623</x:f>
        <x:v>2.8</x:v>
      </x:c>
      <x:c r="X1623" s="15" t="n">
        <x:f>'기준스탯 72종'!J72*G1623</x:f>
        <x:v>2.2399999999999998</x:v>
      </x:c>
      <x:c r="Y1623" s="15" t="n">
        <x:f>'기준스탯 72종'!K72*G1623</x:f>
        <x:v>1.1199999999999999</x:v>
      </x:c>
      <x:c r="Z1623" s="15" t="n">
        <x:f>'기준스탯 72종'!D72*H1623</x:f>
        <x:v>0.4800000000000001</x:v>
      </x:c>
      <x:c r="AA1623" s="15" t="n">
        <x:f>'기준스탯 72종'!E72*H1623</x:f>
        <x:v>0.3600000000000001</x:v>
      </x:c>
      <x:c r="AB1623" s="15" t="n">
        <x:f>'기준스탯 72종'!F72*H1623</x:f>
        <x:v>0.3600000000000001</x:v>
      </x:c>
      <x:c r="AC1623" s="15" t="n">
        <x:f>'기준스탯 72종'!G72*H1623</x:f>
        <x:v>0.6000000000000001</x:v>
      </x:c>
      <x:c r="AD1623" s="15" t="n">
        <x:f>'기준스탯 72종'!H72*H1623</x:f>
        <x:v>0.30000000000000004</x:v>
      </x:c>
      <x:c r="AE1623" s="15" t="n">
        <x:f>'기준스탯 72종'!I72*H1623</x:f>
        <x:v>0.30000000000000004</x:v>
      </x:c>
      <x:c r="AF1623" s="15" t="n">
        <x:f>'기준스탯 72종'!J72*H1623</x:f>
        <x:v>0.24000000000000005</x:v>
      </x:c>
      <x:c r="AG1623" s="15" t="n">
        <x:f>'기준스탯 72종'!K72*H1623</x:f>
        <x:v>0.12000000000000002</x:v>
      </x:c>
    </x:row>
    <x:row r="1624" ht="28" customHeight="1">
      <x:c r="A1624" s="2" t="n">
        <x:v>1617</x:v>
      </x:c>
      <x:c r="B1624" s="2" t="n">
        <x:v>65</x:v>
      </x:c>
      <x:c r="C1624" s="2" t="str">
        <x:v>물병자리</x:v>
      </x:c>
      <x:c r="D1624" s="2" t="str">
        <x:v>도적</x:v>
      </x:c>
      <x:c r="E1624" s="2" t="n">
        <x:v>2</x:v>
      </x:c>
      <x:c r="F1624" s="2" t="n">
        <x:v>4</x:v>
      </x:c>
      <x:c r="G1624" s="14" t="n">
        <x:f>('레벨 계산식'!$E$4-E1624)*'레벨 계산식'!$B$5</x:f>
        <x:v>0.41999999999999993</x:v>
      </x:c>
      <x:c r="H1624" s="14" t="n">
        <x:f>('등급 계산식'!$E$4-F1624)*'등급 계산식'!$B$5</x:f>
        <x:v>0.06000000000000001</x:v>
      </x:c>
      <x:c r="I1624" s="14" t="n">
        <x:f>1-G1624-H1624</x:f>
        <x:v>0.52</x:v>
      </x:c>
      <x:c r="J1624" s="2" t="n">
        <x:f>MAX(1,ROUND('기준스탯 72종'!D72-R1624-Z1624,0))</x:f>
        <x:v>4</x:v>
      </x:c>
      <x:c r="K1624" s="2" t="n">
        <x:f>MAX(1,ROUND('기준스탯 72종'!E72-S1624-AA1624,0))</x:f>
        <x:v>3</x:v>
      </x:c>
      <x:c r="L1624" s="2" t="n">
        <x:f>MAX(1,ROUND('기준스탯 72종'!F72-T1624-AB1624,0))</x:f>
        <x:v>3</x:v>
      </x:c>
      <x:c r="M1624" s="2" t="n">
        <x:f>MAX(1,ROUND('기준스탯 72종'!G72-U1624-AC1624,0))</x:f>
        <x:v>5</x:v>
      </x:c>
      <x:c r="N1624" s="2" t="n">
        <x:f>MAX(0,ROUND('기준스탯 72종'!H72-V1624-AD1624,0))</x:f>
        <x:v>3</x:v>
      </x:c>
      <x:c r="O1624" s="2" t="n">
        <x:f>MAX(0,ROUND('기준스탯 72종'!I72-W1624-AE1624,0))</x:f>
        <x:v>3</x:v>
      </x:c>
      <x:c r="P1624" s="2" t="n">
        <x:f>MAX(0,ROUND('기준스탯 72종'!J72-X1624-AF1624,0))</x:f>
        <x:v>2</x:v>
      </x:c>
      <x:c r="Q1624" s="2" t="n">
        <x:f>MAX(0,ROUND('기준스탯 72종'!K72-Y1624-AG1624,0))</x:f>
        <x:v>1</x:v>
      </x:c>
      <x:c r="R1624" s="15" t="n">
        <x:f>'기준스탯 72종'!D72*G1624</x:f>
        <x:v>3.3599999999999994</x:v>
      </x:c>
      <x:c r="S1624" s="15" t="n">
        <x:f>'기준스탯 72종'!E72*G1624</x:f>
        <x:v>2.5199999999999996</x:v>
      </x:c>
      <x:c r="T1624" s="15" t="n">
        <x:f>'기준스탯 72종'!F72*G1624</x:f>
        <x:v>2.5199999999999996</x:v>
      </x:c>
      <x:c r="U1624" s="15" t="n">
        <x:f>'기준스탯 72종'!G72*G1624</x:f>
        <x:v>4.199999999999999</x:v>
      </x:c>
      <x:c r="V1624" s="15" t="n">
        <x:f>'기준스탯 72종'!H72*G1624</x:f>
        <x:v>2.0999999999999996</x:v>
      </x:c>
      <x:c r="W1624" s="15" t="n">
        <x:f>'기준스탯 72종'!I72*G1624</x:f>
        <x:v>2.0999999999999996</x:v>
      </x:c>
      <x:c r="X1624" s="15" t="n">
        <x:f>'기준스탯 72종'!J72*G1624</x:f>
        <x:v>1.6799999999999997</x:v>
      </x:c>
      <x:c r="Y1624" s="15" t="n">
        <x:f>'기준스탯 72종'!K72*G1624</x:f>
        <x:v>0.8399999999999999</x:v>
      </x:c>
      <x:c r="Z1624" s="15" t="n">
        <x:f>'기준스탯 72종'!D72*H1624</x:f>
        <x:v>0.4800000000000001</x:v>
      </x:c>
      <x:c r="AA1624" s="15" t="n">
        <x:f>'기준스탯 72종'!E72*H1624</x:f>
        <x:v>0.3600000000000001</x:v>
      </x:c>
      <x:c r="AB1624" s="15" t="n">
        <x:f>'기준스탯 72종'!F72*H1624</x:f>
        <x:v>0.3600000000000001</x:v>
      </x:c>
      <x:c r="AC1624" s="15" t="n">
        <x:f>'기준스탯 72종'!G72*H1624</x:f>
        <x:v>0.6000000000000001</x:v>
      </x:c>
      <x:c r="AD1624" s="15" t="n">
        <x:f>'기준스탯 72종'!H72*H1624</x:f>
        <x:v>0.30000000000000004</x:v>
      </x:c>
      <x:c r="AE1624" s="15" t="n">
        <x:f>'기준스탯 72종'!I72*H1624</x:f>
        <x:v>0.30000000000000004</x:v>
      </x:c>
      <x:c r="AF1624" s="15" t="n">
        <x:f>'기준스탯 72종'!J72*H1624</x:f>
        <x:v>0.24000000000000005</x:v>
      </x:c>
      <x:c r="AG1624" s="15" t="n">
        <x:f>'기준스탯 72종'!K72*H1624</x:f>
        <x:v>0.12000000000000002</x:v>
      </x:c>
    </x:row>
    <x:row r="1625" ht="28" customHeight="1">
      <x:c r="A1625" s="2" t="n">
        <x:v>1618</x:v>
      </x:c>
      <x:c r="B1625" s="2" t="n">
        <x:v>65</x:v>
      </x:c>
      <x:c r="C1625" s="2" t="str">
        <x:v>물병자리</x:v>
      </x:c>
      <x:c r="D1625" s="2" t="str">
        <x:v>도적</x:v>
      </x:c>
      <x:c r="E1625" s="2" t="n">
        <x:v>3</x:v>
      </x:c>
      <x:c r="F1625" s="2" t="n">
        <x:v>4</x:v>
      </x:c>
      <x:c r="G1625" s="14" t="n">
        <x:f>('레벨 계산식'!$E$4-E1625)*'레벨 계산식'!$B$5</x:f>
        <x:v>0.27999999999999997</x:v>
      </x:c>
      <x:c r="H1625" s="14" t="n">
        <x:f>('등급 계산식'!$E$4-F1625)*'등급 계산식'!$B$5</x:f>
        <x:v>0.06000000000000001</x:v>
      </x:c>
      <x:c r="I1625" s="14" t="n">
        <x:f>1-G1625-H1625</x:f>
        <x:v>0.6599999999999999</x:v>
      </x:c>
      <x:c r="J1625" s="2" t="n">
        <x:f>MAX(1,ROUND('기준스탯 72종'!D72-R1625-Z1625,0))</x:f>
        <x:v>5</x:v>
      </x:c>
      <x:c r="K1625" s="2" t="n">
        <x:f>MAX(1,ROUND('기준스탯 72종'!E72-S1625-AA1625,0))</x:f>
        <x:v>4</x:v>
      </x:c>
      <x:c r="L1625" s="2" t="n">
        <x:f>MAX(1,ROUND('기준스탯 72종'!F72-T1625-AB1625,0))</x:f>
        <x:v>4</x:v>
      </x:c>
      <x:c r="M1625" s="2" t="n">
        <x:f>MAX(1,ROUND('기준스탯 72종'!G72-U1625-AC1625,0))</x:f>
        <x:v>7</x:v>
      </x:c>
      <x:c r="N1625" s="2" t="n">
        <x:f>MAX(0,ROUND('기준스탯 72종'!H72-V1625-AD1625,0))</x:f>
        <x:v>3</x:v>
      </x:c>
      <x:c r="O1625" s="2" t="n">
        <x:f>MAX(0,ROUND('기준스탯 72종'!I72-W1625-AE1625,0))</x:f>
        <x:v>3</x:v>
      </x:c>
      <x:c r="P1625" s="2" t="n">
        <x:f>MAX(0,ROUND('기준스탯 72종'!J72-X1625-AF1625,0))</x:f>
        <x:v>3</x:v>
      </x:c>
      <x:c r="Q1625" s="2" t="n">
        <x:f>MAX(0,ROUND('기준스탯 72종'!K72-Y1625-AG1625,0))</x:f>
        <x:v>1</x:v>
      </x:c>
      <x:c r="R1625" s="15" t="n">
        <x:f>'기준스탯 72종'!D72*G1625</x:f>
        <x:v>2.2399999999999998</x:v>
      </x:c>
      <x:c r="S1625" s="15" t="n">
        <x:f>'기준스탯 72종'!E72*G1625</x:f>
        <x:v>1.6799999999999997</x:v>
      </x:c>
      <x:c r="T1625" s="15" t="n">
        <x:f>'기준스탯 72종'!F72*G1625</x:f>
        <x:v>1.6799999999999997</x:v>
      </x:c>
      <x:c r="U1625" s="15" t="n">
        <x:f>'기준스탯 72종'!G72*G1625</x:f>
        <x:v>2.8</x:v>
      </x:c>
      <x:c r="V1625" s="15" t="n">
        <x:f>'기준스탯 72종'!H72*G1625</x:f>
        <x:v>1.4</x:v>
      </x:c>
      <x:c r="W1625" s="15" t="n">
        <x:f>'기준스탯 72종'!I72*G1625</x:f>
        <x:v>1.4</x:v>
      </x:c>
      <x:c r="X1625" s="15" t="n">
        <x:f>'기준스탯 72종'!J72*G1625</x:f>
        <x:v>1.1199999999999999</x:v>
      </x:c>
      <x:c r="Y1625" s="15" t="n">
        <x:f>'기준스탯 72종'!K72*G1625</x:f>
        <x:v>0.5599999999999999</x:v>
      </x:c>
      <x:c r="Z1625" s="15" t="n">
        <x:f>'기준스탯 72종'!D72*H1625</x:f>
        <x:v>0.4800000000000001</x:v>
      </x:c>
      <x:c r="AA1625" s="15" t="n">
        <x:f>'기준스탯 72종'!E72*H1625</x:f>
        <x:v>0.3600000000000001</x:v>
      </x:c>
      <x:c r="AB1625" s="15" t="n">
        <x:f>'기준스탯 72종'!F72*H1625</x:f>
        <x:v>0.3600000000000001</x:v>
      </x:c>
      <x:c r="AC1625" s="15" t="n">
        <x:f>'기준스탯 72종'!G72*H1625</x:f>
        <x:v>0.6000000000000001</x:v>
      </x:c>
      <x:c r="AD1625" s="15" t="n">
        <x:f>'기준스탯 72종'!H72*H1625</x:f>
        <x:v>0.30000000000000004</x:v>
      </x:c>
      <x:c r="AE1625" s="15" t="n">
        <x:f>'기준스탯 72종'!I72*H1625</x:f>
        <x:v>0.30000000000000004</x:v>
      </x:c>
      <x:c r="AF1625" s="15" t="n">
        <x:f>'기준스탯 72종'!J72*H1625</x:f>
        <x:v>0.24000000000000005</x:v>
      </x:c>
      <x:c r="AG1625" s="15" t="n">
        <x:f>'기준스탯 72종'!K72*H1625</x:f>
        <x:v>0.12000000000000002</x:v>
      </x:c>
    </x:row>
    <x:row r="1626" ht="28" customHeight="1">
      <x:c r="A1626" s="2" t="n">
        <x:v>1619</x:v>
      </x:c>
      <x:c r="B1626" s="2" t="n">
        <x:v>65</x:v>
      </x:c>
      <x:c r="C1626" s="2" t="str">
        <x:v>물병자리</x:v>
      </x:c>
      <x:c r="D1626" s="2" t="str">
        <x:v>도적</x:v>
      </x:c>
      <x:c r="E1626" s="2" t="n">
        <x:v>4</x:v>
      </x:c>
      <x:c r="F1626" s="2" t="n">
        <x:v>4</x:v>
      </x:c>
      <x:c r="G1626" s="14" t="n">
        <x:f>('레벨 계산식'!$E$4-E1626)*'레벨 계산식'!$B$5</x:f>
        <x:v>0.13999999999999999</x:v>
      </x:c>
      <x:c r="H1626" s="14" t="n">
        <x:f>('등급 계산식'!$E$4-F1626)*'등급 계산식'!$B$5</x:f>
        <x:v>0.06000000000000001</x:v>
      </x:c>
      <x:c r="I1626" s="14" t="n">
        <x:f>1-G1626-H1626</x:f>
        <x:v>0.7999999999999999</x:v>
      </x:c>
      <x:c r="J1626" s="2" t="n">
        <x:f>MAX(1,ROUND('기준스탯 72종'!D72-R1626-Z1626,0))</x:f>
        <x:v>6</x:v>
      </x:c>
      <x:c r="K1626" s="2" t="n">
        <x:f>MAX(1,ROUND('기준스탯 72종'!E72-S1626-AA1626,0))</x:f>
        <x:v>5</x:v>
      </x:c>
      <x:c r="L1626" s="2" t="n">
        <x:f>MAX(1,ROUND('기준스탯 72종'!F72-T1626-AB1626,0))</x:f>
        <x:v>5</x:v>
      </x:c>
      <x:c r="M1626" s="2" t="n">
        <x:f>MAX(1,ROUND('기준스탯 72종'!G72-U1626-AC1626,0))</x:f>
        <x:v>8</x:v>
      </x:c>
      <x:c r="N1626" s="2" t="n">
        <x:f>MAX(0,ROUND('기준스탯 72종'!H72-V1626-AD1626,0))</x:f>
        <x:v>4</x:v>
      </x:c>
      <x:c r="O1626" s="2" t="n">
        <x:f>MAX(0,ROUND('기준스탯 72종'!I72-W1626-AE1626,0))</x:f>
        <x:v>4</x:v>
      </x:c>
      <x:c r="P1626" s="2" t="n">
        <x:f>MAX(0,ROUND('기준스탯 72종'!J72-X1626-AF1626,0))</x:f>
        <x:v>3</x:v>
      </x:c>
      <x:c r="Q1626" s="2" t="n">
        <x:f>MAX(0,ROUND('기준스탯 72종'!K72-Y1626-AG1626,0))</x:f>
        <x:v>2</x:v>
      </x:c>
      <x:c r="R1626" s="15" t="n">
        <x:f>'기준스탯 72종'!D72*G1626</x:f>
        <x:v>1.1199999999999999</x:v>
      </x:c>
      <x:c r="S1626" s="15" t="n">
        <x:f>'기준스탯 72종'!E72*G1626</x:f>
        <x:v>0.8399999999999999</x:v>
      </x:c>
      <x:c r="T1626" s="15" t="n">
        <x:f>'기준스탯 72종'!F72*G1626</x:f>
        <x:v>0.8399999999999999</x:v>
      </x:c>
      <x:c r="U1626" s="15" t="n">
        <x:f>'기준스탯 72종'!G72*G1626</x:f>
        <x:v>1.4</x:v>
      </x:c>
      <x:c r="V1626" s="15" t="n">
        <x:f>'기준스탯 72종'!H72*G1626</x:f>
        <x:v>0.7</x:v>
      </x:c>
      <x:c r="W1626" s="15" t="n">
        <x:f>'기준스탯 72종'!I72*G1626</x:f>
        <x:v>0.7</x:v>
      </x:c>
      <x:c r="X1626" s="15" t="n">
        <x:f>'기준스탯 72종'!J72*G1626</x:f>
        <x:v>0.5599999999999999</x:v>
      </x:c>
      <x:c r="Y1626" s="15" t="n">
        <x:f>'기준스탯 72종'!K72*G1626</x:f>
        <x:v>0.27999999999999997</x:v>
      </x:c>
      <x:c r="Z1626" s="15" t="n">
        <x:f>'기준스탯 72종'!D72*H1626</x:f>
        <x:v>0.4800000000000001</x:v>
      </x:c>
      <x:c r="AA1626" s="15" t="n">
        <x:f>'기준스탯 72종'!E72*H1626</x:f>
        <x:v>0.3600000000000001</x:v>
      </x:c>
      <x:c r="AB1626" s="15" t="n">
        <x:f>'기준스탯 72종'!F72*H1626</x:f>
        <x:v>0.3600000000000001</x:v>
      </x:c>
      <x:c r="AC1626" s="15" t="n">
        <x:f>'기준스탯 72종'!G72*H1626</x:f>
        <x:v>0.6000000000000001</x:v>
      </x:c>
      <x:c r="AD1626" s="15" t="n">
        <x:f>'기준스탯 72종'!H72*H1626</x:f>
        <x:v>0.30000000000000004</x:v>
      </x:c>
      <x:c r="AE1626" s="15" t="n">
        <x:f>'기준스탯 72종'!I72*H1626</x:f>
        <x:v>0.30000000000000004</x:v>
      </x:c>
      <x:c r="AF1626" s="15" t="n">
        <x:f>'기준스탯 72종'!J72*H1626</x:f>
        <x:v>0.24000000000000005</x:v>
      </x:c>
      <x:c r="AG1626" s="15" t="n">
        <x:f>'기준스탯 72종'!K72*H1626</x:f>
        <x:v>0.12000000000000002</x:v>
      </x:c>
    </x:row>
    <x:row r="1627" ht="28" customHeight="1">
      <x:c r="A1627" s="2" t="n">
        <x:v>1620</x:v>
      </x:c>
      <x:c r="B1627" s="2" t="n">
        <x:v>65</x:v>
      </x:c>
      <x:c r="C1627" s="2" t="str">
        <x:v>물병자리</x:v>
      </x:c>
      <x:c r="D1627" s="2" t="str">
        <x:v>도적</x:v>
      </x:c>
      <x:c r="E1627" s="2" t="n">
        <x:v>5</x:v>
      </x:c>
      <x:c r="F1627" s="2" t="n">
        <x:v>4</x:v>
      </x:c>
      <x:c r="G1627" s="14" t="n">
        <x:f>('레벨 계산식'!$E$4-E1627)*'레벨 계산식'!$B$5</x:f>
        <x:v>0</x:v>
      </x:c>
      <x:c r="H1627" s="14" t="n">
        <x:f>('등급 계산식'!$E$4-F1627)*'등급 계산식'!$B$5</x:f>
        <x:v>0.06000000000000001</x:v>
      </x:c>
      <x:c r="I1627" s="14" t="n">
        <x:f>1-G1627-H1627</x:f>
        <x:v>0.94</x:v>
      </x:c>
      <x:c r="J1627" s="2" t="n">
        <x:f>MAX(1,ROUND('기준스탯 72종'!D72-R1627-Z1627,0))</x:f>
        <x:v>8</x:v>
      </x:c>
      <x:c r="K1627" s="2" t="n">
        <x:f>MAX(1,ROUND('기준스탯 72종'!E72-S1627-AA1627,0))</x:f>
        <x:v>6</x:v>
      </x:c>
      <x:c r="L1627" s="2" t="n">
        <x:f>MAX(1,ROUND('기준스탯 72종'!F72-T1627-AB1627,0))</x:f>
        <x:v>6</x:v>
      </x:c>
      <x:c r="M1627" s="2" t="n">
        <x:f>MAX(1,ROUND('기준스탯 72종'!G72-U1627-AC1627,0))</x:f>
        <x:v>9</x:v>
      </x:c>
      <x:c r="N1627" s="2" t="n">
        <x:f>MAX(0,ROUND('기준스탯 72종'!H72-V1627-AD1627,0))</x:f>
        <x:v>5</x:v>
      </x:c>
      <x:c r="O1627" s="2" t="n">
        <x:f>MAX(0,ROUND('기준스탯 72종'!I72-W1627-AE1627,0))</x:f>
        <x:v>5</x:v>
      </x:c>
      <x:c r="P1627" s="2" t="n">
        <x:f>MAX(0,ROUND('기준스탯 72종'!J72-X1627-AF1627,0))</x:f>
        <x:v>4</x:v>
      </x:c>
      <x:c r="Q1627" s="2" t="n">
        <x:f>MAX(0,ROUND('기준스탯 72종'!K72-Y1627-AG1627,0))</x:f>
        <x:v>2</x:v>
      </x:c>
      <x:c r="R1627" s="15" t="n">
        <x:f>'기준스탯 72종'!D72*G1627</x:f>
        <x:v>0</x:v>
      </x:c>
      <x:c r="S1627" s="15" t="n">
        <x:f>'기준스탯 72종'!E72*G1627</x:f>
        <x:v>0</x:v>
      </x:c>
      <x:c r="T1627" s="15" t="n">
        <x:f>'기준스탯 72종'!F72*G1627</x:f>
        <x:v>0</x:v>
      </x:c>
      <x:c r="U1627" s="15" t="n">
        <x:f>'기준스탯 72종'!G72*G1627</x:f>
        <x:v>0</x:v>
      </x:c>
      <x:c r="V1627" s="15" t="n">
        <x:f>'기준스탯 72종'!H72*G1627</x:f>
        <x:v>0</x:v>
      </x:c>
      <x:c r="W1627" s="15" t="n">
        <x:f>'기준스탯 72종'!I72*G1627</x:f>
        <x:v>0</x:v>
      </x:c>
      <x:c r="X1627" s="15" t="n">
        <x:f>'기준스탯 72종'!J72*G1627</x:f>
        <x:v>0</x:v>
      </x:c>
      <x:c r="Y1627" s="15" t="n">
        <x:f>'기준스탯 72종'!K72*G1627</x:f>
        <x:v>0</x:v>
      </x:c>
      <x:c r="Z1627" s="15" t="n">
        <x:f>'기준스탯 72종'!D72*H1627</x:f>
        <x:v>0.4800000000000001</x:v>
      </x:c>
      <x:c r="AA1627" s="15" t="n">
        <x:f>'기준스탯 72종'!E72*H1627</x:f>
        <x:v>0.3600000000000001</x:v>
      </x:c>
      <x:c r="AB1627" s="15" t="n">
        <x:f>'기준스탯 72종'!F72*H1627</x:f>
        <x:v>0.3600000000000001</x:v>
      </x:c>
      <x:c r="AC1627" s="15" t="n">
        <x:f>'기준스탯 72종'!G72*H1627</x:f>
        <x:v>0.6000000000000001</x:v>
      </x:c>
      <x:c r="AD1627" s="15" t="n">
        <x:f>'기준스탯 72종'!H72*H1627</x:f>
        <x:v>0.30000000000000004</x:v>
      </x:c>
      <x:c r="AE1627" s="15" t="n">
        <x:f>'기준스탯 72종'!I72*H1627</x:f>
        <x:v>0.30000000000000004</x:v>
      </x:c>
      <x:c r="AF1627" s="15" t="n">
        <x:f>'기준스탯 72종'!J72*H1627</x:f>
        <x:v>0.24000000000000005</x:v>
      </x:c>
      <x:c r="AG1627" s="15" t="n">
        <x:f>'기준스탯 72종'!K72*H1627</x:f>
        <x:v>0.12000000000000002</x:v>
      </x:c>
    </x:row>
    <x:row r="1628" ht="28" customHeight="1">
      <x:c r="A1628" s="2" t="n">
        <x:v>1621</x:v>
      </x:c>
      <x:c r="B1628" s="2" t="n">
        <x:v>65</x:v>
      </x:c>
      <x:c r="C1628" s="2" t="str">
        <x:v>물병자리</x:v>
      </x:c>
      <x:c r="D1628" s="2" t="str">
        <x:v>도적</x:v>
      </x:c>
      <x:c r="E1628" s="2" t="n">
        <x:v>1</x:v>
      </x:c>
      <x:c r="F1628" s="2" t="n">
        <x:v>5</x:v>
      </x:c>
      <x:c r="G1628" s="14" t="n">
        <x:f>('레벨 계산식'!$E$4-E1628)*'레벨 계산식'!$B$5</x:f>
        <x:v>0.5599999999999999</x:v>
      </x:c>
      <x:c r="H1628" s="14" t="n">
        <x:f>('등급 계산식'!$E$4-F1628)*'등급 계산식'!$B$5</x:f>
        <x:v>0</x:v>
      </x:c>
      <x:c r="I1628" s="14" t="n">
        <x:f>1-G1628-H1628</x:f>
        <x:v>0.44000000000000006</x:v>
      </x:c>
      <x:c r="J1628" s="2" t="n">
        <x:f>MAX(1,ROUND('기준스탯 72종'!D72-R1628-Z1628,0))</x:f>
        <x:v>4</x:v>
      </x:c>
      <x:c r="K1628" s="2" t="n">
        <x:f>MAX(1,ROUND('기준스탯 72종'!E72-S1628-AA1628,0))</x:f>
        <x:v>3</x:v>
      </x:c>
      <x:c r="L1628" s="2" t="n">
        <x:f>MAX(1,ROUND('기준스탯 72종'!F72-T1628-AB1628,0))</x:f>
        <x:v>3</x:v>
      </x:c>
      <x:c r="M1628" s="2" t="n">
        <x:f>MAX(1,ROUND('기준스탯 72종'!G72-U1628-AC1628,0))</x:f>
        <x:v>4</x:v>
      </x:c>
      <x:c r="N1628" s="2" t="n">
        <x:f>MAX(0,ROUND('기준스탯 72종'!H72-V1628-AD1628,0))</x:f>
        <x:v>2</x:v>
      </x:c>
      <x:c r="O1628" s="2" t="n">
        <x:f>MAX(0,ROUND('기준스탯 72종'!I72-W1628-AE1628,0))</x:f>
        <x:v>2</x:v>
      </x:c>
      <x:c r="P1628" s="2" t="n">
        <x:f>MAX(0,ROUND('기준스탯 72종'!J72-X1628-AF1628,0))</x:f>
        <x:v>2</x:v>
      </x:c>
      <x:c r="Q1628" s="2" t="n">
        <x:f>MAX(0,ROUND('기준스탯 72종'!K72-Y1628-AG1628,0))</x:f>
        <x:v>1</x:v>
      </x:c>
      <x:c r="R1628" s="15" t="n">
        <x:f>'기준스탯 72종'!D72*G1628</x:f>
        <x:v>4.4799999999999995</x:v>
      </x:c>
      <x:c r="S1628" s="15" t="n">
        <x:f>'기준스탯 72종'!E72*G1628</x:f>
        <x:v>3.3599999999999994</x:v>
      </x:c>
      <x:c r="T1628" s="15" t="n">
        <x:f>'기준스탯 72종'!F72*G1628</x:f>
        <x:v>3.3599999999999994</x:v>
      </x:c>
      <x:c r="U1628" s="15" t="n">
        <x:f>'기준스탯 72종'!G72*G1628</x:f>
        <x:v>5.6</x:v>
      </x:c>
      <x:c r="V1628" s="15" t="n">
        <x:f>'기준스탯 72종'!H72*G1628</x:f>
        <x:v>2.8</x:v>
      </x:c>
      <x:c r="W1628" s="15" t="n">
        <x:f>'기준스탯 72종'!I72*G1628</x:f>
        <x:v>2.8</x:v>
      </x:c>
      <x:c r="X1628" s="15" t="n">
        <x:f>'기준스탯 72종'!J72*G1628</x:f>
        <x:v>2.2399999999999998</x:v>
      </x:c>
      <x:c r="Y1628" s="15" t="n">
        <x:f>'기준스탯 72종'!K72*G1628</x:f>
        <x:v>1.1199999999999999</x:v>
      </x:c>
      <x:c r="Z1628" s="15" t="n">
        <x:f>'기준스탯 72종'!D72*H1628</x:f>
        <x:v>0</x:v>
      </x:c>
      <x:c r="AA1628" s="15" t="n">
        <x:f>'기준스탯 72종'!E72*H1628</x:f>
        <x:v>0</x:v>
      </x:c>
      <x:c r="AB1628" s="15" t="n">
        <x:f>'기준스탯 72종'!F72*H1628</x:f>
        <x:v>0</x:v>
      </x:c>
      <x:c r="AC1628" s="15" t="n">
        <x:f>'기준스탯 72종'!G72*H1628</x:f>
        <x:v>0</x:v>
      </x:c>
      <x:c r="AD1628" s="15" t="n">
        <x:f>'기준스탯 72종'!H72*H1628</x:f>
        <x:v>0</x:v>
      </x:c>
      <x:c r="AE1628" s="15" t="n">
        <x:f>'기준스탯 72종'!I72*H1628</x:f>
        <x:v>0</x:v>
      </x:c>
      <x:c r="AF1628" s="15" t="n">
        <x:f>'기준스탯 72종'!J72*H1628</x:f>
        <x:v>0</x:v>
      </x:c>
      <x:c r="AG1628" s="15" t="n">
        <x:f>'기준스탯 72종'!K72*H1628</x:f>
        <x:v>0</x:v>
      </x:c>
    </x:row>
    <x:row r="1629" ht="28" customHeight="1">
      <x:c r="A1629" s="2" t="n">
        <x:v>1622</x:v>
      </x:c>
      <x:c r="B1629" s="2" t="n">
        <x:v>65</x:v>
      </x:c>
      <x:c r="C1629" s="2" t="str">
        <x:v>물병자리</x:v>
      </x:c>
      <x:c r="D1629" s="2" t="str">
        <x:v>도적</x:v>
      </x:c>
      <x:c r="E1629" s="2" t="n">
        <x:v>2</x:v>
      </x:c>
      <x:c r="F1629" s="2" t="n">
        <x:v>5</x:v>
      </x:c>
      <x:c r="G1629" s="14" t="n">
        <x:f>('레벨 계산식'!$E$4-E1629)*'레벨 계산식'!$B$5</x:f>
        <x:v>0.41999999999999993</x:v>
      </x:c>
      <x:c r="H1629" s="14" t="n">
        <x:f>('등급 계산식'!$E$4-F1629)*'등급 계산식'!$B$5</x:f>
        <x:v>0</x:v>
      </x:c>
      <x:c r="I1629" s="14" t="n">
        <x:f>1-G1629-H1629</x:f>
        <x:v>0.5800000000000001</x:v>
      </x:c>
      <x:c r="J1629" s="2" t="n">
        <x:f>MAX(1,ROUND('기준스탯 72종'!D72-R1629-Z1629,0))</x:f>
        <x:v>5</x:v>
      </x:c>
      <x:c r="K1629" s="2" t="n">
        <x:f>MAX(1,ROUND('기준스탯 72종'!E72-S1629-AA1629,0))</x:f>
        <x:v>3</x:v>
      </x:c>
      <x:c r="L1629" s="2" t="n">
        <x:f>MAX(1,ROUND('기준스탯 72종'!F72-T1629-AB1629,0))</x:f>
        <x:v>3</x:v>
      </x:c>
      <x:c r="M1629" s="2" t="n">
        <x:f>MAX(1,ROUND('기준스탯 72종'!G72-U1629-AC1629,0))</x:f>
        <x:v>6</x:v>
      </x:c>
      <x:c r="N1629" s="2" t="n">
        <x:f>MAX(0,ROUND('기준스탯 72종'!H72-V1629-AD1629,0))</x:f>
        <x:v>3</x:v>
      </x:c>
      <x:c r="O1629" s="2" t="n">
        <x:f>MAX(0,ROUND('기준스탯 72종'!I72-W1629-AE1629,0))</x:f>
        <x:v>3</x:v>
      </x:c>
      <x:c r="P1629" s="2" t="n">
        <x:f>MAX(0,ROUND('기준스탯 72종'!J72-X1629-AF1629,0))</x:f>
        <x:v>2</x:v>
      </x:c>
      <x:c r="Q1629" s="2" t="n">
        <x:f>MAX(0,ROUND('기준스탯 72종'!K72-Y1629-AG1629,0))</x:f>
        <x:v>1</x:v>
      </x:c>
      <x:c r="R1629" s="15" t="n">
        <x:f>'기준스탯 72종'!D72*G1629</x:f>
        <x:v>3.3599999999999994</x:v>
      </x:c>
      <x:c r="S1629" s="15" t="n">
        <x:f>'기준스탯 72종'!E72*G1629</x:f>
        <x:v>2.5199999999999996</x:v>
      </x:c>
      <x:c r="T1629" s="15" t="n">
        <x:f>'기준스탯 72종'!F72*G1629</x:f>
        <x:v>2.5199999999999996</x:v>
      </x:c>
      <x:c r="U1629" s="15" t="n">
        <x:f>'기준스탯 72종'!G72*G1629</x:f>
        <x:v>4.199999999999999</x:v>
      </x:c>
      <x:c r="V1629" s="15" t="n">
        <x:f>'기준스탯 72종'!H72*G1629</x:f>
        <x:v>2.0999999999999996</x:v>
      </x:c>
      <x:c r="W1629" s="15" t="n">
        <x:f>'기준스탯 72종'!I72*G1629</x:f>
        <x:v>2.0999999999999996</x:v>
      </x:c>
      <x:c r="X1629" s="15" t="n">
        <x:f>'기준스탯 72종'!J72*G1629</x:f>
        <x:v>1.6799999999999997</x:v>
      </x:c>
      <x:c r="Y1629" s="15" t="n">
        <x:f>'기준스탯 72종'!K72*G1629</x:f>
        <x:v>0.8399999999999999</x:v>
      </x:c>
      <x:c r="Z1629" s="15" t="n">
        <x:f>'기준스탯 72종'!D72*H1629</x:f>
        <x:v>0</x:v>
      </x:c>
      <x:c r="AA1629" s="15" t="n">
        <x:f>'기준스탯 72종'!E72*H1629</x:f>
        <x:v>0</x:v>
      </x:c>
      <x:c r="AB1629" s="15" t="n">
        <x:f>'기준스탯 72종'!F72*H1629</x:f>
        <x:v>0</x:v>
      </x:c>
      <x:c r="AC1629" s="15" t="n">
        <x:f>'기준스탯 72종'!G72*H1629</x:f>
        <x:v>0</x:v>
      </x:c>
      <x:c r="AD1629" s="15" t="n">
        <x:f>'기준스탯 72종'!H72*H1629</x:f>
        <x:v>0</x:v>
      </x:c>
      <x:c r="AE1629" s="15" t="n">
        <x:f>'기준스탯 72종'!I72*H1629</x:f>
        <x:v>0</x:v>
      </x:c>
      <x:c r="AF1629" s="15" t="n">
        <x:f>'기준스탯 72종'!J72*H1629</x:f>
        <x:v>0</x:v>
      </x:c>
      <x:c r="AG1629" s="15" t="n">
        <x:f>'기준스탯 72종'!K72*H1629</x:f>
        <x:v>0</x:v>
      </x:c>
    </x:row>
    <x:row r="1630" ht="28" customHeight="1">
      <x:c r="A1630" s="2" t="n">
        <x:v>1623</x:v>
      </x:c>
      <x:c r="B1630" s="2" t="n">
        <x:v>65</x:v>
      </x:c>
      <x:c r="C1630" s="2" t="str">
        <x:v>물병자리</x:v>
      </x:c>
      <x:c r="D1630" s="2" t="str">
        <x:v>도적</x:v>
      </x:c>
      <x:c r="E1630" s="2" t="n">
        <x:v>3</x:v>
      </x:c>
      <x:c r="F1630" s="2" t="n">
        <x:v>5</x:v>
      </x:c>
      <x:c r="G1630" s="14" t="n">
        <x:f>('레벨 계산식'!$E$4-E1630)*'레벨 계산식'!$B$5</x:f>
        <x:v>0.27999999999999997</x:v>
      </x:c>
      <x:c r="H1630" s="14" t="n">
        <x:f>('등급 계산식'!$E$4-F1630)*'등급 계산식'!$B$5</x:f>
        <x:v>0</x:v>
      </x:c>
      <x:c r="I1630" s="14" t="n">
        <x:f>1-G1630-H1630</x:f>
        <x:v>0.72</x:v>
      </x:c>
      <x:c r="J1630" s="2" t="n">
        <x:f>MAX(1,ROUND('기준스탯 72종'!D72-R1630-Z1630,0))</x:f>
        <x:v>6</x:v>
      </x:c>
      <x:c r="K1630" s="2" t="n">
        <x:f>MAX(1,ROUND('기준스탯 72종'!E72-S1630-AA1630,0))</x:f>
        <x:v>4</x:v>
      </x:c>
      <x:c r="L1630" s="2" t="n">
        <x:f>MAX(1,ROUND('기준스탯 72종'!F72-T1630-AB1630,0))</x:f>
        <x:v>4</x:v>
      </x:c>
      <x:c r="M1630" s="2" t="n">
        <x:f>MAX(1,ROUND('기준스탯 72종'!G72-U1630-AC1630,0))</x:f>
        <x:v>7</x:v>
      </x:c>
      <x:c r="N1630" s="2" t="n">
        <x:f>MAX(0,ROUND('기준스탯 72종'!H72-V1630-AD1630,0))</x:f>
        <x:v>4</x:v>
      </x:c>
      <x:c r="O1630" s="2" t="n">
        <x:f>MAX(0,ROUND('기준스탯 72종'!I72-W1630-AE1630,0))</x:f>
        <x:v>4</x:v>
      </x:c>
      <x:c r="P1630" s="2" t="n">
        <x:f>MAX(0,ROUND('기준스탯 72종'!J72-X1630-AF1630,0))</x:f>
        <x:v>3</x:v>
      </x:c>
      <x:c r="Q1630" s="2" t="n">
        <x:f>MAX(0,ROUND('기준스탯 72종'!K72-Y1630-AG1630,0))</x:f>
        <x:v>1</x:v>
      </x:c>
      <x:c r="R1630" s="15" t="n">
        <x:f>'기준스탯 72종'!D72*G1630</x:f>
        <x:v>2.2399999999999998</x:v>
      </x:c>
      <x:c r="S1630" s="15" t="n">
        <x:f>'기준스탯 72종'!E72*G1630</x:f>
        <x:v>1.6799999999999997</x:v>
      </x:c>
      <x:c r="T1630" s="15" t="n">
        <x:f>'기준스탯 72종'!F72*G1630</x:f>
        <x:v>1.6799999999999997</x:v>
      </x:c>
      <x:c r="U1630" s="15" t="n">
        <x:f>'기준스탯 72종'!G72*G1630</x:f>
        <x:v>2.8</x:v>
      </x:c>
      <x:c r="V1630" s="15" t="n">
        <x:f>'기준스탯 72종'!H72*G1630</x:f>
        <x:v>1.4</x:v>
      </x:c>
      <x:c r="W1630" s="15" t="n">
        <x:f>'기준스탯 72종'!I72*G1630</x:f>
        <x:v>1.4</x:v>
      </x:c>
      <x:c r="X1630" s="15" t="n">
        <x:f>'기준스탯 72종'!J72*G1630</x:f>
        <x:v>1.1199999999999999</x:v>
      </x:c>
      <x:c r="Y1630" s="15" t="n">
        <x:f>'기준스탯 72종'!K72*G1630</x:f>
        <x:v>0.5599999999999999</x:v>
      </x:c>
      <x:c r="Z1630" s="15" t="n">
        <x:f>'기준스탯 72종'!D72*H1630</x:f>
        <x:v>0</x:v>
      </x:c>
      <x:c r="AA1630" s="15" t="n">
        <x:f>'기준스탯 72종'!E72*H1630</x:f>
        <x:v>0</x:v>
      </x:c>
      <x:c r="AB1630" s="15" t="n">
        <x:f>'기준스탯 72종'!F72*H1630</x:f>
        <x:v>0</x:v>
      </x:c>
      <x:c r="AC1630" s="15" t="n">
        <x:f>'기준스탯 72종'!G72*H1630</x:f>
        <x:v>0</x:v>
      </x:c>
      <x:c r="AD1630" s="15" t="n">
        <x:f>'기준스탯 72종'!H72*H1630</x:f>
        <x:v>0</x:v>
      </x:c>
      <x:c r="AE1630" s="15" t="n">
        <x:f>'기준스탯 72종'!I72*H1630</x:f>
        <x:v>0</x:v>
      </x:c>
      <x:c r="AF1630" s="15" t="n">
        <x:f>'기준스탯 72종'!J72*H1630</x:f>
        <x:v>0</x:v>
      </x:c>
      <x:c r="AG1630" s="15" t="n">
        <x:f>'기준스탯 72종'!K72*H1630</x:f>
        <x:v>0</x:v>
      </x:c>
    </x:row>
    <x:row r="1631" ht="28" customHeight="1">
      <x:c r="A1631" s="2" t="n">
        <x:v>1624</x:v>
      </x:c>
      <x:c r="B1631" s="2" t="n">
        <x:v>65</x:v>
      </x:c>
      <x:c r="C1631" s="2" t="str">
        <x:v>물병자리</x:v>
      </x:c>
      <x:c r="D1631" s="2" t="str">
        <x:v>도적</x:v>
      </x:c>
      <x:c r="E1631" s="2" t="n">
        <x:v>4</x:v>
      </x:c>
      <x:c r="F1631" s="2" t="n">
        <x:v>5</x:v>
      </x:c>
      <x:c r="G1631" s="14" t="n">
        <x:f>('레벨 계산식'!$E$4-E1631)*'레벨 계산식'!$B$5</x:f>
        <x:v>0.13999999999999999</x:v>
      </x:c>
      <x:c r="H1631" s="14" t="n">
        <x:f>('등급 계산식'!$E$4-F1631)*'등급 계산식'!$B$5</x:f>
        <x:v>0</x:v>
      </x:c>
      <x:c r="I1631" s="14" t="n">
        <x:f>1-G1631-H1631</x:f>
        <x:v>0.86</x:v>
      </x:c>
      <x:c r="J1631" s="2" t="n">
        <x:f>MAX(1,ROUND('기준스탯 72종'!D72-R1631-Z1631,0))</x:f>
        <x:v>7</x:v>
      </x:c>
      <x:c r="K1631" s="2" t="n">
        <x:f>MAX(1,ROUND('기준스탯 72종'!E72-S1631-AA1631,0))</x:f>
        <x:v>5</x:v>
      </x:c>
      <x:c r="L1631" s="2" t="n">
        <x:f>MAX(1,ROUND('기준스탯 72종'!F72-T1631-AB1631,0))</x:f>
        <x:v>5</x:v>
      </x:c>
      <x:c r="M1631" s="2" t="n">
        <x:f>MAX(1,ROUND('기준스탯 72종'!G72-U1631-AC1631,0))</x:f>
        <x:v>9</x:v>
      </x:c>
      <x:c r="N1631" s="2" t="n">
        <x:f>MAX(0,ROUND('기준스탯 72종'!H72-V1631-AD1631,0))</x:f>
        <x:v>4</x:v>
      </x:c>
      <x:c r="O1631" s="2" t="n">
        <x:f>MAX(0,ROUND('기준스탯 72종'!I72-W1631-AE1631,0))</x:f>
        <x:v>4</x:v>
      </x:c>
      <x:c r="P1631" s="2" t="n">
        <x:f>MAX(0,ROUND('기준스탯 72종'!J72-X1631-AF1631,0))</x:f>
        <x:v>3</x:v>
      </x:c>
      <x:c r="Q1631" s="2" t="n">
        <x:f>MAX(0,ROUND('기준스탯 72종'!K72-Y1631-AG1631,0))</x:f>
        <x:v>2</x:v>
      </x:c>
      <x:c r="R1631" s="15" t="n">
        <x:f>'기준스탯 72종'!D72*G1631</x:f>
        <x:v>1.1199999999999999</x:v>
      </x:c>
      <x:c r="S1631" s="15" t="n">
        <x:f>'기준스탯 72종'!E72*G1631</x:f>
        <x:v>0.8399999999999999</x:v>
      </x:c>
      <x:c r="T1631" s="15" t="n">
        <x:f>'기준스탯 72종'!F72*G1631</x:f>
        <x:v>0.8399999999999999</x:v>
      </x:c>
      <x:c r="U1631" s="15" t="n">
        <x:f>'기준스탯 72종'!G72*G1631</x:f>
        <x:v>1.4</x:v>
      </x:c>
      <x:c r="V1631" s="15" t="n">
        <x:f>'기준스탯 72종'!H72*G1631</x:f>
        <x:v>0.7</x:v>
      </x:c>
      <x:c r="W1631" s="15" t="n">
        <x:f>'기준스탯 72종'!I72*G1631</x:f>
        <x:v>0.7</x:v>
      </x:c>
      <x:c r="X1631" s="15" t="n">
        <x:f>'기준스탯 72종'!J72*G1631</x:f>
        <x:v>0.5599999999999999</x:v>
      </x:c>
      <x:c r="Y1631" s="15" t="n">
        <x:f>'기준스탯 72종'!K72*G1631</x:f>
        <x:v>0.27999999999999997</x:v>
      </x:c>
      <x:c r="Z1631" s="15" t="n">
        <x:f>'기준스탯 72종'!D72*H1631</x:f>
        <x:v>0</x:v>
      </x:c>
      <x:c r="AA1631" s="15" t="n">
        <x:f>'기준스탯 72종'!E72*H1631</x:f>
        <x:v>0</x:v>
      </x:c>
      <x:c r="AB1631" s="15" t="n">
        <x:f>'기준스탯 72종'!F72*H1631</x:f>
        <x:v>0</x:v>
      </x:c>
      <x:c r="AC1631" s="15" t="n">
        <x:f>'기준스탯 72종'!G72*H1631</x:f>
        <x:v>0</x:v>
      </x:c>
      <x:c r="AD1631" s="15" t="n">
        <x:f>'기준스탯 72종'!H72*H1631</x:f>
        <x:v>0</x:v>
      </x:c>
      <x:c r="AE1631" s="15" t="n">
        <x:f>'기준스탯 72종'!I72*H1631</x:f>
        <x:v>0</x:v>
      </x:c>
      <x:c r="AF1631" s="15" t="n">
        <x:f>'기준스탯 72종'!J72*H1631</x:f>
        <x:v>0</x:v>
      </x:c>
      <x:c r="AG1631" s="15" t="n">
        <x:f>'기준스탯 72종'!K72*H1631</x:f>
        <x:v>0</x:v>
      </x:c>
    </x:row>
    <x:row r="1632" ht="28" customHeight="1">
      <x:c r="A1632" s="2" t="n">
        <x:v>1625</x:v>
      </x:c>
      <x:c r="B1632" s="2" t="n">
        <x:v>65</x:v>
      </x:c>
      <x:c r="C1632" s="2" t="str">
        <x:v>물병자리</x:v>
      </x:c>
      <x:c r="D1632" s="2" t="str">
        <x:v>도적</x:v>
      </x:c>
      <x:c r="E1632" s="2" t="n">
        <x:v>5</x:v>
      </x:c>
      <x:c r="F1632" s="2" t="n">
        <x:v>5</x:v>
      </x:c>
      <x:c r="G1632" s="14" t="n">
        <x:f>('레벨 계산식'!$E$4-E1632)*'레벨 계산식'!$B$5</x:f>
        <x:v>0</x:v>
      </x:c>
      <x:c r="H1632" s="14" t="n">
        <x:f>('등급 계산식'!$E$4-F1632)*'등급 계산식'!$B$5</x:f>
        <x:v>0</x:v>
      </x:c>
      <x:c r="I1632" s="14" t="n">
        <x:f>1-G1632-H1632</x:f>
        <x:v>1</x:v>
      </x:c>
      <x:c r="J1632" s="2" t="n">
        <x:f>MAX(1,ROUND('기준스탯 72종'!D72-R1632-Z1632,0))</x:f>
        <x:v>8</x:v>
      </x:c>
      <x:c r="K1632" s="2" t="n">
        <x:f>MAX(1,ROUND('기준스탯 72종'!E72-S1632-AA1632,0))</x:f>
        <x:v>6</x:v>
      </x:c>
      <x:c r="L1632" s="2" t="n">
        <x:f>MAX(1,ROUND('기준스탯 72종'!F72-T1632-AB1632,0))</x:f>
        <x:v>6</x:v>
      </x:c>
      <x:c r="M1632" s="2" t="n">
        <x:f>MAX(1,ROUND('기준스탯 72종'!G72-U1632-AC1632,0))</x:f>
        <x:v>10</x:v>
      </x:c>
      <x:c r="N1632" s="2" t="n">
        <x:f>MAX(0,ROUND('기준스탯 72종'!H72-V1632-AD1632,0))</x:f>
        <x:v>5</x:v>
      </x:c>
      <x:c r="O1632" s="2" t="n">
        <x:f>MAX(0,ROUND('기준스탯 72종'!I72-W1632-AE1632,0))</x:f>
        <x:v>5</x:v>
      </x:c>
      <x:c r="P1632" s="2" t="n">
        <x:f>MAX(0,ROUND('기준스탯 72종'!J72-X1632-AF1632,0))</x:f>
        <x:v>4</x:v>
      </x:c>
      <x:c r="Q1632" s="2" t="n">
        <x:f>MAX(0,ROUND('기준스탯 72종'!K72-Y1632-AG1632,0))</x:f>
        <x:v>2</x:v>
      </x:c>
      <x:c r="R1632" s="15" t="n">
        <x:f>'기준스탯 72종'!D72*G1632</x:f>
        <x:v>0</x:v>
      </x:c>
      <x:c r="S1632" s="15" t="n">
        <x:f>'기준스탯 72종'!E72*G1632</x:f>
        <x:v>0</x:v>
      </x:c>
      <x:c r="T1632" s="15" t="n">
        <x:f>'기준스탯 72종'!F72*G1632</x:f>
        <x:v>0</x:v>
      </x:c>
      <x:c r="U1632" s="15" t="n">
        <x:f>'기준스탯 72종'!G72*G1632</x:f>
        <x:v>0</x:v>
      </x:c>
      <x:c r="V1632" s="15" t="n">
        <x:f>'기준스탯 72종'!H72*G1632</x:f>
        <x:v>0</x:v>
      </x:c>
      <x:c r="W1632" s="15" t="n">
        <x:f>'기준스탯 72종'!I72*G1632</x:f>
        <x:v>0</x:v>
      </x:c>
      <x:c r="X1632" s="15" t="n">
        <x:f>'기준스탯 72종'!J72*G1632</x:f>
        <x:v>0</x:v>
      </x:c>
      <x:c r="Y1632" s="15" t="n">
        <x:f>'기준스탯 72종'!K72*G1632</x:f>
        <x:v>0</x:v>
      </x:c>
      <x:c r="Z1632" s="15" t="n">
        <x:f>'기준스탯 72종'!D72*H1632</x:f>
        <x:v>0</x:v>
      </x:c>
      <x:c r="AA1632" s="15" t="n">
        <x:f>'기준스탯 72종'!E72*H1632</x:f>
        <x:v>0</x:v>
      </x:c>
      <x:c r="AB1632" s="15" t="n">
        <x:f>'기준스탯 72종'!F72*H1632</x:f>
        <x:v>0</x:v>
      </x:c>
      <x:c r="AC1632" s="15" t="n">
        <x:f>'기준스탯 72종'!G72*H1632</x:f>
        <x:v>0</x:v>
      </x:c>
      <x:c r="AD1632" s="15" t="n">
        <x:f>'기준스탯 72종'!H72*H1632</x:f>
        <x:v>0</x:v>
      </x:c>
      <x:c r="AE1632" s="15" t="n">
        <x:f>'기준스탯 72종'!I72*H1632</x:f>
        <x:v>0</x:v>
      </x:c>
      <x:c r="AF1632" s="15" t="n">
        <x:f>'기준스탯 72종'!J72*H1632</x:f>
        <x:v>0</x:v>
      </x:c>
      <x:c r="AG1632" s="15" t="n">
        <x:f>'기준스탯 72종'!K72*H1632</x:f>
        <x:v>0</x:v>
      </x:c>
    </x:row>
    <x:row r="1633" ht="28" customHeight="1">
      <x:c r="A1633" s="2" t="n">
        <x:v>1626</x:v>
      </x:c>
      <x:c r="B1633" s="2" t="n">
        <x:v>66</x:v>
      </x:c>
      <x:c r="C1633" s="2" t="str">
        <x:v>물병자리</x:v>
      </x:c>
      <x:c r="D1633" s="2" t="str">
        <x:v>전사</x:v>
      </x:c>
      <x:c r="E1633" s="2" t="n">
        <x:v>1</x:v>
      </x:c>
      <x:c r="F1633" s="2" t="n">
        <x:v>1</x:v>
      </x:c>
      <x:c r="G1633" s="14" t="n">
        <x:f>('레벨 계산식'!$E$4-E1633)*'레벨 계산식'!$B$5</x:f>
        <x:v>0.5599999999999999</x:v>
      </x:c>
      <x:c r="H1633" s="14" t="n">
        <x:f>('등급 계산식'!$E$4-F1633)*'등급 계산식'!$B$5</x:f>
        <x:v>0.24000000000000005</x:v>
      </x:c>
      <x:c r="I1633" s="14" t="n">
        <x:f>1-G1633-H1633</x:f>
        <x:v>0.2</x:v>
      </x:c>
      <x:c r="J1633" s="2" t="n">
        <x:f>MAX(1,ROUND('기준스탯 72종'!D73-R1633-Z1633,0))</x:f>
        <x:v>2</x:v>
      </x:c>
      <x:c r="K1633" s="2" t="n">
        <x:f>MAX(1,ROUND('기준스탯 72종'!E73-S1633-AA1633,0))</x:f>
        <x:v>1</x:v>
      </x:c>
      <x:c r="L1633" s="2" t="n">
        <x:f>MAX(1,ROUND('기준스탯 72종'!F73-T1633-AB1633,0))</x:f>
        <x:v>1</x:v>
      </x:c>
      <x:c r="M1633" s="2" t="n">
        <x:f>MAX(1,ROUND('기준스탯 72종'!G73-U1633-AC1633,0))</x:f>
        <x:v>2</x:v>
      </x:c>
      <x:c r="N1633" s="2" t="n">
        <x:f>MAX(0,ROUND('기준스탯 72종'!H73-V1633-AD1633,0))</x:f>
        <x:v>1</x:v>
      </x:c>
      <x:c r="O1633" s="2" t="n">
        <x:f>MAX(0,ROUND('기준스탯 72종'!I73-W1633-AE1633,0))</x:f>
        <x:v>1</x:v>
      </x:c>
      <x:c r="P1633" s="2" t="n">
        <x:f>MAX(0,ROUND('기준스탯 72종'!J73-X1633-AF1633,0))</x:f>
        <x:v>1</x:v>
      </x:c>
      <x:c r="Q1633" s="2" t="n">
        <x:f>MAX(0,ROUND('기준스탯 72종'!K73-Y1633-AG1633,0))</x:f>
        <x:v>1</x:v>
      </x:c>
      <x:c r="R1633" s="15" t="n">
        <x:f>'기준스탯 72종'!D73*G1633</x:f>
        <x:v>4.4799999999999995</x:v>
      </x:c>
      <x:c r="S1633" s="15" t="n">
        <x:f>'기준스탯 72종'!E73*G1633</x:f>
        <x:v>3.9199999999999995</x:v>
      </x:c>
      <x:c r="T1633" s="15" t="n">
        <x:f>'기준스탯 72종'!F73*G1633</x:f>
        <x:v>3.9199999999999995</x:v>
      </x:c>
      <x:c r="U1633" s="15" t="n">
        <x:f>'기준스탯 72종'!G73*G1633</x:f>
        <x:v>5.039999999999999</x:v>
      </x:c>
      <x:c r="V1633" s="15" t="n">
        <x:f>'기준스탯 72종'!H73*G1633</x:f>
        <x:v>2.2399999999999998</x:v>
      </x:c>
      <x:c r="W1633" s="15" t="n">
        <x:f>'기준스탯 72종'!I73*G1633</x:f>
        <x:v>2.8</x:v>
      </x:c>
      <x:c r="X1633" s="15" t="n">
        <x:f>'기준스탯 72종'!J73*G1633</x:f>
        <x:v>2.2399999999999998</x:v>
      </x:c>
      <x:c r="Y1633" s="15" t="n">
        <x:f>'기준스탯 72종'!K73*G1633</x:f>
        <x:v>1.6799999999999997</x:v>
      </x:c>
      <x:c r="Z1633" s="15" t="n">
        <x:f>'기준스탯 72종'!D73*H1633</x:f>
        <x:v>1.9200000000000004</x:v>
      </x:c>
      <x:c r="AA1633" s="15" t="n">
        <x:f>'기준스탯 72종'!E73*H1633</x:f>
        <x:v>1.6800000000000004</x:v>
      </x:c>
      <x:c r="AB1633" s="15" t="n">
        <x:f>'기준스탯 72종'!F73*H1633</x:f>
        <x:v>1.6800000000000004</x:v>
      </x:c>
      <x:c r="AC1633" s="15" t="n">
        <x:f>'기준스탯 72종'!G73*H1633</x:f>
        <x:v>2.1600000000000006</x:v>
      </x:c>
      <x:c r="AD1633" s="15" t="n">
        <x:f>'기준스탯 72종'!H73*H1633</x:f>
        <x:v>0.9600000000000002</x:v>
      </x:c>
      <x:c r="AE1633" s="15" t="n">
        <x:f>'기준스탯 72종'!I73*H1633</x:f>
        <x:v>1.2000000000000002</x:v>
      </x:c>
      <x:c r="AF1633" s="15" t="n">
        <x:f>'기준스탯 72종'!J73*H1633</x:f>
        <x:v>0.9600000000000002</x:v>
      </x:c>
      <x:c r="AG1633" s="15" t="n">
        <x:f>'기준스탯 72종'!K73*H1633</x:f>
        <x:v>0.7200000000000002</x:v>
      </x:c>
    </x:row>
    <x:row r="1634" ht="28" customHeight="1">
      <x:c r="A1634" s="2" t="n">
        <x:v>1627</x:v>
      </x:c>
      <x:c r="B1634" s="2" t="n">
        <x:v>66</x:v>
      </x:c>
      <x:c r="C1634" s="2" t="str">
        <x:v>물병자리</x:v>
      </x:c>
      <x:c r="D1634" s="2" t="str">
        <x:v>전사</x:v>
      </x:c>
      <x:c r="E1634" s="2" t="n">
        <x:v>2</x:v>
      </x:c>
      <x:c r="F1634" s="2" t="n">
        <x:v>1</x:v>
      </x:c>
      <x:c r="G1634" s="14" t="n">
        <x:f>('레벨 계산식'!$E$4-E1634)*'레벨 계산식'!$B$5</x:f>
        <x:v>0.41999999999999993</x:v>
      </x:c>
      <x:c r="H1634" s="14" t="n">
        <x:f>('등급 계산식'!$E$4-F1634)*'등급 계산식'!$B$5</x:f>
        <x:v>0.24000000000000005</x:v>
      </x:c>
      <x:c r="I1634" s="14" t="n">
        <x:f>1-G1634-H1634</x:f>
        <x:v>0.34</x:v>
      </x:c>
      <x:c r="J1634" s="2" t="n">
        <x:f>MAX(1,ROUND('기준스탯 72종'!D73-R1634-Z1634,0))</x:f>
        <x:v>3</x:v>
      </x:c>
      <x:c r="K1634" s="2" t="n">
        <x:f>MAX(1,ROUND('기준스탯 72종'!E73-S1634-AA1634,0))</x:f>
        <x:v>2</x:v>
      </x:c>
      <x:c r="L1634" s="2" t="n">
        <x:f>MAX(1,ROUND('기준스탯 72종'!F73-T1634-AB1634,0))</x:f>
        <x:v>2</x:v>
      </x:c>
      <x:c r="M1634" s="2" t="n">
        <x:f>MAX(1,ROUND('기준스탯 72종'!G73-U1634-AC1634,0))</x:f>
        <x:v>3</x:v>
      </x:c>
      <x:c r="N1634" s="2" t="n">
        <x:f>MAX(0,ROUND('기준스탯 72종'!H73-V1634-AD1634,0))</x:f>
        <x:v>1</x:v>
      </x:c>
      <x:c r="O1634" s="2" t="n">
        <x:f>MAX(0,ROUND('기준스탯 72종'!I73-W1634-AE1634,0))</x:f>
        <x:v>2</x:v>
      </x:c>
      <x:c r="P1634" s="2" t="n">
        <x:f>MAX(0,ROUND('기준스탯 72종'!J73-X1634-AF1634,0))</x:f>
        <x:v>1</x:v>
      </x:c>
      <x:c r="Q1634" s="2" t="n">
        <x:f>MAX(0,ROUND('기준스탯 72종'!K73-Y1634-AG1634,0))</x:f>
        <x:v>1</x:v>
      </x:c>
      <x:c r="R1634" s="15" t="n">
        <x:f>'기준스탯 72종'!D73*G1634</x:f>
        <x:v>3.3599999999999994</x:v>
      </x:c>
      <x:c r="S1634" s="15" t="n">
        <x:f>'기준스탯 72종'!E73*G1634</x:f>
        <x:v>2.9399999999999995</x:v>
      </x:c>
      <x:c r="T1634" s="15" t="n">
        <x:f>'기준스탯 72종'!F73*G1634</x:f>
        <x:v>2.9399999999999995</x:v>
      </x:c>
      <x:c r="U1634" s="15" t="n">
        <x:f>'기준스탯 72종'!G73*G1634</x:f>
        <x:v>3.7799999999999994</x:v>
      </x:c>
      <x:c r="V1634" s="15" t="n">
        <x:f>'기준스탯 72종'!H73*G1634</x:f>
        <x:v>1.6799999999999997</x:v>
      </x:c>
      <x:c r="W1634" s="15" t="n">
        <x:f>'기준스탯 72종'!I73*G1634</x:f>
        <x:v>2.0999999999999996</x:v>
      </x:c>
      <x:c r="X1634" s="15" t="n">
        <x:f>'기준스탯 72종'!J73*G1634</x:f>
        <x:v>1.6799999999999997</x:v>
      </x:c>
      <x:c r="Y1634" s="15" t="n">
        <x:f>'기준스탯 72종'!K73*G1634</x:f>
        <x:v>1.2599999999999998</x:v>
      </x:c>
      <x:c r="Z1634" s="15" t="n">
        <x:f>'기준스탯 72종'!D73*H1634</x:f>
        <x:v>1.9200000000000004</x:v>
      </x:c>
      <x:c r="AA1634" s="15" t="n">
        <x:f>'기준스탯 72종'!E73*H1634</x:f>
        <x:v>1.6800000000000004</x:v>
      </x:c>
      <x:c r="AB1634" s="15" t="n">
        <x:f>'기준스탯 72종'!F73*H1634</x:f>
        <x:v>1.6800000000000004</x:v>
      </x:c>
      <x:c r="AC1634" s="15" t="n">
        <x:f>'기준스탯 72종'!G73*H1634</x:f>
        <x:v>2.1600000000000006</x:v>
      </x:c>
      <x:c r="AD1634" s="15" t="n">
        <x:f>'기준스탯 72종'!H73*H1634</x:f>
        <x:v>0.9600000000000002</x:v>
      </x:c>
      <x:c r="AE1634" s="15" t="n">
        <x:f>'기준스탯 72종'!I73*H1634</x:f>
        <x:v>1.2000000000000002</x:v>
      </x:c>
      <x:c r="AF1634" s="15" t="n">
        <x:f>'기준스탯 72종'!J73*H1634</x:f>
        <x:v>0.9600000000000002</x:v>
      </x:c>
      <x:c r="AG1634" s="15" t="n">
        <x:f>'기준스탯 72종'!K73*H1634</x:f>
        <x:v>0.7200000000000002</x:v>
      </x:c>
    </x:row>
    <x:row r="1635" ht="28" customHeight="1">
      <x:c r="A1635" s="2" t="n">
        <x:v>1628</x:v>
      </x:c>
      <x:c r="B1635" s="2" t="n">
        <x:v>66</x:v>
      </x:c>
      <x:c r="C1635" s="2" t="str">
        <x:v>물병자리</x:v>
      </x:c>
      <x:c r="D1635" s="2" t="str">
        <x:v>전사</x:v>
      </x:c>
      <x:c r="E1635" s="2" t="n">
        <x:v>3</x:v>
      </x:c>
      <x:c r="F1635" s="2" t="n">
        <x:v>1</x:v>
      </x:c>
      <x:c r="G1635" s="14" t="n">
        <x:f>('레벨 계산식'!$E$4-E1635)*'레벨 계산식'!$B$5</x:f>
        <x:v>0.27999999999999997</x:v>
      </x:c>
      <x:c r="H1635" s="14" t="n">
        <x:f>('등급 계산식'!$E$4-F1635)*'등급 계산식'!$B$5</x:f>
        <x:v>0.24000000000000005</x:v>
      </x:c>
      <x:c r="I1635" s="14" t="n">
        <x:f>1-G1635-H1635</x:f>
        <x:v>0.4799999999999999</x:v>
      </x:c>
      <x:c r="J1635" s="2" t="n">
        <x:f>MAX(1,ROUND('기준스탯 72종'!D73-R1635-Z1635,0))</x:f>
        <x:v>4</x:v>
      </x:c>
      <x:c r="K1635" s="2" t="n">
        <x:f>MAX(1,ROUND('기준스탯 72종'!E73-S1635-AA1635,0))</x:f>
        <x:v>3</x:v>
      </x:c>
      <x:c r="L1635" s="2" t="n">
        <x:f>MAX(1,ROUND('기준스탯 72종'!F73-T1635-AB1635,0))</x:f>
        <x:v>3</x:v>
      </x:c>
      <x:c r="M1635" s="2" t="n">
        <x:f>MAX(1,ROUND('기준스탯 72종'!G73-U1635-AC1635,0))</x:f>
        <x:v>4</x:v>
      </x:c>
      <x:c r="N1635" s="2" t="n">
        <x:f>MAX(0,ROUND('기준스탯 72종'!H73-V1635-AD1635,0))</x:f>
        <x:v>2</x:v>
      </x:c>
      <x:c r="O1635" s="2" t="n">
        <x:f>MAX(0,ROUND('기준스탯 72종'!I73-W1635-AE1635,0))</x:f>
        <x:v>2</x:v>
      </x:c>
      <x:c r="P1635" s="2" t="n">
        <x:f>MAX(0,ROUND('기준스탯 72종'!J73-X1635-AF1635,0))</x:f>
        <x:v>2</x:v>
      </x:c>
      <x:c r="Q1635" s="2" t="n">
        <x:f>MAX(0,ROUND('기준스탯 72종'!K73-Y1635-AG1635,0))</x:f>
        <x:v>1</x:v>
      </x:c>
      <x:c r="R1635" s="15" t="n">
        <x:f>'기준스탯 72종'!D73*G1635</x:f>
        <x:v>2.2399999999999998</x:v>
      </x:c>
      <x:c r="S1635" s="15" t="n">
        <x:f>'기준스탯 72종'!E73*G1635</x:f>
        <x:v>1.9599999999999997</x:v>
      </x:c>
      <x:c r="T1635" s="15" t="n">
        <x:f>'기준스탯 72종'!F73*G1635</x:f>
        <x:v>1.9599999999999997</x:v>
      </x:c>
      <x:c r="U1635" s="15" t="n">
        <x:f>'기준스탯 72종'!G73*G1635</x:f>
        <x:v>2.5199999999999996</x:v>
      </x:c>
      <x:c r="V1635" s="15" t="n">
        <x:f>'기준스탯 72종'!H73*G1635</x:f>
        <x:v>1.1199999999999999</x:v>
      </x:c>
      <x:c r="W1635" s="15" t="n">
        <x:f>'기준스탯 72종'!I73*G1635</x:f>
        <x:v>1.4</x:v>
      </x:c>
      <x:c r="X1635" s="15" t="n">
        <x:f>'기준스탯 72종'!J73*G1635</x:f>
        <x:v>1.1199999999999999</x:v>
      </x:c>
      <x:c r="Y1635" s="15" t="n">
        <x:f>'기준스탯 72종'!K73*G1635</x:f>
        <x:v>0.8399999999999999</x:v>
      </x:c>
      <x:c r="Z1635" s="15" t="n">
        <x:f>'기준스탯 72종'!D73*H1635</x:f>
        <x:v>1.9200000000000004</x:v>
      </x:c>
      <x:c r="AA1635" s="15" t="n">
        <x:f>'기준스탯 72종'!E73*H1635</x:f>
        <x:v>1.6800000000000004</x:v>
      </x:c>
      <x:c r="AB1635" s="15" t="n">
        <x:f>'기준스탯 72종'!F73*H1635</x:f>
        <x:v>1.6800000000000004</x:v>
      </x:c>
      <x:c r="AC1635" s="15" t="n">
        <x:f>'기준스탯 72종'!G73*H1635</x:f>
        <x:v>2.1600000000000006</x:v>
      </x:c>
      <x:c r="AD1635" s="15" t="n">
        <x:f>'기준스탯 72종'!H73*H1635</x:f>
        <x:v>0.9600000000000002</x:v>
      </x:c>
      <x:c r="AE1635" s="15" t="n">
        <x:f>'기준스탯 72종'!I73*H1635</x:f>
        <x:v>1.2000000000000002</x:v>
      </x:c>
      <x:c r="AF1635" s="15" t="n">
        <x:f>'기준스탯 72종'!J73*H1635</x:f>
        <x:v>0.9600000000000002</x:v>
      </x:c>
      <x:c r="AG1635" s="15" t="n">
        <x:f>'기준스탯 72종'!K73*H1635</x:f>
        <x:v>0.7200000000000002</x:v>
      </x:c>
    </x:row>
    <x:row r="1636" ht="28" customHeight="1">
      <x:c r="A1636" s="2" t="n">
        <x:v>1629</x:v>
      </x:c>
      <x:c r="B1636" s="2" t="n">
        <x:v>66</x:v>
      </x:c>
      <x:c r="C1636" s="2" t="str">
        <x:v>물병자리</x:v>
      </x:c>
      <x:c r="D1636" s="2" t="str">
        <x:v>전사</x:v>
      </x:c>
      <x:c r="E1636" s="2" t="n">
        <x:v>4</x:v>
      </x:c>
      <x:c r="F1636" s="2" t="n">
        <x:v>1</x:v>
      </x:c>
      <x:c r="G1636" s="14" t="n">
        <x:f>('레벨 계산식'!$E$4-E1636)*'레벨 계산식'!$B$5</x:f>
        <x:v>0.13999999999999999</x:v>
      </x:c>
      <x:c r="H1636" s="14" t="n">
        <x:f>('등급 계산식'!$E$4-F1636)*'등급 계산식'!$B$5</x:f>
        <x:v>0.24000000000000005</x:v>
      </x:c>
      <x:c r="I1636" s="14" t="n">
        <x:f>1-G1636-H1636</x:f>
        <x:v>0.6199999999999999</x:v>
      </x:c>
      <x:c r="J1636" s="2" t="n">
        <x:f>MAX(1,ROUND('기준스탯 72종'!D73-R1636-Z1636,0))</x:f>
        <x:v>5</x:v>
      </x:c>
      <x:c r="K1636" s="2" t="n">
        <x:f>MAX(1,ROUND('기준스탯 72종'!E73-S1636-AA1636,0))</x:f>
        <x:v>4</x:v>
      </x:c>
      <x:c r="L1636" s="2" t="n">
        <x:f>MAX(1,ROUND('기준스탯 72종'!F73-T1636-AB1636,0))</x:f>
        <x:v>4</x:v>
      </x:c>
      <x:c r="M1636" s="2" t="n">
        <x:f>MAX(1,ROUND('기준스탯 72종'!G73-U1636-AC1636,0))</x:f>
        <x:v>6</x:v>
      </x:c>
      <x:c r="N1636" s="2" t="n">
        <x:f>MAX(0,ROUND('기준스탯 72종'!H73-V1636-AD1636,0))</x:f>
        <x:v>2</x:v>
      </x:c>
      <x:c r="O1636" s="2" t="n">
        <x:f>MAX(0,ROUND('기준스탯 72종'!I73-W1636-AE1636,0))</x:f>
        <x:v>3</x:v>
      </x:c>
      <x:c r="P1636" s="2" t="n">
        <x:f>MAX(0,ROUND('기준스탯 72종'!J73-X1636-AF1636,0))</x:f>
        <x:v>2</x:v>
      </x:c>
      <x:c r="Q1636" s="2" t="n">
        <x:f>MAX(0,ROUND('기준스탯 72종'!K73-Y1636-AG1636,0))</x:f>
        <x:v>2</x:v>
      </x:c>
      <x:c r="R1636" s="15" t="n">
        <x:f>'기준스탯 72종'!D73*G1636</x:f>
        <x:v>1.1199999999999999</x:v>
      </x:c>
      <x:c r="S1636" s="15" t="n">
        <x:f>'기준스탯 72종'!E73*G1636</x:f>
        <x:v>0.9799999999999999</x:v>
      </x:c>
      <x:c r="T1636" s="15" t="n">
        <x:f>'기준스탯 72종'!F73*G1636</x:f>
        <x:v>0.9799999999999999</x:v>
      </x:c>
      <x:c r="U1636" s="15" t="n">
        <x:f>'기준스탯 72종'!G73*G1636</x:f>
        <x:v>1.2599999999999998</x:v>
      </x:c>
      <x:c r="V1636" s="15" t="n">
        <x:f>'기준스탯 72종'!H73*G1636</x:f>
        <x:v>0.5599999999999999</x:v>
      </x:c>
      <x:c r="W1636" s="15" t="n">
        <x:f>'기준스탯 72종'!I73*G1636</x:f>
        <x:v>0.7</x:v>
      </x:c>
      <x:c r="X1636" s="15" t="n">
        <x:f>'기준스탯 72종'!J73*G1636</x:f>
        <x:v>0.5599999999999999</x:v>
      </x:c>
      <x:c r="Y1636" s="15" t="n">
        <x:f>'기준스탯 72종'!K73*G1636</x:f>
        <x:v>0.41999999999999993</x:v>
      </x:c>
      <x:c r="Z1636" s="15" t="n">
        <x:f>'기준스탯 72종'!D73*H1636</x:f>
        <x:v>1.9200000000000004</x:v>
      </x:c>
      <x:c r="AA1636" s="15" t="n">
        <x:f>'기준스탯 72종'!E73*H1636</x:f>
        <x:v>1.6800000000000004</x:v>
      </x:c>
      <x:c r="AB1636" s="15" t="n">
        <x:f>'기준스탯 72종'!F73*H1636</x:f>
        <x:v>1.6800000000000004</x:v>
      </x:c>
      <x:c r="AC1636" s="15" t="n">
        <x:f>'기준스탯 72종'!G73*H1636</x:f>
        <x:v>2.1600000000000006</x:v>
      </x:c>
      <x:c r="AD1636" s="15" t="n">
        <x:f>'기준스탯 72종'!H73*H1636</x:f>
        <x:v>0.9600000000000002</x:v>
      </x:c>
      <x:c r="AE1636" s="15" t="n">
        <x:f>'기준스탯 72종'!I73*H1636</x:f>
        <x:v>1.2000000000000002</x:v>
      </x:c>
      <x:c r="AF1636" s="15" t="n">
        <x:f>'기준스탯 72종'!J73*H1636</x:f>
        <x:v>0.9600000000000002</x:v>
      </x:c>
      <x:c r="AG1636" s="15" t="n">
        <x:f>'기준스탯 72종'!K73*H1636</x:f>
        <x:v>0.7200000000000002</x:v>
      </x:c>
    </x:row>
    <x:row r="1637" ht="28" customHeight="1">
      <x:c r="A1637" s="2" t="n">
        <x:v>1630</x:v>
      </x:c>
      <x:c r="B1637" s="2" t="n">
        <x:v>66</x:v>
      </x:c>
      <x:c r="C1637" s="2" t="str">
        <x:v>물병자리</x:v>
      </x:c>
      <x:c r="D1637" s="2" t="str">
        <x:v>전사</x:v>
      </x:c>
      <x:c r="E1637" s="2" t="n">
        <x:v>5</x:v>
      </x:c>
      <x:c r="F1637" s="2" t="n">
        <x:v>1</x:v>
      </x:c>
      <x:c r="G1637" s="14" t="n">
        <x:f>('레벨 계산식'!$E$4-E1637)*'레벨 계산식'!$B$5</x:f>
        <x:v>0</x:v>
      </x:c>
      <x:c r="H1637" s="14" t="n">
        <x:f>('등급 계산식'!$E$4-F1637)*'등급 계산식'!$B$5</x:f>
        <x:v>0.24000000000000005</x:v>
      </x:c>
      <x:c r="I1637" s="14" t="n">
        <x:f>1-G1637-H1637</x:f>
        <x:v>0.76</x:v>
      </x:c>
      <x:c r="J1637" s="2" t="n">
        <x:f>MAX(1,ROUND('기준스탯 72종'!D73-R1637-Z1637,0))</x:f>
        <x:v>6</x:v>
      </x:c>
      <x:c r="K1637" s="2" t="n">
        <x:f>MAX(1,ROUND('기준스탯 72종'!E73-S1637-AA1637,0))</x:f>
        <x:v>5</x:v>
      </x:c>
      <x:c r="L1637" s="2" t="n">
        <x:f>MAX(1,ROUND('기준스탯 72종'!F73-T1637-AB1637,0))</x:f>
        <x:v>5</x:v>
      </x:c>
      <x:c r="M1637" s="2" t="n">
        <x:f>MAX(1,ROUND('기준스탯 72종'!G73-U1637-AC1637,0))</x:f>
        <x:v>7</x:v>
      </x:c>
      <x:c r="N1637" s="2" t="n">
        <x:f>MAX(0,ROUND('기준스탯 72종'!H73-V1637-AD1637,0))</x:f>
        <x:v>3</x:v>
      </x:c>
      <x:c r="O1637" s="2" t="n">
        <x:f>MAX(0,ROUND('기준스탯 72종'!I73-W1637-AE1637,0))</x:f>
        <x:v>4</x:v>
      </x:c>
      <x:c r="P1637" s="2" t="n">
        <x:f>MAX(0,ROUND('기준스탯 72종'!J73-X1637-AF1637,0))</x:f>
        <x:v>3</x:v>
      </x:c>
      <x:c r="Q1637" s="2" t="n">
        <x:f>MAX(0,ROUND('기준스탯 72종'!K73-Y1637-AG1637,0))</x:f>
        <x:v>2</x:v>
      </x:c>
      <x:c r="R1637" s="15" t="n">
        <x:f>'기준스탯 72종'!D73*G1637</x:f>
        <x:v>0</x:v>
      </x:c>
      <x:c r="S1637" s="15" t="n">
        <x:f>'기준스탯 72종'!E73*G1637</x:f>
        <x:v>0</x:v>
      </x:c>
      <x:c r="T1637" s="15" t="n">
        <x:f>'기준스탯 72종'!F73*G1637</x:f>
        <x:v>0</x:v>
      </x:c>
      <x:c r="U1637" s="15" t="n">
        <x:f>'기준스탯 72종'!G73*G1637</x:f>
        <x:v>0</x:v>
      </x:c>
      <x:c r="V1637" s="15" t="n">
        <x:f>'기준스탯 72종'!H73*G1637</x:f>
        <x:v>0</x:v>
      </x:c>
      <x:c r="W1637" s="15" t="n">
        <x:f>'기준스탯 72종'!I73*G1637</x:f>
        <x:v>0</x:v>
      </x:c>
      <x:c r="X1637" s="15" t="n">
        <x:f>'기준스탯 72종'!J73*G1637</x:f>
        <x:v>0</x:v>
      </x:c>
      <x:c r="Y1637" s="15" t="n">
        <x:f>'기준스탯 72종'!K73*G1637</x:f>
        <x:v>0</x:v>
      </x:c>
      <x:c r="Z1637" s="15" t="n">
        <x:f>'기준스탯 72종'!D73*H1637</x:f>
        <x:v>1.9200000000000004</x:v>
      </x:c>
      <x:c r="AA1637" s="15" t="n">
        <x:f>'기준스탯 72종'!E73*H1637</x:f>
        <x:v>1.6800000000000004</x:v>
      </x:c>
      <x:c r="AB1637" s="15" t="n">
        <x:f>'기준스탯 72종'!F73*H1637</x:f>
        <x:v>1.6800000000000004</x:v>
      </x:c>
      <x:c r="AC1637" s="15" t="n">
        <x:f>'기준스탯 72종'!G73*H1637</x:f>
        <x:v>2.1600000000000006</x:v>
      </x:c>
      <x:c r="AD1637" s="15" t="n">
        <x:f>'기준스탯 72종'!H73*H1637</x:f>
        <x:v>0.9600000000000002</x:v>
      </x:c>
      <x:c r="AE1637" s="15" t="n">
        <x:f>'기준스탯 72종'!I73*H1637</x:f>
        <x:v>1.2000000000000002</x:v>
      </x:c>
      <x:c r="AF1637" s="15" t="n">
        <x:f>'기준스탯 72종'!J73*H1637</x:f>
        <x:v>0.9600000000000002</x:v>
      </x:c>
      <x:c r="AG1637" s="15" t="n">
        <x:f>'기준스탯 72종'!K73*H1637</x:f>
        <x:v>0.7200000000000002</x:v>
      </x:c>
    </x:row>
    <x:row r="1638" ht="28" customHeight="1">
      <x:c r="A1638" s="2" t="n">
        <x:v>1631</x:v>
      </x:c>
      <x:c r="B1638" s="2" t="n">
        <x:v>66</x:v>
      </x:c>
      <x:c r="C1638" s="2" t="str">
        <x:v>물병자리</x:v>
      </x:c>
      <x:c r="D1638" s="2" t="str">
        <x:v>전사</x:v>
      </x:c>
      <x:c r="E1638" s="2" t="n">
        <x:v>1</x:v>
      </x:c>
      <x:c r="F1638" s="2" t="n">
        <x:v>2</x:v>
      </x:c>
      <x:c r="G1638" s="14" t="n">
        <x:f>('레벨 계산식'!$E$4-E1638)*'레벨 계산식'!$B$5</x:f>
        <x:v>0.5599999999999999</x:v>
      </x:c>
      <x:c r="H1638" s="14" t="n">
        <x:f>('등급 계산식'!$E$4-F1638)*'등급 계산식'!$B$5</x:f>
        <x:v>0.18000000000000005</x:v>
      </x:c>
      <x:c r="I1638" s="14" t="n">
        <x:f>1-G1638-H1638</x:f>
        <x:v>0.26</x:v>
      </x:c>
      <x:c r="J1638" s="2" t="n">
        <x:f>MAX(1,ROUND('기준스탯 72종'!D73-R1638-Z1638,0))</x:f>
        <x:v>2</x:v>
      </x:c>
      <x:c r="K1638" s="2" t="n">
        <x:f>MAX(1,ROUND('기준스탯 72종'!E73-S1638-AA1638,0))</x:f>
        <x:v>2</x:v>
      </x:c>
      <x:c r="L1638" s="2" t="n">
        <x:f>MAX(1,ROUND('기준스탯 72종'!F73-T1638-AB1638,0))</x:f>
        <x:v>2</x:v>
      </x:c>
      <x:c r="M1638" s="2" t="n">
        <x:f>MAX(1,ROUND('기준스탯 72종'!G73-U1638-AC1638,0))</x:f>
        <x:v>2</x:v>
      </x:c>
      <x:c r="N1638" s="2" t="n">
        <x:f>MAX(0,ROUND('기준스탯 72종'!H73-V1638-AD1638,0))</x:f>
        <x:v>1</x:v>
      </x:c>
      <x:c r="O1638" s="2" t="n">
        <x:f>MAX(0,ROUND('기준스탯 72종'!I73-W1638-AE1638,0))</x:f>
        <x:v>1</x:v>
      </x:c>
      <x:c r="P1638" s="2" t="n">
        <x:f>MAX(0,ROUND('기준스탯 72종'!J73-X1638-AF1638,0))</x:f>
        <x:v>1</x:v>
      </x:c>
      <x:c r="Q1638" s="2" t="n">
        <x:f>MAX(0,ROUND('기준스탯 72종'!K73-Y1638-AG1638,0))</x:f>
        <x:v>1</x:v>
      </x:c>
      <x:c r="R1638" s="15" t="n">
        <x:f>'기준스탯 72종'!D73*G1638</x:f>
        <x:v>4.4799999999999995</x:v>
      </x:c>
      <x:c r="S1638" s="15" t="n">
        <x:f>'기준스탯 72종'!E73*G1638</x:f>
        <x:v>3.9199999999999995</x:v>
      </x:c>
      <x:c r="T1638" s="15" t="n">
        <x:f>'기준스탯 72종'!F73*G1638</x:f>
        <x:v>3.9199999999999995</x:v>
      </x:c>
      <x:c r="U1638" s="15" t="n">
        <x:f>'기준스탯 72종'!G73*G1638</x:f>
        <x:v>5.039999999999999</x:v>
      </x:c>
      <x:c r="V1638" s="15" t="n">
        <x:f>'기준스탯 72종'!H73*G1638</x:f>
        <x:v>2.2399999999999998</x:v>
      </x:c>
      <x:c r="W1638" s="15" t="n">
        <x:f>'기준스탯 72종'!I73*G1638</x:f>
        <x:v>2.8</x:v>
      </x:c>
      <x:c r="X1638" s="15" t="n">
        <x:f>'기준스탯 72종'!J73*G1638</x:f>
        <x:v>2.2399999999999998</x:v>
      </x:c>
      <x:c r="Y1638" s="15" t="n">
        <x:f>'기준스탯 72종'!K73*G1638</x:f>
        <x:v>1.6799999999999997</x:v>
      </x:c>
      <x:c r="Z1638" s="15" t="n">
        <x:f>'기준스탯 72종'!D73*H1638</x:f>
        <x:v>1.4400000000000004</x:v>
      </x:c>
      <x:c r="AA1638" s="15" t="n">
        <x:f>'기준스탯 72종'!E73*H1638</x:f>
        <x:v>1.2600000000000002</x:v>
      </x:c>
      <x:c r="AB1638" s="15" t="n">
        <x:f>'기준스탯 72종'!F73*H1638</x:f>
        <x:v>1.2600000000000002</x:v>
      </x:c>
      <x:c r="AC1638" s="15" t="n">
        <x:f>'기준스탯 72종'!G73*H1638</x:f>
        <x:v>1.6200000000000006</x:v>
      </x:c>
      <x:c r="AD1638" s="15" t="n">
        <x:f>'기준스탯 72종'!H73*H1638</x:f>
        <x:v>0.7200000000000002</x:v>
      </x:c>
      <x:c r="AE1638" s="15" t="n">
        <x:f>'기준스탯 72종'!I73*H1638</x:f>
        <x:v>0.9000000000000002</x:v>
      </x:c>
      <x:c r="AF1638" s="15" t="n">
        <x:f>'기준스탯 72종'!J73*H1638</x:f>
        <x:v>0.7200000000000002</x:v>
      </x:c>
      <x:c r="AG1638" s="15" t="n">
        <x:f>'기준스탯 72종'!K73*H1638</x:f>
        <x:v>0.5400000000000001</x:v>
      </x:c>
    </x:row>
    <x:row r="1639" ht="28" customHeight="1">
      <x:c r="A1639" s="2" t="n">
        <x:v>1632</x:v>
      </x:c>
      <x:c r="B1639" s="2" t="n">
        <x:v>66</x:v>
      </x:c>
      <x:c r="C1639" s="2" t="str">
        <x:v>물병자리</x:v>
      </x:c>
      <x:c r="D1639" s="2" t="str">
        <x:v>전사</x:v>
      </x:c>
      <x:c r="E1639" s="2" t="n">
        <x:v>2</x:v>
      </x:c>
      <x:c r="F1639" s="2" t="n">
        <x:v>2</x:v>
      </x:c>
      <x:c r="G1639" s="14" t="n">
        <x:f>('레벨 계산식'!$E$4-E1639)*'레벨 계산식'!$B$5</x:f>
        <x:v>0.41999999999999993</x:v>
      </x:c>
      <x:c r="H1639" s="14" t="n">
        <x:f>('등급 계산식'!$E$4-F1639)*'등급 계산식'!$B$5</x:f>
        <x:v>0.18000000000000005</x:v>
      </x:c>
      <x:c r="I1639" s="14" t="n">
        <x:f>1-G1639-H1639</x:f>
        <x:v>0.4</x:v>
      </x:c>
      <x:c r="J1639" s="2" t="n">
        <x:f>MAX(1,ROUND('기준스탯 72종'!D73-R1639-Z1639,0))</x:f>
        <x:v>3</x:v>
      </x:c>
      <x:c r="K1639" s="2" t="n">
        <x:f>MAX(1,ROUND('기준스탯 72종'!E73-S1639-AA1639,0))</x:f>
        <x:v>3</x:v>
      </x:c>
      <x:c r="L1639" s="2" t="n">
        <x:f>MAX(1,ROUND('기준스탯 72종'!F73-T1639-AB1639,0))</x:f>
        <x:v>3</x:v>
      </x:c>
      <x:c r="M1639" s="2" t="n">
        <x:f>MAX(1,ROUND('기준스탯 72종'!G73-U1639-AC1639,0))</x:f>
        <x:v>4</x:v>
      </x:c>
      <x:c r="N1639" s="2" t="n">
        <x:f>MAX(0,ROUND('기준스탯 72종'!H73-V1639-AD1639,0))</x:f>
        <x:v>2</x:v>
      </x:c>
      <x:c r="O1639" s="2" t="n">
        <x:f>MAX(0,ROUND('기준스탯 72종'!I73-W1639-AE1639,0))</x:f>
        <x:v>2</x:v>
      </x:c>
      <x:c r="P1639" s="2" t="n">
        <x:f>MAX(0,ROUND('기준스탯 72종'!J73-X1639-AF1639,0))</x:f>
        <x:v>2</x:v>
      </x:c>
      <x:c r="Q1639" s="2" t="n">
        <x:f>MAX(0,ROUND('기준스탯 72종'!K73-Y1639-AG1639,0))</x:f>
        <x:v>1</x:v>
      </x:c>
      <x:c r="R1639" s="15" t="n">
        <x:f>'기준스탯 72종'!D73*G1639</x:f>
        <x:v>3.3599999999999994</x:v>
      </x:c>
      <x:c r="S1639" s="15" t="n">
        <x:f>'기준스탯 72종'!E73*G1639</x:f>
        <x:v>2.9399999999999995</x:v>
      </x:c>
      <x:c r="T1639" s="15" t="n">
        <x:f>'기준스탯 72종'!F73*G1639</x:f>
        <x:v>2.9399999999999995</x:v>
      </x:c>
      <x:c r="U1639" s="15" t="n">
        <x:f>'기준스탯 72종'!G73*G1639</x:f>
        <x:v>3.7799999999999994</x:v>
      </x:c>
      <x:c r="V1639" s="15" t="n">
        <x:f>'기준스탯 72종'!H73*G1639</x:f>
        <x:v>1.6799999999999997</x:v>
      </x:c>
      <x:c r="W1639" s="15" t="n">
        <x:f>'기준스탯 72종'!I73*G1639</x:f>
        <x:v>2.0999999999999996</x:v>
      </x:c>
      <x:c r="X1639" s="15" t="n">
        <x:f>'기준스탯 72종'!J73*G1639</x:f>
        <x:v>1.6799999999999997</x:v>
      </x:c>
      <x:c r="Y1639" s="15" t="n">
        <x:f>'기준스탯 72종'!K73*G1639</x:f>
        <x:v>1.2599999999999998</x:v>
      </x:c>
      <x:c r="Z1639" s="15" t="n">
        <x:f>'기준스탯 72종'!D73*H1639</x:f>
        <x:v>1.4400000000000004</x:v>
      </x:c>
      <x:c r="AA1639" s="15" t="n">
        <x:f>'기준스탯 72종'!E73*H1639</x:f>
        <x:v>1.2600000000000002</x:v>
      </x:c>
      <x:c r="AB1639" s="15" t="n">
        <x:f>'기준스탯 72종'!F73*H1639</x:f>
        <x:v>1.2600000000000002</x:v>
      </x:c>
      <x:c r="AC1639" s="15" t="n">
        <x:f>'기준스탯 72종'!G73*H1639</x:f>
        <x:v>1.6200000000000006</x:v>
      </x:c>
      <x:c r="AD1639" s="15" t="n">
        <x:f>'기준스탯 72종'!H73*H1639</x:f>
        <x:v>0.7200000000000002</x:v>
      </x:c>
      <x:c r="AE1639" s="15" t="n">
        <x:f>'기준스탯 72종'!I73*H1639</x:f>
        <x:v>0.9000000000000002</x:v>
      </x:c>
      <x:c r="AF1639" s="15" t="n">
        <x:f>'기준스탯 72종'!J73*H1639</x:f>
        <x:v>0.7200000000000002</x:v>
      </x:c>
      <x:c r="AG1639" s="15" t="n">
        <x:f>'기준스탯 72종'!K73*H1639</x:f>
        <x:v>0.5400000000000001</x:v>
      </x:c>
    </x:row>
    <x:row r="1640" ht="28" customHeight="1">
      <x:c r="A1640" s="2" t="n">
        <x:v>1633</x:v>
      </x:c>
      <x:c r="B1640" s="2" t="n">
        <x:v>66</x:v>
      </x:c>
      <x:c r="C1640" s="2" t="str">
        <x:v>물병자리</x:v>
      </x:c>
      <x:c r="D1640" s="2" t="str">
        <x:v>전사</x:v>
      </x:c>
      <x:c r="E1640" s="2" t="n">
        <x:v>3</x:v>
      </x:c>
      <x:c r="F1640" s="2" t="n">
        <x:v>2</x:v>
      </x:c>
      <x:c r="G1640" s="14" t="n">
        <x:f>('레벨 계산식'!$E$4-E1640)*'레벨 계산식'!$B$5</x:f>
        <x:v>0.27999999999999997</x:v>
      </x:c>
      <x:c r="H1640" s="14" t="n">
        <x:f>('등급 계산식'!$E$4-F1640)*'등급 계산식'!$B$5</x:f>
        <x:v>0.18000000000000005</x:v>
      </x:c>
      <x:c r="I1640" s="14" t="n">
        <x:f>1-G1640-H1640</x:f>
        <x:v>0.5399999999999999</x:v>
      </x:c>
      <x:c r="J1640" s="2" t="n">
        <x:f>MAX(1,ROUND('기준스탯 72종'!D73-R1640-Z1640,0))</x:f>
        <x:v>4</x:v>
      </x:c>
      <x:c r="K1640" s="2" t="n">
        <x:f>MAX(1,ROUND('기준스탯 72종'!E73-S1640-AA1640,0))</x:f>
        <x:v>4</x:v>
      </x:c>
      <x:c r="L1640" s="2" t="n">
        <x:f>MAX(1,ROUND('기준스탯 72종'!F73-T1640-AB1640,0))</x:f>
        <x:v>4</x:v>
      </x:c>
      <x:c r="M1640" s="2" t="n">
        <x:f>MAX(1,ROUND('기준스탯 72종'!G73-U1640-AC1640,0))</x:f>
        <x:v>5</x:v>
      </x:c>
      <x:c r="N1640" s="2" t="n">
        <x:f>MAX(0,ROUND('기준스탯 72종'!H73-V1640-AD1640,0))</x:f>
        <x:v>2</x:v>
      </x:c>
      <x:c r="O1640" s="2" t="n">
        <x:f>MAX(0,ROUND('기준스탯 72종'!I73-W1640-AE1640,0))</x:f>
        <x:v>3</x:v>
      </x:c>
      <x:c r="P1640" s="2" t="n">
        <x:f>MAX(0,ROUND('기준스탯 72종'!J73-X1640-AF1640,0))</x:f>
        <x:v>2</x:v>
      </x:c>
      <x:c r="Q1640" s="2" t="n">
        <x:f>MAX(0,ROUND('기준스탯 72종'!K73-Y1640-AG1640,0))</x:f>
        <x:v>2</x:v>
      </x:c>
      <x:c r="R1640" s="15" t="n">
        <x:f>'기준스탯 72종'!D73*G1640</x:f>
        <x:v>2.2399999999999998</x:v>
      </x:c>
      <x:c r="S1640" s="15" t="n">
        <x:f>'기준스탯 72종'!E73*G1640</x:f>
        <x:v>1.9599999999999997</x:v>
      </x:c>
      <x:c r="T1640" s="15" t="n">
        <x:f>'기준스탯 72종'!F73*G1640</x:f>
        <x:v>1.9599999999999997</x:v>
      </x:c>
      <x:c r="U1640" s="15" t="n">
        <x:f>'기준스탯 72종'!G73*G1640</x:f>
        <x:v>2.5199999999999996</x:v>
      </x:c>
      <x:c r="V1640" s="15" t="n">
        <x:f>'기준스탯 72종'!H73*G1640</x:f>
        <x:v>1.1199999999999999</x:v>
      </x:c>
      <x:c r="W1640" s="15" t="n">
        <x:f>'기준스탯 72종'!I73*G1640</x:f>
        <x:v>1.4</x:v>
      </x:c>
      <x:c r="X1640" s="15" t="n">
        <x:f>'기준스탯 72종'!J73*G1640</x:f>
        <x:v>1.1199999999999999</x:v>
      </x:c>
      <x:c r="Y1640" s="15" t="n">
        <x:f>'기준스탯 72종'!K73*G1640</x:f>
        <x:v>0.8399999999999999</x:v>
      </x:c>
      <x:c r="Z1640" s="15" t="n">
        <x:f>'기준스탯 72종'!D73*H1640</x:f>
        <x:v>1.4400000000000004</x:v>
      </x:c>
      <x:c r="AA1640" s="15" t="n">
        <x:f>'기준스탯 72종'!E73*H1640</x:f>
        <x:v>1.2600000000000002</x:v>
      </x:c>
      <x:c r="AB1640" s="15" t="n">
        <x:f>'기준스탯 72종'!F73*H1640</x:f>
        <x:v>1.2600000000000002</x:v>
      </x:c>
      <x:c r="AC1640" s="15" t="n">
        <x:f>'기준스탯 72종'!G73*H1640</x:f>
        <x:v>1.6200000000000006</x:v>
      </x:c>
      <x:c r="AD1640" s="15" t="n">
        <x:f>'기준스탯 72종'!H73*H1640</x:f>
        <x:v>0.7200000000000002</x:v>
      </x:c>
      <x:c r="AE1640" s="15" t="n">
        <x:f>'기준스탯 72종'!I73*H1640</x:f>
        <x:v>0.9000000000000002</x:v>
      </x:c>
      <x:c r="AF1640" s="15" t="n">
        <x:f>'기준스탯 72종'!J73*H1640</x:f>
        <x:v>0.7200000000000002</x:v>
      </x:c>
      <x:c r="AG1640" s="15" t="n">
        <x:f>'기준스탯 72종'!K73*H1640</x:f>
        <x:v>0.5400000000000001</x:v>
      </x:c>
    </x:row>
    <x:row r="1641" ht="28" customHeight="1">
      <x:c r="A1641" s="2" t="n">
        <x:v>1634</x:v>
      </x:c>
      <x:c r="B1641" s="2" t="n">
        <x:v>66</x:v>
      </x:c>
      <x:c r="C1641" s="2" t="str">
        <x:v>물병자리</x:v>
      </x:c>
      <x:c r="D1641" s="2" t="str">
        <x:v>전사</x:v>
      </x:c>
      <x:c r="E1641" s="2" t="n">
        <x:v>4</x:v>
      </x:c>
      <x:c r="F1641" s="2" t="n">
        <x:v>2</x:v>
      </x:c>
      <x:c r="G1641" s="14" t="n">
        <x:f>('레벨 계산식'!$E$4-E1641)*'레벨 계산식'!$B$5</x:f>
        <x:v>0.13999999999999999</x:v>
      </x:c>
      <x:c r="H1641" s="14" t="n">
        <x:f>('등급 계산식'!$E$4-F1641)*'등급 계산식'!$B$5</x:f>
        <x:v>0.18000000000000005</x:v>
      </x:c>
      <x:c r="I1641" s="14" t="n">
        <x:f>1-G1641-H1641</x:f>
        <x:v>0.6799999999999999</x:v>
      </x:c>
      <x:c r="J1641" s="2" t="n">
        <x:f>MAX(1,ROUND('기준스탯 72종'!D73-R1641-Z1641,0))</x:f>
        <x:v>5</x:v>
      </x:c>
      <x:c r="K1641" s="2" t="n">
        <x:f>MAX(1,ROUND('기준스탯 72종'!E73-S1641-AA1641,0))</x:f>
        <x:v>5</x:v>
      </x:c>
      <x:c r="L1641" s="2" t="n">
        <x:f>MAX(1,ROUND('기준스탯 72종'!F73-T1641-AB1641,0))</x:f>
        <x:v>5</x:v>
      </x:c>
      <x:c r="M1641" s="2" t="n">
        <x:f>MAX(1,ROUND('기준스탯 72종'!G73-U1641-AC1641,0))</x:f>
        <x:v>6</x:v>
      </x:c>
      <x:c r="N1641" s="2" t="n">
        <x:f>MAX(0,ROUND('기준스탯 72종'!H73-V1641-AD1641,0))</x:f>
        <x:v>3</x:v>
      </x:c>
      <x:c r="O1641" s="2" t="n">
        <x:f>MAX(0,ROUND('기준스탯 72종'!I73-W1641-AE1641,0))</x:f>
        <x:v>3</x:v>
      </x:c>
      <x:c r="P1641" s="2" t="n">
        <x:f>MAX(0,ROUND('기준스탯 72종'!J73-X1641-AF1641,0))</x:f>
        <x:v>3</x:v>
      </x:c>
      <x:c r="Q1641" s="2" t="n">
        <x:f>MAX(0,ROUND('기준스탯 72종'!K73-Y1641-AG1641,0))</x:f>
        <x:v>2</x:v>
      </x:c>
      <x:c r="R1641" s="15" t="n">
        <x:f>'기준스탯 72종'!D73*G1641</x:f>
        <x:v>1.1199999999999999</x:v>
      </x:c>
      <x:c r="S1641" s="15" t="n">
        <x:f>'기준스탯 72종'!E73*G1641</x:f>
        <x:v>0.9799999999999999</x:v>
      </x:c>
      <x:c r="T1641" s="15" t="n">
        <x:f>'기준스탯 72종'!F73*G1641</x:f>
        <x:v>0.9799999999999999</x:v>
      </x:c>
      <x:c r="U1641" s="15" t="n">
        <x:f>'기준스탯 72종'!G73*G1641</x:f>
        <x:v>1.2599999999999998</x:v>
      </x:c>
      <x:c r="V1641" s="15" t="n">
        <x:f>'기준스탯 72종'!H73*G1641</x:f>
        <x:v>0.5599999999999999</x:v>
      </x:c>
      <x:c r="W1641" s="15" t="n">
        <x:f>'기준스탯 72종'!I73*G1641</x:f>
        <x:v>0.7</x:v>
      </x:c>
      <x:c r="X1641" s="15" t="n">
        <x:f>'기준스탯 72종'!J73*G1641</x:f>
        <x:v>0.5599999999999999</x:v>
      </x:c>
      <x:c r="Y1641" s="15" t="n">
        <x:f>'기준스탯 72종'!K73*G1641</x:f>
        <x:v>0.41999999999999993</x:v>
      </x:c>
      <x:c r="Z1641" s="15" t="n">
        <x:f>'기준스탯 72종'!D73*H1641</x:f>
        <x:v>1.4400000000000004</x:v>
      </x:c>
      <x:c r="AA1641" s="15" t="n">
        <x:f>'기준스탯 72종'!E73*H1641</x:f>
        <x:v>1.2600000000000002</x:v>
      </x:c>
      <x:c r="AB1641" s="15" t="n">
        <x:f>'기준스탯 72종'!F73*H1641</x:f>
        <x:v>1.2600000000000002</x:v>
      </x:c>
      <x:c r="AC1641" s="15" t="n">
        <x:f>'기준스탯 72종'!G73*H1641</x:f>
        <x:v>1.6200000000000006</x:v>
      </x:c>
      <x:c r="AD1641" s="15" t="n">
        <x:f>'기준스탯 72종'!H73*H1641</x:f>
        <x:v>0.7200000000000002</x:v>
      </x:c>
      <x:c r="AE1641" s="15" t="n">
        <x:f>'기준스탯 72종'!I73*H1641</x:f>
        <x:v>0.9000000000000002</x:v>
      </x:c>
      <x:c r="AF1641" s="15" t="n">
        <x:f>'기준스탯 72종'!J73*H1641</x:f>
        <x:v>0.7200000000000002</x:v>
      </x:c>
      <x:c r="AG1641" s="15" t="n">
        <x:f>'기준스탯 72종'!K73*H1641</x:f>
        <x:v>0.5400000000000001</x:v>
      </x:c>
    </x:row>
    <x:row r="1642" ht="28" customHeight="1">
      <x:c r="A1642" s="2" t="n">
        <x:v>1635</x:v>
      </x:c>
      <x:c r="B1642" s="2" t="n">
        <x:v>66</x:v>
      </x:c>
      <x:c r="C1642" s="2" t="str">
        <x:v>물병자리</x:v>
      </x:c>
      <x:c r="D1642" s="2" t="str">
        <x:v>전사</x:v>
      </x:c>
      <x:c r="E1642" s="2" t="n">
        <x:v>5</x:v>
      </x:c>
      <x:c r="F1642" s="2" t="n">
        <x:v>2</x:v>
      </x:c>
      <x:c r="G1642" s="14" t="n">
        <x:f>('레벨 계산식'!$E$4-E1642)*'레벨 계산식'!$B$5</x:f>
        <x:v>0</x:v>
      </x:c>
      <x:c r="H1642" s="14" t="n">
        <x:f>('등급 계산식'!$E$4-F1642)*'등급 계산식'!$B$5</x:f>
        <x:v>0.18000000000000005</x:v>
      </x:c>
      <x:c r="I1642" s="14" t="n">
        <x:f>1-G1642-H1642</x:f>
        <x:v>0.82</x:v>
      </x:c>
      <x:c r="J1642" s="2" t="n">
        <x:f>MAX(1,ROUND('기준스탯 72종'!D73-R1642-Z1642,0))</x:f>
        <x:v>7</x:v>
      </x:c>
      <x:c r="K1642" s="2" t="n">
        <x:f>MAX(1,ROUND('기준스탯 72종'!E73-S1642-AA1642,0))</x:f>
        <x:v>6</x:v>
      </x:c>
      <x:c r="L1642" s="2" t="n">
        <x:f>MAX(1,ROUND('기준스탯 72종'!F73-T1642-AB1642,0))</x:f>
        <x:v>6</x:v>
      </x:c>
      <x:c r="M1642" s="2" t="n">
        <x:f>MAX(1,ROUND('기준스탯 72종'!G73-U1642-AC1642,0))</x:f>
        <x:v>7</x:v>
      </x:c>
      <x:c r="N1642" s="2" t="n">
        <x:f>MAX(0,ROUND('기준스탯 72종'!H73-V1642-AD1642,0))</x:f>
        <x:v>3</x:v>
      </x:c>
      <x:c r="O1642" s="2" t="n">
        <x:f>MAX(0,ROUND('기준스탯 72종'!I73-W1642-AE1642,0))</x:f>
        <x:v>4</x:v>
      </x:c>
      <x:c r="P1642" s="2" t="n">
        <x:f>MAX(0,ROUND('기준스탯 72종'!J73-X1642-AF1642,0))</x:f>
        <x:v>3</x:v>
      </x:c>
      <x:c r="Q1642" s="2" t="n">
        <x:f>MAX(0,ROUND('기준스탯 72종'!K73-Y1642-AG1642,0))</x:f>
        <x:v>2</x:v>
      </x:c>
      <x:c r="R1642" s="15" t="n">
        <x:f>'기준스탯 72종'!D73*G1642</x:f>
        <x:v>0</x:v>
      </x:c>
      <x:c r="S1642" s="15" t="n">
        <x:f>'기준스탯 72종'!E73*G1642</x:f>
        <x:v>0</x:v>
      </x:c>
      <x:c r="T1642" s="15" t="n">
        <x:f>'기준스탯 72종'!F73*G1642</x:f>
        <x:v>0</x:v>
      </x:c>
      <x:c r="U1642" s="15" t="n">
        <x:f>'기준스탯 72종'!G73*G1642</x:f>
        <x:v>0</x:v>
      </x:c>
      <x:c r="V1642" s="15" t="n">
        <x:f>'기준스탯 72종'!H73*G1642</x:f>
        <x:v>0</x:v>
      </x:c>
      <x:c r="W1642" s="15" t="n">
        <x:f>'기준스탯 72종'!I73*G1642</x:f>
        <x:v>0</x:v>
      </x:c>
      <x:c r="X1642" s="15" t="n">
        <x:f>'기준스탯 72종'!J73*G1642</x:f>
        <x:v>0</x:v>
      </x:c>
      <x:c r="Y1642" s="15" t="n">
        <x:f>'기준스탯 72종'!K73*G1642</x:f>
        <x:v>0</x:v>
      </x:c>
      <x:c r="Z1642" s="15" t="n">
        <x:f>'기준스탯 72종'!D73*H1642</x:f>
        <x:v>1.4400000000000004</x:v>
      </x:c>
      <x:c r="AA1642" s="15" t="n">
        <x:f>'기준스탯 72종'!E73*H1642</x:f>
        <x:v>1.2600000000000002</x:v>
      </x:c>
      <x:c r="AB1642" s="15" t="n">
        <x:f>'기준스탯 72종'!F73*H1642</x:f>
        <x:v>1.2600000000000002</x:v>
      </x:c>
      <x:c r="AC1642" s="15" t="n">
        <x:f>'기준스탯 72종'!G73*H1642</x:f>
        <x:v>1.6200000000000006</x:v>
      </x:c>
      <x:c r="AD1642" s="15" t="n">
        <x:f>'기준스탯 72종'!H73*H1642</x:f>
        <x:v>0.7200000000000002</x:v>
      </x:c>
      <x:c r="AE1642" s="15" t="n">
        <x:f>'기준스탯 72종'!I73*H1642</x:f>
        <x:v>0.9000000000000002</x:v>
      </x:c>
      <x:c r="AF1642" s="15" t="n">
        <x:f>'기준스탯 72종'!J73*H1642</x:f>
        <x:v>0.7200000000000002</x:v>
      </x:c>
      <x:c r="AG1642" s="15" t="n">
        <x:f>'기준스탯 72종'!K73*H1642</x:f>
        <x:v>0.5400000000000001</x:v>
      </x:c>
    </x:row>
    <x:row r="1643" ht="28" customHeight="1">
      <x:c r="A1643" s="2" t="n">
        <x:v>1636</x:v>
      </x:c>
      <x:c r="B1643" s="2" t="n">
        <x:v>66</x:v>
      </x:c>
      <x:c r="C1643" s="2" t="str">
        <x:v>물병자리</x:v>
      </x:c>
      <x:c r="D1643" s="2" t="str">
        <x:v>전사</x:v>
      </x:c>
      <x:c r="E1643" s="2" t="n">
        <x:v>1</x:v>
      </x:c>
      <x:c r="F1643" s="2" t="n">
        <x:v>3</x:v>
      </x:c>
      <x:c r="G1643" s="14" t="n">
        <x:f>('레벨 계산식'!$E$4-E1643)*'레벨 계산식'!$B$5</x:f>
        <x:v>0.5599999999999999</x:v>
      </x:c>
      <x:c r="H1643" s="14" t="n">
        <x:f>('등급 계산식'!$E$4-F1643)*'등급 계산식'!$B$5</x:f>
        <x:v>0.12000000000000002</x:v>
      </x:c>
      <x:c r="I1643" s="14" t="n">
        <x:f>1-G1643-H1643</x:f>
        <x:v>0.32000000000000006</x:v>
      </x:c>
      <x:c r="J1643" s="2" t="n">
        <x:f>MAX(1,ROUND('기준스탯 72종'!D73-R1643-Z1643,0))</x:f>
        <x:v>3</x:v>
      </x:c>
      <x:c r="K1643" s="2" t="n">
        <x:f>MAX(1,ROUND('기준스탯 72종'!E73-S1643-AA1643,0))</x:f>
        <x:v>2</x:v>
      </x:c>
      <x:c r="L1643" s="2" t="n">
        <x:f>MAX(1,ROUND('기준스탯 72종'!F73-T1643-AB1643,0))</x:f>
        <x:v>2</x:v>
      </x:c>
      <x:c r="M1643" s="2" t="n">
        <x:f>MAX(1,ROUND('기준스탯 72종'!G73-U1643-AC1643,0))</x:f>
        <x:v>3</x:v>
      </x:c>
      <x:c r="N1643" s="2" t="n">
        <x:f>MAX(0,ROUND('기준스탯 72종'!H73-V1643-AD1643,0))</x:f>
        <x:v>1</x:v>
      </x:c>
      <x:c r="O1643" s="2" t="n">
        <x:f>MAX(0,ROUND('기준스탯 72종'!I73-W1643-AE1643,0))</x:f>
        <x:v>2</x:v>
      </x:c>
      <x:c r="P1643" s="2" t="n">
        <x:f>MAX(0,ROUND('기준스탯 72종'!J73-X1643-AF1643,0))</x:f>
        <x:v>1</x:v>
      </x:c>
      <x:c r="Q1643" s="2" t="n">
        <x:f>MAX(0,ROUND('기준스탯 72종'!K73-Y1643-AG1643,0))</x:f>
        <x:v>1</x:v>
      </x:c>
      <x:c r="R1643" s="15" t="n">
        <x:f>'기준스탯 72종'!D73*G1643</x:f>
        <x:v>4.4799999999999995</x:v>
      </x:c>
      <x:c r="S1643" s="15" t="n">
        <x:f>'기준스탯 72종'!E73*G1643</x:f>
        <x:v>3.9199999999999995</x:v>
      </x:c>
      <x:c r="T1643" s="15" t="n">
        <x:f>'기준스탯 72종'!F73*G1643</x:f>
        <x:v>3.9199999999999995</x:v>
      </x:c>
      <x:c r="U1643" s="15" t="n">
        <x:f>'기준스탯 72종'!G73*G1643</x:f>
        <x:v>5.039999999999999</x:v>
      </x:c>
      <x:c r="V1643" s="15" t="n">
        <x:f>'기준스탯 72종'!H73*G1643</x:f>
        <x:v>2.2399999999999998</x:v>
      </x:c>
      <x:c r="W1643" s="15" t="n">
        <x:f>'기준스탯 72종'!I73*G1643</x:f>
        <x:v>2.8</x:v>
      </x:c>
      <x:c r="X1643" s="15" t="n">
        <x:f>'기준스탯 72종'!J73*G1643</x:f>
        <x:v>2.2399999999999998</x:v>
      </x:c>
      <x:c r="Y1643" s="15" t="n">
        <x:f>'기준스탯 72종'!K73*G1643</x:f>
        <x:v>1.6799999999999997</x:v>
      </x:c>
      <x:c r="Z1643" s="15" t="n">
        <x:f>'기준스탯 72종'!D73*H1643</x:f>
        <x:v>0.9600000000000002</x:v>
      </x:c>
      <x:c r="AA1643" s="15" t="n">
        <x:f>'기준스탯 72종'!E73*H1643</x:f>
        <x:v>0.8400000000000002</x:v>
      </x:c>
      <x:c r="AB1643" s="15" t="n">
        <x:f>'기준스탯 72종'!F73*H1643</x:f>
        <x:v>0.8400000000000002</x:v>
      </x:c>
      <x:c r="AC1643" s="15" t="n">
        <x:f>'기준스탯 72종'!G73*H1643</x:f>
        <x:v>1.0800000000000003</x:v>
      </x:c>
      <x:c r="AD1643" s="15" t="n">
        <x:f>'기준스탯 72종'!H73*H1643</x:f>
        <x:v>0.4800000000000001</x:v>
      </x:c>
      <x:c r="AE1643" s="15" t="n">
        <x:f>'기준스탯 72종'!I73*H1643</x:f>
        <x:v>0.6000000000000001</x:v>
      </x:c>
      <x:c r="AF1643" s="15" t="n">
        <x:f>'기준스탯 72종'!J73*H1643</x:f>
        <x:v>0.4800000000000001</x:v>
      </x:c>
      <x:c r="AG1643" s="15" t="n">
        <x:f>'기준스탯 72종'!K73*H1643</x:f>
        <x:v>0.3600000000000001</x:v>
      </x:c>
    </x:row>
    <x:row r="1644" ht="28" customHeight="1">
      <x:c r="A1644" s="2" t="n">
        <x:v>1637</x:v>
      </x:c>
      <x:c r="B1644" s="2" t="n">
        <x:v>66</x:v>
      </x:c>
      <x:c r="C1644" s="2" t="str">
        <x:v>물병자리</x:v>
      </x:c>
      <x:c r="D1644" s="2" t="str">
        <x:v>전사</x:v>
      </x:c>
      <x:c r="E1644" s="2" t="n">
        <x:v>2</x:v>
      </x:c>
      <x:c r="F1644" s="2" t="n">
        <x:v>3</x:v>
      </x:c>
      <x:c r="G1644" s="14" t="n">
        <x:f>('레벨 계산식'!$E$4-E1644)*'레벨 계산식'!$B$5</x:f>
        <x:v>0.41999999999999993</x:v>
      </x:c>
      <x:c r="H1644" s="14" t="n">
        <x:f>('등급 계산식'!$E$4-F1644)*'등급 계산식'!$B$5</x:f>
        <x:v>0.12000000000000002</x:v>
      </x:c>
      <x:c r="I1644" s="14" t="n">
        <x:f>1-G1644-H1644</x:f>
        <x:v>0.4600000000000001</x:v>
      </x:c>
      <x:c r="J1644" s="2" t="n">
        <x:f>MAX(1,ROUND('기준스탯 72종'!D73-R1644-Z1644,0))</x:f>
        <x:v>4</x:v>
      </x:c>
      <x:c r="K1644" s="2" t="n">
        <x:f>MAX(1,ROUND('기준스탯 72종'!E73-S1644-AA1644,0))</x:f>
        <x:v>3</x:v>
      </x:c>
      <x:c r="L1644" s="2" t="n">
        <x:f>MAX(1,ROUND('기준스탯 72종'!F73-T1644-AB1644,0))</x:f>
        <x:v>3</x:v>
      </x:c>
      <x:c r="M1644" s="2" t="n">
        <x:f>MAX(1,ROUND('기준스탯 72종'!G73-U1644-AC1644,0))</x:f>
        <x:v>4</x:v>
      </x:c>
      <x:c r="N1644" s="2" t="n">
        <x:f>MAX(0,ROUND('기준스탯 72종'!H73-V1644-AD1644,0))</x:f>
        <x:v>2</x:v>
      </x:c>
      <x:c r="O1644" s="2" t="n">
        <x:f>MAX(0,ROUND('기준스탯 72종'!I73-W1644-AE1644,0))</x:f>
        <x:v>2</x:v>
      </x:c>
      <x:c r="P1644" s="2" t="n">
        <x:f>MAX(0,ROUND('기준스탯 72종'!J73-X1644-AF1644,0))</x:f>
        <x:v>2</x:v>
      </x:c>
      <x:c r="Q1644" s="2" t="n">
        <x:f>MAX(0,ROUND('기준스탯 72종'!K73-Y1644-AG1644,0))</x:f>
        <x:v>1</x:v>
      </x:c>
      <x:c r="R1644" s="15" t="n">
        <x:f>'기준스탯 72종'!D73*G1644</x:f>
        <x:v>3.3599999999999994</x:v>
      </x:c>
      <x:c r="S1644" s="15" t="n">
        <x:f>'기준스탯 72종'!E73*G1644</x:f>
        <x:v>2.9399999999999995</x:v>
      </x:c>
      <x:c r="T1644" s="15" t="n">
        <x:f>'기준스탯 72종'!F73*G1644</x:f>
        <x:v>2.9399999999999995</x:v>
      </x:c>
      <x:c r="U1644" s="15" t="n">
        <x:f>'기준스탯 72종'!G73*G1644</x:f>
        <x:v>3.7799999999999994</x:v>
      </x:c>
      <x:c r="V1644" s="15" t="n">
        <x:f>'기준스탯 72종'!H73*G1644</x:f>
        <x:v>1.6799999999999997</x:v>
      </x:c>
      <x:c r="W1644" s="15" t="n">
        <x:f>'기준스탯 72종'!I73*G1644</x:f>
        <x:v>2.0999999999999996</x:v>
      </x:c>
      <x:c r="X1644" s="15" t="n">
        <x:f>'기준스탯 72종'!J73*G1644</x:f>
        <x:v>1.6799999999999997</x:v>
      </x:c>
      <x:c r="Y1644" s="15" t="n">
        <x:f>'기준스탯 72종'!K73*G1644</x:f>
        <x:v>1.2599999999999998</x:v>
      </x:c>
      <x:c r="Z1644" s="15" t="n">
        <x:f>'기준스탯 72종'!D73*H1644</x:f>
        <x:v>0.9600000000000002</x:v>
      </x:c>
      <x:c r="AA1644" s="15" t="n">
        <x:f>'기준스탯 72종'!E73*H1644</x:f>
        <x:v>0.8400000000000002</x:v>
      </x:c>
      <x:c r="AB1644" s="15" t="n">
        <x:f>'기준스탯 72종'!F73*H1644</x:f>
        <x:v>0.8400000000000002</x:v>
      </x:c>
      <x:c r="AC1644" s="15" t="n">
        <x:f>'기준스탯 72종'!G73*H1644</x:f>
        <x:v>1.0800000000000003</x:v>
      </x:c>
      <x:c r="AD1644" s="15" t="n">
        <x:f>'기준스탯 72종'!H73*H1644</x:f>
        <x:v>0.4800000000000001</x:v>
      </x:c>
      <x:c r="AE1644" s="15" t="n">
        <x:f>'기준스탯 72종'!I73*H1644</x:f>
        <x:v>0.6000000000000001</x:v>
      </x:c>
      <x:c r="AF1644" s="15" t="n">
        <x:f>'기준스탯 72종'!J73*H1644</x:f>
        <x:v>0.4800000000000001</x:v>
      </x:c>
      <x:c r="AG1644" s="15" t="n">
        <x:f>'기준스탯 72종'!K73*H1644</x:f>
        <x:v>0.3600000000000001</x:v>
      </x:c>
    </x:row>
    <x:row r="1645" ht="28" customHeight="1">
      <x:c r="A1645" s="2" t="n">
        <x:v>1638</x:v>
      </x:c>
      <x:c r="B1645" s="2" t="n">
        <x:v>66</x:v>
      </x:c>
      <x:c r="C1645" s="2" t="str">
        <x:v>물병자리</x:v>
      </x:c>
      <x:c r="D1645" s="2" t="str">
        <x:v>전사</x:v>
      </x:c>
      <x:c r="E1645" s="2" t="n">
        <x:v>3</x:v>
      </x:c>
      <x:c r="F1645" s="2" t="n">
        <x:v>3</x:v>
      </x:c>
      <x:c r="G1645" s="14" t="n">
        <x:f>('레벨 계산식'!$E$4-E1645)*'레벨 계산식'!$B$5</x:f>
        <x:v>0.27999999999999997</x:v>
      </x:c>
      <x:c r="H1645" s="14" t="n">
        <x:f>('등급 계산식'!$E$4-F1645)*'등급 계산식'!$B$5</x:f>
        <x:v>0.12000000000000002</x:v>
      </x:c>
      <x:c r="I1645" s="14" t="n">
        <x:f>1-G1645-H1645</x:f>
        <x:v>0.6</x:v>
      </x:c>
      <x:c r="J1645" s="2" t="n">
        <x:f>MAX(1,ROUND('기준스탯 72종'!D73-R1645-Z1645,0))</x:f>
        <x:v>5</x:v>
      </x:c>
      <x:c r="K1645" s="2" t="n">
        <x:f>MAX(1,ROUND('기준스탯 72종'!E73-S1645-AA1645,0))</x:f>
        <x:v>4</x:v>
      </x:c>
      <x:c r="L1645" s="2" t="n">
        <x:f>MAX(1,ROUND('기준스탯 72종'!F73-T1645-AB1645,0))</x:f>
        <x:v>4</x:v>
      </x:c>
      <x:c r="M1645" s="2" t="n">
        <x:f>MAX(1,ROUND('기준스탯 72종'!G73-U1645-AC1645,0))</x:f>
        <x:v>5</x:v>
      </x:c>
      <x:c r="N1645" s="2" t="n">
        <x:f>MAX(0,ROUND('기준스탯 72종'!H73-V1645-AD1645,0))</x:f>
        <x:v>2</x:v>
      </x:c>
      <x:c r="O1645" s="2" t="n">
        <x:f>MAX(0,ROUND('기준스탯 72종'!I73-W1645-AE1645,0))</x:f>
        <x:v>3</x:v>
      </x:c>
      <x:c r="P1645" s="2" t="n">
        <x:f>MAX(0,ROUND('기준스탯 72종'!J73-X1645-AF1645,0))</x:f>
        <x:v>2</x:v>
      </x:c>
      <x:c r="Q1645" s="2" t="n">
        <x:f>MAX(0,ROUND('기준스탯 72종'!K73-Y1645-AG1645,0))</x:f>
        <x:v>2</x:v>
      </x:c>
      <x:c r="R1645" s="15" t="n">
        <x:f>'기준스탯 72종'!D73*G1645</x:f>
        <x:v>2.2399999999999998</x:v>
      </x:c>
      <x:c r="S1645" s="15" t="n">
        <x:f>'기준스탯 72종'!E73*G1645</x:f>
        <x:v>1.9599999999999997</x:v>
      </x:c>
      <x:c r="T1645" s="15" t="n">
        <x:f>'기준스탯 72종'!F73*G1645</x:f>
        <x:v>1.9599999999999997</x:v>
      </x:c>
      <x:c r="U1645" s="15" t="n">
        <x:f>'기준스탯 72종'!G73*G1645</x:f>
        <x:v>2.5199999999999996</x:v>
      </x:c>
      <x:c r="V1645" s="15" t="n">
        <x:f>'기준스탯 72종'!H73*G1645</x:f>
        <x:v>1.1199999999999999</x:v>
      </x:c>
      <x:c r="W1645" s="15" t="n">
        <x:f>'기준스탯 72종'!I73*G1645</x:f>
        <x:v>1.4</x:v>
      </x:c>
      <x:c r="X1645" s="15" t="n">
        <x:f>'기준스탯 72종'!J73*G1645</x:f>
        <x:v>1.1199999999999999</x:v>
      </x:c>
      <x:c r="Y1645" s="15" t="n">
        <x:f>'기준스탯 72종'!K73*G1645</x:f>
        <x:v>0.8399999999999999</x:v>
      </x:c>
      <x:c r="Z1645" s="15" t="n">
        <x:f>'기준스탯 72종'!D73*H1645</x:f>
        <x:v>0.9600000000000002</x:v>
      </x:c>
      <x:c r="AA1645" s="15" t="n">
        <x:f>'기준스탯 72종'!E73*H1645</x:f>
        <x:v>0.8400000000000002</x:v>
      </x:c>
      <x:c r="AB1645" s="15" t="n">
        <x:f>'기준스탯 72종'!F73*H1645</x:f>
        <x:v>0.8400000000000002</x:v>
      </x:c>
      <x:c r="AC1645" s="15" t="n">
        <x:f>'기준스탯 72종'!G73*H1645</x:f>
        <x:v>1.0800000000000003</x:v>
      </x:c>
      <x:c r="AD1645" s="15" t="n">
        <x:f>'기준스탯 72종'!H73*H1645</x:f>
        <x:v>0.4800000000000001</x:v>
      </x:c>
      <x:c r="AE1645" s="15" t="n">
        <x:f>'기준스탯 72종'!I73*H1645</x:f>
        <x:v>0.6000000000000001</x:v>
      </x:c>
      <x:c r="AF1645" s="15" t="n">
        <x:f>'기준스탯 72종'!J73*H1645</x:f>
        <x:v>0.4800000000000001</x:v>
      </x:c>
      <x:c r="AG1645" s="15" t="n">
        <x:f>'기준스탯 72종'!K73*H1645</x:f>
        <x:v>0.3600000000000001</x:v>
      </x:c>
    </x:row>
    <x:row r="1646" ht="28" customHeight="1">
      <x:c r="A1646" s="2" t="n">
        <x:v>1639</x:v>
      </x:c>
      <x:c r="B1646" s="2" t="n">
        <x:v>66</x:v>
      </x:c>
      <x:c r="C1646" s="2" t="str">
        <x:v>물병자리</x:v>
      </x:c>
      <x:c r="D1646" s="2" t="str">
        <x:v>전사</x:v>
      </x:c>
      <x:c r="E1646" s="2" t="n">
        <x:v>4</x:v>
      </x:c>
      <x:c r="F1646" s="2" t="n">
        <x:v>3</x:v>
      </x:c>
      <x:c r="G1646" s="14" t="n">
        <x:f>('레벨 계산식'!$E$4-E1646)*'레벨 계산식'!$B$5</x:f>
        <x:v>0.13999999999999999</x:v>
      </x:c>
      <x:c r="H1646" s="14" t="n">
        <x:f>('등급 계산식'!$E$4-F1646)*'등급 계산식'!$B$5</x:f>
        <x:v>0.12000000000000002</x:v>
      </x:c>
      <x:c r="I1646" s="14" t="n">
        <x:f>1-G1646-H1646</x:f>
        <x:v>0.74</x:v>
      </x:c>
      <x:c r="J1646" s="2" t="n">
        <x:f>MAX(1,ROUND('기준스탯 72종'!D73-R1646-Z1646,0))</x:f>
        <x:v>6</x:v>
      </x:c>
      <x:c r="K1646" s="2" t="n">
        <x:f>MAX(1,ROUND('기준스탯 72종'!E73-S1646-AA1646,0))</x:f>
        <x:v>5</x:v>
      </x:c>
      <x:c r="L1646" s="2" t="n">
        <x:f>MAX(1,ROUND('기준스탯 72종'!F73-T1646-AB1646,0))</x:f>
        <x:v>5</x:v>
      </x:c>
      <x:c r="M1646" s="2" t="n">
        <x:f>MAX(1,ROUND('기준스탯 72종'!G73-U1646-AC1646,0))</x:f>
        <x:v>7</x:v>
      </x:c>
      <x:c r="N1646" s="2" t="n">
        <x:f>MAX(0,ROUND('기준스탯 72종'!H73-V1646-AD1646,0))</x:f>
        <x:v>3</x:v>
      </x:c>
      <x:c r="O1646" s="2" t="n">
        <x:f>MAX(0,ROUND('기준스탯 72종'!I73-W1646-AE1646,0))</x:f>
        <x:v>4</x:v>
      </x:c>
      <x:c r="P1646" s="2" t="n">
        <x:f>MAX(0,ROUND('기준스탯 72종'!J73-X1646-AF1646,0))</x:f>
        <x:v>3</x:v>
      </x:c>
      <x:c r="Q1646" s="2" t="n">
        <x:f>MAX(0,ROUND('기준스탯 72종'!K73-Y1646-AG1646,0))</x:f>
        <x:v>2</x:v>
      </x:c>
      <x:c r="R1646" s="15" t="n">
        <x:f>'기준스탯 72종'!D73*G1646</x:f>
        <x:v>1.1199999999999999</x:v>
      </x:c>
      <x:c r="S1646" s="15" t="n">
        <x:f>'기준스탯 72종'!E73*G1646</x:f>
        <x:v>0.9799999999999999</x:v>
      </x:c>
      <x:c r="T1646" s="15" t="n">
        <x:f>'기준스탯 72종'!F73*G1646</x:f>
        <x:v>0.9799999999999999</x:v>
      </x:c>
      <x:c r="U1646" s="15" t="n">
        <x:f>'기준스탯 72종'!G73*G1646</x:f>
        <x:v>1.2599999999999998</x:v>
      </x:c>
      <x:c r="V1646" s="15" t="n">
        <x:f>'기준스탯 72종'!H73*G1646</x:f>
        <x:v>0.5599999999999999</x:v>
      </x:c>
      <x:c r="W1646" s="15" t="n">
        <x:f>'기준스탯 72종'!I73*G1646</x:f>
        <x:v>0.7</x:v>
      </x:c>
      <x:c r="X1646" s="15" t="n">
        <x:f>'기준스탯 72종'!J73*G1646</x:f>
        <x:v>0.5599999999999999</x:v>
      </x:c>
      <x:c r="Y1646" s="15" t="n">
        <x:f>'기준스탯 72종'!K73*G1646</x:f>
        <x:v>0.41999999999999993</x:v>
      </x:c>
      <x:c r="Z1646" s="15" t="n">
        <x:f>'기준스탯 72종'!D73*H1646</x:f>
        <x:v>0.9600000000000002</x:v>
      </x:c>
      <x:c r="AA1646" s="15" t="n">
        <x:f>'기준스탯 72종'!E73*H1646</x:f>
        <x:v>0.8400000000000002</x:v>
      </x:c>
      <x:c r="AB1646" s="15" t="n">
        <x:f>'기준스탯 72종'!F73*H1646</x:f>
        <x:v>0.8400000000000002</x:v>
      </x:c>
      <x:c r="AC1646" s="15" t="n">
        <x:f>'기준스탯 72종'!G73*H1646</x:f>
        <x:v>1.0800000000000003</x:v>
      </x:c>
      <x:c r="AD1646" s="15" t="n">
        <x:f>'기준스탯 72종'!H73*H1646</x:f>
        <x:v>0.4800000000000001</x:v>
      </x:c>
      <x:c r="AE1646" s="15" t="n">
        <x:f>'기준스탯 72종'!I73*H1646</x:f>
        <x:v>0.6000000000000001</x:v>
      </x:c>
      <x:c r="AF1646" s="15" t="n">
        <x:f>'기준스탯 72종'!J73*H1646</x:f>
        <x:v>0.4800000000000001</x:v>
      </x:c>
      <x:c r="AG1646" s="15" t="n">
        <x:f>'기준스탯 72종'!K73*H1646</x:f>
        <x:v>0.3600000000000001</x:v>
      </x:c>
    </x:row>
    <x:row r="1647" ht="28" customHeight="1">
      <x:c r="A1647" s="2" t="n">
        <x:v>1640</x:v>
      </x:c>
      <x:c r="B1647" s="2" t="n">
        <x:v>66</x:v>
      </x:c>
      <x:c r="C1647" s="2" t="str">
        <x:v>물병자리</x:v>
      </x:c>
      <x:c r="D1647" s="2" t="str">
        <x:v>전사</x:v>
      </x:c>
      <x:c r="E1647" s="2" t="n">
        <x:v>5</x:v>
      </x:c>
      <x:c r="F1647" s="2" t="n">
        <x:v>3</x:v>
      </x:c>
      <x:c r="G1647" s="14" t="n">
        <x:f>('레벨 계산식'!$E$4-E1647)*'레벨 계산식'!$B$5</x:f>
        <x:v>0</x:v>
      </x:c>
      <x:c r="H1647" s="14" t="n">
        <x:f>('등급 계산식'!$E$4-F1647)*'등급 계산식'!$B$5</x:f>
        <x:v>0.12000000000000002</x:v>
      </x:c>
      <x:c r="I1647" s="14" t="n">
        <x:f>1-G1647-H1647</x:f>
        <x:v>0.88</x:v>
      </x:c>
      <x:c r="J1647" s="2" t="n">
        <x:f>MAX(1,ROUND('기준스탯 72종'!D73-R1647-Z1647,0))</x:f>
        <x:v>7</x:v>
      </x:c>
      <x:c r="K1647" s="2" t="n">
        <x:f>MAX(1,ROUND('기준스탯 72종'!E73-S1647-AA1647,0))</x:f>
        <x:v>6</x:v>
      </x:c>
      <x:c r="L1647" s="2" t="n">
        <x:f>MAX(1,ROUND('기준스탯 72종'!F73-T1647-AB1647,0))</x:f>
        <x:v>6</x:v>
      </x:c>
      <x:c r="M1647" s="2" t="n">
        <x:f>MAX(1,ROUND('기준스탯 72종'!G73-U1647-AC1647,0))</x:f>
        <x:v>8</x:v>
      </x:c>
      <x:c r="N1647" s="2" t="n">
        <x:f>MAX(0,ROUND('기준스탯 72종'!H73-V1647-AD1647,0))</x:f>
        <x:v>4</x:v>
      </x:c>
      <x:c r="O1647" s="2" t="n">
        <x:f>MAX(0,ROUND('기준스탯 72종'!I73-W1647-AE1647,0))</x:f>
        <x:v>4</x:v>
      </x:c>
      <x:c r="P1647" s="2" t="n">
        <x:f>MAX(0,ROUND('기준스탯 72종'!J73-X1647-AF1647,0))</x:f>
        <x:v>4</x:v>
      </x:c>
      <x:c r="Q1647" s="2" t="n">
        <x:f>MAX(0,ROUND('기준스탯 72종'!K73-Y1647-AG1647,0))</x:f>
        <x:v>3</x:v>
      </x:c>
      <x:c r="R1647" s="15" t="n">
        <x:f>'기준스탯 72종'!D73*G1647</x:f>
        <x:v>0</x:v>
      </x:c>
      <x:c r="S1647" s="15" t="n">
        <x:f>'기준스탯 72종'!E73*G1647</x:f>
        <x:v>0</x:v>
      </x:c>
      <x:c r="T1647" s="15" t="n">
        <x:f>'기준스탯 72종'!F73*G1647</x:f>
        <x:v>0</x:v>
      </x:c>
      <x:c r="U1647" s="15" t="n">
        <x:f>'기준스탯 72종'!G73*G1647</x:f>
        <x:v>0</x:v>
      </x:c>
      <x:c r="V1647" s="15" t="n">
        <x:f>'기준스탯 72종'!H73*G1647</x:f>
        <x:v>0</x:v>
      </x:c>
      <x:c r="W1647" s="15" t="n">
        <x:f>'기준스탯 72종'!I73*G1647</x:f>
        <x:v>0</x:v>
      </x:c>
      <x:c r="X1647" s="15" t="n">
        <x:f>'기준스탯 72종'!J73*G1647</x:f>
        <x:v>0</x:v>
      </x:c>
      <x:c r="Y1647" s="15" t="n">
        <x:f>'기준스탯 72종'!K73*G1647</x:f>
        <x:v>0</x:v>
      </x:c>
      <x:c r="Z1647" s="15" t="n">
        <x:f>'기준스탯 72종'!D73*H1647</x:f>
        <x:v>0.9600000000000002</x:v>
      </x:c>
      <x:c r="AA1647" s="15" t="n">
        <x:f>'기준스탯 72종'!E73*H1647</x:f>
        <x:v>0.8400000000000002</x:v>
      </x:c>
      <x:c r="AB1647" s="15" t="n">
        <x:f>'기준스탯 72종'!F73*H1647</x:f>
        <x:v>0.8400000000000002</x:v>
      </x:c>
      <x:c r="AC1647" s="15" t="n">
        <x:f>'기준스탯 72종'!G73*H1647</x:f>
        <x:v>1.0800000000000003</x:v>
      </x:c>
      <x:c r="AD1647" s="15" t="n">
        <x:f>'기준스탯 72종'!H73*H1647</x:f>
        <x:v>0.4800000000000001</x:v>
      </x:c>
      <x:c r="AE1647" s="15" t="n">
        <x:f>'기준스탯 72종'!I73*H1647</x:f>
        <x:v>0.6000000000000001</x:v>
      </x:c>
      <x:c r="AF1647" s="15" t="n">
        <x:f>'기준스탯 72종'!J73*H1647</x:f>
        <x:v>0.4800000000000001</x:v>
      </x:c>
      <x:c r="AG1647" s="15" t="n">
        <x:f>'기준스탯 72종'!K73*H1647</x:f>
        <x:v>0.3600000000000001</x:v>
      </x:c>
    </x:row>
    <x:row r="1648" ht="28" customHeight="1">
      <x:c r="A1648" s="2" t="n">
        <x:v>1641</x:v>
      </x:c>
      <x:c r="B1648" s="2" t="n">
        <x:v>66</x:v>
      </x:c>
      <x:c r="C1648" s="2" t="str">
        <x:v>물병자리</x:v>
      </x:c>
      <x:c r="D1648" s="2" t="str">
        <x:v>전사</x:v>
      </x:c>
      <x:c r="E1648" s="2" t="n">
        <x:v>1</x:v>
      </x:c>
      <x:c r="F1648" s="2" t="n">
        <x:v>4</x:v>
      </x:c>
      <x:c r="G1648" s="14" t="n">
        <x:f>('레벨 계산식'!$E$4-E1648)*'레벨 계산식'!$B$5</x:f>
        <x:v>0.5599999999999999</x:v>
      </x:c>
      <x:c r="H1648" s="14" t="n">
        <x:f>('등급 계산식'!$E$4-F1648)*'등급 계산식'!$B$5</x:f>
        <x:v>0.06000000000000001</x:v>
      </x:c>
      <x:c r="I1648" s="14" t="n">
        <x:f>1-G1648-H1648</x:f>
        <x:v>0.38000000000000006</x:v>
      </x:c>
      <x:c r="J1648" s="2" t="n">
        <x:f>MAX(1,ROUND('기준스탯 72종'!D73-R1648-Z1648,0))</x:f>
        <x:v>3</x:v>
      </x:c>
      <x:c r="K1648" s="2" t="n">
        <x:f>MAX(1,ROUND('기준스탯 72종'!E73-S1648-AA1648,0))</x:f>
        <x:v>3</x:v>
      </x:c>
      <x:c r="L1648" s="2" t="n">
        <x:f>MAX(1,ROUND('기준스탯 72종'!F73-T1648-AB1648,0))</x:f>
        <x:v>3</x:v>
      </x:c>
      <x:c r="M1648" s="2" t="n">
        <x:f>MAX(1,ROUND('기준스탯 72종'!G73-U1648-AC1648,0))</x:f>
        <x:v>3</x:v>
      </x:c>
      <x:c r="N1648" s="2" t="n">
        <x:f>MAX(0,ROUND('기준스탯 72종'!H73-V1648-AD1648,0))</x:f>
        <x:v>2</x:v>
      </x:c>
      <x:c r="O1648" s="2" t="n">
        <x:f>MAX(0,ROUND('기준스탯 72종'!I73-W1648-AE1648,0))</x:f>
        <x:v>2</x:v>
      </x:c>
      <x:c r="P1648" s="2" t="n">
        <x:f>MAX(0,ROUND('기준스탯 72종'!J73-X1648-AF1648,0))</x:f>
        <x:v>2</x:v>
      </x:c>
      <x:c r="Q1648" s="2" t="n">
        <x:f>MAX(0,ROUND('기준스탯 72종'!K73-Y1648-AG1648,0))</x:f>
        <x:v>1</x:v>
      </x:c>
      <x:c r="R1648" s="15" t="n">
        <x:f>'기준스탯 72종'!D73*G1648</x:f>
        <x:v>4.4799999999999995</x:v>
      </x:c>
      <x:c r="S1648" s="15" t="n">
        <x:f>'기준스탯 72종'!E73*G1648</x:f>
        <x:v>3.9199999999999995</x:v>
      </x:c>
      <x:c r="T1648" s="15" t="n">
        <x:f>'기준스탯 72종'!F73*G1648</x:f>
        <x:v>3.9199999999999995</x:v>
      </x:c>
      <x:c r="U1648" s="15" t="n">
        <x:f>'기준스탯 72종'!G73*G1648</x:f>
        <x:v>5.039999999999999</x:v>
      </x:c>
      <x:c r="V1648" s="15" t="n">
        <x:f>'기준스탯 72종'!H73*G1648</x:f>
        <x:v>2.2399999999999998</x:v>
      </x:c>
      <x:c r="W1648" s="15" t="n">
        <x:f>'기준스탯 72종'!I73*G1648</x:f>
        <x:v>2.8</x:v>
      </x:c>
      <x:c r="X1648" s="15" t="n">
        <x:f>'기준스탯 72종'!J73*G1648</x:f>
        <x:v>2.2399999999999998</x:v>
      </x:c>
      <x:c r="Y1648" s="15" t="n">
        <x:f>'기준스탯 72종'!K73*G1648</x:f>
        <x:v>1.6799999999999997</x:v>
      </x:c>
      <x:c r="Z1648" s="15" t="n">
        <x:f>'기준스탯 72종'!D73*H1648</x:f>
        <x:v>0.4800000000000001</x:v>
      </x:c>
      <x:c r="AA1648" s="15" t="n">
        <x:f>'기준스탯 72종'!E73*H1648</x:f>
        <x:v>0.4200000000000001</x:v>
      </x:c>
      <x:c r="AB1648" s="15" t="n">
        <x:f>'기준스탯 72종'!F73*H1648</x:f>
        <x:v>0.4200000000000001</x:v>
      </x:c>
      <x:c r="AC1648" s="15" t="n">
        <x:f>'기준스탯 72종'!G73*H1648</x:f>
        <x:v>0.5400000000000001</x:v>
      </x:c>
      <x:c r="AD1648" s="15" t="n">
        <x:f>'기준스탯 72종'!H73*H1648</x:f>
        <x:v>0.24000000000000005</x:v>
      </x:c>
      <x:c r="AE1648" s="15" t="n">
        <x:f>'기준스탯 72종'!I73*H1648</x:f>
        <x:v>0.30000000000000004</x:v>
      </x:c>
      <x:c r="AF1648" s="15" t="n">
        <x:f>'기준스탯 72종'!J73*H1648</x:f>
        <x:v>0.24000000000000005</x:v>
      </x:c>
      <x:c r="AG1648" s="15" t="n">
        <x:f>'기준스탯 72종'!K73*H1648</x:f>
        <x:v>0.18000000000000005</x:v>
      </x:c>
    </x:row>
    <x:row r="1649" ht="28" customHeight="1">
      <x:c r="A1649" s="2" t="n">
        <x:v>1642</x:v>
      </x:c>
      <x:c r="B1649" s="2" t="n">
        <x:v>66</x:v>
      </x:c>
      <x:c r="C1649" s="2" t="str">
        <x:v>물병자리</x:v>
      </x:c>
      <x:c r="D1649" s="2" t="str">
        <x:v>전사</x:v>
      </x:c>
      <x:c r="E1649" s="2" t="n">
        <x:v>2</x:v>
      </x:c>
      <x:c r="F1649" s="2" t="n">
        <x:v>4</x:v>
      </x:c>
      <x:c r="G1649" s="14" t="n">
        <x:f>('레벨 계산식'!$E$4-E1649)*'레벨 계산식'!$B$5</x:f>
        <x:v>0.41999999999999993</x:v>
      </x:c>
      <x:c r="H1649" s="14" t="n">
        <x:f>('등급 계산식'!$E$4-F1649)*'등급 계산식'!$B$5</x:f>
        <x:v>0.06000000000000001</x:v>
      </x:c>
      <x:c r="I1649" s="14" t="n">
        <x:f>1-G1649-H1649</x:f>
        <x:v>0.52</x:v>
      </x:c>
      <x:c r="J1649" s="2" t="n">
        <x:f>MAX(1,ROUND('기준스탯 72종'!D73-R1649-Z1649,0))</x:f>
        <x:v>4</x:v>
      </x:c>
      <x:c r="K1649" s="2" t="n">
        <x:f>MAX(1,ROUND('기준스탯 72종'!E73-S1649-AA1649,0))</x:f>
        <x:v>4</x:v>
      </x:c>
      <x:c r="L1649" s="2" t="n">
        <x:f>MAX(1,ROUND('기준스탯 72종'!F73-T1649-AB1649,0))</x:f>
        <x:v>4</x:v>
      </x:c>
      <x:c r="M1649" s="2" t="n">
        <x:f>MAX(1,ROUND('기준스탯 72종'!G73-U1649-AC1649,0))</x:f>
        <x:v>5</x:v>
      </x:c>
      <x:c r="N1649" s="2" t="n">
        <x:f>MAX(0,ROUND('기준스탯 72종'!H73-V1649-AD1649,0))</x:f>
        <x:v>2</x:v>
      </x:c>
      <x:c r="O1649" s="2" t="n">
        <x:f>MAX(0,ROUND('기준스탯 72종'!I73-W1649-AE1649,0))</x:f>
        <x:v>3</x:v>
      </x:c>
      <x:c r="P1649" s="2" t="n">
        <x:f>MAX(0,ROUND('기준스탯 72종'!J73-X1649-AF1649,0))</x:f>
        <x:v>2</x:v>
      </x:c>
      <x:c r="Q1649" s="2" t="n">
        <x:f>MAX(0,ROUND('기준스탯 72종'!K73-Y1649-AG1649,0))</x:f>
        <x:v>2</x:v>
      </x:c>
      <x:c r="R1649" s="15" t="n">
        <x:f>'기준스탯 72종'!D73*G1649</x:f>
        <x:v>3.3599999999999994</x:v>
      </x:c>
      <x:c r="S1649" s="15" t="n">
        <x:f>'기준스탯 72종'!E73*G1649</x:f>
        <x:v>2.9399999999999995</x:v>
      </x:c>
      <x:c r="T1649" s="15" t="n">
        <x:f>'기준스탯 72종'!F73*G1649</x:f>
        <x:v>2.9399999999999995</x:v>
      </x:c>
      <x:c r="U1649" s="15" t="n">
        <x:f>'기준스탯 72종'!G73*G1649</x:f>
        <x:v>3.7799999999999994</x:v>
      </x:c>
      <x:c r="V1649" s="15" t="n">
        <x:f>'기준스탯 72종'!H73*G1649</x:f>
        <x:v>1.6799999999999997</x:v>
      </x:c>
      <x:c r="W1649" s="15" t="n">
        <x:f>'기준스탯 72종'!I73*G1649</x:f>
        <x:v>2.0999999999999996</x:v>
      </x:c>
      <x:c r="X1649" s="15" t="n">
        <x:f>'기준스탯 72종'!J73*G1649</x:f>
        <x:v>1.6799999999999997</x:v>
      </x:c>
      <x:c r="Y1649" s="15" t="n">
        <x:f>'기준스탯 72종'!K73*G1649</x:f>
        <x:v>1.2599999999999998</x:v>
      </x:c>
      <x:c r="Z1649" s="15" t="n">
        <x:f>'기준스탯 72종'!D73*H1649</x:f>
        <x:v>0.4800000000000001</x:v>
      </x:c>
      <x:c r="AA1649" s="15" t="n">
        <x:f>'기준스탯 72종'!E73*H1649</x:f>
        <x:v>0.4200000000000001</x:v>
      </x:c>
      <x:c r="AB1649" s="15" t="n">
        <x:f>'기준스탯 72종'!F73*H1649</x:f>
        <x:v>0.4200000000000001</x:v>
      </x:c>
      <x:c r="AC1649" s="15" t="n">
        <x:f>'기준스탯 72종'!G73*H1649</x:f>
        <x:v>0.5400000000000001</x:v>
      </x:c>
      <x:c r="AD1649" s="15" t="n">
        <x:f>'기준스탯 72종'!H73*H1649</x:f>
        <x:v>0.24000000000000005</x:v>
      </x:c>
      <x:c r="AE1649" s="15" t="n">
        <x:f>'기준스탯 72종'!I73*H1649</x:f>
        <x:v>0.30000000000000004</x:v>
      </x:c>
      <x:c r="AF1649" s="15" t="n">
        <x:f>'기준스탯 72종'!J73*H1649</x:f>
        <x:v>0.24000000000000005</x:v>
      </x:c>
      <x:c r="AG1649" s="15" t="n">
        <x:f>'기준스탯 72종'!K73*H1649</x:f>
        <x:v>0.18000000000000005</x:v>
      </x:c>
    </x:row>
    <x:row r="1650" ht="28" customHeight="1">
      <x:c r="A1650" s="2" t="n">
        <x:v>1643</x:v>
      </x:c>
      <x:c r="B1650" s="2" t="n">
        <x:v>66</x:v>
      </x:c>
      <x:c r="C1650" s="2" t="str">
        <x:v>물병자리</x:v>
      </x:c>
      <x:c r="D1650" s="2" t="str">
        <x:v>전사</x:v>
      </x:c>
      <x:c r="E1650" s="2" t="n">
        <x:v>3</x:v>
      </x:c>
      <x:c r="F1650" s="2" t="n">
        <x:v>4</x:v>
      </x:c>
      <x:c r="G1650" s="14" t="n">
        <x:f>('레벨 계산식'!$E$4-E1650)*'레벨 계산식'!$B$5</x:f>
        <x:v>0.27999999999999997</x:v>
      </x:c>
      <x:c r="H1650" s="14" t="n">
        <x:f>('등급 계산식'!$E$4-F1650)*'등급 계산식'!$B$5</x:f>
        <x:v>0.06000000000000001</x:v>
      </x:c>
      <x:c r="I1650" s="14" t="n">
        <x:f>1-G1650-H1650</x:f>
        <x:v>0.6599999999999999</x:v>
      </x:c>
      <x:c r="J1650" s="2" t="n">
        <x:f>MAX(1,ROUND('기준스탯 72종'!D73-R1650-Z1650,0))</x:f>
        <x:v>5</x:v>
      </x:c>
      <x:c r="K1650" s="2" t="n">
        <x:f>MAX(1,ROUND('기준스탯 72종'!E73-S1650-AA1650,0))</x:f>
        <x:v>5</x:v>
      </x:c>
      <x:c r="L1650" s="2" t="n">
        <x:f>MAX(1,ROUND('기준스탯 72종'!F73-T1650-AB1650,0))</x:f>
        <x:v>5</x:v>
      </x:c>
      <x:c r="M1650" s="2" t="n">
        <x:f>MAX(1,ROUND('기준스탯 72종'!G73-U1650-AC1650,0))</x:f>
        <x:v>6</x:v>
      </x:c>
      <x:c r="N1650" s="2" t="n">
        <x:f>MAX(0,ROUND('기준스탯 72종'!H73-V1650-AD1650,0))</x:f>
        <x:v>3</x:v>
      </x:c>
      <x:c r="O1650" s="2" t="n">
        <x:f>MAX(0,ROUND('기준스탯 72종'!I73-W1650-AE1650,0))</x:f>
        <x:v>3</x:v>
      </x:c>
      <x:c r="P1650" s="2" t="n">
        <x:f>MAX(0,ROUND('기준스탯 72종'!J73-X1650-AF1650,0))</x:f>
        <x:v>3</x:v>
      </x:c>
      <x:c r="Q1650" s="2" t="n">
        <x:f>MAX(0,ROUND('기준스탯 72종'!K73-Y1650-AG1650,0))</x:f>
        <x:v>2</x:v>
      </x:c>
      <x:c r="R1650" s="15" t="n">
        <x:f>'기준스탯 72종'!D73*G1650</x:f>
        <x:v>2.2399999999999998</x:v>
      </x:c>
      <x:c r="S1650" s="15" t="n">
        <x:f>'기준스탯 72종'!E73*G1650</x:f>
        <x:v>1.9599999999999997</x:v>
      </x:c>
      <x:c r="T1650" s="15" t="n">
        <x:f>'기준스탯 72종'!F73*G1650</x:f>
        <x:v>1.9599999999999997</x:v>
      </x:c>
      <x:c r="U1650" s="15" t="n">
        <x:f>'기준스탯 72종'!G73*G1650</x:f>
        <x:v>2.5199999999999996</x:v>
      </x:c>
      <x:c r="V1650" s="15" t="n">
        <x:f>'기준스탯 72종'!H73*G1650</x:f>
        <x:v>1.1199999999999999</x:v>
      </x:c>
      <x:c r="W1650" s="15" t="n">
        <x:f>'기준스탯 72종'!I73*G1650</x:f>
        <x:v>1.4</x:v>
      </x:c>
      <x:c r="X1650" s="15" t="n">
        <x:f>'기준스탯 72종'!J73*G1650</x:f>
        <x:v>1.1199999999999999</x:v>
      </x:c>
      <x:c r="Y1650" s="15" t="n">
        <x:f>'기준스탯 72종'!K73*G1650</x:f>
        <x:v>0.8399999999999999</x:v>
      </x:c>
      <x:c r="Z1650" s="15" t="n">
        <x:f>'기준스탯 72종'!D73*H1650</x:f>
        <x:v>0.4800000000000001</x:v>
      </x:c>
      <x:c r="AA1650" s="15" t="n">
        <x:f>'기준스탯 72종'!E73*H1650</x:f>
        <x:v>0.4200000000000001</x:v>
      </x:c>
      <x:c r="AB1650" s="15" t="n">
        <x:f>'기준스탯 72종'!F73*H1650</x:f>
        <x:v>0.4200000000000001</x:v>
      </x:c>
      <x:c r="AC1650" s="15" t="n">
        <x:f>'기준스탯 72종'!G73*H1650</x:f>
        <x:v>0.5400000000000001</x:v>
      </x:c>
      <x:c r="AD1650" s="15" t="n">
        <x:f>'기준스탯 72종'!H73*H1650</x:f>
        <x:v>0.24000000000000005</x:v>
      </x:c>
      <x:c r="AE1650" s="15" t="n">
        <x:f>'기준스탯 72종'!I73*H1650</x:f>
        <x:v>0.30000000000000004</x:v>
      </x:c>
      <x:c r="AF1650" s="15" t="n">
        <x:f>'기준스탯 72종'!J73*H1650</x:f>
        <x:v>0.24000000000000005</x:v>
      </x:c>
      <x:c r="AG1650" s="15" t="n">
        <x:f>'기준스탯 72종'!K73*H1650</x:f>
        <x:v>0.18000000000000005</x:v>
      </x:c>
    </x:row>
    <x:row r="1651" ht="28" customHeight="1">
      <x:c r="A1651" s="2" t="n">
        <x:v>1644</x:v>
      </x:c>
      <x:c r="B1651" s="2" t="n">
        <x:v>66</x:v>
      </x:c>
      <x:c r="C1651" s="2" t="str">
        <x:v>물병자리</x:v>
      </x:c>
      <x:c r="D1651" s="2" t="str">
        <x:v>전사</x:v>
      </x:c>
      <x:c r="E1651" s="2" t="n">
        <x:v>4</x:v>
      </x:c>
      <x:c r="F1651" s="2" t="n">
        <x:v>4</x:v>
      </x:c>
      <x:c r="G1651" s="14" t="n">
        <x:f>('레벨 계산식'!$E$4-E1651)*'레벨 계산식'!$B$5</x:f>
        <x:v>0.13999999999999999</x:v>
      </x:c>
      <x:c r="H1651" s="14" t="n">
        <x:f>('등급 계산식'!$E$4-F1651)*'등급 계산식'!$B$5</x:f>
        <x:v>0.06000000000000001</x:v>
      </x:c>
      <x:c r="I1651" s="14" t="n">
        <x:f>1-G1651-H1651</x:f>
        <x:v>0.7999999999999999</x:v>
      </x:c>
      <x:c r="J1651" s="2" t="n">
        <x:f>MAX(1,ROUND('기준스탯 72종'!D73-R1651-Z1651,0))</x:f>
        <x:v>6</x:v>
      </x:c>
      <x:c r="K1651" s="2" t="n">
        <x:f>MAX(1,ROUND('기준스탯 72종'!E73-S1651-AA1651,0))</x:f>
        <x:v>6</x:v>
      </x:c>
      <x:c r="L1651" s="2" t="n">
        <x:f>MAX(1,ROUND('기준스탯 72종'!F73-T1651-AB1651,0))</x:f>
        <x:v>6</x:v>
      </x:c>
      <x:c r="M1651" s="2" t="n">
        <x:f>MAX(1,ROUND('기준스탯 72종'!G73-U1651-AC1651,0))</x:f>
        <x:v>7</x:v>
      </x:c>
      <x:c r="N1651" s="2" t="n">
        <x:f>MAX(0,ROUND('기준스탯 72종'!H73-V1651-AD1651,0))</x:f>
        <x:v>3</x:v>
      </x:c>
      <x:c r="O1651" s="2" t="n">
        <x:f>MAX(0,ROUND('기준스탯 72종'!I73-W1651-AE1651,0))</x:f>
        <x:v>4</x:v>
      </x:c>
      <x:c r="P1651" s="2" t="n">
        <x:f>MAX(0,ROUND('기준스탯 72종'!J73-X1651-AF1651,0))</x:f>
        <x:v>3</x:v>
      </x:c>
      <x:c r="Q1651" s="2" t="n">
        <x:f>MAX(0,ROUND('기준스탯 72종'!K73-Y1651-AG1651,0))</x:f>
        <x:v>2</x:v>
      </x:c>
      <x:c r="R1651" s="15" t="n">
        <x:f>'기준스탯 72종'!D73*G1651</x:f>
        <x:v>1.1199999999999999</x:v>
      </x:c>
      <x:c r="S1651" s="15" t="n">
        <x:f>'기준스탯 72종'!E73*G1651</x:f>
        <x:v>0.9799999999999999</x:v>
      </x:c>
      <x:c r="T1651" s="15" t="n">
        <x:f>'기준스탯 72종'!F73*G1651</x:f>
        <x:v>0.9799999999999999</x:v>
      </x:c>
      <x:c r="U1651" s="15" t="n">
        <x:f>'기준스탯 72종'!G73*G1651</x:f>
        <x:v>1.2599999999999998</x:v>
      </x:c>
      <x:c r="V1651" s="15" t="n">
        <x:f>'기준스탯 72종'!H73*G1651</x:f>
        <x:v>0.5599999999999999</x:v>
      </x:c>
      <x:c r="W1651" s="15" t="n">
        <x:f>'기준스탯 72종'!I73*G1651</x:f>
        <x:v>0.7</x:v>
      </x:c>
      <x:c r="X1651" s="15" t="n">
        <x:f>'기준스탯 72종'!J73*G1651</x:f>
        <x:v>0.5599999999999999</x:v>
      </x:c>
      <x:c r="Y1651" s="15" t="n">
        <x:f>'기준스탯 72종'!K73*G1651</x:f>
        <x:v>0.41999999999999993</x:v>
      </x:c>
      <x:c r="Z1651" s="15" t="n">
        <x:f>'기준스탯 72종'!D73*H1651</x:f>
        <x:v>0.4800000000000001</x:v>
      </x:c>
      <x:c r="AA1651" s="15" t="n">
        <x:f>'기준스탯 72종'!E73*H1651</x:f>
        <x:v>0.4200000000000001</x:v>
      </x:c>
      <x:c r="AB1651" s="15" t="n">
        <x:f>'기준스탯 72종'!F73*H1651</x:f>
        <x:v>0.4200000000000001</x:v>
      </x:c>
      <x:c r="AC1651" s="15" t="n">
        <x:f>'기준스탯 72종'!G73*H1651</x:f>
        <x:v>0.5400000000000001</x:v>
      </x:c>
      <x:c r="AD1651" s="15" t="n">
        <x:f>'기준스탯 72종'!H73*H1651</x:f>
        <x:v>0.24000000000000005</x:v>
      </x:c>
      <x:c r="AE1651" s="15" t="n">
        <x:f>'기준스탯 72종'!I73*H1651</x:f>
        <x:v>0.30000000000000004</x:v>
      </x:c>
      <x:c r="AF1651" s="15" t="n">
        <x:f>'기준스탯 72종'!J73*H1651</x:f>
        <x:v>0.24000000000000005</x:v>
      </x:c>
      <x:c r="AG1651" s="15" t="n">
        <x:f>'기준스탯 72종'!K73*H1651</x:f>
        <x:v>0.18000000000000005</x:v>
      </x:c>
    </x:row>
    <x:row r="1652" ht="28" customHeight="1">
      <x:c r="A1652" s="2" t="n">
        <x:v>1645</x:v>
      </x:c>
      <x:c r="B1652" s="2" t="n">
        <x:v>66</x:v>
      </x:c>
      <x:c r="C1652" s="2" t="str">
        <x:v>물병자리</x:v>
      </x:c>
      <x:c r="D1652" s="2" t="str">
        <x:v>전사</x:v>
      </x:c>
      <x:c r="E1652" s="2" t="n">
        <x:v>5</x:v>
      </x:c>
      <x:c r="F1652" s="2" t="n">
        <x:v>4</x:v>
      </x:c>
      <x:c r="G1652" s="14" t="n">
        <x:f>('레벨 계산식'!$E$4-E1652)*'레벨 계산식'!$B$5</x:f>
        <x:v>0</x:v>
      </x:c>
      <x:c r="H1652" s="14" t="n">
        <x:f>('등급 계산식'!$E$4-F1652)*'등급 계산식'!$B$5</x:f>
        <x:v>0.06000000000000001</x:v>
      </x:c>
      <x:c r="I1652" s="14" t="n">
        <x:f>1-G1652-H1652</x:f>
        <x:v>0.94</x:v>
      </x:c>
      <x:c r="J1652" s="2" t="n">
        <x:f>MAX(1,ROUND('기준스탯 72종'!D73-R1652-Z1652,0))</x:f>
        <x:v>8</x:v>
      </x:c>
      <x:c r="K1652" s="2" t="n">
        <x:f>MAX(1,ROUND('기준스탯 72종'!E73-S1652-AA1652,0))</x:f>
        <x:v>7</x:v>
      </x:c>
      <x:c r="L1652" s="2" t="n">
        <x:f>MAX(1,ROUND('기준스탯 72종'!F73-T1652-AB1652,0))</x:f>
        <x:v>7</x:v>
      </x:c>
      <x:c r="M1652" s="2" t="n">
        <x:f>MAX(1,ROUND('기준스탯 72종'!G73-U1652-AC1652,0))</x:f>
        <x:v>8</x:v>
      </x:c>
      <x:c r="N1652" s="2" t="n">
        <x:f>MAX(0,ROUND('기준스탯 72종'!H73-V1652-AD1652,0))</x:f>
        <x:v>4</x:v>
      </x:c>
      <x:c r="O1652" s="2" t="n">
        <x:f>MAX(0,ROUND('기준스탯 72종'!I73-W1652-AE1652,0))</x:f>
        <x:v>5</x:v>
      </x:c>
      <x:c r="P1652" s="2" t="n">
        <x:f>MAX(0,ROUND('기준스탯 72종'!J73-X1652-AF1652,0))</x:f>
        <x:v>4</x:v>
      </x:c>
      <x:c r="Q1652" s="2" t="n">
        <x:f>MAX(0,ROUND('기준스탯 72종'!K73-Y1652-AG1652,0))</x:f>
        <x:v>3</x:v>
      </x:c>
      <x:c r="R1652" s="15" t="n">
        <x:f>'기준스탯 72종'!D73*G1652</x:f>
        <x:v>0</x:v>
      </x:c>
      <x:c r="S1652" s="15" t="n">
        <x:f>'기준스탯 72종'!E73*G1652</x:f>
        <x:v>0</x:v>
      </x:c>
      <x:c r="T1652" s="15" t="n">
        <x:f>'기준스탯 72종'!F73*G1652</x:f>
        <x:v>0</x:v>
      </x:c>
      <x:c r="U1652" s="15" t="n">
        <x:f>'기준스탯 72종'!G73*G1652</x:f>
        <x:v>0</x:v>
      </x:c>
      <x:c r="V1652" s="15" t="n">
        <x:f>'기준스탯 72종'!H73*G1652</x:f>
        <x:v>0</x:v>
      </x:c>
      <x:c r="W1652" s="15" t="n">
        <x:f>'기준스탯 72종'!I73*G1652</x:f>
        <x:v>0</x:v>
      </x:c>
      <x:c r="X1652" s="15" t="n">
        <x:f>'기준스탯 72종'!J73*G1652</x:f>
        <x:v>0</x:v>
      </x:c>
      <x:c r="Y1652" s="15" t="n">
        <x:f>'기준스탯 72종'!K73*G1652</x:f>
        <x:v>0</x:v>
      </x:c>
      <x:c r="Z1652" s="15" t="n">
        <x:f>'기준스탯 72종'!D73*H1652</x:f>
        <x:v>0.4800000000000001</x:v>
      </x:c>
      <x:c r="AA1652" s="15" t="n">
        <x:f>'기준스탯 72종'!E73*H1652</x:f>
        <x:v>0.4200000000000001</x:v>
      </x:c>
      <x:c r="AB1652" s="15" t="n">
        <x:f>'기준스탯 72종'!F73*H1652</x:f>
        <x:v>0.4200000000000001</x:v>
      </x:c>
      <x:c r="AC1652" s="15" t="n">
        <x:f>'기준스탯 72종'!G73*H1652</x:f>
        <x:v>0.5400000000000001</x:v>
      </x:c>
      <x:c r="AD1652" s="15" t="n">
        <x:f>'기준스탯 72종'!H73*H1652</x:f>
        <x:v>0.24000000000000005</x:v>
      </x:c>
      <x:c r="AE1652" s="15" t="n">
        <x:f>'기준스탯 72종'!I73*H1652</x:f>
        <x:v>0.30000000000000004</x:v>
      </x:c>
      <x:c r="AF1652" s="15" t="n">
        <x:f>'기준스탯 72종'!J73*H1652</x:f>
        <x:v>0.24000000000000005</x:v>
      </x:c>
      <x:c r="AG1652" s="15" t="n">
        <x:f>'기준스탯 72종'!K73*H1652</x:f>
        <x:v>0.18000000000000005</x:v>
      </x:c>
    </x:row>
    <x:row r="1653" ht="28" customHeight="1">
      <x:c r="A1653" s="2" t="n">
        <x:v>1646</x:v>
      </x:c>
      <x:c r="B1653" s="2" t="n">
        <x:v>66</x:v>
      </x:c>
      <x:c r="C1653" s="2" t="str">
        <x:v>물병자리</x:v>
      </x:c>
      <x:c r="D1653" s="2" t="str">
        <x:v>전사</x:v>
      </x:c>
      <x:c r="E1653" s="2" t="n">
        <x:v>1</x:v>
      </x:c>
      <x:c r="F1653" s="2" t="n">
        <x:v>5</x:v>
      </x:c>
      <x:c r="G1653" s="14" t="n">
        <x:f>('레벨 계산식'!$E$4-E1653)*'레벨 계산식'!$B$5</x:f>
        <x:v>0.5599999999999999</x:v>
      </x:c>
      <x:c r="H1653" s="14" t="n">
        <x:f>('등급 계산식'!$E$4-F1653)*'등급 계산식'!$B$5</x:f>
        <x:v>0</x:v>
      </x:c>
      <x:c r="I1653" s="14" t="n">
        <x:f>1-G1653-H1653</x:f>
        <x:v>0.44000000000000006</x:v>
      </x:c>
      <x:c r="J1653" s="2" t="n">
        <x:f>MAX(1,ROUND('기준스탯 72종'!D73-R1653-Z1653,0))</x:f>
        <x:v>4</x:v>
      </x:c>
      <x:c r="K1653" s="2" t="n">
        <x:f>MAX(1,ROUND('기준스탯 72종'!E73-S1653-AA1653,0))</x:f>
        <x:v>3</x:v>
      </x:c>
      <x:c r="L1653" s="2" t="n">
        <x:f>MAX(1,ROUND('기준스탯 72종'!F73-T1653-AB1653,0))</x:f>
        <x:v>3</x:v>
      </x:c>
      <x:c r="M1653" s="2" t="n">
        <x:f>MAX(1,ROUND('기준스탯 72종'!G73-U1653-AC1653,0))</x:f>
        <x:v>4</x:v>
      </x:c>
      <x:c r="N1653" s="2" t="n">
        <x:f>MAX(0,ROUND('기준스탯 72종'!H73-V1653-AD1653,0))</x:f>
        <x:v>2</x:v>
      </x:c>
      <x:c r="O1653" s="2" t="n">
        <x:f>MAX(0,ROUND('기준스탯 72종'!I73-W1653-AE1653,0))</x:f>
        <x:v>2</x:v>
      </x:c>
      <x:c r="P1653" s="2" t="n">
        <x:f>MAX(0,ROUND('기준스탯 72종'!J73-X1653-AF1653,0))</x:f>
        <x:v>2</x:v>
      </x:c>
      <x:c r="Q1653" s="2" t="n">
        <x:f>MAX(0,ROUND('기준스탯 72종'!K73-Y1653-AG1653,0))</x:f>
        <x:v>1</x:v>
      </x:c>
      <x:c r="R1653" s="15" t="n">
        <x:f>'기준스탯 72종'!D73*G1653</x:f>
        <x:v>4.4799999999999995</x:v>
      </x:c>
      <x:c r="S1653" s="15" t="n">
        <x:f>'기준스탯 72종'!E73*G1653</x:f>
        <x:v>3.9199999999999995</x:v>
      </x:c>
      <x:c r="T1653" s="15" t="n">
        <x:f>'기준스탯 72종'!F73*G1653</x:f>
        <x:v>3.9199999999999995</x:v>
      </x:c>
      <x:c r="U1653" s="15" t="n">
        <x:f>'기준스탯 72종'!G73*G1653</x:f>
        <x:v>5.039999999999999</x:v>
      </x:c>
      <x:c r="V1653" s="15" t="n">
        <x:f>'기준스탯 72종'!H73*G1653</x:f>
        <x:v>2.2399999999999998</x:v>
      </x:c>
      <x:c r="W1653" s="15" t="n">
        <x:f>'기준스탯 72종'!I73*G1653</x:f>
        <x:v>2.8</x:v>
      </x:c>
      <x:c r="X1653" s="15" t="n">
        <x:f>'기준스탯 72종'!J73*G1653</x:f>
        <x:v>2.2399999999999998</x:v>
      </x:c>
      <x:c r="Y1653" s="15" t="n">
        <x:f>'기준스탯 72종'!K73*G1653</x:f>
        <x:v>1.6799999999999997</x:v>
      </x:c>
      <x:c r="Z1653" s="15" t="n">
        <x:f>'기준스탯 72종'!D73*H1653</x:f>
        <x:v>0</x:v>
      </x:c>
      <x:c r="AA1653" s="15" t="n">
        <x:f>'기준스탯 72종'!E73*H1653</x:f>
        <x:v>0</x:v>
      </x:c>
      <x:c r="AB1653" s="15" t="n">
        <x:f>'기준스탯 72종'!F73*H1653</x:f>
        <x:v>0</x:v>
      </x:c>
      <x:c r="AC1653" s="15" t="n">
        <x:f>'기준스탯 72종'!G73*H1653</x:f>
        <x:v>0</x:v>
      </x:c>
      <x:c r="AD1653" s="15" t="n">
        <x:f>'기준스탯 72종'!H73*H1653</x:f>
        <x:v>0</x:v>
      </x:c>
      <x:c r="AE1653" s="15" t="n">
        <x:f>'기준스탯 72종'!I73*H1653</x:f>
        <x:v>0</x:v>
      </x:c>
      <x:c r="AF1653" s="15" t="n">
        <x:f>'기준스탯 72종'!J73*H1653</x:f>
        <x:v>0</x:v>
      </x:c>
      <x:c r="AG1653" s="15" t="n">
        <x:f>'기준스탯 72종'!K73*H1653</x:f>
        <x:v>0</x:v>
      </x:c>
    </x:row>
    <x:row r="1654" ht="28" customHeight="1">
      <x:c r="A1654" s="2" t="n">
        <x:v>1647</x:v>
      </x:c>
      <x:c r="B1654" s="2" t="n">
        <x:v>66</x:v>
      </x:c>
      <x:c r="C1654" s="2" t="str">
        <x:v>물병자리</x:v>
      </x:c>
      <x:c r="D1654" s="2" t="str">
        <x:v>전사</x:v>
      </x:c>
      <x:c r="E1654" s="2" t="n">
        <x:v>2</x:v>
      </x:c>
      <x:c r="F1654" s="2" t="n">
        <x:v>5</x:v>
      </x:c>
      <x:c r="G1654" s="14" t="n">
        <x:f>('레벨 계산식'!$E$4-E1654)*'레벨 계산식'!$B$5</x:f>
        <x:v>0.41999999999999993</x:v>
      </x:c>
      <x:c r="H1654" s="14" t="n">
        <x:f>('등급 계산식'!$E$4-F1654)*'등급 계산식'!$B$5</x:f>
        <x:v>0</x:v>
      </x:c>
      <x:c r="I1654" s="14" t="n">
        <x:f>1-G1654-H1654</x:f>
        <x:v>0.5800000000000001</x:v>
      </x:c>
      <x:c r="J1654" s="2" t="n">
        <x:f>MAX(1,ROUND('기준스탯 72종'!D73-R1654-Z1654,0))</x:f>
        <x:v>5</x:v>
      </x:c>
      <x:c r="K1654" s="2" t="n">
        <x:f>MAX(1,ROUND('기준스탯 72종'!E73-S1654-AA1654,0))</x:f>
        <x:v>4</x:v>
      </x:c>
      <x:c r="L1654" s="2" t="n">
        <x:f>MAX(1,ROUND('기준스탯 72종'!F73-T1654-AB1654,0))</x:f>
        <x:v>4</x:v>
      </x:c>
      <x:c r="M1654" s="2" t="n">
        <x:f>MAX(1,ROUND('기준스탯 72종'!G73-U1654-AC1654,0))</x:f>
        <x:v>5</x:v>
      </x:c>
      <x:c r="N1654" s="2" t="n">
        <x:f>MAX(0,ROUND('기준스탯 72종'!H73-V1654-AD1654,0))</x:f>
        <x:v>2</x:v>
      </x:c>
      <x:c r="O1654" s="2" t="n">
        <x:f>MAX(0,ROUND('기준스탯 72종'!I73-W1654-AE1654,0))</x:f>
        <x:v>3</x:v>
      </x:c>
      <x:c r="P1654" s="2" t="n">
        <x:f>MAX(0,ROUND('기준스탯 72종'!J73-X1654-AF1654,0))</x:f>
        <x:v>2</x:v>
      </x:c>
      <x:c r="Q1654" s="2" t="n">
        <x:f>MAX(0,ROUND('기준스탯 72종'!K73-Y1654-AG1654,0))</x:f>
        <x:v>2</x:v>
      </x:c>
      <x:c r="R1654" s="15" t="n">
        <x:f>'기준스탯 72종'!D73*G1654</x:f>
        <x:v>3.3599999999999994</x:v>
      </x:c>
      <x:c r="S1654" s="15" t="n">
        <x:f>'기준스탯 72종'!E73*G1654</x:f>
        <x:v>2.9399999999999995</x:v>
      </x:c>
      <x:c r="T1654" s="15" t="n">
        <x:f>'기준스탯 72종'!F73*G1654</x:f>
        <x:v>2.9399999999999995</x:v>
      </x:c>
      <x:c r="U1654" s="15" t="n">
        <x:f>'기준스탯 72종'!G73*G1654</x:f>
        <x:v>3.7799999999999994</x:v>
      </x:c>
      <x:c r="V1654" s="15" t="n">
        <x:f>'기준스탯 72종'!H73*G1654</x:f>
        <x:v>1.6799999999999997</x:v>
      </x:c>
      <x:c r="W1654" s="15" t="n">
        <x:f>'기준스탯 72종'!I73*G1654</x:f>
        <x:v>2.0999999999999996</x:v>
      </x:c>
      <x:c r="X1654" s="15" t="n">
        <x:f>'기준스탯 72종'!J73*G1654</x:f>
        <x:v>1.6799999999999997</x:v>
      </x:c>
      <x:c r="Y1654" s="15" t="n">
        <x:f>'기준스탯 72종'!K73*G1654</x:f>
        <x:v>1.2599999999999998</x:v>
      </x:c>
      <x:c r="Z1654" s="15" t="n">
        <x:f>'기준스탯 72종'!D73*H1654</x:f>
        <x:v>0</x:v>
      </x:c>
      <x:c r="AA1654" s="15" t="n">
        <x:f>'기준스탯 72종'!E73*H1654</x:f>
        <x:v>0</x:v>
      </x:c>
      <x:c r="AB1654" s="15" t="n">
        <x:f>'기준스탯 72종'!F73*H1654</x:f>
        <x:v>0</x:v>
      </x:c>
      <x:c r="AC1654" s="15" t="n">
        <x:f>'기준스탯 72종'!G73*H1654</x:f>
        <x:v>0</x:v>
      </x:c>
      <x:c r="AD1654" s="15" t="n">
        <x:f>'기준스탯 72종'!H73*H1654</x:f>
        <x:v>0</x:v>
      </x:c>
      <x:c r="AE1654" s="15" t="n">
        <x:f>'기준스탯 72종'!I73*H1654</x:f>
        <x:v>0</x:v>
      </x:c>
      <x:c r="AF1654" s="15" t="n">
        <x:f>'기준스탯 72종'!J73*H1654</x:f>
        <x:v>0</x:v>
      </x:c>
      <x:c r="AG1654" s="15" t="n">
        <x:f>'기준스탯 72종'!K73*H1654</x:f>
        <x:v>0</x:v>
      </x:c>
    </x:row>
    <x:row r="1655" ht="28" customHeight="1">
      <x:c r="A1655" s="2" t="n">
        <x:v>1648</x:v>
      </x:c>
      <x:c r="B1655" s="2" t="n">
        <x:v>66</x:v>
      </x:c>
      <x:c r="C1655" s="2" t="str">
        <x:v>물병자리</x:v>
      </x:c>
      <x:c r="D1655" s="2" t="str">
        <x:v>전사</x:v>
      </x:c>
      <x:c r="E1655" s="2" t="n">
        <x:v>3</x:v>
      </x:c>
      <x:c r="F1655" s="2" t="n">
        <x:v>5</x:v>
      </x:c>
      <x:c r="G1655" s="14" t="n">
        <x:f>('레벨 계산식'!$E$4-E1655)*'레벨 계산식'!$B$5</x:f>
        <x:v>0.27999999999999997</x:v>
      </x:c>
      <x:c r="H1655" s="14" t="n">
        <x:f>('등급 계산식'!$E$4-F1655)*'등급 계산식'!$B$5</x:f>
        <x:v>0</x:v>
      </x:c>
      <x:c r="I1655" s="14" t="n">
        <x:f>1-G1655-H1655</x:f>
        <x:v>0.72</x:v>
      </x:c>
      <x:c r="J1655" s="2" t="n">
        <x:f>MAX(1,ROUND('기준스탯 72종'!D73-R1655-Z1655,0))</x:f>
        <x:v>6</x:v>
      </x:c>
      <x:c r="K1655" s="2" t="n">
        <x:f>MAX(1,ROUND('기준스탯 72종'!E73-S1655-AA1655,0))</x:f>
        <x:v>5</x:v>
      </x:c>
      <x:c r="L1655" s="2" t="n">
        <x:f>MAX(1,ROUND('기준스탯 72종'!F73-T1655-AB1655,0))</x:f>
        <x:v>5</x:v>
      </x:c>
      <x:c r="M1655" s="2" t="n">
        <x:f>MAX(1,ROUND('기준스탯 72종'!G73-U1655-AC1655,0))</x:f>
        <x:v>6</x:v>
      </x:c>
      <x:c r="N1655" s="2" t="n">
        <x:f>MAX(0,ROUND('기준스탯 72종'!H73-V1655-AD1655,0))</x:f>
        <x:v>3</x:v>
      </x:c>
      <x:c r="O1655" s="2" t="n">
        <x:f>MAX(0,ROUND('기준스탯 72종'!I73-W1655-AE1655,0))</x:f>
        <x:v>4</x:v>
      </x:c>
      <x:c r="P1655" s="2" t="n">
        <x:f>MAX(0,ROUND('기준스탯 72종'!J73-X1655-AF1655,0))</x:f>
        <x:v>3</x:v>
      </x:c>
      <x:c r="Q1655" s="2" t="n">
        <x:f>MAX(0,ROUND('기준스탯 72종'!K73-Y1655-AG1655,0))</x:f>
        <x:v>2</x:v>
      </x:c>
      <x:c r="R1655" s="15" t="n">
        <x:f>'기준스탯 72종'!D73*G1655</x:f>
        <x:v>2.2399999999999998</x:v>
      </x:c>
      <x:c r="S1655" s="15" t="n">
        <x:f>'기준스탯 72종'!E73*G1655</x:f>
        <x:v>1.9599999999999997</x:v>
      </x:c>
      <x:c r="T1655" s="15" t="n">
        <x:f>'기준스탯 72종'!F73*G1655</x:f>
        <x:v>1.9599999999999997</x:v>
      </x:c>
      <x:c r="U1655" s="15" t="n">
        <x:f>'기준스탯 72종'!G73*G1655</x:f>
        <x:v>2.5199999999999996</x:v>
      </x:c>
      <x:c r="V1655" s="15" t="n">
        <x:f>'기준스탯 72종'!H73*G1655</x:f>
        <x:v>1.1199999999999999</x:v>
      </x:c>
      <x:c r="W1655" s="15" t="n">
        <x:f>'기준스탯 72종'!I73*G1655</x:f>
        <x:v>1.4</x:v>
      </x:c>
      <x:c r="X1655" s="15" t="n">
        <x:f>'기준스탯 72종'!J73*G1655</x:f>
        <x:v>1.1199999999999999</x:v>
      </x:c>
      <x:c r="Y1655" s="15" t="n">
        <x:f>'기준스탯 72종'!K73*G1655</x:f>
        <x:v>0.8399999999999999</x:v>
      </x:c>
      <x:c r="Z1655" s="15" t="n">
        <x:f>'기준스탯 72종'!D73*H1655</x:f>
        <x:v>0</x:v>
      </x:c>
      <x:c r="AA1655" s="15" t="n">
        <x:f>'기준스탯 72종'!E73*H1655</x:f>
        <x:v>0</x:v>
      </x:c>
      <x:c r="AB1655" s="15" t="n">
        <x:f>'기준스탯 72종'!F73*H1655</x:f>
        <x:v>0</x:v>
      </x:c>
      <x:c r="AC1655" s="15" t="n">
        <x:f>'기준스탯 72종'!G73*H1655</x:f>
        <x:v>0</x:v>
      </x:c>
      <x:c r="AD1655" s="15" t="n">
        <x:f>'기준스탯 72종'!H73*H1655</x:f>
        <x:v>0</x:v>
      </x:c>
      <x:c r="AE1655" s="15" t="n">
        <x:f>'기준스탯 72종'!I73*H1655</x:f>
        <x:v>0</x:v>
      </x:c>
      <x:c r="AF1655" s="15" t="n">
        <x:f>'기준스탯 72종'!J73*H1655</x:f>
        <x:v>0</x:v>
      </x:c>
      <x:c r="AG1655" s="15" t="n">
        <x:f>'기준스탯 72종'!K73*H1655</x:f>
        <x:v>0</x:v>
      </x:c>
    </x:row>
    <x:row r="1656" ht="28" customHeight="1">
      <x:c r="A1656" s="2" t="n">
        <x:v>1649</x:v>
      </x:c>
      <x:c r="B1656" s="2" t="n">
        <x:v>66</x:v>
      </x:c>
      <x:c r="C1656" s="2" t="str">
        <x:v>물병자리</x:v>
      </x:c>
      <x:c r="D1656" s="2" t="str">
        <x:v>전사</x:v>
      </x:c>
      <x:c r="E1656" s="2" t="n">
        <x:v>4</x:v>
      </x:c>
      <x:c r="F1656" s="2" t="n">
        <x:v>5</x:v>
      </x:c>
      <x:c r="G1656" s="14" t="n">
        <x:f>('레벨 계산식'!$E$4-E1656)*'레벨 계산식'!$B$5</x:f>
        <x:v>0.13999999999999999</x:v>
      </x:c>
      <x:c r="H1656" s="14" t="n">
        <x:f>('등급 계산식'!$E$4-F1656)*'등급 계산식'!$B$5</x:f>
        <x:v>0</x:v>
      </x:c>
      <x:c r="I1656" s="14" t="n">
        <x:f>1-G1656-H1656</x:f>
        <x:v>0.86</x:v>
      </x:c>
      <x:c r="J1656" s="2" t="n">
        <x:f>MAX(1,ROUND('기준스탯 72종'!D73-R1656-Z1656,0))</x:f>
        <x:v>7</x:v>
      </x:c>
      <x:c r="K1656" s="2" t="n">
        <x:f>MAX(1,ROUND('기준스탯 72종'!E73-S1656-AA1656,0))</x:f>
        <x:v>6</x:v>
      </x:c>
      <x:c r="L1656" s="2" t="n">
        <x:f>MAX(1,ROUND('기준스탯 72종'!F73-T1656-AB1656,0))</x:f>
        <x:v>6</x:v>
      </x:c>
      <x:c r="M1656" s="2" t="n">
        <x:f>MAX(1,ROUND('기준스탯 72종'!G73-U1656-AC1656,0))</x:f>
        <x:v>8</x:v>
      </x:c>
      <x:c r="N1656" s="2" t="n">
        <x:f>MAX(0,ROUND('기준스탯 72종'!H73-V1656-AD1656,0))</x:f>
        <x:v>3</x:v>
      </x:c>
      <x:c r="O1656" s="2" t="n">
        <x:f>MAX(0,ROUND('기준스탯 72종'!I73-W1656-AE1656,0))</x:f>
        <x:v>4</x:v>
      </x:c>
      <x:c r="P1656" s="2" t="n">
        <x:f>MAX(0,ROUND('기준스탯 72종'!J73-X1656-AF1656,0))</x:f>
        <x:v>3</x:v>
      </x:c>
      <x:c r="Q1656" s="2" t="n">
        <x:f>MAX(0,ROUND('기준스탯 72종'!K73-Y1656-AG1656,0))</x:f>
        <x:v>3</x:v>
      </x:c>
      <x:c r="R1656" s="15" t="n">
        <x:f>'기준스탯 72종'!D73*G1656</x:f>
        <x:v>1.1199999999999999</x:v>
      </x:c>
      <x:c r="S1656" s="15" t="n">
        <x:f>'기준스탯 72종'!E73*G1656</x:f>
        <x:v>0.9799999999999999</x:v>
      </x:c>
      <x:c r="T1656" s="15" t="n">
        <x:f>'기준스탯 72종'!F73*G1656</x:f>
        <x:v>0.9799999999999999</x:v>
      </x:c>
      <x:c r="U1656" s="15" t="n">
        <x:f>'기준스탯 72종'!G73*G1656</x:f>
        <x:v>1.2599999999999998</x:v>
      </x:c>
      <x:c r="V1656" s="15" t="n">
        <x:f>'기준스탯 72종'!H73*G1656</x:f>
        <x:v>0.5599999999999999</x:v>
      </x:c>
      <x:c r="W1656" s="15" t="n">
        <x:f>'기준스탯 72종'!I73*G1656</x:f>
        <x:v>0.7</x:v>
      </x:c>
      <x:c r="X1656" s="15" t="n">
        <x:f>'기준스탯 72종'!J73*G1656</x:f>
        <x:v>0.5599999999999999</x:v>
      </x:c>
      <x:c r="Y1656" s="15" t="n">
        <x:f>'기준스탯 72종'!K73*G1656</x:f>
        <x:v>0.41999999999999993</x:v>
      </x:c>
      <x:c r="Z1656" s="15" t="n">
        <x:f>'기준스탯 72종'!D73*H1656</x:f>
        <x:v>0</x:v>
      </x:c>
      <x:c r="AA1656" s="15" t="n">
        <x:f>'기준스탯 72종'!E73*H1656</x:f>
        <x:v>0</x:v>
      </x:c>
      <x:c r="AB1656" s="15" t="n">
        <x:f>'기준스탯 72종'!F73*H1656</x:f>
        <x:v>0</x:v>
      </x:c>
      <x:c r="AC1656" s="15" t="n">
        <x:f>'기준스탯 72종'!G73*H1656</x:f>
        <x:v>0</x:v>
      </x:c>
      <x:c r="AD1656" s="15" t="n">
        <x:f>'기준스탯 72종'!H73*H1656</x:f>
        <x:v>0</x:v>
      </x:c>
      <x:c r="AE1656" s="15" t="n">
        <x:f>'기준스탯 72종'!I73*H1656</x:f>
        <x:v>0</x:v>
      </x:c>
      <x:c r="AF1656" s="15" t="n">
        <x:f>'기준스탯 72종'!J73*H1656</x:f>
        <x:v>0</x:v>
      </x:c>
      <x:c r="AG1656" s="15" t="n">
        <x:f>'기준스탯 72종'!K73*H1656</x:f>
        <x:v>0</x:v>
      </x:c>
    </x:row>
    <x:row r="1657" ht="28" customHeight="1">
      <x:c r="A1657" s="2" t="n">
        <x:v>1650</x:v>
      </x:c>
      <x:c r="B1657" s="2" t="n">
        <x:v>66</x:v>
      </x:c>
      <x:c r="C1657" s="2" t="str">
        <x:v>물병자리</x:v>
      </x:c>
      <x:c r="D1657" s="2" t="str">
        <x:v>전사</x:v>
      </x:c>
      <x:c r="E1657" s="2" t="n">
        <x:v>5</x:v>
      </x:c>
      <x:c r="F1657" s="2" t="n">
        <x:v>5</x:v>
      </x:c>
      <x:c r="G1657" s="14" t="n">
        <x:f>('레벨 계산식'!$E$4-E1657)*'레벨 계산식'!$B$5</x:f>
        <x:v>0</x:v>
      </x:c>
      <x:c r="H1657" s="14" t="n">
        <x:f>('등급 계산식'!$E$4-F1657)*'등급 계산식'!$B$5</x:f>
        <x:v>0</x:v>
      </x:c>
      <x:c r="I1657" s="14" t="n">
        <x:f>1-G1657-H1657</x:f>
        <x:v>1</x:v>
      </x:c>
      <x:c r="J1657" s="2" t="n">
        <x:f>MAX(1,ROUND('기준스탯 72종'!D73-R1657-Z1657,0))</x:f>
        <x:v>8</x:v>
      </x:c>
      <x:c r="K1657" s="2" t="n">
        <x:f>MAX(1,ROUND('기준스탯 72종'!E73-S1657-AA1657,0))</x:f>
        <x:v>7</x:v>
      </x:c>
      <x:c r="L1657" s="2" t="n">
        <x:f>MAX(1,ROUND('기준스탯 72종'!F73-T1657-AB1657,0))</x:f>
        <x:v>7</x:v>
      </x:c>
      <x:c r="M1657" s="2" t="n">
        <x:f>MAX(1,ROUND('기준스탯 72종'!G73-U1657-AC1657,0))</x:f>
        <x:v>9</x:v>
      </x:c>
      <x:c r="N1657" s="2" t="n">
        <x:f>MAX(0,ROUND('기준스탯 72종'!H73-V1657-AD1657,0))</x:f>
        <x:v>4</x:v>
      </x:c>
      <x:c r="O1657" s="2" t="n">
        <x:f>MAX(0,ROUND('기준스탯 72종'!I73-W1657-AE1657,0))</x:f>
        <x:v>5</x:v>
      </x:c>
      <x:c r="P1657" s="2" t="n">
        <x:f>MAX(0,ROUND('기준스탯 72종'!J73-X1657-AF1657,0))</x:f>
        <x:v>4</x:v>
      </x:c>
      <x:c r="Q1657" s="2" t="n">
        <x:f>MAX(0,ROUND('기준스탯 72종'!K73-Y1657-AG1657,0))</x:f>
        <x:v>3</x:v>
      </x:c>
      <x:c r="R1657" s="15" t="n">
        <x:f>'기준스탯 72종'!D73*G1657</x:f>
        <x:v>0</x:v>
      </x:c>
      <x:c r="S1657" s="15" t="n">
        <x:f>'기준스탯 72종'!E73*G1657</x:f>
        <x:v>0</x:v>
      </x:c>
      <x:c r="T1657" s="15" t="n">
        <x:f>'기준스탯 72종'!F73*G1657</x:f>
        <x:v>0</x:v>
      </x:c>
      <x:c r="U1657" s="15" t="n">
        <x:f>'기준스탯 72종'!G73*G1657</x:f>
        <x:v>0</x:v>
      </x:c>
      <x:c r="V1657" s="15" t="n">
        <x:f>'기준스탯 72종'!H73*G1657</x:f>
        <x:v>0</x:v>
      </x:c>
      <x:c r="W1657" s="15" t="n">
        <x:f>'기준스탯 72종'!I73*G1657</x:f>
        <x:v>0</x:v>
      </x:c>
      <x:c r="X1657" s="15" t="n">
        <x:f>'기준스탯 72종'!J73*G1657</x:f>
        <x:v>0</x:v>
      </x:c>
      <x:c r="Y1657" s="15" t="n">
        <x:f>'기준스탯 72종'!K73*G1657</x:f>
        <x:v>0</x:v>
      </x:c>
      <x:c r="Z1657" s="15" t="n">
        <x:f>'기준스탯 72종'!D73*H1657</x:f>
        <x:v>0</x:v>
      </x:c>
      <x:c r="AA1657" s="15" t="n">
        <x:f>'기준스탯 72종'!E73*H1657</x:f>
        <x:v>0</x:v>
      </x:c>
      <x:c r="AB1657" s="15" t="n">
        <x:f>'기준스탯 72종'!F73*H1657</x:f>
        <x:v>0</x:v>
      </x:c>
      <x:c r="AC1657" s="15" t="n">
        <x:f>'기준스탯 72종'!G73*H1657</x:f>
        <x:v>0</x:v>
      </x:c>
      <x:c r="AD1657" s="15" t="n">
        <x:f>'기준스탯 72종'!H73*H1657</x:f>
        <x:v>0</x:v>
      </x:c>
      <x:c r="AE1657" s="15" t="n">
        <x:f>'기준스탯 72종'!I73*H1657</x:f>
        <x:v>0</x:v>
      </x:c>
      <x:c r="AF1657" s="15" t="n">
        <x:f>'기준스탯 72종'!J73*H1657</x:f>
        <x:v>0</x:v>
      </x:c>
      <x:c r="AG1657" s="15" t="n">
        <x:f>'기준스탯 72종'!K73*H1657</x:f>
        <x:v>0</x:v>
      </x:c>
    </x:row>
    <x:row r="1658" ht="28" customHeight="1">
      <x:c r="A1658" s="2" t="n">
        <x:v>1651</x:v>
      </x:c>
      <x:c r="B1658" s="2" t="n">
        <x:v>67</x:v>
      </x:c>
      <x:c r="C1658" s="2" t="str">
        <x:v>물고기자리</x:v>
      </x:c>
      <x:c r="D1658" s="2" t="str">
        <x:v>기사</x:v>
      </x:c>
      <x:c r="E1658" s="2" t="n">
        <x:v>1</x:v>
      </x:c>
      <x:c r="F1658" s="2" t="n">
        <x:v>1</x:v>
      </x:c>
      <x:c r="G1658" s="14" t="n">
        <x:f>('레벨 계산식'!$E$4-E1658)*'레벨 계산식'!$B$5</x:f>
        <x:v>0.5599999999999999</x:v>
      </x:c>
      <x:c r="H1658" s="14" t="n">
        <x:f>('등급 계산식'!$E$4-F1658)*'등급 계산식'!$B$5</x:f>
        <x:v>0.24000000000000005</x:v>
      </x:c>
      <x:c r="I1658" s="14" t="n">
        <x:f>1-G1658-H1658</x:f>
        <x:v>0.2</x:v>
      </x:c>
      <x:c r="J1658" s="2" t="n">
        <x:f>MAX(1,ROUND('기준스탯 72종'!D74-R1658-Z1658,0))</x:f>
        <x:v>1</x:v>
      </x:c>
      <x:c r="K1658" s="2" t="n">
        <x:f>MAX(1,ROUND('기준스탯 72종'!E74-S1658-AA1658,0))</x:f>
        <x:v>2</x:v>
      </x:c>
      <x:c r="L1658" s="2" t="n">
        <x:f>MAX(1,ROUND('기준스탯 72종'!F74-T1658-AB1658,0))</x:f>
        <x:v>2</x:v>
      </x:c>
      <x:c r="M1658" s="2" t="n">
        <x:f>MAX(1,ROUND('기준스탯 72종'!G74-U1658-AC1658,0))</x:f>
        <x:v>1</x:v>
      </x:c>
      <x:c r="N1658" s="2" t="n">
        <x:f>MAX(0,ROUND('기준스탯 72종'!H74-V1658-AD1658,0))</x:f>
        <x:v>0</x:v>
      </x:c>
      <x:c r="O1658" s="2" t="n">
        <x:f>MAX(0,ROUND('기준스탯 72종'!I74-W1658-AE1658,0))</x:f>
        <x:v>1</x:v>
      </x:c>
      <x:c r="P1658" s="2" t="n">
        <x:f>MAX(0,ROUND('기준스탯 72종'!J74-X1658-AF1658,0))</x:f>
        <x:v>1</x:v>
      </x:c>
      <x:c r="Q1658" s="2" t="n">
        <x:f>MAX(0,ROUND('기준스탯 72종'!K74-Y1658-AG1658,0))</x:f>
        <x:v>1</x:v>
      </x:c>
      <x:c r="R1658" s="15" t="n">
        <x:f>'기준스탯 72종'!D74*G1658</x:f>
        <x:v>2.8</x:v>
      </x:c>
      <x:c r="S1658" s="15" t="n">
        <x:f>'기준스탯 72종'!E74*G1658</x:f>
        <x:v>5.039999999999999</x:v>
      </x:c>
      <x:c r="T1658" s="15" t="n">
        <x:f>'기준스탯 72종'!F74*G1658</x:f>
        <x:v>5.039999999999999</x:v>
      </x:c>
      <x:c r="U1658" s="15" t="n">
        <x:f>'기준스탯 72종'!G74*G1658</x:f>
        <x:v>3.9199999999999995</x:v>
      </x:c>
      <x:c r="V1658" s="15" t="n">
        <x:f>'기준스탯 72종'!H74*G1658</x:f>
        <x:v>1.1199999999999999</x:v>
      </x:c>
      <x:c r="W1658" s="15" t="n">
        <x:f>'기준스탯 72종'!I74*G1658</x:f>
        <x:v>2.2399999999999998</x:v>
      </x:c>
      <x:c r="X1658" s="15" t="n">
        <x:f>'기준스탯 72종'!J74*G1658</x:f>
        <x:v>2.2399999999999998</x:v>
      </x:c>
      <x:c r="Y1658" s="15" t="n">
        <x:f>'기준스탯 72종'!K74*G1658</x:f>
        <x:v>3.3599999999999994</x:v>
      </x:c>
      <x:c r="Z1658" s="15" t="n">
        <x:f>'기준스탯 72종'!D74*H1658</x:f>
        <x:v>1.2000000000000002</x:v>
      </x:c>
      <x:c r="AA1658" s="15" t="n">
        <x:f>'기준스탯 72종'!E74*H1658</x:f>
        <x:v>2.1600000000000006</x:v>
      </x:c>
      <x:c r="AB1658" s="15" t="n">
        <x:f>'기준스탯 72종'!F74*H1658</x:f>
        <x:v>2.1600000000000006</x:v>
      </x:c>
      <x:c r="AC1658" s="15" t="n">
        <x:f>'기준스탯 72종'!G74*H1658</x:f>
        <x:v>1.6800000000000004</x:v>
      </x:c>
      <x:c r="AD1658" s="15" t="n">
        <x:f>'기준스탯 72종'!H74*H1658</x:f>
        <x:v>0.4800000000000001</x:v>
      </x:c>
      <x:c r="AE1658" s="15" t="n">
        <x:f>'기준스탯 72종'!I74*H1658</x:f>
        <x:v>0.9600000000000002</x:v>
      </x:c>
      <x:c r="AF1658" s="15" t="n">
        <x:f>'기준스탯 72종'!J74*H1658</x:f>
        <x:v>0.9600000000000002</x:v>
      </x:c>
      <x:c r="AG1658" s="15" t="n">
        <x:f>'기준스탯 72종'!K74*H1658</x:f>
        <x:v>1.4400000000000004</x:v>
      </x:c>
    </x:row>
    <x:row r="1659" ht="28" customHeight="1">
      <x:c r="A1659" s="2" t="n">
        <x:v>1652</x:v>
      </x:c>
      <x:c r="B1659" s="2" t="n">
        <x:v>67</x:v>
      </x:c>
      <x:c r="C1659" s="2" t="str">
        <x:v>물고기자리</x:v>
      </x:c>
      <x:c r="D1659" s="2" t="str">
        <x:v>기사</x:v>
      </x:c>
      <x:c r="E1659" s="2" t="n">
        <x:v>2</x:v>
      </x:c>
      <x:c r="F1659" s="2" t="n">
        <x:v>1</x:v>
      </x:c>
      <x:c r="G1659" s="14" t="n">
        <x:f>('레벨 계산식'!$E$4-E1659)*'레벨 계산식'!$B$5</x:f>
        <x:v>0.41999999999999993</x:v>
      </x:c>
      <x:c r="H1659" s="14" t="n">
        <x:f>('등급 계산식'!$E$4-F1659)*'등급 계산식'!$B$5</x:f>
        <x:v>0.24000000000000005</x:v>
      </x:c>
      <x:c r="I1659" s="14" t="n">
        <x:f>1-G1659-H1659</x:f>
        <x:v>0.34</x:v>
      </x:c>
      <x:c r="J1659" s="2" t="n">
        <x:f>MAX(1,ROUND('기준스탯 72종'!D74-R1659-Z1659,0))</x:f>
        <x:v>2</x:v>
      </x:c>
      <x:c r="K1659" s="2" t="n">
        <x:f>MAX(1,ROUND('기준스탯 72종'!E74-S1659-AA1659,0))</x:f>
        <x:v>3</x:v>
      </x:c>
      <x:c r="L1659" s="2" t="n">
        <x:f>MAX(1,ROUND('기준스탯 72종'!F74-T1659-AB1659,0))</x:f>
        <x:v>3</x:v>
      </x:c>
      <x:c r="M1659" s="2" t="n">
        <x:f>MAX(1,ROUND('기준스탯 72종'!G74-U1659-AC1659,0))</x:f>
        <x:v>2</x:v>
      </x:c>
      <x:c r="N1659" s="2" t="n">
        <x:f>MAX(0,ROUND('기준스탯 72종'!H74-V1659-AD1659,0))</x:f>
        <x:v>1</x:v>
      </x:c>
      <x:c r="O1659" s="2" t="n">
        <x:f>MAX(0,ROUND('기준스탯 72종'!I74-W1659-AE1659,0))</x:f>
        <x:v>1</x:v>
      </x:c>
      <x:c r="P1659" s="2" t="n">
        <x:f>MAX(0,ROUND('기준스탯 72종'!J74-X1659-AF1659,0))</x:f>
        <x:v>1</x:v>
      </x:c>
      <x:c r="Q1659" s="2" t="n">
        <x:f>MAX(0,ROUND('기준스탯 72종'!K74-Y1659-AG1659,0))</x:f>
        <x:v>2</x:v>
      </x:c>
      <x:c r="R1659" s="15" t="n">
        <x:f>'기준스탯 72종'!D74*G1659</x:f>
        <x:v>2.0999999999999996</x:v>
      </x:c>
      <x:c r="S1659" s="15" t="n">
        <x:f>'기준스탯 72종'!E74*G1659</x:f>
        <x:v>3.7799999999999994</x:v>
      </x:c>
      <x:c r="T1659" s="15" t="n">
        <x:f>'기준스탯 72종'!F74*G1659</x:f>
        <x:v>3.7799999999999994</x:v>
      </x:c>
      <x:c r="U1659" s="15" t="n">
        <x:f>'기준스탯 72종'!G74*G1659</x:f>
        <x:v>2.9399999999999995</x:v>
      </x:c>
      <x:c r="V1659" s="15" t="n">
        <x:f>'기준스탯 72종'!H74*G1659</x:f>
        <x:v>0.8399999999999999</x:v>
      </x:c>
      <x:c r="W1659" s="15" t="n">
        <x:f>'기준스탯 72종'!I74*G1659</x:f>
        <x:v>1.6799999999999997</x:v>
      </x:c>
      <x:c r="X1659" s="15" t="n">
        <x:f>'기준스탯 72종'!J74*G1659</x:f>
        <x:v>1.6799999999999997</x:v>
      </x:c>
      <x:c r="Y1659" s="15" t="n">
        <x:f>'기준스탯 72종'!K74*G1659</x:f>
        <x:v>2.5199999999999996</x:v>
      </x:c>
      <x:c r="Z1659" s="15" t="n">
        <x:f>'기준스탯 72종'!D74*H1659</x:f>
        <x:v>1.2000000000000002</x:v>
      </x:c>
      <x:c r="AA1659" s="15" t="n">
        <x:f>'기준스탯 72종'!E74*H1659</x:f>
        <x:v>2.1600000000000006</x:v>
      </x:c>
      <x:c r="AB1659" s="15" t="n">
        <x:f>'기준스탯 72종'!F74*H1659</x:f>
        <x:v>2.1600000000000006</x:v>
      </x:c>
      <x:c r="AC1659" s="15" t="n">
        <x:f>'기준스탯 72종'!G74*H1659</x:f>
        <x:v>1.6800000000000004</x:v>
      </x:c>
      <x:c r="AD1659" s="15" t="n">
        <x:f>'기준스탯 72종'!H74*H1659</x:f>
        <x:v>0.4800000000000001</x:v>
      </x:c>
      <x:c r="AE1659" s="15" t="n">
        <x:f>'기준스탯 72종'!I74*H1659</x:f>
        <x:v>0.9600000000000002</x:v>
      </x:c>
      <x:c r="AF1659" s="15" t="n">
        <x:f>'기준스탯 72종'!J74*H1659</x:f>
        <x:v>0.9600000000000002</x:v>
      </x:c>
      <x:c r="AG1659" s="15" t="n">
        <x:f>'기준스탯 72종'!K74*H1659</x:f>
        <x:v>1.4400000000000004</x:v>
      </x:c>
    </x:row>
    <x:row r="1660" ht="28" customHeight="1">
      <x:c r="A1660" s="2" t="n">
        <x:v>1653</x:v>
      </x:c>
      <x:c r="B1660" s="2" t="n">
        <x:v>67</x:v>
      </x:c>
      <x:c r="C1660" s="2" t="str">
        <x:v>물고기자리</x:v>
      </x:c>
      <x:c r="D1660" s="2" t="str">
        <x:v>기사</x:v>
      </x:c>
      <x:c r="E1660" s="2" t="n">
        <x:v>3</x:v>
      </x:c>
      <x:c r="F1660" s="2" t="n">
        <x:v>1</x:v>
      </x:c>
      <x:c r="G1660" s="14" t="n">
        <x:f>('레벨 계산식'!$E$4-E1660)*'레벨 계산식'!$B$5</x:f>
        <x:v>0.27999999999999997</x:v>
      </x:c>
      <x:c r="H1660" s="14" t="n">
        <x:f>('등급 계산식'!$E$4-F1660)*'등급 계산식'!$B$5</x:f>
        <x:v>0.24000000000000005</x:v>
      </x:c>
      <x:c r="I1660" s="14" t="n">
        <x:f>1-G1660-H1660</x:f>
        <x:v>0.4799999999999999</x:v>
      </x:c>
      <x:c r="J1660" s="2" t="n">
        <x:f>MAX(1,ROUND('기준스탯 72종'!D74-R1660-Z1660,0))</x:f>
        <x:v>2</x:v>
      </x:c>
      <x:c r="K1660" s="2" t="n">
        <x:f>MAX(1,ROUND('기준스탯 72종'!E74-S1660-AA1660,0))</x:f>
        <x:v>4</x:v>
      </x:c>
      <x:c r="L1660" s="2" t="n">
        <x:f>MAX(1,ROUND('기준스탯 72종'!F74-T1660-AB1660,0))</x:f>
        <x:v>4</x:v>
      </x:c>
      <x:c r="M1660" s="2" t="n">
        <x:f>MAX(1,ROUND('기준스탯 72종'!G74-U1660-AC1660,0))</x:f>
        <x:v>3</x:v>
      </x:c>
      <x:c r="N1660" s="2" t="n">
        <x:f>MAX(0,ROUND('기준스탯 72종'!H74-V1660-AD1660,0))</x:f>
        <x:v>1</x:v>
      </x:c>
      <x:c r="O1660" s="2" t="n">
        <x:f>MAX(0,ROUND('기준스탯 72종'!I74-W1660-AE1660,0))</x:f>
        <x:v>2</x:v>
      </x:c>
      <x:c r="P1660" s="2" t="n">
        <x:f>MAX(0,ROUND('기준스탯 72종'!J74-X1660-AF1660,0))</x:f>
        <x:v>2</x:v>
      </x:c>
      <x:c r="Q1660" s="2" t="n">
        <x:f>MAX(0,ROUND('기준스탯 72종'!K74-Y1660-AG1660,0))</x:f>
        <x:v>3</x:v>
      </x:c>
      <x:c r="R1660" s="15" t="n">
        <x:f>'기준스탯 72종'!D74*G1660</x:f>
        <x:v>1.4</x:v>
      </x:c>
      <x:c r="S1660" s="15" t="n">
        <x:f>'기준스탯 72종'!E74*G1660</x:f>
        <x:v>2.5199999999999996</x:v>
      </x:c>
      <x:c r="T1660" s="15" t="n">
        <x:f>'기준스탯 72종'!F74*G1660</x:f>
        <x:v>2.5199999999999996</x:v>
      </x:c>
      <x:c r="U1660" s="15" t="n">
        <x:f>'기준스탯 72종'!G74*G1660</x:f>
        <x:v>1.9599999999999997</x:v>
      </x:c>
      <x:c r="V1660" s="15" t="n">
        <x:f>'기준스탯 72종'!H74*G1660</x:f>
        <x:v>0.5599999999999999</x:v>
      </x:c>
      <x:c r="W1660" s="15" t="n">
        <x:f>'기준스탯 72종'!I74*G1660</x:f>
        <x:v>1.1199999999999999</x:v>
      </x:c>
      <x:c r="X1660" s="15" t="n">
        <x:f>'기준스탯 72종'!J74*G1660</x:f>
        <x:v>1.1199999999999999</x:v>
      </x:c>
      <x:c r="Y1660" s="15" t="n">
        <x:f>'기준스탯 72종'!K74*G1660</x:f>
        <x:v>1.6799999999999997</x:v>
      </x:c>
      <x:c r="Z1660" s="15" t="n">
        <x:f>'기준스탯 72종'!D74*H1660</x:f>
        <x:v>1.2000000000000002</x:v>
      </x:c>
      <x:c r="AA1660" s="15" t="n">
        <x:f>'기준스탯 72종'!E74*H1660</x:f>
        <x:v>2.1600000000000006</x:v>
      </x:c>
      <x:c r="AB1660" s="15" t="n">
        <x:f>'기준스탯 72종'!F74*H1660</x:f>
        <x:v>2.1600000000000006</x:v>
      </x:c>
      <x:c r="AC1660" s="15" t="n">
        <x:f>'기준스탯 72종'!G74*H1660</x:f>
        <x:v>1.6800000000000004</x:v>
      </x:c>
      <x:c r="AD1660" s="15" t="n">
        <x:f>'기준스탯 72종'!H74*H1660</x:f>
        <x:v>0.4800000000000001</x:v>
      </x:c>
      <x:c r="AE1660" s="15" t="n">
        <x:f>'기준스탯 72종'!I74*H1660</x:f>
        <x:v>0.9600000000000002</x:v>
      </x:c>
      <x:c r="AF1660" s="15" t="n">
        <x:f>'기준스탯 72종'!J74*H1660</x:f>
        <x:v>0.9600000000000002</x:v>
      </x:c>
      <x:c r="AG1660" s="15" t="n">
        <x:f>'기준스탯 72종'!K74*H1660</x:f>
        <x:v>1.4400000000000004</x:v>
      </x:c>
    </x:row>
    <x:row r="1661" ht="28" customHeight="1">
      <x:c r="A1661" s="2" t="n">
        <x:v>1654</x:v>
      </x:c>
      <x:c r="B1661" s="2" t="n">
        <x:v>67</x:v>
      </x:c>
      <x:c r="C1661" s="2" t="str">
        <x:v>물고기자리</x:v>
      </x:c>
      <x:c r="D1661" s="2" t="str">
        <x:v>기사</x:v>
      </x:c>
      <x:c r="E1661" s="2" t="n">
        <x:v>4</x:v>
      </x:c>
      <x:c r="F1661" s="2" t="n">
        <x:v>1</x:v>
      </x:c>
      <x:c r="G1661" s="14" t="n">
        <x:f>('레벨 계산식'!$E$4-E1661)*'레벨 계산식'!$B$5</x:f>
        <x:v>0.13999999999999999</x:v>
      </x:c>
      <x:c r="H1661" s="14" t="n">
        <x:f>('등급 계산식'!$E$4-F1661)*'등급 계산식'!$B$5</x:f>
        <x:v>0.24000000000000005</x:v>
      </x:c>
      <x:c r="I1661" s="14" t="n">
        <x:f>1-G1661-H1661</x:f>
        <x:v>0.6199999999999999</x:v>
      </x:c>
      <x:c r="J1661" s="2" t="n">
        <x:f>MAX(1,ROUND('기준스탯 72종'!D74-R1661-Z1661,0))</x:f>
        <x:v>3</x:v>
      </x:c>
      <x:c r="K1661" s="2" t="n">
        <x:f>MAX(1,ROUND('기준스탯 72종'!E74-S1661-AA1661,0))</x:f>
        <x:v>6</x:v>
      </x:c>
      <x:c r="L1661" s="2" t="n">
        <x:f>MAX(1,ROUND('기준스탯 72종'!F74-T1661-AB1661,0))</x:f>
        <x:v>6</x:v>
      </x:c>
      <x:c r="M1661" s="2" t="n">
        <x:f>MAX(1,ROUND('기준스탯 72종'!G74-U1661-AC1661,0))</x:f>
        <x:v>4</x:v>
      </x:c>
      <x:c r="N1661" s="2" t="n">
        <x:f>MAX(0,ROUND('기준스탯 72종'!H74-V1661-AD1661,0))</x:f>
        <x:v>1</x:v>
      </x:c>
      <x:c r="O1661" s="2" t="n">
        <x:f>MAX(0,ROUND('기준스탯 72종'!I74-W1661-AE1661,0))</x:f>
        <x:v>2</x:v>
      </x:c>
      <x:c r="P1661" s="2" t="n">
        <x:f>MAX(0,ROUND('기준스탯 72종'!J74-X1661-AF1661,0))</x:f>
        <x:v>2</x:v>
      </x:c>
      <x:c r="Q1661" s="2" t="n">
        <x:f>MAX(0,ROUND('기준스탯 72종'!K74-Y1661-AG1661,0))</x:f>
        <x:v>4</x:v>
      </x:c>
      <x:c r="R1661" s="15" t="n">
        <x:f>'기준스탯 72종'!D74*G1661</x:f>
        <x:v>0.7</x:v>
      </x:c>
      <x:c r="S1661" s="15" t="n">
        <x:f>'기준스탯 72종'!E74*G1661</x:f>
        <x:v>1.2599999999999998</x:v>
      </x:c>
      <x:c r="T1661" s="15" t="n">
        <x:f>'기준스탯 72종'!F74*G1661</x:f>
        <x:v>1.2599999999999998</x:v>
      </x:c>
      <x:c r="U1661" s="15" t="n">
        <x:f>'기준스탯 72종'!G74*G1661</x:f>
        <x:v>0.9799999999999999</x:v>
      </x:c>
      <x:c r="V1661" s="15" t="n">
        <x:f>'기준스탯 72종'!H74*G1661</x:f>
        <x:v>0.27999999999999997</x:v>
      </x:c>
      <x:c r="W1661" s="15" t="n">
        <x:f>'기준스탯 72종'!I74*G1661</x:f>
        <x:v>0.5599999999999999</x:v>
      </x:c>
      <x:c r="X1661" s="15" t="n">
        <x:f>'기준스탯 72종'!J74*G1661</x:f>
        <x:v>0.5599999999999999</x:v>
      </x:c>
      <x:c r="Y1661" s="15" t="n">
        <x:f>'기준스탯 72종'!K74*G1661</x:f>
        <x:v>0.8399999999999999</x:v>
      </x:c>
      <x:c r="Z1661" s="15" t="n">
        <x:f>'기준스탯 72종'!D74*H1661</x:f>
        <x:v>1.2000000000000002</x:v>
      </x:c>
      <x:c r="AA1661" s="15" t="n">
        <x:f>'기준스탯 72종'!E74*H1661</x:f>
        <x:v>2.1600000000000006</x:v>
      </x:c>
      <x:c r="AB1661" s="15" t="n">
        <x:f>'기준스탯 72종'!F74*H1661</x:f>
        <x:v>2.1600000000000006</x:v>
      </x:c>
      <x:c r="AC1661" s="15" t="n">
        <x:f>'기준스탯 72종'!G74*H1661</x:f>
        <x:v>1.6800000000000004</x:v>
      </x:c>
      <x:c r="AD1661" s="15" t="n">
        <x:f>'기준스탯 72종'!H74*H1661</x:f>
        <x:v>0.4800000000000001</x:v>
      </x:c>
      <x:c r="AE1661" s="15" t="n">
        <x:f>'기준스탯 72종'!I74*H1661</x:f>
        <x:v>0.9600000000000002</x:v>
      </x:c>
      <x:c r="AF1661" s="15" t="n">
        <x:f>'기준스탯 72종'!J74*H1661</x:f>
        <x:v>0.9600000000000002</x:v>
      </x:c>
      <x:c r="AG1661" s="15" t="n">
        <x:f>'기준스탯 72종'!K74*H1661</x:f>
        <x:v>1.4400000000000004</x:v>
      </x:c>
    </x:row>
    <x:row r="1662" ht="28" customHeight="1">
      <x:c r="A1662" s="2" t="n">
        <x:v>1655</x:v>
      </x:c>
      <x:c r="B1662" s="2" t="n">
        <x:v>67</x:v>
      </x:c>
      <x:c r="C1662" s="2" t="str">
        <x:v>물고기자리</x:v>
      </x:c>
      <x:c r="D1662" s="2" t="str">
        <x:v>기사</x:v>
      </x:c>
      <x:c r="E1662" s="2" t="n">
        <x:v>5</x:v>
      </x:c>
      <x:c r="F1662" s="2" t="n">
        <x:v>1</x:v>
      </x:c>
      <x:c r="G1662" s="14" t="n">
        <x:f>('레벨 계산식'!$E$4-E1662)*'레벨 계산식'!$B$5</x:f>
        <x:v>0</x:v>
      </x:c>
      <x:c r="H1662" s="14" t="n">
        <x:f>('등급 계산식'!$E$4-F1662)*'등급 계산식'!$B$5</x:f>
        <x:v>0.24000000000000005</x:v>
      </x:c>
      <x:c r="I1662" s="14" t="n">
        <x:f>1-G1662-H1662</x:f>
        <x:v>0.76</x:v>
      </x:c>
      <x:c r="J1662" s="2" t="n">
        <x:f>MAX(1,ROUND('기준스탯 72종'!D74-R1662-Z1662,0))</x:f>
        <x:v>4</x:v>
      </x:c>
      <x:c r="K1662" s="2" t="n">
        <x:f>MAX(1,ROUND('기준스탯 72종'!E74-S1662-AA1662,0))</x:f>
        <x:v>7</x:v>
      </x:c>
      <x:c r="L1662" s="2" t="n">
        <x:f>MAX(1,ROUND('기준스탯 72종'!F74-T1662-AB1662,0))</x:f>
        <x:v>7</x:v>
      </x:c>
      <x:c r="M1662" s="2" t="n">
        <x:f>MAX(1,ROUND('기준스탯 72종'!G74-U1662-AC1662,0))</x:f>
        <x:v>5</x:v>
      </x:c>
      <x:c r="N1662" s="2" t="n">
        <x:f>MAX(0,ROUND('기준스탯 72종'!H74-V1662-AD1662,0))</x:f>
        <x:v>2</x:v>
      </x:c>
      <x:c r="O1662" s="2" t="n">
        <x:f>MAX(0,ROUND('기준스탯 72종'!I74-W1662-AE1662,0))</x:f>
        <x:v>3</x:v>
      </x:c>
      <x:c r="P1662" s="2" t="n">
        <x:f>MAX(0,ROUND('기준스탯 72종'!J74-X1662-AF1662,0))</x:f>
        <x:v>3</x:v>
      </x:c>
      <x:c r="Q1662" s="2" t="n">
        <x:f>MAX(0,ROUND('기준스탯 72종'!K74-Y1662-AG1662,0))</x:f>
        <x:v>5</x:v>
      </x:c>
      <x:c r="R1662" s="15" t="n">
        <x:f>'기준스탯 72종'!D74*G1662</x:f>
        <x:v>0</x:v>
      </x:c>
      <x:c r="S1662" s="15" t="n">
        <x:f>'기준스탯 72종'!E74*G1662</x:f>
        <x:v>0</x:v>
      </x:c>
      <x:c r="T1662" s="15" t="n">
        <x:f>'기준스탯 72종'!F74*G1662</x:f>
        <x:v>0</x:v>
      </x:c>
      <x:c r="U1662" s="15" t="n">
        <x:f>'기준스탯 72종'!G74*G1662</x:f>
        <x:v>0</x:v>
      </x:c>
      <x:c r="V1662" s="15" t="n">
        <x:f>'기준스탯 72종'!H74*G1662</x:f>
        <x:v>0</x:v>
      </x:c>
      <x:c r="W1662" s="15" t="n">
        <x:f>'기준스탯 72종'!I74*G1662</x:f>
        <x:v>0</x:v>
      </x:c>
      <x:c r="X1662" s="15" t="n">
        <x:f>'기준스탯 72종'!J74*G1662</x:f>
        <x:v>0</x:v>
      </x:c>
      <x:c r="Y1662" s="15" t="n">
        <x:f>'기준스탯 72종'!K74*G1662</x:f>
        <x:v>0</x:v>
      </x:c>
      <x:c r="Z1662" s="15" t="n">
        <x:f>'기준스탯 72종'!D74*H1662</x:f>
        <x:v>1.2000000000000002</x:v>
      </x:c>
      <x:c r="AA1662" s="15" t="n">
        <x:f>'기준스탯 72종'!E74*H1662</x:f>
        <x:v>2.1600000000000006</x:v>
      </x:c>
      <x:c r="AB1662" s="15" t="n">
        <x:f>'기준스탯 72종'!F74*H1662</x:f>
        <x:v>2.1600000000000006</x:v>
      </x:c>
      <x:c r="AC1662" s="15" t="n">
        <x:f>'기준스탯 72종'!G74*H1662</x:f>
        <x:v>1.6800000000000004</x:v>
      </x:c>
      <x:c r="AD1662" s="15" t="n">
        <x:f>'기준스탯 72종'!H74*H1662</x:f>
        <x:v>0.4800000000000001</x:v>
      </x:c>
      <x:c r="AE1662" s="15" t="n">
        <x:f>'기준스탯 72종'!I74*H1662</x:f>
        <x:v>0.9600000000000002</x:v>
      </x:c>
      <x:c r="AF1662" s="15" t="n">
        <x:f>'기준스탯 72종'!J74*H1662</x:f>
        <x:v>0.9600000000000002</x:v>
      </x:c>
      <x:c r="AG1662" s="15" t="n">
        <x:f>'기준스탯 72종'!K74*H1662</x:f>
        <x:v>1.4400000000000004</x:v>
      </x:c>
    </x:row>
    <x:row r="1663" ht="28" customHeight="1">
      <x:c r="A1663" s="2" t="n">
        <x:v>1656</x:v>
      </x:c>
      <x:c r="B1663" s="2" t="n">
        <x:v>67</x:v>
      </x:c>
      <x:c r="C1663" s="2" t="str">
        <x:v>물고기자리</x:v>
      </x:c>
      <x:c r="D1663" s="2" t="str">
        <x:v>기사</x:v>
      </x:c>
      <x:c r="E1663" s="2" t="n">
        <x:v>1</x:v>
      </x:c>
      <x:c r="F1663" s="2" t="n">
        <x:v>2</x:v>
      </x:c>
      <x:c r="G1663" s="14" t="n">
        <x:f>('레벨 계산식'!$E$4-E1663)*'레벨 계산식'!$B$5</x:f>
        <x:v>0.5599999999999999</x:v>
      </x:c>
      <x:c r="H1663" s="14" t="n">
        <x:f>('등급 계산식'!$E$4-F1663)*'등급 계산식'!$B$5</x:f>
        <x:v>0.18000000000000005</x:v>
      </x:c>
      <x:c r="I1663" s="14" t="n">
        <x:f>1-G1663-H1663</x:f>
        <x:v>0.26</x:v>
      </x:c>
      <x:c r="J1663" s="2" t="n">
        <x:f>MAX(1,ROUND('기준스탯 72종'!D74-R1663-Z1663,0))</x:f>
        <x:v>1</x:v>
      </x:c>
      <x:c r="K1663" s="2" t="n">
        <x:f>MAX(1,ROUND('기준스탯 72종'!E74-S1663-AA1663,0))</x:f>
        <x:v>2</x:v>
      </x:c>
      <x:c r="L1663" s="2" t="n">
        <x:f>MAX(1,ROUND('기준스탯 72종'!F74-T1663-AB1663,0))</x:f>
        <x:v>2</x:v>
      </x:c>
      <x:c r="M1663" s="2" t="n">
        <x:f>MAX(1,ROUND('기준스탯 72종'!G74-U1663-AC1663,0))</x:f>
        <x:v>2</x:v>
      </x:c>
      <x:c r="N1663" s="2" t="n">
        <x:f>MAX(0,ROUND('기준스탯 72종'!H74-V1663-AD1663,0))</x:f>
        <x:v>1</x:v>
      </x:c>
      <x:c r="O1663" s="2" t="n">
        <x:f>MAX(0,ROUND('기준스탯 72종'!I74-W1663-AE1663,0))</x:f>
        <x:v>1</x:v>
      </x:c>
      <x:c r="P1663" s="2" t="n">
        <x:f>MAX(0,ROUND('기준스탯 72종'!J74-X1663-AF1663,0))</x:f>
        <x:v>1</x:v>
      </x:c>
      <x:c r="Q1663" s="2" t="n">
        <x:f>MAX(0,ROUND('기준스탯 72종'!K74-Y1663-AG1663,0))</x:f>
        <x:v>2</x:v>
      </x:c>
      <x:c r="R1663" s="15" t="n">
        <x:f>'기준스탯 72종'!D74*G1663</x:f>
        <x:v>2.8</x:v>
      </x:c>
      <x:c r="S1663" s="15" t="n">
        <x:f>'기준스탯 72종'!E74*G1663</x:f>
        <x:v>5.039999999999999</x:v>
      </x:c>
      <x:c r="T1663" s="15" t="n">
        <x:f>'기준스탯 72종'!F74*G1663</x:f>
        <x:v>5.039999999999999</x:v>
      </x:c>
      <x:c r="U1663" s="15" t="n">
        <x:f>'기준스탯 72종'!G74*G1663</x:f>
        <x:v>3.9199999999999995</x:v>
      </x:c>
      <x:c r="V1663" s="15" t="n">
        <x:f>'기준스탯 72종'!H74*G1663</x:f>
        <x:v>1.1199999999999999</x:v>
      </x:c>
      <x:c r="W1663" s="15" t="n">
        <x:f>'기준스탯 72종'!I74*G1663</x:f>
        <x:v>2.2399999999999998</x:v>
      </x:c>
      <x:c r="X1663" s="15" t="n">
        <x:f>'기준스탯 72종'!J74*G1663</x:f>
        <x:v>2.2399999999999998</x:v>
      </x:c>
      <x:c r="Y1663" s="15" t="n">
        <x:f>'기준스탯 72종'!K74*G1663</x:f>
        <x:v>3.3599999999999994</x:v>
      </x:c>
      <x:c r="Z1663" s="15" t="n">
        <x:f>'기준스탯 72종'!D74*H1663</x:f>
        <x:v>0.9000000000000002</x:v>
      </x:c>
      <x:c r="AA1663" s="15" t="n">
        <x:f>'기준스탯 72종'!E74*H1663</x:f>
        <x:v>1.6200000000000006</x:v>
      </x:c>
      <x:c r="AB1663" s="15" t="n">
        <x:f>'기준스탯 72종'!F74*H1663</x:f>
        <x:v>1.6200000000000006</x:v>
      </x:c>
      <x:c r="AC1663" s="15" t="n">
        <x:f>'기준스탯 72종'!G74*H1663</x:f>
        <x:v>1.2600000000000002</x:v>
      </x:c>
      <x:c r="AD1663" s="15" t="n">
        <x:f>'기준스탯 72종'!H74*H1663</x:f>
        <x:v>0.3600000000000001</x:v>
      </x:c>
      <x:c r="AE1663" s="15" t="n">
        <x:f>'기준스탯 72종'!I74*H1663</x:f>
        <x:v>0.7200000000000002</x:v>
      </x:c>
      <x:c r="AF1663" s="15" t="n">
        <x:f>'기준스탯 72종'!J74*H1663</x:f>
        <x:v>0.7200000000000002</x:v>
      </x:c>
      <x:c r="AG1663" s="15" t="n">
        <x:f>'기준스탯 72종'!K74*H1663</x:f>
        <x:v>1.0800000000000003</x:v>
      </x:c>
    </x:row>
    <x:row r="1664" ht="28" customHeight="1">
      <x:c r="A1664" s="2" t="n">
        <x:v>1657</x:v>
      </x:c>
      <x:c r="B1664" s="2" t="n">
        <x:v>67</x:v>
      </x:c>
      <x:c r="C1664" s="2" t="str">
        <x:v>물고기자리</x:v>
      </x:c>
      <x:c r="D1664" s="2" t="str">
        <x:v>기사</x:v>
      </x:c>
      <x:c r="E1664" s="2" t="n">
        <x:v>2</x:v>
      </x:c>
      <x:c r="F1664" s="2" t="n">
        <x:v>2</x:v>
      </x:c>
      <x:c r="G1664" s="14" t="n">
        <x:f>('레벨 계산식'!$E$4-E1664)*'레벨 계산식'!$B$5</x:f>
        <x:v>0.41999999999999993</x:v>
      </x:c>
      <x:c r="H1664" s="14" t="n">
        <x:f>('등급 계산식'!$E$4-F1664)*'등급 계산식'!$B$5</x:f>
        <x:v>0.18000000000000005</x:v>
      </x:c>
      <x:c r="I1664" s="14" t="n">
        <x:f>1-G1664-H1664</x:f>
        <x:v>0.4</x:v>
      </x:c>
      <x:c r="J1664" s="2" t="n">
        <x:f>MAX(1,ROUND('기준스탯 72종'!D74-R1664-Z1664,0))</x:f>
        <x:v>2</x:v>
      </x:c>
      <x:c r="K1664" s="2" t="n">
        <x:f>MAX(1,ROUND('기준스탯 72종'!E74-S1664-AA1664,0))</x:f>
        <x:v>4</x:v>
      </x:c>
      <x:c r="L1664" s="2" t="n">
        <x:f>MAX(1,ROUND('기준스탯 72종'!F74-T1664-AB1664,0))</x:f>
        <x:v>4</x:v>
      </x:c>
      <x:c r="M1664" s="2" t="n">
        <x:f>MAX(1,ROUND('기준스탯 72종'!G74-U1664-AC1664,0))</x:f>
        <x:v>3</x:v>
      </x:c>
      <x:c r="N1664" s="2" t="n">
        <x:f>MAX(0,ROUND('기준스탯 72종'!H74-V1664-AD1664,0))</x:f>
        <x:v>1</x:v>
      </x:c>
      <x:c r="O1664" s="2" t="n">
        <x:f>MAX(0,ROUND('기준스탯 72종'!I74-W1664-AE1664,0))</x:f>
        <x:v>2</x:v>
      </x:c>
      <x:c r="P1664" s="2" t="n">
        <x:f>MAX(0,ROUND('기준스탯 72종'!J74-X1664-AF1664,0))</x:f>
        <x:v>2</x:v>
      </x:c>
      <x:c r="Q1664" s="2" t="n">
        <x:f>MAX(0,ROUND('기준스탯 72종'!K74-Y1664-AG1664,0))</x:f>
        <x:v>2</x:v>
      </x:c>
      <x:c r="R1664" s="15" t="n">
        <x:f>'기준스탯 72종'!D74*G1664</x:f>
        <x:v>2.0999999999999996</x:v>
      </x:c>
      <x:c r="S1664" s="15" t="n">
        <x:f>'기준스탯 72종'!E74*G1664</x:f>
        <x:v>3.7799999999999994</x:v>
      </x:c>
      <x:c r="T1664" s="15" t="n">
        <x:f>'기준스탯 72종'!F74*G1664</x:f>
        <x:v>3.7799999999999994</x:v>
      </x:c>
      <x:c r="U1664" s="15" t="n">
        <x:f>'기준스탯 72종'!G74*G1664</x:f>
        <x:v>2.9399999999999995</x:v>
      </x:c>
      <x:c r="V1664" s="15" t="n">
        <x:f>'기준스탯 72종'!H74*G1664</x:f>
        <x:v>0.8399999999999999</x:v>
      </x:c>
      <x:c r="W1664" s="15" t="n">
        <x:f>'기준스탯 72종'!I74*G1664</x:f>
        <x:v>1.6799999999999997</x:v>
      </x:c>
      <x:c r="X1664" s="15" t="n">
        <x:f>'기준스탯 72종'!J74*G1664</x:f>
        <x:v>1.6799999999999997</x:v>
      </x:c>
      <x:c r="Y1664" s="15" t="n">
        <x:f>'기준스탯 72종'!K74*G1664</x:f>
        <x:v>2.5199999999999996</x:v>
      </x:c>
      <x:c r="Z1664" s="15" t="n">
        <x:f>'기준스탯 72종'!D74*H1664</x:f>
        <x:v>0.9000000000000002</x:v>
      </x:c>
      <x:c r="AA1664" s="15" t="n">
        <x:f>'기준스탯 72종'!E74*H1664</x:f>
        <x:v>1.6200000000000006</x:v>
      </x:c>
      <x:c r="AB1664" s="15" t="n">
        <x:f>'기준스탯 72종'!F74*H1664</x:f>
        <x:v>1.6200000000000006</x:v>
      </x:c>
      <x:c r="AC1664" s="15" t="n">
        <x:f>'기준스탯 72종'!G74*H1664</x:f>
        <x:v>1.2600000000000002</x:v>
      </x:c>
      <x:c r="AD1664" s="15" t="n">
        <x:f>'기준스탯 72종'!H74*H1664</x:f>
        <x:v>0.3600000000000001</x:v>
      </x:c>
      <x:c r="AE1664" s="15" t="n">
        <x:f>'기준스탯 72종'!I74*H1664</x:f>
        <x:v>0.7200000000000002</x:v>
      </x:c>
      <x:c r="AF1664" s="15" t="n">
        <x:f>'기준스탯 72종'!J74*H1664</x:f>
        <x:v>0.7200000000000002</x:v>
      </x:c>
      <x:c r="AG1664" s="15" t="n">
        <x:f>'기준스탯 72종'!K74*H1664</x:f>
        <x:v>1.0800000000000003</x:v>
      </x:c>
    </x:row>
    <x:row r="1665" ht="28" customHeight="1">
      <x:c r="A1665" s="2" t="n">
        <x:v>1658</x:v>
      </x:c>
      <x:c r="B1665" s="2" t="n">
        <x:v>67</x:v>
      </x:c>
      <x:c r="C1665" s="2" t="str">
        <x:v>물고기자리</x:v>
      </x:c>
      <x:c r="D1665" s="2" t="str">
        <x:v>기사</x:v>
      </x:c>
      <x:c r="E1665" s="2" t="n">
        <x:v>3</x:v>
      </x:c>
      <x:c r="F1665" s="2" t="n">
        <x:v>2</x:v>
      </x:c>
      <x:c r="G1665" s="14" t="n">
        <x:f>('레벨 계산식'!$E$4-E1665)*'레벨 계산식'!$B$5</x:f>
        <x:v>0.27999999999999997</x:v>
      </x:c>
      <x:c r="H1665" s="14" t="n">
        <x:f>('등급 계산식'!$E$4-F1665)*'등급 계산식'!$B$5</x:f>
        <x:v>0.18000000000000005</x:v>
      </x:c>
      <x:c r="I1665" s="14" t="n">
        <x:f>1-G1665-H1665</x:f>
        <x:v>0.5399999999999999</x:v>
      </x:c>
      <x:c r="J1665" s="2" t="n">
        <x:f>MAX(1,ROUND('기준스탯 72종'!D74-R1665-Z1665,0))</x:f>
        <x:v>3</x:v>
      </x:c>
      <x:c r="K1665" s="2" t="n">
        <x:f>MAX(1,ROUND('기준스탯 72종'!E74-S1665-AA1665,0))</x:f>
        <x:v>5</x:v>
      </x:c>
      <x:c r="L1665" s="2" t="n">
        <x:f>MAX(1,ROUND('기준스탯 72종'!F74-T1665-AB1665,0))</x:f>
        <x:v>5</x:v>
      </x:c>
      <x:c r="M1665" s="2" t="n">
        <x:f>MAX(1,ROUND('기준스탯 72종'!G74-U1665-AC1665,0))</x:f>
        <x:v>4</x:v>
      </x:c>
      <x:c r="N1665" s="2" t="n">
        <x:f>MAX(0,ROUND('기준스탯 72종'!H74-V1665-AD1665,0))</x:f>
        <x:v>1</x:v>
      </x:c>
      <x:c r="O1665" s="2" t="n">
        <x:f>MAX(0,ROUND('기준스탯 72종'!I74-W1665-AE1665,0))</x:f>
        <x:v>2</x:v>
      </x:c>
      <x:c r="P1665" s="2" t="n">
        <x:f>MAX(0,ROUND('기준스탯 72종'!J74-X1665-AF1665,0))</x:f>
        <x:v>2</x:v>
      </x:c>
      <x:c r="Q1665" s="2" t="n">
        <x:f>MAX(0,ROUND('기준스탯 72종'!K74-Y1665-AG1665,0))</x:f>
        <x:v>3</x:v>
      </x:c>
      <x:c r="R1665" s="15" t="n">
        <x:f>'기준스탯 72종'!D74*G1665</x:f>
        <x:v>1.4</x:v>
      </x:c>
      <x:c r="S1665" s="15" t="n">
        <x:f>'기준스탯 72종'!E74*G1665</x:f>
        <x:v>2.5199999999999996</x:v>
      </x:c>
      <x:c r="T1665" s="15" t="n">
        <x:f>'기준스탯 72종'!F74*G1665</x:f>
        <x:v>2.5199999999999996</x:v>
      </x:c>
      <x:c r="U1665" s="15" t="n">
        <x:f>'기준스탯 72종'!G74*G1665</x:f>
        <x:v>1.9599999999999997</x:v>
      </x:c>
      <x:c r="V1665" s="15" t="n">
        <x:f>'기준스탯 72종'!H74*G1665</x:f>
        <x:v>0.5599999999999999</x:v>
      </x:c>
      <x:c r="W1665" s="15" t="n">
        <x:f>'기준스탯 72종'!I74*G1665</x:f>
        <x:v>1.1199999999999999</x:v>
      </x:c>
      <x:c r="X1665" s="15" t="n">
        <x:f>'기준스탯 72종'!J74*G1665</x:f>
        <x:v>1.1199999999999999</x:v>
      </x:c>
      <x:c r="Y1665" s="15" t="n">
        <x:f>'기준스탯 72종'!K74*G1665</x:f>
        <x:v>1.6799999999999997</x:v>
      </x:c>
      <x:c r="Z1665" s="15" t="n">
        <x:f>'기준스탯 72종'!D74*H1665</x:f>
        <x:v>0.9000000000000002</x:v>
      </x:c>
      <x:c r="AA1665" s="15" t="n">
        <x:f>'기준스탯 72종'!E74*H1665</x:f>
        <x:v>1.6200000000000006</x:v>
      </x:c>
      <x:c r="AB1665" s="15" t="n">
        <x:f>'기준스탯 72종'!F74*H1665</x:f>
        <x:v>1.6200000000000006</x:v>
      </x:c>
      <x:c r="AC1665" s="15" t="n">
        <x:f>'기준스탯 72종'!G74*H1665</x:f>
        <x:v>1.2600000000000002</x:v>
      </x:c>
      <x:c r="AD1665" s="15" t="n">
        <x:f>'기준스탯 72종'!H74*H1665</x:f>
        <x:v>0.3600000000000001</x:v>
      </x:c>
      <x:c r="AE1665" s="15" t="n">
        <x:f>'기준스탯 72종'!I74*H1665</x:f>
        <x:v>0.7200000000000002</x:v>
      </x:c>
      <x:c r="AF1665" s="15" t="n">
        <x:f>'기준스탯 72종'!J74*H1665</x:f>
        <x:v>0.7200000000000002</x:v>
      </x:c>
      <x:c r="AG1665" s="15" t="n">
        <x:f>'기준스탯 72종'!K74*H1665</x:f>
        <x:v>1.0800000000000003</x:v>
      </x:c>
    </x:row>
    <x:row r="1666" ht="28" customHeight="1">
      <x:c r="A1666" s="2" t="n">
        <x:v>1659</x:v>
      </x:c>
      <x:c r="B1666" s="2" t="n">
        <x:v>67</x:v>
      </x:c>
      <x:c r="C1666" s="2" t="str">
        <x:v>물고기자리</x:v>
      </x:c>
      <x:c r="D1666" s="2" t="str">
        <x:v>기사</x:v>
      </x:c>
      <x:c r="E1666" s="2" t="n">
        <x:v>4</x:v>
      </x:c>
      <x:c r="F1666" s="2" t="n">
        <x:v>2</x:v>
      </x:c>
      <x:c r="G1666" s="14" t="n">
        <x:f>('레벨 계산식'!$E$4-E1666)*'레벨 계산식'!$B$5</x:f>
        <x:v>0.13999999999999999</x:v>
      </x:c>
      <x:c r="H1666" s="14" t="n">
        <x:f>('등급 계산식'!$E$4-F1666)*'등급 계산식'!$B$5</x:f>
        <x:v>0.18000000000000005</x:v>
      </x:c>
      <x:c r="I1666" s="14" t="n">
        <x:f>1-G1666-H1666</x:f>
        <x:v>0.6799999999999999</x:v>
      </x:c>
      <x:c r="J1666" s="2" t="n">
        <x:f>MAX(1,ROUND('기준스탯 72종'!D74-R1666-Z1666,0))</x:f>
        <x:v>3</x:v>
      </x:c>
      <x:c r="K1666" s="2" t="n">
        <x:f>MAX(1,ROUND('기준스탯 72종'!E74-S1666-AA1666,0))</x:f>
        <x:v>6</x:v>
      </x:c>
      <x:c r="L1666" s="2" t="n">
        <x:f>MAX(1,ROUND('기준스탯 72종'!F74-T1666-AB1666,0))</x:f>
        <x:v>6</x:v>
      </x:c>
      <x:c r="M1666" s="2" t="n">
        <x:f>MAX(1,ROUND('기준스탯 72종'!G74-U1666-AC1666,0))</x:f>
        <x:v>5</x:v>
      </x:c>
      <x:c r="N1666" s="2" t="n">
        <x:f>MAX(0,ROUND('기준스탯 72종'!H74-V1666-AD1666,0))</x:f>
        <x:v>1</x:v>
      </x:c>
      <x:c r="O1666" s="2" t="n">
        <x:f>MAX(0,ROUND('기준스탯 72종'!I74-W1666-AE1666,0))</x:f>
        <x:v>3</x:v>
      </x:c>
      <x:c r="P1666" s="2" t="n">
        <x:f>MAX(0,ROUND('기준스탯 72종'!J74-X1666-AF1666,0))</x:f>
        <x:v>3</x:v>
      </x:c>
      <x:c r="Q1666" s="2" t="n">
        <x:f>MAX(0,ROUND('기준스탯 72종'!K74-Y1666-AG1666,0))</x:f>
        <x:v>4</x:v>
      </x:c>
      <x:c r="R1666" s="15" t="n">
        <x:f>'기준스탯 72종'!D74*G1666</x:f>
        <x:v>0.7</x:v>
      </x:c>
      <x:c r="S1666" s="15" t="n">
        <x:f>'기준스탯 72종'!E74*G1666</x:f>
        <x:v>1.2599999999999998</x:v>
      </x:c>
      <x:c r="T1666" s="15" t="n">
        <x:f>'기준스탯 72종'!F74*G1666</x:f>
        <x:v>1.2599999999999998</x:v>
      </x:c>
      <x:c r="U1666" s="15" t="n">
        <x:f>'기준스탯 72종'!G74*G1666</x:f>
        <x:v>0.9799999999999999</x:v>
      </x:c>
      <x:c r="V1666" s="15" t="n">
        <x:f>'기준스탯 72종'!H74*G1666</x:f>
        <x:v>0.27999999999999997</x:v>
      </x:c>
      <x:c r="W1666" s="15" t="n">
        <x:f>'기준스탯 72종'!I74*G1666</x:f>
        <x:v>0.5599999999999999</x:v>
      </x:c>
      <x:c r="X1666" s="15" t="n">
        <x:f>'기준스탯 72종'!J74*G1666</x:f>
        <x:v>0.5599999999999999</x:v>
      </x:c>
      <x:c r="Y1666" s="15" t="n">
        <x:f>'기준스탯 72종'!K74*G1666</x:f>
        <x:v>0.8399999999999999</x:v>
      </x:c>
      <x:c r="Z1666" s="15" t="n">
        <x:f>'기준스탯 72종'!D74*H1666</x:f>
        <x:v>0.9000000000000002</x:v>
      </x:c>
      <x:c r="AA1666" s="15" t="n">
        <x:f>'기준스탯 72종'!E74*H1666</x:f>
        <x:v>1.6200000000000006</x:v>
      </x:c>
      <x:c r="AB1666" s="15" t="n">
        <x:f>'기준스탯 72종'!F74*H1666</x:f>
        <x:v>1.6200000000000006</x:v>
      </x:c>
      <x:c r="AC1666" s="15" t="n">
        <x:f>'기준스탯 72종'!G74*H1666</x:f>
        <x:v>1.2600000000000002</x:v>
      </x:c>
      <x:c r="AD1666" s="15" t="n">
        <x:f>'기준스탯 72종'!H74*H1666</x:f>
        <x:v>0.3600000000000001</x:v>
      </x:c>
      <x:c r="AE1666" s="15" t="n">
        <x:f>'기준스탯 72종'!I74*H1666</x:f>
        <x:v>0.7200000000000002</x:v>
      </x:c>
      <x:c r="AF1666" s="15" t="n">
        <x:f>'기준스탯 72종'!J74*H1666</x:f>
        <x:v>0.7200000000000002</x:v>
      </x:c>
      <x:c r="AG1666" s="15" t="n">
        <x:f>'기준스탯 72종'!K74*H1666</x:f>
        <x:v>1.0800000000000003</x:v>
      </x:c>
    </x:row>
    <x:row r="1667" ht="28" customHeight="1">
      <x:c r="A1667" s="2" t="n">
        <x:v>1660</x:v>
      </x:c>
      <x:c r="B1667" s="2" t="n">
        <x:v>67</x:v>
      </x:c>
      <x:c r="C1667" s="2" t="str">
        <x:v>물고기자리</x:v>
      </x:c>
      <x:c r="D1667" s="2" t="str">
        <x:v>기사</x:v>
      </x:c>
      <x:c r="E1667" s="2" t="n">
        <x:v>5</x:v>
      </x:c>
      <x:c r="F1667" s="2" t="n">
        <x:v>2</x:v>
      </x:c>
      <x:c r="G1667" s="14" t="n">
        <x:f>('레벨 계산식'!$E$4-E1667)*'레벨 계산식'!$B$5</x:f>
        <x:v>0</x:v>
      </x:c>
      <x:c r="H1667" s="14" t="n">
        <x:f>('등급 계산식'!$E$4-F1667)*'등급 계산식'!$B$5</x:f>
        <x:v>0.18000000000000005</x:v>
      </x:c>
      <x:c r="I1667" s="14" t="n">
        <x:f>1-G1667-H1667</x:f>
        <x:v>0.82</x:v>
      </x:c>
      <x:c r="J1667" s="2" t="n">
        <x:f>MAX(1,ROUND('기준스탯 72종'!D74-R1667-Z1667,0))</x:f>
        <x:v>4</x:v>
      </x:c>
      <x:c r="K1667" s="2" t="n">
        <x:f>MAX(1,ROUND('기준스탯 72종'!E74-S1667-AA1667,0))</x:f>
        <x:v>7</x:v>
      </x:c>
      <x:c r="L1667" s="2" t="n">
        <x:f>MAX(1,ROUND('기준스탯 72종'!F74-T1667-AB1667,0))</x:f>
        <x:v>7</x:v>
      </x:c>
      <x:c r="M1667" s="2" t="n">
        <x:f>MAX(1,ROUND('기준스탯 72종'!G74-U1667-AC1667,0))</x:f>
        <x:v>6</x:v>
      </x:c>
      <x:c r="N1667" s="2" t="n">
        <x:f>MAX(0,ROUND('기준스탯 72종'!H74-V1667-AD1667,0))</x:f>
        <x:v>2</x:v>
      </x:c>
      <x:c r="O1667" s="2" t="n">
        <x:f>MAX(0,ROUND('기준스탯 72종'!I74-W1667-AE1667,0))</x:f>
        <x:v>3</x:v>
      </x:c>
      <x:c r="P1667" s="2" t="n">
        <x:f>MAX(0,ROUND('기준스탯 72종'!J74-X1667-AF1667,0))</x:f>
        <x:v>3</x:v>
      </x:c>
      <x:c r="Q1667" s="2" t="n">
        <x:f>MAX(0,ROUND('기준스탯 72종'!K74-Y1667-AG1667,0))</x:f>
        <x:v>5</x:v>
      </x:c>
      <x:c r="R1667" s="15" t="n">
        <x:f>'기준스탯 72종'!D74*G1667</x:f>
        <x:v>0</x:v>
      </x:c>
      <x:c r="S1667" s="15" t="n">
        <x:f>'기준스탯 72종'!E74*G1667</x:f>
        <x:v>0</x:v>
      </x:c>
      <x:c r="T1667" s="15" t="n">
        <x:f>'기준스탯 72종'!F74*G1667</x:f>
        <x:v>0</x:v>
      </x:c>
      <x:c r="U1667" s="15" t="n">
        <x:f>'기준스탯 72종'!G74*G1667</x:f>
        <x:v>0</x:v>
      </x:c>
      <x:c r="V1667" s="15" t="n">
        <x:f>'기준스탯 72종'!H74*G1667</x:f>
        <x:v>0</x:v>
      </x:c>
      <x:c r="W1667" s="15" t="n">
        <x:f>'기준스탯 72종'!I74*G1667</x:f>
        <x:v>0</x:v>
      </x:c>
      <x:c r="X1667" s="15" t="n">
        <x:f>'기준스탯 72종'!J74*G1667</x:f>
        <x:v>0</x:v>
      </x:c>
      <x:c r="Y1667" s="15" t="n">
        <x:f>'기준스탯 72종'!K74*G1667</x:f>
        <x:v>0</x:v>
      </x:c>
      <x:c r="Z1667" s="15" t="n">
        <x:f>'기준스탯 72종'!D74*H1667</x:f>
        <x:v>0.9000000000000002</x:v>
      </x:c>
      <x:c r="AA1667" s="15" t="n">
        <x:f>'기준스탯 72종'!E74*H1667</x:f>
        <x:v>1.6200000000000006</x:v>
      </x:c>
      <x:c r="AB1667" s="15" t="n">
        <x:f>'기준스탯 72종'!F74*H1667</x:f>
        <x:v>1.6200000000000006</x:v>
      </x:c>
      <x:c r="AC1667" s="15" t="n">
        <x:f>'기준스탯 72종'!G74*H1667</x:f>
        <x:v>1.2600000000000002</x:v>
      </x:c>
      <x:c r="AD1667" s="15" t="n">
        <x:f>'기준스탯 72종'!H74*H1667</x:f>
        <x:v>0.3600000000000001</x:v>
      </x:c>
      <x:c r="AE1667" s="15" t="n">
        <x:f>'기준스탯 72종'!I74*H1667</x:f>
        <x:v>0.7200000000000002</x:v>
      </x:c>
      <x:c r="AF1667" s="15" t="n">
        <x:f>'기준스탯 72종'!J74*H1667</x:f>
        <x:v>0.7200000000000002</x:v>
      </x:c>
      <x:c r="AG1667" s="15" t="n">
        <x:f>'기준스탯 72종'!K74*H1667</x:f>
        <x:v>1.0800000000000003</x:v>
      </x:c>
    </x:row>
    <x:row r="1668" ht="28" customHeight="1">
      <x:c r="A1668" s="2" t="n">
        <x:v>1661</x:v>
      </x:c>
      <x:c r="B1668" s="2" t="n">
        <x:v>67</x:v>
      </x:c>
      <x:c r="C1668" s="2" t="str">
        <x:v>물고기자리</x:v>
      </x:c>
      <x:c r="D1668" s="2" t="str">
        <x:v>기사</x:v>
      </x:c>
      <x:c r="E1668" s="2" t="n">
        <x:v>1</x:v>
      </x:c>
      <x:c r="F1668" s="2" t="n">
        <x:v>3</x:v>
      </x:c>
      <x:c r="G1668" s="14" t="n">
        <x:f>('레벨 계산식'!$E$4-E1668)*'레벨 계산식'!$B$5</x:f>
        <x:v>0.5599999999999999</x:v>
      </x:c>
      <x:c r="H1668" s="14" t="n">
        <x:f>('등급 계산식'!$E$4-F1668)*'등급 계산식'!$B$5</x:f>
        <x:v>0.12000000000000002</x:v>
      </x:c>
      <x:c r="I1668" s="14" t="n">
        <x:f>1-G1668-H1668</x:f>
        <x:v>0.32000000000000006</x:v>
      </x:c>
      <x:c r="J1668" s="2" t="n">
        <x:f>MAX(1,ROUND('기준스탯 72종'!D74-R1668-Z1668,0))</x:f>
        <x:v>2</x:v>
      </x:c>
      <x:c r="K1668" s="2" t="n">
        <x:f>MAX(1,ROUND('기준스탯 72종'!E74-S1668-AA1668,0))</x:f>
        <x:v>3</x:v>
      </x:c>
      <x:c r="L1668" s="2" t="n">
        <x:f>MAX(1,ROUND('기준스탯 72종'!F74-T1668-AB1668,0))</x:f>
        <x:v>3</x:v>
      </x:c>
      <x:c r="M1668" s="2" t="n">
        <x:f>MAX(1,ROUND('기준스탯 72종'!G74-U1668-AC1668,0))</x:f>
        <x:v>2</x:v>
      </x:c>
      <x:c r="N1668" s="2" t="n">
        <x:f>MAX(0,ROUND('기준스탯 72종'!H74-V1668-AD1668,0))</x:f>
        <x:v>1</x:v>
      </x:c>
      <x:c r="O1668" s="2" t="n">
        <x:f>MAX(0,ROUND('기준스탯 72종'!I74-W1668-AE1668,0))</x:f>
        <x:v>1</x:v>
      </x:c>
      <x:c r="P1668" s="2" t="n">
        <x:f>MAX(0,ROUND('기준스탯 72종'!J74-X1668-AF1668,0))</x:f>
        <x:v>1</x:v>
      </x:c>
      <x:c r="Q1668" s="2" t="n">
        <x:f>MAX(0,ROUND('기준스탯 72종'!K74-Y1668-AG1668,0))</x:f>
        <x:v>2</x:v>
      </x:c>
      <x:c r="R1668" s="15" t="n">
        <x:f>'기준스탯 72종'!D74*G1668</x:f>
        <x:v>2.8</x:v>
      </x:c>
      <x:c r="S1668" s="15" t="n">
        <x:f>'기준스탯 72종'!E74*G1668</x:f>
        <x:v>5.039999999999999</x:v>
      </x:c>
      <x:c r="T1668" s="15" t="n">
        <x:f>'기준스탯 72종'!F74*G1668</x:f>
        <x:v>5.039999999999999</x:v>
      </x:c>
      <x:c r="U1668" s="15" t="n">
        <x:f>'기준스탯 72종'!G74*G1668</x:f>
        <x:v>3.9199999999999995</x:v>
      </x:c>
      <x:c r="V1668" s="15" t="n">
        <x:f>'기준스탯 72종'!H74*G1668</x:f>
        <x:v>1.1199999999999999</x:v>
      </x:c>
      <x:c r="W1668" s="15" t="n">
        <x:f>'기준스탯 72종'!I74*G1668</x:f>
        <x:v>2.2399999999999998</x:v>
      </x:c>
      <x:c r="X1668" s="15" t="n">
        <x:f>'기준스탯 72종'!J74*G1668</x:f>
        <x:v>2.2399999999999998</x:v>
      </x:c>
      <x:c r="Y1668" s="15" t="n">
        <x:f>'기준스탯 72종'!K74*G1668</x:f>
        <x:v>3.3599999999999994</x:v>
      </x:c>
      <x:c r="Z1668" s="15" t="n">
        <x:f>'기준스탯 72종'!D74*H1668</x:f>
        <x:v>0.6000000000000001</x:v>
      </x:c>
      <x:c r="AA1668" s="15" t="n">
        <x:f>'기준스탯 72종'!E74*H1668</x:f>
        <x:v>1.0800000000000003</x:v>
      </x:c>
      <x:c r="AB1668" s="15" t="n">
        <x:f>'기준스탯 72종'!F74*H1668</x:f>
        <x:v>1.0800000000000003</x:v>
      </x:c>
      <x:c r="AC1668" s="15" t="n">
        <x:f>'기준스탯 72종'!G74*H1668</x:f>
        <x:v>0.8400000000000002</x:v>
      </x:c>
      <x:c r="AD1668" s="15" t="n">
        <x:f>'기준스탯 72종'!H74*H1668</x:f>
        <x:v>0.24000000000000005</x:v>
      </x:c>
      <x:c r="AE1668" s="15" t="n">
        <x:f>'기준스탯 72종'!I74*H1668</x:f>
        <x:v>0.4800000000000001</x:v>
      </x:c>
      <x:c r="AF1668" s="15" t="n">
        <x:f>'기준스탯 72종'!J74*H1668</x:f>
        <x:v>0.4800000000000001</x:v>
      </x:c>
      <x:c r="AG1668" s="15" t="n">
        <x:f>'기준스탯 72종'!K74*H1668</x:f>
        <x:v>0.7200000000000002</x:v>
      </x:c>
    </x:row>
    <x:row r="1669" ht="28" customHeight="1">
      <x:c r="A1669" s="2" t="n">
        <x:v>1662</x:v>
      </x:c>
      <x:c r="B1669" s="2" t="n">
        <x:v>67</x:v>
      </x:c>
      <x:c r="C1669" s="2" t="str">
        <x:v>물고기자리</x:v>
      </x:c>
      <x:c r="D1669" s="2" t="str">
        <x:v>기사</x:v>
      </x:c>
      <x:c r="E1669" s="2" t="n">
        <x:v>2</x:v>
      </x:c>
      <x:c r="F1669" s="2" t="n">
        <x:v>3</x:v>
      </x:c>
      <x:c r="G1669" s="14" t="n">
        <x:f>('레벨 계산식'!$E$4-E1669)*'레벨 계산식'!$B$5</x:f>
        <x:v>0.41999999999999993</x:v>
      </x:c>
      <x:c r="H1669" s="14" t="n">
        <x:f>('등급 계산식'!$E$4-F1669)*'등급 계산식'!$B$5</x:f>
        <x:v>0.12000000000000002</x:v>
      </x:c>
      <x:c r="I1669" s="14" t="n">
        <x:f>1-G1669-H1669</x:f>
        <x:v>0.4600000000000001</x:v>
      </x:c>
      <x:c r="J1669" s="2" t="n">
        <x:f>MAX(1,ROUND('기준스탯 72종'!D74-R1669-Z1669,0))</x:f>
        <x:v>2</x:v>
      </x:c>
      <x:c r="K1669" s="2" t="n">
        <x:f>MAX(1,ROUND('기준스탯 72종'!E74-S1669-AA1669,0))</x:f>
        <x:v>4</x:v>
      </x:c>
      <x:c r="L1669" s="2" t="n">
        <x:f>MAX(1,ROUND('기준스탯 72종'!F74-T1669-AB1669,0))</x:f>
        <x:v>4</x:v>
      </x:c>
      <x:c r="M1669" s="2" t="n">
        <x:f>MAX(1,ROUND('기준스탯 72종'!G74-U1669-AC1669,0))</x:f>
        <x:v>3</x:v>
      </x:c>
      <x:c r="N1669" s="2" t="n">
        <x:f>MAX(0,ROUND('기준스탯 72종'!H74-V1669-AD1669,0))</x:f>
        <x:v>1</x:v>
      </x:c>
      <x:c r="O1669" s="2" t="n">
        <x:f>MAX(0,ROUND('기준스탯 72종'!I74-W1669-AE1669,0))</x:f>
        <x:v>2</x:v>
      </x:c>
      <x:c r="P1669" s="2" t="n">
        <x:f>MAX(0,ROUND('기준스탯 72종'!J74-X1669-AF1669,0))</x:f>
        <x:v>2</x:v>
      </x:c>
      <x:c r="Q1669" s="2" t="n">
        <x:f>MAX(0,ROUND('기준스탯 72종'!K74-Y1669-AG1669,0))</x:f>
        <x:v>3</x:v>
      </x:c>
      <x:c r="R1669" s="15" t="n">
        <x:f>'기준스탯 72종'!D74*G1669</x:f>
        <x:v>2.0999999999999996</x:v>
      </x:c>
      <x:c r="S1669" s="15" t="n">
        <x:f>'기준스탯 72종'!E74*G1669</x:f>
        <x:v>3.7799999999999994</x:v>
      </x:c>
      <x:c r="T1669" s="15" t="n">
        <x:f>'기준스탯 72종'!F74*G1669</x:f>
        <x:v>3.7799999999999994</x:v>
      </x:c>
      <x:c r="U1669" s="15" t="n">
        <x:f>'기준스탯 72종'!G74*G1669</x:f>
        <x:v>2.9399999999999995</x:v>
      </x:c>
      <x:c r="V1669" s="15" t="n">
        <x:f>'기준스탯 72종'!H74*G1669</x:f>
        <x:v>0.8399999999999999</x:v>
      </x:c>
      <x:c r="W1669" s="15" t="n">
        <x:f>'기준스탯 72종'!I74*G1669</x:f>
        <x:v>1.6799999999999997</x:v>
      </x:c>
      <x:c r="X1669" s="15" t="n">
        <x:f>'기준스탯 72종'!J74*G1669</x:f>
        <x:v>1.6799999999999997</x:v>
      </x:c>
      <x:c r="Y1669" s="15" t="n">
        <x:f>'기준스탯 72종'!K74*G1669</x:f>
        <x:v>2.5199999999999996</x:v>
      </x:c>
      <x:c r="Z1669" s="15" t="n">
        <x:f>'기준스탯 72종'!D74*H1669</x:f>
        <x:v>0.6000000000000001</x:v>
      </x:c>
      <x:c r="AA1669" s="15" t="n">
        <x:f>'기준스탯 72종'!E74*H1669</x:f>
        <x:v>1.0800000000000003</x:v>
      </x:c>
      <x:c r="AB1669" s="15" t="n">
        <x:f>'기준스탯 72종'!F74*H1669</x:f>
        <x:v>1.0800000000000003</x:v>
      </x:c>
      <x:c r="AC1669" s="15" t="n">
        <x:f>'기준스탯 72종'!G74*H1669</x:f>
        <x:v>0.8400000000000002</x:v>
      </x:c>
      <x:c r="AD1669" s="15" t="n">
        <x:f>'기준스탯 72종'!H74*H1669</x:f>
        <x:v>0.24000000000000005</x:v>
      </x:c>
      <x:c r="AE1669" s="15" t="n">
        <x:f>'기준스탯 72종'!I74*H1669</x:f>
        <x:v>0.4800000000000001</x:v>
      </x:c>
      <x:c r="AF1669" s="15" t="n">
        <x:f>'기준스탯 72종'!J74*H1669</x:f>
        <x:v>0.4800000000000001</x:v>
      </x:c>
      <x:c r="AG1669" s="15" t="n">
        <x:f>'기준스탯 72종'!K74*H1669</x:f>
        <x:v>0.7200000000000002</x:v>
      </x:c>
    </x:row>
    <x:row r="1670" ht="28" customHeight="1">
      <x:c r="A1670" s="2" t="n">
        <x:v>1663</x:v>
      </x:c>
      <x:c r="B1670" s="2" t="n">
        <x:v>67</x:v>
      </x:c>
      <x:c r="C1670" s="2" t="str">
        <x:v>물고기자리</x:v>
      </x:c>
      <x:c r="D1670" s="2" t="str">
        <x:v>기사</x:v>
      </x:c>
      <x:c r="E1670" s="2" t="n">
        <x:v>3</x:v>
      </x:c>
      <x:c r="F1670" s="2" t="n">
        <x:v>3</x:v>
      </x:c>
      <x:c r="G1670" s="14" t="n">
        <x:f>('레벨 계산식'!$E$4-E1670)*'레벨 계산식'!$B$5</x:f>
        <x:v>0.27999999999999997</x:v>
      </x:c>
      <x:c r="H1670" s="14" t="n">
        <x:f>('등급 계산식'!$E$4-F1670)*'등급 계산식'!$B$5</x:f>
        <x:v>0.12000000000000002</x:v>
      </x:c>
      <x:c r="I1670" s="14" t="n">
        <x:f>1-G1670-H1670</x:f>
        <x:v>0.6</x:v>
      </x:c>
      <x:c r="J1670" s="2" t="n">
        <x:f>MAX(1,ROUND('기준스탯 72종'!D74-R1670-Z1670,0))</x:f>
        <x:v>3</x:v>
      </x:c>
      <x:c r="K1670" s="2" t="n">
        <x:f>MAX(1,ROUND('기준스탯 72종'!E74-S1670-AA1670,0))</x:f>
        <x:v>5</x:v>
      </x:c>
      <x:c r="L1670" s="2" t="n">
        <x:f>MAX(1,ROUND('기준스탯 72종'!F74-T1670-AB1670,0))</x:f>
        <x:v>5</x:v>
      </x:c>
      <x:c r="M1670" s="2" t="n">
        <x:f>MAX(1,ROUND('기준스탯 72종'!G74-U1670-AC1670,0))</x:f>
        <x:v>4</x:v>
      </x:c>
      <x:c r="N1670" s="2" t="n">
        <x:f>MAX(0,ROUND('기준스탯 72종'!H74-V1670-AD1670,0))</x:f>
        <x:v>1</x:v>
      </x:c>
      <x:c r="O1670" s="2" t="n">
        <x:f>MAX(0,ROUND('기준스탯 72종'!I74-W1670-AE1670,0))</x:f>
        <x:v>2</x:v>
      </x:c>
      <x:c r="P1670" s="2" t="n">
        <x:f>MAX(0,ROUND('기준스탯 72종'!J74-X1670-AF1670,0))</x:f>
        <x:v>2</x:v>
      </x:c>
      <x:c r="Q1670" s="2" t="n">
        <x:f>MAX(0,ROUND('기준스탯 72종'!K74-Y1670-AG1670,0))</x:f>
        <x:v>4</x:v>
      </x:c>
      <x:c r="R1670" s="15" t="n">
        <x:f>'기준스탯 72종'!D74*G1670</x:f>
        <x:v>1.4</x:v>
      </x:c>
      <x:c r="S1670" s="15" t="n">
        <x:f>'기준스탯 72종'!E74*G1670</x:f>
        <x:v>2.5199999999999996</x:v>
      </x:c>
      <x:c r="T1670" s="15" t="n">
        <x:f>'기준스탯 72종'!F74*G1670</x:f>
        <x:v>2.5199999999999996</x:v>
      </x:c>
      <x:c r="U1670" s="15" t="n">
        <x:f>'기준스탯 72종'!G74*G1670</x:f>
        <x:v>1.9599999999999997</x:v>
      </x:c>
      <x:c r="V1670" s="15" t="n">
        <x:f>'기준스탯 72종'!H74*G1670</x:f>
        <x:v>0.5599999999999999</x:v>
      </x:c>
      <x:c r="W1670" s="15" t="n">
        <x:f>'기준스탯 72종'!I74*G1670</x:f>
        <x:v>1.1199999999999999</x:v>
      </x:c>
      <x:c r="X1670" s="15" t="n">
        <x:f>'기준스탯 72종'!J74*G1670</x:f>
        <x:v>1.1199999999999999</x:v>
      </x:c>
      <x:c r="Y1670" s="15" t="n">
        <x:f>'기준스탯 72종'!K74*G1670</x:f>
        <x:v>1.6799999999999997</x:v>
      </x:c>
      <x:c r="Z1670" s="15" t="n">
        <x:f>'기준스탯 72종'!D74*H1670</x:f>
        <x:v>0.6000000000000001</x:v>
      </x:c>
      <x:c r="AA1670" s="15" t="n">
        <x:f>'기준스탯 72종'!E74*H1670</x:f>
        <x:v>1.0800000000000003</x:v>
      </x:c>
      <x:c r="AB1670" s="15" t="n">
        <x:f>'기준스탯 72종'!F74*H1670</x:f>
        <x:v>1.0800000000000003</x:v>
      </x:c>
      <x:c r="AC1670" s="15" t="n">
        <x:f>'기준스탯 72종'!G74*H1670</x:f>
        <x:v>0.8400000000000002</x:v>
      </x:c>
      <x:c r="AD1670" s="15" t="n">
        <x:f>'기준스탯 72종'!H74*H1670</x:f>
        <x:v>0.24000000000000005</x:v>
      </x:c>
      <x:c r="AE1670" s="15" t="n">
        <x:f>'기준스탯 72종'!I74*H1670</x:f>
        <x:v>0.4800000000000001</x:v>
      </x:c>
      <x:c r="AF1670" s="15" t="n">
        <x:f>'기준스탯 72종'!J74*H1670</x:f>
        <x:v>0.4800000000000001</x:v>
      </x:c>
      <x:c r="AG1670" s="15" t="n">
        <x:f>'기준스탯 72종'!K74*H1670</x:f>
        <x:v>0.7200000000000002</x:v>
      </x:c>
    </x:row>
    <x:row r="1671" ht="28" customHeight="1">
      <x:c r="A1671" s="2" t="n">
        <x:v>1664</x:v>
      </x:c>
      <x:c r="B1671" s="2" t="n">
        <x:v>67</x:v>
      </x:c>
      <x:c r="C1671" s="2" t="str">
        <x:v>물고기자리</x:v>
      </x:c>
      <x:c r="D1671" s="2" t="str">
        <x:v>기사</x:v>
      </x:c>
      <x:c r="E1671" s="2" t="n">
        <x:v>4</x:v>
      </x:c>
      <x:c r="F1671" s="2" t="n">
        <x:v>3</x:v>
      </x:c>
      <x:c r="G1671" s="14" t="n">
        <x:f>('레벨 계산식'!$E$4-E1671)*'레벨 계산식'!$B$5</x:f>
        <x:v>0.13999999999999999</x:v>
      </x:c>
      <x:c r="H1671" s="14" t="n">
        <x:f>('등급 계산식'!$E$4-F1671)*'등급 계산식'!$B$5</x:f>
        <x:v>0.12000000000000002</x:v>
      </x:c>
      <x:c r="I1671" s="14" t="n">
        <x:f>1-G1671-H1671</x:f>
        <x:v>0.74</x:v>
      </x:c>
      <x:c r="J1671" s="2" t="n">
        <x:f>MAX(1,ROUND('기준스탯 72종'!D74-R1671-Z1671,0))</x:f>
        <x:v>4</x:v>
      </x:c>
      <x:c r="K1671" s="2" t="n">
        <x:f>MAX(1,ROUND('기준스탯 72종'!E74-S1671-AA1671,0))</x:f>
        <x:v>7</x:v>
      </x:c>
      <x:c r="L1671" s="2" t="n">
        <x:f>MAX(1,ROUND('기준스탯 72종'!F74-T1671-AB1671,0))</x:f>
        <x:v>7</x:v>
      </x:c>
      <x:c r="M1671" s="2" t="n">
        <x:f>MAX(1,ROUND('기준스탯 72종'!G74-U1671-AC1671,0))</x:f>
        <x:v>5</x:v>
      </x:c>
      <x:c r="N1671" s="2" t="n">
        <x:f>MAX(0,ROUND('기준스탯 72종'!H74-V1671-AD1671,0))</x:f>
        <x:v>1</x:v>
      </x:c>
      <x:c r="O1671" s="2" t="n">
        <x:f>MAX(0,ROUND('기준스탯 72종'!I74-W1671-AE1671,0))</x:f>
        <x:v>3</x:v>
      </x:c>
      <x:c r="P1671" s="2" t="n">
        <x:f>MAX(0,ROUND('기준스탯 72종'!J74-X1671-AF1671,0))</x:f>
        <x:v>3</x:v>
      </x:c>
      <x:c r="Q1671" s="2" t="n">
        <x:f>MAX(0,ROUND('기준스탯 72종'!K74-Y1671-AG1671,0))</x:f>
        <x:v>4</x:v>
      </x:c>
      <x:c r="R1671" s="15" t="n">
        <x:f>'기준스탯 72종'!D74*G1671</x:f>
        <x:v>0.7</x:v>
      </x:c>
      <x:c r="S1671" s="15" t="n">
        <x:f>'기준스탯 72종'!E74*G1671</x:f>
        <x:v>1.2599999999999998</x:v>
      </x:c>
      <x:c r="T1671" s="15" t="n">
        <x:f>'기준스탯 72종'!F74*G1671</x:f>
        <x:v>1.2599999999999998</x:v>
      </x:c>
      <x:c r="U1671" s="15" t="n">
        <x:f>'기준스탯 72종'!G74*G1671</x:f>
        <x:v>0.9799999999999999</x:v>
      </x:c>
      <x:c r="V1671" s="15" t="n">
        <x:f>'기준스탯 72종'!H74*G1671</x:f>
        <x:v>0.27999999999999997</x:v>
      </x:c>
      <x:c r="W1671" s="15" t="n">
        <x:f>'기준스탯 72종'!I74*G1671</x:f>
        <x:v>0.5599999999999999</x:v>
      </x:c>
      <x:c r="X1671" s="15" t="n">
        <x:f>'기준스탯 72종'!J74*G1671</x:f>
        <x:v>0.5599999999999999</x:v>
      </x:c>
      <x:c r="Y1671" s="15" t="n">
        <x:f>'기준스탯 72종'!K74*G1671</x:f>
        <x:v>0.8399999999999999</x:v>
      </x:c>
      <x:c r="Z1671" s="15" t="n">
        <x:f>'기준스탯 72종'!D74*H1671</x:f>
        <x:v>0.6000000000000001</x:v>
      </x:c>
      <x:c r="AA1671" s="15" t="n">
        <x:f>'기준스탯 72종'!E74*H1671</x:f>
        <x:v>1.0800000000000003</x:v>
      </x:c>
      <x:c r="AB1671" s="15" t="n">
        <x:f>'기준스탯 72종'!F74*H1671</x:f>
        <x:v>1.0800000000000003</x:v>
      </x:c>
      <x:c r="AC1671" s="15" t="n">
        <x:f>'기준스탯 72종'!G74*H1671</x:f>
        <x:v>0.8400000000000002</x:v>
      </x:c>
      <x:c r="AD1671" s="15" t="n">
        <x:f>'기준스탯 72종'!H74*H1671</x:f>
        <x:v>0.24000000000000005</x:v>
      </x:c>
      <x:c r="AE1671" s="15" t="n">
        <x:f>'기준스탯 72종'!I74*H1671</x:f>
        <x:v>0.4800000000000001</x:v>
      </x:c>
      <x:c r="AF1671" s="15" t="n">
        <x:f>'기준스탯 72종'!J74*H1671</x:f>
        <x:v>0.4800000000000001</x:v>
      </x:c>
      <x:c r="AG1671" s="15" t="n">
        <x:f>'기준스탯 72종'!K74*H1671</x:f>
        <x:v>0.7200000000000002</x:v>
      </x:c>
    </x:row>
    <x:row r="1672" ht="28" customHeight="1">
      <x:c r="A1672" s="2" t="n">
        <x:v>1665</x:v>
      </x:c>
      <x:c r="B1672" s="2" t="n">
        <x:v>67</x:v>
      </x:c>
      <x:c r="C1672" s="2" t="str">
        <x:v>물고기자리</x:v>
      </x:c>
      <x:c r="D1672" s="2" t="str">
        <x:v>기사</x:v>
      </x:c>
      <x:c r="E1672" s="2" t="n">
        <x:v>5</x:v>
      </x:c>
      <x:c r="F1672" s="2" t="n">
        <x:v>3</x:v>
      </x:c>
      <x:c r="G1672" s="14" t="n">
        <x:f>('레벨 계산식'!$E$4-E1672)*'레벨 계산식'!$B$5</x:f>
        <x:v>0</x:v>
      </x:c>
      <x:c r="H1672" s="14" t="n">
        <x:f>('등급 계산식'!$E$4-F1672)*'등급 계산식'!$B$5</x:f>
        <x:v>0.12000000000000002</x:v>
      </x:c>
      <x:c r="I1672" s="14" t="n">
        <x:f>1-G1672-H1672</x:f>
        <x:v>0.88</x:v>
      </x:c>
      <x:c r="J1672" s="2" t="n">
        <x:f>MAX(1,ROUND('기준스탯 72종'!D74-R1672-Z1672,0))</x:f>
        <x:v>4</x:v>
      </x:c>
      <x:c r="K1672" s="2" t="n">
        <x:f>MAX(1,ROUND('기준스탯 72종'!E74-S1672-AA1672,0))</x:f>
        <x:v>8</x:v>
      </x:c>
      <x:c r="L1672" s="2" t="n">
        <x:f>MAX(1,ROUND('기준스탯 72종'!F74-T1672-AB1672,0))</x:f>
        <x:v>8</x:v>
      </x:c>
      <x:c r="M1672" s="2" t="n">
        <x:f>MAX(1,ROUND('기준스탯 72종'!G74-U1672-AC1672,0))</x:f>
        <x:v>6</x:v>
      </x:c>
      <x:c r="N1672" s="2" t="n">
        <x:f>MAX(0,ROUND('기준스탯 72종'!H74-V1672-AD1672,0))</x:f>
        <x:v>2</x:v>
      </x:c>
      <x:c r="O1672" s="2" t="n">
        <x:f>MAX(0,ROUND('기준스탯 72종'!I74-W1672-AE1672,0))</x:f>
        <x:v>4</x:v>
      </x:c>
      <x:c r="P1672" s="2" t="n">
        <x:f>MAX(0,ROUND('기준스탯 72종'!J74-X1672-AF1672,0))</x:f>
        <x:v>4</x:v>
      </x:c>
      <x:c r="Q1672" s="2" t="n">
        <x:f>MAX(0,ROUND('기준스탯 72종'!K74-Y1672-AG1672,0))</x:f>
        <x:v>5</x:v>
      </x:c>
      <x:c r="R1672" s="15" t="n">
        <x:f>'기준스탯 72종'!D74*G1672</x:f>
        <x:v>0</x:v>
      </x:c>
      <x:c r="S1672" s="15" t="n">
        <x:f>'기준스탯 72종'!E74*G1672</x:f>
        <x:v>0</x:v>
      </x:c>
      <x:c r="T1672" s="15" t="n">
        <x:f>'기준스탯 72종'!F74*G1672</x:f>
        <x:v>0</x:v>
      </x:c>
      <x:c r="U1672" s="15" t="n">
        <x:f>'기준스탯 72종'!G74*G1672</x:f>
        <x:v>0</x:v>
      </x:c>
      <x:c r="V1672" s="15" t="n">
        <x:f>'기준스탯 72종'!H74*G1672</x:f>
        <x:v>0</x:v>
      </x:c>
      <x:c r="W1672" s="15" t="n">
        <x:f>'기준스탯 72종'!I74*G1672</x:f>
        <x:v>0</x:v>
      </x:c>
      <x:c r="X1672" s="15" t="n">
        <x:f>'기준스탯 72종'!J74*G1672</x:f>
        <x:v>0</x:v>
      </x:c>
      <x:c r="Y1672" s="15" t="n">
        <x:f>'기준스탯 72종'!K74*G1672</x:f>
        <x:v>0</x:v>
      </x:c>
      <x:c r="Z1672" s="15" t="n">
        <x:f>'기준스탯 72종'!D74*H1672</x:f>
        <x:v>0.6000000000000001</x:v>
      </x:c>
      <x:c r="AA1672" s="15" t="n">
        <x:f>'기준스탯 72종'!E74*H1672</x:f>
        <x:v>1.0800000000000003</x:v>
      </x:c>
      <x:c r="AB1672" s="15" t="n">
        <x:f>'기준스탯 72종'!F74*H1672</x:f>
        <x:v>1.0800000000000003</x:v>
      </x:c>
      <x:c r="AC1672" s="15" t="n">
        <x:f>'기준스탯 72종'!G74*H1672</x:f>
        <x:v>0.8400000000000002</x:v>
      </x:c>
      <x:c r="AD1672" s="15" t="n">
        <x:f>'기준스탯 72종'!H74*H1672</x:f>
        <x:v>0.24000000000000005</x:v>
      </x:c>
      <x:c r="AE1672" s="15" t="n">
        <x:f>'기준스탯 72종'!I74*H1672</x:f>
        <x:v>0.4800000000000001</x:v>
      </x:c>
      <x:c r="AF1672" s="15" t="n">
        <x:f>'기준스탯 72종'!J74*H1672</x:f>
        <x:v>0.4800000000000001</x:v>
      </x:c>
      <x:c r="AG1672" s="15" t="n">
        <x:f>'기준스탯 72종'!K74*H1672</x:f>
        <x:v>0.7200000000000002</x:v>
      </x:c>
    </x:row>
    <x:row r="1673" ht="28" customHeight="1">
      <x:c r="A1673" s="2" t="n">
        <x:v>1666</x:v>
      </x:c>
      <x:c r="B1673" s="2" t="n">
        <x:v>67</x:v>
      </x:c>
      <x:c r="C1673" s="2" t="str">
        <x:v>물고기자리</x:v>
      </x:c>
      <x:c r="D1673" s="2" t="str">
        <x:v>기사</x:v>
      </x:c>
      <x:c r="E1673" s="2" t="n">
        <x:v>1</x:v>
      </x:c>
      <x:c r="F1673" s="2" t="n">
        <x:v>4</x:v>
      </x:c>
      <x:c r="G1673" s="14" t="n">
        <x:f>('레벨 계산식'!$E$4-E1673)*'레벨 계산식'!$B$5</x:f>
        <x:v>0.5599999999999999</x:v>
      </x:c>
      <x:c r="H1673" s="14" t="n">
        <x:f>('등급 계산식'!$E$4-F1673)*'등급 계산식'!$B$5</x:f>
        <x:v>0.06000000000000001</x:v>
      </x:c>
      <x:c r="I1673" s="14" t="n">
        <x:f>1-G1673-H1673</x:f>
        <x:v>0.38000000000000006</x:v>
      </x:c>
      <x:c r="J1673" s="2" t="n">
        <x:f>MAX(1,ROUND('기준스탯 72종'!D74-R1673-Z1673,0))</x:f>
        <x:v>2</x:v>
      </x:c>
      <x:c r="K1673" s="2" t="n">
        <x:f>MAX(1,ROUND('기준스탯 72종'!E74-S1673-AA1673,0))</x:f>
        <x:v>3</x:v>
      </x:c>
      <x:c r="L1673" s="2" t="n">
        <x:f>MAX(1,ROUND('기준스탯 72종'!F74-T1673-AB1673,0))</x:f>
        <x:v>3</x:v>
      </x:c>
      <x:c r="M1673" s="2" t="n">
        <x:f>MAX(1,ROUND('기준스탯 72종'!G74-U1673-AC1673,0))</x:f>
        <x:v>3</x:v>
      </x:c>
      <x:c r="N1673" s="2" t="n">
        <x:f>MAX(0,ROUND('기준스탯 72종'!H74-V1673-AD1673,0))</x:f>
        <x:v>1</x:v>
      </x:c>
      <x:c r="O1673" s="2" t="n">
        <x:f>MAX(0,ROUND('기준스탯 72종'!I74-W1673-AE1673,0))</x:f>
        <x:v>2</x:v>
      </x:c>
      <x:c r="P1673" s="2" t="n">
        <x:f>MAX(0,ROUND('기준스탯 72종'!J74-X1673-AF1673,0))</x:f>
        <x:v>2</x:v>
      </x:c>
      <x:c r="Q1673" s="2" t="n">
        <x:f>MAX(0,ROUND('기준스탯 72종'!K74-Y1673-AG1673,0))</x:f>
        <x:v>2</x:v>
      </x:c>
      <x:c r="R1673" s="15" t="n">
        <x:f>'기준스탯 72종'!D74*G1673</x:f>
        <x:v>2.8</x:v>
      </x:c>
      <x:c r="S1673" s="15" t="n">
        <x:f>'기준스탯 72종'!E74*G1673</x:f>
        <x:v>5.039999999999999</x:v>
      </x:c>
      <x:c r="T1673" s="15" t="n">
        <x:f>'기준스탯 72종'!F74*G1673</x:f>
        <x:v>5.039999999999999</x:v>
      </x:c>
      <x:c r="U1673" s="15" t="n">
        <x:f>'기준스탯 72종'!G74*G1673</x:f>
        <x:v>3.9199999999999995</x:v>
      </x:c>
      <x:c r="V1673" s="15" t="n">
        <x:f>'기준스탯 72종'!H74*G1673</x:f>
        <x:v>1.1199999999999999</x:v>
      </x:c>
      <x:c r="W1673" s="15" t="n">
        <x:f>'기준스탯 72종'!I74*G1673</x:f>
        <x:v>2.2399999999999998</x:v>
      </x:c>
      <x:c r="X1673" s="15" t="n">
        <x:f>'기준스탯 72종'!J74*G1673</x:f>
        <x:v>2.2399999999999998</x:v>
      </x:c>
      <x:c r="Y1673" s="15" t="n">
        <x:f>'기준스탯 72종'!K74*G1673</x:f>
        <x:v>3.3599999999999994</x:v>
      </x:c>
      <x:c r="Z1673" s="15" t="n">
        <x:f>'기준스탯 72종'!D74*H1673</x:f>
        <x:v>0.30000000000000004</x:v>
      </x:c>
      <x:c r="AA1673" s="15" t="n">
        <x:f>'기준스탯 72종'!E74*H1673</x:f>
        <x:v>0.5400000000000001</x:v>
      </x:c>
      <x:c r="AB1673" s="15" t="n">
        <x:f>'기준스탯 72종'!F74*H1673</x:f>
        <x:v>0.5400000000000001</x:v>
      </x:c>
      <x:c r="AC1673" s="15" t="n">
        <x:f>'기준스탯 72종'!G74*H1673</x:f>
        <x:v>0.4200000000000001</x:v>
      </x:c>
      <x:c r="AD1673" s="15" t="n">
        <x:f>'기준스탯 72종'!H74*H1673</x:f>
        <x:v>0.12000000000000002</x:v>
      </x:c>
      <x:c r="AE1673" s="15" t="n">
        <x:f>'기준스탯 72종'!I74*H1673</x:f>
        <x:v>0.24000000000000005</x:v>
      </x:c>
      <x:c r="AF1673" s="15" t="n">
        <x:f>'기준스탯 72종'!J74*H1673</x:f>
        <x:v>0.24000000000000005</x:v>
      </x:c>
      <x:c r="AG1673" s="15" t="n">
        <x:f>'기준스탯 72종'!K74*H1673</x:f>
        <x:v>0.3600000000000001</x:v>
      </x:c>
    </x:row>
    <x:row r="1674" ht="28" customHeight="1">
      <x:c r="A1674" s="2" t="n">
        <x:v>1667</x:v>
      </x:c>
      <x:c r="B1674" s="2" t="n">
        <x:v>67</x:v>
      </x:c>
      <x:c r="C1674" s="2" t="str">
        <x:v>물고기자리</x:v>
      </x:c>
      <x:c r="D1674" s="2" t="str">
        <x:v>기사</x:v>
      </x:c>
      <x:c r="E1674" s="2" t="n">
        <x:v>2</x:v>
      </x:c>
      <x:c r="F1674" s="2" t="n">
        <x:v>4</x:v>
      </x:c>
      <x:c r="G1674" s="14" t="n">
        <x:f>('레벨 계산식'!$E$4-E1674)*'레벨 계산식'!$B$5</x:f>
        <x:v>0.41999999999999993</x:v>
      </x:c>
      <x:c r="H1674" s="14" t="n">
        <x:f>('등급 계산식'!$E$4-F1674)*'등급 계산식'!$B$5</x:f>
        <x:v>0.06000000000000001</x:v>
      </x:c>
      <x:c r="I1674" s="14" t="n">
        <x:f>1-G1674-H1674</x:f>
        <x:v>0.52</x:v>
      </x:c>
      <x:c r="J1674" s="2" t="n">
        <x:f>MAX(1,ROUND('기준스탯 72종'!D74-R1674-Z1674,0))</x:f>
        <x:v>3</x:v>
      </x:c>
      <x:c r="K1674" s="2" t="n">
        <x:f>MAX(1,ROUND('기준스탯 72종'!E74-S1674-AA1674,0))</x:f>
        <x:v>5</x:v>
      </x:c>
      <x:c r="L1674" s="2" t="n">
        <x:f>MAX(1,ROUND('기준스탯 72종'!F74-T1674-AB1674,0))</x:f>
        <x:v>5</x:v>
      </x:c>
      <x:c r="M1674" s="2" t="n">
        <x:f>MAX(1,ROUND('기준스탯 72종'!G74-U1674-AC1674,0))</x:f>
        <x:v>4</x:v>
      </x:c>
      <x:c r="N1674" s="2" t="n">
        <x:f>MAX(0,ROUND('기준스탯 72종'!H74-V1674-AD1674,0))</x:f>
        <x:v>1</x:v>
      </x:c>
      <x:c r="O1674" s="2" t="n">
        <x:f>MAX(0,ROUND('기준스탯 72종'!I74-W1674-AE1674,0))</x:f>
        <x:v>2</x:v>
      </x:c>
      <x:c r="P1674" s="2" t="n">
        <x:f>MAX(0,ROUND('기준스탯 72종'!J74-X1674-AF1674,0))</x:f>
        <x:v>2</x:v>
      </x:c>
      <x:c r="Q1674" s="2" t="n">
        <x:f>MAX(0,ROUND('기준스탯 72종'!K74-Y1674-AG1674,0))</x:f>
        <x:v>3</x:v>
      </x:c>
      <x:c r="R1674" s="15" t="n">
        <x:f>'기준스탯 72종'!D74*G1674</x:f>
        <x:v>2.0999999999999996</x:v>
      </x:c>
      <x:c r="S1674" s="15" t="n">
        <x:f>'기준스탯 72종'!E74*G1674</x:f>
        <x:v>3.7799999999999994</x:v>
      </x:c>
      <x:c r="T1674" s="15" t="n">
        <x:f>'기준스탯 72종'!F74*G1674</x:f>
        <x:v>3.7799999999999994</x:v>
      </x:c>
      <x:c r="U1674" s="15" t="n">
        <x:f>'기준스탯 72종'!G74*G1674</x:f>
        <x:v>2.9399999999999995</x:v>
      </x:c>
      <x:c r="V1674" s="15" t="n">
        <x:f>'기준스탯 72종'!H74*G1674</x:f>
        <x:v>0.8399999999999999</x:v>
      </x:c>
      <x:c r="W1674" s="15" t="n">
        <x:f>'기준스탯 72종'!I74*G1674</x:f>
        <x:v>1.6799999999999997</x:v>
      </x:c>
      <x:c r="X1674" s="15" t="n">
        <x:f>'기준스탯 72종'!J74*G1674</x:f>
        <x:v>1.6799999999999997</x:v>
      </x:c>
      <x:c r="Y1674" s="15" t="n">
        <x:f>'기준스탯 72종'!K74*G1674</x:f>
        <x:v>2.5199999999999996</x:v>
      </x:c>
      <x:c r="Z1674" s="15" t="n">
        <x:f>'기준스탯 72종'!D74*H1674</x:f>
        <x:v>0.30000000000000004</x:v>
      </x:c>
      <x:c r="AA1674" s="15" t="n">
        <x:f>'기준스탯 72종'!E74*H1674</x:f>
        <x:v>0.5400000000000001</x:v>
      </x:c>
      <x:c r="AB1674" s="15" t="n">
        <x:f>'기준스탯 72종'!F74*H1674</x:f>
        <x:v>0.5400000000000001</x:v>
      </x:c>
      <x:c r="AC1674" s="15" t="n">
        <x:f>'기준스탯 72종'!G74*H1674</x:f>
        <x:v>0.4200000000000001</x:v>
      </x:c>
      <x:c r="AD1674" s="15" t="n">
        <x:f>'기준스탯 72종'!H74*H1674</x:f>
        <x:v>0.12000000000000002</x:v>
      </x:c>
      <x:c r="AE1674" s="15" t="n">
        <x:f>'기준스탯 72종'!I74*H1674</x:f>
        <x:v>0.24000000000000005</x:v>
      </x:c>
      <x:c r="AF1674" s="15" t="n">
        <x:f>'기준스탯 72종'!J74*H1674</x:f>
        <x:v>0.24000000000000005</x:v>
      </x:c>
      <x:c r="AG1674" s="15" t="n">
        <x:f>'기준스탯 72종'!K74*H1674</x:f>
        <x:v>0.3600000000000001</x:v>
      </x:c>
    </x:row>
    <x:row r="1675" ht="28" customHeight="1">
      <x:c r="A1675" s="2" t="n">
        <x:v>1668</x:v>
      </x:c>
      <x:c r="B1675" s="2" t="n">
        <x:v>67</x:v>
      </x:c>
      <x:c r="C1675" s="2" t="str">
        <x:v>물고기자리</x:v>
      </x:c>
      <x:c r="D1675" s="2" t="str">
        <x:v>기사</x:v>
      </x:c>
      <x:c r="E1675" s="2" t="n">
        <x:v>3</x:v>
      </x:c>
      <x:c r="F1675" s="2" t="n">
        <x:v>4</x:v>
      </x:c>
      <x:c r="G1675" s="14" t="n">
        <x:f>('레벨 계산식'!$E$4-E1675)*'레벨 계산식'!$B$5</x:f>
        <x:v>0.27999999999999997</x:v>
      </x:c>
      <x:c r="H1675" s="14" t="n">
        <x:f>('등급 계산식'!$E$4-F1675)*'등급 계산식'!$B$5</x:f>
        <x:v>0.06000000000000001</x:v>
      </x:c>
      <x:c r="I1675" s="14" t="n">
        <x:f>1-G1675-H1675</x:f>
        <x:v>0.6599999999999999</x:v>
      </x:c>
      <x:c r="J1675" s="2" t="n">
        <x:f>MAX(1,ROUND('기준스탯 72종'!D74-R1675-Z1675,0))</x:f>
        <x:v>3</x:v>
      </x:c>
      <x:c r="K1675" s="2" t="n">
        <x:f>MAX(1,ROUND('기준스탯 72종'!E74-S1675-AA1675,0))</x:f>
        <x:v>6</x:v>
      </x:c>
      <x:c r="L1675" s="2" t="n">
        <x:f>MAX(1,ROUND('기준스탯 72종'!F74-T1675-AB1675,0))</x:f>
        <x:v>6</x:v>
      </x:c>
      <x:c r="M1675" s="2" t="n">
        <x:f>MAX(1,ROUND('기준스탯 72종'!G74-U1675-AC1675,0))</x:f>
        <x:v>5</x:v>
      </x:c>
      <x:c r="N1675" s="2" t="n">
        <x:f>MAX(0,ROUND('기준스탯 72종'!H74-V1675-AD1675,0))</x:f>
        <x:v>1</x:v>
      </x:c>
      <x:c r="O1675" s="2" t="n">
        <x:f>MAX(0,ROUND('기준스탯 72종'!I74-W1675-AE1675,0))</x:f>
        <x:v>3</x:v>
      </x:c>
      <x:c r="P1675" s="2" t="n">
        <x:f>MAX(0,ROUND('기준스탯 72종'!J74-X1675-AF1675,0))</x:f>
        <x:v>3</x:v>
      </x:c>
      <x:c r="Q1675" s="2" t="n">
        <x:f>MAX(0,ROUND('기준스탯 72종'!K74-Y1675-AG1675,0))</x:f>
        <x:v>4</x:v>
      </x:c>
      <x:c r="R1675" s="15" t="n">
        <x:f>'기준스탯 72종'!D74*G1675</x:f>
        <x:v>1.4</x:v>
      </x:c>
      <x:c r="S1675" s="15" t="n">
        <x:f>'기준스탯 72종'!E74*G1675</x:f>
        <x:v>2.5199999999999996</x:v>
      </x:c>
      <x:c r="T1675" s="15" t="n">
        <x:f>'기준스탯 72종'!F74*G1675</x:f>
        <x:v>2.5199999999999996</x:v>
      </x:c>
      <x:c r="U1675" s="15" t="n">
        <x:f>'기준스탯 72종'!G74*G1675</x:f>
        <x:v>1.9599999999999997</x:v>
      </x:c>
      <x:c r="V1675" s="15" t="n">
        <x:f>'기준스탯 72종'!H74*G1675</x:f>
        <x:v>0.5599999999999999</x:v>
      </x:c>
      <x:c r="W1675" s="15" t="n">
        <x:f>'기준스탯 72종'!I74*G1675</x:f>
        <x:v>1.1199999999999999</x:v>
      </x:c>
      <x:c r="X1675" s="15" t="n">
        <x:f>'기준스탯 72종'!J74*G1675</x:f>
        <x:v>1.1199999999999999</x:v>
      </x:c>
      <x:c r="Y1675" s="15" t="n">
        <x:f>'기준스탯 72종'!K74*G1675</x:f>
        <x:v>1.6799999999999997</x:v>
      </x:c>
      <x:c r="Z1675" s="15" t="n">
        <x:f>'기준스탯 72종'!D74*H1675</x:f>
        <x:v>0.30000000000000004</x:v>
      </x:c>
      <x:c r="AA1675" s="15" t="n">
        <x:f>'기준스탯 72종'!E74*H1675</x:f>
        <x:v>0.5400000000000001</x:v>
      </x:c>
      <x:c r="AB1675" s="15" t="n">
        <x:f>'기준스탯 72종'!F74*H1675</x:f>
        <x:v>0.5400000000000001</x:v>
      </x:c>
      <x:c r="AC1675" s="15" t="n">
        <x:f>'기준스탯 72종'!G74*H1675</x:f>
        <x:v>0.4200000000000001</x:v>
      </x:c>
      <x:c r="AD1675" s="15" t="n">
        <x:f>'기준스탯 72종'!H74*H1675</x:f>
        <x:v>0.12000000000000002</x:v>
      </x:c>
      <x:c r="AE1675" s="15" t="n">
        <x:f>'기준스탯 72종'!I74*H1675</x:f>
        <x:v>0.24000000000000005</x:v>
      </x:c>
      <x:c r="AF1675" s="15" t="n">
        <x:f>'기준스탯 72종'!J74*H1675</x:f>
        <x:v>0.24000000000000005</x:v>
      </x:c>
      <x:c r="AG1675" s="15" t="n">
        <x:f>'기준스탯 72종'!K74*H1675</x:f>
        <x:v>0.3600000000000001</x:v>
      </x:c>
    </x:row>
    <x:row r="1676" ht="28" customHeight="1">
      <x:c r="A1676" s="2" t="n">
        <x:v>1669</x:v>
      </x:c>
      <x:c r="B1676" s="2" t="n">
        <x:v>67</x:v>
      </x:c>
      <x:c r="C1676" s="2" t="str">
        <x:v>물고기자리</x:v>
      </x:c>
      <x:c r="D1676" s="2" t="str">
        <x:v>기사</x:v>
      </x:c>
      <x:c r="E1676" s="2" t="n">
        <x:v>4</x:v>
      </x:c>
      <x:c r="F1676" s="2" t="n">
        <x:v>4</x:v>
      </x:c>
      <x:c r="G1676" s="14" t="n">
        <x:f>('레벨 계산식'!$E$4-E1676)*'레벨 계산식'!$B$5</x:f>
        <x:v>0.13999999999999999</x:v>
      </x:c>
      <x:c r="H1676" s="14" t="n">
        <x:f>('등급 계산식'!$E$4-F1676)*'등급 계산식'!$B$5</x:f>
        <x:v>0.06000000000000001</x:v>
      </x:c>
      <x:c r="I1676" s="14" t="n">
        <x:f>1-G1676-H1676</x:f>
        <x:v>0.7999999999999999</x:v>
      </x:c>
      <x:c r="J1676" s="2" t="n">
        <x:f>MAX(1,ROUND('기준스탯 72종'!D74-R1676-Z1676,0))</x:f>
        <x:v>4</x:v>
      </x:c>
      <x:c r="K1676" s="2" t="n">
        <x:f>MAX(1,ROUND('기준스탯 72종'!E74-S1676-AA1676,0))</x:f>
        <x:v>7</x:v>
      </x:c>
      <x:c r="L1676" s="2" t="n">
        <x:f>MAX(1,ROUND('기준스탯 72종'!F74-T1676-AB1676,0))</x:f>
        <x:v>7</x:v>
      </x:c>
      <x:c r="M1676" s="2" t="n">
        <x:f>MAX(1,ROUND('기준스탯 72종'!G74-U1676-AC1676,0))</x:f>
        <x:v>6</x:v>
      </x:c>
      <x:c r="N1676" s="2" t="n">
        <x:f>MAX(0,ROUND('기준스탯 72종'!H74-V1676-AD1676,0))</x:f>
        <x:v>2</x:v>
      </x:c>
      <x:c r="O1676" s="2" t="n">
        <x:f>MAX(0,ROUND('기준스탯 72종'!I74-W1676-AE1676,0))</x:f>
        <x:v>3</x:v>
      </x:c>
      <x:c r="P1676" s="2" t="n">
        <x:f>MAX(0,ROUND('기준스탯 72종'!J74-X1676-AF1676,0))</x:f>
        <x:v>3</x:v>
      </x:c>
      <x:c r="Q1676" s="2" t="n">
        <x:f>MAX(0,ROUND('기준스탯 72종'!K74-Y1676-AG1676,0))</x:f>
        <x:v>5</x:v>
      </x:c>
      <x:c r="R1676" s="15" t="n">
        <x:f>'기준스탯 72종'!D74*G1676</x:f>
        <x:v>0.7</x:v>
      </x:c>
      <x:c r="S1676" s="15" t="n">
        <x:f>'기준스탯 72종'!E74*G1676</x:f>
        <x:v>1.2599999999999998</x:v>
      </x:c>
      <x:c r="T1676" s="15" t="n">
        <x:f>'기준스탯 72종'!F74*G1676</x:f>
        <x:v>1.2599999999999998</x:v>
      </x:c>
      <x:c r="U1676" s="15" t="n">
        <x:f>'기준스탯 72종'!G74*G1676</x:f>
        <x:v>0.9799999999999999</x:v>
      </x:c>
      <x:c r="V1676" s="15" t="n">
        <x:f>'기준스탯 72종'!H74*G1676</x:f>
        <x:v>0.27999999999999997</x:v>
      </x:c>
      <x:c r="W1676" s="15" t="n">
        <x:f>'기준스탯 72종'!I74*G1676</x:f>
        <x:v>0.5599999999999999</x:v>
      </x:c>
      <x:c r="X1676" s="15" t="n">
        <x:f>'기준스탯 72종'!J74*G1676</x:f>
        <x:v>0.5599999999999999</x:v>
      </x:c>
      <x:c r="Y1676" s="15" t="n">
        <x:f>'기준스탯 72종'!K74*G1676</x:f>
        <x:v>0.8399999999999999</x:v>
      </x:c>
      <x:c r="Z1676" s="15" t="n">
        <x:f>'기준스탯 72종'!D74*H1676</x:f>
        <x:v>0.30000000000000004</x:v>
      </x:c>
      <x:c r="AA1676" s="15" t="n">
        <x:f>'기준스탯 72종'!E74*H1676</x:f>
        <x:v>0.5400000000000001</x:v>
      </x:c>
      <x:c r="AB1676" s="15" t="n">
        <x:f>'기준스탯 72종'!F74*H1676</x:f>
        <x:v>0.5400000000000001</x:v>
      </x:c>
      <x:c r="AC1676" s="15" t="n">
        <x:f>'기준스탯 72종'!G74*H1676</x:f>
        <x:v>0.4200000000000001</x:v>
      </x:c>
      <x:c r="AD1676" s="15" t="n">
        <x:f>'기준스탯 72종'!H74*H1676</x:f>
        <x:v>0.12000000000000002</x:v>
      </x:c>
      <x:c r="AE1676" s="15" t="n">
        <x:f>'기준스탯 72종'!I74*H1676</x:f>
        <x:v>0.24000000000000005</x:v>
      </x:c>
      <x:c r="AF1676" s="15" t="n">
        <x:f>'기준스탯 72종'!J74*H1676</x:f>
        <x:v>0.24000000000000005</x:v>
      </x:c>
      <x:c r="AG1676" s="15" t="n">
        <x:f>'기준스탯 72종'!K74*H1676</x:f>
        <x:v>0.3600000000000001</x:v>
      </x:c>
    </x:row>
    <x:row r="1677" ht="28" customHeight="1">
      <x:c r="A1677" s="2" t="n">
        <x:v>1670</x:v>
      </x:c>
      <x:c r="B1677" s="2" t="n">
        <x:v>67</x:v>
      </x:c>
      <x:c r="C1677" s="2" t="str">
        <x:v>물고기자리</x:v>
      </x:c>
      <x:c r="D1677" s="2" t="str">
        <x:v>기사</x:v>
      </x:c>
      <x:c r="E1677" s="2" t="n">
        <x:v>5</x:v>
      </x:c>
      <x:c r="F1677" s="2" t="n">
        <x:v>4</x:v>
      </x:c>
      <x:c r="G1677" s="14" t="n">
        <x:f>('레벨 계산식'!$E$4-E1677)*'레벨 계산식'!$B$5</x:f>
        <x:v>0</x:v>
      </x:c>
      <x:c r="H1677" s="14" t="n">
        <x:f>('등급 계산식'!$E$4-F1677)*'등급 계산식'!$B$5</x:f>
        <x:v>0.06000000000000001</x:v>
      </x:c>
      <x:c r="I1677" s="14" t="n">
        <x:f>1-G1677-H1677</x:f>
        <x:v>0.94</x:v>
      </x:c>
      <x:c r="J1677" s="2" t="n">
        <x:f>MAX(1,ROUND('기준스탯 72종'!D74-R1677-Z1677,0))</x:f>
        <x:v>5</x:v>
      </x:c>
      <x:c r="K1677" s="2" t="n">
        <x:f>MAX(1,ROUND('기준스탯 72종'!E74-S1677-AA1677,0))</x:f>
        <x:v>8</x:v>
      </x:c>
      <x:c r="L1677" s="2" t="n">
        <x:f>MAX(1,ROUND('기준스탯 72종'!F74-T1677-AB1677,0))</x:f>
        <x:v>8</x:v>
      </x:c>
      <x:c r="M1677" s="2" t="n">
        <x:f>MAX(1,ROUND('기준스탯 72종'!G74-U1677-AC1677,0))</x:f>
        <x:v>7</x:v>
      </x:c>
      <x:c r="N1677" s="2" t="n">
        <x:f>MAX(0,ROUND('기준스탯 72종'!H74-V1677-AD1677,0))</x:f>
        <x:v>2</x:v>
      </x:c>
      <x:c r="O1677" s="2" t="n">
        <x:f>MAX(0,ROUND('기준스탯 72종'!I74-W1677-AE1677,0))</x:f>
        <x:v>4</x:v>
      </x:c>
      <x:c r="P1677" s="2" t="n">
        <x:f>MAX(0,ROUND('기준스탯 72종'!J74-X1677-AF1677,0))</x:f>
        <x:v>4</x:v>
      </x:c>
      <x:c r="Q1677" s="2" t="n">
        <x:f>MAX(0,ROUND('기준스탯 72종'!K74-Y1677-AG1677,0))</x:f>
        <x:v>6</x:v>
      </x:c>
      <x:c r="R1677" s="15" t="n">
        <x:f>'기준스탯 72종'!D74*G1677</x:f>
        <x:v>0</x:v>
      </x:c>
      <x:c r="S1677" s="15" t="n">
        <x:f>'기준스탯 72종'!E74*G1677</x:f>
        <x:v>0</x:v>
      </x:c>
      <x:c r="T1677" s="15" t="n">
        <x:f>'기준스탯 72종'!F74*G1677</x:f>
        <x:v>0</x:v>
      </x:c>
      <x:c r="U1677" s="15" t="n">
        <x:f>'기준스탯 72종'!G74*G1677</x:f>
        <x:v>0</x:v>
      </x:c>
      <x:c r="V1677" s="15" t="n">
        <x:f>'기준스탯 72종'!H74*G1677</x:f>
        <x:v>0</x:v>
      </x:c>
      <x:c r="W1677" s="15" t="n">
        <x:f>'기준스탯 72종'!I74*G1677</x:f>
        <x:v>0</x:v>
      </x:c>
      <x:c r="X1677" s="15" t="n">
        <x:f>'기준스탯 72종'!J74*G1677</x:f>
        <x:v>0</x:v>
      </x:c>
      <x:c r="Y1677" s="15" t="n">
        <x:f>'기준스탯 72종'!K74*G1677</x:f>
        <x:v>0</x:v>
      </x:c>
      <x:c r="Z1677" s="15" t="n">
        <x:f>'기준스탯 72종'!D74*H1677</x:f>
        <x:v>0.30000000000000004</x:v>
      </x:c>
      <x:c r="AA1677" s="15" t="n">
        <x:f>'기준스탯 72종'!E74*H1677</x:f>
        <x:v>0.5400000000000001</x:v>
      </x:c>
      <x:c r="AB1677" s="15" t="n">
        <x:f>'기준스탯 72종'!F74*H1677</x:f>
        <x:v>0.5400000000000001</x:v>
      </x:c>
      <x:c r="AC1677" s="15" t="n">
        <x:f>'기준스탯 72종'!G74*H1677</x:f>
        <x:v>0.4200000000000001</x:v>
      </x:c>
      <x:c r="AD1677" s="15" t="n">
        <x:f>'기준스탯 72종'!H74*H1677</x:f>
        <x:v>0.12000000000000002</x:v>
      </x:c>
      <x:c r="AE1677" s="15" t="n">
        <x:f>'기준스탯 72종'!I74*H1677</x:f>
        <x:v>0.24000000000000005</x:v>
      </x:c>
      <x:c r="AF1677" s="15" t="n">
        <x:f>'기준스탯 72종'!J74*H1677</x:f>
        <x:v>0.24000000000000005</x:v>
      </x:c>
      <x:c r="AG1677" s="15" t="n">
        <x:f>'기준스탯 72종'!K74*H1677</x:f>
        <x:v>0.3600000000000001</x:v>
      </x:c>
    </x:row>
    <x:row r="1678" ht="28" customHeight="1">
      <x:c r="A1678" s="2" t="n">
        <x:v>1671</x:v>
      </x:c>
      <x:c r="B1678" s="2" t="n">
        <x:v>67</x:v>
      </x:c>
      <x:c r="C1678" s="2" t="str">
        <x:v>물고기자리</x:v>
      </x:c>
      <x:c r="D1678" s="2" t="str">
        <x:v>기사</x:v>
      </x:c>
      <x:c r="E1678" s="2" t="n">
        <x:v>1</x:v>
      </x:c>
      <x:c r="F1678" s="2" t="n">
        <x:v>5</x:v>
      </x:c>
      <x:c r="G1678" s="14" t="n">
        <x:f>('레벨 계산식'!$E$4-E1678)*'레벨 계산식'!$B$5</x:f>
        <x:v>0.5599999999999999</x:v>
      </x:c>
      <x:c r="H1678" s="14" t="n">
        <x:f>('등급 계산식'!$E$4-F1678)*'등급 계산식'!$B$5</x:f>
        <x:v>0</x:v>
      </x:c>
      <x:c r="I1678" s="14" t="n">
        <x:f>1-G1678-H1678</x:f>
        <x:v>0.44000000000000006</x:v>
      </x:c>
      <x:c r="J1678" s="2" t="n">
        <x:f>MAX(1,ROUND('기준스탯 72종'!D74-R1678-Z1678,0))</x:f>
        <x:v>2</x:v>
      </x:c>
      <x:c r="K1678" s="2" t="n">
        <x:f>MAX(1,ROUND('기준스탯 72종'!E74-S1678-AA1678,0))</x:f>
        <x:v>4</x:v>
      </x:c>
      <x:c r="L1678" s="2" t="n">
        <x:f>MAX(1,ROUND('기준스탯 72종'!F74-T1678-AB1678,0))</x:f>
        <x:v>4</x:v>
      </x:c>
      <x:c r="M1678" s="2" t="n">
        <x:f>MAX(1,ROUND('기준스탯 72종'!G74-U1678-AC1678,0))</x:f>
        <x:v>3</x:v>
      </x:c>
      <x:c r="N1678" s="2" t="n">
        <x:f>MAX(0,ROUND('기준스탯 72종'!H74-V1678-AD1678,0))</x:f>
        <x:v>1</x:v>
      </x:c>
      <x:c r="O1678" s="2" t="n">
        <x:f>MAX(0,ROUND('기준스탯 72종'!I74-W1678-AE1678,0))</x:f>
        <x:v>2</x:v>
      </x:c>
      <x:c r="P1678" s="2" t="n">
        <x:f>MAX(0,ROUND('기준스탯 72종'!J74-X1678-AF1678,0))</x:f>
        <x:v>2</x:v>
      </x:c>
      <x:c r="Q1678" s="2" t="n">
        <x:f>MAX(0,ROUND('기준스탯 72종'!K74-Y1678-AG1678,0))</x:f>
        <x:v>3</x:v>
      </x:c>
      <x:c r="R1678" s="15" t="n">
        <x:f>'기준스탯 72종'!D74*G1678</x:f>
        <x:v>2.8</x:v>
      </x:c>
      <x:c r="S1678" s="15" t="n">
        <x:f>'기준스탯 72종'!E74*G1678</x:f>
        <x:v>5.039999999999999</x:v>
      </x:c>
      <x:c r="T1678" s="15" t="n">
        <x:f>'기준스탯 72종'!F74*G1678</x:f>
        <x:v>5.039999999999999</x:v>
      </x:c>
      <x:c r="U1678" s="15" t="n">
        <x:f>'기준스탯 72종'!G74*G1678</x:f>
        <x:v>3.9199999999999995</x:v>
      </x:c>
      <x:c r="V1678" s="15" t="n">
        <x:f>'기준스탯 72종'!H74*G1678</x:f>
        <x:v>1.1199999999999999</x:v>
      </x:c>
      <x:c r="W1678" s="15" t="n">
        <x:f>'기준스탯 72종'!I74*G1678</x:f>
        <x:v>2.2399999999999998</x:v>
      </x:c>
      <x:c r="X1678" s="15" t="n">
        <x:f>'기준스탯 72종'!J74*G1678</x:f>
        <x:v>2.2399999999999998</x:v>
      </x:c>
      <x:c r="Y1678" s="15" t="n">
        <x:f>'기준스탯 72종'!K74*G1678</x:f>
        <x:v>3.3599999999999994</x:v>
      </x:c>
      <x:c r="Z1678" s="15" t="n">
        <x:f>'기준스탯 72종'!D74*H1678</x:f>
        <x:v>0</x:v>
      </x:c>
      <x:c r="AA1678" s="15" t="n">
        <x:f>'기준스탯 72종'!E74*H1678</x:f>
        <x:v>0</x:v>
      </x:c>
      <x:c r="AB1678" s="15" t="n">
        <x:f>'기준스탯 72종'!F74*H1678</x:f>
        <x:v>0</x:v>
      </x:c>
      <x:c r="AC1678" s="15" t="n">
        <x:f>'기준스탯 72종'!G74*H1678</x:f>
        <x:v>0</x:v>
      </x:c>
      <x:c r="AD1678" s="15" t="n">
        <x:f>'기준스탯 72종'!H74*H1678</x:f>
        <x:v>0</x:v>
      </x:c>
      <x:c r="AE1678" s="15" t="n">
        <x:f>'기준스탯 72종'!I74*H1678</x:f>
        <x:v>0</x:v>
      </x:c>
      <x:c r="AF1678" s="15" t="n">
        <x:f>'기준스탯 72종'!J74*H1678</x:f>
        <x:v>0</x:v>
      </x:c>
      <x:c r="AG1678" s="15" t="n">
        <x:f>'기준스탯 72종'!K74*H1678</x:f>
        <x:v>0</x:v>
      </x:c>
    </x:row>
    <x:row r="1679" ht="28" customHeight="1">
      <x:c r="A1679" s="2" t="n">
        <x:v>1672</x:v>
      </x:c>
      <x:c r="B1679" s="2" t="n">
        <x:v>67</x:v>
      </x:c>
      <x:c r="C1679" s="2" t="str">
        <x:v>물고기자리</x:v>
      </x:c>
      <x:c r="D1679" s="2" t="str">
        <x:v>기사</x:v>
      </x:c>
      <x:c r="E1679" s="2" t="n">
        <x:v>2</x:v>
      </x:c>
      <x:c r="F1679" s="2" t="n">
        <x:v>5</x:v>
      </x:c>
      <x:c r="G1679" s="14" t="n">
        <x:f>('레벨 계산식'!$E$4-E1679)*'레벨 계산식'!$B$5</x:f>
        <x:v>0.41999999999999993</x:v>
      </x:c>
      <x:c r="H1679" s="14" t="n">
        <x:f>('등급 계산식'!$E$4-F1679)*'등급 계산식'!$B$5</x:f>
        <x:v>0</x:v>
      </x:c>
      <x:c r="I1679" s="14" t="n">
        <x:f>1-G1679-H1679</x:f>
        <x:v>0.5800000000000001</x:v>
      </x:c>
      <x:c r="J1679" s="2" t="n">
        <x:f>MAX(1,ROUND('기준스탯 72종'!D74-R1679-Z1679,0))</x:f>
        <x:v>3</x:v>
      </x:c>
      <x:c r="K1679" s="2" t="n">
        <x:f>MAX(1,ROUND('기준스탯 72종'!E74-S1679-AA1679,0))</x:f>
        <x:v>5</x:v>
      </x:c>
      <x:c r="L1679" s="2" t="n">
        <x:f>MAX(1,ROUND('기준스탯 72종'!F74-T1679-AB1679,0))</x:f>
        <x:v>5</x:v>
      </x:c>
      <x:c r="M1679" s="2" t="n">
        <x:f>MAX(1,ROUND('기준스탯 72종'!G74-U1679-AC1679,0))</x:f>
        <x:v>4</x:v>
      </x:c>
      <x:c r="N1679" s="2" t="n">
        <x:f>MAX(0,ROUND('기준스탯 72종'!H74-V1679-AD1679,0))</x:f>
        <x:v>1</x:v>
      </x:c>
      <x:c r="O1679" s="2" t="n">
        <x:f>MAX(0,ROUND('기준스탯 72종'!I74-W1679-AE1679,0))</x:f>
        <x:v>2</x:v>
      </x:c>
      <x:c r="P1679" s="2" t="n">
        <x:f>MAX(0,ROUND('기준스탯 72종'!J74-X1679-AF1679,0))</x:f>
        <x:v>2</x:v>
      </x:c>
      <x:c r="Q1679" s="2" t="n">
        <x:f>MAX(0,ROUND('기준스탯 72종'!K74-Y1679-AG1679,0))</x:f>
        <x:v>3</x:v>
      </x:c>
      <x:c r="R1679" s="15" t="n">
        <x:f>'기준스탯 72종'!D74*G1679</x:f>
        <x:v>2.0999999999999996</x:v>
      </x:c>
      <x:c r="S1679" s="15" t="n">
        <x:f>'기준스탯 72종'!E74*G1679</x:f>
        <x:v>3.7799999999999994</x:v>
      </x:c>
      <x:c r="T1679" s="15" t="n">
        <x:f>'기준스탯 72종'!F74*G1679</x:f>
        <x:v>3.7799999999999994</x:v>
      </x:c>
      <x:c r="U1679" s="15" t="n">
        <x:f>'기준스탯 72종'!G74*G1679</x:f>
        <x:v>2.9399999999999995</x:v>
      </x:c>
      <x:c r="V1679" s="15" t="n">
        <x:f>'기준스탯 72종'!H74*G1679</x:f>
        <x:v>0.8399999999999999</x:v>
      </x:c>
      <x:c r="W1679" s="15" t="n">
        <x:f>'기준스탯 72종'!I74*G1679</x:f>
        <x:v>1.6799999999999997</x:v>
      </x:c>
      <x:c r="X1679" s="15" t="n">
        <x:f>'기준스탯 72종'!J74*G1679</x:f>
        <x:v>1.6799999999999997</x:v>
      </x:c>
      <x:c r="Y1679" s="15" t="n">
        <x:f>'기준스탯 72종'!K74*G1679</x:f>
        <x:v>2.5199999999999996</x:v>
      </x:c>
      <x:c r="Z1679" s="15" t="n">
        <x:f>'기준스탯 72종'!D74*H1679</x:f>
        <x:v>0</x:v>
      </x:c>
      <x:c r="AA1679" s="15" t="n">
        <x:f>'기준스탯 72종'!E74*H1679</x:f>
        <x:v>0</x:v>
      </x:c>
      <x:c r="AB1679" s="15" t="n">
        <x:f>'기준스탯 72종'!F74*H1679</x:f>
        <x:v>0</x:v>
      </x:c>
      <x:c r="AC1679" s="15" t="n">
        <x:f>'기준스탯 72종'!G74*H1679</x:f>
        <x:v>0</x:v>
      </x:c>
      <x:c r="AD1679" s="15" t="n">
        <x:f>'기준스탯 72종'!H74*H1679</x:f>
        <x:v>0</x:v>
      </x:c>
      <x:c r="AE1679" s="15" t="n">
        <x:f>'기준스탯 72종'!I74*H1679</x:f>
        <x:v>0</x:v>
      </x:c>
      <x:c r="AF1679" s="15" t="n">
        <x:f>'기준스탯 72종'!J74*H1679</x:f>
        <x:v>0</x:v>
      </x:c>
      <x:c r="AG1679" s="15" t="n">
        <x:f>'기준스탯 72종'!K74*H1679</x:f>
        <x:v>0</x:v>
      </x:c>
    </x:row>
    <x:row r="1680" ht="28" customHeight="1">
      <x:c r="A1680" s="2" t="n">
        <x:v>1673</x:v>
      </x:c>
      <x:c r="B1680" s="2" t="n">
        <x:v>67</x:v>
      </x:c>
      <x:c r="C1680" s="2" t="str">
        <x:v>물고기자리</x:v>
      </x:c>
      <x:c r="D1680" s="2" t="str">
        <x:v>기사</x:v>
      </x:c>
      <x:c r="E1680" s="2" t="n">
        <x:v>3</x:v>
      </x:c>
      <x:c r="F1680" s="2" t="n">
        <x:v>5</x:v>
      </x:c>
      <x:c r="G1680" s="14" t="n">
        <x:f>('레벨 계산식'!$E$4-E1680)*'레벨 계산식'!$B$5</x:f>
        <x:v>0.27999999999999997</x:v>
      </x:c>
      <x:c r="H1680" s="14" t="n">
        <x:f>('등급 계산식'!$E$4-F1680)*'등급 계산식'!$B$5</x:f>
        <x:v>0</x:v>
      </x:c>
      <x:c r="I1680" s="14" t="n">
        <x:f>1-G1680-H1680</x:f>
        <x:v>0.72</x:v>
      </x:c>
      <x:c r="J1680" s="2" t="n">
        <x:f>MAX(1,ROUND('기준스탯 72종'!D74-R1680-Z1680,0))</x:f>
        <x:v>4</x:v>
      </x:c>
      <x:c r="K1680" s="2" t="n">
        <x:f>MAX(1,ROUND('기준스탯 72종'!E74-S1680-AA1680,0))</x:f>
        <x:v>6</x:v>
      </x:c>
      <x:c r="L1680" s="2" t="n">
        <x:f>MAX(1,ROUND('기준스탯 72종'!F74-T1680-AB1680,0))</x:f>
        <x:v>6</x:v>
      </x:c>
      <x:c r="M1680" s="2" t="n">
        <x:f>MAX(1,ROUND('기준스탯 72종'!G74-U1680-AC1680,0))</x:f>
        <x:v>5</x:v>
      </x:c>
      <x:c r="N1680" s="2" t="n">
        <x:f>MAX(0,ROUND('기준스탯 72종'!H74-V1680-AD1680,0))</x:f>
        <x:v>1</x:v>
      </x:c>
      <x:c r="O1680" s="2" t="n">
        <x:f>MAX(0,ROUND('기준스탯 72종'!I74-W1680-AE1680,0))</x:f>
        <x:v>3</x:v>
      </x:c>
      <x:c r="P1680" s="2" t="n">
        <x:f>MAX(0,ROUND('기준스탯 72종'!J74-X1680-AF1680,0))</x:f>
        <x:v>3</x:v>
      </x:c>
      <x:c r="Q1680" s="2" t="n">
        <x:f>MAX(0,ROUND('기준스탯 72종'!K74-Y1680-AG1680,0))</x:f>
        <x:v>4</x:v>
      </x:c>
      <x:c r="R1680" s="15" t="n">
        <x:f>'기준스탯 72종'!D74*G1680</x:f>
        <x:v>1.4</x:v>
      </x:c>
      <x:c r="S1680" s="15" t="n">
        <x:f>'기준스탯 72종'!E74*G1680</x:f>
        <x:v>2.5199999999999996</x:v>
      </x:c>
      <x:c r="T1680" s="15" t="n">
        <x:f>'기준스탯 72종'!F74*G1680</x:f>
        <x:v>2.5199999999999996</x:v>
      </x:c>
      <x:c r="U1680" s="15" t="n">
        <x:f>'기준스탯 72종'!G74*G1680</x:f>
        <x:v>1.9599999999999997</x:v>
      </x:c>
      <x:c r="V1680" s="15" t="n">
        <x:f>'기준스탯 72종'!H74*G1680</x:f>
        <x:v>0.5599999999999999</x:v>
      </x:c>
      <x:c r="W1680" s="15" t="n">
        <x:f>'기준스탯 72종'!I74*G1680</x:f>
        <x:v>1.1199999999999999</x:v>
      </x:c>
      <x:c r="X1680" s="15" t="n">
        <x:f>'기준스탯 72종'!J74*G1680</x:f>
        <x:v>1.1199999999999999</x:v>
      </x:c>
      <x:c r="Y1680" s="15" t="n">
        <x:f>'기준스탯 72종'!K74*G1680</x:f>
        <x:v>1.6799999999999997</x:v>
      </x:c>
      <x:c r="Z1680" s="15" t="n">
        <x:f>'기준스탯 72종'!D74*H1680</x:f>
        <x:v>0</x:v>
      </x:c>
      <x:c r="AA1680" s="15" t="n">
        <x:f>'기준스탯 72종'!E74*H1680</x:f>
        <x:v>0</x:v>
      </x:c>
      <x:c r="AB1680" s="15" t="n">
        <x:f>'기준스탯 72종'!F74*H1680</x:f>
        <x:v>0</x:v>
      </x:c>
      <x:c r="AC1680" s="15" t="n">
        <x:f>'기준스탯 72종'!G74*H1680</x:f>
        <x:v>0</x:v>
      </x:c>
      <x:c r="AD1680" s="15" t="n">
        <x:f>'기준스탯 72종'!H74*H1680</x:f>
        <x:v>0</x:v>
      </x:c>
      <x:c r="AE1680" s="15" t="n">
        <x:f>'기준스탯 72종'!I74*H1680</x:f>
        <x:v>0</x:v>
      </x:c>
      <x:c r="AF1680" s="15" t="n">
        <x:f>'기준스탯 72종'!J74*H1680</x:f>
        <x:v>0</x:v>
      </x:c>
      <x:c r="AG1680" s="15" t="n">
        <x:f>'기준스탯 72종'!K74*H1680</x:f>
        <x:v>0</x:v>
      </x:c>
    </x:row>
    <x:row r="1681" ht="28" customHeight="1">
      <x:c r="A1681" s="2" t="n">
        <x:v>1674</x:v>
      </x:c>
      <x:c r="B1681" s="2" t="n">
        <x:v>67</x:v>
      </x:c>
      <x:c r="C1681" s="2" t="str">
        <x:v>물고기자리</x:v>
      </x:c>
      <x:c r="D1681" s="2" t="str">
        <x:v>기사</x:v>
      </x:c>
      <x:c r="E1681" s="2" t="n">
        <x:v>4</x:v>
      </x:c>
      <x:c r="F1681" s="2" t="n">
        <x:v>5</x:v>
      </x:c>
      <x:c r="G1681" s="14" t="n">
        <x:f>('레벨 계산식'!$E$4-E1681)*'레벨 계산식'!$B$5</x:f>
        <x:v>0.13999999999999999</x:v>
      </x:c>
      <x:c r="H1681" s="14" t="n">
        <x:f>('등급 계산식'!$E$4-F1681)*'등급 계산식'!$B$5</x:f>
        <x:v>0</x:v>
      </x:c>
      <x:c r="I1681" s="14" t="n">
        <x:f>1-G1681-H1681</x:f>
        <x:v>0.86</x:v>
      </x:c>
      <x:c r="J1681" s="2" t="n">
        <x:f>MAX(1,ROUND('기준스탯 72종'!D74-R1681-Z1681,0))</x:f>
        <x:v>4</x:v>
      </x:c>
      <x:c r="K1681" s="2" t="n">
        <x:f>MAX(1,ROUND('기준스탯 72종'!E74-S1681-AA1681,0))</x:f>
        <x:v>8</x:v>
      </x:c>
      <x:c r="L1681" s="2" t="n">
        <x:f>MAX(1,ROUND('기준스탯 72종'!F74-T1681-AB1681,0))</x:f>
        <x:v>8</x:v>
      </x:c>
      <x:c r="M1681" s="2" t="n">
        <x:f>MAX(1,ROUND('기준스탯 72종'!G74-U1681-AC1681,0))</x:f>
        <x:v>6</x:v>
      </x:c>
      <x:c r="N1681" s="2" t="n">
        <x:f>MAX(0,ROUND('기준스탯 72종'!H74-V1681-AD1681,0))</x:f>
        <x:v>2</x:v>
      </x:c>
      <x:c r="O1681" s="2" t="n">
        <x:f>MAX(0,ROUND('기준스탯 72종'!I74-W1681-AE1681,0))</x:f>
        <x:v>3</x:v>
      </x:c>
      <x:c r="P1681" s="2" t="n">
        <x:f>MAX(0,ROUND('기준스탯 72종'!J74-X1681-AF1681,0))</x:f>
        <x:v>3</x:v>
      </x:c>
      <x:c r="Q1681" s="2" t="n">
        <x:f>MAX(0,ROUND('기준스탯 72종'!K74-Y1681-AG1681,0))</x:f>
        <x:v>5</x:v>
      </x:c>
      <x:c r="R1681" s="15" t="n">
        <x:f>'기준스탯 72종'!D74*G1681</x:f>
        <x:v>0.7</x:v>
      </x:c>
      <x:c r="S1681" s="15" t="n">
        <x:f>'기준스탯 72종'!E74*G1681</x:f>
        <x:v>1.2599999999999998</x:v>
      </x:c>
      <x:c r="T1681" s="15" t="n">
        <x:f>'기준스탯 72종'!F74*G1681</x:f>
        <x:v>1.2599999999999998</x:v>
      </x:c>
      <x:c r="U1681" s="15" t="n">
        <x:f>'기준스탯 72종'!G74*G1681</x:f>
        <x:v>0.9799999999999999</x:v>
      </x:c>
      <x:c r="V1681" s="15" t="n">
        <x:f>'기준스탯 72종'!H74*G1681</x:f>
        <x:v>0.27999999999999997</x:v>
      </x:c>
      <x:c r="W1681" s="15" t="n">
        <x:f>'기준스탯 72종'!I74*G1681</x:f>
        <x:v>0.5599999999999999</x:v>
      </x:c>
      <x:c r="X1681" s="15" t="n">
        <x:f>'기준스탯 72종'!J74*G1681</x:f>
        <x:v>0.5599999999999999</x:v>
      </x:c>
      <x:c r="Y1681" s="15" t="n">
        <x:f>'기준스탯 72종'!K74*G1681</x:f>
        <x:v>0.8399999999999999</x:v>
      </x:c>
      <x:c r="Z1681" s="15" t="n">
        <x:f>'기준스탯 72종'!D74*H1681</x:f>
        <x:v>0</x:v>
      </x:c>
      <x:c r="AA1681" s="15" t="n">
        <x:f>'기준스탯 72종'!E74*H1681</x:f>
        <x:v>0</x:v>
      </x:c>
      <x:c r="AB1681" s="15" t="n">
        <x:f>'기준스탯 72종'!F74*H1681</x:f>
        <x:v>0</x:v>
      </x:c>
      <x:c r="AC1681" s="15" t="n">
        <x:f>'기준스탯 72종'!G74*H1681</x:f>
        <x:v>0</x:v>
      </x:c>
      <x:c r="AD1681" s="15" t="n">
        <x:f>'기준스탯 72종'!H74*H1681</x:f>
        <x:v>0</x:v>
      </x:c>
      <x:c r="AE1681" s="15" t="n">
        <x:f>'기준스탯 72종'!I74*H1681</x:f>
        <x:v>0</x:v>
      </x:c>
      <x:c r="AF1681" s="15" t="n">
        <x:f>'기준스탯 72종'!J74*H1681</x:f>
        <x:v>0</x:v>
      </x:c>
      <x:c r="AG1681" s="15" t="n">
        <x:f>'기준스탯 72종'!K74*H1681</x:f>
        <x:v>0</x:v>
      </x:c>
    </x:row>
    <x:row r="1682" ht="28" customHeight="1">
      <x:c r="A1682" s="2" t="n">
        <x:v>1675</x:v>
      </x:c>
      <x:c r="B1682" s="2" t="n">
        <x:v>67</x:v>
      </x:c>
      <x:c r="C1682" s="2" t="str">
        <x:v>물고기자리</x:v>
      </x:c>
      <x:c r="D1682" s="2" t="str">
        <x:v>기사</x:v>
      </x:c>
      <x:c r="E1682" s="2" t="n">
        <x:v>5</x:v>
      </x:c>
      <x:c r="F1682" s="2" t="n">
        <x:v>5</x:v>
      </x:c>
      <x:c r="G1682" s="14" t="n">
        <x:f>('레벨 계산식'!$E$4-E1682)*'레벨 계산식'!$B$5</x:f>
        <x:v>0</x:v>
      </x:c>
      <x:c r="H1682" s="14" t="n">
        <x:f>('등급 계산식'!$E$4-F1682)*'등급 계산식'!$B$5</x:f>
        <x:v>0</x:v>
      </x:c>
      <x:c r="I1682" s="14" t="n">
        <x:f>1-G1682-H1682</x:f>
        <x:v>1</x:v>
      </x:c>
      <x:c r="J1682" s="2" t="n">
        <x:f>MAX(1,ROUND('기준스탯 72종'!D74-R1682-Z1682,0))</x:f>
        <x:v>5</x:v>
      </x:c>
      <x:c r="K1682" s="2" t="n">
        <x:f>MAX(1,ROUND('기준스탯 72종'!E74-S1682-AA1682,0))</x:f>
        <x:v>9</x:v>
      </x:c>
      <x:c r="L1682" s="2" t="n">
        <x:f>MAX(1,ROUND('기준스탯 72종'!F74-T1682-AB1682,0))</x:f>
        <x:v>9</x:v>
      </x:c>
      <x:c r="M1682" s="2" t="n">
        <x:f>MAX(1,ROUND('기준스탯 72종'!G74-U1682-AC1682,0))</x:f>
        <x:v>7</x:v>
      </x:c>
      <x:c r="N1682" s="2" t="n">
        <x:f>MAX(0,ROUND('기준스탯 72종'!H74-V1682-AD1682,0))</x:f>
        <x:v>2</x:v>
      </x:c>
      <x:c r="O1682" s="2" t="n">
        <x:f>MAX(0,ROUND('기준스탯 72종'!I74-W1682-AE1682,0))</x:f>
        <x:v>4</x:v>
      </x:c>
      <x:c r="P1682" s="2" t="n">
        <x:f>MAX(0,ROUND('기준스탯 72종'!J74-X1682-AF1682,0))</x:f>
        <x:v>4</x:v>
      </x:c>
      <x:c r="Q1682" s="2" t="n">
        <x:f>MAX(0,ROUND('기준스탯 72종'!K74-Y1682-AG1682,0))</x:f>
        <x:v>6</x:v>
      </x:c>
      <x:c r="R1682" s="15" t="n">
        <x:f>'기준스탯 72종'!D74*G1682</x:f>
        <x:v>0</x:v>
      </x:c>
      <x:c r="S1682" s="15" t="n">
        <x:f>'기준스탯 72종'!E74*G1682</x:f>
        <x:v>0</x:v>
      </x:c>
      <x:c r="T1682" s="15" t="n">
        <x:f>'기준스탯 72종'!F74*G1682</x:f>
        <x:v>0</x:v>
      </x:c>
      <x:c r="U1682" s="15" t="n">
        <x:f>'기준스탯 72종'!G74*G1682</x:f>
        <x:v>0</x:v>
      </x:c>
      <x:c r="V1682" s="15" t="n">
        <x:f>'기준스탯 72종'!H74*G1682</x:f>
        <x:v>0</x:v>
      </x:c>
      <x:c r="W1682" s="15" t="n">
        <x:f>'기준스탯 72종'!I74*G1682</x:f>
        <x:v>0</x:v>
      </x:c>
      <x:c r="X1682" s="15" t="n">
        <x:f>'기준스탯 72종'!J74*G1682</x:f>
        <x:v>0</x:v>
      </x:c>
      <x:c r="Y1682" s="15" t="n">
        <x:f>'기준스탯 72종'!K74*G1682</x:f>
        <x:v>0</x:v>
      </x:c>
      <x:c r="Z1682" s="15" t="n">
        <x:f>'기준스탯 72종'!D74*H1682</x:f>
        <x:v>0</x:v>
      </x:c>
      <x:c r="AA1682" s="15" t="n">
        <x:f>'기준스탯 72종'!E74*H1682</x:f>
        <x:v>0</x:v>
      </x:c>
      <x:c r="AB1682" s="15" t="n">
        <x:f>'기준스탯 72종'!F74*H1682</x:f>
        <x:v>0</x:v>
      </x:c>
      <x:c r="AC1682" s="15" t="n">
        <x:f>'기준스탯 72종'!G74*H1682</x:f>
        <x:v>0</x:v>
      </x:c>
      <x:c r="AD1682" s="15" t="n">
        <x:f>'기준스탯 72종'!H74*H1682</x:f>
        <x:v>0</x:v>
      </x:c>
      <x:c r="AE1682" s="15" t="n">
        <x:f>'기준스탯 72종'!I74*H1682</x:f>
        <x:v>0</x:v>
      </x:c>
      <x:c r="AF1682" s="15" t="n">
        <x:f>'기준스탯 72종'!J74*H1682</x:f>
        <x:v>0</x:v>
      </x:c>
      <x:c r="AG1682" s="15" t="n">
        <x:f>'기준스탯 72종'!K74*H1682</x:f>
        <x:v>0</x:v>
      </x:c>
    </x:row>
    <x:row r="1683" ht="28" customHeight="1">
      <x:c r="A1683" s="2" t="n">
        <x:v>1676</x:v>
      </x:c>
      <x:c r="B1683" s="2" t="n">
        <x:v>68</x:v>
      </x:c>
      <x:c r="C1683" s="2" t="str">
        <x:v>물고기자리</x:v>
      </x:c>
      <x:c r="D1683" s="2" t="str">
        <x:v>마도사</x:v>
      </x:c>
      <x:c r="E1683" s="2" t="n">
        <x:v>1</x:v>
      </x:c>
      <x:c r="F1683" s="2" t="n">
        <x:v>1</x:v>
      </x:c>
      <x:c r="G1683" s="14" t="n">
        <x:f>('레벨 계산식'!$E$4-E1683)*'레벨 계산식'!$B$5</x:f>
        <x:v>0.5599999999999999</x:v>
      </x:c>
      <x:c r="H1683" s="14" t="n">
        <x:f>('등급 계산식'!$E$4-F1683)*'등급 계산식'!$B$5</x:f>
        <x:v>0.24000000000000005</x:v>
      </x:c>
      <x:c r="I1683" s="14" t="n">
        <x:f>1-G1683-H1683</x:f>
        <x:v>0.2</x:v>
      </x:c>
      <x:c r="J1683" s="2" t="n">
        <x:f>MAX(1,ROUND('기준스탯 72종'!D75-R1683-Z1683,0))</x:f>
        <x:v>1</x:v>
      </x:c>
      <x:c r="K1683" s="2" t="n">
        <x:f>MAX(1,ROUND('기준스탯 72종'!E75-S1683-AA1683,0))</x:f>
        <x:v>1</x:v>
      </x:c>
      <x:c r="L1683" s="2" t="n">
        <x:f>MAX(1,ROUND('기준스탯 72종'!F75-T1683-AB1683,0))</x:f>
        <x:v>1</x:v>
      </x:c>
      <x:c r="M1683" s="2" t="n">
        <x:f>MAX(1,ROUND('기준스탯 72종'!G75-U1683-AC1683,0))</x:f>
        <x:v>2</x:v>
      </x:c>
      <x:c r="N1683" s="2" t="n">
        <x:f>MAX(0,ROUND('기준스탯 72종'!H75-V1683-AD1683,0))</x:f>
        <x:v>1</x:v>
      </x:c>
      <x:c r="O1683" s="2" t="n">
        <x:f>MAX(0,ROUND('기준스탯 72종'!I75-W1683-AE1683,0))</x:f>
        <x:v>1</x:v>
      </x:c>
      <x:c r="P1683" s="2" t="n">
        <x:f>MAX(0,ROUND('기준스탯 72종'!J75-X1683-AF1683,0))</x:f>
        <x:v>1</x:v>
      </x:c>
      <x:c r="Q1683" s="2" t="n">
        <x:f>MAX(0,ROUND('기준스탯 72종'!K75-Y1683-AG1683,0))</x:f>
        <x:v>1</x:v>
      </x:c>
      <x:c r="R1683" s="15" t="n">
        <x:f>'기준스탯 72종'!D75*G1683</x:f>
        <x:v>3.9199999999999995</x:v>
      </x:c>
      <x:c r="S1683" s="15" t="n">
        <x:f>'기준스탯 72종'!E75*G1683</x:f>
        <x:v>3.9199999999999995</x:v>
      </x:c>
      <x:c r="T1683" s="15" t="n">
        <x:f>'기준스탯 72종'!F75*G1683</x:f>
        <x:v>3.9199999999999995</x:v>
      </x:c>
      <x:c r="U1683" s="15" t="n">
        <x:f>'기준스탯 72종'!G75*G1683</x:f>
        <x:v>4.4799999999999995</x:v>
      </x:c>
      <x:c r="V1683" s="15" t="n">
        <x:f>'기준스탯 72종'!H75*G1683</x:f>
        <x:v>1.6799999999999997</x:v>
      </x:c>
      <x:c r="W1683" s="15" t="n">
        <x:f>'기준스탯 72종'!I75*G1683</x:f>
        <x:v>3.3599999999999994</x:v>
      </x:c>
      <x:c r="X1683" s="15" t="n">
        <x:f>'기준스탯 72종'!J75*G1683</x:f>
        <x:v>2.2399999999999998</x:v>
      </x:c>
      <x:c r="Y1683" s="15" t="n">
        <x:f>'기준스탯 72종'!K75*G1683</x:f>
        <x:v>1.6799999999999997</x:v>
      </x:c>
      <x:c r="Z1683" s="15" t="n">
        <x:f>'기준스탯 72종'!D75*H1683</x:f>
        <x:v>1.6800000000000004</x:v>
      </x:c>
      <x:c r="AA1683" s="15" t="n">
        <x:f>'기준스탯 72종'!E75*H1683</x:f>
        <x:v>1.6800000000000004</x:v>
      </x:c>
      <x:c r="AB1683" s="15" t="n">
        <x:f>'기준스탯 72종'!F75*H1683</x:f>
        <x:v>1.6800000000000004</x:v>
      </x:c>
      <x:c r="AC1683" s="15" t="n">
        <x:f>'기준스탯 72종'!G75*H1683</x:f>
        <x:v>1.9200000000000004</x:v>
      </x:c>
      <x:c r="AD1683" s="15" t="n">
        <x:f>'기준스탯 72종'!H75*H1683</x:f>
        <x:v>0.7200000000000002</x:v>
      </x:c>
      <x:c r="AE1683" s="15" t="n">
        <x:f>'기준스탯 72종'!I75*H1683</x:f>
        <x:v>1.4400000000000004</x:v>
      </x:c>
      <x:c r="AF1683" s="15" t="n">
        <x:f>'기준스탯 72종'!J75*H1683</x:f>
        <x:v>0.9600000000000002</x:v>
      </x:c>
      <x:c r="AG1683" s="15" t="n">
        <x:f>'기준스탯 72종'!K75*H1683</x:f>
        <x:v>0.7200000000000002</x:v>
      </x:c>
    </x:row>
    <x:row r="1684" ht="28" customHeight="1">
      <x:c r="A1684" s="2" t="n">
        <x:v>1677</x:v>
      </x:c>
      <x:c r="B1684" s="2" t="n">
        <x:v>68</x:v>
      </x:c>
      <x:c r="C1684" s="2" t="str">
        <x:v>물고기자리</x:v>
      </x:c>
      <x:c r="D1684" s="2" t="str">
        <x:v>마도사</x:v>
      </x:c>
      <x:c r="E1684" s="2" t="n">
        <x:v>2</x:v>
      </x:c>
      <x:c r="F1684" s="2" t="n">
        <x:v>1</x:v>
      </x:c>
      <x:c r="G1684" s="14" t="n">
        <x:f>('레벨 계산식'!$E$4-E1684)*'레벨 계산식'!$B$5</x:f>
        <x:v>0.41999999999999993</x:v>
      </x:c>
      <x:c r="H1684" s="14" t="n">
        <x:f>('등급 계산식'!$E$4-F1684)*'등급 계산식'!$B$5</x:f>
        <x:v>0.24000000000000005</x:v>
      </x:c>
      <x:c r="I1684" s="14" t="n">
        <x:f>1-G1684-H1684</x:f>
        <x:v>0.34</x:v>
      </x:c>
      <x:c r="J1684" s="2" t="n">
        <x:f>MAX(1,ROUND('기준스탯 72종'!D75-R1684-Z1684,0))</x:f>
        <x:v>2</x:v>
      </x:c>
      <x:c r="K1684" s="2" t="n">
        <x:f>MAX(1,ROUND('기준스탯 72종'!E75-S1684-AA1684,0))</x:f>
        <x:v>2</x:v>
      </x:c>
      <x:c r="L1684" s="2" t="n">
        <x:f>MAX(1,ROUND('기준스탯 72종'!F75-T1684-AB1684,0))</x:f>
        <x:v>2</x:v>
      </x:c>
      <x:c r="M1684" s="2" t="n">
        <x:f>MAX(1,ROUND('기준스탯 72종'!G75-U1684-AC1684,0))</x:f>
        <x:v>3</x:v>
      </x:c>
      <x:c r="N1684" s="2" t="n">
        <x:f>MAX(0,ROUND('기준스탯 72종'!H75-V1684-AD1684,0))</x:f>
        <x:v>1</x:v>
      </x:c>
      <x:c r="O1684" s="2" t="n">
        <x:f>MAX(0,ROUND('기준스탯 72종'!I75-W1684-AE1684,0))</x:f>
        <x:v>2</x:v>
      </x:c>
      <x:c r="P1684" s="2" t="n">
        <x:f>MAX(0,ROUND('기준스탯 72종'!J75-X1684-AF1684,0))</x:f>
        <x:v>1</x:v>
      </x:c>
      <x:c r="Q1684" s="2" t="n">
        <x:f>MAX(0,ROUND('기준스탯 72종'!K75-Y1684-AG1684,0))</x:f>
        <x:v>1</x:v>
      </x:c>
      <x:c r="R1684" s="15" t="n">
        <x:f>'기준스탯 72종'!D75*G1684</x:f>
        <x:v>2.9399999999999995</x:v>
      </x:c>
      <x:c r="S1684" s="15" t="n">
        <x:f>'기준스탯 72종'!E75*G1684</x:f>
        <x:v>2.9399999999999995</x:v>
      </x:c>
      <x:c r="T1684" s="15" t="n">
        <x:f>'기준스탯 72종'!F75*G1684</x:f>
        <x:v>2.9399999999999995</x:v>
      </x:c>
      <x:c r="U1684" s="15" t="n">
        <x:f>'기준스탯 72종'!G75*G1684</x:f>
        <x:v>3.3599999999999994</x:v>
      </x:c>
      <x:c r="V1684" s="15" t="n">
        <x:f>'기준스탯 72종'!H75*G1684</x:f>
        <x:v>1.2599999999999998</x:v>
      </x:c>
      <x:c r="W1684" s="15" t="n">
        <x:f>'기준스탯 72종'!I75*G1684</x:f>
        <x:v>2.5199999999999996</x:v>
      </x:c>
      <x:c r="X1684" s="15" t="n">
        <x:f>'기준스탯 72종'!J75*G1684</x:f>
        <x:v>1.6799999999999997</x:v>
      </x:c>
      <x:c r="Y1684" s="15" t="n">
        <x:f>'기준스탯 72종'!K75*G1684</x:f>
        <x:v>1.2599999999999998</x:v>
      </x:c>
      <x:c r="Z1684" s="15" t="n">
        <x:f>'기준스탯 72종'!D75*H1684</x:f>
        <x:v>1.6800000000000004</x:v>
      </x:c>
      <x:c r="AA1684" s="15" t="n">
        <x:f>'기준스탯 72종'!E75*H1684</x:f>
        <x:v>1.6800000000000004</x:v>
      </x:c>
      <x:c r="AB1684" s="15" t="n">
        <x:f>'기준스탯 72종'!F75*H1684</x:f>
        <x:v>1.6800000000000004</x:v>
      </x:c>
      <x:c r="AC1684" s="15" t="n">
        <x:f>'기준스탯 72종'!G75*H1684</x:f>
        <x:v>1.9200000000000004</x:v>
      </x:c>
      <x:c r="AD1684" s="15" t="n">
        <x:f>'기준스탯 72종'!H75*H1684</x:f>
        <x:v>0.7200000000000002</x:v>
      </x:c>
      <x:c r="AE1684" s="15" t="n">
        <x:f>'기준스탯 72종'!I75*H1684</x:f>
        <x:v>1.4400000000000004</x:v>
      </x:c>
      <x:c r="AF1684" s="15" t="n">
        <x:f>'기준스탯 72종'!J75*H1684</x:f>
        <x:v>0.9600000000000002</x:v>
      </x:c>
      <x:c r="AG1684" s="15" t="n">
        <x:f>'기준스탯 72종'!K75*H1684</x:f>
        <x:v>0.7200000000000002</x:v>
      </x:c>
    </x:row>
    <x:row r="1685" ht="28" customHeight="1">
      <x:c r="A1685" s="2" t="n">
        <x:v>1678</x:v>
      </x:c>
      <x:c r="B1685" s="2" t="n">
        <x:v>68</x:v>
      </x:c>
      <x:c r="C1685" s="2" t="str">
        <x:v>물고기자리</x:v>
      </x:c>
      <x:c r="D1685" s="2" t="str">
        <x:v>마도사</x:v>
      </x:c>
      <x:c r="E1685" s="2" t="n">
        <x:v>3</x:v>
      </x:c>
      <x:c r="F1685" s="2" t="n">
        <x:v>1</x:v>
      </x:c>
      <x:c r="G1685" s="14" t="n">
        <x:f>('레벨 계산식'!$E$4-E1685)*'레벨 계산식'!$B$5</x:f>
        <x:v>0.27999999999999997</x:v>
      </x:c>
      <x:c r="H1685" s="14" t="n">
        <x:f>('등급 계산식'!$E$4-F1685)*'등급 계산식'!$B$5</x:f>
        <x:v>0.24000000000000005</x:v>
      </x:c>
      <x:c r="I1685" s="14" t="n">
        <x:f>1-G1685-H1685</x:f>
        <x:v>0.4799999999999999</x:v>
      </x:c>
      <x:c r="J1685" s="2" t="n">
        <x:f>MAX(1,ROUND('기준스탯 72종'!D75-R1685-Z1685,0))</x:f>
        <x:v>3</x:v>
      </x:c>
      <x:c r="K1685" s="2" t="n">
        <x:f>MAX(1,ROUND('기준스탯 72종'!E75-S1685-AA1685,0))</x:f>
        <x:v>3</x:v>
      </x:c>
      <x:c r="L1685" s="2" t="n">
        <x:f>MAX(1,ROUND('기준스탯 72종'!F75-T1685-AB1685,0))</x:f>
        <x:v>3</x:v>
      </x:c>
      <x:c r="M1685" s="2" t="n">
        <x:f>MAX(1,ROUND('기준스탯 72종'!G75-U1685-AC1685,0))</x:f>
        <x:v>4</x:v>
      </x:c>
      <x:c r="N1685" s="2" t="n">
        <x:f>MAX(0,ROUND('기준스탯 72종'!H75-V1685-AD1685,0))</x:f>
        <x:v>1</x:v>
      </x:c>
      <x:c r="O1685" s="2" t="n">
        <x:f>MAX(0,ROUND('기준스탯 72종'!I75-W1685-AE1685,0))</x:f>
        <x:v>3</x:v>
      </x:c>
      <x:c r="P1685" s="2" t="n">
        <x:f>MAX(0,ROUND('기준스탯 72종'!J75-X1685-AF1685,0))</x:f>
        <x:v>2</x:v>
      </x:c>
      <x:c r="Q1685" s="2" t="n">
        <x:f>MAX(0,ROUND('기준스탯 72종'!K75-Y1685-AG1685,0))</x:f>
        <x:v>1</x:v>
      </x:c>
      <x:c r="R1685" s="15" t="n">
        <x:f>'기준스탯 72종'!D75*G1685</x:f>
        <x:v>1.9599999999999997</x:v>
      </x:c>
      <x:c r="S1685" s="15" t="n">
        <x:f>'기준스탯 72종'!E75*G1685</x:f>
        <x:v>1.9599999999999997</x:v>
      </x:c>
      <x:c r="T1685" s="15" t="n">
        <x:f>'기준스탯 72종'!F75*G1685</x:f>
        <x:v>1.9599999999999997</x:v>
      </x:c>
      <x:c r="U1685" s="15" t="n">
        <x:f>'기준스탯 72종'!G75*G1685</x:f>
        <x:v>2.2399999999999998</x:v>
      </x:c>
      <x:c r="V1685" s="15" t="n">
        <x:f>'기준스탯 72종'!H75*G1685</x:f>
        <x:v>0.8399999999999999</x:v>
      </x:c>
      <x:c r="W1685" s="15" t="n">
        <x:f>'기준스탯 72종'!I75*G1685</x:f>
        <x:v>1.6799999999999997</x:v>
      </x:c>
      <x:c r="X1685" s="15" t="n">
        <x:f>'기준스탯 72종'!J75*G1685</x:f>
        <x:v>1.1199999999999999</x:v>
      </x:c>
      <x:c r="Y1685" s="15" t="n">
        <x:f>'기준스탯 72종'!K75*G1685</x:f>
        <x:v>0.8399999999999999</x:v>
      </x:c>
      <x:c r="Z1685" s="15" t="n">
        <x:f>'기준스탯 72종'!D75*H1685</x:f>
        <x:v>1.6800000000000004</x:v>
      </x:c>
      <x:c r="AA1685" s="15" t="n">
        <x:f>'기준스탯 72종'!E75*H1685</x:f>
        <x:v>1.6800000000000004</x:v>
      </x:c>
      <x:c r="AB1685" s="15" t="n">
        <x:f>'기준스탯 72종'!F75*H1685</x:f>
        <x:v>1.6800000000000004</x:v>
      </x:c>
      <x:c r="AC1685" s="15" t="n">
        <x:f>'기준스탯 72종'!G75*H1685</x:f>
        <x:v>1.9200000000000004</x:v>
      </x:c>
      <x:c r="AD1685" s="15" t="n">
        <x:f>'기준스탯 72종'!H75*H1685</x:f>
        <x:v>0.7200000000000002</x:v>
      </x:c>
      <x:c r="AE1685" s="15" t="n">
        <x:f>'기준스탯 72종'!I75*H1685</x:f>
        <x:v>1.4400000000000004</x:v>
      </x:c>
      <x:c r="AF1685" s="15" t="n">
        <x:f>'기준스탯 72종'!J75*H1685</x:f>
        <x:v>0.9600000000000002</x:v>
      </x:c>
      <x:c r="AG1685" s="15" t="n">
        <x:f>'기준스탯 72종'!K75*H1685</x:f>
        <x:v>0.7200000000000002</x:v>
      </x:c>
    </x:row>
    <x:row r="1686" ht="28" customHeight="1">
      <x:c r="A1686" s="2" t="n">
        <x:v>1679</x:v>
      </x:c>
      <x:c r="B1686" s="2" t="n">
        <x:v>68</x:v>
      </x:c>
      <x:c r="C1686" s="2" t="str">
        <x:v>물고기자리</x:v>
      </x:c>
      <x:c r="D1686" s="2" t="str">
        <x:v>마도사</x:v>
      </x:c>
      <x:c r="E1686" s="2" t="n">
        <x:v>4</x:v>
      </x:c>
      <x:c r="F1686" s="2" t="n">
        <x:v>1</x:v>
      </x:c>
      <x:c r="G1686" s="14" t="n">
        <x:f>('레벨 계산식'!$E$4-E1686)*'레벨 계산식'!$B$5</x:f>
        <x:v>0.13999999999999999</x:v>
      </x:c>
      <x:c r="H1686" s="14" t="n">
        <x:f>('등급 계산식'!$E$4-F1686)*'등급 계산식'!$B$5</x:f>
        <x:v>0.24000000000000005</x:v>
      </x:c>
      <x:c r="I1686" s="14" t="n">
        <x:f>1-G1686-H1686</x:f>
        <x:v>0.6199999999999999</x:v>
      </x:c>
      <x:c r="J1686" s="2" t="n">
        <x:f>MAX(1,ROUND('기준스탯 72종'!D75-R1686-Z1686,0))</x:f>
        <x:v>4</x:v>
      </x:c>
      <x:c r="K1686" s="2" t="n">
        <x:f>MAX(1,ROUND('기준스탯 72종'!E75-S1686-AA1686,0))</x:f>
        <x:v>4</x:v>
      </x:c>
      <x:c r="L1686" s="2" t="n">
        <x:f>MAX(1,ROUND('기준스탯 72종'!F75-T1686-AB1686,0))</x:f>
        <x:v>4</x:v>
      </x:c>
      <x:c r="M1686" s="2" t="n">
        <x:f>MAX(1,ROUND('기준스탯 72종'!G75-U1686-AC1686,0))</x:f>
        <x:v>5</x:v>
      </x:c>
      <x:c r="N1686" s="2" t="n">
        <x:f>MAX(0,ROUND('기준스탯 72종'!H75-V1686-AD1686,0))</x:f>
        <x:v>2</x:v>
      </x:c>
      <x:c r="O1686" s="2" t="n">
        <x:f>MAX(0,ROUND('기준스탯 72종'!I75-W1686-AE1686,0))</x:f>
        <x:v>4</x:v>
      </x:c>
      <x:c r="P1686" s="2" t="n">
        <x:f>MAX(0,ROUND('기준스탯 72종'!J75-X1686-AF1686,0))</x:f>
        <x:v>2</x:v>
      </x:c>
      <x:c r="Q1686" s="2" t="n">
        <x:f>MAX(0,ROUND('기준스탯 72종'!K75-Y1686-AG1686,0))</x:f>
        <x:v>2</x:v>
      </x:c>
      <x:c r="R1686" s="15" t="n">
        <x:f>'기준스탯 72종'!D75*G1686</x:f>
        <x:v>0.9799999999999999</x:v>
      </x:c>
      <x:c r="S1686" s="15" t="n">
        <x:f>'기준스탯 72종'!E75*G1686</x:f>
        <x:v>0.9799999999999999</x:v>
      </x:c>
      <x:c r="T1686" s="15" t="n">
        <x:f>'기준스탯 72종'!F75*G1686</x:f>
        <x:v>0.9799999999999999</x:v>
      </x:c>
      <x:c r="U1686" s="15" t="n">
        <x:f>'기준스탯 72종'!G75*G1686</x:f>
        <x:v>1.1199999999999999</x:v>
      </x:c>
      <x:c r="V1686" s="15" t="n">
        <x:f>'기준스탯 72종'!H75*G1686</x:f>
        <x:v>0.41999999999999993</x:v>
      </x:c>
      <x:c r="W1686" s="15" t="n">
        <x:f>'기준스탯 72종'!I75*G1686</x:f>
        <x:v>0.8399999999999999</x:v>
      </x:c>
      <x:c r="X1686" s="15" t="n">
        <x:f>'기준스탯 72종'!J75*G1686</x:f>
        <x:v>0.5599999999999999</x:v>
      </x:c>
      <x:c r="Y1686" s="15" t="n">
        <x:f>'기준스탯 72종'!K75*G1686</x:f>
        <x:v>0.41999999999999993</x:v>
      </x:c>
      <x:c r="Z1686" s="15" t="n">
        <x:f>'기준스탯 72종'!D75*H1686</x:f>
        <x:v>1.6800000000000004</x:v>
      </x:c>
      <x:c r="AA1686" s="15" t="n">
        <x:f>'기준스탯 72종'!E75*H1686</x:f>
        <x:v>1.6800000000000004</x:v>
      </x:c>
      <x:c r="AB1686" s="15" t="n">
        <x:f>'기준스탯 72종'!F75*H1686</x:f>
        <x:v>1.6800000000000004</x:v>
      </x:c>
      <x:c r="AC1686" s="15" t="n">
        <x:f>'기준스탯 72종'!G75*H1686</x:f>
        <x:v>1.9200000000000004</x:v>
      </x:c>
      <x:c r="AD1686" s="15" t="n">
        <x:f>'기준스탯 72종'!H75*H1686</x:f>
        <x:v>0.7200000000000002</x:v>
      </x:c>
      <x:c r="AE1686" s="15" t="n">
        <x:f>'기준스탯 72종'!I75*H1686</x:f>
        <x:v>1.4400000000000004</x:v>
      </x:c>
      <x:c r="AF1686" s="15" t="n">
        <x:f>'기준스탯 72종'!J75*H1686</x:f>
        <x:v>0.9600000000000002</x:v>
      </x:c>
      <x:c r="AG1686" s="15" t="n">
        <x:f>'기준스탯 72종'!K75*H1686</x:f>
        <x:v>0.7200000000000002</x:v>
      </x:c>
    </x:row>
    <x:row r="1687" ht="28" customHeight="1">
      <x:c r="A1687" s="2" t="n">
        <x:v>1680</x:v>
      </x:c>
      <x:c r="B1687" s="2" t="n">
        <x:v>68</x:v>
      </x:c>
      <x:c r="C1687" s="2" t="str">
        <x:v>물고기자리</x:v>
      </x:c>
      <x:c r="D1687" s="2" t="str">
        <x:v>마도사</x:v>
      </x:c>
      <x:c r="E1687" s="2" t="n">
        <x:v>5</x:v>
      </x:c>
      <x:c r="F1687" s="2" t="n">
        <x:v>1</x:v>
      </x:c>
      <x:c r="G1687" s="14" t="n">
        <x:f>('레벨 계산식'!$E$4-E1687)*'레벨 계산식'!$B$5</x:f>
        <x:v>0</x:v>
      </x:c>
      <x:c r="H1687" s="14" t="n">
        <x:f>('등급 계산식'!$E$4-F1687)*'등급 계산식'!$B$5</x:f>
        <x:v>0.24000000000000005</x:v>
      </x:c>
      <x:c r="I1687" s="14" t="n">
        <x:f>1-G1687-H1687</x:f>
        <x:v>0.76</x:v>
      </x:c>
      <x:c r="J1687" s="2" t="n">
        <x:f>MAX(1,ROUND('기준스탯 72종'!D75-R1687-Z1687,0))</x:f>
        <x:v>5</x:v>
      </x:c>
      <x:c r="K1687" s="2" t="n">
        <x:f>MAX(1,ROUND('기준스탯 72종'!E75-S1687-AA1687,0))</x:f>
        <x:v>5</x:v>
      </x:c>
      <x:c r="L1687" s="2" t="n">
        <x:f>MAX(1,ROUND('기준스탯 72종'!F75-T1687-AB1687,0))</x:f>
        <x:v>5</x:v>
      </x:c>
      <x:c r="M1687" s="2" t="n">
        <x:f>MAX(1,ROUND('기준스탯 72종'!G75-U1687-AC1687,0))</x:f>
        <x:v>6</x:v>
      </x:c>
      <x:c r="N1687" s="2" t="n">
        <x:f>MAX(0,ROUND('기준스탯 72종'!H75-V1687-AD1687,0))</x:f>
        <x:v>2</x:v>
      </x:c>
      <x:c r="O1687" s="2" t="n">
        <x:f>MAX(0,ROUND('기준스탯 72종'!I75-W1687-AE1687,0))</x:f>
        <x:v>5</x:v>
      </x:c>
      <x:c r="P1687" s="2" t="n">
        <x:f>MAX(0,ROUND('기준스탯 72종'!J75-X1687-AF1687,0))</x:f>
        <x:v>3</x:v>
      </x:c>
      <x:c r="Q1687" s="2" t="n">
        <x:f>MAX(0,ROUND('기준스탯 72종'!K75-Y1687-AG1687,0))</x:f>
        <x:v>2</x:v>
      </x:c>
      <x:c r="R1687" s="15" t="n">
        <x:f>'기준스탯 72종'!D75*G1687</x:f>
        <x:v>0</x:v>
      </x:c>
      <x:c r="S1687" s="15" t="n">
        <x:f>'기준스탯 72종'!E75*G1687</x:f>
        <x:v>0</x:v>
      </x:c>
      <x:c r="T1687" s="15" t="n">
        <x:f>'기준스탯 72종'!F75*G1687</x:f>
        <x:v>0</x:v>
      </x:c>
      <x:c r="U1687" s="15" t="n">
        <x:f>'기준스탯 72종'!G75*G1687</x:f>
        <x:v>0</x:v>
      </x:c>
      <x:c r="V1687" s="15" t="n">
        <x:f>'기준스탯 72종'!H75*G1687</x:f>
        <x:v>0</x:v>
      </x:c>
      <x:c r="W1687" s="15" t="n">
        <x:f>'기준스탯 72종'!I75*G1687</x:f>
        <x:v>0</x:v>
      </x:c>
      <x:c r="X1687" s="15" t="n">
        <x:f>'기준스탯 72종'!J75*G1687</x:f>
        <x:v>0</x:v>
      </x:c>
      <x:c r="Y1687" s="15" t="n">
        <x:f>'기준스탯 72종'!K75*G1687</x:f>
        <x:v>0</x:v>
      </x:c>
      <x:c r="Z1687" s="15" t="n">
        <x:f>'기준스탯 72종'!D75*H1687</x:f>
        <x:v>1.6800000000000004</x:v>
      </x:c>
      <x:c r="AA1687" s="15" t="n">
        <x:f>'기준스탯 72종'!E75*H1687</x:f>
        <x:v>1.6800000000000004</x:v>
      </x:c>
      <x:c r="AB1687" s="15" t="n">
        <x:f>'기준스탯 72종'!F75*H1687</x:f>
        <x:v>1.6800000000000004</x:v>
      </x:c>
      <x:c r="AC1687" s="15" t="n">
        <x:f>'기준스탯 72종'!G75*H1687</x:f>
        <x:v>1.9200000000000004</x:v>
      </x:c>
      <x:c r="AD1687" s="15" t="n">
        <x:f>'기준스탯 72종'!H75*H1687</x:f>
        <x:v>0.7200000000000002</x:v>
      </x:c>
      <x:c r="AE1687" s="15" t="n">
        <x:f>'기준스탯 72종'!I75*H1687</x:f>
        <x:v>1.4400000000000004</x:v>
      </x:c>
      <x:c r="AF1687" s="15" t="n">
        <x:f>'기준스탯 72종'!J75*H1687</x:f>
        <x:v>0.9600000000000002</x:v>
      </x:c>
      <x:c r="AG1687" s="15" t="n">
        <x:f>'기준스탯 72종'!K75*H1687</x:f>
        <x:v>0.7200000000000002</x:v>
      </x:c>
    </x:row>
    <x:row r="1688" ht="28" customHeight="1">
      <x:c r="A1688" s="2" t="n">
        <x:v>1681</x:v>
      </x:c>
      <x:c r="B1688" s="2" t="n">
        <x:v>68</x:v>
      </x:c>
      <x:c r="C1688" s="2" t="str">
        <x:v>물고기자리</x:v>
      </x:c>
      <x:c r="D1688" s="2" t="str">
        <x:v>마도사</x:v>
      </x:c>
      <x:c r="E1688" s="2" t="n">
        <x:v>1</x:v>
      </x:c>
      <x:c r="F1688" s="2" t="n">
        <x:v>2</x:v>
      </x:c>
      <x:c r="G1688" s="14" t="n">
        <x:f>('레벨 계산식'!$E$4-E1688)*'레벨 계산식'!$B$5</x:f>
        <x:v>0.5599999999999999</x:v>
      </x:c>
      <x:c r="H1688" s="14" t="n">
        <x:f>('등급 계산식'!$E$4-F1688)*'등급 계산식'!$B$5</x:f>
        <x:v>0.18000000000000005</x:v>
      </x:c>
      <x:c r="I1688" s="14" t="n">
        <x:f>1-G1688-H1688</x:f>
        <x:v>0.26</x:v>
      </x:c>
      <x:c r="J1688" s="2" t="n">
        <x:f>MAX(1,ROUND('기준스탯 72종'!D75-R1688-Z1688,0))</x:f>
        <x:v>2</x:v>
      </x:c>
      <x:c r="K1688" s="2" t="n">
        <x:f>MAX(1,ROUND('기준스탯 72종'!E75-S1688-AA1688,0))</x:f>
        <x:v>2</x:v>
      </x:c>
      <x:c r="L1688" s="2" t="n">
        <x:f>MAX(1,ROUND('기준스탯 72종'!F75-T1688-AB1688,0))</x:f>
        <x:v>2</x:v>
      </x:c>
      <x:c r="M1688" s="2" t="n">
        <x:f>MAX(1,ROUND('기준스탯 72종'!G75-U1688-AC1688,0))</x:f>
        <x:v>2</x:v>
      </x:c>
      <x:c r="N1688" s="2" t="n">
        <x:f>MAX(0,ROUND('기준스탯 72종'!H75-V1688-AD1688,0))</x:f>
        <x:v>1</x:v>
      </x:c>
      <x:c r="O1688" s="2" t="n">
        <x:f>MAX(0,ROUND('기준스탯 72종'!I75-W1688-AE1688,0))</x:f>
        <x:v>2</x:v>
      </x:c>
      <x:c r="P1688" s="2" t="n">
        <x:f>MAX(0,ROUND('기준스탯 72종'!J75-X1688-AF1688,0))</x:f>
        <x:v>1</x:v>
      </x:c>
      <x:c r="Q1688" s="2" t="n">
        <x:f>MAX(0,ROUND('기준스탯 72종'!K75-Y1688-AG1688,0))</x:f>
        <x:v>1</x:v>
      </x:c>
      <x:c r="R1688" s="15" t="n">
        <x:f>'기준스탯 72종'!D75*G1688</x:f>
        <x:v>3.9199999999999995</x:v>
      </x:c>
      <x:c r="S1688" s="15" t="n">
        <x:f>'기준스탯 72종'!E75*G1688</x:f>
        <x:v>3.9199999999999995</x:v>
      </x:c>
      <x:c r="T1688" s="15" t="n">
        <x:f>'기준스탯 72종'!F75*G1688</x:f>
        <x:v>3.9199999999999995</x:v>
      </x:c>
      <x:c r="U1688" s="15" t="n">
        <x:f>'기준스탯 72종'!G75*G1688</x:f>
        <x:v>4.4799999999999995</x:v>
      </x:c>
      <x:c r="V1688" s="15" t="n">
        <x:f>'기준스탯 72종'!H75*G1688</x:f>
        <x:v>1.6799999999999997</x:v>
      </x:c>
      <x:c r="W1688" s="15" t="n">
        <x:f>'기준스탯 72종'!I75*G1688</x:f>
        <x:v>3.3599999999999994</x:v>
      </x:c>
      <x:c r="X1688" s="15" t="n">
        <x:f>'기준스탯 72종'!J75*G1688</x:f>
        <x:v>2.2399999999999998</x:v>
      </x:c>
      <x:c r="Y1688" s="15" t="n">
        <x:f>'기준스탯 72종'!K75*G1688</x:f>
        <x:v>1.6799999999999997</x:v>
      </x:c>
      <x:c r="Z1688" s="15" t="n">
        <x:f>'기준스탯 72종'!D75*H1688</x:f>
        <x:v>1.2600000000000002</x:v>
      </x:c>
      <x:c r="AA1688" s="15" t="n">
        <x:f>'기준스탯 72종'!E75*H1688</x:f>
        <x:v>1.2600000000000002</x:v>
      </x:c>
      <x:c r="AB1688" s="15" t="n">
        <x:f>'기준스탯 72종'!F75*H1688</x:f>
        <x:v>1.2600000000000002</x:v>
      </x:c>
      <x:c r="AC1688" s="15" t="n">
        <x:f>'기준스탯 72종'!G75*H1688</x:f>
        <x:v>1.4400000000000004</x:v>
      </x:c>
      <x:c r="AD1688" s="15" t="n">
        <x:f>'기준스탯 72종'!H75*H1688</x:f>
        <x:v>0.5400000000000001</x:v>
      </x:c>
      <x:c r="AE1688" s="15" t="n">
        <x:f>'기준스탯 72종'!I75*H1688</x:f>
        <x:v>1.0800000000000003</x:v>
      </x:c>
      <x:c r="AF1688" s="15" t="n">
        <x:f>'기준스탯 72종'!J75*H1688</x:f>
        <x:v>0.7200000000000002</x:v>
      </x:c>
      <x:c r="AG1688" s="15" t="n">
        <x:f>'기준스탯 72종'!K75*H1688</x:f>
        <x:v>0.5400000000000001</x:v>
      </x:c>
    </x:row>
    <x:row r="1689" ht="28" customHeight="1">
      <x:c r="A1689" s="2" t="n">
        <x:v>1682</x:v>
      </x:c>
      <x:c r="B1689" s="2" t="n">
        <x:v>68</x:v>
      </x:c>
      <x:c r="C1689" s="2" t="str">
        <x:v>물고기자리</x:v>
      </x:c>
      <x:c r="D1689" s="2" t="str">
        <x:v>마도사</x:v>
      </x:c>
      <x:c r="E1689" s="2" t="n">
        <x:v>2</x:v>
      </x:c>
      <x:c r="F1689" s="2" t="n">
        <x:v>2</x:v>
      </x:c>
      <x:c r="G1689" s="14" t="n">
        <x:f>('레벨 계산식'!$E$4-E1689)*'레벨 계산식'!$B$5</x:f>
        <x:v>0.41999999999999993</x:v>
      </x:c>
      <x:c r="H1689" s="14" t="n">
        <x:f>('등급 계산식'!$E$4-F1689)*'등급 계산식'!$B$5</x:f>
        <x:v>0.18000000000000005</x:v>
      </x:c>
      <x:c r="I1689" s="14" t="n">
        <x:f>1-G1689-H1689</x:f>
        <x:v>0.4</x:v>
      </x:c>
      <x:c r="J1689" s="2" t="n">
        <x:f>MAX(1,ROUND('기준스탯 72종'!D75-R1689-Z1689,0))</x:f>
        <x:v>3</x:v>
      </x:c>
      <x:c r="K1689" s="2" t="n">
        <x:f>MAX(1,ROUND('기준스탯 72종'!E75-S1689-AA1689,0))</x:f>
        <x:v>3</x:v>
      </x:c>
      <x:c r="L1689" s="2" t="n">
        <x:f>MAX(1,ROUND('기준스탯 72종'!F75-T1689-AB1689,0))</x:f>
        <x:v>3</x:v>
      </x:c>
      <x:c r="M1689" s="2" t="n">
        <x:f>MAX(1,ROUND('기준스탯 72종'!G75-U1689-AC1689,0))</x:f>
        <x:v>3</x:v>
      </x:c>
      <x:c r="N1689" s="2" t="n">
        <x:f>MAX(0,ROUND('기준스탯 72종'!H75-V1689-AD1689,0))</x:f>
        <x:v>1</x:v>
      </x:c>
      <x:c r="O1689" s="2" t="n">
        <x:f>MAX(0,ROUND('기준스탯 72종'!I75-W1689-AE1689,0))</x:f>
        <x:v>2</x:v>
      </x:c>
      <x:c r="P1689" s="2" t="n">
        <x:f>MAX(0,ROUND('기준스탯 72종'!J75-X1689-AF1689,0))</x:f>
        <x:v>2</x:v>
      </x:c>
      <x:c r="Q1689" s="2" t="n">
        <x:f>MAX(0,ROUND('기준스탯 72종'!K75-Y1689-AG1689,0))</x:f>
        <x:v>1</x:v>
      </x:c>
      <x:c r="R1689" s="15" t="n">
        <x:f>'기준스탯 72종'!D75*G1689</x:f>
        <x:v>2.9399999999999995</x:v>
      </x:c>
      <x:c r="S1689" s="15" t="n">
        <x:f>'기준스탯 72종'!E75*G1689</x:f>
        <x:v>2.9399999999999995</x:v>
      </x:c>
      <x:c r="T1689" s="15" t="n">
        <x:f>'기준스탯 72종'!F75*G1689</x:f>
        <x:v>2.9399999999999995</x:v>
      </x:c>
      <x:c r="U1689" s="15" t="n">
        <x:f>'기준스탯 72종'!G75*G1689</x:f>
        <x:v>3.3599999999999994</x:v>
      </x:c>
      <x:c r="V1689" s="15" t="n">
        <x:f>'기준스탯 72종'!H75*G1689</x:f>
        <x:v>1.2599999999999998</x:v>
      </x:c>
      <x:c r="W1689" s="15" t="n">
        <x:f>'기준스탯 72종'!I75*G1689</x:f>
        <x:v>2.5199999999999996</x:v>
      </x:c>
      <x:c r="X1689" s="15" t="n">
        <x:f>'기준스탯 72종'!J75*G1689</x:f>
        <x:v>1.6799999999999997</x:v>
      </x:c>
      <x:c r="Y1689" s="15" t="n">
        <x:f>'기준스탯 72종'!K75*G1689</x:f>
        <x:v>1.2599999999999998</x:v>
      </x:c>
      <x:c r="Z1689" s="15" t="n">
        <x:f>'기준스탯 72종'!D75*H1689</x:f>
        <x:v>1.2600000000000002</x:v>
      </x:c>
      <x:c r="AA1689" s="15" t="n">
        <x:f>'기준스탯 72종'!E75*H1689</x:f>
        <x:v>1.2600000000000002</x:v>
      </x:c>
      <x:c r="AB1689" s="15" t="n">
        <x:f>'기준스탯 72종'!F75*H1689</x:f>
        <x:v>1.2600000000000002</x:v>
      </x:c>
      <x:c r="AC1689" s="15" t="n">
        <x:f>'기준스탯 72종'!G75*H1689</x:f>
        <x:v>1.4400000000000004</x:v>
      </x:c>
      <x:c r="AD1689" s="15" t="n">
        <x:f>'기준스탯 72종'!H75*H1689</x:f>
        <x:v>0.5400000000000001</x:v>
      </x:c>
      <x:c r="AE1689" s="15" t="n">
        <x:f>'기준스탯 72종'!I75*H1689</x:f>
        <x:v>1.0800000000000003</x:v>
      </x:c>
      <x:c r="AF1689" s="15" t="n">
        <x:f>'기준스탯 72종'!J75*H1689</x:f>
        <x:v>0.7200000000000002</x:v>
      </x:c>
      <x:c r="AG1689" s="15" t="n">
        <x:f>'기준스탯 72종'!K75*H1689</x:f>
        <x:v>0.5400000000000001</x:v>
      </x:c>
    </x:row>
    <x:row r="1690" ht="28" customHeight="1">
      <x:c r="A1690" s="2" t="n">
        <x:v>1683</x:v>
      </x:c>
      <x:c r="B1690" s="2" t="n">
        <x:v>68</x:v>
      </x:c>
      <x:c r="C1690" s="2" t="str">
        <x:v>물고기자리</x:v>
      </x:c>
      <x:c r="D1690" s="2" t="str">
        <x:v>마도사</x:v>
      </x:c>
      <x:c r="E1690" s="2" t="n">
        <x:v>3</x:v>
      </x:c>
      <x:c r="F1690" s="2" t="n">
        <x:v>2</x:v>
      </x:c>
      <x:c r="G1690" s="14" t="n">
        <x:f>('레벨 계산식'!$E$4-E1690)*'레벨 계산식'!$B$5</x:f>
        <x:v>0.27999999999999997</x:v>
      </x:c>
      <x:c r="H1690" s="14" t="n">
        <x:f>('등급 계산식'!$E$4-F1690)*'등급 계산식'!$B$5</x:f>
        <x:v>0.18000000000000005</x:v>
      </x:c>
      <x:c r="I1690" s="14" t="n">
        <x:f>1-G1690-H1690</x:f>
        <x:v>0.5399999999999999</x:v>
      </x:c>
      <x:c r="J1690" s="2" t="n">
        <x:f>MAX(1,ROUND('기준스탯 72종'!D75-R1690-Z1690,0))</x:f>
        <x:v>4</x:v>
      </x:c>
      <x:c r="K1690" s="2" t="n">
        <x:f>MAX(1,ROUND('기준스탯 72종'!E75-S1690-AA1690,0))</x:f>
        <x:v>4</x:v>
      </x:c>
      <x:c r="L1690" s="2" t="n">
        <x:f>MAX(1,ROUND('기준스탯 72종'!F75-T1690-AB1690,0))</x:f>
        <x:v>4</x:v>
      </x:c>
      <x:c r="M1690" s="2" t="n">
        <x:f>MAX(1,ROUND('기준스탯 72종'!G75-U1690-AC1690,0))</x:f>
        <x:v>4</x:v>
      </x:c>
      <x:c r="N1690" s="2" t="n">
        <x:f>MAX(0,ROUND('기준스탯 72종'!H75-V1690-AD1690,0))</x:f>
        <x:v>2</x:v>
      </x:c>
      <x:c r="O1690" s="2" t="n">
        <x:f>MAX(0,ROUND('기준스탯 72종'!I75-W1690-AE1690,0))</x:f>
        <x:v>3</x:v>
      </x:c>
      <x:c r="P1690" s="2" t="n">
        <x:f>MAX(0,ROUND('기준스탯 72종'!J75-X1690-AF1690,0))</x:f>
        <x:v>2</x:v>
      </x:c>
      <x:c r="Q1690" s="2" t="n">
        <x:f>MAX(0,ROUND('기준스탯 72종'!K75-Y1690-AG1690,0))</x:f>
        <x:v>2</x:v>
      </x:c>
      <x:c r="R1690" s="15" t="n">
        <x:f>'기준스탯 72종'!D75*G1690</x:f>
        <x:v>1.9599999999999997</x:v>
      </x:c>
      <x:c r="S1690" s="15" t="n">
        <x:f>'기준스탯 72종'!E75*G1690</x:f>
        <x:v>1.9599999999999997</x:v>
      </x:c>
      <x:c r="T1690" s="15" t="n">
        <x:f>'기준스탯 72종'!F75*G1690</x:f>
        <x:v>1.9599999999999997</x:v>
      </x:c>
      <x:c r="U1690" s="15" t="n">
        <x:f>'기준스탯 72종'!G75*G1690</x:f>
        <x:v>2.2399999999999998</x:v>
      </x:c>
      <x:c r="V1690" s="15" t="n">
        <x:f>'기준스탯 72종'!H75*G1690</x:f>
        <x:v>0.8399999999999999</x:v>
      </x:c>
      <x:c r="W1690" s="15" t="n">
        <x:f>'기준스탯 72종'!I75*G1690</x:f>
        <x:v>1.6799999999999997</x:v>
      </x:c>
      <x:c r="X1690" s="15" t="n">
        <x:f>'기준스탯 72종'!J75*G1690</x:f>
        <x:v>1.1199999999999999</x:v>
      </x:c>
      <x:c r="Y1690" s="15" t="n">
        <x:f>'기준스탯 72종'!K75*G1690</x:f>
        <x:v>0.8399999999999999</x:v>
      </x:c>
      <x:c r="Z1690" s="15" t="n">
        <x:f>'기준스탯 72종'!D75*H1690</x:f>
        <x:v>1.2600000000000002</x:v>
      </x:c>
      <x:c r="AA1690" s="15" t="n">
        <x:f>'기준스탯 72종'!E75*H1690</x:f>
        <x:v>1.2600000000000002</x:v>
      </x:c>
      <x:c r="AB1690" s="15" t="n">
        <x:f>'기준스탯 72종'!F75*H1690</x:f>
        <x:v>1.2600000000000002</x:v>
      </x:c>
      <x:c r="AC1690" s="15" t="n">
        <x:f>'기준스탯 72종'!G75*H1690</x:f>
        <x:v>1.4400000000000004</x:v>
      </x:c>
      <x:c r="AD1690" s="15" t="n">
        <x:f>'기준스탯 72종'!H75*H1690</x:f>
        <x:v>0.5400000000000001</x:v>
      </x:c>
      <x:c r="AE1690" s="15" t="n">
        <x:f>'기준스탯 72종'!I75*H1690</x:f>
        <x:v>1.0800000000000003</x:v>
      </x:c>
      <x:c r="AF1690" s="15" t="n">
        <x:f>'기준스탯 72종'!J75*H1690</x:f>
        <x:v>0.7200000000000002</x:v>
      </x:c>
      <x:c r="AG1690" s="15" t="n">
        <x:f>'기준스탯 72종'!K75*H1690</x:f>
        <x:v>0.5400000000000001</x:v>
      </x:c>
    </x:row>
    <x:row r="1691" ht="28" customHeight="1">
      <x:c r="A1691" s="2" t="n">
        <x:v>1684</x:v>
      </x:c>
      <x:c r="B1691" s="2" t="n">
        <x:v>68</x:v>
      </x:c>
      <x:c r="C1691" s="2" t="str">
        <x:v>물고기자리</x:v>
      </x:c>
      <x:c r="D1691" s="2" t="str">
        <x:v>마도사</x:v>
      </x:c>
      <x:c r="E1691" s="2" t="n">
        <x:v>4</x:v>
      </x:c>
      <x:c r="F1691" s="2" t="n">
        <x:v>2</x:v>
      </x:c>
      <x:c r="G1691" s="14" t="n">
        <x:f>('레벨 계산식'!$E$4-E1691)*'레벨 계산식'!$B$5</x:f>
        <x:v>0.13999999999999999</x:v>
      </x:c>
      <x:c r="H1691" s="14" t="n">
        <x:f>('등급 계산식'!$E$4-F1691)*'등급 계산식'!$B$5</x:f>
        <x:v>0.18000000000000005</x:v>
      </x:c>
      <x:c r="I1691" s="14" t="n">
        <x:f>1-G1691-H1691</x:f>
        <x:v>0.6799999999999999</x:v>
      </x:c>
      <x:c r="J1691" s="2" t="n">
        <x:f>MAX(1,ROUND('기준스탯 72종'!D75-R1691-Z1691,0))</x:f>
        <x:v>5</x:v>
      </x:c>
      <x:c r="K1691" s="2" t="n">
        <x:f>MAX(1,ROUND('기준스탯 72종'!E75-S1691-AA1691,0))</x:f>
        <x:v>5</x:v>
      </x:c>
      <x:c r="L1691" s="2" t="n">
        <x:f>MAX(1,ROUND('기준스탯 72종'!F75-T1691-AB1691,0))</x:f>
        <x:v>5</x:v>
      </x:c>
      <x:c r="M1691" s="2" t="n">
        <x:f>MAX(1,ROUND('기준스탯 72종'!G75-U1691-AC1691,0))</x:f>
        <x:v>5</x:v>
      </x:c>
      <x:c r="N1691" s="2" t="n">
        <x:f>MAX(0,ROUND('기준스탯 72종'!H75-V1691-AD1691,0))</x:f>
        <x:v>2</x:v>
      </x:c>
      <x:c r="O1691" s="2" t="n">
        <x:f>MAX(0,ROUND('기준스탯 72종'!I75-W1691-AE1691,0))</x:f>
        <x:v>4</x:v>
      </x:c>
      <x:c r="P1691" s="2" t="n">
        <x:f>MAX(0,ROUND('기준스탯 72종'!J75-X1691-AF1691,0))</x:f>
        <x:v>3</x:v>
      </x:c>
      <x:c r="Q1691" s="2" t="n">
        <x:f>MAX(0,ROUND('기준스탯 72종'!K75-Y1691-AG1691,0))</x:f>
        <x:v>2</x:v>
      </x:c>
      <x:c r="R1691" s="15" t="n">
        <x:f>'기준스탯 72종'!D75*G1691</x:f>
        <x:v>0.9799999999999999</x:v>
      </x:c>
      <x:c r="S1691" s="15" t="n">
        <x:f>'기준스탯 72종'!E75*G1691</x:f>
        <x:v>0.9799999999999999</x:v>
      </x:c>
      <x:c r="T1691" s="15" t="n">
        <x:f>'기준스탯 72종'!F75*G1691</x:f>
        <x:v>0.9799999999999999</x:v>
      </x:c>
      <x:c r="U1691" s="15" t="n">
        <x:f>'기준스탯 72종'!G75*G1691</x:f>
        <x:v>1.1199999999999999</x:v>
      </x:c>
      <x:c r="V1691" s="15" t="n">
        <x:f>'기준스탯 72종'!H75*G1691</x:f>
        <x:v>0.41999999999999993</x:v>
      </x:c>
      <x:c r="W1691" s="15" t="n">
        <x:f>'기준스탯 72종'!I75*G1691</x:f>
        <x:v>0.8399999999999999</x:v>
      </x:c>
      <x:c r="X1691" s="15" t="n">
        <x:f>'기준스탯 72종'!J75*G1691</x:f>
        <x:v>0.5599999999999999</x:v>
      </x:c>
      <x:c r="Y1691" s="15" t="n">
        <x:f>'기준스탯 72종'!K75*G1691</x:f>
        <x:v>0.41999999999999993</x:v>
      </x:c>
      <x:c r="Z1691" s="15" t="n">
        <x:f>'기준스탯 72종'!D75*H1691</x:f>
        <x:v>1.2600000000000002</x:v>
      </x:c>
      <x:c r="AA1691" s="15" t="n">
        <x:f>'기준스탯 72종'!E75*H1691</x:f>
        <x:v>1.2600000000000002</x:v>
      </x:c>
      <x:c r="AB1691" s="15" t="n">
        <x:f>'기준스탯 72종'!F75*H1691</x:f>
        <x:v>1.2600000000000002</x:v>
      </x:c>
      <x:c r="AC1691" s="15" t="n">
        <x:f>'기준스탯 72종'!G75*H1691</x:f>
        <x:v>1.4400000000000004</x:v>
      </x:c>
      <x:c r="AD1691" s="15" t="n">
        <x:f>'기준스탯 72종'!H75*H1691</x:f>
        <x:v>0.5400000000000001</x:v>
      </x:c>
      <x:c r="AE1691" s="15" t="n">
        <x:f>'기준스탯 72종'!I75*H1691</x:f>
        <x:v>1.0800000000000003</x:v>
      </x:c>
      <x:c r="AF1691" s="15" t="n">
        <x:f>'기준스탯 72종'!J75*H1691</x:f>
        <x:v>0.7200000000000002</x:v>
      </x:c>
      <x:c r="AG1691" s="15" t="n">
        <x:f>'기준스탯 72종'!K75*H1691</x:f>
        <x:v>0.5400000000000001</x:v>
      </x:c>
    </x:row>
    <x:row r="1692" ht="28" customHeight="1">
      <x:c r="A1692" s="2" t="n">
        <x:v>1685</x:v>
      </x:c>
      <x:c r="B1692" s="2" t="n">
        <x:v>68</x:v>
      </x:c>
      <x:c r="C1692" s="2" t="str">
        <x:v>물고기자리</x:v>
      </x:c>
      <x:c r="D1692" s="2" t="str">
        <x:v>마도사</x:v>
      </x:c>
      <x:c r="E1692" s="2" t="n">
        <x:v>5</x:v>
      </x:c>
      <x:c r="F1692" s="2" t="n">
        <x:v>2</x:v>
      </x:c>
      <x:c r="G1692" s="14" t="n">
        <x:f>('레벨 계산식'!$E$4-E1692)*'레벨 계산식'!$B$5</x:f>
        <x:v>0</x:v>
      </x:c>
      <x:c r="H1692" s="14" t="n">
        <x:f>('등급 계산식'!$E$4-F1692)*'등급 계산식'!$B$5</x:f>
        <x:v>0.18000000000000005</x:v>
      </x:c>
      <x:c r="I1692" s="14" t="n">
        <x:f>1-G1692-H1692</x:f>
        <x:v>0.82</x:v>
      </x:c>
      <x:c r="J1692" s="2" t="n">
        <x:f>MAX(1,ROUND('기준스탯 72종'!D75-R1692-Z1692,0))</x:f>
        <x:v>6</x:v>
      </x:c>
      <x:c r="K1692" s="2" t="n">
        <x:f>MAX(1,ROUND('기준스탯 72종'!E75-S1692-AA1692,0))</x:f>
        <x:v>6</x:v>
      </x:c>
      <x:c r="L1692" s="2" t="n">
        <x:f>MAX(1,ROUND('기준스탯 72종'!F75-T1692-AB1692,0))</x:f>
        <x:v>6</x:v>
      </x:c>
      <x:c r="M1692" s="2" t="n">
        <x:f>MAX(1,ROUND('기준스탯 72종'!G75-U1692-AC1692,0))</x:f>
        <x:v>7</x:v>
      </x:c>
      <x:c r="N1692" s="2" t="n">
        <x:f>MAX(0,ROUND('기준스탯 72종'!H75-V1692-AD1692,0))</x:f>
        <x:v>2</x:v>
      </x:c>
      <x:c r="O1692" s="2" t="n">
        <x:f>MAX(0,ROUND('기준스탯 72종'!I75-W1692-AE1692,0))</x:f>
        <x:v>5</x:v>
      </x:c>
      <x:c r="P1692" s="2" t="n">
        <x:f>MAX(0,ROUND('기준스탯 72종'!J75-X1692-AF1692,0))</x:f>
        <x:v>3</x:v>
      </x:c>
      <x:c r="Q1692" s="2" t="n">
        <x:f>MAX(0,ROUND('기준스탯 72종'!K75-Y1692-AG1692,0))</x:f>
        <x:v>2</x:v>
      </x:c>
      <x:c r="R1692" s="15" t="n">
        <x:f>'기준스탯 72종'!D75*G1692</x:f>
        <x:v>0</x:v>
      </x:c>
      <x:c r="S1692" s="15" t="n">
        <x:f>'기준스탯 72종'!E75*G1692</x:f>
        <x:v>0</x:v>
      </x:c>
      <x:c r="T1692" s="15" t="n">
        <x:f>'기준스탯 72종'!F75*G1692</x:f>
        <x:v>0</x:v>
      </x:c>
      <x:c r="U1692" s="15" t="n">
        <x:f>'기준스탯 72종'!G75*G1692</x:f>
        <x:v>0</x:v>
      </x:c>
      <x:c r="V1692" s="15" t="n">
        <x:f>'기준스탯 72종'!H75*G1692</x:f>
        <x:v>0</x:v>
      </x:c>
      <x:c r="W1692" s="15" t="n">
        <x:f>'기준스탯 72종'!I75*G1692</x:f>
        <x:v>0</x:v>
      </x:c>
      <x:c r="X1692" s="15" t="n">
        <x:f>'기준스탯 72종'!J75*G1692</x:f>
        <x:v>0</x:v>
      </x:c>
      <x:c r="Y1692" s="15" t="n">
        <x:f>'기준스탯 72종'!K75*G1692</x:f>
        <x:v>0</x:v>
      </x:c>
      <x:c r="Z1692" s="15" t="n">
        <x:f>'기준스탯 72종'!D75*H1692</x:f>
        <x:v>1.2600000000000002</x:v>
      </x:c>
      <x:c r="AA1692" s="15" t="n">
        <x:f>'기준스탯 72종'!E75*H1692</x:f>
        <x:v>1.2600000000000002</x:v>
      </x:c>
      <x:c r="AB1692" s="15" t="n">
        <x:f>'기준스탯 72종'!F75*H1692</x:f>
        <x:v>1.2600000000000002</x:v>
      </x:c>
      <x:c r="AC1692" s="15" t="n">
        <x:f>'기준스탯 72종'!G75*H1692</x:f>
        <x:v>1.4400000000000004</x:v>
      </x:c>
      <x:c r="AD1692" s="15" t="n">
        <x:f>'기준스탯 72종'!H75*H1692</x:f>
        <x:v>0.5400000000000001</x:v>
      </x:c>
      <x:c r="AE1692" s="15" t="n">
        <x:f>'기준스탯 72종'!I75*H1692</x:f>
        <x:v>1.0800000000000003</x:v>
      </x:c>
      <x:c r="AF1692" s="15" t="n">
        <x:f>'기준스탯 72종'!J75*H1692</x:f>
        <x:v>0.7200000000000002</x:v>
      </x:c>
      <x:c r="AG1692" s="15" t="n">
        <x:f>'기준스탯 72종'!K75*H1692</x:f>
        <x:v>0.5400000000000001</x:v>
      </x:c>
    </x:row>
    <x:row r="1693" ht="28" customHeight="1">
      <x:c r="A1693" s="2" t="n">
        <x:v>1686</x:v>
      </x:c>
      <x:c r="B1693" s="2" t="n">
        <x:v>68</x:v>
      </x:c>
      <x:c r="C1693" s="2" t="str">
        <x:v>물고기자리</x:v>
      </x:c>
      <x:c r="D1693" s="2" t="str">
        <x:v>마도사</x:v>
      </x:c>
      <x:c r="E1693" s="2" t="n">
        <x:v>1</x:v>
      </x:c>
      <x:c r="F1693" s="2" t="n">
        <x:v>3</x:v>
      </x:c>
      <x:c r="G1693" s="14" t="n">
        <x:f>('레벨 계산식'!$E$4-E1693)*'레벨 계산식'!$B$5</x:f>
        <x:v>0.5599999999999999</x:v>
      </x:c>
      <x:c r="H1693" s="14" t="n">
        <x:f>('등급 계산식'!$E$4-F1693)*'등급 계산식'!$B$5</x:f>
        <x:v>0.12000000000000002</x:v>
      </x:c>
      <x:c r="I1693" s="14" t="n">
        <x:f>1-G1693-H1693</x:f>
        <x:v>0.32000000000000006</x:v>
      </x:c>
      <x:c r="J1693" s="2" t="n">
        <x:f>MAX(1,ROUND('기준스탯 72종'!D75-R1693-Z1693,0))</x:f>
        <x:v>2</x:v>
      </x:c>
      <x:c r="K1693" s="2" t="n">
        <x:f>MAX(1,ROUND('기준스탯 72종'!E75-S1693-AA1693,0))</x:f>
        <x:v>2</x:v>
      </x:c>
      <x:c r="L1693" s="2" t="n">
        <x:f>MAX(1,ROUND('기준스탯 72종'!F75-T1693-AB1693,0))</x:f>
        <x:v>2</x:v>
      </x:c>
      <x:c r="M1693" s="2" t="n">
        <x:f>MAX(1,ROUND('기준스탯 72종'!G75-U1693-AC1693,0))</x:f>
        <x:v>3</x:v>
      </x:c>
      <x:c r="N1693" s="2" t="n">
        <x:f>MAX(0,ROUND('기준스탯 72종'!H75-V1693-AD1693,0))</x:f>
        <x:v>1</x:v>
      </x:c>
      <x:c r="O1693" s="2" t="n">
        <x:f>MAX(0,ROUND('기준스탯 72종'!I75-W1693-AE1693,0))</x:f>
        <x:v>2</x:v>
      </x:c>
      <x:c r="P1693" s="2" t="n">
        <x:f>MAX(0,ROUND('기준스탯 72종'!J75-X1693-AF1693,0))</x:f>
        <x:v>1</x:v>
      </x:c>
      <x:c r="Q1693" s="2" t="n">
        <x:f>MAX(0,ROUND('기준스탯 72종'!K75-Y1693-AG1693,0))</x:f>
        <x:v>1</x:v>
      </x:c>
      <x:c r="R1693" s="15" t="n">
        <x:f>'기준스탯 72종'!D75*G1693</x:f>
        <x:v>3.9199999999999995</x:v>
      </x:c>
      <x:c r="S1693" s="15" t="n">
        <x:f>'기준스탯 72종'!E75*G1693</x:f>
        <x:v>3.9199999999999995</x:v>
      </x:c>
      <x:c r="T1693" s="15" t="n">
        <x:f>'기준스탯 72종'!F75*G1693</x:f>
        <x:v>3.9199999999999995</x:v>
      </x:c>
      <x:c r="U1693" s="15" t="n">
        <x:f>'기준스탯 72종'!G75*G1693</x:f>
        <x:v>4.4799999999999995</x:v>
      </x:c>
      <x:c r="V1693" s="15" t="n">
        <x:f>'기준스탯 72종'!H75*G1693</x:f>
        <x:v>1.6799999999999997</x:v>
      </x:c>
      <x:c r="W1693" s="15" t="n">
        <x:f>'기준스탯 72종'!I75*G1693</x:f>
        <x:v>3.3599999999999994</x:v>
      </x:c>
      <x:c r="X1693" s="15" t="n">
        <x:f>'기준스탯 72종'!J75*G1693</x:f>
        <x:v>2.2399999999999998</x:v>
      </x:c>
      <x:c r="Y1693" s="15" t="n">
        <x:f>'기준스탯 72종'!K75*G1693</x:f>
        <x:v>1.6799999999999997</x:v>
      </x:c>
      <x:c r="Z1693" s="15" t="n">
        <x:f>'기준스탯 72종'!D75*H1693</x:f>
        <x:v>0.8400000000000002</x:v>
      </x:c>
      <x:c r="AA1693" s="15" t="n">
        <x:f>'기준스탯 72종'!E75*H1693</x:f>
        <x:v>0.8400000000000002</x:v>
      </x:c>
      <x:c r="AB1693" s="15" t="n">
        <x:f>'기준스탯 72종'!F75*H1693</x:f>
        <x:v>0.8400000000000002</x:v>
      </x:c>
      <x:c r="AC1693" s="15" t="n">
        <x:f>'기준스탯 72종'!G75*H1693</x:f>
        <x:v>0.9600000000000002</x:v>
      </x:c>
      <x:c r="AD1693" s="15" t="n">
        <x:f>'기준스탯 72종'!H75*H1693</x:f>
        <x:v>0.3600000000000001</x:v>
      </x:c>
      <x:c r="AE1693" s="15" t="n">
        <x:f>'기준스탯 72종'!I75*H1693</x:f>
        <x:v>0.7200000000000002</x:v>
      </x:c>
      <x:c r="AF1693" s="15" t="n">
        <x:f>'기준스탯 72종'!J75*H1693</x:f>
        <x:v>0.4800000000000001</x:v>
      </x:c>
      <x:c r="AG1693" s="15" t="n">
        <x:f>'기준스탯 72종'!K75*H1693</x:f>
        <x:v>0.3600000000000001</x:v>
      </x:c>
    </x:row>
    <x:row r="1694" ht="28" customHeight="1">
      <x:c r="A1694" s="2" t="n">
        <x:v>1687</x:v>
      </x:c>
      <x:c r="B1694" s="2" t="n">
        <x:v>68</x:v>
      </x:c>
      <x:c r="C1694" s="2" t="str">
        <x:v>물고기자리</x:v>
      </x:c>
      <x:c r="D1694" s="2" t="str">
        <x:v>마도사</x:v>
      </x:c>
      <x:c r="E1694" s="2" t="n">
        <x:v>2</x:v>
      </x:c>
      <x:c r="F1694" s="2" t="n">
        <x:v>3</x:v>
      </x:c>
      <x:c r="G1694" s="14" t="n">
        <x:f>('레벨 계산식'!$E$4-E1694)*'레벨 계산식'!$B$5</x:f>
        <x:v>0.41999999999999993</x:v>
      </x:c>
      <x:c r="H1694" s="14" t="n">
        <x:f>('등급 계산식'!$E$4-F1694)*'등급 계산식'!$B$5</x:f>
        <x:v>0.12000000000000002</x:v>
      </x:c>
      <x:c r="I1694" s="14" t="n">
        <x:f>1-G1694-H1694</x:f>
        <x:v>0.4600000000000001</x:v>
      </x:c>
      <x:c r="J1694" s="2" t="n">
        <x:f>MAX(1,ROUND('기준스탯 72종'!D75-R1694-Z1694,0))</x:f>
        <x:v>3</x:v>
      </x:c>
      <x:c r="K1694" s="2" t="n">
        <x:f>MAX(1,ROUND('기준스탯 72종'!E75-S1694-AA1694,0))</x:f>
        <x:v>3</x:v>
      </x:c>
      <x:c r="L1694" s="2" t="n">
        <x:f>MAX(1,ROUND('기준스탯 72종'!F75-T1694-AB1694,0))</x:f>
        <x:v>3</x:v>
      </x:c>
      <x:c r="M1694" s="2" t="n">
        <x:f>MAX(1,ROUND('기준스탯 72종'!G75-U1694-AC1694,0))</x:f>
        <x:v>4</x:v>
      </x:c>
      <x:c r="N1694" s="2" t="n">
        <x:f>MAX(0,ROUND('기준스탯 72종'!H75-V1694-AD1694,0))</x:f>
        <x:v>1</x:v>
      </x:c>
      <x:c r="O1694" s="2" t="n">
        <x:f>MAX(0,ROUND('기준스탯 72종'!I75-W1694-AE1694,0))</x:f>
        <x:v>3</x:v>
      </x:c>
      <x:c r="P1694" s="2" t="n">
        <x:f>MAX(0,ROUND('기준스탯 72종'!J75-X1694-AF1694,0))</x:f>
        <x:v>2</x:v>
      </x:c>
      <x:c r="Q1694" s="2" t="n">
        <x:f>MAX(0,ROUND('기준스탯 72종'!K75-Y1694-AG1694,0))</x:f>
        <x:v>1</x:v>
      </x:c>
      <x:c r="R1694" s="15" t="n">
        <x:f>'기준스탯 72종'!D75*G1694</x:f>
        <x:v>2.9399999999999995</x:v>
      </x:c>
      <x:c r="S1694" s="15" t="n">
        <x:f>'기준스탯 72종'!E75*G1694</x:f>
        <x:v>2.9399999999999995</x:v>
      </x:c>
      <x:c r="T1694" s="15" t="n">
        <x:f>'기준스탯 72종'!F75*G1694</x:f>
        <x:v>2.9399999999999995</x:v>
      </x:c>
      <x:c r="U1694" s="15" t="n">
        <x:f>'기준스탯 72종'!G75*G1694</x:f>
        <x:v>3.3599999999999994</x:v>
      </x:c>
      <x:c r="V1694" s="15" t="n">
        <x:f>'기준스탯 72종'!H75*G1694</x:f>
        <x:v>1.2599999999999998</x:v>
      </x:c>
      <x:c r="W1694" s="15" t="n">
        <x:f>'기준스탯 72종'!I75*G1694</x:f>
        <x:v>2.5199999999999996</x:v>
      </x:c>
      <x:c r="X1694" s="15" t="n">
        <x:f>'기준스탯 72종'!J75*G1694</x:f>
        <x:v>1.6799999999999997</x:v>
      </x:c>
      <x:c r="Y1694" s="15" t="n">
        <x:f>'기준스탯 72종'!K75*G1694</x:f>
        <x:v>1.2599999999999998</x:v>
      </x:c>
      <x:c r="Z1694" s="15" t="n">
        <x:f>'기준스탯 72종'!D75*H1694</x:f>
        <x:v>0.8400000000000002</x:v>
      </x:c>
      <x:c r="AA1694" s="15" t="n">
        <x:f>'기준스탯 72종'!E75*H1694</x:f>
        <x:v>0.8400000000000002</x:v>
      </x:c>
      <x:c r="AB1694" s="15" t="n">
        <x:f>'기준스탯 72종'!F75*H1694</x:f>
        <x:v>0.8400000000000002</x:v>
      </x:c>
      <x:c r="AC1694" s="15" t="n">
        <x:f>'기준스탯 72종'!G75*H1694</x:f>
        <x:v>0.9600000000000002</x:v>
      </x:c>
      <x:c r="AD1694" s="15" t="n">
        <x:f>'기준스탯 72종'!H75*H1694</x:f>
        <x:v>0.3600000000000001</x:v>
      </x:c>
      <x:c r="AE1694" s="15" t="n">
        <x:f>'기준스탯 72종'!I75*H1694</x:f>
        <x:v>0.7200000000000002</x:v>
      </x:c>
      <x:c r="AF1694" s="15" t="n">
        <x:f>'기준스탯 72종'!J75*H1694</x:f>
        <x:v>0.4800000000000001</x:v>
      </x:c>
      <x:c r="AG1694" s="15" t="n">
        <x:f>'기준스탯 72종'!K75*H1694</x:f>
        <x:v>0.3600000000000001</x:v>
      </x:c>
    </x:row>
    <x:row r="1695" ht="28" customHeight="1">
      <x:c r="A1695" s="2" t="n">
        <x:v>1688</x:v>
      </x:c>
      <x:c r="B1695" s="2" t="n">
        <x:v>68</x:v>
      </x:c>
      <x:c r="C1695" s="2" t="str">
        <x:v>물고기자리</x:v>
      </x:c>
      <x:c r="D1695" s="2" t="str">
        <x:v>마도사</x:v>
      </x:c>
      <x:c r="E1695" s="2" t="n">
        <x:v>3</x:v>
      </x:c>
      <x:c r="F1695" s="2" t="n">
        <x:v>3</x:v>
      </x:c>
      <x:c r="G1695" s="14" t="n">
        <x:f>('레벨 계산식'!$E$4-E1695)*'레벨 계산식'!$B$5</x:f>
        <x:v>0.27999999999999997</x:v>
      </x:c>
      <x:c r="H1695" s="14" t="n">
        <x:f>('등급 계산식'!$E$4-F1695)*'등급 계산식'!$B$5</x:f>
        <x:v>0.12000000000000002</x:v>
      </x:c>
      <x:c r="I1695" s="14" t="n">
        <x:f>1-G1695-H1695</x:f>
        <x:v>0.6</x:v>
      </x:c>
      <x:c r="J1695" s="2" t="n">
        <x:f>MAX(1,ROUND('기준스탯 72종'!D75-R1695-Z1695,0))</x:f>
        <x:v>4</x:v>
      </x:c>
      <x:c r="K1695" s="2" t="n">
        <x:f>MAX(1,ROUND('기준스탯 72종'!E75-S1695-AA1695,0))</x:f>
        <x:v>4</x:v>
      </x:c>
      <x:c r="L1695" s="2" t="n">
        <x:f>MAX(1,ROUND('기준스탯 72종'!F75-T1695-AB1695,0))</x:f>
        <x:v>4</x:v>
      </x:c>
      <x:c r="M1695" s="2" t="n">
        <x:f>MAX(1,ROUND('기준스탯 72종'!G75-U1695-AC1695,0))</x:f>
        <x:v>5</x:v>
      </x:c>
      <x:c r="N1695" s="2" t="n">
        <x:f>MAX(0,ROUND('기준스탯 72종'!H75-V1695-AD1695,0))</x:f>
        <x:v>2</x:v>
      </x:c>
      <x:c r="O1695" s="2" t="n">
        <x:f>MAX(0,ROUND('기준스탯 72종'!I75-W1695-AE1695,0))</x:f>
        <x:v>4</x:v>
      </x:c>
      <x:c r="P1695" s="2" t="n">
        <x:f>MAX(0,ROUND('기준스탯 72종'!J75-X1695-AF1695,0))</x:f>
        <x:v>2</x:v>
      </x:c>
      <x:c r="Q1695" s="2" t="n">
        <x:f>MAX(0,ROUND('기준스탯 72종'!K75-Y1695-AG1695,0))</x:f>
        <x:v>2</x:v>
      </x:c>
      <x:c r="R1695" s="15" t="n">
        <x:f>'기준스탯 72종'!D75*G1695</x:f>
        <x:v>1.9599999999999997</x:v>
      </x:c>
      <x:c r="S1695" s="15" t="n">
        <x:f>'기준스탯 72종'!E75*G1695</x:f>
        <x:v>1.9599999999999997</x:v>
      </x:c>
      <x:c r="T1695" s="15" t="n">
        <x:f>'기준스탯 72종'!F75*G1695</x:f>
        <x:v>1.9599999999999997</x:v>
      </x:c>
      <x:c r="U1695" s="15" t="n">
        <x:f>'기준스탯 72종'!G75*G1695</x:f>
        <x:v>2.2399999999999998</x:v>
      </x:c>
      <x:c r="V1695" s="15" t="n">
        <x:f>'기준스탯 72종'!H75*G1695</x:f>
        <x:v>0.8399999999999999</x:v>
      </x:c>
      <x:c r="W1695" s="15" t="n">
        <x:f>'기준스탯 72종'!I75*G1695</x:f>
        <x:v>1.6799999999999997</x:v>
      </x:c>
      <x:c r="X1695" s="15" t="n">
        <x:f>'기준스탯 72종'!J75*G1695</x:f>
        <x:v>1.1199999999999999</x:v>
      </x:c>
      <x:c r="Y1695" s="15" t="n">
        <x:f>'기준스탯 72종'!K75*G1695</x:f>
        <x:v>0.8399999999999999</x:v>
      </x:c>
      <x:c r="Z1695" s="15" t="n">
        <x:f>'기준스탯 72종'!D75*H1695</x:f>
        <x:v>0.8400000000000002</x:v>
      </x:c>
      <x:c r="AA1695" s="15" t="n">
        <x:f>'기준스탯 72종'!E75*H1695</x:f>
        <x:v>0.8400000000000002</x:v>
      </x:c>
      <x:c r="AB1695" s="15" t="n">
        <x:f>'기준스탯 72종'!F75*H1695</x:f>
        <x:v>0.8400000000000002</x:v>
      </x:c>
      <x:c r="AC1695" s="15" t="n">
        <x:f>'기준스탯 72종'!G75*H1695</x:f>
        <x:v>0.9600000000000002</x:v>
      </x:c>
      <x:c r="AD1695" s="15" t="n">
        <x:f>'기준스탯 72종'!H75*H1695</x:f>
        <x:v>0.3600000000000001</x:v>
      </x:c>
      <x:c r="AE1695" s="15" t="n">
        <x:f>'기준스탯 72종'!I75*H1695</x:f>
        <x:v>0.7200000000000002</x:v>
      </x:c>
      <x:c r="AF1695" s="15" t="n">
        <x:f>'기준스탯 72종'!J75*H1695</x:f>
        <x:v>0.4800000000000001</x:v>
      </x:c>
      <x:c r="AG1695" s="15" t="n">
        <x:f>'기준스탯 72종'!K75*H1695</x:f>
        <x:v>0.3600000000000001</x:v>
      </x:c>
    </x:row>
    <x:row r="1696" ht="28" customHeight="1">
      <x:c r="A1696" s="2" t="n">
        <x:v>1689</x:v>
      </x:c>
      <x:c r="B1696" s="2" t="n">
        <x:v>68</x:v>
      </x:c>
      <x:c r="C1696" s="2" t="str">
        <x:v>물고기자리</x:v>
      </x:c>
      <x:c r="D1696" s="2" t="str">
        <x:v>마도사</x:v>
      </x:c>
      <x:c r="E1696" s="2" t="n">
        <x:v>4</x:v>
      </x:c>
      <x:c r="F1696" s="2" t="n">
        <x:v>3</x:v>
      </x:c>
      <x:c r="G1696" s="14" t="n">
        <x:f>('레벨 계산식'!$E$4-E1696)*'레벨 계산식'!$B$5</x:f>
        <x:v>0.13999999999999999</x:v>
      </x:c>
      <x:c r="H1696" s="14" t="n">
        <x:f>('등급 계산식'!$E$4-F1696)*'등급 계산식'!$B$5</x:f>
        <x:v>0.12000000000000002</x:v>
      </x:c>
      <x:c r="I1696" s="14" t="n">
        <x:f>1-G1696-H1696</x:f>
        <x:v>0.74</x:v>
      </x:c>
      <x:c r="J1696" s="2" t="n">
        <x:f>MAX(1,ROUND('기준스탯 72종'!D75-R1696-Z1696,0))</x:f>
        <x:v>5</x:v>
      </x:c>
      <x:c r="K1696" s="2" t="n">
        <x:f>MAX(1,ROUND('기준스탯 72종'!E75-S1696-AA1696,0))</x:f>
        <x:v>5</x:v>
      </x:c>
      <x:c r="L1696" s="2" t="n">
        <x:f>MAX(1,ROUND('기준스탯 72종'!F75-T1696-AB1696,0))</x:f>
        <x:v>5</x:v>
      </x:c>
      <x:c r="M1696" s="2" t="n">
        <x:f>MAX(1,ROUND('기준스탯 72종'!G75-U1696-AC1696,0))</x:f>
        <x:v>6</x:v>
      </x:c>
      <x:c r="N1696" s="2" t="n">
        <x:f>MAX(0,ROUND('기준스탯 72종'!H75-V1696-AD1696,0))</x:f>
        <x:v>2</x:v>
      </x:c>
      <x:c r="O1696" s="2" t="n">
        <x:f>MAX(0,ROUND('기준스탯 72종'!I75-W1696-AE1696,0))</x:f>
        <x:v>4</x:v>
      </x:c>
      <x:c r="P1696" s="2" t="n">
        <x:f>MAX(0,ROUND('기준스탯 72종'!J75-X1696-AF1696,0))</x:f>
        <x:v>3</x:v>
      </x:c>
      <x:c r="Q1696" s="2" t="n">
        <x:f>MAX(0,ROUND('기준스탯 72종'!K75-Y1696-AG1696,0))</x:f>
        <x:v>2</x:v>
      </x:c>
      <x:c r="R1696" s="15" t="n">
        <x:f>'기준스탯 72종'!D75*G1696</x:f>
        <x:v>0.9799999999999999</x:v>
      </x:c>
      <x:c r="S1696" s="15" t="n">
        <x:f>'기준스탯 72종'!E75*G1696</x:f>
        <x:v>0.9799999999999999</x:v>
      </x:c>
      <x:c r="T1696" s="15" t="n">
        <x:f>'기준스탯 72종'!F75*G1696</x:f>
        <x:v>0.9799999999999999</x:v>
      </x:c>
      <x:c r="U1696" s="15" t="n">
        <x:f>'기준스탯 72종'!G75*G1696</x:f>
        <x:v>1.1199999999999999</x:v>
      </x:c>
      <x:c r="V1696" s="15" t="n">
        <x:f>'기준스탯 72종'!H75*G1696</x:f>
        <x:v>0.41999999999999993</x:v>
      </x:c>
      <x:c r="W1696" s="15" t="n">
        <x:f>'기준스탯 72종'!I75*G1696</x:f>
        <x:v>0.8399999999999999</x:v>
      </x:c>
      <x:c r="X1696" s="15" t="n">
        <x:f>'기준스탯 72종'!J75*G1696</x:f>
        <x:v>0.5599999999999999</x:v>
      </x:c>
      <x:c r="Y1696" s="15" t="n">
        <x:f>'기준스탯 72종'!K75*G1696</x:f>
        <x:v>0.41999999999999993</x:v>
      </x:c>
      <x:c r="Z1696" s="15" t="n">
        <x:f>'기준스탯 72종'!D75*H1696</x:f>
        <x:v>0.8400000000000002</x:v>
      </x:c>
      <x:c r="AA1696" s="15" t="n">
        <x:f>'기준스탯 72종'!E75*H1696</x:f>
        <x:v>0.8400000000000002</x:v>
      </x:c>
      <x:c r="AB1696" s="15" t="n">
        <x:f>'기준스탯 72종'!F75*H1696</x:f>
        <x:v>0.8400000000000002</x:v>
      </x:c>
      <x:c r="AC1696" s="15" t="n">
        <x:f>'기준스탯 72종'!G75*H1696</x:f>
        <x:v>0.9600000000000002</x:v>
      </x:c>
      <x:c r="AD1696" s="15" t="n">
        <x:f>'기준스탯 72종'!H75*H1696</x:f>
        <x:v>0.3600000000000001</x:v>
      </x:c>
      <x:c r="AE1696" s="15" t="n">
        <x:f>'기준스탯 72종'!I75*H1696</x:f>
        <x:v>0.7200000000000002</x:v>
      </x:c>
      <x:c r="AF1696" s="15" t="n">
        <x:f>'기준스탯 72종'!J75*H1696</x:f>
        <x:v>0.4800000000000001</x:v>
      </x:c>
      <x:c r="AG1696" s="15" t="n">
        <x:f>'기준스탯 72종'!K75*H1696</x:f>
        <x:v>0.3600000000000001</x:v>
      </x:c>
    </x:row>
    <x:row r="1697" ht="28" customHeight="1">
      <x:c r="A1697" s="2" t="n">
        <x:v>1690</x:v>
      </x:c>
      <x:c r="B1697" s="2" t="n">
        <x:v>68</x:v>
      </x:c>
      <x:c r="C1697" s="2" t="str">
        <x:v>물고기자리</x:v>
      </x:c>
      <x:c r="D1697" s="2" t="str">
        <x:v>마도사</x:v>
      </x:c>
      <x:c r="E1697" s="2" t="n">
        <x:v>5</x:v>
      </x:c>
      <x:c r="F1697" s="2" t="n">
        <x:v>3</x:v>
      </x:c>
      <x:c r="G1697" s="14" t="n">
        <x:f>('레벨 계산식'!$E$4-E1697)*'레벨 계산식'!$B$5</x:f>
        <x:v>0</x:v>
      </x:c>
      <x:c r="H1697" s="14" t="n">
        <x:f>('등급 계산식'!$E$4-F1697)*'등급 계산식'!$B$5</x:f>
        <x:v>0.12000000000000002</x:v>
      </x:c>
      <x:c r="I1697" s="14" t="n">
        <x:f>1-G1697-H1697</x:f>
        <x:v>0.88</x:v>
      </x:c>
      <x:c r="J1697" s="2" t="n">
        <x:f>MAX(1,ROUND('기준스탯 72종'!D75-R1697-Z1697,0))</x:f>
        <x:v>6</x:v>
      </x:c>
      <x:c r="K1697" s="2" t="n">
        <x:f>MAX(1,ROUND('기준스탯 72종'!E75-S1697-AA1697,0))</x:f>
        <x:v>6</x:v>
      </x:c>
      <x:c r="L1697" s="2" t="n">
        <x:f>MAX(1,ROUND('기준스탯 72종'!F75-T1697-AB1697,0))</x:f>
        <x:v>6</x:v>
      </x:c>
      <x:c r="M1697" s="2" t="n">
        <x:f>MAX(1,ROUND('기준스탯 72종'!G75-U1697-AC1697,0))</x:f>
        <x:v>7</x:v>
      </x:c>
      <x:c r="N1697" s="2" t="n">
        <x:f>MAX(0,ROUND('기준스탯 72종'!H75-V1697-AD1697,0))</x:f>
        <x:v>3</x:v>
      </x:c>
      <x:c r="O1697" s="2" t="n">
        <x:f>MAX(0,ROUND('기준스탯 72종'!I75-W1697-AE1697,0))</x:f>
        <x:v>5</x:v>
      </x:c>
      <x:c r="P1697" s="2" t="n">
        <x:f>MAX(0,ROUND('기준스탯 72종'!J75-X1697-AF1697,0))</x:f>
        <x:v>4</x:v>
      </x:c>
      <x:c r="Q1697" s="2" t="n">
        <x:f>MAX(0,ROUND('기준스탯 72종'!K75-Y1697-AG1697,0))</x:f>
        <x:v>3</x:v>
      </x:c>
      <x:c r="R1697" s="15" t="n">
        <x:f>'기준스탯 72종'!D75*G1697</x:f>
        <x:v>0</x:v>
      </x:c>
      <x:c r="S1697" s="15" t="n">
        <x:f>'기준스탯 72종'!E75*G1697</x:f>
        <x:v>0</x:v>
      </x:c>
      <x:c r="T1697" s="15" t="n">
        <x:f>'기준스탯 72종'!F75*G1697</x:f>
        <x:v>0</x:v>
      </x:c>
      <x:c r="U1697" s="15" t="n">
        <x:f>'기준스탯 72종'!G75*G1697</x:f>
        <x:v>0</x:v>
      </x:c>
      <x:c r="V1697" s="15" t="n">
        <x:f>'기준스탯 72종'!H75*G1697</x:f>
        <x:v>0</x:v>
      </x:c>
      <x:c r="W1697" s="15" t="n">
        <x:f>'기준스탯 72종'!I75*G1697</x:f>
        <x:v>0</x:v>
      </x:c>
      <x:c r="X1697" s="15" t="n">
        <x:f>'기준스탯 72종'!J75*G1697</x:f>
        <x:v>0</x:v>
      </x:c>
      <x:c r="Y1697" s="15" t="n">
        <x:f>'기준스탯 72종'!K75*G1697</x:f>
        <x:v>0</x:v>
      </x:c>
      <x:c r="Z1697" s="15" t="n">
        <x:f>'기준스탯 72종'!D75*H1697</x:f>
        <x:v>0.8400000000000002</x:v>
      </x:c>
      <x:c r="AA1697" s="15" t="n">
        <x:f>'기준스탯 72종'!E75*H1697</x:f>
        <x:v>0.8400000000000002</x:v>
      </x:c>
      <x:c r="AB1697" s="15" t="n">
        <x:f>'기준스탯 72종'!F75*H1697</x:f>
        <x:v>0.8400000000000002</x:v>
      </x:c>
      <x:c r="AC1697" s="15" t="n">
        <x:f>'기준스탯 72종'!G75*H1697</x:f>
        <x:v>0.9600000000000002</x:v>
      </x:c>
      <x:c r="AD1697" s="15" t="n">
        <x:f>'기준스탯 72종'!H75*H1697</x:f>
        <x:v>0.3600000000000001</x:v>
      </x:c>
      <x:c r="AE1697" s="15" t="n">
        <x:f>'기준스탯 72종'!I75*H1697</x:f>
        <x:v>0.7200000000000002</x:v>
      </x:c>
      <x:c r="AF1697" s="15" t="n">
        <x:f>'기준스탯 72종'!J75*H1697</x:f>
        <x:v>0.4800000000000001</x:v>
      </x:c>
      <x:c r="AG1697" s="15" t="n">
        <x:f>'기준스탯 72종'!K75*H1697</x:f>
        <x:v>0.3600000000000001</x:v>
      </x:c>
    </x:row>
    <x:row r="1698" ht="28" customHeight="1">
      <x:c r="A1698" s="2" t="n">
        <x:v>1691</x:v>
      </x:c>
      <x:c r="B1698" s="2" t="n">
        <x:v>68</x:v>
      </x:c>
      <x:c r="C1698" s="2" t="str">
        <x:v>물고기자리</x:v>
      </x:c>
      <x:c r="D1698" s="2" t="str">
        <x:v>마도사</x:v>
      </x:c>
      <x:c r="E1698" s="2" t="n">
        <x:v>1</x:v>
      </x:c>
      <x:c r="F1698" s="2" t="n">
        <x:v>4</x:v>
      </x:c>
      <x:c r="G1698" s="14" t="n">
        <x:f>('레벨 계산식'!$E$4-E1698)*'레벨 계산식'!$B$5</x:f>
        <x:v>0.5599999999999999</x:v>
      </x:c>
      <x:c r="H1698" s="14" t="n">
        <x:f>('등급 계산식'!$E$4-F1698)*'등급 계산식'!$B$5</x:f>
        <x:v>0.06000000000000001</x:v>
      </x:c>
      <x:c r="I1698" s="14" t="n">
        <x:f>1-G1698-H1698</x:f>
        <x:v>0.38000000000000006</x:v>
      </x:c>
      <x:c r="J1698" s="2" t="n">
        <x:f>MAX(1,ROUND('기준스탯 72종'!D75-R1698-Z1698,0))</x:f>
        <x:v>3</x:v>
      </x:c>
      <x:c r="K1698" s="2" t="n">
        <x:f>MAX(1,ROUND('기준스탯 72종'!E75-S1698-AA1698,0))</x:f>
        <x:v>3</x:v>
      </x:c>
      <x:c r="L1698" s="2" t="n">
        <x:f>MAX(1,ROUND('기준스탯 72종'!F75-T1698-AB1698,0))</x:f>
        <x:v>3</x:v>
      </x:c>
      <x:c r="M1698" s="2" t="n">
        <x:f>MAX(1,ROUND('기준스탯 72종'!G75-U1698-AC1698,0))</x:f>
        <x:v>3</x:v>
      </x:c>
      <x:c r="N1698" s="2" t="n">
        <x:f>MAX(0,ROUND('기준스탯 72종'!H75-V1698-AD1698,0))</x:f>
        <x:v>1</x:v>
      </x:c>
      <x:c r="O1698" s="2" t="n">
        <x:f>MAX(0,ROUND('기준스탯 72종'!I75-W1698-AE1698,0))</x:f>
        <x:v>2</x:v>
      </x:c>
      <x:c r="P1698" s="2" t="n">
        <x:f>MAX(0,ROUND('기준스탯 72종'!J75-X1698-AF1698,0))</x:f>
        <x:v>2</x:v>
      </x:c>
      <x:c r="Q1698" s="2" t="n">
        <x:f>MAX(0,ROUND('기준스탯 72종'!K75-Y1698-AG1698,0))</x:f>
        <x:v>1</x:v>
      </x:c>
      <x:c r="R1698" s="15" t="n">
        <x:f>'기준스탯 72종'!D75*G1698</x:f>
        <x:v>3.9199999999999995</x:v>
      </x:c>
      <x:c r="S1698" s="15" t="n">
        <x:f>'기준스탯 72종'!E75*G1698</x:f>
        <x:v>3.9199999999999995</x:v>
      </x:c>
      <x:c r="T1698" s="15" t="n">
        <x:f>'기준스탯 72종'!F75*G1698</x:f>
        <x:v>3.9199999999999995</x:v>
      </x:c>
      <x:c r="U1698" s="15" t="n">
        <x:f>'기준스탯 72종'!G75*G1698</x:f>
        <x:v>4.4799999999999995</x:v>
      </x:c>
      <x:c r="V1698" s="15" t="n">
        <x:f>'기준스탯 72종'!H75*G1698</x:f>
        <x:v>1.6799999999999997</x:v>
      </x:c>
      <x:c r="W1698" s="15" t="n">
        <x:f>'기준스탯 72종'!I75*G1698</x:f>
        <x:v>3.3599999999999994</x:v>
      </x:c>
      <x:c r="X1698" s="15" t="n">
        <x:f>'기준스탯 72종'!J75*G1698</x:f>
        <x:v>2.2399999999999998</x:v>
      </x:c>
      <x:c r="Y1698" s="15" t="n">
        <x:f>'기준스탯 72종'!K75*G1698</x:f>
        <x:v>1.6799999999999997</x:v>
      </x:c>
      <x:c r="Z1698" s="15" t="n">
        <x:f>'기준스탯 72종'!D75*H1698</x:f>
        <x:v>0.4200000000000001</x:v>
      </x:c>
      <x:c r="AA1698" s="15" t="n">
        <x:f>'기준스탯 72종'!E75*H1698</x:f>
        <x:v>0.4200000000000001</x:v>
      </x:c>
      <x:c r="AB1698" s="15" t="n">
        <x:f>'기준스탯 72종'!F75*H1698</x:f>
        <x:v>0.4200000000000001</x:v>
      </x:c>
      <x:c r="AC1698" s="15" t="n">
        <x:f>'기준스탯 72종'!G75*H1698</x:f>
        <x:v>0.4800000000000001</x:v>
      </x:c>
      <x:c r="AD1698" s="15" t="n">
        <x:f>'기준스탯 72종'!H75*H1698</x:f>
        <x:v>0.18000000000000005</x:v>
      </x:c>
      <x:c r="AE1698" s="15" t="n">
        <x:f>'기준스탯 72종'!I75*H1698</x:f>
        <x:v>0.3600000000000001</x:v>
      </x:c>
      <x:c r="AF1698" s="15" t="n">
        <x:f>'기준스탯 72종'!J75*H1698</x:f>
        <x:v>0.24000000000000005</x:v>
      </x:c>
      <x:c r="AG1698" s="15" t="n">
        <x:f>'기준스탯 72종'!K75*H1698</x:f>
        <x:v>0.18000000000000005</x:v>
      </x:c>
    </x:row>
    <x:row r="1699" ht="28" customHeight="1">
      <x:c r="A1699" s="2" t="n">
        <x:v>1692</x:v>
      </x:c>
      <x:c r="B1699" s="2" t="n">
        <x:v>68</x:v>
      </x:c>
      <x:c r="C1699" s="2" t="str">
        <x:v>물고기자리</x:v>
      </x:c>
      <x:c r="D1699" s="2" t="str">
        <x:v>마도사</x:v>
      </x:c>
      <x:c r="E1699" s="2" t="n">
        <x:v>2</x:v>
      </x:c>
      <x:c r="F1699" s="2" t="n">
        <x:v>4</x:v>
      </x:c>
      <x:c r="G1699" s="14" t="n">
        <x:f>('레벨 계산식'!$E$4-E1699)*'레벨 계산식'!$B$5</x:f>
        <x:v>0.41999999999999993</x:v>
      </x:c>
      <x:c r="H1699" s="14" t="n">
        <x:f>('등급 계산식'!$E$4-F1699)*'등급 계산식'!$B$5</x:f>
        <x:v>0.06000000000000001</x:v>
      </x:c>
      <x:c r="I1699" s="14" t="n">
        <x:f>1-G1699-H1699</x:f>
        <x:v>0.52</x:v>
      </x:c>
      <x:c r="J1699" s="2" t="n">
        <x:f>MAX(1,ROUND('기준스탯 72종'!D75-R1699-Z1699,0))</x:f>
        <x:v>4</x:v>
      </x:c>
      <x:c r="K1699" s="2" t="n">
        <x:f>MAX(1,ROUND('기준스탯 72종'!E75-S1699-AA1699,0))</x:f>
        <x:v>4</x:v>
      </x:c>
      <x:c r="L1699" s="2" t="n">
        <x:f>MAX(1,ROUND('기준스탯 72종'!F75-T1699-AB1699,0))</x:f>
        <x:v>4</x:v>
      </x:c>
      <x:c r="M1699" s="2" t="n">
        <x:f>MAX(1,ROUND('기준스탯 72종'!G75-U1699-AC1699,0))</x:f>
        <x:v>4</x:v>
      </x:c>
      <x:c r="N1699" s="2" t="n">
        <x:f>MAX(0,ROUND('기준스탯 72종'!H75-V1699-AD1699,0))</x:f>
        <x:v>2</x:v>
      </x:c>
      <x:c r="O1699" s="2" t="n">
        <x:f>MAX(0,ROUND('기준스탯 72종'!I75-W1699-AE1699,0))</x:f>
        <x:v>3</x:v>
      </x:c>
      <x:c r="P1699" s="2" t="n">
        <x:f>MAX(0,ROUND('기준스탯 72종'!J75-X1699-AF1699,0))</x:f>
        <x:v>2</x:v>
      </x:c>
      <x:c r="Q1699" s="2" t="n">
        <x:f>MAX(0,ROUND('기준스탯 72종'!K75-Y1699-AG1699,0))</x:f>
        <x:v>2</x:v>
      </x:c>
      <x:c r="R1699" s="15" t="n">
        <x:f>'기준스탯 72종'!D75*G1699</x:f>
        <x:v>2.9399999999999995</x:v>
      </x:c>
      <x:c r="S1699" s="15" t="n">
        <x:f>'기준스탯 72종'!E75*G1699</x:f>
        <x:v>2.9399999999999995</x:v>
      </x:c>
      <x:c r="T1699" s="15" t="n">
        <x:f>'기준스탯 72종'!F75*G1699</x:f>
        <x:v>2.9399999999999995</x:v>
      </x:c>
      <x:c r="U1699" s="15" t="n">
        <x:f>'기준스탯 72종'!G75*G1699</x:f>
        <x:v>3.3599999999999994</x:v>
      </x:c>
      <x:c r="V1699" s="15" t="n">
        <x:f>'기준스탯 72종'!H75*G1699</x:f>
        <x:v>1.2599999999999998</x:v>
      </x:c>
      <x:c r="W1699" s="15" t="n">
        <x:f>'기준스탯 72종'!I75*G1699</x:f>
        <x:v>2.5199999999999996</x:v>
      </x:c>
      <x:c r="X1699" s="15" t="n">
        <x:f>'기준스탯 72종'!J75*G1699</x:f>
        <x:v>1.6799999999999997</x:v>
      </x:c>
      <x:c r="Y1699" s="15" t="n">
        <x:f>'기준스탯 72종'!K75*G1699</x:f>
        <x:v>1.2599999999999998</x:v>
      </x:c>
      <x:c r="Z1699" s="15" t="n">
        <x:f>'기준스탯 72종'!D75*H1699</x:f>
        <x:v>0.4200000000000001</x:v>
      </x:c>
      <x:c r="AA1699" s="15" t="n">
        <x:f>'기준스탯 72종'!E75*H1699</x:f>
        <x:v>0.4200000000000001</x:v>
      </x:c>
      <x:c r="AB1699" s="15" t="n">
        <x:f>'기준스탯 72종'!F75*H1699</x:f>
        <x:v>0.4200000000000001</x:v>
      </x:c>
      <x:c r="AC1699" s="15" t="n">
        <x:f>'기준스탯 72종'!G75*H1699</x:f>
        <x:v>0.4800000000000001</x:v>
      </x:c>
      <x:c r="AD1699" s="15" t="n">
        <x:f>'기준스탯 72종'!H75*H1699</x:f>
        <x:v>0.18000000000000005</x:v>
      </x:c>
      <x:c r="AE1699" s="15" t="n">
        <x:f>'기준스탯 72종'!I75*H1699</x:f>
        <x:v>0.3600000000000001</x:v>
      </x:c>
      <x:c r="AF1699" s="15" t="n">
        <x:f>'기준스탯 72종'!J75*H1699</x:f>
        <x:v>0.24000000000000005</x:v>
      </x:c>
      <x:c r="AG1699" s="15" t="n">
        <x:f>'기준스탯 72종'!K75*H1699</x:f>
        <x:v>0.18000000000000005</x:v>
      </x:c>
    </x:row>
    <x:row r="1700" ht="28" customHeight="1">
      <x:c r="A1700" s="2" t="n">
        <x:v>1693</x:v>
      </x:c>
      <x:c r="B1700" s="2" t="n">
        <x:v>68</x:v>
      </x:c>
      <x:c r="C1700" s="2" t="str">
        <x:v>물고기자리</x:v>
      </x:c>
      <x:c r="D1700" s="2" t="str">
        <x:v>마도사</x:v>
      </x:c>
      <x:c r="E1700" s="2" t="n">
        <x:v>3</x:v>
      </x:c>
      <x:c r="F1700" s="2" t="n">
        <x:v>4</x:v>
      </x:c>
      <x:c r="G1700" s="14" t="n">
        <x:f>('레벨 계산식'!$E$4-E1700)*'레벨 계산식'!$B$5</x:f>
        <x:v>0.27999999999999997</x:v>
      </x:c>
      <x:c r="H1700" s="14" t="n">
        <x:f>('등급 계산식'!$E$4-F1700)*'등급 계산식'!$B$5</x:f>
        <x:v>0.06000000000000001</x:v>
      </x:c>
      <x:c r="I1700" s="14" t="n">
        <x:f>1-G1700-H1700</x:f>
        <x:v>0.6599999999999999</x:v>
      </x:c>
      <x:c r="J1700" s="2" t="n">
        <x:f>MAX(1,ROUND('기준스탯 72종'!D75-R1700-Z1700,0))</x:f>
        <x:v>5</x:v>
      </x:c>
      <x:c r="K1700" s="2" t="n">
        <x:f>MAX(1,ROUND('기준스탯 72종'!E75-S1700-AA1700,0))</x:f>
        <x:v>5</x:v>
      </x:c>
      <x:c r="L1700" s="2" t="n">
        <x:f>MAX(1,ROUND('기준스탯 72종'!F75-T1700-AB1700,0))</x:f>
        <x:v>5</x:v>
      </x:c>
      <x:c r="M1700" s="2" t="n">
        <x:f>MAX(1,ROUND('기준스탯 72종'!G75-U1700-AC1700,0))</x:f>
        <x:v>5</x:v>
      </x:c>
      <x:c r="N1700" s="2" t="n">
        <x:f>MAX(0,ROUND('기준스탯 72종'!H75-V1700-AD1700,0))</x:f>
        <x:v>2</x:v>
      </x:c>
      <x:c r="O1700" s="2" t="n">
        <x:f>MAX(0,ROUND('기준스탯 72종'!I75-W1700-AE1700,0))</x:f>
        <x:v>4</x:v>
      </x:c>
      <x:c r="P1700" s="2" t="n">
        <x:f>MAX(0,ROUND('기준스탯 72종'!J75-X1700-AF1700,0))</x:f>
        <x:v>3</x:v>
      </x:c>
      <x:c r="Q1700" s="2" t="n">
        <x:f>MAX(0,ROUND('기준스탯 72종'!K75-Y1700-AG1700,0))</x:f>
        <x:v>2</x:v>
      </x:c>
      <x:c r="R1700" s="15" t="n">
        <x:f>'기준스탯 72종'!D75*G1700</x:f>
        <x:v>1.9599999999999997</x:v>
      </x:c>
      <x:c r="S1700" s="15" t="n">
        <x:f>'기준스탯 72종'!E75*G1700</x:f>
        <x:v>1.9599999999999997</x:v>
      </x:c>
      <x:c r="T1700" s="15" t="n">
        <x:f>'기준스탯 72종'!F75*G1700</x:f>
        <x:v>1.9599999999999997</x:v>
      </x:c>
      <x:c r="U1700" s="15" t="n">
        <x:f>'기준스탯 72종'!G75*G1700</x:f>
        <x:v>2.2399999999999998</x:v>
      </x:c>
      <x:c r="V1700" s="15" t="n">
        <x:f>'기준스탯 72종'!H75*G1700</x:f>
        <x:v>0.8399999999999999</x:v>
      </x:c>
      <x:c r="W1700" s="15" t="n">
        <x:f>'기준스탯 72종'!I75*G1700</x:f>
        <x:v>1.6799999999999997</x:v>
      </x:c>
      <x:c r="X1700" s="15" t="n">
        <x:f>'기준스탯 72종'!J75*G1700</x:f>
        <x:v>1.1199999999999999</x:v>
      </x:c>
      <x:c r="Y1700" s="15" t="n">
        <x:f>'기준스탯 72종'!K75*G1700</x:f>
        <x:v>0.8399999999999999</x:v>
      </x:c>
      <x:c r="Z1700" s="15" t="n">
        <x:f>'기준스탯 72종'!D75*H1700</x:f>
        <x:v>0.4200000000000001</x:v>
      </x:c>
      <x:c r="AA1700" s="15" t="n">
        <x:f>'기준스탯 72종'!E75*H1700</x:f>
        <x:v>0.4200000000000001</x:v>
      </x:c>
      <x:c r="AB1700" s="15" t="n">
        <x:f>'기준스탯 72종'!F75*H1700</x:f>
        <x:v>0.4200000000000001</x:v>
      </x:c>
      <x:c r="AC1700" s="15" t="n">
        <x:f>'기준스탯 72종'!G75*H1700</x:f>
        <x:v>0.4800000000000001</x:v>
      </x:c>
      <x:c r="AD1700" s="15" t="n">
        <x:f>'기준스탯 72종'!H75*H1700</x:f>
        <x:v>0.18000000000000005</x:v>
      </x:c>
      <x:c r="AE1700" s="15" t="n">
        <x:f>'기준스탯 72종'!I75*H1700</x:f>
        <x:v>0.3600000000000001</x:v>
      </x:c>
      <x:c r="AF1700" s="15" t="n">
        <x:f>'기준스탯 72종'!J75*H1700</x:f>
        <x:v>0.24000000000000005</x:v>
      </x:c>
      <x:c r="AG1700" s="15" t="n">
        <x:f>'기준스탯 72종'!K75*H1700</x:f>
        <x:v>0.18000000000000005</x:v>
      </x:c>
    </x:row>
    <x:row r="1701" ht="28" customHeight="1">
      <x:c r="A1701" s="2" t="n">
        <x:v>1694</x:v>
      </x:c>
      <x:c r="B1701" s="2" t="n">
        <x:v>68</x:v>
      </x:c>
      <x:c r="C1701" s="2" t="str">
        <x:v>물고기자리</x:v>
      </x:c>
      <x:c r="D1701" s="2" t="str">
        <x:v>마도사</x:v>
      </x:c>
      <x:c r="E1701" s="2" t="n">
        <x:v>4</x:v>
      </x:c>
      <x:c r="F1701" s="2" t="n">
        <x:v>4</x:v>
      </x:c>
      <x:c r="G1701" s="14" t="n">
        <x:f>('레벨 계산식'!$E$4-E1701)*'레벨 계산식'!$B$5</x:f>
        <x:v>0.13999999999999999</x:v>
      </x:c>
      <x:c r="H1701" s="14" t="n">
        <x:f>('등급 계산식'!$E$4-F1701)*'등급 계산식'!$B$5</x:f>
        <x:v>0.06000000000000001</x:v>
      </x:c>
      <x:c r="I1701" s="14" t="n">
        <x:f>1-G1701-H1701</x:f>
        <x:v>0.7999999999999999</x:v>
      </x:c>
      <x:c r="J1701" s="2" t="n">
        <x:f>MAX(1,ROUND('기준스탯 72종'!D75-R1701-Z1701,0))</x:f>
        <x:v>6</x:v>
      </x:c>
      <x:c r="K1701" s="2" t="n">
        <x:f>MAX(1,ROUND('기준스탯 72종'!E75-S1701-AA1701,0))</x:f>
        <x:v>6</x:v>
      </x:c>
      <x:c r="L1701" s="2" t="n">
        <x:f>MAX(1,ROUND('기준스탯 72종'!F75-T1701-AB1701,0))</x:f>
        <x:v>6</x:v>
      </x:c>
      <x:c r="M1701" s="2" t="n">
        <x:f>MAX(1,ROUND('기준스탯 72종'!G75-U1701-AC1701,0))</x:f>
        <x:v>6</x:v>
      </x:c>
      <x:c r="N1701" s="2" t="n">
        <x:f>MAX(0,ROUND('기준스탯 72종'!H75-V1701-AD1701,0))</x:f>
        <x:v>2</x:v>
      </x:c>
      <x:c r="O1701" s="2" t="n">
        <x:f>MAX(0,ROUND('기준스탯 72종'!I75-W1701-AE1701,0))</x:f>
        <x:v>5</x:v>
      </x:c>
      <x:c r="P1701" s="2" t="n">
        <x:f>MAX(0,ROUND('기준스탯 72종'!J75-X1701-AF1701,0))</x:f>
        <x:v>3</x:v>
      </x:c>
      <x:c r="Q1701" s="2" t="n">
        <x:f>MAX(0,ROUND('기준스탯 72종'!K75-Y1701-AG1701,0))</x:f>
        <x:v>2</x:v>
      </x:c>
      <x:c r="R1701" s="15" t="n">
        <x:f>'기준스탯 72종'!D75*G1701</x:f>
        <x:v>0.9799999999999999</x:v>
      </x:c>
      <x:c r="S1701" s="15" t="n">
        <x:f>'기준스탯 72종'!E75*G1701</x:f>
        <x:v>0.9799999999999999</x:v>
      </x:c>
      <x:c r="T1701" s="15" t="n">
        <x:f>'기준스탯 72종'!F75*G1701</x:f>
        <x:v>0.9799999999999999</x:v>
      </x:c>
      <x:c r="U1701" s="15" t="n">
        <x:f>'기준스탯 72종'!G75*G1701</x:f>
        <x:v>1.1199999999999999</x:v>
      </x:c>
      <x:c r="V1701" s="15" t="n">
        <x:f>'기준스탯 72종'!H75*G1701</x:f>
        <x:v>0.41999999999999993</x:v>
      </x:c>
      <x:c r="W1701" s="15" t="n">
        <x:f>'기준스탯 72종'!I75*G1701</x:f>
        <x:v>0.8399999999999999</x:v>
      </x:c>
      <x:c r="X1701" s="15" t="n">
        <x:f>'기준스탯 72종'!J75*G1701</x:f>
        <x:v>0.5599999999999999</x:v>
      </x:c>
      <x:c r="Y1701" s="15" t="n">
        <x:f>'기준스탯 72종'!K75*G1701</x:f>
        <x:v>0.41999999999999993</x:v>
      </x:c>
      <x:c r="Z1701" s="15" t="n">
        <x:f>'기준스탯 72종'!D75*H1701</x:f>
        <x:v>0.4200000000000001</x:v>
      </x:c>
      <x:c r="AA1701" s="15" t="n">
        <x:f>'기준스탯 72종'!E75*H1701</x:f>
        <x:v>0.4200000000000001</x:v>
      </x:c>
      <x:c r="AB1701" s="15" t="n">
        <x:f>'기준스탯 72종'!F75*H1701</x:f>
        <x:v>0.4200000000000001</x:v>
      </x:c>
      <x:c r="AC1701" s="15" t="n">
        <x:f>'기준스탯 72종'!G75*H1701</x:f>
        <x:v>0.4800000000000001</x:v>
      </x:c>
      <x:c r="AD1701" s="15" t="n">
        <x:f>'기준스탯 72종'!H75*H1701</x:f>
        <x:v>0.18000000000000005</x:v>
      </x:c>
      <x:c r="AE1701" s="15" t="n">
        <x:f>'기준스탯 72종'!I75*H1701</x:f>
        <x:v>0.3600000000000001</x:v>
      </x:c>
      <x:c r="AF1701" s="15" t="n">
        <x:f>'기준스탯 72종'!J75*H1701</x:f>
        <x:v>0.24000000000000005</x:v>
      </x:c>
      <x:c r="AG1701" s="15" t="n">
        <x:f>'기준스탯 72종'!K75*H1701</x:f>
        <x:v>0.18000000000000005</x:v>
      </x:c>
    </x:row>
    <x:row r="1702" ht="28" customHeight="1">
      <x:c r="A1702" s="2" t="n">
        <x:v>1695</x:v>
      </x:c>
      <x:c r="B1702" s="2" t="n">
        <x:v>68</x:v>
      </x:c>
      <x:c r="C1702" s="2" t="str">
        <x:v>물고기자리</x:v>
      </x:c>
      <x:c r="D1702" s="2" t="str">
        <x:v>마도사</x:v>
      </x:c>
      <x:c r="E1702" s="2" t="n">
        <x:v>5</x:v>
      </x:c>
      <x:c r="F1702" s="2" t="n">
        <x:v>4</x:v>
      </x:c>
      <x:c r="G1702" s="14" t="n">
        <x:f>('레벨 계산식'!$E$4-E1702)*'레벨 계산식'!$B$5</x:f>
        <x:v>0</x:v>
      </x:c>
      <x:c r="H1702" s="14" t="n">
        <x:f>('등급 계산식'!$E$4-F1702)*'등급 계산식'!$B$5</x:f>
        <x:v>0.06000000000000001</x:v>
      </x:c>
      <x:c r="I1702" s="14" t="n">
        <x:f>1-G1702-H1702</x:f>
        <x:v>0.94</x:v>
      </x:c>
      <x:c r="J1702" s="2" t="n">
        <x:f>MAX(1,ROUND('기준스탯 72종'!D75-R1702-Z1702,0))</x:f>
        <x:v>7</x:v>
      </x:c>
      <x:c r="K1702" s="2" t="n">
        <x:f>MAX(1,ROUND('기준스탯 72종'!E75-S1702-AA1702,0))</x:f>
        <x:v>7</x:v>
      </x:c>
      <x:c r="L1702" s="2" t="n">
        <x:f>MAX(1,ROUND('기준스탯 72종'!F75-T1702-AB1702,0))</x:f>
        <x:v>7</x:v>
      </x:c>
      <x:c r="M1702" s="2" t="n">
        <x:f>MAX(1,ROUND('기준스탯 72종'!G75-U1702-AC1702,0))</x:f>
        <x:v>8</x:v>
      </x:c>
      <x:c r="N1702" s="2" t="n">
        <x:f>MAX(0,ROUND('기준스탯 72종'!H75-V1702-AD1702,0))</x:f>
        <x:v>3</x:v>
      </x:c>
      <x:c r="O1702" s="2" t="n">
        <x:f>MAX(0,ROUND('기준스탯 72종'!I75-W1702-AE1702,0))</x:f>
        <x:v>6</x:v>
      </x:c>
      <x:c r="P1702" s="2" t="n">
        <x:f>MAX(0,ROUND('기준스탯 72종'!J75-X1702-AF1702,0))</x:f>
        <x:v>4</x:v>
      </x:c>
      <x:c r="Q1702" s="2" t="n">
        <x:f>MAX(0,ROUND('기준스탯 72종'!K75-Y1702-AG1702,0))</x:f>
        <x:v>3</x:v>
      </x:c>
      <x:c r="R1702" s="15" t="n">
        <x:f>'기준스탯 72종'!D75*G1702</x:f>
        <x:v>0</x:v>
      </x:c>
      <x:c r="S1702" s="15" t="n">
        <x:f>'기준스탯 72종'!E75*G1702</x:f>
        <x:v>0</x:v>
      </x:c>
      <x:c r="T1702" s="15" t="n">
        <x:f>'기준스탯 72종'!F75*G1702</x:f>
        <x:v>0</x:v>
      </x:c>
      <x:c r="U1702" s="15" t="n">
        <x:f>'기준스탯 72종'!G75*G1702</x:f>
        <x:v>0</x:v>
      </x:c>
      <x:c r="V1702" s="15" t="n">
        <x:f>'기준스탯 72종'!H75*G1702</x:f>
        <x:v>0</x:v>
      </x:c>
      <x:c r="W1702" s="15" t="n">
        <x:f>'기준스탯 72종'!I75*G1702</x:f>
        <x:v>0</x:v>
      </x:c>
      <x:c r="X1702" s="15" t="n">
        <x:f>'기준스탯 72종'!J75*G1702</x:f>
        <x:v>0</x:v>
      </x:c>
      <x:c r="Y1702" s="15" t="n">
        <x:f>'기준스탯 72종'!K75*G1702</x:f>
        <x:v>0</x:v>
      </x:c>
      <x:c r="Z1702" s="15" t="n">
        <x:f>'기준스탯 72종'!D75*H1702</x:f>
        <x:v>0.4200000000000001</x:v>
      </x:c>
      <x:c r="AA1702" s="15" t="n">
        <x:f>'기준스탯 72종'!E75*H1702</x:f>
        <x:v>0.4200000000000001</x:v>
      </x:c>
      <x:c r="AB1702" s="15" t="n">
        <x:f>'기준스탯 72종'!F75*H1702</x:f>
        <x:v>0.4200000000000001</x:v>
      </x:c>
      <x:c r="AC1702" s="15" t="n">
        <x:f>'기준스탯 72종'!G75*H1702</x:f>
        <x:v>0.4800000000000001</x:v>
      </x:c>
      <x:c r="AD1702" s="15" t="n">
        <x:f>'기준스탯 72종'!H75*H1702</x:f>
        <x:v>0.18000000000000005</x:v>
      </x:c>
      <x:c r="AE1702" s="15" t="n">
        <x:f>'기준스탯 72종'!I75*H1702</x:f>
        <x:v>0.3600000000000001</x:v>
      </x:c>
      <x:c r="AF1702" s="15" t="n">
        <x:f>'기준스탯 72종'!J75*H1702</x:f>
        <x:v>0.24000000000000005</x:v>
      </x:c>
      <x:c r="AG1702" s="15" t="n">
        <x:f>'기준스탯 72종'!K75*H1702</x:f>
        <x:v>0.18000000000000005</x:v>
      </x:c>
    </x:row>
    <x:row r="1703" ht="28" customHeight="1">
      <x:c r="A1703" s="2" t="n">
        <x:v>1696</x:v>
      </x:c>
      <x:c r="B1703" s="2" t="n">
        <x:v>68</x:v>
      </x:c>
      <x:c r="C1703" s="2" t="str">
        <x:v>물고기자리</x:v>
      </x:c>
      <x:c r="D1703" s="2" t="str">
        <x:v>마도사</x:v>
      </x:c>
      <x:c r="E1703" s="2" t="n">
        <x:v>1</x:v>
      </x:c>
      <x:c r="F1703" s="2" t="n">
        <x:v>5</x:v>
      </x:c>
      <x:c r="G1703" s="14" t="n">
        <x:f>('레벨 계산식'!$E$4-E1703)*'레벨 계산식'!$B$5</x:f>
        <x:v>0.5599999999999999</x:v>
      </x:c>
      <x:c r="H1703" s="14" t="n">
        <x:f>('등급 계산식'!$E$4-F1703)*'등급 계산식'!$B$5</x:f>
        <x:v>0</x:v>
      </x:c>
      <x:c r="I1703" s="14" t="n">
        <x:f>1-G1703-H1703</x:f>
        <x:v>0.44000000000000006</x:v>
      </x:c>
      <x:c r="J1703" s="2" t="n">
        <x:f>MAX(1,ROUND('기준스탯 72종'!D75-R1703-Z1703,0))</x:f>
        <x:v>3</x:v>
      </x:c>
      <x:c r="K1703" s="2" t="n">
        <x:f>MAX(1,ROUND('기준스탯 72종'!E75-S1703-AA1703,0))</x:f>
        <x:v>3</x:v>
      </x:c>
      <x:c r="L1703" s="2" t="n">
        <x:f>MAX(1,ROUND('기준스탯 72종'!F75-T1703-AB1703,0))</x:f>
        <x:v>3</x:v>
      </x:c>
      <x:c r="M1703" s="2" t="n">
        <x:f>MAX(1,ROUND('기준스탯 72종'!G75-U1703-AC1703,0))</x:f>
        <x:v>4</x:v>
      </x:c>
      <x:c r="N1703" s="2" t="n">
        <x:f>MAX(0,ROUND('기준스탯 72종'!H75-V1703-AD1703,0))</x:f>
        <x:v>1</x:v>
      </x:c>
      <x:c r="O1703" s="2" t="n">
        <x:f>MAX(0,ROUND('기준스탯 72종'!I75-W1703-AE1703,0))</x:f>
        <x:v>3</x:v>
      </x:c>
      <x:c r="P1703" s="2" t="n">
        <x:f>MAX(0,ROUND('기준스탯 72종'!J75-X1703-AF1703,0))</x:f>
        <x:v>2</x:v>
      </x:c>
      <x:c r="Q1703" s="2" t="n">
        <x:f>MAX(0,ROUND('기준스탯 72종'!K75-Y1703-AG1703,0))</x:f>
        <x:v>1</x:v>
      </x:c>
      <x:c r="R1703" s="15" t="n">
        <x:f>'기준스탯 72종'!D75*G1703</x:f>
        <x:v>3.9199999999999995</x:v>
      </x:c>
      <x:c r="S1703" s="15" t="n">
        <x:f>'기준스탯 72종'!E75*G1703</x:f>
        <x:v>3.9199999999999995</x:v>
      </x:c>
      <x:c r="T1703" s="15" t="n">
        <x:f>'기준스탯 72종'!F75*G1703</x:f>
        <x:v>3.9199999999999995</x:v>
      </x:c>
      <x:c r="U1703" s="15" t="n">
        <x:f>'기준스탯 72종'!G75*G1703</x:f>
        <x:v>4.4799999999999995</x:v>
      </x:c>
      <x:c r="V1703" s="15" t="n">
        <x:f>'기준스탯 72종'!H75*G1703</x:f>
        <x:v>1.6799999999999997</x:v>
      </x:c>
      <x:c r="W1703" s="15" t="n">
        <x:f>'기준스탯 72종'!I75*G1703</x:f>
        <x:v>3.3599999999999994</x:v>
      </x:c>
      <x:c r="X1703" s="15" t="n">
        <x:f>'기준스탯 72종'!J75*G1703</x:f>
        <x:v>2.2399999999999998</x:v>
      </x:c>
      <x:c r="Y1703" s="15" t="n">
        <x:f>'기준스탯 72종'!K75*G1703</x:f>
        <x:v>1.6799999999999997</x:v>
      </x:c>
      <x:c r="Z1703" s="15" t="n">
        <x:f>'기준스탯 72종'!D75*H1703</x:f>
        <x:v>0</x:v>
      </x:c>
      <x:c r="AA1703" s="15" t="n">
        <x:f>'기준스탯 72종'!E75*H1703</x:f>
        <x:v>0</x:v>
      </x:c>
      <x:c r="AB1703" s="15" t="n">
        <x:f>'기준스탯 72종'!F75*H1703</x:f>
        <x:v>0</x:v>
      </x:c>
      <x:c r="AC1703" s="15" t="n">
        <x:f>'기준스탯 72종'!G75*H1703</x:f>
        <x:v>0</x:v>
      </x:c>
      <x:c r="AD1703" s="15" t="n">
        <x:f>'기준스탯 72종'!H75*H1703</x:f>
        <x:v>0</x:v>
      </x:c>
      <x:c r="AE1703" s="15" t="n">
        <x:f>'기준스탯 72종'!I75*H1703</x:f>
        <x:v>0</x:v>
      </x:c>
      <x:c r="AF1703" s="15" t="n">
        <x:f>'기준스탯 72종'!J75*H1703</x:f>
        <x:v>0</x:v>
      </x:c>
      <x:c r="AG1703" s="15" t="n">
        <x:f>'기준스탯 72종'!K75*H1703</x:f>
        <x:v>0</x:v>
      </x:c>
    </x:row>
    <x:row r="1704" ht="28" customHeight="1">
      <x:c r="A1704" s="2" t="n">
        <x:v>1697</x:v>
      </x:c>
      <x:c r="B1704" s="2" t="n">
        <x:v>68</x:v>
      </x:c>
      <x:c r="C1704" s="2" t="str">
        <x:v>물고기자리</x:v>
      </x:c>
      <x:c r="D1704" s="2" t="str">
        <x:v>마도사</x:v>
      </x:c>
      <x:c r="E1704" s="2" t="n">
        <x:v>2</x:v>
      </x:c>
      <x:c r="F1704" s="2" t="n">
        <x:v>5</x:v>
      </x:c>
      <x:c r="G1704" s="14" t="n">
        <x:f>('레벨 계산식'!$E$4-E1704)*'레벨 계산식'!$B$5</x:f>
        <x:v>0.41999999999999993</x:v>
      </x:c>
      <x:c r="H1704" s="14" t="n">
        <x:f>('등급 계산식'!$E$4-F1704)*'등급 계산식'!$B$5</x:f>
        <x:v>0</x:v>
      </x:c>
      <x:c r="I1704" s="14" t="n">
        <x:f>1-G1704-H1704</x:f>
        <x:v>0.5800000000000001</x:v>
      </x:c>
      <x:c r="J1704" s="2" t="n">
        <x:f>MAX(1,ROUND('기준스탯 72종'!D75-R1704-Z1704,0))</x:f>
        <x:v>4</x:v>
      </x:c>
      <x:c r="K1704" s="2" t="n">
        <x:f>MAX(1,ROUND('기준스탯 72종'!E75-S1704-AA1704,0))</x:f>
        <x:v>4</x:v>
      </x:c>
      <x:c r="L1704" s="2" t="n">
        <x:f>MAX(1,ROUND('기준스탯 72종'!F75-T1704-AB1704,0))</x:f>
        <x:v>4</x:v>
      </x:c>
      <x:c r="M1704" s="2" t="n">
        <x:f>MAX(1,ROUND('기준스탯 72종'!G75-U1704-AC1704,0))</x:f>
        <x:v>5</x:v>
      </x:c>
      <x:c r="N1704" s="2" t="n">
        <x:f>MAX(0,ROUND('기준스탯 72종'!H75-V1704-AD1704,0))</x:f>
        <x:v>2</x:v>
      </x:c>
      <x:c r="O1704" s="2" t="n">
        <x:f>MAX(0,ROUND('기준스탯 72종'!I75-W1704-AE1704,0))</x:f>
        <x:v>3</x:v>
      </x:c>
      <x:c r="P1704" s="2" t="n">
        <x:f>MAX(0,ROUND('기준스탯 72종'!J75-X1704-AF1704,0))</x:f>
        <x:v>2</x:v>
      </x:c>
      <x:c r="Q1704" s="2" t="n">
        <x:f>MAX(0,ROUND('기준스탯 72종'!K75-Y1704-AG1704,0))</x:f>
        <x:v>2</x:v>
      </x:c>
      <x:c r="R1704" s="15" t="n">
        <x:f>'기준스탯 72종'!D75*G1704</x:f>
        <x:v>2.9399999999999995</x:v>
      </x:c>
      <x:c r="S1704" s="15" t="n">
        <x:f>'기준스탯 72종'!E75*G1704</x:f>
        <x:v>2.9399999999999995</x:v>
      </x:c>
      <x:c r="T1704" s="15" t="n">
        <x:f>'기준스탯 72종'!F75*G1704</x:f>
        <x:v>2.9399999999999995</x:v>
      </x:c>
      <x:c r="U1704" s="15" t="n">
        <x:f>'기준스탯 72종'!G75*G1704</x:f>
        <x:v>3.3599999999999994</x:v>
      </x:c>
      <x:c r="V1704" s="15" t="n">
        <x:f>'기준스탯 72종'!H75*G1704</x:f>
        <x:v>1.2599999999999998</x:v>
      </x:c>
      <x:c r="W1704" s="15" t="n">
        <x:f>'기준스탯 72종'!I75*G1704</x:f>
        <x:v>2.5199999999999996</x:v>
      </x:c>
      <x:c r="X1704" s="15" t="n">
        <x:f>'기준스탯 72종'!J75*G1704</x:f>
        <x:v>1.6799999999999997</x:v>
      </x:c>
      <x:c r="Y1704" s="15" t="n">
        <x:f>'기준스탯 72종'!K75*G1704</x:f>
        <x:v>1.2599999999999998</x:v>
      </x:c>
      <x:c r="Z1704" s="15" t="n">
        <x:f>'기준스탯 72종'!D75*H1704</x:f>
        <x:v>0</x:v>
      </x:c>
      <x:c r="AA1704" s="15" t="n">
        <x:f>'기준스탯 72종'!E75*H1704</x:f>
        <x:v>0</x:v>
      </x:c>
      <x:c r="AB1704" s="15" t="n">
        <x:f>'기준스탯 72종'!F75*H1704</x:f>
        <x:v>0</x:v>
      </x:c>
      <x:c r="AC1704" s="15" t="n">
        <x:f>'기준스탯 72종'!G75*H1704</x:f>
        <x:v>0</x:v>
      </x:c>
      <x:c r="AD1704" s="15" t="n">
        <x:f>'기준스탯 72종'!H75*H1704</x:f>
        <x:v>0</x:v>
      </x:c>
      <x:c r="AE1704" s="15" t="n">
        <x:f>'기준스탯 72종'!I75*H1704</x:f>
        <x:v>0</x:v>
      </x:c>
      <x:c r="AF1704" s="15" t="n">
        <x:f>'기준스탯 72종'!J75*H1704</x:f>
        <x:v>0</x:v>
      </x:c>
      <x:c r="AG1704" s="15" t="n">
        <x:f>'기준스탯 72종'!K75*H1704</x:f>
        <x:v>0</x:v>
      </x:c>
    </x:row>
    <x:row r="1705" ht="28" customHeight="1">
      <x:c r="A1705" s="2" t="n">
        <x:v>1698</x:v>
      </x:c>
      <x:c r="B1705" s="2" t="n">
        <x:v>68</x:v>
      </x:c>
      <x:c r="C1705" s="2" t="str">
        <x:v>물고기자리</x:v>
      </x:c>
      <x:c r="D1705" s="2" t="str">
        <x:v>마도사</x:v>
      </x:c>
      <x:c r="E1705" s="2" t="n">
        <x:v>3</x:v>
      </x:c>
      <x:c r="F1705" s="2" t="n">
        <x:v>5</x:v>
      </x:c>
      <x:c r="G1705" s="14" t="n">
        <x:f>('레벨 계산식'!$E$4-E1705)*'레벨 계산식'!$B$5</x:f>
        <x:v>0.27999999999999997</x:v>
      </x:c>
      <x:c r="H1705" s="14" t="n">
        <x:f>('등급 계산식'!$E$4-F1705)*'등급 계산식'!$B$5</x:f>
        <x:v>0</x:v>
      </x:c>
      <x:c r="I1705" s="14" t="n">
        <x:f>1-G1705-H1705</x:f>
        <x:v>0.72</x:v>
      </x:c>
      <x:c r="J1705" s="2" t="n">
        <x:f>MAX(1,ROUND('기준스탯 72종'!D75-R1705-Z1705,0))</x:f>
        <x:v>5</x:v>
      </x:c>
      <x:c r="K1705" s="2" t="n">
        <x:f>MAX(1,ROUND('기준스탯 72종'!E75-S1705-AA1705,0))</x:f>
        <x:v>5</x:v>
      </x:c>
      <x:c r="L1705" s="2" t="n">
        <x:f>MAX(1,ROUND('기준스탯 72종'!F75-T1705-AB1705,0))</x:f>
        <x:v>5</x:v>
      </x:c>
      <x:c r="M1705" s="2" t="n">
        <x:f>MAX(1,ROUND('기준스탯 72종'!G75-U1705-AC1705,0))</x:f>
        <x:v>6</x:v>
      </x:c>
      <x:c r="N1705" s="2" t="n">
        <x:f>MAX(0,ROUND('기준스탯 72종'!H75-V1705-AD1705,0))</x:f>
        <x:v>2</x:v>
      </x:c>
      <x:c r="O1705" s="2" t="n">
        <x:f>MAX(0,ROUND('기준스탯 72종'!I75-W1705-AE1705,0))</x:f>
        <x:v>4</x:v>
      </x:c>
      <x:c r="P1705" s="2" t="n">
        <x:f>MAX(0,ROUND('기준스탯 72종'!J75-X1705-AF1705,0))</x:f>
        <x:v>3</x:v>
      </x:c>
      <x:c r="Q1705" s="2" t="n">
        <x:f>MAX(0,ROUND('기준스탯 72종'!K75-Y1705-AG1705,0))</x:f>
        <x:v>2</x:v>
      </x:c>
      <x:c r="R1705" s="15" t="n">
        <x:f>'기준스탯 72종'!D75*G1705</x:f>
        <x:v>1.9599999999999997</x:v>
      </x:c>
      <x:c r="S1705" s="15" t="n">
        <x:f>'기준스탯 72종'!E75*G1705</x:f>
        <x:v>1.9599999999999997</x:v>
      </x:c>
      <x:c r="T1705" s="15" t="n">
        <x:f>'기준스탯 72종'!F75*G1705</x:f>
        <x:v>1.9599999999999997</x:v>
      </x:c>
      <x:c r="U1705" s="15" t="n">
        <x:f>'기준스탯 72종'!G75*G1705</x:f>
        <x:v>2.2399999999999998</x:v>
      </x:c>
      <x:c r="V1705" s="15" t="n">
        <x:f>'기준스탯 72종'!H75*G1705</x:f>
        <x:v>0.8399999999999999</x:v>
      </x:c>
      <x:c r="W1705" s="15" t="n">
        <x:f>'기준스탯 72종'!I75*G1705</x:f>
        <x:v>1.6799999999999997</x:v>
      </x:c>
      <x:c r="X1705" s="15" t="n">
        <x:f>'기준스탯 72종'!J75*G1705</x:f>
        <x:v>1.1199999999999999</x:v>
      </x:c>
      <x:c r="Y1705" s="15" t="n">
        <x:f>'기준스탯 72종'!K75*G1705</x:f>
        <x:v>0.8399999999999999</x:v>
      </x:c>
      <x:c r="Z1705" s="15" t="n">
        <x:f>'기준스탯 72종'!D75*H1705</x:f>
        <x:v>0</x:v>
      </x:c>
      <x:c r="AA1705" s="15" t="n">
        <x:f>'기준스탯 72종'!E75*H1705</x:f>
        <x:v>0</x:v>
      </x:c>
      <x:c r="AB1705" s="15" t="n">
        <x:f>'기준스탯 72종'!F75*H1705</x:f>
        <x:v>0</x:v>
      </x:c>
      <x:c r="AC1705" s="15" t="n">
        <x:f>'기준스탯 72종'!G75*H1705</x:f>
        <x:v>0</x:v>
      </x:c>
      <x:c r="AD1705" s="15" t="n">
        <x:f>'기준스탯 72종'!H75*H1705</x:f>
        <x:v>0</x:v>
      </x:c>
      <x:c r="AE1705" s="15" t="n">
        <x:f>'기준스탯 72종'!I75*H1705</x:f>
        <x:v>0</x:v>
      </x:c>
      <x:c r="AF1705" s="15" t="n">
        <x:f>'기준스탯 72종'!J75*H1705</x:f>
        <x:v>0</x:v>
      </x:c>
      <x:c r="AG1705" s="15" t="n">
        <x:f>'기준스탯 72종'!K75*H1705</x:f>
        <x:v>0</x:v>
      </x:c>
    </x:row>
    <x:row r="1706" ht="28" customHeight="1">
      <x:c r="A1706" s="2" t="n">
        <x:v>1699</x:v>
      </x:c>
      <x:c r="B1706" s="2" t="n">
        <x:v>68</x:v>
      </x:c>
      <x:c r="C1706" s="2" t="str">
        <x:v>물고기자리</x:v>
      </x:c>
      <x:c r="D1706" s="2" t="str">
        <x:v>마도사</x:v>
      </x:c>
      <x:c r="E1706" s="2" t="n">
        <x:v>4</x:v>
      </x:c>
      <x:c r="F1706" s="2" t="n">
        <x:v>5</x:v>
      </x:c>
      <x:c r="G1706" s="14" t="n">
        <x:f>('레벨 계산식'!$E$4-E1706)*'레벨 계산식'!$B$5</x:f>
        <x:v>0.13999999999999999</x:v>
      </x:c>
      <x:c r="H1706" s="14" t="n">
        <x:f>('등급 계산식'!$E$4-F1706)*'등급 계산식'!$B$5</x:f>
        <x:v>0</x:v>
      </x:c>
      <x:c r="I1706" s="14" t="n">
        <x:f>1-G1706-H1706</x:f>
        <x:v>0.86</x:v>
      </x:c>
      <x:c r="J1706" s="2" t="n">
        <x:f>MAX(1,ROUND('기준스탯 72종'!D75-R1706-Z1706,0))</x:f>
        <x:v>6</x:v>
      </x:c>
      <x:c r="K1706" s="2" t="n">
        <x:f>MAX(1,ROUND('기준스탯 72종'!E75-S1706-AA1706,0))</x:f>
        <x:v>6</x:v>
      </x:c>
      <x:c r="L1706" s="2" t="n">
        <x:f>MAX(1,ROUND('기준스탯 72종'!F75-T1706-AB1706,0))</x:f>
        <x:v>6</x:v>
      </x:c>
      <x:c r="M1706" s="2" t="n">
        <x:f>MAX(1,ROUND('기준스탯 72종'!G75-U1706-AC1706,0))</x:f>
        <x:v>7</x:v>
      </x:c>
      <x:c r="N1706" s="2" t="n">
        <x:f>MAX(0,ROUND('기준스탯 72종'!H75-V1706-AD1706,0))</x:f>
        <x:v>3</x:v>
      </x:c>
      <x:c r="O1706" s="2" t="n">
        <x:f>MAX(0,ROUND('기준스탯 72종'!I75-W1706-AE1706,0))</x:f>
        <x:v>5</x:v>
      </x:c>
      <x:c r="P1706" s="2" t="n">
        <x:f>MAX(0,ROUND('기준스탯 72종'!J75-X1706-AF1706,0))</x:f>
        <x:v>3</x:v>
      </x:c>
      <x:c r="Q1706" s="2" t="n">
        <x:f>MAX(0,ROUND('기준스탯 72종'!K75-Y1706-AG1706,0))</x:f>
        <x:v>3</x:v>
      </x:c>
      <x:c r="R1706" s="15" t="n">
        <x:f>'기준스탯 72종'!D75*G1706</x:f>
        <x:v>0.9799999999999999</x:v>
      </x:c>
      <x:c r="S1706" s="15" t="n">
        <x:f>'기준스탯 72종'!E75*G1706</x:f>
        <x:v>0.9799999999999999</x:v>
      </x:c>
      <x:c r="T1706" s="15" t="n">
        <x:f>'기준스탯 72종'!F75*G1706</x:f>
        <x:v>0.9799999999999999</x:v>
      </x:c>
      <x:c r="U1706" s="15" t="n">
        <x:f>'기준스탯 72종'!G75*G1706</x:f>
        <x:v>1.1199999999999999</x:v>
      </x:c>
      <x:c r="V1706" s="15" t="n">
        <x:f>'기준스탯 72종'!H75*G1706</x:f>
        <x:v>0.41999999999999993</x:v>
      </x:c>
      <x:c r="W1706" s="15" t="n">
        <x:f>'기준스탯 72종'!I75*G1706</x:f>
        <x:v>0.8399999999999999</x:v>
      </x:c>
      <x:c r="X1706" s="15" t="n">
        <x:f>'기준스탯 72종'!J75*G1706</x:f>
        <x:v>0.5599999999999999</x:v>
      </x:c>
      <x:c r="Y1706" s="15" t="n">
        <x:f>'기준스탯 72종'!K75*G1706</x:f>
        <x:v>0.41999999999999993</x:v>
      </x:c>
      <x:c r="Z1706" s="15" t="n">
        <x:f>'기준스탯 72종'!D75*H1706</x:f>
        <x:v>0</x:v>
      </x:c>
      <x:c r="AA1706" s="15" t="n">
        <x:f>'기준스탯 72종'!E75*H1706</x:f>
        <x:v>0</x:v>
      </x:c>
      <x:c r="AB1706" s="15" t="n">
        <x:f>'기준스탯 72종'!F75*H1706</x:f>
        <x:v>0</x:v>
      </x:c>
      <x:c r="AC1706" s="15" t="n">
        <x:f>'기준스탯 72종'!G75*H1706</x:f>
        <x:v>0</x:v>
      </x:c>
      <x:c r="AD1706" s="15" t="n">
        <x:f>'기준스탯 72종'!H75*H1706</x:f>
        <x:v>0</x:v>
      </x:c>
      <x:c r="AE1706" s="15" t="n">
        <x:f>'기준스탯 72종'!I75*H1706</x:f>
        <x:v>0</x:v>
      </x:c>
      <x:c r="AF1706" s="15" t="n">
        <x:f>'기준스탯 72종'!J75*H1706</x:f>
        <x:v>0</x:v>
      </x:c>
      <x:c r="AG1706" s="15" t="n">
        <x:f>'기준스탯 72종'!K75*H1706</x:f>
        <x:v>0</x:v>
      </x:c>
    </x:row>
    <x:row r="1707" ht="28" customHeight="1">
      <x:c r="A1707" s="2" t="n">
        <x:v>1700</x:v>
      </x:c>
      <x:c r="B1707" s="2" t="n">
        <x:v>68</x:v>
      </x:c>
      <x:c r="C1707" s="2" t="str">
        <x:v>물고기자리</x:v>
      </x:c>
      <x:c r="D1707" s="2" t="str">
        <x:v>마도사</x:v>
      </x:c>
      <x:c r="E1707" s="2" t="n">
        <x:v>5</x:v>
      </x:c>
      <x:c r="F1707" s="2" t="n">
        <x:v>5</x:v>
      </x:c>
      <x:c r="G1707" s="14" t="n">
        <x:f>('레벨 계산식'!$E$4-E1707)*'레벨 계산식'!$B$5</x:f>
        <x:v>0</x:v>
      </x:c>
      <x:c r="H1707" s="14" t="n">
        <x:f>('등급 계산식'!$E$4-F1707)*'등급 계산식'!$B$5</x:f>
        <x:v>0</x:v>
      </x:c>
      <x:c r="I1707" s="14" t="n">
        <x:f>1-G1707-H1707</x:f>
        <x:v>1</x:v>
      </x:c>
      <x:c r="J1707" s="2" t="n">
        <x:f>MAX(1,ROUND('기준스탯 72종'!D75-R1707-Z1707,0))</x:f>
        <x:v>7</x:v>
      </x:c>
      <x:c r="K1707" s="2" t="n">
        <x:f>MAX(1,ROUND('기준스탯 72종'!E75-S1707-AA1707,0))</x:f>
        <x:v>7</x:v>
      </x:c>
      <x:c r="L1707" s="2" t="n">
        <x:f>MAX(1,ROUND('기준스탯 72종'!F75-T1707-AB1707,0))</x:f>
        <x:v>7</x:v>
      </x:c>
      <x:c r="M1707" s="2" t="n">
        <x:f>MAX(1,ROUND('기준스탯 72종'!G75-U1707-AC1707,0))</x:f>
        <x:v>8</x:v>
      </x:c>
      <x:c r="N1707" s="2" t="n">
        <x:f>MAX(0,ROUND('기준스탯 72종'!H75-V1707-AD1707,0))</x:f>
        <x:v>3</x:v>
      </x:c>
      <x:c r="O1707" s="2" t="n">
        <x:f>MAX(0,ROUND('기준스탯 72종'!I75-W1707-AE1707,0))</x:f>
        <x:v>6</x:v>
      </x:c>
      <x:c r="P1707" s="2" t="n">
        <x:f>MAX(0,ROUND('기준스탯 72종'!J75-X1707-AF1707,0))</x:f>
        <x:v>4</x:v>
      </x:c>
      <x:c r="Q1707" s="2" t="n">
        <x:f>MAX(0,ROUND('기준스탯 72종'!K75-Y1707-AG1707,0))</x:f>
        <x:v>3</x:v>
      </x:c>
      <x:c r="R1707" s="15" t="n">
        <x:f>'기준스탯 72종'!D75*G1707</x:f>
        <x:v>0</x:v>
      </x:c>
      <x:c r="S1707" s="15" t="n">
        <x:f>'기준스탯 72종'!E75*G1707</x:f>
        <x:v>0</x:v>
      </x:c>
      <x:c r="T1707" s="15" t="n">
        <x:f>'기준스탯 72종'!F75*G1707</x:f>
        <x:v>0</x:v>
      </x:c>
      <x:c r="U1707" s="15" t="n">
        <x:f>'기준스탯 72종'!G75*G1707</x:f>
        <x:v>0</x:v>
      </x:c>
      <x:c r="V1707" s="15" t="n">
        <x:f>'기준스탯 72종'!H75*G1707</x:f>
        <x:v>0</x:v>
      </x:c>
      <x:c r="W1707" s="15" t="n">
        <x:f>'기준스탯 72종'!I75*G1707</x:f>
        <x:v>0</x:v>
      </x:c>
      <x:c r="X1707" s="15" t="n">
        <x:f>'기준스탯 72종'!J75*G1707</x:f>
        <x:v>0</x:v>
      </x:c>
      <x:c r="Y1707" s="15" t="n">
        <x:f>'기준스탯 72종'!K75*G1707</x:f>
        <x:v>0</x:v>
      </x:c>
      <x:c r="Z1707" s="15" t="n">
        <x:f>'기준스탯 72종'!D75*H1707</x:f>
        <x:v>0</x:v>
      </x:c>
      <x:c r="AA1707" s="15" t="n">
        <x:f>'기준스탯 72종'!E75*H1707</x:f>
        <x:v>0</x:v>
      </x:c>
      <x:c r="AB1707" s="15" t="n">
        <x:f>'기준스탯 72종'!F75*H1707</x:f>
        <x:v>0</x:v>
      </x:c>
      <x:c r="AC1707" s="15" t="n">
        <x:f>'기준스탯 72종'!G75*H1707</x:f>
        <x:v>0</x:v>
      </x:c>
      <x:c r="AD1707" s="15" t="n">
        <x:f>'기준스탯 72종'!H75*H1707</x:f>
        <x:v>0</x:v>
      </x:c>
      <x:c r="AE1707" s="15" t="n">
        <x:f>'기준스탯 72종'!I75*H1707</x:f>
        <x:v>0</x:v>
      </x:c>
      <x:c r="AF1707" s="15" t="n">
        <x:f>'기준스탯 72종'!J75*H1707</x:f>
        <x:v>0</x:v>
      </x:c>
      <x:c r="AG1707" s="15" t="n">
        <x:f>'기준스탯 72종'!K75*H1707</x:f>
        <x:v>0</x:v>
      </x:c>
    </x:row>
    <x:row r="1708" ht="28" customHeight="1">
      <x:c r="A1708" s="2" t="n">
        <x:v>1701</x:v>
      </x:c>
      <x:c r="B1708" s="2" t="n">
        <x:v>69</x:v>
      </x:c>
      <x:c r="C1708" s="2" t="str">
        <x:v>물고기자리</x:v>
      </x:c>
      <x:c r="D1708" s="2" t="str">
        <x:v>사수</x:v>
      </x:c>
      <x:c r="E1708" s="2" t="n">
        <x:v>1</x:v>
      </x:c>
      <x:c r="F1708" s="2" t="n">
        <x:v>1</x:v>
      </x:c>
      <x:c r="G1708" s="14" t="n">
        <x:f>('레벨 계산식'!$E$4-E1708)*'레벨 계산식'!$B$5</x:f>
        <x:v>0.5599999999999999</x:v>
      </x:c>
      <x:c r="H1708" s="14" t="n">
        <x:f>('등급 계산식'!$E$4-F1708)*'등급 계산식'!$B$5</x:f>
        <x:v>0.24000000000000005</x:v>
      </x:c>
      <x:c r="I1708" s="14" t="n">
        <x:f>1-G1708-H1708</x:f>
        <x:v>0.2</x:v>
      </x:c>
      <x:c r="J1708" s="2" t="n">
        <x:f>MAX(1,ROUND('기준스탯 72종'!D76-R1708-Z1708,0))</x:f>
        <x:v>1</x:v>
      </x:c>
      <x:c r="K1708" s="2" t="n">
        <x:f>MAX(1,ROUND('기준스탯 72종'!E76-S1708-AA1708,0))</x:f>
        <x:v>2</x:v>
      </x:c>
      <x:c r="L1708" s="2" t="n">
        <x:f>MAX(1,ROUND('기준스탯 72종'!F76-T1708-AB1708,0))</x:f>
        <x:v>1</x:v>
      </x:c>
      <x:c r="M1708" s="2" t="n">
        <x:f>MAX(1,ROUND('기준스탯 72종'!G76-U1708-AC1708,0))</x:f>
        <x:v>2</x:v>
      </x:c>
      <x:c r="N1708" s="2" t="n">
        <x:f>MAX(0,ROUND('기준스탯 72종'!H76-V1708-AD1708,0))</x:f>
        <x:v>1</x:v>
      </x:c>
      <x:c r="O1708" s="2" t="n">
        <x:f>MAX(0,ROUND('기준스탯 72종'!I76-W1708-AE1708,0))</x:f>
        <x:v>1</x:v>
      </x:c>
      <x:c r="P1708" s="2" t="n">
        <x:f>MAX(0,ROUND('기준스탯 72종'!J76-X1708-AF1708,0))</x:f>
        <x:v>1</x:v>
      </x:c>
      <x:c r="Q1708" s="2" t="n">
        <x:f>MAX(0,ROUND('기준스탯 72종'!K76-Y1708-AG1708,0))</x:f>
        <x:v>1</x:v>
      </x:c>
      <x:c r="R1708" s="15" t="n">
        <x:f>'기준스탯 72종'!D76*G1708</x:f>
        <x:v>3.3599999999999994</x:v>
      </x:c>
      <x:c r="S1708" s="15" t="n">
        <x:f>'기준스탯 72종'!E76*G1708</x:f>
        <x:v>4.4799999999999995</x:v>
      </x:c>
      <x:c r="T1708" s="15" t="n">
        <x:f>'기준스탯 72종'!F76*G1708</x:f>
        <x:v>3.9199999999999995</x:v>
      </x:c>
      <x:c r="U1708" s="15" t="n">
        <x:f>'기준스탯 72종'!G76*G1708</x:f>
        <x:v>5.039999999999999</x:v>
      </x:c>
      <x:c r="V1708" s="15" t="n">
        <x:f>'기준스탯 72종'!H76*G1708</x:f>
        <x:v>2.2399999999999998</x:v>
      </x:c>
      <x:c r="W1708" s="15" t="n">
        <x:f>'기준스탯 72종'!I76*G1708</x:f>
        <x:v>2.2399999999999998</x:v>
      </x:c>
      <x:c r="X1708" s="15" t="n">
        <x:f>'기준스탯 72종'!J76*G1708</x:f>
        <x:v>2.8</x:v>
      </x:c>
      <x:c r="Y1708" s="15" t="n">
        <x:f>'기준스탯 72종'!K76*G1708</x:f>
        <x:v>1.6799999999999997</x:v>
      </x:c>
      <x:c r="Z1708" s="15" t="n">
        <x:f>'기준스탯 72종'!D76*H1708</x:f>
        <x:v>1.4400000000000004</x:v>
      </x:c>
      <x:c r="AA1708" s="15" t="n">
        <x:f>'기준스탯 72종'!E76*H1708</x:f>
        <x:v>1.9200000000000004</x:v>
      </x:c>
      <x:c r="AB1708" s="15" t="n">
        <x:f>'기준스탯 72종'!F76*H1708</x:f>
        <x:v>1.6800000000000004</x:v>
      </x:c>
      <x:c r="AC1708" s="15" t="n">
        <x:f>'기준스탯 72종'!G76*H1708</x:f>
        <x:v>2.1600000000000006</x:v>
      </x:c>
      <x:c r="AD1708" s="15" t="n">
        <x:f>'기준스탯 72종'!H76*H1708</x:f>
        <x:v>0.9600000000000002</x:v>
      </x:c>
      <x:c r="AE1708" s="15" t="n">
        <x:f>'기준스탯 72종'!I76*H1708</x:f>
        <x:v>0.9600000000000002</x:v>
      </x:c>
      <x:c r="AF1708" s="15" t="n">
        <x:f>'기준스탯 72종'!J76*H1708</x:f>
        <x:v>1.2000000000000002</x:v>
      </x:c>
      <x:c r="AG1708" s="15" t="n">
        <x:f>'기준스탯 72종'!K76*H1708</x:f>
        <x:v>0.7200000000000002</x:v>
      </x:c>
    </x:row>
    <x:row r="1709" ht="28" customHeight="1">
      <x:c r="A1709" s="2" t="n">
        <x:v>1702</x:v>
      </x:c>
      <x:c r="B1709" s="2" t="n">
        <x:v>69</x:v>
      </x:c>
      <x:c r="C1709" s="2" t="str">
        <x:v>물고기자리</x:v>
      </x:c>
      <x:c r="D1709" s="2" t="str">
        <x:v>사수</x:v>
      </x:c>
      <x:c r="E1709" s="2" t="n">
        <x:v>2</x:v>
      </x:c>
      <x:c r="F1709" s="2" t="n">
        <x:v>1</x:v>
      </x:c>
      <x:c r="G1709" s="14" t="n">
        <x:f>('레벨 계산식'!$E$4-E1709)*'레벨 계산식'!$B$5</x:f>
        <x:v>0.41999999999999993</x:v>
      </x:c>
      <x:c r="H1709" s="14" t="n">
        <x:f>('등급 계산식'!$E$4-F1709)*'등급 계산식'!$B$5</x:f>
        <x:v>0.24000000000000005</x:v>
      </x:c>
      <x:c r="I1709" s="14" t="n">
        <x:f>1-G1709-H1709</x:f>
        <x:v>0.34</x:v>
      </x:c>
      <x:c r="J1709" s="2" t="n">
        <x:f>MAX(1,ROUND('기준스탯 72종'!D76-R1709-Z1709,0))</x:f>
        <x:v>2</x:v>
      </x:c>
      <x:c r="K1709" s="2" t="n">
        <x:f>MAX(1,ROUND('기준스탯 72종'!E76-S1709-AA1709,0))</x:f>
        <x:v>3</x:v>
      </x:c>
      <x:c r="L1709" s="2" t="n">
        <x:f>MAX(1,ROUND('기준스탯 72종'!F76-T1709-AB1709,0))</x:f>
        <x:v>2</x:v>
      </x:c>
      <x:c r="M1709" s="2" t="n">
        <x:f>MAX(1,ROUND('기준스탯 72종'!G76-U1709-AC1709,0))</x:f>
        <x:v>3</x:v>
      </x:c>
      <x:c r="N1709" s="2" t="n">
        <x:f>MAX(0,ROUND('기준스탯 72종'!H76-V1709-AD1709,0))</x:f>
        <x:v>1</x:v>
      </x:c>
      <x:c r="O1709" s="2" t="n">
        <x:f>MAX(0,ROUND('기준스탯 72종'!I76-W1709-AE1709,0))</x:f>
        <x:v>1</x:v>
      </x:c>
      <x:c r="P1709" s="2" t="n">
        <x:f>MAX(0,ROUND('기준스탯 72종'!J76-X1709-AF1709,0))</x:f>
        <x:v>2</x:v>
      </x:c>
      <x:c r="Q1709" s="2" t="n">
        <x:f>MAX(0,ROUND('기준스탯 72종'!K76-Y1709-AG1709,0))</x:f>
        <x:v>1</x:v>
      </x:c>
      <x:c r="R1709" s="15" t="n">
        <x:f>'기준스탯 72종'!D76*G1709</x:f>
        <x:v>2.5199999999999996</x:v>
      </x:c>
      <x:c r="S1709" s="15" t="n">
        <x:f>'기준스탯 72종'!E76*G1709</x:f>
        <x:v>3.3599999999999994</x:v>
      </x:c>
      <x:c r="T1709" s="15" t="n">
        <x:f>'기준스탯 72종'!F76*G1709</x:f>
        <x:v>2.9399999999999995</x:v>
      </x:c>
      <x:c r="U1709" s="15" t="n">
        <x:f>'기준스탯 72종'!G76*G1709</x:f>
        <x:v>3.7799999999999994</x:v>
      </x:c>
      <x:c r="V1709" s="15" t="n">
        <x:f>'기준스탯 72종'!H76*G1709</x:f>
        <x:v>1.6799999999999997</x:v>
      </x:c>
      <x:c r="W1709" s="15" t="n">
        <x:f>'기준스탯 72종'!I76*G1709</x:f>
        <x:v>1.6799999999999997</x:v>
      </x:c>
      <x:c r="X1709" s="15" t="n">
        <x:f>'기준스탯 72종'!J76*G1709</x:f>
        <x:v>2.0999999999999996</x:v>
      </x:c>
      <x:c r="Y1709" s="15" t="n">
        <x:f>'기준스탯 72종'!K76*G1709</x:f>
        <x:v>1.2599999999999998</x:v>
      </x:c>
      <x:c r="Z1709" s="15" t="n">
        <x:f>'기준스탯 72종'!D76*H1709</x:f>
        <x:v>1.4400000000000004</x:v>
      </x:c>
      <x:c r="AA1709" s="15" t="n">
        <x:f>'기준스탯 72종'!E76*H1709</x:f>
        <x:v>1.9200000000000004</x:v>
      </x:c>
      <x:c r="AB1709" s="15" t="n">
        <x:f>'기준스탯 72종'!F76*H1709</x:f>
        <x:v>1.6800000000000004</x:v>
      </x:c>
      <x:c r="AC1709" s="15" t="n">
        <x:f>'기준스탯 72종'!G76*H1709</x:f>
        <x:v>2.1600000000000006</x:v>
      </x:c>
      <x:c r="AD1709" s="15" t="n">
        <x:f>'기준스탯 72종'!H76*H1709</x:f>
        <x:v>0.9600000000000002</x:v>
      </x:c>
      <x:c r="AE1709" s="15" t="n">
        <x:f>'기준스탯 72종'!I76*H1709</x:f>
        <x:v>0.9600000000000002</x:v>
      </x:c>
      <x:c r="AF1709" s="15" t="n">
        <x:f>'기준스탯 72종'!J76*H1709</x:f>
        <x:v>1.2000000000000002</x:v>
      </x:c>
      <x:c r="AG1709" s="15" t="n">
        <x:f>'기준스탯 72종'!K76*H1709</x:f>
        <x:v>0.7200000000000002</x:v>
      </x:c>
    </x:row>
    <x:row r="1710" ht="28" customHeight="1">
      <x:c r="A1710" s="2" t="n">
        <x:v>1703</x:v>
      </x:c>
      <x:c r="B1710" s="2" t="n">
        <x:v>69</x:v>
      </x:c>
      <x:c r="C1710" s="2" t="str">
        <x:v>물고기자리</x:v>
      </x:c>
      <x:c r="D1710" s="2" t="str">
        <x:v>사수</x:v>
      </x:c>
      <x:c r="E1710" s="2" t="n">
        <x:v>3</x:v>
      </x:c>
      <x:c r="F1710" s="2" t="n">
        <x:v>1</x:v>
      </x:c>
      <x:c r="G1710" s="14" t="n">
        <x:f>('레벨 계산식'!$E$4-E1710)*'레벨 계산식'!$B$5</x:f>
        <x:v>0.27999999999999997</x:v>
      </x:c>
      <x:c r="H1710" s="14" t="n">
        <x:f>('등급 계산식'!$E$4-F1710)*'등급 계산식'!$B$5</x:f>
        <x:v>0.24000000000000005</x:v>
      </x:c>
      <x:c r="I1710" s="14" t="n">
        <x:f>1-G1710-H1710</x:f>
        <x:v>0.4799999999999999</x:v>
      </x:c>
      <x:c r="J1710" s="2" t="n">
        <x:f>MAX(1,ROUND('기준스탯 72종'!D76-R1710-Z1710,0))</x:f>
        <x:v>3</x:v>
      </x:c>
      <x:c r="K1710" s="2" t="n">
        <x:f>MAX(1,ROUND('기준스탯 72종'!E76-S1710-AA1710,0))</x:f>
        <x:v>4</x:v>
      </x:c>
      <x:c r="L1710" s="2" t="n">
        <x:f>MAX(1,ROUND('기준스탯 72종'!F76-T1710-AB1710,0))</x:f>
        <x:v>3</x:v>
      </x:c>
      <x:c r="M1710" s="2" t="n">
        <x:f>MAX(1,ROUND('기준스탯 72종'!G76-U1710-AC1710,0))</x:f>
        <x:v>4</x:v>
      </x:c>
      <x:c r="N1710" s="2" t="n">
        <x:f>MAX(0,ROUND('기준스탯 72종'!H76-V1710-AD1710,0))</x:f>
        <x:v>2</x:v>
      </x:c>
      <x:c r="O1710" s="2" t="n">
        <x:f>MAX(0,ROUND('기준스탯 72종'!I76-W1710-AE1710,0))</x:f>
        <x:v>2</x:v>
      </x:c>
      <x:c r="P1710" s="2" t="n">
        <x:f>MAX(0,ROUND('기준스탯 72종'!J76-X1710-AF1710,0))</x:f>
        <x:v>2</x:v>
      </x:c>
      <x:c r="Q1710" s="2" t="n">
        <x:f>MAX(0,ROUND('기준스탯 72종'!K76-Y1710-AG1710,0))</x:f>
        <x:v>1</x:v>
      </x:c>
      <x:c r="R1710" s="15" t="n">
        <x:f>'기준스탯 72종'!D76*G1710</x:f>
        <x:v>1.6799999999999997</x:v>
      </x:c>
      <x:c r="S1710" s="15" t="n">
        <x:f>'기준스탯 72종'!E76*G1710</x:f>
        <x:v>2.2399999999999998</x:v>
      </x:c>
      <x:c r="T1710" s="15" t="n">
        <x:f>'기준스탯 72종'!F76*G1710</x:f>
        <x:v>1.9599999999999997</x:v>
      </x:c>
      <x:c r="U1710" s="15" t="n">
        <x:f>'기준스탯 72종'!G76*G1710</x:f>
        <x:v>2.5199999999999996</x:v>
      </x:c>
      <x:c r="V1710" s="15" t="n">
        <x:f>'기준스탯 72종'!H76*G1710</x:f>
        <x:v>1.1199999999999999</x:v>
      </x:c>
      <x:c r="W1710" s="15" t="n">
        <x:f>'기준스탯 72종'!I76*G1710</x:f>
        <x:v>1.1199999999999999</x:v>
      </x:c>
      <x:c r="X1710" s="15" t="n">
        <x:f>'기준스탯 72종'!J76*G1710</x:f>
        <x:v>1.4</x:v>
      </x:c>
      <x:c r="Y1710" s="15" t="n">
        <x:f>'기준스탯 72종'!K76*G1710</x:f>
        <x:v>0.8399999999999999</x:v>
      </x:c>
      <x:c r="Z1710" s="15" t="n">
        <x:f>'기준스탯 72종'!D76*H1710</x:f>
        <x:v>1.4400000000000004</x:v>
      </x:c>
      <x:c r="AA1710" s="15" t="n">
        <x:f>'기준스탯 72종'!E76*H1710</x:f>
        <x:v>1.9200000000000004</x:v>
      </x:c>
      <x:c r="AB1710" s="15" t="n">
        <x:f>'기준스탯 72종'!F76*H1710</x:f>
        <x:v>1.6800000000000004</x:v>
      </x:c>
      <x:c r="AC1710" s="15" t="n">
        <x:f>'기준스탯 72종'!G76*H1710</x:f>
        <x:v>2.1600000000000006</x:v>
      </x:c>
      <x:c r="AD1710" s="15" t="n">
        <x:f>'기준스탯 72종'!H76*H1710</x:f>
        <x:v>0.9600000000000002</x:v>
      </x:c>
      <x:c r="AE1710" s="15" t="n">
        <x:f>'기준스탯 72종'!I76*H1710</x:f>
        <x:v>0.9600000000000002</x:v>
      </x:c>
      <x:c r="AF1710" s="15" t="n">
        <x:f>'기준스탯 72종'!J76*H1710</x:f>
        <x:v>1.2000000000000002</x:v>
      </x:c>
      <x:c r="AG1710" s="15" t="n">
        <x:f>'기준스탯 72종'!K76*H1710</x:f>
        <x:v>0.7200000000000002</x:v>
      </x:c>
    </x:row>
    <x:row r="1711" ht="28" customHeight="1">
      <x:c r="A1711" s="2" t="n">
        <x:v>1704</x:v>
      </x:c>
      <x:c r="B1711" s="2" t="n">
        <x:v>69</x:v>
      </x:c>
      <x:c r="C1711" s="2" t="str">
        <x:v>물고기자리</x:v>
      </x:c>
      <x:c r="D1711" s="2" t="str">
        <x:v>사수</x:v>
      </x:c>
      <x:c r="E1711" s="2" t="n">
        <x:v>4</x:v>
      </x:c>
      <x:c r="F1711" s="2" t="n">
        <x:v>1</x:v>
      </x:c>
      <x:c r="G1711" s="14" t="n">
        <x:f>('레벨 계산식'!$E$4-E1711)*'레벨 계산식'!$B$5</x:f>
        <x:v>0.13999999999999999</x:v>
      </x:c>
      <x:c r="H1711" s="14" t="n">
        <x:f>('등급 계산식'!$E$4-F1711)*'등급 계산식'!$B$5</x:f>
        <x:v>0.24000000000000005</x:v>
      </x:c>
      <x:c r="I1711" s="14" t="n">
        <x:f>1-G1711-H1711</x:f>
        <x:v>0.6199999999999999</x:v>
      </x:c>
      <x:c r="J1711" s="2" t="n">
        <x:f>MAX(1,ROUND('기준스탯 72종'!D76-R1711-Z1711,0))</x:f>
        <x:v>4</x:v>
      </x:c>
      <x:c r="K1711" s="2" t="n">
        <x:f>MAX(1,ROUND('기준스탯 72종'!E76-S1711-AA1711,0))</x:f>
        <x:v>5</x:v>
      </x:c>
      <x:c r="L1711" s="2" t="n">
        <x:f>MAX(1,ROUND('기준스탯 72종'!F76-T1711-AB1711,0))</x:f>
        <x:v>4</x:v>
      </x:c>
      <x:c r="M1711" s="2" t="n">
        <x:f>MAX(1,ROUND('기준스탯 72종'!G76-U1711-AC1711,0))</x:f>
        <x:v>6</x:v>
      </x:c>
      <x:c r="N1711" s="2" t="n">
        <x:f>MAX(0,ROUND('기준스탯 72종'!H76-V1711-AD1711,0))</x:f>
        <x:v>2</x:v>
      </x:c>
      <x:c r="O1711" s="2" t="n">
        <x:f>MAX(0,ROUND('기준스탯 72종'!I76-W1711-AE1711,0))</x:f>
        <x:v>2</x:v>
      </x:c>
      <x:c r="P1711" s="2" t="n">
        <x:f>MAX(0,ROUND('기준스탯 72종'!J76-X1711-AF1711,0))</x:f>
        <x:v>3</x:v>
      </x:c>
      <x:c r="Q1711" s="2" t="n">
        <x:f>MAX(0,ROUND('기준스탯 72종'!K76-Y1711-AG1711,0))</x:f>
        <x:v>2</x:v>
      </x:c>
      <x:c r="R1711" s="15" t="n">
        <x:f>'기준스탯 72종'!D76*G1711</x:f>
        <x:v>0.8399999999999999</x:v>
      </x:c>
      <x:c r="S1711" s="15" t="n">
        <x:f>'기준스탯 72종'!E76*G1711</x:f>
        <x:v>1.1199999999999999</x:v>
      </x:c>
      <x:c r="T1711" s="15" t="n">
        <x:f>'기준스탯 72종'!F76*G1711</x:f>
        <x:v>0.9799999999999999</x:v>
      </x:c>
      <x:c r="U1711" s="15" t="n">
        <x:f>'기준스탯 72종'!G76*G1711</x:f>
        <x:v>1.2599999999999998</x:v>
      </x:c>
      <x:c r="V1711" s="15" t="n">
        <x:f>'기준스탯 72종'!H76*G1711</x:f>
        <x:v>0.5599999999999999</x:v>
      </x:c>
      <x:c r="W1711" s="15" t="n">
        <x:f>'기준스탯 72종'!I76*G1711</x:f>
        <x:v>0.5599999999999999</x:v>
      </x:c>
      <x:c r="X1711" s="15" t="n">
        <x:f>'기준스탯 72종'!J76*G1711</x:f>
        <x:v>0.7</x:v>
      </x:c>
      <x:c r="Y1711" s="15" t="n">
        <x:f>'기준스탯 72종'!K76*G1711</x:f>
        <x:v>0.41999999999999993</x:v>
      </x:c>
      <x:c r="Z1711" s="15" t="n">
        <x:f>'기준스탯 72종'!D76*H1711</x:f>
        <x:v>1.4400000000000004</x:v>
      </x:c>
      <x:c r="AA1711" s="15" t="n">
        <x:f>'기준스탯 72종'!E76*H1711</x:f>
        <x:v>1.9200000000000004</x:v>
      </x:c>
      <x:c r="AB1711" s="15" t="n">
        <x:f>'기준스탯 72종'!F76*H1711</x:f>
        <x:v>1.6800000000000004</x:v>
      </x:c>
      <x:c r="AC1711" s="15" t="n">
        <x:f>'기준스탯 72종'!G76*H1711</x:f>
        <x:v>2.1600000000000006</x:v>
      </x:c>
      <x:c r="AD1711" s="15" t="n">
        <x:f>'기준스탯 72종'!H76*H1711</x:f>
        <x:v>0.9600000000000002</x:v>
      </x:c>
      <x:c r="AE1711" s="15" t="n">
        <x:f>'기준스탯 72종'!I76*H1711</x:f>
        <x:v>0.9600000000000002</x:v>
      </x:c>
      <x:c r="AF1711" s="15" t="n">
        <x:f>'기준스탯 72종'!J76*H1711</x:f>
        <x:v>1.2000000000000002</x:v>
      </x:c>
      <x:c r="AG1711" s="15" t="n">
        <x:f>'기준스탯 72종'!K76*H1711</x:f>
        <x:v>0.7200000000000002</x:v>
      </x:c>
    </x:row>
    <x:row r="1712" ht="28" customHeight="1">
      <x:c r="A1712" s="2" t="n">
        <x:v>1705</x:v>
      </x:c>
      <x:c r="B1712" s="2" t="n">
        <x:v>69</x:v>
      </x:c>
      <x:c r="C1712" s="2" t="str">
        <x:v>물고기자리</x:v>
      </x:c>
      <x:c r="D1712" s="2" t="str">
        <x:v>사수</x:v>
      </x:c>
      <x:c r="E1712" s="2" t="n">
        <x:v>5</x:v>
      </x:c>
      <x:c r="F1712" s="2" t="n">
        <x:v>1</x:v>
      </x:c>
      <x:c r="G1712" s="14" t="n">
        <x:f>('레벨 계산식'!$E$4-E1712)*'레벨 계산식'!$B$5</x:f>
        <x:v>0</x:v>
      </x:c>
      <x:c r="H1712" s="14" t="n">
        <x:f>('등급 계산식'!$E$4-F1712)*'등급 계산식'!$B$5</x:f>
        <x:v>0.24000000000000005</x:v>
      </x:c>
      <x:c r="I1712" s="14" t="n">
        <x:f>1-G1712-H1712</x:f>
        <x:v>0.76</x:v>
      </x:c>
      <x:c r="J1712" s="2" t="n">
        <x:f>MAX(1,ROUND('기준스탯 72종'!D76-R1712-Z1712,0))</x:f>
        <x:v>5</x:v>
      </x:c>
      <x:c r="K1712" s="2" t="n">
        <x:f>MAX(1,ROUND('기준스탯 72종'!E76-S1712-AA1712,0))</x:f>
        <x:v>6</x:v>
      </x:c>
      <x:c r="L1712" s="2" t="n">
        <x:f>MAX(1,ROUND('기준스탯 72종'!F76-T1712-AB1712,0))</x:f>
        <x:v>5</x:v>
      </x:c>
      <x:c r="M1712" s="2" t="n">
        <x:f>MAX(1,ROUND('기준스탯 72종'!G76-U1712-AC1712,0))</x:f>
        <x:v>7</x:v>
      </x:c>
      <x:c r="N1712" s="2" t="n">
        <x:f>MAX(0,ROUND('기준스탯 72종'!H76-V1712-AD1712,0))</x:f>
        <x:v>3</x:v>
      </x:c>
      <x:c r="O1712" s="2" t="n">
        <x:f>MAX(0,ROUND('기준스탯 72종'!I76-W1712-AE1712,0))</x:f>
        <x:v>3</x:v>
      </x:c>
      <x:c r="P1712" s="2" t="n">
        <x:f>MAX(0,ROUND('기준스탯 72종'!J76-X1712-AF1712,0))</x:f>
        <x:v>4</x:v>
      </x:c>
      <x:c r="Q1712" s="2" t="n">
        <x:f>MAX(0,ROUND('기준스탯 72종'!K76-Y1712-AG1712,0))</x:f>
        <x:v>2</x:v>
      </x:c>
      <x:c r="R1712" s="15" t="n">
        <x:f>'기준스탯 72종'!D76*G1712</x:f>
        <x:v>0</x:v>
      </x:c>
      <x:c r="S1712" s="15" t="n">
        <x:f>'기준스탯 72종'!E76*G1712</x:f>
        <x:v>0</x:v>
      </x:c>
      <x:c r="T1712" s="15" t="n">
        <x:f>'기준스탯 72종'!F76*G1712</x:f>
        <x:v>0</x:v>
      </x:c>
      <x:c r="U1712" s="15" t="n">
        <x:f>'기준스탯 72종'!G76*G1712</x:f>
        <x:v>0</x:v>
      </x:c>
      <x:c r="V1712" s="15" t="n">
        <x:f>'기준스탯 72종'!H76*G1712</x:f>
        <x:v>0</x:v>
      </x:c>
      <x:c r="W1712" s="15" t="n">
        <x:f>'기준스탯 72종'!I76*G1712</x:f>
        <x:v>0</x:v>
      </x:c>
      <x:c r="X1712" s="15" t="n">
        <x:f>'기준스탯 72종'!J76*G1712</x:f>
        <x:v>0</x:v>
      </x:c>
      <x:c r="Y1712" s="15" t="n">
        <x:f>'기준스탯 72종'!K76*G1712</x:f>
        <x:v>0</x:v>
      </x:c>
      <x:c r="Z1712" s="15" t="n">
        <x:f>'기준스탯 72종'!D76*H1712</x:f>
        <x:v>1.4400000000000004</x:v>
      </x:c>
      <x:c r="AA1712" s="15" t="n">
        <x:f>'기준스탯 72종'!E76*H1712</x:f>
        <x:v>1.9200000000000004</x:v>
      </x:c>
      <x:c r="AB1712" s="15" t="n">
        <x:f>'기준스탯 72종'!F76*H1712</x:f>
        <x:v>1.6800000000000004</x:v>
      </x:c>
      <x:c r="AC1712" s="15" t="n">
        <x:f>'기준스탯 72종'!G76*H1712</x:f>
        <x:v>2.1600000000000006</x:v>
      </x:c>
      <x:c r="AD1712" s="15" t="n">
        <x:f>'기준스탯 72종'!H76*H1712</x:f>
        <x:v>0.9600000000000002</x:v>
      </x:c>
      <x:c r="AE1712" s="15" t="n">
        <x:f>'기준스탯 72종'!I76*H1712</x:f>
        <x:v>0.9600000000000002</x:v>
      </x:c>
      <x:c r="AF1712" s="15" t="n">
        <x:f>'기준스탯 72종'!J76*H1712</x:f>
        <x:v>1.2000000000000002</x:v>
      </x:c>
      <x:c r="AG1712" s="15" t="n">
        <x:f>'기준스탯 72종'!K76*H1712</x:f>
        <x:v>0.7200000000000002</x:v>
      </x:c>
    </x:row>
    <x:row r="1713" ht="28" customHeight="1">
      <x:c r="A1713" s="2" t="n">
        <x:v>1706</x:v>
      </x:c>
      <x:c r="B1713" s="2" t="n">
        <x:v>69</x:v>
      </x:c>
      <x:c r="C1713" s="2" t="str">
        <x:v>물고기자리</x:v>
      </x:c>
      <x:c r="D1713" s="2" t="str">
        <x:v>사수</x:v>
      </x:c>
      <x:c r="E1713" s="2" t="n">
        <x:v>1</x:v>
      </x:c>
      <x:c r="F1713" s="2" t="n">
        <x:v>2</x:v>
      </x:c>
      <x:c r="G1713" s="14" t="n">
        <x:f>('레벨 계산식'!$E$4-E1713)*'레벨 계산식'!$B$5</x:f>
        <x:v>0.5599999999999999</x:v>
      </x:c>
      <x:c r="H1713" s="14" t="n">
        <x:f>('등급 계산식'!$E$4-F1713)*'등급 계산식'!$B$5</x:f>
        <x:v>0.18000000000000005</x:v>
      </x:c>
      <x:c r="I1713" s="14" t="n">
        <x:f>1-G1713-H1713</x:f>
        <x:v>0.26</x:v>
      </x:c>
      <x:c r="J1713" s="2" t="n">
        <x:f>MAX(1,ROUND('기준스탯 72종'!D76-R1713-Z1713,0))</x:f>
        <x:v>2</x:v>
      </x:c>
      <x:c r="K1713" s="2" t="n">
        <x:f>MAX(1,ROUND('기준스탯 72종'!E76-S1713-AA1713,0))</x:f>
        <x:v>2</x:v>
      </x:c>
      <x:c r="L1713" s="2" t="n">
        <x:f>MAX(1,ROUND('기준스탯 72종'!F76-T1713-AB1713,0))</x:f>
        <x:v>2</x:v>
      </x:c>
      <x:c r="M1713" s="2" t="n">
        <x:f>MAX(1,ROUND('기준스탯 72종'!G76-U1713-AC1713,0))</x:f>
        <x:v>2</x:v>
      </x:c>
      <x:c r="N1713" s="2" t="n">
        <x:f>MAX(0,ROUND('기준스탯 72종'!H76-V1713-AD1713,0))</x:f>
        <x:v>1</x:v>
      </x:c>
      <x:c r="O1713" s="2" t="n">
        <x:f>MAX(0,ROUND('기준스탯 72종'!I76-W1713-AE1713,0))</x:f>
        <x:v>1</x:v>
      </x:c>
      <x:c r="P1713" s="2" t="n">
        <x:f>MAX(0,ROUND('기준스탯 72종'!J76-X1713-AF1713,0))</x:f>
        <x:v>1</x:v>
      </x:c>
      <x:c r="Q1713" s="2" t="n">
        <x:f>MAX(0,ROUND('기준스탯 72종'!K76-Y1713-AG1713,0))</x:f>
        <x:v>1</x:v>
      </x:c>
      <x:c r="R1713" s="15" t="n">
        <x:f>'기준스탯 72종'!D76*G1713</x:f>
        <x:v>3.3599999999999994</x:v>
      </x:c>
      <x:c r="S1713" s="15" t="n">
        <x:f>'기준스탯 72종'!E76*G1713</x:f>
        <x:v>4.4799999999999995</x:v>
      </x:c>
      <x:c r="T1713" s="15" t="n">
        <x:f>'기준스탯 72종'!F76*G1713</x:f>
        <x:v>3.9199999999999995</x:v>
      </x:c>
      <x:c r="U1713" s="15" t="n">
        <x:f>'기준스탯 72종'!G76*G1713</x:f>
        <x:v>5.039999999999999</x:v>
      </x:c>
      <x:c r="V1713" s="15" t="n">
        <x:f>'기준스탯 72종'!H76*G1713</x:f>
        <x:v>2.2399999999999998</x:v>
      </x:c>
      <x:c r="W1713" s="15" t="n">
        <x:f>'기준스탯 72종'!I76*G1713</x:f>
        <x:v>2.2399999999999998</x:v>
      </x:c>
      <x:c r="X1713" s="15" t="n">
        <x:f>'기준스탯 72종'!J76*G1713</x:f>
        <x:v>2.8</x:v>
      </x:c>
      <x:c r="Y1713" s="15" t="n">
        <x:f>'기준스탯 72종'!K76*G1713</x:f>
        <x:v>1.6799999999999997</x:v>
      </x:c>
      <x:c r="Z1713" s="15" t="n">
        <x:f>'기준스탯 72종'!D76*H1713</x:f>
        <x:v>1.0800000000000003</x:v>
      </x:c>
      <x:c r="AA1713" s="15" t="n">
        <x:f>'기준스탯 72종'!E76*H1713</x:f>
        <x:v>1.4400000000000004</x:v>
      </x:c>
      <x:c r="AB1713" s="15" t="n">
        <x:f>'기준스탯 72종'!F76*H1713</x:f>
        <x:v>1.2600000000000002</x:v>
      </x:c>
      <x:c r="AC1713" s="15" t="n">
        <x:f>'기준스탯 72종'!G76*H1713</x:f>
        <x:v>1.6200000000000006</x:v>
      </x:c>
      <x:c r="AD1713" s="15" t="n">
        <x:f>'기준스탯 72종'!H76*H1713</x:f>
        <x:v>0.7200000000000002</x:v>
      </x:c>
      <x:c r="AE1713" s="15" t="n">
        <x:f>'기준스탯 72종'!I76*H1713</x:f>
        <x:v>0.7200000000000002</x:v>
      </x:c>
      <x:c r="AF1713" s="15" t="n">
        <x:f>'기준스탯 72종'!J76*H1713</x:f>
        <x:v>0.9000000000000002</x:v>
      </x:c>
      <x:c r="AG1713" s="15" t="n">
        <x:f>'기준스탯 72종'!K76*H1713</x:f>
        <x:v>0.5400000000000001</x:v>
      </x:c>
    </x:row>
    <x:row r="1714" ht="28" customHeight="1">
      <x:c r="A1714" s="2" t="n">
        <x:v>1707</x:v>
      </x:c>
      <x:c r="B1714" s="2" t="n">
        <x:v>69</x:v>
      </x:c>
      <x:c r="C1714" s="2" t="str">
        <x:v>물고기자리</x:v>
      </x:c>
      <x:c r="D1714" s="2" t="str">
        <x:v>사수</x:v>
      </x:c>
      <x:c r="E1714" s="2" t="n">
        <x:v>2</x:v>
      </x:c>
      <x:c r="F1714" s="2" t="n">
        <x:v>2</x:v>
      </x:c>
      <x:c r="G1714" s="14" t="n">
        <x:f>('레벨 계산식'!$E$4-E1714)*'레벨 계산식'!$B$5</x:f>
        <x:v>0.41999999999999993</x:v>
      </x:c>
      <x:c r="H1714" s="14" t="n">
        <x:f>('등급 계산식'!$E$4-F1714)*'등급 계산식'!$B$5</x:f>
        <x:v>0.18000000000000005</x:v>
      </x:c>
      <x:c r="I1714" s="14" t="n">
        <x:f>1-G1714-H1714</x:f>
        <x:v>0.4</x:v>
      </x:c>
      <x:c r="J1714" s="2" t="n">
        <x:f>MAX(1,ROUND('기준스탯 72종'!D76-R1714-Z1714,0))</x:f>
        <x:v>2</x:v>
      </x:c>
      <x:c r="K1714" s="2" t="n">
        <x:f>MAX(1,ROUND('기준스탯 72종'!E76-S1714-AA1714,0))</x:f>
        <x:v>3</x:v>
      </x:c>
      <x:c r="L1714" s="2" t="n">
        <x:f>MAX(1,ROUND('기준스탯 72종'!F76-T1714-AB1714,0))</x:f>
        <x:v>3</x:v>
      </x:c>
      <x:c r="M1714" s="2" t="n">
        <x:f>MAX(1,ROUND('기준스탯 72종'!G76-U1714-AC1714,0))</x:f>
        <x:v>4</x:v>
      </x:c>
      <x:c r="N1714" s="2" t="n">
        <x:f>MAX(0,ROUND('기준스탯 72종'!H76-V1714-AD1714,0))</x:f>
        <x:v>2</x:v>
      </x:c>
      <x:c r="O1714" s="2" t="n">
        <x:f>MAX(0,ROUND('기준스탯 72종'!I76-W1714-AE1714,0))</x:f>
        <x:v>2</x:v>
      </x:c>
      <x:c r="P1714" s="2" t="n">
        <x:f>MAX(0,ROUND('기준스탯 72종'!J76-X1714-AF1714,0))</x:f>
        <x:v>2</x:v>
      </x:c>
      <x:c r="Q1714" s="2" t="n">
        <x:f>MAX(0,ROUND('기준스탯 72종'!K76-Y1714-AG1714,0))</x:f>
        <x:v>1</x:v>
      </x:c>
      <x:c r="R1714" s="15" t="n">
        <x:f>'기준스탯 72종'!D76*G1714</x:f>
        <x:v>2.5199999999999996</x:v>
      </x:c>
      <x:c r="S1714" s="15" t="n">
        <x:f>'기준스탯 72종'!E76*G1714</x:f>
        <x:v>3.3599999999999994</x:v>
      </x:c>
      <x:c r="T1714" s="15" t="n">
        <x:f>'기준스탯 72종'!F76*G1714</x:f>
        <x:v>2.9399999999999995</x:v>
      </x:c>
      <x:c r="U1714" s="15" t="n">
        <x:f>'기준스탯 72종'!G76*G1714</x:f>
        <x:v>3.7799999999999994</x:v>
      </x:c>
      <x:c r="V1714" s="15" t="n">
        <x:f>'기준스탯 72종'!H76*G1714</x:f>
        <x:v>1.6799999999999997</x:v>
      </x:c>
      <x:c r="W1714" s="15" t="n">
        <x:f>'기준스탯 72종'!I76*G1714</x:f>
        <x:v>1.6799999999999997</x:v>
      </x:c>
      <x:c r="X1714" s="15" t="n">
        <x:f>'기준스탯 72종'!J76*G1714</x:f>
        <x:v>2.0999999999999996</x:v>
      </x:c>
      <x:c r="Y1714" s="15" t="n">
        <x:f>'기준스탯 72종'!K76*G1714</x:f>
        <x:v>1.2599999999999998</x:v>
      </x:c>
      <x:c r="Z1714" s="15" t="n">
        <x:f>'기준스탯 72종'!D76*H1714</x:f>
        <x:v>1.0800000000000003</x:v>
      </x:c>
      <x:c r="AA1714" s="15" t="n">
        <x:f>'기준스탯 72종'!E76*H1714</x:f>
        <x:v>1.4400000000000004</x:v>
      </x:c>
      <x:c r="AB1714" s="15" t="n">
        <x:f>'기준스탯 72종'!F76*H1714</x:f>
        <x:v>1.2600000000000002</x:v>
      </x:c>
      <x:c r="AC1714" s="15" t="n">
        <x:f>'기준스탯 72종'!G76*H1714</x:f>
        <x:v>1.6200000000000006</x:v>
      </x:c>
      <x:c r="AD1714" s="15" t="n">
        <x:f>'기준스탯 72종'!H76*H1714</x:f>
        <x:v>0.7200000000000002</x:v>
      </x:c>
      <x:c r="AE1714" s="15" t="n">
        <x:f>'기준스탯 72종'!I76*H1714</x:f>
        <x:v>0.7200000000000002</x:v>
      </x:c>
      <x:c r="AF1714" s="15" t="n">
        <x:f>'기준스탯 72종'!J76*H1714</x:f>
        <x:v>0.9000000000000002</x:v>
      </x:c>
      <x:c r="AG1714" s="15" t="n">
        <x:f>'기준스탯 72종'!K76*H1714</x:f>
        <x:v>0.5400000000000001</x:v>
      </x:c>
    </x:row>
    <x:row r="1715" ht="28" customHeight="1">
      <x:c r="A1715" s="2" t="n">
        <x:v>1708</x:v>
      </x:c>
      <x:c r="B1715" s="2" t="n">
        <x:v>69</x:v>
      </x:c>
      <x:c r="C1715" s="2" t="str">
        <x:v>물고기자리</x:v>
      </x:c>
      <x:c r="D1715" s="2" t="str">
        <x:v>사수</x:v>
      </x:c>
      <x:c r="E1715" s="2" t="n">
        <x:v>3</x:v>
      </x:c>
      <x:c r="F1715" s="2" t="n">
        <x:v>2</x:v>
      </x:c>
      <x:c r="G1715" s="14" t="n">
        <x:f>('레벨 계산식'!$E$4-E1715)*'레벨 계산식'!$B$5</x:f>
        <x:v>0.27999999999999997</x:v>
      </x:c>
      <x:c r="H1715" s="14" t="n">
        <x:f>('등급 계산식'!$E$4-F1715)*'등급 계산식'!$B$5</x:f>
        <x:v>0.18000000000000005</x:v>
      </x:c>
      <x:c r="I1715" s="14" t="n">
        <x:f>1-G1715-H1715</x:f>
        <x:v>0.5399999999999999</x:v>
      </x:c>
      <x:c r="J1715" s="2" t="n">
        <x:f>MAX(1,ROUND('기준스탯 72종'!D76-R1715-Z1715,0))</x:f>
        <x:v>3</x:v>
      </x:c>
      <x:c r="K1715" s="2" t="n">
        <x:f>MAX(1,ROUND('기준스탯 72종'!E76-S1715-AA1715,0))</x:f>
        <x:v>4</x:v>
      </x:c>
      <x:c r="L1715" s="2" t="n">
        <x:f>MAX(1,ROUND('기준스탯 72종'!F76-T1715-AB1715,0))</x:f>
        <x:v>4</x:v>
      </x:c>
      <x:c r="M1715" s="2" t="n">
        <x:f>MAX(1,ROUND('기준스탯 72종'!G76-U1715-AC1715,0))</x:f>
        <x:v>5</x:v>
      </x:c>
      <x:c r="N1715" s="2" t="n">
        <x:f>MAX(0,ROUND('기준스탯 72종'!H76-V1715-AD1715,0))</x:f>
        <x:v>2</x:v>
      </x:c>
      <x:c r="O1715" s="2" t="n">
        <x:f>MAX(0,ROUND('기준스탯 72종'!I76-W1715-AE1715,0))</x:f>
        <x:v>2</x:v>
      </x:c>
      <x:c r="P1715" s="2" t="n">
        <x:f>MAX(0,ROUND('기준스탯 72종'!J76-X1715-AF1715,0))</x:f>
        <x:v>3</x:v>
      </x:c>
      <x:c r="Q1715" s="2" t="n">
        <x:f>MAX(0,ROUND('기준스탯 72종'!K76-Y1715-AG1715,0))</x:f>
        <x:v>2</x:v>
      </x:c>
      <x:c r="R1715" s="15" t="n">
        <x:f>'기준스탯 72종'!D76*G1715</x:f>
        <x:v>1.6799999999999997</x:v>
      </x:c>
      <x:c r="S1715" s="15" t="n">
        <x:f>'기준스탯 72종'!E76*G1715</x:f>
        <x:v>2.2399999999999998</x:v>
      </x:c>
      <x:c r="T1715" s="15" t="n">
        <x:f>'기준스탯 72종'!F76*G1715</x:f>
        <x:v>1.9599999999999997</x:v>
      </x:c>
      <x:c r="U1715" s="15" t="n">
        <x:f>'기준스탯 72종'!G76*G1715</x:f>
        <x:v>2.5199999999999996</x:v>
      </x:c>
      <x:c r="V1715" s="15" t="n">
        <x:f>'기준스탯 72종'!H76*G1715</x:f>
        <x:v>1.1199999999999999</x:v>
      </x:c>
      <x:c r="W1715" s="15" t="n">
        <x:f>'기준스탯 72종'!I76*G1715</x:f>
        <x:v>1.1199999999999999</x:v>
      </x:c>
      <x:c r="X1715" s="15" t="n">
        <x:f>'기준스탯 72종'!J76*G1715</x:f>
        <x:v>1.4</x:v>
      </x:c>
      <x:c r="Y1715" s="15" t="n">
        <x:f>'기준스탯 72종'!K76*G1715</x:f>
        <x:v>0.8399999999999999</x:v>
      </x:c>
      <x:c r="Z1715" s="15" t="n">
        <x:f>'기준스탯 72종'!D76*H1715</x:f>
        <x:v>1.0800000000000003</x:v>
      </x:c>
      <x:c r="AA1715" s="15" t="n">
        <x:f>'기준스탯 72종'!E76*H1715</x:f>
        <x:v>1.4400000000000004</x:v>
      </x:c>
      <x:c r="AB1715" s="15" t="n">
        <x:f>'기준스탯 72종'!F76*H1715</x:f>
        <x:v>1.2600000000000002</x:v>
      </x:c>
      <x:c r="AC1715" s="15" t="n">
        <x:f>'기준스탯 72종'!G76*H1715</x:f>
        <x:v>1.6200000000000006</x:v>
      </x:c>
      <x:c r="AD1715" s="15" t="n">
        <x:f>'기준스탯 72종'!H76*H1715</x:f>
        <x:v>0.7200000000000002</x:v>
      </x:c>
      <x:c r="AE1715" s="15" t="n">
        <x:f>'기준스탯 72종'!I76*H1715</x:f>
        <x:v>0.7200000000000002</x:v>
      </x:c>
      <x:c r="AF1715" s="15" t="n">
        <x:f>'기준스탯 72종'!J76*H1715</x:f>
        <x:v>0.9000000000000002</x:v>
      </x:c>
      <x:c r="AG1715" s="15" t="n">
        <x:f>'기준스탯 72종'!K76*H1715</x:f>
        <x:v>0.5400000000000001</x:v>
      </x:c>
    </x:row>
    <x:row r="1716" ht="28" customHeight="1">
      <x:c r="A1716" s="2" t="n">
        <x:v>1709</x:v>
      </x:c>
      <x:c r="B1716" s="2" t="n">
        <x:v>69</x:v>
      </x:c>
      <x:c r="C1716" s="2" t="str">
        <x:v>물고기자리</x:v>
      </x:c>
      <x:c r="D1716" s="2" t="str">
        <x:v>사수</x:v>
      </x:c>
      <x:c r="E1716" s="2" t="n">
        <x:v>4</x:v>
      </x:c>
      <x:c r="F1716" s="2" t="n">
        <x:v>2</x:v>
      </x:c>
      <x:c r="G1716" s="14" t="n">
        <x:f>('레벨 계산식'!$E$4-E1716)*'레벨 계산식'!$B$5</x:f>
        <x:v>0.13999999999999999</x:v>
      </x:c>
      <x:c r="H1716" s="14" t="n">
        <x:f>('등급 계산식'!$E$4-F1716)*'등급 계산식'!$B$5</x:f>
        <x:v>0.18000000000000005</x:v>
      </x:c>
      <x:c r="I1716" s="14" t="n">
        <x:f>1-G1716-H1716</x:f>
        <x:v>0.6799999999999999</x:v>
      </x:c>
      <x:c r="J1716" s="2" t="n">
        <x:f>MAX(1,ROUND('기준스탯 72종'!D76-R1716-Z1716,0))</x:f>
        <x:v>4</x:v>
      </x:c>
      <x:c r="K1716" s="2" t="n">
        <x:f>MAX(1,ROUND('기준스탯 72종'!E76-S1716-AA1716,0))</x:f>
        <x:v>5</x:v>
      </x:c>
      <x:c r="L1716" s="2" t="n">
        <x:f>MAX(1,ROUND('기준스탯 72종'!F76-T1716-AB1716,0))</x:f>
        <x:v>5</x:v>
      </x:c>
      <x:c r="M1716" s="2" t="n">
        <x:f>MAX(1,ROUND('기준스탯 72종'!G76-U1716-AC1716,0))</x:f>
        <x:v>6</x:v>
      </x:c>
      <x:c r="N1716" s="2" t="n">
        <x:f>MAX(0,ROUND('기준스탯 72종'!H76-V1716-AD1716,0))</x:f>
        <x:v>3</x:v>
      </x:c>
      <x:c r="O1716" s="2" t="n">
        <x:f>MAX(0,ROUND('기준스탯 72종'!I76-W1716-AE1716,0))</x:f>
        <x:v>3</x:v>
      </x:c>
      <x:c r="P1716" s="2" t="n">
        <x:f>MAX(0,ROUND('기준스탯 72종'!J76-X1716-AF1716,0))</x:f>
        <x:v>3</x:v>
      </x:c>
      <x:c r="Q1716" s="2" t="n">
        <x:f>MAX(0,ROUND('기준스탯 72종'!K76-Y1716-AG1716,0))</x:f>
        <x:v>2</x:v>
      </x:c>
      <x:c r="R1716" s="15" t="n">
        <x:f>'기준스탯 72종'!D76*G1716</x:f>
        <x:v>0.8399999999999999</x:v>
      </x:c>
      <x:c r="S1716" s="15" t="n">
        <x:f>'기준스탯 72종'!E76*G1716</x:f>
        <x:v>1.1199999999999999</x:v>
      </x:c>
      <x:c r="T1716" s="15" t="n">
        <x:f>'기준스탯 72종'!F76*G1716</x:f>
        <x:v>0.9799999999999999</x:v>
      </x:c>
      <x:c r="U1716" s="15" t="n">
        <x:f>'기준스탯 72종'!G76*G1716</x:f>
        <x:v>1.2599999999999998</x:v>
      </x:c>
      <x:c r="V1716" s="15" t="n">
        <x:f>'기준스탯 72종'!H76*G1716</x:f>
        <x:v>0.5599999999999999</x:v>
      </x:c>
      <x:c r="W1716" s="15" t="n">
        <x:f>'기준스탯 72종'!I76*G1716</x:f>
        <x:v>0.5599999999999999</x:v>
      </x:c>
      <x:c r="X1716" s="15" t="n">
        <x:f>'기준스탯 72종'!J76*G1716</x:f>
        <x:v>0.7</x:v>
      </x:c>
      <x:c r="Y1716" s="15" t="n">
        <x:f>'기준스탯 72종'!K76*G1716</x:f>
        <x:v>0.41999999999999993</x:v>
      </x:c>
      <x:c r="Z1716" s="15" t="n">
        <x:f>'기준스탯 72종'!D76*H1716</x:f>
        <x:v>1.0800000000000003</x:v>
      </x:c>
      <x:c r="AA1716" s="15" t="n">
        <x:f>'기준스탯 72종'!E76*H1716</x:f>
        <x:v>1.4400000000000004</x:v>
      </x:c>
      <x:c r="AB1716" s="15" t="n">
        <x:f>'기준스탯 72종'!F76*H1716</x:f>
        <x:v>1.2600000000000002</x:v>
      </x:c>
      <x:c r="AC1716" s="15" t="n">
        <x:f>'기준스탯 72종'!G76*H1716</x:f>
        <x:v>1.6200000000000006</x:v>
      </x:c>
      <x:c r="AD1716" s="15" t="n">
        <x:f>'기준스탯 72종'!H76*H1716</x:f>
        <x:v>0.7200000000000002</x:v>
      </x:c>
      <x:c r="AE1716" s="15" t="n">
        <x:f>'기준스탯 72종'!I76*H1716</x:f>
        <x:v>0.7200000000000002</x:v>
      </x:c>
      <x:c r="AF1716" s="15" t="n">
        <x:f>'기준스탯 72종'!J76*H1716</x:f>
        <x:v>0.9000000000000002</x:v>
      </x:c>
      <x:c r="AG1716" s="15" t="n">
        <x:f>'기준스탯 72종'!K76*H1716</x:f>
        <x:v>0.5400000000000001</x:v>
      </x:c>
    </x:row>
    <x:row r="1717" ht="28" customHeight="1">
      <x:c r="A1717" s="2" t="n">
        <x:v>1710</x:v>
      </x:c>
      <x:c r="B1717" s="2" t="n">
        <x:v>69</x:v>
      </x:c>
      <x:c r="C1717" s="2" t="str">
        <x:v>물고기자리</x:v>
      </x:c>
      <x:c r="D1717" s="2" t="str">
        <x:v>사수</x:v>
      </x:c>
      <x:c r="E1717" s="2" t="n">
        <x:v>5</x:v>
      </x:c>
      <x:c r="F1717" s="2" t="n">
        <x:v>2</x:v>
      </x:c>
      <x:c r="G1717" s="14" t="n">
        <x:f>('레벨 계산식'!$E$4-E1717)*'레벨 계산식'!$B$5</x:f>
        <x:v>0</x:v>
      </x:c>
      <x:c r="H1717" s="14" t="n">
        <x:f>('등급 계산식'!$E$4-F1717)*'등급 계산식'!$B$5</x:f>
        <x:v>0.18000000000000005</x:v>
      </x:c>
      <x:c r="I1717" s="14" t="n">
        <x:f>1-G1717-H1717</x:f>
        <x:v>0.82</x:v>
      </x:c>
      <x:c r="J1717" s="2" t="n">
        <x:f>MAX(1,ROUND('기준스탯 72종'!D76-R1717-Z1717,0))</x:f>
        <x:v>5</x:v>
      </x:c>
      <x:c r="K1717" s="2" t="n">
        <x:f>MAX(1,ROUND('기준스탯 72종'!E76-S1717-AA1717,0))</x:f>
        <x:v>7</x:v>
      </x:c>
      <x:c r="L1717" s="2" t="n">
        <x:f>MAX(1,ROUND('기준스탯 72종'!F76-T1717-AB1717,0))</x:f>
        <x:v>6</x:v>
      </x:c>
      <x:c r="M1717" s="2" t="n">
        <x:f>MAX(1,ROUND('기준스탯 72종'!G76-U1717-AC1717,0))</x:f>
        <x:v>7</x:v>
      </x:c>
      <x:c r="N1717" s="2" t="n">
        <x:f>MAX(0,ROUND('기준스탯 72종'!H76-V1717-AD1717,0))</x:f>
        <x:v>3</x:v>
      </x:c>
      <x:c r="O1717" s="2" t="n">
        <x:f>MAX(0,ROUND('기준스탯 72종'!I76-W1717-AE1717,0))</x:f>
        <x:v>3</x:v>
      </x:c>
      <x:c r="P1717" s="2" t="n">
        <x:f>MAX(0,ROUND('기준스탯 72종'!J76-X1717-AF1717,0))</x:f>
        <x:v>4</x:v>
      </x:c>
      <x:c r="Q1717" s="2" t="n">
        <x:f>MAX(0,ROUND('기준스탯 72종'!K76-Y1717-AG1717,0))</x:f>
        <x:v>2</x:v>
      </x:c>
      <x:c r="R1717" s="15" t="n">
        <x:f>'기준스탯 72종'!D76*G1717</x:f>
        <x:v>0</x:v>
      </x:c>
      <x:c r="S1717" s="15" t="n">
        <x:f>'기준스탯 72종'!E76*G1717</x:f>
        <x:v>0</x:v>
      </x:c>
      <x:c r="T1717" s="15" t="n">
        <x:f>'기준스탯 72종'!F76*G1717</x:f>
        <x:v>0</x:v>
      </x:c>
      <x:c r="U1717" s="15" t="n">
        <x:f>'기준스탯 72종'!G76*G1717</x:f>
        <x:v>0</x:v>
      </x:c>
      <x:c r="V1717" s="15" t="n">
        <x:f>'기준스탯 72종'!H76*G1717</x:f>
        <x:v>0</x:v>
      </x:c>
      <x:c r="W1717" s="15" t="n">
        <x:f>'기준스탯 72종'!I76*G1717</x:f>
        <x:v>0</x:v>
      </x:c>
      <x:c r="X1717" s="15" t="n">
        <x:f>'기준스탯 72종'!J76*G1717</x:f>
        <x:v>0</x:v>
      </x:c>
      <x:c r="Y1717" s="15" t="n">
        <x:f>'기준스탯 72종'!K76*G1717</x:f>
        <x:v>0</x:v>
      </x:c>
      <x:c r="Z1717" s="15" t="n">
        <x:f>'기준스탯 72종'!D76*H1717</x:f>
        <x:v>1.0800000000000003</x:v>
      </x:c>
      <x:c r="AA1717" s="15" t="n">
        <x:f>'기준스탯 72종'!E76*H1717</x:f>
        <x:v>1.4400000000000004</x:v>
      </x:c>
      <x:c r="AB1717" s="15" t="n">
        <x:f>'기준스탯 72종'!F76*H1717</x:f>
        <x:v>1.2600000000000002</x:v>
      </x:c>
      <x:c r="AC1717" s="15" t="n">
        <x:f>'기준스탯 72종'!G76*H1717</x:f>
        <x:v>1.6200000000000006</x:v>
      </x:c>
      <x:c r="AD1717" s="15" t="n">
        <x:f>'기준스탯 72종'!H76*H1717</x:f>
        <x:v>0.7200000000000002</x:v>
      </x:c>
      <x:c r="AE1717" s="15" t="n">
        <x:f>'기준스탯 72종'!I76*H1717</x:f>
        <x:v>0.7200000000000002</x:v>
      </x:c>
      <x:c r="AF1717" s="15" t="n">
        <x:f>'기준스탯 72종'!J76*H1717</x:f>
        <x:v>0.9000000000000002</x:v>
      </x:c>
      <x:c r="AG1717" s="15" t="n">
        <x:f>'기준스탯 72종'!K76*H1717</x:f>
        <x:v>0.5400000000000001</x:v>
      </x:c>
    </x:row>
    <x:row r="1718" ht="28" customHeight="1">
      <x:c r="A1718" s="2" t="n">
        <x:v>1711</x:v>
      </x:c>
      <x:c r="B1718" s="2" t="n">
        <x:v>69</x:v>
      </x:c>
      <x:c r="C1718" s="2" t="str">
        <x:v>물고기자리</x:v>
      </x:c>
      <x:c r="D1718" s="2" t="str">
        <x:v>사수</x:v>
      </x:c>
      <x:c r="E1718" s="2" t="n">
        <x:v>1</x:v>
      </x:c>
      <x:c r="F1718" s="2" t="n">
        <x:v>3</x:v>
      </x:c>
      <x:c r="G1718" s="14" t="n">
        <x:f>('레벨 계산식'!$E$4-E1718)*'레벨 계산식'!$B$5</x:f>
        <x:v>0.5599999999999999</x:v>
      </x:c>
      <x:c r="H1718" s="14" t="n">
        <x:f>('등급 계산식'!$E$4-F1718)*'등급 계산식'!$B$5</x:f>
        <x:v>0.12000000000000002</x:v>
      </x:c>
      <x:c r="I1718" s="14" t="n">
        <x:f>1-G1718-H1718</x:f>
        <x:v>0.32000000000000006</x:v>
      </x:c>
      <x:c r="J1718" s="2" t="n">
        <x:f>MAX(1,ROUND('기준스탯 72종'!D76-R1718-Z1718,0))</x:f>
        <x:v>2</x:v>
      </x:c>
      <x:c r="K1718" s="2" t="n">
        <x:f>MAX(1,ROUND('기준스탯 72종'!E76-S1718-AA1718,0))</x:f>
        <x:v>3</x:v>
      </x:c>
      <x:c r="L1718" s="2" t="n">
        <x:f>MAX(1,ROUND('기준스탯 72종'!F76-T1718-AB1718,0))</x:f>
        <x:v>2</x:v>
      </x:c>
      <x:c r="M1718" s="2" t="n">
        <x:f>MAX(1,ROUND('기준스탯 72종'!G76-U1718-AC1718,0))</x:f>
        <x:v>3</x:v>
      </x:c>
      <x:c r="N1718" s="2" t="n">
        <x:f>MAX(0,ROUND('기준스탯 72종'!H76-V1718-AD1718,0))</x:f>
        <x:v>1</x:v>
      </x:c>
      <x:c r="O1718" s="2" t="n">
        <x:f>MAX(0,ROUND('기준스탯 72종'!I76-W1718-AE1718,0))</x:f>
        <x:v>1</x:v>
      </x:c>
      <x:c r="P1718" s="2" t="n">
        <x:f>MAX(0,ROUND('기준스탯 72종'!J76-X1718-AF1718,0))</x:f>
        <x:v>2</x:v>
      </x:c>
      <x:c r="Q1718" s="2" t="n">
        <x:f>MAX(0,ROUND('기준스탯 72종'!K76-Y1718-AG1718,0))</x:f>
        <x:v>1</x:v>
      </x:c>
      <x:c r="R1718" s="15" t="n">
        <x:f>'기준스탯 72종'!D76*G1718</x:f>
        <x:v>3.3599999999999994</x:v>
      </x:c>
      <x:c r="S1718" s="15" t="n">
        <x:f>'기준스탯 72종'!E76*G1718</x:f>
        <x:v>4.4799999999999995</x:v>
      </x:c>
      <x:c r="T1718" s="15" t="n">
        <x:f>'기준스탯 72종'!F76*G1718</x:f>
        <x:v>3.9199999999999995</x:v>
      </x:c>
      <x:c r="U1718" s="15" t="n">
        <x:f>'기준스탯 72종'!G76*G1718</x:f>
        <x:v>5.039999999999999</x:v>
      </x:c>
      <x:c r="V1718" s="15" t="n">
        <x:f>'기준스탯 72종'!H76*G1718</x:f>
        <x:v>2.2399999999999998</x:v>
      </x:c>
      <x:c r="W1718" s="15" t="n">
        <x:f>'기준스탯 72종'!I76*G1718</x:f>
        <x:v>2.2399999999999998</x:v>
      </x:c>
      <x:c r="X1718" s="15" t="n">
        <x:f>'기준스탯 72종'!J76*G1718</x:f>
        <x:v>2.8</x:v>
      </x:c>
      <x:c r="Y1718" s="15" t="n">
        <x:f>'기준스탯 72종'!K76*G1718</x:f>
        <x:v>1.6799999999999997</x:v>
      </x:c>
      <x:c r="Z1718" s="15" t="n">
        <x:f>'기준스탯 72종'!D76*H1718</x:f>
        <x:v>0.7200000000000002</x:v>
      </x:c>
      <x:c r="AA1718" s="15" t="n">
        <x:f>'기준스탯 72종'!E76*H1718</x:f>
        <x:v>0.9600000000000002</x:v>
      </x:c>
      <x:c r="AB1718" s="15" t="n">
        <x:f>'기준스탯 72종'!F76*H1718</x:f>
        <x:v>0.8400000000000002</x:v>
      </x:c>
      <x:c r="AC1718" s="15" t="n">
        <x:f>'기준스탯 72종'!G76*H1718</x:f>
        <x:v>1.0800000000000003</x:v>
      </x:c>
      <x:c r="AD1718" s="15" t="n">
        <x:f>'기준스탯 72종'!H76*H1718</x:f>
        <x:v>0.4800000000000001</x:v>
      </x:c>
      <x:c r="AE1718" s="15" t="n">
        <x:f>'기준스탯 72종'!I76*H1718</x:f>
        <x:v>0.4800000000000001</x:v>
      </x:c>
      <x:c r="AF1718" s="15" t="n">
        <x:f>'기준스탯 72종'!J76*H1718</x:f>
        <x:v>0.6000000000000001</x:v>
      </x:c>
      <x:c r="AG1718" s="15" t="n">
        <x:f>'기준스탯 72종'!K76*H1718</x:f>
        <x:v>0.3600000000000001</x:v>
      </x:c>
    </x:row>
    <x:row r="1719" ht="28" customHeight="1">
      <x:c r="A1719" s="2" t="n">
        <x:v>1712</x:v>
      </x:c>
      <x:c r="B1719" s="2" t="n">
        <x:v>69</x:v>
      </x:c>
      <x:c r="C1719" s="2" t="str">
        <x:v>물고기자리</x:v>
      </x:c>
      <x:c r="D1719" s="2" t="str">
        <x:v>사수</x:v>
      </x:c>
      <x:c r="E1719" s="2" t="n">
        <x:v>2</x:v>
      </x:c>
      <x:c r="F1719" s="2" t="n">
        <x:v>3</x:v>
      </x:c>
      <x:c r="G1719" s="14" t="n">
        <x:f>('레벨 계산식'!$E$4-E1719)*'레벨 계산식'!$B$5</x:f>
        <x:v>0.41999999999999993</x:v>
      </x:c>
      <x:c r="H1719" s="14" t="n">
        <x:f>('등급 계산식'!$E$4-F1719)*'등급 계산식'!$B$5</x:f>
        <x:v>0.12000000000000002</x:v>
      </x:c>
      <x:c r="I1719" s="14" t="n">
        <x:f>1-G1719-H1719</x:f>
        <x:v>0.4600000000000001</x:v>
      </x:c>
      <x:c r="J1719" s="2" t="n">
        <x:f>MAX(1,ROUND('기준스탯 72종'!D76-R1719-Z1719,0))</x:f>
        <x:v>3</x:v>
      </x:c>
      <x:c r="K1719" s="2" t="n">
        <x:f>MAX(1,ROUND('기준스탯 72종'!E76-S1719-AA1719,0))</x:f>
        <x:v>4</x:v>
      </x:c>
      <x:c r="L1719" s="2" t="n">
        <x:f>MAX(1,ROUND('기준스탯 72종'!F76-T1719-AB1719,0))</x:f>
        <x:v>3</x:v>
      </x:c>
      <x:c r="M1719" s="2" t="n">
        <x:f>MAX(1,ROUND('기준스탯 72종'!G76-U1719-AC1719,0))</x:f>
        <x:v>4</x:v>
      </x:c>
      <x:c r="N1719" s="2" t="n">
        <x:f>MAX(0,ROUND('기준스탯 72종'!H76-V1719-AD1719,0))</x:f>
        <x:v>2</x:v>
      </x:c>
      <x:c r="O1719" s="2" t="n">
        <x:f>MAX(0,ROUND('기준스탯 72종'!I76-W1719-AE1719,0))</x:f>
        <x:v>2</x:v>
      </x:c>
      <x:c r="P1719" s="2" t="n">
        <x:f>MAX(0,ROUND('기준스탯 72종'!J76-X1719-AF1719,0))</x:f>
        <x:v>2</x:v>
      </x:c>
      <x:c r="Q1719" s="2" t="n">
        <x:f>MAX(0,ROUND('기준스탯 72종'!K76-Y1719-AG1719,0))</x:f>
        <x:v>1</x:v>
      </x:c>
      <x:c r="R1719" s="15" t="n">
        <x:f>'기준스탯 72종'!D76*G1719</x:f>
        <x:v>2.5199999999999996</x:v>
      </x:c>
      <x:c r="S1719" s="15" t="n">
        <x:f>'기준스탯 72종'!E76*G1719</x:f>
        <x:v>3.3599999999999994</x:v>
      </x:c>
      <x:c r="T1719" s="15" t="n">
        <x:f>'기준스탯 72종'!F76*G1719</x:f>
        <x:v>2.9399999999999995</x:v>
      </x:c>
      <x:c r="U1719" s="15" t="n">
        <x:f>'기준스탯 72종'!G76*G1719</x:f>
        <x:v>3.7799999999999994</x:v>
      </x:c>
      <x:c r="V1719" s="15" t="n">
        <x:f>'기준스탯 72종'!H76*G1719</x:f>
        <x:v>1.6799999999999997</x:v>
      </x:c>
      <x:c r="W1719" s="15" t="n">
        <x:f>'기준스탯 72종'!I76*G1719</x:f>
        <x:v>1.6799999999999997</x:v>
      </x:c>
      <x:c r="X1719" s="15" t="n">
        <x:f>'기준스탯 72종'!J76*G1719</x:f>
        <x:v>2.0999999999999996</x:v>
      </x:c>
      <x:c r="Y1719" s="15" t="n">
        <x:f>'기준스탯 72종'!K76*G1719</x:f>
        <x:v>1.2599999999999998</x:v>
      </x:c>
      <x:c r="Z1719" s="15" t="n">
        <x:f>'기준스탯 72종'!D76*H1719</x:f>
        <x:v>0.7200000000000002</x:v>
      </x:c>
      <x:c r="AA1719" s="15" t="n">
        <x:f>'기준스탯 72종'!E76*H1719</x:f>
        <x:v>0.9600000000000002</x:v>
      </x:c>
      <x:c r="AB1719" s="15" t="n">
        <x:f>'기준스탯 72종'!F76*H1719</x:f>
        <x:v>0.8400000000000002</x:v>
      </x:c>
      <x:c r="AC1719" s="15" t="n">
        <x:f>'기준스탯 72종'!G76*H1719</x:f>
        <x:v>1.0800000000000003</x:v>
      </x:c>
      <x:c r="AD1719" s="15" t="n">
        <x:f>'기준스탯 72종'!H76*H1719</x:f>
        <x:v>0.4800000000000001</x:v>
      </x:c>
      <x:c r="AE1719" s="15" t="n">
        <x:f>'기준스탯 72종'!I76*H1719</x:f>
        <x:v>0.4800000000000001</x:v>
      </x:c>
      <x:c r="AF1719" s="15" t="n">
        <x:f>'기준스탯 72종'!J76*H1719</x:f>
        <x:v>0.6000000000000001</x:v>
      </x:c>
      <x:c r="AG1719" s="15" t="n">
        <x:f>'기준스탯 72종'!K76*H1719</x:f>
        <x:v>0.3600000000000001</x:v>
      </x:c>
    </x:row>
    <x:row r="1720" ht="28" customHeight="1">
      <x:c r="A1720" s="2" t="n">
        <x:v>1713</x:v>
      </x:c>
      <x:c r="B1720" s="2" t="n">
        <x:v>69</x:v>
      </x:c>
      <x:c r="C1720" s="2" t="str">
        <x:v>물고기자리</x:v>
      </x:c>
      <x:c r="D1720" s="2" t="str">
        <x:v>사수</x:v>
      </x:c>
      <x:c r="E1720" s="2" t="n">
        <x:v>3</x:v>
      </x:c>
      <x:c r="F1720" s="2" t="n">
        <x:v>3</x:v>
      </x:c>
      <x:c r="G1720" s="14" t="n">
        <x:f>('레벨 계산식'!$E$4-E1720)*'레벨 계산식'!$B$5</x:f>
        <x:v>0.27999999999999997</x:v>
      </x:c>
      <x:c r="H1720" s="14" t="n">
        <x:f>('등급 계산식'!$E$4-F1720)*'등급 계산식'!$B$5</x:f>
        <x:v>0.12000000000000002</x:v>
      </x:c>
      <x:c r="I1720" s="14" t="n">
        <x:f>1-G1720-H1720</x:f>
        <x:v>0.6</x:v>
      </x:c>
      <x:c r="J1720" s="2" t="n">
        <x:f>MAX(1,ROUND('기준스탯 72종'!D76-R1720-Z1720,0))</x:f>
        <x:v>4</x:v>
      </x:c>
      <x:c r="K1720" s="2" t="n">
        <x:f>MAX(1,ROUND('기준스탯 72종'!E76-S1720-AA1720,0))</x:f>
        <x:v>5</x:v>
      </x:c>
      <x:c r="L1720" s="2" t="n">
        <x:f>MAX(1,ROUND('기준스탯 72종'!F76-T1720-AB1720,0))</x:f>
        <x:v>4</x:v>
      </x:c>
      <x:c r="M1720" s="2" t="n">
        <x:f>MAX(1,ROUND('기준스탯 72종'!G76-U1720-AC1720,0))</x:f>
        <x:v>5</x:v>
      </x:c>
      <x:c r="N1720" s="2" t="n">
        <x:f>MAX(0,ROUND('기준스탯 72종'!H76-V1720-AD1720,0))</x:f>
        <x:v>2</x:v>
      </x:c>
      <x:c r="O1720" s="2" t="n">
        <x:f>MAX(0,ROUND('기준스탯 72종'!I76-W1720-AE1720,0))</x:f>
        <x:v>2</x:v>
      </x:c>
      <x:c r="P1720" s="2" t="n">
        <x:f>MAX(0,ROUND('기준스탯 72종'!J76-X1720-AF1720,0))</x:f>
        <x:v>3</x:v>
      </x:c>
      <x:c r="Q1720" s="2" t="n">
        <x:f>MAX(0,ROUND('기준스탯 72종'!K76-Y1720-AG1720,0))</x:f>
        <x:v>2</x:v>
      </x:c>
      <x:c r="R1720" s="15" t="n">
        <x:f>'기준스탯 72종'!D76*G1720</x:f>
        <x:v>1.6799999999999997</x:v>
      </x:c>
      <x:c r="S1720" s="15" t="n">
        <x:f>'기준스탯 72종'!E76*G1720</x:f>
        <x:v>2.2399999999999998</x:v>
      </x:c>
      <x:c r="T1720" s="15" t="n">
        <x:f>'기준스탯 72종'!F76*G1720</x:f>
        <x:v>1.9599999999999997</x:v>
      </x:c>
      <x:c r="U1720" s="15" t="n">
        <x:f>'기준스탯 72종'!G76*G1720</x:f>
        <x:v>2.5199999999999996</x:v>
      </x:c>
      <x:c r="V1720" s="15" t="n">
        <x:f>'기준스탯 72종'!H76*G1720</x:f>
        <x:v>1.1199999999999999</x:v>
      </x:c>
      <x:c r="W1720" s="15" t="n">
        <x:f>'기준스탯 72종'!I76*G1720</x:f>
        <x:v>1.1199999999999999</x:v>
      </x:c>
      <x:c r="X1720" s="15" t="n">
        <x:f>'기준스탯 72종'!J76*G1720</x:f>
        <x:v>1.4</x:v>
      </x:c>
      <x:c r="Y1720" s="15" t="n">
        <x:f>'기준스탯 72종'!K76*G1720</x:f>
        <x:v>0.8399999999999999</x:v>
      </x:c>
      <x:c r="Z1720" s="15" t="n">
        <x:f>'기준스탯 72종'!D76*H1720</x:f>
        <x:v>0.7200000000000002</x:v>
      </x:c>
      <x:c r="AA1720" s="15" t="n">
        <x:f>'기준스탯 72종'!E76*H1720</x:f>
        <x:v>0.9600000000000002</x:v>
      </x:c>
      <x:c r="AB1720" s="15" t="n">
        <x:f>'기준스탯 72종'!F76*H1720</x:f>
        <x:v>0.8400000000000002</x:v>
      </x:c>
      <x:c r="AC1720" s="15" t="n">
        <x:f>'기준스탯 72종'!G76*H1720</x:f>
        <x:v>1.0800000000000003</x:v>
      </x:c>
      <x:c r="AD1720" s="15" t="n">
        <x:f>'기준스탯 72종'!H76*H1720</x:f>
        <x:v>0.4800000000000001</x:v>
      </x:c>
      <x:c r="AE1720" s="15" t="n">
        <x:f>'기준스탯 72종'!I76*H1720</x:f>
        <x:v>0.4800000000000001</x:v>
      </x:c>
      <x:c r="AF1720" s="15" t="n">
        <x:f>'기준스탯 72종'!J76*H1720</x:f>
        <x:v>0.6000000000000001</x:v>
      </x:c>
      <x:c r="AG1720" s="15" t="n">
        <x:f>'기준스탯 72종'!K76*H1720</x:f>
        <x:v>0.3600000000000001</x:v>
      </x:c>
    </x:row>
    <x:row r="1721" ht="28" customHeight="1">
      <x:c r="A1721" s="2" t="n">
        <x:v>1714</x:v>
      </x:c>
      <x:c r="B1721" s="2" t="n">
        <x:v>69</x:v>
      </x:c>
      <x:c r="C1721" s="2" t="str">
        <x:v>물고기자리</x:v>
      </x:c>
      <x:c r="D1721" s="2" t="str">
        <x:v>사수</x:v>
      </x:c>
      <x:c r="E1721" s="2" t="n">
        <x:v>4</x:v>
      </x:c>
      <x:c r="F1721" s="2" t="n">
        <x:v>3</x:v>
      </x:c>
      <x:c r="G1721" s="14" t="n">
        <x:f>('레벨 계산식'!$E$4-E1721)*'레벨 계산식'!$B$5</x:f>
        <x:v>0.13999999999999999</x:v>
      </x:c>
      <x:c r="H1721" s="14" t="n">
        <x:f>('등급 계산식'!$E$4-F1721)*'등급 계산식'!$B$5</x:f>
        <x:v>0.12000000000000002</x:v>
      </x:c>
      <x:c r="I1721" s="14" t="n">
        <x:f>1-G1721-H1721</x:f>
        <x:v>0.74</x:v>
      </x:c>
      <x:c r="J1721" s="2" t="n">
        <x:f>MAX(1,ROUND('기준스탯 72종'!D76-R1721-Z1721,0))</x:f>
        <x:v>4</x:v>
      </x:c>
      <x:c r="K1721" s="2" t="n">
        <x:f>MAX(1,ROUND('기준스탯 72종'!E76-S1721-AA1721,0))</x:f>
        <x:v>6</x:v>
      </x:c>
      <x:c r="L1721" s="2" t="n">
        <x:f>MAX(1,ROUND('기준스탯 72종'!F76-T1721-AB1721,0))</x:f>
        <x:v>5</x:v>
      </x:c>
      <x:c r="M1721" s="2" t="n">
        <x:f>MAX(1,ROUND('기준스탯 72종'!G76-U1721-AC1721,0))</x:f>
        <x:v>7</x:v>
      </x:c>
      <x:c r="N1721" s="2" t="n">
        <x:f>MAX(0,ROUND('기준스탯 72종'!H76-V1721-AD1721,0))</x:f>
        <x:v>3</x:v>
      </x:c>
      <x:c r="O1721" s="2" t="n">
        <x:f>MAX(0,ROUND('기준스탯 72종'!I76-W1721-AE1721,0))</x:f>
        <x:v>3</x:v>
      </x:c>
      <x:c r="P1721" s="2" t="n">
        <x:f>MAX(0,ROUND('기준스탯 72종'!J76-X1721-AF1721,0))</x:f>
        <x:v>4</x:v>
      </x:c>
      <x:c r="Q1721" s="2" t="n">
        <x:f>MAX(0,ROUND('기준스탯 72종'!K76-Y1721-AG1721,0))</x:f>
        <x:v>2</x:v>
      </x:c>
      <x:c r="R1721" s="15" t="n">
        <x:f>'기준스탯 72종'!D76*G1721</x:f>
        <x:v>0.8399999999999999</x:v>
      </x:c>
      <x:c r="S1721" s="15" t="n">
        <x:f>'기준스탯 72종'!E76*G1721</x:f>
        <x:v>1.1199999999999999</x:v>
      </x:c>
      <x:c r="T1721" s="15" t="n">
        <x:f>'기준스탯 72종'!F76*G1721</x:f>
        <x:v>0.9799999999999999</x:v>
      </x:c>
      <x:c r="U1721" s="15" t="n">
        <x:f>'기준스탯 72종'!G76*G1721</x:f>
        <x:v>1.2599999999999998</x:v>
      </x:c>
      <x:c r="V1721" s="15" t="n">
        <x:f>'기준스탯 72종'!H76*G1721</x:f>
        <x:v>0.5599999999999999</x:v>
      </x:c>
      <x:c r="W1721" s="15" t="n">
        <x:f>'기준스탯 72종'!I76*G1721</x:f>
        <x:v>0.5599999999999999</x:v>
      </x:c>
      <x:c r="X1721" s="15" t="n">
        <x:f>'기준스탯 72종'!J76*G1721</x:f>
        <x:v>0.7</x:v>
      </x:c>
      <x:c r="Y1721" s="15" t="n">
        <x:f>'기준스탯 72종'!K76*G1721</x:f>
        <x:v>0.41999999999999993</x:v>
      </x:c>
      <x:c r="Z1721" s="15" t="n">
        <x:f>'기준스탯 72종'!D76*H1721</x:f>
        <x:v>0.7200000000000002</x:v>
      </x:c>
      <x:c r="AA1721" s="15" t="n">
        <x:f>'기준스탯 72종'!E76*H1721</x:f>
        <x:v>0.9600000000000002</x:v>
      </x:c>
      <x:c r="AB1721" s="15" t="n">
        <x:f>'기준스탯 72종'!F76*H1721</x:f>
        <x:v>0.8400000000000002</x:v>
      </x:c>
      <x:c r="AC1721" s="15" t="n">
        <x:f>'기준스탯 72종'!G76*H1721</x:f>
        <x:v>1.0800000000000003</x:v>
      </x:c>
      <x:c r="AD1721" s="15" t="n">
        <x:f>'기준스탯 72종'!H76*H1721</x:f>
        <x:v>0.4800000000000001</x:v>
      </x:c>
      <x:c r="AE1721" s="15" t="n">
        <x:f>'기준스탯 72종'!I76*H1721</x:f>
        <x:v>0.4800000000000001</x:v>
      </x:c>
      <x:c r="AF1721" s="15" t="n">
        <x:f>'기준스탯 72종'!J76*H1721</x:f>
        <x:v>0.6000000000000001</x:v>
      </x:c>
      <x:c r="AG1721" s="15" t="n">
        <x:f>'기준스탯 72종'!K76*H1721</x:f>
        <x:v>0.3600000000000001</x:v>
      </x:c>
    </x:row>
    <x:row r="1722" ht="28" customHeight="1">
      <x:c r="A1722" s="2" t="n">
        <x:v>1715</x:v>
      </x:c>
      <x:c r="B1722" s="2" t="n">
        <x:v>69</x:v>
      </x:c>
      <x:c r="C1722" s="2" t="str">
        <x:v>물고기자리</x:v>
      </x:c>
      <x:c r="D1722" s="2" t="str">
        <x:v>사수</x:v>
      </x:c>
      <x:c r="E1722" s="2" t="n">
        <x:v>5</x:v>
      </x:c>
      <x:c r="F1722" s="2" t="n">
        <x:v>3</x:v>
      </x:c>
      <x:c r="G1722" s="14" t="n">
        <x:f>('레벨 계산식'!$E$4-E1722)*'레벨 계산식'!$B$5</x:f>
        <x:v>0</x:v>
      </x:c>
      <x:c r="H1722" s="14" t="n">
        <x:f>('등급 계산식'!$E$4-F1722)*'등급 계산식'!$B$5</x:f>
        <x:v>0.12000000000000002</x:v>
      </x:c>
      <x:c r="I1722" s="14" t="n">
        <x:f>1-G1722-H1722</x:f>
        <x:v>0.88</x:v>
      </x:c>
      <x:c r="J1722" s="2" t="n">
        <x:f>MAX(1,ROUND('기준스탯 72종'!D76-R1722-Z1722,0))</x:f>
        <x:v>5</x:v>
      </x:c>
      <x:c r="K1722" s="2" t="n">
        <x:f>MAX(1,ROUND('기준스탯 72종'!E76-S1722-AA1722,0))</x:f>
        <x:v>7</x:v>
      </x:c>
      <x:c r="L1722" s="2" t="n">
        <x:f>MAX(1,ROUND('기준스탯 72종'!F76-T1722-AB1722,0))</x:f>
        <x:v>6</x:v>
      </x:c>
      <x:c r="M1722" s="2" t="n">
        <x:f>MAX(1,ROUND('기준스탯 72종'!G76-U1722-AC1722,0))</x:f>
        <x:v>8</x:v>
      </x:c>
      <x:c r="N1722" s="2" t="n">
        <x:f>MAX(0,ROUND('기준스탯 72종'!H76-V1722-AD1722,0))</x:f>
        <x:v>4</x:v>
      </x:c>
      <x:c r="O1722" s="2" t="n">
        <x:f>MAX(0,ROUND('기준스탯 72종'!I76-W1722-AE1722,0))</x:f>
        <x:v>4</x:v>
      </x:c>
      <x:c r="P1722" s="2" t="n">
        <x:f>MAX(0,ROUND('기준스탯 72종'!J76-X1722-AF1722,0))</x:f>
        <x:v>4</x:v>
      </x:c>
      <x:c r="Q1722" s="2" t="n">
        <x:f>MAX(0,ROUND('기준스탯 72종'!K76-Y1722-AG1722,0))</x:f>
        <x:v>3</x:v>
      </x:c>
      <x:c r="R1722" s="15" t="n">
        <x:f>'기준스탯 72종'!D76*G1722</x:f>
        <x:v>0</x:v>
      </x:c>
      <x:c r="S1722" s="15" t="n">
        <x:f>'기준스탯 72종'!E76*G1722</x:f>
        <x:v>0</x:v>
      </x:c>
      <x:c r="T1722" s="15" t="n">
        <x:f>'기준스탯 72종'!F76*G1722</x:f>
        <x:v>0</x:v>
      </x:c>
      <x:c r="U1722" s="15" t="n">
        <x:f>'기준스탯 72종'!G76*G1722</x:f>
        <x:v>0</x:v>
      </x:c>
      <x:c r="V1722" s="15" t="n">
        <x:f>'기준스탯 72종'!H76*G1722</x:f>
        <x:v>0</x:v>
      </x:c>
      <x:c r="W1722" s="15" t="n">
        <x:f>'기준스탯 72종'!I76*G1722</x:f>
        <x:v>0</x:v>
      </x:c>
      <x:c r="X1722" s="15" t="n">
        <x:f>'기준스탯 72종'!J76*G1722</x:f>
        <x:v>0</x:v>
      </x:c>
      <x:c r="Y1722" s="15" t="n">
        <x:f>'기준스탯 72종'!K76*G1722</x:f>
        <x:v>0</x:v>
      </x:c>
      <x:c r="Z1722" s="15" t="n">
        <x:f>'기준스탯 72종'!D76*H1722</x:f>
        <x:v>0.7200000000000002</x:v>
      </x:c>
      <x:c r="AA1722" s="15" t="n">
        <x:f>'기준스탯 72종'!E76*H1722</x:f>
        <x:v>0.9600000000000002</x:v>
      </x:c>
      <x:c r="AB1722" s="15" t="n">
        <x:f>'기준스탯 72종'!F76*H1722</x:f>
        <x:v>0.8400000000000002</x:v>
      </x:c>
      <x:c r="AC1722" s="15" t="n">
        <x:f>'기준스탯 72종'!G76*H1722</x:f>
        <x:v>1.0800000000000003</x:v>
      </x:c>
      <x:c r="AD1722" s="15" t="n">
        <x:f>'기준스탯 72종'!H76*H1722</x:f>
        <x:v>0.4800000000000001</x:v>
      </x:c>
      <x:c r="AE1722" s="15" t="n">
        <x:f>'기준스탯 72종'!I76*H1722</x:f>
        <x:v>0.4800000000000001</x:v>
      </x:c>
      <x:c r="AF1722" s="15" t="n">
        <x:f>'기준스탯 72종'!J76*H1722</x:f>
        <x:v>0.6000000000000001</x:v>
      </x:c>
      <x:c r="AG1722" s="15" t="n">
        <x:f>'기준스탯 72종'!K76*H1722</x:f>
        <x:v>0.3600000000000001</x:v>
      </x:c>
    </x:row>
    <x:row r="1723" ht="28" customHeight="1">
      <x:c r="A1723" s="2" t="n">
        <x:v>1716</x:v>
      </x:c>
      <x:c r="B1723" s="2" t="n">
        <x:v>69</x:v>
      </x:c>
      <x:c r="C1723" s="2" t="str">
        <x:v>물고기자리</x:v>
      </x:c>
      <x:c r="D1723" s="2" t="str">
        <x:v>사수</x:v>
      </x:c>
      <x:c r="E1723" s="2" t="n">
        <x:v>1</x:v>
      </x:c>
      <x:c r="F1723" s="2" t="n">
        <x:v>4</x:v>
      </x:c>
      <x:c r="G1723" s="14" t="n">
        <x:f>('레벨 계산식'!$E$4-E1723)*'레벨 계산식'!$B$5</x:f>
        <x:v>0.5599999999999999</x:v>
      </x:c>
      <x:c r="H1723" s="14" t="n">
        <x:f>('등급 계산식'!$E$4-F1723)*'등급 계산식'!$B$5</x:f>
        <x:v>0.06000000000000001</x:v>
      </x:c>
      <x:c r="I1723" s="14" t="n">
        <x:f>1-G1723-H1723</x:f>
        <x:v>0.38000000000000006</x:v>
      </x:c>
      <x:c r="J1723" s="2" t="n">
        <x:f>MAX(1,ROUND('기준스탯 72종'!D76-R1723-Z1723,0))</x:f>
        <x:v>2</x:v>
      </x:c>
      <x:c r="K1723" s="2" t="n">
        <x:f>MAX(1,ROUND('기준스탯 72종'!E76-S1723-AA1723,0))</x:f>
        <x:v>3</x:v>
      </x:c>
      <x:c r="L1723" s="2" t="n">
        <x:f>MAX(1,ROUND('기준스탯 72종'!F76-T1723-AB1723,0))</x:f>
        <x:v>3</x:v>
      </x:c>
      <x:c r="M1723" s="2" t="n">
        <x:f>MAX(1,ROUND('기준스탯 72종'!G76-U1723-AC1723,0))</x:f>
        <x:v>3</x:v>
      </x:c>
      <x:c r="N1723" s="2" t="n">
        <x:f>MAX(0,ROUND('기준스탯 72종'!H76-V1723-AD1723,0))</x:f>
        <x:v>2</x:v>
      </x:c>
      <x:c r="O1723" s="2" t="n">
        <x:f>MAX(0,ROUND('기준스탯 72종'!I76-W1723-AE1723,0))</x:f>
        <x:v>2</x:v>
      </x:c>
      <x:c r="P1723" s="2" t="n">
        <x:f>MAX(0,ROUND('기준스탯 72종'!J76-X1723-AF1723,0))</x:f>
        <x:v>2</x:v>
      </x:c>
      <x:c r="Q1723" s="2" t="n">
        <x:f>MAX(0,ROUND('기준스탯 72종'!K76-Y1723-AG1723,0))</x:f>
        <x:v>1</x:v>
      </x:c>
      <x:c r="R1723" s="15" t="n">
        <x:f>'기준스탯 72종'!D76*G1723</x:f>
        <x:v>3.3599999999999994</x:v>
      </x:c>
      <x:c r="S1723" s="15" t="n">
        <x:f>'기준스탯 72종'!E76*G1723</x:f>
        <x:v>4.4799999999999995</x:v>
      </x:c>
      <x:c r="T1723" s="15" t="n">
        <x:f>'기준스탯 72종'!F76*G1723</x:f>
        <x:v>3.9199999999999995</x:v>
      </x:c>
      <x:c r="U1723" s="15" t="n">
        <x:f>'기준스탯 72종'!G76*G1723</x:f>
        <x:v>5.039999999999999</x:v>
      </x:c>
      <x:c r="V1723" s="15" t="n">
        <x:f>'기준스탯 72종'!H76*G1723</x:f>
        <x:v>2.2399999999999998</x:v>
      </x:c>
      <x:c r="W1723" s="15" t="n">
        <x:f>'기준스탯 72종'!I76*G1723</x:f>
        <x:v>2.2399999999999998</x:v>
      </x:c>
      <x:c r="X1723" s="15" t="n">
        <x:f>'기준스탯 72종'!J76*G1723</x:f>
        <x:v>2.8</x:v>
      </x:c>
      <x:c r="Y1723" s="15" t="n">
        <x:f>'기준스탯 72종'!K76*G1723</x:f>
        <x:v>1.6799999999999997</x:v>
      </x:c>
      <x:c r="Z1723" s="15" t="n">
        <x:f>'기준스탯 72종'!D76*H1723</x:f>
        <x:v>0.3600000000000001</x:v>
      </x:c>
      <x:c r="AA1723" s="15" t="n">
        <x:f>'기준스탯 72종'!E76*H1723</x:f>
        <x:v>0.4800000000000001</x:v>
      </x:c>
      <x:c r="AB1723" s="15" t="n">
        <x:f>'기준스탯 72종'!F76*H1723</x:f>
        <x:v>0.4200000000000001</x:v>
      </x:c>
      <x:c r="AC1723" s="15" t="n">
        <x:f>'기준스탯 72종'!G76*H1723</x:f>
        <x:v>0.5400000000000001</x:v>
      </x:c>
      <x:c r="AD1723" s="15" t="n">
        <x:f>'기준스탯 72종'!H76*H1723</x:f>
        <x:v>0.24000000000000005</x:v>
      </x:c>
      <x:c r="AE1723" s="15" t="n">
        <x:f>'기준스탯 72종'!I76*H1723</x:f>
        <x:v>0.24000000000000005</x:v>
      </x:c>
      <x:c r="AF1723" s="15" t="n">
        <x:f>'기준스탯 72종'!J76*H1723</x:f>
        <x:v>0.30000000000000004</x:v>
      </x:c>
      <x:c r="AG1723" s="15" t="n">
        <x:f>'기준스탯 72종'!K76*H1723</x:f>
        <x:v>0.18000000000000005</x:v>
      </x:c>
    </x:row>
    <x:row r="1724" ht="28" customHeight="1">
      <x:c r="A1724" s="2" t="n">
        <x:v>1717</x:v>
      </x:c>
      <x:c r="B1724" s="2" t="n">
        <x:v>69</x:v>
      </x:c>
      <x:c r="C1724" s="2" t="str">
        <x:v>물고기자리</x:v>
      </x:c>
      <x:c r="D1724" s="2" t="str">
        <x:v>사수</x:v>
      </x:c>
      <x:c r="E1724" s="2" t="n">
        <x:v>2</x:v>
      </x:c>
      <x:c r="F1724" s="2" t="n">
        <x:v>4</x:v>
      </x:c>
      <x:c r="G1724" s="14" t="n">
        <x:f>('레벨 계산식'!$E$4-E1724)*'레벨 계산식'!$B$5</x:f>
        <x:v>0.41999999999999993</x:v>
      </x:c>
      <x:c r="H1724" s="14" t="n">
        <x:f>('등급 계산식'!$E$4-F1724)*'등급 계산식'!$B$5</x:f>
        <x:v>0.06000000000000001</x:v>
      </x:c>
      <x:c r="I1724" s="14" t="n">
        <x:f>1-G1724-H1724</x:f>
        <x:v>0.52</x:v>
      </x:c>
      <x:c r="J1724" s="2" t="n">
        <x:f>MAX(1,ROUND('기준스탯 72종'!D76-R1724-Z1724,0))</x:f>
        <x:v>3</x:v>
      </x:c>
      <x:c r="K1724" s="2" t="n">
        <x:f>MAX(1,ROUND('기준스탯 72종'!E76-S1724-AA1724,0))</x:f>
        <x:v>4</x:v>
      </x:c>
      <x:c r="L1724" s="2" t="n">
        <x:f>MAX(1,ROUND('기준스탯 72종'!F76-T1724-AB1724,0))</x:f>
        <x:v>4</x:v>
      </x:c>
      <x:c r="M1724" s="2" t="n">
        <x:f>MAX(1,ROUND('기준스탯 72종'!G76-U1724-AC1724,0))</x:f>
        <x:v>5</x:v>
      </x:c>
      <x:c r="N1724" s="2" t="n">
        <x:f>MAX(0,ROUND('기준스탯 72종'!H76-V1724-AD1724,0))</x:f>
        <x:v>2</x:v>
      </x:c>
      <x:c r="O1724" s="2" t="n">
        <x:f>MAX(0,ROUND('기준스탯 72종'!I76-W1724-AE1724,0))</x:f>
        <x:v>2</x:v>
      </x:c>
      <x:c r="P1724" s="2" t="n">
        <x:f>MAX(0,ROUND('기준스탯 72종'!J76-X1724-AF1724,0))</x:f>
        <x:v>3</x:v>
      </x:c>
      <x:c r="Q1724" s="2" t="n">
        <x:f>MAX(0,ROUND('기준스탯 72종'!K76-Y1724-AG1724,0))</x:f>
        <x:v>2</x:v>
      </x:c>
      <x:c r="R1724" s="15" t="n">
        <x:f>'기준스탯 72종'!D76*G1724</x:f>
        <x:v>2.5199999999999996</x:v>
      </x:c>
      <x:c r="S1724" s="15" t="n">
        <x:f>'기준스탯 72종'!E76*G1724</x:f>
        <x:v>3.3599999999999994</x:v>
      </x:c>
      <x:c r="T1724" s="15" t="n">
        <x:f>'기준스탯 72종'!F76*G1724</x:f>
        <x:v>2.9399999999999995</x:v>
      </x:c>
      <x:c r="U1724" s="15" t="n">
        <x:f>'기준스탯 72종'!G76*G1724</x:f>
        <x:v>3.7799999999999994</x:v>
      </x:c>
      <x:c r="V1724" s="15" t="n">
        <x:f>'기준스탯 72종'!H76*G1724</x:f>
        <x:v>1.6799999999999997</x:v>
      </x:c>
      <x:c r="W1724" s="15" t="n">
        <x:f>'기준스탯 72종'!I76*G1724</x:f>
        <x:v>1.6799999999999997</x:v>
      </x:c>
      <x:c r="X1724" s="15" t="n">
        <x:f>'기준스탯 72종'!J76*G1724</x:f>
        <x:v>2.0999999999999996</x:v>
      </x:c>
      <x:c r="Y1724" s="15" t="n">
        <x:f>'기준스탯 72종'!K76*G1724</x:f>
        <x:v>1.2599999999999998</x:v>
      </x:c>
      <x:c r="Z1724" s="15" t="n">
        <x:f>'기준스탯 72종'!D76*H1724</x:f>
        <x:v>0.3600000000000001</x:v>
      </x:c>
      <x:c r="AA1724" s="15" t="n">
        <x:f>'기준스탯 72종'!E76*H1724</x:f>
        <x:v>0.4800000000000001</x:v>
      </x:c>
      <x:c r="AB1724" s="15" t="n">
        <x:f>'기준스탯 72종'!F76*H1724</x:f>
        <x:v>0.4200000000000001</x:v>
      </x:c>
      <x:c r="AC1724" s="15" t="n">
        <x:f>'기준스탯 72종'!G76*H1724</x:f>
        <x:v>0.5400000000000001</x:v>
      </x:c>
      <x:c r="AD1724" s="15" t="n">
        <x:f>'기준스탯 72종'!H76*H1724</x:f>
        <x:v>0.24000000000000005</x:v>
      </x:c>
      <x:c r="AE1724" s="15" t="n">
        <x:f>'기준스탯 72종'!I76*H1724</x:f>
        <x:v>0.24000000000000005</x:v>
      </x:c>
      <x:c r="AF1724" s="15" t="n">
        <x:f>'기준스탯 72종'!J76*H1724</x:f>
        <x:v>0.30000000000000004</x:v>
      </x:c>
      <x:c r="AG1724" s="15" t="n">
        <x:f>'기준스탯 72종'!K76*H1724</x:f>
        <x:v>0.18000000000000005</x:v>
      </x:c>
    </x:row>
    <x:row r="1725" ht="28" customHeight="1">
      <x:c r="A1725" s="2" t="n">
        <x:v>1718</x:v>
      </x:c>
      <x:c r="B1725" s="2" t="n">
        <x:v>69</x:v>
      </x:c>
      <x:c r="C1725" s="2" t="str">
        <x:v>물고기자리</x:v>
      </x:c>
      <x:c r="D1725" s="2" t="str">
        <x:v>사수</x:v>
      </x:c>
      <x:c r="E1725" s="2" t="n">
        <x:v>3</x:v>
      </x:c>
      <x:c r="F1725" s="2" t="n">
        <x:v>4</x:v>
      </x:c>
      <x:c r="G1725" s="14" t="n">
        <x:f>('레벨 계산식'!$E$4-E1725)*'레벨 계산식'!$B$5</x:f>
        <x:v>0.27999999999999997</x:v>
      </x:c>
      <x:c r="H1725" s="14" t="n">
        <x:f>('등급 계산식'!$E$4-F1725)*'등급 계산식'!$B$5</x:f>
        <x:v>0.06000000000000001</x:v>
      </x:c>
      <x:c r="I1725" s="14" t="n">
        <x:f>1-G1725-H1725</x:f>
        <x:v>0.6599999999999999</x:v>
      </x:c>
      <x:c r="J1725" s="2" t="n">
        <x:f>MAX(1,ROUND('기준스탯 72종'!D76-R1725-Z1725,0))</x:f>
        <x:v>4</x:v>
      </x:c>
      <x:c r="K1725" s="2" t="n">
        <x:f>MAX(1,ROUND('기준스탯 72종'!E76-S1725-AA1725,0))</x:f>
        <x:v>5</x:v>
      </x:c>
      <x:c r="L1725" s="2" t="n">
        <x:f>MAX(1,ROUND('기준스탯 72종'!F76-T1725-AB1725,0))</x:f>
        <x:v>5</x:v>
      </x:c>
      <x:c r="M1725" s="2" t="n">
        <x:f>MAX(1,ROUND('기준스탯 72종'!G76-U1725-AC1725,0))</x:f>
        <x:v>6</x:v>
      </x:c>
      <x:c r="N1725" s="2" t="n">
        <x:f>MAX(0,ROUND('기준스탯 72종'!H76-V1725-AD1725,0))</x:f>
        <x:v>3</x:v>
      </x:c>
      <x:c r="O1725" s="2" t="n">
        <x:f>MAX(0,ROUND('기준스탯 72종'!I76-W1725-AE1725,0))</x:f>
        <x:v>3</x:v>
      </x:c>
      <x:c r="P1725" s="2" t="n">
        <x:f>MAX(0,ROUND('기준스탯 72종'!J76-X1725-AF1725,0))</x:f>
        <x:v>3</x:v>
      </x:c>
      <x:c r="Q1725" s="2" t="n">
        <x:f>MAX(0,ROUND('기준스탯 72종'!K76-Y1725-AG1725,0))</x:f>
        <x:v>2</x:v>
      </x:c>
      <x:c r="R1725" s="15" t="n">
        <x:f>'기준스탯 72종'!D76*G1725</x:f>
        <x:v>1.6799999999999997</x:v>
      </x:c>
      <x:c r="S1725" s="15" t="n">
        <x:f>'기준스탯 72종'!E76*G1725</x:f>
        <x:v>2.2399999999999998</x:v>
      </x:c>
      <x:c r="T1725" s="15" t="n">
        <x:f>'기준스탯 72종'!F76*G1725</x:f>
        <x:v>1.9599999999999997</x:v>
      </x:c>
      <x:c r="U1725" s="15" t="n">
        <x:f>'기준스탯 72종'!G76*G1725</x:f>
        <x:v>2.5199999999999996</x:v>
      </x:c>
      <x:c r="V1725" s="15" t="n">
        <x:f>'기준스탯 72종'!H76*G1725</x:f>
        <x:v>1.1199999999999999</x:v>
      </x:c>
      <x:c r="W1725" s="15" t="n">
        <x:f>'기준스탯 72종'!I76*G1725</x:f>
        <x:v>1.1199999999999999</x:v>
      </x:c>
      <x:c r="X1725" s="15" t="n">
        <x:f>'기준스탯 72종'!J76*G1725</x:f>
        <x:v>1.4</x:v>
      </x:c>
      <x:c r="Y1725" s="15" t="n">
        <x:f>'기준스탯 72종'!K76*G1725</x:f>
        <x:v>0.8399999999999999</x:v>
      </x:c>
      <x:c r="Z1725" s="15" t="n">
        <x:f>'기준스탯 72종'!D76*H1725</x:f>
        <x:v>0.3600000000000001</x:v>
      </x:c>
      <x:c r="AA1725" s="15" t="n">
        <x:f>'기준스탯 72종'!E76*H1725</x:f>
        <x:v>0.4800000000000001</x:v>
      </x:c>
      <x:c r="AB1725" s="15" t="n">
        <x:f>'기준스탯 72종'!F76*H1725</x:f>
        <x:v>0.4200000000000001</x:v>
      </x:c>
      <x:c r="AC1725" s="15" t="n">
        <x:f>'기준스탯 72종'!G76*H1725</x:f>
        <x:v>0.5400000000000001</x:v>
      </x:c>
      <x:c r="AD1725" s="15" t="n">
        <x:f>'기준스탯 72종'!H76*H1725</x:f>
        <x:v>0.24000000000000005</x:v>
      </x:c>
      <x:c r="AE1725" s="15" t="n">
        <x:f>'기준스탯 72종'!I76*H1725</x:f>
        <x:v>0.24000000000000005</x:v>
      </x:c>
      <x:c r="AF1725" s="15" t="n">
        <x:f>'기준스탯 72종'!J76*H1725</x:f>
        <x:v>0.30000000000000004</x:v>
      </x:c>
      <x:c r="AG1725" s="15" t="n">
        <x:f>'기준스탯 72종'!K76*H1725</x:f>
        <x:v>0.18000000000000005</x:v>
      </x:c>
    </x:row>
    <x:row r="1726" ht="28" customHeight="1">
      <x:c r="A1726" s="2" t="n">
        <x:v>1719</x:v>
      </x:c>
      <x:c r="B1726" s="2" t="n">
        <x:v>69</x:v>
      </x:c>
      <x:c r="C1726" s="2" t="str">
        <x:v>물고기자리</x:v>
      </x:c>
      <x:c r="D1726" s="2" t="str">
        <x:v>사수</x:v>
      </x:c>
      <x:c r="E1726" s="2" t="n">
        <x:v>4</x:v>
      </x:c>
      <x:c r="F1726" s="2" t="n">
        <x:v>4</x:v>
      </x:c>
      <x:c r="G1726" s="14" t="n">
        <x:f>('레벨 계산식'!$E$4-E1726)*'레벨 계산식'!$B$5</x:f>
        <x:v>0.13999999999999999</x:v>
      </x:c>
      <x:c r="H1726" s="14" t="n">
        <x:f>('등급 계산식'!$E$4-F1726)*'등급 계산식'!$B$5</x:f>
        <x:v>0.06000000000000001</x:v>
      </x:c>
      <x:c r="I1726" s="14" t="n">
        <x:f>1-G1726-H1726</x:f>
        <x:v>0.7999999999999999</x:v>
      </x:c>
      <x:c r="J1726" s="2" t="n">
        <x:f>MAX(1,ROUND('기준스탯 72종'!D76-R1726-Z1726,0))</x:f>
        <x:v>5</x:v>
      </x:c>
      <x:c r="K1726" s="2" t="n">
        <x:f>MAX(1,ROUND('기준스탯 72종'!E76-S1726-AA1726,0))</x:f>
        <x:v>6</x:v>
      </x:c>
      <x:c r="L1726" s="2" t="n">
        <x:f>MAX(1,ROUND('기준스탯 72종'!F76-T1726-AB1726,0))</x:f>
        <x:v>6</x:v>
      </x:c>
      <x:c r="M1726" s="2" t="n">
        <x:f>MAX(1,ROUND('기준스탯 72종'!G76-U1726-AC1726,0))</x:f>
        <x:v>7</x:v>
      </x:c>
      <x:c r="N1726" s="2" t="n">
        <x:f>MAX(0,ROUND('기준스탯 72종'!H76-V1726-AD1726,0))</x:f>
        <x:v>3</x:v>
      </x:c>
      <x:c r="O1726" s="2" t="n">
        <x:f>MAX(0,ROUND('기준스탯 72종'!I76-W1726-AE1726,0))</x:f>
        <x:v>3</x:v>
      </x:c>
      <x:c r="P1726" s="2" t="n">
        <x:f>MAX(0,ROUND('기준스탯 72종'!J76-X1726-AF1726,0))</x:f>
        <x:v>4</x:v>
      </x:c>
      <x:c r="Q1726" s="2" t="n">
        <x:f>MAX(0,ROUND('기준스탯 72종'!K76-Y1726-AG1726,0))</x:f>
        <x:v>2</x:v>
      </x:c>
      <x:c r="R1726" s="15" t="n">
        <x:f>'기준스탯 72종'!D76*G1726</x:f>
        <x:v>0.8399999999999999</x:v>
      </x:c>
      <x:c r="S1726" s="15" t="n">
        <x:f>'기준스탯 72종'!E76*G1726</x:f>
        <x:v>1.1199999999999999</x:v>
      </x:c>
      <x:c r="T1726" s="15" t="n">
        <x:f>'기준스탯 72종'!F76*G1726</x:f>
        <x:v>0.9799999999999999</x:v>
      </x:c>
      <x:c r="U1726" s="15" t="n">
        <x:f>'기준스탯 72종'!G76*G1726</x:f>
        <x:v>1.2599999999999998</x:v>
      </x:c>
      <x:c r="V1726" s="15" t="n">
        <x:f>'기준스탯 72종'!H76*G1726</x:f>
        <x:v>0.5599999999999999</x:v>
      </x:c>
      <x:c r="W1726" s="15" t="n">
        <x:f>'기준스탯 72종'!I76*G1726</x:f>
        <x:v>0.5599999999999999</x:v>
      </x:c>
      <x:c r="X1726" s="15" t="n">
        <x:f>'기준스탯 72종'!J76*G1726</x:f>
        <x:v>0.7</x:v>
      </x:c>
      <x:c r="Y1726" s="15" t="n">
        <x:f>'기준스탯 72종'!K76*G1726</x:f>
        <x:v>0.41999999999999993</x:v>
      </x:c>
      <x:c r="Z1726" s="15" t="n">
        <x:f>'기준스탯 72종'!D76*H1726</x:f>
        <x:v>0.3600000000000001</x:v>
      </x:c>
      <x:c r="AA1726" s="15" t="n">
        <x:f>'기준스탯 72종'!E76*H1726</x:f>
        <x:v>0.4800000000000001</x:v>
      </x:c>
      <x:c r="AB1726" s="15" t="n">
        <x:f>'기준스탯 72종'!F76*H1726</x:f>
        <x:v>0.4200000000000001</x:v>
      </x:c>
      <x:c r="AC1726" s="15" t="n">
        <x:f>'기준스탯 72종'!G76*H1726</x:f>
        <x:v>0.5400000000000001</x:v>
      </x:c>
      <x:c r="AD1726" s="15" t="n">
        <x:f>'기준스탯 72종'!H76*H1726</x:f>
        <x:v>0.24000000000000005</x:v>
      </x:c>
      <x:c r="AE1726" s="15" t="n">
        <x:f>'기준스탯 72종'!I76*H1726</x:f>
        <x:v>0.24000000000000005</x:v>
      </x:c>
      <x:c r="AF1726" s="15" t="n">
        <x:f>'기준스탯 72종'!J76*H1726</x:f>
        <x:v>0.30000000000000004</x:v>
      </x:c>
      <x:c r="AG1726" s="15" t="n">
        <x:f>'기준스탯 72종'!K76*H1726</x:f>
        <x:v>0.18000000000000005</x:v>
      </x:c>
    </x:row>
    <x:row r="1727" ht="28" customHeight="1">
      <x:c r="A1727" s="2" t="n">
        <x:v>1720</x:v>
      </x:c>
      <x:c r="B1727" s="2" t="n">
        <x:v>69</x:v>
      </x:c>
      <x:c r="C1727" s="2" t="str">
        <x:v>물고기자리</x:v>
      </x:c>
      <x:c r="D1727" s="2" t="str">
        <x:v>사수</x:v>
      </x:c>
      <x:c r="E1727" s="2" t="n">
        <x:v>5</x:v>
      </x:c>
      <x:c r="F1727" s="2" t="n">
        <x:v>4</x:v>
      </x:c>
      <x:c r="G1727" s="14" t="n">
        <x:f>('레벨 계산식'!$E$4-E1727)*'레벨 계산식'!$B$5</x:f>
        <x:v>0</x:v>
      </x:c>
      <x:c r="H1727" s="14" t="n">
        <x:f>('등급 계산식'!$E$4-F1727)*'등급 계산식'!$B$5</x:f>
        <x:v>0.06000000000000001</x:v>
      </x:c>
      <x:c r="I1727" s="14" t="n">
        <x:f>1-G1727-H1727</x:f>
        <x:v>0.94</x:v>
      </x:c>
      <x:c r="J1727" s="2" t="n">
        <x:f>MAX(1,ROUND('기준스탯 72종'!D76-R1727-Z1727,0))</x:f>
        <x:v>6</x:v>
      </x:c>
      <x:c r="K1727" s="2" t="n">
        <x:f>MAX(1,ROUND('기준스탯 72종'!E76-S1727-AA1727,0))</x:f>
        <x:v>8</x:v>
      </x:c>
      <x:c r="L1727" s="2" t="n">
        <x:f>MAX(1,ROUND('기준스탯 72종'!F76-T1727-AB1727,0))</x:f>
        <x:v>7</x:v>
      </x:c>
      <x:c r="M1727" s="2" t="n">
        <x:f>MAX(1,ROUND('기준스탯 72종'!G76-U1727-AC1727,0))</x:f>
        <x:v>8</x:v>
      </x:c>
      <x:c r="N1727" s="2" t="n">
        <x:f>MAX(0,ROUND('기준스탯 72종'!H76-V1727-AD1727,0))</x:f>
        <x:v>4</x:v>
      </x:c>
      <x:c r="O1727" s="2" t="n">
        <x:f>MAX(0,ROUND('기준스탯 72종'!I76-W1727-AE1727,0))</x:f>
        <x:v>4</x:v>
      </x:c>
      <x:c r="P1727" s="2" t="n">
        <x:f>MAX(0,ROUND('기준스탯 72종'!J76-X1727-AF1727,0))</x:f>
        <x:v>5</x:v>
      </x:c>
      <x:c r="Q1727" s="2" t="n">
        <x:f>MAX(0,ROUND('기준스탯 72종'!K76-Y1727-AG1727,0))</x:f>
        <x:v>3</x:v>
      </x:c>
      <x:c r="R1727" s="15" t="n">
        <x:f>'기준스탯 72종'!D76*G1727</x:f>
        <x:v>0</x:v>
      </x:c>
      <x:c r="S1727" s="15" t="n">
        <x:f>'기준스탯 72종'!E76*G1727</x:f>
        <x:v>0</x:v>
      </x:c>
      <x:c r="T1727" s="15" t="n">
        <x:f>'기준스탯 72종'!F76*G1727</x:f>
        <x:v>0</x:v>
      </x:c>
      <x:c r="U1727" s="15" t="n">
        <x:f>'기준스탯 72종'!G76*G1727</x:f>
        <x:v>0</x:v>
      </x:c>
      <x:c r="V1727" s="15" t="n">
        <x:f>'기준스탯 72종'!H76*G1727</x:f>
        <x:v>0</x:v>
      </x:c>
      <x:c r="W1727" s="15" t="n">
        <x:f>'기준스탯 72종'!I76*G1727</x:f>
        <x:v>0</x:v>
      </x:c>
      <x:c r="X1727" s="15" t="n">
        <x:f>'기준스탯 72종'!J76*G1727</x:f>
        <x:v>0</x:v>
      </x:c>
      <x:c r="Y1727" s="15" t="n">
        <x:f>'기준스탯 72종'!K76*G1727</x:f>
        <x:v>0</x:v>
      </x:c>
      <x:c r="Z1727" s="15" t="n">
        <x:f>'기준스탯 72종'!D76*H1727</x:f>
        <x:v>0.3600000000000001</x:v>
      </x:c>
      <x:c r="AA1727" s="15" t="n">
        <x:f>'기준스탯 72종'!E76*H1727</x:f>
        <x:v>0.4800000000000001</x:v>
      </x:c>
      <x:c r="AB1727" s="15" t="n">
        <x:f>'기준스탯 72종'!F76*H1727</x:f>
        <x:v>0.4200000000000001</x:v>
      </x:c>
      <x:c r="AC1727" s="15" t="n">
        <x:f>'기준스탯 72종'!G76*H1727</x:f>
        <x:v>0.5400000000000001</x:v>
      </x:c>
      <x:c r="AD1727" s="15" t="n">
        <x:f>'기준스탯 72종'!H76*H1727</x:f>
        <x:v>0.24000000000000005</x:v>
      </x:c>
      <x:c r="AE1727" s="15" t="n">
        <x:f>'기준스탯 72종'!I76*H1727</x:f>
        <x:v>0.24000000000000005</x:v>
      </x:c>
      <x:c r="AF1727" s="15" t="n">
        <x:f>'기준스탯 72종'!J76*H1727</x:f>
        <x:v>0.30000000000000004</x:v>
      </x:c>
      <x:c r="AG1727" s="15" t="n">
        <x:f>'기준스탯 72종'!K76*H1727</x:f>
        <x:v>0.18000000000000005</x:v>
      </x:c>
    </x:row>
    <x:row r="1728" ht="28" customHeight="1">
      <x:c r="A1728" s="2" t="n">
        <x:v>1721</x:v>
      </x:c>
      <x:c r="B1728" s="2" t="n">
        <x:v>69</x:v>
      </x:c>
      <x:c r="C1728" s="2" t="str">
        <x:v>물고기자리</x:v>
      </x:c>
      <x:c r="D1728" s="2" t="str">
        <x:v>사수</x:v>
      </x:c>
      <x:c r="E1728" s="2" t="n">
        <x:v>1</x:v>
      </x:c>
      <x:c r="F1728" s="2" t="n">
        <x:v>5</x:v>
      </x:c>
      <x:c r="G1728" s="14" t="n">
        <x:f>('레벨 계산식'!$E$4-E1728)*'레벨 계산식'!$B$5</x:f>
        <x:v>0.5599999999999999</x:v>
      </x:c>
      <x:c r="H1728" s="14" t="n">
        <x:f>('등급 계산식'!$E$4-F1728)*'등급 계산식'!$B$5</x:f>
        <x:v>0</x:v>
      </x:c>
      <x:c r="I1728" s="14" t="n">
        <x:f>1-G1728-H1728</x:f>
        <x:v>0.44000000000000006</x:v>
      </x:c>
      <x:c r="J1728" s="2" t="n">
        <x:f>MAX(1,ROUND('기준스탯 72종'!D76-R1728-Z1728,0))</x:f>
        <x:v>3</x:v>
      </x:c>
      <x:c r="K1728" s="2" t="n">
        <x:f>MAX(1,ROUND('기준스탯 72종'!E76-S1728-AA1728,0))</x:f>
        <x:v>4</x:v>
      </x:c>
      <x:c r="L1728" s="2" t="n">
        <x:f>MAX(1,ROUND('기준스탯 72종'!F76-T1728-AB1728,0))</x:f>
        <x:v>3</x:v>
      </x:c>
      <x:c r="M1728" s="2" t="n">
        <x:f>MAX(1,ROUND('기준스탯 72종'!G76-U1728-AC1728,0))</x:f>
        <x:v>4</x:v>
      </x:c>
      <x:c r="N1728" s="2" t="n">
        <x:f>MAX(0,ROUND('기준스탯 72종'!H76-V1728-AD1728,0))</x:f>
        <x:v>2</x:v>
      </x:c>
      <x:c r="O1728" s="2" t="n">
        <x:f>MAX(0,ROUND('기준스탯 72종'!I76-W1728-AE1728,0))</x:f>
        <x:v>2</x:v>
      </x:c>
      <x:c r="P1728" s="2" t="n">
        <x:f>MAX(0,ROUND('기준스탯 72종'!J76-X1728-AF1728,0))</x:f>
        <x:v>2</x:v>
      </x:c>
      <x:c r="Q1728" s="2" t="n">
        <x:f>MAX(0,ROUND('기준스탯 72종'!K76-Y1728-AG1728,0))</x:f>
        <x:v>1</x:v>
      </x:c>
      <x:c r="R1728" s="15" t="n">
        <x:f>'기준스탯 72종'!D76*G1728</x:f>
        <x:v>3.3599999999999994</x:v>
      </x:c>
      <x:c r="S1728" s="15" t="n">
        <x:f>'기준스탯 72종'!E76*G1728</x:f>
        <x:v>4.4799999999999995</x:v>
      </x:c>
      <x:c r="T1728" s="15" t="n">
        <x:f>'기준스탯 72종'!F76*G1728</x:f>
        <x:v>3.9199999999999995</x:v>
      </x:c>
      <x:c r="U1728" s="15" t="n">
        <x:f>'기준스탯 72종'!G76*G1728</x:f>
        <x:v>5.039999999999999</x:v>
      </x:c>
      <x:c r="V1728" s="15" t="n">
        <x:f>'기준스탯 72종'!H76*G1728</x:f>
        <x:v>2.2399999999999998</x:v>
      </x:c>
      <x:c r="W1728" s="15" t="n">
        <x:f>'기준스탯 72종'!I76*G1728</x:f>
        <x:v>2.2399999999999998</x:v>
      </x:c>
      <x:c r="X1728" s="15" t="n">
        <x:f>'기준스탯 72종'!J76*G1728</x:f>
        <x:v>2.8</x:v>
      </x:c>
      <x:c r="Y1728" s="15" t="n">
        <x:f>'기준스탯 72종'!K76*G1728</x:f>
        <x:v>1.6799999999999997</x:v>
      </x:c>
      <x:c r="Z1728" s="15" t="n">
        <x:f>'기준스탯 72종'!D76*H1728</x:f>
        <x:v>0</x:v>
      </x:c>
      <x:c r="AA1728" s="15" t="n">
        <x:f>'기준스탯 72종'!E76*H1728</x:f>
        <x:v>0</x:v>
      </x:c>
      <x:c r="AB1728" s="15" t="n">
        <x:f>'기준스탯 72종'!F76*H1728</x:f>
        <x:v>0</x:v>
      </x:c>
      <x:c r="AC1728" s="15" t="n">
        <x:f>'기준스탯 72종'!G76*H1728</x:f>
        <x:v>0</x:v>
      </x:c>
      <x:c r="AD1728" s="15" t="n">
        <x:f>'기준스탯 72종'!H76*H1728</x:f>
        <x:v>0</x:v>
      </x:c>
      <x:c r="AE1728" s="15" t="n">
        <x:f>'기준스탯 72종'!I76*H1728</x:f>
        <x:v>0</x:v>
      </x:c>
      <x:c r="AF1728" s="15" t="n">
        <x:f>'기준스탯 72종'!J76*H1728</x:f>
        <x:v>0</x:v>
      </x:c>
      <x:c r="AG1728" s="15" t="n">
        <x:f>'기준스탯 72종'!K76*H1728</x:f>
        <x:v>0</x:v>
      </x:c>
    </x:row>
    <x:row r="1729" ht="28" customHeight="1">
      <x:c r="A1729" s="2" t="n">
        <x:v>1722</x:v>
      </x:c>
      <x:c r="B1729" s="2" t="n">
        <x:v>69</x:v>
      </x:c>
      <x:c r="C1729" s="2" t="str">
        <x:v>물고기자리</x:v>
      </x:c>
      <x:c r="D1729" s="2" t="str">
        <x:v>사수</x:v>
      </x:c>
      <x:c r="E1729" s="2" t="n">
        <x:v>2</x:v>
      </x:c>
      <x:c r="F1729" s="2" t="n">
        <x:v>5</x:v>
      </x:c>
      <x:c r="G1729" s="14" t="n">
        <x:f>('레벨 계산식'!$E$4-E1729)*'레벨 계산식'!$B$5</x:f>
        <x:v>0.41999999999999993</x:v>
      </x:c>
      <x:c r="H1729" s="14" t="n">
        <x:f>('등급 계산식'!$E$4-F1729)*'등급 계산식'!$B$5</x:f>
        <x:v>0</x:v>
      </x:c>
      <x:c r="I1729" s="14" t="n">
        <x:f>1-G1729-H1729</x:f>
        <x:v>0.5800000000000001</x:v>
      </x:c>
      <x:c r="J1729" s="2" t="n">
        <x:f>MAX(1,ROUND('기준스탯 72종'!D76-R1729-Z1729,0))</x:f>
        <x:v>3</x:v>
      </x:c>
      <x:c r="K1729" s="2" t="n">
        <x:f>MAX(1,ROUND('기준스탯 72종'!E76-S1729-AA1729,0))</x:f>
        <x:v>5</x:v>
      </x:c>
      <x:c r="L1729" s="2" t="n">
        <x:f>MAX(1,ROUND('기준스탯 72종'!F76-T1729-AB1729,0))</x:f>
        <x:v>4</x:v>
      </x:c>
      <x:c r="M1729" s="2" t="n">
        <x:f>MAX(1,ROUND('기준스탯 72종'!G76-U1729-AC1729,0))</x:f>
        <x:v>5</x:v>
      </x:c>
      <x:c r="N1729" s="2" t="n">
        <x:f>MAX(0,ROUND('기준스탯 72종'!H76-V1729-AD1729,0))</x:f>
        <x:v>2</x:v>
      </x:c>
      <x:c r="O1729" s="2" t="n">
        <x:f>MAX(0,ROUND('기준스탯 72종'!I76-W1729-AE1729,0))</x:f>
        <x:v>2</x:v>
      </x:c>
      <x:c r="P1729" s="2" t="n">
        <x:f>MAX(0,ROUND('기준스탯 72종'!J76-X1729-AF1729,0))</x:f>
        <x:v>3</x:v>
      </x:c>
      <x:c r="Q1729" s="2" t="n">
        <x:f>MAX(0,ROUND('기준스탯 72종'!K76-Y1729-AG1729,0))</x:f>
        <x:v>2</x:v>
      </x:c>
      <x:c r="R1729" s="15" t="n">
        <x:f>'기준스탯 72종'!D76*G1729</x:f>
        <x:v>2.5199999999999996</x:v>
      </x:c>
      <x:c r="S1729" s="15" t="n">
        <x:f>'기준스탯 72종'!E76*G1729</x:f>
        <x:v>3.3599999999999994</x:v>
      </x:c>
      <x:c r="T1729" s="15" t="n">
        <x:f>'기준스탯 72종'!F76*G1729</x:f>
        <x:v>2.9399999999999995</x:v>
      </x:c>
      <x:c r="U1729" s="15" t="n">
        <x:f>'기준스탯 72종'!G76*G1729</x:f>
        <x:v>3.7799999999999994</x:v>
      </x:c>
      <x:c r="V1729" s="15" t="n">
        <x:f>'기준스탯 72종'!H76*G1729</x:f>
        <x:v>1.6799999999999997</x:v>
      </x:c>
      <x:c r="W1729" s="15" t="n">
        <x:f>'기준스탯 72종'!I76*G1729</x:f>
        <x:v>1.6799999999999997</x:v>
      </x:c>
      <x:c r="X1729" s="15" t="n">
        <x:f>'기준스탯 72종'!J76*G1729</x:f>
        <x:v>2.0999999999999996</x:v>
      </x:c>
      <x:c r="Y1729" s="15" t="n">
        <x:f>'기준스탯 72종'!K76*G1729</x:f>
        <x:v>1.2599999999999998</x:v>
      </x:c>
      <x:c r="Z1729" s="15" t="n">
        <x:f>'기준스탯 72종'!D76*H1729</x:f>
        <x:v>0</x:v>
      </x:c>
      <x:c r="AA1729" s="15" t="n">
        <x:f>'기준스탯 72종'!E76*H1729</x:f>
        <x:v>0</x:v>
      </x:c>
      <x:c r="AB1729" s="15" t="n">
        <x:f>'기준스탯 72종'!F76*H1729</x:f>
        <x:v>0</x:v>
      </x:c>
      <x:c r="AC1729" s="15" t="n">
        <x:f>'기준스탯 72종'!G76*H1729</x:f>
        <x:v>0</x:v>
      </x:c>
      <x:c r="AD1729" s="15" t="n">
        <x:f>'기준스탯 72종'!H76*H1729</x:f>
        <x:v>0</x:v>
      </x:c>
      <x:c r="AE1729" s="15" t="n">
        <x:f>'기준스탯 72종'!I76*H1729</x:f>
        <x:v>0</x:v>
      </x:c>
      <x:c r="AF1729" s="15" t="n">
        <x:f>'기준스탯 72종'!J76*H1729</x:f>
        <x:v>0</x:v>
      </x:c>
      <x:c r="AG1729" s="15" t="n">
        <x:f>'기준스탯 72종'!K76*H1729</x:f>
        <x:v>0</x:v>
      </x:c>
    </x:row>
    <x:row r="1730" ht="28" customHeight="1">
      <x:c r="A1730" s="2" t="n">
        <x:v>1723</x:v>
      </x:c>
      <x:c r="B1730" s="2" t="n">
        <x:v>69</x:v>
      </x:c>
      <x:c r="C1730" s="2" t="str">
        <x:v>물고기자리</x:v>
      </x:c>
      <x:c r="D1730" s="2" t="str">
        <x:v>사수</x:v>
      </x:c>
      <x:c r="E1730" s="2" t="n">
        <x:v>3</x:v>
      </x:c>
      <x:c r="F1730" s="2" t="n">
        <x:v>5</x:v>
      </x:c>
      <x:c r="G1730" s="14" t="n">
        <x:f>('레벨 계산식'!$E$4-E1730)*'레벨 계산식'!$B$5</x:f>
        <x:v>0.27999999999999997</x:v>
      </x:c>
      <x:c r="H1730" s="14" t="n">
        <x:f>('등급 계산식'!$E$4-F1730)*'등급 계산식'!$B$5</x:f>
        <x:v>0</x:v>
      </x:c>
      <x:c r="I1730" s="14" t="n">
        <x:f>1-G1730-H1730</x:f>
        <x:v>0.72</x:v>
      </x:c>
      <x:c r="J1730" s="2" t="n">
        <x:f>MAX(1,ROUND('기준스탯 72종'!D76-R1730-Z1730,0))</x:f>
        <x:v>4</x:v>
      </x:c>
      <x:c r="K1730" s="2" t="n">
        <x:f>MAX(1,ROUND('기준스탯 72종'!E76-S1730-AA1730,0))</x:f>
        <x:v>6</x:v>
      </x:c>
      <x:c r="L1730" s="2" t="n">
        <x:f>MAX(1,ROUND('기준스탯 72종'!F76-T1730-AB1730,0))</x:f>
        <x:v>5</x:v>
      </x:c>
      <x:c r="M1730" s="2" t="n">
        <x:f>MAX(1,ROUND('기준스탯 72종'!G76-U1730-AC1730,0))</x:f>
        <x:v>6</x:v>
      </x:c>
      <x:c r="N1730" s="2" t="n">
        <x:f>MAX(0,ROUND('기준스탯 72종'!H76-V1730-AD1730,0))</x:f>
        <x:v>3</x:v>
      </x:c>
      <x:c r="O1730" s="2" t="n">
        <x:f>MAX(0,ROUND('기준스탯 72종'!I76-W1730-AE1730,0))</x:f>
        <x:v>3</x:v>
      </x:c>
      <x:c r="P1730" s="2" t="n">
        <x:f>MAX(0,ROUND('기준스탯 72종'!J76-X1730-AF1730,0))</x:f>
        <x:v>4</x:v>
      </x:c>
      <x:c r="Q1730" s="2" t="n">
        <x:f>MAX(0,ROUND('기준스탯 72종'!K76-Y1730-AG1730,0))</x:f>
        <x:v>2</x:v>
      </x:c>
      <x:c r="R1730" s="15" t="n">
        <x:f>'기준스탯 72종'!D76*G1730</x:f>
        <x:v>1.6799999999999997</x:v>
      </x:c>
      <x:c r="S1730" s="15" t="n">
        <x:f>'기준스탯 72종'!E76*G1730</x:f>
        <x:v>2.2399999999999998</x:v>
      </x:c>
      <x:c r="T1730" s="15" t="n">
        <x:f>'기준스탯 72종'!F76*G1730</x:f>
        <x:v>1.9599999999999997</x:v>
      </x:c>
      <x:c r="U1730" s="15" t="n">
        <x:f>'기준스탯 72종'!G76*G1730</x:f>
        <x:v>2.5199999999999996</x:v>
      </x:c>
      <x:c r="V1730" s="15" t="n">
        <x:f>'기준스탯 72종'!H76*G1730</x:f>
        <x:v>1.1199999999999999</x:v>
      </x:c>
      <x:c r="W1730" s="15" t="n">
        <x:f>'기준스탯 72종'!I76*G1730</x:f>
        <x:v>1.1199999999999999</x:v>
      </x:c>
      <x:c r="X1730" s="15" t="n">
        <x:f>'기준스탯 72종'!J76*G1730</x:f>
        <x:v>1.4</x:v>
      </x:c>
      <x:c r="Y1730" s="15" t="n">
        <x:f>'기준스탯 72종'!K76*G1730</x:f>
        <x:v>0.8399999999999999</x:v>
      </x:c>
      <x:c r="Z1730" s="15" t="n">
        <x:f>'기준스탯 72종'!D76*H1730</x:f>
        <x:v>0</x:v>
      </x:c>
      <x:c r="AA1730" s="15" t="n">
        <x:f>'기준스탯 72종'!E76*H1730</x:f>
        <x:v>0</x:v>
      </x:c>
      <x:c r="AB1730" s="15" t="n">
        <x:f>'기준스탯 72종'!F76*H1730</x:f>
        <x:v>0</x:v>
      </x:c>
      <x:c r="AC1730" s="15" t="n">
        <x:f>'기준스탯 72종'!G76*H1730</x:f>
        <x:v>0</x:v>
      </x:c>
      <x:c r="AD1730" s="15" t="n">
        <x:f>'기준스탯 72종'!H76*H1730</x:f>
        <x:v>0</x:v>
      </x:c>
      <x:c r="AE1730" s="15" t="n">
        <x:f>'기준스탯 72종'!I76*H1730</x:f>
        <x:v>0</x:v>
      </x:c>
      <x:c r="AF1730" s="15" t="n">
        <x:f>'기준스탯 72종'!J76*H1730</x:f>
        <x:v>0</x:v>
      </x:c>
      <x:c r="AG1730" s="15" t="n">
        <x:f>'기준스탯 72종'!K76*H1730</x:f>
        <x:v>0</x:v>
      </x:c>
    </x:row>
    <x:row r="1731" ht="28" customHeight="1">
      <x:c r="A1731" s="2" t="n">
        <x:v>1724</x:v>
      </x:c>
      <x:c r="B1731" s="2" t="n">
        <x:v>69</x:v>
      </x:c>
      <x:c r="C1731" s="2" t="str">
        <x:v>물고기자리</x:v>
      </x:c>
      <x:c r="D1731" s="2" t="str">
        <x:v>사수</x:v>
      </x:c>
      <x:c r="E1731" s="2" t="n">
        <x:v>4</x:v>
      </x:c>
      <x:c r="F1731" s="2" t="n">
        <x:v>5</x:v>
      </x:c>
      <x:c r="G1731" s="14" t="n">
        <x:f>('레벨 계산식'!$E$4-E1731)*'레벨 계산식'!$B$5</x:f>
        <x:v>0.13999999999999999</x:v>
      </x:c>
      <x:c r="H1731" s="14" t="n">
        <x:f>('등급 계산식'!$E$4-F1731)*'등급 계산식'!$B$5</x:f>
        <x:v>0</x:v>
      </x:c>
      <x:c r="I1731" s="14" t="n">
        <x:f>1-G1731-H1731</x:f>
        <x:v>0.86</x:v>
      </x:c>
      <x:c r="J1731" s="2" t="n">
        <x:f>MAX(1,ROUND('기준스탯 72종'!D76-R1731-Z1731,0))</x:f>
        <x:v>5</x:v>
      </x:c>
      <x:c r="K1731" s="2" t="n">
        <x:f>MAX(1,ROUND('기준스탯 72종'!E76-S1731-AA1731,0))</x:f>
        <x:v>7</x:v>
      </x:c>
      <x:c r="L1731" s="2" t="n">
        <x:f>MAX(1,ROUND('기준스탯 72종'!F76-T1731-AB1731,0))</x:f>
        <x:v>6</x:v>
      </x:c>
      <x:c r="M1731" s="2" t="n">
        <x:f>MAX(1,ROUND('기준스탯 72종'!G76-U1731-AC1731,0))</x:f>
        <x:v>8</x:v>
      </x:c>
      <x:c r="N1731" s="2" t="n">
        <x:f>MAX(0,ROUND('기준스탯 72종'!H76-V1731-AD1731,0))</x:f>
        <x:v>3</x:v>
      </x:c>
      <x:c r="O1731" s="2" t="n">
        <x:f>MAX(0,ROUND('기준스탯 72종'!I76-W1731-AE1731,0))</x:f>
        <x:v>3</x:v>
      </x:c>
      <x:c r="P1731" s="2" t="n">
        <x:f>MAX(0,ROUND('기준스탯 72종'!J76-X1731-AF1731,0))</x:f>
        <x:v>4</x:v>
      </x:c>
      <x:c r="Q1731" s="2" t="n">
        <x:f>MAX(0,ROUND('기준스탯 72종'!K76-Y1731-AG1731,0))</x:f>
        <x:v>3</x:v>
      </x:c>
      <x:c r="R1731" s="15" t="n">
        <x:f>'기준스탯 72종'!D76*G1731</x:f>
        <x:v>0.8399999999999999</x:v>
      </x:c>
      <x:c r="S1731" s="15" t="n">
        <x:f>'기준스탯 72종'!E76*G1731</x:f>
        <x:v>1.1199999999999999</x:v>
      </x:c>
      <x:c r="T1731" s="15" t="n">
        <x:f>'기준스탯 72종'!F76*G1731</x:f>
        <x:v>0.9799999999999999</x:v>
      </x:c>
      <x:c r="U1731" s="15" t="n">
        <x:f>'기준스탯 72종'!G76*G1731</x:f>
        <x:v>1.2599999999999998</x:v>
      </x:c>
      <x:c r="V1731" s="15" t="n">
        <x:f>'기준스탯 72종'!H76*G1731</x:f>
        <x:v>0.5599999999999999</x:v>
      </x:c>
      <x:c r="W1731" s="15" t="n">
        <x:f>'기준스탯 72종'!I76*G1731</x:f>
        <x:v>0.5599999999999999</x:v>
      </x:c>
      <x:c r="X1731" s="15" t="n">
        <x:f>'기준스탯 72종'!J76*G1731</x:f>
        <x:v>0.7</x:v>
      </x:c>
      <x:c r="Y1731" s="15" t="n">
        <x:f>'기준스탯 72종'!K76*G1731</x:f>
        <x:v>0.41999999999999993</x:v>
      </x:c>
      <x:c r="Z1731" s="15" t="n">
        <x:f>'기준스탯 72종'!D76*H1731</x:f>
        <x:v>0</x:v>
      </x:c>
      <x:c r="AA1731" s="15" t="n">
        <x:f>'기준스탯 72종'!E76*H1731</x:f>
        <x:v>0</x:v>
      </x:c>
      <x:c r="AB1731" s="15" t="n">
        <x:f>'기준스탯 72종'!F76*H1731</x:f>
        <x:v>0</x:v>
      </x:c>
      <x:c r="AC1731" s="15" t="n">
        <x:f>'기준스탯 72종'!G76*H1731</x:f>
        <x:v>0</x:v>
      </x:c>
      <x:c r="AD1731" s="15" t="n">
        <x:f>'기준스탯 72종'!H76*H1731</x:f>
        <x:v>0</x:v>
      </x:c>
      <x:c r="AE1731" s="15" t="n">
        <x:f>'기준스탯 72종'!I76*H1731</x:f>
        <x:v>0</x:v>
      </x:c>
      <x:c r="AF1731" s="15" t="n">
        <x:f>'기준스탯 72종'!J76*H1731</x:f>
        <x:v>0</x:v>
      </x:c>
      <x:c r="AG1731" s="15" t="n">
        <x:f>'기준스탯 72종'!K76*H1731</x:f>
        <x:v>0</x:v>
      </x:c>
    </x:row>
    <x:row r="1732" ht="28" customHeight="1">
      <x:c r="A1732" s="2" t="n">
        <x:v>1725</x:v>
      </x:c>
      <x:c r="B1732" s="2" t="n">
        <x:v>69</x:v>
      </x:c>
      <x:c r="C1732" s="2" t="str">
        <x:v>물고기자리</x:v>
      </x:c>
      <x:c r="D1732" s="2" t="str">
        <x:v>사수</x:v>
      </x:c>
      <x:c r="E1732" s="2" t="n">
        <x:v>5</x:v>
      </x:c>
      <x:c r="F1732" s="2" t="n">
        <x:v>5</x:v>
      </x:c>
      <x:c r="G1732" s="14" t="n">
        <x:f>('레벨 계산식'!$E$4-E1732)*'레벨 계산식'!$B$5</x:f>
        <x:v>0</x:v>
      </x:c>
      <x:c r="H1732" s="14" t="n">
        <x:f>('등급 계산식'!$E$4-F1732)*'등급 계산식'!$B$5</x:f>
        <x:v>0</x:v>
      </x:c>
      <x:c r="I1732" s="14" t="n">
        <x:f>1-G1732-H1732</x:f>
        <x:v>1</x:v>
      </x:c>
      <x:c r="J1732" s="2" t="n">
        <x:f>MAX(1,ROUND('기준스탯 72종'!D76-R1732-Z1732,0))</x:f>
        <x:v>6</x:v>
      </x:c>
      <x:c r="K1732" s="2" t="n">
        <x:f>MAX(1,ROUND('기준스탯 72종'!E76-S1732-AA1732,0))</x:f>
        <x:v>8</x:v>
      </x:c>
      <x:c r="L1732" s="2" t="n">
        <x:f>MAX(1,ROUND('기준스탯 72종'!F76-T1732-AB1732,0))</x:f>
        <x:v>7</x:v>
      </x:c>
      <x:c r="M1732" s="2" t="n">
        <x:f>MAX(1,ROUND('기준스탯 72종'!G76-U1732-AC1732,0))</x:f>
        <x:v>9</x:v>
      </x:c>
      <x:c r="N1732" s="2" t="n">
        <x:f>MAX(0,ROUND('기준스탯 72종'!H76-V1732-AD1732,0))</x:f>
        <x:v>4</x:v>
      </x:c>
      <x:c r="O1732" s="2" t="n">
        <x:f>MAX(0,ROUND('기준스탯 72종'!I76-W1732-AE1732,0))</x:f>
        <x:v>4</x:v>
      </x:c>
      <x:c r="P1732" s="2" t="n">
        <x:f>MAX(0,ROUND('기준스탯 72종'!J76-X1732-AF1732,0))</x:f>
        <x:v>5</x:v>
      </x:c>
      <x:c r="Q1732" s="2" t="n">
        <x:f>MAX(0,ROUND('기준스탯 72종'!K76-Y1732-AG1732,0))</x:f>
        <x:v>3</x:v>
      </x:c>
      <x:c r="R1732" s="15" t="n">
        <x:f>'기준스탯 72종'!D76*G1732</x:f>
        <x:v>0</x:v>
      </x:c>
      <x:c r="S1732" s="15" t="n">
        <x:f>'기준스탯 72종'!E76*G1732</x:f>
        <x:v>0</x:v>
      </x:c>
      <x:c r="T1732" s="15" t="n">
        <x:f>'기준스탯 72종'!F76*G1732</x:f>
        <x:v>0</x:v>
      </x:c>
      <x:c r="U1732" s="15" t="n">
        <x:f>'기준스탯 72종'!G76*G1732</x:f>
        <x:v>0</x:v>
      </x:c>
      <x:c r="V1732" s="15" t="n">
        <x:f>'기준스탯 72종'!H76*G1732</x:f>
        <x:v>0</x:v>
      </x:c>
      <x:c r="W1732" s="15" t="n">
        <x:f>'기준스탯 72종'!I76*G1732</x:f>
        <x:v>0</x:v>
      </x:c>
      <x:c r="X1732" s="15" t="n">
        <x:f>'기준스탯 72종'!J76*G1732</x:f>
        <x:v>0</x:v>
      </x:c>
      <x:c r="Y1732" s="15" t="n">
        <x:f>'기준스탯 72종'!K76*G1732</x:f>
        <x:v>0</x:v>
      </x:c>
      <x:c r="Z1732" s="15" t="n">
        <x:f>'기준스탯 72종'!D76*H1732</x:f>
        <x:v>0</x:v>
      </x:c>
      <x:c r="AA1732" s="15" t="n">
        <x:f>'기준스탯 72종'!E76*H1732</x:f>
        <x:v>0</x:v>
      </x:c>
      <x:c r="AB1732" s="15" t="n">
        <x:f>'기준스탯 72종'!F76*H1732</x:f>
        <x:v>0</x:v>
      </x:c>
      <x:c r="AC1732" s="15" t="n">
        <x:f>'기준스탯 72종'!G76*H1732</x:f>
        <x:v>0</x:v>
      </x:c>
      <x:c r="AD1732" s="15" t="n">
        <x:f>'기준스탯 72종'!H76*H1732</x:f>
        <x:v>0</x:v>
      </x:c>
      <x:c r="AE1732" s="15" t="n">
        <x:f>'기준스탯 72종'!I76*H1732</x:f>
        <x:v>0</x:v>
      </x:c>
      <x:c r="AF1732" s="15" t="n">
        <x:f>'기준스탯 72종'!J76*H1732</x:f>
        <x:v>0</x:v>
      </x:c>
      <x:c r="AG1732" s="15" t="n">
        <x:f>'기준스탯 72종'!K76*H1732</x:f>
        <x:v>0</x:v>
      </x:c>
    </x:row>
    <x:row r="1733" ht="28" customHeight="1">
      <x:c r="A1733" s="2" t="n">
        <x:v>1726</x:v>
      </x:c>
      <x:c r="B1733" s="2" t="n">
        <x:v>70</x:v>
      </x:c>
      <x:c r="C1733" s="2" t="str">
        <x:v>물고기자리</x:v>
      </x:c>
      <x:c r="D1733" s="2" t="str">
        <x:v>정령사</x:v>
      </x:c>
      <x:c r="E1733" s="2" t="n">
        <x:v>1</x:v>
      </x:c>
      <x:c r="F1733" s="2" t="n">
        <x:v>1</x:v>
      </x:c>
      <x:c r="G1733" s="14" t="n">
        <x:f>('레벨 계산식'!$E$4-E1733)*'레벨 계산식'!$B$5</x:f>
        <x:v>0.5599999999999999</x:v>
      </x:c>
      <x:c r="H1733" s="14" t="n">
        <x:f>('등급 계산식'!$E$4-F1733)*'등급 계산식'!$B$5</x:f>
        <x:v>0.24000000000000005</x:v>
      </x:c>
      <x:c r="I1733" s="14" t="n">
        <x:f>1-G1733-H1733</x:f>
        <x:v>0.2</x:v>
      </x:c>
      <x:c r="J1733" s="2" t="n">
        <x:f>MAX(1,ROUND('기준스탯 72종'!D77-R1733-Z1733,0))</x:f>
        <x:v>1</x:v>
      </x:c>
      <x:c r="K1733" s="2" t="n">
        <x:f>MAX(1,ROUND('기준스탯 72종'!E77-S1733-AA1733,0))</x:f>
        <x:v>2</x:v>
      </x:c>
      <x:c r="L1733" s="2" t="n">
        <x:f>MAX(1,ROUND('기준스탯 72종'!F77-T1733-AB1733,0))</x:f>
        <x:v>2</x:v>
      </x:c>
      <x:c r="M1733" s="2" t="n">
        <x:f>MAX(1,ROUND('기준스탯 72종'!G77-U1733-AC1733,0))</x:f>
        <x:v>2</x:v>
      </x:c>
      <x:c r="N1733" s="2" t="n">
        <x:f>MAX(0,ROUND('기준스탯 72종'!H77-V1733-AD1733,0))</x:f>
        <x:v>0</x:v>
      </x:c>
      <x:c r="O1733" s="2" t="n">
        <x:f>MAX(0,ROUND('기준스탯 72종'!I77-W1733-AE1733,0))</x:f>
        <x:v>1</x:v>
      </x:c>
      <x:c r="P1733" s="2" t="n">
        <x:f>MAX(0,ROUND('기준스탯 72종'!J77-X1733-AF1733,0))</x:f>
        <x:v>1</x:v>
      </x:c>
      <x:c r="Q1733" s="2" t="n">
        <x:f>MAX(0,ROUND('기준스탯 72종'!K77-Y1733-AG1733,0))</x:f>
        <x:v>1</x:v>
      </x:c>
      <x:c r="R1733" s="15" t="n">
        <x:f>'기준스탯 72종'!D77*G1733</x:f>
        <x:v>2.8</x:v>
      </x:c>
      <x:c r="S1733" s="15" t="n">
        <x:f>'기준스탯 72종'!E77*G1733</x:f>
        <x:v>5.039999999999999</x:v>
      </x:c>
      <x:c r="T1733" s="15" t="n">
        <x:f>'기준스탯 72종'!F77*G1733</x:f>
        <x:v>5.039999999999999</x:v>
      </x:c>
      <x:c r="U1733" s="15" t="n">
        <x:f>'기준스탯 72종'!G77*G1733</x:f>
        <x:v>4.4799999999999995</x:v>
      </x:c>
      <x:c r="V1733" s="15" t="n">
        <x:f>'기준스탯 72종'!H77*G1733</x:f>
        <x:v>1.1199999999999999</x:v>
      </x:c>
      <x:c r="W1733" s="15" t="n">
        <x:f>'기준스탯 72종'!I77*G1733</x:f>
        <x:v>2.2399999999999998</x:v>
      </x:c>
      <x:c r="X1733" s="15" t="n">
        <x:f>'기준스탯 72종'!J77*G1733</x:f>
        <x:v>2.8</x:v>
      </x:c>
      <x:c r="Y1733" s="15" t="n">
        <x:f>'기준스탯 72종'!K77*G1733</x:f>
        <x:v>2.8</x:v>
      </x:c>
      <x:c r="Z1733" s="15" t="n">
        <x:f>'기준스탯 72종'!D77*H1733</x:f>
        <x:v>1.2000000000000002</x:v>
      </x:c>
      <x:c r="AA1733" s="15" t="n">
        <x:f>'기준스탯 72종'!E77*H1733</x:f>
        <x:v>2.1600000000000006</x:v>
      </x:c>
      <x:c r="AB1733" s="15" t="n">
        <x:f>'기준스탯 72종'!F77*H1733</x:f>
        <x:v>2.1600000000000006</x:v>
      </x:c>
      <x:c r="AC1733" s="15" t="n">
        <x:f>'기준스탯 72종'!G77*H1733</x:f>
        <x:v>1.9200000000000004</x:v>
      </x:c>
      <x:c r="AD1733" s="15" t="n">
        <x:f>'기준스탯 72종'!H77*H1733</x:f>
        <x:v>0.4800000000000001</x:v>
      </x:c>
      <x:c r="AE1733" s="15" t="n">
        <x:f>'기준스탯 72종'!I77*H1733</x:f>
        <x:v>0.9600000000000002</x:v>
      </x:c>
      <x:c r="AF1733" s="15" t="n">
        <x:f>'기준스탯 72종'!J77*H1733</x:f>
        <x:v>1.2000000000000002</x:v>
      </x:c>
      <x:c r="AG1733" s="15" t="n">
        <x:f>'기준스탯 72종'!K77*H1733</x:f>
        <x:v>1.2000000000000002</x:v>
      </x:c>
    </x:row>
    <x:row r="1734" ht="28" customHeight="1">
      <x:c r="A1734" s="2" t="n">
        <x:v>1727</x:v>
      </x:c>
      <x:c r="B1734" s="2" t="n">
        <x:v>70</x:v>
      </x:c>
      <x:c r="C1734" s="2" t="str">
        <x:v>물고기자리</x:v>
      </x:c>
      <x:c r="D1734" s="2" t="str">
        <x:v>정령사</x:v>
      </x:c>
      <x:c r="E1734" s="2" t="n">
        <x:v>2</x:v>
      </x:c>
      <x:c r="F1734" s="2" t="n">
        <x:v>1</x:v>
      </x:c>
      <x:c r="G1734" s="14" t="n">
        <x:f>('레벨 계산식'!$E$4-E1734)*'레벨 계산식'!$B$5</x:f>
        <x:v>0.41999999999999993</x:v>
      </x:c>
      <x:c r="H1734" s="14" t="n">
        <x:f>('등급 계산식'!$E$4-F1734)*'등급 계산식'!$B$5</x:f>
        <x:v>0.24000000000000005</x:v>
      </x:c>
      <x:c r="I1734" s="14" t="n">
        <x:f>1-G1734-H1734</x:f>
        <x:v>0.34</x:v>
      </x:c>
      <x:c r="J1734" s="2" t="n">
        <x:f>MAX(1,ROUND('기준스탯 72종'!D77-R1734-Z1734,0))</x:f>
        <x:v>2</x:v>
      </x:c>
      <x:c r="K1734" s="2" t="n">
        <x:f>MAX(1,ROUND('기준스탯 72종'!E77-S1734-AA1734,0))</x:f>
        <x:v>3</x:v>
      </x:c>
      <x:c r="L1734" s="2" t="n">
        <x:f>MAX(1,ROUND('기준스탯 72종'!F77-T1734-AB1734,0))</x:f>
        <x:v>3</x:v>
      </x:c>
      <x:c r="M1734" s="2" t="n">
        <x:f>MAX(1,ROUND('기준스탯 72종'!G77-U1734-AC1734,0))</x:f>
        <x:v>3</x:v>
      </x:c>
      <x:c r="N1734" s="2" t="n">
        <x:f>MAX(0,ROUND('기준스탯 72종'!H77-V1734-AD1734,0))</x:f>
        <x:v>1</x:v>
      </x:c>
      <x:c r="O1734" s="2" t="n">
        <x:f>MAX(0,ROUND('기준스탯 72종'!I77-W1734-AE1734,0))</x:f>
        <x:v>1</x:v>
      </x:c>
      <x:c r="P1734" s="2" t="n">
        <x:f>MAX(0,ROUND('기준스탯 72종'!J77-X1734-AF1734,0))</x:f>
        <x:v>2</x:v>
      </x:c>
      <x:c r="Q1734" s="2" t="n">
        <x:f>MAX(0,ROUND('기준스탯 72종'!K77-Y1734-AG1734,0))</x:f>
        <x:v>2</x:v>
      </x:c>
      <x:c r="R1734" s="15" t="n">
        <x:f>'기준스탯 72종'!D77*G1734</x:f>
        <x:v>2.0999999999999996</x:v>
      </x:c>
      <x:c r="S1734" s="15" t="n">
        <x:f>'기준스탯 72종'!E77*G1734</x:f>
        <x:v>3.7799999999999994</x:v>
      </x:c>
      <x:c r="T1734" s="15" t="n">
        <x:f>'기준스탯 72종'!F77*G1734</x:f>
        <x:v>3.7799999999999994</x:v>
      </x:c>
      <x:c r="U1734" s="15" t="n">
        <x:f>'기준스탯 72종'!G77*G1734</x:f>
        <x:v>3.3599999999999994</x:v>
      </x:c>
      <x:c r="V1734" s="15" t="n">
        <x:f>'기준스탯 72종'!H77*G1734</x:f>
        <x:v>0.8399999999999999</x:v>
      </x:c>
      <x:c r="W1734" s="15" t="n">
        <x:f>'기준스탯 72종'!I77*G1734</x:f>
        <x:v>1.6799999999999997</x:v>
      </x:c>
      <x:c r="X1734" s="15" t="n">
        <x:f>'기준스탯 72종'!J77*G1734</x:f>
        <x:v>2.0999999999999996</x:v>
      </x:c>
      <x:c r="Y1734" s="15" t="n">
        <x:f>'기준스탯 72종'!K77*G1734</x:f>
        <x:v>2.0999999999999996</x:v>
      </x:c>
      <x:c r="Z1734" s="15" t="n">
        <x:f>'기준스탯 72종'!D77*H1734</x:f>
        <x:v>1.2000000000000002</x:v>
      </x:c>
      <x:c r="AA1734" s="15" t="n">
        <x:f>'기준스탯 72종'!E77*H1734</x:f>
        <x:v>2.1600000000000006</x:v>
      </x:c>
      <x:c r="AB1734" s="15" t="n">
        <x:f>'기준스탯 72종'!F77*H1734</x:f>
        <x:v>2.1600000000000006</x:v>
      </x:c>
      <x:c r="AC1734" s="15" t="n">
        <x:f>'기준스탯 72종'!G77*H1734</x:f>
        <x:v>1.9200000000000004</x:v>
      </x:c>
      <x:c r="AD1734" s="15" t="n">
        <x:f>'기준스탯 72종'!H77*H1734</x:f>
        <x:v>0.4800000000000001</x:v>
      </x:c>
      <x:c r="AE1734" s="15" t="n">
        <x:f>'기준스탯 72종'!I77*H1734</x:f>
        <x:v>0.9600000000000002</x:v>
      </x:c>
      <x:c r="AF1734" s="15" t="n">
        <x:f>'기준스탯 72종'!J77*H1734</x:f>
        <x:v>1.2000000000000002</x:v>
      </x:c>
      <x:c r="AG1734" s="15" t="n">
        <x:f>'기준스탯 72종'!K77*H1734</x:f>
        <x:v>1.2000000000000002</x:v>
      </x:c>
    </x:row>
    <x:row r="1735" ht="28" customHeight="1">
      <x:c r="A1735" s="2" t="n">
        <x:v>1728</x:v>
      </x:c>
      <x:c r="B1735" s="2" t="n">
        <x:v>70</x:v>
      </x:c>
      <x:c r="C1735" s="2" t="str">
        <x:v>물고기자리</x:v>
      </x:c>
      <x:c r="D1735" s="2" t="str">
        <x:v>정령사</x:v>
      </x:c>
      <x:c r="E1735" s="2" t="n">
        <x:v>3</x:v>
      </x:c>
      <x:c r="F1735" s="2" t="n">
        <x:v>1</x:v>
      </x:c>
      <x:c r="G1735" s="14" t="n">
        <x:f>('레벨 계산식'!$E$4-E1735)*'레벨 계산식'!$B$5</x:f>
        <x:v>0.27999999999999997</x:v>
      </x:c>
      <x:c r="H1735" s="14" t="n">
        <x:f>('등급 계산식'!$E$4-F1735)*'등급 계산식'!$B$5</x:f>
        <x:v>0.24000000000000005</x:v>
      </x:c>
      <x:c r="I1735" s="14" t="n">
        <x:f>1-G1735-H1735</x:f>
        <x:v>0.4799999999999999</x:v>
      </x:c>
      <x:c r="J1735" s="2" t="n">
        <x:f>MAX(1,ROUND('기준스탯 72종'!D77-R1735-Z1735,0))</x:f>
        <x:v>2</x:v>
      </x:c>
      <x:c r="K1735" s="2" t="n">
        <x:f>MAX(1,ROUND('기준스탯 72종'!E77-S1735-AA1735,0))</x:f>
        <x:v>4</x:v>
      </x:c>
      <x:c r="L1735" s="2" t="n">
        <x:f>MAX(1,ROUND('기준스탯 72종'!F77-T1735-AB1735,0))</x:f>
        <x:v>4</x:v>
      </x:c>
      <x:c r="M1735" s="2" t="n">
        <x:f>MAX(1,ROUND('기준스탯 72종'!G77-U1735-AC1735,0))</x:f>
        <x:v>4</x:v>
      </x:c>
      <x:c r="N1735" s="2" t="n">
        <x:f>MAX(0,ROUND('기준스탯 72종'!H77-V1735-AD1735,0))</x:f>
        <x:v>1</x:v>
      </x:c>
      <x:c r="O1735" s="2" t="n">
        <x:f>MAX(0,ROUND('기준스탯 72종'!I77-W1735-AE1735,0))</x:f>
        <x:v>2</x:v>
      </x:c>
      <x:c r="P1735" s="2" t="n">
        <x:f>MAX(0,ROUND('기준스탯 72종'!J77-X1735-AF1735,0))</x:f>
        <x:v>2</x:v>
      </x:c>
      <x:c r="Q1735" s="2" t="n">
        <x:f>MAX(0,ROUND('기준스탯 72종'!K77-Y1735-AG1735,0))</x:f>
        <x:v>2</x:v>
      </x:c>
      <x:c r="R1735" s="15" t="n">
        <x:f>'기준스탯 72종'!D77*G1735</x:f>
        <x:v>1.4</x:v>
      </x:c>
      <x:c r="S1735" s="15" t="n">
        <x:f>'기준스탯 72종'!E77*G1735</x:f>
        <x:v>2.5199999999999996</x:v>
      </x:c>
      <x:c r="T1735" s="15" t="n">
        <x:f>'기준스탯 72종'!F77*G1735</x:f>
        <x:v>2.5199999999999996</x:v>
      </x:c>
      <x:c r="U1735" s="15" t="n">
        <x:f>'기준스탯 72종'!G77*G1735</x:f>
        <x:v>2.2399999999999998</x:v>
      </x:c>
      <x:c r="V1735" s="15" t="n">
        <x:f>'기준스탯 72종'!H77*G1735</x:f>
        <x:v>0.5599999999999999</x:v>
      </x:c>
      <x:c r="W1735" s="15" t="n">
        <x:f>'기준스탯 72종'!I77*G1735</x:f>
        <x:v>1.1199999999999999</x:v>
      </x:c>
      <x:c r="X1735" s="15" t="n">
        <x:f>'기준스탯 72종'!J77*G1735</x:f>
        <x:v>1.4</x:v>
      </x:c>
      <x:c r="Y1735" s="15" t="n">
        <x:f>'기준스탯 72종'!K77*G1735</x:f>
        <x:v>1.4</x:v>
      </x:c>
      <x:c r="Z1735" s="15" t="n">
        <x:f>'기준스탯 72종'!D77*H1735</x:f>
        <x:v>1.2000000000000002</x:v>
      </x:c>
      <x:c r="AA1735" s="15" t="n">
        <x:f>'기준스탯 72종'!E77*H1735</x:f>
        <x:v>2.1600000000000006</x:v>
      </x:c>
      <x:c r="AB1735" s="15" t="n">
        <x:f>'기준스탯 72종'!F77*H1735</x:f>
        <x:v>2.1600000000000006</x:v>
      </x:c>
      <x:c r="AC1735" s="15" t="n">
        <x:f>'기준스탯 72종'!G77*H1735</x:f>
        <x:v>1.9200000000000004</x:v>
      </x:c>
      <x:c r="AD1735" s="15" t="n">
        <x:f>'기준스탯 72종'!H77*H1735</x:f>
        <x:v>0.4800000000000001</x:v>
      </x:c>
      <x:c r="AE1735" s="15" t="n">
        <x:f>'기준스탯 72종'!I77*H1735</x:f>
        <x:v>0.9600000000000002</x:v>
      </x:c>
      <x:c r="AF1735" s="15" t="n">
        <x:f>'기준스탯 72종'!J77*H1735</x:f>
        <x:v>1.2000000000000002</x:v>
      </x:c>
      <x:c r="AG1735" s="15" t="n">
        <x:f>'기준스탯 72종'!K77*H1735</x:f>
        <x:v>1.2000000000000002</x:v>
      </x:c>
    </x:row>
    <x:row r="1736" ht="28" customHeight="1">
      <x:c r="A1736" s="2" t="n">
        <x:v>1729</x:v>
      </x:c>
      <x:c r="B1736" s="2" t="n">
        <x:v>70</x:v>
      </x:c>
      <x:c r="C1736" s="2" t="str">
        <x:v>물고기자리</x:v>
      </x:c>
      <x:c r="D1736" s="2" t="str">
        <x:v>정령사</x:v>
      </x:c>
      <x:c r="E1736" s="2" t="n">
        <x:v>4</x:v>
      </x:c>
      <x:c r="F1736" s="2" t="n">
        <x:v>1</x:v>
      </x:c>
      <x:c r="G1736" s="14" t="n">
        <x:f>('레벨 계산식'!$E$4-E1736)*'레벨 계산식'!$B$5</x:f>
        <x:v>0.13999999999999999</x:v>
      </x:c>
      <x:c r="H1736" s="14" t="n">
        <x:f>('등급 계산식'!$E$4-F1736)*'등급 계산식'!$B$5</x:f>
        <x:v>0.24000000000000005</x:v>
      </x:c>
      <x:c r="I1736" s="14" t="n">
        <x:f>1-G1736-H1736</x:f>
        <x:v>0.6199999999999999</x:v>
      </x:c>
      <x:c r="J1736" s="2" t="n">
        <x:f>MAX(1,ROUND('기준스탯 72종'!D77-R1736-Z1736,0))</x:f>
        <x:v>3</x:v>
      </x:c>
      <x:c r="K1736" s="2" t="n">
        <x:f>MAX(1,ROUND('기준스탯 72종'!E77-S1736-AA1736,0))</x:f>
        <x:v>6</x:v>
      </x:c>
      <x:c r="L1736" s="2" t="n">
        <x:f>MAX(1,ROUND('기준스탯 72종'!F77-T1736-AB1736,0))</x:f>
        <x:v>6</x:v>
      </x:c>
      <x:c r="M1736" s="2" t="n">
        <x:f>MAX(1,ROUND('기준스탯 72종'!G77-U1736-AC1736,0))</x:f>
        <x:v>5</x:v>
      </x:c>
      <x:c r="N1736" s="2" t="n">
        <x:f>MAX(0,ROUND('기준스탯 72종'!H77-V1736-AD1736,0))</x:f>
        <x:v>1</x:v>
      </x:c>
      <x:c r="O1736" s="2" t="n">
        <x:f>MAX(0,ROUND('기준스탯 72종'!I77-W1736-AE1736,0))</x:f>
        <x:v>2</x:v>
      </x:c>
      <x:c r="P1736" s="2" t="n">
        <x:f>MAX(0,ROUND('기준스탯 72종'!J77-X1736-AF1736,0))</x:f>
        <x:v>3</x:v>
      </x:c>
      <x:c r="Q1736" s="2" t="n">
        <x:f>MAX(0,ROUND('기준스탯 72종'!K77-Y1736-AG1736,0))</x:f>
        <x:v>3</x:v>
      </x:c>
      <x:c r="R1736" s="15" t="n">
        <x:f>'기준스탯 72종'!D77*G1736</x:f>
        <x:v>0.7</x:v>
      </x:c>
      <x:c r="S1736" s="15" t="n">
        <x:f>'기준스탯 72종'!E77*G1736</x:f>
        <x:v>1.2599999999999998</x:v>
      </x:c>
      <x:c r="T1736" s="15" t="n">
        <x:f>'기준스탯 72종'!F77*G1736</x:f>
        <x:v>1.2599999999999998</x:v>
      </x:c>
      <x:c r="U1736" s="15" t="n">
        <x:f>'기준스탯 72종'!G77*G1736</x:f>
        <x:v>1.1199999999999999</x:v>
      </x:c>
      <x:c r="V1736" s="15" t="n">
        <x:f>'기준스탯 72종'!H77*G1736</x:f>
        <x:v>0.27999999999999997</x:v>
      </x:c>
      <x:c r="W1736" s="15" t="n">
        <x:f>'기준스탯 72종'!I77*G1736</x:f>
        <x:v>0.5599999999999999</x:v>
      </x:c>
      <x:c r="X1736" s="15" t="n">
        <x:f>'기준스탯 72종'!J77*G1736</x:f>
        <x:v>0.7</x:v>
      </x:c>
      <x:c r="Y1736" s="15" t="n">
        <x:f>'기준스탯 72종'!K77*G1736</x:f>
        <x:v>0.7</x:v>
      </x:c>
      <x:c r="Z1736" s="15" t="n">
        <x:f>'기준스탯 72종'!D77*H1736</x:f>
        <x:v>1.2000000000000002</x:v>
      </x:c>
      <x:c r="AA1736" s="15" t="n">
        <x:f>'기준스탯 72종'!E77*H1736</x:f>
        <x:v>2.1600000000000006</x:v>
      </x:c>
      <x:c r="AB1736" s="15" t="n">
        <x:f>'기준스탯 72종'!F77*H1736</x:f>
        <x:v>2.1600000000000006</x:v>
      </x:c>
      <x:c r="AC1736" s="15" t="n">
        <x:f>'기준스탯 72종'!G77*H1736</x:f>
        <x:v>1.9200000000000004</x:v>
      </x:c>
      <x:c r="AD1736" s="15" t="n">
        <x:f>'기준스탯 72종'!H77*H1736</x:f>
        <x:v>0.4800000000000001</x:v>
      </x:c>
      <x:c r="AE1736" s="15" t="n">
        <x:f>'기준스탯 72종'!I77*H1736</x:f>
        <x:v>0.9600000000000002</x:v>
      </x:c>
      <x:c r="AF1736" s="15" t="n">
        <x:f>'기준스탯 72종'!J77*H1736</x:f>
        <x:v>1.2000000000000002</x:v>
      </x:c>
      <x:c r="AG1736" s="15" t="n">
        <x:f>'기준스탯 72종'!K77*H1736</x:f>
        <x:v>1.2000000000000002</x:v>
      </x:c>
    </x:row>
    <x:row r="1737" ht="28" customHeight="1">
      <x:c r="A1737" s="2" t="n">
        <x:v>1730</x:v>
      </x:c>
      <x:c r="B1737" s="2" t="n">
        <x:v>70</x:v>
      </x:c>
      <x:c r="C1737" s="2" t="str">
        <x:v>물고기자리</x:v>
      </x:c>
      <x:c r="D1737" s="2" t="str">
        <x:v>정령사</x:v>
      </x:c>
      <x:c r="E1737" s="2" t="n">
        <x:v>5</x:v>
      </x:c>
      <x:c r="F1737" s="2" t="n">
        <x:v>1</x:v>
      </x:c>
      <x:c r="G1737" s="14" t="n">
        <x:f>('레벨 계산식'!$E$4-E1737)*'레벨 계산식'!$B$5</x:f>
        <x:v>0</x:v>
      </x:c>
      <x:c r="H1737" s="14" t="n">
        <x:f>('등급 계산식'!$E$4-F1737)*'등급 계산식'!$B$5</x:f>
        <x:v>0.24000000000000005</x:v>
      </x:c>
      <x:c r="I1737" s="14" t="n">
        <x:f>1-G1737-H1737</x:f>
        <x:v>0.76</x:v>
      </x:c>
      <x:c r="J1737" s="2" t="n">
        <x:f>MAX(1,ROUND('기준스탯 72종'!D77-R1737-Z1737,0))</x:f>
        <x:v>4</x:v>
      </x:c>
      <x:c r="K1737" s="2" t="n">
        <x:f>MAX(1,ROUND('기준스탯 72종'!E77-S1737-AA1737,0))</x:f>
        <x:v>7</x:v>
      </x:c>
      <x:c r="L1737" s="2" t="n">
        <x:f>MAX(1,ROUND('기준스탯 72종'!F77-T1737-AB1737,0))</x:f>
        <x:v>7</x:v>
      </x:c>
      <x:c r="M1737" s="2" t="n">
        <x:f>MAX(1,ROUND('기준스탯 72종'!G77-U1737-AC1737,0))</x:f>
        <x:v>6</x:v>
      </x:c>
      <x:c r="N1737" s="2" t="n">
        <x:f>MAX(0,ROUND('기준스탯 72종'!H77-V1737-AD1737,0))</x:f>
        <x:v>2</x:v>
      </x:c>
      <x:c r="O1737" s="2" t="n">
        <x:f>MAX(0,ROUND('기준스탯 72종'!I77-W1737-AE1737,0))</x:f>
        <x:v>3</x:v>
      </x:c>
      <x:c r="P1737" s="2" t="n">
        <x:f>MAX(0,ROUND('기준스탯 72종'!J77-X1737-AF1737,0))</x:f>
        <x:v>4</x:v>
      </x:c>
      <x:c r="Q1737" s="2" t="n">
        <x:f>MAX(0,ROUND('기준스탯 72종'!K77-Y1737-AG1737,0))</x:f>
        <x:v>4</x:v>
      </x:c>
      <x:c r="R1737" s="15" t="n">
        <x:f>'기준스탯 72종'!D77*G1737</x:f>
        <x:v>0</x:v>
      </x:c>
      <x:c r="S1737" s="15" t="n">
        <x:f>'기준스탯 72종'!E77*G1737</x:f>
        <x:v>0</x:v>
      </x:c>
      <x:c r="T1737" s="15" t="n">
        <x:f>'기준스탯 72종'!F77*G1737</x:f>
        <x:v>0</x:v>
      </x:c>
      <x:c r="U1737" s="15" t="n">
        <x:f>'기준스탯 72종'!G77*G1737</x:f>
        <x:v>0</x:v>
      </x:c>
      <x:c r="V1737" s="15" t="n">
        <x:f>'기준스탯 72종'!H77*G1737</x:f>
        <x:v>0</x:v>
      </x:c>
      <x:c r="W1737" s="15" t="n">
        <x:f>'기준스탯 72종'!I77*G1737</x:f>
        <x:v>0</x:v>
      </x:c>
      <x:c r="X1737" s="15" t="n">
        <x:f>'기준스탯 72종'!J77*G1737</x:f>
        <x:v>0</x:v>
      </x:c>
      <x:c r="Y1737" s="15" t="n">
        <x:f>'기준스탯 72종'!K77*G1737</x:f>
        <x:v>0</x:v>
      </x:c>
      <x:c r="Z1737" s="15" t="n">
        <x:f>'기준스탯 72종'!D77*H1737</x:f>
        <x:v>1.2000000000000002</x:v>
      </x:c>
      <x:c r="AA1737" s="15" t="n">
        <x:f>'기준스탯 72종'!E77*H1737</x:f>
        <x:v>2.1600000000000006</x:v>
      </x:c>
      <x:c r="AB1737" s="15" t="n">
        <x:f>'기준스탯 72종'!F77*H1737</x:f>
        <x:v>2.1600000000000006</x:v>
      </x:c>
      <x:c r="AC1737" s="15" t="n">
        <x:f>'기준스탯 72종'!G77*H1737</x:f>
        <x:v>1.9200000000000004</x:v>
      </x:c>
      <x:c r="AD1737" s="15" t="n">
        <x:f>'기준스탯 72종'!H77*H1737</x:f>
        <x:v>0.4800000000000001</x:v>
      </x:c>
      <x:c r="AE1737" s="15" t="n">
        <x:f>'기준스탯 72종'!I77*H1737</x:f>
        <x:v>0.9600000000000002</x:v>
      </x:c>
      <x:c r="AF1737" s="15" t="n">
        <x:f>'기준스탯 72종'!J77*H1737</x:f>
        <x:v>1.2000000000000002</x:v>
      </x:c>
      <x:c r="AG1737" s="15" t="n">
        <x:f>'기준스탯 72종'!K77*H1737</x:f>
        <x:v>1.2000000000000002</x:v>
      </x:c>
    </x:row>
    <x:row r="1738" ht="28" customHeight="1">
      <x:c r="A1738" s="2" t="n">
        <x:v>1731</x:v>
      </x:c>
      <x:c r="B1738" s="2" t="n">
        <x:v>70</x:v>
      </x:c>
      <x:c r="C1738" s="2" t="str">
        <x:v>물고기자리</x:v>
      </x:c>
      <x:c r="D1738" s="2" t="str">
        <x:v>정령사</x:v>
      </x:c>
      <x:c r="E1738" s="2" t="n">
        <x:v>1</x:v>
      </x:c>
      <x:c r="F1738" s="2" t="n">
        <x:v>2</x:v>
      </x:c>
      <x:c r="G1738" s="14" t="n">
        <x:f>('레벨 계산식'!$E$4-E1738)*'레벨 계산식'!$B$5</x:f>
        <x:v>0.5599999999999999</x:v>
      </x:c>
      <x:c r="H1738" s="14" t="n">
        <x:f>('등급 계산식'!$E$4-F1738)*'등급 계산식'!$B$5</x:f>
        <x:v>0.18000000000000005</x:v>
      </x:c>
      <x:c r="I1738" s="14" t="n">
        <x:f>1-G1738-H1738</x:f>
        <x:v>0.26</x:v>
      </x:c>
      <x:c r="J1738" s="2" t="n">
        <x:f>MAX(1,ROUND('기준스탯 72종'!D77-R1738-Z1738,0))</x:f>
        <x:v>1</x:v>
      </x:c>
      <x:c r="K1738" s="2" t="n">
        <x:f>MAX(1,ROUND('기준스탯 72종'!E77-S1738-AA1738,0))</x:f>
        <x:v>2</x:v>
      </x:c>
      <x:c r="L1738" s="2" t="n">
        <x:f>MAX(1,ROUND('기준스탯 72종'!F77-T1738-AB1738,0))</x:f>
        <x:v>2</x:v>
      </x:c>
      <x:c r="M1738" s="2" t="n">
        <x:f>MAX(1,ROUND('기준스탯 72종'!G77-U1738-AC1738,0))</x:f>
        <x:v>2</x:v>
      </x:c>
      <x:c r="N1738" s="2" t="n">
        <x:f>MAX(0,ROUND('기준스탯 72종'!H77-V1738-AD1738,0))</x:f>
        <x:v>1</x:v>
      </x:c>
      <x:c r="O1738" s="2" t="n">
        <x:f>MAX(0,ROUND('기준스탯 72종'!I77-W1738-AE1738,0))</x:f>
        <x:v>1</x:v>
      </x:c>
      <x:c r="P1738" s="2" t="n">
        <x:f>MAX(0,ROUND('기준스탯 72종'!J77-X1738-AF1738,0))</x:f>
        <x:v>1</x:v>
      </x:c>
      <x:c r="Q1738" s="2" t="n">
        <x:f>MAX(0,ROUND('기준스탯 72종'!K77-Y1738-AG1738,0))</x:f>
        <x:v>1</x:v>
      </x:c>
      <x:c r="R1738" s="15" t="n">
        <x:f>'기준스탯 72종'!D77*G1738</x:f>
        <x:v>2.8</x:v>
      </x:c>
      <x:c r="S1738" s="15" t="n">
        <x:f>'기준스탯 72종'!E77*G1738</x:f>
        <x:v>5.039999999999999</x:v>
      </x:c>
      <x:c r="T1738" s="15" t="n">
        <x:f>'기준스탯 72종'!F77*G1738</x:f>
        <x:v>5.039999999999999</x:v>
      </x:c>
      <x:c r="U1738" s="15" t="n">
        <x:f>'기준스탯 72종'!G77*G1738</x:f>
        <x:v>4.4799999999999995</x:v>
      </x:c>
      <x:c r="V1738" s="15" t="n">
        <x:f>'기준스탯 72종'!H77*G1738</x:f>
        <x:v>1.1199999999999999</x:v>
      </x:c>
      <x:c r="W1738" s="15" t="n">
        <x:f>'기준스탯 72종'!I77*G1738</x:f>
        <x:v>2.2399999999999998</x:v>
      </x:c>
      <x:c r="X1738" s="15" t="n">
        <x:f>'기준스탯 72종'!J77*G1738</x:f>
        <x:v>2.8</x:v>
      </x:c>
      <x:c r="Y1738" s="15" t="n">
        <x:f>'기준스탯 72종'!K77*G1738</x:f>
        <x:v>2.8</x:v>
      </x:c>
      <x:c r="Z1738" s="15" t="n">
        <x:f>'기준스탯 72종'!D77*H1738</x:f>
        <x:v>0.9000000000000002</x:v>
      </x:c>
      <x:c r="AA1738" s="15" t="n">
        <x:f>'기준스탯 72종'!E77*H1738</x:f>
        <x:v>1.6200000000000006</x:v>
      </x:c>
      <x:c r="AB1738" s="15" t="n">
        <x:f>'기준스탯 72종'!F77*H1738</x:f>
        <x:v>1.6200000000000006</x:v>
      </x:c>
      <x:c r="AC1738" s="15" t="n">
        <x:f>'기준스탯 72종'!G77*H1738</x:f>
        <x:v>1.4400000000000004</x:v>
      </x:c>
      <x:c r="AD1738" s="15" t="n">
        <x:f>'기준스탯 72종'!H77*H1738</x:f>
        <x:v>0.3600000000000001</x:v>
      </x:c>
      <x:c r="AE1738" s="15" t="n">
        <x:f>'기준스탯 72종'!I77*H1738</x:f>
        <x:v>0.7200000000000002</x:v>
      </x:c>
      <x:c r="AF1738" s="15" t="n">
        <x:f>'기준스탯 72종'!J77*H1738</x:f>
        <x:v>0.9000000000000002</x:v>
      </x:c>
      <x:c r="AG1738" s="15" t="n">
        <x:f>'기준스탯 72종'!K77*H1738</x:f>
        <x:v>0.9000000000000002</x:v>
      </x:c>
    </x:row>
    <x:row r="1739" ht="28" customHeight="1">
      <x:c r="A1739" s="2" t="n">
        <x:v>1732</x:v>
      </x:c>
      <x:c r="B1739" s="2" t="n">
        <x:v>70</x:v>
      </x:c>
      <x:c r="C1739" s="2" t="str">
        <x:v>물고기자리</x:v>
      </x:c>
      <x:c r="D1739" s="2" t="str">
        <x:v>정령사</x:v>
      </x:c>
      <x:c r="E1739" s="2" t="n">
        <x:v>2</x:v>
      </x:c>
      <x:c r="F1739" s="2" t="n">
        <x:v>2</x:v>
      </x:c>
      <x:c r="G1739" s="14" t="n">
        <x:f>('레벨 계산식'!$E$4-E1739)*'레벨 계산식'!$B$5</x:f>
        <x:v>0.41999999999999993</x:v>
      </x:c>
      <x:c r="H1739" s="14" t="n">
        <x:f>('등급 계산식'!$E$4-F1739)*'등급 계산식'!$B$5</x:f>
        <x:v>0.18000000000000005</x:v>
      </x:c>
      <x:c r="I1739" s="14" t="n">
        <x:f>1-G1739-H1739</x:f>
        <x:v>0.4</x:v>
      </x:c>
      <x:c r="J1739" s="2" t="n">
        <x:f>MAX(1,ROUND('기준스탯 72종'!D77-R1739-Z1739,0))</x:f>
        <x:v>2</x:v>
      </x:c>
      <x:c r="K1739" s="2" t="n">
        <x:f>MAX(1,ROUND('기준스탯 72종'!E77-S1739-AA1739,0))</x:f>
        <x:v>4</x:v>
      </x:c>
      <x:c r="L1739" s="2" t="n">
        <x:f>MAX(1,ROUND('기준스탯 72종'!F77-T1739-AB1739,0))</x:f>
        <x:v>4</x:v>
      </x:c>
      <x:c r="M1739" s="2" t="n">
        <x:f>MAX(1,ROUND('기준스탯 72종'!G77-U1739-AC1739,0))</x:f>
        <x:v>3</x:v>
      </x:c>
      <x:c r="N1739" s="2" t="n">
        <x:f>MAX(0,ROUND('기준스탯 72종'!H77-V1739-AD1739,0))</x:f>
        <x:v>1</x:v>
      </x:c>
      <x:c r="O1739" s="2" t="n">
        <x:f>MAX(0,ROUND('기준스탯 72종'!I77-W1739-AE1739,0))</x:f>
        <x:v>2</x:v>
      </x:c>
      <x:c r="P1739" s="2" t="n">
        <x:f>MAX(0,ROUND('기준스탯 72종'!J77-X1739-AF1739,0))</x:f>
        <x:v>2</x:v>
      </x:c>
      <x:c r="Q1739" s="2" t="n">
        <x:f>MAX(0,ROUND('기준스탯 72종'!K77-Y1739-AG1739,0))</x:f>
        <x:v>2</x:v>
      </x:c>
      <x:c r="R1739" s="15" t="n">
        <x:f>'기준스탯 72종'!D77*G1739</x:f>
        <x:v>2.0999999999999996</x:v>
      </x:c>
      <x:c r="S1739" s="15" t="n">
        <x:f>'기준스탯 72종'!E77*G1739</x:f>
        <x:v>3.7799999999999994</x:v>
      </x:c>
      <x:c r="T1739" s="15" t="n">
        <x:f>'기준스탯 72종'!F77*G1739</x:f>
        <x:v>3.7799999999999994</x:v>
      </x:c>
      <x:c r="U1739" s="15" t="n">
        <x:f>'기준스탯 72종'!G77*G1739</x:f>
        <x:v>3.3599999999999994</x:v>
      </x:c>
      <x:c r="V1739" s="15" t="n">
        <x:f>'기준스탯 72종'!H77*G1739</x:f>
        <x:v>0.8399999999999999</x:v>
      </x:c>
      <x:c r="W1739" s="15" t="n">
        <x:f>'기준스탯 72종'!I77*G1739</x:f>
        <x:v>1.6799999999999997</x:v>
      </x:c>
      <x:c r="X1739" s="15" t="n">
        <x:f>'기준스탯 72종'!J77*G1739</x:f>
        <x:v>2.0999999999999996</x:v>
      </x:c>
      <x:c r="Y1739" s="15" t="n">
        <x:f>'기준스탯 72종'!K77*G1739</x:f>
        <x:v>2.0999999999999996</x:v>
      </x:c>
      <x:c r="Z1739" s="15" t="n">
        <x:f>'기준스탯 72종'!D77*H1739</x:f>
        <x:v>0.9000000000000002</x:v>
      </x:c>
      <x:c r="AA1739" s="15" t="n">
        <x:f>'기준스탯 72종'!E77*H1739</x:f>
        <x:v>1.6200000000000006</x:v>
      </x:c>
      <x:c r="AB1739" s="15" t="n">
        <x:f>'기준스탯 72종'!F77*H1739</x:f>
        <x:v>1.6200000000000006</x:v>
      </x:c>
      <x:c r="AC1739" s="15" t="n">
        <x:f>'기준스탯 72종'!G77*H1739</x:f>
        <x:v>1.4400000000000004</x:v>
      </x:c>
      <x:c r="AD1739" s="15" t="n">
        <x:f>'기준스탯 72종'!H77*H1739</x:f>
        <x:v>0.3600000000000001</x:v>
      </x:c>
      <x:c r="AE1739" s="15" t="n">
        <x:f>'기준스탯 72종'!I77*H1739</x:f>
        <x:v>0.7200000000000002</x:v>
      </x:c>
      <x:c r="AF1739" s="15" t="n">
        <x:f>'기준스탯 72종'!J77*H1739</x:f>
        <x:v>0.9000000000000002</x:v>
      </x:c>
      <x:c r="AG1739" s="15" t="n">
        <x:f>'기준스탯 72종'!K77*H1739</x:f>
        <x:v>0.9000000000000002</x:v>
      </x:c>
    </x:row>
    <x:row r="1740" ht="28" customHeight="1">
      <x:c r="A1740" s="2" t="n">
        <x:v>1733</x:v>
      </x:c>
      <x:c r="B1740" s="2" t="n">
        <x:v>70</x:v>
      </x:c>
      <x:c r="C1740" s="2" t="str">
        <x:v>물고기자리</x:v>
      </x:c>
      <x:c r="D1740" s="2" t="str">
        <x:v>정령사</x:v>
      </x:c>
      <x:c r="E1740" s="2" t="n">
        <x:v>3</x:v>
      </x:c>
      <x:c r="F1740" s="2" t="n">
        <x:v>2</x:v>
      </x:c>
      <x:c r="G1740" s="14" t="n">
        <x:f>('레벨 계산식'!$E$4-E1740)*'레벨 계산식'!$B$5</x:f>
        <x:v>0.27999999999999997</x:v>
      </x:c>
      <x:c r="H1740" s="14" t="n">
        <x:f>('등급 계산식'!$E$4-F1740)*'등급 계산식'!$B$5</x:f>
        <x:v>0.18000000000000005</x:v>
      </x:c>
      <x:c r="I1740" s="14" t="n">
        <x:f>1-G1740-H1740</x:f>
        <x:v>0.5399999999999999</x:v>
      </x:c>
      <x:c r="J1740" s="2" t="n">
        <x:f>MAX(1,ROUND('기준스탯 72종'!D77-R1740-Z1740,0))</x:f>
        <x:v>3</x:v>
      </x:c>
      <x:c r="K1740" s="2" t="n">
        <x:f>MAX(1,ROUND('기준스탯 72종'!E77-S1740-AA1740,0))</x:f>
        <x:v>5</x:v>
      </x:c>
      <x:c r="L1740" s="2" t="n">
        <x:f>MAX(1,ROUND('기준스탯 72종'!F77-T1740-AB1740,0))</x:f>
        <x:v>5</x:v>
      </x:c>
      <x:c r="M1740" s="2" t="n">
        <x:f>MAX(1,ROUND('기준스탯 72종'!G77-U1740-AC1740,0))</x:f>
        <x:v>4</x:v>
      </x:c>
      <x:c r="N1740" s="2" t="n">
        <x:f>MAX(0,ROUND('기준스탯 72종'!H77-V1740-AD1740,0))</x:f>
        <x:v>1</x:v>
      </x:c>
      <x:c r="O1740" s="2" t="n">
        <x:f>MAX(0,ROUND('기준스탯 72종'!I77-W1740-AE1740,0))</x:f>
        <x:v>2</x:v>
      </x:c>
      <x:c r="P1740" s="2" t="n">
        <x:f>MAX(0,ROUND('기준스탯 72종'!J77-X1740-AF1740,0))</x:f>
        <x:v>3</x:v>
      </x:c>
      <x:c r="Q1740" s="2" t="n">
        <x:f>MAX(0,ROUND('기준스탯 72종'!K77-Y1740-AG1740,0))</x:f>
        <x:v>3</x:v>
      </x:c>
      <x:c r="R1740" s="15" t="n">
        <x:f>'기준스탯 72종'!D77*G1740</x:f>
        <x:v>1.4</x:v>
      </x:c>
      <x:c r="S1740" s="15" t="n">
        <x:f>'기준스탯 72종'!E77*G1740</x:f>
        <x:v>2.5199999999999996</x:v>
      </x:c>
      <x:c r="T1740" s="15" t="n">
        <x:f>'기준스탯 72종'!F77*G1740</x:f>
        <x:v>2.5199999999999996</x:v>
      </x:c>
      <x:c r="U1740" s="15" t="n">
        <x:f>'기준스탯 72종'!G77*G1740</x:f>
        <x:v>2.2399999999999998</x:v>
      </x:c>
      <x:c r="V1740" s="15" t="n">
        <x:f>'기준스탯 72종'!H77*G1740</x:f>
        <x:v>0.5599999999999999</x:v>
      </x:c>
      <x:c r="W1740" s="15" t="n">
        <x:f>'기준스탯 72종'!I77*G1740</x:f>
        <x:v>1.1199999999999999</x:v>
      </x:c>
      <x:c r="X1740" s="15" t="n">
        <x:f>'기준스탯 72종'!J77*G1740</x:f>
        <x:v>1.4</x:v>
      </x:c>
      <x:c r="Y1740" s="15" t="n">
        <x:f>'기준스탯 72종'!K77*G1740</x:f>
        <x:v>1.4</x:v>
      </x:c>
      <x:c r="Z1740" s="15" t="n">
        <x:f>'기준스탯 72종'!D77*H1740</x:f>
        <x:v>0.9000000000000002</x:v>
      </x:c>
      <x:c r="AA1740" s="15" t="n">
        <x:f>'기준스탯 72종'!E77*H1740</x:f>
        <x:v>1.6200000000000006</x:v>
      </x:c>
      <x:c r="AB1740" s="15" t="n">
        <x:f>'기준스탯 72종'!F77*H1740</x:f>
        <x:v>1.6200000000000006</x:v>
      </x:c>
      <x:c r="AC1740" s="15" t="n">
        <x:f>'기준스탯 72종'!G77*H1740</x:f>
        <x:v>1.4400000000000004</x:v>
      </x:c>
      <x:c r="AD1740" s="15" t="n">
        <x:f>'기준스탯 72종'!H77*H1740</x:f>
        <x:v>0.3600000000000001</x:v>
      </x:c>
      <x:c r="AE1740" s="15" t="n">
        <x:f>'기준스탯 72종'!I77*H1740</x:f>
        <x:v>0.7200000000000002</x:v>
      </x:c>
      <x:c r="AF1740" s="15" t="n">
        <x:f>'기준스탯 72종'!J77*H1740</x:f>
        <x:v>0.9000000000000002</x:v>
      </x:c>
      <x:c r="AG1740" s="15" t="n">
        <x:f>'기준스탯 72종'!K77*H1740</x:f>
        <x:v>0.9000000000000002</x:v>
      </x:c>
    </x:row>
    <x:row r="1741" ht="28" customHeight="1">
      <x:c r="A1741" s="2" t="n">
        <x:v>1734</x:v>
      </x:c>
      <x:c r="B1741" s="2" t="n">
        <x:v>70</x:v>
      </x:c>
      <x:c r="C1741" s="2" t="str">
        <x:v>물고기자리</x:v>
      </x:c>
      <x:c r="D1741" s="2" t="str">
        <x:v>정령사</x:v>
      </x:c>
      <x:c r="E1741" s="2" t="n">
        <x:v>4</x:v>
      </x:c>
      <x:c r="F1741" s="2" t="n">
        <x:v>2</x:v>
      </x:c>
      <x:c r="G1741" s="14" t="n">
        <x:f>('레벨 계산식'!$E$4-E1741)*'레벨 계산식'!$B$5</x:f>
        <x:v>0.13999999999999999</x:v>
      </x:c>
      <x:c r="H1741" s="14" t="n">
        <x:f>('등급 계산식'!$E$4-F1741)*'등급 계산식'!$B$5</x:f>
        <x:v>0.18000000000000005</x:v>
      </x:c>
      <x:c r="I1741" s="14" t="n">
        <x:f>1-G1741-H1741</x:f>
        <x:v>0.6799999999999999</x:v>
      </x:c>
      <x:c r="J1741" s="2" t="n">
        <x:f>MAX(1,ROUND('기준스탯 72종'!D77-R1741-Z1741,0))</x:f>
        <x:v>3</x:v>
      </x:c>
      <x:c r="K1741" s="2" t="n">
        <x:f>MAX(1,ROUND('기준스탯 72종'!E77-S1741-AA1741,0))</x:f>
        <x:v>6</x:v>
      </x:c>
      <x:c r="L1741" s="2" t="n">
        <x:f>MAX(1,ROUND('기준스탯 72종'!F77-T1741-AB1741,0))</x:f>
        <x:v>6</x:v>
      </x:c>
      <x:c r="M1741" s="2" t="n">
        <x:f>MAX(1,ROUND('기준스탯 72종'!G77-U1741-AC1741,0))</x:f>
        <x:v>5</x:v>
      </x:c>
      <x:c r="N1741" s="2" t="n">
        <x:f>MAX(0,ROUND('기준스탯 72종'!H77-V1741-AD1741,0))</x:f>
        <x:v>1</x:v>
      </x:c>
      <x:c r="O1741" s="2" t="n">
        <x:f>MAX(0,ROUND('기준스탯 72종'!I77-W1741-AE1741,0))</x:f>
        <x:v>3</x:v>
      </x:c>
      <x:c r="P1741" s="2" t="n">
        <x:f>MAX(0,ROUND('기준스탯 72종'!J77-X1741-AF1741,0))</x:f>
        <x:v>3</x:v>
      </x:c>
      <x:c r="Q1741" s="2" t="n">
        <x:f>MAX(0,ROUND('기준스탯 72종'!K77-Y1741-AG1741,0))</x:f>
        <x:v>3</x:v>
      </x:c>
      <x:c r="R1741" s="15" t="n">
        <x:f>'기준스탯 72종'!D77*G1741</x:f>
        <x:v>0.7</x:v>
      </x:c>
      <x:c r="S1741" s="15" t="n">
        <x:f>'기준스탯 72종'!E77*G1741</x:f>
        <x:v>1.2599999999999998</x:v>
      </x:c>
      <x:c r="T1741" s="15" t="n">
        <x:f>'기준스탯 72종'!F77*G1741</x:f>
        <x:v>1.2599999999999998</x:v>
      </x:c>
      <x:c r="U1741" s="15" t="n">
        <x:f>'기준스탯 72종'!G77*G1741</x:f>
        <x:v>1.1199999999999999</x:v>
      </x:c>
      <x:c r="V1741" s="15" t="n">
        <x:f>'기준스탯 72종'!H77*G1741</x:f>
        <x:v>0.27999999999999997</x:v>
      </x:c>
      <x:c r="W1741" s="15" t="n">
        <x:f>'기준스탯 72종'!I77*G1741</x:f>
        <x:v>0.5599999999999999</x:v>
      </x:c>
      <x:c r="X1741" s="15" t="n">
        <x:f>'기준스탯 72종'!J77*G1741</x:f>
        <x:v>0.7</x:v>
      </x:c>
      <x:c r="Y1741" s="15" t="n">
        <x:f>'기준스탯 72종'!K77*G1741</x:f>
        <x:v>0.7</x:v>
      </x:c>
      <x:c r="Z1741" s="15" t="n">
        <x:f>'기준스탯 72종'!D77*H1741</x:f>
        <x:v>0.9000000000000002</x:v>
      </x:c>
      <x:c r="AA1741" s="15" t="n">
        <x:f>'기준스탯 72종'!E77*H1741</x:f>
        <x:v>1.6200000000000006</x:v>
      </x:c>
      <x:c r="AB1741" s="15" t="n">
        <x:f>'기준스탯 72종'!F77*H1741</x:f>
        <x:v>1.6200000000000006</x:v>
      </x:c>
      <x:c r="AC1741" s="15" t="n">
        <x:f>'기준스탯 72종'!G77*H1741</x:f>
        <x:v>1.4400000000000004</x:v>
      </x:c>
      <x:c r="AD1741" s="15" t="n">
        <x:f>'기준스탯 72종'!H77*H1741</x:f>
        <x:v>0.3600000000000001</x:v>
      </x:c>
      <x:c r="AE1741" s="15" t="n">
        <x:f>'기준스탯 72종'!I77*H1741</x:f>
        <x:v>0.7200000000000002</x:v>
      </x:c>
      <x:c r="AF1741" s="15" t="n">
        <x:f>'기준스탯 72종'!J77*H1741</x:f>
        <x:v>0.9000000000000002</x:v>
      </x:c>
      <x:c r="AG1741" s="15" t="n">
        <x:f>'기준스탯 72종'!K77*H1741</x:f>
        <x:v>0.9000000000000002</x:v>
      </x:c>
    </x:row>
    <x:row r="1742" ht="28" customHeight="1">
      <x:c r="A1742" s="2" t="n">
        <x:v>1735</x:v>
      </x:c>
      <x:c r="B1742" s="2" t="n">
        <x:v>70</x:v>
      </x:c>
      <x:c r="C1742" s="2" t="str">
        <x:v>물고기자리</x:v>
      </x:c>
      <x:c r="D1742" s="2" t="str">
        <x:v>정령사</x:v>
      </x:c>
      <x:c r="E1742" s="2" t="n">
        <x:v>5</x:v>
      </x:c>
      <x:c r="F1742" s="2" t="n">
        <x:v>2</x:v>
      </x:c>
      <x:c r="G1742" s="14" t="n">
        <x:f>('레벨 계산식'!$E$4-E1742)*'레벨 계산식'!$B$5</x:f>
        <x:v>0</x:v>
      </x:c>
      <x:c r="H1742" s="14" t="n">
        <x:f>('등급 계산식'!$E$4-F1742)*'등급 계산식'!$B$5</x:f>
        <x:v>0.18000000000000005</x:v>
      </x:c>
      <x:c r="I1742" s="14" t="n">
        <x:f>1-G1742-H1742</x:f>
        <x:v>0.82</x:v>
      </x:c>
      <x:c r="J1742" s="2" t="n">
        <x:f>MAX(1,ROUND('기준스탯 72종'!D77-R1742-Z1742,0))</x:f>
        <x:v>4</x:v>
      </x:c>
      <x:c r="K1742" s="2" t="n">
        <x:f>MAX(1,ROUND('기준스탯 72종'!E77-S1742-AA1742,0))</x:f>
        <x:v>7</x:v>
      </x:c>
      <x:c r="L1742" s="2" t="n">
        <x:f>MAX(1,ROUND('기준스탯 72종'!F77-T1742-AB1742,0))</x:f>
        <x:v>7</x:v>
      </x:c>
      <x:c r="M1742" s="2" t="n">
        <x:f>MAX(1,ROUND('기준스탯 72종'!G77-U1742-AC1742,0))</x:f>
        <x:v>7</x:v>
      </x:c>
      <x:c r="N1742" s="2" t="n">
        <x:f>MAX(0,ROUND('기준스탯 72종'!H77-V1742-AD1742,0))</x:f>
        <x:v>2</x:v>
      </x:c>
      <x:c r="O1742" s="2" t="n">
        <x:f>MAX(0,ROUND('기준스탯 72종'!I77-W1742-AE1742,0))</x:f>
        <x:v>3</x:v>
      </x:c>
      <x:c r="P1742" s="2" t="n">
        <x:f>MAX(0,ROUND('기준스탯 72종'!J77-X1742-AF1742,0))</x:f>
        <x:v>4</x:v>
      </x:c>
      <x:c r="Q1742" s="2" t="n">
        <x:f>MAX(0,ROUND('기준스탯 72종'!K77-Y1742-AG1742,0))</x:f>
        <x:v>4</x:v>
      </x:c>
      <x:c r="R1742" s="15" t="n">
        <x:f>'기준스탯 72종'!D77*G1742</x:f>
        <x:v>0</x:v>
      </x:c>
      <x:c r="S1742" s="15" t="n">
        <x:f>'기준스탯 72종'!E77*G1742</x:f>
        <x:v>0</x:v>
      </x:c>
      <x:c r="T1742" s="15" t="n">
        <x:f>'기준스탯 72종'!F77*G1742</x:f>
        <x:v>0</x:v>
      </x:c>
      <x:c r="U1742" s="15" t="n">
        <x:f>'기준스탯 72종'!G77*G1742</x:f>
        <x:v>0</x:v>
      </x:c>
      <x:c r="V1742" s="15" t="n">
        <x:f>'기준스탯 72종'!H77*G1742</x:f>
        <x:v>0</x:v>
      </x:c>
      <x:c r="W1742" s="15" t="n">
        <x:f>'기준스탯 72종'!I77*G1742</x:f>
        <x:v>0</x:v>
      </x:c>
      <x:c r="X1742" s="15" t="n">
        <x:f>'기준스탯 72종'!J77*G1742</x:f>
        <x:v>0</x:v>
      </x:c>
      <x:c r="Y1742" s="15" t="n">
        <x:f>'기준스탯 72종'!K77*G1742</x:f>
        <x:v>0</x:v>
      </x:c>
      <x:c r="Z1742" s="15" t="n">
        <x:f>'기준스탯 72종'!D77*H1742</x:f>
        <x:v>0.9000000000000002</x:v>
      </x:c>
      <x:c r="AA1742" s="15" t="n">
        <x:f>'기준스탯 72종'!E77*H1742</x:f>
        <x:v>1.6200000000000006</x:v>
      </x:c>
      <x:c r="AB1742" s="15" t="n">
        <x:f>'기준스탯 72종'!F77*H1742</x:f>
        <x:v>1.6200000000000006</x:v>
      </x:c>
      <x:c r="AC1742" s="15" t="n">
        <x:f>'기준스탯 72종'!G77*H1742</x:f>
        <x:v>1.4400000000000004</x:v>
      </x:c>
      <x:c r="AD1742" s="15" t="n">
        <x:f>'기준스탯 72종'!H77*H1742</x:f>
        <x:v>0.3600000000000001</x:v>
      </x:c>
      <x:c r="AE1742" s="15" t="n">
        <x:f>'기준스탯 72종'!I77*H1742</x:f>
        <x:v>0.7200000000000002</x:v>
      </x:c>
      <x:c r="AF1742" s="15" t="n">
        <x:f>'기준스탯 72종'!J77*H1742</x:f>
        <x:v>0.9000000000000002</x:v>
      </x:c>
      <x:c r="AG1742" s="15" t="n">
        <x:f>'기준스탯 72종'!K77*H1742</x:f>
        <x:v>0.9000000000000002</x:v>
      </x:c>
    </x:row>
    <x:row r="1743" ht="28" customHeight="1">
      <x:c r="A1743" s="2" t="n">
        <x:v>1736</x:v>
      </x:c>
      <x:c r="B1743" s="2" t="n">
        <x:v>70</x:v>
      </x:c>
      <x:c r="C1743" s="2" t="str">
        <x:v>물고기자리</x:v>
      </x:c>
      <x:c r="D1743" s="2" t="str">
        <x:v>정령사</x:v>
      </x:c>
      <x:c r="E1743" s="2" t="n">
        <x:v>1</x:v>
      </x:c>
      <x:c r="F1743" s="2" t="n">
        <x:v>3</x:v>
      </x:c>
      <x:c r="G1743" s="14" t="n">
        <x:f>('레벨 계산식'!$E$4-E1743)*'레벨 계산식'!$B$5</x:f>
        <x:v>0.5599999999999999</x:v>
      </x:c>
      <x:c r="H1743" s="14" t="n">
        <x:f>('등급 계산식'!$E$4-F1743)*'등급 계산식'!$B$5</x:f>
        <x:v>0.12000000000000002</x:v>
      </x:c>
      <x:c r="I1743" s="14" t="n">
        <x:f>1-G1743-H1743</x:f>
        <x:v>0.32000000000000006</x:v>
      </x:c>
      <x:c r="J1743" s="2" t="n">
        <x:f>MAX(1,ROUND('기준스탯 72종'!D77-R1743-Z1743,0))</x:f>
        <x:v>2</x:v>
      </x:c>
      <x:c r="K1743" s="2" t="n">
        <x:f>MAX(1,ROUND('기준스탯 72종'!E77-S1743-AA1743,0))</x:f>
        <x:v>3</x:v>
      </x:c>
      <x:c r="L1743" s="2" t="n">
        <x:f>MAX(1,ROUND('기준스탯 72종'!F77-T1743-AB1743,0))</x:f>
        <x:v>3</x:v>
      </x:c>
      <x:c r="M1743" s="2" t="n">
        <x:f>MAX(1,ROUND('기준스탯 72종'!G77-U1743-AC1743,0))</x:f>
        <x:v>3</x:v>
      </x:c>
      <x:c r="N1743" s="2" t="n">
        <x:f>MAX(0,ROUND('기준스탯 72종'!H77-V1743-AD1743,0))</x:f>
        <x:v>1</x:v>
      </x:c>
      <x:c r="O1743" s="2" t="n">
        <x:f>MAX(0,ROUND('기준스탯 72종'!I77-W1743-AE1743,0))</x:f>
        <x:v>1</x:v>
      </x:c>
      <x:c r="P1743" s="2" t="n">
        <x:f>MAX(0,ROUND('기준스탯 72종'!J77-X1743-AF1743,0))</x:f>
        <x:v>2</x:v>
      </x:c>
      <x:c r="Q1743" s="2" t="n">
        <x:f>MAX(0,ROUND('기준스탯 72종'!K77-Y1743-AG1743,0))</x:f>
        <x:v>2</x:v>
      </x:c>
      <x:c r="R1743" s="15" t="n">
        <x:f>'기준스탯 72종'!D77*G1743</x:f>
        <x:v>2.8</x:v>
      </x:c>
      <x:c r="S1743" s="15" t="n">
        <x:f>'기준스탯 72종'!E77*G1743</x:f>
        <x:v>5.039999999999999</x:v>
      </x:c>
      <x:c r="T1743" s="15" t="n">
        <x:f>'기준스탯 72종'!F77*G1743</x:f>
        <x:v>5.039999999999999</x:v>
      </x:c>
      <x:c r="U1743" s="15" t="n">
        <x:f>'기준스탯 72종'!G77*G1743</x:f>
        <x:v>4.4799999999999995</x:v>
      </x:c>
      <x:c r="V1743" s="15" t="n">
        <x:f>'기준스탯 72종'!H77*G1743</x:f>
        <x:v>1.1199999999999999</x:v>
      </x:c>
      <x:c r="W1743" s="15" t="n">
        <x:f>'기준스탯 72종'!I77*G1743</x:f>
        <x:v>2.2399999999999998</x:v>
      </x:c>
      <x:c r="X1743" s="15" t="n">
        <x:f>'기준스탯 72종'!J77*G1743</x:f>
        <x:v>2.8</x:v>
      </x:c>
      <x:c r="Y1743" s="15" t="n">
        <x:f>'기준스탯 72종'!K77*G1743</x:f>
        <x:v>2.8</x:v>
      </x:c>
      <x:c r="Z1743" s="15" t="n">
        <x:f>'기준스탯 72종'!D77*H1743</x:f>
        <x:v>0.6000000000000001</x:v>
      </x:c>
      <x:c r="AA1743" s="15" t="n">
        <x:f>'기준스탯 72종'!E77*H1743</x:f>
        <x:v>1.0800000000000003</x:v>
      </x:c>
      <x:c r="AB1743" s="15" t="n">
        <x:f>'기준스탯 72종'!F77*H1743</x:f>
        <x:v>1.0800000000000003</x:v>
      </x:c>
      <x:c r="AC1743" s="15" t="n">
        <x:f>'기준스탯 72종'!G77*H1743</x:f>
        <x:v>0.9600000000000002</x:v>
      </x:c>
      <x:c r="AD1743" s="15" t="n">
        <x:f>'기준스탯 72종'!H77*H1743</x:f>
        <x:v>0.24000000000000005</x:v>
      </x:c>
      <x:c r="AE1743" s="15" t="n">
        <x:f>'기준스탯 72종'!I77*H1743</x:f>
        <x:v>0.4800000000000001</x:v>
      </x:c>
      <x:c r="AF1743" s="15" t="n">
        <x:f>'기준스탯 72종'!J77*H1743</x:f>
        <x:v>0.6000000000000001</x:v>
      </x:c>
      <x:c r="AG1743" s="15" t="n">
        <x:f>'기준스탯 72종'!K77*H1743</x:f>
        <x:v>0.6000000000000001</x:v>
      </x:c>
    </x:row>
    <x:row r="1744" ht="28" customHeight="1">
      <x:c r="A1744" s="2" t="n">
        <x:v>1737</x:v>
      </x:c>
      <x:c r="B1744" s="2" t="n">
        <x:v>70</x:v>
      </x:c>
      <x:c r="C1744" s="2" t="str">
        <x:v>물고기자리</x:v>
      </x:c>
      <x:c r="D1744" s="2" t="str">
        <x:v>정령사</x:v>
      </x:c>
      <x:c r="E1744" s="2" t="n">
        <x:v>2</x:v>
      </x:c>
      <x:c r="F1744" s="2" t="n">
        <x:v>3</x:v>
      </x:c>
      <x:c r="G1744" s="14" t="n">
        <x:f>('레벨 계산식'!$E$4-E1744)*'레벨 계산식'!$B$5</x:f>
        <x:v>0.41999999999999993</x:v>
      </x:c>
      <x:c r="H1744" s="14" t="n">
        <x:f>('등급 계산식'!$E$4-F1744)*'등급 계산식'!$B$5</x:f>
        <x:v>0.12000000000000002</x:v>
      </x:c>
      <x:c r="I1744" s="14" t="n">
        <x:f>1-G1744-H1744</x:f>
        <x:v>0.4600000000000001</x:v>
      </x:c>
      <x:c r="J1744" s="2" t="n">
        <x:f>MAX(1,ROUND('기준스탯 72종'!D77-R1744-Z1744,0))</x:f>
        <x:v>2</x:v>
      </x:c>
      <x:c r="K1744" s="2" t="n">
        <x:f>MAX(1,ROUND('기준스탯 72종'!E77-S1744-AA1744,0))</x:f>
        <x:v>4</x:v>
      </x:c>
      <x:c r="L1744" s="2" t="n">
        <x:f>MAX(1,ROUND('기준스탯 72종'!F77-T1744-AB1744,0))</x:f>
        <x:v>4</x:v>
      </x:c>
      <x:c r="M1744" s="2" t="n">
        <x:f>MAX(1,ROUND('기준스탯 72종'!G77-U1744-AC1744,0))</x:f>
        <x:v>4</x:v>
      </x:c>
      <x:c r="N1744" s="2" t="n">
        <x:f>MAX(0,ROUND('기준스탯 72종'!H77-V1744-AD1744,0))</x:f>
        <x:v>1</x:v>
      </x:c>
      <x:c r="O1744" s="2" t="n">
        <x:f>MAX(0,ROUND('기준스탯 72종'!I77-W1744-AE1744,0))</x:f>
        <x:v>2</x:v>
      </x:c>
      <x:c r="P1744" s="2" t="n">
        <x:f>MAX(0,ROUND('기준스탯 72종'!J77-X1744-AF1744,0))</x:f>
        <x:v>2</x:v>
      </x:c>
      <x:c r="Q1744" s="2" t="n">
        <x:f>MAX(0,ROUND('기준스탯 72종'!K77-Y1744-AG1744,0))</x:f>
        <x:v>2</x:v>
      </x:c>
      <x:c r="R1744" s="15" t="n">
        <x:f>'기준스탯 72종'!D77*G1744</x:f>
        <x:v>2.0999999999999996</x:v>
      </x:c>
      <x:c r="S1744" s="15" t="n">
        <x:f>'기준스탯 72종'!E77*G1744</x:f>
        <x:v>3.7799999999999994</x:v>
      </x:c>
      <x:c r="T1744" s="15" t="n">
        <x:f>'기준스탯 72종'!F77*G1744</x:f>
        <x:v>3.7799999999999994</x:v>
      </x:c>
      <x:c r="U1744" s="15" t="n">
        <x:f>'기준스탯 72종'!G77*G1744</x:f>
        <x:v>3.3599999999999994</x:v>
      </x:c>
      <x:c r="V1744" s="15" t="n">
        <x:f>'기준스탯 72종'!H77*G1744</x:f>
        <x:v>0.8399999999999999</x:v>
      </x:c>
      <x:c r="W1744" s="15" t="n">
        <x:f>'기준스탯 72종'!I77*G1744</x:f>
        <x:v>1.6799999999999997</x:v>
      </x:c>
      <x:c r="X1744" s="15" t="n">
        <x:f>'기준스탯 72종'!J77*G1744</x:f>
        <x:v>2.0999999999999996</x:v>
      </x:c>
      <x:c r="Y1744" s="15" t="n">
        <x:f>'기준스탯 72종'!K77*G1744</x:f>
        <x:v>2.0999999999999996</x:v>
      </x:c>
      <x:c r="Z1744" s="15" t="n">
        <x:f>'기준스탯 72종'!D77*H1744</x:f>
        <x:v>0.6000000000000001</x:v>
      </x:c>
      <x:c r="AA1744" s="15" t="n">
        <x:f>'기준스탯 72종'!E77*H1744</x:f>
        <x:v>1.0800000000000003</x:v>
      </x:c>
      <x:c r="AB1744" s="15" t="n">
        <x:f>'기준스탯 72종'!F77*H1744</x:f>
        <x:v>1.0800000000000003</x:v>
      </x:c>
      <x:c r="AC1744" s="15" t="n">
        <x:f>'기준스탯 72종'!G77*H1744</x:f>
        <x:v>0.9600000000000002</x:v>
      </x:c>
      <x:c r="AD1744" s="15" t="n">
        <x:f>'기준스탯 72종'!H77*H1744</x:f>
        <x:v>0.24000000000000005</x:v>
      </x:c>
      <x:c r="AE1744" s="15" t="n">
        <x:f>'기준스탯 72종'!I77*H1744</x:f>
        <x:v>0.4800000000000001</x:v>
      </x:c>
      <x:c r="AF1744" s="15" t="n">
        <x:f>'기준스탯 72종'!J77*H1744</x:f>
        <x:v>0.6000000000000001</x:v>
      </x:c>
      <x:c r="AG1744" s="15" t="n">
        <x:f>'기준스탯 72종'!K77*H1744</x:f>
        <x:v>0.6000000000000001</x:v>
      </x:c>
    </x:row>
    <x:row r="1745" ht="28" customHeight="1">
      <x:c r="A1745" s="2" t="n">
        <x:v>1738</x:v>
      </x:c>
      <x:c r="B1745" s="2" t="n">
        <x:v>70</x:v>
      </x:c>
      <x:c r="C1745" s="2" t="str">
        <x:v>물고기자리</x:v>
      </x:c>
      <x:c r="D1745" s="2" t="str">
        <x:v>정령사</x:v>
      </x:c>
      <x:c r="E1745" s="2" t="n">
        <x:v>3</x:v>
      </x:c>
      <x:c r="F1745" s="2" t="n">
        <x:v>3</x:v>
      </x:c>
      <x:c r="G1745" s="14" t="n">
        <x:f>('레벨 계산식'!$E$4-E1745)*'레벨 계산식'!$B$5</x:f>
        <x:v>0.27999999999999997</x:v>
      </x:c>
      <x:c r="H1745" s="14" t="n">
        <x:f>('등급 계산식'!$E$4-F1745)*'등급 계산식'!$B$5</x:f>
        <x:v>0.12000000000000002</x:v>
      </x:c>
      <x:c r="I1745" s="14" t="n">
        <x:f>1-G1745-H1745</x:f>
        <x:v>0.6</x:v>
      </x:c>
      <x:c r="J1745" s="2" t="n">
        <x:f>MAX(1,ROUND('기준스탯 72종'!D77-R1745-Z1745,0))</x:f>
        <x:v>3</x:v>
      </x:c>
      <x:c r="K1745" s="2" t="n">
        <x:f>MAX(1,ROUND('기준스탯 72종'!E77-S1745-AA1745,0))</x:f>
        <x:v>5</x:v>
      </x:c>
      <x:c r="L1745" s="2" t="n">
        <x:f>MAX(1,ROUND('기준스탯 72종'!F77-T1745-AB1745,0))</x:f>
        <x:v>5</x:v>
      </x:c>
      <x:c r="M1745" s="2" t="n">
        <x:f>MAX(1,ROUND('기준스탯 72종'!G77-U1745-AC1745,0))</x:f>
        <x:v>5</x:v>
      </x:c>
      <x:c r="N1745" s="2" t="n">
        <x:f>MAX(0,ROUND('기준스탯 72종'!H77-V1745-AD1745,0))</x:f>
        <x:v>1</x:v>
      </x:c>
      <x:c r="O1745" s="2" t="n">
        <x:f>MAX(0,ROUND('기준스탯 72종'!I77-W1745-AE1745,0))</x:f>
        <x:v>2</x:v>
      </x:c>
      <x:c r="P1745" s="2" t="n">
        <x:f>MAX(0,ROUND('기준스탯 72종'!J77-X1745-AF1745,0))</x:f>
        <x:v>3</x:v>
      </x:c>
      <x:c r="Q1745" s="2" t="n">
        <x:f>MAX(0,ROUND('기준스탯 72종'!K77-Y1745-AG1745,0))</x:f>
        <x:v>3</x:v>
      </x:c>
      <x:c r="R1745" s="15" t="n">
        <x:f>'기준스탯 72종'!D77*G1745</x:f>
        <x:v>1.4</x:v>
      </x:c>
      <x:c r="S1745" s="15" t="n">
        <x:f>'기준스탯 72종'!E77*G1745</x:f>
        <x:v>2.5199999999999996</x:v>
      </x:c>
      <x:c r="T1745" s="15" t="n">
        <x:f>'기준스탯 72종'!F77*G1745</x:f>
        <x:v>2.5199999999999996</x:v>
      </x:c>
      <x:c r="U1745" s="15" t="n">
        <x:f>'기준스탯 72종'!G77*G1745</x:f>
        <x:v>2.2399999999999998</x:v>
      </x:c>
      <x:c r="V1745" s="15" t="n">
        <x:f>'기준스탯 72종'!H77*G1745</x:f>
        <x:v>0.5599999999999999</x:v>
      </x:c>
      <x:c r="W1745" s="15" t="n">
        <x:f>'기준스탯 72종'!I77*G1745</x:f>
        <x:v>1.1199999999999999</x:v>
      </x:c>
      <x:c r="X1745" s="15" t="n">
        <x:f>'기준스탯 72종'!J77*G1745</x:f>
        <x:v>1.4</x:v>
      </x:c>
      <x:c r="Y1745" s="15" t="n">
        <x:f>'기준스탯 72종'!K77*G1745</x:f>
        <x:v>1.4</x:v>
      </x:c>
      <x:c r="Z1745" s="15" t="n">
        <x:f>'기준스탯 72종'!D77*H1745</x:f>
        <x:v>0.6000000000000001</x:v>
      </x:c>
      <x:c r="AA1745" s="15" t="n">
        <x:f>'기준스탯 72종'!E77*H1745</x:f>
        <x:v>1.0800000000000003</x:v>
      </x:c>
      <x:c r="AB1745" s="15" t="n">
        <x:f>'기준스탯 72종'!F77*H1745</x:f>
        <x:v>1.0800000000000003</x:v>
      </x:c>
      <x:c r="AC1745" s="15" t="n">
        <x:f>'기준스탯 72종'!G77*H1745</x:f>
        <x:v>0.9600000000000002</x:v>
      </x:c>
      <x:c r="AD1745" s="15" t="n">
        <x:f>'기준스탯 72종'!H77*H1745</x:f>
        <x:v>0.24000000000000005</x:v>
      </x:c>
      <x:c r="AE1745" s="15" t="n">
        <x:f>'기준스탯 72종'!I77*H1745</x:f>
        <x:v>0.4800000000000001</x:v>
      </x:c>
      <x:c r="AF1745" s="15" t="n">
        <x:f>'기준스탯 72종'!J77*H1745</x:f>
        <x:v>0.6000000000000001</x:v>
      </x:c>
      <x:c r="AG1745" s="15" t="n">
        <x:f>'기준스탯 72종'!K77*H1745</x:f>
        <x:v>0.6000000000000001</x:v>
      </x:c>
    </x:row>
    <x:row r="1746" ht="28" customHeight="1">
      <x:c r="A1746" s="2" t="n">
        <x:v>1739</x:v>
      </x:c>
      <x:c r="B1746" s="2" t="n">
        <x:v>70</x:v>
      </x:c>
      <x:c r="C1746" s="2" t="str">
        <x:v>물고기자리</x:v>
      </x:c>
      <x:c r="D1746" s="2" t="str">
        <x:v>정령사</x:v>
      </x:c>
      <x:c r="E1746" s="2" t="n">
        <x:v>4</x:v>
      </x:c>
      <x:c r="F1746" s="2" t="n">
        <x:v>3</x:v>
      </x:c>
      <x:c r="G1746" s="14" t="n">
        <x:f>('레벨 계산식'!$E$4-E1746)*'레벨 계산식'!$B$5</x:f>
        <x:v>0.13999999999999999</x:v>
      </x:c>
      <x:c r="H1746" s="14" t="n">
        <x:f>('등급 계산식'!$E$4-F1746)*'등급 계산식'!$B$5</x:f>
        <x:v>0.12000000000000002</x:v>
      </x:c>
      <x:c r="I1746" s="14" t="n">
        <x:f>1-G1746-H1746</x:f>
        <x:v>0.74</x:v>
      </x:c>
      <x:c r="J1746" s="2" t="n">
        <x:f>MAX(1,ROUND('기준스탯 72종'!D77-R1746-Z1746,0))</x:f>
        <x:v>4</x:v>
      </x:c>
      <x:c r="K1746" s="2" t="n">
        <x:f>MAX(1,ROUND('기준스탯 72종'!E77-S1746-AA1746,0))</x:f>
        <x:v>7</x:v>
      </x:c>
      <x:c r="L1746" s="2" t="n">
        <x:f>MAX(1,ROUND('기준스탯 72종'!F77-T1746-AB1746,0))</x:f>
        <x:v>7</x:v>
      </x:c>
      <x:c r="M1746" s="2" t="n">
        <x:f>MAX(1,ROUND('기준스탯 72종'!G77-U1746-AC1746,0))</x:f>
        <x:v>6</x:v>
      </x:c>
      <x:c r="N1746" s="2" t="n">
        <x:f>MAX(0,ROUND('기준스탯 72종'!H77-V1746-AD1746,0))</x:f>
        <x:v>1</x:v>
      </x:c>
      <x:c r="O1746" s="2" t="n">
        <x:f>MAX(0,ROUND('기준스탯 72종'!I77-W1746-AE1746,0))</x:f>
        <x:v>3</x:v>
      </x:c>
      <x:c r="P1746" s="2" t="n">
        <x:f>MAX(0,ROUND('기준스탯 72종'!J77-X1746-AF1746,0))</x:f>
        <x:v>4</x:v>
      </x:c>
      <x:c r="Q1746" s="2" t="n">
        <x:f>MAX(0,ROUND('기준스탯 72종'!K77-Y1746-AG1746,0))</x:f>
        <x:v>4</x:v>
      </x:c>
      <x:c r="R1746" s="15" t="n">
        <x:f>'기준스탯 72종'!D77*G1746</x:f>
        <x:v>0.7</x:v>
      </x:c>
      <x:c r="S1746" s="15" t="n">
        <x:f>'기준스탯 72종'!E77*G1746</x:f>
        <x:v>1.2599999999999998</x:v>
      </x:c>
      <x:c r="T1746" s="15" t="n">
        <x:f>'기준스탯 72종'!F77*G1746</x:f>
        <x:v>1.2599999999999998</x:v>
      </x:c>
      <x:c r="U1746" s="15" t="n">
        <x:f>'기준스탯 72종'!G77*G1746</x:f>
        <x:v>1.1199999999999999</x:v>
      </x:c>
      <x:c r="V1746" s="15" t="n">
        <x:f>'기준스탯 72종'!H77*G1746</x:f>
        <x:v>0.27999999999999997</x:v>
      </x:c>
      <x:c r="W1746" s="15" t="n">
        <x:f>'기준스탯 72종'!I77*G1746</x:f>
        <x:v>0.5599999999999999</x:v>
      </x:c>
      <x:c r="X1746" s="15" t="n">
        <x:f>'기준스탯 72종'!J77*G1746</x:f>
        <x:v>0.7</x:v>
      </x:c>
      <x:c r="Y1746" s="15" t="n">
        <x:f>'기준스탯 72종'!K77*G1746</x:f>
        <x:v>0.7</x:v>
      </x:c>
      <x:c r="Z1746" s="15" t="n">
        <x:f>'기준스탯 72종'!D77*H1746</x:f>
        <x:v>0.6000000000000001</x:v>
      </x:c>
      <x:c r="AA1746" s="15" t="n">
        <x:f>'기준스탯 72종'!E77*H1746</x:f>
        <x:v>1.0800000000000003</x:v>
      </x:c>
      <x:c r="AB1746" s="15" t="n">
        <x:f>'기준스탯 72종'!F77*H1746</x:f>
        <x:v>1.0800000000000003</x:v>
      </x:c>
      <x:c r="AC1746" s="15" t="n">
        <x:f>'기준스탯 72종'!G77*H1746</x:f>
        <x:v>0.9600000000000002</x:v>
      </x:c>
      <x:c r="AD1746" s="15" t="n">
        <x:f>'기준스탯 72종'!H77*H1746</x:f>
        <x:v>0.24000000000000005</x:v>
      </x:c>
      <x:c r="AE1746" s="15" t="n">
        <x:f>'기준스탯 72종'!I77*H1746</x:f>
        <x:v>0.4800000000000001</x:v>
      </x:c>
      <x:c r="AF1746" s="15" t="n">
        <x:f>'기준스탯 72종'!J77*H1746</x:f>
        <x:v>0.6000000000000001</x:v>
      </x:c>
      <x:c r="AG1746" s="15" t="n">
        <x:f>'기준스탯 72종'!K77*H1746</x:f>
        <x:v>0.6000000000000001</x:v>
      </x:c>
    </x:row>
    <x:row r="1747" ht="28" customHeight="1">
      <x:c r="A1747" s="2" t="n">
        <x:v>1740</x:v>
      </x:c>
      <x:c r="B1747" s="2" t="n">
        <x:v>70</x:v>
      </x:c>
      <x:c r="C1747" s="2" t="str">
        <x:v>물고기자리</x:v>
      </x:c>
      <x:c r="D1747" s="2" t="str">
        <x:v>정령사</x:v>
      </x:c>
      <x:c r="E1747" s="2" t="n">
        <x:v>5</x:v>
      </x:c>
      <x:c r="F1747" s="2" t="n">
        <x:v>3</x:v>
      </x:c>
      <x:c r="G1747" s="14" t="n">
        <x:f>('레벨 계산식'!$E$4-E1747)*'레벨 계산식'!$B$5</x:f>
        <x:v>0</x:v>
      </x:c>
      <x:c r="H1747" s="14" t="n">
        <x:f>('등급 계산식'!$E$4-F1747)*'등급 계산식'!$B$5</x:f>
        <x:v>0.12000000000000002</x:v>
      </x:c>
      <x:c r="I1747" s="14" t="n">
        <x:f>1-G1747-H1747</x:f>
        <x:v>0.88</x:v>
      </x:c>
      <x:c r="J1747" s="2" t="n">
        <x:f>MAX(1,ROUND('기준스탯 72종'!D77-R1747-Z1747,0))</x:f>
        <x:v>4</x:v>
      </x:c>
      <x:c r="K1747" s="2" t="n">
        <x:f>MAX(1,ROUND('기준스탯 72종'!E77-S1747-AA1747,0))</x:f>
        <x:v>8</x:v>
      </x:c>
      <x:c r="L1747" s="2" t="n">
        <x:f>MAX(1,ROUND('기준스탯 72종'!F77-T1747-AB1747,0))</x:f>
        <x:v>8</x:v>
      </x:c>
      <x:c r="M1747" s="2" t="n">
        <x:f>MAX(1,ROUND('기준스탯 72종'!G77-U1747-AC1747,0))</x:f>
        <x:v>7</x:v>
      </x:c>
      <x:c r="N1747" s="2" t="n">
        <x:f>MAX(0,ROUND('기준스탯 72종'!H77-V1747-AD1747,0))</x:f>
        <x:v>2</x:v>
      </x:c>
      <x:c r="O1747" s="2" t="n">
        <x:f>MAX(0,ROUND('기준스탯 72종'!I77-W1747-AE1747,0))</x:f>
        <x:v>4</x:v>
      </x:c>
      <x:c r="P1747" s="2" t="n">
        <x:f>MAX(0,ROUND('기준스탯 72종'!J77-X1747-AF1747,0))</x:f>
        <x:v>4</x:v>
      </x:c>
      <x:c r="Q1747" s="2" t="n">
        <x:f>MAX(0,ROUND('기준스탯 72종'!K77-Y1747-AG1747,0))</x:f>
        <x:v>4</x:v>
      </x:c>
      <x:c r="R1747" s="15" t="n">
        <x:f>'기준스탯 72종'!D77*G1747</x:f>
        <x:v>0</x:v>
      </x:c>
      <x:c r="S1747" s="15" t="n">
        <x:f>'기준스탯 72종'!E77*G1747</x:f>
        <x:v>0</x:v>
      </x:c>
      <x:c r="T1747" s="15" t="n">
        <x:f>'기준스탯 72종'!F77*G1747</x:f>
        <x:v>0</x:v>
      </x:c>
      <x:c r="U1747" s="15" t="n">
        <x:f>'기준스탯 72종'!G77*G1747</x:f>
        <x:v>0</x:v>
      </x:c>
      <x:c r="V1747" s="15" t="n">
        <x:f>'기준스탯 72종'!H77*G1747</x:f>
        <x:v>0</x:v>
      </x:c>
      <x:c r="W1747" s="15" t="n">
        <x:f>'기준스탯 72종'!I77*G1747</x:f>
        <x:v>0</x:v>
      </x:c>
      <x:c r="X1747" s="15" t="n">
        <x:f>'기준스탯 72종'!J77*G1747</x:f>
        <x:v>0</x:v>
      </x:c>
      <x:c r="Y1747" s="15" t="n">
        <x:f>'기준스탯 72종'!K77*G1747</x:f>
        <x:v>0</x:v>
      </x:c>
      <x:c r="Z1747" s="15" t="n">
        <x:f>'기준스탯 72종'!D77*H1747</x:f>
        <x:v>0.6000000000000001</x:v>
      </x:c>
      <x:c r="AA1747" s="15" t="n">
        <x:f>'기준스탯 72종'!E77*H1747</x:f>
        <x:v>1.0800000000000003</x:v>
      </x:c>
      <x:c r="AB1747" s="15" t="n">
        <x:f>'기준스탯 72종'!F77*H1747</x:f>
        <x:v>1.0800000000000003</x:v>
      </x:c>
      <x:c r="AC1747" s="15" t="n">
        <x:f>'기준스탯 72종'!G77*H1747</x:f>
        <x:v>0.9600000000000002</x:v>
      </x:c>
      <x:c r="AD1747" s="15" t="n">
        <x:f>'기준스탯 72종'!H77*H1747</x:f>
        <x:v>0.24000000000000005</x:v>
      </x:c>
      <x:c r="AE1747" s="15" t="n">
        <x:f>'기준스탯 72종'!I77*H1747</x:f>
        <x:v>0.4800000000000001</x:v>
      </x:c>
      <x:c r="AF1747" s="15" t="n">
        <x:f>'기준스탯 72종'!J77*H1747</x:f>
        <x:v>0.6000000000000001</x:v>
      </x:c>
      <x:c r="AG1747" s="15" t="n">
        <x:f>'기준스탯 72종'!K77*H1747</x:f>
        <x:v>0.6000000000000001</x:v>
      </x:c>
    </x:row>
    <x:row r="1748" ht="28" customHeight="1">
      <x:c r="A1748" s="2" t="n">
        <x:v>1741</x:v>
      </x:c>
      <x:c r="B1748" s="2" t="n">
        <x:v>70</x:v>
      </x:c>
      <x:c r="C1748" s="2" t="str">
        <x:v>물고기자리</x:v>
      </x:c>
      <x:c r="D1748" s="2" t="str">
        <x:v>정령사</x:v>
      </x:c>
      <x:c r="E1748" s="2" t="n">
        <x:v>1</x:v>
      </x:c>
      <x:c r="F1748" s="2" t="n">
        <x:v>4</x:v>
      </x:c>
      <x:c r="G1748" s="14" t="n">
        <x:f>('레벨 계산식'!$E$4-E1748)*'레벨 계산식'!$B$5</x:f>
        <x:v>0.5599999999999999</x:v>
      </x:c>
      <x:c r="H1748" s="14" t="n">
        <x:f>('등급 계산식'!$E$4-F1748)*'등급 계산식'!$B$5</x:f>
        <x:v>0.06000000000000001</x:v>
      </x:c>
      <x:c r="I1748" s="14" t="n">
        <x:f>1-G1748-H1748</x:f>
        <x:v>0.38000000000000006</x:v>
      </x:c>
      <x:c r="J1748" s="2" t="n">
        <x:f>MAX(1,ROUND('기준스탯 72종'!D77-R1748-Z1748,0))</x:f>
        <x:v>2</x:v>
      </x:c>
      <x:c r="K1748" s="2" t="n">
        <x:f>MAX(1,ROUND('기준스탯 72종'!E77-S1748-AA1748,0))</x:f>
        <x:v>3</x:v>
      </x:c>
      <x:c r="L1748" s="2" t="n">
        <x:f>MAX(1,ROUND('기준스탯 72종'!F77-T1748-AB1748,0))</x:f>
        <x:v>3</x:v>
      </x:c>
      <x:c r="M1748" s="2" t="n">
        <x:f>MAX(1,ROUND('기준스탯 72종'!G77-U1748-AC1748,0))</x:f>
        <x:v>3</x:v>
      </x:c>
      <x:c r="N1748" s="2" t="n">
        <x:f>MAX(0,ROUND('기준스탯 72종'!H77-V1748-AD1748,0))</x:f>
        <x:v>1</x:v>
      </x:c>
      <x:c r="O1748" s="2" t="n">
        <x:f>MAX(0,ROUND('기준스탯 72종'!I77-W1748-AE1748,0))</x:f>
        <x:v>2</x:v>
      </x:c>
      <x:c r="P1748" s="2" t="n">
        <x:f>MAX(0,ROUND('기준스탯 72종'!J77-X1748-AF1748,0))</x:f>
        <x:v>2</x:v>
      </x:c>
      <x:c r="Q1748" s="2" t="n">
        <x:f>MAX(0,ROUND('기준스탯 72종'!K77-Y1748-AG1748,0))</x:f>
        <x:v>2</x:v>
      </x:c>
      <x:c r="R1748" s="15" t="n">
        <x:f>'기준스탯 72종'!D77*G1748</x:f>
        <x:v>2.8</x:v>
      </x:c>
      <x:c r="S1748" s="15" t="n">
        <x:f>'기준스탯 72종'!E77*G1748</x:f>
        <x:v>5.039999999999999</x:v>
      </x:c>
      <x:c r="T1748" s="15" t="n">
        <x:f>'기준스탯 72종'!F77*G1748</x:f>
        <x:v>5.039999999999999</x:v>
      </x:c>
      <x:c r="U1748" s="15" t="n">
        <x:f>'기준스탯 72종'!G77*G1748</x:f>
        <x:v>4.4799999999999995</x:v>
      </x:c>
      <x:c r="V1748" s="15" t="n">
        <x:f>'기준스탯 72종'!H77*G1748</x:f>
        <x:v>1.1199999999999999</x:v>
      </x:c>
      <x:c r="W1748" s="15" t="n">
        <x:f>'기준스탯 72종'!I77*G1748</x:f>
        <x:v>2.2399999999999998</x:v>
      </x:c>
      <x:c r="X1748" s="15" t="n">
        <x:f>'기준스탯 72종'!J77*G1748</x:f>
        <x:v>2.8</x:v>
      </x:c>
      <x:c r="Y1748" s="15" t="n">
        <x:f>'기준스탯 72종'!K77*G1748</x:f>
        <x:v>2.8</x:v>
      </x:c>
      <x:c r="Z1748" s="15" t="n">
        <x:f>'기준스탯 72종'!D77*H1748</x:f>
        <x:v>0.30000000000000004</x:v>
      </x:c>
      <x:c r="AA1748" s="15" t="n">
        <x:f>'기준스탯 72종'!E77*H1748</x:f>
        <x:v>0.5400000000000001</x:v>
      </x:c>
      <x:c r="AB1748" s="15" t="n">
        <x:f>'기준스탯 72종'!F77*H1748</x:f>
        <x:v>0.5400000000000001</x:v>
      </x:c>
      <x:c r="AC1748" s="15" t="n">
        <x:f>'기준스탯 72종'!G77*H1748</x:f>
        <x:v>0.4800000000000001</x:v>
      </x:c>
      <x:c r="AD1748" s="15" t="n">
        <x:f>'기준스탯 72종'!H77*H1748</x:f>
        <x:v>0.12000000000000002</x:v>
      </x:c>
      <x:c r="AE1748" s="15" t="n">
        <x:f>'기준스탯 72종'!I77*H1748</x:f>
        <x:v>0.24000000000000005</x:v>
      </x:c>
      <x:c r="AF1748" s="15" t="n">
        <x:f>'기준스탯 72종'!J77*H1748</x:f>
        <x:v>0.30000000000000004</x:v>
      </x:c>
      <x:c r="AG1748" s="15" t="n">
        <x:f>'기준스탯 72종'!K77*H1748</x:f>
        <x:v>0.30000000000000004</x:v>
      </x:c>
    </x:row>
    <x:row r="1749" ht="28" customHeight="1">
      <x:c r="A1749" s="2" t="n">
        <x:v>1742</x:v>
      </x:c>
      <x:c r="B1749" s="2" t="n">
        <x:v>70</x:v>
      </x:c>
      <x:c r="C1749" s="2" t="str">
        <x:v>물고기자리</x:v>
      </x:c>
      <x:c r="D1749" s="2" t="str">
        <x:v>정령사</x:v>
      </x:c>
      <x:c r="E1749" s="2" t="n">
        <x:v>2</x:v>
      </x:c>
      <x:c r="F1749" s="2" t="n">
        <x:v>4</x:v>
      </x:c>
      <x:c r="G1749" s="14" t="n">
        <x:f>('레벨 계산식'!$E$4-E1749)*'레벨 계산식'!$B$5</x:f>
        <x:v>0.41999999999999993</x:v>
      </x:c>
      <x:c r="H1749" s="14" t="n">
        <x:f>('등급 계산식'!$E$4-F1749)*'등급 계산식'!$B$5</x:f>
        <x:v>0.06000000000000001</x:v>
      </x:c>
      <x:c r="I1749" s="14" t="n">
        <x:f>1-G1749-H1749</x:f>
        <x:v>0.52</x:v>
      </x:c>
      <x:c r="J1749" s="2" t="n">
        <x:f>MAX(1,ROUND('기준스탯 72종'!D77-R1749-Z1749,0))</x:f>
        <x:v>3</x:v>
      </x:c>
      <x:c r="K1749" s="2" t="n">
        <x:f>MAX(1,ROUND('기준스탯 72종'!E77-S1749-AA1749,0))</x:f>
        <x:v>5</x:v>
      </x:c>
      <x:c r="L1749" s="2" t="n">
        <x:f>MAX(1,ROUND('기준스탯 72종'!F77-T1749-AB1749,0))</x:f>
        <x:v>5</x:v>
      </x:c>
      <x:c r="M1749" s="2" t="n">
        <x:f>MAX(1,ROUND('기준스탯 72종'!G77-U1749-AC1749,0))</x:f>
        <x:v>4</x:v>
      </x:c>
      <x:c r="N1749" s="2" t="n">
        <x:f>MAX(0,ROUND('기준스탯 72종'!H77-V1749-AD1749,0))</x:f>
        <x:v>1</x:v>
      </x:c>
      <x:c r="O1749" s="2" t="n">
        <x:f>MAX(0,ROUND('기준스탯 72종'!I77-W1749-AE1749,0))</x:f>
        <x:v>2</x:v>
      </x:c>
      <x:c r="P1749" s="2" t="n">
        <x:f>MAX(0,ROUND('기준스탯 72종'!J77-X1749-AF1749,0))</x:f>
        <x:v>3</x:v>
      </x:c>
      <x:c r="Q1749" s="2" t="n">
        <x:f>MAX(0,ROUND('기준스탯 72종'!K77-Y1749-AG1749,0))</x:f>
        <x:v>3</x:v>
      </x:c>
      <x:c r="R1749" s="15" t="n">
        <x:f>'기준스탯 72종'!D77*G1749</x:f>
        <x:v>2.0999999999999996</x:v>
      </x:c>
      <x:c r="S1749" s="15" t="n">
        <x:f>'기준스탯 72종'!E77*G1749</x:f>
        <x:v>3.7799999999999994</x:v>
      </x:c>
      <x:c r="T1749" s="15" t="n">
        <x:f>'기준스탯 72종'!F77*G1749</x:f>
        <x:v>3.7799999999999994</x:v>
      </x:c>
      <x:c r="U1749" s="15" t="n">
        <x:f>'기준스탯 72종'!G77*G1749</x:f>
        <x:v>3.3599999999999994</x:v>
      </x:c>
      <x:c r="V1749" s="15" t="n">
        <x:f>'기준스탯 72종'!H77*G1749</x:f>
        <x:v>0.8399999999999999</x:v>
      </x:c>
      <x:c r="W1749" s="15" t="n">
        <x:f>'기준스탯 72종'!I77*G1749</x:f>
        <x:v>1.6799999999999997</x:v>
      </x:c>
      <x:c r="X1749" s="15" t="n">
        <x:f>'기준스탯 72종'!J77*G1749</x:f>
        <x:v>2.0999999999999996</x:v>
      </x:c>
      <x:c r="Y1749" s="15" t="n">
        <x:f>'기준스탯 72종'!K77*G1749</x:f>
        <x:v>2.0999999999999996</x:v>
      </x:c>
      <x:c r="Z1749" s="15" t="n">
        <x:f>'기준스탯 72종'!D77*H1749</x:f>
        <x:v>0.30000000000000004</x:v>
      </x:c>
      <x:c r="AA1749" s="15" t="n">
        <x:f>'기준스탯 72종'!E77*H1749</x:f>
        <x:v>0.5400000000000001</x:v>
      </x:c>
      <x:c r="AB1749" s="15" t="n">
        <x:f>'기준스탯 72종'!F77*H1749</x:f>
        <x:v>0.5400000000000001</x:v>
      </x:c>
      <x:c r="AC1749" s="15" t="n">
        <x:f>'기준스탯 72종'!G77*H1749</x:f>
        <x:v>0.4800000000000001</x:v>
      </x:c>
      <x:c r="AD1749" s="15" t="n">
        <x:f>'기준스탯 72종'!H77*H1749</x:f>
        <x:v>0.12000000000000002</x:v>
      </x:c>
      <x:c r="AE1749" s="15" t="n">
        <x:f>'기준스탯 72종'!I77*H1749</x:f>
        <x:v>0.24000000000000005</x:v>
      </x:c>
      <x:c r="AF1749" s="15" t="n">
        <x:f>'기준스탯 72종'!J77*H1749</x:f>
        <x:v>0.30000000000000004</x:v>
      </x:c>
      <x:c r="AG1749" s="15" t="n">
        <x:f>'기준스탯 72종'!K77*H1749</x:f>
        <x:v>0.30000000000000004</x:v>
      </x:c>
    </x:row>
    <x:row r="1750" ht="28" customHeight="1">
      <x:c r="A1750" s="2" t="n">
        <x:v>1743</x:v>
      </x:c>
      <x:c r="B1750" s="2" t="n">
        <x:v>70</x:v>
      </x:c>
      <x:c r="C1750" s="2" t="str">
        <x:v>물고기자리</x:v>
      </x:c>
      <x:c r="D1750" s="2" t="str">
        <x:v>정령사</x:v>
      </x:c>
      <x:c r="E1750" s="2" t="n">
        <x:v>3</x:v>
      </x:c>
      <x:c r="F1750" s="2" t="n">
        <x:v>4</x:v>
      </x:c>
      <x:c r="G1750" s="14" t="n">
        <x:f>('레벨 계산식'!$E$4-E1750)*'레벨 계산식'!$B$5</x:f>
        <x:v>0.27999999999999997</x:v>
      </x:c>
      <x:c r="H1750" s="14" t="n">
        <x:f>('등급 계산식'!$E$4-F1750)*'등급 계산식'!$B$5</x:f>
        <x:v>0.06000000000000001</x:v>
      </x:c>
      <x:c r="I1750" s="14" t="n">
        <x:f>1-G1750-H1750</x:f>
        <x:v>0.6599999999999999</x:v>
      </x:c>
      <x:c r="J1750" s="2" t="n">
        <x:f>MAX(1,ROUND('기준스탯 72종'!D77-R1750-Z1750,0))</x:f>
        <x:v>3</x:v>
      </x:c>
      <x:c r="K1750" s="2" t="n">
        <x:f>MAX(1,ROUND('기준스탯 72종'!E77-S1750-AA1750,0))</x:f>
        <x:v>6</x:v>
      </x:c>
      <x:c r="L1750" s="2" t="n">
        <x:f>MAX(1,ROUND('기준스탯 72종'!F77-T1750-AB1750,0))</x:f>
        <x:v>6</x:v>
      </x:c>
      <x:c r="M1750" s="2" t="n">
        <x:f>MAX(1,ROUND('기준스탯 72종'!G77-U1750-AC1750,0))</x:f>
        <x:v>5</x:v>
      </x:c>
      <x:c r="N1750" s="2" t="n">
        <x:f>MAX(0,ROUND('기준스탯 72종'!H77-V1750-AD1750,0))</x:f>
        <x:v>1</x:v>
      </x:c>
      <x:c r="O1750" s="2" t="n">
        <x:f>MAX(0,ROUND('기준스탯 72종'!I77-W1750-AE1750,0))</x:f>
        <x:v>3</x:v>
      </x:c>
      <x:c r="P1750" s="2" t="n">
        <x:f>MAX(0,ROUND('기준스탯 72종'!J77-X1750-AF1750,0))</x:f>
        <x:v>3</x:v>
      </x:c>
      <x:c r="Q1750" s="2" t="n">
        <x:f>MAX(0,ROUND('기준스탯 72종'!K77-Y1750-AG1750,0))</x:f>
        <x:v>3</x:v>
      </x:c>
      <x:c r="R1750" s="15" t="n">
        <x:f>'기준스탯 72종'!D77*G1750</x:f>
        <x:v>1.4</x:v>
      </x:c>
      <x:c r="S1750" s="15" t="n">
        <x:f>'기준스탯 72종'!E77*G1750</x:f>
        <x:v>2.5199999999999996</x:v>
      </x:c>
      <x:c r="T1750" s="15" t="n">
        <x:f>'기준스탯 72종'!F77*G1750</x:f>
        <x:v>2.5199999999999996</x:v>
      </x:c>
      <x:c r="U1750" s="15" t="n">
        <x:f>'기준스탯 72종'!G77*G1750</x:f>
        <x:v>2.2399999999999998</x:v>
      </x:c>
      <x:c r="V1750" s="15" t="n">
        <x:f>'기준스탯 72종'!H77*G1750</x:f>
        <x:v>0.5599999999999999</x:v>
      </x:c>
      <x:c r="W1750" s="15" t="n">
        <x:f>'기준스탯 72종'!I77*G1750</x:f>
        <x:v>1.1199999999999999</x:v>
      </x:c>
      <x:c r="X1750" s="15" t="n">
        <x:f>'기준스탯 72종'!J77*G1750</x:f>
        <x:v>1.4</x:v>
      </x:c>
      <x:c r="Y1750" s="15" t="n">
        <x:f>'기준스탯 72종'!K77*G1750</x:f>
        <x:v>1.4</x:v>
      </x:c>
      <x:c r="Z1750" s="15" t="n">
        <x:f>'기준스탯 72종'!D77*H1750</x:f>
        <x:v>0.30000000000000004</x:v>
      </x:c>
      <x:c r="AA1750" s="15" t="n">
        <x:f>'기준스탯 72종'!E77*H1750</x:f>
        <x:v>0.5400000000000001</x:v>
      </x:c>
      <x:c r="AB1750" s="15" t="n">
        <x:f>'기준스탯 72종'!F77*H1750</x:f>
        <x:v>0.5400000000000001</x:v>
      </x:c>
      <x:c r="AC1750" s="15" t="n">
        <x:f>'기준스탯 72종'!G77*H1750</x:f>
        <x:v>0.4800000000000001</x:v>
      </x:c>
      <x:c r="AD1750" s="15" t="n">
        <x:f>'기준스탯 72종'!H77*H1750</x:f>
        <x:v>0.12000000000000002</x:v>
      </x:c>
      <x:c r="AE1750" s="15" t="n">
        <x:f>'기준스탯 72종'!I77*H1750</x:f>
        <x:v>0.24000000000000005</x:v>
      </x:c>
      <x:c r="AF1750" s="15" t="n">
        <x:f>'기준스탯 72종'!J77*H1750</x:f>
        <x:v>0.30000000000000004</x:v>
      </x:c>
      <x:c r="AG1750" s="15" t="n">
        <x:f>'기준스탯 72종'!K77*H1750</x:f>
        <x:v>0.30000000000000004</x:v>
      </x:c>
    </x:row>
    <x:row r="1751" ht="28" customHeight="1">
      <x:c r="A1751" s="2" t="n">
        <x:v>1744</x:v>
      </x:c>
      <x:c r="B1751" s="2" t="n">
        <x:v>70</x:v>
      </x:c>
      <x:c r="C1751" s="2" t="str">
        <x:v>물고기자리</x:v>
      </x:c>
      <x:c r="D1751" s="2" t="str">
        <x:v>정령사</x:v>
      </x:c>
      <x:c r="E1751" s="2" t="n">
        <x:v>4</x:v>
      </x:c>
      <x:c r="F1751" s="2" t="n">
        <x:v>4</x:v>
      </x:c>
      <x:c r="G1751" s="14" t="n">
        <x:f>('레벨 계산식'!$E$4-E1751)*'레벨 계산식'!$B$5</x:f>
        <x:v>0.13999999999999999</x:v>
      </x:c>
      <x:c r="H1751" s="14" t="n">
        <x:f>('등급 계산식'!$E$4-F1751)*'등급 계산식'!$B$5</x:f>
        <x:v>0.06000000000000001</x:v>
      </x:c>
      <x:c r="I1751" s="14" t="n">
        <x:f>1-G1751-H1751</x:f>
        <x:v>0.7999999999999999</x:v>
      </x:c>
      <x:c r="J1751" s="2" t="n">
        <x:f>MAX(1,ROUND('기준스탯 72종'!D77-R1751-Z1751,0))</x:f>
        <x:v>4</x:v>
      </x:c>
      <x:c r="K1751" s="2" t="n">
        <x:f>MAX(1,ROUND('기준스탯 72종'!E77-S1751-AA1751,0))</x:f>
        <x:v>7</x:v>
      </x:c>
      <x:c r="L1751" s="2" t="n">
        <x:f>MAX(1,ROUND('기준스탯 72종'!F77-T1751-AB1751,0))</x:f>
        <x:v>7</x:v>
      </x:c>
      <x:c r="M1751" s="2" t="n">
        <x:f>MAX(1,ROUND('기준스탯 72종'!G77-U1751-AC1751,0))</x:f>
        <x:v>6</x:v>
      </x:c>
      <x:c r="N1751" s="2" t="n">
        <x:f>MAX(0,ROUND('기준스탯 72종'!H77-V1751-AD1751,0))</x:f>
        <x:v>2</x:v>
      </x:c>
      <x:c r="O1751" s="2" t="n">
        <x:f>MAX(0,ROUND('기준스탯 72종'!I77-W1751-AE1751,0))</x:f>
        <x:v>3</x:v>
      </x:c>
      <x:c r="P1751" s="2" t="n">
        <x:f>MAX(0,ROUND('기준스탯 72종'!J77-X1751-AF1751,0))</x:f>
        <x:v>4</x:v>
      </x:c>
      <x:c r="Q1751" s="2" t="n">
        <x:f>MAX(0,ROUND('기준스탯 72종'!K77-Y1751-AG1751,0))</x:f>
        <x:v>4</x:v>
      </x:c>
      <x:c r="R1751" s="15" t="n">
        <x:f>'기준스탯 72종'!D77*G1751</x:f>
        <x:v>0.7</x:v>
      </x:c>
      <x:c r="S1751" s="15" t="n">
        <x:f>'기준스탯 72종'!E77*G1751</x:f>
        <x:v>1.2599999999999998</x:v>
      </x:c>
      <x:c r="T1751" s="15" t="n">
        <x:f>'기준스탯 72종'!F77*G1751</x:f>
        <x:v>1.2599999999999998</x:v>
      </x:c>
      <x:c r="U1751" s="15" t="n">
        <x:f>'기준스탯 72종'!G77*G1751</x:f>
        <x:v>1.1199999999999999</x:v>
      </x:c>
      <x:c r="V1751" s="15" t="n">
        <x:f>'기준스탯 72종'!H77*G1751</x:f>
        <x:v>0.27999999999999997</x:v>
      </x:c>
      <x:c r="W1751" s="15" t="n">
        <x:f>'기준스탯 72종'!I77*G1751</x:f>
        <x:v>0.5599999999999999</x:v>
      </x:c>
      <x:c r="X1751" s="15" t="n">
        <x:f>'기준스탯 72종'!J77*G1751</x:f>
        <x:v>0.7</x:v>
      </x:c>
      <x:c r="Y1751" s="15" t="n">
        <x:f>'기준스탯 72종'!K77*G1751</x:f>
        <x:v>0.7</x:v>
      </x:c>
      <x:c r="Z1751" s="15" t="n">
        <x:f>'기준스탯 72종'!D77*H1751</x:f>
        <x:v>0.30000000000000004</x:v>
      </x:c>
      <x:c r="AA1751" s="15" t="n">
        <x:f>'기준스탯 72종'!E77*H1751</x:f>
        <x:v>0.5400000000000001</x:v>
      </x:c>
      <x:c r="AB1751" s="15" t="n">
        <x:f>'기준스탯 72종'!F77*H1751</x:f>
        <x:v>0.5400000000000001</x:v>
      </x:c>
      <x:c r="AC1751" s="15" t="n">
        <x:f>'기준스탯 72종'!G77*H1751</x:f>
        <x:v>0.4800000000000001</x:v>
      </x:c>
      <x:c r="AD1751" s="15" t="n">
        <x:f>'기준스탯 72종'!H77*H1751</x:f>
        <x:v>0.12000000000000002</x:v>
      </x:c>
      <x:c r="AE1751" s="15" t="n">
        <x:f>'기준스탯 72종'!I77*H1751</x:f>
        <x:v>0.24000000000000005</x:v>
      </x:c>
      <x:c r="AF1751" s="15" t="n">
        <x:f>'기준스탯 72종'!J77*H1751</x:f>
        <x:v>0.30000000000000004</x:v>
      </x:c>
      <x:c r="AG1751" s="15" t="n">
        <x:f>'기준스탯 72종'!K77*H1751</x:f>
        <x:v>0.30000000000000004</x:v>
      </x:c>
    </x:row>
    <x:row r="1752" ht="28" customHeight="1">
      <x:c r="A1752" s="2" t="n">
        <x:v>1745</x:v>
      </x:c>
      <x:c r="B1752" s="2" t="n">
        <x:v>70</x:v>
      </x:c>
      <x:c r="C1752" s="2" t="str">
        <x:v>물고기자리</x:v>
      </x:c>
      <x:c r="D1752" s="2" t="str">
        <x:v>정령사</x:v>
      </x:c>
      <x:c r="E1752" s="2" t="n">
        <x:v>5</x:v>
      </x:c>
      <x:c r="F1752" s="2" t="n">
        <x:v>4</x:v>
      </x:c>
      <x:c r="G1752" s="14" t="n">
        <x:f>('레벨 계산식'!$E$4-E1752)*'레벨 계산식'!$B$5</x:f>
        <x:v>0</x:v>
      </x:c>
      <x:c r="H1752" s="14" t="n">
        <x:f>('등급 계산식'!$E$4-F1752)*'등급 계산식'!$B$5</x:f>
        <x:v>0.06000000000000001</x:v>
      </x:c>
      <x:c r="I1752" s="14" t="n">
        <x:f>1-G1752-H1752</x:f>
        <x:v>0.94</x:v>
      </x:c>
      <x:c r="J1752" s="2" t="n">
        <x:f>MAX(1,ROUND('기준스탯 72종'!D77-R1752-Z1752,0))</x:f>
        <x:v>5</x:v>
      </x:c>
      <x:c r="K1752" s="2" t="n">
        <x:f>MAX(1,ROUND('기준스탯 72종'!E77-S1752-AA1752,0))</x:f>
        <x:v>8</x:v>
      </x:c>
      <x:c r="L1752" s="2" t="n">
        <x:f>MAX(1,ROUND('기준스탯 72종'!F77-T1752-AB1752,0))</x:f>
        <x:v>8</x:v>
      </x:c>
      <x:c r="M1752" s="2" t="n">
        <x:f>MAX(1,ROUND('기준스탯 72종'!G77-U1752-AC1752,0))</x:f>
        <x:v>8</x:v>
      </x:c>
      <x:c r="N1752" s="2" t="n">
        <x:f>MAX(0,ROUND('기준스탯 72종'!H77-V1752-AD1752,0))</x:f>
        <x:v>2</x:v>
      </x:c>
      <x:c r="O1752" s="2" t="n">
        <x:f>MAX(0,ROUND('기준스탯 72종'!I77-W1752-AE1752,0))</x:f>
        <x:v>4</x:v>
      </x:c>
      <x:c r="P1752" s="2" t="n">
        <x:f>MAX(0,ROUND('기준스탯 72종'!J77-X1752-AF1752,0))</x:f>
        <x:v>5</x:v>
      </x:c>
      <x:c r="Q1752" s="2" t="n">
        <x:f>MAX(0,ROUND('기준스탯 72종'!K77-Y1752-AG1752,0))</x:f>
        <x:v>5</x:v>
      </x:c>
      <x:c r="R1752" s="15" t="n">
        <x:f>'기준스탯 72종'!D77*G1752</x:f>
        <x:v>0</x:v>
      </x:c>
      <x:c r="S1752" s="15" t="n">
        <x:f>'기준스탯 72종'!E77*G1752</x:f>
        <x:v>0</x:v>
      </x:c>
      <x:c r="T1752" s="15" t="n">
        <x:f>'기준스탯 72종'!F77*G1752</x:f>
        <x:v>0</x:v>
      </x:c>
      <x:c r="U1752" s="15" t="n">
        <x:f>'기준스탯 72종'!G77*G1752</x:f>
        <x:v>0</x:v>
      </x:c>
      <x:c r="V1752" s="15" t="n">
        <x:f>'기준스탯 72종'!H77*G1752</x:f>
        <x:v>0</x:v>
      </x:c>
      <x:c r="W1752" s="15" t="n">
        <x:f>'기준스탯 72종'!I77*G1752</x:f>
        <x:v>0</x:v>
      </x:c>
      <x:c r="X1752" s="15" t="n">
        <x:f>'기준스탯 72종'!J77*G1752</x:f>
        <x:v>0</x:v>
      </x:c>
      <x:c r="Y1752" s="15" t="n">
        <x:f>'기준스탯 72종'!K77*G1752</x:f>
        <x:v>0</x:v>
      </x:c>
      <x:c r="Z1752" s="15" t="n">
        <x:f>'기준스탯 72종'!D77*H1752</x:f>
        <x:v>0.30000000000000004</x:v>
      </x:c>
      <x:c r="AA1752" s="15" t="n">
        <x:f>'기준스탯 72종'!E77*H1752</x:f>
        <x:v>0.5400000000000001</x:v>
      </x:c>
      <x:c r="AB1752" s="15" t="n">
        <x:f>'기준스탯 72종'!F77*H1752</x:f>
        <x:v>0.5400000000000001</x:v>
      </x:c>
      <x:c r="AC1752" s="15" t="n">
        <x:f>'기준스탯 72종'!G77*H1752</x:f>
        <x:v>0.4800000000000001</x:v>
      </x:c>
      <x:c r="AD1752" s="15" t="n">
        <x:f>'기준스탯 72종'!H77*H1752</x:f>
        <x:v>0.12000000000000002</x:v>
      </x:c>
      <x:c r="AE1752" s="15" t="n">
        <x:f>'기준스탯 72종'!I77*H1752</x:f>
        <x:v>0.24000000000000005</x:v>
      </x:c>
      <x:c r="AF1752" s="15" t="n">
        <x:f>'기준스탯 72종'!J77*H1752</x:f>
        <x:v>0.30000000000000004</x:v>
      </x:c>
      <x:c r="AG1752" s="15" t="n">
        <x:f>'기준스탯 72종'!K77*H1752</x:f>
        <x:v>0.30000000000000004</x:v>
      </x:c>
    </x:row>
    <x:row r="1753" ht="28" customHeight="1">
      <x:c r="A1753" s="2" t="n">
        <x:v>1746</x:v>
      </x:c>
      <x:c r="B1753" s="2" t="n">
        <x:v>70</x:v>
      </x:c>
      <x:c r="C1753" s="2" t="str">
        <x:v>물고기자리</x:v>
      </x:c>
      <x:c r="D1753" s="2" t="str">
        <x:v>정령사</x:v>
      </x:c>
      <x:c r="E1753" s="2" t="n">
        <x:v>1</x:v>
      </x:c>
      <x:c r="F1753" s="2" t="n">
        <x:v>5</x:v>
      </x:c>
      <x:c r="G1753" s="14" t="n">
        <x:f>('레벨 계산식'!$E$4-E1753)*'레벨 계산식'!$B$5</x:f>
        <x:v>0.5599999999999999</x:v>
      </x:c>
      <x:c r="H1753" s="14" t="n">
        <x:f>('등급 계산식'!$E$4-F1753)*'등급 계산식'!$B$5</x:f>
        <x:v>0</x:v>
      </x:c>
      <x:c r="I1753" s="14" t="n">
        <x:f>1-G1753-H1753</x:f>
        <x:v>0.44000000000000006</x:v>
      </x:c>
      <x:c r="J1753" s="2" t="n">
        <x:f>MAX(1,ROUND('기준스탯 72종'!D77-R1753-Z1753,0))</x:f>
        <x:v>2</x:v>
      </x:c>
      <x:c r="K1753" s="2" t="n">
        <x:f>MAX(1,ROUND('기준스탯 72종'!E77-S1753-AA1753,0))</x:f>
        <x:v>4</x:v>
      </x:c>
      <x:c r="L1753" s="2" t="n">
        <x:f>MAX(1,ROUND('기준스탯 72종'!F77-T1753-AB1753,0))</x:f>
        <x:v>4</x:v>
      </x:c>
      <x:c r="M1753" s="2" t="n">
        <x:f>MAX(1,ROUND('기준스탯 72종'!G77-U1753-AC1753,0))</x:f>
        <x:v>4</x:v>
      </x:c>
      <x:c r="N1753" s="2" t="n">
        <x:f>MAX(0,ROUND('기준스탯 72종'!H77-V1753-AD1753,0))</x:f>
        <x:v>1</x:v>
      </x:c>
      <x:c r="O1753" s="2" t="n">
        <x:f>MAX(0,ROUND('기준스탯 72종'!I77-W1753-AE1753,0))</x:f>
        <x:v>2</x:v>
      </x:c>
      <x:c r="P1753" s="2" t="n">
        <x:f>MAX(0,ROUND('기준스탯 72종'!J77-X1753-AF1753,0))</x:f>
        <x:v>2</x:v>
      </x:c>
      <x:c r="Q1753" s="2" t="n">
        <x:f>MAX(0,ROUND('기준스탯 72종'!K77-Y1753-AG1753,0))</x:f>
        <x:v>2</x:v>
      </x:c>
      <x:c r="R1753" s="15" t="n">
        <x:f>'기준스탯 72종'!D77*G1753</x:f>
        <x:v>2.8</x:v>
      </x:c>
      <x:c r="S1753" s="15" t="n">
        <x:f>'기준스탯 72종'!E77*G1753</x:f>
        <x:v>5.039999999999999</x:v>
      </x:c>
      <x:c r="T1753" s="15" t="n">
        <x:f>'기준스탯 72종'!F77*G1753</x:f>
        <x:v>5.039999999999999</x:v>
      </x:c>
      <x:c r="U1753" s="15" t="n">
        <x:f>'기준스탯 72종'!G77*G1753</x:f>
        <x:v>4.4799999999999995</x:v>
      </x:c>
      <x:c r="V1753" s="15" t="n">
        <x:f>'기준스탯 72종'!H77*G1753</x:f>
        <x:v>1.1199999999999999</x:v>
      </x:c>
      <x:c r="W1753" s="15" t="n">
        <x:f>'기준스탯 72종'!I77*G1753</x:f>
        <x:v>2.2399999999999998</x:v>
      </x:c>
      <x:c r="X1753" s="15" t="n">
        <x:f>'기준스탯 72종'!J77*G1753</x:f>
        <x:v>2.8</x:v>
      </x:c>
      <x:c r="Y1753" s="15" t="n">
        <x:f>'기준스탯 72종'!K77*G1753</x:f>
        <x:v>2.8</x:v>
      </x:c>
      <x:c r="Z1753" s="15" t="n">
        <x:f>'기준스탯 72종'!D77*H1753</x:f>
        <x:v>0</x:v>
      </x:c>
      <x:c r="AA1753" s="15" t="n">
        <x:f>'기준스탯 72종'!E77*H1753</x:f>
        <x:v>0</x:v>
      </x:c>
      <x:c r="AB1753" s="15" t="n">
        <x:f>'기준스탯 72종'!F77*H1753</x:f>
        <x:v>0</x:v>
      </x:c>
      <x:c r="AC1753" s="15" t="n">
        <x:f>'기준스탯 72종'!G77*H1753</x:f>
        <x:v>0</x:v>
      </x:c>
      <x:c r="AD1753" s="15" t="n">
        <x:f>'기준스탯 72종'!H77*H1753</x:f>
        <x:v>0</x:v>
      </x:c>
      <x:c r="AE1753" s="15" t="n">
        <x:f>'기준스탯 72종'!I77*H1753</x:f>
        <x:v>0</x:v>
      </x:c>
      <x:c r="AF1753" s="15" t="n">
        <x:f>'기준스탯 72종'!J77*H1753</x:f>
        <x:v>0</x:v>
      </x:c>
      <x:c r="AG1753" s="15" t="n">
        <x:f>'기준스탯 72종'!K77*H1753</x:f>
        <x:v>0</x:v>
      </x:c>
    </x:row>
    <x:row r="1754" ht="28" customHeight="1">
      <x:c r="A1754" s="2" t="n">
        <x:v>1747</x:v>
      </x:c>
      <x:c r="B1754" s="2" t="n">
        <x:v>70</x:v>
      </x:c>
      <x:c r="C1754" s="2" t="str">
        <x:v>물고기자리</x:v>
      </x:c>
      <x:c r="D1754" s="2" t="str">
        <x:v>정령사</x:v>
      </x:c>
      <x:c r="E1754" s="2" t="n">
        <x:v>2</x:v>
      </x:c>
      <x:c r="F1754" s="2" t="n">
        <x:v>5</x:v>
      </x:c>
      <x:c r="G1754" s="14" t="n">
        <x:f>('레벨 계산식'!$E$4-E1754)*'레벨 계산식'!$B$5</x:f>
        <x:v>0.41999999999999993</x:v>
      </x:c>
      <x:c r="H1754" s="14" t="n">
        <x:f>('등급 계산식'!$E$4-F1754)*'등급 계산식'!$B$5</x:f>
        <x:v>0</x:v>
      </x:c>
      <x:c r="I1754" s="14" t="n">
        <x:f>1-G1754-H1754</x:f>
        <x:v>0.5800000000000001</x:v>
      </x:c>
      <x:c r="J1754" s="2" t="n">
        <x:f>MAX(1,ROUND('기준스탯 72종'!D77-R1754-Z1754,0))</x:f>
        <x:v>3</x:v>
      </x:c>
      <x:c r="K1754" s="2" t="n">
        <x:f>MAX(1,ROUND('기준스탯 72종'!E77-S1754-AA1754,0))</x:f>
        <x:v>5</x:v>
      </x:c>
      <x:c r="L1754" s="2" t="n">
        <x:f>MAX(1,ROUND('기준스탯 72종'!F77-T1754-AB1754,0))</x:f>
        <x:v>5</x:v>
      </x:c>
      <x:c r="M1754" s="2" t="n">
        <x:f>MAX(1,ROUND('기준스탯 72종'!G77-U1754-AC1754,0))</x:f>
        <x:v>5</x:v>
      </x:c>
      <x:c r="N1754" s="2" t="n">
        <x:f>MAX(0,ROUND('기준스탯 72종'!H77-V1754-AD1754,0))</x:f>
        <x:v>1</x:v>
      </x:c>
      <x:c r="O1754" s="2" t="n">
        <x:f>MAX(0,ROUND('기준스탯 72종'!I77-W1754-AE1754,0))</x:f>
        <x:v>2</x:v>
      </x:c>
      <x:c r="P1754" s="2" t="n">
        <x:f>MAX(0,ROUND('기준스탯 72종'!J77-X1754-AF1754,0))</x:f>
        <x:v>3</x:v>
      </x:c>
      <x:c r="Q1754" s="2" t="n">
        <x:f>MAX(0,ROUND('기준스탯 72종'!K77-Y1754-AG1754,0))</x:f>
        <x:v>3</x:v>
      </x:c>
      <x:c r="R1754" s="15" t="n">
        <x:f>'기준스탯 72종'!D77*G1754</x:f>
        <x:v>2.0999999999999996</x:v>
      </x:c>
      <x:c r="S1754" s="15" t="n">
        <x:f>'기준스탯 72종'!E77*G1754</x:f>
        <x:v>3.7799999999999994</x:v>
      </x:c>
      <x:c r="T1754" s="15" t="n">
        <x:f>'기준스탯 72종'!F77*G1754</x:f>
        <x:v>3.7799999999999994</x:v>
      </x:c>
      <x:c r="U1754" s="15" t="n">
        <x:f>'기준스탯 72종'!G77*G1754</x:f>
        <x:v>3.3599999999999994</x:v>
      </x:c>
      <x:c r="V1754" s="15" t="n">
        <x:f>'기준스탯 72종'!H77*G1754</x:f>
        <x:v>0.8399999999999999</x:v>
      </x:c>
      <x:c r="W1754" s="15" t="n">
        <x:f>'기준스탯 72종'!I77*G1754</x:f>
        <x:v>1.6799999999999997</x:v>
      </x:c>
      <x:c r="X1754" s="15" t="n">
        <x:f>'기준스탯 72종'!J77*G1754</x:f>
        <x:v>2.0999999999999996</x:v>
      </x:c>
      <x:c r="Y1754" s="15" t="n">
        <x:f>'기준스탯 72종'!K77*G1754</x:f>
        <x:v>2.0999999999999996</x:v>
      </x:c>
      <x:c r="Z1754" s="15" t="n">
        <x:f>'기준스탯 72종'!D77*H1754</x:f>
        <x:v>0</x:v>
      </x:c>
      <x:c r="AA1754" s="15" t="n">
        <x:f>'기준스탯 72종'!E77*H1754</x:f>
        <x:v>0</x:v>
      </x:c>
      <x:c r="AB1754" s="15" t="n">
        <x:f>'기준스탯 72종'!F77*H1754</x:f>
        <x:v>0</x:v>
      </x:c>
      <x:c r="AC1754" s="15" t="n">
        <x:f>'기준스탯 72종'!G77*H1754</x:f>
        <x:v>0</x:v>
      </x:c>
      <x:c r="AD1754" s="15" t="n">
        <x:f>'기준스탯 72종'!H77*H1754</x:f>
        <x:v>0</x:v>
      </x:c>
      <x:c r="AE1754" s="15" t="n">
        <x:f>'기준스탯 72종'!I77*H1754</x:f>
        <x:v>0</x:v>
      </x:c>
      <x:c r="AF1754" s="15" t="n">
        <x:f>'기준스탯 72종'!J77*H1754</x:f>
        <x:v>0</x:v>
      </x:c>
      <x:c r="AG1754" s="15" t="n">
        <x:f>'기준스탯 72종'!K77*H1754</x:f>
        <x:v>0</x:v>
      </x:c>
    </x:row>
    <x:row r="1755" ht="28" customHeight="1">
      <x:c r="A1755" s="2" t="n">
        <x:v>1748</x:v>
      </x:c>
      <x:c r="B1755" s="2" t="n">
        <x:v>70</x:v>
      </x:c>
      <x:c r="C1755" s="2" t="str">
        <x:v>물고기자리</x:v>
      </x:c>
      <x:c r="D1755" s="2" t="str">
        <x:v>정령사</x:v>
      </x:c>
      <x:c r="E1755" s="2" t="n">
        <x:v>3</x:v>
      </x:c>
      <x:c r="F1755" s="2" t="n">
        <x:v>5</x:v>
      </x:c>
      <x:c r="G1755" s="14" t="n">
        <x:f>('레벨 계산식'!$E$4-E1755)*'레벨 계산식'!$B$5</x:f>
        <x:v>0.27999999999999997</x:v>
      </x:c>
      <x:c r="H1755" s="14" t="n">
        <x:f>('등급 계산식'!$E$4-F1755)*'등급 계산식'!$B$5</x:f>
        <x:v>0</x:v>
      </x:c>
      <x:c r="I1755" s="14" t="n">
        <x:f>1-G1755-H1755</x:f>
        <x:v>0.72</x:v>
      </x:c>
      <x:c r="J1755" s="2" t="n">
        <x:f>MAX(1,ROUND('기준스탯 72종'!D77-R1755-Z1755,0))</x:f>
        <x:v>4</x:v>
      </x:c>
      <x:c r="K1755" s="2" t="n">
        <x:f>MAX(1,ROUND('기준스탯 72종'!E77-S1755-AA1755,0))</x:f>
        <x:v>6</x:v>
      </x:c>
      <x:c r="L1755" s="2" t="n">
        <x:f>MAX(1,ROUND('기준스탯 72종'!F77-T1755-AB1755,0))</x:f>
        <x:v>6</x:v>
      </x:c>
      <x:c r="M1755" s="2" t="n">
        <x:f>MAX(1,ROUND('기준스탯 72종'!G77-U1755-AC1755,0))</x:f>
        <x:v>6</x:v>
      </x:c>
      <x:c r="N1755" s="2" t="n">
        <x:f>MAX(0,ROUND('기준스탯 72종'!H77-V1755-AD1755,0))</x:f>
        <x:v>1</x:v>
      </x:c>
      <x:c r="O1755" s="2" t="n">
        <x:f>MAX(0,ROUND('기준스탯 72종'!I77-W1755-AE1755,0))</x:f>
        <x:v>3</x:v>
      </x:c>
      <x:c r="P1755" s="2" t="n">
        <x:f>MAX(0,ROUND('기준스탯 72종'!J77-X1755-AF1755,0))</x:f>
        <x:v>4</x:v>
      </x:c>
      <x:c r="Q1755" s="2" t="n">
        <x:f>MAX(0,ROUND('기준스탯 72종'!K77-Y1755-AG1755,0))</x:f>
        <x:v>4</x:v>
      </x:c>
      <x:c r="R1755" s="15" t="n">
        <x:f>'기준스탯 72종'!D77*G1755</x:f>
        <x:v>1.4</x:v>
      </x:c>
      <x:c r="S1755" s="15" t="n">
        <x:f>'기준스탯 72종'!E77*G1755</x:f>
        <x:v>2.5199999999999996</x:v>
      </x:c>
      <x:c r="T1755" s="15" t="n">
        <x:f>'기준스탯 72종'!F77*G1755</x:f>
        <x:v>2.5199999999999996</x:v>
      </x:c>
      <x:c r="U1755" s="15" t="n">
        <x:f>'기준스탯 72종'!G77*G1755</x:f>
        <x:v>2.2399999999999998</x:v>
      </x:c>
      <x:c r="V1755" s="15" t="n">
        <x:f>'기준스탯 72종'!H77*G1755</x:f>
        <x:v>0.5599999999999999</x:v>
      </x:c>
      <x:c r="W1755" s="15" t="n">
        <x:f>'기준스탯 72종'!I77*G1755</x:f>
        <x:v>1.1199999999999999</x:v>
      </x:c>
      <x:c r="X1755" s="15" t="n">
        <x:f>'기준스탯 72종'!J77*G1755</x:f>
        <x:v>1.4</x:v>
      </x:c>
      <x:c r="Y1755" s="15" t="n">
        <x:f>'기준스탯 72종'!K77*G1755</x:f>
        <x:v>1.4</x:v>
      </x:c>
      <x:c r="Z1755" s="15" t="n">
        <x:f>'기준스탯 72종'!D77*H1755</x:f>
        <x:v>0</x:v>
      </x:c>
      <x:c r="AA1755" s="15" t="n">
        <x:f>'기준스탯 72종'!E77*H1755</x:f>
        <x:v>0</x:v>
      </x:c>
      <x:c r="AB1755" s="15" t="n">
        <x:f>'기준스탯 72종'!F77*H1755</x:f>
        <x:v>0</x:v>
      </x:c>
      <x:c r="AC1755" s="15" t="n">
        <x:f>'기준스탯 72종'!G77*H1755</x:f>
        <x:v>0</x:v>
      </x:c>
      <x:c r="AD1755" s="15" t="n">
        <x:f>'기준스탯 72종'!H77*H1755</x:f>
        <x:v>0</x:v>
      </x:c>
      <x:c r="AE1755" s="15" t="n">
        <x:f>'기준스탯 72종'!I77*H1755</x:f>
        <x:v>0</x:v>
      </x:c>
      <x:c r="AF1755" s="15" t="n">
        <x:f>'기준스탯 72종'!J77*H1755</x:f>
        <x:v>0</x:v>
      </x:c>
      <x:c r="AG1755" s="15" t="n">
        <x:f>'기준스탯 72종'!K77*H1755</x:f>
        <x:v>0</x:v>
      </x:c>
    </x:row>
    <x:row r="1756" ht="28" customHeight="1">
      <x:c r="A1756" s="2" t="n">
        <x:v>1749</x:v>
      </x:c>
      <x:c r="B1756" s="2" t="n">
        <x:v>70</x:v>
      </x:c>
      <x:c r="C1756" s="2" t="str">
        <x:v>물고기자리</x:v>
      </x:c>
      <x:c r="D1756" s="2" t="str">
        <x:v>정령사</x:v>
      </x:c>
      <x:c r="E1756" s="2" t="n">
        <x:v>4</x:v>
      </x:c>
      <x:c r="F1756" s="2" t="n">
        <x:v>5</x:v>
      </x:c>
      <x:c r="G1756" s="14" t="n">
        <x:f>('레벨 계산식'!$E$4-E1756)*'레벨 계산식'!$B$5</x:f>
        <x:v>0.13999999999999999</x:v>
      </x:c>
      <x:c r="H1756" s="14" t="n">
        <x:f>('등급 계산식'!$E$4-F1756)*'등급 계산식'!$B$5</x:f>
        <x:v>0</x:v>
      </x:c>
      <x:c r="I1756" s="14" t="n">
        <x:f>1-G1756-H1756</x:f>
        <x:v>0.86</x:v>
      </x:c>
      <x:c r="J1756" s="2" t="n">
        <x:f>MAX(1,ROUND('기준스탯 72종'!D77-R1756-Z1756,0))</x:f>
        <x:v>4</x:v>
      </x:c>
      <x:c r="K1756" s="2" t="n">
        <x:f>MAX(1,ROUND('기준스탯 72종'!E77-S1756-AA1756,0))</x:f>
        <x:v>8</x:v>
      </x:c>
      <x:c r="L1756" s="2" t="n">
        <x:f>MAX(1,ROUND('기준스탯 72종'!F77-T1756-AB1756,0))</x:f>
        <x:v>8</x:v>
      </x:c>
      <x:c r="M1756" s="2" t="n">
        <x:f>MAX(1,ROUND('기준스탯 72종'!G77-U1756-AC1756,0))</x:f>
        <x:v>7</x:v>
      </x:c>
      <x:c r="N1756" s="2" t="n">
        <x:f>MAX(0,ROUND('기준스탯 72종'!H77-V1756-AD1756,0))</x:f>
        <x:v>2</x:v>
      </x:c>
      <x:c r="O1756" s="2" t="n">
        <x:f>MAX(0,ROUND('기준스탯 72종'!I77-W1756-AE1756,0))</x:f>
        <x:v>3</x:v>
      </x:c>
      <x:c r="P1756" s="2" t="n">
        <x:f>MAX(0,ROUND('기준스탯 72종'!J77-X1756-AF1756,0))</x:f>
        <x:v>4</x:v>
      </x:c>
      <x:c r="Q1756" s="2" t="n">
        <x:f>MAX(0,ROUND('기준스탯 72종'!K77-Y1756-AG1756,0))</x:f>
        <x:v>4</x:v>
      </x:c>
      <x:c r="R1756" s="15" t="n">
        <x:f>'기준스탯 72종'!D77*G1756</x:f>
        <x:v>0.7</x:v>
      </x:c>
      <x:c r="S1756" s="15" t="n">
        <x:f>'기준스탯 72종'!E77*G1756</x:f>
        <x:v>1.2599999999999998</x:v>
      </x:c>
      <x:c r="T1756" s="15" t="n">
        <x:f>'기준스탯 72종'!F77*G1756</x:f>
        <x:v>1.2599999999999998</x:v>
      </x:c>
      <x:c r="U1756" s="15" t="n">
        <x:f>'기준스탯 72종'!G77*G1756</x:f>
        <x:v>1.1199999999999999</x:v>
      </x:c>
      <x:c r="V1756" s="15" t="n">
        <x:f>'기준스탯 72종'!H77*G1756</x:f>
        <x:v>0.27999999999999997</x:v>
      </x:c>
      <x:c r="W1756" s="15" t="n">
        <x:f>'기준스탯 72종'!I77*G1756</x:f>
        <x:v>0.5599999999999999</x:v>
      </x:c>
      <x:c r="X1756" s="15" t="n">
        <x:f>'기준스탯 72종'!J77*G1756</x:f>
        <x:v>0.7</x:v>
      </x:c>
      <x:c r="Y1756" s="15" t="n">
        <x:f>'기준스탯 72종'!K77*G1756</x:f>
        <x:v>0.7</x:v>
      </x:c>
      <x:c r="Z1756" s="15" t="n">
        <x:f>'기준스탯 72종'!D77*H1756</x:f>
        <x:v>0</x:v>
      </x:c>
      <x:c r="AA1756" s="15" t="n">
        <x:f>'기준스탯 72종'!E77*H1756</x:f>
        <x:v>0</x:v>
      </x:c>
      <x:c r="AB1756" s="15" t="n">
        <x:f>'기준스탯 72종'!F77*H1756</x:f>
        <x:v>0</x:v>
      </x:c>
      <x:c r="AC1756" s="15" t="n">
        <x:f>'기준스탯 72종'!G77*H1756</x:f>
        <x:v>0</x:v>
      </x:c>
      <x:c r="AD1756" s="15" t="n">
        <x:f>'기준스탯 72종'!H77*H1756</x:f>
        <x:v>0</x:v>
      </x:c>
      <x:c r="AE1756" s="15" t="n">
        <x:f>'기준스탯 72종'!I77*H1756</x:f>
        <x:v>0</x:v>
      </x:c>
      <x:c r="AF1756" s="15" t="n">
        <x:f>'기준스탯 72종'!J77*H1756</x:f>
        <x:v>0</x:v>
      </x:c>
      <x:c r="AG1756" s="15" t="n">
        <x:f>'기준스탯 72종'!K77*H1756</x:f>
        <x:v>0</x:v>
      </x:c>
    </x:row>
    <x:row r="1757" ht="28" customHeight="1">
      <x:c r="A1757" s="2" t="n">
        <x:v>1750</x:v>
      </x:c>
      <x:c r="B1757" s="2" t="n">
        <x:v>70</x:v>
      </x:c>
      <x:c r="C1757" s="2" t="str">
        <x:v>물고기자리</x:v>
      </x:c>
      <x:c r="D1757" s="2" t="str">
        <x:v>정령사</x:v>
      </x:c>
      <x:c r="E1757" s="2" t="n">
        <x:v>5</x:v>
      </x:c>
      <x:c r="F1757" s="2" t="n">
        <x:v>5</x:v>
      </x:c>
      <x:c r="G1757" s="14" t="n">
        <x:f>('레벨 계산식'!$E$4-E1757)*'레벨 계산식'!$B$5</x:f>
        <x:v>0</x:v>
      </x:c>
      <x:c r="H1757" s="14" t="n">
        <x:f>('등급 계산식'!$E$4-F1757)*'등급 계산식'!$B$5</x:f>
        <x:v>0</x:v>
      </x:c>
      <x:c r="I1757" s="14" t="n">
        <x:f>1-G1757-H1757</x:f>
        <x:v>1</x:v>
      </x:c>
      <x:c r="J1757" s="2" t="n">
        <x:f>MAX(1,ROUND('기준스탯 72종'!D77-R1757-Z1757,0))</x:f>
        <x:v>5</x:v>
      </x:c>
      <x:c r="K1757" s="2" t="n">
        <x:f>MAX(1,ROUND('기준스탯 72종'!E77-S1757-AA1757,0))</x:f>
        <x:v>9</x:v>
      </x:c>
      <x:c r="L1757" s="2" t="n">
        <x:f>MAX(1,ROUND('기준스탯 72종'!F77-T1757-AB1757,0))</x:f>
        <x:v>9</x:v>
      </x:c>
      <x:c r="M1757" s="2" t="n">
        <x:f>MAX(1,ROUND('기준스탯 72종'!G77-U1757-AC1757,0))</x:f>
        <x:v>8</x:v>
      </x:c>
      <x:c r="N1757" s="2" t="n">
        <x:f>MAX(0,ROUND('기준스탯 72종'!H77-V1757-AD1757,0))</x:f>
        <x:v>2</x:v>
      </x:c>
      <x:c r="O1757" s="2" t="n">
        <x:f>MAX(0,ROUND('기준스탯 72종'!I77-W1757-AE1757,0))</x:f>
        <x:v>4</x:v>
      </x:c>
      <x:c r="P1757" s="2" t="n">
        <x:f>MAX(0,ROUND('기준스탯 72종'!J77-X1757-AF1757,0))</x:f>
        <x:v>5</x:v>
      </x:c>
      <x:c r="Q1757" s="2" t="n">
        <x:f>MAX(0,ROUND('기준스탯 72종'!K77-Y1757-AG1757,0))</x:f>
        <x:v>5</x:v>
      </x:c>
      <x:c r="R1757" s="15" t="n">
        <x:f>'기준스탯 72종'!D77*G1757</x:f>
        <x:v>0</x:v>
      </x:c>
      <x:c r="S1757" s="15" t="n">
        <x:f>'기준스탯 72종'!E77*G1757</x:f>
        <x:v>0</x:v>
      </x:c>
      <x:c r="T1757" s="15" t="n">
        <x:f>'기준스탯 72종'!F77*G1757</x:f>
        <x:v>0</x:v>
      </x:c>
      <x:c r="U1757" s="15" t="n">
        <x:f>'기준스탯 72종'!G77*G1757</x:f>
        <x:v>0</x:v>
      </x:c>
      <x:c r="V1757" s="15" t="n">
        <x:f>'기준스탯 72종'!H77*G1757</x:f>
        <x:v>0</x:v>
      </x:c>
      <x:c r="W1757" s="15" t="n">
        <x:f>'기준스탯 72종'!I77*G1757</x:f>
        <x:v>0</x:v>
      </x:c>
      <x:c r="X1757" s="15" t="n">
        <x:f>'기준스탯 72종'!J77*G1757</x:f>
        <x:v>0</x:v>
      </x:c>
      <x:c r="Y1757" s="15" t="n">
        <x:f>'기준스탯 72종'!K77*G1757</x:f>
        <x:v>0</x:v>
      </x:c>
      <x:c r="Z1757" s="15" t="n">
        <x:f>'기준스탯 72종'!D77*H1757</x:f>
        <x:v>0</x:v>
      </x:c>
      <x:c r="AA1757" s="15" t="n">
        <x:f>'기준스탯 72종'!E77*H1757</x:f>
        <x:v>0</x:v>
      </x:c>
      <x:c r="AB1757" s="15" t="n">
        <x:f>'기준스탯 72종'!F77*H1757</x:f>
        <x:v>0</x:v>
      </x:c>
      <x:c r="AC1757" s="15" t="n">
        <x:f>'기준스탯 72종'!G77*H1757</x:f>
        <x:v>0</x:v>
      </x:c>
      <x:c r="AD1757" s="15" t="n">
        <x:f>'기준스탯 72종'!H77*H1757</x:f>
        <x:v>0</x:v>
      </x:c>
      <x:c r="AE1757" s="15" t="n">
        <x:f>'기준스탯 72종'!I77*H1757</x:f>
        <x:v>0</x:v>
      </x:c>
      <x:c r="AF1757" s="15" t="n">
        <x:f>'기준스탯 72종'!J77*H1757</x:f>
        <x:v>0</x:v>
      </x:c>
      <x:c r="AG1757" s="15" t="n">
        <x:f>'기준스탯 72종'!K77*H1757</x:f>
        <x:v>0</x:v>
      </x:c>
    </x:row>
    <x:row r="1758" ht="28" customHeight="1">
      <x:c r="A1758" s="2" t="n">
        <x:v>1751</x:v>
      </x:c>
      <x:c r="B1758" s="2" t="n">
        <x:v>71</x:v>
      </x:c>
      <x:c r="C1758" s="2" t="str">
        <x:v>물고기자리</x:v>
      </x:c>
      <x:c r="D1758" s="2" t="str">
        <x:v>도적</x:v>
      </x:c>
      <x:c r="E1758" s="2" t="n">
        <x:v>1</x:v>
      </x:c>
      <x:c r="F1758" s="2" t="n">
        <x:v>1</x:v>
      </x:c>
      <x:c r="G1758" s="14" t="n">
        <x:f>('레벨 계산식'!$E$4-E1758)*'레벨 계산식'!$B$5</x:f>
        <x:v>0.5599999999999999</x:v>
      </x:c>
      <x:c r="H1758" s="14" t="n">
        <x:f>('등급 계산식'!$E$4-F1758)*'등급 계산식'!$B$5</x:f>
        <x:v>0.24000000000000005</x:v>
      </x:c>
      <x:c r="I1758" s="14" t="n">
        <x:f>1-G1758-H1758</x:f>
        <x:v>0.2</x:v>
      </x:c>
      <x:c r="J1758" s="2" t="n">
        <x:f>MAX(1,ROUND('기준스탯 72종'!D78-R1758-Z1758,0))</x:f>
        <x:v>1</x:v>
      </x:c>
      <x:c r="K1758" s="2" t="n">
        <x:f>MAX(1,ROUND('기준스탯 72종'!E78-S1758-AA1758,0))</x:f>
        <x:v>1</x:v>
      </x:c>
      <x:c r="L1758" s="2" t="n">
        <x:f>MAX(1,ROUND('기준스탯 72종'!F78-T1758-AB1758,0))</x:f>
        <x:v>1</x:v>
      </x:c>
      <x:c r="M1758" s="2" t="n">
        <x:f>MAX(1,ROUND('기준스탯 72종'!G78-U1758-AC1758,0))</x:f>
        <x:v>2</x:v>
      </x:c>
      <x:c r="N1758" s="2" t="n">
        <x:f>MAX(0,ROUND('기준스탯 72종'!H78-V1758-AD1758,0))</x:f>
        <x:v>1</x:v>
      </x:c>
      <x:c r="O1758" s="2" t="n">
        <x:f>MAX(0,ROUND('기준스탯 72종'!I78-W1758-AE1758,0))</x:f>
        <x:v>1</x:v>
      </x:c>
      <x:c r="P1758" s="2" t="n">
        <x:f>MAX(0,ROUND('기준스탯 72종'!J78-X1758-AF1758,0))</x:f>
        <x:v>1</x:v>
      </x:c>
      <x:c r="Q1758" s="2" t="n">
        <x:f>MAX(0,ROUND('기준스탯 72종'!K78-Y1758-AG1758,0))</x:f>
        <x:v>1</x:v>
      </x:c>
      <x:c r="R1758" s="15" t="n">
        <x:f>'기준스탯 72종'!D78*G1758</x:f>
        <x:v>3.9199999999999995</x:v>
      </x:c>
      <x:c r="S1758" s="15" t="n">
        <x:f>'기준스탯 72종'!E78*G1758</x:f>
        <x:v>3.9199999999999995</x:v>
      </x:c>
      <x:c r="T1758" s="15" t="n">
        <x:f>'기준스탯 72종'!F78*G1758</x:f>
        <x:v>3.9199999999999995</x:v>
      </x:c>
      <x:c r="U1758" s="15" t="n">
        <x:f>'기준스탯 72종'!G78*G1758</x:f>
        <x:v>5.039999999999999</x:v>
      </x:c>
      <x:c r="V1758" s="15" t="n">
        <x:f>'기준스탯 72종'!H78*G1758</x:f>
        <x:v>2.2399999999999998</x:v>
      </x:c>
      <x:c r="W1758" s="15" t="n">
        <x:f>'기준스탯 72종'!I78*G1758</x:f>
        <x:v>3.3599999999999994</x:v>
      </x:c>
      <x:c r="X1758" s="15" t="n">
        <x:f>'기준스탯 72종'!J78*G1758</x:f>
        <x:v>1.6799999999999997</x:v>
      </x:c>
      <x:c r="Y1758" s="15" t="n">
        <x:f>'기준스탯 72종'!K78*G1758</x:f>
        <x:v>1.6799999999999997</x:v>
      </x:c>
      <x:c r="Z1758" s="15" t="n">
        <x:f>'기준스탯 72종'!D78*H1758</x:f>
        <x:v>1.6800000000000004</x:v>
      </x:c>
      <x:c r="AA1758" s="15" t="n">
        <x:f>'기준스탯 72종'!E78*H1758</x:f>
        <x:v>1.6800000000000004</x:v>
      </x:c>
      <x:c r="AB1758" s="15" t="n">
        <x:f>'기준스탯 72종'!F78*H1758</x:f>
        <x:v>1.6800000000000004</x:v>
      </x:c>
      <x:c r="AC1758" s="15" t="n">
        <x:f>'기준스탯 72종'!G78*H1758</x:f>
        <x:v>2.1600000000000006</x:v>
      </x:c>
      <x:c r="AD1758" s="15" t="n">
        <x:f>'기준스탯 72종'!H78*H1758</x:f>
        <x:v>0.9600000000000002</x:v>
      </x:c>
      <x:c r="AE1758" s="15" t="n">
        <x:f>'기준스탯 72종'!I78*H1758</x:f>
        <x:v>1.4400000000000004</x:v>
      </x:c>
      <x:c r="AF1758" s="15" t="n">
        <x:f>'기준스탯 72종'!J78*H1758</x:f>
        <x:v>0.7200000000000002</x:v>
      </x:c>
      <x:c r="AG1758" s="15" t="n">
        <x:f>'기준스탯 72종'!K78*H1758</x:f>
        <x:v>0.7200000000000002</x:v>
      </x:c>
    </x:row>
    <x:row r="1759" ht="28" customHeight="1">
      <x:c r="A1759" s="2" t="n">
        <x:v>1752</x:v>
      </x:c>
      <x:c r="B1759" s="2" t="n">
        <x:v>71</x:v>
      </x:c>
      <x:c r="C1759" s="2" t="str">
        <x:v>물고기자리</x:v>
      </x:c>
      <x:c r="D1759" s="2" t="str">
        <x:v>도적</x:v>
      </x:c>
      <x:c r="E1759" s="2" t="n">
        <x:v>2</x:v>
      </x:c>
      <x:c r="F1759" s="2" t="n">
        <x:v>1</x:v>
      </x:c>
      <x:c r="G1759" s="14" t="n">
        <x:f>('레벨 계산식'!$E$4-E1759)*'레벨 계산식'!$B$5</x:f>
        <x:v>0.41999999999999993</x:v>
      </x:c>
      <x:c r="H1759" s="14" t="n">
        <x:f>('등급 계산식'!$E$4-F1759)*'등급 계산식'!$B$5</x:f>
        <x:v>0.24000000000000005</x:v>
      </x:c>
      <x:c r="I1759" s="14" t="n">
        <x:f>1-G1759-H1759</x:f>
        <x:v>0.34</x:v>
      </x:c>
      <x:c r="J1759" s="2" t="n">
        <x:f>MAX(1,ROUND('기준스탯 72종'!D78-R1759-Z1759,0))</x:f>
        <x:v>2</x:v>
      </x:c>
      <x:c r="K1759" s="2" t="n">
        <x:f>MAX(1,ROUND('기준스탯 72종'!E78-S1759-AA1759,0))</x:f>
        <x:v>2</x:v>
      </x:c>
      <x:c r="L1759" s="2" t="n">
        <x:f>MAX(1,ROUND('기준스탯 72종'!F78-T1759-AB1759,0))</x:f>
        <x:v>2</x:v>
      </x:c>
      <x:c r="M1759" s="2" t="n">
        <x:f>MAX(1,ROUND('기준스탯 72종'!G78-U1759-AC1759,0))</x:f>
        <x:v>3</x:v>
      </x:c>
      <x:c r="N1759" s="2" t="n">
        <x:f>MAX(0,ROUND('기준스탯 72종'!H78-V1759-AD1759,0))</x:f>
        <x:v>1</x:v>
      </x:c>
      <x:c r="O1759" s="2" t="n">
        <x:f>MAX(0,ROUND('기준스탯 72종'!I78-W1759-AE1759,0))</x:f>
        <x:v>2</x:v>
      </x:c>
      <x:c r="P1759" s="2" t="n">
        <x:f>MAX(0,ROUND('기준스탯 72종'!J78-X1759-AF1759,0))</x:f>
        <x:v>1</x:v>
      </x:c>
      <x:c r="Q1759" s="2" t="n">
        <x:f>MAX(0,ROUND('기준스탯 72종'!K78-Y1759-AG1759,0))</x:f>
        <x:v>1</x:v>
      </x:c>
      <x:c r="R1759" s="15" t="n">
        <x:f>'기준스탯 72종'!D78*G1759</x:f>
        <x:v>2.9399999999999995</x:v>
      </x:c>
      <x:c r="S1759" s="15" t="n">
        <x:f>'기준스탯 72종'!E78*G1759</x:f>
        <x:v>2.9399999999999995</x:v>
      </x:c>
      <x:c r="T1759" s="15" t="n">
        <x:f>'기준스탯 72종'!F78*G1759</x:f>
        <x:v>2.9399999999999995</x:v>
      </x:c>
      <x:c r="U1759" s="15" t="n">
        <x:f>'기준스탯 72종'!G78*G1759</x:f>
        <x:v>3.7799999999999994</x:v>
      </x:c>
      <x:c r="V1759" s="15" t="n">
        <x:f>'기준스탯 72종'!H78*G1759</x:f>
        <x:v>1.6799999999999997</x:v>
      </x:c>
      <x:c r="W1759" s="15" t="n">
        <x:f>'기준스탯 72종'!I78*G1759</x:f>
        <x:v>2.5199999999999996</x:v>
      </x:c>
      <x:c r="X1759" s="15" t="n">
        <x:f>'기준스탯 72종'!J78*G1759</x:f>
        <x:v>1.2599999999999998</x:v>
      </x:c>
      <x:c r="Y1759" s="15" t="n">
        <x:f>'기준스탯 72종'!K78*G1759</x:f>
        <x:v>1.2599999999999998</x:v>
      </x:c>
      <x:c r="Z1759" s="15" t="n">
        <x:f>'기준스탯 72종'!D78*H1759</x:f>
        <x:v>1.6800000000000004</x:v>
      </x:c>
      <x:c r="AA1759" s="15" t="n">
        <x:f>'기준스탯 72종'!E78*H1759</x:f>
        <x:v>1.6800000000000004</x:v>
      </x:c>
      <x:c r="AB1759" s="15" t="n">
        <x:f>'기준스탯 72종'!F78*H1759</x:f>
        <x:v>1.6800000000000004</x:v>
      </x:c>
      <x:c r="AC1759" s="15" t="n">
        <x:f>'기준스탯 72종'!G78*H1759</x:f>
        <x:v>2.1600000000000006</x:v>
      </x:c>
      <x:c r="AD1759" s="15" t="n">
        <x:f>'기준스탯 72종'!H78*H1759</x:f>
        <x:v>0.9600000000000002</x:v>
      </x:c>
      <x:c r="AE1759" s="15" t="n">
        <x:f>'기준스탯 72종'!I78*H1759</x:f>
        <x:v>1.4400000000000004</x:v>
      </x:c>
      <x:c r="AF1759" s="15" t="n">
        <x:f>'기준스탯 72종'!J78*H1759</x:f>
        <x:v>0.7200000000000002</x:v>
      </x:c>
      <x:c r="AG1759" s="15" t="n">
        <x:f>'기준스탯 72종'!K78*H1759</x:f>
        <x:v>0.7200000000000002</x:v>
      </x:c>
    </x:row>
    <x:row r="1760" ht="28" customHeight="1">
      <x:c r="A1760" s="2" t="n">
        <x:v>1753</x:v>
      </x:c>
      <x:c r="B1760" s="2" t="n">
        <x:v>71</x:v>
      </x:c>
      <x:c r="C1760" s="2" t="str">
        <x:v>물고기자리</x:v>
      </x:c>
      <x:c r="D1760" s="2" t="str">
        <x:v>도적</x:v>
      </x:c>
      <x:c r="E1760" s="2" t="n">
        <x:v>3</x:v>
      </x:c>
      <x:c r="F1760" s="2" t="n">
        <x:v>1</x:v>
      </x:c>
      <x:c r="G1760" s="14" t="n">
        <x:f>('레벨 계산식'!$E$4-E1760)*'레벨 계산식'!$B$5</x:f>
        <x:v>0.27999999999999997</x:v>
      </x:c>
      <x:c r="H1760" s="14" t="n">
        <x:f>('등급 계산식'!$E$4-F1760)*'등급 계산식'!$B$5</x:f>
        <x:v>0.24000000000000005</x:v>
      </x:c>
      <x:c r="I1760" s="14" t="n">
        <x:f>1-G1760-H1760</x:f>
        <x:v>0.4799999999999999</x:v>
      </x:c>
      <x:c r="J1760" s="2" t="n">
        <x:f>MAX(1,ROUND('기준스탯 72종'!D78-R1760-Z1760,0))</x:f>
        <x:v>3</x:v>
      </x:c>
      <x:c r="K1760" s="2" t="n">
        <x:f>MAX(1,ROUND('기준스탯 72종'!E78-S1760-AA1760,0))</x:f>
        <x:v>3</x:v>
      </x:c>
      <x:c r="L1760" s="2" t="n">
        <x:f>MAX(1,ROUND('기준스탯 72종'!F78-T1760-AB1760,0))</x:f>
        <x:v>3</x:v>
      </x:c>
      <x:c r="M1760" s="2" t="n">
        <x:f>MAX(1,ROUND('기준스탯 72종'!G78-U1760-AC1760,0))</x:f>
        <x:v>4</x:v>
      </x:c>
      <x:c r="N1760" s="2" t="n">
        <x:f>MAX(0,ROUND('기준스탯 72종'!H78-V1760-AD1760,0))</x:f>
        <x:v>2</x:v>
      </x:c>
      <x:c r="O1760" s="2" t="n">
        <x:f>MAX(0,ROUND('기준스탯 72종'!I78-W1760-AE1760,0))</x:f>
        <x:v>3</x:v>
      </x:c>
      <x:c r="P1760" s="2" t="n">
        <x:f>MAX(0,ROUND('기준스탯 72종'!J78-X1760-AF1760,0))</x:f>
        <x:v>1</x:v>
      </x:c>
      <x:c r="Q1760" s="2" t="n">
        <x:f>MAX(0,ROUND('기준스탯 72종'!K78-Y1760-AG1760,0))</x:f>
        <x:v>1</x:v>
      </x:c>
      <x:c r="R1760" s="15" t="n">
        <x:f>'기준스탯 72종'!D78*G1760</x:f>
        <x:v>1.9599999999999997</x:v>
      </x:c>
      <x:c r="S1760" s="15" t="n">
        <x:f>'기준스탯 72종'!E78*G1760</x:f>
        <x:v>1.9599999999999997</x:v>
      </x:c>
      <x:c r="T1760" s="15" t="n">
        <x:f>'기준스탯 72종'!F78*G1760</x:f>
        <x:v>1.9599999999999997</x:v>
      </x:c>
      <x:c r="U1760" s="15" t="n">
        <x:f>'기준스탯 72종'!G78*G1760</x:f>
        <x:v>2.5199999999999996</x:v>
      </x:c>
      <x:c r="V1760" s="15" t="n">
        <x:f>'기준스탯 72종'!H78*G1760</x:f>
        <x:v>1.1199999999999999</x:v>
      </x:c>
      <x:c r="W1760" s="15" t="n">
        <x:f>'기준스탯 72종'!I78*G1760</x:f>
        <x:v>1.6799999999999997</x:v>
      </x:c>
      <x:c r="X1760" s="15" t="n">
        <x:f>'기준스탯 72종'!J78*G1760</x:f>
        <x:v>0.8399999999999999</x:v>
      </x:c>
      <x:c r="Y1760" s="15" t="n">
        <x:f>'기준스탯 72종'!K78*G1760</x:f>
        <x:v>0.8399999999999999</x:v>
      </x:c>
      <x:c r="Z1760" s="15" t="n">
        <x:f>'기준스탯 72종'!D78*H1760</x:f>
        <x:v>1.6800000000000004</x:v>
      </x:c>
      <x:c r="AA1760" s="15" t="n">
        <x:f>'기준스탯 72종'!E78*H1760</x:f>
        <x:v>1.6800000000000004</x:v>
      </x:c>
      <x:c r="AB1760" s="15" t="n">
        <x:f>'기준스탯 72종'!F78*H1760</x:f>
        <x:v>1.6800000000000004</x:v>
      </x:c>
      <x:c r="AC1760" s="15" t="n">
        <x:f>'기준스탯 72종'!G78*H1760</x:f>
        <x:v>2.1600000000000006</x:v>
      </x:c>
      <x:c r="AD1760" s="15" t="n">
        <x:f>'기준스탯 72종'!H78*H1760</x:f>
        <x:v>0.9600000000000002</x:v>
      </x:c>
      <x:c r="AE1760" s="15" t="n">
        <x:f>'기준스탯 72종'!I78*H1760</x:f>
        <x:v>1.4400000000000004</x:v>
      </x:c>
      <x:c r="AF1760" s="15" t="n">
        <x:f>'기준스탯 72종'!J78*H1760</x:f>
        <x:v>0.7200000000000002</x:v>
      </x:c>
      <x:c r="AG1760" s="15" t="n">
        <x:f>'기준스탯 72종'!K78*H1760</x:f>
        <x:v>0.7200000000000002</x:v>
      </x:c>
    </x:row>
    <x:row r="1761" ht="28" customHeight="1">
      <x:c r="A1761" s="2" t="n">
        <x:v>1754</x:v>
      </x:c>
      <x:c r="B1761" s="2" t="n">
        <x:v>71</x:v>
      </x:c>
      <x:c r="C1761" s="2" t="str">
        <x:v>물고기자리</x:v>
      </x:c>
      <x:c r="D1761" s="2" t="str">
        <x:v>도적</x:v>
      </x:c>
      <x:c r="E1761" s="2" t="n">
        <x:v>4</x:v>
      </x:c>
      <x:c r="F1761" s="2" t="n">
        <x:v>1</x:v>
      </x:c>
      <x:c r="G1761" s="14" t="n">
        <x:f>('레벨 계산식'!$E$4-E1761)*'레벨 계산식'!$B$5</x:f>
        <x:v>0.13999999999999999</x:v>
      </x:c>
      <x:c r="H1761" s="14" t="n">
        <x:f>('등급 계산식'!$E$4-F1761)*'등급 계산식'!$B$5</x:f>
        <x:v>0.24000000000000005</x:v>
      </x:c>
      <x:c r="I1761" s="14" t="n">
        <x:f>1-G1761-H1761</x:f>
        <x:v>0.6199999999999999</x:v>
      </x:c>
      <x:c r="J1761" s="2" t="n">
        <x:f>MAX(1,ROUND('기준스탯 72종'!D78-R1761-Z1761,0))</x:f>
        <x:v>4</x:v>
      </x:c>
      <x:c r="K1761" s="2" t="n">
        <x:f>MAX(1,ROUND('기준스탯 72종'!E78-S1761-AA1761,0))</x:f>
        <x:v>4</x:v>
      </x:c>
      <x:c r="L1761" s="2" t="n">
        <x:f>MAX(1,ROUND('기준스탯 72종'!F78-T1761-AB1761,0))</x:f>
        <x:v>4</x:v>
      </x:c>
      <x:c r="M1761" s="2" t="n">
        <x:f>MAX(1,ROUND('기준스탯 72종'!G78-U1761-AC1761,0))</x:f>
        <x:v>6</x:v>
      </x:c>
      <x:c r="N1761" s="2" t="n">
        <x:f>MAX(0,ROUND('기준스탯 72종'!H78-V1761-AD1761,0))</x:f>
        <x:v>2</x:v>
      </x:c>
      <x:c r="O1761" s="2" t="n">
        <x:f>MAX(0,ROUND('기준스탯 72종'!I78-W1761-AE1761,0))</x:f>
        <x:v>4</x:v>
      </x:c>
      <x:c r="P1761" s="2" t="n">
        <x:f>MAX(0,ROUND('기준스탯 72종'!J78-X1761-AF1761,0))</x:f>
        <x:v>2</x:v>
      </x:c>
      <x:c r="Q1761" s="2" t="n">
        <x:f>MAX(0,ROUND('기준스탯 72종'!K78-Y1761-AG1761,0))</x:f>
        <x:v>2</x:v>
      </x:c>
      <x:c r="R1761" s="15" t="n">
        <x:f>'기준스탯 72종'!D78*G1761</x:f>
        <x:v>0.9799999999999999</x:v>
      </x:c>
      <x:c r="S1761" s="15" t="n">
        <x:f>'기준스탯 72종'!E78*G1761</x:f>
        <x:v>0.9799999999999999</x:v>
      </x:c>
      <x:c r="T1761" s="15" t="n">
        <x:f>'기준스탯 72종'!F78*G1761</x:f>
        <x:v>0.9799999999999999</x:v>
      </x:c>
      <x:c r="U1761" s="15" t="n">
        <x:f>'기준스탯 72종'!G78*G1761</x:f>
        <x:v>1.2599999999999998</x:v>
      </x:c>
      <x:c r="V1761" s="15" t="n">
        <x:f>'기준스탯 72종'!H78*G1761</x:f>
        <x:v>0.5599999999999999</x:v>
      </x:c>
      <x:c r="W1761" s="15" t="n">
        <x:f>'기준스탯 72종'!I78*G1761</x:f>
        <x:v>0.8399999999999999</x:v>
      </x:c>
      <x:c r="X1761" s="15" t="n">
        <x:f>'기준스탯 72종'!J78*G1761</x:f>
        <x:v>0.41999999999999993</x:v>
      </x:c>
      <x:c r="Y1761" s="15" t="n">
        <x:f>'기준스탯 72종'!K78*G1761</x:f>
        <x:v>0.41999999999999993</x:v>
      </x:c>
      <x:c r="Z1761" s="15" t="n">
        <x:f>'기준스탯 72종'!D78*H1761</x:f>
        <x:v>1.6800000000000004</x:v>
      </x:c>
      <x:c r="AA1761" s="15" t="n">
        <x:f>'기준스탯 72종'!E78*H1761</x:f>
        <x:v>1.6800000000000004</x:v>
      </x:c>
      <x:c r="AB1761" s="15" t="n">
        <x:f>'기준스탯 72종'!F78*H1761</x:f>
        <x:v>1.6800000000000004</x:v>
      </x:c>
      <x:c r="AC1761" s="15" t="n">
        <x:f>'기준스탯 72종'!G78*H1761</x:f>
        <x:v>2.1600000000000006</x:v>
      </x:c>
      <x:c r="AD1761" s="15" t="n">
        <x:f>'기준스탯 72종'!H78*H1761</x:f>
        <x:v>0.9600000000000002</x:v>
      </x:c>
      <x:c r="AE1761" s="15" t="n">
        <x:f>'기준스탯 72종'!I78*H1761</x:f>
        <x:v>1.4400000000000004</x:v>
      </x:c>
      <x:c r="AF1761" s="15" t="n">
        <x:f>'기준스탯 72종'!J78*H1761</x:f>
        <x:v>0.7200000000000002</x:v>
      </x:c>
      <x:c r="AG1761" s="15" t="n">
        <x:f>'기준스탯 72종'!K78*H1761</x:f>
        <x:v>0.7200000000000002</x:v>
      </x:c>
    </x:row>
    <x:row r="1762" ht="28" customHeight="1">
      <x:c r="A1762" s="2" t="n">
        <x:v>1755</x:v>
      </x:c>
      <x:c r="B1762" s="2" t="n">
        <x:v>71</x:v>
      </x:c>
      <x:c r="C1762" s="2" t="str">
        <x:v>물고기자리</x:v>
      </x:c>
      <x:c r="D1762" s="2" t="str">
        <x:v>도적</x:v>
      </x:c>
      <x:c r="E1762" s="2" t="n">
        <x:v>5</x:v>
      </x:c>
      <x:c r="F1762" s="2" t="n">
        <x:v>1</x:v>
      </x:c>
      <x:c r="G1762" s="14" t="n">
        <x:f>('레벨 계산식'!$E$4-E1762)*'레벨 계산식'!$B$5</x:f>
        <x:v>0</x:v>
      </x:c>
      <x:c r="H1762" s="14" t="n">
        <x:f>('등급 계산식'!$E$4-F1762)*'등급 계산식'!$B$5</x:f>
        <x:v>0.24000000000000005</x:v>
      </x:c>
      <x:c r="I1762" s="14" t="n">
        <x:f>1-G1762-H1762</x:f>
        <x:v>0.76</x:v>
      </x:c>
      <x:c r="J1762" s="2" t="n">
        <x:f>MAX(1,ROUND('기준스탯 72종'!D78-R1762-Z1762,0))</x:f>
        <x:v>5</x:v>
      </x:c>
      <x:c r="K1762" s="2" t="n">
        <x:f>MAX(1,ROUND('기준스탯 72종'!E78-S1762-AA1762,0))</x:f>
        <x:v>5</x:v>
      </x:c>
      <x:c r="L1762" s="2" t="n">
        <x:f>MAX(1,ROUND('기준스탯 72종'!F78-T1762-AB1762,0))</x:f>
        <x:v>5</x:v>
      </x:c>
      <x:c r="M1762" s="2" t="n">
        <x:f>MAX(1,ROUND('기준스탯 72종'!G78-U1762-AC1762,0))</x:f>
        <x:v>7</x:v>
      </x:c>
      <x:c r="N1762" s="2" t="n">
        <x:f>MAX(0,ROUND('기준스탯 72종'!H78-V1762-AD1762,0))</x:f>
        <x:v>3</x:v>
      </x:c>
      <x:c r="O1762" s="2" t="n">
        <x:f>MAX(0,ROUND('기준스탯 72종'!I78-W1762-AE1762,0))</x:f>
        <x:v>5</x:v>
      </x:c>
      <x:c r="P1762" s="2" t="n">
        <x:f>MAX(0,ROUND('기준스탯 72종'!J78-X1762-AF1762,0))</x:f>
        <x:v>2</x:v>
      </x:c>
      <x:c r="Q1762" s="2" t="n">
        <x:f>MAX(0,ROUND('기준스탯 72종'!K78-Y1762-AG1762,0))</x:f>
        <x:v>2</x:v>
      </x:c>
      <x:c r="R1762" s="15" t="n">
        <x:f>'기준스탯 72종'!D78*G1762</x:f>
        <x:v>0</x:v>
      </x:c>
      <x:c r="S1762" s="15" t="n">
        <x:f>'기준스탯 72종'!E78*G1762</x:f>
        <x:v>0</x:v>
      </x:c>
      <x:c r="T1762" s="15" t="n">
        <x:f>'기준스탯 72종'!F78*G1762</x:f>
        <x:v>0</x:v>
      </x:c>
      <x:c r="U1762" s="15" t="n">
        <x:f>'기준스탯 72종'!G78*G1762</x:f>
        <x:v>0</x:v>
      </x:c>
      <x:c r="V1762" s="15" t="n">
        <x:f>'기준스탯 72종'!H78*G1762</x:f>
        <x:v>0</x:v>
      </x:c>
      <x:c r="W1762" s="15" t="n">
        <x:f>'기준스탯 72종'!I78*G1762</x:f>
        <x:v>0</x:v>
      </x:c>
      <x:c r="X1762" s="15" t="n">
        <x:f>'기준스탯 72종'!J78*G1762</x:f>
        <x:v>0</x:v>
      </x:c>
      <x:c r="Y1762" s="15" t="n">
        <x:f>'기준스탯 72종'!K78*G1762</x:f>
        <x:v>0</x:v>
      </x:c>
      <x:c r="Z1762" s="15" t="n">
        <x:f>'기준스탯 72종'!D78*H1762</x:f>
        <x:v>1.6800000000000004</x:v>
      </x:c>
      <x:c r="AA1762" s="15" t="n">
        <x:f>'기준스탯 72종'!E78*H1762</x:f>
        <x:v>1.6800000000000004</x:v>
      </x:c>
      <x:c r="AB1762" s="15" t="n">
        <x:f>'기준스탯 72종'!F78*H1762</x:f>
        <x:v>1.6800000000000004</x:v>
      </x:c>
      <x:c r="AC1762" s="15" t="n">
        <x:f>'기준스탯 72종'!G78*H1762</x:f>
        <x:v>2.1600000000000006</x:v>
      </x:c>
      <x:c r="AD1762" s="15" t="n">
        <x:f>'기준스탯 72종'!H78*H1762</x:f>
        <x:v>0.9600000000000002</x:v>
      </x:c>
      <x:c r="AE1762" s="15" t="n">
        <x:f>'기준스탯 72종'!I78*H1762</x:f>
        <x:v>1.4400000000000004</x:v>
      </x:c>
      <x:c r="AF1762" s="15" t="n">
        <x:f>'기준스탯 72종'!J78*H1762</x:f>
        <x:v>0.7200000000000002</x:v>
      </x:c>
      <x:c r="AG1762" s="15" t="n">
        <x:f>'기준스탯 72종'!K78*H1762</x:f>
        <x:v>0.7200000000000002</x:v>
      </x:c>
    </x:row>
    <x:row r="1763" ht="28" customHeight="1">
      <x:c r="A1763" s="2" t="n">
        <x:v>1756</x:v>
      </x:c>
      <x:c r="B1763" s="2" t="n">
        <x:v>71</x:v>
      </x:c>
      <x:c r="C1763" s="2" t="str">
        <x:v>물고기자리</x:v>
      </x:c>
      <x:c r="D1763" s="2" t="str">
        <x:v>도적</x:v>
      </x:c>
      <x:c r="E1763" s="2" t="n">
        <x:v>1</x:v>
      </x:c>
      <x:c r="F1763" s="2" t="n">
        <x:v>2</x:v>
      </x:c>
      <x:c r="G1763" s="14" t="n">
        <x:f>('레벨 계산식'!$E$4-E1763)*'레벨 계산식'!$B$5</x:f>
        <x:v>0.5599999999999999</x:v>
      </x:c>
      <x:c r="H1763" s="14" t="n">
        <x:f>('등급 계산식'!$E$4-F1763)*'등급 계산식'!$B$5</x:f>
        <x:v>0.18000000000000005</x:v>
      </x:c>
      <x:c r="I1763" s="14" t="n">
        <x:f>1-G1763-H1763</x:f>
        <x:v>0.26</x:v>
      </x:c>
      <x:c r="J1763" s="2" t="n">
        <x:f>MAX(1,ROUND('기준스탯 72종'!D78-R1763-Z1763,0))</x:f>
        <x:v>2</x:v>
      </x:c>
      <x:c r="K1763" s="2" t="n">
        <x:f>MAX(1,ROUND('기준스탯 72종'!E78-S1763-AA1763,0))</x:f>
        <x:v>2</x:v>
      </x:c>
      <x:c r="L1763" s="2" t="n">
        <x:f>MAX(1,ROUND('기준스탯 72종'!F78-T1763-AB1763,0))</x:f>
        <x:v>2</x:v>
      </x:c>
      <x:c r="M1763" s="2" t="n">
        <x:f>MAX(1,ROUND('기준스탯 72종'!G78-U1763-AC1763,0))</x:f>
        <x:v>2</x:v>
      </x:c>
      <x:c r="N1763" s="2" t="n">
        <x:f>MAX(0,ROUND('기준스탯 72종'!H78-V1763-AD1763,0))</x:f>
        <x:v>1</x:v>
      </x:c>
      <x:c r="O1763" s="2" t="n">
        <x:f>MAX(0,ROUND('기준스탯 72종'!I78-W1763-AE1763,0))</x:f>
        <x:v>2</x:v>
      </x:c>
      <x:c r="P1763" s="2" t="n">
        <x:f>MAX(0,ROUND('기준스탯 72종'!J78-X1763-AF1763,0))</x:f>
        <x:v>1</x:v>
      </x:c>
      <x:c r="Q1763" s="2" t="n">
        <x:f>MAX(0,ROUND('기준스탯 72종'!K78-Y1763-AG1763,0))</x:f>
        <x:v>1</x:v>
      </x:c>
      <x:c r="R1763" s="15" t="n">
        <x:f>'기준스탯 72종'!D78*G1763</x:f>
        <x:v>3.9199999999999995</x:v>
      </x:c>
      <x:c r="S1763" s="15" t="n">
        <x:f>'기준스탯 72종'!E78*G1763</x:f>
        <x:v>3.9199999999999995</x:v>
      </x:c>
      <x:c r="T1763" s="15" t="n">
        <x:f>'기준스탯 72종'!F78*G1763</x:f>
        <x:v>3.9199999999999995</x:v>
      </x:c>
      <x:c r="U1763" s="15" t="n">
        <x:f>'기준스탯 72종'!G78*G1763</x:f>
        <x:v>5.039999999999999</x:v>
      </x:c>
      <x:c r="V1763" s="15" t="n">
        <x:f>'기준스탯 72종'!H78*G1763</x:f>
        <x:v>2.2399999999999998</x:v>
      </x:c>
      <x:c r="W1763" s="15" t="n">
        <x:f>'기준스탯 72종'!I78*G1763</x:f>
        <x:v>3.3599999999999994</x:v>
      </x:c>
      <x:c r="X1763" s="15" t="n">
        <x:f>'기준스탯 72종'!J78*G1763</x:f>
        <x:v>1.6799999999999997</x:v>
      </x:c>
      <x:c r="Y1763" s="15" t="n">
        <x:f>'기준스탯 72종'!K78*G1763</x:f>
        <x:v>1.6799999999999997</x:v>
      </x:c>
      <x:c r="Z1763" s="15" t="n">
        <x:f>'기준스탯 72종'!D78*H1763</x:f>
        <x:v>1.2600000000000002</x:v>
      </x:c>
      <x:c r="AA1763" s="15" t="n">
        <x:f>'기준스탯 72종'!E78*H1763</x:f>
        <x:v>1.2600000000000002</x:v>
      </x:c>
      <x:c r="AB1763" s="15" t="n">
        <x:f>'기준스탯 72종'!F78*H1763</x:f>
        <x:v>1.2600000000000002</x:v>
      </x:c>
      <x:c r="AC1763" s="15" t="n">
        <x:f>'기준스탯 72종'!G78*H1763</x:f>
        <x:v>1.6200000000000006</x:v>
      </x:c>
      <x:c r="AD1763" s="15" t="n">
        <x:f>'기준스탯 72종'!H78*H1763</x:f>
        <x:v>0.7200000000000002</x:v>
      </x:c>
      <x:c r="AE1763" s="15" t="n">
        <x:f>'기준스탯 72종'!I78*H1763</x:f>
        <x:v>1.0800000000000003</x:v>
      </x:c>
      <x:c r="AF1763" s="15" t="n">
        <x:f>'기준스탯 72종'!J78*H1763</x:f>
        <x:v>0.5400000000000001</x:v>
      </x:c>
      <x:c r="AG1763" s="15" t="n">
        <x:f>'기준스탯 72종'!K78*H1763</x:f>
        <x:v>0.5400000000000001</x:v>
      </x:c>
    </x:row>
    <x:row r="1764" ht="28" customHeight="1">
      <x:c r="A1764" s="2" t="n">
        <x:v>1757</x:v>
      </x:c>
      <x:c r="B1764" s="2" t="n">
        <x:v>71</x:v>
      </x:c>
      <x:c r="C1764" s="2" t="str">
        <x:v>물고기자리</x:v>
      </x:c>
      <x:c r="D1764" s="2" t="str">
        <x:v>도적</x:v>
      </x:c>
      <x:c r="E1764" s="2" t="n">
        <x:v>2</x:v>
      </x:c>
      <x:c r="F1764" s="2" t="n">
        <x:v>2</x:v>
      </x:c>
      <x:c r="G1764" s="14" t="n">
        <x:f>('레벨 계산식'!$E$4-E1764)*'레벨 계산식'!$B$5</x:f>
        <x:v>0.41999999999999993</x:v>
      </x:c>
      <x:c r="H1764" s="14" t="n">
        <x:f>('등급 계산식'!$E$4-F1764)*'등급 계산식'!$B$5</x:f>
        <x:v>0.18000000000000005</x:v>
      </x:c>
      <x:c r="I1764" s="14" t="n">
        <x:f>1-G1764-H1764</x:f>
        <x:v>0.4</x:v>
      </x:c>
      <x:c r="J1764" s="2" t="n">
        <x:f>MAX(1,ROUND('기준스탯 72종'!D78-R1764-Z1764,0))</x:f>
        <x:v>3</x:v>
      </x:c>
      <x:c r="K1764" s="2" t="n">
        <x:f>MAX(1,ROUND('기준스탯 72종'!E78-S1764-AA1764,0))</x:f>
        <x:v>3</x:v>
      </x:c>
      <x:c r="L1764" s="2" t="n">
        <x:f>MAX(1,ROUND('기준스탯 72종'!F78-T1764-AB1764,0))</x:f>
        <x:v>3</x:v>
      </x:c>
      <x:c r="M1764" s="2" t="n">
        <x:f>MAX(1,ROUND('기준스탯 72종'!G78-U1764-AC1764,0))</x:f>
        <x:v>4</x:v>
      </x:c>
      <x:c r="N1764" s="2" t="n">
        <x:f>MAX(0,ROUND('기준스탯 72종'!H78-V1764-AD1764,0))</x:f>
        <x:v>2</x:v>
      </x:c>
      <x:c r="O1764" s="2" t="n">
        <x:f>MAX(0,ROUND('기준스탯 72종'!I78-W1764-AE1764,0))</x:f>
        <x:v>2</x:v>
      </x:c>
      <x:c r="P1764" s="2" t="n">
        <x:f>MAX(0,ROUND('기준스탯 72종'!J78-X1764-AF1764,0))</x:f>
        <x:v>1</x:v>
      </x:c>
      <x:c r="Q1764" s="2" t="n">
        <x:f>MAX(0,ROUND('기준스탯 72종'!K78-Y1764-AG1764,0))</x:f>
        <x:v>1</x:v>
      </x:c>
      <x:c r="R1764" s="15" t="n">
        <x:f>'기준스탯 72종'!D78*G1764</x:f>
        <x:v>2.9399999999999995</x:v>
      </x:c>
      <x:c r="S1764" s="15" t="n">
        <x:f>'기준스탯 72종'!E78*G1764</x:f>
        <x:v>2.9399999999999995</x:v>
      </x:c>
      <x:c r="T1764" s="15" t="n">
        <x:f>'기준스탯 72종'!F78*G1764</x:f>
        <x:v>2.9399999999999995</x:v>
      </x:c>
      <x:c r="U1764" s="15" t="n">
        <x:f>'기준스탯 72종'!G78*G1764</x:f>
        <x:v>3.7799999999999994</x:v>
      </x:c>
      <x:c r="V1764" s="15" t="n">
        <x:f>'기준스탯 72종'!H78*G1764</x:f>
        <x:v>1.6799999999999997</x:v>
      </x:c>
      <x:c r="W1764" s="15" t="n">
        <x:f>'기준스탯 72종'!I78*G1764</x:f>
        <x:v>2.5199999999999996</x:v>
      </x:c>
      <x:c r="X1764" s="15" t="n">
        <x:f>'기준스탯 72종'!J78*G1764</x:f>
        <x:v>1.2599999999999998</x:v>
      </x:c>
      <x:c r="Y1764" s="15" t="n">
        <x:f>'기준스탯 72종'!K78*G1764</x:f>
        <x:v>1.2599999999999998</x:v>
      </x:c>
      <x:c r="Z1764" s="15" t="n">
        <x:f>'기준스탯 72종'!D78*H1764</x:f>
        <x:v>1.2600000000000002</x:v>
      </x:c>
      <x:c r="AA1764" s="15" t="n">
        <x:f>'기준스탯 72종'!E78*H1764</x:f>
        <x:v>1.2600000000000002</x:v>
      </x:c>
      <x:c r="AB1764" s="15" t="n">
        <x:f>'기준스탯 72종'!F78*H1764</x:f>
        <x:v>1.2600000000000002</x:v>
      </x:c>
      <x:c r="AC1764" s="15" t="n">
        <x:f>'기준스탯 72종'!G78*H1764</x:f>
        <x:v>1.6200000000000006</x:v>
      </x:c>
      <x:c r="AD1764" s="15" t="n">
        <x:f>'기준스탯 72종'!H78*H1764</x:f>
        <x:v>0.7200000000000002</x:v>
      </x:c>
      <x:c r="AE1764" s="15" t="n">
        <x:f>'기준스탯 72종'!I78*H1764</x:f>
        <x:v>1.0800000000000003</x:v>
      </x:c>
      <x:c r="AF1764" s="15" t="n">
        <x:f>'기준스탯 72종'!J78*H1764</x:f>
        <x:v>0.5400000000000001</x:v>
      </x:c>
      <x:c r="AG1764" s="15" t="n">
        <x:f>'기준스탯 72종'!K78*H1764</x:f>
        <x:v>0.5400000000000001</x:v>
      </x:c>
    </x:row>
    <x:row r="1765" ht="28" customHeight="1">
      <x:c r="A1765" s="2" t="n">
        <x:v>1758</x:v>
      </x:c>
      <x:c r="B1765" s="2" t="n">
        <x:v>71</x:v>
      </x:c>
      <x:c r="C1765" s="2" t="str">
        <x:v>물고기자리</x:v>
      </x:c>
      <x:c r="D1765" s="2" t="str">
        <x:v>도적</x:v>
      </x:c>
      <x:c r="E1765" s="2" t="n">
        <x:v>3</x:v>
      </x:c>
      <x:c r="F1765" s="2" t="n">
        <x:v>2</x:v>
      </x:c>
      <x:c r="G1765" s="14" t="n">
        <x:f>('레벨 계산식'!$E$4-E1765)*'레벨 계산식'!$B$5</x:f>
        <x:v>0.27999999999999997</x:v>
      </x:c>
      <x:c r="H1765" s="14" t="n">
        <x:f>('등급 계산식'!$E$4-F1765)*'등급 계산식'!$B$5</x:f>
        <x:v>0.18000000000000005</x:v>
      </x:c>
      <x:c r="I1765" s="14" t="n">
        <x:f>1-G1765-H1765</x:f>
        <x:v>0.5399999999999999</x:v>
      </x:c>
      <x:c r="J1765" s="2" t="n">
        <x:f>MAX(1,ROUND('기준스탯 72종'!D78-R1765-Z1765,0))</x:f>
        <x:v>4</x:v>
      </x:c>
      <x:c r="K1765" s="2" t="n">
        <x:f>MAX(1,ROUND('기준스탯 72종'!E78-S1765-AA1765,0))</x:f>
        <x:v>4</x:v>
      </x:c>
      <x:c r="L1765" s="2" t="n">
        <x:f>MAX(1,ROUND('기준스탯 72종'!F78-T1765-AB1765,0))</x:f>
        <x:v>4</x:v>
      </x:c>
      <x:c r="M1765" s="2" t="n">
        <x:f>MAX(1,ROUND('기준스탯 72종'!G78-U1765-AC1765,0))</x:f>
        <x:v>5</x:v>
      </x:c>
      <x:c r="N1765" s="2" t="n">
        <x:f>MAX(0,ROUND('기준스탯 72종'!H78-V1765-AD1765,0))</x:f>
        <x:v>2</x:v>
      </x:c>
      <x:c r="O1765" s="2" t="n">
        <x:f>MAX(0,ROUND('기준스탯 72종'!I78-W1765-AE1765,0))</x:f>
        <x:v>3</x:v>
      </x:c>
      <x:c r="P1765" s="2" t="n">
        <x:f>MAX(0,ROUND('기준스탯 72종'!J78-X1765-AF1765,0))</x:f>
        <x:v>2</x:v>
      </x:c>
      <x:c r="Q1765" s="2" t="n">
        <x:f>MAX(0,ROUND('기준스탯 72종'!K78-Y1765-AG1765,0))</x:f>
        <x:v>2</x:v>
      </x:c>
      <x:c r="R1765" s="15" t="n">
        <x:f>'기준스탯 72종'!D78*G1765</x:f>
        <x:v>1.9599999999999997</x:v>
      </x:c>
      <x:c r="S1765" s="15" t="n">
        <x:f>'기준스탯 72종'!E78*G1765</x:f>
        <x:v>1.9599999999999997</x:v>
      </x:c>
      <x:c r="T1765" s="15" t="n">
        <x:f>'기준스탯 72종'!F78*G1765</x:f>
        <x:v>1.9599999999999997</x:v>
      </x:c>
      <x:c r="U1765" s="15" t="n">
        <x:f>'기준스탯 72종'!G78*G1765</x:f>
        <x:v>2.5199999999999996</x:v>
      </x:c>
      <x:c r="V1765" s="15" t="n">
        <x:f>'기준스탯 72종'!H78*G1765</x:f>
        <x:v>1.1199999999999999</x:v>
      </x:c>
      <x:c r="W1765" s="15" t="n">
        <x:f>'기준스탯 72종'!I78*G1765</x:f>
        <x:v>1.6799999999999997</x:v>
      </x:c>
      <x:c r="X1765" s="15" t="n">
        <x:f>'기준스탯 72종'!J78*G1765</x:f>
        <x:v>0.8399999999999999</x:v>
      </x:c>
      <x:c r="Y1765" s="15" t="n">
        <x:f>'기준스탯 72종'!K78*G1765</x:f>
        <x:v>0.8399999999999999</x:v>
      </x:c>
      <x:c r="Z1765" s="15" t="n">
        <x:f>'기준스탯 72종'!D78*H1765</x:f>
        <x:v>1.2600000000000002</x:v>
      </x:c>
      <x:c r="AA1765" s="15" t="n">
        <x:f>'기준스탯 72종'!E78*H1765</x:f>
        <x:v>1.2600000000000002</x:v>
      </x:c>
      <x:c r="AB1765" s="15" t="n">
        <x:f>'기준스탯 72종'!F78*H1765</x:f>
        <x:v>1.2600000000000002</x:v>
      </x:c>
      <x:c r="AC1765" s="15" t="n">
        <x:f>'기준스탯 72종'!G78*H1765</x:f>
        <x:v>1.6200000000000006</x:v>
      </x:c>
      <x:c r="AD1765" s="15" t="n">
        <x:f>'기준스탯 72종'!H78*H1765</x:f>
        <x:v>0.7200000000000002</x:v>
      </x:c>
      <x:c r="AE1765" s="15" t="n">
        <x:f>'기준스탯 72종'!I78*H1765</x:f>
        <x:v>1.0800000000000003</x:v>
      </x:c>
      <x:c r="AF1765" s="15" t="n">
        <x:f>'기준스탯 72종'!J78*H1765</x:f>
        <x:v>0.5400000000000001</x:v>
      </x:c>
      <x:c r="AG1765" s="15" t="n">
        <x:f>'기준스탯 72종'!K78*H1765</x:f>
        <x:v>0.5400000000000001</x:v>
      </x:c>
    </x:row>
    <x:row r="1766" ht="28" customHeight="1">
      <x:c r="A1766" s="2" t="n">
        <x:v>1759</x:v>
      </x:c>
      <x:c r="B1766" s="2" t="n">
        <x:v>71</x:v>
      </x:c>
      <x:c r="C1766" s="2" t="str">
        <x:v>물고기자리</x:v>
      </x:c>
      <x:c r="D1766" s="2" t="str">
        <x:v>도적</x:v>
      </x:c>
      <x:c r="E1766" s="2" t="n">
        <x:v>4</x:v>
      </x:c>
      <x:c r="F1766" s="2" t="n">
        <x:v>2</x:v>
      </x:c>
      <x:c r="G1766" s="14" t="n">
        <x:f>('레벨 계산식'!$E$4-E1766)*'레벨 계산식'!$B$5</x:f>
        <x:v>0.13999999999999999</x:v>
      </x:c>
      <x:c r="H1766" s="14" t="n">
        <x:f>('등급 계산식'!$E$4-F1766)*'등급 계산식'!$B$5</x:f>
        <x:v>0.18000000000000005</x:v>
      </x:c>
      <x:c r="I1766" s="14" t="n">
        <x:f>1-G1766-H1766</x:f>
        <x:v>0.6799999999999999</x:v>
      </x:c>
      <x:c r="J1766" s="2" t="n">
        <x:f>MAX(1,ROUND('기준스탯 72종'!D78-R1766-Z1766,0))</x:f>
        <x:v>5</x:v>
      </x:c>
      <x:c r="K1766" s="2" t="n">
        <x:f>MAX(1,ROUND('기준스탯 72종'!E78-S1766-AA1766,0))</x:f>
        <x:v>5</x:v>
      </x:c>
      <x:c r="L1766" s="2" t="n">
        <x:f>MAX(1,ROUND('기준스탯 72종'!F78-T1766-AB1766,0))</x:f>
        <x:v>5</x:v>
      </x:c>
      <x:c r="M1766" s="2" t="n">
        <x:f>MAX(1,ROUND('기준스탯 72종'!G78-U1766-AC1766,0))</x:f>
        <x:v>6</x:v>
      </x:c>
      <x:c r="N1766" s="2" t="n">
        <x:f>MAX(0,ROUND('기준스탯 72종'!H78-V1766-AD1766,0))</x:f>
        <x:v>3</x:v>
      </x:c>
      <x:c r="O1766" s="2" t="n">
        <x:f>MAX(0,ROUND('기준스탯 72종'!I78-W1766-AE1766,0))</x:f>
        <x:v>4</x:v>
      </x:c>
      <x:c r="P1766" s="2" t="n">
        <x:f>MAX(0,ROUND('기준스탯 72종'!J78-X1766-AF1766,0))</x:f>
        <x:v>2</x:v>
      </x:c>
      <x:c r="Q1766" s="2" t="n">
        <x:f>MAX(0,ROUND('기준스탯 72종'!K78-Y1766-AG1766,0))</x:f>
        <x:v>2</x:v>
      </x:c>
      <x:c r="R1766" s="15" t="n">
        <x:f>'기준스탯 72종'!D78*G1766</x:f>
        <x:v>0.9799999999999999</x:v>
      </x:c>
      <x:c r="S1766" s="15" t="n">
        <x:f>'기준스탯 72종'!E78*G1766</x:f>
        <x:v>0.9799999999999999</x:v>
      </x:c>
      <x:c r="T1766" s="15" t="n">
        <x:f>'기준스탯 72종'!F78*G1766</x:f>
        <x:v>0.9799999999999999</x:v>
      </x:c>
      <x:c r="U1766" s="15" t="n">
        <x:f>'기준스탯 72종'!G78*G1766</x:f>
        <x:v>1.2599999999999998</x:v>
      </x:c>
      <x:c r="V1766" s="15" t="n">
        <x:f>'기준스탯 72종'!H78*G1766</x:f>
        <x:v>0.5599999999999999</x:v>
      </x:c>
      <x:c r="W1766" s="15" t="n">
        <x:f>'기준스탯 72종'!I78*G1766</x:f>
        <x:v>0.8399999999999999</x:v>
      </x:c>
      <x:c r="X1766" s="15" t="n">
        <x:f>'기준스탯 72종'!J78*G1766</x:f>
        <x:v>0.41999999999999993</x:v>
      </x:c>
      <x:c r="Y1766" s="15" t="n">
        <x:f>'기준스탯 72종'!K78*G1766</x:f>
        <x:v>0.41999999999999993</x:v>
      </x:c>
      <x:c r="Z1766" s="15" t="n">
        <x:f>'기준스탯 72종'!D78*H1766</x:f>
        <x:v>1.2600000000000002</x:v>
      </x:c>
      <x:c r="AA1766" s="15" t="n">
        <x:f>'기준스탯 72종'!E78*H1766</x:f>
        <x:v>1.2600000000000002</x:v>
      </x:c>
      <x:c r="AB1766" s="15" t="n">
        <x:f>'기준스탯 72종'!F78*H1766</x:f>
        <x:v>1.2600000000000002</x:v>
      </x:c>
      <x:c r="AC1766" s="15" t="n">
        <x:f>'기준스탯 72종'!G78*H1766</x:f>
        <x:v>1.6200000000000006</x:v>
      </x:c>
      <x:c r="AD1766" s="15" t="n">
        <x:f>'기준스탯 72종'!H78*H1766</x:f>
        <x:v>0.7200000000000002</x:v>
      </x:c>
      <x:c r="AE1766" s="15" t="n">
        <x:f>'기준스탯 72종'!I78*H1766</x:f>
        <x:v>1.0800000000000003</x:v>
      </x:c>
      <x:c r="AF1766" s="15" t="n">
        <x:f>'기준스탯 72종'!J78*H1766</x:f>
        <x:v>0.5400000000000001</x:v>
      </x:c>
      <x:c r="AG1766" s="15" t="n">
        <x:f>'기준스탯 72종'!K78*H1766</x:f>
        <x:v>0.5400000000000001</x:v>
      </x:c>
    </x:row>
    <x:row r="1767" ht="28" customHeight="1">
      <x:c r="A1767" s="2" t="n">
        <x:v>1760</x:v>
      </x:c>
      <x:c r="B1767" s="2" t="n">
        <x:v>71</x:v>
      </x:c>
      <x:c r="C1767" s="2" t="str">
        <x:v>물고기자리</x:v>
      </x:c>
      <x:c r="D1767" s="2" t="str">
        <x:v>도적</x:v>
      </x:c>
      <x:c r="E1767" s="2" t="n">
        <x:v>5</x:v>
      </x:c>
      <x:c r="F1767" s="2" t="n">
        <x:v>2</x:v>
      </x:c>
      <x:c r="G1767" s="14" t="n">
        <x:f>('레벨 계산식'!$E$4-E1767)*'레벨 계산식'!$B$5</x:f>
        <x:v>0</x:v>
      </x:c>
      <x:c r="H1767" s="14" t="n">
        <x:f>('등급 계산식'!$E$4-F1767)*'등급 계산식'!$B$5</x:f>
        <x:v>0.18000000000000005</x:v>
      </x:c>
      <x:c r="I1767" s="14" t="n">
        <x:f>1-G1767-H1767</x:f>
        <x:v>0.82</x:v>
      </x:c>
      <x:c r="J1767" s="2" t="n">
        <x:f>MAX(1,ROUND('기준스탯 72종'!D78-R1767-Z1767,0))</x:f>
        <x:v>6</x:v>
      </x:c>
      <x:c r="K1767" s="2" t="n">
        <x:f>MAX(1,ROUND('기준스탯 72종'!E78-S1767-AA1767,0))</x:f>
        <x:v>6</x:v>
      </x:c>
      <x:c r="L1767" s="2" t="n">
        <x:f>MAX(1,ROUND('기준스탯 72종'!F78-T1767-AB1767,0))</x:f>
        <x:v>6</x:v>
      </x:c>
      <x:c r="M1767" s="2" t="n">
        <x:f>MAX(1,ROUND('기준스탯 72종'!G78-U1767-AC1767,0))</x:f>
        <x:v>7</x:v>
      </x:c>
      <x:c r="N1767" s="2" t="n">
        <x:f>MAX(0,ROUND('기준스탯 72종'!H78-V1767-AD1767,0))</x:f>
        <x:v>3</x:v>
      </x:c>
      <x:c r="O1767" s="2" t="n">
        <x:f>MAX(0,ROUND('기준스탯 72종'!I78-W1767-AE1767,0))</x:f>
        <x:v>5</x:v>
      </x:c>
      <x:c r="P1767" s="2" t="n">
        <x:f>MAX(0,ROUND('기준스탯 72종'!J78-X1767-AF1767,0))</x:f>
        <x:v>2</x:v>
      </x:c>
      <x:c r="Q1767" s="2" t="n">
        <x:f>MAX(0,ROUND('기준스탯 72종'!K78-Y1767-AG1767,0))</x:f>
        <x:v>2</x:v>
      </x:c>
      <x:c r="R1767" s="15" t="n">
        <x:f>'기준스탯 72종'!D78*G1767</x:f>
        <x:v>0</x:v>
      </x:c>
      <x:c r="S1767" s="15" t="n">
        <x:f>'기준스탯 72종'!E78*G1767</x:f>
        <x:v>0</x:v>
      </x:c>
      <x:c r="T1767" s="15" t="n">
        <x:f>'기준스탯 72종'!F78*G1767</x:f>
        <x:v>0</x:v>
      </x:c>
      <x:c r="U1767" s="15" t="n">
        <x:f>'기준스탯 72종'!G78*G1767</x:f>
        <x:v>0</x:v>
      </x:c>
      <x:c r="V1767" s="15" t="n">
        <x:f>'기준스탯 72종'!H78*G1767</x:f>
        <x:v>0</x:v>
      </x:c>
      <x:c r="W1767" s="15" t="n">
        <x:f>'기준스탯 72종'!I78*G1767</x:f>
        <x:v>0</x:v>
      </x:c>
      <x:c r="X1767" s="15" t="n">
        <x:f>'기준스탯 72종'!J78*G1767</x:f>
        <x:v>0</x:v>
      </x:c>
      <x:c r="Y1767" s="15" t="n">
        <x:f>'기준스탯 72종'!K78*G1767</x:f>
        <x:v>0</x:v>
      </x:c>
      <x:c r="Z1767" s="15" t="n">
        <x:f>'기준스탯 72종'!D78*H1767</x:f>
        <x:v>1.2600000000000002</x:v>
      </x:c>
      <x:c r="AA1767" s="15" t="n">
        <x:f>'기준스탯 72종'!E78*H1767</x:f>
        <x:v>1.2600000000000002</x:v>
      </x:c>
      <x:c r="AB1767" s="15" t="n">
        <x:f>'기준스탯 72종'!F78*H1767</x:f>
        <x:v>1.2600000000000002</x:v>
      </x:c>
      <x:c r="AC1767" s="15" t="n">
        <x:f>'기준스탯 72종'!G78*H1767</x:f>
        <x:v>1.6200000000000006</x:v>
      </x:c>
      <x:c r="AD1767" s="15" t="n">
        <x:f>'기준스탯 72종'!H78*H1767</x:f>
        <x:v>0.7200000000000002</x:v>
      </x:c>
      <x:c r="AE1767" s="15" t="n">
        <x:f>'기준스탯 72종'!I78*H1767</x:f>
        <x:v>1.0800000000000003</x:v>
      </x:c>
      <x:c r="AF1767" s="15" t="n">
        <x:f>'기준스탯 72종'!J78*H1767</x:f>
        <x:v>0.5400000000000001</x:v>
      </x:c>
      <x:c r="AG1767" s="15" t="n">
        <x:f>'기준스탯 72종'!K78*H1767</x:f>
        <x:v>0.5400000000000001</x:v>
      </x:c>
    </x:row>
    <x:row r="1768" ht="28" customHeight="1">
      <x:c r="A1768" s="2" t="n">
        <x:v>1761</x:v>
      </x:c>
      <x:c r="B1768" s="2" t="n">
        <x:v>71</x:v>
      </x:c>
      <x:c r="C1768" s="2" t="str">
        <x:v>물고기자리</x:v>
      </x:c>
      <x:c r="D1768" s="2" t="str">
        <x:v>도적</x:v>
      </x:c>
      <x:c r="E1768" s="2" t="n">
        <x:v>1</x:v>
      </x:c>
      <x:c r="F1768" s="2" t="n">
        <x:v>3</x:v>
      </x:c>
      <x:c r="G1768" s="14" t="n">
        <x:f>('레벨 계산식'!$E$4-E1768)*'레벨 계산식'!$B$5</x:f>
        <x:v>0.5599999999999999</x:v>
      </x:c>
      <x:c r="H1768" s="14" t="n">
        <x:f>('등급 계산식'!$E$4-F1768)*'등급 계산식'!$B$5</x:f>
        <x:v>0.12000000000000002</x:v>
      </x:c>
      <x:c r="I1768" s="14" t="n">
        <x:f>1-G1768-H1768</x:f>
        <x:v>0.32000000000000006</x:v>
      </x:c>
      <x:c r="J1768" s="2" t="n">
        <x:f>MAX(1,ROUND('기준스탯 72종'!D78-R1768-Z1768,0))</x:f>
        <x:v>2</x:v>
      </x:c>
      <x:c r="K1768" s="2" t="n">
        <x:f>MAX(1,ROUND('기준스탯 72종'!E78-S1768-AA1768,0))</x:f>
        <x:v>2</x:v>
      </x:c>
      <x:c r="L1768" s="2" t="n">
        <x:f>MAX(1,ROUND('기준스탯 72종'!F78-T1768-AB1768,0))</x:f>
        <x:v>2</x:v>
      </x:c>
      <x:c r="M1768" s="2" t="n">
        <x:f>MAX(1,ROUND('기준스탯 72종'!G78-U1768-AC1768,0))</x:f>
        <x:v>3</x:v>
      </x:c>
      <x:c r="N1768" s="2" t="n">
        <x:f>MAX(0,ROUND('기준스탯 72종'!H78-V1768-AD1768,0))</x:f>
        <x:v>1</x:v>
      </x:c>
      <x:c r="O1768" s="2" t="n">
        <x:f>MAX(0,ROUND('기준스탯 72종'!I78-W1768-AE1768,0))</x:f>
        <x:v>2</x:v>
      </x:c>
      <x:c r="P1768" s="2" t="n">
        <x:f>MAX(0,ROUND('기준스탯 72종'!J78-X1768-AF1768,0))</x:f>
        <x:v>1</x:v>
      </x:c>
      <x:c r="Q1768" s="2" t="n">
        <x:f>MAX(0,ROUND('기준스탯 72종'!K78-Y1768-AG1768,0))</x:f>
        <x:v>1</x:v>
      </x:c>
      <x:c r="R1768" s="15" t="n">
        <x:f>'기준스탯 72종'!D78*G1768</x:f>
        <x:v>3.9199999999999995</x:v>
      </x:c>
      <x:c r="S1768" s="15" t="n">
        <x:f>'기준스탯 72종'!E78*G1768</x:f>
        <x:v>3.9199999999999995</x:v>
      </x:c>
      <x:c r="T1768" s="15" t="n">
        <x:f>'기준스탯 72종'!F78*G1768</x:f>
        <x:v>3.9199999999999995</x:v>
      </x:c>
      <x:c r="U1768" s="15" t="n">
        <x:f>'기준스탯 72종'!G78*G1768</x:f>
        <x:v>5.039999999999999</x:v>
      </x:c>
      <x:c r="V1768" s="15" t="n">
        <x:f>'기준스탯 72종'!H78*G1768</x:f>
        <x:v>2.2399999999999998</x:v>
      </x:c>
      <x:c r="W1768" s="15" t="n">
        <x:f>'기준스탯 72종'!I78*G1768</x:f>
        <x:v>3.3599999999999994</x:v>
      </x:c>
      <x:c r="X1768" s="15" t="n">
        <x:f>'기준스탯 72종'!J78*G1768</x:f>
        <x:v>1.6799999999999997</x:v>
      </x:c>
      <x:c r="Y1768" s="15" t="n">
        <x:f>'기준스탯 72종'!K78*G1768</x:f>
        <x:v>1.6799999999999997</x:v>
      </x:c>
      <x:c r="Z1768" s="15" t="n">
        <x:f>'기준스탯 72종'!D78*H1768</x:f>
        <x:v>0.8400000000000002</x:v>
      </x:c>
      <x:c r="AA1768" s="15" t="n">
        <x:f>'기준스탯 72종'!E78*H1768</x:f>
        <x:v>0.8400000000000002</x:v>
      </x:c>
      <x:c r="AB1768" s="15" t="n">
        <x:f>'기준스탯 72종'!F78*H1768</x:f>
        <x:v>0.8400000000000002</x:v>
      </x:c>
      <x:c r="AC1768" s="15" t="n">
        <x:f>'기준스탯 72종'!G78*H1768</x:f>
        <x:v>1.0800000000000003</x:v>
      </x:c>
      <x:c r="AD1768" s="15" t="n">
        <x:f>'기준스탯 72종'!H78*H1768</x:f>
        <x:v>0.4800000000000001</x:v>
      </x:c>
      <x:c r="AE1768" s="15" t="n">
        <x:f>'기준스탯 72종'!I78*H1768</x:f>
        <x:v>0.7200000000000002</x:v>
      </x:c>
      <x:c r="AF1768" s="15" t="n">
        <x:f>'기준스탯 72종'!J78*H1768</x:f>
        <x:v>0.3600000000000001</x:v>
      </x:c>
      <x:c r="AG1768" s="15" t="n">
        <x:f>'기준스탯 72종'!K78*H1768</x:f>
        <x:v>0.3600000000000001</x:v>
      </x:c>
    </x:row>
    <x:row r="1769" ht="28" customHeight="1">
      <x:c r="A1769" s="2" t="n">
        <x:v>1762</x:v>
      </x:c>
      <x:c r="B1769" s="2" t="n">
        <x:v>71</x:v>
      </x:c>
      <x:c r="C1769" s="2" t="str">
        <x:v>물고기자리</x:v>
      </x:c>
      <x:c r="D1769" s="2" t="str">
        <x:v>도적</x:v>
      </x:c>
      <x:c r="E1769" s="2" t="n">
        <x:v>2</x:v>
      </x:c>
      <x:c r="F1769" s="2" t="n">
        <x:v>3</x:v>
      </x:c>
      <x:c r="G1769" s="14" t="n">
        <x:f>('레벨 계산식'!$E$4-E1769)*'레벨 계산식'!$B$5</x:f>
        <x:v>0.41999999999999993</x:v>
      </x:c>
      <x:c r="H1769" s="14" t="n">
        <x:f>('등급 계산식'!$E$4-F1769)*'등급 계산식'!$B$5</x:f>
        <x:v>0.12000000000000002</x:v>
      </x:c>
      <x:c r="I1769" s="14" t="n">
        <x:f>1-G1769-H1769</x:f>
        <x:v>0.4600000000000001</x:v>
      </x:c>
      <x:c r="J1769" s="2" t="n">
        <x:f>MAX(1,ROUND('기준스탯 72종'!D78-R1769-Z1769,0))</x:f>
        <x:v>3</x:v>
      </x:c>
      <x:c r="K1769" s="2" t="n">
        <x:f>MAX(1,ROUND('기준스탯 72종'!E78-S1769-AA1769,0))</x:f>
        <x:v>3</x:v>
      </x:c>
      <x:c r="L1769" s="2" t="n">
        <x:f>MAX(1,ROUND('기준스탯 72종'!F78-T1769-AB1769,0))</x:f>
        <x:v>3</x:v>
      </x:c>
      <x:c r="M1769" s="2" t="n">
        <x:f>MAX(1,ROUND('기준스탯 72종'!G78-U1769-AC1769,0))</x:f>
        <x:v>4</x:v>
      </x:c>
      <x:c r="N1769" s="2" t="n">
        <x:f>MAX(0,ROUND('기준스탯 72종'!H78-V1769-AD1769,0))</x:f>
        <x:v>2</x:v>
      </x:c>
      <x:c r="O1769" s="2" t="n">
        <x:f>MAX(0,ROUND('기준스탯 72종'!I78-W1769-AE1769,0))</x:f>
        <x:v>3</x:v>
      </x:c>
      <x:c r="P1769" s="2" t="n">
        <x:f>MAX(0,ROUND('기준스탯 72종'!J78-X1769-AF1769,0))</x:f>
        <x:v>1</x:v>
      </x:c>
      <x:c r="Q1769" s="2" t="n">
        <x:f>MAX(0,ROUND('기준스탯 72종'!K78-Y1769-AG1769,0))</x:f>
        <x:v>1</x:v>
      </x:c>
      <x:c r="R1769" s="15" t="n">
        <x:f>'기준스탯 72종'!D78*G1769</x:f>
        <x:v>2.9399999999999995</x:v>
      </x:c>
      <x:c r="S1769" s="15" t="n">
        <x:f>'기준스탯 72종'!E78*G1769</x:f>
        <x:v>2.9399999999999995</x:v>
      </x:c>
      <x:c r="T1769" s="15" t="n">
        <x:f>'기준스탯 72종'!F78*G1769</x:f>
        <x:v>2.9399999999999995</x:v>
      </x:c>
      <x:c r="U1769" s="15" t="n">
        <x:f>'기준스탯 72종'!G78*G1769</x:f>
        <x:v>3.7799999999999994</x:v>
      </x:c>
      <x:c r="V1769" s="15" t="n">
        <x:f>'기준스탯 72종'!H78*G1769</x:f>
        <x:v>1.6799999999999997</x:v>
      </x:c>
      <x:c r="W1769" s="15" t="n">
        <x:f>'기준스탯 72종'!I78*G1769</x:f>
        <x:v>2.5199999999999996</x:v>
      </x:c>
      <x:c r="X1769" s="15" t="n">
        <x:f>'기준스탯 72종'!J78*G1769</x:f>
        <x:v>1.2599999999999998</x:v>
      </x:c>
      <x:c r="Y1769" s="15" t="n">
        <x:f>'기준스탯 72종'!K78*G1769</x:f>
        <x:v>1.2599999999999998</x:v>
      </x:c>
      <x:c r="Z1769" s="15" t="n">
        <x:f>'기준스탯 72종'!D78*H1769</x:f>
        <x:v>0.8400000000000002</x:v>
      </x:c>
      <x:c r="AA1769" s="15" t="n">
        <x:f>'기준스탯 72종'!E78*H1769</x:f>
        <x:v>0.8400000000000002</x:v>
      </x:c>
      <x:c r="AB1769" s="15" t="n">
        <x:f>'기준스탯 72종'!F78*H1769</x:f>
        <x:v>0.8400000000000002</x:v>
      </x:c>
      <x:c r="AC1769" s="15" t="n">
        <x:f>'기준스탯 72종'!G78*H1769</x:f>
        <x:v>1.0800000000000003</x:v>
      </x:c>
      <x:c r="AD1769" s="15" t="n">
        <x:f>'기준스탯 72종'!H78*H1769</x:f>
        <x:v>0.4800000000000001</x:v>
      </x:c>
      <x:c r="AE1769" s="15" t="n">
        <x:f>'기준스탯 72종'!I78*H1769</x:f>
        <x:v>0.7200000000000002</x:v>
      </x:c>
      <x:c r="AF1769" s="15" t="n">
        <x:f>'기준스탯 72종'!J78*H1769</x:f>
        <x:v>0.3600000000000001</x:v>
      </x:c>
      <x:c r="AG1769" s="15" t="n">
        <x:f>'기준스탯 72종'!K78*H1769</x:f>
        <x:v>0.3600000000000001</x:v>
      </x:c>
    </x:row>
    <x:row r="1770" ht="28" customHeight="1">
      <x:c r="A1770" s="2" t="n">
        <x:v>1763</x:v>
      </x:c>
      <x:c r="B1770" s="2" t="n">
        <x:v>71</x:v>
      </x:c>
      <x:c r="C1770" s="2" t="str">
        <x:v>물고기자리</x:v>
      </x:c>
      <x:c r="D1770" s="2" t="str">
        <x:v>도적</x:v>
      </x:c>
      <x:c r="E1770" s="2" t="n">
        <x:v>3</x:v>
      </x:c>
      <x:c r="F1770" s="2" t="n">
        <x:v>3</x:v>
      </x:c>
      <x:c r="G1770" s="14" t="n">
        <x:f>('레벨 계산식'!$E$4-E1770)*'레벨 계산식'!$B$5</x:f>
        <x:v>0.27999999999999997</x:v>
      </x:c>
      <x:c r="H1770" s="14" t="n">
        <x:f>('등급 계산식'!$E$4-F1770)*'등급 계산식'!$B$5</x:f>
        <x:v>0.12000000000000002</x:v>
      </x:c>
      <x:c r="I1770" s="14" t="n">
        <x:f>1-G1770-H1770</x:f>
        <x:v>0.6</x:v>
      </x:c>
      <x:c r="J1770" s="2" t="n">
        <x:f>MAX(1,ROUND('기준스탯 72종'!D78-R1770-Z1770,0))</x:f>
        <x:v>4</x:v>
      </x:c>
      <x:c r="K1770" s="2" t="n">
        <x:f>MAX(1,ROUND('기준스탯 72종'!E78-S1770-AA1770,0))</x:f>
        <x:v>4</x:v>
      </x:c>
      <x:c r="L1770" s="2" t="n">
        <x:f>MAX(1,ROUND('기준스탯 72종'!F78-T1770-AB1770,0))</x:f>
        <x:v>4</x:v>
      </x:c>
      <x:c r="M1770" s="2" t="n">
        <x:f>MAX(1,ROUND('기준스탯 72종'!G78-U1770-AC1770,0))</x:f>
        <x:v>5</x:v>
      </x:c>
      <x:c r="N1770" s="2" t="n">
        <x:f>MAX(0,ROUND('기준스탯 72종'!H78-V1770-AD1770,0))</x:f>
        <x:v>2</x:v>
      </x:c>
      <x:c r="O1770" s="2" t="n">
        <x:f>MAX(0,ROUND('기준스탯 72종'!I78-W1770-AE1770,0))</x:f>
        <x:v>4</x:v>
      </x:c>
      <x:c r="P1770" s="2" t="n">
        <x:f>MAX(0,ROUND('기준스탯 72종'!J78-X1770-AF1770,0))</x:f>
        <x:v>2</x:v>
      </x:c>
      <x:c r="Q1770" s="2" t="n">
        <x:f>MAX(0,ROUND('기준스탯 72종'!K78-Y1770-AG1770,0))</x:f>
        <x:v>2</x:v>
      </x:c>
      <x:c r="R1770" s="15" t="n">
        <x:f>'기준스탯 72종'!D78*G1770</x:f>
        <x:v>1.9599999999999997</x:v>
      </x:c>
      <x:c r="S1770" s="15" t="n">
        <x:f>'기준스탯 72종'!E78*G1770</x:f>
        <x:v>1.9599999999999997</x:v>
      </x:c>
      <x:c r="T1770" s="15" t="n">
        <x:f>'기준스탯 72종'!F78*G1770</x:f>
        <x:v>1.9599999999999997</x:v>
      </x:c>
      <x:c r="U1770" s="15" t="n">
        <x:f>'기준스탯 72종'!G78*G1770</x:f>
        <x:v>2.5199999999999996</x:v>
      </x:c>
      <x:c r="V1770" s="15" t="n">
        <x:f>'기준스탯 72종'!H78*G1770</x:f>
        <x:v>1.1199999999999999</x:v>
      </x:c>
      <x:c r="W1770" s="15" t="n">
        <x:f>'기준스탯 72종'!I78*G1770</x:f>
        <x:v>1.6799999999999997</x:v>
      </x:c>
      <x:c r="X1770" s="15" t="n">
        <x:f>'기준스탯 72종'!J78*G1770</x:f>
        <x:v>0.8399999999999999</x:v>
      </x:c>
      <x:c r="Y1770" s="15" t="n">
        <x:f>'기준스탯 72종'!K78*G1770</x:f>
        <x:v>0.8399999999999999</x:v>
      </x:c>
      <x:c r="Z1770" s="15" t="n">
        <x:f>'기준스탯 72종'!D78*H1770</x:f>
        <x:v>0.8400000000000002</x:v>
      </x:c>
      <x:c r="AA1770" s="15" t="n">
        <x:f>'기준스탯 72종'!E78*H1770</x:f>
        <x:v>0.8400000000000002</x:v>
      </x:c>
      <x:c r="AB1770" s="15" t="n">
        <x:f>'기준스탯 72종'!F78*H1770</x:f>
        <x:v>0.8400000000000002</x:v>
      </x:c>
      <x:c r="AC1770" s="15" t="n">
        <x:f>'기준스탯 72종'!G78*H1770</x:f>
        <x:v>1.0800000000000003</x:v>
      </x:c>
      <x:c r="AD1770" s="15" t="n">
        <x:f>'기준스탯 72종'!H78*H1770</x:f>
        <x:v>0.4800000000000001</x:v>
      </x:c>
      <x:c r="AE1770" s="15" t="n">
        <x:f>'기준스탯 72종'!I78*H1770</x:f>
        <x:v>0.7200000000000002</x:v>
      </x:c>
      <x:c r="AF1770" s="15" t="n">
        <x:f>'기준스탯 72종'!J78*H1770</x:f>
        <x:v>0.3600000000000001</x:v>
      </x:c>
      <x:c r="AG1770" s="15" t="n">
        <x:f>'기준스탯 72종'!K78*H1770</x:f>
        <x:v>0.3600000000000001</x:v>
      </x:c>
    </x:row>
    <x:row r="1771" ht="28" customHeight="1">
      <x:c r="A1771" s="2" t="n">
        <x:v>1764</x:v>
      </x:c>
      <x:c r="B1771" s="2" t="n">
        <x:v>71</x:v>
      </x:c>
      <x:c r="C1771" s="2" t="str">
        <x:v>물고기자리</x:v>
      </x:c>
      <x:c r="D1771" s="2" t="str">
        <x:v>도적</x:v>
      </x:c>
      <x:c r="E1771" s="2" t="n">
        <x:v>4</x:v>
      </x:c>
      <x:c r="F1771" s="2" t="n">
        <x:v>3</x:v>
      </x:c>
      <x:c r="G1771" s="14" t="n">
        <x:f>('레벨 계산식'!$E$4-E1771)*'레벨 계산식'!$B$5</x:f>
        <x:v>0.13999999999999999</x:v>
      </x:c>
      <x:c r="H1771" s="14" t="n">
        <x:f>('등급 계산식'!$E$4-F1771)*'등급 계산식'!$B$5</x:f>
        <x:v>0.12000000000000002</x:v>
      </x:c>
      <x:c r="I1771" s="14" t="n">
        <x:f>1-G1771-H1771</x:f>
        <x:v>0.74</x:v>
      </x:c>
      <x:c r="J1771" s="2" t="n">
        <x:f>MAX(1,ROUND('기준스탯 72종'!D78-R1771-Z1771,0))</x:f>
        <x:v>5</x:v>
      </x:c>
      <x:c r="K1771" s="2" t="n">
        <x:f>MAX(1,ROUND('기준스탯 72종'!E78-S1771-AA1771,0))</x:f>
        <x:v>5</x:v>
      </x:c>
      <x:c r="L1771" s="2" t="n">
        <x:f>MAX(1,ROUND('기준스탯 72종'!F78-T1771-AB1771,0))</x:f>
        <x:v>5</x:v>
      </x:c>
      <x:c r="M1771" s="2" t="n">
        <x:f>MAX(1,ROUND('기준스탯 72종'!G78-U1771-AC1771,0))</x:f>
        <x:v>7</x:v>
      </x:c>
      <x:c r="N1771" s="2" t="n">
        <x:f>MAX(0,ROUND('기준스탯 72종'!H78-V1771-AD1771,0))</x:f>
        <x:v>3</x:v>
      </x:c>
      <x:c r="O1771" s="2" t="n">
        <x:f>MAX(0,ROUND('기준스탯 72종'!I78-W1771-AE1771,0))</x:f>
        <x:v>4</x:v>
      </x:c>
      <x:c r="P1771" s="2" t="n">
        <x:f>MAX(0,ROUND('기준스탯 72종'!J78-X1771-AF1771,0))</x:f>
        <x:v>2</x:v>
      </x:c>
      <x:c r="Q1771" s="2" t="n">
        <x:f>MAX(0,ROUND('기준스탯 72종'!K78-Y1771-AG1771,0))</x:f>
        <x:v>2</x:v>
      </x:c>
      <x:c r="R1771" s="15" t="n">
        <x:f>'기준스탯 72종'!D78*G1771</x:f>
        <x:v>0.9799999999999999</x:v>
      </x:c>
      <x:c r="S1771" s="15" t="n">
        <x:f>'기준스탯 72종'!E78*G1771</x:f>
        <x:v>0.9799999999999999</x:v>
      </x:c>
      <x:c r="T1771" s="15" t="n">
        <x:f>'기준스탯 72종'!F78*G1771</x:f>
        <x:v>0.9799999999999999</x:v>
      </x:c>
      <x:c r="U1771" s="15" t="n">
        <x:f>'기준스탯 72종'!G78*G1771</x:f>
        <x:v>1.2599999999999998</x:v>
      </x:c>
      <x:c r="V1771" s="15" t="n">
        <x:f>'기준스탯 72종'!H78*G1771</x:f>
        <x:v>0.5599999999999999</x:v>
      </x:c>
      <x:c r="W1771" s="15" t="n">
        <x:f>'기준스탯 72종'!I78*G1771</x:f>
        <x:v>0.8399999999999999</x:v>
      </x:c>
      <x:c r="X1771" s="15" t="n">
        <x:f>'기준스탯 72종'!J78*G1771</x:f>
        <x:v>0.41999999999999993</x:v>
      </x:c>
      <x:c r="Y1771" s="15" t="n">
        <x:f>'기준스탯 72종'!K78*G1771</x:f>
        <x:v>0.41999999999999993</x:v>
      </x:c>
      <x:c r="Z1771" s="15" t="n">
        <x:f>'기준스탯 72종'!D78*H1771</x:f>
        <x:v>0.8400000000000002</x:v>
      </x:c>
      <x:c r="AA1771" s="15" t="n">
        <x:f>'기준스탯 72종'!E78*H1771</x:f>
        <x:v>0.8400000000000002</x:v>
      </x:c>
      <x:c r="AB1771" s="15" t="n">
        <x:f>'기준스탯 72종'!F78*H1771</x:f>
        <x:v>0.8400000000000002</x:v>
      </x:c>
      <x:c r="AC1771" s="15" t="n">
        <x:f>'기준스탯 72종'!G78*H1771</x:f>
        <x:v>1.0800000000000003</x:v>
      </x:c>
      <x:c r="AD1771" s="15" t="n">
        <x:f>'기준스탯 72종'!H78*H1771</x:f>
        <x:v>0.4800000000000001</x:v>
      </x:c>
      <x:c r="AE1771" s="15" t="n">
        <x:f>'기준스탯 72종'!I78*H1771</x:f>
        <x:v>0.7200000000000002</x:v>
      </x:c>
      <x:c r="AF1771" s="15" t="n">
        <x:f>'기준스탯 72종'!J78*H1771</x:f>
        <x:v>0.3600000000000001</x:v>
      </x:c>
      <x:c r="AG1771" s="15" t="n">
        <x:f>'기준스탯 72종'!K78*H1771</x:f>
        <x:v>0.3600000000000001</x:v>
      </x:c>
    </x:row>
    <x:row r="1772" ht="28" customHeight="1">
      <x:c r="A1772" s="2" t="n">
        <x:v>1765</x:v>
      </x:c>
      <x:c r="B1772" s="2" t="n">
        <x:v>71</x:v>
      </x:c>
      <x:c r="C1772" s="2" t="str">
        <x:v>물고기자리</x:v>
      </x:c>
      <x:c r="D1772" s="2" t="str">
        <x:v>도적</x:v>
      </x:c>
      <x:c r="E1772" s="2" t="n">
        <x:v>5</x:v>
      </x:c>
      <x:c r="F1772" s="2" t="n">
        <x:v>3</x:v>
      </x:c>
      <x:c r="G1772" s="14" t="n">
        <x:f>('레벨 계산식'!$E$4-E1772)*'레벨 계산식'!$B$5</x:f>
        <x:v>0</x:v>
      </x:c>
      <x:c r="H1772" s="14" t="n">
        <x:f>('등급 계산식'!$E$4-F1772)*'등급 계산식'!$B$5</x:f>
        <x:v>0.12000000000000002</x:v>
      </x:c>
      <x:c r="I1772" s="14" t="n">
        <x:f>1-G1772-H1772</x:f>
        <x:v>0.88</x:v>
      </x:c>
      <x:c r="J1772" s="2" t="n">
        <x:f>MAX(1,ROUND('기준스탯 72종'!D78-R1772-Z1772,0))</x:f>
        <x:v>6</x:v>
      </x:c>
      <x:c r="K1772" s="2" t="n">
        <x:f>MAX(1,ROUND('기준스탯 72종'!E78-S1772-AA1772,0))</x:f>
        <x:v>6</x:v>
      </x:c>
      <x:c r="L1772" s="2" t="n">
        <x:f>MAX(1,ROUND('기준스탯 72종'!F78-T1772-AB1772,0))</x:f>
        <x:v>6</x:v>
      </x:c>
      <x:c r="M1772" s="2" t="n">
        <x:f>MAX(1,ROUND('기준스탯 72종'!G78-U1772-AC1772,0))</x:f>
        <x:v>8</x:v>
      </x:c>
      <x:c r="N1772" s="2" t="n">
        <x:f>MAX(0,ROUND('기준스탯 72종'!H78-V1772-AD1772,0))</x:f>
        <x:v>4</x:v>
      </x:c>
      <x:c r="O1772" s="2" t="n">
        <x:f>MAX(0,ROUND('기준스탯 72종'!I78-W1772-AE1772,0))</x:f>
        <x:v>5</x:v>
      </x:c>
      <x:c r="P1772" s="2" t="n">
        <x:f>MAX(0,ROUND('기준스탯 72종'!J78-X1772-AF1772,0))</x:f>
        <x:v>3</x:v>
      </x:c>
      <x:c r="Q1772" s="2" t="n">
        <x:f>MAX(0,ROUND('기준스탯 72종'!K78-Y1772-AG1772,0))</x:f>
        <x:v>3</x:v>
      </x:c>
      <x:c r="R1772" s="15" t="n">
        <x:f>'기준스탯 72종'!D78*G1772</x:f>
        <x:v>0</x:v>
      </x:c>
      <x:c r="S1772" s="15" t="n">
        <x:f>'기준스탯 72종'!E78*G1772</x:f>
        <x:v>0</x:v>
      </x:c>
      <x:c r="T1772" s="15" t="n">
        <x:f>'기준스탯 72종'!F78*G1772</x:f>
        <x:v>0</x:v>
      </x:c>
      <x:c r="U1772" s="15" t="n">
        <x:f>'기준스탯 72종'!G78*G1772</x:f>
        <x:v>0</x:v>
      </x:c>
      <x:c r="V1772" s="15" t="n">
        <x:f>'기준스탯 72종'!H78*G1772</x:f>
        <x:v>0</x:v>
      </x:c>
      <x:c r="W1772" s="15" t="n">
        <x:f>'기준스탯 72종'!I78*G1772</x:f>
        <x:v>0</x:v>
      </x:c>
      <x:c r="X1772" s="15" t="n">
        <x:f>'기준스탯 72종'!J78*G1772</x:f>
        <x:v>0</x:v>
      </x:c>
      <x:c r="Y1772" s="15" t="n">
        <x:f>'기준스탯 72종'!K78*G1772</x:f>
        <x:v>0</x:v>
      </x:c>
      <x:c r="Z1772" s="15" t="n">
        <x:f>'기준스탯 72종'!D78*H1772</x:f>
        <x:v>0.8400000000000002</x:v>
      </x:c>
      <x:c r="AA1772" s="15" t="n">
        <x:f>'기준스탯 72종'!E78*H1772</x:f>
        <x:v>0.8400000000000002</x:v>
      </x:c>
      <x:c r="AB1772" s="15" t="n">
        <x:f>'기준스탯 72종'!F78*H1772</x:f>
        <x:v>0.8400000000000002</x:v>
      </x:c>
      <x:c r="AC1772" s="15" t="n">
        <x:f>'기준스탯 72종'!G78*H1772</x:f>
        <x:v>1.0800000000000003</x:v>
      </x:c>
      <x:c r="AD1772" s="15" t="n">
        <x:f>'기준스탯 72종'!H78*H1772</x:f>
        <x:v>0.4800000000000001</x:v>
      </x:c>
      <x:c r="AE1772" s="15" t="n">
        <x:f>'기준스탯 72종'!I78*H1772</x:f>
        <x:v>0.7200000000000002</x:v>
      </x:c>
      <x:c r="AF1772" s="15" t="n">
        <x:f>'기준스탯 72종'!J78*H1772</x:f>
        <x:v>0.3600000000000001</x:v>
      </x:c>
      <x:c r="AG1772" s="15" t="n">
        <x:f>'기준스탯 72종'!K78*H1772</x:f>
        <x:v>0.3600000000000001</x:v>
      </x:c>
    </x:row>
    <x:row r="1773" ht="28" customHeight="1">
      <x:c r="A1773" s="2" t="n">
        <x:v>1766</x:v>
      </x:c>
      <x:c r="B1773" s="2" t="n">
        <x:v>71</x:v>
      </x:c>
      <x:c r="C1773" s="2" t="str">
        <x:v>물고기자리</x:v>
      </x:c>
      <x:c r="D1773" s="2" t="str">
        <x:v>도적</x:v>
      </x:c>
      <x:c r="E1773" s="2" t="n">
        <x:v>1</x:v>
      </x:c>
      <x:c r="F1773" s="2" t="n">
        <x:v>4</x:v>
      </x:c>
      <x:c r="G1773" s="14" t="n">
        <x:f>('레벨 계산식'!$E$4-E1773)*'레벨 계산식'!$B$5</x:f>
        <x:v>0.5599999999999999</x:v>
      </x:c>
      <x:c r="H1773" s="14" t="n">
        <x:f>('등급 계산식'!$E$4-F1773)*'등급 계산식'!$B$5</x:f>
        <x:v>0.06000000000000001</x:v>
      </x:c>
      <x:c r="I1773" s="14" t="n">
        <x:f>1-G1773-H1773</x:f>
        <x:v>0.38000000000000006</x:v>
      </x:c>
      <x:c r="J1773" s="2" t="n">
        <x:f>MAX(1,ROUND('기준스탯 72종'!D78-R1773-Z1773,0))</x:f>
        <x:v>3</x:v>
      </x:c>
      <x:c r="K1773" s="2" t="n">
        <x:f>MAX(1,ROUND('기준스탯 72종'!E78-S1773-AA1773,0))</x:f>
        <x:v>3</x:v>
      </x:c>
      <x:c r="L1773" s="2" t="n">
        <x:f>MAX(1,ROUND('기준스탯 72종'!F78-T1773-AB1773,0))</x:f>
        <x:v>3</x:v>
      </x:c>
      <x:c r="M1773" s="2" t="n">
        <x:f>MAX(1,ROUND('기준스탯 72종'!G78-U1773-AC1773,0))</x:f>
        <x:v>3</x:v>
      </x:c>
      <x:c r="N1773" s="2" t="n">
        <x:f>MAX(0,ROUND('기준스탯 72종'!H78-V1773-AD1773,0))</x:f>
        <x:v>2</x:v>
      </x:c>
      <x:c r="O1773" s="2" t="n">
        <x:f>MAX(0,ROUND('기준스탯 72종'!I78-W1773-AE1773,0))</x:f>
        <x:v>2</x:v>
      </x:c>
      <x:c r="P1773" s="2" t="n">
        <x:f>MAX(0,ROUND('기준스탯 72종'!J78-X1773-AF1773,0))</x:f>
        <x:v>1</x:v>
      </x:c>
      <x:c r="Q1773" s="2" t="n">
        <x:f>MAX(0,ROUND('기준스탯 72종'!K78-Y1773-AG1773,0))</x:f>
        <x:v>1</x:v>
      </x:c>
      <x:c r="R1773" s="15" t="n">
        <x:f>'기준스탯 72종'!D78*G1773</x:f>
        <x:v>3.9199999999999995</x:v>
      </x:c>
      <x:c r="S1773" s="15" t="n">
        <x:f>'기준스탯 72종'!E78*G1773</x:f>
        <x:v>3.9199999999999995</x:v>
      </x:c>
      <x:c r="T1773" s="15" t="n">
        <x:f>'기준스탯 72종'!F78*G1773</x:f>
        <x:v>3.9199999999999995</x:v>
      </x:c>
      <x:c r="U1773" s="15" t="n">
        <x:f>'기준스탯 72종'!G78*G1773</x:f>
        <x:v>5.039999999999999</x:v>
      </x:c>
      <x:c r="V1773" s="15" t="n">
        <x:f>'기준스탯 72종'!H78*G1773</x:f>
        <x:v>2.2399999999999998</x:v>
      </x:c>
      <x:c r="W1773" s="15" t="n">
        <x:f>'기준스탯 72종'!I78*G1773</x:f>
        <x:v>3.3599999999999994</x:v>
      </x:c>
      <x:c r="X1773" s="15" t="n">
        <x:f>'기준스탯 72종'!J78*G1773</x:f>
        <x:v>1.6799999999999997</x:v>
      </x:c>
      <x:c r="Y1773" s="15" t="n">
        <x:f>'기준스탯 72종'!K78*G1773</x:f>
        <x:v>1.6799999999999997</x:v>
      </x:c>
      <x:c r="Z1773" s="15" t="n">
        <x:f>'기준스탯 72종'!D78*H1773</x:f>
        <x:v>0.4200000000000001</x:v>
      </x:c>
      <x:c r="AA1773" s="15" t="n">
        <x:f>'기준스탯 72종'!E78*H1773</x:f>
        <x:v>0.4200000000000001</x:v>
      </x:c>
      <x:c r="AB1773" s="15" t="n">
        <x:f>'기준스탯 72종'!F78*H1773</x:f>
        <x:v>0.4200000000000001</x:v>
      </x:c>
      <x:c r="AC1773" s="15" t="n">
        <x:f>'기준스탯 72종'!G78*H1773</x:f>
        <x:v>0.5400000000000001</x:v>
      </x:c>
      <x:c r="AD1773" s="15" t="n">
        <x:f>'기준스탯 72종'!H78*H1773</x:f>
        <x:v>0.24000000000000005</x:v>
      </x:c>
      <x:c r="AE1773" s="15" t="n">
        <x:f>'기준스탯 72종'!I78*H1773</x:f>
        <x:v>0.3600000000000001</x:v>
      </x:c>
      <x:c r="AF1773" s="15" t="n">
        <x:f>'기준스탯 72종'!J78*H1773</x:f>
        <x:v>0.18000000000000005</x:v>
      </x:c>
      <x:c r="AG1773" s="15" t="n">
        <x:f>'기준스탯 72종'!K78*H1773</x:f>
        <x:v>0.18000000000000005</x:v>
      </x:c>
    </x:row>
    <x:row r="1774" ht="28" customHeight="1">
      <x:c r="A1774" s="2" t="n">
        <x:v>1767</x:v>
      </x:c>
      <x:c r="B1774" s="2" t="n">
        <x:v>71</x:v>
      </x:c>
      <x:c r="C1774" s="2" t="str">
        <x:v>물고기자리</x:v>
      </x:c>
      <x:c r="D1774" s="2" t="str">
        <x:v>도적</x:v>
      </x:c>
      <x:c r="E1774" s="2" t="n">
        <x:v>2</x:v>
      </x:c>
      <x:c r="F1774" s="2" t="n">
        <x:v>4</x:v>
      </x:c>
      <x:c r="G1774" s="14" t="n">
        <x:f>('레벨 계산식'!$E$4-E1774)*'레벨 계산식'!$B$5</x:f>
        <x:v>0.41999999999999993</x:v>
      </x:c>
      <x:c r="H1774" s="14" t="n">
        <x:f>('등급 계산식'!$E$4-F1774)*'등급 계산식'!$B$5</x:f>
        <x:v>0.06000000000000001</x:v>
      </x:c>
      <x:c r="I1774" s="14" t="n">
        <x:f>1-G1774-H1774</x:f>
        <x:v>0.52</x:v>
      </x:c>
      <x:c r="J1774" s="2" t="n">
        <x:f>MAX(1,ROUND('기준스탯 72종'!D78-R1774-Z1774,0))</x:f>
        <x:v>4</x:v>
      </x:c>
      <x:c r="K1774" s="2" t="n">
        <x:f>MAX(1,ROUND('기준스탯 72종'!E78-S1774-AA1774,0))</x:f>
        <x:v>4</x:v>
      </x:c>
      <x:c r="L1774" s="2" t="n">
        <x:f>MAX(1,ROUND('기준스탯 72종'!F78-T1774-AB1774,0))</x:f>
        <x:v>4</x:v>
      </x:c>
      <x:c r="M1774" s="2" t="n">
        <x:f>MAX(1,ROUND('기준스탯 72종'!G78-U1774-AC1774,0))</x:f>
        <x:v>5</x:v>
      </x:c>
      <x:c r="N1774" s="2" t="n">
        <x:f>MAX(0,ROUND('기준스탯 72종'!H78-V1774-AD1774,0))</x:f>
        <x:v>2</x:v>
      </x:c>
      <x:c r="O1774" s="2" t="n">
        <x:f>MAX(0,ROUND('기준스탯 72종'!I78-W1774-AE1774,0))</x:f>
        <x:v>3</x:v>
      </x:c>
      <x:c r="P1774" s="2" t="n">
        <x:f>MAX(0,ROUND('기준스탯 72종'!J78-X1774-AF1774,0))</x:f>
        <x:v>2</x:v>
      </x:c>
      <x:c r="Q1774" s="2" t="n">
        <x:f>MAX(0,ROUND('기준스탯 72종'!K78-Y1774-AG1774,0))</x:f>
        <x:v>2</x:v>
      </x:c>
      <x:c r="R1774" s="15" t="n">
        <x:f>'기준스탯 72종'!D78*G1774</x:f>
        <x:v>2.9399999999999995</x:v>
      </x:c>
      <x:c r="S1774" s="15" t="n">
        <x:f>'기준스탯 72종'!E78*G1774</x:f>
        <x:v>2.9399999999999995</x:v>
      </x:c>
      <x:c r="T1774" s="15" t="n">
        <x:f>'기준스탯 72종'!F78*G1774</x:f>
        <x:v>2.9399999999999995</x:v>
      </x:c>
      <x:c r="U1774" s="15" t="n">
        <x:f>'기준스탯 72종'!G78*G1774</x:f>
        <x:v>3.7799999999999994</x:v>
      </x:c>
      <x:c r="V1774" s="15" t="n">
        <x:f>'기준스탯 72종'!H78*G1774</x:f>
        <x:v>1.6799999999999997</x:v>
      </x:c>
      <x:c r="W1774" s="15" t="n">
        <x:f>'기준스탯 72종'!I78*G1774</x:f>
        <x:v>2.5199999999999996</x:v>
      </x:c>
      <x:c r="X1774" s="15" t="n">
        <x:f>'기준스탯 72종'!J78*G1774</x:f>
        <x:v>1.2599999999999998</x:v>
      </x:c>
      <x:c r="Y1774" s="15" t="n">
        <x:f>'기준스탯 72종'!K78*G1774</x:f>
        <x:v>1.2599999999999998</x:v>
      </x:c>
      <x:c r="Z1774" s="15" t="n">
        <x:f>'기준스탯 72종'!D78*H1774</x:f>
        <x:v>0.4200000000000001</x:v>
      </x:c>
      <x:c r="AA1774" s="15" t="n">
        <x:f>'기준스탯 72종'!E78*H1774</x:f>
        <x:v>0.4200000000000001</x:v>
      </x:c>
      <x:c r="AB1774" s="15" t="n">
        <x:f>'기준스탯 72종'!F78*H1774</x:f>
        <x:v>0.4200000000000001</x:v>
      </x:c>
      <x:c r="AC1774" s="15" t="n">
        <x:f>'기준스탯 72종'!G78*H1774</x:f>
        <x:v>0.5400000000000001</x:v>
      </x:c>
      <x:c r="AD1774" s="15" t="n">
        <x:f>'기준스탯 72종'!H78*H1774</x:f>
        <x:v>0.24000000000000005</x:v>
      </x:c>
      <x:c r="AE1774" s="15" t="n">
        <x:f>'기준스탯 72종'!I78*H1774</x:f>
        <x:v>0.3600000000000001</x:v>
      </x:c>
      <x:c r="AF1774" s="15" t="n">
        <x:f>'기준스탯 72종'!J78*H1774</x:f>
        <x:v>0.18000000000000005</x:v>
      </x:c>
      <x:c r="AG1774" s="15" t="n">
        <x:f>'기준스탯 72종'!K78*H1774</x:f>
        <x:v>0.18000000000000005</x:v>
      </x:c>
    </x:row>
    <x:row r="1775" ht="28" customHeight="1">
      <x:c r="A1775" s="2" t="n">
        <x:v>1768</x:v>
      </x:c>
      <x:c r="B1775" s="2" t="n">
        <x:v>71</x:v>
      </x:c>
      <x:c r="C1775" s="2" t="str">
        <x:v>물고기자리</x:v>
      </x:c>
      <x:c r="D1775" s="2" t="str">
        <x:v>도적</x:v>
      </x:c>
      <x:c r="E1775" s="2" t="n">
        <x:v>3</x:v>
      </x:c>
      <x:c r="F1775" s="2" t="n">
        <x:v>4</x:v>
      </x:c>
      <x:c r="G1775" s="14" t="n">
        <x:f>('레벨 계산식'!$E$4-E1775)*'레벨 계산식'!$B$5</x:f>
        <x:v>0.27999999999999997</x:v>
      </x:c>
      <x:c r="H1775" s="14" t="n">
        <x:f>('등급 계산식'!$E$4-F1775)*'등급 계산식'!$B$5</x:f>
        <x:v>0.06000000000000001</x:v>
      </x:c>
      <x:c r="I1775" s="14" t="n">
        <x:f>1-G1775-H1775</x:f>
        <x:v>0.6599999999999999</x:v>
      </x:c>
      <x:c r="J1775" s="2" t="n">
        <x:f>MAX(1,ROUND('기준스탯 72종'!D78-R1775-Z1775,0))</x:f>
        <x:v>5</x:v>
      </x:c>
      <x:c r="K1775" s="2" t="n">
        <x:f>MAX(1,ROUND('기준스탯 72종'!E78-S1775-AA1775,0))</x:f>
        <x:v>5</x:v>
      </x:c>
      <x:c r="L1775" s="2" t="n">
        <x:f>MAX(1,ROUND('기준스탯 72종'!F78-T1775-AB1775,0))</x:f>
        <x:v>5</x:v>
      </x:c>
      <x:c r="M1775" s="2" t="n">
        <x:f>MAX(1,ROUND('기준스탯 72종'!G78-U1775-AC1775,0))</x:f>
        <x:v>6</x:v>
      </x:c>
      <x:c r="N1775" s="2" t="n">
        <x:f>MAX(0,ROUND('기준스탯 72종'!H78-V1775-AD1775,0))</x:f>
        <x:v>3</x:v>
      </x:c>
      <x:c r="O1775" s="2" t="n">
        <x:f>MAX(0,ROUND('기준스탯 72종'!I78-W1775-AE1775,0))</x:f>
        <x:v>4</x:v>
      </x:c>
      <x:c r="P1775" s="2" t="n">
        <x:f>MAX(0,ROUND('기준스탯 72종'!J78-X1775-AF1775,0))</x:f>
        <x:v>2</x:v>
      </x:c>
      <x:c r="Q1775" s="2" t="n">
        <x:f>MAX(0,ROUND('기준스탯 72종'!K78-Y1775-AG1775,0))</x:f>
        <x:v>2</x:v>
      </x:c>
      <x:c r="R1775" s="15" t="n">
        <x:f>'기준스탯 72종'!D78*G1775</x:f>
        <x:v>1.9599999999999997</x:v>
      </x:c>
      <x:c r="S1775" s="15" t="n">
        <x:f>'기준스탯 72종'!E78*G1775</x:f>
        <x:v>1.9599999999999997</x:v>
      </x:c>
      <x:c r="T1775" s="15" t="n">
        <x:f>'기준스탯 72종'!F78*G1775</x:f>
        <x:v>1.9599999999999997</x:v>
      </x:c>
      <x:c r="U1775" s="15" t="n">
        <x:f>'기준스탯 72종'!G78*G1775</x:f>
        <x:v>2.5199999999999996</x:v>
      </x:c>
      <x:c r="V1775" s="15" t="n">
        <x:f>'기준스탯 72종'!H78*G1775</x:f>
        <x:v>1.1199999999999999</x:v>
      </x:c>
      <x:c r="W1775" s="15" t="n">
        <x:f>'기준스탯 72종'!I78*G1775</x:f>
        <x:v>1.6799999999999997</x:v>
      </x:c>
      <x:c r="X1775" s="15" t="n">
        <x:f>'기준스탯 72종'!J78*G1775</x:f>
        <x:v>0.8399999999999999</x:v>
      </x:c>
      <x:c r="Y1775" s="15" t="n">
        <x:f>'기준스탯 72종'!K78*G1775</x:f>
        <x:v>0.8399999999999999</x:v>
      </x:c>
      <x:c r="Z1775" s="15" t="n">
        <x:f>'기준스탯 72종'!D78*H1775</x:f>
        <x:v>0.4200000000000001</x:v>
      </x:c>
      <x:c r="AA1775" s="15" t="n">
        <x:f>'기준스탯 72종'!E78*H1775</x:f>
        <x:v>0.4200000000000001</x:v>
      </x:c>
      <x:c r="AB1775" s="15" t="n">
        <x:f>'기준스탯 72종'!F78*H1775</x:f>
        <x:v>0.4200000000000001</x:v>
      </x:c>
      <x:c r="AC1775" s="15" t="n">
        <x:f>'기준스탯 72종'!G78*H1775</x:f>
        <x:v>0.5400000000000001</x:v>
      </x:c>
      <x:c r="AD1775" s="15" t="n">
        <x:f>'기준스탯 72종'!H78*H1775</x:f>
        <x:v>0.24000000000000005</x:v>
      </x:c>
      <x:c r="AE1775" s="15" t="n">
        <x:f>'기준스탯 72종'!I78*H1775</x:f>
        <x:v>0.3600000000000001</x:v>
      </x:c>
      <x:c r="AF1775" s="15" t="n">
        <x:f>'기준스탯 72종'!J78*H1775</x:f>
        <x:v>0.18000000000000005</x:v>
      </x:c>
      <x:c r="AG1775" s="15" t="n">
        <x:f>'기준스탯 72종'!K78*H1775</x:f>
        <x:v>0.18000000000000005</x:v>
      </x:c>
    </x:row>
    <x:row r="1776" ht="28" customHeight="1">
      <x:c r="A1776" s="2" t="n">
        <x:v>1769</x:v>
      </x:c>
      <x:c r="B1776" s="2" t="n">
        <x:v>71</x:v>
      </x:c>
      <x:c r="C1776" s="2" t="str">
        <x:v>물고기자리</x:v>
      </x:c>
      <x:c r="D1776" s="2" t="str">
        <x:v>도적</x:v>
      </x:c>
      <x:c r="E1776" s="2" t="n">
        <x:v>4</x:v>
      </x:c>
      <x:c r="F1776" s="2" t="n">
        <x:v>4</x:v>
      </x:c>
      <x:c r="G1776" s="14" t="n">
        <x:f>('레벨 계산식'!$E$4-E1776)*'레벨 계산식'!$B$5</x:f>
        <x:v>0.13999999999999999</x:v>
      </x:c>
      <x:c r="H1776" s="14" t="n">
        <x:f>('등급 계산식'!$E$4-F1776)*'등급 계산식'!$B$5</x:f>
        <x:v>0.06000000000000001</x:v>
      </x:c>
      <x:c r="I1776" s="14" t="n">
        <x:f>1-G1776-H1776</x:f>
        <x:v>0.7999999999999999</x:v>
      </x:c>
      <x:c r="J1776" s="2" t="n">
        <x:f>MAX(1,ROUND('기준스탯 72종'!D78-R1776-Z1776,0))</x:f>
        <x:v>6</x:v>
      </x:c>
      <x:c r="K1776" s="2" t="n">
        <x:f>MAX(1,ROUND('기준스탯 72종'!E78-S1776-AA1776,0))</x:f>
        <x:v>6</x:v>
      </x:c>
      <x:c r="L1776" s="2" t="n">
        <x:f>MAX(1,ROUND('기준스탯 72종'!F78-T1776-AB1776,0))</x:f>
        <x:v>6</x:v>
      </x:c>
      <x:c r="M1776" s="2" t="n">
        <x:f>MAX(1,ROUND('기준스탯 72종'!G78-U1776-AC1776,0))</x:f>
        <x:v>7</x:v>
      </x:c>
      <x:c r="N1776" s="2" t="n">
        <x:f>MAX(0,ROUND('기준스탯 72종'!H78-V1776-AD1776,0))</x:f>
        <x:v>3</x:v>
      </x:c>
      <x:c r="O1776" s="2" t="n">
        <x:f>MAX(0,ROUND('기준스탯 72종'!I78-W1776-AE1776,0))</x:f>
        <x:v>5</x:v>
      </x:c>
      <x:c r="P1776" s="2" t="n">
        <x:f>MAX(0,ROUND('기준스탯 72종'!J78-X1776-AF1776,0))</x:f>
        <x:v>2</x:v>
      </x:c>
      <x:c r="Q1776" s="2" t="n">
        <x:f>MAX(0,ROUND('기준스탯 72종'!K78-Y1776-AG1776,0))</x:f>
        <x:v>2</x:v>
      </x:c>
      <x:c r="R1776" s="15" t="n">
        <x:f>'기준스탯 72종'!D78*G1776</x:f>
        <x:v>0.9799999999999999</x:v>
      </x:c>
      <x:c r="S1776" s="15" t="n">
        <x:f>'기준스탯 72종'!E78*G1776</x:f>
        <x:v>0.9799999999999999</x:v>
      </x:c>
      <x:c r="T1776" s="15" t="n">
        <x:f>'기준스탯 72종'!F78*G1776</x:f>
        <x:v>0.9799999999999999</x:v>
      </x:c>
      <x:c r="U1776" s="15" t="n">
        <x:f>'기준스탯 72종'!G78*G1776</x:f>
        <x:v>1.2599999999999998</x:v>
      </x:c>
      <x:c r="V1776" s="15" t="n">
        <x:f>'기준스탯 72종'!H78*G1776</x:f>
        <x:v>0.5599999999999999</x:v>
      </x:c>
      <x:c r="W1776" s="15" t="n">
        <x:f>'기준스탯 72종'!I78*G1776</x:f>
        <x:v>0.8399999999999999</x:v>
      </x:c>
      <x:c r="X1776" s="15" t="n">
        <x:f>'기준스탯 72종'!J78*G1776</x:f>
        <x:v>0.41999999999999993</x:v>
      </x:c>
      <x:c r="Y1776" s="15" t="n">
        <x:f>'기준스탯 72종'!K78*G1776</x:f>
        <x:v>0.41999999999999993</x:v>
      </x:c>
      <x:c r="Z1776" s="15" t="n">
        <x:f>'기준스탯 72종'!D78*H1776</x:f>
        <x:v>0.4200000000000001</x:v>
      </x:c>
      <x:c r="AA1776" s="15" t="n">
        <x:f>'기준스탯 72종'!E78*H1776</x:f>
        <x:v>0.4200000000000001</x:v>
      </x:c>
      <x:c r="AB1776" s="15" t="n">
        <x:f>'기준스탯 72종'!F78*H1776</x:f>
        <x:v>0.4200000000000001</x:v>
      </x:c>
      <x:c r="AC1776" s="15" t="n">
        <x:f>'기준스탯 72종'!G78*H1776</x:f>
        <x:v>0.5400000000000001</x:v>
      </x:c>
      <x:c r="AD1776" s="15" t="n">
        <x:f>'기준스탯 72종'!H78*H1776</x:f>
        <x:v>0.24000000000000005</x:v>
      </x:c>
      <x:c r="AE1776" s="15" t="n">
        <x:f>'기준스탯 72종'!I78*H1776</x:f>
        <x:v>0.3600000000000001</x:v>
      </x:c>
      <x:c r="AF1776" s="15" t="n">
        <x:f>'기준스탯 72종'!J78*H1776</x:f>
        <x:v>0.18000000000000005</x:v>
      </x:c>
      <x:c r="AG1776" s="15" t="n">
        <x:f>'기준스탯 72종'!K78*H1776</x:f>
        <x:v>0.18000000000000005</x:v>
      </x:c>
    </x:row>
    <x:row r="1777" ht="28" customHeight="1">
      <x:c r="A1777" s="2" t="n">
        <x:v>1770</x:v>
      </x:c>
      <x:c r="B1777" s="2" t="n">
        <x:v>71</x:v>
      </x:c>
      <x:c r="C1777" s="2" t="str">
        <x:v>물고기자리</x:v>
      </x:c>
      <x:c r="D1777" s="2" t="str">
        <x:v>도적</x:v>
      </x:c>
      <x:c r="E1777" s="2" t="n">
        <x:v>5</x:v>
      </x:c>
      <x:c r="F1777" s="2" t="n">
        <x:v>4</x:v>
      </x:c>
      <x:c r="G1777" s="14" t="n">
        <x:f>('레벨 계산식'!$E$4-E1777)*'레벨 계산식'!$B$5</x:f>
        <x:v>0</x:v>
      </x:c>
      <x:c r="H1777" s="14" t="n">
        <x:f>('등급 계산식'!$E$4-F1777)*'등급 계산식'!$B$5</x:f>
        <x:v>0.06000000000000001</x:v>
      </x:c>
      <x:c r="I1777" s="14" t="n">
        <x:f>1-G1777-H1777</x:f>
        <x:v>0.94</x:v>
      </x:c>
      <x:c r="J1777" s="2" t="n">
        <x:f>MAX(1,ROUND('기준스탯 72종'!D78-R1777-Z1777,0))</x:f>
        <x:v>7</x:v>
      </x:c>
      <x:c r="K1777" s="2" t="n">
        <x:f>MAX(1,ROUND('기준스탯 72종'!E78-S1777-AA1777,0))</x:f>
        <x:v>7</x:v>
      </x:c>
      <x:c r="L1777" s="2" t="n">
        <x:f>MAX(1,ROUND('기준스탯 72종'!F78-T1777-AB1777,0))</x:f>
        <x:v>7</x:v>
      </x:c>
      <x:c r="M1777" s="2" t="n">
        <x:f>MAX(1,ROUND('기준스탯 72종'!G78-U1777-AC1777,0))</x:f>
        <x:v>8</x:v>
      </x:c>
      <x:c r="N1777" s="2" t="n">
        <x:f>MAX(0,ROUND('기준스탯 72종'!H78-V1777-AD1777,0))</x:f>
        <x:v>4</x:v>
      </x:c>
      <x:c r="O1777" s="2" t="n">
        <x:f>MAX(0,ROUND('기준스탯 72종'!I78-W1777-AE1777,0))</x:f>
        <x:v>6</x:v>
      </x:c>
      <x:c r="P1777" s="2" t="n">
        <x:f>MAX(0,ROUND('기준스탯 72종'!J78-X1777-AF1777,0))</x:f>
        <x:v>3</x:v>
      </x:c>
      <x:c r="Q1777" s="2" t="n">
        <x:f>MAX(0,ROUND('기준스탯 72종'!K78-Y1777-AG1777,0))</x:f>
        <x:v>3</x:v>
      </x:c>
      <x:c r="R1777" s="15" t="n">
        <x:f>'기준스탯 72종'!D78*G1777</x:f>
        <x:v>0</x:v>
      </x:c>
      <x:c r="S1777" s="15" t="n">
        <x:f>'기준스탯 72종'!E78*G1777</x:f>
        <x:v>0</x:v>
      </x:c>
      <x:c r="T1777" s="15" t="n">
        <x:f>'기준스탯 72종'!F78*G1777</x:f>
        <x:v>0</x:v>
      </x:c>
      <x:c r="U1777" s="15" t="n">
        <x:f>'기준스탯 72종'!G78*G1777</x:f>
        <x:v>0</x:v>
      </x:c>
      <x:c r="V1777" s="15" t="n">
        <x:f>'기준스탯 72종'!H78*G1777</x:f>
        <x:v>0</x:v>
      </x:c>
      <x:c r="W1777" s="15" t="n">
        <x:f>'기준스탯 72종'!I78*G1777</x:f>
        <x:v>0</x:v>
      </x:c>
      <x:c r="X1777" s="15" t="n">
        <x:f>'기준스탯 72종'!J78*G1777</x:f>
        <x:v>0</x:v>
      </x:c>
      <x:c r="Y1777" s="15" t="n">
        <x:f>'기준스탯 72종'!K78*G1777</x:f>
        <x:v>0</x:v>
      </x:c>
      <x:c r="Z1777" s="15" t="n">
        <x:f>'기준스탯 72종'!D78*H1777</x:f>
        <x:v>0.4200000000000001</x:v>
      </x:c>
      <x:c r="AA1777" s="15" t="n">
        <x:f>'기준스탯 72종'!E78*H1777</x:f>
        <x:v>0.4200000000000001</x:v>
      </x:c>
      <x:c r="AB1777" s="15" t="n">
        <x:f>'기준스탯 72종'!F78*H1777</x:f>
        <x:v>0.4200000000000001</x:v>
      </x:c>
      <x:c r="AC1777" s="15" t="n">
        <x:f>'기준스탯 72종'!G78*H1777</x:f>
        <x:v>0.5400000000000001</x:v>
      </x:c>
      <x:c r="AD1777" s="15" t="n">
        <x:f>'기준스탯 72종'!H78*H1777</x:f>
        <x:v>0.24000000000000005</x:v>
      </x:c>
      <x:c r="AE1777" s="15" t="n">
        <x:f>'기준스탯 72종'!I78*H1777</x:f>
        <x:v>0.3600000000000001</x:v>
      </x:c>
      <x:c r="AF1777" s="15" t="n">
        <x:f>'기준스탯 72종'!J78*H1777</x:f>
        <x:v>0.18000000000000005</x:v>
      </x:c>
      <x:c r="AG1777" s="15" t="n">
        <x:f>'기준스탯 72종'!K78*H1777</x:f>
        <x:v>0.18000000000000005</x:v>
      </x:c>
    </x:row>
    <x:row r="1778" ht="28" customHeight="1">
      <x:c r="A1778" s="2" t="n">
        <x:v>1771</x:v>
      </x:c>
      <x:c r="B1778" s="2" t="n">
        <x:v>71</x:v>
      </x:c>
      <x:c r="C1778" s="2" t="str">
        <x:v>물고기자리</x:v>
      </x:c>
      <x:c r="D1778" s="2" t="str">
        <x:v>도적</x:v>
      </x:c>
      <x:c r="E1778" s="2" t="n">
        <x:v>1</x:v>
      </x:c>
      <x:c r="F1778" s="2" t="n">
        <x:v>5</x:v>
      </x:c>
      <x:c r="G1778" s="14" t="n">
        <x:f>('레벨 계산식'!$E$4-E1778)*'레벨 계산식'!$B$5</x:f>
        <x:v>0.5599999999999999</x:v>
      </x:c>
      <x:c r="H1778" s="14" t="n">
        <x:f>('등급 계산식'!$E$4-F1778)*'등급 계산식'!$B$5</x:f>
        <x:v>0</x:v>
      </x:c>
      <x:c r="I1778" s="14" t="n">
        <x:f>1-G1778-H1778</x:f>
        <x:v>0.44000000000000006</x:v>
      </x:c>
      <x:c r="J1778" s="2" t="n">
        <x:f>MAX(1,ROUND('기준스탯 72종'!D78-R1778-Z1778,0))</x:f>
        <x:v>3</x:v>
      </x:c>
      <x:c r="K1778" s="2" t="n">
        <x:f>MAX(1,ROUND('기준스탯 72종'!E78-S1778-AA1778,0))</x:f>
        <x:v>3</x:v>
      </x:c>
      <x:c r="L1778" s="2" t="n">
        <x:f>MAX(1,ROUND('기준스탯 72종'!F78-T1778-AB1778,0))</x:f>
        <x:v>3</x:v>
      </x:c>
      <x:c r="M1778" s="2" t="n">
        <x:f>MAX(1,ROUND('기준스탯 72종'!G78-U1778-AC1778,0))</x:f>
        <x:v>4</x:v>
      </x:c>
      <x:c r="N1778" s="2" t="n">
        <x:f>MAX(0,ROUND('기준스탯 72종'!H78-V1778-AD1778,0))</x:f>
        <x:v>2</x:v>
      </x:c>
      <x:c r="O1778" s="2" t="n">
        <x:f>MAX(0,ROUND('기준스탯 72종'!I78-W1778-AE1778,0))</x:f>
        <x:v>3</x:v>
      </x:c>
      <x:c r="P1778" s="2" t="n">
        <x:f>MAX(0,ROUND('기준스탯 72종'!J78-X1778-AF1778,0))</x:f>
        <x:v>1</x:v>
      </x:c>
      <x:c r="Q1778" s="2" t="n">
        <x:f>MAX(0,ROUND('기준스탯 72종'!K78-Y1778-AG1778,0))</x:f>
        <x:v>1</x:v>
      </x:c>
      <x:c r="R1778" s="15" t="n">
        <x:f>'기준스탯 72종'!D78*G1778</x:f>
        <x:v>3.9199999999999995</x:v>
      </x:c>
      <x:c r="S1778" s="15" t="n">
        <x:f>'기준스탯 72종'!E78*G1778</x:f>
        <x:v>3.9199999999999995</x:v>
      </x:c>
      <x:c r="T1778" s="15" t="n">
        <x:f>'기준스탯 72종'!F78*G1778</x:f>
        <x:v>3.9199999999999995</x:v>
      </x:c>
      <x:c r="U1778" s="15" t="n">
        <x:f>'기준스탯 72종'!G78*G1778</x:f>
        <x:v>5.039999999999999</x:v>
      </x:c>
      <x:c r="V1778" s="15" t="n">
        <x:f>'기준스탯 72종'!H78*G1778</x:f>
        <x:v>2.2399999999999998</x:v>
      </x:c>
      <x:c r="W1778" s="15" t="n">
        <x:f>'기준스탯 72종'!I78*G1778</x:f>
        <x:v>3.3599999999999994</x:v>
      </x:c>
      <x:c r="X1778" s="15" t="n">
        <x:f>'기준스탯 72종'!J78*G1778</x:f>
        <x:v>1.6799999999999997</x:v>
      </x:c>
      <x:c r="Y1778" s="15" t="n">
        <x:f>'기준스탯 72종'!K78*G1778</x:f>
        <x:v>1.6799999999999997</x:v>
      </x:c>
      <x:c r="Z1778" s="15" t="n">
        <x:f>'기준스탯 72종'!D78*H1778</x:f>
        <x:v>0</x:v>
      </x:c>
      <x:c r="AA1778" s="15" t="n">
        <x:f>'기준스탯 72종'!E78*H1778</x:f>
        <x:v>0</x:v>
      </x:c>
      <x:c r="AB1778" s="15" t="n">
        <x:f>'기준스탯 72종'!F78*H1778</x:f>
        <x:v>0</x:v>
      </x:c>
      <x:c r="AC1778" s="15" t="n">
        <x:f>'기준스탯 72종'!G78*H1778</x:f>
        <x:v>0</x:v>
      </x:c>
      <x:c r="AD1778" s="15" t="n">
        <x:f>'기준스탯 72종'!H78*H1778</x:f>
        <x:v>0</x:v>
      </x:c>
      <x:c r="AE1778" s="15" t="n">
        <x:f>'기준스탯 72종'!I78*H1778</x:f>
        <x:v>0</x:v>
      </x:c>
      <x:c r="AF1778" s="15" t="n">
        <x:f>'기준스탯 72종'!J78*H1778</x:f>
        <x:v>0</x:v>
      </x:c>
      <x:c r="AG1778" s="15" t="n">
        <x:f>'기준스탯 72종'!K78*H1778</x:f>
        <x:v>0</x:v>
      </x:c>
    </x:row>
    <x:row r="1779" ht="28" customHeight="1">
      <x:c r="A1779" s="2" t="n">
        <x:v>1772</x:v>
      </x:c>
      <x:c r="B1779" s="2" t="n">
        <x:v>71</x:v>
      </x:c>
      <x:c r="C1779" s="2" t="str">
        <x:v>물고기자리</x:v>
      </x:c>
      <x:c r="D1779" s="2" t="str">
        <x:v>도적</x:v>
      </x:c>
      <x:c r="E1779" s="2" t="n">
        <x:v>2</x:v>
      </x:c>
      <x:c r="F1779" s="2" t="n">
        <x:v>5</x:v>
      </x:c>
      <x:c r="G1779" s="14" t="n">
        <x:f>('레벨 계산식'!$E$4-E1779)*'레벨 계산식'!$B$5</x:f>
        <x:v>0.41999999999999993</x:v>
      </x:c>
      <x:c r="H1779" s="14" t="n">
        <x:f>('등급 계산식'!$E$4-F1779)*'등급 계산식'!$B$5</x:f>
        <x:v>0</x:v>
      </x:c>
      <x:c r="I1779" s="14" t="n">
        <x:f>1-G1779-H1779</x:f>
        <x:v>0.5800000000000001</x:v>
      </x:c>
      <x:c r="J1779" s="2" t="n">
        <x:f>MAX(1,ROUND('기준스탯 72종'!D78-R1779-Z1779,0))</x:f>
        <x:v>4</x:v>
      </x:c>
      <x:c r="K1779" s="2" t="n">
        <x:f>MAX(1,ROUND('기준스탯 72종'!E78-S1779-AA1779,0))</x:f>
        <x:v>4</x:v>
      </x:c>
      <x:c r="L1779" s="2" t="n">
        <x:f>MAX(1,ROUND('기준스탯 72종'!F78-T1779-AB1779,0))</x:f>
        <x:v>4</x:v>
      </x:c>
      <x:c r="M1779" s="2" t="n">
        <x:f>MAX(1,ROUND('기준스탯 72종'!G78-U1779-AC1779,0))</x:f>
        <x:v>5</x:v>
      </x:c>
      <x:c r="N1779" s="2" t="n">
        <x:f>MAX(0,ROUND('기준스탯 72종'!H78-V1779-AD1779,0))</x:f>
        <x:v>2</x:v>
      </x:c>
      <x:c r="O1779" s="2" t="n">
        <x:f>MAX(0,ROUND('기준스탯 72종'!I78-W1779-AE1779,0))</x:f>
        <x:v>3</x:v>
      </x:c>
      <x:c r="P1779" s="2" t="n">
        <x:f>MAX(0,ROUND('기준스탯 72종'!J78-X1779-AF1779,0))</x:f>
        <x:v>2</x:v>
      </x:c>
      <x:c r="Q1779" s="2" t="n">
        <x:f>MAX(0,ROUND('기준스탯 72종'!K78-Y1779-AG1779,0))</x:f>
        <x:v>2</x:v>
      </x:c>
      <x:c r="R1779" s="15" t="n">
        <x:f>'기준스탯 72종'!D78*G1779</x:f>
        <x:v>2.9399999999999995</x:v>
      </x:c>
      <x:c r="S1779" s="15" t="n">
        <x:f>'기준스탯 72종'!E78*G1779</x:f>
        <x:v>2.9399999999999995</x:v>
      </x:c>
      <x:c r="T1779" s="15" t="n">
        <x:f>'기준스탯 72종'!F78*G1779</x:f>
        <x:v>2.9399999999999995</x:v>
      </x:c>
      <x:c r="U1779" s="15" t="n">
        <x:f>'기준스탯 72종'!G78*G1779</x:f>
        <x:v>3.7799999999999994</x:v>
      </x:c>
      <x:c r="V1779" s="15" t="n">
        <x:f>'기준스탯 72종'!H78*G1779</x:f>
        <x:v>1.6799999999999997</x:v>
      </x:c>
      <x:c r="W1779" s="15" t="n">
        <x:f>'기준스탯 72종'!I78*G1779</x:f>
        <x:v>2.5199999999999996</x:v>
      </x:c>
      <x:c r="X1779" s="15" t="n">
        <x:f>'기준스탯 72종'!J78*G1779</x:f>
        <x:v>1.2599999999999998</x:v>
      </x:c>
      <x:c r="Y1779" s="15" t="n">
        <x:f>'기준스탯 72종'!K78*G1779</x:f>
        <x:v>1.2599999999999998</x:v>
      </x:c>
      <x:c r="Z1779" s="15" t="n">
        <x:f>'기준스탯 72종'!D78*H1779</x:f>
        <x:v>0</x:v>
      </x:c>
      <x:c r="AA1779" s="15" t="n">
        <x:f>'기준스탯 72종'!E78*H1779</x:f>
        <x:v>0</x:v>
      </x:c>
      <x:c r="AB1779" s="15" t="n">
        <x:f>'기준스탯 72종'!F78*H1779</x:f>
        <x:v>0</x:v>
      </x:c>
      <x:c r="AC1779" s="15" t="n">
        <x:f>'기준스탯 72종'!G78*H1779</x:f>
        <x:v>0</x:v>
      </x:c>
      <x:c r="AD1779" s="15" t="n">
        <x:f>'기준스탯 72종'!H78*H1779</x:f>
        <x:v>0</x:v>
      </x:c>
      <x:c r="AE1779" s="15" t="n">
        <x:f>'기준스탯 72종'!I78*H1779</x:f>
        <x:v>0</x:v>
      </x:c>
      <x:c r="AF1779" s="15" t="n">
        <x:f>'기준스탯 72종'!J78*H1779</x:f>
        <x:v>0</x:v>
      </x:c>
      <x:c r="AG1779" s="15" t="n">
        <x:f>'기준스탯 72종'!K78*H1779</x:f>
        <x:v>0</x:v>
      </x:c>
    </x:row>
    <x:row r="1780" ht="28" customHeight="1">
      <x:c r="A1780" s="2" t="n">
        <x:v>1773</x:v>
      </x:c>
      <x:c r="B1780" s="2" t="n">
        <x:v>71</x:v>
      </x:c>
      <x:c r="C1780" s="2" t="str">
        <x:v>물고기자리</x:v>
      </x:c>
      <x:c r="D1780" s="2" t="str">
        <x:v>도적</x:v>
      </x:c>
      <x:c r="E1780" s="2" t="n">
        <x:v>3</x:v>
      </x:c>
      <x:c r="F1780" s="2" t="n">
        <x:v>5</x:v>
      </x:c>
      <x:c r="G1780" s="14" t="n">
        <x:f>('레벨 계산식'!$E$4-E1780)*'레벨 계산식'!$B$5</x:f>
        <x:v>0.27999999999999997</x:v>
      </x:c>
      <x:c r="H1780" s="14" t="n">
        <x:f>('등급 계산식'!$E$4-F1780)*'등급 계산식'!$B$5</x:f>
        <x:v>0</x:v>
      </x:c>
      <x:c r="I1780" s="14" t="n">
        <x:f>1-G1780-H1780</x:f>
        <x:v>0.72</x:v>
      </x:c>
      <x:c r="J1780" s="2" t="n">
        <x:f>MAX(1,ROUND('기준스탯 72종'!D78-R1780-Z1780,0))</x:f>
        <x:v>5</x:v>
      </x:c>
      <x:c r="K1780" s="2" t="n">
        <x:f>MAX(1,ROUND('기준스탯 72종'!E78-S1780-AA1780,0))</x:f>
        <x:v>5</x:v>
      </x:c>
      <x:c r="L1780" s="2" t="n">
        <x:f>MAX(1,ROUND('기준스탯 72종'!F78-T1780-AB1780,0))</x:f>
        <x:v>5</x:v>
      </x:c>
      <x:c r="M1780" s="2" t="n">
        <x:f>MAX(1,ROUND('기준스탯 72종'!G78-U1780-AC1780,0))</x:f>
        <x:v>6</x:v>
      </x:c>
      <x:c r="N1780" s="2" t="n">
        <x:f>MAX(0,ROUND('기준스탯 72종'!H78-V1780-AD1780,0))</x:f>
        <x:v>3</x:v>
      </x:c>
      <x:c r="O1780" s="2" t="n">
        <x:f>MAX(0,ROUND('기준스탯 72종'!I78-W1780-AE1780,0))</x:f>
        <x:v>4</x:v>
      </x:c>
      <x:c r="P1780" s="2" t="n">
        <x:f>MAX(0,ROUND('기준스탯 72종'!J78-X1780-AF1780,0))</x:f>
        <x:v>2</x:v>
      </x:c>
      <x:c r="Q1780" s="2" t="n">
        <x:f>MAX(0,ROUND('기준스탯 72종'!K78-Y1780-AG1780,0))</x:f>
        <x:v>2</x:v>
      </x:c>
      <x:c r="R1780" s="15" t="n">
        <x:f>'기준스탯 72종'!D78*G1780</x:f>
        <x:v>1.9599999999999997</x:v>
      </x:c>
      <x:c r="S1780" s="15" t="n">
        <x:f>'기준스탯 72종'!E78*G1780</x:f>
        <x:v>1.9599999999999997</x:v>
      </x:c>
      <x:c r="T1780" s="15" t="n">
        <x:f>'기준스탯 72종'!F78*G1780</x:f>
        <x:v>1.9599999999999997</x:v>
      </x:c>
      <x:c r="U1780" s="15" t="n">
        <x:f>'기준스탯 72종'!G78*G1780</x:f>
        <x:v>2.5199999999999996</x:v>
      </x:c>
      <x:c r="V1780" s="15" t="n">
        <x:f>'기준스탯 72종'!H78*G1780</x:f>
        <x:v>1.1199999999999999</x:v>
      </x:c>
      <x:c r="W1780" s="15" t="n">
        <x:f>'기준스탯 72종'!I78*G1780</x:f>
        <x:v>1.6799999999999997</x:v>
      </x:c>
      <x:c r="X1780" s="15" t="n">
        <x:f>'기준스탯 72종'!J78*G1780</x:f>
        <x:v>0.8399999999999999</x:v>
      </x:c>
      <x:c r="Y1780" s="15" t="n">
        <x:f>'기준스탯 72종'!K78*G1780</x:f>
        <x:v>0.8399999999999999</x:v>
      </x:c>
      <x:c r="Z1780" s="15" t="n">
        <x:f>'기준스탯 72종'!D78*H1780</x:f>
        <x:v>0</x:v>
      </x:c>
      <x:c r="AA1780" s="15" t="n">
        <x:f>'기준스탯 72종'!E78*H1780</x:f>
        <x:v>0</x:v>
      </x:c>
      <x:c r="AB1780" s="15" t="n">
        <x:f>'기준스탯 72종'!F78*H1780</x:f>
        <x:v>0</x:v>
      </x:c>
      <x:c r="AC1780" s="15" t="n">
        <x:f>'기준스탯 72종'!G78*H1780</x:f>
        <x:v>0</x:v>
      </x:c>
      <x:c r="AD1780" s="15" t="n">
        <x:f>'기준스탯 72종'!H78*H1780</x:f>
        <x:v>0</x:v>
      </x:c>
      <x:c r="AE1780" s="15" t="n">
        <x:f>'기준스탯 72종'!I78*H1780</x:f>
        <x:v>0</x:v>
      </x:c>
      <x:c r="AF1780" s="15" t="n">
        <x:f>'기준스탯 72종'!J78*H1780</x:f>
        <x:v>0</x:v>
      </x:c>
      <x:c r="AG1780" s="15" t="n">
        <x:f>'기준스탯 72종'!K78*H1780</x:f>
        <x:v>0</x:v>
      </x:c>
    </x:row>
    <x:row r="1781" ht="28" customHeight="1">
      <x:c r="A1781" s="2" t="n">
        <x:v>1774</x:v>
      </x:c>
      <x:c r="B1781" s="2" t="n">
        <x:v>71</x:v>
      </x:c>
      <x:c r="C1781" s="2" t="str">
        <x:v>물고기자리</x:v>
      </x:c>
      <x:c r="D1781" s="2" t="str">
        <x:v>도적</x:v>
      </x:c>
      <x:c r="E1781" s="2" t="n">
        <x:v>4</x:v>
      </x:c>
      <x:c r="F1781" s="2" t="n">
        <x:v>5</x:v>
      </x:c>
      <x:c r="G1781" s="14" t="n">
        <x:f>('레벨 계산식'!$E$4-E1781)*'레벨 계산식'!$B$5</x:f>
        <x:v>0.13999999999999999</x:v>
      </x:c>
      <x:c r="H1781" s="14" t="n">
        <x:f>('등급 계산식'!$E$4-F1781)*'등급 계산식'!$B$5</x:f>
        <x:v>0</x:v>
      </x:c>
      <x:c r="I1781" s="14" t="n">
        <x:f>1-G1781-H1781</x:f>
        <x:v>0.86</x:v>
      </x:c>
      <x:c r="J1781" s="2" t="n">
        <x:f>MAX(1,ROUND('기준스탯 72종'!D78-R1781-Z1781,0))</x:f>
        <x:v>6</x:v>
      </x:c>
      <x:c r="K1781" s="2" t="n">
        <x:f>MAX(1,ROUND('기준스탯 72종'!E78-S1781-AA1781,0))</x:f>
        <x:v>6</x:v>
      </x:c>
      <x:c r="L1781" s="2" t="n">
        <x:f>MAX(1,ROUND('기준스탯 72종'!F78-T1781-AB1781,0))</x:f>
        <x:v>6</x:v>
      </x:c>
      <x:c r="M1781" s="2" t="n">
        <x:f>MAX(1,ROUND('기준스탯 72종'!G78-U1781-AC1781,0))</x:f>
        <x:v>8</x:v>
      </x:c>
      <x:c r="N1781" s="2" t="n">
        <x:f>MAX(0,ROUND('기준스탯 72종'!H78-V1781-AD1781,0))</x:f>
        <x:v>3</x:v>
      </x:c>
      <x:c r="O1781" s="2" t="n">
        <x:f>MAX(0,ROUND('기준스탯 72종'!I78-W1781-AE1781,0))</x:f>
        <x:v>5</x:v>
      </x:c>
      <x:c r="P1781" s="2" t="n">
        <x:f>MAX(0,ROUND('기준스탯 72종'!J78-X1781-AF1781,0))</x:f>
        <x:v>3</x:v>
      </x:c>
      <x:c r="Q1781" s="2" t="n">
        <x:f>MAX(0,ROUND('기준스탯 72종'!K78-Y1781-AG1781,0))</x:f>
        <x:v>3</x:v>
      </x:c>
      <x:c r="R1781" s="15" t="n">
        <x:f>'기준스탯 72종'!D78*G1781</x:f>
        <x:v>0.9799999999999999</x:v>
      </x:c>
      <x:c r="S1781" s="15" t="n">
        <x:f>'기준스탯 72종'!E78*G1781</x:f>
        <x:v>0.9799999999999999</x:v>
      </x:c>
      <x:c r="T1781" s="15" t="n">
        <x:f>'기준스탯 72종'!F78*G1781</x:f>
        <x:v>0.9799999999999999</x:v>
      </x:c>
      <x:c r="U1781" s="15" t="n">
        <x:f>'기준스탯 72종'!G78*G1781</x:f>
        <x:v>1.2599999999999998</x:v>
      </x:c>
      <x:c r="V1781" s="15" t="n">
        <x:f>'기준스탯 72종'!H78*G1781</x:f>
        <x:v>0.5599999999999999</x:v>
      </x:c>
      <x:c r="W1781" s="15" t="n">
        <x:f>'기준스탯 72종'!I78*G1781</x:f>
        <x:v>0.8399999999999999</x:v>
      </x:c>
      <x:c r="X1781" s="15" t="n">
        <x:f>'기준스탯 72종'!J78*G1781</x:f>
        <x:v>0.41999999999999993</x:v>
      </x:c>
      <x:c r="Y1781" s="15" t="n">
        <x:f>'기준스탯 72종'!K78*G1781</x:f>
        <x:v>0.41999999999999993</x:v>
      </x:c>
      <x:c r="Z1781" s="15" t="n">
        <x:f>'기준스탯 72종'!D78*H1781</x:f>
        <x:v>0</x:v>
      </x:c>
      <x:c r="AA1781" s="15" t="n">
        <x:f>'기준스탯 72종'!E78*H1781</x:f>
        <x:v>0</x:v>
      </x:c>
      <x:c r="AB1781" s="15" t="n">
        <x:f>'기준스탯 72종'!F78*H1781</x:f>
        <x:v>0</x:v>
      </x:c>
      <x:c r="AC1781" s="15" t="n">
        <x:f>'기준스탯 72종'!G78*H1781</x:f>
        <x:v>0</x:v>
      </x:c>
      <x:c r="AD1781" s="15" t="n">
        <x:f>'기준스탯 72종'!H78*H1781</x:f>
        <x:v>0</x:v>
      </x:c>
      <x:c r="AE1781" s="15" t="n">
        <x:f>'기준스탯 72종'!I78*H1781</x:f>
        <x:v>0</x:v>
      </x:c>
      <x:c r="AF1781" s="15" t="n">
        <x:f>'기준스탯 72종'!J78*H1781</x:f>
        <x:v>0</x:v>
      </x:c>
      <x:c r="AG1781" s="15" t="n">
        <x:f>'기준스탯 72종'!K78*H1781</x:f>
        <x:v>0</x:v>
      </x:c>
    </x:row>
    <x:row r="1782" ht="28" customHeight="1">
      <x:c r="A1782" s="2" t="n">
        <x:v>1775</x:v>
      </x:c>
      <x:c r="B1782" s="2" t="n">
        <x:v>71</x:v>
      </x:c>
      <x:c r="C1782" s="2" t="str">
        <x:v>물고기자리</x:v>
      </x:c>
      <x:c r="D1782" s="2" t="str">
        <x:v>도적</x:v>
      </x:c>
      <x:c r="E1782" s="2" t="n">
        <x:v>5</x:v>
      </x:c>
      <x:c r="F1782" s="2" t="n">
        <x:v>5</x:v>
      </x:c>
      <x:c r="G1782" s="14" t="n">
        <x:f>('레벨 계산식'!$E$4-E1782)*'레벨 계산식'!$B$5</x:f>
        <x:v>0</x:v>
      </x:c>
      <x:c r="H1782" s="14" t="n">
        <x:f>('등급 계산식'!$E$4-F1782)*'등급 계산식'!$B$5</x:f>
        <x:v>0</x:v>
      </x:c>
      <x:c r="I1782" s="14" t="n">
        <x:f>1-G1782-H1782</x:f>
        <x:v>1</x:v>
      </x:c>
      <x:c r="J1782" s="2" t="n">
        <x:f>MAX(1,ROUND('기준스탯 72종'!D78-R1782-Z1782,0))</x:f>
        <x:v>7</x:v>
      </x:c>
      <x:c r="K1782" s="2" t="n">
        <x:f>MAX(1,ROUND('기준스탯 72종'!E78-S1782-AA1782,0))</x:f>
        <x:v>7</x:v>
      </x:c>
      <x:c r="L1782" s="2" t="n">
        <x:f>MAX(1,ROUND('기준스탯 72종'!F78-T1782-AB1782,0))</x:f>
        <x:v>7</x:v>
      </x:c>
      <x:c r="M1782" s="2" t="n">
        <x:f>MAX(1,ROUND('기준스탯 72종'!G78-U1782-AC1782,0))</x:f>
        <x:v>9</x:v>
      </x:c>
      <x:c r="N1782" s="2" t="n">
        <x:f>MAX(0,ROUND('기준스탯 72종'!H78-V1782-AD1782,0))</x:f>
        <x:v>4</x:v>
      </x:c>
      <x:c r="O1782" s="2" t="n">
        <x:f>MAX(0,ROUND('기준스탯 72종'!I78-W1782-AE1782,0))</x:f>
        <x:v>6</x:v>
      </x:c>
      <x:c r="P1782" s="2" t="n">
        <x:f>MAX(0,ROUND('기준스탯 72종'!J78-X1782-AF1782,0))</x:f>
        <x:v>3</x:v>
      </x:c>
      <x:c r="Q1782" s="2" t="n">
        <x:f>MAX(0,ROUND('기준스탯 72종'!K78-Y1782-AG1782,0))</x:f>
        <x:v>3</x:v>
      </x:c>
      <x:c r="R1782" s="15" t="n">
        <x:f>'기준스탯 72종'!D78*G1782</x:f>
        <x:v>0</x:v>
      </x:c>
      <x:c r="S1782" s="15" t="n">
        <x:f>'기준스탯 72종'!E78*G1782</x:f>
        <x:v>0</x:v>
      </x:c>
      <x:c r="T1782" s="15" t="n">
        <x:f>'기준스탯 72종'!F78*G1782</x:f>
        <x:v>0</x:v>
      </x:c>
      <x:c r="U1782" s="15" t="n">
        <x:f>'기준스탯 72종'!G78*G1782</x:f>
        <x:v>0</x:v>
      </x:c>
      <x:c r="V1782" s="15" t="n">
        <x:f>'기준스탯 72종'!H78*G1782</x:f>
        <x:v>0</x:v>
      </x:c>
      <x:c r="W1782" s="15" t="n">
        <x:f>'기준스탯 72종'!I78*G1782</x:f>
        <x:v>0</x:v>
      </x:c>
      <x:c r="X1782" s="15" t="n">
        <x:f>'기준스탯 72종'!J78*G1782</x:f>
        <x:v>0</x:v>
      </x:c>
      <x:c r="Y1782" s="15" t="n">
        <x:f>'기준스탯 72종'!K78*G1782</x:f>
        <x:v>0</x:v>
      </x:c>
      <x:c r="Z1782" s="15" t="n">
        <x:f>'기준스탯 72종'!D78*H1782</x:f>
        <x:v>0</x:v>
      </x:c>
      <x:c r="AA1782" s="15" t="n">
        <x:f>'기준스탯 72종'!E78*H1782</x:f>
        <x:v>0</x:v>
      </x:c>
      <x:c r="AB1782" s="15" t="n">
        <x:f>'기준스탯 72종'!F78*H1782</x:f>
        <x:v>0</x:v>
      </x:c>
      <x:c r="AC1782" s="15" t="n">
        <x:f>'기준스탯 72종'!G78*H1782</x:f>
        <x:v>0</x:v>
      </x:c>
      <x:c r="AD1782" s="15" t="n">
        <x:f>'기준스탯 72종'!H78*H1782</x:f>
        <x:v>0</x:v>
      </x:c>
      <x:c r="AE1782" s="15" t="n">
        <x:f>'기준스탯 72종'!I78*H1782</x:f>
        <x:v>0</x:v>
      </x:c>
      <x:c r="AF1782" s="15" t="n">
        <x:f>'기준스탯 72종'!J78*H1782</x:f>
        <x:v>0</x:v>
      </x:c>
      <x:c r="AG1782" s="15" t="n">
        <x:f>'기준스탯 72종'!K78*H1782</x:f>
        <x:v>0</x:v>
      </x:c>
    </x:row>
    <x:row r="1783" ht="28" customHeight="1">
      <x:c r="A1783" s="2" t="n">
        <x:v>1776</x:v>
      </x:c>
      <x:c r="B1783" s="2" t="n">
        <x:v>72</x:v>
      </x:c>
      <x:c r="C1783" s="2" t="str">
        <x:v>물고기자리</x:v>
      </x:c>
      <x:c r="D1783" s="2" t="str">
        <x:v>전사</x:v>
      </x:c>
      <x:c r="E1783" s="2" t="n">
        <x:v>1</x:v>
      </x:c>
      <x:c r="F1783" s="2" t="n">
        <x:v>1</x:v>
      </x:c>
      <x:c r="G1783" s="14" t="n">
        <x:f>('레벨 계산식'!$E$4-E1783)*'레벨 계산식'!$B$5</x:f>
        <x:v>0.5599999999999999</x:v>
      </x:c>
      <x:c r="H1783" s="14" t="n">
        <x:f>('등급 계산식'!$E$4-F1783)*'등급 계산식'!$B$5</x:f>
        <x:v>0.24000000000000005</x:v>
      </x:c>
      <x:c r="I1783" s="14" t="n">
        <x:f>1-G1783-H1783</x:f>
        <x:v>0.2</x:v>
      </x:c>
      <x:c r="J1783" s="2" t="n">
        <x:f>MAX(1,ROUND('기준스탯 72종'!D79-R1783-Z1783,0))</x:f>
        <x:v>1</x:v>
      </x:c>
      <x:c r="K1783" s="2" t="n">
        <x:f>MAX(1,ROUND('기준스탯 72종'!E79-S1783-AA1783,0))</x:f>
        <x:v>2</x:v>
      </x:c>
      <x:c r="L1783" s="2" t="n">
        <x:f>MAX(1,ROUND('기준스탯 72종'!F79-T1783-AB1783,0))</x:f>
        <x:v>2</x:v>
      </x:c>
      <x:c r="M1783" s="2" t="n">
        <x:f>MAX(1,ROUND('기준스탯 72종'!G79-U1783-AC1783,0))</x:f>
        <x:v>2</x:v>
      </x:c>
      <x:c r="N1783" s="2" t="n">
        <x:f>MAX(0,ROUND('기준스탯 72종'!H79-V1783-AD1783,0))</x:f>
        <x:v>1</x:v>
      </x:c>
      <x:c r="O1783" s="2" t="n">
        <x:f>MAX(0,ROUND('기준스탯 72종'!I79-W1783-AE1783,0))</x:f>
        <x:v>1</x:v>
      </x:c>
      <x:c r="P1783" s="2" t="n">
        <x:f>MAX(0,ROUND('기준스탯 72종'!J79-X1783-AF1783,0))</x:f>
        <x:v>1</x:v>
      </x:c>
      <x:c r="Q1783" s="2" t="n">
        <x:f>MAX(0,ROUND('기준스탯 72종'!K79-Y1783-AG1783,0))</x:f>
        <x:v>1</x:v>
      </x:c>
      <x:c r="R1783" s="15" t="n">
        <x:f>'기준스탯 72종'!D79*G1783</x:f>
        <x:v>3.9199999999999995</x:v>
      </x:c>
      <x:c r="S1783" s="15" t="n">
        <x:f>'기준스탯 72종'!E79*G1783</x:f>
        <x:v>4.4799999999999995</x:v>
      </x:c>
      <x:c r="T1783" s="15" t="n">
        <x:f>'기준스탯 72종'!F79*G1783</x:f>
        <x:v>4.4799999999999995</x:v>
      </x:c>
      <x:c r="U1783" s="15" t="n">
        <x:f>'기준스탯 72종'!G79*G1783</x:f>
        <x:v>4.4799999999999995</x:v>
      </x:c>
      <x:c r="V1783" s="15" t="n">
        <x:f>'기준스탯 72종'!H79*G1783</x:f>
        <x:v>1.6799999999999997</x:v>
      </x:c>
      <x:c r="W1783" s="15" t="n">
        <x:f>'기준스탯 72종'!I79*G1783</x:f>
        <x:v>3.3599999999999994</x:v>
      </x:c>
      <x:c r="X1783" s="15" t="n">
        <x:f>'기준스탯 72종'!J79*G1783</x:f>
        <x:v>1.6799999999999997</x:v>
      </x:c>
      <x:c r="Y1783" s="15" t="n">
        <x:f>'기준스탯 72종'!K79*G1783</x:f>
        <x:v>2.2399999999999998</x:v>
      </x:c>
      <x:c r="Z1783" s="15" t="n">
        <x:f>'기준스탯 72종'!D79*H1783</x:f>
        <x:v>1.6800000000000004</x:v>
      </x:c>
      <x:c r="AA1783" s="15" t="n">
        <x:f>'기준스탯 72종'!E79*H1783</x:f>
        <x:v>1.9200000000000004</x:v>
      </x:c>
      <x:c r="AB1783" s="15" t="n">
        <x:f>'기준스탯 72종'!F79*H1783</x:f>
        <x:v>1.9200000000000004</x:v>
      </x:c>
      <x:c r="AC1783" s="15" t="n">
        <x:f>'기준스탯 72종'!G79*H1783</x:f>
        <x:v>1.9200000000000004</x:v>
      </x:c>
      <x:c r="AD1783" s="15" t="n">
        <x:f>'기준스탯 72종'!H79*H1783</x:f>
        <x:v>0.7200000000000002</x:v>
      </x:c>
      <x:c r="AE1783" s="15" t="n">
        <x:f>'기준스탯 72종'!I79*H1783</x:f>
        <x:v>1.4400000000000004</x:v>
      </x:c>
      <x:c r="AF1783" s="15" t="n">
        <x:f>'기준스탯 72종'!J79*H1783</x:f>
        <x:v>0.7200000000000002</x:v>
      </x:c>
      <x:c r="AG1783" s="15" t="n">
        <x:f>'기준스탯 72종'!K79*H1783</x:f>
        <x:v>0.9600000000000002</x:v>
      </x:c>
    </x:row>
    <x:row r="1784" ht="28" customHeight="1">
      <x:c r="A1784" s="2" t="n">
        <x:v>1777</x:v>
      </x:c>
      <x:c r="B1784" s="2" t="n">
        <x:v>72</x:v>
      </x:c>
      <x:c r="C1784" s="2" t="str">
        <x:v>물고기자리</x:v>
      </x:c>
      <x:c r="D1784" s="2" t="str">
        <x:v>전사</x:v>
      </x:c>
      <x:c r="E1784" s="2" t="n">
        <x:v>2</x:v>
      </x:c>
      <x:c r="F1784" s="2" t="n">
        <x:v>1</x:v>
      </x:c>
      <x:c r="G1784" s="14" t="n">
        <x:f>('레벨 계산식'!$E$4-E1784)*'레벨 계산식'!$B$5</x:f>
        <x:v>0.41999999999999993</x:v>
      </x:c>
      <x:c r="H1784" s="14" t="n">
        <x:f>('등급 계산식'!$E$4-F1784)*'등급 계산식'!$B$5</x:f>
        <x:v>0.24000000000000005</x:v>
      </x:c>
      <x:c r="I1784" s="14" t="n">
        <x:f>1-G1784-H1784</x:f>
        <x:v>0.34</x:v>
      </x:c>
      <x:c r="J1784" s="2" t="n">
        <x:f>MAX(1,ROUND('기준스탯 72종'!D79-R1784-Z1784,0))</x:f>
        <x:v>2</x:v>
      </x:c>
      <x:c r="K1784" s="2" t="n">
        <x:f>MAX(1,ROUND('기준스탯 72종'!E79-S1784-AA1784,0))</x:f>
        <x:v>3</x:v>
      </x:c>
      <x:c r="L1784" s="2" t="n">
        <x:f>MAX(1,ROUND('기준스탯 72종'!F79-T1784-AB1784,0))</x:f>
        <x:v>3</x:v>
      </x:c>
      <x:c r="M1784" s="2" t="n">
        <x:f>MAX(1,ROUND('기준스탯 72종'!G79-U1784-AC1784,0))</x:f>
        <x:v>3</x:v>
      </x:c>
      <x:c r="N1784" s="2" t="n">
        <x:f>MAX(0,ROUND('기준스탯 72종'!H79-V1784-AD1784,0))</x:f>
        <x:v>1</x:v>
      </x:c>
      <x:c r="O1784" s="2" t="n">
        <x:f>MAX(0,ROUND('기준스탯 72종'!I79-W1784-AE1784,0))</x:f>
        <x:v>2</x:v>
      </x:c>
      <x:c r="P1784" s="2" t="n">
        <x:f>MAX(0,ROUND('기준스탯 72종'!J79-X1784-AF1784,0))</x:f>
        <x:v>1</x:v>
      </x:c>
      <x:c r="Q1784" s="2" t="n">
        <x:f>MAX(0,ROUND('기준스탯 72종'!K79-Y1784-AG1784,0))</x:f>
        <x:v>1</x:v>
      </x:c>
      <x:c r="R1784" s="15" t="n">
        <x:f>'기준스탯 72종'!D79*G1784</x:f>
        <x:v>2.9399999999999995</x:v>
      </x:c>
      <x:c r="S1784" s="15" t="n">
        <x:f>'기준스탯 72종'!E79*G1784</x:f>
        <x:v>3.3599999999999994</x:v>
      </x:c>
      <x:c r="T1784" s="15" t="n">
        <x:f>'기준스탯 72종'!F79*G1784</x:f>
        <x:v>3.3599999999999994</x:v>
      </x:c>
      <x:c r="U1784" s="15" t="n">
        <x:f>'기준스탯 72종'!G79*G1784</x:f>
        <x:v>3.3599999999999994</x:v>
      </x:c>
      <x:c r="V1784" s="15" t="n">
        <x:f>'기준스탯 72종'!H79*G1784</x:f>
        <x:v>1.2599999999999998</x:v>
      </x:c>
      <x:c r="W1784" s="15" t="n">
        <x:f>'기준스탯 72종'!I79*G1784</x:f>
        <x:v>2.5199999999999996</x:v>
      </x:c>
      <x:c r="X1784" s="15" t="n">
        <x:f>'기준스탯 72종'!J79*G1784</x:f>
        <x:v>1.2599999999999998</x:v>
      </x:c>
      <x:c r="Y1784" s="15" t="n">
        <x:f>'기준스탯 72종'!K79*G1784</x:f>
        <x:v>1.6799999999999997</x:v>
      </x:c>
      <x:c r="Z1784" s="15" t="n">
        <x:f>'기준스탯 72종'!D79*H1784</x:f>
        <x:v>1.6800000000000004</x:v>
      </x:c>
      <x:c r="AA1784" s="15" t="n">
        <x:f>'기준스탯 72종'!E79*H1784</x:f>
        <x:v>1.9200000000000004</x:v>
      </x:c>
      <x:c r="AB1784" s="15" t="n">
        <x:f>'기준스탯 72종'!F79*H1784</x:f>
        <x:v>1.9200000000000004</x:v>
      </x:c>
      <x:c r="AC1784" s="15" t="n">
        <x:f>'기준스탯 72종'!G79*H1784</x:f>
        <x:v>1.9200000000000004</x:v>
      </x:c>
      <x:c r="AD1784" s="15" t="n">
        <x:f>'기준스탯 72종'!H79*H1784</x:f>
        <x:v>0.7200000000000002</x:v>
      </x:c>
      <x:c r="AE1784" s="15" t="n">
        <x:f>'기준스탯 72종'!I79*H1784</x:f>
        <x:v>1.4400000000000004</x:v>
      </x:c>
      <x:c r="AF1784" s="15" t="n">
        <x:f>'기준스탯 72종'!J79*H1784</x:f>
        <x:v>0.7200000000000002</x:v>
      </x:c>
      <x:c r="AG1784" s="15" t="n">
        <x:f>'기준스탯 72종'!K79*H1784</x:f>
        <x:v>0.9600000000000002</x:v>
      </x:c>
    </x:row>
    <x:row r="1785" ht="28" customHeight="1">
      <x:c r="A1785" s="2" t="n">
        <x:v>1778</x:v>
      </x:c>
      <x:c r="B1785" s="2" t="n">
        <x:v>72</x:v>
      </x:c>
      <x:c r="C1785" s="2" t="str">
        <x:v>물고기자리</x:v>
      </x:c>
      <x:c r="D1785" s="2" t="str">
        <x:v>전사</x:v>
      </x:c>
      <x:c r="E1785" s="2" t="n">
        <x:v>3</x:v>
      </x:c>
      <x:c r="F1785" s="2" t="n">
        <x:v>1</x:v>
      </x:c>
      <x:c r="G1785" s="14" t="n">
        <x:f>('레벨 계산식'!$E$4-E1785)*'레벨 계산식'!$B$5</x:f>
        <x:v>0.27999999999999997</x:v>
      </x:c>
      <x:c r="H1785" s="14" t="n">
        <x:f>('등급 계산식'!$E$4-F1785)*'등급 계산식'!$B$5</x:f>
        <x:v>0.24000000000000005</x:v>
      </x:c>
      <x:c r="I1785" s="14" t="n">
        <x:f>1-G1785-H1785</x:f>
        <x:v>0.4799999999999999</x:v>
      </x:c>
      <x:c r="J1785" s="2" t="n">
        <x:f>MAX(1,ROUND('기준스탯 72종'!D79-R1785-Z1785,0))</x:f>
        <x:v>3</x:v>
      </x:c>
      <x:c r="K1785" s="2" t="n">
        <x:f>MAX(1,ROUND('기준스탯 72종'!E79-S1785-AA1785,0))</x:f>
        <x:v>4</x:v>
      </x:c>
      <x:c r="L1785" s="2" t="n">
        <x:f>MAX(1,ROUND('기준스탯 72종'!F79-T1785-AB1785,0))</x:f>
        <x:v>4</x:v>
      </x:c>
      <x:c r="M1785" s="2" t="n">
        <x:f>MAX(1,ROUND('기준스탯 72종'!G79-U1785-AC1785,0))</x:f>
        <x:v>4</x:v>
      </x:c>
      <x:c r="N1785" s="2" t="n">
        <x:f>MAX(0,ROUND('기준스탯 72종'!H79-V1785-AD1785,0))</x:f>
        <x:v>1</x:v>
      </x:c>
      <x:c r="O1785" s="2" t="n">
        <x:f>MAX(0,ROUND('기준스탯 72종'!I79-W1785-AE1785,0))</x:f>
        <x:v>3</x:v>
      </x:c>
      <x:c r="P1785" s="2" t="n">
        <x:f>MAX(0,ROUND('기준스탯 72종'!J79-X1785-AF1785,0))</x:f>
        <x:v>1</x:v>
      </x:c>
      <x:c r="Q1785" s="2" t="n">
        <x:f>MAX(0,ROUND('기준스탯 72종'!K79-Y1785-AG1785,0))</x:f>
        <x:v>2</x:v>
      </x:c>
      <x:c r="R1785" s="15" t="n">
        <x:f>'기준스탯 72종'!D79*G1785</x:f>
        <x:v>1.9599999999999997</x:v>
      </x:c>
      <x:c r="S1785" s="15" t="n">
        <x:f>'기준스탯 72종'!E79*G1785</x:f>
        <x:v>2.2399999999999998</x:v>
      </x:c>
      <x:c r="T1785" s="15" t="n">
        <x:f>'기준스탯 72종'!F79*G1785</x:f>
        <x:v>2.2399999999999998</x:v>
      </x:c>
      <x:c r="U1785" s="15" t="n">
        <x:f>'기준스탯 72종'!G79*G1785</x:f>
        <x:v>2.2399999999999998</x:v>
      </x:c>
      <x:c r="V1785" s="15" t="n">
        <x:f>'기준스탯 72종'!H79*G1785</x:f>
        <x:v>0.8399999999999999</x:v>
      </x:c>
      <x:c r="W1785" s="15" t="n">
        <x:f>'기준스탯 72종'!I79*G1785</x:f>
        <x:v>1.6799999999999997</x:v>
      </x:c>
      <x:c r="X1785" s="15" t="n">
        <x:f>'기준스탯 72종'!J79*G1785</x:f>
        <x:v>0.8399999999999999</x:v>
      </x:c>
      <x:c r="Y1785" s="15" t="n">
        <x:f>'기준스탯 72종'!K79*G1785</x:f>
        <x:v>1.1199999999999999</x:v>
      </x:c>
      <x:c r="Z1785" s="15" t="n">
        <x:f>'기준스탯 72종'!D79*H1785</x:f>
        <x:v>1.6800000000000004</x:v>
      </x:c>
      <x:c r="AA1785" s="15" t="n">
        <x:f>'기준스탯 72종'!E79*H1785</x:f>
        <x:v>1.9200000000000004</x:v>
      </x:c>
      <x:c r="AB1785" s="15" t="n">
        <x:f>'기준스탯 72종'!F79*H1785</x:f>
        <x:v>1.9200000000000004</x:v>
      </x:c>
      <x:c r="AC1785" s="15" t="n">
        <x:f>'기준스탯 72종'!G79*H1785</x:f>
        <x:v>1.9200000000000004</x:v>
      </x:c>
      <x:c r="AD1785" s="15" t="n">
        <x:f>'기준스탯 72종'!H79*H1785</x:f>
        <x:v>0.7200000000000002</x:v>
      </x:c>
      <x:c r="AE1785" s="15" t="n">
        <x:f>'기준스탯 72종'!I79*H1785</x:f>
        <x:v>1.4400000000000004</x:v>
      </x:c>
      <x:c r="AF1785" s="15" t="n">
        <x:f>'기준스탯 72종'!J79*H1785</x:f>
        <x:v>0.7200000000000002</x:v>
      </x:c>
      <x:c r="AG1785" s="15" t="n">
        <x:f>'기준스탯 72종'!K79*H1785</x:f>
        <x:v>0.9600000000000002</x:v>
      </x:c>
    </x:row>
    <x:row r="1786" ht="28" customHeight="1">
      <x:c r="A1786" s="2" t="n">
        <x:v>1779</x:v>
      </x:c>
      <x:c r="B1786" s="2" t="n">
        <x:v>72</x:v>
      </x:c>
      <x:c r="C1786" s="2" t="str">
        <x:v>물고기자리</x:v>
      </x:c>
      <x:c r="D1786" s="2" t="str">
        <x:v>전사</x:v>
      </x:c>
      <x:c r="E1786" s="2" t="n">
        <x:v>4</x:v>
      </x:c>
      <x:c r="F1786" s="2" t="n">
        <x:v>1</x:v>
      </x:c>
      <x:c r="G1786" s="14" t="n">
        <x:f>('레벨 계산식'!$E$4-E1786)*'레벨 계산식'!$B$5</x:f>
        <x:v>0.13999999999999999</x:v>
      </x:c>
      <x:c r="H1786" s="14" t="n">
        <x:f>('등급 계산식'!$E$4-F1786)*'등급 계산식'!$B$5</x:f>
        <x:v>0.24000000000000005</x:v>
      </x:c>
      <x:c r="I1786" s="14" t="n">
        <x:f>1-G1786-H1786</x:f>
        <x:v>0.6199999999999999</x:v>
      </x:c>
      <x:c r="J1786" s="2" t="n">
        <x:f>MAX(1,ROUND('기준스탯 72종'!D79-R1786-Z1786,0))</x:f>
        <x:v>4</x:v>
      </x:c>
      <x:c r="K1786" s="2" t="n">
        <x:f>MAX(1,ROUND('기준스탯 72종'!E79-S1786-AA1786,0))</x:f>
        <x:v>5</x:v>
      </x:c>
      <x:c r="L1786" s="2" t="n">
        <x:f>MAX(1,ROUND('기준스탯 72종'!F79-T1786-AB1786,0))</x:f>
        <x:v>5</x:v>
      </x:c>
      <x:c r="M1786" s="2" t="n">
        <x:f>MAX(1,ROUND('기준스탯 72종'!G79-U1786-AC1786,0))</x:f>
        <x:v>5</x:v>
      </x:c>
      <x:c r="N1786" s="2" t="n">
        <x:f>MAX(0,ROUND('기준스탯 72종'!H79-V1786-AD1786,0))</x:f>
        <x:v>2</x:v>
      </x:c>
      <x:c r="O1786" s="2" t="n">
        <x:f>MAX(0,ROUND('기준스탯 72종'!I79-W1786-AE1786,0))</x:f>
        <x:v>4</x:v>
      </x:c>
      <x:c r="P1786" s="2" t="n">
        <x:f>MAX(0,ROUND('기준스탯 72종'!J79-X1786-AF1786,0))</x:f>
        <x:v>2</x:v>
      </x:c>
      <x:c r="Q1786" s="2" t="n">
        <x:f>MAX(0,ROUND('기준스탯 72종'!K79-Y1786-AG1786,0))</x:f>
        <x:v>2</x:v>
      </x:c>
      <x:c r="R1786" s="15" t="n">
        <x:f>'기준스탯 72종'!D79*G1786</x:f>
        <x:v>0.9799999999999999</x:v>
      </x:c>
      <x:c r="S1786" s="15" t="n">
        <x:f>'기준스탯 72종'!E79*G1786</x:f>
        <x:v>1.1199999999999999</x:v>
      </x:c>
      <x:c r="T1786" s="15" t="n">
        <x:f>'기준스탯 72종'!F79*G1786</x:f>
        <x:v>1.1199999999999999</x:v>
      </x:c>
      <x:c r="U1786" s="15" t="n">
        <x:f>'기준스탯 72종'!G79*G1786</x:f>
        <x:v>1.1199999999999999</x:v>
      </x:c>
      <x:c r="V1786" s="15" t="n">
        <x:f>'기준스탯 72종'!H79*G1786</x:f>
        <x:v>0.41999999999999993</x:v>
      </x:c>
      <x:c r="W1786" s="15" t="n">
        <x:f>'기준스탯 72종'!I79*G1786</x:f>
        <x:v>0.8399999999999999</x:v>
      </x:c>
      <x:c r="X1786" s="15" t="n">
        <x:f>'기준스탯 72종'!J79*G1786</x:f>
        <x:v>0.41999999999999993</x:v>
      </x:c>
      <x:c r="Y1786" s="15" t="n">
        <x:f>'기준스탯 72종'!K79*G1786</x:f>
        <x:v>0.5599999999999999</x:v>
      </x:c>
      <x:c r="Z1786" s="15" t="n">
        <x:f>'기준스탯 72종'!D79*H1786</x:f>
        <x:v>1.6800000000000004</x:v>
      </x:c>
      <x:c r="AA1786" s="15" t="n">
        <x:f>'기준스탯 72종'!E79*H1786</x:f>
        <x:v>1.9200000000000004</x:v>
      </x:c>
      <x:c r="AB1786" s="15" t="n">
        <x:f>'기준스탯 72종'!F79*H1786</x:f>
        <x:v>1.9200000000000004</x:v>
      </x:c>
      <x:c r="AC1786" s="15" t="n">
        <x:f>'기준스탯 72종'!G79*H1786</x:f>
        <x:v>1.9200000000000004</x:v>
      </x:c>
      <x:c r="AD1786" s="15" t="n">
        <x:f>'기준스탯 72종'!H79*H1786</x:f>
        <x:v>0.7200000000000002</x:v>
      </x:c>
      <x:c r="AE1786" s="15" t="n">
        <x:f>'기준스탯 72종'!I79*H1786</x:f>
        <x:v>1.4400000000000004</x:v>
      </x:c>
      <x:c r="AF1786" s="15" t="n">
        <x:f>'기준스탯 72종'!J79*H1786</x:f>
        <x:v>0.7200000000000002</x:v>
      </x:c>
      <x:c r="AG1786" s="15" t="n">
        <x:f>'기준스탯 72종'!K79*H1786</x:f>
        <x:v>0.9600000000000002</x:v>
      </x:c>
    </x:row>
    <x:row r="1787" ht="28" customHeight="1">
      <x:c r="A1787" s="2" t="n">
        <x:v>1780</x:v>
      </x:c>
      <x:c r="B1787" s="2" t="n">
        <x:v>72</x:v>
      </x:c>
      <x:c r="C1787" s="2" t="str">
        <x:v>물고기자리</x:v>
      </x:c>
      <x:c r="D1787" s="2" t="str">
        <x:v>전사</x:v>
      </x:c>
      <x:c r="E1787" s="2" t="n">
        <x:v>5</x:v>
      </x:c>
      <x:c r="F1787" s="2" t="n">
        <x:v>1</x:v>
      </x:c>
      <x:c r="G1787" s="14" t="n">
        <x:f>('레벨 계산식'!$E$4-E1787)*'레벨 계산식'!$B$5</x:f>
        <x:v>0</x:v>
      </x:c>
      <x:c r="H1787" s="14" t="n">
        <x:f>('등급 계산식'!$E$4-F1787)*'등급 계산식'!$B$5</x:f>
        <x:v>0.24000000000000005</x:v>
      </x:c>
      <x:c r="I1787" s="14" t="n">
        <x:f>1-G1787-H1787</x:f>
        <x:v>0.76</x:v>
      </x:c>
      <x:c r="J1787" s="2" t="n">
        <x:f>MAX(1,ROUND('기준스탯 72종'!D79-R1787-Z1787,0))</x:f>
        <x:v>5</x:v>
      </x:c>
      <x:c r="K1787" s="2" t="n">
        <x:f>MAX(1,ROUND('기준스탯 72종'!E79-S1787-AA1787,0))</x:f>
        <x:v>6</x:v>
      </x:c>
      <x:c r="L1787" s="2" t="n">
        <x:f>MAX(1,ROUND('기준스탯 72종'!F79-T1787-AB1787,0))</x:f>
        <x:v>6</x:v>
      </x:c>
      <x:c r="M1787" s="2" t="n">
        <x:f>MAX(1,ROUND('기준스탯 72종'!G79-U1787-AC1787,0))</x:f>
        <x:v>6</x:v>
      </x:c>
      <x:c r="N1787" s="2" t="n">
        <x:f>MAX(0,ROUND('기준스탯 72종'!H79-V1787-AD1787,0))</x:f>
        <x:v>2</x:v>
      </x:c>
      <x:c r="O1787" s="2" t="n">
        <x:f>MAX(0,ROUND('기준스탯 72종'!I79-W1787-AE1787,0))</x:f>
        <x:v>5</x:v>
      </x:c>
      <x:c r="P1787" s="2" t="n">
        <x:f>MAX(0,ROUND('기준스탯 72종'!J79-X1787-AF1787,0))</x:f>
        <x:v>2</x:v>
      </x:c>
      <x:c r="Q1787" s="2" t="n">
        <x:f>MAX(0,ROUND('기준스탯 72종'!K79-Y1787-AG1787,0))</x:f>
        <x:v>3</x:v>
      </x:c>
      <x:c r="R1787" s="15" t="n">
        <x:f>'기준스탯 72종'!D79*G1787</x:f>
        <x:v>0</x:v>
      </x:c>
      <x:c r="S1787" s="15" t="n">
        <x:f>'기준스탯 72종'!E79*G1787</x:f>
        <x:v>0</x:v>
      </x:c>
      <x:c r="T1787" s="15" t="n">
        <x:f>'기준스탯 72종'!F79*G1787</x:f>
        <x:v>0</x:v>
      </x:c>
      <x:c r="U1787" s="15" t="n">
        <x:f>'기준스탯 72종'!G79*G1787</x:f>
        <x:v>0</x:v>
      </x:c>
      <x:c r="V1787" s="15" t="n">
        <x:f>'기준스탯 72종'!H79*G1787</x:f>
        <x:v>0</x:v>
      </x:c>
      <x:c r="W1787" s="15" t="n">
        <x:f>'기준스탯 72종'!I79*G1787</x:f>
        <x:v>0</x:v>
      </x:c>
      <x:c r="X1787" s="15" t="n">
        <x:f>'기준스탯 72종'!J79*G1787</x:f>
        <x:v>0</x:v>
      </x:c>
      <x:c r="Y1787" s="15" t="n">
        <x:f>'기준스탯 72종'!K79*G1787</x:f>
        <x:v>0</x:v>
      </x:c>
      <x:c r="Z1787" s="15" t="n">
        <x:f>'기준스탯 72종'!D79*H1787</x:f>
        <x:v>1.6800000000000004</x:v>
      </x:c>
      <x:c r="AA1787" s="15" t="n">
        <x:f>'기준스탯 72종'!E79*H1787</x:f>
        <x:v>1.9200000000000004</x:v>
      </x:c>
      <x:c r="AB1787" s="15" t="n">
        <x:f>'기준스탯 72종'!F79*H1787</x:f>
        <x:v>1.9200000000000004</x:v>
      </x:c>
      <x:c r="AC1787" s="15" t="n">
        <x:f>'기준스탯 72종'!G79*H1787</x:f>
        <x:v>1.9200000000000004</x:v>
      </x:c>
      <x:c r="AD1787" s="15" t="n">
        <x:f>'기준스탯 72종'!H79*H1787</x:f>
        <x:v>0.7200000000000002</x:v>
      </x:c>
      <x:c r="AE1787" s="15" t="n">
        <x:f>'기준스탯 72종'!I79*H1787</x:f>
        <x:v>1.4400000000000004</x:v>
      </x:c>
      <x:c r="AF1787" s="15" t="n">
        <x:f>'기준스탯 72종'!J79*H1787</x:f>
        <x:v>0.7200000000000002</x:v>
      </x:c>
      <x:c r="AG1787" s="15" t="n">
        <x:f>'기준스탯 72종'!K79*H1787</x:f>
        <x:v>0.9600000000000002</x:v>
      </x:c>
    </x:row>
    <x:row r="1788" ht="28" customHeight="1">
      <x:c r="A1788" s="2" t="n">
        <x:v>1781</x:v>
      </x:c>
      <x:c r="B1788" s="2" t="n">
        <x:v>72</x:v>
      </x:c>
      <x:c r="C1788" s="2" t="str">
        <x:v>물고기자리</x:v>
      </x:c>
      <x:c r="D1788" s="2" t="str">
        <x:v>전사</x:v>
      </x:c>
      <x:c r="E1788" s="2" t="n">
        <x:v>1</x:v>
      </x:c>
      <x:c r="F1788" s="2" t="n">
        <x:v>2</x:v>
      </x:c>
      <x:c r="G1788" s="14" t="n">
        <x:f>('레벨 계산식'!$E$4-E1788)*'레벨 계산식'!$B$5</x:f>
        <x:v>0.5599999999999999</x:v>
      </x:c>
      <x:c r="H1788" s="14" t="n">
        <x:f>('등급 계산식'!$E$4-F1788)*'등급 계산식'!$B$5</x:f>
        <x:v>0.18000000000000005</x:v>
      </x:c>
      <x:c r="I1788" s="14" t="n">
        <x:f>1-G1788-H1788</x:f>
        <x:v>0.26</x:v>
      </x:c>
      <x:c r="J1788" s="2" t="n">
        <x:f>MAX(1,ROUND('기준스탯 72종'!D79-R1788-Z1788,0))</x:f>
        <x:v>2</x:v>
      </x:c>
      <x:c r="K1788" s="2" t="n">
        <x:f>MAX(1,ROUND('기준스탯 72종'!E79-S1788-AA1788,0))</x:f>
        <x:v>2</x:v>
      </x:c>
      <x:c r="L1788" s="2" t="n">
        <x:f>MAX(1,ROUND('기준스탯 72종'!F79-T1788-AB1788,0))</x:f>
        <x:v>2</x:v>
      </x:c>
      <x:c r="M1788" s="2" t="n">
        <x:f>MAX(1,ROUND('기준스탯 72종'!G79-U1788-AC1788,0))</x:f>
        <x:v>2</x:v>
      </x:c>
      <x:c r="N1788" s="2" t="n">
        <x:f>MAX(0,ROUND('기준스탯 72종'!H79-V1788-AD1788,0))</x:f>
        <x:v>1</x:v>
      </x:c>
      <x:c r="O1788" s="2" t="n">
        <x:f>MAX(0,ROUND('기준스탯 72종'!I79-W1788-AE1788,0))</x:f>
        <x:v>2</x:v>
      </x:c>
      <x:c r="P1788" s="2" t="n">
        <x:f>MAX(0,ROUND('기준스탯 72종'!J79-X1788-AF1788,0))</x:f>
        <x:v>1</x:v>
      </x:c>
      <x:c r="Q1788" s="2" t="n">
        <x:f>MAX(0,ROUND('기준스탯 72종'!K79-Y1788-AG1788,0))</x:f>
        <x:v>1</x:v>
      </x:c>
      <x:c r="R1788" s="15" t="n">
        <x:f>'기준스탯 72종'!D79*G1788</x:f>
        <x:v>3.9199999999999995</x:v>
      </x:c>
      <x:c r="S1788" s="15" t="n">
        <x:f>'기준스탯 72종'!E79*G1788</x:f>
        <x:v>4.4799999999999995</x:v>
      </x:c>
      <x:c r="T1788" s="15" t="n">
        <x:f>'기준스탯 72종'!F79*G1788</x:f>
        <x:v>4.4799999999999995</x:v>
      </x:c>
      <x:c r="U1788" s="15" t="n">
        <x:f>'기준스탯 72종'!G79*G1788</x:f>
        <x:v>4.4799999999999995</x:v>
      </x:c>
      <x:c r="V1788" s="15" t="n">
        <x:f>'기준스탯 72종'!H79*G1788</x:f>
        <x:v>1.6799999999999997</x:v>
      </x:c>
      <x:c r="W1788" s="15" t="n">
        <x:f>'기준스탯 72종'!I79*G1788</x:f>
        <x:v>3.3599999999999994</x:v>
      </x:c>
      <x:c r="X1788" s="15" t="n">
        <x:f>'기준스탯 72종'!J79*G1788</x:f>
        <x:v>1.6799999999999997</x:v>
      </x:c>
      <x:c r="Y1788" s="15" t="n">
        <x:f>'기준스탯 72종'!K79*G1788</x:f>
        <x:v>2.2399999999999998</x:v>
      </x:c>
      <x:c r="Z1788" s="15" t="n">
        <x:f>'기준스탯 72종'!D79*H1788</x:f>
        <x:v>1.2600000000000002</x:v>
      </x:c>
      <x:c r="AA1788" s="15" t="n">
        <x:f>'기준스탯 72종'!E79*H1788</x:f>
        <x:v>1.4400000000000004</x:v>
      </x:c>
      <x:c r="AB1788" s="15" t="n">
        <x:f>'기준스탯 72종'!F79*H1788</x:f>
        <x:v>1.4400000000000004</x:v>
      </x:c>
      <x:c r="AC1788" s="15" t="n">
        <x:f>'기준스탯 72종'!G79*H1788</x:f>
        <x:v>1.4400000000000004</x:v>
      </x:c>
      <x:c r="AD1788" s="15" t="n">
        <x:f>'기준스탯 72종'!H79*H1788</x:f>
        <x:v>0.5400000000000001</x:v>
      </x:c>
      <x:c r="AE1788" s="15" t="n">
        <x:f>'기준스탯 72종'!I79*H1788</x:f>
        <x:v>1.0800000000000003</x:v>
      </x:c>
      <x:c r="AF1788" s="15" t="n">
        <x:f>'기준스탯 72종'!J79*H1788</x:f>
        <x:v>0.5400000000000001</x:v>
      </x:c>
      <x:c r="AG1788" s="15" t="n">
        <x:f>'기준스탯 72종'!K79*H1788</x:f>
        <x:v>0.7200000000000002</x:v>
      </x:c>
    </x:row>
    <x:row r="1789" ht="28" customHeight="1">
      <x:c r="A1789" s="2" t="n">
        <x:v>1782</x:v>
      </x:c>
      <x:c r="B1789" s="2" t="n">
        <x:v>72</x:v>
      </x:c>
      <x:c r="C1789" s="2" t="str">
        <x:v>물고기자리</x:v>
      </x:c>
      <x:c r="D1789" s="2" t="str">
        <x:v>전사</x:v>
      </x:c>
      <x:c r="E1789" s="2" t="n">
        <x:v>2</x:v>
      </x:c>
      <x:c r="F1789" s="2" t="n">
        <x:v>2</x:v>
      </x:c>
      <x:c r="G1789" s="14" t="n">
        <x:f>('레벨 계산식'!$E$4-E1789)*'레벨 계산식'!$B$5</x:f>
        <x:v>0.41999999999999993</x:v>
      </x:c>
      <x:c r="H1789" s="14" t="n">
        <x:f>('등급 계산식'!$E$4-F1789)*'등급 계산식'!$B$5</x:f>
        <x:v>0.18000000000000005</x:v>
      </x:c>
      <x:c r="I1789" s="14" t="n">
        <x:f>1-G1789-H1789</x:f>
        <x:v>0.4</x:v>
      </x:c>
      <x:c r="J1789" s="2" t="n">
        <x:f>MAX(1,ROUND('기준스탯 72종'!D79-R1789-Z1789,0))</x:f>
        <x:v>3</x:v>
      </x:c>
      <x:c r="K1789" s="2" t="n">
        <x:f>MAX(1,ROUND('기준스탯 72종'!E79-S1789-AA1789,0))</x:f>
        <x:v>3</x:v>
      </x:c>
      <x:c r="L1789" s="2" t="n">
        <x:f>MAX(1,ROUND('기준스탯 72종'!F79-T1789-AB1789,0))</x:f>
        <x:v>3</x:v>
      </x:c>
      <x:c r="M1789" s="2" t="n">
        <x:f>MAX(1,ROUND('기준스탯 72종'!G79-U1789-AC1789,0))</x:f>
        <x:v>3</x:v>
      </x:c>
      <x:c r="N1789" s="2" t="n">
        <x:f>MAX(0,ROUND('기준스탯 72종'!H79-V1789-AD1789,0))</x:f>
        <x:v>1</x:v>
      </x:c>
      <x:c r="O1789" s="2" t="n">
        <x:f>MAX(0,ROUND('기준스탯 72종'!I79-W1789-AE1789,0))</x:f>
        <x:v>2</x:v>
      </x:c>
      <x:c r="P1789" s="2" t="n">
        <x:f>MAX(0,ROUND('기준스탯 72종'!J79-X1789-AF1789,0))</x:f>
        <x:v>1</x:v>
      </x:c>
      <x:c r="Q1789" s="2" t="n">
        <x:f>MAX(0,ROUND('기준스탯 72종'!K79-Y1789-AG1789,0))</x:f>
        <x:v>2</x:v>
      </x:c>
      <x:c r="R1789" s="15" t="n">
        <x:f>'기준스탯 72종'!D79*G1789</x:f>
        <x:v>2.9399999999999995</x:v>
      </x:c>
      <x:c r="S1789" s="15" t="n">
        <x:f>'기준스탯 72종'!E79*G1789</x:f>
        <x:v>3.3599999999999994</x:v>
      </x:c>
      <x:c r="T1789" s="15" t="n">
        <x:f>'기준스탯 72종'!F79*G1789</x:f>
        <x:v>3.3599999999999994</x:v>
      </x:c>
      <x:c r="U1789" s="15" t="n">
        <x:f>'기준스탯 72종'!G79*G1789</x:f>
        <x:v>3.3599999999999994</x:v>
      </x:c>
      <x:c r="V1789" s="15" t="n">
        <x:f>'기준스탯 72종'!H79*G1789</x:f>
        <x:v>1.2599999999999998</x:v>
      </x:c>
      <x:c r="W1789" s="15" t="n">
        <x:f>'기준스탯 72종'!I79*G1789</x:f>
        <x:v>2.5199999999999996</x:v>
      </x:c>
      <x:c r="X1789" s="15" t="n">
        <x:f>'기준스탯 72종'!J79*G1789</x:f>
        <x:v>1.2599999999999998</x:v>
      </x:c>
      <x:c r="Y1789" s="15" t="n">
        <x:f>'기준스탯 72종'!K79*G1789</x:f>
        <x:v>1.6799999999999997</x:v>
      </x:c>
      <x:c r="Z1789" s="15" t="n">
        <x:f>'기준스탯 72종'!D79*H1789</x:f>
        <x:v>1.2600000000000002</x:v>
      </x:c>
      <x:c r="AA1789" s="15" t="n">
        <x:f>'기준스탯 72종'!E79*H1789</x:f>
        <x:v>1.4400000000000004</x:v>
      </x:c>
      <x:c r="AB1789" s="15" t="n">
        <x:f>'기준스탯 72종'!F79*H1789</x:f>
        <x:v>1.4400000000000004</x:v>
      </x:c>
      <x:c r="AC1789" s="15" t="n">
        <x:f>'기준스탯 72종'!G79*H1789</x:f>
        <x:v>1.4400000000000004</x:v>
      </x:c>
      <x:c r="AD1789" s="15" t="n">
        <x:f>'기준스탯 72종'!H79*H1789</x:f>
        <x:v>0.5400000000000001</x:v>
      </x:c>
      <x:c r="AE1789" s="15" t="n">
        <x:f>'기준스탯 72종'!I79*H1789</x:f>
        <x:v>1.0800000000000003</x:v>
      </x:c>
      <x:c r="AF1789" s="15" t="n">
        <x:f>'기준스탯 72종'!J79*H1789</x:f>
        <x:v>0.5400000000000001</x:v>
      </x:c>
      <x:c r="AG1789" s="15" t="n">
        <x:f>'기준스탯 72종'!K79*H1789</x:f>
        <x:v>0.7200000000000002</x:v>
      </x:c>
    </x:row>
    <x:row r="1790" ht="28" customHeight="1">
      <x:c r="A1790" s="2" t="n">
        <x:v>1783</x:v>
      </x:c>
      <x:c r="B1790" s="2" t="n">
        <x:v>72</x:v>
      </x:c>
      <x:c r="C1790" s="2" t="str">
        <x:v>물고기자리</x:v>
      </x:c>
      <x:c r="D1790" s="2" t="str">
        <x:v>전사</x:v>
      </x:c>
      <x:c r="E1790" s="2" t="n">
        <x:v>3</x:v>
      </x:c>
      <x:c r="F1790" s="2" t="n">
        <x:v>2</x:v>
      </x:c>
      <x:c r="G1790" s="14" t="n">
        <x:f>('레벨 계산식'!$E$4-E1790)*'레벨 계산식'!$B$5</x:f>
        <x:v>0.27999999999999997</x:v>
      </x:c>
      <x:c r="H1790" s="14" t="n">
        <x:f>('등급 계산식'!$E$4-F1790)*'등급 계산식'!$B$5</x:f>
        <x:v>0.18000000000000005</x:v>
      </x:c>
      <x:c r="I1790" s="14" t="n">
        <x:f>1-G1790-H1790</x:f>
        <x:v>0.5399999999999999</x:v>
      </x:c>
      <x:c r="J1790" s="2" t="n">
        <x:f>MAX(1,ROUND('기준스탯 72종'!D79-R1790-Z1790,0))</x:f>
        <x:v>4</x:v>
      </x:c>
      <x:c r="K1790" s="2" t="n">
        <x:f>MAX(1,ROUND('기준스탯 72종'!E79-S1790-AA1790,0))</x:f>
        <x:v>4</x:v>
      </x:c>
      <x:c r="L1790" s="2" t="n">
        <x:f>MAX(1,ROUND('기준스탯 72종'!F79-T1790-AB1790,0))</x:f>
        <x:v>4</x:v>
      </x:c>
      <x:c r="M1790" s="2" t="n">
        <x:f>MAX(1,ROUND('기준스탯 72종'!G79-U1790-AC1790,0))</x:f>
        <x:v>4</x:v>
      </x:c>
      <x:c r="N1790" s="2" t="n">
        <x:f>MAX(0,ROUND('기준스탯 72종'!H79-V1790-AD1790,0))</x:f>
        <x:v>2</x:v>
      </x:c>
      <x:c r="O1790" s="2" t="n">
        <x:f>MAX(0,ROUND('기준스탯 72종'!I79-W1790-AE1790,0))</x:f>
        <x:v>3</x:v>
      </x:c>
      <x:c r="P1790" s="2" t="n">
        <x:f>MAX(0,ROUND('기준스탯 72종'!J79-X1790-AF1790,0))</x:f>
        <x:v>2</x:v>
      </x:c>
      <x:c r="Q1790" s="2" t="n">
        <x:f>MAX(0,ROUND('기준스탯 72종'!K79-Y1790-AG1790,0))</x:f>
        <x:v>2</x:v>
      </x:c>
      <x:c r="R1790" s="15" t="n">
        <x:f>'기준스탯 72종'!D79*G1790</x:f>
        <x:v>1.9599999999999997</x:v>
      </x:c>
      <x:c r="S1790" s="15" t="n">
        <x:f>'기준스탯 72종'!E79*G1790</x:f>
        <x:v>2.2399999999999998</x:v>
      </x:c>
      <x:c r="T1790" s="15" t="n">
        <x:f>'기준스탯 72종'!F79*G1790</x:f>
        <x:v>2.2399999999999998</x:v>
      </x:c>
      <x:c r="U1790" s="15" t="n">
        <x:f>'기준스탯 72종'!G79*G1790</x:f>
        <x:v>2.2399999999999998</x:v>
      </x:c>
      <x:c r="V1790" s="15" t="n">
        <x:f>'기준스탯 72종'!H79*G1790</x:f>
        <x:v>0.8399999999999999</x:v>
      </x:c>
      <x:c r="W1790" s="15" t="n">
        <x:f>'기준스탯 72종'!I79*G1790</x:f>
        <x:v>1.6799999999999997</x:v>
      </x:c>
      <x:c r="X1790" s="15" t="n">
        <x:f>'기준스탯 72종'!J79*G1790</x:f>
        <x:v>0.8399999999999999</x:v>
      </x:c>
      <x:c r="Y1790" s="15" t="n">
        <x:f>'기준스탯 72종'!K79*G1790</x:f>
        <x:v>1.1199999999999999</x:v>
      </x:c>
      <x:c r="Z1790" s="15" t="n">
        <x:f>'기준스탯 72종'!D79*H1790</x:f>
        <x:v>1.2600000000000002</x:v>
      </x:c>
      <x:c r="AA1790" s="15" t="n">
        <x:f>'기준스탯 72종'!E79*H1790</x:f>
        <x:v>1.4400000000000004</x:v>
      </x:c>
      <x:c r="AB1790" s="15" t="n">
        <x:f>'기준스탯 72종'!F79*H1790</x:f>
        <x:v>1.4400000000000004</x:v>
      </x:c>
      <x:c r="AC1790" s="15" t="n">
        <x:f>'기준스탯 72종'!G79*H1790</x:f>
        <x:v>1.4400000000000004</x:v>
      </x:c>
      <x:c r="AD1790" s="15" t="n">
        <x:f>'기준스탯 72종'!H79*H1790</x:f>
        <x:v>0.5400000000000001</x:v>
      </x:c>
      <x:c r="AE1790" s="15" t="n">
        <x:f>'기준스탯 72종'!I79*H1790</x:f>
        <x:v>1.0800000000000003</x:v>
      </x:c>
      <x:c r="AF1790" s="15" t="n">
        <x:f>'기준스탯 72종'!J79*H1790</x:f>
        <x:v>0.5400000000000001</x:v>
      </x:c>
      <x:c r="AG1790" s="15" t="n">
        <x:f>'기준스탯 72종'!K79*H1790</x:f>
        <x:v>0.7200000000000002</x:v>
      </x:c>
    </x:row>
    <x:row r="1791" ht="28" customHeight="1">
      <x:c r="A1791" s="2" t="n">
        <x:v>1784</x:v>
      </x:c>
      <x:c r="B1791" s="2" t="n">
        <x:v>72</x:v>
      </x:c>
      <x:c r="C1791" s="2" t="str">
        <x:v>물고기자리</x:v>
      </x:c>
      <x:c r="D1791" s="2" t="str">
        <x:v>전사</x:v>
      </x:c>
      <x:c r="E1791" s="2" t="n">
        <x:v>4</x:v>
      </x:c>
      <x:c r="F1791" s="2" t="n">
        <x:v>2</x:v>
      </x:c>
      <x:c r="G1791" s="14" t="n">
        <x:f>('레벨 계산식'!$E$4-E1791)*'레벨 계산식'!$B$5</x:f>
        <x:v>0.13999999999999999</x:v>
      </x:c>
      <x:c r="H1791" s="14" t="n">
        <x:f>('등급 계산식'!$E$4-F1791)*'등급 계산식'!$B$5</x:f>
        <x:v>0.18000000000000005</x:v>
      </x:c>
      <x:c r="I1791" s="14" t="n">
        <x:f>1-G1791-H1791</x:f>
        <x:v>0.6799999999999999</x:v>
      </x:c>
      <x:c r="J1791" s="2" t="n">
        <x:f>MAX(1,ROUND('기준스탯 72종'!D79-R1791-Z1791,0))</x:f>
        <x:v>5</x:v>
      </x:c>
      <x:c r="K1791" s="2" t="n">
        <x:f>MAX(1,ROUND('기준스탯 72종'!E79-S1791-AA1791,0))</x:f>
        <x:v>5</x:v>
      </x:c>
      <x:c r="L1791" s="2" t="n">
        <x:f>MAX(1,ROUND('기준스탯 72종'!F79-T1791-AB1791,0))</x:f>
        <x:v>5</x:v>
      </x:c>
      <x:c r="M1791" s="2" t="n">
        <x:f>MAX(1,ROUND('기준스탯 72종'!G79-U1791-AC1791,0))</x:f>
        <x:v>5</x:v>
      </x:c>
      <x:c r="N1791" s="2" t="n">
        <x:f>MAX(0,ROUND('기준스탯 72종'!H79-V1791-AD1791,0))</x:f>
        <x:v>2</x:v>
      </x:c>
      <x:c r="O1791" s="2" t="n">
        <x:f>MAX(0,ROUND('기준스탯 72종'!I79-W1791-AE1791,0))</x:f>
        <x:v>4</x:v>
      </x:c>
      <x:c r="P1791" s="2" t="n">
        <x:f>MAX(0,ROUND('기준스탯 72종'!J79-X1791-AF1791,0))</x:f>
        <x:v>2</x:v>
      </x:c>
      <x:c r="Q1791" s="2" t="n">
        <x:f>MAX(0,ROUND('기준스탯 72종'!K79-Y1791-AG1791,0))</x:f>
        <x:v>3</x:v>
      </x:c>
      <x:c r="R1791" s="15" t="n">
        <x:f>'기준스탯 72종'!D79*G1791</x:f>
        <x:v>0.9799999999999999</x:v>
      </x:c>
      <x:c r="S1791" s="15" t="n">
        <x:f>'기준스탯 72종'!E79*G1791</x:f>
        <x:v>1.1199999999999999</x:v>
      </x:c>
      <x:c r="T1791" s="15" t="n">
        <x:f>'기준스탯 72종'!F79*G1791</x:f>
        <x:v>1.1199999999999999</x:v>
      </x:c>
      <x:c r="U1791" s="15" t="n">
        <x:f>'기준스탯 72종'!G79*G1791</x:f>
        <x:v>1.1199999999999999</x:v>
      </x:c>
      <x:c r="V1791" s="15" t="n">
        <x:f>'기준스탯 72종'!H79*G1791</x:f>
        <x:v>0.41999999999999993</x:v>
      </x:c>
      <x:c r="W1791" s="15" t="n">
        <x:f>'기준스탯 72종'!I79*G1791</x:f>
        <x:v>0.8399999999999999</x:v>
      </x:c>
      <x:c r="X1791" s="15" t="n">
        <x:f>'기준스탯 72종'!J79*G1791</x:f>
        <x:v>0.41999999999999993</x:v>
      </x:c>
      <x:c r="Y1791" s="15" t="n">
        <x:f>'기준스탯 72종'!K79*G1791</x:f>
        <x:v>0.5599999999999999</x:v>
      </x:c>
      <x:c r="Z1791" s="15" t="n">
        <x:f>'기준스탯 72종'!D79*H1791</x:f>
        <x:v>1.2600000000000002</x:v>
      </x:c>
      <x:c r="AA1791" s="15" t="n">
        <x:f>'기준스탯 72종'!E79*H1791</x:f>
        <x:v>1.4400000000000004</x:v>
      </x:c>
      <x:c r="AB1791" s="15" t="n">
        <x:f>'기준스탯 72종'!F79*H1791</x:f>
        <x:v>1.4400000000000004</x:v>
      </x:c>
      <x:c r="AC1791" s="15" t="n">
        <x:f>'기준스탯 72종'!G79*H1791</x:f>
        <x:v>1.4400000000000004</x:v>
      </x:c>
      <x:c r="AD1791" s="15" t="n">
        <x:f>'기준스탯 72종'!H79*H1791</x:f>
        <x:v>0.5400000000000001</x:v>
      </x:c>
      <x:c r="AE1791" s="15" t="n">
        <x:f>'기준스탯 72종'!I79*H1791</x:f>
        <x:v>1.0800000000000003</x:v>
      </x:c>
      <x:c r="AF1791" s="15" t="n">
        <x:f>'기준스탯 72종'!J79*H1791</x:f>
        <x:v>0.5400000000000001</x:v>
      </x:c>
      <x:c r="AG1791" s="15" t="n">
        <x:f>'기준스탯 72종'!K79*H1791</x:f>
        <x:v>0.7200000000000002</x:v>
      </x:c>
    </x:row>
    <x:row r="1792" ht="28" customHeight="1">
      <x:c r="A1792" s="2" t="n">
        <x:v>1785</x:v>
      </x:c>
      <x:c r="B1792" s="2" t="n">
        <x:v>72</x:v>
      </x:c>
      <x:c r="C1792" s="2" t="str">
        <x:v>물고기자리</x:v>
      </x:c>
      <x:c r="D1792" s="2" t="str">
        <x:v>전사</x:v>
      </x:c>
      <x:c r="E1792" s="2" t="n">
        <x:v>5</x:v>
      </x:c>
      <x:c r="F1792" s="2" t="n">
        <x:v>2</x:v>
      </x:c>
      <x:c r="G1792" s="14" t="n">
        <x:f>('레벨 계산식'!$E$4-E1792)*'레벨 계산식'!$B$5</x:f>
        <x:v>0</x:v>
      </x:c>
      <x:c r="H1792" s="14" t="n">
        <x:f>('등급 계산식'!$E$4-F1792)*'등급 계산식'!$B$5</x:f>
        <x:v>0.18000000000000005</x:v>
      </x:c>
      <x:c r="I1792" s="14" t="n">
        <x:f>1-G1792-H1792</x:f>
        <x:v>0.82</x:v>
      </x:c>
      <x:c r="J1792" s="2" t="n">
        <x:f>MAX(1,ROUND('기준스탯 72종'!D79-R1792-Z1792,0))</x:f>
        <x:v>6</x:v>
      </x:c>
      <x:c r="K1792" s="2" t="n">
        <x:f>MAX(1,ROUND('기준스탯 72종'!E79-S1792-AA1792,0))</x:f>
        <x:v>7</x:v>
      </x:c>
      <x:c r="L1792" s="2" t="n">
        <x:f>MAX(1,ROUND('기준스탯 72종'!F79-T1792-AB1792,0))</x:f>
        <x:v>7</x:v>
      </x:c>
      <x:c r="M1792" s="2" t="n">
        <x:f>MAX(1,ROUND('기준스탯 72종'!G79-U1792-AC1792,0))</x:f>
        <x:v>7</x:v>
      </x:c>
      <x:c r="N1792" s="2" t="n">
        <x:f>MAX(0,ROUND('기준스탯 72종'!H79-V1792-AD1792,0))</x:f>
        <x:v>2</x:v>
      </x:c>
      <x:c r="O1792" s="2" t="n">
        <x:f>MAX(0,ROUND('기준스탯 72종'!I79-W1792-AE1792,0))</x:f>
        <x:v>5</x:v>
      </x:c>
      <x:c r="P1792" s="2" t="n">
        <x:f>MAX(0,ROUND('기준스탯 72종'!J79-X1792-AF1792,0))</x:f>
        <x:v>2</x:v>
      </x:c>
      <x:c r="Q1792" s="2" t="n">
        <x:f>MAX(0,ROUND('기준스탯 72종'!K79-Y1792-AG1792,0))</x:f>
        <x:v>3</x:v>
      </x:c>
      <x:c r="R1792" s="15" t="n">
        <x:f>'기준스탯 72종'!D79*G1792</x:f>
        <x:v>0</x:v>
      </x:c>
      <x:c r="S1792" s="15" t="n">
        <x:f>'기준스탯 72종'!E79*G1792</x:f>
        <x:v>0</x:v>
      </x:c>
      <x:c r="T1792" s="15" t="n">
        <x:f>'기준스탯 72종'!F79*G1792</x:f>
        <x:v>0</x:v>
      </x:c>
      <x:c r="U1792" s="15" t="n">
        <x:f>'기준스탯 72종'!G79*G1792</x:f>
        <x:v>0</x:v>
      </x:c>
      <x:c r="V1792" s="15" t="n">
        <x:f>'기준스탯 72종'!H79*G1792</x:f>
        <x:v>0</x:v>
      </x:c>
      <x:c r="W1792" s="15" t="n">
        <x:f>'기준스탯 72종'!I79*G1792</x:f>
        <x:v>0</x:v>
      </x:c>
      <x:c r="X1792" s="15" t="n">
        <x:f>'기준스탯 72종'!J79*G1792</x:f>
        <x:v>0</x:v>
      </x:c>
      <x:c r="Y1792" s="15" t="n">
        <x:f>'기준스탯 72종'!K79*G1792</x:f>
        <x:v>0</x:v>
      </x:c>
      <x:c r="Z1792" s="15" t="n">
        <x:f>'기준스탯 72종'!D79*H1792</x:f>
        <x:v>1.2600000000000002</x:v>
      </x:c>
      <x:c r="AA1792" s="15" t="n">
        <x:f>'기준스탯 72종'!E79*H1792</x:f>
        <x:v>1.4400000000000004</x:v>
      </x:c>
      <x:c r="AB1792" s="15" t="n">
        <x:f>'기준스탯 72종'!F79*H1792</x:f>
        <x:v>1.4400000000000004</x:v>
      </x:c>
      <x:c r="AC1792" s="15" t="n">
        <x:f>'기준스탯 72종'!G79*H1792</x:f>
        <x:v>1.4400000000000004</x:v>
      </x:c>
      <x:c r="AD1792" s="15" t="n">
        <x:f>'기준스탯 72종'!H79*H1792</x:f>
        <x:v>0.5400000000000001</x:v>
      </x:c>
      <x:c r="AE1792" s="15" t="n">
        <x:f>'기준스탯 72종'!I79*H1792</x:f>
        <x:v>1.0800000000000003</x:v>
      </x:c>
      <x:c r="AF1792" s="15" t="n">
        <x:f>'기준스탯 72종'!J79*H1792</x:f>
        <x:v>0.5400000000000001</x:v>
      </x:c>
      <x:c r="AG1792" s="15" t="n">
        <x:f>'기준스탯 72종'!K79*H1792</x:f>
        <x:v>0.7200000000000002</x:v>
      </x:c>
    </x:row>
    <x:row r="1793" ht="28" customHeight="1">
      <x:c r="A1793" s="2" t="n">
        <x:v>1786</x:v>
      </x:c>
      <x:c r="B1793" s="2" t="n">
        <x:v>72</x:v>
      </x:c>
      <x:c r="C1793" s="2" t="str">
        <x:v>물고기자리</x:v>
      </x:c>
      <x:c r="D1793" s="2" t="str">
        <x:v>전사</x:v>
      </x:c>
      <x:c r="E1793" s="2" t="n">
        <x:v>1</x:v>
      </x:c>
      <x:c r="F1793" s="2" t="n">
        <x:v>3</x:v>
      </x:c>
      <x:c r="G1793" s="14" t="n">
        <x:f>('레벨 계산식'!$E$4-E1793)*'레벨 계산식'!$B$5</x:f>
        <x:v>0.5599999999999999</x:v>
      </x:c>
      <x:c r="H1793" s="14" t="n">
        <x:f>('등급 계산식'!$E$4-F1793)*'등급 계산식'!$B$5</x:f>
        <x:v>0.12000000000000002</x:v>
      </x:c>
      <x:c r="I1793" s="14" t="n">
        <x:f>1-G1793-H1793</x:f>
        <x:v>0.32000000000000006</x:v>
      </x:c>
      <x:c r="J1793" s="2" t="n">
        <x:f>MAX(1,ROUND('기준스탯 72종'!D79-R1793-Z1793,0))</x:f>
        <x:v>2</x:v>
      </x:c>
      <x:c r="K1793" s="2" t="n">
        <x:f>MAX(1,ROUND('기준스탯 72종'!E79-S1793-AA1793,0))</x:f>
        <x:v>3</x:v>
      </x:c>
      <x:c r="L1793" s="2" t="n">
        <x:f>MAX(1,ROUND('기준스탯 72종'!F79-T1793-AB1793,0))</x:f>
        <x:v>3</x:v>
      </x:c>
      <x:c r="M1793" s="2" t="n">
        <x:f>MAX(1,ROUND('기준스탯 72종'!G79-U1793-AC1793,0))</x:f>
        <x:v>3</x:v>
      </x:c>
      <x:c r="N1793" s="2" t="n">
        <x:f>MAX(0,ROUND('기준스탯 72종'!H79-V1793-AD1793,0))</x:f>
        <x:v>1</x:v>
      </x:c>
      <x:c r="O1793" s="2" t="n">
        <x:f>MAX(0,ROUND('기준스탯 72종'!I79-W1793-AE1793,0))</x:f>
        <x:v>2</x:v>
      </x:c>
      <x:c r="P1793" s="2" t="n">
        <x:f>MAX(0,ROUND('기준스탯 72종'!J79-X1793-AF1793,0))</x:f>
        <x:v>1</x:v>
      </x:c>
      <x:c r="Q1793" s="2" t="n">
        <x:f>MAX(0,ROUND('기준스탯 72종'!K79-Y1793-AG1793,0))</x:f>
        <x:v>1</x:v>
      </x:c>
      <x:c r="R1793" s="15" t="n">
        <x:f>'기준스탯 72종'!D79*G1793</x:f>
        <x:v>3.9199999999999995</x:v>
      </x:c>
      <x:c r="S1793" s="15" t="n">
        <x:f>'기준스탯 72종'!E79*G1793</x:f>
        <x:v>4.4799999999999995</x:v>
      </x:c>
      <x:c r="T1793" s="15" t="n">
        <x:f>'기준스탯 72종'!F79*G1793</x:f>
        <x:v>4.4799999999999995</x:v>
      </x:c>
      <x:c r="U1793" s="15" t="n">
        <x:f>'기준스탯 72종'!G79*G1793</x:f>
        <x:v>4.4799999999999995</x:v>
      </x:c>
      <x:c r="V1793" s="15" t="n">
        <x:f>'기준스탯 72종'!H79*G1793</x:f>
        <x:v>1.6799999999999997</x:v>
      </x:c>
      <x:c r="W1793" s="15" t="n">
        <x:f>'기준스탯 72종'!I79*G1793</x:f>
        <x:v>3.3599999999999994</x:v>
      </x:c>
      <x:c r="X1793" s="15" t="n">
        <x:f>'기준스탯 72종'!J79*G1793</x:f>
        <x:v>1.6799999999999997</x:v>
      </x:c>
      <x:c r="Y1793" s="15" t="n">
        <x:f>'기준스탯 72종'!K79*G1793</x:f>
        <x:v>2.2399999999999998</x:v>
      </x:c>
      <x:c r="Z1793" s="15" t="n">
        <x:f>'기준스탯 72종'!D79*H1793</x:f>
        <x:v>0.8400000000000002</x:v>
      </x:c>
      <x:c r="AA1793" s="15" t="n">
        <x:f>'기준스탯 72종'!E79*H1793</x:f>
        <x:v>0.9600000000000002</x:v>
      </x:c>
      <x:c r="AB1793" s="15" t="n">
        <x:f>'기준스탯 72종'!F79*H1793</x:f>
        <x:v>0.9600000000000002</x:v>
      </x:c>
      <x:c r="AC1793" s="15" t="n">
        <x:f>'기준스탯 72종'!G79*H1793</x:f>
        <x:v>0.9600000000000002</x:v>
      </x:c>
      <x:c r="AD1793" s="15" t="n">
        <x:f>'기준스탯 72종'!H79*H1793</x:f>
        <x:v>0.3600000000000001</x:v>
      </x:c>
      <x:c r="AE1793" s="15" t="n">
        <x:f>'기준스탯 72종'!I79*H1793</x:f>
        <x:v>0.7200000000000002</x:v>
      </x:c>
      <x:c r="AF1793" s="15" t="n">
        <x:f>'기준스탯 72종'!J79*H1793</x:f>
        <x:v>0.3600000000000001</x:v>
      </x:c>
      <x:c r="AG1793" s="15" t="n">
        <x:f>'기준스탯 72종'!K79*H1793</x:f>
        <x:v>0.4800000000000001</x:v>
      </x:c>
    </x:row>
    <x:row r="1794" ht="28" customHeight="1">
      <x:c r="A1794" s="2" t="n">
        <x:v>1787</x:v>
      </x:c>
      <x:c r="B1794" s="2" t="n">
        <x:v>72</x:v>
      </x:c>
      <x:c r="C1794" s="2" t="str">
        <x:v>물고기자리</x:v>
      </x:c>
      <x:c r="D1794" s="2" t="str">
        <x:v>전사</x:v>
      </x:c>
      <x:c r="E1794" s="2" t="n">
        <x:v>2</x:v>
      </x:c>
      <x:c r="F1794" s="2" t="n">
        <x:v>3</x:v>
      </x:c>
      <x:c r="G1794" s="14" t="n">
        <x:f>('레벨 계산식'!$E$4-E1794)*'레벨 계산식'!$B$5</x:f>
        <x:v>0.41999999999999993</x:v>
      </x:c>
      <x:c r="H1794" s="14" t="n">
        <x:f>('등급 계산식'!$E$4-F1794)*'등급 계산식'!$B$5</x:f>
        <x:v>0.12000000000000002</x:v>
      </x:c>
      <x:c r="I1794" s="14" t="n">
        <x:f>1-G1794-H1794</x:f>
        <x:v>0.4600000000000001</x:v>
      </x:c>
      <x:c r="J1794" s="2" t="n">
        <x:f>MAX(1,ROUND('기준스탯 72종'!D79-R1794-Z1794,0))</x:f>
        <x:v>3</x:v>
      </x:c>
      <x:c r="K1794" s="2" t="n">
        <x:f>MAX(1,ROUND('기준스탯 72종'!E79-S1794-AA1794,0))</x:f>
        <x:v>4</x:v>
      </x:c>
      <x:c r="L1794" s="2" t="n">
        <x:f>MAX(1,ROUND('기준스탯 72종'!F79-T1794-AB1794,0))</x:f>
        <x:v>4</x:v>
      </x:c>
      <x:c r="M1794" s="2" t="n">
        <x:f>MAX(1,ROUND('기준스탯 72종'!G79-U1794-AC1794,0))</x:f>
        <x:v>4</x:v>
      </x:c>
      <x:c r="N1794" s="2" t="n">
        <x:f>MAX(0,ROUND('기준스탯 72종'!H79-V1794-AD1794,0))</x:f>
        <x:v>1</x:v>
      </x:c>
      <x:c r="O1794" s="2" t="n">
        <x:f>MAX(0,ROUND('기준스탯 72종'!I79-W1794-AE1794,0))</x:f>
        <x:v>3</x:v>
      </x:c>
      <x:c r="P1794" s="2" t="n">
        <x:f>MAX(0,ROUND('기준스탯 72종'!J79-X1794-AF1794,0))</x:f>
        <x:v>1</x:v>
      </x:c>
      <x:c r="Q1794" s="2" t="n">
        <x:f>MAX(0,ROUND('기준스탯 72종'!K79-Y1794-AG1794,0))</x:f>
        <x:v>2</x:v>
      </x:c>
      <x:c r="R1794" s="15" t="n">
        <x:f>'기준스탯 72종'!D79*G1794</x:f>
        <x:v>2.9399999999999995</x:v>
      </x:c>
      <x:c r="S1794" s="15" t="n">
        <x:f>'기준스탯 72종'!E79*G1794</x:f>
        <x:v>3.3599999999999994</x:v>
      </x:c>
      <x:c r="T1794" s="15" t="n">
        <x:f>'기준스탯 72종'!F79*G1794</x:f>
        <x:v>3.3599999999999994</x:v>
      </x:c>
      <x:c r="U1794" s="15" t="n">
        <x:f>'기준스탯 72종'!G79*G1794</x:f>
        <x:v>3.3599999999999994</x:v>
      </x:c>
      <x:c r="V1794" s="15" t="n">
        <x:f>'기준스탯 72종'!H79*G1794</x:f>
        <x:v>1.2599999999999998</x:v>
      </x:c>
      <x:c r="W1794" s="15" t="n">
        <x:f>'기준스탯 72종'!I79*G1794</x:f>
        <x:v>2.5199999999999996</x:v>
      </x:c>
      <x:c r="X1794" s="15" t="n">
        <x:f>'기준스탯 72종'!J79*G1794</x:f>
        <x:v>1.2599999999999998</x:v>
      </x:c>
      <x:c r="Y1794" s="15" t="n">
        <x:f>'기준스탯 72종'!K79*G1794</x:f>
        <x:v>1.6799999999999997</x:v>
      </x:c>
      <x:c r="Z1794" s="15" t="n">
        <x:f>'기준스탯 72종'!D79*H1794</x:f>
        <x:v>0.8400000000000002</x:v>
      </x:c>
      <x:c r="AA1794" s="15" t="n">
        <x:f>'기준스탯 72종'!E79*H1794</x:f>
        <x:v>0.9600000000000002</x:v>
      </x:c>
      <x:c r="AB1794" s="15" t="n">
        <x:f>'기준스탯 72종'!F79*H1794</x:f>
        <x:v>0.9600000000000002</x:v>
      </x:c>
      <x:c r="AC1794" s="15" t="n">
        <x:f>'기준스탯 72종'!G79*H1794</x:f>
        <x:v>0.9600000000000002</x:v>
      </x:c>
      <x:c r="AD1794" s="15" t="n">
        <x:f>'기준스탯 72종'!H79*H1794</x:f>
        <x:v>0.3600000000000001</x:v>
      </x:c>
      <x:c r="AE1794" s="15" t="n">
        <x:f>'기준스탯 72종'!I79*H1794</x:f>
        <x:v>0.7200000000000002</x:v>
      </x:c>
      <x:c r="AF1794" s="15" t="n">
        <x:f>'기준스탯 72종'!J79*H1794</x:f>
        <x:v>0.3600000000000001</x:v>
      </x:c>
      <x:c r="AG1794" s="15" t="n">
        <x:f>'기준스탯 72종'!K79*H1794</x:f>
        <x:v>0.4800000000000001</x:v>
      </x:c>
    </x:row>
    <x:row r="1795" ht="28" customHeight="1">
      <x:c r="A1795" s="2" t="n">
        <x:v>1788</x:v>
      </x:c>
      <x:c r="B1795" s="2" t="n">
        <x:v>72</x:v>
      </x:c>
      <x:c r="C1795" s="2" t="str">
        <x:v>물고기자리</x:v>
      </x:c>
      <x:c r="D1795" s="2" t="str">
        <x:v>전사</x:v>
      </x:c>
      <x:c r="E1795" s="2" t="n">
        <x:v>3</x:v>
      </x:c>
      <x:c r="F1795" s="2" t="n">
        <x:v>3</x:v>
      </x:c>
      <x:c r="G1795" s="14" t="n">
        <x:f>('레벨 계산식'!$E$4-E1795)*'레벨 계산식'!$B$5</x:f>
        <x:v>0.27999999999999997</x:v>
      </x:c>
      <x:c r="H1795" s="14" t="n">
        <x:f>('등급 계산식'!$E$4-F1795)*'등급 계산식'!$B$5</x:f>
        <x:v>0.12000000000000002</x:v>
      </x:c>
      <x:c r="I1795" s="14" t="n">
        <x:f>1-G1795-H1795</x:f>
        <x:v>0.6</x:v>
      </x:c>
      <x:c r="J1795" s="2" t="n">
        <x:f>MAX(1,ROUND('기준스탯 72종'!D79-R1795-Z1795,0))</x:f>
        <x:v>4</x:v>
      </x:c>
      <x:c r="K1795" s="2" t="n">
        <x:f>MAX(1,ROUND('기준스탯 72종'!E79-S1795-AA1795,0))</x:f>
        <x:v>5</x:v>
      </x:c>
      <x:c r="L1795" s="2" t="n">
        <x:f>MAX(1,ROUND('기준스탯 72종'!F79-T1795-AB1795,0))</x:f>
        <x:v>5</x:v>
      </x:c>
      <x:c r="M1795" s="2" t="n">
        <x:f>MAX(1,ROUND('기준스탯 72종'!G79-U1795-AC1795,0))</x:f>
        <x:v>5</x:v>
      </x:c>
      <x:c r="N1795" s="2" t="n">
        <x:f>MAX(0,ROUND('기준스탯 72종'!H79-V1795-AD1795,0))</x:f>
        <x:v>2</x:v>
      </x:c>
      <x:c r="O1795" s="2" t="n">
        <x:f>MAX(0,ROUND('기준스탯 72종'!I79-W1795-AE1795,0))</x:f>
        <x:v>4</x:v>
      </x:c>
      <x:c r="P1795" s="2" t="n">
        <x:f>MAX(0,ROUND('기준스탯 72종'!J79-X1795-AF1795,0))</x:f>
        <x:v>2</x:v>
      </x:c>
      <x:c r="Q1795" s="2" t="n">
        <x:f>MAX(0,ROUND('기준스탯 72종'!K79-Y1795-AG1795,0))</x:f>
        <x:v>2</x:v>
      </x:c>
      <x:c r="R1795" s="15" t="n">
        <x:f>'기준스탯 72종'!D79*G1795</x:f>
        <x:v>1.9599999999999997</x:v>
      </x:c>
      <x:c r="S1795" s="15" t="n">
        <x:f>'기준스탯 72종'!E79*G1795</x:f>
        <x:v>2.2399999999999998</x:v>
      </x:c>
      <x:c r="T1795" s="15" t="n">
        <x:f>'기준스탯 72종'!F79*G1795</x:f>
        <x:v>2.2399999999999998</x:v>
      </x:c>
      <x:c r="U1795" s="15" t="n">
        <x:f>'기준스탯 72종'!G79*G1795</x:f>
        <x:v>2.2399999999999998</x:v>
      </x:c>
      <x:c r="V1795" s="15" t="n">
        <x:f>'기준스탯 72종'!H79*G1795</x:f>
        <x:v>0.8399999999999999</x:v>
      </x:c>
      <x:c r="W1795" s="15" t="n">
        <x:f>'기준스탯 72종'!I79*G1795</x:f>
        <x:v>1.6799999999999997</x:v>
      </x:c>
      <x:c r="X1795" s="15" t="n">
        <x:f>'기준스탯 72종'!J79*G1795</x:f>
        <x:v>0.8399999999999999</x:v>
      </x:c>
      <x:c r="Y1795" s="15" t="n">
        <x:f>'기준스탯 72종'!K79*G1795</x:f>
        <x:v>1.1199999999999999</x:v>
      </x:c>
      <x:c r="Z1795" s="15" t="n">
        <x:f>'기준스탯 72종'!D79*H1795</x:f>
        <x:v>0.8400000000000002</x:v>
      </x:c>
      <x:c r="AA1795" s="15" t="n">
        <x:f>'기준스탯 72종'!E79*H1795</x:f>
        <x:v>0.9600000000000002</x:v>
      </x:c>
      <x:c r="AB1795" s="15" t="n">
        <x:f>'기준스탯 72종'!F79*H1795</x:f>
        <x:v>0.9600000000000002</x:v>
      </x:c>
      <x:c r="AC1795" s="15" t="n">
        <x:f>'기준스탯 72종'!G79*H1795</x:f>
        <x:v>0.9600000000000002</x:v>
      </x:c>
      <x:c r="AD1795" s="15" t="n">
        <x:f>'기준스탯 72종'!H79*H1795</x:f>
        <x:v>0.3600000000000001</x:v>
      </x:c>
      <x:c r="AE1795" s="15" t="n">
        <x:f>'기준스탯 72종'!I79*H1795</x:f>
        <x:v>0.7200000000000002</x:v>
      </x:c>
      <x:c r="AF1795" s="15" t="n">
        <x:f>'기준스탯 72종'!J79*H1795</x:f>
        <x:v>0.3600000000000001</x:v>
      </x:c>
      <x:c r="AG1795" s="15" t="n">
        <x:f>'기준스탯 72종'!K79*H1795</x:f>
        <x:v>0.4800000000000001</x:v>
      </x:c>
    </x:row>
    <x:row r="1796" ht="28" customHeight="1">
      <x:c r="A1796" s="2" t="n">
        <x:v>1789</x:v>
      </x:c>
      <x:c r="B1796" s="2" t="n">
        <x:v>72</x:v>
      </x:c>
      <x:c r="C1796" s="2" t="str">
        <x:v>물고기자리</x:v>
      </x:c>
      <x:c r="D1796" s="2" t="str">
        <x:v>전사</x:v>
      </x:c>
      <x:c r="E1796" s="2" t="n">
        <x:v>4</x:v>
      </x:c>
      <x:c r="F1796" s="2" t="n">
        <x:v>3</x:v>
      </x:c>
      <x:c r="G1796" s="14" t="n">
        <x:f>('레벨 계산식'!$E$4-E1796)*'레벨 계산식'!$B$5</x:f>
        <x:v>0.13999999999999999</x:v>
      </x:c>
      <x:c r="H1796" s="14" t="n">
        <x:f>('등급 계산식'!$E$4-F1796)*'등급 계산식'!$B$5</x:f>
        <x:v>0.12000000000000002</x:v>
      </x:c>
      <x:c r="I1796" s="14" t="n">
        <x:f>1-G1796-H1796</x:f>
        <x:v>0.74</x:v>
      </x:c>
      <x:c r="J1796" s="2" t="n">
        <x:f>MAX(1,ROUND('기준스탯 72종'!D79-R1796-Z1796,0))</x:f>
        <x:v>5</x:v>
      </x:c>
      <x:c r="K1796" s="2" t="n">
        <x:f>MAX(1,ROUND('기준스탯 72종'!E79-S1796-AA1796,0))</x:f>
        <x:v>6</x:v>
      </x:c>
      <x:c r="L1796" s="2" t="n">
        <x:f>MAX(1,ROUND('기준스탯 72종'!F79-T1796-AB1796,0))</x:f>
        <x:v>6</x:v>
      </x:c>
      <x:c r="M1796" s="2" t="n">
        <x:f>MAX(1,ROUND('기준스탯 72종'!G79-U1796-AC1796,0))</x:f>
        <x:v>6</x:v>
      </x:c>
      <x:c r="N1796" s="2" t="n">
        <x:f>MAX(0,ROUND('기준스탯 72종'!H79-V1796-AD1796,0))</x:f>
        <x:v>2</x:v>
      </x:c>
      <x:c r="O1796" s="2" t="n">
        <x:f>MAX(0,ROUND('기준스탯 72종'!I79-W1796-AE1796,0))</x:f>
        <x:v>4</x:v>
      </x:c>
      <x:c r="P1796" s="2" t="n">
        <x:f>MAX(0,ROUND('기준스탯 72종'!J79-X1796-AF1796,0))</x:f>
        <x:v>2</x:v>
      </x:c>
      <x:c r="Q1796" s="2" t="n">
        <x:f>MAX(0,ROUND('기준스탯 72종'!K79-Y1796-AG1796,0))</x:f>
        <x:v>3</x:v>
      </x:c>
      <x:c r="R1796" s="15" t="n">
        <x:f>'기준스탯 72종'!D79*G1796</x:f>
        <x:v>0.9799999999999999</x:v>
      </x:c>
      <x:c r="S1796" s="15" t="n">
        <x:f>'기준스탯 72종'!E79*G1796</x:f>
        <x:v>1.1199999999999999</x:v>
      </x:c>
      <x:c r="T1796" s="15" t="n">
        <x:f>'기준스탯 72종'!F79*G1796</x:f>
        <x:v>1.1199999999999999</x:v>
      </x:c>
      <x:c r="U1796" s="15" t="n">
        <x:f>'기준스탯 72종'!G79*G1796</x:f>
        <x:v>1.1199999999999999</x:v>
      </x:c>
      <x:c r="V1796" s="15" t="n">
        <x:f>'기준스탯 72종'!H79*G1796</x:f>
        <x:v>0.41999999999999993</x:v>
      </x:c>
      <x:c r="W1796" s="15" t="n">
        <x:f>'기준스탯 72종'!I79*G1796</x:f>
        <x:v>0.8399999999999999</x:v>
      </x:c>
      <x:c r="X1796" s="15" t="n">
        <x:f>'기준스탯 72종'!J79*G1796</x:f>
        <x:v>0.41999999999999993</x:v>
      </x:c>
      <x:c r="Y1796" s="15" t="n">
        <x:f>'기준스탯 72종'!K79*G1796</x:f>
        <x:v>0.5599999999999999</x:v>
      </x:c>
      <x:c r="Z1796" s="15" t="n">
        <x:f>'기준스탯 72종'!D79*H1796</x:f>
        <x:v>0.8400000000000002</x:v>
      </x:c>
      <x:c r="AA1796" s="15" t="n">
        <x:f>'기준스탯 72종'!E79*H1796</x:f>
        <x:v>0.9600000000000002</x:v>
      </x:c>
      <x:c r="AB1796" s="15" t="n">
        <x:f>'기준스탯 72종'!F79*H1796</x:f>
        <x:v>0.9600000000000002</x:v>
      </x:c>
      <x:c r="AC1796" s="15" t="n">
        <x:f>'기준스탯 72종'!G79*H1796</x:f>
        <x:v>0.9600000000000002</x:v>
      </x:c>
      <x:c r="AD1796" s="15" t="n">
        <x:f>'기준스탯 72종'!H79*H1796</x:f>
        <x:v>0.3600000000000001</x:v>
      </x:c>
      <x:c r="AE1796" s="15" t="n">
        <x:f>'기준스탯 72종'!I79*H1796</x:f>
        <x:v>0.7200000000000002</x:v>
      </x:c>
      <x:c r="AF1796" s="15" t="n">
        <x:f>'기준스탯 72종'!J79*H1796</x:f>
        <x:v>0.3600000000000001</x:v>
      </x:c>
      <x:c r="AG1796" s="15" t="n">
        <x:f>'기준스탯 72종'!K79*H1796</x:f>
        <x:v>0.4800000000000001</x:v>
      </x:c>
    </x:row>
    <x:row r="1797" ht="28" customHeight="1">
      <x:c r="A1797" s="2" t="n">
        <x:v>1790</x:v>
      </x:c>
      <x:c r="B1797" s="2" t="n">
        <x:v>72</x:v>
      </x:c>
      <x:c r="C1797" s="2" t="str">
        <x:v>물고기자리</x:v>
      </x:c>
      <x:c r="D1797" s="2" t="str">
        <x:v>전사</x:v>
      </x:c>
      <x:c r="E1797" s="2" t="n">
        <x:v>5</x:v>
      </x:c>
      <x:c r="F1797" s="2" t="n">
        <x:v>3</x:v>
      </x:c>
      <x:c r="G1797" s="14" t="n">
        <x:f>('레벨 계산식'!$E$4-E1797)*'레벨 계산식'!$B$5</x:f>
        <x:v>0</x:v>
      </x:c>
      <x:c r="H1797" s="14" t="n">
        <x:f>('등급 계산식'!$E$4-F1797)*'등급 계산식'!$B$5</x:f>
        <x:v>0.12000000000000002</x:v>
      </x:c>
      <x:c r="I1797" s="14" t="n">
        <x:f>1-G1797-H1797</x:f>
        <x:v>0.88</x:v>
      </x:c>
      <x:c r="J1797" s="2" t="n">
        <x:f>MAX(1,ROUND('기준스탯 72종'!D79-R1797-Z1797,0))</x:f>
        <x:v>6</x:v>
      </x:c>
      <x:c r="K1797" s="2" t="n">
        <x:f>MAX(1,ROUND('기준스탯 72종'!E79-S1797-AA1797,0))</x:f>
        <x:v>7</x:v>
      </x:c>
      <x:c r="L1797" s="2" t="n">
        <x:f>MAX(1,ROUND('기준스탯 72종'!F79-T1797-AB1797,0))</x:f>
        <x:v>7</x:v>
      </x:c>
      <x:c r="M1797" s="2" t="n">
        <x:f>MAX(1,ROUND('기준스탯 72종'!G79-U1797-AC1797,0))</x:f>
        <x:v>7</x:v>
      </x:c>
      <x:c r="N1797" s="2" t="n">
        <x:f>MAX(0,ROUND('기준스탯 72종'!H79-V1797-AD1797,0))</x:f>
        <x:v>3</x:v>
      </x:c>
      <x:c r="O1797" s="2" t="n">
        <x:f>MAX(0,ROUND('기준스탯 72종'!I79-W1797-AE1797,0))</x:f>
        <x:v>5</x:v>
      </x:c>
      <x:c r="P1797" s="2" t="n">
        <x:f>MAX(0,ROUND('기준스탯 72종'!J79-X1797-AF1797,0))</x:f>
        <x:v>3</x:v>
      </x:c>
      <x:c r="Q1797" s="2" t="n">
        <x:f>MAX(0,ROUND('기준스탯 72종'!K79-Y1797-AG1797,0))</x:f>
        <x:v>4</x:v>
      </x:c>
      <x:c r="R1797" s="15" t="n">
        <x:f>'기준스탯 72종'!D79*G1797</x:f>
        <x:v>0</x:v>
      </x:c>
      <x:c r="S1797" s="15" t="n">
        <x:f>'기준스탯 72종'!E79*G1797</x:f>
        <x:v>0</x:v>
      </x:c>
      <x:c r="T1797" s="15" t="n">
        <x:f>'기준스탯 72종'!F79*G1797</x:f>
        <x:v>0</x:v>
      </x:c>
      <x:c r="U1797" s="15" t="n">
        <x:f>'기준스탯 72종'!G79*G1797</x:f>
        <x:v>0</x:v>
      </x:c>
      <x:c r="V1797" s="15" t="n">
        <x:f>'기준스탯 72종'!H79*G1797</x:f>
        <x:v>0</x:v>
      </x:c>
      <x:c r="W1797" s="15" t="n">
        <x:f>'기준스탯 72종'!I79*G1797</x:f>
        <x:v>0</x:v>
      </x:c>
      <x:c r="X1797" s="15" t="n">
        <x:f>'기준스탯 72종'!J79*G1797</x:f>
        <x:v>0</x:v>
      </x:c>
      <x:c r="Y1797" s="15" t="n">
        <x:f>'기준스탯 72종'!K79*G1797</x:f>
        <x:v>0</x:v>
      </x:c>
      <x:c r="Z1797" s="15" t="n">
        <x:f>'기준스탯 72종'!D79*H1797</x:f>
        <x:v>0.8400000000000002</x:v>
      </x:c>
      <x:c r="AA1797" s="15" t="n">
        <x:f>'기준스탯 72종'!E79*H1797</x:f>
        <x:v>0.9600000000000002</x:v>
      </x:c>
      <x:c r="AB1797" s="15" t="n">
        <x:f>'기준스탯 72종'!F79*H1797</x:f>
        <x:v>0.9600000000000002</x:v>
      </x:c>
      <x:c r="AC1797" s="15" t="n">
        <x:f>'기준스탯 72종'!G79*H1797</x:f>
        <x:v>0.9600000000000002</x:v>
      </x:c>
      <x:c r="AD1797" s="15" t="n">
        <x:f>'기준스탯 72종'!H79*H1797</x:f>
        <x:v>0.3600000000000001</x:v>
      </x:c>
      <x:c r="AE1797" s="15" t="n">
        <x:f>'기준스탯 72종'!I79*H1797</x:f>
        <x:v>0.7200000000000002</x:v>
      </x:c>
      <x:c r="AF1797" s="15" t="n">
        <x:f>'기준스탯 72종'!J79*H1797</x:f>
        <x:v>0.3600000000000001</x:v>
      </x:c>
      <x:c r="AG1797" s="15" t="n">
        <x:f>'기준스탯 72종'!K79*H1797</x:f>
        <x:v>0.4800000000000001</x:v>
      </x:c>
    </x:row>
    <x:row r="1798" ht="28" customHeight="1">
      <x:c r="A1798" s="2" t="n">
        <x:v>1791</x:v>
      </x:c>
      <x:c r="B1798" s="2" t="n">
        <x:v>72</x:v>
      </x:c>
      <x:c r="C1798" s="2" t="str">
        <x:v>물고기자리</x:v>
      </x:c>
      <x:c r="D1798" s="2" t="str">
        <x:v>전사</x:v>
      </x:c>
      <x:c r="E1798" s="2" t="n">
        <x:v>1</x:v>
      </x:c>
      <x:c r="F1798" s="2" t="n">
        <x:v>4</x:v>
      </x:c>
      <x:c r="G1798" s="14" t="n">
        <x:f>('레벨 계산식'!$E$4-E1798)*'레벨 계산식'!$B$5</x:f>
        <x:v>0.5599999999999999</x:v>
      </x:c>
      <x:c r="H1798" s="14" t="n">
        <x:f>('등급 계산식'!$E$4-F1798)*'등급 계산식'!$B$5</x:f>
        <x:v>0.06000000000000001</x:v>
      </x:c>
      <x:c r="I1798" s="14" t="n">
        <x:f>1-G1798-H1798</x:f>
        <x:v>0.38000000000000006</x:v>
      </x:c>
      <x:c r="J1798" s="2" t="n">
        <x:f>MAX(1,ROUND('기준스탯 72종'!D79-R1798-Z1798,0))</x:f>
        <x:v>3</x:v>
      </x:c>
      <x:c r="K1798" s="2" t="n">
        <x:f>MAX(1,ROUND('기준스탯 72종'!E79-S1798-AA1798,0))</x:f>
        <x:v>3</x:v>
      </x:c>
      <x:c r="L1798" s="2" t="n">
        <x:f>MAX(1,ROUND('기준스탯 72종'!F79-T1798-AB1798,0))</x:f>
        <x:v>3</x:v>
      </x:c>
      <x:c r="M1798" s="2" t="n">
        <x:f>MAX(1,ROUND('기준스탯 72종'!G79-U1798-AC1798,0))</x:f>
        <x:v>3</x:v>
      </x:c>
      <x:c r="N1798" s="2" t="n">
        <x:f>MAX(0,ROUND('기준스탯 72종'!H79-V1798-AD1798,0))</x:f>
        <x:v>1</x:v>
      </x:c>
      <x:c r="O1798" s="2" t="n">
        <x:f>MAX(0,ROUND('기준스탯 72종'!I79-W1798-AE1798,0))</x:f>
        <x:v>2</x:v>
      </x:c>
      <x:c r="P1798" s="2" t="n">
        <x:f>MAX(0,ROUND('기준스탯 72종'!J79-X1798-AF1798,0))</x:f>
        <x:v>1</x:v>
      </x:c>
      <x:c r="Q1798" s="2" t="n">
        <x:f>MAX(0,ROUND('기준스탯 72종'!K79-Y1798-AG1798,0))</x:f>
        <x:v>2</x:v>
      </x:c>
      <x:c r="R1798" s="15" t="n">
        <x:f>'기준스탯 72종'!D79*G1798</x:f>
        <x:v>3.9199999999999995</x:v>
      </x:c>
      <x:c r="S1798" s="15" t="n">
        <x:f>'기준스탯 72종'!E79*G1798</x:f>
        <x:v>4.4799999999999995</x:v>
      </x:c>
      <x:c r="T1798" s="15" t="n">
        <x:f>'기준스탯 72종'!F79*G1798</x:f>
        <x:v>4.4799999999999995</x:v>
      </x:c>
      <x:c r="U1798" s="15" t="n">
        <x:f>'기준스탯 72종'!G79*G1798</x:f>
        <x:v>4.4799999999999995</x:v>
      </x:c>
      <x:c r="V1798" s="15" t="n">
        <x:f>'기준스탯 72종'!H79*G1798</x:f>
        <x:v>1.6799999999999997</x:v>
      </x:c>
      <x:c r="W1798" s="15" t="n">
        <x:f>'기준스탯 72종'!I79*G1798</x:f>
        <x:v>3.3599999999999994</x:v>
      </x:c>
      <x:c r="X1798" s="15" t="n">
        <x:f>'기준스탯 72종'!J79*G1798</x:f>
        <x:v>1.6799999999999997</x:v>
      </x:c>
      <x:c r="Y1798" s="15" t="n">
        <x:f>'기준스탯 72종'!K79*G1798</x:f>
        <x:v>2.2399999999999998</x:v>
      </x:c>
      <x:c r="Z1798" s="15" t="n">
        <x:f>'기준스탯 72종'!D79*H1798</x:f>
        <x:v>0.4200000000000001</x:v>
      </x:c>
      <x:c r="AA1798" s="15" t="n">
        <x:f>'기준스탯 72종'!E79*H1798</x:f>
        <x:v>0.4800000000000001</x:v>
      </x:c>
      <x:c r="AB1798" s="15" t="n">
        <x:f>'기준스탯 72종'!F79*H1798</x:f>
        <x:v>0.4800000000000001</x:v>
      </x:c>
      <x:c r="AC1798" s="15" t="n">
        <x:f>'기준스탯 72종'!G79*H1798</x:f>
        <x:v>0.4800000000000001</x:v>
      </x:c>
      <x:c r="AD1798" s="15" t="n">
        <x:f>'기준스탯 72종'!H79*H1798</x:f>
        <x:v>0.18000000000000005</x:v>
      </x:c>
      <x:c r="AE1798" s="15" t="n">
        <x:f>'기준스탯 72종'!I79*H1798</x:f>
        <x:v>0.3600000000000001</x:v>
      </x:c>
      <x:c r="AF1798" s="15" t="n">
        <x:f>'기준스탯 72종'!J79*H1798</x:f>
        <x:v>0.18000000000000005</x:v>
      </x:c>
      <x:c r="AG1798" s="15" t="n">
        <x:f>'기준스탯 72종'!K79*H1798</x:f>
        <x:v>0.24000000000000005</x:v>
      </x:c>
    </x:row>
    <x:row r="1799" ht="28" customHeight="1">
      <x:c r="A1799" s="2" t="n">
        <x:v>1792</x:v>
      </x:c>
      <x:c r="B1799" s="2" t="n">
        <x:v>72</x:v>
      </x:c>
      <x:c r="C1799" s="2" t="str">
        <x:v>물고기자리</x:v>
      </x:c>
      <x:c r="D1799" s="2" t="str">
        <x:v>전사</x:v>
      </x:c>
      <x:c r="E1799" s="2" t="n">
        <x:v>2</x:v>
      </x:c>
      <x:c r="F1799" s="2" t="n">
        <x:v>4</x:v>
      </x:c>
      <x:c r="G1799" s="14" t="n">
        <x:f>('레벨 계산식'!$E$4-E1799)*'레벨 계산식'!$B$5</x:f>
        <x:v>0.41999999999999993</x:v>
      </x:c>
      <x:c r="H1799" s="14" t="n">
        <x:f>('등급 계산식'!$E$4-F1799)*'등급 계산식'!$B$5</x:f>
        <x:v>0.06000000000000001</x:v>
      </x:c>
      <x:c r="I1799" s="14" t="n">
        <x:f>1-G1799-H1799</x:f>
        <x:v>0.52</x:v>
      </x:c>
      <x:c r="J1799" s="2" t="n">
        <x:f>MAX(1,ROUND('기준스탯 72종'!D79-R1799-Z1799,0))</x:f>
        <x:v>4</x:v>
      </x:c>
      <x:c r="K1799" s="2" t="n">
        <x:f>MAX(1,ROUND('기준스탯 72종'!E79-S1799-AA1799,0))</x:f>
        <x:v>4</x:v>
      </x:c>
      <x:c r="L1799" s="2" t="n">
        <x:f>MAX(1,ROUND('기준스탯 72종'!F79-T1799-AB1799,0))</x:f>
        <x:v>4</x:v>
      </x:c>
      <x:c r="M1799" s="2" t="n">
        <x:f>MAX(1,ROUND('기준스탯 72종'!G79-U1799-AC1799,0))</x:f>
        <x:v>4</x:v>
      </x:c>
      <x:c r="N1799" s="2" t="n">
        <x:f>MAX(0,ROUND('기준스탯 72종'!H79-V1799-AD1799,0))</x:f>
        <x:v>2</x:v>
      </x:c>
      <x:c r="O1799" s="2" t="n">
        <x:f>MAX(0,ROUND('기준스탯 72종'!I79-W1799-AE1799,0))</x:f>
        <x:v>3</x:v>
      </x:c>
      <x:c r="P1799" s="2" t="n">
        <x:f>MAX(0,ROUND('기준스탯 72종'!J79-X1799-AF1799,0))</x:f>
        <x:v>2</x:v>
      </x:c>
      <x:c r="Q1799" s="2" t="n">
        <x:f>MAX(0,ROUND('기준스탯 72종'!K79-Y1799-AG1799,0))</x:f>
        <x:v>2</x:v>
      </x:c>
      <x:c r="R1799" s="15" t="n">
        <x:f>'기준스탯 72종'!D79*G1799</x:f>
        <x:v>2.9399999999999995</x:v>
      </x:c>
      <x:c r="S1799" s="15" t="n">
        <x:f>'기준스탯 72종'!E79*G1799</x:f>
        <x:v>3.3599999999999994</x:v>
      </x:c>
      <x:c r="T1799" s="15" t="n">
        <x:f>'기준스탯 72종'!F79*G1799</x:f>
        <x:v>3.3599999999999994</x:v>
      </x:c>
      <x:c r="U1799" s="15" t="n">
        <x:f>'기준스탯 72종'!G79*G1799</x:f>
        <x:v>3.3599999999999994</x:v>
      </x:c>
      <x:c r="V1799" s="15" t="n">
        <x:f>'기준스탯 72종'!H79*G1799</x:f>
        <x:v>1.2599999999999998</x:v>
      </x:c>
      <x:c r="W1799" s="15" t="n">
        <x:f>'기준스탯 72종'!I79*G1799</x:f>
        <x:v>2.5199999999999996</x:v>
      </x:c>
      <x:c r="X1799" s="15" t="n">
        <x:f>'기준스탯 72종'!J79*G1799</x:f>
        <x:v>1.2599999999999998</x:v>
      </x:c>
      <x:c r="Y1799" s="15" t="n">
        <x:f>'기준스탯 72종'!K79*G1799</x:f>
        <x:v>1.6799999999999997</x:v>
      </x:c>
      <x:c r="Z1799" s="15" t="n">
        <x:f>'기준스탯 72종'!D79*H1799</x:f>
        <x:v>0.4200000000000001</x:v>
      </x:c>
      <x:c r="AA1799" s="15" t="n">
        <x:f>'기준스탯 72종'!E79*H1799</x:f>
        <x:v>0.4800000000000001</x:v>
      </x:c>
      <x:c r="AB1799" s="15" t="n">
        <x:f>'기준스탯 72종'!F79*H1799</x:f>
        <x:v>0.4800000000000001</x:v>
      </x:c>
      <x:c r="AC1799" s="15" t="n">
        <x:f>'기준스탯 72종'!G79*H1799</x:f>
        <x:v>0.4800000000000001</x:v>
      </x:c>
      <x:c r="AD1799" s="15" t="n">
        <x:f>'기준스탯 72종'!H79*H1799</x:f>
        <x:v>0.18000000000000005</x:v>
      </x:c>
      <x:c r="AE1799" s="15" t="n">
        <x:f>'기준스탯 72종'!I79*H1799</x:f>
        <x:v>0.3600000000000001</x:v>
      </x:c>
      <x:c r="AF1799" s="15" t="n">
        <x:f>'기준스탯 72종'!J79*H1799</x:f>
        <x:v>0.18000000000000005</x:v>
      </x:c>
      <x:c r="AG1799" s="15" t="n">
        <x:f>'기준스탯 72종'!K79*H1799</x:f>
        <x:v>0.24000000000000005</x:v>
      </x:c>
    </x:row>
    <x:row r="1800" ht="28" customHeight="1">
      <x:c r="A1800" s="2" t="n">
        <x:v>1793</x:v>
      </x:c>
      <x:c r="B1800" s="2" t="n">
        <x:v>72</x:v>
      </x:c>
      <x:c r="C1800" s="2" t="str">
        <x:v>물고기자리</x:v>
      </x:c>
      <x:c r="D1800" s="2" t="str">
        <x:v>전사</x:v>
      </x:c>
      <x:c r="E1800" s="2" t="n">
        <x:v>3</x:v>
      </x:c>
      <x:c r="F1800" s="2" t="n">
        <x:v>4</x:v>
      </x:c>
      <x:c r="G1800" s="14" t="n">
        <x:f>('레벨 계산식'!$E$4-E1800)*'레벨 계산식'!$B$5</x:f>
        <x:v>0.27999999999999997</x:v>
      </x:c>
      <x:c r="H1800" s="14" t="n">
        <x:f>('등급 계산식'!$E$4-F1800)*'등급 계산식'!$B$5</x:f>
        <x:v>0.06000000000000001</x:v>
      </x:c>
      <x:c r="I1800" s="14" t="n">
        <x:f>1-G1800-H1800</x:f>
        <x:v>0.6599999999999999</x:v>
      </x:c>
      <x:c r="J1800" s="2" t="n">
        <x:f>MAX(1,ROUND('기준스탯 72종'!D79-R1800-Z1800,0))</x:f>
        <x:v>5</x:v>
      </x:c>
      <x:c r="K1800" s="2" t="n">
        <x:f>MAX(1,ROUND('기준스탯 72종'!E79-S1800-AA1800,0))</x:f>
        <x:v>5</x:v>
      </x:c>
      <x:c r="L1800" s="2" t="n">
        <x:f>MAX(1,ROUND('기준스탯 72종'!F79-T1800-AB1800,0))</x:f>
        <x:v>5</x:v>
      </x:c>
      <x:c r="M1800" s="2" t="n">
        <x:f>MAX(1,ROUND('기준스탯 72종'!G79-U1800-AC1800,0))</x:f>
        <x:v>5</x:v>
      </x:c>
      <x:c r="N1800" s="2" t="n">
        <x:f>MAX(0,ROUND('기준스탯 72종'!H79-V1800-AD1800,0))</x:f>
        <x:v>2</x:v>
      </x:c>
      <x:c r="O1800" s="2" t="n">
        <x:f>MAX(0,ROUND('기준스탯 72종'!I79-W1800-AE1800,0))</x:f>
        <x:v>4</x:v>
      </x:c>
      <x:c r="P1800" s="2" t="n">
        <x:f>MAX(0,ROUND('기준스탯 72종'!J79-X1800-AF1800,0))</x:f>
        <x:v>2</x:v>
      </x:c>
      <x:c r="Q1800" s="2" t="n">
        <x:f>MAX(0,ROUND('기준스탯 72종'!K79-Y1800-AG1800,0))</x:f>
        <x:v>3</x:v>
      </x:c>
      <x:c r="R1800" s="15" t="n">
        <x:f>'기준스탯 72종'!D79*G1800</x:f>
        <x:v>1.9599999999999997</x:v>
      </x:c>
      <x:c r="S1800" s="15" t="n">
        <x:f>'기준스탯 72종'!E79*G1800</x:f>
        <x:v>2.2399999999999998</x:v>
      </x:c>
      <x:c r="T1800" s="15" t="n">
        <x:f>'기준스탯 72종'!F79*G1800</x:f>
        <x:v>2.2399999999999998</x:v>
      </x:c>
      <x:c r="U1800" s="15" t="n">
        <x:f>'기준스탯 72종'!G79*G1800</x:f>
        <x:v>2.2399999999999998</x:v>
      </x:c>
      <x:c r="V1800" s="15" t="n">
        <x:f>'기준스탯 72종'!H79*G1800</x:f>
        <x:v>0.8399999999999999</x:v>
      </x:c>
      <x:c r="W1800" s="15" t="n">
        <x:f>'기준스탯 72종'!I79*G1800</x:f>
        <x:v>1.6799999999999997</x:v>
      </x:c>
      <x:c r="X1800" s="15" t="n">
        <x:f>'기준스탯 72종'!J79*G1800</x:f>
        <x:v>0.8399999999999999</x:v>
      </x:c>
      <x:c r="Y1800" s="15" t="n">
        <x:f>'기준스탯 72종'!K79*G1800</x:f>
        <x:v>1.1199999999999999</x:v>
      </x:c>
      <x:c r="Z1800" s="15" t="n">
        <x:f>'기준스탯 72종'!D79*H1800</x:f>
        <x:v>0.4200000000000001</x:v>
      </x:c>
      <x:c r="AA1800" s="15" t="n">
        <x:f>'기준스탯 72종'!E79*H1800</x:f>
        <x:v>0.4800000000000001</x:v>
      </x:c>
      <x:c r="AB1800" s="15" t="n">
        <x:f>'기준스탯 72종'!F79*H1800</x:f>
        <x:v>0.4800000000000001</x:v>
      </x:c>
      <x:c r="AC1800" s="15" t="n">
        <x:f>'기준스탯 72종'!G79*H1800</x:f>
        <x:v>0.4800000000000001</x:v>
      </x:c>
      <x:c r="AD1800" s="15" t="n">
        <x:f>'기준스탯 72종'!H79*H1800</x:f>
        <x:v>0.18000000000000005</x:v>
      </x:c>
      <x:c r="AE1800" s="15" t="n">
        <x:f>'기준스탯 72종'!I79*H1800</x:f>
        <x:v>0.3600000000000001</x:v>
      </x:c>
      <x:c r="AF1800" s="15" t="n">
        <x:f>'기준스탯 72종'!J79*H1800</x:f>
        <x:v>0.18000000000000005</x:v>
      </x:c>
      <x:c r="AG1800" s="15" t="n">
        <x:f>'기준스탯 72종'!K79*H1800</x:f>
        <x:v>0.24000000000000005</x:v>
      </x:c>
    </x:row>
    <x:row r="1801" ht="28" customHeight="1">
      <x:c r="A1801" s="2" t="n">
        <x:v>1794</x:v>
      </x:c>
      <x:c r="B1801" s="2" t="n">
        <x:v>72</x:v>
      </x:c>
      <x:c r="C1801" s="2" t="str">
        <x:v>물고기자리</x:v>
      </x:c>
      <x:c r="D1801" s="2" t="str">
        <x:v>전사</x:v>
      </x:c>
      <x:c r="E1801" s="2" t="n">
        <x:v>4</x:v>
      </x:c>
      <x:c r="F1801" s="2" t="n">
        <x:v>4</x:v>
      </x:c>
      <x:c r="G1801" s="14" t="n">
        <x:f>('레벨 계산식'!$E$4-E1801)*'레벨 계산식'!$B$5</x:f>
        <x:v>0.13999999999999999</x:v>
      </x:c>
      <x:c r="H1801" s="14" t="n">
        <x:f>('등급 계산식'!$E$4-F1801)*'등급 계산식'!$B$5</x:f>
        <x:v>0.06000000000000001</x:v>
      </x:c>
      <x:c r="I1801" s="14" t="n">
        <x:f>1-G1801-H1801</x:f>
        <x:v>0.7999999999999999</x:v>
      </x:c>
      <x:c r="J1801" s="2" t="n">
        <x:f>MAX(1,ROUND('기준스탯 72종'!D79-R1801-Z1801,0))</x:f>
        <x:v>6</x:v>
      </x:c>
      <x:c r="K1801" s="2" t="n">
        <x:f>MAX(1,ROUND('기준스탯 72종'!E79-S1801-AA1801,0))</x:f>
        <x:v>6</x:v>
      </x:c>
      <x:c r="L1801" s="2" t="n">
        <x:f>MAX(1,ROUND('기준스탯 72종'!F79-T1801-AB1801,0))</x:f>
        <x:v>6</x:v>
      </x:c>
      <x:c r="M1801" s="2" t="n">
        <x:f>MAX(1,ROUND('기준스탯 72종'!G79-U1801-AC1801,0))</x:f>
        <x:v>6</x:v>
      </x:c>
      <x:c r="N1801" s="2" t="n">
        <x:f>MAX(0,ROUND('기준스탯 72종'!H79-V1801-AD1801,0))</x:f>
        <x:v>2</x:v>
      </x:c>
      <x:c r="O1801" s="2" t="n">
        <x:f>MAX(0,ROUND('기준스탯 72종'!I79-W1801-AE1801,0))</x:f>
        <x:v>5</x:v>
      </x:c>
      <x:c r="P1801" s="2" t="n">
        <x:f>MAX(0,ROUND('기준스탯 72종'!J79-X1801-AF1801,0))</x:f>
        <x:v>2</x:v>
      </x:c>
      <x:c r="Q1801" s="2" t="n">
        <x:f>MAX(0,ROUND('기준스탯 72종'!K79-Y1801-AG1801,0))</x:f>
        <x:v>3</x:v>
      </x:c>
      <x:c r="R1801" s="15" t="n">
        <x:f>'기준스탯 72종'!D79*G1801</x:f>
        <x:v>0.9799999999999999</x:v>
      </x:c>
      <x:c r="S1801" s="15" t="n">
        <x:f>'기준스탯 72종'!E79*G1801</x:f>
        <x:v>1.1199999999999999</x:v>
      </x:c>
      <x:c r="T1801" s="15" t="n">
        <x:f>'기준스탯 72종'!F79*G1801</x:f>
        <x:v>1.1199999999999999</x:v>
      </x:c>
      <x:c r="U1801" s="15" t="n">
        <x:f>'기준스탯 72종'!G79*G1801</x:f>
        <x:v>1.1199999999999999</x:v>
      </x:c>
      <x:c r="V1801" s="15" t="n">
        <x:f>'기준스탯 72종'!H79*G1801</x:f>
        <x:v>0.41999999999999993</x:v>
      </x:c>
      <x:c r="W1801" s="15" t="n">
        <x:f>'기준스탯 72종'!I79*G1801</x:f>
        <x:v>0.8399999999999999</x:v>
      </x:c>
      <x:c r="X1801" s="15" t="n">
        <x:f>'기준스탯 72종'!J79*G1801</x:f>
        <x:v>0.41999999999999993</x:v>
      </x:c>
      <x:c r="Y1801" s="15" t="n">
        <x:f>'기준스탯 72종'!K79*G1801</x:f>
        <x:v>0.5599999999999999</x:v>
      </x:c>
      <x:c r="Z1801" s="15" t="n">
        <x:f>'기준스탯 72종'!D79*H1801</x:f>
        <x:v>0.4200000000000001</x:v>
      </x:c>
      <x:c r="AA1801" s="15" t="n">
        <x:f>'기준스탯 72종'!E79*H1801</x:f>
        <x:v>0.4800000000000001</x:v>
      </x:c>
      <x:c r="AB1801" s="15" t="n">
        <x:f>'기준스탯 72종'!F79*H1801</x:f>
        <x:v>0.4800000000000001</x:v>
      </x:c>
      <x:c r="AC1801" s="15" t="n">
        <x:f>'기준스탯 72종'!G79*H1801</x:f>
        <x:v>0.4800000000000001</x:v>
      </x:c>
      <x:c r="AD1801" s="15" t="n">
        <x:f>'기준스탯 72종'!H79*H1801</x:f>
        <x:v>0.18000000000000005</x:v>
      </x:c>
      <x:c r="AE1801" s="15" t="n">
        <x:f>'기준스탯 72종'!I79*H1801</x:f>
        <x:v>0.3600000000000001</x:v>
      </x:c>
      <x:c r="AF1801" s="15" t="n">
        <x:f>'기준스탯 72종'!J79*H1801</x:f>
        <x:v>0.18000000000000005</x:v>
      </x:c>
      <x:c r="AG1801" s="15" t="n">
        <x:f>'기준스탯 72종'!K79*H1801</x:f>
        <x:v>0.24000000000000005</x:v>
      </x:c>
    </x:row>
    <x:row r="1802" ht="28" customHeight="1">
      <x:c r="A1802" s="2" t="n">
        <x:v>1795</x:v>
      </x:c>
      <x:c r="B1802" s="2" t="n">
        <x:v>72</x:v>
      </x:c>
      <x:c r="C1802" s="2" t="str">
        <x:v>물고기자리</x:v>
      </x:c>
      <x:c r="D1802" s="2" t="str">
        <x:v>전사</x:v>
      </x:c>
      <x:c r="E1802" s="2" t="n">
        <x:v>5</x:v>
      </x:c>
      <x:c r="F1802" s="2" t="n">
        <x:v>4</x:v>
      </x:c>
      <x:c r="G1802" s="14" t="n">
        <x:f>('레벨 계산식'!$E$4-E1802)*'레벨 계산식'!$B$5</x:f>
        <x:v>0</x:v>
      </x:c>
      <x:c r="H1802" s="14" t="n">
        <x:f>('등급 계산식'!$E$4-F1802)*'등급 계산식'!$B$5</x:f>
        <x:v>0.06000000000000001</x:v>
      </x:c>
      <x:c r="I1802" s="14" t="n">
        <x:f>1-G1802-H1802</x:f>
        <x:v>0.94</x:v>
      </x:c>
      <x:c r="J1802" s="2" t="n">
        <x:f>MAX(1,ROUND('기준스탯 72종'!D79-R1802-Z1802,0))</x:f>
        <x:v>7</x:v>
      </x:c>
      <x:c r="K1802" s="2" t="n">
        <x:f>MAX(1,ROUND('기준스탯 72종'!E79-S1802-AA1802,0))</x:f>
        <x:v>8</x:v>
      </x:c>
      <x:c r="L1802" s="2" t="n">
        <x:f>MAX(1,ROUND('기준스탯 72종'!F79-T1802-AB1802,0))</x:f>
        <x:v>8</x:v>
      </x:c>
      <x:c r="M1802" s="2" t="n">
        <x:f>MAX(1,ROUND('기준스탯 72종'!G79-U1802-AC1802,0))</x:f>
        <x:v>8</x:v>
      </x:c>
      <x:c r="N1802" s="2" t="n">
        <x:f>MAX(0,ROUND('기준스탯 72종'!H79-V1802-AD1802,0))</x:f>
        <x:v>3</x:v>
      </x:c>
      <x:c r="O1802" s="2" t="n">
        <x:f>MAX(0,ROUND('기준스탯 72종'!I79-W1802-AE1802,0))</x:f>
        <x:v>6</x:v>
      </x:c>
      <x:c r="P1802" s="2" t="n">
        <x:f>MAX(0,ROUND('기준스탯 72종'!J79-X1802-AF1802,0))</x:f>
        <x:v>3</x:v>
      </x:c>
      <x:c r="Q1802" s="2" t="n">
        <x:f>MAX(0,ROUND('기준스탯 72종'!K79-Y1802-AG1802,0))</x:f>
        <x:v>4</x:v>
      </x:c>
      <x:c r="R1802" s="15" t="n">
        <x:f>'기준스탯 72종'!D79*G1802</x:f>
        <x:v>0</x:v>
      </x:c>
      <x:c r="S1802" s="15" t="n">
        <x:f>'기준스탯 72종'!E79*G1802</x:f>
        <x:v>0</x:v>
      </x:c>
      <x:c r="T1802" s="15" t="n">
        <x:f>'기준스탯 72종'!F79*G1802</x:f>
        <x:v>0</x:v>
      </x:c>
      <x:c r="U1802" s="15" t="n">
        <x:f>'기준스탯 72종'!G79*G1802</x:f>
        <x:v>0</x:v>
      </x:c>
      <x:c r="V1802" s="15" t="n">
        <x:f>'기준스탯 72종'!H79*G1802</x:f>
        <x:v>0</x:v>
      </x:c>
      <x:c r="W1802" s="15" t="n">
        <x:f>'기준스탯 72종'!I79*G1802</x:f>
        <x:v>0</x:v>
      </x:c>
      <x:c r="X1802" s="15" t="n">
        <x:f>'기준스탯 72종'!J79*G1802</x:f>
        <x:v>0</x:v>
      </x:c>
      <x:c r="Y1802" s="15" t="n">
        <x:f>'기준스탯 72종'!K79*G1802</x:f>
        <x:v>0</x:v>
      </x:c>
      <x:c r="Z1802" s="15" t="n">
        <x:f>'기준스탯 72종'!D79*H1802</x:f>
        <x:v>0.4200000000000001</x:v>
      </x:c>
      <x:c r="AA1802" s="15" t="n">
        <x:f>'기준스탯 72종'!E79*H1802</x:f>
        <x:v>0.4800000000000001</x:v>
      </x:c>
      <x:c r="AB1802" s="15" t="n">
        <x:f>'기준스탯 72종'!F79*H1802</x:f>
        <x:v>0.4800000000000001</x:v>
      </x:c>
      <x:c r="AC1802" s="15" t="n">
        <x:f>'기준스탯 72종'!G79*H1802</x:f>
        <x:v>0.4800000000000001</x:v>
      </x:c>
      <x:c r="AD1802" s="15" t="n">
        <x:f>'기준스탯 72종'!H79*H1802</x:f>
        <x:v>0.18000000000000005</x:v>
      </x:c>
      <x:c r="AE1802" s="15" t="n">
        <x:f>'기준스탯 72종'!I79*H1802</x:f>
        <x:v>0.3600000000000001</x:v>
      </x:c>
      <x:c r="AF1802" s="15" t="n">
        <x:f>'기준스탯 72종'!J79*H1802</x:f>
        <x:v>0.18000000000000005</x:v>
      </x:c>
      <x:c r="AG1802" s="15" t="n">
        <x:f>'기준스탯 72종'!K79*H1802</x:f>
        <x:v>0.24000000000000005</x:v>
      </x:c>
    </x:row>
    <x:row r="1803" ht="28" customHeight="1">
      <x:c r="A1803" s="2" t="n">
        <x:v>1796</x:v>
      </x:c>
      <x:c r="B1803" s="2" t="n">
        <x:v>72</x:v>
      </x:c>
      <x:c r="C1803" s="2" t="str">
        <x:v>물고기자리</x:v>
      </x:c>
      <x:c r="D1803" s="2" t="str">
        <x:v>전사</x:v>
      </x:c>
      <x:c r="E1803" s="2" t="n">
        <x:v>1</x:v>
      </x:c>
      <x:c r="F1803" s="2" t="n">
        <x:v>5</x:v>
      </x:c>
      <x:c r="G1803" s="14" t="n">
        <x:f>('레벨 계산식'!$E$4-E1803)*'레벨 계산식'!$B$5</x:f>
        <x:v>0.5599999999999999</x:v>
      </x:c>
      <x:c r="H1803" s="14" t="n">
        <x:f>('등급 계산식'!$E$4-F1803)*'등급 계산식'!$B$5</x:f>
        <x:v>0</x:v>
      </x:c>
      <x:c r="I1803" s="14" t="n">
        <x:f>1-G1803-H1803</x:f>
        <x:v>0.44000000000000006</x:v>
      </x:c>
      <x:c r="J1803" s="2" t="n">
        <x:f>MAX(1,ROUND('기준스탯 72종'!D79-R1803-Z1803,0))</x:f>
        <x:v>3</x:v>
      </x:c>
      <x:c r="K1803" s="2" t="n">
        <x:f>MAX(1,ROUND('기준스탯 72종'!E79-S1803-AA1803,0))</x:f>
        <x:v>4</x:v>
      </x:c>
      <x:c r="L1803" s="2" t="n">
        <x:f>MAX(1,ROUND('기준스탯 72종'!F79-T1803-AB1803,0))</x:f>
        <x:v>4</x:v>
      </x:c>
      <x:c r="M1803" s="2" t="n">
        <x:f>MAX(1,ROUND('기준스탯 72종'!G79-U1803-AC1803,0))</x:f>
        <x:v>4</x:v>
      </x:c>
      <x:c r="N1803" s="2" t="n">
        <x:f>MAX(0,ROUND('기준스탯 72종'!H79-V1803-AD1803,0))</x:f>
        <x:v>1</x:v>
      </x:c>
      <x:c r="O1803" s="2" t="n">
        <x:f>MAX(0,ROUND('기준스탯 72종'!I79-W1803-AE1803,0))</x:f>
        <x:v>3</x:v>
      </x:c>
      <x:c r="P1803" s="2" t="n">
        <x:f>MAX(0,ROUND('기준스탯 72종'!J79-X1803-AF1803,0))</x:f>
        <x:v>1</x:v>
      </x:c>
      <x:c r="Q1803" s="2" t="n">
        <x:f>MAX(0,ROUND('기준스탯 72종'!K79-Y1803-AG1803,0))</x:f>
        <x:v>2</x:v>
      </x:c>
      <x:c r="R1803" s="15" t="n">
        <x:f>'기준스탯 72종'!D79*G1803</x:f>
        <x:v>3.9199999999999995</x:v>
      </x:c>
      <x:c r="S1803" s="15" t="n">
        <x:f>'기준스탯 72종'!E79*G1803</x:f>
        <x:v>4.4799999999999995</x:v>
      </x:c>
      <x:c r="T1803" s="15" t="n">
        <x:f>'기준스탯 72종'!F79*G1803</x:f>
        <x:v>4.4799999999999995</x:v>
      </x:c>
      <x:c r="U1803" s="15" t="n">
        <x:f>'기준스탯 72종'!G79*G1803</x:f>
        <x:v>4.4799999999999995</x:v>
      </x:c>
      <x:c r="V1803" s="15" t="n">
        <x:f>'기준스탯 72종'!H79*G1803</x:f>
        <x:v>1.6799999999999997</x:v>
      </x:c>
      <x:c r="W1803" s="15" t="n">
        <x:f>'기준스탯 72종'!I79*G1803</x:f>
        <x:v>3.3599999999999994</x:v>
      </x:c>
      <x:c r="X1803" s="15" t="n">
        <x:f>'기준스탯 72종'!J79*G1803</x:f>
        <x:v>1.6799999999999997</x:v>
      </x:c>
      <x:c r="Y1803" s="15" t="n">
        <x:f>'기준스탯 72종'!K79*G1803</x:f>
        <x:v>2.2399999999999998</x:v>
      </x:c>
      <x:c r="Z1803" s="15" t="n">
        <x:f>'기준스탯 72종'!D79*H1803</x:f>
        <x:v>0</x:v>
      </x:c>
      <x:c r="AA1803" s="15" t="n">
        <x:f>'기준스탯 72종'!E79*H1803</x:f>
        <x:v>0</x:v>
      </x:c>
      <x:c r="AB1803" s="15" t="n">
        <x:f>'기준스탯 72종'!F79*H1803</x:f>
        <x:v>0</x:v>
      </x:c>
      <x:c r="AC1803" s="15" t="n">
        <x:f>'기준스탯 72종'!G79*H1803</x:f>
        <x:v>0</x:v>
      </x:c>
      <x:c r="AD1803" s="15" t="n">
        <x:f>'기준스탯 72종'!H79*H1803</x:f>
        <x:v>0</x:v>
      </x:c>
      <x:c r="AE1803" s="15" t="n">
        <x:f>'기준스탯 72종'!I79*H1803</x:f>
        <x:v>0</x:v>
      </x:c>
      <x:c r="AF1803" s="15" t="n">
        <x:f>'기준스탯 72종'!J79*H1803</x:f>
        <x:v>0</x:v>
      </x:c>
      <x:c r="AG1803" s="15" t="n">
        <x:f>'기준스탯 72종'!K79*H1803</x:f>
        <x:v>0</x:v>
      </x:c>
    </x:row>
    <x:row r="1804" ht="28" customHeight="1">
      <x:c r="A1804" s="2" t="n">
        <x:v>1797</x:v>
      </x:c>
      <x:c r="B1804" s="2" t="n">
        <x:v>72</x:v>
      </x:c>
      <x:c r="C1804" s="2" t="str">
        <x:v>물고기자리</x:v>
      </x:c>
      <x:c r="D1804" s="2" t="str">
        <x:v>전사</x:v>
      </x:c>
      <x:c r="E1804" s="2" t="n">
        <x:v>2</x:v>
      </x:c>
      <x:c r="F1804" s="2" t="n">
        <x:v>5</x:v>
      </x:c>
      <x:c r="G1804" s="14" t="n">
        <x:f>('레벨 계산식'!$E$4-E1804)*'레벨 계산식'!$B$5</x:f>
        <x:v>0.41999999999999993</x:v>
      </x:c>
      <x:c r="H1804" s="14" t="n">
        <x:f>('등급 계산식'!$E$4-F1804)*'등급 계산식'!$B$5</x:f>
        <x:v>0</x:v>
      </x:c>
      <x:c r="I1804" s="14" t="n">
        <x:f>1-G1804-H1804</x:f>
        <x:v>0.5800000000000001</x:v>
      </x:c>
      <x:c r="J1804" s="2" t="n">
        <x:f>MAX(1,ROUND('기준스탯 72종'!D79-R1804-Z1804,0))</x:f>
        <x:v>4</x:v>
      </x:c>
      <x:c r="K1804" s="2" t="n">
        <x:f>MAX(1,ROUND('기준스탯 72종'!E79-S1804-AA1804,0))</x:f>
        <x:v>5</x:v>
      </x:c>
      <x:c r="L1804" s="2" t="n">
        <x:f>MAX(1,ROUND('기준스탯 72종'!F79-T1804-AB1804,0))</x:f>
        <x:v>5</x:v>
      </x:c>
      <x:c r="M1804" s="2" t="n">
        <x:f>MAX(1,ROUND('기준스탯 72종'!G79-U1804-AC1804,0))</x:f>
        <x:v>5</x:v>
      </x:c>
      <x:c r="N1804" s="2" t="n">
        <x:f>MAX(0,ROUND('기준스탯 72종'!H79-V1804-AD1804,0))</x:f>
        <x:v>2</x:v>
      </x:c>
      <x:c r="O1804" s="2" t="n">
        <x:f>MAX(0,ROUND('기준스탯 72종'!I79-W1804-AE1804,0))</x:f>
        <x:v>3</x:v>
      </x:c>
      <x:c r="P1804" s="2" t="n">
        <x:f>MAX(0,ROUND('기준스탯 72종'!J79-X1804-AF1804,0))</x:f>
        <x:v>2</x:v>
      </x:c>
      <x:c r="Q1804" s="2" t="n">
        <x:f>MAX(0,ROUND('기준스탯 72종'!K79-Y1804-AG1804,0))</x:f>
        <x:v>2</x:v>
      </x:c>
      <x:c r="R1804" s="15" t="n">
        <x:f>'기준스탯 72종'!D79*G1804</x:f>
        <x:v>2.9399999999999995</x:v>
      </x:c>
      <x:c r="S1804" s="15" t="n">
        <x:f>'기준스탯 72종'!E79*G1804</x:f>
        <x:v>3.3599999999999994</x:v>
      </x:c>
      <x:c r="T1804" s="15" t="n">
        <x:f>'기준스탯 72종'!F79*G1804</x:f>
        <x:v>3.3599999999999994</x:v>
      </x:c>
      <x:c r="U1804" s="15" t="n">
        <x:f>'기준스탯 72종'!G79*G1804</x:f>
        <x:v>3.3599999999999994</x:v>
      </x:c>
      <x:c r="V1804" s="15" t="n">
        <x:f>'기준스탯 72종'!H79*G1804</x:f>
        <x:v>1.2599999999999998</x:v>
      </x:c>
      <x:c r="W1804" s="15" t="n">
        <x:f>'기준스탯 72종'!I79*G1804</x:f>
        <x:v>2.5199999999999996</x:v>
      </x:c>
      <x:c r="X1804" s="15" t="n">
        <x:f>'기준스탯 72종'!J79*G1804</x:f>
        <x:v>1.2599999999999998</x:v>
      </x:c>
      <x:c r="Y1804" s="15" t="n">
        <x:f>'기준스탯 72종'!K79*G1804</x:f>
        <x:v>1.6799999999999997</x:v>
      </x:c>
      <x:c r="Z1804" s="15" t="n">
        <x:f>'기준스탯 72종'!D79*H1804</x:f>
        <x:v>0</x:v>
      </x:c>
      <x:c r="AA1804" s="15" t="n">
        <x:f>'기준스탯 72종'!E79*H1804</x:f>
        <x:v>0</x:v>
      </x:c>
      <x:c r="AB1804" s="15" t="n">
        <x:f>'기준스탯 72종'!F79*H1804</x:f>
        <x:v>0</x:v>
      </x:c>
      <x:c r="AC1804" s="15" t="n">
        <x:f>'기준스탯 72종'!G79*H1804</x:f>
        <x:v>0</x:v>
      </x:c>
      <x:c r="AD1804" s="15" t="n">
        <x:f>'기준스탯 72종'!H79*H1804</x:f>
        <x:v>0</x:v>
      </x:c>
      <x:c r="AE1804" s="15" t="n">
        <x:f>'기준스탯 72종'!I79*H1804</x:f>
        <x:v>0</x:v>
      </x:c>
      <x:c r="AF1804" s="15" t="n">
        <x:f>'기준스탯 72종'!J79*H1804</x:f>
        <x:v>0</x:v>
      </x:c>
      <x:c r="AG1804" s="15" t="n">
        <x:f>'기준스탯 72종'!K79*H1804</x:f>
        <x:v>0</x:v>
      </x:c>
    </x:row>
    <x:row r="1805" ht="28" customHeight="1">
      <x:c r="A1805" s="2" t="n">
        <x:v>1798</x:v>
      </x:c>
      <x:c r="B1805" s="2" t="n">
        <x:v>72</x:v>
      </x:c>
      <x:c r="C1805" s="2" t="str">
        <x:v>물고기자리</x:v>
      </x:c>
      <x:c r="D1805" s="2" t="str">
        <x:v>전사</x:v>
      </x:c>
      <x:c r="E1805" s="2" t="n">
        <x:v>3</x:v>
      </x:c>
      <x:c r="F1805" s="2" t="n">
        <x:v>5</x:v>
      </x:c>
      <x:c r="G1805" s="14" t="n">
        <x:f>('레벨 계산식'!$E$4-E1805)*'레벨 계산식'!$B$5</x:f>
        <x:v>0.27999999999999997</x:v>
      </x:c>
      <x:c r="H1805" s="14" t="n">
        <x:f>('등급 계산식'!$E$4-F1805)*'등급 계산식'!$B$5</x:f>
        <x:v>0</x:v>
      </x:c>
      <x:c r="I1805" s="14" t="n">
        <x:f>1-G1805-H1805</x:f>
        <x:v>0.72</x:v>
      </x:c>
      <x:c r="J1805" s="2" t="n">
        <x:f>MAX(1,ROUND('기준스탯 72종'!D79-R1805-Z1805,0))</x:f>
        <x:v>5</x:v>
      </x:c>
      <x:c r="K1805" s="2" t="n">
        <x:f>MAX(1,ROUND('기준스탯 72종'!E79-S1805-AA1805,0))</x:f>
        <x:v>6</x:v>
      </x:c>
      <x:c r="L1805" s="2" t="n">
        <x:f>MAX(1,ROUND('기준스탯 72종'!F79-T1805-AB1805,0))</x:f>
        <x:v>6</x:v>
      </x:c>
      <x:c r="M1805" s="2" t="n">
        <x:f>MAX(1,ROUND('기준스탯 72종'!G79-U1805-AC1805,0))</x:f>
        <x:v>6</x:v>
      </x:c>
      <x:c r="N1805" s="2" t="n">
        <x:f>MAX(0,ROUND('기준스탯 72종'!H79-V1805-AD1805,0))</x:f>
        <x:v>2</x:v>
      </x:c>
      <x:c r="O1805" s="2" t="n">
        <x:f>MAX(0,ROUND('기준스탯 72종'!I79-W1805-AE1805,0))</x:f>
        <x:v>4</x:v>
      </x:c>
      <x:c r="P1805" s="2" t="n">
        <x:f>MAX(0,ROUND('기준스탯 72종'!J79-X1805-AF1805,0))</x:f>
        <x:v>2</x:v>
      </x:c>
      <x:c r="Q1805" s="2" t="n">
        <x:f>MAX(0,ROUND('기준스탯 72종'!K79-Y1805-AG1805,0))</x:f>
        <x:v>3</x:v>
      </x:c>
      <x:c r="R1805" s="15" t="n">
        <x:f>'기준스탯 72종'!D79*G1805</x:f>
        <x:v>1.9599999999999997</x:v>
      </x:c>
      <x:c r="S1805" s="15" t="n">
        <x:f>'기준스탯 72종'!E79*G1805</x:f>
        <x:v>2.2399999999999998</x:v>
      </x:c>
      <x:c r="T1805" s="15" t="n">
        <x:f>'기준스탯 72종'!F79*G1805</x:f>
        <x:v>2.2399999999999998</x:v>
      </x:c>
      <x:c r="U1805" s="15" t="n">
        <x:f>'기준스탯 72종'!G79*G1805</x:f>
        <x:v>2.2399999999999998</x:v>
      </x:c>
      <x:c r="V1805" s="15" t="n">
        <x:f>'기준스탯 72종'!H79*G1805</x:f>
        <x:v>0.8399999999999999</x:v>
      </x:c>
      <x:c r="W1805" s="15" t="n">
        <x:f>'기준스탯 72종'!I79*G1805</x:f>
        <x:v>1.6799999999999997</x:v>
      </x:c>
      <x:c r="X1805" s="15" t="n">
        <x:f>'기준스탯 72종'!J79*G1805</x:f>
        <x:v>0.8399999999999999</x:v>
      </x:c>
      <x:c r="Y1805" s="15" t="n">
        <x:f>'기준스탯 72종'!K79*G1805</x:f>
        <x:v>1.1199999999999999</x:v>
      </x:c>
      <x:c r="Z1805" s="15" t="n">
        <x:f>'기준스탯 72종'!D79*H1805</x:f>
        <x:v>0</x:v>
      </x:c>
      <x:c r="AA1805" s="15" t="n">
        <x:f>'기준스탯 72종'!E79*H1805</x:f>
        <x:v>0</x:v>
      </x:c>
      <x:c r="AB1805" s="15" t="n">
        <x:f>'기준스탯 72종'!F79*H1805</x:f>
        <x:v>0</x:v>
      </x:c>
      <x:c r="AC1805" s="15" t="n">
        <x:f>'기준스탯 72종'!G79*H1805</x:f>
        <x:v>0</x:v>
      </x:c>
      <x:c r="AD1805" s="15" t="n">
        <x:f>'기준스탯 72종'!H79*H1805</x:f>
        <x:v>0</x:v>
      </x:c>
      <x:c r="AE1805" s="15" t="n">
        <x:f>'기준스탯 72종'!I79*H1805</x:f>
        <x:v>0</x:v>
      </x:c>
      <x:c r="AF1805" s="15" t="n">
        <x:f>'기준스탯 72종'!J79*H1805</x:f>
        <x:v>0</x:v>
      </x:c>
      <x:c r="AG1805" s="15" t="n">
        <x:f>'기준스탯 72종'!K79*H1805</x:f>
        <x:v>0</x:v>
      </x:c>
    </x:row>
    <x:row r="1806" ht="28" customHeight="1">
      <x:c r="A1806" s="2" t="n">
        <x:v>1799</x:v>
      </x:c>
      <x:c r="B1806" s="2" t="n">
        <x:v>72</x:v>
      </x:c>
      <x:c r="C1806" s="2" t="str">
        <x:v>물고기자리</x:v>
      </x:c>
      <x:c r="D1806" s="2" t="str">
        <x:v>전사</x:v>
      </x:c>
      <x:c r="E1806" s="2" t="n">
        <x:v>4</x:v>
      </x:c>
      <x:c r="F1806" s="2" t="n">
        <x:v>5</x:v>
      </x:c>
      <x:c r="G1806" s="14" t="n">
        <x:f>('레벨 계산식'!$E$4-E1806)*'레벨 계산식'!$B$5</x:f>
        <x:v>0.13999999999999999</x:v>
      </x:c>
      <x:c r="H1806" s="14" t="n">
        <x:f>('등급 계산식'!$E$4-F1806)*'등급 계산식'!$B$5</x:f>
        <x:v>0</x:v>
      </x:c>
      <x:c r="I1806" s="14" t="n">
        <x:f>1-G1806-H1806</x:f>
        <x:v>0.86</x:v>
      </x:c>
      <x:c r="J1806" s="2" t="n">
        <x:f>MAX(1,ROUND('기준스탯 72종'!D79-R1806-Z1806,0))</x:f>
        <x:v>6</x:v>
      </x:c>
      <x:c r="K1806" s="2" t="n">
        <x:f>MAX(1,ROUND('기준스탯 72종'!E79-S1806-AA1806,0))</x:f>
        <x:v>7</x:v>
      </x:c>
      <x:c r="L1806" s="2" t="n">
        <x:f>MAX(1,ROUND('기준스탯 72종'!F79-T1806-AB1806,0))</x:f>
        <x:v>7</x:v>
      </x:c>
      <x:c r="M1806" s="2" t="n">
        <x:f>MAX(1,ROUND('기준스탯 72종'!G79-U1806-AC1806,0))</x:f>
        <x:v>7</x:v>
      </x:c>
      <x:c r="N1806" s="2" t="n">
        <x:f>MAX(0,ROUND('기준스탯 72종'!H79-V1806-AD1806,0))</x:f>
        <x:v>3</x:v>
      </x:c>
      <x:c r="O1806" s="2" t="n">
        <x:f>MAX(0,ROUND('기준스탯 72종'!I79-W1806-AE1806,0))</x:f>
        <x:v>5</x:v>
      </x:c>
      <x:c r="P1806" s="2" t="n">
        <x:f>MAX(0,ROUND('기준스탯 72종'!J79-X1806-AF1806,0))</x:f>
        <x:v>3</x:v>
      </x:c>
      <x:c r="Q1806" s="2" t="n">
        <x:f>MAX(0,ROUND('기준스탯 72종'!K79-Y1806-AG1806,0))</x:f>
        <x:v>3</x:v>
      </x:c>
      <x:c r="R1806" s="15" t="n">
        <x:f>'기준스탯 72종'!D79*G1806</x:f>
        <x:v>0.9799999999999999</x:v>
      </x:c>
      <x:c r="S1806" s="15" t="n">
        <x:f>'기준스탯 72종'!E79*G1806</x:f>
        <x:v>1.1199999999999999</x:v>
      </x:c>
      <x:c r="T1806" s="15" t="n">
        <x:f>'기준스탯 72종'!F79*G1806</x:f>
        <x:v>1.1199999999999999</x:v>
      </x:c>
      <x:c r="U1806" s="15" t="n">
        <x:f>'기준스탯 72종'!G79*G1806</x:f>
        <x:v>1.1199999999999999</x:v>
      </x:c>
      <x:c r="V1806" s="15" t="n">
        <x:f>'기준스탯 72종'!H79*G1806</x:f>
        <x:v>0.41999999999999993</x:v>
      </x:c>
      <x:c r="W1806" s="15" t="n">
        <x:f>'기준스탯 72종'!I79*G1806</x:f>
        <x:v>0.8399999999999999</x:v>
      </x:c>
      <x:c r="X1806" s="15" t="n">
        <x:f>'기준스탯 72종'!J79*G1806</x:f>
        <x:v>0.41999999999999993</x:v>
      </x:c>
      <x:c r="Y1806" s="15" t="n">
        <x:f>'기준스탯 72종'!K79*G1806</x:f>
        <x:v>0.5599999999999999</x:v>
      </x:c>
      <x:c r="Z1806" s="15" t="n">
        <x:f>'기준스탯 72종'!D79*H1806</x:f>
        <x:v>0</x:v>
      </x:c>
      <x:c r="AA1806" s="15" t="n">
        <x:f>'기준스탯 72종'!E79*H1806</x:f>
        <x:v>0</x:v>
      </x:c>
      <x:c r="AB1806" s="15" t="n">
        <x:f>'기준스탯 72종'!F79*H1806</x:f>
        <x:v>0</x:v>
      </x:c>
      <x:c r="AC1806" s="15" t="n">
        <x:f>'기준스탯 72종'!G79*H1806</x:f>
        <x:v>0</x:v>
      </x:c>
      <x:c r="AD1806" s="15" t="n">
        <x:f>'기준스탯 72종'!H79*H1806</x:f>
        <x:v>0</x:v>
      </x:c>
      <x:c r="AE1806" s="15" t="n">
        <x:f>'기준스탯 72종'!I79*H1806</x:f>
        <x:v>0</x:v>
      </x:c>
      <x:c r="AF1806" s="15" t="n">
        <x:f>'기준스탯 72종'!J79*H1806</x:f>
        <x:v>0</x:v>
      </x:c>
      <x:c r="AG1806" s="15" t="n">
        <x:f>'기준스탯 72종'!K79*H1806</x:f>
        <x:v>0</x:v>
      </x:c>
    </x:row>
    <x:row r="1807" ht="28" customHeight="1">
      <x:c r="A1807" s="2" t="n">
        <x:v>1800</x:v>
      </x:c>
      <x:c r="B1807" s="2" t="n">
        <x:v>72</x:v>
      </x:c>
      <x:c r="C1807" s="2" t="str">
        <x:v>물고기자리</x:v>
      </x:c>
      <x:c r="D1807" s="2" t="str">
        <x:v>전사</x:v>
      </x:c>
      <x:c r="E1807" s="2" t="n">
        <x:v>5</x:v>
      </x:c>
      <x:c r="F1807" s="2" t="n">
        <x:v>5</x:v>
      </x:c>
      <x:c r="G1807" s="14" t="n">
        <x:f>('레벨 계산식'!$E$4-E1807)*'레벨 계산식'!$B$5</x:f>
        <x:v>0</x:v>
      </x:c>
      <x:c r="H1807" s="14" t="n">
        <x:f>('등급 계산식'!$E$4-F1807)*'등급 계산식'!$B$5</x:f>
        <x:v>0</x:v>
      </x:c>
      <x:c r="I1807" s="14" t="n">
        <x:f>1-G1807-H1807</x:f>
        <x:v>1</x:v>
      </x:c>
      <x:c r="J1807" s="2" t="n">
        <x:f>MAX(1,ROUND('기준스탯 72종'!D79-R1807-Z1807,0))</x:f>
        <x:v>7</x:v>
      </x:c>
      <x:c r="K1807" s="2" t="n">
        <x:f>MAX(1,ROUND('기준스탯 72종'!E79-S1807-AA1807,0))</x:f>
        <x:v>8</x:v>
      </x:c>
      <x:c r="L1807" s="2" t="n">
        <x:f>MAX(1,ROUND('기준스탯 72종'!F79-T1807-AB1807,0))</x:f>
        <x:v>8</x:v>
      </x:c>
      <x:c r="M1807" s="2" t="n">
        <x:f>MAX(1,ROUND('기준스탯 72종'!G79-U1807-AC1807,0))</x:f>
        <x:v>8</x:v>
      </x:c>
      <x:c r="N1807" s="2" t="n">
        <x:f>MAX(0,ROUND('기준스탯 72종'!H79-V1807-AD1807,0))</x:f>
        <x:v>3</x:v>
      </x:c>
      <x:c r="O1807" s="2" t="n">
        <x:f>MAX(0,ROUND('기준스탯 72종'!I79-W1807-AE1807,0))</x:f>
        <x:v>6</x:v>
      </x:c>
      <x:c r="P1807" s="2" t="n">
        <x:f>MAX(0,ROUND('기준스탯 72종'!J79-X1807-AF1807,0))</x:f>
        <x:v>3</x:v>
      </x:c>
      <x:c r="Q1807" s="2" t="n">
        <x:f>MAX(0,ROUND('기준스탯 72종'!K79-Y1807-AG1807,0))</x:f>
        <x:v>4</x:v>
      </x:c>
      <x:c r="R1807" s="15" t="n">
        <x:f>'기준스탯 72종'!D79*G1807</x:f>
        <x:v>0</x:v>
      </x:c>
      <x:c r="S1807" s="15" t="n">
        <x:f>'기준스탯 72종'!E79*G1807</x:f>
        <x:v>0</x:v>
      </x:c>
      <x:c r="T1807" s="15" t="n">
        <x:f>'기준스탯 72종'!F79*G1807</x:f>
        <x:v>0</x:v>
      </x:c>
      <x:c r="U1807" s="15" t="n">
        <x:f>'기준스탯 72종'!G79*G1807</x:f>
        <x:v>0</x:v>
      </x:c>
      <x:c r="V1807" s="15" t="n">
        <x:f>'기준스탯 72종'!H79*G1807</x:f>
        <x:v>0</x:v>
      </x:c>
      <x:c r="W1807" s="15" t="n">
        <x:f>'기준스탯 72종'!I79*G1807</x:f>
        <x:v>0</x:v>
      </x:c>
      <x:c r="X1807" s="15" t="n">
        <x:f>'기준스탯 72종'!J79*G1807</x:f>
        <x:v>0</x:v>
      </x:c>
      <x:c r="Y1807" s="15" t="n">
        <x:f>'기준스탯 72종'!K79*G1807</x:f>
        <x:v>0</x:v>
      </x:c>
      <x:c r="Z1807" s="15" t="n">
        <x:f>'기준스탯 72종'!D79*H1807</x:f>
        <x:v>0</x:v>
      </x:c>
      <x:c r="AA1807" s="15" t="n">
        <x:f>'기준스탯 72종'!E79*H1807</x:f>
        <x:v>0</x:v>
      </x:c>
      <x:c r="AB1807" s="15" t="n">
        <x:f>'기준스탯 72종'!F79*H1807</x:f>
        <x:v>0</x:v>
      </x:c>
      <x:c r="AC1807" s="15" t="n">
        <x:f>'기준스탯 72종'!G79*H1807</x:f>
        <x:v>0</x:v>
      </x:c>
      <x:c r="AD1807" s="15" t="n">
        <x:f>'기준스탯 72종'!H79*H1807</x:f>
        <x:v>0</x:v>
      </x:c>
      <x:c r="AE1807" s="15" t="n">
        <x:f>'기준스탯 72종'!I79*H1807</x:f>
        <x:v>0</x:v>
      </x:c>
      <x:c r="AF1807" s="15" t="n">
        <x:f>'기준스탯 72종'!J79*H1807</x:f>
        <x:v>0</x:v>
      </x:c>
      <x:c r="AG1807" s="15" t="n">
        <x:f>'기준스탯 72종'!K79*H1807</x:f>
        <x:v>0</x:v>
      </x:c>
    </x:row>
  </x:sheetData>
  <x:mergeCells>
    <x:mergeCell ref="A1:AG1"/>
    <x:mergeCell ref="A2:AG2"/>
    <x:mergeCell ref="A3:AG3"/>
    <x:mergeCell ref="A4:AG4"/>
    <x:mergeCell ref="A5:AG5"/>
  </x:mergeCells>
  <x:pageMargins left="0.7" right="0.7" top="0.75" bottom="0.75" header="0.3" footer="0.3"/>
  <x:tableParts count="1">
    <x:tablePart xmlns:r="http://schemas.openxmlformats.org/officeDocument/2006/relationships" r:id="R9bc199f43d4a4eb7"/>
  </x:tableParts>
</x:worksheet>
</file>