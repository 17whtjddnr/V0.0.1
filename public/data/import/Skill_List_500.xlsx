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2eaa7fd1444abe" /></Relationships>
</file>

<file path=xl/workbook.xml><?xml version="1.0" encoding="utf-8"?>
<x:workbook xmlns:x="http://schemas.openxmlformats.org/spreadsheetml/2006/main">
  <x:sheets>
    <x:sheet xmlns:r="http://schemas.openxmlformats.org/officeDocument/2006/relationships" name="스킬 500종" sheetId="1" r:id="R6acef370a4224deb"/>
    <x:sheet xmlns:r="http://schemas.openxmlformats.org/officeDocument/2006/relationships" name="효과 규칙 55종" sheetId="2" r:id="R1e92a49e504644ab"/>
    <x:sheet xmlns:r="http://schemas.openxmlformats.org/officeDocument/2006/relationships" name="공통 규칙" sheetId="3" r:id="R5e19709489214dd7"/>
    <x:sheet xmlns:r="http://schemas.openxmlformats.org/officeDocument/2006/relationships" name="밸런스 검증" sheetId="4" r:id="R16a6c06c4df2456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4">
    <x:font>
      <x:sz val="11"/>
      <x:name val="Carlito"/>
    </x:font>
    <x:font>
      <x:sz val="10"/>
      <x:name val="Noto Sans CJK KR"/>
    </x:font>
    <x:font>
      <x:b/>
      <x:sz val="19"/>
      <x:color rgb="FFFFFFFF"/>
      <x:name val="Noto Sans CJK KR"/>
    </x:font>
    <x:font>
      <x:b/>
      <x:sz val="10"/>
      <x:color rgb="FFFFFFFF"/>
      <x:name val="Noto Sans CJK KR"/>
    </x:font>
  </x:fonts>
  <x:fills count="4">
    <x:fill>
      <x:patternFill patternType="none"/>
    </x:fill>
    <x:fill>
      <x:patternFill patternType="gray125"/>
    </x:fill>
    <x:fill>
      <x:patternFill patternType="solid">
        <x:fgColor rgb="FF182B49"/>
      </x:patternFill>
    </x:fill>
    <x:fill>
      <x:patternFill patternType="solid">
        <x:fgColor rgb="FF237C8A"/>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201" fontId="1" fillId="0" borderId="0" xfId="0" applyNumberFormat="1" applyFont="1" applyFill="1" applyBorder="1"/>
    <x:xf numFmtId="200" fontId="1" fillId="0" borderId="0" xfId="0" applyNumberFormat="1" applyFont="1" applyFill="1" applyBorder="1"/>
  </x:cellXfs>
  <x:cellStyles count="1">
    <x:cellStyle name="Normal" xfId="0"/>
  </x:cellStyles>
  <x:dxfs count="1">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25ced719764e56" /><Relationship Type="http://schemas.openxmlformats.org/officeDocument/2006/relationships/theme" Target="/xl/theme/theme1.xml" Id="R68716a8c7ee24259" /><Relationship Type="http://schemas.openxmlformats.org/officeDocument/2006/relationships/sharedStrings" Target="/xl/sharedStrings.xml" Id="R4a660a3d3f9e433a" /><Relationship Type="http://schemas.openxmlformats.org/officeDocument/2006/relationships/worksheet" Target="/xl/worksheets/sheet1.xml" Id="R6acef370a4224deb" /><Relationship Type="http://schemas.openxmlformats.org/officeDocument/2006/relationships/worksheet" Target="/xl/worksheets/sheet2.xml" Id="R1e92a49e504644ab" /><Relationship Type="http://schemas.openxmlformats.org/officeDocument/2006/relationships/worksheet" Target="/xl/worksheets/sheet3.xml" Id="R5e19709489214dd7" /><Relationship Type="http://schemas.openxmlformats.org/officeDocument/2006/relationships/worksheet" Target="/xl/worksheets/sheet4.xml" Id="R16a6c06c4df24565" /></Relationships>
</file>

<file path=xl/tables/table1.xml><?xml version="1.0" encoding="utf-8"?>
<x:table xmlns:x="http://schemas.openxmlformats.org/spreadsheetml/2006/main" id="1" name="Skills500" displayName="Skills500" ref="A6:Z506" headerRowCount="1" totalsRowCount="0" totalsRowShown="0">
  <x:tableColumns count="26">
    <x:tableColumn id="1" name="스킬ID"/>
    <x:tableColumn id="2" name="이름"/>
    <x:tableColumn id="3" name="아이콘"/>
    <x:tableColumn id="4" name="대상"/>
    <x:tableColumn id="5" name="공격력피해계수"/>
    <x:tableColumn id="6" name="방어력피해계수"/>
    <x:tableColumn id="7" name="속도피해계수"/>
    <x:tableColumn id="8" name="생명력피해계수"/>
    <x:tableColumn id="9" name="공격력비례회복량계수"/>
    <x:tableColumn id="10" name="최대생명력비례회복량계수"/>
    <x:tableColumn id="11" name="스킬효과1"/>
    <x:tableColumn id="12" name="스킬효과1값"/>
    <x:tableColumn id="13" name="스킬효과1확률"/>
    <x:tableColumn id="14" name="스킬효과2"/>
    <x:tableColumn id="15" name="스킬효과2값"/>
    <x:tableColumn id="16" name="스킬효과2확률"/>
    <x:tableColumn id="17" name="스킬효과3"/>
    <x:tableColumn id="18" name="스킬효과3값"/>
    <x:tableColumn id="19" name="스킬효과3확률"/>
    <x:tableColumn id="20" name="스킬효과4"/>
    <x:tableColumn id="21" name="스킬효과4값"/>
    <x:tableColumn id="22" name="스킬효과4확률"/>
    <x:tableColumn id="23" name="쿨타임"/>
    <x:tableColumn id="24" name="툴팁한글"/>
    <x:tableColumn id="25" name="툴팁영어"/>
    <x:tableColumn id="26" name="유형"/>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b628be237d4cb5" /></Relationships>
</file>

<file path=xl/worksheets/sheet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8" hidden="0" customWidth="1"/>
    <x:col min="2" max="2" width="5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0" hidden="0" customWidth="1"/>
    <x:col min="12" max="12" width="18" hidden="0" customWidth="1"/>
    <x:col min="13" max="13" width="18" hidden="0" customWidth="1"/>
    <x:col min="14" max="14" width="30" hidden="0" customWidth="1"/>
    <x:col min="15" max="15" width="18" hidden="0" customWidth="1"/>
    <x:col min="16" max="16" width="18" hidden="0" customWidth="1"/>
    <x:col min="17" max="17" width="30" hidden="0" customWidth="1"/>
    <x:col min="18" max="18" width="18" hidden="0" customWidth="1"/>
    <x:col min="19" max="19" width="18" hidden="0" customWidth="1"/>
    <x:col min="20" max="20" width="30" hidden="0" customWidth="1"/>
    <x:col min="21" max="21" width="18" hidden="0" customWidth="1"/>
    <x:col min="22" max="22" width="18" hidden="0" customWidth="1"/>
    <x:col min="23" max="23" width="18" hidden="0" customWidth="1"/>
    <x:col min="24" max="24" width="85" hidden="0" customWidth="1"/>
    <x:col min="25" max="25" width="85" hidden="0" customWidth="1"/>
    <x:col min="26" max="26" width="18" hidden="0" customWidth="1"/>
  </x:cols>
  <x:sheetData>
    <x:row r="1" ht="40" customHeight="1">
      <x:c r="A1" s="3" t="str">
        <x:v>500 스킬 · 회복 기준 단일화</x:v>
      </x:c>
      <x:c r="B1" s="3"/>
      <x:c r="C1" s="3"/>
      <x:c r="D1" s="3"/>
      <x:c r="E1" s="3"/>
      <x:c r="F1" s="3"/>
      <x:c r="G1" s="3"/>
      <x:c r="H1" s="3"/>
      <x:c r="I1" s="3"/>
      <x:c r="J1" s="3"/>
      <x:c r="K1" s="3"/>
      <x:c r="L1" s="3"/>
      <x:c r="M1" s="3"/>
      <x:c r="N1" s="3"/>
      <x:c r="O1" s="3"/>
      <x:c r="P1" s="3"/>
      <x:c r="Q1" s="3"/>
      <x:c r="R1" s="3"/>
      <x:c r="S1" s="3"/>
      <x:c r="T1" s="3"/>
      <x:c r="U1" s="3"/>
      <x:c r="V1" s="3"/>
      <x:c r="W1" s="3"/>
      <x:c r="X1" s="3"/>
      <x:c r="Y1" s="3"/>
      <x:c r="Z1" s="3"/>
    </x:row>
    <x:row r="2" ht="30" customHeight="1">
      <x:c r="A2" s="1" t="str">
        <x:v>500개 고유 효과 구성 / 회복 기준은 공격력·생명력 중 1종 / 부활·소생 100% 생명력 / 쿨타임 1~5턴</x:v>
      </x:c>
      <x:c r="B2" s="1"/>
      <x:c r="C2" s="1"/>
      <x:c r="D2" s="1"/>
      <x:c r="E2" s="1"/>
      <x:c r="F2" s="1"/>
      <x:c r="G2" s="1"/>
      <x:c r="H2" s="1"/>
      <x:c r="I2" s="1"/>
      <x:c r="J2" s="1"/>
      <x:c r="K2" s="1"/>
      <x:c r="L2" s="1"/>
      <x:c r="M2" s="1"/>
      <x:c r="N2" s="1"/>
      <x:c r="O2" s="1"/>
      <x:c r="P2" s="1"/>
      <x:c r="Q2" s="1"/>
      <x:c r="R2" s="1"/>
      <x:c r="S2" s="1"/>
      <x:c r="T2" s="1"/>
      <x:c r="U2" s="1"/>
      <x:c r="V2" s="1"/>
      <x:c r="W2" s="1"/>
      <x:c r="X2" s="1"/>
      <x:c r="Y2" s="1"/>
      <x:c r="Z2" s="1"/>
    </x:row>
    <x:row r="3" ht="30" customHeight="1">
      <x:c r="A3" s="1" t="str">
        <x:v>피해 없는 단독 효과는 100% 발동. 수치형 단독 효과 강화, 복수 효과는 수치·확률 축소. 아이콘은 공란입니다.</x:v>
      </x:c>
      <x:c r="B3" s="1"/>
      <x:c r="C3" s="1"/>
      <x:c r="D3" s="1"/>
      <x:c r="E3" s="1"/>
      <x:c r="F3" s="1"/>
      <x:c r="G3" s="1"/>
      <x:c r="H3" s="1"/>
      <x:c r="I3" s="1"/>
      <x:c r="J3" s="1"/>
      <x:c r="K3" s="1"/>
      <x:c r="L3" s="1"/>
      <x:c r="M3" s="1"/>
      <x:c r="N3" s="1"/>
      <x:c r="O3" s="1"/>
      <x:c r="P3" s="1"/>
      <x:c r="Q3" s="1"/>
      <x:c r="R3" s="1"/>
      <x:c r="S3" s="1"/>
      <x:c r="T3" s="1"/>
      <x:c r="U3" s="1"/>
      <x:c r="V3" s="1"/>
      <x:c r="W3" s="1"/>
      <x:c r="X3" s="1"/>
      <x:c r="Y3" s="1"/>
      <x:c r="Z3" s="1"/>
    </x:row>
    <x:row r="4" ht="30" customHeight="1">
      <x:c r="A4" s="1" t="str">
        <x:v>수치와 툴팁은 생성 시점 기준입니다. 효과 지속시간·단위·처리 순서는 효과 규칙 및 공통 규칙을 확인하세요.</x:v>
      </x:c>
      <x:c r="B4" s="1"/>
      <x:c r="C4" s="1"/>
      <x:c r="D4" s="1"/>
      <x:c r="E4" s="1"/>
      <x:c r="F4" s="1"/>
      <x:c r="G4" s="1"/>
      <x:c r="H4" s="1"/>
      <x:c r="I4" s="1"/>
      <x:c r="J4" s="1"/>
      <x:c r="K4" s="1"/>
      <x:c r="L4" s="1"/>
      <x:c r="M4" s="1"/>
      <x:c r="N4" s="1"/>
      <x:c r="O4" s="1"/>
      <x:c r="P4" s="1"/>
      <x:c r="Q4" s="1"/>
      <x:c r="R4" s="1"/>
      <x:c r="S4" s="1"/>
      <x:c r="T4" s="1"/>
      <x:c r="U4" s="1"/>
      <x:c r="V4" s="1"/>
      <x:c r="W4" s="1"/>
      <x:c r="X4" s="1"/>
      <x:c r="Y4" s="1"/>
      <x:c r="Z4" s="1"/>
    </x:row>
    <x:row r="5" ht="30" customHeight="1">
      <x:c r="A5" s="1"/>
      <x:c r="B5" s="1"/>
      <x:c r="C5" s="1"/>
      <x:c r="D5" s="1"/>
      <x:c r="E5" s="1"/>
      <x:c r="F5" s="1"/>
      <x:c r="G5" s="1"/>
      <x:c r="H5" s="1"/>
      <x:c r="I5" s="1"/>
      <x:c r="J5" s="1"/>
      <x:c r="K5" s="1"/>
      <x:c r="L5" s="1"/>
      <x:c r="M5" s="1"/>
      <x:c r="N5" s="1"/>
      <x:c r="O5" s="1"/>
      <x:c r="P5" s="1"/>
      <x:c r="Q5" s="1"/>
      <x:c r="R5" s="1"/>
      <x:c r="S5" s="1"/>
      <x:c r="T5" s="1"/>
      <x:c r="U5" s="1"/>
      <x:c r="V5" s="1"/>
      <x:c r="W5" s="1"/>
      <x:c r="X5" s="1"/>
      <x:c r="Y5" s="1"/>
      <x:c r="Z5" s="1"/>
    </x:row>
    <x:row r="6" ht="48" customHeight="1">
      <x:c r="A6" s="6" t="str">
        <x:v>스킬ID</x:v>
      </x:c>
      <x:c r="B6" s="6" t="str">
        <x:v>이름</x:v>
      </x:c>
      <x:c r="C6" s="6" t="str">
        <x:v>아이콘</x:v>
      </x:c>
      <x:c r="D6" s="6" t="str">
        <x:v>대상</x:v>
      </x:c>
      <x:c r="E6" s="6" t="str">
        <x:v>공격력피해계수</x:v>
      </x:c>
      <x:c r="F6" s="6" t="str">
        <x:v>방어력피해계수</x:v>
      </x:c>
      <x:c r="G6" s="6" t="str">
        <x:v>속도피해계수</x:v>
      </x:c>
      <x:c r="H6" s="6" t="str">
        <x:v>생명력피해계수</x:v>
      </x:c>
      <x:c r="I6" s="6" t="str">
        <x:v>공격력비례회복량계수</x:v>
      </x:c>
      <x:c r="J6" s="6" t="str">
        <x:v>최대생명력비례회복량계수</x:v>
      </x:c>
      <x:c r="K6" s="6" t="str">
        <x:v>스킬효과1</x:v>
      </x:c>
      <x:c r="L6" s="6" t="str">
        <x:v>스킬효과1값</x:v>
      </x:c>
      <x:c r="M6" s="6" t="str">
        <x:v>스킬효과1확률</x:v>
      </x:c>
      <x:c r="N6" s="6" t="str">
        <x:v>스킬효과2</x:v>
      </x:c>
      <x:c r="O6" s="6" t="str">
        <x:v>스킬효과2값</x:v>
      </x:c>
      <x:c r="P6" s="6" t="str">
        <x:v>스킬효과2확률</x:v>
      </x:c>
      <x:c r="Q6" s="6" t="str">
        <x:v>스킬효과3</x:v>
      </x:c>
      <x:c r="R6" s="6" t="str">
        <x:v>스킬효과3값</x:v>
      </x:c>
      <x:c r="S6" s="6" t="str">
        <x:v>스킬효과3확률</x:v>
      </x:c>
      <x:c r="T6" s="6" t="str">
        <x:v>스킬효과4</x:v>
      </x:c>
      <x:c r="U6" s="6" t="str">
        <x:v>스킬효과4값</x:v>
      </x:c>
      <x:c r="V6" s="6" t="str">
        <x:v>스킬효과4확률</x:v>
      </x:c>
      <x:c r="W6" s="6" t="str">
        <x:v>쿨타임</x:v>
      </x:c>
      <x:c r="X6" s="6" t="str">
        <x:v>툴팁한글</x:v>
      </x:c>
      <x:c r="Y6" s="6" t="str">
        <x:v>툴팁영어</x:v>
      </x:c>
      <x:c r="Z6" s="6" t="str">
        <x:v>유형</x:v>
      </x:c>
    </x:row>
    <x:row r="7" ht="115" customHeight="1">
      <x:c r="A7" s="7" t="str">
        <x:v>SKILL_0001</x:v>
      </x:c>
      <x:c r="B7" s="7" t="str">
        <x:v>공격력 감소의 일격</x:v>
      </x:c>
      <x:c r="C7" s="7"/>
      <x:c r="D7" s="7" t="str">
        <x:v>적</x:v>
      </x:c>
      <x:c r="E7" s="7" t="n">
        <x:v>1.1</x:v>
      </x:c>
      <x:c r="F7" s="7" t="n">
        <x:v>0</x:v>
      </x:c>
      <x:c r="G7" s="7" t="n">
        <x:v>0</x:v>
      </x:c>
      <x:c r="H7" s="7" t="n">
        <x:v>0</x:v>
      </x:c>
      <x:c r="I7" s="7" t="n">
        <x:v>0</x:v>
      </x:c>
      <x:c r="J7" s="7" t="n">
        <x:v>0</x:v>
      </x:c>
      <x:c r="K7" s="7" t="str">
        <x:v>ATTACK_DOWN</x:v>
      </x:c>
      <x:c r="L7" s="7" t="n">
        <x:v>0.375</x:v>
      </x:c>
      <x:c r="M7" s="8" t="n">
        <x:v>1</x:v>
      </x:c>
      <x:c r="N7" s="7"/>
      <x:c r="O7" s="7"/>
      <x:c r="P7" s="8"/>
      <x:c r="Q7" s="7"/>
      <x:c r="R7" s="7"/>
      <x:c r="S7" s="8"/>
      <x:c r="T7" s="7"/>
      <x:c r="U7" s="7"/>
      <x:c r="V7" s="8"/>
      <x:c r="W7" s="7" t="n">
        <x:v>2</x:v>
      </x:c>
      <x:c r="X7" s="7" t="str">
        <x:v>대상: 적. 적에게 공격력*1.1배 만큼의 피해를 가합니다. 100%확률로 공격력 감소 37.5% 적용합니다.</x:v>
      </x:c>
      <x:c r="Y7" s="7" t="str">
        <x:v>Target: one enemy. Deals 1.1 × caster Attack damage to one enemy. 100% chance to apply Attack Down 37.5%.</x:v>
      </x:c>
      <x:c r="Z7" s="7" t="str">
        <x:v>공격|디버프</x:v>
      </x:c>
    </x:row>
    <x:row r="8" ht="115" customHeight="1">
      <x:c r="A8" s="7" t="str">
        <x:v>SKILL_0002</x:v>
      </x:c>
      <x:c r="B8" s="7" t="str">
        <x:v>방어력 감소의 일격</x:v>
      </x:c>
      <x:c r="C8" s="7"/>
      <x:c r="D8" s="7" t="str">
        <x:v>적</x:v>
      </x:c>
      <x:c r="E8" s="7" t="n">
        <x:v>0.77</x:v>
      </x:c>
      <x:c r="F8" s="7" t="n">
        <x:v>0.33</x:v>
      </x:c>
      <x:c r="G8" s="7" t="n">
        <x:v>0</x:v>
      </x:c>
      <x:c r="H8" s="7" t="n">
        <x:v>0</x:v>
      </x:c>
      <x:c r="I8" s="7" t="n">
        <x:v>0</x:v>
      </x:c>
      <x:c r="J8" s="7" t="n">
        <x:v>0</x:v>
      </x:c>
      <x:c r="K8" s="7" t="str">
        <x:v>DEFENSE_DOWN</x:v>
      </x:c>
      <x:c r="L8" s="7" t="n">
        <x:v>0.45</x:v>
      </x:c>
      <x:c r="M8" s="8" t="n">
        <x:v>1</x:v>
      </x:c>
      <x:c r="N8" s="7"/>
      <x:c r="O8" s="7"/>
      <x:c r="P8" s="8"/>
      <x:c r="Q8" s="7"/>
      <x:c r="R8" s="7"/>
      <x:c r="S8" s="8"/>
      <x:c r="T8" s="7"/>
      <x:c r="U8" s="7"/>
      <x:c r="V8" s="8"/>
      <x:c r="W8" s="7" t="n">
        <x:v>2</x:v>
      </x:c>
      <x:c r="X8" s="7" t="str">
        <x:v>대상: 적. 적에게 공격력*0.77배 + 방어력*0.33배 만큼의 피해를 가합니다. 100%확률로 방어력 감소 45% 적용합니다.</x:v>
      </x:c>
      <x:c r="Y8" s="7" t="str">
        <x:v>Target: one enemy. Deals 0.77 × caster Attack + 0.33 × caster Defense damage to one enemy. 100% chance to apply Defense Down 45%.</x:v>
      </x:c>
      <x:c r="Z8" s="7" t="str">
        <x:v>공격|디버프</x:v>
      </x:c>
    </x:row>
    <x:row r="9" ht="115" customHeight="1">
      <x:c r="A9" s="7" t="str">
        <x:v>SKILL_0003</x:v>
      </x:c>
      <x:c r="B9" s="7" t="str">
        <x:v>속도 감소의 일격</x:v>
      </x:c>
      <x:c r="C9" s="7"/>
      <x:c r="D9" s="7" t="str">
        <x:v>적</x:v>
      </x:c>
      <x:c r="E9" s="7" t="n">
        <x:v>0.715</x:v>
      </x:c>
      <x:c r="F9" s="7" t="n">
        <x:v>0</x:v>
      </x:c>
      <x:c r="G9" s="7" t="n">
        <x:v>0.385</x:v>
      </x:c>
      <x:c r="H9" s="7" t="n">
        <x:v>0</x:v>
      </x:c>
      <x:c r="I9" s="7" t="n">
        <x:v>0</x:v>
      </x:c>
      <x:c r="J9" s="7" t="n">
        <x:v>0</x:v>
      </x:c>
      <x:c r="K9" s="7" t="str">
        <x:v>SPEED_DOWN</x:v>
      </x:c>
      <x:c r="L9" s="7" t="n">
        <x:v>0.3</x:v>
      </x:c>
      <x:c r="M9" s="8" t="n">
        <x:v>1</x:v>
      </x:c>
      <x:c r="N9" s="7"/>
      <x:c r="O9" s="7"/>
      <x:c r="P9" s="8"/>
      <x:c r="Q9" s="7"/>
      <x:c r="R9" s="7"/>
      <x:c r="S9" s="8"/>
      <x:c r="T9" s="7"/>
      <x:c r="U9" s="7"/>
      <x:c r="V9" s="8"/>
      <x:c r="W9" s="7" t="n">
        <x:v>2</x:v>
      </x:c>
      <x:c r="X9" s="7" t="str">
        <x:v>대상: 적. 적에게 공격력*0.715배 + 속도*0.385배 만큼의 피해를 가합니다. 100%확률로 속도 감소 30% 적용합니다.</x:v>
      </x:c>
      <x:c r="Y9" s="7" t="str">
        <x:v>Target: one enemy. Deals 0.715 × caster Attack + 0.385 × caster Speed damage to one enemy. 100% chance to apply Speed Down 30%.</x:v>
      </x:c>
      <x:c r="Z9" s="7" t="str">
        <x:v>공격|디버프</x:v>
      </x:c>
    </x:row>
    <x:row r="10" ht="115" customHeight="1">
      <x:c r="A10" s="7" t="str">
        <x:v>SKILL_0004</x:v>
      </x:c>
      <x:c r="B10" s="7" t="str">
        <x:v>명중 감소의 일격</x:v>
      </x:c>
      <x:c r="C10" s="7"/>
      <x:c r="D10" s="7" t="str">
        <x:v>적</x:v>
      </x:c>
      <x:c r="E10" s="7" t="n">
        <x:v>0.825</x:v>
      </x:c>
      <x:c r="F10" s="7" t="n">
        <x:v>0</x:v>
      </x:c>
      <x:c r="G10" s="7" t="n">
        <x:v>0</x:v>
      </x:c>
      <x:c r="H10" s="7" t="n">
        <x:v>0.275</x:v>
      </x:c>
      <x:c r="I10" s="7" t="n">
        <x:v>0</x:v>
      </x:c>
      <x:c r="J10" s="7" t="n">
        <x:v>0</x:v>
      </x:c>
      <x:c r="K10" s="7" t="str">
        <x:v>HIT_CHANCE_DOWN</x:v>
      </x:c>
      <x:c r="L10" s="7" t="n">
        <x:v>0.3</x:v>
      </x:c>
      <x:c r="M10" s="8" t="n">
        <x:v>1</x:v>
      </x:c>
      <x:c r="N10" s="7"/>
      <x:c r="O10" s="7"/>
      <x:c r="P10" s="8"/>
      <x:c r="Q10" s="7"/>
      <x:c r="R10" s="7"/>
      <x:c r="S10" s="8"/>
      <x:c r="T10" s="7"/>
      <x:c r="U10" s="7"/>
      <x:c r="V10" s="8"/>
      <x:c r="W10" s="7" t="n">
        <x:v>2</x:v>
      </x:c>
      <x:c r="X10" s="7" t="str">
        <x:v>대상: 적. 적에게 공격력*0.825배 + 생명력*0.275배 만큼의 피해를 가합니다. 100%확률로 명중 감소 30% 적용합니다.</x:v>
      </x:c>
      <x:c r="Y10" s="7" t="str">
        <x:v>Target: one enemy. Deals 0.825 × caster Attack + 0.275 × caster max Health damage to one enemy. 100% chance to apply Hit Chance Down 30%.</x:v>
      </x:c>
      <x:c r="Z10" s="7" t="str">
        <x:v>공격|디버프</x:v>
      </x:c>
    </x:row>
    <x:row r="11" ht="115" customHeight="1">
      <x:c r="A11" s="7" t="str">
        <x:v>SKILL_0005</x:v>
      </x:c>
      <x:c r="B11" s="7" t="str">
        <x:v>기절 — 스턴의 일격</x:v>
      </x:c>
      <x:c r="C11" s="7"/>
      <x:c r="D11" s="7" t="str">
        <x:v>적</x:v>
      </x:c>
      <x:c r="E11" s="7" t="n">
        <x:v>1.1</x:v>
      </x:c>
      <x:c r="F11" s="7" t="n">
        <x:v>0</x:v>
      </x:c>
      <x:c r="G11" s="7" t="n">
        <x:v>0</x:v>
      </x:c>
      <x:c r="H11" s="7" t="n">
        <x:v>0</x:v>
      </x:c>
      <x:c r="I11" s="7" t="n">
        <x:v>0</x:v>
      </x:c>
      <x:c r="J11" s="7" t="n">
        <x:v>0</x:v>
      </x:c>
      <x:c r="K11" s="7" t="str">
        <x:v>STUN</x:v>
      </x:c>
      <x:c r="L11" s="7" t="n">
        <x:v>1</x:v>
      </x:c>
      <x:c r="M11" s="8" t="n">
        <x:v>1</x:v>
      </x:c>
      <x:c r="N11" s="7"/>
      <x:c r="O11" s="7"/>
      <x:c r="P11" s="8"/>
      <x:c r="Q11" s="7"/>
      <x:c r="R11" s="7"/>
      <x:c r="S11" s="8"/>
      <x:c r="T11" s="7"/>
      <x:c r="U11" s="7"/>
      <x:c r="V11" s="8"/>
      <x:c r="W11" s="7" t="n">
        <x:v>3</x:v>
      </x:c>
      <x:c r="X11" s="7" t="str">
        <x:v>대상: 적. 적에게 공격력*1.1배 만큼의 피해를 가합니다. 100%확률로 기절 — 스턴 적용합니다.</x:v>
      </x:c>
      <x:c r="Y11" s="7" t="str">
        <x:v>Target: one enemy. Deals 1.1 × caster Attack damage to one enemy. 100% chance to apply Stun.</x:v>
      </x:c>
      <x:c r="Z11" s="7" t="str">
        <x:v>공격|디버프</x:v>
      </x:c>
    </x:row>
    <x:row r="12" ht="115" customHeight="1">
      <x:c r="A12" s="7" t="str">
        <x:v>SKILL_0006</x:v>
      </x:c>
      <x:c r="B12" s="7" t="str">
        <x:v>수면의 일격</x:v>
      </x:c>
      <x:c r="C12" s="7"/>
      <x:c r="D12" s="7" t="str">
        <x:v>적</x:v>
      </x:c>
      <x:c r="E12" s="7" t="n">
        <x:v>0.715</x:v>
      </x:c>
      <x:c r="F12" s="7" t="n">
        <x:v>0.385</x:v>
      </x:c>
      <x:c r="G12" s="7" t="n">
        <x:v>0</x:v>
      </x:c>
      <x:c r="H12" s="7" t="n">
        <x:v>0</x:v>
      </x:c>
      <x:c r="I12" s="7" t="n">
        <x:v>0</x:v>
      </x:c>
      <x:c r="J12" s="7" t="n">
        <x:v>0</x:v>
      </x:c>
      <x:c r="K12" s="7" t="str">
        <x:v>SLEEP</x:v>
      </x:c>
      <x:c r="L12" s="7" t="n">
        <x:v>1</x:v>
      </x:c>
      <x:c r="M12" s="8" t="n">
        <x:v>1</x:v>
      </x:c>
      <x:c r="N12" s="7"/>
      <x:c r="O12" s="7"/>
      <x:c r="P12" s="8"/>
      <x:c r="Q12" s="7"/>
      <x:c r="R12" s="7"/>
      <x:c r="S12" s="8"/>
      <x:c r="T12" s="7"/>
      <x:c r="U12" s="7"/>
      <x:c r="V12" s="8"/>
      <x:c r="W12" s="7" t="n">
        <x:v>2</x:v>
      </x:c>
      <x:c r="X12" s="7" t="str">
        <x:v>대상: 적. 적에게 공격력*0.715배 + 방어력*0.385배 만큼의 피해를 가합니다. 100%확률로 수면 적용합니다.</x:v>
      </x:c>
      <x:c r="Y12" s="7" t="str">
        <x:v>Target: one enemy. Deals 0.715 × caster Attack + 0.385 × caster Defense damage to one enemy. 100% chance to apply Sleep.</x:v>
      </x:c>
      <x:c r="Z12" s="7" t="str">
        <x:v>공격|디버프</x:v>
      </x:c>
    </x:row>
    <x:row r="13" ht="115" customHeight="1">
      <x:c r="A13" s="7" t="str">
        <x:v>SKILL_0007</x:v>
      </x:c>
      <x:c r="B13" s="7" t="str">
        <x:v>도발의 일격</x:v>
      </x:c>
      <x:c r="C13" s="7"/>
      <x:c r="D13" s="7" t="str">
        <x:v>적</x:v>
      </x:c>
      <x:c r="E13" s="7" t="n">
        <x:v>0.825</x:v>
      </x:c>
      <x:c r="F13" s="7" t="n">
        <x:v>0</x:v>
      </x:c>
      <x:c r="G13" s="7" t="n">
        <x:v>0.275</x:v>
      </x:c>
      <x:c r="H13" s="7" t="n">
        <x:v>0</x:v>
      </x:c>
      <x:c r="I13" s="7" t="n">
        <x:v>0</x:v>
      </x:c>
      <x:c r="J13" s="7" t="n">
        <x:v>0</x:v>
      </x:c>
      <x:c r="K13" s="7" t="str">
        <x:v>PROVOKE</x:v>
      </x:c>
      <x:c r="L13" s="7" t="n">
        <x:v>1</x:v>
      </x:c>
      <x:c r="M13" s="8" t="n">
        <x:v>1</x:v>
      </x:c>
      <x:c r="N13" s="7"/>
      <x:c r="O13" s="7"/>
      <x:c r="P13" s="8"/>
      <x:c r="Q13" s="7"/>
      <x:c r="R13" s="7"/>
      <x:c r="S13" s="8"/>
      <x:c r="T13" s="7"/>
      <x:c r="U13" s="7"/>
      <x:c r="V13" s="8"/>
      <x:c r="W13" s="7" t="n">
        <x:v>2</x:v>
      </x:c>
      <x:c r="X13" s="7" t="str">
        <x:v>대상: 적. 적에게 공격력*0.825배 + 속도*0.275배 만큼의 피해를 가합니다. 100%확률로 도발 적용합니다.</x:v>
      </x:c>
      <x:c r="Y13" s="7" t="str">
        <x:v>Target: one enemy. Deals 0.825 × caster Attack + 0.275 × caster Speed damage to one enemy. 100% chance to apply Provoke.</x:v>
      </x:c>
      <x:c r="Z13" s="7" t="str">
        <x:v>공격|디버프</x:v>
      </x:c>
    </x:row>
    <x:row r="14" ht="115" customHeight="1">
      <x:c r="A14" s="7" t="str">
        <x:v>SKILL_0008</x:v>
      </x:c>
      <x:c r="B14" s="7" t="str">
        <x:v>회복 불가의 일격</x:v>
      </x:c>
      <x:c r="C14" s="7"/>
      <x:c r="D14" s="7" t="str">
        <x:v>적</x:v>
      </x:c>
      <x:c r="E14" s="7" t="n">
        <x:v>0.77</x:v>
      </x:c>
      <x:c r="F14" s="7" t="n">
        <x:v>0</x:v>
      </x:c>
      <x:c r="G14" s="7" t="n">
        <x:v>0</x:v>
      </x:c>
      <x:c r="H14" s="7" t="n">
        <x:v>0.33</x:v>
      </x:c>
      <x:c r="I14" s="7" t="n">
        <x:v>0</x:v>
      </x:c>
      <x:c r="J14" s="7" t="n">
        <x:v>0</x:v>
      </x:c>
      <x:c r="K14" s="7" t="str">
        <x:v>HEAL_BLOCK</x:v>
      </x:c>
      <x:c r="L14" s="7" t="n">
        <x:v>1</x:v>
      </x:c>
      <x:c r="M14" s="8" t="n">
        <x:v>1</x:v>
      </x:c>
      <x:c r="N14" s="7"/>
      <x:c r="O14" s="7"/>
      <x:c r="P14" s="8"/>
      <x:c r="Q14" s="7"/>
      <x:c r="R14" s="7"/>
      <x:c r="S14" s="8"/>
      <x:c r="T14" s="7"/>
      <x:c r="U14" s="7"/>
      <x:c r="V14" s="8"/>
      <x:c r="W14" s="7" t="n">
        <x:v>1</x:v>
      </x:c>
      <x:c r="X14" s="7" t="str">
        <x:v>대상: 적. 적에게 공격력*0.77배 + 생명력*0.33배 만큼의 피해를 가합니다. 100%확률로 회복 불가 적용합니다.</x:v>
      </x:c>
      <x:c r="Y14" s="7" t="str">
        <x:v>Target: one enemy. Deals 0.77 × caster Attack + 0.33 × caster max Health damage to one enemy. 100% chance to apply Unhealable.</x:v>
      </x:c>
      <x:c r="Z14" s="7" t="str">
        <x:v>공격|디버프</x:v>
      </x:c>
    </x:row>
    <x:row r="15" ht="115" customHeight="1">
      <x:c r="A15" s="7" t="str">
        <x:v>SKILL_0009</x:v>
      </x:c>
      <x:c r="B15" s="7" t="str">
        <x:v>강화 불가의 일격</x:v>
      </x:c>
      <x:c r="C15" s="7"/>
      <x:c r="D15" s="7" t="str">
        <x:v>적</x:v>
      </x:c>
      <x:c r="E15" s="7" t="n">
        <x:v>1.1</x:v>
      </x:c>
      <x:c r="F15" s="7" t="n">
        <x:v>0</x:v>
      </x:c>
      <x:c r="G15" s="7" t="n">
        <x:v>0</x:v>
      </x:c>
      <x:c r="H15" s="7" t="n">
        <x:v>0</x:v>
      </x:c>
      <x:c r="I15" s="7" t="n">
        <x:v>0</x:v>
      </x:c>
      <x:c r="J15" s="7" t="n">
        <x:v>0</x:v>
      </x:c>
      <x:c r="K15" s="7" t="str">
        <x:v>BUFF_BLOCK</x:v>
      </x:c>
      <x:c r="L15" s="7" t="n">
        <x:v>1</x:v>
      </x:c>
      <x:c r="M15" s="8" t="n">
        <x:v>1</x:v>
      </x:c>
      <x:c r="N15" s="7"/>
      <x:c r="O15" s="7"/>
      <x:c r="P15" s="8"/>
      <x:c r="Q15" s="7"/>
      <x:c r="R15" s="7"/>
      <x:c r="S15" s="8"/>
      <x:c r="T15" s="7"/>
      <x:c r="U15" s="7"/>
      <x:c r="V15" s="8"/>
      <x:c r="W15" s="7" t="n">
        <x:v>2</x:v>
      </x:c>
      <x:c r="X15" s="7" t="str">
        <x:v>대상: 적. 적에게 공격력*1.1배 만큼의 피해를 가합니다. 100%확률로 강화 불가 적용합니다.</x:v>
      </x:c>
      <x:c r="Y15" s="7" t="str">
        <x:v>Target: one enemy. Deals 1.1 × caster Attack damage to one enemy. 100% chance to apply Unbuffable.</x:v>
      </x:c>
      <x:c r="Z15" s="7" t="str">
        <x:v>공격|디버프</x:v>
      </x:c>
    </x:row>
    <x:row r="16" ht="115" customHeight="1">
      <x:c r="A16" s="7" t="str">
        <x:v>SKILL_0010</x:v>
      </x:c>
      <x:c r="B16" s="7" t="str">
        <x:v>반격 불가의 일격</x:v>
      </x:c>
      <x:c r="C16" s="7"/>
      <x:c r="D16" s="7" t="str">
        <x:v>적</x:v>
      </x:c>
      <x:c r="E16" s="7" t="n">
        <x:v>0.825</x:v>
      </x:c>
      <x:c r="F16" s="7" t="n">
        <x:v>0.275</x:v>
      </x:c>
      <x:c r="G16" s="7" t="n">
        <x:v>0</x:v>
      </x:c>
      <x:c r="H16" s="7" t="n">
        <x:v>0</x:v>
      </x:c>
      <x:c r="I16" s="7" t="n">
        <x:v>0</x:v>
      </x:c>
      <x:c r="J16" s="7" t="n">
        <x:v>0</x:v>
      </x:c>
      <x:c r="K16" s="7" t="str">
        <x:v>COUNTERATTACK_BLOCK</x:v>
      </x:c>
      <x:c r="L16" s="7" t="n">
        <x:v>1</x:v>
      </x:c>
      <x:c r="M16" s="8" t="n">
        <x:v>1</x:v>
      </x:c>
      <x:c r="N16" s="7"/>
      <x:c r="O16" s="7"/>
      <x:c r="P16" s="8"/>
      <x:c r="Q16" s="7"/>
      <x:c r="R16" s="7"/>
      <x:c r="S16" s="8"/>
      <x:c r="T16" s="7"/>
      <x:c r="U16" s="7"/>
      <x:c r="V16" s="8"/>
      <x:c r="W16" s="7" t="n">
        <x:v>1</x:v>
      </x:c>
      <x:c r="X16" s="7" t="str">
        <x:v>대상: 적. 적에게 공격력*0.825배 + 방어력*0.275배 만큼의 피해를 가합니다. 100%확률로 반격 불가 적용합니다.</x:v>
      </x:c>
      <x:c r="Y16" s="7" t="str">
        <x:v>Target: one enemy. Deals 0.825 × caster Attack + 0.275 × caster Defense damage to one enemy. 100% chance to apply Counterattack Block.</x:v>
      </x:c>
      <x:c r="Z16" s="7" t="str">
        <x:v>공격|디버프</x:v>
      </x:c>
    </x:row>
    <x:row r="17" ht="115" customHeight="1">
      <x:c r="A17" s="7" t="str">
        <x:v>SKILL_0011</x:v>
      </x:c>
      <x:c r="B17" s="7" t="str">
        <x:v>중독의 일격</x:v>
      </x:c>
      <x:c r="C17" s="7"/>
      <x:c r="D17" s="7" t="str">
        <x:v>적</x:v>
      </x:c>
      <x:c r="E17" s="7" t="n">
        <x:v>0.77</x:v>
      </x:c>
      <x:c r="F17" s="7" t="n">
        <x:v>0</x:v>
      </x:c>
      <x:c r="G17" s="7" t="n">
        <x:v>0.33</x:v>
      </x:c>
      <x:c r="H17" s="7" t="n">
        <x:v>0</x:v>
      </x:c>
      <x:c r="I17" s="7" t="n">
        <x:v>0</x:v>
      </x:c>
      <x:c r="J17" s="7" t="n">
        <x:v>0</x:v>
      </x:c>
      <x:c r="K17" s="7" t="str">
        <x:v>POISON</x:v>
      </x:c>
      <x:c r="L17" s="7" t="n">
        <x:v>0.06</x:v>
      </x:c>
      <x:c r="M17" s="8" t="n">
        <x:v>1</x:v>
      </x:c>
      <x:c r="N17" s="7"/>
      <x:c r="O17" s="7"/>
      <x:c r="P17" s="8"/>
      <x:c r="Q17" s="7"/>
      <x:c r="R17" s="7"/>
      <x:c r="S17" s="8"/>
      <x:c r="T17" s="7"/>
      <x:c r="U17" s="7"/>
      <x:c r="V17" s="8"/>
      <x:c r="W17" s="7" t="n">
        <x:v>2</x:v>
      </x:c>
      <x:c r="X17" s="7" t="str">
        <x:v>대상: 적. 적에게 공격력*0.77배 + 속도*0.33배 만큼의 피해를 가합니다. 100%확률로 중독 6% 적용합니다.</x:v>
      </x:c>
      <x:c r="Y17" s="7" t="str">
        <x:v>Target: one enemy. Deals 0.77 × caster Attack + 0.33 × caster Speed damage to one enemy. 100% chance to apply Poison 6%.</x:v>
      </x:c>
      <x:c r="Z17" s="7" t="str">
        <x:v>공격|디버프</x:v>
      </x:c>
    </x:row>
    <x:row r="18" ht="115" customHeight="1">
      <x:c r="A18" s="7" t="str">
        <x:v>SKILL_0012</x:v>
      </x:c>
      <x:c r="B18" s="7" t="str">
        <x:v>출혈의 일격</x:v>
      </x:c>
      <x:c r="C18" s="7"/>
      <x:c r="D18" s="7" t="str">
        <x:v>적</x:v>
      </x:c>
      <x:c r="E18" s="7" t="n">
        <x:v>0.715</x:v>
      </x:c>
      <x:c r="F18" s="7" t="n">
        <x:v>0</x:v>
      </x:c>
      <x:c r="G18" s="7" t="n">
        <x:v>0</x:v>
      </x:c>
      <x:c r="H18" s="7" t="n">
        <x:v>0.385</x:v>
      </x:c>
      <x:c r="I18" s="7" t="n">
        <x:v>0</x:v>
      </x:c>
      <x:c r="J18" s="7" t="n">
        <x:v>0</x:v>
      </x:c>
      <x:c r="K18" s="7" t="str">
        <x:v>BLEED</x:v>
      </x:c>
      <x:c r="L18" s="7" t="n">
        <x:v>0.3</x:v>
      </x:c>
      <x:c r="M18" s="8" t="n">
        <x:v>1</x:v>
      </x:c>
      <x:c r="N18" s="7"/>
      <x:c r="O18" s="7"/>
      <x:c r="P18" s="8"/>
      <x:c r="Q18" s="7"/>
      <x:c r="R18" s="7"/>
      <x:c r="S18" s="8"/>
      <x:c r="T18" s="7"/>
      <x:c r="U18" s="7"/>
      <x:c r="V18" s="8"/>
      <x:c r="W18" s="7" t="n">
        <x:v>1</x:v>
      </x:c>
      <x:c r="X18" s="7" t="str">
        <x:v>대상: 적. 적에게 공격력*0.715배 + 생명력*0.385배 만큼의 피해를 가합니다. 100%확률로 출혈 30% 적용합니다.</x:v>
      </x:c>
      <x:c r="Y18" s="7" t="str">
        <x:v>Target: one enemy. Deals 0.715 × caster Attack + 0.385 × caster max Health damage to one enemy. 100% chance to apply Bleed 30%.</x:v>
      </x:c>
      <x:c r="Z18" s="7" t="str">
        <x:v>공격|디버프</x:v>
      </x:c>
    </x:row>
    <x:row r="19" ht="115" customHeight="1">
      <x:c r="A19" s="7" t="str">
        <x:v>SKILL_0013</x:v>
      </x:c>
      <x:c r="B19" s="7" t="str">
        <x:v>표적의 일격</x:v>
      </x:c>
      <x:c r="C19" s="7"/>
      <x:c r="D19" s="7" t="str">
        <x:v>적</x:v>
      </x:c>
      <x:c r="E19" s="7" t="n">
        <x:v>1.1</x:v>
      </x:c>
      <x:c r="F19" s="7" t="n">
        <x:v>0</x:v>
      </x:c>
      <x:c r="G19" s="7" t="n">
        <x:v>0</x:v>
      </x:c>
      <x:c r="H19" s="7" t="n">
        <x:v>0</x:v>
      </x:c>
      <x:c r="I19" s="7" t="n">
        <x:v>0</x:v>
      </x:c>
      <x:c r="J19" s="7" t="n">
        <x:v>0</x:v>
      </x:c>
      <x:c r="K19" s="7" t="str">
        <x:v>TARGET</x:v>
      </x:c>
      <x:c r="L19" s="7" t="n">
        <x:v>0.225</x:v>
      </x:c>
      <x:c r="M19" s="8" t="n">
        <x:v>1</x:v>
      </x:c>
      <x:c r="N19" s="7"/>
      <x:c r="O19" s="7"/>
      <x:c r="P19" s="8"/>
      <x:c r="Q19" s="7"/>
      <x:c r="R19" s="7"/>
      <x:c r="S19" s="8"/>
      <x:c r="T19" s="7"/>
      <x:c r="U19" s="7"/>
      <x:c r="V19" s="8"/>
      <x:c r="W19" s="7" t="n">
        <x:v>2</x:v>
      </x:c>
      <x:c r="X19" s="7" t="str">
        <x:v>대상: 적. 적에게 공격력*1.1배 만큼의 피해를 가합니다. 100%확률로 표적 22.5% 적용합니다.</x:v>
      </x:c>
      <x:c r="Y19" s="7" t="str">
        <x:v>Target: one enemy. Deals 1.1 × caster Attack damage to one enemy. 100% chance to apply Target 22.5%.</x:v>
      </x:c>
      <x:c r="Z19" s="7" t="str">
        <x:v>공격|디버프</x:v>
      </x:c>
    </x:row>
    <x:row r="20" ht="115" customHeight="1">
      <x:c r="A20" s="7" t="str">
        <x:v>SKILL_0014</x:v>
      </x:c>
      <x:c r="B20" s="7" t="str">
        <x:v>저주의 일격</x:v>
      </x:c>
      <x:c r="C20" s="7"/>
      <x:c r="D20" s="7" t="str">
        <x:v>적</x:v>
      </x:c>
      <x:c r="E20" s="7" t="n">
        <x:v>0.77</x:v>
      </x:c>
      <x:c r="F20" s="7" t="n">
        <x:v>0.33</x:v>
      </x:c>
      <x:c r="G20" s="7" t="n">
        <x:v>0</x:v>
      </x:c>
      <x:c r="H20" s="7" t="n">
        <x:v>0</x:v>
      </x:c>
      <x:c r="I20" s="7" t="n">
        <x:v>0</x:v>
      </x:c>
      <x:c r="J20" s="7" t="n">
        <x:v>0</x:v>
      </x:c>
      <x:c r="K20" s="7" t="str">
        <x:v>CURSE</x:v>
      </x:c>
      <x:c r="L20" s="7" t="n">
        <x:v>0.3</x:v>
      </x:c>
      <x:c r="M20" s="8" t="n">
        <x:v>1</x:v>
      </x:c>
      <x:c r="N20" s="7"/>
      <x:c r="O20" s="7"/>
      <x:c r="P20" s="8"/>
      <x:c r="Q20" s="7"/>
      <x:c r="R20" s="7"/>
      <x:c r="S20" s="8"/>
      <x:c r="T20" s="7"/>
      <x:c r="U20" s="7"/>
      <x:c r="V20" s="8"/>
      <x:c r="W20" s="7" t="n">
        <x:v>2</x:v>
      </x:c>
      <x:c r="X20" s="7" t="str">
        <x:v>대상: 적. 적에게 공격력*0.77배 + 방어력*0.33배 만큼의 피해를 가합니다. 100%확률로 저주 30% 적용합니다.</x:v>
      </x:c>
      <x:c r="Y20" s="7" t="str">
        <x:v>Target: one enemy. Deals 0.77 × caster Attack + 0.33 × caster Defense damage to one enemy. 100% chance to apply Curse 30%.</x:v>
      </x:c>
      <x:c r="Z20" s="7" t="str">
        <x:v>공격|디버프</x:v>
      </x:c>
    </x:row>
    <x:row r="21" ht="115" customHeight="1">
      <x:c r="A21" s="7" t="str">
        <x:v>SKILL_0015</x:v>
      </x:c>
      <x:c r="B21" s="7" t="str">
        <x:v>상처의 일격</x:v>
      </x:c>
      <x:c r="C21" s="7"/>
      <x:c r="D21" s="7" t="str">
        <x:v>적</x:v>
      </x:c>
      <x:c r="E21" s="7" t="n">
        <x:v>0.715</x:v>
      </x:c>
      <x:c r="F21" s="7" t="n">
        <x:v>0</x:v>
      </x:c>
      <x:c r="G21" s="7" t="n">
        <x:v>0.385</x:v>
      </x:c>
      <x:c r="H21" s="7" t="n">
        <x:v>0</x:v>
      </x:c>
      <x:c r="I21" s="7" t="n">
        <x:v>0</x:v>
      </x:c>
      <x:c r="J21" s="7" t="n">
        <x:v>0</x:v>
      </x:c>
      <x:c r="K21" s="7" t="str">
        <x:v>INJURY</x:v>
      </x:c>
      <x:c r="L21" s="7" t="n">
        <x:v>0.12</x:v>
      </x:c>
      <x:c r="M21" s="8" t="n">
        <x:v>1</x:v>
      </x:c>
      <x:c r="N21" s="7"/>
      <x:c r="O21" s="7"/>
      <x:c r="P21" s="8"/>
      <x:c r="Q21" s="7"/>
      <x:c r="R21" s="7"/>
      <x:c r="S21" s="8"/>
      <x:c r="T21" s="7"/>
      <x:c r="U21" s="7"/>
      <x:c r="V21" s="8"/>
      <x:c r="W21" s="7" t="n">
        <x:v>2</x:v>
      </x:c>
      <x:c r="X21" s="7" t="str">
        <x:v>대상: 적. 적에게 공격력*0.715배 + 속도*0.385배 만큼의 피해를 가합니다. 100%확률로 상처 12% 적용합니다.</x:v>
      </x:c>
      <x:c r="Y21" s="7" t="str">
        <x:v>Target: one enemy. Deals 0.715 × caster Attack + 0.385 × caster Speed damage to one enemy. 100% chance to apply Injury 12%.</x:v>
      </x:c>
      <x:c r="Z21" s="7" t="str">
        <x:v>공격|디버프</x:v>
      </x:c>
    </x:row>
    <x:row r="22" ht="115" customHeight="1">
      <x:c r="A22" s="7" t="str">
        <x:v>SKILL_0016</x:v>
      </x:c>
      <x:c r="B22" s="7" t="str">
        <x:v>추가 피해의 일격</x:v>
      </x:c>
      <x:c r="C22" s="7"/>
      <x:c r="D22" s="7" t="str">
        <x:v>적</x:v>
      </x:c>
      <x:c r="E22" s="7" t="n">
        <x:v>0.825</x:v>
      </x:c>
      <x:c r="F22" s="7" t="n">
        <x:v>0</x:v>
      </x:c>
      <x:c r="G22" s="7" t="n">
        <x:v>0</x:v>
      </x:c>
      <x:c r="H22" s="7" t="n">
        <x:v>0.275</x:v>
      </x:c>
      <x:c r="I22" s="7" t="n">
        <x:v>0</x:v>
      </x:c>
      <x:c r="J22" s="7" t="n">
        <x:v>0</x:v>
      </x:c>
      <x:c r="K22" s="7" t="str">
        <x:v>ADDITIONAL_DAMAGE</x:v>
      </x:c>
      <x:c r="L22" s="7" t="n">
        <x:v>0.375</x:v>
      </x:c>
      <x:c r="M22" s="8" t="n">
        <x:v>1</x:v>
      </x:c>
      <x:c r="N22" s="7"/>
      <x:c r="O22" s="7"/>
      <x:c r="P22" s="8"/>
      <x:c r="Q22" s="7"/>
      <x:c r="R22" s="7"/>
      <x:c r="S22" s="8"/>
      <x:c r="T22" s="7"/>
      <x:c r="U22" s="7"/>
      <x:c r="V22" s="8"/>
      <x:c r="W22" s="7" t="n">
        <x:v>1</x:v>
      </x:c>
      <x:c r="X22" s="7" t="str">
        <x:v>대상: 적. 적에게 공격력*0.825배 + 생명력*0.275배 만큼의 피해를 가합니다. 100%확률로 추가 피해 37.5% 적용합니다.</x:v>
      </x:c>
      <x:c r="Y22" s="7" t="str">
        <x:v>Target: one enemy. Deals 0.825 × caster Attack + 0.275 × caster max Health damage to one enemy. 100% chance to apply Additional Damage 37.5%.</x:v>
      </x:c>
      <x:c r="Z22" s="7" t="str">
        <x:v>공격</x:v>
      </x:c>
    </x:row>
    <x:row r="23" ht="115" customHeight="1">
      <x:c r="A23" s="7" t="str">
        <x:v>SKILL_0017</x:v>
      </x:c>
      <x:c r="B23" s="7" t="str">
        <x:v>흡혈의 일격</x:v>
      </x:c>
      <x:c r="C23" s="7"/>
      <x:c r="D23" s="7" t="str">
        <x:v>적</x:v>
      </x:c>
      <x:c r="E23" s="7" t="n">
        <x:v>1.1</x:v>
      </x:c>
      <x:c r="F23" s="7" t="n">
        <x:v>0</x:v>
      </x:c>
      <x:c r="G23" s="7" t="n">
        <x:v>0</x:v>
      </x:c>
      <x:c r="H23" s="7" t="n">
        <x:v>0</x:v>
      </x:c>
      <x:c r="I23" s="7" t="n">
        <x:v>0</x:v>
      </x:c>
      <x:c r="J23" s="7" t="n">
        <x:v>0</x:v>
      </x:c>
      <x:c r="K23" s="7" t="str">
        <x:v>LIFESTEAL</x:v>
      </x:c>
      <x:c r="L23" s="7" t="n">
        <x:v>0.45</x:v>
      </x:c>
      <x:c r="M23" s="8" t="n">
        <x:v>1</x:v>
      </x:c>
      <x:c r="N23" s="7"/>
      <x:c r="O23" s="7"/>
      <x:c r="P23" s="8"/>
      <x:c r="Q23" s="7"/>
      <x:c r="R23" s="7"/>
      <x:c r="S23" s="8"/>
      <x:c r="T23" s="7"/>
      <x:c r="U23" s="7"/>
      <x:c r="V23" s="8"/>
      <x:c r="W23" s="7" t="n">
        <x:v>1</x:v>
      </x:c>
      <x:c r="X23" s="7" t="str">
        <x:v>대상: 적. 적에게 공격력*1.1배 만큼의 피해를 가합니다. 100%확률로 흡혈 45% 획득합니다.</x:v>
      </x:c>
      <x:c r="Y23" s="7" t="str">
        <x:v>Target: one enemy. Deals 1.1 × caster Attack damage to one enemy. 100% chance to gain Lifesteal 45%.</x:v>
      </x:c>
      <x:c r="Z23" s="7" t="str">
        <x:v>공격|회복|버프</x:v>
      </x:c>
    </x:row>
    <x:row r="24" ht="115" customHeight="1">
      <x:c r="A24" s="7" t="str">
        <x:v>SKILL_0018</x:v>
      </x:c>
      <x:c r="B24" s="7" t="str">
        <x:v>소멸의 일격</x:v>
      </x:c>
      <x:c r="C24" s="7"/>
      <x:c r="D24" s="7" t="str">
        <x:v>적</x:v>
      </x:c>
      <x:c r="E24" s="7" t="n">
        <x:v>0.715</x:v>
      </x:c>
      <x:c r="F24" s="7" t="n">
        <x:v>0.385</x:v>
      </x:c>
      <x:c r="G24" s="7" t="n">
        <x:v>0</x:v>
      </x:c>
      <x:c r="H24" s="7" t="n">
        <x:v>0</x:v>
      </x:c>
      <x:c r="I24" s="7" t="n">
        <x:v>0</x:v>
      </x:c>
      <x:c r="J24" s="7" t="n">
        <x:v>0</x:v>
      </x:c>
      <x:c r="K24" s="7" t="str">
        <x:v>EXTINCTION</x:v>
      </x:c>
      <x:c r="L24" s="7" t="n">
        <x:v>1</x:v>
      </x:c>
      <x:c r="M24" s="8" t="n">
        <x:v>1</x:v>
      </x:c>
      <x:c r="N24" s="7"/>
      <x:c r="O24" s="7"/>
      <x:c r="P24" s="8"/>
      <x:c r="Q24" s="7"/>
      <x:c r="R24" s="7"/>
      <x:c r="S24" s="8"/>
      <x:c r="T24" s="7"/>
      <x:c r="U24" s="7"/>
      <x:c r="V24" s="8"/>
      <x:c r="W24" s="7" t="n">
        <x:v>2</x:v>
      </x:c>
      <x:c r="X24" s="7" t="str">
        <x:v>대상: 적. 적에게 공격력*0.715배 + 방어력*0.385배 만큼의 피해를 가합니다. 100%확률로 소멸 적용합니다.</x:v>
      </x:c>
      <x:c r="Y24" s="7" t="str">
        <x:v>Target: one enemy. Deals 0.715 × caster Attack + 0.385 × caster Defense damage to one enemy. 100% chance to apply Extinction.</x:v>
      </x:c>
      <x:c r="Z24" s="7" t="str">
        <x:v>공격</x:v>
      </x:c>
    </x:row>
    <x:row r="25" ht="115" customHeight="1">
      <x:c r="A25" s="7" t="str">
        <x:v>SKILL_0019</x:v>
      </x:c>
      <x:c r="B25" s="7" t="str">
        <x:v>부활 불가의 일격</x:v>
      </x:c>
      <x:c r="C25" s="7"/>
      <x:c r="D25" s="7" t="str">
        <x:v>적</x:v>
      </x:c>
      <x:c r="E25" s="7" t="n">
        <x:v>0.825</x:v>
      </x:c>
      <x:c r="F25" s="7" t="n">
        <x:v>0</x:v>
      </x:c>
      <x:c r="G25" s="7" t="n">
        <x:v>0.275</x:v>
      </x:c>
      <x:c r="H25" s="7" t="n">
        <x:v>0</x:v>
      </x:c>
      <x:c r="I25" s="7" t="n">
        <x:v>0</x:v>
      </x:c>
      <x:c r="J25" s="7" t="n">
        <x:v>0</x:v>
      </x:c>
      <x:c r="K25" s="7" t="str">
        <x:v>REVIVE_BLOCK</x:v>
      </x:c>
      <x:c r="L25" s="7" t="n">
        <x:v>1</x:v>
      </x:c>
      <x:c r="M25" s="8" t="n">
        <x:v>1</x:v>
      </x:c>
      <x:c r="N25" s="7"/>
      <x:c r="O25" s="7"/>
      <x:c r="P25" s="8"/>
      <x:c r="Q25" s="7"/>
      <x:c r="R25" s="7"/>
      <x:c r="S25" s="8"/>
      <x:c r="T25" s="7"/>
      <x:c r="U25" s="7"/>
      <x:c r="V25" s="8"/>
      <x:c r="W25" s="7" t="n">
        <x:v>2</x:v>
      </x:c>
      <x:c r="X25" s="7" t="str">
        <x:v>대상: 적. 적에게 공격력*0.825배 + 속도*0.275배 만큼의 피해를 가합니다. 100%확률로 부활 불가 적용합니다.</x:v>
      </x:c>
      <x:c r="Y25" s="7" t="str">
        <x:v>Target: one enemy. Deals 0.825 × caster Attack + 0.275 × caster Speed damage to one enemy. 100% chance to apply Revive Block.</x:v>
      </x:c>
      <x:c r="Z25" s="7" t="str">
        <x:v>공격|디버프</x:v>
      </x:c>
    </x:row>
    <x:row r="26" ht="115" customHeight="1">
      <x:c r="A26" s="7" t="str">
        <x:v>SKILL_0020</x:v>
      </x:c>
      <x:c r="B26" s="7" t="str">
        <x:v>추가 공격의 일격</x:v>
      </x:c>
      <x:c r="C26" s="7"/>
      <x:c r="D26" s="7" t="str">
        <x:v>적</x:v>
      </x:c>
      <x:c r="E26" s="7" t="n">
        <x:v>0.77</x:v>
      </x:c>
      <x:c r="F26" s="7" t="n">
        <x:v>0</x:v>
      </x:c>
      <x:c r="G26" s="7" t="n">
        <x:v>0</x:v>
      </x:c>
      <x:c r="H26" s="7" t="n">
        <x:v>0.33</x:v>
      </x:c>
      <x:c r="I26" s="7" t="n">
        <x:v>0</x:v>
      </x:c>
      <x:c r="J26" s="7" t="n">
        <x:v>0</x:v>
      </x:c>
      <x:c r="K26" s="7" t="str">
        <x:v>EXTRA_ATTACK</x:v>
      </x:c>
      <x:c r="L26" s="7" t="n">
        <x:v>0.525</x:v>
      </x:c>
      <x:c r="M26" s="8" t="n">
        <x:v>1</x:v>
      </x:c>
      <x:c r="N26" s="7"/>
      <x:c r="O26" s="7"/>
      <x:c r="P26" s="8"/>
      <x:c r="Q26" s="7"/>
      <x:c r="R26" s="7"/>
      <x:c r="S26" s="8"/>
      <x:c r="T26" s="7"/>
      <x:c r="U26" s="7"/>
      <x:c r="V26" s="8"/>
      <x:c r="W26" s="7" t="n">
        <x:v>2</x:v>
      </x:c>
      <x:c r="X26" s="7" t="str">
        <x:v>대상: 적. 적에게 공격력*0.77배 + 생명력*0.33배 만큼의 피해를 가합니다. 100%확률로 추가 공격 52.5% 적용합니다.</x:v>
      </x:c>
      <x:c r="Y26" s="7" t="str">
        <x:v>Target: one enemy. Deals 0.77 × caster Attack + 0.33 × caster max Health damage to one enemy. 100% chance to apply Extra Attack 52.5%.</x:v>
      </x:c>
      <x:c r="Z26" s="7" t="str">
        <x:v>공격</x:v>
      </x:c>
    </x:row>
    <x:row r="27" ht="115" customHeight="1">
      <x:c r="A27" s="7" t="str">
        <x:v>SKILL_0021</x:v>
      </x:c>
      <x:c r="B27" s="7" t="str">
        <x:v>스킬 쿨타임 증가의 일격</x:v>
      </x:c>
      <x:c r="C27" s="7"/>
      <x:c r="D27" s="7" t="str">
        <x:v>적</x:v>
      </x:c>
      <x:c r="E27" s="7" t="n">
        <x:v>1.1</x:v>
      </x:c>
      <x:c r="F27" s="7" t="n">
        <x:v>0</x:v>
      </x:c>
      <x:c r="G27" s="7" t="n">
        <x:v>0</x:v>
      </x:c>
      <x:c r="H27" s="7" t="n">
        <x:v>0</x:v>
      </x:c>
      <x:c r="I27" s="7" t="n">
        <x:v>0</x:v>
      </x:c>
      <x:c r="J27" s="7" t="n">
        <x:v>0</x:v>
      </x:c>
      <x:c r="K27" s="7" t="str">
        <x:v>SKILL_COOLDOWN_UP</x:v>
      </x:c>
      <x:c r="L27" s="7" t="n">
        <x:v>1</x:v>
      </x:c>
      <x:c r="M27" s="8" t="n">
        <x:v>1</x:v>
      </x:c>
      <x:c r="N27" s="7"/>
      <x:c r="O27" s="7"/>
      <x:c r="P27" s="8"/>
      <x:c r="Q27" s="7"/>
      <x:c r="R27" s="7"/>
      <x:c r="S27" s="8"/>
      <x:c r="T27" s="7"/>
      <x:c r="U27" s="7"/>
      <x:c r="V27" s="8"/>
      <x:c r="W27" s="7" t="n">
        <x:v>2</x:v>
      </x:c>
      <x:c r="X27" s="7" t="str">
        <x:v>대상: 적. 적에게 공격력*1.1배 만큼의 피해를 가합니다. 100%확률로 스킬 쿨타임 증가 1턴 적용합니다.</x:v>
      </x:c>
      <x:c r="Y27" s="7" t="str">
        <x:v>Target: one enemy. Deals 1.1 × caster Attack damage to one enemy. 100% chance to apply Skill Cooldown Increase 1 turn.</x:v>
      </x:c>
      <x:c r="Z27" s="7" t="str">
        <x:v>공격|디버프</x:v>
      </x:c>
    </x:row>
    <x:row r="28" ht="115" customHeight="1">
      <x:c r="A28" s="7" t="str">
        <x:v>SKILL_0022</x:v>
      </x:c>
      <x:c r="B28" s="7" t="str">
        <x:v>방어력 관통의 일격</x:v>
      </x:c>
      <x:c r="C28" s="7"/>
      <x:c r="D28" s="7" t="str">
        <x:v>적</x:v>
      </x:c>
      <x:c r="E28" s="7" t="n">
        <x:v>0.825</x:v>
      </x:c>
      <x:c r="F28" s="7" t="n">
        <x:v>0.275</x:v>
      </x:c>
      <x:c r="G28" s="7" t="n">
        <x:v>0</x:v>
      </x:c>
      <x:c r="H28" s="7" t="n">
        <x:v>0</x:v>
      </x:c>
      <x:c r="I28" s="7" t="n">
        <x:v>0</x:v>
      </x:c>
      <x:c r="J28" s="7" t="n">
        <x:v>0</x:v>
      </x:c>
      <x:c r="K28" s="7" t="str">
        <x:v>DEFENSE_PENETRATION</x:v>
      </x:c>
      <x:c r="L28" s="7" t="n">
        <x:v>0.45</x:v>
      </x:c>
      <x:c r="M28" s="8" t="n">
        <x:v>1</x:v>
      </x:c>
      <x:c r="N28" s="7"/>
      <x:c r="O28" s="7"/>
      <x:c r="P28" s="8"/>
      <x:c r="Q28" s="7"/>
      <x:c r="R28" s="7"/>
      <x:c r="S28" s="8"/>
      <x:c r="T28" s="7"/>
      <x:c r="U28" s="7"/>
      <x:c r="V28" s="8"/>
      <x:c r="W28" s="7" t="n">
        <x:v>2</x:v>
      </x:c>
      <x:c r="X28" s="7" t="str">
        <x:v>대상: 적. 적에게 공격력*0.825배 + 방어력*0.275배 만큼의 피해를 가합니다. 100%확률로 방어력 관통 45% 적용합니다.</x:v>
      </x:c>
      <x:c r="Y28" s="7" t="str">
        <x:v>Target: one enemy. Deals 0.825 × caster Attack + 0.275 × caster Defense damage to one enemy. 100% chance to apply Defense Penetration 45%.</x:v>
      </x:c>
      <x:c r="Z28" s="7" t="str">
        <x:v>공격</x:v>
      </x:c>
    </x:row>
    <x:row r="29" ht="115" customHeight="1">
      <x:c r="A29" s="7" t="str">
        <x:v>SKILL_0023</x:v>
      </x:c>
      <x:c r="B29" s="7" t="str">
        <x:v>강화효과 해제의 일격</x:v>
      </x:c>
      <x:c r="C29" s="7"/>
      <x:c r="D29" s="7" t="str">
        <x:v>적</x:v>
      </x:c>
      <x:c r="E29" s="7" t="n">
        <x:v>0.77</x:v>
      </x:c>
      <x:c r="F29" s="7" t="n">
        <x:v>0</x:v>
      </x:c>
      <x:c r="G29" s="7" t="n">
        <x:v>0.33</x:v>
      </x:c>
      <x:c r="H29" s="7" t="n">
        <x:v>0</x:v>
      </x:c>
      <x:c r="I29" s="7" t="n">
        <x:v>0</x:v>
      </x:c>
      <x:c r="J29" s="7" t="n">
        <x:v>0</x:v>
      </x:c>
      <x:c r="K29" s="7" t="str">
        <x:v>DISPEL_BUFF</x:v>
      </x:c>
      <x:c r="L29" s="7" t="n">
        <x:v>2</x:v>
      </x:c>
      <x:c r="M29" s="8" t="n">
        <x:v>1</x:v>
      </x:c>
      <x:c r="N29" s="7"/>
      <x:c r="O29" s="7"/>
      <x:c r="P29" s="8"/>
      <x:c r="Q29" s="7"/>
      <x:c r="R29" s="7"/>
      <x:c r="S29" s="8"/>
      <x:c r="T29" s="7"/>
      <x:c r="U29" s="7"/>
      <x:c r="V29" s="8"/>
      <x:c r="W29" s="7" t="n">
        <x:v>2</x:v>
      </x:c>
      <x:c r="X29" s="7" t="str">
        <x:v>대상: 적. 적에게 공격력*0.77배 + 속도*0.33배 만큼의 피해를 가합니다. 100%확률로 강화효과 해제 2개 적용합니다.</x:v>
      </x:c>
      <x:c r="Y29" s="7" t="str">
        <x:v>Target: one enemy. Deals 0.77 × caster Attack + 0.33 × caster Speed damage to one enemy. 100% chance to apply Dispel Buff 2 count.</x:v>
      </x:c>
      <x:c r="Z29" s="7" t="str">
        <x:v>공격|디버프</x:v>
      </x:c>
    </x:row>
    <x:row r="30" ht="115" customHeight="1">
      <x:c r="A30" s="7" t="str">
        <x:v>SKILL_0024</x:v>
      </x:c>
      <x:c r="B30" s="7" t="str">
        <x:v>강화효과 지속시간 감소의 일격</x:v>
      </x:c>
      <x:c r="C30" s="7"/>
      <x:c r="D30" s="7" t="str">
        <x:v>적</x:v>
      </x:c>
      <x:c r="E30" s="7" t="n">
        <x:v>0.715</x:v>
      </x:c>
      <x:c r="F30" s="7" t="n">
        <x:v>0</x:v>
      </x:c>
      <x:c r="G30" s="7" t="n">
        <x:v>0</x:v>
      </x:c>
      <x:c r="H30" s="7" t="n">
        <x:v>0.385</x:v>
      </x:c>
      <x:c r="I30" s="7" t="n">
        <x:v>0</x:v>
      </x:c>
      <x:c r="J30" s="7" t="n">
        <x:v>0</x:v>
      </x:c>
      <x:c r="K30" s="7" t="str">
        <x:v>BUFF_DURATION_DOWN</x:v>
      </x:c>
      <x:c r="L30" s="7" t="n">
        <x:v>1</x:v>
      </x:c>
      <x:c r="M30" s="8" t="n">
        <x:v>1</x:v>
      </x:c>
      <x:c r="N30" s="7"/>
      <x:c r="O30" s="7"/>
      <x:c r="P30" s="8"/>
      <x:c r="Q30" s="7"/>
      <x:c r="R30" s="7"/>
      <x:c r="S30" s="8"/>
      <x:c r="T30" s="7"/>
      <x:c r="U30" s="7"/>
      <x:c r="V30" s="8"/>
      <x:c r="W30" s="7" t="n">
        <x:v>1</x:v>
      </x:c>
      <x:c r="X30" s="7" t="str">
        <x:v>대상: 적. 적에게 공격력*0.715배 + 생명력*0.385배 만큼의 피해를 가합니다. 100%확률로 강화효과 지속시간 감소 1턴 적용합니다.</x:v>
      </x:c>
      <x:c r="Y30" s="7" t="str">
        <x:v>Target: one enemy. Deals 0.715 × caster Attack + 0.385 × caster max Health damage to one enemy. 100% chance to apply Buff Duration Reduction 1 turn.</x:v>
      </x:c>
      <x:c r="Z30" s="7" t="str">
        <x:v>공격|디버프</x:v>
      </x:c>
    </x:row>
    <x:row r="31" ht="115" customHeight="1">
      <x:c r="A31" s="7" t="str">
        <x:v>SKILL_0025</x:v>
      </x:c>
      <x:c r="B31" s="7" t="str">
        <x:v>약화효과 지속시간 증가의 일격</x:v>
      </x:c>
      <x:c r="C31" s="7"/>
      <x:c r="D31" s="7" t="str">
        <x:v>적</x:v>
      </x:c>
      <x:c r="E31" s="7" t="n">
        <x:v>1.1</x:v>
      </x:c>
      <x:c r="F31" s="7" t="n">
        <x:v>0</x:v>
      </x:c>
      <x:c r="G31" s="7" t="n">
        <x:v>0</x:v>
      </x:c>
      <x:c r="H31" s="7" t="n">
        <x:v>0</x:v>
      </x:c>
      <x:c r="I31" s="7" t="n">
        <x:v>0</x:v>
      </x:c>
      <x:c r="J31" s="7" t="n">
        <x:v>0</x:v>
      </x:c>
      <x:c r="K31" s="7" t="str">
        <x:v>DEBUFF_DURATION_UP</x:v>
      </x:c>
      <x:c r="L31" s="7" t="n">
        <x:v>1</x:v>
      </x:c>
      <x:c r="M31" s="8" t="n">
        <x:v>1</x:v>
      </x:c>
      <x:c r="N31" s="7"/>
      <x:c r="O31" s="7"/>
      <x:c r="P31" s="8"/>
      <x:c r="Q31" s="7"/>
      <x:c r="R31" s="7"/>
      <x:c r="S31" s="8"/>
      <x:c r="T31" s="7"/>
      <x:c r="U31" s="7"/>
      <x:c r="V31" s="8"/>
      <x:c r="W31" s="7" t="n">
        <x:v>2</x:v>
      </x:c>
      <x:c r="X31" s="7" t="str">
        <x:v>대상: 적. 적에게 공격력*1.1배 만큼의 피해를 가합니다. 100%확률로 약화효과 지속시간 증가 1턴 적용합니다.</x:v>
      </x:c>
      <x:c r="Y31" s="7" t="str">
        <x:v>Target: one enemy. Deals 1.1 × caster Attack damage to one enemy. 100% chance to apply Debuff Duration Extension 1 turn.</x:v>
      </x:c>
      <x:c r="Z31" s="7" t="str">
        <x:v>공격|디버프</x:v>
      </x:c>
    </x:row>
    <x:row r="32" ht="115" customHeight="1">
      <x:c r="A32" s="7" t="str">
        <x:v>SKILL_0026</x:v>
      </x:c>
      <x:c r="B32" s="7" t="str">
        <x:v>약화효과 전이의 일격</x:v>
      </x:c>
      <x:c r="C32" s="7"/>
      <x:c r="D32" s="7" t="str">
        <x:v>적</x:v>
      </x:c>
      <x:c r="E32" s="7" t="n">
        <x:v>0.77</x:v>
      </x:c>
      <x:c r="F32" s="7" t="n">
        <x:v>0.33</x:v>
      </x:c>
      <x:c r="G32" s="7" t="n">
        <x:v>0</x:v>
      </x:c>
      <x:c r="H32" s="7" t="n">
        <x:v>0</x:v>
      </x:c>
      <x:c r="I32" s="7" t="n">
        <x:v>0</x:v>
      </x:c>
      <x:c r="J32" s="7" t="n">
        <x:v>0</x:v>
      </x:c>
      <x:c r="K32" s="7" t="str">
        <x:v>TRANSFER_DEBUFF</x:v>
      </x:c>
      <x:c r="L32" s="7" t="n">
        <x:v>2</x:v>
      </x:c>
      <x:c r="M32" s="8" t="n">
        <x:v>1</x:v>
      </x:c>
      <x:c r="N32" s="7"/>
      <x:c r="O32" s="7"/>
      <x:c r="P32" s="8"/>
      <x:c r="Q32" s="7"/>
      <x:c r="R32" s="7"/>
      <x:c r="S32" s="8"/>
      <x:c r="T32" s="7"/>
      <x:c r="U32" s="7"/>
      <x:c r="V32" s="8"/>
      <x:c r="W32" s="7" t="n">
        <x:v>3</x:v>
      </x:c>
      <x:c r="X32" s="7" t="str">
        <x:v>대상: 적. 적에게 공격력*0.77배 + 방어력*0.33배 만큼의 피해를 가합니다. 100%확률로 약화효과 전이 2개 적용합니다.</x:v>
      </x:c>
      <x:c r="Y32" s="7" t="str">
        <x:v>Target: one enemy. Deals 0.77 × caster Attack + 0.33 × caster Defense damage to one enemy. 100% chance to apply Debuff Transfer 2 count.</x:v>
      </x:c>
      <x:c r="Z32" s="7" t="str">
        <x:v>공격|디버프</x:v>
      </x:c>
    </x:row>
    <x:row r="33" ht="115" customHeight="1">
      <x:c r="A33" s="7" t="str">
        <x:v>SKILL_0027</x:v>
      </x:c>
      <x:c r="B33" s="7" t="str">
        <x:v>속도 감소 · 부활 불가 · 추가 공격의 일격</x:v>
      </x:c>
      <x:c r="C33" s="7"/>
      <x:c r="D33" s="7" t="str">
        <x:v>적</x:v>
      </x:c>
      <x:c r="E33" s="7" t="n">
        <x:v>0.715</x:v>
      </x:c>
      <x:c r="F33" s="7" t="n">
        <x:v>0</x:v>
      </x:c>
      <x:c r="G33" s="7" t="n">
        <x:v>0.385</x:v>
      </x:c>
      <x:c r="H33" s="7" t="n">
        <x:v>0</x:v>
      </x:c>
      <x:c r="I33" s="7" t="n">
        <x:v>0</x:v>
      </x:c>
      <x:c r="J33" s="7" t="n">
        <x:v>0</x:v>
      </x:c>
      <x:c r="K33" s="7" t="str">
        <x:v>SPEED_DOWN</x:v>
      </x:c>
      <x:c r="L33" s="7" t="n">
        <x:v>0.16</x:v>
      </x:c>
      <x:c r="M33" s="8" t="n">
        <x:v>0.8</x:v>
      </x:c>
      <x:c r="N33" s="7" t="str">
        <x:v>REVIVE_BLOCK</x:v>
      </x:c>
      <x:c r="O33" s="7" t="n">
        <x:v>1</x:v>
      </x:c>
      <x:c r="P33" s="8" t="n">
        <x:v>0.8</x:v>
      </x:c>
      <x:c r="Q33" s="7" t="str">
        <x:v>EXTRA_ATTACK</x:v>
      </x:c>
      <x:c r="R33" s="7" t="n">
        <x:v>0.28</x:v>
      </x:c>
      <x:c r="S33" s="8" t="n">
        <x:v>0.8</x:v>
      </x:c>
      <x:c r="T33" s="7"/>
      <x:c r="U33" s="7"/>
      <x:c r="V33" s="8"/>
      <x:c r="W33" s="7" t="n">
        <x:v>3</x:v>
      </x:c>
      <x:c r="X33" s="7" t="str">
        <x:v>대상: 적. 적에게 공격력*0.715배 + 속도*0.385배 만큼의 피해를 가합니다. 80%확률로 속도 감소 16% 적용합니다. 80%확률로 부활 불가 적용합니다. 80%확률로 추가 공격 28% 적용합니다.</x:v>
      </x:c>
      <x:c r="Y33" s="7" t="str">
        <x:v>Target: one enemy. Deals 0.715 × caster Attack + 0.385 × caster Speed damage to one enemy. 80% chance to apply Speed Down 16%. 80% chance to apply Revive Block. 80% chance to apply Extra Attack 28%.</x:v>
      </x:c>
      <x:c r="Z33" s="7" t="str">
        <x:v>공격|디버프</x:v>
      </x:c>
    </x:row>
    <x:row r="34" ht="115" customHeight="1">
      <x:c r="A34" s="7" t="str">
        <x:v>SKILL_0028</x:v>
      </x:c>
      <x:c r="B34" s="7" t="str">
        <x:v>반격 불가 · 회복 불가 · 소멸의 일격</x:v>
      </x:c>
      <x:c r="C34" s="7"/>
      <x:c r="D34" s="7" t="str">
        <x:v>적전체</x:v>
      </x:c>
      <x:c r="E34" s="7" t="n">
        <x:v>0.337</x:v>
      </x:c>
      <x:c r="F34" s="7" t="n">
        <x:v>0</x:v>
      </x:c>
      <x:c r="G34" s="7" t="n">
        <x:v>0</x:v>
      </x:c>
      <x:c r="H34" s="7" t="n">
        <x:v>0.113</x:v>
      </x:c>
      <x:c r="I34" s="7" t="n">
        <x:v>0</x:v>
      </x:c>
      <x:c r="J34" s="7" t="n">
        <x:v>0</x:v>
      </x:c>
      <x:c r="K34" s="7" t="str">
        <x:v>COUNTERATTACK_BLOCK</x:v>
      </x:c>
      <x:c r="L34" s="7" t="n">
        <x:v>1</x:v>
      </x:c>
      <x:c r="M34" s="8" t="n">
        <x:v>0.55</x:v>
      </x:c>
      <x:c r="N34" s="7" t="str">
        <x:v>HEAL_BLOCK</x:v>
      </x:c>
      <x:c r="O34" s="7" t="n">
        <x:v>1</x:v>
      </x:c>
      <x:c r="P34" s="8" t="n">
        <x:v>0.55</x:v>
      </x:c>
      <x:c r="Q34" s="7" t="str">
        <x:v>EXTINCTION</x:v>
      </x:c>
      <x:c r="R34" s="7" t="n">
        <x:v>1</x:v>
      </x:c>
      <x:c r="S34" s="8" t="n">
        <x:v>0.55</x:v>
      </x:c>
      <x:c r="T34" s="7"/>
      <x:c r="U34" s="7"/>
      <x:c r="V34" s="8"/>
      <x:c r="W34" s="7" t="n">
        <x:v>5</x:v>
      </x:c>
      <x:c r="X34" s="7" t="str">
        <x:v>대상: 적전체. 적전체에게 공격력*0.337배 + 생명력*0.113배 만큼의 피해를 가합니다. 55%확률로 반격 불가 적용합니다. 55%확률로 회복 불가 적용합니다. 55%확률로 소멸 적용합니다.</x:v>
      </x:c>
      <x:c r="Y34" s="7" t="str">
        <x:v>Target: all enemies. Deals 0.337 × caster Attack + 0.113 × caster max Health damage to all enemies. 55% chance to apply Counterattack Block. 55% chance to apply Unhealable. 55% chance to apply Extinction.</x:v>
      </x:c>
      <x:c r="Z34" s="7" t="str">
        <x:v>공격|디버프</x:v>
      </x:c>
    </x:row>
    <x:row r="35" ht="115" customHeight="1">
      <x:c r="A35" s="7" t="str">
        <x:v>SKILL_0029</x:v>
      </x:c>
      <x:c r="B35" s="7" t="str">
        <x:v>소멸 · 명중 감소 · 강화효과 해제의 일격</x:v>
      </x:c>
      <x:c r="C35" s="7"/>
      <x:c r="D35" s="7" t="str">
        <x:v>적</x:v>
      </x:c>
      <x:c r="E35" s="7" t="n">
        <x:v>1.1</x:v>
      </x:c>
      <x:c r="F35" s="7" t="n">
        <x:v>0</x:v>
      </x:c>
      <x:c r="G35" s="7" t="n">
        <x:v>0</x:v>
      </x:c>
      <x:c r="H35" s="7" t="n">
        <x:v>0</x:v>
      </x:c>
      <x:c r="I35" s="7" t="n">
        <x:v>0</x:v>
      </x:c>
      <x:c r="J35" s="7" t="n">
        <x:v>0</x:v>
      </x:c>
      <x:c r="K35" s="7" t="str">
        <x:v>EXTINCTION</x:v>
      </x:c>
      <x:c r="L35" s="7" t="n">
        <x:v>1</x:v>
      </x:c>
      <x:c r="M35" s="8" t="n">
        <x:v>0.8</x:v>
      </x:c>
      <x:c r="N35" s="7" t="str">
        <x:v>HIT_CHANCE_DOWN</x:v>
      </x:c>
      <x:c r="O35" s="7" t="n">
        <x:v>0.16</x:v>
      </x:c>
      <x:c r="P35" s="8" t="n">
        <x:v>0.8</x:v>
      </x:c>
      <x:c r="Q35" s="7" t="str">
        <x:v>DISPEL_BUFF</x:v>
      </x:c>
      <x:c r="R35" s="7" t="n">
        <x:v>1</x:v>
      </x:c>
      <x:c r="S35" s="8" t="n">
        <x:v>0.8</x:v>
      </x:c>
      <x:c r="T35" s="7"/>
      <x:c r="U35" s="7"/>
      <x:c r="V35" s="8"/>
      <x:c r="W35" s="7" t="n">
        <x:v>3</x:v>
      </x:c>
      <x:c r="X35" s="7" t="str">
        <x:v>대상: 적. 적에게 공격력*1.1배 만큼의 피해를 가합니다. 80%확률로 소멸 적용합니다. 80%확률로 명중 감소 16% 적용합니다. 80%확률로 강화효과 해제 1개 적용합니다.</x:v>
      </x:c>
      <x:c r="Y35" s="7" t="str">
        <x:v>Target: one enemy. Deals 1.1 × caster Attack damage to one enemy. 80% chance to apply Extinction. 80% chance to apply Hit Chance Down 16%. 80% chance to apply Dispel Buff 1 count.</x:v>
      </x:c>
      <x:c r="Z35" s="7" t="str">
        <x:v>공격|디버프</x:v>
      </x:c>
    </x:row>
    <x:row r="36" ht="115" customHeight="1">
      <x:c r="A36" s="7" t="str">
        <x:v>SKILL_0030</x:v>
      </x:c>
      <x:c r="B36" s="7" t="str">
        <x:v>상처 · 추가 피해 · 도발 · 강화 불가의 일격</x:v>
      </x:c>
      <x:c r="C36" s="7"/>
      <x:c r="D36" s="7" t="str">
        <x:v>적</x:v>
      </x:c>
      <x:c r="E36" s="7" t="n">
        <x:v>0.715</x:v>
      </x:c>
      <x:c r="F36" s="7" t="n">
        <x:v>0.385</x:v>
      </x:c>
      <x:c r="G36" s="7" t="n">
        <x:v>0</x:v>
      </x:c>
      <x:c r="H36" s="7" t="n">
        <x:v>0</x:v>
      </x:c>
      <x:c r="I36" s="7" t="n">
        <x:v>0</x:v>
      </x:c>
      <x:c r="J36" s="7" t="n">
        <x:v>0</x:v>
      </x:c>
      <x:c r="K36" s="7" t="str">
        <x:v>INJURY</x:v>
      </x:c>
      <x:c r="L36" s="7" t="n">
        <x:v>0.052</x:v>
      </x:c>
      <x:c r="M36" s="8" t="n">
        <x:v>0.7</x:v>
      </x:c>
      <x:c r="N36" s="7" t="str">
        <x:v>ADDITIONAL_DAMAGE</x:v>
      </x:c>
      <x:c r="O36" s="7" t="n">
        <x:v>0.163</x:v>
      </x:c>
      <x:c r="P36" s="8" t="n">
        <x:v>0.7</x:v>
      </x:c>
      <x:c r="Q36" s="7" t="str">
        <x:v>PROVOKE</x:v>
      </x:c>
      <x:c r="R36" s="7" t="n">
        <x:v>1</x:v>
      </x:c>
      <x:c r="S36" s="8" t="n">
        <x:v>0.7</x:v>
      </x:c>
      <x:c r="T36" s="7" t="str">
        <x:v>BUFF_BLOCK</x:v>
      </x:c>
      <x:c r="U36" s="7" t="n">
        <x:v>1</x:v>
      </x:c>
      <x:c r="V36" s="8" t="n">
        <x:v>0.7</x:v>
      </x:c>
      <x:c r="W36" s="7" t="n">
        <x:v>3</x:v>
      </x:c>
      <x:c r="X36" s="7" t="str">
        <x:v>대상: 적. 적에게 공격력*0.715배 + 방어력*0.385배 만큼의 피해를 가합니다. 70%확률로 상처 5.2% 적용합니다. 70%확률로 추가 피해 16.3% 적용합니다. 70%확률로 도발 적용합니다. 70%확률로 강화 불가 적용합니다.</x:v>
      </x:c>
      <x:c r="Y36" s="7" t="str">
        <x:v>Target: one enemy. Deals 0.715 × caster Attack + 0.385 × caster Defense damage to one enemy. 70% chance to apply Injury 5.2%. 70% chance to apply Additional Damage 16.3%. 70% chance to apply Provoke. 70% chance to apply Unbuffable.</x:v>
      </x:c>
      <x:c r="Z36" s="7" t="str">
        <x:v>공격|디버프</x:v>
      </x:c>
    </x:row>
    <x:row r="37" ht="115" customHeight="1">
      <x:c r="A37" s="7" t="str">
        <x:v>SKILL_0031</x:v>
      </x:c>
      <x:c r="B37" s="7" t="str">
        <x:v>약화효과 지속시간 증가 · 표적의 일격</x:v>
      </x:c>
      <x:c r="C37" s="7"/>
      <x:c r="D37" s="7" t="str">
        <x:v>적전체</x:v>
      </x:c>
      <x:c r="E37" s="7" t="n">
        <x:v>0.487</x:v>
      </x:c>
      <x:c r="F37" s="7" t="n">
        <x:v>0</x:v>
      </x:c>
      <x:c r="G37" s="7" t="n">
        <x:v>0.163</x:v>
      </x:c>
      <x:c r="H37" s="7" t="n">
        <x:v>0</x:v>
      </x:c>
      <x:c r="I37" s="7" t="n">
        <x:v>0</x:v>
      </x:c>
      <x:c r="J37" s="7" t="n">
        <x:v>0</x:v>
      </x:c>
      <x:c r="K37" s="7" t="str">
        <x:v>DEBUFF_DURATION_UP</x:v>
      </x:c>
      <x:c r="L37" s="7" t="n">
        <x:v>1</x:v>
      </x:c>
      <x:c r="M37" s="8" t="n">
        <x:v>0.85</x:v>
      </x:c>
      <x:c r="N37" s="7" t="str">
        <x:v>TARGET</x:v>
      </x:c>
      <x:c r="O37" s="7" t="n">
        <x:v>0.15</x:v>
      </x:c>
      <x:c r="P37" s="8" t="n">
        <x:v>0.85</x:v>
      </x:c>
      <x:c r="Q37" s="7"/>
      <x:c r="R37" s="7"/>
      <x:c r="S37" s="8"/>
      <x:c r="T37" s="7"/>
      <x:c r="U37" s="7"/>
      <x:c r="V37" s="8"/>
      <x:c r="W37" s="7" t="n">
        <x:v>5</x:v>
      </x:c>
      <x:c r="X37" s="7" t="str">
        <x:v>대상: 적전체. 적전체에게 공격력*0.487배 + 속도*0.163배 만큼의 피해를 가합니다. 85%확률로 약화효과 지속시간 증가 1턴 적용합니다. 85%확률로 표적 15% 적용합니다.</x:v>
      </x:c>
      <x:c r="Y37" s="7" t="str">
        <x:v>Target: all enemies. Deals 0.487 × caster Attack + 0.163 × caster Speed damage to all enemies. 85% chance to apply Debuff Duration Extension 1 turn. 85% chance to apply Target 15%.</x:v>
      </x:c>
      <x:c r="Z37" s="7" t="str">
        <x:v>공격|디버프</x:v>
      </x:c>
    </x:row>
    <x:row r="38" ht="115" customHeight="1">
      <x:c r="A38" s="7" t="str">
        <x:v>SKILL_0032</x:v>
      </x:c>
      <x:c r="B38" s="7" t="str">
        <x:v>기절 — 스턴 · 중독의 일격</x:v>
      </x:c>
      <x:c r="C38" s="7"/>
      <x:c r="D38" s="7" t="str">
        <x:v>적</x:v>
      </x:c>
      <x:c r="E38" s="7" t="n">
        <x:v>0.77</x:v>
      </x:c>
      <x:c r="F38" s="7" t="n">
        <x:v>0</x:v>
      </x:c>
      <x:c r="G38" s="7" t="n">
        <x:v>0</x:v>
      </x:c>
      <x:c r="H38" s="7" t="n">
        <x:v>0.33</x:v>
      </x:c>
      <x:c r="I38" s="7" t="n">
        <x:v>0</x:v>
      </x:c>
      <x:c r="J38" s="7" t="n">
        <x:v>0</x:v>
      </x:c>
      <x:c r="K38" s="7" t="str">
        <x:v>STUN</x:v>
      </x:c>
      <x:c r="L38" s="7" t="n">
        <x:v>1</x:v>
      </x:c>
      <x:c r="M38" s="8" t="n">
        <x:v>0.9</x:v>
      </x:c>
      <x:c r="N38" s="7" t="str">
        <x:v>POISON</x:v>
      </x:c>
      <x:c r="O38" s="7" t="n">
        <x:v>0.04</x:v>
      </x:c>
      <x:c r="P38" s="8" t="n">
        <x:v>0.9</x:v>
      </x:c>
      <x:c r="Q38" s="7"/>
      <x:c r="R38" s="7"/>
      <x:c r="S38" s="8"/>
      <x:c r="T38" s="7"/>
      <x:c r="U38" s="7"/>
      <x:c r="V38" s="8"/>
      <x:c r="W38" s="7" t="n">
        <x:v>3</x:v>
      </x:c>
      <x:c r="X38" s="7" t="str">
        <x:v>대상: 적. 적에게 공격력*0.77배 + 생명력*0.33배 만큼의 피해를 가합니다. 90%확률로 기절 — 스턴 적용합니다. 90%확률로 중독 4% 적용합니다.</x:v>
      </x:c>
      <x:c r="Y38" s="7" t="str">
        <x:v>Target: one enemy. Deals 0.77 × caster Attack + 0.33 × caster max Health damage to one enemy. 90% chance to apply Stun. 90% chance to apply Poison 4%.</x:v>
      </x:c>
      <x:c r="Z38" s="7" t="str">
        <x:v>공격|디버프</x:v>
      </x:c>
    </x:row>
    <x:row r="39" ht="115" customHeight="1">
      <x:c r="A39" s="7" t="str">
        <x:v>SKILL_0033</x:v>
      </x:c>
      <x:c r="B39" s="7" t="str">
        <x:v>공격력 감소 · 강화효과 지속시간 감소 · 방어력 관통 · 명중 감소의 일격</x:v>
      </x:c>
      <x:c r="C39" s="7"/>
      <x:c r="D39" s="7" t="str">
        <x:v>적</x:v>
      </x:c>
      <x:c r="E39" s="7" t="n">
        <x:v>1.1</x:v>
      </x:c>
      <x:c r="F39" s="7" t="n">
        <x:v>0</x:v>
      </x:c>
      <x:c r="G39" s="7" t="n">
        <x:v>0</x:v>
      </x:c>
      <x:c r="H39" s="7" t="n">
        <x:v>0</x:v>
      </x:c>
      <x:c r="I39" s="7" t="n">
        <x:v>0</x:v>
      </x:c>
      <x:c r="J39" s="7" t="n">
        <x:v>0</x:v>
      </x:c>
      <x:c r="K39" s="7" t="str">
        <x:v>ATTACK_DOWN</x:v>
      </x:c>
      <x:c r="L39" s="7" t="n">
        <x:v>0.163</x:v>
      </x:c>
      <x:c r="M39" s="8" t="n">
        <x:v>0.7</x:v>
      </x:c>
      <x:c r="N39" s="7" t="str">
        <x:v>BUFF_DURATION_DOWN</x:v>
      </x:c>
      <x:c r="O39" s="7" t="n">
        <x:v>1</x:v>
      </x:c>
      <x:c r="P39" s="8" t="n">
        <x:v>0.7</x:v>
      </x:c>
      <x:c r="Q39" s="7" t="str">
        <x:v>DEFENSE_PENETRATION</x:v>
      </x:c>
      <x:c r="R39" s="7" t="n">
        <x:v>0.195</x:v>
      </x:c>
      <x:c r="S39" s="8" t="n">
        <x:v>0.7</x:v>
      </x:c>
      <x:c r="T39" s="7" t="str">
        <x:v>HIT_CHANCE_DOWN</x:v>
      </x:c>
      <x:c r="U39" s="7" t="n">
        <x:v>0.13</x:v>
      </x:c>
      <x:c r="V39" s="8" t="n">
        <x:v>0.7</x:v>
      </x:c>
      <x:c r="W39" s="7" t="n">
        <x:v>3</x:v>
      </x:c>
      <x:c r="X39" s="7" t="str">
        <x:v>대상: 적. 적에게 공격력*1.1배 만큼의 피해를 가합니다. 70%확률로 공격력 감소 16.3% 적용합니다. 70%확률로 강화효과 지속시간 감소 1턴 적용합니다. 70%확률로 방어력 관통 19.5% 적용합니다. 70%확률로 명중 감소 13% 적용합니다.</x:v>
      </x:c>
      <x:c r="Y39" s="7" t="str">
        <x:v>Target: one enemy. Deals 1.1 × caster Attack damage to one enemy. 70% chance to apply Attack Down 16.3%. 70% chance to apply Buff Duration Reduction 1 turn. 70% chance to apply Defense Penetration 19.5%. 70% chance to apply Hit Chance Down 13%.</x:v>
      </x:c>
      <x:c r="Z39" s="7" t="str">
        <x:v>공격|디버프</x:v>
      </x:c>
    </x:row>
    <x:row r="40" ht="115" customHeight="1">
      <x:c r="A40" s="7" t="str">
        <x:v>SKILL_0034</x:v>
      </x:c>
      <x:c r="B40" s="7" t="str">
        <x:v>강화효과 해제 · 표적의 일격</x:v>
      </x:c>
      <x:c r="C40" s="7"/>
      <x:c r="D40" s="7" t="str">
        <x:v>적전체</x:v>
      </x:c>
      <x:c r="E40" s="7" t="n">
        <x:v>0.525</x:v>
      </x:c>
      <x:c r="F40" s="7" t="n">
        <x:v>0.175</x:v>
      </x:c>
      <x:c r="G40" s="7" t="n">
        <x:v>0</x:v>
      </x:c>
      <x:c r="H40" s="7" t="n">
        <x:v>0</x:v>
      </x:c>
      <x:c r="I40" s="7" t="n">
        <x:v>0</x:v>
      </x:c>
      <x:c r="J40" s="7" t="n">
        <x:v>0</x:v>
      </x:c>
      <x:c r="K40" s="7" t="str">
        <x:v>DISPEL_BUFF</x:v>
      </x:c>
      <x:c r="L40" s="7" t="n">
        <x:v>1</x:v>
      </x:c>
      <x:c r="M40" s="8" t="n">
        <x:v>0.9</x:v>
      </x:c>
      <x:c r="N40" s="7" t="str">
        <x:v>TARGET</x:v>
      </x:c>
      <x:c r="O40" s="7" t="n">
        <x:v>0.15</x:v>
      </x:c>
      <x:c r="P40" s="8" t="n">
        <x:v>0.9</x:v>
      </x:c>
      <x:c r="Q40" s="7"/>
      <x:c r="R40" s="7"/>
      <x:c r="S40" s="8"/>
      <x:c r="T40" s="7"/>
      <x:c r="U40" s="7"/>
      <x:c r="V40" s="8"/>
      <x:c r="W40" s="7" t="n">
        <x:v>5</x:v>
      </x:c>
      <x:c r="X40" s="7" t="str">
        <x:v>대상: 적전체. 적전체에게 공격력*0.525배 + 방어력*0.175배 만큼의 피해를 가합니다. 90%확률로 강화효과 해제 1개 적용합니다. 90%확률로 표적 15% 적용합니다.</x:v>
      </x:c>
      <x:c r="Y40" s="7" t="str">
        <x:v>Target: all enemies. Deals 0.525 × caster Attack + 0.175 × caster Defense damage to all enemies. 90% chance to apply Dispel Buff 1 count. 90% chance to apply Target 15%.</x:v>
      </x:c>
      <x:c r="Z40" s="7" t="str">
        <x:v>공격|디버프</x:v>
      </x:c>
    </x:row>
    <x:row r="41" ht="115" customHeight="1">
      <x:c r="A41" s="7" t="str">
        <x:v>SKILL_0035</x:v>
      </x:c>
      <x:c r="B41" s="7" t="str">
        <x:v>소멸 · 방어력 관통 · 반격 불가의 일격</x:v>
      </x:c>
      <x:c r="C41" s="7"/>
      <x:c r="D41" s="7" t="str">
        <x:v>적</x:v>
      </x:c>
      <x:c r="E41" s="7" t="n">
        <x:v>0.77</x:v>
      </x:c>
      <x:c r="F41" s="7" t="n">
        <x:v>0</x:v>
      </x:c>
      <x:c r="G41" s="7" t="n">
        <x:v>0.33</x:v>
      </x:c>
      <x:c r="H41" s="7" t="n">
        <x:v>0</x:v>
      </x:c>
      <x:c r="I41" s="7" t="n">
        <x:v>0</x:v>
      </x:c>
      <x:c r="J41" s="7" t="n">
        <x:v>0</x:v>
      </x:c>
      <x:c r="K41" s="7" t="str">
        <x:v>EXTINCTION</x:v>
      </x:c>
      <x:c r="L41" s="7" t="n">
        <x:v>1</x:v>
      </x:c>
      <x:c r="M41" s="8" t="n">
        <x:v>0.8</x:v>
      </x:c>
      <x:c r="N41" s="7" t="str">
        <x:v>DEFENSE_PENETRATION</x:v>
      </x:c>
      <x:c r="O41" s="7" t="n">
        <x:v>0.24</x:v>
      </x:c>
      <x:c r="P41" s="8" t="n">
        <x:v>0.8</x:v>
      </x:c>
      <x:c r="Q41" s="7" t="str">
        <x:v>COUNTERATTACK_BLOCK</x:v>
      </x:c>
      <x:c r="R41" s="7" t="n">
        <x:v>1</x:v>
      </x:c>
      <x:c r="S41" s="8" t="n">
        <x:v>0.8</x:v>
      </x:c>
      <x:c r="T41" s="7"/>
      <x:c r="U41" s="7"/>
      <x:c r="V41" s="8"/>
      <x:c r="W41" s="7" t="n">
        <x:v>3</x:v>
      </x:c>
      <x:c r="X41" s="7" t="str">
        <x:v>대상: 적. 적에게 공격력*0.77배 + 속도*0.33배 만큼의 피해를 가합니다. 80%확률로 소멸 적용합니다. 80%확률로 방어력 관통 24% 적용합니다. 80%확률로 반격 불가 적용합니다.</x:v>
      </x:c>
      <x:c r="Y41" s="7" t="str">
        <x:v>Target: one enemy. Deals 0.77 × caster Attack + 0.33 × caster Speed damage to one enemy. 80% chance to apply Extinction. 80% chance to apply Defense Penetration 24%. 80% chance to apply Counterattack Block.</x:v>
      </x:c>
      <x:c r="Z41" s="7" t="str">
        <x:v>공격|디버프</x:v>
      </x:c>
    </x:row>
    <x:row r="42" ht="115" customHeight="1">
      <x:c r="A42" s="7" t="str">
        <x:v>SKILL_0036</x:v>
      </x:c>
      <x:c r="B42" s="7" t="str">
        <x:v>중독 · 기절 — 스턴 · 약화효과 전이의 일격</x:v>
      </x:c>
      <x:c r="C42" s="7"/>
      <x:c r="D42" s="7" t="str">
        <x:v>적</x:v>
      </x:c>
      <x:c r="E42" s="7" t="n">
        <x:v>0.715</x:v>
      </x:c>
      <x:c r="F42" s="7" t="n">
        <x:v>0</x:v>
      </x:c>
      <x:c r="G42" s="7" t="n">
        <x:v>0</x:v>
      </x:c>
      <x:c r="H42" s="7" t="n">
        <x:v>0.385</x:v>
      </x:c>
      <x:c r="I42" s="7" t="n">
        <x:v>0</x:v>
      </x:c>
      <x:c r="J42" s="7" t="n">
        <x:v>0</x:v>
      </x:c>
      <x:c r="K42" s="7" t="str">
        <x:v>POISON</x:v>
      </x:c>
      <x:c r="L42" s="7" t="n">
        <x:v>0.032</x:v>
      </x:c>
      <x:c r="M42" s="8" t="n">
        <x:v>0.8</x:v>
      </x:c>
      <x:c r="N42" s="7" t="str">
        <x:v>STUN</x:v>
      </x:c>
      <x:c r="O42" s="7" t="n">
        <x:v>1</x:v>
      </x:c>
      <x:c r="P42" s="8" t="n">
        <x:v>0.8</x:v>
      </x:c>
      <x:c r="Q42" s="7" t="str">
        <x:v>TRANSFER_DEBUFF</x:v>
      </x:c>
      <x:c r="R42" s="7" t="n">
        <x:v>1</x:v>
      </x:c>
      <x:c r="S42" s="8" t="n">
        <x:v>0.8</x:v>
      </x:c>
      <x:c r="T42" s="7"/>
      <x:c r="U42" s="7"/>
      <x:c r="V42" s="8"/>
      <x:c r="W42" s="7" t="n">
        <x:v>4</x:v>
      </x:c>
      <x:c r="X42" s="7" t="str">
        <x:v>대상: 적. 적에게 공격력*0.715배 + 생명력*0.385배 만큼의 피해를 가합니다. 80%확률로 중독 3.2% 적용합니다. 80%확률로 기절 — 스턴 적용합니다. 80%확률로 약화효과 전이 1개 적용합니다.</x:v>
      </x:c>
      <x:c r="Y42" s="7" t="str">
        <x:v>Target: one enemy. Deals 0.715 × caster Attack + 0.385 × caster max Health damage to one enemy. 80% chance to apply Poison 3.2%. 80% chance to apply Stun. 80% chance to apply Debuff Transfer 1 count.</x:v>
      </x:c>
      <x:c r="Z42" s="7" t="str">
        <x:v>공격|디버프</x:v>
      </x:c>
    </x:row>
    <x:row r="43" ht="115" customHeight="1">
      <x:c r="A43" s="7" t="str">
        <x:v>SKILL_0037</x:v>
      </x:c>
      <x:c r="B43" s="7" t="str">
        <x:v>추가 피해 · 약화효과 전이의 일격</x:v>
      </x:c>
      <x:c r="C43" s="7"/>
      <x:c r="D43" s="7" t="str">
        <x:v>적</x:v>
      </x:c>
      <x:c r="E43" s="7" t="n">
        <x:v>1.1</x:v>
      </x:c>
      <x:c r="F43" s="7" t="n">
        <x:v>0</x:v>
      </x:c>
      <x:c r="G43" s="7" t="n">
        <x:v>0</x:v>
      </x:c>
      <x:c r="H43" s="7" t="n">
        <x:v>0</x:v>
      </x:c>
      <x:c r="I43" s="7" t="n">
        <x:v>0</x:v>
      </x:c>
      <x:c r="J43" s="7" t="n">
        <x:v>0</x:v>
      </x:c>
      <x:c r="K43" s="7" t="str">
        <x:v>ADDITIONAL_DAMAGE</x:v>
      </x:c>
      <x:c r="L43" s="7" t="n">
        <x:v>0.25</x:v>
      </x:c>
      <x:c r="M43" s="8" t="n">
        <x:v>0.9</x:v>
      </x:c>
      <x:c r="N43" s="7" t="str">
        <x:v>TRANSFER_DEBUFF</x:v>
      </x:c>
      <x:c r="O43" s="7" t="n">
        <x:v>1</x:v>
      </x:c>
      <x:c r="P43" s="8" t="n">
        <x:v>0.9</x:v>
      </x:c>
      <x:c r="Q43" s="7"/>
      <x:c r="R43" s="7"/>
      <x:c r="S43" s="8"/>
      <x:c r="T43" s="7"/>
      <x:c r="U43" s="7"/>
      <x:c r="V43" s="8"/>
      <x:c r="W43" s="7" t="n">
        <x:v>2</x:v>
      </x:c>
      <x:c r="X43" s="7" t="str">
        <x:v>대상: 적. 적에게 공격력*1.1배 만큼의 피해를 가합니다. 90%확률로 추가 피해 25% 적용합니다. 90%확률로 약화효과 전이 1개 적용합니다.</x:v>
      </x:c>
      <x:c r="Y43" s="7" t="str">
        <x:v>Target: one enemy. Deals 1.1 × caster Attack damage to one enemy. 90% chance to apply Additional Damage 25%. 90% chance to apply Debuff Transfer 1 count.</x:v>
      </x:c>
      <x:c r="Z43" s="7" t="str">
        <x:v>공격|디버프</x:v>
      </x:c>
    </x:row>
    <x:row r="44" ht="115" customHeight="1">
      <x:c r="A44" s="7" t="str">
        <x:v>SKILL_0038</x:v>
      </x:c>
      <x:c r="B44" s="7" t="str">
        <x:v>스킬 쿨타임 증가 · 부활 불가 · 강화효과 해제의 일격</x:v>
      </x:c>
      <x:c r="C44" s="7"/>
      <x:c r="D44" s="7" t="str">
        <x:v>적</x:v>
      </x:c>
      <x:c r="E44" s="7" t="n">
        <x:v>0.77</x:v>
      </x:c>
      <x:c r="F44" s="7" t="n">
        <x:v>0.33</x:v>
      </x:c>
      <x:c r="G44" s="7" t="n">
        <x:v>0</x:v>
      </x:c>
      <x:c r="H44" s="7" t="n">
        <x:v>0</x:v>
      </x:c>
      <x:c r="I44" s="7" t="n">
        <x:v>0</x:v>
      </x:c>
      <x:c r="J44" s="7" t="n">
        <x:v>0</x:v>
      </x:c>
      <x:c r="K44" s="7" t="str">
        <x:v>SKILL_COOLDOWN_UP</x:v>
      </x:c>
      <x:c r="L44" s="7" t="n">
        <x:v>1</x:v>
      </x:c>
      <x:c r="M44" s="8" t="n">
        <x:v>0.8</x:v>
      </x:c>
      <x:c r="N44" s="7" t="str">
        <x:v>REVIVE_BLOCK</x:v>
      </x:c>
      <x:c r="O44" s="7" t="n">
        <x:v>1</x:v>
      </x:c>
      <x:c r="P44" s="8" t="n">
        <x:v>0.8</x:v>
      </x:c>
      <x:c r="Q44" s="7" t="str">
        <x:v>DISPEL_BUFF</x:v>
      </x:c>
      <x:c r="R44" s="7" t="n">
        <x:v>1</x:v>
      </x:c>
      <x:c r="S44" s="8" t="n">
        <x:v>0.8</x:v>
      </x:c>
      <x:c r="T44" s="7"/>
      <x:c r="U44" s="7"/>
      <x:c r="V44" s="8"/>
      <x:c r="W44" s="7" t="n">
        <x:v>4</x:v>
      </x:c>
      <x:c r="X44" s="7" t="str">
        <x:v>대상: 적. 적에게 공격력*0.77배 + 방어력*0.33배 만큼의 피해를 가합니다. 80%확률로 스킬 쿨타임 증가 1턴 적용합니다. 80%확률로 부활 불가 적용합니다. 80%확률로 강화효과 해제 1개 적용합니다.</x:v>
      </x:c>
      <x:c r="Y44" s="7" t="str">
        <x:v>Target: one enemy. Deals 0.77 × caster Attack + 0.33 × caster Defense damage to one enemy. 80% chance to apply Skill Cooldown Increase 1 turn. 80% chance to apply Revive Block. 80% chance to apply Dispel Buff 1 count.</x:v>
      </x:c>
      <x:c r="Z44" s="7" t="str">
        <x:v>공격|디버프</x:v>
      </x:c>
    </x:row>
    <x:row r="45" ht="115" customHeight="1">
      <x:c r="A45" s="7" t="str">
        <x:v>SKILL_0039</x:v>
      </x:c>
      <x:c r="B45" s="7" t="str">
        <x:v>중독 · 추가 공격 · 반격 불가 · 기절 — 스턴의 일격</x:v>
      </x:c>
      <x:c r="C45" s="7"/>
      <x:c r="D45" s="7" t="str">
        <x:v>적</x:v>
      </x:c>
      <x:c r="E45" s="7" t="n">
        <x:v>0.715</x:v>
      </x:c>
      <x:c r="F45" s="7" t="n">
        <x:v>0</x:v>
      </x:c>
      <x:c r="G45" s="7" t="n">
        <x:v>0.385</x:v>
      </x:c>
      <x:c r="H45" s="7" t="n">
        <x:v>0</x:v>
      </x:c>
      <x:c r="I45" s="7" t="n">
        <x:v>0</x:v>
      </x:c>
      <x:c r="J45" s="7" t="n">
        <x:v>0</x:v>
      </x:c>
      <x:c r="K45" s="7" t="str">
        <x:v>POISON</x:v>
      </x:c>
      <x:c r="L45" s="7" t="n">
        <x:v>0.026</x:v>
      </x:c>
      <x:c r="M45" s="8" t="n">
        <x:v>0.7</x:v>
      </x:c>
      <x:c r="N45" s="7" t="str">
        <x:v>EXTRA_ATTACK</x:v>
      </x:c>
      <x:c r="O45" s="7" t="n">
        <x:v>0.227</x:v>
      </x:c>
      <x:c r="P45" s="8" t="n">
        <x:v>0.7</x:v>
      </x:c>
      <x:c r="Q45" s="7" t="str">
        <x:v>COUNTERATTACK_BLOCK</x:v>
      </x:c>
      <x:c r="R45" s="7" t="n">
        <x:v>1</x:v>
      </x:c>
      <x:c r="S45" s="8" t="n">
        <x:v>0.7</x:v>
      </x:c>
      <x:c r="T45" s="7" t="str">
        <x:v>STUN</x:v>
      </x:c>
      <x:c r="U45" s="7" t="n">
        <x:v>1</x:v>
      </x:c>
      <x:c r="V45" s="8" t="n">
        <x:v>0.7</x:v>
      </x:c>
      <x:c r="W45" s="7" t="n">
        <x:v>4</x:v>
      </x:c>
      <x:c r="X45" s="7" t="str">
        <x:v>대상: 적. 적에게 공격력*0.715배 + 속도*0.385배 만큼의 피해를 가합니다. 70%확률로 중독 2.6% 적용합니다. 70%확률로 추가 공격 22.7% 적용합니다. 70%확률로 반격 불가 적용합니다. 70%확률로 기절 — 스턴 적용합니다.</x:v>
      </x:c>
      <x:c r="Y45" s="7" t="str">
        <x:v>Target: one enemy. Deals 0.715 × caster Attack + 0.385 × caster Speed damage to one enemy. 70% chance to apply Poison 2.6%. 70% chance to apply Extra Attack 22.7%. 70% chance to apply Counterattack Block. 70% chance to apply Stun.</x:v>
      </x:c>
      <x:c r="Z45" s="7" t="str">
        <x:v>공격|디버프</x:v>
      </x:c>
    </x:row>
    <x:row r="46" ht="115" customHeight="1">
      <x:c r="A46" s="7" t="str">
        <x:v>SKILL_0040</x:v>
      </x:c>
      <x:c r="B46" s="7" t="str">
        <x:v>추가 공격 · 반격 불가 · 추가 피해 · 표적의 일격</x:v>
      </x:c>
      <x:c r="C46" s="7"/>
      <x:c r="D46" s="7" t="str">
        <x:v>적전체</x:v>
      </x:c>
      <x:c r="E46" s="7" t="n">
        <x:v>0.487</x:v>
      </x:c>
      <x:c r="F46" s="7" t="n">
        <x:v>0</x:v>
      </x:c>
      <x:c r="G46" s="7" t="n">
        <x:v>0</x:v>
      </x:c>
      <x:c r="H46" s="7" t="n">
        <x:v>0.163</x:v>
      </x:c>
      <x:c r="I46" s="7" t="n">
        <x:v>0</x:v>
      </x:c>
      <x:c r="J46" s="7" t="n">
        <x:v>0</x:v>
      </x:c>
      <x:c r="K46" s="7" t="str">
        <x:v>EXTRA_ATTACK</x:v>
      </x:c>
      <x:c r="L46" s="7" t="n">
        <x:v>0.227</x:v>
      </x:c>
      <x:c r="M46" s="8" t="n">
        <x:v>0.65</x:v>
      </x:c>
      <x:c r="N46" s="7" t="str">
        <x:v>COUNTERATTACK_BLOCK</x:v>
      </x:c>
      <x:c r="O46" s="7" t="n">
        <x:v>1</x:v>
      </x:c>
      <x:c r="P46" s="8" t="n">
        <x:v>0.65</x:v>
      </x:c>
      <x:c r="Q46" s="7" t="str">
        <x:v>ADDITIONAL_DAMAGE</x:v>
      </x:c>
      <x:c r="R46" s="7" t="n">
        <x:v>0.163</x:v>
      </x:c>
      <x:c r="S46" s="8" t="n">
        <x:v>0.65</x:v>
      </x:c>
      <x:c r="T46" s="7" t="str">
        <x:v>TARGET</x:v>
      </x:c>
      <x:c r="U46" s="7" t="n">
        <x:v>0.098</x:v>
      </x:c>
      <x:c r="V46" s="8" t="n">
        <x:v>0.65</x:v>
      </x:c>
      <x:c r="W46" s="7" t="n">
        <x:v>5</x:v>
      </x:c>
      <x:c r="X46" s="7" t="str">
        <x:v>대상: 적전체. 적전체에게 공격력*0.487배 + 생명력*0.163배 만큼의 피해를 가합니다. 65%확률로 추가 공격 22.7% 적용합니다. 65%확률로 반격 불가 적용합니다. 65%확률로 추가 피해 16.3% 적용합니다. 65%확률로 표적 9.8% 적용합니다.</x:v>
      </x:c>
      <x:c r="Y46" s="7" t="str">
        <x:v>Target: all enemies. Deals 0.487 × caster Attack + 0.163 × caster max Health damage to all enemies. 65% chance to apply Extra Attack 22.7%. 65% chance to apply Counterattack Block. 65% chance to apply Additional Damage 16.3%. 65% chance to apply Target 9.8%.</x:v>
      </x:c>
      <x:c r="Z46" s="7" t="str">
        <x:v>공격|디버프</x:v>
      </x:c>
    </x:row>
    <x:row r="47" ht="115" customHeight="1">
      <x:c r="A47" s="7" t="str">
        <x:v>SKILL_0041</x:v>
      </x:c>
      <x:c r="B47" s="7" t="str">
        <x:v>공격력 감소 · 강화 불가 · 상처 · 기절 — 스턴의 일격</x:v>
      </x:c>
      <x:c r="C47" s="7"/>
      <x:c r="D47" s="7" t="str">
        <x:v>적</x:v>
      </x:c>
      <x:c r="E47" s="7" t="n">
        <x:v>1.1</x:v>
      </x:c>
      <x:c r="F47" s="7" t="n">
        <x:v>0</x:v>
      </x:c>
      <x:c r="G47" s="7" t="n">
        <x:v>0</x:v>
      </x:c>
      <x:c r="H47" s="7" t="n">
        <x:v>0</x:v>
      </x:c>
      <x:c r="I47" s="7" t="n">
        <x:v>0</x:v>
      </x:c>
      <x:c r="J47" s="7" t="n">
        <x:v>0</x:v>
      </x:c>
      <x:c r="K47" s="7" t="str">
        <x:v>ATTACK_DOWN</x:v>
      </x:c>
      <x:c r="L47" s="7" t="n">
        <x:v>0.163</x:v>
      </x:c>
      <x:c r="M47" s="8" t="n">
        <x:v>0.7</x:v>
      </x:c>
      <x:c r="N47" s="7" t="str">
        <x:v>BUFF_BLOCK</x:v>
      </x:c>
      <x:c r="O47" s="7" t="n">
        <x:v>1</x:v>
      </x:c>
      <x:c r="P47" s="8" t="n">
        <x:v>0.7</x:v>
      </x:c>
      <x:c r="Q47" s="7" t="str">
        <x:v>INJURY</x:v>
      </x:c>
      <x:c r="R47" s="7" t="n">
        <x:v>0.052</x:v>
      </x:c>
      <x:c r="S47" s="8" t="n">
        <x:v>0.7</x:v>
      </x:c>
      <x:c r="T47" s="7" t="str">
        <x:v>STUN</x:v>
      </x:c>
      <x:c r="U47" s="7" t="n">
        <x:v>1</x:v>
      </x:c>
      <x:c r="V47" s="8" t="n">
        <x:v>0.7</x:v>
      </x:c>
      <x:c r="W47" s="7" t="n">
        <x:v>4</x:v>
      </x:c>
      <x:c r="X47" s="7" t="str">
        <x:v>대상: 적. 적에게 공격력*1.1배 만큼의 피해를 가합니다. 70%확률로 공격력 감소 16.3% 적용합니다. 70%확률로 강화 불가 적용합니다. 70%확률로 상처 5.2% 적용합니다. 70%확률로 기절 — 스턴 적용합니다.</x:v>
      </x:c>
      <x:c r="Y47" s="7" t="str">
        <x:v>Target: one enemy. Deals 1.1 × caster Attack damage to one enemy. 70% chance to apply Attack Down 16.3%. 70% chance to apply Unbuffable. 70% chance to apply Injury 5.2%. 70% chance to apply Stun.</x:v>
      </x:c>
      <x:c r="Z47" s="7" t="str">
        <x:v>공격|디버프</x:v>
      </x:c>
    </x:row>
    <x:row r="48" ht="115" customHeight="1">
      <x:c r="A48" s="7" t="str">
        <x:v>SKILL_0042</x:v>
      </x:c>
      <x:c r="B48" s="7" t="str">
        <x:v>명중 감소 · 상처 · 표적의 일격</x:v>
      </x:c>
      <x:c r="C48" s="7"/>
      <x:c r="D48" s="7" t="str">
        <x:v>적</x:v>
      </x:c>
      <x:c r="E48" s="7" t="n">
        <x:v>0.715</x:v>
      </x:c>
      <x:c r="F48" s="7" t="n">
        <x:v>0.385</x:v>
      </x:c>
      <x:c r="G48" s="7" t="n">
        <x:v>0</x:v>
      </x:c>
      <x:c r="H48" s="7" t="n">
        <x:v>0</x:v>
      </x:c>
      <x:c r="I48" s="7" t="n">
        <x:v>0</x:v>
      </x:c>
      <x:c r="J48" s="7" t="n">
        <x:v>0</x:v>
      </x:c>
      <x:c r="K48" s="7" t="str">
        <x:v>HIT_CHANCE_DOWN</x:v>
      </x:c>
      <x:c r="L48" s="7" t="n">
        <x:v>0.16</x:v>
      </x:c>
      <x:c r="M48" s="8" t="n">
        <x:v>0.8</x:v>
      </x:c>
      <x:c r="N48" s="7" t="str">
        <x:v>INJURY</x:v>
      </x:c>
      <x:c r="O48" s="7" t="n">
        <x:v>0.064</x:v>
      </x:c>
      <x:c r="P48" s="8" t="n">
        <x:v>0.8</x:v>
      </x:c>
      <x:c r="Q48" s="7" t="str">
        <x:v>TARGET</x:v>
      </x:c>
      <x:c r="R48" s="7" t="n">
        <x:v>0.12</x:v>
      </x:c>
      <x:c r="S48" s="8" t="n">
        <x:v>0.8</x:v>
      </x:c>
      <x:c r="T48" s="7"/>
      <x:c r="U48" s="7"/>
      <x:c r="V48" s="8"/>
      <x:c r="W48" s="7" t="n">
        <x:v>2</x:v>
      </x:c>
      <x:c r="X48" s="7" t="str">
        <x:v>대상: 적. 적에게 공격력*0.715배 + 방어력*0.385배 만큼의 피해를 가합니다. 80%확률로 명중 감소 16% 적용합니다. 80%확률로 상처 6.4% 적용합니다. 80%확률로 표적 12% 적용합니다.</x:v>
      </x:c>
      <x:c r="Y48" s="7" t="str">
        <x:v>Target: one enemy. Deals 0.715 × caster Attack + 0.385 × caster Defense damage to one enemy. 80% chance to apply Hit Chance Down 16%. 80% chance to apply Injury 6.4%. 80% chance to apply Target 12%.</x:v>
      </x:c>
      <x:c r="Z48" s="7" t="str">
        <x:v>공격|디버프</x:v>
      </x:c>
    </x:row>
    <x:row r="49" ht="115" customHeight="1">
      <x:c r="A49" s="7" t="str">
        <x:v>SKILL_0043</x:v>
      </x:c>
      <x:c r="B49" s="7" t="str">
        <x:v>강화효과 해제 · 수면 · 강화효과 지속시간 감소의 일격</x:v>
      </x:c>
      <x:c r="C49" s="7"/>
      <x:c r="D49" s="7" t="str">
        <x:v>적전체</x:v>
      </x:c>
      <x:c r="E49" s="7" t="n">
        <x:v>0.3</x:v>
      </x:c>
      <x:c r="F49" s="7" t="n">
        <x:v>0</x:v>
      </x:c>
      <x:c r="G49" s="7" t="n">
        <x:v>0.1</x:v>
      </x:c>
      <x:c r="H49" s="7" t="n">
        <x:v>0</x:v>
      </x:c>
      <x:c r="I49" s="7" t="n">
        <x:v>0</x:v>
      </x:c>
      <x:c r="J49" s="7" t="n">
        <x:v>0</x:v>
      </x:c>
      <x:c r="K49" s="7" t="str">
        <x:v>DISPEL_BUFF</x:v>
      </x:c>
      <x:c r="L49" s="7" t="n">
        <x:v>1</x:v>
      </x:c>
      <x:c r="M49" s="8" t="n">
        <x:v>0.5</x:v>
      </x:c>
      <x:c r="N49" s="7" t="str">
        <x:v>SLEEP</x:v>
      </x:c>
      <x:c r="O49" s="7" t="n">
        <x:v>1</x:v>
      </x:c>
      <x:c r="P49" s="8" t="n">
        <x:v>0.5</x:v>
      </x:c>
      <x:c r="Q49" s="7" t="str">
        <x:v>BUFF_DURATION_DOWN</x:v>
      </x:c>
      <x:c r="R49" s="7" t="n">
        <x:v>1</x:v>
      </x:c>
      <x:c r="S49" s="8" t="n">
        <x:v>0.5</x:v>
      </x:c>
      <x:c r="T49" s="7"/>
      <x:c r="U49" s="7"/>
      <x:c r="V49" s="8"/>
      <x:c r="W49" s="7" t="n">
        <x:v>5</x:v>
      </x:c>
      <x:c r="X49" s="7" t="str">
        <x:v>대상: 적전체. 적전체에게 공격력*0.3배 + 속도*0.1배 만큼의 피해를 가합니다. 50%확률로 강화효과 해제 1개 적용합니다. 50%확률로 수면 적용합니다. 50%확률로 강화효과 지속시간 감소 1턴 적용합니다.</x:v>
      </x:c>
      <x:c r="Y49" s="7" t="str">
        <x:v>Target: all enemies. Deals 0.3 × caster Attack + 0.1 × caster Speed damage to all enemies. 50% chance to apply Dispel Buff 1 count. 50% chance to apply Sleep. 50% chance to apply Buff Duration Reduction 1 turn.</x:v>
      </x:c>
      <x:c r="Z49" s="7" t="str">
        <x:v>공격|디버프</x:v>
      </x:c>
    </x:row>
    <x:row r="50" ht="115" customHeight="1">
      <x:c r="A50" s="7" t="str">
        <x:v>SKILL_0044</x:v>
      </x:c>
      <x:c r="B50" s="7" t="str">
        <x:v>스킬 쿨타임 증가 · 방어력 감소 · 중독 · 약화효과 전이의 일격</x:v>
      </x:c>
      <x:c r="C50" s="7"/>
      <x:c r="D50" s="7" t="str">
        <x:v>적</x:v>
      </x:c>
      <x:c r="E50" s="7" t="n">
        <x:v>0.77</x:v>
      </x:c>
      <x:c r="F50" s="7" t="n">
        <x:v>0</x:v>
      </x:c>
      <x:c r="G50" s="7" t="n">
        <x:v>0</x:v>
      </x:c>
      <x:c r="H50" s="7" t="n">
        <x:v>0.33</x:v>
      </x:c>
      <x:c r="I50" s="7" t="n">
        <x:v>0</x:v>
      </x:c>
      <x:c r="J50" s="7" t="n">
        <x:v>0</x:v>
      </x:c>
      <x:c r="K50" s="7" t="str">
        <x:v>SKILL_COOLDOWN_UP</x:v>
      </x:c>
      <x:c r="L50" s="7" t="n">
        <x:v>1</x:v>
      </x:c>
      <x:c r="M50" s="8" t="n">
        <x:v>0.7</x:v>
      </x:c>
      <x:c r="N50" s="7" t="str">
        <x:v>DEFENSE_DOWN</x:v>
      </x:c>
      <x:c r="O50" s="7" t="n">
        <x:v>0.195</x:v>
      </x:c>
      <x:c r="P50" s="8" t="n">
        <x:v>0.7</x:v>
      </x:c>
      <x:c r="Q50" s="7" t="str">
        <x:v>POISON</x:v>
      </x:c>
      <x:c r="R50" s="7" t="n">
        <x:v>0.026</x:v>
      </x:c>
      <x:c r="S50" s="8" t="n">
        <x:v>0.7</x:v>
      </x:c>
      <x:c r="T50" s="7" t="str">
        <x:v>TRANSFER_DEBUFF</x:v>
      </x:c>
      <x:c r="U50" s="7" t="n">
        <x:v>1</x:v>
      </x:c>
      <x:c r="V50" s="8" t="n">
        <x:v>0.7</x:v>
      </x:c>
      <x:c r="W50" s="7" t="n">
        <x:v>4</x:v>
      </x:c>
      <x:c r="X50" s="7" t="str">
        <x:v>대상: 적. 적에게 공격력*0.77배 + 생명력*0.33배 만큼의 피해를 가합니다. 70%확률로 스킬 쿨타임 증가 1턴 적용합니다. 70%확률로 방어력 감소 19.5% 적용합니다. 70%확률로 중독 2.6% 적용합니다. 70%확률로 약화효과 전이 1개 적용합니다.</x:v>
      </x:c>
      <x:c r="Y50" s="7" t="str">
        <x:v>Target: one enemy. Deals 0.77 × caster Attack + 0.33 × caster max Health damage to one enemy. 70% chance to apply Skill Cooldown Increase 1 turn. 70% chance to apply Defense Down 19.5%. 70% chance to apply Poison 2.6%. 70% chance to apply Debuff Transfer 1 count.</x:v>
      </x:c>
      <x:c r="Z50" s="7" t="str">
        <x:v>공격|디버프</x:v>
      </x:c>
    </x:row>
    <x:row r="51" ht="115" customHeight="1">
      <x:c r="A51" s="7" t="str">
        <x:v>SKILL_0045</x:v>
      </x:c>
      <x:c r="B51" s="7" t="str">
        <x:v>방어력 관통 · 중독의 일격</x:v>
      </x:c>
      <x:c r="C51" s="7"/>
      <x:c r="D51" s="7" t="str">
        <x:v>적</x:v>
      </x:c>
      <x:c r="E51" s="7" t="n">
        <x:v>1.1</x:v>
      </x:c>
      <x:c r="F51" s="7" t="n">
        <x:v>0</x:v>
      </x:c>
      <x:c r="G51" s="7" t="n">
        <x:v>0</x:v>
      </x:c>
      <x:c r="H51" s="7" t="n">
        <x:v>0</x:v>
      </x:c>
      <x:c r="I51" s="7" t="n">
        <x:v>0</x:v>
      </x:c>
      <x:c r="J51" s="7" t="n">
        <x:v>0</x:v>
      </x:c>
      <x:c r="K51" s="7" t="str">
        <x:v>DEFENSE_PENETRATION</x:v>
      </x:c>
      <x:c r="L51" s="7" t="n">
        <x:v>0.3</x:v>
      </x:c>
      <x:c r="M51" s="8" t="n">
        <x:v>0.9</x:v>
      </x:c>
      <x:c r="N51" s="7" t="str">
        <x:v>POISON</x:v>
      </x:c>
      <x:c r="O51" s="7" t="n">
        <x:v>0.04</x:v>
      </x:c>
      <x:c r="P51" s="8" t="n">
        <x:v>0.9</x:v>
      </x:c>
      <x:c r="Q51" s="7"/>
      <x:c r="R51" s="7"/>
      <x:c r="S51" s="8"/>
      <x:c r="T51" s="7"/>
      <x:c r="U51" s="7"/>
      <x:c r="V51" s="8"/>
      <x:c r="W51" s="7" t="n">
        <x:v>2</x:v>
      </x:c>
      <x:c r="X51" s="7" t="str">
        <x:v>대상: 적. 적에게 공격력*1.1배 만큼의 피해를 가합니다. 90%확률로 방어력 관통 30% 적용합니다. 90%확률로 중독 4% 적용합니다.</x:v>
      </x:c>
      <x:c r="Y51" s="7" t="str">
        <x:v>Target: one enemy. Deals 1.1 × caster Attack damage to one enemy. 90% chance to apply Defense Penetration 30%. 90% chance to apply Poison 4%.</x:v>
      </x:c>
      <x:c r="Z51" s="7" t="str">
        <x:v>공격|디버프</x:v>
      </x:c>
    </x:row>
    <x:row r="52" ht="115" customHeight="1">
      <x:c r="A52" s="7" t="str">
        <x:v>SKILL_0046</x:v>
      </x:c>
      <x:c r="B52" s="7" t="str">
        <x:v>공격력 감소 · 약화효과 지속시간 증가 · 강화 불가의 일격</x:v>
      </x:c>
      <x:c r="C52" s="7"/>
      <x:c r="D52" s="7" t="str">
        <x:v>적전체</x:v>
      </x:c>
      <x:c r="E52" s="7" t="n">
        <x:v>0.375</x:v>
      </x:c>
      <x:c r="F52" s="7" t="n">
        <x:v>0.125</x:v>
      </x:c>
      <x:c r="G52" s="7" t="n">
        <x:v>0</x:v>
      </x:c>
      <x:c r="H52" s="7" t="n">
        <x:v>0</x:v>
      </x:c>
      <x:c r="I52" s="7" t="n">
        <x:v>0</x:v>
      </x:c>
      <x:c r="J52" s="7" t="n">
        <x:v>0</x:v>
      </x:c>
      <x:c r="K52" s="7" t="str">
        <x:v>ATTACK_DOWN</x:v>
      </x:c>
      <x:c r="L52" s="7" t="n">
        <x:v>0.2</x:v>
      </x:c>
      <x:c r="M52" s="8" t="n">
        <x:v>0.6</x:v>
      </x:c>
      <x:c r="N52" s="7" t="str">
        <x:v>DEBUFF_DURATION_UP</x:v>
      </x:c>
      <x:c r="O52" s="7" t="n">
        <x:v>1</x:v>
      </x:c>
      <x:c r="P52" s="8" t="n">
        <x:v>0.6</x:v>
      </x:c>
      <x:c r="Q52" s="7" t="str">
        <x:v>BUFF_BLOCK</x:v>
      </x:c>
      <x:c r="R52" s="7" t="n">
        <x:v>1</x:v>
      </x:c>
      <x:c r="S52" s="8" t="n">
        <x:v>0.6</x:v>
      </x:c>
      <x:c r="T52" s="7"/>
      <x:c r="U52" s="7"/>
      <x:c r="V52" s="8"/>
      <x:c r="W52" s="7" t="n">
        <x:v>5</x:v>
      </x:c>
      <x:c r="X52" s="7" t="str">
        <x:v>대상: 적전체. 적전체에게 공격력*0.375배 + 방어력*0.125배 만큼의 피해를 가합니다. 60%확률로 공격력 감소 20% 적용합니다. 60%확률로 약화효과 지속시간 증가 1턴 적용합니다. 60%확률로 강화 불가 적용합니다.</x:v>
      </x:c>
      <x:c r="Y52" s="7" t="str">
        <x:v>Target: all enemies. Deals 0.375 × caster Attack + 0.125 × caster Defense damage to all enemies. 60% chance to apply Attack Down 20%. 60% chance to apply Debuff Duration Extension 1 turn. 60% chance to apply Unbuffable.</x:v>
      </x:c>
      <x:c r="Z52" s="7" t="str">
        <x:v>공격|디버프</x:v>
      </x:c>
    </x:row>
    <x:row r="53" ht="115" customHeight="1">
      <x:c r="A53" s="7" t="str">
        <x:v>SKILL_0047</x:v>
      </x:c>
      <x:c r="B53" s="7" t="str">
        <x:v>강화효과 지속시간 감소 · 저주 · 약화효과 전이의 일격</x:v>
      </x:c>
      <x:c r="C53" s="7"/>
      <x:c r="D53" s="7" t="str">
        <x:v>적</x:v>
      </x:c>
      <x:c r="E53" s="7" t="n">
        <x:v>0.77</x:v>
      </x:c>
      <x:c r="F53" s="7" t="n">
        <x:v>0</x:v>
      </x:c>
      <x:c r="G53" s="7" t="n">
        <x:v>0.33</x:v>
      </x:c>
      <x:c r="H53" s="7" t="n">
        <x:v>0</x:v>
      </x:c>
      <x:c r="I53" s="7" t="n">
        <x:v>0</x:v>
      </x:c>
      <x:c r="J53" s="7" t="n">
        <x:v>0</x:v>
      </x:c>
      <x:c r="K53" s="7" t="str">
        <x:v>BUFF_DURATION_DOWN</x:v>
      </x:c>
      <x:c r="L53" s="7" t="n">
        <x:v>1</x:v>
      </x:c>
      <x:c r="M53" s="8" t="n">
        <x:v>0.8</x:v>
      </x:c>
      <x:c r="N53" s="7" t="str">
        <x:v>CURSE</x:v>
      </x:c>
      <x:c r="O53" s="7" t="n">
        <x:v>0.16</x:v>
      </x:c>
      <x:c r="P53" s="8" t="n">
        <x:v>0.8</x:v>
      </x:c>
      <x:c r="Q53" s="7" t="str">
        <x:v>TRANSFER_DEBUFF</x:v>
      </x:c>
      <x:c r="R53" s="7" t="n">
        <x:v>1</x:v>
      </x:c>
      <x:c r="S53" s="8" t="n">
        <x:v>0.8</x:v>
      </x:c>
      <x:c r="T53" s="7"/>
      <x:c r="U53" s="7"/>
      <x:c r="V53" s="8"/>
      <x:c r="W53" s="7" t="n">
        <x:v>3</x:v>
      </x:c>
      <x:c r="X53" s="7" t="str">
        <x:v>대상: 적. 적에게 공격력*0.77배 + 속도*0.33배 만큼의 피해를 가합니다. 80%확률로 강화효과 지속시간 감소 1턴 적용합니다. 80%확률로 저주 16% 적용합니다. 80%확률로 약화효과 전이 1개 적용합니다.</x:v>
      </x:c>
      <x:c r="Y53" s="7" t="str">
        <x:v>Target: one enemy. Deals 0.77 × caster Attack + 0.33 × caster Speed damage to one enemy. 80% chance to apply Buff Duration Reduction 1 turn. 80% chance to apply Curse 16%. 80% chance to apply Debuff Transfer 1 count.</x:v>
      </x:c>
      <x:c r="Z53" s="7" t="str">
        <x:v>공격|디버프</x:v>
      </x:c>
    </x:row>
    <x:row r="54" ht="115" customHeight="1">
      <x:c r="A54" s="7" t="str">
        <x:v>SKILL_0048</x:v>
      </x:c>
      <x:c r="B54" s="7" t="str">
        <x:v>저주 · 약화효과 전이의 일격</x:v>
      </x:c>
      <x:c r="C54" s="7"/>
      <x:c r="D54" s="7" t="str">
        <x:v>적</x:v>
      </x:c>
      <x:c r="E54" s="7" t="n">
        <x:v>0.715</x:v>
      </x:c>
      <x:c r="F54" s="7" t="n">
        <x:v>0</x:v>
      </x:c>
      <x:c r="G54" s="7" t="n">
        <x:v>0</x:v>
      </x:c>
      <x:c r="H54" s="7" t="n">
        <x:v>0.385</x:v>
      </x:c>
      <x:c r="I54" s="7" t="n">
        <x:v>0</x:v>
      </x:c>
      <x:c r="J54" s="7" t="n">
        <x:v>0</x:v>
      </x:c>
      <x:c r="K54" s="7" t="str">
        <x:v>CURSE</x:v>
      </x:c>
      <x:c r="L54" s="7" t="n">
        <x:v>0.2</x:v>
      </x:c>
      <x:c r="M54" s="8" t="n">
        <x:v>0.9</x:v>
      </x:c>
      <x:c r="N54" s="7" t="str">
        <x:v>TRANSFER_DEBUFF</x:v>
      </x:c>
      <x:c r="O54" s="7" t="n">
        <x:v>1</x:v>
      </x:c>
      <x:c r="P54" s="8" t="n">
        <x:v>0.9</x:v>
      </x:c>
      <x:c r="Q54" s="7"/>
      <x:c r="R54" s="7"/>
      <x:c r="S54" s="8"/>
      <x:c r="T54" s="7"/>
      <x:c r="U54" s="7"/>
      <x:c r="V54" s="8"/>
      <x:c r="W54" s="7" t="n">
        <x:v>3</x:v>
      </x:c>
      <x:c r="X54" s="7" t="str">
        <x:v>대상: 적. 적에게 공격력*0.715배 + 생명력*0.385배 만큼의 피해를 가합니다. 90%확률로 저주 20% 적용합니다. 90%확률로 약화효과 전이 1개 적용합니다.</x:v>
      </x:c>
      <x:c r="Y54" s="7" t="str">
        <x:v>Target: one enemy. Deals 0.715 × caster Attack + 0.385 × caster max Health damage to one enemy. 90% chance to apply Curse 20%. 90% chance to apply Debuff Transfer 1 count.</x:v>
      </x:c>
      <x:c r="Z54" s="7" t="str">
        <x:v>공격|디버프</x:v>
      </x:c>
    </x:row>
    <x:row r="55" ht="115" customHeight="1">
      <x:c r="A55" s="7" t="str">
        <x:v>SKILL_0049</x:v>
      </x:c>
      <x:c r="B55" s="7" t="str">
        <x:v>출혈 · 약화효과 전이 · 속도 감소 · 강화 불가의 일격</x:v>
      </x:c>
      <x:c r="C55" s="7"/>
      <x:c r="D55" s="7" t="str">
        <x:v>적</x:v>
      </x:c>
      <x:c r="E55" s="7" t="n">
        <x:v>1.1</x:v>
      </x:c>
      <x:c r="F55" s="7" t="n">
        <x:v>0</x:v>
      </x:c>
      <x:c r="G55" s="7" t="n">
        <x:v>0</x:v>
      </x:c>
      <x:c r="H55" s="7" t="n">
        <x:v>0</x:v>
      </x:c>
      <x:c r="I55" s="7" t="n">
        <x:v>0</x:v>
      </x:c>
      <x:c r="J55" s="7" t="n">
        <x:v>0</x:v>
      </x:c>
      <x:c r="K55" s="7" t="str">
        <x:v>BLEED</x:v>
      </x:c>
      <x:c r="L55" s="7" t="n">
        <x:v>0.13</x:v>
      </x:c>
      <x:c r="M55" s="8" t="n">
        <x:v>0.7</x:v>
      </x:c>
      <x:c r="N55" s="7" t="str">
        <x:v>TRANSFER_DEBUFF</x:v>
      </x:c>
      <x:c r="O55" s="7" t="n">
        <x:v>1</x:v>
      </x:c>
      <x:c r="P55" s="8" t="n">
        <x:v>0.7</x:v>
      </x:c>
      <x:c r="Q55" s="7" t="str">
        <x:v>SPEED_DOWN</x:v>
      </x:c>
      <x:c r="R55" s="7" t="n">
        <x:v>0.13</x:v>
      </x:c>
      <x:c r="S55" s="8" t="n">
        <x:v>0.7</x:v>
      </x:c>
      <x:c r="T55" s="7" t="str">
        <x:v>BUFF_BLOCK</x:v>
      </x:c>
      <x:c r="U55" s="7" t="n">
        <x:v>1</x:v>
      </x:c>
      <x:c r="V55" s="8" t="n">
        <x:v>0.7</x:v>
      </x:c>
      <x:c r="W55" s="7" t="n">
        <x:v>3</x:v>
      </x:c>
      <x:c r="X55" s="7" t="str">
        <x:v>대상: 적. 적에게 공격력*1.1배 만큼의 피해를 가합니다. 70%확률로 출혈 13% 적용합니다. 70%확률로 약화효과 전이 1개 적용합니다. 70%확률로 속도 감소 13% 적용합니다. 70%확률로 강화 불가 적용합니다.</x:v>
      </x:c>
      <x:c r="Y55" s="7" t="str">
        <x:v>Target: one enemy. Deals 1.1 × caster Attack damage to one enemy. 70% chance to apply Bleed 13%. 70% chance to apply Debuff Transfer 1 count. 70% chance to apply Speed Down 13%. 70% chance to apply Unbuffable.</x:v>
      </x:c>
      <x:c r="Z55" s="7" t="str">
        <x:v>공격|디버프</x:v>
      </x:c>
    </x:row>
    <x:row r="56" ht="115" customHeight="1">
      <x:c r="A56" s="7" t="str">
        <x:v>SKILL_0050</x:v>
      </x:c>
      <x:c r="B56" s="7" t="str">
        <x:v>소멸 · 부활 불가 · 추가 공격 · 반격 불가의 일격</x:v>
      </x:c>
      <x:c r="C56" s="7"/>
      <x:c r="D56" s="7" t="str">
        <x:v>적</x:v>
      </x:c>
      <x:c r="E56" s="7" t="n">
        <x:v>0.77</x:v>
      </x:c>
      <x:c r="F56" s="7" t="n">
        <x:v>0.33</x:v>
      </x:c>
      <x:c r="G56" s="7" t="n">
        <x:v>0</x:v>
      </x:c>
      <x:c r="H56" s="7" t="n">
        <x:v>0</x:v>
      </x:c>
      <x:c r="I56" s="7" t="n">
        <x:v>0</x:v>
      </x:c>
      <x:c r="J56" s="7" t="n">
        <x:v>0</x:v>
      </x:c>
      <x:c r="K56" s="7" t="str">
        <x:v>EXTINCTION</x:v>
      </x:c>
      <x:c r="L56" s="7" t="n">
        <x:v>1</x:v>
      </x:c>
      <x:c r="M56" s="8" t="n">
        <x:v>0.7</x:v>
      </x:c>
      <x:c r="N56" s="7" t="str">
        <x:v>REVIVE_BLOCK</x:v>
      </x:c>
      <x:c r="O56" s="7" t="n">
        <x:v>1</x:v>
      </x:c>
      <x:c r="P56" s="8" t="n">
        <x:v>0.7</x:v>
      </x:c>
      <x:c r="Q56" s="7" t="str">
        <x:v>EXTRA_ATTACK</x:v>
      </x:c>
      <x:c r="R56" s="7" t="n">
        <x:v>0.227</x:v>
      </x:c>
      <x:c r="S56" s="8" t="n">
        <x:v>0.7</x:v>
      </x:c>
      <x:c r="T56" s="7" t="str">
        <x:v>COUNTERATTACK_BLOCK</x:v>
      </x:c>
      <x:c r="U56" s="7" t="n">
        <x:v>1</x:v>
      </x:c>
      <x:c r="V56" s="8" t="n">
        <x:v>0.7</x:v>
      </x:c>
      <x:c r="W56" s="7" t="n">
        <x:v>4</x:v>
      </x:c>
      <x:c r="X56" s="7" t="str">
        <x:v>대상: 적. 적에게 공격력*0.77배 + 방어력*0.33배 만큼의 피해를 가합니다. 70%확률로 소멸 적용합니다. 70%확률로 부활 불가 적용합니다. 70%확률로 추가 공격 22.7% 적용합니다. 70%확률로 반격 불가 적용합니다.</x:v>
      </x:c>
      <x:c r="Y56" s="7" t="str">
        <x:v>Target: one enemy. Deals 0.77 × caster Attack + 0.33 × caster Defense damage to one enemy. 70% chance to apply Extinction. 70% chance to apply Revive Block. 70% chance to apply Extra Attack 22.7%. 70% chance to apply Counterattack Block.</x:v>
      </x:c>
      <x:c r="Z56" s="7" t="str">
        <x:v>공격|디버프</x:v>
      </x:c>
    </x:row>
    <x:row r="57" ht="115" customHeight="1">
      <x:c r="A57" s="7" t="str">
        <x:v>SKILL_0051</x:v>
      </x:c>
      <x:c r="B57" s="7" t="str">
        <x:v>추가 공격 · 강화효과 해제의 일격</x:v>
      </x:c>
      <x:c r="C57" s="7"/>
      <x:c r="D57" s="7" t="str">
        <x:v>적</x:v>
      </x:c>
      <x:c r="E57" s="7" t="n">
        <x:v>0.715</x:v>
      </x:c>
      <x:c r="F57" s="7" t="n">
        <x:v>0</x:v>
      </x:c>
      <x:c r="G57" s="7" t="n">
        <x:v>0.385</x:v>
      </x:c>
      <x:c r="H57" s="7" t="n">
        <x:v>0</x:v>
      </x:c>
      <x:c r="I57" s="7" t="n">
        <x:v>0</x:v>
      </x:c>
      <x:c r="J57" s="7" t="n">
        <x:v>0</x:v>
      </x:c>
      <x:c r="K57" s="7" t="str">
        <x:v>EXTRA_ATTACK</x:v>
      </x:c>
      <x:c r="L57" s="7" t="n">
        <x:v>0.35</x:v>
      </x:c>
      <x:c r="M57" s="8" t="n">
        <x:v>0.9</x:v>
      </x:c>
      <x:c r="N57" s="7" t="str">
        <x:v>DISPEL_BUFF</x:v>
      </x:c>
      <x:c r="O57" s="7" t="n">
        <x:v>1</x:v>
      </x:c>
      <x:c r="P57" s="8" t="n">
        <x:v>0.9</x:v>
      </x:c>
      <x:c r="Q57" s="7"/>
      <x:c r="R57" s="7"/>
      <x:c r="S57" s="8"/>
      <x:c r="T57" s="7"/>
      <x:c r="U57" s="7"/>
      <x:c r="V57" s="8"/>
      <x:c r="W57" s="7" t="n">
        <x:v>2</x:v>
      </x:c>
      <x:c r="X57" s="7" t="str">
        <x:v>대상: 적. 적에게 공격력*0.715배 + 속도*0.385배 만큼의 피해를 가합니다. 90%확률로 추가 공격 35% 적용합니다. 90%확률로 강화효과 해제 1개 적용합니다.</x:v>
      </x:c>
      <x:c r="Y57" s="7" t="str">
        <x:v>Target: one enemy. Deals 0.715 × caster Attack + 0.385 × caster Speed damage to one enemy. 90% chance to apply Extra Attack 35%. 90% chance to apply Dispel Buff 1 count.</x:v>
      </x:c>
      <x:c r="Z57" s="7" t="str">
        <x:v>공격|디버프</x:v>
      </x:c>
    </x:row>
    <x:row r="58" ht="115" customHeight="1">
      <x:c r="A58" s="7" t="str">
        <x:v>SKILL_0052</x:v>
      </x:c>
      <x:c r="B58" s="7" t="str">
        <x:v>부활 불가 · 소멸의 일격</x:v>
      </x:c>
      <x:c r="C58" s="7"/>
      <x:c r="D58" s="7" t="str">
        <x:v>적전체</x:v>
      </x:c>
      <x:c r="E58" s="7" t="n">
        <x:v>0.375</x:v>
      </x:c>
      <x:c r="F58" s="7" t="n">
        <x:v>0</x:v>
      </x:c>
      <x:c r="G58" s="7" t="n">
        <x:v>0</x:v>
      </x:c>
      <x:c r="H58" s="7" t="n">
        <x:v>0.125</x:v>
      </x:c>
      <x:c r="I58" s="7" t="n">
        <x:v>0</x:v>
      </x:c>
      <x:c r="J58" s="7" t="n">
        <x:v>0</x:v>
      </x:c>
      <x:c r="K58" s="7" t="str">
        <x:v>REVIVE_BLOCK</x:v>
      </x:c>
      <x:c r="L58" s="7" t="n">
        <x:v>1</x:v>
      </x:c>
      <x:c r="M58" s="8" t="n">
        <x:v>0.7</x:v>
      </x:c>
      <x:c r="N58" s="7" t="str">
        <x:v>EXTINCTION</x:v>
      </x:c>
      <x:c r="O58" s="7" t="n">
        <x:v>1</x:v>
      </x:c>
      <x:c r="P58" s="8" t="n">
        <x:v>0.7</x:v>
      </x:c>
      <x:c r="Q58" s="7"/>
      <x:c r="R58" s="7"/>
      <x:c r="S58" s="8"/>
      <x:c r="T58" s="7"/>
      <x:c r="U58" s="7"/>
      <x:c r="V58" s="8"/>
      <x:c r="W58" s="7" t="n">
        <x:v>5</x:v>
      </x:c>
      <x:c r="X58" s="7" t="str">
        <x:v>대상: 적전체. 적전체에게 공격력*0.375배 + 생명력*0.125배 만큼의 피해를 가합니다. 70%확률로 부활 불가 적용합니다. 70%확률로 소멸 적용합니다.</x:v>
      </x:c>
      <x:c r="Y58" s="7" t="str">
        <x:v>Target: all enemies. Deals 0.375 × caster Attack + 0.125 × caster max Health damage to all enemies. 70% chance to apply Revive Block. 70% chance to apply Extinction.</x:v>
      </x:c>
      <x:c r="Z58" s="7" t="str">
        <x:v>공격|디버프</x:v>
      </x:c>
    </x:row>
    <x:row r="59" ht="115" customHeight="1">
      <x:c r="A59" s="7" t="str">
        <x:v>SKILL_0053</x:v>
      </x:c>
      <x:c r="B59" s="7" t="str">
        <x:v>저주 · 중독 · 수면의 일격</x:v>
      </x:c>
      <x:c r="C59" s="7"/>
      <x:c r="D59" s="7" t="str">
        <x:v>적</x:v>
      </x:c>
      <x:c r="E59" s="7" t="n">
        <x:v>1.1</x:v>
      </x:c>
      <x:c r="F59" s="7" t="n">
        <x:v>0</x:v>
      </x:c>
      <x:c r="G59" s="7" t="n">
        <x:v>0</x:v>
      </x:c>
      <x:c r="H59" s="7" t="n">
        <x:v>0</x:v>
      </x:c>
      <x:c r="I59" s="7" t="n">
        <x:v>0</x:v>
      </x:c>
      <x:c r="J59" s="7" t="n">
        <x:v>0</x:v>
      </x:c>
      <x:c r="K59" s="7" t="str">
        <x:v>CURSE</x:v>
      </x:c>
      <x:c r="L59" s="7" t="n">
        <x:v>0.16</x:v>
      </x:c>
      <x:c r="M59" s="8" t="n">
        <x:v>0.8</x:v>
      </x:c>
      <x:c r="N59" s="7" t="str">
        <x:v>POISON</x:v>
      </x:c>
      <x:c r="O59" s="7" t="n">
        <x:v>0.032</x:v>
      </x:c>
      <x:c r="P59" s="8" t="n">
        <x:v>0.8</x:v>
      </x:c>
      <x:c r="Q59" s="7" t="str">
        <x:v>SLEEP</x:v>
      </x:c>
      <x:c r="R59" s="7" t="n">
        <x:v>1</x:v>
      </x:c>
      <x:c r="S59" s="8" t="n">
        <x:v>0.8</x:v>
      </x:c>
      <x:c r="T59" s="7"/>
      <x:c r="U59" s="7"/>
      <x:c r="V59" s="8"/>
      <x:c r="W59" s="7" t="n">
        <x:v>3</x:v>
      </x:c>
      <x:c r="X59" s="7" t="str">
        <x:v>대상: 적. 적에게 공격력*1.1배 만큼의 피해를 가합니다. 80%확률로 저주 16% 적용합니다. 80%확률로 중독 3.2% 적용합니다. 80%확률로 수면 적용합니다.</x:v>
      </x:c>
      <x:c r="Y59" s="7" t="str">
        <x:v>Target: one enemy. Deals 1.1 × caster Attack damage to one enemy. 80% chance to apply Curse 16%. 80% chance to apply Poison 3.2%. 80% chance to apply Sleep.</x:v>
      </x:c>
      <x:c r="Z59" s="7" t="str">
        <x:v>공격|디버프</x:v>
      </x:c>
    </x:row>
    <x:row r="60" ht="115" customHeight="1">
      <x:c r="A60" s="7" t="str">
        <x:v>SKILL_0054</x:v>
      </x:c>
      <x:c r="B60" s="7" t="str">
        <x:v>공격력 감소 · 방어력 감소의 일격</x:v>
      </x:c>
      <x:c r="C60" s="7"/>
      <x:c r="D60" s="7" t="str">
        <x:v>적</x:v>
      </x:c>
      <x:c r="E60" s="7" t="n">
        <x:v>0.715</x:v>
      </x:c>
      <x:c r="F60" s="7" t="n">
        <x:v>0.385</x:v>
      </x:c>
      <x:c r="G60" s="7" t="n">
        <x:v>0</x:v>
      </x:c>
      <x:c r="H60" s="7" t="n">
        <x:v>0</x:v>
      </x:c>
      <x:c r="I60" s="7" t="n">
        <x:v>0</x:v>
      </x:c>
      <x:c r="J60" s="7" t="n">
        <x:v>0</x:v>
      </x:c>
      <x:c r="K60" s="7" t="str">
        <x:v>ATTACK_DOWN</x:v>
      </x:c>
      <x:c r="L60" s="7" t="n">
        <x:v>0.25</x:v>
      </x:c>
      <x:c r="M60" s="8" t="n">
        <x:v>0.9</x:v>
      </x:c>
      <x:c r="N60" s="7" t="str">
        <x:v>DEFENSE_DOWN</x:v>
      </x:c>
      <x:c r="O60" s="7" t="n">
        <x:v>0.3</x:v>
      </x:c>
      <x:c r="P60" s="8" t="n">
        <x:v>0.9</x:v>
      </x:c>
      <x:c r="Q60" s="7"/>
      <x:c r="R60" s="7"/>
      <x:c r="S60" s="8"/>
      <x:c r="T60" s="7"/>
      <x:c r="U60" s="7"/>
      <x:c r="V60" s="8"/>
      <x:c r="W60" s="7" t="n">
        <x:v>2</x:v>
      </x:c>
      <x:c r="X60" s="7" t="str">
        <x:v>대상: 적. 적에게 공격력*0.715배 + 방어력*0.385배 만큼의 피해를 가합니다. 90%확률로 공격력 감소 25% 적용합니다. 90%확률로 방어력 감소 30% 적용합니다.</x:v>
      </x:c>
      <x:c r="Y60" s="7" t="str">
        <x:v>Target: one enemy. Deals 0.715 × caster Attack + 0.385 × caster Defense damage to one enemy. 90% chance to apply Attack Down 25%. 90% chance to apply Defense Down 30%.</x:v>
      </x:c>
      <x:c r="Z60" s="7" t="str">
        <x:v>공격|디버프</x:v>
      </x:c>
    </x:row>
    <x:row r="61" ht="115" customHeight="1">
      <x:c r="A61" s="7" t="str">
        <x:v>SKILL_0055</x:v>
      </x:c>
      <x:c r="B61" s="7" t="str">
        <x:v>공격력 감소 · 방어력 감소 · 흡혈의 일격</x:v>
      </x:c>
      <x:c r="C61" s="7"/>
      <x:c r="D61" s="7" t="str">
        <x:v>적전체</x:v>
      </x:c>
      <x:c r="E61" s="7" t="n">
        <x:v>0.525</x:v>
      </x:c>
      <x:c r="F61" s="7" t="n">
        <x:v>0</x:v>
      </x:c>
      <x:c r="G61" s="7" t="n">
        <x:v>0.175</x:v>
      </x:c>
      <x:c r="H61" s="7" t="n">
        <x:v>0</x:v>
      </x:c>
      <x:c r="I61" s="7" t="n">
        <x:v>0</x:v>
      </x:c>
      <x:c r="J61" s="7" t="n">
        <x:v>0</x:v>
      </x:c>
      <x:c r="K61" s="7" t="str">
        <x:v>ATTACK_DOWN</x:v>
      </x:c>
      <x:c r="L61" s="7" t="n">
        <x:v>0.2</x:v>
      </x:c>
      <x:c r="M61" s="8" t="n">
        <x:v>0.8</x:v>
      </x:c>
      <x:c r="N61" s="7" t="str">
        <x:v>DEFENSE_DOWN</x:v>
      </x:c>
      <x:c r="O61" s="7" t="n">
        <x:v>0.24</x:v>
      </x:c>
      <x:c r="P61" s="8" t="n">
        <x:v>0.8</x:v>
      </x:c>
      <x:c r="Q61" s="7" t="str">
        <x:v>LIFESTEAL</x:v>
      </x:c>
      <x:c r="R61" s="7" t="n">
        <x:v>0.24</x:v>
      </x:c>
      <x:c r="S61" s="8" t="n">
        <x:v>0.8</x:v>
      </x:c>
      <x:c r="T61" s="7"/>
      <x:c r="U61" s="7"/>
      <x:c r="V61" s="8"/>
      <x:c r="W61" s="7" t="n">
        <x:v>5</x:v>
      </x:c>
      <x:c r="X61" s="7" t="str">
        <x:v>대상: 적전체. 적전체에게 공격력*0.525배 + 속도*0.175배 만큼의 피해를 가합니다. 80%확률로 공격력 감소 20% 적용합니다. 80%확률로 방어력 감소 24% 적용합니다. 80%확률로 흡혈 24% 획득합니다.</x:v>
      </x:c>
      <x:c r="Y61" s="7" t="str">
        <x:v>Target: all enemies. Deals 0.525 × caster Attack + 0.175 × caster Speed damage to all enemies. 80% chance to apply Attack Down 20%. 80% chance to apply Defense Down 24%. 80% chance to gain Lifesteal 24%.</x:v>
      </x:c>
      <x:c r="Z61" s="7" t="str">
        <x:v>공격|회복|버프|디버프</x:v>
      </x:c>
    </x:row>
    <x:row r="62" ht="115" customHeight="1">
      <x:c r="A62" s="7" t="str">
        <x:v>SKILL_0056</x:v>
      </x:c>
      <x:c r="B62" s="7" t="str">
        <x:v>명중 감소 · 강화효과 해제 · 반격 불가 · 강화 불가의 일격</x:v>
      </x:c>
      <x:c r="C62" s="7"/>
      <x:c r="D62" s="7" t="str">
        <x:v>적</x:v>
      </x:c>
      <x:c r="E62" s="7" t="n">
        <x:v>0.77</x:v>
      </x:c>
      <x:c r="F62" s="7" t="n">
        <x:v>0</x:v>
      </x:c>
      <x:c r="G62" s="7" t="n">
        <x:v>0</x:v>
      </x:c>
      <x:c r="H62" s="7" t="n">
        <x:v>0.33</x:v>
      </x:c>
      <x:c r="I62" s="7" t="n">
        <x:v>0</x:v>
      </x:c>
      <x:c r="J62" s="7" t="n">
        <x:v>0</x:v>
      </x:c>
      <x:c r="K62" s="7" t="str">
        <x:v>HIT_CHANCE_DOWN</x:v>
      </x:c>
      <x:c r="L62" s="7" t="n">
        <x:v>0.13</x:v>
      </x:c>
      <x:c r="M62" s="8" t="n">
        <x:v>0.7</x:v>
      </x:c>
      <x:c r="N62" s="7" t="str">
        <x:v>DISPEL_BUFF</x:v>
      </x:c>
      <x:c r="O62" s="7" t="n">
        <x:v>1</x:v>
      </x:c>
      <x:c r="P62" s="8" t="n">
        <x:v>0.7</x:v>
      </x:c>
      <x:c r="Q62" s="7" t="str">
        <x:v>COUNTERATTACK_BLOCK</x:v>
      </x:c>
      <x:c r="R62" s="7" t="n">
        <x:v>1</x:v>
      </x:c>
      <x:c r="S62" s="8" t="n">
        <x:v>0.7</x:v>
      </x:c>
      <x:c r="T62" s="7" t="str">
        <x:v>BUFF_BLOCK</x:v>
      </x:c>
      <x:c r="U62" s="7" t="n">
        <x:v>1</x:v>
      </x:c>
      <x:c r="V62" s="8" t="n">
        <x:v>0.7</x:v>
      </x:c>
      <x:c r="W62" s="7" t="n">
        <x:v>3</x:v>
      </x:c>
      <x:c r="X62" s="7" t="str">
        <x:v>대상: 적. 적에게 공격력*0.77배 + 생명력*0.33배 만큼의 피해를 가합니다. 70%확률로 명중 감소 13% 적용합니다. 70%확률로 강화효과 해제 1개 적용합니다. 70%확률로 반격 불가 적용합니다. 70%확률로 강화 불가 적용합니다.</x:v>
      </x:c>
      <x:c r="Y62" s="7" t="str">
        <x:v>Target: one enemy. Deals 0.77 × caster Attack + 0.33 × caster max Health damage to one enemy. 70% chance to apply Hit Chance Down 13%. 70% chance to apply Dispel Buff 1 count. 70% chance to apply Counterattack Block. 70% chance to apply Unbuffable.</x:v>
      </x:c>
      <x:c r="Z62" s="7" t="str">
        <x:v>공격|디버프</x:v>
      </x:c>
    </x:row>
    <x:row r="63" ht="115" customHeight="1">
      <x:c r="A63" s="7" t="str">
        <x:v>SKILL_0057</x:v>
      </x:c>
      <x:c r="B63" s="7" t="str">
        <x:v>강화효과 해제 · 소멸 · 방어력 감소의 일격</x:v>
      </x:c>
      <x:c r="C63" s="7"/>
      <x:c r="D63" s="7" t="str">
        <x:v>적</x:v>
      </x:c>
      <x:c r="E63" s="7" t="n">
        <x:v>1.1</x:v>
      </x:c>
      <x:c r="F63" s="7" t="n">
        <x:v>0</x:v>
      </x:c>
      <x:c r="G63" s="7" t="n">
        <x:v>0</x:v>
      </x:c>
      <x:c r="H63" s="7" t="n">
        <x:v>0</x:v>
      </x:c>
      <x:c r="I63" s="7" t="n">
        <x:v>0</x:v>
      </x:c>
      <x:c r="J63" s="7" t="n">
        <x:v>0</x:v>
      </x:c>
      <x:c r="K63" s="7" t="str">
        <x:v>DISPEL_BUFF</x:v>
      </x:c>
      <x:c r="L63" s="7" t="n">
        <x:v>1</x:v>
      </x:c>
      <x:c r="M63" s="8" t="n">
        <x:v>0.8</x:v>
      </x:c>
      <x:c r="N63" s="7" t="str">
        <x:v>EXTINCTION</x:v>
      </x:c>
      <x:c r="O63" s="7" t="n">
        <x:v>1</x:v>
      </x:c>
      <x:c r="P63" s="8" t="n">
        <x:v>0.8</x:v>
      </x:c>
      <x:c r="Q63" s="7" t="str">
        <x:v>DEFENSE_DOWN</x:v>
      </x:c>
      <x:c r="R63" s="7" t="n">
        <x:v>0.24</x:v>
      </x:c>
      <x:c r="S63" s="8" t="n">
        <x:v>0.8</x:v>
      </x:c>
      <x:c r="T63" s="7"/>
      <x:c r="U63" s="7"/>
      <x:c r="V63" s="8"/>
      <x:c r="W63" s="7" t="n">
        <x:v>3</x:v>
      </x:c>
      <x:c r="X63" s="7" t="str">
        <x:v>대상: 적. 적에게 공격력*1.1배 만큼의 피해를 가합니다. 80%확률로 강화효과 해제 1개 적용합니다. 80%확률로 소멸 적용합니다. 80%확률로 방어력 감소 24% 적용합니다.</x:v>
      </x:c>
      <x:c r="Y63" s="7" t="str">
        <x:v>Target: one enemy. Deals 1.1 × caster Attack damage to one enemy. 80% chance to apply Dispel Buff 1 count. 80% chance to apply Extinction. 80% chance to apply Defense Down 24%.</x:v>
      </x:c>
      <x:c r="Z63" s="7" t="str">
        <x:v>공격|디버프</x:v>
      </x:c>
    </x:row>
    <x:row r="64" ht="115" customHeight="1">
      <x:c r="A64" s="7" t="str">
        <x:v>SKILL_0058</x:v>
      </x:c>
      <x:c r="B64" s="7" t="str">
        <x:v>속도 감소 · 회복 불가 · 강화 불가의 일격</x:v>
      </x:c>
      <x:c r="C64" s="7"/>
      <x:c r="D64" s="7" t="str">
        <x:v>적전체</x:v>
      </x:c>
      <x:c r="E64" s="7" t="n">
        <x:v>0.375</x:v>
      </x:c>
      <x:c r="F64" s="7" t="n">
        <x:v>0.125</x:v>
      </x:c>
      <x:c r="G64" s="7" t="n">
        <x:v>0</x:v>
      </x:c>
      <x:c r="H64" s="7" t="n">
        <x:v>0</x:v>
      </x:c>
      <x:c r="I64" s="7" t="n">
        <x:v>0</x:v>
      </x:c>
      <x:c r="J64" s="7" t="n">
        <x:v>0</x:v>
      </x:c>
      <x:c r="K64" s="7" t="str">
        <x:v>SPEED_DOWN</x:v>
      </x:c>
      <x:c r="L64" s="7" t="n">
        <x:v>0.16</x:v>
      </x:c>
      <x:c r="M64" s="8" t="n">
        <x:v>0.6</x:v>
      </x:c>
      <x:c r="N64" s="7" t="str">
        <x:v>HEAL_BLOCK</x:v>
      </x:c>
      <x:c r="O64" s="7" t="n">
        <x:v>1</x:v>
      </x:c>
      <x:c r="P64" s="8" t="n">
        <x:v>0.6</x:v>
      </x:c>
      <x:c r="Q64" s="7" t="str">
        <x:v>BUFF_BLOCK</x:v>
      </x:c>
      <x:c r="R64" s="7" t="n">
        <x:v>1</x:v>
      </x:c>
      <x:c r="S64" s="8" t="n">
        <x:v>0.6</x:v>
      </x:c>
      <x:c r="T64" s="7"/>
      <x:c r="U64" s="7"/>
      <x:c r="V64" s="8"/>
      <x:c r="W64" s="7" t="n">
        <x:v>5</x:v>
      </x:c>
      <x:c r="X64" s="7" t="str">
        <x:v>대상: 적전체. 적전체에게 공격력*0.375배 + 방어력*0.125배 만큼의 피해를 가합니다. 60%확률로 속도 감소 16% 적용합니다. 60%확률로 회복 불가 적용합니다. 60%확률로 강화 불가 적용합니다.</x:v>
      </x:c>
      <x:c r="Y64" s="7" t="str">
        <x:v>Target: all enemies. Deals 0.375 × caster Attack + 0.125 × caster Defense damage to all enemies. 60% chance to apply Speed Down 16%. 60% chance to apply Unhealable. 60% chance to apply Unbuffable.</x:v>
      </x:c>
      <x:c r="Z64" s="7" t="str">
        <x:v>공격|디버프</x:v>
      </x:c>
    </x:row>
    <x:row r="65" ht="115" customHeight="1">
      <x:c r="A65" s="7" t="str">
        <x:v>SKILL_0059</x:v>
      </x:c>
      <x:c r="B65" s="7" t="str">
        <x:v>방어력 감소 · 회복 불가 · 반격 불가 · 추가 피해의 일격</x:v>
      </x:c>
      <x:c r="C65" s="7"/>
      <x:c r="D65" s="7" t="str">
        <x:v>적</x:v>
      </x:c>
      <x:c r="E65" s="7" t="n">
        <x:v>0.77</x:v>
      </x:c>
      <x:c r="F65" s="7" t="n">
        <x:v>0</x:v>
      </x:c>
      <x:c r="G65" s="7" t="n">
        <x:v>0.33</x:v>
      </x:c>
      <x:c r="H65" s="7" t="n">
        <x:v>0</x:v>
      </x:c>
      <x:c r="I65" s="7" t="n">
        <x:v>0</x:v>
      </x:c>
      <x:c r="J65" s="7" t="n">
        <x:v>0</x:v>
      </x:c>
      <x:c r="K65" s="7" t="str">
        <x:v>DEFENSE_DOWN</x:v>
      </x:c>
      <x:c r="L65" s="7" t="n">
        <x:v>0.195</x:v>
      </x:c>
      <x:c r="M65" s="8" t="n">
        <x:v>0.7</x:v>
      </x:c>
      <x:c r="N65" s="7" t="str">
        <x:v>HEAL_BLOCK</x:v>
      </x:c>
      <x:c r="O65" s="7" t="n">
        <x:v>1</x:v>
      </x:c>
      <x:c r="P65" s="8" t="n">
        <x:v>0.7</x:v>
      </x:c>
      <x:c r="Q65" s="7" t="str">
        <x:v>COUNTERATTACK_BLOCK</x:v>
      </x:c>
      <x:c r="R65" s="7" t="n">
        <x:v>1</x:v>
      </x:c>
      <x:c r="S65" s="8" t="n">
        <x:v>0.7</x:v>
      </x:c>
      <x:c r="T65" s="7" t="str">
        <x:v>ADDITIONAL_DAMAGE</x:v>
      </x:c>
      <x:c r="U65" s="7" t="n">
        <x:v>0.163</x:v>
      </x:c>
      <x:c r="V65" s="8" t="n">
        <x:v>0.7</x:v>
      </x:c>
      <x:c r="W65" s="7" t="n">
        <x:v>3</x:v>
      </x:c>
      <x:c r="X65" s="7" t="str">
        <x:v>대상: 적. 적에게 공격력*0.77배 + 속도*0.33배 만큼의 피해를 가합니다. 70%확률로 방어력 감소 19.5% 적용합니다. 70%확률로 회복 불가 적용합니다. 70%확률로 반격 불가 적용합니다. 70%확률로 추가 피해 16.3% 적용합니다.</x:v>
      </x:c>
      <x:c r="Y65" s="7" t="str">
        <x:v>Target: one enemy. Deals 0.77 × caster Attack + 0.33 × caster Speed damage to one enemy. 70% chance to apply Defense Down 19.5%. 70% chance to apply Unhealable. 70% chance to apply Counterattack Block. 70% chance to apply Additional Damage 16.3%.</x:v>
      </x:c>
      <x:c r="Z65" s="7" t="str">
        <x:v>공격|디버프</x:v>
      </x:c>
    </x:row>
    <x:row r="66" ht="115" customHeight="1">
      <x:c r="A66" s="7" t="str">
        <x:v>SKILL_0060</x:v>
      </x:c>
      <x:c r="B66" s="7" t="str">
        <x:v>스킬 쿨타임 증가 · 명중 감소 · 방어력 감소의 일격</x:v>
      </x:c>
      <x:c r="C66" s="7"/>
      <x:c r="D66" s="7" t="str">
        <x:v>적</x:v>
      </x:c>
      <x:c r="E66" s="7" t="n">
        <x:v>0.715</x:v>
      </x:c>
      <x:c r="F66" s="7" t="n">
        <x:v>0</x:v>
      </x:c>
      <x:c r="G66" s="7" t="n">
        <x:v>0</x:v>
      </x:c>
      <x:c r="H66" s="7" t="n">
        <x:v>0.385</x:v>
      </x:c>
      <x:c r="I66" s="7" t="n">
        <x:v>0</x:v>
      </x:c>
      <x:c r="J66" s="7" t="n">
        <x:v>0</x:v>
      </x:c>
      <x:c r="K66" s="7" t="str">
        <x:v>SKILL_COOLDOWN_UP</x:v>
      </x:c>
      <x:c r="L66" s="7" t="n">
        <x:v>1</x:v>
      </x:c>
      <x:c r="M66" s="8" t="n">
        <x:v>0.8</x:v>
      </x:c>
      <x:c r="N66" s="7" t="str">
        <x:v>HIT_CHANCE_DOWN</x:v>
      </x:c>
      <x:c r="O66" s="7" t="n">
        <x:v>0.16</x:v>
      </x:c>
      <x:c r="P66" s="8" t="n">
        <x:v>0.8</x:v>
      </x:c>
      <x:c r="Q66" s="7" t="str">
        <x:v>DEFENSE_DOWN</x:v>
      </x:c>
      <x:c r="R66" s="7" t="n">
        <x:v>0.24</x:v>
      </x:c>
      <x:c r="S66" s="8" t="n">
        <x:v>0.8</x:v>
      </x:c>
      <x:c r="T66" s="7"/>
      <x:c r="U66" s="7"/>
      <x:c r="V66" s="8"/>
      <x:c r="W66" s="7" t="n">
        <x:v>4</x:v>
      </x:c>
      <x:c r="X66" s="7" t="str">
        <x:v>대상: 적. 적에게 공격력*0.715배 + 생명력*0.385배 만큼의 피해를 가합니다. 80%확률로 스킬 쿨타임 증가 1턴 적용합니다. 80%확률로 명중 감소 16% 적용합니다. 80%확률로 방어력 감소 24% 적용합니다.</x:v>
      </x:c>
      <x:c r="Y66" s="7" t="str">
        <x:v>Target: one enemy. Deals 0.715 × caster Attack + 0.385 × caster max Health damage to one enemy. 80% chance to apply Skill Cooldown Increase 1 turn. 80% chance to apply Hit Chance Down 16%. 80% chance to apply Defense Down 24%.</x:v>
      </x:c>
      <x:c r="Z66" s="7" t="str">
        <x:v>공격|디버프</x:v>
      </x:c>
    </x:row>
    <x:row r="67" ht="115" customHeight="1">
      <x:c r="A67" s="7" t="str">
        <x:v>SKILL_0061</x:v>
      </x:c>
      <x:c r="B67" s="7" t="str">
        <x:v>저주 · 부활 불가 · 속도 감소의 일격</x:v>
      </x:c>
      <x:c r="C67" s="7"/>
      <x:c r="D67" s="7" t="str">
        <x:v>적전체</x:v>
      </x:c>
      <x:c r="E67" s="7" t="n">
        <x:v>0.5</x:v>
      </x:c>
      <x:c r="F67" s="7" t="n">
        <x:v>0</x:v>
      </x:c>
      <x:c r="G67" s="7" t="n">
        <x:v>0</x:v>
      </x:c>
      <x:c r="H67" s="7" t="n">
        <x:v>0</x:v>
      </x:c>
      <x:c r="I67" s="7" t="n">
        <x:v>0</x:v>
      </x:c>
      <x:c r="J67" s="7" t="n">
        <x:v>0</x:v>
      </x:c>
      <x:c r="K67" s="7" t="str">
        <x:v>CURSE</x:v>
      </x:c>
      <x:c r="L67" s="7" t="n">
        <x:v>0.16</x:v>
      </x:c>
      <x:c r="M67" s="8" t="n">
        <x:v>0.6</x:v>
      </x:c>
      <x:c r="N67" s="7" t="str">
        <x:v>REVIVE_BLOCK</x:v>
      </x:c>
      <x:c r="O67" s="7" t="n">
        <x:v>1</x:v>
      </x:c>
      <x:c r="P67" s="8" t="n">
        <x:v>0.6</x:v>
      </x:c>
      <x:c r="Q67" s="7" t="str">
        <x:v>SPEED_DOWN</x:v>
      </x:c>
      <x:c r="R67" s="7" t="n">
        <x:v>0.16</x:v>
      </x:c>
      <x:c r="S67" s="8" t="n">
        <x:v>0.6</x:v>
      </x:c>
      <x:c r="T67" s="7"/>
      <x:c r="U67" s="7"/>
      <x:c r="V67" s="8"/>
      <x:c r="W67" s="7" t="n">
        <x:v>5</x:v>
      </x:c>
      <x:c r="X67" s="7" t="str">
        <x:v>대상: 적전체. 적전체에게 공격력*0.5배 만큼의 피해를 가합니다. 60%확률로 저주 16% 적용합니다. 60%확률로 부활 불가 적용합니다. 60%확률로 속도 감소 16% 적용합니다.</x:v>
      </x:c>
      <x:c r="Y67" s="7" t="str">
        <x:v>Target: all enemies. Deals 0.5 × caster Attack damage to all enemies. 60% chance to apply Curse 16%. 60% chance to apply Revive Block. 60% chance to apply Speed Down 16%.</x:v>
      </x:c>
      <x:c r="Z67" s="7" t="str">
        <x:v>공격|디버프</x:v>
      </x:c>
    </x:row>
    <x:row r="68" ht="115" customHeight="1">
      <x:c r="A68" s="7" t="str">
        <x:v>SKILL_0062</x:v>
      </x:c>
      <x:c r="B68" s="7" t="str">
        <x:v>반격 불가 · 흡혈 · 기절 — 스턴 · 공격력 감소의 일격</x:v>
      </x:c>
      <x:c r="C68" s="7"/>
      <x:c r="D68" s="7" t="str">
        <x:v>적</x:v>
      </x:c>
      <x:c r="E68" s="7" t="n">
        <x:v>0.77</x:v>
      </x:c>
      <x:c r="F68" s="7" t="n">
        <x:v>0.33</x:v>
      </x:c>
      <x:c r="G68" s="7" t="n">
        <x:v>0</x:v>
      </x:c>
      <x:c r="H68" s="7" t="n">
        <x:v>0</x:v>
      </x:c>
      <x:c r="I68" s="7" t="n">
        <x:v>0</x:v>
      </x:c>
      <x:c r="J68" s="7" t="n">
        <x:v>0</x:v>
      </x:c>
      <x:c r="K68" s="7" t="str">
        <x:v>COUNTERATTACK_BLOCK</x:v>
      </x:c>
      <x:c r="L68" s="7" t="n">
        <x:v>1</x:v>
      </x:c>
      <x:c r="M68" s="8" t="n">
        <x:v>0.7</x:v>
      </x:c>
      <x:c r="N68" s="7" t="str">
        <x:v>LIFESTEAL</x:v>
      </x:c>
      <x:c r="O68" s="7" t="n">
        <x:v>0.195</x:v>
      </x:c>
      <x:c r="P68" s="8" t="n">
        <x:v>0.7</x:v>
      </x:c>
      <x:c r="Q68" s="7" t="str">
        <x:v>STUN</x:v>
      </x:c>
      <x:c r="R68" s="7" t="n">
        <x:v>1</x:v>
      </x:c>
      <x:c r="S68" s="8" t="n">
        <x:v>0.7</x:v>
      </x:c>
      <x:c r="T68" s="7" t="str">
        <x:v>ATTACK_DOWN</x:v>
      </x:c>
      <x:c r="U68" s="7" t="n">
        <x:v>0.163</x:v>
      </x:c>
      <x:c r="V68" s="8" t="n">
        <x:v>0.7</x:v>
      </x:c>
      <x:c r="W68" s="7" t="n">
        <x:v>4</x:v>
      </x:c>
      <x:c r="X68" s="7" t="str">
        <x:v>대상: 적. 적에게 공격력*0.77배 + 방어력*0.33배 만큼의 피해를 가합니다. 70%확률로 반격 불가 적용합니다. 70%확률로 흡혈 19.5% 획득합니다. 70%확률로 기절 — 스턴 적용합니다. 70%확률로 공격력 감소 16.3% 적용합니다.</x:v>
      </x:c>
      <x:c r="Y68" s="7" t="str">
        <x:v>Target: one enemy. Deals 0.77 × caster Attack + 0.33 × caster Defense damage to one enemy. 70% chance to apply Counterattack Block. 70% chance to gain Lifesteal 19.5%. 70% chance to apply Stun. 70% chance to apply Attack Down 16.3%.</x:v>
      </x:c>
      <x:c r="Z68" s="7" t="str">
        <x:v>공격|회복|버프|디버프</x:v>
      </x:c>
    </x:row>
    <x:row r="69" ht="115" customHeight="1">
      <x:c r="A69" s="7" t="str">
        <x:v>SKILL_0063</x:v>
      </x:c>
      <x:c r="B69" s="7" t="str">
        <x:v>강화 불가 · 강화효과 해제의 일격</x:v>
      </x:c>
      <x:c r="C69" s="7"/>
      <x:c r="D69" s="7" t="str">
        <x:v>적</x:v>
      </x:c>
      <x:c r="E69" s="7" t="n">
        <x:v>0.715</x:v>
      </x:c>
      <x:c r="F69" s="7" t="n">
        <x:v>0</x:v>
      </x:c>
      <x:c r="G69" s="7" t="n">
        <x:v>0.385</x:v>
      </x:c>
      <x:c r="H69" s="7" t="n">
        <x:v>0</x:v>
      </x:c>
      <x:c r="I69" s="7" t="n">
        <x:v>0</x:v>
      </x:c>
      <x:c r="J69" s="7" t="n">
        <x:v>0</x:v>
      </x:c>
      <x:c r="K69" s="7" t="str">
        <x:v>BUFF_BLOCK</x:v>
      </x:c>
      <x:c r="L69" s="7" t="n">
        <x:v>1</x:v>
      </x:c>
      <x:c r="M69" s="8" t="n">
        <x:v>0.9</x:v>
      </x:c>
      <x:c r="N69" s="7" t="str">
        <x:v>DISPEL_BUFF</x:v>
      </x:c>
      <x:c r="O69" s="7" t="n">
        <x:v>1</x:v>
      </x:c>
      <x:c r="P69" s="8" t="n">
        <x:v>0.9</x:v>
      </x:c>
      <x:c r="Q69" s="7"/>
      <x:c r="R69" s="7"/>
      <x:c r="S69" s="8"/>
      <x:c r="T69" s="7"/>
      <x:c r="U69" s="7"/>
      <x:c r="V69" s="8"/>
      <x:c r="W69" s="7" t="n">
        <x:v>3</x:v>
      </x:c>
      <x:c r="X69" s="7" t="str">
        <x:v>대상: 적. 적에게 공격력*0.715배 + 속도*0.385배 만큼의 피해를 가합니다. 90%확률로 강화 불가 적용합니다. 90%확률로 강화효과 해제 1개 적용합니다.</x:v>
      </x:c>
      <x:c r="Y69" s="7" t="str">
        <x:v>Target: one enemy. Deals 0.715 × caster Attack + 0.385 × caster Speed damage to one enemy. 90% chance to apply Unbuffable. 90% chance to apply Dispel Buff 1 count.</x:v>
      </x:c>
      <x:c r="Z69" s="7" t="str">
        <x:v>공격|디버프</x:v>
      </x:c>
    </x:row>
    <x:row r="70" ht="115" customHeight="1">
      <x:c r="A70" s="7" t="str">
        <x:v>SKILL_0064</x:v>
      </x:c>
      <x:c r="B70" s="7" t="str">
        <x:v>방어력 감소 · 속도 감소 · 약화효과 전이의 일격</x:v>
      </x:c>
      <x:c r="C70" s="7"/>
      <x:c r="D70" s="7" t="str">
        <x:v>적</x:v>
      </x:c>
      <x:c r="E70" s="7" t="n">
        <x:v>0.825</x:v>
      </x:c>
      <x:c r="F70" s="7" t="n">
        <x:v>0</x:v>
      </x:c>
      <x:c r="G70" s="7" t="n">
        <x:v>0</x:v>
      </x:c>
      <x:c r="H70" s="7" t="n">
        <x:v>0.275</x:v>
      </x:c>
      <x:c r="I70" s="7" t="n">
        <x:v>0</x:v>
      </x:c>
      <x:c r="J70" s="7" t="n">
        <x:v>0</x:v>
      </x:c>
      <x:c r="K70" s="7" t="str">
        <x:v>DEFENSE_DOWN</x:v>
      </x:c>
      <x:c r="L70" s="7" t="n">
        <x:v>0.24</x:v>
      </x:c>
      <x:c r="M70" s="8" t="n">
        <x:v>0.8</x:v>
      </x:c>
      <x:c r="N70" s="7" t="str">
        <x:v>SPEED_DOWN</x:v>
      </x:c>
      <x:c r="O70" s="7" t="n">
        <x:v>0.16</x:v>
      </x:c>
      <x:c r="P70" s="8" t="n">
        <x:v>0.8</x:v>
      </x:c>
      <x:c r="Q70" s="7" t="str">
        <x:v>TRANSFER_DEBUFF</x:v>
      </x:c>
      <x:c r="R70" s="7" t="n">
        <x:v>1</x:v>
      </x:c>
      <x:c r="S70" s="8" t="n">
        <x:v>0.8</x:v>
      </x:c>
      <x:c r="T70" s="7"/>
      <x:c r="U70" s="7"/>
      <x:c r="V70" s="8"/>
      <x:c r="W70" s="7" t="n">
        <x:v>3</x:v>
      </x:c>
      <x:c r="X70" s="7" t="str">
        <x:v>대상: 적. 적에게 공격력*0.825배 + 생명력*0.275배 만큼의 피해를 가합니다. 80%확률로 방어력 감소 24% 적용합니다. 80%확률로 속도 감소 16% 적용합니다. 80%확률로 약화효과 전이 1개 적용합니다.</x:v>
      </x:c>
      <x:c r="Y70" s="7" t="str">
        <x:v>Target: one enemy. Deals 0.825 × caster Attack + 0.275 × caster max Health damage to one enemy. 80% chance to apply Defense Down 24%. 80% chance to apply Speed Down 16%. 80% chance to apply Debuff Transfer 1 count.</x:v>
      </x:c>
      <x:c r="Z70" s="7" t="str">
        <x:v>공격|디버프</x:v>
      </x:c>
    </x:row>
    <x:row r="71" ht="115" customHeight="1">
      <x:c r="A71" s="7" t="str">
        <x:v>SKILL_0065</x:v>
      </x:c>
      <x:c r="B71" s="7" t="str">
        <x:v>추가 공격 · 스킬 쿨타임 증가의 일격</x:v>
      </x:c>
      <x:c r="C71" s="7"/>
      <x:c r="D71" s="7" t="str">
        <x:v>적</x:v>
      </x:c>
      <x:c r="E71" s="7" t="n">
        <x:v>1.1</x:v>
      </x:c>
      <x:c r="F71" s="7" t="n">
        <x:v>0</x:v>
      </x:c>
      <x:c r="G71" s="7" t="n">
        <x:v>0</x:v>
      </x:c>
      <x:c r="H71" s="7" t="n">
        <x:v>0</x:v>
      </x:c>
      <x:c r="I71" s="7" t="n">
        <x:v>0</x:v>
      </x:c>
      <x:c r="J71" s="7" t="n">
        <x:v>0</x:v>
      </x:c>
      <x:c r="K71" s="7" t="str">
        <x:v>EXTRA_ATTACK</x:v>
      </x:c>
      <x:c r="L71" s="7" t="n">
        <x:v>0.35</x:v>
      </x:c>
      <x:c r="M71" s="8" t="n">
        <x:v>0.9</x:v>
      </x:c>
      <x:c r="N71" s="7" t="str">
        <x:v>SKILL_COOLDOWN_UP</x:v>
      </x:c>
      <x:c r="O71" s="7" t="n">
        <x:v>1</x:v>
      </x:c>
      <x:c r="P71" s="8" t="n">
        <x:v>0.9</x:v>
      </x:c>
      <x:c r="Q71" s="7"/>
      <x:c r="R71" s="7"/>
      <x:c r="S71" s="8"/>
      <x:c r="T71" s="7"/>
      <x:c r="U71" s="7"/>
      <x:c r="V71" s="8"/>
      <x:c r="W71" s="7" t="n">
        <x:v>3</x:v>
      </x:c>
      <x:c r="X71" s="7" t="str">
        <x:v>대상: 적. 적에게 공격력*1.1배 만큼의 피해를 가합니다. 90%확률로 추가 공격 35% 적용합니다. 90%확률로 스킬 쿨타임 증가 1턴 적용합니다.</x:v>
      </x:c>
      <x:c r="Y71" s="7" t="str">
        <x:v>Target: one enemy. Deals 1.1 × caster Attack damage to one enemy. 90% chance to apply Extra Attack 35%. 90% chance to apply Skill Cooldown Increase 1 turn.</x:v>
      </x:c>
      <x:c r="Z71" s="7" t="str">
        <x:v>공격|디버프</x:v>
      </x:c>
    </x:row>
    <x:row r="72" ht="115" customHeight="1">
      <x:c r="A72" s="7" t="str">
        <x:v>SKILL_0066</x:v>
      </x:c>
      <x:c r="B72" s="7" t="str">
        <x:v>스킬 쿨타임 증가 · 회복 불가 · 방어력 감소 · 표적의 일격</x:v>
      </x:c>
      <x:c r="C72" s="7"/>
      <x:c r="D72" s="7" t="str">
        <x:v>적</x:v>
      </x:c>
      <x:c r="E72" s="7" t="n">
        <x:v>0.715</x:v>
      </x:c>
      <x:c r="F72" s="7" t="n">
        <x:v>0.385</x:v>
      </x:c>
      <x:c r="G72" s="7" t="n">
        <x:v>0</x:v>
      </x:c>
      <x:c r="H72" s="7" t="n">
        <x:v>0</x:v>
      </x:c>
      <x:c r="I72" s="7" t="n">
        <x:v>0</x:v>
      </x:c>
      <x:c r="J72" s="7" t="n">
        <x:v>0</x:v>
      </x:c>
      <x:c r="K72" s="7" t="str">
        <x:v>SKILL_COOLDOWN_UP</x:v>
      </x:c>
      <x:c r="L72" s="7" t="n">
        <x:v>1</x:v>
      </x:c>
      <x:c r="M72" s="8" t="n">
        <x:v>0.7</x:v>
      </x:c>
      <x:c r="N72" s="7" t="str">
        <x:v>HEAL_BLOCK</x:v>
      </x:c>
      <x:c r="O72" s="7" t="n">
        <x:v>1</x:v>
      </x:c>
      <x:c r="P72" s="8" t="n">
        <x:v>0.7</x:v>
      </x:c>
      <x:c r="Q72" s="7" t="str">
        <x:v>DEFENSE_DOWN</x:v>
      </x:c>
      <x:c r="R72" s="7" t="n">
        <x:v>0.195</x:v>
      </x:c>
      <x:c r="S72" s="8" t="n">
        <x:v>0.7</x:v>
      </x:c>
      <x:c r="T72" s="7" t="str">
        <x:v>TARGET</x:v>
      </x:c>
      <x:c r="U72" s="7" t="n">
        <x:v>0.098</x:v>
      </x:c>
      <x:c r="V72" s="8" t="n">
        <x:v>0.7</x:v>
      </x:c>
      <x:c r="W72" s="7" t="n">
        <x:v>4</x:v>
      </x:c>
      <x:c r="X72" s="7" t="str">
        <x:v>대상: 적. 적에게 공격력*0.715배 + 방어력*0.385배 만큼의 피해를 가합니다. 70%확률로 스킬 쿨타임 증가 1턴 적용합니다. 70%확률로 회복 불가 적용합니다. 70%확률로 방어력 감소 19.5% 적용합니다. 70%확률로 표적 9.8% 적용합니다.</x:v>
      </x:c>
      <x:c r="Y72" s="7" t="str">
        <x:v>Target: one enemy. Deals 0.715 × caster Attack + 0.385 × caster Defense damage to one enemy. 70% chance to apply Skill Cooldown Increase 1 turn. 70% chance to apply Unhealable. 70% chance to apply Defense Down 19.5%. 70% chance to apply Target 9.8%.</x:v>
      </x:c>
      <x:c r="Z72" s="7" t="str">
        <x:v>공격|디버프</x:v>
      </x:c>
    </x:row>
    <x:row r="73" ht="115" customHeight="1">
      <x:c r="A73" s="7" t="str">
        <x:v>SKILL_0067</x:v>
      </x:c>
      <x:c r="B73" s="7" t="str">
        <x:v>속도 감소 · 출혈의 일격</x:v>
      </x:c>
      <x:c r="C73" s="7"/>
      <x:c r="D73" s="7" t="str">
        <x:v>적전체</x:v>
      </x:c>
      <x:c r="E73" s="7" t="n">
        <x:v>0.525</x:v>
      </x:c>
      <x:c r="F73" s="7" t="n">
        <x:v>0</x:v>
      </x:c>
      <x:c r="G73" s="7" t="n">
        <x:v>0.175</x:v>
      </x:c>
      <x:c r="H73" s="7" t="n">
        <x:v>0</x:v>
      </x:c>
      <x:c r="I73" s="7" t="n">
        <x:v>0</x:v>
      </x:c>
      <x:c r="J73" s="7" t="n">
        <x:v>0</x:v>
      </x:c>
      <x:c r="K73" s="7" t="str">
        <x:v>SPEED_DOWN</x:v>
      </x:c>
      <x:c r="L73" s="7" t="n">
        <x:v>0.2</x:v>
      </x:c>
      <x:c r="M73" s="8" t="n">
        <x:v>0.9</x:v>
      </x:c>
      <x:c r="N73" s="7" t="str">
        <x:v>BLEED</x:v>
      </x:c>
      <x:c r="O73" s="7" t="n">
        <x:v>0.2</x:v>
      </x:c>
      <x:c r="P73" s="8" t="n">
        <x:v>0.9</x:v>
      </x:c>
      <x:c r="Q73" s="7"/>
      <x:c r="R73" s="7"/>
      <x:c r="S73" s="8"/>
      <x:c r="T73" s="7"/>
      <x:c r="U73" s="7"/>
      <x:c r="V73" s="8"/>
      <x:c r="W73" s="7" t="n">
        <x:v>5</x:v>
      </x:c>
      <x:c r="X73" s="7" t="str">
        <x:v>대상: 적전체. 적전체에게 공격력*0.525배 + 속도*0.175배 만큼의 피해를 가합니다. 90%확률로 속도 감소 20% 적용합니다. 90%확률로 출혈 20% 적용합니다.</x:v>
      </x:c>
      <x:c r="Y73" s="7" t="str">
        <x:v>Target: all enemies. Deals 0.525 × caster Attack + 0.175 × caster Speed damage to all enemies. 90% chance to apply Speed Down 20%. 90% chance to apply Bleed 20%.</x:v>
      </x:c>
      <x:c r="Z73" s="7" t="str">
        <x:v>공격|디버프</x:v>
      </x:c>
    </x:row>
    <x:row r="74" ht="115" customHeight="1">
      <x:c r="A74" s="7" t="str">
        <x:v>SKILL_0068</x:v>
      </x:c>
      <x:c r="B74" s="7" t="str">
        <x:v>방어력 감소 · 흡혈 · 회복 불가의 일격</x:v>
      </x:c>
      <x:c r="C74" s="7"/>
      <x:c r="D74" s="7" t="str">
        <x:v>적</x:v>
      </x:c>
      <x:c r="E74" s="7" t="n">
        <x:v>0.77</x:v>
      </x:c>
      <x:c r="F74" s="7" t="n">
        <x:v>0</x:v>
      </x:c>
      <x:c r="G74" s="7" t="n">
        <x:v>0</x:v>
      </x:c>
      <x:c r="H74" s="7" t="n">
        <x:v>0.33</x:v>
      </x:c>
      <x:c r="I74" s="7" t="n">
        <x:v>0</x:v>
      </x:c>
      <x:c r="J74" s="7" t="n">
        <x:v>0</x:v>
      </x:c>
      <x:c r="K74" s="7" t="str">
        <x:v>DEFENSE_DOWN</x:v>
      </x:c>
      <x:c r="L74" s="7" t="n">
        <x:v>0.24</x:v>
      </x:c>
      <x:c r="M74" s="8" t="n">
        <x:v>0.8</x:v>
      </x:c>
      <x:c r="N74" s="7" t="str">
        <x:v>LIFESTEAL</x:v>
      </x:c>
      <x:c r="O74" s="7" t="n">
        <x:v>0.24</x:v>
      </x:c>
      <x:c r="P74" s="8" t="n">
        <x:v>0.8</x:v>
      </x:c>
      <x:c r="Q74" s="7" t="str">
        <x:v>HEAL_BLOCK</x:v>
      </x:c>
      <x:c r="R74" s="7" t="n">
        <x:v>1</x:v>
      </x:c>
      <x:c r="S74" s="8" t="n">
        <x:v>0.8</x:v>
      </x:c>
      <x:c r="T74" s="7"/>
      <x:c r="U74" s="7"/>
      <x:c r="V74" s="8"/>
      <x:c r="W74" s="7" t="n">
        <x:v>2</x:v>
      </x:c>
      <x:c r="X74" s="7" t="str">
        <x:v>대상: 적. 적에게 공격력*0.77배 + 생명력*0.33배 만큼의 피해를 가합니다. 80%확률로 방어력 감소 24% 적용합니다. 80%확률로 흡혈 24% 획득합니다. 80%확률로 회복 불가 적용합니다.</x:v>
      </x:c>
      <x:c r="Y74" s="7" t="str">
        <x:v>Target: one enemy. Deals 0.77 × caster Attack + 0.33 × caster max Health damage to one enemy. 80% chance to apply Defense Down 24%. 80% chance to gain Lifesteal 24%. 80% chance to apply Unhealable.</x:v>
      </x:c>
      <x:c r="Z74" s="7" t="str">
        <x:v>공격|회복|버프|디버프</x:v>
      </x:c>
    </x:row>
    <x:row r="75" ht="115" customHeight="1">
      <x:c r="A75" s="7" t="str">
        <x:v>SKILL_0069</x:v>
      </x:c>
      <x:c r="B75" s="7" t="str">
        <x:v>반격 불가 · 공격력 감소 · 강화 불가 · 방어력 관통의 일격</x:v>
      </x:c>
      <x:c r="C75" s="7"/>
      <x:c r="D75" s="7" t="str">
        <x:v>적</x:v>
      </x:c>
      <x:c r="E75" s="7" t="n">
        <x:v>1.1</x:v>
      </x:c>
      <x:c r="F75" s="7" t="n">
        <x:v>0</x:v>
      </x:c>
      <x:c r="G75" s="7" t="n">
        <x:v>0</x:v>
      </x:c>
      <x:c r="H75" s="7" t="n">
        <x:v>0</x:v>
      </x:c>
      <x:c r="I75" s="7" t="n">
        <x:v>0</x:v>
      </x:c>
      <x:c r="J75" s="7" t="n">
        <x:v>0</x:v>
      </x:c>
      <x:c r="K75" s="7" t="str">
        <x:v>COUNTERATTACK_BLOCK</x:v>
      </x:c>
      <x:c r="L75" s="7" t="n">
        <x:v>1</x:v>
      </x:c>
      <x:c r="M75" s="8" t="n">
        <x:v>0.7</x:v>
      </x:c>
      <x:c r="N75" s="7" t="str">
        <x:v>ATTACK_DOWN</x:v>
      </x:c>
      <x:c r="O75" s="7" t="n">
        <x:v>0.163</x:v>
      </x:c>
      <x:c r="P75" s="8" t="n">
        <x:v>0.7</x:v>
      </x:c>
      <x:c r="Q75" s="7" t="str">
        <x:v>BUFF_BLOCK</x:v>
      </x:c>
      <x:c r="R75" s="7" t="n">
        <x:v>1</x:v>
      </x:c>
      <x:c r="S75" s="8" t="n">
        <x:v>0.7</x:v>
      </x:c>
      <x:c r="T75" s="7" t="str">
        <x:v>DEFENSE_PENETRATION</x:v>
      </x:c>
      <x:c r="U75" s="7" t="n">
        <x:v>0.195</x:v>
      </x:c>
      <x:c r="V75" s="8" t="n">
        <x:v>0.7</x:v>
      </x:c>
      <x:c r="W75" s="7" t="n">
        <x:v>3</x:v>
      </x:c>
      <x:c r="X75" s="7" t="str">
        <x:v>대상: 적. 적에게 공격력*1.1배 만큼의 피해를 가합니다. 70%확률로 반격 불가 적용합니다. 70%확률로 공격력 감소 16.3% 적용합니다. 70%확률로 강화 불가 적용합니다. 70%확률로 방어력 관통 19.5% 적용합니다.</x:v>
      </x:c>
      <x:c r="Y75" s="7" t="str">
        <x:v>Target: one enemy. Deals 1.1 × caster Attack damage to one enemy. 70% chance to apply Counterattack Block. 70% chance to apply Attack Down 16.3%. 70% chance to apply Unbuffable. 70% chance to apply Defense Penetration 19.5%.</x:v>
      </x:c>
      <x:c r="Z75" s="7" t="str">
        <x:v>공격|디버프</x:v>
      </x:c>
    </x:row>
    <x:row r="76" ht="115" customHeight="1">
      <x:c r="A76" s="7" t="str">
        <x:v>SKILL_0070</x:v>
      </x:c>
      <x:c r="B76" s="7" t="str">
        <x:v>흡혈 · 방어력 관통의 일격</x:v>
      </x:c>
      <x:c r="C76" s="7"/>
      <x:c r="D76" s="7" t="str">
        <x:v>적전체</x:v>
      </x:c>
      <x:c r="E76" s="7" t="n">
        <x:v>0.525</x:v>
      </x:c>
      <x:c r="F76" s="7" t="n">
        <x:v>0.175</x:v>
      </x:c>
      <x:c r="G76" s="7" t="n">
        <x:v>0</x:v>
      </x:c>
      <x:c r="H76" s="7" t="n">
        <x:v>0</x:v>
      </x:c>
      <x:c r="I76" s="7" t="n">
        <x:v>0</x:v>
      </x:c>
      <x:c r="J76" s="7" t="n">
        <x:v>0</x:v>
      </x:c>
      <x:c r="K76" s="7" t="str">
        <x:v>LIFESTEAL</x:v>
      </x:c>
      <x:c r="L76" s="7" t="n">
        <x:v>0.3</x:v>
      </x:c>
      <x:c r="M76" s="8" t="n">
        <x:v>0.9</x:v>
      </x:c>
      <x:c r="N76" s="7" t="str">
        <x:v>DEFENSE_PENETRATION</x:v>
      </x:c>
      <x:c r="O76" s="7" t="n">
        <x:v>0.3</x:v>
      </x:c>
      <x:c r="P76" s="8" t="n">
        <x:v>0.9</x:v>
      </x:c>
      <x:c r="Q76" s="7"/>
      <x:c r="R76" s="7"/>
      <x:c r="S76" s="8"/>
      <x:c r="T76" s="7"/>
      <x:c r="U76" s="7"/>
      <x:c r="V76" s="8"/>
      <x:c r="W76" s="7" t="n">
        <x:v>4</x:v>
      </x:c>
      <x:c r="X76" s="7" t="str">
        <x:v>대상: 적전체. 적전체에게 공격력*0.525배 + 방어력*0.175배 만큼의 피해를 가합니다. 90%확률로 흡혈 30% 획득합니다. 90%확률로 방어력 관통 30% 적용합니다.</x:v>
      </x:c>
      <x:c r="Y76" s="7" t="str">
        <x:v>Target: all enemies. Deals 0.525 × caster Attack + 0.175 × caster Defense damage to all enemies. 90% chance to gain Lifesteal 30%. 90% chance to apply Defense Penetration 30%.</x:v>
      </x:c>
      <x:c r="Z76" s="7" t="str">
        <x:v>공격|회복|버프</x:v>
      </x:c>
    </x:row>
    <x:row r="77" ht="115" customHeight="1">
      <x:c r="A77" s="7" t="str">
        <x:v>SKILL_0071</x:v>
      </x:c>
      <x:c r="B77" s="7" t="str">
        <x:v>부활 불가 · 추가 공격의 일격</x:v>
      </x:c>
      <x:c r="C77" s="7"/>
      <x:c r="D77" s="7" t="str">
        <x:v>적</x:v>
      </x:c>
      <x:c r="E77" s="7" t="n">
        <x:v>0.77</x:v>
      </x:c>
      <x:c r="F77" s="7" t="n">
        <x:v>0</x:v>
      </x:c>
      <x:c r="G77" s="7" t="n">
        <x:v>0.33</x:v>
      </x:c>
      <x:c r="H77" s="7" t="n">
        <x:v>0</x:v>
      </x:c>
      <x:c r="I77" s="7" t="n">
        <x:v>0</x:v>
      </x:c>
      <x:c r="J77" s="7" t="n">
        <x:v>0</x:v>
      </x:c>
      <x:c r="K77" s="7" t="str">
        <x:v>REVIVE_BLOCK</x:v>
      </x:c>
      <x:c r="L77" s="7" t="n">
        <x:v>1</x:v>
      </x:c>
      <x:c r="M77" s="8" t="n">
        <x:v>0.9</x:v>
      </x:c>
      <x:c r="N77" s="7" t="str">
        <x:v>EXTRA_ATTACK</x:v>
      </x:c>
      <x:c r="O77" s="7" t="n">
        <x:v>0.35</x:v>
      </x:c>
      <x:c r="P77" s="8" t="n">
        <x:v>0.9</x:v>
      </x:c>
      <x:c r="Q77" s="7"/>
      <x:c r="R77" s="7"/>
      <x:c r="S77" s="8"/>
      <x:c r="T77" s="7"/>
      <x:c r="U77" s="7"/>
      <x:c r="V77" s="8"/>
      <x:c r="W77" s="7" t="n">
        <x:v>3</x:v>
      </x:c>
      <x:c r="X77" s="7" t="str">
        <x:v>대상: 적. 적에게 공격력*0.77배 + 속도*0.33배 만큼의 피해를 가합니다. 90%확률로 부활 불가 적용합니다. 90%확률로 추가 공격 35% 적용합니다.</x:v>
      </x:c>
      <x:c r="Y77" s="7" t="str">
        <x:v>Target: one enemy. Deals 0.77 × caster Attack + 0.33 × caster Speed damage to one enemy. 90% chance to apply Revive Block. 90% chance to apply Extra Attack 35%.</x:v>
      </x:c>
      <x:c r="Z77" s="7" t="str">
        <x:v>공격|디버프</x:v>
      </x:c>
    </x:row>
    <x:row r="78" ht="115" customHeight="1">
      <x:c r="A78" s="7" t="str">
        <x:v>SKILL_0072</x:v>
      </x:c>
      <x:c r="B78" s="7" t="str">
        <x:v>약화효과 전이 · 도발 · 약화효과 지속시간 증가 · 강화효과 지속시간 감소의 일격</x:v>
      </x:c>
      <x:c r="C78" s="7"/>
      <x:c r="D78" s="7" t="str">
        <x:v>적</x:v>
      </x:c>
      <x:c r="E78" s="7" t="n">
        <x:v>0.715</x:v>
      </x:c>
      <x:c r="F78" s="7" t="n">
        <x:v>0</x:v>
      </x:c>
      <x:c r="G78" s="7" t="n">
        <x:v>0</x:v>
      </x:c>
      <x:c r="H78" s="7" t="n">
        <x:v>0.385</x:v>
      </x:c>
      <x:c r="I78" s="7" t="n">
        <x:v>0</x:v>
      </x:c>
      <x:c r="J78" s="7" t="n">
        <x:v>0</x:v>
      </x:c>
      <x:c r="K78" s="7" t="str">
        <x:v>TRANSFER_DEBUFF</x:v>
      </x:c>
      <x:c r="L78" s="7" t="n">
        <x:v>1</x:v>
      </x:c>
      <x:c r="M78" s="8" t="n">
        <x:v>0.7</x:v>
      </x:c>
      <x:c r="N78" s="7" t="str">
        <x:v>PROVOKE</x:v>
      </x:c>
      <x:c r="O78" s="7" t="n">
        <x:v>1</x:v>
      </x:c>
      <x:c r="P78" s="8" t="n">
        <x:v>0.7</x:v>
      </x:c>
      <x:c r="Q78" s="7" t="str">
        <x:v>DEBUFF_DURATION_UP</x:v>
      </x:c>
      <x:c r="R78" s="7" t="n">
        <x:v>1</x:v>
      </x:c>
      <x:c r="S78" s="8" t="n">
        <x:v>0.7</x:v>
      </x:c>
      <x:c r="T78" s="7" t="str">
        <x:v>BUFF_DURATION_DOWN</x:v>
      </x:c>
      <x:c r="U78" s="7" t="n">
        <x:v>1</x:v>
      </x:c>
      <x:c r="V78" s="8" t="n">
        <x:v>0.7</x:v>
      </x:c>
      <x:c r="W78" s="7" t="n">
        <x:v>4</x:v>
      </x:c>
      <x:c r="X78" s="7" t="str">
        <x:v>대상: 적. 적에게 공격력*0.715배 + 생명력*0.385배 만큼의 피해를 가합니다. 70%확률로 약화효과 전이 1개 적용합니다. 70%확률로 도발 적용합니다. 70%확률로 약화효과 지속시간 증가 1턴 적용합니다. 70%확률로 강화효과 지속시간 감소 1턴 적용합니다.</x:v>
      </x:c>
      <x:c r="Y78" s="7" t="str">
        <x:v>Target: one enemy. Deals 0.715 × caster Attack + 0.385 × caster max Health damage to one enemy. 70% chance to apply Debuff Transfer 1 count. 70% chance to apply Provoke. 70% chance to apply Debuff Duration Extension 1 turn. 70% chance to apply Buff Duration Reduction 1 turn.</x:v>
      </x:c>
      <x:c r="Z78" s="7" t="str">
        <x:v>공격|디버프</x:v>
      </x:c>
    </x:row>
    <x:row r="79" ht="115" customHeight="1">
      <x:c r="A79" s="7" t="str">
        <x:v>SKILL_0073</x:v>
      </x:c>
      <x:c r="B79" s="7" t="str">
        <x:v>반격 불가 · 추가 공격 · 강화효과 지속시간 감소 · 회복 불가의 일격</x:v>
      </x:c>
      <x:c r="C79" s="7"/>
      <x:c r="D79" s="7" t="str">
        <x:v>적전체</x:v>
      </x:c>
      <x:c r="E79" s="7" t="n">
        <x:v>0.5</x:v>
      </x:c>
      <x:c r="F79" s="7" t="n">
        <x:v>0</x:v>
      </x:c>
      <x:c r="G79" s="7" t="n">
        <x:v>0</x:v>
      </x:c>
      <x:c r="H79" s="7" t="n">
        <x:v>0</x:v>
      </x:c>
      <x:c r="I79" s="7" t="n">
        <x:v>0</x:v>
      </x:c>
      <x:c r="J79" s="7" t="n">
        <x:v>0</x:v>
      </x:c>
      <x:c r="K79" s="7" t="str">
        <x:v>COUNTERATTACK_BLOCK</x:v>
      </x:c>
      <x:c r="L79" s="7" t="n">
        <x:v>1</x:v>
      </x:c>
      <x:c r="M79" s="8" t="n">
        <x:v>0.5</x:v>
      </x:c>
      <x:c r="N79" s="7" t="str">
        <x:v>EXTRA_ATTACK</x:v>
      </x:c>
      <x:c r="O79" s="7" t="n">
        <x:v>0.227</x:v>
      </x:c>
      <x:c r="P79" s="8" t="n">
        <x:v>0.5</x:v>
      </x:c>
      <x:c r="Q79" s="7" t="str">
        <x:v>BUFF_DURATION_DOWN</x:v>
      </x:c>
      <x:c r="R79" s="7" t="n">
        <x:v>1</x:v>
      </x:c>
      <x:c r="S79" s="8" t="n">
        <x:v>0.5</x:v>
      </x:c>
      <x:c r="T79" s="7" t="str">
        <x:v>HEAL_BLOCK</x:v>
      </x:c>
      <x:c r="U79" s="7" t="n">
        <x:v>1</x:v>
      </x:c>
      <x:c r="V79" s="8" t="n">
        <x:v>0.5</x:v>
      </x:c>
      <x:c r="W79" s="7" t="n">
        <x:v>5</x:v>
      </x:c>
      <x:c r="X79" s="7" t="str">
        <x:v>대상: 적전체. 적전체에게 공격력*0.5배 만큼의 피해를 가합니다. 50%확률로 반격 불가 적용합니다. 50%확률로 추가 공격 22.7% 적용합니다. 50%확률로 강화효과 지속시간 감소 1턴 적용합니다. 50%확률로 회복 불가 적용합니다.</x:v>
      </x:c>
      <x:c r="Y79" s="7" t="str">
        <x:v>Target: all enemies. Deals 0.5 × caster Attack damage to all enemies. 50% chance to apply Counterattack Block. 50% chance to apply Extra Attack 22.7%. 50% chance to apply Buff Duration Reduction 1 turn. 50% chance to apply Unhealable.</x:v>
      </x:c>
      <x:c r="Z79" s="7" t="str">
        <x:v>공격|디버프</x:v>
      </x:c>
    </x:row>
    <x:row r="80" ht="115" customHeight="1">
      <x:c r="A80" s="7" t="str">
        <x:v>SKILL_0074</x:v>
      </x:c>
      <x:c r="B80" s="7" t="str">
        <x:v>회복 불가 · 기절 — 스턴 · 방어력 감소의 일격</x:v>
      </x:c>
      <x:c r="C80" s="7"/>
      <x:c r="D80" s="7" t="str">
        <x:v>적</x:v>
      </x:c>
      <x:c r="E80" s="7" t="n">
        <x:v>0.77</x:v>
      </x:c>
      <x:c r="F80" s="7" t="n">
        <x:v>0.33</x:v>
      </x:c>
      <x:c r="G80" s="7" t="n">
        <x:v>0</x:v>
      </x:c>
      <x:c r="H80" s="7" t="n">
        <x:v>0</x:v>
      </x:c>
      <x:c r="I80" s="7" t="n">
        <x:v>0</x:v>
      </x:c>
      <x:c r="J80" s="7" t="n">
        <x:v>0</x:v>
      </x:c>
      <x:c r="K80" s="7" t="str">
        <x:v>HEAL_BLOCK</x:v>
      </x:c>
      <x:c r="L80" s="7" t="n">
        <x:v>1</x:v>
      </x:c>
      <x:c r="M80" s="8" t="n">
        <x:v>0.8</x:v>
      </x:c>
      <x:c r="N80" s="7" t="str">
        <x:v>STUN</x:v>
      </x:c>
      <x:c r="O80" s="7" t="n">
        <x:v>1</x:v>
      </x:c>
      <x:c r="P80" s="8" t="n">
        <x:v>0.8</x:v>
      </x:c>
      <x:c r="Q80" s="7" t="str">
        <x:v>DEFENSE_DOWN</x:v>
      </x:c>
      <x:c r="R80" s="7" t="n">
        <x:v>0.24</x:v>
      </x:c>
      <x:c r="S80" s="8" t="n">
        <x:v>0.8</x:v>
      </x:c>
      <x:c r="T80" s="7"/>
      <x:c r="U80" s="7"/>
      <x:c r="V80" s="8"/>
      <x:c r="W80" s="7" t="n">
        <x:v>4</x:v>
      </x:c>
      <x:c r="X80" s="7" t="str">
        <x:v>대상: 적. 적에게 공격력*0.77배 + 방어력*0.33배 만큼의 피해를 가합니다. 80%확률로 회복 불가 적용합니다. 80%확률로 기절 — 스턴 적용합니다. 80%확률로 방어력 감소 24% 적용합니다.</x:v>
      </x:c>
      <x:c r="Y80" s="7" t="str">
        <x:v>Target: one enemy. Deals 0.77 × caster Attack + 0.33 × caster Defense damage to one enemy. 80% chance to apply Unhealable. 80% chance to apply Stun. 80% chance to apply Defense Down 24%.</x:v>
      </x:c>
      <x:c r="Z80" s="7" t="str">
        <x:v>공격|디버프</x:v>
      </x:c>
    </x:row>
    <x:row r="81" ht="115" customHeight="1">
      <x:c r="A81" s="7" t="str">
        <x:v>SKILL_0075</x:v>
      </x:c>
      <x:c r="B81" s="7" t="str">
        <x:v>수면 · 상처 · 흡혈의 일격</x:v>
      </x:c>
      <x:c r="C81" s="7"/>
      <x:c r="D81" s="7" t="str">
        <x:v>적</x:v>
      </x:c>
      <x:c r="E81" s="7" t="n">
        <x:v>0.715</x:v>
      </x:c>
      <x:c r="F81" s="7" t="n">
        <x:v>0</x:v>
      </x:c>
      <x:c r="G81" s="7" t="n">
        <x:v>0.385</x:v>
      </x:c>
      <x:c r="H81" s="7" t="n">
        <x:v>0</x:v>
      </x:c>
      <x:c r="I81" s="7" t="n">
        <x:v>0</x:v>
      </x:c>
      <x:c r="J81" s="7" t="n">
        <x:v>0</x:v>
      </x:c>
      <x:c r="K81" s="7" t="str">
        <x:v>SLEEP</x:v>
      </x:c>
      <x:c r="L81" s="7" t="n">
        <x:v>1</x:v>
      </x:c>
      <x:c r="M81" s="8" t="n">
        <x:v>0.8</x:v>
      </x:c>
      <x:c r="N81" s="7" t="str">
        <x:v>INJURY</x:v>
      </x:c>
      <x:c r="O81" s="7" t="n">
        <x:v>0.064</x:v>
      </x:c>
      <x:c r="P81" s="8" t="n">
        <x:v>0.8</x:v>
      </x:c>
      <x:c r="Q81" s="7" t="str">
        <x:v>LIFESTEAL</x:v>
      </x:c>
      <x:c r="R81" s="7" t="n">
        <x:v>0.24</x:v>
      </x:c>
      <x:c r="S81" s="8" t="n">
        <x:v>0.8</x:v>
      </x:c>
      <x:c r="T81" s="7"/>
      <x:c r="U81" s="7"/>
      <x:c r="V81" s="8"/>
      <x:c r="W81" s="7" t="n">
        <x:v>3</x:v>
      </x:c>
      <x:c r="X81" s="7" t="str">
        <x:v>대상: 적. 적에게 공격력*0.715배 + 속도*0.385배 만큼의 피해를 가합니다. 80%확률로 수면 적용합니다. 80%확률로 상처 6.4% 적용합니다. 80%확률로 흡혈 24% 획득합니다.</x:v>
      </x:c>
      <x:c r="Y81" s="7" t="str">
        <x:v>Target: one enemy. Deals 0.715 × caster Attack + 0.385 × caster Speed damage to one enemy. 80% chance to apply Sleep. 80% chance to apply Injury 6.4%. 80% chance to gain Lifesteal 24%.</x:v>
      </x:c>
      <x:c r="Z81" s="7" t="str">
        <x:v>공격|회복|버프|디버프</x:v>
      </x:c>
    </x:row>
    <x:row r="82" ht="115" customHeight="1">
      <x:c r="A82" s="7" t="str">
        <x:v>SKILL_0076</x:v>
      </x:c>
      <x:c r="B82" s="7" t="str">
        <x:v>추가 공격 · 회복 불가 · 수면의 일격</x:v>
      </x:c>
      <x:c r="C82" s="7"/>
      <x:c r="D82" s="7" t="str">
        <x:v>적전체</x:v>
      </x:c>
      <x:c r="E82" s="7" t="n">
        <x:v>0.337</x:v>
      </x:c>
      <x:c r="F82" s="7" t="n">
        <x:v>0</x:v>
      </x:c>
      <x:c r="G82" s="7" t="n">
        <x:v>0</x:v>
      </x:c>
      <x:c r="H82" s="7" t="n">
        <x:v>0.113</x:v>
      </x:c>
      <x:c r="I82" s="7" t="n">
        <x:v>0</x:v>
      </x:c>
      <x:c r="J82" s="7" t="n">
        <x:v>0</x:v>
      </x:c>
      <x:c r="K82" s="7" t="str">
        <x:v>EXTRA_ATTACK</x:v>
      </x:c>
      <x:c r="L82" s="7" t="n">
        <x:v>0.28</x:v>
      </x:c>
      <x:c r="M82" s="8" t="n">
        <x:v>0.55</x:v>
      </x:c>
      <x:c r="N82" s="7" t="str">
        <x:v>HEAL_BLOCK</x:v>
      </x:c>
      <x:c r="O82" s="7" t="n">
        <x:v>1</x:v>
      </x:c>
      <x:c r="P82" s="8" t="n">
        <x:v>0.55</x:v>
      </x:c>
      <x:c r="Q82" s="7" t="str">
        <x:v>SLEEP</x:v>
      </x:c>
      <x:c r="R82" s="7" t="n">
        <x:v>1</x:v>
      </x:c>
      <x:c r="S82" s="8" t="n">
        <x:v>0.55</x:v>
      </x:c>
      <x:c r="T82" s="7"/>
      <x:c r="U82" s="7"/>
      <x:c r="V82" s="8"/>
      <x:c r="W82" s="7" t="n">
        <x:v>5</x:v>
      </x:c>
      <x:c r="X82" s="7" t="str">
        <x:v>대상: 적전체. 적전체에게 공격력*0.337배 + 생명력*0.113배 만큼의 피해를 가합니다. 55%확률로 추가 공격 28% 적용합니다. 55%확률로 회복 불가 적용합니다. 55%확률로 수면 적용합니다.</x:v>
      </x:c>
      <x:c r="Y82" s="7" t="str">
        <x:v>Target: all enemies. Deals 0.337 × caster Attack + 0.113 × caster max Health damage to all enemies. 55% chance to apply Extra Attack 28%. 55% chance to apply Unhealable. 55% chance to apply Sleep.</x:v>
      </x:c>
      <x:c r="Z82" s="7" t="str">
        <x:v>공격|디버프</x:v>
      </x:c>
    </x:row>
    <x:row r="83" ht="115" customHeight="1">
      <x:c r="A83" s="7" t="str">
        <x:v>SKILL_0077</x:v>
      </x:c>
      <x:c r="B83" s="7" t="str">
        <x:v>흡혈 · 기절 — 스턴의 일격</x:v>
      </x:c>
      <x:c r="C83" s="7"/>
      <x:c r="D83" s="7" t="str">
        <x:v>적</x:v>
      </x:c>
      <x:c r="E83" s="7" t="n">
        <x:v>1.1</x:v>
      </x:c>
      <x:c r="F83" s="7" t="n">
        <x:v>0</x:v>
      </x:c>
      <x:c r="G83" s="7" t="n">
        <x:v>0</x:v>
      </x:c>
      <x:c r="H83" s="7" t="n">
        <x:v>0</x:v>
      </x:c>
      <x:c r="I83" s="7" t="n">
        <x:v>0</x:v>
      </x:c>
      <x:c r="J83" s="7" t="n">
        <x:v>0</x:v>
      </x:c>
      <x:c r="K83" s="7" t="str">
        <x:v>LIFESTEAL</x:v>
      </x:c>
      <x:c r="L83" s="7" t="n">
        <x:v>0.3</x:v>
      </x:c>
      <x:c r="M83" s="8" t="n">
        <x:v>0.9</x:v>
      </x:c>
      <x:c r="N83" s="7" t="str">
        <x:v>STUN</x:v>
      </x:c>
      <x:c r="O83" s="7" t="n">
        <x:v>1</x:v>
      </x:c>
      <x:c r="P83" s="8" t="n">
        <x:v>0.9</x:v>
      </x:c>
      <x:c r="Q83" s="7"/>
      <x:c r="R83" s="7"/>
      <x:c r="S83" s="8"/>
      <x:c r="T83" s="7"/>
      <x:c r="U83" s="7"/>
      <x:c r="V83" s="8"/>
      <x:c r="W83" s="7" t="n">
        <x:v>3</x:v>
      </x:c>
      <x:c r="X83" s="7" t="str">
        <x:v>대상: 적. 적에게 공격력*1.1배 만큼의 피해를 가합니다. 90%확률로 흡혈 30% 획득합니다. 90%확률로 기절 — 스턴 적용합니다.</x:v>
      </x:c>
      <x:c r="Y83" s="7" t="str">
        <x:v>Target: one enemy. Deals 1.1 × caster Attack damage to one enemy. 90% chance to gain Lifesteal 30%. 90% chance to apply Stun.</x:v>
      </x:c>
      <x:c r="Z83" s="7" t="str">
        <x:v>공격|회복|버프|디버프</x:v>
      </x:c>
    </x:row>
    <x:row r="84" ht="115" customHeight="1">
      <x:c r="A84" s="7" t="str">
        <x:v>SKILL_0078</x:v>
      </x:c>
      <x:c r="B84" s="7" t="str">
        <x:v>소멸 · 표적 · 공격력 감소 · 속도 감소의 일격</x:v>
      </x:c>
      <x:c r="C84" s="7"/>
      <x:c r="D84" s="7" t="str">
        <x:v>적</x:v>
      </x:c>
      <x:c r="E84" s="7" t="n">
        <x:v>0.715</x:v>
      </x:c>
      <x:c r="F84" s="7" t="n">
        <x:v>0.385</x:v>
      </x:c>
      <x:c r="G84" s="7" t="n">
        <x:v>0</x:v>
      </x:c>
      <x:c r="H84" s="7" t="n">
        <x:v>0</x:v>
      </x:c>
      <x:c r="I84" s="7" t="n">
        <x:v>0</x:v>
      </x:c>
      <x:c r="J84" s="7" t="n">
        <x:v>0</x:v>
      </x:c>
      <x:c r="K84" s="7" t="str">
        <x:v>EXTINCTION</x:v>
      </x:c>
      <x:c r="L84" s="7" t="n">
        <x:v>1</x:v>
      </x:c>
      <x:c r="M84" s="8" t="n">
        <x:v>0.7</x:v>
      </x:c>
      <x:c r="N84" s="7" t="str">
        <x:v>TARGET</x:v>
      </x:c>
      <x:c r="O84" s="7" t="n">
        <x:v>0.098</x:v>
      </x:c>
      <x:c r="P84" s="8" t="n">
        <x:v>0.7</x:v>
      </x:c>
      <x:c r="Q84" s="7" t="str">
        <x:v>ATTACK_DOWN</x:v>
      </x:c>
      <x:c r="R84" s="7" t="n">
        <x:v>0.163</x:v>
      </x:c>
      <x:c r="S84" s="8" t="n">
        <x:v>0.7</x:v>
      </x:c>
      <x:c r="T84" s="7" t="str">
        <x:v>SPEED_DOWN</x:v>
      </x:c>
      <x:c r="U84" s="7" t="n">
        <x:v>0.13</x:v>
      </x:c>
      <x:c r="V84" s="8" t="n">
        <x:v>0.7</x:v>
      </x:c>
      <x:c r="W84" s="7" t="n">
        <x:v>3</x:v>
      </x:c>
      <x:c r="X84" s="7" t="str">
        <x:v>대상: 적. 적에게 공격력*0.715배 + 방어력*0.385배 만큼의 피해를 가합니다. 70%확률로 소멸 적용합니다. 70%확률로 표적 9.8% 적용합니다. 70%확률로 공격력 감소 16.3% 적용합니다. 70%확률로 속도 감소 13% 적용합니다.</x:v>
      </x:c>
      <x:c r="Y84" s="7" t="str">
        <x:v>Target: one enemy. Deals 0.715 × caster Attack + 0.385 × caster Defense damage to one enemy. 70% chance to apply Extinction. 70% chance to apply Target 9.8%. 70% chance to apply Attack Down 16.3%. 70% chance to apply Speed Down 13%.</x:v>
      </x:c>
      <x:c r="Z84" s="7" t="str">
        <x:v>공격|디버프</x:v>
      </x:c>
    </x:row>
    <x:row r="85" ht="115" customHeight="1">
      <x:c r="A85" s="7" t="str">
        <x:v>SKILL_0079</x:v>
      </x:c>
      <x:c r="B85" s="7" t="str">
        <x:v>기절 — 스턴 · 강화효과 해제 · 상처의 일격</x:v>
      </x:c>
      <x:c r="C85" s="7"/>
      <x:c r="D85" s="7" t="str">
        <x:v>적전체</x:v>
      </x:c>
      <x:c r="E85" s="7" t="n">
        <x:v>0.262</x:v>
      </x:c>
      <x:c r="F85" s="7" t="n">
        <x:v>0</x:v>
      </x:c>
      <x:c r="G85" s="7" t="n">
        <x:v>0.088</x:v>
      </x:c>
      <x:c r="H85" s="7" t="n">
        <x:v>0</x:v>
      </x:c>
      <x:c r="I85" s="7" t="n">
        <x:v>0</x:v>
      </x:c>
      <x:c r="J85" s="7" t="n">
        <x:v>0</x:v>
      </x:c>
      <x:c r="K85" s="7" t="str">
        <x:v>STUN</x:v>
      </x:c>
      <x:c r="L85" s="7" t="n">
        <x:v>1</x:v>
      </x:c>
      <x:c r="M85" s="8" t="n">
        <x:v>0.45</x:v>
      </x:c>
      <x:c r="N85" s="7" t="str">
        <x:v>DISPEL_BUFF</x:v>
      </x:c>
      <x:c r="O85" s="7" t="n">
        <x:v>1</x:v>
      </x:c>
      <x:c r="P85" s="8" t="n">
        <x:v>0.45</x:v>
      </x:c>
      <x:c r="Q85" s="7" t="str">
        <x:v>INJURY</x:v>
      </x:c>
      <x:c r="R85" s="7" t="n">
        <x:v>0.064</x:v>
      </x:c>
      <x:c r="S85" s="8" t="n">
        <x:v>0.45</x:v>
      </x:c>
      <x:c r="T85" s="7"/>
      <x:c r="U85" s="7"/>
      <x:c r="V85" s="8"/>
      <x:c r="W85" s="7" t="n">
        <x:v>5</x:v>
      </x:c>
      <x:c r="X85" s="7" t="str">
        <x:v>대상: 적전체. 적전체에게 공격력*0.262배 + 속도*0.088배 만큼의 피해를 가합니다. 45%확률로 기절 — 스턴 적용합니다. 45%확률로 강화효과 해제 1개 적용합니다. 45%확률로 상처 6.4% 적용합니다.</x:v>
      </x:c>
      <x:c r="Y85" s="7" t="str">
        <x:v>Target: all enemies. Deals 0.262 × caster Attack + 0.088 × caster Speed damage to all enemies. 45% chance to apply Stun. 45% chance to apply Dispel Buff 1 count. 45% chance to apply Injury 6.4%.</x:v>
      </x:c>
      <x:c r="Z85" s="7" t="str">
        <x:v>공격|디버프</x:v>
      </x:c>
    </x:row>
    <x:row r="86" ht="115" customHeight="1">
      <x:c r="A86" s="7" t="str">
        <x:v>SKILL_0080</x:v>
      </x:c>
      <x:c r="B86" s="7" t="str">
        <x:v>강화 불가 · 추가 공격 · 소멸의 일격</x:v>
      </x:c>
      <x:c r="C86" s="7"/>
      <x:c r="D86" s="7" t="str">
        <x:v>적</x:v>
      </x:c>
      <x:c r="E86" s="7" t="n">
        <x:v>0.77</x:v>
      </x:c>
      <x:c r="F86" s="7" t="n">
        <x:v>0</x:v>
      </x:c>
      <x:c r="G86" s="7" t="n">
        <x:v>0</x:v>
      </x:c>
      <x:c r="H86" s="7" t="n">
        <x:v>0.33</x:v>
      </x:c>
      <x:c r="I86" s="7" t="n">
        <x:v>0</x:v>
      </x:c>
      <x:c r="J86" s="7" t="n">
        <x:v>0</x:v>
      </x:c>
      <x:c r="K86" s="7" t="str">
        <x:v>BUFF_BLOCK</x:v>
      </x:c>
      <x:c r="L86" s="7" t="n">
        <x:v>1</x:v>
      </x:c>
      <x:c r="M86" s="8" t="n">
        <x:v>0.8</x:v>
      </x:c>
      <x:c r="N86" s="7" t="str">
        <x:v>EXTRA_ATTACK</x:v>
      </x:c>
      <x:c r="O86" s="7" t="n">
        <x:v>0.28</x:v>
      </x:c>
      <x:c r="P86" s="8" t="n">
        <x:v>0.8</x:v>
      </x:c>
      <x:c r="Q86" s="7" t="str">
        <x:v>EXTINCTION</x:v>
      </x:c>
      <x:c r="R86" s="7" t="n">
        <x:v>1</x:v>
      </x:c>
      <x:c r="S86" s="8" t="n">
        <x:v>0.8</x:v>
      </x:c>
      <x:c r="T86" s="7"/>
      <x:c r="U86" s="7"/>
      <x:c r="V86" s="8"/>
      <x:c r="W86" s="7" t="n">
        <x:v>3</x:v>
      </x:c>
      <x:c r="X86" s="7" t="str">
        <x:v>대상: 적. 적에게 공격력*0.77배 + 생명력*0.33배 만큼의 피해를 가합니다. 80%확률로 강화 불가 적용합니다. 80%확률로 추가 공격 28% 적용합니다. 80%확률로 소멸 적용합니다.</x:v>
      </x:c>
      <x:c r="Y86" s="7" t="str">
        <x:v>Target: one enemy. Deals 0.77 × caster Attack + 0.33 × caster max Health damage to one enemy. 80% chance to apply Unbuffable. 80% chance to apply Extra Attack 28%. 80% chance to apply Extinction.</x:v>
      </x:c>
      <x:c r="Z86" s="7" t="str">
        <x:v>공격|디버프</x:v>
      </x:c>
    </x:row>
    <x:row r="87" ht="115" customHeight="1">
      <x:c r="A87" s="7" t="str">
        <x:v>SKILL_0081</x:v>
      </x:c>
      <x:c r="B87" s="7" t="str">
        <x:v>강화효과 지속시간 감소 · 반격 불가의 일격</x:v>
      </x:c>
      <x:c r="C87" s="7"/>
      <x:c r="D87" s="7" t="str">
        <x:v>적</x:v>
      </x:c>
      <x:c r="E87" s="7" t="n">
        <x:v>1.1</x:v>
      </x:c>
      <x:c r="F87" s="7" t="n">
        <x:v>0</x:v>
      </x:c>
      <x:c r="G87" s="7" t="n">
        <x:v>0</x:v>
      </x:c>
      <x:c r="H87" s="7" t="n">
        <x:v>0</x:v>
      </x:c>
      <x:c r="I87" s="7" t="n">
        <x:v>0</x:v>
      </x:c>
      <x:c r="J87" s="7" t="n">
        <x:v>0</x:v>
      </x:c>
      <x:c r="K87" s="7" t="str">
        <x:v>BUFF_DURATION_DOWN</x:v>
      </x:c>
      <x:c r="L87" s="7" t="n">
        <x:v>1</x:v>
      </x:c>
      <x:c r="M87" s="8" t="n">
        <x:v>0.9</x:v>
      </x:c>
      <x:c r="N87" s="7" t="str">
        <x:v>COUNTERATTACK_BLOCK</x:v>
      </x:c>
      <x:c r="O87" s="7" t="n">
        <x:v>1</x:v>
      </x:c>
      <x:c r="P87" s="8" t="n">
        <x:v>0.9</x:v>
      </x:c>
      <x:c r="Q87" s="7"/>
      <x:c r="R87" s="7"/>
      <x:c r="S87" s="8"/>
      <x:c r="T87" s="7"/>
      <x:c r="U87" s="7"/>
      <x:c r="V87" s="8"/>
      <x:c r="W87" s="7" t="n">
        <x:v>2</x:v>
      </x:c>
      <x:c r="X87" s="7" t="str">
        <x:v>대상: 적. 적에게 공격력*1.1배 만큼의 피해를 가합니다. 90%확률로 강화효과 지속시간 감소 1턴 적용합니다. 90%확률로 반격 불가 적용합니다.</x:v>
      </x:c>
      <x:c r="Y87" s="7" t="str">
        <x:v>Target: one enemy. Deals 1.1 × caster Attack damage to one enemy. 90% chance to apply Buff Duration Reduction 1 turn. 90% chance to apply Counterattack Block.</x:v>
      </x:c>
      <x:c r="Z87" s="7" t="str">
        <x:v>공격|디버프</x:v>
      </x:c>
    </x:row>
    <x:row r="88" ht="115" customHeight="1">
      <x:c r="A88" s="7" t="str">
        <x:v>SKILL_0082</x:v>
      </x:c>
      <x:c r="B88" s="7" t="str">
        <x:v>추가 공격 · 저주의 일격</x:v>
      </x:c>
      <x:c r="C88" s="7"/>
      <x:c r="D88" s="7" t="str">
        <x:v>적전체</x:v>
      </x:c>
      <x:c r="E88" s="7" t="n">
        <x:v>0.487</x:v>
      </x:c>
      <x:c r="F88" s="7" t="n">
        <x:v>0.163</x:v>
      </x:c>
      <x:c r="G88" s="7" t="n">
        <x:v>0</x:v>
      </x:c>
      <x:c r="H88" s="7" t="n">
        <x:v>0</x:v>
      </x:c>
      <x:c r="I88" s="7" t="n">
        <x:v>0</x:v>
      </x:c>
      <x:c r="J88" s="7" t="n">
        <x:v>0</x:v>
      </x:c>
      <x:c r="K88" s="7" t="str">
        <x:v>EXTRA_ATTACK</x:v>
      </x:c>
      <x:c r="L88" s="7" t="n">
        <x:v>0.35</x:v>
      </x:c>
      <x:c r="M88" s="8" t="n">
        <x:v>0.85</x:v>
      </x:c>
      <x:c r="N88" s="7" t="str">
        <x:v>CURSE</x:v>
      </x:c>
      <x:c r="O88" s="7" t="n">
        <x:v>0.2</x:v>
      </x:c>
      <x:c r="P88" s="8" t="n">
        <x:v>0.85</x:v>
      </x:c>
      <x:c r="Q88" s="7"/>
      <x:c r="R88" s="7"/>
      <x:c r="S88" s="8"/>
      <x:c r="T88" s="7"/>
      <x:c r="U88" s="7"/>
      <x:c r="V88" s="8"/>
      <x:c r="W88" s="7" t="n">
        <x:v>5</x:v>
      </x:c>
      <x:c r="X88" s="7" t="str">
        <x:v>대상: 적전체. 적전체에게 공격력*0.487배 + 방어력*0.163배 만큼의 피해를 가합니다. 85%확률로 추가 공격 35% 적용합니다. 85%확률로 저주 20% 적용합니다.</x:v>
      </x:c>
      <x:c r="Y88" s="7" t="str">
        <x:v>Target: all enemies. Deals 0.487 × caster Attack + 0.163 × caster Defense damage to all enemies. 85% chance to apply Extra Attack 35%. 85% chance to apply Curse 20%.</x:v>
      </x:c>
      <x:c r="Z88" s="7" t="str">
        <x:v>공격|디버프</x:v>
      </x:c>
    </x:row>
    <x:row r="89" ht="115" customHeight="1">
      <x:c r="A89" s="7" t="str">
        <x:v>SKILL_0083</x:v>
      </x:c>
      <x:c r="B89" s="7" t="str">
        <x:v>강화효과 지속시간 감소 · 수면 · 회복 불가의 일격</x:v>
      </x:c>
      <x:c r="C89" s="7"/>
      <x:c r="D89" s="7" t="str">
        <x:v>적</x:v>
      </x:c>
      <x:c r="E89" s="7" t="n">
        <x:v>0.77</x:v>
      </x:c>
      <x:c r="F89" s="7" t="n">
        <x:v>0</x:v>
      </x:c>
      <x:c r="G89" s="7" t="n">
        <x:v>0.33</x:v>
      </x:c>
      <x:c r="H89" s="7" t="n">
        <x:v>0</x:v>
      </x:c>
      <x:c r="I89" s="7" t="n">
        <x:v>0</x:v>
      </x:c>
      <x:c r="J89" s="7" t="n">
        <x:v>0</x:v>
      </x:c>
      <x:c r="K89" s="7" t="str">
        <x:v>BUFF_DURATION_DOWN</x:v>
      </x:c>
      <x:c r="L89" s="7" t="n">
        <x:v>1</x:v>
      </x:c>
      <x:c r="M89" s="8" t="n">
        <x:v>0.8</x:v>
      </x:c>
      <x:c r="N89" s="7" t="str">
        <x:v>SLEEP</x:v>
      </x:c>
      <x:c r="O89" s="7" t="n">
        <x:v>1</x:v>
      </x:c>
      <x:c r="P89" s="8" t="n">
        <x:v>0.8</x:v>
      </x:c>
      <x:c r="Q89" s="7" t="str">
        <x:v>HEAL_BLOCK</x:v>
      </x:c>
      <x:c r="R89" s="7" t="n">
        <x:v>1</x:v>
      </x:c>
      <x:c r="S89" s="8" t="n">
        <x:v>0.8</x:v>
      </x:c>
      <x:c r="T89" s="7"/>
      <x:c r="U89" s="7"/>
      <x:c r="V89" s="8"/>
      <x:c r="W89" s="7" t="n">
        <x:v>4</x:v>
      </x:c>
      <x:c r="X89" s="7" t="str">
        <x:v>대상: 적. 적에게 공격력*0.77배 + 속도*0.33배 만큼의 피해를 가합니다. 80%확률로 강화효과 지속시간 감소 1턴 적용합니다. 80%확률로 수면 적용합니다. 80%확률로 회복 불가 적용합니다.</x:v>
      </x:c>
      <x:c r="Y89" s="7" t="str">
        <x:v>Target: one enemy. Deals 0.77 × caster Attack + 0.33 × caster Speed damage to one enemy. 80% chance to apply Buff Duration Reduction 1 turn. 80% chance to apply Sleep. 80% chance to apply Unhealable.</x:v>
      </x:c>
      <x:c r="Z89" s="7" t="str">
        <x:v>공격|디버프</x:v>
      </x:c>
    </x:row>
    <x:row r="90" ht="115" customHeight="1">
      <x:c r="A90" s="7" t="str">
        <x:v>SKILL_0084</x:v>
      </x:c>
      <x:c r="B90" s="7" t="str">
        <x:v>부활 불가 · 중독 · 강화효과 지속시간 감소의 일격</x:v>
      </x:c>
      <x:c r="C90" s="7"/>
      <x:c r="D90" s="7" t="str">
        <x:v>적</x:v>
      </x:c>
      <x:c r="E90" s="7" t="n">
        <x:v>0.715</x:v>
      </x:c>
      <x:c r="F90" s="7" t="n">
        <x:v>0</x:v>
      </x:c>
      <x:c r="G90" s="7" t="n">
        <x:v>0</x:v>
      </x:c>
      <x:c r="H90" s="7" t="n">
        <x:v>0.385</x:v>
      </x:c>
      <x:c r="I90" s="7" t="n">
        <x:v>0</x:v>
      </x:c>
      <x:c r="J90" s="7" t="n">
        <x:v>0</x:v>
      </x:c>
      <x:c r="K90" s="7" t="str">
        <x:v>REVIVE_BLOCK</x:v>
      </x:c>
      <x:c r="L90" s="7" t="n">
        <x:v>1</x:v>
      </x:c>
      <x:c r="M90" s="8" t="n">
        <x:v>0.8</x:v>
      </x:c>
      <x:c r="N90" s="7" t="str">
        <x:v>POISON</x:v>
      </x:c>
      <x:c r="O90" s="7" t="n">
        <x:v>0.032</x:v>
      </x:c>
      <x:c r="P90" s="8" t="n">
        <x:v>0.8</x:v>
      </x:c>
      <x:c r="Q90" s="7" t="str">
        <x:v>BUFF_DURATION_DOWN</x:v>
      </x:c>
      <x:c r="R90" s="7" t="n">
        <x:v>1</x:v>
      </x:c>
      <x:c r="S90" s="8" t="n">
        <x:v>0.8</x:v>
      </x:c>
      <x:c r="T90" s="7"/>
      <x:c r="U90" s="7"/>
      <x:c r="V90" s="8"/>
      <x:c r="W90" s="7" t="n">
        <x:v>3</x:v>
      </x:c>
      <x:c r="X90" s="7" t="str">
        <x:v>대상: 적. 적에게 공격력*0.715배 + 생명력*0.385배 만큼의 피해를 가합니다. 80%확률로 부활 불가 적용합니다. 80%확률로 중독 3.2% 적용합니다. 80%확률로 강화효과 지속시간 감소 1턴 적용합니다.</x:v>
      </x:c>
      <x:c r="Y90" s="7" t="str">
        <x:v>Target: one enemy. Deals 0.715 × caster Attack + 0.385 × caster max Health damage to one enemy. 80% chance to apply Revive Block. 80% chance to apply Poison 3.2%. 80% chance to apply Buff Duration Reduction 1 turn.</x:v>
      </x:c>
      <x:c r="Z90" s="7" t="str">
        <x:v>공격|디버프</x:v>
      </x:c>
    </x:row>
    <x:row r="91" ht="115" customHeight="1">
      <x:c r="A91" s="7" t="str">
        <x:v>SKILL_0085</x:v>
      </x:c>
      <x:c r="B91" s="7" t="str">
        <x:v>스킬 쿨타임 증가 · 추가 피해 · 흡혈의 일격</x:v>
      </x:c>
      <x:c r="C91" s="7"/>
      <x:c r="D91" s="7" t="str">
        <x:v>적전체</x:v>
      </x:c>
      <x:c r="E91" s="7" t="n">
        <x:v>0.55</x:v>
      </x:c>
      <x:c r="F91" s="7" t="n">
        <x:v>0</x:v>
      </x:c>
      <x:c r="G91" s="7" t="n">
        <x:v>0</x:v>
      </x:c>
      <x:c r="H91" s="7" t="n">
        <x:v>0</x:v>
      </x:c>
      <x:c r="I91" s="7" t="n">
        <x:v>0</x:v>
      </x:c>
      <x:c r="J91" s="7" t="n">
        <x:v>0</x:v>
      </x:c>
      <x:c r="K91" s="7" t="str">
        <x:v>SKILL_COOLDOWN_UP</x:v>
      </x:c>
      <x:c r="L91" s="7" t="n">
        <x:v>1</x:v>
      </x:c>
      <x:c r="M91" s="8" t="n">
        <x:v>0.65</x:v>
      </x:c>
      <x:c r="N91" s="7" t="str">
        <x:v>ADDITIONAL_DAMAGE</x:v>
      </x:c>
      <x:c r="O91" s="7" t="n">
        <x:v>0.2</x:v>
      </x:c>
      <x:c r="P91" s="8" t="n">
        <x:v>0.65</x:v>
      </x:c>
      <x:c r="Q91" s="7" t="str">
        <x:v>LIFESTEAL</x:v>
      </x:c>
      <x:c r="R91" s="7" t="n">
        <x:v>0.24</x:v>
      </x:c>
      <x:c r="S91" s="8" t="n">
        <x:v>0.65</x:v>
      </x:c>
      <x:c r="T91" s="7"/>
      <x:c r="U91" s="7"/>
      <x:c r="V91" s="8"/>
      <x:c r="W91" s="7" t="n">
        <x:v>5</x:v>
      </x:c>
      <x:c r="X91" s="7" t="str">
        <x:v>대상: 적전체. 적전체에게 공격력*0.55배 만큼의 피해를 가합니다. 65%확률로 스킬 쿨타임 증가 1턴 적용합니다. 65%확률로 추가 피해 20% 적용합니다. 65%확률로 흡혈 24% 획득합니다.</x:v>
      </x:c>
      <x:c r="Y91" s="7" t="str">
        <x:v>Target: all enemies. Deals 0.55 × caster Attack damage to all enemies. 65% chance to apply Skill Cooldown Increase 1 turn. 65% chance to apply Additional Damage 20%. 65% chance to gain Lifesteal 24%.</x:v>
      </x:c>
      <x:c r="Z91" s="7" t="str">
        <x:v>공격|회복|버프|디버프</x:v>
      </x:c>
    </x:row>
    <x:row r="92" ht="115" customHeight="1">
      <x:c r="A92" s="7" t="str">
        <x:v>SKILL_0086</x:v>
      </x:c>
      <x:c r="B92" s="7" t="str">
        <x:v>추가 공격 · 반격 불가 · 강화 불가의 일격</x:v>
      </x:c>
      <x:c r="C92" s="7"/>
      <x:c r="D92" s="7" t="str">
        <x:v>적</x:v>
      </x:c>
      <x:c r="E92" s="7" t="n">
        <x:v>0.77</x:v>
      </x:c>
      <x:c r="F92" s="7" t="n">
        <x:v>0.33</x:v>
      </x:c>
      <x:c r="G92" s="7" t="n">
        <x:v>0</x:v>
      </x:c>
      <x:c r="H92" s="7" t="n">
        <x:v>0</x:v>
      </x:c>
      <x:c r="I92" s="7" t="n">
        <x:v>0</x:v>
      </x:c>
      <x:c r="J92" s="7" t="n">
        <x:v>0</x:v>
      </x:c>
      <x:c r="K92" s="7" t="str">
        <x:v>EXTRA_ATTACK</x:v>
      </x:c>
      <x:c r="L92" s="7" t="n">
        <x:v>0.28</x:v>
      </x:c>
      <x:c r="M92" s="8" t="n">
        <x:v>0.8</x:v>
      </x:c>
      <x:c r="N92" s="7" t="str">
        <x:v>COUNTERATTACK_BLOCK</x:v>
      </x:c>
      <x:c r="O92" s="7" t="n">
        <x:v>1</x:v>
      </x:c>
      <x:c r="P92" s="8" t="n">
        <x:v>0.8</x:v>
      </x:c>
      <x:c r="Q92" s="7" t="str">
        <x:v>BUFF_BLOCK</x:v>
      </x:c>
      <x:c r="R92" s="7" t="n">
        <x:v>1</x:v>
      </x:c>
      <x:c r="S92" s="8" t="n">
        <x:v>0.8</x:v>
      </x:c>
      <x:c r="T92" s="7"/>
      <x:c r="U92" s="7"/>
      <x:c r="V92" s="8"/>
      <x:c r="W92" s="7" t="n">
        <x:v>3</x:v>
      </x:c>
      <x:c r="X92" s="7" t="str">
        <x:v>대상: 적. 적에게 공격력*0.77배 + 방어력*0.33배 만큼의 피해를 가합니다. 80%확률로 추가 공격 28% 적용합니다. 80%확률로 반격 불가 적용합니다. 80%확률로 강화 불가 적용합니다.</x:v>
      </x:c>
      <x:c r="Y92" s="7" t="str">
        <x:v>Target: one enemy. Deals 0.77 × caster Attack + 0.33 × caster Defense damage to one enemy. 80% chance to apply Extra Attack 28%. 80% chance to apply Counterattack Block. 80% chance to apply Unbuffable.</x:v>
      </x:c>
      <x:c r="Z92" s="7" t="str">
        <x:v>공격|디버프</x:v>
      </x:c>
    </x:row>
    <x:row r="93" ht="115" customHeight="1">
      <x:c r="A93" s="7" t="str">
        <x:v>SKILL_0087</x:v>
      </x:c>
      <x:c r="B93" s="7" t="str">
        <x:v>방어력 감소 · 강화효과 해제의 일격</x:v>
      </x:c>
      <x:c r="C93" s="7"/>
      <x:c r="D93" s="7" t="str">
        <x:v>적</x:v>
      </x:c>
      <x:c r="E93" s="7" t="n">
        <x:v>0.715</x:v>
      </x:c>
      <x:c r="F93" s="7" t="n">
        <x:v>0</x:v>
      </x:c>
      <x:c r="G93" s="7" t="n">
        <x:v>0.385</x:v>
      </x:c>
      <x:c r="H93" s="7" t="n">
        <x:v>0</x:v>
      </x:c>
      <x:c r="I93" s="7" t="n">
        <x:v>0</x:v>
      </x:c>
      <x:c r="J93" s="7" t="n">
        <x:v>0</x:v>
      </x:c>
      <x:c r="K93" s="7" t="str">
        <x:v>DEFENSE_DOWN</x:v>
      </x:c>
      <x:c r="L93" s="7" t="n">
        <x:v>0.3</x:v>
      </x:c>
      <x:c r="M93" s="8" t="n">
        <x:v>0.9</x:v>
      </x:c>
      <x:c r="N93" s="7" t="str">
        <x:v>DISPEL_BUFF</x:v>
      </x:c>
      <x:c r="O93" s="7" t="n">
        <x:v>1</x:v>
      </x:c>
      <x:c r="P93" s="8" t="n">
        <x:v>0.9</x:v>
      </x:c>
      <x:c r="Q93" s="7"/>
      <x:c r="R93" s="7"/>
      <x:c r="S93" s="8"/>
      <x:c r="T93" s="7"/>
      <x:c r="U93" s="7"/>
      <x:c r="V93" s="8"/>
      <x:c r="W93" s="7" t="n">
        <x:v>2</x:v>
      </x:c>
      <x:c r="X93" s="7" t="str">
        <x:v>대상: 적. 적에게 공격력*0.715배 + 속도*0.385배 만큼의 피해를 가합니다. 90%확률로 방어력 감소 30% 적용합니다. 90%확률로 강화효과 해제 1개 적용합니다.</x:v>
      </x:c>
      <x:c r="Y93" s="7" t="str">
        <x:v>Target: one enemy. Deals 0.715 × caster Attack + 0.385 × caster Speed damage to one enemy. 90% chance to apply Defense Down 30%. 90% chance to apply Dispel Buff 1 count.</x:v>
      </x:c>
      <x:c r="Z93" s="7" t="str">
        <x:v>공격|디버프</x:v>
      </x:c>
    </x:row>
    <x:row r="94" ht="115" customHeight="1">
      <x:c r="A94" s="7" t="str">
        <x:v>SKILL_0088</x:v>
      </x:c>
      <x:c r="B94" s="7" t="str">
        <x:v>표적 · 중독의 일격</x:v>
      </x:c>
      <x:c r="C94" s="7"/>
      <x:c r="D94" s="7" t="str">
        <x:v>적전체</x:v>
      </x:c>
      <x:c r="E94" s="7" t="n">
        <x:v>0.525</x:v>
      </x:c>
      <x:c r="F94" s="7" t="n">
        <x:v>0</x:v>
      </x:c>
      <x:c r="G94" s="7" t="n">
        <x:v>0</x:v>
      </x:c>
      <x:c r="H94" s="7" t="n">
        <x:v>0.175</x:v>
      </x:c>
      <x:c r="I94" s="7" t="n">
        <x:v>0</x:v>
      </x:c>
      <x:c r="J94" s="7" t="n">
        <x:v>0</x:v>
      </x:c>
      <x:c r="K94" s="7" t="str">
        <x:v>TARGET</x:v>
      </x:c>
      <x:c r="L94" s="7" t="n">
        <x:v>0.15</x:v>
      </x:c>
      <x:c r="M94" s="8" t="n">
        <x:v>0.9</x:v>
      </x:c>
      <x:c r="N94" s="7" t="str">
        <x:v>POISON</x:v>
      </x:c>
      <x:c r="O94" s="7" t="n">
        <x:v>0.04</x:v>
      </x:c>
      <x:c r="P94" s="8" t="n">
        <x:v>0.9</x:v>
      </x:c>
      <x:c r="Q94" s="7"/>
      <x:c r="R94" s="7"/>
      <x:c r="S94" s="8"/>
      <x:c r="T94" s="7"/>
      <x:c r="U94" s="7"/>
      <x:c r="V94" s="8"/>
      <x:c r="W94" s="7" t="n">
        <x:v>5</x:v>
      </x:c>
      <x:c r="X94" s="7" t="str">
        <x:v>대상: 적전체. 적전체에게 공격력*0.525배 + 생명력*0.175배 만큼의 피해를 가합니다. 90%확률로 표적 15% 적용합니다. 90%확률로 중독 4% 적용합니다.</x:v>
      </x:c>
      <x:c r="Y94" s="7" t="str">
        <x:v>Target: all enemies. Deals 0.525 × caster Attack + 0.175 × caster max Health damage to all enemies. 90% chance to apply Target 15%. 90% chance to apply Poison 4%.</x:v>
      </x:c>
      <x:c r="Z94" s="7" t="str">
        <x:v>공격|디버프</x:v>
      </x:c>
    </x:row>
    <x:row r="95" ht="115" customHeight="1">
      <x:c r="A95" s="7" t="str">
        <x:v>SKILL_0089</x:v>
      </x:c>
      <x:c r="B95" s="7" t="str">
        <x:v>회복 불가 · 추가 공격 · 스킬 쿨타임 증가 · 상처의 일격</x:v>
      </x:c>
      <x:c r="C95" s="7"/>
      <x:c r="D95" s="7" t="str">
        <x:v>적</x:v>
      </x:c>
      <x:c r="E95" s="7" t="n">
        <x:v>1.1</x:v>
      </x:c>
      <x:c r="F95" s="7" t="n">
        <x:v>0</x:v>
      </x:c>
      <x:c r="G95" s="7" t="n">
        <x:v>0</x:v>
      </x:c>
      <x:c r="H95" s="7" t="n">
        <x:v>0</x:v>
      </x:c>
      <x:c r="I95" s="7" t="n">
        <x:v>0</x:v>
      </x:c>
      <x:c r="J95" s="7" t="n">
        <x:v>0</x:v>
      </x:c>
      <x:c r="K95" s="7" t="str">
        <x:v>HEAL_BLOCK</x:v>
      </x:c>
      <x:c r="L95" s="7" t="n">
        <x:v>1</x:v>
      </x:c>
      <x:c r="M95" s="8" t="n">
        <x:v>0.7</x:v>
      </x:c>
      <x:c r="N95" s="7" t="str">
        <x:v>EXTRA_ATTACK</x:v>
      </x:c>
      <x:c r="O95" s="7" t="n">
        <x:v>0.227</x:v>
      </x:c>
      <x:c r="P95" s="8" t="n">
        <x:v>0.7</x:v>
      </x:c>
      <x:c r="Q95" s="7" t="str">
        <x:v>SKILL_COOLDOWN_UP</x:v>
      </x:c>
      <x:c r="R95" s="7" t="n">
        <x:v>1</x:v>
      </x:c>
      <x:c r="S95" s="8" t="n">
        <x:v>0.7</x:v>
      </x:c>
      <x:c r="T95" s="7" t="str">
        <x:v>INJURY</x:v>
      </x:c>
      <x:c r="U95" s="7" t="n">
        <x:v>0.052</x:v>
      </x:c>
      <x:c r="V95" s="8" t="n">
        <x:v>0.7</x:v>
      </x:c>
      <x:c r="W95" s="7" t="n">
        <x:v>4</x:v>
      </x:c>
      <x:c r="X95" s="7" t="str">
        <x:v>대상: 적. 적에게 공격력*1.1배 만큼의 피해를 가합니다. 70%확률로 회복 불가 적용합니다. 70%확률로 추가 공격 22.7% 적용합니다. 70%확률로 스킬 쿨타임 증가 1턴 적용합니다. 70%확률로 상처 5.2% 적용합니다.</x:v>
      </x:c>
      <x:c r="Y95" s="7" t="str">
        <x:v>Target: one enemy. Deals 1.1 × caster Attack damage to one enemy. 70% chance to apply Unhealable. 70% chance to apply Extra Attack 22.7%. 70% chance to apply Skill Cooldown Increase 1 turn. 70% chance to apply Injury 5.2%.</x:v>
      </x:c>
      <x:c r="Z95" s="7" t="str">
        <x:v>공격|디버프</x:v>
      </x:c>
    </x:row>
    <x:row r="96" ht="115" customHeight="1">
      <x:c r="A96" s="7" t="str">
        <x:v>SKILL_0090</x:v>
      </x:c>
      <x:c r="B96" s="7" t="str">
        <x:v>표적 · 회복 불가의 일격</x:v>
      </x:c>
      <x:c r="C96" s="7"/>
      <x:c r="D96" s="7" t="str">
        <x:v>적</x:v>
      </x:c>
      <x:c r="E96" s="7" t="n">
        <x:v>0.715</x:v>
      </x:c>
      <x:c r="F96" s="7" t="n">
        <x:v>0.385</x:v>
      </x:c>
      <x:c r="G96" s="7" t="n">
        <x:v>0</x:v>
      </x:c>
      <x:c r="H96" s="7" t="n">
        <x:v>0</x:v>
      </x:c>
      <x:c r="I96" s="7" t="n">
        <x:v>0</x:v>
      </x:c>
      <x:c r="J96" s="7" t="n">
        <x:v>0</x:v>
      </x:c>
      <x:c r="K96" s="7" t="str">
        <x:v>TARGET</x:v>
      </x:c>
      <x:c r="L96" s="7" t="n">
        <x:v>0.15</x:v>
      </x:c>
      <x:c r="M96" s="8" t="n">
        <x:v>0.9</x:v>
      </x:c>
      <x:c r="N96" s="7" t="str">
        <x:v>HEAL_BLOCK</x:v>
      </x:c>
      <x:c r="O96" s="7" t="n">
        <x:v>1</x:v>
      </x:c>
      <x:c r="P96" s="8" t="n">
        <x:v>0.9</x:v>
      </x:c>
      <x:c r="Q96" s="7"/>
      <x:c r="R96" s="7"/>
      <x:c r="S96" s="8"/>
      <x:c r="T96" s="7"/>
      <x:c r="U96" s="7"/>
      <x:c r="V96" s="8"/>
      <x:c r="W96" s="7" t="n">
        <x:v>2</x:v>
      </x:c>
      <x:c r="X96" s="7" t="str">
        <x:v>대상: 적. 적에게 공격력*0.715배 + 방어력*0.385배 만큼의 피해를 가합니다. 90%확률로 표적 15% 적용합니다. 90%확률로 회복 불가 적용합니다.</x:v>
      </x:c>
      <x:c r="Y96" s="7" t="str">
        <x:v>Target: one enemy. Deals 0.715 × caster Attack + 0.385 × caster Defense damage to one enemy. 90% chance to apply Target 15%. 90% chance to apply Unhealable.</x:v>
      </x:c>
      <x:c r="Z96" s="7" t="str">
        <x:v>공격|디버프</x:v>
      </x:c>
    </x:row>
    <x:row r="97" ht="115" customHeight="1">
      <x:c r="A97" s="7" t="str">
        <x:v>SKILL_0091</x:v>
      </x:c>
      <x:c r="B97" s="7" t="str">
        <x:v>약화효과 전이 · 강화효과 지속시간 감소 · 약화효과 지속시간 증가의 일격</x:v>
      </x:c>
      <x:c r="C97" s="7"/>
      <x:c r="D97" s="7" t="str">
        <x:v>적</x:v>
      </x:c>
      <x:c r="E97" s="7" t="n">
        <x:v>0.825</x:v>
      </x:c>
      <x:c r="F97" s="7" t="n">
        <x:v>0</x:v>
      </x:c>
      <x:c r="G97" s="7" t="n">
        <x:v>0.275</x:v>
      </x:c>
      <x:c r="H97" s="7" t="n">
        <x:v>0</x:v>
      </x:c>
      <x:c r="I97" s="7" t="n">
        <x:v>0</x:v>
      </x:c>
      <x:c r="J97" s="7" t="n">
        <x:v>0</x:v>
      </x:c>
      <x:c r="K97" s="7" t="str">
        <x:v>TRANSFER_DEBUFF</x:v>
      </x:c>
      <x:c r="L97" s="7" t="n">
        <x:v>1</x:v>
      </x:c>
      <x:c r="M97" s="8" t="n">
        <x:v>0.8</x:v>
      </x:c>
      <x:c r="N97" s="7" t="str">
        <x:v>BUFF_DURATION_DOWN</x:v>
      </x:c>
      <x:c r="O97" s="7" t="n">
        <x:v>1</x:v>
      </x:c>
      <x:c r="P97" s="8" t="n">
        <x:v>0.8</x:v>
      </x:c>
      <x:c r="Q97" s="7" t="str">
        <x:v>DEBUFF_DURATION_UP</x:v>
      </x:c>
      <x:c r="R97" s="7" t="n">
        <x:v>1</x:v>
      </x:c>
      <x:c r="S97" s="8" t="n">
        <x:v>0.8</x:v>
      </x:c>
      <x:c r="T97" s="7"/>
      <x:c r="U97" s="7"/>
      <x:c r="V97" s="8"/>
      <x:c r="W97" s="7" t="n">
        <x:v>4</x:v>
      </x:c>
      <x:c r="X97" s="7" t="str">
        <x:v>대상: 적. 적에게 공격력*0.825배 + 속도*0.275배 만큼의 피해를 가합니다. 80%확률로 약화효과 전이 1개 적용합니다. 80%확률로 강화효과 지속시간 감소 1턴 적용합니다. 80%확률로 약화효과 지속시간 증가 1턴 적용합니다.</x:v>
      </x:c>
      <x:c r="Y97" s="7" t="str">
        <x:v>Target: one enemy. Deals 0.825 × caster Attack + 0.275 × caster Speed damage to one enemy. 80% chance to apply Debuff Transfer 1 count. 80% chance to apply Buff Duration Reduction 1 turn. 80% chance to apply Debuff Duration Extension 1 turn.</x:v>
      </x:c>
      <x:c r="Z97" s="7" t="str">
        <x:v>공격|디버프</x:v>
      </x:c>
    </x:row>
    <x:row r="98" ht="115" customHeight="1">
      <x:c r="A98" s="7" t="str">
        <x:v>SKILL_0092</x:v>
      </x:c>
      <x:c r="B98" s="7" t="str">
        <x:v>속도 감소 · 상처 · 강화효과 지속시간 감소의 일격</x:v>
      </x:c>
      <x:c r="C98" s="7"/>
      <x:c r="D98" s="7" t="str">
        <x:v>적</x:v>
      </x:c>
      <x:c r="E98" s="7" t="n">
        <x:v>0.77</x:v>
      </x:c>
      <x:c r="F98" s="7" t="n">
        <x:v>0</x:v>
      </x:c>
      <x:c r="G98" s="7" t="n">
        <x:v>0</x:v>
      </x:c>
      <x:c r="H98" s="7" t="n">
        <x:v>0.33</x:v>
      </x:c>
      <x:c r="I98" s="7" t="n">
        <x:v>0</x:v>
      </x:c>
      <x:c r="J98" s="7" t="n">
        <x:v>0</x:v>
      </x:c>
      <x:c r="K98" s="7" t="str">
        <x:v>SPEED_DOWN</x:v>
      </x:c>
      <x:c r="L98" s="7" t="n">
        <x:v>0.16</x:v>
      </x:c>
      <x:c r="M98" s="8" t="n">
        <x:v>0.8</x:v>
      </x:c>
      <x:c r="N98" s="7" t="str">
        <x:v>INJURY</x:v>
      </x:c>
      <x:c r="O98" s="7" t="n">
        <x:v>0.064</x:v>
      </x:c>
      <x:c r="P98" s="8" t="n">
        <x:v>0.8</x:v>
      </x:c>
      <x:c r="Q98" s="7" t="str">
        <x:v>BUFF_DURATION_DOWN</x:v>
      </x:c>
      <x:c r="R98" s="7" t="n">
        <x:v>1</x:v>
      </x:c>
      <x:c r="S98" s="8" t="n">
        <x:v>0.8</x:v>
      </x:c>
      <x:c r="T98" s="7"/>
      <x:c r="U98" s="7"/>
      <x:c r="V98" s="8"/>
      <x:c r="W98" s="7" t="n">
        <x:v>3</x:v>
      </x:c>
      <x:c r="X98" s="7" t="str">
        <x:v>대상: 적. 적에게 공격력*0.77배 + 생명력*0.33배 만큼의 피해를 가합니다. 80%확률로 속도 감소 16% 적용합니다. 80%확률로 상처 6.4% 적용합니다. 80%확률로 강화효과 지속시간 감소 1턴 적용합니다.</x:v>
      </x:c>
      <x:c r="Y98" s="7" t="str">
        <x:v>Target: one enemy. Deals 0.77 × caster Attack + 0.33 × caster max Health damage to one enemy. 80% chance to apply Speed Down 16%. 80% chance to apply Injury 6.4%. 80% chance to apply Buff Duration Reduction 1 turn.</x:v>
      </x:c>
      <x:c r="Z98" s="7" t="str">
        <x:v>공격|디버프</x:v>
      </x:c>
    </x:row>
    <x:row r="99" ht="115" customHeight="1">
      <x:c r="A99" s="7" t="str">
        <x:v>SKILL_0093</x:v>
      </x:c>
      <x:c r="B99" s="7" t="str">
        <x:v>추가 공격 · 흡혈 · 회복 불가의 일격</x:v>
      </x:c>
      <x:c r="C99" s="7"/>
      <x:c r="D99" s="7" t="str">
        <x:v>적</x:v>
      </x:c>
      <x:c r="E99" s="7" t="n">
        <x:v>1.1</x:v>
      </x:c>
      <x:c r="F99" s="7" t="n">
        <x:v>0</x:v>
      </x:c>
      <x:c r="G99" s="7" t="n">
        <x:v>0</x:v>
      </x:c>
      <x:c r="H99" s="7" t="n">
        <x:v>0</x:v>
      </x:c>
      <x:c r="I99" s="7" t="n">
        <x:v>0</x:v>
      </x:c>
      <x:c r="J99" s="7" t="n">
        <x:v>0</x:v>
      </x:c>
      <x:c r="K99" s="7" t="str">
        <x:v>EXTRA_ATTACK</x:v>
      </x:c>
      <x:c r="L99" s="7" t="n">
        <x:v>0.28</x:v>
      </x:c>
      <x:c r="M99" s="8" t="n">
        <x:v>0.8</x:v>
      </x:c>
      <x:c r="N99" s="7" t="str">
        <x:v>LIFESTEAL</x:v>
      </x:c>
      <x:c r="O99" s="7" t="n">
        <x:v>0.24</x:v>
      </x:c>
      <x:c r="P99" s="8" t="n">
        <x:v>0.8</x:v>
      </x:c>
      <x:c r="Q99" s="7" t="str">
        <x:v>HEAL_BLOCK</x:v>
      </x:c>
      <x:c r="R99" s="7" t="n">
        <x:v>1</x:v>
      </x:c>
      <x:c r="S99" s="8" t="n">
        <x:v>0.8</x:v>
      </x:c>
      <x:c r="T99" s="7"/>
      <x:c r="U99" s="7"/>
      <x:c r="V99" s="8"/>
      <x:c r="W99" s="7" t="n">
        <x:v>2</x:v>
      </x:c>
      <x:c r="X99" s="7" t="str">
        <x:v>대상: 적. 적에게 공격력*1.1배 만큼의 피해를 가합니다. 80%확률로 추가 공격 28% 적용합니다. 80%확률로 흡혈 24% 획득합니다. 80%확률로 회복 불가 적용합니다.</x:v>
      </x:c>
      <x:c r="Y99" s="7" t="str">
        <x:v>Target: one enemy. Deals 1.1 × caster Attack damage to one enemy. 80% chance to apply Extra Attack 28%. 80% chance to gain Lifesteal 24%. 80% chance to apply Unhealable.</x:v>
      </x:c>
      <x:c r="Z99" s="7" t="str">
        <x:v>공격|회복|버프|디버프</x:v>
      </x:c>
    </x:row>
    <x:row r="100" ht="115" customHeight="1">
      <x:c r="A100" s="7" t="str">
        <x:v>SKILL_0094</x:v>
      </x:c>
      <x:c r="B100" s="7" t="str">
        <x:v>강화효과 지속시간 감소 · 반격 불가 · 저주 · 속도 감소의 일격</x:v>
      </x:c>
      <x:c r="C100" s="7"/>
      <x:c r="D100" s="7" t="str">
        <x:v>적전체</x:v>
      </x:c>
      <x:c r="E100" s="7" t="n">
        <x:v>0.375</x:v>
      </x:c>
      <x:c r="F100" s="7" t="n">
        <x:v>0.125</x:v>
      </x:c>
      <x:c r="G100" s="7" t="n">
        <x:v>0</x:v>
      </x:c>
      <x:c r="H100" s="7" t="n">
        <x:v>0</x:v>
      </x:c>
      <x:c r="I100" s="7" t="n">
        <x:v>0</x:v>
      </x:c>
      <x:c r="J100" s="7" t="n">
        <x:v>0</x:v>
      </x:c>
      <x:c r="K100" s="7" t="str">
        <x:v>BUFF_DURATION_DOWN</x:v>
      </x:c>
      <x:c r="L100" s="7" t="n">
        <x:v>1</x:v>
      </x:c>
      <x:c r="M100" s="8" t="n">
        <x:v>0.5</x:v>
      </x:c>
      <x:c r="N100" s="7" t="str">
        <x:v>COUNTERATTACK_BLOCK</x:v>
      </x:c>
      <x:c r="O100" s="7" t="n">
        <x:v>1</x:v>
      </x:c>
      <x:c r="P100" s="8" t="n">
        <x:v>0.5</x:v>
      </x:c>
      <x:c r="Q100" s="7" t="str">
        <x:v>CURSE</x:v>
      </x:c>
      <x:c r="R100" s="7" t="n">
        <x:v>0.13</x:v>
      </x:c>
      <x:c r="S100" s="8" t="n">
        <x:v>0.5</x:v>
      </x:c>
      <x:c r="T100" s="7" t="str">
        <x:v>SPEED_DOWN</x:v>
      </x:c>
      <x:c r="U100" s="7" t="n">
        <x:v>0.13</x:v>
      </x:c>
      <x:c r="V100" s="8" t="n">
        <x:v>0.5</x:v>
      </x:c>
      <x:c r="W100" s="7" t="n">
        <x:v>5</x:v>
      </x:c>
      <x:c r="X100" s="7" t="str">
        <x:v>대상: 적전체. 적전체에게 공격력*0.375배 + 방어력*0.125배 만큼의 피해를 가합니다. 50%확률로 강화효과 지속시간 감소 1턴 적용합니다. 50%확률로 반격 불가 적용합니다. 50%확률로 저주 13% 적용합니다. 50%확률로 속도 감소 13% 적용합니다.</x:v>
      </x:c>
      <x:c r="Y100" s="7" t="str">
        <x:v>Target: all enemies. Deals 0.375 × caster Attack + 0.125 × caster Defense damage to all enemies. 50% chance to apply Buff Duration Reduction 1 turn. 50% chance to apply Counterattack Block. 50% chance to apply Curse 13%. 50% chance to apply Speed Down 13%.</x:v>
      </x:c>
      <x:c r="Z100" s="7" t="str">
        <x:v>공격|디버프</x:v>
      </x:c>
    </x:row>
    <x:row r="101" ht="115" customHeight="1">
      <x:c r="A101" s="7" t="str">
        <x:v>SKILL_0095</x:v>
      </x:c>
      <x:c r="B101" s="7" t="str">
        <x:v>추가 공격 · 방어력 감소 · 출혈 · 부활 불가의 일격</x:v>
      </x:c>
      <x:c r="C101" s="7"/>
      <x:c r="D101" s="7" t="str">
        <x:v>적</x:v>
      </x:c>
      <x:c r="E101" s="7" t="n">
        <x:v>0.77</x:v>
      </x:c>
      <x:c r="F101" s="7" t="n">
        <x:v>0</x:v>
      </x:c>
      <x:c r="G101" s="7" t="n">
        <x:v>0.33</x:v>
      </x:c>
      <x:c r="H101" s="7" t="n">
        <x:v>0</x:v>
      </x:c>
      <x:c r="I101" s="7" t="n">
        <x:v>0</x:v>
      </x:c>
      <x:c r="J101" s="7" t="n">
        <x:v>0</x:v>
      </x:c>
      <x:c r="K101" s="7" t="str">
        <x:v>EXTRA_ATTACK</x:v>
      </x:c>
      <x:c r="L101" s="7" t="n">
        <x:v>0.227</x:v>
      </x:c>
      <x:c r="M101" s="8" t="n">
        <x:v>0.7</x:v>
      </x:c>
      <x:c r="N101" s="7" t="str">
        <x:v>DEFENSE_DOWN</x:v>
      </x:c>
      <x:c r="O101" s="7" t="n">
        <x:v>0.195</x:v>
      </x:c>
      <x:c r="P101" s="8" t="n">
        <x:v>0.7</x:v>
      </x:c>
      <x:c r="Q101" s="7" t="str">
        <x:v>BLEED</x:v>
      </x:c>
      <x:c r="R101" s="7" t="n">
        <x:v>0.13</x:v>
      </x:c>
      <x:c r="S101" s="8" t="n">
        <x:v>0.7</x:v>
      </x:c>
      <x:c r="T101" s="7" t="str">
        <x:v>REVIVE_BLOCK</x:v>
      </x:c>
      <x:c r="U101" s="7" t="n">
        <x:v>1</x:v>
      </x:c>
      <x:c r="V101" s="8" t="n">
        <x:v>0.7</x:v>
      </x:c>
      <x:c r="W101" s="7" t="n">
        <x:v>3</x:v>
      </x:c>
      <x:c r="X101" s="7" t="str">
        <x:v>대상: 적. 적에게 공격력*0.77배 + 속도*0.33배 만큼의 피해를 가합니다. 70%확률로 추가 공격 22.7% 적용합니다. 70%확률로 방어력 감소 19.5% 적용합니다. 70%확률로 출혈 13% 적용합니다. 70%확률로 부활 불가 적용합니다.</x:v>
      </x:c>
      <x:c r="Y101" s="7" t="str">
        <x:v>Target: one enemy. Deals 0.77 × caster Attack + 0.33 × caster Speed damage to one enemy. 70% chance to apply Extra Attack 22.7%. 70% chance to apply Defense Down 19.5%. 70% chance to apply Bleed 13%. 70% chance to apply Revive Block.</x:v>
      </x:c>
      <x:c r="Z101" s="7" t="str">
        <x:v>공격|디버프</x:v>
      </x:c>
    </x:row>
    <x:row r="102" ht="115" customHeight="1">
      <x:c r="A102" s="7" t="str">
        <x:v>SKILL_0096</x:v>
      </x:c>
      <x:c r="B102" s="7" t="str">
        <x:v>추가 공격 · 흡혈 · 기절 — 스턴의 일격</x:v>
      </x:c>
      <x:c r="C102" s="7"/>
      <x:c r="D102" s="7" t="str">
        <x:v>적</x:v>
      </x:c>
      <x:c r="E102" s="7" t="n">
        <x:v>0.715</x:v>
      </x:c>
      <x:c r="F102" s="7" t="n">
        <x:v>0</x:v>
      </x:c>
      <x:c r="G102" s="7" t="n">
        <x:v>0</x:v>
      </x:c>
      <x:c r="H102" s="7" t="n">
        <x:v>0.385</x:v>
      </x:c>
      <x:c r="I102" s="7" t="n">
        <x:v>0</x:v>
      </x:c>
      <x:c r="J102" s="7" t="n">
        <x:v>0</x:v>
      </x:c>
      <x:c r="K102" s="7" t="str">
        <x:v>EXTRA_ATTACK</x:v>
      </x:c>
      <x:c r="L102" s="7" t="n">
        <x:v>0.28</x:v>
      </x:c>
      <x:c r="M102" s="8" t="n">
        <x:v>0.8</x:v>
      </x:c>
      <x:c r="N102" s="7" t="str">
        <x:v>LIFESTEAL</x:v>
      </x:c>
      <x:c r="O102" s="7" t="n">
        <x:v>0.24</x:v>
      </x:c>
      <x:c r="P102" s="8" t="n">
        <x:v>0.8</x:v>
      </x:c>
      <x:c r="Q102" s="7" t="str">
        <x:v>STUN</x:v>
      </x:c>
      <x:c r="R102" s="7" t="n">
        <x:v>1</x:v>
      </x:c>
      <x:c r="S102" s="8" t="n">
        <x:v>0.8</x:v>
      </x:c>
      <x:c r="T102" s="7"/>
      <x:c r="U102" s="7"/>
      <x:c r="V102" s="8"/>
      <x:c r="W102" s="7" t="n">
        <x:v>4</x:v>
      </x:c>
      <x:c r="X102" s="7" t="str">
        <x:v>대상: 적. 적에게 공격력*0.715배 + 생명력*0.385배 만큼의 피해를 가합니다. 80%확률로 추가 공격 28% 적용합니다. 80%확률로 흡혈 24% 획득합니다. 80%확률로 기절 — 스턴 적용합니다.</x:v>
      </x:c>
      <x:c r="Y102" s="7" t="str">
        <x:v>Target: one enemy. Deals 0.715 × caster Attack + 0.385 × caster max Health damage to one enemy. 80% chance to apply Extra Attack 28%. 80% chance to gain Lifesteal 24%. 80% chance to apply Stun.</x:v>
      </x:c>
      <x:c r="Z102" s="7" t="str">
        <x:v>공격|회복|버프|디버프</x:v>
      </x:c>
    </x:row>
    <x:row r="103" ht="115" customHeight="1">
      <x:c r="A103" s="7" t="str">
        <x:v>SKILL_0097</x:v>
      </x:c>
      <x:c r="B103" s="7" t="str">
        <x:v>출혈 · 도발 · 약화효과 전이의 일격</x:v>
      </x:c>
      <x:c r="C103" s="7"/>
      <x:c r="D103" s="7" t="str">
        <x:v>적</x:v>
      </x:c>
      <x:c r="E103" s="7" t="n">
        <x:v>1.1</x:v>
      </x:c>
      <x:c r="F103" s="7" t="n">
        <x:v>0</x:v>
      </x:c>
      <x:c r="G103" s="7" t="n">
        <x:v>0</x:v>
      </x:c>
      <x:c r="H103" s="7" t="n">
        <x:v>0</x:v>
      </x:c>
      <x:c r="I103" s="7" t="n">
        <x:v>0</x:v>
      </x:c>
      <x:c r="J103" s="7" t="n">
        <x:v>0</x:v>
      </x:c>
      <x:c r="K103" s="7" t="str">
        <x:v>BLEED</x:v>
      </x:c>
      <x:c r="L103" s="7" t="n">
        <x:v>0.16</x:v>
      </x:c>
      <x:c r="M103" s="8" t="n">
        <x:v>0.8</x:v>
      </x:c>
      <x:c r="N103" s="7" t="str">
        <x:v>PROVOKE</x:v>
      </x:c>
      <x:c r="O103" s="7" t="n">
        <x:v>1</x:v>
      </x:c>
      <x:c r="P103" s="8" t="n">
        <x:v>0.8</x:v>
      </x:c>
      <x:c r="Q103" s="7" t="str">
        <x:v>TRANSFER_DEBUFF</x:v>
      </x:c>
      <x:c r="R103" s="7" t="n">
        <x:v>1</x:v>
      </x:c>
      <x:c r="S103" s="8" t="n">
        <x:v>0.8</x:v>
      </x:c>
      <x:c r="T103" s="7"/>
      <x:c r="U103" s="7"/>
      <x:c r="V103" s="8"/>
      <x:c r="W103" s="7" t="n">
        <x:v>3</x:v>
      </x:c>
      <x:c r="X103" s="7" t="str">
        <x:v>대상: 적. 적에게 공격력*1.1배 만큼의 피해를 가합니다. 80%확률로 출혈 16% 적용합니다. 80%확률로 도발 적용합니다. 80%확률로 약화효과 전이 1개 적용합니다.</x:v>
      </x:c>
      <x:c r="Y103" s="7" t="str">
        <x:v>Target: one enemy. Deals 1.1 × caster Attack damage to one enemy. 80% chance to apply Bleed 16%. 80% chance to apply Provoke. 80% chance to apply Debuff Transfer 1 count.</x:v>
      </x:c>
      <x:c r="Z103" s="7" t="str">
        <x:v>공격|디버프</x:v>
      </x:c>
    </x:row>
    <x:row r="104" ht="115" customHeight="1">
      <x:c r="A104" s="7" t="str">
        <x:v>SKILL_0098</x:v>
      </x:c>
      <x:c r="B104" s="7" t="str">
        <x:v>강화 불가 · 공격력 감소의 일격</x:v>
      </x:c>
      <x:c r="C104" s="7"/>
      <x:c r="D104" s="7" t="str">
        <x:v>적</x:v>
      </x:c>
      <x:c r="E104" s="7" t="n">
        <x:v>0.77</x:v>
      </x:c>
      <x:c r="F104" s="7" t="n">
        <x:v>0.33</x:v>
      </x:c>
      <x:c r="G104" s="7" t="n">
        <x:v>0</x:v>
      </x:c>
      <x:c r="H104" s="7" t="n">
        <x:v>0</x:v>
      </x:c>
      <x:c r="I104" s="7" t="n">
        <x:v>0</x:v>
      </x:c>
      <x:c r="J104" s="7" t="n">
        <x:v>0</x:v>
      </x:c>
      <x:c r="K104" s="7" t="str">
        <x:v>BUFF_BLOCK</x:v>
      </x:c>
      <x:c r="L104" s="7" t="n">
        <x:v>1</x:v>
      </x:c>
      <x:c r="M104" s="8" t="n">
        <x:v>0.9</x:v>
      </x:c>
      <x:c r="N104" s="7" t="str">
        <x:v>ATTACK_DOWN</x:v>
      </x:c>
      <x:c r="O104" s="7" t="n">
        <x:v>0.25</x:v>
      </x:c>
      <x:c r="P104" s="8" t="n">
        <x:v>0.9</x:v>
      </x:c>
      <x:c r="Q104" s="7"/>
      <x:c r="R104" s="7"/>
      <x:c r="S104" s="8"/>
      <x:c r="T104" s="7"/>
      <x:c r="U104" s="7"/>
      <x:c r="V104" s="8"/>
      <x:c r="W104" s="7" t="n">
        <x:v>2</x:v>
      </x:c>
      <x:c r="X104" s="7" t="str">
        <x:v>대상: 적. 적에게 공격력*0.77배 + 방어력*0.33배 만큼의 피해를 가합니다. 90%확률로 강화 불가 적용합니다. 90%확률로 공격력 감소 25% 적용합니다.</x:v>
      </x:c>
      <x:c r="Y104" s="7" t="str">
        <x:v>Target: one enemy. Deals 0.77 × caster Attack + 0.33 × caster Defense damage to one enemy. 90% chance to apply Unbuffable. 90% chance to apply Attack Down 25%.</x:v>
      </x:c>
      <x:c r="Z104" s="7" t="str">
        <x:v>공격|디버프</x:v>
      </x:c>
    </x:row>
    <x:row r="105" ht="115" customHeight="1">
      <x:c r="A105" s="7" t="str">
        <x:v>SKILL_0099</x:v>
      </x:c>
      <x:c r="B105" s="7" t="str">
        <x:v>기절 — 스턴 · 부활 불가 · 저주 · 강화 불가의 일격</x:v>
      </x:c>
      <x:c r="C105" s="7"/>
      <x:c r="D105" s="7" t="str">
        <x:v>적</x:v>
      </x:c>
      <x:c r="E105" s="7" t="n">
        <x:v>0.715</x:v>
      </x:c>
      <x:c r="F105" s="7" t="n">
        <x:v>0</x:v>
      </x:c>
      <x:c r="G105" s="7" t="n">
        <x:v>0.385</x:v>
      </x:c>
      <x:c r="H105" s="7" t="n">
        <x:v>0</x:v>
      </x:c>
      <x:c r="I105" s="7" t="n">
        <x:v>0</x:v>
      </x:c>
      <x:c r="J105" s="7" t="n">
        <x:v>0</x:v>
      </x:c>
      <x:c r="K105" s="7" t="str">
        <x:v>STUN</x:v>
      </x:c>
      <x:c r="L105" s="7" t="n">
        <x:v>1</x:v>
      </x:c>
      <x:c r="M105" s="8" t="n">
        <x:v>0.7</x:v>
      </x:c>
      <x:c r="N105" s="7" t="str">
        <x:v>REVIVE_BLOCK</x:v>
      </x:c>
      <x:c r="O105" s="7" t="n">
        <x:v>1</x:v>
      </x:c>
      <x:c r="P105" s="8" t="n">
        <x:v>0.7</x:v>
      </x:c>
      <x:c r="Q105" s="7" t="str">
        <x:v>CURSE</x:v>
      </x:c>
      <x:c r="R105" s="7" t="n">
        <x:v>0.13</x:v>
      </x:c>
      <x:c r="S105" s="8" t="n">
        <x:v>0.7</x:v>
      </x:c>
      <x:c r="T105" s="7" t="str">
        <x:v>BUFF_BLOCK</x:v>
      </x:c>
      <x:c r="U105" s="7" t="n">
        <x:v>1</x:v>
      </x:c>
      <x:c r="V105" s="8" t="n">
        <x:v>0.7</x:v>
      </x:c>
      <x:c r="W105" s="7" t="n">
        <x:v>5</x:v>
      </x:c>
      <x:c r="X105" s="7" t="str">
        <x:v>대상: 적. 적에게 공격력*0.715배 + 속도*0.385배 만큼의 피해를 가합니다. 70%확률로 기절 — 스턴 적용합니다. 70%확률로 부활 불가 적용합니다. 70%확률로 저주 13% 적용합니다. 70%확률로 강화 불가 적용합니다.</x:v>
      </x:c>
      <x:c r="Y105" s="7" t="str">
        <x:v>Target: one enemy. Deals 0.715 × caster Attack + 0.385 × caster Speed damage to one enemy. 70% chance to apply Stun. 70% chance to apply Revive Block. 70% chance to apply Curse 13%. 70% chance to apply Unbuffable.</x:v>
      </x:c>
      <x:c r="Z105" s="7" t="str">
        <x:v>공격|디버프</x:v>
      </x:c>
    </x:row>
    <x:row r="106" ht="115" customHeight="1">
      <x:c r="A106" s="7" t="str">
        <x:v>SKILL_0100</x:v>
      </x:c>
      <x:c r="B106" s="7" t="str">
        <x:v>부활 불가 · 명중 감소 · 도발의 일격</x:v>
      </x:c>
      <x:c r="C106" s="7"/>
      <x:c r="D106" s="7" t="str">
        <x:v>적전체</x:v>
      </x:c>
      <x:c r="E106" s="7" t="n">
        <x:v>0.337</x:v>
      </x:c>
      <x:c r="F106" s="7" t="n">
        <x:v>0</x:v>
      </x:c>
      <x:c r="G106" s="7" t="n">
        <x:v>0</x:v>
      </x:c>
      <x:c r="H106" s="7" t="n">
        <x:v>0.113</x:v>
      </x:c>
      <x:c r="I106" s="7" t="n">
        <x:v>0</x:v>
      </x:c>
      <x:c r="J106" s="7" t="n">
        <x:v>0</x:v>
      </x:c>
      <x:c r="K106" s="7" t="str">
        <x:v>REVIVE_BLOCK</x:v>
      </x:c>
      <x:c r="L106" s="7" t="n">
        <x:v>1</x:v>
      </x:c>
      <x:c r="M106" s="8" t="n">
        <x:v>0.55</x:v>
      </x:c>
      <x:c r="N106" s="7" t="str">
        <x:v>HIT_CHANCE_DOWN</x:v>
      </x:c>
      <x:c r="O106" s="7" t="n">
        <x:v>0.16</x:v>
      </x:c>
      <x:c r="P106" s="8" t="n">
        <x:v>0.55</x:v>
      </x:c>
      <x:c r="Q106" s="7" t="str">
        <x:v>PROVOKE</x:v>
      </x:c>
      <x:c r="R106" s="7" t="n">
        <x:v>1</x:v>
      </x:c>
      <x:c r="S106" s="8" t="n">
        <x:v>0.55</x:v>
      </x:c>
      <x:c r="T106" s="7"/>
      <x:c r="U106" s="7"/>
      <x:c r="V106" s="8"/>
      <x:c r="W106" s="7" t="n">
        <x:v>5</x:v>
      </x:c>
      <x:c r="X106" s="7" t="str">
        <x:v>대상: 적전체. 적전체에게 공격력*0.337배 + 생명력*0.113배 만큼의 피해를 가합니다. 55%확률로 부활 불가 적용합니다. 55%확률로 명중 감소 16% 적용합니다. 55%확률로 도발 적용합니다.</x:v>
      </x:c>
      <x:c r="Y106" s="7" t="str">
        <x:v>Target: all enemies. Deals 0.337 × caster Attack + 0.113 × caster max Health damage to all enemies. 55% chance to apply Revive Block. 55% chance to apply Hit Chance Down 16%. 55% chance to apply Provoke.</x:v>
      </x:c>
      <x:c r="Z106" s="7" t="str">
        <x:v>공격|디버프</x:v>
      </x:c>
    </x:row>
    <x:row r="107" ht="115" customHeight="1">
      <x:c r="A107" s="7" t="str">
        <x:v>SKILL_0101</x:v>
      </x:c>
      <x:c r="B107" s="7" t="str">
        <x:v>약화효과 지속시간 증가 · 흡혈 · 공격력 감소 · 도발의 일격</x:v>
      </x:c>
      <x:c r="C107" s="7"/>
      <x:c r="D107" s="7" t="str">
        <x:v>적</x:v>
      </x:c>
      <x:c r="E107" s="7" t="n">
        <x:v>1.1</x:v>
      </x:c>
      <x:c r="F107" s="7" t="n">
        <x:v>0</x:v>
      </x:c>
      <x:c r="G107" s="7" t="n">
        <x:v>0</x:v>
      </x:c>
      <x:c r="H107" s="7" t="n">
        <x:v>0</x:v>
      </x:c>
      <x:c r="I107" s="7" t="n">
        <x:v>0</x:v>
      </x:c>
      <x:c r="J107" s="7" t="n">
        <x:v>0</x:v>
      </x:c>
      <x:c r="K107" s="7" t="str">
        <x:v>DEBUFF_DURATION_UP</x:v>
      </x:c>
      <x:c r="L107" s="7" t="n">
        <x:v>1</x:v>
      </x:c>
      <x:c r="M107" s="8" t="n">
        <x:v>0.7</x:v>
      </x:c>
      <x:c r="N107" s="7" t="str">
        <x:v>LIFESTEAL</x:v>
      </x:c>
      <x:c r="O107" s="7" t="n">
        <x:v>0.195</x:v>
      </x:c>
      <x:c r="P107" s="8" t="n">
        <x:v>0.7</x:v>
      </x:c>
      <x:c r="Q107" s="7" t="str">
        <x:v>ATTACK_DOWN</x:v>
      </x:c>
      <x:c r="R107" s="7" t="n">
        <x:v>0.163</x:v>
      </x:c>
      <x:c r="S107" s="8" t="n">
        <x:v>0.7</x:v>
      </x:c>
      <x:c r="T107" s="7" t="str">
        <x:v>PROVOKE</x:v>
      </x:c>
      <x:c r="U107" s="7" t="n">
        <x:v>1</x:v>
      </x:c>
      <x:c r="V107" s="8" t="n">
        <x:v>0.7</x:v>
      </x:c>
      <x:c r="W107" s="7" t="n">
        <x:v>3</x:v>
      </x:c>
      <x:c r="X107" s="7" t="str">
        <x:v>대상: 적. 적에게 공격력*1.1배 만큼의 피해를 가합니다. 70%확률로 약화효과 지속시간 증가 1턴 적용합니다. 70%확률로 흡혈 19.5% 획득합니다. 70%확률로 공격력 감소 16.3% 적용합니다. 70%확률로 도발 적용합니다.</x:v>
      </x:c>
      <x:c r="Y107" s="7" t="str">
        <x:v>Target: one enemy. Deals 1.1 × caster Attack damage to one enemy. 70% chance to apply Debuff Duration Extension 1 turn. 70% chance to gain Lifesteal 19.5%. 70% chance to apply Attack Down 16.3%. 70% chance to apply Provoke.</x:v>
      </x:c>
      <x:c r="Z107" s="7" t="str">
        <x:v>공격|회복|버프|디버프</x:v>
      </x:c>
    </x:row>
    <x:row r="108" ht="115" customHeight="1">
      <x:c r="A108" s="7" t="str">
        <x:v>SKILL_0102</x:v>
      </x:c>
      <x:c r="B108" s="7" t="str">
        <x:v>흡혈 · 강화 불가 · 회복 불가 · 강화효과 해제의 일격</x:v>
      </x:c>
      <x:c r="C108" s="7"/>
      <x:c r="D108" s="7" t="str">
        <x:v>적</x:v>
      </x:c>
      <x:c r="E108" s="7" t="n">
        <x:v>0.715</x:v>
      </x:c>
      <x:c r="F108" s="7" t="n">
        <x:v>0.385</x:v>
      </x:c>
      <x:c r="G108" s="7" t="n">
        <x:v>0</x:v>
      </x:c>
      <x:c r="H108" s="7" t="n">
        <x:v>0</x:v>
      </x:c>
      <x:c r="I108" s="7" t="n">
        <x:v>0</x:v>
      </x:c>
      <x:c r="J108" s="7" t="n">
        <x:v>0</x:v>
      </x:c>
      <x:c r="K108" s="7" t="str">
        <x:v>LIFESTEAL</x:v>
      </x:c>
      <x:c r="L108" s="7" t="n">
        <x:v>0.195</x:v>
      </x:c>
      <x:c r="M108" s="8" t="n">
        <x:v>0.7</x:v>
      </x:c>
      <x:c r="N108" s="7" t="str">
        <x:v>BUFF_BLOCK</x:v>
      </x:c>
      <x:c r="O108" s="7" t="n">
        <x:v>1</x:v>
      </x:c>
      <x:c r="P108" s="8" t="n">
        <x:v>0.7</x:v>
      </x:c>
      <x:c r="Q108" s="7" t="str">
        <x:v>HEAL_BLOCK</x:v>
      </x:c>
      <x:c r="R108" s="7" t="n">
        <x:v>1</x:v>
      </x:c>
      <x:c r="S108" s="8" t="n">
        <x:v>0.7</x:v>
      </x:c>
      <x:c r="T108" s="7" t="str">
        <x:v>DISPEL_BUFF</x:v>
      </x:c>
      <x:c r="U108" s="7" t="n">
        <x:v>1</x:v>
      </x:c>
      <x:c r="V108" s="8" t="n">
        <x:v>0.7</x:v>
      </x:c>
      <x:c r="W108" s="7" t="n">
        <x:v>3</x:v>
      </x:c>
      <x:c r="X108" s="7" t="str">
        <x:v>대상: 적. 적에게 공격력*0.715배 + 방어력*0.385배 만큼의 피해를 가합니다. 70%확률로 흡혈 19.5% 획득합니다. 70%확률로 강화 불가 적용합니다. 70%확률로 회복 불가 적용합니다. 70%확률로 강화효과 해제 1개 적용합니다.</x:v>
      </x:c>
      <x:c r="Y108" s="7" t="str">
        <x:v>Target: one enemy. Deals 0.715 × caster Attack + 0.385 × caster Defense damage to one enemy. 70% chance to gain Lifesteal 19.5%. 70% chance to apply Unbuffable. 70% chance to apply Unhealable. 70% chance to apply Dispel Buff 1 count.</x:v>
      </x:c>
      <x:c r="Z108" s="7" t="str">
        <x:v>공격|회복|버프|디버프</x:v>
      </x:c>
    </x:row>
    <x:row r="109" ht="115" customHeight="1">
      <x:c r="A109" s="7" t="str">
        <x:v>SKILL_0103</x:v>
      </x:c>
      <x:c r="B109" s="7" t="str">
        <x:v>추가 공격 · 소멸의 일격</x:v>
      </x:c>
      <x:c r="C109" s="7"/>
      <x:c r="D109" s="7" t="str">
        <x:v>적전체</x:v>
      </x:c>
      <x:c r="E109" s="7" t="n">
        <x:v>0.412</x:v>
      </x:c>
      <x:c r="F109" s="7" t="n">
        <x:v>0</x:v>
      </x:c>
      <x:c r="G109" s="7" t="n">
        <x:v>0.138</x:v>
      </x:c>
      <x:c r="H109" s="7" t="n">
        <x:v>0</x:v>
      </x:c>
      <x:c r="I109" s="7" t="n">
        <x:v>0</x:v>
      </x:c>
      <x:c r="J109" s="7" t="n">
        <x:v>0</x:v>
      </x:c>
      <x:c r="K109" s="7" t="str">
        <x:v>EXTRA_ATTACK</x:v>
      </x:c>
      <x:c r="L109" s="7" t="n">
        <x:v>0.35</x:v>
      </x:c>
      <x:c r="M109" s="8" t="n">
        <x:v>0.75</x:v>
      </x:c>
      <x:c r="N109" s="7" t="str">
        <x:v>EXTINCTION</x:v>
      </x:c>
      <x:c r="O109" s="7" t="n">
        <x:v>1</x:v>
      </x:c>
      <x:c r="P109" s="8" t="n">
        <x:v>0.75</x:v>
      </x:c>
      <x:c r="Q109" s="7"/>
      <x:c r="R109" s="7"/>
      <x:c r="S109" s="8"/>
      <x:c r="T109" s="7"/>
      <x:c r="U109" s="7"/>
      <x:c r="V109" s="8"/>
      <x:c r="W109" s="7" t="n">
        <x:v>5</x:v>
      </x:c>
      <x:c r="X109" s="7" t="str">
        <x:v>대상: 적전체. 적전체에게 공격력*0.412배 + 속도*0.138배 만큼의 피해를 가합니다. 75%확률로 추가 공격 35% 적용합니다. 75%확률로 소멸 적용합니다.</x:v>
      </x:c>
      <x:c r="Y109" s="7" t="str">
        <x:v>Target: all enemies. Deals 0.412 × caster Attack + 0.138 × caster Speed damage to all enemies. 75% chance to apply Extra Attack 35%. 75% chance to apply Extinction.</x:v>
      </x:c>
      <x:c r="Z109" s="7" t="str">
        <x:v>공격</x:v>
      </x:c>
    </x:row>
    <x:row r="110" ht="115" customHeight="1">
      <x:c r="A110" s="7" t="str">
        <x:v>SKILL_0104</x:v>
      </x:c>
      <x:c r="B110" s="7" t="str">
        <x:v>추가 공격 · 반격 불가 · 약화효과 지속시간 증가 · 약화효과 전이의 일격</x:v>
      </x:c>
      <x:c r="C110" s="7"/>
      <x:c r="D110" s="7" t="str">
        <x:v>적</x:v>
      </x:c>
      <x:c r="E110" s="7" t="n">
        <x:v>0.77</x:v>
      </x:c>
      <x:c r="F110" s="7" t="n">
        <x:v>0</x:v>
      </x:c>
      <x:c r="G110" s="7" t="n">
        <x:v>0</x:v>
      </x:c>
      <x:c r="H110" s="7" t="n">
        <x:v>0.33</x:v>
      </x:c>
      <x:c r="I110" s="7" t="n">
        <x:v>0</x:v>
      </x:c>
      <x:c r="J110" s="7" t="n">
        <x:v>0</x:v>
      </x:c>
      <x:c r="K110" s="7" t="str">
        <x:v>EXTRA_ATTACK</x:v>
      </x:c>
      <x:c r="L110" s="7" t="n">
        <x:v>0.227</x:v>
      </x:c>
      <x:c r="M110" s="8" t="n">
        <x:v>0.7</x:v>
      </x:c>
      <x:c r="N110" s="7" t="str">
        <x:v>COUNTERATTACK_BLOCK</x:v>
      </x:c>
      <x:c r="O110" s="7" t="n">
        <x:v>1</x:v>
      </x:c>
      <x:c r="P110" s="8" t="n">
        <x:v>0.7</x:v>
      </x:c>
      <x:c r="Q110" s="7" t="str">
        <x:v>DEBUFF_DURATION_UP</x:v>
      </x:c>
      <x:c r="R110" s="7" t="n">
        <x:v>1</x:v>
      </x:c>
      <x:c r="S110" s="8" t="n">
        <x:v>0.7</x:v>
      </x:c>
      <x:c r="T110" s="7" t="str">
        <x:v>TRANSFER_DEBUFF</x:v>
      </x:c>
      <x:c r="U110" s="7" t="n">
        <x:v>1</x:v>
      </x:c>
      <x:c r="V110" s="8" t="n">
        <x:v>0.7</x:v>
      </x:c>
      <x:c r="W110" s="7" t="n">
        <x:v>4</x:v>
      </x:c>
      <x:c r="X110" s="7" t="str">
        <x:v>대상: 적. 적에게 공격력*0.77배 + 생명력*0.33배 만큼의 피해를 가합니다. 70%확률로 추가 공격 22.7% 적용합니다. 70%확률로 반격 불가 적용합니다. 70%확률로 약화효과 지속시간 증가 1턴 적용합니다. 70%확률로 약화효과 전이 1개 적용합니다.</x:v>
      </x:c>
      <x:c r="Y110" s="7" t="str">
        <x:v>Target: one enemy. Deals 0.77 × caster Attack + 0.33 × caster max Health damage to one enemy. 70% chance to apply Extra Attack 22.7%. 70% chance to apply Counterattack Block. 70% chance to apply Debuff Duration Extension 1 turn. 70% chance to apply Debuff Transfer 1 count.</x:v>
      </x:c>
      <x:c r="Z110" s="7" t="str">
        <x:v>공격|디버프</x:v>
      </x:c>
    </x:row>
    <x:row r="111" ht="115" customHeight="1">
      <x:c r="A111" s="7" t="str">
        <x:v>SKILL_0105</x:v>
      </x:c>
      <x:c r="B111" s="7" t="str">
        <x:v>부활 불가 · 속도 감소 · 상처의 일격</x:v>
      </x:c>
      <x:c r="C111" s="7"/>
      <x:c r="D111" s="7" t="str">
        <x:v>적</x:v>
      </x:c>
      <x:c r="E111" s="7" t="n">
        <x:v>1.1</x:v>
      </x:c>
      <x:c r="F111" s="7" t="n">
        <x:v>0</x:v>
      </x:c>
      <x:c r="G111" s="7" t="n">
        <x:v>0</x:v>
      </x:c>
      <x:c r="H111" s="7" t="n">
        <x:v>0</x:v>
      </x:c>
      <x:c r="I111" s="7" t="n">
        <x:v>0</x:v>
      </x:c>
      <x:c r="J111" s="7" t="n">
        <x:v>0</x:v>
      </x:c>
      <x:c r="K111" s="7" t="str">
        <x:v>REVIVE_BLOCK</x:v>
      </x:c>
      <x:c r="L111" s="7" t="n">
        <x:v>1</x:v>
      </x:c>
      <x:c r="M111" s="8" t="n">
        <x:v>0.8</x:v>
      </x:c>
      <x:c r="N111" s="7" t="str">
        <x:v>SPEED_DOWN</x:v>
      </x:c>
      <x:c r="O111" s="7" t="n">
        <x:v>0.16</x:v>
      </x:c>
      <x:c r="P111" s="8" t="n">
        <x:v>0.8</x:v>
      </x:c>
      <x:c r="Q111" s="7" t="str">
        <x:v>INJURY</x:v>
      </x:c>
      <x:c r="R111" s="7" t="n">
        <x:v>0.064</x:v>
      </x:c>
      <x:c r="S111" s="8" t="n">
        <x:v>0.8</x:v>
      </x:c>
      <x:c r="T111" s="7"/>
      <x:c r="U111" s="7"/>
      <x:c r="V111" s="8"/>
      <x:c r="W111" s="7" t="n">
        <x:v>3</x:v>
      </x:c>
      <x:c r="X111" s="7" t="str">
        <x:v>대상: 적. 적에게 공격력*1.1배 만큼의 피해를 가합니다. 80%확률로 부활 불가 적용합니다. 80%확률로 속도 감소 16% 적용합니다. 80%확률로 상처 6.4% 적용합니다.</x:v>
      </x:c>
      <x:c r="Y111" s="7" t="str">
        <x:v>Target: one enemy. Deals 1.1 × caster Attack damage to one enemy. 80% chance to apply Revive Block. 80% chance to apply Speed Down 16%. 80% chance to apply Injury 6.4%.</x:v>
      </x:c>
      <x:c r="Z111" s="7" t="str">
        <x:v>공격|디버프</x:v>
      </x:c>
    </x:row>
    <x:row r="112" ht="115" customHeight="1">
      <x:c r="A112" s="7" t="str">
        <x:v>SKILL_0106</x:v>
      </x:c>
      <x:c r="B112" s="7" t="str">
        <x:v>중독 · 추가 공격의 일격</x:v>
      </x:c>
      <x:c r="C112" s="7"/>
      <x:c r="D112" s="7" t="str">
        <x:v>적전체</x:v>
      </x:c>
      <x:c r="E112" s="7" t="n">
        <x:v>0.525</x:v>
      </x:c>
      <x:c r="F112" s="7" t="n">
        <x:v>0.175</x:v>
      </x:c>
      <x:c r="G112" s="7" t="n">
        <x:v>0</x:v>
      </x:c>
      <x:c r="H112" s="7" t="n">
        <x:v>0</x:v>
      </x:c>
      <x:c r="I112" s="7" t="n">
        <x:v>0</x:v>
      </x:c>
      <x:c r="J112" s="7" t="n">
        <x:v>0</x:v>
      </x:c>
      <x:c r="K112" s="7" t="str">
        <x:v>POISON</x:v>
      </x:c>
      <x:c r="L112" s="7" t="n">
        <x:v>0.04</x:v>
      </x:c>
      <x:c r="M112" s="8" t="n">
        <x:v>0.9</x:v>
      </x:c>
      <x:c r="N112" s="7" t="str">
        <x:v>EXTRA_ATTACK</x:v>
      </x:c>
      <x:c r="O112" s="7" t="n">
        <x:v>0.35</x:v>
      </x:c>
      <x:c r="P112" s="8" t="n">
        <x:v>0.9</x:v>
      </x:c>
      <x:c r="Q112" s="7"/>
      <x:c r="R112" s="7"/>
      <x:c r="S112" s="8"/>
      <x:c r="T112" s="7"/>
      <x:c r="U112" s="7"/>
      <x:c r="V112" s="8"/>
      <x:c r="W112" s="7" t="n">
        <x:v>5</x:v>
      </x:c>
      <x:c r="X112" s="7" t="str">
        <x:v>대상: 적전체. 적전체에게 공격력*0.525배 + 방어력*0.175배 만큼의 피해를 가합니다. 90%확률로 중독 4% 적용합니다. 90%확률로 추가 공격 35% 적용합니다.</x:v>
      </x:c>
      <x:c r="Y112" s="7" t="str">
        <x:v>Target: all enemies. Deals 0.525 × caster Attack + 0.175 × caster Defense damage to all enemies. 90% chance to apply Poison 4%. 90% chance to apply Extra Attack 35%.</x:v>
      </x:c>
      <x:c r="Z112" s="7" t="str">
        <x:v>공격|디버프</x:v>
      </x:c>
    </x:row>
    <x:row r="113" ht="115" customHeight="1">
      <x:c r="A113" s="7" t="str">
        <x:v>SKILL_0107</x:v>
      </x:c>
      <x:c r="B113" s="7" t="str">
        <x:v>도발 · 약화효과 전이 · 중독 · 저주의 일격</x:v>
      </x:c>
      <x:c r="C113" s="7"/>
      <x:c r="D113" s="7" t="str">
        <x:v>적</x:v>
      </x:c>
      <x:c r="E113" s="7" t="n">
        <x:v>0.77</x:v>
      </x:c>
      <x:c r="F113" s="7" t="n">
        <x:v>0</x:v>
      </x:c>
      <x:c r="G113" s="7" t="n">
        <x:v>0.33</x:v>
      </x:c>
      <x:c r="H113" s="7" t="n">
        <x:v>0</x:v>
      </x:c>
      <x:c r="I113" s="7" t="n">
        <x:v>0</x:v>
      </x:c>
      <x:c r="J113" s="7" t="n">
        <x:v>0</x:v>
      </x:c>
      <x:c r="K113" s="7" t="str">
        <x:v>PROVOKE</x:v>
      </x:c>
      <x:c r="L113" s="7" t="n">
        <x:v>1</x:v>
      </x:c>
      <x:c r="M113" s="8" t="n">
        <x:v>0.7</x:v>
      </x:c>
      <x:c r="N113" s="7" t="str">
        <x:v>TRANSFER_DEBUFF</x:v>
      </x:c>
      <x:c r="O113" s="7" t="n">
        <x:v>1</x:v>
      </x:c>
      <x:c r="P113" s="8" t="n">
        <x:v>0.7</x:v>
      </x:c>
      <x:c r="Q113" s="7" t="str">
        <x:v>POISON</x:v>
      </x:c>
      <x:c r="R113" s="7" t="n">
        <x:v>0.026</x:v>
      </x:c>
      <x:c r="S113" s="8" t="n">
        <x:v>0.7</x:v>
      </x:c>
      <x:c r="T113" s="7" t="str">
        <x:v>CURSE</x:v>
      </x:c>
      <x:c r="U113" s="7" t="n">
        <x:v>0.13</x:v>
      </x:c>
      <x:c r="V113" s="8" t="n">
        <x:v>0.7</x:v>
      </x:c>
      <x:c r="W113" s="7" t="n">
        <x:v>4</x:v>
      </x:c>
      <x:c r="X113" s="7" t="str">
        <x:v>대상: 적. 적에게 공격력*0.77배 + 속도*0.33배 만큼의 피해를 가합니다. 70%확률로 도발 적용합니다. 70%확률로 약화효과 전이 1개 적용합니다. 70%확률로 중독 2.6% 적용합니다. 70%확률로 저주 13% 적용합니다.</x:v>
      </x:c>
      <x:c r="Y113" s="7" t="str">
        <x:v>Target: one enemy. Deals 0.77 × caster Attack + 0.33 × caster Speed damage to one enemy. 70% chance to apply Provoke. 70% chance to apply Debuff Transfer 1 count. 70% chance to apply Poison 2.6%. 70% chance to apply Curse 13%.</x:v>
      </x:c>
      <x:c r="Z113" s="7" t="str">
        <x:v>공격|디버프</x:v>
      </x:c>
    </x:row>
    <x:row r="114" ht="115" customHeight="1">
      <x:c r="A114" s="7" t="str">
        <x:v>SKILL_0108</x:v>
      </x:c>
      <x:c r="B114" s="7" t="str">
        <x:v>상처 · 중독 · 명중 감소의 일격</x:v>
      </x:c>
      <x:c r="C114" s="7"/>
      <x:c r="D114" s="7" t="str">
        <x:v>적</x:v>
      </x:c>
      <x:c r="E114" s="7" t="n">
        <x:v>0.715</x:v>
      </x:c>
      <x:c r="F114" s="7" t="n">
        <x:v>0</x:v>
      </x:c>
      <x:c r="G114" s="7" t="n">
        <x:v>0</x:v>
      </x:c>
      <x:c r="H114" s="7" t="n">
        <x:v>0.385</x:v>
      </x:c>
      <x:c r="I114" s="7" t="n">
        <x:v>0</x:v>
      </x:c>
      <x:c r="J114" s="7" t="n">
        <x:v>0</x:v>
      </x:c>
      <x:c r="K114" s="7" t="str">
        <x:v>INJURY</x:v>
      </x:c>
      <x:c r="L114" s="7" t="n">
        <x:v>0.064</x:v>
      </x:c>
      <x:c r="M114" s="8" t="n">
        <x:v>0.8</x:v>
      </x:c>
      <x:c r="N114" s="7" t="str">
        <x:v>POISON</x:v>
      </x:c>
      <x:c r="O114" s="7" t="n">
        <x:v>0.032</x:v>
      </x:c>
      <x:c r="P114" s="8" t="n">
        <x:v>0.8</x:v>
      </x:c>
      <x:c r="Q114" s="7" t="str">
        <x:v>HIT_CHANCE_DOWN</x:v>
      </x:c>
      <x:c r="R114" s="7" t="n">
        <x:v>0.16</x:v>
      </x:c>
      <x:c r="S114" s="8" t="n">
        <x:v>0.8</x:v>
      </x:c>
      <x:c r="T114" s="7"/>
      <x:c r="U114" s="7"/>
      <x:c r="V114" s="8"/>
      <x:c r="W114" s="7" t="n">
        <x:v>2</x:v>
      </x:c>
      <x:c r="X114" s="7" t="str">
        <x:v>대상: 적. 적에게 공격력*0.715배 + 생명력*0.385배 만큼의 피해를 가합니다. 80%확률로 상처 6.4% 적용합니다. 80%확률로 중독 3.2% 적용합니다. 80%확률로 명중 감소 16% 적용합니다.</x:v>
      </x:c>
      <x:c r="Y114" s="7" t="str">
        <x:v>Target: one enemy. Deals 0.715 × caster Attack + 0.385 × caster max Health damage to one enemy. 80% chance to apply Injury 6.4%. 80% chance to apply Poison 3.2%. 80% chance to apply Hit Chance Down 16%.</x:v>
      </x:c>
      <x:c r="Z114" s="7" t="str">
        <x:v>공격|디버프</x:v>
      </x:c>
    </x:row>
    <x:row r="115" ht="115" customHeight="1">
      <x:c r="A115" s="7" t="str">
        <x:v>SKILL_0109</x:v>
      </x:c>
      <x:c r="B115" s="7" t="str">
        <x:v>중독 · 강화효과 해제의 일격</x:v>
      </x:c>
      <x:c r="C115" s="7"/>
      <x:c r="D115" s="7" t="str">
        <x:v>적전체</x:v>
      </x:c>
      <x:c r="E115" s="7" t="n">
        <x:v>0.7</x:v>
      </x:c>
      <x:c r="F115" s="7" t="n">
        <x:v>0</x:v>
      </x:c>
      <x:c r="G115" s="7" t="n">
        <x:v>0</x:v>
      </x:c>
      <x:c r="H115" s="7" t="n">
        <x:v>0</x:v>
      </x:c>
      <x:c r="I115" s="7" t="n">
        <x:v>0</x:v>
      </x:c>
      <x:c r="J115" s="7" t="n">
        <x:v>0</x:v>
      </x:c>
      <x:c r="K115" s="7" t="str">
        <x:v>POISON</x:v>
      </x:c>
      <x:c r="L115" s="7" t="n">
        <x:v>0.04</x:v>
      </x:c>
      <x:c r="M115" s="8" t="n">
        <x:v>0.9</x:v>
      </x:c>
      <x:c r="N115" s="7" t="str">
        <x:v>DISPEL_BUFF</x:v>
      </x:c>
      <x:c r="O115" s="7" t="n">
        <x:v>1</x:v>
      </x:c>
      <x:c r="P115" s="8" t="n">
        <x:v>0.9</x:v>
      </x:c>
      <x:c r="Q115" s="7"/>
      <x:c r="R115" s="7"/>
      <x:c r="S115" s="8"/>
      <x:c r="T115" s="7"/>
      <x:c r="U115" s="7"/>
      <x:c r="V115" s="8"/>
      <x:c r="W115" s="7" t="n">
        <x:v>5</x:v>
      </x:c>
      <x:c r="X115" s="7" t="str">
        <x:v>대상: 적전체. 적전체에게 공격력*0.7배 만큼의 피해를 가합니다. 90%확률로 중독 4% 적용합니다. 90%확률로 강화효과 해제 1개 적용합니다.</x:v>
      </x:c>
      <x:c r="Y115" s="7" t="str">
        <x:v>Target: all enemies. Deals 0.7 × caster Attack damage to all enemies. 90% chance to apply Poison 4%. 90% chance to apply Dispel Buff 1 count.</x:v>
      </x:c>
      <x:c r="Z115" s="7" t="str">
        <x:v>공격|디버프</x:v>
      </x:c>
    </x:row>
    <x:row r="116" ht="115" customHeight="1">
      <x:c r="A116" s="7" t="str">
        <x:v>SKILL_0110</x:v>
      </x:c>
      <x:c r="B116" s="7" t="str">
        <x:v>속도 감소 · 추가 공격 · 중독의 일격</x:v>
      </x:c>
      <x:c r="C116" s="7"/>
      <x:c r="D116" s="7" t="str">
        <x:v>적</x:v>
      </x:c>
      <x:c r="E116" s="7" t="n">
        <x:v>0.77</x:v>
      </x:c>
      <x:c r="F116" s="7" t="n">
        <x:v>0.33</x:v>
      </x:c>
      <x:c r="G116" s="7" t="n">
        <x:v>0</x:v>
      </x:c>
      <x:c r="H116" s="7" t="n">
        <x:v>0</x:v>
      </x:c>
      <x:c r="I116" s="7" t="n">
        <x:v>0</x:v>
      </x:c>
      <x:c r="J116" s="7" t="n">
        <x:v>0</x:v>
      </x:c>
      <x:c r="K116" s="7" t="str">
        <x:v>SPEED_DOWN</x:v>
      </x:c>
      <x:c r="L116" s="7" t="n">
        <x:v>0.16</x:v>
      </x:c>
      <x:c r="M116" s="8" t="n">
        <x:v>0.8</x:v>
      </x:c>
      <x:c r="N116" s="7" t="str">
        <x:v>EXTRA_ATTACK</x:v>
      </x:c>
      <x:c r="O116" s="7" t="n">
        <x:v>0.28</x:v>
      </x:c>
      <x:c r="P116" s="8" t="n">
        <x:v>0.8</x:v>
      </x:c>
      <x:c r="Q116" s="7" t="str">
        <x:v>POISON</x:v>
      </x:c>
      <x:c r="R116" s="7" t="n">
        <x:v>0.032</x:v>
      </x:c>
      <x:c r="S116" s="8" t="n">
        <x:v>0.8</x:v>
      </x:c>
      <x:c r="T116" s="7"/>
      <x:c r="U116" s="7"/>
      <x:c r="V116" s="8"/>
      <x:c r="W116" s="7" t="n">
        <x:v>2</x:v>
      </x:c>
      <x:c r="X116" s="7" t="str">
        <x:v>대상: 적. 적에게 공격력*0.77배 + 방어력*0.33배 만큼의 피해를 가합니다. 80%확률로 속도 감소 16% 적용합니다. 80%확률로 추가 공격 28% 적용합니다. 80%확률로 중독 3.2% 적용합니다.</x:v>
      </x:c>
      <x:c r="Y116" s="7" t="str">
        <x:v>Target: one enemy. Deals 0.77 × caster Attack + 0.33 × caster Defense damage to one enemy. 80% chance to apply Speed Down 16%. 80% chance to apply Extra Attack 28%. 80% chance to apply Poison 3.2%.</x:v>
      </x:c>
      <x:c r="Z116" s="7" t="str">
        <x:v>공격|디버프</x:v>
      </x:c>
    </x:row>
    <x:row r="117" ht="115" customHeight="1">
      <x:c r="A117" s="7" t="str">
        <x:v>SKILL_0111</x:v>
      </x:c>
      <x:c r="B117" s="7" t="str">
        <x:v>스킬 쿨타임 증가 · 방어력 감소의 일격</x:v>
      </x:c>
      <x:c r="C117" s="7"/>
      <x:c r="D117" s="7" t="str">
        <x:v>적</x:v>
      </x:c>
      <x:c r="E117" s="7" t="n">
        <x:v>0.715</x:v>
      </x:c>
      <x:c r="F117" s="7" t="n">
        <x:v>0</x:v>
      </x:c>
      <x:c r="G117" s="7" t="n">
        <x:v>0.385</x:v>
      </x:c>
      <x:c r="H117" s="7" t="n">
        <x:v>0</x:v>
      </x:c>
      <x:c r="I117" s="7" t="n">
        <x:v>0</x:v>
      </x:c>
      <x:c r="J117" s="7" t="n">
        <x:v>0</x:v>
      </x:c>
      <x:c r="K117" s="7" t="str">
        <x:v>SKILL_COOLDOWN_UP</x:v>
      </x:c>
      <x:c r="L117" s="7" t="n">
        <x:v>1</x:v>
      </x:c>
      <x:c r="M117" s="8" t="n">
        <x:v>0.9</x:v>
      </x:c>
      <x:c r="N117" s="7" t="str">
        <x:v>DEFENSE_DOWN</x:v>
      </x:c>
      <x:c r="O117" s="7" t="n">
        <x:v>0.3</x:v>
      </x:c>
      <x:c r="P117" s="8" t="n">
        <x:v>0.9</x:v>
      </x:c>
      <x:c r="Q117" s="7"/>
      <x:c r="R117" s="7"/>
      <x:c r="S117" s="8"/>
      <x:c r="T117" s="7"/>
      <x:c r="U117" s="7"/>
      <x:c r="V117" s="8"/>
      <x:c r="W117" s="7" t="n">
        <x:v>3</x:v>
      </x:c>
      <x:c r="X117" s="7" t="str">
        <x:v>대상: 적. 적에게 공격력*0.715배 + 속도*0.385배 만큼의 피해를 가합니다. 90%확률로 스킬 쿨타임 증가 1턴 적용합니다. 90%확률로 방어력 감소 30% 적용합니다.</x:v>
      </x:c>
      <x:c r="Y117" s="7" t="str">
        <x:v>Target: one enemy. Deals 0.715 × caster Attack + 0.385 × caster Speed damage to one enemy. 90% chance to apply Skill Cooldown Increase 1 turn. 90% chance to apply Defense Down 30%.</x:v>
      </x:c>
      <x:c r="Z117" s="7" t="str">
        <x:v>공격|디버프</x:v>
      </x:c>
    </x:row>
    <x:row r="118" ht="115" customHeight="1">
      <x:c r="A118" s="7" t="str">
        <x:v>SKILL_0112</x:v>
      </x:c>
      <x:c r="B118" s="7" t="str">
        <x:v>방어력 관통 · 표적의 일격</x:v>
      </x:c>
      <x:c r="C118" s="7"/>
      <x:c r="D118" s="7" t="str">
        <x:v>적전체</x:v>
      </x:c>
      <x:c r="E118" s="7" t="n">
        <x:v>0.525</x:v>
      </x:c>
      <x:c r="F118" s="7" t="n">
        <x:v>0</x:v>
      </x:c>
      <x:c r="G118" s="7" t="n">
        <x:v>0</x:v>
      </x:c>
      <x:c r="H118" s="7" t="n">
        <x:v>0.175</x:v>
      </x:c>
      <x:c r="I118" s="7" t="n">
        <x:v>0</x:v>
      </x:c>
      <x:c r="J118" s="7" t="n">
        <x:v>0</x:v>
      </x:c>
      <x:c r="K118" s="7" t="str">
        <x:v>DEFENSE_PENETRATION</x:v>
      </x:c>
      <x:c r="L118" s="7" t="n">
        <x:v>0.3</x:v>
      </x:c>
      <x:c r="M118" s="8" t="n">
        <x:v>0.9</x:v>
      </x:c>
      <x:c r="N118" s="7" t="str">
        <x:v>TARGET</x:v>
      </x:c>
      <x:c r="O118" s="7" t="n">
        <x:v>0.15</x:v>
      </x:c>
      <x:c r="P118" s="8" t="n">
        <x:v>0.9</x:v>
      </x:c>
      <x:c r="Q118" s="7"/>
      <x:c r="R118" s="7"/>
      <x:c r="S118" s="8"/>
      <x:c r="T118" s="7"/>
      <x:c r="U118" s="7"/>
      <x:c r="V118" s="8"/>
      <x:c r="W118" s="7" t="n">
        <x:v>5</x:v>
      </x:c>
      <x:c r="X118" s="7" t="str">
        <x:v>대상: 적전체. 적전체에게 공격력*0.525배 + 생명력*0.175배 만큼의 피해를 가합니다. 90%확률로 방어력 관통 30% 적용합니다. 90%확률로 표적 15% 적용합니다.</x:v>
      </x:c>
      <x:c r="Y118" s="7" t="str">
        <x:v>Target: all enemies. Deals 0.525 × caster Attack + 0.175 × caster max Health damage to all enemies. 90% chance to apply Defense Penetration 30%. 90% chance to apply Target 15%.</x:v>
      </x:c>
      <x:c r="Z118" s="7" t="str">
        <x:v>공격|디버프</x:v>
      </x:c>
    </x:row>
    <x:row r="119" ht="115" customHeight="1">
      <x:c r="A119" s="7" t="str">
        <x:v>SKILL_0113</x:v>
      </x:c>
      <x:c r="B119" s="7" t="str">
        <x:v>상처 · 공격력 감소 · 저주의 일격</x:v>
      </x:c>
      <x:c r="C119" s="7"/>
      <x:c r="D119" s="7" t="str">
        <x:v>적</x:v>
      </x:c>
      <x:c r="E119" s="7" t="n">
        <x:v>1.1</x:v>
      </x:c>
      <x:c r="F119" s="7" t="n">
        <x:v>0</x:v>
      </x:c>
      <x:c r="G119" s="7" t="n">
        <x:v>0</x:v>
      </x:c>
      <x:c r="H119" s="7" t="n">
        <x:v>0</x:v>
      </x:c>
      <x:c r="I119" s="7" t="n">
        <x:v>0</x:v>
      </x:c>
      <x:c r="J119" s="7" t="n">
        <x:v>0</x:v>
      </x:c>
      <x:c r="K119" s="7" t="str">
        <x:v>INJURY</x:v>
      </x:c>
      <x:c r="L119" s="7" t="n">
        <x:v>0.064</x:v>
      </x:c>
      <x:c r="M119" s="8" t="n">
        <x:v>0.8</x:v>
      </x:c>
      <x:c r="N119" s="7" t="str">
        <x:v>ATTACK_DOWN</x:v>
      </x:c>
      <x:c r="O119" s="7" t="n">
        <x:v>0.2</x:v>
      </x:c>
      <x:c r="P119" s="8" t="n">
        <x:v>0.8</x:v>
      </x:c>
      <x:c r="Q119" s="7" t="str">
        <x:v>CURSE</x:v>
      </x:c>
      <x:c r="R119" s="7" t="n">
        <x:v>0.16</x:v>
      </x:c>
      <x:c r="S119" s="8" t="n">
        <x:v>0.8</x:v>
      </x:c>
      <x:c r="T119" s="7"/>
      <x:c r="U119" s="7"/>
      <x:c r="V119" s="8"/>
      <x:c r="W119" s="7" t="n">
        <x:v>2</x:v>
      </x:c>
      <x:c r="X119" s="7" t="str">
        <x:v>대상: 적. 적에게 공격력*1.1배 만큼의 피해를 가합니다. 80%확률로 상처 6.4% 적용합니다. 80%확률로 공격력 감소 20% 적용합니다. 80%확률로 저주 16% 적용합니다.</x:v>
      </x:c>
      <x:c r="Y119" s="7" t="str">
        <x:v>Target: one enemy. Deals 1.1 × caster Attack damage to one enemy. 80% chance to apply Injury 6.4%. 80% chance to apply Attack Down 20%. 80% chance to apply Curse 16%.</x:v>
      </x:c>
      <x:c r="Z119" s="7" t="str">
        <x:v>공격|디버프</x:v>
      </x:c>
    </x:row>
    <x:row r="120" ht="115" customHeight="1">
      <x:c r="A120" s="7" t="str">
        <x:v>SKILL_0114</x:v>
      </x:c>
      <x:c r="B120" s="7" t="str">
        <x:v>강화효과 지속시간 감소 · 강화 불가 · 강화효과 해제의 일격</x:v>
      </x:c>
      <x:c r="C120" s="7"/>
      <x:c r="D120" s="7" t="str">
        <x:v>적</x:v>
      </x:c>
      <x:c r="E120" s="7" t="n">
        <x:v>0.715</x:v>
      </x:c>
      <x:c r="F120" s="7" t="n">
        <x:v>0.385</x:v>
      </x:c>
      <x:c r="G120" s="7" t="n">
        <x:v>0</x:v>
      </x:c>
      <x:c r="H120" s="7" t="n">
        <x:v>0</x:v>
      </x:c>
      <x:c r="I120" s="7" t="n">
        <x:v>0</x:v>
      </x:c>
      <x:c r="J120" s="7" t="n">
        <x:v>0</x:v>
      </x:c>
      <x:c r="K120" s="7" t="str">
        <x:v>BUFF_DURATION_DOWN</x:v>
      </x:c>
      <x:c r="L120" s="7" t="n">
        <x:v>1</x:v>
      </x:c>
      <x:c r="M120" s="8" t="n">
        <x:v>0.8</x:v>
      </x:c>
      <x:c r="N120" s="7" t="str">
        <x:v>BUFF_BLOCK</x:v>
      </x:c>
      <x:c r="O120" s="7" t="n">
        <x:v>1</x:v>
      </x:c>
      <x:c r="P120" s="8" t="n">
        <x:v>0.8</x:v>
      </x:c>
      <x:c r="Q120" s="7" t="str">
        <x:v>DISPEL_BUFF</x:v>
      </x:c>
      <x:c r="R120" s="7" t="n">
        <x:v>1</x:v>
      </x:c>
      <x:c r="S120" s="8" t="n">
        <x:v>0.8</x:v>
      </x:c>
      <x:c r="T120" s="7"/>
      <x:c r="U120" s="7"/>
      <x:c r="V120" s="8"/>
      <x:c r="W120" s="7" t="n">
        <x:v>3</x:v>
      </x:c>
      <x:c r="X120" s="7" t="str">
        <x:v>대상: 적. 적에게 공격력*0.715배 + 방어력*0.385배 만큼의 피해를 가합니다. 80%확률로 강화효과 지속시간 감소 1턴 적용합니다. 80%확률로 강화 불가 적용합니다. 80%확률로 강화효과 해제 1개 적용합니다.</x:v>
      </x:c>
      <x:c r="Y120" s="7" t="str">
        <x:v>Target: one enemy. Deals 0.715 × caster Attack + 0.385 × caster Defense damage to one enemy. 80% chance to apply Buff Duration Reduction 1 turn. 80% chance to apply Unbuffable. 80% chance to apply Dispel Buff 1 count.</x:v>
      </x:c>
      <x:c r="Z120" s="7" t="str">
        <x:v>공격|디버프</x:v>
      </x:c>
    </x:row>
    <x:row r="121" ht="115" customHeight="1">
      <x:c r="A121" s="7" t="str">
        <x:v>SKILL_0115</x:v>
      </x:c>
      <x:c r="B121" s="7" t="str">
        <x:v>소멸 · 흡혈의 일격</x:v>
      </x:c>
      <x:c r="C121" s="7"/>
      <x:c r="D121" s="7" t="str">
        <x:v>적전체</x:v>
      </x:c>
      <x:c r="E121" s="7" t="n">
        <x:v>0.487</x:v>
      </x:c>
      <x:c r="F121" s="7" t="n">
        <x:v>0</x:v>
      </x:c>
      <x:c r="G121" s="7" t="n">
        <x:v>0.163</x:v>
      </x:c>
      <x:c r="H121" s="7" t="n">
        <x:v>0</x:v>
      </x:c>
      <x:c r="I121" s="7" t="n">
        <x:v>0</x:v>
      </x:c>
      <x:c r="J121" s="7" t="n">
        <x:v>0</x:v>
      </x:c>
      <x:c r="K121" s="7" t="str">
        <x:v>EXTINCTION</x:v>
      </x:c>
      <x:c r="L121" s="7" t="n">
        <x:v>1</x:v>
      </x:c>
      <x:c r="M121" s="8" t="n">
        <x:v>0.85</x:v>
      </x:c>
      <x:c r="N121" s="7" t="str">
        <x:v>LIFESTEAL</x:v>
      </x:c>
      <x:c r="O121" s="7" t="n">
        <x:v>0.3</x:v>
      </x:c>
      <x:c r="P121" s="8" t="n">
        <x:v>0.85</x:v>
      </x:c>
      <x:c r="Q121" s="7"/>
      <x:c r="R121" s="7"/>
      <x:c r="S121" s="8"/>
      <x:c r="T121" s="7"/>
      <x:c r="U121" s="7"/>
      <x:c r="V121" s="8"/>
      <x:c r="W121" s="7" t="n">
        <x:v>5</x:v>
      </x:c>
      <x:c r="X121" s="7" t="str">
        <x:v>대상: 적전체. 적전체에게 공격력*0.487배 + 속도*0.163배 만큼의 피해를 가합니다. 85%확률로 소멸 적용합니다. 85%확률로 흡혈 30% 획득합니다.</x:v>
      </x:c>
      <x:c r="Y121" s="7" t="str">
        <x:v>Target: all enemies. Deals 0.487 × caster Attack + 0.163 × caster Speed damage to all enemies. 85% chance to apply Extinction. 85% chance to gain Lifesteal 30%.</x:v>
      </x:c>
      <x:c r="Z121" s="7" t="str">
        <x:v>공격|회복|버프</x:v>
      </x:c>
    </x:row>
    <x:row r="122" ht="115" customHeight="1">
      <x:c r="A122" s="7" t="str">
        <x:v>SKILL_0116</x:v>
      </x:c>
      <x:c r="B122" s="7" t="str">
        <x:v>기절 — 스턴 · 표적 · 약화효과 지속시간 증가의 일격</x:v>
      </x:c>
      <x:c r="C122" s="7"/>
      <x:c r="D122" s="7" t="str">
        <x:v>적</x:v>
      </x:c>
      <x:c r="E122" s="7" t="n">
        <x:v>0.77</x:v>
      </x:c>
      <x:c r="F122" s="7" t="n">
        <x:v>0</x:v>
      </x:c>
      <x:c r="G122" s="7" t="n">
        <x:v>0</x:v>
      </x:c>
      <x:c r="H122" s="7" t="n">
        <x:v>0.33</x:v>
      </x:c>
      <x:c r="I122" s="7" t="n">
        <x:v>0</x:v>
      </x:c>
      <x:c r="J122" s="7" t="n">
        <x:v>0</x:v>
      </x:c>
      <x:c r="K122" s="7" t="str">
        <x:v>STUN</x:v>
      </x:c>
      <x:c r="L122" s="7" t="n">
        <x:v>1</x:v>
      </x:c>
      <x:c r="M122" s="8" t="n">
        <x:v>0.8</x:v>
      </x:c>
      <x:c r="N122" s="7" t="str">
        <x:v>TARGET</x:v>
      </x:c>
      <x:c r="O122" s="7" t="n">
        <x:v>0.12</x:v>
      </x:c>
      <x:c r="P122" s="8" t="n">
        <x:v>0.8</x:v>
      </x:c>
      <x:c r="Q122" s="7" t="str">
        <x:v>DEBUFF_DURATION_UP</x:v>
      </x:c>
      <x:c r="R122" s="7" t="n">
        <x:v>1</x:v>
      </x:c>
      <x:c r="S122" s="8" t="n">
        <x:v>0.8</x:v>
      </x:c>
      <x:c r="T122" s="7"/>
      <x:c r="U122" s="7"/>
      <x:c r="V122" s="8"/>
      <x:c r="W122" s="7" t="n">
        <x:v>4</x:v>
      </x:c>
      <x:c r="X122" s="7" t="str">
        <x:v>대상: 적. 적에게 공격력*0.77배 + 생명력*0.33배 만큼의 피해를 가합니다. 80%확률로 기절 — 스턴 적용합니다. 80%확률로 표적 12% 적용합니다. 80%확률로 약화효과 지속시간 증가 1턴 적용합니다.</x:v>
      </x:c>
      <x:c r="Y122" s="7" t="str">
        <x:v>Target: one enemy. Deals 0.77 × caster Attack + 0.33 × caster max Health damage to one enemy. 80% chance to apply Stun. 80% chance to apply Target 12%. 80% chance to apply Debuff Duration Extension 1 turn.</x:v>
      </x:c>
      <x:c r="Z122" s="7" t="str">
        <x:v>공격|디버프</x:v>
      </x:c>
    </x:row>
    <x:row r="123" ht="115" customHeight="1">
      <x:c r="A123" s="7" t="str">
        <x:v>SKILL_0117</x:v>
      </x:c>
      <x:c r="B123" s="7" t="str">
        <x:v>도발 · 강화 불가의 일격</x:v>
      </x:c>
      <x:c r="C123" s="7"/>
      <x:c r="D123" s="7" t="str">
        <x:v>적</x:v>
      </x:c>
      <x:c r="E123" s="7" t="n">
        <x:v>1.1</x:v>
      </x:c>
      <x:c r="F123" s="7" t="n">
        <x:v>0</x:v>
      </x:c>
      <x:c r="G123" s="7" t="n">
        <x:v>0</x:v>
      </x:c>
      <x:c r="H123" s="7" t="n">
        <x:v>0</x:v>
      </x:c>
      <x:c r="I123" s="7" t="n">
        <x:v>0</x:v>
      </x:c>
      <x:c r="J123" s="7" t="n">
        <x:v>0</x:v>
      </x:c>
      <x:c r="K123" s="7" t="str">
        <x:v>PROVOKE</x:v>
      </x:c>
      <x:c r="L123" s="7" t="n">
        <x:v>1</x:v>
      </x:c>
      <x:c r="M123" s="8" t="n">
        <x:v>0.9</x:v>
      </x:c>
      <x:c r="N123" s="7" t="str">
        <x:v>BUFF_BLOCK</x:v>
      </x:c>
      <x:c r="O123" s="7" t="n">
        <x:v>1</x:v>
      </x:c>
      <x:c r="P123" s="8" t="n">
        <x:v>0.9</x:v>
      </x:c>
      <x:c r="Q123" s="7"/>
      <x:c r="R123" s="7"/>
      <x:c r="S123" s="8"/>
      <x:c r="T123" s="7"/>
      <x:c r="U123" s="7"/>
      <x:c r="V123" s="8"/>
      <x:c r="W123" s="7" t="n">
        <x:v>3</x:v>
      </x:c>
      <x:c r="X123" s="7" t="str">
        <x:v>대상: 적. 적에게 공격력*1.1배 만큼의 피해를 가합니다. 90%확률로 도발 적용합니다. 90%확률로 강화 불가 적용합니다.</x:v>
      </x:c>
      <x:c r="Y123" s="7" t="str">
        <x:v>Target: one enemy. Deals 1.1 × caster Attack damage to one enemy. 90% chance to apply Provoke. 90% chance to apply Unbuffable.</x:v>
      </x:c>
      <x:c r="Z123" s="7" t="str">
        <x:v>공격|디버프</x:v>
      </x:c>
    </x:row>
    <x:row r="124" ht="115" customHeight="1">
      <x:c r="A124" s="7" t="str">
        <x:v>SKILL_0118</x:v>
      </x:c>
      <x:c r="B124" s="7" t="str">
        <x:v>강화효과 해제 · 공격력 감소 · 약화효과 전이 · 상처의 일격</x:v>
      </x:c>
      <x:c r="C124" s="7"/>
      <x:c r="D124" s="7" t="str">
        <x:v>적</x:v>
      </x:c>
      <x:c r="E124" s="7" t="n">
        <x:v>0.825</x:v>
      </x:c>
      <x:c r="F124" s="7" t="n">
        <x:v>0.275</x:v>
      </x:c>
      <x:c r="G124" s="7" t="n">
        <x:v>0</x:v>
      </x:c>
      <x:c r="H124" s="7" t="n">
        <x:v>0</x:v>
      </x:c>
      <x:c r="I124" s="7" t="n">
        <x:v>0</x:v>
      </x:c>
      <x:c r="J124" s="7" t="n">
        <x:v>0</x:v>
      </x:c>
      <x:c r="K124" s="7" t="str">
        <x:v>DISPEL_BUFF</x:v>
      </x:c>
      <x:c r="L124" s="7" t="n">
        <x:v>1</x:v>
      </x:c>
      <x:c r="M124" s="8" t="n">
        <x:v>0.7</x:v>
      </x:c>
      <x:c r="N124" s="7" t="str">
        <x:v>ATTACK_DOWN</x:v>
      </x:c>
      <x:c r="O124" s="7" t="n">
        <x:v>0.163</x:v>
      </x:c>
      <x:c r="P124" s="8" t="n">
        <x:v>0.7</x:v>
      </x:c>
      <x:c r="Q124" s="7" t="str">
        <x:v>TRANSFER_DEBUFF</x:v>
      </x:c>
      <x:c r="R124" s="7" t="n">
        <x:v>1</x:v>
      </x:c>
      <x:c r="S124" s="8" t="n">
        <x:v>0.7</x:v>
      </x:c>
      <x:c r="T124" s="7" t="str">
        <x:v>INJURY</x:v>
      </x:c>
      <x:c r="U124" s="7" t="n">
        <x:v>0.052</x:v>
      </x:c>
      <x:c r="V124" s="8" t="n">
        <x:v>0.7</x:v>
      </x:c>
      <x:c r="W124" s="7" t="n">
        <x:v>3</x:v>
      </x:c>
      <x:c r="X124" s="7" t="str">
        <x:v>대상: 적. 적에게 공격력*0.825배 + 방어력*0.275배 만큼의 피해를 가합니다. 70%확률로 강화효과 해제 1개 적용합니다. 70%확률로 공격력 감소 16.3% 적용합니다. 70%확률로 약화효과 전이 1개 적용합니다. 70%확률로 상처 5.2% 적용합니다.</x:v>
      </x:c>
      <x:c r="Y124" s="7" t="str">
        <x:v>Target: one enemy. Deals 0.825 × caster Attack + 0.275 × caster Defense damage to one enemy. 70% chance to apply Dispel Buff 1 count. 70% chance to apply Attack Down 16.3%. 70% chance to apply Debuff Transfer 1 count. 70% chance to apply Injury 5.2%.</x:v>
      </x:c>
      <x:c r="Z124" s="7" t="str">
        <x:v>공격|디버프</x:v>
      </x:c>
    </x:row>
    <x:row r="125" ht="115" customHeight="1">
      <x:c r="A125" s="7" t="str">
        <x:v>SKILL_0119</x:v>
      </x:c>
      <x:c r="B125" s="7" t="str">
        <x:v>약화효과 지속시간 증가 · 출혈 · 공격력 감소 · 도발의 일격</x:v>
      </x:c>
      <x:c r="C125" s="7"/>
      <x:c r="D125" s="7" t="str">
        <x:v>적</x:v>
      </x:c>
      <x:c r="E125" s="7" t="n">
        <x:v>0.77</x:v>
      </x:c>
      <x:c r="F125" s="7" t="n">
        <x:v>0</x:v>
      </x:c>
      <x:c r="G125" s="7" t="n">
        <x:v>0.33</x:v>
      </x:c>
      <x:c r="H125" s="7" t="n">
        <x:v>0</x:v>
      </x:c>
      <x:c r="I125" s="7" t="n">
        <x:v>0</x:v>
      </x:c>
      <x:c r="J125" s="7" t="n">
        <x:v>0</x:v>
      </x:c>
      <x:c r="K125" s="7" t="str">
        <x:v>DEBUFF_DURATION_UP</x:v>
      </x:c>
      <x:c r="L125" s="7" t="n">
        <x:v>1</x:v>
      </x:c>
      <x:c r="M125" s="8" t="n">
        <x:v>0.7</x:v>
      </x:c>
      <x:c r="N125" s="7" t="str">
        <x:v>BLEED</x:v>
      </x:c>
      <x:c r="O125" s="7" t="n">
        <x:v>0.13</x:v>
      </x:c>
      <x:c r="P125" s="8" t="n">
        <x:v>0.7</x:v>
      </x:c>
      <x:c r="Q125" s="7" t="str">
        <x:v>ATTACK_DOWN</x:v>
      </x:c>
      <x:c r="R125" s="7" t="n">
        <x:v>0.163</x:v>
      </x:c>
      <x:c r="S125" s="8" t="n">
        <x:v>0.7</x:v>
      </x:c>
      <x:c r="T125" s="7" t="str">
        <x:v>PROVOKE</x:v>
      </x:c>
      <x:c r="U125" s="7" t="n">
        <x:v>1</x:v>
      </x:c>
      <x:c r="V125" s="8" t="n">
        <x:v>0.7</x:v>
      </x:c>
      <x:c r="W125" s="7" t="n">
        <x:v>3</x:v>
      </x:c>
      <x:c r="X125" s="7" t="str">
        <x:v>대상: 적. 적에게 공격력*0.77배 + 속도*0.33배 만큼의 피해를 가합니다. 70%확률로 약화효과 지속시간 증가 1턴 적용합니다. 70%확률로 출혈 13% 적용합니다. 70%확률로 공격력 감소 16.3% 적용합니다. 70%확률로 도발 적용합니다.</x:v>
      </x:c>
      <x:c r="Y125" s="7" t="str">
        <x:v>Target: one enemy. Deals 0.77 × caster Attack + 0.33 × caster Speed damage to one enemy. 70% chance to apply Debuff Duration Extension 1 turn. 70% chance to apply Bleed 13%. 70% chance to apply Attack Down 16.3%. 70% chance to apply Provoke.</x:v>
      </x:c>
      <x:c r="Z125" s="7" t="str">
        <x:v>공격|디버프</x:v>
      </x:c>
    </x:row>
    <x:row r="126" ht="115" customHeight="1">
      <x:c r="A126" s="7" t="str">
        <x:v>SKILL_0120</x:v>
      </x:c>
      <x:c r="B126" s="7" t="str">
        <x:v>흡혈 · 중독 · 기절 — 스턴의 일격</x:v>
      </x:c>
      <x:c r="C126" s="7"/>
      <x:c r="D126" s="7" t="str">
        <x:v>적</x:v>
      </x:c>
      <x:c r="E126" s="7" t="n">
        <x:v>0.715</x:v>
      </x:c>
      <x:c r="F126" s="7" t="n">
        <x:v>0</x:v>
      </x:c>
      <x:c r="G126" s="7" t="n">
        <x:v>0</x:v>
      </x:c>
      <x:c r="H126" s="7" t="n">
        <x:v>0.385</x:v>
      </x:c>
      <x:c r="I126" s="7" t="n">
        <x:v>0</x:v>
      </x:c>
      <x:c r="J126" s="7" t="n">
        <x:v>0</x:v>
      </x:c>
      <x:c r="K126" s="7" t="str">
        <x:v>LIFESTEAL</x:v>
      </x:c>
      <x:c r="L126" s="7" t="n">
        <x:v>0.24</x:v>
      </x:c>
      <x:c r="M126" s="8" t="n">
        <x:v>0.8</x:v>
      </x:c>
      <x:c r="N126" s="7" t="str">
        <x:v>POISON</x:v>
      </x:c>
      <x:c r="O126" s="7" t="n">
        <x:v>0.032</x:v>
      </x:c>
      <x:c r="P126" s="8" t="n">
        <x:v>0.8</x:v>
      </x:c>
      <x:c r="Q126" s="7" t="str">
        <x:v>STUN</x:v>
      </x:c>
      <x:c r="R126" s="7" t="n">
        <x:v>1</x:v>
      </x:c>
      <x:c r="S126" s="8" t="n">
        <x:v>0.8</x:v>
      </x:c>
      <x:c r="T126" s="7"/>
      <x:c r="U126" s="7"/>
      <x:c r="V126" s="8"/>
      <x:c r="W126" s="7" t="n">
        <x:v>4</x:v>
      </x:c>
      <x:c r="X126" s="7" t="str">
        <x:v>대상: 적. 적에게 공격력*0.715배 + 생명력*0.385배 만큼의 피해를 가합니다. 80%확률로 흡혈 24% 획득합니다. 80%확률로 중독 3.2% 적용합니다. 80%확률로 기절 — 스턴 적용합니다.</x:v>
      </x:c>
      <x:c r="Y126" s="7" t="str">
        <x:v>Target: one enemy. Deals 0.715 × caster Attack + 0.385 × caster max Health damage to one enemy. 80% chance to gain Lifesteal 24%. 80% chance to apply Poison 3.2%. 80% chance to apply Stun.</x:v>
      </x:c>
      <x:c r="Z126" s="7" t="str">
        <x:v>공격|회복|버프|디버프</x:v>
      </x:c>
    </x:row>
    <x:row r="127" ht="115" customHeight="1">
      <x:c r="A127" s="7" t="str">
        <x:v>SKILL_0121</x:v>
      </x:c>
      <x:c r="B127" s="7" t="str">
        <x:v>소멸 · 저주 · 회복 불가의 일격</x:v>
      </x:c>
      <x:c r="C127" s="7"/>
      <x:c r="D127" s="7" t="str">
        <x:v>적전체</x:v>
      </x:c>
      <x:c r="E127" s="7" t="n">
        <x:v>0.45</x:v>
      </x:c>
      <x:c r="F127" s="7" t="n">
        <x:v>0</x:v>
      </x:c>
      <x:c r="G127" s="7" t="n">
        <x:v>0</x:v>
      </x:c>
      <x:c r="H127" s="7" t="n">
        <x:v>0</x:v>
      </x:c>
      <x:c r="I127" s="7" t="n">
        <x:v>0</x:v>
      </x:c>
      <x:c r="J127" s="7" t="n">
        <x:v>0</x:v>
      </x:c>
      <x:c r="K127" s="7" t="str">
        <x:v>EXTINCTION</x:v>
      </x:c>
      <x:c r="L127" s="7" t="n">
        <x:v>1</x:v>
      </x:c>
      <x:c r="M127" s="8" t="n">
        <x:v>0.55</x:v>
      </x:c>
      <x:c r="N127" s="7" t="str">
        <x:v>CURSE</x:v>
      </x:c>
      <x:c r="O127" s="7" t="n">
        <x:v>0.16</x:v>
      </x:c>
      <x:c r="P127" s="8" t="n">
        <x:v>0.55</x:v>
      </x:c>
      <x:c r="Q127" s="7" t="str">
        <x:v>HEAL_BLOCK</x:v>
      </x:c>
      <x:c r="R127" s="7" t="n">
        <x:v>1</x:v>
      </x:c>
      <x:c r="S127" s="8" t="n">
        <x:v>0.55</x:v>
      </x:c>
      <x:c r="T127" s="7"/>
      <x:c r="U127" s="7"/>
      <x:c r="V127" s="8"/>
      <x:c r="W127" s="7" t="n">
        <x:v>5</x:v>
      </x:c>
      <x:c r="X127" s="7" t="str">
        <x:v>대상: 적전체. 적전체에게 공격력*0.45배 만큼의 피해를 가합니다. 55%확률로 소멸 적용합니다. 55%확률로 저주 16% 적용합니다. 55%확률로 회복 불가 적용합니다.</x:v>
      </x:c>
      <x:c r="Y127" s="7" t="str">
        <x:v>Target: all enemies. Deals 0.45 × caster Attack damage to all enemies. 55% chance to apply Extinction. 55% chance to apply Curse 16%. 55% chance to apply Unhealable.</x:v>
      </x:c>
      <x:c r="Z127" s="7" t="str">
        <x:v>공격|디버프</x:v>
      </x:c>
    </x:row>
    <x:row r="128" ht="115" customHeight="1">
      <x:c r="A128" s="7" t="str">
        <x:v>SKILL_0122</x:v>
      </x:c>
      <x:c r="B128" s="7" t="str">
        <x:v>속도 감소 · 강화효과 해제 · 출혈 · 회복 불가의 일격</x:v>
      </x:c>
      <x:c r="C128" s="7"/>
      <x:c r="D128" s="7" t="str">
        <x:v>적</x:v>
      </x:c>
      <x:c r="E128" s="7" t="n">
        <x:v>0.77</x:v>
      </x:c>
      <x:c r="F128" s="7" t="n">
        <x:v>0.33</x:v>
      </x:c>
      <x:c r="G128" s="7" t="n">
        <x:v>0</x:v>
      </x:c>
      <x:c r="H128" s="7" t="n">
        <x:v>0</x:v>
      </x:c>
      <x:c r="I128" s="7" t="n">
        <x:v>0</x:v>
      </x:c>
      <x:c r="J128" s="7" t="n">
        <x:v>0</x:v>
      </x:c>
      <x:c r="K128" s="7" t="str">
        <x:v>SPEED_DOWN</x:v>
      </x:c>
      <x:c r="L128" s="7" t="n">
        <x:v>0.13</x:v>
      </x:c>
      <x:c r="M128" s="8" t="n">
        <x:v>0.7</x:v>
      </x:c>
      <x:c r="N128" s="7" t="str">
        <x:v>DISPEL_BUFF</x:v>
      </x:c>
      <x:c r="O128" s="7" t="n">
        <x:v>1</x:v>
      </x:c>
      <x:c r="P128" s="8" t="n">
        <x:v>0.7</x:v>
      </x:c>
      <x:c r="Q128" s="7" t="str">
        <x:v>BLEED</x:v>
      </x:c>
      <x:c r="R128" s="7" t="n">
        <x:v>0.13</x:v>
      </x:c>
      <x:c r="S128" s="8" t="n">
        <x:v>0.7</x:v>
      </x:c>
      <x:c r="T128" s="7" t="str">
        <x:v>HEAL_BLOCK</x:v>
      </x:c>
      <x:c r="U128" s="7" t="n">
        <x:v>1</x:v>
      </x:c>
      <x:c r="V128" s="8" t="n">
        <x:v>0.7</x:v>
      </x:c>
      <x:c r="W128" s="7" t="n">
        <x:v>3</x:v>
      </x:c>
      <x:c r="X128" s="7" t="str">
        <x:v>대상: 적. 적에게 공격력*0.77배 + 방어력*0.33배 만큼의 피해를 가합니다. 70%확률로 속도 감소 13% 적용합니다. 70%확률로 강화효과 해제 1개 적용합니다. 70%확률로 출혈 13% 적용합니다. 70%확률로 회복 불가 적용합니다.</x:v>
      </x:c>
      <x:c r="Y128" s="7" t="str">
        <x:v>Target: one enemy. Deals 0.77 × caster Attack + 0.33 × caster Defense damage to one enemy. 70% chance to apply Speed Down 13%. 70% chance to apply Dispel Buff 1 count. 70% chance to apply Bleed 13%. 70% chance to apply Unhealable.</x:v>
      </x:c>
      <x:c r="Z128" s="7" t="str">
        <x:v>공격|디버프</x:v>
      </x:c>
    </x:row>
    <x:row r="129" ht="115" customHeight="1">
      <x:c r="A129" s="7" t="str">
        <x:v>SKILL_0123</x:v>
      </x:c>
      <x:c r="B129" s="7" t="str">
        <x:v>강화효과 해제 · 강화효과 지속시간 감소의 일격</x:v>
      </x:c>
      <x:c r="C129" s="7"/>
      <x:c r="D129" s="7" t="str">
        <x:v>적</x:v>
      </x:c>
      <x:c r="E129" s="7" t="n">
        <x:v>0.715</x:v>
      </x:c>
      <x:c r="F129" s="7" t="n">
        <x:v>0</x:v>
      </x:c>
      <x:c r="G129" s="7" t="n">
        <x:v>0.385</x:v>
      </x:c>
      <x:c r="H129" s="7" t="n">
        <x:v>0</x:v>
      </x:c>
      <x:c r="I129" s="7" t="n">
        <x:v>0</x:v>
      </x:c>
      <x:c r="J129" s="7" t="n">
        <x:v>0</x:v>
      </x:c>
      <x:c r="K129" s="7" t="str">
        <x:v>DISPEL_BUFF</x:v>
      </x:c>
      <x:c r="L129" s="7" t="n">
        <x:v>1</x:v>
      </x:c>
      <x:c r="M129" s="8" t="n">
        <x:v>0.9</x:v>
      </x:c>
      <x:c r="N129" s="7" t="str">
        <x:v>BUFF_DURATION_DOWN</x:v>
      </x:c>
      <x:c r="O129" s="7" t="n">
        <x:v>1</x:v>
      </x:c>
      <x:c r="P129" s="8" t="n">
        <x:v>0.9</x:v>
      </x:c>
      <x:c r="Q129" s="7"/>
      <x:c r="R129" s="7"/>
      <x:c r="S129" s="8"/>
      <x:c r="T129" s="7"/>
      <x:c r="U129" s="7"/>
      <x:c r="V129" s="8"/>
      <x:c r="W129" s="7" t="n">
        <x:v>2</x:v>
      </x:c>
      <x:c r="X129" s="7" t="str">
        <x:v>대상: 적. 적에게 공격력*0.715배 + 속도*0.385배 만큼의 피해를 가합니다. 90%확률로 강화효과 해제 1개 적용합니다. 90%확률로 강화효과 지속시간 감소 1턴 적용합니다.</x:v>
      </x:c>
      <x:c r="Y129" s="7" t="str">
        <x:v>Target: one enemy. Deals 0.715 × caster Attack + 0.385 × caster Speed damage to one enemy. 90% chance to apply Dispel Buff 1 count. 90% chance to apply Buff Duration Reduction 1 turn.</x:v>
      </x:c>
      <x:c r="Z129" s="7" t="str">
        <x:v>공격|디버프</x:v>
      </x:c>
    </x:row>
    <x:row r="130" ht="115" customHeight="1">
      <x:c r="A130" s="7" t="str">
        <x:v>SKILL_0124</x:v>
      </x:c>
      <x:c r="B130" s="7" t="str">
        <x:v>소멸 · 약화효과 지속시간 증가의 일격</x:v>
      </x:c>
      <x:c r="C130" s="7"/>
      <x:c r="D130" s="7" t="str">
        <x:v>적전체</x:v>
      </x:c>
      <x:c r="E130" s="7" t="n">
        <x:v>0.375</x:v>
      </x:c>
      <x:c r="F130" s="7" t="n">
        <x:v>0</x:v>
      </x:c>
      <x:c r="G130" s="7" t="n">
        <x:v>0</x:v>
      </x:c>
      <x:c r="H130" s="7" t="n">
        <x:v>0.125</x:v>
      </x:c>
      <x:c r="I130" s="7" t="n">
        <x:v>0</x:v>
      </x:c>
      <x:c r="J130" s="7" t="n">
        <x:v>0</x:v>
      </x:c>
      <x:c r="K130" s="7" t="str">
        <x:v>EXTINCTION</x:v>
      </x:c>
      <x:c r="L130" s="7" t="n">
        <x:v>1</x:v>
      </x:c>
      <x:c r="M130" s="8" t="n">
        <x:v>0.7</x:v>
      </x:c>
      <x:c r="N130" s="7" t="str">
        <x:v>DEBUFF_DURATION_UP</x:v>
      </x:c>
      <x:c r="O130" s="7" t="n">
        <x:v>1</x:v>
      </x:c>
      <x:c r="P130" s="8" t="n">
        <x:v>0.7</x:v>
      </x:c>
      <x:c r="Q130" s="7"/>
      <x:c r="R130" s="7"/>
      <x:c r="S130" s="8"/>
      <x:c r="T130" s="7"/>
      <x:c r="U130" s="7"/>
      <x:c r="V130" s="8"/>
      <x:c r="W130" s="7" t="n">
        <x:v>5</x:v>
      </x:c>
      <x:c r="X130" s="7" t="str">
        <x:v>대상: 적전체. 적전체에게 공격력*0.375배 + 생명력*0.125배 만큼의 피해를 가합니다. 70%확률로 소멸 적용합니다. 70%확률로 약화효과 지속시간 증가 1턴 적용합니다.</x:v>
      </x:c>
      <x:c r="Y130" s="7" t="str">
        <x:v>Target: all enemies. Deals 0.375 × caster Attack + 0.125 × caster max Health damage to all enemies. 70% chance to apply Extinction. 70% chance to apply Debuff Duration Extension 1 turn.</x:v>
      </x:c>
      <x:c r="Z130" s="7" t="str">
        <x:v>공격|디버프</x:v>
      </x:c>
    </x:row>
    <x:row r="131" ht="115" customHeight="1">
      <x:c r="A131" s="7" t="str">
        <x:v>SKILL_0125</x:v>
      </x:c>
      <x:c r="B131" s="7" t="str">
        <x:v>방어력 관통 · 약화효과 전이의 일격</x:v>
      </x:c>
      <x:c r="C131" s="7"/>
      <x:c r="D131" s="7" t="str">
        <x:v>적</x:v>
      </x:c>
      <x:c r="E131" s="7" t="n">
        <x:v>1.1</x:v>
      </x:c>
      <x:c r="F131" s="7" t="n">
        <x:v>0</x:v>
      </x:c>
      <x:c r="G131" s="7" t="n">
        <x:v>0</x:v>
      </x:c>
      <x:c r="H131" s="7" t="n">
        <x:v>0</x:v>
      </x:c>
      <x:c r="I131" s="7" t="n">
        <x:v>0</x:v>
      </x:c>
      <x:c r="J131" s="7" t="n">
        <x:v>0</x:v>
      </x:c>
      <x:c r="K131" s="7" t="str">
        <x:v>DEFENSE_PENETRATION</x:v>
      </x:c>
      <x:c r="L131" s="7" t="n">
        <x:v>0.3</x:v>
      </x:c>
      <x:c r="M131" s="8" t="n">
        <x:v>0.9</x:v>
      </x:c>
      <x:c r="N131" s="7" t="str">
        <x:v>TRANSFER_DEBUFF</x:v>
      </x:c>
      <x:c r="O131" s="7" t="n">
        <x:v>1</x:v>
      </x:c>
      <x:c r="P131" s="8" t="n">
        <x:v>0.9</x:v>
      </x:c>
      <x:c r="Q131" s="7"/>
      <x:c r="R131" s="7"/>
      <x:c r="S131" s="8"/>
      <x:c r="T131" s="7"/>
      <x:c r="U131" s="7"/>
      <x:c r="V131" s="8"/>
      <x:c r="W131" s="7" t="n">
        <x:v>3</x:v>
      </x:c>
      <x:c r="X131" s="7" t="str">
        <x:v>대상: 적. 적에게 공격력*1.1배 만큼의 피해를 가합니다. 90%확률로 방어력 관통 30% 적용합니다. 90%확률로 약화효과 전이 1개 적용합니다.</x:v>
      </x:c>
      <x:c r="Y131" s="7" t="str">
        <x:v>Target: one enemy. Deals 1.1 × caster Attack damage to one enemy. 90% chance to apply Defense Penetration 30%. 90% chance to apply Debuff Transfer 1 count.</x:v>
      </x:c>
      <x:c r="Z131" s="7" t="str">
        <x:v>공격|디버프</x:v>
      </x:c>
    </x:row>
    <x:row r="132" ht="115" customHeight="1">
      <x:c r="A132" s="7" t="str">
        <x:v>SKILL_0126</x:v>
      </x:c>
      <x:c r="B132" s="7" t="str">
        <x:v>추가 공격 · 스킬 쿨타임 증가 · 상처 · 강화효과 해제의 일격</x:v>
      </x:c>
      <x:c r="C132" s="7"/>
      <x:c r="D132" s="7" t="str">
        <x:v>적</x:v>
      </x:c>
      <x:c r="E132" s="7" t="n">
        <x:v>0.715</x:v>
      </x:c>
      <x:c r="F132" s="7" t="n">
        <x:v>0.385</x:v>
      </x:c>
      <x:c r="G132" s="7" t="n">
        <x:v>0</x:v>
      </x:c>
      <x:c r="H132" s="7" t="n">
        <x:v>0</x:v>
      </x:c>
      <x:c r="I132" s="7" t="n">
        <x:v>0</x:v>
      </x:c>
      <x:c r="J132" s="7" t="n">
        <x:v>0</x:v>
      </x:c>
      <x:c r="K132" s="7" t="str">
        <x:v>EXTRA_ATTACK</x:v>
      </x:c>
      <x:c r="L132" s="7" t="n">
        <x:v>0.227</x:v>
      </x:c>
      <x:c r="M132" s="8" t="n">
        <x:v>0.7</x:v>
      </x:c>
      <x:c r="N132" s="7" t="str">
        <x:v>SKILL_COOLDOWN_UP</x:v>
      </x:c>
      <x:c r="O132" s="7" t="n">
        <x:v>1</x:v>
      </x:c>
      <x:c r="P132" s="8" t="n">
        <x:v>0.7</x:v>
      </x:c>
      <x:c r="Q132" s="7" t="str">
        <x:v>INJURY</x:v>
      </x:c>
      <x:c r="R132" s="7" t="n">
        <x:v>0.052</x:v>
      </x:c>
      <x:c r="S132" s="8" t="n">
        <x:v>0.7</x:v>
      </x:c>
      <x:c r="T132" s="7" t="str">
        <x:v>DISPEL_BUFF</x:v>
      </x:c>
      <x:c r="U132" s="7" t="n">
        <x:v>1</x:v>
      </x:c>
      <x:c r="V132" s="8" t="n">
        <x:v>0.7</x:v>
      </x:c>
      <x:c r="W132" s="7" t="n">
        <x:v>4</x:v>
      </x:c>
      <x:c r="X132" s="7" t="str">
        <x:v>대상: 적. 적에게 공격력*0.715배 + 방어력*0.385배 만큼의 피해를 가합니다. 70%확률로 추가 공격 22.7% 적용합니다. 70%확률로 스킬 쿨타임 증가 1턴 적용합니다. 70%확률로 상처 5.2% 적용합니다. 70%확률로 강화효과 해제 1개 적용합니다.</x:v>
      </x:c>
      <x:c r="Y132" s="7" t="str">
        <x:v>Target: one enemy. Deals 0.715 × caster Attack + 0.385 × caster Defense damage to one enemy. 70% chance to apply Extra Attack 22.7%. 70% chance to apply Skill Cooldown Increase 1 turn. 70% chance to apply Injury 5.2%. 70% chance to apply Dispel Buff 1 count.</x:v>
      </x:c>
      <x:c r="Z132" s="7" t="str">
        <x:v>공격|디버프</x:v>
      </x:c>
    </x:row>
    <x:row r="133" ht="115" customHeight="1">
      <x:c r="A133" s="7" t="str">
        <x:v>SKILL_0127</x:v>
      </x:c>
      <x:c r="B133" s="7" t="str">
        <x:v>상처 · 출혈 · 명중 감소 · 도발의 일격</x:v>
      </x:c>
      <x:c r="C133" s="7"/>
      <x:c r="D133" s="7" t="str">
        <x:v>적전체</x:v>
      </x:c>
      <x:c r="E133" s="7" t="n">
        <x:v>0.375</x:v>
      </x:c>
      <x:c r="F133" s="7" t="n">
        <x:v>0</x:v>
      </x:c>
      <x:c r="G133" s="7" t="n">
        <x:v>0.125</x:v>
      </x:c>
      <x:c r="H133" s="7" t="n">
        <x:v>0</x:v>
      </x:c>
      <x:c r="I133" s="7" t="n">
        <x:v>0</x:v>
      </x:c>
      <x:c r="J133" s="7" t="n">
        <x:v>0</x:v>
      </x:c>
      <x:c r="K133" s="7" t="str">
        <x:v>INJURY</x:v>
      </x:c>
      <x:c r="L133" s="7" t="n">
        <x:v>0.052</x:v>
      </x:c>
      <x:c r="M133" s="8" t="n">
        <x:v>0.5</x:v>
      </x:c>
      <x:c r="N133" s="7" t="str">
        <x:v>BLEED</x:v>
      </x:c>
      <x:c r="O133" s="7" t="n">
        <x:v>0.13</x:v>
      </x:c>
      <x:c r="P133" s="8" t="n">
        <x:v>0.5</x:v>
      </x:c>
      <x:c r="Q133" s="7" t="str">
        <x:v>HIT_CHANCE_DOWN</x:v>
      </x:c>
      <x:c r="R133" s="7" t="n">
        <x:v>0.13</x:v>
      </x:c>
      <x:c r="S133" s="8" t="n">
        <x:v>0.5</x:v>
      </x:c>
      <x:c r="T133" s="7" t="str">
        <x:v>PROVOKE</x:v>
      </x:c>
      <x:c r="U133" s="7" t="n">
        <x:v>1</x:v>
      </x:c>
      <x:c r="V133" s="8" t="n">
        <x:v>0.5</x:v>
      </x:c>
      <x:c r="W133" s="7" t="n">
        <x:v>5</x:v>
      </x:c>
      <x:c r="X133" s="7" t="str">
        <x:v>대상: 적전체. 적전체에게 공격력*0.375배 + 속도*0.125배 만큼의 피해를 가합니다. 50%확률로 상처 5.2% 적용합니다. 50%확률로 출혈 13% 적용합니다. 50%확률로 명중 감소 13% 적용합니다. 50%확률로 도발 적용합니다.</x:v>
      </x:c>
      <x:c r="Y133" s="7" t="str">
        <x:v>Target: all enemies. Deals 0.375 × caster Attack + 0.125 × caster Speed damage to all enemies. 50% chance to apply Injury 5.2%. 50% chance to apply Bleed 13%. 50% chance to apply Hit Chance Down 13%. 50% chance to apply Provoke.</x:v>
      </x:c>
      <x:c r="Z133" s="7" t="str">
        <x:v>공격|디버프</x:v>
      </x:c>
    </x:row>
    <x:row r="134" ht="115" customHeight="1">
      <x:c r="A134" s="7" t="str">
        <x:v>SKILL_0128</x:v>
      </x:c>
      <x:c r="B134" s="7" t="str">
        <x:v>명중 감소 · 출혈 · 약화효과 지속시간 증가의 일격</x:v>
      </x:c>
      <x:c r="C134" s="7"/>
      <x:c r="D134" s="7" t="str">
        <x:v>적</x:v>
      </x:c>
      <x:c r="E134" s="7" t="n">
        <x:v>0.77</x:v>
      </x:c>
      <x:c r="F134" s="7" t="n">
        <x:v>0</x:v>
      </x:c>
      <x:c r="G134" s="7" t="n">
        <x:v>0</x:v>
      </x:c>
      <x:c r="H134" s="7" t="n">
        <x:v>0.33</x:v>
      </x:c>
      <x:c r="I134" s="7" t="n">
        <x:v>0</x:v>
      </x:c>
      <x:c r="J134" s="7" t="n">
        <x:v>0</x:v>
      </x:c>
      <x:c r="K134" s="7" t="str">
        <x:v>HIT_CHANCE_DOWN</x:v>
      </x:c>
      <x:c r="L134" s="7" t="n">
        <x:v>0.16</x:v>
      </x:c>
      <x:c r="M134" s="8" t="n">
        <x:v>0.8</x:v>
      </x:c>
      <x:c r="N134" s="7" t="str">
        <x:v>BLEED</x:v>
      </x:c>
      <x:c r="O134" s="7" t="n">
        <x:v>0.16</x:v>
      </x:c>
      <x:c r="P134" s="8" t="n">
        <x:v>0.8</x:v>
      </x:c>
      <x:c r="Q134" s="7" t="str">
        <x:v>DEBUFF_DURATION_UP</x:v>
      </x:c>
      <x:c r="R134" s="7" t="n">
        <x:v>1</x:v>
      </x:c>
      <x:c r="S134" s="8" t="n">
        <x:v>0.8</x:v>
      </x:c>
      <x:c r="T134" s="7"/>
      <x:c r="U134" s="7"/>
      <x:c r="V134" s="8"/>
      <x:c r="W134" s="7" t="n">
        <x:v>3</x:v>
      </x:c>
      <x:c r="X134" s="7" t="str">
        <x:v>대상: 적. 적에게 공격력*0.77배 + 생명력*0.33배 만큼의 피해를 가합니다. 80%확률로 명중 감소 16% 적용합니다. 80%확률로 출혈 16% 적용합니다. 80%확률로 약화효과 지속시간 증가 1턴 적용합니다.</x:v>
      </x:c>
      <x:c r="Y134" s="7" t="str">
        <x:v>Target: one enemy. Deals 0.77 × caster Attack + 0.33 × caster max Health damage to one enemy. 80% chance to apply Hit Chance Down 16%. 80% chance to apply Bleed 16%. 80% chance to apply Debuff Duration Extension 1 turn.</x:v>
      </x:c>
      <x:c r="Z134" s="7" t="str">
        <x:v>공격|디버프</x:v>
      </x:c>
    </x:row>
    <x:row r="135" ht="115" customHeight="1">
      <x:c r="A135" s="7" t="str">
        <x:v>SKILL_0129</x:v>
      </x:c>
      <x:c r="B135" s="7" t="str">
        <x:v>스킬 쿨타임 증가 · 약화효과 지속시간 증가의 일격</x:v>
      </x:c>
      <x:c r="C135" s="7"/>
      <x:c r="D135" s="7" t="str">
        <x:v>적</x:v>
      </x:c>
      <x:c r="E135" s="7" t="n">
        <x:v>1.1</x:v>
      </x:c>
      <x:c r="F135" s="7" t="n">
        <x:v>0</x:v>
      </x:c>
      <x:c r="G135" s="7" t="n">
        <x:v>0</x:v>
      </x:c>
      <x:c r="H135" s="7" t="n">
        <x:v>0</x:v>
      </x:c>
      <x:c r="I135" s="7" t="n">
        <x:v>0</x:v>
      </x:c>
      <x:c r="J135" s="7" t="n">
        <x:v>0</x:v>
      </x:c>
      <x:c r="K135" s="7" t="str">
        <x:v>SKILL_COOLDOWN_UP</x:v>
      </x:c>
      <x:c r="L135" s="7" t="n">
        <x:v>1</x:v>
      </x:c>
      <x:c r="M135" s="8" t="n">
        <x:v>0.9</x:v>
      </x:c>
      <x:c r="N135" s="7" t="str">
        <x:v>DEBUFF_DURATION_UP</x:v>
      </x:c>
      <x:c r="O135" s="7" t="n">
        <x:v>1</x:v>
      </x:c>
      <x:c r="P135" s="8" t="n">
        <x:v>0.9</x:v>
      </x:c>
      <x:c r="Q135" s="7"/>
      <x:c r="R135" s="7"/>
      <x:c r="S135" s="8"/>
      <x:c r="T135" s="7"/>
      <x:c r="U135" s="7"/>
      <x:c r="V135" s="8"/>
      <x:c r="W135" s="7" t="n">
        <x:v>3</x:v>
      </x:c>
      <x:c r="X135" s="7" t="str">
        <x:v>대상: 적. 적에게 공격력*1.1배 만큼의 피해를 가합니다. 90%확률로 스킬 쿨타임 증가 1턴 적용합니다. 90%확률로 약화효과 지속시간 증가 1턴 적용합니다.</x:v>
      </x:c>
      <x:c r="Y135" s="7" t="str">
        <x:v>Target: one enemy. Deals 1.1 × caster Attack damage to one enemy. 90% chance to apply Skill Cooldown Increase 1 turn. 90% chance to apply Debuff Duration Extension 1 turn.</x:v>
      </x:c>
      <x:c r="Z135" s="7" t="str">
        <x:v>공격|디버프</x:v>
      </x:c>
    </x:row>
    <x:row r="136" ht="115" customHeight="1">
      <x:c r="A136" s="7" t="str">
        <x:v>SKILL_0130</x:v>
      </x:c>
      <x:c r="B136" s="7" t="str">
        <x:v>흡혈 · 기절 — 스턴 · 방어력 관통 · 회복 불가의 일격</x:v>
      </x:c>
      <x:c r="C136" s="7"/>
      <x:c r="D136" s="7" t="str">
        <x:v>적전체</x:v>
      </x:c>
      <x:c r="E136" s="7" t="n">
        <x:v>0.3</x:v>
      </x:c>
      <x:c r="F136" s="7" t="n">
        <x:v>0.1</x:v>
      </x:c>
      <x:c r="G136" s="7" t="n">
        <x:v>0</x:v>
      </x:c>
      <x:c r="H136" s="7" t="n">
        <x:v>0</x:v>
      </x:c>
      <x:c r="I136" s="7" t="n">
        <x:v>0</x:v>
      </x:c>
      <x:c r="J136" s="7" t="n">
        <x:v>0</x:v>
      </x:c>
      <x:c r="K136" s="7" t="str">
        <x:v>LIFESTEAL</x:v>
      </x:c>
      <x:c r="L136" s="7" t="n">
        <x:v>0.195</x:v>
      </x:c>
      <x:c r="M136" s="8" t="n">
        <x:v>0.4</x:v>
      </x:c>
      <x:c r="N136" s="7" t="str">
        <x:v>STUN</x:v>
      </x:c>
      <x:c r="O136" s="7" t="n">
        <x:v>1</x:v>
      </x:c>
      <x:c r="P136" s="8" t="n">
        <x:v>0.4</x:v>
      </x:c>
      <x:c r="Q136" s="7" t="str">
        <x:v>DEFENSE_PENETRATION</x:v>
      </x:c>
      <x:c r="R136" s="7" t="n">
        <x:v>0.195</x:v>
      </x:c>
      <x:c r="S136" s="8" t="n">
        <x:v>0.4</x:v>
      </x:c>
      <x:c r="T136" s="7" t="str">
        <x:v>HEAL_BLOCK</x:v>
      </x:c>
      <x:c r="U136" s="7" t="n">
        <x:v>1</x:v>
      </x:c>
      <x:c r="V136" s="8" t="n">
        <x:v>0.4</x:v>
      </x:c>
      <x:c r="W136" s="7" t="n">
        <x:v>5</x:v>
      </x:c>
      <x:c r="X136" s="7" t="str">
        <x:v>대상: 적전체. 적전체에게 공격력*0.3배 + 방어력*0.1배 만큼의 피해를 가합니다. 40%확률로 흡혈 19.5% 획득합니다. 40%확률로 기절 — 스턴 적용합니다. 40%확률로 방어력 관통 19.5% 적용합니다. 40%확률로 회복 불가 적용합니다.</x:v>
      </x:c>
      <x:c r="Y136" s="7" t="str">
        <x:v>Target: all enemies. Deals 0.3 × caster Attack + 0.1 × caster Defense damage to all enemies. 40% chance to gain Lifesteal 19.5%. 40% chance to apply Stun. 40% chance to apply Defense Penetration 19.5%. 40% chance to apply Unhealable.</x:v>
      </x:c>
      <x:c r="Z136" s="7" t="str">
        <x:v>공격|회복|버프|디버프</x:v>
      </x:c>
    </x:row>
    <x:row r="137" ht="115" customHeight="1">
      <x:c r="A137" s="7" t="str">
        <x:v>SKILL_0131</x:v>
      </x:c>
      <x:c r="B137" s="7" t="str">
        <x:v>표적 · 공격력 감소 · 방어력 관통의 일격</x:v>
      </x:c>
      <x:c r="C137" s="7"/>
      <x:c r="D137" s="7" t="str">
        <x:v>적</x:v>
      </x:c>
      <x:c r="E137" s="7" t="n">
        <x:v>0.77</x:v>
      </x:c>
      <x:c r="F137" s="7" t="n">
        <x:v>0</x:v>
      </x:c>
      <x:c r="G137" s="7" t="n">
        <x:v>0.33</x:v>
      </x:c>
      <x:c r="H137" s="7" t="n">
        <x:v>0</x:v>
      </x:c>
      <x:c r="I137" s="7" t="n">
        <x:v>0</x:v>
      </x:c>
      <x:c r="J137" s="7" t="n">
        <x:v>0</x:v>
      </x:c>
      <x:c r="K137" s="7" t="str">
        <x:v>TARGET</x:v>
      </x:c>
      <x:c r="L137" s="7" t="n">
        <x:v>0.12</x:v>
      </x:c>
      <x:c r="M137" s="8" t="n">
        <x:v>0.8</x:v>
      </x:c>
      <x:c r="N137" s="7" t="str">
        <x:v>ATTACK_DOWN</x:v>
      </x:c>
      <x:c r="O137" s="7" t="n">
        <x:v>0.2</x:v>
      </x:c>
      <x:c r="P137" s="8" t="n">
        <x:v>0.8</x:v>
      </x:c>
      <x:c r="Q137" s="7" t="str">
        <x:v>DEFENSE_PENETRATION</x:v>
      </x:c>
      <x:c r="R137" s="7" t="n">
        <x:v>0.24</x:v>
      </x:c>
      <x:c r="S137" s="8" t="n">
        <x:v>0.8</x:v>
      </x:c>
      <x:c r="T137" s="7"/>
      <x:c r="U137" s="7"/>
      <x:c r="V137" s="8"/>
      <x:c r="W137" s="7" t="n">
        <x:v>2</x:v>
      </x:c>
      <x:c r="X137" s="7" t="str">
        <x:v>대상: 적. 적에게 공격력*0.77배 + 속도*0.33배 만큼의 피해를 가합니다. 80%확률로 표적 12% 적용합니다. 80%확률로 공격력 감소 20% 적용합니다. 80%확률로 방어력 관통 24% 적용합니다.</x:v>
      </x:c>
      <x:c r="Y137" s="7" t="str">
        <x:v>Target: one enemy. Deals 0.77 × caster Attack + 0.33 × caster Speed damage to one enemy. 80% chance to apply Target 12%. 80% chance to apply Attack Down 20%. 80% chance to apply Defense Penetration 24%.</x:v>
      </x:c>
      <x:c r="Z137" s="7" t="str">
        <x:v>공격|디버프</x:v>
      </x:c>
    </x:row>
    <x:row r="138" ht="115" customHeight="1">
      <x:c r="A138" s="7" t="str">
        <x:v>SKILL_0132</x:v>
      </x:c>
      <x:c r="B138" s="7" t="str">
        <x:v>저주 · 강화효과 지속시간 감소 · 부활 불가의 일격</x:v>
      </x:c>
      <x:c r="C138" s="7"/>
      <x:c r="D138" s="7" t="str">
        <x:v>적</x:v>
      </x:c>
      <x:c r="E138" s="7" t="n">
        <x:v>0.715</x:v>
      </x:c>
      <x:c r="F138" s="7" t="n">
        <x:v>0</x:v>
      </x:c>
      <x:c r="G138" s="7" t="n">
        <x:v>0</x:v>
      </x:c>
      <x:c r="H138" s="7" t="n">
        <x:v>0.385</x:v>
      </x:c>
      <x:c r="I138" s="7" t="n">
        <x:v>0</x:v>
      </x:c>
      <x:c r="J138" s="7" t="n">
        <x:v>0</x:v>
      </x:c>
      <x:c r="K138" s="7" t="str">
        <x:v>CURSE</x:v>
      </x:c>
      <x:c r="L138" s="7" t="n">
        <x:v>0.16</x:v>
      </x:c>
      <x:c r="M138" s="8" t="n">
        <x:v>0.8</x:v>
      </x:c>
      <x:c r="N138" s="7" t="str">
        <x:v>BUFF_DURATION_DOWN</x:v>
      </x:c>
      <x:c r="O138" s="7" t="n">
        <x:v>1</x:v>
      </x:c>
      <x:c r="P138" s="8" t="n">
        <x:v>0.8</x:v>
      </x:c>
      <x:c r="Q138" s="7" t="str">
        <x:v>REVIVE_BLOCK</x:v>
      </x:c>
      <x:c r="R138" s="7" t="n">
        <x:v>1</x:v>
      </x:c>
      <x:c r="S138" s="8" t="n">
        <x:v>0.8</x:v>
      </x:c>
      <x:c r="T138" s="7"/>
      <x:c r="U138" s="7"/>
      <x:c r="V138" s="8"/>
      <x:c r="W138" s="7" t="n">
        <x:v>3</x:v>
      </x:c>
      <x:c r="X138" s="7" t="str">
        <x:v>대상: 적. 적에게 공격력*0.715배 + 생명력*0.385배 만큼의 피해를 가합니다. 80%확률로 저주 16% 적용합니다. 80%확률로 강화효과 지속시간 감소 1턴 적용합니다. 80%확률로 부활 불가 적용합니다.</x:v>
      </x:c>
      <x:c r="Y138" s="7" t="str">
        <x:v>Target: one enemy. Deals 0.715 × caster Attack + 0.385 × caster max Health damage to one enemy. 80% chance to apply Curse 16%. 80% chance to apply Buff Duration Reduction 1 turn. 80% chance to apply Revive Block.</x:v>
      </x:c>
      <x:c r="Z138" s="7" t="str">
        <x:v>공격|디버프</x:v>
      </x:c>
    </x:row>
    <x:row r="139" ht="115" customHeight="1">
      <x:c r="A139" s="7" t="str">
        <x:v>SKILL_0133</x:v>
      </x:c>
      <x:c r="B139" s="7" t="str">
        <x:v>공격력 감소 · 스킬 쿨타임 증가의 일격</x:v>
      </x:c>
      <x:c r="C139" s="7"/>
      <x:c r="D139" s="7" t="str">
        <x:v>적전체</x:v>
      </x:c>
      <x:c r="E139" s="7" t="n">
        <x:v>0.5</x:v>
      </x:c>
      <x:c r="F139" s="7" t="n">
        <x:v>0</x:v>
      </x:c>
      <x:c r="G139" s="7" t="n">
        <x:v>0</x:v>
      </x:c>
      <x:c r="H139" s="7" t="n">
        <x:v>0</x:v>
      </x:c>
      <x:c r="I139" s="7" t="n">
        <x:v>0</x:v>
      </x:c>
      <x:c r="J139" s="7" t="n">
        <x:v>0</x:v>
      </x:c>
      <x:c r="K139" s="7" t="str">
        <x:v>ATTACK_DOWN</x:v>
      </x:c>
      <x:c r="L139" s="7" t="n">
        <x:v>0.25</x:v>
      </x:c>
      <x:c r="M139" s="8" t="n">
        <x:v>0.7</x:v>
      </x:c>
      <x:c r="N139" s="7" t="str">
        <x:v>SKILL_COOLDOWN_UP</x:v>
      </x:c>
      <x:c r="O139" s="7" t="n">
        <x:v>1</x:v>
      </x:c>
      <x:c r="P139" s="8" t="n">
        <x:v>0.7</x:v>
      </x:c>
      <x:c r="Q139" s="7"/>
      <x:c r="R139" s="7"/>
      <x:c r="S139" s="8"/>
      <x:c r="T139" s="7"/>
      <x:c r="U139" s="7"/>
      <x:c r="V139" s="8"/>
      <x:c r="W139" s="7" t="n">
        <x:v>5</x:v>
      </x:c>
      <x:c r="X139" s="7" t="str">
        <x:v>대상: 적전체. 적전체에게 공격력*0.5배 만큼의 피해를 가합니다. 70%확률로 공격력 감소 25% 적용합니다. 70%확률로 스킬 쿨타임 증가 1턴 적용합니다.</x:v>
      </x:c>
      <x:c r="Y139" s="7" t="str">
        <x:v>Target: all enemies. Deals 0.5 × caster Attack damage to all enemies. 70% chance to apply Attack Down 25%. 70% chance to apply Skill Cooldown Increase 1 turn.</x:v>
      </x:c>
      <x:c r="Z139" s="7" t="str">
        <x:v>공격|디버프</x:v>
      </x:c>
    </x:row>
    <x:row r="140" ht="115" customHeight="1">
      <x:c r="A140" s="7" t="str">
        <x:v>SKILL_0134</x:v>
      </x:c>
      <x:c r="B140" s="7" t="str">
        <x:v>방어력 관통 · 중독 · 흡혈의 일격</x:v>
      </x:c>
      <x:c r="C140" s="7"/>
      <x:c r="D140" s="7" t="str">
        <x:v>적</x:v>
      </x:c>
      <x:c r="E140" s="7" t="n">
        <x:v>0.77</x:v>
      </x:c>
      <x:c r="F140" s="7" t="n">
        <x:v>0.33</x:v>
      </x:c>
      <x:c r="G140" s="7" t="n">
        <x:v>0</x:v>
      </x:c>
      <x:c r="H140" s="7" t="n">
        <x:v>0</x:v>
      </x:c>
      <x:c r="I140" s="7" t="n">
        <x:v>0</x:v>
      </x:c>
      <x:c r="J140" s="7" t="n">
        <x:v>0</x:v>
      </x:c>
      <x:c r="K140" s="7" t="str">
        <x:v>DEFENSE_PENETRATION</x:v>
      </x:c>
      <x:c r="L140" s="7" t="n">
        <x:v>0.24</x:v>
      </x:c>
      <x:c r="M140" s="8" t="n">
        <x:v>0.8</x:v>
      </x:c>
      <x:c r="N140" s="7" t="str">
        <x:v>POISON</x:v>
      </x:c>
      <x:c r="O140" s="7" t="n">
        <x:v>0.032</x:v>
      </x:c>
      <x:c r="P140" s="8" t="n">
        <x:v>0.8</x:v>
      </x:c>
      <x:c r="Q140" s="7" t="str">
        <x:v>LIFESTEAL</x:v>
      </x:c>
      <x:c r="R140" s="7" t="n">
        <x:v>0.24</x:v>
      </x:c>
      <x:c r="S140" s="8" t="n">
        <x:v>0.8</x:v>
      </x:c>
      <x:c r="T140" s="7"/>
      <x:c r="U140" s="7"/>
      <x:c r="V140" s="8"/>
      <x:c r="W140" s="7" t="n">
        <x:v>2</x:v>
      </x:c>
      <x:c r="X140" s="7" t="str">
        <x:v>대상: 적. 적에게 공격력*0.77배 + 방어력*0.33배 만큼의 피해를 가합니다. 80%확률로 방어력 관통 24% 적용합니다. 80%확률로 중독 3.2% 적용합니다. 80%확률로 흡혈 24% 획득합니다.</x:v>
      </x:c>
      <x:c r="Y140" s="7" t="str">
        <x:v>Target: one enemy. Deals 0.77 × caster Attack + 0.33 × caster Defense damage to one enemy. 80% chance to apply Defense Penetration 24%. 80% chance to apply Poison 3.2%. 80% chance to gain Lifesteal 24%.</x:v>
      </x:c>
      <x:c r="Z140" s="7" t="str">
        <x:v>공격|회복|버프|디버프</x:v>
      </x:c>
    </x:row>
    <x:row r="141" ht="115" customHeight="1">
      <x:c r="A141" s="7" t="str">
        <x:v>SKILL_0135</x:v>
      </x:c>
      <x:c r="B141" s="7" t="str">
        <x:v>저주 · 방어력 감소 · 흡혈의 일격</x:v>
      </x:c>
      <x:c r="C141" s="7"/>
      <x:c r="D141" s="7" t="str">
        <x:v>적</x:v>
      </x:c>
      <x:c r="E141" s="7" t="n">
        <x:v>0.715</x:v>
      </x:c>
      <x:c r="F141" s="7" t="n">
        <x:v>0</x:v>
      </x:c>
      <x:c r="G141" s="7" t="n">
        <x:v>0.385</x:v>
      </x:c>
      <x:c r="H141" s="7" t="n">
        <x:v>0</x:v>
      </x:c>
      <x:c r="I141" s="7" t="n">
        <x:v>0</x:v>
      </x:c>
      <x:c r="J141" s="7" t="n">
        <x:v>0</x:v>
      </x:c>
      <x:c r="K141" s="7" t="str">
        <x:v>CURSE</x:v>
      </x:c>
      <x:c r="L141" s="7" t="n">
        <x:v>0.16</x:v>
      </x:c>
      <x:c r="M141" s="8" t="n">
        <x:v>0.8</x:v>
      </x:c>
      <x:c r="N141" s="7" t="str">
        <x:v>DEFENSE_DOWN</x:v>
      </x:c>
      <x:c r="O141" s="7" t="n">
        <x:v>0.24</x:v>
      </x:c>
      <x:c r="P141" s="8" t="n">
        <x:v>0.8</x:v>
      </x:c>
      <x:c r="Q141" s="7" t="str">
        <x:v>LIFESTEAL</x:v>
      </x:c>
      <x:c r="R141" s="7" t="n">
        <x:v>0.24</x:v>
      </x:c>
      <x:c r="S141" s="8" t="n">
        <x:v>0.8</x:v>
      </x:c>
      <x:c r="T141" s="7"/>
      <x:c r="U141" s="7"/>
      <x:c r="V141" s="8"/>
      <x:c r="W141" s="7" t="n">
        <x:v>2</x:v>
      </x:c>
      <x:c r="X141" s="7" t="str">
        <x:v>대상: 적. 적에게 공격력*0.715배 + 속도*0.385배 만큼의 피해를 가합니다. 80%확률로 저주 16% 적용합니다. 80%확률로 방어력 감소 24% 적용합니다. 80%확률로 흡혈 24% 획득합니다.</x:v>
      </x:c>
      <x:c r="Y141" s="7" t="str">
        <x:v>Target: one enemy. Deals 0.715 × caster Attack + 0.385 × caster Speed damage to one enemy. 80% chance to apply Curse 16%. 80% chance to apply Defense Down 24%. 80% chance to gain Lifesteal 24%.</x:v>
      </x:c>
      <x:c r="Z141" s="7" t="str">
        <x:v>공격|회복|버프|디버프</x:v>
      </x:c>
    </x:row>
    <x:row r="142" ht="115" customHeight="1">
      <x:c r="A142" s="7" t="str">
        <x:v>SKILL_0136</x:v>
      </x:c>
      <x:c r="B142" s="7" t="str">
        <x:v>저주 · 수면 · 부활 불가의 일격</x:v>
      </x:c>
      <x:c r="C142" s="7"/>
      <x:c r="D142" s="7" t="str">
        <x:v>적전체</x:v>
      </x:c>
      <x:c r="E142" s="7" t="n">
        <x:v>0.262</x:v>
      </x:c>
      <x:c r="F142" s="7" t="n">
        <x:v>0</x:v>
      </x:c>
      <x:c r="G142" s="7" t="n">
        <x:v>0</x:v>
      </x:c>
      <x:c r="H142" s="7" t="n">
        <x:v>0.088</x:v>
      </x:c>
      <x:c r="I142" s="7" t="n">
        <x:v>0</x:v>
      </x:c>
      <x:c r="J142" s="7" t="n">
        <x:v>0</x:v>
      </x:c>
      <x:c r="K142" s="7" t="str">
        <x:v>CURSE</x:v>
      </x:c>
      <x:c r="L142" s="7" t="n">
        <x:v>0.16</x:v>
      </x:c>
      <x:c r="M142" s="8" t="n">
        <x:v>0.45</x:v>
      </x:c>
      <x:c r="N142" s="7" t="str">
        <x:v>SLEEP</x:v>
      </x:c>
      <x:c r="O142" s="7" t="n">
        <x:v>1</x:v>
      </x:c>
      <x:c r="P142" s="8" t="n">
        <x:v>0.45</x:v>
      </x:c>
      <x:c r="Q142" s="7" t="str">
        <x:v>REVIVE_BLOCK</x:v>
      </x:c>
      <x:c r="R142" s="7" t="n">
        <x:v>1</x:v>
      </x:c>
      <x:c r="S142" s="8" t="n">
        <x:v>0.45</x:v>
      </x:c>
      <x:c r="T142" s="7"/>
      <x:c r="U142" s="7"/>
      <x:c r="V142" s="8"/>
      <x:c r="W142" s="7" t="n">
        <x:v>5</x:v>
      </x:c>
      <x:c r="X142" s="7" t="str">
        <x:v>대상: 적전체. 적전체에게 공격력*0.262배 + 생명력*0.088배 만큼의 피해를 가합니다. 45%확률로 저주 16% 적용합니다. 45%확률로 수면 적용합니다. 45%확률로 부활 불가 적용합니다.</x:v>
      </x:c>
      <x:c r="Y142" s="7" t="str">
        <x:v>Target: all enemies. Deals 0.262 × caster Attack + 0.088 × caster max Health damage to all enemies. 45% chance to apply Curse 16%. 45% chance to apply Sleep. 45% chance to apply Revive Block.</x:v>
      </x:c>
      <x:c r="Z142" s="7" t="str">
        <x:v>공격|디버프</x:v>
      </x:c>
    </x:row>
    <x:row r="143" ht="115" customHeight="1">
      <x:c r="A143" s="7" t="str">
        <x:v>SKILL_0137</x:v>
      </x:c>
      <x:c r="B143" s="7" t="str">
        <x:v>방어력 감소 · 표적 · 속도 감소 · 명중 감소의 일격</x:v>
      </x:c>
      <x:c r="C143" s="7"/>
      <x:c r="D143" s="7" t="str">
        <x:v>적</x:v>
      </x:c>
      <x:c r="E143" s="7" t="n">
        <x:v>1.1</x:v>
      </x:c>
      <x:c r="F143" s="7" t="n">
        <x:v>0</x:v>
      </x:c>
      <x:c r="G143" s="7" t="n">
        <x:v>0</x:v>
      </x:c>
      <x:c r="H143" s="7" t="n">
        <x:v>0</x:v>
      </x:c>
      <x:c r="I143" s="7" t="n">
        <x:v>0</x:v>
      </x:c>
      <x:c r="J143" s="7" t="n">
        <x:v>0</x:v>
      </x:c>
      <x:c r="K143" s="7" t="str">
        <x:v>DEFENSE_DOWN</x:v>
      </x:c>
      <x:c r="L143" s="7" t="n">
        <x:v>0.195</x:v>
      </x:c>
      <x:c r="M143" s="8" t="n">
        <x:v>0.7</x:v>
      </x:c>
      <x:c r="N143" s="7" t="str">
        <x:v>TARGET</x:v>
      </x:c>
      <x:c r="O143" s="7" t="n">
        <x:v>0.098</x:v>
      </x:c>
      <x:c r="P143" s="8" t="n">
        <x:v>0.7</x:v>
      </x:c>
      <x:c r="Q143" s="7" t="str">
        <x:v>SPEED_DOWN</x:v>
      </x:c>
      <x:c r="R143" s="7" t="n">
        <x:v>0.13</x:v>
      </x:c>
      <x:c r="S143" s="8" t="n">
        <x:v>0.7</x:v>
      </x:c>
      <x:c r="T143" s="7" t="str">
        <x:v>HIT_CHANCE_DOWN</x:v>
      </x:c>
      <x:c r="U143" s="7" t="n">
        <x:v>0.13</x:v>
      </x:c>
      <x:c r="V143" s="8" t="n">
        <x:v>0.7</x:v>
      </x:c>
      <x:c r="W143" s="7" t="n">
        <x:v>2</x:v>
      </x:c>
      <x:c r="X143" s="7" t="str">
        <x:v>대상: 적. 적에게 공격력*1.1배 만큼의 피해를 가합니다. 70%확률로 방어력 감소 19.5% 적용합니다. 70%확률로 표적 9.8% 적용합니다. 70%확률로 속도 감소 13% 적용합니다. 70%확률로 명중 감소 13% 적용합니다.</x:v>
      </x:c>
      <x:c r="Y143" s="7" t="str">
        <x:v>Target: one enemy. Deals 1.1 × caster Attack damage to one enemy. 70% chance to apply Defense Down 19.5%. 70% chance to apply Target 9.8%. 70% chance to apply Speed Down 13%. 70% chance to apply Hit Chance Down 13%.</x:v>
      </x:c>
      <x:c r="Z143" s="7" t="str">
        <x:v>공격|디버프</x:v>
      </x:c>
    </x:row>
    <x:row r="144" ht="115" customHeight="1">
      <x:c r="A144" s="7" t="str">
        <x:v>SKILL_0138</x:v>
      </x:c>
      <x:c r="B144" s="7" t="str">
        <x:v>방어력 관통 · 기절 — 스턴 · 추가 피해의 일격</x:v>
      </x:c>
      <x:c r="C144" s="7"/>
      <x:c r="D144" s="7" t="str">
        <x:v>적</x:v>
      </x:c>
      <x:c r="E144" s="7" t="n">
        <x:v>0.715</x:v>
      </x:c>
      <x:c r="F144" s="7" t="n">
        <x:v>0.385</x:v>
      </x:c>
      <x:c r="G144" s="7" t="n">
        <x:v>0</x:v>
      </x:c>
      <x:c r="H144" s="7" t="n">
        <x:v>0</x:v>
      </x:c>
      <x:c r="I144" s="7" t="n">
        <x:v>0</x:v>
      </x:c>
      <x:c r="J144" s="7" t="n">
        <x:v>0</x:v>
      </x:c>
      <x:c r="K144" s="7" t="str">
        <x:v>DEFENSE_PENETRATION</x:v>
      </x:c>
      <x:c r="L144" s="7" t="n">
        <x:v>0.24</x:v>
      </x:c>
      <x:c r="M144" s="8" t="n">
        <x:v>0.8</x:v>
      </x:c>
      <x:c r="N144" s="7" t="str">
        <x:v>STUN</x:v>
      </x:c>
      <x:c r="O144" s="7" t="n">
        <x:v>1</x:v>
      </x:c>
      <x:c r="P144" s="8" t="n">
        <x:v>0.8</x:v>
      </x:c>
      <x:c r="Q144" s="7" t="str">
        <x:v>ADDITIONAL_DAMAGE</x:v>
      </x:c>
      <x:c r="R144" s="7" t="n">
        <x:v>0.2</x:v>
      </x:c>
      <x:c r="S144" s="8" t="n">
        <x:v>0.8</x:v>
      </x:c>
      <x:c r="T144" s="7"/>
      <x:c r="U144" s="7"/>
      <x:c r="V144" s="8"/>
      <x:c r="W144" s="7" t="n">
        <x:v>4</x:v>
      </x:c>
      <x:c r="X144" s="7" t="str">
        <x:v>대상: 적. 적에게 공격력*0.715배 + 방어력*0.385배 만큼의 피해를 가합니다. 80%확률로 방어력 관통 24% 적용합니다. 80%확률로 기절 — 스턴 적용합니다. 80%확률로 추가 피해 20% 적용합니다.</x:v>
      </x:c>
      <x:c r="Y144" s="7" t="str">
        <x:v>Target: one enemy. Deals 0.715 × caster Attack + 0.385 × caster Defense damage to one enemy. 80% chance to apply Defense Penetration 24%. 80% chance to apply Stun. 80% chance to apply Additional Damage 20%.</x:v>
      </x:c>
      <x:c r="Z144" s="7" t="str">
        <x:v>공격|디버프</x:v>
      </x:c>
    </x:row>
    <x:row r="145" ht="115" customHeight="1">
      <x:c r="A145" s="7" t="str">
        <x:v>SKILL_0139</x:v>
      </x:c>
      <x:c r="B145" s="7" t="str">
        <x:v>저주 · 회복 불가 · 공격력 감소 · 출혈의 일격</x:v>
      </x:c>
      <x:c r="C145" s="7"/>
      <x:c r="D145" s="7" t="str">
        <x:v>적전체</x:v>
      </x:c>
      <x:c r="E145" s="7" t="n">
        <x:v>0.45</x:v>
      </x:c>
      <x:c r="F145" s="7" t="n">
        <x:v>0</x:v>
      </x:c>
      <x:c r="G145" s="7" t="n">
        <x:v>0.15</x:v>
      </x:c>
      <x:c r="H145" s="7" t="n">
        <x:v>0</x:v>
      </x:c>
      <x:c r="I145" s="7" t="n">
        <x:v>0</x:v>
      </x:c>
      <x:c r="J145" s="7" t="n">
        <x:v>0</x:v>
      </x:c>
      <x:c r="K145" s="7" t="str">
        <x:v>CURSE</x:v>
      </x:c>
      <x:c r="L145" s="7" t="n">
        <x:v>0.13</x:v>
      </x:c>
      <x:c r="M145" s="8" t="n">
        <x:v>0.6</x:v>
      </x:c>
      <x:c r="N145" s="7" t="str">
        <x:v>HEAL_BLOCK</x:v>
      </x:c>
      <x:c r="O145" s="7" t="n">
        <x:v>1</x:v>
      </x:c>
      <x:c r="P145" s="8" t="n">
        <x:v>0.6</x:v>
      </x:c>
      <x:c r="Q145" s="7" t="str">
        <x:v>ATTACK_DOWN</x:v>
      </x:c>
      <x:c r="R145" s="7" t="n">
        <x:v>0.163</x:v>
      </x:c>
      <x:c r="S145" s="8" t="n">
        <x:v>0.6</x:v>
      </x:c>
      <x:c r="T145" s="7" t="str">
        <x:v>BLEED</x:v>
      </x:c>
      <x:c r="U145" s="7" t="n">
        <x:v>0.13</x:v>
      </x:c>
      <x:c r="V145" s="8" t="n">
        <x:v>0.6</x:v>
      </x:c>
      <x:c r="W145" s="7" t="n">
        <x:v>5</x:v>
      </x:c>
      <x:c r="X145" s="7" t="str">
        <x:v>대상: 적전체. 적전체에게 공격력*0.45배 + 속도*0.15배 만큼의 피해를 가합니다. 60%확률로 저주 13% 적용합니다. 60%확률로 회복 불가 적용합니다. 60%확률로 공격력 감소 16.3% 적용합니다. 60%확률로 출혈 13% 적용합니다.</x:v>
      </x:c>
      <x:c r="Y145" s="7" t="str">
        <x:v>Target: all enemies. Deals 0.45 × caster Attack + 0.15 × caster Speed damage to all enemies. 60% chance to apply Curse 13%. 60% chance to apply Unhealable. 60% chance to apply Attack Down 16.3%. 60% chance to apply Bleed 13%.</x:v>
      </x:c>
      <x:c r="Z145" s="7" t="str">
        <x:v>공격|디버프</x:v>
      </x:c>
    </x:row>
    <x:row r="146" ht="115" customHeight="1">
      <x:c r="A146" s="7" t="str">
        <x:v>SKILL_0140</x:v>
      </x:c>
      <x:c r="B146" s="7" t="str">
        <x:v>방어력 감소 · 방어력 관통 · 흡혈 · 상처의 일격</x:v>
      </x:c>
      <x:c r="C146" s="7"/>
      <x:c r="D146" s="7" t="str">
        <x:v>적</x:v>
      </x:c>
      <x:c r="E146" s="7" t="n">
        <x:v>0.77</x:v>
      </x:c>
      <x:c r="F146" s="7" t="n">
        <x:v>0</x:v>
      </x:c>
      <x:c r="G146" s="7" t="n">
        <x:v>0</x:v>
      </x:c>
      <x:c r="H146" s="7" t="n">
        <x:v>0.33</x:v>
      </x:c>
      <x:c r="I146" s="7" t="n">
        <x:v>0</x:v>
      </x:c>
      <x:c r="J146" s="7" t="n">
        <x:v>0</x:v>
      </x:c>
      <x:c r="K146" s="7" t="str">
        <x:v>DEFENSE_DOWN</x:v>
      </x:c>
      <x:c r="L146" s="7" t="n">
        <x:v>0.195</x:v>
      </x:c>
      <x:c r="M146" s="8" t="n">
        <x:v>0.7</x:v>
      </x:c>
      <x:c r="N146" s="7" t="str">
        <x:v>DEFENSE_PENETRATION</x:v>
      </x:c>
      <x:c r="O146" s="7" t="n">
        <x:v>0.195</x:v>
      </x:c>
      <x:c r="P146" s="8" t="n">
        <x:v>0.7</x:v>
      </x:c>
      <x:c r="Q146" s="7" t="str">
        <x:v>LIFESTEAL</x:v>
      </x:c>
      <x:c r="R146" s="7" t="n">
        <x:v>0.195</x:v>
      </x:c>
      <x:c r="S146" s="8" t="n">
        <x:v>0.7</x:v>
      </x:c>
      <x:c r="T146" s="7" t="str">
        <x:v>INJURY</x:v>
      </x:c>
      <x:c r="U146" s="7" t="n">
        <x:v>0.052</x:v>
      </x:c>
      <x:c r="V146" s="8" t="n">
        <x:v>0.7</x:v>
      </x:c>
      <x:c r="W146" s="7" t="n">
        <x:v>2</x:v>
      </x:c>
      <x:c r="X146" s="7" t="str">
        <x:v>대상: 적. 적에게 공격력*0.77배 + 생명력*0.33배 만큼의 피해를 가합니다. 70%확률로 방어력 감소 19.5% 적용합니다. 70%확률로 방어력 관통 19.5% 적용합니다. 70%확률로 흡혈 19.5% 획득합니다. 70%확률로 상처 5.2% 적용합니다.</x:v>
      </x:c>
      <x:c r="Y146" s="7" t="str">
        <x:v>Target: one enemy. Deals 0.77 × caster Attack + 0.33 × caster max Health damage to one enemy. 70% chance to apply Defense Down 19.5%. 70% chance to apply Defense Penetration 19.5%. 70% chance to gain Lifesteal 19.5%. 70% chance to apply Injury 5.2%.</x:v>
      </x:c>
      <x:c r="Z146" s="7" t="str">
        <x:v>공격|회복|버프|디버프</x:v>
      </x:c>
    </x:row>
    <x:row r="147" ht="115" customHeight="1">
      <x:c r="A147" s="7" t="str">
        <x:v>SKILL_0141</x:v>
      </x:c>
      <x:c r="B147" s="7" t="str">
        <x:v>출혈 · 부활 불가 · 도발 · 공격력 감소의 일격</x:v>
      </x:c>
      <x:c r="C147" s="7"/>
      <x:c r="D147" s="7" t="str">
        <x:v>적</x:v>
      </x:c>
      <x:c r="E147" s="7" t="n">
        <x:v>1.1</x:v>
      </x:c>
      <x:c r="F147" s="7" t="n">
        <x:v>0</x:v>
      </x:c>
      <x:c r="G147" s="7" t="n">
        <x:v>0</x:v>
      </x:c>
      <x:c r="H147" s="7" t="n">
        <x:v>0</x:v>
      </x:c>
      <x:c r="I147" s="7" t="n">
        <x:v>0</x:v>
      </x:c>
      <x:c r="J147" s="7" t="n">
        <x:v>0</x:v>
      </x:c>
      <x:c r="K147" s="7" t="str">
        <x:v>BLEED</x:v>
      </x:c>
      <x:c r="L147" s="7" t="n">
        <x:v>0.13</x:v>
      </x:c>
      <x:c r="M147" s="8" t="n">
        <x:v>0.7</x:v>
      </x:c>
      <x:c r="N147" s="7" t="str">
        <x:v>REVIVE_BLOCK</x:v>
      </x:c>
      <x:c r="O147" s="7" t="n">
        <x:v>1</x:v>
      </x:c>
      <x:c r="P147" s="8" t="n">
        <x:v>0.7</x:v>
      </x:c>
      <x:c r="Q147" s="7" t="str">
        <x:v>PROVOKE</x:v>
      </x:c>
      <x:c r="R147" s="7" t="n">
        <x:v>1</x:v>
      </x:c>
      <x:c r="S147" s="8" t="n">
        <x:v>0.7</x:v>
      </x:c>
      <x:c r="T147" s="7" t="str">
        <x:v>ATTACK_DOWN</x:v>
      </x:c>
      <x:c r="U147" s="7" t="n">
        <x:v>0.163</x:v>
      </x:c>
      <x:c r="V147" s="8" t="n">
        <x:v>0.7</x:v>
      </x:c>
      <x:c r="W147" s="7" t="n">
        <x:v>3</x:v>
      </x:c>
      <x:c r="X147" s="7" t="str">
        <x:v>대상: 적. 적에게 공격력*1.1배 만큼의 피해를 가합니다. 70%확률로 출혈 13% 적용합니다. 70%확률로 부활 불가 적용합니다. 70%확률로 도발 적용합니다. 70%확률로 공격력 감소 16.3% 적용합니다.</x:v>
      </x:c>
      <x:c r="Y147" s="7" t="str">
        <x:v>Target: one enemy. Deals 1.1 × caster Attack damage to one enemy. 70% chance to apply Bleed 13%. 70% chance to apply Revive Block. 70% chance to apply Provoke. 70% chance to apply Attack Down 16.3%.</x:v>
      </x:c>
      <x:c r="Z147" s="7" t="str">
        <x:v>공격|디버프</x:v>
      </x:c>
    </x:row>
    <x:row r="148" ht="115" customHeight="1">
      <x:c r="A148" s="7" t="str">
        <x:v>SKILL_0142</x:v>
      </x:c>
      <x:c r="B148" s="7" t="str">
        <x:v>추가 피해 · 표적 · 반격 불가 · 기절 — 스턴의 일격</x:v>
      </x:c>
      <x:c r="C148" s="7"/>
      <x:c r="D148" s="7" t="str">
        <x:v>적전체</x:v>
      </x:c>
      <x:c r="E148" s="7" t="n">
        <x:v>0.3</x:v>
      </x:c>
      <x:c r="F148" s="7" t="n">
        <x:v>0.1</x:v>
      </x:c>
      <x:c r="G148" s="7" t="n">
        <x:v>0</x:v>
      </x:c>
      <x:c r="H148" s="7" t="n">
        <x:v>0</x:v>
      </x:c>
      <x:c r="I148" s="7" t="n">
        <x:v>0</x:v>
      </x:c>
      <x:c r="J148" s="7" t="n">
        <x:v>0</x:v>
      </x:c>
      <x:c r="K148" s="7" t="str">
        <x:v>ADDITIONAL_DAMAGE</x:v>
      </x:c>
      <x:c r="L148" s="7" t="n">
        <x:v>0.163</x:v>
      </x:c>
      <x:c r="M148" s="8" t="n">
        <x:v>0.4</x:v>
      </x:c>
      <x:c r="N148" s="7" t="str">
        <x:v>TARGET</x:v>
      </x:c>
      <x:c r="O148" s="7" t="n">
        <x:v>0.098</x:v>
      </x:c>
      <x:c r="P148" s="8" t="n">
        <x:v>0.4</x:v>
      </x:c>
      <x:c r="Q148" s="7" t="str">
        <x:v>COUNTERATTACK_BLOCK</x:v>
      </x:c>
      <x:c r="R148" s="7" t="n">
        <x:v>1</x:v>
      </x:c>
      <x:c r="S148" s="8" t="n">
        <x:v>0.4</x:v>
      </x:c>
      <x:c r="T148" s="7" t="str">
        <x:v>STUN</x:v>
      </x:c>
      <x:c r="U148" s="7" t="n">
        <x:v>1</x:v>
      </x:c>
      <x:c r="V148" s="8" t="n">
        <x:v>0.4</x:v>
      </x:c>
      <x:c r="W148" s="7" t="n">
        <x:v>5</x:v>
      </x:c>
      <x:c r="X148" s="7" t="str">
        <x:v>대상: 적전체. 적전체에게 공격력*0.3배 + 방어력*0.1배 만큼의 피해를 가합니다. 40%확률로 추가 피해 16.3% 적용합니다. 40%확률로 표적 9.8% 적용합니다. 40%확률로 반격 불가 적용합니다. 40%확률로 기절 — 스턴 적용합니다.</x:v>
      </x:c>
      <x:c r="Y148" s="7" t="str">
        <x:v>Target: all enemies. Deals 0.3 × caster Attack + 0.1 × caster Defense damage to all enemies. 40% chance to apply Additional Damage 16.3%. 40% chance to apply Target 9.8%. 40% chance to apply Counterattack Block. 40% chance to apply Stun.</x:v>
      </x:c>
      <x:c r="Z148" s="7" t="str">
        <x:v>공격|디버프</x:v>
      </x:c>
    </x:row>
    <x:row r="149" ht="115" customHeight="1">
      <x:c r="A149" s="7" t="str">
        <x:v>SKILL_0143</x:v>
      </x:c>
      <x:c r="B149" s="7" t="str">
        <x:v>도발 · 스킬 쿨타임 증가의 일격</x:v>
      </x:c>
      <x:c r="C149" s="7"/>
      <x:c r="D149" s="7" t="str">
        <x:v>적</x:v>
      </x:c>
      <x:c r="E149" s="7" t="n">
        <x:v>0.77</x:v>
      </x:c>
      <x:c r="F149" s="7" t="n">
        <x:v>0</x:v>
      </x:c>
      <x:c r="G149" s="7" t="n">
        <x:v>0.33</x:v>
      </x:c>
      <x:c r="H149" s="7" t="n">
        <x:v>0</x:v>
      </x:c>
      <x:c r="I149" s="7" t="n">
        <x:v>0</x:v>
      </x:c>
      <x:c r="J149" s="7" t="n">
        <x:v>0</x:v>
      </x:c>
      <x:c r="K149" s="7" t="str">
        <x:v>PROVOKE</x:v>
      </x:c>
      <x:c r="L149" s="7" t="n">
        <x:v>1</x:v>
      </x:c>
      <x:c r="M149" s="8" t="n">
        <x:v>0.9</x:v>
      </x:c>
      <x:c r="N149" s="7" t="str">
        <x:v>SKILL_COOLDOWN_UP</x:v>
      </x:c>
      <x:c r="O149" s="7" t="n">
        <x:v>1</x:v>
      </x:c>
      <x:c r="P149" s="8" t="n">
        <x:v>0.9</x:v>
      </x:c>
      <x:c r="Q149" s="7"/>
      <x:c r="R149" s="7"/>
      <x:c r="S149" s="8"/>
      <x:c r="T149" s="7"/>
      <x:c r="U149" s="7"/>
      <x:c r="V149" s="8"/>
      <x:c r="W149" s="7" t="n">
        <x:v>4</x:v>
      </x:c>
      <x:c r="X149" s="7" t="str">
        <x:v>대상: 적. 적에게 공격력*0.77배 + 속도*0.33배 만큼의 피해를 가합니다. 90%확률로 도발 적용합니다. 90%확률로 스킬 쿨타임 증가 1턴 적용합니다.</x:v>
      </x:c>
      <x:c r="Y149" s="7" t="str">
        <x:v>Target: one enemy. Deals 0.77 × caster Attack + 0.33 × caster Speed damage to one enemy. 90% chance to apply Provoke. 90% chance to apply Skill Cooldown Increase 1 turn.</x:v>
      </x:c>
      <x:c r="Z149" s="7" t="str">
        <x:v>공격|디버프</x:v>
      </x:c>
    </x:row>
    <x:row r="150" ht="115" customHeight="1">
      <x:c r="A150" s="7" t="str">
        <x:v>SKILL_0144</x:v>
      </x:c>
      <x:c r="B150" s="7" t="str">
        <x:v>약화효과 지속시간 증가 · 중독 · 속도 감소 · 표적의 일격</x:v>
      </x:c>
      <x:c r="C150" s="7"/>
      <x:c r="D150" s="7" t="str">
        <x:v>적</x:v>
      </x:c>
      <x:c r="E150" s="7" t="n">
        <x:v>0.715</x:v>
      </x:c>
      <x:c r="F150" s="7" t="n">
        <x:v>0</x:v>
      </x:c>
      <x:c r="G150" s="7" t="n">
        <x:v>0</x:v>
      </x:c>
      <x:c r="H150" s="7" t="n">
        <x:v>0.385</x:v>
      </x:c>
      <x:c r="I150" s="7" t="n">
        <x:v>0</x:v>
      </x:c>
      <x:c r="J150" s="7" t="n">
        <x:v>0</x:v>
      </x:c>
      <x:c r="K150" s="7" t="str">
        <x:v>DEBUFF_DURATION_UP</x:v>
      </x:c>
      <x:c r="L150" s="7" t="n">
        <x:v>1</x:v>
      </x:c>
      <x:c r="M150" s="8" t="n">
        <x:v>0.7</x:v>
      </x:c>
      <x:c r="N150" s="7" t="str">
        <x:v>POISON</x:v>
      </x:c>
      <x:c r="O150" s="7" t="n">
        <x:v>0.026</x:v>
      </x:c>
      <x:c r="P150" s="8" t="n">
        <x:v>0.7</x:v>
      </x:c>
      <x:c r="Q150" s="7" t="str">
        <x:v>SPEED_DOWN</x:v>
      </x:c>
      <x:c r="R150" s="7" t="n">
        <x:v>0.13</x:v>
      </x:c>
      <x:c r="S150" s="8" t="n">
        <x:v>0.7</x:v>
      </x:c>
      <x:c r="T150" s="7" t="str">
        <x:v>TARGET</x:v>
      </x:c>
      <x:c r="U150" s="7" t="n">
        <x:v>0.098</x:v>
      </x:c>
      <x:c r="V150" s="8" t="n">
        <x:v>0.7</x:v>
      </x:c>
      <x:c r="W150" s="7" t="n">
        <x:v>3</x:v>
      </x:c>
      <x:c r="X150" s="7" t="str">
        <x:v>대상: 적. 적에게 공격력*0.715배 + 생명력*0.385배 만큼의 피해를 가합니다. 70%확률로 약화효과 지속시간 증가 1턴 적용합니다. 70%확률로 중독 2.6% 적용합니다. 70%확률로 속도 감소 13% 적용합니다. 70%확률로 표적 9.8% 적용합니다.</x:v>
      </x:c>
      <x:c r="Y150" s="7" t="str">
        <x:v>Target: one enemy. Deals 0.715 × caster Attack + 0.385 × caster max Health damage to one enemy. 70% chance to apply Debuff Duration Extension 1 turn. 70% chance to apply Poison 2.6%. 70% chance to apply Speed Down 13%. 70% chance to apply Target 9.8%.</x:v>
      </x:c>
      <x:c r="Z150" s="7" t="str">
        <x:v>공격|디버프</x:v>
      </x:c>
    </x:row>
    <x:row r="151" ht="115" customHeight="1">
      <x:c r="A151" s="7" t="str">
        <x:v>SKILL_0145</x:v>
      </x:c>
      <x:c r="B151" s="7" t="str">
        <x:v>속도 감소 · 상처의 일격</x:v>
      </x:c>
      <x:c r="C151" s="7"/>
      <x:c r="D151" s="7" t="str">
        <x:v>적전체</x:v>
      </x:c>
      <x:c r="E151" s="7" t="n">
        <x:v>0.65</x:v>
      </x:c>
      <x:c r="F151" s="7" t="n">
        <x:v>0</x:v>
      </x:c>
      <x:c r="G151" s="7" t="n">
        <x:v>0</x:v>
      </x:c>
      <x:c r="H151" s="7" t="n">
        <x:v>0</x:v>
      </x:c>
      <x:c r="I151" s="7" t="n">
        <x:v>0</x:v>
      </x:c>
      <x:c r="J151" s="7" t="n">
        <x:v>0</x:v>
      </x:c>
      <x:c r="K151" s="7" t="str">
        <x:v>SPEED_DOWN</x:v>
      </x:c>
      <x:c r="L151" s="7" t="n">
        <x:v>0.2</x:v>
      </x:c>
      <x:c r="M151" s="8" t="n">
        <x:v>0.85</x:v>
      </x:c>
      <x:c r="N151" s="7" t="str">
        <x:v>INJURY</x:v>
      </x:c>
      <x:c r="O151" s="7" t="n">
        <x:v>0.08</x:v>
      </x:c>
      <x:c r="P151" s="8" t="n">
        <x:v>0.85</x:v>
      </x:c>
      <x:c r="Q151" s="7"/>
      <x:c r="R151" s="7"/>
      <x:c r="S151" s="8"/>
      <x:c r="T151" s="7"/>
      <x:c r="U151" s="7"/>
      <x:c r="V151" s="8"/>
      <x:c r="W151" s="7" t="n">
        <x:v>5</x:v>
      </x:c>
      <x:c r="X151" s="7" t="str">
        <x:v>대상: 적전체. 적전체에게 공격력*0.65배 만큼의 피해를 가합니다. 85%확률로 속도 감소 20% 적용합니다. 85%확률로 상처 8% 적용합니다.</x:v>
      </x:c>
      <x:c r="Y151" s="7" t="str">
        <x:v>Target: all enemies. Deals 0.65 × caster Attack damage to all enemies. 85% chance to apply Speed Down 20%. 85% chance to apply Injury 8%.</x:v>
      </x:c>
      <x:c r="Z151" s="7" t="str">
        <x:v>공격|디버프</x:v>
      </x:c>
    </x:row>
    <x:row r="152" ht="115" customHeight="1">
      <x:c r="A152" s="7" t="str">
        <x:v>SKILL_0146</x:v>
      </x:c>
      <x:c r="B152" s="7" t="str">
        <x:v>강화효과 지속시간 감소 · 명중 감소 · 속도 감소의 일격</x:v>
      </x:c>
      <x:c r="C152" s="7"/>
      <x:c r="D152" s="7" t="str">
        <x:v>적</x:v>
      </x:c>
      <x:c r="E152" s="7" t="n">
        <x:v>0.77</x:v>
      </x:c>
      <x:c r="F152" s="7" t="n">
        <x:v>0.33</x:v>
      </x:c>
      <x:c r="G152" s="7" t="n">
        <x:v>0</x:v>
      </x:c>
      <x:c r="H152" s="7" t="n">
        <x:v>0</x:v>
      </x:c>
      <x:c r="I152" s="7" t="n">
        <x:v>0</x:v>
      </x:c>
      <x:c r="J152" s="7" t="n">
        <x:v>0</x:v>
      </x:c>
      <x:c r="K152" s="7" t="str">
        <x:v>BUFF_DURATION_DOWN</x:v>
      </x:c>
      <x:c r="L152" s="7" t="n">
        <x:v>1</x:v>
      </x:c>
      <x:c r="M152" s="8" t="n">
        <x:v>0.8</x:v>
      </x:c>
      <x:c r="N152" s="7" t="str">
        <x:v>HIT_CHANCE_DOWN</x:v>
      </x:c>
      <x:c r="O152" s="7" t="n">
        <x:v>0.16</x:v>
      </x:c>
      <x:c r="P152" s="8" t="n">
        <x:v>0.8</x:v>
      </x:c>
      <x:c r="Q152" s="7" t="str">
        <x:v>SPEED_DOWN</x:v>
      </x:c>
      <x:c r="R152" s="7" t="n">
        <x:v>0.16</x:v>
      </x:c>
      <x:c r="S152" s="8" t="n">
        <x:v>0.8</x:v>
      </x:c>
      <x:c r="T152" s="7"/>
      <x:c r="U152" s="7"/>
      <x:c r="V152" s="8"/>
      <x:c r="W152" s="7" t="n">
        <x:v>3</x:v>
      </x:c>
      <x:c r="X152" s="7" t="str">
        <x:v>대상: 적. 적에게 공격력*0.77배 + 방어력*0.33배 만큼의 피해를 가합니다. 80%확률로 강화효과 지속시간 감소 1턴 적용합니다. 80%확률로 명중 감소 16% 적용합니다. 80%확률로 속도 감소 16% 적용합니다.</x:v>
      </x:c>
      <x:c r="Y152" s="7" t="str">
        <x:v>Target: one enemy. Deals 0.77 × caster Attack + 0.33 × caster Defense damage to one enemy. 80% chance to apply Buff Duration Reduction 1 turn. 80% chance to apply Hit Chance Down 16%. 80% chance to apply Speed Down 16%.</x:v>
      </x:c>
      <x:c r="Z152" s="7" t="str">
        <x:v>공격|디버프</x:v>
      </x:c>
    </x:row>
    <x:row r="153" ht="115" customHeight="1">
      <x:c r="A153" s="7" t="str">
        <x:v>SKILL_0147</x:v>
      </x:c>
      <x:c r="B153" s="7" t="str">
        <x:v>출혈 · 부활 불가 · 저주의 일격</x:v>
      </x:c>
      <x:c r="C153" s="7"/>
      <x:c r="D153" s="7" t="str">
        <x:v>적</x:v>
      </x:c>
      <x:c r="E153" s="7" t="n">
        <x:v>0.715</x:v>
      </x:c>
      <x:c r="F153" s="7" t="n">
        <x:v>0</x:v>
      </x:c>
      <x:c r="G153" s="7" t="n">
        <x:v>0.385</x:v>
      </x:c>
      <x:c r="H153" s="7" t="n">
        <x:v>0</x:v>
      </x:c>
      <x:c r="I153" s="7" t="n">
        <x:v>0</x:v>
      </x:c>
      <x:c r="J153" s="7" t="n">
        <x:v>0</x:v>
      </x:c>
      <x:c r="K153" s="7" t="str">
        <x:v>BLEED</x:v>
      </x:c>
      <x:c r="L153" s="7" t="n">
        <x:v>0.16</x:v>
      </x:c>
      <x:c r="M153" s="8" t="n">
        <x:v>0.8</x:v>
      </x:c>
      <x:c r="N153" s="7" t="str">
        <x:v>REVIVE_BLOCK</x:v>
      </x:c>
      <x:c r="O153" s="7" t="n">
        <x:v>1</x:v>
      </x:c>
      <x:c r="P153" s="8" t="n">
        <x:v>0.8</x:v>
      </x:c>
      <x:c r="Q153" s="7" t="str">
        <x:v>CURSE</x:v>
      </x:c>
      <x:c r="R153" s="7" t="n">
        <x:v>0.16</x:v>
      </x:c>
      <x:c r="S153" s="8" t="n">
        <x:v>0.8</x:v>
      </x:c>
      <x:c r="T153" s="7"/>
      <x:c r="U153" s="7"/>
      <x:c r="V153" s="8"/>
      <x:c r="W153" s="7" t="n">
        <x:v>3</x:v>
      </x:c>
      <x:c r="X153" s="7" t="str">
        <x:v>대상: 적. 적에게 공격력*0.715배 + 속도*0.385배 만큼의 피해를 가합니다. 80%확률로 출혈 16% 적용합니다. 80%확률로 부활 불가 적용합니다. 80%확률로 저주 16% 적용합니다.</x:v>
      </x:c>
      <x:c r="Y153" s="7" t="str">
        <x:v>Target: one enemy. Deals 0.715 × caster Attack + 0.385 × caster Speed damage to one enemy. 80% chance to apply Bleed 16%. 80% chance to apply Revive Block. 80% chance to apply Curse 16%.</x:v>
      </x:c>
      <x:c r="Z153" s="7" t="str">
        <x:v>공격|디버프</x:v>
      </x:c>
    </x:row>
    <x:row r="154" ht="115" customHeight="1">
      <x:c r="A154" s="7" t="str">
        <x:v>SKILL_0148</x:v>
      </x:c>
      <x:c r="B154" s="7" t="str">
        <x:v>부활 불가 · 약화효과 지속시간 증가의 일격</x:v>
      </x:c>
      <x:c r="C154" s="7"/>
      <x:c r="D154" s="7" t="str">
        <x:v>적전체</x:v>
      </x:c>
      <x:c r="E154" s="7" t="n">
        <x:v>0.375</x:v>
      </x:c>
      <x:c r="F154" s="7" t="n">
        <x:v>0</x:v>
      </x:c>
      <x:c r="G154" s="7" t="n">
        <x:v>0</x:v>
      </x:c>
      <x:c r="H154" s="7" t="n">
        <x:v>0.125</x:v>
      </x:c>
      <x:c r="I154" s="7" t="n">
        <x:v>0</x:v>
      </x:c>
      <x:c r="J154" s="7" t="n">
        <x:v>0</x:v>
      </x:c>
      <x:c r="K154" s="7" t="str">
        <x:v>REVIVE_BLOCK</x:v>
      </x:c>
      <x:c r="L154" s="7" t="n">
        <x:v>1</x:v>
      </x:c>
      <x:c r="M154" s="8" t="n">
        <x:v>0.7</x:v>
      </x:c>
      <x:c r="N154" s="7" t="str">
        <x:v>DEBUFF_DURATION_UP</x:v>
      </x:c>
      <x:c r="O154" s="7" t="n">
        <x:v>1</x:v>
      </x:c>
      <x:c r="P154" s="8" t="n">
        <x:v>0.7</x:v>
      </x:c>
      <x:c r="Q154" s="7"/>
      <x:c r="R154" s="7"/>
      <x:c r="S154" s="8"/>
      <x:c r="T154" s="7"/>
      <x:c r="U154" s="7"/>
      <x:c r="V154" s="8"/>
      <x:c r="W154" s="7" t="n">
        <x:v>5</x:v>
      </x:c>
      <x:c r="X154" s="7" t="str">
        <x:v>대상: 적전체. 적전체에게 공격력*0.375배 + 생명력*0.125배 만큼의 피해를 가합니다. 70%확률로 부활 불가 적용합니다. 70%확률로 약화효과 지속시간 증가 1턴 적용합니다.</x:v>
      </x:c>
      <x:c r="Y154" s="7" t="str">
        <x:v>Target: all enemies. Deals 0.375 × caster Attack + 0.125 × caster max Health damage to all enemies. 70% chance to apply Revive Block. 70% chance to apply Debuff Duration Extension 1 turn.</x:v>
      </x:c>
      <x:c r="Z154" s="7" t="str">
        <x:v>공격|디버프</x:v>
      </x:c>
    </x:row>
    <x:row r="155" ht="115" customHeight="1">
      <x:c r="A155" s="7" t="str">
        <x:v>SKILL_0149</x:v>
      </x:c>
      <x:c r="B155" s="7" t="str">
        <x:v>강화 불가 · 출혈 · 명중 감소의 일격</x:v>
      </x:c>
      <x:c r="C155" s="7"/>
      <x:c r="D155" s="7" t="str">
        <x:v>적</x:v>
      </x:c>
      <x:c r="E155" s="7" t="n">
        <x:v>1.1</x:v>
      </x:c>
      <x:c r="F155" s="7" t="n">
        <x:v>0</x:v>
      </x:c>
      <x:c r="G155" s="7" t="n">
        <x:v>0</x:v>
      </x:c>
      <x:c r="H155" s="7" t="n">
        <x:v>0</x:v>
      </x:c>
      <x:c r="I155" s="7" t="n">
        <x:v>0</x:v>
      </x:c>
      <x:c r="J155" s="7" t="n">
        <x:v>0</x:v>
      </x:c>
      <x:c r="K155" s="7" t="str">
        <x:v>BUFF_BLOCK</x:v>
      </x:c>
      <x:c r="L155" s="7" t="n">
        <x:v>1</x:v>
      </x:c>
      <x:c r="M155" s="8" t="n">
        <x:v>0.8</x:v>
      </x:c>
      <x:c r="N155" s="7" t="str">
        <x:v>BLEED</x:v>
      </x:c>
      <x:c r="O155" s="7" t="n">
        <x:v>0.16</x:v>
      </x:c>
      <x:c r="P155" s="8" t="n">
        <x:v>0.8</x:v>
      </x:c>
      <x:c r="Q155" s="7" t="str">
        <x:v>HIT_CHANCE_DOWN</x:v>
      </x:c>
      <x:c r="R155" s="7" t="n">
        <x:v>0.16</x:v>
      </x:c>
      <x:c r="S155" s="8" t="n">
        <x:v>0.8</x:v>
      </x:c>
      <x:c r="T155" s="7"/>
      <x:c r="U155" s="7"/>
      <x:c r="V155" s="8"/>
      <x:c r="W155" s="7" t="n">
        <x:v>3</x:v>
      </x:c>
      <x:c r="X155" s="7" t="str">
        <x:v>대상: 적. 적에게 공격력*1.1배 만큼의 피해를 가합니다. 80%확률로 강화 불가 적용합니다. 80%확률로 출혈 16% 적용합니다. 80%확률로 명중 감소 16% 적용합니다.</x:v>
      </x:c>
      <x:c r="Y155" s="7" t="str">
        <x:v>Target: one enemy. Deals 1.1 × caster Attack damage to one enemy. 80% chance to apply Unbuffable. 80% chance to apply Bleed 16%. 80% chance to apply Hit Chance Down 16%.</x:v>
      </x:c>
      <x:c r="Z155" s="7" t="str">
        <x:v>공격|디버프</x:v>
      </x:c>
    </x:row>
    <x:row r="156" ht="115" customHeight="1">
      <x:c r="A156" s="7" t="str">
        <x:v>SKILL_0150</x:v>
      </x:c>
      <x:c r="B156" s="7" t="str">
        <x:v>방어력 감소 · 도발 · 약화효과 전이의 일격</x:v>
      </x:c>
      <x:c r="C156" s="7"/>
      <x:c r="D156" s="7" t="str">
        <x:v>적</x:v>
      </x:c>
      <x:c r="E156" s="7" t="n">
        <x:v>0.715</x:v>
      </x:c>
      <x:c r="F156" s="7" t="n">
        <x:v>0.385</x:v>
      </x:c>
      <x:c r="G156" s="7" t="n">
        <x:v>0</x:v>
      </x:c>
      <x:c r="H156" s="7" t="n">
        <x:v>0</x:v>
      </x:c>
      <x:c r="I156" s="7" t="n">
        <x:v>0</x:v>
      </x:c>
      <x:c r="J156" s="7" t="n">
        <x:v>0</x:v>
      </x:c>
      <x:c r="K156" s="7" t="str">
        <x:v>DEFENSE_DOWN</x:v>
      </x:c>
      <x:c r="L156" s="7" t="n">
        <x:v>0.24</x:v>
      </x:c>
      <x:c r="M156" s="8" t="n">
        <x:v>0.8</x:v>
      </x:c>
      <x:c r="N156" s="7" t="str">
        <x:v>PROVOKE</x:v>
      </x:c>
      <x:c r="O156" s="7" t="n">
        <x:v>1</x:v>
      </x:c>
      <x:c r="P156" s="8" t="n">
        <x:v>0.8</x:v>
      </x:c>
      <x:c r="Q156" s="7" t="str">
        <x:v>TRANSFER_DEBUFF</x:v>
      </x:c>
      <x:c r="R156" s="7" t="n">
        <x:v>1</x:v>
      </x:c>
      <x:c r="S156" s="8" t="n">
        <x:v>0.8</x:v>
      </x:c>
      <x:c r="T156" s="7"/>
      <x:c r="U156" s="7"/>
      <x:c r="V156" s="8"/>
      <x:c r="W156" s="7" t="n">
        <x:v>4</x:v>
      </x:c>
      <x:c r="X156" s="7" t="str">
        <x:v>대상: 적. 적에게 공격력*0.715배 + 방어력*0.385배 만큼의 피해를 가합니다. 80%확률로 방어력 감소 24% 적용합니다. 80%확률로 도발 적용합니다. 80%확률로 약화효과 전이 1개 적용합니다.</x:v>
      </x:c>
      <x:c r="Y156" s="7" t="str">
        <x:v>Target: one enemy. Deals 0.715 × caster Attack + 0.385 × caster Defense damage to one enemy. 80% chance to apply Defense Down 24%. 80% chance to apply Provoke. 80% chance to apply Debuff Transfer 1 count.</x:v>
      </x:c>
      <x:c r="Z156" s="7" t="str">
        <x:v>공격|디버프</x:v>
      </x:c>
    </x:row>
    <x:row r="157" ht="115" customHeight="1">
      <x:c r="A157" s="7" t="str">
        <x:v>SKILL_0151</x:v>
      </x:c>
      <x:c r="B157" s="7" t="str">
        <x:v>약화효과 전이 · 추가 공격의 일격</x:v>
      </x:c>
      <x:c r="C157" s="7"/>
      <x:c r="D157" s="7" t="str">
        <x:v>적</x:v>
      </x:c>
      <x:c r="E157" s="7" t="n">
        <x:v>0.825</x:v>
      </x:c>
      <x:c r="F157" s="7" t="n">
        <x:v>0</x:v>
      </x:c>
      <x:c r="G157" s="7" t="n">
        <x:v>0.275</x:v>
      </x:c>
      <x:c r="H157" s="7" t="n">
        <x:v>0</x:v>
      </x:c>
      <x:c r="I157" s="7" t="n">
        <x:v>0</x:v>
      </x:c>
      <x:c r="J157" s="7" t="n">
        <x:v>0</x:v>
      </x:c>
      <x:c r="K157" s="7" t="str">
        <x:v>TRANSFER_DEBUFF</x:v>
      </x:c>
      <x:c r="L157" s="7" t="n">
        <x:v>1</x:v>
      </x:c>
      <x:c r="M157" s="8" t="n">
        <x:v>0.9</x:v>
      </x:c>
      <x:c r="N157" s="7" t="str">
        <x:v>EXTRA_ATTACK</x:v>
      </x:c>
      <x:c r="O157" s="7" t="n">
        <x:v>0.35</x:v>
      </x:c>
      <x:c r="P157" s="8" t="n">
        <x:v>0.9</x:v>
      </x:c>
      <x:c r="Q157" s="7"/>
      <x:c r="R157" s="7"/>
      <x:c r="S157" s="8"/>
      <x:c r="T157" s="7"/>
      <x:c r="U157" s="7"/>
      <x:c r="V157" s="8"/>
      <x:c r="W157" s="7" t="n">
        <x:v>3</x:v>
      </x:c>
      <x:c r="X157" s="7" t="str">
        <x:v>대상: 적. 적에게 공격력*0.825배 + 속도*0.275배 만큼의 피해를 가합니다. 90%확률로 약화효과 전이 1개 적용합니다. 90%확률로 추가 공격 35% 적용합니다.</x:v>
      </x:c>
      <x:c r="Y157" s="7" t="str">
        <x:v>Target: one enemy. Deals 0.825 × caster Attack + 0.275 × caster Speed damage to one enemy. 90% chance to apply Debuff Transfer 1 count. 90% chance to apply Extra Attack 35%.</x:v>
      </x:c>
      <x:c r="Z157" s="7" t="str">
        <x:v>공격|디버프</x:v>
      </x:c>
    </x:row>
    <x:row r="158" ht="115" customHeight="1">
      <x:c r="A158" s="7" t="str">
        <x:v>SKILL_0152</x:v>
      </x:c>
      <x:c r="B158" s="7" t="str">
        <x:v>부활 불가 · 강화효과 해제의 일격</x:v>
      </x:c>
      <x:c r="C158" s="7"/>
      <x:c r="D158" s="7" t="str">
        <x:v>적</x:v>
      </x:c>
      <x:c r="E158" s="7" t="n">
        <x:v>0.77</x:v>
      </x:c>
      <x:c r="F158" s="7" t="n">
        <x:v>0</x:v>
      </x:c>
      <x:c r="G158" s="7" t="n">
        <x:v>0</x:v>
      </x:c>
      <x:c r="H158" s="7" t="n">
        <x:v>0.33</x:v>
      </x:c>
      <x:c r="I158" s="7" t="n">
        <x:v>0</x:v>
      </x:c>
      <x:c r="J158" s="7" t="n">
        <x:v>0</x:v>
      </x:c>
      <x:c r="K158" s="7" t="str">
        <x:v>REVIVE_BLOCK</x:v>
      </x:c>
      <x:c r="L158" s="7" t="n">
        <x:v>1</x:v>
      </x:c>
      <x:c r="M158" s="8" t="n">
        <x:v>0.9</x:v>
      </x:c>
      <x:c r="N158" s="7" t="str">
        <x:v>DISPEL_BUFF</x:v>
      </x:c>
      <x:c r="O158" s="7" t="n">
        <x:v>1</x:v>
      </x:c>
      <x:c r="P158" s="8" t="n">
        <x:v>0.9</x:v>
      </x:c>
      <x:c r="Q158" s="7"/>
      <x:c r="R158" s="7"/>
      <x:c r="S158" s="8"/>
      <x:c r="T158" s="7"/>
      <x:c r="U158" s="7"/>
      <x:c r="V158" s="8"/>
      <x:c r="W158" s="7" t="n">
        <x:v>3</x:v>
      </x:c>
      <x:c r="X158" s="7" t="str">
        <x:v>대상: 적. 적에게 공격력*0.77배 + 생명력*0.33배 만큼의 피해를 가합니다. 90%확률로 부활 불가 적용합니다. 90%확률로 강화효과 해제 1개 적용합니다.</x:v>
      </x:c>
      <x:c r="Y158" s="7" t="str">
        <x:v>Target: one enemy. Deals 0.77 × caster Attack + 0.33 × caster max Health damage to one enemy. 90% chance to apply Revive Block. 90% chance to apply Dispel Buff 1 count.</x:v>
      </x:c>
      <x:c r="Z158" s="7" t="str">
        <x:v>공격|디버프</x:v>
      </x:c>
    </x:row>
    <x:row r="159" ht="115" customHeight="1">
      <x:c r="A159" s="7" t="str">
        <x:v>SKILL_0153</x:v>
      </x:c>
      <x:c r="B159" s="7" t="str">
        <x:v>명중 감소 · 표적 · 강화효과 해제의 일격</x:v>
      </x:c>
      <x:c r="C159" s="7"/>
      <x:c r="D159" s="7" t="str">
        <x:v>적</x:v>
      </x:c>
      <x:c r="E159" s="7" t="n">
        <x:v>1.1</x:v>
      </x:c>
      <x:c r="F159" s="7" t="n">
        <x:v>0</x:v>
      </x:c>
      <x:c r="G159" s="7" t="n">
        <x:v>0</x:v>
      </x:c>
      <x:c r="H159" s="7" t="n">
        <x:v>0</x:v>
      </x:c>
      <x:c r="I159" s="7" t="n">
        <x:v>0</x:v>
      </x:c>
      <x:c r="J159" s="7" t="n">
        <x:v>0</x:v>
      </x:c>
      <x:c r="K159" s="7" t="str">
        <x:v>HIT_CHANCE_DOWN</x:v>
      </x:c>
      <x:c r="L159" s="7" t="n">
        <x:v>0.16</x:v>
      </x:c>
      <x:c r="M159" s="8" t="n">
        <x:v>0.8</x:v>
      </x:c>
      <x:c r="N159" s="7" t="str">
        <x:v>TARGET</x:v>
      </x:c>
      <x:c r="O159" s="7" t="n">
        <x:v>0.12</x:v>
      </x:c>
      <x:c r="P159" s="8" t="n">
        <x:v>0.8</x:v>
      </x:c>
      <x:c r="Q159" s="7" t="str">
        <x:v>DISPEL_BUFF</x:v>
      </x:c>
      <x:c r="R159" s="7" t="n">
        <x:v>1</x:v>
      </x:c>
      <x:c r="S159" s="8" t="n">
        <x:v>0.8</x:v>
      </x:c>
      <x:c r="T159" s="7"/>
      <x:c r="U159" s="7"/>
      <x:c r="V159" s="8"/>
      <x:c r="W159" s="7" t="n">
        <x:v>3</x:v>
      </x:c>
      <x:c r="X159" s="7" t="str">
        <x:v>대상: 적. 적에게 공격력*1.1배 만큼의 피해를 가합니다. 80%확률로 명중 감소 16% 적용합니다. 80%확률로 표적 12% 적용합니다. 80%확률로 강화효과 해제 1개 적용합니다.</x:v>
      </x:c>
      <x:c r="Y159" s="7" t="str">
        <x:v>Target: one enemy. Deals 1.1 × caster Attack damage to one enemy. 80% chance to apply Hit Chance Down 16%. 80% chance to apply Target 12%. 80% chance to apply Dispel Buff 1 count.</x:v>
      </x:c>
      <x:c r="Z159" s="7" t="str">
        <x:v>공격|디버프</x:v>
      </x:c>
    </x:row>
    <x:row r="160" ht="115" customHeight="1">
      <x:c r="A160" s="7" t="str">
        <x:v>SKILL_0154</x:v>
      </x:c>
      <x:c r="B160" s="7" t="str">
        <x:v>흡혈 · 약화효과 전이 · 부활 불가 · 반격 불가의 일격</x:v>
      </x:c>
      <x:c r="C160" s="7"/>
      <x:c r="D160" s="7" t="str">
        <x:v>적</x:v>
      </x:c>
      <x:c r="E160" s="7" t="n">
        <x:v>0.825</x:v>
      </x:c>
      <x:c r="F160" s="7" t="n">
        <x:v>0.275</x:v>
      </x:c>
      <x:c r="G160" s="7" t="n">
        <x:v>0</x:v>
      </x:c>
      <x:c r="H160" s="7" t="n">
        <x:v>0</x:v>
      </x:c>
      <x:c r="I160" s="7" t="n">
        <x:v>0</x:v>
      </x:c>
      <x:c r="J160" s="7" t="n">
        <x:v>0</x:v>
      </x:c>
      <x:c r="K160" s="7" t="str">
        <x:v>LIFESTEAL</x:v>
      </x:c>
      <x:c r="L160" s="7" t="n">
        <x:v>0.195</x:v>
      </x:c>
      <x:c r="M160" s="8" t="n">
        <x:v>0.7</x:v>
      </x:c>
      <x:c r="N160" s="7" t="str">
        <x:v>TRANSFER_DEBUFF</x:v>
      </x:c>
      <x:c r="O160" s="7" t="n">
        <x:v>1</x:v>
      </x:c>
      <x:c r="P160" s="8" t="n">
        <x:v>0.7</x:v>
      </x:c>
      <x:c r="Q160" s="7" t="str">
        <x:v>REVIVE_BLOCK</x:v>
      </x:c>
      <x:c r="R160" s="7" t="n">
        <x:v>1</x:v>
      </x:c>
      <x:c r="S160" s="8" t="n">
        <x:v>0.7</x:v>
      </x:c>
      <x:c r="T160" s="7" t="str">
        <x:v>COUNTERATTACK_BLOCK</x:v>
      </x:c>
      <x:c r="U160" s="7" t="n">
        <x:v>1</x:v>
      </x:c>
      <x:c r="V160" s="8" t="n">
        <x:v>0.7</x:v>
      </x:c>
      <x:c r="W160" s="7" t="n">
        <x:v>4</x:v>
      </x:c>
      <x:c r="X160" s="7" t="str">
        <x:v>대상: 적. 적에게 공격력*0.825배 + 방어력*0.275배 만큼의 피해를 가합니다. 70%확률로 흡혈 19.5% 획득합니다. 70%확률로 약화효과 전이 1개 적용합니다. 70%확률로 부활 불가 적용합니다. 70%확률로 반격 불가 적용합니다.</x:v>
      </x:c>
      <x:c r="Y160" s="7" t="str">
        <x:v>Target: one enemy. Deals 0.825 × caster Attack + 0.275 × caster Defense damage to one enemy. 70% chance to gain Lifesteal 19.5%. 70% chance to apply Debuff Transfer 1 count. 70% chance to apply Revive Block. 70% chance to apply Counterattack Block.</x:v>
      </x:c>
      <x:c r="Z160" s="7" t="str">
        <x:v>공격|회복|버프|디버프</x:v>
      </x:c>
    </x:row>
    <x:row r="161" ht="115" customHeight="1">
      <x:c r="A161" s="7" t="str">
        <x:v>SKILL_0155</x:v>
      </x:c>
      <x:c r="B161" s="7" t="str">
        <x:v>강화효과 지속시간 감소 · 약화효과 지속시간 증가의 일격</x:v>
      </x:c>
      <x:c r="C161" s="7"/>
      <x:c r="D161" s="7" t="str">
        <x:v>적</x:v>
      </x:c>
      <x:c r="E161" s="7" t="n">
        <x:v>0.77</x:v>
      </x:c>
      <x:c r="F161" s="7" t="n">
        <x:v>0</x:v>
      </x:c>
      <x:c r="G161" s="7" t="n">
        <x:v>0.33</x:v>
      </x:c>
      <x:c r="H161" s="7" t="n">
        <x:v>0</x:v>
      </x:c>
      <x:c r="I161" s="7" t="n">
        <x:v>0</x:v>
      </x:c>
      <x:c r="J161" s="7" t="n">
        <x:v>0</x:v>
      </x:c>
      <x:c r="K161" s="7" t="str">
        <x:v>BUFF_DURATION_DOWN</x:v>
      </x:c>
      <x:c r="L161" s="7" t="n">
        <x:v>1</x:v>
      </x:c>
      <x:c r="M161" s="8" t="n">
        <x:v>0.9</x:v>
      </x:c>
      <x:c r="N161" s="7" t="str">
        <x:v>DEBUFF_DURATION_UP</x:v>
      </x:c>
      <x:c r="O161" s="7" t="n">
        <x:v>1</x:v>
      </x:c>
      <x:c r="P161" s="8" t="n">
        <x:v>0.9</x:v>
      </x:c>
      <x:c r="Q161" s="7"/>
      <x:c r="R161" s="7"/>
      <x:c r="S161" s="8"/>
      <x:c r="T161" s="7"/>
      <x:c r="U161" s="7"/>
      <x:c r="V161" s="8"/>
      <x:c r="W161" s="7" t="n">
        <x:v>3</x:v>
      </x:c>
      <x:c r="X161" s="7" t="str">
        <x:v>대상: 적. 적에게 공격력*0.77배 + 속도*0.33배 만큼의 피해를 가합니다. 90%확률로 강화효과 지속시간 감소 1턴 적용합니다. 90%확률로 약화효과 지속시간 증가 1턴 적용합니다.</x:v>
      </x:c>
      <x:c r="Y161" s="7" t="str">
        <x:v>Target: one enemy. Deals 0.77 × caster Attack + 0.33 × caster Speed damage to one enemy. 90% chance to apply Buff Duration Reduction 1 turn. 90% chance to apply Debuff Duration Extension 1 turn.</x:v>
      </x:c>
      <x:c r="Z161" s="7" t="str">
        <x:v>공격|디버프</x:v>
      </x:c>
    </x:row>
    <x:row r="162" ht="115" customHeight="1">
      <x:c r="A162" s="7" t="str">
        <x:v>SKILL_0156</x:v>
      </x:c>
      <x:c r="B162" s="7" t="str">
        <x:v>명중 감소 · 기절 — 스턴의 일격</x:v>
      </x:c>
      <x:c r="C162" s="7"/>
      <x:c r="D162" s="7" t="str">
        <x:v>적</x:v>
      </x:c>
      <x:c r="E162" s="7" t="n">
        <x:v>0.715</x:v>
      </x:c>
      <x:c r="F162" s="7" t="n">
        <x:v>0</x:v>
      </x:c>
      <x:c r="G162" s="7" t="n">
        <x:v>0</x:v>
      </x:c>
      <x:c r="H162" s="7" t="n">
        <x:v>0.385</x:v>
      </x:c>
      <x:c r="I162" s="7" t="n">
        <x:v>0</x:v>
      </x:c>
      <x:c r="J162" s="7" t="n">
        <x:v>0</x:v>
      </x:c>
      <x:c r="K162" s="7" t="str">
        <x:v>HIT_CHANCE_DOWN</x:v>
      </x:c>
      <x:c r="L162" s="7" t="n">
        <x:v>0.2</x:v>
      </x:c>
      <x:c r="M162" s="8" t="n">
        <x:v>0.9</x:v>
      </x:c>
      <x:c r="N162" s="7" t="str">
        <x:v>STUN</x:v>
      </x:c>
      <x:c r="O162" s="7" t="n">
        <x:v>1</x:v>
      </x:c>
      <x:c r="P162" s="8" t="n">
        <x:v>0.9</x:v>
      </x:c>
      <x:c r="Q162" s="7"/>
      <x:c r="R162" s="7"/>
      <x:c r="S162" s="8"/>
      <x:c r="T162" s="7"/>
      <x:c r="U162" s="7"/>
      <x:c r="V162" s="8"/>
      <x:c r="W162" s="7" t="n">
        <x:v>4</x:v>
      </x:c>
      <x:c r="X162" s="7" t="str">
        <x:v>대상: 적. 적에게 공격력*0.715배 + 생명력*0.385배 만큼의 피해를 가합니다. 90%확률로 명중 감소 20% 적용합니다. 90%확률로 기절 — 스턴 적용합니다.</x:v>
      </x:c>
      <x:c r="Y162" s="7" t="str">
        <x:v>Target: one enemy. Deals 0.715 × caster Attack + 0.385 × caster max Health damage to one enemy. 90% chance to apply Hit Chance Down 20%. 90% chance to apply Stun.</x:v>
      </x:c>
      <x:c r="Z162" s="7" t="str">
        <x:v>공격|디버프</x:v>
      </x:c>
    </x:row>
    <x:row r="163" ht="115" customHeight="1">
      <x:c r="A163" s="7" t="str">
        <x:v>SKILL_0157</x:v>
      </x:c>
      <x:c r="B163" s="7" t="str">
        <x:v>상처 · 회복 불가의 일격</x:v>
      </x:c>
      <x:c r="C163" s="7"/>
      <x:c r="D163" s="7" t="str">
        <x:v>적전체</x:v>
      </x:c>
      <x:c r="E163" s="7" t="n">
        <x:v>0.65</x:v>
      </x:c>
      <x:c r="F163" s="7" t="n">
        <x:v>0</x:v>
      </x:c>
      <x:c r="G163" s="7" t="n">
        <x:v>0</x:v>
      </x:c>
      <x:c r="H163" s="7" t="n">
        <x:v>0</x:v>
      </x:c>
      <x:c r="I163" s="7" t="n">
        <x:v>0</x:v>
      </x:c>
      <x:c r="J163" s="7" t="n">
        <x:v>0</x:v>
      </x:c>
      <x:c r="K163" s="7" t="str">
        <x:v>INJURY</x:v>
      </x:c>
      <x:c r="L163" s="7" t="n">
        <x:v>0.08</x:v>
      </x:c>
      <x:c r="M163" s="8" t="n">
        <x:v>0.85</x:v>
      </x:c>
      <x:c r="N163" s="7" t="str">
        <x:v>HEAL_BLOCK</x:v>
      </x:c>
      <x:c r="O163" s="7" t="n">
        <x:v>1</x:v>
      </x:c>
      <x:c r="P163" s="8" t="n">
        <x:v>0.85</x:v>
      </x:c>
      <x:c r="Q163" s="7"/>
      <x:c r="R163" s="7"/>
      <x:c r="S163" s="8"/>
      <x:c r="T163" s="7"/>
      <x:c r="U163" s="7"/>
      <x:c r="V163" s="8"/>
      <x:c r="W163" s="7" t="n">
        <x:v>5</x:v>
      </x:c>
      <x:c r="X163" s="7" t="str">
        <x:v>대상: 적전체. 적전체에게 공격력*0.65배 만큼의 피해를 가합니다. 85%확률로 상처 8% 적용합니다. 85%확률로 회복 불가 적용합니다.</x:v>
      </x:c>
      <x:c r="Y163" s="7" t="str">
        <x:v>Target: all enemies. Deals 0.65 × caster Attack damage to all enemies. 85% chance to apply Injury 8%. 85% chance to apply Unhealable.</x:v>
      </x:c>
      <x:c r="Z163" s="7" t="str">
        <x:v>공격|디버프</x:v>
      </x:c>
    </x:row>
    <x:row r="164" ht="115" customHeight="1">
      <x:c r="A164" s="7" t="str">
        <x:v>SKILL_0158</x:v>
      </x:c>
      <x:c r="B164" s="7" t="str">
        <x:v>반격 불가 · 강화 불가 · 도발의 일격</x:v>
      </x:c>
      <x:c r="C164" s="7"/>
      <x:c r="D164" s="7" t="str">
        <x:v>적</x:v>
      </x:c>
      <x:c r="E164" s="7" t="n">
        <x:v>0.77</x:v>
      </x:c>
      <x:c r="F164" s="7" t="n">
        <x:v>0.33</x:v>
      </x:c>
      <x:c r="G164" s="7" t="n">
        <x:v>0</x:v>
      </x:c>
      <x:c r="H164" s="7" t="n">
        <x:v>0</x:v>
      </x:c>
      <x:c r="I164" s="7" t="n">
        <x:v>0</x:v>
      </x:c>
      <x:c r="J164" s="7" t="n">
        <x:v>0</x:v>
      </x:c>
      <x:c r="K164" s="7" t="str">
        <x:v>COUNTERATTACK_BLOCK</x:v>
      </x:c>
      <x:c r="L164" s="7" t="n">
        <x:v>1</x:v>
      </x:c>
      <x:c r="M164" s="8" t="n">
        <x:v>0.8</x:v>
      </x:c>
      <x:c r="N164" s="7" t="str">
        <x:v>BUFF_BLOCK</x:v>
      </x:c>
      <x:c r="O164" s="7" t="n">
        <x:v>1</x:v>
      </x:c>
      <x:c r="P164" s="8" t="n">
        <x:v>0.8</x:v>
      </x:c>
      <x:c r="Q164" s="7" t="str">
        <x:v>PROVOKE</x:v>
      </x:c>
      <x:c r="R164" s="7" t="n">
        <x:v>1</x:v>
      </x:c>
      <x:c r="S164" s="8" t="n">
        <x:v>0.8</x:v>
      </x:c>
      <x:c r="T164" s="7"/>
      <x:c r="U164" s="7"/>
      <x:c r="V164" s="8"/>
      <x:c r="W164" s="7" t="n">
        <x:v>3</x:v>
      </x:c>
      <x:c r="X164" s="7" t="str">
        <x:v>대상: 적. 적에게 공격력*0.77배 + 방어력*0.33배 만큼의 피해를 가합니다. 80%확률로 반격 불가 적용합니다. 80%확률로 강화 불가 적용합니다. 80%확률로 도발 적용합니다.</x:v>
      </x:c>
      <x:c r="Y164" s="7" t="str">
        <x:v>Target: one enemy. Deals 0.77 × caster Attack + 0.33 × caster Defense damage to one enemy. 80% chance to apply Counterattack Block. 80% chance to apply Unbuffable. 80% chance to apply Provoke.</x:v>
      </x:c>
      <x:c r="Z164" s="7" t="str">
        <x:v>공격|디버프</x:v>
      </x:c>
    </x:row>
    <x:row r="165" ht="115" customHeight="1">
      <x:c r="A165" s="7" t="str">
        <x:v>SKILL_0159</x:v>
      </x:c>
      <x:c r="B165" s="7" t="str">
        <x:v>강화효과 해제 · 추가 피해의 일격</x:v>
      </x:c>
      <x:c r="C165" s="7"/>
      <x:c r="D165" s="7" t="str">
        <x:v>적</x:v>
      </x:c>
      <x:c r="E165" s="7" t="n">
        <x:v>0.715</x:v>
      </x:c>
      <x:c r="F165" s="7" t="n">
        <x:v>0</x:v>
      </x:c>
      <x:c r="G165" s="7" t="n">
        <x:v>0.385</x:v>
      </x:c>
      <x:c r="H165" s="7" t="n">
        <x:v>0</x:v>
      </x:c>
      <x:c r="I165" s="7" t="n">
        <x:v>0</x:v>
      </x:c>
      <x:c r="J165" s="7" t="n">
        <x:v>0</x:v>
      </x:c>
      <x:c r="K165" s="7" t="str">
        <x:v>DISPEL_BUFF</x:v>
      </x:c>
      <x:c r="L165" s="7" t="n">
        <x:v>1</x:v>
      </x:c>
      <x:c r="M165" s="8" t="n">
        <x:v>0.9</x:v>
      </x:c>
      <x:c r="N165" s="7" t="str">
        <x:v>ADDITIONAL_DAMAGE</x:v>
      </x:c>
      <x:c r="O165" s="7" t="n">
        <x:v>0.25</x:v>
      </x:c>
      <x:c r="P165" s="8" t="n">
        <x:v>0.9</x:v>
      </x:c>
      <x:c r="Q165" s="7"/>
      <x:c r="R165" s="7"/>
      <x:c r="S165" s="8"/>
      <x:c r="T165" s="7"/>
      <x:c r="U165" s="7"/>
      <x:c r="V165" s="8"/>
      <x:c r="W165" s="7" t="n">
        <x:v>2</x:v>
      </x:c>
      <x:c r="X165" s="7" t="str">
        <x:v>대상: 적. 적에게 공격력*0.715배 + 속도*0.385배 만큼의 피해를 가합니다. 90%확률로 강화효과 해제 1개 적용합니다. 90%확률로 추가 피해 25% 적용합니다.</x:v>
      </x:c>
      <x:c r="Y165" s="7" t="str">
        <x:v>Target: one enemy. Deals 0.715 × caster Attack + 0.385 × caster Speed damage to one enemy. 90% chance to apply Dispel Buff 1 count. 90% chance to apply Additional Damage 25%.</x:v>
      </x:c>
      <x:c r="Z165" s="7" t="str">
        <x:v>공격|디버프</x:v>
      </x:c>
    </x:row>
    <x:row r="166" ht="115" customHeight="1">
      <x:c r="A166" s="7" t="str">
        <x:v>SKILL_0160</x:v>
      </x:c>
      <x:c r="B166" s="7" t="str">
        <x:v>추가 피해 · 회복 불가 · 수면 · 공격력 감소의 일격</x:v>
      </x:c>
      <x:c r="C166" s="7"/>
      <x:c r="D166" s="7" t="str">
        <x:v>적전체</x:v>
      </x:c>
      <x:c r="E166" s="7" t="n">
        <x:v>0.375</x:v>
      </x:c>
      <x:c r="F166" s="7" t="n">
        <x:v>0</x:v>
      </x:c>
      <x:c r="G166" s="7" t="n">
        <x:v>0</x:v>
      </x:c>
      <x:c r="H166" s="7" t="n">
        <x:v>0.125</x:v>
      </x:c>
      <x:c r="I166" s="7" t="n">
        <x:v>0</x:v>
      </x:c>
      <x:c r="J166" s="7" t="n">
        <x:v>0</x:v>
      </x:c>
      <x:c r="K166" s="7" t="str">
        <x:v>ADDITIONAL_DAMAGE</x:v>
      </x:c>
      <x:c r="L166" s="7" t="n">
        <x:v>0.163</x:v>
      </x:c>
      <x:c r="M166" s="8" t="n">
        <x:v>0.5</x:v>
      </x:c>
      <x:c r="N166" s="7" t="str">
        <x:v>HEAL_BLOCK</x:v>
      </x:c>
      <x:c r="O166" s="7" t="n">
        <x:v>1</x:v>
      </x:c>
      <x:c r="P166" s="8" t="n">
        <x:v>0.5</x:v>
      </x:c>
      <x:c r="Q166" s="7" t="str">
        <x:v>SLEEP</x:v>
      </x:c>
      <x:c r="R166" s="7" t="n">
        <x:v>1</x:v>
      </x:c>
      <x:c r="S166" s="8" t="n">
        <x:v>0.5</x:v>
      </x:c>
      <x:c r="T166" s="7" t="str">
        <x:v>ATTACK_DOWN</x:v>
      </x:c>
      <x:c r="U166" s="7" t="n">
        <x:v>0.163</x:v>
      </x:c>
      <x:c r="V166" s="8" t="n">
        <x:v>0.5</x:v>
      </x:c>
      <x:c r="W166" s="7" t="n">
        <x:v>5</x:v>
      </x:c>
      <x:c r="X166" s="7" t="str">
        <x:v>대상: 적전체. 적전체에게 공격력*0.375배 + 생명력*0.125배 만큼의 피해를 가합니다. 50%확률로 추가 피해 16.3% 적용합니다. 50%확률로 회복 불가 적용합니다. 50%확률로 수면 적용합니다. 50%확률로 공격력 감소 16.3% 적용합니다.</x:v>
      </x:c>
      <x:c r="Y166" s="7" t="str">
        <x:v>Target: all enemies. Deals 0.375 × caster Attack + 0.125 × caster max Health damage to all enemies. 50% chance to apply Additional Damage 16.3%. 50% chance to apply Unhealable. 50% chance to apply Sleep. 50% chance to apply Attack Down 16.3%.</x:v>
      </x:c>
      <x:c r="Z166" s="7" t="str">
        <x:v>공격|디버프</x:v>
      </x:c>
    </x:row>
    <x:row r="167" ht="115" customHeight="1">
      <x:c r="A167" s="7" t="str">
        <x:v>SKILL_0161</x:v>
      </x:c>
      <x:c r="B167" s="7" t="str">
        <x:v>공격력 감소 · 방어력 감소 · 반격 불가의 일격</x:v>
      </x:c>
      <x:c r="C167" s="7"/>
      <x:c r="D167" s="7" t="str">
        <x:v>적</x:v>
      </x:c>
      <x:c r="E167" s="7" t="n">
        <x:v>1.1</x:v>
      </x:c>
      <x:c r="F167" s="7" t="n">
        <x:v>0</x:v>
      </x:c>
      <x:c r="G167" s="7" t="n">
        <x:v>0</x:v>
      </x:c>
      <x:c r="H167" s="7" t="n">
        <x:v>0</x:v>
      </x:c>
      <x:c r="I167" s="7" t="n">
        <x:v>0</x:v>
      </x:c>
      <x:c r="J167" s="7" t="n">
        <x:v>0</x:v>
      </x:c>
      <x:c r="K167" s="7" t="str">
        <x:v>ATTACK_DOWN</x:v>
      </x:c>
      <x:c r="L167" s="7" t="n">
        <x:v>0.2</x:v>
      </x:c>
      <x:c r="M167" s="8" t="n">
        <x:v>0.8</x:v>
      </x:c>
      <x:c r="N167" s="7" t="str">
        <x:v>DEFENSE_DOWN</x:v>
      </x:c>
      <x:c r="O167" s="7" t="n">
        <x:v>0.24</x:v>
      </x:c>
      <x:c r="P167" s="8" t="n">
        <x:v>0.8</x:v>
      </x:c>
      <x:c r="Q167" s="7" t="str">
        <x:v>COUNTERATTACK_BLOCK</x:v>
      </x:c>
      <x:c r="R167" s="7" t="n">
        <x:v>1</x:v>
      </x:c>
      <x:c r="S167" s="8" t="n">
        <x:v>0.8</x:v>
      </x:c>
      <x:c r="T167" s="7"/>
      <x:c r="U167" s="7"/>
      <x:c r="V167" s="8"/>
      <x:c r="W167" s="7" t="n">
        <x:v>3</x:v>
      </x:c>
      <x:c r="X167" s="7" t="str">
        <x:v>대상: 적. 적에게 공격력*1.1배 만큼의 피해를 가합니다. 80%확률로 공격력 감소 20% 적용합니다. 80%확률로 방어력 감소 24% 적용합니다. 80%확률로 반격 불가 적용합니다.</x:v>
      </x:c>
      <x:c r="Y167" s="7" t="str">
        <x:v>Target: one enemy. Deals 1.1 × caster Attack damage to one enemy. 80% chance to apply Attack Down 20%. 80% chance to apply Defense Down 24%. 80% chance to apply Counterattack Block.</x:v>
      </x:c>
      <x:c r="Z167" s="7" t="str">
        <x:v>공격|디버프</x:v>
      </x:c>
    </x:row>
    <x:row r="168" ht="115" customHeight="1">
      <x:c r="A168" s="7" t="str">
        <x:v>SKILL_0162</x:v>
      </x:c>
      <x:c r="B168" s="7" t="str">
        <x:v>저주 · 강화효과 지속시간 감소 · 방어력 관통의 일격</x:v>
      </x:c>
      <x:c r="C168" s="7"/>
      <x:c r="D168" s="7" t="str">
        <x:v>적</x:v>
      </x:c>
      <x:c r="E168" s="7" t="n">
        <x:v>0.715</x:v>
      </x:c>
      <x:c r="F168" s="7" t="n">
        <x:v>0.385</x:v>
      </x:c>
      <x:c r="G168" s="7" t="n">
        <x:v>0</x:v>
      </x:c>
      <x:c r="H168" s="7" t="n">
        <x:v>0</x:v>
      </x:c>
      <x:c r="I168" s="7" t="n">
        <x:v>0</x:v>
      </x:c>
      <x:c r="J168" s="7" t="n">
        <x:v>0</x:v>
      </x:c>
      <x:c r="K168" s="7" t="str">
        <x:v>CURSE</x:v>
      </x:c>
      <x:c r="L168" s="7" t="n">
        <x:v>0.16</x:v>
      </x:c>
      <x:c r="M168" s="8" t="n">
        <x:v>0.8</x:v>
      </x:c>
      <x:c r="N168" s="7" t="str">
        <x:v>BUFF_DURATION_DOWN</x:v>
      </x:c>
      <x:c r="O168" s="7" t="n">
        <x:v>1</x:v>
      </x:c>
      <x:c r="P168" s="8" t="n">
        <x:v>0.8</x:v>
      </x:c>
      <x:c r="Q168" s="7" t="str">
        <x:v>DEFENSE_PENETRATION</x:v>
      </x:c>
      <x:c r="R168" s="7" t="n">
        <x:v>0.24</x:v>
      </x:c>
      <x:c r="S168" s="8" t="n">
        <x:v>0.8</x:v>
      </x:c>
      <x:c r="T168" s="7"/>
      <x:c r="U168" s="7"/>
      <x:c r="V168" s="8"/>
      <x:c r="W168" s="7" t="n">
        <x:v>3</x:v>
      </x:c>
      <x:c r="X168" s="7" t="str">
        <x:v>대상: 적. 적에게 공격력*0.715배 + 방어력*0.385배 만큼의 피해를 가합니다. 80%확률로 저주 16% 적용합니다. 80%확률로 강화효과 지속시간 감소 1턴 적용합니다. 80%확률로 방어력 관통 24% 적용합니다.</x:v>
      </x:c>
      <x:c r="Y168" s="7" t="str">
        <x:v>Target: one enemy. Deals 0.715 × caster Attack + 0.385 × caster Defense damage to one enemy. 80% chance to apply Curse 16%. 80% chance to apply Buff Duration Reduction 1 turn. 80% chance to apply Defense Penetration 24%.</x:v>
      </x:c>
      <x:c r="Z168" s="7" t="str">
        <x:v>공격|디버프</x:v>
      </x:c>
    </x:row>
    <x:row r="169" ht="115" customHeight="1">
      <x:c r="A169" s="7" t="str">
        <x:v>SKILL_0163</x:v>
      </x:c>
      <x:c r="B169" s="7" t="str">
        <x:v>방어력 감소 · 강화 불가의 일격</x:v>
      </x:c>
      <x:c r="C169" s="7"/>
      <x:c r="D169" s="7" t="str">
        <x:v>적전체</x:v>
      </x:c>
      <x:c r="E169" s="7" t="n">
        <x:v>0.412</x:v>
      </x:c>
      <x:c r="F169" s="7" t="n">
        <x:v>0</x:v>
      </x:c>
      <x:c r="G169" s="7" t="n">
        <x:v>0.138</x:v>
      </x:c>
      <x:c r="H169" s="7" t="n">
        <x:v>0</x:v>
      </x:c>
      <x:c r="I169" s="7" t="n">
        <x:v>0</x:v>
      </x:c>
      <x:c r="J169" s="7" t="n">
        <x:v>0</x:v>
      </x:c>
      <x:c r="K169" s="7" t="str">
        <x:v>DEFENSE_DOWN</x:v>
      </x:c>
      <x:c r="L169" s="7" t="n">
        <x:v>0.3</x:v>
      </x:c>
      <x:c r="M169" s="8" t="n">
        <x:v>0.75</x:v>
      </x:c>
      <x:c r="N169" s="7" t="str">
        <x:v>BUFF_BLOCK</x:v>
      </x:c>
      <x:c r="O169" s="7" t="n">
        <x:v>1</x:v>
      </x:c>
      <x:c r="P169" s="8" t="n">
        <x:v>0.75</x:v>
      </x:c>
      <x:c r="Q169" s="7"/>
      <x:c r="R169" s="7"/>
      <x:c r="S169" s="8"/>
      <x:c r="T169" s="7"/>
      <x:c r="U169" s="7"/>
      <x:c r="V169" s="8"/>
      <x:c r="W169" s="7" t="n">
        <x:v>5</x:v>
      </x:c>
      <x:c r="X169" s="7" t="str">
        <x:v>대상: 적전체. 적전체에게 공격력*0.412배 + 속도*0.138배 만큼의 피해를 가합니다. 75%확률로 방어력 감소 30% 적용합니다. 75%확률로 강화 불가 적용합니다.</x:v>
      </x:c>
      <x:c r="Y169" s="7" t="str">
        <x:v>Target: all enemies. Deals 0.412 × caster Attack + 0.138 × caster Speed damage to all enemies. 75% chance to apply Defense Down 30%. 75% chance to apply Unbuffable.</x:v>
      </x:c>
      <x:c r="Z169" s="7" t="str">
        <x:v>공격|디버프</x:v>
      </x:c>
    </x:row>
    <x:row r="170" ht="115" customHeight="1">
      <x:c r="A170" s="7" t="str">
        <x:v>SKILL_0164</x:v>
      </x:c>
      <x:c r="B170" s="7" t="str">
        <x:v>부활 불가 · 수면 · 회복 불가 · 방어력 감소의 일격</x:v>
      </x:c>
      <x:c r="C170" s="7"/>
      <x:c r="D170" s="7" t="str">
        <x:v>적</x:v>
      </x:c>
      <x:c r="E170" s="7" t="n">
        <x:v>0.77</x:v>
      </x:c>
      <x:c r="F170" s="7" t="n">
        <x:v>0</x:v>
      </x:c>
      <x:c r="G170" s="7" t="n">
        <x:v>0</x:v>
      </x:c>
      <x:c r="H170" s="7" t="n">
        <x:v>0.33</x:v>
      </x:c>
      <x:c r="I170" s="7" t="n">
        <x:v>0</x:v>
      </x:c>
      <x:c r="J170" s="7" t="n">
        <x:v>0</x:v>
      </x:c>
      <x:c r="K170" s="7" t="str">
        <x:v>REVIVE_BLOCK</x:v>
      </x:c>
      <x:c r="L170" s="7" t="n">
        <x:v>1</x:v>
      </x:c>
      <x:c r="M170" s="8" t="n">
        <x:v>0.7</x:v>
      </x:c>
      <x:c r="N170" s="7" t="str">
        <x:v>SLEEP</x:v>
      </x:c>
      <x:c r="O170" s="7" t="n">
        <x:v>1</x:v>
      </x:c>
      <x:c r="P170" s="8" t="n">
        <x:v>0.7</x:v>
      </x:c>
      <x:c r="Q170" s="7" t="str">
        <x:v>HEAL_BLOCK</x:v>
      </x:c>
      <x:c r="R170" s="7" t="n">
        <x:v>1</x:v>
      </x:c>
      <x:c r="S170" s="8" t="n">
        <x:v>0.7</x:v>
      </x:c>
      <x:c r="T170" s="7" t="str">
        <x:v>DEFENSE_DOWN</x:v>
      </x:c>
      <x:c r="U170" s="7" t="n">
        <x:v>0.195</x:v>
      </x:c>
      <x:c r="V170" s="8" t="n">
        <x:v>0.7</x:v>
      </x:c>
      <x:c r="W170" s="7" t="n">
        <x:v>4</x:v>
      </x:c>
      <x:c r="X170" s="7" t="str">
        <x:v>대상: 적. 적에게 공격력*0.77배 + 생명력*0.33배 만큼의 피해를 가합니다. 70%확률로 부활 불가 적용합니다. 70%확률로 수면 적용합니다. 70%확률로 회복 불가 적용합니다. 70%확률로 방어력 감소 19.5% 적용합니다.</x:v>
      </x:c>
      <x:c r="Y170" s="7" t="str">
        <x:v>Target: one enemy. Deals 0.77 × caster Attack + 0.33 × caster max Health damage to one enemy. 70% chance to apply Revive Block. 70% chance to apply Sleep. 70% chance to apply Unhealable. 70% chance to apply Defense Down 19.5%.</x:v>
      </x:c>
      <x:c r="Z170" s="7" t="str">
        <x:v>공격|디버프</x:v>
      </x:c>
    </x:row>
    <x:row r="171" ht="115" customHeight="1">
      <x:c r="A171" s="7" t="str">
        <x:v>SKILL_0165</x:v>
      </x:c>
      <x:c r="B171" s="7" t="str">
        <x:v>방어력 관통 · 약화효과 전이 · 강화효과 해제의 일격</x:v>
      </x:c>
      <x:c r="C171" s="7"/>
      <x:c r="D171" s="7" t="str">
        <x:v>적</x:v>
      </x:c>
      <x:c r="E171" s="7" t="n">
        <x:v>1.1</x:v>
      </x:c>
      <x:c r="F171" s="7" t="n">
        <x:v>0</x:v>
      </x:c>
      <x:c r="G171" s="7" t="n">
        <x:v>0</x:v>
      </x:c>
      <x:c r="H171" s="7" t="n">
        <x:v>0</x:v>
      </x:c>
      <x:c r="I171" s="7" t="n">
        <x:v>0</x:v>
      </x:c>
      <x:c r="J171" s="7" t="n">
        <x:v>0</x:v>
      </x:c>
      <x:c r="K171" s="7" t="str">
        <x:v>DEFENSE_PENETRATION</x:v>
      </x:c>
      <x:c r="L171" s="7" t="n">
        <x:v>0.24</x:v>
      </x:c>
      <x:c r="M171" s="8" t="n">
        <x:v>0.8</x:v>
      </x:c>
      <x:c r="N171" s="7" t="str">
        <x:v>TRANSFER_DEBUFF</x:v>
      </x:c>
      <x:c r="O171" s="7" t="n">
        <x:v>1</x:v>
      </x:c>
      <x:c r="P171" s="8" t="n">
        <x:v>0.8</x:v>
      </x:c>
      <x:c r="Q171" s="7" t="str">
        <x:v>DISPEL_BUFF</x:v>
      </x:c>
      <x:c r="R171" s="7" t="n">
        <x:v>1</x:v>
      </x:c>
      <x:c r="S171" s="8" t="n">
        <x:v>0.8</x:v>
      </x:c>
      <x:c r="T171" s="7"/>
      <x:c r="U171" s="7"/>
      <x:c r="V171" s="8"/>
      <x:c r="W171" s="7" t="n">
        <x:v>3</x:v>
      </x:c>
      <x:c r="X171" s="7" t="str">
        <x:v>대상: 적. 적에게 공격력*1.1배 만큼의 피해를 가합니다. 80%확률로 방어력 관통 24% 적용합니다. 80%확률로 약화효과 전이 1개 적용합니다. 80%확률로 강화효과 해제 1개 적용합니다.</x:v>
      </x:c>
      <x:c r="Y171" s="7" t="str">
        <x:v>Target: one enemy. Deals 1.1 × caster Attack damage to one enemy. 80% chance to apply Defense Penetration 24%. 80% chance to apply Debuff Transfer 1 count. 80% chance to apply Dispel Buff 1 count.</x:v>
      </x:c>
      <x:c r="Z171" s="7" t="str">
        <x:v>공격|디버프</x:v>
      </x:c>
    </x:row>
    <x:row r="172" ht="115" customHeight="1">
      <x:c r="A172" s="7" t="str">
        <x:v>SKILL_0166</x:v>
      </x:c>
      <x:c r="B172" s="7" t="str">
        <x:v>회복 불가 · 약화효과 지속시간 증가의 일격</x:v>
      </x:c>
      <x:c r="C172" s="7"/>
      <x:c r="D172" s="7" t="str">
        <x:v>적전체</x:v>
      </x:c>
      <x:c r="E172" s="7" t="n">
        <x:v>0.45</x:v>
      </x:c>
      <x:c r="F172" s="7" t="n">
        <x:v>0.15</x:v>
      </x:c>
      <x:c r="G172" s="7" t="n">
        <x:v>0</x:v>
      </x:c>
      <x:c r="H172" s="7" t="n">
        <x:v>0</x:v>
      </x:c>
      <x:c r="I172" s="7" t="n">
        <x:v>0</x:v>
      </x:c>
      <x:c r="J172" s="7" t="n">
        <x:v>0</x:v>
      </x:c>
      <x:c r="K172" s="7" t="str">
        <x:v>HEAL_BLOCK</x:v>
      </x:c>
      <x:c r="L172" s="7" t="n">
        <x:v>1</x:v>
      </x:c>
      <x:c r="M172" s="8" t="n">
        <x:v>0.8</x:v>
      </x:c>
      <x:c r="N172" s="7" t="str">
        <x:v>DEBUFF_DURATION_UP</x:v>
      </x:c>
      <x:c r="O172" s="7" t="n">
        <x:v>1</x:v>
      </x:c>
      <x:c r="P172" s="8" t="n">
        <x:v>0.8</x:v>
      </x:c>
      <x:c r="Q172" s="7"/>
      <x:c r="R172" s="7"/>
      <x:c r="S172" s="8"/>
      <x:c r="T172" s="7"/>
      <x:c r="U172" s="7"/>
      <x:c r="V172" s="8"/>
      <x:c r="W172" s="7" t="n">
        <x:v>5</x:v>
      </x:c>
      <x:c r="X172" s="7" t="str">
        <x:v>대상: 적전체. 적전체에게 공격력*0.45배 + 방어력*0.15배 만큼의 피해를 가합니다. 80%확률로 회복 불가 적용합니다. 80%확률로 약화효과 지속시간 증가 1턴 적용합니다.</x:v>
      </x:c>
      <x:c r="Y172" s="7" t="str">
        <x:v>Target: all enemies. Deals 0.45 × caster Attack + 0.15 × caster Defense damage to all enemies. 80% chance to apply Unhealable. 80% chance to apply Debuff Duration Extension 1 turn.</x:v>
      </x:c>
      <x:c r="Z172" s="7" t="str">
        <x:v>공격|디버프</x:v>
      </x:c>
    </x:row>
    <x:row r="173" ht="115" customHeight="1">
      <x:c r="A173" s="7" t="str">
        <x:v>SKILL_0167</x:v>
      </x:c>
      <x:c r="B173" s="7" t="str">
        <x:v>강화효과 지속시간 감소 · 강화 불가의 일격</x:v>
      </x:c>
      <x:c r="C173" s="7"/>
      <x:c r="D173" s="7" t="str">
        <x:v>적</x:v>
      </x:c>
      <x:c r="E173" s="7" t="n">
        <x:v>0.77</x:v>
      </x:c>
      <x:c r="F173" s="7" t="n">
        <x:v>0</x:v>
      </x:c>
      <x:c r="G173" s="7" t="n">
        <x:v>0.33</x:v>
      </x:c>
      <x:c r="H173" s="7" t="n">
        <x:v>0</x:v>
      </x:c>
      <x:c r="I173" s="7" t="n">
        <x:v>0</x:v>
      </x:c>
      <x:c r="J173" s="7" t="n">
        <x:v>0</x:v>
      </x:c>
      <x:c r="K173" s="7" t="str">
        <x:v>BUFF_DURATION_DOWN</x:v>
      </x:c>
      <x:c r="L173" s="7" t="n">
        <x:v>1</x:v>
      </x:c>
      <x:c r="M173" s="8" t="n">
        <x:v>0.9</x:v>
      </x:c>
      <x:c r="N173" s="7" t="str">
        <x:v>BUFF_BLOCK</x:v>
      </x:c>
      <x:c r="O173" s="7" t="n">
        <x:v>1</x:v>
      </x:c>
      <x:c r="P173" s="8" t="n">
        <x:v>0.9</x:v>
      </x:c>
      <x:c r="Q173" s="7"/>
      <x:c r="R173" s="7"/>
      <x:c r="S173" s="8"/>
      <x:c r="T173" s="7"/>
      <x:c r="U173" s="7"/>
      <x:c r="V173" s="8"/>
      <x:c r="W173" s="7" t="n">
        <x:v>2</x:v>
      </x:c>
      <x:c r="X173" s="7" t="str">
        <x:v>대상: 적. 적에게 공격력*0.77배 + 속도*0.33배 만큼의 피해를 가합니다. 90%확률로 강화효과 지속시간 감소 1턴 적용합니다. 90%확률로 강화 불가 적용합니다.</x:v>
      </x:c>
      <x:c r="Y173" s="7" t="str">
        <x:v>Target: one enemy. Deals 0.77 × caster Attack + 0.33 × caster Speed damage to one enemy. 90% chance to apply Buff Duration Reduction 1 turn. 90% chance to apply Unbuffable.</x:v>
      </x:c>
      <x:c r="Z173" s="7" t="str">
        <x:v>공격|디버프</x:v>
      </x:c>
    </x:row>
    <x:row r="174" ht="115" customHeight="1">
      <x:c r="A174" s="7" t="str">
        <x:v>SKILL_0168</x:v>
      </x:c>
      <x:c r="B174" s="7" t="str">
        <x:v>강화효과 해제 · 명중 감소의 일격</x:v>
      </x:c>
      <x:c r="C174" s="7"/>
      <x:c r="D174" s="7" t="str">
        <x:v>적</x:v>
      </x:c>
      <x:c r="E174" s="7" t="n">
        <x:v>0.715</x:v>
      </x:c>
      <x:c r="F174" s="7" t="n">
        <x:v>0</x:v>
      </x:c>
      <x:c r="G174" s="7" t="n">
        <x:v>0</x:v>
      </x:c>
      <x:c r="H174" s="7" t="n">
        <x:v>0.385</x:v>
      </x:c>
      <x:c r="I174" s="7" t="n">
        <x:v>0</x:v>
      </x:c>
      <x:c r="J174" s="7" t="n">
        <x:v>0</x:v>
      </x:c>
      <x:c r="K174" s="7" t="str">
        <x:v>DISPEL_BUFF</x:v>
      </x:c>
      <x:c r="L174" s="7" t="n">
        <x:v>1</x:v>
      </x:c>
      <x:c r="M174" s="8" t="n">
        <x:v>0.9</x:v>
      </x:c>
      <x:c r="N174" s="7" t="str">
        <x:v>HIT_CHANCE_DOWN</x:v>
      </x:c>
      <x:c r="O174" s="7" t="n">
        <x:v>0.2</x:v>
      </x:c>
      <x:c r="P174" s="8" t="n">
        <x:v>0.9</x:v>
      </x:c>
      <x:c r="Q174" s="7"/>
      <x:c r="R174" s="7"/>
      <x:c r="S174" s="8"/>
      <x:c r="T174" s="7"/>
      <x:c r="U174" s="7"/>
      <x:c r="V174" s="8"/>
      <x:c r="W174" s="7" t="n">
        <x:v>2</x:v>
      </x:c>
      <x:c r="X174" s="7" t="str">
        <x:v>대상: 적. 적에게 공격력*0.715배 + 생명력*0.385배 만큼의 피해를 가합니다. 90%확률로 강화효과 해제 1개 적용합니다. 90%확률로 명중 감소 20% 적용합니다.</x:v>
      </x:c>
      <x:c r="Y174" s="7" t="str">
        <x:v>Target: one enemy. Deals 0.715 × caster Attack + 0.385 × caster max Health damage to one enemy. 90% chance to apply Dispel Buff 1 count. 90% chance to apply Hit Chance Down 20%.</x:v>
      </x:c>
      <x:c r="Z174" s="7" t="str">
        <x:v>공격|디버프</x:v>
      </x:c>
    </x:row>
    <x:row r="175" ht="115" customHeight="1">
      <x:c r="A175" s="7" t="str">
        <x:v>SKILL_0169</x:v>
      </x:c>
      <x:c r="B175" s="7" t="str">
        <x:v>스킬 쿨타임 증가 · 강화효과 해제 · 부활 불가 · 명중 감소의 일격</x:v>
      </x:c>
      <x:c r="C175" s="7"/>
      <x:c r="D175" s="7" t="str">
        <x:v>적전체</x:v>
      </x:c>
      <x:c r="E175" s="7" t="n">
        <x:v>0.35</x:v>
      </x:c>
      <x:c r="F175" s="7" t="n">
        <x:v>0</x:v>
      </x:c>
      <x:c r="G175" s="7" t="n">
        <x:v>0</x:v>
      </x:c>
      <x:c r="H175" s="7" t="n">
        <x:v>0</x:v>
      </x:c>
      <x:c r="I175" s="7" t="n">
        <x:v>0</x:v>
      </x:c>
      <x:c r="J175" s="7" t="n">
        <x:v>0</x:v>
      </x:c>
      <x:c r="K175" s="7" t="str">
        <x:v>SKILL_COOLDOWN_UP</x:v>
      </x:c>
      <x:c r="L175" s="7" t="n">
        <x:v>1</x:v>
      </x:c>
      <x:c r="M175" s="8" t="n">
        <x:v>0.35</x:v>
      </x:c>
      <x:c r="N175" s="7" t="str">
        <x:v>DISPEL_BUFF</x:v>
      </x:c>
      <x:c r="O175" s="7" t="n">
        <x:v>1</x:v>
      </x:c>
      <x:c r="P175" s="8" t="n">
        <x:v>0.35</x:v>
      </x:c>
      <x:c r="Q175" s="7" t="str">
        <x:v>REVIVE_BLOCK</x:v>
      </x:c>
      <x:c r="R175" s="7" t="n">
        <x:v>1</x:v>
      </x:c>
      <x:c r="S175" s="8" t="n">
        <x:v>0.35</x:v>
      </x:c>
      <x:c r="T175" s="7" t="str">
        <x:v>HIT_CHANCE_DOWN</x:v>
      </x:c>
      <x:c r="U175" s="7" t="n">
        <x:v>0.13</x:v>
      </x:c>
      <x:c r="V175" s="8" t="n">
        <x:v>0.35</x:v>
      </x:c>
      <x:c r="W175" s="7" t="n">
        <x:v>5</x:v>
      </x:c>
      <x:c r="X175" s="7" t="str">
        <x:v>대상: 적전체. 적전체에게 공격력*0.35배 만큼의 피해를 가합니다. 35%확률로 스킬 쿨타임 증가 1턴 적용합니다. 35%확률로 강화효과 해제 1개 적용합니다. 35%확률로 부활 불가 적용합니다. 35%확률로 명중 감소 13% 적용합니다.</x:v>
      </x:c>
      <x:c r="Y175" s="7" t="str">
        <x:v>Target: all enemies. Deals 0.35 × caster Attack damage to all enemies. 35% chance to apply Skill Cooldown Increase 1 turn. 35% chance to apply Dispel Buff 1 count. 35% chance to apply Revive Block. 35% chance to apply Hit Chance Down 13%.</x:v>
      </x:c>
      <x:c r="Z175" s="7" t="str">
        <x:v>공격|디버프</x:v>
      </x:c>
    </x:row>
    <x:row r="176" ht="115" customHeight="1">
      <x:c r="A176" s="7" t="str">
        <x:v>SKILL_0170</x:v>
      </x:c>
      <x:c r="B176" s="7" t="str">
        <x:v>약화효과 전이 · 방어력 감소 · 회복 불가의 일격</x:v>
      </x:c>
      <x:c r="C176" s="7"/>
      <x:c r="D176" s="7" t="str">
        <x:v>적</x:v>
      </x:c>
      <x:c r="E176" s="7" t="n">
        <x:v>0.77</x:v>
      </x:c>
      <x:c r="F176" s="7" t="n">
        <x:v>0.33</x:v>
      </x:c>
      <x:c r="G176" s="7" t="n">
        <x:v>0</x:v>
      </x:c>
      <x:c r="H176" s="7" t="n">
        <x:v>0</x:v>
      </x:c>
      <x:c r="I176" s="7" t="n">
        <x:v>0</x:v>
      </x:c>
      <x:c r="J176" s="7" t="n">
        <x:v>0</x:v>
      </x:c>
      <x:c r="K176" s="7" t="str">
        <x:v>TRANSFER_DEBUFF</x:v>
      </x:c>
      <x:c r="L176" s="7" t="n">
        <x:v>1</x:v>
      </x:c>
      <x:c r="M176" s="8" t="n">
        <x:v>0.8</x:v>
      </x:c>
      <x:c r="N176" s="7" t="str">
        <x:v>DEFENSE_DOWN</x:v>
      </x:c>
      <x:c r="O176" s="7" t="n">
        <x:v>0.24</x:v>
      </x:c>
      <x:c r="P176" s="8" t="n">
        <x:v>0.8</x:v>
      </x:c>
      <x:c r="Q176" s="7" t="str">
        <x:v>HEAL_BLOCK</x:v>
      </x:c>
      <x:c r="R176" s="7" t="n">
        <x:v>1</x:v>
      </x:c>
      <x:c r="S176" s="8" t="n">
        <x:v>0.8</x:v>
      </x:c>
      <x:c r="T176" s="7"/>
      <x:c r="U176" s="7"/>
      <x:c r="V176" s="8"/>
      <x:c r="W176" s="7" t="n">
        <x:v>3</x:v>
      </x:c>
      <x:c r="X176" s="7" t="str">
        <x:v>대상: 적. 적에게 공격력*0.77배 + 방어력*0.33배 만큼의 피해를 가합니다. 80%확률로 약화효과 전이 1개 적용합니다. 80%확률로 방어력 감소 24% 적용합니다. 80%확률로 회복 불가 적용합니다.</x:v>
      </x:c>
      <x:c r="Y176" s="7" t="str">
        <x:v>Target: one enemy. Deals 0.77 × caster Attack + 0.33 × caster Defense damage to one enemy. 80% chance to apply Debuff Transfer 1 count. 80% chance to apply Defense Down 24%. 80% chance to apply Unhealable.</x:v>
      </x:c>
      <x:c r="Z176" s="7" t="str">
        <x:v>공격|디버프</x:v>
      </x:c>
    </x:row>
    <x:row r="177" ht="115" customHeight="1">
      <x:c r="A177" s="7" t="str">
        <x:v>SKILL_0171</x:v>
      </x:c>
      <x:c r="B177" s="7" t="str">
        <x:v>강화효과 지속시간 감소 · 속도 감소의 일격</x:v>
      </x:c>
      <x:c r="C177" s="7"/>
      <x:c r="D177" s="7" t="str">
        <x:v>적</x:v>
      </x:c>
      <x:c r="E177" s="7" t="n">
        <x:v>0.715</x:v>
      </x:c>
      <x:c r="F177" s="7" t="n">
        <x:v>0</x:v>
      </x:c>
      <x:c r="G177" s="7" t="n">
        <x:v>0.385</x:v>
      </x:c>
      <x:c r="H177" s="7" t="n">
        <x:v>0</x:v>
      </x:c>
      <x:c r="I177" s="7" t="n">
        <x:v>0</x:v>
      </x:c>
      <x:c r="J177" s="7" t="n">
        <x:v>0</x:v>
      </x:c>
      <x:c r="K177" s="7" t="str">
        <x:v>BUFF_DURATION_DOWN</x:v>
      </x:c>
      <x:c r="L177" s="7" t="n">
        <x:v>1</x:v>
      </x:c>
      <x:c r="M177" s="8" t="n">
        <x:v>0.9</x:v>
      </x:c>
      <x:c r="N177" s="7" t="str">
        <x:v>SPEED_DOWN</x:v>
      </x:c>
      <x:c r="O177" s="7" t="n">
        <x:v>0.2</x:v>
      </x:c>
      <x:c r="P177" s="8" t="n">
        <x:v>0.9</x:v>
      </x:c>
      <x:c r="Q177" s="7"/>
      <x:c r="R177" s="7"/>
      <x:c r="S177" s="8"/>
      <x:c r="T177" s="7"/>
      <x:c r="U177" s="7"/>
      <x:c r="V177" s="8"/>
      <x:c r="W177" s="7" t="n">
        <x:v>2</x:v>
      </x:c>
      <x:c r="X177" s="7" t="str">
        <x:v>대상: 적. 적에게 공격력*0.715배 + 속도*0.385배 만큼의 피해를 가합니다. 90%확률로 강화효과 지속시간 감소 1턴 적용합니다. 90%확률로 속도 감소 20% 적용합니다.</x:v>
      </x:c>
      <x:c r="Y177" s="7" t="str">
        <x:v>Target: one enemy. Deals 0.715 × caster Attack + 0.385 × caster Speed damage to one enemy. 90% chance to apply Buff Duration Reduction 1 turn. 90% chance to apply Speed Down 20%.</x:v>
      </x:c>
      <x:c r="Z177" s="7" t="str">
        <x:v>공격|디버프</x:v>
      </x:c>
    </x:row>
    <x:row r="178" ht="115" customHeight="1">
      <x:c r="A178" s="7" t="str">
        <x:v>SKILL_0172</x:v>
      </x:c>
      <x:c r="B178" s="7" t="str">
        <x:v>공격력 감소 · 강화효과 지속시간 감소의 일격</x:v>
      </x:c>
      <x:c r="C178" s="7"/>
      <x:c r="D178" s="7" t="str">
        <x:v>적전체</x:v>
      </x:c>
      <x:c r="E178" s="7" t="n">
        <x:v>0.525</x:v>
      </x:c>
      <x:c r="F178" s="7" t="n">
        <x:v>0</x:v>
      </x:c>
      <x:c r="G178" s="7" t="n">
        <x:v>0</x:v>
      </x:c>
      <x:c r="H178" s="7" t="n">
        <x:v>0.175</x:v>
      </x:c>
      <x:c r="I178" s="7" t="n">
        <x:v>0</x:v>
      </x:c>
      <x:c r="J178" s="7" t="n">
        <x:v>0</x:v>
      </x:c>
      <x:c r="K178" s="7" t="str">
        <x:v>ATTACK_DOWN</x:v>
      </x:c>
      <x:c r="L178" s="7" t="n">
        <x:v>0.25</x:v>
      </x:c>
      <x:c r="M178" s="8" t="n">
        <x:v>0.9</x:v>
      </x:c>
      <x:c r="N178" s="7" t="str">
        <x:v>BUFF_DURATION_DOWN</x:v>
      </x:c>
      <x:c r="O178" s="7" t="n">
        <x:v>1</x:v>
      </x:c>
      <x:c r="P178" s="8" t="n">
        <x:v>0.9</x:v>
      </x:c>
      <x:c r="Q178" s="7"/>
      <x:c r="R178" s="7"/>
      <x:c r="S178" s="8"/>
      <x:c r="T178" s="7"/>
      <x:c r="U178" s="7"/>
      <x:c r="V178" s="8"/>
      <x:c r="W178" s="7" t="n">
        <x:v>5</x:v>
      </x:c>
      <x:c r="X178" s="7" t="str">
        <x:v>대상: 적전체. 적전체에게 공격력*0.525배 + 생명력*0.175배 만큼의 피해를 가합니다. 90%확률로 공격력 감소 25% 적용합니다. 90%확률로 강화효과 지속시간 감소 1턴 적용합니다.</x:v>
      </x:c>
      <x:c r="Y178" s="7" t="str">
        <x:v>Target: all enemies. Deals 0.525 × caster Attack + 0.175 × caster max Health damage to all enemies. 90% chance to apply Attack Down 25%. 90% chance to apply Buff Duration Reduction 1 turn.</x:v>
      </x:c>
      <x:c r="Z178" s="7" t="str">
        <x:v>공격|디버프</x:v>
      </x:c>
    </x:row>
    <x:row r="179" ht="115" customHeight="1">
      <x:c r="A179" s="7" t="str">
        <x:v>SKILL_0173</x:v>
      </x:c>
      <x:c r="B179" s="7" t="str">
        <x:v>회복 불가 · 추가 공격 · 저주 · 약화효과 지속시간 증가의 일격</x:v>
      </x:c>
      <x:c r="C179" s="7"/>
      <x:c r="D179" s="7" t="str">
        <x:v>적</x:v>
      </x:c>
      <x:c r="E179" s="7" t="n">
        <x:v>1.1</x:v>
      </x:c>
      <x:c r="F179" s="7" t="n">
        <x:v>0</x:v>
      </x:c>
      <x:c r="G179" s="7" t="n">
        <x:v>0</x:v>
      </x:c>
      <x:c r="H179" s="7" t="n">
        <x:v>0</x:v>
      </x:c>
      <x:c r="I179" s="7" t="n">
        <x:v>0</x:v>
      </x:c>
      <x:c r="J179" s="7" t="n">
        <x:v>0</x:v>
      </x:c>
      <x:c r="K179" s="7" t="str">
        <x:v>HEAL_BLOCK</x:v>
      </x:c>
      <x:c r="L179" s="7" t="n">
        <x:v>1</x:v>
      </x:c>
      <x:c r="M179" s="8" t="n">
        <x:v>0.7</x:v>
      </x:c>
      <x:c r="N179" s="7" t="str">
        <x:v>EXTRA_ATTACK</x:v>
      </x:c>
      <x:c r="O179" s="7" t="n">
        <x:v>0.227</x:v>
      </x:c>
      <x:c r="P179" s="8" t="n">
        <x:v>0.7</x:v>
      </x:c>
      <x:c r="Q179" s="7" t="str">
        <x:v>CURSE</x:v>
      </x:c>
      <x:c r="R179" s="7" t="n">
        <x:v>0.13</x:v>
      </x:c>
      <x:c r="S179" s="8" t="n">
        <x:v>0.7</x:v>
      </x:c>
      <x:c r="T179" s="7" t="str">
        <x:v>DEBUFF_DURATION_UP</x:v>
      </x:c>
      <x:c r="U179" s="7" t="n">
        <x:v>1</x:v>
      </x:c>
      <x:c r="V179" s="8" t="n">
        <x:v>0.7</x:v>
      </x:c>
      <x:c r="W179" s="7" t="n">
        <x:v>3</x:v>
      </x:c>
      <x:c r="X179" s="7" t="str">
        <x:v>대상: 적. 적에게 공격력*1.1배 만큼의 피해를 가합니다. 70%확률로 회복 불가 적용합니다. 70%확률로 추가 공격 22.7% 적용합니다. 70%확률로 저주 13% 적용합니다. 70%확률로 약화효과 지속시간 증가 1턴 적용합니다.</x:v>
      </x:c>
      <x:c r="Y179" s="7" t="str">
        <x:v>Target: one enemy. Deals 1.1 × caster Attack damage to one enemy. 70% chance to apply Unhealable. 70% chance to apply Extra Attack 22.7%. 70% chance to apply Curse 13%. 70% chance to apply Debuff Duration Extension 1 turn.</x:v>
      </x:c>
      <x:c r="Z179" s="7" t="str">
        <x:v>공격|디버프</x:v>
      </x:c>
    </x:row>
    <x:row r="180" ht="115" customHeight="1">
      <x:c r="A180" s="7" t="str">
        <x:v>SKILL_0174</x:v>
      </x:c>
      <x:c r="B180" s="7" t="str">
        <x:v>속도 감소 · 표적 · 상처 · 방어력 관통의 일격</x:v>
      </x:c>
      <x:c r="C180" s="7"/>
      <x:c r="D180" s="7" t="str">
        <x:v>적</x:v>
      </x:c>
      <x:c r="E180" s="7" t="n">
        <x:v>0.715</x:v>
      </x:c>
      <x:c r="F180" s="7" t="n">
        <x:v>0.385</x:v>
      </x:c>
      <x:c r="G180" s="7" t="n">
        <x:v>0</x:v>
      </x:c>
      <x:c r="H180" s="7" t="n">
        <x:v>0</x:v>
      </x:c>
      <x:c r="I180" s="7" t="n">
        <x:v>0</x:v>
      </x:c>
      <x:c r="J180" s="7" t="n">
        <x:v>0</x:v>
      </x:c>
      <x:c r="K180" s="7" t="str">
        <x:v>SPEED_DOWN</x:v>
      </x:c>
      <x:c r="L180" s="7" t="n">
        <x:v>0.13</x:v>
      </x:c>
      <x:c r="M180" s="8" t="n">
        <x:v>0.7</x:v>
      </x:c>
      <x:c r="N180" s="7" t="str">
        <x:v>TARGET</x:v>
      </x:c>
      <x:c r="O180" s="7" t="n">
        <x:v>0.098</x:v>
      </x:c>
      <x:c r="P180" s="8" t="n">
        <x:v>0.7</x:v>
      </x:c>
      <x:c r="Q180" s="7" t="str">
        <x:v>INJURY</x:v>
      </x:c>
      <x:c r="R180" s="7" t="n">
        <x:v>0.052</x:v>
      </x:c>
      <x:c r="S180" s="8" t="n">
        <x:v>0.7</x:v>
      </x:c>
      <x:c r="T180" s="7" t="str">
        <x:v>DEFENSE_PENETRATION</x:v>
      </x:c>
      <x:c r="U180" s="7" t="n">
        <x:v>0.195</x:v>
      </x:c>
      <x:c r="V180" s="8" t="n">
        <x:v>0.7</x:v>
      </x:c>
      <x:c r="W180" s="7" t="n">
        <x:v>2</x:v>
      </x:c>
      <x:c r="X180" s="7" t="str">
        <x:v>대상: 적. 적에게 공격력*0.715배 + 방어력*0.385배 만큼의 피해를 가합니다. 70%확률로 속도 감소 13% 적용합니다. 70%확률로 표적 9.8% 적용합니다. 70%확률로 상처 5.2% 적용합니다. 70%확률로 방어력 관통 19.5% 적용합니다.</x:v>
      </x:c>
      <x:c r="Y180" s="7" t="str">
        <x:v>Target: one enemy. Deals 0.715 × caster Attack + 0.385 × caster Defense damage to one enemy. 70% chance to apply Speed Down 13%. 70% chance to apply Target 9.8%. 70% chance to apply Injury 5.2%. 70% chance to apply Defense Penetration 19.5%.</x:v>
      </x:c>
      <x:c r="Z180" s="7" t="str">
        <x:v>공격|디버프</x:v>
      </x:c>
    </x:row>
    <x:row r="181" ht="115" customHeight="1">
      <x:c r="A181" s="7" t="str">
        <x:v>SKILL_0175</x:v>
      </x:c>
      <x:c r="B181" s="7" t="str">
        <x:v>상처 · 속도 감소 · 명중 감소 · 중독의 일격</x:v>
      </x:c>
      <x:c r="C181" s="7"/>
      <x:c r="D181" s="7" t="str">
        <x:v>적전체</x:v>
      </x:c>
      <x:c r="E181" s="7" t="n">
        <x:v>0.45</x:v>
      </x:c>
      <x:c r="F181" s="7" t="n">
        <x:v>0</x:v>
      </x:c>
      <x:c r="G181" s="7" t="n">
        <x:v>0.15</x:v>
      </x:c>
      <x:c r="H181" s="7" t="n">
        <x:v>0</x:v>
      </x:c>
      <x:c r="I181" s="7" t="n">
        <x:v>0</x:v>
      </x:c>
      <x:c r="J181" s="7" t="n">
        <x:v>0</x:v>
      </x:c>
      <x:c r="K181" s="7" t="str">
        <x:v>INJURY</x:v>
      </x:c>
      <x:c r="L181" s="7" t="n">
        <x:v>0.052</x:v>
      </x:c>
      <x:c r="M181" s="8" t="n">
        <x:v>0.6</x:v>
      </x:c>
      <x:c r="N181" s="7" t="str">
        <x:v>SPEED_DOWN</x:v>
      </x:c>
      <x:c r="O181" s="7" t="n">
        <x:v>0.13</x:v>
      </x:c>
      <x:c r="P181" s="8" t="n">
        <x:v>0.6</x:v>
      </x:c>
      <x:c r="Q181" s="7" t="str">
        <x:v>HIT_CHANCE_DOWN</x:v>
      </x:c>
      <x:c r="R181" s="7" t="n">
        <x:v>0.13</x:v>
      </x:c>
      <x:c r="S181" s="8" t="n">
        <x:v>0.6</x:v>
      </x:c>
      <x:c r="T181" s="7" t="str">
        <x:v>POISON</x:v>
      </x:c>
      <x:c r="U181" s="7" t="n">
        <x:v>0.026</x:v>
      </x:c>
      <x:c r="V181" s="8" t="n">
        <x:v>0.6</x:v>
      </x:c>
      <x:c r="W181" s="7" t="n">
        <x:v>5</x:v>
      </x:c>
      <x:c r="X181" s="7" t="str">
        <x:v>대상: 적전체. 적전체에게 공격력*0.45배 + 속도*0.15배 만큼의 피해를 가합니다. 60%확률로 상처 5.2% 적용합니다. 60%확률로 속도 감소 13% 적용합니다. 60%확률로 명중 감소 13% 적용합니다. 60%확률로 중독 2.6% 적용합니다.</x:v>
      </x:c>
      <x:c r="Y181" s="7" t="str">
        <x:v>Target: all enemies. Deals 0.45 × caster Attack + 0.15 × caster Speed damage to all enemies. 60% chance to apply Injury 5.2%. 60% chance to apply Speed Down 13%. 60% chance to apply Hit Chance Down 13%. 60% chance to apply Poison 2.6%.</x:v>
      </x:c>
      <x:c r="Z181" s="7" t="str">
        <x:v>공격|디버프</x:v>
      </x:c>
    </x:row>
    <x:row r="182" ht="115" customHeight="1">
      <x:c r="A182" s="7" t="str">
        <x:v>SKILL_0176</x:v>
      </x:c>
      <x:c r="B182" s="7" t="str">
        <x:v>약화효과 지속시간 증가 · 추가 공격 · 방어력 감소 · 반격 불가의 일격</x:v>
      </x:c>
      <x:c r="C182" s="7"/>
      <x:c r="D182" s="7" t="str">
        <x:v>적</x:v>
      </x:c>
      <x:c r="E182" s="7" t="n">
        <x:v>0.77</x:v>
      </x:c>
      <x:c r="F182" s="7" t="n">
        <x:v>0</x:v>
      </x:c>
      <x:c r="G182" s="7" t="n">
        <x:v>0</x:v>
      </x:c>
      <x:c r="H182" s="7" t="n">
        <x:v>0.33</x:v>
      </x:c>
      <x:c r="I182" s="7" t="n">
        <x:v>0</x:v>
      </x:c>
      <x:c r="J182" s="7" t="n">
        <x:v>0</x:v>
      </x:c>
      <x:c r="K182" s="7" t="str">
        <x:v>DEBUFF_DURATION_UP</x:v>
      </x:c>
      <x:c r="L182" s="7" t="n">
        <x:v>1</x:v>
      </x:c>
      <x:c r="M182" s="8" t="n">
        <x:v>0.7</x:v>
      </x:c>
      <x:c r="N182" s="7" t="str">
        <x:v>EXTRA_ATTACK</x:v>
      </x:c>
      <x:c r="O182" s="7" t="n">
        <x:v>0.227</x:v>
      </x:c>
      <x:c r="P182" s="8" t="n">
        <x:v>0.7</x:v>
      </x:c>
      <x:c r="Q182" s="7" t="str">
        <x:v>DEFENSE_DOWN</x:v>
      </x:c>
      <x:c r="R182" s="7" t="n">
        <x:v>0.195</x:v>
      </x:c>
      <x:c r="S182" s="8" t="n">
        <x:v>0.7</x:v>
      </x:c>
      <x:c r="T182" s="7" t="str">
        <x:v>COUNTERATTACK_BLOCK</x:v>
      </x:c>
      <x:c r="U182" s="7" t="n">
        <x:v>1</x:v>
      </x:c>
      <x:c r="V182" s="8" t="n">
        <x:v>0.7</x:v>
      </x:c>
      <x:c r="W182" s="7" t="n">
        <x:v>3</x:v>
      </x:c>
      <x:c r="X182" s="7" t="str">
        <x:v>대상: 적. 적에게 공격력*0.77배 + 생명력*0.33배 만큼의 피해를 가합니다. 70%확률로 약화효과 지속시간 증가 1턴 적용합니다. 70%확률로 추가 공격 22.7% 적용합니다. 70%확률로 방어력 감소 19.5% 적용합니다. 70%확률로 반격 불가 적용합니다.</x:v>
      </x:c>
      <x:c r="Y182" s="7" t="str">
        <x:v>Target: one enemy. Deals 0.77 × caster Attack + 0.33 × caster max Health damage to one enemy. 70% chance to apply Debuff Duration Extension 1 turn. 70% chance to apply Extra Attack 22.7%. 70% chance to apply Defense Down 19.5%. 70% chance to apply Counterattack Block.</x:v>
      </x:c>
      <x:c r="Z182" s="7" t="str">
        <x:v>공격|디버프</x:v>
      </x:c>
    </x:row>
    <x:row r="183" ht="115" customHeight="1">
      <x:c r="A183" s="7" t="str">
        <x:v>SKILL_0177</x:v>
      </x:c>
      <x:c r="B183" s="7" t="str">
        <x:v>추가 피해 · 중독 · 기절 — 스턴 · 흡혈의 일격</x:v>
      </x:c>
      <x:c r="C183" s="7"/>
      <x:c r="D183" s="7" t="str">
        <x:v>적</x:v>
      </x:c>
      <x:c r="E183" s="7" t="n">
        <x:v>1.1</x:v>
      </x:c>
      <x:c r="F183" s="7" t="n">
        <x:v>0</x:v>
      </x:c>
      <x:c r="G183" s="7" t="n">
        <x:v>0</x:v>
      </x:c>
      <x:c r="H183" s="7" t="n">
        <x:v>0</x:v>
      </x:c>
      <x:c r="I183" s="7" t="n">
        <x:v>0</x:v>
      </x:c>
      <x:c r="J183" s="7" t="n">
        <x:v>0</x:v>
      </x:c>
      <x:c r="K183" s="7" t="str">
        <x:v>ADDITIONAL_DAMAGE</x:v>
      </x:c>
      <x:c r="L183" s="7" t="n">
        <x:v>0.163</x:v>
      </x:c>
      <x:c r="M183" s="8" t="n">
        <x:v>0.7</x:v>
      </x:c>
      <x:c r="N183" s="7" t="str">
        <x:v>POISON</x:v>
      </x:c>
      <x:c r="O183" s="7" t="n">
        <x:v>0.026</x:v>
      </x:c>
      <x:c r="P183" s="8" t="n">
        <x:v>0.7</x:v>
      </x:c>
      <x:c r="Q183" s="7" t="str">
        <x:v>STUN</x:v>
      </x:c>
      <x:c r="R183" s="7" t="n">
        <x:v>1</x:v>
      </x:c>
      <x:c r="S183" s="8" t="n">
        <x:v>0.7</x:v>
      </x:c>
      <x:c r="T183" s="7" t="str">
        <x:v>LIFESTEAL</x:v>
      </x:c>
      <x:c r="U183" s="7" t="n">
        <x:v>0.195</x:v>
      </x:c>
      <x:c r="V183" s="8" t="n">
        <x:v>0.7</x:v>
      </x:c>
      <x:c r="W183" s="7" t="n">
        <x:v>3</x:v>
      </x:c>
      <x:c r="X183" s="7" t="str">
        <x:v>대상: 적. 적에게 공격력*1.1배 만큼의 피해를 가합니다. 70%확률로 추가 피해 16.3% 적용합니다. 70%확률로 중독 2.6% 적용합니다. 70%확률로 기절 — 스턴 적용합니다. 70%확률로 흡혈 19.5% 획득합니다.</x:v>
      </x:c>
      <x:c r="Y183" s="7" t="str">
        <x:v>Target: one enemy. Deals 1.1 × caster Attack damage to one enemy. 70% chance to apply Additional Damage 16.3%. 70% chance to apply Poison 2.6%. 70% chance to apply Stun. 70% chance to gain Lifesteal 19.5%.</x:v>
      </x:c>
      <x:c r="Z183" s="7" t="str">
        <x:v>공격|회복|버프|디버프</x:v>
      </x:c>
    </x:row>
    <x:row r="184" ht="115" customHeight="1">
      <x:c r="A184" s="7" t="str">
        <x:v>SKILL_0178</x:v>
      </x:c>
      <x:c r="B184" s="7" t="str">
        <x:v>강화 불가 · 반격 불가 · 공격력 감소의 일격</x:v>
      </x:c>
      <x:c r="C184" s="7"/>
      <x:c r="D184" s="7" t="str">
        <x:v>적전체</x:v>
      </x:c>
      <x:c r="E184" s="7" t="n">
        <x:v>0.412</x:v>
      </x:c>
      <x:c r="F184" s="7" t="n">
        <x:v>0.138</x:v>
      </x:c>
      <x:c r="G184" s="7" t="n">
        <x:v>0</x:v>
      </x:c>
      <x:c r="H184" s="7" t="n">
        <x:v>0</x:v>
      </x:c>
      <x:c r="I184" s="7" t="n">
        <x:v>0</x:v>
      </x:c>
      <x:c r="J184" s="7" t="n">
        <x:v>0</x:v>
      </x:c>
      <x:c r="K184" s="7" t="str">
        <x:v>BUFF_BLOCK</x:v>
      </x:c>
      <x:c r="L184" s="7" t="n">
        <x:v>1</x:v>
      </x:c>
      <x:c r="M184" s="8" t="n">
        <x:v>0.65</x:v>
      </x:c>
      <x:c r="N184" s="7" t="str">
        <x:v>COUNTERATTACK_BLOCK</x:v>
      </x:c>
      <x:c r="O184" s="7" t="n">
        <x:v>1</x:v>
      </x:c>
      <x:c r="P184" s="8" t="n">
        <x:v>0.65</x:v>
      </x:c>
      <x:c r="Q184" s="7" t="str">
        <x:v>ATTACK_DOWN</x:v>
      </x:c>
      <x:c r="R184" s="7" t="n">
        <x:v>0.2</x:v>
      </x:c>
      <x:c r="S184" s="8" t="n">
        <x:v>0.65</x:v>
      </x:c>
      <x:c r="T184" s="7"/>
      <x:c r="U184" s="7"/>
      <x:c r="V184" s="8"/>
      <x:c r="W184" s="7" t="n">
        <x:v>5</x:v>
      </x:c>
      <x:c r="X184" s="7" t="str">
        <x:v>대상: 적전체. 적전체에게 공격력*0.412배 + 방어력*0.138배 만큼의 피해를 가합니다. 65%확률로 강화 불가 적용합니다. 65%확률로 반격 불가 적용합니다. 65%확률로 공격력 감소 20% 적용합니다.</x:v>
      </x:c>
      <x:c r="Y184" s="7" t="str">
        <x:v>Target: all enemies. Deals 0.412 × caster Attack + 0.138 × caster Defense damage to all enemies. 65% chance to apply Unbuffable. 65% chance to apply Counterattack Block. 65% chance to apply Attack Down 20%.</x:v>
      </x:c>
      <x:c r="Z184" s="7" t="str">
        <x:v>공격|디버프</x:v>
      </x:c>
    </x:row>
    <x:row r="185" ht="115" customHeight="1">
      <x:c r="A185" s="7" t="str">
        <x:v>SKILL_0179</x:v>
      </x:c>
      <x:c r="B185" s="7" t="str">
        <x:v>강화효과 지속시간 감소 · 도발 · 강화 불가의 일격</x:v>
      </x:c>
      <x:c r="C185" s="7"/>
      <x:c r="D185" s="7" t="str">
        <x:v>적</x:v>
      </x:c>
      <x:c r="E185" s="7" t="n">
        <x:v>0.77</x:v>
      </x:c>
      <x:c r="F185" s="7" t="n">
        <x:v>0</x:v>
      </x:c>
      <x:c r="G185" s="7" t="n">
        <x:v>0.33</x:v>
      </x:c>
      <x:c r="H185" s="7" t="n">
        <x:v>0</x:v>
      </x:c>
      <x:c r="I185" s="7" t="n">
        <x:v>0</x:v>
      </x:c>
      <x:c r="J185" s="7" t="n">
        <x:v>0</x:v>
      </x:c>
      <x:c r="K185" s="7" t="str">
        <x:v>BUFF_DURATION_DOWN</x:v>
      </x:c>
      <x:c r="L185" s="7" t="n">
        <x:v>1</x:v>
      </x:c>
      <x:c r="M185" s="8" t="n">
        <x:v>0.8</x:v>
      </x:c>
      <x:c r="N185" s="7" t="str">
        <x:v>PROVOKE</x:v>
      </x:c>
      <x:c r="O185" s="7" t="n">
        <x:v>1</x:v>
      </x:c>
      <x:c r="P185" s="8" t="n">
        <x:v>0.8</x:v>
      </x:c>
      <x:c r="Q185" s="7" t="str">
        <x:v>BUFF_BLOCK</x:v>
      </x:c>
      <x:c r="R185" s="7" t="n">
        <x:v>1</x:v>
      </x:c>
      <x:c r="S185" s="8" t="n">
        <x:v>0.8</x:v>
      </x:c>
      <x:c r="T185" s="7"/>
      <x:c r="U185" s="7"/>
      <x:c r="V185" s="8"/>
      <x:c r="W185" s="7" t="n">
        <x:v>4</x:v>
      </x:c>
      <x:c r="X185" s="7" t="str">
        <x:v>대상: 적. 적에게 공격력*0.77배 + 속도*0.33배 만큼의 피해를 가합니다. 80%확률로 강화효과 지속시간 감소 1턴 적용합니다. 80%확률로 도발 적용합니다. 80%확률로 강화 불가 적용합니다.</x:v>
      </x:c>
      <x:c r="Y185" s="7" t="str">
        <x:v>Target: one enemy. Deals 0.77 × caster Attack + 0.33 × caster Speed damage to one enemy. 80% chance to apply Buff Duration Reduction 1 turn. 80% chance to apply Provoke. 80% chance to apply Unbuffable.</x:v>
      </x:c>
      <x:c r="Z185" s="7" t="str">
        <x:v>공격|디버프</x:v>
      </x:c>
    </x:row>
    <x:row r="186" ht="115" customHeight="1">
      <x:c r="A186" s="7" t="str">
        <x:v>SKILL_0180</x:v>
      </x:c>
      <x:c r="B186" s="7" t="str">
        <x:v>상처 · 회복 불가 · 방어력 관통의 일격</x:v>
      </x:c>
      <x:c r="C186" s="7"/>
      <x:c r="D186" s="7" t="str">
        <x:v>적</x:v>
      </x:c>
      <x:c r="E186" s="7" t="n">
        <x:v>0.715</x:v>
      </x:c>
      <x:c r="F186" s="7" t="n">
        <x:v>0</x:v>
      </x:c>
      <x:c r="G186" s="7" t="n">
        <x:v>0</x:v>
      </x:c>
      <x:c r="H186" s="7" t="n">
        <x:v>0.385</x:v>
      </x:c>
      <x:c r="I186" s="7" t="n">
        <x:v>0</x:v>
      </x:c>
      <x:c r="J186" s="7" t="n">
        <x:v>0</x:v>
      </x:c>
      <x:c r="K186" s="7" t="str">
        <x:v>INJURY</x:v>
      </x:c>
      <x:c r="L186" s="7" t="n">
        <x:v>0.064</x:v>
      </x:c>
      <x:c r="M186" s="8" t="n">
        <x:v>0.8</x:v>
      </x:c>
      <x:c r="N186" s="7" t="str">
        <x:v>HEAL_BLOCK</x:v>
      </x:c>
      <x:c r="O186" s="7" t="n">
        <x:v>1</x:v>
      </x:c>
      <x:c r="P186" s="8" t="n">
        <x:v>0.8</x:v>
      </x:c>
      <x:c r="Q186" s="7" t="str">
        <x:v>DEFENSE_PENETRATION</x:v>
      </x:c>
      <x:c r="R186" s="7" t="n">
        <x:v>0.24</x:v>
      </x:c>
      <x:c r="S186" s="8" t="n">
        <x:v>0.8</x:v>
      </x:c>
      <x:c r="T186" s="7"/>
      <x:c r="U186" s="7"/>
      <x:c r="V186" s="8"/>
      <x:c r="W186" s="7" t="n">
        <x:v>3</x:v>
      </x:c>
      <x:c r="X186" s="7" t="str">
        <x:v>대상: 적. 적에게 공격력*0.715배 + 생명력*0.385배 만큼의 피해를 가합니다. 80%확률로 상처 6.4% 적용합니다. 80%확률로 회복 불가 적용합니다. 80%확률로 방어력 관통 24% 적용합니다.</x:v>
      </x:c>
      <x:c r="Y186" s="7" t="str">
        <x:v>Target: one enemy. Deals 0.715 × caster Attack + 0.385 × caster max Health damage to one enemy. 80% chance to apply Injury 6.4%. 80% chance to apply Unhealable. 80% chance to apply Defense Penetration 24%.</x:v>
      </x:c>
      <x:c r="Z186" s="7" t="str">
        <x:v>공격|디버프</x:v>
      </x:c>
    </x:row>
    <x:row r="187" ht="115" customHeight="1">
      <x:c r="A187" s="7" t="str">
        <x:v>SKILL_0181</x:v>
      </x:c>
      <x:c r="B187" s="7" t="str">
        <x:v>출혈 · 소멸 · 강화효과 지속시간 감소 · 강화 불가의 일격</x:v>
      </x:c>
      <x:c r="C187" s="7"/>
      <x:c r="D187" s="7" t="str">
        <x:v>적전체</x:v>
      </x:c>
      <x:c r="E187" s="7" t="n">
        <x:v>0.4</x:v>
      </x:c>
      <x:c r="F187" s="7" t="n">
        <x:v>0</x:v>
      </x:c>
      <x:c r="G187" s="7" t="n">
        <x:v>0</x:v>
      </x:c>
      <x:c r="H187" s="7" t="n">
        <x:v>0</x:v>
      </x:c>
      <x:c r="I187" s="7" t="n">
        <x:v>0</x:v>
      </x:c>
      <x:c r="J187" s="7" t="n">
        <x:v>0</x:v>
      </x:c>
      <x:c r="K187" s="7" t="str">
        <x:v>BLEED</x:v>
      </x:c>
      <x:c r="L187" s="7" t="n">
        <x:v>0.13</x:v>
      </x:c>
      <x:c r="M187" s="8" t="n">
        <x:v>0.4</x:v>
      </x:c>
      <x:c r="N187" s="7" t="str">
        <x:v>EXTINCTION</x:v>
      </x:c>
      <x:c r="O187" s="7" t="n">
        <x:v>1</x:v>
      </x:c>
      <x:c r="P187" s="8" t="n">
        <x:v>0.4</x:v>
      </x:c>
      <x:c r="Q187" s="7" t="str">
        <x:v>BUFF_DURATION_DOWN</x:v>
      </x:c>
      <x:c r="R187" s="7" t="n">
        <x:v>1</x:v>
      </x:c>
      <x:c r="S187" s="8" t="n">
        <x:v>0.4</x:v>
      </x:c>
      <x:c r="T187" s="7" t="str">
        <x:v>BUFF_BLOCK</x:v>
      </x:c>
      <x:c r="U187" s="7" t="n">
        <x:v>1</x:v>
      </x:c>
      <x:c r="V187" s="8" t="n">
        <x:v>0.4</x:v>
      </x:c>
      <x:c r="W187" s="7" t="n">
        <x:v>5</x:v>
      </x:c>
      <x:c r="X187" s="7" t="str">
        <x:v>대상: 적전체. 적전체에게 공격력*0.4배 만큼의 피해를 가합니다. 40%확률로 출혈 13% 적용합니다. 40%확률로 소멸 적용합니다. 40%확률로 강화효과 지속시간 감소 1턴 적용합니다. 40%확률로 강화 불가 적용합니다.</x:v>
      </x:c>
      <x:c r="Y187" s="7" t="str">
        <x:v>Target: all enemies. Deals 0.4 × caster Attack damage to all enemies. 40% chance to apply Bleed 13%. 40% chance to apply Extinction. 40% chance to apply Buff Duration Reduction 1 turn. 40% chance to apply Unbuffable.</x:v>
      </x:c>
      <x:c r="Z187" s="7" t="str">
        <x:v>공격|디버프</x:v>
      </x:c>
    </x:row>
    <x:row r="188" ht="115" customHeight="1">
      <x:c r="A188" s="7" t="str">
        <x:v>SKILL_0182</x:v>
      </x:c>
      <x:c r="B188" s="7" t="str">
        <x:v>회복 불가 · 추가 공격 · 부활 불가 · 표적의 일격</x:v>
      </x:c>
      <x:c r="C188" s="7"/>
      <x:c r="D188" s="7" t="str">
        <x:v>적</x:v>
      </x:c>
      <x:c r="E188" s="7" t="n">
        <x:v>0.77</x:v>
      </x:c>
      <x:c r="F188" s="7" t="n">
        <x:v>0.33</x:v>
      </x:c>
      <x:c r="G188" s="7" t="n">
        <x:v>0</x:v>
      </x:c>
      <x:c r="H188" s="7" t="n">
        <x:v>0</x:v>
      </x:c>
      <x:c r="I188" s="7" t="n">
        <x:v>0</x:v>
      </x:c>
      <x:c r="J188" s="7" t="n">
        <x:v>0</x:v>
      </x:c>
      <x:c r="K188" s="7" t="str">
        <x:v>HEAL_BLOCK</x:v>
      </x:c>
      <x:c r="L188" s="7" t="n">
        <x:v>1</x:v>
      </x:c>
      <x:c r="M188" s="8" t="n">
        <x:v>0.7</x:v>
      </x:c>
      <x:c r="N188" s="7" t="str">
        <x:v>EXTRA_ATTACK</x:v>
      </x:c>
      <x:c r="O188" s="7" t="n">
        <x:v>0.227</x:v>
      </x:c>
      <x:c r="P188" s="8" t="n">
        <x:v>0.7</x:v>
      </x:c>
      <x:c r="Q188" s="7" t="str">
        <x:v>REVIVE_BLOCK</x:v>
      </x:c>
      <x:c r="R188" s="7" t="n">
        <x:v>1</x:v>
      </x:c>
      <x:c r="S188" s="8" t="n">
        <x:v>0.7</x:v>
      </x:c>
      <x:c r="T188" s="7" t="str">
        <x:v>TARGET</x:v>
      </x:c>
      <x:c r="U188" s="7" t="n">
        <x:v>0.098</x:v>
      </x:c>
      <x:c r="V188" s="8" t="n">
        <x:v>0.7</x:v>
      </x:c>
      <x:c r="W188" s="7" t="n">
        <x:v>3</x:v>
      </x:c>
      <x:c r="X188" s="7" t="str">
        <x:v>대상: 적. 적에게 공격력*0.77배 + 방어력*0.33배 만큼의 피해를 가합니다. 70%확률로 회복 불가 적용합니다. 70%확률로 추가 공격 22.7% 적용합니다. 70%확률로 부활 불가 적용합니다. 70%확률로 표적 9.8% 적용합니다.</x:v>
      </x:c>
      <x:c r="Y188" s="7" t="str">
        <x:v>Target: one enemy. Deals 0.77 × caster Attack + 0.33 × caster Defense damage to one enemy. 70% chance to apply Unhealable. 70% chance to apply Extra Attack 22.7%. 70% chance to apply Revive Block. 70% chance to apply Target 9.8%.</x:v>
      </x:c>
      <x:c r="Z188" s="7" t="str">
        <x:v>공격|디버프</x:v>
      </x:c>
    </x:row>
    <x:row r="189" ht="115" customHeight="1">
      <x:c r="A189" s="7" t="str">
        <x:v>SKILL_0183</x:v>
      </x:c>
      <x:c r="B189" s="7" t="str">
        <x:v>저주 · 회복 불가 · 반격 불가의 일격</x:v>
      </x:c>
      <x:c r="C189" s="7"/>
      <x:c r="D189" s="7" t="str">
        <x:v>적</x:v>
      </x:c>
      <x:c r="E189" s="7" t="n">
        <x:v>0.715</x:v>
      </x:c>
      <x:c r="F189" s="7" t="n">
        <x:v>0</x:v>
      </x:c>
      <x:c r="G189" s="7" t="n">
        <x:v>0.385</x:v>
      </x:c>
      <x:c r="H189" s="7" t="n">
        <x:v>0</x:v>
      </x:c>
      <x:c r="I189" s="7" t="n">
        <x:v>0</x:v>
      </x:c>
      <x:c r="J189" s="7" t="n">
        <x:v>0</x:v>
      </x:c>
      <x:c r="K189" s="7" t="str">
        <x:v>CURSE</x:v>
      </x:c>
      <x:c r="L189" s="7" t="n">
        <x:v>0.16</x:v>
      </x:c>
      <x:c r="M189" s="8" t="n">
        <x:v>0.8</x:v>
      </x:c>
      <x:c r="N189" s="7" t="str">
        <x:v>HEAL_BLOCK</x:v>
      </x:c>
      <x:c r="O189" s="7" t="n">
        <x:v>1</x:v>
      </x:c>
      <x:c r="P189" s="8" t="n">
        <x:v>0.8</x:v>
      </x:c>
      <x:c r="Q189" s="7" t="str">
        <x:v>COUNTERATTACK_BLOCK</x:v>
      </x:c>
      <x:c r="R189" s="7" t="n">
        <x:v>1</x:v>
      </x:c>
      <x:c r="S189" s="8" t="n">
        <x:v>0.8</x:v>
      </x:c>
      <x:c r="T189" s="7"/>
      <x:c r="U189" s="7"/>
      <x:c r="V189" s="8"/>
      <x:c r="W189" s="7" t="n">
        <x:v>3</x:v>
      </x:c>
      <x:c r="X189" s="7" t="str">
        <x:v>대상: 적. 적에게 공격력*0.715배 + 속도*0.385배 만큼의 피해를 가합니다. 80%확률로 저주 16% 적용합니다. 80%확률로 회복 불가 적용합니다. 80%확률로 반격 불가 적용합니다.</x:v>
      </x:c>
      <x:c r="Y189" s="7" t="str">
        <x:v>Target: one enemy. Deals 0.715 × caster Attack + 0.385 × caster Speed damage to one enemy. 80% chance to apply Curse 16%. 80% chance to apply Unhealable. 80% chance to apply Counterattack Block.</x:v>
      </x:c>
      <x:c r="Z189" s="7" t="str">
        <x:v>공격|디버프</x:v>
      </x:c>
    </x:row>
    <x:row r="190" ht="115" customHeight="1">
      <x:c r="A190" s="7" t="str">
        <x:v>SKILL_0184</x:v>
      </x:c>
      <x:c r="B190" s="7" t="str">
        <x:v>상처 · 반격 불가 · 흡혈 · 약화효과 지속시간 증가의 일격</x:v>
      </x:c>
      <x:c r="C190" s="7"/>
      <x:c r="D190" s="7" t="str">
        <x:v>적전체</x:v>
      </x:c>
      <x:c r="E190" s="7" t="n">
        <x:v>0.375</x:v>
      </x:c>
      <x:c r="F190" s="7" t="n">
        <x:v>0</x:v>
      </x:c>
      <x:c r="G190" s="7" t="n">
        <x:v>0</x:v>
      </x:c>
      <x:c r="H190" s="7" t="n">
        <x:v>0.125</x:v>
      </x:c>
      <x:c r="I190" s="7" t="n">
        <x:v>0</x:v>
      </x:c>
      <x:c r="J190" s="7" t="n">
        <x:v>0</x:v>
      </x:c>
      <x:c r="K190" s="7" t="str">
        <x:v>INJURY</x:v>
      </x:c>
      <x:c r="L190" s="7" t="n">
        <x:v>0.052</x:v>
      </x:c>
      <x:c r="M190" s="8" t="n">
        <x:v>0.5</x:v>
      </x:c>
      <x:c r="N190" s="7" t="str">
        <x:v>COUNTERATTACK_BLOCK</x:v>
      </x:c>
      <x:c r="O190" s="7" t="n">
        <x:v>1</x:v>
      </x:c>
      <x:c r="P190" s="8" t="n">
        <x:v>0.5</x:v>
      </x:c>
      <x:c r="Q190" s="7" t="str">
        <x:v>LIFESTEAL</x:v>
      </x:c>
      <x:c r="R190" s="7" t="n">
        <x:v>0.195</x:v>
      </x:c>
      <x:c r="S190" s="8" t="n">
        <x:v>0.5</x:v>
      </x:c>
      <x:c r="T190" s="7" t="str">
        <x:v>DEBUFF_DURATION_UP</x:v>
      </x:c>
      <x:c r="U190" s="7" t="n">
        <x:v>1</x:v>
      </x:c>
      <x:c r="V190" s="8" t="n">
        <x:v>0.5</x:v>
      </x:c>
      <x:c r="W190" s="7" t="n">
        <x:v>5</x:v>
      </x:c>
      <x:c r="X190" s="7" t="str">
        <x:v>대상: 적전체. 적전체에게 공격력*0.375배 + 생명력*0.125배 만큼의 피해를 가합니다. 50%확률로 상처 5.2% 적용합니다. 50%확률로 반격 불가 적용합니다. 50%확률로 흡혈 19.5% 획득합니다. 50%확률로 약화효과 지속시간 증가 1턴 적용합니다.</x:v>
      </x:c>
      <x:c r="Y190" s="7" t="str">
        <x:v>Target: all enemies. Deals 0.375 × caster Attack + 0.125 × caster max Health damage to all enemies. 50% chance to apply Injury 5.2%. 50% chance to apply Counterattack Block. 50% chance to gain Lifesteal 19.5%. 50% chance to apply Debuff Duration Extension 1 turn.</x:v>
      </x:c>
      <x:c r="Z190" s="7" t="str">
        <x:v>공격|회복|버프|디버프</x:v>
      </x:c>
    </x:row>
    <x:row r="191" ht="115" customHeight="1">
      <x:c r="A191" s="7" t="str">
        <x:v>SKILL_0185</x:v>
      </x:c>
      <x:c r="B191" s="7" t="str">
        <x:v>속도 감소 · 방어력 감소 · 스킬 쿨타임 증가 · 저주의 일격</x:v>
      </x:c>
      <x:c r="C191" s="7"/>
      <x:c r="D191" s="7" t="str">
        <x:v>적</x:v>
      </x:c>
      <x:c r="E191" s="7" t="n">
        <x:v>1.1</x:v>
      </x:c>
      <x:c r="F191" s="7" t="n">
        <x:v>0</x:v>
      </x:c>
      <x:c r="G191" s="7" t="n">
        <x:v>0</x:v>
      </x:c>
      <x:c r="H191" s="7" t="n">
        <x:v>0</x:v>
      </x:c>
      <x:c r="I191" s="7" t="n">
        <x:v>0</x:v>
      </x:c>
      <x:c r="J191" s="7" t="n">
        <x:v>0</x:v>
      </x:c>
      <x:c r="K191" s="7" t="str">
        <x:v>SPEED_DOWN</x:v>
      </x:c>
      <x:c r="L191" s="7" t="n">
        <x:v>0.13</x:v>
      </x:c>
      <x:c r="M191" s="8" t="n">
        <x:v>0.7</x:v>
      </x:c>
      <x:c r="N191" s="7" t="str">
        <x:v>DEFENSE_DOWN</x:v>
      </x:c>
      <x:c r="O191" s="7" t="n">
        <x:v>0.195</x:v>
      </x:c>
      <x:c r="P191" s="8" t="n">
        <x:v>0.7</x:v>
      </x:c>
      <x:c r="Q191" s="7" t="str">
        <x:v>SKILL_COOLDOWN_UP</x:v>
      </x:c>
      <x:c r="R191" s="7" t="n">
        <x:v>1</x:v>
      </x:c>
      <x:c r="S191" s="8" t="n">
        <x:v>0.7</x:v>
      </x:c>
      <x:c r="T191" s="7" t="str">
        <x:v>CURSE</x:v>
      </x:c>
      <x:c r="U191" s="7" t="n">
        <x:v>0.13</x:v>
      </x:c>
      <x:c r="V191" s="8" t="n">
        <x:v>0.7</x:v>
      </x:c>
      <x:c r="W191" s="7" t="n">
        <x:v>4</x:v>
      </x:c>
      <x:c r="X191" s="7" t="str">
        <x:v>대상: 적. 적에게 공격력*1.1배 만큼의 피해를 가합니다. 70%확률로 속도 감소 13% 적용합니다. 70%확률로 방어력 감소 19.5% 적용합니다. 70%확률로 스킬 쿨타임 증가 1턴 적용합니다. 70%확률로 저주 13% 적용합니다.</x:v>
      </x:c>
      <x:c r="Y191" s="7" t="str">
        <x:v>Target: one enemy. Deals 1.1 × caster Attack damage to one enemy. 70% chance to apply Speed Down 13%. 70% chance to apply Defense Down 19.5%. 70% chance to apply Skill Cooldown Increase 1 turn. 70% chance to apply Curse 13%.</x:v>
      </x:c>
      <x:c r="Z191" s="7" t="str">
        <x:v>공격|디버프</x:v>
      </x:c>
    </x:row>
    <x:row r="192" ht="115" customHeight="1">
      <x:c r="A192" s="7" t="str">
        <x:v>SKILL_0186</x:v>
      </x:c>
      <x:c r="B192" s="7" t="str">
        <x:v>회복 불가 · 강화효과 지속시간 감소의 일격</x:v>
      </x:c>
      <x:c r="C192" s="7"/>
      <x:c r="D192" s="7" t="str">
        <x:v>적</x:v>
      </x:c>
      <x:c r="E192" s="7" t="n">
        <x:v>0.715</x:v>
      </x:c>
      <x:c r="F192" s="7" t="n">
        <x:v>0.385</x:v>
      </x:c>
      <x:c r="G192" s="7" t="n">
        <x:v>0</x:v>
      </x:c>
      <x:c r="H192" s="7" t="n">
        <x:v>0</x:v>
      </x:c>
      <x:c r="I192" s="7" t="n">
        <x:v>0</x:v>
      </x:c>
      <x:c r="J192" s="7" t="n">
        <x:v>0</x:v>
      </x:c>
      <x:c r="K192" s="7" t="str">
        <x:v>HEAL_BLOCK</x:v>
      </x:c>
      <x:c r="L192" s="7" t="n">
        <x:v>1</x:v>
      </x:c>
      <x:c r="M192" s="8" t="n">
        <x:v>0.9</x:v>
      </x:c>
      <x:c r="N192" s="7" t="str">
        <x:v>BUFF_DURATION_DOWN</x:v>
      </x:c>
      <x:c r="O192" s="7" t="n">
        <x:v>1</x:v>
      </x:c>
      <x:c r="P192" s="8" t="n">
        <x:v>0.9</x:v>
      </x:c>
      <x:c r="Q192" s="7"/>
      <x:c r="R192" s="7"/>
      <x:c r="S192" s="8"/>
      <x:c r="T192" s="7"/>
      <x:c r="U192" s="7"/>
      <x:c r="V192" s="8"/>
      <x:c r="W192" s="7" t="n">
        <x:v>2</x:v>
      </x:c>
      <x:c r="X192" s="7" t="str">
        <x:v>대상: 적. 적에게 공격력*0.715배 + 방어력*0.385배 만큼의 피해를 가합니다. 90%확률로 회복 불가 적용합니다. 90%확률로 강화효과 지속시간 감소 1턴 적용합니다.</x:v>
      </x:c>
      <x:c r="Y192" s="7" t="str">
        <x:v>Target: one enemy. Deals 0.715 × caster Attack + 0.385 × caster Defense damage to one enemy. 90% chance to apply Unhealable. 90% chance to apply Buff Duration Reduction 1 turn.</x:v>
      </x:c>
      <x:c r="Z192" s="7" t="str">
        <x:v>공격|디버프</x:v>
      </x:c>
    </x:row>
    <x:row r="193" ht="115" customHeight="1">
      <x:c r="A193" s="7" t="str">
        <x:v>SKILL_0187</x:v>
      </x:c>
      <x:c r="B193" s="7" t="str">
        <x:v>약화효과 지속시간 증가 · 추가 피해의 일격</x:v>
      </x:c>
      <x:c r="C193" s="7"/>
      <x:c r="D193" s="7" t="str">
        <x:v>적전체</x:v>
      </x:c>
      <x:c r="E193" s="7" t="n">
        <x:v>0.525</x:v>
      </x:c>
      <x:c r="F193" s="7" t="n">
        <x:v>0</x:v>
      </x:c>
      <x:c r="G193" s="7" t="n">
        <x:v>0.175</x:v>
      </x:c>
      <x:c r="H193" s="7" t="n">
        <x:v>0</x:v>
      </x:c>
      <x:c r="I193" s="7" t="n">
        <x:v>0</x:v>
      </x:c>
      <x:c r="J193" s="7" t="n">
        <x:v>0</x:v>
      </x:c>
      <x:c r="K193" s="7" t="str">
        <x:v>DEBUFF_DURATION_UP</x:v>
      </x:c>
      <x:c r="L193" s="7" t="n">
        <x:v>1</x:v>
      </x:c>
      <x:c r="M193" s="8" t="n">
        <x:v>0.9</x:v>
      </x:c>
      <x:c r="N193" s="7" t="str">
        <x:v>ADDITIONAL_DAMAGE</x:v>
      </x:c>
      <x:c r="O193" s="7" t="n">
        <x:v>0.25</x:v>
      </x:c>
      <x:c r="P193" s="8" t="n">
        <x:v>0.9</x:v>
      </x:c>
      <x:c r="Q193" s="7"/>
      <x:c r="R193" s="7"/>
      <x:c r="S193" s="8"/>
      <x:c r="T193" s="7"/>
      <x:c r="U193" s="7"/>
      <x:c r="V193" s="8"/>
      <x:c r="W193" s="7" t="n">
        <x:v>5</x:v>
      </x:c>
      <x:c r="X193" s="7" t="str">
        <x:v>대상: 적전체. 적전체에게 공격력*0.525배 + 속도*0.175배 만큼의 피해를 가합니다. 90%확률로 약화효과 지속시간 증가 1턴 적용합니다. 90%확률로 추가 피해 25% 적용합니다.</x:v>
      </x:c>
      <x:c r="Y193" s="7" t="str">
        <x:v>Target: all enemies. Deals 0.525 × caster Attack + 0.175 × caster Speed damage to all enemies. 90% chance to apply Debuff Duration Extension 1 turn. 90% chance to apply Additional Damage 25%.</x:v>
      </x:c>
      <x:c r="Z193" s="7" t="str">
        <x:v>공격|디버프</x:v>
      </x:c>
    </x:row>
    <x:row r="194" ht="115" customHeight="1">
      <x:c r="A194" s="7" t="str">
        <x:v>SKILL_0188</x:v>
      </x:c>
      <x:c r="B194" s="7" t="str">
        <x:v>상처 · 부활 불가 · 도발 · 강화효과 지속시간 감소의 일격</x:v>
      </x:c>
      <x:c r="C194" s="7"/>
      <x:c r="D194" s="7" t="str">
        <x:v>적</x:v>
      </x:c>
      <x:c r="E194" s="7" t="n">
        <x:v>0.77</x:v>
      </x:c>
      <x:c r="F194" s="7" t="n">
        <x:v>0</x:v>
      </x:c>
      <x:c r="G194" s="7" t="n">
        <x:v>0</x:v>
      </x:c>
      <x:c r="H194" s="7" t="n">
        <x:v>0.33</x:v>
      </x:c>
      <x:c r="I194" s="7" t="n">
        <x:v>0</x:v>
      </x:c>
      <x:c r="J194" s="7" t="n">
        <x:v>0</x:v>
      </x:c>
      <x:c r="K194" s="7" t="str">
        <x:v>INJURY</x:v>
      </x:c>
      <x:c r="L194" s="7" t="n">
        <x:v>0.052</x:v>
      </x:c>
      <x:c r="M194" s="8" t="n">
        <x:v>0.7</x:v>
      </x:c>
      <x:c r="N194" s="7" t="str">
        <x:v>REVIVE_BLOCK</x:v>
      </x:c>
      <x:c r="O194" s="7" t="n">
        <x:v>1</x:v>
      </x:c>
      <x:c r="P194" s="8" t="n">
        <x:v>0.7</x:v>
      </x:c>
      <x:c r="Q194" s="7" t="str">
        <x:v>PROVOKE</x:v>
      </x:c>
      <x:c r="R194" s="7" t="n">
        <x:v>1</x:v>
      </x:c>
      <x:c r="S194" s="8" t="n">
        <x:v>0.7</x:v>
      </x:c>
      <x:c r="T194" s="7" t="str">
        <x:v>BUFF_DURATION_DOWN</x:v>
      </x:c>
      <x:c r="U194" s="7" t="n">
        <x:v>1</x:v>
      </x:c>
      <x:c r="V194" s="8" t="n">
        <x:v>0.7</x:v>
      </x:c>
      <x:c r="W194" s="7" t="n">
        <x:v>4</x:v>
      </x:c>
      <x:c r="X194" s="7" t="str">
        <x:v>대상: 적. 적에게 공격력*0.77배 + 생명력*0.33배 만큼의 피해를 가합니다. 70%확률로 상처 5.2% 적용합니다. 70%확률로 부활 불가 적용합니다. 70%확률로 도발 적용합니다. 70%확률로 강화효과 지속시간 감소 1턴 적용합니다.</x:v>
      </x:c>
      <x:c r="Y194" s="7" t="str">
        <x:v>Target: one enemy. Deals 0.77 × caster Attack + 0.33 × caster max Health damage to one enemy. 70% chance to apply Injury 5.2%. 70% chance to apply Revive Block. 70% chance to apply Provoke. 70% chance to apply Buff Duration Reduction 1 turn.</x:v>
      </x:c>
      <x:c r="Z194" s="7" t="str">
        <x:v>공격|디버프</x:v>
      </x:c>
    </x:row>
    <x:row r="195" ht="115" customHeight="1">
      <x:c r="A195" s="7" t="str">
        <x:v>SKILL_0189</x:v>
      </x:c>
      <x:c r="B195" s="7" t="str">
        <x:v>스킬 쿨타임 증가 · 회복 불가의 일격</x:v>
      </x:c>
      <x:c r="C195" s="7"/>
      <x:c r="D195" s="7" t="str">
        <x:v>적</x:v>
      </x:c>
      <x:c r="E195" s="7" t="n">
        <x:v>1.1</x:v>
      </x:c>
      <x:c r="F195" s="7" t="n">
        <x:v>0</x:v>
      </x:c>
      <x:c r="G195" s="7" t="n">
        <x:v>0</x:v>
      </x:c>
      <x:c r="H195" s="7" t="n">
        <x:v>0</x:v>
      </x:c>
      <x:c r="I195" s="7" t="n">
        <x:v>0</x:v>
      </x:c>
      <x:c r="J195" s="7" t="n">
        <x:v>0</x:v>
      </x:c>
      <x:c r="K195" s="7" t="str">
        <x:v>SKILL_COOLDOWN_UP</x:v>
      </x:c>
      <x:c r="L195" s="7" t="n">
        <x:v>1</x:v>
      </x:c>
      <x:c r="M195" s="8" t="n">
        <x:v>0.9</x:v>
      </x:c>
      <x:c r="N195" s="7" t="str">
        <x:v>HEAL_BLOCK</x:v>
      </x:c>
      <x:c r="O195" s="7" t="n">
        <x:v>1</x:v>
      </x:c>
      <x:c r="P195" s="8" t="n">
        <x:v>0.9</x:v>
      </x:c>
      <x:c r="Q195" s="7"/>
      <x:c r="R195" s="7"/>
      <x:c r="S195" s="8"/>
      <x:c r="T195" s="7"/>
      <x:c r="U195" s="7"/>
      <x:c r="V195" s="8"/>
      <x:c r="W195" s="7" t="n">
        <x:v>3</x:v>
      </x:c>
      <x:c r="X195" s="7" t="str">
        <x:v>대상: 적. 적에게 공격력*1.1배 만큼의 피해를 가합니다. 90%확률로 스킬 쿨타임 증가 1턴 적용합니다. 90%확률로 회복 불가 적용합니다.</x:v>
      </x:c>
      <x:c r="Y195" s="7" t="str">
        <x:v>Target: one enemy. Deals 1.1 × caster Attack damage to one enemy. 90% chance to apply Skill Cooldown Increase 1 turn. 90% chance to apply Unhealable.</x:v>
      </x:c>
      <x:c r="Z195" s="7" t="str">
        <x:v>공격|디버프</x:v>
      </x:c>
    </x:row>
    <x:row r="196" ht="115" customHeight="1">
      <x:c r="A196" s="7" t="str">
        <x:v>SKILL_0190</x:v>
      </x:c>
      <x:c r="B196" s="7" t="str">
        <x:v>흡혈 · 강화효과 지속시간 감소의 일격</x:v>
      </x:c>
      <x:c r="C196" s="7"/>
      <x:c r="D196" s="7" t="str">
        <x:v>적전체</x:v>
      </x:c>
      <x:c r="E196" s="7" t="n">
        <x:v>0.525</x:v>
      </x:c>
      <x:c r="F196" s="7" t="n">
        <x:v>0.175</x:v>
      </x:c>
      <x:c r="G196" s="7" t="n">
        <x:v>0</x:v>
      </x:c>
      <x:c r="H196" s="7" t="n">
        <x:v>0</x:v>
      </x:c>
      <x:c r="I196" s="7" t="n">
        <x:v>0</x:v>
      </x:c>
      <x:c r="J196" s="7" t="n">
        <x:v>0</x:v>
      </x:c>
      <x:c r="K196" s="7" t="str">
        <x:v>LIFESTEAL</x:v>
      </x:c>
      <x:c r="L196" s="7" t="n">
        <x:v>0.3</x:v>
      </x:c>
      <x:c r="M196" s="8" t="n">
        <x:v>0.9</x:v>
      </x:c>
      <x:c r="N196" s="7" t="str">
        <x:v>BUFF_DURATION_DOWN</x:v>
      </x:c>
      <x:c r="O196" s="7" t="n">
        <x:v>1</x:v>
      </x:c>
      <x:c r="P196" s="8" t="n">
        <x:v>0.9</x:v>
      </x:c>
      <x:c r="Q196" s="7"/>
      <x:c r="R196" s="7"/>
      <x:c r="S196" s="8"/>
      <x:c r="T196" s="7"/>
      <x:c r="U196" s="7"/>
      <x:c r="V196" s="8"/>
      <x:c r="W196" s="7" t="n">
        <x:v>4</x:v>
      </x:c>
      <x:c r="X196" s="7" t="str">
        <x:v>대상: 적전체. 적전체에게 공격력*0.525배 + 방어력*0.175배 만큼의 피해를 가합니다. 90%확률로 흡혈 30% 획득합니다. 90%확률로 강화효과 지속시간 감소 1턴 적용합니다.</x:v>
      </x:c>
      <x:c r="Y196" s="7" t="str">
        <x:v>Target: all enemies. Deals 0.525 × caster Attack + 0.175 × caster Defense damage to all enemies. 90% chance to gain Lifesteal 30%. 90% chance to apply Buff Duration Reduction 1 turn.</x:v>
      </x:c>
      <x:c r="Z196" s="7" t="str">
        <x:v>공격|회복|버프|디버프</x:v>
      </x:c>
    </x:row>
    <x:row r="197" ht="115" customHeight="1">
      <x:c r="A197" s="7" t="str">
        <x:v>SKILL_0191</x:v>
      </x:c>
      <x:c r="B197" s="7" t="str">
        <x:v>속도 감소 · 반격 불가 · 방어력 관통 · 방어력 감소의 일격</x:v>
      </x:c>
      <x:c r="C197" s="7"/>
      <x:c r="D197" s="7" t="str">
        <x:v>적</x:v>
      </x:c>
      <x:c r="E197" s="7" t="n">
        <x:v>0.77</x:v>
      </x:c>
      <x:c r="F197" s="7" t="n">
        <x:v>0</x:v>
      </x:c>
      <x:c r="G197" s="7" t="n">
        <x:v>0.33</x:v>
      </x:c>
      <x:c r="H197" s="7" t="n">
        <x:v>0</x:v>
      </x:c>
      <x:c r="I197" s="7" t="n">
        <x:v>0</x:v>
      </x:c>
      <x:c r="J197" s="7" t="n">
        <x:v>0</x:v>
      </x:c>
      <x:c r="K197" s="7" t="str">
        <x:v>SPEED_DOWN</x:v>
      </x:c>
      <x:c r="L197" s="7" t="n">
        <x:v>0.13</x:v>
      </x:c>
      <x:c r="M197" s="8" t="n">
        <x:v>0.7</x:v>
      </x:c>
      <x:c r="N197" s="7" t="str">
        <x:v>COUNTERATTACK_BLOCK</x:v>
      </x:c>
      <x:c r="O197" s="7" t="n">
        <x:v>1</x:v>
      </x:c>
      <x:c r="P197" s="8" t="n">
        <x:v>0.7</x:v>
      </x:c>
      <x:c r="Q197" s="7" t="str">
        <x:v>DEFENSE_PENETRATION</x:v>
      </x:c>
      <x:c r="R197" s="7" t="n">
        <x:v>0.195</x:v>
      </x:c>
      <x:c r="S197" s="8" t="n">
        <x:v>0.7</x:v>
      </x:c>
      <x:c r="T197" s="7" t="str">
        <x:v>DEFENSE_DOWN</x:v>
      </x:c>
      <x:c r="U197" s="7" t="n">
        <x:v>0.195</x:v>
      </x:c>
      <x:c r="V197" s="8" t="n">
        <x:v>0.7</x:v>
      </x:c>
      <x:c r="W197" s="7" t="n">
        <x:v>3</x:v>
      </x:c>
      <x:c r="X197" s="7" t="str">
        <x:v>대상: 적. 적에게 공격력*0.77배 + 속도*0.33배 만큼의 피해를 가합니다. 70%확률로 속도 감소 13% 적용합니다. 70%확률로 반격 불가 적용합니다. 70%확률로 방어력 관통 19.5% 적용합니다. 70%확률로 방어력 감소 19.5% 적용합니다.</x:v>
      </x:c>
      <x:c r="Y197" s="7" t="str">
        <x:v>Target: one enemy. Deals 0.77 × caster Attack + 0.33 × caster Speed damage to one enemy. 70% chance to apply Speed Down 13%. 70% chance to apply Counterattack Block. 70% chance to apply Defense Penetration 19.5%. 70% chance to apply Defense Down 19.5%.</x:v>
      </x:c>
      <x:c r="Z197" s="7" t="str">
        <x:v>공격|디버프</x:v>
      </x:c>
    </x:row>
    <x:row r="198" ht="115" customHeight="1">
      <x:c r="A198" s="7" t="str">
        <x:v>SKILL_0192</x:v>
      </x:c>
      <x:c r="B198" s="7" t="str">
        <x:v>공격력 감소 · 회복 불가의 일격</x:v>
      </x:c>
      <x:c r="C198" s="7"/>
      <x:c r="D198" s="7" t="str">
        <x:v>적</x:v>
      </x:c>
      <x:c r="E198" s="7" t="n">
        <x:v>0.715</x:v>
      </x:c>
      <x:c r="F198" s="7" t="n">
        <x:v>0</x:v>
      </x:c>
      <x:c r="G198" s="7" t="n">
        <x:v>0</x:v>
      </x:c>
      <x:c r="H198" s="7" t="n">
        <x:v>0.385</x:v>
      </x:c>
      <x:c r="I198" s="7" t="n">
        <x:v>0</x:v>
      </x:c>
      <x:c r="J198" s="7" t="n">
        <x:v>0</x:v>
      </x:c>
      <x:c r="K198" s="7" t="str">
        <x:v>ATTACK_DOWN</x:v>
      </x:c>
      <x:c r="L198" s="7" t="n">
        <x:v>0.25</x:v>
      </x:c>
      <x:c r="M198" s="8" t="n">
        <x:v>0.9</x:v>
      </x:c>
      <x:c r="N198" s="7" t="str">
        <x:v>HEAL_BLOCK</x:v>
      </x:c>
      <x:c r="O198" s="7" t="n">
        <x:v>1</x:v>
      </x:c>
      <x:c r="P198" s="8" t="n">
        <x:v>0.9</x:v>
      </x:c>
      <x:c r="Q198" s="7"/>
      <x:c r="R198" s="7"/>
      <x:c r="S198" s="8"/>
      <x:c r="T198" s="7"/>
      <x:c r="U198" s="7"/>
      <x:c r="V198" s="8"/>
      <x:c r="W198" s="7" t="n">
        <x:v>2</x:v>
      </x:c>
      <x:c r="X198" s="7" t="str">
        <x:v>대상: 적. 적에게 공격력*0.715배 + 생명력*0.385배 만큼의 피해를 가합니다. 90%확률로 공격력 감소 25% 적용합니다. 90%확률로 회복 불가 적용합니다.</x:v>
      </x:c>
      <x:c r="Y198" s="7" t="str">
        <x:v>Target: one enemy. Deals 0.715 × caster Attack + 0.385 × caster max Health damage to one enemy. 90% chance to apply Attack Down 25%. 90% chance to apply Unhealable.</x:v>
      </x:c>
      <x:c r="Z198" s="7" t="str">
        <x:v>공격|디버프</x:v>
      </x:c>
    </x:row>
    <x:row r="199" ht="115" customHeight="1">
      <x:c r="A199" s="7" t="str">
        <x:v>SKILL_0193</x:v>
      </x:c>
      <x:c r="B199" s="7" t="str">
        <x:v>회복 불가 · 방어력 감소의 일격</x:v>
      </x:c>
      <x:c r="C199" s="7"/>
      <x:c r="D199" s="7" t="str">
        <x:v>적전체</x:v>
      </x:c>
      <x:c r="E199" s="7" t="n">
        <x:v>0.65</x:v>
      </x:c>
      <x:c r="F199" s="7" t="n">
        <x:v>0</x:v>
      </x:c>
      <x:c r="G199" s="7" t="n">
        <x:v>0</x:v>
      </x:c>
      <x:c r="H199" s="7" t="n">
        <x:v>0</x:v>
      </x:c>
      <x:c r="I199" s="7" t="n">
        <x:v>0</x:v>
      </x:c>
      <x:c r="J199" s="7" t="n">
        <x:v>0</x:v>
      </x:c>
      <x:c r="K199" s="7" t="str">
        <x:v>HEAL_BLOCK</x:v>
      </x:c>
      <x:c r="L199" s="7" t="n">
        <x:v>1</x:v>
      </x:c>
      <x:c r="M199" s="8" t="n">
        <x:v>0.85</x:v>
      </x:c>
      <x:c r="N199" s="7" t="str">
        <x:v>DEFENSE_DOWN</x:v>
      </x:c>
      <x:c r="O199" s="7" t="n">
        <x:v>0.3</x:v>
      </x:c>
      <x:c r="P199" s="8" t="n">
        <x:v>0.85</x:v>
      </x:c>
      <x:c r="Q199" s="7"/>
      <x:c r="R199" s="7"/>
      <x:c r="S199" s="8"/>
      <x:c r="T199" s="7"/>
      <x:c r="U199" s="7"/>
      <x:c r="V199" s="8"/>
      <x:c r="W199" s="7" t="n">
        <x:v>5</x:v>
      </x:c>
      <x:c r="X199" s="7" t="str">
        <x:v>대상: 적전체. 적전체에게 공격력*0.65배 만큼의 피해를 가합니다. 85%확률로 회복 불가 적용합니다. 85%확률로 방어력 감소 30% 적용합니다.</x:v>
      </x:c>
      <x:c r="Y199" s="7" t="str">
        <x:v>Target: all enemies. Deals 0.65 × caster Attack damage to all enemies. 85% chance to apply Unhealable. 85% chance to apply Defense Down 30%.</x:v>
      </x:c>
      <x:c r="Z199" s="7" t="str">
        <x:v>공격|디버프</x:v>
      </x:c>
    </x:row>
    <x:row r="200" ht="115" customHeight="1">
      <x:c r="A200" s="7" t="str">
        <x:v>SKILL_0194</x:v>
      </x:c>
      <x:c r="B200" s="7" t="str">
        <x:v>명중 감소 · 부활 불가의 일격</x:v>
      </x:c>
      <x:c r="C200" s="7"/>
      <x:c r="D200" s="7" t="str">
        <x:v>적</x:v>
      </x:c>
      <x:c r="E200" s="7" t="n">
        <x:v>0.77</x:v>
      </x:c>
      <x:c r="F200" s="7" t="n">
        <x:v>0.33</x:v>
      </x:c>
      <x:c r="G200" s="7" t="n">
        <x:v>0</x:v>
      </x:c>
      <x:c r="H200" s="7" t="n">
        <x:v>0</x:v>
      </x:c>
      <x:c r="I200" s="7" t="n">
        <x:v>0</x:v>
      </x:c>
      <x:c r="J200" s="7" t="n">
        <x:v>0</x:v>
      </x:c>
      <x:c r="K200" s="7" t="str">
        <x:v>HIT_CHANCE_DOWN</x:v>
      </x:c>
      <x:c r="L200" s="7" t="n">
        <x:v>0.2</x:v>
      </x:c>
      <x:c r="M200" s="8" t="n">
        <x:v>0.9</x:v>
      </x:c>
      <x:c r="N200" s="7" t="str">
        <x:v>REVIVE_BLOCK</x:v>
      </x:c>
      <x:c r="O200" s="7" t="n">
        <x:v>1</x:v>
      </x:c>
      <x:c r="P200" s="8" t="n">
        <x:v>0.9</x:v>
      </x:c>
      <x:c r="Q200" s="7"/>
      <x:c r="R200" s="7"/>
      <x:c r="S200" s="8"/>
      <x:c r="T200" s="7"/>
      <x:c r="U200" s="7"/>
      <x:c r="V200" s="8"/>
      <x:c r="W200" s="7" t="n">
        <x:v>3</x:v>
      </x:c>
      <x:c r="X200" s="7" t="str">
        <x:v>대상: 적. 적에게 공격력*0.77배 + 방어력*0.33배 만큼의 피해를 가합니다. 90%확률로 명중 감소 20% 적용합니다. 90%확률로 부활 불가 적용합니다.</x:v>
      </x:c>
      <x:c r="Y200" s="7" t="str">
        <x:v>Target: one enemy. Deals 0.77 × caster Attack + 0.33 × caster Defense damage to one enemy. 90% chance to apply Hit Chance Down 20%. 90% chance to apply Revive Block.</x:v>
      </x:c>
      <x:c r="Z200" s="7" t="str">
        <x:v>공격|디버프</x:v>
      </x:c>
    </x:row>
    <x:row r="201" ht="115" customHeight="1">
      <x:c r="A201" s="7" t="str">
        <x:v>SKILL_0195</x:v>
      </x:c>
      <x:c r="B201" s="7" t="str">
        <x:v>방어력 관통 · 명중 감소의 일격</x:v>
      </x:c>
      <x:c r="C201" s="7"/>
      <x:c r="D201" s="7" t="str">
        <x:v>적</x:v>
      </x:c>
      <x:c r="E201" s="7" t="n">
        <x:v>0.715</x:v>
      </x:c>
      <x:c r="F201" s="7" t="n">
        <x:v>0</x:v>
      </x:c>
      <x:c r="G201" s="7" t="n">
        <x:v>0.385</x:v>
      </x:c>
      <x:c r="H201" s="7" t="n">
        <x:v>0</x:v>
      </x:c>
      <x:c r="I201" s="7" t="n">
        <x:v>0</x:v>
      </x:c>
      <x:c r="J201" s="7" t="n">
        <x:v>0</x:v>
      </x:c>
      <x:c r="K201" s="7" t="str">
        <x:v>DEFENSE_PENETRATION</x:v>
      </x:c>
      <x:c r="L201" s="7" t="n">
        <x:v>0.3</x:v>
      </x:c>
      <x:c r="M201" s="8" t="n">
        <x:v>0.9</x:v>
      </x:c>
      <x:c r="N201" s="7" t="str">
        <x:v>HIT_CHANCE_DOWN</x:v>
      </x:c>
      <x:c r="O201" s="7" t="n">
        <x:v>0.2</x:v>
      </x:c>
      <x:c r="P201" s="8" t="n">
        <x:v>0.9</x:v>
      </x:c>
      <x:c r="Q201" s="7"/>
      <x:c r="R201" s="7"/>
      <x:c r="S201" s="8"/>
      <x:c r="T201" s="7"/>
      <x:c r="U201" s="7"/>
      <x:c r="V201" s="8"/>
      <x:c r="W201" s="7" t="n">
        <x:v>2</x:v>
      </x:c>
      <x:c r="X201" s="7" t="str">
        <x:v>대상: 적. 적에게 공격력*0.715배 + 속도*0.385배 만큼의 피해를 가합니다. 90%확률로 방어력 관통 30% 적용합니다. 90%확률로 명중 감소 20% 적용합니다.</x:v>
      </x:c>
      <x:c r="Y201" s="7" t="str">
        <x:v>Target: one enemy. Deals 0.715 × caster Attack + 0.385 × caster Speed damage to one enemy. 90% chance to apply Defense Penetration 30%. 90% chance to apply Hit Chance Down 20%.</x:v>
      </x:c>
      <x:c r="Z201" s="7" t="str">
        <x:v>공격|디버프</x:v>
      </x:c>
    </x:row>
    <x:row r="202" ht="115" customHeight="1">
      <x:c r="A202" s="7" t="str">
        <x:v>SKILL_0196</x:v>
      </x:c>
      <x:c r="B202" s="7" t="str">
        <x:v>반격 불가 · 흡혈 · 소멸의 일격</x:v>
      </x:c>
      <x:c r="C202" s="7"/>
      <x:c r="D202" s="7" t="str">
        <x:v>적전체</x:v>
      </x:c>
      <x:c r="E202" s="7" t="n">
        <x:v>0.375</x:v>
      </x:c>
      <x:c r="F202" s="7" t="n">
        <x:v>0</x:v>
      </x:c>
      <x:c r="G202" s="7" t="n">
        <x:v>0</x:v>
      </x:c>
      <x:c r="H202" s="7" t="n">
        <x:v>0.125</x:v>
      </x:c>
      <x:c r="I202" s="7" t="n">
        <x:v>0</x:v>
      </x:c>
      <x:c r="J202" s="7" t="n">
        <x:v>0</x:v>
      </x:c>
      <x:c r="K202" s="7" t="str">
        <x:v>COUNTERATTACK_BLOCK</x:v>
      </x:c>
      <x:c r="L202" s="7" t="n">
        <x:v>1</x:v>
      </x:c>
      <x:c r="M202" s="8" t="n">
        <x:v>0.6</x:v>
      </x:c>
      <x:c r="N202" s="7" t="str">
        <x:v>LIFESTEAL</x:v>
      </x:c>
      <x:c r="O202" s="7" t="n">
        <x:v>0.24</x:v>
      </x:c>
      <x:c r="P202" s="8" t="n">
        <x:v>0.6</x:v>
      </x:c>
      <x:c r="Q202" s="7" t="str">
        <x:v>EXTINCTION</x:v>
      </x:c>
      <x:c r="R202" s="7" t="n">
        <x:v>1</x:v>
      </x:c>
      <x:c r="S202" s="8" t="n">
        <x:v>0.6</x:v>
      </x:c>
      <x:c r="T202" s="7"/>
      <x:c r="U202" s="7"/>
      <x:c r="V202" s="8"/>
      <x:c r="W202" s="7" t="n">
        <x:v>5</x:v>
      </x:c>
      <x:c r="X202" s="7" t="str">
        <x:v>대상: 적전체. 적전체에게 공격력*0.375배 + 생명력*0.125배 만큼의 피해를 가합니다. 60%확률로 반격 불가 적용합니다. 60%확률로 흡혈 24% 획득합니다. 60%확률로 소멸 적용합니다.</x:v>
      </x:c>
      <x:c r="Y202" s="7" t="str">
        <x:v>Target: all enemies. Deals 0.375 × caster Attack + 0.125 × caster max Health damage to all enemies. 60% chance to apply Counterattack Block. 60% chance to gain Lifesteal 24%. 60% chance to apply Extinction.</x:v>
      </x:c>
      <x:c r="Z202" s="7" t="str">
        <x:v>공격|회복|버프|디버프</x:v>
      </x:c>
    </x:row>
    <x:row r="203" ht="115" customHeight="1">
      <x:c r="A203" s="7" t="str">
        <x:v>SKILL_0197</x:v>
      </x:c>
      <x:c r="B203" s="7" t="str">
        <x:v>흡혈 · 상처의 일격</x:v>
      </x:c>
      <x:c r="C203" s="7"/>
      <x:c r="D203" s="7" t="str">
        <x:v>적</x:v>
      </x:c>
      <x:c r="E203" s="7" t="n">
        <x:v>1.1</x:v>
      </x:c>
      <x:c r="F203" s="7" t="n">
        <x:v>0</x:v>
      </x:c>
      <x:c r="G203" s="7" t="n">
        <x:v>0</x:v>
      </x:c>
      <x:c r="H203" s="7" t="n">
        <x:v>0</x:v>
      </x:c>
      <x:c r="I203" s="7" t="n">
        <x:v>0</x:v>
      </x:c>
      <x:c r="J203" s="7" t="n">
        <x:v>0</x:v>
      </x:c>
      <x:c r="K203" s="7" t="str">
        <x:v>LIFESTEAL</x:v>
      </x:c>
      <x:c r="L203" s="7" t="n">
        <x:v>0.3</x:v>
      </x:c>
      <x:c r="M203" s="8" t="n">
        <x:v>0.9</x:v>
      </x:c>
      <x:c r="N203" s="7" t="str">
        <x:v>INJURY</x:v>
      </x:c>
      <x:c r="O203" s="7" t="n">
        <x:v>0.08</x:v>
      </x:c>
      <x:c r="P203" s="8" t="n">
        <x:v>0.9</x:v>
      </x:c>
      <x:c r="Q203" s="7"/>
      <x:c r="R203" s="7"/>
      <x:c r="S203" s="8"/>
      <x:c r="T203" s="7"/>
      <x:c r="U203" s="7"/>
      <x:c r="V203" s="8"/>
      <x:c r="W203" s="7" t="n">
        <x:v>2</x:v>
      </x:c>
      <x:c r="X203" s="7" t="str">
        <x:v>대상: 적. 적에게 공격력*1.1배 만큼의 피해를 가합니다. 90%확률로 흡혈 30% 획득합니다. 90%확률로 상처 8% 적용합니다.</x:v>
      </x:c>
      <x:c r="Y203" s="7" t="str">
        <x:v>Target: one enemy. Deals 1.1 × caster Attack damage to one enemy. 90% chance to gain Lifesteal 30%. 90% chance to apply Injury 8%.</x:v>
      </x:c>
      <x:c r="Z203" s="7" t="str">
        <x:v>공격|회복|버프|디버프</x:v>
      </x:c>
    </x:row>
    <x:row r="204" ht="115" customHeight="1">
      <x:c r="A204" s="7" t="str">
        <x:v>SKILL_0198</x:v>
      </x:c>
      <x:c r="B204" s="7" t="str">
        <x:v>강화효과 해제 · 반격 불가의 일격</x:v>
      </x:c>
      <x:c r="C204" s="7"/>
      <x:c r="D204" s="7" t="str">
        <x:v>적</x:v>
      </x:c>
      <x:c r="E204" s="7" t="n">
        <x:v>0.715</x:v>
      </x:c>
      <x:c r="F204" s="7" t="n">
        <x:v>0.385</x:v>
      </x:c>
      <x:c r="G204" s="7" t="n">
        <x:v>0</x:v>
      </x:c>
      <x:c r="H204" s="7" t="n">
        <x:v>0</x:v>
      </x:c>
      <x:c r="I204" s="7" t="n">
        <x:v>0</x:v>
      </x:c>
      <x:c r="J204" s="7" t="n">
        <x:v>0</x:v>
      </x:c>
      <x:c r="K204" s="7" t="str">
        <x:v>DISPEL_BUFF</x:v>
      </x:c>
      <x:c r="L204" s="7" t="n">
        <x:v>1</x:v>
      </x:c>
      <x:c r="M204" s="8" t="n">
        <x:v>0.9</x:v>
      </x:c>
      <x:c r="N204" s="7" t="str">
        <x:v>COUNTERATTACK_BLOCK</x:v>
      </x:c>
      <x:c r="O204" s="7" t="n">
        <x:v>1</x:v>
      </x:c>
      <x:c r="P204" s="8" t="n">
        <x:v>0.9</x:v>
      </x:c>
      <x:c r="Q204" s="7"/>
      <x:c r="R204" s="7"/>
      <x:c r="S204" s="8"/>
      <x:c r="T204" s="7"/>
      <x:c r="U204" s="7"/>
      <x:c r="V204" s="8"/>
      <x:c r="W204" s="7" t="n">
        <x:v>2</x:v>
      </x:c>
      <x:c r="X204" s="7" t="str">
        <x:v>대상: 적. 적에게 공격력*0.715배 + 방어력*0.385배 만큼의 피해를 가합니다. 90%확률로 강화효과 해제 1개 적용합니다. 90%확률로 반격 불가 적용합니다.</x:v>
      </x:c>
      <x:c r="Y204" s="7" t="str">
        <x:v>Target: one enemy. Deals 0.715 × caster Attack + 0.385 × caster Defense damage to one enemy. 90% chance to apply Dispel Buff 1 count. 90% chance to apply Counterattack Block.</x:v>
      </x:c>
      <x:c r="Z204" s="7" t="str">
        <x:v>공격|디버프</x:v>
      </x:c>
    </x:row>
    <x:row r="205" ht="115" customHeight="1">
      <x:c r="A205" s="7" t="str">
        <x:v>SKILL_0199</x:v>
      </x:c>
      <x:c r="B205" s="7" t="str">
        <x:v>저주 · 명중 감소 · 상처의 일격</x:v>
      </x:c>
      <x:c r="C205" s="7"/>
      <x:c r="D205" s="7" t="str">
        <x:v>적전체</x:v>
      </x:c>
      <x:c r="E205" s="7" t="n">
        <x:v>0.45</x:v>
      </x:c>
      <x:c r="F205" s="7" t="n">
        <x:v>0</x:v>
      </x:c>
      <x:c r="G205" s="7" t="n">
        <x:v>0.15</x:v>
      </x:c>
      <x:c r="H205" s="7" t="n">
        <x:v>0</x:v>
      </x:c>
      <x:c r="I205" s="7" t="n">
        <x:v>0</x:v>
      </x:c>
      <x:c r="J205" s="7" t="n">
        <x:v>0</x:v>
      </x:c>
      <x:c r="K205" s="7" t="str">
        <x:v>CURSE</x:v>
      </x:c>
      <x:c r="L205" s="7" t="n">
        <x:v>0.16</x:v>
      </x:c>
      <x:c r="M205" s="8" t="n">
        <x:v>0.7</x:v>
      </x:c>
      <x:c r="N205" s="7" t="str">
        <x:v>HIT_CHANCE_DOWN</x:v>
      </x:c>
      <x:c r="O205" s="7" t="n">
        <x:v>0.16</x:v>
      </x:c>
      <x:c r="P205" s="8" t="n">
        <x:v>0.7</x:v>
      </x:c>
      <x:c r="Q205" s="7" t="str">
        <x:v>INJURY</x:v>
      </x:c>
      <x:c r="R205" s="7" t="n">
        <x:v>0.064</x:v>
      </x:c>
      <x:c r="S205" s="8" t="n">
        <x:v>0.7</x:v>
      </x:c>
      <x:c r="T205" s="7"/>
      <x:c r="U205" s="7"/>
      <x:c r="V205" s="8"/>
      <x:c r="W205" s="7" t="n">
        <x:v>5</x:v>
      </x:c>
      <x:c r="X205" s="7" t="str">
        <x:v>대상: 적전체. 적전체에게 공격력*0.45배 + 속도*0.15배 만큼의 피해를 가합니다. 70%확률로 저주 16% 적용합니다. 70%확률로 명중 감소 16% 적용합니다. 70%확률로 상처 6.4% 적용합니다.</x:v>
      </x:c>
      <x:c r="Y205" s="7" t="str">
        <x:v>Target: all enemies. Deals 0.45 × caster Attack + 0.15 × caster Speed damage to all enemies. 70% chance to apply Curse 16%. 70% chance to apply Hit Chance Down 16%. 70% chance to apply Injury 6.4%.</x:v>
      </x:c>
      <x:c r="Z205" s="7" t="str">
        <x:v>공격|디버프</x:v>
      </x:c>
    </x:row>
    <x:row r="206" ht="115" customHeight="1">
      <x:c r="A206" s="7" t="str">
        <x:v>SKILL_0200</x:v>
      </x:c>
      <x:c r="B206" s="7" t="str">
        <x:v>저주 · 강화효과 해제 · 출혈의 일격</x:v>
      </x:c>
      <x:c r="C206" s="7"/>
      <x:c r="D206" s="7" t="str">
        <x:v>적</x:v>
      </x:c>
      <x:c r="E206" s="7" t="n">
        <x:v>0.77</x:v>
      </x:c>
      <x:c r="F206" s="7" t="n">
        <x:v>0</x:v>
      </x:c>
      <x:c r="G206" s="7" t="n">
        <x:v>0</x:v>
      </x:c>
      <x:c r="H206" s="7" t="n">
        <x:v>0.33</x:v>
      </x:c>
      <x:c r="I206" s="7" t="n">
        <x:v>0</x:v>
      </x:c>
      <x:c r="J206" s="7" t="n">
        <x:v>0</x:v>
      </x:c>
      <x:c r="K206" s="7" t="str">
        <x:v>CURSE</x:v>
      </x:c>
      <x:c r="L206" s="7" t="n">
        <x:v>0.16</x:v>
      </x:c>
      <x:c r="M206" s="8" t="n">
        <x:v>0.8</x:v>
      </x:c>
      <x:c r="N206" s="7" t="str">
        <x:v>DISPEL_BUFF</x:v>
      </x:c>
      <x:c r="O206" s="7" t="n">
        <x:v>1</x:v>
      </x:c>
      <x:c r="P206" s="8" t="n">
        <x:v>0.8</x:v>
      </x:c>
      <x:c r="Q206" s="7" t="str">
        <x:v>BLEED</x:v>
      </x:c>
      <x:c r="R206" s="7" t="n">
        <x:v>0.16</x:v>
      </x:c>
      <x:c r="S206" s="8" t="n">
        <x:v>0.8</x:v>
      </x:c>
      <x:c r="T206" s="7"/>
      <x:c r="U206" s="7"/>
      <x:c r="V206" s="8"/>
      <x:c r="W206" s="7" t="n">
        <x:v>3</x:v>
      </x:c>
      <x:c r="X206" s="7" t="str">
        <x:v>대상: 적. 적에게 공격력*0.77배 + 생명력*0.33배 만큼의 피해를 가합니다. 80%확률로 저주 16% 적용합니다. 80%확률로 강화효과 해제 1개 적용합니다. 80%확률로 출혈 16% 적용합니다.</x:v>
      </x:c>
      <x:c r="Y206" s="7" t="str">
        <x:v>Target: one enemy. Deals 0.77 × caster Attack + 0.33 × caster max Health damage to one enemy. 80% chance to apply Curse 16%. 80% chance to apply Dispel Buff 1 count. 80% chance to apply Bleed 16%.</x:v>
      </x:c>
      <x:c r="Z206" s="7" t="str">
        <x:v>공격|디버프</x:v>
      </x:c>
    </x:row>
    <x:row r="207" ht="115" customHeight="1">
      <x:c r="A207" s="7" t="str">
        <x:v>SKILL_0201</x:v>
      </x:c>
      <x:c r="B207" s="7" t="str">
        <x:v>중독 · 반격 불가 · 부활 불가 · 약화효과 전이의 일격</x:v>
      </x:c>
      <x:c r="C207" s="7"/>
      <x:c r="D207" s="7" t="str">
        <x:v>적</x:v>
      </x:c>
      <x:c r="E207" s="7" t="n">
        <x:v>1.1</x:v>
      </x:c>
      <x:c r="F207" s="7" t="n">
        <x:v>0</x:v>
      </x:c>
      <x:c r="G207" s="7" t="n">
        <x:v>0</x:v>
      </x:c>
      <x:c r="H207" s="7" t="n">
        <x:v>0</x:v>
      </x:c>
      <x:c r="I207" s="7" t="n">
        <x:v>0</x:v>
      </x:c>
      <x:c r="J207" s="7" t="n">
        <x:v>0</x:v>
      </x:c>
      <x:c r="K207" s="7" t="str">
        <x:v>POISON</x:v>
      </x:c>
      <x:c r="L207" s="7" t="n">
        <x:v>0.026</x:v>
      </x:c>
      <x:c r="M207" s="8" t="n">
        <x:v>0.7</x:v>
      </x:c>
      <x:c r="N207" s="7" t="str">
        <x:v>COUNTERATTACK_BLOCK</x:v>
      </x:c>
      <x:c r="O207" s="7" t="n">
        <x:v>1</x:v>
      </x:c>
      <x:c r="P207" s="8" t="n">
        <x:v>0.7</x:v>
      </x:c>
      <x:c r="Q207" s="7" t="str">
        <x:v>REVIVE_BLOCK</x:v>
      </x:c>
      <x:c r="R207" s="7" t="n">
        <x:v>1</x:v>
      </x:c>
      <x:c r="S207" s="8" t="n">
        <x:v>0.7</x:v>
      </x:c>
      <x:c r="T207" s="7" t="str">
        <x:v>TRANSFER_DEBUFF</x:v>
      </x:c>
      <x:c r="U207" s="7" t="n">
        <x:v>1</x:v>
      </x:c>
      <x:c r="V207" s="8" t="n">
        <x:v>0.7</x:v>
      </x:c>
      <x:c r="W207" s="7" t="n">
        <x:v>4</x:v>
      </x:c>
      <x:c r="X207" s="7" t="str">
        <x:v>대상: 적. 적에게 공격력*1.1배 만큼의 피해를 가합니다. 70%확률로 중독 2.6% 적용합니다. 70%확률로 반격 불가 적용합니다. 70%확률로 부활 불가 적용합니다. 70%확률로 약화효과 전이 1개 적용합니다.</x:v>
      </x:c>
      <x:c r="Y207" s="7" t="str">
        <x:v>Target: one enemy. Deals 1.1 × caster Attack damage to one enemy. 70% chance to apply Poison 2.6%. 70% chance to apply Counterattack Block. 70% chance to apply Revive Block. 70% chance to apply Debuff Transfer 1 count.</x:v>
      </x:c>
      <x:c r="Z207" s="7" t="str">
        <x:v>공격|디버프</x:v>
      </x:c>
    </x:row>
    <x:row r="208" ht="115" customHeight="1">
      <x:c r="A208" s="7" t="str">
        <x:v>SKILL_0202</x:v>
      </x:c>
      <x:c r="B208" s="7" t="str">
        <x:v>추가 공격 · 부활 불가 · 중독의 일격</x:v>
      </x:c>
      <x:c r="C208" s="7"/>
      <x:c r="D208" s="7" t="str">
        <x:v>적전체</x:v>
      </x:c>
      <x:c r="E208" s="7" t="n">
        <x:v>0.412</x:v>
      </x:c>
      <x:c r="F208" s="7" t="n">
        <x:v>0.138</x:v>
      </x:c>
      <x:c r="G208" s="7" t="n">
        <x:v>0</x:v>
      </x:c>
      <x:c r="H208" s="7" t="n">
        <x:v>0</x:v>
      </x:c>
      <x:c r="I208" s="7" t="n">
        <x:v>0</x:v>
      </x:c>
      <x:c r="J208" s="7" t="n">
        <x:v>0</x:v>
      </x:c>
      <x:c r="K208" s="7" t="str">
        <x:v>EXTRA_ATTACK</x:v>
      </x:c>
      <x:c r="L208" s="7" t="n">
        <x:v>0.28</x:v>
      </x:c>
      <x:c r="M208" s="8" t="n">
        <x:v>0.65</x:v>
      </x:c>
      <x:c r="N208" s="7" t="str">
        <x:v>REVIVE_BLOCK</x:v>
      </x:c>
      <x:c r="O208" s="7" t="n">
        <x:v>1</x:v>
      </x:c>
      <x:c r="P208" s="8" t="n">
        <x:v>0.65</x:v>
      </x:c>
      <x:c r="Q208" s="7" t="str">
        <x:v>POISON</x:v>
      </x:c>
      <x:c r="R208" s="7" t="n">
        <x:v>0.032</x:v>
      </x:c>
      <x:c r="S208" s="8" t="n">
        <x:v>0.65</x:v>
      </x:c>
      <x:c r="T208" s="7"/>
      <x:c r="U208" s="7"/>
      <x:c r="V208" s="8"/>
      <x:c r="W208" s="7" t="n">
        <x:v>5</x:v>
      </x:c>
      <x:c r="X208" s="7" t="str">
        <x:v>대상: 적전체. 적전체에게 공격력*0.412배 + 방어력*0.138배 만큼의 피해를 가합니다. 65%확률로 추가 공격 28% 적용합니다. 65%확률로 부활 불가 적용합니다. 65%확률로 중독 3.2% 적용합니다.</x:v>
      </x:c>
      <x:c r="Y208" s="7" t="str">
        <x:v>Target: all enemies. Deals 0.412 × caster Attack + 0.138 × caster Defense damage to all enemies. 65% chance to apply Extra Attack 28%. 65% chance to apply Revive Block. 65% chance to apply Poison 3.2%.</x:v>
      </x:c>
      <x:c r="Z208" s="7" t="str">
        <x:v>공격|디버프</x:v>
      </x:c>
    </x:row>
    <x:row r="209" ht="115" customHeight="1">
      <x:c r="A209" s="7" t="str">
        <x:v>SKILL_0203</x:v>
      </x:c>
      <x:c r="B209" s="7" t="str">
        <x:v>강화효과 해제 · 도발 · 강화 불가 · 추가 피해의 일격</x:v>
      </x:c>
      <x:c r="C209" s="7"/>
      <x:c r="D209" s="7" t="str">
        <x:v>적</x:v>
      </x:c>
      <x:c r="E209" s="7" t="n">
        <x:v>0.77</x:v>
      </x:c>
      <x:c r="F209" s="7" t="n">
        <x:v>0</x:v>
      </x:c>
      <x:c r="G209" s="7" t="n">
        <x:v>0.33</x:v>
      </x:c>
      <x:c r="H209" s="7" t="n">
        <x:v>0</x:v>
      </x:c>
      <x:c r="I209" s="7" t="n">
        <x:v>0</x:v>
      </x:c>
      <x:c r="J209" s="7" t="n">
        <x:v>0</x:v>
      </x:c>
      <x:c r="K209" s="7" t="str">
        <x:v>DISPEL_BUFF</x:v>
      </x:c>
      <x:c r="L209" s="7" t="n">
        <x:v>1</x:v>
      </x:c>
      <x:c r="M209" s="8" t="n">
        <x:v>0.7</x:v>
      </x:c>
      <x:c r="N209" s="7" t="str">
        <x:v>PROVOKE</x:v>
      </x:c>
      <x:c r="O209" s="7" t="n">
        <x:v>1</x:v>
      </x:c>
      <x:c r="P209" s="8" t="n">
        <x:v>0.7</x:v>
      </x:c>
      <x:c r="Q209" s="7" t="str">
        <x:v>BUFF_BLOCK</x:v>
      </x:c>
      <x:c r="R209" s="7" t="n">
        <x:v>1</x:v>
      </x:c>
      <x:c r="S209" s="8" t="n">
        <x:v>0.7</x:v>
      </x:c>
      <x:c r="T209" s="7" t="str">
        <x:v>ADDITIONAL_DAMAGE</x:v>
      </x:c>
      <x:c r="U209" s="7" t="n">
        <x:v>0.163</x:v>
      </x:c>
      <x:c r="V209" s="8" t="n">
        <x:v>0.7</x:v>
      </x:c>
      <x:c r="W209" s="7" t="n">
        <x:v>4</x:v>
      </x:c>
      <x:c r="X209" s="7" t="str">
        <x:v>대상: 적. 적에게 공격력*0.77배 + 속도*0.33배 만큼의 피해를 가합니다. 70%확률로 강화효과 해제 1개 적용합니다. 70%확률로 도발 적용합니다. 70%확률로 강화 불가 적용합니다. 70%확률로 추가 피해 16.3% 적용합니다.</x:v>
      </x:c>
      <x:c r="Y209" s="7" t="str">
        <x:v>Target: one enemy. Deals 0.77 × caster Attack + 0.33 × caster Speed damage to one enemy. 70% chance to apply Dispel Buff 1 count. 70% chance to apply Provoke. 70% chance to apply Unbuffable. 70% chance to apply Additional Damage 16.3%.</x:v>
      </x:c>
      <x:c r="Z209" s="7" t="str">
        <x:v>공격|디버프</x:v>
      </x:c>
    </x:row>
    <x:row r="210" ht="115" customHeight="1">
      <x:c r="A210" s="7" t="str">
        <x:v>SKILL_0204</x:v>
      </x:c>
      <x:c r="B210" s="7" t="str">
        <x:v>강화효과 해제 · 상처의 일격</x:v>
      </x:c>
      <x:c r="C210" s="7"/>
      <x:c r="D210" s="7" t="str">
        <x:v>적</x:v>
      </x:c>
      <x:c r="E210" s="7" t="n">
        <x:v>0.715</x:v>
      </x:c>
      <x:c r="F210" s="7" t="n">
        <x:v>0</x:v>
      </x:c>
      <x:c r="G210" s="7" t="n">
        <x:v>0</x:v>
      </x:c>
      <x:c r="H210" s="7" t="n">
        <x:v>0.385</x:v>
      </x:c>
      <x:c r="I210" s="7" t="n">
        <x:v>0</x:v>
      </x:c>
      <x:c r="J210" s="7" t="n">
        <x:v>0</x:v>
      </x:c>
      <x:c r="K210" s="7" t="str">
        <x:v>DISPEL_BUFF</x:v>
      </x:c>
      <x:c r="L210" s="7" t="n">
        <x:v>1</x:v>
      </x:c>
      <x:c r="M210" s="8" t="n">
        <x:v>0.9</x:v>
      </x:c>
      <x:c r="N210" s="7" t="str">
        <x:v>INJURY</x:v>
      </x:c>
      <x:c r="O210" s="7" t="n">
        <x:v>0.08</x:v>
      </x:c>
      <x:c r="P210" s="8" t="n">
        <x:v>0.9</x:v>
      </x:c>
      <x:c r="Q210" s="7"/>
      <x:c r="R210" s="7"/>
      <x:c r="S210" s="8"/>
      <x:c r="T210" s="7"/>
      <x:c r="U210" s="7"/>
      <x:c r="V210" s="8"/>
      <x:c r="W210" s="7" t="n">
        <x:v>2</x:v>
      </x:c>
      <x:c r="X210" s="7" t="str">
        <x:v>대상: 적. 적에게 공격력*0.715배 + 생명력*0.385배 만큼의 피해를 가합니다. 90%확률로 강화효과 해제 1개 적용합니다. 90%확률로 상처 8% 적용합니다.</x:v>
      </x:c>
      <x:c r="Y210" s="7" t="str">
        <x:v>Target: one enemy. Deals 0.715 × caster Attack + 0.385 × caster max Health damage to one enemy. 90% chance to apply Dispel Buff 1 count. 90% chance to apply Injury 8%.</x:v>
      </x:c>
      <x:c r="Z210" s="7" t="str">
        <x:v>공격|디버프</x:v>
      </x:c>
    </x:row>
    <x:row r="211" ht="115" customHeight="1">
      <x:c r="A211" s="7" t="str">
        <x:v>SKILL_0205</x:v>
      </x:c>
      <x:c r="B211" s="7" t="str">
        <x:v>강화 불가 · 표적 · 부활 불가 · 반격 불가의 일격</x:v>
      </x:c>
      <x:c r="C211" s="7"/>
      <x:c r="D211" s="7" t="str">
        <x:v>적전체</x:v>
      </x:c>
      <x:c r="E211" s="7" t="n">
        <x:v>0.45</x:v>
      </x:c>
      <x:c r="F211" s="7" t="n">
        <x:v>0</x:v>
      </x:c>
      <x:c r="G211" s="7" t="n">
        <x:v>0</x:v>
      </x:c>
      <x:c r="H211" s="7" t="n">
        <x:v>0</x:v>
      </x:c>
      <x:c r="I211" s="7" t="n">
        <x:v>0</x:v>
      </x:c>
      <x:c r="J211" s="7" t="n">
        <x:v>0</x:v>
      </x:c>
      <x:c r="K211" s="7" t="str">
        <x:v>BUFF_BLOCK</x:v>
      </x:c>
      <x:c r="L211" s="7" t="n">
        <x:v>1</x:v>
      </x:c>
      <x:c r="M211" s="8" t="n">
        <x:v>0.45</x:v>
      </x:c>
      <x:c r="N211" s="7" t="str">
        <x:v>TARGET</x:v>
      </x:c>
      <x:c r="O211" s="7" t="n">
        <x:v>0.098</x:v>
      </x:c>
      <x:c r="P211" s="8" t="n">
        <x:v>0.45</x:v>
      </x:c>
      <x:c r="Q211" s="7" t="str">
        <x:v>REVIVE_BLOCK</x:v>
      </x:c>
      <x:c r="R211" s="7" t="n">
        <x:v>1</x:v>
      </x:c>
      <x:c r="S211" s="8" t="n">
        <x:v>0.45</x:v>
      </x:c>
      <x:c r="T211" s="7" t="str">
        <x:v>COUNTERATTACK_BLOCK</x:v>
      </x:c>
      <x:c r="U211" s="7" t="n">
        <x:v>1</x:v>
      </x:c>
      <x:c r="V211" s="8" t="n">
        <x:v>0.45</x:v>
      </x:c>
      <x:c r="W211" s="7" t="n">
        <x:v>5</x:v>
      </x:c>
      <x:c r="X211" s="7" t="str">
        <x:v>대상: 적전체. 적전체에게 공격력*0.45배 만큼의 피해를 가합니다. 45%확률로 강화 불가 적용합니다. 45%확률로 표적 9.8% 적용합니다. 45%확률로 부활 불가 적용합니다. 45%확률로 반격 불가 적용합니다.</x:v>
      </x:c>
      <x:c r="Y211" s="7" t="str">
        <x:v>Target: all enemies. Deals 0.45 × caster Attack damage to all enemies. 45% chance to apply Unbuffable. 45% chance to apply Target 9.8%. 45% chance to apply Revive Block. 45% chance to apply Counterattack Block.</x:v>
      </x:c>
      <x:c r="Z211" s="7" t="str">
        <x:v>공격|디버프</x:v>
      </x:c>
    </x:row>
    <x:row r="212" ht="115" customHeight="1">
      <x:c r="A212" s="7" t="str">
        <x:v>SKILL_0206</x:v>
      </x:c>
      <x:c r="B212" s="7" t="str">
        <x:v>출혈 · 상처의 일격</x:v>
      </x:c>
      <x:c r="C212" s="7"/>
      <x:c r="D212" s="7" t="str">
        <x:v>적</x:v>
      </x:c>
      <x:c r="E212" s="7" t="n">
        <x:v>0.77</x:v>
      </x:c>
      <x:c r="F212" s="7" t="n">
        <x:v>0.33</x:v>
      </x:c>
      <x:c r="G212" s="7" t="n">
        <x:v>0</x:v>
      </x:c>
      <x:c r="H212" s="7" t="n">
        <x:v>0</x:v>
      </x:c>
      <x:c r="I212" s="7" t="n">
        <x:v>0</x:v>
      </x:c>
      <x:c r="J212" s="7" t="n">
        <x:v>0</x:v>
      </x:c>
      <x:c r="K212" s="7" t="str">
        <x:v>BLEED</x:v>
      </x:c>
      <x:c r="L212" s="7" t="n">
        <x:v>0.2</x:v>
      </x:c>
      <x:c r="M212" s="8" t="n">
        <x:v>0.9</x:v>
      </x:c>
      <x:c r="N212" s="7" t="str">
        <x:v>INJURY</x:v>
      </x:c>
      <x:c r="O212" s="7" t="n">
        <x:v>0.08</x:v>
      </x:c>
      <x:c r="P212" s="8" t="n">
        <x:v>0.9</x:v>
      </x:c>
      <x:c r="Q212" s="7"/>
      <x:c r="R212" s="7"/>
      <x:c r="S212" s="8"/>
      <x:c r="T212" s="7"/>
      <x:c r="U212" s="7"/>
      <x:c r="V212" s="8"/>
      <x:c r="W212" s="7" t="n">
        <x:v>2</x:v>
      </x:c>
      <x:c r="X212" s="7" t="str">
        <x:v>대상: 적. 적에게 공격력*0.77배 + 방어력*0.33배 만큼의 피해를 가합니다. 90%확률로 출혈 20% 적용합니다. 90%확률로 상처 8% 적용합니다.</x:v>
      </x:c>
      <x:c r="Y212" s="7" t="str">
        <x:v>Target: one enemy. Deals 0.77 × caster Attack + 0.33 × caster Defense damage to one enemy. 90% chance to apply Bleed 20%. 90% chance to apply Injury 8%.</x:v>
      </x:c>
      <x:c r="Z212" s="7" t="str">
        <x:v>공격|디버프</x:v>
      </x:c>
    </x:row>
    <x:row r="213" ht="115" customHeight="1">
      <x:c r="A213" s="7" t="str">
        <x:v>SKILL_0207</x:v>
      </x:c>
      <x:c r="B213" s="7" t="str">
        <x:v>출혈 · 강화 불가의 일격</x:v>
      </x:c>
      <x:c r="C213" s="7"/>
      <x:c r="D213" s="7" t="str">
        <x:v>적</x:v>
      </x:c>
      <x:c r="E213" s="7" t="n">
        <x:v>0.715</x:v>
      </x:c>
      <x:c r="F213" s="7" t="n">
        <x:v>0</x:v>
      </x:c>
      <x:c r="G213" s="7" t="n">
        <x:v>0.385</x:v>
      </x:c>
      <x:c r="H213" s="7" t="n">
        <x:v>0</x:v>
      </x:c>
      <x:c r="I213" s="7" t="n">
        <x:v>0</x:v>
      </x:c>
      <x:c r="J213" s="7" t="n">
        <x:v>0</x:v>
      </x:c>
      <x:c r="K213" s="7" t="str">
        <x:v>BLEED</x:v>
      </x:c>
      <x:c r="L213" s="7" t="n">
        <x:v>0.2</x:v>
      </x:c>
      <x:c r="M213" s="8" t="n">
        <x:v>0.9</x:v>
      </x:c>
      <x:c r="N213" s="7" t="str">
        <x:v>BUFF_BLOCK</x:v>
      </x:c>
      <x:c r="O213" s="7" t="n">
        <x:v>1</x:v>
      </x:c>
      <x:c r="P213" s="8" t="n">
        <x:v>0.9</x:v>
      </x:c>
      <x:c r="Q213" s="7"/>
      <x:c r="R213" s="7"/>
      <x:c r="S213" s="8"/>
      <x:c r="T213" s="7"/>
      <x:c r="U213" s="7"/>
      <x:c r="V213" s="8"/>
      <x:c r="W213" s="7" t="n">
        <x:v>2</x:v>
      </x:c>
      <x:c r="X213" s="7" t="str">
        <x:v>대상: 적. 적에게 공격력*0.715배 + 속도*0.385배 만큼의 피해를 가합니다. 90%확률로 출혈 20% 적용합니다. 90%확률로 강화 불가 적용합니다.</x:v>
      </x:c>
      <x:c r="Y213" s="7" t="str">
        <x:v>Target: one enemy. Deals 0.715 × caster Attack + 0.385 × caster Speed damage to one enemy. 90% chance to apply Bleed 20%. 90% chance to apply Unbuffable.</x:v>
      </x:c>
      <x:c r="Z213" s="7" t="str">
        <x:v>공격|디버프</x:v>
      </x:c>
    </x:row>
    <x:row r="214" ht="115" customHeight="1">
      <x:c r="A214" s="7" t="str">
        <x:v>SKILL_0208</x:v>
      </x:c>
      <x:c r="B214" s="7" t="str">
        <x:v>강화효과 해제 · 속도 감소 · 소멸 · 추가 공격의 일격</x:v>
      </x:c>
      <x:c r="C214" s="7"/>
      <x:c r="D214" s="7" t="str">
        <x:v>적전체</x:v>
      </x:c>
      <x:c r="E214" s="7" t="n">
        <x:v>0.337</x:v>
      </x:c>
      <x:c r="F214" s="7" t="n">
        <x:v>0</x:v>
      </x:c>
      <x:c r="G214" s="7" t="n">
        <x:v>0</x:v>
      </x:c>
      <x:c r="H214" s="7" t="n">
        <x:v>0.113</x:v>
      </x:c>
      <x:c r="I214" s="7" t="n">
        <x:v>0</x:v>
      </x:c>
      <x:c r="J214" s="7" t="n">
        <x:v>0</x:v>
      </x:c>
      <x:c r="K214" s="7" t="str">
        <x:v>DISPEL_BUFF</x:v>
      </x:c>
      <x:c r="L214" s="7" t="n">
        <x:v>1</x:v>
      </x:c>
      <x:c r="M214" s="8" t="n">
        <x:v>0.45</x:v>
      </x:c>
      <x:c r="N214" s="7" t="str">
        <x:v>SPEED_DOWN</x:v>
      </x:c>
      <x:c r="O214" s="7" t="n">
        <x:v>0.13</x:v>
      </x:c>
      <x:c r="P214" s="8" t="n">
        <x:v>0.45</x:v>
      </x:c>
      <x:c r="Q214" s="7" t="str">
        <x:v>EXTINCTION</x:v>
      </x:c>
      <x:c r="R214" s="7" t="n">
        <x:v>1</x:v>
      </x:c>
      <x:c r="S214" s="8" t="n">
        <x:v>0.45</x:v>
      </x:c>
      <x:c r="T214" s="7" t="str">
        <x:v>EXTRA_ATTACK</x:v>
      </x:c>
      <x:c r="U214" s="7" t="n">
        <x:v>0.227</x:v>
      </x:c>
      <x:c r="V214" s="8" t="n">
        <x:v>0.45</x:v>
      </x:c>
      <x:c r="W214" s="7" t="n">
        <x:v>5</x:v>
      </x:c>
      <x:c r="X214" s="7" t="str">
        <x:v>대상: 적전체. 적전체에게 공격력*0.337배 + 생명력*0.113배 만큼의 피해를 가합니다. 45%확률로 강화효과 해제 1개 적용합니다. 45%확률로 속도 감소 13% 적용합니다. 45%확률로 소멸 적용합니다. 45%확률로 추가 공격 22.7% 적용합니다.</x:v>
      </x:c>
      <x:c r="Y214" s="7" t="str">
        <x:v>Target: all enemies. Deals 0.337 × caster Attack + 0.113 × caster max Health damage to all enemies. 45% chance to apply Dispel Buff 1 count. 45% chance to apply Speed Down 13%. 45% chance to apply Extinction. 45% chance to apply Extra Attack 22.7%.</x:v>
      </x:c>
      <x:c r="Z214" s="7" t="str">
        <x:v>공격|디버프</x:v>
      </x:c>
    </x:row>
    <x:row r="215" ht="115" customHeight="1">
      <x:c r="A215" s="7" t="str">
        <x:v>SKILL_0209</x:v>
      </x:c>
      <x:c r="B215" s="7" t="str">
        <x:v>기절 — 스턴 · 스킬 쿨타임 증가 · 저주 · 표적의 일격</x:v>
      </x:c>
      <x:c r="C215" s="7"/>
      <x:c r="D215" s="7" t="str">
        <x:v>적</x:v>
      </x:c>
      <x:c r="E215" s="7" t="n">
        <x:v>1.1</x:v>
      </x:c>
      <x:c r="F215" s="7" t="n">
        <x:v>0</x:v>
      </x:c>
      <x:c r="G215" s="7" t="n">
        <x:v>0</x:v>
      </x:c>
      <x:c r="H215" s="7" t="n">
        <x:v>0</x:v>
      </x:c>
      <x:c r="I215" s="7" t="n">
        <x:v>0</x:v>
      </x:c>
      <x:c r="J215" s="7" t="n">
        <x:v>0</x:v>
      </x:c>
      <x:c r="K215" s="7" t="str">
        <x:v>STUN</x:v>
      </x:c>
      <x:c r="L215" s="7" t="n">
        <x:v>1</x:v>
      </x:c>
      <x:c r="M215" s="8" t="n">
        <x:v>0.7</x:v>
      </x:c>
      <x:c r="N215" s="7" t="str">
        <x:v>SKILL_COOLDOWN_UP</x:v>
      </x:c>
      <x:c r="O215" s="7" t="n">
        <x:v>1</x:v>
      </x:c>
      <x:c r="P215" s="8" t="n">
        <x:v>0.7</x:v>
      </x:c>
      <x:c r="Q215" s="7" t="str">
        <x:v>CURSE</x:v>
      </x:c>
      <x:c r="R215" s="7" t="n">
        <x:v>0.13</x:v>
      </x:c>
      <x:c r="S215" s="8" t="n">
        <x:v>0.7</x:v>
      </x:c>
      <x:c r="T215" s="7" t="str">
        <x:v>TARGET</x:v>
      </x:c>
      <x:c r="U215" s="7" t="n">
        <x:v>0.098</x:v>
      </x:c>
      <x:c r="V215" s="8" t="n">
        <x:v>0.7</x:v>
      </x:c>
      <x:c r="W215" s="7" t="n">
        <x:v>5</x:v>
      </x:c>
      <x:c r="X215" s="7" t="str">
        <x:v>대상: 적. 적에게 공격력*1.1배 만큼의 피해를 가합니다. 70%확률로 기절 — 스턴 적용합니다. 70%확률로 스킬 쿨타임 증가 1턴 적용합니다. 70%확률로 저주 13% 적용합니다. 70%확률로 표적 9.8% 적용합니다.</x:v>
      </x:c>
      <x:c r="Y215" s="7" t="str">
        <x:v>Target: one enemy. Deals 1.1 × caster Attack damage to one enemy. 70% chance to apply Stun. 70% chance to apply Skill Cooldown Increase 1 turn. 70% chance to apply Curse 13%. 70% chance to apply Target 9.8%.</x:v>
      </x:c>
      <x:c r="Z215" s="7" t="str">
        <x:v>공격|디버프</x:v>
      </x:c>
    </x:row>
    <x:row r="216" ht="115" customHeight="1">
      <x:c r="A216" s="7" t="str">
        <x:v>SKILL_0210</x:v>
      </x:c>
      <x:c r="B216" s="7" t="str">
        <x:v>명중 감소 · 반격 불가 · 속도 감소 · 강화효과 해제의 일격</x:v>
      </x:c>
      <x:c r="C216" s="7"/>
      <x:c r="D216" s="7" t="str">
        <x:v>적</x:v>
      </x:c>
      <x:c r="E216" s="7" t="n">
        <x:v>0.715</x:v>
      </x:c>
      <x:c r="F216" s="7" t="n">
        <x:v>0.385</x:v>
      </x:c>
      <x:c r="G216" s="7" t="n">
        <x:v>0</x:v>
      </x:c>
      <x:c r="H216" s="7" t="n">
        <x:v>0</x:v>
      </x:c>
      <x:c r="I216" s="7" t="n">
        <x:v>0</x:v>
      </x:c>
      <x:c r="J216" s="7" t="n">
        <x:v>0</x:v>
      </x:c>
      <x:c r="K216" s="7" t="str">
        <x:v>HIT_CHANCE_DOWN</x:v>
      </x:c>
      <x:c r="L216" s="7" t="n">
        <x:v>0.13</x:v>
      </x:c>
      <x:c r="M216" s="8" t="n">
        <x:v>0.7</x:v>
      </x:c>
      <x:c r="N216" s="7" t="str">
        <x:v>COUNTERATTACK_BLOCK</x:v>
      </x:c>
      <x:c r="O216" s="7" t="n">
        <x:v>1</x:v>
      </x:c>
      <x:c r="P216" s="8" t="n">
        <x:v>0.7</x:v>
      </x:c>
      <x:c r="Q216" s="7" t="str">
        <x:v>SPEED_DOWN</x:v>
      </x:c>
      <x:c r="R216" s="7" t="n">
        <x:v>0.13</x:v>
      </x:c>
      <x:c r="S216" s="8" t="n">
        <x:v>0.7</x:v>
      </x:c>
      <x:c r="T216" s="7" t="str">
        <x:v>DISPEL_BUFF</x:v>
      </x:c>
      <x:c r="U216" s="7" t="n">
        <x:v>1</x:v>
      </x:c>
      <x:c r="V216" s="8" t="n">
        <x:v>0.7</x:v>
      </x:c>
      <x:c r="W216" s="7" t="n">
        <x:v>3</x:v>
      </x:c>
      <x:c r="X216" s="7" t="str">
        <x:v>대상: 적. 적에게 공격력*0.715배 + 방어력*0.385배 만큼의 피해를 가합니다. 70%확률로 명중 감소 13% 적용합니다. 70%확률로 반격 불가 적용합니다. 70%확률로 속도 감소 13% 적용합니다. 70%확률로 강화효과 해제 1개 적용합니다.</x:v>
      </x:c>
      <x:c r="Y216" s="7" t="str">
        <x:v>Target: one enemy. Deals 0.715 × caster Attack + 0.385 × caster Defense damage to one enemy. 70% chance to apply Hit Chance Down 13%. 70% chance to apply Counterattack Block. 70% chance to apply Speed Down 13%. 70% chance to apply Dispel Buff 1 count.</x:v>
      </x:c>
      <x:c r="Z216" s="7" t="str">
        <x:v>공격|디버프</x:v>
      </x:c>
    </x:row>
    <x:row r="217" ht="115" customHeight="1">
      <x:c r="A217" s="7" t="str">
        <x:v>SKILL_0211</x:v>
      </x:c>
      <x:c r="B217" s="7" t="str">
        <x:v>기절 — 스턴 · 표적 · 방어력 관통의 일격</x:v>
      </x:c>
      <x:c r="C217" s="7"/>
      <x:c r="D217" s="7" t="str">
        <x:v>적전체</x:v>
      </x:c>
      <x:c r="E217" s="7" t="n">
        <x:v>0.3</x:v>
      </x:c>
      <x:c r="F217" s="7" t="n">
        <x:v>0</x:v>
      </x:c>
      <x:c r="G217" s="7" t="n">
        <x:v>0.1</x:v>
      </x:c>
      <x:c r="H217" s="7" t="n">
        <x:v>0</x:v>
      </x:c>
      <x:c r="I217" s="7" t="n">
        <x:v>0</x:v>
      </x:c>
      <x:c r="J217" s="7" t="n">
        <x:v>0</x:v>
      </x:c>
      <x:c r="K217" s="7" t="str">
        <x:v>STUN</x:v>
      </x:c>
      <x:c r="L217" s="7" t="n">
        <x:v>1</x:v>
      </x:c>
      <x:c r="M217" s="8" t="n">
        <x:v>0.5</x:v>
      </x:c>
      <x:c r="N217" s="7" t="str">
        <x:v>TARGET</x:v>
      </x:c>
      <x:c r="O217" s="7" t="n">
        <x:v>0.12</x:v>
      </x:c>
      <x:c r="P217" s="8" t="n">
        <x:v>0.5</x:v>
      </x:c>
      <x:c r="Q217" s="7" t="str">
        <x:v>DEFENSE_PENETRATION</x:v>
      </x:c>
      <x:c r="R217" s="7" t="n">
        <x:v>0.24</x:v>
      </x:c>
      <x:c r="S217" s="8" t="n">
        <x:v>0.5</x:v>
      </x:c>
      <x:c r="T217" s="7"/>
      <x:c r="U217" s="7"/>
      <x:c r="V217" s="8"/>
      <x:c r="W217" s="7" t="n">
        <x:v>5</x:v>
      </x:c>
      <x:c r="X217" s="7" t="str">
        <x:v>대상: 적전체. 적전체에게 공격력*0.3배 + 속도*0.1배 만큼의 피해를 가합니다. 50%확률로 기절 — 스턴 적용합니다. 50%확률로 표적 12% 적용합니다. 50%확률로 방어력 관통 24% 적용합니다.</x:v>
      </x:c>
      <x:c r="Y217" s="7" t="str">
        <x:v>Target: all enemies. Deals 0.3 × caster Attack + 0.1 × caster Speed damage to all enemies. 50% chance to apply Stun. 50% chance to apply Target 12%. 50% chance to apply Defense Penetration 24%.</x:v>
      </x:c>
      <x:c r="Z217" s="7" t="str">
        <x:v>공격|디버프</x:v>
      </x:c>
    </x:row>
    <x:row r="218" ht="115" customHeight="1">
      <x:c r="A218" s="7" t="str">
        <x:v>SKILL_0212</x:v>
      </x:c>
      <x:c r="B218" s="7" t="str">
        <x:v>반격 불가 · 도발의 일격</x:v>
      </x:c>
      <x:c r="C218" s="7"/>
      <x:c r="D218" s="7" t="str">
        <x:v>적</x:v>
      </x:c>
      <x:c r="E218" s="7" t="n">
        <x:v>0.77</x:v>
      </x:c>
      <x:c r="F218" s="7" t="n">
        <x:v>0</x:v>
      </x:c>
      <x:c r="G218" s="7" t="n">
        <x:v>0</x:v>
      </x:c>
      <x:c r="H218" s="7" t="n">
        <x:v>0.33</x:v>
      </x:c>
      <x:c r="I218" s="7" t="n">
        <x:v>0</x:v>
      </x:c>
      <x:c r="J218" s="7" t="n">
        <x:v>0</x:v>
      </x:c>
      <x:c r="K218" s="7" t="str">
        <x:v>COUNTERATTACK_BLOCK</x:v>
      </x:c>
      <x:c r="L218" s="7" t="n">
        <x:v>1</x:v>
      </x:c>
      <x:c r="M218" s="8" t="n">
        <x:v>0.9</x:v>
      </x:c>
      <x:c r="N218" s="7" t="str">
        <x:v>PROVOKE</x:v>
      </x:c>
      <x:c r="O218" s="7" t="n">
        <x:v>1</x:v>
      </x:c>
      <x:c r="P218" s="8" t="n">
        <x:v>0.9</x:v>
      </x:c>
      <x:c r="Q218" s="7"/>
      <x:c r="R218" s="7"/>
      <x:c r="S218" s="8"/>
      <x:c r="T218" s="7"/>
      <x:c r="U218" s="7"/>
      <x:c r="V218" s="8"/>
      <x:c r="W218" s="7" t="n">
        <x:v>3</x:v>
      </x:c>
      <x:c r="X218" s="7" t="str">
        <x:v>대상: 적. 적에게 공격력*0.77배 + 생명력*0.33배 만큼의 피해를 가합니다. 90%확률로 반격 불가 적용합니다. 90%확률로 도발 적용합니다.</x:v>
      </x:c>
      <x:c r="Y218" s="7" t="str">
        <x:v>Target: one enemy. Deals 0.77 × caster Attack + 0.33 × caster max Health damage to one enemy. 90% chance to apply Counterattack Block. 90% chance to apply Provoke.</x:v>
      </x:c>
      <x:c r="Z218" s="7" t="str">
        <x:v>공격|디버프</x:v>
      </x:c>
    </x:row>
    <x:row r="219" ht="115" customHeight="1">
      <x:c r="A219" s="7" t="str">
        <x:v>SKILL_0213</x:v>
      </x:c>
      <x:c r="B219" s="7" t="str">
        <x:v>공격력 감소 · 약화효과 전이 · 방어력 관통의 일격</x:v>
      </x:c>
      <x:c r="C219" s="7"/>
      <x:c r="D219" s="7" t="str">
        <x:v>적</x:v>
      </x:c>
      <x:c r="E219" s="7" t="n">
        <x:v>1.1</x:v>
      </x:c>
      <x:c r="F219" s="7" t="n">
        <x:v>0</x:v>
      </x:c>
      <x:c r="G219" s="7" t="n">
        <x:v>0</x:v>
      </x:c>
      <x:c r="H219" s="7" t="n">
        <x:v>0</x:v>
      </x:c>
      <x:c r="I219" s="7" t="n">
        <x:v>0</x:v>
      </x:c>
      <x:c r="J219" s="7" t="n">
        <x:v>0</x:v>
      </x:c>
      <x:c r="K219" s="7" t="str">
        <x:v>ATTACK_DOWN</x:v>
      </x:c>
      <x:c r="L219" s="7" t="n">
        <x:v>0.2</x:v>
      </x:c>
      <x:c r="M219" s="8" t="n">
        <x:v>0.8</x:v>
      </x:c>
      <x:c r="N219" s="7" t="str">
        <x:v>TRANSFER_DEBUFF</x:v>
      </x:c>
      <x:c r="O219" s="7" t="n">
        <x:v>1</x:v>
      </x:c>
      <x:c r="P219" s="8" t="n">
        <x:v>0.8</x:v>
      </x:c>
      <x:c r="Q219" s="7" t="str">
        <x:v>DEFENSE_PENETRATION</x:v>
      </x:c>
      <x:c r="R219" s="7" t="n">
        <x:v>0.24</x:v>
      </x:c>
      <x:c r="S219" s="8" t="n">
        <x:v>0.8</x:v>
      </x:c>
      <x:c r="T219" s="7"/>
      <x:c r="U219" s="7"/>
      <x:c r="V219" s="8"/>
      <x:c r="W219" s="7" t="n">
        <x:v>3</x:v>
      </x:c>
      <x:c r="X219" s="7" t="str">
        <x:v>대상: 적. 적에게 공격력*1.1배 만큼의 피해를 가합니다. 80%확률로 공격력 감소 20% 적용합니다. 80%확률로 약화효과 전이 1개 적용합니다. 80%확률로 방어력 관통 24% 적용합니다.</x:v>
      </x:c>
      <x:c r="Y219" s="7" t="str">
        <x:v>Target: one enemy. Deals 1.1 × caster Attack damage to one enemy. 80% chance to apply Attack Down 20%. 80% chance to apply Debuff Transfer 1 count. 80% chance to apply Defense Penetration 24%.</x:v>
      </x:c>
      <x:c r="Z219" s="7" t="str">
        <x:v>공격|디버프</x:v>
      </x:c>
    </x:row>
    <x:row r="220" ht="115" customHeight="1">
      <x:c r="A220" s="7" t="str">
        <x:v>SKILL_0214</x:v>
      </x:c>
      <x:c r="B220" s="7" t="str">
        <x:v>부활 불가 · 추가 피해 · 중독 · 스킬 쿨타임 증가의 일격</x:v>
      </x:c>
      <x:c r="C220" s="7"/>
      <x:c r="D220" s="7" t="str">
        <x:v>적전체</x:v>
      </x:c>
      <x:c r="E220" s="7" t="n">
        <x:v>0.3</x:v>
      </x:c>
      <x:c r="F220" s="7" t="n">
        <x:v>0.1</x:v>
      </x:c>
      <x:c r="G220" s="7" t="n">
        <x:v>0</x:v>
      </x:c>
      <x:c r="H220" s="7" t="n">
        <x:v>0</x:v>
      </x:c>
      <x:c r="I220" s="7" t="n">
        <x:v>0</x:v>
      </x:c>
      <x:c r="J220" s="7" t="n">
        <x:v>0</x:v>
      </x:c>
      <x:c r="K220" s="7" t="str">
        <x:v>REVIVE_BLOCK</x:v>
      </x:c>
      <x:c r="L220" s="7" t="n">
        <x:v>1</x:v>
      </x:c>
      <x:c r="M220" s="8" t="n">
        <x:v>0.4</x:v>
      </x:c>
      <x:c r="N220" s="7" t="str">
        <x:v>ADDITIONAL_DAMAGE</x:v>
      </x:c>
      <x:c r="O220" s="7" t="n">
        <x:v>0.163</x:v>
      </x:c>
      <x:c r="P220" s="8" t="n">
        <x:v>0.4</x:v>
      </x:c>
      <x:c r="Q220" s="7" t="str">
        <x:v>POISON</x:v>
      </x:c>
      <x:c r="R220" s="7" t="n">
        <x:v>0.026</x:v>
      </x:c>
      <x:c r="S220" s="8" t="n">
        <x:v>0.4</x:v>
      </x:c>
      <x:c r="T220" s="7" t="str">
        <x:v>SKILL_COOLDOWN_UP</x:v>
      </x:c>
      <x:c r="U220" s="7" t="n">
        <x:v>1</x:v>
      </x:c>
      <x:c r="V220" s="8" t="n">
        <x:v>0.4</x:v>
      </x:c>
      <x:c r="W220" s="7" t="n">
        <x:v>5</x:v>
      </x:c>
      <x:c r="X220" s="7" t="str">
        <x:v>대상: 적전체. 적전체에게 공격력*0.3배 + 방어력*0.1배 만큼의 피해를 가합니다. 40%확률로 부활 불가 적용합니다. 40%확률로 추가 피해 16.3% 적용합니다. 40%확률로 중독 2.6% 적용합니다. 40%확률로 스킬 쿨타임 증가 1턴 적용합니다.</x:v>
      </x:c>
      <x:c r="Y220" s="7" t="str">
        <x:v>Target: all enemies. Deals 0.3 × caster Attack + 0.1 × caster Defense damage to all enemies. 40% chance to apply Revive Block. 40% chance to apply Additional Damage 16.3%. 40% chance to apply Poison 2.6%. 40% chance to apply Skill Cooldown Increase 1 turn.</x:v>
      </x:c>
      <x:c r="Z220" s="7" t="str">
        <x:v>공격|디버프</x:v>
      </x:c>
    </x:row>
    <x:row r="221" ht="115" customHeight="1">
      <x:c r="A221" s="7" t="str">
        <x:v>SKILL_0215</x:v>
      </x:c>
      <x:c r="B221" s="7" t="str">
        <x:v>회복 불가 · 반격 불가 · 강화효과 지속시간 감소 · 속도 감소의 일격</x:v>
      </x:c>
      <x:c r="C221" s="7"/>
      <x:c r="D221" s="7" t="str">
        <x:v>적</x:v>
      </x:c>
      <x:c r="E221" s="7" t="n">
        <x:v>0.77</x:v>
      </x:c>
      <x:c r="F221" s="7" t="n">
        <x:v>0</x:v>
      </x:c>
      <x:c r="G221" s="7" t="n">
        <x:v>0.33</x:v>
      </x:c>
      <x:c r="H221" s="7" t="n">
        <x:v>0</x:v>
      </x:c>
      <x:c r="I221" s="7" t="n">
        <x:v>0</x:v>
      </x:c>
      <x:c r="J221" s="7" t="n">
        <x:v>0</x:v>
      </x:c>
      <x:c r="K221" s="7" t="str">
        <x:v>HEAL_BLOCK</x:v>
      </x:c>
      <x:c r="L221" s="7" t="n">
        <x:v>1</x:v>
      </x:c>
      <x:c r="M221" s="8" t="n">
        <x:v>0.7</x:v>
      </x:c>
      <x:c r="N221" s="7" t="str">
        <x:v>COUNTERATTACK_BLOCK</x:v>
      </x:c>
      <x:c r="O221" s="7" t="n">
        <x:v>1</x:v>
      </x:c>
      <x:c r="P221" s="8" t="n">
        <x:v>0.7</x:v>
      </x:c>
      <x:c r="Q221" s="7" t="str">
        <x:v>BUFF_DURATION_DOWN</x:v>
      </x:c>
      <x:c r="R221" s="7" t="n">
        <x:v>1</x:v>
      </x:c>
      <x:c r="S221" s="8" t="n">
        <x:v>0.7</x:v>
      </x:c>
      <x:c r="T221" s="7" t="str">
        <x:v>SPEED_DOWN</x:v>
      </x:c>
      <x:c r="U221" s="7" t="n">
        <x:v>0.13</x:v>
      </x:c>
      <x:c r="V221" s="8" t="n">
        <x:v>0.7</x:v>
      </x:c>
      <x:c r="W221" s="7" t="n">
        <x:v>3</x:v>
      </x:c>
      <x:c r="X221" s="7" t="str">
        <x:v>대상: 적. 적에게 공격력*0.77배 + 속도*0.33배 만큼의 피해를 가합니다. 70%확률로 회복 불가 적용합니다. 70%확률로 반격 불가 적용합니다. 70%확률로 강화효과 지속시간 감소 1턴 적용합니다. 70%확률로 속도 감소 13% 적용합니다.</x:v>
      </x:c>
      <x:c r="Y221" s="7" t="str">
        <x:v>Target: one enemy. Deals 0.77 × caster Attack + 0.33 × caster Speed damage to one enemy. 70% chance to apply Unhealable. 70% chance to apply Counterattack Block. 70% chance to apply Buff Duration Reduction 1 turn. 70% chance to apply Speed Down 13%.</x:v>
      </x:c>
      <x:c r="Z221" s="7" t="str">
        <x:v>공격|디버프</x:v>
      </x:c>
    </x:row>
    <x:row r="222" ht="115" customHeight="1">
      <x:c r="A222" s="7" t="str">
        <x:v>SKILL_0216</x:v>
      </x:c>
      <x:c r="B222" s="7" t="str">
        <x:v>속도 감소 · 부활 불가의 일격</x:v>
      </x:c>
      <x:c r="C222" s="7"/>
      <x:c r="D222" s="7" t="str">
        <x:v>적</x:v>
      </x:c>
      <x:c r="E222" s="7" t="n">
        <x:v>0.715</x:v>
      </x:c>
      <x:c r="F222" s="7" t="n">
        <x:v>0</x:v>
      </x:c>
      <x:c r="G222" s="7" t="n">
        <x:v>0</x:v>
      </x:c>
      <x:c r="H222" s="7" t="n">
        <x:v>0.385</x:v>
      </x:c>
      <x:c r="I222" s="7" t="n">
        <x:v>0</x:v>
      </x:c>
      <x:c r="J222" s="7" t="n">
        <x:v>0</x:v>
      </x:c>
      <x:c r="K222" s="7" t="str">
        <x:v>SPEED_DOWN</x:v>
      </x:c>
      <x:c r="L222" s="7" t="n">
        <x:v>0.2</x:v>
      </x:c>
      <x:c r="M222" s="8" t="n">
        <x:v>0.9</x:v>
      </x:c>
      <x:c r="N222" s="7" t="str">
        <x:v>REVIVE_BLOCK</x:v>
      </x:c>
      <x:c r="O222" s="7" t="n">
        <x:v>1</x:v>
      </x:c>
      <x:c r="P222" s="8" t="n">
        <x:v>0.9</x:v>
      </x:c>
      <x:c r="Q222" s="7"/>
      <x:c r="R222" s="7"/>
      <x:c r="S222" s="8"/>
      <x:c r="T222" s="7"/>
      <x:c r="U222" s="7"/>
      <x:c r="V222" s="8"/>
      <x:c r="W222" s="7" t="n">
        <x:v>3</x:v>
      </x:c>
      <x:c r="X222" s="7" t="str">
        <x:v>대상: 적. 적에게 공격력*0.715배 + 생명력*0.385배 만큼의 피해를 가합니다. 90%확률로 속도 감소 20% 적용합니다. 90%확률로 부활 불가 적용합니다.</x:v>
      </x:c>
      <x:c r="Y222" s="7" t="str">
        <x:v>Target: one enemy. Deals 0.715 × caster Attack + 0.385 × caster max Health damage to one enemy. 90% chance to apply Speed Down 20%. 90% chance to apply Revive Block.</x:v>
      </x:c>
      <x:c r="Z222" s="7" t="str">
        <x:v>공격|디버프</x:v>
      </x:c>
    </x:row>
    <x:row r="223" ht="115" customHeight="1">
      <x:c r="A223" s="7" t="str">
        <x:v>SKILL_0217</x:v>
      </x:c>
      <x:c r="B223" s="7" t="str">
        <x:v>공격력 감소 · 약화효과 지속시간 증가의 일격</x:v>
      </x:c>
      <x:c r="C223" s="7"/>
      <x:c r="D223" s="7" t="str">
        <x:v>적전체</x:v>
      </x:c>
      <x:c r="E223" s="7" t="n">
        <x:v>0.65</x:v>
      </x:c>
      <x:c r="F223" s="7" t="n">
        <x:v>0</x:v>
      </x:c>
      <x:c r="G223" s="7" t="n">
        <x:v>0</x:v>
      </x:c>
      <x:c r="H223" s="7" t="n">
        <x:v>0</x:v>
      </x:c>
      <x:c r="I223" s="7" t="n">
        <x:v>0</x:v>
      </x:c>
      <x:c r="J223" s="7" t="n">
        <x:v>0</x:v>
      </x:c>
      <x:c r="K223" s="7" t="str">
        <x:v>ATTACK_DOWN</x:v>
      </x:c>
      <x:c r="L223" s="7" t="n">
        <x:v>0.25</x:v>
      </x:c>
      <x:c r="M223" s="8" t="n">
        <x:v>0.85</x:v>
      </x:c>
      <x:c r="N223" s="7" t="str">
        <x:v>DEBUFF_DURATION_UP</x:v>
      </x:c>
      <x:c r="O223" s="7" t="n">
        <x:v>1</x:v>
      </x:c>
      <x:c r="P223" s="8" t="n">
        <x:v>0.85</x:v>
      </x:c>
      <x:c r="Q223" s="7"/>
      <x:c r="R223" s="7"/>
      <x:c r="S223" s="8"/>
      <x:c r="T223" s="7"/>
      <x:c r="U223" s="7"/>
      <x:c r="V223" s="8"/>
      <x:c r="W223" s="7" t="n">
        <x:v>5</x:v>
      </x:c>
      <x:c r="X223" s="7" t="str">
        <x:v>대상: 적전체. 적전체에게 공격력*0.65배 만큼의 피해를 가합니다. 85%확률로 공격력 감소 25% 적용합니다. 85%확률로 약화효과 지속시간 증가 1턴 적용합니다.</x:v>
      </x:c>
      <x:c r="Y223" s="7" t="str">
        <x:v>Target: all enemies. Deals 0.65 × caster Attack damage to all enemies. 85% chance to apply Attack Down 25%. 85% chance to apply Debuff Duration Extension 1 turn.</x:v>
      </x:c>
      <x:c r="Z223" s="7" t="str">
        <x:v>공격|디버프</x:v>
      </x:c>
    </x:row>
    <x:row r="224" ht="115" customHeight="1">
      <x:c r="A224" s="7" t="str">
        <x:v>SKILL_0218</x:v>
      </x:c>
      <x:c r="B224" s="7" t="str">
        <x:v>저주 · 속도 감소의 일격</x:v>
      </x:c>
      <x:c r="C224" s="7"/>
      <x:c r="D224" s="7" t="str">
        <x:v>적</x:v>
      </x:c>
      <x:c r="E224" s="7" t="n">
        <x:v>0.77</x:v>
      </x:c>
      <x:c r="F224" s="7" t="n">
        <x:v>0.33</x:v>
      </x:c>
      <x:c r="G224" s="7" t="n">
        <x:v>0</x:v>
      </x:c>
      <x:c r="H224" s="7" t="n">
        <x:v>0</x:v>
      </x:c>
      <x:c r="I224" s="7" t="n">
        <x:v>0</x:v>
      </x:c>
      <x:c r="J224" s="7" t="n">
        <x:v>0</x:v>
      </x:c>
      <x:c r="K224" s="7" t="str">
        <x:v>CURSE</x:v>
      </x:c>
      <x:c r="L224" s="7" t="n">
        <x:v>0.2</x:v>
      </x:c>
      <x:c r="M224" s="8" t="n">
        <x:v>0.9</x:v>
      </x:c>
      <x:c r="N224" s="7" t="str">
        <x:v>SPEED_DOWN</x:v>
      </x:c>
      <x:c r="O224" s="7" t="n">
        <x:v>0.2</x:v>
      </x:c>
      <x:c r="P224" s="8" t="n">
        <x:v>0.9</x:v>
      </x:c>
      <x:c r="Q224" s="7"/>
      <x:c r="R224" s="7"/>
      <x:c r="S224" s="8"/>
      <x:c r="T224" s="7"/>
      <x:c r="U224" s="7"/>
      <x:c r="V224" s="8"/>
      <x:c r="W224" s="7" t="n">
        <x:v>2</x:v>
      </x:c>
      <x:c r="X224" s="7" t="str">
        <x:v>대상: 적. 적에게 공격력*0.77배 + 방어력*0.33배 만큼의 피해를 가합니다. 90%확률로 저주 20% 적용합니다. 90%확률로 속도 감소 20% 적용합니다.</x:v>
      </x:c>
      <x:c r="Y224" s="7" t="str">
        <x:v>Target: one enemy. Deals 0.77 × caster Attack + 0.33 × caster Defense damage to one enemy. 90% chance to apply Curse 20%. 90% chance to apply Speed Down 20%.</x:v>
      </x:c>
      <x:c r="Z224" s="7" t="str">
        <x:v>공격|디버프</x:v>
      </x:c>
    </x:row>
    <x:row r="225" ht="115" customHeight="1">
      <x:c r="A225" s="7" t="str">
        <x:v>SKILL_0219</x:v>
      </x:c>
      <x:c r="B225" s="7" t="str">
        <x:v>중독 · 방어력 감소의 일격</x:v>
      </x:c>
      <x:c r="C225" s="7"/>
      <x:c r="D225" s="7" t="str">
        <x:v>적</x:v>
      </x:c>
      <x:c r="E225" s="7" t="n">
        <x:v>0.715</x:v>
      </x:c>
      <x:c r="F225" s="7" t="n">
        <x:v>0</x:v>
      </x:c>
      <x:c r="G225" s="7" t="n">
        <x:v>0.385</x:v>
      </x:c>
      <x:c r="H225" s="7" t="n">
        <x:v>0</x:v>
      </x:c>
      <x:c r="I225" s="7" t="n">
        <x:v>0</x:v>
      </x:c>
      <x:c r="J225" s="7" t="n">
        <x:v>0</x:v>
      </x:c>
      <x:c r="K225" s="7" t="str">
        <x:v>POISON</x:v>
      </x:c>
      <x:c r="L225" s="7" t="n">
        <x:v>0.04</x:v>
      </x:c>
      <x:c r="M225" s="8" t="n">
        <x:v>0.9</x:v>
      </x:c>
      <x:c r="N225" s="7" t="str">
        <x:v>DEFENSE_DOWN</x:v>
      </x:c>
      <x:c r="O225" s="7" t="n">
        <x:v>0.3</x:v>
      </x:c>
      <x:c r="P225" s="8" t="n">
        <x:v>0.9</x:v>
      </x:c>
      <x:c r="Q225" s="7"/>
      <x:c r="R225" s="7"/>
      <x:c r="S225" s="8"/>
      <x:c r="T225" s="7"/>
      <x:c r="U225" s="7"/>
      <x:c r="V225" s="8"/>
      <x:c r="W225" s="7" t="n">
        <x:v>2</x:v>
      </x:c>
      <x:c r="X225" s="7" t="str">
        <x:v>대상: 적. 적에게 공격력*0.715배 + 속도*0.385배 만큼의 피해를 가합니다. 90%확률로 중독 4% 적용합니다. 90%확률로 방어력 감소 30% 적용합니다.</x:v>
      </x:c>
      <x:c r="Y225" s="7" t="str">
        <x:v>Target: one enemy. Deals 0.715 × caster Attack + 0.385 × caster Speed damage to one enemy. 90% chance to apply Poison 4%. 90% chance to apply Defense Down 30%.</x:v>
      </x:c>
      <x:c r="Z225" s="7" t="str">
        <x:v>공격|디버프</x:v>
      </x:c>
    </x:row>
    <x:row r="226" ht="115" customHeight="1">
      <x:c r="A226" s="7" t="str">
        <x:v>SKILL_0220</x:v>
      </x:c>
      <x:c r="B226" s="7" t="str">
        <x:v>강화 불가 · 반격 불가 · 흡혈의 일격</x:v>
      </x:c>
      <x:c r="C226" s="7"/>
      <x:c r="D226" s="7" t="str">
        <x:v>적전체</x:v>
      </x:c>
      <x:c r="E226" s="7" t="n">
        <x:v>0.412</x:v>
      </x:c>
      <x:c r="F226" s="7" t="n">
        <x:v>0</x:v>
      </x:c>
      <x:c r="G226" s="7" t="n">
        <x:v>0</x:v>
      </x:c>
      <x:c r="H226" s="7" t="n">
        <x:v>0.138</x:v>
      </x:c>
      <x:c r="I226" s="7" t="n">
        <x:v>0</x:v>
      </x:c>
      <x:c r="J226" s="7" t="n">
        <x:v>0</x:v>
      </x:c>
      <x:c r="K226" s="7" t="str">
        <x:v>BUFF_BLOCK</x:v>
      </x:c>
      <x:c r="L226" s="7" t="n">
        <x:v>1</x:v>
      </x:c>
      <x:c r="M226" s="8" t="n">
        <x:v>0.65</x:v>
      </x:c>
      <x:c r="N226" s="7" t="str">
        <x:v>COUNTERATTACK_BLOCK</x:v>
      </x:c>
      <x:c r="O226" s="7" t="n">
        <x:v>1</x:v>
      </x:c>
      <x:c r="P226" s="8" t="n">
        <x:v>0.65</x:v>
      </x:c>
      <x:c r="Q226" s="7" t="str">
        <x:v>LIFESTEAL</x:v>
      </x:c>
      <x:c r="R226" s="7" t="n">
        <x:v>0.24</x:v>
      </x:c>
      <x:c r="S226" s="8" t="n">
        <x:v>0.65</x:v>
      </x:c>
      <x:c r="T226" s="7"/>
      <x:c r="U226" s="7"/>
      <x:c r="V226" s="8"/>
      <x:c r="W226" s="7" t="n">
        <x:v>5</x:v>
      </x:c>
      <x:c r="X226" s="7" t="str">
        <x:v>대상: 적전체. 적전체에게 공격력*0.412배 + 생명력*0.138배 만큼의 피해를 가합니다. 65%확률로 강화 불가 적용합니다. 65%확률로 반격 불가 적용합니다. 65%확률로 흡혈 24% 획득합니다.</x:v>
      </x:c>
      <x:c r="Y226" s="7" t="str">
        <x:v>Target: all enemies. Deals 0.412 × caster Attack + 0.138 × caster max Health damage to all enemies. 65% chance to apply Unbuffable. 65% chance to apply Counterattack Block. 65% chance to gain Lifesteal 24%.</x:v>
      </x:c>
      <x:c r="Z226" s="7" t="str">
        <x:v>공격|회복|버프|디버프</x:v>
      </x:c>
    </x:row>
    <x:row r="227" ht="115" customHeight="1">
      <x:c r="A227" s="7" t="str">
        <x:v>SKILL_0221</x:v>
      </x:c>
      <x:c r="B227" s="7" t="str">
        <x:v>추가 턴 · 공격력 증가(대)의 의식</x:v>
      </x:c>
      <x:c r="C227" s="7"/>
      <x:c r="D227" s="7" t="str">
        <x:v>자신</x:v>
      </x:c>
      <x:c r="E227" s="7" t="n">
        <x:v>0</x:v>
      </x:c>
      <x:c r="F227" s="7" t="n">
        <x:v>0</x:v>
      </x:c>
      <x:c r="G227" s="7" t="n">
        <x:v>0</x:v>
      </x:c>
      <x:c r="H227" s="7" t="n">
        <x:v>0</x:v>
      </x:c>
      <x:c r="I227" s="7" t="n">
        <x:v>0</x:v>
      </x:c>
      <x:c r="J227" s="7" t="n">
        <x:v>0</x:v>
      </x:c>
      <x:c r="K227" s="7" t="str">
        <x:v>EXTRA_TURN</x:v>
      </x:c>
      <x:c r="L227" s="7" t="n">
        <x:v>1</x:v>
      </x:c>
      <x:c r="M227" s="8" t="n">
        <x:v>1</x:v>
      </x:c>
      <x:c r="N227" s="7" t="str">
        <x:v>ATTACK_UP_GREATER</x:v>
      </x:c>
      <x:c r="O227" s="7" t="n">
        <x:v>0.4</x:v>
      </x:c>
      <x:c r="P227" s="8" t="n">
        <x:v>1</x:v>
      </x:c>
      <x:c r="Q227" s="7"/>
      <x:c r="R227" s="7"/>
      <x:c r="S227" s="8"/>
      <x:c r="T227" s="7"/>
      <x:c r="U227" s="7"/>
      <x:c r="V227" s="8"/>
      <x:c r="W227" s="7" t="n">
        <x:v>5</x:v>
      </x:c>
      <x:c r="X227" s="7" t="str">
        <x:v>대상: 자신. 100%확률로 추가 턴 1턴 획득합니다. 100%확률로 공격력 증가(대) 40% 획득합니다.</x:v>
      </x:c>
      <x:c r="Y227" s="7" t="str">
        <x:v>Target: the caster. 100% chance to gain Extra Turn 1 turn. 100% chance to gain Greater Attack Up 40%.</x:v>
      </x:c>
      <x:c r="Z227" s="7" t="str">
        <x:v>버프</x:v>
      </x:c>
    </x:row>
    <x:row r="228" ht="115" customHeight="1">
      <x:c r="A228" s="7" t="str">
        <x:v>SKILL_0222</x:v>
      </x:c>
      <x:c r="B228" s="7" t="str">
        <x:v>상처 · 방어력 감소의 일격</x:v>
      </x:c>
      <x:c r="C228" s="7"/>
      <x:c r="D228" s="7" t="str">
        <x:v>적</x:v>
      </x:c>
      <x:c r="E228" s="7" t="n">
        <x:v>0.715</x:v>
      </x:c>
      <x:c r="F228" s="7" t="n">
        <x:v>0.385</x:v>
      </x:c>
      <x:c r="G228" s="7" t="n">
        <x:v>0</x:v>
      </x:c>
      <x:c r="H228" s="7" t="n">
        <x:v>0</x:v>
      </x:c>
      <x:c r="I228" s="7" t="n">
        <x:v>0</x:v>
      </x:c>
      <x:c r="J228" s="7" t="n">
        <x:v>0</x:v>
      </x:c>
      <x:c r="K228" s="7" t="str">
        <x:v>INJURY</x:v>
      </x:c>
      <x:c r="L228" s="7" t="n">
        <x:v>0.08</x:v>
      </x:c>
      <x:c r="M228" s="8" t="n">
        <x:v>0.9</x:v>
      </x:c>
      <x:c r="N228" s="7" t="str">
        <x:v>DEFENSE_DOWN</x:v>
      </x:c>
      <x:c r="O228" s="7" t="n">
        <x:v>0.3</x:v>
      </x:c>
      <x:c r="P228" s="8" t="n">
        <x:v>0.9</x:v>
      </x:c>
      <x:c r="Q228" s="7"/>
      <x:c r="R228" s="7"/>
      <x:c r="S228" s="8"/>
      <x:c r="T228" s="7"/>
      <x:c r="U228" s="7"/>
      <x:c r="V228" s="8"/>
      <x:c r="W228" s="7" t="n">
        <x:v>3</x:v>
      </x:c>
      <x:c r="X228" s="7" t="str">
        <x:v>대상: 적. 적에게 공격력*0.715배 + 방어력*0.385배 만큼의 피해를 가합니다. 90%확률로 상처 8% 적용합니다. 90%확률로 방어력 감소 30% 적용합니다.</x:v>
      </x:c>
      <x:c r="Y228" s="7" t="str">
        <x:v>Target: one enemy. Deals 0.715 × caster Attack + 0.385 × caster Defense damage to one enemy. 90% chance to apply Injury 8%. 90% chance to apply Defense Down 30%.</x:v>
      </x:c>
      <x:c r="Z228" s="7" t="str">
        <x:v>공격|디버프</x:v>
      </x:c>
    </x:row>
    <x:row r="229" ht="115" customHeight="1">
      <x:c r="A229" s="7" t="str">
        <x:v>SKILL_0223</x:v>
      </x:c>
      <x:c r="B229" s="7" t="str">
        <x:v>수면 · 저주 · 방어력 감소의 일격</x:v>
      </x:c>
      <x:c r="C229" s="7"/>
      <x:c r="D229" s="7" t="str">
        <x:v>적전체</x:v>
      </x:c>
      <x:c r="E229" s="7" t="n">
        <x:v>0.3</x:v>
      </x:c>
      <x:c r="F229" s="7" t="n">
        <x:v>0</x:v>
      </x:c>
      <x:c r="G229" s="7" t="n">
        <x:v>0.1</x:v>
      </x:c>
      <x:c r="H229" s="7" t="n">
        <x:v>0</x:v>
      </x:c>
      <x:c r="I229" s="7" t="n">
        <x:v>0</x:v>
      </x:c>
      <x:c r="J229" s="7" t="n">
        <x:v>0</x:v>
      </x:c>
      <x:c r="K229" s="7" t="str">
        <x:v>SLEEP</x:v>
      </x:c>
      <x:c r="L229" s="7" t="n">
        <x:v>1</x:v>
      </x:c>
      <x:c r="M229" s="8" t="n">
        <x:v>0.5</x:v>
      </x:c>
      <x:c r="N229" s="7" t="str">
        <x:v>CURSE</x:v>
      </x:c>
      <x:c r="O229" s="7" t="n">
        <x:v>0.16</x:v>
      </x:c>
      <x:c r="P229" s="8" t="n">
        <x:v>0.5</x:v>
      </x:c>
      <x:c r="Q229" s="7" t="str">
        <x:v>DEFENSE_DOWN</x:v>
      </x:c>
      <x:c r="R229" s="7" t="n">
        <x:v>0.24</x:v>
      </x:c>
      <x:c r="S229" s="8" t="n">
        <x:v>0.5</x:v>
      </x:c>
      <x:c r="T229" s="7"/>
      <x:c r="U229" s="7"/>
      <x:c r="V229" s="8"/>
      <x:c r="W229" s="7" t="n">
        <x:v>5</x:v>
      </x:c>
      <x:c r="X229" s="7" t="str">
        <x:v>대상: 적전체. 적전체에게 공격력*0.3배 + 속도*0.1배 만큼의 피해를 가합니다. 50%확률로 수면 적용합니다. 50%확률로 저주 16% 적용합니다. 50%확률로 방어력 감소 24% 적용합니다.</x:v>
      </x:c>
      <x:c r="Y229" s="7" t="str">
        <x:v>Target: all enemies. Deals 0.3 × caster Attack + 0.1 × caster Speed damage to all enemies. 50% chance to apply Sleep. 50% chance to apply Curse 16%. 50% chance to apply Defense Down 24%.</x:v>
      </x:c>
      <x:c r="Z229" s="7" t="str">
        <x:v>공격|디버프</x:v>
      </x:c>
    </x:row>
    <x:row r="230" ht="115" customHeight="1">
      <x:c r="A230" s="7" t="str">
        <x:v>SKILL_0224</x:v>
      </x:c>
      <x:c r="B230" s="7" t="str">
        <x:v>중독 · 상처의 일격</x:v>
      </x:c>
      <x:c r="C230" s="7"/>
      <x:c r="D230" s="7" t="str">
        <x:v>적</x:v>
      </x:c>
      <x:c r="E230" s="7" t="n">
        <x:v>0.77</x:v>
      </x:c>
      <x:c r="F230" s="7" t="n">
        <x:v>0</x:v>
      </x:c>
      <x:c r="G230" s="7" t="n">
        <x:v>0</x:v>
      </x:c>
      <x:c r="H230" s="7" t="n">
        <x:v>0.33</x:v>
      </x:c>
      <x:c r="I230" s="7" t="n">
        <x:v>0</x:v>
      </x:c>
      <x:c r="J230" s="7" t="n">
        <x:v>0</x:v>
      </x:c>
      <x:c r="K230" s="7" t="str">
        <x:v>POISON</x:v>
      </x:c>
      <x:c r="L230" s="7" t="n">
        <x:v>0.04</x:v>
      </x:c>
      <x:c r="M230" s="8" t="n">
        <x:v>0.9</x:v>
      </x:c>
      <x:c r="N230" s="7" t="str">
        <x:v>INJURY</x:v>
      </x:c>
      <x:c r="O230" s="7" t="n">
        <x:v>0.08</x:v>
      </x:c>
      <x:c r="P230" s="8" t="n">
        <x:v>0.9</x:v>
      </x:c>
      <x:c r="Q230" s="7"/>
      <x:c r="R230" s="7"/>
      <x:c r="S230" s="8"/>
      <x:c r="T230" s="7"/>
      <x:c r="U230" s="7"/>
      <x:c r="V230" s="8"/>
      <x:c r="W230" s="7" t="n">
        <x:v>2</x:v>
      </x:c>
      <x:c r="X230" s="7" t="str">
        <x:v>대상: 적. 적에게 공격력*0.77배 + 생명력*0.33배 만큼의 피해를 가합니다. 90%확률로 중독 4% 적용합니다. 90%확률로 상처 8% 적용합니다.</x:v>
      </x:c>
      <x:c r="Y230" s="7" t="str">
        <x:v>Target: one enemy. Deals 0.77 × caster Attack + 0.33 × caster max Health damage to one enemy. 90% chance to apply Poison 4%. 90% chance to apply Injury 8%.</x:v>
      </x:c>
      <x:c r="Z230" s="7" t="str">
        <x:v>공격|디버프</x:v>
      </x:c>
    </x:row>
    <x:row r="231" ht="115" customHeight="1">
      <x:c r="A231" s="7" t="str">
        <x:v>SKILL_0225</x:v>
      </x:c>
      <x:c r="B231" s="7" t="str">
        <x:v>공격력 감소 · 기절 — 스턴의 일격</x:v>
      </x:c>
      <x:c r="C231" s="7"/>
      <x:c r="D231" s="7" t="str">
        <x:v>적</x:v>
      </x:c>
      <x:c r="E231" s="7" t="n">
        <x:v>1.1</x:v>
      </x:c>
      <x:c r="F231" s="7" t="n">
        <x:v>0</x:v>
      </x:c>
      <x:c r="G231" s="7" t="n">
        <x:v>0</x:v>
      </x:c>
      <x:c r="H231" s="7" t="n">
        <x:v>0</x:v>
      </x:c>
      <x:c r="I231" s="7" t="n">
        <x:v>0</x:v>
      </x:c>
      <x:c r="J231" s="7" t="n">
        <x:v>0</x:v>
      </x:c>
      <x:c r="K231" s="7" t="str">
        <x:v>ATTACK_DOWN</x:v>
      </x:c>
      <x:c r="L231" s="7" t="n">
        <x:v>0.25</x:v>
      </x:c>
      <x:c r="M231" s="8" t="n">
        <x:v>0.9</x:v>
      </x:c>
      <x:c r="N231" s="7" t="str">
        <x:v>STUN</x:v>
      </x:c>
      <x:c r="O231" s="7" t="n">
        <x:v>1</x:v>
      </x:c>
      <x:c r="P231" s="8" t="n">
        <x:v>0.9</x:v>
      </x:c>
      <x:c r="Q231" s="7"/>
      <x:c r="R231" s="7"/>
      <x:c r="S231" s="8"/>
      <x:c r="T231" s="7"/>
      <x:c r="U231" s="7"/>
      <x:c r="V231" s="8"/>
      <x:c r="W231" s="7" t="n">
        <x:v>3</x:v>
      </x:c>
      <x:c r="X231" s="7" t="str">
        <x:v>대상: 적. 적에게 공격력*1.1배 만큼의 피해를 가합니다. 90%확률로 공격력 감소 25% 적용합니다. 90%확률로 기절 — 스턴 적용합니다.</x:v>
      </x:c>
      <x:c r="Y231" s="7" t="str">
        <x:v>Target: one enemy. Deals 1.1 × caster Attack damage to one enemy. 90% chance to apply Attack Down 25%. 90% chance to apply Stun.</x:v>
      </x:c>
      <x:c r="Z231" s="7" t="str">
        <x:v>공격|디버프</x:v>
      </x:c>
    </x:row>
    <x:row r="232" ht="115" customHeight="1">
      <x:c r="A232" s="7" t="str">
        <x:v>SKILL_0226</x:v>
      </x:c>
      <x:c r="B232" s="7" t="str">
        <x:v>상처 · 추가 공격 · 추가 피해의 일격</x:v>
      </x:c>
      <x:c r="C232" s="7"/>
      <x:c r="D232" s="7" t="str">
        <x:v>적전체</x:v>
      </x:c>
      <x:c r="E232" s="7" t="n">
        <x:v>0.525</x:v>
      </x:c>
      <x:c r="F232" s="7" t="n">
        <x:v>0.175</x:v>
      </x:c>
      <x:c r="G232" s="7" t="n">
        <x:v>0</x:v>
      </x:c>
      <x:c r="H232" s="7" t="n">
        <x:v>0</x:v>
      </x:c>
      <x:c r="I232" s="7" t="n">
        <x:v>0</x:v>
      </x:c>
      <x:c r="J232" s="7" t="n">
        <x:v>0</x:v>
      </x:c>
      <x:c r="K232" s="7" t="str">
        <x:v>INJURY</x:v>
      </x:c>
      <x:c r="L232" s="7" t="n">
        <x:v>0.064</x:v>
      </x:c>
      <x:c r="M232" s="8" t="n">
        <x:v>0.8</x:v>
      </x:c>
      <x:c r="N232" s="7" t="str">
        <x:v>EXTRA_ATTACK</x:v>
      </x:c>
      <x:c r="O232" s="7" t="n">
        <x:v>0.28</x:v>
      </x:c>
      <x:c r="P232" s="8" t="n">
        <x:v>0.8</x:v>
      </x:c>
      <x:c r="Q232" s="7" t="str">
        <x:v>ADDITIONAL_DAMAGE</x:v>
      </x:c>
      <x:c r="R232" s="7" t="n">
        <x:v>0.2</x:v>
      </x:c>
      <x:c r="S232" s="8" t="n">
        <x:v>0.8</x:v>
      </x:c>
      <x:c r="T232" s="7"/>
      <x:c r="U232" s="7"/>
      <x:c r="V232" s="8"/>
      <x:c r="W232" s="7" t="n">
        <x:v>5</x:v>
      </x:c>
      <x:c r="X232" s="7" t="str">
        <x:v>대상: 적전체. 적전체에게 공격력*0.525배 + 방어력*0.175배 만큼의 피해를 가합니다. 80%확률로 상처 6.4% 적용합니다. 80%확률로 추가 공격 28% 적용합니다. 80%확률로 추가 피해 20% 적용합니다.</x:v>
      </x:c>
      <x:c r="Y232" s="7" t="str">
        <x:v>Target: all enemies. Deals 0.525 × caster Attack + 0.175 × caster Defense damage to all enemies. 80% chance to apply Injury 6.4%. 80% chance to apply Extra Attack 28%. 80% chance to apply Additional Damage 20%.</x:v>
      </x:c>
      <x:c r="Z232" s="7" t="str">
        <x:v>공격|디버프</x:v>
      </x:c>
    </x:row>
    <x:row r="233" ht="115" customHeight="1">
      <x:c r="A233" s="7" t="str">
        <x:v>SKILL_0227</x:v>
      </x:c>
      <x:c r="B233" s="7" t="str">
        <x:v>상처 · 추가 피해 · 흡혈 · 약화효과 전이의 일격</x:v>
      </x:c>
      <x:c r="C233" s="7"/>
      <x:c r="D233" s="7" t="str">
        <x:v>적</x:v>
      </x:c>
      <x:c r="E233" s="7" t="n">
        <x:v>0.77</x:v>
      </x:c>
      <x:c r="F233" s="7" t="n">
        <x:v>0</x:v>
      </x:c>
      <x:c r="G233" s="7" t="n">
        <x:v>0.33</x:v>
      </x:c>
      <x:c r="H233" s="7" t="n">
        <x:v>0</x:v>
      </x:c>
      <x:c r="I233" s="7" t="n">
        <x:v>0</x:v>
      </x:c>
      <x:c r="J233" s="7" t="n">
        <x:v>0</x:v>
      </x:c>
      <x:c r="K233" s="7" t="str">
        <x:v>INJURY</x:v>
      </x:c>
      <x:c r="L233" s="7" t="n">
        <x:v>0.052</x:v>
      </x:c>
      <x:c r="M233" s="8" t="n">
        <x:v>0.7</x:v>
      </x:c>
      <x:c r="N233" s="7" t="str">
        <x:v>ADDITIONAL_DAMAGE</x:v>
      </x:c>
      <x:c r="O233" s="7" t="n">
        <x:v>0.163</x:v>
      </x:c>
      <x:c r="P233" s="8" t="n">
        <x:v>0.7</x:v>
      </x:c>
      <x:c r="Q233" s="7" t="str">
        <x:v>LIFESTEAL</x:v>
      </x:c>
      <x:c r="R233" s="7" t="n">
        <x:v>0.195</x:v>
      </x:c>
      <x:c r="S233" s="8" t="n">
        <x:v>0.7</x:v>
      </x:c>
      <x:c r="T233" s="7" t="str">
        <x:v>TRANSFER_DEBUFF</x:v>
      </x:c>
      <x:c r="U233" s="7" t="n">
        <x:v>1</x:v>
      </x:c>
      <x:c r="V233" s="8" t="n">
        <x:v>0.7</x:v>
      </x:c>
      <x:c r="W233" s="7" t="n">
        <x:v>3</x:v>
      </x:c>
      <x:c r="X233" s="7" t="str">
        <x:v>대상: 적. 적에게 공격력*0.77배 + 속도*0.33배 만큼의 피해를 가합니다. 70%확률로 상처 5.2% 적용합니다. 70%확률로 추가 피해 16.3% 적용합니다. 70%확률로 흡혈 19.5% 획득합니다. 70%확률로 약화효과 전이 1개 적용합니다.</x:v>
      </x:c>
      <x:c r="Y233" s="7" t="str">
        <x:v>Target: one enemy. Deals 0.77 × caster Attack + 0.33 × caster Speed damage to one enemy. 70% chance to apply Injury 5.2%. 70% chance to apply Additional Damage 16.3%. 70% chance to gain Lifesteal 19.5%. 70% chance to apply Debuff Transfer 1 count.</x:v>
      </x:c>
      <x:c r="Z233" s="7" t="str">
        <x:v>공격|회복|버프|디버프</x:v>
      </x:c>
    </x:row>
    <x:row r="234" ht="115" customHeight="1">
      <x:c r="A234" s="7" t="str">
        <x:v>SKILL_0228</x:v>
      </x:c>
      <x:c r="B234" s="7" t="str">
        <x:v>스킬 쿨타임 증가 · 소멸 · 추가 공격 · 기절 — 스턴의 일격</x:v>
      </x:c>
      <x:c r="C234" s="7"/>
      <x:c r="D234" s="7" t="str">
        <x:v>적</x:v>
      </x:c>
      <x:c r="E234" s="7" t="n">
        <x:v>0.682</x:v>
      </x:c>
      <x:c r="F234" s="7" t="n">
        <x:v>0</x:v>
      </x:c>
      <x:c r="G234" s="7" t="n">
        <x:v>0</x:v>
      </x:c>
      <x:c r="H234" s="7" t="n">
        <x:v>0.368</x:v>
      </x:c>
      <x:c r="I234" s="7" t="n">
        <x:v>0</x:v>
      </x:c>
      <x:c r="J234" s="7" t="n">
        <x:v>0</x:v>
      </x:c>
      <x:c r="K234" s="7" t="str">
        <x:v>SKILL_COOLDOWN_UP</x:v>
      </x:c>
      <x:c r="L234" s="7" t="n">
        <x:v>1</x:v>
      </x:c>
      <x:c r="M234" s="8" t="n">
        <x:v>0.65</x:v>
      </x:c>
      <x:c r="N234" s="7" t="str">
        <x:v>EXTINCTION</x:v>
      </x:c>
      <x:c r="O234" s="7" t="n">
        <x:v>1</x:v>
      </x:c>
      <x:c r="P234" s="8" t="n">
        <x:v>0.65</x:v>
      </x:c>
      <x:c r="Q234" s="7" t="str">
        <x:v>EXTRA_ATTACK</x:v>
      </x:c>
      <x:c r="R234" s="7" t="n">
        <x:v>0.227</x:v>
      </x:c>
      <x:c r="S234" s="8" t="n">
        <x:v>0.65</x:v>
      </x:c>
      <x:c r="T234" s="7" t="str">
        <x:v>STUN</x:v>
      </x:c>
      <x:c r="U234" s="7" t="n">
        <x:v>1</x:v>
      </x:c>
      <x:c r="V234" s="8" t="n">
        <x:v>0.65</x:v>
      </x:c>
      <x:c r="W234" s="7" t="n">
        <x:v>5</x:v>
      </x:c>
      <x:c r="X234" s="7" t="str">
        <x:v>대상: 적. 적에게 공격력*0.682배 + 생명력*0.368배 만큼의 피해를 가합니다. 65%확률로 스킬 쿨타임 증가 1턴 적용합니다. 65%확률로 소멸 적용합니다. 65%확률로 추가 공격 22.7% 적용합니다. 65%확률로 기절 — 스턴 적용합니다.</x:v>
      </x:c>
      <x:c r="Y234" s="7" t="str">
        <x:v>Target: one enemy. Deals 0.682 × caster Attack + 0.368 × caster max Health damage to one enemy. 65% chance to apply Skill Cooldown Increase 1 turn. 65% chance to apply Extinction. 65% chance to apply Extra Attack 22.7%. 65% chance to apply Stun.</x:v>
      </x:c>
      <x:c r="Z234" s="7" t="str">
        <x:v>공격|디버프</x:v>
      </x:c>
    </x:row>
    <x:row r="235" ht="115" customHeight="1">
      <x:c r="A235" s="7" t="str">
        <x:v>SKILL_0229</x:v>
      </x:c>
      <x:c r="B235" s="7" t="str">
        <x:v>부활 불가 · 방어력 감소 · 출혈의 일격</x:v>
      </x:c>
      <x:c r="C235" s="7"/>
      <x:c r="D235" s="7" t="str">
        <x:v>적전체</x:v>
      </x:c>
      <x:c r="E235" s="7" t="n">
        <x:v>0.5</x:v>
      </x:c>
      <x:c r="F235" s="7" t="n">
        <x:v>0</x:v>
      </x:c>
      <x:c r="G235" s="7" t="n">
        <x:v>0</x:v>
      </x:c>
      <x:c r="H235" s="7" t="n">
        <x:v>0</x:v>
      </x:c>
      <x:c r="I235" s="7" t="n">
        <x:v>0</x:v>
      </x:c>
      <x:c r="J235" s="7" t="n">
        <x:v>0</x:v>
      </x:c>
      <x:c r="K235" s="7" t="str">
        <x:v>REVIVE_BLOCK</x:v>
      </x:c>
      <x:c r="L235" s="7" t="n">
        <x:v>1</x:v>
      </x:c>
      <x:c r="M235" s="8" t="n">
        <x:v>0.6</x:v>
      </x:c>
      <x:c r="N235" s="7" t="str">
        <x:v>DEFENSE_DOWN</x:v>
      </x:c>
      <x:c r="O235" s="7" t="n">
        <x:v>0.24</x:v>
      </x:c>
      <x:c r="P235" s="8" t="n">
        <x:v>0.6</x:v>
      </x:c>
      <x:c r="Q235" s="7" t="str">
        <x:v>BLEED</x:v>
      </x:c>
      <x:c r="R235" s="7" t="n">
        <x:v>0.16</x:v>
      </x:c>
      <x:c r="S235" s="8" t="n">
        <x:v>0.6</x:v>
      </x:c>
      <x:c r="T235" s="7"/>
      <x:c r="U235" s="7"/>
      <x:c r="V235" s="8"/>
      <x:c r="W235" s="7" t="n">
        <x:v>5</x:v>
      </x:c>
      <x:c r="X235" s="7" t="str">
        <x:v>대상: 적전체. 적전체에게 공격력*0.5배 만큼의 피해를 가합니다. 60%확률로 부활 불가 적용합니다. 60%확률로 방어력 감소 24% 적용합니다. 60%확률로 출혈 16% 적용합니다.</x:v>
      </x:c>
      <x:c r="Y235" s="7" t="str">
        <x:v>Target: all enemies. Deals 0.5 × caster Attack damage to all enemies. 60% chance to apply Revive Block. 60% chance to apply Defense Down 24%. 60% chance to apply Bleed 16%.</x:v>
      </x:c>
      <x:c r="Z235" s="7" t="str">
        <x:v>공격|디버프</x:v>
      </x:c>
    </x:row>
    <x:row r="236" ht="115" customHeight="1">
      <x:c r="A236" s="7" t="str">
        <x:v>SKILL_0230</x:v>
      </x:c>
      <x:c r="B236" s="7" t="str">
        <x:v>저주 · 방어력 관통 · 강화 불가 · 표적의 일격</x:v>
      </x:c>
      <x:c r="C236" s="7"/>
      <x:c r="D236" s="7" t="str">
        <x:v>적</x:v>
      </x:c>
      <x:c r="E236" s="7" t="n">
        <x:v>0.77</x:v>
      </x:c>
      <x:c r="F236" s="7" t="n">
        <x:v>0.33</x:v>
      </x:c>
      <x:c r="G236" s="7" t="n">
        <x:v>0</x:v>
      </x:c>
      <x:c r="H236" s="7" t="n">
        <x:v>0</x:v>
      </x:c>
      <x:c r="I236" s="7" t="n">
        <x:v>0</x:v>
      </x:c>
      <x:c r="J236" s="7" t="n">
        <x:v>0</x:v>
      </x:c>
      <x:c r="K236" s="7" t="str">
        <x:v>CURSE</x:v>
      </x:c>
      <x:c r="L236" s="7" t="n">
        <x:v>0.13</x:v>
      </x:c>
      <x:c r="M236" s="8" t="n">
        <x:v>0.7</x:v>
      </x:c>
      <x:c r="N236" s="7" t="str">
        <x:v>DEFENSE_PENETRATION</x:v>
      </x:c>
      <x:c r="O236" s="7" t="n">
        <x:v>0.195</x:v>
      </x:c>
      <x:c r="P236" s="8" t="n">
        <x:v>0.7</x:v>
      </x:c>
      <x:c r="Q236" s="7" t="str">
        <x:v>BUFF_BLOCK</x:v>
      </x:c>
      <x:c r="R236" s="7" t="n">
        <x:v>1</x:v>
      </x:c>
      <x:c r="S236" s="8" t="n">
        <x:v>0.7</x:v>
      </x:c>
      <x:c r="T236" s="7" t="str">
        <x:v>TARGET</x:v>
      </x:c>
      <x:c r="U236" s="7" t="n">
        <x:v>0.098</x:v>
      </x:c>
      <x:c r="V236" s="8" t="n">
        <x:v>0.7</x:v>
      </x:c>
      <x:c r="W236" s="7" t="n">
        <x:v>3</x:v>
      </x:c>
      <x:c r="X236" s="7" t="str">
        <x:v>대상: 적. 적에게 공격력*0.77배 + 방어력*0.33배 만큼의 피해를 가합니다. 70%확률로 저주 13% 적용합니다. 70%확률로 방어력 관통 19.5% 적용합니다. 70%확률로 강화 불가 적용합니다. 70%확률로 표적 9.8% 적용합니다.</x:v>
      </x:c>
      <x:c r="Y236" s="7" t="str">
        <x:v>Target: one enemy. Deals 0.77 × caster Attack + 0.33 × caster Defense damage to one enemy. 70% chance to apply Curse 13%. 70% chance to apply Defense Penetration 19.5%. 70% chance to apply Unbuffable. 70% chance to apply Target 9.8%.</x:v>
      </x:c>
      <x:c r="Z236" s="7" t="str">
        <x:v>공격|디버프</x:v>
      </x:c>
    </x:row>
    <x:row r="237" ht="115" customHeight="1">
      <x:c r="A237" s="7" t="str">
        <x:v>SKILL_0231</x:v>
      </x:c>
      <x:c r="B237" s="7" t="str">
        <x:v>출혈 · 반격 불가 · 방어력 감소 · 명중 감소의 일격</x:v>
      </x:c>
      <x:c r="C237" s="7"/>
      <x:c r="D237" s="7" t="str">
        <x:v>적</x:v>
      </x:c>
      <x:c r="E237" s="7" t="n">
        <x:v>0.715</x:v>
      </x:c>
      <x:c r="F237" s="7" t="n">
        <x:v>0</x:v>
      </x:c>
      <x:c r="G237" s="7" t="n">
        <x:v>0.385</x:v>
      </x:c>
      <x:c r="H237" s="7" t="n">
        <x:v>0</x:v>
      </x:c>
      <x:c r="I237" s="7" t="n">
        <x:v>0</x:v>
      </x:c>
      <x:c r="J237" s="7" t="n">
        <x:v>0</x:v>
      </x:c>
      <x:c r="K237" s="7" t="str">
        <x:v>BLEED</x:v>
      </x:c>
      <x:c r="L237" s="7" t="n">
        <x:v>0.13</x:v>
      </x:c>
      <x:c r="M237" s="8" t="n">
        <x:v>0.7</x:v>
      </x:c>
      <x:c r="N237" s="7" t="str">
        <x:v>COUNTERATTACK_BLOCK</x:v>
      </x:c>
      <x:c r="O237" s="7" t="n">
        <x:v>1</x:v>
      </x:c>
      <x:c r="P237" s="8" t="n">
        <x:v>0.7</x:v>
      </x:c>
      <x:c r="Q237" s="7" t="str">
        <x:v>DEFENSE_DOWN</x:v>
      </x:c>
      <x:c r="R237" s="7" t="n">
        <x:v>0.195</x:v>
      </x:c>
      <x:c r="S237" s="8" t="n">
        <x:v>0.7</x:v>
      </x:c>
      <x:c r="T237" s="7" t="str">
        <x:v>HIT_CHANCE_DOWN</x:v>
      </x:c>
      <x:c r="U237" s="7" t="n">
        <x:v>0.13</x:v>
      </x:c>
      <x:c r="V237" s="8" t="n">
        <x:v>0.7</x:v>
      </x:c>
      <x:c r="W237" s="7" t="n">
        <x:v>3</x:v>
      </x:c>
      <x:c r="X237" s="7" t="str">
        <x:v>대상: 적. 적에게 공격력*0.715배 + 속도*0.385배 만큼의 피해를 가합니다. 70%확률로 출혈 13% 적용합니다. 70%확률로 반격 불가 적용합니다. 70%확률로 방어력 감소 19.5% 적용합니다. 70%확률로 명중 감소 13% 적용합니다.</x:v>
      </x:c>
      <x:c r="Y237" s="7" t="str">
        <x:v>Target: one enemy. Deals 0.715 × caster Attack + 0.385 × caster Speed damage to one enemy. 70% chance to apply Bleed 13%. 70% chance to apply Counterattack Block. 70% chance to apply Defense Down 19.5%. 70% chance to apply Hit Chance Down 13%.</x:v>
      </x:c>
      <x:c r="Z237" s="7" t="str">
        <x:v>공격|디버프</x:v>
      </x:c>
    </x:row>
    <x:row r="238" ht="115" customHeight="1">
      <x:c r="A238" s="7" t="str">
        <x:v>SKILL_0232</x:v>
      </x:c>
      <x:c r="B238" s="7" t="str">
        <x:v>상처 · 강화효과 지속시간 감소 · 방어력 감소의 일격</x:v>
      </x:c>
      <x:c r="C238" s="7"/>
      <x:c r="D238" s="7" t="str">
        <x:v>적전체</x:v>
      </x:c>
      <x:c r="E238" s="7" t="n">
        <x:v>0.412</x:v>
      </x:c>
      <x:c r="F238" s="7" t="n">
        <x:v>0</x:v>
      </x:c>
      <x:c r="G238" s="7" t="n">
        <x:v>0</x:v>
      </x:c>
      <x:c r="H238" s="7" t="n">
        <x:v>0.138</x:v>
      </x:c>
      <x:c r="I238" s="7" t="n">
        <x:v>0</x:v>
      </x:c>
      <x:c r="J238" s="7" t="n">
        <x:v>0</x:v>
      </x:c>
      <x:c r="K238" s="7" t="str">
        <x:v>INJURY</x:v>
      </x:c>
      <x:c r="L238" s="7" t="n">
        <x:v>0.064</x:v>
      </x:c>
      <x:c r="M238" s="8" t="n">
        <x:v>0.65</x:v>
      </x:c>
      <x:c r="N238" s="7" t="str">
        <x:v>BUFF_DURATION_DOWN</x:v>
      </x:c>
      <x:c r="O238" s="7" t="n">
        <x:v>1</x:v>
      </x:c>
      <x:c r="P238" s="8" t="n">
        <x:v>0.65</x:v>
      </x:c>
      <x:c r="Q238" s="7" t="str">
        <x:v>DEFENSE_DOWN</x:v>
      </x:c>
      <x:c r="R238" s="7" t="n">
        <x:v>0.24</x:v>
      </x:c>
      <x:c r="S238" s="8" t="n">
        <x:v>0.65</x:v>
      </x:c>
      <x:c r="T238" s="7"/>
      <x:c r="U238" s="7"/>
      <x:c r="V238" s="8"/>
      <x:c r="W238" s="7" t="n">
        <x:v>5</x:v>
      </x:c>
      <x:c r="X238" s="7" t="str">
        <x:v>대상: 적전체. 적전체에게 공격력*0.412배 + 생명력*0.138배 만큼의 피해를 가합니다. 65%확률로 상처 6.4% 적용합니다. 65%확률로 강화효과 지속시간 감소 1턴 적용합니다. 65%확률로 방어력 감소 24% 적용합니다.</x:v>
      </x:c>
      <x:c r="Y238" s="7" t="str">
        <x:v>Target: all enemies. Deals 0.412 × caster Attack + 0.138 × caster max Health damage to all enemies. 65% chance to apply Injury 6.4%. 65% chance to apply Buff Duration Reduction 1 turn. 65% chance to apply Defense Down 24%.</x:v>
      </x:c>
      <x:c r="Z238" s="7" t="str">
        <x:v>공격|디버프</x:v>
      </x:c>
    </x:row>
    <x:row r="239" ht="115" customHeight="1">
      <x:c r="A239" s="7" t="str">
        <x:v>SKILL_0233</x:v>
      </x:c>
      <x:c r="B239" s="7" t="str">
        <x:v>중독 · 스킬 쿨타임 증가 · 속도 감소 · 반격 불가의 일격</x:v>
      </x:c>
      <x:c r="C239" s="7"/>
      <x:c r="D239" s="7" t="str">
        <x:v>적</x:v>
      </x:c>
      <x:c r="E239" s="7" t="n">
        <x:v>1.1</x:v>
      </x:c>
      <x:c r="F239" s="7" t="n">
        <x:v>0</x:v>
      </x:c>
      <x:c r="G239" s="7" t="n">
        <x:v>0</x:v>
      </x:c>
      <x:c r="H239" s="7" t="n">
        <x:v>0</x:v>
      </x:c>
      <x:c r="I239" s="7" t="n">
        <x:v>0</x:v>
      </x:c>
      <x:c r="J239" s="7" t="n">
        <x:v>0</x:v>
      </x:c>
      <x:c r="K239" s="7" t="str">
        <x:v>POISON</x:v>
      </x:c>
      <x:c r="L239" s="7" t="n">
        <x:v>0.026</x:v>
      </x:c>
      <x:c r="M239" s="8" t="n">
        <x:v>0.7</x:v>
      </x:c>
      <x:c r="N239" s="7" t="str">
        <x:v>SKILL_COOLDOWN_UP</x:v>
      </x:c>
      <x:c r="O239" s="7" t="n">
        <x:v>1</x:v>
      </x:c>
      <x:c r="P239" s="8" t="n">
        <x:v>0.7</x:v>
      </x:c>
      <x:c r="Q239" s="7" t="str">
        <x:v>SPEED_DOWN</x:v>
      </x:c>
      <x:c r="R239" s="7" t="n">
        <x:v>0.13</x:v>
      </x:c>
      <x:c r="S239" s="8" t="n">
        <x:v>0.7</x:v>
      </x:c>
      <x:c r="T239" s="7" t="str">
        <x:v>COUNTERATTACK_BLOCK</x:v>
      </x:c>
      <x:c r="U239" s="7" t="n">
        <x:v>1</x:v>
      </x:c>
      <x:c r="V239" s="8" t="n">
        <x:v>0.7</x:v>
      </x:c>
      <x:c r="W239" s="7" t="n">
        <x:v>4</x:v>
      </x:c>
      <x:c r="X239" s="7" t="str">
        <x:v>대상: 적. 적에게 공격력*1.1배 만큼의 피해를 가합니다. 70%확률로 중독 2.6% 적용합니다. 70%확률로 스킬 쿨타임 증가 1턴 적용합니다. 70%확률로 속도 감소 13% 적용합니다. 70%확률로 반격 불가 적용합니다.</x:v>
      </x:c>
      <x:c r="Y239" s="7" t="str">
        <x:v>Target: one enemy. Deals 1.1 × caster Attack damage to one enemy. 70% chance to apply Poison 2.6%. 70% chance to apply Skill Cooldown Increase 1 turn. 70% chance to apply Speed Down 13%. 70% chance to apply Counterattack Block.</x:v>
      </x:c>
      <x:c r="Z239" s="7" t="str">
        <x:v>공격|디버프</x:v>
      </x:c>
    </x:row>
    <x:row r="240" ht="115" customHeight="1">
      <x:c r="A240" s="7" t="str">
        <x:v>SKILL_0234</x:v>
      </x:c>
      <x:c r="B240" s="7" t="str">
        <x:v>출혈 · 명중 감소 · 표적 · 강화효과 해제의 일격</x:v>
      </x:c>
      <x:c r="C240" s="7"/>
      <x:c r="D240" s="7" t="str">
        <x:v>적</x:v>
      </x:c>
      <x:c r="E240" s="7" t="n">
        <x:v>0.715</x:v>
      </x:c>
      <x:c r="F240" s="7" t="n">
        <x:v>0.385</x:v>
      </x:c>
      <x:c r="G240" s="7" t="n">
        <x:v>0</x:v>
      </x:c>
      <x:c r="H240" s="7" t="n">
        <x:v>0</x:v>
      </x:c>
      <x:c r="I240" s="7" t="n">
        <x:v>0</x:v>
      </x:c>
      <x:c r="J240" s="7" t="n">
        <x:v>0</x:v>
      </x:c>
      <x:c r="K240" s="7" t="str">
        <x:v>BLEED</x:v>
      </x:c>
      <x:c r="L240" s="7" t="n">
        <x:v>0.13</x:v>
      </x:c>
      <x:c r="M240" s="8" t="n">
        <x:v>0.7</x:v>
      </x:c>
      <x:c r="N240" s="7" t="str">
        <x:v>HIT_CHANCE_DOWN</x:v>
      </x:c>
      <x:c r="O240" s="7" t="n">
        <x:v>0.13</x:v>
      </x:c>
      <x:c r="P240" s="8" t="n">
        <x:v>0.7</x:v>
      </x:c>
      <x:c r="Q240" s="7" t="str">
        <x:v>TARGET</x:v>
      </x:c>
      <x:c r="R240" s="7" t="n">
        <x:v>0.098</x:v>
      </x:c>
      <x:c r="S240" s="8" t="n">
        <x:v>0.7</x:v>
      </x:c>
      <x:c r="T240" s="7" t="str">
        <x:v>DISPEL_BUFF</x:v>
      </x:c>
      <x:c r="U240" s="7" t="n">
        <x:v>1</x:v>
      </x:c>
      <x:c r="V240" s="8" t="n">
        <x:v>0.7</x:v>
      </x:c>
      <x:c r="W240" s="7" t="n">
        <x:v>3</x:v>
      </x:c>
      <x:c r="X240" s="7" t="str">
        <x:v>대상: 적. 적에게 공격력*0.715배 + 방어력*0.385배 만큼의 피해를 가합니다. 70%확률로 출혈 13% 적용합니다. 70%확률로 명중 감소 13% 적용합니다. 70%확률로 표적 9.8% 적용합니다. 70%확률로 강화효과 해제 1개 적용합니다.</x:v>
      </x:c>
      <x:c r="Y240" s="7" t="str">
        <x:v>Target: one enemy. Deals 0.715 × caster Attack + 0.385 × caster Defense damage to one enemy. 70% chance to apply Bleed 13%. 70% chance to apply Hit Chance Down 13%. 70% chance to apply Target 9.8%. 70% chance to apply Dispel Buff 1 count.</x:v>
      </x:c>
      <x:c r="Z240" s="7" t="str">
        <x:v>공격|디버프</x:v>
      </x:c>
    </x:row>
    <x:row r="241" ht="115" customHeight="1">
      <x:c r="A241" s="7" t="str">
        <x:v>SKILL_0235</x:v>
      </x:c>
      <x:c r="B241" s="7" t="str">
        <x:v>부활 불가 · 약화효과 전이 · 강화효과 해제의 일격</x:v>
      </x:c>
      <x:c r="C241" s="7"/>
      <x:c r="D241" s="7" t="str">
        <x:v>적</x:v>
      </x:c>
      <x:c r="E241" s="7" t="n">
        <x:v>0.825</x:v>
      </x:c>
      <x:c r="F241" s="7" t="n">
        <x:v>0</x:v>
      </x:c>
      <x:c r="G241" s="7" t="n">
        <x:v>0.275</x:v>
      </x:c>
      <x:c r="H241" s="7" t="n">
        <x:v>0</x:v>
      </x:c>
      <x:c r="I241" s="7" t="n">
        <x:v>0</x:v>
      </x:c>
      <x:c r="J241" s="7" t="n">
        <x:v>0</x:v>
      </x:c>
      <x:c r="K241" s="7" t="str">
        <x:v>REVIVE_BLOCK</x:v>
      </x:c>
      <x:c r="L241" s="7" t="n">
        <x:v>1</x:v>
      </x:c>
      <x:c r="M241" s="8" t="n">
        <x:v>0.8</x:v>
      </x:c>
      <x:c r="N241" s="7" t="str">
        <x:v>TRANSFER_DEBUFF</x:v>
      </x:c>
      <x:c r="O241" s="7" t="n">
        <x:v>1</x:v>
      </x:c>
      <x:c r="P241" s="8" t="n">
        <x:v>0.8</x:v>
      </x:c>
      <x:c r="Q241" s="7" t="str">
        <x:v>DISPEL_BUFF</x:v>
      </x:c>
      <x:c r="R241" s="7" t="n">
        <x:v>1</x:v>
      </x:c>
      <x:c r="S241" s="8" t="n">
        <x:v>0.8</x:v>
      </x:c>
      <x:c r="T241" s="7"/>
      <x:c r="U241" s="7"/>
      <x:c r="V241" s="8"/>
      <x:c r="W241" s="7" t="n">
        <x:v>4</x:v>
      </x:c>
      <x:c r="X241" s="7" t="str">
        <x:v>대상: 적. 적에게 공격력*0.825배 + 속도*0.275배 만큼의 피해를 가합니다. 80%확률로 부활 불가 적용합니다. 80%확률로 약화효과 전이 1개 적용합니다. 80%확률로 강화효과 해제 1개 적용합니다.</x:v>
      </x:c>
      <x:c r="Y241" s="7" t="str">
        <x:v>Target: one enemy. Deals 0.825 × caster Attack + 0.275 × caster Speed damage to one enemy. 80% chance to apply Revive Block. 80% chance to apply Debuff Transfer 1 count. 80% chance to apply Dispel Buff 1 count.</x:v>
      </x:c>
      <x:c r="Z241" s="7" t="str">
        <x:v>공격|디버프</x:v>
      </x:c>
    </x:row>
    <x:row r="242" ht="115" customHeight="1">
      <x:c r="A242" s="7" t="str">
        <x:v>SKILL_0236</x:v>
      </x:c>
      <x:c r="B242" s="7" t="str">
        <x:v>강화 불가 · 회복 불가의 일격</x:v>
      </x:c>
      <x:c r="C242" s="7"/>
      <x:c r="D242" s="7" t="str">
        <x:v>적</x:v>
      </x:c>
      <x:c r="E242" s="7" t="n">
        <x:v>0.77</x:v>
      </x:c>
      <x:c r="F242" s="7" t="n">
        <x:v>0</x:v>
      </x:c>
      <x:c r="G242" s="7" t="n">
        <x:v>0</x:v>
      </x:c>
      <x:c r="H242" s="7" t="n">
        <x:v>0.33</x:v>
      </x:c>
      <x:c r="I242" s="7" t="n">
        <x:v>0</x:v>
      </x:c>
      <x:c r="J242" s="7" t="n">
        <x:v>0</x:v>
      </x:c>
      <x:c r="K242" s="7" t="str">
        <x:v>BUFF_BLOCK</x:v>
      </x:c>
      <x:c r="L242" s="7" t="n">
        <x:v>1</x:v>
      </x:c>
      <x:c r="M242" s="8" t="n">
        <x:v>0.9</x:v>
      </x:c>
      <x:c r="N242" s="7" t="str">
        <x:v>HEAL_BLOCK</x:v>
      </x:c>
      <x:c r="O242" s="7" t="n">
        <x:v>1</x:v>
      </x:c>
      <x:c r="P242" s="8" t="n">
        <x:v>0.9</x:v>
      </x:c>
      <x:c r="Q242" s="7"/>
      <x:c r="R242" s="7"/>
      <x:c r="S242" s="8"/>
      <x:c r="T242" s="7"/>
      <x:c r="U242" s="7"/>
      <x:c r="V242" s="8"/>
      <x:c r="W242" s="7" t="n">
        <x:v>2</x:v>
      </x:c>
      <x:c r="X242" s="7" t="str">
        <x:v>대상: 적. 적에게 공격력*0.77배 + 생명력*0.33배 만큼의 피해를 가합니다. 90%확률로 강화 불가 적용합니다. 90%확률로 회복 불가 적용합니다.</x:v>
      </x:c>
      <x:c r="Y242" s="7" t="str">
        <x:v>Target: one enemy. Deals 0.77 × caster Attack + 0.33 × caster max Health damage to one enemy. 90% chance to apply Unbuffable. 90% chance to apply Unhealable.</x:v>
      </x:c>
      <x:c r="Z242" s="7" t="str">
        <x:v>공격|디버프</x:v>
      </x:c>
    </x:row>
    <x:row r="243" ht="115" customHeight="1">
      <x:c r="A243" s="7" t="str">
        <x:v>SKILL_0237</x:v>
      </x:c>
      <x:c r="B243" s="7" t="str">
        <x:v>약화효과 전이 · 방어력 관통 · 추가 공격의 일격</x:v>
      </x:c>
      <x:c r="C243" s="7"/>
      <x:c r="D243" s="7" t="str">
        <x:v>적</x:v>
      </x:c>
      <x:c r="E243" s="7" t="n">
        <x:v>1.1</x:v>
      </x:c>
      <x:c r="F243" s="7" t="n">
        <x:v>0</x:v>
      </x:c>
      <x:c r="G243" s="7" t="n">
        <x:v>0</x:v>
      </x:c>
      <x:c r="H243" s="7" t="n">
        <x:v>0</x:v>
      </x:c>
      <x:c r="I243" s="7" t="n">
        <x:v>0</x:v>
      </x:c>
      <x:c r="J243" s="7" t="n">
        <x:v>0</x:v>
      </x:c>
      <x:c r="K243" s="7" t="str">
        <x:v>TRANSFER_DEBUFF</x:v>
      </x:c>
      <x:c r="L243" s="7" t="n">
        <x:v>1</x:v>
      </x:c>
      <x:c r="M243" s="8" t="n">
        <x:v>0.8</x:v>
      </x:c>
      <x:c r="N243" s="7" t="str">
        <x:v>DEFENSE_PENETRATION</x:v>
      </x:c>
      <x:c r="O243" s="7" t="n">
        <x:v>0.24</x:v>
      </x:c>
      <x:c r="P243" s="8" t="n">
        <x:v>0.8</x:v>
      </x:c>
      <x:c r="Q243" s="7" t="str">
        <x:v>EXTRA_ATTACK</x:v>
      </x:c>
      <x:c r="R243" s="7" t="n">
        <x:v>0.28</x:v>
      </x:c>
      <x:c r="S243" s="8" t="n">
        <x:v>0.8</x:v>
      </x:c>
      <x:c r="T243" s="7"/>
      <x:c r="U243" s="7"/>
      <x:c r="V243" s="8"/>
      <x:c r="W243" s="7" t="n">
        <x:v>3</x:v>
      </x:c>
      <x:c r="X243" s="7" t="str">
        <x:v>대상: 적. 적에게 공격력*1.1배 만큼의 피해를 가합니다. 80%확률로 약화효과 전이 1개 적용합니다. 80%확률로 방어력 관통 24% 적용합니다. 80%확률로 추가 공격 28% 적용합니다.</x:v>
      </x:c>
      <x:c r="Y243" s="7" t="str">
        <x:v>Target: one enemy. Deals 1.1 × caster Attack damage to one enemy. 80% chance to apply Debuff Transfer 1 count. 80% chance to apply Defense Penetration 24%. 80% chance to apply Extra Attack 28%.</x:v>
      </x:c>
      <x:c r="Z243" s="7" t="str">
        <x:v>공격|디버프</x:v>
      </x:c>
    </x:row>
    <x:row r="244" ht="115" customHeight="1">
      <x:c r="A244" s="7" t="str">
        <x:v>SKILL_0238</x:v>
      </x:c>
      <x:c r="B244" s="7" t="str">
        <x:v>방어력 감소 · 반격 불가의 일격</x:v>
      </x:c>
      <x:c r="C244" s="7"/>
      <x:c r="D244" s="7" t="str">
        <x:v>적전체</x:v>
      </x:c>
      <x:c r="E244" s="7" t="n">
        <x:v>0.487</x:v>
      </x:c>
      <x:c r="F244" s="7" t="n">
        <x:v>0.163</x:v>
      </x:c>
      <x:c r="G244" s="7" t="n">
        <x:v>0</x:v>
      </x:c>
      <x:c r="H244" s="7" t="n">
        <x:v>0</x:v>
      </x:c>
      <x:c r="I244" s="7" t="n">
        <x:v>0</x:v>
      </x:c>
      <x:c r="J244" s="7" t="n">
        <x:v>0</x:v>
      </x:c>
      <x:c r="K244" s="7" t="str">
        <x:v>DEFENSE_DOWN</x:v>
      </x:c>
      <x:c r="L244" s="7" t="n">
        <x:v>0.3</x:v>
      </x:c>
      <x:c r="M244" s="8" t="n">
        <x:v>0.85</x:v>
      </x:c>
      <x:c r="N244" s="7" t="str">
        <x:v>COUNTERATTACK_BLOCK</x:v>
      </x:c>
      <x:c r="O244" s="7" t="n">
        <x:v>1</x:v>
      </x:c>
      <x:c r="P244" s="8" t="n">
        <x:v>0.85</x:v>
      </x:c>
      <x:c r="Q244" s="7"/>
      <x:c r="R244" s="7"/>
      <x:c r="S244" s="8"/>
      <x:c r="T244" s="7"/>
      <x:c r="U244" s="7"/>
      <x:c r="V244" s="8"/>
      <x:c r="W244" s="7" t="n">
        <x:v>5</x:v>
      </x:c>
      <x:c r="X244" s="7" t="str">
        <x:v>대상: 적전체. 적전체에게 공격력*0.487배 + 방어력*0.163배 만큼의 피해를 가합니다. 85%확률로 방어력 감소 30% 적용합니다. 85%확률로 반격 불가 적용합니다.</x:v>
      </x:c>
      <x:c r="Y244" s="7" t="str">
        <x:v>Target: all enemies. Deals 0.487 × caster Attack + 0.163 × caster Defense damage to all enemies. 85% chance to apply Defense Down 30%. 85% chance to apply Counterattack Block.</x:v>
      </x:c>
      <x:c r="Z244" s="7" t="str">
        <x:v>공격|디버프</x:v>
      </x:c>
    </x:row>
    <x:row r="245" ht="115" customHeight="1">
      <x:c r="A245" s="7" t="str">
        <x:v>SKILL_0239</x:v>
      </x:c>
      <x:c r="B245" s="7" t="str">
        <x:v>표적 · 상처 · 공격력 감소의 일격</x:v>
      </x:c>
      <x:c r="C245" s="7"/>
      <x:c r="D245" s="7" t="str">
        <x:v>적</x:v>
      </x:c>
      <x:c r="E245" s="7" t="n">
        <x:v>0.77</x:v>
      </x:c>
      <x:c r="F245" s="7" t="n">
        <x:v>0</x:v>
      </x:c>
      <x:c r="G245" s="7" t="n">
        <x:v>0.33</x:v>
      </x:c>
      <x:c r="H245" s="7" t="n">
        <x:v>0</x:v>
      </x:c>
      <x:c r="I245" s="7" t="n">
        <x:v>0</x:v>
      </x:c>
      <x:c r="J245" s="7" t="n">
        <x:v>0</x:v>
      </x:c>
      <x:c r="K245" s="7" t="str">
        <x:v>TARGET</x:v>
      </x:c>
      <x:c r="L245" s="7" t="n">
        <x:v>0.12</x:v>
      </x:c>
      <x:c r="M245" s="8" t="n">
        <x:v>0.8</x:v>
      </x:c>
      <x:c r="N245" s="7" t="str">
        <x:v>INJURY</x:v>
      </x:c>
      <x:c r="O245" s="7" t="n">
        <x:v>0.064</x:v>
      </x:c>
      <x:c r="P245" s="8" t="n">
        <x:v>0.8</x:v>
      </x:c>
      <x:c r="Q245" s="7" t="str">
        <x:v>ATTACK_DOWN</x:v>
      </x:c>
      <x:c r="R245" s="7" t="n">
        <x:v>0.2</x:v>
      </x:c>
      <x:c r="S245" s="8" t="n">
        <x:v>0.8</x:v>
      </x:c>
      <x:c r="T245" s="7"/>
      <x:c r="U245" s="7"/>
      <x:c r="V245" s="8"/>
      <x:c r="W245" s="7" t="n">
        <x:v>2</x:v>
      </x:c>
      <x:c r="X245" s="7" t="str">
        <x:v>대상: 적. 적에게 공격력*0.77배 + 속도*0.33배 만큼의 피해를 가합니다. 80%확률로 표적 12% 적용합니다. 80%확률로 상처 6.4% 적용합니다. 80%확률로 공격력 감소 20% 적용합니다.</x:v>
      </x:c>
      <x:c r="Y245" s="7" t="str">
        <x:v>Target: one enemy. Deals 0.77 × caster Attack + 0.33 × caster Speed damage to one enemy. 80% chance to apply Target 12%. 80% chance to apply Injury 6.4%. 80% chance to apply Attack Down 20%.</x:v>
      </x:c>
      <x:c r="Z245" s="7" t="str">
        <x:v>공격|디버프</x:v>
      </x:c>
    </x:row>
    <x:row r="246" ht="115" customHeight="1">
      <x:c r="A246" s="7" t="str">
        <x:v>SKILL_0240</x:v>
      </x:c>
      <x:c r="B246" s="7" t="str">
        <x:v>약화효과 전이 · 추가 피해 · 반격 불가의 일격</x:v>
      </x:c>
      <x:c r="C246" s="7"/>
      <x:c r="D246" s="7" t="str">
        <x:v>적</x:v>
      </x:c>
      <x:c r="E246" s="7" t="n">
        <x:v>0.715</x:v>
      </x:c>
      <x:c r="F246" s="7" t="n">
        <x:v>0</x:v>
      </x:c>
      <x:c r="G246" s="7" t="n">
        <x:v>0</x:v>
      </x:c>
      <x:c r="H246" s="7" t="n">
        <x:v>0.385</x:v>
      </x:c>
      <x:c r="I246" s="7" t="n">
        <x:v>0</x:v>
      </x:c>
      <x:c r="J246" s="7" t="n">
        <x:v>0</x:v>
      </x:c>
      <x:c r="K246" s="7" t="str">
        <x:v>TRANSFER_DEBUFF</x:v>
      </x:c>
      <x:c r="L246" s="7" t="n">
        <x:v>1</x:v>
      </x:c>
      <x:c r="M246" s="8" t="n">
        <x:v>0.8</x:v>
      </x:c>
      <x:c r="N246" s="7" t="str">
        <x:v>ADDITIONAL_DAMAGE</x:v>
      </x:c>
      <x:c r="O246" s="7" t="n">
        <x:v>0.2</x:v>
      </x:c>
      <x:c r="P246" s="8" t="n">
        <x:v>0.8</x:v>
      </x:c>
      <x:c r="Q246" s="7" t="str">
        <x:v>COUNTERATTACK_BLOCK</x:v>
      </x:c>
      <x:c r="R246" s="7" t="n">
        <x:v>1</x:v>
      </x:c>
      <x:c r="S246" s="8" t="n">
        <x:v>0.8</x:v>
      </x:c>
      <x:c r="T246" s="7"/>
      <x:c r="U246" s="7"/>
      <x:c r="V246" s="8"/>
      <x:c r="W246" s="7" t="n">
        <x:v>3</x:v>
      </x:c>
      <x:c r="X246" s="7" t="str">
        <x:v>대상: 적. 적에게 공격력*0.715배 + 생명력*0.385배 만큼의 피해를 가합니다. 80%확률로 약화효과 전이 1개 적용합니다. 80%확률로 추가 피해 20% 적용합니다. 80%확률로 반격 불가 적용합니다.</x:v>
      </x:c>
      <x:c r="Y246" s="7" t="str">
        <x:v>Target: one enemy. Deals 0.715 × caster Attack + 0.385 × caster max Health damage to one enemy. 80% chance to apply Debuff Transfer 1 count. 80% chance to apply Additional Damage 20%. 80% chance to apply Counterattack Block.</x:v>
      </x:c>
      <x:c r="Z246" s="7" t="str">
        <x:v>공격|디버프</x:v>
      </x:c>
    </x:row>
    <x:row r="247" ht="115" customHeight="1">
      <x:c r="A247" s="7" t="str">
        <x:v>SKILL_0241</x:v>
      </x:c>
      <x:c r="B247" s="7" t="str">
        <x:v>반격 불가 · 수면 · 출혈의 일격</x:v>
      </x:c>
      <x:c r="C247" s="7"/>
      <x:c r="D247" s="7" t="str">
        <x:v>적전체</x:v>
      </x:c>
      <x:c r="E247" s="7" t="n">
        <x:v>0.45</x:v>
      </x:c>
      <x:c r="F247" s="7" t="n">
        <x:v>0</x:v>
      </x:c>
      <x:c r="G247" s="7" t="n">
        <x:v>0</x:v>
      </x:c>
      <x:c r="H247" s="7" t="n">
        <x:v>0</x:v>
      </x:c>
      <x:c r="I247" s="7" t="n">
        <x:v>0</x:v>
      </x:c>
      <x:c r="J247" s="7" t="n">
        <x:v>0</x:v>
      </x:c>
      <x:c r="K247" s="7" t="str">
        <x:v>COUNTERATTACK_BLOCK</x:v>
      </x:c>
      <x:c r="L247" s="7" t="n">
        <x:v>1</x:v>
      </x:c>
      <x:c r="M247" s="8" t="n">
        <x:v>0.55</x:v>
      </x:c>
      <x:c r="N247" s="7" t="str">
        <x:v>SLEEP</x:v>
      </x:c>
      <x:c r="O247" s="7" t="n">
        <x:v>1</x:v>
      </x:c>
      <x:c r="P247" s="8" t="n">
        <x:v>0.55</x:v>
      </x:c>
      <x:c r="Q247" s="7" t="str">
        <x:v>BLEED</x:v>
      </x:c>
      <x:c r="R247" s="7" t="n">
        <x:v>0.16</x:v>
      </x:c>
      <x:c r="S247" s="8" t="n">
        <x:v>0.55</x:v>
      </x:c>
      <x:c r="T247" s="7"/>
      <x:c r="U247" s="7"/>
      <x:c r="V247" s="8"/>
      <x:c r="W247" s="7" t="n">
        <x:v>5</x:v>
      </x:c>
      <x:c r="X247" s="7" t="str">
        <x:v>대상: 적전체. 적전체에게 공격력*0.45배 만큼의 피해를 가합니다. 55%확률로 반격 불가 적용합니다. 55%확률로 수면 적용합니다. 55%확률로 출혈 16% 적용합니다.</x:v>
      </x:c>
      <x:c r="Y247" s="7" t="str">
        <x:v>Target: all enemies. Deals 0.45 × caster Attack damage to all enemies. 55% chance to apply Counterattack Block. 55% chance to apply Sleep. 55% chance to apply Bleed 16%.</x:v>
      </x:c>
      <x:c r="Z247" s="7" t="str">
        <x:v>공격|디버프</x:v>
      </x:c>
    </x:row>
    <x:row r="248" ht="115" customHeight="1">
      <x:c r="A248" s="7" t="str">
        <x:v>SKILL_0242</x:v>
      </x:c>
      <x:c r="B248" s="7" t="str">
        <x:v>추가 피해 · 추가 공격 · 스킬 쿨타임 증가 · 수면의 일격</x:v>
      </x:c>
      <x:c r="C248" s="7"/>
      <x:c r="D248" s="7" t="str">
        <x:v>적</x:v>
      </x:c>
      <x:c r="E248" s="7" t="n">
        <x:v>0.77</x:v>
      </x:c>
      <x:c r="F248" s="7" t="n">
        <x:v>0.33</x:v>
      </x:c>
      <x:c r="G248" s="7" t="n">
        <x:v>0</x:v>
      </x:c>
      <x:c r="H248" s="7" t="n">
        <x:v>0</x:v>
      </x:c>
      <x:c r="I248" s="7" t="n">
        <x:v>0</x:v>
      </x:c>
      <x:c r="J248" s="7" t="n">
        <x:v>0</x:v>
      </x:c>
      <x:c r="K248" s="7" t="str">
        <x:v>ADDITIONAL_DAMAGE</x:v>
      </x:c>
      <x:c r="L248" s="7" t="n">
        <x:v>0.163</x:v>
      </x:c>
      <x:c r="M248" s="8" t="n">
        <x:v>0.7</x:v>
      </x:c>
      <x:c r="N248" s="7" t="str">
        <x:v>EXTRA_ATTACK</x:v>
      </x:c>
      <x:c r="O248" s="7" t="n">
        <x:v>0.227</x:v>
      </x:c>
      <x:c r="P248" s="8" t="n">
        <x:v>0.7</x:v>
      </x:c>
      <x:c r="Q248" s="7" t="str">
        <x:v>SKILL_COOLDOWN_UP</x:v>
      </x:c>
      <x:c r="R248" s="7" t="n">
        <x:v>1</x:v>
      </x:c>
      <x:c r="S248" s="8" t="n">
        <x:v>0.7</x:v>
      </x:c>
      <x:c r="T248" s="7" t="str">
        <x:v>SLEEP</x:v>
      </x:c>
      <x:c r="U248" s="7" t="n">
        <x:v>1</x:v>
      </x:c>
      <x:c r="V248" s="8" t="n">
        <x:v>0.7</x:v>
      </x:c>
      <x:c r="W248" s="7" t="n">
        <x:v>4</x:v>
      </x:c>
      <x:c r="X248" s="7" t="str">
        <x:v>대상: 적. 적에게 공격력*0.77배 + 방어력*0.33배 만큼의 피해를 가합니다. 70%확률로 추가 피해 16.3% 적용합니다. 70%확률로 추가 공격 22.7% 적용합니다. 70%확률로 스킬 쿨타임 증가 1턴 적용합니다. 70%확률로 수면 적용합니다.</x:v>
      </x:c>
      <x:c r="Y248" s="7" t="str">
        <x:v>Target: one enemy. Deals 0.77 × caster Attack + 0.33 × caster Defense damage to one enemy. 70% chance to apply Additional Damage 16.3%. 70% chance to apply Extra Attack 22.7%. 70% chance to apply Skill Cooldown Increase 1 turn. 70% chance to apply Sleep.</x:v>
      </x:c>
      <x:c r="Z248" s="7" t="str">
        <x:v>공격|디버프</x:v>
      </x:c>
    </x:row>
    <x:row r="249" ht="115" customHeight="1">
      <x:c r="A249" s="7" t="str">
        <x:v>SKILL_0243</x:v>
      </x:c>
      <x:c r="B249" s="7" t="str">
        <x:v>강화 불가 · 명중 감소 · 속도 감소 · 출혈의 일격</x:v>
      </x:c>
      <x:c r="C249" s="7"/>
      <x:c r="D249" s="7" t="str">
        <x:v>적</x:v>
      </x:c>
      <x:c r="E249" s="7" t="n">
        <x:v>0.715</x:v>
      </x:c>
      <x:c r="F249" s="7" t="n">
        <x:v>0</x:v>
      </x:c>
      <x:c r="G249" s="7" t="n">
        <x:v>0.385</x:v>
      </x:c>
      <x:c r="H249" s="7" t="n">
        <x:v>0</x:v>
      </x:c>
      <x:c r="I249" s="7" t="n">
        <x:v>0</x:v>
      </x:c>
      <x:c r="J249" s="7" t="n">
        <x:v>0</x:v>
      </x:c>
      <x:c r="K249" s="7" t="str">
        <x:v>BUFF_BLOCK</x:v>
      </x:c>
      <x:c r="L249" s="7" t="n">
        <x:v>1</x:v>
      </x:c>
      <x:c r="M249" s="8" t="n">
        <x:v>0.7</x:v>
      </x:c>
      <x:c r="N249" s="7" t="str">
        <x:v>HIT_CHANCE_DOWN</x:v>
      </x:c>
      <x:c r="O249" s="7" t="n">
        <x:v>0.13</x:v>
      </x:c>
      <x:c r="P249" s="8" t="n">
        <x:v>0.7</x:v>
      </x:c>
      <x:c r="Q249" s="7" t="str">
        <x:v>SPEED_DOWN</x:v>
      </x:c>
      <x:c r="R249" s="7" t="n">
        <x:v>0.13</x:v>
      </x:c>
      <x:c r="S249" s="8" t="n">
        <x:v>0.7</x:v>
      </x:c>
      <x:c r="T249" s="7" t="str">
        <x:v>BLEED</x:v>
      </x:c>
      <x:c r="U249" s="7" t="n">
        <x:v>0.13</x:v>
      </x:c>
      <x:c r="V249" s="8" t="n">
        <x:v>0.7</x:v>
      </x:c>
      <x:c r="W249" s="7" t="n">
        <x:v>3</x:v>
      </x:c>
      <x:c r="X249" s="7" t="str">
        <x:v>대상: 적. 적에게 공격력*0.715배 + 속도*0.385배 만큼의 피해를 가합니다. 70%확률로 강화 불가 적용합니다. 70%확률로 명중 감소 13% 적용합니다. 70%확률로 속도 감소 13% 적용합니다. 70%확률로 출혈 13% 적용합니다.</x:v>
      </x:c>
      <x:c r="Y249" s="7" t="str">
        <x:v>Target: one enemy. Deals 0.715 × caster Attack + 0.385 × caster Speed damage to one enemy. 70% chance to apply Unbuffable. 70% chance to apply Hit Chance Down 13%. 70% chance to apply Speed Down 13%. 70% chance to apply Bleed 13%.</x:v>
      </x:c>
      <x:c r="Z249" s="7" t="str">
        <x:v>공격|디버프</x:v>
      </x:c>
    </x:row>
    <x:row r="250" ht="115" customHeight="1">
      <x:c r="A250" s="7" t="str">
        <x:v>SKILL_0244</x:v>
      </x:c>
      <x:c r="B250" s="7" t="str">
        <x:v>부활 불가 · 흡혈 · 회복 불가 · 표적의 일격</x:v>
      </x:c>
      <x:c r="C250" s="7"/>
      <x:c r="D250" s="7" t="str">
        <x:v>적전체</x:v>
      </x:c>
      <x:c r="E250" s="7" t="n">
        <x:v>0.375</x:v>
      </x:c>
      <x:c r="F250" s="7" t="n">
        <x:v>0</x:v>
      </x:c>
      <x:c r="G250" s="7" t="n">
        <x:v>0</x:v>
      </x:c>
      <x:c r="H250" s="7" t="n">
        <x:v>0.125</x:v>
      </x:c>
      <x:c r="I250" s="7" t="n">
        <x:v>0</x:v>
      </x:c>
      <x:c r="J250" s="7" t="n">
        <x:v>0</x:v>
      </x:c>
      <x:c r="K250" s="7" t="str">
        <x:v>REVIVE_BLOCK</x:v>
      </x:c>
      <x:c r="L250" s="7" t="n">
        <x:v>1</x:v>
      </x:c>
      <x:c r="M250" s="8" t="n">
        <x:v>0.5</x:v>
      </x:c>
      <x:c r="N250" s="7" t="str">
        <x:v>LIFESTEAL</x:v>
      </x:c>
      <x:c r="O250" s="7" t="n">
        <x:v>0.195</x:v>
      </x:c>
      <x:c r="P250" s="8" t="n">
        <x:v>0.5</x:v>
      </x:c>
      <x:c r="Q250" s="7" t="str">
        <x:v>HEAL_BLOCK</x:v>
      </x:c>
      <x:c r="R250" s="7" t="n">
        <x:v>1</x:v>
      </x:c>
      <x:c r="S250" s="8" t="n">
        <x:v>0.5</x:v>
      </x:c>
      <x:c r="T250" s="7" t="str">
        <x:v>TARGET</x:v>
      </x:c>
      <x:c r="U250" s="7" t="n">
        <x:v>0.098</x:v>
      </x:c>
      <x:c r="V250" s="8" t="n">
        <x:v>0.5</x:v>
      </x:c>
      <x:c r="W250" s="7" t="n">
        <x:v>5</x:v>
      </x:c>
      <x:c r="X250" s="7" t="str">
        <x:v>대상: 적전체. 적전체에게 공격력*0.375배 + 생명력*0.125배 만큼의 피해를 가합니다. 50%확률로 부활 불가 적용합니다. 50%확률로 흡혈 19.5% 획득합니다. 50%확률로 회복 불가 적용합니다. 50%확률로 표적 9.8% 적용합니다.</x:v>
      </x:c>
      <x:c r="Y250" s="7" t="str">
        <x:v>Target: all enemies. Deals 0.375 × caster Attack + 0.125 × caster max Health damage to all enemies. 50% chance to apply Revive Block. 50% chance to gain Lifesteal 19.5%. 50% chance to apply Unhealable. 50% chance to apply Target 9.8%.</x:v>
      </x:c>
      <x:c r="Z250" s="7" t="str">
        <x:v>공격|회복|버프|디버프</x:v>
      </x:c>
    </x:row>
    <x:row r="251" ht="115" customHeight="1">
      <x:c r="A251" s="7" t="str">
        <x:v>SKILL_0245</x:v>
      </x:c>
      <x:c r="B251" s="7" t="str">
        <x:v>수면 · 표적의 일격</x:v>
      </x:c>
      <x:c r="C251" s="7"/>
      <x:c r="D251" s="7" t="str">
        <x:v>적</x:v>
      </x:c>
      <x:c r="E251" s="7" t="n">
        <x:v>1.1</x:v>
      </x:c>
      <x:c r="F251" s="7" t="n">
        <x:v>0</x:v>
      </x:c>
      <x:c r="G251" s="7" t="n">
        <x:v>0</x:v>
      </x:c>
      <x:c r="H251" s="7" t="n">
        <x:v>0</x:v>
      </x:c>
      <x:c r="I251" s="7" t="n">
        <x:v>0</x:v>
      </x:c>
      <x:c r="J251" s="7" t="n">
        <x:v>0</x:v>
      </x:c>
      <x:c r="K251" s="7" t="str">
        <x:v>SLEEP</x:v>
      </x:c>
      <x:c r="L251" s="7" t="n">
        <x:v>1</x:v>
      </x:c>
      <x:c r="M251" s="8" t="n">
        <x:v>0.9</x:v>
      </x:c>
      <x:c r="N251" s="7" t="str">
        <x:v>TARGET</x:v>
      </x:c>
      <x:c r="O251" s="7" t="n">
        <x:v>0.15</x:v>
      </x:c>
      <x:c r="P251" s="8" t="n">
        <x:v>0.9</x:v>
      </x:c>
      <x:c r="Q251" s="7"/>
      <x:c r="R251" s="7"/>
      <x:c r="S251" s="8"/>
      <x:c r="T251" s="7"/>
      <x:c r="U251" s="7"/>
      <x:c r="V251" s="8"/>
      <x:c r="W251" s="7" t="n">
        <x:v>3</x:v>
      </x:c>
      <x:c r="X251" s="7" t="str">
        <x:v>대상: 적. 적에게 공격력*1.1배 만큼의 피해를 가합니다. 90%확률로 수면 적용합니다. 90%확률로 표적 15% 적용합니다.</x:v>
      </x:c>
      <x:c r="Y251" s="7" t="str">
        <x:v>Target: one enemy. Deals 1.1 × caster Attack damage to one enemy. 90% chance to apply Sleep. 90% chance to apply Target 15%.</x:v>
      </x:c>
      <x:c r="Z251" s="7" t="str">
        <x:v>공격|디버프</x:v>
      </x:c>
    </x:row>
    <x:row r="252" ht="115" customHeight="1">
      <x:c r="A252" s="7" t="str">
        <x:v>SKILL_0246</x:v>
      </x:c>
      <x:c r="B252" s="7" t="str">
        <x:v>출혈 · 강화효과 해제의 일격</x:v>
      </x:c>
      <x:c r="C252" s="7"/>
      <x:c r="D252" s="7" t="str">
        <x:v>적</x:v>
      </x:c>
      <x:c r="E252" s="7" t="n">
        <x:v>0.715</x:v>
      </x:c>
      <x:c r="F252" s="7" t="n">
        <x:v>0.385</x:v>
      </x:c>
      <x:c r="G252" s="7" t="n">
        <x:v>0</x:v>
      </x:c>
      <x:c r="H252" s="7" t="n">
        <x:v>0</x:v>
      </x:c>
      <x:c r="I252" s="7" t="n">
        <x:v>0</x:v>
      </x:c>
      <x:c r="J252" s="7" t="n">
        <x:v>0</x:v>
      </x:c>
      <x:c r="K252" s="7" t="str">
        <x:v>BLEED</x:v>
      </x:c>
      <x:c r="L252" s="7" t="n">
        <x:v>0.2</x:v>
      </x:c>
      <x:c r="M252" s="8" t="n">
        <x:v>0.9</x:v>
      </x:c>
      <x:c r="N252" s="7" t="str">
        <x:v>DISPEL_BUFF</x:v>
      </x:c>
      <x:c r="O252" s="7" t="n">
        <x:v>1</x:v>
      </x:c>
      <x:c r="P252" s="8" t="n">
        <x:v>0.9</x:v>
      </x:c>
      <x:c r="Q252" s="7"/>
      <x:c r="R252" s="7"/>
      <x:c r="S252" s="8"/>
      <x:c r="T252" s="7"/>
      <x:c r="U252" s="7"/>
      <x:c r="V252" s="8"/>
      <x:c r="W252" s="7" t="n">
        <x:v>2</x:v>
      </x:c>
      <x:c r="X252" s="7" t="str">
        <x:v>대상: 적. 적에게 공격력*0.715배 + 방어력*0.385배 만큼의 피해를 가합니다. 90%확률로 출혈 20% 적용합니다. 90%확률로 강화효과 해제 1개 적용합니다.</x:v>
      </x:c>
      <x:c r="Y252" s="7" t="str">
        <x:v>Target: one enemy. Deals 0.715 × caster Attack + 0.385 × caster Defense damage to one enemy. 90% chance to apply Bleed 20%. 90% chance to apply Dispel Buff 1 count.</x:v>
      </x:c>
      <x:c r="Z252" s="7" t="str">
        <x:v>공격|디버프</x:v>
      </x:c>
    </x:row>
    <x:row r="253" ht="115" customHeight="1">
      <x:c r="A253" s="7" t="str">
        <x:v>SKILL_0247</x:v>
      </x:c>
      <x:c r="B253" s="7" t="str">
        <x:v>흡혈 · 부활 불가 · 추가 피해 · 강화효과 지속시간 감소의 일격</x:v>
      </x:c>
      <x:c r="C253" s="7"/>
      <x:c r="D253" s="7" t="str">
        <x:v>적전체</x:v>
      </x:c>
      <x:c r="E253" s="7" t="n">
        <x:v>0.412</x:v>
      </x:c>
      <x:c r="F253" s="7" t="n">
        <x:v>0</x:v>
      </x:c>
      <x:c r="G253" s="7" t="n">
        <x:v>0.138</x:v>
      </x:c>
      <x:c r="H253" s="7" t="n">
        <x:v>0</x:v>
      </x:c>
      <x:c r="I253" s="7" t="n">
        <x:v>0</x:v>
      </x:c>
      <x:c r="J253" s="7" t="n">
        <x:v>0</x:v>
      </x:c>
      <x:c r="K253" s="7" t="str">
        <x:v>LIFESTEAL</x:v>
      </x:c>
      <x:c r="L253" s="7" t="n">
        <x:v>0.195</x:v>
      </x:c>
      <x:c r="M253" s="8" t="n">
        <x:v>0.55</x:v>
      </x:c>
      <x:c r="N253" s="7" t="str">
        <x:v>REVIVE_BLOCK</x:v>
      </x:c>
      <x:c r="O253" s="7" t="n">
        <x:v>1</x:v>
      </x:c>
      <x:c r="P253" s="8" t="n">
        <x:v>0.55</x:v>
      </x:c>
      <x:c r="Q253" s="7" t="str">
        <x:v>ADDITIONAL_DAMAGE</x:v>
      </x:c>
      <x:c r="R253" s="7" t="n">
        <x:v>0.163</x:v>
      </x:c>
      <x:c r="S253" s="8" t="n">
        <x:v>0.55</x:v>
      </x:c>
      <x:c r="T253" s="7" t="str">
        <x:v>BUFF_DURATION_DOWN</x:v>
      </x:c>
      <x:c r="U253" s="7" t="n">
        <x:v>1</x:v>
      </x:c>
      <x:c r="V253" s="8" t="n">
        <x:v>0.55</x:v>
      </x:c>
      <x:c r="W253" s="7" t="n">
        <x:v>5</x:v>
      </x:c>
      <x:c r="X253" s="7" t="str">
        <x:v>대상: 적전체. 적전체에게 공격력*0.412배 + 속도*0.138배 만큼의 피해를 가합니다. 55%확률로 흡혈 19.5% 획득합니다. 55%확률로 부활 불가 적용합니다. 55%확률로 추가 피해 16.3% 적용합니다. 55%확률로 강화효과 지속시간 감소 1턴 적용합니다.</x:v>
      </x:c>
      <x:c r="Y253" s="7" t="str">
        <x:v>Target: all enemies. Deals 0.412 × caster Attack + 0.138 × caster Speed damage to all enemies. 55% chance to gain Lifesteal 19.5%. 55% chance to apply Revive Block. 55% chance to apply Additional Damage 16.3%. 55% chance to apply Buff Duration Reduction 1 turn.</x:v>
      </x:c>
      <x:c r="Z253" s="7" t="str">
        <x:v>공격|회복|버프|디버프</x:v>
      </x:c>
    </x:row>
    <x:row r="254" ht="115" customHeight="1">
      <x:c r="A254" s="7" t="str">
        <x:v>SKILL_0248</x:v>
      </x:c>
      <x:c r="B254" s="7" t="str">
        <x:v>약화효과 지속시간 증가 · 방어력 관통 · 중독 · 명중 감소의 일격</x:v>
      </x:c>
      <x:c r="C254" s="7"/>
      <x:c r="D254" s="7" t="str">
        <x:v>적</x:v>
      </x:c>
      <x:c r="E254" s="7" t="n">
        <x:v>0.77</x:v>
      </x:c>
      <x:c r="F254" s="7" t="n">
        <x:v>0</x:v>
      </x:c>
      <x:c r="G254" s="7" t="n">
        <x:v>0</x:v>
      </x:c>
      <x:c r="H254" s="7" t="n">
        <x:v>0.33</x:v>
      </x:c>
      <x:c r="I254" s="7" t="n">
        <x:v>0</x:v>
      </x:c>
      <x:c r="J254" s="7" t="n">
        <x:v>0</x:v>
      </x:c>
      <x:c r="K254" s="7" t="str">
        <x:v>DEBUFF_DURATION_UP</x:v>
      </x:c>
      <x:c r="L254" s="7" t="n">
        <x:v>1</x:v>
      </x:c>
      <x:c r="M254" s="8" t="n">
        <x:v>0.7</x:v>
      </x:c>
      <x:c r="N254" s="7" t="str">
        <x:v>DEFENSE_PENETRATION</x:v>
      </x:c>
      <x:c r="O254" s="7" t="n">
        <x:v>0.195</x:v>
      </x:c>
      <x:c r="P254" s="8" t="n">
        <x:v>0.7</x:v>
      </x:c>
      <x:c r="Q254" s="7" t="str">
        <x:v>POISON</x:v>
      </x:c>
      <x:c r="R254" s="7" t="n">
        <x:v>0.026</x:v>
      </x:c>
      <x:c r="S254" s="8" t="n">
        <x:v>0.7</x:v>
      </x:c>
      <x:c r="T254" s="7" t="str">
        <x:v>HIT_CHANCE_DOWN</x:v>
      </x:c>
      <x:c r="U254" s="7" t="n">
        <x:v>0.13</x:v>
      </x:c>
      <x:c r="V254" s="8" t="n">
        <x:v>0.7</x:v>
      </x:c>
      <x:c r="W254" s="7" t="n">
        <x:v>3</x:v>
      </x:c>
      <x:c r="X254" s="7" t="str">
        <x:v>대상: 적. 적에게 공격력*0.77배 + 생명력*0.33배 만큼의 피해를 가합니다. 70%확률로 약화효과 지속시간 증가 1턴 적용합니다. 70%확률로 방어력 관통 19.5% 적용합니다. 70%확률로 중독 2.6% 적용합니다. 70%확률로 명중 감소 13% 적용합니다.</x:v>
      </x:c>
      <x:c r="Y254" s="7" t="str">
        <x:v>Target: one enemy. Deals 0.77 × caster Attack + 0.33 × caster max Health damage to one enemy. 70% chance to apply Debuff Duration Extension 1 turn. 70% chance to apply Defense Penetration 19.5%. 70% chance to apply Poison 2.6%. 70% chance to apply Hit Chance Down 13%.</x:v>
      </x:c>
      <x:c r="Z254" s="7" t="str">
        <x:v>공격|디버프</x:v>
      </x:c>
    </x:row>
    <x:row r="255" ht="115" customHeight="1">
      <x:c r="A255" s="7" t="str">
        <x:v>SKILL_0249</x:v>
      </x:c>
      <x:c r="B255" s="7" t="str">
        <x:v>약화효과 전이 · 상처의 일격</x:v>
      </x:c>
      <x:c r="C255" s="7"/>
      <x:c r="D255" s="7" t="str">
        <x:v>적</x:v>
      </x:c>
      <x:c r="E255" s="7" t="n">
        <x:v>1.1</x:v>
      </x:c>
      <x:c r="F255" s="7" t="n">
        <x:v>0</x:v>
      </x:c>
      <x:c r="G255" s="7" t="n">
        <x:v>0</x:v>
      </x:c>
      <x:c r="H255" s="7" t="n">
        <x:v>0</x:v>
      </x:c>
      <x:c r="I255" s="7" t="n">
        <x:v>0</x:v>
      </x:c>
      <x:c r="J255" s="7" t="n">
        <x:v>0</x:v>
      </x:c>
      <x:c r="K255" s="7" t="str">
        <x:v>TRANSFER_DEBUFF</x:v>
      </x:c>
      <x:c r="L255" s="7" t="n">
        <x:v>1</x:v>
      </x:c>
      <x:c r="M255" s="8" t="n">
        <x:v>0.9</x:v>
      </x:c>
      <x:c r="N255" s="7" t="str">
        <x:v>INJURY</x:v>
      </x:c>
      <x:c r="O255" s="7" t="n">
        <x:v>0.08</x:v>
      </x:c>
      <x:c r="P255" s="8" t="n">
        <x:v>0.9</x:v>
      </x:c>
      <x:c r="Q255" s="7"/>
      <x:c r="R255" s="7"/>
      <x:c r="S255" s="8"/>
      <x:c r="T255" s="7"/>
      <x:c r="U255" s="7"/>
      <x:c r="V255" s="8"/>
      <x:c r="W255" s="7" t="n">
        <x:v>3</x:v>
      </x:c>
      <x:c r="X255" s="7" t="str">
        <x:v>대상: 적. 적에게 공격력*1.1배 만큼의 피해를 가합니다. 90%확률로 약화효과 전이 1개 적용합니다. 90%확률로 상처 8% 적용합니다.</x:v>
      </x:c>
      <x:c r="Y255" s="7" t="str">
        <x:v>Target: one enemy. Deals 1.1 × caster Attack damage to one enemy. 90% chance to apply Debuff Transfer 1 count. 90% chance to apply Injury 8%.</x:v>
      </x:c>
      <x:c r="Z255" s="7" t="str">
        <x:v>공격|디버프</x:v>
      </x:c>
    </x:row>
    <x:row r="256" ht="115" customHeight="1">
      <x:c r="A256" s="7" t="str">
        <x:v>SKILL_0250</x:v>
      </x:c>
      <x:c r="B256" s="7" t="str">
        <x:v>방어력 감소 · 중독 · 추가 공격 · 기절 — 스턴의 일격</x:v>
      </x:c>
      <x:c r="C256" s="7"/>
      <x:c r="D256" s="7" t="str">
        <x:v>적전체</x:v>
      </x:c>
      <x:c r="E256" s="7" t="n">
        <x:v>0.3</x:v>
      </x:c>
      <x:c r="F256" s="7" t="n">
        <x:v>0.1</x:v>
      </x:c>
      <x:c r="G256" s="7" t="n">
        <x:v>0</x:v>
      </x:c>
      <x:c r="H256" s="7" t="n">
        <x:v>0</x:v>
      </x:c>
      <x:c r="I256" s="7" t="n">
        <x:v>0</x:v>
      </x:c>
      <x:c r="J256" s="7" t="n">
        <x:v>0</x:v>
      </x:c>
      <x:c r="K256" s="7" t="str">
        <x:v>DEFENSE_DOWN</x:v>
      </x:c>
      <x:c r="L256" s="7" t="n">
        <x:v>0.195</x:v>
      </x:c>
      <x:c r="M256" s="8" t="n">
        <x:v>0.4</x:v>
      </x:c>
      <x:c r="N256" s="7" t="str">
        <x:v>POISON</x:v>
      </x:c>
      <x:c r="O256" s="7" t="n">
        <x:v>0.026</x:v>
      </x:c>
      <x:c r="P256" s="8" t="n">
        <x:v>0.4</x:v>
      </x:c>
      <x:c r="Q256" s="7" t="str">
        <x:v>EXTRA_ATTACK</x:v>
      </x:c>
      <x:c r="R256" s="7" t="n">
        <x:v>0.227</x:v>
      </x:c>
      <x:c r="S256" s="8" t="n">
        <x:v>0.4</x:v>
      </x:c>
      <x:c r="T256" s="7" t="str">
        <x:v>STUN</x:v>
      </x:c>
      <x:c r="U256" s="7" t="n">
        <x:v>1</x:v>
      </x:c>
      <x:c r="V256" s="8" t="n">
        <x:v>0.4</x:v>
      </x:c>
      <x:c r="W256" s="7" t="n">
        <x:v>5</x:v>
      </x:c>
      <x:c r="X256" s="7" t="str">
        <x:v>대상: 적전체. 적전체에게 공격력*0.3배 + 방어력*0.1배 만큼의 피해를 가합니다. 40%확률로 방어력 감소 19.5% 적용합니다. 40%확률로 중독 2.6% 적용합니다. 40%확률로 추가 공격 22.7% 적용합니다. 40%확률로 기절 — 스턴 적용합니다.</x:v>
      </x:c>
      <x:c r="Y256" s="7" t="str">
        <x:v>Target: all enemies. Deals 0.3 × caster Attack + 0.1 × caster Defense damage to all enemies. 40% chance to apply Defense Down 19.5%. 40% chance to apply Poison 2.6%. 40% chance to apply Extra Attack 22.7%. 40% chance to apply Stun.</x:v>
      </x:c>
      <x:c r="Z256" s="7" t="str">
        <x:v>공격|디버프</x:v>
      </x:c>
    </x:row>
    <x:row r="257" ht="115" customHeight="1">
      <x:c r="A257" s="7" t="str">
        <x:v>SKILL_0251</x:v>
      </x:c>
      <x:c r="B257" s="7" t="str">
        <x:v>공격력 증가의 의식</x:v>
      </x:c>
      <x:c r="C257" s="7"/>
      <x:c r="D257" s="7" t="str">
        <x:v>아군</x:v>
      </x:c>
      <x:c r="E257" s="7" t="n">
        <x:v>0</x:v>
      </x:c>
      <x:c r="F257" s="7" t="n">
        <x:v>0</x:v>
      </x:c>
      <x:c r="G257" s="7" t="n">
        <x:v>0</x:v>
      </x:c>
      <x:c r="H257" s="7" t="n">
        <x:v>0</x:v>
      </x:c>
      <x:c r="I257" s="7" t="n">
        <x:v>0</x:v>
      </x:c>
      <x:c r="J257" s="7" t="n">
        <x:v>0</x:v>
      </x:c>
      <x:c r="K257" s="7" t="str">
        <x:v>ATTACK_UP</x:v>
      </x:c>
      <x:c r="L257" s="7" t="n">
        <x:v>0.45</x:v>
      </x:c>
      <x:c r="M257" s="8" t="n">
        <x:v>1</x:v>
      </x:c>
      <x:c r="N257" s="7"/>
      <x:c r="O257" s="7"/>
      <x:c r="P257" s="8"/>
      <x:c r="Q257" s="7"/>
      <x:c r="R257" s="7"/>
      <x:c r="S257" s="8"/>
      <x:c r="T257" s="7"/>
      <x:c r="U257" s="7"/>
      <x:c r="V257" s="8"/>
      <x:c r="W257" s="7" t="n">
        <x:v>1</x:v>
      </x:c>
      <x:c r="X257" s="7" t="str">
        <x:v>대상: 아군. 100%확률로 공격력 증가 45% 적용합니다.</x:v>
      </x:c>
      <x:c r="Y257" s="7" t="str">
        <x:v>Target: one ally. 100% chance to apply Attack Up 45%.</x:v>
      </x:c>
      <x:c r="Z257" s="7" t="str">
        <x:v>버프</x:v>
      </x:c>
    </x:row>
    <x:row r="258" ht="115" customHeight="1">
      <x:c r="A258" s="7" t="str">
        <x:v>SKILL_0252</x:v>
      </x:c>
      <x:c r="B258" s="7" t="str">
        <x:v>공격력 증가(대)의 의식</x:v>
      </x:c>
      <x:c r="C258" s="7"/>
      <x:c r="D258" s="7" t="str">
        <x:v>아군</x:v>
      </x:c>
      <x:c r="E258" s="7" t="n">
        <x:v>0</x:v>
      </x:c>
      <x:c r="F258" s="7" t="n">
        <x:v>0</x:v>
      </x:c>
      <x:c r="G258" s="7" t="n">
        <x:v>0</x:v>
      </x:c>
      <x:c r="H258" s="7" t="n">
        <x:v>0</x:v>
      </x:c>
      <x:c r="I258" s="7" t="n">
        <x:v>0</x:v>
      </x:c>
      <x:c r="J258" s="7" t="n">
        <x:v>0</x:v>
      </x:c>
      <x:c r="K258" s="7" t="str">
        <x:v>ATTACK_UP_GREATER</x:v>
      </x:c>
      <x:c r="L258" s="7" t="n">
        <x:v>0.75</x:v>
      </x:c>
      <x:c r="M258" s="8" t="n">
        <x:v>1</x:v>
      </x:c>
      <x:c r="N258" s="7"/>
      <x:c r="O258" s="7"/>
      <x:c r="P258" s="8"/>
      <x:c r="Q258" s="7"/>
      <x:c r="R258" s="7"/>
      <x:c r="S258" s="8"/>
      <x:c r="T258" s="7"/>
      <x:c r="U258" s="7"/>
      <x:c r="V258" s="8"/>
      <x:c r="W258" s="7" t="n">
        <x:v>1</x:v>
      </x:c>
      <x:c r="X258" s="7" t="str">
        <x:v>대상: 아군. 100%확률로 공격력 증가(대) 75% 적용합니다.</x:v>
      </x:c>
      <x:c r="Y258" s="7" t="str">
        <x:v>Target: one ally. 100% chance to apply Greater Attack Up 75%.</x:v>
      </x:c>
      <x:c r="Z258" s="7" t="str">
        <x:v>버프</x:v>
      </x:c>
    </x:row>
    <x:row r="259" ht="115" customHeight="1">
      <x:c r="A259" s="7" t="str">
        <x:v>SKILL_0253</x:v>
      </x:c>
      <x:c r="B259" s="7" t="str">
        <x:v>방어력 증가의 의식</x:v>
      </x:c>
      <x:c r="C259" s="7"/>
      <x:c r="D259" s="7" t="str">
        <x:v>아군</x:v>
      </x:c>
      <x:c r="E259" s="7" t="n">
        <x:v>0</x:v>
      </x:c>
      <x:c r="F259" s="7" t="n">
        <x:v>0</x:v>
      </x:c>
      <x:c r="G259" s="7" t="n">
        <x:v>0</x:v>
      </x:c>
      <x:c r="H259" s="7" t="n">
        <x:v>0</x:v>
      </x:c>
      <x:c r="I259" s="7" t="n">
        <x:v>0</x:v>
      </x:c>
      <x:c r="J259" s="7" t="n">
        <x:v>0</x:v>
      </x:c>
      <x:c r="K259" s="7" t="str">
        <x:v>DEFENSE_UP</x:v>
      </x:c>
      <x:c r="L259" s="7" t="n">
        <x:v>0.525</x:v>
      </x:c>
      <x:c r="M259" s="8" t="n">
        <x:v>1</x:v>
      </x:c>
      <x:c r="N259" s="7"/>
      <x:c r="O259" s="7"/>
      <x:c r="P259" s="8"/>
      <x:c r="Q259" s="7"/>
      <x:c r="R259" s="7"/>
      <x:c r="S259" s="8"/>
      <x:c r="T259" s="7"/>
      <x:c r="U259" s="7"/>
      <x:c r="V259" s="8"/>
      <x:c r="W259" s="7" t="n">
        <x:v>1</x:v>
      </x:c>
      <x:c r="X259" s="7" t="str">
        <x:v>대상: 아군. 100%확률로 방어력 증가 52.5% 적용합니다.</x:v>
      </x:c>
      <x:c r="Y259" s="7" t="str">
        <x:v>Target: one ally. 100% chance to apply Defense Up 52.5%.</x:v>
      </x:c>
      <x:c r="Z259" s="7" t="str">
        <x:v>버프</x:v>
      </x:c>
    </x:row>
    <x:row r="260" ht="115" customHeight="1">
      <x:c r="A260" s="7" t="str">
        <x:v>SKILL_0254</x:v>
      </x:c>
      <x:c r="B260" s="7" t="str">
        <x:v>속도 증가의 의식</x:v>
      </x:c>
      <x:c r="C260" s="7"/>
      <x:c r="D260" s="7" t="str">
        <x:v>아군</x:v>
      </x:c>
      <x:c r="E260" s="7" t="n">
        <x:v>0</x:v>
      </x:c>
      <x:c r="F260" s="7" t="n">
        <x:v>0</x:v>
      </x:c>
      <x:c r="G260" s="7" t="n">
        <x:v>0</x:v>
      </x:c>
      <x:c r="H260" s="7" t="n">
        <x:v>0</x:v>
      </x:c>
      <x:c r="I260" s="7" t="n">
        <x:v>0</x:v>
      </x:c>
      <x:c r="J260" s="7" t="n">
        <x:v>0</x:v>
      </x:c>
      <x:c r="K260" s="7" t="str">
        <x:v>SPEED_UP</x:v>
      </x:c>
      <x:c r="L260" s="7" t="n">
        <x:v>0.3</x:v>
      </x:c>
      <x:c r="M260" s="8" t="n">
        <x:v>1</x:v>
      </x:c>
      <x:c r="N260" s="7"/>
      <x:c r="O260" s="7"/>
      <x:c r="P260" s="8"/>
      <x:c r="Q260" s="7"/>
      <x:c r="R260" s="7"/>
      <x:c r="S260" s="8"/>
      <x:c r="T260" s="7"/>
      <x:c r="U260" s="7"/>
      <x:c r="V260" s="8"/>
      <x:c r="W260" s="7" t="n">
        <x:v>1</x:v>
      </x:c>
      <x:c r="X260" s="7" t="str">
        <x:v>대상: 아군. 100%확률로 속도 증가 30% 적용합니다.</x:v>
      </x:c>
      <x:c r="Y260" s="7" t="str">
        <x:v>Target: one ally. 100% chance to apply Speed Up 30%.</x:v>
      </x:c>
      <x:c r="Z260" s="7" t="str">
        <x:v>버프</x:v>
      </x:c>
    </x:row>
    <x:row r="261" ht="115" customHeight="1">
      <x:c r="A261" s="7" t="str">
        <x:v>SKILL_0255</x:v>
      </x:c>
      <x:c r="B261" s="7" t="str">
        <x:v>치명확률 증가의 의식</x:v>
      </x:c>
      <x:c r="C261" s="7"/>
      <x:c r="D261" s="7" t="str">
        <x:v>아군</x:v>
      </x:c>
      <x:c r="E261" s="7" t="n">
        <x:v>0</x:v>
      </x:c>
      <x:c r="F261" s="7" t="n">
        <x:v>0</x:v>
      </x:c>
      <x:c r="G261" s="7" t="n">
        <x:v>0</x:v>
      </x:c>
      <x:c r="H261" s="7" t="n">
        <x:v>0</x:v>
      </x:c>
      <x:c r="I261" s="7" t="n">
        <x:v>0</x:v>
      </x:c>
      <x:c r="J261" s="7" t="n">
        <x:v>0</x:v>
      </x:c>
      <x:c r="K261" s="7" t="str">
        <x:v>CRITICAL_CHANCE_UP</x:v>
      </x:c>
      <x:c r="L261" s="7" t="n">
        <x:v>0.3</x:v>
      </x:c>
      <x:c r="M261" s="8" t="n">
        <x:v>1</x:v>
      </x:c>
      <x:c r="N261" s="7"/>
      <x:c r="O261" s="7"/>
      <x:c r="P261" s="8"/>
      <x:c r="Q261" s="7"/>
      <x:c r="R261" s="7"/>
      <x:c r="S261" s="8"/>
      <x:c r="T261" s="7"/>
      <x:c r="U261" s="7"/>
      <x:c r="V261" s="8"/>
      <x:c r="W261" s="7" t="n">
        <x:v>1</x:v>
      </x:c>
      <x:c r="X261" s="7" t="str">
        <x:v>대상: 아군. 100%확률로 치명확률 증가 30% 적용합니다.</x:v>
      </x:c>
      <x:c r="Y261" s="7" t="str">
        <x:v>Target: one ally. 100% chance to apply Critical Hit Chance Up 30%.</x:v>
      </x:c>
      <x:c r="Z261" s="7" t="str">
        <x:v>버프</x:v>
      </x:c>
    </x:row>
    <x:row r="262" ht="115" customHeight="1">
      <x:c r="A262" s="7" t="str">
        <x:v>SKILL_0256</x:v>
      </x:c>
      <x:c r="B262" s="7" t="str">
        <x:v>치명피해 증가의 의식</x:v>
      </x:c>
      <x:c r="C262" s="7"/>
      <x:c r="D262" s="7" t="str">
        <x:v>아군</x:v>
      </x:c>
      <x:c r="E262" s="7" t="n">
        <x:v>0</x:v>
      </x:c>
      <x:c r="F262" s="7" t="n">
        <x:v>0</x:v>
      </x:c>
      <x:c r="G262" s="7" t="n">
        <x:v>0</x:v>
      </x:c>
      <x:c r="H262" s="7" t="n">
        <x:v>0</x:v>
      </x:c>
      <x:c r="I262" s="7" t="n">
        <x:v>0</x:v>
      </x:c>
      <x:c r="J262" s="7" t="n">
        <x:v>0</x:v>
      </x:c>
      <x:c r="K262" s="7" t="str">
        <x:v>CRITICAL_DAMAGE_UP</x:v>
      </x:c>
      <x:c r="L262" s="7" t="n">
        <x:v>0.45</x:v>
      </x:c>
      <x:c r="M262" s="8" t="n">
        <x:v>1</x:v>
      </x:c>
      <x:c r="N262" s="7"/>
      <x:c r="O262" s="7"/>
      <x:c r="P262" s="8"/>
      <x:c r="Q262" s="7"/>
      <x:c r="R262" s="7"/>
      <x:c r="S262" s="8"/>
      <x:c r="T262" s="7"/>
      <x:c r="U262" s="7"/>
      <x:c r="V262" s="8"/>
      <x:c r="W262" s="7" t="n">
        <x:v>1</x:v>
      </x:c>
      <x:c r="X262" s="7" t="str">
        <x:v>대상: 아군. 100%확률로 치명피해 증가 45% 적용합니다.</x:v>
      </x:c>
      <x:c r="Y262" s="7" t="str">
        <x:v>Target: one ally. 100% chance to apply Critical Hit Damage Up 45%.</x:v>
      </x:c>
      <x:c r="Z262" s="7" t="str">
        <x:v>버프</x:v>
      </x:c>
    </x:row>
    <x:row r="263" ht="115" customHeight="1">
      <x:c r="A263" s="7" t="str">
        <x:v>SKILL_0257</x:v>
      </x:c>
      <x:c r="B263" s="7" t="str">
        <x:v>효과적중 증가의 의식</x:v>
      </x:c>
      <x:c r="C263" s="7"/>
      <x:c r="D263" s="7" t="str">
        <x:v>아군</x:v>
      </x:c>
      <x:c r="E263" s="7" t="n">
        <x:v>0</x:v>
      </x:c>
      <x:c r="F263" s="7" t="n">
        <x:v>0</x:v>
      </x:c>
      <x:c r="G263" s="7" t="n">
        <x:v>0</x:v>
      </x:c>
      <x:c r="H263" s="7" t="n">
        <x:v>0</x:v>
      </x:c>
      <x:c r="I263" s="7" t="n">
        <x:v>0</x:v>
      </x:c>
      <x:c r="J263" s="7" t="n">
        <x:v>0</x:v>
      </x:c>
      <x:c r="K263" s="7" t="str">
        <x:v>EFFECTIVENESS_UP</x:v>
      </x:c>
      <x:c r="L263" s="7" t="n">
        <x:v>0.375</x:v>
      </x:c>
      <x:c r="M263" s="8" t="n">
        <x:v>1</x:v>
      </x:c>
      <x:c r="N263" s="7"/>
      <x:c r="O263" s="7"/>
      <x:c r="P263" s="8"/>
      <x:c r="Q263" s="7"/>
      <x:c r="R263" s="7"/>
      <x:c r="S263" s="8"/>
      <x:c r="T263" s="7"/>
      <x:c r="U263" s="7"/>
      <x:c r="V263" s="8"/>
      <x:c r="W263" s="7" t="n">
        <x:v>1</x:v>
      </x:c>
      <x:c r="X263" s="7" t="str">
        <x:v>대상: 아군. 100%확률로 효과적중 증가 37.5% 적용합니다.</x:v>
      </x:c>
      <x:c r="Y263" s="7" t="str">
        <x:v>Target: one ally. 100% chance to apply Effectiveness Up 37.5%.</x:v>
      </x:c>
      <x:c r="Z263" s="7" t="str">
        <x:v>버프</x:v>
      </x:c>
    </x:row>
    <x:row r="264" ht="115" customHeight="1">
      <x:c r="A264" s="7" t="str">
        <x:v>SKILL_0258</x:v>
      </x:c>
      <x:c r="B264" s="7" t="str">
        <x:v>효과저항 증가의 의식</x:v>
      </x:c>
      <x:c r="C264" s="7"/>
      <x:c r="D264" s="7" t="str">
        <x:v>아군</x:v>
      </x:c>
      <x:c r="E264" s="7" t="n">
        <x:v>0</x:v>
      </x:c>
      <x:c r="F264" s="7" t="n">
        <x:v>0</x:v>
      </x:c>
      <x:c r="G264" s="7" t="n">
        <x:v>0</x:v>
      </x:c>
      <x:c r="H264" s="7" t="n">
        <x:v>0</x:v>
      </x:c>
      <x:c r="I264" s="7" t="n">
        <x:v>0</x:v>
      </x:c>
      <x:c r="J264" s="7" t="n">
        <x:v>0</x:v>
      </x:c>
      <x:c r="K264" s="7" t="str">
        <x:v>EFFECT_RESISTANCE_UP</x:v>
      </x:c>
      <x:c r="L264" s="7" t="n">
        <x:v>0.375</x:v>
      </x:c>
      <x:c r="M264" s="8" t="n">
        <x:v>1</x:v>
      </x:c>
      <x:c r="N264" s="7"/>
      <x:c r="O264" s="7"/>
      <x:c r="P264" s="8"/>
      <x:c r="Q264" s="7"/>
      <x:c r="R264" s="7"/>
      <x:c r="S264" s="8"/>
      <x:c r="T264" s="7"/>
      <x:c r="U264" s="7"/>
      <x:c r="V264" s="8"/>
      <x:c r="W264" s="7" t="n">
        <x:v>1</x:v>
      </x:c>
      <x:c r="X264" s="7" t="str">
        <x:v>대상: 아군. 100%확률로 효과저항 증가 37.5% 적용합니다.</x:v>
      </x:c>
      <x:c r="Y264" s="7" t="str">
        <x:v>Target: one ally. 100% chance to apply Effect Resistance Up 37.5%.</x:v>
      </x:c>
      <x:c r="Z264" s="7" t="str">
        <x:v>버프</x:v>
      </x:c>
    </x:row>
    <x:row r="265" ht="115" customHeight="1">
      <x:c r="A265" s="7" t="str">
        <x:v>SKILL_0259</x:v>
      </x:c>
      <x:c r="B265" s="7" t="str">
        <x:v>회피 증가의 의식</x:v>
      </x:c>
      <x:c r="C265" s="7"/>
      <x:c r="D265" s="7" t="str">
        <x:v>아군</x:v>
      </x:c>
      <x:c r="E265" s="7" t="n">
        <x:v>0</x:v>
      </x:c>
      <x:c r="F265" s="7" t="n">
        <x:v>0</x:v>
      </x:c>
      <x:c r="G265" s="7" t="n">
        <x:v>0</x:v>
      </x:c>
      <x:c r="H265" s="7" t="n">
        <x:v>0</x:v>
      </x:c>
      <x:c r="I265" s="7" t="n">
        <x:v>0</x:v>
      </x:c>
      <x:c r="J265" s="7" t="n">
        <x:v>0</x:v>
      </x:c>
      <x:c r="K265" s="7" t="str">
        <x:v>EVASION_UP</x:v>
      </x:c>
      <x:c r="L265" s="7" t="n">
        <x:v>0.3</x:v>
      </x:c>
      <x:c r="M265" s="8" t="n">
        <x:v>1</x:v>
      </x:c>
      <x:c r="N265" s="7"/>
      <x:c r="O265" s="7"/>
      <x:c r="P265" s="8"/>
      <x:c r="Q265" s="7"/>
      <x:c r="R265" s="7"/>
      <x:c r="S265" s="8"/>
      <x:c r="T265" s="7"/>
      <x:c r="U265" s="7"/>
      <x:c r="V265" s="8"/>
      <x:c r="W265" s="7" t="n">
        <x:v>1</x:v>
      </x:c>
      <x:c r="X265" s="7" t="str">
        <x:v>대상: 아군. 100%확률로 회피 증가 30% 적용합니다.</x:v>
      </x:c>
      <x:c r="Y265" s="7" t="str">
        <x:v>Target: one ally. 100% chance to apply Evasion Up 30%.</x:v>
      </x:c>
      <x:c r="Z265" s="7" t="str">
        <x:v>버프</x:v>
      </x:c>
    </x:row>
    <x:row r="266" ht="115" customHeight="1">
      <x:c r="A266" s="7" t="str">
        <x:v>SKILL_0260</x:v>
      </x:c>
      <x:c r="B266" s="7" t="str">
        <x:v>치명저항 증가의 의식</x:v>
      </x:c>
      <x:c r="C266" s="7"/>
      <x:c r="D266" s="7" t="str">
        <x:v>아군</x:v>
      </x:c>
      <x:c r="E266" s="7" t="n">
        <x:v>0</x:v>
      </x:c>
      <x:c r="F266" s="7" t="n">
        <x:v>0</x:v>
      </x:c>
      <x:c r="G266" s="7" t="n">
        <x:v>0</x:v>
      </x:c>
      <x:c r="H266" s="7" t="n">
        <x:v>0</x:v>
      </x:c>
      <x:c r="I266" s="7" t="n">
        <x:v>0</x:v>
      </x:c>
      <x:c r="J266" s="7" t="n">
        <x:v>0</x:v>
      </x:c>
      <x:c r="K266" s="7" t="str">
        <x:v>CRITICAL_RESISTANCE_UP</x:v>
      </x:c>
      <x:c r="L266" s="7" t="n">
        <x:v>0.375</x:v>
      </x:c>
      <x:c r="M266" s="8" t="n">
        <x:v>1</x:v>
      </x:c>
      <x:c r="N266" s="7"/>
      <x:c r="O266" s="7"/>
      <x:c r="P266" s="8"/>
      <x:c r="Q266" s="7"/>
      <x:c r="R266" s="7"/>
      <x:c r="S266" s="8"/>
      <x:c r="T266" s="7"/>
      <x:c r="U266" s="7"/>
      <x:c r="V266" s="8"/>
      <x:c r="W266" s="7" t="n">
        <x:v>1</x:v>
      </x:c>
      <x:c r="X266" s="7" t="str">
        <x:v>대상: 아군. 100%확률로 치명저항 증가 37.5% 적용합니다.</x:v>
      </x:c>
      <x:c r="Y266" s="7" t="str">
        <x:v>Target: one ally. 100% chance to apply Critical Hit Resistance Up 37.5%.</x:v>
      </x:c>
      <x:c r="Z266" s="7" t="str">
        <x:v>버프</x:v>
      </x:c>
    </x:row>
    <x:row r="267" ht="115" customHeight="1">
      <x:c r="A267" s="7" t="str">
        <x:v>SKILL_0261</x:v>
      </x:c>
      <x:c r="B267" s="7" t="str">
        <x:v>명중 증가의 의식</x:v>
      </x:c>
      <x:c r="C267" s="7"/>
      <x:c r="D267" s="7" t="str">
        <x:v>아군</x:v>
      </x:c>
      <x:c r="E267" s="7" t="n">
        <x:v>0</x:v>
      </x:c>
      <x:c r="F267" s="7" t="n">
        <x:v>0</x:v>
      </x:c>
      <x:c r="G267" s="7" t="n">
        <x:v>0</x:v>
      </x:c>
      <x:c r="H267" s="7" t="n">
        <x:v>0</x:v>
      </x:c>
      <x:c r="I267" s="7" t="n">
        <x:v>0</x:v>
      </x:c>
      <x:c r="J267" s="7" t="n">
        <x:v>0</x:v>
      </x:c>
      <x:c r="K267" s="7" t="str">
        <x:v>HIT_CHANCE_UP</x:v>
      </x:c>
      <x:c r="L267" s="7" t="n">
        <x:v>0.3</x:v>
      </x:c>
      <x:c r="M267" s="8" t="n">
        <x:v>1</x:v>
      </x:c>
      <x:c r="N267" s="7"/>
      <x:c r="O267" s="7"/>
      <x:c r="P267" s="8"/>
      <x:c r="Q267" s="7"/>
      <x:c r="R267" s="7"/>
      <x:c r="S267" s="8"/>
      <x:c r="T267" s="7"/>
      <x:c r="U267" s="7"/>
      <x:c r="V267" s="8"/>
      <x:c r="W267" s="7" t="n">
        <x:v>1</x:v>
      </x:c>
      <x:c r="X267" s="7" t="str">
        <x:v>대상: 아군. 100%확률로 명중 증가 30% 적용합니다.</x:v>
      </x:c>
      <x:c r="Y267" s="7" t="str">
        <x:v>Target: one ally. 100% chance to apply Hit Chance Up 30%.</x:v>
      </x:c>
      <x:c r="Z267" s="7" t="str">
        <x:v>버프</x:v>
      </x:c>
    </x:row>
    <x:row r="268" ht="115" customHeight="1">
      <x:c r="A268" s="7" t="str">
        <x:v>SKILL_0262</x:v>
      </x:c>
      <x:c r="B268" s="7" t="str">
        <x:v>생명력 회복의 의식</x:v>
      </x:c>
      <x:c r="C268" s="7"/>
      <x:c r="D268" s="7" t="str">
        <x:v>아군</x:v>
      </x:c>
      <x:c r="E268" s="7" t="n">
        <x:v>0</x:v>
      </x:c>
      <x:c r="F268" s="7" t="n">
        <x:v>0</x:v>
      </x:c>
      <x:c r="G268" s="7" t="n">
        <x:v>0</x:v>
      </x:c>
      <x:c r="H268" s="7" t="n">
        <x:v>0</x:v>
      </x:c>
      <x:c r="I268" s="7" t="n">
        <x:v>0.65</x:v>
      </x:c>
      <x:c r="J268" s="7" t="n">
        <x:v>0</x:v>
      </x:c>
      <x:c r="K268" s="7" t="str">
        <x:v>HEAL</x:v>
      </x:c>
      <x:c r="L268" s="7" t="n">
        <x:v>1</x:v>
      </x:c>
      <x:c r="M268" s="8" t="n">
        <x:v>1</x:v>
      </x:c>
      <x:c r="N268" s="7"/>
      <x:c r="O268" s="7"/>
      <x:c r="P268" s="8"/>
      <x:c r="Q268" s="7"/>
      <x:c r="R268" s="7"/>
      <x:c r="S268" s="8"/>
      <x:c r="T268" s="7"/>
      <x:c r="U268" s="7"/>
      <x:c r="V268" s="8"/>
      <x:c r="W268" s="7" t="n">
        <x:v>1</x:v>
      </x:c>
      <x:c r="X268" s="7" t="str">
        <x:v>대상: 아군. 아군을 시전자의 공격력의 0.65배만큼 회복시킵니다.</x:v>
      </x:c>
      <x:c r="Y268" s="7" t="str">
        <x:v>Target: one ally. Heals one ally for 0.65 × caster Attack.</x:v>
      </x:c>
      <x:c r="Z268" s="7" t="str">
        <x:v>회복</x:v>
      </x:c>
    </x:row>
    <x:row r="269" ht="115" customHeight="1">
      <x:c r="A269" s="7" t="str">
        <x:v>SKILL_0263</x:v>
      </x:c>
      <x:c r="B269" s="7" t="str">
        <x:v>지속 회복의 의식</x:v>
      </x:c>
      <x:c r="C269" s="7"/>
      <x:c r="D269" s="7" t="str">
        <x:v>아군</x:v>
      </x:c>
      <x:c r="E269" s="7" t="n">
        <x:v>0</x:v>
      </x:c>
      <x:c r="F269" s="7" t="n">
        <x:v>0</x:v>
      </x:c>
      <x:c r="G269" s="7" t="n">
        <x:v>0</x:v>
      </x:c>
      <x:c r="H269" s="7" t="n">
        <x:v>0</x:v>
      </x:c>
      <x:c r="I269" s="7" t="n">
        <x:v>0</x:v>
      </x:c>
      <x:c r="J269" s="7" t="n">
        <x:v>0</x:v>
      </x:c>
      <x:c r="K269" s="7" t="str">
        <x:v>CONTINUOUS_HEAL</x:v>
      </x:c>
      <x:c r="L269" s="7" t="n">
        <x:v>0.105</x:v>
      </x:c>
      <x:c r="M269" s="8" t="n">
        <x:v>1</x:v>
      </x:c>
      <x:c r="N269" s="7"/>
      <x:c r="O269" s="7"/>
      <x:c r="P269" s="8"/>
      <x:c r="Q269" s="7"/>
      <x:c r="R269" s="7"/>
      <x:c r="S269" s="8"/>
      <x:c r="T269" s="7"/>
      <x:c r="U269" s="7"/>
      <x:c r="V269" s="8"/>
      <x:c r="W269" s="7" t="n">
        <x:v>1</x:v>
      </x:c>
      <x:c r="X269" s="7" t="str">
        <x:v>대상: 아군. 100%확률로 지속 회복을 부여합니다(2턴, 대상의 턴 시작마다 대상 최대생명력의 10.5% 회복).</x:v>
      </x:c>
      <x:c r="Y269" s="7" t="str">
        <x:v>Target: one ally. 100% chance to grant Continuous Heal for 2 turns, restoring 10.5% of the recipient's max Health at each turn start.</x:v>
      </x:c>
      <x:c r="Z269" s="7" t="str">
        <x:v>회복|버프</x:v>
      </x:c>
    </x:row>
    <x:row r="270" ht="115" customHeight="1">
      <x:c r="A270" s="7" t="str">
        <x:v>SKILL_0264</x:v>
      </x:c>
      <x:c r="B270" s="7" t="str">
        <x:v>보호막의 의식</x:v>
      </x:c>
      <x:c r="C270" s="7"/>
      <x:c r="D270" s="7" t="str">
        <x:v>아군</x:v>
      </x:c>
      <x:c r="E270" s="7" t="n">
        <x:v>0</x:v>
      </x:c>
      <x:c r="F270" s="7" t="n">
        <x:v>0</x:v>
      </x:c>
      <x:c r="G270" s="7" t="n">
        <x:v>0</x:v>
      </x:c>
      <x:c r="H270" s="7" t="n">
        <x:v>0</x:v>
      </x:c>
      <x:c r="I270" s="7" t="n">
        <x:v>0</x:v>
      </x:c>
      <x:c r="J270" s="7" t="n">
        <x:v>0</x:v>
      </x:c>
      <x:c r="K270" s="7" t="str">
        <x:v>BARRIER</x:v>
      </x:c>
      <x:c r="L270" s="7" t="n">
        <x:v>0.225</x:v>
      </x:c>
      <x:c r="M270" s="8" t="n">
        <x:v>1</x:v>
      </x:c>
      <x:c r="N270" s="7"/>
      <x:c r="O270" s="7"/>
      <x:c r="P270" s="8"/>
      <x:c r="Q270" s="7"/>
      <x:c r="R270" s="7"/>
      <x:c r="S270" s="8"/>
      <x:c r="T270" s="7"/>
      <x:c r="U270" s="7"/>
      <x:c r="V270" s="8"/>
      <x:c r="W270" s="7" t="n">
        <x:v>1</x:v>
      </x:c>
      <x:c r="X270" s="7" t="str">
        <x:v>대상: 아군. 100%확률로 보호막 22.5% 적용합니다.</x:v>
      </x:c>
      <x:c r="Y270" s="7" t="str">
        <x:v>Target: one ally. 100% chance to apply Barrier 22.5%.</x:v>
      </x:c>
      <x:c r="Z270" s="7" t="str">
        <x:v>버프</x:v>
      </x:c>
    </x:row>
    <x:row r="271" ht="115" customHeight="1">
      <x:c r="A271" s="7" t="str">
        <x:v>SKILL_0265</x:v>
      </x:c>
      <x:c r="B271" s="7" t="str">
        <x:v>무적의 의식</x:v>
      </x:c>
      <x:c r="C271" s="7"/>
      <x:c r="D271" s="7" t="str">
        <x:v>아군</x:v>
      </x:c>
      <x:c r="E271" s="7" t="n">
        <x:v>0</x:v>
      </x:c>
      <x:c r="F271" s="7" t="n">
        <x:v>0</x:v>
      </x:c>
      <x:c r="G271" s="7" t="n">
        <x:v>0</x:v>
      </x:c>
      <x:c r="H271" s="7" t="n">
        <x:v>0</x:v>
      </x:c>
      <x:c r="I271" s="7" t="n">
        <x:v>0</x:v>
      </x:c>
      <x:c r="J271" s="7" t="n">
        <x:v>0</x:v>
      </x:c>
      <x:c r="K271" s="7" t="str">
        <x:v>INVINCIBILITY</x:v>
      </x:c>
      <x:c r="L271" s="7" t="n">
        <x:v>1</x:v>
      </x:c>
      <x:c r="M271" s="8" t="n">
        <x:v>1</x:v>
      </x:c>
      <x:c r="N271" s="7"/>
      <x:c r="O271" s="7"/>
      <x:c r="P271" s="8"/>
      <x:c r="Q271" s="7"/>
      <x:c r="R271" s="7"/>
      <x:c r="S271" s="8"/>
      <x:c r="T271" s="7"/>
      <x:c r="U271" s="7"/>
      <x:c r="V271" s="8"/>
      <x:c r="W271" s="7" t="n">
        <x:v>3</x:v>
      </x:c>
      <x:c r="X271" s="7" t="str">
        <x:v>대상: 아군. 100%확률로 무적 적용합니다.</x:v>
      </x:c>
      <x:c r="Y271" s="7" t="str">
        <x:v>Target: one ally. 100% chance to apply Invincibility.</x:v>
      </x:c>
      <x:c r="Z271" s="7" t="str">
        <x:v>버프</x:v>
      </x:c>
    </x:row>
    <x:row r="272" ht="115" customHeight="1">
      <x:c r="A272" s="7" t="str">
        <x:v>SKILL_0266</x:v>
      </x:c>
      <x:c r="B272" s="7" t="str">
        <x:v>불사의 의식</x:v>
      </x:c>
      <x:c r="C272" s="7"/>
      <x:c r="D272" s="7" t="str">
        <x:v>아군</x:v>
      </x:c>
      <x:c r="E272" s="7" t="n">
        <x:v>0</x:v>
      </x:c>
      <x:c r="F272" s="7" t="n">
        <x:v>0</x:v>
      </x:c>
      <x:c r="G272" s="7" t="n">
        <x:v>0</x:v>
      </x:c>
      <x:c r="H272" s="7" t="n">
        <x:v>0</x:v>
      </x:c>
      <x:c r="I272" s="7" t="n">
        <x:v>0</x:v>
      </x:c>
      <x:c r="J272" s="7" t="n">
        <x:v>0</x:v>
      </x:c>
      <x:c r="K272" s="7" t="str">
        <x:v>IMMORTALITY</x:v>
      </x:c>
      <x:c r="L272" s="7" t="n">
        <x:v>1</x:v>
      </x:c>
      <x:c r="M272" s="8" t="n">
        <x:v>1</x:v>
      </x:c>
      <x:c r="N272" s="7"/>
      <x:c r="O272" s="7"/>
      <x:c r="P272" s="8"/>
      <x:c r="Q272" s="7"/>
      <x:c r="R272" s="7"/>
      <x:c r="S272" s="8"/>
      <x:c r="T272" s="7"/>
      <x:c r="U272" s="7"/>
      <x:c r="V272" s="8"/>
      <x:c r="W272" s="7" t="n">
        <x:v>3</x:v>
      </x:c>
      <x:c r="X272" s="7" t="str">
        <x:v>대상: 아군. 100%확률로 불사 적용합니다.</x:v>
      </x:c>
      <x:c r="Y272" s="7" t="str">
        <x:v>Target: one ally. 100% chance to apply Immortality.</x:v>
      </x:c>
      <x:c r="Z272" s="7" t="str">
        <x:v>버프</x:v>
      </x:c>
    </x:row>
    <x:row r="273" ht="115" customHeight="1">
      <x:c r="A273" s="7" t="str">
        <x:v>SKILL_0267</x:v>
      </x:c>
      <x:c r="B273" s="7" t="str">
        <x:v>면역의 의식</x:v>
      </x:c>
      <x:c r="C273" s="7"/>
      <x:c r="D273" s="7" t="str">
        <x:v>아군</x:v>
      </x:c>
      <x:c r="E273" s="7" t="n">
        <x:v>0</x:v>
      </x:c>
      <x:c r="F273" s="7" t="n">
        <x:v>0</x:v>
      </x:c>
      <x:c r="G273" s="7" t="n">
        <x:v>0</x:v>
      </x:c>
      <x:c r="H273" s="7" t="n">
        <x:v>0</x:v>
      </x:c>
      <x:c r="I273" s="7" t="n">
        <x:v>0</x:v>
      </x:c>
      <x:c r="J273" s="7" t="n">
        <x:v>0</x:v>
      </x:c>
      <x:c r="K273" s="7" t="str">
        <x:v>IMMUNITY</x:v>
      </x:c>
      <x:c r="L273" s="7" t="n">
        <x:v>1</x:v>
      </x:c>
      <x:c r="M273" s="8" t="n">
        <x:v>1</x:v>
      </x:c>
      <x:c r="N273" s="7"/>
      <x:c r="O273" s="7"/>
      <x:c r="P273" s="8"/>
      <x:c r="Q273" s="7"/>
      <x:c r="R273" s="7"/>
      <x:c r="S273" s="8"/>
      <x:c r="T273" s="7"/>
      <x:c r="U273" s="7"/>
      <x:c r="V273" s="8"/>
      <x:c r="W273" s="7" t="n">
        <x:v>1</x:v>
      </x:c>
      <x:c r="X273" s="7" t="str">
        <x:v>대상: 아군. 100%확률로 면역 적용합니다.</x:v>
      </x:c>
      <x:c r="Y273" s="7" t="str">
        <x:v>Target: one ally. 100% chance to apply Immunity.</x:v>
      </x:c>
      <x:c r="Z273" s="7" t="str">
        <x:v>버프</x:v>
      </x:c>
    </x:row>
    <x:row r="274" ht="115" customHeight="1">
      <x:c r="A274" s="7" t="str">
        <x:v>SKILL_0268</x:v>
      </x:c>
      <x:c r="B274" s="7" t="str">
        <x:v>은신의 의식</x:v>
      </x:c>
      <x:c r="C274" s="7"/>
      <x:c r="D274" s="7" t="str">
        <x:v>아군</x:v>
      </x:c>
      <x:c r="E274" s="7" t="n">
        <x:v>0</x:v>
      </x:c>
      <x:c r="F274" s="7" t="n">
        <x:v>0</x:v>
      </x:c>
      <x:c r="G274" s="7" t="n">
        <x:v>0</x:v>
      </x:c>
      <x:c r="H274" s="7" t="n">
        <x:v>0</x:v>
      </x:c>
      <x:c r="I274" s="7" t="n">
        <x:v>0</x:v>
      </x:c>
      <x:c r="J274" s="7" t="n">
        <x:v>0</x:v>
      </x:c>
      <x:c r="K274" s="7" t="str">
        <x:v>STEALTH</x:v>
      </x:c>
      <x:c r="L274" s="7" t="n">
        <x:v>1</x:v>
      </x:c>
      <x:c r="M274" s="8" t="n">
        <x:v>1</x:v>
      </x:c>
      <x:c r="N274" s="7"/>
      <x:c r="O274" s="7"/>
      <x:c r="P274" s="8"/>
      <x:c r="Q274" s="7"/>
      <x:c r="R274" s="7"/>
      <x:c r="S274" s="8"/>
      <x:c r="T274" s="7"/>
      <x:c r="U274" s="7"/>
      <x:c r="V274" s="8"/>
      <x:c r="W274" s="7" t="n">
        <x:v>1</x:v>
      </x:c>
      <x:c r="X274" s="7" t="str">
        <x:v>대상: 아군. 100%확률로 은신 적용합니다.</x:v>
      </x:c>
      <x:c r="Y274" s="7" t="str">
        <x:v>Target: one ally. 100% chance to apply Stealth.</x:v>
      </x:c>
      <x:c r="Z274" s="7" t="str">
        <x:v>버프</x:v>
      </x:c>
    </x:row>
    <x:row r="275" ht="115" customHeight="1">
      <x:c r="A275" s="7" t="str">
        <x:v>SKILL_0269</x:v>
      </x:c>
      <x:c r="B275" s="7" t="str">
        <x:v>피해 감소의 의식</x:v>
      </x:c>
      <x:c r="C275" s="7"/>
      <x:c r="D275" s="7" t="str">
        <x:v>아군</x:v>
      </x:c>
      <x:c r="E275" s="7" t="n">
        <x:v>0</x:v>
      </x:c>
      <x:c r="F275" s="7" t="n">
        <x:v>0</x:v>
      </x:c>
      <x:c r="G275" s="7" t="n">
        <x:v>0</x:v>
      </x:c>
      <x:c r="H275" s="7" t="n">
        <x:v>0</x:v>
      </x:c>
      <x:c r="I275" s="7" t="n">
        <x:v>0</x:v>
      </x:c>
      <x:c r="J275" s="7" t="n">
        <x:v>0</x:v>
      </x:c>
      <x:c r="K275" s="7" t="str">
        <x:v>DAMAGE_REDUCTION</x:v>
      </x:c>
      <x:c r="L275" s="7" t="n">
        <x:v>0.3</x:v>
      </x:c>
      <x:c r="M275" s="8" t="n">
        <x:v>1</x:v>
      </x:c>
      <x:c r="N275" s="7"/>
      <x:c r="O275" s="7"/>
      <x:c r="P275" s="8"/>
      <x:c r="Q275" s="7"/>
      <x:c r="R275" s="7"/>
      <x:c r="S275" s="8"/>
      <x:c r="T275" s="7"/>
      <x:c r="U275" s="7"/>
      <x:c r="V275" s="8"/>
      <x:c r="W275" s="7" t="n">
        <x:v>1</x:v>
      </x:c>
      <x:c r="X275" s="7" t="str">
        <x:v>대상: 아군. 100%확률로 피해 감소 30% 적용합니다.</x:v>
      </x:c>
      <x:c r="Y275" s="7" t="str">
        <x:v>Target: one ally. 100% chance to apply Damage Reduction 30%.</x:v>
      </x:c>
      <x:c r="Z275" s="7" t="str">
        <x:v>버프</x:v>
      </x:c>
    </x:row>
    <x:row r="276" ht="115" customHeight="1">
      <x:c r="A276" s="7" t="str">
        <x:v>SKILL_0270</x:v>
      </x:c>
      <x:c r="B276" s="7" t="str">
        <x:v>피해 분담의 의식</x:v>
      </x:c>
      <x:c r="C276" s="7"/>
      <x:c r="D276" s="7" t="str">
        <x:v>자신</x:v>
      </x:c>
      <x:c r="E276" s="7" t="n">
        <x:v>0</x:v>
      </x:c>
      <x:c r="F276" s="7" t="n">
        <x:v>0</x:v>
      </x:c>
      <x:c r="G276" s="7" t="n">
        <x:v>0</x:v>
      </x:c>
      <x:c r="H276" s="7" t="n">
        <x:v>0</x:v>
      </x:c>
      <x:c r="I276" s="7" t="n">
        <x:v>0</x:v>
      </x:c>
      <x:c r="J276" s="7" t="n">
        <x:v>0</x:v>
      </x:c>
      <x:c r="K276" s="7" t="str">
        <x:v>DAMAGE_SHARING</x:v>
      </x:c>
      <x:c r="L276" s="7" t="n">
        <x:v>0.3</x:v>
      </x:c>
      <x:c r="M276" s="8" t="n">
        <x:v>1</x:v>
      </x:c>
      <x:c r="N276" s="7"/>
      <x:c r="O276" s="7"/>
      <x:c r="P276" s="8"/>
      <x:c r="Q276" s="7"/>
      <x:c r="R276" s="7"/>
      <x:c r="S276" s="8"/>
      <x:c r="T276" s="7"/>
      <x:c r="U276" s="7"/>
      <x:c r="V276" s="8"/>
      <x:c r="W276" s="7" t="n">
        <x:v>1</x:v>
      </x:c>
      <x:c r="X276" s="7" t="str">
        <x:v>대상: 자신. 100%확률로 피해 분담 30% 획득합니다.</x:v>
      </x:c>
      <x:c r="Y276" s="7" t="str">
        <x:v>Target: the caster. 100% chance to gain Damage Sharing 30%.</x:v>
      </x:c>
      <x:c r="Z276" s="7" t="str">
        <x:v>버프</x:v>
      </x:c>
    </x:row>
    <x:row r="277" ht="115" customHeight="1">
      <x:c r="A277" s="7" t="str">
        <x:v>SKILL_0271</x:v>
      </x:c>
      <x:c r="B277" s="7" t="str">
        <x:v>피해 반사의 의식</x:v>
      </x:c>
      <x:c r="C277" s="7"/>
      <x:c r="D277" s="7" t="str">
        <x:v>아군</x:v>
      </x:c>
      <x:c r="E277" s="7" t="n">
        <x:v>0</x:v>
      </x:c>
      <x:c r="F277" s="7" t="n">
        <x:v>0</x:v>
      </x:c>
      <x:c r="G277" s="7" t="n">
        <x:v>0</x:v>
      </x:c>
      <x:c r="H277" s="7" t="n">
        <x:v>0</x:v>
      </x:c>
      <x:c r="I277" s="7" t="n">
        <x:v>0</x:v>
      </x:c>
      <x:c r="J277" s="7" t="n">
        <x:v>0</x:v>
      </x:c>
      <x:c r="K277" s="7" t="str">
        <x:v>DAMAGE_REFLECTION</x:v>
      </x:c>
      <x:c r="L277" s="7" t="n">
        <x:v>0.3</x:v>
      </x:c>
      <x:c r="M277" s="8" t="n">
        <x:v>1</x:v>
      </x:c>
      <x:c r="N277" s="7"/>
      <x:c r="O277" s="7"/>
      <x:c r="P277" s="8"/>
      <x:c r="Q277" s="7"/>
      <x:c r="R277" s="7"/>
      <x:c r="S277" s="8"/>
      <x:c r="T277" s="7"/>
      <x:c r="U277" s="7"/>
      <x:c r="V277" s="8"/>
      <x:c r="W277" s="7" t="n">
        <x:v>1</x:v>
      </x:c>
      <x:c r="X277" s="7" t="str">
        <x:v>대상: 아군. 100%확률로 피해 반사 30% 적용합니다.</x:v>
      </x:c>
      <x:c r="Y277" s="7" t="str">
        <x:v>Target: one ally. 100% chance to apply Damage Reflection 30%.</x:v>
      </x:c>
      <x:c r="Z277" s="7" t="str">
        <x:v>공격|버프</x:v>
      </x:c>
    </x:row>
    <x:row r="278" ht="115" customHeight="1">
      <x:c r="A278" s="7" t="str">
        <x:v>SKILL_0272</x:v>
      </x:c>
      <x:c r="B278" s="7" t="str">
        <x:v>부활의 의식</x:v>
      </x:c>
      <x:c r="C278" s="7"/>
      <x:c r="D278" s="7" t="str">
        <x:v>아군</x:v>
      </x:c>
      <x:c r="E278" s="7" t="n">
        <x:v>0</x:v>
      </x:c>
      <x:c r="F278" s="7" t="n">
        <x:v>0</x:v>
      </x:c>
      <x:c r="G278" s="7" t="n">
        <x:v>0</x:v>
      </x:c>
      <x:c r="H278" s="7" t="n">
        <x:v>0</x:v>
      </x:c>
      <x:c r="I278" s="7" t="n">
        <x:v>0</x:v>
      </x:c>
      <x:c r="J278" s="7" t="n">
        <x:v>0</x:v>
      </x:c>
      <x:c r="K278" s="7" t="str">
        <x:v>REVIVE</x:v>
      </x:c>
      <x:c r="L278" s="7" t="n">
        <x:v>1</x:v>
      </x:c>
      <x:c r="M278" s="8" t="n">
        <x:v>1</x:v>
      </x:c>
      <x:c r="N278" s="7"/>
      <x:c r="O278" s="7"/>
      <x:c r="P278" s="8"/>
      <x:c r="Q278" s="7"/>
      <x:c r="R278" s="7"/>
      <x:c r="S278" s="8"/>
      <x:c r="T278" s="7"/>
      <x:c r="U278" s="7"/>
      <x:c r="V278" s="8"/>
      <x:c r="W278" s="7" t="n">
        <x:v>5</x:v>
      </x:c>
      <x:c r="X278" s="7" t="str">
        <x:v>대상: 사망한 아군. 100%확률로 부활 100% 적용합니다.</x:v>
      </x:c>
      <x:c r="Y278" s="7" t="str">
        <x:v>Target: one dead ally. 100% chance to apply Revive 100%.</x:v>
      </x:c>
      <x:c r="Z278" s="7" t="str">
        <x:v>회복|버프</x:v>
      </x:c>
    </x:row>
    <x:row r="279" ht="115" customHeight="1">
      <x:c r="A279" s="7" t="str">
        <x:v>SKILL_0273</x:v>
      </x:c>
      <x:c r="B279" s="7" t="str">
        <x:v>소생의 의식</x:v>
      </x:c>
      <x:c r="C279" s="7"/>
      <x:c r="D279" s="7" t="str">
        <x:v>아군</x:v>
      </x:c>
      <x:c r="E279" s="7" t="n">
        <x:v>0</x:v>
      </x:c>
      <x:c r="F279" s="7" t="n">
        <x:v>0</x:v>
      </x:c>
      <x:c r="G279" s="7" t="n">
        <x:v>0</x:v>
      </x:c>
      <x:c r="H279" s="7" t="n">
        <x:v>0</x:v>
      </x:c>
      <x:c r="I279" s="7" t="n">
        <x:v>0</x:v>
      </x:c>
      <x:c r="J279" s="7" t="n">
        <x:v>0</x:v>
      </x:c>
      <x:c r="K279" s="7" t="str">
        <x:v>AUTO_REVIVE</x:v>
      </x:c>
      <x:c r="L279" s="7" t="n">
        <x:v>1</x:v>
      </x:c>
      <x:c r="M279" s="8" t="n">
        <x:v>1</x:v>
      </x:c>
      <x:c r="N279" s="7"/>
      <x:c r="O279" s="7"/>
      <x:c r="P279" s="8"/>
      <x:c r="Q279" s="7"/>
      <x:c r="R279" s="7"/>
      <x:c r="S279" s="8"/>
      <x:c r="T279" s="7"/>
      <x:c r="U279" s="7"/>
      <x:c r="V279" s="8"/>
      <x:c r="W279" s="7" t="n">
        <x:v>5</x:v>
      </x:c>
      <x:c r="X279" s="7" t="str">
        <x:v>대상: 아군. 100%확률로 소생 100% 적용합니다.</x:v>
      </x:c>
      <x:c r="Y279" s="7" t="str">
        <x:v>Target: one ally. 100% chance to apply Auto Revive 100%.</x:v>
      </x:c>
      <x:c r="Z279" s="7" t="str">
        <x:v>회복|버프</x:v>
      </x:c>
    </x:row>
    <x:row r="280" ht="115" customHeight="1">
      <x:c r="A280" s="7" t="str">
        <x:v>SKILL_0274</x:v>
      </x:c>
      <x:c r="B280" s="7" t="str">
        <x:v>반격의 의식</x:v>
      </x:c>
      <x:c r="C280" s="7"/>
      <x:c r="D280" s="7" t="str">
        <x:v>아군</x:v>
      </x:c>
      <x:c r="E280" s="7" t="n">
        <x:v>0</x:v>
      </x:c>
      <x:c r="F280" s="7" t="n">
        <x:v>0</x:v>
      </x:c>
      <x:c r="G280" s="7" t="n">
        <x:v>0</x:v>
      </x:c>
      <x:c r="H280" s="7" t="n">
        <x:v>0</x:v>
      </x:c>
      <x:c r="I280" s="7" t="n">
        <x:v>0</x:v>
      </x:c>
      <x:c r="J280" s="7" t="n">
        <x:v>0</x:v>
      </x:c>
      <x:c r="K280" s="7" t="str">
        <x:v>COUNTERATTACK</x:v>
      </x:c>
      <x:c r="L280" s="7" t="n">
        <x:v>0.6</x:v>
      </x:c>
      <x:c r="M280" s="8" t="n">
        <x:v>1</x:v>
      </x:c>
      <x:c r="N280" s="7"/>
      <x:c r="O280" s="7"/>
      <x:c r="P280" s="8"/>
      <x:c r="Q280" s="7"/>
      <x:c r="R280" s="7"/>
      <x:c r="S280" s="8"/>
      <x:c r="T280" s="7"/>
      <x:c r="U280" s="7"/>
      <x:c r="V280" s="8"/>
      <x:c r="W280" s="7" t="n">
        <x:v>1</x:v>
      </x:c>
      <x:c r="X280" s="7" t="str">
        <x:v>대상: 아군. 100%확률로 반격 60% 적용합니다.</x:v>
      </x:c>
      <x:c r="Y280" s="7" t="str">
        <x:v>Target: one ally. 100% chance to apply Counterattack 60%.</x:v>
      </x:c>
      <x:c r="Z280" s="7" t="str">
        <x:v>공격|버프</x:v>
      </x:c>
    </x:row>
    <x:row r="281" ht="115" customHeight="1">
      <x:c r="A281" s="7" t="str">
        <x:v>SKILL_0275</x:v>
      </x:c>
      <x:c r="B281" s="7" t="str">
        <x:v>스킬 쿨타임 감소의 의식</x:v>
      </x:c>
      <x:c r="C281" s="7"/>
      <x:c r="D281" s="7" t="str">
        <x:v>아군</x:v>
      </x:c>
      <x:c r="E281" s="7" t="n">
        <x:v>0</x:v>
      </x:c>
      <x:c r="F281" s="7" t="n">
        <x:v>0</x:v>
      </x:c>
      <x:c r="G281" s="7" t="n">
        <x:v>0</x:v>
      </x:c>
      <x:c r="H281" s="7" t="n">
        <x:v>0</x:v>
      </x:c>
      <x:c r="I281" s="7" t="n">
        <x:v>0</x:v>
      </x:c>
      <x:c r="J281" s="7" t="n">
        <x:v>0</x:v>
      </x:c>
      <x:c r="K281" s="7" t="str">
        <x:v>SKILL_COOLDOWN_DOWN</x:v>
      </x:c>
      <x:c r="L281" s="7" t="n">
        <x:v>1</x:v>
      </x:c>
      <x:c r="M281" s="8" t="n">
        <x:v>1</x:v>
      </x:c>
      <x:c r="N281" s="7"/>
      <x:c r="O281" s="7"/>
      <x:c r="P281" s="8"/>
      <x:c r="Q281" s="7"/>
      <x:c r="R281" s="7"/>
      <x:c r="S281" s="8"/>
      <x:c r="T281" s="7"/>
      <x:c r="U281" s="7"/>
      <x:c r="V281" s="8"/>
      <x:c r="W281" s="7" t="n">
        <x:v>1</x:v>
      </x:c>
      <x:c r="X281" s="7" t="str">
        <x:v>대상: 아군. 100%확률로 스킬 쿨타임 감소 1턴 적용합니다.</x:v>
      </x:c>
      <x:c r="Y281" s="7" t="str">
        <x:v>Target: one ally. 100% chance to apply Skill Cooldown Reduction 1 turn.</x:v>
      </x:c>
      <x:c r="Z281" s="7" t="str">
        <x:v>버프</x:v>
      </x:c>
    </x:row>
    <x:row r="282" ht="115" customHeight="1">
      <x:c r="A282" s="7" t="str">
        <x:v>SKILL_0276</x:v>
      </x:c>
      <x:c r="B282" s="7" t="str">
        <x:v>스킬 쿨타임 초기화의 의식</x:v>
      </x:c>
      <x:c r="C282" s="7"/>
      <x:c r="D282" s="7" t="str">
        <x:v>아군</x:v>
      </x:c>
      <x:c r="E282" s="7" t="n">
        <x:v>0</x:v>
      </x:c>
      <x:c r="F282" s="7" t="n">
        <x:v>0</x:v>
      </x:c>
      <x:c r="G282" s="7" t="n">
        <x:v>0</x:v>
      </x:c>
      <x:c r="H282" s="7" t="n">
        <x:v>0</x:v>
      </x:c>
      <x:c r="I282" s="7" t="n">
        <x:v>0</x:v>
      </x:c>
      <x:c r="J282" s="7" t="n">
        <x:v>0</x:v>
      </x:c>
      <x:c r="K282" s="7" t="str">
        <x:v>SKILL_COOLDOWN_RESET</x:v>
      </x:c>
      <x:c r="L282" s="7" t="n">
        <x:v>1</x:v>
      </x:c>
      <x:c r="M282" s="8" t="n">
        <x:v>1</x:v>
      </x:c>
      <x:c r="N282" s="7"/>
      <x:c r="O282" s="7"/>
      <x:c r="P282" s="8"/>
      <x:c r="Q282" s="7"/>
      <x:c r="R282" s="7"/>
      <x:c r="S282" s="8"/>
      <x:c r="T282" s="7"/>
      <x:c r="U282" s="7"/>
      <x:c r="V282" s="8"/>
      <x:c r="W282" s="7" t="n">
        <x:v>5</x:v>
      </x:c>
      <x:c r="X282" s="7" t="str">
        <x:v>대상: 아군. 100%확률로 스킬 쿨타임 초기화 1개 적용합니다.</x:v>
      </x:c>
      <x:c r="Y282" s="7" t="str">
        <x:v>Target: one ally. 100% chance to apply Skill Cooldown Reset 1 count.</x:v>
      </x:c>
      <x:c r="Z282" s="7" t="str">
        <x:v>버프</x:v>
      </x:c>
    </x:row>
    <x:row r="283" ht="115" customHeight="1">
      <x:c r="A283" s="7" t="str">
        <x:v>SKILL_0277</x:v>
      </x:c>
      <x:c r="B283" s="7" t="str">
        <x:v>약화효과 해제의 의식</x:v>
      </x:c>
      <x:c r="C283" s="7"/>
      <x:c r="D283" s="7" t="str">
        <x:v>아군</x:v>
      </x:c>
      <x:c r="E283" s="7" t="n">
        <x:v>0</x:v>
      </x:c>
      <x:c r="F283" s="7" t="n">
        <x:v>0</x:v>
      </x:c>
      <x:c r="G283" s="7" t="n">
        <x:v>0</x:v>
      </x:c>
      <x:c r="H283" s="7" t="n">
        <x:v>0</x:v>
      </x:c>
      <x:c r="I283" s="7" t="n">
        <x:v>0</x:v>
      </x:c>
      <x:c r="J283" s="7" t="n">
        <x:v>0</x:v>
      </x:c>
      <x:c r="K283" s="7" t="str">
        <x:v>CLEANSE_DEBUFF</x:v>
      </x:c>
      <x:c r="L283" s="7" t="n">
        <x:v>2</x:v>
      </x:c>
      <x:c r="M283" s="8" t="n">
        <x:v>1</x:v>
      </x:c>
      <x:c r="N283" s="7"/>
      <x:c r="O283" s="7"/>
      <x:c r="P283" s="8"/>
      <x:c r="Q283" s="7"/>
      <x:c r="R283" s="7"/>
      <x:c r="S283" s="8"/>
      <x:c r="T283" s="7"/>
      <x:c r="U283" s="7"/>
      <x:c r="V283" s="8"/>
      <x:c r="W283" s="7" t="n">
        <x:v>1</x:v>
      </x:c>
      <x:c r="X283" s="7" t="str">
        <x:v>대상: 아군. 100%확률로 약화효과 해제 2개 적용합니다.</x:v>
      </x:c>
      <x:c r="Y283" s="7" t="str">
        <x:v>Target: one ally. 100% chance to apply Cleanse Debuff 2 count.</x:v>
      </x:c>
      <x:c r="Z283" s="7" t="str">
        <x:v>버프</x:v>
      </x:c>
    </x:row>
    <x:row r="284" ht="115" customHeight="1">
      <x:c r="A284" s="7" t="str">
        <x:v>SKILL_0278</x:v>
      </x:c>
      <x:c r="B284" s="7" t="str">
        <x:v>강화효과 지속시간 증가의 의식</x:v>
      </x:c>
      <x:c r="C284" s="7"/>
      <x:c r="D284" s="7" t="str">
        <x:v>아군</x:v>
      </x:c>
      <x:c r="E284" s="7" t="n">
        <x:v>0</x:v>
      </x:c>
      <x:c r="F284" s="7" t="n">
        <x:v>0</x:v>
      </x:c>
      <x:c r="G284" s="7" t="n">
        <x:v>0</x:v>
      </x:c>
      <x:c r="H284" s="7" t="n">
        <x:v>0</x:v>
      </x:c>
      <x:c r="I284" s="7" t="n">
        <x:v>0</x:v>
      </x:c>
      <x:c r="J284" s="7" t="n">
        <x:v>0</x:v>
      </x:c>
      <x:c r="K284" s="7" t="str">
        <x:v>BUFF_DURATION_UP</x:v>
      </x:c>
      <x:c r="L284" s="7" t="n">
        <x:v>1</x:v>
      </x:c>
      <x:c r="M284" s="8" t="n">
        <x:v>1</x:v>
      </x:c>
      <x:c r="N284" s="7"/>
      <x:c r="O284" s="7"/>
      <x:c r="P284" s="8"/>
      <x:c r="Q284" s="7"/>
      <x:c r="R284" s="7"/>
      <x:c r="S284" s="8"/>
      <x:c r="T284" s="7"/>
      <x:c r="U284" s="7"/>
      <x:c r="V284" s="8"/>
      <x:c r="W284" s="7" t="n">
        <x:v>1</x:v>
      </x:c>
      <x:c r="X284" s="7" t="str">
        <x:v>대상: 아군. 100%확률로 강화효과 지속시간 증가 1턴 적용합니다.</x:v>
      </x:c>
      <x:c r="Y284" s="7" t="str">
        <x:v>Target: one ally. 100% chance to apply Buff Duration Extension 1 turn.</x:v>
      </x:c>
      <x:c r="Z284" s="7" t="str">
        <x:v>버프</x:v>
      </x:c>
    </x:row>
    <x:row r="285" ht="115" customHeight="1">
      <x:c r="A285" s="7" t="str">
        <x:v>SKILL_0279</x:v>
      </x:c>
      <x:c r="B285" s="7" t="str">
        <x:v>스킬 쿨타임 증가 · 상처 · 약화효과 지속시간 증가의 일격</x:v>
      </x:c>
      <x:c r="C285" s="7"/>
      <x:c r="D285" s="7" t="str">
        <x:v>적</x:v>
      </x:c>
      <x:c r="E285" s="7" t="n">
        <x:v>1.1</x:v>
      </x:c>
      <x:c r="F285" s="7" t="n">
        <x:v>0</x:v>
      </x:c>
      <x:c r="G285" s="7" t="n">
        <x:v>0</x:v>
      </x:c>
      <x:c r="H285" s="7" t="n">
        <x:v>0</x:v>
      </x:c>
      <x:c r="I285" s="7" t="n">
        <x:v>0</x:v>
      </x:c>
      <x:c r="J285" s="7" t="n">
        <x:v>0</x:v>
      </x:c>
      <x:c r="K285" s="7" t="str">
        <x:v>SKILL_COOLDOWN_UP</x:v>
      </x:c>
      <x:c r="L285" s="7" t="n">
        <x:v>1</x:v>
      </x:c>
      <x:c r="M285" s="8" t="n">
        <x:v>0.8</x:v>
      </x:c>
      <x:c r="N285" s="7" t="str">
        <x:v>INJURY</x:v>
      </x:c>
      <x:c r="O285" s="7" t="n">
        <x:v>0.064</x:v>
      </x:c>
      <x:c r="P285" s="8" t="n">
        <x:v>0.8</x:v>
      </x:c>
      <x:c r="Q285" s="7" t="str">
        <x:v>DEBUFF_DURATION_UP</x:v>
      </x:c>
      <x:c r="R285" s="7" t="n">
        <x:v>1</x:v>
      </x:c>
      <x:c r="S285" s="8" t="n">
        <x:v>0.8</x:v>
      </x:c>
      <x:c r="T285" s="7"/>
      <x:c r="U285" s="7"/>
      <x:c r="V285" s="8"/>
      <x:c r="W285" s="7" t="n">
        <x:v>4</x:v>
      </x:c>
      <x:c r="X285" s="7" t="str">
        <x:v>대상: 적. 적에게 공격력*1.1배 만큼의 피해를 가합니다. 80%확률로 스킬 쿨타임 증가 1턴 적용합니다. 80%확률로 상처 6.4% 적용합니다. 80%확률로 약화효과 지속시간 증가 1턴 적용합니다.</x:v>
      </x:c>
      <x:c r="Y285" s="7" t="str">
        <x:v>Target: one enemy. Deals 1.1 × caster Attack damage to one enemy. 80% chance to apply Skill Cooldown Increase 1 turn. 80% chance to apply Injury 6.4%. 80% chance to apply Debuff Duration Extension 1 turn.</x:v>
      </x:c>
      <x:c r="Z285" s="7" t="str">
        <x:v>공격|디버프</x:v>
      </x:c>
    </x:row>
    <x:row r="286" ht="115" customHeight="1">
      <x:c r="A286" s="7" t="str">
        <x:v>SKILL_0280</x:v>
      </x:c>
      <x:c r="B286" s="7" t="str">
        <x:v>강화효과 지속시간 증가 · 피해 반사 · 스킬 쿨타임 초기화 · 보호막의 의식</x:v>
      </x:c>
      <x:c r="C286" s="7"/>
      <x:c r="D286" s="7" t="str">
        <x:v>아군</x:v>
      </x:c>
      <x:c r="E286" s="7" t="n">
        <x:v>0</x:v>
      </x:c>
      <x:c r="F286" s="7" t="n">
        <x:v>0</x:v>
      </x:c>
      <x:c r="G286" s="7" t="n">
        <x:v>0</x:v>
      </x:c>
      <x:c r="H286" s="7" t="n">
        <x:v>0</x:v>
      </x:c>
      <x:c r="I286" s="7" t="n">
        <x:v>0</x:v>
      </x:c>
      <x:c r="J286" s="7" t="n">
        <x:v>0</x:v>
      </x:c>
      <x:c r="K286" s="7" t="str">
        <x:v>BUFF_DURATION_UP</x:v>
      </x:c>
      <x:c r="L286" s="7" t="n">
        <x:v>1</x:v>
      </x:c>
      <x:c r="M286" s="8" t="n">
        <x:v>0.7</x:v>
      </x:c>
      <x:c r="N286" s="7" t="str">
        <x:v>DAMAGE_REFLECTION</x:v>
      </x:c>
      <x:c r="O286" s="7" t="n">
        <x:v>0.13</x:v>
      </x:c>
      <x:c r="P286" s="8" t="n">
        <x:v>0.7</x:v>
      </x:c>
      <x:c r="Q286" s="7" t="str">
        <x:v>SKILL_COOLDOWN_RESET</x:v>
      </x:c>
      <x:c r="R286" s="7" t="n">
        <x:v>1</x:v>
      </x:c>
      <x:c r="S286" s="8" t="n">
        <x:v>0.7</x:v>
      </x:c>
      <x:c r="T286" s="7" t="str">
        <x:v>BARRIER</x:v>
      </x:c>
      <x:c r="U286" s="7" t="n">
        <x:v>0.098</x:v>
      </x:c>
      <x:c r="V286" s="8" t="n">
        <x:v>0.7</x:v>
      </x:c>
      <x:c r="W286" s="7" t="n">
        <x:v>5</x:v>
      </x:c>
      <x:c r="X286" s="7" t="str">
        <x:v>대상: 아군. 70%확률로 강화효과 지속시간 증가 1턴 적용합니다. 70%확률로 피해 반사 13% 적용합니다. 70%확률로 스킬 쿨타임 초기화 1개 적용합니다. 70%확률로 보호막 9.8% 적용합니다.</x:v>
      </x:c>
      <x:c r="Y286" s="7" t="str">
        <x:v>Target: one ally. 70% chance to apply Buff Duration Extension 1 turn. 70% chance to apply Damage Reflection 13%. 70% chance to apply Skill Cooldown Reset 1 count. 70% chance to apply Barrier 9.8%.</x:v>
      </x:c>
      <x:c r="Z286" s="7" t="str">
        <x:v>공격|버프</x:v>
      </x:c>
    </x:row>
    <x:row r="287" ht="115" customHeight="1">
      <x:c r="A287" s="7" t="str">
        <x:v>SKILL_0281</x:v>
      </x:c>
      <x:c r="B287" s="7" t="str">
        <x:v>방어력 증가 · 피해 감소의 의식</x:v>
      </x:c>
      <x:c r="C287" s="7"/>
      <x:c r="D287" s="7" t="str">
        <x:v>아군</x:v>
      </x:c>
      <x:c r="E287" s="7" t="n">
        <x:v>0</x:v>
      </x:c>
      <x:c r="F287" s="7" t="n">
        <x:v>0</x:v>
      </x:c>
      <x:c r="G287" s="7" t="n">
        <x:v>0</x:v>
      </x:c>
      <x:c r="H287" s="7" t="n">
        <x:v>0</x:v>
      </x:c>
      <x:c r="I287" s="7" t="n">
        <x:v>0</x:v>
      </x:c>
      <x:c r="J287" s="7" t="n">
        <x:v>0</x:v>
      </x:c>
      <x:c r="K287" s="7" t="str">
        <x:v>DEFENSE_UP</x:v>
      </x:c>
      <x:c r="L287" s="7" t="n">
        <x:v>0.35</x:v>
      </x:c>
      <x:c r="M287" s="8" t="n">
        <x:v>0.9</x:v>
      </x:c>
      <x:c r="N287" s="7" t="str">
        <x:v>DAMAGE_REDUCTION</x:v>
      </x:c>
      <x:c r="O287" s="7" t="n">
        <x:v>0.2</x:v>
      </x:c>
      <x:c r="P287" s="8" t="n">
        <x:v>0.9</x:v>
      </x:c>
      <x:c r="Q287" s="7"/>
      <x:c r="R287" s="7"/>
      <x:c r="S287" s="8"/>
      <x:c r="T287" s="7"/>
      <x:c r="U287" s="7"/>
      <x:c r="V287" s="8"/>
      <x:c r="W287" s="7" t="n">
        <x:v>1</x:v>
      </x:c>
      <x:c r="X287" s="7" t="str">
        <x:v>대상: 아군. 90%확률로 방어력 증가 35% 적용합니다. 90%확률로 피해 감소 20% 적용합니다.</x:v>
      </x:c>
      <x:c r="Y287" s="7" t="str">
        <x:v>Target: one ally. 90% chance to apply Defense Up 35%. 90% chance to apply Damage Reduction 20%.</x:v>
      </x:c>
      <x:c r="Z287" s="7" t="str">
        <x:v>버프</x:v>
      </x:c>
    </x:row>
    <x:row r="288" ht="115" customHeight="1">
      <x:c r="A288" s="7" t="str">
        <x:v>SKILL_0282</x:v>
      </x:c>
      <x:c r="B288" s="7" t="str">
        <x:v>불사 · 회피 증가 · 피해 감소 · 약화효과 해제의 의식</x:v>
      </x:c>
      <x:c r="C288" s="7"/>
      <x:c r="D288" s="7" t="str">
        <x:v>자신</x:v>
      </x:c>
      <x:c r="E288" s="7" t="n">
        <x:v>0</x:v>
      </x:c>
      <x:c r="F288" s="7" t="n">
        <x:v>0</x:v>
      </x:c>
      <x:c r="G288" s="7" t="n">
        <x:v>0</x:v>
      </x:c>
      <x:c r="H288" s="7" t="n">
        <x:v>0</x:v>
      </x:c>
      <x:c r="I288" s="7" t="n">
        <x:v>0</x:v>
      </x:c>
      <x:c r="J288" s="7" t="n">
        <x:v>0</x:v>
      </x:c>
      <x:c r="K288" s="7" t="str">
        <x:v>IMMORTALITY</x:v>
      </x:c>
      <x:c r="L288" s="7" t="n">
        <x:v>1</x:v>
      </x:c>
      <x:c r="M288" s="8" t="n">
        <x:v>0.7</x:v>
      </x:c>
      <x:c r="N288" s="7" t="str">
        <x:v>EVASION_UP</x:v>
      </x:c>
      <x:c r="O288" s="7" t="n">
        <x:v>0.13</x:v>
      </x:c>
      <x:c r="P288" s="8" t="n">
        <x:v>0.7</x:v>
      </x:c>
      <x:c r="Q288" s="7" t="str">
        <x:v>DAMAGE_REDUCTION</x:v>
      </x:c>
      <x:c r="R288" s="7" t="n">
        <x:v>0.13</x:v>
      </x:c>
      <x:c r="S288" s="8" t="n">
        <x:v>0.7</x:v>
      </x:c>
      <x:c r="T288" s="7" t="str">
        <x:v>CLEANSE_DEBUFF</x:v>
      </x:c>
      <x:c r="U288" s="7" t="n">
        <x:v>1</x:v>
      </x:c>
      <x:c r="V288" s="8" t="n">
        <x:v>0.7</x:v>
      </x:c>
      <x:c r="W288" s="7" t="n">
        <x:v>3</x:v>
      </x:c>
      <x:c r="X288" s="7" t="str">
        <x:v>대상: 자신. 70%확률로 불사 획득합니다. 70%확률로 회피 증가 13% 획득합니다. 70%확률로 피해 감소 13% 획득합니다. 70%확률로 약화효과 해제 1개 획득합니다.</x:v>
      </x:c>
      <x:c r="Y288" s="7" t="str">
        <x:v>Target: the caster. 70% chance to gain Immortality. 70% chance to gain Evasion Up 13%. 70% chance to gain Damage Reduction 13%. 70% chance to gain Cleanse Debuff 1 count.</x:v>
      </x:c>
      <x:c r="Z288" s="7" t="str">
        <x:v>버프</x:v>
      </x:c>
    </x:row>
    <x:row r="289" ht="115" customHeight="1">
      <x:c r="A289" s="7" t="str">
        <x:v>SKILL_0283</x:v>
      </x:c>
      <x:c r="B289" s="7" t="str">
        <x:v>강화효과 지속시간 증가 · 소생 · 지속 회복의 의식</x:v>
      </x:c>
      <x:c r="C289" s="7"/>
      <x:c r="D289" s="7" t="str">
        <x:v>아군</x:v>
      </x:c>
      <x:c r="E289" s="7" t="n">
        <x:v>0</x:v>
      </x:c>
      <x:c r="F289" s="7" t="n">
        <x:v>0</x:v>
      </x:c>
      <x:c r="G289" s="7" t="n">
        <x:v>0</x:v>
      </x:c>
      <x:c r="H289" s="7" t="n">
        <x:v>0</x:v>
      </x:c>
      <x:c r="I289" s="7" t="n">
        <x:v>0</x:v>
      </x:c>
      <x:c r="J289" s="7" t="n">
        <x:v>0</x:v>
      </x:c>
      <x:c r="K289" s="7" t="str">
        <x:v>BUFF_DURATION_UP</x:v>
      </x:c>
      <x:c r="L289" s="7" t="n">
        <x:v>1</x:v>
      </x:c>
      <x:c r="M289" s="8" t="n">
        <x:v>0.65</x:v>
      </x:c>
      <x:c r="N289" s="7" t="str">
        <x:v>AUTO_REVIVE</x:v>
      </x:c>
      <x:c r="O289" s="7" t="n">
        <x:v>1</x:v>
      </x:c>
      <x:c r="P289" s="8" t="n">
        <x:v>1</x:v>
      </x:c>
      <x:c r="Q289" s="7" t="str">
        <x:v>CONTINUOUS_HEAL</x:v>
      </x:c>
      <x:c r="R289" s="7" t="n">
        <x:v>0.056</x:v>
      </x:c>
      <x:c r="S289" s="8" t="n">
        <x:v>0.65</x:v>
      </x:c>
      <x:c r="T289" s="7"/>
      <x:c r="U289" s="7"/>
      <x:c r="V289" s="8"/>
      <x:c r="W289" s="7" t="n">
        <x:v>5</x:v>
      </x:c>
      <x:c r="X289" s="7" t="str">
        <x:v>대상: 아군. 65%확률로 강화효과 지속시간 증가 1턴 적용합니다. 100%확률로 소생 100% 적용합니다. 65%확률로 지속 회복을 부여합니다(2턴, 대상의 턴 시작마다 대상 최대생명력의 5.6% 회복).</x:v>
      </x:c>
      <x:c r="Y289" s="7" t="str">
        <x:v>Target: one ally. 65% chance to apply Buff Duration Extension 1 turn. 100% chance to apply Auto Revive 100%. 65% chance to grant Continuous Heal for 2 turns, restoring 5.6% of the recipient's max Health at each turn start.</x:v>
      </x:c>
      <x:c r="Z289" s="7" t="str">
        <x:v>회복|버프</x:v>
      </x:c>
    </x:row>
    <x:row r="290" ht="115" customHeight="1">
      <x:c r="A290" s="7" t="str">
        <x:v>SKILL_0284</x:v>
      </x:c>
      <x:c r="B290" s="7" t="str">
        <x:v>공격력 증가 · 치명피해 증가의 의식</x:v>
      </x:c>
      <x:c r="C290" s="7"/>
      <x:c r="D290" s="7" t="str">
        <x:v>아군과 자신</x:v>
      </x:c>
      <x:c r="E290" s="7" t="n">
        <x:v>0</x:v>
      </x:c>
      <x:c r="F290" s="7" t="n">
        <x:v>0</x:v>
      </x:c>
      <x:c r="G290" s="7" t="n">
        <x:v>0</x:v>
      </x:c>
      <x:c r="H290" s="7" t="n">
        <x:v>0</x:v>
      </x:c>
      <x:c r="I290" s="7" t="n">
        <x:v>0</x:v>
      </x:c>
      <x:c r="J290" s="7" t="n">
        <x:v>0</x:v>
      </x:c>
      <x:c r="K290" s="7" t="str">
        <x:v>ATTACK_UP</x:v>
      </x:c>
      <x:c r="L290" s="7" t="n">
        <x:v>0.3</x:v>
      </x:c>
      <x:c r="M290" s="8" t="n">
        <x:v>0.9</x:v>
      </x:c>
      <x:c r="N290" s="7" t="str">
        <x:v>CRITICAL_DAMAGE_UP</x:v>
      </x:c>
      <x:c r="O290" s="7" t="n">
        <x:v>0.3</x:v>
      </x:c>
      <x:c r="P290" s="8" t="n">
        <x:v>0.9</x:v>
      </x:c>
      <x:c r="Q290" s="7"/>
      <x:c r="R290" s="7"/>
      <x:c r="S290" s="8"/>
      <x:c r="T290" s="7"/>
      <x:c r="U290" s="7"/>
      <x:c r="V290" s="8"/>
      <x:c r="W290" s="7" t="n">
        <x:v>1</x:v>
      </x:c>
      <x:c r="X290" s="7" t="str">
        <x:v>대상: 아군과 자신. 90%확률로 공격력 증가 30% 적용합니다. 90%확률로 치명피해 증가 30% 적용합니다.</x:v>
      </x:c>
      <x:c r="Y290" s="7" t="str">
        <x:v>Target: one ally and the caster. 90% chance to apply Attack Up 30%. 90% chance to apply Critical Hit Damage Up 30%.</x:v>
      </x:c>
      <x:c r="Z290" s="7" t="str">
        <x:v>버프</x:v>
      </x:c>
    </x:row>
    <x:row r="291" ht="115" customHeight="1">
      <x:c r="A291" s="7" t="str">
        <x:v>SKILL_0285</x:v>
      </x:c>
      <x:c r="B291" s="7" t="str">
        <x:v>명중 증가 · 회피 증가 · 속도 증가의 의식</x:v>
      </x:c>
      <x:c r="C291" s="7"/>
      <x:c r="D291" s="7" t="str">
        <x:v>아군</x:v>
      </x:c>
      <x:c r="E291" s="7" t="n">
        <x:v>0</x:v>
      </x:c>
      <x:c r="F291" s="7" t="n">
        <x:v>0</x:v>
      </x:c>
      <x:c r="G291" s="7" t="n">
        <x:v>0</x:v>
      </x:c>
      <x:c r="H291" s="7" t="n">
        <x:v>0</x:v>
      </x:c>
      <x:c r="I291" s="7" t="n">
        <x:v>0</x:v>
      </x:c>
      <x:c r="J291" s="7" t="n">
        <x:v>0</x:v>
      </x:c>
      <x:c r="K291" s="7" t="str">
        <x:v>HIT_CHANCE_UP</x:v>
      </x:c>
      <x:c r="L291" s="7" t="n">
        <x:v>0.16</x:v>
      </x:c>
      <x:c r="M291" s="8" t="n">
        <x:v>0.8</x:v>
      </x:c>
      <x:c r="N291" s="7" t="str">
        <x:v>EVASION_UP</x:v>
      </x:c>
      <x:c r="O291" s="7" t="n">
        <x:v>0.16</x:v>
      </x:c>
      <x:c r="P291" s="8" t="n">
        <x:v>0.8</x:v>
      </x:c>
      <x:c r="Q291" s="7" t="str">
        <x:v>SPEED_UP</x:v>
      </x:c>
      <x:c r="R291" s="7" t="n">
        <x:v>0.16</x:v>
      </x:c>
      <x:c r="S291" s="8" t="n">
        <x:v>0.8</x:v>
      </x:c>
      <x:c r="T291" s="7"/>
      <x:c r="U291" s="7"/>
      <x:c r="V291" s="8"/>
      <x:c r="W291" s="7" t="n">
        <x:v>1</x:v>
      </x:c>
      <x:c r="X291" s="7" t="str">
        <x:v>대상: 아군. 80%확률로 명중 증가 16% 적용합니다. 80%확률로 회피 증가 16% 적용합니다. 80%확률로 속도 증가 16% 적용합니다.</x:v>
      </x:c>
      <x:c r="Y291" s="7" t="str">
        <x:v>Target: one ally. 80% chance to apply Hit Chance Up 16%. 80% chance to apply Evasion Up 16%. 80% chance to apply Speed Up 16%.</x:v>
      </x:c>
      <x:c r="Z291" s="7" t="str">
        <x:v>버프</x:v>
      </x:c>
    </x:row>
    <x:row r="292" ht="115" customHeight="1">
      <x:c r="A292" s="7" t="str">
        <x:v>SKILL_0286</x:v>
      </x:c>
      <x:c r="B292" s="7" t="str">
        <x:v>강화효과 지속시간 증가 · 피해 반사의 의식</x:v>
      </x:c>
      <x:c r="C292" s="7"/>
      <x:c r="D292" s="7" t="str">
        <x:v>자신</x:v>
      </x:c>
      <x:c r="E292" s="7" t="n">
        <x:v>0</x:v>
      </x:c>
      <x:c r="F292" s="7" t="n">
        <x:v>0</x:v>
      </x:c>
      <x:c r="G292" s="7" t="n">
        <x:v>0</x:v>
      </x:c>
      <x:c r="H292" s="7" t="n">
        <x:v>0</x:v>
      </x:c>
      <x:c r="I292" s="7" t="n">
        <x:v>0</x:v>
      </x:c>
      <x:c r="J292" s="7" t="n">
        <x:v>0</x:v>
      </x:c>
      <x:c r="K292" s="7" t="str">
        <x:v>BUFF_DURATION_UP</x:v>
      </x:c>
      <x:c r="L292" s="7" t="n">
        <x:v>1</x:v>
      </x:c>
      <x:c r="M292" s="8" t="n">
        <x:v>0.9</x:v>
      </x:c>
      <x:c r="N292" s="7" t="str">
        <x:v>DAMAGE_REFLECTION</x:v>
      </x:c>
      <x:c r="O292" s="7" t="n">
        <x:v>0.2</x:v>
      </x:c>
      <x:c r="P292" s="8" t="n">
        <x:v>0.9</x:v>
      </x:c>
      <x:c r="Q292" s="7"/>
      <x:c r="R292" s="7"/>
      <x:c r="S292" s="8"/>
      <x:c r="T292" s="7"/>
      <x:c r="U292" s="7"/>
      <x:c r="V292" s="8"/>
      <x:c r="W292" s="7" t="n">
        <x:v>1</x:v>
      </x:c>
      <x:c r="X292" s="7" t="str">
        <x:v>대상: 자신. 90%확률로 강화효과 지속시간 증가 1턴 획득합니다. 90%확률로 피해 반사 20% 획득합니다.</x:v>
      </x:c>
      <x:c r="Y292" s="7" t="str">
        <x:v>Target: the caster. 90% chance to gain Buff Duration Extension 1 turn. 90% chance to gain Damage Reflection 20%.</x:v>
      </x:c>
      <x:c r="Z292" s="7" t="str">
        <x:v>공격|버프</x:v>
      </x:c>
    </x:row>
    <x:row r="293" ht="115" customHeight="1">
      <x:c r="A293" s="7" t="str">
        <x:v>SKILL_0287</x:v>
      </x:c>
      <x:c r="B293" s="7" t="str">
        <x:v>강화효과 지속시간 증가 · 스킬 쿨타임 초기화 · 회피 증가의 의식</x:v>
      </x:c>
      <x:c r="C293" s="7"/>
      <x:c r="D293" s="7" t="str">
        <x:v>아군</x:v>
      </x:c>
      <x:c r="E293" s="7" t="n">
        <x:v>0</x:v>
      </x:c>
      <x:c r="F293" s="7" t="n">
        <x:v>0</x:v>
      </x:c>
      <x:c r="G293" s="7" t="n">
        <x:v>0</x:v>
      </x:c>
      <x:c r="H293" s="7" t="n">
        <x:v>0</x:v>
      </x:c>
      <x:c r="I293" s="7" t="n">
        <x:v>0</x:v>
      </x:c>
      <x:c r="J293" s="7" t="n">
        <x:v>0</x:v>
      </x:c>
      <x:c r="K293" s="7" t="str">
        <x:v>BUFF_DURATION_UP</x:v>
      </x:c>
      <x:c r="L293" s="7" t="n">
        <x:v>1</x:v>
      </x:c>
      <x:c r="M293" s="8" t="n">
        <x:v>0.8</x:v>
      </x:c>
      <x:c r="N293" s="7" t="str">
        <x:v>SKILL_COOLDOWN_RESET</x:v>
      </x:c>
      <x:c r="O293" s="7" t="n">
        <x:v>1</x:v>
      </x:c>
      <x:c r="P293" s="8" t="n">
        <x:v>0.8</x:v>
      </x:c>
      <x:c r="Q293" s="7" t="str">
        <x:v>EVASION_UP</x:v>
      </x:c>
      <x:c r="R293" s="7" t="n">
        <x:v>0.16</x:v>
      </x:c>
      <x:c r="S293" s="8" t="n">
        <x:v>0.8</x:v>
      </x:c>
      <x:c r="T293" s="7"/>
      <x:c r="U293" s="7"/>
      <x:c r="V293" s="8"/>
      <x:c r="W293" s="7" t="n">
        <x:v>5</x:v>
      </x:c>
      <x:c r="X293" s="7" t="str">
        <x:v>대상: 아군. 80%확률로 강화효과 지속시간 증가 1턴 적용합니다. 80%확률로 스킬 쿨타임 초기화 1개 적용합니다. 80%확률로 회피 증가 16% 적용합니다.</x:v>
      </x:c>
      <x:c r="Y293" s="7" t="str">
        <x:v>Target: one ally. 80% chance to apply Buff Duration Extension 1 turn. 80% chance to apply Skill Cooldown Reset 1 count. 80% chance to apply Evasion Up 16%.</x:v>
      </x:c>
      <x:c r="Z293" s="7" t="str">
        <x:v>버프</x:v>
      </x:c>
    </x:row>
    <x:row r="294" ht="115" customHeight="1">
      <x:c r="A294" s="7" t="str">
        <x:v>SKILL_0288</x:v>
      </x:c>
      <x:c r="B294" s="7" t="str">
        <x:v>속도 증가 · 치명저항 증가 · 치명피해 증가의 의식</x:v>
      </x:c>
      <x:c r="C294" s="7"/>
      <x:c r="D294" s="7" t="str">
        <x:v>아군과 자신</x:v>
      </x:c>
      <x:c r="E294" s="7" t="n">
        <x:v>0</x:v>
      </x:c>
      <x:c r="F294" s="7" t="n">
        <x:v>0</x:v>
      </x:c>
      <x:c r="G294" s="7" t="n">
        <x:v>0</x:v>
      </x:c>
      <x:c r="H294" s="7" t="n">
        <x:v>0</x:v>
      </x:c>
      <x:c r="I294" s="7" t="n">
        <x:v>0</x:v>
      </x:c>
      <x:c r="J294" s="7" t="n">
        <x:v>0</x:v>
      </x:c>
      <x:c r="K294" s="7" t="str">
        <x:v>SPEED_UP</x:v>
      </x:c>
      <x:c r="L294" s="7" t="n">
        <x:v>0.16</x:v>
      </x:c>
      <x:c r="M294" s="8" t="n">
        <x:v>0.8</x:v>
      </x:c>
      <x:c r="N294" s="7" t="str">
        <x:v>CRITICAL_RESISTANCE_UP</x:v>
      </x:c>
      <x:c r="O294" s="7" t="n">
        <x:v>0.2</x:v>
      </x:c>
      <x:c r="P294" s="8" t="n">
        <x:v>0.8</x:v>
      </x:c>
      <x:c r="Q294" s="7" t="str">
        <x:v>CRITICAL_DAMAGE_UP</x:v>
      </x:c>
      <x:c r="R294" s="7" t="n">
        <x:v>0.24</x:v>
      </x:c>
      <x:c r="S294" s="8" t="n">
        <x:v>0.8</x:v>
      </x:c>
      <x:c r="T294" s="7"/>
      <x:c r="U294" s="7"/>
      <x:c r="V294" s="8"/>
      <x:c r="W294" s="7" t="n">
        <x:v>2</x:v>
      </x:c>
      <x:c r="X294" s="7" t="str">
        <x:v>대상: 아군과 자신. 80%확률로 속도 증가 16% 적용합니다. 80%확률로 치명저항 증가 20% 적용합니다. 80%확률로 치명피해 증가 24% 적용합니다.</x:v>
      </x:c>
      <x:c r="Y294" s="7" t="str">
        <x:v>Target: one ally and the caster. 80% chance to apply Speed Up 16%. 80% chance to apply Critical Hit Resistance Up 20%. 80% chance to apply Critical Hit Damage Up 24%.</x:v>
      </x:c>
      <x:c r="Z294" s="7" t="str">
        <x:v>버프</x:v>
      </x:c>
    </x:row>
    <x:row r="295" ht="115" customHeight="1">
      <x:c r="A295" s="7" t="str">
        <x:v>SKILL_0289</x:v>
      </x:c>
      <x:c r="B295" s="7" t="str">
        <x:v>스킬 쿨타임 초기화 · 치명피해 증가 · 속도 증가의 의식</x:v>
      </x:c>
      <x:c r="C295" s="7"/>
      <x:c r="D295" s="7" t="str">
        <x:v>아군</x:v>
      </x:c>
      <x:c r="E295" s="7" t="n">
        <x:v>0</x:v>
      </x:c>
      <x:c r="F295" s="7" t="n">
        <x:v>0</x:v>
      </x:c>
      <x:c r="G295" s="7" t="n">
        <x:v>0</x:v>
      </x:c>
      <x:c r="H295" s="7" t="n">
        <x:v>0</x:v>
      </x:c>
      <x:c r="I295" s="7" t="n">
        <x:v>0</x:v>
      </x:c>
      <x:c r="J295" s="7" t="n">
        <x:v>0</x:v>
      </x:c>
      <x:c r="K295" s="7" t="str">
        <x:v>SKILL_COOLDOWN_RESET</x:v>
      </x:c>
      <x:c r="L295" s="7" t="n">
        <x:v>1</x:v>
      </x:c>
      <x:c r="M295" s="8" t="n">
        <x:v>0.8</x:v>
      </x:c>
      <x:c r="N295" s="7" t="str">
        <x:v>CRITICAL_DAMAGE_UP</x:v>
      </x:c>
      <x:c r="O295" s="7" t="n">
        <x:v>0.24</x:v>
      </x:c>
      <x:c r="P295" s="8" t="n">
        <x:v>0.8</x:v>
      </x:c>
      <x:c r="Q295" s="7" t="str">
        <x:v>SPEED_UP</x:v>
      </x:c>
      <x:c r="R295" s="7" t="n">
        <x:v>0.16</x:v>
      </x:c>
      <x:c r="S295" s="8" t="n">
        <x:v>0.8</x:v>
      </x:c>
      <x:c r="T295" s="7"/>
      <x:c r="U295" s="7"/>
      <x:c r="V295" s="8"/>
      <x:c r="W295" s="7" t="n">
        <x:v>5</x:v>
      </x:c>
      <x:c r="X295" s="7" t="str">
        <x:v>대상: 아군. 80%확률로 스킬 쿨타임 초기화 1개 적용합니다. 80%확률로 치명피해 증가 24% 적용합니다. 80%확률로 속도 증가 16% 적용합니다.</x:v>
      </x:c>
      <x:c r="Y295" s="7" t="str">
        <x:v>Target: one ally. 80% chance to apply Skill Cooldown Reset 1 count. 80% chance to apply Critical Hit Damage Up 24%. 80% chance to apply Speed Up 16%.</x:v>
      </x:c>
      <x:c r="Z295" s="7" t="str">
        <x:v>버프</x:v>
      </x:c>
    </x:row>
    <x:row r="296" ht="115" customHeight="1">
      <x:c r="A296" s="7" t="str">
        <x:v>SKILL_0290</x:v>
      </x:c>
      <x:c r="B296" s="7" t="str">
        <x:v>생명력 회복 · 명중 증가 · 치명피해 증가의 의식</x:v>
      </x:c>
      <x:c r="C296" s="7"/>
      <x:c r="D296" s="7" t="str">
        <x:v>자신</x:v>
      </x:c>
      <x:c r="E296" s="7" t="n">
        <x:v>0</x:v>
      </x:c>
      <x:c r="F296" s="7" t="n">
        <x:v>0</x:v>
      </x:c>
      <x:c r="G296" s="7" t="n">
        <x:v>0</x:v>
      </x:c>
      <x:c r="H296" s="7" t="n">
        <x:v>0</x:v>
      </x:c>
      <x:c r="I296" s="7" t="n">
        <x:v>0.25</x:v>
      </x:c>
      <x:c r="J296" s="7" t="n">
        <x:v>0</x:v>
      </x:c>
      <x:c r="K296" s="7" t="str">
        <x:v>HEAL</x:v>
      </x:c>
      <x:c r="L296" s="7" t="n">
        <x:v>1</x:v>
      </x:c>
      <x:c r="M296" s="8" t="n">
        <x:v>1</x:v>
      </x:c>
      <x:c r="N296" s="7" t="str">
        <x:v>HIT_CHANCE_UP</x:v>
      </x:c>
      <x:c r="O296" s="7" t="n">
        <x:v>0.16</x:v>
      </x:c>
      <x:c r="P296" s="8" t="n">
        <x:v>0.8</x:v>
      </x:c>
      <x:c r="Q296" s="7" t="str">
        <x:v>CRITICAL_DAMAGE_UP</x:v>
      </x:c>
      <x:c r="R296" s="7" t="n">
        <x:v>0.24</x:v>
      </x:c>
      <x:c r="S296" s="8" t="n">
        <x:v>0.8</x:v>
      </x:c>
      <x:c r="T296" s="7"/>
      <x:c r="U296" s="7"/>
      <x:c r="V296" s="8"/>
      <x:c r="W296" s="7" t="n">
        <x:v>1</x:v>
      </x:c>
      <x:c r="X296" s="7" t="str">
        <x:v>대상: 자신. 자신을 시전자의 공격력의 0.25배만큼 회복시킵니다. 80%확률로 명중 증가 16% 획득합니다. 80%확률로 치명피해 증가 24% 획득합니다.</x:v>
      </x:c>
      <x:c r="Y296" s="7" t="str">
        <x:v>Target: the caster. Heals the caster for 0.25 × caster Attack. 80% chance to gain Hit Chance Up 16%. 80% chance to gain Critical Hit Damage Up 24%.</x:v>
      </x:c>
      <x:c r="Z296" s="7" t="str">
        <x:v>회복|버프</x:v>
      </x:c>
    </x:row>
    <x:row r="297" ht="115" customHeight="1">
      <x:c r="A297" s="7" t="str">
        <x:v>SKILL_0291</x:v>
      </x:c>
      <x:c r="B297" s="7" t="str">
        <x:v>보호막 · 피해 감소의 의식</x:v>
      </x:c>
      <x:c r="C297" s="7"/>
      <x:c r="D297" s="7" t="str">
        <x:v>아군전체</x:v>
      </x:c>
      <x:c r="E297" s="7" t="n">
        <x:v>0</x:v>
      </x:c>
      <x:c r="F297" s="7" t="n">
        <x:v>0</x:v>
      </x:c>
      <x:c r="G297" s="7" t="n">
        <x:v>0</x:v>
      </x:c>
      <x:c r="H297" s="7" t="n">
        <x:v>0</x:v>
      </x:c>
      <x:c r="I297" s="7" t="n">
        <x:v>0</x:v>
      </x:c>
      <x:c r="J297" s="7" t="n">
        <x:v>0</x:v>
      </x:c>
      <x:c r="K297" s="7" t="str">
        <x:v>BARRIER</x:v>
      </x:c>
      <x:c r="L297" s="7" t="n">
        <x:v>0.15</x:v>
      </x:c>
      <x:c r="M297" s="8" t="n">
        <x:v>0.9</x:v>
      </x:c>
      <x:c r="N297" s="7" t="str">
        <x:v>DAMAGE_REDUCTION</x:v>
      </x:c>
      <x:c r="O297" s="7" t="n">
        <x:v>0.2</x:v>
      </x:c>
      <x:c r="P297" s="8" t="n">
        <x:v>0.9</x:v>
      </x:c>
      <x:c r="Q297" s="7"/>
      <x:c r="R297" s="7"/>
      <x:c r="S297" s="8"/>
      <x:c r="T297" s="7"/>
      <x:c r="U297" s="7"/>
      <x:c r="V297" s="8"/>
      <x:c r="W297" s="7" t="n">
        <x:v>3</x:v>
      </x:c>
      <x:c r="X297" s="7" t="str">
        <x:v>대상: 아군전체. 90%확률로 보호막 15% 적용합니다. 90%확률로 피해 감소 20% 적용합니다.</x:v>
      </x:c>
      <x:c r="Y297" s="7" t="str">
        <x:v>Target: all allies. 90% chance to apply Barrier 15%. 90% chance to apply Damage Reduction 20%.</x:v>
      </x:c>
      <x:c r="Z297" s="7" t="str">
        <x:v>버프</x:v>
      </x:c>
    </x:row>
    <x:row r="298" ht="115" customHeight="1">
      <x:c r="A298" s="7" t="str">
        <x:v>SKILL_0292</x:v>
      </x:c>
      <x:c r="B298" s="7" t="str">
        <x:v>피해 분담 · 무적의 의식</x:v>
      </x:c>
      <x:c r="C298" s="7"/>
      <x:c r="D298" s="7" t="str">
        <x:v>자신</x:v>
      </x:c>
      <x:c r="E298" s="7" t="n">
        <x:v>0</x:v>
      </x:c>
      <x:c r="F298" s="7" t="n">
        <x:v>0</x:v>
      </x:c>
      <x:c r="G298" s="7" t="n">
        <x:v>0</x:v>
      </x:c>
      <x:c r="H298" s="7" t="n">
        <x:v>0</x:v>
      </x:c>
      <x:c r="I298" s="7" t="n">
        <x:v>0</x:v>
      </x:c>
      <x:c r="J298" s="7" t="n">
        <x:v>0</x:v>
      </x:c>
      <x:c r="K298" s="7" t="str">
        <x:v>DAMAGE_SHARING</x:v>
      </x:c>
      <x:c r="L298" s="7" t="n">
        <x:v>0.2</x:v>
      </x:c>
      <x:c r="M298" s="8" t="n">
        <x:v>0.9</x:v>
      </x:c>
      <x:c r="N298" s="7" t="str">
        <x:v>INVINCIBILITY</x:v>
      </x:c>
      <x:c r="O298" s="7" t="n">
        <x:v>1</x:v>
      </x:c>
      <x:c r="P298" s="8" t="n">
        <x:v>0.9</x:v>
      </x:c>
      <x:c r="Q298" s="7"/>
      <x:c r="R298" s="7"/>
      <x:c r="S298" s="8"/>
      <x:c r="T298" s="7"/>
      <x:c r="U298" s="7"/>
      <x:c r="V298" s="8"/>
      <x:c r="W298" s="7" t="n">
        <x:v>3</x:v>
      </x:c>
      <x:c r="X298" s="7" t="str">
        <x:v>대상: 자신. 90%확률로 피해 분담 20% 획득합니다. 90%확률로 무적 획득합니다.</x:v>
      </x:c>
      <x:c r="Y298" s="7" t="str">
        <x:v>Target: the caster. 90% chance to gain Damage Sharing 20%. 90% chance to gain Invincibility.</x:v>
      </x:c>
      <x:c r="Z298" s="7" t="str">
        <x:v>버프</x:v>
      </x:c>
    </x:row>
    <x:row r="299" ht="115" customHeight="1">
      <x:c r="A299" s="7" t="str">
        <x:v>SKILL_0293</x:v>
      </x:c>
      <x:c r="B299" s="7" t="str">
        <x:v>치명저항 증가 · 약화효과 해제 · 반격 · 면역의 의식</x:v>
      </x:c>
      <x:c r="C299" s="7"/>
      <x:c r="D299" s="7" t="str">
        <x:v>아군</x:v>
      </x:c>
      <x:c r="E299" s="7" t="n">
        <x:v>0</x:v>
      </x:c>
      <x:c r="F299" s="7" t="n">
        <x:v>0</x:v>
      </x:c>
      <x:c r="G299" s="7" t="n">
        <x:v>0</x:v>
      </x:c>
      <x:c r="H299" s="7" t="n">
        <x:v>0</x:v>
      </x:c>
      <x:c r="I299" s="7" t="n">
        <x:v>0</x:v>
      </x:c>
      <x:c r="J299" s="7" t="n">
        <x:v>0</x:v>
      </x:c>
      <x:c r="K299" s="7" t="str">
        <x:v>CRITICAL_RESISTANCE_UP</x:v>
      </x:c>
      <x:c r="L299" s="7" t="n">
        <x:v>0.163</x:v>
      </x:c>
      <x:c r="M299" s="8" t="n">
        <x:v>0.7</x:v>
      </x:c>
      <x:c r="N299" s="7" t="str">
        <x:v>CLEANSE_DEBUFF</x:v>
      </x:c>
      <x:c r="O299" s="7" t="n">
        <x:v>1</x:v>
      </x:c>
      <x:c r="P299" s="8" t="n">
        <x:v>0.7</x:v>
      </x:c>
      <x:c r="Q299" s="7" t="str">
        <x:v>COUNTERATTACK</x:v>
      </x:c>
      <x:c r="R299" s="7" t="n">
        <x:v>0.26</x:v>
      </x:c>
      <x:c r="S299" s="8" t="n">
        <x:v>0.7</x:v>
      </x:c>
      <x:c r="T299" s="7" t="str">
        <x:v>IMMUNITY</x:v>
      </x:c>
      <x:c r="U299" s="7" t="n">
        <x:v>1</x:v>
      </x:c>
      <x:c r="V299" s="8" t="n">
        <x:v>0.7</x:v>
      </x:c>
      <x:c r="W299" s="7" t="n">
        <x:v>2</x:v>
      </x:c>
      <x:c r="X299" s="7" t="str">
        <x:v>대상: 아군. 70%확률로 치명저항 증가 16.3% 적용합니다. 70%확률로 약화효과 해제 1개 적용합니다. 70%확률로 반격 26% 적용합니다. 70%확률로 면역 적용합니다.</x:v>
      </x:c>
      <x:c r="Y299" s="7" t="str">
        <x:v>Target: one ally. 70% chance to apply Critical Hit Resistance Up 16.3%. 70% chance to apply Cleanse Debuff 1 count. 70% chance to apply Counterattack 26%. 70% chance to apply Immunity.</x:v>
      </x:c>
      <x:c r="Z299" s="7" t="str">
        <x:v>공격|버프</x:v>
      </x:c>
    </x:row>
    <x:row r="300" ht="115" customHeight="1">
      <x:c r="A300" s="7" t="str">
        <x:v>SKILL_0294</x:v>
      </x:c>
      <x:c r="B300" s="7" t="str">
        <x:v>소생 · 지속 회복 · 약화효과 해제의 의식</x:v>
      </x:c>
      <x:c r="C300" s="7"/>
      <x:c r="D300" s="7" t="str">
        <x:v>아군</x:v>
      </x:c>
      <x:c r="E300" s="7" t="n">
        <x:v>0</x:v>
      </x:c>
      <x:c r="F300" s="7" t="n">
        <x:v>0</x:v>
      </x:c>
      <x:c r="G300" s="7" t="n">
        <x:v>0</x:v>
      </x:c>
      <x:c r="H300" s="7" t="n">
        <x:v>0</x:v>
      </x:c>
      <x:c r="I300" s="7" t="n">
        <x:v>0</x:v>
      </x:c>
      <x:c r="J300" s="7" t="n">
        <x:v>0</x:v>
      </x:c>
      <x:c r="K300" s="7" t="str">
        <x:v>AUTO_REVIVE</x:v>
      </x:c>
      <x:c r="L300" s="7" t="n">
        <x:v>1</x:v>
      </x:c>
      <x:c r="M300" s="8" t="n">
        <x:v>1</x:v>
      </x:c>
      <x:c r="N300" s="7" t="str">
        <x:v>CONTINUOUS_HEAL</x:v>
      </x:c>
      <x:c r="O300" s="7" t="n">
        <x:v>0.056</x:v>
      </x:c>
      <x:c r="P300" s="8" t="n">
        <x:v>0.8</x:v>
      </x:c>
      <x:c r="Q300" s="7" t="str">
        <x:v>CLEANSE_DEBUFF</x:v>
      </x:c>
      <x:c r="R300" s="7" t="n">
        <x:v>1</x:v>
      </x:c>
      <x:c r="S300" s="8" t="n">
        <x:v>0.8</x:v>
      </x:c>
      <x:c r="T300" s="7"/>
      <x:c r="U300" s="7"/>
      <x:c r="V300" s="8"/>
      <x:c r="W300" s="7" t="n">
        <x:v>5</x:v>
      </x:c>
      <x:c r="X300" s="7" t="str">
        <x:v>대상: 아군. 100%확률로 소생 100% 적용합니다. 80%확률로 지속 회복을 부여합니다(2턴, 대상의 턴 시작마다 대상 최대생명력의 5.6% 회복). 80%확률로 약화효과 해제 1개 적용합니다.</x:v>
      </x:c>
      <x:c r="Y300" s="7" t="str">
        <x:v>Target: one ally. 100% chance to apply Auto Revive 100%. 80% chance to grant Continuous Heal for 2 turns, restoring 5.6% of the recipient's max Health at each turn start. 80% chance to apply Cleanse Debuff 1 count.</x:v>
      </x:c>
      <x:c r="Z300" s="7" t="str">
        <x:v>회복|버프</x:v>
      </x:c>
    </x:row>
    <x:row r="301" ht="115" customHeight="1">
      <x:c r="A301" s="7" t="str">
        <x:v>SKILL_0295</x:v>
      </x:c>
      <x:c r="B301" s="7" t="str">
        <x:v>불사 · 반격 · 속도 증가의 의식</x:v>
      </x:c>
      <x:c r="C301" s="7"/>
      <x:c r="D301" s="7" t="str">
        <x:v>아군전체</x:v>
      </x:c>
      <x:c r="E301" s="7" t="n">
        <x:v>0</x:v>
      </x:c>
      <x:c r="F301" s="7" t="n">
        <x:v>0</x:v>
      </x:c>
      <x:c r="G301" s="7" t="n">
        <x:v>0</x:v>
      </x:c>
      <x:c r="H301" s="7" t="n">
        <x:v>0</x:v>
      </x:c>
      <x:c r="I301" s="7" t="n">
        <x:v>0</x:v>
      </x:c>
      <x:c r="J301" s="7" t="n">
        <x:v>0</x:v>
      </x:c>
      <x:c r="K301" s="7" t="str">
        <x:v>IMMORTALITY</x:v>
      </x:c>
      <x:c r="L301" s="7" t="n">
        <x:v>1</x:v>
      </x:c>
      <x:c r="M301" s="8" t="n">
        <x:v>0.55</x:v>
      </x:c>
      <x:c r="N301" s="7" t="str">
        <x:v>COUNTERATTACK</x:v>
      </x:c>
      <x:c r="O301" s="7" t="n">
        <x:v>0.32</x:v>
      </x:c>
      <x:c r="P301" s="8" t="n">
        <x:v>0.55</x:v>
      </x:c>
      <x:c r="Q301" s="7" t="str">
        <x:v>SPEED_UP</x:v>
      </x:c>
      <x:c r="R301" s="7" t="n">
        <x:v>0.16</x:v>
      </x:c>
      <x:c r="S301" s="8" t="n">
        <x:v>0.55</x:v>
      </x:c>
      <x:c r="T301" s="7"/>
      <x:c r="U301" s="7"/>
      <x:c r="V301" s="8"/>
      <x:c r="W301" s="7" t="n">
        <x:v>5</x:v>
      </x:c>
      <x:c r="X301" s="7" t="str">
        <x:v>대상: 아군전체. 55%확률로 불사 적용합니다. 55%확률로 반격 32% 적용합니다. 55%확률로 속도 증가 16% 적용합니다.</x:v>
      </x:c>
      <x:c r="Y301" s="7" t="str">
        <x:v>Target: all allies. 55% chance to apply Immortality. 55% chance to apply Counterattack 32%. 55% chance to apply Speed Up 16%.</x:v>
      </x:c>
      <x:c r="Z301" s="7" t="str">
        <x:v>공격|버프</x:v>
      </x:c>
    </x:row>
    <x:row r="302" ht="115" customHeight="1">
      <x:c r="A302" s="7" t="str">
        <x:v>SKILL_0296</x:v>
      </x:c>
      <x:c r="B302" s="7" t="str">
        <x:v>소생 · 피해 감소 · 피해 분담의 의식</x:v>
      </x:c>
      <x:c r="C302" s="7"/>
      <x:c r="D302" s="7" t="str">
        <x:v>자신</x:v>
      </x:c>
      <x:c r="E302" s="7" t="n">
        <x:v>0</x:v>
      </x:c>
      <x:c r="F302" s="7" t="n">
        <x:v>0</x:v>
      </x:c>
      <x:c r="G302" s="7" t="n">
        <x:v>0</x:v>
      </x:c>
      <x:c r="H302" s="7" t="n">
        <x:v>0</x:v>
      </x:c>
      <x:c r="I302" s="7" t="n">
        <x:v>0</x:v>
      </x:c>
      <x:c r="J302" s="7" t="n">
        <x:v>0</x:v>
      </x:c>
      <x:c r="K302" s="7" t="str">
        <x:v>AUTO_REVIVE</x:v>
      </x:c>
      <x:c r="L302" s="7" t="n">
        <x:v>1</x:v>
      </x:c>
      <x:c r="M302" s="8" t="n">
        <x:v>1</x:v>
      </x:c>
      <x:c r="N302" s="7" t="str">
        <x:v>DAMAGE_REDUCTION</x:v>
      </x:c>
      <x:c r="O302" s="7" t="n">
        <x:v>0.16</x:v>
      </x:c>
      <x:c r="P302" s="8" t="n">
        <x:v>0.75</x:v>
      </x:c>
      <x:c r="Q302" s="7" t="str">
        <x:v>DAMAGE_SHARING</x:v>
      </x:c>
      <x:c r="R302" s="7" t="n">
        <x:v>0.16</x:v>
      </x:c>
      <x:c r="S302" s="8" t="n">
        <x:v>0.75</x:v>
      </x:c>
      <x:c r="T302" s="7"/>
      <x:c r="U302" s="7"/>
      <x:c r="V302" s="8"/>
      <x:c r="W302" s="7" t="n">
        <x:v>5</x:v>
      </x:c>
      <x:c r="X302" s="7" t="str">
        <x:v>대상: 자신. 100%확률로 소생 100% 획득합니다. 75%확률로 피해 감소 16% 획득합니다. 75%확률로 피해 분담 16% 획득합니다.</x:v>
      </x:c>
      <x:c r="Y302" s="7" t="str">
        <x:v>Target: the caster. 100% chance to gain Auto Revive 100%. 75% chance to gain Damage Reduction 16%. 75% chance to gain Damage Sharing 16%.</x:v>
      </x:c>
      <x:c r="Z302" s="7" t="str">
        <x:v>회복|버프</x:v>
      </x:c>
    </x:row>
    <x:row r="303" ht="115" customHeight="1">
      <x:c r="A303" s="7" t="str">
        <x:v>SKILL_0297</x:v>
      </x:c>
      <x:c r="B303" s="7" t="str">
        <x:v>불사 · 은신의 의식</x:v>
      </x:c>
      <x:c r="C303" s="7"/>
      <x:c r="D303" s="7" t="str">
        <x:v>아군</x:v>
      </x:c>
      <x:c r="E303" s="7" t="n">
        <x:v>0</x:v>
      </x:c>
      <x:c r="F303" s="7" t="n">
        <x:v>0</x:v>
      </x:c>
      <x:c r="G303" s="7" t="n">
        <x:v>0</x:v>
      </x:c>
      <x:c r="H303" s="7" t="n">
        <x:v>0</x:v>
      </x:c>
      <x:c r="I303" s="7" t="n">
        <x:v>0</x:v>
      </x:c>
      <x:c r="J303" s="7" t="n">
        <x:v>0</x:v>
      </x:c>
      <x:c r="K303" s="7" t="str">
        <x:v>IMMORTALITY</x:v>
      </x:c>
      <x:c r="L303" s="7" t="n">
        <x:v>1</x:v>
      </x:c>
      <x:c r="M303" s="8" t="n">
        <x:v>0.9</x:v>
      </x:c>
      <x:c r="N303" s="7" t="str">
        <x:v>STEALTH</x:v>
      </x:c>
      <x:c r="O303" s="7" t="n">
        <x:v>1</x:v>
      </x:c>
      <x:c r="P303" s="8" t="n">
        <x:v>0.9</x:v>
      </x:c>
      <x:c r="Q303" s="7"/>
      <x:c r="R303" s="7"/>
      <x:c r="S303" s="8"/>
      <x:c r="T303" s="7"/>
      <x:c r="U303" s="7"/>
      <x:c r="V303" s="8"/>
      <x:c r="W303" s="7" t="n">
        <x:v>3</x:v>
      </x:c>
      <x:c r="X303" s="7" t="str">
        <x:v>대상: 아군. 90%확률로 불사 적용합니다. 90%확률로 은신 적용합니다.</x:v>
      </x:c>
      <x:c r="Y303" s="7" t="str">
        <x:v>Target: one ally. 90% chance to apply Immortality. 90% chance to apply Stealth.</x:v>
      </x:c>
      <x:c r="Z303" s="7" t="str">
        <x:v>버프</x:v>
      </x:c>
    </x:row>
    <x:row r="304" ht="115" customHeight="1">
      <x:c r="A304" s="7" t="str">
        <x:v>SKILL_0298</x:v>
      </x:c>
      <x:c r="B304" s="7" t="str">
        <x:v>효과저항 증가 · 보호막 · 강화효과 지속시간 증가 · 공격력 증가의 의식</x:v>
      </x:c>
      <x:c r="C304" s="7"/>
      <x:c r="D304" s="7" t="str">
        <x:v>자신</x:v>
      </x:c>
      <x:c r="E304" s="7" t="n">
        <x:v>0</x:v>
      </x:c>
      <x:c r="F304" s="7" t="n">
        <x:v>0</x:v>
      </x:c>
      <x:c r="G304" s="7" t="n">
        <x:v>0</x:v>
      </x:c>
      <x:c r="H304" s="7" t="n">
        <x:v>0</x:v>
      </x:c>
      <x:c r="I304" s="7" t="n">
        <x:v>0</x:v>
      </x:c>
      <x:c r="J304" s="7" t="n">
        <x:v>0</x:v>
      </x:c>
      <x:c r="K304" s="7" t="str">
        <x:v>EFFECT_RESISTANCE_UP</x:v>
      </x:c>
      <x:c r="L304" s="7" t="n">
        <x:v>0.163</x:v>
      </x:c>
      <x:c r="M304" s="8" t="n">
        <x:v>0.7</x:v>
      </x:c>
      <x:c r="N304" s="7" t="str">
        <x:v>BARRIER</x:v>
      </x:c>
      <x:c r="O304" s="7" t="n">
        <x:v>0.098</x:v>
      </x:c>
      <x:c r="P304" s="8" t="n">
        <x:v>0.7</x:v>
      </x:c>
      <x:c r="Q304" s="7" t="str">
        <x:v>BUFF_DURATION_UP</x:v>
      </x:c>
      <x:c r="R304" s="7" t="n">
        <x:v>1</x:v>
      </x:c>
      <x:c r="S304" s="8" t="n">
        <x:v>0.7</x:v>
      </x:c>
      <x:c r="T304" s="7" t="str">
        <x:v>ATTACK_UP</x:v>
      </x:c>
      <x:c r="U304" s="7" t="n">
        <x:v>0.195</x:v>
      </x:c>
      <x:c r="V304" s="8" t="n">
        <x:v>0.7</x:v>
      </x:c>
      <x:c r="W304" s="7" t="n">
        <x:v>1</x:v>
      </x:c>
      <x:c r="X304" s="7" t="str">
        <x:v>대상: 자신. 70%확률로 효과저항 증가 16.3% 획득합니다. 70%확률로 보호막 9.8% 획득합니다. 70%확률로 강화효과 지속시간 증가 1턴 획득합니다. 70%확률로 공격력 증가 19.5% 획득합니다.</x:v>
      </x:c>
      <x:c r="Y304" s="7" t="str">
        <x:v>Target: the caster. 70% chance to gain Effect Resistance Up 16.3%. 70% chance to gain Barrier 9.8%. 70% chance to gain Buff Duration Extension 1 turn. 70% chance to gain Attack Up 19.5%.</x:v>
      </x:c>
      <x:c r="Z304" s="7" t="str">
        <x:v>버프</x:v>
      </x:c>
    </x:row>
    <x:row r="305" ht="115" customHeight="1">
      <x:c r="A305" s="7" t="str">
        <x:v>SKILL_0299</x:v>
      </x:c>
      <x:c r="B305" s="7" t="str">
        <x:v>무적 · 피해 감소의 의식</x:v>
      </x:c>
      <x:c r="C305" s="7"/>
      <x:c r="D305" s="7" t="str">
        <x:v>아군전체</x:v>
      </x:c>
      <x:c r="E305" s="7" t="n">
        <x:v>0</x:v>
      </x:c>
      <x:c r="F305" s="7" t="n">
        <x:v>0</x:v>
      </x:c>
      <x:c r="G305" s="7" t="n">
        <x:v>0</x:v>
      </x:c>
      <x:c r="H305" s="7" t="n">
        <x:v>0</x:v>
      </x:c>
      <x:c r="I305" s="7" t="n">
        <x:v>0</x:v>
      </x:c>
      <x:c r="J305" s="7" t="n">
        <x:v>0</x:v>
      </x:c>
      <x:c r="K305" s="7" t="str">
        <x:v>INVINCIBILITY</x:v>
      </x:c>
      <x:c r="L305" s="7" t="n">
        <x:v>1</x:v>
      </x:c>
      <x:c r="M305" s="8" t="n">
        <x:v>0.65</x:v>
      </x:c>
      <x:c r="N305" s="7" t="str">
        <x:v>DAMAGE_REDUCTION</x:v>
      </x:c>
      <x:c r="O305" s="7" t="n">
        <x:v>0.2</x:v>
      </x:c>
      <x:c r="P305" s="8" t="n">
        <x:v>0.65</x:v>
      </x:c>
      <x:c r="Q305" s="7"/>
      <x:c r="R305" s="7"/>
      <x:c r="S305" s="8"/>
      <x:c r="T305" s="7"/>
      <x:c r="U305" s="7"/>
      <x:c r="V305" s="8"/>
      <x:c r="W305" s="7" t="n">
        <x:v>5</x:v>
      </x:c>
      <x:c r="X305" s="7" t="str">
        <x:v>대상: 아군전체. 65%확률로 무적 적용합니다. 65%확률로 피해 감소 20% 적용합니다.</x:v>
      </x:c>
      <x:c r="Y305" s="7" t="str">
        <x:v>Target: all allies. 65% chance to apply Invincibility. 65% chance to apply Damage Reduction 20%.</x:v>
      </x:c>
      <x:c r="Z305" s="7" t="str">
        <x:v>버프</x:v>
      </x:c>
    </x:row>
    <x:row r="306" ht="115" customHeight="1">
      <x:c r="A306" s="7" t="str">
        <x:v>SKILL_0300</x:v>
      </x:c>
      <x:c r="B306" s="7" t="str">
        <x:v>지속 회복 · 약화효과 해제 · 회피 증가의 의식</x:v>
      </x:c>
      <x:c r="C306" s="7"/>
      <x:c r="D306" s="7" t="str">
        <x:v>아군과 자신</x:v>
      </x:c>
      <x:c r="E306" s="7" t="n">
        <x:v>0</x:v>
      </x:c>
      <x:c r="F306" s="7" t="n">
        <x:v>0</x:v>
      </x:c>
      <x:c r="G306" s="7" t="n">
        <x:v>0</x:v>
      </x:c>
      <x:c r="H306" s="7" t="n">
        <x:v>0</x:v>
      </x:c>
      <x:c r="I306" s="7" t="n">
        <x:v>0</x:v>
      </x:c>
      <x:c r="J306" s="7" t="n">
        <x:v>0</x:v>
      </x:c>
      <x:c r="K306" s="7" t="str">
        <x:v>CONTINUOUS_HEAL</x:v>
      </x:c>
      <x:c r="L306" s="7" t="n">
        <x:v>0.056</x:v>
      </x:c>
      <x:c r="M306" s="8" t="n">
        <x:v>0.8</x:v>
      </x:c>
      <x:c r="N306" s="7" t="str">
        <x:v>CLEANSE_DEBUFF</x:v>
      </x:c>
      <x:c r="O306" s="7" t="n">
        <x:v>1</x:v>
      </x:c>
      <x:c r="P306" s="8" t="n">
        <x:v>0.8</x:v>
      </x:c>
      <x:c r="Q306" s="7" t="str">
        <x:v>EVASION_UP</x:v>
      </x:c>
      <x:c r="R306" s="7" t="n">
        <x:v>0.16</x:v>
      </x:c>
      <x:c r="S306" s="8" t="n">
        <x:v>0.8</x:v>
      </x:c>
      <x:c r="T306" s="7"/>
      <x:c r="U306" s="7"/>
      <x:c r="V306" s="8"/>
      <x:c r="W306" s="7" t="n">
        <x:v>2</x:v>
      </x:c>
      <x:c r="X306" s="7" t="str">
        <x:v>대상: 아군과 자신. 80%확률로 지속 회복을 부여합니다(2턴, 대상의 턴 시작마다 대상 최대생명력의 5.6% 회복). 80%확률로 약화효과 해제 1개 적용합니다. 80%확률로 회피 증가 16% 적용합니다.</x:v>
      </x:c>
      <x:c r="Y306" s="7" t="str">
        <x:v>Target: one ally and the caster. 80% chance to grant Continuous Heal for 2 turns, restoring 5.6% of the recipient's max Health at each turn start. 80% chance to apply Cleanse Debuff 1 count. 80% chance to apply Evasion Up 16%.</x:v>
      </x:c>
      <x:c r="Z306" s="7" t="str">
        <x:v>회복|버프</x:v>
      </x:c>
    </x:row>
    <x:row r="307" ht="115" customHeight="1">
      <x:c r="A307" s="7" t="str">
        <x:v>SKILL_0301</x:v>
      </x:c>
      <x:c r="B307" s="7" t="str">
        <x:v>공격력 증가 · 생명력 회복 · 피해 반사의 의식</x:v>
      </x:c>
      <x:c r="C307" s="7"/>
      <x:c r="D307" s="7" t="str">
        <x:v>아군</x:v>
      </x:c>
      <x:c r="E307" s="7" t="n">
        <x:v>0</x:v>
      </x:c>
      <x:c r="F307" s="7" t="n">
        <x:v>0</x:v>
      </x:c>
      <x:c r="G307" s="7" t="n">
        <x:v>0</x:v>
      </x:c>
      <x:c r="H307" s="7" t="n">
        <x:v>0</x:v>
      </x:c>
      <x:c r="I307" s="7" t="n">
        <x:v>0</x:v>
      </x:c>
      <x:c r="J307" s="7" t="n">
        <x:v>0.25</x:v>
      </x:c>
      <x:c r="K307" s="7" t="str">
        <x:v>ATTACK_UP</x:v>
      </x:c>
      <x:c r="L307" s="7" t="n">
        <x:v>0.24</x:v>
      </x:c>
      <x:c r="M307" s="8" t="n">
        <x:v>0.8</x:v>
      </x:c>
      <x:c r="N307" s="7" t="str">
        <x:v>HEAL</x:v>
      </x:c>
      <x:c r="O307" s="7" t="n">
        <x:v>1</x:v>
      </x:c>
      <x:c r="P307" s="8" t="n">
        <x:v>1</x:v>
      </x:c>
      <x:c r="Q307" s="7" t="str">
        <x:v>DAMAGE_REFLECTION</x:v>
      </x:c>
      <x:c r="R307" s="7" t="n">
        <x:v>0.16</x:v>
      </x:c>
      <x:c r="S307" s="8" t="n">
        <x:v>0.8</x:v>
      </x:c>
      <x:c r="T307" s="7"/>
      <x:c r="U307" s="7"/>
      <x:c r="V307" s="8"/>
      <x:c r="W307" s="7" t="n">
        <x:v>1</x:v>
      </x:c>
      <x:c r="X307" s="7" t="str">
        <x:v>대상: 아군. 아군을 시전자의 최대생명력의 0.25배만큼 회복시킵니다. 80%확률로 공격력 증가 24% 적용합니다. 80%확률로 피해 반사 16% 적용합니다.</x:v>
      </x:c>
      <x:c r="Y307" s="7" t="str">
        <x:v>Target: one ally. Heals one ally for 0.25 × caster max Health. 80% chance to apply Attack Up 24%. 80% chance to apply Damage Reflection 16%.</x:v>
      </x:c>
      <x:c r="Z307" s="7" t="str">
        <x:v>공격|회복|버프</x:v>
      </x:c>
    </x:row>
    <x:row r="308" ht="115" customHeight="1">
      <x:c r="A308" s="7" t="str">
        <x:v>SKILL_0302</x:v>
      </x:c>
      <x:c r="B308" s="7" t="str">
        <x:v>약화효과 해제 · 치명저항 증가 · 효과저항 증가 · 강화효과 지속시간 증가의 의식</x:v>
      </x:c>
      <x:c r="C308" s="7"/>
      <x:c r="D308" s="7" t="str">
        <x:v>자신</x:v>
      </x:c>
      <x:c r="E308" s="7" t="n">
        <x:v>0</x:v>
      </x:c>
      <x:c r="F308" s="7" t="n">
        <x:v>0</x:v>
      </x:c>
      <x:c r="G308" s="7" t="n">
        <x:v>0</x:v>
      </x:c>
      <x:c r="H308" s="7" t="n">
        <x:v>0</x:v>
      </x:c>
      <x:c r="I308" s="7" t="n">
        <x:v>0</x:v>
      </x:c>
      <x:c r="J308" s="7" t="n">
        <x:v>0</x:v>
      </x:c>
      <x:c r="K308" s="7" t="str">
        <x:v>CLEANSE_DEBUFF</x:v>
      </x:c>
      <x:c r="L308" s="7" t="n">
        <x:v>1</x:v>
      </x:c>
      <x:c r="M308" s="8" t="n">
        <x:v>0.7</x:v>
      </x:c>
      <x:c r="N308" s="7" t="str">
        <x:v>CRITICAL_RESISTANCE_UP</x:v>
      </x:c>
      <x:c r="O308" s="7" t="n">
        <x:v>0.163</x:v>
      </x:c>
      <x:c r="P308" s="8" t="n">
        <x:v>0.7</x:v>
      </x:c>
      <x:c r="Q308" s="7" t="str">
        <x:v>EFFECT_RESISTANCE_UP</x:v>
      </x:c>
      <x:c r="R308" s="7" t="n">
        <x:v>0.163</x:v>
      </x:c>
      <x:c r="S308" s="8" t="n">
        <x:v>0.7</x:v>
      </x:c>
      <x:c r="T308" s="7" t="str">
        <x:v>BUFF_DURATION_UP</x:v>
      </x:c>
      <x:c r="U308" s="7" t="n">
        <x:v>1</x:v>
      </x:c>
      <x:c r="V308" s="8" t="n">
        <x:v>0.7</x:v>
      </x:c>
      <x:c r="W308" s="7" t="n">
        <x:v>2</x:v>
      </x:c>
      <x:c r="X308" s="7" t="str">
        <x:v>대상: 자신. 70%확률로 약화효과 해제 1개 획득합니다. 70%확률로 치명저항 증가 16.3% 획득합니다. 70%확률로 효과저항 증가 16.3% 획득합니다. 70%확률로 강화효과 지속시간 증가 1턴 획득합니다.</x:v>
      </x:c>
      <x:c r="Y308" s="7" t="str">
        <x:v>Target: the caster. 70% chance to gain Cleanse Debuff 1 count. 70% chance to gain Critical Hit Resistance Up 16.3%. 70% chance to gain Effect Resistance Up 16.3%. 70% chance to gain Buff Duration Extension 1 turn.</x:v>
      </x:c>
      <x:c r="Z308" s="7" t="str">
        <x:v>버프</x:v>
      </x:c>
    </x:row>
    <x:row r="309" ht="115" customHeight="1">
      <x:c r="A309" s="7" t="str">
        <x:v>SKILL_0303</x:v>
      </x:c>
      <x:c r="B309" s="7" t="str">
        <x:v>은신 · 보호막 · 반격 · 방어력 증가의 의식</x:v>
      </x:c>
      <x:c r="C309" s="7"/>
      <x:c r="D309" s="7" t="str">
        <x:v>아군전체</x:v>
      </x:c>
      <x:c r="E309" s="7" t="n">
        <x:v>0</x:v>
      </x:c>
      <x:c r="F309" s="7" t="n">
        <x:v>0</x:v>
      </x:c>
      <x:c r="G309" s="7" t="n">
        <x:v>0</x:v>
      </x:c>
      <x:c r="H309" s="7" t="n">
        <x:v>0</x:v>
      </x:c>
      <x:c r="I309" s="7" t="n">
        <x:v>0</x:v>
      </x:c>
      <x:c r="J309" s="7" t="n">
        <x:v>0</x:v>
      </x:c>
      <x:c r="K309" s="7" t="str">
        <x:v>STEALTH</x:v>
      </x:c>
      <x:c r="L309" s="7" t="n">
        <x:v>1</x:v>
      </x:c>
      <x:c r="M309" s="8" t="n">
        <x:v>0.7</x:v>
      </x:c>
      <x:c r="N309" s="7" t="str">
        <x:v>BARRIER</x:v>
      </x:c>
      <x:c r="O309" s="7" t="n">
        <x:v>0.098</x:v>
      </x:c>
      <x:c r="P309" s="8" t="n">
        <x:v>0.7</x:v>
      </x:c>
      <x:c r="Q309" s="7" t="str">
        <x:v>COUNTERATTACK</x:v>
      </x:c>
      <x:c r="R309" s="7" t="n">
        <x:v>0.26</x:v>
      </x:c>
      <x:c r="S309" s="8" t="n">
        <x:v>0.7</x:v>
      </x:c>
      <x:c r="T309" s="7" t="str">
        <x:v>DEFENSE_UP</x:v>
      </x:c>
      <x:c r="U309" s="7" t="n">
        <x:v>0.227</x:v>
      </x:c>
      <x:c r="V309" s="8" t="n">
        <x:v>0.7</x:v>
      </x:c>
      <x:c r="W309" s="7" t="n">
        <x:v>5</x:v>
      </x:c>
      <x:c r="X309" s="7" t="str">
        <x:v>대상: 아군전체. 70%확률로 은신 적용합니다. 70%확률로 보호막 9.8% 적용합니다. 70%확률로 반격 26% 적용합니다. 70%확률로 방어력 증가 22.7% 적용합니다.</x:v>
      </x:c>
      <x:c r="Y309" s="7" t="str">
        <x:v>Target: all allies. 70% chance to apply Stealth. 70% chance to apply Barrier 9.8%. 70% chance to apply Counterattack 26%. 70% chance to apply Defense Up 22.7%.</x:v>
      </x:c>
      <x:c r="Z309" s="7" t="str">
        <x:v>공격|버프</x:v>
      </x:c>
    </x:row>
    <x:row r="310" ht="115" customHeight="1">
      <x:c r="A310" s="7" t="str">
        <x:v>SKILL_0304</x:v>
      </x:c>
      <x:c r="B310" s="7" t="str">
        <x:v>스킬 쿨타임 초기화 · 공격력 증가의 의식</x:v>
      </x:c>
      <x:c r="C310" s="7"/>
      <x:c r="D310" s="7" t="str">
        <x:v>아군</x:v>
      </x:c>
      <x:c r="E310" s="7" t="n">
        <x:v>0</x:v>
      </x:c>
      <x:c r="F310" s="7" t="n">
        <x:v>0</x:v>
      </x:c>
      <x:c r="G310" s="7" t="n">
        <x:v>0</x:v>
      </x:c>
      <x:c r="H310" s="7" t="n">
        <x:v>0</x:v>
      </x:c>
      <x:c r="I310" s="7" t="n">
        <x:v>0</x:v>
      </x:c>
      <x:c r="J310" s="7" t="n">
        <x:v>0</x:v>
      </x:c>
      <x:c r="K310" s="7" t="str">
        <x:v>SKILL_COOLDOWN_RESET</x:v>
      </x:c>
      <x:c r="L310" s="7" t="n">
        <x:v>1</x:v>
      </x:c>
      <x:c r="M310" s="8" t="n">
        <x:v>0.9</x:v>
      </x:c>
      <x:c r="N310" s="7" t="str">
        <x:v>ATTACK_UP</x:v>
      </x:c>
      <x:c r="O310" s="7" t="n">
        <x:v>0.3</x:v>
      </x:c>
      <x:c r="P310" s="8" t="n">
        <x:v>0.9</x:v>
      </x:c>
      <x:c r="Q310" s="7"/>
      <x:c r="R310" s="7"/>
      <x:c r="S310" s="8"/>
      <x:c r="T310" s="7"/>
      <x:c r="U310" s="7"/>
      <x:c r="V310" s="8"/>
      <x:c r="W310" s="7" t="n">
        <x:v>5</x:v>
      </x:c>
      <x:c r="X310" s="7" t="str">
        <x:v>대상: 아군. 90%확률로 스킬 쿨타임 초기화 1개 적용합니다. 90%확률로 공격력 증가 30% 적용합니다.</x:v>
      </x:c>
      <x:c r="Y310" s="7" t="str">
        <x:v>Target: one ally. 90% chance to apply Skill Cooldown Reset 1 count. 90% chance to apply Attack Up 30%.</x:v>
      </x:c>
      <x:c r="Z310" s="7" t="str">
        <x:v>버프</x:v>
      </x:c>
    </x:row>
    <x:row r="311" ht="115" customHeight="1">
      <x:c r="A311" s="7" t="str">
        <x:v>SKILL_0305</x:v>
      </x:c>
      <x:c r="B311" s="7" t="str">
        <x:v>약화효과 해제 · 방어력 증가 · 공격력 증가의 의식</x:v>
      </x:c>
      <x:c r="C311" s="7"/>
      <x:c r="D311" s="7" t="str">
        <x:v>아군</x:v>
      </x:c>
      <x:c r="E311" s="7" t="n">
        <x:v>0</x:v>
      </x:c>
      <x:c r="F311" s="7" t="n">
        <x:v>0</x:v>
      </x:c>
      <x:c r="G311" s="7" t="n">
        <x:v>0</x:v>
      </x:c>
      <x:c r="H311" s="7" t="n">
        <x:v>0</x:v>
      </x:c>
      <x:c r="I311" s="7" t="n">
        <x:v>0</x:v>
      </x:c>
      <x:c r="J311" s="7" t="n">
        <x:v>0</x:v>
      </x:c>
      <x:c r="K311" s="7" t="str">
        <x:v>CLEANSE_DEBUFF</x:v>
      </x:c>
      <x:c r="L311" s="7" t="n">
        <x:v>1</x:v>
      </x:c>
      <x:c r="M311" s="8" t="n">
        <x:v>0.8</x:v>
      </x:c>
      <x:c r="N311" s="7" t="str">
        <x:v>DEFENSE_UP</x:v>
      </x:c>
      <x:c r="O311" s="7" t="n">
        <x:v>0.28</x:v>
      </x:c>
      <x:c r="P311" s="8" t="n">
        <x:v>0.8</x:v>
      </x:c>
      <x:c r="Q311" s="7" t="str">
        <x:v>ATTACK_UP</x:v>
      </x:c>
      <x:c r="R311" s="7" t="n">
        <x:v>0.24</x:v>
      </x:c>
      <x:c r="S311" s="8" t="n">
        <x:v>0.8</x:v>
      </x:c>
      <x:c r="T311" s="7"/>
      <x:c r="U311" s="7"/>
      <x:c r="V311" s="8"/>
      <x:c r="W311" s="7" t="n">
        <x:v>1</x:v>
      </x:c>
      <x:c r="X311" s="7" t="str">
        <x:v>대상: 아군. 80%확률로 약화효과 해제 1개 적용합니다. 80%확률로 방어력 증가 28% 적용합니다. 80%확률로 공격력 증가 24% 적용합니다.</x:v>
      </x:c>
      <x:c r="Y311" s="7" t="str">
        <x:v>Target: one ally. 80% chance to apply Cleanse Debuff 1 count. 80% chance to apply Defense Up 28%. 80% chance to apply Attack Up 24%.</x:v>
      </x:c>
      <x:c r="Z311" s="7" t="str">
        <x:v>버프</x:v>
      </x:c>
    </x:row>
    <x:row r="312" ht="115" customHeight="1">
      <x:c r="A312" s="7" t="str">
        <x:v>SKILL_0306</x:v>
      </x:c>
      <x:c r="B312" s="7" t="str">
        <x:v>치명확률 증가 · 생명력 회복의 의식</x:v>
      </x:c>
      <x:c r="C312" s="7"/>
      <x:c r="D312" s="7" t="str">
        <x:v>자신</x:v>
      </x:c>
      <x:c r="E312" s="7" t="n">
        <x:v>0</x:v>
      </x:c>
      <x:c r="F312" s="7" t="n">
        <x:v>0</x:v>
      </x:c>
      <x:c r="G312" s="7" t="n">
        <x:v>0</x:v>
      </x:c>
      <x:c r="H312" s="7" t="n">
        <x:v>0</x:v>
      </x:c>
      <x:c r="I312" s="7" t="n">
        <x:v>0.35</x:v>
      </x:c>
      <x:c r="J312" s="7" t="n">
        <x:v>0</x:v>
      </x:c>
      <x:c r="K312" s="7" t="str">
        <x:v>CRITICAL_CHANCE_UP</x:v>
      </x:c>
      <x:c r="L312" s="7" t="n">
        <x:v>0.2</x:v>
      </x:c>
      <x:c r="M312" s="8" t="n">
        <x:v>0.9</x:v>
      </x:c>
      <x:c r="N312" s="7" t="str">
        <x:v>HEAL</x:v>
      </x:c>
      <x:c r="O312" s="7" t="n">
        <x:v>1</x:v>
      </x:c>
      <x:c r="P312" s="8" t="n">
        <x:v>1</x:v>
      </x:c>
      <x:c r="Q312" s="7"/>
      <x:c r="R312" s="7"/>
      <x:c r="S312" s="8"/>
      <x:c r="T312" s="7"/>
      <x:c r="U312" s="7"/>
      <x:c r="V312" s="8"/>
      <x:c r="W312" s="7" t="n">
        <x:v>1</x:v>
      </x:c>
      <x:c r="X312" s="7" t="str">
        <x:v>대상: 자신. 자신을 시전자의 공격력의 0.35배만큼 회복시킵니다. 90%확률로 치명확률 증가 20% 획득합니다.</x:v>
      </x:c>
      <x:c r="Y312" s="7" t="str">
        <x:v>Target: the caster. Heals the caster for 0.35 × caster Attack. 90% chance to gain Critical Hit Chance Up 20%.</x:v>
      </x:c>
      <x:c r="Z312" s="7" t="str">
        <x:v>회복|버프</x:v>
      </x:c>
    </x:row>
    <x:row r="313" ht="115" customHeight="1">
      <x:c r="A313" s="7" t="str">
        <x:v>SKILL_0307</x:v>
      </x:c>
      <x:c r="B313" s="7" t="str">
        <x:v>생명력 회복 · 은신의 의식</x:v>
      </x:c>
      <x:c r="C313" s="7"/>
      <x:c r="D313" s="7" t="str">
        <x:v>아군전체</x:v>
      </x:c>
      <x:c r="E313" s="7" t="n">
        <x:v>0</x:v>
      </x:c>
      <x:c r="F313" s="7" t="n">
        <x:v>0</x:v>
      </x:c>
      <x:c r="G313" s="7" t="n">
        <x:v>0</x:v>
      </x:c>
      <x:c r="H313" s="7" t="n">
        <x:v>0</x:v>
      </x:c>
      <x:c r="I313" s="7" t="n">
        <x:v>0</x:v>
      </x:c>
      <x:c r="J313" s="7" t="n">
        <x:v>0.35</x:v>
      </x:c>
      <x:c r="K313" s="7" t="str">
        <x:v>HEAL</x:v>
      </x:c>
      <x:c r="L313" s="7" t="n">
        <x:v>1</x:v>
      </x:c>
      <x:c r="M313" s="8" t="n">
        <x:v>1</x:v>
      </x:c>
      <x:c r="N313" s="7" t="str">
        <x:v>STEALTH</x:v>
      </x:c>
      <x:c r="O313" s="7" t="n">
        <x:v>1</x:v>
      </x:c>
      <x:c r="P313" s="8" t="n">
        <x:v>0.9</x:v>
      </x:c>
      <x:c r="Q313" s="7"/>
      <x:c r="R313" s="7"/>
      <x:c r="S313" s="8"/>
      <x:c r="T313" s="7"/>
      <x:c r="U313" s="7"/>
      <x:c r="V313" s="8"/>
      <x:c r="W313" s="7" t="n">
        <x:v>3</x:v>
      </x:c>
      <x:c r="X313" s="7" t="str">
        <x:v>대상: 아군전체. 아군전체를 시전자의 최대생명력의 0.35배만큼 회복시킵니다. 90%확률로 은신 적용합니다.</x:v>
      </x:c>
      <x:c r="Y313" s="7" t="str">
        <x:v>Target: all allies. Heals all allies for 0.35 × caster max Health. 90% chance to apply Stealth.</x:v>
      </x:c>
      <x:c r="Z313" s="7" t="str">
        <x:v>회복|버프</x:v>
      </x:c>
    </x:row>
    <x:row r="314" ht="115" customHeight="1">
      <x:c r="A314" s="7" t="str">
        <x:v>SKILL_0308</x:v>
      </x:c>
      <x:c r="B314" s="7" t="str">
        <x:v>약화효과 해제 · 명중 증가 · 소생 · 은신의 의식</x:v>
      </x:c>
      <x:c r="C314" s="7"/>
      <x:c r="D314" s="7" t="str">
        <x:v>아군</x:v>
      </x:c>
      <x:c r="E314" s="7" t="n">
        <x:v>0</x:v>
      </x:c>
      <x:c r="F314" s="7" t="n">
        <x:v>0</x:v>
      </x:c>
      <x:c r="G314" s="7" t="n">
        <x:v>0</x:v>
      </x:c>
      <x:c r="H314" s="7" t="n">
        <x:v>0</x:v>
      </x:c>
      <x:c r="I314" s="7" t="n">
        <x:v>0</x:v>
      </x:c>
      <x:c r="J314" s="7" t="n">
        <x:v>0</x:v>
      </x:c>
      <x:c r="K314" s="7" t="str">
        <x:v>CLEANSE_DEBUFF</x:v>
      </x:c>
      <x:c r="L314" s="7" t="n">
        <x:v>1</x:v>
      </x:c>
      <x:c r="M314" s="8" t="n">
        <x:v>0.35</x:v>
      </x:c>
      <x:c r="N314" s="7" t="str">
        <x:v>HIT_CHANCE_UP</x:v>
      </x:c>
      <x:c r="O314" s="7" t="n">
        <x:v>0.13</x:v>
      </x:c>
      <x:c r="P314" s="8" t="n">
        <x:v>0.35</x:v>
      </x:c>
      <x:c r="Q314" s="7" t="str">
        <x:v>AUTO_REVIVE</x:v>
      </x:c>
      <x:c r="R314" s="7" t="n">
        <x:v>1</x:v>
      </x:c>
      <x:c r="S314" s="8" t="n">
        <x:v>1</x:v>
      </x:c>
      <x:c r="T314" s="7" t="str">
        <x:v>STEALTH</x:v>
      </x:c>
      <x:c r="U314" s="7" t="n">
        <x:v>1</x:v>
      </x:c>
      <x:c r="V314" s="8" t="n">
        <x:v>0.35</x:v>
      </x:c>
      <x:c r="W314" s="7" t="n">
        <x:v>5</x:v>
      </x:c>
      <x:c r="X314" s="7" t="str">
        <x:v>대상: 아군. 35%확률로 약화효과 해제 1개 적용합니다. 35%확률로 명중 증가 13% 적용합니다. 100%확률로 소생 100% 적용합니다. 35%확률로 은신 적용합니다.</x:v>
      </x:c>
      <x:c r="Y314" s="7" t="str">
        <x:v>Target: one ally. 35% chance to apply Cleanse Debuff 1 count. 35% chance to apply Hit Chance Up 13%. 100% chance to apply Auto Revive 100%. 35% chance to apply Stealth.</x:v>
      </x:c>
      <x:c r="Z314" s="7" t="str">
        <x:v>회복|버프</x:v>
      </x:c>
    </x:row>
    <x:row r="315" ht="115" customHeight="1">
      <x:c r="A315" s="7" t="str">
        <x:v>SKILL_0309</x:v>
      </x:c>
      <x:c r="B315" s="7" t="str">
        <x:v>스킬 쿨타임 감소 · 은신의 의식</x:v>
      </x:c>
      <x:c r="C315" s="7"/>
      <x:c r="D315" s="7" t="str">
        <x:v>아군</x:v>
      </x:c>
      <x:c r="E315" s="7" t="n">
        <x:v>0</x:v>
      </x:c>
      <x:c r="F315" s="7" t="n">
        <x:v>0</x:v>
      </x:c>
      <x:c r="G315" s="7" t="n">
        <x:v>0</x:v>
      </x:c>
      <x:c r="H315" s="7" t="n">
        <x:v>0</x:v>
      </x:c>
      <x:c r="I315" s="7" t="n">
        <x:v>0</x:v>
      </x:c>
      <x:c r="J315" s="7" t="n">
        <x:v>0</x:v>
      </x:c>
      <x:c r="K315" s="7" t="str">
        <x:v>SKILL_COOLDOWN_DOWN</x:v>
      </x:c>
      <x:c r="L315" s="7" t="n">
        <x:v>1</x:v>
      </x:c>
      <x:c r="M315" s="8" t="n">
        <x:v>0.9</x:v>
      </x:c>
      <x:c r="N315" s="7" t="str">
        <x:v>STEALTH</x:v>
      </x:c>
      <x:c r="O315" s="7" t="n">
        <x:v>1</x:v>
      </x:c>
      <x:c r="P315" s="8" t="n">
        <x:v>0.9</x:v>
      </x:c>
      <x:c r="Q315" s="7"/>
      <x:c r="R315" s="7"/>
      <x:c r="S315" s="8"/>
      <x:c r="T315" s="7"/>
      <x:c r="U315" s="7"/>
      <x:c r="V315" s="8"/>
      <x:c r="W315" s="7" t="n">
        <x:v>2</x:v>
      </x:c>
      <x:c r="X315" s="7" t="str">
        <x:v>대상: 아군. 90%확률로 스킬 쿨타임 감소 1턴 적용합니다. 90%확률로 은신 적용합니다.</x:v>
      </x:c>
      <x:c r="Y315" s="7" t="str">
        <x:v>Target: one ally. 90% chance to apply Skill Cooldown Reduction 1 turn. 90% chance to apply Stealth.</x:v>
      </x:c>
      <x:c r="Z315" s="7" t="str">
        <x:v>버프</x:v>
      </x:c>
    </x:row>
    <x:row r="316" ht="115" customHeight="1">
      <x:c r="A316" s="7" t="str">
        <x:v>SKILL_0310</x:v>
      </x:c>
      <x:c r="B316" s="7" t="str">
        <x:v>지속 회복 · 피해 반사 · 효과저항 증가 · 회피 증가의 의식</x:v>
      </x:c>
      <x:c r="C316" s="7"/>
      <x:c r="D316" s="7" t="str">
        <x:v>자신</x:v>
      </x:c>
      <x:c r="E316" s="7" t="n">
        <x:v>0</x:v>
      </x:c>
      <x:c r="F316" s="7" t="n">
        <x:v>0</x:v>
      </x:c>
      <x:c r="G316" s="7" t="n">
        <x:v>0</x:v>
      </x:c>
      <x:c r="H316" s="7" t="n">
        <x:v>0</x:v>
      </x:c>
      <x:c r="I316" s="7" t="n">
        <x:v>0</x:v>
      </x:c>
      <x:c r="J316" s="7" t="n">
        <x:v>0</x:v>
      </x:c>
      <x:c r="K316" s="7" t="str">
        <x:v>CONTINUOUS_HEAL</x:v>
      </x:c>
      <x:c r="L316" s="7" t="n">
        <x:v>0.046</x:v>
      </x:c>
      <x:c r="M316" s="8" t="n">
        <x:v>0.7</x:v>
      </x:c>
      <x:c r="N316" s="7" t="str">
        <x:v>DAMAGE_REFLECTION</x:v>
      </x:c>
      <x:c r="O316" s="7" t="n">
        <x:v>0.13</x:v>
      </x:c>
      <x:c r="P316" s="8" t="n">
        <x:v>0.7</x:v>
      </x:c>
      <x:c r="Q316" s="7" t="str">
        <x:v>EFFECT_RESISTANCE_UP</x:v>
      </x:c>
      <x:c r="R316" s="7" t="n">
        <x:v>0.163</x:v>
      </x:c>
      <x:c r="S316" s="8" t="n">
        <x:v>0.7</x:v>
      </x:c>
      <x:c r="T316" s="7" t="str">
        <x:v>EVASION_UP</x:v>
      </x:c>
      <x:c r="U316" s="7" t="n">
        <x:v>0.13</x:v>
      </x:c>
      <x:c r="V316" s="8" t="n">
        <x:v>0.7</x:v>
      </x:c>
      <x:c r="W316" s="7" t="n">
        <x:v>1</x:v>
      </x:c>
      <x:c r="X316" s="7" t="str">
        <x:v>대상: 자신. 70%확률로 지속 회복을 부여합니다(2턴, 대상의 턴 시작마다 대상 최대생명력의 4.6% 회복). 70%확률로 피해 반사 13% 획득합니다. 70%확률로 효과저항 증가 16.3% 획득합니다. 70%확률로 회피 증가 13% 획득합니다.</x:v>
      </x:c>
      <x:c r="Y316" s="7" t="str">
        <x:v>Target: the caster. 70% chance to grant Continuous Heal for 2 turns, restoring 4.6% of the recipient's max Health at each turn start. 70% chance to gain Damage Reflection 13%. 70% chance to gain Effect Resistance Up 16.3%. 70% chance to gain Evasion Up 13%.</x:v>
      </x:c>
      <x:c r="Z316" s="7" t="str">
        <x:v>공격|회복|버프</x:v>
      </x:c>
    </x:row>
    <x:row r="317" ht="115" customHeight="1">
      <x:c r="A317" s="7" t="str">
        <x:v>SKILL_0311</x:v>
      </x:c>
      <x:c r="B317" s="7" t="str">
        <x:v>약화효과 해제 · 은신 · 명중 증가 · 피해 반사의 의식</x:v>
      </x:c>
      <x:c r="C317" s="7"/>
      <x:c r="D317" s="7" t="str">
        <x:v>아군전체</x:v>
      </x:c>
      <x:c r="E317" s="7" t="n">
        <x:v>0</x:v>
      </x:c>
      <x:c r="F317" s="7" t="n">
        <x:v>0</x:v>
      </x:c>
      <x:c r="G317" s="7" t="n">
        <x:v>0</x:v>
      </x:c>
      <x:c r="H317" s="7" t="n">
        <x:v>0</x:v>
      </x:c>
      <x:c r="I317" s="7" t="n">
        <x:v>0</x:v>
      </x:c>
      <x:c r="J317" s="7" t="n">
        <x:v>0</x:v>
      </x:c>
      <x:c r="K317" s="7" t="str">
        <x:v>CLEANSE_DEBUFF</x:v>
      </x:c>
      <x:c r="L317" s="7" t="n">
        <x:v>1</x:v>
      </x:c>
      <x:c r="M317" s="8" t="n">
        <x:v>0.7</x:v>
      </x:c>
      <x:c r="N317" s="7" t="str">
        <x:v>STEALTH</x:v>
      </x:c>
      <x:c r="O317" s="7" t="n">
        <x:v>1</x:v>
      </x:c>
      <x:c r="P317" s="8" t="n">
        <x:v>0.7</x:v>
      </x:c>
      <x:c r="Q317" s="7" t="str">
        <x:v>HIT_CHANCE_UP</x:v>
      </x:c>
      <x:c r="R317" s="7" t="n">
        <x:v>0.13</x:v>
      </x:c>
      <x:c r="S317" s="8" t="n">
        <x:v>0.7</x:v>
      </x:c>
      <x:c r="T317" s="7" t="str">
        <x:v>DAMAGE_REFLECTION</x:v>
      </x:c>
      <x:c r="U317" s="7" t="n">
        <x:v>0.13</x:v>
      </x:c>
      <x:c r="V317" s="8" t="n">
        <x:v>0.7</x:v>
      </x:c>
      <x:c r="W317" s="7" t="n">
        <x:v>5</x:v>
      </x:c>
      <x:c r="X317" s="7" t="str">
        <x:v>대상: 아군전체. 70%확률로 약화효과 해제 1개 적용합니다. 70%확률로 은신 적용합니다. 70%확률로 명중 증가 13% 적용합니다. 70%확률로 피해 반사 13% 적용합니다.</x:v>
      </x:c>
      <x:c r="Y317" s="7" t="str">
        <x:v>Target: all allies. 70% chance to apply Cleanse Debuff 1 count. 70% chance to apply Stealth. 70% chance to apply Hit Chance Up 13%. 70% chance to apply Damage Reflection 13%.</x:v>
      </x:c>
      <x:c r="Z317" s="7" t="str">
        <x:v>공격|버프</x:v>
      </x:c>
    </x:row>
    <x:row r="318" ht="115" customHeight="1">
      <x:c r="A318" s="7" t="str">
        <x:v>SKILL_0312</x:v>
      </x:c>
      <x:c r="B318" s="7" t="str">
        <x:v>효과저항 증가 · 스킬 쿨타임 감소 · 은신의 의식</x:v>
      </x:c>
      <x:c r="C318" s="7"/>
      <x:c r="D318" s="7" t="str">
        <x:v>아군과 자신</x:v>
      </x:c>
      <x:c r="E318" s="7" t="n">
        <x:v>0</x:v>
      </x:c>
      <x:c r="F318" s="7" t="n">
        <x:v>0</x:v>
      </x:c>
      <x:c r="G318" s="7" t="n">
        <x:v>0</x:v>
      </x:c>
      <x:c r="H318" s="7" t="n">
        <x:v>0</x:v>
      </x:c>
      <x:c r="I318" s="7" t="n">
        <x:v>0</x:v>
      </x:c>
      <x:c r="J318" s="7" t="n">
        <x:v>0</x:v>
      </x:c>
      <x:c r="K318" s="7" t="str">
        <x:v>EFFECT_RESISTANCE_UP</x:v>
      </x:c>
      <x:c r="L318" s="7" t="n">
        <x:v>0.2</x:v>
      </x:c>
      <x:c r="M318" s="8" t="n">
        <x:v>0.8</x:v>
      </x:c>
      <x:c r="N318" s="7" t="str">
        <x:v>SKILL_COOLDOWN_DOWN</x:v>
      </x:c>
      <x:c r="O318" s="7" t="n">
        <x:v>1</x:v>
      </x:c>
      <x:c r="P318" s="8" t="n">
        <x:v>0.8</x:v>
      </x:c>
      <x:c r="Q318" s="7" t="str">
        <x:v>STEALTH</x:v>
      </x:c>
      <x:c r="R318" s="7" t="n">
        <x:v>1</x:v>
      </x:c>
      <x:c r="S318" s="8" t="n">
        <x:v>0.8</x:v>
      </x:c>
      <x:c r="T318" s="7"/>
      <x:c r="U318" s="7"/>
      <x:c r="V318" s="8"/>
      <x:c r="W318" s="7" t="n">
        <x:v>4</x:v>
      </x:c>
      <x:c r="X318" s="7" t="str">
        <x:v>대상: 아군과 자신. 80%확률로 효과저항 증가 20% 적용합니다. 80%확률로 스킬 쿨타임 감소 1턴 적용합니다. 80%확률로 은신 적용합니다.</x:v>
      </x:c>
      <x:c r="Y318" s="7" t="str">
        <x:v>Target: one ally and the caster. 80% chance to apply Effect Resistance Up 20%. 80% chance to apply Skill Cooldown Reduction 1 turn. 80% chance to apply Stealth.</x:v>
      </x:c>
      <x:c r="Z318" s="7" t="str">
        <x:v>버프</x:v>
      </x:c>
    </x:row>
    <x:row r="319" ht="115" customHeight="1">
      <x:c r="A319" s="7" t="str">
        <x:v>SKILL_0313</x:v>
      </x:c>
      <x:c r="B319" s="7" t="str">
        <x:v>효과저항 증가 · 치명확률 증가의 의식</x:v>
      </x:c>
      <x:c r="C319" s="7"/>
      <x:c r="D319" s="7" t="str">
        <x:v>아군</x:v>
      </x:c>
      <x:c r="E319" s="7" t="n">
        <x:v>0</x:v>
      </x:c>
      <x:c r="F319" s="7" t="n">
        <x:v>0</x:v>
      </x:c>
      <x:c r="G319" s="7" t="n">
        <x:v>0</x:v>
      </x:c>
      <x:c r="H319" s="7" t="n">
        <x:v>0</x:v>
      </x:c>
      <x:c r="I319" s="7" t="n">
        <x:v>0</x:v>
      </x:c>
      <x:c r="J319" s="7" t="n">
        <x:v>0</x:v>
      </x:c>
      <x:c r="K319" s="7" t="str">
        <x:v>EFFECT_RESISTANCE_UP</x:v>
      </x:c>
      <x:c r="L319" s="7" t="n">
        <x:v>0.25</x:v>
      </x:c>
      <x:c r="M319" s="8" t="n">
        <x:v>0.9</x:v>
      </x:c>
      <x:c r="N319" s="7" t="str">
        <x:v>CRITICAL_CHANCE_UP</x:v>
      </x:c>
      <x:c r="O319" s="7" t="n">
        <x:v>0.2</x:v>
      </x:c>
      <x:c r="P319" s="8" t="n">
        <x:v>0.9</x:v>
      </x:c>
      <x:c r="Q319" s="7"/>
      <x:c r="R319" s="7"/>
      <x:c r="S319" s="8"/>
      <x:c r="T319" s="7"/>
      <x:c r="U319" s="7"/>
      <x:c r="V319" s="8"/>
      <x:c r="W319" s="7" t="n">
        <x:v>1</x:v>
      </x:c>
      <x:c r="X319" s="7" t="str">
        <x:v>대상: 아군. 90%확률로 효과저항 증가 25% 적용합니다. 90%확률로 치명확률 증가 20% 적용합니다.</x:v>
      </x:c>
      <x:c r="Y319" s="7" t="str">
        <x:v>Target: one ally. 90% chance to apply Effect Resistance Up 25%. 90% chance to apply Critical Hit Chance Up 20%.</x:v>
      </x:c>
      <x:c r="Z319" s="7" t="str">
        <x:v>버프</x:v>
      </x:c>
    </x:row>
    <x:row r="320" ht="115" customHeight="1">
      <x:c r="A320" s="7" t="str">
        <x:v>SKILL_0314</x:v>
      </x:c>
      <x:c r="B320" s="7" t="str">
        <x:v>명중 증가 · 치명확률 증가 · 무적 · 은신의 의식</x:v>
      </x:c>
      <x:c r="C320" s="7"/>
      <x:c r="D320" s="7" t="str">
        <x:v>자신</x:v>
      </x:c>
      <x:c r="E320" s="7" t="n">
        <x:v>0</x:v>
      </x:c>
      <x:c r="F320" s="7" t="n">
        <x:v>0</x:v>
      </x:c>
      <x:c r="G320" s="7" t="n">
        <x:v>0</x:v>
      </x:c>
      <x:c r="H320" s="7" t="n">
        <x:v>0</x:v>
      </x:c>
      <x:c r="I320" s="7" t="n">
        <x:v>0</x:v>
      </x:c>
      <x:c r="J320" s="7" t="n">
        <x:v>0</x:v>
      </x:c>
      <x:c r="K320" s="7" t="str">
        <x:v>HIT_CHANCE_UP</x:v>
      </x:c>
      <x:c r="L320" s="7" t="n">
        <x:v>0.13</x:v>
      </x:c>
      <x:c r="M320" s="8" t="n">
        <x:v>0.7</x:v>
      </x:c>
      <x:c r="N320" s="7" t="str">
        <x:v>CRITICAL_CHANCE_UP</x:v>
      </x:c>
      <x:c r="O320" s="7" t="n">
        <x:v>0.13</x:v>
      </x:c>
      <x:c r="P320" s="8" t="n">
        <x:v>0.7</x:v>
      </x:c>
      <x:c r="Q320" s="7" t="str">
        <x:v>INVINCIBILITY</x:v>
      </x:c>
      <x:c r="R320" s="7" t="n">
        <x:v>1</x:v>
      </x:c>
      <x:c r="S320" s="8" t="n">
        <x:v>0.7</x:v>
      </x:c>
      <x:c r="T320" s="7" t="str">
        <x:v>STEALTH</x:v>
      </x:c>
      <x:c r="U320" s="7" t="n">
        <x:v>1</x:v>
      </x:c>
      <x:c r="V320" s="8" t="n">
        <x:v>0.7</x:v>
      </x:c>
      <x:c r="W320" s="7" t="n">
        <x:v>3</x:v>
      </x:c>
      <x:c r="X320" s="7" t="str">
        <x:v>대상: 자신. 70%확률로 명중 증가 13% 획득합니다. 70%확률로 치명확률 증가 13% 획득합니다. 70%확률로 무적 획득합니다. 70%확률로 은신 획득합니다.</x:v>
      </x:c>
      <x:c r="Y320" s="7" t="str">
        <x:v>Target: the caster. 70% chance to gain Hit Chance Up 13%. 70% chance to gain Critical Hit Chance Up 13%. 70% chance to gain Invincibility. 70% chance to gain Stealth.</x:v>
      </x:c>
      <x:c r="Z320" s="7" t="str">
        <x:v>버프</x:v>
      </x:c>
    </x:row>
    <x:row r="321" ht="115" customHeight="1">
      <x:c r="A321" s="7" t="str">
        <x:v>SKILL_0315</x:v>
      </x:c>
      <x:c r="B321" s="7" t="str">
        <x:v>피해 감소 · 치명피해 증가 · 반격의 의식</x:v>
      </x:c>
      <x:c r="C321" s="7"/>
      <x:c r="D321" s="7" t="str">
        <x:v>아군전체</x:v>
      </x:c>
      <x:c r="E321" s="7" t="n">
        <x:v>0</x:v>
      </x:c>
      <x:c r="F321" s="7" t="n">
        <x:v>0</x:v>
      </x:c>
      <x:c r="G321" s="7" t="n">
        <x:v>0</x:v>
      </x:c>
      <x:c r="H321" s="7" t="n">
        <x:v>0</x:v>
      </x:c>
      <x:c r="I321" s="7" t="n">
        <x:v>0</x:v>
      </x:c>
      <x:c r="J321" s="7" t="n">
        <x:v>0</x:v>
      </x:c>
      <x:c r="K321" s="7" t="str">
        <x:v>DAMAGE_REDUCTION</x:v>
      </x:c>
      <x:c r="L321" s="7" t="n">
        <x:v>0.16</x:v>
      </x:c>
      <x:c r="M321" s="8" t="n">
        <x:v>0.8</x:v>
      </x:c>
      <x:c r="N321" s="7" t="str">
        <x:v>CRITICAL_DAMAGE_UP</x:v>
      </x:c>
      <x:c r="O321" s="7" t="n">
        <x:v>0.24</x:v>
      </x:c>
      <x:c r="P321" s="8" t="n">
        <x:v>0.8</x:v>
      </x:c>
      <x:c r="Q321" s="7" t="str">
        <x:v>COUNTERATTACK</x:v>
      </x:c>
      <x:c r="R321" s="7" t="n">
        <x:v>0.32</x:v>
      </x:c>
      <x:c r="S321" s="8" t="n">
        <x:v>0.8</x:v>
      </x:c>
      <x:c r="T321" s="7"/>
      <x:c r="U321" s="7"/>
      <x:c r="V321" s="8"/>
      <x:c r="W321" s="7" t="n">
        <x:v>4</x:v>
      </x:c>
      <x:c r="X321" s="7" t="str">
        <x:v>대상: 아군전체. 80%확률로 피해 감소 16% 적용합니다. 80%확률로 치명피해 증가 24% 적용합니다. 80%확률로 반격 32% 적용합니다.</x:v>
      </x:c>
      <x:c r="Y321" s="7" t="str">
        <x:v>Target: all allies. 80% chance to apply Damage Reduction 16%. 80% chance to apply Critical Hit Damage Up 24%. 80% chance to apply Counterattack 32%.</x:v>
      </x:c>
      <x:c r="Z321" s="7" t="str">
        <x:v>공격|버프</x:v>
      </x:c>
    </x:row>
    <x:row r="322" ht="115" customHeight="1">
      <x:c r="A322" s="7" t="str">
        <x:v>SKILL_0316</x:v>
      </x:c>
      <x:c r="B322" s="7" t="str">
        <x:v>부활 · 공격력 증가 · 약화효과 해제의 의식</x:v>
      </x:c>
      <x:c r="C322" s="7"/>
      <x:c r="D322" s="7" t="str">
        <x:v>아군</x:v>
      </x:c>
      <x:c r="E322" s="7" t="n">
        <x:v>0</x:v>
      </x:c>
      <x:c r="F322" s="7" t="n">
        <x:v>0</x:v>
      </x:c>
      <x:c r="G322" s="7" t="n">
        <x:v>0</x:v>
      </x:c>
      <x:c r="H322" s="7" t="n">
        <x:v>0</x:v>
      </x:c>
      <x:c r="I322" s="7" t="n">
        <x:v>0</x:v>
      </x:c>
      <x:c r="J322" s="7" t="n">
        <x:v>0</x:v>
      </x:c>
      <x:c r="K322" s="7" t="str">
        <x:v>REVIVE</x:v>
      </x:c>
      <x:c r="L322" s="7" t="n">
        <x:v>1</x:v>
      </x:c>
      <x:c r="M322" s="8" t="n">
        <x:v>1</x:v>
      </x:c>
      <x:c r="N322" s="7" t="str">
        <x:v>ATTACK_UP</x:v>
      </x:c>
      <x:c r="O322" s="7" t="n">
        <x:v>0.24</x:v>
      </x:c>
      <x:c r="P322" s="8" t="n">
        <x:v>0.45</x:v>
      </x:c>
      <x:c r="Q322" s="7" t="str">
        <x:v>CLEANSE_DEBUFF</x:v>
      </x:c>
      <x:c r="R322" s="7" t="n">
        <x:v>1</x:v>
      </x:c>
      <x:c r="S322" s="8" t="n">
        <x:v>0.45</x:v>
      </x:c>
      <x:c r="T322" s="7"/>
      <x:c r="U322" s="7"/>
      <x:c r="V322" s="8"/>
      <x:c r="W322" s="7" t="n">
        <x:v>5</x:v>
      </x:c>
      <x:c r="X322" s="7" t="str">
        <x:v>대상: 사망한 아군. 100%확률로 부활 100% 적용합니다. 45%확률로 공격력 증가 24% 적용합니다. 45%확률로 약화효과 해제 1개 적용합니다.</x:v>
      </x:c>
      <x:c r="Y322" s="7" t="str">
        <x:v>Target: one dead ally. 100% chance to apply Revive 100%. 45% chance to apply Attack Up 24%. 45% chance to apply Cleanse Debuff 1 count.</x:v>
      </x:c>
      <x:c r="Z322" s="7" t="str">
        <x:v>회복|버프</x:v>
      </x:c>
    </x:row>
    <x:row r="323" ht="115" customHeight="1">
      <x:c r="A323" s="7" t="str">
        <x:v>SKILL_0317</x:v>
      </x:c>
      <x:c r="B323" s="7" t="str">
        <x:v>치명저항 증가 · 반격 · 피해 반사 · 은신의 의식</x:v>
      </x:c>
      <x:c r="C323" s="7"/>
      <x:c r="D323" s="7" t="str">
        <x:v>아군</x:v>
      </x:c>
      <x:c r="E323" s="7" t="n">
        <x:v>0</x:v>
      </x:c>
      <x:c r="F323" s="7" t="n">
        <x:v>0</x:v>
      </x:c>
      <x:c r="G323" s="7" t="n">
        <x:v>0</x:v>
      </x:c>
      <x:c r="H323" s="7" t="n">
        <x:v>0</x:v>
      </x:c>
      <x:c r="I323" s="7" t="n">
        <x:v>0</x:v>
      </x:c>
      <x:c r="J323" s="7" t="n">
        <x:v>0</x:v>
      </x:c>
      <x:c r="K323" s="7" t="str">
        <x:v>CRITICAL_RESISTANCE_UP</x:v>
      </x:c>
      <x:c r="L323" s="7" t="n">
        <x:v>0.163</x:v>
      </x:c>
      <x:c r="M323" s="8" t="n">
        <x:v>0.7</x:v>
      </x:c>
      <x:c r="N323" s="7" t="str">
        <x:v>COUNTERATTACK</x:v>
      </x:c>
      <x:c r="O323" s="7" t="n">
        <x:v>0.26</x:v>
      </x:c>
      <x:c r="P323" s="8" t="n">
        <x:v>0.7</x:v>
      </x:c>
      <x:c r="Q323" s="7" t="str">
        <x:v>DAMAGE_REFLECTION</x:v>
      </x:c>
      <x:c r="R323" s="7" t="n">
        <x:v>0.13</x:v>
      </x:c>
      <x:c r="S323" s="8" t="n">
        <x:v>0.7</x:v>
      </x:c>
      <x:c r="T323" s="7" t="str">
        <x:v>STEALTH</x:v>
      </x:c>
      <x:c r="U323" s="7" t="n">
        <x:v>1</x:v>
      </x:c>
      <x:c r="V323" s="8" t="n">
        <x:v>0.7</x:v>
      </x:c>
      <x:c r="W323" s="7" t="n">
        <x:v>1</x:v>
      </x:c>
      <x:c r="X323" s="7" t="str">
        <x:v>대상: 아군. 70%확률로 치명저항 증가 16.3% 적용합니다. 70%확률로 반격 26% 적용합니다. 70%확률로 피해 반사 13% 적용합니다. 70%확률로 은신 적용합니다.</x:v>
      </x:c>
      <x:c r="Y323" s="7" t="str">
        <x:v>Target: one ally. 70% chance to apply Critical Hit Resistance Up 16.3%. 70% chance to apply Counterattack 26%. 70% chance to apply Damage Reflection 13%. 70% chance to apply Stealth.</x:v>
      </x:c>
      <x:c r="Z323" s="7" t="str">
        <x:v>공격|버프</x:v>
      </x:c>
    </x:row>
    <x:row r="324" ht="115" customHeight="1">
      <x:c r="A324" s="7" t="str">
        <x:v>SKILL_0318</x:v>
      </x:c>
      <x:c r="B324" s="7" t="str">
        <x:v>불사 · 강화효과 지속시간 증가의 의식</x:v>
      </x:c>
      <x:c r="C324" s="7"/>
      <x:c r="D324" s="7" t="str">
        <x:v>자신</x:v>
      </x:c>
      <x:c r="E324" s="7" t="n">
        <x:v>0</x:v>
      </x:c>
      <x:c r="F324" s="7" t="n">
        <x:v>0</x:v>
      </x:c>
      <x:c r="G324" s="7" t="n">
        <x:v>0</x:v>
      </x:c>
      <x:c r="H324" s="7" t="n">
        <x:v>0</x:v>
      </x:c>
      <x:c r="I324" s="7" t="n">
        <x:v>0</x:v>
      </x:c>
      <x:c r="J324" s="7" t="n">
        <x:v>0</x:v>
      </x:c>
      <x:c r="K324" s="7" t="str">
        <x:v>IMMORTALITY</x:v>
      </x:c>
      <x:c r="L324" s="7" t="n">
        <x:v>1</x:v>
      </x:c>
      <x:c r="M324" s="8" t="n">
        <x:v>0.9</x:v>
      </x:c>
      <x:c r="N324" s="7" t="str">
        <x:v>BUFF_DURATION_UP</x:v>
      </x:c>
      <x:c r="O324" s="7" t="n">
        <x:v>1</x:v>
      </x:c>
      <x:c r="P324" s="8" t="n">
        <x:v>0.9</x:v>
      </x:c>
      <x:c r="Q324" s="7"/>
      <x:c r="R324" s="7"/>
      <x:c r="S324" s="8"/>
      <x:c r="T324" s="7"/>
      <x:c r="U324" s="7"/>
      <x:c r="V324" s="8"/>
      <x:c r="W324" s="7" t="n">
        <x:v>3</x:v>
      </x:c>
      <x:c r="X324" s="7" t="str">
        <x:v>대상: 자신. 90%확률로 불사 획득합니다. 90%확률로 강화효과 지속시간 증가 1턴 획득합니다.</x:v>
      </x:c>
      <x:c r="Y324" s="7" t="str">
        <x:v>Target: the caster. 90% chance to gain Immortality. 90% chance to gain Buff Duration Extension 1 turn.</x:v>
      </x:c>
      <x:c r="Z324" s="7" t="str">
        <x:v>버프</x:v>
      </x:c>
    </x:row>
    <x:row r="325" ht="115" customHeight="1">
      <x:c r="A325" s="7" t="str">
        <x:v>SKILL_0319</x:v>
      </x:c>
      <x:c r="B325" s="7" t="str">
        <x:v>피해 분담 · 지속 회복 · 무적의 의식</x:v>
      </x:c>
      <x:c r="C325" s="7"/>
      <x:c r="D325" s="7" t="str">
        <x:v>자신</x:v>
      </x:c>
      <x:c r="E325" s="7" t="n">
        <x:v>0</x:v>
      </x:c>
      <x:c r="F325" s="7" t="n">
        <x:v>0</x:v>
      </x:c>
      <x:c r="G325" s="7" t="n">
        <x:v>0</x:v>
      </x:c>
      <x:c r="H325" s="7" t="n">
        <x:v>0</x:v>
      </x:c>
      <x:c r="I325" s="7" t="n">
        <x:v>0</x:v>
      </x:c>
      <x:c r="J325" s="7" t="n">
        <x:v>0</x:v>
      </x:c>
      <x:c r="K325" s="7" t="str">
        <x:v>DAMAGE_SHARING</x:v>
      </x:c>
      <x:c r="L325" s="7" t="n">
        <x:v>0.16</x:v>
      </x:c>
      <x:c r="M325" s="8" t="n">
        <x:v>0.8</x:v>
      </x:c>
      <x:c r="N325" s="7" t="str">
        <x:v>CONTINUOUS_HEAL</x:v>
      </x:c>
      <x:c r="O325" s="7" t="n">
        <x:v>0.056</x:v>
      </x:c>
      <x:c r="P325" s="8" t="n">
        <x:v>0.8</x:v>
      </x:c>
      <x:c r="Q325" s="7" t="str">
        <x:v>INVINCIBILITY</x:v>
      </x:c>
      <x:c r="R325" s="7" t="n">
        <x:v>1</x:v>
      </x:c>
      <x:c r="S325" s="8" t="n">
        <x:v>0.8</x:v>
      </x:c>
      <x:c r="T325" s="7"/>
      <x:c r="U325" s="7"/>
      <x:c r="V325" s="8"/>
      <x:c r="W325" s="7" t="n">
        <x:v>3</x:v>
      </x:c>
      <x:c r="X325" s="7" t="str">
        <x:v>대상: 자신. 80%확률로 피해 분담 16% 획득합니다. 80%확률로 지속 회복을 부여합니다(2턴, 대상의 턴 시작마다 대상 최대생명력의 5.6% 회복). 80%확률로 무적 획득합니다.</x:v>
      </x:c>
      <x:c r="Y325" s="7" t="str">
        <x:v>Target: the caster. 80% chance to gain Damage Sharing 16%. 80% chance to grant Continuous Heal for 2 turns, restoring 5.6% of the recipient's max Health at each turn start. 80% chance to gain Invincibility.</x:v>
      </x:c>
      <x:c r="Z325" s="7" t="str">
        <x:v>회복|버프</x:v>
      </x:c>
    </x:row>
    <x:row r="326" ht="115" customHeight="1">
      <x:c r="A326" s="7" t="str">
        <x:v>SKILL_0320</x:v>
      </x:c>
      <x:c r="B326" s="7" t="str">
        <x:v>강화효과 지속시간 증가 · 공격력 증가(대)의 의식</x:v>
      </x:c>
      <x:c r="C326" s="7"/>
      <x:c r="D326" s="7" t="str">
        <x:v>아군과 자신</x:v>
      </x:c>
      <x:c r="E326" s="7" t="n">
        <x:v>0</x:v>
      </x:c>
      <x:c r="F326" s="7" t="n">
        <x:v>0</x:v>
      </x:c>
      <x:c r="G326" s="7" t="n">
        <x:v>0</x:v>
      </x:c>
      <x:c r="H326" s="7" t="n">
        <x:v>0</x:v>
      </x:c>
      <x:c r="I326" s="7" t="n">
        <x:v>0</x:v>
      </x:c>
      <x:c r="J326" s="7" t="n">
        <x:v>0</x:v>
      </x:c>
      <x:c r="K326" s="7" t="str">
        <x:v>BUFF_DURATION_UP</x:v>
      </x:c>
      <x:c r="L326" s="7" t="n">
        <x:v>1</x:v>
      </x:c>
      <x:c r="M326" s="8" t="n">
        <x:v>0.9</x:v>
      </x:c>
      <x:c r="N326" s="7" t="str">
        <x:v>ATTACK_UP_GREATER</x:v>
      </x:c>
      <x:c r="O326" s="7" t="n">
        <x:v>0.5</x:v>
      </x:c>
      <x:c r="P326" s="8" t="n">
        <x:v>0.9</x:v>
      </x:c>
      <x:c r="Q326" s="7"/>
      <x:c r="R326" s="7"/>
      <x:c r="S326" s="8"/>
      <x:c r="T326" s="7"/>
      <x:c r="U326" s="7"/>
      <x:c r="V326" s="8"/>
      <x:c r="W326" s="7" t="n">
        <x:v>3</x:v>
      </x:c>
      <x:c r="X326" s="7" t="str">
        <x:v>대상: 아군과 자신. 90%확률로 강화효과 지속시간 증가 1턴 적용합니다. 90%확률로 공격력 증가(대) 50% 적용합니다.</x:v>
      </x:c>
      <x:c r="Y326" s="7" t="str">
        <x:v>Target: one ally and the caster. 90% chance to apply Buff Duration Extension 1 turn. 90% chance to apply Greater Attack Up 50%.</x:v>
      </x:c>
      <x:c r="Z326" s="7" t="str">
        <x:v>버프</x:v>
      </x:c>
    </x:row>
    <x:row r="327" ht="115" customHeight="1">
      <x:c r="A327" s="7" t="str">
        <x:v>SKILL_0321</x:v>
      </x:c>
      <x:c r="B327" s="7" t="str">
        <x:v>불사 · 약화효과 해제 · 회피 증가의 의식</x:v>
      </x:c>
      <x:c r="C327" s="7"/>
      <x:c r="D327" s="7" t="str">
        <x:v>아군</x:v>
      </x:c>
      <x:c r="E327" s="7" t="n">
        <x:v>0</x:v>
      </x:c>
      <x:c r="F327" s="7" t="n">
        <x:v>0</x:v>
      </x:c>
      <x:c r="G327" s="7" t="n">
        <x:v>0</x:v>
      </x:c>
      <x:c r="H327" s="7" t="n">
        <x:v>0</x:v>
      </x:c>
      <x:c r="I327" s="7" t="n">
        <x:v>0</x:v>
      </x:c>
      <x:c r="J327" s="7" t="n">
        <x:v>0</x:v>
      </x:c>
      <x:c r="K327" s="7" t="str">
        <x:v>IMMORTALITY</x:v>
      </x:c>
      <x:c r="L327" s="7" t="n">
        <x:v>1</x:v>
      </x:c>
      <x:c r="M327" s="8" t="n">
        <x:v>0.8</x:v>
      </x:c>
      <x:c r="N327" s="7" t="str">
        <x:v>CLEANSE_DEBUFF</x:v>
      </x:c>
      <x:c r="O327" s="7" t="n">
        <x:v>1</x:v>
      </x:c>
      <x:c r="P327" s="8" t="n">
        <x:v>0.8</x:v>
      </x:c>
      <x:c r="Q327" s="7" t="str">
        <x:v>EVASION_UP</x:v>
      </x:c>
      <x:c r="R327" s="7" t="n">
        <x:v>0.16</x:v>
      </x:c>
      <x:c r="S327" s="8" t="n">
        <x:v>0.8</x:v>
      </x:c>
      <x:c r="T327" s="7"/>
      <x:c r="U327" s="7"/>
      <x:c r="V327" s="8"/>
      <x:c r="W327" s="7" t="n">
        <x:v>3</x:v>
      </x:c>
      <x:c r="X327" s="7" t="str">
        <x:v>대상: 아군. 80%확률로 불사 적용합니다. 80%확률로 약화효과 해제 1개 적용합니다. 80%확률로 회피 증가 16% 적용합니다.</x:v>
      </x:c>
      <x:c r="Y327" s="7" t="str">
        <x:v>Target: one ally. 80% chance to apply Immortality. 80% chance to apply Cleanse Debuff 1 count. 80% chance to apply Evasion Up 16%.</x:v>
      </x:c>
      <x:c r="Z327" s="7" t="str">
        <x:v>버프</x:v>
      </x:c>
    </x:row>
    <x:row r="328" ht="115" customHeight="1">
      <x:c r="A328" s="7" t="str">
        <x:v>SKILL_0322</x:v>
      </x:c>
      <x:c r="B328" s="7" t="str">
        <x:v>불사 · 지속 회복 · 공격력 증가(대)의 의식</x:v>
      </x:c>
      <x:c r="C328" s="7"/>
      <x:c r="D328" s="7" t="str">
        <x:v>자신</x:v>
      </x:c>
      <x:c r="E328" s="7" t="n">
        <x:v>0</x:v>
      </x:c>
      <x:c r="F328" s="7" t="n">
        <x:v>0</x:v>
      </x:c>
      <x:c r="G328" s="7" t="n">
        <x:v>0</x:v>
      </x:c>
      <x:c r="H328" s="7" t="n">
        <x:v>0</x:v>
      </x:c>
      <x:c r="I328" s="7" t="n">
        <x:v>0</x:v>
      </x:c>
      <x:c r="J328" s="7" t="n">
        <x:v>0</x:v>
      </x:c>
      <x:c r="K328" s="7" t="str">
        <x:v>IMMORTALITY</x:v>
      </x:c>
      <x:c r="L328" s="7" t="n">
        <x:v>1</x:v>
      </x:c>
      <x:c r="M328" s="8" t="n">
        <x:v>0.8</x:v>
      </x:c>
      <x:c r="N328" s="7" t="str">
        <x:v>CONTINUOUS_HEAL</x:v>
      </x:c>
      <x:c r="O328" s="7" t="n">
        <x:v>0.056</x:v>
      </x:c>
      <x:c r="P328" s="8" t="n">
        <x:v>0.8</x:v>
      </x:c>
      <x:c r="Q328" s="7" t="str">
        <x:v>ATTACK_UP_GREATER</x:v>
      </x:c>
      <x:c r="R328" s="7" t="n">
        <x:v>0.4</x:v>
      </x:c>
      <x:c r="S328" s="8" t="n">
        <x:v>0.8</x:v>
      </x:c>
      <x:c r="T328" s="7"/>
      <x:c r="U328" s="7"/>
      <x:c r="V328" s="8"/>
      <x:c r="W328" s="7" t="n">
        <x:v>3</x:v>
      </x:c>
      <x:c r="X328" s="7" t="str">
        <x:v>대상: 자신. 80%확률로 불사 획득합니다. 80%확률로 지속 회복을 부여합니다(2턴, 대상의 턴 시작마다 대상 최대생명력의 5.6% 회복). 80%확률로 공격력 증가(대) 40% 획득합니다.</x:v>
      </x:c>
      <x:c r="Y328" s="7" t="str">
        <x:v>Target: the caster. 80% chance to gain Immortality. 80% chance to grant Continuous Heal for 2 turns, restoring 5.6% of the recipient's max Health at each turn start. 80% chance to gain Greater Attack Up 40%.</x:v>
      </x:c>
      <x:c r="Z328" s="7" t="str">
        <x:v>회복|버프</x:v>
      </x:c>
    </x:row>
    <x:row r="329" ht="115" customHeight="1">
      <x:c r="A329" s="7" t="str">
        <x:v>SKILL_0323</x:v>
      </x:c>
      <x:c r="B329" s="7" t="str">
        <x:v>약화효과 해제 · 방어력 증가 · 면역의 의식</x:v>
      </x:c>
      <x:c r="C329" s="7"/>
      <x:c r="D329" s="7" t="str">
        <x:v>아군전체</x:v>
      </x:c>
      <x:c r="E329" s="7" t="n">
        <x:v>0</x:v>
      </x:c>
      <x:c r="F329" s="7" t="n">
        <x:v>0</x:v>
      </x:c>
      <x:c r="G329" s="7" t="n">
        <x:v>0</x:v>
      </x:c>
      <x:c r="H329" s="7" t="n">
        <x:v>0</x:v>
      </x:c>
      <x:c r="I329" s="7" t="n">
        <x:v>0</x:v>
      </x:c>
      <x:c r="J329" s="7" t="n">
        <x:v>0</x:v>
      </x:c>
      <x:c r="K329" s="7" t="str">
        <x:v>CLEANSE_DEBUFF</x:v>
      </x:c>
      <x:c r="L329" s="7" t="n">
        <x:v>1</x:v>
      </x:c>
      <x:c r="M329" s="8" t="n">
        <x:v>0.8</x:v>
      </x:c>
      <x:c r="N329" s="7" t="str">
        <x:v>DEFENSE_UP</x:v>
      </x:c>
      <x:c r="O329" s="7" t="n">
        <x:v>0.28</x:v>
      </x:c>
      <x:c r="P329" s="8" t="n">
        <x:v>0.8</x:v>
      </x:c>
      <x:c r="Q329" s="7" t="str">
        <x:v>IMMUNITY</x:v>
      </x:c>
      <x:c r="R329" s="7" t="n">
        <x:v>1</x:v>
      </x:c>
      <x:c r="S329" s="8" t="n">
        <x:v>0.8</x:v>
      </x:c>
      <x:c r="T329" s="7"/>
      <x:c r="U329" s="7"/>
      <x:c r="V329" s="8"/>
      <x:c r="W329" s="7" t="n">
        <x:v>5</x:v>
      </x:c>
      <x:c r="X329" s="7" t="str">
        <x:v>대상: 아군전체. 80%확률로 약화효과 해제 1개 적용합니다. 80%확률로 방어력 증가 28% 적용합니다. 80%확률로 면역 적용합니다.</x:v>
      </x:c>
      <x:c r="Y329" s="7" t="str">
        <x:v>Target: all allies. 80% chance to apply Cleanse Debuff 1 count. 80% chance to apply Defense Up 28%. 80% chance to apply Immunity.</x:v>
      </x:c>
      <x:c r="Z329" s="7" t="str">
        <x:v>버프</x:v>
      </x:c>
    </x:row>
    <x:row r="330" ht="115" customHeight="1">
      <x:c r="A330" s="7" t="str">
        <x:v>SKILL_0324</x:v>
      </x:c>
      <x:c r="B330" s="7" t="str">
        <x:v>강화효과 지속시간 증가 · 공격력 증가(대) · 피해 반사 · 생명력 회복의 의식</x:v>
      </x:c>
      <x:c r="C330" s="7"/>
      <x:c r="D330" s="7" t="str">
        <x:v>아군과 자신</x:v>
      </x:c>
      <x:c r="E330" s="7" t="n">
        <x:v>0</x:v>
      </x:c>
      <x:c r="F330" s="7" t="n">
        <x:v>0</x:v>
      </x:c>
      <x:c r="G330" s="7" t="n">
        <x:v>0</x:v>
      </x:c>
      <x:c r="H330" s="7" t="n">
        <x:v>0</x:v>
      </x:c>
      <x:c r="I330" s="7" t="n">
        <x:v>0.18</x:v>
      </x:c>
      <x:c r="J330" s="7" t="n">
        <x:v>0</x:v>
      </x:c>
      <x:c r="K330" s="7" t="str">
        <x:v>BUFF_DURATION_UP</x:v>
      </x:c>
      <x:c r="L330" s="7" t="n">
        <x:v>1</x:v>
      </x:c>
      <x:c r="M330" s="8" t="n">
        <x:v>0.7</x:v>
      </x:c>
      <x:c r="N330" s="7" t="str">
        <x:v>ATTACK_UP_GREATER</x:v>
      </x:c>
      <x:c r="O330" s="7" t="n">
        <x:v>0.325</x:v>
      </x:c>
      <x:c r="P330" s="8" t="n">
        <x:v>0.7</x:v>
      </x:c>
      <x:c r="Q330" s="7" t="str">
        <x:v>DAMAGE_REFLECTION</x:v>
      </x:c>
      <x:c r="R330" s="7" t="n">
        <x:v>0.13</x:v>
      </x:c>
      <x:c r="S330" s="8" t="n">
        <x:v>0.7</x:v>
      </x:c>
      <x:c r="T330" s="7" t="str">
        <x:v>HEAL</x:v>
      </x:c>
      <x:c r="U330" s="7" t="n">
        <x:v>1</x:v>
      </x:c>
      <x:c r="V330" s="8" t="n">
        <x:v>1</x:v>
      </x:c>
      <x:c r="W330" s="7" t="n">
        <x:v>3</x:v>
      </x:c>
      <x:c r="X330" s="7" t="str">
        <x:v>대상: 아군과 자신. 아군과 자신을 시전자의 공격력의 0.18배만큼 회복시킵니다. 70%확률로 강화효과 지속시간 증가 1턴 적용합니다. 70%확률로 공격력 증가(대) 32.5% 적용합니다. 70%확률로 피해 반사 13% 적용합니다.</x:v>
      </x:c>
      <x:c r="Y330" s="7" t="str">
        <x:v>Target: one ally and the caster. Heals one ally and the caster for 0.18 × caster Attack. 70% chance to apply Buff Duration Extension 1 turn. 70% chance to apply Greater Attack Up 32.5%. 70% chance to apply Damage Reflection 13%.</x:v>
      </x:c>
      <x:c r="Z330" s="7" t="str">
        <x:v>공격|회복|버프</x:v>
      </x:c>
    </x:row>
    <x:row r="331" ht="115" customHeight="1">
      <x:c r="A331" s="7" t="str">
        <x:v>SKILL_0325</x:v>
      </x:c>
      <x:c r="B331" s="7" t="str">
        <x:v>면역 · 보호막의 의식</x:v>
      </x:c>
      <x:c r="C331" s="7"/>
      <x:c r="D331" s="7" t="str">
        <x:v>아군</x:v>
      </x:c>
      <x:c r="E331" s="7" t="n">
        <x:v>0</x:v>
      </x:c>
      <x:c r="F331" s="7" t="n">
        <x:v>0</x:v>
      </x:c>
      <x:c r="G331" s="7" t="n">
        <x:v>0</x:v>
      </x:c>
      <x:c r="H331" s="7" t="n">
        <x:v>0</x:v>
      </x:c>
      <x:c r="I331" s="7" t="n">
        <x:v>0</x:v>
      </x:c>
      <x:c r="J331" s="7" t="n">
        <x:v>0</x:v>
      </x:c>
      <x:c r="K331" s="7" t="str">
        <x:v>IMMUNITY</x:v>
      </x:c>
      <x:c r="L331" s="7" t="n">
        <x:v>1</x:v>
      </x:c>
      <x:c r="M331" s="8" t="n">
        <x:v>0.9</x:v>
      </x:c>
      <x:c r="N331" s="7" t="str">
        <x:v>BARRIER</x:v>
      </x:c>
      <x:c r="O331" s="7" t="n">
        <x:v>0.15</x:v>
      </x:c>
      <x:c r="P331" s="8" t="n">
        <x:v>0.9</x:v>
      </x:c>
      <x:c r="Q331" s="7"/>
      <x:c r="R331" s="7"/>
      <x:c r="S331" s="8"/>
      <x:c r="T331" s="7"/>
      <x:c r="U331" s="7"/>
      <x:c r="V331" s="8"/>
      <x:c r="W331" s="7" t="n">
        <x:v>1</x:v>
      </x:c>
      <x:c r="X331" s="7" t="str">
        <x:v>대상: 아군. 90%확률로 면역 적용합니다. 90%확률로 보호막 15% 적용합니다.</x:v>
      </x:c>
      <x:c r="Y331" s="7" t="str">
        <x:v>Target: one ally. 90% chance to apply Immunity. 90% chance to apply Barrier 15%.</x:v>
      </x:c>
      <x:c r="Z331" s="7" t="str">
        <x:v>버프</x:v>
      </x:c>
    </x:row>
    <x:row r="332" ht="115" customHeight="1">
      <x:c r="A332" s="7" t="str">
        <x:v>SKILL_0326</x:v>
      </x:c>
      <x:c r="B332" s="7" t="str">
        <x:v>지속 회복 · 스킬 쿨타임 초기화 · 강화효과 지속시간 증가의 의식</x:v>
      </x:c>
      <x:c r="C332" s="7"/>
      <x:c r="D332" s="7" t="str">
        <x:v>아군</x:v>
      </x:c>
      <x:c r="E332" s="7" t="n">
        <x:v>0</x:v>
      </x:c>
      <x:c r="F332" s="7" t="n">
        <x:v>0</x:v>
      </x:c>
      <x:c r="G332" s="7" t="n">
        <x:v>0</x:v>
      </x:c>
      <x:c r="H332" s="7" t="n">
        <x:v>0</x:v>
      </x:c>
      <x:c r="I332" s="7" t="n">
        <x:v>0</x:v>
      </x:c>
      <x:c r="J332" s="7" t="n">
        <x:v>0</x:v>
      </x:c>
      <x:c r="K332" s="7" t="str">
        <x:v>CONTINUOUS_HEAL</x:v>
      </x:c>
      <x:c r="L332" s="7" t="n">
        <x:v>0.056</x:v>
      </x:c>
      <x:c r="M332" s="8" t="n">
        <x:v>0.8</x:v>
      </x:c>
      <x:c r="N332" s="7" t="str">
        <x:v>SKILL_COOLDOWN_RESET</x:v>
      </x:c>
      <x:c r="O332" s="7" t="n">
        <x:v>1</x:v>
      </x:c>
      <x:c r="P332" s="8" t="n">
        <x:v>0.8</x:v>
      </x:c>
      <x:c r="Q332" s="7" t="str">
        <x:v>BUFF_DURATION_UP</x:v>
      </x:c>
      <x:c r="R332" s="7" t="n">
        <x:v>1</x:v>
      </x:c>
      <x:c r="S332" s="8" t="n">
        <x:v>0.8</x:v>
      </x:c>
      <x:c r="T332" s="7"/>
      <x:c r="U332" s="7"/>
      <x:c r="V332" s="8"/>
      <x:c r="W332" s="7" t="n">
        <x:v>5</x:v>
      </x:c>
      <x:c r="X332" s="7" t="str">
        <x:v>대상: 아군. 80%확률로 지속 회복을 부여합니다(2턴, 대상의 턴 시작마다 대상 최대생명력의 5.6% 회복). 80%확률로 스킬 쿨타임 초기화 1개 적용합니다. 80%확률로 강화효과 지속시간 증가 1턴 적용합니다.</x:v>
      </x:c>
      <x:c r="Y332" s="7" t="str">
        <x:v>Target: one ally. 80% chance to grant Continuous Heal for 2 turns, restoring 5.6% of the recipient's max Health at each turn start. 80% chance to apply Skill Cooldown Reset 1 count. 80% chance to apply Buff Duration Extension 1 turn.</x:v>
      </x:c>
      <x:c r="Z332" s="7" t="str">
        <x:v>회복|버프</x:v>
      </x:c>
    </x:row>
    <x:row r="333" ht="115" customHeight="1">
      <x:c r="A333" s="7" t="str">
        <x:v>SKILL_0327</x:v>
      </x:c>
      <x:c r="B333" s="7" t="str">
        <x:v>강화효과 지속시간 증가 · 소생 · 은신의 의식</x:v>
      </x:c>
      <x:c r="C333" s="7"/>
      <x:c r="D333" s="7" t="str">
        <x:v>아군</x:v>
      </x:c>
      <x:c r="E333" s="7" t="n">
        <x:v>0</x:v>
      </x:c>
      <x:c r="F333" s="7" t="n">
        <x:v>0</x:v>
      </x:c>
      <x:c r="G333" s="7" t="n">
        <x:v>0</x:v>
      </x:c>
      <x:c r="H333" s="7" t="n">
        <x:v>0</x:v>
      </x:c>
      <x:c r="I333" s="7" t="n">
        <x:v>0</x:v>
      </x:c>
      <x:c r="J333" s="7" t="n">
        <x:v>0</x:v>
      </x:c>
      <x:c r="K333" s="7" t="str">
        <x:v>BUFF_DURATION_UP</x:v>
      </x:c>
      <x:c r="L333" s="7" t="n">
        <x:v>1</x:v>
      </x:c>
      <x:c r="M333" s="8" t="n">
        <x:v>0.5</x:v>
      </x:c>
      <x:c r="N333" s="7" t="str">
        <x:v>AUTO_REVIVE</x:v>
      </x:c>
      <x:c r="O333" s="7" t="n">
        <x:v>1</x:v>
      </x:c>
      <x:c r="P333" s="8" t="n">
        <x:v>1</x:v>
      </x:c>
      <x:c r="Q333" s="7" t="str">
        <x:v>STEALTH</x:v>
      </x:c>
      <x:c r="R333" s="7" t="n">
        <x:v>1</x:v>
      </x:c>
      <x:c r="S333" s="8" t="n">
        <x:v>0.5</x:v>
      </x:c>
      <x:c r="T333" s="7"/>
      <x:c r="U333" s="7"/>
      <x:c r="V333" s="8"/>
      <x:c r="W333" s="7" t="n">
        <x:v>5</x:v>
      </x:c>
      <x:c r="X333" s="7" t="str">
        <x:v>대상: 아군. 50%확률로 강화효과 지속시간 증가 1턴 적용합니다. 100%확률로 소생 100% 적용합니다. 50%확률로 은신 적용합니다.</x:v>
      </x:c>
      <x:c r="Y333" s="7" t="str">
        <x:v>Target: one ally. 50% chance to apply Buff Duration Extension 1 turn. 100% chance to apply Auto Revive 100%. 50% chance to apply Stealth.</x:v>
      </x:c>
      <x:c r="Z333" s="7" t="str">
        <x:v>회복|버프</x:v>
      </x:c>
    </x:row>
    <x:row r="334" ht="115" customHeight="1">
      <x:c r="A334" s="7" t="str">
        <x:v>SKILL_0328</x:v>
      </x:c>
      <x:c r="B334" s="7" t="str">
        <x:v>부활 · 치명확률 증가의 의식</x:v>
      </x:c>
      <x:c r="C334" s="7"/>
      <x:c r="D334" s="7" t="str">
        <x:v>아군</x:v>
      </x:c>
      <x:c r="E334" s="7" t="n">
        <x:v>0</x:v>
      </x:c>
      <x:c r="F334" s="7" t="n">
        <x:v>0</x:v>
      </x:c>
      <x:c r="G334" s="7" t="n">
        <x:v>0</x:v>
      </x:c>
      <x:c r="H334" s="7" t="n">
        <x:v>0</x:v>
      </x:c>
      <x:c r="I334" s="7" t="n">
        <x:v>0</x:v>
      </x:c>
      <x:c r="J334" s="7" t="n">
        <x:v>0</x:v>
      </x:c>
      <x:c r="K334" s="7" t="str">
        <x:v>REVIVE</x:v>
      </x:c>
      <x:c r="L334" s="7" t="n">
        <x:v>1</x:v>
      </x:c>
      <x:c r="M334" s="8" t="n">
        <x:v>1</x:v>
      </x:c>
      <x:c r="N334" s="7" t="str">
        <x:v>CRITICAL_CHANCE_UP</x:v>
      </x:c>
      <x:c r="O334" s="7" t="n">
        <x:v>0.2</x:v>
      </x:c>
      <x:c r="P334" s="8" t="n">
        <x:v>0.9</x:v>
      </x:c>
      <x:c r="Q334" s="7"/>
      <x:c r="R334" s="7"/>
      <x:c r="S334" s="8"/>
      <x:c r="T334" s="7"/>
      <x:c r="U334" s="7"/>
      <x:c r="V334" s="8"/>
      <x:c r="W334" s="7" t="n">
        <x:v>5</x:v>
      </x:c>
      <x:c r="X334" s="7" t="str">
        <x:v>대상: 사망한 아군. 100%확률로 부활 100% 적용합니다. 90%확률로 치명확률 증가 20% 적용합니다.</x:v>
      </x:c>
      <x:c r="Y334" s="7" t="str">
        <x:v>Target: one dead ally. 100% chance to apply Revive 100%. 90% chance to apply Critical Hit Chance Up 20%.</x:v>
      </x:c>
      <x:c r="Z334" s="7" t="str">
        <x:v>회복|버프</x:v>
      </x:c>
    </x:row>
    <x:row r="335" ht="115" customHeight="1">
      <x:c r="A335" s="7" t="str">
        <x:v>SKILL_0329</x:v>
      </x:c>
      <x:c r="B335" s="7" t="str">
        <x:v>공격력 증가(대) · 속도 증가 · 회피 증가 · 효과적중 증가의 의식</x:v>
      </x:c>
      <x:c r="C335" s="7"/>
      <x:c r="D335" s="7" t="str">
        <x:v>아군</x:v>
      </x:c>
      <x:c r="E335" s="7" t="n">
        <x:v>0</x:v>
      </x:c>
      <x:c r="F335" s="7" t="n">
        <x:v>0</x:v>
      </x:c>
      <x:c r="G335" s="7" t="n">
        <x:v>0</x:v>
      </x:c>
      <x:c r="H335" s="7" t="n">
        <x:v>0</x:v>
      </x:c>
      <x:c r="I335" s="7" t="n">
        <x:v>0</x:v>
      </x:c>
      <x:c r="J335" s="7" t="n">
        <x:v>0</x:v>
      </x:c>
      <x:c r="K335" s="7" t="str">
        <x:v>ATTACK_UP_GREATER</x:v>
      </x:c>
      <x:c r="L335" s="7" t="n">
        <x:v>0.325</x:v>
      </x:c>
      <x:c r="M335" s="8" t="n">
        <x:v>0.7</x:v>
      </x:c>
      <x:c r="N335" s="7" t="str">
        <x:v>SPEED_UP</x:v>
      </x:c>
      <x:c r="O335" s="7" t="n">
        <x:v>0.13</x:v>
      </x:c>
      <x:c r="P335" s="8" t="n">
        <x:v>0.7</x:v>
      </x:c>
      <x:c r="Q335" s="7" t="str">
        <x:v>EVASION_UP</x:v>
      </x:c>
      <x:c r="R335" s="7" t="n">
        <x:v>0.13</x:v>
      </x:c>
      <x:c r="S335" s="8" t="n">
        <x:v>0.7</x:v>
      </x:c>
      <x:c r="T335" s="7" t="str">
        <x:v>EFFECTIVENESS_UP</x:v>
      </x:c>
      <x:c r="U335" s="7" t="n">
        <x:v>0.163</x:v>
      </x:c>
      <x:c r="V335" s="8" t="n">
        <x:v>0.7</x:v>
      </x:c>
      <x:c r="W335" s="7" t="n">
        <x:v>1</x:v>
      </x:c>
      <x:c r="X335" s="7" t="str">
        <x:v>대상: 아군. 70%확률로 공격력 증가(대) 32.5% 적용합니다. 70%확률로 속도 증가 13% 적용합니다. 70%확률로 회피 증가 13% 적용합니다. 70%확률로 효과적중 증가 16.3% 적용합니다.</x:v>
      </x:c>
      <x:c r="Y335" s="7" t="str">
        <x:v>Target: one ally. 70% chance to apply Greater Attack Up 32.5%. 70% chance to apply Speed Up 13%. 70% chance to apply Evasion Up 13%. 70% chance to apply Effectiveness Up 16.3%.</x:v>
      </x:c>
      <x:c r="Z335" s="7" t="str">
        <x:v>버프</x:v>
      </x:c>
    </x:row>
    <x:row r="336" ht="115" customHeight="1">
      <x:c r="A336" s="7" t="str">
        <x:v>SKILL_0330</x:v>
      </x:c>
      <x:c r="B336" s="7" t="str">
        <x:v>치명피해 증가 · 불사 · 치명저항 증가의 의식</x:v>
      </x:c>
      <x:c r="C336" s="7"/>
      <x:c r="D336" s="7" t="str">
        <x:v>자신</x:v>
      </x:c>
      <x:c r="E336" s="7" t="n">
        <x:v>0</x:v>
      </x:c>
      <x:c r="F336" s="7" t="n">
        <x:v>0</x:v>
      </x:c>
      <x:c r="G336" s="7" t="n">
        <x:v>0</x:v>
      </x:c>
      <x:c r="H336" s="7" t="n">
        <x:v>0</x:v>
      </x:c>
      <x:c r="I336" s="7" t="n">
        <x:v>0</x:v>
      </x:c>
      <x:c r="J336" s="7" t="n">
        <x:v>0</x:v>
      </x:c>
      <x:c r="K336" s="7" t="str">
        <x:v>CRITICAL_DAMAGE_UP</x:v>
      </x:c>
      <x:c r="L336" s="7" t="n">
        <x:v>0.24</x:v>
      </x:c>
      <x:c r="M336" s="8" t="n">
        <x:v>0.8</x:v>
      </x:c>
      <x:c r="N336" s="7" t="str">
        <x:v>IMMORTALITY</x:v>
      </x:c>
      <x:c r="O336" s="7" t="n">
        <x:v>1</x:v>
      </x:c>
      <x:c r="P336" s="8" t="n">
        <x:v>0.8</x:v>
      </x:c>
      <x:c r="Q336" s="7" t="str">
        <x:v>CRITICAL_RESISTANCE_UP</x:v>
      </x:c>
      <x:c r="R336" s="7" t="n">
        <x:v>0.2</x:v>
      </x:c>
      <x:c r="S336" s="8" t="n">
        <x:v>0.8</x:v>
      </x:c>
      <x:c r="T336" s="7"/>
      <x:c r="U336" s="7"/>
      <x:c r="V336" s="8"/>
      <x:c r="W336" s="7" t="n">
        <x:v>3</x:v>
      </x:c>
      <x:c r="X336" s="7" t="str">
        <x:v>대상: 자신. 80%확률로 치명피해 증가 24% 획득합니다. 80%확률로 불사 획득합니다. 80%확률로 치명저항 증가 20% 획득합니다.</x:v>
      </x:c>
      <x:c r="Y336" s="7" t="str">
        <x:v>Target: the caster. 80% chance to gain Critical Hit Damage Up 24%. 80% chance to gain Immortality. 80% chance to gain Critical Hit Resistance Up 20%.</x:v>
      </x:c>
      <x:c r="Z336" s="7" t="str">
        <x:v>버프</x:v>
      </x:c>
    </x:row>
    <x:row r="337" ht="115" customHeight="1">
      <x:c r="A337" s="7" t="str">
        <x:v>SKILL_0331</x:v>
      </x:c>
      <x:c r="B337" s="7" t="str">
        <x:v>은신 · 강화효과 지속시간 증가 · 치명피해 증가 · 속도 증가의 의식</x:v>
      </x:c>
      <x:c r="C337" s="7"/>
      <x:c r="D337" s="7" t="str">
        <x:v>아군전체</x:v>
      </x:c>
      <x:c r="E337" s="7" t="n">
        <x:v>0</x:v>
      </x:c>
      <x:c r="F337" s="7" t="n">
        <x:v>0</x:v>
      </x:c>
      <x:c r="G337" s="7" t="n">
        <x:v>0</x:v>
      </x:c>
      <x:c r="H337" s="7" t="n">
        <x:v>0</x:v>
      </x:c>
      <x:c r="I337" s="7" t="n">
        <x:v>0</x:v>
      </x:c>
      <x:c r="J337" s="7" t="n">
        <x:v>0</x:v>
      </x:c>
      <x:c r="K337" s="7" t="str">
        <x:v>STEALTH</x:v>
      </x:c>
      <x:c r="L337" s="7" t="n">
        <x:v>1</x:v>
      </x:c>
      <x:c r="M337" s="8" t="n">
        <x:v>0.65</x:v>
      </x:c>
      <x:c r="N337" s="7" t="str">
        <x:v>BUFF_DURATION_UP</x:v>
      </x:c>
      <x:c r="O337" s="7" t="n">
        <x:v>1</x:v>
      </x:c>
      <x:c r="P337" s="8" t="n">
        <x:v>0.65</x:v>
      </x:c>
      <x:c r="Q337" s="7" t="str">
        <x:v>CRITICAL_DAMAGE_UP</x:v>
      </x:c>
      <x:c r="R337" s="7" t="n">
        <x:v>0.195</x:v>
      </x:c>
      <x:c r="S337" s="8" t="n">
        <x:v>0.65</x:v>
      </x:c>
      <x:c r="T337" s="7" t="str">
        <x:v>SPEED_UP</x:v>
      </x:c>
      <x:c r="U337" s="7" t="n">
        <x:v>0.13</x:v>
      </x:c>
      <x:c r="V337" s="8" t="n">
        <x:v>0.65</x:v>
      </x:c>
      <x:c r="W337" s="7" t="n">
        <x:v>5</x:v>
      </x:c>
      <x:c r="X337" s="7" t="str">
        <x:v>대상: 아군전체. 65%확률로 은신 적용합니다. 65%확률로 강화효과 지속시간 증가 1턴 적용합니다. 65%확률로 치명피해 증가 19.5% 적용합니다. 65%확률로 속도 증가 13% 적용합니다.</x:v>
      </x:c>
      <x:c r="Y337" s="7" t="str">
        <x:v>Target: all allies. 65% chance to apply Stealth. 65% chance to apply Buff Duration Extension 1 turn. 65% chance to apply Critical Hit Damage Up 19.5%. 65% chance to apply Speed Up 13%.</x:v>
      </x:c>
      <x:c r="Z337" s="7" t="str">
        <x:v>버프</x:v>
      </x:c>
    </x:row>
    <x:row r="338" ht="115" customHeight="1">
      <x:c r="A338" s="7" t="str">
        <x:v>SKILL_0332</x:v>
      </x:c>
      <x:c r="B338" s="7" t="str">
        <x:v>공격력 증가 · 소생 · 치명피해 증가의 의식</x:v>
      </x:c>
      <x:c r="C338" s="7"/>
      <x:c r="D338" s="7" t="str">
        <x:v>아군</x:v>
      </x:c>
      <x:c r="E338" s="7" t="n">
        <x:v>0</x:v>
      </x:c>
      <x:c r="F338" s="7" t="n">
        <x:v>0</x:v>
      </x:c>
      <x:c r="G338" s="7" t="n">
        <x:v>0</x:v>
      </x:c>
      <x:c r="H338" s="7" t="n">
        <x:v>0</x:v>
      </x:c>
      <x:c r="I338" s="7" t="n">
        <x:v>0</x:v>
      </x:c>
      <x:c r="J338" s="7" t="n">
        <x:v>0</x:v>
      </x:c>
      <x:c r="K338" s="7" t="str">
        <x:v>ATTACK_UP</x:v>
      </x:c>
      <x:c r="L338" s="7" t="n">
        <x:v>0.24</x:v>
      </x:c>
      <x:c r="M338" s="8" t="n">
        <x:v>0.8</x:v>
      </x:c>
      <x:c r="N338" s="7" t="str">
        <x:v>AUTO_REVIVE</x:v>
      </x:c>
      <x:c r="O338" s="7" t="n">
        <x:v>1</x:v>
      </x:c>
      <x:c r="P338" s="8" t="n">
        <x:v>1</x:v>
      </x:c>
      <x:c r="Q338" s="7" t="str">
        <x:v>CRITICAL_DAMAGE_UP</x:v>
      </x:c>
      <x:c r="R338" s="7" t="n">
        <x:v>0.24</x:v>
      </x:c>
      <x:c r="S338" s="8" t="n">
        <x:v>0.8</x:v>
      </x:c>
      <x:c r="T338" s="7"/>
      <x:c r="U338" s="7"/>
      <x:c r="V338" s="8"/>
      <x:c r="W338" s="7" t="n">
        <x:v>5</x:v>
      </x:c>
      <x:c r="X338" s="7" t="str">
        <x:v>대상: 아군. 80%확률로 공격력 증가 24% 적용합니다. 100%확률로 소생 100% 적용합니다. 80%확률로 치명피해 증가 24% 적용합니다.</x:v>
      </x:c>
      <x:c r="Y338" s="7" t="str">
        <x:v>Target: one ally. 80% chance to apply Attack Up 24%. 100% chance to apply Auto Revive 100%. 80% chance to apply Critical Hit Damage Up 24%.</x:v>
      </x:c>
      <x:c r="Z338" s="7" t="str">
        <x:v>회복|버프</x:v>
      </x:c>
    </x:row>
    <x:row r="339" ht="115" customHeight="1">
      <x:c r="A339" s="7" t="str">
        <x:v>SKILL_0333</x:v>
      </x:c>
      <x:c r="B339" s="7" t="str">
        <x:v>피해 감소 · 명중 증가의 의식</x:v>
      </x:c>
      <x:c r="C339" s="7"/>
      <x:c r="D339" s="7" t="str">
        <x:v>아군</x:v>
      </x:c>
      <x:c r="E339" s="7" t="n">
        <x:v>0</x:v>
      </x:c>
      <x:c r="F339" s="7" t="n">
        <x:v>0</x:v>
      </x:c>
      <x:c r="G339" s="7" t="n">
        <x:v>0</x:v>
      </x:c>
      <x:c r="H339" s="7" t="n">
        <x:v>0</x:v>
      </x:c>
      <x:c r="I339" s="7" t="n">
        <x:v>0</x:v>
      </x:c>
      <x:c r="J339" s="7" t="n">
        <x:v>0</x:v>
      </x:c>
      <x:c r="K339" s="7" t="str">
        <x:v>DAMAGE_REDUCTION</x:v>
      </x:c>
      <x:c r="L339" s="7" t="n">
        <x:v>0.2</x:v>
      </x:c>
      <x:c r="M339" s="8" t="n">
        <x:v>0.9</x:v>
      </x:c>
      <x:c r="N339" s="7" t="str">
        <x:v>HIT_CHANCE_UP</x:v>
      </x:c>
      <x:c r="O339" s="7" t="n">
        <x:v>0.2</x:v>
      </x:c>
      <x:c r="P339" s="8" t="n">
        <x:v>0.9</x:v>
      </x:c>
      <x:c r="Q339" s="7"/>
      <x:c r="R339" s="7"/>
      <x:c r="S339" s="8"/>
      <x:c r="T339" s="7"/>
      <x:c r="U339" s="7"/>
      <x:c r="V339" s="8"/>
      <x:c r="W339" s="7" t="n">
        <x:v>1</x:v>
      </x:c>
      <x:c r="X339" s="7" t="str">
        <x:v>대상: 아군. 90%확률로 피해 감소 20% 적용합니다. 90%확률로 명중 증가 20% 적용합니다.</x:v>
      </x:c>
      <x:c r="Y339" s="7" t="str">
        <x:v>Target: one ally. 90% chance to apply Damage Reduction 20%. 90% chance to apply Hit Chance Up 20%.</x:v>
      </x:c>
      <x:c r="Z339" s="7" t="str">
        <x:v>버프</x:v>
      </x:c>
    </x:row>
    <x:row r="340" ht="115" customHeight="1">
      <x:c r="A340" s="7" t="str">
        <x:v>SKILL_0334</x:v>
      </x:c>
      <x:c r="B340" s="7" t="str">
        <x:v>보호막 · 추가 턴의 의식</x:v>
      </x:c>
      <x:c r="C340" s="7"/>
      <x:c r="D340" s="7" t="str">
        <x:v>자신</x:v>
      </x:c>
      <x:c r="E340" s="7" t="n">
        <x:v>0</x:v>
      </x:c>
      <x:c r="F340" s="7" t="n">
        <x:v>0</x:v>
      </x:c>
      <x:c r="G340" s="7" t="n">
        <x:v>0</x:v>
      </x:c>
      <x:c r="H340" s="7" t="n">
        <x:v>0</x:v>
      </x:c>
      <x:c r="I340" s="7" t="n">
        <x:v>0</x:v>
      </x:c>
      <x:c r="J340" s="7" t="n">
        <x:v>0</x:v>
      </x:c>
      <x:c r="K340" s="7" t="str">
        <x:v>BARRIER</x:v>
      </x:c>
      <x:c r="L340" s="7" t="n">
        <x:v>0.12</x:v>
      </x:c>
      <x:c r="M340" s="8" t="n">
        <x:v>1</x:v>
      </x:c>
      <x:c r="N340" s="7" t="str">
        <x:v>EXTRA_TURN</x:v>
      </x:c>
      <x:c r="O340" s="7" t="n">
        <x:v>1</x:v>
      </x:c>
      <x:c r="P340" s="8" t="n">
        <x:v>1</x:v>
      </x:c>
      <x:c r="Q340" s="7"/>
      <x:c r="R340" s="7"/>
      <x:c r="S340" s="8"/>
      <x:c r="T340" s="7"/>
      <x:c r="U340" s="7"/>
      <x:c r="V340" s="8"/>
      <x:c r="W340" s="7" t="n">
        <x:v>5</x:v>
      </x:c>
      <x:c r="X340" s="7" t="str">
        <x:v>대상: 자신. 100%확률로 보호막 12% 획득합니다. 100%확률로 추가 턴 1턴 획득합니다.</x:v>
      </x:c>
      <x:c r="Y340" s="7" t="str">
        <x:v>Target: the caster. 100% chance to gain Barrier 12%. 100% chance to gain Extra Turn 1 turn.</x:v>
      </x:c>
      <x:c r="Z340" s="7" t="str">
        <x:v>버프</x:v>
      </x:c>
    </x:row>
    <x:row r="341" ht="115" customHeight="1">
      <x:c r="A341" s="7" t="str">
        <x:v>SKILL_0335</x:v>
      </x:c>
      <x:c r="B341" s="7" t="str">
        <x:v>불사 · 면역의 의식</x:v>
      </x:c>
      <x:c r="C341" s="7"/>
      <x:c r="D341" s="7" t="str">
        <x:v>아군전체</x:v>
      </x:c>
      <x:c r="E341" s="7" t="n">
        <x:v>0</x:v>
      </x:c>
      <x:c r="F341" s="7" t="n">
        <x:v>0</x:v>
      </x:c>
      <x:c r="G341" s="7" t="n">
        <x:v>0</x:v>
      </x:c>
      <x:c r="H341" s="7" t="n">
        <x:v>0</x:v>
      </x:c>
      <x:c r="I341" s="7" t="n">
        <x:v>0</x:v>
      </x:c>
      <x:c r="J341" s="7" t="n">
        <x:v>0</x:v>
      </x:c>
      <x:c r="K341" s="7" t="str">
        <x:v>IMMORTALITY</x:v>
      </x:c>
      <x:c r="L341" s="7" t="n">
        <x:v>1</x:v>
      </x:c>
      <x:c r="M341" s="8" t="n">
        <x:v>0.65</x:v>
      </x:c>
      <x:c r="N341" s="7" t="str">
        <x:v>IMMUNITY</x:v>
      </x:c>
      <x:c r="O341" s="7" t="n">
        <x:v>1</x:v>
      </x:c>
      <x:c r="P341" s="8" t="n">
        <x:v>0.65</x:v>
      </x:c>
      <x:c r="Q341" s="7"/>
      <x:c r="R341" s="7"/>
      <x:c r="S341" s="8"/>
      <x:c r="T341" s="7"/>
      <x:c r="U341" s="7"/>
      <x:c r="V341" s="8"/>
      <x:c r="W341" s="7" t="n">
        <x:v>5</x:v>
      </x:c>
      <x:c r="X341" s="7" t="str">
        <x:v>대상: 아군전체. 65%확률로 불사 적용합니다. 65%확률로 면역 적용합니다.</x:v>
      </x:c>
      <x:c r="Y341" s="7" t="str">
        <x:v>Target: all allies. 65% chance to apply Immortality. 65% chance to apply Immunity.</x:v>
      </x:c>
      <x:c r="Z341" s="7" t="str">
        <x:v>버프</x:v>
      </x:c>
    </x:row>
    <x:row r="342" ht="115" customHeight="1">
      <x:c r="A342" s="7" t="str">
        <x:v>SKILL_0336</x:v>
      </x:c>
      <x:c r="B342" s="7" t="str">
        <x:v>무적 · 보호막 · 방어력 증가의 의식</x:v>
      </x:c>
      <x:c r="C342" s="7"/>
      <x:c r="D342" s="7" t="str">
        <x:v>아군과 자신</x:v>
      </x:c>
      <x:c r="E342" s="7" t="n">
        <x:v>0</x:v>
      </x:c>
      <x:c r="F342" s="7" t="n">
        <x:v>0</x:v>
      </x:c>
      <x:c r="G342" s="7" t="n">
        <x:v>0</x:v>
      </x:c>
      <x:c r="H342" s="7" t="n">
        <x:v>0</x:v>
      </x:c>
      <x:c r="I342" s="7" t="n">
        <x:v>0</x:v>
      </x:c>
      <x:c r="J342" s="7" t="n">
        <x:v>0</x:v>
      </x:c>
      <x:c r="K342" s="7" t="str">
        <x:v>INVINCIBILITY</x:v>
      </x:c>
      <x:c r="L342" s="7" t="n">
        <x:v>1</x:v>
      </x:c>
      <x:c r="M342" s="8" t="n">
        <x:v>0.8</x:v>
      </x:c>
      <x:c r="N342" s="7" t="str">
        <x:v>BARRIER</x:v>
      </x:c>
      <x:c r="O342" s="7" t="n">
        <x:v>0.12</x:v>
      </x:c>
      <x:c r="P342" s="8" t="n">
        <x:v>0.8</x:v>
      </x:c>
      <x:c r="Q342" s="7" t="str">
        <x:v>DEFENSE_UP</x:v>
      </x:c>
      <x:c r="R342" s="7" t="n">
        <x:v>0.28</x:v>
      </x:c>
      <x:c r="S342" s="8" t="n">
        <x:v>0.8</x:v>
      </x:c>
      <x:c r="T342" s="7"/>
      <x:c r="U342" s="7"/>
      <x:c r="V342" s="8"/>
      <x:c r="W342" s="7" t="n">
        <x:v>5</x:v>
      </x:c>
      <x:c r="X342" s="7" t="str">
        <x:v>대상: 아군과 자신. 80%확률로 무적 적용합니다. 80%확률로 보호막 12% 적용합니다. 80%확률로 방어력 증가 28% 적용합니다.</x:v>
      </x:c>
      <x:c r="Y342" s="7" t="str">
        <x:v>Target: one ally and the caster. 80% chance to apply Invincibility. 80% chance to apply Barrier 12%. 80% chance to apply Defense Up 28%.</x:v>
      </x:c>
      <x:c r="Z342" s="7" t="str">
        <x:v>버프</x:v>
      </x:c>
    </x:row>
    <x:row r="343" ht="115" customHeight="1">
      <x:c r="A343" s="7" t="str">
        <x:v>SKILL_0337</x:v>
      </x:c>
      <x:c r="B343" s="7" t="str">
        <x:v>생명력 회복 · 효과적중 증가의 의식</x:v>
      </x:c>
      <x:c r="C343" s="7"/>
      <x:c r="D343" s="7" t="str">
        <x:v>아군</x:v>
      </x:c>
      <x:c r="E343" s="7" t="n">
        <x:v>0</x:v>
      </x:c>
      <x:c r="F343" s="7" t="n">
        <x:v>0</x:v>
      </x:c>
      <x:c r="G343" s="7" t="n">
        <x:v>0</x:v>
      </x:c>
      <x:c r="H343" s="7" t="n">
        <x:v>0</x:v>
      </x:c>
      <x:c r="I343" s="7" t="n">
        <x:v>0</x:v>
      </x:c>
      <x:c r="J343" s="7" t="n">
        <x:v>0.35</x:v>
      </x:c>
      <x:c r="K343" s="7" t="str">
        <x:v>HEAL</x:v>
      </x:c>
      <x:c r="L343" s="7" t="n">
        <x:v>1</x:v>
      </x:c>
      <x:c r="M343" s="8" t="n">
        <x:v>1</x:v>
      </x:c>
      <x:c r="N343" s="7" t="str">
        <x:v>EFFECTIVENESS_UP</x:v>
      </x:c>
      <x:c r="O343" s="7" t="n">
        <x:v>0.25</x:v>
      </x:c>
      <x:c r="P343" s="8" t="n">
        <x:v>0.9</x:v>
      </x:c>
      <x:c r="Q343" s="7"/>
      <x:c r="R343" s="7"/>
      <x:c r="S343" s="8"/>
      <x:c r="T343" s="7"/>
      <x:c r="U343" s="7"/>
      <x:c r="V343" s="8"/>
      <x:c r="W343" s="7" t="n">
        <x:v>1</x:v>
      </x:c>
      <x:c r="X343" s="7" t="str">
        <x:v>대상: 아군. 아군을 시전자의 최대생명력의 0.35배만큼 회복시킵니다. 90%확률로 효과적중 증가 25% 적용합니다.</x:v>
      </x:c>
      <x:c r="Y343" s="7" t="str">
        <x:v>Target: one ally. Heals one ally for 0.35 × caster max Health. 90% chance to apply Effectiveness Up 25%.</x:v>
      </x:c>
      <x:c r="Z343" s="7" t="str">
        <x:v>회복|버프</x:v>
      </x:c>
    </x:row>
    <x:row r="344" ht="115" customHeight="1">
      <x:c r="A344" s="7" t="str">
        <x:v>SKILL_0338</x:v>
      </x:c>
      <x:c r="B344" s="7" t="str">
        <x:v>공격력 증가(대) · 부활 · 명중 증가의 의식</x:v>
      </x:c>
      <x:c r="C344" s="7"/>
      <x:c r="D344" s="7" t="str">
        <x:v>아군</x:v>
      </x:c>
      <x:c r="E344" s="7" t="n">
        <x:v>0</x:v>
      </x:c>
      <x:c r="F344" s="7" t="n">
        <x:v>0</x:v>
      </x:c>
      <x:c r="G344" s="7" t="n">
        <x:v>0</x:v>
      </x:c>
      <x:c r="H344" s="7" t="n">
        <x:v>0</x:v>
      </x:c>
      <x:c r="I344" s="7" t="n">
        <x:v>0</x:v>
      </x:c>
      <x:c r="J344" s="7" t="n">
        <x:v>0</x:v>
      </x:c>
      <x:c r="K344" s="7" t="str">
        <x:v>ATTACK_UP_GREATER</x:v>
      </x:c>
      <x:c r="L344" s="7" t="n">
        <x:v>0.4</x:v>
      </x:c>
      <x:c r="M344" s="8" t="n">
        <x:v>0.5</x:v>
      </x:c>
      <x:c r="N344" s="7" t="str">
        <x:v>REVIVE</x:v>
      </x:c>
      <x:c r="O344" s="7" t="n">
        <x:v>1</x:v>
      </x:c>
      <x:c r="P344" s="8" t="n">
        <x:v>1</x:v>
      </x:c>
      <x:c r="Q344" s="7" t="str">
        <x:v>HIT_CHANCE_UP</x:v>
      </x:c>
      <x:c r="R344" s="7" t="n">
        <x:v>0.16</x:v>
      </x:c>
      <x:c r="S344" s="8" t="n">
        <x:v>0.5</x:v>
      </x:c>
      <x:c r="T344" s="7"/>
      <x:c r="U344" s="7"/>
      <x:c r="V344" s="8"/>
      <x:c r="W344" s="7" t="n">
        <x:v>5</x:v>
      </x:c>
      <x:c r="X344" s="7" t="str">
        <x:v>대상: 사망한 아군. 50%확률로 공격력 증가(대) 40% 적용합니다. 100%확률로 부활 100% 적용합니다. 50%확률로 명중 증가 16% 적용합니다.</x:v>
      </x:c>
      <x:c r="Y344" s="7" t="str">
        <x:v>Target: one dead ally. 50% chance to apply Greater Attack Up 40%. 100% chance to apply Revive 100%. 50% chance to apply Hit Chance Up 16%.</x:v>
      </x:c>
      <x:c r="Z344" s="7" t="str">
        <x:v>회복|버프</x:v>
      </x:c>
    </x:row>
    <x:row r="345" ht="115" customHeight="1">
      <x:c r="A345" s="7" t="str">
        <x:v>SKILL_0339</x:v>
      </x:c>
      <x:c r="B345" s="7" t="str">
        <x:v>스킬 쿨타임 초기화 · 피해 분담 · 무적의 의식</x:v>
      </x:c>
      <x:c r="C345" s="7"/>
      <x:c r="D345" s="7" t="str">
        <x:v>자신</x:v>
      </x:c>
      <x:c r="E345" s="7" t="n">
        <x:v>0</x:v>
      </x:c>
      <x:c r="F345" s="7" t="n">
        <x:v>0</x:v>
      </x:c>
      <x:c r="G345" s="7" t="n">
        <x:v>0</x:v>
      </x:c>
      <x:c r="H345" s="7" t="n">
        <x:v>0</x:v>
      </x:c>
      <x:c r="I345" s="7" t="n">
        <x:v>0</x:v>
      </x:c>
      <x:c r="J345" s="7" t="n">
        <x:v>0</x:v>
      </x:c>
      <x:c r="K345" s="7" t="str">
        <x:v>SKILL_COOLDOWN_RESET</x:v>
      </x:c>
      <x:c r="L345" s="7" t="n">
        <x:v>1</x:v>
      </x:c>
      <x:c r="M345" s="8" t="n">
        <x:v>0.7</x:v>
      </x:c>
      <x:c r="N345" s="7" t="str">
        <x:v>DAMAGE_SHARING</x:v>
      </x:c>
      <x:c r="O345" s="7" t="n">
        <x:v>0.16</x:v>
      </x:c>
      <x:c r="P345" s="8" t="n">
        <x:v>0.7</x:v>
      </x:c>
      <x:c r="Q345" s="7" t="str">
        <x:v>INVINCIBILITY</x:v>
      </x:c>
      <x:c r="R345" s="7" t="n">
        <x:v>1</x:v>
      </x:c>
      <x:c r="S345" s="8" t="n">
        <x:v>0.7</x:v>
      </x:c>
      <x:c r="T345" s="7"/>
      <x:c r="U345" s="7"/>
      <x:c r="V345" s="8"/>
      <x:c r="W345" s="7" t="n">
        <x:v>5</x:v>
      </x:c>
      <x:c r="X345" s="7" t="str">
        <x:v>대상: 자신. 70%확률로 스킬 쿨타임 초기화 1개 획득합니다. 70%확률로 피해 분담 16% 획득합니다. 70%확률로 무적 획득합니다.</x:v>
      </x:c>
      <x:c r="Y345" s="7" t="str">
        <x:v>Target: the caster. 70% chance to gain Skill Cooldown Reset 1 count. 70% chance to gain Damage Sharing 16%. 70% chance to gain Invincibility.</x:v>
      </x:c>
      <x:c r="Z345" s="7" t="str">
        <x:v>버프</x:v>
      </x:c>
    </x:row>
    <x:row r="346" ht="115" customHeight="1">
      <x:c r="A346" s="7" t="str">
        <x:v>SKILL_0340</x:v>
      </x:c>
      <x:c r="B346" s="7" t="str">
        <x:v>불사 · 보호막 · 면역 · 방어력 증가의 의식</x:v>
      </x:c>
      <x:c r="C346" s="7"/>
      <x:c r="D346" s="7" t="str">
        <x:v>아군과 자신</x:v>
      </x:c>
      <x:c r="E346" s="7" t="n">
        <x:v>0</x:v>
      </x:c>
      <x:c r="F346" s="7" t="n">
        <x:v>0</x:v>
      </x:c>
      <x:c r="G346" s="7" t="n">
        <x:v>0</x:v>
      </x:c>
      <x:c r="H346" s="7" t="n">
        <x:v>0</x:v>
      </x:c>
      <x:c r="I346" s="7" t="n">
        <x:v>0</x:v>
      </x:c>
      <x:c r="J346" s="7" t="n">
        <x:v>0</x:v>
      </x:c>
      <x:c r="K346" s="7" t="str">
        <x:v>IMMORTALITY</x:v>
      </x:c>
      <x:c r="L346" s="7" t="n">
        <x:v>1</x:v>
      </x:c>
      <x:c r="M346" s="8" t="n">
        <x:v>0.7</x:v>
      </x:c>
      <x:c r="N346" s="7" t="str">
        <x:v>BARRIER</x:v>
      </x:c>
      <x:c r="O346" s="7" t="n">
        <x:v>0.098</x:v>
      </x:c>
      <x:c r="P346" s="8" t="n">
        <x:v>0.7</x:v>
      </x:c>
      <x:c r="Q346" s="7" t="str">
        <x:v>IMMUNITY</x:v>
      </x:c>
      <x:c r="R346" s="7" t="n">
        <x:v>1</x:v>
      </x:c>
      <x:c r="S346" s="8" t="n">
        <x:v>0.7</x:v>
      </x:c>
      <x:c r="T346" s="7" t="str">
        <x:v>DEFENSE_UP</x:v>
      </x:c>
      <x:c r="U346" s="7" t="n">
        <x:v>0.227</x:v>
      </x:c>
      <x:c r="V346" s="8" t="n">
        <x:v>0.7</x:v>
      </x:c>
      <x:c r="W346" s="7" t="n">
        <x:v>5</x:v>
      </x:c>
      <x:c r="X346" s="7" t="str">
        <x:v>대상: 아군과 자신. 70%확률로 불사 적용합니다. 70%확률로 보호막 9.8% 적용합니다. 70%확률로 면역 적용합니다. 70%확률로 방어력 증가 22.7% 적용합니다.</x:v>
      </x:c>
      <x:c r="Y346" s="7" t="str">
        <x:v>Target: one ally and the caster. 70% chance to apply Immortality. 70% chance to apply Barrier 9.8%. 70% chance to apply Immunity. 70% chance to apply Defense Up 22.7%.</x:v>
      </x:c>
      <x:c r="Z346" s="7" t="str">
        <x:v>버프</x:v>
      </x:c>
    </x:row>
    <x:row r="347" ht="115" customHeight="1">
      <x:c r="A347" s="7" t="str">
        <x:v>SKILL_0341</x:v>
      </x:c>
      <x:c r="B347" s="7" t="str">
        <x:v>스킬 쿨타임 초기화 · 반격의 의식</x:v>
      </x:c>
      <x:c r="C347" s="7"/>
      <x:c r="D347" s="7" t="str">
        <x:v>아군</x:v>
      </x:c>
      <x:c r="E347" s="7" t="n">
        <x:v>0</x:v>
      </x:c>
      <x:c r="F347" s="7" t="n">
        <x:v>0</x:v>
      </x:c>
      <x:c r="G347" s="7" t="n">
        <x:v>0</x:v>
      </x:c>
      <x:c r="H347" s="7" t="n">
        <x:v>0</x:v>
      </x:c>
      <x:c r="I347" s="7" t="n">
        <x:v>0</x:v>
      </x:c>
      <x:c r="J347" s="7" t="n">
        <x:v>0</x:v>
      </x:c>
      <x:c r="K347" s="7" t="str">
        <x:v>SKILL_COOLDOWN_RESET</x:v>
      </x:c>
      <x:c r="L347" s="7" t="n">
        <x:v>1</x:v>
      </x:c>
      <x:c r="M347" s="8" t="n">
        <x:v>0.9</x:v>
      </x:c>
      <x:c r="N347" s="7" t="str">
        <x:v>COUNTERATTACK</x:v>
      </x:c>
      <x:c r="O347" s="7" t="n">
        <x:v>0.4</x:v>
      </x:c>
      <x:c r="P347" s="8" t="n">
        <x:v>0.9</x:v>
      </x:c>
      <x:c r="Q347" s="7"/>
      <x:c r="R347" s="7"/>
      <x:c r="S347" s="8"/>
      <x:c r="T347" s="7"/>
      <x:c r="U347" s="7"/>
      <x:c r="V347" s="8"/>
      <x:c r="W347" s="7" t="n">
        <x:v>5</x:v>
      </x:c>
      <x:c r="X347" s="7" t="str">
        <x:v>대상: 아군. 90%확률로 스킬 쿨타임 초기화 1개 적용합니다. 90%확률로 반격 40% 적용합니다.</x:v>
      </x:c>
      <x:c r="Y347" s="7" t="str">
        <x:v>Target: one ally. 90% chance to apply Skill Cooldown Reset 1 count. 90% chance to apply Counterattack 40%.</x:v>
      </x:c>
      <x:c r="Z347" s="7" t="str">
        <x:v>공격|버프</x:v>
      </x:c>
    </x:row>
    <x:row r="348" ht="115" customHeight="1">
      <x:c r="A348" s="7" t="str">
        <x:v>SKILL_0342</x:v>
      </x:c>
      <x:c r="B348" s="7" t="str">
        <x:v>스킬 쿨타임 감소 · 강화효과 지속시간 증가 · 치명확률 증가 · 은신의 의식</x:v>
      </x:c>
      <x:c r="C348" s="7"/>
      <x:c r="D348" s="7" t="str">
        <x:v>자신</x:v>
      </x:c>
      <x:c r="E348" s="7" t="n">
        <x:v>0</x:v>
      </x:c>
      <x:c r="F348" s="7" t="n">
        <x:v>0</x:v>
      </x:c>
      <x:c r="G348" s="7" t="n">
        <x:v>0</x:v>
      </x:c>
      <x:c r="H348" s="7" t="n">
        <x:v>0</x:v>
      </x:c>
      <x:c r="I348" s="7" t="n">
        <x:v>0</x:v>
      </x:c>
      <x:c r="J348" s="7" t="n">
        <x:v>0</x:v>
      </x:c>
      <x:c r="K348" s="7" t="str">
        <x:v>SKILL_COOLDOWN_DOWN</x:v>
      </x:c>
      <x:c r="L348" s="7" t="n">
        <x:v>1</x:v>
      </x:c>
      <x:c r="M348" s="8" t="n">
        <x:v>0.7</x:v>
      </x:c>
      <x:c r="N348" s="7" t="str">
        <x:v>BUFF_DURATION_UP</x:v>
      </x:c>
      <x:c r="O348" s="7" t="n">
        <x:v>1</x:v>
      </x:c>
      <x:c r="P348" s="8" t="n">
        <x:v>0.7</x:v>
      </x:c>
      <x:c r="Q348" s="7" t="str">
        <x:v>CRITICAL_CHANCE_UP</x:v>
      </x:c>
      <x:c r="R348" s="7" t="n">
        <x:v>0.13</x:v>
      </x:c>
      <x:c r="S348" s="8" t="n">
        <x:v>0.7</x:v>
      </x:c>
      <x:c r="T348" s="7" t="str">
        <x:v>STEALTH</x:v>
      </x:c>
      <x:c r="U348" s="7" t="n">
        <x:v>1</x:v>
      </x:c>
      <x:c r="V348" s="8" t="n">
        <x:v>0.7</x:v>
      </x:c>
      <x:c r="W348" s="7" t="n">
        <x:v>3</x:v>
      </x:c>
      <x:c r="X348" s="7" t="str">
        <x:v>대상: 자신. 70%확률로 스킬 쿨타임 감소 1턴 획득합니다. 70%확률로 강화효과 지속시간 증가 1턴 획득합니다. 70%확률로 치명확률 증가 13% 획득합니다. 70%확률로 은신 획득합니다.</x:v>
      </x:c>
      <x:c r="Y348" s="7" t="str">
        <x:v>Target: the caster. 70% chance to gain Skill Cooldown Reduction 1 turn. 70% chance to gain Buff Duration Extension 1 turn. 70% chance to gain Critical Hit Chance Up 13%. 70% chance to gain Stealth.</x:v>
      </x:c>
      <x:c r="Z348" s="7" t="str">
        <x:v>버프</x:v>
      </x:c>
    </x:row>
    <x:row r="349" ht="115" customHeight="1">
      <x:c r="A349" s="7" t="str">
        <x:v>SKILL_0343</x:v>
      </x:c>
      <x:c r="B349" s="7" t="str">
        <x:v>속도 증가 · 불사의 의식</x:v>
      </x:c>
      <x:c r="C349" s="7"/>
      <x:c r="D349" s="7" t="str">
        <x:v>아군전체</x:v>
      </x:c>
      <x:c r="E349" s="7" t="n">
        <x:v>0</x:v>
      </x:c>
      <x:c r="F349" s="7" t="n">
        <x:v>0</x:v>
      </x:c>
      <x:c r="G349" s="7" t="n">
        <x:v>0</x:v>
      </x:c>
      <x:c r="H349" s="7" t="n">
        <x:v>0</x:v>
      </x:c>
      <x:c r="I349" s="7" t="n">
        <x:v>0</x:v>
      </x:c>
      <x:c r="J349" s="7" t="n">
        <x:v>0</x:v>
      </x:c>
      <x:c r="K349" s="7" t="str">
        <x:v>SPEED_UP</x:v>
      </x:c>
      <x:c r="L349" s="7" t="n">
        <x:v>0.2</x:v>
      </x:c>
      <x:c r="M349" s="8" t="n">
        <x:v>0.75</x:v>
      </x:c>
      <x:c r="N349" s="7" t="str">
        <x:v>IMMORTALITY</x:v>
      </x:c>
      <x:c r="O349" s="7" t="n">
        <x:v>1</x:v>
      </x:c>
      <x:c r="P349" s="8" t="n">
        <x:v>0.75</x:v>
      </x:c>
      <x:c r="Q349" s="7"/>
      <x:c r="R349" s="7"/>
      <x:c r="S349" s="8"/>
      <x:c r="T349" s="7"/>
      <x:c r="U349" s="7"/>
      <x:c r="V349" s="8"/>
      <x:c r="W349" s="7" t="n">
        <x:v>5</x:v>
      </x:c>
      <x:c r="X349" s="7" t="str">
        <x:v>대상: 아군전체. 75%확률로 속도 증가 20% 적용합니다. 75%확률로 불사 적용합니다.</x:v>
      </x:c>
      <x:c r="Y349" s="7" t="str">
        <x:v>Target: all allies. 75% chance to apply Speed Up 20%. 75% chance to apply Immortality.</x:v>
      </x:c>
      <x:c r="Z349" s="7" t="str">
        <x:v>버프</x:v>
      </x:c>
    </x:row>
    <x:row r="350" ht="115" customHeight="1">
      <x:c r="A350" s="7" t="str">
        <x:v>SKILL_0344</x:v>
      </x:c>
      <x:c r="B350" s="7" t="str">
        <x:v>보호막 · 생명력 회복 · 치명저항 증가 · 치명피해 증가의 의식</x:v>
      </x:c>
      <x:c r="C350" s="7"/>
      <x:c r="D350" s="7" t="str">
        <x:v>아군과 자신</x:v>
      </x:c>
      <x:c r="E350" s="7" t="n">
        <x:v>0</x:v>
      </x:c>
      <x:c r="F350" s="7" t="n">
        <x:v>0</x:v>
      </x:c>
      <x:c r="G350" s="7" t="n">
        <x:v>0</x:v>
      </x:c>
      <x:c r="H350" s="7" t="n">
        <x:v>0</x:v>
      </x:c>
      <x:c r="I350" s="7" t="n">
        <x:v>0.18</x:v>
      </x:c>
      <x:c r="J350" s="7" t="n">
        <x:v>0</x:v>
      </x:c>
      <x:c r="K350" s="7" t="str">
        <x:v>BARRIER</x:v>
      </x:c>
      <x:c r="L350" s="7" t="n">
        <x:v>0.098</x:v>
      </x:c>
      <x:c r="M350" s="8" t="n">
        <x:v>0.7</x:v>
      </x:c>
      <x:c r="N350" s="7" t="str">
        <x:v>HEAL</x:v>
      </x:c>
      <x:c r="O350" s="7" t="n">
        <x:v>1</x:v>
      </x:c>
      <x:c r="P350" s="8" t="n">
        <x:v>1</x:v>
      </x:c>
      <x:c r="Q350" s="7" t="str">
        <x:v>CRITICAL_RESISTANCE_UP</x:v>
      </x:c>
      <x:c r="R350" s="7" t="n">
        <x:v>0.163</x:v>
      </x:c>
      <x:c r="S350" s="8" t="n">
        <x:v>0.7</x:v>
      </x:c>
      <x:c r="T350" s="7" t="str">
        <x:v>CRITICAL_DAMAGE_UP</x:v>
      </x:c>
      <x:c r="U350" s="7" t="n">
        <x:v>0.195</x:v>
      </x:c>
      <x:c r="V350" s="8" t="n">
        <x:v>0.7</x:v>
      </x:c>
      <x:c r="W350" s="7" t="n">
        <x:v>1</x:v>
      </x:c>
      <x:c r="X350" s="7" t="str">
        <x:v>대상: 아군과 자신. 아군과 자신을 시전자의 공격력의 0.18배만큼 회복시킵니다. 70%확률로 보호막 9.8% 적용합니다. 70%확률로 치명저항 증가 16.3% 적용합니다. 70%확률로 치명피해 증가 19.5% 적용합니다.</x:v>
      </x:c>
      <x:c r="Y350" s="7" t="str">
        <x:v>Target: one ally and the caster. Heals one ally and the caster for 0.18 × caster Attack. 70% chance to apply Barrier 9.8%. 70% chance to apply Critical Hit Resistance Up 16.3%. 70% chance to apply Critical Hit Damage Up 19.5%.</x:v>
      </x:c>
      <x:c r="Z350" s="7" t="str">
        <x:v>회복|버프</x:v>
      </x:c>
    </x:row>
    <x:row r="351" ht="115" customHeight="1">
      <x:c r="A351" s="7" t="str">
        <x:v>SKILL_0345</x:v>
      </x:c>
      <x:c r="B351" s="7" t="str">
        <x:v>스킬 쿨타임 감소 · 명중 증가 · 회피 증가 · 면역의 의식</x:v>
      </x:c>
      <x:c r="C351" s="7"/>
      <x:c r="D351" s="7" t="str">
        <x:v>아군</x:v>
      </x:c>
      <x:c r="E351" s="7" t="n">
        <x:v>0</x:v>
      </x:c>
      <x:c r="F351" s="7" t="n">
        <x:v>0</x:v>
      </x:c>
      <x:c r="G351" s="7" t="n">
        <x:v>0</x:v>
      </x:c>
      <x:c r="H351" s="7" t="n">
        <x:v>0</x:v>
      </x:c>
      <x:c r="I351" s="7" t="n">
        <x:v>0</x:v>
      </x:c>
      <x:c r="J351" s="7" t="n">
        <x:v>0</x:v>
      </x:c>
      <x:c r="K351" s="7" t="str">
        <x:v>SKILL_COOLDOWN_DOWN</x:v>
      </x:c>
      <x:c r="L351" s="7" t="n">
        <x:v>1</x:v>
      </x:c>
      <x:c r="M351" s="8" t="n">
        <x:v>0.7</x:v>
      </x:c>
      <x:c r="N351" s="7" t="str">
        <x:v>HIT_CHANCE_UP</x:v>
      </x:c>
      <x:c r="O351" s="7" t="n">
        <x:v>0.13</x:v>
      </x:c>
      <x:c r="P351" s="8" t="n">
        <x:v>0.7</x:v>
      </x:c>
      <x:c r="Q351" s="7" t="str">
        <x:v>EVASION_UP</x:v>
      </x:c>
      <x:c r="R351" s="7" t="n">
        <x:v>0.13</x:v>
      </x:c>
      <x:c r="S351" s="8" t="n">
        <x:v>0.7</x:v>
      </x:c>
      <x:c r="T351" s="7" t="str">
        <x:v>IMMUNITY</x:v>
      </x:c>
      <x:c r="U351" s="7" t="n">
        <x:v>1</x:v>
      </x:c>
      <x:c r="V351" s="8" t="n">
        <x:v>0.7</x:v>
      </x:c>
      <x:c r="W351" s="7" t="n">
        <x:v>2</x:v>
      </x:c>
      <x:c r="X351" s="7" t="str">
        <x:v>대상: 아군. 70%확률로 스킬 쿨타임 감소 1턴 적용합니다. 70%확률로 명중 증가 13% 적용합니다. 70%확률로 회피 증가 13% 적용합니다. 70%확률로 면역 적용합니다.</x:v>
      </x:c>
      <x:c r="Y351" s="7" t="str">
        <x:v>Target: one ally. 70% chance to apply Skill Cooldown Reduction 1 turn. 70% chance to apply Hit Chance Up 13%. 70% chance to apply Evasion Up 13%. 70% chance to apply Immunity.</x:v>
      </x:c>
      <x:c r="Z351" s="7" t="str">
        <x:v>버프</x:v>
      </x:c>
    </x:row>
    <x:row r="352" ht="115" customHeight="1">
      <x:c r="A352" s="7" t="str">
        <x:v>SKILL_0346</x:v>
      </x:c>
      <x:c r="B352" s="7" t="str">
        <x:v>은신 · 면역 · 지속 회복 · 반격의 의식</x:v>
      </x:c>
      <x:c r="C352" s="7"/>
      <x:c r="D352" s="7" t="str">
        <x:v>자신</x:v>
      </x:c>
      <x:c r="E352" s="7" t="n">
        <x:v>0</x:v>
      </x:c>
      <x:c r="F352" s="7" t="n">
        <x:v>0</x:v>
      </x:c>
      <x:c r="G352" s="7" t="n">
        <x:v>0</x:v>
      </x:c>
      <x:c r="H352" s="7" t="n">
        <x:v>0</x:v>
      </x:c>
      <x:c r="I352" s="7" t="n">
        <x:v>0</x:v>
      </x:c>
      <x:c r="J352" s="7" t="n">
        <x:v>0</x:v>
      </x:c>
      <x:c r="K352" s="7" t="str">
        <x:v>STEALTH</x:v>
      </x:c>
      <x:c r="L352" s="7" t="n">
        <x:v>1</x:v>
      </x:c>
      <x:c r="M352" s="8" t="n">
        <x:v>0.7</x:v>
      </x:c>
      <x:c r="N352" s="7" t="str">
        <x:v>IMMUNITY</x:v>
      </x:c>
      <x:c r="O352" s="7" t="n">
        <x:v>1</x:v>
      </x:c>
      <x:c r="P352" s="8" t="n">
        <x:v>0.7</x:v>
      </x:c>
      <x:c r="Q352" s="7" t="str">
        <x:v>CONTINUOUS_HEAL</x:v>
      </x:c>
      <x:c r="R352" s="7" t="n">
        <x:v>0.046</x:v>
      </x:c>
      <x:c r="S352" s="8" t="n">
        <x:v>0.7</x:v>
      </x:c>
      <x:c r="T352" s="7" t="str">
        <x:v>COUNTERATTACK</x:v>
      </x:c>
      <x:c r="U352" s="7" t="n">
        <x:v>0.26</x:v>
      </x:c>
      <x:c r="V352" s="8" t="n">
        <x:v>0.7</x:v>
      </x:c>
      <x:c r="W352" s="7" t="n">
        <x:v>2</x:v>
      </x:c>
      <x:c r="X352" s="7" t="str">
        <x:v>대상: 자신. 70%확률로 은신 획득합니다. 70%확률로 면역 획득합니다. 70%확률로 지속 회복을 부여합니다(2턴, 대상의 턴 시작마다 대상 최대생명력의 4.6% 회복). 70%확률로 반격 26% 획득합니다.</x:v>
      </x:c>
      <x:c r="Y352" s="7" t="str">
        <x:v>Target: the caster. 70% chance to gain Stealth. 70% chance to gain Immunity. 70% chance to grant Continuous Heal for 2 turns, restoring 4.6% of the recipient's max Health at each turn start. 70% chance to gain Counterattack 26%.</x:v>
      </x:c>
      <x:c r="Z352" s="7" t="str">
        <x:v>공격|회복|버프</x:v>
      </x:c>
    </x:row>
    <x:row r="353" ht="115" customHeight="1">
      <x:c r="A353" s="7" t="str">
        <x:v>SKILL_0347</x:v>
      </x:c>
      <x:c r="B353" s="7" t="str">
        <x:v>효과적중 증가 · 효과저항 증가의 의식</x:v>
      </x:c>
      <x:c r="C353" s="7"/>
      <x:c r="D353" s="7" t="str">
        <x:v>아군전체</x:v>
      </x:c>
      <x:c r="E353" s="7" t="n">
        <x:v>0</x:v>
      </x:c>
      <x:c r="F353" s="7" t="n">
        <x:v>0</x:v>
      </x:c>
      <x:c r="G353" s="7" t="n">
        <x:v>0</x:v>
      </x:c>
      <x:c r="H353" s="7" t="n">
        <x:v>0</x:v>
      </x:c>
      <x:c r="I353" s="7" t="n">
        <x:v>0</x:v>
      </x:c>
      <x:c r="J353" s="7" t="n">
        <x:v>0</x:v>
      </x:c>
      <x:c r="K353" s="7" t="str">
        <x:v>EFFECTIVENESS_UP</x:v>
      </x:c>
      <x:c r="L353" s="7" t="n">
        <x:v>0.25</x:v>
      </x:c>
      <x:c r="M353" s="8" t="n">
        <x:v>0.9</x:v>
      </x:c>
      <x:c r="N353" s="7" t="str">
        <x:v>EFFECT_RESISTANCE_UP</x:v>
      </x:c>
      <x:c r="O353" s="7" t="n">
        <x:v>0.25</x:v>
      </x:c>
      <x:c r="P353" s="8" t="n">
        <x:v>0.9</x:v>
      </x:c>
      <x:c r="Q353" s="7"/>
      <x:c r="R353" s="7"/>
      <x:c r="S353" s="8"/>
      <x:c r="T353" s="7"/>
      <x:c r="U353" s="7"/>
      <x:c r="V353" s="8"/>
      <x:c r="W353" s="7" t="n">
        <x:v>2</x:v>
      </x:c>
      <x:c r="X353" s="7" t="str">
        <x:v>대상: 아군전체. 90%확률로 효과적중 증가 25% 적용합니다. 90%확률로 효과저항 증가 25% 적용합니다.</x:v>
      </x:c>
      <x:c r="Y353" s="7" t="str">
        <x:v>Target: all allies. 90% chance to apply Effectiveness Up 25%. 90% chance to apply Effect Resistance Up 25%.</x:v>
      </x:c>
      <x:c r="Z353" s="7" t="str">
        <x:v>버프</x:v>
      </x:c>
    </x:row>
    <x:row r="354" ht="115" customHeight="1">
      <x:c r="A354" s="7" t="str">
        <x:v>SKILL_0348</x:v>
      </x:c>
      <x:c r="B354" s="7" t="str">
        <x:v>회피 증가 · 무적 · 스킬 쿨타임 초기화의 의식</x:v>
      </x:c>
      <x:c r="C354" s="7"/>
      <x:c r="D354" s="7" t="str">
        <x:v>아군</x:v>
      </x:c>
      <x:c r="E354" s="7" t="n">
        <x:v>0</x:v>
      </x:c>
      <x:c r="F354" s="7" t="n">
        <x:v>0</x:v>
      </x:c>
      <x:c r="G354" s="7" t="n">
        <x:v>0</x:v>
      </x:c>
      <x:c r="H354" s="7" t="n">
        <x:v>0</x:v>
      </x:c>
      <x:c r="I354" s="7" t="n">
        <x:v>0</x:v>
      </x:c>
      <x:c r="J354" s="7" t="n">
        <x:v>0</x:v>
      </x:c>
      <x:c r="K354" s="7" t="str">
        <x:v>EVASION_UP</x:v>
      </x:c>
      <x:c r="L354" s="7" t="n">
        <x:v>0.16</x:v>
      </x:c>
      <x:c r="M354" s="8" t="n">
        <x:v>0.7</x:v>
      </x:c>
      <x:c r="N354" s="7" t="str">
        <x:v>INVINCIBILITY</x:v>
      </x:c>
      <x:c r="O354" s="7" t="n">
        <x:v>1</x:v>
      </x:c>
      <x:c r="P354" s="8" t="n">
        <x:v>0.7</x:v>
      </x:c>
      <x:c r="Q354" s="7" t="str">
        <x:v>SKILL_COOLDOWN_RESET</x:v>
      </x:c>
      <x:c r="R354" s="7" t="n">
        <x:v>1</x:v>
      </x:c>
      <x:c r="S354" s="8" t="n">
        <x:v>0.7</x:v>
      </x:c>
      <x:c r="T354" s="7"/>
      <x:c r="U354" s="7"/>
      <x:c r="V354" s="8"/>
      <x:c r="W354" s="7" t="n">
        <x:v>5</x:v>
      </x:c>
      <x:c r="X354" s="7" t="str">
        <x:v>대상: 아군. 70%확률로 회피 증가 16% 적용합니다. 70%확률로 무적 적용합니다. 70%확률로 스킬 쿨타임 초기화 1개 적용합니다.</x:v>
      </x:c>
      <x:c r="Y354" s="7" t="str">
        <x:v>Target: one ally. 70% chance to apply Evasion Up 16%. 70% chance to apply Invincibility. 70% chance to apply Skill Cooldown Reset 1 count.</x:v>
      </x:c>
      <x:c r="Z354" s="7" t="str">
        <x:v>버프</x:v>
      </x:c>
    </x:row>
    <x:row r="355" ht="115" customHeight="1">
      <x:c r="A355" s="7" t="str">
        <x:v>SKILL_0349</x:v>
      </x:c>
      <x:c r="B355" s="7" t="str">
        <x:v>공격력 증가 · 피해 반사 · 보호막 · 강화효과 지속시간 증가의 의식</x:v>
      </x:c>
      <x:c r="C355" s="7"/>
      <x:c r="D355" s="7" t="str">
        <x:v>아군</x:v>
      </x:c>
      <x:c r="E355" s="7" t="n">
        <x:v>0</x:v>
      </x:c>
      <x:c r="F355" s="7" t="n">
        <x:v>0</x:v>
      </x:c>
      <x:c r="G355" s="7" t="n">
        <x:v>0</x:v>
      </x:c>
      <x:c r="H355" s="7" t="n">
        <x:v>0</x:v>
      </x:c>
      <x:c r="I355" s="7" t="n">
        <x:v>0</x:v>
      </x:c>
      <x:c r="J355" s="7" t="n">
        <x:v>0</x:v>
      </x:c>
      <x:c r="K355" s="7" t="str">
        <x:v>ATTACK_UP</x:v>
      </x:c>
      <x:c r="L355" s="7" t="n">
        <x:v>0.195</x:v>
      </x:c>
      <x:c r="M355" s="8" t="n">
        <x:v>0.7</x:v>
      </x:c>
      <x:c r="N355" s="7" t="str">
        <x:v>DAMAGE_REFLECTION</x:v>
      </x:c>
      <x:c r="O355" s="7" t="n">
        <x:v>0.13</x:v>
      </x:c>
      <x:c r="P355" s="8" t="n">
        <x:v>0.7</x:v>
      </x:c>
      <x:c r="Q355" s="7" t="str">
        <x:v>BARRIER</x:v>
      </x:c>
      <x:c r="R355" s="7" t="n">
        <x:v>0.098</x:v>
      </x:c>
      <x:c r="S355" s="8" t="n">
        <x:v>0.7</x:v>
      </x:c>
      <x:c r="T355" s="7" t="str">
        <x:v>BUFF_DURATION_UP</x:v>
      </x:c>
      <x:c r="U355" s="7" t="n">
        <x:v>1</x:v>
      </x:c>
      <x:c r="V355" s="8" t="n">
        <x:v>0.7</x:v>
      </x:c>
      <x:c r="W355" s="7" t="n">
        <x:v>1</x:v>
      </x:c>
      <x:c r="X355" s="7" t="str">
        <x:v>대상: 아군. 70%확률로 공격력 증가 19.5% 적용합니다. 70%확률로 피해 반사 13% 적용합니다. 70%확률로 보호막 9.8% 적용합니다. 70%확률로 강화효과 지속시간 증가 1턴 적용합니다.</x:v>
      </x:c>
      <x:c r="Y355" s="7" t="str">
        <x:v>Target: one ally. 70% chance to apply Attack Up 19.5%. 70% chance to apply Damage Reflection 13%. 70% chance to apply Barrier 9.8%. 70% chance to apply Buff Duration Extension 1 turn.</x:v>
      </x:c>
      <x:c r="Z355" s="7" t="str">
        <x:v>공격|버프</x:v>
      </x:c>
    </x:row>
    <x:row r="356" ht="115" customHeight="1">
      <x:c r="A356" s="7" t="str">
        <x:v>SKILL_0350</x:v>
      </x:c>
      <x:c r="B356" s="7" t="str">
        <x:v>생명력 회복 · 반격 · 무적의 의식</x:v>
      </x:c>
      <x:c r="C356" s="7"/>
      <x:c r="D356" s="7" t="str">
        <x:v>자신</x:v>
      </x:c>
      <x:c r="E356" s="7" t="n">
        <x:v>0</x:v>
      </x:c>
      <x:c r="F356" s="7" t="n">
        <x:v>0</x:v>
      </x:c>
      <x:c r="G356" s="7" t="n">
        <x:v>0</x:v>
      </x:c>
      <x:c r="H356" s="7" t="n">
        <x:v>0</x:v>
      </x:c>
      <x:c r="I356" s="7" t="n">
        <x:v>0.25</x:v>
      </x:c>
      <x:c r="J356" s="7" t="n">
        <x:v>0</x:v>
      </x:c>
      <x:c r="K356" s="7" t="str">
        <x:v>HEAL</x:v>
      </x:c>
      <x:c r="L356" s="7" t="n">
        <x:v>1</x:v>
      </x:c>
      <x:c r="M356" s="8" t="n">
        <x:v>1</x:v>
      </x:c>
      <x:c r="N356" s="7" t="str">
        <x:v>COUNTERATTACK</x:v>
      </x:c>
      <x:c r="O356" s="7" t="n">
        <x:v>0.32</x:v>
      </x:c>
      <x:c r="P356" s="8" t="n">
        <x:v>0.8</x:v>
      </x:c>
      <x:c r="Q356" s="7" t="str">
        <x:v>INVINCIBILITY</x:v>
      </x:c>
      <x:c r="R356" s="7" t="n">
        <x:v>1</x:v>
      </x:c>
      <x:c r="S356" s="8" t="n">
        <x:v>0.8</x:v>
      </x:c>
      <x:c r="T356" s="7"/>
      <x:c r="U356" s="7"/>
      <x:c r="V356" s="8"/>
      <x:c r="W356" s="7" t="n">
        <x:v>3</x:v>
      </x:c>
      <x:c r="X356" s="7" t="str">
        <x:v>대상: 자신. 자신을 시전자의 공격력의 0.25배만큼 회복시킵니다. 80%확률로 반격 32% 획득합니다. 80%확률로 무적 획득합니다.</x:v>
      </x:c>
      <x:c r="Y356" s="7" t="str">
        <x:v>Target: the caster. Heals the caster for 0.25 × caster Attack. 80% chance to gain Counterattack 32%. 80% chance to gain Invincibility.</x:v>
      </x:c>
      <x:c r="Z356" s="7" t="str">
        <x:v>공격|회복|버프</x:v>
      </x:c>
    </x:row>
    <x:row r="357" ht="115" customHeight="1">
      <x:c r="A357" s="7" t="str">
        <x:v>SKILL_0351</x:v>
      </x:c>
      <x:c r="B357" s="7" t="str">
        <x:v>속도 증가 · 피해 감소 · 치명저항 증가의 의식</x:v>
      </x:c>
      <x:c r="C357" s="7"/>
      <x:c r="D357" s="7" t="str">
        <x:v>아군전체</x:v>
      </x:c>
      <x:c r="E357" s="7" t="n">
        <x:v>0</x:v>
      </x:c>
      <x:c r="F357" s="7" t="n">
        <x:v>0</x:v>
      </x:c>
      <x:c r="G357" s="7" t="n">
        <x:v>0</x:v>
      </x:c>
      <x:c r="H357" s="7" t="n">
        <x:v>0</x:v>
      </x:c>
      <x:c r="I357" s="7" t="n">
        <x:v>0</x:v>
      </x:c>
      <x:c r="J357" s="7" t="n">
        <x:v>0</x:v>
      </x:c>
      <x:c r="K357" s="7" t="str">
        <x:v>SPEED_UP</x:v>
      </x:c>
      <x:c r="L357" s="7" t="n">
        <x:v>0.16</x:v>
      </x:c>
      <x:c r="M357" s="8" t="n">
        <x:v>0.8</x:v>
      </x:c>
      <x:c r="N357" s="7" t="str">
        <x:v>DAMAGE_REDUCTION</x:v>
      </x:c>
      <x:c r="O357" s="7" t="n">
        <x:v>0.16</x:v>
      </x:c>
      <x:c r="P357" s="8" t="n">
        <x:v>0.8</x:v>
      </x:c>
      <x:c r="Q357" s="7" t="str">
        <x:v>CRITICAL_RESISTANCE_UP</x:v>
      </x:c>
      <x:c r="R357" s="7" t="n">
        <x:v>0.2</x:v>
      </x:c>
      <x:c r="S357" s="8" t="n">
        <x:v>0.8</x:v>
      </x:c>
      <x:c r="T357" s="7"/>
      <x:c r="U357" s="7"/>
      <x:c r="V357" s="8"/>
      <x:c r="W357" s="7" t="n">
        <x:v>3</x:v>
      </x:c>
      <x:c r="X357" s="7" t="str">
        <x:v>대상: 아군전체. 80%확률로 속도 증가 16% 적용합니다. 80%확률로 피해 감소 16% 적용합니다. 80%확률로 치명저항 증가 20% 적용합니다.</x:v>
      </x:c>
      <x:c r="Y357" s="7" t="str">
        <x:v>Target: all allies. 80% chance to apply Speed Up 16%. 80% chance to apply Damage Reduction 16%. 80% chance to apply Critical Hit Resistance Up 20%.</x:v>
      </x:c>
      <x:c r="Z357" s="7" t="str">
        <x:v>버프</x:v>
      </x:c>
    </x:row>
    <x:row r="358" ht="115" customHeight="1">
      <x:c r="A358" s="7" t="str">
        <x:v>SKILL_0352</x:v>
      </x:c>
      <x:c r="B358" s="7" t="str">
        <x:v>속도 증가 · 보호막 · 추가 턴의 의식</x:v>
      </x:c>
      <x:c r="C358" s="7"/>
      <x:c r="D358" s="7" t="str">
        <x:v>자신</x:v>
      </x:c>
      <x:c r="E358" s="7" t="n">
        <x:v>0</x:v>
      </x:c>
      <x:c r="F358" s="7" t="n">
        <x:v>0</x:v>
      </x:c>
      <x:c r="G358" s="7" t="n">
        <x:v>0</x:v>
      </x:c>
      <x:c r="H358" s="7" t="n">
        <x:v>0</x:v>
      </x:c>
      <x:c r="I358" s="7" t="n">
        <x:v>0</x:v>
      </x:c>
      <x:c r="J358" s="7" t="n">
        <x:v>0</x:v>
      </x:c>
      <x:c r="K358" s="7" t="str">
        <x:v>SPEED_UP</x:v>
      </x:c>
      <x:c r="L358" s="7" t="n">
        <x:v>0.128</x:v>
      </x:c>
      <x:c r="M358" s="8" t="n">
        <x:v>1</x:v>
      </x:c>
      <x:c r="N358" s="7" t="str">
        <x:v>BARRIER</x:v>
      </x:c>
      <x:c r="O358" s="7" t="n">
        <x:v>0.12</x:v>
      </x:c>
      <x:c r="P358" s="8" t="n">
        <x:v>0.8</x:v>
      </x:c>
      <x:c r="Q358" s="7" t="str">
        <x:v>EXTRA_TURN</x:v>
      </x:c>
      <x:c r="R358" s="7" t="n">
        <x:v>1</x:v>
      </x:c>
      <x:c r="S358" s="8" t="n">
        <x:v>1</x:v>
      </x:c>
      <x:c r="T358" s="7"/>
      <x:c r="U358" s="7"/>
      <x:c r="V358" s="8"/>
      <x:c r="W358" s="7" t="n">
        <x:v>5</x:v>
      </x:c>
      <x:c r="X358" s="7" t="str">
        <x:v>대상: 자신. 100%확률로 속도 증가 12.8% 획득합니다. 80%확률로 보호막 12% 획득합니다. 100%확률로 추가 턴 1턴 획득합니다.</x:v>
      </x:c>
      <x:c r="Y358" s="7" t="str">
        <x:v>Target: the caster. 100% chance to gain Speed Up 12.8%. 80% chance to gain Barrier 12%. 100% chance to gain Extra Turn 1 turn.</x:v>
      </x:c>
      <x:c r="Z358" s="7" t="str">
        <x:v>버프</x:v>
      </x:c>
    </x:row>
    <x:row r="359" ht="115" customHeight="1">
      <x:c r="A359" s="7" t="str">
        <x:v>SKILL_0353</x:v>
      </x:c>
      <x:c r="B359" s="7" t="str">
        <x:v>공격력 증가 · 강화효과 지속시간 증가 · 피해 분담 · 효과저항 증가의 의식</x:v>
      </x:c>
      <x:c r="C359" s="7"/>
      <x:c r="D359" s="7" t="str">
        <x:v>자신</x:v>
      </x:c>
      <x:c r="E359" s="7" t="n">
        <x:v>0</x:v>
      </x:c>
      <x:c r="F359" s="7" t="n">
        <x:v>0</x:v>
      </x:c>
      <x:c r="G359" s="7" t="n">
        <x:v>0</x:v>
      </x:c>
      <x:c r="H359" s="7" t="n">
        <x:v>0</x:v>
      </x:c>
      <x:c r="I359" s="7" t="n">
        <x:v>0</x:v>
      </x:c>
      <x:c r="J359" s="7" t="n">
        <x:v>0</x:v>
      </x:c>
      <x:c r="K359" s="7" t="str">
        <x:v>ATTACK_UP</x:v>
      </x:c>
      <x:c r="L359" s="7" t="n">
        <x:v>0.195</x:v>
      </x:c>
      <x:c r="M359" s="8" t="n">
        <x:v>0.7</x:v>
      </x:c>
      <x:c r="N359" s="7" t="str">
        <x:v>BUFF_DURATION_UP</x:v>
      </x:c>
      <x:c r="O359" s="7" t="n">
        <x:v>1</x:v>
      </x:c>
      <x:c r="P359" s="8" t="n">
        <x:v>0.7</x:v>
      </x:c>
      <x:c r="Q359" s="7" t="str">
        <x:v>DAMAGE_SHARING</x:v>
      </x:c>
      <x:c r="R359" s="7" t="n">
        <x:v>0.13</x:v>
      </x:c>
      <x:c r="S359" s="8" t="n">
        <x:v>0.7</x:v>
      </x:c>
      <x:c r="T359" s="7" t="str">
        <x:v>EFFECT_RESISTANCE_UP</x:v>
      </x:c>
      <x:c r="U359" s="7" t="n">
        <x:v>0.163</x:v>
      </x:c>
      <x:c r="V359" s="8" t="n">
        <x:v>0.7</x:v>
      </x:c>
      <x:c r="W359" s="7" t="n">
        <x:v>1</x:v>
      </x:c>
      <x:c r="X359" s="7" t="str">
        <x:v>대상: 자신. 70%확률로 공격력 증가 19.5% 획득합니다. 70%확률로 강화효과 지속시간 증가 1턴 획득합니다. 70%확률로 피해 분담 13% 획득합니다. 70%확률로 효과저항 증가 16.3% 획득합니다.</x:v>
      </x:c>
      <x:c r="Y359" s="7" t="str">
        <x:v>Target: the caster. 70% chance to gain Attack Up 19.5%. 70% chance to gain Buff Duration Extension 1 turn. 70% chance to gain Damage Sharing 13%. 70% chance to gain Effect Resistance Up 16.3%.</x:v>
      </x:c>
      <x:c r="Z359" s="7" t="str">
        <x:v>버프</x:v>
      </x:c>
    </x:row>
    <x:row r="360" ht="115" customHeight="1">
      <x:c r="A360" s="7" t="str">
        <x:v>SKILL_0354</x:v>
      </x:c>
      <x:c r="B360" s="7" t="str">
        <x:v>지속 회복 · 속도 증가의 의식</x:v>
      </x:c>
      <x:c r="C360" s="7"/>
      <x:c r="D360" s="7" t="str">
        <x:v>자신</x:v>
      </x:c>
      <x:c r="E360" s="7" t="n">
        <x:v>0</x:v>
      </x:c>
      <x:c r="F360" s="7" t="n">
        <x:v>0</x:v>
      </x:c>
      <x:c r="G360" s="7" t="n">
        <x:v>0</x:v>
      </x:c>
      <x:c r="H360" s="7" t="n">
        <x:v>0</x:v>
      </x:c>
      <x:c r="I360" s="7" t="n">
        <x:v>0</x:v>
      </x:c>
      <x:c r="J360" s="7" t="n">
        <x:v>0</x:v>
      </x:c>
      <x:c r="K360" s="7" t="str">
        <x:v>CONTINUOUS_HEAL</x:v>
      </x:c>
      <x:c r="L360" s="7" t="n">
        <x:v>0.07</x:v>
      </x:c>
      <x:c r="M360" s="8" t="n">
        <x:v>0.9</x:v>
      </x:c>
      <x:c r="N360" s="7" t="str">
        <x:v>SPEED_UP</x:v>
      </x:c>
      <x:c r="O360" s="7" t="n">
        <x:v>0.2</x:v>
      </x:c>
      <x:c r="P360" s="8" t="n">
        <x:v>0.9</x:v>
      </x:c>
      <x:c r="Q360" s="7"/>
      <x:c r="R360" s="7"/>
      <x:c r="S360" s="8"/>
      <x:c r="T360" s="7"/>
      <x:c r="U360" s="7"/>
      <x:c r="V360" s="8"/>
      <x:c r="W360" s="7" t="n">
        <x:v>1</x:v>
      </x:c>
      <x:c r="X360" s="7" t="str">
        <x:v>대상: 자신. 90%확률로 지속 회복을 부여합니다(2턴, 대상의 턴 시작마다 대상 최대생명력의 7% 회복). 90%확률로 속도 증가 20% 획득합니다.</x:v>
      </x:c>
      <x:c r="Y360" s="7" t="str">
        <x:v>Target: the caster. 90% chance to grant Continuous Heal for 2 turns, restoring 7% of the recipient's max Health at each turn start. 90% chance to gain Speed Up 20%.</x:v>
      </x:c>
      <x:c r="Z360" s="7" t="str">
        <x:v>회복|버프</x:v>
      </x:c>
    </x:row>
    <x:row r="361" ht="115" customHeight="1">
      <x:c r="A361" s="7" t="str">
        <x:v>SKILL_0355</x:v>
      </x:c>
      <x:c r="B361" s="7" t="str">
        <x:v>치명확률 증가 · 명중 증가 · 피해 반사 · 면역의 의식</x:v>
      </x:c>
      <x:c r="C361" s="7"/>
      <x:c r="D361" s="7" t="str">
        <x:v>아군전체</x:v>
      </x:c>
      <x:c r="E361" s="7" t="n">
        <x:v>0</x:v>
      </x:c>
      <x:c r="F361" s="7" t="n">
        <x:v>0</x:v>
      </x:c>
      <x:c r="G361" s="7" t="n">
        <x:v>0</x:v>
      </x:c>
      <x:c r="H361" s="7" t="n">
        <x:v>0</x:v>
      </x:c>
      <x:c r="I361" s="7" t="n">
        <x:v>0</x:v>
      </x:c>
      <x:c r="J361" s="7" t="n">
        <x:v>0</x:v>
      </x:c>
      <x:c r="K361" s="7" t="str">
        <x:v>CRITICAL_CHANCE_UP</x:v>
      </x:c>
      <x:c r="L361" s="7" t="n">
        <x:v>0.13</x:v>
      </x:c>
      <x:c r="M361" s="8" t="n">
        <x:v>0.7</x:v>
      </x:c>
      <x:c r="N361" s="7" t="str">
        <x:v>HIT_CHANCE_UP</x:v>
      </x:c>
      <x:c r="O361" s="7" t="n">
        <x:v>0.13</x:v>
      </x:c>
      <x:c r="P361" s="8" t="n">
        <x:v>0.7</x:v>
      </x:c>
      <x:c r="Q361" s="7" t="str">
        <x:v>DAMAGE_REFLECTION</x:v>
      </x:c>
      <x:c r="R361" s="7" t="n">
        <x:v>0.13</x:v>
      </x:c>
      <x:c r="S361" s="8" t="n">
        <x:v>0.7</x:v>
      </x:c>
      <x:c r="T361" s="7" t="str">
        <x:v>IMMUNITY</x:v>
      </x:c>
      <x:c r="U361" s="7" t="n">
        <x:v>1</x:v>
      </x:c>
      <x:c r="V361" s="8" t="n">
        <x:v>0.7</x:v>
      </x:c>
      <x:c r="W361" s="7" t="n">
        <x:v>4</x:v>
      </x:c>
      <x:c r="X361" s="7" t="str">
        <x:v>대상: 아군전체. 70%확률로 치명확률 증가 13% 적용합니다. 70%확률로 명중 증가 13% 적용합니다. 70%확률로 피해 반사 13% 적용합니다. 70%확률로 면역 적용합니다.</x:v>
      </x:c>
      <x:c r="Y361" s="7" t="str">
        <x:v>Target: all allies. 70% chance to apply Critical Hit Chance Up 13%. 70% chance to apply Hit Chance Up 13%. 70% chance to apply Damage Reflection 13%. 70% chance to apply Immunity.</x:v>
      </x:c>
      <x:c r="Z361" s="7" t="str">
        <x:v>공격|버프</x:v>
      </x:c>
    </x:row>
    <x:row r="362" ht="115" customHeight="1">
      <x:c r="A362" s="7" t="str">
        <x:v>SKILL_0356</x:v>
      </x:c>
      <x:c r="B362" s="7" t="str">
        <x:v>은신 · 부활의 의식</x:v>
      </x:c>
      <x:c r="C362" s="7"/>
      <x:c r="D362" s="7" t="str">
        <x:v>아군</x:v>
      </x:c>
      <x:c r="E362" s="7" t="n">
        <x:v>0</x:v>
      </x:c>
      <x:c r="F362" s="7" t="n">
        <x:v>0</x:v>
      </x:c>
      <x:c r="G362" s="7" t="n">
        <x:v>0</x:v>
      </x:c>
      <x:c r="H362" s="7" t="n">
        <x:v>0</x:v>
      </x:c>
      <x:c r="I362" s="7" t="n">
        <x:v>0</x:v>
      </x:c>
      <x:c r="J362" s="7" t="n">
        <x:v>0</x:v>
      </x:c>
      <x:c r="K362" s="7" t="str">
        <x:v>STEALTH</x:v>
      </x:c>
      <x:c r="L362" s="7" t="n">
        <x:v>1</x:v>
      </x:c>
      <x:c r="M362" s="8" t="n">
        <x:v>0.9</x:v>
      </x:c>
      <x:c r="N362" s="7" t="str">
        <x:v>REVIVE</x:v>
      </x:c>
      <x:c r="O362" s="7" t="n">
        <x:v>1</x:v>
      </x:c>
      <x:c r="P362" s="8" t="n">
        <x:v>1</x:v>
      </x:c>
      <x:c r="Q362" s="7"/>
      <x:c r="R362" s="7"/>
      <x:c r="S362" s="8"/>
      <x:c r="T362" s="7"/>
      <x:c r="U362" s="7"/>
      <x:c r="V362" s="8"/>
      <x:c r="W362" s="7" t="n">
        <x:v>5</x:v>
      </x:c>
      <x:c r="X362" s="7" t="str">
        <x:v>대상: 사망한 아군. 90%확률로 은신 적용합니다. 100%확률로 부활 100% 적용합니다.</x:v>
      </x:c>
      <x:c r="Y362" s="7" t="str">
        <x:v>Target: one dead ally. 90% chance to apply Stealth. 100% chance to apply Revive 100%.</x:v>
      </x:c>
      <x:c r="Z362" s="7" t="str">
        <x:v>회복|버프</x:v>
      </x:c>
    </x:row>
    <x:row r="363" ht="115" customHeight="1">
      <x:c r="A363" s="7" t="str">
        <x:v>SKILL_0357</x:v>
      </x:c>
      <x:c r="B363" s="7" t="str">
        <x:v>피해 반사 · 생명력 회복의 의식</x:v>
      </x:c>
      <x:c r="C363" s="7"/>
      <x:c r="D363" s="7" t="str">
        <x:v>아군</x:v>
      </x:c>
      <x:c r="E363" s="7" t="n">
        <x:v>0</x:v>
      </x:c>
      <x:c r="F363" s="7" t="n">
        <x:v>0</x:v>
      </x:c>
      <x:c r="G363" s="7" t="n">
        <x:v>0</x:v>
      </x:c>
      <x:c r="H363" s="7" t="n">
        <x:v>0</x:v>
      </x:c>
      <x:c r="I363" s="7" t="n">
        <x:v>0</x:v>
      </x:c>
      <x:c r="J363" s="7" t="n">
        <x:v>0.35</x:v>
      </x:c>
      <x:c r="K363" s="7" t="str">
        <x:v>DAMAGE_REFLECTION</x:v>
      </x:c>
      <x:c r="L363" s="7" t="n">
        <x:v>0.2</x:v>
      </x:c>
      <x:c r="M363" s="8" t="n">
        <x:v>0.9</x:v>
      </x:c>
      <x:c r="N363" s="7" t="str">
        <x:v>HEAL</x:v>
      </x:c>
      <x:c r="O363" s="7" t="n">
        <x:v>1</x:v>
      </x:c>
      <x:c r="P363" s="8" t="n">
        <x:v>1</x:v>
      </x:c>
      <x:c r="Q363" s="7"/>
      <x:c r="R363" s="7"/>
      <x:c r="S363" s="8"/>
      <x:c r="T363" s="7"/>
      <x:c r="U363" s="7"/>
      <x:c r="V363" s="8"/>
      <x:c r="W363" s="7" t="n">
        <x:v>1</x:v>
      </x:c>
      <x:c r="X363" s="7" t="str">
        <x:v>대상: 아군. 아군을 시전자의 최대생명력의 0.35배만큼 회복시킵니다. 90%확률로 피해 반사 20% 적용합니다.</x:v>
      </x:c>
      <x:c r="Y363" s="7" t="str">
        <x:v>Target: one ally. Heals one ally for 0.35 × caster max Health. 90% chance to apply Damage Reflection 20%.</x:v>
      </x:c>
      <x:c r="Z363" s="7" t="str">
        <x:v>공격|회복|버프</x:v>
      </x:c>
    </x:row>
    <x:row r="364" ht="115" customHeight="1">
      <x:c r="A364" s="7" t="str">
        <x:v>SKILL_0358</x:v>
      </x:c>
      <x:c r="B364" s="7" t="str">
        <x:v>은신 · 면역 · 피해 감소 · 스킬 쿨타임 초기화의 의식</x:v>
      </x:c>
      <x:c r="C364" s="7"/>
      <x:c r="D364" s="7" t="str">
        <x:v>아군</x:v>
      </x:c>
      <x:c r="E364" s="7" t="n">
        <x:v>0</x:v>
      </x:c>
      <x:c r="F364" s="7" t="n">
        <x:v>0</x:v>
      </x:c>
      <x:c r="G364" s="7" t="n">
        <x:v>0</x:v>
      </x:c>
      <x:c r="H364" s="7" t="n">
        <x:v>0</x:v>
      </x:c>
      <x:c r="I364" s="7" t="n">
        <x:v>0</x:v>
      </x:c>
      <x:c r="J364" s="7" t="n">
        <x:v>0</x:v>
      </x:c>
      <x:c r="K364" s="7" t="str">
        <x:v>STEALTH</x:v>
      </x:c>
      <x:c r="L364" s="7" t="n">
        <x:v>1</x:v>
      </x:c>
      <x:c r="M364" s="8" t="n">
        <x:v>0.7</x:v>
      </x:c>
      <x:c r="N364" s="7" t="str">
        <x:v>IMMUNITY</x:v>
      </x:c>
      <x:c r="O364" s="7" t="n">
        <x:v>1</x:v>
      </x:c>
      <x:c r="P364" s="8" t="n">
        <x:v>0.7</x:v>
      </x:c>
      <x:c r="Q364" s="7" t="str">
        <x:v>DAMAGE_REDUCTION</x:v>
      </x:c>
      <x:c r="R364" s="7" t="n">
        <x:v>0.13</x:v>
      </x:c>
      <x:c r="S364" s="8" t="n">
        <x:v>0.7</x:v>
      </x:c>
      <x:c r="T364" s="7" t="str">
        <x:v>SKILL_COOLDOWN_RESET</x:v>
      </x:c>
      <x:c r="U364" s="7" t="n">
        <x:v>1</x:v>
      </x:c>
      <x:c r="V364" s="8" t="n">
        <x:v>0.7</x:v>
      </x:c>
      <x:c r="W364" s="7" t="n">
        <x:v>5</x:v>
      </x:c>
      <x:c r="X364" s="7" t="str">
        <x:v>대상: 아군. 70%확률로 은신 적용합니다. 70%확률로 면역 적용합니다. 70%확률로 피해 감소 13% 적용합니다. 70%확률로 스킬 쿨타임 초기화 1개 적용합니다.</x:v>
      </x:c>
      <x:c r="Y364" s="7" t="str">
        <x:v>Target: one ally. 70% chance to apply Stealth. 70% chance to apply Immunity. 70% chance to apply Damage Reduction 13%. 70% chance to apply Skill Cooldown Reset 1 count.</x:v>
      </x:c>
      <x:c r="Z364" s="7" t="str">
        <x:v>버프</x:v>
      </x:c>
    </x:row>
    <x:row r="365" ht="115" customHeight="1">
      <x:c r="A365" s="7" t="str">
        <x:v>SKILL_0359</x:v>
      </x:c>
      <x:c r="B365" s="7" t="str">
        <x:v>강화효과 지속시간 증가 · 반격의 의식</x:v>
      </x:c>
      <x:c r="C365" s="7"/>
      <x:c r="D365" s="7" t="str">
        <x:v>아군전체</x:v>
      </x:c>
      <x:c r="E365" s="7" t="n">
        <x:v>0</x:v>
      </x:c>
      <x:c r="F365" s="7" t="n">
        <x:v>0</x:v>
      </x:c>
      <x:c r="G365" s="7" t="n">
        <x:v>0</x:v>
      </x:c>
      <x:c r="H365" s="7" t="n">
        <x:v>0</x:v>
      </x:c>
      <x:c r="I365" s="7" t="n">
        <x:v>0</x:v>
      </x:c>
      <x:c r="J365" s="7" t="n">
        <x:v>0</x:v>
      </x:c>
      <x:c r="K365" s="7" t="str">
        <x:v>BUFF_DURATION_UP</x:v>
      </x:c>
      <x:c r="L365" s="7" t="n">
        <x:v>1</x:v>
      </x:c>
      <x:c r="M365" s="8" t="n">
        <x:v>0.9</x:v>
      </x:c>
      <x:c r="N365" s="7" t="str">
        <x:v>COUNTERATTACK</x:v>
      </x:c>
      <x:c r="O365" s="7" t="n">
        <x:v>0.4</x:v>
      </x:c>
      <x:c r="P365" s="8" t="n">
        <x:v>0.9</x:v>
      </x:c>
      <x:c r="Q365" s="7"/>
      <x:c r="R365" s="7"/>
      <x:c r="S365" s="8"/>
      <x:c r="T365" s="7"/>
      <x:c r="U365" s="7"/>
      <x:c r="V365" s="8"/>
      <x:c r="W365" s="7" t="n">
        <x:v>5</x:v>
      </x:c>
      <x:c r="X365" s="7" t="str">
        <x:v>대상: 아군전체. 90%확률로 강화효과 지속시간 증가 1턴 적용합니다. 90%확률로 반격 40% 적용합니다.</x:v>
      </x:c>
      <x:c r="Y365" s="7" t="str">
        <x:v>Target: all allies. 90% chance to apply Buff Duration Extension 1 turn. 90% chance to apply Counterattack 40%.</x:v>
      </x:c>
      <x:c r="Z365" s="7" t="str">
        <x:v>공격|버프</x:v>
      </x:c>
    </x:row>
    <x:row r="366" ht="115" customHeight="1">
      <x:c r="A366" s="7" t="str">
        <x:v>SKILL_0360</x:v>
      </x:c>
      <x:c r="B366" s="7" t="str">
        <x:v>속도 증가 · 생명력 회복의 의식</x:v>
      </x:c>
      <x:c r="C366" s="7"/>
      <x:c r="D366" s="7" t="str">
        <x:v>아군과 자신</x:v>
      </x:c>
      <x:c r="E366" s="7" t="n">
        <x:v>0</x:v>
      </x:c>
      <x:c r="F366" s="7" t="n">
        <x:v>0</x:v>
      </x:c>
      <x:c r="G366" s="7" t="n">
        <x:v>0</x:v>
      </x:c>
      <x:c r="H366" s="7" t="n">
        <x:v>0</x:v>
      </x:c>
      <x:c r="I366" s="7" t="n">
        <x:v>0.35</x:v>
      </x:c>
      <x:c r="J366" s="7" t="n">
        <x:v>0</x:v>
      </x:c>
      <x:c r="K366" s="7" t="str">
        <x:v>SPEED_UP</x:v>
      </x:c>
      <x:c r="L366" s="7" t="n">
        <x:v>0.2</x:v>
      </x:c>
      <x:c r="M366" s="8" t="n">
        <x:v>0.9</x:v>
      </x:c>
      <x:c r="N366" s="7" t="str">
        <x:v>HEAL</x:v>
      </x:c>
      <x:c r="O366" s="7" t="n">
        <x:v>1</x:v>
      </x:c>
      <x:c r="P366" s="8" t="n">
        <x:v>1</x:v>
      </x:c>
      <x:c r="Q366" s="7"/>
      <x:c r="R366" s="7"/>
      <x:c r="S366" s="8"/>
      <x:c r="T366" s="7"/>
      <x:c r="U366" s="7"/>
      <x:c r="V366" s="8"/>
      <x:c r="W366" s="7" t="n">
        <x:v>1</x:v>
      </x:c>
      <x:c r="X366" s="7" t="str">
        <x:v>대상: 아군과 자신. 아군과 자신을 시전자의 공격력의 0.35배만큼 회복시킵니다. 90%확률로 속도 증가 20% 적용합니다.</x:v>
      </x:c>
      <x:c r="Y366" s="7" t="str">
        <x:v>Target: one ally and the caster. Heals one ally and the caster for 0.35 × caster Attack. 90% chance to apply Speed Up 20%.</x:v>
      </x:c>
      <x:c r="Z366" s="7" t="str">
        <x:v>회복|버프</x:v>
      </x:c>
    </x:row>
    <x:row r="367" ht="115" customHeight="1">
      <x:c r="A367" s="7" t="str">
        <x:v>SKILL_0361</x:v>
      </x:c>
      <x:c r="B367" s="7" t="str">
        <x:v>방어력 증가 · 피해 분담 · 치명확률 증가의 의식</x:v>
      </x:c>
      <x:c r="C367" s="7"/>
      <x:c r="D367" s="7" t="str">
        <x:v>자신</x:v>
      </x:c>
      <x:c r="E367" s="7" t="n">
        <x:v>0</x:v>
      </x:c>
      <x:c r="F367" s="7" t="n">
        <x:v>0</x:v>
      </x:c>
      <x:c r="G367" s="7" t="n">
        <x:v>0</x:v>
      </x:c>
      <x:c r="H367" s="7" t="n">
        <x:v>0</x:v>
      </x:c>
      <x:c r="I367" s="7" t="n">
        <x:v>0</x:v>
      </x:c>
      <x:c r="J367" s="7" t="n">
        <x:v>0</x:v>
      </x:c>
      <x:c r="K367" s="7" t="str">
        <x:v>DEFENSE_UP</x:v>
      </x:c>
      <x:c r="L367" s="7" t="n">
        <x:v>0.28</x:v>
      </x:c>
      <x:c r="M367" s="8" t="n">
        <x:v>0.8</x:v>
      </x:c>
      <x:c r="N367" s="7" t="str">
        <x:v>DAMAGE_SHARING</x:v>
      </x:c>
      <x:c r="O367" s="7" t="n">
        <x:v>0.16</x:v>
      </x:c>
      <x:c r="P367" s="8" t="n">
        <x:v>0.8</x:v>
      </x:c>
      <x:c r="Q367" s="7" t="str">
        <x:v>CRITICAL_CHANCE_UP</x:v>
      </x:c>
      <x:c r="R367" s="7" t="n">
        <x:v>0.16</x:v>
      </x:c>
      <x:c r="S367" s="8" t="n">
        <x:v>0.8</x:v>
      </x:c>
      <x:c r="T367" s="7"/>
      <x:c r="U367" s="7"/>
      <x:c r="V367" s="8"/>
      <x:c r="W367" s="7" t="n">
        <x:v>1</x:v>
      </x:c>
      <x:c r="X367" s="7" t="str">
        <x:v>대상: 자신. 80%확률로 방어력 증가 28% 획득합니다. 80%확률로 피해 분담 16% 획득합니다. 80%확률로 치명확률 증가 16% 획득합니다.</x:v>
      </x:c>
      <x:c r="Y367" s="7" t="str">
        <x:v>Target: the caster. 80% chance to gain Defense Up 28%. 80% chance to gain Damage Sharing 16%. 80% chance to gain Critical Hit Chance Up 16%.</x:v>
      </x:c>
      <x:c r="Z367" s="7" t="str">
        <x:v>버프</x:v>
      </x:c>
    </x:row>
    <x:row r="368" ht="115" customHeight="1">
      <x:c r="A368" s="7" t="str">
        <x:v>SKILL_0362</x:v>
      </x:c>
      <x:c r="B368" s="7" t="str">
        <x:v>치명저항 증가 · 공격력 증가 · 회피 증가의 의식</x:v>
      </x:c>
      <x:c r="C368" s="7"/>
      <x:c r="D368" s="7" t="str">
        <x:v>자신</x:v>
      </x:c>
      <x:c r="E368" s="7" t="n">
        <x:v>0</x:v>
      </x:c>
      <x:c r="F368" s="7" t="n">
        <x:v>0</x:v>
      </x:c>
      <x:c r="G368" s="7" t="n">
        <x:v>0</x:v>
      </x:c>
      <x:c r="H368" s="7" t="n">
        <x:v>0</x:v>
      </x:c>
      <x:c r="I368" s="7" t="n">
        <x:v>0</x:v>
      </x:c>
      <x:c r="J368" s="7" t="n">
        <x:v>0</x:v>
      </x:c>
      <x:c r="K368" s="7" t="str">
        <x:v>CRITICAL_RESISTANCE_UP</x:v>
      </x:c>
      <x:c r="L368" s="7" t="n">
        <x:v>0.2</x:v>
      </x:c>
      <x:c r="M368" s="8" t="n">
        <x:v>0.8</x:v>
      </x:c>
      <x:c r="N368" s="7" t="str">
        <x:v>ATTACK_UP</x:v>
      </x:c>
      <x:c r="O368" s="7" t="n">
        <x:v>0.24</x:v>
      </x:c>
      <x:c r="P368" s="8" t="n">
        <x:v>0.8</x:v>
      </x:c>
      <x:c r="Q368" s="7" t="str">
        <x:v>EVASION_UP</x:v>
      </x:c>
      <x:c r="R368" s="7" t="n">
        <x:v>0.16</x:v>
      </x:c>
      <x:c r="S368" s="8" t="n">
        <x:v>0.8</x:v>
      </x:c>
      <x:c r="T368" s="7"/>
      <x:c r="U368" s="7"/>
      <x:c r="V368" s="8"/>
      <x:c r="W368" s="7" t="n">
        <x:v>1</x:v>
      </x:c>
      <x:c r="X368" s="7" t="str">
        <x:v>대상: 자신. 80%확률로 치명저항 증가 20% 획득합니다. 80%확률로 공격력 증가 24% 획득합니다. 80%확률로 회피 증가 16% 획득합니다.</x:v>
      </x:c>
      <x:c r="Y368" s="7" t="str">
        <x:v>Target: the caster. 80% chance to gain Critical Hit Resistance Up 20%. 80% chance to gain Attack Up 24%. 80% chance to gain Evasion Up 16%.</x:v>
      </x:c>
      <x:c r="Z368" s="7" t="str">
        <x:v>버프</x:v>
      </x:c>
    </x:row>
    <x:row r="369" ht="115" customHeight="1">
      <x:c r="A369" s="7" t="str">
        <x:v>SKILL_0363</x:v>
      </x:c>
      <x:c r="B369" s="7" t="str">
        <x:v>치명피해 증가 · 회피 증가의 의식</x:v>
      </x:c>
      <x:c r="C369" s="7"/>
      <x:c r="D369" s="7" t="str">
        <x:v>아군전체</x:v>
      </x:c>
      <x:c r="E369" s="7" t="n">
        <x:v>0</x:v>
      </x:c>
      <x:c r="F369" s="7" t="n">
        <x:v>0</x:v>
      </x:c>
      <x:c r="G369" s="7" t="n">
        <x:v>0</x:v>
      </x:c>
      <x:c r="H369" s="7" t="n">
        <x:v>0</x:v>
      </x:c>
      <x:c r="I369" s="7" t="n">
        <x:v>0</x:v>
      </x:c>
      <x:c r="J369" s="7" t="n">
        <x:v>0</x:v>
      </x:c>
      <x:c r="K369" s="7" t="str">
        <x:v>CRITICAL_DAMAGE_UP</x:v>
      </x:c>
      <x:c r="L369" s="7" t="n">
        <x:v>0.3</x:v>
      </x:c>
      <x:c r="M369" s="8" t="n">
        <x:v>0.9</x:v>
      </x:c>
      <x:c r="N369" s="7" t="str">
        <x:v>EVASION_UP</x:v>
      </x:c>
      <x:c r="O369" s="7" t="n">
        <x:v>0.2</x:v>
      </x:c>
      <x:c r="P369" s="8" t="n">
        <x:v>0.9</x:v>
      </x:c>
      <x:c r="Q369" s="7"/>
      <x:c r="R369" s="7"/>
      <x:c r="S369" s="8"/>
      <x:c r="T369" s="7"/>
      <x:c r="U369" s="7"/>
      <x:c r="V369" s="8"/>
      <x:c r="W369" s="7" t="n">
        <x:v>3</x:v>
      </x:c>
      <x:c r="X369" s="7" t="str">
        <x:v>대상: 아군전체. 90%확률로 치명피해 증가 30% 적용합니다. 90%확률로 회피 증가 20% 적용합니다.</x:v>
      </x:c>
      <x:c r="Y369" s="7" t="str">
        <x:v>Target: all allies. 90% chance to apply Critical Hit Damage Up 30%. 90% chance to apply Evasion Up 20%.</x:v>
      </x:c>
      <x:c r="Z369" s="7" t="str">
        <x:v>버프</x:v>
      </x:c>
    </x:row>
    <x:row r="370" ht="115" customHeight="1">
      <x:c r="A370" s="7" t="str">
        <x:v>SKILL_0364</x:v>
      </x:c>
      <x:c r="B370" s="7" t="str">
        <x:v>생명력 회복 · 효과적중 증가 · 방어력 증가의 의식</x:v>
      </x:c>
      <x:c r="C370" s="7"/>
      <x:c r="D370" s="7" t="str">
        <x:v>아군과 자신</x:v>
      </x:c>
      <x:c r="E370" s="7" t="n">
        <x:v>0</x:v>
      </x:c>
      <x:c r="F370" s="7" t="n">
        <x:v>0</x:v>
      </x:c>
      <x:c r="G370" s="7" t="n">
        <x:v>0</x:v>
      </x:c>
      <x:c r="H370" s="7" t="n">
        <x:v>0</x:v>
      </x:c>
      <x:c r="I370" s="7" t="n">
        <x:v>0.25</x:v>
      </x:c>
      <x:c r="J370" s="7" t="n">
        <x:v>0</x:v>
      </x:c>
      <x:c r="K370" s="7" t="str">
        <x:v>HEAL</x:v>
      </x:c>
      <x:c r="L370" s="7" t="n">
        <x:v>1</x:v>
      </x:c>
      <x:c r="M370" s="8" t="n">
        <x:v>1</x:v>
      </x:c>
      <x:c r="N370" s="7" t="str">
        <x:v>EFFECTIVENESS_UP</x:v>
      </x:c>
      <x:c r="O370" s="7" t="n">
        <x:v>0.2</x:v>
      </x:c>
      <x:c r="P370" s="8" t="n">
        <x:v>0.8</x:v>
      </x:c>
      <x:c r="Q370" s="7" t="str">
        <x:v>DEFENSE_UP</x:v>
      </x:c>
      <x:c r="R370" s="7" t="n">
        <x:v>0.28</x:v>
      </x:c>
      <x:c r="S370" s="8" t="n">
        <x:v>0.8</x:v>
      </x:c>
      <x:c r="T370" s="7"/>
      <x:c r="U370" s="7"/>
      <x:c r="V370" s="8"/>
      <x:c r="W370" s="7" t="n">
        <x:v>1</x:v>
      </x:c>
      <x:c r="X370" s="7" t="str">
        <x:v>대상: 아군과 자신. 아군과 자신을 시전자의 공격력의 0.25배만큼 회복시킵니다. 80%확률로 효과적중 증가 20% 적용합니다. 80%확률로 방어력 증가 28% 적용합니다.</x:v>
      </x:c>
      <x:c r="Y370" s="7" t="str">
        <x:v>Target: one ally and the caster. Heals one ally and the caster for 0.25 × caster Attack. 80% chance to apply Effectiveness Up 20%. 80% chance to apply Defense Up 28%.</x:v>
      </x:c>
      <x:c r="Z370" s="7" t="str">
        <x:v>회복|버프</x:v>
      </x:c>
    </x:row>
    <x:row r="371" ht="115" customHeight="1">
      <x:c r="A371" s="7" t="str">
        <x:v>SKILL_0365</x:v>
      </x:c>
      <x:c r="B371" s="7" t="str">
        <x:v>치명확률 증가 · 회피 증가 · 피해 반사 · 반격의 의식</x:v>
      </x:c>
      <x:c r="C371" s="7"/>
      <x:c r="D371" s="7" t="str">
        <x:v>아군</x:v>
      </x:c>
      <x:c r="E371" s="7" t="n">
        <x:v>0</x:v>
      </x:c>
      <x:c r="F371" s="7" t="n">
        <x:v>0</x:v>
      </x:c>
      <x:c r="G371" s="7" t="n">
        <x:v>0</x:v>
      </x:c>
      <x:c r="H371" s="7" t="n">
        <x:v>0</x:v>
      </x:c>
      <x:c r="I371" s="7" t="n">
        <x:v>0</x:v>
      </x:c>
      <x:c r="J371" s="7" t="n">
        <x:v>0</x:v>
      </x:c>
      <x:c r="K371" s="7" t="str">
        <x:v>CRITICAL_CHANCE_UP</x:v>
      </x:c>
      <x:c r="L371" s="7" t="n">
        <x:v>0.13</x:v>
      </x:c>
      <x:c r="M371" s="8" t="n">
        <x:v>0.7</x:v>
      </x:c>
      <x:c r="N371" s="7" t="str">
        <x:v>EVASION_UP</x:v>
      </x:c>
      <x:c r="O371" s="7" t="n">
        <x:v>0.13</x:v>
      </x:c>
      <x:c r="P371" s="8" t="n">
        <x:v>0.7</x:v>
      </x:c>
      <x:c r="Q371" s="7" t="str">
        <x:v>DAMAGE_REFLECTION</x:v>
      </x:c>
      <x:c r="R371" s="7" t="n">
        <x:v>0.13</x:v>
      </x:c>
      <x:c r="S371" s="8" t="n">
        <x:v>0.7</x:v>
      </x:c>
      <x:c r="T371" s="7" t="str">
        <x:v>COUNTERATTACK</x:v>
      </x:c>
      <x:c r="U371" s="7" t="n">
        <x:v>0.26</x:v>
      </x:c>
      <x:c r="V371" s="8" t="n">
        <x:v>0.7</x:v>
      </x:c>
      <x:c r="W371" s="7" t="n">
        <x:v>1</x:v>
      </x:c>
      <x:c r="X371" s="7" t="str">
        <x:v>대상: 아군. 70%확률로 치명확률 증가 13% 적용합니다. 70%확률로 회피 증가 13% 적용합니다. 70%확률로 피해 반사 13% 적용합니다. 70%확률로 반격 26% 적용합니다.</x:v>
      </x:c>
      <x:c r="Y371" s="7" t="str">
        <x:v>Target: one ally. 70% chance to apply Critical Hit Chance Up 13%. 70% chance to apply Evasion Up 13%. 70% chance to apply Damage Reflection 13%. 70% chance to apply Counterattack 26%.</x:v>
      </x:c>
      <x:c r="Z371" s="7" t="str">
        <x:v>공격|버프</x:v>
      </x:c>
    </x:row>
    <x:row r="372" ht="115" customHeight="1">
      <x:c r="A372" s="7" t="str">
        <x:v>SKILL_0366</x:v>
      </x:c>
      <x:c r="B372" s="7" t="str">
        <x:v>강화효과 지속시간 증가 · 무적 · 피해 분담의 의식</x:v>
      </x:c>
      <x:c r="C372" s="7"/>
      <x:c r="D372" s="7" t="str">
        <x:v>자신</x:v>
      </x:c>
      <x:c r="E372" s="7" t="n">
        <x:v>0</x:v>
      </x:c>
      <x:c r="F372" s="7" t="n">
        <x:v>0</x:v>
      </x:c>
      <x:c r="G372" s="7" t="n">
        <x:v>0</x:v>
      </x:c>
      <x:c r="H372" s="7" t="n">
        <x:v>0</x:v>
      </x:c>
      <x:c r="I372" s="7" t="n">
        <x:v>0</x:v>
      </x:c>
      <x:c r="J372" s="7" t="n">
        <x:v>0</x:v>
      </x:c>
      <x:c r="K372" s="7" t="str">
        <x:v>BUFF_DURATION_UP</x:v>
      </x:c>
      <x:c r="L372" s="7" t="n">
        <x:v>1</x:v>
      </x:c>
      <x:c r="M372" s="8" t="n">
        <x:v>0.8</x:v>
      </x:c>
      <x:c r="N372" s="7" t="str">
        <x:v>INVINCIBILITY</x:v>
      </x:c>
      <x:c r="O372" s="7" t="n">
        <x:v>1</x:v>
      </x:c>
      <x:c r="P372" s="8" t="n">
        <x:v>0.8</x:v>
      </x:c>
      <x:c r="Q372" s="7" t="str">
        <x:v>DAMAGE_SHARING</x:v>
      </x:c>
      <x:c r="R372" s="7" t="n">
        <x:v>0.16</x:v>
      </x:c>
      <x:c r="S372" s="8" t="n">
        <x:v>0.8</x:v>
      </x:c>
      <x:c r="T372" s="7"/>
      <x:c r="U372" s="7"/>
      <x:c r="V372" s="8"/>
      <x:c r="W372" s="7" t="n">
        <x:v>4</x:v>
      </x:c>
      <x:c r="X372" s="7" t="str">
        <x:v>대상: 자신. 80%확률로 강화효과 지속시간 증가 1턴 획득합니다. 80%확률로 무적 획득합니다. 80%확률로 피해 분담 16% 획득합니다.</x:v>
      </x:c>
      <x:c r="Y372" s="7" t="str">
        <x:v>Target: the caster. 80% chance to gain Buff Duration Extension 1 turn. 80% chance to gain Invincibility. 80% chance to gain Damage Sharing 16%.</x:v>
      </x:c>
      <x:c r="Z372" s="7" t="str">
        <x:v>버프</x:v>
      </x:c>
    </x:row>
    <x:row r="373" ht="115" customHeight="1">
      <x:c r="A373" s="7" t="str">
        <x:v>SKILL_0367</x:v>
      </x:c>
      <x:c r="B373" s="7" t="str">
        <x:v>효과적중 증가 · 약화효과 해제 · 지속 회복의 의식</x:v>
      </x:c>
      <x:c r="C373" s="7"/>
      <x:c r="D373" s="7" t="str">
        <x:v>아군전체</x:v>
      </x:c>
      <x:c r="E373" s="7" t="n">
        <x:v>0</x:v>
      </x:c>
      <x:c r="F373" s="7" t="n">
        <x:v>0</x:v>
      </x:c>
      <x:c r="G373" s="7" t="n">
        <x:v>0</x:v>
      </x:c>
      <x:c r="H373" s="7" t="n">
        <x:v>0</x:v>
      </x:c>
      <x:c r="I373" s="7" t="n">
        <x:v>0</x:v>
      </x:c>
      <x:c r="J373" s="7" t="n">
        <x:v>0</x:v>
      </x:c>
      <x:c r="K373" s="7" t="str">
        <x:v>EFFECTIVENESS_UP</x:v>
      </x:c>
      <x:c r="L373" s="7" t="n">
        <x:v>0.2</x:v>
      </x:c>
      <x:c r="M373" s="8" t="n">
        <x:v>0.8</x:v>
      </x:c>
      <x:c r="N373" s="7" t="str">
        <x:v>CLEANSE_DEBUFF</x:v>
      </x:c>
      <x:c r="O373" s="7" t="n">
        <x:v>1</x:v>
      </x:c>
      <x:c r="P373" s="8" t="n">
        <x:v>0.8</x:v>
      </x:c>
      <x:c r="Q373" s="7" t="str">
        <x:v>CONTINUOUS_HEAL</x:v>
      </x:c>
      <x:c r="R373" s="7" t="n">
        <x:v>0.056</x:v>
      </x:c>
      <x:c r="S373" s="8" t="n">
        <x:v>0.8</x:v>
      </x:c>
      <x:c r="T373" s="7"/>
      <x:c r="U373" s="7"/>
      <x:c r="V373" s="8"/>
      <x:c r="W373" s="7" t="n">
        <x:v>3</x:v>
      </x:c>
      <x:c r="X373" s="7" t="str">
        <x:v>대상: 아군전체. 80%확률로 효과적중 증가 20% 적용합니다. 80%확률로 약화효과 해제 1개 적용합니다. 80%확률로 지속 회복을 부여합니다(2턴, 대상의 턴 시작마다 대상 최대생명력의 5.6% 회복).</x:v>
      </x:c>
      <x:c r="Y373" s="7" t="str">
        <x:v>Target: all allies. 80% chance to apply Effectiveness Up 20%. 80% chance to apply Cleanse Debuff 1 count. 80% chance to grant Continuous Heal for 2 turns, restoring 5.6% of the recipient's max Health at each turn start.</x:v>
      </x:c>
      <x:c r="Z373" s="7" t="str">
        <x:v>회복|버프</x:v>
      </x:c>
    </x:row>
    <x:row r="374" ht="115" customHeight="1">
      <x:c r="A374" s="7" t="str">
        <x:v>SKILL_0368</x:v>
      </x:c>
      <x:c r="B374" s="7" t="str">
        <x:v>반격 · 치명확률 증가 · 보호막 · 회피 증가의 의식</x:v>
      </x:c>
      <x:c r="C374" s="7"/>
      <x:c r="D374" s="7" t="str">
        <x:v>아군과 자신</x:v>
      </x:c>
      <x:c r="E374" s="7" t="n">
        <x:v>0</x:v>
      </x:c>
      <x:c r="F374" s="7" t="n">
        <x:v>0</x:v>
      </x:c>
      <x:c r="G374" s="7" t="n">
        <x:v>0</x:v>
      </x:c>
      <x:c r="H374" s="7" t="n">
        <x:v>0</x:v>
      </x:c>
      <x:c r="I374" s="7" t="n">
        <x:v>0</x:v>
      </x:c>
      <x:c r="J374" s="7" t="n">
        <x:v>0</x:v>
      </x:c>
      <x:c r="K374" s="7" t="str">
        <x:v>COUNTERATTACK</x:v>
      </x:c>
      <x:c r="L374" s="7" t="n">
        <x:v>0.26</x:v>
      </x:c>
      <x:c r="M374" s="8" t="n">
        <x:v>0.7</x:v>
      </x:c>
      <x:c r="N374" s="7" t="str">
        <x:v>CRITICAL_CHANCE_UP</x:v>
      </x:c>
      <x:c r="O374" s="7" t="n">
        <x:v>0.13</x:v>
      </x:c>
      <x:c r="P374" s="8" t="n">
        <x:v>0.7</x:v>
      </x:c>
      <x:c r="Q374" s="7" t="str">
        <x:v>BARRIER</x:v>
      </x:c>
      <x:c r="R374" s="7" t="n">
        <x:v>0.098</x:v>
      </x:c>
      <x:c r="S374" s="8" t="n">
        <x:v>0.7</x:v>
      </x:c>
      <x:c r="T374" s="7" t="str">
        <x:v>EVASION_UP</x:v>
      </x:c>
      <x:c r="U374" s="7" t="n">
        <x:v>0.13</x:v>
      </x:c>
      <x:c r="V374" s="8" t="n">
        <x:v>0.7</x:v>
      </x:c>
      <x:c r="W374" s="7" t="n">
        <x:v>2</x:v>
      </x:c>
      <x:c r="X374" s="7" t="str">
        <x:v>대상: 아군과 자신. 70%확률로 반격 26% 적용합니다. 70%확률로 치명확률 증가 13% 적용합니다. 70%확률로 보호막 9.8% 적용합니다. 70%확률로 회피 증가 13% 적용합니다.</x:v>
      </x:c>
      <x:c r="Y374" s="7" t="str">
        <x:v>Target: one ally and the caster. 70% chance to apply Counterattack 26%. 70% chance to apply Critical Hit Chance Up 13%. 70% chance to apply Barrier 9.8%. 70% chance to apply Evasion Up 13%.</x:v>
      </x:c>
      <x:c r="Z374" s="7" t="str">
        <x:v>공격|버프</x:v>
      </x:c>
    </x:row>
    <x:row r="375" ht="115" customHeight="1">
      <x:c r="A375" s="7" t="str">
        <x:v>SKILL_0369</x:v>
      </x:c>
      <x:c r="B375" s="7" t="str">
        <x:v>방어력 증가 · 회피 증가 · 스킬 쿨타임 초기화의 의식</x:v>
      </x:c>
      <x:c r="C375" s="7"/>
      <x:c r="D375" s="7" t="str">
        <x:v>아군</x:v>
      </x:c>
      <x:c r="E375" s="7" t="n">
        <x:v>0</x:v>
      </x:c>
      <x:c r="F375" s="7" t="n">
        <x:v>0</x:v>
      </x:c>
      <x:c r="G375" s="7" t="n">
        <x:v>0</x:v>
      </x:c>
      <x:c r="H375" s="7" t="n">
        <x:v>0</x:v>
      </x:c>
      <x:c r="I375" s="7" t="n">
        <x:v>0</x:v>
      </x:c>
      <x:c r="J375" s="7" t="n">
        <x:v>0</x:v>
      </x:c>
      <x:c r="K375" s="7" t="str">
        <x:v>DEFENSE_UP</x:v>
      </x:c>
      <x:c r="L375" s="7" t="n">
        <x:v>0.28</x:v>
      </x:c>
      <x:c r="M375" s="8" t="n">
        <x:v>0.8</x:v>
      </x:c>
      <x:c r="N375" s="7" t="str">
        <x:v>EVASION_UP</x:v>
      </x:c>
      <x:c r="O375" s="7" t="n">
        <x:v>0.16</x:v>
      </x:c>
      <x:c r="P375" s="8" t="n">
        <x:v>0.8</x:v>
      </x:c>
      <x:c r="Q375" s="7" t="str">
        <x:v>SKILL_COOLDOWN_RESET</x:v>
      </x:c>
      <x:c r="R375" s="7" t="n">
        <x:v>1</x:v>
      </x:c>
      <x:c r="S375" s="8" t="n">
        <x:v>0.8</x:v>
      </x:c>
      <x:c r="T375" s="7"/>
      <x:c r="U375" s="7"/>
      <x:c r="V375" s="8"/>
      <x:c r="W375" s="7" t="n">
        <x:v>5</x:v>
      </x:c>
      <x:c r="X375" s="7" t="str">
        <x:v>대상: 아군. 80%확률로 방어력 증가 28% 적용합니다. 80%확률로 회피 증가 16% 적용합니다. 80%확률로 스킬 쿨타임 초기화 1개 적용합니다.</x:v>
      </x:c>
      <x:c r="Y375" s="7" t="str">
        <x:v>Target: one ally. 80% chance to apply Defense Up 28%. 80% chance to apply Evasion Up 16%. 80% chance to apply Skill Cooldown Reset 1 count.</x:v>
      </x:c>
      <x:c r="Z375" s="7" t="str">
        <x:v>버프</x:v>
      </x:c>
    </x:row>
    <x:row r="376" ht="115" customHeight="1">
      <x:c r="A376" s="7" t="str">
        <x:v>SKILL_0370</x:v>
      </x:c>
      <x:c r="B376" s="7" t="str">
        <x:v>약화효과 해제 · 보호막 · 소생의 의식</x:v>
      </x:c>
      <x:c r="C376" s="7"/>
      <x:c r="D376" s="7" t="str">
        <x:v>아군</x:v>
      </x:c>
      <x:c r="E376" s="7" t="n">
        <x:v>0</x:v>
      </x:c>
      <x:c r="F376" s="7" t="n">
        <x:v>0</x:v>
      </x:c>
      <x:c r="G376" s="7" t="n">
        <x:v>0</x:v>
      </x:c>
      <x:c r="H376" s="7" t="n">
        <x:v>0</x:v>
      </x:c>
      <x:c r="I376" s="7" t="n">
        <x:v>0</x:v>
      </x:c>
      <x:c r="J376" s="7" t="n">
        <x:v>0</x:v>
      </x:c>
      <x:c r="K376" s="7" t="str">
        <x:v>CLEANSE_DEBUFF</x:v>
      </x:c>
      <x:c r="L376" s="7" t="n">
        <x:v>1</x:v>
      </x:c>
      <x:c r="M376" s="8" t="n">
        <x:v>0.8</x:v>
      </x:c>
      <x:c r="N376" s="7" t="str">
        <x:v>BARRIER</x:v>
      </x:c>
      <x:c r="O376" s="7" t="n">
        <x:v>0.12</x:v>
      </x:c>
      <x:c r="P376" s="8" t="n">
        <x:v>0.8</x:v>
      </x:c>
      <x:c r="Q376" s="7" t="str">
        <x:v>AUTO_REVIVE</x:v>
      </x:c>
      <x:c r="R376" s="7" t="n">
        <x:v>1</x:v>
      </x:c>
      <x:c r="S376" s="8" t="n">
        <x:v>1</x:v>
      </x:c>
      <x:c r="T376" s="7"/>
      <x:c r="U376" s="7"/>
      <x:c r="V376" s="8"/>
      <x:c r="W376" s="7" t="n">
        <x:v>5</x:v>
      </x:c>
      <x:c r="X376" s="7" t="str">
        <x:v>대상: 아군. 80%확률로 약화효과 해제 1개 적용합니다. 80%확률로 보호막 12% 적용합니다. 100%확률로 소생 100% 적용합니다.</x:v>
      </x:c>
      <x:c r="Y376" s="7" t="str">
        <x:v>Target: one ally. 80% chance to apply Cleanse Debuff 1 count. 80% chance to apply Barrier 12%. 100% chance to apply Auto Revive 100%.</x:v>
      </x:c>
      <x:c r="Z376" s="7" t="str">
        <x:v>회복|버프</x:v>
      </x:c>
    </x:row>
    <x:row r="377" ht="115" customHeight="1">
      <x:c r="A377" s="7" t="str">
        <x:v>SKILL_0371</x:v>
      </x:c>
      <x:c r="B377" s="7" t="str">
        <x:v>효과적중 증가 · 면역 · 약화효과 해제 · 은신의 의식</x:v>
      </x:c>
      <x:c r="C377" s="7"/>
      <x:c r="D377" s="7" t="str">
        <x:v>아군전체</x:v>
      </x:c>
      <x:c r="E377" s="7" t="n">
        <x:v>0</x:v>
      </x:c>
      <x:c r="F377" s="7" t="n">
        <x:v>0</x:v>
      </x:c>
      <x:c r="G377" s="7" t="n">
        <x:v>0</x:v>
      </x:c>
      <x:c r="H377" s="7" t="n">
        <x:v>0</x:v>
      </x:c>
      <x:c r="I377" s="7" t="n">
        <x:v>0</x:v>
      </x:c>
      <x:c r="J377" s="7" t="n">
        <x:v>0</x:v>
      </x:c>
      <x:c r="K377" s="7" t="str">
        <x:v>EFFECTIVENESS_UP</x:v>
      </x:c>
      <x:c r="L377" s="7" t="n">
        <x:v>0.163</x:v>
      </x:c>
      <x:c r="M377" s="8" t="n">
        <x:v>0.6</x:v>
      </x:c>
      <x:c r="N377" s="7" t="str">
        <x:v>IMMUNITY</x:v>
      </x:c>
      <x:c r="O377" s="7" t="n">
        <x:v>1</x:v>
      </x:c>
      <x:c r="P377" s="8" t="n">
        <x:v>0.6</x:v>
      </x:c>
      <x:c r="Q377" s="7" t="str">
        <x:v>CLEANSE_DEBUFF</x:v>
      </x:c>
      <x:c r="R377" s="7" t="n">
        <x:v>1</x:v>
      </x:c>
      <x:c r="S377" s="8" t="n">
        <x:v>0.6</x:v>
      </x:c>
      <x:c r="T377" s="7" t="str">
        <x:v>STEALTH</x:v>
      </x:c>
      <x:c r="U377" s="7" t="n">
        <x:v>1</x:v>
      </x:c>
      <x:c r="V377" s="8" t="n">
        <x:v>0.6</x:v>
      </x:c>
      <x:c r="W377" s="7" t="n">
        <x:v>5</x:v>
      </x:c>
      <x:c r="X377" s="7" t="str">
        <x:v>대상: 아군전체. 60%확률로 효과적중 증가 16.3% 적용합니다. 60%확률로 면역 적용합니다. 60%확률로 약화효과 해제 1개 적용합니다. 60%확률로 은신 적용합니다.</x:v>
      </x:c>
      <x:c r="Y377" s="7" t="str">
        <x:v>Target: all allies. 60% chance to apply Effectiveness Up 16.3%. 60% chance to apply Immunity. 60% chance to apply Cleanse Debuff 1 count. 60% chance to apply Stealth.</x:v>
      </x:c>
      <x:c r="Z377" s="7" t="str">
        <x:v>버프</x:v>
      </x:c>
    </x:row>
    <x:row r="378" ht="115" customHeight="1">
      <x:c r="A378" s="7" t="str">
        <x:v>SKILL_0372</x:v>
      </x:c>
      <x:c r="B378" s="7" t="str">
        <x:v>효과적중 증가 · 지속 회복의 의식</x:v>
      </x:c>
      <x:c r="C378" s="7"/>
      <x:c r="D378" s="7" t="str">
        <x:v>아군과 자신</x:v>
      </x:c>
      <x:c r="E378" s="7" t="n">
        <x:v>0</x:v>
      </x:c>
      <x:c r="F378" s="7" t="n">
        <x:v>0</x:v>
      </x:c>
      <x:c r="G378" s="7" t="n">
        <x:v>0</x:v>
      </x:c>
      <x:c r="H378" s="7" t="n">
        <x:v>0</x:v>
      </x:c>
      <x:c r="I378" s="7" t="n">
        <x:v>0</x:v>
      </x:c>
      <x:c r="J378" s="7" t="n">
        <x:v>0</x:v>
      </x:c>
      <x:c r="K378" s="7" t="str">
        <x:v>EFFECTIVENESS_UP</x:v>
      </x:c>
      <x:c r="L378" s="7" t="n">
        <x:v>0.25</x:v>
      </x:c>
      <x:c r="M378" s="8" t="n">
        <x:v>0.9</x:v>
      </x:c>
      <x:c r="N378" s="7" t="str">
        <x:v>CONTINUOUS_HEAL</x:v>
      </x:c>
      <x:c r="O378" s="7" t="n">
        <x:v>0.07</x:v>
      </x:c>
      <x:c r="P378" s="8" t="n">
        <x:v>0.9</x:v>
      </x:c>
      <x:c r="Q378" s="7"/>
      <x:c r="R378" s="7"/>
      <x:c r="S378" s="8"/>
      <x:c r="T378" s="7"/>
      <x:c r="U378" s="7"/>
      <x:c r="V378" s="8"/>
      <x:c r="W378" s="7" t="n">
        <x:v>1</x:v>
      </x:c>
      <x:c r="X378" s="7" t="str">
        <x:v>대상: 아군과 자신. 90%확률로 효과적중 증가 25% 적용합니다. 90%확률로 지속 회복을 부여합니다(2턴, 대상의 턴 시작마다 대상 최대생명력의 7% 회복).</x:v>
      </x:c>
      <x:c r="Y378" s="7" t="str">
        <x:v>Target: one ally and the caster. 90% chance to apply Effectiveness Up 25%. 90% chance to grant Continuous Heal for 2 turns, restoring 7% of the recipient's max Health at each turn start.</x:v>
      </x:c>
      <x:c r="Z378" s="7" t="str">
        <x:v>회복|버프</x:v>
      </x:c>
    </x:row>
    <x:row r="379" ht="115" customHeight="1">
      <x:c r="A379" s="7" t="str">
        <x:v>SKILL_0373</x:v>
      </x:c>
      <x:c r="B379" s="7" t="str">
        <x:v>속도 증가 · 피해 분담 · 스킬 쿨타임 초기화 · 치명피해 증가의 의식</x:v>
      </x:c>
      <x:c r="C379" s="7"/>
      <x:c r="D379" s="7" t="str">
        <x:v>자신</x:v>
      </x:c>
      <x:c r="E379" s="7" t="n">
        <x:v>0</x:v>
      </x:c>
      <x:c r="F379" s="7" t="n">
        <x:v>0</x:v>
      </x:c>
      <x:c r="G379" s="7" t="n">
        <x:v>0</x:v>
      </x:c>
      <x:c r="H379" s="7" t="n">
        <x:v>0</x:v>
      </x:c>
      <x:c r="I379" s="7" t="n">
        <x:v>0</x:v>
      </x:c>
      <x:c r="J379" s="7" t="n">
        <x:v>0</x:v>
      </x:c>
      <x:c r="K379" s="7" t="str">
        <x:v>SPEED_UP</x:v>
      </x:c>
      <x:c r="L379" s="7" t="n">
        <x:v>0.13</x:v>
      </x:c>
      <x:c r="M379" s="8" t="n">
        <x:v>0.7</x:v>
      </x:c>
      <x:c r="N379" s="7" t="str">
        <x:v>DAMAGE_SHARING</x:v>
      </x:c>
      <x:c r="O379" s="7" t="n">
        <x:v>0.13</x:v>
      </x:c>
      <x:c r="P379" s="8" t="n">
        <x:v>0.7</x:v>
      </x:c>
      <x:c r="Q379" s="7" t="str">
        <x:v>SKILL_COOLDOWN_RESET</x:v>
      </x:c>
      <x:c r="R379" s="7" t="n">
        <x:v>1</x:v>
      </x:c>
      <x:c r="S379" s="8" t="n">
        <x:v>0.7</x:v>
      </x:c>
      <x:c r="T379" s="7" t="str">
        <x:v>CRITICAL_DAMAGE_UP</x:v>
      </x:c>
      <x:c r="U379" s="7" t="n">
        <x:v>0.195</x:v>
      </x:c>
      <x:c r="V379" s="8" t="n">
        <x:v>0.7</x:v>
      </x:c>
      <x:c r="W379" s="7" t="n">
        <x:v>5</x:v>
      </x:c>
      <x:c r="X379" s="7" t="str">
        <x:v>대상: 자신. 70%확률로 속도 증가 13% 획득합니다. 70%확률로 피해 분담 13% 획득합니다. 70%확률로 스킬 쿨타임 초기화 1개 획득합니다. 70%확률로 치명피해 증가 19.5% 획득합니다.</x:v>
      </x:c>
      <x:c r="Y379" s="7" t="str">
        <x:v>Target: the caster. 70% chance to gain Speed Up 13%. 70% chance to gain Damage Sharing 13%. 70% chance to gain Skill Cooldown Reset 1 count. 70% chance to gain Critical Hit Damage Up 19.5%.</x:v>
      </x:c>
      <x:c r="Z379" s="7" t="str">
        <x:v>버프</x:v>
      </x:c>
    </x:row>
    <x:row r="380" ht="115" customHeight="1">
      <x:c r="A380" s="7" t="str">
        <x:v>SKILL_0374</x:v>
      </x:c>
      <x:c r="B380" s="7" t="str">
        <x:v>무적 · 은신 · 치명확률 증가 · 보호막의 의식</x:v>
      </x:c>
      <x:c r="C380" s="7"/>
      <x:c r="D380" s="7" t="str">
        <x:v>자신</x:v>
      </x:c>
      <x:c r="E380" s="7" t="n">
        <x:v>0</x:v>
      </x:c>
      <x:c r="F380" s="7" t="n">
        <x:v>0</x:v>
      </x:c>
      <x:c r="G380" s="7" t="n">
        <x:v>0</x:v>
      </x:c>
      <x:c r="H380" s="7" t="n">
        <x:v>0</x:v>
      </x:c>
      <x:c r="I380" s="7" t="n">
        <x:v>0</x:v>
      </x:c>
      <x:c r="J380" s="7" t="n">
        <x:v>0</x:v>
      </x:c>
      <x:c r="K380" s="7" t="str">
        <x:v>INVINCIBILITY</x:v>
      </x:c>
      <x:c r="L380" s="7" t="n">
        <x:v>1</x:v>
      </x:c>
      <x:c r="M380" s="8" t="n">
        <x:v>0.7</x:v>
      </x:c>
      <x:c r="N380" s="7" t="str">
        <x:v>STEALTH</x:v>
      </x:c>
      <x:c r="O380" s="7" t="n">
        <x:v>1</x:v>
      </x:c>
      <x:c r="P380" s="8" t="n">
        <x:v>0.7</x:v>
      </x:c>
      <x:c r="Q380" s="7" t="str">
        <x:v>CRITICAL_CHANCE_UP</x:v>
      </x:c>
      <x:c r="R380" s="7" t="n">
        <x:v>0.13</x:v>
      </x:c>
      <x:c r="S380" s="8" t="n">
        <x:v>0.7</x:v>
      </x:c>
      <x:c r="T380" s="7" t="str">
        <x:v>BARRIER</x:v>
      </x:c>
      <x:c r="U380" s="7" t="n">
        <x:v>0.098</x:v>
      </x:c>
      <x:c r="V380" s="8" t="n">
        <x:v>0.7</x:v>
      </x:c>
      <x:c r="W380" s="7" t="n">
        <x:v>3</x:v>
      </x:c>
      <x:c r="X380" s="7" t="str">
        <x:v>대상: 자신. 70%확률로 무적 획득합니다. 70%확률로 은신 획득합니다. 70%확률로 치명확률 증가 13% 획득합니다. 70%확률로 보호막 9.8% 획득합니다.</x:v>
      </x:c>
      <x:c r="Y380" s="7" t="str">
        <x:v>Target: the caster. 70% chance to gain Invincibility. 70% chance to gain Stealth. 70% chance to gain Critical Hit Chance Up 13%. 70% chance to gain Barrier 9.8%.</x:v>
      </x:c>
      <x:c r="Z380" s="7" t="str">
        <x:v>버프</x:v>
      </x:c>
    </x:row>
    <x:row r="381" ht="115" customHeight="1">
      <x:c r="A381" s="7" t="str">
        <x:v>SKILL_0375</x:v>
      </x:c>
      <x:c r="B381" s="7" t="str">
        <x:v>스킬 쿨타임 감소 · 공격력 증가 · 약화효과 해제 · 방어력 증가의 의식</x:v>
      </x:c>
      <x:c r="C381" s="7"/>
      <x:c r="D381" s="7" t="str">
        <x:v>아군전체</x:v>
      </x:c>
      <x:c r="E381" s="7" t="n">
        <x:v>0</x:v>
      </x:c>
      <x:c r="F381" s="7" t="n">
        <x:v>0</x:v>
      </x:c>
      <x:c r="G381" s="7" t="n">
        <x:v>0</x:v>
      </x:c>
      <x:c r="H381" s="7" t="n">
        <x:v>0</x:v>
      </x:c>
      <x:c r="I381" s="7" t="n">
        <x:v>0</x:v>
      </x:c>
      <x:c r="J381" s="7" t="n">
        <x:v>0</x:v>
      </x:c>
      <x:c r="K381" s="7" t="str">
        <x:v>SKILL_COOLDOWN_DOWN</x:v>
      </x:c>
      <x:c r="L381" s="7" t="n">
        <x:v>1</x:v>
      </x:c>
      <x:c r="M381" s="8" t="n">
        <x:v>0.6</x:v>
      </x:c>
      <x:c r="N381" s="7" t="str">
        <x:v>ATTACK_UP</x:v>
      </x:c>
      <x:c r="O381" s="7" t="n">
        <x:v>0.195</x:v>
      </x:c>
      <x:c r="P381" s="8" t="n">
        <x:v>0.6</x:v>
      </x:c>
      <x:c r="Q381" s="7" t="str">
        <x:v>CLEANSE_DEBUFF</x:v>
      </x:c>
      <x:c r="R381" s="7" t="n">
        <x:v>1</x:v>
      </x:c>
      <x:c r="S381" s="8" t="n">
        <x:v>0.6</x:v>
      </x:c>
      <x:c r="T381" s="7" t="str">
        <x:v>DEFENSE_UP</x:v>
      </x:c>
      <x:c r="U381" s="7" t="n">
        <x:v>0.227</x:v>
      </x:c>
      <x:c r="V381" s="8" t="n">
        <x:v>0.6</x:v>
      </x:c>
      <x:c r="W381" s="7" t="n">
        <x:v>5</x:v>
      </x:c>
      <x:c r="X381" s="7" t="str">
        <x:v>대상: 아군전체. 60%확률로 스킬 쿨타임 감소 1턴 적용합니다. 60%확률로 공격력 증가 19.5% 적용합니다. 60%확률로 약화효과 해제 1개 적용합니다. 60%확률로 방어력 증가 22.7% 적용합니다.</x:v>
      </x:c>
      <x:c r="Y381" s="7" t="str">
        <x:v>Target: all allies. 60% chance to apply Skill Cooldown Reduction 1 turn. 60% chance to apply Attack Up 19.5%. 60% chance to apply Cleanse Debuff 1 count. 60% chance to apply Defense Up 22.7%.</x:v>
      </x:c>
      <x:c r="Z381" s="7" t="str">
        <x:v>버프</x:v>
      </x:c>
    </x:row>
    <x:row r="382" ht="115" customHeight="1">
      <x:c r="A382" s="7" t="str">
        <x:v>SKILL_0376</x:v>
      </x:c>
      <x:c r="B382" s="7" t="str">
        <x:v>피해 감소 · 지속 회복 · 방어력 증가 · 치명확률 증가의 의식</x:v>
      </x:c>
      <x:c r="C382" s="7"/>
      <x:c r="D382" s="7" t="str">
        <x:v>아군과 자신</x:v>
      </x:c>
      <x:c r="E382" s="7" t="n">
        <x:v>0</x:v>
      </x:c>
      <x:c r="F382" s="7" t="n">
        <x:v>0</x:v>
      </x:c>
      <x:c r="G382" s="7" t="n">
        <x:v>0</x:v>
      </x:c>
      <x:c r="H382" s="7" t="n">
        <x:v>0</x:v>
      </x:c>
      <x:c r="I382" s="7" t="n">
        <x:v>0</x:v>
      </x:c>
      <x:c r="J382" s="7" t="n">
        <x:v>0</x:v>
      </x:c>
      <x:c r="K382" s="7" t="str">
        <x:v>DAMAGE_REDUCTION</x:v>
      </x:c>
      <x:c r="L382" s="7" t="n">
        <x:v>0.13</x:v>
      </x:c>
      <x:c r="M382" s="8" t="n">
        <x:v>0.7</x:v>
      </x:c>
      <x:c r="N382" s="7" t="str">
        <x:v>CONTINUOUS_HEAL</x:v>
      </x:c>
      <x:c r="O382" s="7" t="n">
        <x:v>0.046</x:v>
      </x:c>
      <x:c r="P382" s="8" t="n">
        <x:v>0.7</x:v>
      </x:c>
      <x:c r="Q382" s="7" t="str">
        <x:v>DEFENSE_UP</x:v>
      </x:c>
      <x:c r="R382" s="7" t="n">
        <x:v>0.227</x:v>
      </x:c>
      <x:c r="S382" s="8" t="n">
        <x:v>0.7</x:v>
      </x:c>
      <x:c r="T382" s="7" t="str">
        <x:v>CRITICAL_CHANCE_UP</x:v>
      </x:c>
      <x:c r="U382" s="7" t="n">
        <x:v>0.13</x:v>
      </x:c>
      <x:c r="V382" s="8" t="n">
        <x:v>0.7</x:v>
      </x:c>
      <x:c r="W382" s="7" t="n">
        <x:v>2</x:v>
      </x:c>
      <x:c r="X382" s="7" t="str">
        <x:v>대상: 아군과 자신. 70%확률로 피해 감소 13% 적용합니다. 70%확률로 지속 회복을 부여합니다(2턴, 대상의 턴 시작마다 대상 최대생명력의 4.6% 회복). 70%확률로 방어력 증가 22.7% 적용합니다. 70%확률로 치명확률 증가 13% 적용합니다.</x:v>
      </x:c>
      <x:c r="Y382" s="7" t="str">
        <x:v>Target: one ally and the caster. 70% chance to apply Damage Reduction 13%. 70% chance to grant Continuous Heal for 2 turns, restoring 4.6% of the recipient's max Health at each turn start. 70% chance to apply Defense Up 22.7%. 70% chance to apply Critical Hit Chance Up 13%.</x:v>
      </x:c>
      <x:c r="Z382" s="7" t="str">
        <x:v>회복|버프</x:v>
      </x:c>
    </x:row>
    <x:row r="383" ht="115" customHeight="1">
      <x:c r="A383" s="7" t="str">
        <x:v>SKILL_0377</x:v>
      </x:c>
      <x:c r="B383" s="7" t="str">
        <x:v>무적 · 공격력 증가(대) · 속도 증가 · 은신의 의식</x:v>
      </x:c>
      <x:c r="C383" s="7"/>
      <x:c r="D383" s="7" t="str">
        <x:v>아군</x:v>
      </x:c>
      <x:c r="E383" s="7" t="n">
        <x:v>0</x:v>
      </x:c>
      <x:c r="F383" s="7" t="n">
        <x:v>0</x:v>
      </x:c>
      <x:c r="G383" s="7" t="n">
        <x:v>0</x:v>
      </x:c>
      <x:c r="H383" s="7" t="n">
        <x:v>0</x:v>
      </x:c>
      <x:c r="I383" s="7" t="n">
        <x:v>0</x:v>
      </x:c>
      <x:c r="J383" s="7" t="n">
        <x:v>0</x:v>
      </x:c>
      <x:c r="K383" s="7" t="str">
        <x:v>INVINCIBILITY</x:v>
      </x:c>
      <x:c r="L383" s="7" t="n">
        <x:v>1</x:v>
      </x:c>
      <x:c r="M383" s="8" t="n">
        <x:v>0.7</x:v>
      </x:c>
      <x:c r="N383" s="7" t="str">
        <x:v>ATTACK_UP_GREATER</x:v>
      </x:c>
      <x:c r="O383" s="7" t="n">
        <x:v>0.325</x:v>
      </x:c>
      <x:c r="P383" s="8" t="n">
        <x:v>0.7</x:v>
      </x:c>
      <x:c r="Q383" s="7" t="str">
        <x:v>SPEED_UP</x:v>
      </x:c>
      <x:c r="R383" s="7" t="n">
        <x:v>0.13</x:v>
      </x:c>
      <x:c r="S383" s="8" t="n">
        <x:v>0.7</x:v>
      </x:c>
      <x:c r="T383" s="7" t="str">
        <x:v>STEALTH</x:v>
      </x:c>
      <x:c r="U383" s="7" t="n">
        <x:v>1</x:v>
      </x:c>
      <x:c r="V383" s="8" t="n">
        <x:v>0.7</x:v>
      </x:c>
      <x:c r="W383" s="7" t="n">
        <x:v>4</x:v>
      </x:c>
      <x:c r="X383" s="7" t="str">
        <x:v>대상: 아군. 70%확률로 무적 적용합니다. 70%확률로 공격력 증가(대) 32.5% 적용합니다. 70%확률로 속도 증가 13% 적용합니다. 70%확률로 은신 적용합니다.</x:v>
      </x:c>
      <x:c r="Y383" s="7" t="str">
        <x:v>Target: one ally. 70% chance to apply Invincibility. 70% chance to apply Greater Attack Up 32.5%. 70% chance to apply Speed Up 13%. 70% chance to apply Stealth.</x:v>
      </x:c>
      <x:c r="Z383" s="7" t="str">
        <x:v>버프</x:v>
      </x:c>
    </x:row>
    <x:row r="384" ht="115" customHeight="1">
      <x:c r="A384" s="7" t="str">
        <x:v>SKILL_0378</x:v>
      </x:c>
      <x:c r="B384" s="7" t="str">
        <x:v>피해 감소 · 소생 · 치명확률 증가의 의식</x:v>
      </x:c>
      <x:c r="C384" s="7"/>
      <x:c r="D384" s="7" t="str">
        <x:v>아군</x:v>
      </x:c>
      <x:c r="E384" s="7" t="n">
        <x:v>0</x:v>
      </x:c>
      <x:c r="F384" s="7" t="n">
        <x:v>0</x:v>
      </x:c>
      <x:c r="G384" s="7" t="n">
        <x:v>0</x:v>
      </x:c>
      <x:c r="H384" s="7" t="n">
        <x:v>0</x:v>
      </x:c>
      <x:c r="I384" s="7" t="n">
        <x:v>0</x:v>
      </x:c>
      <x:c r="J384" s="7" t="n">
        <x:v>0</x:v>
      </x:c>
      <x:c r="K384" s="7" t="str">
        <x:v>DAMAGE_REDUCTION</x:v>
      </x:c>
      <x:c r="L384" s="7" t="n">
        <x:v>0.16</x:v>
      </x:c>
      <x:c r="M384" s="8" t="n">
        <x:v>0.8</x:v>
      </x:c>
      <x:c r="N384" s="7" t="str">
        <x:v>AUTO_REVIVE</x:v>
      </x:c>
      <x:c r="O384" s="7" t="n">
        <x:v>1</x:v>
      </x:c>
      <x:c r="P384" s="8" t="n">
        <x:v>1</x:v>
      </x:c>
      <x:c r="Q384" s="7" t="str">
        <x:v>CRITICAL_CHANCE_UP</x:v>
      </x:c>
      <x:c r="R384" s="7" t="n">
        <x:v>0.16</x:v>
      </x:c>
      <x:c r="S384" s="8" t="n">
        <x:v>0.8</x:v>
      </x:c>
      <x:c r="T384" s="7"/>
      <x:c r="U384" s="7"/>
      <x:c r="V384" s="8"/>
      <x:c r="W384" s="7" t="n">
        <x:v>5</x:v>
      </x:c>
      <x:c r="X384" s="7" t="str">
        <x:v>대상: 아군. 80%확률로 피해 감소 16% 적용합니다. 100%확률로 소생 100% 적용합니다. 80%확률로 치명확률 증가 16% 적용합니다.</x:v>
      </x:c>
      <x:c r="Y384" s="7" t="str">
        <x:v>Target: one ally. 80% chance to apply Damage Reduction 16%. 100% chance to apply Auto Revive 100%. 80% chance to apply Critical Hit Chance Up 16%.</x:v>
      </x:c>
      <x:c r="Z384" s="7" t="str">
        <x:v>회복|버프</x:v>
      </x:c>
    </x:row>
    <x:row r="385" ht="115" customHeight="1">
      <x:c r="A385" s="7" t="str">
        <x:v>SKILL_0379</x:v>
      </x:c>
      <x:c r="B385" s="7" t="str">
        <x:v>강화효과 지속시간 증가 · 공격력 증가 · 은신 · 피해 분담의 의식</x:v>
      </x:c>
      <x:c r="C385" s="7"/>
      <x:c r="D385" s="7" t="str">
        <x:v>자신</x:v>
      </x:c>
      <x:c r="E385" s="7" t="n">
        <x:v>0</x:v>
      </x:c>
      <x:c r="F385" s="7" t="n">
        <x:v>0</x:v>
      </x:c>
      <x:c r="G385" s="7" t="n">
        <x:v>0</x:v>
      </x:c>
      <x:c r="H385" s="7" t="n">
        <x:v>0</x:v>
      </x:c>
      <x:c r="I385" s="7" t="n">
        <x:v>0</x:v>
      </x:c>
      <x:c r="J385" s="7" t="n">
        <x:v>0</x:v>
      </x:c>
      <x:c r="K385" s="7" t="str">
        <x:v>BUFF_DURATION_UP</x:v>
      </x:c>
      <x:c r="L385" s="7" t="n">
        <x:v>1</x:v>
      </x:c>
      <x:c r="M385" s="8" t="n">
        <x:v>0.7</x:v>
      </x:c>
      <x:c r="N385" s="7" t="str">
        <x:v>ATTACK_UP</x:v>
      </x:c>
      <x:c r="O385" s="7" t="n">
        <x:v>0.195</x:v>
      </x:c>
      <x:c r="P385" s="8" t="n">
        <x:v>0.7</x:v>
      </x:c>
      <x:c r="Q385" s="7" t="str">
        <x:v>STEALTH</x:v>
      </x:c>
      <x:c r="R385" s="7" t="n">
        <x:v>1</x:v>
      </x:c>
      <x:c r="S385" s="8" t="n">
        <x:v>0.7</x:v>
      </x:c>
      <x:c r="T385" s="7" t="str">
        <x:v>DAMAGE_SHARING</x:v>
      </x:c>
      <x:c r="U385" s="7" t="n">
        <x:v>0.13</x:v>
      </x:c>
      <x:c r="V385" s="8" t="n">
        <x:v>0.7</x:v>
      </x:c>
      <x:c r="W385" s="7" t="n">
        <x:v>2</x:v>
      </x:c>
      <x:c r="X385" s="7" t="str">
        <x:v>대상: 자신. 70%확률로 강화효과 지속시간 증가 1턴 획득합니다. 70%확률로 공격력 증가 19.5% 획득합니다. 70%확률로 은신 획득합니다. 70%확률로 피해 분담 13% 획득합니다.</x:v>
      </x:c>
      <x:c r="Y385" s="7" t="str">
        <x:v>Target: the caster. 70% chance to gain Buff Duration Extension 1 turn. 70% chance to gain Attack Up 19.5%. 70% chance to gain Stealth. 70% chance to gain Damage Sharing 13%.</x:v>
      </x:c>
      <x:c r="Z385" s="7" t="str">
        <x:v>버프</x:v>
      </x:c>
    </x:row>
    <x:row r="386" ht="115" customHeight="1">
      <x:c r="A386" s="7" t="str">
        <x:v>SKILL_0380</x:v>
      </x:c>
      <x:c r="B386" s="7" t="str">
        <x:v>보호막 · 공격력 증가(대) · 피해 감소의 의식</x:v>
      </x:c>
      <x:c r="C386" s="7"/>
      <x:c r="D386" s="7" t="str">
        <x:v>아군과 자신</x:v>
      </x:c>
      <x:c r="E386" s="7" t="n">
        <x:v>0</x:v>
      </x:c>
      <x:c r="F386" s="7" t="n">
        <x:v>0</x:v>
      </x:c>
      <x:c r="G386" s="7" t="n">
        <x:v>0</x:v>
      </x:c>
      <x:c r="H386" s="7" t="n">
        <x:v>0</x:v>
      </x:c>
      <x:c r="I386" s="7" t="n">
        <x:v>0</x:v>
      </x:c>
      <x:c r="J386" s="7" t="n">
        <x:v>0</x:v>
      </x:c>
      <x:c r="K386" s="7" t="str">
        <x:v>BARRIER</x:v>
      </x:c>
      <x:c r="L386" s="7" t="n">
        <x:v>0.12</x:v>
      </x:c>
      <x:c r="M386" s="8" t="n">
        <x:v>0.8</x:v>
      </x:c>
      <x:c r="N386" s="7" t="str">
        <x:v>ATTACK_UP_GREATER</x:v>
      </x:c>
      <x:c r="O386" s="7" t="n">
        <x:v>0.4</x:v>
      </x:c>
      <x:c r="P386" s="8" t="n">
        <x:v>0.8</x:v>
      </x:c>
      <x:c r="Q386" s="7" t="str">
        <x:v>DAMAGE_REDUCTION</x:v>
      </x:c>
      <x:c r="R386" s="7" t="n">
        <x:v>0.16</x:v>
      </x:c>
      <x:c r="S386" s="8" t="n">
        <x:v>0.8</x:v>
      </x:c>
      <x:c r="T386" s="7"/>
      <x:c r="U386" s="7"/>
      <x:c r="V386" s="8"/>
      <x:c r="W386" s="7" t="n">
        <x:v>2</x:v>
      </x:c>
      <x:c r="X386" s="7" t="str">
        <x:v>대상: 아군과 자신. 80%확률로 보호막 12% 적용합니다. 80%확률로 공격력 증가(대) 40% 적용합니다. 80%확률로 피해 감소 16% 적용합니다.</x:v>
      </x:c>
      <x:c r="Y386" s="7" t="str">
        <x:v>Target: one ally and the caster. 80% chance to apply Barrier 12%. 80% chance to apply Greater Attack Up 40%. 80% chance to apply Damage Reduction 16%.</x:v>
      </x:c>
      <x:c r="Z386" s="7" t="str">
        <x:v>버프</x:v>
      </x:c>
    </x:row>
    <x:row r="387" ht="115" customHeight="1">
      <x:c r="A387" s="7" t="str">
        <x:v>SKILL_0381</x:v>
      </x:c>
      <x:c r="B387" s="7" t="str">
        <x:v>치명저항 증가 · 피해 분담 · 은신의 의식</x:v>
      </x:c>
      <x:c r="C387" s="7"/>
      <x:c r="D387" s="7" t="str">
        <x:v>자신</x:v>
      </x:c>
      <x:c r="E387" s="7" t="n">
        <x:v>0</x:v>
      </x:c>
      <x:c r="F387" s="7" t="n">
        <x:v>0</x:v>
      </x:c>
      <x:c r="G387" s="7" t="n">
        <x:v>0</x:v>
      </x:c>
      <x:c r="H387" s="7" t="n">
        <x:v>0</x:v>
      </x:c>
      <x:c r="I387" s="7" t="n">
        <x:v>0</x:v>
      </x:c>
      <x:c r="J387" s="7" t="n">
        <x:v>0</x:v>
      </x:c>
      <x:c r="K387" s="7" t="str">
        <x:v>CRITICAL_RESISTANCE_UP</x:v>
      </x:c>
      <x:c r="L387" s="7" t="n">
        <x:v>0.2</x:v>
      </x:c>
      <x:c r="M387" s="8" t="n">
        <x:v>0.8</x:v>
      </x:c>
      <x:c r="N387" s="7" t="str">
        <x:v>DAMAGE_SHARING</x:v>
      </x:c>
      <x:c r="O387" s="7" t="n">
        <x:v>0.16</x:v>
      </x:c>
      <x:c r="P387" s="8" t="n">
        <x:v>0.8</x:v>
      </x:c>
      <x:c r="Q387" s="7" t="str">
        <x:v>STEALTH</x:v>
      </x:c>
      <x:c r="R387" s="7" t="n">
        <x:v>1</x:v>
      </x:c>
      <x:c r="S387" s="8" t="n">
        <x:v>0.8</x:v>
      </x:c>
      <x:c r="T387" s="7"/>
      <x:c r="U387" s="7"/>
      <x:c r="V387" s="8"/>
      <x:c r="W387" s="7" t="n">
        <x:v>1</x:v>
      </x:c>
      <x:c r="X387" s="7" t="str">
        <x:v>대상: 자신. 80%확률로 치명저항 증가 20% 획득합니다. 80%확률로 피해 분담 16% 획득합니다. 80%확률로 은신 획득합니다.</x:v>
      </x:c>
      <x:c r="Y387" s="7" t="str">
        <x:v>Target: the caster. 80% chance to gain Critical Hit Resistance Up 20%. 80% chance to gain Damage Sharing 16%. 80% chance to gain Stealth.</x:v>
      </x:c>
      <x:c r="Z387" s="7" t="str">
        <x:v>버프</x:v>
      </x:c>
    </x:row>
    <x:row r="388" ht="115" customHeight="1">
      <x:c r="A388" s="7" t="str">
        <x:v>SKILL_0382</x:v>
      </x:c>
      <x:c r="B388" s="7" t="str">
        <x:v>효과적중 증가 · 강화효과 지속시간 증가 · 반격 · 면역의 의식</x:v>
      </x:c>
      <x:c r="C388" s="7"/>
      <x:c r="D388" s="7" t="str">
        <x:v>자신</x:v>
      </x:c>
      <x:c r="E388" s="7" t="n">
        <x:v>0</x:v>
      </x:c>
      <x:c r="F388" s="7" t="n">
        <x:v>0</x:v>
      </x:c>
      <x:c r="G388" s="7" t="n">
        <x:v>0</x:v>
      </x:c>
      <x:c r="H388" s="7" t="n">
        <x:v>0</x:v>
      </x:c>
      <x:c r="I388" s="7" t="n">
        <x:v>0</x:v>
      </x:c>
      <x:c r="J388" s="7" t="n">
        <x:v>0</x:v>
      </x:c>
      <x:c r="K388" s="7" t="str">
        <x:v>EFFECTIVENESS_UP</x:v>
      </x:c>
      <x:c r="L388" s="7" t="n">
        <x:v>0.163</x:v>
      </x:c>
      <x:c r="M388" s="8" t="n">
        <x:v>0.7</x:v>
      </x:c>
      <x:c r="N388" s="7" t="str">
        <x:v>BUFF_DURATION_UP</x:v>
      </x:c>
      <x:c r="O388" s="7" t="n">
        <x:v>1</x:v>
      </x:c>
      <x:c r="P388" s="8" t="n">
        <x:v>0.7</x:v>
      </x:c>
      <x:c r="Q388" s="7" t="str">
        <x:v>COUNTERATTACK</x:v>
      </x:c>
      <x:c r="R388" s="7" t="n">
        <x:v>0.26</x:v>
      </x:c>
      <x:c r="S388" s="8" t="n">
        <x:v>0.7</x:v>
      </x:c>
      <x:c r="T388" s="7" t="str">
        <x:v>IMMUNITY</x:v>
      </x:c>
      <x:c r="U388" s="7" t="n">
        <x:v>1</x:v>
      </x:c>
      <x:c r="V388" s="8" t="n">
        <x:v>0.7</x:v>
      </x:c>
      <x:c r="W388" s="7" t="n">
        <x:v>2</x:v>
      </x:c>
      <x:c r="X388" s="7" t="str">
        <x:v>대상: 자신. 70%확률로 효과적중 증가 16.3% 획득합니다. 70%확률로 강화효과 지속시간 증가 1턴 획득합니다. 70%확률로 반격 26% 획득합니다. 70%확률로 면역 획득합니다.</x:v>
      </x:c>
      <x:c r="Y388" s="7" t="str">
        <x:v>Target: the caster. 70% chance to gain Effectiveness Up 16.3%. 70% chance to gain Buff Duration Extension 1 turn. 70% chance to gain Counterattack 26%. 70% chance to gain Immunity.</x:v>
      </x:c>
      <x:c r="Z388" s="7" t="str">
        <x:v>공격|버프</x:v>
      </x:c>
    </x:row>
    <x:row r="389" ht="115" customHeight="1">
      <x:c r="A389" s="7" t="str">
        <x:v>SKILL_0383</x:v>
      </x:c>
      <x:c r="B389" s="7" t="str">
        <x:v>방어력 증가 · 반격 · 피해 분담 · 지속 회복의 의식</x:v>
      </x:c>
      <x:c r="C389" s="7"/>
      <x:c r="D389" s="7" t="str">
        <x:v>자신</x:v>
      </x:c>
      <x:c r="E389" s="7" t="n">
        <x:v>0</x:v>
      </x:c>
      <x:c r="F389" s="7" t="n">
        <x:v>0</x:v>
      </x:c>
      <x:c r="G389" s="7" t="n">
        <x:v>0</x:v>
      </x:c>
      <x:c r="H389" s="7" t="n">
        <x:v>0</x:v>
      </x:c>
      <x:c r="I389" s="7" t="n">
        <x:v>0</x:v>
      </x:c>
      <x:c r="J389" s="7" t="n">
        <x:v>0</x:v>
      </x:c>
      <x:c r="K389" s="7" t="str">
        <x:v>DEFENSE_UP</x:v>
      </x:c>
      <x:c r="L389" s="7" t="n">
        <x:v>0.227</x:v>
      </x:c>
      <x:c r="M389" s="8" t="n">
        <x:v>0.7</x:v>
      </x:c>
      <x:c r="N389" s="7" t="str">
        <x:v>COUNTERATTACK</x:v>
      </x:c>
      <x:c r="O389" s="7" t="n">
        <x:v>0.26</x:v>
      </x:c>
      <x:c r="P389" s="8" t="n">
        <x:v>0.7</x:v>
      </x:c>
      <x:c r="Q389" s="7" t="str">
        <x:v>DAMAGE_SHARING</x:v>
      </x:c>
      <x:c r="R389" s="7" t="n">
        <x:v>0.13</x:v>
      </x:c>
      <x:c r="S389" s="8" t="n">
        <x:v>0.7</x:v>
      </x:c>
      <x:c r="T389" s="7" t="str">
        <x:v>CONTINUOUS_HEAL</x:v>
      </x:c>
      <x:c r="U389" s="7" t="n">
        <x:v>0.046</x:v>
      </x:c>
      <x:c r="V389" s="8" t="n">
        <x:v>0.7</x:v>
      </x:c>
      <x:c r="W389" s="7" t="n">
        <x:v>1</x:v>
      </x:c>
      <x:c r="X389" s="7" t="str">
        <x:v>대상: 자신. 70%확률로 방어력 증가 22.7% 획득합니다. 70%확률로 반격 26% 획득합니다. 70%확률로 피해 분담 13% 획득합니다. 70%확률로 지속 회복을 부여합니다(2턴, 대상의 턴 시작마다 대상 최대생명력의 4.6% 회복).</x:v>
      </x:c>
      <x:c r="Y389" s="7" t="str">
        <x:v>Target: the caster. 70% chance to gain Defense Up 22.7%. 70% chance to gain Counterattack 26%. 70% chance to gain Damage Sharing 13%. 70% chance to grant Continuous Heal for 2 turns, restoring 4.6% of the recipient's max Health at each turn start.</x:v>
      </x:c>
      <x:c r="Z389" s="7" t="str">
        <x:v>공격|회복|버프</x:v>
      </x:c>
    </x:row>
    <x:row r="390" ht="115" customHeight="1">
      <x:c r="A390" s="7" t="str">
        <x:v>SKILL_0384</x:v>
      </x:c>
      <x:c r="B390" s="7" t="str">
        <x:v>은신 · 불사 · 생명력 회복 · 피해 감소의 의식</x:v>
      </x:c>
      <x:c r="C390" s="7"/>
      <x:c r="D390" s="7" t="str">
        <x:v>아군과 자신</x:v>
      </x:c>
      <x:c r="E390" s="7" t="n">
        <x:v>0</x:v>
      </x:c>
      <x:c r="F390" s="7" t="n">
        <x:v>0</x:v>
      </x:c>
      <x:c r="G390" s="7" t="n">
        <x:v>0</x:v>
      </x:c>
      <x:c r="H390" s="7" t="n">
        <x:v>0</x:v>
      </x:c>
      <x:c r="I390" s="7" t="n">
        <x:v>0.18</x:v>
      </x:c>
      <x:c r="J390" s="7" t="n">
        <x:v>0</x:v>
      </x:c>
      <x:c r="K390" s="7" t="str">
        <x:v>STEALTH</x:v>
      </x:c>
      <x:c r="L390" s="7" t="n">
        <x:v>1</x:v>
      </x:c>
      <x:c r="M390" s="8" t="n">
        <x:v>0.7</x:v>
      </x:c>
      <x:c r="N390" s="7" t="str">
        <x:v>IMMORTALITY</x:v>
      </x:c>
      <x:c r="O390" s="7" t="n">
        <x:v>1</x:v>
      </x:c>
      <x:c r="P390" s="8" t="n">
        <x:v>0.7</x:v>
      </x:c>
      <x:c r="Q390" s="7" t="str">
        <x:v>HEAL</x:v>
      </x:c>
      <x:c r="R390" s="7" t="n">
        <x:v>1</x:v>
      </x:c>
      <x:c r="S390" s="8" t="n">
        <x:v>1</x:v>
      </x:c>
      <x:c r="T390" s="7" t="str">
        <x:v>DAMAGE_REDUCTION</x:v>
      </x:c>
      <x:c r="U390" s="7" t="n">
        <x:v>0.13</x:v>
      </x:c>
      <x:c r="V390" s="8" t="n">
        <x:v>0.7</x:v>
      </x:c>
      <x:c r="W390" s="7" t="n">
        <x:v>5</x:v>
      </x:c>
      <x:c r="X390" s="7" t="str">
        <x:v>대상: 아군과 자신. 아군과 자신을 시전자의 공격력의 0.18배만큼 회복시킵니다. 70%확률로 은신 적용합니다. 70%확률로 불사 적용합니다. 70%확률로 피해 감소 13% 적용합니다.</x:v>
      </x:c>
      <x:c r="Y390" s="7" t="str">
        <x:v>Target: one ally and the caster. Heals one ally and the caster for 0.18 × caster Attack. 70% chance to apply Stealth. 70% chance to apply Immortality. 70% chance to apply Damage Reduction 13%.</x:v>
      </x:c>
      <x:c r="Z390" s="7" t="str">
        <x:v>회복|버프</x:v>
      </x:c>
    </x:row>
    <x:row r="391" ht="115" customHeight="1">
      <x:c r="A391" s="7" t="str">
        <x:v>SKILL_0385</x:v>
      </x:c>
      <x:c r="B391" s="7" t="str">
        <x:v>방어력 증가 · 약화효과 해제의 의식</x:v>
      </x:c>
      <x:c r="C391" s="7"/>
      <x:c r="D391" s="7" t="str">
        <x:v>아군</x:v>
      </x:c>
      <x:c r="E391" s="7" t="n">
        <x:v>0</x:v>
      </x:c>
      <x:c r="F391" s="7" t="n">
        <x:v>0</x:v>
      </x:c>
      <x:c r="G391" s="7" t="n">
        <x:v>0</x:v>
      </x:c>
      <x:c r="H391" s="7" t="n">
        <x:v>0</x:v>
      </x:c>
      <x:c r="I391" s="7" t="n">
        <x:v>0</x:v>
      </x:c>
      <x:c r="J391" s="7" t="n">
        <x:v>0</x:v>
      </x:c>
      <x:c r="K391" s="7" t="str">
        <x:v>DEFENSE_UP</x:v>
      </x:c>
      <x:c r="L391" s="7" t="n">
        <x:v>0.35</x:v>
      </x:c>
      <x:c r="M391" s="8" t="n">
        <x:v>0.9</x:v>
      </x:c>
      <x:c r="N391" s="7" t="str">
        <x:v>CLEANSE_DEBUFF</x:v>
      </x:c>
      <x:c r="O391" s="7" t="n">
        <x:v>1</x:v>
      </x:c>
      <x:c r="P391" s="8" t="n">
        <x:v>0.9</x:v>
      </x:c>
      <x:c r="Q391" s="7"/>
      <x:c r="R391" s="7"/>
      <x:c r="S391" s="8"/>
      <x:c r="T391" s="7"/>
      <x:c r="U391" s="7"/>
      <x:c r="V391" s="8"/>
      <x:c r="W391" s="7" t="n">
        <x:v>1</x:v>
      </x:c>
      <x:c r="X391" s="7" t="str">
        <x:v>대상: 아군. 90%확률로 방어력 증가 35% 적용합니다. 90%확률로 약화효과 해제 1개 적용합니다.</x:v>
      </x:c>
      <x:c r="Y391" s="7" t="str">
        <x:v>Target: one ally. 90% chance to apply Defense Up 35%. 90% chance to apply Cleanse Debuff 1 count.</x:v>
      </x:c>
      <x:c r="Z391" s="7" t="str">
        <x:v>버프</x:v>
      </x:c>
    </x:row>
    <x:row r="392" ht="115" customHeight="1">
      <x:c r="A392" s="7" t="str">
        <x:v>SKILL_0386</x:v>
      </x:c>
      <x:c r="B392" s="7" t="str">
        <x:v>보호막 · 치명저항 증가 · 면역의 의식</x:v>
      </x:c>
      <x:c r="C392" s="7"/>
      <x:c r="D392" s="7" t="str">
        <x:v>자신</x:v>
      </x:c>
      <x:c r="E392" s="7" t="n">
        <x:v>0</x:v>
      </x:c>
      <x:c r="F392" s="7" t="n">
        <x:v>0</x:v>
      </x:c>
      <x:c r="G392" s="7" t="n">
        <x:v>0</x:v>
      </x:c>
      <x:c r="H392" s="7" t="n">
        <x:v>0</x:v>
      </x:c>
      <x:c r="I392" s="7" t="n">
        <x:v>0</x:v>
      </x:c>
      <x:c r="J392" s="7" t="n">
        <x:v>0</x:v>
      </x:c>
      <x:c r="K392" s="7" t="str">
        <x:v>BARRIER</x:v>
      </x:c>
      <x:c r="L392" s="7" t="n">
        <x:v>0.12</x:v>
      </x:c>
      <x:c r="M392" s="8" t="n">
        <x:v>0.8</x:v>
      </x:c>
      <x:c r="N392" s="7" t="str">
        <x:v>CRITICAL_RESISTANCE_UP</x:v>
      </x:c>
      <x:c r="O392" s="7" t="n">
        <x:v>0.2</x:v>
      </x:c>
      <x:c r="P392" s="8" t="n">
        <x:v>0.8</x:v>
      </x:c>
      <x:c r="Q392" s="7" t="str">
        <x:v>IMMUNITY</x:v>
      </x:c>
      <x:c r="R392" s="7" t="n">
        <x:v>1</x:v>
      </x:c>
      <x:c r="S392" s="8" t="n">
        <x:v>0.8</x:v>
      </x:c>
      <x:c r="T392" s="7"/>
      <x:c r="U392" s="7"/>
      <x:c r="V392" s="8"/>
      <x:c r="W392" s="7" t="n">
        <x:v>1</x:v>
      </x:c>
      <x:c r="X392" s="7" t="str">
        <x:v>대상: 자신. 80%확률로 보호막 12% 획득합니다. 80%확률로 치명저항 증가 20% 획득합니다. 80%확률로 면역 획득합니다.</x:v>
      </x:c>
      <x:c r="Y392" s="7" t="str">
        <x:v>Target: the caster. 80% chance to gain Barrier 12%. 80% chance to gain Critical Hit Resistance Up 20%. 80% chance to gain Immunity.</x:v>
      </x:c>
      <x:c r="Z392" s="7" t="str">
        <x:v>버프</x:v>
      </x:c>
    </x:row>
    <x:row r="393" ht="115" customHeight="1">
      <x:c r="A393" s="7" t="str">
        <x:v>SKILL_0387</x:v>
      </x:c>
      <x:c r="B393" s="7" t="str">
        <x:v>효과저항 증가 · 은신 · 피해 반사의 의식</x:v>
      </x:c>
      <x:c r="C393" s="7"/>
      <x:c r="D393" s="7" t="str">
        <x:v>아군전체</x:v>
      </x:c>
      <x:c r="E393" s="7" t="n">
        <x:v>0</x:v>
      </x:c>
      <x:c r="F393" s="7" t="n">
        <x:v>0</x:v>
      </x:c>
      <x:c r="G393" s="7" t="n">
        <x:v>0</x:v>
      </x:c>
      <x:c r="H393" s="7" t="n">
        <x:v>0</x:v>
      </x:c>
      <x:c r="I393" s="7" t="n">
        <x:v>0</x:v>
      </x:c>
      <x:c r="J393" s="7" t="n">
        <x:v>0</x:v>
      </x:c>
      <x:c r="K393" s="7" t="str">
        <x:v>EFFECT_RESISTANCE_UP</x:v>
      </x:c>
      <x:c r="L393" s="7" t="n">
        <x:v>0.2</x:v>
      </x:c>
      <x:c r="M393" s="8" t="n">
        <x:v>0.8</x:v>
      </x:c>
      <x:c r="N393" s="7" t="str">
        <x:v>STEALTH</x:v>
      </x:c>
      <x:c r="O393" s="7" t="n">
        <x:v>1</x:v>
      </x:c>
      <x:c r="P393" s="8" t="n">
        <x:v>0.8</x:v>
      </x:c>
      <x:c r="Q393" s="7" t="str">
        <x:v>DAMAGE_REFLECTION</x:v>
      </x:c>
      <x:c r="R393" s="7" t="n">
        <x:v>0.16</x:v>
      </x:c>
      <x:c r="S393" s="8" t="n">
        <x:v>0.8</x:v>
      </x:c>
      <x:c r="T393" s="7"/>
      <x:c r="U393" s="7"/>
      <x:c r="V393" s="8"/>
      <x:c r="W393" s="7" t="n">
        <x:v>4</x:v>
      </x:c>
      <x:c r="X393" s="7" t="str">
        <x:v>대상: 아군전체. 80%확률로 효과저항 증가 20% 적용합니다. 80%확률로 은신 적용합니다. 80%확률로 피해 반사 16% 적용합니다.</x:v>
      </x:c>
      <x:c r="Y393" s="7" t="str">
        <x:v>Target: all allies. 80% chance to apply Effect Resistance Up 20%. 80% chance to apply Stealth. 80% chance to apply Damage Reflection 16%.</x:v>
      </x:c>
      <x:c r="Z393" s="7" t="str">
        <x:v>공격|버프</x:v>
      </x:c>
    </x:row>
    <x:row r="394" ht="115" customHeight="1">
      <x:c r="A394" s="7" t="str">
        <x:v>SKILL_0388</x:v>
      </x:c>
      <x:c r="B394" s="7" t="str">
        <x:v>반격 · 피해 감소 · 은신 · 스킬 쿨타임 감소의 의식</x:v>
      </x:c>
      <x:c r="C394" s="7"/>
      <x:c r="D394" s="7" t="str">
        <x:v>아군과 자신</x:v>
      </x:c>
      <x:c r="E394" s="7" t="n">
        <x:v>0</x:v>
      </x:c>
      <x:c r="F394" s="7" t="n">
        <x:v>0</x:v>
      </x:c>
      <x:c r="G394" s="7" t="n">
        <x:v>0</x:v>
      </x:c>
      <x:c r="H394" s="7" t="n">
        <x:v>0</x:v>
      </x:c>
      <x:c r="I394" s="7" t="n">
        <x:v>0</x:v>
      </x:c>
      <x:c r="J394" s="7" t="n">
        <x:v>0</x:v>
      </x:c>
      <x:c r="K394" s="7" t="str">
        <x:v>COUNTERATTACK</x:v>
      </x:c>
      <x:c r="L394" s="7" t="n">
        <x:v>0.26</x:v>
      </x:c>
      <x:c r="M394" s="8" t="n">
        <x:v>0.7</x:v>
      </x:c>
      <x:c r="N394" s="7" t="str">
        <x:v>DAMAGE_REDUCTION</x:v>
      </x:c>
      <x:c r="O394" s="7" t="n">
        <x:v>0.13</x:v>
      </x:c>
      <x:c r="P394" s="8" t="n">
        <x:v>0.7</x:v>
      </x:c>
      <x:c r="Q394" s="7" t="str">
        <x:v>STEALTH</x:v>
      </x:c>
      <x:c r="R394" s="7" t="n">
        <x:v>1</x:v>
      </x:c>
      <x:c r="S394" s="8" t="n">
        <x:v>0.7</x:v>
      </x:c>
      <x:c r="T394" s="7" t="str">
        <x:v>SKILL_COOLDOWN_DOWN</x:v>
      </x:c>
      <x:c r="U394" s="7" t="n">
        <x:v>1</x:v>
      </x:c>
      <x:c r="V394" s="8" t="n">
        <x:v>0.7</x:v>
      </x:c>
      <x:c r="W394" s="7" t="n">
        <x:v>5</x:v>
      </x:c>
      <x:c r="X394" s="7" t="str">
        <x:v>대상: 아군과 자신. 70%확률로 반격 26% 적용합니다. 70%확률로 피해 감소 13% 적용합니다. 70%확률로 은신 적용합니다. 70%확률로 스킬 쿨타임 감소 1턴 적용합니다.</x:v>
      </x:c>
      <x:c r="Y394" s="7" t="str">
        <x:v>Target: one ally and the caster. 70% chance to apply Counterattack 26%. 70% chance to apply Damage Reduction 13%. 70% chance to apply Stealth. 70% chance to apply Skill Cooldown Reduction 1 turn.</x:v>
      </x:c>
      <x:c r="Z394" s="7" t="str">
        <x:v>공격|버프</x:v>
      </x:c>
    </x:row>
    <x:row r="395" ht="115" customHeight="1">
      <x:c r="A395" s="7" t="str">
        <x:v>SKILL_0389</x:v>
      </x:c>
      <x:c r="B395" s="7" t="str">
        <x:v>방어력 증가 · 무적 · 공격력 증가 · 보호막의 의식</x:v>
      </x:c>
      <x:c r="C395" s="7"/>
      <x:c r="D395" s="7" t="str">
        <x:v>아군</x:v>
      </x:c>
      <x:c r="E395" s="7" t="n">
        <x:v>0</x:v>
      </x:c>
      <x:c r="F395" s="7" t="n">
        <x:v>0</x:v>
      </x:c>
      <x:c r="G395" s="7" t="n">
        <x:v>0</x:v>
      </x:c>
      <x:c r="H395" s="7" t="n">
        <x:v>0</x:v>
      </x:c>
      <x:c r="I395" s="7" t="n">
        <x:v>0</x:v>
      </x:c>
      <x:c r="J395" s="7" t="n">
        <x:v>0</x:v>
      </x:c>
      <x:c r="K395" s="7" t="str">
        <x:v>DEFENSE_UP</x:v>
      </x:c>
      <x:c r="L395" s="7" t="n">
        <x:v>0.227</x:v>
      </x:c>
      <x:c r="M395" s="8" t="n">
        <x:v>0.7</x:v>
      </x:c>
      <x:c r="N395" s="7" t="str">
        <x:v>INVINCIBILITY</x:v>
      </x:c>
      <x:c r="O395" s="7" t="n">
        <x:v>1</x:v>
      </x:c>
      <x:c r="P395" s="8" t="n">
        <x:v>0.7</x:v>
      </x:c>
      <x:c r="Q395" s="7" t="str">
        <x:v>ATTACK_UP</x:v>
      </x:c>
      <x:c r="R395" s="7" t="n">
        <x:v>0.195</x:v>
      </x:c>
      <x:c r="S395" s="8" t="n">
        <x:v>0.7</x:v>
      </x:c>
      <x:c r="T395" s="7" t="str">
        <x:v>BARRIER</x:v>
      </x:c>
      <x:c r="U395" s="7" t="n">
        <x:v>0.098</x:v>
      </x:c>
      <x:c r="V395" s="8" t="n">
        <x:v>0.7</x:v>
      </x:c>
      <x:c r="W395" s="7" t="n">
        <x:v>3</x:v>
      </x:c>
      <x:c r="X395" s="7" t="str">
        <x:v>대상: 아군. 70%확률로 방어력 증가 22.7% 적용합니다. 70%확률로 무적 적용합니다. 70%확률로 공격력 증가 19.5% 적용합니다. 70%확률로 보호막 9.8% 적용합니다.</x:v>
      </x:c>
      <x:c r="Y395" s="7" t="str">
        <x:v>Target: one ally. 70% chance to apply Defense Up 22.7%. 70% chance to apply Invincibility. 70% chance to apply Attack Up 19.5%. 70% chance to apply Barrier 9.8%.</x:v>
      </x:c>
      <x:c r="Z395" s="7" t="str">
        <x:v>버프</x:v>
      </x:c>
    </x:row>
    <x:row r="396" ht="115" customHeight="1">
      <x:c r="A396" s="7" t="str">
        <x:v>SKILL_0390</x:v>
      </x:c>
      <x:c r="B396" s="7" t="str">
        <x:v>무적 · 피해 감소 · 스킬 쿨타임 초기화 · 생명력 회복의 의식</x:v>
      </x:c>
      <x:c r="C396" s="7"/>
      <x:c r="D396" s="7" t="str">
        <x:v>아군</x:v>
      </x:c>
      <x:c r="E396" s="7" t="n">
        <x:v>0</x:v>
      </x:c>
      <x:c r="F396" s="7" t="n">
        <x:v>0</x:v>
      </x:c>
      <x:c r="G396" s="7" t="n">
        <x:v>0</x:v>
      </x:c>
      <x:c r="H396" s="7" t="n">
        <x:v>0</x:v>
      </x:c>
      <x:c r="I396" s="7" t="n">
        <x:v>0.18</x:v>
      </x:c>
      <x:c r="J396" s="7" t="n">
        <x:v>0</x:v>
      </x:c>
      <x:c r="K396" s="7" t="str">
        <x:v>INVINCIBILITY</x:v>
      </x:c>
      <x:c r="L396" s="7" t="n">
        <x:v>1</x:v>
      </x:c>
      <x:c r="M396" s="8" t="n">
        <x:v>0.65</x:v>
      </x:c>
      <x:c r="N396" s="7" t="str">
        <x:v>DAMAGE_REDUCTION</x:v>
      </x:c>
      <x:c r="O396" s="7" t="n">
        <x:v>0.13</x:v>
      </x:c>
      <x:c r="P396" s="8" t="n">
        <x:v>0.65</x:v>
      </x:c>
      <x:c r="Q396" s="7" t="str">
        <x:v>SKILL_COOLDOWN_RESET</x:v>
      </x:c>
      <x:c r="R396" s="7" t="n">
        <x:v>1</x:v>
      </x:c>
      <x:c r="S396" s="8" t="n">
        <x:v>0.65</x:v>
      </x:c>
      <x:c r="T396" s="7" t="str">
        <x:v>HEAL</x:v>
      </x:c>
      <x:c r="U396" s="7" t="n">
        <x:v>1</x:v>
      </x:c>
      <x:c r="V396" s="8" t="n">
        <x:v>1</x:v>
      </x:c>
      <x:c r="W396" s="7" t="n">
        <x:v>5</x:v>
      </x:c>
      <x:c r="X396" s="7" t="str">
        <x:v>대상: 아군. 아군을 시전자의 공격력의 0.18배만큼 회복시킵니다. 65%확률로 무적 적용합니다. 65%확률로 피해 감소 13% 적용합니다. 65%확률로 스킬 쿨타임 초기화 1개 적용합니다.</x:v>
      </x:c>
      <x:c r="Y396" s="7" t="str">
        <x:v>Target: one ally. Heals one ally for 0.18 × caster Attack. 65% chance to apply Invincibility. 65% chance to apply Damage Reduction 13%. 65% chance to apply Skill Cooldown Reset 1 count.</x:v>
      </x:c>
      <x:c r="Z396" s="7" t="str">
        <x:v>회복|버프</x:v>
      </x:c>
    </x:row>
    <x:row r="397" ht="115" customHeight="1">
      <x:c r="A397" s="7" t="str">
        <x:v>SKILL_0391</x:v>
      </x:c>
      <x:c r="B397" s="7" t="str">
        <x:v>은신 · 치명피해 증가 · 피해 감소 · 스킬 쿨타임 초기화의 의식</x:v>
      </x:c>
      <x:c r="C397" s="7"/>
      <x:c r="D397" s="7" t="str">
        <x:v>아군</x:v>
      </x:c>
      <x:c r="E397" s="7" t="n">
        <x:v>0</x:v>
      </x:c>
      <x:c r="F397" s="7" t="n">
        <x:v>0</x:v>
      </x:c>
      <x:c r="G397" s="7" t="n">
        <x:v>0</x:v>
      </x:c>
      <x:c r="H397" s="7" t="n">
        <x:v>0</x:v>
      </x:c>
      <x:c r="I397" s="7" t="n">
        <x:v>0</x:v>
      </x:c>
      <x:c r="J397" s="7" t="n">
        <x:v>0</x:v>
      </x:c>
      <x:c r="K397" s="7" t="str">
        <x:v>STEALTH</x:v>
      </x:c>
      <x:c r="L397" s="7" t="n">
        <x:v>1</x:v>
      </x:c>
      <x:c r="M397" s="8" t="n">
        <x:v>0.7</x:v>
      </x:c>
      <x:c r="N397" s="7" t="str">
        <x:v>CRITICAL_DAMAGE_UP</x:v>
      </x:c>
      <x:c r="O397" s="7" t="n">
        <x:v>0.195</x:v>
      </x:c>
      <x:c r="P397" s="8" t="n">
        <x:v>0.7</x:v>
      </x:c>
      <x:c r="Q397" s="7" t="str">
        <x:v>DAMAGE_REDUCTION</x:v>
      </x:c>
      <x:c r="R397" s="7" t="n">
        <x:v>0.13</x:v>
      </x:c>
      <x:c r="S397" s="8" t="n">
        <x:v>0.7</x:v>
      </x:c>
      <x:c r="T397" s="7" t="str">
        <x:v>SKILL_COOLDOWN_RESET</x:v>
      </x:c>
      <x:c r="U397" s="7" t="n">
        <x:v>1</x:v>
      </x:c>
      <x:c r="V397" s="8" t="n">
        <x:v>0.7</x:v>
      </x:c>
      <x:c r="W397" s="7" t="n">
        <x:v>5</x:v>
      </x:c>
      <x:c r="X397" s="7" t="str">
        <x:v>대상: 아군. 70%확률로 은신 적용합니다. 70%확률로 치명피해 증가 19.5% 적용합니다. 70%확률로 피해 감소 13% 적용합니다. 70%확률로 스킬 쿨타임 초기화 1개 적용합니다.</x:v>
      </x:c>
      <x:c r="Y397" s="7" t="str">
        <x:v>Target: one ally. 70% chance to apply Stealth. 70% chance to apply Critical Hit Damage Up 19.5%. 70% chance to apply Damage Reduction 13%. 70% chance to apply Skill Cooldown Reset 1 count.</x:v>
      </x:c>
      <x:c r="Z397" s="7" t="str">
        <x:v>버프</x:v>
      </x:c>
    </x:row>
    <x:row r="398" ht="115" customHeight="1">
      <x:c r="A398" s="7" t="str">
        <x:v>SKILL_0392</x:v>
      </x:c>
      <x:c r="B398" s="7" t="str">
        <x:v>불사 · 명중 증가 · 면역의 의식</x:v>
      </x:c>
      <x:c r="C398" s="7"/>
      <x:c r="D398" s="7" t="str">
        <x:v>아군과 자신</x:v>
      </x:c>
      <x:c r="E398" s="7" t="n">
        <x:v>0</x:v>
      </x:c>
      <x:c r="F398" s="7" t="n">
        <x:v>0</x:v>
      </x:c>
      <x:c r="G398" s="7" t="n">
        <x:v>0</x:v>
      </x:c>
      <x:c r="H398" s="7" t="n">
        <x:v>0</x:v>
      </x:c>
      <x:c r="I398" s="7" t="n">
        <x:v>0</x:v>
      </x:c>
      <x:c r="J398" s="7" t="n">
        <x:v>0</x:v>
      </x:c>
      <x:c r="K398" s="7" t="str">
        <x:v>IMMORTALITY</x:v>
      </x:c>
      <x:c r="L398" s="7" t="n">
        <x:v>1</x:v>
      </x:c>
      <x:c r="M398" s="8" t="n">
        <x:v>0.8</x:v>
      </x:c>
      <x:c r="N398" s="7" t="str">
        <x:v>HIT_CHANCE_UP</x:v>
      </x:c>
      <x:c r="O398" s="7" t="n">
        <x:v>0.16</x:v>
      </x:c>
      <x:c r="P398" s="8" t="n">
        <x:v>0.8</x:v>
      </x:c>
      <x:c r="Q398" s="7" t="str">
        <x:v>IMMUNITY</x:v>
      </x:c>
      <x:c r="R398" s="7" t="n">
        <x:v>1</x:v>
      </x:c>
      <x:c r="S398" s="8" t="n">
        <x:v>0.8</x:v>
      </x:c>
      <x:c r="T398" s="7"/>
      <x:c r="U398" s="7"/>
      <x:c r="V398" s="8"/>
      <x:c r="W398" s="7" t="n">
        <x:v>5</x:v>
      </x:c>
      <x:c r="X398" s="7" t="str">
        <x:v>대상: 아군과 자신. 80%확률로 불사 적용합니다. 80%확률로 명중 증가 16% 적용합니다. 80%확률로 면역 적용합니다.</x:v>
      </x:c>
      <x:c r="Y398" s="7" t="str">
        <x:v>Target: one ally and the caster. 80% chance to apply Immortality. 80% chance to apply Hit Chance Up 16%. 80% chance to apply Immunity.</x:v>
      </x:c>
      <x:c r="Z398" s="7" t="str">
        <x:v>버프</x:v>
      </x:c>
    </x:row>
    <x:row r="399" ht="115" customHeight="1">
      <x:c r="A399" s="7" t="str">
        <x:v>SKILL_0393</x:v>
      </x:c>
      <x:c r="B399" s="7" t="str">
        <x:v>반격 · 지속 회복의 의식</x:v>
      </x:c>
      <x:c r="C399" s="7"/>
      <x:c r="D399" s="7" t="str">
        <x:v>아군</x:v>
      </x:c>
      <x:c r="E399" s="7" t="n">
        <x:v>0</x:v>
      </x:c>
      <x:c r="F399" s="7" t="n">
        <x:v>0</x:v>
      </x:c>
      <x:c r="G399" s="7" t="n">
        <x:v>0</x:v>
      </x:c>
      <x:c r="H399" s="7" t="n">
        <x:v>0</x:v>
      </x:c>
      <x:c r="I399" s="7" t="n">
        <x:v>0</x:v>
      </x:c>
      <x:c r="J399" s="7" t="n">
        <x:v>0</x:v>
      </x:c>
      <x:c r="K399" s="7" t="str">
        <x:v>COUNTERATTACK</x:v>
      </x:c>
      <x:c r="L399" s="7" t="n">
        <x:v>0.4</x:v>
      </x:c>
      <x:c r="M399" s="8" t="n">
        <x:v>0.9</x:v>
      </x:c>
      <x:c r="N399" s="7" t="str">
        <x:v>CONTINUOUS_HEAL</x:v>
      </x:c>
      <x:c r="O399" s="7" t="n">
        <x:v>0.07</x:v>
      </x:c>
      <x:c r="P399" s="8" t="n">
        <x:v>0.9</x:v>
      </x:c>
      <x:c r="Q399" s="7"/>
      <x:c r="R399" s="7"/>
      <x:c r="S399" s="8"/>
      <x:c r="T399" s="7"/>
      <x:c r="U399" s="7"/>
      <x:c r="V399" s="8"/>
      <x:c r="W399" s="7" t="n">
        <x:v>1</x:v>
      </x:c>
      <x:c r="X399" s="7" t="str">
        <x:v>대상: 아군. 90%확률로 반격 40% 적용합니다. 90%확률로 지속 회복을 부여합니다(2턴, 대상의 턴 시작마다 대상 최대생명력의 7% 회복).</x:v>
      </x:c>
      <x:c r="Y399" s="7" t="str">
        <x:v>Target: one ally. 90% chance to apply Counterattack 40%. 90% chance to grant Continuous Heal for 2 turns, restoring 7% of the recipient's max Health at each turn start.</x:v>
      </x:c>
      <x:c r="Z399" s="7" t="str">
        <x:v>공격|회복|버프</x:v>
      </x:c>
    </x:row>
    <x:row r="400" ht="115" customHeight="1">
      <x:c r="A400" s="7" t="str">
        <x:v>SKILL_0394</x:v>
      </x:c>
      <x:c r="B400" s="7" t="str">
        <x:v>방어력 증가 · 공격력 증가의 의식</x:v>
      </x:c>
      <x:c r="C400" s="7"/>
      <x:c r="D400" s="7" t="str">
        <x:v>자신</x:v>
      </x:c>
      <x:c r="E400" s="7" t="n">
        <x:v>0</x:v>
      </x:c>
      <x:c r="F400" s="7" t="n">
        <x:v>0</x:v>
      </x:c>
      <x:c r="G400" s="7" t="n">
        <x:v>0</x:v>
      </x:c>
      <x:c r="H400" s="7" t="n">
        <x:v>0</x:v>
      </x:c>
      <x:c r="I400" s="7" t="n">
        <x:v>0</x:v>
      </x:c>
      <x:c r="J400" s="7" t="n">
        <x:v>0</x:v>
      </x:c>
      <x:c r="K400" s="7" t="str">
        <x:v>DEFENSE_UP</x:v>
      </x:c>
      <x:c r="L400" s="7" t="n">
        <x:v>0.35</x:v>
      </x:c>
      <x:c r="M400" s="8" t="n">
        <x:v>0.9</x:v>
      </x:c>
      <x:c r="N400" s="7" t="str">
        <x:v>ATTACK_UP</x:v>
      </x:c>
      <x:c r="O400" s="7" t="n">
        <x:v>0.3</x:v>
      </x:c>
      <x:c r="P400" s="8" t="n">
        <x:v>0.9</x:v>
      </x:c>
      <x:c r="Q400" s="7"/>
      <x:c r="R400" s="7"/>
      <x:c r="S400" s="8"/>
      <x:c r="T400" s="7"/>
      <x:c r="U400" s="7"/>
      <x:c r="V400" s="8"/>
      <x:c r="W400" s="7" t="n">
        <x:v>1</x:v>
      </x:c>
      <x:c r="X400" s="7" t="str">
        <x:v>대상: 자신. 90%확률로 방어력 증가 35% 획득합니다. 90%확률로 공격력 증가 30% 획득합니다.</x:v>
      </x:c>
      <x:c r="Y400" s="7" t="str">
        <x:v>Target: the caster. 90% chance to gain Defense Up 35%. 90% chance to gain Attack Up 30%.</x:v>
      </x:c>
      <x:c r="Z400" s="7" t="str">
        <x:v>버프</x:v>
      </x:c>
    </x:row>
    <x:row r="401" ht="115" customHeight="1">
      <x:c r="A401" s="7" t="str">
        <x:v>SKILL_0395</x:v>
      </x:c>
      <x:c r="B401" s="7" t="str">
        <x:v>소생 · 효과적중 증가 · 은신의 의식</x:v>
      </x:c>
      <x:c r="C401" s="7"/>
      <x:c r="D401" s="7" t="str">
        <x:v>아군</x:v>
      </x:c>
      <x:c r="E401" s="7" t="n">
        <x:v>0</x:v>
      </x:c>
      <x:c r="F401" s="7" t="n">
        <x:v>0</x:v>
      </x:c>
      <x:c r="G401" s="7" t="n">
        <x:v>0</x:v>
      </x:c>
      <x:c r="H401" s="7" t="n">
        <x:v>0</x:v>
      </x:c>
      <x:c r="I401" s="7" t="n">
        <x:v>0</x:v>
      </x:c>
      <x:c r="J401" s="7" t="n">
        <x:v>0</x:v>
      </x:c>
      <x:c r="K401" s="7" t="str">
        <x:v>AUTO_REVIVE</x:v>
      </x:c>
      <x:c r="L401" s="7" t="n">
        <x:v>1</x:v>
      </x:c>
      <x:c r="M401" s="8" t="n">
        <x:v>1</x:v>
      </x:c>
      <x:c r="N401" s="7" t="str">
        <x:v>EFFECTIVENESS_UP</x:v>
      </x:c>
      <x:c r="O401" s="7" t="n">
        <x:v>0.2</x:v>
      </x:c>
      <x:c r="P401" s="8" t="n">
        <x:v>0.8</x:v>
      </x:c>
      <x:c r="Q401" s="7" t="str">
        <x:v>STEALTH</x:v>
      </x:c>
      <x:c r="R401" s="7" t="n">
        <x:v>1</x:v>
      </x:c>
      <x:c r="S401" s="8" t="n">
        <x:v>0.8</x:v>
      </x:c>
      <x:c r="T401" s="7"/>
      <x:c r="U401" s="7"/>
      <x:c r="V401" s="8"/>
      <x:c r="W401" s="7" t="n">
        <x:v>5</x:v>
      </x:c>
      <x:c r="X401" s="7" t="str">
        <x:v>대상: 아군. 100%확률로 소생 100% 적용합니다. 80%확률로 효과적중 증가 20% 적용합니다. 80%확률로 은신 적용합니다.</x:v>
      </x:c>
      <x:c r="Y401" s="7" t="str">
        <x:v>Target: one ally. 100% chance to apply Auto Revive 100%. 80% chance to apply Effectiveness Up 20%. 80% chance to apply Stealth.</x:v>
      </x:c>
      <x:c r="Z401" s="7" t="str">
        <x:v>회복|버프</x:v>
      </x:c>
    </x:row>
    <x:row r="402" ht="115" customHeight="1">
      <x:c r="A402" s="7" t="str">
        <x:v>SKILL_0396</x:v>
      </x:c>
      <x:c r="B402" s="7" t="str">
        <x:v>소생 · 은신의 의식</x:v>
      </x:c>
      <x:c r="C402" s="7"/>
      <x:c r="D402" s="7" t="str">
        <x:v>아군</x:v>
      </x:c>
      <x:c r="E402" s="7" t="n">
        <x:v>0</x:v>
      </x:c>
      <x:c r="F402" s="7" t="n">
        <x:v>0</x:v>
      </x:c>
      <x:c r="G402" s="7" t="n">
        <x:v>0</x:v>
      </x:c>
      <x:c r="H402" s="7" t="n">
        <x:v>0</x:v>
      </x:c>
      <x:c r="I402" s="7" t="n">
        <x:v>0</x:v>
      </x:c>
      <x:c r="J402" s="7" t="n">
        <x:v>0</x:v>
      </x:c>
      <x:c r="K402" s="7" t="str">
        <x:v>AUTO_REVIVE</x:v>
      </x:c>
      <x:c r="L402" s="7" t="n">
        <x:v>1</x:v>
      </x:c>
      <x:c r="M402" s="8" t="n">
        <x:v>1</x:v>
      </x:c>
      <x:c r="N402" s="7" t="str">
        <x:v>STEALTH</x:v>
      </x:c>
      <x:c r="O402" s="7" t="n">
        <x:v>1</x:v>
      </x:c>
      <x:c r="P402" s="8" t="n">
        <x:v>0.9</x:v>
      </x:c>
      <x:c r="Q402" s="7"/>
      <x:c r="R402" s="7"/>
      <x:c r="S402" s="8"/>
      <x:c r="T402" s="7"/>
      <x:c r="U402" s="7"/>
      <x:c r="V402" s="8"/>
      <x:c r="W402" s="7" t="n">
        <x:v>5</x:v>
      </x:c>
      <x:c r="X402" s="7" t="str">
        <x:v>대상: 아군. 100%확률로 소생 100% 적용합니다. 90%확률로 은신 적용합니다.</x:v>
      </x:c>
      <x:c r="Y402" s="7" t="str">
        <x:v>Target: one ally. 100% chance to apply Auto Revive 100%. 90% chance to apply Stealth.</x:v>
      </x:c>
      <x:c r="Z402" s="7" t="str">
        <x:v>회복|버프</x:v>
      </x:c>
    </x:row>
    <x:row r="403" ht="115" customHeight="1">
      <x:c r="A403" s="7" t="str">
        <x:v>SKILL_0397</x:v>
      </x:c>
      <x:c r="B403" s="7" t="str">
        <x:v>강화효과 지속시간 증가 · 방어력 증가 · 반격 · 속도 증가의 의식</x:v>
      </x:c>
      <x:c r="C403" s="7"/>
      <x:c r="D403" s="7" t="str">
        <x:v>아군</x:v>
      </x:c>
      <x:c r="E403" s="7" t="n">
        <x:v>0</x:v>
      </x:c>
      <x:c r="F403" s="7" t="n">
        <x:v>0</x:v>
      </x:c>
      <x:c r="G403" s="7" t="n">
        <x:v>0</x:v>
      </x:c>
      <x:c r="H403" s="7" t="n">
        <x:v>0</x:v>
      </x:c>
      <x:c r="I403" s="7" t="n">
        <x:v>0</x:v>
      </x:c>
      <x:c r="J403" s="7" t="n">
        <x:v>0</x:v>
      </x:c>
      <x:c r="K403" s="7" t="str">
        <x:v>BUFF_DURATION_UP</x:v>
      </x:c>
      <x:c r="L403" s="7" t="n">
        <x:v>1</x:v>
      </x:c>
      <x:c r="M403" s="8" t="n">
        <x:v>0.7</x:v>
      </x:c>
      <x:c r="N403" s="7" t="str">
        <x:v>DEFENSE_UP</x:v>
      </x:c>
      <x:c r="O403" s="7" t="n">
        <x:v>0.227</x:v>
      </x:c>
      <x:c r="P403" s="8" t="n">
        <x:v>0.7</x:v>
      </x:c>
      <x:c r="Q403" s="7" t="str">
        <x:v>COUNTERATTACK</x:v>
      </x:c>
      <x:c r="R403" s="7" t="n">
        <x:v>0.26</x:v>
      </x:c>
      <x:c r="S403" s="8" t="n">
        <x:v>0.7</x:v>
      </x:c>
      <x:c r="T403" s="7" t="str">
        <x:v>SPEED_UP</x:v>
      </x:c>
      <x:c r="U403" s="7" t="n">
        <x:v>0.13</x:v>
      </x:c>
      <x:c r="V403" s="8" t="n">
        <x:v>0.7</x:v>
      </x:c>
      <x:c r="W403" s="7" t="n">
        <x:v>2</x:v>
      </x:c>
      <x:c r="X403" s="7" t="str">
        <x:v>대상: 아군. 70%확률로 강화효과 지속시간 증가 1턴 적용합니다. 70%확률로 방어력 증가 22.7% 적용합니다. 70%확률로 반격 26% 적용합니다. 70%확률로 속도 증가 13% 적용합니다.</x:v>
      </x:c>
      <x:c r="Y403" s="7" t="str">
        <x:v>Target: one ally. 70% chance to apply Buff Duration Extension 1 turn. 70% chance to apply Defense Up 22.7%. 70% chance to apply Counterattack 26%. 70% chance to apply Speed Up 13%.</x:v>
      </x:c>
      <x:c r="Z403" s="7" t="str">
        <x:v>공격|버프</x:v>
      </x:c>
    </x:row>
    <x:row r="404" ht="115" customHeight="1">
      <x:c r="A404" s="7" t="str">
        <x:v>SKILL_0398</x:v>
      </x:c>
      <x:c r="B404" s="7" t="str">
        <x:v>명중 증가 · 무적의 의식</x:v>
      </x:c>
      <x:c r="C404" s="7"/>
      <x:c r="D404" s="7" t="str">
        <x:v>자신</x:v>
      </x:c>
      <x:c r="E404" s="7" t="n">
        <x:v>0</x:v>
      </x:c>
      <x:c r="F404" s="7" t="n">
        <x:v>0</x:v>
      </x:c>
      <x:c r="G404" s="7" t="n">
        <x:v>0</x:v>
      </x:c>
      <x:c r="H404" s="7" t="n">
        <x:v>0</x:v>
      </x:c>
      <x:c r="I404" s="7" t="n">
        <x:v>0</x:v>
      </x:c>
      <x:c r="J404" s="7" t="n">
        <x:v>0</x:v>
      </x:c>
      <x:c r="K404" s="7" t="str">
        <x:v>HIT_CHANCE_UP</x:v>
      </x:c>
      <x:c r="L404" s="7" t="n">
        <x:v>0.2</x:v>
      </x:c>
      <x:c r="M404" s="8" t="n">
        <x:v>0.9</x:v>
      </x:c>
      <x:c r="N404" s="7" t="str">
        <x:v>INVINCIBILITY</x:v>
      </x:c>
      <x:c r="O404" s="7" t="n">
        <x:v>1</x:v>
      </x:c>
      <x:c r="P404" s="8" t="n">
        <x:v>0.9</x:v>
      </x:c>
      <x:c r="Q404" s="7"/>
      <x:c r="R404" s="7"/>
      <x:c r="S404" s="8"/>
      <x:c r="T404" s="7"/>
      <x:c r="U404" s="7"/>
      <x:c r="V404" s="8"/>
      <x:c r="W404" s="7" t="n">
        <x:v>3</x:v>
      </x:c>
      <x:c r="X404" s="7" t="str">
        <x:v>대상: 자신. 90%확률로 명중 증가 20% 획득합니다. 90%확률로 무적 획득합니다.</x:v>
      </x:c>
      <x:c r="Y404" s="7" t="str">
        <x:v>Target: the caster. 90% chance to gain Hit Chance Up 20%. 90% chance to gain Invincibility.</x:v>
      </x:c>
      <x:c r="Z404" s="7" t="str">
        <x:v>버프</x:v>
      </x:c>
    </x:row>
    <x:row r="405" ht="115" customHeight="1">
      <x:c r="A405" s="7" t="str">
        <x:v>SKILL_0399</x:v>
      </x:c>
      <x:c r="B405" s="7" t="str">
        <x:v>보호막 · 치명확률 증가 · 무적의 의식</x:v>
      </x:c>
      <x:c r="C405" s="7"/>
      <x:c r="D405" s="7" t="str">
        <x:v>아군전체</x:v>
      </x:c>
      <x:c r="E405" s="7" t="n">
        <x:v>0</x:v>
      </x:c>
      <x:c r="F405" s="7" t="n">
        <x:v>0</x:v>
      </x:c>
      <x:c r="G405" s="7" t="n">
        <x:v>0</x:v>
      </x:c>
      <x:c r="H405" s="7" t="n">
        <x:v>0</x:v>
      </x:c>
      <x:c r="I405" s="7" t="n">
        <x:v>0</x:v>
      </x:c>
      <x:c r="J405" s="7" t="n">
        <x:v>0</x:v>
      </x:c>
      <x:c r="K405" s="7" t="str">
        <x:v>BARRIER</x:v>
      </x:c>
      <x:c r="L405" s="7" t="n">
        <x:v>0.12</x:v>
      </x:c>
      <x:c r="M405" s="8" t="n">
        <x:v>0.55</x:v>
      </x:c>
      <x:c r="N405" s="7" t="str">
        <x:v>CRITICAL_CHANCE_UP</x:v>
      </x:c>
      <x:c r="O405" s="7" t="n">
        <x:v>0.16</x:v>
      </x:c>
      <x:c r="P405" s="8" t="n">
        <x:v>0.55</x:v>
      </x:c>
      <x:c r="Q405" s="7" t="str">
        <x:v>INVINCIBILITY</x:v>
      </x:c>
      <x:c r="R405" s="7" t="n">
        <x:v>1</x:v>
      </x:c>
      <x:c r="S405" s="8" t="n">
        <x:v>0.55</x:v>
      </x:c>
      <x:c r="T405" s="7"/>
      <x:c r="U405" s="7"/>
      <x:c r="V405" s="8"/>
      <x:c r="W405" s="7" t="n">
        <x:v>5</x:v>
      </x:c>
      <x:c r="X405" s="7" t="str">
        <x:v>대상: 아군전체. 55%확률로 보호막 12% 적용합니다. 55%확률로 치명확률 증가 16% 적용합니다. 55%확률로 무적 적용합니다.</x:v>
      </x:c>
      <x:c r="Y405" s="7" t="str">
        <x:v>Target: all allies. 55% chance to apply Barrier 12%. 55% chance to apply Critical Hit Chance Up 16%. 55% chance to apply Invincibility.</x:v>
      </x:c>
      <x:c r="Z405" s="7" t="str">
        <x:v>버프</x:v>
      </x:c>
    </x:row>
    <x:row r="406" ht="115" customHeight="1">
      <x:c r="A406" s="7" t="str">
        <x:v>SKILL_0400</x:v>
      </x:c>
      <x:c r="B406" s="7" t="str">
        <x:v>명중 증가 · 스킬 쿨타임 초기화 · 피해 분담 · 약화효과 해제의 의식</x:v>
      </x:c>
      <x:c r="C406" s="7"/>
      <x:c r="D406" s="7" t="str">
        <x:v>자신</x:v>
      </x:c>
      <x:c r="E406" s="7" t="n">
        <x:v>0</x:v>
      </x:c>
      <x:c r="F406" s="7" t="n">
        <x:v>0</x:v>
      </x:c>
      <x:c r="G406" s="7" t="n">
        <x:v>0</x:v>
      </x:c>
      <x:c r="H406" s="7" t="n">
        <x:v>0</x:v>
      </x:c>
      <x:c r="I406" s="7" t="n">
        <x:v>0</x:v>
      </x:c>
      <x:c r="J406" s="7" t="n">
        <x:v>0</x:v>
      </x:c>
      <x:c r="K406" s="7" t="str">
        <x:v>HIT_CHANCE_UP</x:v>
      </x:c>
      <x:c r="L406" s="7" t="n">
        <x:v>0.13</x:v>
      </x:c>
      <x:c r="M406" s="8" t="n">
        <x:v>0.7</x:v>
      </x:c>
      <x:c r="N406" s="7" t="str">
        <x:v>SKILL_COOLDOWN_RESET</x:v>
      </x:c>
      <x:c r="O406" s="7" t="n">
        <x:v>1</x:v>
      </x:c>
      <x:c r="P406" s="8" t="n">
        <x:v>0.7</x:v>
      </x:c>
      <x:c r="Q406" s="7" t="str">
        <x:v>DAMAGE_SHARING</x:v>
      </x:c>
      <x:c r="R406" s="7" t="n">
        <x:v>0.13</x:v>
      </x:c>
      <x:c r="S406" s="8" t="n">
        <x:v>0.7</x:v>
      </x:c>
      <x:c r="T406" s="7" t="str">
        <x:v>CLEANSE_DEBUFF</x:v>
      </x:c>
      <x:c r="U406" s="7" t="n">
        <x:v>1</x:v>
      </x:c>
      <x:c r="V406" s="8" t="n">
        <x:v>0.7</x:v>
      </x:c>
      <x:c r="W406" s="7" t="n">
        <x:v>5</x:v>
      </x:c>
      <x:c r="X406" s="7" t="str">
        <x:v>대상: 자신. 70%확률로 명중 증가 13% 획득합니다. 70%확률로 스킬 쿨타임 초기화 1개 획득합니다. 70%확률로 피해 분담 13% 획득합니다. 70%확률로 약화효과 해제 1개 획득합니다.</x:v>
      </x:c>
      <x:c r="Y406" s="7" t="str">
        <x:v>Target: the caster. 70% chance to gain Hit Chance Up 13%. 70% chance to gain Skill Cooldown Reset 1 count. 70% chance to gain Damage Sharing 13%. 70% chance to gain Cleanse Debuff 1 count.</x:v>
      </x:c>
      <x:c r="Z406" s="7" t="str">
        <x:v>버프</x:v>
      </x:c>
    </x:row>
    <x:row r="407" ht="115" customHeight="1">
      <x:c r="A407" s="7" t="str">
        <x:v>SKILL_0401</x:v>
      </x:c>
      <x:c r="B407" s="7" t="str">
        <x:v>스킬 쿨타임 초기화 · 효과저항 증가의 의식</x:v>
      </x:c>
      <x:c r="C407" s="7"/>
      <x:c r="D407" s="7" t="str">
        <x:v>아군</x:v>
      </x:c>
      <x:c r="E407" s="7" t="n">
        <x:v>0</x:v>
      </x:c>
      <x:c r="F407" s="7" t="n">
        <x:v>0</x:v>
      </x:c>
      <x:c r="G407" s="7" t="n">
        <x:v>0</x:v>
      </x:c>
      <x:c r="H407" s="7" t="n">
        <x:v>0</x:v>
      </x:c>
      <x:c r="I407" s="7" t="n">
        <x:v>0</x:v>
      </x:c>
      <x:c r="J407" s="7" t="n">
        <x:v>0</x:v>
      </x:c>
      <x:c r="K407" s="7" t="str">
        <x:v>SKILL_COOLDOWN_RESET</x:v>
      </x:c>
      <x:c r="L407" s="7" t="n">
        <x:v>1</x:v>
      </x:c>
      <x:c r="M407" s="8" t="n">
        <x:v>0.9</x:v>
      </x:c>
      <x:c r="N407" s="7" t="str">
        <x:v>EFFECT_RESISTANCE_UP</x:v>
      </x:c>
      <x:c r="O407" s="7" t="n">
        <x:v>0.25</x:v>
      </x:c>
      <x:c r="P407" s="8" t="n">
        <x:v>0.9</x:v>
      </x:c>
      <x:c r="Q407" s="7"/>
      <x:c r="R407" s="7"/>
      <x:c r="S407" s="8"/>
      <x:c r="T407" s="7"/>
      <x:c r="U407" s="7"/>
      <x:c r="V407" s="8"/>
      <x:c r="W407" s="7" t="n">
        <x:v>5</x:v>
      </x:c>
      <x:c r="X407" s="7" t="str">
        <x:v>대상: 아군. 90%확률로 스킬 쿨타임 초기화 1개 적용합니다. 90%확률로 효과저항 증가 25% 적용합니다.</x:v>
      </x:c>
      <x:c r="Y407" s="7" t="str">
        <x:v>Target: one ally. 90% chance to apply Skill Cooldown Reset 1 count. 90% chance to apply Effect Resistance Up 25%.</x:v>
      </x:c>
      <x:c r="Z407" s="7" t="str">
        <x:v>버프</x:v>
      </x:c>
    </x:row>
    <x:row r="408" ht="115" customHeight="1">
      <x:c r="A408" s="7" t="str">
        <x:v>SKILL_0402</x:v>
      </x:c>
      <x:c r="B408" s="7" t="str">
        <x:v>면역 · 지속 회복 · 은신 · 약화효과 해제의 의식</x:v>
      </x:c>
      <x:c r="C408" s="7"/>
      <x:c r="D408" s="7" t="str">
        <x:v>자신</x:v>
      </x:c>
      <x:c r="E408" s="7" t="n">
        <x:v>0</x:v>
      </x:c>
      <x:c r="F408" s="7" t="n">
        <x:v>0</x:v>
      </x:c>
      <x:c r="G408" s="7" t="n">
        <x:v>0</x:v>
      </x:c>
      <x:c r="H408" s="7" t="n">
        <x:v>0</x:v>
      </x:c>
      <x:c r="I408" s="7" t="n">
        <x:v>0</x:v>
      </x:c>
      <x:c r="J408" s="7" t="n">
        <x:v>0</x:v>
      </x:c>
      <x:c r="K408" s="7" t="str">
        <x:v>IMMUNITY</x:v>
      </x:c>
      <x:c r="L408" s="7" t="n">
        <x:v>1</x:v>
      </x:c>
      <x:c r="M408" s="8" t="n">
        <x:v>0.7</x:v>
      </x:c>
      <x:c r="N408" s="7" t="str">
        <x:v>CONTINUOUS_HEAL</x:v>
      </x:c>
      <x:c r="O408" s="7" t="n">
        <x:v>0.046</x:v>
      </x:c>
      <x:c r="P408" s="8" t="n">
        <x:v>0.7</x:v>
      </x:c>
      <x:c r="Q408" s="7" t="str">
        <x:v>STEALTH</x:v>
      </x:c>
      <x:c r="R408" s="7" t="n">
        <x:v>1</x:v>
      </x:c>
      <x:c r="S408" s="8" t="n">
        <x:v>0.7</x:v>
      </x:c>
      <x:c r="T408" s="7" t="str">
        <x:v>CLEANSE_DEBUFF</x:v>
      </x:c>
      <x:c r="U408" s="7" t="n">
        <x:v>1</x:v>
      </x:c>
      <x:c r="V408" s="8" t="n">
        <x:v>0.7</x:v>
      </x:c>
      <x:c r="W408" s="7" t="n">
        <x:v>2</x:v>
      </x:c>
      <x:c r="X408" s="7" t="str">
        <x:v>대상: 자신. 70%확률로 면역 획득합니다. 70%확률로 지속 회복을 부여합니다(2턴, 대상의 턴 시작마다 대상 최대생명력의 4.6% 회복). 70%확률로 은신 획득합니다. 70%확률로 약화효과 해제 1개 획득합니다.</x:v>
      </x:c>
      <x:c r="Y408" s="7" t="str">
        <x:v>Target: the caster. 70% chance to gain Immunity. 70% chance to grant Continuous Heal for 2 turns, restoring 4.6% of the recipient's max Health at each turn start. 70% chance to gain Stealth. 70% chance to gain Cleanse Debuff 1 count.</x:v>
      </x:c>
      <x:c r="Z408" s="7" t="str">
        <x:v>회복|버프</x:v>
      </x:c>
    </x:row>
    <x:row r="409" ht="115" customHeight="1">
      <x:c r="A409" s="7" t="str">
        <x:v>SKILL_0403</x:v>
      </x:c>
      <x:c r="B409" s="7" t="str">
        <x:v>보호막 · 피해 반사 · 방어력 증가 · 불사의 의식</x:v>
      </x:c>
      <x:c r="C409" s="7"/>
      <x:c r="D409" s="7" t="str">
        <x:v>아군전체</x:v>
      </x:c>
      <x:c r="E409" s="7" t="n">
        <x:v>0</x:v>
      </x:c>
      <x:c r="F409" s="7" t="n">
        <x:v>0</x:v>
      </x:c>
      <x:c r="G409" s="7" t="n">
        <x:v>0</x:v>
      </x:c>
      <x:c r="H409" s="7" t="n">
        <x:v>0</x:v>
      </x:c>
      <x:c r="I409" s="7" t="n">
        <x:v>0</x:v>
      </x:c>
      <x:c r="J409" s="7" t="n">
        <x:v>0</x:v>
      </x:c>
      <x:c r="K409" s="7" t="str">
        <x:v>BARRIER</x:v>
      </x:c>
      <x:c r="L409" s="7" t="n">
        <x:v>0.098</x:v>
      </x:c>
      <x:c r="M409" s="8" t="n">
        <x:v>0.55</x:v>
      </x:c>
      <x:c r="N409" s="7" t="str">
        <x:v>DAMAGE_REFLECTION</x:v>
      </x:c>
      <x:c r="O409" s="7" t="n">
        <x:v>0.13</x:v>
      </x:c>
      <x:c r="P409" s="8" t="n">
        <x:v>0.55</x:v>
      </x:c>
      <x:c r="Q409" s="7" t="str">
        <x:v>DEFENSE_UP</x:v>
      </x:c>
      <x:c r="R409" s="7" t="n">
        <x:v>0.227</x:v>
      </x:c>
      <x:c r="S409" s="8" t="n">
        <x:v>0.55</x:v>
      </x:c>
      <x:c r="T409" s="7" t="str">
        <x:v>IMMORTALITY</x:v>
      </x:c>
      <x:c r="U409" s="7" t="n">
        <x:v>1</x:v>
      </x:c>
      <x:c r="V409" s="8" t="n">
        <x:v>0.55</x:v>
      </x:c>
      <x:c r="W409" s="7" t="n">
        <x:v>5</x:v>
      </x:c>
      <x:c r="X409" s="7" t="str">
        <x:v>대상: 아군전체. 55%확률로 보호막 9.8% 적용합니다. 55%확률로 피해 반사 13% 적용합니다. 55%확률로 방어력 증가 22.7% 적용합니다. 55%확률로 불사 적용합니다.</x:v>
      </x:c>
      <x:c r="Y409" s="7" t="str">
        <x:v>Target: all allies. 55% chance to apply Barrier 9.8%. 55% chance to apply Damage Reflection 13%. 55% chance to apply Defense Up 22.7%. 55% chance to apply Immortality.</x:v>
      </x:c>
      <x:c r="Z409" s="7" t="str">
        <x:v>공격|버프</x:v>
      </x:c>
    </x:row>
    <x:row r="410" ht="115" customHeight="1">
      <x:c r="A410" s="7" t="str">
        <x:v>SKILL_0404</x:v>
      </x:c>
      <x:c r="B410" s="7" t="str">
        <x:v>치명확률 증가 · 지속 회복의 의식</x:v>
      </x:c>
      <x:c r="C410" s="7"/>
      <x:c r="D410" s="7" t="str">
        <x:v>아군과 자신</x:v>
      </x:c>
      <x:c r="E410" s="7" t="n">
        <x:v>0</x:v>
      </x:c>
      <x:c r="F410" s="7" t="n">
        <x:v>0</x:v>
      </x:c>
      <x:c r="G410" s="7" t="n">
        <x:v>0</x:v>
      </x:c>
      <x:c r="H410" s="7" t="n">
        <x:v>0</x:v>
      </x:c>
      <x:c r="I410" s="7" t="n">
        <x:v>0</x:v>
      </x:c>
      <x:c r="J410" s="7" t="n">
        <x:v>0</x:v>
      </x:c>
      <x:c r="K410" s="7" t="str">
        <x:v>CRITICAL_CHANCE_UP</x:v>
      </x:c>
      <x:c r="L410" s="7" t="n">
        <x:v>0.2</x:v>
      </x:c>
      <x:c r="M410" s="8" t="n">
        <x:v>0.9</x:v>
      </x:c>
      <x:c r="N410" s="7" t="str">
        <x:v>CONTINUOUS_HEAL</x:v>
      </x:c>
      <x:c r="O410" s="7" t="n">
        <x:v>0.07</x:v>
      </x:c>
      <x:c r="P410" s="8" t="n">
        <x:v>0.9</x:v>
      </x:c>
      <x:c r="Q410" s="7"/>
      <x:c r="R410" s="7"/>
      <x:c r="S410" s="8"/>
      <x:c r="T410" s="7"/>
      <x:c r="U410" s="7"/>
      <x:c r="V410" s="8"/>
      <x:c r="W410" s="7" t="n">
        <x:v>1</x:v>
      </x:c>
      <x:c r="X410" s="7" t="str">
        <x:v>대상: 아군과 자신. 90%확률로 치명확률 증가 20% 적용합니다. 90%확률로 지속 회복을 부여합니다(2턴, 대상의 턴 시작마다 대상 최대생명력의 7% 회복).</x:v>
      </x:c>
      <x:c r="Y410" s="7" t="str">
        <x:v>Target: one ally and the caster. 90% chance to apply Critical Hit Chance Up 20%. 90% chance to grant Continuous Heal for 2 turns, restoring 7% of the recipient's max Health at each turn start.</x:v>
      </x:c>
      <x:c r="Z410" s="7" t="str">
        <x:v>회복|버프</x:v>
      </x:c>
    </x:row>
    <x:row r="411" ht="115" customHeight="1">
      <x:c r="A411" s="7" t="str">
        <x:v>SKILL_0405</x:v>
      </x:c>
      <x:c r="B411" s="7" t="str">
        <x:v>생명력 회복 · 피해 감소 · 치명확률 증가의 의식</x:v>
      </x:c>
      <x:c r="C411" s="7"/>
      <x:c r="D411" s="7" t="str">
        <x:v>아군</x:v>
      </x:c>
      <x:c r="E411" s="7" t="n">
        <x:v>0</x:v>
      </x:c>
      <x:c r="F411" s="7" t="n">
        <x:v>0</x:v>
      </x:c>
      <x:c r="G411" s="7" t="n">
        <x:v>0</x:v>
      </x:c>
      <x:c r="H411" s="7" t="n">
        <x:v>0</x:v>
      </x:c>
      <x:c r="I411" s="7" t="n">
        <x:v>0</x:v>
      </x:c>
      <x:c r="J411" s="7" t="n">
        <x:v>0.25</x:v>
      </x:c>
      <x:c r="K411" s="7" t="str">
        <x:v>HEAL</x:v>
      </x:c>
      <x:c r="L411" s="7" t="n">
        <x:v>1</x:v>
      </x:c>
      <x:c r="M411" s="8" t="n">
        <x:v>1</x:v>
      </x:c>
      <x:c r="N411" s="7" t="str">
        <x:v>DAMAGE_REDUCTION</x:v>
      </x:c>
      <x:c r="O411" s="7" t="n">
        <x:v>0.16</x:v>
      </x:c>
      <x:c r="P411" s="8" t="n">
        <x:v>0.8</x:v>
      </x:c>
      <x:c r="Q411" s="7" t="str">
        <x:v>CRITICAL_CHANCE_UP</x:v>
      </x:c>
      <x:c r="R411" s="7" t="n">
        <x:v>0.16</x:v>
      </x:c>
      <x:c r="S411" s="8" t="n">
        <x:v>0.8</x:v>
      </x:c>
      <x:c r="T411" s="7"/>
      <x:c r="U411" s="7"/>
      <x:c r="V411" s="8"/>
      <x:c r="W411" s="7" t="n">
        <x:v>1</x:v>
      </x:c>
      <x:c r="X411" s="7" t="str">
        <x:v>대상: 아군. 아군을 시전자의 최대생명력의 0.25배만큼 회복시킵니다. 80%확률로 피해 감소 16% 적용합니다. 80%확률로 치명확률 증가 16% 적용합니다.</x:v>
      </x:c>
      <x:c r="Y411" s="7" t="str">
        <x:v>Target: one ally. Heals one ally for 0.25 × caster max Health. 80% chance to apply Damage Reduction 16%. 80% chance to apply Critical Hit Chance Up 16%.</x:v>
      </x:c>
      <x:c r="Z411" s="7" t="str">
        <x:v>회복|버프</x:v>
      </x:c>
    </x:row>
    <x:row r="412" ht="115" customHeight="1">
      <x:c r="A412" s="7" t="str">
        <x:v>SKILL_0406</x:v>
      </x:c>
      <x:c r="B412" s="7" t="str">
        <x:v>공격력 증가(대) · 보호막의 의식</x:v>
      </x:c>
      <x:c r="C412" s="7"/>
      <x:c r="D412" s="7" t="str">
        <x:v>자신</x:v>
      </x:c>
      <x:c r="E412" s="7" t="n">
        <x:v>0</x:v>
      </x:c>
      <x:c r="F412" s="7" t="n">
        <x:v>0</x:v>
      </x:c>
      <x:c r="G412" s="7" t="n">
        <x:v>0</x:v>
      </x:c>
      <x:c r="H412" s="7" t="n">
        <x:v>0</x:v>
      </x:c>
      <x:c r="I412" s="7" t="n">
        <x:v>0</x:v>
      </x:c>
      <x:c r="J412" s="7" t="n">
        <x:v>0</x:v>
      </x:c>
      <x:c r="K412" s="7" t="str">
        <x:v>ATTACK_UP_GREATER</x:v>
      </x:c>
      <x:c r="L412" s="7" t="n">
        <x:v>0.5</x:v>
      </x:c>
      <x:c r="M412" s="8" t="n">
        <x:v>0.9</x:v>
      </x:c>
      <x:c r="N412" s="7" t="str">
        <x:v>BARRIER</x:v>
      </x:c>
      <x:c r="O412" s="7" t="n">
        <x:v>0.15</x:v>
      </x:c>
      <x:c r="P412" s="8" t="n">
        <x:v>0.9</x:v>
      </x:c>
      <x:c r="Q412" s="7"/>
      <x:c r="R412" s="7"/>
      <x:c r="S412" s="8"/>
      <x:c r="T412" s="7"/>
      <x:c r="U412" s="7"/>
      <x:c r="V412" s="8"/>
      <x:c r="W412" s="7" t="n">
        <x:v>1</x:v>
      </x:c>
      <x:c r="X412" s="7" t="str">
        <x:v>대상: 자신. 90%확률로 공격력 증가(대) 50% 획득합니다. 90%확률로 보호막 15% 획득합니다.</x:v>
      </x:c>
      <x:c r="Y412" s="7" t="str">
        <x:v>Target: the caster. 90% chance to gain Greater Attack Up 50%. 90% chance to gain Barrier 15%.</x:v>
      </x:c>
      <x:c r="Z412" s="7" t="str">
        <x:v>버프</x:v>
      </x:c>
    </x:row>
    <x:row r="413" ht="115" customHeight="1">
      <x:c r="A413" s="7" t="str">
        <x:v>SKILL_0407</x:v>
      </x:c>
      <x:c r="B413" s="7" t="str">
        <x:v>면역 · 약화효과 해제 · 효과저항 증가 · 치명피해 증가의 의식</x:v>
      </x:c>
      <x:c r="C413" s="7"/>
      <x:c r="D413" s="7" t="str">
        <x:v>아군전체</x:v>
      </x:c>
      <x:c r="E413" s="7" t="n">
        <x:v>0</x:v>
      </x:c>
      <x:c r="F413" s="7" t="n">
        <x:v>0</x:v>
      </x:c>
      <x:c r="G413" s="7" t="n">
        <x:v>0</x:v>
      </x:c>
      <x:c r="H413" s="7" t="n">
        <x:v>0</x:v>
      </x:c>
      <x:c r="I413" s="7" t="n">
        <x:v>0</x:v>
      </x:c>
      <x:c r="J413" s="7" t="n">
        <x:v>0</x:v>
      </x:c>
      <x:c r="K413" s="7" t="str">
        <x:v>IMMUNITY</x:v>
      </x:c>
      <x:c r="L413" s="7" t="n">
        <x:v>1</x:v>
      </x:c>
      <x:c r="M413" s="8" t="n">
        <x:v>0.7</x:v>
      </x:c>
      <x:c r="N413" s="7" t="str">
        <x:v>CLEANSE_DEBUFF</x:v>
      </x:c>
      <x:c r="O413" s="7" t="n">
        <x:v>1</x:v>
      </x:c>
      <x:c r="P413" s="8" t="n">
        <x:v>0.7</x:v>
      </x:c>
      <x:c r="Q413" s="7" t="str">
        <x:v>EFFECT_RESISTANCE_UP</x:v>
      </x:c>
      <x:c r="R413" s="7" t="n">
        <x:v>0.163</x:v>
      </x:c>
      <x:c r="S413" s="8" t="n">
        <x:v>0.7</x:v>
      </x:c>
      <x:c r="T413" s="7" t="str">
        <x:v>CRITICAL_DAMAGE_UP</x:v>
      </x:c>
      <x:c r="U413" s="7" t="n">
        <x:v>0.195</x:v>
      </x:c>
      <x:c r="V413" s="8" t="n">
        <x:v>0.7</x:v>
      </x:c>
      <x:c r="W413" s="7" t="n">
        <x:v>5</x:v>
      </x:c>
      <x:c r="X413" s="7" t="str">
        <x:v>대상: 아군전체. 70%확률로 면역 적용합니다. 70%확률로 약화효과 해제 1개 적용합니다. 70%확률로 효과저항 증가 16.3% 적용합니다. 70%확률로 치명피해 증가 19.5% 적용합니다.</x:v>
      </x:c>
      <x:c r="Y413" s="7" t="str">
        <x:v>Target: all allies. 70% chance to apply Immunity. 70% chance to apply Cleanse Debuff 1 count. 70% chance to apply Effect Resistance Up 16.3%. 70% chance to apply Critical Hit Damage Up 19.5%.</x:v>
      </x:c>
      <x:c r="Z413" s="7" t="str">
        <x:v>버프</x:v>
      </x:c>
    </x:row>
    <x:row r="414" ht="115" customHeight="1">
      <x:c r="A414" s="7" t="str">
        <x:v>SKILL_0408</x:v>
      </x:c>
      <x:c r="B414" s="7" t="str">
        <x:v>효과저항 증가 · 불사 · 피해 반사의 의식</x:v>
      </x:c>
      <x:c r="C414" s="7"/>
      <x:c r="D414" s="7" t="str">
        <x:v>아군과 자신</x:v>
      </x:c>
      <x:c r="E414" s="7" t="n">
        <x:v>0</x:v>
      </x:c>
      <x:c r="F414" s="7" t="n">
        <x:v>0</x:v>
      </x:c>
      <x:c r="G414" s="7" t="n">
        <x:v>0</x:v>
      </x:c>
      <x:c r="H414" s="7" t="n">
        <x:v>0</x:v>
      </x:c>
      <x:c r="I414" s="7" t="n">
        <x:v>0</x:v>
      </x:c>
      <x:c r="J414" s="7" t="n">
        <x:v>0</x:v>
      </x:c>
      <x:c r="K414" s="7" t="str">
        <x:v>EFFECT_RESISTANCE_UP</x:v>
      </x:c>
      <x:c r="L414" s="7" t="n">
        <x:v>0.2</x:v>
      </x:c>
      <x:c r="M414" s="8" t="n">
        <x:v>0.8</x:v>
      </x:c>
      <x:c r="N414" s="7" t="str">
        <x:v>IMMORTALITY</x:v>
      </x:c>
      <x:c r="O414" s="7" t="n">
        <x:v>1</x:v>
      </x:c>
      <x:c r="P414" s="8" t="n">
        <x:v>0.8</x:v>
      </x:c>
      <x:c r="Q414" s="7" t="str">
        <x:v>DAMAGE_REFLECTION</x:v>
      </x:c>
      <x:c r="R414" s="7" t="n">
        <x:v>0.16</x:v>
      </x:c>
      <x:c r="S414" s="8" t="n">
        <x:v>0.8</x:v>
      </x:c>
      <x:c r="T414" s="7"/>
      <x:c r="U414" s="7"/>
      <x:c r="V414" s="8"/>
      <x:c r="W414" s="7" t="n">
        <x:v>4</x:v>
      </x:c>
      <x:c r="X414" s="7" t="str">
        <x:v>대상: 아군과 자신. 80%확률로 효과저항 증가 20% 적용합니다. 80%확률로 불사 적용합니다. 80%확률로 피해 반사 16% 적용합니다.</x:v>
      </x:c>
      <x:c r="Y414" s="7" t="str">
        <x:v>Target: one ally and the caster. 80% chance to apply Effect Resistance Up 20%. 80% chance to apply Immortality. 80% chance to apply Damage Reflection 16%.</x:v>
      </x:c>
      <x:c r="Z414" s="7" t="str">
        <x:v>공격|버프</x:v>
      </x:c>
    </x:row>
    <x:row r="415" ht="115" customHeight="1">
      <x:c r="A415" s="7" t="str">
        <x:v>SKILL_0409</x:v>
      </x:c>
      <x:c r="B415" s="7" t="str">
        <x:v>회피 증가 · 부활 · 치명확률 증가의 의식</x:v>
      </x:c>
      <x:c r="C415" s="7"/>
      <x:c r="D415" s="7" t="str">
        <x:v>아군</x:v>
      </x:c>
      <x:c r="E415" s="7" t="n">
        <x:v>0</x:v>
      </x:c>
      <x:c r="F415" s="7" t="n">
        <x:v>0</x:v>
      </x:c>
      <x:c r="G415" s="7" t="n">
        <x:v>0</x:v>
      </x:c>
      <x:c r="H415" s="7" t="n">
        <x:v>0</x:v>
      </x:c>
      <x:c r="I415" s="7" t="n">
        <x:v>0</x:v>
      </x:c>
      <x:c r="J415" s="7" t="n">
        <x:v>0</x:v>
      </x:c>
      <x:c r="K415" s="7" t="str">
        <x:v>EVASION_UP</x:v>
      </x:c>
      <x:c r="L415" s="7" t="n">
        <x:v>0.16</x:v>
      </x:c>
      <x:c r="M415" s="8" t="n">
        <x:v>0.55</x:v>
      </x:c>
      <x:c r="N415" s="7" t="str">
        <x:v>REVIVE</x:v>
      </x:c>
      <x:c r="O415" s="7" t="n">
        <x:v>1</x:v>
      </x:c>
      <x:c r="P415" s="8" t="n">
        <x:v>1</x:v>
      </x:c>
      <x:c r="Q415" s="7" t="str">
        <x:v>CRITICAL_CHANCE_UP</x:v>
      </x:c>
      <x:c r="R415" s="7" t="n">
        <x:v>0.16</x:v>
      </x:c>
      <x:c r="S415" s="8" t="n">
        <x:v>0.55</x:v>
      </x:c>
      <x:c r="T415" s="7"/>
      <x:c r="U415" s="7"/>
      <x:c r="V415" s="8"/>
      <x:c r="W415" s="7" t="n">
        <x:v>5</x:v>
      </x:c>
      <x:c r="X415" s="7" t="str">
        <x:v>대상: 사망한 아군. 55%확률로 회피 증가 16% 적용합니다. 100%확률로 부활 100% 적용합니다. 55%확률로 치명확률 증가 16% 적용합니다.</x:v>
      </x:c>
      <x:c r="Y415" s="7" t="str">
        <x:v>Target: one dead ally. 55% chance to apply Evasion Up 16%. 100% chance to apply Revive 100%. 55% chance to apply Critical Hit Chance Up 16%.</x:v>
      </x:c>
      <x:c r="Z415" s="7" t="str">
        <x:v>회복|버프</x:v>
      </x:c>
    </x:row>
    <x:row r="416" ht="115" customHeight="1">
      <x:c r="A416" s="7" t="str">
        <x:v>SKILL_0410</x:v>
      </x:c>
      <x:c r="B416" s="7" t="str">
        <x:v>피해 반사 · 피해 분담의 의식</x:v>
      </x:c>
      <x:c r="C416" s="7"/>
      <x:c r="D416" s="7" t="str">
        <x:v>자신</x:v>
      </x:c>
      <x:c r="E416" s="7" t="n">
        <x:v>0</x:v>
      </x:c>
      <x:c r="F416" s="7" t="n">
        <x:v>0</x:v>
      </x:c>
      <x:c r="G416" s="7" t="n">
        <x:v>0</x:v>
      </x:c>
      <x:c r="H416" s="7" t="n">
        <x:v>0</x:v>
      </x:c>
      <x:c r="I416" s="7" t="n">
        <x:v>0</x:v>
      </x:c>
      <x:c r="J416" s="7" t="n">
        <x:v>0</x:v>
      </x:c>
      <x:c r="K416" s="7" t="str">
        <x:v>DAMAGE_REFLECTION</x:v>
      </x:c>
      <x:c r="L416" s="7" t="n">
        <x:v>0.2</x:v>
      </x:c>
      <x:c r="M416" s="8" t="n">
        <x:v>0.9</x:v>
      </x:c>
      <x:c r="N416" s="7" t="str">
        <x:v>DAMAGE_SHARING</x:v>
      </x:c>
      <x:c r="O416" s="7" t="n">
        <x:v>0.2</x:v>
      </x:c>
      <x:c r="P416" s="8" t="n">
        <x:v>0.9</x:v>
      </x:c>
      <x:c r="Q416" s="7"/>
      <x:c r="R416" s="7"/>
      <x:c r="S416" s="8"/>
      <x:c r="T416" s="7"/>
      <x:c r="U416" s="7"/>
      <x:c r="V416" s="8"/>
      <x:c r="W416" s="7" t="n">
        <x:v>1</x:v>
      </x:c>
      <x:c r="X416" s="7" t="str">
        <x:v>대상: 자신. 90%확률로 피해 반사 20% 획득합니다. 90%확률로 피해 분담 20% 획득합니다.</x:v>
      </x:c>
      <x:c r="Y416" s="7" t="str">
        <x:v>Target: the caster. 90% chance to gain Damage Reflection 20%. 90% chance to gain Damage Sharing 20%.</x:v>
      </x:c>
      <x:c r="Z416" s="7" t="str">
        <x:v>공격|버프</x:v>
      </x:c>
    </x:row>
    <x:row r="417" ht="115" customHeight="1">
      <x:c r="A417" s="7" t="str">
        <x:v>SKILL_0411</x:v>
      </x:c>
      <x:c r="B417" s="7" t="str">
        <x:v>치명저항 증가 · 면역 · 치명확률 증가의 의식</x:v>
      </x:c>
      <x:c r="C417" s="7"/>
      <x:c r="D417" s="7" t="str">
        <x:v>아군전체</x:v>
      </x:c>
      <x:c r="E417" s="7" t="n">
        <x:v>0</x:v>
      </x:c>
      <x:c r="F417" s="7" t="n">
        <x:v>0</x:v>
      </x:c>
      <x:c r="G417" s="7" t="n">
        <x:v>0</x:v>
      </x:c>
      <x:c r="H417" s="7" t="n">
        <x:v>0</x:v>
      </x:c>
      <x:c r="I417" s="7" t="n">
        <x:v>0</x:v>
      </x:c>
      <x:c r="J417" s="7" t="n">
        <x:v>0</x:v>
      </x:c>
      <x:c r="K417" s="7" t="str">
        <x:v>CRITICAL_RESISTANCE_UP</x:v>
      </x:c>
      <x:c r="L417" s="7" t="n">
        <x:v>0.2</x:v>
      </x:c>
      <x:c r="M417" s="8" t="n">
        <x:v>0.8</x:v>
      </x:c>
      <x:c r="N417" s="7" t="str">
        <x:v>IMMUNITY</x:v>
      </x:c>
      <x:c r="O417" s="7" t="n">
        <x:v>1</x:v>
      </x:c>
      <x:c r="P417" s="8" t="n">
        <x:v>0.8</x:v>
      </x:c>
      <x:c r="Q417" s="7" t="str">
        <x:v>CRITICAL_CHANCE_UP</x:v>
      </x:c>
      <x:c r="R417" s="7" t="n">
        <x:v>0.16</x:v>
      </x:c>
      <x:c r="S417" s="8" t="n">
        <x:v>0.8</x:v>
      </x:c>
      <x:c r="T417" s="7"/>
      <x:c r="U417" s="7"/>
      <x:c r="V417" s="8"/>
      <x:c r="W417" s="7" t="n">
        <x:v>4</x:v>
      </x:c>
      <x:c r="X417" s="7" t="str">
        <x:v>대상: 아군전체. 80%확률로 치명저항 증가 20% 적용합니다. 80%확률로 면역 적용합니다. 80%확률로 치명확률 증가 16% 적용합니다.</x:v>
      </x:c>
      <x:c r="Y417" s="7" t="str">
        <x:v>Target: all allies. 80% chance to apply Critical Hit Resistance Up 20%. 80% chance to apply Immunity. 80% chance to apply Critical Hit Chance Up 16%.</x:v>
      </x:c>
      <x:c r="Z417" s="7" t="str">
        <x:v>버프</x:v>
      </x:c>
    </x:row>
    <x:row r="418" ht="115" customHeight="1">
      <x:c r="A418" s="7" t="str">
        <x:v>SKILL_0412</x:v>
      </x:c>
      <x:c r="B418" s="7" t="str">
        <x:v>은신 · 효과적중 증가 · 피해 감소 · 보호막의 의식</x:v>
      </x:c>
      <x:c r="C418" s="7"/>
      <x:c r="D418" s="7" t="str">
        <x:v>아군과 자신</x:v>
      </x:c>
      <x:c r="E418" s="7" t="n">
        <x:v>0</x:v>
      </x:c>
      <x:c r="F418" s="7" t="n">
        <x:v>0</x:v>
      </x:c>
      <x:c r="G418" s="7" t="n">
        <x:v>0</x:v>
      </x:c>
      <x:c r="H418" s="7" t="n">
        <x:v>0</x:v>
      </x:c>
      <x:c r="I418" s="7" t="n">
        <x:v>0</x:v>
      </x:c>
      <x:c r="J418" s="7" t="n">
        <x:v>0</x:v>
      </x:c>
      <x:c r="K418" s="7" t="str">
        <x:v>STEALTH</x:v>
      </x:c>
      <x:c r="L418" s="7" t="n">
        <x:v>1</x:v>
      </x:c>
      <x:c r="M418" s="8" t="n">
        <x:v>0.7</x:v>
      </x:c>
      <x:c r="N418" s="7" t="str">
        <x:v>EFFECTIVENESS_UP</x:v>
      </x:c>
      <x:c r="O418" s="7" t="n">
        <x:v>0.163</x:v>
      </x:c>
      <x:c r="P418" s="8" t="n">
        <x:v>0.7</x:v>
      </x:c>
      <x:c r="Q418" s="7" t="str">
        <x:v>DAMAGE_REDUCTION</x:v>
      </x:c>
      <x:c r="R418" s="7" t="n">
        <x:v>0.13</x:v>
      </x:c>
      <x:c r="S418" s="8" t="n">
        <x:v>0.7</x:v>
      </x:c>
      <x:c r="T418" s="7" t="str">
        <x:v>BARRIER</x:v>
      </x:c>
      <x:c r="U418" s="7" t="n">
        <x:v>0.098</x:v>
      </x:c>
      <x:c r="V418" s="8" t="n">
        <x:v>0.7</x:v>
      </x:c>
      <x:c r="W418" s="7" t="n">
        <x:v>2</x:v>
      </x:c>
      <x:c r="X418" s="7" t="str">
        <x:v>대상: 아군과 자신. 70%확률로 은신 적용합니다. 70%확률로 효과적중 증가 16.3% 적용합니다. 70%확률로 피해 감소 13% 적용합니다. 70%확률로 보호막 9.8% 적용합니다.</x:v>
      </x:c>
      <x:c r="Y418" s="7" t="str">
        <x:v>Target: one ally and the caster. 70% chance to apply Stealth. 70% chance to apply Effectiveness Up 16.3%. 70% chance to apply Damage Reduction 13%. 70% chance to apply Barrier 9.8%.</x:v>
      </x:c>
      <x:c r="Z418" s="7" t="str">
        <x:v>버프</x:v>
      </x:c>
    </x:row>
    <x:row r="419" ht="115" customHeight="1">
      <x:c r="A419" s="7" t="str">
        <x:v>SKILL_0413</x:v>
      </x:c>
      <x:c r="B419" s="7" t="str">
        <x:v>은신 · 피해 반사의 의식</x:v>
      </x:c>
      <x:c r="C419" s="7"/>
      <x:c r="D419" s="7" t="str">
        <x:v>아군</x:v>
      </x:c>
      <x:c r="E419" s="7" t="n">
        <x:v>0</x:v>
      </x:c>
      <x:c r="F419" s="7" t="n">
        <x:v>0</x:v>
      </x:c>
      <x:c r="G419" s="7" t="n">
        <x:v>0</x:v>
      </x:c>
      <x:c r="H419" s="7" t="n">
        <x:v>0</x:v>
      </x:c>
      <x:c r="I419" s="7" t="n">
        <x:v>0</x:v>
      </x:c>
      <x:c r="J419" s="7" t="n">
        <x:v>0</x:v>
      </x:c>
      <x:c r="K419" s="7" t="str">
        <x:v>STEALTH</x:v>
      </x:c>
      <x:c r="L419" s="7" t="n">
        <x:v>1</x:v>
      </x:c>
      <x:c r="M419" s="8" t="n">
        <x:v>0.9</x:v>
      </x:c>
      <x:c r="N419" s="7" t="str">
        <x:v>DAMAGE_REFLECTION</x:v>
      </x:c>
      <x:c r="O419" s="7" t="n">
        <x:v>0.2</x:v>
      </x:c>
      <x:c r="P419" s="8" t="n">
        <x:v>0.9</x:v>
      </x:c>
      <x:c r="Q419" s="7"/>
      <x:c r="R419" s="7"/>
      <x:c r="S419" s="8"/>
      <x:c r="T419" s="7"/>
      <x:c r="U419" s="7"/>
      <x:c r="V419" s="8"/>
      <x:c r="W419" s="7" t="n">
        <x:v>1</x:v>
      </x:c>
      <x:c r="X419" s="7" t="str">
        <x:v>대상: 아군. 90%확률로 은신 적용합니다. 90%확률로 피해 반사 20% 적용합니다.</x:v>
      </x:c>
      <x:c r="Y419" s="7" t="str">
        <x:v>Target: one ally. 90% chance to apply Stealth. 90% chance to apply Damage Reflection 20%.</x:v>
      </x:c>
      <x:c r="Z419" s="7" t="str">
        <x:v>공격|버프</x:v>
      </x:c>
    </x:row>
    <x:row r="420" ht="115" customHeight="1">
      <x:c r="A420" s="7" t="str">
        <x:v>SKILL_0414</x:v>
      </x:c>
      <x:c r="B420" s="7" t="str">
        <x:v>보호막 · 면역 · 효과저항 증가의 의식</x:v>
      </x:c>
      <x:c r="C420" s="7"/>
      <x:c r="D420" s="7" t="str">
        <x:v>자신</x:v>
      </x:c>
      <x:c r="E420" s="7" t="n">
        <x:v>0</x:v>
      </x:c>
      <x:c r="F420" s="7" t="n">
        <x:v>0</x:v>
      </x:c>
      <x:c r="G420" s="7" t="n">
        <x:v>0</x:v>
      </x:c>
      <x:c r="H420" s="7" t="n">
        <x:v>0</x:v>
      </x:c>
      <x:c r="I420" s="7" t="n">
        <x:v>0</x:v>
      </x:c>
      <x:c r="J420" s="7" t="n">
        <x:v>0</x:v>
      </x:c>
      <x:c r="K420" s="7" t="str">
        <x:v>BARRIER</x:v>
      </x:c>
      <x:c r="L420" s="7" t="n">
        <x:v>0.12</x:v>
      </x:c>
      <x:c r="M420" s="8" t="n">
        <x:v>0.8</x:v>
      </x:c>
      <x:c r="N420" s="7" t="str">
        <x:v>IMMUNITY</x:v>
      </x:c>
      <x:c r="O420" s="7" t="n">
        <x:v>1</x:v>
      </x:c>
      <x:c r="P420" s="8" t="n">
        <x:v>0.8</x:v>
      </x:c>
      <x:c r="Q420" s="7" t="str">
        <x:v>EFFECT_RESISTANCE_UP</x:v>
      </x:c>
      <x:c r="R420" s="7" t="n">
        <x:v>0.2</x:v>
      </x:c>
      <x:c r="S420" s="8" t="n">
        <x:v>0.8</x:v>
      </x:c>
      <x:c r="T420" s="7"/>
      <x:c r="U420" s="7"/>
      <x:c r="V420" s="8"/>
      <x:c r="W420" s="7" t="n">
        <x:v>1</x:v>
      </x:c>
      <x:c r="X420" s="7" t="str">
        <x:v>대상: 자신. 80%확률로 보호막 12% 획득합니다. 80%확률로 면역 획득합니다. 80%확률로 효과저항 증가 20% 획득합니다.</x:v>
      </x:c>
      <x:c r="Y420" s="7" t="str">
        <x:v>Target: the caster. 80% chance to gain Barrier 12%. 80% chance to gain Immunity. 80% chance to gain Effect Resistance Up 20%.</x:v>
      </x:c>
      <x:c r="Z420" s="7" t="str">
        <x:v>버프</x:v>
      </x:c>
    </x:row>
    <x:row r="421" ht="115" customHeight="1">
      <x:c r="A421" s="7" t="str">
        <x:v>SKILL_0415</x:v>
      </x:c>
      <x:c r="B421" s="7" t="str">
        <x:v>효과저항 증가 · 무적 · 면역 · 피해 감소의 의식</x:v>
      </x:c>
      <x:c r="C421" s="7"/>
      <x:c r="D421" s="7" t="str">
        <x:v>아군전체</x:v>
      </x:c>
      <x:c r="E421" s="7" t="n">
        <x:v>0</x:v>
      </x:c>
      <x:c r="F421" s="7" t="n">
        <x:v>0</x:v>
      </x:c>
      <x:c r="G421" s="7" t="n">
        <x:v>0</x:v>
      </x:c>
      <x:c r="H421" s="7" t="n">
        <x:v>0</x:v>
      </x:c>
      <x:c r="I421" s="7" t="n">
        <x:v>0</x:v>
      </x:c>
      <x:c r="J421" s="7" t="n">
        <x:v>0</x:v>
      </x:c>
      <x:c r="K421" s="7" t="str">
        <x:v>EFFECT_RESISTANCE_UP</x:v>
      </x:c>
      <x:c r="L421" s="7" t="n">
        <x:v>0.163</x:v>
      </x:c>
      <x:c r="M421" s="8" t="n">
        <x:v>0.4</x:v>
      </x:c>
      <x:c r="N421" s="7" t="str">
        <x:v>INVINCIBILITY</x:v>
      </x:c>
      <x:c r="O421" s="7" t="n">
        <x:v>1</x:v>
      </x:c>
      <x:c r="P421" s="8" t="n">
        <x:v>0.4</x:v>
      </x:c>
      <x:c r="Q421" s="7" t="str">
        <x:v>IMMUNITY</x:v>
      </x:c>
      <x:c r="R421" s="7" t="n">
        <x:v>1</x:v>
      </x:c>
      <x:c r="S421" s="8" t="n">
        <x:v>0.4</x:v>
      </x:c>
      <x:c r="T421" s="7" t="str">
        <x:v>DAMAGE_REDUCTION</x:v>
      </x:c>
      <x:c r="U421" s="7" t="n">
        <x:v>0.13</x:v>
      </x:c>
      <x:c r="V421" s="8" t="n">
        <x:v>0.4</x:v>
      </x:c>
      <x:c r="W421" s="7" t="n">
        <x:v>5</x:v>
      </x:c>
      <x:c r="X421" s="7" t="str">
        <x:v>대상: 아군전체. 40%확률로 효과저항 증가 16.3% 적용합니다. 40%확률로 무적 적용합니다. 40%확률로 면역 적용합니다. 40%확률로 피해 감소 13% 적용합니다.</x:v>
      </x:c>
      <x:c r="Y421" s="7" t="str">
        <x:v>Target: all allies. 40% chance to apply Effect Resistance Up 16.3%. 40% chance to apply Invincibility. 40% chance to apply Immunity. 40% chance to apply Damage Reduction 13%.</x:v>
      </x:c>
      <x:c r="Z421" s="7" t="str">
        <x:v>버프</x:v>
      </x:c>
    </x:row>
    <x:row r="422" ht="115" customHeight="1">
      <x:c r="A422" s="7" t="str">
        <x:v>SKILL_0416</x:v>
      </x:c>
      <x:c r="B422" s="7" t="str">
        <x:v>추가 턴 · 강화효과 지속시간 증가 · 치명피해 증가 · 스킬 쿨타임 감소의 의식</x:v>
      </x:c>
      <x:c r="C422" s="7"/>
      <x:c r="D422" s="7" t="str">
        <x:v>자신</x:v>
      </x:c>
      <x:c r="E422" s="7" t="n">
        <x:v>0</x:v>
      </x:c>
      <x:c r="F422" s="7" t="n">
        <x:v>0</x:v>
      </x:c>
      <x:c r="G422" s="7" t="n">
        <x:v>0</x:v>
      </x:c>
      <x:c r="H422" s="7" t="n">
        <x:v>0</x:v>
      </x:c>
      <x:c r="I422" s="7" t="n">
        <x:v>0</x:v>
      </x:c>
      <x:c r="J422" s="7" t="n">
        <x:v>0</x:v>
      </x:c>
      <x:c r="K422" s="7" t="str">
        <x:v>EXTRA_TURN</x:v>
      </x:c>
      <x:c r="L422" s="7" t="n">
        <x:v>1</x:v>
      </x:c>
      <x:c r="M422" s="8" t="n">
        <x:v>1</x:v>
      </x:c>
      <x:c r="N422" s="7" t="str">
        <x:v>BUFF_DURATION_UP</x:v>
      </x:c>
      <x:c r="O422" s="7" t="n">
        <x:v>1</x:v>
      </x:c>
      <x:c r="P422" s="8" t="n">
        <x:v>0.5</x:v>
      </x:c>
      <x:c r="Q422" s="7" t="str">
        <x:v>CRITICAL_DAMAGE_UP</x:v>
      </x:c>
      <x:c r="R422" s="7" t="n">
        <x:v>0.156</x:v>
      </x:c>
      <x:c r="S422" s="8" t="n">
        <x:v>1</x:v>
      </x:c>
      <x:c r="T422" s="7" t="str">
        <x:v>SKILL_COOLDOWN_DOWN</x:v>
      </x:c>
      <x:c r="U422" s="7" t="n">
        <x:v>1</x:v>
      </x:c>
      <x:c r="V422" s="8" t="n">
        <x:v>0.5</x:v>
      </x:c>
      <x:c r="W422" s="7" t="n">
        <x:v>5</x:v>
      </x:c>
      <x:c r="X422" s="7" t="str">
        <x:v>대상: 자신. 100%확률로 추가 턴 1턴 획득합니다. 50%확률로 강화효과 지속시간 증가 1턴 획득합니다. 100%확률로 치명피해 증가 15.6% 획득합니다. 50%확률로 스킬 쿨타임 감소 1턴 획득합니다.</x:v>
      </x:c>
      <x:c r="Y422" s="7" t="str">
        <x:v>Target: the caster. 100% chance to gain Extra Turn 1 turn. 50% chance to gain Buff Duration Extension 1 turn. 100% chance to gain Critical Hit Damage Up 15.6%. 50% chance to gain Skill Cooldown Reduction 1 turn.</x:v>
      </x:c>
      <x:c r="Z422" s="7" t="str">
        <x:v>버프</x:v>
      </x:c>
    </x:row>
    <x:row r="423" ht="115" customHeight="1">
      <x:c r="A423" s="7" t="str">
        <x:v>SKILL_0417</x:v>
      </x:c>
      <x:c r="B423" s="7" t="str">
        <x:v>은신 · 면역의 의식</x:v>
      </x:c>
      <x:c r="C423" s="7"/>
      <x:c r="D423" s="7" t="str">
        <x:v>아군</x:v>
      </x:c>
      <x:c r="E423" s="7" t="n">
        <x:v>0</x:v>
      </x:c>
      <x:c r="F423" s="7" t="n">
        <x:v>0</x:v>
      </x:c>
      <x:c r="G423" s="7" t="n">
        <x:v>0</x:v>
      </x:c>
      <x:c r="H423" s="7" t="n">
        <x:v>0</x:v>
      </x:c>
      <x:c r="I423" s="7" t="n">
        <x:v>0</x:v>
      </x:c>
      <x:c r="J423" s="7" t="n">
        <x:v>0</x:v>
      </x:c>
      <x:c r="K423" s="7" t="str">
        <x:v>STEALTH</x:v>
      </x:c>
      <x:c r="L423" s="7" t="n">
        <x:v>1</x:v>
      </x:c>
      <x:c r="M423" s="8" t="n">
        <x:v>0.9</x:v>
      </x:c>
      <x:c r="N423" s="7" t="str">
        <x:v>IMMUNITY</x:v>
      </x:c>
      <x:c r="O423" s="7" t="n">
        <x:v>1</x:v>
      </x:c>
      <x:c r="P423" s="8" t="n">
        <x:v>0.9</x:v>
      </x:c>
      <x:c r="Q423" s="7"/>
      <x:c r="R423" s="7"/>
      <x:c r="S423" s="8"/>
      <x:c r="T423" s="7"/>
      <x:c r="U423" s="7"/>
      <x:c r="V423" s="8"/>
      <x:c r="W423" s="7" t="n">
        <x:v>1</x:v>
      </x:c>
      <x:c r="X423" s="7" t="str">
        <x:v>대상: 아군. 90%확률로 은신 적용합니다. 90%확률로 면역 적용합니다.</x:v>
      </x:c>
      <x:c r="Y423" s="7" t="str">
        <x:v>Target: one ally. 90% chance to apply Stealth. 90% chance to apply Immunity.</x:v>
      </x:c>
      <x:c r="Z423" s="7" t="str">
        <x:v>버프</x:v>
      </x:c>
    </x:row>
    <x:row r="424" ht="115" customHeight="1">
      <x:c r="A424" s="7" t="str">
        <x:v>SKILL_0418</x:v>
      </x:c>
      <x:c r="B424" s="7" t="str">
        <x:v>스킬 쿨타임 감소 · 지속 회복 · 명중 증가 · 반격의 의식</x:v>
      </x:c>
      <x:c r="C424" s="7"/>
      <x:c r="D424" s="7" t="str">
        <x:v>자신</x:v>
      </x:c>
      <x:c r="E424" s="7" t="n">
        <x:v>0</x:v>
      </x:c>
      <x:c r="F424" s="7" t="n">
        <x:v>0</x:v>
      </x:c>
      <x:c r="G424" s="7" t="n">
        <x:v>0</x:v>
      </x:c>
      <x:c r="H424" s="7" t="n">
        <x:v>0</x:v>
      </x:c>
      <x:c r="I424" s="7" t="n">
        <x:v>0</x:v>
      </x:c>
      <x:c r="J424" s="7" t="n">
        <x:v>0</x:v>
      </x:c>
      <x:c r="K424" s="7" t="str">
        <x:v>SKILL_COOLDOWN_DOWN</x:v>
      </x:c>
      <x:c r="L424" s="7" t="n">
        <x:v>1</x:v>
      </x:c>
      <x:c r="M424" s="8" t="n">
        <x:v>0.7</x:v>
      </x:c>
      <x:c r="N424" s="7" t="str">
        <x:v>CONTINUOUS_HEAL</x:v>
      </x:c>
      <x:c r="O424" s="7" t="n">
        <x:v>0.046</x:v>
      </x:c>
      <x:c r="P424" s="8" t="n">
        <x:v>0.7</x:v>
      </x:c>
      <x:c r="Q424" s="7" t="str">
        <x:v>HIT_CHANCE_UP</x:v>
      </x:c>
      <x:c r="R424" s="7" t="n">
        <x:v>0.13</x:v>
      </x:c>
      <x:c r="S424" s="8" t="n">
        <x:v>0.7</x:v>
      </x:c>
      <x:c r="T424" s="7" t="str">
        <x:v>COUNTERATTACK</x:v>
      </x:c>
      <x:c r="U424" s="7" t="n">
        <x:v>0.26</x:v>
      </x:c>
      <x:c r="V424" s="8" t="n">
        <x:v>0.7</x:v>
      </x:c>
      <x:c r="W424" s="7" t="n">
        <x:v>2</x:v>
      </x:c>
      <x:c r="X424" s="7" t="str">
        <x:v>대상: 자신. 70%확률로 스킬 쿨타임 감소 1턴 획득합니다. 70%확률로 지속 회복을 부여합니다(2턴, 대상의 턴 시작마다 대상 최대생명력의 4.6% 회복). 70%확률로 명중 증가 13% 획득합니다. 70%확률로 반격 26% 획득합니다.</x:v>
      </x:c>
      <x:c r="Y424" s="7" t="str">
        <x:v>Target: the caster. 70% chance to gain Skill Cooldown Reduction 1 turn. 70% chance to grant Continuous Heal for 2 turns, restoring 4.6% of the recipient's max Health at each turn start. 70% chance to gain Hit Chance Up 13%. 70% chance to gain Counterattack 26%.</x:v>
      </x:c>
      <x:c r="Z424" s="7" t="str">
        <x:v>공격|회복|버프</x:v>
      </x:c>
    </x:row>
    <x:row r="425" ht="115" customHeight="1">
      <x:c r="A425" s="7" t="str">
        <x:v>SKILL_0419</x:v>
      </x:c>
      <x:c r="B425" s="7" t="str">
        <x:v>지속 회복 · 회피 증가 · 반격의 의식</x:v>
      </x:c>
      <x:c r="C425" s="7"/>
      <x:c r="D425" s="7" t="str">
        <x:v>아군전체</x:v>
      </x:c>
      <x:c r="E425" s="7" t="n">
        <x:v>0</x:v>
      </x:c>
      <x:c r="F425" s="7" t="n">
        <x:v>0</x:v>
      </x:c>
      <x:c r="G425" s="7" t="n">
        <x:v>0</x:v>
      </x:c>
      <x:c r="H425" s="7" t="n">
        <x:v>0</x:v>
      </x:c>
      <x:c r="I425" s="7" t="n">
        <x:v>0</x:v>
      </x:c>
      <x:c r="J425" s="7" t="n">
        <x:v>0</x:v>
      </x:c>
      <x:c r="K425" s="7" t="str">
        <x:v>CONTINUOUS_HEAL</x:v>
      </x:c>
      <x:c r="L425" s="7" t="n">
        <x:v>0.056</x:v>
      </x:c>
      <x:c r="M425" s="8" t="n">
        <x:v>0.8</x:v>
      </x:c>
      <x:c r="N425" s="7" t="str">
        <x:v>EVASION_UP</x:v>
      </x:c>
      <x:c r="O425" s="7" t="n">
        <x:v>0.16</x:v>
      </x:c>
      <x:c r="P425" s="8" t="n">
        <x:v>0.8</x:v>
      </x:c>
      <x:c r="Q425" s="7" t="str">
        <x:v>COUNTERATTACK</x:v>
      </x:c>
      <x:c r="R425" s="7" t="n">
        <x:v>0.32</x:v>
      </x:c>
      <x:c r="S425" s="8" t="n">
        <x:v>0.8</x:v>
      </x:c>
      <x:c r="T425" s="7"/>
      <x:c r="U425" s="7"/>
      <x:c r="V425" s="8"/>
      <x:c r="W425" s="7" t="n">
        <x:v>4</x:v>
      </x:c>
      <x:c r="X425" s="7" t="str">
        <x:v>대상: 아군전체. 80%확률로 지속 회복을 부여합니다(2턴, 대상의 턴 시작마다 대상 최대생명력의 5.6% 회복). 80%확률로 회피 증가 16% 적용합니다. 80%확률로 반격 32% 적용합니다.</x:v>
      </x:c>
      <x:c r="Y425" s="7" t="str">
        <x:v>Target: all allies. 80% chance to grant Continuous Heal for 2 turns, restoring 5.6% of the recipient's max Health at each turn start. 80% chance to apply Evasion Up 16%. 80% chance to apply Counterattack 32%.</x:v>
      </x:c>
      <x:c r="Z425" s="7" t="str">
        <x:v>공격|회복|버프</x:v>
      </x:c>
    </x:row>
    <x:row r="426" ht="115" customHeight="1">
      <x:c r="A426" s="7" t="str">
        <x:v>SKILL_0420</x:v>
      </x:c>
      <x:c r="B426" s="7" t="str">
        <x:v>면역 · 보호막 · 효과저항 증가 · 스킬 쿨타임 초기화의 의식</x:v>
      </x:c>
      <x:c r="C426" s="7"/>
      <x:c r="D426" s="7" t="str">
        <x:v>아군</x:v>
      </x:c>
      <x:c r="E426" s="7" t="n">
        <x:v>0</x:v>
      </x:c>
      <x:c r="F426" s="7" t="n">
        <x:v>0</x:v>
      </x:c>
      <x:c r="G426" s="7" t="n">
        <x:v>0</x:v>
      </x:c>
      <x:c r="H426" s="7" t="n">
        <x:v>0</x:v>
      </x:c>
      <x:c r="I426" s="7" t="n">
        <x:v>0</x:v>
      </x:c>
      <x:c r="J426" s="7" t="n">
        <x:v>0</x:v>
      </x:c>
      <x:c r="K426" s="7" t="str">
        <x:v>IMMUNITY</x:v>
      </x:c>
      <x:c r="L426" s="7" t="n">
        <x:v>1</x:v>
      </x:c>
      <x:c r="M426" s="8" t="n">
        <x:v>0.7</x:v>
      </x:c>
      <x:c r="N426" s="7" t="str">
        <x:v>BARRIER</x:v>
      </x:c>
      <x:c r="O426" s="7" t="n">
        <x:v>0.098</x:v>
      </x:c>
      <x:c r="P426" s="8" t="n">
        <x:v>0.7</x:v>
      </x:c>
      <x:c r="Q426" s="7" t="str">
        <x:v>EFFECT_RESISTANCE_UP</x:v>
      </x:c>
      <x:c r="R426" s="7" t="n">
        <x:v>0.163</x:v>
      </x:c>
      <x:c r="S426" s="8" t="n">
        <x:v>0.7</x:v>
      </x:c>
      <x:c r="T426" s="7" t="str">
        <x:v>SKILL_COOLDOWN_RESET</x:v>
      </x:c>
      <x:c r="U426" s="7" t="n">
        <x:v>1</x:v>
      </x:c>
      <x:c r="V426" s="8" t="n">
        <x:v>0.7</x:v>
      </x:c>
      <x:c r="W426" s="7" t="n">
        <x:v>5</x:v>
      </x:c>
      <x:c r="X426" s="7" t="str">
        <x:v>대상: 아군. 70%확률로 면역 적용합니다. 70%확률로 보호막 9.8% 적용합니다. 70%확률로 효과저항 증가 16.3% 적용합니다. 70%확률로 스킬 쿨타임 초기화 1개 적용합니다.</x:v>
      </x:c>
      <x:c r="Y426" s="7" t="str">
        <x:v>Target: one ally. 70% chance to apply Immunity. 70% chance to apply Barrier 9.8%. 70% chance to apply Effect Resistance Up 16.3%. 70% chance to apply Skill Cooldown Reset 1 count.</x:v>
      </x:c>
      <x:c r="Z426" s="7" t="str">
        <x:v>버프</x:v>
      </x:c>
    </x:row>
    <x:row r="427" ht="115" customHeight="1">
      <x:c r="A427" s="7" t="str">
        <x:v>SKILL_0421</x:v>
      </x:c>
      <x:c r="B427" s="7" t="str">
        <x:v>무적 · 효과저항 증가 · 보호막의 의식</x:v>
      </x:c>
      <x:c r="C427" s="7"/>
      <x:c r="D427" s="7" t="str">
        <x:v>아군</x:v>
      </x:c>
      <x:c r="E427" s="7" t="n">
        <x:v>0</x:v>
      </x:c>
      <x:c r="F427" s="7" t="n">
        <x:v>0</x:v>
      </x:c>
      <x:c r="G427" s="7" t="n">
        <x:v>0</x:v>
      </x:c>
      <x:c r="H427" s="7" t="n">
        <x:v>0</x:v>
      </x:c>
      <x:c r="I427" s="7" t="n">
        <x:v>0</x:v>
      </x:c>
      <x:c r="J427" s="7" t="n">
        <x:v>0</x:v>
      </x:c>
      <x:c r="K427" s="7" t="str">
        <x:v>INVINCIBILITY</x:v>
      </x:c>
      <x:c r="L427" s="7" t="n">
        <x:v>1</x:v>
      </x:c>
      <x:c r="M427" s="8" t="n">
        <x:v>0.8</x:v>
      </x:c>
      <x:c r="N427" s="7" t="str">
        <x:v>EFFECT_RESISTANCE_UP</x:v>
      </x:c>
      <x:c r="O427" s="7" t="n">
        <x:v>0.2</x:v>
      </x:c>
      <x:c r="P427" s="8" t="n">
        <x:v>0.8</x:v>
      </x:c>
      <x:c r="Q427" s="7" t="str">
        <x:v>BARRIER</x:v>
      </x:c>
      <x:c r="R427" s="7" t="n">
        <x:v>0.12</x:v>
      </x:c>
      <x:c r="S427" s="8" t="n">
        <x:v>0.8</x:v>
      </x:c>
      <x:c r="T427" s="7"/>
      <x:c r="U427" s="7"/>
      <x:c r="V427" s="8"/>
      <x:c r="W427" s="7" t="n">
        <x:v>3</x:v>
      </x:c>
      <x:c r="X427" s="7" t="str">
        <x:v>대상: 아군. 80%확률로 무적 적용합니다. 80%확률로 효과저항 증가 20% 적용합니다. 80%확률로 보호막 12% 적용합니다.</x:v>
      </x:c>
      <x:c r="Y427" s="7" t="str">
        <x:v>Target: one ally. 80% chance to apply Invincibility. 80% chance to apply Effect Resistance Up 20%. 80% chance to apply Barrier 12%.</x:v>
      </x:c>
      <x:c r="Z427" s="7" t="str">
        <x:v>버프</x:v>
      </x:c>
    </x:row>
    <x:row r="428" ht="115" customHeight="1">
      <x:c r="A428" s="7" t="str">
        <x:v>SKILL_0422</x:v>
      </x:c>
      <x:c r="B428" s="7" t="str">
        <x:v>추가 턴 · 불사 · 강화효과 지속시간 증가 · 방어력 증가의 의식</x:v>
      </x:c>
      <x:c r="C428" s="7"/>
      <x:c r="D428" s="7" t="str">
        <x:v>자신</x:v>
      </x:c>
      <x:c r="E428" s="7" t="n">
        <x:v>0</x:v>
      </x:c>
      <x:c r="F428" s="7" t="n">
        <x:v>0</x:v>
      </x:c>
      <x:c r="G428" s="7" t="n">
        <x:v>0</x:v>
      </x:c>
      <x:c r="H428" s="7" t="n">
        <x:v>0</x:v>
      </x:c>
      <x:c r="I428" s="7" t="n">
        <x:v>0</x:v>
      </x:c>
      <x:c r="J428" s="7" t="n">
        <x:v>0</x:v>
      </x:c>
      <x:c r="K428" s="7" t="str">
        <x:v>EXTRA_TURN</x:v>
      </x:c>
      <x:c r="L428" s="7" t="n">
        <x:v>1</x:v>
      </x:c>
      <x:c r="M428" s="8" t="n">
        <x:v>1</x:v>
      </x:c>
      <x:c r="N428" s="7" t="str">
        <x:v>IMMORTALITY</x:v>
      </x:c>
      <x:c r="O428" s="7" t="n">
        <x:v>1</x:v>
      </x:c>
      <x:c r="P428" s="8" t="n">
        <x:v>0.4</x:v>
      </x:c>
      <x:c r="Q428" s="7" t="str">
        <x:v>BUFF_DURATION_UP</x:v>
      </x:c>
      <x:c r="R428" s="7" t="n">
        <x:v>1</x:v>
      </x:c>
      <x:c r="S428" s="8" t="n">
        <x:v>0.4</x:v>
      </x:c>
      <x:c r="T428" s="7" t="str">
        <x:v>DEFENSE_UP</x:v>
      </x:c>
      <x:c r="U428" s="7" t="n">
        <x:v>0.182</x:v>
      </x:c>
      <x:c r="V428" s="8" t="n">
        <x:v>1</x:v>
      </x:c>
      <x:c r="W428" s="7" t="n">
        <x:v>5</x:v>
      </x:c>
      <x:c r="X428" s="7" t="str">
        <x:v>대상: 자신. 100%확률로 추가 턴 1턴 획득합니다. 40%확률로 불사 획득합니다. 40%확률로 강화효과 지속시간 증가 1턴 획득합니다. 100%확률로 방어력 증가 18.2% 획득합니다.</x:v>
      </x:c>
      <x:c r="Y428" s="7" t="str">
        <x:v>Target: the caster. 100% chance to gain Extra Turn 1 turn. 40% chance to gain Immortality. 40% chance to gain Buff Duration Extension 1 turn. 100% chance to gain Defense Up 18.2%.</x:v>
      </x:c>
      <x:c r="Z428" s="7" t="str">
        <x:v>버프</x:v>
      </x:c>
    </x:row>
    <x:row r="429" ht="115" customHeight="1">
      <x:c r="A429" s="7" t="str">
        <x:v>SKILL_0423</x:v>
      </x:c>
      <x:c r="B429" s="7" t="str">
        <x:v>피해 분담 · 반격 · 스킬 쿨타임 초기화 · 피해 감소의 의식</x:v>
      </x:c>
      <x:c r="C429" s="7"/>
      <x:c r="D429" s="7" t="str">
        <x:v>자신</x:v>
      </x:c>
      <x:c r="E429" s="7" t="n">
        <x:v>0</x:v>
      </x:c>
      <x:c r="F429" s="7" t="n">
        <x:v>0</x:v>
      </x:c>
      <x:c r="G429" s="7" t="n">
        <x:v>0</x:v>
      </x:c>
      <x:c r="H429" s="7" t="n">
        <x:v>0</x:v>
      </x:c>
      <x:c r="I429" s="7" t="n">
        <x:v>0</x:v>
      </x:c>
      <x:c r="J429" s="7" t="n">
        <x:v>0</x:v>
      </x:c>
      <x:c r="K429" s="7" t="str">
        <x:v>DAMAGE_SHARING</x:v>
      </x:c>
      <x:c r="L429" s="7" t="n">
        <x:v>0.13</x:v>
      </x:c>
      <x:c r="M429" s="8" t="n">
        <x:v>0.7</x:v>
      </x:c>
      <x:c r="N429" s="7" t="str">
        <x:v>COUNTERATTACK</x:v>
      </x:c>
      <x:c r="O429" s="7" t="n">
        <x:v>0.26</x:v>
      </x:c>
      <x:c r="P429" s="8" t="n">
        <x:v>0.7</x:v>
      </x:c>
      <x:c r="Q429" s="7" t="str">
        <x:v>SKILL_COOLDOWN_RESET</x:v>
      </x:c>
      <x:c r="R429" s="7" t="n">
        <x:v>1</x:v>
      </x:c>
      <x:c r="S429" s="8" t="n">
        <x:v>0.7</x:v>
      </x:c>
      <x:c r="T429" s="7" t="str">
        <x:v>DAMAGE_REDUCTION</x:v>
      </x:c>
      <x:c r="U429" s="7" t="n">
        <x:v>0.13</x:v>
      </x:c>
      <x:c r="V429" s="8" t="n">
        <x:v>0.7</x:v>
      </x:c>
      <x:c r="W429" s="7" t="n">
        <x:v>5</x:v>
      </x:c>
      <x:c r="X429" s="7" t="str">
        <x:v>대상: 자신. 70%확률로 피해 분담 13% 획득합니다. 70%확률로 반격 26% 획득합니다. 70%확률로 스킬 쿨타임 초기화 1개 획득합니다. 70%확률로 피해 감소 13% 획득합니다.</x:v>
      </x:c>
      <x:c r="Y429" s="7" t="str">
        <x:v>Target: the caster. 70% chance to gain Damage Sharing 13%. 70% chance to gain Counterattack 26%. 70% chance to gain Skill Cooldown Reset 1 count. 70% chance to gain Damage Reduction 13%.</x:v>
      </x:c>
      <x:c r="Z429" s="7" t="str">
        <x:v>공격|버프</x:v>
      </x:c>
    </x:row>
    <x:row r="430" ht="115" customHeight="1">
      <x:c r="A430" s="7" t="str">
        <x:v>SKILL_0424</x:v>
      </x:c>
      <x:c r="B430" s="7" t="str">
        <x:v>속도 증가 · 부활 · 회피 증가의 의식</x:v>
      </x:c>
      <x:c r="C430" s="7"/>
      <x:c r="D430" s="7" t="str">
        <x:v>아군</x:v>
      </x:c>
      <x:c r="E430" s="7" t="n">
        <x:v>0</x:v>
      </x:c>
      <x:c r="F430" s="7" t="n">
        <x:v>0</x:v>
      </x:c>
      <x:c r="G430" s="7" t="n">
        <x:v>0</x:v>
      </x:c>
      <x:c r="H430" s="7" t="n">
        <x:v>0</x:v>
      </x:c>
      <x:c r="I430" s="7" t="n">
        <x:v>0</x:v>
      </x:c>
      <x:c r="J430" s="7" t="n">
        <x:v>0</x:v>
      </x:c>
      <x:c r="K430" s="7" t="str">
        <x:v>SPEED_UP</x:v>
      </x:c>
      <x:c r="L430" s="7" t="n">
        <x:v>0.16</x:v>
      </x:c>
      <x:c r="M430" s="8" t="n">
        <x:v>0.45</x:v>
      </x:c>
      <x:c r="N430" s="7" t="str">
        <x:v>REVIVE</x:v>
      </x:c>
      <x:c r="O430" s="7" t="n">
        <x:v>1</x:v>
      </x:c>
      <x:c r="P430" s="8" t="n">
        <x:v>1</x:v>
      </x:c>
      <x:c r="Q430" s="7" t="str">
        <x:v>EVASION_UP</x:v>
      </x:c>
      <x:c r="R430" s="7" t="n">
        <x:v>0.16</x:v>
      </x:c>
      <x:c r="S430" s="8" t="n">
        <x:v>0.45</x:v>
      </x:c>
      <x:c r="T430" s="7"/>
      <x:c r="U430" s="7"/>
      <x:c r="V430" s="8"/>
      <x:c r="W430" s="7" t="n">
        <x:v>5</x:v>
      </x:c>
      <x:c r="X430" s="7" t="str">
        <x:v>대상: 사망한 아군. 45%확률로 속도 증가 16% 적용합니다. 100%확률로 부활 100% 적용합니다. 45%확률로 회피 증가 16% 적용합니다.</x:v>
      </x:c>
      <x:c r="Y430" s="7" t="str">
        <x:v>Target: one dead ally. 45% chance to apply Speed Up 16%. 100% chance to apply Revive 100%. 45% chance to apply Evasion Up 16%.</x:v>
      </x:c>
      <x:c r="Z430" s="7" t="str">
        <x:v>회복|버프</x:v>
      </x:c>
    </x:row>
    <x:row r="431" ht="115" customHeight="1">
      <x:c r="A431" s="7" t="str">
        <x:v>SKILL_0425</x:v>
      </x:c>
      <x:c r="B431" s="7" t="str">
        <x:v>공격력 증가 · 방어력 증가 · 스킬 쿨타임 감소 · 효과저항 증가의 의식</x:v>
      </x:c>
      <x:c r="C431" s="7"/>
      <x:c r="D431" s="7" t="str">
        <x:v>아군</x:v>
      </x:c>
      <x:c r="E431" s="7" t="n">
        <x:v>0</x:v>
      </x:c>
      <x:c r="F431" s="7" t="n">
        <x:v>0</x:v>
      </x:c>
      <x:c r="G431" s="7" t="n">
        <x:v>0</x:v>
      </x:c>
      <x:c r="H431" s="7" t="n">
        <x:v>0</x:v>
      </x:c>
      <x:c r="I431" s="7" t="n">
        <x:v>0</x:v>
      </x:c>
      <x:c r="J431" s="7" t="n">
        <x:v>0</x:v>
      </x:c>
      <x:c r="K431" s="7" t="str">
        <x:v>ATTACK_UP</x:v>
      </x:c>
      <x:c r="L431" s="7" t="n">
        <x:v>0.195</x:v>
      </x:c>
      <x:c r="M431" s="8" t="n">
        <x:v>0.7</x:v>
      </x:c>
      <x:c r="N431" s="7" t="str">
        <x:v>DEFENSE_UP</x:v>
      </x:c>
      <x:c r="O431" s="7" t="n">
        <x:v>0.227</x:v>
      </x:c>
      <x:c r="P431" s="8" t="n">
        <x:v>0.7</x:v>
      </x:c>
      <x:c r="Q431" s="7" t="str">
        <x:v>SKILL_COOLDOWN_DOWN</x:v>
      </x:c>
      <x:c r="R431" s="7" t="n">
        <x:v>1</x:v>
      </x:c>
      <x:c r="S431" s="8" t="n">
        <x:v>0.7</x:v>
      </x:c>
      <x:c r="T431" s="7" t="str">
        <x:v>EFFECT_RESISTANCE_UP</x:v>
      </x:c>
      <x:c r="U431" s="7" t="n">
        <x:v>0.163</x:v>
      </x:c>
      <x:c r="V431" s="8" t="n">
        <x:v>0.7</x:v>
      </x:c>
      <x:c r="W431" s="7" t="n">
        <x:v>2</x:v>
      </x:c>
      <x:c r="X431" s="7" t="str">
        <x:v>대상: 아군. 70%확률로 공격력 증가 19.5% 적용합니다. 70%확률로 방어력 증가 22.7% 적용합니다. 70%확률로 스킬 쿨타임 감소 1턴 적용합니다. 70%확률로 효과저항 증가 16.3% 적용합니다.</x:v>
      </x:c>
      <x:c r="Y431" s="7" t="str">
        <x:v>Target: one ally. 70% chance to apply Attack Up 19.5%. 70% chance to apply Defense Up 22.7%. 70% chance to apply Skill Cooldown Reduction 1 turn. 70% chance to apply Effect Resistance Up 16.3%.</x:v>
      </x:c>
      <x:c r="Z431" s="7" t="str">
        <x:v>버프</x:v>
      </x:c>
    </x:row>
    <x:row r="432" ht="115" customHeight="1">
      <x:c r="A432" s="7" t="str">
        <x:v>SKILL_0426</x:v>
      </x:c>
      <x:c r="B432" s="7" t="str">
        <x:v>불사 · 스킬 쿨타임 감소 · 치명확률 증가의 의식</x:v>
      </x:c>
      <x:c r="C432" s="7"/>
      <x:c r="D432" s="7" t="str">
        <x:v>자신</x:v>
      </x:c>
      <x:c r="E432" s="7" t="n">
        <x:v>0</x:v>
      </x:c>
      <x:c r="F432" s="7" t="n">
        <x:v>0</x:v>
      </x:c>
      <x:c r="G432" s="7" t="n">
        <x:v>0</x:v>
      </x:c>
      <x:c r="H432" s="7" t="n">
        <x:v>0</x:v>
      </x:c>
      <x:c r="I432" s="7" t="n">
        <x:v>0</x:v>
      </x:c>
      <x:c r="J432" s="7" t="n">
        <x:v>0</x:v>
      </x:c>
      <x:c r="K432" s="7" t="str">
        <x:v>IMMORTALITY</x:v>
      </x:c>
      <x:c r="L432" s="7" t="n">
        <x:v>1</x:v>
      </x:c>
      <x:c r="M432" s="8" t="n">
        <x:v>0.8</x:v>
      </x:c>
      <x:c r="N432" s="7" t="str">
        <x:v>SKILL_COOLDOWN_DOWN</x:v>
      </x:c>
      <x:c r="O432" s="7" t="n">
        <x:v>1</x:v>
      </x:c>
      <x:c r="P432" s="8" t="n">
        <x:v>0.8</x:v>
      </x:c>
      <x:c r="Q432" s="7" t="str">
        <x:v>CRITICAL_CHANCE_UP</x:v>
      </x:c>
      <x:c r="R432" s="7" t="n">
        <x:v>0.16</x:v>
      </x:c>
      <x:c r="S432" s="8" t="n">
        <x:v>0.8</x:v>
      </x:c>
      <x:c r="T432" s="7"/>
      <x:c r="U432" s="7"/>
      <x:c r="V432" s="8"/>
      <x:c r="W432" s="7" t="n">
        <x:v>3</x:v>
      </x:c>
      <x:c r="X432" s="7" t="str">
        <x:v>대상: 자신. 80%확률로 불사 획득합니다. 80%확률로 스킬 쿨타임 감소 1턴 획득합니다. 80%확률로 치명확률 증가 16% 획득합니다.</x:v>
      </x:c>
      <x:c r="Y432" s="7" t="str">
        <x:v>Target: the caster. 80% chance to gain Immortality. 80% chance to gain Skill Cooldown Reduction 1 turn. 80% chance to gain Critical Hit Chance Up 16%.</x:v>
      </x:c>
      <x:c r="Z432" s="7" t="str">
        <x:v>버프</x:v>
      </x:c>
    </x:row>
    <x:row r="433" ht="115" customHeight="1">
      <x:c r="A433" s="7" t="str">
        <x:v>SKILL_0427</x:v>
      </x:c>
      <x:c r="B433" s="7" t="str">
        <x:v>피해 감소 · 강화효과 지속시간 증가 · 피해 반사의 의식</x:v>
      </x:c>
      <x:c r="C433" s="7"/>
      <x:c r="D433" s="7" t="str">
        <x:v>아군전체</x:v>
      </x:c>
      <x:c r="E433" s="7" t="n">
        <x:v>0</x:v>
      </x:c>
      <x:c r="F433" s="7" t="n">
        <x:v>0</x:v>
      </x:c>
      <x:c r="G433" s="7" t="n">
        <x:v>0</x:v>
      </x:c>
      <x:c r="H433" s="7" t="n">
        <x:v>0</x:v>
      </x:c>
      <x:c r="I433" s="7" t="n">
        <x:v>0</x:v>
      </x:c>
      <x:c r="J433" s="7" t="n">
        <x:v>0</x:v>
      </x:c>
      <x:c r="K433" s="7" t="str">
        <x:v>DAMAGE_REDUCTION</x:v>
      </x:c>
      <x:c r="L433" s="7" t="n">
        <x:v>0.16</x:v>
      </x:c>
      <x:c r="M433" s="8" t="n">
        <x:v>0.8</x:v>
      </x:c>
      <x:c r="N433" s="7" t="str">
        <x:v>BUFF_DURATION_UP</x:v>
      </x:c>
      <x:c r="O433" s="7" t="n">
        <x:v>1</x:v>
      </x:c>
      <x:c r="P433" s="8" t="n">
        <x:v>0.8</x:v>
      </x:c>
      <x:c r="Q433" s="7" t="str">
        <x:v>DAMAGE_REFLECTION</x:v>
      </x:c>
      <x:c r="R433" s="7" t="n">
        <x:v>0.16</x:v>
      </x:c>
      <x:c r="S433" s="8" t="n">
        <x:v>0.8</x:v>
      </x:c>
      <x:c r="T433" s="7"/>
      <x:c r="U433" s="7"/>
      <x:c r="V433" s="8"/>
      <x:c r="W433" s="7" t="n">
        <x:v>5</x:v>
      </x:c>
      <x:c r="X433" s="7" t="str">
        <x:v>대상: 아군전체. 80%확률로 피해 감소 16% 적용합니다. 80%확률로 강화효과 지속시간 증가 1턴 적용합니다. 80%확률로 피해 반사 16% 적용합니다.</x:v>
      </x:c>
      <x:c r="Y433" s="7" t="str">
        <x:v>Target: all allies. 80% chance to apply Damage Reduction 16%. 80% chance to apply Buff Duration Extension 1 turn. 80% chance to apply Damage Reflection 16%.</x:v>
      </x:c>
      <x:c r="Z433" s="7" t="str">
        <x:v>공격|버프</x:v>
      </x:c>
    </x:row>
    <x:row r="434" ht="115" customHeight="1">
      <x:c r="A434" s="7" t="str">
        <x:v>SKILL_0428</x:v>
      </x:c>
      <x:c r="B434" s="7" t="str">
        <x:v>방어력 증가 · 지속 회복 · 공격력 증가 · 속도 증가의 의식</x:v>
      </x:c>
      <x:c r="C434" s="7"/>
      <x:c r="D434" s="7" t="str">
        <x:v>아군과 자신</x:v>
      </x:c>
      <x:c r="E434" s="7" t="n">
        <x:v>0</x:v>
      </x:c>
      <x:c r="F434" s="7" t="n">
        <x:v>0</x:v>
      </x:c>
      <x:c r="G434" s="7" t="n">
        <x:v>0</x:v>
      </x:c>
      <x:c r="H434" s="7" t="n">
        <x:v>0</x:v>
      </x:c>
      <x:c r="I434" s="7" t="n">
        <x:v>0</x:v>
      </x:c>
      <x:c r="J434" s="7" t="n">
        <x:v>0</x:v>
      </x:c>
      <x:c r="K434" s="7" t="str">
        <x:v>DEFENSE_UP</x:v>
      </x:c>
      <x:c r="L434" s="7" t="n">
        <x:v>0.227</x:v>
      </x:c>
      <x:c r="M434" s="8" t="n">
        <x:v>0.7</x:v>
      </x:c>
      <x:c r="N434" s="7" t="str">
        <x:v>CONTINUOUS_HEAL</x:v>
      </x:c>
      <x:c r="O434" s="7" t="n">
        <x:v>0.046</x:v>
      </x:c>
      <x:c r="P434" s="8" t="n">
        <x:v>0.7</x:v>
      </x:c>
      <x:c r="Q434" s="7" t="str">
        <x:v>ATTACK_UP</x:v>
      </x:c>
      <x:c r="R434" s="7" t="n">
        <x:v>0.195</x:v>
      </x:c>
      <x:c r="S434" s="8" t="n">
        <x:v>0.7</x:v>
      </x:c>
      <x:c r="T434" s="7" t="str">
        <x:v>SPEED_UP</x:v>
      </x:c>
      <x:c r="U434" s="7" t="n">
        <x:v>0.13</x:v>
      </x:c>
      <x:c r="V434" s="8" t="n">
        <x:v>0.7</x:v>
      </x:c>
      <x:c r="W434" s="7" t="n">
        <x:v>2</x:v>
      </x:c>
      <x:c r="X434" s="7" t="str">
        <x:v>대상: 아군과 자신. 70%확률로 방어력 증가 22.7% 적용합니다. 70%확률로 지속 회복을 부여합니다(2턴, 대상의 턴 시작마다 대상 최대생명력의 4.6% 회복). 70%확률로 공격력 증가 19.5% 적용합니다. 70%확률로 속도 증가 13% 적용합니다.</x:v>
      </x:c>
      <x:c r="Y434" s="7" t="str">
        <x:v>Target: one ally and the caster. 70% chance to apply Defense Up 22.7%. 70% chance to grant Continuous Heal for 2 turns, restoring 4.6% of the recipient's max Health at each turn start. 70% chance to apply Attack Up 19.5%. 70% chance to apply Speed Up 13%.</x:v>
      </x:c>
      <x:c r="Z434" s="7" t="str">
        <x:v>회복|버프</x:v>
      </x:c>
    </x:row>
    <x:row r="435" ht="115" customHeight="1">
      <x:c r="A435" s="7" t="str">
        <x:v>SKILL_0429</x:v>
      </x:c>
      <x:c r="B435" s="7" t="str">
        <x:v>효과적중 증가 · 무적 · 치명피해 증가 · 반격의 의식</x:v>
      </x:c>
      <x:c r="C435" s="7"/>
      <x:c r="D435" s="7" t="str">
        <x:v>아군</x:v>
      </x:c>
      <x:c r="E435" s="7" t="n">
        <x:v>0</x:v>
      </x:c>
      <x:c r="F435" s="7" t="n">
        <x:v>0</x:v>
      </x:c>
      <x:c r="G435" s="7" t="n">
        <x:v>0</x:v>
      </x:c>
      <x:c r="H435" s="7" t="n">
        <x:v>0</x:v>
      </x:c>
      <x:c r="I435" s="7" t="n">
        <x:v>0</x:v>
      </x:c>
      <x:c r="J435" s="7" t="n">
        <x:v>0</x:v>
      </x:c>
      <x:c r="K435" s="7" t="str">
        <x:v>EFFECTIVENESS_UP</x:v>
      </x:c>
      <x:c r="L435" s="7" t="n">
        <x:v>0.163</x:v>
      </x:c>
      <x:c r="M435" s="8" t="n">
        <x:v>0.7</x:v>
      </x:c>
      <x:c r="N435" s="7" t="str">
        <x:v>INVINCIBILITY</x:v>
      </x:c>
      <x:c r="O435" s="7" t="n">
        <x:v>1</x:v>
      </x:c>
      <x:c r="P435" s="8" t="n">
        <x:v>0.7</x:v>
      </x:c>
      <x:c r="Q435" s="7" t="str">
        <x:v>CRITICAL_DAMAGE_UP</x:v>
      </x:c>
      <x:c r="R435" s="7" t="n">
        <x:v>0.195</x:v>
      </x:c>
      <x:c r="S435" s="8" t="n">
        <x:v>0.7</x:v>
      </x:c>
      <x:c r="T435" s="7" t="str">
        <x:v>COUNTERATTACK</x:v>
      </x:c>
      <x:c r="U435" s="7" t="n">
        <x:v>0.26</x:v>
      </x:c>
      <x:c r="V435" s="8" t="n">
        <x:v>0.7</x:v>
      </x:c>
      <x:c r="W435" s="7" t="n">
        <x:v>3</x:v>
      </x:c>
      <x:c r="X435" s="7" t="str">
        <x:v>대상: 아군. 70%확률로 효과적중 증가 16.3% 적용합니다. 70%확률로 무적 적용합니다. 70%확률로 치명피해 증가 19.5% 적용합니다. 70%확률로 반격 26% 적용합니다.</x:v>
      </x:c>
      <x:c r="Y435" s="7" t="str">
        <x:v>Target: one ally. 70% chance to apply Effectiveness Up 16.3%. 70% chance to apply Invincibility. 70% chance to apply Critical Hit Damage Up 19.5%. 70% chance to apply Counterattack 26%.</x:v>
      </x:c>
      <x:c r="Z435" s="7" t="str">
        <x:v>공격|버프</x:v>
      </x:c>
    </x:row>
    <x:row r="436" ht="115" customHeight="1">
      <x:c r="A436" s="7" t="str">
        <x:v>SKILL_0430</x:v>
      </x:c>
      <x:c r="B436" s="7" t="str">
        <x:v>치명피해 증가 · 효과적중 증가의 의식</x:v>
      </x:c>
      <x:c r="C436" s="7"/>
      <x:c r="D436" s="7" t="str">
        <x:v>자신</x:v>
      </x:c>
      <x:c r="E436" s="7" t="n">
        <x:v>0</x:v>
      </x:c>
      <x:c r="F436" s="7" t="n">
        <x:v>0</x:v>
      </x:c>
      <x:c r="G436" s="7" t="n">
        <x:v>0</x:v>
      </x:c>
      <x:c r="H436" s="7" t="n">
        <x:v>0</x:v>
      </x:c>
      <x:c r="I436" s="7" t="n">
        <x:v>0</x:v>
      </x:c>
      <x:c r="J436" s="7" t="n">
        <x:v>0</x:v>
      </x:c>
      <x:c r="K436" s="7" t="str">
        <x:v>CRITICAL_DAMAGE_UP</x:v>
      </x:c>
      <x:c r="L436" s="7" t="n">
        <x:v>0.3</x:v>
      </x:c>
      <x:c r="M436" s="8" t="n">
        <x:v>0.9</x:v>
      </x:c>
      <x:c r="N436" s="7" t="str">
        <x:v>EFFECTIVENESS_UP</x:v>
      </x:c>
      <x:c r="O436" s="7" t="n">
        <x:v>0.25</x:v>
      </x:c>
      <x:c r="P436" s="8" t="n">
        <x:v>0.9</x:v>
      </x:c>
      <x:c r="Q436" s="7"/>
      <x:c r="R436" s="7"/>
      <x:c r="S436" s="8"/>
      <x:c r="T436" s="7"/>
      <x:c r="U436" s="7"/>
      <x:c r="V436" s="8"/>
      <x:c r="W436" s="7" t="n">
        <x:v>1</x:v>
      </x:c>
      <x:c r="X436" s="7" t="str">
        <x:v>대상: 자신. 90%확률로 치명피해 증가 30% 획득합니다. 90%확률로 효과적중 증가 25% 획득합니다.</x:v>
      </x:c>
      <x:c r="Y436" s="7" t="str">
        <x:v>Target: the caster. 90% chance to gain Critical Hit Damage Up 30%. 90% chance to gain Effectiveness Up 25%.</x:v>
      </x:c>
      <x:c r="Z436" s="7" t="str">
        <x:v>버프</x:v>
      </x:c>
    </x:row>
    <x:row r="437" ht="115" customHeight="1">
      <x:c r="A437" s="7" t="str">
        <x:v>SKILL_0431</x:v>
      </x:c>
      <x:c r="B437" s="7" t="str">
        <x:v>불사 · 효과적중 증가의 의식</x:v>
      </x:c>
      <x:c r="C437" s="7"/>
      <x:c r="D437" s="7" t="str">
        <x:v>아군전체</x:v>
      </x:c>
      <x:c r="E437" s="7" t="n">
        <x:v>0</x:v>
      </x:c>
      <x:c r="F437" s="7" t="n">
        <x:v>0</x:v>
      </x:c>
      <x:c r="G437" s="7" t="n">
        <x:v>0</x:v>
      </x:c>
      <x:c r="H437" s="7" t="n">
        <x:v>0</x:v>
      </x:c>
      <x:c r="I437" s="7" t="n">
        <x:v>0</x:v>
      </x:c>
      <x:c r="J437" s="7" t="n">
        <x:v>0</x:v>
      </x:c>
      <x:c r="K437" s="7" t="str">
        <x:v>IMMORTALITY</x:v>
      </x:c>
      <x:c r="L437" s="7" t="n">
        <x:v>1</x:v>
      </x:c>
      <x:c r="M437" s="8" t="n">
        <x:v>0.8</x:v>
      </x:c>
      <x:c r="N437" s="7" t="str">
        <x:v>EFFECTIVENESS_UP</x:v>
      </x:c>
      <x:c r="O437" s="7" t="n">
        <x:v>0.25</x:v>
      </x:c>
      <x:c r="P437" s="8" t="n">
        <x:v>0.8</x:v>
      </x:c>
      <x:c r="Q437" s="7"/>
      <x:c r="R437" s="7"/>
      <x:c r="S437" s="8"/>
      <x:c r="T437" s="7"/>
      <x:c r="U437" s="7"/>
      <x:c r="V437" s="8"/>
      <x:c r="W437" s="7" t="n">
        <x:v>5</x:v>
      </x:c>
      <x:c r="X437" s="7" t="str">
        <x:v>대상: 아군전체. 80%확률로 불사 적용합니다. 80%확률로 효과적중 증가 25% 적용합니다.</x:v>
      </x:c>
      <x:c r="Y437" s="7" t="str">
        <x:v>Target: all allies. 80% chance to apply Immortality. 80% chance to apply Effectiveness Up 25%.</x:v>
      </x:c>
      <x:c r="Z437" s="7" t="str">
        <x:v>버프</x:v>
      </x:c>
    </x:row>
    <x:row r="438" ht="115" customHeight="1">
      <x:c r="A438" s="7" t="str">
        <x:v>SKILL_0432</x:v>
      </x:c>
      <x:c r="B438" s="7" t="str">
        <x:v>강화효과 지속시간 증가 · 치명확률 증가 · 효과적중 증가 · 피해 반사의 의식</x:v>
      </x:c>
      <x:c r="C438" s="7"/>
      <x:c r="D438" s="7" t="str">
        <x:v>아군과 자신</x:v>
      </x:c>
      <x:c r="E438" s="7" t="n">
        <x:v>0</x:v>
      </x:c>
      <x:c r="F438" s="7" t="n">
        <x:v>0</x:v>
      </x:c>
      <x:c r="G438" s="7" t="n">
        <x:v>0</x:v>
      </x:c>
      <x:c r="H438" s="7" t="n">
        <x:v>0</x:v>
      </x:c>
      <x:c r="I438" s="7" t="n">
        <x:v>0</x:v>
      </x:c>
      <x:c r="J438" s="7" t="n">
        <x:v>0</x:v>
      </x:c>
      <x:c r="K438" s="7" t="str">
        <x:v>BUFF_DURATION_UP</x:v>
      </x:c>
      <x:c r="L438" s="7" t="n">
        <x:v>1</x:v>
      </x:c>
      <x:c r="M438" s="8" t="n">
        <x:v>0.7</x:v>
      </x:c>
      <x:c r="N438" s="7" t="str">
        <x:v>CRITICAL_CHANCE_UP</x:v>
      </x:c>
      <x:c r="O438" s="7" t="n">
        <x:v>0.13</x:v>
      </x:c>
      <x:c r="P438" s="8" t="n">
        <x:v>0.7</x:v>
      </x:c>
      <x:c r="Q438" s="7" t="str">
        <x:v>EFFECTIVENESS_UP</x:v>
      </x:c>
      <x:c r="R438" s="7" t="n">
        <x:v>0.163</x:v>
      </x:c>
      <x:c r="S438" s="8" t="n">
        <x:v>0.7</x:v>
      </x:c>
      <x:c r="T438" s="7" t="str">
        <x:v>DAMAGE_REFLECTION</x:v>
      </x:c>
      <x:c r="U438" s="7" t="n">
        <x:v>0.13</x:v>
      </x:c>
      <x:c r="V438" s="8" t="n">
        <x:v>0.7</x:v>
      </x:c>
      <x:c r="W438" s="7" t="n">
        <x:v>3</x:v>
      </x:c>
      <x:c r="X438" s="7" t="str">
        <x:v>대상: 아군과 자신. 70%확률로 강화효과 지속시간 증가 1턴 적용합니다. 70%확률로 치명확률 증가 13% 적용합니다. 70%확률로 효과적중 증가 16.3% 적용합니다. 70%확률로 피해 반사 13% 적용합니다.</x:v>
      </x:c>
      <x:c r="Y438" s="7" t="str">
        <x:v>Target: one ally and the caster. 70% chance to apply Buff Duration Extension 1 turn. 70% chance to apply Critical Hit Chance Up 13%. 70% chance to apply Effectiveness Up 16.3%. 70% chance to apply Damage Reflection 13%.</x:v>
      </x:c>
      <x:c r="Z438" s="7" t="str">
        <x:v>공격|버프</x:v>
      </x:c>
    </x:row>
    <x:row r="439" ht="115" customHeight="1">
      <x:c r="A439" s="7" t="str">
        <x:v>SKILL_0433</x:v>
      </x:c>
      <x:c r="B439" s="7" t="str">
        <x:v>보호막 · 소생 · 피해 반사 · 속도 증가의 의식</x:v>
      </x:c>
      <x:c r="C439" s="7"/>
      <x:c r="D439" s="7" t="str">
        <x:v>아군</x:v>
      </x:c>
      <x:c r="E439" s="7" t="n">
        <x:v>0</x:v>
      </x:c>
      <x:c r="F439" s="7" t="n">
        <x:v>0</x:v>
      </x:c>
      <x:c r="G439" s="7" t="n">
        <x:v>0</x:v>
      </x:c>
      <x:c r="H439" s="7" t="n">
        <x:v>0</x:v>
      </x:c>
      <x:c r="I439" s="7" t="n">
        <x:v>0</x:v>
      </x:c>
      <x:c r="J439" s="7" t="n">
        <x:v>0</x:v>
      </x:c>
      <x:c r="K439" s="7" t="str">
        <x:v>BARRIER</x:v>
      </x:c>
      <x:c r="L439" s="7" t="n">
        <x:v>0.098</x:v>
      </x:c>
      <x:c r="M439" s="8" t="n">
        <x:v>0.55</x:v>
      </x:c>
      <x:c r="N439" s="7" t="str">
        <x:v>AUTO_REVIVE</x:v>
      </x:c>
      <x:c r="O439" s="7" t="n">
        <x:v>1</x:v>
      </x:c>
      <x:c r="P439" s="8" t="n">
        <x:v>1</x:v>
      </x:c>
      <x:c r="Q439" s="7" t="str">
        <x:v>DAMAGE_REFLECTION</x:v>
      </x:c>
      <x:c r="R439" s="7" t="n">
        <x:v>0.13</x:v>
      </x:c>
      <x:c r="S439" s="8" t="n">
        <x:v>0.55</x:v>
      </x:c>
      <x:c r="T439" s="7" t="str">
        <x:v>SPEED_UP</x:v>
      </x:c>
      <x:c r="U439" s="7" t="n">
        <x:v>0.13</x:v>
      </x:c>
      <x:c r="V439" s="8" t="n">
        <x:v>0.55</x:v>
      </x:c>
      <x:c r="W439" s="7" t="n">
        <x:v>5</x:v>
      </x:c>
      <x:c r="X439" s="7" t="str">
        <x:v>대상: 아군. 55%확률로 보호막 9.8% 적용합니다. 100%확률로 소생 100% 적용합니다. 55%확률로 피해 반사 13% 적용합니다. 55%확률로 속도 증가 13% 적용합니다.</x:v>
      </x:c>
      <x:c r="Y439" s="7" t="str">
        <x:v>Target: one ally. 55% chance to apply Barrier 9.8%. 100% chance to apply Auto Revive 100%. 55% chance to apply Damage Reflection 13%. 55% chance to apply Speed Up 13%.</x:v>
      </x:c>
      <x:c r="Z439" s="7" t="str">
        <x:v>공격|회복|버프</x:v>
      </x:c>
    </x:row>
    <x:row r="440" ht="115" customHeight="1">
      <x:c r="A440" s="7" t="str">
        <x:v>SKILL_0434</x:v>
      </x:c>
      <x:c r="B440" s="7" t="str">
        <x:v>치명저항 증가 · 보호막의 의식</x:v>
      </x:c>
      <x:c r="C440" s="7"/>
      <x:c r="D440" s="7" t="str">
        <x:v>자신</x:v>
      </x:c>
      <x:c r="E440" s="7" t="n">
        <x:v>0</x:v>
      </x:c>
      <x:c r="F440" s="7" t="n">
        <x:v>0</x:v>
      </x:c>
      <x:c r="G440" s="7" t="n">
        <x:v>0</x:v>
      </x:c>
      <x:c r="H440" s="7" t="n">
        <x:v>0</x:v>
      </x:c>
      <x:c r="I440" s="7" t="n">
        <x:v>0</x:v>
      </x:c>
      <x:c r="J440" s="7" t="n">
        <x:v>0</x:v>
      </x:c>
      <x:c r="K440" s="7" t="str">
        <x:v>CRITICAL_RESISTANCE_UP</x:v>
      </x:c>
      <x:c r="L440" s="7" t="n">
        <x:v>0.25</x:v>
      </x:c>
      <x:c r="M440" s="8" t="n">
        <x:v>0.9</x:v>
      </x:c>
      <x:c r="N440" s="7" t="str">
        <x:v>BARRIER</x:v>
      </x:c>
      <x:c r="O440" s="7" t="n">
        <x:v>0.15</x:v>
      </x:c>
      <x:c r="P440" s="8" t="n">
        <x:v>0.9</x:v>
      </x:c>
      <x:c r="Q440" s="7"/>
      <x:c r="R440" s="7"/>
      <x:c r="S440" s="8"/>
      <x:c r="T440" s="7"/>
      <x:c r="U440" s="7"/>
      <x:c r="V440" s="8"/>
      <x:c r="W440" s="7" t="n">
        <x:v>1</x:v>
      </x:c>
      <x:c r="X440" s="7" t="str">
        <x:v>대상: 자신. 90%확률로 치명저항 증가 25% 획득합니다. 90%확률로 보호막 15% 획득합니다.</x:v>
      </x:c>
      <x:c r="Y440" s="7" t="str">
        <x:v>Target: the caster. 90% chance to gain Critical Hit Resistance Up 25%. 90% chance to gain Barrier 15%.</x:v>
      </x:c>
      <x:c r="Z440" s="7" t="str">
        <x:v>버프</x:v>
      </x:c>
    </x:row>
    <x:row r="441" ht="115" customHeight="1">
      <x:c r="A441" s="7" t="str">
        <x:v>SKILL_0435</x:v>
      </x:c>
      <x:c r="B441" s="7" t="str">
        <x:v>생명력 회복 · 스킬 쿨타임 감소의 의식</x:v>
      </x:c>
      <x:c r="C441" s="7"/>
      <x:c r="D441" s="7" t="str">
        <x:v>아군전체</x:v>
      </x:c>
      <x:c r="E441" s="7" t="n">
        <x:v>0</x:v>
      </x:c>
      <x:c r="F441" s="7" t="n">
        <x:v>0</x:v>
      </x:c>
      <x:c r="G441" s="7" t="n">
        <x:v>0</x:v>
      </x:c>
      <x:c r="H441" s="7" t="n">
        <x:v>0</x:v>
      </x:c>
      <x:c r="I441" s="7" t="n">
        <x:v>0</x:v>
      </x:c>
      <x:c r="J441" s="7" t="n">
        <x:v>0.35</x:v>
      </x:c>
      <x:c r="K441" s="7" t="str">
        <x:v>HEAL</x:v>
      </x:c>
      <x:c r="L441" s="7" t="n">
        <x:v>1</x:v>
      </x:c>
      <x:c r="M441" s="8" t="n">
        <x:v>1</x:v>
      </x:c>
      <x:c r="N441" s="7" t="str">
        <x:v>SKILL_COOLDOWN_DOWN</x:v>
      </x:c>
      <x:c r="O441" s="7" t="n">
        <x:v>1</x:v>
      </x:c>
      <x:c r="P441" s="8" t="n">
        <x:v>0.9</x:v>
      </x:c>
      <x:c r="Q441" s="7"/>
      <x:c r="R441" s="7"/>
      <x:c r="S441" s="8"/>
      <x:c r="T441" s="7"/>
      <x:c r="U441" s="7"/>
      <x:c r="V441" s="8"/>
      <x:c r="W441" s="7" t="n">
        <x:v>4</x:v>
      </x:c>
      <x:c r="X441" s="7" t="str">
        <x:v>대상: 아군전체. 아군전체를 시전자의 최대생명력의 0.35배만큼 회복시킵니다. 90%확률로 스킬 쿨타임 감소 1턴 적용합니다.</x:v>
      </x:c>
      <x:c r="Y441" s="7" t="str">
        <x:v>Target: all allies. Heals all allies for 0.35 × caster max Health. 90% chance to apply Skill Cooldown Reduction 1 turn.</x:v>
      </x:c>
      <x:c r="Z441" s="7" t="str">
        <x:v>회복|버프</x:v>
      </x:c>
    </x:row>
    <x:row r="442" ht="115" customHeight="1">
      <x:c r="A442" s="7" t="str">
        <x:v>SKILL_0436</x:v>
      </x:c>
      <x:c r="B442" s="7" t="str">
        <x:v>소생 · 회피 증가의 의식</x:v>
      </x:c>
      <x:c r="C442" s="7"/>
      <x:c r="D442" s="7" t="str">
        <x:v>아군</x:v>
      </x:c>
      <x:c r="E442" s="7" t="n">
        <x:v>0</x:v>
      </x:c>
      <x:c r="F442" s="7" t="n">
        <x:v>0</x:v>
      </x:c>
      <x:c r="G442" s="7" t="n">
        <x:v>0</x:v>
      </x:c>
      <x:c r="H442" s="7" t="n">
        <x:v>0</x:v>
      </x:c>
      <x:c r="I442" s="7" t="n">
        <x:v>0</x:v>
      </x:c>
      <x:c r="J442" s="7" t="n">
        <x:v>0</x:v>
      </x:c>
      <x:c r="K442" s="7" t="str">
        <x:v>AUTO_REVIVE</x:v>
      </x:c>
      <x:c r="L442" s="7" t="n">
        <x:v>1</x:v>
      </x:c>
      <x:c r="M442" s="8" t="n">
        <x:v>1</x:v>
      </x:c>
      <x:c r="N442" s="7" t="str">
        <x:v>EVASION_UP</x:v>
      </x:c>
      <x:c r="O442" s="7" t="n">
        <x:v>0.2</x:v>
      </x:c>
      <x:c r="P442" s="8" t="n">
        <x:v>0.9</x:v>
      </x:c>
      <x:c r="Q442" s="7"/>
      <x:c r="R442" s="7"/>
      <x:c r="S442" s="8"/>
      <x:c r="T442" s="7"/>
      <x:c r="U442" s="7"/>
      <x:c r="V442" s="8"/>
      <x:c r="W442" s="7" t="n">
        <x:v>5</x:v>
      </x:c>
      <x:c r="X442" s="7" t="str">
        <x:v>대상: 아군. 100%확률로 소생 100% 적용합니다. 90%확률로 회피 증가 20% 적용합니다.</x:v>
      </x:c>
      <x:c r="Y442" s="7" t="str">
        <x:v>Target: one ally. 100% chance to apply Auto Revive 100%. 90% chance to apply Evasion Up 20%.</x:v>
      </x:c>
      <x:c r="Z442" s="7" t="str">
        <x:v>회복|버프</x:v>
      </x:c>
    </x:row>
    <x:row r="443" ht="115" customHeight="1">
      <x:c r="A443" s="7" t="str">
        <x:v>SKILL_0437</x:v>
      </x:c>
      <x:c r="B443" s="7" t="str">
        <x:v>치명피해 증가 · 치명저항 증가의 의식</x:v>
      </x:c>
      <x:c r="C443" s="7"/>
      <x:c r="D443" s="7" t="str">
        <x:v>아군</x:v>
      </x:c>
      <x:c r="E443" s="7" t="n">
        <x:v>0</x:v>
      </x:c>
      <x:c r="F443" s="7" t="n">
        <x:v>0</x:v>
      </x:c>
      <x:c r="G443" s="7" t="n">
        <x:v>0</x:v>
      </x:c>
      <x:c r="H443" s="7" t="n">
        <x:v>0</x:v>
      </x:c>
      <x:c r="I443" s="7" t="n">
        <x:v>0</x:v>
      </x:c>
      <x:c r="J443" s="7" t="n">
        <x:v>0</x:v>
      </x:c>
      <x:c r="K443" s="7" t="str">
        <x:v>CRITICAL_DAMAGE_UP</x:v>
      </x:c>
      <x:c r="L443" s="7" t="n">
        <x:v>0.3</x:v>
      </x:c>
      <x:c r="M443" s="8" t="n">
        <x:v>0.9</x:v>
      </x:c>
      <x:c r="N443" s="7" t="str">
        <x:v>CRITICAL_RESISTANCE_UP</x:v>
      </x:c>
      <x:c r="O443" s="7" t="n">
        <x:v>0.25</x:v>
      </x:c>
      <x:c r="P443" s="8" t="n">
        <x:v>0.9</x:v>
      </x:c>
      <x:c r="Q443" s="7"/>
      <x:c r="R443" s="7"/>
      <x:c r="S443" s="8"/>
      <x:c r="T443" s="7"/>
      <x:c r="U443" s="7"/>
      <x:c r="V443" s="8"/>
      <x:c r="W443" s="7" t="n">
        <x:v>1</x:v>
      </x:c>
      <x:c r="X443" s="7" t="str">
        <x:v>대상: 아군. 90%확률로 치명피해 증가 30% 적용합니다. 90%확률로 치명저항 증가 25% 적용합니다.</x:v>
      </x:c>
      <x:c r="Y443" s="7" t="str">
        <x:v>Target: one ally. 90% chance to apply Critical Hit Damage Up 30%. 90% chance to apply Critical Hit Resistance Up 25%.</x:v>
      </x:c>
      <x:c r="Z443" s="7" t="str">
        <x:v>버프</x:v>
      </x:c>
    </x:row>
    <x:row r="444" ht="115" customHeight="1">
      <x:c r="A444" s="7" t="str">
        <x:v>SKILL_0438</x:v>
      </x:c>
      <x:c r="B444" s="7" t="str">
        <x:v>스킬 쿨타임 초기화 · 불사 · 반격의 의식</x:v>
      </x:c>
      <x:c r="C444" s="7"/>
      <x:c r="D444" s="7" t="str">
        <x:v>아군</x:v>
      </x:c>
      <x:c r="E444" s="7" t="n">
        <x:v>0</x:v>
      </x:c>
      <x:c r="F444" s="7" t="n">
        <x:v>0</x:v>
      </x:c>
      <x:c r="G444" s="7" t="n">
        <x:v>0</x:v>
      </x:c>
      <x:c r="H444" s="7" t="n">
        <x:v>0</x:v>
      </x:c>
      <x:c r="I444" s="7" t="n">
        <x:v>0</x:v>
      </x:c>
      <x:c r="J444" s="7" t="n">
        <x:v>0</x:v>
      </x:c>
      <x:c r="K444" s="7" t="str">
        <x:v>SKILL_COOLDOWN_RESET</x:v>
      </x:c>
      <x:c r="L444" s="7" t="n">
        <x:v>1</x:v>
      </x:c>
      <x:c r="M444" s="8" t="n">
        <x:v>0.75</x:v>
      </x:c>
      <x:c r="N444" s="7" t="str">
        <x:v>IMMORTALITY</x:v>
      </x:c>
      <x:c r="O444" s="7" t="n">
        <x:v>1</x:v>
      </x:c>
      <x:c r="P444" s="8" t="n">
        <x:v>0.75</x:v>
      </x:c>
      <x:c r="Q444" s="7" t="str">
        <x:v>COUNTERATTACK</x:v>
      </x:c>
      <x:c r="R444" s="7" t="n">
        <x:v>0.32</x:v>
      </x:c>
      <x:c r="S444" s="8" t="n">
        <x:v>0.75</x:v>
      </x:c>
      <x:c r="T444" s="7"/>
      <x:c r="U444" s="7"/>
      <x:c r="V444" s="8"/>
      <x:c r="W444" s="7" t="n">
        <x:v>5</x:v>
      </x:c>
      <x:c r="X444" s="7" t="str">
        <x:v>대상: 아군. 75%확률로 스킬 쿨타임 초기화 1개 적용합니다. 75%확률로 불사 적용합니다. 75%확률로 반격 32% 적용합니다.</x:v>
      </x:c>
      <x:c r="Y444" s="7" t="str">
        <x:v>Target: one ally. 75% chance to apply Skill Cooldown Reset 1 count. 75% chance to apply Immortality. 75% chance to apply Counterattack 32%.</x:v>
      </x:c>
      <x:c r="Z444" s="7" t="str">
        <x:v>공격|버프</x:v>
      </x:c>
    </x:row>
    <x:row r="445" ht="115" customHeight="1">
      <x:c r="A445" s="7" t="str">
        <x:v>SKILL_0439</x:v>
      </x:c>
      <x:c r="B445" s="7" t="str">
        <x:v>보호막 · 치명피해 증가 · 방어력 증가 · 무적의 의식</x:v>
      </x:c>
      <x:c r="C445" s="7"/>
      <x:c r="D445" s="7" t="str">
        <x:v>아군전체</x:v>
      </x:c>
      <x:c r="E445" s="7" t="n">
        <x:v>0</x:v>
      </x:c>
      <x:c r="F445" s="7" t="n">
        <x:v>0</x:v>
      </x:c>
      <x:c r="G445" s="7" t="n">
        <x:v>0</x:v>
      </x:c>
      <x:c r="H445" s="7" t="n">
        <x:v>0</x:v>
      </x:c>
      <x:c r="I445" s="7" t="n">
        <x:v>0</x:v>
      </x:c>
      <x:c r="J445" s="7" t="n">
        <x:v>0</x:v>
      </x:c>
      <x:c r="K445" s="7" t="str">
        <x:v>BARRIER</x:v>
      </x:c>
      <x:c r="L445" s="7" t="n">
        <x:v>0.098</x:v>
      </x:c>
      <x:c r="M445" s="8" t="n">
        <x:v>0.5</x:v>
      </x:c>
      <x:c r="N445" s="7" t="str">
        <x:v>CRITICAL_DAMAGE_UP</x:v>
      </x:c>
      <x:c r="O445" s="7" t="n">
        <x:v>0.195</x:v>
      </x:c>
      <x:c r="P445" s="8" t="n">
        <x:v>0.5</x:v>
      </x:c>
      <x:c r="Q445" s="7" t="str">
        <x:v>DEFENSE_UP</x:v>
      </x:c>
      <x:c r="R445" s="7" t="n">
        <x:v>0.227</x:v>
      </x:c>
      <x:c r="S445" s="8" t="n">
        <x:v>0.5</x:v>
      </x:c>
      <x:c r="T445" s="7" t="str">
        <x:v>INVINCIBILITY</x:v>
      </x:c>
      <x:c r="U445" s="7" t="n">
        <x:v>1</x:v>
      </x:c>
      <x:c r="V445" s="8" t="n">
        <x:v>0.5</x:v>
      </x:c>
      <x:c r="W445" s="7" t="n">
        <x:v>5</x:v>
      </x:c>
      <x:c r="X445" s="7" t="str">
        <x:v>대상: 아군전체. 50%확률로 보호막 9.8% 적용합니다. 50%확률로 치명피해 증가 19.5% 적용합니다. 50%확률로 방어력 증가 22.7% 적용합니다. 50%확률로 무적 적용합니다.</x:v>
      </x:c>
      <x:c r="Y445" s="7" t="str">
        <x:v>Target: all allies. 50% chance to apply Barrier 9.8%. 50% chance to apply Critical Hit Damage Up 19.5%. 50% chance to apply Defense Up 22.7%. 50% chance to apply Invincibility.</x:v>
      </x:c>
      <x:c r="Z445" s="7" t="str">
        <x:v>버프</x:v>
      </x:c>
    </x:row>
    <x:row r="446" ht="115" customHeight="1">
      <x:c r="A446" s="7" t="str">
        <x:v>SKILL_0440</x:v>
      </x:c>
      <x:c r="B446" s="7" t="str">
        <x:v>속도 증가 · 소생 · 효과적중 증가의 의식</x:v>
      </x:c>
      <x:c r="C446" s="7"/>
      <x:c r="D446" s="7" t="str">
        <x:v>아군</x:v>
      </x:c>
      <x:c r="E446" s="7" t="n">
        <x:v>0</x:v>
      </x:c>
      <x:c r="F446" s="7" t="n">
        <x:v>0</x:v>
      </x:c>
      <x:c r="G446" s="7" t="n">
        <x:v>0</x:v>
      </x:c>
      <x:c r="H446" s="7" t="n">
        <x:v>0</x:v>
      </x:c>
      <x:c r="I446" s="7" t="n">
        <x:v>0</x:v>
      </x:c>
      <x:c r="J446" s="7" t="n">
        <x:v>0</x:v>
      </x:c>
      <x:c r="K446" s="7" t="str">
        <x:v>SPEED_UP</x:v>
      </x:c>
      <x:c r="L446" s="7" t="n">
        <x:v>0.16</x:v>
      </x:c>
      <x:c r="M446" s="8" t="n">
        <x:v>0.8</x:v>
      </x:c>
      <x:c r="N446" s="7" t="str">
        <x:v>AUTO_REVIVE</x:v>
      </x:c>
      <x:c r="O446" s="7" t="n">
        <x:v>1</x:v>
      </x:c>
      <x:c r="P446" s="8" t="n">
        <x:v>1</x:v>
      </x:c>
      <x:c r="Q446" s="7" t="str">
        <x:v>EFFECTIVENESS_UP</x:v>
      </x:c>
      <x:c r="R446" s="7" t="n">
        <x:v>0.2</x:v>
      </x:c>
      <x:c r="S446" s="8" t="n">
        <x:v>0.8</x:v>
      </x:c>
      <x:c r="T446" s="7"/>
      <x:c r="U446" s="7"/>
      <x:c r="V446" s="8"/>
      <x:c r="W446" s="7" t="n">
        <x:v>5</x:v>
      </x:c>
      <x:c r="X446" s="7" t="str">
        <x:v>대상: 아군. 80%확률로 속도 증가 16% 적용합니다. 100%확률로 소생 100% 적용합니다. 80%확률로 효과적중 증가 20% 적용합니다.</x:v>
      </x:c>
      <x:c r="Y446" s="7" t="str">
        <x:v>Target: one ally. 80% chance to apply Speed Up 16%. 100% chance to apply Auto Revive 100%. 80% chance to apply Effectiveness Up 20%.</x:v>
      </x:c>
      <x:c r="Z446" s="7" t="str">
        <x:v>회복|버프</x:v>
      </x:c>
    </x:row>
    <x:row r="447" ht="115" customHeight="1">
      <x:c r="A447" s="7" t="str">
        <x:v>SKILL_0441</x:v>
      </x:c>
      <x:c r="B447" s="7" t="str">
        <x:v>치명피해 증가 · 공격력 증가(대) · 소생의 의식</x:v>
      </x:c>
      <x:c r="C447" s="7"/>
      <x:c r="D447" s="7" t="str">
        <x:v>아군</x:v>
      </x:c>
      <x:c r="E447" s="7" t="n">
        <x:v>0</x:v>
      </x:c>
      <x:c r="F447" s="7" t="n">
        <x:v>0</x:v>
      </x:c>
      <x:c r="G447" s="7" t="n">
        <x:v>0</x:v>
      </x:c>
      <x:c r="H447" s="7" t="n">
        <x:v>0</x:v>
      </x:c>
      <x:c r="I447" s="7" t="n">
        <x:v>0</x:v>
      </x:c>
      <x:c r="J447" s="7" t="n">
        <x:v>0</x:v>
      </x:c>
      <x:c r="K447" s="7" t="str">
        <x:v>CRITICAL_DAMAGE_UP</x:v>
      </x:c>
      <x:c r="L447" s="7" t="n">
        <x:v>0.24</x:v>
      </x:c>
      <x:c r="M447" s="8" t="n">
        <x:v>0.8</x:v>
      </x:c>
      <x:c r="N447" s="7" t="str">
        <x:v>ATTACK_UP_GREATER</x:v>
      </x:c>
      <x:c r="O447" s="7" t="n">
        <x:v>0.4</x:v>
      </x:c>
      <x:c r="P447" s="8" t="n">
        <x:v>0.8</x:v>
      </x:c>
      <x:c r="Q447" s="7" t="str">
        <x:v>AUTO_REVIVE</x:v>
      </x:c>
      <x:c r="R447" s="7" t="n">
        <x:v>1</x:v>
      </x:c>
      <x:c r="S447" s="8" t="n">
        <x:v>1</x:v>
      </x:c>
      <x:c r="T447" s="7"/>
      <x:c r="U447" s="7"/>
      <x:c r="V447" s="8"/>
      <x:c r="W447" s="7" t="n">
        <x:v>5</x:v>
      </x:c>
      <x:c r="X447" s="7" t="str">
        <x:v>대상: 아군. 80%확률로 치명피해 증가 24% 적용합니다. 80%확률로 공격력 증가(대) 40% 적용합니다. 100%확률로 소생 100% 적용합니다.</x:v>
      </x:c>
      <x:c r="Y447" s="7" t="str">
        <x:v>Target: one ally. 80% chance to apply Critical Hit Damage Up 24%. 80% chance to apply Greater Attack Up 40%. 100% chance to apply Auto Revive 100%.</x:v>
      </x:c>
      <x:c r="Z447" s="7" t="str">
        <x:v>회복|버프</x:v>
      </x:c>
    </x:row>
    <x:row r="448" ht="115" customHeight="1">
      <x:c r="A448" s="7" t="str">
        <x:v>SKILL_0442</x:v>
      </x:c>
      <x:c r="B448" s="7" t="str">
        <x:v>명중 증가 · 소생 · 피해 반사 · 효과저항 증가의 의식</x:v>
      </x:c>
      <x:c r="C448" s="7"/>
      <x:c r="D448" s="7" t="str">
        <x:v>아군</x:v>
      </x:c>
      <x:c r="E448" s="7" t="n">
        <x:v>0</x:v>
      </x:c>
      <x:c r="F448" s="7" t="n">
        <x:v>0</x:v>
      </x:c>
      <x:c r="G448" s="7" t="n">
        <x:v>0</x:v>
      </x:c>
      <x:c r="H448" s="7" t="n">
        <x:v>0</x:v>
      </x:c>
      <x:c r="I448" s="7" t="n">
        <x:v>0</x:v>
      </x:c>
      <x:c r="J448" s="7" t="n">
        <x:v>0</x:v>
      </x:c>
      <x:c r="K448" s="7" t="str">
        <x:v>HIT_CHANCE_UP</x:v>
      </x:c>
      <x:c r="L448" s="7" t="n">
        <x:v>0.13</x:v>
      </x:c>
      <x:c r="M448" s="8" t="n">
        <x:v>0.7</x:v>
      </x:c>
      <x:c r="N448" s="7" t="str">
        <x:v>AUTO_REVIVE</x:v>
      </x:c>
      <x:c r="O448" s="7" t="n">
        <x:v>1</x:v>
      </x:c>
      <x:c r="P448" s="8" t="n">
        <x:v>1</x:v>
      </x:c>
      <x:c r="Q448" s="7" t="str">
        <x:v>DAMAGE_REFLECTION</x:v>
      </x:c>
      <x:c r="R448" s="7" t="n">
        <x:v>0.13</x:v>
      </x:c>
      <x:c r="S448" s="8" t="n">
        <x:v>0.7</x:v>
      </x:c>
      <x:c r="T448" s="7" t="str">
        <x:v>EFFECT_RESISTANCE_UP</x:v>
      </x:c>
      <x:c r="U448" s="7" t="n">
        <x:v>0.163</x:v>
      </x:c>
      <x:c r="V448" s="8" t="n">
        <x:v>0.7</x:v>
      </x:c>
      <x:c r="W448" s="7" t="n">
        <x:v>5</x:v>
      </x:c>
      <x:c r="X448" s="7" t="str">
        <x:v>대상: 아군. 70%확률로 명중 증가 13% 적용합니다. 100%확률로 소생 100% 적용합니다. 70%확률로 피해 반사 13% 적용합니다. 70%확률로 효과저항 증가 16.3% 적용합니다.</x:v>
      </x:c>
      <x:c r="Y448" s="7" t="str">
        <x:v>Target: one ally. 70% chance to apply Hit Chance Up 13%. 100% chance to apply Auto Revive 100%. 70% chance to apply Damage Reflection 13%. 70% chance to apply Effect Resistance Up 16.3%.</x:v>
      </x:c>
      <x:c r="Z448" s="7" t="str">
        <x:v>공격|회복|버프</x:v>
      </x:c>
    </x:row>
    <x:row r="449" ht="115" customHeight="1">
      <x:c r="A449" s="7" t="str">
        <x:v>SKILL_0443</x:v>
      </x:c>
      <x:c r="B449" s="7" t="str">
        <x:v>은신 · 약화효과 해제 · 공격력 증가(대) · 효과저항 증가의 의식</x:v>
      </x:c>
      <x:c r="C449" s="7"/>
      <x:c r="D449" s="7" t="str">
        <x:v>아군전체</x:v>
      </x:c>
      <x:c r="E449" s="7" t="n">
        <x:v>0</x:v>
      </x:c>
      <x:c r="F449" s="7" t="n">
        <x:v>0</x:v>
      </x:c>
      <x:c r="G449" s="7" t="n">
        <x:v>0</x:v>
      </x:c>
      <x:c r="H449" s="7" t="n">
        <x:v>0</x:v>
      </x:c>
      <x:c r="I449" s="7" t="n">
        <x:v>0</x:v>
      </x:c>
      <x:c r="J449" s="7" t="n">
        <x:v>0</x:v>
      </x:c>
      <x:c r="K449" s="7" t="str">
        <x:v>STEALTH</x:v>
      </x:c>
      <x:c r="L449" s="7" t="n">
        <x:v>1</x:v>
      </x:c>
      <x:c r="M449" s="8" t="n">
        <x:v>0.7</x:v>
      </x:c>
      <x:c r="N449" s="7" t="str">
        <x:v>CLEANSE_DEBUFF</x:v>
      </x:c>
      <x:c r="O449" s="7" t="n">
        <x:v>1</x:v>
      </x:c>
      <x:c r="P449" s="8" t="n">
        <x:v>0.7</x:v>
      </x:c>
      <x:c r="Q449" s="7" t="str">
        <x:v>ATTACK_UP_GREATER</x:v>
      </x:c>
      <x:c r="R449" s="7" t="n">
        <x:v>0.325</x:v>
      </x:c>
      <x:c r="S449" s="8" t="n">
        <x:v>0.7</x:v>
      </x:c>
      <x:c r="T449" s="7" t="str">
        <x:v>EFFECT_RESISTANCE_UP</x:v>
      </x:c>
      <x:c r="U449" s="7" t="n">
        <x:v>0.163</x:v>
      </x:c>
      <x:c r="V449" s="8" t="n">
        <x:v>0.7</x:v>
      </x:c>
      <x:c r="W449" s="7" t="n">
        <x:v>5</x:v>
      </x:c>
      <x:c r="X449" s="7" t="str">
        <x:v>대상: 아군전체. 70%확률로 은신 적용합니다. 70%확률로 약화효과 해제 1개 적용합니다. 70%확률로 공격력 증가(대) 32.5% 적용합니다. 70%확률로 효과저항 증가 16.3% 적용합니다.</x:v>
      </x:c>
      <x:c r="Y449" s="7" t="str">
        <x:v>Target: all allies. 70% chance to apply Stealth. 70% chance to apply Cleanse Debuff 1 count. 70% chance to apply Greater Attack Up 32.5%. 70% chance to apply Effect Resistance Up 16.3%.</x:v>
      </x:c>
      <x:c r="Z449" s="7" t="str">
        <x:v>버프</x:v>
      </x:c>
    </x:row>
    <x:row r="450" ht="115" customHeight="1">
      <x:c r="A450" s="7" t="str">
        <x:v>SKILL_0444</x:v>
      </x:c>
      <x:c r="B450" s="7" t="str">
        <x:v>회피 증가 · 효과저항 증가의 의식</x:v>
      </x:c>
      <x:c r="C450" s="7"/>
      <x:c r="D450" s="7" t="str">
        <x:v>아군과 자신</x:v>
      </x:c>
      <x:c r="E450" s="7" t="n">
        <x:v>0</x:v>
      </x:c>
      <x:c r="F450" s="7" t="n">
        <x:v>0</x:v>
      </x:c>
      <x:c r="G450" s="7" t="n">
        <x:v>0</x:v>
      </x:c>
      <x:c r="H450" s="7" t="n">
        <x:v>0</x:v>
      </x:c>
      <x:c r="I450" s="7" t="n">
        <x:v>0</x:v>
      </x:c>
      <x:c r="J450" s="7" t="n">
        <x:v>0</x:v>
      </x:c>
      <x:c r="K450" s="7" t="str">
        <x:v>EVASION_UP</x:v>
      </x:c>
      <x:c r="L450" s="7" t="n">
        <x:v>0.2</x:v>
      </x:c>
      <x:c r="M450" s="8" t="n">
        <x:v>0.9</x:v>
      </x:c>
      <x:c r="N450" s="7" t="str">
        <x:v>EFFECT_RESISTANCE_UP</x:v>
      </x:c>
      <x:c r="O450" s="7" t="n">
        <x:v>0.25</x:v>
      </x:c>
      <x:c r="P450" s="8" t="n">
        <x:v>0.9</x:v>
      </x:c>
      <x:c r="Q450" s="7"/>
      <x:c r="R450" s="7"/>
      <x:c r="S450" s="8"/>
      <x:c r="T450" s="7"/>
      <x:c r="U450" s="7"/>
      <x:c r="V450" s="8"/>
      <x:c r="W450" s="7" t="n">
        <x:v>1</x:v>
      </x:c>
      <x:c r="X450" s="7" t="str">
        <x:v>대상: 아군과 자신. 90%확률로 회피 증가 20% 적용합니다. 90%확률로 효과저항 증가 25% 적용합니다.</x:v>
      </x:c>
      <x:c r="Y450" s="7" t="str">
        <x:v>Target: one ally and the caster. 90% chance to apply Evasion Up 20%. 90% chance to apply Effect Resistance Up 25%.</x:v>
      </x:c>
      <x:c r="Z450" s="7" t="str">
        <x:v>버프</x:v>
      </x:c>
    </x:row>
    <x:row r="451" ht="115" customHeight="1">
      <x:c r="A451" s="7" t="str">
        <x:v>SKILL_0445</x:v>
      </x:c>
      <x:c r="B451" s="7" t="str">
        <x:v>부활 · 공격력 증가 · 은신의 의식</x:v>
      </x:c>
      <x:c r="C451" s="7"/>
      <x:c r="D451" s="7" t="str">
        <x:v>아군</x:v>
      </x:c>
      <x:c r="E451" s="7" t="n">
        <x:v>0</x:v>
      </x:c>
      <x:c r="F451" s="7" t="n">
        <x:v>0</x:v>
      </x:c>
      <x:c r="G451" s="7" t="n">
        <x:v>0</x:v>
      </x:c>
      <x:c r="H451" s="7" t="n">
        <x:v>0</x:v>
      </x:c>
      <x:c r="I451" s="7" t="n">
        <x:v>0</x:v>
      </x:c>
      <x:c r="J451" s="7" t="n">
        <x:v>0</x:v>
      </x:c>
      <x:c r="K451" s="7" t="str">
        <x:v>REVIVE</x:v>
      </x:c>
      <x:c r="L451" s="7" t="n">
        <x:v>1</x:v>
      </x:c>
      <x:c r="M451" s="8" t="n">
        <x:v>1</x:v>
      </x:c>
      <x:c r="N451" s="7" t="str">
        <x:v>ATTACK_UP</x:v>
      </x:c>
      <x:c r="O451" s="7" t="n">
        <x:v>0.24</x:v>
      </x:c>
      <x:c r="P451" s="8" t="n">
        <x:v>0.4</x:v>
      </x:c>
      <x:c r="Q451" s="7" t="str">
        <x:v>STEALTH</x:v>
      </x:c>
      <x:c r="R451" s="7" t="n">
        <x:v>1</x:v>
      </x:c>
      <x:c r="S451" s="8" t="n">
        <x:v>0.4</x:v>
      </x:c>
      <x:c r="T451" s="7"/>
      <x:c r="U451" s="7"/>
      <x:c r="V451" s="8"/>
      <x:c r="W451" s="7" t="n">
        <x:v>5</x:v>
      </x:c>
      <x:c r="X451" s="7" t="str">
        <x:v>대상: 사망한 아군. 100%확률로 부활 100% 적용합니다. 40%확률로 공격력 증가 24% 적용합니다. 40%확률로 은신 적용합니다.</x:v>
      </x:c>
      <x:c r="Y451" s="7" t="str">
        <x:v>Target: one dead ally. 100% chance to apply Revive 100%. 40% chance to apply Attack Up 24%. 40% chance to apply Stealth.</x:v>
      </x:c>
      <x:c r="Z451" s="7" t="str">
        <x:v>회복|버프</x:v>
      </x:c>
    </x:row>
    <x:row r="452" ht="115" customHeight="1">
      <x:c r="A452" s="7" t="str">
        <x:v>SKILL_0446</x:v>
      </x:c>
      <x:c r="B452" s="7" t="str">
        <x:v>강화효과 지속시간 증가 · 치명저항 증가의 의식</x:v>
      </x:c>
      <x:c r="C452" s="7"/>
      <x:c r="D452" s="7" t="str">
        <x:v>자신</x:v>
      </x:c>
      <x:c r="E452" s="7" t="n">
        <x:v>0</x:v>
      </x:c>
      <x:c r="F452" s="7" t="n">
        <x:v>0</x:v>
      </x:c>
      <x:c r="G452" s="7" t="n">
        <x:v>0</x:v>
      </x:c>
      <x:c r="H452" s="7" t="n">
        <x:v>0</x:v>
      </x:c>
      <x:c r="I452" s="7" t="n">
        <x:v>0</x:v>
      </x:c>
      <x:c r="J452" s="7" t="n">
        <x:v>0</x:v>
      </x:c>
      <x:c r="K452" s="7" t="str">
        <x:v>BUFF_DURATION_UP</x:v>
      </x:c>
      <x:c r="L452" s="7" t="n">
        <x:v>1</x:v>
      </x:c>
      <x:c r="M452" s="8" t="n">
        <x:v>0.9</x:v>
      </x:c>
      <x:c r="N452" s="7" t="str">
        <x:v>CRITICAL_RESISTANCE_UP</x:v>
      </x:c>
      <x:c r="O452" s="7" t="n">
        <x:v>0.25</x:v>
      </x:c>
      <x:c r="P452" s="8" t="n">
        <x:v>0.9</x:v>
      </x:c>
      <x:c r="Q452" s="7"/>
      <x:c r="R452" s="7"/>
      <x:c r="S452" s="8"/>
      <x:c r="T452" s="7"/>
      <x:c r="U452" s="7"/>
      <x:c r="V452" s="8"/>
      <x:c r="W452" s="7" t="n">
        <x:v>1</x:v>
      </x:c>
      <x:c r="X452" s="7" t="str">
        <x:v>대상: 자신. 90%확률로 강화효과 지속시간 증가 1턴 획득합니다. 90%확률로 치명저항 증가 25% 획득합니다.</x:v>
      </x:c>
      <x:c r="Y452" s="7" t="str">
        <x:v>Target: the caster. 90% chance to gain Buff Duration Extension 1 turn. 90% chance to gain Critical Hit Resistance Up 25%.</x:v>
      </x:c>
      <x:c r="Z452" s="7" t="str">
        <x:v>버프</x:v>
      </x:c>
    </x:row>
    <x:row r="453" ht="115" customHeight="1">
      <x:c r="A453" s="7" t="str">
        <x:v>SKILL_0447</x:v>
      </x:c>
      <x:c r="B453" s="7" t="str">
        <x:v>속도 증가 · 피해 감소 · 공격력 증가 · 소생의 의식</x:v>
      </x:c>
      <x:c r="C453" s="7"/>
      <x:c r="D453" s="7" t="str">
        <x:v>아군</x:v>
      </x:c>
      <x:c r="E453" s="7" t="n">
        <x:v>0</x:v>
      </x:c>
      <x:c r="F453" s="7" t="n">
        <x:v>0</x:v>
      </x:c>
      <x:c r="G453" s="7" t="n">
        <x:v>0</x:v>
      </x:c>
      <x:c r="H453" s="7" t="n">
        <x:v>0</x:v>
      </x:c>
      <x:c r="I453" s="7" t="n">
        <x:v>0</x:v>
      </x:c>
      <x:c r="J453" s="7" t="n">
        <x:v>0</x:v>
      </x:c>
      <x:c r="K453" s="7" t="str">
        <x:v>SPEED_UP</x:v>
      </x:c>
      <x:c r="L453" s="7" t="n">
        <x:v>0.13</x:v>
      </x:c>
      <x:c r="M453" s="8" t="n">
        <x:v>0.5</x:v>
      </x:c>
      <x:c r="N453" s="7" t="str">
        <x:v>DAMAGE_REDUCTION</x:v>
      </x:c>
      <x:c r="O453" s="7" t="n">
        <x:v>0.13</x:v>
      </x:c>
      <x:c r="P453" s="8" t="n">
        <x:v>0.5</x:v>
      </x:c>
      <x:c r="Q453" s="7" t="str">
        <x:v>ATTACK_UP</x:v>
      </x:c>
      <x:c r="R453" s="7" t="n">
        <x:v>0.195</x:v>
      </x:c>
      <x:c r="S453" s="8" t="n">
        <x:v>0.5</x:v>
      </x:c>
      <x:c r="T453" s="7" t="str">
        <x:v>AUTO_REVIVE</x:v>
      </x:c>
      <x:c r="U453" s="7" t="n">
        <x:v>1</x:v>
      </x:c>
      <x:c r="V453" s="8" t="n">
        <x:v>1</x:v>
      </x:c>
      <x:c r="W453" s="7" t="n">
        <x:v>5</x:v>
      </x:c>
      <x:c r="X453" s="7" t="str">
        <x:v>대상: 아군. 50%확률로 속도 증가 13% 적용합니다. 50%확률로 피해 감소 13% 적용합니다. 50%확률로 공격력 증가 19.5% 적용합니다. 100%확률로 소생 100% 적용합니다.</x:v>
      </x:c>
      <x:c r="Y453" s="7" t="str">
        <x:v>Target: one ally. 50% chance to apply Speed Up 13%. 50% chance to apply Damage Reduction 13%. 50% chance to apply Attack Up 19.5%. 100% chance to apply Auto Revive 100%.</x:v>
      </x:c>
      <x:c r="Z453" s="7" t="str">
        <x:v>회복|버프</x:v>
      </x:c>
    </x:row>
    <x:row r="454" ht="115" customHeight="1">
      <x:c r="A454" s="7" t="str">
        <x:v>SKILL_0448</x:v>
      </x:c>
      <x:c r="B454" s="7" t="str">
        <x:v>피해 반사 · 무적 · 은신의 의식</x:v>
      </x:c>
      <x:c r="C454" s="7"/>
      <x:c r="D454" s="7" t="str">
        <x:v>아군과 자신</x:v>
      </x:c>
      <x:c r="E454" s="7" t="n">
        <x:v>0</x:v>
      </x:c>
      <x:c r="F454" s="7" t="n">
        <x:v>0</x:v>
      </x:c>
      <x:c r="G454" s="7" t="n">
        <x:v>0</x:v>
      </x:c>
      <x:c r="H454" s="7" t="n">
        <x:v>0</x:v>
      </x:c>
      <x:c r="I454" s="7" t="n">
        <x:v>0</x:v>
      </x:c>
      <x:c r="J454" s="7" t="n">
        <x:v>0</x:v>
      </x:c>
      <x:c r="K454" s="7" t="str">
        <x:v>DAMAGE_REFLECTION</x:v>
      </x:c>
      <x:c r="L454" s="7" t="n">
        <x:v>0.16</x:v>
      </x:c>
      <x:c r="M454" s="8" t="n">
        <x:v>0.75</x:v>
      </x:c>
      <x:c r="N454" s="7" t="str">
        <x:v>INVINCIBILITY</x:v>
      </x:c>
      <x:c r="O454" s="7" t="n">
        <x:v>1</x:v>
      </x:c>
      <x:c r="P454" s="8" t="n">
        <x:v>0.75</x:v>
      </x:c>
      <x:c r="Q454" s="7" t="str">
        <x:v>STEALTH</x:v>
      </x:c>
      <x:c r="R454" s="7" t="n">
        <x:v>1</x:v>
      </x:c>
      <x:c r="S454" s="8" t="n">
        <x:v>0.75</x:v>
      </x:c>
      <x:c r="T454" s="7"/>
      <x:c r="U454" s="7"/>
      <x:c r="V454" s="8"/>
      <x:c r="W454" s="7" t="n">
        <x:v>5</x:v>
      </x:c>
      <x:c r="X454" s="7" t="str">
        <x:v>대상: 아군과 자신. 75%확률로 피해 반사 16% 적용합니다. 75%확률로 무적 적용합니다. 75%확률로 은신 적용합니다.</x:v>
      </x:c>
      <x:c r="Y454" s="7" t="str">
        <x:v>Target: one ally and the caster. 75% chance to apply Damage Reflection 16%. 75% chance to apply Invincibility. 75% chance to apply Stealth.</x:v>
      </x:c>
      <x:c r="Z454" s="7" t="str">
        <x:v>공격|버프</x:v>
      </x:c>
    </x:row>
    <x:row r="455" ht="115" customHeight="1">
      <x:c r="A455" s="7" t="str">
        <x:v>SKILL_0449</x:v>
      </x:c>
      <x:c r="B455" s="7" t="str">
        <x:v>스킬 쿨타임 초기화 · 치명확률 증가 · 공격력 증가(대) · 피해 반사의 의식</x:v>
      </x:c>
      <x:c r="C455" s="7"/>
      <x:c r="D455" s="7" t="str">
        <x:v>아군</x:v>
      </x:c>
      <x:c r="E455" s="7" t="n">
        <x:v>0</x:v>
      </x:c>
      <x:c r="F455" s="7" t="n">
        <x:v>0</x:v>
      </x:c>
      <x:c r="G455" s="7" t="n">
        <x:v>0</x:v>
      </x:c>
      <x:c r="H455" s="7" t="n">
        <x:v>0</x:v>
      </x:c>
      <x:c r="I455" s="7" t="n">
        <x:v>0</x:v>
      </x:c>
      <x:c r="J455" s="7" t="n">
        <x:v>0</x:v>
      </x:c>
      <x:c r="K455" s="7" t="str">
        <x:v>SKILL_COOLDOWN_RESET</x:v>
      </x:c>
      <x:c r="L455" s="7" t="n">
        <x:v>1</x:v>
      </x:c>
      <x:c r="M455" s="8" t="n">
        <x:v>0.7</x:v>
      </x:c>
      <x:c r="N455" s="7" t="str">
        <x:v>CRITICAL_CHANCE_UP</x:v>
      </x:c>
      <x:c r="O455" s="7" t="n">
        <x:v>0.13</x:v>
      </x:c>
      <x:c r="P455" s="8" t="n">
        <x:v>0.7</x:v>
      </x:c>
      <x:c r="Q455" s="7" t="str">
        <x:v>ATTACK_UP_GREATER</x:v>
      </x:c>
      <x:c r="R455" s="7" t="n">
        <x:v>0.325</x:v>
      </x:c>
      <x:c r="S455" s="8" t="n">
        <x:v>0.7</x:v>
      </x:c>
      <x:c r="T455" s="7" t="str">
        <x:v>DAMAGE_REFLECTION</x:v>
      </x:c>
      <x:c r="U455" s="7" t="n">
        <x:v>0.13</x:v>
      </x:c>
      <x:c r="V455" s="8" t="n">
        <x:v>0.7</x:v>
      </x:c>
      <x:c r="W455" s="7" t="n">
        <x:v>5</x:v>
      </x:c>
      <x:c r="X455" s="7" t="str">
        <x:v>대상: 아군. 70%확률로 스킬 쿨타임 초기화 1개 적용합니다. 70%확률로 치명확률 증가 13% 적용합니다. 70%확률로 공격력 증가(대) 32.5% 적용합니다. 70%확률로 피해 반사 13% 적용합니다.</x:v>
      </x:c>
      <x:c r="Y455" s="7" t="str">
        <x:v>Target: one ally. 70% chance to apply Skill Cooldown Reset 1 count. 70% chance to apply Critical Hit Chance Up 13%. 70% chance to apply Greater Attack Up 32.5%. 70% chance to apply Damage Reflection 13%.</x:v>
      </x:c>
      <x:c r="Z455" s="7" t="str">
        <x:v>공격|버프</x:v>
      </x:c>
    </x:row>
    <x:row r="456" ht="115" customHeight="1">
      <x:c r="A456" s="7" t="str">
        <x:v>SKILL_0450</x:v>
      </x:c>
      <x:c r="B456" s="7" t="str">
        <x:v>치명피해 증가 · 속도 증가 · 지속 회복 · 생명력 회복의 의식</x:v>
      </x:c>
      <x:c r="C456" s="7"/>
      <x:c r="D456" s="7" t="str">
        <x:v>자신</x:v>
      </x:c>
      <x:c r="E456" s="7" t="n">
        <x:v>0</x:v>
      </x:c>
      <x:c r="F456" s="7" t="n">
        <x:v>0</x:v>
      </x:c>
      <x:c r="G456" s="7" t="n">
        <x:v>0</x:v>
      </x:c>
      <x:c r="H456" s="7" t="n">
        <x:v>0</x:v>
      </x:c>
      <x:c r="I456" s="7" t="n">
        <x:v>0</x:v>
      </x:c>
      <x:c r="J456" s="7" t="n">
        <x:v>0.18</x:v>
      </x:c>
      <x:c r="K456" s="7" t="str">
        <x:v>CRITICAL_DAMAGE_UP</x:v>
      </x:c>
      <x:c r="L456" s="7" t="n">
        <x:v>0.195</x:v>
      </x:c>
      <x:c r="M456" s="8" t="n">
        <x:v>0.7</x:v>
      </x:c>
      <x:c r="N456" s="7" t="str">
        <x:v>SPEED_UP</x:v>
      </x:c>
      <x:c r="O456" s="7" t="n">
        <x:v>0.13</x:v>
      </x:c>
      <x:c r="P456" s="8" t="n">
        <x:v>0.7</x:v>
      </x:c>
      <x:c r="Q456" s="7" t="str">
        <x:v>CONTINUOUS_HEAL</x:v>
      </x:c>
      <x:c r="R456" s="7" t="n">
        <x:v>0.046</x:v>
      </x:c>
      <x:c r="S456" s="8" t="n">
        <x:v>0.7</x:v>
      </x:c>
      <x:c r="T456" s="7" t="str">
        <x:v>HEAL</x:v>
      </x:c>
      <x:c r="U456" s="7" t="n">
        <x:v>1</x:v>
      </x:c>
      <x:c r="V456" s="8" t="n">
        <x:v>1</x:v>
      </x:c>
      <x:c r="W456" s="7" t="n">
        <x:v>1</x:v>
      </x:c>
      <x:c r="X456" s="7" t="str">
        <x:v>대상: 자신. 자신을 시전자의 최대생명력의 0.18배만큼 회복시킵니다. 70%확률로 치명피해 증가 19.5% 획득합니다. 70%확률로 속도 증가 13% 획득합니다. 70%확률로 지속 회복을 부여합니다(2턴, 대상의 턴 시작마다 대상 최대생명력의 4.6% 회복).</x:v>
      </x:c>
      <x:c r="Y456" s="7" t="str">
        <x:v>Target: the caster. Heals the caster for 0.18 × caster max Health. 70% chance to gain Critical Hit Damage Up 19.5%. 70% chance to gain Speed Up 13%. 70% chance to grant Continuous Heal for 2 turns, restoring 4.6% of the recipient's max Health at each turn start.</x:v>
      </x:c>
      <x:c r="Z456" s="7" t="str">
        <x:v>회복|버프</x:v>
      </x:c>
    </x:row>
    <x:row r="457" ht="115" customHeight="1">
      <x:c r="A457" s="7" t="str">
        <x:v>SKILL_0451</x:v>
      </x:c>
      <x:c r="B457" s="7" t="str">
        <x:v>보호막 · 회피 증가 · 속도 증가의 의식</x:v>
      </x:c>
      <x:c r="C457" s="7"/>
      <x:c r="D457" s="7" t="str">
        <x:v>아군전체</x:v>
      </x:c>
      <x:c r="E457" s="7" t="n">
        <x:v>0</x:v>
      </x:c>
      <x:c r="F457" s="7" t="n">
        <x:v>0</x:v>
      </x:c>
      <x:c r="G457" s="7" t="n">
        <x:v>0</x:v>
      </x:c>
      <x:c r="H457" s="7" t="n">
        <x:v>0</x:v>
      </x:c>
      <x:c r="I457" s="7" t="n">
        <x:v>0</x:v>
      </x:c>
      <x:c r="J457" s="7" t="n">
        <x:v>0</x:v>
      </x:c>
      <x:c r="K457" s="7" t="str">
        <x:v>BARRIER</x:v>
      </x:c>
      <x:c r="L457" s="7" t="n">
        <x:v>0.12</x:v>
      </x:c>
      <x:c r="M457" s="8" t="n">
        <x:v>0.8</x:v>
      </x:c>
      <x:c r="N457" s="7" t="str">
        <x:v>EVASION_UP</x:v>
      </x:c>
      <x:c r="O457" s="7" t="n">
        <x:v>0.16</x:v>
      </x:c>
      <x:c r="P457" s="8" t="n">
        <x:v>0.8</x:v>
      </x:c>
      <x:c r="Q457" s="7" t="str">
        <x:v>SPEED_UP</x:v>
      </x:c>
      <x:c r="R457" s="7" t="n">
        <x:v>0.16</x:v>
      </x:c>
      <x:c r="S457" s="8" t="n">
        <x:v>0.8</x:v>
      </x:c>
      <x:c r="T457" s="7"/>
      <x:c r="U457" s="7"/>
      <x:c r="V457" s="8"/>
      <x:c r="W457" s="7" t="n">
        <x:v>3</x:v>
      </x:c>
      <x:c r="X457" s="7" t="str">
        <x:v>대상: 아군전체. 80%확률로 보호막 12% 적용합니다. 80%확률로 회피 증가 16% 적용합니다. 80%확률로 속도 증가 16% 적용합니다.</x:v>
      </x:c>
      <x:c r="Y457" s="7" t="str">
        <x:v>Target: all allies. 80% chance to apply Barrier 12%. 80% chance to apply Evasion Up 16%. 80% chance to apply Speed Up 16%.</x:v>
      </x:c>
      <x:c r="Z457" s="7" t="str">
        <x:v>버프</x:v>
      </x:c>
    </x:row>
    <x:row r="458" ht="115" customHeight="1">
      <x:c r="A458" s="7" t="str">
        <x:v>SKILL_0452</x:v>
      </x:c>
      <x:c r="B458" s="7" t="str">
        <x:v>속도 증가 · 부활의 의식</x:v>
      </x:c>
      <x:c r="C458" s="7"/>
      <x:c r="D458" s="7" t="str">
        <x:v>아군</x:v>
      </x:c>
      <x:c r="E458" s="7" t="n">
        <x:v>0</x:v>
      </x:c>
      <x:c r="F458" s="7" t="n">
        <x:v>0</x:v>
      </x:c>
      <x:c r="G458" s="7" t="n">
        <x:v>0</x:v>
      </x:c>
      <x:c r="H458" s="7" t="n">
        <x:v>0</x:v>
      </x:c>
      <x:c r="I458" s="7" t="n">
        <x:v>0</x:v>
      </x:c>
      <x:c r="J458" s="7" t="n">
        <x:v>0</x:v>
      </x:c>
      <x:c r="K458" s="7" t="str">
        <x:v>SPEED_UP</x:v>
      </x:c>
      <x:c r="L458" s="7" t="n">
        <x:v>0.2</x:v>
      </x:c>
      <x:c r="M458" s="8" t="n">
        <x:v>0.9</x:v>
      </x:c>
      <x:c r="N458" s="7" t="str">
        <x:v>REVIVE</x:v>
      </x:c>
      <x:c r="O458" s="7" t="n">
        <x:v>1</x:v>
      </x:c>
      <x:c r="P458" s="8" t="n">
        <x:v>1</x:v>
      </x:c>
      <x:c r="Q458" s="7"/>
      <x:c r="R458" s="7"/>
      <x:c r="S458" s="8"/>
      <x:c r="T458" s="7"/>
      <x:c r="U458" s="7"/>
      <x:c r="V458" s="8"/>
      <x:c r="W458" s="7" t="n">
        <x:v>5</x:v>
      </x:c>
      <x:c r="X458" s="7" t="str">
        <x:v>대상: 사망한 아군. 90%확률로 속도 증가 20% 적용합니다. 100%확률로 부활 100% 적용합니다.</x:v>
      </x:c>
      <x:c r="Y458" s="7" t="str">
        <x:v>Target: one dead ally. 90% chance to apply Speed Up 20%. 100% chance to apply Revive 100%.</x:v>
      </x:c>
      <x:c r="Z458" s="7" t="str">
        <x:v>회복|버프</x:v>
      </x:c>
    </x:row>
    <x:row r="459" ht="115" customHeight="1">
      <x:c r="A459" s="7" t="str">
        <x:v>SKILL_0453</x:v>
      </x:c>
      <x:c r="B459" s="7" t="str">
        <x:v>스킬 쿨타임 초기화 · 방어력 증가의 의식</x:v>
      </x:c>
      <x:c r="C459" s="7"/>
      <x:c r="D459" s="7" t="str">
        <x:v>아군</x:v>
      </x:c>
      <x:c r="E459" s="7" t="n">
        <x:v>0</x:v>
      </x:c>
      <x:c r="F459" s="7" t="n">
        <x:v>0</x:v>
      </x:c>
      <x:c r="G459" s="7" t="n">
        <x:v>0</x:v>
      </x:c>
      <x:c r="H459" s="7" t="n">
        <x:v>0</x:v>
      </x:c>
      <x:c r="I459" s="7" t="n">
        <x:v>0</x:v>
      </x:c>
      <x:c r="J459" s="7" t="n">
        <x:v>0</x:v>
      </x:c>
      <x:c r="K459" s="7" t="str">
        <x:v>SKILL_COOLDOWN_RESET</x:v>
      </x:c>
      <x:c r="L459" s="7" t="n">
        <x:v>1</x:v>
      </x:c>
      <x:c r="M459" s="8" t="n">
        <x:v>0.9</x:v>
      </x:c>
      <x:c r="N459" s="7" t="str">
        <x:v>DEFENSE_UP</x:v>
      </x:c>
      <x:c r="O459" s="7" t="n">
        <x:v>0.35</x:v>
      </x:c>
      <x:c r="P459" s="8" t="n">
        <x:v>0.9</x:v>
      </x:c>
      <x:c r="Q459" s="7"/>
      <x:c r="R459" s="7"/>
      <x:c r="S459" s="8"/>
      <x:c r="T459" s="7"/>
      <x:c r="U459" s="7"/>
      <x:c r="V459" s="8"/>
      <x:c r="W459" s="7" t="n">
        <x:v>5</x:v>
      </x:c>
      <x:c r="X459" s="7" t="str">
        <x:v>대상: 아군. 90%확률로 스킬 쿨타임 초기화 1개 적용합니다. 90%확률로 방어력 증가 35% 적용합니다.</x:v>
      </x:c>
      <x:c r="Y459" s="7" t="str">
        <x:v>Target: one ally. 90% chance to apply Skill Cooldown Reset 1 count. 90% chance to apply Defense Up 35%.</x:v>
      </x:c>
      <x:c r="Z459" s="7" t="str">
        <x:v>버프</x:v>
      </x:c>
    </x:row>
    <x:row r="460" ht="115" customHeight="1">
      <x:c r="A460" s="7" t="str">
        <x:v>SKILL_0454</x:v>
      </x:c>
      <x:c r="B460" s="7" t="str">
        <x:v>스킬 쿨타임 감소 · 피해 감소 · 은신 · 생명력 회복의 의식</x:v>
      </x:c>
      <x:c r="C460" s="7"/>
      <x:c r="D460" s="7" t="str">
        <x:v>자신</x:v>
      </x:c>
      <x:c r="E460" s="7" t="n">
        <x:v>0</x:v>
      </x:c>
      <x:c r="F460" s="7" t="n">
        <x:v>0</x:v>
      </x:c>
      <x:c r="G460" s="7" t="n">
        <x:v>0</x:v>
      </x:c>
      <x:c r="H460" s="7" t="n">
        <x:v>0</x:v>
      </x:c>
      <x:c r="I460" s="7" t="n">
        <x:v>0.18</x:v>
      </x:c>
      <x:c r="J460" s="7" t="n">
        <x:v>0</x:v>
      </x:c>
      <x:c r="K460" s="7" t="str">
        <x:v>SKILL_COOLDOWN_DOWN</x:v>
      </x:c>
      <x:c r="L460" s="7" t="n">
        <x:v>1</x:v>
      </x:c>
      <x:c r="M460" s="8" t="n">
        <x:v>0.7</x:v>
      </x:c>
      <x:c r="N460" s="7" t="str">
        <x:v>DAMAGE_REDUCTION</x:v>
      </x:c>
      <x:c r="O460" s="7" t="n">
        <x:v>0.13</x:v>
      </x:c>
      <x:c r="P460" s="8" t="n">
        <x:v>0.7</x:v>
      </x:c>
      <x:c r="Q460" s="7" t="str">
        <x:v>STEALTH</x:v>
      </x:c>
      <x:c r="R460" s="7" t="n">
        <x:v>1</x:v>
      </x:c>
      <x:c r="S460" s="8" t="n">
        <x:v>0.7</x:v>
      </x:c>
      <x:c r="T460" s="7" t="str">
        <x:v>HEAL</x:v>
      </x:c>
      <x:c r="U460" s="7" t="n">
        <x:v>1</x:v>
      </x:c>
      <x:c r="V460" s="8" t="n">
        <x:v>1</x:v>
      </x:c>
      <x:c r="W460" s="7" t="n">
        <x:v>2</x:v>
      </x:c>
      <x:c r="X460" s="7" t="str">
        <x:v>대상: 자신. 자신을 시전자의 공격력의 0.18배만큼 회복시킵니다. 70%확률로 스킬 쿨타임 감소 1턴 획득합니다. 70%확률로 피해 감소 13% 획득합니다. 70%확률로 은신 획득합니다.</x:v>
      </x:c>
      <x:c r="Y460" s="7" t="str">
        <x:v>Target: the caster. Heals the caster for 0.18 × caster Attack. 70% chance to gain Skill Cooldown Reduction 1 turn. 70% chance to gain Damage Reduction 13%. 70% chance to gain Stealth.</x:v>
      </x:c>
      <x:c r="Z460" s="7" t="str">
        <x:v>회복|버프</x:v>
      </x:c>
    </x:row>
    <x:row r="461" ht="115" customHeight="1">
      <x:c r="A461" s="7" t="str">
        <x:v>SKILL_0455</x:v>
      </x:c>
      <x:c r="B461" s="7" t="str">
        <x:v>방어력 증가 · 속도 증가의 의식</x:v>
      </x:c>
      <x:c r="C461" s="7"/>
      <x:c r="D461" s="7" t="str">
        <x:v>아군전체</x:v>
      </x:c>
      <x:c r="E461" s="7" t="n">
        <x:v>0</x:v>
      </x:c>
      <x:c r="F461" s="7" t="n">
        <x:v>0</x:v>
      </x:c>
      <x:c r="G461" s="7" t="n">
        <x:v>0</x:v>
      </x:c>
      <x:c r="H461" s="7" t="n">
        <x:v>0</x:v>
      </x:c>
      <x:c r="I461" s="7" t="n">
        <x:v>0</x:v>
      </x:c>
      <x:c r="J461" s="7" t="n">
        <x:v>0</x:v>
      </x:c>
      <x:c r="K461" s="7" t="str">
        <x:v>DEFENSE_UP</x:v>
      </x:c>
      <x:c r="L461" s="7" t="n">
        <x:v>0.35</x:v>
      </x:c>
      <x:c r="M461" s="8" t="n">
        <x:v>0.9</x:v>
      </x:c>
      <x:c r="N461" s="7" t="str">
        <x:v>SPEED_UP</x:v>
      </x:c>
      <x:c r="O461" s="7" t="n">
        <x:v>0.2</x:v>
      </x:c>
      <x:c r="P461" s="8" t="n">
        <x:v>0.9</x:v>
      </x:c>
      <x:c r="Q461" s="7"/>
      <x:c r="R461" s="7"/>
      <x:c r="S461" s="8"/>
      <x:c r="T461" s="7"/>
      <x:c r="U461" s="7"/>
      <x:c r="V461" s="8"/>
      <x:c r="W461" s="7" t="n">
        <x:v>3</x:v>
      </x:c>
      <x:c r="X461" s="7" t="str">
        <x:v>대상: 아군전체. 90%확률로 방어력 증가 35% 적용합니다. 90%확률로 속도 증가 20% 적용합니다.</x:v>
      </x:c>
      <x:c r="Y461" s="7" t="str">
        <x:v>Target: all allies. 90% chance to apply Defense Up 35%. 90% chance to apply Speed Up 20%.</x:v>
      </x:c>
      <x:c r="Z461" s="7" t="str">
        <x:v>버프</x:v>
      </x:c>
    </x:row>
    <x:row r="462" ht="115" customHeight="1">
      <x:c r="A462" s="7" t="str">
        <x:v>SKILL_0456</x:v>
      </x:c>
      <x:c r="B462" s="7" t="str">
        <x:v>효과저항 증가 · 소생의 의식</x:v>
      </x:c>
      <x:c r="C462" s="7"/>
      <x:c r="D462" s="7" t="str">
        <x:v>아군</x:v>
      </x:c>
      <x:c r="E462" s="7" t="n">
        <x:v>0</x:v>
      </x:c>
      <x:c r="F462" s="7" t="n">
        <x:v>0</x:v>
      </x:c>
      <x:c r="G462" s="7" t="n">
        <x:v>0</x:v>
      </x:c>
      <x:c r="H462" s="7" t="n">
        <x:v>0</x:v>
      </x:c>
      <x:c r="I462" s="7" t="n">
        <x:v>0</x:v>
      </x:c>
      <x:c r="J462" s="7" t="n">
        <x:v>0</x:v>
      </x:c>
      <x:c r="K462" s="7" t="str">
        <x:v>EFFECT_RESISTANCE_UP</x:v>
      </x:c>
      <x:c r="L462" s="7" t="n">
        <x:v>0.25</x:v>
      </x:c>
      <x:c r="M462" s="8" t="n">
        <x:v>0.9</x:v>
      </x:c>
      <x:c r="N462" s="7" t="str">
        <x:v>AUTO_REVIVE</x:v>
      </x:c>
      <x:c r="O462" s="7" t="n">
        <x:v>1</x:v>
      </x:c>
      <x:c r="P462" s="8" t="n">
        <x:v>1</x:v>
      </x:c>
      <x:c r="Q462" s="7"/>
      <x:c r="R462" s="7"/>
      <x:c r="S462" s="8"/>
      <x:c r="T462" s="7"/>
      <x:c r="U462" s="7"/>
      <x:c r="V462" s="8"/>
      <x:c r="W462" s="7" t="n">
        <x:v>5</x:v>
      </x:c>
      <x:c r="X462" s="7" t="str">
        <x:v>대상: 아군. 90%확률로 효과저항 증가 25% 적용합니다. 100%확률로 소생 100% 적용합니다.</x:v>
      </x:c>
      <x:c r="Y462" s="7" t="str">
        <x:v>Target: one ally. 90% chance to apply Effect Resistance Up 25%. 100% chance to apply Auto Revive 100%.</x:v>
      </x:c>
      <x:c r="Z462" s="7" t="str">
        <x:v>회복|버프</x:v>
      </x:c>
    </x:row>
    <x:row r="463" ht="115" customHeight="1">
      <x:c r="A463" s="7" t="str">
        <x:v>SKILL_0457</x:v>
      </x:c>
      <x:c r="B463" s="7" t="str">
        <x:v>치명확률 증가 · 강화효과 지속시간 증가의 의식</x:v>
      </x:c>
      <x:c r="C463" s="7"/>
      <x:c r="D463" s="7" t="str">
        <x:v>아군</x:v>
      </x:c>
      <x:c r="E463" s="7" t="n">
        <x:v>0</x:v>
      </x:c>
      <x:c r="F463" s="7" t="n">
        <x:v>0</x:v>
      </x:c>
      <x:c r="G463" s="7" t="n">
        <x:v>0</x:v>
      </x:c>
      <x:c r="H463" s="7" t="n">
        <x:v>0</x:v>
      </x:c>
      <x:c r="I463" s="7" t="n">
        <x:v>0</x:v>
      </x:c>
      <x:c r="J463" s="7" t="n">
        <x:v>0</x:v>
      </x:c>
      <x:c r="K463" s="7" t="str">
        <x:v>CRITICAL_CHANCE_UP</x:v>
      </x:c>
      <x:c r="L463" s="7" t="n">
        <x:v>0.2</x:v>
      </x:c>
      <x:c r="M463" s="8" t="n">
        <x:v>0.9</x:v>
      </x:c>
      <x:c r="N463" s="7" t="str">
        <x:v>BUFF_DURATION_UP</x:v>
      </x:c>
      <x:c r="O463" s="7" t="n">
        <x:v>1</x:v>
      </x:c>
      <x:c r="P463" s="8" t="n">
        <x:v>0.9</x:v>
      </x:c>
      <x:c r="Q463" s="7"/>
      <x:c r="R463" s="7"/>
      <x:c r="S463" s="8"/>
      <x:c r="T463" s="7"/>
      <x:c r="U463" s="7"/>
      <x:c r="V463" s="8"/>
      <x:c r="W463" s="7" t="n">
        <x:v>1</x:v>
      </x:c>
      <x:c r="X463" s="7" t="str">
        <x:v>대상: 아군. 90%확률로 치명확률 증가 20% 적용합니다. 90%확률로 강화효과 지속시간 증가 1턴 적용합니다.</x:v>
      </x:c>
      <x:c r="Y463" s="7" t="str">
        <x:v>Target: one ally. 90% chance to apply Critical Hit Chance Up 20%. 90% chance to apply Buff Duration Extension 1 turn.</x:v>
      </x:c>
      <x:c r="Z463" s="7" t="str">
        <x:v>버프</x:v>
      </x:c>
    </x:row>
    <x:row r="464" ht="115" customHeight="1">
      <x:c r="A464" s="7" t="str">
        <x:v>SKILL_0458</x:v>
      </x:c>
      <x:c r="B464" s="7" t="str">
        <x:v>속도 증가 · 명중 증가 · 피해 감소의 의식</x:v>
      </x:c>
      <x:c r="C464" s="7"/>
      <x:c r="D464" s="7" t="str">
        <x:v>자신</x:v>
      </x:c>
      <x:c r="E464" s="7" t="n">
        <x:v>0</x:v>
      </x:c>
      <x:c r="F464" s="7" t="n">
        <x:v>0</x:v>
      </x:c>
      <x:c r="G464" s="7" t="n">
        <x:v>0</x:v>
      </x:c>
      <x:c r="H464" s="7" t="n">
        <x:v>0</x:v>
      </x:c>
      <x:c r="I464" s="7" t="n">
        <x:v>0</x:v>
      </x:c>
      <x:c r="J464" s="7" t="n">
        <x:v>0</x:v>
      </x:c>
      <x:c r="K464" s="7" t="str">
        <x:v>SPEED_UP</x:v>
      </x:c>
      <x:c r="L464" s="7" t="n">
        <x:v>0.16</x:v>
      </x:c>
      <x:c r="M464" s="8" t="n">
        <x:v>0.8</x:v>
      </x:c>
      <x:c r="N464" s="7" t="str">
        <x:v>HIT_CHANCE_UP</x:v>
      </x:c>
      <x:c r="O464" s="7" t="n">
        <x:v>0.16</x:v>
      </x:c>
      <x:c r="P464" s="8" t="n">
        <x:v>0.8</x:v>
      </x:c>
      <x:c r="Q464" s="7" t="str">
        <x:v>DAMAGE_REDUCTION</x:v>
      </x:c>
      <x:c r="R464" s="7" t="n">
        <x:v>0.16</x:v>
      </x:c>
      <x:c r="S464" s="8" t="n">
        <x:v>0.8</x:v>
      </x:c>
      <x:c r="T464" s="7"/>
      <x:c r="U464" s="7"/>
      <x:c r="V464" s="8"/>
      <x:c r="W464" s="7" t="n">
        <x:v>1</x:v>
      </x:c>
      <x:c r="X464" s="7" t="str">
        <x:v>대상: 자신. 80%확률로 속도 증가 16% 획득합니다. 80%확률로 명중 증가 16% 획득합니다. 80%확률로 피해 감소 16% 획득합니다.</x:v>
      </x:c>
      <x:c r="Y464" s="7" t="str">
        <x:v>Target: the caster. 80% chance to gain Speed Up 16%. 80% chance to gain Hit Chance Up 16%. 80% chance to gain Damage Reduction 16%.</x:v>
      </x:c>
      <x:c r="Z464" s="7" t="str">
        <x:v>버프</x:v>
      </x:c>
    </x:row>
    <x:row r="465" ht="115" customHeight="1">
      <x:c r="A465" s="7" t="str">
        <x:v>SKILL_0459</x:v>
      </x:c>
      <x:c r="B465" s="7" t="str">
        <x:v>반격 · 명중 증가 · 부활의 의식</x:v>
      </x:c>
      <x:c r="C465" s="7"/>
      <x:c r="D465" s="7" t="str">
        <x:v>아군</x:v>
      </x:c>
      <x:c r="E465" s="7" t="n">
        <x:v>0</x:v>
      </x:c>
      <x:c r="F465" s="7" t="n">
        <x:v>0</x:v>
      </x:c>
      <x:c r="G465" s="7" t="n">
        <x:v>0</x:v>
      </x:c>
      <x:c r="H465" s="7" t="n">
        <x:v>0</x:v>
      </x:c>
      <x:c r="I465" s="7" t="n">
        <x:v>0</x:v>
      </x:c>
      <x:c r="J465" s="7" t="n">
        <x:v>0</x:v>
      </x:c>
      <x:c r="K465" s="7" t="str">
        <x:v>COUNTERATTACK</x:v>
      </x:c>
      <x:c r="L465" s="7" t="n">
        <x:v>0.32</x:v>
      </x:c>
      <x:c r="M465" s="8" t="n">
        <x:v>0.55</x:v>
      </x:c>
      <x:c r="N465" s="7" t="str">
        <x:v>HIT_CHANCE_UP</x:v>
      </x:c>
      <x:c r="O465" s="7" t="n">
        <x:v>0.16</x:v>
      </x:c>
      <x:c r="P465" s="8" t="n">
        <x:v>0.55</x:v>
      </x:c>
      <x:c r="Q465" s="7" t="str">
        <x:v>REVIVE</x:v>
      </x:c>
      <x:c r="R465" s="7" t="n">
        <x:v>1</x:v>
      </x:c>
      <x:c r="S465" s="8" t="n">
        <x:v>1</x:v>
      </x:c>
      <x:c r="T465" s="7"/>
      <x:c r="U465" s="7"/>
      <x:c r="V465" s="8"/>
      <x:c r="W465" s="7" t="n">
        <x:v>5</x:v>
      </x:c>
      <x:c r="X465" s="7" t="str">
        <x:v>대상: 사망한 아군. 55%확률로 반격 32% 적용합니다. 55%확률로 명중 증가 16% 적용합니다. 100%확률로 부활 100% 적용합니다.</x:v>
      </x:c>
      <x:c r="Y465" s="7" t="str">
        <x:v>Target: one dead ally. 55% chance to apply Counterattack 32%. 55% chance to apply Hit Chance Up 16%. 100% chance to apply Revive 100%.</x:v>
      </x:c>
      <x:c r="Z465" s="7" t="str">
        <x:v>공격|회복|버프</x:v>
      </x:c>
    </x:row>
    <x:row r="466" ht="115" customHeight="1">
      <x:c r="A466" s="7" t="str">
        <x:v>SKILL_0460</x:v>
      </x:c>
      <x:c r="B466" s="7" t="str">
        <x:v>치명저항 증가 · 치명확률 증가 · 은신의 의식</x:v>
      </x:c>
      <x:c r="C466" s="7"/>
      <x:c r="D466" s="7" t="str">
        <x:v>아군과 자신</x:v>
      </x:c>
      <x:c r="E466" s="7" t="n">
        <x:v>0</x:v>
      </x:c>
      <x:c r="F466" s="7" t="n">
        <x:v>0</x:v>
      </x:c>
      <x:c r="G466" s="7" t="n">
        <x:v>0</x:v>
      </x:c>
      <x:c r="H466" s="7" t="n">
        <x:v>0</x:v>
      </x:c>
      <x:c r="I466" s="7" t="n">
        <x:v>0</x:v>
      </x:c>
      <x:c r="J466" s="7" t="n">
        <x:v>0</x:v>
      </x:c>
      <x:c r="K466" s="7" t="str">
        <x:v>CRITICAL_RESISTANCE_UP</x:v>
      </x:c>
      <x:c r="L466" s="7" t="n">
        <x:v>0.2</x:v>
      </x:c>
      <x:c r="M466" s="8" t="n">
        <x:v>0.8</x:v>
      </x:c>
      <x:c r="N466" s="7" t="str">
        <x:v>CRITICAL_CHANCE_UP</x:v>
      </x:c>
      <x:c r="O466" s="7" t="n">
        <x:v>0.16</x:v>
      </x:c>
      <x:c r="P466" s="8" t="n">
        <x:v>0.8</x:v>
      </x:c>
      <x:c r="Q466" s="7" t="str">
        <x:v>STEALTH</x:v>
      </x:c>
      <x:c r="R466" s="7" t="n">
        <x:v>1</x:v>
      </x:c>
      <x:c r="S466" s="8" t="n">
        <x:v>0.8</x:v>
      </x:c>
      <x:c r="T466" s="7"/>
      <x:c r="U466" s="7"/>
      <x:c r="V466" s="8"/>
      <x:c r="W466" s="7" t="n">
        <x:v>2</x:v>
      </x:c>
      <x:c r="X466" s="7" t="str">
        <x:v>대상: 아군과 자신. 80%확률로 치명저항 증가 20% 적용합니다. 80%확률로 치명확률 증가 16% 적용합니다. 80%확률로 은신 적용합니다.</x:v>
      </x:c>
      <x:c r="Y466" s="7" t="str">
        <x:v>Target: one ally and the caster. 80% chance to apply Critical Hit Resistance Up 20%. 80% chance to apply Critical Hit Chance Up 16%. 80% chance to apply Stealth.</x:v>
      </x:c>
      <x:c r="Z466" s="7" t="str">
        <x:v>버프</x:v>
      </x:c>
    </x:row>
    <x:row r="467" ht="115" customHeight="1">
      <x:c r="A467" s="7" t="str">
        <x:v>SKILL_0461</x:v>
      </x:c>
      <x:c r="B467" s="7" t="str">
        <x:v>방어력 증가 · 효과적중 증가 · 생명력 회복 · 효과저항 증가의 의식</x:v>
      </x:c>
      <x:c r="C467" s="7"/>
      <x:c r="D467" s="7" t="str">
        <x:v>아군</x:v>
      </x:c>
      <x:c r="E467" s="7" t="n">
        <x:v>0</x:v>
      </x:c>
      <x:c r="F467" s="7" t="n">
        <x:v>0</x:v>
      </x:c>
      <x:c r="G467" s="7" t="n">
        <x:v>0</x:v>
      </x:c>
      <x:c r="H467" s="7" t="n">
        <x:v>0</x:v>
      </x:c>
      <x:c r="I467" s="7" t="n">
        <x:v>0</x:v>
      </x:c>
      <x:c r="J467" s="7" t="n">
        <x:v>0.18</x:v>
      </x:c>
      <x:c r="K467" s="7" t="str">
        <x:v>DEFENSE_UP</x:v>
      </x:c>
      <x:c r="L467" s="7" t="n">
        <x:v>0.227</x:v>
      </x:c>
      <x:c r="M467" s="8" t="n">
        <x:v>0.7</x:v>
      </x:c>
      <x:c r="N467" s="7" t="str">
        <x:v>EFFECTIVENESS_UP</x:v>
      </x:c>
      <x:c r="O467" s="7" t="n">
        <x:v>0.163</x:v>
      </x:c>
      <x:c r="P467" s="8" t="n">
        <x:v>0.7</x:v>
      </x:c>
      <x:c r="Q467" s="7" t="str">
        <x:v>HEAL</x:v>
      </x:c>
      <x:c r="R467" s="7" t="n">
        <x:v>1</x:v>
      </x:c>
      <x:c r="S467" s="8" t="n">
        <x:v>1</x:v>
      </x:c>
      <x:c r="T467" s="7" t="str">
        <x:v>EFFECT_RESISTANCE_UP</x:v>
      </x:c>
      <x:c r="U467" s="7" t="n">
        <x:v>0.163</x:v>
      </x:c>
      <x:c r="V467" s="8" t="n">
        <x:v>0.7</x:v>
      </x:c>
      <x:c r="W467" s="7" t="n">
        <x:v>1</x:v>
      </x:c>
      <x:c r="X467" s="7" t="str">
        <x:v>대상: 아군. 아군을 시전자의 최대생명력의 0.18배만큼 회복시킵니다. 70%확률로 방어력 증가 22.7% 적용합니다. 70%확률로 효과적중 증가 16.3% 적용합니다. 70%확률로 효과저항 증가 16.3% 적용합니다.</x:v>
      </x:c>
      <x:c r="Y467" s="7" t="str">
        <x:v>Target: one ally. Heals one ally for 0.18 × caster max Health. 70% chance to apply Defense Up 22.7%. 70% chance to apply Effectiveness Up 16.3%. 70% chance to apply Effect Resistance Up 16.3%.</x:v>
      </x:c>
      <x:c r="Z467" s="7" t="str">
        <x:v>회복|버프</x:v>
      </x:c>
    </x:row>
    <x:row r="468" ht="115" customHeight="1">
      <x:c r="A468" s="7" t="str">
        <x:v>SKILL_0462</x:v>
      </x:c>
      <x:c r="B468" s="7" t="str">
        <x:v>생명력 회복 · 치명저항 증가 · 공격력 증가(대) · 스킬 쿨타임 감소의 의식</x:v>
      </x:c>
      <x:c r="C468" s="7"/>
      <x:c r="D468" s="7" t="str">
        <x:v>자신</x:v>
      </x:c>
      <x:c r="E468" s="7" t="n">
        <x:v>0</x:v>
      </x:c>
      <x:c r="F468" s="7" t="n">
        <x:v>0</x:v>
      </x:c>
      <x:c r="G468" s="7" t="n">
        <x:v>0</x:v>
      </x:c>
      <x:c r="H468" s="7" t="n">
        <x:v>0</x:v>
      </x:c>
      <x:c r="I468" s="7" t="n">
        <x:v>0.18</x:v>
      </x:c>
      <x:c r="J468" s="7" t="n">
        <x:v>0</x:v>
      </x:c>
      <x:c r="K468" s="7" t="str">
        <x:v>HEAL</x:v>
      </x:c>
      <x:c r="L468" s="7" t="n">
        <x:v>1</x:v>
      </x:c>
      <x:c r="M468" s="8" t="n">
        <x:v>1</x:v>
      </x:c>
      <x:c r="N468" s="7" t="str">
        <x:v>CRITICAL_RESISTANCE_UP</x:v>
      </x:c>
      <x:c r="O468" s="7" t="n">
        <x:v>0.163</x:v>
      </x:c>
      <x:c r="P468" s="8" t="n">
        <x:v>0.7</x:v>
      </x:c>
      <x:c r="Q468" s="7" t="str">
        <x:v>ATTACK_UP_GREATER</x:v>
      </x:c>
      <x:c r="R468" s="7" t="n">
        <x:v>0.325</x:v>
      </x:c>
      <x:c r="S468" s="8" t="n">
        <x:v>0.7</x:v>
      </x:c>
      <x:c r="T468" s="7" t="str">
        <x:v>SKILL_COOLDOWN_DOWN</x:v>
      </x:c>
      <x:c r="U468" s="7" t="n">
        <x:v>1</x:v>
      </x:c>
      <x:c r="V468" s="8" t="n">
        <x:v>0.7</x:v>
      </x:c>
      <x:c r="W468" s="7" t="n">
        <x:v>2</x:v>
      </x:c>
      <x:c r="X468" s="7" t="str">
        <x:v>대상: 자신. 자신을 시전자의 공격력의 0.18배만큼 회복시킵니다. 70%확률로 치명저항 증가 16.3% 획득합니다. 70%확률로 공격력 증가(대) 32.5% 획득합니다. 70%확률로 스킬 쿨타임 감소 1턴 획득합니다.</x:v>
      </x:c>
      <x:c r="Y468" s="7" t="str">
        <x:v>Target: the caster. Heals the caster for 0.18 × caster Attack. 70% chance to gain Critical Hit Resistance Up 16.3%. 70% chance to gain Greater Attack Up 32.5%. 70% chance to gain Skill Cooldown Reduction 1 turn.</x:v>
      </x:c>
      <x:c r="Z468" s="7" t="str">
        <x:v>회복|버프</x:v>
      </x:c>
    </x:row>
    <x:row r="469" ht="115" customHeight="1">
      <x:c r="A469" s="7" t="str">
        <x:v>SKILL_0463</x:v>
      </x:c>
      <x:c r="B469" s="7" t="str">
        <x:v>피해 분담 · 회피 증가의 의식</x:v>
      </x:c>
      <x:c r="C469" s="7"/>
      <x:c r="D469" s="7" t="str">
        <x:v>자신</x:v>
      </x:c>
      <x:c r="E469" s="7" t="n">
        <x:v>0</x:v>
      </x:c>
      <x:c r="F469" s="7" t="n">
        <x:v>0</x:v>
      </x:c>
      <x:c r="G469" s="7" t="n">
        <x:v>0</x:v>
      </x:c>
      <x:c r="H469" s="7" t="n">
        <x:v>0</x:v>
      </x:c>
      <x:c r="I469" s="7" t="n">
        <x:v>0</x:v>
      </x:c>
      <x:c r="J469" s="7" t="n">
        <x:v>0</x:v>
      </x:c>
      <x:c r="K469" s="7" t="str">
        <x:v>DAMAGE_SHARING</x:v>
      </x:c>
      <x:c r="L469" s="7" t="n">
        <x:v>0.2</x:v>
      </x:c>
      <x:c r="M469" s="8" t="n">
        <x:v>0.9</x:v>
      </x:c>
      <x:c r="N469" s="7" t="str">
        <x:v>EVASION_UP</x:v>
      </x:c>
      <x:c r="O469" s="7" t="n">
        <x:v>0.2</x:v>
      </x:c>
      <x:c r="P469" s="8" t="n">
        <x:v>0.9</x:v>
      </x:c>
      <x:c r="Q469" s="7"/>
      <x:c r="R469" s="7"/>
      <x:c r="S469" s="8"/>
      <x:c r="T469" s="7"/>
      <x:c r="U469" s="7"/>
      <x:c r="V469" s="8"/>
      <x:c r="W469" s="7" t="n">
        <x:v>1</x:v>
      </x:c>
      <x:c r="X469" s="7" t="str">
        <x:v>대상: 자신. 90%확률로 피해 분담 20% 획득합니다. 90%확률로 회피 증가 20% 획득합니다.</x:v>
      </x:c>
      <x:c r="Y469" s="7" t="str">
        <x:v>Target: the caster. 90% chance to gain Damage Sharing 20%. 90% chance to gain Evasion Up 20%.</x:v>
      </x:c>
      <x:c r="Z469" s="7" t="str">
        <x:v>버프</x:v>
      </x:c>
    </x:row>
    <x:row r="470" ht="115" customHeight="1">
      <x:c r="A470" s="7" t="str">
        <x:v>SKILL_0464</x:v>
      </x:c>
      <x:c r="B470" s="7" t="str">
        <x:v>명중 증가 · 강화효과 지속시간 증가의 의식</x:v>
      </x:c>
      <x:c r="C470" s="7"/>
      <x:c r="D470" s="7" t="str">
        <x:v>아군과 자신</x:v>
      </x:c>
      <x:c r="E470" s="7" t="n">
        <x:v>0</x:v>
      </x:c>
      <x:c r="F470" s="7" t="n">
        <x:v>0</x:v>
      </x:c>
      <x:c r="G470" s="7" t="n">
        <x:v>0</x:v>
      </x:c>
      <x:c r="H470" s="7" t="n">
        <x:v>0</x:v>
      </x:c>
      <x:c r="I470" s="7" t="n">
        <x:v>0</x:v>
      </x:c>
      <x:c r="J470" s="7" t="n">
        <x:v>0</x:v>
      </x:c>
      <x:c r="K470" s="7" t="str">
        <x:v>HIT_CHANCE_UP</x:v>
      </x:c>
      <x:c r="L470" s="7" t="n">
        <x:v>0.2</x:v>
      </x:c>
      <x:c r="M470" s="8" t="n">
        <x:v>0.9</x:v>
      </x:c>
      <x:c r="N470" s="7" t="str">
        <x:v>BUFF_DURATION_UP</x:v>
      </x:c>
      <x:c r="O470" s="7" t="n">
        <x:v>1</x:v>
      </x:c>
      <x:c r="P470" s="8" t="n">
        <x:v>0.9</x:v>
      </x:c>
      <x:c r="Q470" s="7"/>
      <x:c r="R470" s="7"/>
      <x:c r="S470" s="8"/>
      <x:c r="T470" s="7"/>
      <x:c r="U470" s="7"/>
      <x:c r="V470" s="8"/>
      <x:c r="W470" s="7" t="n">
        <x:v>2</x:v>
      </x:c>
      <x:c r="X470" s="7" t="str">
        <x:v>대상: 아군과 자신. 90%확률로 명중 증가 20% 적용합니다. 90%확률로 강화효과 지속시간 증가 1턴 적용합니다.</x:v>
      </x:c>
      <x:c r="Y470" s="7" t="str">
        <x:v>Target: one ally and the caster. 90% chance to apply Hit Chance Up 20%. 90% chance to apply Buff Duration Extension 1 turn.</x:v>
      </x:c>
      <x:c r="Z470" s="7" t="str">
        <x:v>버프</x:v>
      </x:c>
    </x:row>
    <x:row r="471" ht="115" customHeight="1">
      <x:c r="A471" s="7" t="str">
        <x:v>SKILL_0465</x:v>
      </x:c>
      <x:c r="B471" s="7" t="str">
        <x:v>불사 · 회피 증가 · 효과저항 증가의 의식</x:v>
      </x:c>
      <x:c r="C471" s="7"/>
      <x:c r="D471" s="7" t="str">
        <x:v>아군</x:v>
      </x:c>
      <x:c r="E471" s="7" t="n">
        <x:v>0</x:v>
      </x:c>
      <x:c r="F471" s="7" t="n">
        <x:v>0</x:v>
      </x:c>
      <x:c r="G471" s="7" t="n">
        <x:v>0</x:v>
      </x:c>
      <x:c r="H471" s="7" t="n">
        <x:v>0</x:v>
      </x:c>
      <x:c r="I471" s="7" t="n">
        <x:v>0</x:v>
      </x:c>
      <x:c r="J471" s="7" t="n">
        <x:v>0</x:v>
      </x:c>
      <x:c r="K471" s="7" t="str">
        <x:v>IMMORTALITY</x:v>
      </x:c>
      <x:c r="L471" s="7" t="n">
        <x:v>1</x:v>
      </x:c>
      <x:c r="M471" s="8" t="n">
        <x:v>0.8</x:v>
      </x:c>
      <x:c r="N471" s="7" t="str">
        <x:v>EVASION_UP</x:v>
      </x:c>
      <x:c r="O471" s="7" t="n">
        <x:v>0.16</x:v>
      </x:c>
      <x:c r="P471" s="8" t="n">
        <x:v>0.8</x:v>
      </x:c>
      <x:c r="Q471" s="7" t="str">
        <x:v>EFFECT_RESISTANCE_UP</x:v>
      </x:c>
      <x:c r="R471" s="7" t="n">
        <x:v>0.2</x:v>
      </x:c>
      <x:c r="S471" s="8" t="n">
        <x:v>0.8</x:v>
      </x:c>
      <x:c r="T471" s="7"/>
      <x:c r="U471" s="7"/>
      <x:c r="V471" s="8"/>
      <x:c r="W471" s="7" t="n">
        <x:v>3</x:v>
      </x:c>
      <x:c r="X471" s="7" t="str">
        <x:v>대상: 아군. 80%확률로 불사 적용합니다. 80%확률로 회피 증가 16% 적용합니다. 80%확률로 효과저항 증가 20% 적용합니다.</x:v>
      </x:c>
      <x:c r="Y471" s="7" t="str">
        <x:v>Target: one ally. 80% chance to apply Immortality. 80% chance to apply Evasion Up 16%. 80% chance to apply Effect Resistance Up 20%.</x:v>
      </x:c>
      <x:c r="Z471" s="7" t="str">
        <x:v>버프</x:v>
      </x:c>
    </x:row>
    <x:row r="472" ht="115" customHeight="1">
      <x:c r="A472" s="7" t="str">
        <x:v>SKILL_0466</x:v>
      </x:c>
      <x:c r="B472" s="7" t="str">
        <x:v>공격력 증가(대) · 스킬 쿨타임 감소의 의식</x:v>
      </x:c>
      <x:c r="C472" s="7"/>
      <x:c r="D472" s="7" t="str">
        <x:v>자신</x:v>
      </x:c>
      <x:c r="E472" s="7" t="n">
        <x:v>0</x:v>
      </x:c>
      <x:c r="F472" s="7" t="n">
        <x:v>0</x:v>
      </x:c>
      <x:c r="G472" s="7" t="n">
        <x:v>0</x:v>
      </x:c>
      <x:c r="H472" s="7" t="n">
        <x:v>0</x:v>
      </x:c>
      <x:c r="I472" s="7" t="n">
        <x:v>0</x:v>
      </x:c>
      <x:c r="J472" s="7" t="n">
        <x:v>0</x:v>
      </x:c>
      <x:c r="K472" s="7" t="str">
        <x:v>ATTACK_UP_GREATER</x:v>
      </x:c>
      <x:c r="L472" s="7" t="n">
        <x:v>0.5</x:v>
      </x:c>
      <x:c r="M472" s="8" t="n">
        <x:v>0.9</x:v>
      </x:c>
      <x:c r="N472" s="7" t="str">
        <x:v>SKILL_COOLDOWN_DOWN</x:v>
      </x:c>
      <x:c r="O472" s="7" t="n">
        <x:v>1</x:v>
      </x:c>
      <x:c r="P472" s="8" t="n">
        <x:v>0.9</x:v>
      </x:c>
      <x:c r="Q472" s="7"/>
      <x:c r="R472" s="7"/>
      <x:c r="S472" s="8"/>
      <x:c r="T472" s="7"/>
      <x:c r="U472" s="7"/>
      <x:c r="V472" s="8"/>
      <x:c r="W472" s="7" t="n">
        <x:v>2</x:v>
      </x:c>
      <x:c r="X472" s="7" t="str">
        <x:v>대상: 자신. 90%확률로 공격력 증가(대) 50% 획득합니다. 90%확률로 스킬 쿨타임 감소 1턴 획득합니다.</x:v>
      </x:c>
      <x:c r="Y472" s="7" t="str">
        <x:v>Target: the caster. 90% chance to gain Greater Attack Up 50%. 90% chance to gain Skill Cooldown Reduction 1 turn.</x:v>
      </x:c>
      <x:c r="Z472" s="7" t="str">
        <x:v>버프</x:v>
      </x:c>
    </x:row>
    <x:row r="473" ht="115" customHeight="1">
      <x:c r="A473" s="7" t="str">
        <x:v>SKILL_0467</x:v>
      </x:c>
      <x:c r="B473" s="7" t="str">
        <x:v>치명확률 증가 · 피해 분담 · 피해 반사 · 은신의 의식</x:v>
      </x:c>
      <x:c r="C473" s="7"/>
      <x:c r="D473" s="7" t="str">
        <x:v>자신</x:v>
      </x:c>
      <x:c r="E473" s="7" t="n">
        <x:v>0</x:v>
      </x:c>
      <x:c r="F473" s="7" t="n">
        <x:v>0</x:v>
      </x:c>
      <x:c r="G473" s="7" t="n">
        <x:v>0</x:v>
      </x:c>
      <x:c r="H473" s="7" t="n">
        <x:v>0</x:v>
      </x:c>
      <x:c r="I473" s="7" t="n">
        <x:v>0</x:v>
      </x:c>
      <x:c r="J473" s="7" t="n">
        <x:v>0</x:v>
      </x:c>
      <x:c r="K473" s="7" t="str">
        <x:v>CRITICAL_CHANCE_UP</x:v>
      </x:c>
      <x:c r="L473" s="7" t="n">
        <x:v>0.13</x:v>
      </x:c>
      <x:c r="M473" s="8" t="n">
        <x:v>0.7</x:v>
      </x:c>
      <x:c r="N473" s="7" t="str">
        <x:v>DAMAGE_SHARING</x:v>
      </x:c>
      <x:c r="O473" s="7" t="n">
        <x:v>0.13</x:v>
      </x:c>
      <x:c r="P473" s="8" t="n">
        <x:v>0.7</x:v>
      </x:c>
      <x:c r="Q473" s="7" t="str">
        <x:v>DAMAGE_REFLECTION</x:v>
      </x:c>
      <x:c r="R473" s="7" t="n">
        <x:v>0.13</x:v>
      </x:c>
      <x:c r="S473" s="8" t="n">
        <x:v>0.7</x:v>
      </x:c>
      <x:c r="T473" s="7" t="str">
        <x:v>STEALTH</x:v>
      </x:c>
      <x:c r="U473" s="7" t="n">
        <x:v>1</x:v>
      </x:c>
      <x:c r="V473" s="8" t="n">
        <x:v>0.7</x:v>
      </x:c>
      <x:c r="W473" s="7" t="n">
        <x:v>1</x:v>
      </x:c>
      <x:c r="X473" s="7" t="str">
        <x:v>대상: 자신. 70%확률로 치명확률 증가 13% 획득합니다. 70%확률로 피해 분담 13% 획득합니다. 70%확률로 피해 반사 13% 획득합니다. 70%확률로 은신 획득합니다.</x:v>
      </x:c>
      <x:c r="Y473" s="7" t="str">
        <x:v>Target: the caster. 70% chance to gain Critical Hit Chance Up 13%. 70% chance to gain Damage Sharing 13%. 70% chance to gain Damage Reflection 13%. 70% chance to gain Stealth.</x:v>
      </x:c>
      <x:c r="Z473" s="7" t="str">
        <x:v>공격|버프</x:v>
      </x:c>
    </x:row>
    <x:row r="474" ht="115" customHeight="1">
      <x:c r="A474" s="7" t="str">
        <x:v>SKILL_0468</x:v>
      </x:c>
      <x:c r="B474" s="7" t="str">
        <x:v>면역 · 공격력 증가 · 강화효과 지속시간 증가의 의식</x:v>
      </x:c>
      <x:c r="C474" s="7"/>
      <x:c r="D474" s="7" t="str">
        <x:v>아군과 자신</x:v>
      </x:c>
      <x:c r="E474" s="7" t="n">
        <x:v>0</x:v>
      </x:c>
      <x:c r="F474" s="7" t="n">
        <x:v>0</x:v>
      </x:c>
      <x:c r="G474" s="7" t="n">
        <x:v>0</x:v>
      </x:c>
      <x:c r="H474" s="7" t="n">
        <x:v>0</x:v>
      </x:c>
      <x:c r="I474" s="7" t="n">
        <x:v>0</x:v>
      </x:c>
      <x:c r="J474" s="7" t="n">
        <x:v>0</x:v>
      </x:c>
      <x:c r="K474" s="7" t="str">
        <x:v>IMMUNITY</x:v>
      </x:c>
      <x:c r="L474" s="7" t="n">
        <x:v>1</x:v>
      </x:c>
      <x:c r="M474" s="8" t="n">
        <x:v>0.8</x:v>
      </x:c>
      <x:c r="N474" s="7" t="str">
        <x:v>ATTACK_UP</x:v>
      </x:c>
      <x:c r="O474" s="7" t="n">
        <x:v>0.24</x:v>
      </x:c>
      <x:c r="P474" s="8" t="n">
        <x:v>0.8</x:v>
      </x:c>
      <x:c r="Q474" s="7" t="str">
        <x:v>BUFF_DURATION_UP</x:v>
      </x:c>
      <x:c r="R474" s="7" t="n">
        <x:v>1</x:v>
      </x:c>
      <x:c r="S474" s="8" t="n">
        <x:v>0.8</x:v>
      </x:c>
      <x:c r="T474" s="7"/>
      <x:c r="U474" s="7"/>
      <x:c r="V474" s="8"/>
      <x:c r="W474" s="7" t="n">
        <x:v>4</x:v>
      </x:c>
      <x:c r="X474" s="7" t="str">
        <x:v>대상: 아군과 자신. 80%확률로 면역 적용합니다. 80%확률로 공격력 증가 24% 적용합니다. 80%확률로 강화효과 지속시간 증가 1턴 적용합니다.</x:v>
      </x:c>
      <x:c r="Y474" s="7" t="str">
        <x:v>Target: one ally and the caster. 80% chance to apply Immunity. 80% chance to apply Attack Up 24%. 80% chance to apply Buff Duration Extension 1 turn.</x:v>
      </x:c>
      <x:c r="Z474" s="7" t="str">
        <x:v>버프</x:v>
      </x:c>
    </x:row>
    <x:row r="475" ht="115" customHeight="1">
      <x:c r="A475" s="7" t="str">
        <x:v>SKILL_0469</x:v>
      </x:c>
      <x:c r="B475" s="7" t="str">
        <x:v>치명피해 증가 · 회피 증가 · 효과적중 증가 · 반격의 의식</x:v>
      </x:c>
      <x:c r="C475" s="7"/>
      <x:c r="D475" s="7" t="str">
        <x:v>아군</x:v>
      </x:c>
      <x:c r="E475" s="7" t="n">
        <x:v>0</x:v>
      </x:c>
      <x:c r="F475" s="7" t="n">
        <x:v>0</x:v>
      </x:c>
      <x:c r="G475" s="7" t="n">
        <x:v>0</x:v>
      </x:c>
      <x:c r="H475" s="7" t="n">
        <x:v>0</x:v>
      </x:c>
      <x:c r="I475" s="7" t="n">
        <x:v>0</x:v>
      </x:c>
      <x:c r="J475" s="7" t="n">
        <x:v>0</x:v>
      </x:c>
      <x:c r="K475" s="7" t="str">
        <x:v>CRITICAL_DAMAGE_UP</x:v>
      </x:c>
      <x:c r="L475" s="7" t="n">
        <x:v>0.195</x:v>
      </x:c>
      <x:c r="M475" s="8" t="n">
        <x:v>0.7</x:v>
      </x:c>
      <x:c r="N475" s="7" t="str">
        <x:v>EVASION_UP</x:v>
      </x:c>
      <x:c r="O475" s="7" t="n">
        <x:v>0.13</x:v>
      </x:c>
      <x:c r="P475" s="8" t="n">
        <x:v>0.7</x:v>
      </x:c>
      <x:c r="Q475" s="7" t="str">
        <x:v>EFFECTIVENESS_UP</x:v>
      </x:c>
      <x:c r="R475" s="7" t="n">
        <x:v>0.163</x:v>
      </x:c>
      <x:c r="S475" s="8" t="n">
        <x:v>0.7</x:v>
      </x:c>
      <x:c r="T475" s="7" t="str">
        <x:v>COUNTERATTACK</x:v>
      </x:c>
      <x:c r="U475" s="7" t="n">
        <x:v>0.26</x:v>
      </x:c>
      <x:c r="V475" s="8" t="n">
        <x:v>0.7</x:v>
      </x:c>
      <x:c r="W475" s="7" t="n">
        <x:v>1</x:v>
      </x:c>
      <x:c r="X475" s="7" t="str">
        <x:v>대상: 아군. 70%확률로 치명피해 증가 19.5% 적용합니다. 70%확률로 회피 증가 13% 적용합니다. 70%확률로 효과적중 증가 16.3% 적용합니다. 70%확률로 반격 26% 적용합니다.</x:v>
      </x:c>
      <x:c r="Y475" s="7" t="str">
        <x:v>Target: one ally. 70% chance to apply Critical Hit Damage Up 19.5%. 70% chance to apply Evasion Up 13%. 70% chance to apply Effectiveness Up 16.3%. 70% chance to apply Counterattack 26%.</x:v>
      </x:c>
      <x:c r="Z475" s="7" t="str">
        <x:v>공격|버프</x:v>
      </x:c>
    </x:row>
    <x:row r="476" ht="115" customHeight="1">
      <x:c r="A476" s="7" t="str">
        <x:v>SKILL_0470</x:v>
      </x:c>
      <x:c r="B476" s="7" t="str">
        <x:v>방어력 증가 · 피해 감소 · 무적 · 반격의 의식</x:v>
      </x:c>
      <x:c r="C476" s="7"/>
      <x:c r="D476" s="7" t="str">
        <x:v>자신</x:v>
      </x:c>
      <x:c r="E476" s="7" t="n">
        <x:v>0</x:v>
      </x:c>
      <x:c r="F476" s="7" t="n">
        <x:v>0</x:v>
      </x:c>
      <x:c r="G476" s="7" t="n">
        <x:v>0</x:v>
      </x:c>
      <x:c r="H476" s="7" t="n">
        <x:v>0</x:v>
      </x:c>
      <x:c r="I476" s="7" t="n">
        <x:v>0</x:v>
      </x:c>
      <x:c r="J476" s="7" t="n">
        <x:v>0</x:v>
      </x:c>
      <x:c r="K476" s="7" t="str">
        <x:v>DEFENSE_UP</x:v>
      </x:c>
      <x:c r="L476" s="7" t="n">
        <x:v>0.227</x:v>
      </x:c>
      <x:c r="M476" s="8" t="n">
        <x:v>0.7</x:v>
      </x:c>
      <x:c r="N476" s="7" t="str">
        <x:v>DAMAGE_REDUCTION</x:v>
      </x:c>
      <x:c r="O476" s="7" t="n">
        <x:v>0.13</x:v>
      </x:c>
      <x:c r="P476" s="8" t="n">
        <x:v>0.7</x:v>
      </x:c>
      <x:c r="Q476" s="7" t="str">
        <x:v>INVINCIBILITY</x:v>
      </x:c>
      <x:c r="R476" s="7" t="n">
        <x:v>1</x:v>
      </x:c>
      <x:c r="S476" s="8" t="n">
        <x:v>0.7</x:v>
      </x:c>
      <x:c r="T476" s="7" t="str">
        <x:v>COUNTERATTACK</x:v>
      </x:c>
      <x:c r="U476" s="7" t="n">
        <x:v>0.26</x:v>
      </x:c>
      <x:c r="V476" s="8" t="n">
        <x:v>0.7</x:v>
      </x:c>
      <x:c r="W476" s="7" t="n">
        <x:v>3</x:v>
      </x:c>
      <x:c r="X476" s="7" t="str">
        <x:v>대상: 자신. 70%확률로 방어력 증가 22.7% 획득합니다. 70%확률로 피해 감소 13% 획득합니다. 70%확률로 무적 획득합니다. 70%확률로 반격 26% 획득합니다.</x:v>
      </x:c>
      <x:c r="Y476" s="7" t="str">
        <x:v>Target: the caster. 70% chance to gain Defense Up 22.7%. 70% chance to gain Damage Reduction 13%. 70% chance to gain Invincibility. 70% chance to gain Counterattack 26%.</x:v>
      </x:c>
      <x:c r="Z476" s="7" t="str">
        <x:v>공격|버프</x:v>
      </x:c>
    </x:row>
    <x:row r="477" ht="115" customHeight="1">
      <x:c r="A477" s="7" t="str">
        <x:v>SKILL_0471</x:v>
      </x:c>
      <x:c r="B477" s="7" t="str">
        <x:v>추가 턴 · 속도 증가 · 스킬 쿨타임 초기화의 의식</x:v>
      </x:c>
      <x:c r="C477" s="7"/>
      <x:c r="D477" s="7" t="str">
        <x:v>자신</x:v>
      </x:c>
      <x:c r="E477" s="7" t="n">
        <x:v>0</x:v>
      </x:c>
      <x:c r="F477" s="7" t="n">
        <x:v>0</x:v>
      </x:c>
      <x:c r="G477" s="7" t="n">
        <x:v>0</x:v>
      </x:c>
      <x:c r="H477" s="7" t="n">
        <x:v>0</x:v>
      </x:c>
      <x:c r="I477" s="7" t="n">
        <x:v>0</x:v>
      </x:c>
      <x:c r="J477" s="7" t="n">
        <x:v>0</x:v>
      </x:c>
      <x:c r="K477" s="7" t="str">
        <x:v>EXTRA_TURN</x:v>
      </x:c>
      <x:c r="L477" s="7" t="n">
        <x:v>1</x:v>
      </x:c>
      <x:c r="M477" s="8" t="n">
        <x:v>1</x:v>
      </x:c>
      <x:c r="N477" s="7" t="str">
        <x:v>SPEED_UP</x:v>
      </x:c>
      <x:c r="O477" s="7" t="n">
        <x:v>0.128</x:v>
      </x:c>
      <x:c r="P477" s="8" t="n">
        <x:v>1</x:v>
      </x:c>
      <x:c r="Q477" s="7" t="str">
        <x:v>SKILL_COOLDOWN_RESET</x:v>
      </x:c>
      <x:c r="R477" s="7" t="n">
        <x:v>1</x:v>
      </x:c>
      <x:c r="S477" s="8" t="n">
        <x:v>0.4</x:v>
      </x:c>
      <x:c r="T477" s="7"/>
      <x:c r="U477" s="7"/>
      <x:c r="V477" s="8"/>
      <x:c r="W477" s="7" t="n">
        <x:v>5</x:v>
      </x:c>
      <x:c r="X477" s="7" t="str">
        <x:v>대상: 자신. 100%확률로 추가 턴 1턴 획득합니다. 100%확률로 속도 증가 12.8% 획득합니다. 40%확률로 스킬 쿨타임 초기화 1개 획득합니다.</x:v>
      </x:c>
      <x:c r="Y477" s="7" t="str">
        <x:v>Target: the caster. 100% chance to gain Extra Turn 1 turn. 100% chance to gain Speed Up 12.8%. 40% chance to gain Skill Cooldown Reset 1 count.</x:v>
      </x:c>
      <x:c r="Z477" s="7" t="str">
        <x:v>버프</x:v>
      </x:c>
    </x:row>
    <x:row r="478" ht="115" customHeight="1">
      <x:c r="A478" s="7" t="str">
        <x:v>SKILL_0472</x:v>
      </x:c>
      <x:c r="B478" s="7" t="str">
        <x:v>지속 회복 · 피해 반사 · 치명피해 증가 · 치명저항 증가의 의식</x:v>
      </x:c>
      <x:c r="C478" s="7"/>
      <x:c r="D478" s="7" t="str">
        <x:v>아군과 자신</x:v>
      </x:c>
      <x:c r="E478" s="7" t="n">
        <x:v>0</x:v>
      </x:c>
      <x:c r="F478" s="7" t="n">
        <x:v>0</x:v>
      </x:c>
      <x:c r="G478" s="7" t="n">
        <x:v>0</x:v>
      </x:c>
      <x:c r="H478" s="7" t="n">
        <x:v>0</x:v>
      </x:c>
      <x:c r="I478" s="7" t="n">
        <x:v>0</x:v>
      </x:c>
      <x:c r="J478" s="7" t="n">
        <x:v>0</x:v>
      </x:c>
      <x:c r="K478" s="7" t="str">
        <x:v>CONTINUOUS_HEAL</x:v>
      </x:c>
      <x:c r="L478" s="7" t="n">
        <x:v>0.046</x:v>
      </x:c>
      <x:c r="M478" s="8" t="n">
        <x:v>0.7</x:v>
      </x:c>
      <x:c r="N478" s="7" t="str">
        <x:v>DAMAGE_REFLECTION</x:v>
      </x:c>
      <x:c r="O478" s="7" t="n">
        <x:v>0.13</x:v>
      </x:c>
      <x:c r="P478" s="8" t="n">
        <x:v>0.7</x:v>
      </x:c>
      <x:c r="Q478" s="7" t="str">
        <x:v>CRITICAL_DAMAGE_UP</x:v>
      </x:c>
      <x:c r="R478" s="7" t="n">
        <x:v>0.195</x:v>
      </x:c>
      <x:c r="S478" s="8" t="n">
        <x:v>0.7</x:v>
      </x:c>
      <x:c r="T478" s="7" t="str">
        <x:v>CRITICAL_RESISTANCE_UP</x:v>
      </x:c>
      <x:c r="U478" s="7" t="n">
        <x:v>0.163</x:v>
      </x:c>
      <x:c r="V478" s="8" t="n">
        <x:v>0.7</x:v>
      </x:c>
      <x:c r="W478" s="7" t="n">
        <x:v>2</x:v>
      </x:c>
      <x:c r="X478" s="7" t="str">
        <x:v>대상: 아군과 자신. 70%확률로 지속 회복을 부여합니다(2턴, 대상의 턴 시작마다 대상 최대생명력의 4.6% 회복). 70%확률로 피해 반사 13% 적용합니다. 70%확률로 치명피해 증가 19.5% 적용합니다. 70%확률로 치명저항 증가 16.3% 적용합니다.</x:v>
      </x:c>
      <x:c r="Y478" s="7" t="str">
        <x:v>Target: one ally and the caster. 70% chance to grant Continuous Heal for 2 turns, restoring 4.6% of the recipient's max Health at each turn start. 70% chance to apply Damage Reflection 13%. 70% chance to apply Critical Hit Damage Up 19.5%. 70% chance to apply Critical Hit Resistance Up 16.3%.</x:v>
      </x:c>
      <x:c r="Z478" s="7" t="str">
        <x:v>공격|회복|버프</x:v>
      </x:c>
    </x:row>
    <x:row r="479" ht="115" customHeight="1">
      <x:c r="A479" s="7" t="str">
        <x:v>SKILL_0473</x:v>
      </x:c>
      <x:c r="B479" s="7" t="str">
        <x:v>치명저항 증가 · 공격력 증가(대)의 의식</x:v>
      </x:c>
      <x:c r="C479" s="7"/>
      <x:c r="D479" s="7" t="str">
        <x:v>아군</x:v>
      </x:c>
      <x:c r="E479" s="7" t="n">
        <x:v>0</x:v>
      </x:c>
      <x:c r="F479" s="7" t="n">
        <x:v>0</x:v>
      </x:c>
      <x:c r="G479" s="7" t="n">
        <x:v>0</x:v>
      </x:c>
      <x:c r="H479" s="7" t="n">
        <x:v>0</x:v>
      </x:c>
      <x:c r="I479" s="7" t="n">
        <x:v>0</x:v>
      </x:c>
      <x:c r="J479" s="7" t="n">
        <x:v>0</x:v>
      </x:c>
      <x:c r="K479" s="7" t="str">
        <x:v>CRITICAL_RESISTANCE_UP</x:v>
      </x:c>
      <x:c r="L479" s="7" t="n">
        <x:v>0.25</x:v>
      </x:c>
      <x:c r="M479" s="8" t="n">
        <x:v>0.9</x:v>
      </x:c>
      <x:c r="N479" s="7" t="str">
        <x:v>ATTACK_UP_GREATER</x:v>
      </x:c>
      <x:c r="O479" s="7" t="n">
        <x:v>0.5</x:v>
      </x:c>
      <x:c r="P479" s="8" t="n">
        <x:v>0.9</x:v>
      </x:c>
      <x:c r="Q479" s="7"/>
      <x:c r="R479" s="7"/>
      <x:c r="S479" s="8"/>
      <x:c r="T479" s="7"/>
      <x:c r="U479" s="7"/>
      <x:c r="V479" s="8"/>
      <x:c r="W479" s="7" t="n">
        <x:v>1</x:v>
      </x:c>
      <x:c r="X479" s="7" t="str">
        <x:v>대상: 아군. 90%확률로 치명저항 증가 25% 적용합니다. 90%확률로 공격력 증가(대) 50% 적용합니다.</x:v>
      </x:c>
      <x:c r="Y479" s="7" t="str">
        <x:v>Target: one ally. 90% chance to apply Critical Hit Resistance Up 25%. 90% chance to apply Greater Attack Up 50%.</x:v>
      </x:c>
      <x:c r="Z479" s="7" t="str">
        <x:v>버프</x:v>
      </x:c>
    </x:row>
    <x:row r="480" ht="115" customHeight="1">
      <x:c r="A480" s="7" t="str">
        <x:v>SKILL_0474</x:v>
      </x:c>
      <x:c r="B480" s="7" t="str">
        <x:v>스킬 쿨타임 감소 · 치명피해 증가 · 피해 반사의 의식</x:v>
      </x:c>
      <x:c r="C480" s="7"/>
      <x:c r="D480" s="7" t="str">
        <x:v>자신</x:v>
      </x:c>
      <x:c r="E480" s="7" t="n">
        <x:v>0</x:v>
      </x:c>
      <x:c r="F480" s="7" t="n">
        <x:v>0</x:v>
      </x:c>
      <x:c r="G480" s="7" t="n">
        <x:v>0</x:v>
      </x:c>
      <x:c r="H480" s="7" t="n">
        <x:v>0</x:v>
      </x:c>
      <x:c r="I480" s="7" t="n">
        <x:v>0</x:v>
      </x:c>
      <x:c r="J480" s="7" t="n">
        <x:v>0</x:v>
      </x:c>
      <x:c r="K480" s="7" t="str">
        <x:v>SKILL_COOLDOWN_DOWN</x:v>
      </x:c>
      <x:c r="L480" s="7" t="n">
        <x:v>1</x:v>
      </x:c>
      <x:c r="M480" s="8" t="n">
        <x:v>0.8</x:v>
      </x:c>
      <x:c r="N480" s="7" t="str">
        <x:v>CRITICAL_DAMAGE_UP</x:v>
      </x:c>
      <x:c r="O480" s="7" t="n">
        <x:v>0.24</x:v>
      </x:c>
      <x:c r="P480" s="8" t="n">
        <x:v>0.8</x:v>
      </x:c>
      <x:c r="Q480" s="7" t="str">
        <x:v>DAMAGE_REFLECTION</x:v>
      </x:c>
      <x:c r="R480" s="7" t="n">
        <x:v>0.16</x:v>
      </x:c>
      <x:c r="S480" s="8" t="n">
        <x:v>0.8</x:v>
      </x:c>
      <x:c r="T480" s="7"/>
      <x:c r="U480" s="7"/>
      <x:c r="V480" s="8"/>
      <x:c r="W480" s="7" t="n">
        <x:v>2</x:v>
      </x:c>
      <x:c r="X480" s="7" t="str">
        <x:v>대상: 자신. 80%확률로 스킬 쿨타임 감소 1턴 획득합니다. 80%확률로 치명피해 증가 24% 획득합니다. 80%확률로 피해 반사 16% 획득합니다.</x:v>
      </x:c>
      <x:c r="Y480" s="7" t="str">
        <x:v>Target: the caster. 80% chance to gain Skill Cooldown Reduction 1 turn. 80% chance to gain Critical Hit Damage Up 24%. 80% chance to gain Damage Reflection 16%.</x:v>
      </x:c>
      <x:c r="Z480" s="7" t="str">
        <x:v>공격|버프</x:v>
      </x:c>
    </x:row>
    <x:row r="481" ht="115" customHeight="1">
      <x:c r="A481" s="7" t="str">
        <x:v>SKILL_0475</x:v>
      </x:c>
      <x:c r="B481" s="7" t="str">
        <x:v>치명피해 증가 · 약화효과 해제 · 속도 증가 · 치명확률 증가의 의식</x:v>
      </x:c>
      <x:c r="C481" s="7"/>
      <x:c r="D481" s="7" t="str">
        <x:v>아군전체</x:v>
      </x:c>
      <x:c r="E481" s="7" t="n">
        <x:v>0</x:v>
      </x:c>
      <x:c r="F481" s="7" t="n">
        <x:v>0</x:v>
      </x:c>
      <x:c r="G481" s="7" t="n">
        <x:v>0</x:v>
      </x:c>
      <x:c r="H481" s="7" t="n">
        <x:v>0</x:v>
      </x:c>
      <x:c r="I481" s="7" t="n">
        <x:v>0</x:v>
      </x:c>
      <x:c r="J481" s="7" t="n">
        <x:v>0</x:v>
      </x:c>
      <x:c r="K481" s="7" t="str">
        <x:v>CRITICAL_DAMAGE_UP</x:v>
      </x:c>
      <x:c r="L481" s="7" t="n">
        <x:v>0.195</x:v>
      </x:c>
      <x:c r="M481" s="8" t="n">
        <x:v>0.7</x:v>
      </x:c>
      <x:c r="N481" s="7" t="str">
        <x:v>CLEANSE_DEBUFF</x:v>
      </x:c>
      <x:c r="O481" s="7" t="n">
        <x:v>1</x:v>
      </x:c>
      <x:c r="P481" s="8" t="n">
        <x:v>0.7</x:v>
      </x:c>
      <x:c r="Q481" s="7" t="str">
        <x:v>SPEED_UP</x:v>
      </x:c>
      <x:c r="R481" s="7" t="n">
        <x:v>0.13</x:v>
      </x:c>
      <x:c r="S481" s="8" t="n">
        <x:v>0.7</x:v>
      </x:c>
      <x:c r="T481" s="7" t="str">
        <x:v>CRITICAL_CHANCE_UP</x:v>
      </x:c>
      <x:c r="U481" s="7" t="n">
        <x:v>0.13</x:v>
      </x:c>
      <x:c r="V481" s="8" t="n">
        <x:v>0.7</x:v>
      </x:c>
      <x:c r="W481" s="7" t="n">
        <x:v>4</x:v>
      </x:c>
      <x:c r="X481" s="7" t="str">
        <x:v>대상: 아군전체. 70%확률로 치명피해 증가 19.5% 적용합니다. 70%확률로 약화효과 해제 1개 적용합니다. 70%확률로 속도 증가 13% 적용합니다. 70%확률로 치명확률 증가 13% 적용합니다.</x:v>
      </x:c>
      <x:c r="Y481" s="7" t="str">
        <x:v>Target: all allies. 70% chance to apply Critical Hit Damage Up 19.5%. 70% chance to apply Cleanse Debuff 1 count. 70% chance to apply Speed Up 13%. 70% chance to apply Critical Hit Chance Up 13%.</x:v>
      </x:c>
      <x:c r="Z481" s="7" t="str">
        <x:v>버프</x:v>
      </x:c>
    </x:row>
    <x:row r="482" ht="115" customHeight="1">
      <x:c r="A482" s="7" t="str">
        <x:v>SKILL_0476</x:v>
      </x:c>
      <x:c r="B482" s="7" t="str">
        <x:v>회피 증가 · 스킬 쿨타임 초기화 · 명중 증가의 의식</x:v>
      </x:c>
      <x:c r="C482" s="7"/>
      <x:c r="D482" s="7" t="str">
        <x:v>아군</x:v>
      </x:c>
      <x:c r="E482" s="7" t="n">
        <x:v>0</x:v>
      </x:c>
      <x:c r="F482" s="7" t="n">
        <x:v>0</x:v>
      </x:c>
      <x:c r="G482" s="7" t="n">
        <x:v>0</x:v>
      </x:c>
      <x:c r="H482" s="7" t="n">
        <x:v>0</x:v>
      </x:c>
      <x:c r="I482" s="7" t="n">
        <x:v>0</x:v>
      </x:c>
      <x:c r="J482" s="7" t="n">
        <x:v>0</x:v>
      </x:c>
      <x:c r="K482" s="7" t="str">
        <x:v>EVASION_UP</x:v>
      </x:c>
      <x:c r="L482" s="7" t="n">
        <x:v>0.16</x:v>
      </x:c>
      <x:c r="M482" s="8" t="n">
        <x:v>0.8</x:v>
      </x:c>
      <x:c r="N482" s="7" t="str">
        <x:v>SKILL_COOLDOWN_RESET</x:v>
      </x:c>
      <x:c r="O482" s="7" t="n">
        <x:v>1</x:v>
      </x:c>
      <x:c r="P482" s="8" t="n">
        <x:v>0.8</x:v>
      </x:c>
      <x:c r="Q482" s="7" t="str">
        <x:v>HIT_CHANCE_UP</x:v>
      </x:c>
      <x:c r="R482" s="7" t="n">
        <x:v>0.16</x:v>
      </x:c>
      <x:c r="S482" s="8" t="n">
        <x:v>0.8</x:v>
      </x:c>
      <x:c r="T482" s="7"/>
      <x:c r="U482" s="7"/>
      <x:c r="V482" s="8"/>
      <x:c r="W482" s="7" t="n">
        <x:v>5</x:v>
      </x:c>
      <x:c r="X482" s="7" t="str">
        <x:v>대상: 아군. 80%확률로 회피 증가 16% 적용합니다. 80%확률로 스킬 쿨타임 초기화 1개 적용합니다. 80%확률로 명중 증가 16% 적용합니다.</x:v>
      </x:c>
      <x:c r="Y482" s="7" t="str">
        <x:v>Target: one ally. 80% chance to apply Evasion Up 16%. 80% chance to apply Skill Cooldown Reset 1 count. 80% chance to apply Hit Chance Up 16%.</x:v>
      </x:c>
      <x:c r="Z482" s="7" t="str">
        <x:v>버프</x:v>
      </x:c>
    </x:row>
    <x:row r="483" ht="115" customHeight="1">
      <x:c r="A483" s="7" t="str">
        <x:v>SKILL_0477</x:v>
      </x:c>
      <x:c r="B483" s="7" t="str">
        <x:v>공격력 증가(대) · 명중 증가 · 무적의 의식</x:v>
      </x:c>
      <x:c r="C483" s="7"/>
      <x:c r="D483" s="7" t="str">
        <x:v>아군</x:v>
      </x:c>
      <x:c r="E483" s="7" t="n">
        <x:v>0</x:v>
      </x:c>
      <x:c r="F483" s="7" t="n">
        <x:v>0</x:v>
      </x:c>
      <x:c r="G483" s="7" t="n">
        <x:v>0</x:v>
      </x:c>
      <x:c r="H483" s="7" t="n">
        <x:v>0</x:v>
      </x:c>
      <x:c r="I483" s="7" t="n">
        <x:v>0</x:v>
      </x:c>
      <x:c r="J483" s="7" t="n">
        <x:v>0</x:v>
      </x:c>
      <x:c r="K483" s="7" t="str">
        <x:v>ATTACK_UP_GREATER</x:v>
      </x:c>
      <x:c r="L483" s="7" t="n">
        <x:v>0.4</x:v>
      </x:c>
      <x:c r="M483" s="8" t="n">
        <x:v>0.8</x:v>
      </x:c>
      <x:c r="N483" s="7" t="str">
        <x:v>HIT_CHANCE_UP</x:v>
      </x:c>
      <x:c r="O483" s="7" t="n">
        <x:v>0.16</x:v>
      </x:c>
      <x:c r="P483" s="8" t="n">
        <x:v>0.8</x:v>
      </x:c>
      <x:c r="Q483" s="7" t="str">
        <x:v>INVINCIBILITY</x:v>
      </x:c>
      <x:c r="R483" s="7" t="n">
        <x:v>1</x:v>
      </x:c>
      <x:c r="S483" s="8" t="n">
        <x:v>0.8</x:v>
      </x:c>
      <x:c r="T483" s="7"/>
      <x:c r="U483" s="7"/>
      <x:c r="V483" s="8"/>
      <x:c r="W483" s="7" t="n">
        <x:v>3</x:v>
      </x:c>
      <x:c r="X483" s="7" t="str">
        <x:v>대상: 아군. 80%확률로 공격력 증가(대) 40% 적용합니다. 80%확률로 명중 증가 16% 적용합니다. 80%확률로 무적 적용합니다.</x:v>
      </x:c>
      <x:c r="Y483" s="7" t="str">
        <x:v>Target: one ally. 80% chance to apply Greater Attack Up 40%. 80% chance to apply Hit Chance Up 16%. 80% chance to apply Invincibility.</x:v>
      </x:c>
      <x:c r="Z483" s="7" t="str">
        <x:v>버프</x:v>
      </x:c>
    </x:row>
    <x:row r="484" ht="115" customHeight="1">
      <x:c r="A484" s="7" t="str">
        <x:v>SKILL_0478</x:v>
      </x:c>
      <x:c r="B484" s="7" t="str">
        <x:v>명중 증가 · 공격력 증가(대) · 추가 턴의 의식</x:v>
      </x:c>
      <x:c r="C484" s="7"/>
      <x:c r="D484" s="7" t="str">
        <x:v>자신</x:v>
      </x:c>
      <x:c r="E484" s="7" t="n">
        <x:v>0</x:v>
      </x:c>
      <x:c r="F484" s="7" t="n">
        <x:v>0</x:v>
      </x:c>
      <x:c r="G484" s="7" t="n">
        <x:v>0</x:v>
      </x:c>
      <x:c r="H484" s="7" t="n">
        <x:v>0</x:v>
      </x:c>
      <x:c r="I484" s="7" t="n">
        <x:v>0</x:v>
      </x:c>
      <x:c r="J484" s="7" t="n">
        <x:v>0</x:v>
      </x:c>
      <x:c r="K484" s="7" t="str">
        <x:v>HIT_CHANCE_UP</x:v>
      </x:c>
      <x:c r="L484" s="7" t="n">
        <x:v>0.16</x:v>
      </x:c>
      <x:c r="M484" s="8" t="n">
        <x:v>0.8</x:v>
      </x:c>
      <x:c r="N484" s="7" t="str">
        <x:v>ATTACK_UP_GREATER</x:v>
      </x:c>
      <x:c r="O484" s="7" t="n">
        <x:v>0.32</x:v>
      </x:c>
      <x:c r="P484" s="8" t="n">
        <x:v>1</x:v>
      </x:c>
      <x:c r="Q484" s="7" t="str">
        <x:v>EXTRA_TURN</x:v>
      </x:c>
      <x:c r="R484" s="7" t="n">
        <x:v>1</x:v>
      </x:c>
      <x:c r="S484" s="8" t="n">
        <x:v>1</x:v>
      </x:c>
      <x:c r="T484" s="7"/>
      <x:c r="U484" s="7"/>
      <x:c r="V484" s="8"/>
      <x:c r="W484" s="7" t="n">
        <x:v>5</x:v>
      </x:c>
      <x:c r="X484" s="7" t="str">
        <x:v>대상: 자신. 80%확률로 명중 증가 16% 획득합니다. 100%확률로 공격력 증가(대) 32% 획득합니다. 100%확률로 추가 턴 1턴 획득합니다.</x:v>
      </x:c>
      <x:c r="Y484" s="7" t="str">
        <x:v>Target: the caster. 80% chance to gain Hit Chance Up 16%. 100% chance to gain Greater Attack Up 32%. 100% chance to gain Extra Turn 1 turn.</x:v>
      </x:c>
      <x:c r="Z484" s="7" t="str">
        <x:v>버프</x:v>
      </x:c>
    </x:row>
    <x:row r="485" ht="115" customHeight="1">
      <x:c r="A485" s="7" t="str">
        <x:v>SKILL_0479</x:v>
      </x:c>
      <x:c r="B485" s="7" t="str">
        <x:v>공격력 증가 · 효과저항 증가의 의식</x:v>
      </x:c>
      <x:c r="C485" s="7"/>
      <x:c r="D485" s="7" t="str">
        <x:v>아군전체</x:v>
      </x:c>
      <x:c r="E485" s="7" t="n">
        <x:v>0</x:v>
      </x:c>
      <x:c r="F485" s="7" t="n">
        <x:v>0</x:v>
      </x:c>
      <x:c r="G485" s="7" t="n">
        <x:v>0</x:v>
      </x:c>
      <x:c r="H485" s="7" t="n">
        <x:v>0</x:v>
      </x:c>
      <x:c r="I485" s="7" t="n">
        <x:v>0</x:v>
      </x:c>
      <x:c r="J485" s="7" t="n">
        <x:v>0</x:v>
      </x:c>
      <x:c r="K485" s="7" t="str">
        <x:v>ATTACK_UP</x:v>
      </x:c>
      <x:c r="L485" s="7" t="n">
        <x:v>0.3</x:v>
      </x:c>
      <x:c r="M485" s="8" t="n">
        <x:v>0.9</x:v>
      </x:c>
      <x:c r="N485" s="7" t="str">
        <x:v>EFFECT_RESISTANCE_UP</x:v>
      </x:c>
      <x:c r="O485" s="7" t="n">
        <x:v>0.25</x:v>
      </x:c>
      <x:c r="P485" s="8" t="n">
        <x:v>0.9</x:v>
      </x:c>
      <x:c r="Q485" s="7"/>
      <x:c r="R485" s="7"/>
      <x:c r="S485" s="8"/>
      <x:c r="T485" s="7"/>
      <x:c r="U485" s="7"/>
      <x:c r="V485" s="8"/>
      <x:c r="W485" s="7" t="n">
        <x:v>2</x:v>
      </x:c>
      <x:c r="X485" s="7" t="str">
        <x:v>대상: 아군전체. 90%확률로 공격력 증가 30% 적용합니다. 90%확률로 효과저항 증가 25% 적용합니다.</x:v>
      </x:c>
      <x:c r="Y485" s="7" t="str">
        <x:v>Target: all allies. 90% chance to apply Attack Up 30%. 90% chance to apply Effect Resistance Up 25%.</x:v>
      </x:c>
      <x:c r="Z485" s="7" t="str">
        <x:v>버프</x:v>
      </x:c>
    </x:row>
    <x:row r="486" ht="115" customHeight="1">
      <x:c r="A486" s="7" t="str">
        <x:v>SKILL_0480</x:v>
      </x:c>
      <x:c r="B486" s="7" t="str">
        <x:v>공격력 증가(대) · 무적 · 피해 감소의 의식</x:v>
      </x:c>
      <x:c r="C486" s="7"/>
      <x:c r="D486" s="7" t="str">
        <x:v>아군과 자신</x:v>
      </x:c>
      <x:c r="E486" s="7" t="n">
        <x:v>0</x:v>
      </x:c>
      <x:c r="F486" s="7" t="n">
        <x:v>0</x:v>
      </x:c>
      <x:c r="G486" s="7" t="n">
        <x:v>0</x:v>
      </x:c>
      <x:c r="H486" s="7" t="n">
        <x:v>0</x:v>
      </x:c>
      <x:c r="I486" s="7" t="n">
        <x:v>0</x:v>
      </x:c>
      <x:c r="J486" s="7" t="n">
        <x:v>0</x:v>
      </x:c>
      <x:c r="K486" s="7" t="str">
        <x:v>ATTACK_UP_GREATER</x:v>
      </x:c>
      <x:c r="L486" s="7" t="n">
        <x:v>0.4</x:v>
      </x:c>
      <x:c r="M486" s="8" t="n">
        <x:v>0.75</x:v>
      </x:c>
      <x:c r="N486" s="7" t="str">
        <x:v>INVINCIBILITY</x:v>
      </x:c>
      <x:c r="O486" s="7" t="n">
        <x:v>1</x:v>
      </x:c>
      <x:c r="P486" s="8" t="n">
        <x:v>0.75</x:v>
      </x:c>
      <x:c r="Q486" s="7" t="str">
        <x:v>DAMAGE_REDUCTION</x:v>
      </x:c>
      <x:c r="R486" s="7" t="n">
        <x:v>0.16</x:v>
      </x:c>
      <x:c r="S486" s="8" t="n">
        <x:v>0.75</x:v>
      </x:c>
      <x:c r="T486" s="7"/>
      <x:c r="U486" s="7"/>
      <x:c r="V486" s="8"/>
      <x:c r="W486" s="7" t="n">
        <x:v>5</x:v>
      </x:c>
      <x:c r="X486" s="7" t="str">
        <x:v>대상: 아군과 자신. 75%확률로 공격력 증가(대) 40% 적용합니다. 75%확률로 무적 적용합니다. 75%확률로 피해 감소 16% 적용합니다.</x:v>
      </x:c>
      <x:c r="Y486" s="7" t="str">
        <x:v>Target: one ally and the caster. 75% chance to apply Greater Attack Up 40%. 75% chance to apply Invincibility. 75% chance to apply Damage Reduction 16%.</x:v>
      </x:c>
      <x:c r="Z486" s="7" t="str">
        <x:v>버프</x:v>
      </x:c>
    </x:row>
    <x:row r="487" ht="115" customHeight="1">
      <x:c r="A487" s="7" t="str">
        <x:v>SKILL_0481</x:v>
      </x:c>
      <x:c r="B487" s="7" t="str">
        <x:v>반격 · 방어력 증가 · 공격력 증가의 의식</x:v>
      </x:c>
      <x:c r="C487" s="7"/>
      <x:c r="D487" s="7" t="str">
        <x:v>아군</x:v>
      </x:c>
      <x:c r="E487" s="7" t="n">
        <x:v>0</x:v>
      </x:c>
      <x:c r="F487" s="7" t="n">
        <x:v>0</x:v>
      </x:c>
      <x:c r="G487" s="7" t="n">
        <x:v>0</x:v>
      </x:c>
      <x:c r="H487" s="7" t="n">
        <x:v>0</x:v>
      </x:c>
      <x:c r="I487" s="7" t="n">
        <x:v>0</x:v>
      </x:c>
      <x:c r="J487" s="7" t="n">
        <x:v>0</x:v>
      </x:c>
      <x:c r="K487" s="7" t="str">
        <x:v>COUNTERATTACK</x:v>
      </x:c>
      <x:c r="L487" s="7" t="n">
        <x:v>0.32</x:v>
      </x:c>
      <x:c r="M487" s="8" t="n">
        <x:v>0.8</x:v>
      </x:c>
      <x:c r="N487" s="7" t="str">
        <x:v>DEFENSE_UP</x:v>
      </x:c>
      <x:c r="O487" s="7" t="n">
        <x:v>0.28</x:v>
      </x:c>
      <x:c r="P487" s="8" t="n">
        <x:v>0.8</x:v>
      </x:c>
      <x:c r="Q487" s="7" t="str">
        <x:v>ATTACK_UP</x:v>
      </x:c>
      <x:c r="R487" s="7" t="n">
        <x:v>0.24</x:v>
      </x:c>
      <x:c r="S487" s="8" t="n">
        <x:v>0.8</x:v>
      </x:c>
      <x:c r="T487" s="7"/>
      <x:c r="U487" s="7"/>
      <x:c r="V487" s="8"/>
      <x:c r="W487" s="7" t="n">
        <x:v>1</x:v>
      </x:c>
      <x:c r="X487" s="7" t="str">
        <x:v>대상: 아군. 80%확률로 반격 32% 적용합니다. 80%확률로 방어력 증가 28% 적용합니다. 80%확률로 공격력 증가 24% 적용합니다.</x:v>
      </x:c>
      <x:c r="Y487" s="7" t="str">
        <x:v>Target: one ally. 80% chance to apply Counterattack 32%. 80% chance to apply Defense Up 28%. 80% chance to apply Attack Up 24%.</x:v>
      </x:c>
      <x:c r="Z487" s="7" t="str">
        <x:v>공격|버프</x:v>
      </x:c>
    </x:row>
    <x:row r="488" ht="115" customHeight="1">
      <x:c r="A488" s="7" t="str">
        <x:v>SKILL_0482</x:v>
      </x:c>
      <x:c r="B488" s="7" t="str">
        <x:v>생명력 회복 · 면역의 의식</x:v>
      </x:c>
      <x:c r="C488" s="7"/>
      <x:c r="D488" s="7" t="str">
        <x:v>자신</x:v>
      </x:c>
      <x:c r="E488" s="7" t="n">
        <x:v>0</x:v>
      </x:c>
      <x:c r="F488" s="7" t="n">
        <x:v>0</x:v>
      </x:c>
      <x:c r="G488" s="7" t="n">
        <x:v>0</x:v>
      </x:c>
      <x:c r="H488" s="7" t="n">
        <x:v>0</x:v>
      </x:c>
      <x:c r="I488" s="7" t="n">
        <x:v>0.35</x:v>
      </x:c>
      <x:c r="J488" s="7" t="n">
        <x:v>0</x:v>
      </x:c>
      <x:c r="K488" s="7" t="str">
        <x:v>HEAL</x:v>
      </x:c>
      <x:c r="L488" s="7" t="n">
        <x:v>1</x:v>
      </x:c>
      <x:c r="M488" s="8" t="n">
        <x:v>1</x:v>
      </x:c>
      <x:c r="N488" s="7" t="str">
        <x:v>IMMUNITY</x:v>
      </x:c>
      <x:c r="O488" s="7" t="n">
        <x:v>1</x:v>
      </x:c>
      <x:c r="P488" s="8" t="n">
        <x:v>0.9</x:v>
      </x:c>
      <x:c r="Q488" s="7"/>
      <x:c r="R488" s="7"/>
      <x:c r="S488" s="8"/>
      <x:c r="T488" s="7"/>
      <x:c r="U488" s="7"/>
      <x:c r="V488" s="8"/>
      <x:c r="W488" s="7" t="n">
        <x:v>1</x:v>
      </x:c>
      <x:c r="X488" s="7" t="str">
        <x:v>대상: 자신. 자신을 시전자의 공격력의 0.35배만큼 회복시킵니다. 90%확률로 면역 획득합니다.</x:v>
      </x:c>
      <x:c r="Y488" s="7" t="str">
        <x:v>Target: the caster. Heals the caster for 0.35 × caster Attack. 90% chance to gain Immunity.</x:v>
      </x:c>
      <x:c r="Z488" s="7" t="str">
        <x:v>회복|버프</x:v>
      </x:c>
    </x:row>
    <x:row r="489" ht="115" customHeight="1">
      <x:c r="A489" s="7" t="str">
        <x:v>SKILL_0483</x:v>
      </x:c>
      <x:c r="B489" s="7" t="str">
        <x:v>반격 · 효과적중 증가의 의식</x:v>
      </x:c>
      <x:c r="C489" s="7"/>
      <x:c r="D489" s="7" t="str">
        <x:v>아군전체</x:v>
      </x:c>
      <x:c r="E489" s="7" t="n">
        <x:v>0</x:v>
      </x:c>
      <x:c r="F489" s="7" t="n">
        <x:v>0</x:v>
      </x:c>
      <x:c r="G489" s="7" t="n">
        <x:v>0</x:v>
      </x:c>
      <x:c r="H489" s="7" t="n">
        <x:v>0</x:v>
      </x:c>
      <x:c r="I489" s="7" t="n">
        <x:v>0</x:v>
      </x:c>
      <x:c r="J489" s="7" t="n">
        <x:v>0</x:v>
      </x:c>
      <x:c r="K489" s="7" t="str">
        <x:v>COUNTERATTACK</x:v>
      </x:c>
      <x:c r="L489" s="7" t="n">
        <x:v>0.4</x:v>
      </x:c>
      <x:c r="M489" s="8" t="n">
        <x:v>0.9</x:v>
      </x:c>
      <x:c r="N489" s="7" t="str">
        <x:v>EFFECTIVENESS_UP</x:v>
      </x:c>
      <x:c r="O489" s="7" t="n">
        <x:v>0.25</x:v>
      </x:c>
      <x:c r="P489" s="8" t="n">
        <x:v>0.9</x:v>
      </x:c>
      <x:c r="Q489" s="7"/>
      <x:c r="R489" s="7"/>
      <x:c r="S489" s="8"/>
      <x:c r="T489" s="7"/>
      <x:c r="U489" s="7"/>
      <x:c r="V489" s="8"/>
      <x:c r="W489" s="7" t="n">
        <x:v>3</x:v>
      </x:c>
      <x:c r="X489" s="7" t="str">
        <x:v>대상: 아군전체. 90%확률로 반격 40% 적용합니다. 90%확률로 효과적중 증가 25% 적용합니다.</x:v>
      </x:c>
      <x:c r="Y489" s="7" t="str">
        <x:v>Target: all allies. 90% chance to apply Counterattack 40%. 90% chance to apply Effectiveness Up 25%.</x:v>
      </x:c>
      <x:c r="Z489" s="7" t="str">
        <x:v>공격|버프</x:v>
      </x:c>
    </x:row>
    <x:row r="490" ht="115" customHeight="1">
      <x:c r="A490" s="7" t="str">
        <x:v>SKILL_0484</x:v>
      </x:c>
      <x:c r="B490" s="7" t="str">
        <x:v>강화효과 지속시간 증가 · 피해 반사 · 공격력 증가 · 소생의 의식</x:v>
      </x:c>
      <x:c r="C490" s="7"/>
      <x:c r="D490" s="7" t="str">
        <x:v>아군</x:v>
      </x:c>
      <x:c r="E490" s="7" t="n">
        <x:v>0</x:v>
      </x:c>
      <x:c r="F490" s="7" t="n">
        <x:v>0</x:v>
      </x:c>
      <x:c r="G490" s="7" t="n">
        <x:v>0</x:v>
      </x:c>
      <x:c r="H490" s="7" t="n">
        <x:v>0</x:v>
      </x:c>
      <x:c r="I490" s="7" t="n">
        <x:v>0</x:v>
      </x:c>
      <x:c r="J490" s="7" t="n">
        <x:v>0</x:v>
      </x:c>
      <x:c r="K490" s="7" t="str">
        <x:v>BUFF_DURATION_UP</x:v>
      </x:c>
      <x:c r="L490" s="7" t="n">
        <x:v>1</x:v>
      </x:c>
      <x:c r="M490" s="8" t="n">
        <x:v>0.35</x:v>
      </x:c>
      <x:c r="N490" s="7" t="str">
        <x:v>DAMAGE_REFLECTION</x:v>
      </x:c>
      <x:c r="O490" s="7" t="n">
        <x:v>0.13</x:v>
      </x:c>
      <x:c r="P490" s="8" t="n">
        <x:v>0.35</x:v>
      </x:c>
      <x:c r="Q490" s="7" t="str">
        <x:v>ATTACK_UP</x:v>
      </x:c>
      <x:c r="R490" s="7" t="n">
        <x:v>0.195</x:v>
      </x:c>
      <x:c r="S490" s="8" t="n">
        <x:v>0.35</x:v>
      </x:c>
      <x:c r="T490" s="7" t="str">
        <x:v>AUTO_REVIVE</x:v>
      </x:c>
      <x:c r="U490" s="7" t="n">
        <x:v>1</x:v>
      </x:c>
      <x:c r="V490" s="8" t="n">
        <x:v>1</x:v>
      </x:c>
      <x:c r="W490" s="7" t="n">
        <x:v>5</x:v>
      </x:c>
      <x:c r="X490" s="7" t="str">
        <x:v>대상: 아군. 35%확률로 강화효과 지속시간 증가 1턴 적용합니다. 35%확률로 피해 반사 13% 적용합니다. 35%확률로 공격력 증가 19.5% 적용합니다. 100%확률로 소생 100% 적용합니다.</x:v>
      </x:c>
      <x:c r="Y490" s="7" t="str">
        <x:v>Target: one ally. 35% chance to apply Buff Duration Extension 1 turn. 35% chance to apply Damage Reflection 13%. 35% chance to apply Attack Up 19.5%. 100% chance to apply Auto Revive 100%.</x:v>
      </x:c>
      <x:c r="Z490" s="7" t="str">
        <x:v>공격|회복|버프</x:v>
      </x:c>
    </x:row>
    <x:row r="491" ht="115" customHeight="1">
      <x:c r="A491" s="7" t="str">
        <x:v>SKILL_0485</x:v>
      </x:c>
      <x:c r="B491" s="7" t="str">
        <x:v>회피 증가 · 효과저항 증가 · 공격력 증가의 의식</x:v>
      </x:c>
      <x:c r="C491" s="7"/>
      <x:c r="D491" s="7" t="str">
        <x:v>아군</x:v>
      </x:c>
      <x:c r="E491" s="7" t="n">
        <x:v>0</x:v>
      </x:c>
      <x:c r="F491" s="7" t="n">
        <x:v>0</x:v>
      </x:c>
      <x:c r="G491" s="7" t="n">
        <x:v>0</x:v>
      </x:c>
      <x:c r="H491" s="7" t="n">
        <x:v>0</x:v>
      </x:c>
      <x:c r="I491" s="7" t="n">
        <x:v>0</x:v>
      </x:c>
      <x:c r="J491" s="7" t="n">
        <x:v>0</x:v>
      </x:c>
      <x:c r="K491" s="7" t="str">
        <x:v>EVASION_UP</x:v>
      </x:c>
      <x:c r="L491" s="7" t="n">
        <x:v>0.16</x:v>
      </x:c>
      <x:c r="M491" s="8" t="n">
        <x:v>0.8</x:v>
      </x:c>
      <x:c r="N491" s="7" t="str">
        <x:v>EFFECT_RESISTANCE_UP</x:v>
      </x:c>
      <x:c r="O491" s="7" t="n">
        <x:v>0.2</x:v>
      </x:c>
      <x:c r="P491" s="8" t="n">
        <x:v>0.8</x:v>
      </x:c>
      <x:c r="Q491" s="7" t="str">
        <x:v>ATTACK_UP</x:v>
      </x:c>
      <x:c r="R491" s="7" t="n">
        <x:v>0.24</x:v>
      </x:c>
      <x:c r="S491" s="8" t="n">
        <x:v>0.8</x:v>
      </x:c>
      <x:c r="T491" s="7"/>
      <x:c r="U491" s="7"/>
      <x:c r="V491" s="8"/>
      <x:c r="W491" s="7" t="n">
        <x:v>1</x:v>
      </x:c>
      <x:c r="X491" s="7" t="str">
        <x:v>대상: 아군. 80%확률로 회피 증가 16% 적용합니다. 80%확률로 효과저항 증가 20% 적용합니다. 80%확률로 공격력 증가 24% 적용합니다.</x:v>
      </x:c>
      <x:c r="Y491" s="7" t="str">
        <x:v>Target: one ally. 80% chance to apply Evasion Up 16%. 80% chance to apply Effect Resistance Up 20%. 80% chance to apply Attack Up 24%.</x:v>
      </x:c>
      <x:c r="Z491" s="7" t="str">
        <x:v>버프</x:v>
      </x:c>
    </x:row>
    <x:row r="492" ht="115" customHeight="1">
      <x:c r="A492" s="7" t="str">
        <x:v>SKILL_0486</x:v>
      </x:c>
      <x:c r="B492" s="7" t="str">
        <x:v>지속 회복 · 피해 분담 · 속도 증가의 의식</x:v>
      </x:c>
      <x:c r="C492" s="7"/>
      <x:c r="D492" s="7" t="str">
        <x:v>자신</x:v>
      </x:c>
      <x:c r="E492" s="7" t="n">
        <x:v>0</x:v>
      </x:c>
      <x:c r="F492" s="7" t="n">
        <x:v>0</x:v>
      </x:c>
      <x:c r="G492" s="7" t="n">
        <x:v>0</x:v>
      </x:c>
      <x:c r="H492" s="7" t="n">
        <x:v>0</x:v>
      </x:c>
      <x:c r="I492" s="7" t="n">
        <x:v>0</x:v>
      </x:c>
      <x:c r="J492" s="7" t="n">
        <x:v>0</x:v>
      </x:c>
      <x:c r="K492" s="7" t="str">
        <x:v>CONTINUOUS_HEAL</x:v>
      </x:c>
      <x:c r="L492" s="7" t="n">
        <x:v>0.056</x:v>
      </x:c>
      <x:c r="M492" s="8" t="n">
        <x:v>0.8</x:v>
      </x:c>
      <x:c r="N492" s="7" t="str">
        <x:v>DAMAGE_SHARING</x:v>
      </x:c>
      <x:c r="O492" s="7" t="n">
        <x:v>0.16</x:v>
      </x:c>
      <x:c r="P492" s="8" t="n">
        <x:v>0.8</x:v>
      </x:c>
      <x:c r="Q492" s="7" t="str">
        <x:v>SPEED_UP</x:v>
      </x:c>
      <x:c r="R492" s="7" t="n">
        <x:v>0.16</x:v>
      </x:c>
      <x:c r="S492" s="8" t="n">
        <x:v>0.8</x:v>
      </x:c>
      <x:c r="T492" s="7"/>
      <x:c r="U492" s="7"/>
      <x:c r="V492" s="8"/>
      <x:c r="W492" s="7" t="n">
        <x:v>1</x:v>
      </x:c>
      <x:c r="X492" s="7" t="str">
        <x:v>대상: 자신. 80%확률로 지속 회복을 부여합니다(2턴, 대상의 턴 시작마다 대상 최대생명력의 5.6% 회복). 80%확률로 피해 분담 16% 획득합니다. 80%확률로 속도 증가 16% 획득합니다.</x:v>
      </x:c>
      <x:c r="Y492" s="7" t="str">
        <x:v>Target: the caster. 80% chance to grant Continuous Heal for 2 turns, restoring 5.6% of the recipient's max Health at each turn start. 80% chance to gain Damage Sharing 16%. 80% chance to gain Speed Up 16%.</x:v>
      </x:c>
      <x:c r="Z492" s="7" t="str">
        <x:v>회복|버프</x:v>
      </x:c>
    </x:row>
    <x:row r="493" ht="115" customHeight="1">
      <x:c r="A493" s="7" t="str">
        <x:v>SKILL_0487</x:v>
      </x:c>
      <x:c r="B493" s="7" t="str">
        <x:v>효과저항 증가 · 속도 증가의 의식</x:v>
      </x:c>
      <x:c r="C493" s="7"/>
      <x:c r="D493" s="7" t="str">
        <x:v>아군전체</x:v>
      </x:c>
      <x:c r="E493" s="7" t="n">
        <x:v>0</x:v>
      </x:c>
      <x:c r="F493" s="7" t="n">
        <x:v>0</x:v>
      </x:c>
      <x:c r="G493" s="7" t="n">
        <x:v>0</x:v>
      </x:c>
      <x:c r="H493" s="7" t="n">
        <x:v>0</x:v>
      </x:c>
      <x:c r="I493" s="7" t="n">
        <x:v>0</x:v>
      </x:c>
      <x:c r="J493" s="7" t="n">
        <x:v>0</x:v>
      </x:c>
      <x:c r="K493" s="7" t="str">
        <x:v>EFFECT_RESISTANCE_UP</x:v>
      </x:c>
      <x:c r="L493" s="7" t="n">
        <x:v>0.25</x:v>
      </x:c>
      <x:c r="M493" s="8" t="n">
        <x:v>0.9</x:v>
      </x:c>
      <x:c r="N493" s="7" t="str">
        <x:v>SPEED_UP</x:v>
      </x:c>
      <x:c r="O493" s="7" t="n">
        <x:v>0.2</x:v>
      </x:c>
      <x:c r="P493" s="8" t="n">
        <x:v>0.9</x:v>
      </x:c>
      <x:c r="Q493" s="7"/>
      <x:c r="R493" s="7"/>
      <x:c r="S493" s="8"/>
      <x:c r="T493" s="7"/>
      <x:c r="U493" s="7"/>
      <x:c r="V493" s="8"/>
      <x:c r="W493" s="7" t="n">
        <x:v>2</x:v>
      </x:c>
      <x:c r="X493" s="7" t="str">
        <x:v>대상: 아군전체. 90%확률로 효과저항 증가 25% 적용합니다. 90%확률로 속도 증가 20% 적용합니다.</x:v>
      </x:c>
      <x:c r="Y493" s="7" t="str">
        <x:v>Target: all allies. 90% chance to apply Effect Resistance Up 25%. 90% chance to apply Speed Up 20%.</x:v>
      </x:c>
      <x:c r="Z493" s="7" t="str">
        <x:v>버프</x:v>
      </x:c>
    </x:row>
    <x:row r="494" ht="115" customHeight="1">
      <x:c r="A494" s="7" t="str">
        <x:v>SKILL_0488</x:v>
      </x:c>
      <x:c r="B494" s="7" t="str">
        <x:v>피해 분담 · 소생 · 보호막의 의식</x:v>
      </x:c>
      <x:c r="C494" s="7"/>
      <x:c r="D494" s="7" t="str">
        <x:v>자신</x:v>
      </x:c>
      <x:c r="E494" s="7" t="n">
        <x:v>0</x:v>
      </x:c>
      <x:c r="F494" s="7" t="n">
        <x:v>0</x:v>
      </x:c>
      <x:c r="G494" s="7" t="n">
        <x:v>0</x:v>
      </x:c>
      <x:c r="H494" s="7" t="n">
        <x:v>0</x:v>
      </x:c>
      <x:c r="I494" s="7" t="n">
        <x:v>0</x:v>
      </x:c>
      <x:c r="J494" s="7" t="n">
        <x:v>0</x:v>
      </x:c>
      <x:c r="K494" s="7" t="str">
        <x:v>DAMAGE_SHARING</x:v>
      </x:c>
      <x:c r="L494" s="7" t="n">
        <x:v>0.16</x:v>
      </x:c>
      <x:c r="M494" s="8" t="n">
        <x:v>0.8</x:v>
      </x:c>
      <x:c r="N494" s="7" t="str">
        <x:v>AUTO_REVIVE</x:v>
      </x:c>
      <x:c r="O494" s="7" t="n">
        <x:v>1</x:v>
      </x:c>
      <x:c r="P494" s="8" t="n">
        <x:v>1</x:v>
      </x:c>
      <x:c r="Q494" s="7" t="str">
        <x:v>BARRIER</x:v>
      </x:c>
      <x:c r="R494" s="7" t="n">
        <x:v>0.12</x:v>
      </x:c>
      <x:c r="S494" s="8" t="n">
        <x:v>0.8</x:v>
      </x:c>
      <x:c r="T494" s="7"/>
      <x:c r="U494" s="7"/>
      <x:c r="V494" s="8"/>
      <x:c r="W494" s="7" t="n">
        <x:v>5</x:v>
      </x:c>
      <x:c r="X494" s="7" t="str">
        <x:v>대상: 자신. 80%확률로 피해 분담 16% 획득합니다. 100%확률로 소생 100% 획득합니다. 80%확률로 보호막 12% 획득합니다.</x:v>
      </x:c>
      <x:c r="Y494" s="7" t="str">
        <x:v>Target: the caster. 80% chance to gain Damage Sharing 16%. 100% chance to gain Auto Revive 100%. 80% chance to gain Barrier 12%.</x:v>
      </x:c>
      <x:c r="Z494" s="7" t="str">
        <x:v>회복|버프</x:v>
      </x:c>
    </x:row>
    <x:row r="495" ht="115" customHeight="1">
      <x:c r="A495" s="7" t="str">
        <x:v>SKILL_0489</x:v>
      </x:c>
      <x:c r="B495" s="7" t="str">
        <x:v>불사 · 회피 증가 · 치명저항 증가의 의식</x:v>
      </x:c>
      <x:c r="C495" s="7"/>
      <x:c r="D495" s="7" t="str">
        <x:v>아군</x:v>
      </x:c>
      <x:c r="E495" s="7" t="n">
        <x:v>0</x:v>
      </x:c>
      <x:c r="F495" s="7" t="n">
        <x:v>0</x:v>
      </x:c>
      <x:c r="G495" s="7" t="n">
        <x:v>0</x:v>
      </x:c>
      <x:c r="H495" s="7" t="n">
        <x:v>0</x:v>
      </x:c>
      <x:c r="I495" s="7" t="n">
        <x:v>0</x:v>
      </x:c>
      <x:c r="J495" s="7" t="n">
        <x:v>0</x:v>
      </x:c>
      <x:c r="K495" s="7" t="str">
        <x:v>IMMORTALITY</x:v>
      </x:c>
      <x:c r="L495" s="7" t="n">
        <x:v>1</x:v>
      </x:c>
      <x:c r="M495" s="8" t="n">
        <x:v>0.8</x:v>
      </x:c>
      <x:c r="N495" s="7" t="str">
        <x:v>EVASION_UP</x:v>
      </x:c>
      <x:c r="O495" s="7" t="n">
        <x:v>0.16</x:v>
      </x:c>
      <x:c r="P495" s="8" t="n">
        <x:v>0.8</x:v>
      </x:c>
      <x:c r="Q495" s="7" t="str">
        <x:v>CRITICAL_RESISTANCE_UP</x:v>
      </x:c>
      <x:c r="R495" s="7" t="n">
        <x:v>0.2</x:v>
      </x:c>
      <x:c r="S495" s="8" t="n">
        <x:v>0.8</x:v>
      </x:c>
      <x:c r="T495" s="7"/>
      <x:c r="U495" s="7"/>
      <x:c r="V495" s="8"/>
      <x:c r="W495" s="7" t="n">
        <x:v>3</x:v>
      </x:c>
      <x:c r="X495" s="7" t="str">
        <x:v>대상: 아군. 80%확률로 불사 적용합니다. 80%확률로 회피 증가 16% 적용합니다. 80%확률로 치명저항 증가 20% 적용합니다.</x:v>
      </x:c>
      <x:c r="Y495" s="7" t="str">
        <x:v>Target: one ally. 80% chance to apply Immortality. 80% chance to apply Evasion Up 16%. 80% chance to apply Critical Hit Resistance Up 20%.</x:v>
      </x:c>
      <x:c r="Z495" s="7" t="str">
        <x:v>버프</x:v>
      </x:c>
    </x:row>
    <x:row r="496" ht="115" customHeight="1">
      <x:c r="A496" s="7" t="str">
        <x:v>SKILL_0490</x:v>
      </x:c>
      <x:c r="B496" s="7" t="str">
        <x:v>불사 · 보호막의 의식</x:v>
      </x:c>
      <x:c r="C496" s="7"/>
      <x:c r="D496" s="7" t="str">
        <x:v>자신</x:v>
      </x:c>
      <x:c r="E496" s="7" t="n">
        <x:v>0</x:v>
      </x:c>
      <x:c r="F496" s="7" t="n">
        <x:v>0</x:v>
      </x:c>
      <x:c r="G496" s="7" t="n">
        <x:v>0</x:v>
      </x:c>
      <x:c r="H496" s="7" t="n">
        <x:v>0</x:v>
      </x:c>
      <x:c r="I496" s="7" t="n">
        <x:v>0</x:v>
      </x:c>
      <x:c r="J496" s="7" t="n">
        <x:v>0</x:v>
      </x:c>
      <x:c r="K496" s="7" t="str">
        <x:v>IMMORTALITY</x:v>
      </x:c>
      <x:c r="L496" s="7" t="n">
        <x:v>1</x:v>
      </x:c>
      <x:c r="M496" s="8" t="n">
        <x:v>0.9</x:v>
      </x:c>
      <x:c r="N496" s="7" t="str">
        <x:v>BARRIER</x:v>
      </x:c>
      <x:c r="O496" s="7" t="n">
        <x:v>0.15</x:v>
      </x:c>
      <x:c r="P496" s="8" t="n">
        <x:v>0.9</x:v>
      </x:c>
      <x:c r="Q496" s="7"/>
      <x:c r="R496" s="7"/>
      <x:c r="S496" s="8"/>
      <x:c r="T496" s="7"/>
      <x:c r="U496" s="7"/>
      <x:c r="V496" s="8"/>
      <x:c r="W496" s="7" t="n">
        <x:v>3</x:v>
      </x:c>
      <x:c r="X496" s="7" t="str">
        <x:v>대상: 자신. 90%확률로 불사 획득합니다. 90%확률로 보호막 15% 획득합니다.</x:v>
      </x:c>
      <x:c r="Y496" s="7" t="str">
        <x:v>Target: the caster. 90% chance to gain Immortality. 90% chance to gain Barrier 15%.</x:v>
      </x:c>
      <x:c r="Z496" s="7" t="str">
        <x:v>버프</x:v>
      </x:c>
    </x:row>
    <x:row r="497" ht="115" customHeight="1">
      <x:c r="A497" s="7" t="str">
        <x:v>SKILL_0491</x:v>
      </x:c>
      <x:c r="B497" s="7" t="str">
        <x:v>피해 감소 · 스킬 쿨타임 감소 · 은신의 의식</x:v>
      </x:c>
      <x:c r="C497" s="7"/>
      <x:c r="D497" s="7" t="str">
        <x:v>아군전체</x:v>
      </x:c>
      <x:c r="E497" s="7" t="n">
        <x:v>0</x:v>
      </x:c>
      <x:c r="F497" s="7" t="n">
        <x:v>0</x:v>
      </x:c>
      <x:c r="G497" s="7" t="n">
        <x:v>0</x:v>
      </x:c>
      <x:c r="H497" s="7" t="n">
        <x:v>0</x:v>
      </x:c>
      <x:c r="I497" s="7" t="n">
        <x:v>0</x:v>
      </x:c>
      <x:c r="J497" s="7" t="n">
        <x:v>0</x:v>
      </x:c>
      <x:c r="K497" s="7" t="str">
        <x:v>DAMAGE_REDUCTION</x:v>
      </x:c>
      <x:c r="L497" s="7" t="n">
        <x:v>0.16</x:v>
      </x:c>
      <x:c r="M497" s="8" t="n">
        <x:v>0.65</x:v>
      </x:c>
      <x:c r="N497" s="7" t="str">
        <x:v>SKILL_COOLDOWN_DOWN</x:v>
      </x:c>
      <x:c r="O497" s="7" t="n">
        <x:v>1</x:v>
      </x:c>
      <x:c r="P497" s="8" t="n">
        <x:v>0.65</x:v>
      </x:c>
      <x:c r="Q497" s="7" t="str">
        <x:v>STEALTH</x:v>
      </x:c>
      <x:c r="R497" s="7" t="n">
        <x:v>1</x:v>
      </x:c>
      <x:c r="S497" s="8" t="n">
        <x:v>0.65</x:v>
      </x:c>
      <x:c r="T497" s="7"/>
      <x:c r="U497" s="7"/>
      <x:c r="V497" s="8"/>
      <x:c r="W497" s="7" t="n">
        <x:v>5</x:v>
      </x:c>
      <x:c r="X497" s="7" t="str">
        <x:v>대상: 아군전체. 65%확률로 피해 감소 16% 적용합니다. 65%확률로 스킬 쿨타임 감소 1턴 적용합니다. 65%확률로 은신 적용합니다.</x:v>
      </x:c>
      <x:c r="Y497" s="7" t="str">
        <x:v>Target: all allies. 65% chance to apply Damage Reduction 16%. 65% chance to apply Skill Cooldown Reduction 1 turn. 65% chance to apply Stealth.</x:v>
      </x:c>
      <x:c r="Z497" s="7" t="str">
        <x:v>버프</x:v>
      </x:c>
    </x:row>
    <x:row r="498" ht="115" customHeight="1">
      <x:c r="A498" s="7" t="str">
        <x:v>SKILL_0492</x:v>
      </x:c>
      <x:c r="B498" s="7" t="str">
        <x:v>공격력 증가 · 반격의 의식</x:v>
      </x:c>
      <x:c r="C498" s="7"/>
      <x:c r="D498" s="7" t="str">
        <x:v>아군과 자신</x:v>
      </x:c>
      <x:c r="E498" s="7" t="n">
        <x:v>0</x:v>
      </x:c>
      <x:c r="F498" s="7" t="n">
        <x:v>0</x:v>
      </x:c>
      <x:c r="G498" s="7" t="n">
        <x:v>0</x:v>
      </x:c>
      <x:c r="H498" s="7" t="n">
        <x:v>0</x:v>
      </x:c>
      <x:c r="I498" s="7" t="n">
        <x:v>0</x:v>
      </x:c>
      <x:c r="J498" s="7" t="n">
        <x:v>0</x:v>
      </x:c>
      <x:c r="K498" s="7" t="str">
        <x:v>ATTACK_UP</x:v>
      </x:c>
      <x:c r="L498" s="7" t="n">
        <x:v>0.3</x:v>
      </x:c>
      <x:c r="M498" s="8" t="n">
        <x:v>0.9</x:v>
      </x:c>
      <x:c r="N498" s="7" t="str">
        <x:v>COUNTERATTACK</x:v>
      </x:c>
      <x:c r="O498" s="7" t="n">
        <x:v>0.4</x:v>
      </x:c>
      <x:c r="P498" s="8" t="n">
        <x:v>0.9</x:v>
      </x:c>
      <x:c r="Q498" s="7"/>
      <x:c r="R498" s="7"/>
      <x:c r="S498" s="8"/>
      <x:c r="T498" s="7"/>
      <x:c r="U498" s="7"/>
      <x:c r="V498" s="8"/>
      <x:c r="W498" s="7" t="n">
        <x:v>2</x:v>
      </x:c>
      <x:c r="X498" s="7" t="str">
        <x:v>대상: 아군과 자신. 90%확률로 공격력 증가 30% 적용합니다. 90%확률로 반격 40% 적용합니다.</x:v>
      </x:c>
      <x:c r="Y498" s="7" t="str">
        <x:v>Target: one ally and the caster. 90% chance to apply Attack Up 30%. 90% chance to apply Counterattack 40%.</x:v>
      </x:c>
      <x:c r="Z498" s="7" t="str">
        <x:v>공격|버프</x:v>
      </x:c>
    </x:row>
    <x:row r="499" ht="115" customHeight="1">
      <x:c r="A499" s="7" t="str">
        <x:v>SKILL_0493</x:v>
      </x:c>
      <x:c r="B499" s="7" t="str">
        <x:v>피해 반사 · 치명피해 증가 · 속도 증가의 의식</x:v>
      </x:c>
      <x:c r="C499" s="7"/>
      <x:c r="D499" s="7" t="str">
        <x:v>아군</x:v>
      </x:c>
      <x:c r="E499" s="7" t="n">
        <x:v>0</x:v>
      </x:c>
      <x:c r="F499" s="7" t="n">
        <x:v>0</x:v>
      </x:c>
      <x:c r="G499" s="7" t="n">
        <x:v>0</x:v>
      </x:c>
      <x:c r="H499" s="7" t="n">
        <x:v>0</x:v>
      </x:c>
      <x:c r="I499" s="7" t="n">
        <x:v>0</x:v>
      </x:c>
      <x:c r="J499" s="7" t="n">
        <x:v>0</x:v>
      </x:c>
      <x:c r="K499" s="7" t="str">
        <x:v>DAMAGE_REFLECTION</x:v>
      </x:c>
      <x:c r="L499" s="7" t="n">
        <x:v>0.16</x:v>
      </x:c>
      <x:c r="M499" s="8" t="n">
        <x:v>0.8</x:v>
      </x:c>
      <x:c r="N499" s="7" t="str">
        <x:v>CRITICAL_DAMAGE_UP</x:v>
      </x:c>
      <x:c r="O499" s="7" t="n">
        <x:v>0.24</x:v>
      </x:c>
      <x:c r="P499" s="8" t="n">
        <x:v>0.8</x:v>
      </x:c>
      <x:c r="Q499" s="7" t="str">
        <x:v>SPEED_UP</x:v>
      </x:c>
      <x:c r="R499" s="7" t="n">
        <x:v>0.16</x:v>
      </x:c>
      <x:c r="S499" s="8" t="n">
        <x:v>0.8</x:v>
      </x:c>
      <x:c r="T499" s="7"/>
      <x:c r="U499" s="7"/>
      <x:c r="V499" s="8"/>
      <x:c r="W499" s="7" t="n">
        <x:v>1</x:v>
      </x:c>
      <x:c r="X499" s="7" t="str">
        <x:v>대상: 아군. 80%확률로 피해 반사 16% 적용합니다. 80%확률로 치명피해 증가 24% 적용합니다. 80%확률로 속도 증가 16% 적용합니다.</x:v>
      </x:c>
      <x:c r="Y499" s="7" t="str">
        <x:v>Target: one ally. 80% chance to apply Damage Reflection 16%. 80% chance to apply Critical Hit Damage Up 24%. 80% chance to apply Speed Up 16%.</x:v>
      </x:c>
      <x:c r="Z499" s="7" t="str">
        <x:v>공격|버프</x:v>
      </x:c>
    </x:row>
    <x:row r="500" ht="115" customHeight="1">
      <x:c r="A500" s="7" t="str">
        <x:v>SKILL_0494</x:v>
      </x:c>
      <x:c r="B500" s="7" t="str">
        <x:v>피해 분담 · 치명저항 증가 · 효과적중 증가 · 보호막의 의식</x:v>
      </x:c>
      <x:c r="C500" s="7"/>
      <x:c r="D500" s="7" t="str">
        <x:v>자신</x:v>
      </x:c>
      <x:c r="E500" s="7" t="n">
        <x:v>0</x:v>
      </x:c>
      <x:c r="F500" s="7" t="n">
        <x:v>0</x:v>
      </x:c>
      <x:c r="G500" s="7" t="n">
        <x:v>0</x:v>
      </x:c>
      <x:c r="H500" s="7" t="n">
        <x:v>0</x:v>
      </x:c>
      <x:c r="I500" s="7" t="n">
        <x:v>0</x:v>
      </x:c>
      <x:c r="J500" s="7" t="n">
        <x:v>0</x:v>
      </x:c>
      <x:c r="K500" s="7" t="str">
        <x:v>DAMAGE_SHARING</x:v>
      </x:c>
      <x:c r="L500" s="7" t="n">
        <x:v>0.13</x:v>
      </x:c>
      <x:c r="M500" s="8" t="n">
        <x:v>0.7</x:v>
      </x:c>
      <x:c r="N500" s="7" t="str">
        <x:v>CRITICAL_RESISTANCE_UP</x:v>
      </x:c>
      <x:c r="O500" s="7" t="n">
        <x:v>0.163</x:v>
      </x:c>
      <x:c r="P500" s="8" t="n">
        <x:v>0.7</x:v>
      </x:c>
      <x:c r="Q500" s="7" t="str">
        <x:v>EFFECTIVENESS_UP</x:v>
      </x:c>
      <x:c r="R500" s="7" t="n">
        <x:v>0.163</x:v>
      </x:c>
      <x:c r="S500" s="8" t="n">
        <x:v>0.7</x:v>
      </x:c>
      <x:c r="T500" s="7" t="str">
        <x:v>BARRIER</x:v>
      </x:c>
      <x:c r="U500" s="7" t="n">
        <x:v>0.098</x:v>
      </x:c>
      <x:c r="V500" s="8" t="n">
        <x:v>0.7</x:v>
      </x:c>
      <x:c r="W500" s="7" t="n">
        <x:v>1</x:v>
      </x:c>
      <x:c r="X500" s="7" t="str">
        <x:v>대상: 자신. 70%확률로 피해 분담 13% 획득합니다. 70%확률로 치명저항 증가 16.3% 획득합니다. 70%확률로 효과적중 증가 16.3% 획득합니다. 70%확률로 보호막 9.8% 획득합니다.</x:v>
      </x:c>
      <x:c r="Y500" s="7" t="str">
        <x:v>Target: the caster. 70% chance to gain Damage Sharing 13%. 70% chance to gain Critical Hit Resistance Up 16.3%. 70% chance to gain Effectiveness Up 16.3%. 70% chance to gain Barrier 9.8%.</x:v>
      </x:c>
      <x:c r="Z500" s="7" t="str">
        <x:v>버프</x:v>
      </x:c>
    </x:row>
    <x:row r="501" ht="115" customHeight="1">
      <x:c r="A501" s="7" t="str">
        <x:v>SKILL_0495</x:v>
      </x:c>
      <x:c r="B501" s="7" t="str">
        <x:v>피해 반사 · 보호막의 의식</x:v>
      </x:c>
      <x:c r="C501" s="7"/>
      <x:c r="D501" s="7" t="str">
        <x:v>아군전체</x:v>
      </x:c>
      <x:c r="E501" s="7" t="n">
        <x:v>0</x:v>
      </x:c>
      <x:c r="F501" s="7" t="n">
        <x:v>0</x:v>
      </x:c>
      <x:c r="G501" s="7" t="n">
        <x:v>0</x:v>
      </x:c>
      <x:c r="H501" s="7" t="n">
        <x:v>0</x:v>
      </x:c>
      <x:c r="I501" s="7" t="n">
        <x:v>0</x:v>
      </x:c>
      <x:c r="J501" s="7" t="n">
        <x:v>0</x:v>
      </x:c>
      <x:c r="K501" s="7" t="str">
        <x:v>DAMAGE_REFLECTION</x:v>
      </x:c>
      <x:c r="L501" s="7" t="n">
        <x:v>0.2</x:v>
      </x:c>
      <x:c r="M501" s="8" t="n">
        <x:v>0.9</x:v>
      </x:c>
      <x:c r="N501" s="7" t="str">
        <x:v>BARRIER</x:v>
      </x:c>
      <x:c r="O501" s="7" t="n">
        <x:v>0.15</x:v>
      </x:c>
      <x:c r="P501" s="8" t="n">
        <x:v>0.9</x:v>
      </x:c>
      <x:c r="Q501" s="7"/>
      <x:c r="R501" s="7"/>
      <x:c r="S501" s="8"/>
      <x:c r="T501" s="7"/>
      <x:c r="U501" s="7"/>
      <x:c r="V501" s="8"/>
      <x:c r="W501" s="7" t="n">
        <x:v>2</x:v>
      </x:c>
      <x:c r="X501" s="7" t="str">
        <x:v>대상: 아군전체. 90%확률로 피해 반사 20% 적용합니다. 90%확률로 보호막 15% 적용합니다.</x:v>
      </x:c>
      <x:c r="Y501" s="7" t="str">
        <x:v>Target: all allies. 90% chance to apply Damage Reflection 20%. 90% chance to apply Barrier 15%.</x:v>
      </x:c>
      <x:c r="Z501" s="7" t="str">
        <x:v>공격|버프</x:v>
      </x:c>
    </x:row>
    <x:row r="502" ht="115" customHeight="1">
      <x:c r="A502" s="7" t="str">
        <x:v>SKILL_0496</x:v>
      </x:c>
      <x:c r="B502" s="7" t="str">
        <x:v>지속 회복 · 불사의 의식</x:v>
      </x:c>
      <x:c r="C502" s="7"/>
      <x:c r="D502" s="7" t="str">
        <x:v>아군과 자신</x:v>
      </x:c>
      <x:c r="E502" s="7" t="n">
        <x:v>0</x:v>
      </x:c>
      <x:c r="F502" s="7" t="n">
        <x:v>0</x:v>
      </x:c>
      <x:c r="G502" s="7" t="n">
        <x:v>0</x:v>
      </x:c>
      <x:c r="H502" s="7" t="n">
        <x:v>0</x:v>
      </x:c>
      <x:c r="I502" s="7" t="n">
        <x:v>0</x:v>
      </x:c>
      <x:c r="J502" s="7" t="n">
        <x:v>0</x:v>
      </x:c>
      <x:c r="K502" s="7" t="str">
        <x:v>CONTINUOUS_HEAL</x:v>
      </x:c>
      <x:c r="L502" s="7" t="n">
        <x:v>0.07</x:v>
      </x:c>
      <x:c r="M502" s="8" t="n">
        <x:v>0.9</x:v>
      </x:c>
      <x:c r="N502" s="7" t="str">
        <x:v>IMMORTALITY</x:v>
      </x:c>
      <x:c r="O502" s="7" t="n">
        <x:v>1</x:v>
      </x:c>
      <x:c r="P502" s="8" t="n">
        <x:v>0.9</x:v>
      </x:c>
      <x:c r="Q502" s="7"/>
      <x:c r="R502" s="7"/>
      <x:c r="S502" s="8"/>
      <x:c r="T502" s="7"/>
      <x:c r="U502" s="7"/>
      <x:c r="V502" s="8"/>
      <x:c r="W502" s="7" t="n">
        <x:v>4</x:v>
      </x:c>
      <x:c r="X502" s="7" t="str">
        <x:v>대상: 아군과 자신. 90%확률로 지속 회복을 부여합니다(2턴, 대상의 턴 시작마다 대상 최대생명력의 7% 회복). 90%확률로 불사 적용합니다.</x:v>
      </x:c>
      <x:c r="Y502" s="7" t="str">
        <x:v>Target: one ally and the caster. 90% chance to grant Continuous Heal for 2 turns, restoring 7% of the recipient's max Health at each turn start. 90% chance to apply Immortality.</x:v>
      </x:c>
      <x:c r="Z502" s="7" t="str">
        <x:v>회복|버프</x:v>
      </x:c>
    </x:row>
    <x:row r="503" ht="115" customHeight="1">
      <x:c r="A503" s="7" t="str">
        <x:v>SKILL_0497</x:v>
      </x:c>
      <x:c r="B503" s="7" t="str">
        <x:v>피해 분담 · 은신 · 속도 증가의 의식</x:v>
      </x:c>
      <x:c r="C503" s="7"/>
      <x:c r="D503" s="7" t="str">
        <x:v>자신</x:v>
      </x:c>
      <x:c r="E503" s="7" t="n">
        <x:v>0</x:v>
      </x:c>
      <x:c r="F503" s="7" t="n">
        <x:v>0</x:v>
      </x:c>
      <x:c r="G503" s="7" t="n">
        <x:v>0</x:v>
      </x:c>
      <x:c r="H503" s="7" t="n">
        <x:v>0</x:v>
      </x:c>
      <x:c r="I503" s="7" t="n">
        <x:v>0</x:v>
      </x:c>
      <x:c r="J503" s="7" t="n">
        <x:v>0</x:v>
      </x:c>
      <x:c r="K503" s="7" t="str">
        <x:v>DAMAGE_SHARING</x:v>
      </x:c>
      <x:c r="L503" s="7" t="n">
        <x:v>0.16</x:v>
      </x:c>
      <x:c r="M503" s="8" t="n">
        <x:v>0.8</x:v>
      </x:c>
      <x:c r="N503" s="7" t="str">
        <x:v>STEALTH</x:v>
      </x:c>
      <x:c r="O503" s="7" t="n">
        <x:v>1</x:v>
      </x:c>
      <x:c r="P503" s="8" t="n">
        <x:v>0.8</x:v>
      </x:c>
      <x:c r="Q503" s="7" t="str">
        <x:v>SPEED_UP</x:v>
      </x:c>
      <x:c r="R503" s="7" t="n">
        <x:v>0.16</x:v>
      </x:c>
      <x:c r="S503" s="8" t="n">
        <x:v>0.8</x:v>
      </x:c>
      <x:c r="T503" s="7"/>
      <x:c r="U503" s="7"/>
      <x:c r="V503" s="8"/>
      <x:c r="W503" s="7" t="n">
        <x:v>1</x:v>
      </x:c>
      <x:c r="X503" s="7" t="str">
        <x:v>대상: 자신. 80%확률로 피해 분담 16% 획득합니다. 80%확률로 은신 획득합니다. 80%확률로 속도 증가 16% 획득합니다.</x:v>
      </x:c>
      <x:c r="Y503" s="7" t="str">
        <x:v>Target: the caster. 80% chance to gain Damage Sharing 16%. 80% chance to gain Stealth. 80% chance to gain Speed Up 16%.</x:v>
      </x:c>
      <x:c r="Z503" s="7" t="str">
        <x:v>버프</x:v>
      </x:c>
    </x:row>
    <x:row r="504" ht="115" customHeight="1">
      <x:c r="A504" s="7" t="str">
        <x:v>SKILL_0498</x:v>
      </x:c>
      <x:c r="B504" s="7" t="str">
        <x:v>효과적중 증가 · 약화효과 해제의 의식</x:v>
      </x:c>
      <x:c r="C504" s="7"/>
      <x:c r="D504" s="7" t="str">
        <x:v>자신</x:v>
      </x:c>
      <x:c r="E504" s="7" t="n">
        <x:v>0</x:v>
      </x:c>
      <x:c r="F504" s="7" t="n">
        <x:v>0</x:v>
      </x:c>
      <x:c r="G504" s="7" t="n">
        <x:v>0</x:v>
      </x:c>
      <x:c r="H504" s="7" t="n">
        <x:v>0</x:v>
      </x:c>
      <x:c r="I504" s="7" t="n">
        <x:v>0</x:v>
      </x:c>
      <x:c r="J504" s="7" t="n">
        <x:v>0</x:v>
      </x:c>
      <x:c r="K504" s="7" t="str">
        <x:v>EFFECTIVENESS_UP</x:v>
      </x:c>
      <x:c r="L504" s="7" t="n">
        <x:v>0.25</x:v>
      </x:c>
      <x:c r="M504" s="8" t="n">
        <x:v>0.9</x:v>
      </x:c>
      <x:c r="N504" s="7" t="str">
        <x:v>CLEANSE_DEBUFF</x:v>
      </x:c>
      <x:c r="O504" s="7" t="n">
        <x:v>1</x:v>
      </x:c>
      <x:c r="P504" s="8" t="n">
        <x:v>0.9</x:v>
      </x:c>
      <x:c r="Q504" s="7"/>
      <x:c r="R504" s="7"/>
      <x:c r="S504" s="8"/>
      <x:c r="T504" s="7"/>
      <x:c r="U504" s="7"/>
      <x:c r="V504" s="8"/>
      <x:c r="W504" s="7" t="n">
        <x:v>1</x:v>
      </x:c>
      <x:c r="X504" s="7" t="str">
        <x:v>대상: 자신. 90%확률로 효과적중 증가 25% 획득합니다. 90%확률로 약화효과 해제 1개 획득합니다.</x:v>
      </x:c>
      <x:c r="Y504" s="7" t="str">
        <x:v>Target: the caster. 90% chance to gain Effectiveness Up 25%. 90% chance to gain Cleanse Debuff 1 count.</x:v>
      </x:c>
      <x:c r="Z504" s="7" t="str">
        <x:v>버프</x:v>
      </x:c>
    </x:row>
    <x:row r="505" ht="115" customHeight="1">
      <x:c r="A505" s="7" t="str">
        <x:v>SKILL_0499</x:v>
      </x:c>
      <x:c r="B505" s="7" t="str">
        <x:v>피해 분담 · 지속 회복 · 스킬 쿨타임 감소의 의식</x:v>
      </x:c>
      <x:c r="C505" s="7"/>
      <x:c r="D505" s="7" t="str">
        <x:v>자신</x:v>
      </x:c>
      <x:c r="E505" s="7" t="n">
        <x:v>0</x:v>
      </x:c>
      <x:c r="F505" s="7" t="n">
        <x:v>0</x:v>
      </x:c>
      <x:c r="G505" s="7" t="n">
        <x:v>0</x:v>
      </x:c>
      <x:c r="H505" s="7" t="n">
        <x:v>0</x:v>
      </x:c>
      <x:c r="I505" s="7" t="n">
        <x:v>0</x:v>
      </x:c>
      <x:c r="J505" s="7" t="n">
        <x:v>0</x:v>
      </x:c>
      <x:c r="K505" s="7" t="str">
        <x:v>DAMAGE_SHARING</x:v>
      </x:c>
      <x:c r="L505" s="7" t="n">
        <x:v>0.16</x:v>
      </x:c>
      <x:c r="M505" s="8" t="n">
        <x:v>0.8</x:v>
      </x:c>
      <x:c r="N505" s="7" t="str">
        <x:v>CONTINUOUS_HEAL</x:v>
      </x:c>
      <x:c r="O505" s="7" t="n">
        <x:v>0.056</x:v>
      </x:c>
      <x:c r="P505" s="8" t="n">
        <x:v>0.8</x:v>
      </x:c>
      <x:c r="Q505" s="7" t="str">
        <x:v>SKILL_COOLDOWN_DOWN</x:v>
      </x:c>
      <x:c r="R505" s="7" t="n">
        <x:v>1</x:v>
      </x:c>
      <x:c r="S505" s="8" t="n">
        <x:v>0.8</x:v>
      </x:c>
      <x:c r="T505" s="7"/>
      <x:c r="U505" s="7"/>
      <x:c r="V505" s="8"/>
      <x:c r="W505" s="7" t="n">
        <x:v>2</x:v>
      </x:c>
      <x:c r="X505" s="7" t="str">
        <x:v>대상: 자신. 80%확률로 피해 분담 16% 획득합니다. 80%확률로 지속 회복을 부여합니다(2턴, 대상의 턴 시작마다 대상 최대생명력의 5.6% 회복). 80%확률로 스킬 쿨타임 감소 1턴 획득합니다.</x:v>
      </x:c>
      <x:c r="Y505" s="7" t="str">
        <x:v>Target: the caster. 80% chance to gain Damage Sharing 16%. 80% chance to grant Continuous Heal for 2 turns, restoring 5.6% of the recipient's max Health at each turn start. 80% chance to gain Skill Cooldown Reduction 1 turn.</x:v>
      </x:c>
      <x:c r="Z505" s="7" t="str">
        <x:v>회복|버프</x:v>
      </x:c>
    </x:row>
    <x:row r="506" ht="115" customHeight="1">
      <x:c r="A506" s="7" t="str">
        <x:v>SKILL_0500</x:v>
      </x:c>
      <x:c r="B506" s="7" t="str">
        <x:v>생명력 회복 · 공격력 증가(대) · 은신의 의식</x:v>
      </x:c>
      <x:c r="C506" s="7"/>
      <x:c r="D506" s="7" t="str">
        <x:v>아군과 자신</x:v>
      </x:c>
      <x:c r="E506" s="7" t="n">
        <x:v>0</x:v>
      </x:c>
      <x:c r="F506" s="7" t="n">
        <x:v>0</x:v>
      </x:c>
      <x:c r="G506" s="7" t="n">
        <x:v>0</x:v>
      </x:c>
      <x:c r="H506" s="7" t="n">
        <x:v>0</x:v>
      </x:c>
      <x:c r="I506" s="7" t="n">
        <x:v>0.25</x:v>
      </x:c>
      <x:c r="J506" s="7" t="n">
        <x:v>0</x:v>
      </x:c>
      <x:c r="K506" s="7" t="str">
        <x:v>HEAL</x:v>
      </x:c>
      <x:c r="L506" s="7" t="n">
        <x:v>1</x:v>
      </x:c>
      <x:c r="M506" s="8" t="n">
        <x:v>1</x:v>
      </x:c>
      <x:c r="N506" s="7" t="str">
        <x:v>ATTACK_UP_GREATER</x:v>
      </x:c>
      <x:c r="O506" s="7" t="n">
        <x:v>0.4</x:v>
      </x:c>
      <x:c r="P506" s="8" t="n">
        <x:v>0.8</x:v>
      </x:c>
      <x:c r="Q506" s="7" t="str">
        <x:v>STEALTH</x:v>
      </x:c>
      <x:c r="R506" s="7" t="n">
        <x:v>1</x:v>
      </x:c>
      <x:c r="S506" s="8" t="n">
        <x:v>0.8</x:v>
      </x:c>
      <x:c r="T506" s="7"/>
      <x:c r="U506" s="7"/>
      <x:c r="V506" s="8"/>
      <x:c r="W506" s="7" t="n">
        <x:v>3</x:v>
      </x:c>
      <x:c r="X506" s="7" t="str">
        <x:v>대상: 아군과 자신. 아군과 자신을 시전자의 공격력의 0.25배만큼 회복시킵니다. 80%확률로 공격력 증가(대) 40% 적용합니다. 80%확률로 은신 적용합니다.</x:v>
      </x:c>
      <x:c r="Y506" s="7" t="str">
        <x:v>Target: one ally and the caster. Heals one ally and the caster for 0.25 × caster Attack. 80% chance to apply Greater Attack Up 40%. 80% chance to apply Stealth.</x:v>
      </x:c>
      <x:c r="Z506" s="7" t="str">
        <x:v>회복|버프</x:v>
      </x:c>
    </x:row>
  </x:sheetData>
  <x:mergeCells>
    <x:mergeCell ref="A1:Z1"/>
    <x:mergeCell ref="A2:Z2"/>
    <x:mergeCell ref="A3:Z3"/>
    <x:mergeCell ref="A4:Z4"/>
  </x:mergeCells>
  <x:conditionalFormatting sqref="I7:J506">
    <x:cfRule type="expression" dxfId="0" priority="1">
      <x:formula>AND($I7&gt;0,$J7&gt;0)</x:formula>
    </x:cfRule>
  </x:conditionalFormatting>
  <x:pageMargins left="0.7" right="0.7" top="0.75" bottom="0.75" header="0.3" footer="0.3"/>
  <x:tableParts count="1">
    <x:tablePart xmlns:r="http://schemas.openxmlformats.org/officeDocument/2006/relationships" r:id="R38b628be237d4cb5"/>
  </x:tableParts>
</x:worksheet>
</file>

<file path=xl/worksheets/sheet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70" hidden="0" customWidth="1"/>
    <x:col min="10" max="10" width="70" hidden="0" customWidth="1"/>
  </x:cols>
  <x:sheetData>
    <x:row r="1" ht="40" customHeight="1">
      <x:c r="A1" s="3" t="str">
        <x:v>효과 규칙 55종</x:v>
      </x:c>
      <x:c r="B1" s="3"/>
      <x:c r="C1" s="3"/>
      <x:c r="D1" s="3"/>
      <x:c r="E1" s="3"/>
      <x:c r="F1" s="3"/>
      <x:c r="G1" s="3"/>
      <x:c r="H1" s="3"/>
      <x:c r="I1" s="3"/>
      <x:c r="J1" s="3"/>
    </x:row>
    <x:row r="2" ht="30" customHeight="1">
      <x:c r="A2" s="1" t="str">
        <x:v>설명의 수치는 기본값 예시입니다. 스킬별 효과값이 우선하며 비율은 선형 치환합니다. 지속시간은 코드별 고정입니다.</x:v>
      </x:c>
      <x:c r="B2" s="1"/>
      <x:c r="C2" s="1"/>
      <x:c r="D2" s="1"/>
      <x:c r="E2" s="1"/>
      <x:c r="F2" s="1"/>
      <x:c r="G2" s="1"/>
      <x:c r="H2" s="1"/>
      <x:c r="I2" s="1"/>
      <x:c r="J2" s="1"/>
    </x:row>
    <x:row r="3" ht="30" customHeight="1">
      <x:c r="A3" s="1"/>
      <x:c r="B3" s="1"/>
      <x:c r="C3" s="1"/>
      <x:c r="D3" s="1"/>
      <x:c r="E3" s="1"/>
      <x:c r="F3" s="1"/>
      <x:c r="G3" s="1"/>
      <x:c r="H3" s="1"/>
      <x:c r="I3" s="1"/>
      <x:c r="J3" s="1"/>
    </x:row>
    <x:row r="4" ht="30" customHeight="1">
      <x:c r="A4" s="1"/>
      <x:c r="B4" s="1"/>
      <x:c r="C4" s="1"/>
      <x:c r="D4" s="1"/>
      <x:c r="E4" s="1"/>
      <x:c r="F4" s="1"/>
      <x:c r="G4" s="1"/>
      <x:c r="H4" s="1"/>
      <x:c r="I4" s="1"/>
      <x:c r="J4" s="1"/>
    </x:row>
    <x:row r="5" ht="30" customHeight="1">
      <x:c r="A5" s="1"/>
      <x:c r="B5" s="1"/>
      <x:c r="C5" s="1"/>
      <x:c r="D5" s="1"/>
      <x:c r="E5" s="1"/>
      <x:c r="F5" s="1"/>
      <x:c r="G5" s="1"/>
      <x:c r="H5" s="1"/>
      <x:c r="I5" s="1"/>
      <x:c r="J5" s="1"/>
    </x:row>
    <x:row r="6" ht="48" customHeight="1">
      <x:c r="A6" s="6" t="str">
        <x:v>효과코드</x:v>
      </x:c>
      <x:c r="B6" s="6" t="str">
        <x:v>효과명</x:v>
      </x:c>
      <x:c r="C6" s="6" t="str">
        <x:v>영문명</x:v>
      </x:c>
      <x:c r="D6" s="6" t="str">
        <x:v>기본값</x:v>
      </x:c>
      <x:c r="E6" s="6" t="str">
        <x:v>값 단위</x:v>
      </x:c>
      <x:c r="F6" s="6" t="str">
        <x:v>지속 턴</x:v>
      </x:c>
      <x:c r="G6" s="6" t="str">
        <x:v>실제 적용 대상</x:v>
      </x:c>
      <x:c r="H6" s="6" t="str">
        <x:v>기준 비용</x:v>
      </x:c>
      <x:c r="I6" s="6" t="str">
        <x:v>처리 규칙 한글</x:v>
      </x:c>
      <x:c r="J6" s="6" t="str">
        <x:v>처리 규칙 영어</x:v>
      </x:c>
    </x:row>
    <x:row r="7" ht="85" customHeight="1">
      <x:c r="A7" s="7" t="str">
        <x:v>ATTACK_UP</x:v>
      </x:c>
      <x:c r="B7" s="7" t="str">
        <x:v>공격력 증가</x:v>
      </x:c>
      <x:c r="C7" s="7" t="str">
        <x:v>Attack Up</x:v>
      </x:c>
      <x:c r="D7" s="7" t="n">
        <x:v>0.3</x:v>
      </x:c>
      <x:c r="E7" s="7" t="str">
        <x:v>비율</x:v>
      </x:c>
      <x:c r="F7" s="7" t="n">
        <x:v>2</x:v>
      </x:c>
      <x:c r="G7" s="7" t="str">
        <x:v>대상</x:v>
      </x:c>
      <x:c r="H7" s="7" t="n">
        <x:v>0.55</x:v>
      </x:c>
      <x:c r="I7" s="7" t="str">
        <x:v>공격력 30% 증가</x:v>
      </x:c>
      <x:c r="J7" s="7" t="str">
        <x:v>Attack +30%</x:v>
      </x:c>
    </x:row>
    <x:row r="8" ht="85" customHeight="1">
      <x:c r="A8" s="7" t="str">
        <x:v>ATTACK_UP_GREATER</x:v>
      </x:c>
      <x:c r="B8" s="7" t="str">
        <x:v>공격력 증가(대)</x:v>
      </x:c>
      <x:c r="C8" s="7" t="str">
        <x:v>Greater Attack Up</x:v>
      </x:c>
      <x:c r="D8" s="7" t="n">
        <x:v>0.5</x:v>
      </x:c>
      <x:c r="E8" s="7" t="str">
        <x:v>비율</x:v>
      </x:c>
      <x:c r="F8" s="7" t="n">
        <x:v>2</x:v>
      </x:c>
      <x:c r="G8" s="7" t="str">
        <x:v>대상</x:v>
      </x:c>
      <x:c r="H8" s="7" t="n">
        <x:v>0.95</x:v>
      </x:c>
      <x:c r="I8" s="7" t="str">
        <x:v>공격력 50% 증가</x:v>
      </x:c>
      <x:c r="J8" s="7" t="str">
        <x:v>Attack +50%</x:v>
      </x:c>
    </x:row>
    <x:row r="9" ht="85" customHeight="1">
      <x:c r="A9" s="7" t="str">
        <x:v>DEFENSE_UP</x:v>
      </x:c>
      <x:c r="B9" s="7" t="str">
        <x:v>방어력 증가</x:v>
      </x:c>
      <x:c r="C9" s="7" t="str">
        <x:v>Defense Up</x:v>
      </x:c>
      <x:c r="D9" s="7" t="n">
        <x:v>0.35</x:v>
      </x:c>
      <x:c r="E9" s="7" t="str">
        <x:v>비율</x:v>
      </x:c>
      <x:c r="F9" s="7" t="n">
        <x:v>2</x:v>
      </x:c>
      <x:c r="G9" s="7" t="str">
        <x:v>대상</x:v>
      </x:c>
      <x:c r="H9" s="7" t="n">
        <x:v>0.55</x:v>
      </x:c>
      <x:c r="I9" s="7" t="str">
        <x:v>방어력 35% 증가</x:v>
      </x:c>
      <x:c r="J9" s="7" t="str">
        <x:v>Defense +35%</x:v>
      </x:c>
    </x:row>
    <x:row r="10" ht="85" customHeight="1">
      <x:c r="A10" s="7" t="str">
        <x:v>SPEED_UP</x:v>
      </x:c>
      <x:c r="B10" s="7" t="str">
        <x:v>속도 증가</x:v>
      </x:c>
      <x:c r="C10" s="7" t="str">
        <x:v>Speed Up</x:v>
      </x:c>
      <x:c r="D10" s="7" t="n">
        <x:v>0.2</x:v>
      </x:c>
      <x:c r="E10" s="7" t="str">
        <x:v>비율</x:v>
      </x:c>
      <x:c r="F10" s="7" t="n">
        <x:v>2</x:v>
      </x:c>
      <x:c r="G10" s="7" t="str">
        <x:v>대상</x:v>
      </x:c>
      <x:c r="H10" s="7" t="n">
        <x:v>0.65</x:v>
      </x:c>
      <x:c r="I10" s="7" t="str">
        <x:v>속도 20% 증가</x:v>
      </x:c>
      <x:c r="J10" s="7" t="str">
        <x:v>Speed +20%</x:v>
      </x:c>
    </x:row>
    <x:row r="11" ht="85" customHeight="1">
      <x:c r="A11" s="7" t="str">
        <x:v>CRITICAL_CHANCE_UP</x:v>
      </x:c>
      <x:c r="B11" s="7" t="str">
        <x:v>치명확률 증가</x:v>
      </x:c>
      <x:c r="C11" s="7" t="str">
        <x:v>Critical Hit Chance Up</x:v>
      </x:c>
      <x:c r="D11" s="7" t="n">
        <x:v>0.2</x:v>
      </x:c>
      <x:c r="E11" s="7" t="str">
        <x:v>비율</x:v>
      </x:c>
      <x:c r="F11" s="7" t="n">
        <x:v>2</x:v>
      </x:c>
      <x:c r="G11" s="7" t="str">
        <x:v>대상</x:v>
      </x:c>
      <x:c r="H11" s="7" t="n">
        <x:v>0.5</x:v>
      </x:c>
      <x:c r="I11" s="7" t="str">
        <x:v>치명확률 20%p 증가</x:v>
      </x:c>
      <x:c r="J11" s="7" t="str">
        <x:v>Critical Hit Chance +20 percentage points</x:v>
      </x:c>
    </x:row>
    <x:row r="12" ht="85" customHeight="1">
      <x:c r="A12" s="7" t="str">
        <x:v>CRITICAL_DAMAGE_UP</x:v>
      </x:c>
      <x:c r="B12" s="7" t="str">
        <x:v>치명피해 증가</x:v>
      </x:c>
      <x:c r="C12" s="7" t="str">
        <x:v>Critical Hit Damage Up</x:v>
      </x:c>
      <x:c r="D12" s="7" t="n">
        <x:v>0.3</x:v>
      </x:c>
      <x:c r="E12" s="7" t="str">
        <x:v>비율</x:v>
      </x:c>
      <x:c r="F12" s="7" t="n">
        <x:v>2</x:v>
      </x:c>
      <x:c r="G12" s="7" t="str">
        <x:v>대상</x:v>
      </x:c>
      <x:c r="H12" s="7" t="n">
        <x:v>0.5</x:v>
      </x:c>
      <x:c r="I12" s="7" t="str">
        <x:v>치명피해 배율 0.3 증가</x:v>
      </x:c>
      <x:c r="J12" s="7" t="str">
        <x:v>Critical Hit Damage multiplier +0.3</x:v>
      </x:c>
    </x:row>
    <x:row r="13" ht="85" customHeight="1">
      <x:c r="A13" s="7" t="str">
        <x:v>EFFECTIVENESS_UP</x:v>
      </x:c>
      <x:c r="B13" s="7" t="str">
        <x:v>효과적중 증가</x:v>
      </x:c>
      <x:c r="C13" s="7" t="str">
        <x:v>Effectiveness Up</x:v>
      </x:c>
      <x:c r="D13" s="7" t="n">
        <x:v>0.25</x:v>
      </x:c>
      <x:c r="E13" s="7" t="str">
        <x:v>비율</x:v>
      </x:c>
      <x:c r="F13" s="7" t="n">
        <x:v>2</x:v>
      </x:c>
      <x:c r="G13" s="7" t="str">
        <x:v>대상</x:v>
      </x:c>
      <x:c r="H13" s="7" t="n">
        <x:v>0.45</x:v>
      </x:c>
      <x:c r="I13" s="7" t="str">
        <x:v>효과적중 25%p 증가</x:v>
      </x:c>
      <x:c r="J13" s="7" t="str">
        <x:v>Effectiveness +25 percentage points</x:v>
      </x:c>
    </x:row>
    <x:row r="14" ht="85" customHeight="1">
      <x:c r="A14" s="7" t="str">
        <x:v>EFFECT_RESISTANCE_UP</x:v>
      </x:c>
      <x:c r="B14" s="7" t="str">
        <x:v>효과저항 증가</x:v>
      </x:c>
      <x:c r="C14" s="7" t="str">
        <x:v>Effect Resistance Up</x:v>
      </x:c>
      <x:c r="D14" s="7" t="n">
        <x:v>0.25</x:v>
      </x:c>
      <x:c r="E14" s="7" t="str">
        <x:v>비율</x:v>
      </x:c>
      <x:c r="F14" s="7" t="n">
        <x:v>2</x:v>
      </x:c>
      <x:c r="G14" s="7" t="str">
        <x:v>대상</x:v>
      </x:c>
      <x:c r="H14" s="7" t="n">
        <x:v>0.45</x:v>
      </x:c>
      <x:c r="I14" s="7" t="str">
        <x:v>효과저항 25%p 증가</x:v>
      </x:c>
      <x:c r="J14" s="7" t="str">
        <x:v>Effect Resistance +25 percentage points</x:v>
      </x:c>
    </x:row>
    <x:row r="15" ht="85" customHeight="1">
      <x:c r="A15" s="7" t="str">
        <x:v>EVASION_UP</x:v>
      </x:c>
      <x:c r="B15" s="7" t="str">
        <x:v>회피 증가</x:v>
      </x:c>
      <x:c r="C15" s="7" t="str">
        <x:v>Evasion Up</x:v>
      </x:c>
      <x:c r="D15" s="7" t="n">
        <x:v>0.2</x:v>
      </x:c>
      <x:c r="E15" s="7" t="str">
        <x:v>비율</x:v>
      </x:c>
      <x:c r="F15" s="7" t="n">
        <x:v>2</x:v>
      </x:c>
      <x:c r="G15" s="7" t="str">
        <x:v>대상</x:v>
      </x:c>
      <x:c r="H15" s="7" t="n">
        <x:v>0.75</x:v>
      </x:c>
      <x:c r="I15" s="7" t="str">
        <x:v>회피확률 20%p 증가</x:v>
      </x:c>
      <x:c r="J15" s="7" t="str">
        <x:v>Evasion +20 percentage points</x:v>
      </x:c>
    </x:row>
    <x:row r="16" ht="85" customHeight="1">
      <x:c r="A16" s="7" t="str">
        <x:v>CRITICAL_RESISTANCE_UP</x:v>
      </x:c>
      <x:c r="B16" s="7" t="str">
        <x:v>치명저항 증가</x:v>
      </x:c>
      <x:c r="C16" s="7" t="str">
        <x:v>Critical Hit Resistance Up</x:v>
      </x:c>
      <x:c r="D16" s="7" t="n">
        <x:v>0.25</x:v>
      </x:c>
      <x:c r="E16" s="7" t="str">
        <x:v>비율</x:v>
      </x:c>
      <x:c r="F16" s="7" t="n">
        <x:v>2</x:v>
      </x:c>
      <x:c r="G16" s="7" t="str">
        <x:v>대상</x:v>
      </x:c>
      <x:c r="H16" s="7" t="n">
        <x:v>0.6</x:v>
      </x:c>
      <x:c r="I16" s="7" t="str">
        <x:v>치명저항 25%p 증가</x:v>
      </x:c>
      <x:c r="J16" s="7" t="str">
        <x:v>Critical Hit Resistance +25 percentage points</x:v>
      </x:c>
    </x:row>
    <x:row r="17" ht="85" customHeight="1">
      <x:c r="A17" s="7" t="str">
        <x:v>HIT_CHANCE_UP</x:v>
      </x:c>
      <x:c r="B17" s="7" t="str">
        <x:v>명중 증가</x:v>
      </x:c>
      <x:c r="C17" s="7" t="str">
        <x:v>Hit Chance Up</x:v>
      </x:c>
      <x:c r="D17" s="7" t="n">
        <x:v>0.2</x:v>
      </x:c>
      <x:c r="E17" s="7" t="str">
        <x:v>비율</x:v>
      </x:c>
      <x:c r="F17" s="7" t="n">
        <x:v>2</x:v>
      </x:c>
      <x:c r="G17" s="7" t="str">
        <x:v>대상</x:v>
      </x:c>
      <x:c r="H17" s="7" t="n">
        <x:v>0.4</x:v>
      </x:c>
      <x:c r="I17" s="7" t="str">
        <x:v>명중확률 20%p 증가</x:v>
      </x:c>
      <x:c r="J17" s="7" t="str">
        <x:v>Hit Chance +20 percentage points</x:v>
      </x:c>
    </x:row>
    <x:row r="18" ht="85" customHeight="1">
      <x:c r="A18" s="7" t="str">
        <x:v>ATTACK_DOWN</x:v>
      </x:c>
      <x:c r="B18" s="7" t="str">
        <x:v>공격력 감소</x:v>
      </x:c>
      <x:c r="C18" s="7" t="str">
        <x:v>Attack Down</x:v>
      </x:c>
      <x:c r="D18" s="7" t="n">
        <x:v>0.25</x:v>
      </x:c>
      <x:c r="E18" s="7" t="str">
        <x:v>비율</x:v>
      </x:c>
      <x:c r="F18" s="7" t="n">
        <x:v>2</x:v>
      </x:c>
      <x:c r="G18" s="7" t="str">
        <x:v>대상</x:v>
      </x:c>
      <x:c r="H18" s="7" t="n">
        <x:v>0.55</x:v>
      </x:c>
      <x:c r="I18" s="7" t="str">
        <x:v>공격력 25% 감소</x:v>
      </x:c>
      <x:c r="J18" s="7" t="str">
        <x:v>Attack -25%</x:v>
      </x:c>
    </x:row>
    <x:row r="19" ht="85" customHeight="1">
      <x:c r="A19" s="7" t="str">
        <x:v>DEFENSE_DOWN</x:v>
      </x:c>
      <x:c r="B19" s="7" t="str">
        <x:v>방어력 감소</x:v>
      </x:c>
      <x:c r="C19" s="7" t="str">
        <x:v>Defense Down</x:v>
      </x:c>
      <x:c r="D19" s="7" t="n">
        <x:v>0.3</x:v>
      </x:c>
      <x:c r="E19" s="7" t="str">
        <x:v>비율</x:v>
      </x:c>
      <x:c r="F19" s="7" t="n">
        <x:v>2</x:v>
      </x:c>
      <x:c r="G19" s="7" t="str">
        <x:v>대상</x:v>
      </x:c>
      <x:c r="H19" s="7" t="n">
        <x:v>0.85</x:v>
      </x:c>
      <x:c r="I19" s="7" t="str">
        <x:v>방어력 30% 감소</x:v>
      </x:c>
      <x:c r="J19" s="7" t="str">
        <x:v>Defense -30%</x:v>
      </x:c>
    </x:row>
    <x:row r="20" ht="85" customHeight="1">
      <x:c r="A20" s="7" t="str">
        <x:v>SPEED_DOWN</x:v>
      </x:c>
      <x:c r="B20" s="7" t="str">
        <x:v>속도 감소</x:v>
      </x:c>
      <x:c r="C20" s="7" t="str">
        <x:v>Speed Down</x:v>
      </x:c>
      <x:c r="D20" s="7" t="n">
        <x:v>0.2</x:v>
      </x:c>
      <x:c r="E20" s="7" t="str">
        <x:v>비율</x:v>
      </x:c>
      <x:c r="F20" s="7" t="n">
        <x:v>2</x:v>
      </x:c>
      <x:c r="G20" s="7" t="str">
        <x:v>대상</x:v>
      </x:c>
      <x:c r="H20" s="7" t="n">
        <x:v>0.65</x:v>
      </x:c>
      <x:c r="I20" s="7" t="str">
        <x:v>속도 20% 감소</x:v>
      </x:c>
      <x:c r="J20" s="7" t="str">
        <x:v>Speed -20%</x:v>
      </x:c>
    </x:row>
    <x:row r="21" ht="85" customHeight="1">
      <x:c r="A21" s="7" t="str">
        <x:v>HIT_CHANCE_DOWN</x:v>
      </x:c>
      <x:c r="B21" s="7" t="str">
        <x:v>명중 감소</x:v>
      </x:c>
      <x:c r="C21" s="7" t="str">
        <x:v>Hit Chance Down</x:v>
      </x:c>
      <x:c r="D21" s="7" t="n">
        <x:v>0.2</x:v>
      </x:c>
      <x:c r="E21" s="7" t="str">
        <x:v>비율</x:v>
      </x:c>
      <x:c r="F21" s="7" t="n">
        <x:v>2</x:v>
      </x:c>
      <x:c r="G21" s="7" t="str">
        <x:v>대상</x:v>
      </x:c>
      <x:c r="H21" s="7" t="n">
        <x:v>0.7</x:v>
      </x:c>
      <x:c r="I21" s="7" t="str">
        <x:v>명중확률 20%p 감소</x:v>
      </x:c>
      <x:c r="J21" s="7" t="str">
        <x:v>Hit Chance -20 percentage points</x:v>
      </x:c>
    </x:row>
    <x:row r="22" ht="85" customHeight="1">
      <x:c r="A22" s="7" t="str">
        <x:v>STUN</x:v>
      </x:c>
      <x:c r="B22" s="7" t="str">
        <x:v>기절 — 스턴</x:v>
      </x:c>
      <x:c r="C22" s="7" t="str">
        <x:v>Stun</x:v>
      </x:c>
      <x:c r="D22" s="7" t="n">
        <x:v>1</x:v>
      </x:c>
      <x:c r="E22" s="7" t="str">
        <x:v>활성 플래그</x:v>
      </x:c>
      <x:c r="F22" s="7" t="n">
        <x:v>1</x:v>
      </x:c>
      <x:c r="G22" s="7" t="str">
        <x:v>대상</x:v>
      </x:c>
      <x:c r="H22" s="7" t="n">
        <x:v>1.8</x:v>
      </x:c>
      <x:c r="I22" s="7" t="str">
        <x:v>행동 불가</x:v>
      </x:c>
      <x:c r="J22" s="7" t="str">
        <x:v>Cannot act</x:v>
      </x:c>
    </x:row>
    <x:row r="23" ht="85" customHeight="1">
      <x:c r="A23" s="7" t="str">
        <x:v>SLEEP</x:v>
      </x:c>
      <x:c r="B23" s="7" t="str">
        <x:v>수면</x:v>
      </x:c>
      <x:c r="C23" s="7" t="str">
        <x:v>Sleep</x:v>
      </x:c>
      <x:c r="D23" s="7" t="n">
        <x:v>1</x:v>
      </x:c>
      <x:c r="E23" s="7" t="str">
        <x:v>활성 플래그</x:v>
      </x:c>
      <x:c r="F23" s="7" t="n">
        <x:v>1</x:v>
      </x:c>
      <x:c r="G23" s="7" t="str">
        <x:v>대상</x:v>
      </x:c>
      <x:c r="H23" s="7" t="n">
        <x:v>1.3</x:v>
      </x:c>
      <x:c r="I23" s="7" t="str">
        <x:v>행동 불가; 다음 공격 피해를 받으면 해제</x:v>
      </x:c>
      <x:c r="J23" s="7" t="str">
        <x:v>Cannot act; removed by subsequent attack damage</x:v>
      </x:c>
    </x:row>
    <x:row r="24" ht="85" customHeight="1">
      <x:c r="A24" s="7" t="str">
        <x:v>PROVOKE</x:v>
      </x:c>
      <x:c r="B24" s="7" t="str">
        <x:v>도발</x:v>
      </x:c>
      <x:c r="C24" s="7" t="str">
        <x:v>Provoke</x:v>
      </x:c>
      <x:c r="D24" s="7" t="n">
        <x:v>1</x:v>
      </x:c>
      <x:c r="E24" s="7" t="str">
        <x:v>활성 플래그</x:v>
      </x:c>
      <x:c r="F24" s="7" t="n">
        <x:v>1</x:v>
      </x:c>
      <x:c r="G24" s="7" t="str">
        <x:v>대상</x:v>
      </x:c>
      <x:c r="H24" s="7" t="n">
        <x:v>1</x:v>
      </x:c>
      <x:c r="I24" s="7" t="str">
        <x:v>효과를 부여한 적에게 공격 강제</x:v>
      </x:c>
      <x:c r="J24" s="7" t="str">
        <x:v>Forced to attack the enemy who applied this effect</x:v>
      </x:c>
    </x:row>
    <x:row r="25" ht="85" customHeight="1">
      <x:c r="A25" s="7" t="str">
        <x:v>HEAL_BLOCK</x:v>
      </x:c>
      <x:c r="B25" s="7" t="str">
        <x:v>회복 불가</x:v>
      </x:c>
      <x:c r="C25" s="7" t="str">
        <x:v>Unhealable</x:v>
      </x:c>
      <x:c r="D25" s="7" t="n">
        <x:v>1</x:v>
      </x:c>
      <x:c r="E25" s="7" t="str">
        <x:v>활성 플래그</x:v>
      </x:c>
      <x:c r="F25" s="7" t="n">
        <x:v>2</x:v>
      </x:c>
      <x:c r="G25" s="7" t="str">
        <x:v>대상</x:v>
      </x:c>
      <x:c r="H25" s="7" t="n">
        <x:v>0.65</x:v>
      </x:c>
      <x:c r="I25" s="7" t="str">
        <x:v>생명력 회복 차단</x:v>
      </x:c>
      <x:c r="J25" s="7" t="str">
        <x:v>Cannot recover Health</x:v>
      </x:c>
    </x:row>
    <x:row r="26" ht="85" customHeight="1">
      <x:c r="A26" s="7" t="str">
        <x:v>BUFF_BLOCK</x:v>
      </x:c>
      <x:c r="B26" s="7" t="str">
        <x:v>강화 불가</x:v>
      </x:c>
      <x:c r="C26" s="7" t="str">
        <x:v>Unbuffable</x:v>
      </x:c>
      <x:c r="D26" s="7" t="n">
        <x:v>1</x:v>
      </x:c>
      <x:c r="E26" s="7" t="str">
        <x:v>활성 플래그</x:v>
      </x:c>
      <x:c r="F26" s="7" t="n">
        <x:v>2</x:v>
      </x:c>
      <x:c r="G26" s="7" t="str">
        <x:v>대상</x:v>
      </x:c>
      <x:c r="H26" s="7" t="n">
        <x:v>0.9</x:v>
      </x:c>
      <x:c r="I26" s="7" t="str">
        <x:v>새로운 강화효과 획득 차단</x:v>
      </x:c>
      <x:c r="J26" s="7" t="str">
        <x:v>Cannot receive new buffs</x:v>
      </x:c>
    </x:row>
    <x:row r="27" ht="85" customHeight="1">
      <x:c r="A27" s="7" t="str">
        <x:v>COUNTERATTACK_BLOCK</x:v>
      </x:c>
      <x:c r="B27" s="7" t="str">
        <x:v>반격 불가</x:v>
      </x:c>
      <x:c r="C27" s="7" t="str">
        <x:v>Counterattack Block</x:v>
      </x:c>
      <x:c r="D27" s="7" t="n">
        <x:v>1</x:v>
      </x:c>
      <x:c r="E27" s="7" t="str">
        <x:v>활성 플래그</x:v>
      </x:c>
      <x:c r="F27" s="7" t="n">
        <x:v>2</x:v>
      </x:c>
      <x:c r="G27" s="7" t="str">
        <x:v>대상</x:v>
      </x:c>
      <x:c r="H27" s="7" t="n">
        <x:v>0.65</x:v>
      </x:c>
      <x:c r="I27" s="7" t="str">
        <x:v>반격 차단</x:v>
      </x:c>
      <x:c r="J27" s="7" t="str">
        <x:v>Cannot counterattack</x:v>
      </x:c>
    </x:row>
    <x:row r="28" ht="85" customHeight="1">
      <x:c r="A28" s="7" t="str">
        <x:v>POISON</x:v>
      </x:c>
      <x:c r="B28" s="7" t="str">
        <x:v>중독</x:v>
      </x:c>
      <x:c r="C28" s="7" t="str">
        <x:v>Poison</x:v>
      </x:c>
      <x:c r="D28" s="7" t="n">
        <x:v>0.04</x:v>
      </x:c>
      <x:c r="E28" s="7" t="str">
        <x:v>대상 최대HP 비율</x:v>
      </x:c>
      <x:c r="F28" s="7" t="n">
        <x:v>2</x:v>
      </x:c>
      <x:c r="G28" s="7" t="str">
        <x:v>대상</x:v>
      </x:c>
      <x:c r="H28" s="7" t="n">
        <x:v>0.65</x:v>
      </x:c>
      <x:c r="I28" s="7" t="str">
        <x:v>턴 시작마다 대상 최대 생명력의 4% 피해</x:v>
      </x:c>
      <x:c r="J28" s="7" t="str">
        <x:v>At turn start, takes damage equal to 4% of own max Health</x:v>
      </x:c>
    </x:row>
    <x:row r="29" ht="85" customHeight="1">
      <x:c r="A29" s="7" t="str">
        <x:v>BLEED</x:v>
      </x:c>
      <x:c r="B29" s="7" t="str">
        <x:v>출혈</x:v>
      </x:c>
      <x:c r="C29" s="7" t="str">
        <x:v>Bleed</x:v>
      </x:c>
      <x:c r="D29" s="7" t="n">
        <x:v>0.2</x:v>
      </x:c>
      <x:c r="E29" s="7" t="str">
        <x:v>시전자 공격력 계수</x:v>
      </x:c>
      <x:c r="F29" s="7" t="n">
        <x:v>2</x:v>
      </x:c>
      <x:c r="G29" s="7" t="str">
        <x:v>대상</x:v>
      </x:c>
      <x:c r="H29" s="7" t="n">
        <x:v>0.5</x:v>
      </x:c>
      <x:c r="I29" s="7" t="str">
        <x:v>턴 시작마다 시전자 공격력의 20% 피해</x:v>
      </x:c>
      <x:c r="J29" s="7" t="str">
        <x:v>At turn start, takes damage equal to 20% of the caster's Attack</x:v>
      </x:c>
    </x:row>
    <x:row r="30" ht="85" customHeight="1">
      <x:c r="A30" s="7" t="str">
        <x:v>TARGET</x:v>
      </x:c>
      <x:c r="B30" s="7" t="str">
        <x:v>표적</x:v>
      </x:c>
      <x:c r="C30" s="7" t="str">
        <x:v>Target</x:v>
      </x:c>
      <x:c r="D30" s="7" t="n">
        <x:v>0.15</x:v>
      </x:c>
      <x:c r="E30" s="7" t="str">
        <x:v>비율</x:v>
      </x:c>
      <x:c r="F30" s="7" t="n">
        <x:v>2</x:v>
      </x:c>
      <x:c r="G30" s="7" t="str">
        <x:v>대상</x:v>
      </x:c>
      <x:c r="H30" s="7" t="n">
        <x:v>0.6</x:v>
      </x:c>
      <x:c r="I30" s="7" t="str">
        <x:v>받는 피해 15% 증가 및 회피확률 15%p 감소</x:v>
      </x:c>
      <x:c r="J30" s="7" t="str">
        <x:v>Damage taken +15%; Evasion -15 percentage points</x:v>
      </x:c>
    </x:row>
    <x:row r="31" ht="85" customHeight="1">
      <x:c r="A31" s="7" t="str">
        <x:v>CURSE</x:v>
      </x:c>
      <x:c r="B31" s="7" t="str">
        <x:v>저주</x:v>
      </x:c>
      <x:c r="C31" s="7" t="str">
        <x:v>Curse</x:v>
      </x:c>
      <x:c r="D31" s="7" t="n">
        <x:v>0.2</x:v>
      </x:c>
      <x:c r="E31" s="7" t="str">
        <x:v>연동 피해 비율</x:v>
      </x:c>
      <x:c r="F31" s="7" t="n">
        <x:v>2</x:v>
      </x:c>
      <x:c r="G31" s="7" t="str">
        <x:v>대상</x:v>
      </x:c>
      <x:c r="H31" s="7" t="n">
        <x:v>0.8</x:v>
      </x:c>
      <x:c r="I31" s="7" t="str">
        <x:v>다른 아군이 단일 공격으로 받은 직접 피해의 20%를 추가로 받음</x:v>
      </x:c>
      <x:c r="J31" s="7" t="str">
        <x:v>Takes extra damage equal to 20% of direct damage dealt to another ally by a single-target attack</x:v>
      </x:c>
    </x:row>
    <x:row r="32" ht="85" customHeight="1">
      <x:c r="A32" s="7" t="str">
        <x:v>INJURY</x:v>
      </x:c>
      <x:c r="B32" s="7" t="str">
        <x:v>상처</x:v>
      </x:c>
      <x:c r="C32" s="7" t="str">
        <x:v>Injury</x:v>
      </x:c>
      <x:c r="D32" s="7" t="n">
        <x:v>0.08</x:v>
      </x:c>
      <x:c r="E32" s="7" t="str">
        <x:v>대상 원래 최대HP 비율</x:v>
      </x:c>
      <x:c r="F32" s="7" t="n">
        <x:v>0</x:v>
      </x:c>
      <x:c r="G32" s="7" t="str">
        <x:v>대상</x:v>
      </x:c>
      <x:c r="H32" s="7" t="n">
        <x:v>0.8</x:v>
      </x:c>
      <x:c r="I32" s="7" t="str">
        <x:v>원래 최대 생명력의 8%만큼 최대 생명력 감소; 누적 상한 30%</x:v>
      </x:c>
      <x:c r="J32" s="7" t="str">
        <x:v>Reduces max Health by 8% of original max Health; cumulative cap 30%</x:v>
      </x:c>
    </x:row>
    <x:row r="33" ht="85" customHeight="1">
      <x:c r="A33" s="7" t="str">
        <x:v>ADDITIONAL_DAMAGE</x:v>
      </x:c>
      <x:c r="B33" s="7" t="str">
        <x:v>추가 피해</x:v>
      </x:c>
      <x:c r="C33" s="7" t="str">
        <x:v>Additional Damage</x:v>
      </x:c>
      <x:c r="D33" s="7" t="n">
        <x:v>0.25</x:v>
      </x:c>
      <x:c r="E33" s="7" t="str">
        <x:v>시전자 공격력 계수</x:v>
      </x:c>
      <x:c r="F33" s="7" t="n">
        <x:v>0</x:v>
      </x:c>
      <x:c r="G33" s="7" t="str">
        <x:v>대상</x:v>
      </x:c>
      <x:c r="H33" s="7" t="n">
        <x:v>0.3</x:v>
      </x:c>
      <x:c r="I33" s="7" t="str">
        <x:v>시전자 공격력의 25% 추가 피해</x:v>
      </x:c>
      <x:c r="J33" s="7" t="str">
        <x:v>Additional damage equal to 25% of the caster's Attack</x:v>
      </x:c>
    </x:row>
    <x:row r="34" ht="90" customHeight="1">
      <x:c r="A34" s="7" t="str">
        <x:v>HEAL</x:v>
      </x:c>
      <x:c r="B34" s="7" t="str">
        <x:v>생명력 회복</x:v>
      </x:c>
      <x:c r="C34" s="7" t="str">
        <x:v>Heal</x:v>
      </x:c>
      <x:c r="D34" s="7" t="n">
        <x:v>1</x:v>
      </x:c>
      <x:c r="E34" s="7" t="str">
        <x:v>주회복 실행 플래그</x:v>
      </x:c>
      <x:c r="F34" s="7" t="n">
        <x:v>0</x:v>
      </x:c>
      <x:c r="G34" s="7" t="str">
        <x:v>대상</x:v>
      </x:c>
      <x:c r="H34" s="7" t="n">
        <x:v>0</x:v>
      </x:c>
      <x:c r="I34" s="7" t="str">
        <x:v>공격력 또는 최대생명력 중 선택한 계수 1종으로 주회복 실행. 두 계수 동시 사용 및 별도 추가 회복 없음.</x:v>
      </x:c>
      <x:c r="J34" s="7" t="str">
        <x:v>Executes the main heal using exactly one positive coefficient: caster Attack or caster max Health. Never adds both or a second heal.</x:v>
      </x:c>
    </x:row>
    <x:row r="35" ht="85" customHeight="1">
      <x:c r="A35" s="7" t="str">
        <x:v>CONTINUOUS_HEAL</x:v>
      </x:c>
      <x:c r="B35" s="7" t="str">
        <x:v>지속 회복</x:v>
      </x:c>
      <x:c r="C35" s="7" t="str">
        <x:v>Continuous Heal</x:v>
      </x:c>
      <x:c r="D35" s="7" t="n">
        <x:v>0.07</x:v>
      </x:c>
      <x:c r="E35" s="7" t="str">
        <x:v>대상 최대HP 비율</x:v>
      </x:c>
      <x:c r="F35" s="7" t="n">
        <x:v>2</x:v>
      </x:c>
      <x:c r="G35" s="7" t="str">
        <x:v>대상</x:v>
      </x:c>
      <x:c r="H35" s="7" t="n">
        <x:v>0.55</x:v>
      </x:c>
      <x:c r="I35" s="7" t="str">
        <x:v>턴 시작마다 대상 최대 생명력의 7% 회복</x:v>
      </x:c>
      <x:c r="J35" s="7" t="str">
        <x:v>At turn start, restores 7% of own max Health</x:v>
      </x:c>
    </x:row>
    <x:row r="36" ht="85" customHeight="1">
      <x:c r="A36" s="7" t="str">
        <x:v>LIFESTEAL</x:v>
      </x:c>
      <x:c r="B36" s="7" t="str">
        <x:v>흡혈</x:v>
      </x:c>
      <x:c r="C36" s="7" t="str">
        <x:v>Lifesteal</x:v>
      </x:c>
      <x:c r="D36" s="7" t="n">
        <x:v>0.3</x:v>
      </x:c>
      <x:c r="E36" s="7" t="str">
        <x:v>직접 피해 비율</x:v>
      </x:c>
      <x:c r="F36" s="7" t="n">
        <x:v>0</x:v>
      </x:c>
      <x:c r="G36" s="7" t="str">
        <x:v>자신</x:v>
      </x:c>
      <x:c r="H36" s="7" t="n">
        <x:v>0.4</x:v>
      </x:c>
      <x:c r="I36" s="7" t="str">
        <x:v>이번 주공격이 실제로 준 직접 피해의 30%를 자신에게 회복</x:v>
      </x:c>
      <x:c r="J36" s="7" t="str">
        <x:v>Heals the caster for 30% of actual direct damage dealt by this main attack</x:v>
      </x:c>
    </x:row>
    <x:row r="37" ht="85" customHeight="1">
      <x:c r="A37" s="7" t="str">
        <x:v>BARRIER</x:v>
      </x:c>
      <x:c r="B37" s="7" t="str">
        <x:v>보호막</x:v>
      </x:c>
      <x:c r="C37" s="7" t="str">
        <x:v>Barrier</x:v>
      </x:c>
      <x:c r="D37" s="7" t="n">
        <x:v>0.15</x:v>
      </x:c>
      <x:c r="E37" s="7" t="str">
        <x:v>대상 최대HP 비율</x:v>
      </x:c>
      <x:c r="F37" s="7" t="n">
        <x:v>2</x:v>
      </x:c>
      <x:c r="G37" s="7" t="str">
        <x:v>대상</x:v>
      </x:c>
      <x:c r="H37" s="7" t="n">
        <x:v>0.55</x:v>
      </x:c>
      <x:c r="I37" s="7" t="str">
        <x:v>대상 최대 생명력의 15% 보호막</x:v>
      </x:c>
      <x:c r="J37" s="7" t="str">
        <x:v>Barrier equal to 15% of the recipient's max Health</x:v>
      </x:c>
    </x:row>
    <x:row r="38" ht="85" customHeight="1">
      <x:c r="A38" s="7" t="str">
        <x:v>INVINCIBILITY</x:v>
      </x:c>
      <x:c r="B38" s="7" t="str">
        <x:v>무적</x:v>
      </x:c>
      <x:c r="C38" s="7" t="str">
        <x:v>Invincibility</x:v>
      </x:c>
      <x:c r="D38" s="7" t="n">
        <x:v>1</x:v>
      </x:c>
      <x:c r="E38" s="7" t="str">
        <x:v>활성 플래그</x:v>
      </x:c>
      <x:c r="F38" s="7" t="n">
        <x:v>1</x:v>
      </x:c>
      <x:c r="G38" s="7" t="str">
        <x:v>대상</x:v>
      </x:c>
      <x:c r="H38" s="7" t="n">
        <x:v>2.2</x:v>
      </x:c>
      <x:c r="I38" s="7" t="str">
        <x:v>피해를 받지 않음</x:v>
      </x:c>
      <x:c r="J38" s="7" t="str">
        <x:v>Takes no damage</x:v>
      </x:c>
    </x:row>
    <x:row r="39" ht="85" customHeight="1">
      <x:c r="A39" s="7" t="str">
        <x:v>IMMORTALITY</x:v>
      </x:c>
      <x:c r="B39" s="7" t="str">
        <x:v>불사</x:v>
      </x:c>
      <x:c r="C39" s="7" t="str">
        <x:v>Immortality</x:v>
      </x:c>
      <x:c r="D39" s="7" t="n">
        <x:v>1</x:v>
      </x:c>
      <x:c r="E39" s="7" t="str">
        <x:v>활성 플래그</x:v>
      </x:c>
      <x:c r="F39" s="7" t="n">
        <x:v>1</x:v>
      </x:c>
      <x:c r="G39" s="7" t="str">
        <x:v>대상</x:v>
      </x:c>
      <x:c r="H39" s="7" t="n">
        <x:v>1.9</x:v>
      </x:c>
      <x:c r="I39" s="7" t="str">
        <x:v>사망하지 않으며 생명력 최소 1 유지</x:v>
      </x:c>
      <x:c r="J39" s="7" t="str">
        <x:v>Cannot die; Health cannot fall below 1</x:v>
      </x:c>
    </x:row>
    <x:row r="40" ht="85" customHeight="1">
      <x:c r="A40" s="7" t="str">
        <x:v>IMMUNITY</x:v>
      </x:c>
      <x:c r="B40" s="7" t="str">
        <x:v>면역</x:v>
      </x:c>
      <x:c r="C40" s="7" t="str">
        <x:v>Immunity</x:v>
      </x:c>
      <x:c r="D40" s="7" t="n">
        <x:v>1</x:v>
      </x:c>
      <x:c r="E40" s="7" t="str">
        <x:v>활성 플래그</x:v>
      </x:c>
      <x:c r="F40" s="7" t="n">
        <x:v>2</x:v>
      </x:c>
      <x:c r="G40" s="7" t="str">
        <x:v>대상</x:v>
      </x:c>
      <x:c r="H40" s="7" t="n">
        <x:v>0.95</x:v>
      </x:c>
      <x:c r="I40" s="7" t="str">
        <x:v>새 약화효과 방지; 기존 효과는 해제하지 않음</x:v>
      </x:c>
      <x:c r="J40" s="7" t="str">
        <x:v>Prevents new debuffs; does not remove existing ones</x:v>
      </x:c>
    </x:row>
    <x:row r="41" ht="85" customHeight="1">
      <x:c r="A41" s="7" t="str">
        <x:v>STEALTH</x:v>
      </x:c>
      <x:c r="B41" s="7" t="str">
        <x:v>은신</x:v>
      </x:c>
      <x:c r="C41" s="7" t="str">
        <x:v>Stealth</x:v>
      </x:c>
      <x:c r="D41" s="7" t="n">
        <x:v>1</x:v>
      </x:c>
      <x:c r="E41" s="7" t="str">
        <x:v>활성 플래그</x:v>
      </x:c>
      <x:c r="F41" s="7" t="n">
        <x:v>2</x:v>
      </x:c>
      <x:c r="G41" s="7" t="str">
        <x:v>대상</x:v>
      </x:c>
      <x:c r="H41" s="7" t="n">
        <x:v>0.8</x:v>
      </x:c>
      <x:c r="I41" s="7" t="str">
        <x:v>다른 아군이 있으면 직접 대상 지정 불가; 공격 피해를 받으면 해제</x:v>
      </x:c>
      <x:c r="J41" s="7" t="str">
        <x:v>Cannot be directly targeted while another ally remains; removed by attack damage</x:v>
      </x:c>
    </x:row>
    <x:row r="42" ht="85" customHeight="1">
      <x:c r="A42" s="7" t="str">
        <x:v>DAMAGE_REDUCTION</x:v>
      </x:c>
      <x:c r="B42" s="7" t="str">
        <x:v>피해 감소</x:v>
      </x:c>
      <x:c r="C42" s="7" t="str">
        <x:v>Damage Reduction</x:v>
      </x:c>
      <x:c r="D42" s="7" t="n">
        <x:v>0.2</x:v>
      </x:c>
      <x:c r="E42" s="7" t="str">
        <x:v>피해 감소 비율</x:v>
      </x:c>
      <x:c r="F42" s="7" t="n">
        <x:v>2</x:v>
      </x:c>
      <x:c r="G42" s="7" t="str">
        <x:v>대상</x:v>
      </x:c>
      <x:c r="H42" s="7" t="n">
        <x:v>0.7</x:v>
      </x:c>
      <x:c r="I42" s="7" t="str">
        <x:v>받는 피해 20% 감소</x:v>
      </x:c>
      <x:c r="J42" s="7" t="str">
        <x:v>Damage taken -20%</x:v>
      </x:c>
    </x:row>
    <x:row r="43" ht="85" customHeight="1">
      <x:c r="A43" s="7" t="str">
        <x:v>DAMAGE_SHARING</x:v>
      </x:c>
      <x:c r="B43" s="7" t="str">
        <x:v>피해 분담</x:v>
      </x:c>
      <x:c r="C43" s="7" t="str">
        <x:v>Damage Sharing</x:v>
      </x:c>
      <x:c r="D43" s="7" t="n">
        <x:v>0.2</x:v>
      </x:c>
      <x:c r="E43" s="7" t="str">
        <x:v>피해 분담 비율</x:v>
      </x:c>
      <x:c r="F43" s="7" t="n">
        <x:v>2</x:v>
      </x:c>
      <x:c r="G43" s="7" t="str">
        <x:v>자신</x:v>
      </x:c>
      <x:c r="H43" s="7" t="n">
        <x:v>0.8</x:v>
      </x:c>
      <x:c r="I43" s="7" t="str">
        <x:v>다른 아군이 받을 직접 피해의 20%를 자신이 대신 받음</x:v>
      </x:c>
      <x:c r="J43" s="7" t="str">
        <x:v>Caster takes 20% of direct damage that other allies would receive</x:v>
      </x:c>
    </x:row>
    <x:row r="44" ht="85" customHeight="1">
      <x:c r="A44" s="7" t="str">
        <x:v>DAMAGE_REFLECTION</x:v>
      </x:c>
      <x:c r="B44" s="7" t="str">
        <x:v>피해 반사</x:v>
      </x:c>
      <x:c r="C44" s="7" t="str">
        <x:v>Damage Reflection</x:v>
      </x:c>
      <x:c r="D44" s="7" t="n">
        <x:v>0.2</x:v>
      </x:c>
      <x:c r="E44" s="7" t="str">
        <x:v>반사 비율</x:v>
      </x:c>
      <x:c r="F44" s="7" t="n">
        <x:v>2</x:v>
      </x:c>
      <x:c r="G44" s="7" t="str">
        <x:v>대상</x:v>
      </x:c>
      <x:c r="H44" s="7" t="n">
        <x:v>0.6</x:v>
      </x:c>
      <x:c r="I44" s="7" t="str">
        <x:v>실제로 받은 직접 피해의 20%를 공격자에게 반사</x:v>
      </x:c>
      <x:c r="J44" s="7" t="str">
        <x:v>Reflects 20% of actual direct damage taken to the attacker</x:v>
      </x:c>
    </x:row>
    <x:row r="45" ht="85" customHeight="1">
      <x:c r="A45" s="7" t="str">
        <x:v>REVIVE</x:v>
      </x:c>
      <x:c r="B45" s="7" t="str">
        <x:v>부활</x:v>
      </x:c>
      <x:c r="C45" s="7" t="str">
        <x:v>Revive</x:v>
      </x:c>
      <x:c r="D45" s="7" t="n">
        <x:v>1</x:v>
      </x:c>
      <x:c r="E45" s="7" t="str">
        <x:v>부활 대상 최대HP 비율</x:v>
      </x:c>
      <x:c r="F45" s="7" t="n">
        <x:v>0</x:v>
      </x:c>
      <x:c r="G45" s="7" t="str">
        <x:v>사망 아군</x:v>
      </x:c>
      <x:c r="H45" s="7" t="n">
        <x:v>3.8</x:v>
      </x:c>
      <x:c r="I45" s="7" t="str">
        <x:v>사망한 아군 1명을 현재 최대생명력 100%로 부활시킵니다.</x:v>
      </x:c>
      <x:c r="J45" s="7" t="str">
        <x:v>Revives one dead ally with 100% of current max Health.</x:v>
      </x:c>
    </x:row>
    <x:row r="46" ht="85" customHeight="1">
      <x:c r="A46" s="7" t="str">
        <x:v>AUTO_REVIVE</x:v>
      </x:c>
      <x:c r="B46" s="7" t="str">
        <x:v>소생</x:v>
      </x:c>
      <x:c r="C46" s="7" t="str">
        <x:v>Auto Revive</x:v>
      </x:c>
      <x:c r="D46" s="7" t="n">
        <x:v>1</x:v>
      </x:c>
      <x:c r="E46" s="7" t="str">
        <x:v>부활 대상 최대HP 비율</x:v>
      </x:c>
      <x:c r="F46" s="7" t="n">
        <x:v>2</x:v>
      </x:c>
      <x:c r="G46" s="7" t="str">
        <x:v>대상</x:v>
      </x:c>
      <x:c r="H46" s="7" t="n">
        <x:v>3.4</x:v>
      </x:c>
      <x:c r="I46" s="7" t="str">
        <x:v>사망 시 현재 최대생명력 100%로 1회 부활합니다.</x:v>
      </x:c>
      <x:c r="J46" s="7" t="str">
        <x:v>Revives once upon death with 100% of current max Health.</x:v>
      </x:c>
    </x:row>
    <x:row r="47" ht="85" customHeight="1">
      <x:c r="A47" s="7" t="str">
        <x:v>EXTINCTION</x:v>
      </x:c>
      <x:c r="B47" s="7" t="str">
        <x:v>소멸</x:v>
      </x:c>
      <x:c r="C47" s="7" t="str">
        <x:v>Extinction</x:v>
      </x:c>
      <x:c r="D47" s="7" t="n">
        <x:v>1</x:v>
      </x:c>
      <x:c r="E47" s="7" t="str">
        <x:v>활성 플래그</x:v>
      </x:c>
      <x:c r="F47" s="7" t="n">
        <x:v>0</x:v>
      </x:c>
      <x:c r="G47" s="7" t="str">
        <x:v>대상</x:v>
      </x:c>
      <x:c r="H47" s="7" t="n">
        <x:v>1.1</x:v>
      </x:c>
      <x:c r="I47" s="7" t="str">
        <x:v>이번 주공격으로 직접 처치한 대상은 부활 불가</x:v>
      </x:c>
      <x:c r="J47" s="7" t="str">
        <x:v>Targets killed directly by this main attack cannot revive</x:v>
      </x:c>
    </x:row>
    <x:row r="48" ht="85" customHeight="1">
      <x:c r="A48" s="7" t="str">
        <x:v>REVIVE_BLOCK</x:v>
      </x:c>
      <x:c r="B48" s="7" t="str">
        <x:v>부활 불가</x:v>
      </x:c>
      <x:c r="C48" s="7" t="str">
        <x:v>Revive Block</x:v>
      </x:c>
      <x:c r="D48" s="7" t="n">
        <x:v>1</x:v>
      </x:c>
      <x:c r="E48" s="7" t="str">
        <x:v>활성 플래그</x:v>
      </x:c>
      <x:c r="F48" s="7" t="n">
        <x:v>2</x:v>
      </x:c>
      <x:c r="G48" s="7" t="str">
        <x:v>대상</x:v>
      </x:c>
      <x:c r="H48" s="7" t="n">
        <x:v>1</x:v>
      </x:c>
      <x:c r="I48" s="7" t="str">
        <x:v>지속 중 사망하면 부활 차단; 잔여 턴은 시전자 턴으로 계산</x:v>
      </x:c>
      <x:c r="J48" s="7" t="str">
        <x:v>Blocks revival if the target dies while active; remaining duration then follows caster turns</x:v>
      </x:c>
    </x:row>
    <x:row r="49" ht="85" customHeight="1">
      <x:c r="A49" s="7" t="str">
        <x:v>EXTRA_TURN</x:v>
      </x:c>
      <x:c r="B49" s="7" t="str">
        <x:v>추가 턴</x:v>
      </x:c>
      <x:c r="C49" s="7" t="str">
        <x:v>Extra Turn</x:v>
      </x:c>
      <x:c r="D49" s="7" t="n">
        <x:v>1</x:v>
      </x:c>
      <x:c r="E49" s="7" t="str">
        <x:v>추가 턴 수</x:v>
      </x:c>
      <x:c r="F49" s="7" t="n">
        <x:v>0</x:v>
      </x:c>
      <x:c r="G49" s="7" t="str">
        <x:v>자신</x:v>
      </x:c>
      <x:c r="H49" s="7" t="n">
        <x:v>2.6</x:v>
      </x:c>
      <x:c r="I49" s="7" t="str">
        <x:v>추가 턴 1회; 추가 턴에서는 추가 턴 획득 불가</x:v>
      </x:c>
      <x:c r="J49" s="7" t="str">
        <x:v>Grants 1 extra turn; extra turns cannot grant further extra turns</x:v>
      </x:c>
    </x:row>
    <x:row r="50" ht="85" customHeight="1">
      <x:c r="A50" s="7" t="str">
        <x:v>EXTRA_ATTACK</x:v>
      </x:c>
      <x:c r="B50" s="7" t="str">
        <x:v>추가 공격</x:v>
      </x:c>
      <x:c r="C50" s="7" t="str">
        <x:v>Extra Attack</x:v>
      </x:c>
      <x:c r="D50" s="7" t="n">
        <x:v>0.35</x:v>
      </x:c>
      <x:c r="E50" s="7" t="str">
        <x:v>시전자 공격력 계수</x:v>
      </x:c>
      <x:c r="F50" s="7" t="n">
        <x:v>0</x:v>
      </x:c>
      <x:c r="G50" s="7" t="str">
        <x:v>원래 공격 대상</x:v>
      </x:c>
      <x:c r="H50" s="7" t="n">
        <x:v>0.65</x:v>
      </x:c>
      <x:c r="I50" s="7" t="str">
        <x:v>같은 대상 범위에 공격력 35%의 추가 공격 1회; 효과 재발동 없음</x:v>
      </x:c>
      <x:c r="J50" s="7" t="str">
        <x:v>One extra attack at 35% Attack against the same target scope; does not retrigger effects</x:v>
      </x:c>
    </x:row>
    <x:row r="51" ht="85" customHeight="1">
      <x:c r="A51" s="7" t="str">
        <x:v>COUNTERATTACK</x:v>
      </x:c>
      <x:c r="B51" s="7" t="str">
        <x:v>반격</x:v>
      </x:c>
      <x:c r="C51" s="7" t="str">
        <x:v>Counterattack</x:v>
      </x:c>
      <x:c r="D51" s="7" t="n">
        <x:v>0.4</x:v>
      </x:c>
      <x:c r="E51" s="7" t="str">
        <x:v>시전자 공격력 계수</x:v>
      </x:c>
      <x:c r="F51" s="7" t="n">
        <x:v>1</x:v>
      </x:c>
      <x:c r="G51" s="7" t="str">
        <x:v>대상</x:v>
      </x:c>
      <x:c r="H51" s="7" t="n">
        <x:v>0.85</x:v>
      </x:c>
      <x:c r="I51" s="7" t="str">
        <x:v>직접 공격을 받으면 공격력 40%로 반격; 자연 턴 간 최대 1회</x:v>
      </x:c>
      <x:c r="J51" s="7" t="str">
        <x:v>Counters direct attacks at 40% Attack, at most once between natural turns</x:v>
      </x:c>
    </x:row>
    <x:row r="52" ht="85" customHeight="1">
      <x:c r="A52" s="7" t="str">
        <x:v>SKILL_COOLDOWN_DOWN</x:v>
      </x:c>
      <x:c r="B52" s="7" t="str">
        <x:v>스킬 쿨타임 감소</x:v>
      </x:c>
      <x:c r="C52" s="7" t="str">
        <x:v>Skill Cooldown Reduction</x:v>
      </x:c>
      <x:c r="D52" s="7" t="n">
        <x:v>1</x:v>
      </x:c>
      <x:c r="E52" s="7" t="str">
        <x:v>턴 수</x:v>
      </x:c>
      <x:c r="F52" s="7" t="n">
        <x:v>0</x:v>
      </x:c>
      <x:c r="G52" s="7" t="str">
        <x:v>대상</x:v>
      </x:c>
      <x:c r="H52" s="7" t="n">
        <x:v>1.3</x:v>
      </x:c>
      <x:c r="I52" s="7" t="str">
        <x:v>다른 스킬의 남은 쿨타임 1턴 감소; 이 스킬과 시간조작 스킬 제외</x:v>
      </x:c>
      <x:c r="J52" s="7" t="str">
        <x:v>Reduces other skill cooldowns by 1 turn; excludes this skill and time-manipulation skills</x:v>
      </x:c>
    </x:row>
    <x:row r="53" ht="85" customHeight="1">
      <x:c r="A53" s="7" t="str">
        <x:v>SKILL_COOLDOWN_RESET</x:v>
      </x:c>
      <x:c r="B53" s="7" t="str">
        <x:v>스킬 쿨타임 초기화</x:v>
      </x:c>
      <x:c r="C53" s="7" t="str">
        <x:v>Skill Cooldown Reset</x:v>
      </x:c>
      <x:c r="D53" s="7" t="n">
        <x:v>1</x:v>
      </x:c>
      <x:c r="E53" s="7" t="str">
        <x:v>초기화 스킬 수</x:v>
      </x:c>
      <x:c r="F53" s="7" t="n">
        <x:v>0</x:v>
      </x:c>
      <x:c r="G53" s="7" t="str">
        <x:v>아군</x:v>
      </x:c>
      <x:c r="H53" s="7" t="n">
        <x:v>3.1</x:v>
      </x:c>
      <x:c r="I53" s="7" t="str">
        <x:v>선택한 다른 스킬 1개의 쿨타임 초기화; 시간조작 스킬 제외</x:v>
      </x:c>
      <x:c r="J53" s="7" t="str">
        <x:v>Resets one selected other skill cooldown; excludes time-manipulation skills</x:v>
      </x:c>
    </x:row>
    <x:row r="54" ht="85" customHeight="1">
      <x:c r="A54" s="7" t="str">
        <x:v>SKILL_COOLDOWN_UP</x:v>
      </x:c>
      <x:c r="B54" s="7" t="str">
        <x:v>스킬 쿨타임 증가</x:v>
      </x:c>
      <x:c r="C54" s="7" t="str">
        <x:v>Skill Cooldown Increase</x:v>
      </x:c>
      <x:c r="D54" s="7" t="n">
        <x:v>1</x:v>
      </x:c>
      <x:c r="E54" s="7" t="str">
        <x:v>턴 수</x:v>
      </x:c>
      <x:c r="F54" s="7" t="n">
        <x:v>0</x:v>
      </x:c>
      <x:c r="G54" s="7" t="str">
        <x:v>대상</x:v>
      </x:c>
      <x:c r="H54" s="7" t="n">
        <x:v>1.5</x:v>
      </x:c>
      <x:c r="I54" s="7" t="str">
        <x:v>재사용 대기시간이 있는 스킬의 남은 쿨타임 1턴 증가; 기본 최대 쿨타임까지</x:v>
      </x:c>
      <x:c r="J54" s="7" t="str">
        <x:v>Adds 1 turn to cooldown-bearing skills, capped at each skill's base cooldown</x:v>
      </x:c>
    </x:row>
    <x:row r="55" ht="85" customHeight="1">
      <x:c r="A55" s="7" t="str">
        <x:v>DEFENSE_PENETRATION</x:v>
      </x:c>
      <x:c r="B55" s="7" t="str">
        <x:v>방어력 관통</x:v>
      </x:c>
      <x:c r="C55" s="7" t="str">
        <x:v>Defense Penetration</x:v>
      </x:c>
      <x:c r="D55" s="7" t="n">
        <x:v>0.3</x:v>
      </x:c>
      <x:c r="E55" s="7" t="str">
        <x:v>관통 비율</x:v>
      </x:c>
      <x:c r="F55" s="7" t="n">
        <x:v>0</x:v>
      </x:c>
      <x:c r="G55" s="7" t="str">
        <x:v>이번 주공격</x:v>
      </x:c>
      <x:c r="H55" s="7" t="n">
        <x:v>0.7</x:v>
      </x:c>
      <x:c r="I55" s="7" t="str">
        <x:v>이번 주공격이 방어력의 30% 관통</x:v>
      </x:c>
      <x:c r="J55" s="7" t="str">
        <x:v>This main attack penetrates 30% of Defense</x:v>
      </x:c>
    </x:row>
    <x:row r="56" ht="85" customHeight="1">
      <x:c r="A56" s="7" t="str">
        <x:v>DISPEL_BUFF</x:v>
      </x:c>
      <x:c r="B56" s="7" t="str">
        <x:v>강화효과 해제</x:v>
      </x:c>
      <x:c r="C56" s="7" t="str">
        <x:v>Dispel Buff</x:v>
      </x:c>
      <x:c r="D56" s="7" t="n">
        <x:v>1</x:v>
      </x:c>
      <x:c r="E56" s="7" t="str">
        <x:v>해제 개수</x:v>
      </x:c>
      <x:c r="F56" s="7" t="n">
        <x:v>0</x:v>
      </x:c>
      <x:c r="G56" s="7" t="str">
        <x:v>대상</x:v>
      </x:c>
      <x:c r="H56" s="7" t="n">
        <x:v>0.75</x:v>
      </x:c>
      <x:c r="I56" s="7" t="str">
        <x:v>가장 최근 부여된 해제 가능한 강화효과 1개 제거</x:v>
      </x:c>
      <x:c r="J56" s="7" t="str">
        <x:v>Removes the most recently applied dispellable buff</x:v>
      </x:c>
    </x:row>
    <x:row r="57" ht="85" customHeight="1">
      <x:c r="A57" s="7" t="str">
        <x:v>CLEANSE_DEBUFF</x:v>
      </x:c>
      <x:c r="B57" s="7" t="str">
        <x:v>약화효과 해제</x:v>
      </x:c>
      <x:c r="C57" s="7" t="str">
        <x:v>Cleanse Debuff</x:v>
      </x:c>
      <x:c r="D57" s="7" t="n">
        <x:v>1</x:v>
      </x:c>
      <x:c r="E57" s="7" t="str">
        <x:v>해제 개수</x:v>
      </x:c>
      <x:c r="F57" s="7" t="n">
        <x:v>0</x:v>
      </x:c>
      <x:c r="G57" s="7" t="str">
        <x:v>대상</x:v>
      </x:c>
      <x:c r="H57" s="7" t="n">
        <x:v>0.7</x:v>
      </x:c>
      <x:c r="I57" s="7" t="str">
        <x:v>가장 최근 부여된 해제 가능한 약화효과 1개 제거</x:v>
      </x:c>
      <x:c r="J57" s="7" t="str">
        <x:v>Removes the most recently applied removable debuff</x:v>
      </x:c>
    </x:row>
    <x:row r="58" ht="85" customHeight="1">
      <x:c r="A58" s="7" t="str">
        <x:v>BUFF_DURATION_UP</x:v>
      </x:c>
      <x:c r="B58" s="7" t="str">
        <x:v>강화효과 지속시간 증가</x:v>
      </x:c>
      <x:c r="C58" s="7" t="str">
        <x:v>Buff Duration Extension</x:v>
      </x:c>
      <x:c r="D58" s="7" t="n">
        <x:v>1</x:v>
      </x:c>
      <x:c r="E58" s="7" t="str">
        <x:v>연장 턴 수</x:v>
      </x:c>
      <x:c r="F58" s="7" t="n">
        <x:v>0</x:v>
      </x:c>
      <x:c r="G58" s="7" t="str">
        <x:v>대상</x:v>
      </x:c>
      <x:c r="H58" s="7" t="n">
        <x:v>1</x:v>
      </x:c>
      <x:c r="I58" s="7" t="str">
        <x:v>일반 강화효과 1턴 연장; 무적·불사·소생·반격 제외; 잔여 최대 3턴</x:v>
      </x:c>
      <x:c r="J58" s="7" t="str">
        <x:v>Extends ordinary buffs by 1 turn; excludes Invincibility, Immortality, Auto Revive and Counterattack; cap 3 turns</x:v>
      </x:c>
    </x:row>
    <x:row r="59" ht="85" customHeight="1">
      <x:c r="A59" s="7" t="str">
        <x:v>BUFF_DURATION_DOWN</x:v>
      </x:c>
      <x:c r="B59" s="7" t="str">
        <x:v>강화효과 지속시간 감소</x:v>
      </x:c>
      <x:c r="C59" s="7" t="str">
        <x:v>Buff Duration Reduction</x:v>
      </x:c>
      <x:c r="D59" s="7" t="n">
        <x:v>1</x:v>
      </x:c>
      <x:c r="E59" s="7" t="str">
        <x:v>단축 턴 수</x:v>
      </x:c>
      <x:c r="F59" s="7" t="n">
        <x:v>0</x:v>
      </x:c>
      <x:c r="G59" s="7" t="str">
        <x:v>대상</x:v>
      </x:c>
      <x:c r="H59" s="7" t="n">
        <x:v>0.7</x:v>
      </x:c>
      <x:c r="I59" s="7" t="str">
        <x:v>해제 가능한 강화효과 1턴 단축; 0턴이면 제거</x:v>
      </x:c>
      <x:c r="J59" s="7" t="str">
        <x:v>Shortens dispellable buffs by 1 turn; removes those reaching 0 turns</x:v>
      </x:c>
    </x:row>
    <x:row r="60" ht="85" customHeight="1">
      <x:c r="A60" s="7" t="str">
        <x:v>DEBUFF_DURATION_UP</x:v>
      </x:c>
      <x:c r="B60" s="7" t="str">
        <x:v>약화효과 지속시간 증가</x:v>
      </x:c>
      <x:c r="C60" s="7" t="str">
        <x:v>Debuff Duration Extension</x:v>
      </x:c>
      <x:c r="D60" s="7" t="n">
        <x:v>1</x:v>
      </x:c>
      <x:c r="E60" s="7" t="str">
        <x:v>연장 턴 수</x:v>
      </x:c>
      <x:c r="F60" s="7" t="n">
        <x:v>0</x:v>
      </x:c>
      <x:c r="G60" s="7" t="str">
        <x:v>대상</x:v>
      </x:c>
      <x:c r="H60" s="7" t="n">
        <x:v>0.95</x:v>
      </x:c>
      <x:c r="I60" s="7" t="str">
        <x:v>일반 약화효과 1턴 연장; 기절·수면·도발·부활 불가 제외; 잔여 최대 3턴</x:v>
      </x:c>
      <x:c r="J60" s="7" t="str">
        <x:v>Extends ordinary debuffs by 1 turn; excludes Stun, Sleep, Provoke and Revive Block; cap 3 turns</x:v>
      </x:c>
    </x:row>
    <x:row r="61" ht="85" customHeight="1">
      <x:c r="A61" s="7" t="str">
        <x:v>TRANSFER_DEBUFF</x:v>
      </x:c>
      <x:c r="B61" s="7" t="str">
        <x:v>약화효과 전이</x:v>
      </x:c>
      <x:c r="C61" s="7" t="str">
        <x:v>Debuff Transfer</x:v>
      </x:c>
      <x:c r="D61" s="7" t="n">
        <x:v>1</x:v>
      </x:c>
      <x:c r="E61" s="7" t="str">
        <x:v>전이 개수</x:v>
      </x:c>
      <x:c r="F61" s="7" t="n">
        <x:v>0</x:v>
      </x:c>
      <x:c r="G61" s="7" t="str">
        <x:v>자신→대상</x:v>
      </x:c>
      <x:c r="H61" s="7" t="n">
        <x:v>1</x:v>
      </x:c>
      <x:c r="I61" s="7" t="str">
        <x:v>자신의 가장 최근 전이 가능한 약화효과 1개를 남은 시간 그대로 이전; 성공 시 자신에게서 제거</x:v>
      </x:c>
      <x:c r="J61" s="7" t="str">
        <x:v>Transfers the caster's most recent transferable debuff with its remaining duration; removes it from caster only on success</x:v>
      </x:c>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6" hidden="0" customWidth="1"/>
    <x:col min="2" max="2" width="135" hidden="0" customWidth="1"/>
  </x:cols>
  <x:sheetData>
    <x:row r="1" ht="40" customHeight="1">
      <x:c r="A1" s="3" t="str">
        <x:v>공통 규칙 · 구현과 조정 기준</x:v>
      </x:c>
      <x:c r="B1" s="3"/>
    </x:row>
    <x:row r="2" ht="30" customHeight="1">
      <x:c r="A2" s="1"/>
      <x:c r="B2" s="1"/>
    </x:row>
    <x:row r="3" ht="30" customHeight="1">
      <x:c r="A3" s="1"/>
      <x:c r="B3" s="1"/>
    </x:row>
    <x:row r="4" ht="30" customHeight="1">
      <x:c r="A4" s="1"/>
      <x:c r="B4" s="1"/>
    </x:row>
    <x:row r="5" ht="30" customHeight="1">
      <x:c r="A5" s="1"/>
      <x:c r="B5" s="1"/>
    </x:row>
    <x:row r="6" ht="48" customHeight="1">
      <x:c r="A6" s="6" t="str">
        <x:v>항목</x:v>
      </x:c>
      <x:c r="B6" s="6" t="str">
        <x:v>설명</x:v>
      </x:c>
    </x:row>
    <x:row r="7" ht="85" customHeight="1">
      <x:c r="A7" s="7" t="str">
        <x:v>문서 범위</x:v>
      </x:c>
      <x:c r="B7" s="7" t="str">
        <x:v>스킬 설계 초안. 단일 전투 규칙 아래 비용을 비교한 500개 후보입니다. 직업 배정·속성 상성·캐릭터별 스킬 조합은 아직 적용하지 않았습니다.</x:v>
      </x:c>
    </x:row>
    <x:row r="8" ht="85" customHeight="1">
      <x:c r="A8" s="7" t="str">
        <x:v>대상 정의</x:v>
      </x:c>
      <x:c r="B8" s="7" t="str">
        <x:v>아군=자신 제외 1명 / 자신=시전자 / 아군전체=자신 포함 생존 아군 전원 / 아군과 자신=자신 제외 선택 아군 1명+자신 / 적=적1명 / 적전체=생존 적 전원. 각 전체 대상은 최대 4명 기준으로 평가했습니다.</x:v>
      </x:c>
    </x:row>
    <x:row r="9" ht="85" customHeight="1">
      <x:c r="A9" s="7" t="str">
        <x:v>부활 대상</x:v>
      </x:c>
      <x:c r="B9" s="7" t="str">
        <x:v>REVIVE는 아군 대상으로 표기하되 사망한 아군 1명만 선택합니다. 그 외 아군 스킬은 생존 대상만 선택합니다. 유효 대상이 없으면 시전할 수 없습니다.</x:v>
      </x:c>
    </x:row>
    <x:row r="10" ht="100" customHeight="1">
      <x:c r="A10" s="7" t="str">
        <x:v>스킬의 기본 수치</x:v>
      </x:c>
      <x:c r="B10" s="7" t="str">
        <x:v>주피해 원량=공격력×공격계수+방어력×방어계수+속도×속도계수+시전자 최대생명력×생명계수. 공격계수 필수, 보조 계수 최대1종. 주회복은 시전자 공격력×공격회복계수 또는 시전자 최대생명력×최대생명회복계수 중 하나만 사용. 회복 스킬은 선택한 계수만 양수, 미선택 계수는 0. 두 계수의 동시 사용·합산 금지. 0인 계수는 툴팁에서 제외.</x:v>
      </x:c>
    </x:row>
    <x:row r="11" ht="85" customHeight="1">
      <x:c r="A11" s="7" t="str">
        <x:v>효과값·확률</x:v>
      </x:c>
      <x:c r="B11" s="7" t="str">
        <x:v>효과값은 효과 규칙 시트의 단위를 따릅니다. 확률은 0~1이며 각 대상·각 효과 슬롯마다 독립 판정합니다. 플래그 효과의 값1은 활성 상태를 뜻합니다. 빈 슬롯은 효과·값·확률 모두 공란입니다.</x:v>
      </x:c>
    </x:row>
    <x:row r="12" ht="85" customHeight="1">
      <x:c r="A12" s="7" t="str">
        <x:v>지속시간</x:v>
      </x:c>
      <x:c r="B12" s="7" t="str">
        <x:v>별도 지속시간 열을 늘리지 않고 효과코드별 기본 지속시간을 사용합니다. 대상에게 정상 적용된 뒤, 대상의 다음 자연 턴부터 턴 종료마다 1 감소합니다. 추가 턴은 상태 지속시간을 소모하지 않습니다.</x:v>
      </x:c>
    </x:row>
    <x:row r="13" ht="85" customHeight="1">
      <x:c r="A13" s="7" t="str">
        <x:v>기절·수면</x:v>
      </x:c>
      <x:c r="B13" s="7" t="str">
        <x:v>행동하지 못한 자연 턴도 지속시간 1턴을 소모합니다. 수면은 이 스킬의 주공격 이후 적용되므로 같은 주공격으로 즉시 해제되지 않습니다. 다음 공격 피해는 수면을 해제합니다.</x:v>
      </x:c>
    </x:row>
    <x:row r="14" ht="85" customHeight="1">
      <x:c r="A14" s="7" t="str">
        <x:v>도발</x:v>
      </x:c>
      <x:c r="B14" s="7" t="str">
        <x:v>효과를 부여한 적에게 공격하도록 강제하되 기본 공격만으로 제한하지 않습니다. 해당 적을 포함하는 공격 스킬만 사용 가능하며 공격할 수 없다면 기본 공격을 사용합니다. 부여자가 사망하면 해제합니다.</x:v>
      </x:c>
    </x:row>
    <x:row r="15" ht="85" customHeight="1">
      <x:c r="A15" s="7" t="str">
        <x:v>시간 처리</x:v>
      </x:c>
      <x:c r="B15" s="7" t="str">
        <x:v>쿨타임 C는 시전 직후 C로 설정합니다. 시전자 다음 자연 턴 시작부터 1 감소하며 0이면 사용 가능합니다. 추가 턴에서는 쿨타임이 감소하지 않습니다. 전투 시작 시 모든 스킬은 사용 가능합니다.</x:v>
      </x:c>
    </x:row>
    <x:row r="16" ht="85" customHeight="1">
      <x:c r="A16" s="7" t="str">
        <x:v>일반 처리 순서</x:v>
      </x:c>
      <x:c r="B16" s="7" t="str">
        <x:v>스킬 사용 시 쿨타임 설정 → 효과별 발동 추첨 → 해제·정화·전이·기간 조작 → 주공격 보정 예약 → 주공격/주회복 → 공격 후 추가 피해·추가 공격 → 상태효과 부여 → 추가 턴 예약 순서입니다. 같은 단계에서는 슬롯 번호 순서로 처리합니다.</x:v>
      </x:c>
    </x:row>
    <x:row r="17" ht="85" customHeight="1">
      <x:c r="A17" s="7" t="str">
        <x:v>선행 효과</x:v>
      </x:c>
      <x:c r="B17" s="7" t="str">
        <x:v>DISPEL_BUFF, CLEANSE_DEBUFF, TRANSFER_DEBUFF, BUFF_DURATION_UP/DOWN, DEBUFF_DURATION_UP은 주공격 전에 처리합니다. 연장 효과는 같은 스킬이 새로 부여할 상태에 적용되지 않습니다.</x:v>
      </x:c>
    </x:row>
    <x:row r="18" ht="85" customHeight="1">
      <x:c r="A18" s="7" t="str">
        <x:v>공격 보정 효과</x:v>
      </x:c>
      <x:c r="B18" s="7" t="str">
        <x:v>DEFENSE_PENETRATION은 이번 주공격에만 적용합니다. LIFESTEAL은 이번 주공격 실제 피해만 기준으로 시전자를 회복합니다. EXTINCTION은 이번 주공격의 직접 처치에만 적용합니다. 세 효과 모두 사전 발동 추첨에 성공했을 때만 유효합니다.</x:v>
      </x:c>
    </x:row>
    <x:row r="19" ht="85" customHeight="1">
      <x:c r="A19" s="7" t="str">
        <x:v>공격 적중과 저항</x:v>
      </x:c>
      <x:c r="B19" s="7" t="str">
        <x:v>명중·효과저항의 최종 전투식은 아직 확정하지 않았습니다. 본 비용 모델은 명중률100%, 별도 저항0을 가정합니다. 적 대상 상태 부여는 주공격 명중 후 처리하며 표기 확률은 저항 판정 이전 발동률입니다. 선행 해제·전이는 별도 저항 판정 대상입니다.</x:v>
      </x:c>
    </x:row>
    <x:row r="20" ht="85" customHeight="1">
      <x:c r="A20" s="7" t="str">
        <x:v>정수화·상한</x:v>
      </x:c>
      <x:c r="B20" s="7" t="str">
        <x:v>피해·회복 계수와 계산 중간값은 실수로 유지하며 이번 파일에서 정수화하지 않습니다. 회복은 최대 생명력까지, 치명확률·회피·명중 등 확률은0~100%로 제한합니다.</x:v>
      </x:c>
    </x:row>
    <x:row r="21" ht="85" customHeight="1">
      <x:c r="A21" s="7" t="str">
        <x:v>버프 중첩</x:v>
      </x:c>
      <x:c r="B21" s="7" t="str">
        <x:v>동일 효과는 중첩하지 않고 강한 값과 긴 잔여 시간만 유지합니다. ATTACK_UP과 ATTACK_UP_GREATER는 같은 계열이며 더 강한 것만 적용합니다. 보호막도 합산하지 않고 큰 잔여량만 유지합니다.</x:v>
      </x:c>
    </x:row>
    <x:row r="22" ht="85" customHeight="1">
      <x:c r="A22" s="7" t="str">
        <x:v>피해 상태 중첩</x:v>
      </x:c>
      <x:c r="B22" s="7" t="str">
        <x:v>중독·출혈은 각 코드별1개만 유지하고, 더 강한 값과 긴 잔여 시간을 채택합니다. 중독·출혈·저주·추가 피해·반사·분담은 새 반격·추가 공격·흡혈·저주를 발동시키지 않습니다.</x:v>
      </x:c>
    </x:row>
    <x:row r="23" ht="85" customHeight="1">
      <x:c r="A23" s="7" t="str">
        <x:v>반격·추가 공격</x:v>
      </x:c>
      <x:c r="B23" s="7" t="str">
        <x:v>EXTRA_ATTACK은 같은 범위에 1회만 발동하며 추가 효과를 다시 발동하지 않습니다. COUNTERATTACK은 공격자의 단일 대상에게만 반격하며 캐릭터당 자연 턴 사이 최대1회입니다. 반격은 다른 반격을 유발하지 않습니다.</x:v>
      </x:c>
    </x:row>
    <x:row r="24" ht="85" customHeight="1">
      <x:c r="A24" s="7" t="str">
        <x:v>추가 턴 제한</x:v>
      </x:c>
      <x:c r="B24" s="7" t="str">
        <x:v>추가 턴은 캐릭터당 자연 턴 사이 최대1회. 추가 턴으로 추가 턴을 생성할 수 없습니다. EXTRA_TURN 스킬은 다른 스킬의 쿨타임 감소·초기화 대상이 될 수 없습니다.</x:v>
      </x:c>
    </x:row>
    <x:row r="25" ht="85" customHeight="1">
      <x:c r="A25" s="7" t="str">
        <x:v>쿨타임 조작 제한</x:v>
      </x:c>
      <x:c r="B25" s="7" t="str">
        <x:v>SKILL_COOLDOWN_DOWN/RESET은 해당 효과를 가진 스킬과 EXTRA_TURN 스킬을 조작할 수 없습니다. 초기화는 적격 스킬1개를 선택합니다. 따라서 초기화끼리 반복하거나 추가 턴을 무한 반복하지 않습니다.</x:v>
      </x:c>
    </x:row>
    <x:row r="26" ht="85" customHeight="1">
      <x:c r="A26" s="7" t="str">
        <x:v>부활 처리</x:v>
      </x:c>
      <x:c r="B26" s="7" t="str">
        <x:v>소생은 발동 시 소모됩니다. 캐릭터당 전투 중 모든 수단을 합쳐 부활 최대1회. 소멸 대상은 부활 불가이며 REVIVE_BLOCK은 남은 유효시간 동안 부활을 막습니다. 부활 시 해제 가능한 상태는 제거하고 쿨타임은 유지합니다. REVIVE와 AUTO_REVIVE는 발동확률100%, 현재 최대생명력100%로 복귀. 부활을 먼저 처리하고 동반 버프를 적용합니다.</x:v>
      </x:c>
    </x:row>
    <x:row r="27" ht="85" customHeight="1">
      <x:c r="A27" s="7" t="str">
        <x:v>보호·분담</x:v>
      </x:c>
      <x:c r="B27" s="7" t="str">
        <x:v>피해 감소는 같은 계열 중 가장 큰 값만 적용합니다. 분담도 가장 큰 비율 하나만 적용하며 연쇄 분담하지 않습니다. 직접 피해에 감소→분담→보호막 순으로 적용하고 실제 생명력 피해를 기준으로 반사합니다.</x:v>
      </x:c>
    </x:row>
    <x:row r="28" ht="85" customHeight="1">
      <x:c r="A28" s="7" t="str">
        <x:v>불사·무적</x:v>
      </x:c>
      <x:c r="B28" s="7" t="str">
        <x:v>무적은 모든 피해를 막고, 불사는 피해를 받되 생명력1을 유지합니다. 둘 다 해제 가능한 강화효과입니다. 기간 연장 대상으로는 허용하지 않습니다.</x:v>
      </x:c>
    </x:row>
    <x:row r="29" ht="85" customHeight="1">
      <x:c r="A29" s="7" t="str">
        <x:v>영구 변화</x:v>
      </x:c>
      <x:c r="B29" s="7" t="str">
        <x:v>INJURY는 해제·전이·기간 연장 대상이 아니며 원래 최대 생명력의30%까지 누적됩니다. 감소한 최대 생명력을 현재 생명력이 초과하면 현재값을 조정합니다. 전투 종료 시 복구합니다.</x:v>
      </x:c>
    </x:row>
    <x:row r="30" ht="100" customHeight="1">
      <x:c r="A30" s="7" t="str">
        <x:v>생명력 회복 효과</x:v>
      </x:c>
      <x:c r="B30" s="7" t="str">
        <x:v>HEAL은 주회복 실행 표시이며 값1을 별도 회복량으로 더하지 않습니다. HEAL 스킬은 회복 계수 1종이 반드시 양수여야 합니다. HEAL 없이 회복 계수가 있어도 주회복을 실행합니다. 지속 회복은 대상 최대생명력 기준이며, 함께 있는 주회복도 생명력 기준으로 통일합니다. 부활·소생은 대상 최대생명력100%, 흡혈은 실제 피해 기준 규칙을 유지합니다.</x:v>
      </x:c>
    </x:row>
    <x:row r="31" ht="85" customHeight="1">
      <x:c r="A31" s="7" t="str">
        <x:v>다중 대상 실패</x:v>
      </x:c>
      <x:c r="B31" s="7" t="str">
        <x:v>전체·2인 대상 효과는 대상별로 확률을 판정합니다. 면역·강화불가 등으로 한 효과가 막혀도 독립적인 다른 효과와 주회복은 계속 처리합니다. 도발 대상 강제 등 시전 가능 여부는 시전 전에 검사합니다.</x:v>
      </x:c>
    </x:row>
    <x:row r="32" ht="85" customHeight="1">
      <x:c r="A32" s="7" t="str">
        <x:v>전이 제한</x:v>
      </x:c>
      <x:c r="B32" s="7" t="str">
        <x:v>기절·수면·도발·상처·소멸·부활 불가는 전이하지 않습니다. 전이는 남은 시간 그대로 옮기고 대상 적용에 실패하면 시전자에게 그대로 남습니다.</x:v>
      </x:c>
    </x:row>
    <x:row r="33" ht="85" customHeight="1">
      <x:c r="A33" s="7" t="str">
        <x:v>검증의 한계</x:v>
      </x:c>
      <x:c r="B33" s="7" t="str">
        <x:v>다른 효과끼리의 시너지, 캐릭터의 다른 스킬과의 조합, 적 AI, 실제 승률은 검증하지 않았습니다. 패시브·스탯·행동 순서를 확정한 뒤 실전 시뮬레이션으로 조정해야 합니다.</x:v>
      </x:c>
    </x:row>
    <x:row r="34" ht="85" customHeight="1">
      <x:c r="A34" s="7" t="str">
        <x:v>쿨타임 상한</x:v>
      </x:c>
      <x:c r="B34" s="7" t="str">
        <x:v>모든 스킬의 기본 쿨타임은 정수 1~5턴. 쿨타임 증가도 해당 스킬의 기본 쿨타임을 넘을 수 없습니다. 강한 효과는 단일 대상 제한과 동반 효과 축소로 5턴 비용에 맞춥니다.</x:v>
      </x:c>
    </x:row>
    <x:row r="35" ht="85" customHeight="1">
      <x:c r="A35" s="7" t="str">
        <x:v>단독 / 복수 효과</x:v>
      </x:c>
      <x:c r="B35" s="7" t="str">
        <x:v>주피해 없는 단독 효과는 100% 발동. 수치형은 기준값의150%, 해제·전이는2개. 불리언은 값1 유지. 복수2/3/4개는 수치100/80/65%, 기본확률90/80/70%. 비용 초과 시 확률을 최소35%까지 낮춥니다. 부활·소생·주회복·추가 턴은100% 유지.</x:v>
      </x:c>
    </x:row>
    <x:row r="36" ht="85" customHeight="1">
      <x:c r="A36" s="7" t="str">
        <x:v>추가 턴의 유효성</x:v>
      </x:c>
      <x:c r="B36" s="7" t="str">
        <x:v>추가 턴은 공격력·방어력·속도·치명피해 증가, 보호막 또는 면역 중 하나 이상과 결합합니다. 동반 핵심 강화효과는 확률100%로 보장하고 수치를 낮춥니다. 추가 턴만 부여하는 스킬은 없습니다. SKILL_0221도 강화효과+추가 턴으로 수정했습니다.</x:v>
      </x:c>
    </x:row>
    <x:row r="37" ht="75" customHeight="1">
      <x:c r="A37" s="7" t="str">
        <x:v>비용 모델</x:v>
      </x:c>
      <x:c r="B37" s="7" t="str">
        <x:v>대상배율: 단일1 / 아군과 자신1.6 / 전체2.4. 효과비용=대상배율×(1+0.08×(효과수−1))×Σ(기준비용×확률×효과값/기본값). 피해비용=대상배율×4종 피해계수 합. 회복비용=대상배율×1.4×선택한 회복계수(1종). 허용비용=1.1+0.8×쿨타임.</x:v>
      </x:c>
    </x:row>
    <x:row r="38" ht="85" customHeight="1">
      <x:c r="A38" s="7" t="str">
        <x:v>정규화 전제</x:v>
      </x:c>
      <x:c r="B38" s="7" t="str">
        <x:v>공격·방어·속도·최대생명력을 동일 기준값으로 비교한 설계 비용입니다. 실제 스탯 비율 및 적중·저항·전장 인원에 따라 위력은 달라집니다. 5턴 이하 및 비용 상한 통과는 실제 승률 균형을 보장하지 않습니다.</x:v>
      </x:c>
    </x:row>
    <x:row r="39" ht="85" customHeight="1">
      <x:c r="A39" s="7" t="str">
        <x:v>다양성 검증</x:v>
      </x:c>
      <x:c r="B39" s="7" t="str">
        <x:v>500개의 정렬된 효과코드 조합이 모두 다릅니다. 같은 효과 조합에서 확률만 바꾼 복제 구성은 없습니다. 공격250 / 지원250, 55종 효과 전부 사용.</x:v>
      </x:c>
    </x:row>
    <x:row r="40" ht="90" customHeight="1">
      <x:c r="A40" s="7" t="str">
        <x:v>수정 방법</x:v>
      </x:c>
      <x:c r="B40" s="7" t="str">
        <x:v>검증 시트 비용과 회복 기준 판정은 스킬 수치 참조 수식입니다. 회복 계수 중복, HEAL 계수 누락, 공격력 주회복과 생명력 지속회복의 혼용을 검출합니다. 코드·대상·효과 수를 바꾸면 비용 참조도 재작성해야 합니다. 툴팁·효과 조합 중복 검증은 생성 시점 스냅샷이므로 수정 후 재생성하세요.</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8" hidden="0" customWidth="1"/>
    <x:col min="2" max="2" width="5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40" customHeight="1">
      <x:c r="A1" s="3" t="str">
        <x:v>밸런스 검증 · 비용 상한 5.1 · 회복 기준 1종</x:v>
      </x:c>
      <x:c r="B1" s="3"/>
      <x:c r="C1" s="3"/>
      <x:c r="D1" s="3"/>
      <x:c r="E1" s="3"/>
      <x:c r="F1" s="3"/>
      <x:c r="G1" s="3"/>
      <x:c r="H1" s="3"/>
      <x:c r="I1" s="3"/>
      <x:c r="J1" s="3"/>
    </x:row>
    <x:row r="2" ht="30" customHeight="1">
      <x:c r="A2" s="1"/>
      <x:c r="B2" s="1"/>
      <x:c r="C2" s="1"/>
      <x:c r="D2" s="1"/>
      <x:c r="E2" s="1"/>
      <x:c r="F2" s="1"/>
      <x:c r="G2" s="1"/>
      <x:c r="H2" s="1"/>
      <x:c r="I2" s="1"/>
      <x:c r="J2" s="1"/>
    </x:row>
    <x:row r="3" ht="30" customHeight="1">
      <x:c r="A3" s="1"/>
      <x:c r="B3" s="1"/>
      <x:c r="C3" s="1"/>
      <x:c r="D3" s="1"/>
      <x:c r="E3" s="1"/>
      <x:c r="F3" s="1"/>
      <x:c r="G3" s="1"/>
      <x:c r="H3" s="1"/>
      <x:c r="I3" s="1"/>
      <x:c r="J3" s="1"/>
    </x:row>
    <x:row r="4" ht="30" customHeight="1">
      <x:c r="A4" s="1"/>
      <x:c r="B4" s="1"/>
      <x:c r="C4" s="1"/>
      <x:c r="D4" s="1"/>
      <x:c r="E4" s="1"/>
      <x:c r="F4" s="1"/>
      <x:c r="G4" s="1"/>
      <x:c r="H4" s="1"/>
      <x:c r="I4" s="1"/>
      <x:c r="J4" s="1"/>
    </x:row>
    <x:row r="5" ht="30" customHeight="1">
      <x:c r="A5" s="1"/>
      <x:c r="B5" s="1"/>
      <x:c r="C5" s="1"/>
      <x:c r="D5" s="1"/>
      <x:c r="E5" s="1"/>
      <x:c r="F5" s="1"/>
      <x:c r="G5" s="1"/>
      <x:c r="H5" s="1"/>
      <x:c r="I5" s="1"/>
      <x:c r="J5" s="1"/>
    </x:row>
    <x:row r="6" ht="48" customHeight="1">
      <x:c r="A6" s="6" t="str">
        <x:v>ID</x:v>
      </x:c>
      <x:c r="B6" s="6" t="str">
        <x:v>이름</x:v>
      </x:c>
      <x:c r="C6" s="6" t="str">
        <x:v>대상배율</x:v>
      </x:c>
      <x:c r="D6" s="6" t="str">
        <x:v>효과비용</x:v>
      </x:c>
      <x:c r="E6" s="6" t="str">
        <x:v>피해비용</x:v>
      </x:c>
      <x:c r="F6" s="6" t="str">
        <x:v>회복비용</x:v>
      </x:c>
      <x:c r="G6" s="6" t="str">
        <x:v>총비용</x:v>
      </x:c>
      <x:c r="H6" s="6" t="str">
        <x:v>허용비용</x:v>
      </x:c>
      <x:c r="I6" s="6" t="str">
        <x:v>사용률</x:v>
      </x:c>
      <x:c r="J6" s="6" t="str">
        <x:v>판정</x:v>
      </x:c>
    </x:row>
    <x:row r="7" ht="30" customHeight="1">
      <x:c r="A7" s="1" t="str">
        <x:f>'스킬 500종'!A7</x:f>
        <x:v>SKILL_0001</x:v>
      </x:c>
      <x:c r="B7" s="1" t="str">
        <x:f>'스킬 500종'!B7</x:f>
        <x:v>공격력 감소의 일격</x:v>
      </x:c>
      <x:c r="C7" s="1" t="n">
        <x:f>1</x:f>
        <x:v>1</x:v>
      </x:c>
      <x:c r="D7" s="9" t="n">
        <x:f>C7*1*('효과 규칙 55종'!H18*'스킬 500종'!L7*'스킬 500종'!M7/'효과 규칙 55종'!D18)</x:f>
        <x:v>0.8250000000000001</x:v>
      </x:c>
      <x:c r="E7" s="9" t="n">
        <x:f>C7*SUM('스킬 500종'!E7:H7)</x:f>
        <x:v>1.1</x:v>
      </x:c>
      <x:c r="F7" s="9" t="n">
        <x:f>C7*1.4*SUM('스킬 500종'!I7:J7)</x:f>
        <x:v>0</x:v>
      </x:c>
      <x:c r="G7" s="9" t="n">
        <x:f>SUM(D7:F7)</x:f>
        <x:v>1.9250000000000003</x:v>
      </x:c>
      <x:c r="H7" s="9" t="n">
        <x:f>1.1+0.8*'스킬 500종'!W7</x:f>
        <x:v>2.7</x:v>
      </x:c>
      <x:c r="I7" s="10" t="n">
        <x:f>G7/H7</x:f>
        <x:v>0.712962962962963</x:v>
      </x:c>
      <x:c r="J7" s="1" t="str">
        <x:f>IF(OR('스킬 500종'!I7&lt;0,'스킬 500종'!J7&lt;0,AND('스킬 500종'!I7&gt;0,'스킬 500종'!J7&gt;0),AND(OR('스킬 500종'!K7="HEAL",'스킬 500종'!N7="HEAL",'스킬 500종'!Q7="HEAL",'스킬 500종'!T7="HEAL"),'스킬 500종'!I7=0,'스킬 500종'!J7=0),AND('스킬 500종'!I7&gt;0,OR('스킬 500종'!K7="CONTINUOUS_HEAL",'스킬 500종'!N7="CONTINUOUS_HEAL",'스킬 500종'!Q7="CONTINUOUS_HEAL",'스킬 500종'!T7="CONTINUOUS_HEAL"))),"회복 기준 오류",IF(AND(G7&lt;=H7+0.00001,'스킬 500종'!W7&gt;=1,'스킬 500종'!W7&lt;=5),"정상","초과"))</x:f>
        <x:v>정상</x:v>
      </x:c>
    </x:row>
    <x:row r="8" ht="30" customHeight="1">
      <x:c r="A8" s="1" t="str">
        <x:f>'스킬 500종'!A8</x:f>
        <x:v>SKILL_0002</x:v>
      </x:c>
      <x:c r="B8" s="1" t="str">
        <x:f>'스킬 500종'!B8</x:f>
        <x:v>방어력 감소의 일격</x:v>
      </x:c>
      <x:c r="C8" s="1" t="n">
        <x:f>1</x:f>
        <x:v>1</x:v>
      </x:c>
      <x:c r="D8" s="9" t="n">
        <x:f>C8*1*('효과 규칙 55종'!H19*'스킬 500종'!L8*'스킬 500종'!M8/'효과 규칙 55종'!D19)</x:f>
        <x:v>1.2750000000000001</x:v>
      </x:c>
      <x:c r="E8" s="9" t="n">
        <x:f>C8*SUM('스킬 500종'!E8:H8)</x:f>
        <x:v>1.1</x:v>
      </x:c>
      <x:c r="F8" s="9" t="n">
        <x:f>C8*1.4*SUM('스킬 500종'!I8:J8)</x:f>
        <x:v>0</x:v>
      </x:c>
      <x:c r="G8" s="9" t="n">
        <x:f>SUM(D8:F8)</x:f>
        <x:v>2.375</x:v>
      </x:c>
      <x:c r="H8" s="9" t="n">
        <x:f>1.1+0.8*'스킬 500종'!W8</x:f>
        <x:v>2.7</x:v>
      </x:c>
      <x:c r="I8" s="10" t="n">
        <x:f>G8/H8</x:f>
        <x:v>0.8796296296296295</x:v>
      </x:c>
      <x:c r="J8" s="1" t="str">
        <x:f>IF(OR('스킬 500종'!I8&lt;0,'스킬 500종'!J8&lt;0,AND('스킬 500종'!I8&gt;0,'스킬 500종'!J8&gt;0),AND(OR('스킬 500종'!K8="HEAL",'스킬 500종'!N8="HEAL",'스킬 500종'!Q8="HEAL",'스킬 500종'!T8="HEAL"),'스킬 500종'!I8=0,'스킬 500종'!J8=0),AND('스킬 500종'!I8&gt;0,OR('스킬 500종'!K8="CONTINUOUS_HEAL",'스킬 500종'!N8="CONTINUOUS_HEAL",'스킬 500종'!Q8="CONTINUOUS_HEAL",'스킬 500종'!T8="CONTINUOUS_HEAL"))),"회복 기준 오류",IF(AND(G8&lt;=H8+0.00001,'스킬 500종'!W8&gt;=1,'스킬 500종'!W8&lt;=5),"정상","초과"))</x:f>
        <x:v>정상</x:v>
      </x:c>
    </x:row>
    <x:row r="9" ht="30" customHeight="1">
      <x:c r="A9" s="1" t="str">
        <x:f>'스킬 500종'!A9</x:f>
        <x:v>SKILL_0003</x:v>
      </x:c>
      <x:c r="B9" s="1" t="str">
        <x:f>'스킬 500종'!B9</x:f>
        <x:v>속도 감소의 일격</x:v>
      </x:c>
      <x:c r="C9" s="1" t="n">
        <x:f>1</x:f>
        <x:v>1</x:v>
      </x:c>
      <x:c r="D9" s="9" t="n">
        <x:f>C9*1*('효과 규칙 55종'!H20*'스킬 500종'!L9*'스킬 500종'!M9/'효과 규칙 55종'!D20)</x:f>
        <x:v>0.975</x:v>
      </x:c>
      <x:c r="E9" s="9" t="n">
        <x:f>C9*SUM('스킬 500종'!E9:H9)</x:f>
        <x:v>1.1</x:v>
      </x:c>
      <x:c r="F9" s="9" t="n">
        <x:f>C9*1.4*SUM('스킬 500종'!I9:J9)</x:f>
        <x:v>0</x:v>
      </x:c>
      <x:c r="G9" s="9" t="n">
        <x:f>SUM(D9:F9)</x:f>
        <x:v>2.075</x:v>
      </x:c>
      <x:c r="H9" s="9" t="n">
        <x:f>1.1+0.8*'스킬 500종'!W9</x:f>
        <x:v>2.7</x:v>
      </x:c>
      <x:c r="I9" s="10" t="n">
        <x:f>G9/H9</x:f>
        <x:v>0.7685185185185185</x:v>
      </x:c>
      <x:c r="J9" s="1" t="str">
        <x:f>IF(OR('스킬 500종'!I9&lt;0,'스킬 500종'!J9&lt;0,AND('스킬 500종'!I9&gt;0,'스킬 500종'!J9&gt;0),AND(OR('스킬 500종'!K9="HEAL",'스킬 500종'!N9="HEAL",'스킬 500종'!Q9="HEAL",'스킬 500종'!T9="HEAL"),'스킬 500종'!I9=0,'스킬 500종'!J9=0),AND('스킬 500종'!I9&gt;0,OR('스킬 500종'!K9="CONTINUOUS_HEAL",'스킬 500종'!N9="CONTINUOUS_HEAL",'스킬 500종'!Q9="CONTINUOUS_HEAL",'스킬 500종'!T9="CONTINUOUS_HEAL"))),"회복 기준 오류",IF(AND(G9&lt;=H9+0.00001,'스킬 500종'!W9&gt;=1,'스킬 500종'!W9&lt;=5),"정상","초과"))</x:f>
        <x:v>정상</x:v>
      </x:c>
    </x:row>
    <x:row r="10" ht="30" customHeight="1">
      <x:c r="A10" s="1" t="str">
        <x:f>'스킬 500종'!A10</x:f>
        <x:v>SKILL_0004</x:v>
      </x:c>
      <x:c r="B10" s="1" t="str">
        <x:f>'스킬 500종'!B10</x:f>
        <x:v>명중 감소의 일격</x:v>
      </x:c>
      <x:c r="C10" s="1" t="n">
        <x:f>1</x:f>
        <x:v>1</x:v>
      </x:c>
      <x:c r="D10" s="9" t="n">
        <x:f>C10*1*('효과 규칙 55종'!H21*'스킬 500종'!L10*'스킬 500종'!M10/'효과 규칙 55종'!D21)</x:f>
        <x:v>1.0499999999999998</x:v>
      </x:c>
      <x:c r="E10" s="9" t="n">
        <x:f>C10*SUM('스킬 500종'!E10:H10)</x:f>
        <x:v>1.1</x:v>
      </x:c>
      <x:c r="F10" s="9" t="n">
        <x:f>C10*1.4*SUM('스킬 500종'!I10:J10)</x:f>
        <x:v>0</x:v>
      </x:c>
      <x:c r="G10" s="9" t="n">
        <x:f>SUM(D10:F10)</x:f>
        <x:v>2.15</x:v>
      </x:c>
      <x:c r="H10" s="9" t="n">
        <x:f>1.1+0.8*'스킬 500종'!W10</x:f>
        <x:v>2.7</x:v>
      </x:c>
      <x:c r="I10" s="10" t="n">
        <x:f>G10/H10</x:f>
        <x:v>0.7962962962962962</x:v>
      </x:c>
      <x:c r="J10" s="1" t="str">
        <x:f>IF(OR('스킬 500종'!I10&lt;0,'스킬 500종'!J10&lt;0,AND('스킬 500종'!I10&gt;0,'스킬 500종'!J10&gt;0),AND(OR('스킬 500종'!K10="HEAL",'스킬 500종'!N10="HEAL",'스킬 500종'!Q10="HEAL",'스킬 500종'!T10="HEAL"),'스킬 500종'!I10=0,'스킬 500종'!J10=0),AND('스킬 500종'!I10&gt;0,OR('스킬 500종'!K10="CONTINUOUS_HEAL",'스킬 500종'!N10="CONTINUOUS_HEAL",'스킬 500종'!Q10="CONTINUOUS_HEAL",'스킬 500종'!T10="CONTINUOUS_HEAL"))),"회복 기준 오류",IF(AND(G10&lt;=H10+0.00001,'스킬 500종'!W10&gt;=1,'스킬 500종'!W10&lt;=5),"정상","초과"))</x:f>
        <x:v>정상</x:v>
      </x:c>
    </x:row>
    <x:row r="11" ht="30" customHeight="1">
      <x:c r="A11" s="1" t="str">
        <x:f>'스킬 500종'!A11</x:f>
        <x:v>SKILL_0005</x:v>
      </x:c>
      <x:c r="B11" s="1" t="str">
        <x:f>'스킬 500종'!B11</x:f>
        <x:v>기절 — 스턴의 일격</x:v>
      </x:c>
      <x:c r="C11" s="1" t="n">
        <x:f>1</x:f>
        <x:v>1</x:v>
      </x:c>
      <x:c r="D11" s="9" t="n">
        <x:f>C11*1*('효과 규칙 55종'!H22*'스킬 500종'!L11*'스킬 500종'!M11/'효과 규칙 55종'!D22)</x:f>
        <x:v>1.8</x:v>
      </x:c>
      <x:c r="E11" s="9" t="n">
        <x:f>C11*SUM('스킬 500종'!E11:H11)</x:f>
        <x:v>1.1</x:v>
      </x:c>
      <x:c r="F11" s="9" t="n">
        <x:f>C11*1.4*SUM('스킬 500종'!I11:J11)</x:f>
        <x:v>0</x:v>
      </x:c>
      <x:c r="G11" s="9" t="n">
        <x:f>SUM(D11:F11)</x:f>
        <x:v>2.9000000000000004</x:v>
      </x:c>
      <x:c r="H11" s="9" t="n">
        <x:f>1.1+0.8*'스킬 500종'!W11</x:f>
        <x:v>3.5000000000000004</x:v>
      </x:c>
      <x:c r="I11" s="10" t="n">
        <x:f>G11/H11</x:f>
        <x:v>0.8285714285714285</x:v>
      </x:c>
      <x:c r="J11" s="1" t="str">
        <x:f>IF(OR('스킬 500종'!I11&lt;0,'스킬 500종'!J11&lt;0,AND('스킬 500종'!I11&gt;0,'스킬 500종'!J11&gt;0),AND(OR('스킬 500종'!K11="HEAL",'스킬 500종'!N11="HEAL",'스킬 500종'!Q11="HEAL",'스킬 500종'!T11="HEAL"),'스킬 500종'!I11=0,'스킬 500종'!J11=0),AND('스킬 500종'!I11&gt;0,OR('스킬 500종'!K11="CONTINUOUS_HEAL",'스킬 500종'!N11="CONTINUOUS_HEAL",'스킬 500종'!Q11="CONTINUOUS_HEAL",'스킬 500종'!T11="CONTINUOUS_HEAL"))),"회복 기준 오류",IF(AND(G11&lt;=H11+0.00001,'스킬 500종'!W11&gt;=1,'스킬 500종'!W11&lt;=5),"정상","초과"))</x:f>
        <x:v>정상</x:v>
      </x:c>
    </x:row>
    <x:row r="12" ht="30" customHeight="1">
      <x:c r="A12" s="1" t="str">
        <x:f>'스킬 500종'!A12</x:f>
        <x:v>SKILL_0006</x:v>
      </x:c>
      <x:c r="B12" s="1" t="str">
        <x:f>'스킬 500종'!B12</x:f>
        <x:v>수면의 일격</x:v>
      </x:c>
      <x:c r="C12" s="1" t="n">
        <x:f>1</x:f>
        <x:v>1</x:v>
      </x:c>
      <x:c r="D12" s="9" t="n">
        <x:f>C12*1*('효과 규칙 55종'!H23*'스킬 500종'!L12*'스킬 500종'!M12/'효과 규칙 55종'!D23)</x:f>
        <x:v>1.3</x:v>
      </x:c>
      <x:c r="E12" s="9" t="n">
        <x:f>C12*SUM('스킬 500종'!E12:H12)</x:f>
        <x:v>1.1</x:v>
      </x:c>
      <x:c r="F12" s="9" t="n">
        <x:f>C12*1.4*SUM('스킬 500종'!I12:J12)</x:f>
        <x:v>0</x:v>
      </x:c>
      <x:c r="G12" s="9" t="n">
        <x:f>SUM(D12:F12)</x:f>
        <x:v>2.4000000000000004</x:v>
      </x:c>
      <x:c r="H12" s="9" t="n">
        <x:f>1.1+0.8*'스킬 500종'!W12</x:f>
        <x:v>2.7</x:v>
      </x:c>
      <x:c r="I12" s="10" t="n">
        <x:f>G12/H12</x:f>
        <x:v>0.888888888888889</x:v>
      </x:c>
      <x:c r="J12" s="1" t="str">
        <x:f>IF(OR('스킬 500종'!I12&lt;0,'스킬 500종'!J12&lt;0,AND('스킬 500종'!I12&gt;0,'스킬 500종'!J12&gt;0),AND(OR('스킬 500종'!K12="HEAL",'스킬 500종'!N12="HEAL",'스킬 500종'!Q12="HEAL",'스킬 500종'!T12="HEAL"),'스킬 500종'!I12=0,'스킬 500종'!J12=0),AND('스킬 500종'!I12&gt;0,OR('스킬 500종'!K12="CONTINUOUS_HEAL",'스킬 500종'!N12="CONTINUOUS_HEAL",'스킬 500종'!Q12="CONTINUOUS_HEAL",'스킬 500종'!T12="CONTINUOUS_HEAL"))),"회복 기준 오류",IF(AND(G12&lt;=H12+0.00001,'스킬 500종'!W12&gt;=1,'스킬 500종'!W12&lt;=5),"정상","초과"))</x:f>
        <x:v>정상</x:v>
      </x:c>
    </x:row>
    <x:row r="13" ht="30" customHeight="1">
      <x:c r="A13" s="1" t="str">
        <x:f>'스킬 500종'!A13</x:f>
        <x:v>SKILL_0007</x:v>
      </x:c>
      <x:c r="B13" s="1" t="str">
        <x:f>'스킬 500종'!B13</x:f>
        <x:v>도발의 일격</x:v>
      </x:c>
      <x:c r="C13" s="1" t="n">
        <x:f>1</x:f>
        <x:v>1</x:v>
      </x:c>
      <x:c r="D13" s="9" t="n">
        <x:f>C13*1*('효과 규칙 55종'!H24*'스킬 500종'!L13*'스킬 500종'!M13/'효과 규칙 55종'!D24)</x:f>
        <x:v>1</x:v>
      </x:c>
      <x:c r="E13" s="9" t="n">
        <x:f>C13*SUM('스킬 500종'!E13:H13)</x:f>
        <x:v>1.1</x:v>
      </x:c>
      <x:c r="F13" s="9" t="n">
        <x:f>C13*1.4*SUM('스킬 500종'!I13:J13)</x:f>
        <x:v>0</x:v>
      </x:c>
      <x:c r="G13" s="9" t="n">
        <x:f>SUM(D13:F13)</x:f>
        <x:v>2.1</x:v>
      </x:c>
      <x:c r="H13" s="9" t="n">
        <x:f>1.1+0.8*'스킬 500종'!W13</x:f>
        <x:v>2.7</x:v>
      </x:c>
      <x:c r="I13" s="10" t="n">
        <x:f>G13/H13</x:f>
        <x:v>0.7777777777777778</x:v>
      </x:c>
      <x:c r="J13" s="1" t="str">
        <x:f>IF(OR('스킬 500종'!I13&lt;0,'스킬 500종'!J13&lt;0,AND('스킬 500종'!I13&gt;0,'스킬 500종'!J13&gt;0),AND(OR('스킬 500종'!K13="HEAL",'스킬 500종'!N13="HEAL",'스킬 500종'!Q13="HEAL",'스킬 500종'!T13="HEAL"),'스킬 500종'!I13=0,'스킬 500종'!J13=0),AND('스킬 500종'!I13&gt;0,OR('스킬 500종'!K13="CONTINUOUS_HEAL",'스킬 500종'!N13="CONTINUOUS_HEAL",'스킬 500종'!Q13="CONTINUOUS_HEAL",'스킬 500종'!T13="CONTINUOUS_HEAL"))),"회복 기준 오류",IF(AND(G13&lt;=H13+0.00001,'스킬 500종'!W13&gt;=1,'스킬 500종'!W13&lt;=5),"정상","초과"))</x:f>
        <x:v>정상</x:v>
      </x:c>
    </x:row>
    <x:row r="14" ht="30" customHeight="1">
      <x:c r="A14" s="1" t="str">
        <x:f>'스킬 500종'!A14</x:f>
        <x:v>SKILL_0008</x:v>
      </x:c>
      <x:c r="B14" s="1" t="str">
        <x:f>'스킬 500종'!B14</x:f>
        <x:v>회복 불가의 일격</x:v>
      </x:c>
      <x:c r="C14" s="1" t="n">
        <x:f>1</x:f>
        <x:v>1</x:v>
      </x:c>
      <x:c r="D14" s="9" t="n">
        <x:f>C14*1*('효과 규칙 55종'!H25*'스킬 500종'!L14*'스킬 500종'!M14/'효과 규칙 55종'!D25)</x:f>
        <x:v>0.65</x:v>
      </x:c>
      <x:c r="E14" s="9" t="n">
        <x:f>C14*SUM('스킬 500종'!E14:H14)</x:f>
        <x:v>1.1</x:v>
      </x:c>
      <x:c r="F14" s="9" t="n">
        <x:f>C14*1.4*SUM('스킬 500종'!I14:J14)</x:f>
        <x:v>0</x:v>
      </x:c>
      <x:c r="G14" s="9" t="n">
        <x:f>SUM(D14:F14)</x:f>
        <x:v>1.75</x:v>
      </x:c>
      <x:c r="H14" s="9" t="n">
        <x:f>1.1+0.8*'스킬 500종'!W14</x:f>
        <x:v>1.9000000000000001</x:v>
      </x:c>
      <x:c r="I14" s="10" t="n">
        <x:f>G14/H14</x:f>
        <x:v>0.9210526315789473</x:v>
      </x:c>
      <x:c r="J14" s="1" t="str">
        <x:f>IF(OR('스킬 500종'!I14&lt;0,'스킬 500종'!J14&lt;0,AND('스킬 500종'!I14&gt;0,'스킬 500종'!J14&gt;0),AND(OR('스킬 500종'!K14="HEAL",'스킬 500종'!N14="HEAL",'스킬 500종'!Q14="HEAL",'스킬 500종'!T14="HEAL"),'스킬 500종'!I14=0,'스킬 500종'!J14=0),AND('스킬 500종'!I14&gt;0,OR('스킬 500종'!K14="CONTINUOUS_HEAL",'스킬 500종'!N14="CONTINUOUS_HEAL",'스킬 500종'!Q14="CONTINUOUS_HEAL",'스킬 500종'!T14="CONTINUOUS_HEAL"))),"회복 기준 오류",IF(AND(G14&lt;=H14+0.00001,'스킬 500종'!W14&gt;=1,'스킬 500종'!W14&lt;=5),"정상","초과"))</x:f>
        <x:v>정상</x:v>
      </x:c>
    </x:row>
    <x:row r="15" ht="30" customHeight="1">
      <x:c r="A15" s="1" t="str">
        <x:f>'스킬 500종'!A15</x:f>
        <x:v>SKILL_0009</x:v>
      </x:c>
      <x:c r="B15" s="1" t="str">
        <x:f>'스킬 500종'!B15</x:f>
        <x:v>강화 불가의 일격</x:v>
      </x:c>
      <x:c r="C15" s="1" t="n">
        <x:f>1</x:f>
        <x:v>1</x:v>
      </x:c>
      <x:c r="D15" s="9" t="n">
        <x:f>C15*1*('효과 규칙 55종'!H26*'스킬 500종'!L15*'스킬 500종'!M15/'효과 규칙 55종'!D26)</x:f>
        <x:v>0.9</x:v>
      </x:c>
      <x:c r="E15" s="9" t="n">
        <x:f>C15*SUM('스킬 500종'!E15:H15)</x:f>
        <x:v>1.1</x:v>
      </x:c>
      <x:c r="F15" s="9" t="n">
        <x:f>C15*1.4*SUM('스킬 500종'!I15:J15)</x:f>
        <x:v>0</x:v>
      </x:c>
      <x:c r="G15" s="9" t="n">
        <x:f>SUM(D15:F15)</x:f>
        <x:v>2</x:v>
      </x:c>
      <x:c r="H15" s="9" t="n">
        <x:f>1.1+0.8*'스킬 500종'!W15</x:f>
        <x:v>2.7</x:v>
      </x:c>
      <x:c r="I15" s="10" t="n">
        <x:f>G15/H15</x:f>
        <x:v>0.7407407407407407</x:v>
      </x:c>
      <x:c r="J15" s="1" t="str">
        <x:f>IF(OR('스킬 500종'!I15&lt;0,'스킬 500종'!J15&lt;0,AND('스킬 500종'!I15&gt;0,'스킬 500종'!J15&gt;0),AND(OR('스킬 500종'!K15="HEAL",'스킬 500종'!N15="HEAL",'스킬 500종'!Q15="HEAL",'스킬 500종'!T15="HEAL"),'스킬 500종'!I15=0,'스킬 500종'!J15=0),AND('스킬 500종'!I15&gt;0,OR('스킬 500종'!K15="CONTINUOUS_HEAL",'스킬 500종'!N15="CONTINUOUS_HEAL",'스킬 500종'!Q15="CONTINUOUS_HEAL",'스킬 500종'!T15="CONTINUOUS_HEAL"))),"회복 기준 오류",IF(AND(G15&lt;=H15+0.00001,'스킬 500종'!W15&gt;=1,'스킬 500종'!W15&lt;=5),"정상","초과"))</x:f>
        <x:v>정상</x:v>
      </x:c>
    </x:row>
    <x:row r="16" ht="30" customHeight="1">
      <x:c r="A16" s="1" t="str">
        <x:f>'스킬 500종'!A16</x:f>
        <x:v>SKILL_0010</x:v>
      </x:c>
      <x:c r="B16" s="1" t="str">
        <x:f>'스킬 500종'!B16</x:f>
        <x:v>반격 불가의 일격</x:v>
      </x:c>
      <x:c r="C16" s="1" t="n">
        <x:f>1</x:f>
        <x:v>1</x:v>
      </x:c>
      <x:c r="D16" s="9" t="n">
        <x:f>C16*1*('효과 규칙 55종'!H27*'스킬 500종'!L16*'스킬 500종'!M16/'효과 규칙 55종'!D27)</x:f>
        <x:v>0.65</x:v>
      </x:c>
      <x:c r="E16" s="9" t="n">
        <x:f>C16*SUM('스킬 500종'!E16:H16)</x:f>
        <x:v>1.1</x:v>
      </x:c>
      <x:c r="F16" s="9" t="n">
        <x:f>C16*1.4*SUM('스킬 500종'!I16:J16)</x:f>
        <x:v>0</x:v>
      </x:c>
      <x:c r="G16" s="9" t="n">
        <x:f>SUM(D16:F16)</x:f>
        <x:v>1.75</x:v>
      </x:c>
      <x:c r="H16" s="9" t="n">
        <x:f>1.1+0.8*'스킬 500종'!W16</x:f>
        <x:v>1.9000000000000001</x:v>
      </x:c>
      <x:c r="I16" s="10" t="n">
        <x:f>G16/H16</x:f>
        <x:v>0.9210526315789473</x:v>
      </x:c>
      <x:c r="J16" s="1" t="str">
        <x:f>IF(OR('스킬 500종'!I16&lt;0,'스킬 500종'!J16&lt;0,AND('스킬 500종'!I16&gt;0,'스킬 500종'!J16&gt;0),AND(OR('스킬 500종'!K16="HEAL",'스킬 500종'!N16="HEAL",'스킬 500종'!Q16="HEAL",'스킬 500종'!T16="HEAL"),'스킬 500종'!I16=0,'스킬 500종'!J16=0),AND('스킬 500종'!I16&gt;0,OR('스킬 500종'!K16="CONTINUOUS_HEAL",'스킬 500종'!N16="CONTINUOUS_HEAL",'스킬 500종'!Q16="CONTINUOUS_HEAL",'스킬 500종'!T16="CONTINUOUS_HEAL"))),"회복 기준 오류",IF(AND(G16&lt;=H16+0.00001,'스킬 500종'!W16&gt;=1,'스킬 500종'!W16&lt;=5),"정상","초과"))</x:f>
        <x:v>정상</x:v>
      </x:c>
    </x:row>
    <x:row r="17" ht="30" customHeight="1">
      <x:c r="A17" s="1" t="str">
        <x:f>'스킬 500종'!A17</x:f>
        <x:v>SKILL_0011</x:v>
      </x:c>
      <x:c r="B17" s="1" t="str">
        <x:f>'스킬 500종'!B17</x:f>
        <x:v>중독의 일격</x:v>
      </x:c>
      <x:c r="C17" s="1" t="n">
        <x:f>1</x:f>
        <x:v>1</x:v>
      </x:c>
      <x:c r="D17" s="9" t="n">
        <x:f>C17*1*('효과 규칙 55종'!H28*'스킬 500종'!L17*'스킬 500종'!M17/'효과 규칙 55종'!D28)</x:f>
        <x:v>0.975</x:v>
      </x:c>
      <x:c r="E17" s="9" t="n">
        <x:f>C17*SUM('스킬 500종'!E17:H17)</x:f>
        <x:v>1.1</x:v>
      </x:c>
      <x:c r="F17" s="9" t="n">
        <x:f>C17*1.4*SUM('스킬 500종'!I17:J17)</x:f>
        <x:v>0</x:v>
      </x:c>
      <x:c r="G17" s="9" t="n">
        <x:f>SUM(D17:F17)</x:f>
        <x:v>2.075</x:v>
      </x:c>
      <x:c r="H17" s="9" t="n">
        <x:f>1.1+0.8*'스킬 500종'!W17</x:f>
        <x:v>2.7</x:v>
      </x:c>
      <x:c r="I17" s="10" t="n">
        <x:f>G17/H17</x:f>
        <x:v>0.7685185185185185</x:v>
      </x:c>
      <x:c r="J17" s="1" t="str">
        <x:f>IF(OR('스킬 500종'!I17&lt;0,'스킬 500종'!J17&lt;0,AND('스킬 500종'!I17&gt;0,'스킬 500종'!J17&gt;0),AND(OR('스킬 500종'!K17="HEAL",'스킬 500종'!N17="HEAL",'스킬 500종'!Q17="HEAL",'스킬 500종'!T17="HEAL"),'스킬 500종'!I17=0,'스킬 500종'!J17=0),AND('스킬 500종'!I17&gt;0,OR('스킬 500종'!K17="CONTINUOUS_HEAL",'스킬 500종'!N17="CONTINUOUS_HEAL",'스킬 500종'!Q17="CONTINUOUS_HEAL",'스킬 500종'!T17="CONTINUOUS_HEAL"))),"회복 기준 오류",IF(AND(G17&lt;=H17+0.00001,'스킬 500종'!W17&gt;=1,'스킬 500종'!W17&lt;=5),"정상","초과"))</x:f>
        <x:v>정상</x:v>
      </x:c>
    </x:row>
    <x:row r="18" ht="30" customHeight="1">
      <x:c r="A18" s="1" t="str">
        <x:f>'스킬 500종'!A18</x:f>
        <x:v>SKILL_0012</x:v>
      </x:c>
      <x:c r="B18" s="1" t="str">
        <x:f>'스킬 500종'!B18</x:f>
        <x:v>출혈의 일격</x:v>
      </x:c>
      <x:c r="C18" s="1" t="n">
        <x:f>1</x:f>
        <x:v>1</x:v>
      </x:c>
      <x:c r="D18" s="9" t="n">
        <x:f>C18*1*('효과 규칙 55종'!H29*'스킬 500종'!L18*'스킬 500종'!M18/'효과 규칙 55종'!D29)</x:f>
        <x:v>0.7499999999999999</x:v>
      </x:c>
      <x:c r="E18" s="9" t="n">
        <x:f>C18*SUM('스킬 500종'!E18:H18)</x:f>
        <x:v>1.1</x:v>
      </x:c>
      <x:c r="F18" s="9" t="n">
        <x:f>C18*1.4*SUM('스킬 500종'!I18:J18)</x:f>
        <x:v>0</x:v>
      </x:c>
      <x:c r="G18" s="9" t="n">
        <x:f>SUM(D18:F18)</x:f>
        <x:v>1.85</x:v>
      </x:c>
      <x:c r="H18" s="9" t="n">
        <x:f>1.1+0.8*'스킬 500종'!W18</x:f>
        <x:v>1.9000000000000001</x:v>
      </x:c>
      <x:c r="I18" s="10" t="n">
        <x:f>G18/H18</x:f>
        <x:v>0.9736842105263158</x:v>
      </x:c>
      <x:c r="J18" s="1" t="str">
        <x:f>IF(OR('스킬 500종'!I18&lt;0,'스킬 500종'!J18&lt;0,AND('스킬 500종'!I18&gt;0,'스킬 500종'!J18&gt;0),AND(OR('스킬 500종'!K18="HEAL",'스킬 500종'!N18="HEAL",'스킬 500종'!Q18="HEAL",'스킬 500종'!T18="HEAL"),'스킬 500종'!I18=0,'스킬 500종'!J18=0),AND('스킬 500종'!I18&gt;0,OR('스킬 500종'!K18="CONTINUOUS_HEAL",'스킬 500종'!N18="CONTINUOUS_HEAL",'스킬 500종'!Q18="CONTINUOUS_HEAL",'스킬 500종'!T18="CONTINUOUS_HEAL"))),"회복 기준 오류",IF(AND(G18&lt;=H18+0.00001,'스킬 500종'!W18&gt;=1,'스킬 500종'!W18&lt;=5),"정상","초과"))</x:f>
        <x:v>정상</x:v>
      </x:c>
    </x:row>
    <x:row r="19" ht="30" customHeight="1">
      <x:c r="A19" s="1" t="str">
        <x:f>'스킬 500종'!A19</x:f>
        <x:v>SKILL_0013</x:v>
      </x:c>
      <x:c r="B19" s="1" t="str">
        <x:f>'스킬 500종'!B19</x:f>
        <x:v>표적의 일격</x:v>
      </x:c>
      <x:c r="C19" s="1" t="n">
        <x:f>1</x:f>
        <x:v>1</x:v>
      </x:c>
      <x:c r="D19" s="9" t="n">
        <x:f>C19*1*('효과 규칙 55종'!H30*'스킬 500종'!L19*'스킬 500종'!M19/'효과 규칙 55종'!D30)</x:f>
        <x:v>0.9000000000000001</x:v>
      </x:c>
      <x:c r="E19" s="9" t="n">
        <x:f>C19*SUM('스킬 500종'!E19:H19)</x:f>
        <x:v>1.1</x:v>
      </x:c>
      <x:c r="F19" s="9" t="n">
        <x:f>C19*1.4*SUM('스킬 500종'!I19:J19)</x:f>
        <x:v>0</x:v>
      </x:c>
      <x:c r="G19" s="9" t="n">
        <x:f>SUM(D19:F19)</x:f>
        <x:v>2</x:v>
      </x:c>
      <x:c r="H19" s="9" t="n">
        <x:f>1.1+0.8*'스킬 500종'!W19</x:f>
        <x:v>2.7</x:v>
      </x:c>
      <x:c r="I19" s="10" t="n">
        <x:f>G19/H19</x:f>
        <x:v>0.7407407407407407</x:v>
      </x:c>
      <x:c r="J19" s="1" t="str">
        <x:f>IF(OR('스킬 500종'!I19&lt;0,'스킬 500종'!J19&lt;0,AND('스킬 500종'!I19&gt;0,'스킬 500종'!J19&gt;0),AND(OR('스킬 500종'!K19="HEAL",'스킬 500종'!N19="HEAL",'스킬 500종'!Q19="HEAL",'스킬 500종'!T19="HEAL"),'스킬 500종'!I19=0,'스킬 500종'!J19=0),AND('스킬 500종'!I19&gt;0,OR('스킬 500종'!K19="CONTINUOUS_HEAL",'스킬 500종'!N19="CONTINUOUS_HEAL",'스킬 500종'!Q19="CONTINUOUS_HEAL",'스킬 500종'!T19="CONTINUOUS_HEAL"))),"회복 기준 오류",IF(AND(G19&lt;=H19+0.00001,'스킬 500종'!W19&gt;=1,'스킬 500종'!W19&lt;=5),"정상","초과"))</x:f>
        <x:v>정상</x:v>
      </x:c>
    </x:row>
    <x:row r="20" ht="30" customHeight="1">
      <x:c r="A20" s="1" t="str">
        <x:f>'스킬 500종'!A20</x:f>
        <x:v>SKILL_0014</x:v>
      </x:c>
      <x:c r="B20" s="1" t="str">
        <x:f>'스킬 500종'!B20</x:f>
        <x:v>저주의 일격</x:v>
      </x:c>
      <x:c r="C20" s="1" t="n">
        <x:f>1</x:f>
        <x:v>1</x:v>
      </x:c>
      <x:c r="D20" s="9" t="n">
        <x:f>C20*1*('효과 규칙 55종'!H31*'스킬 500종'!L20*'스킬 500종'!M20/'효과 규칙 55종'!D31)</x:f>
        <x:v>1.2</x:v>
      </x:c>
      <x:c r="E20" s="9" t="n">
        <x:f>C20*SUM('스킬 500종'!E20:H20)</x:f>
        <x:v>1.1</x:v>
      </x:c>
      <x:c r="F20" s="9" t="n">
        <x:f>C20*1.4*SUM('스킬 500종'!I20:J20)</x:f>
        <x:v>0</x:v>
      </x:c>
      <x:c r="G20" s="9" t="n">
        <x:f>SUM(D20:F20)</x:f>
        <x:v>2.3</x:v>
      </x:c>
      <x:c r="H20" s="9" t="n">
        <x:f>1.1+0.8*'스킬 500종'!W20</x:f>
        <x:v>2.7</x:v>
      </x:c>
      <x:c r="I20" s="10" t="n">
        <x:f>G20/H20</x:f>
        <x:v>0.8518518518518517</x:v>
      </x:c>
      <x:c r="J20" s="1" t="str">
        <x:f>IF(OR('스킬 500종'!I20&lt;0,'스킬 500종'!J20&lt;0,AND('스킬 500종'!I20&gt;0,'스킬 500종'!J20&gt;0),AND(OR('스킬 500종'!K20="HEAL",'스킬 500종'!N20="HEAL",'스킬 500종'!Q20="HEAL",'스킬 500종'!T20="HEAL"),'스킬 500종'!I20=0,'스킬 500종'!J20=0),AND('스킬 500종'!I20&gt;0,OR('스킬 500종'!K20="CONTINUOUS_HEAL",'스킬 500종'!N20="CONTINUOUS_HEAL",'스킬 500종'!Q20="CONTINUOUS_HEAL",'스킬 500종'!T20="CONTINUOUS_HEAL"))),"회복 기준 오류",IF(AND(G20&lt;=H20+0.00001,'스킬 500종'!W20&gt;=1,'스킬 500종'!W20&lt;=5),"정상","초과"))</x:f>
        <x:v>정상</x:v>
      </x:c>
    </x:row>
    <x:row r="21" ht="30" customHeight="1">
      <x:c r="A21" s="1" t="str">
        <x:f>'스킬 500종'!A21</x:f>
        <x:v>SKILL_0015</x:v>
      </x:c>
      <x:c r="B21" s="1" t="str">
        <x:f>'스킬 500종'!B21</x:f>
        <x:v>상처의 일격</x:v>
      </x:c>
      <x:c r="C21" s="1" t="n">
        <x:f>1</x:f>
        <x:v>1</x:v>
      </x:c>
      <x:c r="D21" s="9" t="n">
        <x:f>C21*1*('효과 규칙 55종'!H32*'스킬 500종'!L21*'스킬 500종'!M21/'효과 규칙 55종'!D32)</x:f>
        <x:v>1.2</x:v>
      </x:c>
      <x:c r="E21" s="9" t="n">
        <x:f>C21*SUM('스킬 500종'!E21:H21)</x:f>
        <x:v>1.1</x:v>
      </x:c>
      <x:c r="F21" s="9" t="n">
        <x:f>C21*1.4*SUM('스킬 500종'!I21:J21)</x:f>
        <x:v>0</x:v>
      </x:c>
      <x:c r="G21" s="9" t="n">
        <x:f>SUM(D21:F21)</x:f>
        <x:v>2.3</x:v>
      </x:c>
      <x:c r="H21" s="9" t="n">
        <x:f>1.1+0.8*'스킬 500종'!W21</x:f>
        <x:v>2.7</x:v>
      </x:c>
      <x:c r="I21" s="10" t="n">
        <x:f>G21/H21</x:f>
        <x:v>0.8518518518518517</x:v>
      </x:c>
      <x:c r="J21" s="1" t="str">
        <x:f>IF(OR('스킬 500종'!I21&lt;0,'스킬 500종'!J21&lt;0,AND('스킬 500종'!I21&gt;0,'스킬 500종'!J21&gt;0),AND(OR('스킬 500종'!K21="HEAL",'스킬 500종'!N21="HEAL",'스킬 500종'!Q21="HEAL",'스킬 500종'!T21="HEAL"),'스킬 500종'!I21=0,'스킬 500종'!J21=0),AND('스킬 500종'!I21&gt;0,OR('스킬 500종'!K21="CONTINUOUS_HEAL",'스킬 500종'!N21="CONTINUOUS_HEAL",'스킬 500종'!Q21="CONTINUOUS_HEAL",'스킬 500종'!T21="CONTINUOUS_HEAL"))),"회복 기준 오류",IF(AND(G21&lt;=H21+0.00001,'스킬 500종'!W21&gt;=1,'스킬 500종'!W21&lt;=5),"정상","초과"))</x:f>
        <x:v>정상</x:v>
      </x:c>
    </x:row>
    <x:row r="22" ht="30" customHeight="1">
      <x:c r="A22" s="1" t="str">
        <x:f>'스킬 500종'!A22</x:f>
        <x:v>SKILL_0016</x:v>
      </x:c>
      <x:c r="B22" s="1" t="str">
        <x:f>'스킬 500종'!B22</x:f>
        <x:v>추가 피해의 일격</x:v>
      </x:c>
      <x:c r="C22" s="1" t="n">
        <x:f>1</x:f>
        <x:v>1</x:v>
      </x:c>
      <x:c r="D22" s="9" t="n">
        <x:f>C22*1*('효과 규칙 55종'!H33*'스킬 500종'!L22*'스킬 500종'!M22/'효과 규칙 55종'!D33)</x:f>
        <x:v>0.44999999999999996</x:v>
      </x:c>
      <x:c r="E22" s="9" t="n">
        <x:f>C22*SUM('스킬 500종'!E22:H22)</x:f>
        <x:v>1.1</x:v>
      </x:c>
      <x:c r="F22" s="9" t="n">
        <x:f>C22*1.4*SUM('스킬 500종'!I22:J22)</x:f>
        <x:v>0</x:v>
      </x:c>
      <x:c r="G22" s="9" t="n">
        <x:f>SUM(D22:F22)</x:f>
        <x:v>1.55</x:v>
      </x:c>
      <x:c r="H22" s="9" t="n">
        <x:f>1.1+0.8*'스킬 500종'!W22</x:f>
        <x:v>1.9000000000000001</x:v>
      </x:c>
      <x:c r="I22" s="10" t="n">
        <x:f>G22/H22</x:f>
        <x:v>0.8157894736842105</x:v>
      </x:c>
      <x:c r="J22" s="1" t="str">
        <x:f>IF(OR('스킬 500종'!I22&lt;0,'스킬 500종'!J22&lt;0,AND('스킬 500종'!I22&gt;0,'스킬 500종'!J22&gt;0),AND(OR('스킬 500종'!K22="HEAL",'스킬 500종'!N22="HEAL",'스킬 500종'!Q22="HEAL",'스킬 500종'!T22="HEAL"),'스킬 500종'!I22=0,'스킬 500종'!J22=0),AND('스킬 500종'!I22&gt;0,OR('스킬 500종'!K22="CONTINUOUS_HEAL",'스킬 500종'!N22="CONTINUOUS_HEAL",'스킬 500종'!Q22="CONTINUOUS_HEAL",'스킬 500종'!T22="CONTINUOUS_HEAL"))),"회복 기준 오류",IF(AND(G22&lt;=H22+0.00001,'스킬 500종'!W22&gt;=1,'스킬 500종'!W22&lt;=5),"정상","초과"))</x:f>
        <x:v>정상</x:v>
      </x:c>
    </x:row>
    <x:row r="23" ht="30" customHeight="1">
      <x:c r="A23" s="1" t="str">
        <x:f>'스킬 500종'!A23</x:f>
        <x:v>SKILL_0017</x:v>
      </x:c>
      <x:c r="B23" s="1" t="str">
        <x:f>'스킬 500종'!B23</x:f>
        <x:v>흡혈의 일격</x:v>
      </x:c>
      <x:c r="C23" s="1" t="n">
        <x:f>1</x:f>
        <x:v>1</x:v>
      </x:c>
      <x:c r="D23" s="9" t="n">
        <x:f>C23*1*('효과 규칙 55종'!H36*'스킬 500종'!L23*'스킬 500종'!M23/'효과 규칙 55종'!D36)</x:f>
        <x:v>0.6000000000000001</x:v>
      </x:c>
      <x:c r="E23" s="9" t="n">
        <x:f>C23*SUM('스킬 500종'!E23:H23)</x:f>
        <x:v>1.1</x:v>
      </x:c>
      <x:c r="F23" s="9" t="n">
        <x:f>C23*1.4*SUM('스킬 500종'!I23:J23)</x:f>
        <x:v>0</x:v>
      </x:c>
      <x:c r="G23" s="9" t="n">
        <x:f>SUM(D23:F23)</x:f>
        <x:v>1.7000000000000002</x:v>
      </x:c>
      <x:c r="H23" s="9" t="n">
        <x:f>1.1+0.8*'스킬 500종'!W23</x:f>
        <x:v>1.9000000000000001</x:v>
      </x:c>
      <x:c r="I23" s="10" t="n">
        <x:f>G23/H23</x:f>
        <x:v>0.8947368421052632</x:v>
      </x:c>
      <x:c r="J23" s="1" t="str">
        <x:f>IF(OR('스킬 500종'!I23&lt;0,'스킬 500종'!J23&lt;0,AND('스킬 500종'!I23&gt;0,'스킬 500종'!J23&gt;0),AND(OR('스킬 500종'!K23="HEAL",'스킬 500종'!N23="HEAL",'스킬 500종'!Q23="HEAL",'스킬 500종'!T23="HEAL"),'스킬 500종'!I23=0,'스킬 500종'!J23=0),AND('스킬 500종'!I23&gt;0,OR('스킬 500종'!K23="CONTINUOUS_HEAL",'스킬 500종'!N23="CONTINUOUS_HEAL",'스킬 500종'!Q23="CONTINUOUS_HEAL",'스킬 500종'!T23="CONTINUOUS_HEAL"))),"회복 기준 오류",IF(AND(G23&lt;=H23+0.00001,'스킬 500종'!W23&gt;=1,'스킬 500종'!W23&lt;=5),"정상","초과"))</x:f>
        <x:v>정상</x:v>
      </x:c>
    </x:row>
    <x:row r="24" ht="30" customHeight="1">
      <x:c r="A24" s="1" t="str">
        <x:f>'스킬 500종'!A24</x:f>
        <x:v>SKILL_0018</x:v>
      </x:c>
      <x:c r="B24" s="1" t="str">
        <x:f>'스킬 500종'!B24</x:f>
        <x:v>소멸의 일격</x:v>
      </x:c>
      <x:c r="C24" s="1" t="n">
        <x:f>1</x:f>
        <x:v>1</x:v>
      </x:c>
      <x:c r="D24" s="9" t="n">
        <x:f>C24*1*('효과 규칙 55종'!H47*'스킬 500종'!L24*'스킬 500종'!M24/'효과 규칙 55종'!D47)</x:f>
        <x:v>1.1</x:v>
      </x:c>
      <x:c r="E24" s="9" t="n">
        <x:f>C24*SUM('스킬 500종'!E24:H24)</x:f>
        <x:v>1.1</x:v>
      </x:c>
      <x:c r="F24" s="9" t="n">
        <x:f>C24*1.4*SUM('스킬 500종'!I24:J24)</x:f>
        <x:v>0</x:v>
      </x:c>
      <x:c r="G24" s="9" t="n">
        <x:f>SUM(D24:F24)</x:f>
        <x:v>2.2</x:v>
      </x:c>
      <x:c r="H24" s="9" t="n">
        <x:f>1.1+0.8*'스킬 500종'!W24</x:f>
        <x:v>2.7</x:v>
      </x:c>
      <x:c r="I24" s="10" t="n">
        <x:f>G24/H24</x:f>
        <x:v>0.8148148148148149</x:v>
      </x:c>
      <x:c r="J24" s="1" t="str">
        <x:f>IF(OR('스킬 500종'!I24&lt;0,'스킬 500종'!J24&lt;0,AND('스킬 500종'!I24&gt;0,'스킬 500종'!J24&gt;0),AND(OR('스킬 500종'!K24="HEAL",'스킬 500종'!N24="HEAL",'스킬 500종'!Q24="HEAL",'스킬 500종'!T24="HEAL"),'스킬 500종'!I24=0,'스킬 500종'!J24=0),AND('스킬 500종'!I24&gt;0,OR('스킬 500종'!K24="CONTINUOUS_HEAL",'스킬 500종'!N24="CONTINUOUS_HEAL",'스킬 500종'!Q24="CONTINUOUS_HEAL",'스킬 500종'!T24="CONTINUOUS_HEAL"))),"회복 기준 오류",IF(AND(G24&lt;=H24+0.00001,'스킬 500종'!W24&gt;=1,'스킬 500종'!W24&lt;=5),"정상","초과"))</x:f>
        <x:v>정상</x:v>
      </x:c>
    </x:row>
    <x:row r="25" ht="30" customHeight="1">
      <x:c r="A25" s="1" t="str">
        <x:f>'스킬 500종'!A25</x:f>
        <x:v>SKILL_0019</x:v>
      </x:c>
      <x:c r="B25" s="1" t="str">
        <x:f>'스킬 500종'!B25</x:f>
        <x:v>부활 불가의 일격</x:v>
      </x:c>
      <x:c r="C25" s="1" t="n">
        <x:f>1</x:f>
        <x:v>1</x:v>
      </x:c>
      <x:c r="D25" s="9" t="n">
        <x:f>C25*1*('효과 규칙 55종'!H48*'스킬 500종'!L25*'스킬 500종'!M25/'효과 규칙 55종'!D48)</x:f>
        <x:v>1</x:v>
      </x:c>
      <x:c r="E25" s="9" t="n">
        <x:f>C25*SUM('스킬 500종'!E25:H25)</x:f>
        <x:v>1.1</x:v>
      </x:c>
      <x:c r="F25" s="9" t="n">
        <x:f>C25*1.4*SUM('스킬 500종'!I25:J25)</x:f>
        <x:v>0</x:v>
      </x:c>
      <x:c r="G25" s="9" t="n">
        <x:f>SUM(D25:F25)</x:f>
        <x:v>2.1</x:v>
      </x:c>
      <x:c r="H25" s="9" t="n">
        <x:f>1.1+0.8*'스킬 500종'!W25</x:f>
        <x:v>2.7</x:v>
      </x:c>
      <x:c r="I25" s="10" t="n">
        <x:f>G25/H25</x:f>
        <x:v>0.7777777777777778</x:v>
      </x:c>
      <x:c r="J25" s="1" t="str">
        <x:f>IF(OR('스킬 500종'!I25&lt;0,'스킬 500종'!J25&lt;0,AND('스킬 500종'!I25&gt;0,'스킬 500종'!J25&gt;0),AND(OR('스킬 500종'!K25="HEAL",'스킬 500종'!N25="HEAL",'스킬 500종'!Q25="HEAL",'스킬 500종'!T25="HEAL"),'스킬 500종'!I25=0,'스킬 500종'!J25=0),AND('스킬 500종'!I25&gt;0,OR('스킬 500종'!K25="CONTINUOUS_HEAL",'스킬 500종'!N25="CONTINUOUS_HEAL",'스킬 500종'!Q25="CONTINUOUS_HEAL",'스킬 500종'!T25="CONTINUOUS_HEAL"))),"회복 기준 오류",IF(AND(G25&lt;=H25+0.00001,'스킬 500종'!W25&gt;=1,'스킬 500종'!W25&lt;=5),"정상","초과"))</x:f>
        <x:v>정상</x:v>
      </x:c>
    </x:row>
    <x:row r="26" ht="30" customHeight="1">
      <x:c r="A26" s="1" t="str">
        <x:f>'스킬 500종'!A26</x:f>
        <x:v>SKILL_0020</x:v>
      </x:c>
      <x:c r="B26" s="1" t="str">
        <x:f>'스킬 500종'!B26</x:f>
        <x:v>추가 공격의 일격</x:v>
      </x:c>
      <x:c r="C26" s="1" t="n">
        <x:f>1</x:f>
        <x:v>1</x:v>
      </x:c>
      <x:c r="D26" s="9" t="n">
        <x:f>C26*1*('효과 규칙 55종'!H50*'스킬 500종'!L26*'스킬 500종'!M26/'효과 규칙 55종'!D50)</x:f>
        <x:v>0.9750000000000002</x:v>
      </x:c>
      <x:c r="E26" s="9" t="n">
        <x:f>C26*SUM('스킬 500종'!E26:H26)</x:f>
        <x:v>1.1</x:v>
      </x:c>
      <x:c r="F26" s="9" t="n">
        <x:f>C26*1.4*SUM('스킬 500종'!I26:J26)</x:f>
        <x:v>0</x:v>
      </x:c>
      <x:c r="G26" s="9" t="n">
        <x:f>SUM(D26:F26)</x:f>
        <x:v>2.075</x:v>
      </x:c>
      <x:c r="H26" s="9" t="n">
        <x:f>1.1+0.8*'스킬 500종'!W26</x:f>
        <x:v>2.7</x:v>
      </x:c>
      <x:c r="I26" s="10" t="n">
        <x:f>G26/H26</x:f>
        <x:v>0.7685185185185185</x:v>
      </x:c>
      <x:c r="J26" s="1" t="str">
        <x:f>IF(OR('스킬 500종'!I26&lt;0,'스킬 500종'!J26&lt;0,AND('스킬 500종'!I26&gt;0,'스킬 500종'!J26&gt;0),AND(OR('스킬 500종'!K26="HEAL",'스킬 500종'!N26="HEAL",'스킬 500종'!Q26="HEAL",'스킬 500종'!T26="HEAL"),'스킬 500종'!I26=0,'스킬 500종'!J26=0),AND('스킬 500종'!I26&gt;0,OR('스킬 500종'!K26="CONTINUOUS_HEAL",'스킬 500종'!N26="CONTINUOUS_HEAL",'스킬 500종'!Q26="CONTINUOUS_HEAL",'스킬 500종'!T26="CONTINUOUS_HEAL"))),"회복 기준 오류",IF(AND(G26&lt;=H26+0.00001,'스킬 500종'!W26&gt;=1,'스킬 500종'!W26&lt;=5),"정상","초과"))</x:f>
        <x:v>정상</x:v>
      </x:c>
    </x:row>
    <x:row r="27" ht="30" customHeight="1">
      <x:c r="A27" s="1" t="str">
        <x:f>'스킬 500종'!A27</x:f>
        <x:v>SKILL_0021</x:v>
      </x:c>
      <x:c r="B27" s="1" t="str">
        <x:f>'스킬 500종'!B27</x:f>
        <x:v>스킬 쿨타임 증가의 일격</x:v>
      </x:c>
      <x:c r="C27" s="1" t="n">
        <x:f>1</x:f>
        <x:v>1</x:v>
      </x:c>
      <x:c r="D27" s="9" t="n">
        <x:f>C27*1*('효과 규칙 55종'!H54*'스킬 500종'!L27*'스킬 500종'!M27/'효과 규칙 55종'!D54)</x:f>
        <x:v>1.5</x:v>
      </x:c>
      <x:c r="E27" s="9" t="n">
        <x:f>C27*SUM('스킬 500종'!E27:H27)</x:f>
        <x:v>1.1</x:v>
      </x:c>
      <x:c r="F27" s="9" t="n">
        <x:f>C27*1.4*SUM('스킬 500종'!I27:J27)</x:f>
        <x:v>0</x:v>
      </x:c>
      <x:c r="G27" s="9" t="n">
        <x:f>SUM(D27:F27)</x:f>
        <x:v>2.6</x:v>
      </x:c>
      <x:c r="H27" s="9" t="n">
        <x:f>1.1+0.8*'스킬 500종'!W27</x:f>
        <x:v>2.7</x:v>
      </x:c>
      <x:c r="I27" s="10" t="n">
        <x:f>G27/H27</x:f>
        <x:v>0.9629629629629629</x:v>
      </x:c>
      <x:c r="J27" s="1" t="str">
        <x:f>IF(OR('스킬 500종'!I27&lt;0,'스킬 500종'!J27&lt;0,AND('스킬 500종'!I27&gt;0,'스킬 500종'!J27&gt;0),AND(OR('스킬 500종'!K27="HEAL",'스킬 500종'!N27="HEAL",'스킬 500종'!Q27="HEAL",'스킬 500종'!T27="HEAL"),'스킬 500종'!I27=0,'스킬 500종'!J27=0),AND('스킬 500종'!I27&gt;0,OR('스킬 500종'!K27="CONTINUOUS_HEAL",'스킬 500종'!N27="CONTINUOUS_HEAL",'스킬 500종'!Q27="CONTINUOUS_HEAL",'스킬 500종'!T27="CONTINUOUS_HEAL"))),"회복 기준 오류",IF(AND(G27&lt;=H27+0.00001,'스킬 500종'!W27&gt;=1,'스킬 500종'!W27&lt;=5),"정상","초과"))</x:f>
        <x:v>정상</x:v>
      </x:c>
    </x:row>
    <x:row r="28" ht="30" customHeight="1">
      <x:c r="A28" s="1" t="str">
        <x:f>'스킬 500종'!A28</x:f>
        <x:v>SKILL_0022</x:v>
      </x:c>
      <x:c r="B28" s="1" t="str">
        <x:f>'스킬 500종'!B28</x:f>
        <x:v>방어력 관통의 일격</x:v>
      </x:c>
      <x:c r="C28" s="1" t="n">
        <x:f>1</x:f>
        <x:v>1</x:v>
      </x:c>
      <x:c r="D28" s="9" t="n">
        <x:f>C28*1*('효과 규칙 55종'!H55*'스킬 500종'!L28*'스킬 500종'!M28/'효과 규칙 55종'!D55)</x:f>
        <x:v>1.05</x:v>
      </x:c>
      <x:c r="E28" s="9" t="n">
        <x:f>C28*SUM('스킬 500종'!E28:H28)</x:f>
        <x:v>1.1</x:v>
      </x:c>
      <x:c r="F28" s="9" t="n">
        <x:f>C28*1.4*SUM('스킬 500종'!I28:J28)</x:f>
        <x:v>0</x:v>
      </x:c>
      <x:c r="G28" s="9" t="n">
        <x:f>SUM(D28:F28)</x:f>
        <x:v>2.1500000000000004</x:v>
      </x:c>
      <x:c r="H28" s="9" t="n">
        <x:f>1.1+0.8*'스킬 500종'!W28</x:f>
        <x:v>2.7</x:v>
      </x:c>
      <x:c r="I28" s="10" t="n">
        <x:f>G28/H28</x:f>
        <x:v>0.7962962962962964</x:v>
      </x:c>
      <x:c r="J28" s="1" t="str">
        <x:f>IF(OR('스킬 500종'!I28&lt;0,'스킬 500종'!J28&lt;0,AND('스킬 500종'!I28&gt;0,'스킬 500종'!J28&gt;0),AND(OR('스킬 500종'!K28="HEAL",'스킬 500종'!N28="HEAL",'스킬 500종'!Q28="HEAL",'스킬 500종'!T28="HEAL"),'스킬 500종'!I28=0,'스킬 500종'!J28=0),AND('스킬 500종'!I28&gt;0,OR('스킬 500종'!K28="CONTINUOUS_HEAL",'스킬 500종'!N28="CONTINUOUS_HEAL",'스킬 500종'!Q28="CONTINUOUS_HEAL",'스킬 500종'!T28="CONTINUOUS_HEAL"))),"회복 기준 오류",IF(AND(G28&lt;=H28+0.00001,'스킬 500종'!W28&gt;=1,'스킬 500종'!W28&lt;=5),"정상","초과"))</x:f>
        <x:v>정상</x:v>
      </x:c>
    </x:row>
    <x:row r="29" ht="30" customHeight="1">
      <x:c r="A29" s="1" t="str">
        <x:f>'스킬 500종'!A29</x:f>
        <x:v>SKILL_0023</x:v>
      </x:c>
      <x:c r="B29" s="1" t="str">
        <x:f>'스킬 500종'!B29</x:f>
        <x:v>강화효과 해제의 일격</x:v>
      </x:c>
      <x:c r="C29" s="1" t="n">
        <x:f>1</x:f>
        <x:v>1</x:v>
      </x:c>
      <x:c r="D29" s="9" t="n">
        <x:f>C29*1*('효과 규칙 55종'!H56*'스킬 500종'!L29*'스킬 500종'!M29/'효과 규칙 55종'!D56)</x:f>
        <x:v>1.5</x:v>
      </x:c>
      <x:c r="E29" s="9" t="n">
        <x:f>C29*SUM('스킬 500종'!E29:H29)</x:f>
        <x:v>1.1</x:v>
      </x:c>
      <x:c r="F29" s="9" t="n">
        <x:f>C29*1.4*SUM('스킬 500종'!I29:J29)</x:f>
        <x:v>0</x:v>
      </x:c>
      <x:c r="G29" s="9" t="n">
        <x:f>SUM(D29:F29)</x:f>
        <x:v>2.6</x:v>
      </x:c>
      <x:c r="H29" s="9" t="n">
        <x:f>1.1+0.8*'스킬 500종'!W29</x:f>
        <x:v>2.7</x:v>
      </x:c>
      <x:c r="I29" s="10" t="n">
        <x:f>G29/H29</x:f>
        <x:v>0.9629629629629629</x:v>
      </x:c>
      <x:c r="J29" s="1" t="str">
        <x:f>IF(OR('스킬 500종'!I29&lt;0,'스킬 500종'!J29&lt;0,AND('스킬 500종'!I29&gt;0,'스킬 500종'!J29&gt;0),AND(OR('스킬 500종'!K29="HEAL",'스킬 500종'!N29="HEAL",'스킬 500종'!Q29="HEAL",'스킬 500종'!T29="HEAL"),'스킬 500종'!I29=0,'스킬 500종'!J29=0),AND('스킬 500종'!I29&gt;0,OR('스킬 500종'!K29="CONTINUOUS_HEAL",'스킬 500종'!N29="CONTINUOUS_HEAL",'스킬 500종'!Q29="CONTINUOUS_HEAL",'스킬 500종'!T29="CONTINUOUS_HEAL"))),"회복 기준 오류",IF(AND(G29&lt;=H29+0.00001,'스킬 500종'!W29&gt;=1,'스킬 500종'!W29&lt;=5),"정상","초과"))</x:f>
        <x:v>정상</x:v>
      </x:c>
    </x:row>
    <x:row r="30" ht="30" customHeight="1">
      <x:c r="A30" s="1" t="str">
        <x:f>'스킬 500종'!A30</x:f>
        <x:v>SKILL_0024</x:v>
      </x:c>
      <x:c r="B30" s="1" t="str">
        <x:f>'스킬 500종'!B30</x:f>
        <x:v>강화효과 지속시간 감소의 일격</x:v>
      </x:c>
      <x:c r="C30" s="1" t="n">
        <x:f>1</x:f>
        <x:v>1</x:v>
      </x:c>
      <x:c r="D30" s="9" t="n">
        <x:f>C30*1*('효과 규칙 55종'!H59*'스킬 500종'!L30*'스킬 500종'!M30/'효과 규칙 55종'!D59)</x:f>
        <x:v>0.7</x:v>
      </x:c>
      <x:c r="E30" s="9" t="n">
        <x:f>C30*SUM('스킬 500종'!E30:H30)</x:f>
        <x:v>1.1</x:v>
      </x:c>
      <x:c r="F30" s="9" t="n">
        <x:f>C30*1.4*SUM('스킬 500종'!I30:J30)</x:f>
        <x:v>0</x:v>
      </x:c>
      <x:c r="G30" s="9" t="n">
        <x:f>SUM(D30:F30)</x:f>
        <x:v>1.8</x:v>
      </x:c>
      <x:c r="H30" s="9" t="n">
        <x:f>1.1+0.8*'스킬 500종'!W30</x:f>
        <x:v>1.9000000000000001</x:v>
      </x:c>
      <x:c r="I30" s="10" t="n">
        <x:f>G30/H30</x:f>
        <x:v>0.9473684210526315</x:v>
      </x:c>
      <x:c r="J30" s="1" t="str">
        <x:f>IF(OR('스킬 500종'!I30&lt;0,'스킬 500종'!J30&lt;0,AND('스킬 500종'!I30&gt;0,'스킬 500종'!J30&gt;0),AND(OR('스킬 500종'!K30="HEAL",'스킬 500종'!N30="HEAL",'스킬 500종'!Q30="HEAL",'스킬 500종'!T30="HEAL"),'스킬 500종'!I30=0,'스킬 500종'!J30=0),AND('스킬 500종'!I30&gt;0,OR('스킬 500종'!K30="CONTINUOUS_HEAL",'스킬 500종'!N30="CONTINUOUS_HEAL",'스킬 500종'!Q30="CONTINUOUS_HEAL",'스킬 500종'!T30="CONTINUOUS_HEAL"))),"회복 기준 오류",IF(AND(G30&lt;=H30+0.00001,'스킬 500종'!W30&gt;=1,'스킬 500종'!W30&lt;=5),"정상","초과"))</x:f>
        <x:v>정상</x:v>
      </x:c>
    </x:row>
    <x:row r="31" ht="30" customHeight="1">
      <x:c r="A31" s="1" t="str">
        <x:f>'스킬 500종'!A31</x:f>
        <x:v>SKILL_0025</x:v>
      </x:c>
      <x:c r="B31" s="1" t="str">
        <x:f>'스킬 500종'!B31</x:f>
        <x:v>약화효과 지속시간 증가의 일격</x:v>
      </x:c>
      <x:c r="C31" s="1" t="n">
        <x:f>1</x:f>
        <x:v>1</x:v>
      </x:c>
      <x:c r="D31" s="9" t="n">
        <x:f>C31*1*('효과 규칙 55종'!H60*'스킬 500종'!L31*'스킬 500종'!M31/'효과 규칙 55종'!D60)</x:f>
        <x:v>0.95</x:v>
      </x:c>
      <x:c r="E31" s="9" t="n">
        <x:f>C31*SUM('스킬 500종'!E31:H31)</x:f>
        <x:v>1.1</x:v>
      </x:c>
      <x:c r="F31" s="9" t="n">
        <x:f>C31*1.4*SUM('스킬 500종'!I31:J31)</x:f>
        <x:v>0</x:v>
      </x:c>
      <x:c r="G31" s="9" t="n">
        <x:f>SUM(D31:F31)</x:f>
        <x:v>2.05</x:v>
      </x:c>
      <x:c r="H31" s="9" t="n">
        <x:f>1.1+0.8*'스킬 500종'!W31</x:f>
        <x:v>2.7</x:v>
      </x:c>
      <x:c r="I31" s="10" t="n">
        <x:f>G31/H31</x:f>
        <x:v>0.7592592592592592</x:v>
      </x:c>
      <x:c r="J31" s="1" t="str">
        <x:f>IF(OR('스킬 500종'!I31&lt;0,'스킬 500종'!J31&lt;0,AND('스킬 500종'!I31&gt;0,'스킬 500종'!J31&gt;0),AND(OR('스킬 500종'!K31="HEAL",'스킬 500종'!N31="HEAL",'스킬 500종'!Q31="HEAL",'스킬 500종'!T31="HEAL"),'스킬 500종'!I31=0,'스킬 500종'!J31=0),AND('스킬 500종'!I31&gt;0,OR('스킬 500종'!K31="CONTINUOUS_HEAL",'스킬 500종'!N31="CONTINUOUS_HEAL",'스킬 500종'!Q31="CONTINUOUS_HEAL",'스킬 500종'!T31="CONTINUOUS_HEAL"))),"회복 기준 오류",IF(AND(G31&lt;=H31+0.00001,'스킬 500종'!W31&gt;=1,'스킬 500종'!W31&lt;=5),"정상","초과"))</x:f>
        <x:v>정상</x:v>
      </x:c>
    </x:row>
    <x:row r="32" ht="30" customHeight="1">
      <x:c r="A32" s="1" t="str">
        <x:f>'스킬 500종'!A32</x:f>
        <x:v>SKILL_0026</x:v>
      </x:c>
      <x:c r="B32" s="1" t="str">
        <x:f>'스킬 500종'!B32</x:f>
        <x:v>약화효과 전이의 일격</x:v>
      </x:c>
      <x:c r="C32" s="1" t="n">
        <x:f>1</x:f>
        <x:v>1</x:v>
      </x:c>
      <x:c r="D32" s="9" t="n">
        <x:f>C32*1*('효과 규칙 55종'!H61*'스킬 500종'!L32*'스킬 500종'!M32/'효과 규칙 55종'!D61)</x:f>
        <x:v>2</x:v>
      </x:c>
      <x:c r="E32" s="9" t="n">
        <x:f>C32*SUM('스킬 500종'!E32:H32)</x:f>
        <x:v>1.1</x:v>
      </x:c>
      <x:c r="F32" s="9" t="n">
        <x:f>C32*1.4*SUM('스킬 500종'!I32:J32)</x:f>
        <x:v>0</x:v>
      </x:c>
      <x:c r="G32" s="9" t="n">
        <x:f>SUM(D32:F32)</x:f>
        <x:v>3.1</x:v>
      </x:c>
      <x:c r="H32" s="9" t="n">
        <x:f>1.1+0.8*'스킬 500종'!W32</x:f>
        <x:v>3.5000000000000004</x:v>
      </x:c>
      <x:c r="I32" s="10" t="n">
        <x:f>G32/H32</x:f>
        <x:v>0.8857142857142857</x:v>
      </x:c>
      <x:c r="J32" s="1" t="str">
        <x:f>IF(OR('스킬 500종'!I32&lt;0,'스킬 500종'!J32&lt;0,AND('스킬 500종'!I32&gt;0,'스킬 500종'!J32&gt;0),AND(OR('스킬 500종'!K32="HEAL",'스킬 500종'!N32="HEAL",'스킬 500종'!Q32="HEAL",'스킬 500종'!T32="HEAL"),'스킬 500종'!I32=0,'스킬 500종'!J32=0),AND('스킬 500종'!I32&gt;0,OR('스킬 500종'!K32="CONTINUOUS_HEAL",'스킬 500종'!N32="CONTINUOUS_HEAL",'스킬 500종'!Q32="CONTINUOUS_HEAL",'스킬 500종'!T32="CONTINUOUS_HEAL"))),"회복 기준 오류",IF(AND(G32&lt;=H32+0.00001,'스킬 500종'!W32&gt;=1,'스킬 500종'!W32&lt;=5),"정상","초과"))</x:f>
        <x:v>정상</x:v>
      </x:c>
    </x:row>
    <x:row r="33" ht="30" customHeight="1">
      <x:c r="A33" s="1" t="str">
        <x:f>'스킬 500종'!A33</x:f>
        <x:v>SKILL_0027</x:v>
      </x:c>
      <x:c r="B33" s="1" t="str">
        <x:f>'스킬 500종'!B33</x:f>
        <x:v>속도 감소 · 부활 불가 · 추가 공격의 일격</x:v>
      </x:c>
      <x:c r="C33" s="1" t="n">
        <x:f>1</x:f>
        <x:v>1</x:v>
      </x:c>
      <x:c r="D33" s="9" t="n">
        <x:f>C33*1.16*('효과 규칙 55종'!H20*'스킬 500종'!L33*'스킬 500종'!M33/'효과 규칙 55종'!D20+'효과 규칙 55종'!H48*'스킬 500종'!O33*'스킬 500종'!P33/'효과 규칙 55종'!D48+'효과 규칙 55종'!H50*'스킬 500종'!R33*'스킬 500종'!S33/'효과 규칙 55종'!D50)</x:f>
        <x:v>1.8931200000000004</x:v>
      </x:c>
      <x:c r="E33" s="9" t="n">
        <x:f>C33*SUM('스킬 500종'!E33:H33)</x:f>
        <x:v>1.1</x:v>
      </x:c>
      <x:c r="F33" s="9" t="n">
        <x:f>C33*1.4*SUM('스킬 500종'!I33:J33)</x:f>
        <x:v>0</x:v>
      </x:c>
      <x:c r="G33" s="9" t="n">
        <x:f>SUM(D33:F33)</x:f>
        <x:v>2.9931200000000002</x:v>
      </x:c>
      <x:c r="H33" s="9" t="n">
        <x:f>1.1+0.8*'스킬 500종'!W33</x:f>
        <x:v>3.5000000000000004</x:v>
      </x:c>
      <x:c r="I33" s="10" t="n">
        <x:f>G33/H33</x:f>
        <x:v>0.8551771428571429</x:v>
      </x:c>
      <x:c r="J33" s="1" t="str">
        <x:f>IF(OR('스킬 500종'!I33&lt;0,'스킬 500종'!J33&lt;0,AND('스킬 500종'!I33&gt;0,'스킬 500종'!J33&gt;0),AND(OR('스킬 500종'!K33="HEAL",'스킬 500종'!N33="HEAL",'스킬 500종'!Q33="HEAL",'스킬 500종'!T33="HEAL"),'스킬 500종'!I33=0,'스킬 500종'!J33=0),AND('스킬 500종'!I33&gt;0,OR('스킬 500종'!K33="CONTINUOUS_HEAL",'스킬 500종'!N33="CONTINUOUS_HEAL",'스킬 500종'!Q33="CONTINUOUS_HEAL",'스킬 500종'!T33="CONTINUOUS_HEAL"))),"회복 기준 오류",IF(AND(G33&lt;=H33+0.00001,'스킬 500종'!W33&gt;=1,'스킬 500종'!W33&lt;=5),"정상","초과"))</x:f>
        <x:v>정상</x:v>
      </x:c>
    </x:row>
    <x:row r="34" ht="30" customHeight="1">
      <x:c r="A34" s="1" t="str">
        <x:f>'스킬 500종'!A34</x:f>
        <x:v>SKILL_0028</x:v>
      </x:c>
      <x:c r="B34" s="1" t="str">
        <x:f>'스킬 500종'!B34</x:f>
        <x:v>반격 불가 · 회복 불가 · 소멸의 일격</x:v>
      </x:c>
      <x:c r="C34" s="1" t="n">
        <x:f>2.4</x:f>
        <x:v>2.4</x:v>
      </x:c>
      <x:c r="D34" s="9" t="n">
        <x:f>C34*1.16*('효과 규칙 55종'!H27*'스킬 500종'!L34*'스킬 500종'!M34/'효과 규칙 55종'!D27+'효과 규칙 55종'!H25*'스킬 500종'!O34*'스킬 500종'!P34/'효과 규칙 55종'!D25+'효과 규칙 55종'!H47*'스킬 500종'!R34*'스킬 500종'!S34/'효과 규칙 55종'!D47)</x:f>
        <x:v>3.6748800000000004</x:v>
      </x:c>
      <x:c r="E34" s="9" t="n">
        <x:f>C34*SUM('스킬 500종'!E34:H34)</x:f>
        <x:v>1.08</x:v>
      </x:c>
      <x:c r="F34" s="9" t="n">
        <x:f>C34*1.4*SUM('스킬 500종'!I34:J34)</x:f>
        <x:v>0</x:v>
      </x:c>
      <x:c r="G34" s="9" t="n">
        <x:f>SUM(D34:F34)</x:f>
        <x:v>4.75488</x:v>
      </x:c>
      <x:c r="H34" s="9" t="n">
        <x:f>1.1+0.8*'스킬 500종'!W34</x:f>
        <x:v>5.1</x:v>
      </x:c>
      <x:c r="I34" s="10" t="n">
        <x:f>G34/H34</x:f>
        <x:v>0.932329411764706</x:v>
      </x:c>
      <x:c r="J34" s="1" t="str">
        <x:f>IF(OR('스킬 500종'!I34&lt;0,'스킬 500종'!J34&lt;0,AND('스킬 500종'!I34&gt;0,'스킬 500종'!J34&gt;0),AND(OR('스킬 500종'!K34="HEAL",'스킬 500종'!N34="HEAL",'스킬 500종'!Q34="HEAL",'스킬 500종'!T34="HEAL"),'스킬 500종'!I34=0,'스킬 500종'!J34=0),AND('스킬 500종'!I34&gt;0,OR('스킬 500종'!K34="CONTINUOUS_HEAL",'스킬 500종'!N34="CONTINUOUS_HEAL",'스킬 500종'!Q34="CONTINUOUS_HEAL",'스킬 500종'!T34="CONTINUOUS_HEAL"))),"회복 기준 오류",IF(AND(G34&lt;=H34+0.00001,'스킬 500종'!W34&gt;=1,'스킬 500종'!W34&lt;=5),"정상","초과"))</x:f>
        <x:v>정상</x:v>
      </x:c>
    </x:row>
    <x:row r="35" ht="30" customHeight="1">
      <x:c r="A35" s="1" t="str">
        <x:f>'스킬 500종'!A35</x:f>
        <x:v>SKILL_0029</x:v>
      </x:c>
      <x:c r="B35" s="1" t="str">
        <x:f>'스킬 500종'!B35</x:f>
        <x:v>소멸 · 명중 감소 · 강화효과 해제의 일격</x:v>
      </x:c>
      <x:c r="C35" s="1" t="n">
        <x:f>1</x:f>
        <x:v>1</x:v>
      </x:c>
      <x:c r="D35" s="9" t="n">
        <x:f>C35*1.16*('효과 규칙 55종'!H47*'스킬 500종'!L35*'스킬 500종'!M35/'효과 규칙 55종'!D47+'효과 규칙 55종'!H21*'스킬 500종'!O35*'스킬 500종'!P35/'효과 규칙 55종'!D21+'효과 규칙 55종'!H56*'스킬 500종'!R35*'스킬 500종'!S35/'효과 규칙 55종'!D56)</x:f>
        <x:v>2.2364800000000002</x:v>
      </x:c>
      <x:c r="E35" s="9" t="n">
        <x:f>C35*SUM('스킬 500종'!E35:H35)</x:f>
        <x:v>1.1</x:v>
      </x:c>
      <x:c r="F35" s="9" t="n">
        <x:f>C35*1.4*SUM('스킬 500종'!I35:J35)</x:f>
        <x:v>0</x:v>
      </x:c>
      <x:c r="G35" s="9" t="n">
        <x:f>SUM(D35:F35)</x:f>
        <x:v>3.3364800000000003</x:v>
      </x:c>
      <x:c r="H35" s="9" t="n">
        <x:f>1.1+0.8*'스킬 500종'!W35</x:f>
        <x:v>3.5000000000000004</x:v>
      </x:c>
      <x:c r="I35" s="10" t="n">
        <x:f>G35/H35</x:f>
        <x:v>0.95328</x:v>
      </x:c>
      <x:c r="J35" s="1" t="str">
        <x:f>IF(OR('스킬 500종'!I35&lt;0,'스킬 500종'!J35&lt;0,AND('스킬 500종'!I35&gt;0,'스킬 500종'!J35&gt;0),AND(OR('스킬 500종'!K35="HEAL",'스킬 500종'!N35="HEAL",'스킬 500종'!Q35="HEAL",'스킬 500종'!T35="HEAL"),'스킬 500종'!I35=0,'스킬 500종'!J35=0),AND('스킬 500종'!I35&gt;0,OR('스킬 500종'!K35="CONTINUOUS_HEAL",'스킬 500종'!N35="CONTINUOUS_HEAL",'스킬 500종'!Q35="CONTINUOUS_HEAL",'스킬 500종'!T35="CONTINUOUS_HEAL"))),"회복 기준 오류",IF(AND(G35&lt;=H35+0.00001,'스킬 500종'!W35&gt;=1,'스킬 500종'!W35&lt;=5),"정상","초과"))</x:f>
        <x:v>정상</x:v>
      </x:c>
    </x:row>
    <x:row r="36" ht="30" customHeight="1">
      <x:c r="A36" s="1" t="str">
        <x:f>'스킬 500종'!A36</x:f>
        <x:v>SKILL_0030</x:v>
      </x:c>
      <x:c r="B36" s="1" t="str">
        <x:f>'스킬 500종'!B36</x:f>
        <x:v>상처 · 추가 피해 · 도발 · 강화 불가의 일격</x:v>
      </x:c>
      <x:c r="C36" s="1" t="n">
        <x:f>1</x:f>
        <x:v>1</x:v>
      </x:c>
      <x:c r="D36" s="9" t="n">
        <x:f>C36*1.24*('효과 규칙 55종'!H32*'스킬 500종'!L36*'스킬 500종'!M36/'효과 규칙 55종'!D32+'효과 규칙 55종'!H33*'스킬 500종'!O36*'스킬 500종'!P36/'효과 규칙 55종'!D33+'효과 규칙 55종'!H24*'스킬 500종'!R36*'스킬 500종'!S36/'효과 규칙 55종'!D24+'효과 규칙 55종'!H26*'스킬 500종'!U36*'스킬 500종'!V36/'효과 규칙 55종'!D26)</x:f>
        <x:v>2.2703408</x:v>
      </x:c>
      <x:c r="E36" s="9" t="n">
        <x:f>C36*SUM('스킬 500종'!E36:H36)</x:f>
        <x:v>1.1</x:v>
      </x:c>
      <x:c r="F36" s="9" t="n">
        <x:f>C36*1.4*SUM('스킬 500종'!I36:J36)</x:f>
        <x:v>0</x:v>
      </x:c>
      <x:c r="G36" s="9" t="n">
        <x:f>SUM(D36:F36)</x:f>
        <x:v>3.3703408</x:v>
      </x:c>
      <x:c r="H36" s="9" t="n">
        <x:f>1.1+0.8*'스킬 500종'!W36</x:f>
        <x:v>3.5000000000000004</x:v>
      </x:c>
      <x:c r="I36" s="10" t="n">
        <x:f>G36/H36</x:f>
        <x:v>0.9629545142857142</x:v>
      </x:c>
      <x:c r="J36" s="1" t="str">
        <x:f>IF(OR('스킬 500종'!I36&lt;0,'스킬 500종'!J36&lt;0,AND('스킬 500종'!I36&gt;0,'스킬 500종'!J36&gt;0),AND(OR('스킬 500종'!K36="HEAL",'스킬 500종'!N36="HEAL",'스킬 500종'!Q36="HEAL",'스킬 500종'!T36="HEAL"),'스킬 500종'!I36=0,'스킬 500종'!J36=0),AND('스킬 500종'!I36&gt;0,OR('스킬 500종'!K36="CONTINUOUS_HEAL",'스킬 500종'!N36="CONTINUOUS_HEAL",'스킬 500종'!Q36="CONTINUOUS_HEAL",'스킬 500종'!T36="CONTINUOUS_HEAL"))),"회복 기준 오류",IF(AND(G36&lt;=H36+0.00001,'스킬 500종'!W36&gt;=1,'스킬 500종'!W36&lt;=5),"정상","초과"))</x:f>
        <x:v>정상</x:v>
      </x:c>
    </x:row>
    <x:row r="37" ht="30" customHeight="1">
      <x:c r="A37" s="1" t="str">
        <x:f>'스킬 500종'!A37</x:f>
        <x:v>SKILL_0031</x:v>
      </x:c>
      <x:c r="B37" s="1" t="str">
        <x:f>'스킬 500종'!B37</x:f>
        <x:v>약화효과 지속시간 증가 · 표적의 일격</x:v>
      </x:c>
      <x:c r="C37" s="1" t="n">
        <x:f>2.4</x:f>
        <x:v>2.4</x:v>
      </x:c>
      <x:c r="D37" s="9" t="n">
        <x:f>C37*1.08*('효과 규칙 55종'!H60*'스킬 500종'!L37*'스킬 500종'!M37/'효과 규칙 55종'!D60+'효과 규칙 55종'!H30*'스킬 500종'!O37*'스킬 500종'!P37/'효과 규칙 55종'!D30)</x:f>
        <x:v>3.4149599999999998</x:v>
      </x:c>
      <x:c r="E37" s="9" t="n">
        <x:f>C37*SUM('스킬 500종'!E37:H37)</x:f>
        <x:v>1.56</x:v>
      </x:c>
      <x:c r="F37" s="9" t="n">
        <x:f>C37*1.4*SUM('스킬 500종'!I37:J37)</x:f>
        <x:v>0</x:v>
      </x:c>
      <x:c r="G37" s="9" t="n">
        <x:f>SUM(D37:F37)</x:f>
        <x:v>4.974959999999999</x:v>
      </x:c>
      <x:c r="H37" s="9" t="n">
        <x:f>1.1+0.8*'스킬 500종'!W37</x:f>
        <x:v>5.1</x:v>
      </x:c>
      <x:c r="I37" s="10" t="n">
        <x:f>G37/H37</x:f>
        <x:v>0.9754823529411765</x:v>
      </x:c>
      <x:c r="J37" s="1" t="str">
        <x:f>IF(OR('스킬 500종'!I37&lt;0,'스킬 500종'!J37&lt;0,AND('스킬 500종'!I37&gt;0,'스킬 500종'!J37&gt;0),AND(OR('스킬 500종'!K37="HEAL",'스킬 500종'!N37="HEAL",'스킬 500종'!Q37="HEAL",'스킬 500종'!T37="HEAL"),'스킬 500종'!I37=0,'스킬 500종'!J37=0),AND('스킬 500종'!I37&gt;0,OR('스킬 500종'!K37="CONTINUOUS_HEAL",'스킬 500종'!N37="CONTINUOUS_HEAL",'스킬 500종'!Q37="CONTINUOUS_HEAL",'스킬 500종'!T37="CONTINUOUS_HEAL"))),"회복 기준 오류",IF(AND(G37&lt;=H37+0.00001,'스킬 500종'!W37&gt;=1,'스킬 500종'!W37&lt;=5),"정상","초과"))</x:f>
        <x:v>정상</x:v>
      </x:c>
    </x:row>
    <x:row r="38" ht="30" customHeight="1">
      <x:c r="A38" s="1" t="str">
        <x:f>'스킬 500종'!A38</x:f>
        <x:v>SKILL_0032</x:v>
      </x:c>
      <x:c r="B38" s="1" t="str">
        <x:f>'스킬 500종'!B38</x:f>
        <x:v>기절 — 스턴 · 중독의 일격</x:v>
      </x:c>
      <x:c r="C38" s="1" t="n">
        <x:f>1</x:f>
        <x:v>1</x:v>
      </x:c>
      <x:c r="D38" s="9" t="n">
        <x:f>C38*1.08*('효과 규칙 55종'!H22*'스킬 500종'!L38*'스킬 500종'!M38/'효과 규칙 55종'!D22+'효과 규칙 55종'!H28*'스킬 500종'!O38*'스킬 500종'!P38/'효과 규칙 55종'!D28)</x:f>
        <x:v>2.3814</x:v>
      </x:c>
      <x:c r="E38" s="9" t="n">
        <x:f>C38*SUM('스킬 500종'!E38:H38)</x:f>
        <x:v>1.1</x:v>
      </x:c>
      <x:c r="F38" s="9" t="n">
        <x:f>C38*1.4*SUM('스킬 500종'!I38:J38)</x:f>
        <x:v>0</x:v>
      </x:c>
      <x:c r="G38" s="9" t="n">
        <x:f>SUM(D38:F38)</x:f>
        <x:v>3.4814000000000003</x:v>
      </x:c>
      <x:c r="H38" s="9" t="n">
        <x:f>1.1+0.8*'스킬 500종'!W38</x:f>
        <x:v>3.5000000000000004</x:v>
      </x:c>
      <x:c r="I38" s="10" t="n">
        <x:f>G38/H38</x:f>
        <x:v>0.9946857142857143</x:v>
      </x:c>
      <x:c r="J38" s="1" t="str">
        <x:f>IF(OR('스킬 500종'!I38&lt;0,'스킬 500종'!J38&lt;0,AND('스킬 500종'!I38&gt;0,'스킬 500종'!J38&gt;0),AND(OR('스킬 500종'!K38="HEAL",'스킬 500종'!N38="HEAL",'스킬 500종'!Q38="HEAL",'스킬 500종'!T38="HEAL"),'스킬 500종'!I38=0,'스킬 500종'!J38=0),AND('스킬 500종'!I38&gt;0,OR('스킬 500종'!K38="CONTINUOUS_HEAL",'스킬 500종'!N38="CONTINUOUS_HEAL",'스킬 500종'!Q38="CONTINUOUS_HEAL",'스킬 500종'!T38="CONTINUOUS_HEAL"))),"회복 기준 오류",IF(AND(G38&lt;=H38+0.00001,'스킬 500종'!W38&gt;=1,'스킬 500종'!W38&lt;=5),"정상","초과"))</x:f>
        <x:v>정상</x:v>
      </x:c>
    </x:row>
    <x:row r="39" ht="30" customHeight="1">
      <x:c r="A39" s="1" t="str">
        <x:f>'스킬 500종'!A39</x:f>
        <x:v>SKILL_0033</x:v>
      </x:c>
      <x:c r="B39" s="1" t="str">
        <x:f>'스킬 500종'!B39</x:f>
        <x:v>공격력 감소 · 강화효과 지속시간 감소 · 방어력 관통 · 명중 감소의 일격</x:v>
      </x:c>
      <x:c r="C39" s="1" t="n">
        <x:f>1</x:f>
        <x:v>1</x:v>
      </x:c>
      <x:c r="D39" s="9" t="n">
        <x:f>C39*1.24*('효과 규칙 55종'!H18*'스킬 500종'!L39*'스킬 500종'!M39/'효과 규칙 55종'!D18+'효과 규칙 55종'!H59*'스킬 500종'!O39*'스킬 500종'!P39/'효과 규칙 55종'!D59+'효과 규칙 55종'!H55*'스킬 500종'!R39*'스킬 500종'!S39/'효과 규칙 55종'!D55+'효과 규칙 55종'!H21*'스킬 500종'!U39*'스킬 500종'!V39/'효과 규칙 55종'!D21)</x:f>
        <x:v>1.7087448</x:v>
      </x:c>
      <x:c r="E39" s="9" t="n">
        <x:f>C39*SUM('스킬 500종'!E39:H39)</x:f>
        <x:v>1.1</x:v>
      </x:c>
      <x:c r="F39" s="9" t="n">
        <x:f>C39*1.4*SUM('스킬 500종'!I39:J39)</x:f>
        <x:v>0</x:v>
      </x:c>
      <x:c r="G39" s="9" t="n">
        <x:f>SUM(D39:F39)</x:f>
        <x:v>2.8087448000000004</x:v>
      </x:c>
      <x:c r="H39" s="9" t="n">
        <x:f>1.1+0.8*'스킬 500종'!W39</x:f>
        <x:v>3.5000000000000004</x:v>
      </x:c>
      <x:c r="I39" s="10" t="n">
        <x:f>G39/H39</x:f>
        <x:v>0.8024985142857143</x:v>
      </x:c>
      <x:c r="J39" s="1" t="str">
        <x:f>IF(OR('스킬 500종'!I39&lt;0,'스킬 500종'!J39&lt;0,AND('스킬 500종'!I39&gt;0,'스킬 500종'!J39&gt;0),AND(OR('스킬 500종'!K39="HEAL",'스킬 500종'!N39="HEAL",'스킬 500종'!Q39="HEAL",'스킬 500종'!T39="HEAL"),'스킬 500종'!I39=0,'스킬 500종'!J39=0),AND('스킬 500종'!I39&gt;0,OR('스킬 500종'!K39="CONTINUOUS_HEAL",'스킬 500종'!N39="CONTINUOUS_HEAL",'스킬 500종'!Q39="CONTINUOUS_HEAL",'스킬 500종'!T39="CONTINUOUS_HEAL"))),"회복 기준 오류",IF(AND(G39&lt;=H39+0.00001,'스킬 500종'!W39&gt;=1,'스킬 500종'!W39&lt;=5),"정상","초과"))</x:f>
        <x:v>정상</x:v>
      </x:c>
    </x:row>
    <x:row r="40" ht="30" customHeight="1">
      <x:c r="A40" s="1" t="str">
        <x:f>'스킬 500종'!A40</x:f>
        <x:v>SKILL_0034</x:v>
      </x:c>
      <x:c r="B40" s="1" t="str">
        <x:f>'스킬 500종'!B40</x:f>
        <x:v>강화효과 해제 · 표적의 일격</x:v>
      </x:c>
      <x:c r="C40" s="1" t="n">
        <x:f>2.4</x:f>
        <x:v>2.4</x:v>
      </x:c>
      <x:c r="D40" s="9" t="n">
        <x:f>C40*1.08*('효과 규칙 55종'!H56*'스킬 500종'!L40*'스킬 500종'!M40/'효과 규칙 55종'!D56+'효과 규칙 55종'!H30*'스킬 500종'!O40*'스킬 500종'!P40/'효과 규칙 55종'!D30)</x:f>
        <x:v>3.1492800000000005</x:v>
      </x:c>
      <x:c r="E40" s="9" t="n">
        <x:f>C40*SUM('스킬 500종'!E40:H40)</x:f>
        <x:v>1.68</x:v>
      </x:c>
      <x:c r="F40" s="9" t="n">
        <x:f>C40*1.4*SUM('스킬 500종'!I40:J40)</x:f>
        <x:v>0</x:v>
      </x:c>
      <x:c r="G40" s="9" t="n">
        <x:f>SUM(D40:F40)</x:f>
        <x:v>4.829280000000001</x:v>
      </x:c>
      <x:c r="H40" s="9" t="n">
        <x:f>1.1+0.8*'스킬 500종'!W40</x:f>
        <x:v>5.1</x:v>
      </x:c>
      <x:c r="I40" s="10" t="n">
        <x:f>G40/H40</x:f>
        <x:v>0.9469176470588238</x:v>
      </x:c>
      <x:c r="J40" s="1" t="str">
        <x:f>IF(OR('스킬 500종'!I40&lt;0,'스킬 500종'!J40&lt;0,AND('스킬 500종'!I40&gt;0,'스킬 500종'!J40&gt;0),AND(OR('스킬 500종'!K40="HEAL",'스킬 500종'!N40="HEAL",'스킬 500종'!Q40="HEAL",'스킬 500종'!T40="HEAL"),'스킬 500종'!I40=0,'스킬 500종'!J40=0),AND('스킬 500종'!I40&gt;0,OR('스킬 500종'!K40="CONTINUOUS_HEAL",'스킬 500종'!N40="CONTINUOUS_HEAL",'스킬 500종'!Q40="CONTINUOUS_HEAL",'스킬 500종'!T40="CONTINUOUS_HEAL"))),"회복 기준 오류",IF(AND(G40&lt;=H40+0.00001,'스킬 500종'!W40&gt;=1,'스킬 500종'!W40&lt;=5),"정상","초과"))</x:f>
        <x:v>정상</x:v>
      </x:c>
    </x:row>
    <x:row r="41" ht="30" customHeight="1">
      <x:c r="A41" s="1" t="str">
        <x:f>'스킬 500종'!A41</x:f>
        <x:v>SKILL_0035</x:v>
      </x:c>
      <x:c r="B41" s="1" t="str">
        <x:f>'스킬 500종'!B41</x:f>
        <x:v>소멸 · 방어력 관통 · 반격 불가의 일격</x:v>
      </x:c>
      <x:c r="C41" s="1" t="n">
        <x:f>1</x:f>
        <x:v>1</x:v>
      </x:c>
      <x:c r="D41" s="9" t="n">
        <x:f>C41*1.16*('효과 규칙 55종'!H47*'스킬 500종'!L41*'스킬 500종'!M41/'효과 규칙 55종'!D47+'효과 규칙 55종'!H55*'스킬 500종'!O41*'스킬 500종'!P41/'효과 규칙 55종'!D55+'효과 규칙 55종'!H27*'스킬 500종'!R41*'스킬 500종'!S41/'효과 규칙 55종'!D27)</x:f>
        <x:v>2.14368</x:v>
      </x:c>
      <x:c r="E41" s="9" t="n">
        <x:f>C41*SUM('스킬 500종'!E41:H41)</x:f>
        <x:v>1.1</x:v>
      </x:c>
      <x:c r="F41" s="9" t="n">
        <x:f>C41*1.4*SUM('스킬 500종'!I41:J41)</x:f>
        <x:v>0</x:v>
      </x:c>
      <x:c r="G41" s="9" t="n">
        <x:f>SUM(D41:F41)</x:f>
        <x:v>3.24368</x:v>
      </x:c>
      <x:c r="H41" s="9" t="n">
        <x:f>1.1+0.8*'스킬 500종'!W41</x:f>
        <x:v>3.5000000000000004</x:v>
      </x:c>
      <x:c r="I41" s="10" t="n">
        <x:f>G41/H41</x:f>
        <x:v>0.9267657142857142</x:v>
      </x:c>
      <x:c r="J41" s="1" t="str">
        <x:f>IF(OR('스킬 500종'!I41&lt;0,'스킬 500종'!J41&lt;0,AND('스킬 500종'!I41&gt;0,'스킬 500종'!J41&gt;0),AND(OR('스킬 500종'!K41="HEAL",'스킬 500종'!N41="HEAL",'스킬 500종'!Q41="HEAL",'스킬 500종'!T41="HEAL"),'스킬 500종'!I41=0,'스킬 500종'!J41=0),AND('스킬 500종'!I41&gt;0,OR('스킬 500종'!K41="CONTINUOUS_HEAL",'스킬 500종'!N41="CONTINUOUS_HEAL",'스킬 500종'!Q41="CONTINUOUS_HEAL",'스킬 500종'!T41="CONTINUOUS_HEAL"))),"회복 기준 오류",IF(AND(G41&lt;=H41+0.00001,'스킬 500종'!W41&gt;=1,'스킬 500종'!W41&lt;=5),"정상","초과"))</x:f>
        <x:v>정상</x:v>
      </x:c>
    </x:row>
    <x:row r="42" ht="30" customHeight="1">
      <x:c r="A42" s="1" t="str">
        <x:f>'스킬 500종'!A42</x:f>
        <x:v>SKILL_0036</x:v>
      </x:c>
      <x:c r="B42" s="1" t="str">
        <x:f>'스킬 500종'!B42</x:f>
        <x:v>중독 · 기절 — 스턴 · 약화효과 전이의 일격</x:v>
      </x:c>
      <x:c r="C42" s="1" t="n">
        <x:f>1</x:f>
        <x:v>1</x:v>
      </x:c>
      <x:c r="D42" s="9" t="n">
        <x:f>C42*1.16*('효과 규칙 55종'!H28*'스킬 500종'!L42*'스킬 500종'!M42/'효과 규칙 55종'!D28+'효과 규칙 55종'!H22*'스킬 500종'!O42*'스킬 500종'!P42/'효과 규칙 55종'!D22+'효과 규칙 55종'!H61*'스킬 500종'!R42*'스킬 500종'!S42/'효과 규칙 55종'!D61)</x:f>
        <x:v>3.0809600000000006</x:v>
      </x:c>
      <x:c r="E42" s="9" t="n">
        <x:f>C42*SUM('스킬 500종'!E42:H42)</x:f>
        <x:v>1.1</x:v>
      </x:c>
      <x:c r="F42" s="9" t="n">
        <x:f>C42*1.4*SUM('스킬 500종'!I42:J42)</x:f>
        <x:v>0</x:v>
      </x:c>
      <x:c r="G42" s="9" t="n">
        <x:f>SUM(D42:F42)</x:f>
        <x:v>4.180960000000001</x:v>
      </x:c>
      <x:c r="H42" s="9" t="n">
        <x:f>1.1+0.8*'스킬 500종'!W42</x:f>
        <x:v>4.300000000000001</x:v>
      </x:c>
      <x:c r="I42" s="10" t="n">
        <x:f>G42/H42</x:f>
        <x:v>0.9723162790697675</x:v>
      </x:c>
      <x:c r="J42" s="1" t="str">
        <x:f>IF(OR('스킬 500종'!I42&lt;0,'스킬 500종'!J42&lt;0,AND('스킬 500종'!I42&gt;0,'스킬 500종'!J42&gt;0),AND(OR('스킬 500종'!K42="HEAL",'스킬 500종'!N42="HEAL",'스킬 500종'!Q42="HEAL",'스킬 500종'!T42="HEAL"),'스킬 500종'!I42=0,'스킬 500종'!J42=0),AND('스킬 500종'!I42&gt;0,OR('스킬 500종'!K42="CONTINUOUS_HEAL",'스킬 500종'!N42="CONTINUOUS_HEAL",'스킬 500종'!Q42="CONTINUOUS_HEAL",'스킬 500종'!T42="CONTINUOUS_HEAL"))),"회복 기준 오류",IF(AND(G42&lt;=H42+0.00001,'스킬 500종'!W42&gt;=1,'스킬 500종'!W42&lt;=5),"정상","초과"))</x:f>
        <x:v>정상</x:v>
      </x:c>
    </x:row>
    <x:row r="43" ht="30" customHeight="1">
      <x:c r="A43" s="1" t="str">
        <x:f>'스킬 500종'!A43</x:f>
        <x:v>SKILL_0037</x:v>
      </x:c>
      <x:c r="B43" s="1" t="str">
        <x:f>'스킬 500종'!B43</x:f>
        <x:v>추가 피해 · 약화효과 전이의 일격</x:v>
      </x:c>
      <x:c r="C43" s="1" t="n">
        <x:f>1</x:f>
        <x:v>1</x:v>
      </x:c>
      <x:c r="D43" s="9" t="n">
        <x:f>C43*1.08*('효과 규칙 55종'!H33*'스킬 500종'!L43*'스킬 500종'!M43/'효과 규칙 55종'!D33+'효과 규칙 55종'!H61*'스킬 500종'!O43*'스킬 500종'!P43/'효과 규칙 55종'!D61)</x:f>
        <x:v>1.2636</x:v>
      </x:c>
      <x:c r="E43" s="9" t="n">
        <x:f>C43*SUM('스킬 500종'!E43:H43)</x:f>
        <x:v>1.1</x:v>
      </x:c>
      <x:c r="F43" s="9" t="n">
        <x:f>C43*1.4*SUM('스킬 500종'!I43:J43)</x:f>
        <x:v>0</x:v>
      </x:c>
      <x:c r="G43" s="9" t="n">
        <x:f>SUM(D43:F43)</x:f>
        <x:v>2.3636</x:v>
      </x:c>
      <x:c r="H43" s="9" t="n">
        <x:f>1.1+0.8*'스킬 500종'!W43</x:f>
        <x:v>2.7</x:v>
      </x:c>
      <x:c r="I43" s="10" t="n">
        <x:f>G43/H43</x:f>
        <x:v>0.8754074074074073</x:v>
      </x:c>
      <x:c r="J43" s="1" t="str">
        <x:f>IF(OR('스킬 500종'!I43&lt;0,'스킬 500종'!J43&lt;0,AND('스킬 500종'!I43&gt;0,'스킬 500종'!J43&gt;0),AND(OR('스킬 500종'!K43="HEAL",'스킬 500종'!N43="HEAL",'스킬 500종'!Q43="HEAL",'스킬 500종'!T43="HEAL"),'스킬 500종'!I43=0,'스킬 500종'!J43=0),AND('스킬 500종'!I43&gt;0,OR('스킬 500종'!K43="CONTINUOUS_HEAL",'스킬 500종'!N43="CONTINUOUS_HEAL",'스킬 500종'!Q43="CONTINUOUS_HEAL",'스킬 500종'!T43="CONTINUOUS_HEAL"))),"회복 기준 오류",IF(AND(G43&lt;=H43+0.00001,'스킬 500종'!W43&gt;=1,'스킬 500종'!W43&lt;=5),"정상","초과"))</x:f>
        <x:v>정상</x:v>
      </x:c>
    </x:row>
    <x:row r="44" ht="30" customHeight="1">
      <x:c r="A44" s="1" t="str">
        <x:f>'스킬 500종'!A44</x:f>
        <x:v>SKILL_0038</x:v>
      </x:c>
      <x:c r="B44" s="1" t="str">
        <x:f>'스킬 500종'!B44</x:f>
        <x:v>스킬 쿨타임 증가 · 부활 불가 · 강화효과 해제의 일격</x:v>
      </x:c>
      <x:c r="C44" s="1" t="n">
        <x:f>1</x:f>
        <x:v>1</x:v>
      </x:c>
      <x:c r="D44" s="9" t="n">
        <x:f>C44*1.16*('효과 규칙 55종'!H54*'스킬 500종'!L44*'스킬 500종'!M44/'효과 규칙 55종'!D54+'효과 규칙 55종'!H48*'스킬 500종'!O44*'스킬 500종'!P44/'효과 규칙 55종'!D48+'효과 규칙 55종'!H56*'스킬 500종'!R44*'스킬 500종'!S44/'효과 규칙 55종'!D56)</x:f>
        <x:v>3.016</x:v>
      </x:c>
      <x:c r="E44" s="9" t="n">
        <x:f>C44*SUM('스킬 500종'!E44:H44)</x:f>
        <x:v>1.1</x:v>
      </x:c>
      <x:c r="F44" s="9" t="n">
        <x:f>C44*1.4*SUM('스킬 500종'!I44:J44)</x:f>
        <x:v>0</x:v>
      </x:c>
      <x:c r="G44" s="9" t="n">
        <x:f>SUM(D44:F44)</x:f>
        <x:v>4.116</x:v>
      </x:c>
      <x:c r="H44" s="9" t="n">
        <x:f>1.1+0.8*'스킬 500종'!W44</x:f>
        <x:v>4.300000000000001</x:v>
      </x:c>
      <x:c r="I44" s="10" t="n">
        <x:f>G44/H44</x:f>
        <x:v>0.9572093023255812</x:v>
      </x:c>
      <x:c r="J44" s="1" t="str">
        <x:f>IF(OR('스킬 500종'!I44&lt;0,'스킬 500종'!J44&lt;0,AND('스킬 500종'!I44&gt;0,'스킬 500종'!J44&gt;0),AND(OR('스킬 500종'!K44="HEAL",'스킬 500종'!N44="HEAL",'스킬 500종'!Q44="HEAL",'스킬 500종'!T44="HEAL"),'스킬 500종'!I44=0,'스킬 500종'!J44=0),AND('스킬 500종'!I44&gt;0,OR('스킬 500종'!K44="CONTINUOUS_HEAL",'스킬 500종'!N44="CONTINUOUS_HEAL",'스킬 500종'!Q44="CONTINUOUS_HEAL",'스킬 500종'!T44="CONTINUOUS_HEAL"))),"회복 기준 오류",IF(AND(G44&lt;=H44+0.00001,'스킬 500종'!W44&gt;=1,'스킬 500종'!W44&lt;=5),"정상","초과"))</x:f>
        <x:v>정상</x:v>
      </x:c>
    </x:row>
    <x:row r="45" ht="30" customHeight="1">
      <x:c r="A45" s="1" t="str">
        <x:f>'스킬 500종'!A45</x:f>
        <x:v>SKILL_0039</x:v>
      </x:c>
      <x:c r="B45" s="1" t="str">
        <x:f>'스킬 500종'!B45</x:f>
        <x:v>중독 · 추가 공격 · 반격 불가 · 기절 — 스턴의 일격</x:v>
      </x:c>
      <x:c r="C45" s="1" t="n">
        <x:f>1</x:f>
        <x:v>1</x:v>
      </x:c>
      <x:c r="D45" s="9" t="n">
        <x:f>C45*1.24*('효과 규칙 55종'!H28*'스킬 500종'!L45*'스킬 500종'!M45/'효과 규칙 55종'!D28+'효과 규칙 55종'!H50*'스킬 500종'!O45*'스킬 500종'!P45/'효과 규칙 55종'!D50+'효과 규칙 55종'!H27*'스킬 500종'!R45*'스킬 500종'!S45/'효과 규칙 55종'!D27+'효과 규칙 55종'!H22*'스킬 500종'!U45*'스킬 500종'!V45/'효과 규칙 55종'!D22)</x:f>
        <x:v>2.859254</x:v>
      </x:c>
      <x:c r="E45" s="9" t="n">
        <x:f>C45*SUM('스킬 500종'!E45:H45)</x:f>
        <x:v>1.1</x:v>
      </x:c>
      <x:c r="F45" s="9" t="n">
        <x:f>C45*1.4*SUM('스킬 500종'!I45:J45)</x:f>
        <x:v>0</x:v>
      </x:c>
      <x:c r="G45" s="9" t="n">
        <x:f>SUM(D45:F45)</x:f>
        <x:v>3.959254</x:v>
      </x:c>
      <x:c r="H45" s="9" t="n">
        <x:f>1.1+0.8*'스킬 500종'!W45</x:f>
        <x:v>4.300000000000001</x:v>
      </x:c>
      <x:c r="I45" s="10" t="n">
        <x:f>G45/H45</x:f>
        <x:v>0.9207567441860464</x:v>
      </x:c>
      <x:c r="J45" s="1" t="str">
        <x:f>IF(OR('스킬 500종'!I45&lt;0,'스킬 500종'!J45&lt;0,AND('스킬 500종'!I45&gt;0,'스킬 500종'!J45&gt;0),AND(OR('스킬 500종'!K45="HEAL",'스킬 500종'!N45="HEAL",'스킬 500종'!Q45="HEAL",'스킬 500종'!T45="HEAL"),'스킬 500종'!I45=0,'스킬 500종'!J45=0),AND('스킬 500종'!I45&gt;0,OR('스킬 500종'!K45="CONTINUOUS_HEAL",'스킬 500종'!N45="CONTINUOUS_HEAL",'스킬 500종'!Q45="CONTINUOUS_HEAL",'스킬 500종'!T45="CONTINUOUS_HEAL"))),"회복 기준 오류",IF(AND(G45&lt;=H45+0.00001,'스킬 500종'!W45&gt;=1,'스킬 500종'!W45&lt;=5),"정상","초과"))</x:f>
        <x:v>정상</x:v>
      </x:c>
    </x:row>
    <x:row r="46" ht="30" customHeight="1">
      <x:c r="A46" s="1" t="str">
        <x:f>'스킬 500종'!A46</x:f>
        <x:v>SKILL_0040</x:v>
      </x:c>
      <x:c r="B46" s="1" t="str">
        <x:f>'스킬 500종'!B46</x:f>
        <x:v>추가 공격 · 반격 불가 · 추가 피해 · 표적의 일격</x:v>
      </x:c>
      <x:c r="C46" s="1" t="n">
        <x:f>2.4</x:f>
        <x:v>2.4</x:v>
      </x:c>
      <x:c r="D46" s="9" t="n">
        <x:f>C46*1.24*('효과 규칙 55종'!H50*'스킬 500종'!L46*'스킬 500종'!M46/'효과 규칙 55종'!D50+'효과 규칙 55종'!H27*'스킬 500종'!O46*'스킬 500종'!P46/'효과 규칙 55종'!D27+'효과 규칙 55종'!H33*'스킬 500종'!R46*'스킬 500종'!S46/'효과 규칙 55종'!D33+'효과 규칙 55종'!H30*'스킬 500종'!U46*'스킬 500종'!V46/'효과 규칙 55종'!D30)</x:f>
        <x:v>3.209501211428572</x:v>
      </x:c>
      <x:c r="E46" s="9" t="n">
        <x:f>C46*SUM('스킬 500종'!E46:H46)</x:f>
        <x:v>1.56</x:v>
      </x:c>
      <x:c r="F46" s="9" t="n">
        <x:f>C46*1.4*SUM('스킬 500종'!I46:J46)</x:f>
        <x:v>0</x:v>
      </x:c>
      <x:c r="G46" s="9" t="n">
        <x:f>SUM(D46:F46)</x:f>
        <x:v>4.769501211428572</x:v>
      </x:c>
      <x:c r="H46" s="9" t="n">
        <x:f>1.1+0.8*'스킬 500종'!W46</x:f>
        <x:v>5.1</x:v>
      </x:c>
      <x:c r="I46" s="10" t="n">
        <x:f>G46/H46</x:f>
        <x:v>0.9351963159663869</x:v>
      </x:c>
      <x:c r="J46" s="1" t="str">
        <x:f>IF(OR('스킬 500종'!I46&lt;0,'스킬 500종'!J46&lt;0,AND('스킬 500종'!I46&gt;0,'스킬 500종'!J46&gt;0),AND(OR('스킬 500종'!K46="HEAL",'스킬 500종'!N46="HEAL",'스킬 500종'!Q46="HEAL",'스킬 500종'!T46="HEAL"),'스킬 500종'!I46=0,'스킬 500종'!J46=0),AND('스킬 500종'!I46&gt;0,OR('스킬 500종'!K46="CONTINUOUS_HEAL",'스킬 500종'!N46="CONTINUOUS_HEAL",'스킬 500종'!Q46="CONTINUOUS_HEAL",'스킬 500종'!T46="CONTINUOUS_HEAL"))),"회복 기준 오류",IF(AND(G46&lt;=H46+0.00001,'스킬 500종'!W46&gt;=1,'스킬 500종'!W46&lt;=5),"정상","초과"))</x:f>
        <x:v>정상</x:v>
      </x:c>
    </x:row>
    <x:row r="47" ht="30" customHeight="1">
      <x:c r="A47" s="1" t="str">
        <x:f>'스킬 500종'!A47</x:f>
        <x:v>SKILL_0041</x:v>
      </x:c>
      <x:c r="B47" s="1" t="str">
        <x:f>'스킬 500종'!B47</x:f>
        <x:v>공격력 감소 · 강화 불가 · 상처 · 기절 — 스턴의 일격</x:v>
      </x:c>
      <x:c r="C47" s="1" t="n">
        <x:f>1</x:f>
        <x:v>1</x:v>
      </x:c>
      <x:c r="D47" s="9" t="n">
        <x:f>C47*1.24*('효과 규칙 55종'!H18*'스킬 500종'!L47*'스킬 500종'!M47/'효과 규칙 55종'!D18+'효과 규칙 55종'!H26*'스킬 500종'!O47*'스킬 500종'!P47/'효과 규칙 55종'!D26+'효과 규칙 55종'!H32*'스킬 500종'!R47*'스킬 500종'!S47/'효과 규칙 55종'!D32+'효과 규칙 55종'!H22*'스킬 500종'!U47*'스킬 500종'!V47/'효과 규칙 55종'!D22)</x:f>
        <x:v>3.1062248</x:v>
      </x:c>
      <x:c r="E47" s="9" t="n">
        <x:f>C47*SUM('스킬 500종'!E47:H47)</x:f>
        <x:v>1.1</x:v>
      </x:c>
      <x:c r="F47" s="9" t="n">
        <x:f>C47*1.4*SUM('스킬 500종'!I47:J47)</x:f>
        <x:v>0</x:v>
      </x:c>
      <x:c r="G47" s="9" t="n">
        <x:f>SUM(D47:F47)</x:f>
        <x:v>4.2062248</x:v>
      </x:c>
      <x:c r="H47" s="9" t="n">
        <x:f>1.1+0.8*'스킬 500종'!W47</x:f>
        <x:v>4.300000000000001</x:v>
      </x:c>
      <x:c r="I47" s="10" t="n">
        <x:f>G47/H47</x:f>
        <x:v>0.9781918139534883</x:v>
      </x:c>
      <x:c r="J47" s="1" t="str">
        <x:f>IF(OR('스킬 500종'!I47&lt;0,'스킬 500종'!J47&lt;0,AND('스킬 500종'!I47&gt;0,'스킬 500종'!J47&gt;0),AND(OR('스킬 500종'!K47="HEAL",'스킬 500종'!N47="HEAL",'스킬 500종'!Q47="HEAL",'스킬 500종'!T47="HEAL"),'스킬 500종'!I47=0,'스킬 500종'!J47=0),AND('스킬 500종'!I47&gt;0,OR('스킬 500종'!K47="CONTINUOUS_HEAL",'스킬 500종'!N47="CONTINUOUS_HEAL",'스킬 500종'!Q47="CONTINUOUS_HEAL",'스킬 500종'!T47="CONTINUOUS_HEAL"))),"회복 기준 오류",IF(AND(G47&lt;=H47+0.00001,'스킬 500종'!W47&gt;=1,'스킬 500종'!W47&lt;=5),"정상","초과"))</x:f>
        <x:v>정상</x:v>
      </x:c>
    </x:row>
    <x:row r="48" ht="30" customHeight="1">
      <x:c r="A48" s="1" t="str">
        <x:f>'스킬 500종'!A48</x:f>
        <x:v>SKILL_0042</x:v>
      </x:c>
      <x:c r="B48" s="1" t="str">
        <x:f>'스킬 500종'!B48</x:f>
        <x:v>명중 감소 · 상처 · 표적의 일격</x:v>
      </x:c>
      <x:c r="C48" s="1" t="n">
        <x:f>1</x:f>
        <x:v>1</x:v>
      </x:c>
      <x:c r="D48" s="9" t="n">
        <x:f>C48*1.16*('효과 규칙 55종'!H21*'스킬 500종'!L48*'스킬 500종'!M48/'효과 규칙 55종'!D21+'효과 규칙 55종'!H32*'스킬 500종'!O48*'스킬 500종'!P48/'효과 규칙 55종'!D32+'효과 규칙 55종'!H30*'스킬 500종'!R48*'스킬 500종'!S48/'효과 규칙 55종'!D30)</x:f>
        <x:v>1.5590399999999998</x:v>
      </x:c>
      <x:c r="E48" s="9" t="n">
        <x:f>C48*SUM('스킬 500종'!E48:H48)</x:f>
        <x:v>1.1</x:v>
      </x:c>
      <x:c r="F48" s="9" t="n">
        <x:f>C48*1.4*SUM('스킬 500종'!I48:J48)</x:f>
        <x:v>0</x:v>
      </x:c>
      <x:c r="G48" s="9" t="n">
        <x:f>SUM(D48:F48)</x:f>
        <x:v>2.65904</x:v>
      </x:c>
      <x:c r="H48" s="9" t="n">
        <x:f>1.1+0.8*'스킬 500종'!W48</x:f>
        <x:v>2.7</x:v>
      </x:c>
      <x:c r="I48" s="10" t="n">
        <x:f>G48/H48</x:f>
        <x:v>0.9848296296296296</x:v>
      </x:c>
      <x:c r="J48" s="1" t="str">
        <x:f>IF(OR('스킬 500종'!I48&lt;0,'스킬 500종'!J48&lt;0,AND('스킬 500종'!I48&gt;0,'스킬 500종'!J48&gt;0),AND(OR('스킬 500종'!K48="HEAL",'스킬 500종'!N48="HEAL",'스킬 500종'!Q48="HEAL",'스킬 500종'!T48="HEAL"),'스킬 500종'!I48=0,'스킬 500종'!J48=0),AND('스킬 500종'!I48&gt;0,OR('스킬 500종'!K48="CONTINUOUS_HEAL",'스킬 500종'!N48="CONTINUOUS_HEAL",'스킬 500종'!Q48="CONTINUOUS_HEAL",'스킬 500종'!T48="CONTINUOUS_HEAL"))),"회복 기준 오류",IF(AND(G48&lt;=H48+0.00001,'스킬 500종'!W48&gt;=1,'스킬 500종'!W48&lt;=5),"정상","초과"))</x:f>
        <x:v>정상</x:v>
      </x:c>
    </x:row>
    <x:row r="49" ht="30" customHeight="1">
      <x:c r="A49" s="1" t="str">
        <x:f>'스킬 500종'!A49</x:f>
        <x:v>SKILL_0043</x:v>
      </x:c>
      <x:c r="B49" s="1" t="str">
        <x:f>'스킬 500종'!B49</x:f>
        <x:v>강화효과 해제 · 수면 · 강화효과 지속시간 감소의 일격</x:v>
      </x:c>
      <x:c r="C49" s="1" t="n">
        <x:f>2.4</x:f>
        <x:v>2.4</x:v>
      </x:c>
      <x:c r="D49" s="9" t="n">
        <x:f>C49*1.16*('효과 규칙 55종'!H56*'스킬 500종'!L49*'스킬 500종'!M49/'효과 규칙 55종'!D56+'효과 규칙 55종'!H23*'스킬 500종'!O49*'스킬 500종'!P49/'효과 규칙 55종'!D23+'효과 규칙 55종'!H59*'스킬 500종'!R49*'스킬 500종'!S49/'효과 규칙 55종'!D59)</x:f>
        <x:v>3.828</x:v>
      </x:c>
      <x:c r="E49" s="9" t="n">
        <x:f>C49*SUM('스킬 500종'!E49:H49)</x:f>
        <x:v>0.96</x:v>
      </x:c>
      <x:c r="F49" s="9" t="n">
        <x:f>C49*1.4*SUM('스킬 500종'!I49:J49)</x:f>
        <x:v>0</x:v>
      </x:c>
      <x:c r="G49" s="9" t="n">
        <x:f>SUM(D49:F49)</x:f>
        <x:v>4.788</x:v>
      </x:c>
      <x:c r="H49" s="9" t="n">
        <x:f>1.1+0.8*'스킬 500종'!W49</x:f>
        <x:v>5.1</x:v>
      </x:c>
      <x:c r="I49" s="10" t="n">
        <x:f>G49/H49</x:f>
        <x:v>0.9388235294117648</x:v>
      </x:c>
      <x:c r="J49" s="1" t="str">
        <x:f>IF(OR('스킬 500종'!I49&lt;0,'스킬 500종'!J49&lt;0,AND('스킬 500종'!I49&gt;0,'스킬 500종'!J49&gt;0),AND(OR('스킬 500종'!K49="HEAL",'스킬 500종'!N49="HEAL",'스킬 500종'!Q49="HEAL",'스킬 500종'!T49="HEAL"),'스킬 500종'!I49=0,'스킬 500종'!J49=0),AND('스킬 500종'!I49&gt;0,OR('스킬 500종'!K49="CONTINUOUS_HEAL",'스킬 500종'!N49="CONTINUOUS_HEAL",'스킬 500종'!Q49="CONTINUOUS_HEAL",'스킬 500종'!T49="CONTINUOUS_HEAL"))),"회복 기준 오류",IF(AND(G49&lt;=H49+0.00001,'스킬 500종'!W49&gt;=1,'스킬 500종'!W49&lt;=5),"정상","초과"))</x:f>
        <x:v>정상</x:v>
      </x:c>
    </x:row>
    <x:row r="50" ht="30" customHeight="1">
      <x:c r="A50" s="1" t="str">
        <x:f>'스킬 500종'!A50</x:f>
        <x:v>SKILL_0044</x:v>
      </x:c>
      <x:c r="B50" s="1" t="str">
        <x:f>'스킬 500종'!B50</x:f>
        <x:v>스킬 쿨타임 증가 · 방어력 감소 · 중독 · 약화효과 전이의 일격</x:v>
      </x:c>
      <x:c r="C50" s="1" t="n">
        <x:f>1</x:f>
        <x:v>1</x:v>
      </x:c>
      <x:c r="D50" s="9" t="n">
        <x:f>C50*1.24*('효과 규칙 55종'!H54*'스킬 500종'!L50*'스킬 500종'!M50/'효과 규칙 55종'!D54+'효과 규칙 55종'!H19*'스킬 500종'!O50*'스킬 500종'!P50/'효과 규칙 55종'!D19+'효과 규칙 55종'!H28*'스킬 500종'!R50*'스킬 500종'!S50/'효과 규칙 55종'!D28+'효과 규칙 55종'!H61*'스킬 500종'!U50*'스킬 500종'!V50/'효과 규칙 55종'!D61)</x:f>
        <x:v>3.0163</x:v>
      </x:c>
      <x:c r="E50" s="9" t="n">
        <x:f>C50*SUM('스킬 500종'!E50:H50)</x:f>
        <x:v>1.1</x:v>
      </x:c>
      <x:c r="F50" s="9" t="n">
        <x:f>C50*1.4*SUM('스킬 500종'!I50:J50)</x:f>
        <x:v>0</x:v>
      </x:c>
      <x:c r="G50" s="9" t="n">
        <x:f>SUM(D50:F50)</x:f>
        <x:v>4.116300000000001</x:v>
      </x:c>
      <x:c r="H50" s="9" t="n">
        <x:f>1.1+0.8*'스킬 500종'!W50</x:f>
        <x:v>4.300000000000001</x:v>
      </x:c>
      <x:c r="I50" s="10" t="n">
        <x:f>G50/H50</x:f>
        <x:v>0.9572790697674419</x:v>
      </x:c>
      <x:c r="J50" s="1" t="str">
        <x:f>IF(OR('스킬 500종'!I50&lt;0,'스킬 500종'!J50&lt;0,AND('스킬 500종'!I50&gt;0,'스킬 500종'!J50&gt;0),AND(OR('스킬 500종'!K50="HEAL",'스킬 500종'!N50="HEAL",'스킬 500종'!Q50="HEAL",'스킬 500종'!T50="HEAL"),'스킬 500종'!I50=0,'스킬 500종'!J50=0),AND('스킬 500종'!I50&gt;0,OR('스킬 500종'!K50="CONTINUOUS_HEAL",'스킬 500종'!N50="CONTINUOUS_HEAL",'스킬 500종'!Q50="CONTINUOUS_HEAL",'스킬 500종'!T50="CONTINUOUS_HEAL"))),"회복 기준 오류",IF(AND(G50&lt;=H50+0.00001,'스킬 500종'!W50&gt;=1,'스킬 500종'!W50&lt;=5),"정상","초과"))</x:f>
        <x:v>정상</x:v>
      </x:c>
    </x:row>
    <x:row r="51" ht="30" customHeight="1">
      <x:c r="A51" s="1" t="str">
        <x:f>'스킬 500종'!A51</x:f>
        <x:v>SKILL_0045</x:v>
      </x:c>
      <x:c r="B51" s="1" t="str">
        <x:f>'스킬 500종'!B51</x:f>
        <x:v>방어력 관통 · 중독의 일격</x:v>
      </x:c>
      <x:c r="C51" s="1" t="n">
        <x:f>1</x:f>
        <x:v>1</x:v>
      </x:c>
      <x:c r="D51" s="9" t="n">
        <x:f>C51*1.08*('효과 규칙 55종'!H55*'스킬 500종'!L51*'스킬 500종'!M51/'효과 규칙 55종'!D55+'효과 규칙 55종'!H28*'스킬 500종'!O51*'스킬 500종'!P51/'효과 규칙 55종'!D28)</x:f>
        <x:v>1.3122000000000003</x:v>
      </x:c>
      <x:c r="E51" s="9" t="n">
        <x:f>C51*SUM('스킬 500종'!E51:H51)</x:f>
        <x:v>1.1</x:v>
      </x:c>
      <x:c r="F51" s="9" t="n">
        <x:f>C51*1.4*SUM('스킬 500종'!I51:J51)</x:f>
        <x:v>0</x:v>
      </x:c>
      <x:c r="G51" s="9" t="n">
        <x:f>SUM(D51:F51)</x:f>
        <x:v>2.4122000000000003</x:v>
      </x:c>
      <x:c r="H51" s="9" t="n">
        <x:f>1.1+0.8*'스킬 500종'!W51</x:f>
        <x:v>2.7</x:v>
      </x:c>
      <x:c r="I51" s="10" t="n">
        <x:f>G51/H51</x:f>
        <x:v>0.8934074074074074</x:v>
      </x:c>
      <x:c r="J51" s="1" t="str">
        <x:f>IF(OR('스킬 500종'!I51&lt;0,'스킬 500종'!J51&lt;0,AND('스킬 500종'!I51&gt;0,'스킬 500종'!J51&gt;0),AND(OR('스킬 500종'!K51="HEAL",'스킬 500종'!N51="HEAL",'스킬 500종'!Q51="HEAL",'스킬 500종'!T51="HEAL"),'스킬 500종'!I51=0,'스킬 500종'!J51=0),AND('스킬 500종'!I51&gt;0,OR('스킬 500종'!K51="CONTINUOUS_HEAL",'스킬 500종'!N51="CONTINUOUS_HEAL",'스킬 500종'!Q51="CONTINUOUS_HEAL",'스킬 500종'!T51="CONTINUOUS_HEAL"))),"회복 기준 오류",IF(AND(G51&lt;=H51+0.00001,'스킬 500종'!W51&gt;=1,'스킬 500종'!W51&lt;=5),"정상","초과"))</x:f>
        <x:v>정상</x:v>
      </x:c>
    </x:row>
    <x:row r="52" ht="30" customHeight="1">
      <x:c r="A52" s="1" t="str">
        <x:f>'스킬 500종'!A52</x:f>
        <x:v>SKILL_0046</x:v>
      </x:c>
      <x:c r="B52" s="1" t="str">
        <x:f>'스킬 500종'!B52</x:f>
        <x:v>공격력 감소 · 약화효과 지속시간 증가 · 강화 불가의 일격</x:v>
      </x:c>
      <x:c r="C52" s="1" t="n">
        <x:f>2.4</x:f>
        <x:v>2.4</x:v>
      </x:c>
      <x:c r="D52" s="9" t="n">
        <x:f>C52*1.16*('효과 규칙 55종'!H18*'스킬 500종'!L52*'스킬 500종'!M52/'효과 규칙 55종'!D18+'효과 규칙 55종'!H60*'스킬 500종'!O52*'스킬 500종'!P52/'효과 규칙 55종'!D60+'효과 규칙 55종'!H26*'스킬 500종'!R52*'스킬 500종'!S52/'효과 규칙 55종'!D26)</x:f>
        <x:v>3.825216</x:v>
      </x:c>
      <x:c r="E52" s="9" t="n">
        <x:f>C52*SUM('스킬 500종'!E52:H52)</x:f>
        <x:v>1.2</x:v>
      </x:c>
      <x:c r="F52" s="9" t="n">
        <x:f>C52*1.4*SUM('스킬 500종'!I52:J52)</x:f>
        <x:v>0</x:v>
      </x:c>
      <x:c r="G52" s="9" t="n">
        <x:f>SUM(D52:F52)</x:f>
        <x:v>5.025216</x:v>
      </x:c>
      <x:c r="H52" s="9" t="n">
        <x:f>1.1+0.8*'스킬 500종'!W52</x:f>
        <x:v>5.1</x:v>
      </x:c>
      <x:c r="I52" s="10" t="n">
        <x:f>G52/H52</x:f>
        <x:v>0.9853364705882355</x:v>
      </x:c>
      <x:c r="J52" s="1" t="str">
        <x:f>IF(OR('스킬 500종'!I52&lt;0,'스킬 500종'!J52&lt;0,AND('스킬 500종'!I52&gt;0,'스킬 500종'!J52&gt;0),AND(OR('스킬 500종'!K52="HEAL",'스킬 500종'!N52="HEAL",'스킬 500종'!Q52="HEAL",'스킬 500종'!T52="HEAL"),'스킬 500종'!I52=0,'스킬 500종'!J52=0),AND('스킬 500종'!I52&gt;0,OR('스킬 500종'!K52="CONTINUOUS_HEAL",'스킬 500종'!N52="CONTINUOUS_HEAL",'스킬 500종'!Q52="CONTINUOUS_HEAL",'스킬 500종'!T52="CONTINUOUS_HEAL"))),"회복 기준 오류",IF(AND(G52&lt;=H52+0.00001,'스킬 500종'!W52&gt;=1,'스킬 500종'!W52&lt;=5),"정상","초과"))</x:f>
        <x:v>정상</x:v>
      </x:c>
    </x:row>
    <x:row r="53" ht="30" customHeight="1">
      <x:c r="A53" s="1" t="str">
        <x:f>'스킬 500종'!A53</x:f>
        <x:v>SKILL_0047</x:v>
      </x:c>
      <x:c r="B53" s="1" t="str">
        <x:f>'스킬 500종'!B53</x:f>
        <x:v>강화효과 지속시간 감소 · 저주 · 약화효과 전이의 일격</x:v>
      </x:c>
      <x:c r="C53" s="1" t="n">
        <x:f>1</x:f>
        <x:v>1</x:v>
      </x:c>
      <x:c r="D53" s="9" t="n">
        <x:f>C53*1.16*('효과 규칙 55종'!H59*'스킬 500종'!L53*'스킬 500종'!M53/'효과 규칙 55종'!D59+'효과 규칙 55종'!H31*'스킬 500종'!O53*'스킬 500종'!P53/'효과 규칙 55종'!D31+'효과 규칙 55종'!H61*'스킬 500종'!R53*'스킬 500종'!S53/'효과 규칙 55종'!D61)</x:f>
        <x:v>2.17152</x:v>
      </x:c>
      <x:c r="E53" s="9" t="n">
        <x:f>C53*SUM('스킬 500종'!E53:H53)</x:f>
        <x:v>1.1</x:v>
      </x:c>
      <x:c r="F53" s="9" t="n">
        <x:f>C53*1.4*SUM('스킬 500종'!I53:J53)</x:f>
        <x:v>0</x:v>
      </x:c>
      <x:c r="G53" s="9" t="n">
        <x:f>SUM(D53:F53)</x:f>
        <x:v>3.27152</x:v>
      </x:c>
      <x:c r="H53" s="9" t="n">
        <x:f>1.1+0.8*'스킬 500종'!W53</x:f>
        <x:v>3.5000000000000004</x:v>
      </x:c>
      <x:c r="I53" s="10" t="n">
        <x:f>G53/H53</x:f>
        <x:v>0.93472</x:v>
      </x:c>
      <x:c r="J53" s="1" t="str">
        <x:f>IF(OR('스킬 500종'!I53&lt;0,'스킬 500종'!J53&lt;0,AND('스킬 500종'!I53&gt;0,'스킬 500종'!J53&gt;0),AND(OR('스킬 500종'!K53="HEAL",'스킬 500종'!N53="HEAL",'스킬 500종'!Q53="HEAL",'스킬 500종'!T53="HEAL"),'스킬 500종'!I53=0,'스킬 500종'!J53=0),AND('스킬 500종'!I53&gt;0,OR('스킬 500종'!K53="CONTINUOUS_HEAL",'스킬 500종'!N53="CONTINUOUS_HEAL",'스킬 500종'!Q53="CONTINUOUS_HEAL",'스킬 500종'!T53="CONTINUOUS_HEAL"))),"회복 기준 오류",IF(AND(G53&lt;=H53+0.00001,'스킬 500종'!W53&gt;=1,'스킬 500종'!W53&lt;=5),"정상","초과"))</x:f>
        <x:v>정상</x:v>
      </x:c>
    </x:row>
    <x:row r="54" ht="30" customHeight="1">
      <x:c r="A54" s="1" t="str">
        <x:f>'스킬 500종'!A54</x:f>
        <x:v>SKILL_0048</x:v>
      </x:c>
      <x:c r="B54" s="1" t="str">
        <x:f>'스킬 500종'!B54</x:f>
        <x:v>저주 · 약화효과 전이의 일격</x:v>
      </x:c>
      <x:c r="C54" s="1" t="n">
        <x:f>1</x:f>
        <x:v>1</x:v>
      </x:c>
      <x:c r="D54" s="9" t="n">
        <x:f>C54*1.08*('효과 규칙 55종'!H31*'스킬 500종'!L54*'스킬 500종'!M54/'효과 규칙 55종'!D31+'효과 규칙 55종'!H61*'스킬 500종'!O54*'스킬 500종'!P54/'효과 규칙 55종'!D61)</x:f>
        <x:v>1.7496000000000003</x:v>
      </x:c>
      <x:c r="E54" s="9" t="n">
        <x:f>C54*SUM('스킬 500종'!E54:H54)</x:f>
        <x:v>1.1</x:v>
      </x:c>
      <x:c r="F54" s="9" t="n">
        <x:f>C54*1.4*SUM('스킬 500종'!I54:J54)</x:f>
        <x:v>0</x:v>
      </x:c>
      <x:c r="G54" s="9" t="n">
        <x:f>SUM(D54:F54)</x:f>
        <x:v>2.8496000000000006</x:v>
      </x:c>
      <x:c r="H54" s="9" t="n">
        <x:f>1.1+0.8*'스킬 500종'!W54</x:f>
        <x:v>3.5000000000000004</x:v>
      </x:c>
      <x:c r="I54" s="10" t="n">
        <x:f>G54/H54</x:f>
        <x:v>0.8141714285714287</x:v>
      </x:c>
      <x:c r="J54" s="1" t="str">
        <x:f>IF(OR('스킬 500종'!I54&lt;0,'스킬 500종'!J54&lt;0,AND('스킬 500종'!I54&gt;0,'스킬 500종'!J54&gt;0),AND(OR('스킬 500종'!K54="HEAL",'스킬 500종'!N54="HEAL",'스킬 500종'!Q54="HEAL",'스킬 500종'!T54="HEAL"),'스킬 500종'!I54=0,'스킬 500종'!J54=0),AND('스킬 500종'!I54&gt;0,OR('스킬 500종'!K54="CONTINUOUS_HEAL",'스킬 500종'!N54="CONTINUOUS_HEAL",'스킬 500종'!Q54="CONTINUOUS_HEAL",'스킬 500종'!T54="CONTINUOUS_HEAL"))),"회복 기준 오류",IF(AND(G54&lt;=H54+0.00001,'스킬 500종'!W54&gt;=1,'스킬 500종'!W54&lt;=5),"정상","초과"))</x:f>
        <x:v>정상</x:v>
      </x:c>
    </x:row>
    <x:row r="55" ht="30" customHeight="1">
      <x:c r="A55" s="1" t="str">
        <x:f>'스킬 500종'!A55</x:f>
        <x:v>SKILL_0049</x:v>
      </x:c>
      <x:c r="B55" s="1" t="str">
        <x:f>'스킬 500종'!B55</x:f>
        <x:v>출혈 · 약화효과 전이 · 속도 감소 · 강화 불가의 일격</x:v>
      </x:c>
      <x:c r="C55" s="1" t="n">
        <x:f>1</x:f>
        <x:v>1</x:v>
      </x:c>
      <x:c r="D55" s="9" t="n">
        <x:f>C55*1.24*('효과 규칙 55종'!H29*'스킬 500종'!L55*'스킬 500종'!M55/'효과 규칙 55종'!D29+'효과 규칙 55종'!H61*'스킬 500종'!O55*'스킬 500종'!P55/'효과 규칙 55종'!D61+'효과 규칙 55종'!H20*'스킬 500종'!R55*'스킬 500종'!S55/'효과 규칙 55종'!D20+'효과 규칙 55종'!H26*'스킬 500종'!U55*'스킬 500종'!V55/'효과 규칙 55종'!D26)</x:f>
        <x:v>2.2980300000000002</x:v>
      </x:c>
      <x:c r="E55" s="9" t="n">
        <x:f>C55*SUM('스킬 500종'!E55:H55)</x:f>
        <x:v>1.1</x:v>
      </x:c>
      <x:c r="F55" s="9" t="n">
        <x:f>C55*1.4*SUM('스킬 500종'!I55:J55)</x:f>
        <x:v>0</x:v>
      </x:c>
      <x:c r="G55" s="9" t="n">
        <x:f>SUM(D55:F55)</x:f>
        <x:v>3.3980300000000003</x:v>
      </x:c>
      <x:c r="H55" s="9" t="n">
        <x:f>1.1+0.8*'스킬 500종'!W55</x:f>
        <x:v>3.5000000000000004</x:v>
      </x:c>
      <x:c r="I55" s="10" t="n">
        <x:f>G55/H55</x:f>
        <x:v>0.9708657142857142</x:v>
      </x:c>
      <x:c r="J55" s="1" t="str">
        <x:f>IF(OR('스킬 500종'!I55&lt;0,'스킬 500종'!J55&lt;0,AND('스킬 500종'!I55&gt;0,'스킬 500종'!J55&gt;0),AND(OR('스킬 500종'!K55="HEAL",'스킬 500종'!N55="HEAL",'스킬 500종'!Q55="HEAL",'스킬 500종'!T55="HEAL"),'스킬 500종'!I55=0,'스킬 500종'!J55=0),AND('스킬 500종'!I55&gt;0,OR('스킬 500종'!K55="CONTINUOUS_HEAL",'스킬 500종'!N55="CONTINUOUS_HEAL",'스킬 500종'!Q55="CONTINUOUS_HEAL",'스킬 500종'!T55="CONTINUOUS_HEAL"))),"회복 기준 오류",IF(AND(G55&lt;=H55+0.00001,'스킬 500종'!W55&gt;=1,'스킬 500종'!W55&lt;=5),"정상","초과"))</x:f>
        <x:v>정상</x:v>
      </x:c>
    </x:row>
    <x:row r="56" ht="30" customHeight="1">
      <x:c r="A56" s="1" t="str">
        <x:f>'스킬 500종'!A56</x:f>
        <x:v>SKILL_0050</x:v>
      </x:c>
      <x:c r="B56" s="1" t="str">
        <x:f>'스킬 500종'!B56</x:f>
        <x:v>소멸 · 부활 불가 · 추가 공격 · 반격 불가의 일격</x:v>
      </x:c>
      <x:c r="C56" s="1" t="n">
        <x:f>1</x:f>
        <x:v>1</x:v>
      </x:c>
      <x:c r="D56" s="9" t="n">
        <x:f>C56*1.24*('효과 규칙 55종'!H47*'스킬 500종'!L56*'스킬 500종'!M56/'효과 규칙 55종'!D47+'효과 규칙 55종'!H48*'스킬 500종'!O56*'스킬 500종'!P56/'효과 규칙 55종'!D48+'효과 규칙 55종'!H50*'스킬 500종'!R56*'스킬 500종'!S56/'효과 규칙 55종'!D50+'효과 규칙 55종'!H27*'스킬 500종'!U56*'스킬 500종'!V56/'효과 규칙 55종'!D27)</x:f>
        <x:v>2.752924</x:v>
      </x:c>
      <x:c r="E56" s="9" t="n">
        <x:f>C56*SUM('스킬 500종'!E56:H56)</x:f>
        <x:v>1.1</x:v>
      </x:c>
      <x:c r="F56" s="9" t="n">
        <x:f>C56*1.4*SUM('스킬 500종'!I56:J56)</x:f>
        <x:v>0</x:v>
      </x:c>
      <x:c r="G56" s="9" t="n">
        <x:f>SUM(D56:F56)</x:f>
        <x:v>3.8529240000000002</x:v>
      </x:c>
      <x:c r="H56" s="9" t="n">
        <x:f>1.1+0.8*'스킬 500종'!W56</x:f>
        <x:v>4.300000000000001</x:v>
      </x:c>
      <x:c r="I56" s="10" t="n">
        <x:f>G56/H56</x:f>
        <x:v>0.8960288372093023</x:v>
      </x:c>
      <x:c r="J56" s="1" t="str">
        <x:f>IF(OR('스킬 500종'!I56&lt;0,'스킬 500종'!J56&lt;0,AND('스킬 500종'!I56&gt;0,'스킬 500종'!J56&gt;0),AND(OR('스킬 500종'!K56="HEAL",'스킬 500종'!N56="HEAL",'스킬 500종'!Q56="HEAL",'스킬 500종'!T56="HEAL"),'스킬 500종'!I56=0,'스킬 500종'!J56=0),AND('스킬 500종'!I56&gt;0,OR('스킬 500종'!K56="CONTINUOUS_HEAL",'스킬 500종'!N56="CONTINUOUS_HEAL",'스킬 500종'!Q56="CONTINUOUS_HEAL",'스킬 500종'!T56="CONTINUOUS_HEAL"))),"회복 기준 오류",IF(AND(G56&lt;=H56+0.00001,'스킬 500종'!W56&gt;=1,'스킬 500종'!W56&lt;=5),"정상","초과"))</x:f>
        <x:v>정상</x:v>
      </x:c>
    </x:row>
    <x:row r="57" ht="30" customHeight="1">
      <x:c r="A57" s="1" t="str">
        <x:f>'스킬 500종'!A57</x:f>
        <x:v>SKILL_0051</x:v>
      </x:c>
      <x:c r="B57" s="1" t="str">
        <x:f>'스킬 500종'!B57</x:f>
        <x:v>추가 공격 · 강화효과 해제의 일격</x:v>
      </x:c>
      <x:c r="C57" s="1" t="n">
        <x:f>1</x:f>
        <x:v>1</x:v>
      </x:c>
      <x:c r="D57" s="9" t="n">
        <x:f>C57*1.08*('효과 규칙 55종'!H50*'스킬 500종'!L57*'스킬 500종'!M57/'효과 규칙 55종'!D50+'효과 규칙 55종'!H56*'스킬 500종'!O57*'스킬 500종'!P57/'효과 규칙 55종'!D56)</x:f>
        <x:v>1.3608</x:v>
      </x:c>
      <x:c r="E57" s="9" t="n">
        <x:f>C57*SUM('스킬 500종'!E57:H57)</x:f>
        <x:v>1.1</x:v>
      </x:c>
      <x:c r="F57" s="9" t="n">
        <x:f>C57*1.4*SUM('스킬 500종'!I57:J57)</x:f>
        <x:v>0</x:v>
      </x:c>
      <x:c r="G57" s="9" t="n">
        <x:f>SUM(D57:F57)</x:f>
        <x:v>2.4608</x:v>
      </x:c>
      <x:c r="H57" s="9" t="n">
        <x:f>1.1+0.8*'스킬 500종'!W57</x:f>
        <x:v>2.7</x:v>
      </x:c>
      <x:c r="I57" s="10" t="n">
        <x:f>G57/H57</x:f>
        <x:v>0.9114074074074073</x:v>
      </x:c>
      <x:c r="J57" s="1" t="str">
        <x:f>IF(OR('스킬 500종'!I57&lt;0,'스킬 500종'!J57&lt;0,AND('스킬 500종'!I57&gt;0,'스킬 500종'!J57&gt;0),AND(OR('스킬 500종'!K57="HEAL",'스킬 500종'!N57="HEAL",'스킬 500종'!Q57="HEAL",'스킬 500종'!T57="HEAL"),'스킬 500종'!I57=0,'스킬 500종'!J57=0),AND('스킬 500종'!I57&gt;0,OR('스킬 500종'!K57="CONTINUOUS_HEAL",'스킬 500종'!N57="CONTINUOUS_HEAL",'스킬 500종'!Q57="CONTINUOUS_HEAL",'스킬 500종'!T57="CONTINUOUS_HEAL"))),"회복 기준 오류",IF(AND(G57&lt;=H57+0.00001,'스킬 500종'!W57&gt;=1,'스킬 500종'!W57&lt;=5),"정상","초과"))</x:f>
        <x:v>정상</x:v>
      </x:c>
    </x:row>
    <x:row r="58" ht="30" customHeight="1">
      <x:c r="A58" s="1" t="str">
        <x:f>'스킬 500종'!A58</x:f>
        <x:v>SKILL_0052</x:v>
      </x:c>
      <x:c r="B58" s="1" t="str">
        <x:f>'스킬 500종'!B58</x:f>
        <x:v>부활 불가 · 소멸의 일격</x:v>
      </x:c>
      <x:c r="C58" s="1" t="n">
        <x:f>2.4</x:f>
        <x:v>2.4</x:v>
      </x:c>
      <x:c r="D58" s="9" t="n">
        <x:f>C58*1.08*('효과 규칙 55종'!H48*'스킬 500종'!L58*'스킬 500종'!M58/'효과 규칙 55종'!D48+'효과 규칙 55종'!H47*'스킬 500종'!O58*'스킬 500종'!P58/'효과 규칙 55종'!D47)</x:f>
        <x:v>3.81024</x:v>
      </x:c>
      <x:c r="E58" s="9" t="n">
        <x:f>C58*SUM('스킬 500종'!E58:H58)</x:f>
        <x:v>1.2</x:v>
      </x:c>
      <x:c r="F58" s="9" t="n">
        <x:f>C58*1.4*SUM('스킬 500종'!I58:J58)</x:f>
        <x:v>0</x:v>
      </x:c>
      <x:c r="G58" s="9" t="n">
        <x:f>SUM(D58:F58)</x:f>
        <x:v>5.01024</x:v>
      </x:c>
      <x:c r="H58" s="9" t="n">
        <x:f>1.1+0.8*'스킬 500종'!W58</x:f>
        <x:v>5.1</x:v>
      </x:c>
      <x:c r="I58" s="10" t="n">
        <x:f>G58/H58</x:f>
        <x:v>0.9823999999999999</x:v>
      </x:c>
      <x:c r="J58" s="1" t="str">
        <x:f>IF(OR('스킬 500종'!I58&lt;0,'스킬 500종'!J58&lt;0,AND('스킬 500종'!I58&gt;0,'스킬 500종'!J58&gt;0),AND(OR('스킬 500종'!K58="HEAL",'스킬 500종'!N58="HEAL",'스킬 500종'!Q58="HEAL",'스킬 500종'!T58="HEAL"),'스킬 500종'!I58=0,'스킬 500종'!J58=0),AND('스킬 500종'!I58&gt;0,OR('스킬 500종'!K58="CONTINUOUS_HEAL",'스킬 500종'!N58="CONTINUOUS_HEAL",'스킬 500종'!Q58="CONTINUOUS_HEAL",'스킬 500종'!T58="CONTINUOUS_HEAL"))),"회복 기준 오류",IF(AND(G58&lt;=H58+0.00001,'스킬 500종'!W58&gt;=1,'스킬 500종'!W58&lt;=5),"정상","초과"))</x:f>
        <x:v>정상</x:v>
      </x:c>
    </x:row>
    <x:row r="59" ht="30" customHeight="1">
      <x:c r="A59" s="1" t="str">
        <x:f>'스킬 500종'!A59</x:f>
        <x:v>SKILL_0053</x:v>
      </x:c>
      <x:c r="B59" s="1" t="str">
        <x:f>'스킬 500종'!B59</x:f>
        <x:v>저주 · 중독 · 수면의 일격</x:v>
      </x:c>
      <x:c r="C59" s="1" t="n">
        <x:f>1</x:f>
        <x:v>1</x:v>
      </x:c>
      <x:c r="D59" s="9" t="n">
        <x:f>C59*1.16*('효과 규칙 55종'!H31*'스킬 500종'!L59*'스킬 500종'!M59/'효과 규칙 55종'!D31+'효과 규칙 55종'!H28*'스킬 500종'!O59*'스킬 500종'!P59/'효과 규칙 55종'!D28+'효과 규칙 55종'!H23*'스킬 500종'!R59*'스킬 500종'!S59/'효과 규칙 55종'!D23)</x:f>
        <x:v>2.28288</x:v>
      </x:c>
      <x:c r="E59" s="9" t="n">
        <x:f>C59*SUM('스킬 500종'!E59:H59)</x:f>
        <x:v>1.1</x:v>
      </x:c>
      <x:c r="F59" s="9" t="n">
        <x:f>C59*1.4*SUM('스킬 500종'!I59:J59)</x:f>
        <x:v>0</x:v>
      </x:c>
      <x:c r="G59" s="9" t="n">
        <x:f>SUM(D59:F59)</x:f>
        <x:v>3.38288</x:v>
      </x:c>
      <x:c r="H59" s="9" t="n">
        <x:f>1.1+0.8*'스킬 500종'!W59</x:f>
        <x:v>3.5000000000000004</x:v>
      </x:c>
      <x:c r="I59" s="10" t="n">
        <x:f>G59/H59</x:f>
        <x:v>0.9665371428571428</x:v>
      </x:c>
      <x:c r="J59" s="1" t="str">
        <x:f>IF(OR('스킬 500종'!I59&lt;0,'스킬 500종'!J59&lt;0,AND('스킬 500종'!I59&gt;0,'스킬 500종'!J59&gt;0),AND(OR('스킬 500종'!K59="HEAL",'스킬 500종'!N59="HEAL",'스킬 500종'!Q59="HEAL",'스킬 500종'!T59="HEAL"),'스킬 500종'!I59=0,'스킬 500종'!J59=0),AND('스킬 500종'!I59&gt;0,OR('스킬 500종'!K59="CONTINUOUS_HEAL",'스킬 500종'!N59="CONTINUOUS_HEAL",'스킬 500종'!Q59="CONTINUOUS_HEAL",'스킬 500종'!T59="CONTINUOUS_HEAL"))),"회복 기준 오류",IF(AND(G59&lt;=H59+0.00001,'스킬 500종'!W59&gt;=1,'스킬 500종'!W59&lt;=5),"정상","초과"))</x:f>
        <x:v>정상</x:v>
      </x:c>
    </x:row>
    <x:row r="60" ht="30" customHeight="1">
      <x:c r="A60" s="1" t="str">
        <x:f>'스킬 500종'!A60</x:f>
        <x:v>SKILL_0054</x:v>
      </x:c>
      <x:c r="B60" s="1" t="str">
        <x:f>'스킬 500종'!B60</x:f>
        <x:v>공격력 감소 · 방어력 감소의 일격</x:v>
      </x:c>
      <x:c r="C60" s="1" t="n">
        <x:f>1</x:f>
        <x:v>1</x:v>
      </x:c>
      <x:c r="D60" s="9" t="n">
        <x:f>C60*1.08*('효과 규칙 55종'!H18*'스킬 500종'!L60*'스킬 500종'!M60/'효과 규칙 55종'!D18+'효과 규칙 55종'!H19*'스킬 500종'!O60*'스킬 500종'!P60/'효과 규칙 55종'!D19)</x:f>
        <x:v>1.3608</x:v>
      </x:c>
      <x:c r="E60" s="9" t="n">
        <x:f>C60*SUM('스킬 500종'!E60:H60)</x:f>
        <x:v>1.1</x:v>
      </x:c>
      <x:c r="F60" s="9" t="n">
        <x:f>C60*1.4*SUM('스킬 500종'!I60:J60)</x:f>
        <x:v>0</x:v>
      </x:c>
      <x:c r="G60" s="9" t="n">
        <x:f>SUM(D60:F60)</x:f>
        <x:v>2.4608</x:v>
      </x:c>
      <x:c r="H60" s="9" t="n">
        <x:f>1.1+0.8*'스킬 500종'!W60</x:f>
        <x:v>2.7</x:v>
      </x:c>
      <x:c r="I60" s="10" t="n">
        <x:f>G60/H60</x:f>
        <x:v>0.9114074074074073</x:v>
      </x:c>
      <x:c r="J60" s="1" t="str">
        <x:f>IF(OR('스킬 500종'!I60&lt;0,'스킬 500종'!J60&lt;0,AND('스킬 500종'!I60&gt;0,'스킬 500종'!J60&gt;0),AND(OR('스킬 500종'!K60="HEAL",'스킬 500종'!N60="HEAL",'스킬 500종'!Q60="HEAL",'스킬 500종'!T60="HEAL"),'스킬 500종'!I60=0,'스킬 500종'!J60=0),AND('스킬 500종'!I60&gt;0,OR('스킬 500종'!K60="CONTINUOUS_HEAL",'스킬 500종'!N60="CONTINUOUS_HEAL",'스킬 500종'!Q60="CONTINUOUS_HEAL",'스킬 500종'!T60="CONTINUOUS_HEAL"))),"회복 기준 오류",IF(AND(G60&lt;=H60+0.00001,'스킬 500종'!W60&gt;=1,'스킬 500종'!W60&lt;=5),"정상","초과"))</x:f>
        <x:v>정상</x:v>
      </x:c>
    </x:row>
    <x:row r="61" ht="30" customHeight="1">
      <x:c r="A61" s="1" t="str">
        <x:f>'스킬 500종'!A61</x:f>
        <x:v>SKILL_0055</x:v>
      </x:c>
      <x:c r="B61" s="1" t="str">
        <x:f>'스킬 500종'!B61</x:f>
        <x:v>공격력 감소 · 방어력 감소 · 흡혈의 일격</x:v>
      </x:c>
      <x:c r="C61" s="1" t="n">
        <x:f>2.4</x:f>
        <x:v>2.4</x:v>
      </x:c>
      <x:c r="D61" s="9" t="n">
        <x:f>C61*1.16*('효과 규칙 55종'!H18*'스킬 500종'!L61*'스킬 500종'!M61/'효과 규칙 55종'!D18+'효과 규칙 55종'!H19*'스킬 500종'!O61*'스킬 500종'!P61/'효과 규칙 55종'!D19+'효과 규칙 55종'!H36*'스킬 500종'!R61*'스킬 500종'!S61/'효과 규칙 55종'!D36)</x:f>
        <x:v>3.2071680000000002</x:v>
      </x:c>
      <x:c r="E61" s="9" t="n">
        <x:f>C61*SUM('스킬 500종'!E61:H61)</x:f>
        <x:v>1.68</x:v>
      </x:c>
      <x:c r="F61" s="9" t="n">
        <x:f>C61*1.4*SUM('스킬 500종'!I61:J61)</x:f>
        <x:v>0</x:v>
      </x:c>
      <x:c r="G61" s="9" t="n">
        <x:f>SUM(D61:F61)</x:f>
        <x:v>4.887168</x:v>
      </x:c>
      <x:c r="H61" s="9" t="n">
        <x:f>1.1+0.8*'스킬 500종'!W61</x:f>
        <x:v>5.1</x:v>
      </x:c>
      <x:c r="I61" s="10" t="n">
        <x:f>G61/H61</x:f>
        <x:v>0.9582682352941178</x:v>
      </x:c>
      <x:c r="J61" s="1" t="str">
        <x:f>IF(OR('스킬 500종'!I61&lt;0,'스킬 500종'!J61&lt;0,AND('스킬 500종'!I61&gt;0,'스킬 500종'!J61&gt;0),AND(OR('스킬 500종'!K61="HEAL",'스킬 500종'!N61="HEAL",'스킬 500종'!Q61="HEAL",'스킬 500종'!T61="HEAL"),'스킬 500종'!I61=0,'스킬 500종'!J61=0),AND('스킬 500종'!I61&gt;0,OR('스킬 500종'!K61="CONTINUOUS_HEAL",'스킬 500종'!N61="CONTINUOUS_HEAL",'스킬 500종'!Q61="CONTINUOUS_HEAL",'스킬 500종'!T61="CONTINUOUS_HEAL"))),"회복 기준 오류",IF(AND(G61&lt;=H61+0.00001,'스킬 500종'!W61&gt;=1,'스킬 500종'!W61&lt;=5),"정상","초과"))</x:f>
        <x:v>정상</x:v>
      </x:c>
    </x:row>
    <x:row r="62" ht="30" customHeight="1">
      <x:c r="A62" s="1" t="str">
        <x:f>'스킬 500종'!A62</x:f>
        <x:v>SKILL_0056</x:v>
      </x:c>
      <x:c r="B62" s="1" t="str">
        <x:f>'스킬 500종'!B62</x:f>
        <x:v>명중 감소 · 강화효과 해제 · 반격 불가 · 강화 불가의 일격</x:v>
      </x:c>
      <x:c r="C62" s="1" t="n">
        <x:f>1</x:f>
        <x:v>1</x:v>
      </x:c>
      <x:c r="D62" s="9" t="n">
        <x:f>C62*1.24*('효과 규칙 55종'!H21*'스킬 500종'!L62*'스킬 500종'!M62/'효과 규칙 55종'!D21+'효과 규칙 55종'!H56*'스킬 500종'!O62*'스킬 500종'!P62/'효과 규칙 55종'!D56+'효과 규칙 55종'!H27*'스킬 500종'!R62*'스킬 500종'!S62/'효과 규칙 55종'!D27+'효과 규칙 55종'!H26*'스킬 500종'!U62*'스킬 500종'!V62/'효과 규칙 55종'!D26)</x:f>
        <x:v>2.3913399999999996</x:v>
      </x:c>
      <x:c r="E62" s="9" t="n">
        <x:f>C62*SUM('스킬 500종'!E62:H62)</x:f>
        <x:v>1.1</x:v>
      </x:c>
      <x:c r="F62" s="9" t="n">
        <x:f>C62*1.4*SUM('스킬 500종'!I62:J62)</x:f>
        <x:v>0</x:v>
      </x:c>
      <x:c r="G62" s="9" t="n">
        <x:f>SUM(D62:F62)</x:f>
        <x:v>3.4913399999999997</x:v>
      </x:c>
      <x:c r="H62" s="9" t="n">
        <x:f>1.1+0.8*'스킬 500종'!W62</x:f>
        <x:v>3.5000000000000004</x:v>
      </x:c>
      <x:c r="I62" s="10" t="n">
        <x:f>G62/H62</x:f>
        <x:v>0.997525714285714</x:v>
      </x:c>
      <x:c r="J62" s="1" t="str">
        <x:f>IF(OR('스킬 500종'!I62&lt;0,'스킬 500종'!J62&lt;0,AND('스킬 500종'!I62&gt;0,'스킬 500종'!J62&gt;0),AND(OR('스킬 500종'!K62="HEAL",'스킬 500종'!N62="HEAL",'스킬 500종'!Q62="HEAL",'스킬 500종'!T62="HEAL"),'스킬 500종'!I62=0,'스킬 500종'!J62=0),AND('스킬 500종'!I62&gt;0,OR('스킬 500종'!K62="CONTINUOUS_HEAL",'스킬 500종'!N62="CONTINUOUS_HEAL",'스킬 500종'!Q62="CONTINUOUS_HEAL",'스킬 500종'!T62="CONTINUOUS_HEAL"))),"회복 기준 오류",IF(AND(G62&lt;=H62+0.00001,'스킬 500종'!W62&gt;=1,'스킬 500종'!W62&lt;=5),"정상","초과"))</x:f>
        <x:v>정상</x:v>
      </x:c>
    </x:row>
    <x:row r="63" ht="30" customHeight="1">
      <x:c r="A63" s="1" t="str">
        <x:f>'스킬 500종'!A63</x:f>
        <x:v>SKILL_0057</x:v>
      </x:c>
      <x:c r="B63" s="1" t="str">
        <x:f>'스킬 500종'!B63</x:f>
        <x:v>강화효과 해제 · 소멸 · 방어력 감소의 일격</x:v>
      </x:c>
      <x:c r="C63" s="1" t="n">
        <x:f>1</x:f>
        <x:v>1</x:v>
      </x:c>
      <x:c r="D63" s="9" t="n">
        <x:f>C63*1.16*('효과 규칙 55종'!H56*'스킬 500종'!L63*'스킬 500종'!M63/'효과 규칙 55종'!D56+'효과 규칙 55종'!H47*'스킬 500종'!O63*'스킬 500종'!P63/'효과 규칙 55종'!D47+'효과 규칙 55종'!H19*'스킬 500종'!R63*'스킬 500종'!S63/'효과 규칙 55종'!D19)</x:f>
        <x:v>2.3478399999999997</x:v>
      </x:c>
      <x:c r="E63" s="9" t="n">
        <x:f>C63*SUM('스킬 500종'!E63:H63)</x:f>
        <x:v>1.1</x:v>
      </x:c>
      <x:c r="F63" s="9" t="n">
        <x:f>C63*1.4*SUM('스킬 500종'!I63:J63)</x:f>
        <x:v>0</x:v>
      </x:c>
      <x:c r="G63" s="9" t="n">
        <x:f>SUM(D63:F63)</x:f>
        <x:v>3.44784</x:v>
      </x:c>
      <x:c r="H63" s="9" t="n">
        <x:f>1.1+0.8*'스킬 500종'!W63</x:f>
        <x:v>3.5000000000000004</x:v>
      </x:c>
      <x:c r="I63" s="10" t="n">
        <x:f>G63/H63</x:f>
        <x:v>0.9850971428571427</x:v>
      </x:c>
      <x:c r="J63" s="1" t="str">
        <x:f>IF(OR('스킬 500종'!I63&lt;0,'스킬 500종'!J63&lt;0,AND('스킬 500종'!I63&gt;0,'스킬 500종'!J63&gt;0),AND(OR('스킬 500종'!K63="HEAL",'스킬 500종'!N63="HEAL",'스킬 500종'!Q63="HEAL",'스킬 500종'!T63="HEAL"),'스킬 500종'!I63=0,'스킬 500종'!J63=0),AND('스킬 500종'!I63&gt;0,OR('스킬 500종'!K63="CONTINUOUS_HEAL",'스킬 500종'!N63="CONTINUOUS_HEAL",'스킬 500종'!Q63="CONTINUOUS_HEAL",'스킬 500종'!T63="CONTINUOUS_HEAL"))),"회복 기준 오류",IF(AND(G63&lt;=H63+0.00001,'스킬 500종'!W63&gt;=1,'스킬 500종'!W63&lt;=5),"정상","초과"))</x:f>
        <x:v>정상</x:v>
      </x:c>
    </x:row>
    <x:row r="64" ht="30" customHeight="1">
      <x:c r="A64" s="1" t="str">
        <x:f>'스킬 500종'!A64</x:f>
        <x:v>SKILL_0058</x:v>
      </x:c>
      <x:c r="B64" s="1" t="str">
        <x:f>'스킬 500종'!B64</x:f>
        <x:v>속도 감소 · 회복 불가 · 강화 불가의 일격</x:v>
      </x:c>
      <x:c r="C64" s="1" t="n">
        <x:f>2.4</x:f>
        <x:v>2.4</x:v>
      </x:c>
      <x:c r="D64" s="9" t="n">
        <x:f>C64*1.16*('효과 규칙 55종'!H20*'스킬 500종'!L64*'스킬 500종'!M64/'효과 규칙 55종'!D20+'효과 규칙 55종'!H25*'스킬 500종'!O64*'스킬 500종'!P64/'효과 규칙 55종'!D25+'효과 규칙 55종'!H26*'스킬 500종'!R64*'스킬 500종'!S64/'효과 규칙 55종'!D26)</x:f>
        <x:v>3.457728</x:v>
      </x:c>
      <x:c r="E64" s="9" t="n">
        <x:f>C64*SUM('스킬 500종'!E64:H64)</x:f>
        <x:v>1.2</x:v>
      </x:c>
      <x:c r="F64" s="9" t="n">
        <x:f>C64*1.4*SUM('스킬 500종'!I64:J64)</x:f>
        <x:v>0</x:v>
      </x:c>
      <x:c r="G64" s="9" t="n">
        <x:f>SUM(D64:F64)</x:f>
        <x:v>4.657728</x:v>
      </x:c>
      <x:c r="H64" s="9" t="n">
        <x:f>1.1+0.8*'스킬 500종'!W64</x:f>
        <x:v>5.1</x:v>
      </x:c>
      <x:c r="I64" s="10" t="n">
        <x:f>G64/H64</x:f>
        <x:v>0.91328</x:v>
      </x:c>
      <x:c r="J64" s="1" t="str">
        <x:f>IF(OR('스킬 500종'!I64&lt;0,'스킬 500종'!J64&lt;0,AND('스킬 500종'!I64&gt;0,'스킬 500종'!J64&gt;0),AND(OR('스킬 500종'!K64="HEAL",'스킬 500종'!N64="HEAL",'스킬 500종'!Q64="HEAL",'스킬 500종'!T64="HEAL"),'스킬 500종'!I64=0,'스킬 500종'!J64=0),AND('스킬 500종'!I64&gt;0,OR('스킬 500종'!K64="CONTINUOUS_HEAL",'스킬 500종'!N64="CONTINUOUS_HEAL",'스킬 500종'!Q64="CONTINUOUS_HEAL",'스킬 500종'!T64="CONTINUOUS_HEAL"))),"회복 기준 오류",IF(AND(G64&lt;=H64+0.00001,'스킬 500종'!W64&gt;=1,'스킬 500종'!W64&lt;=5),"정상","초과"))</x:f>
        <x:v>정상</x:v>
      </x:c>
    </x:row>
    <x:row r="65" ht="30" customHeight="1">
      <x:c r="A65" s="1" t="str">
        <x:f>'스킬 500종'!A65</x:f>
        <x:v>SKILL_0059</x:v>
      </x:c>
      <x:c r="B65" s="1" t="str">
        <x:f>'스킬 500종'!B65</x:f>
        <x:v>방어력 감소 · 회복 불가 · 반격 불가 · 추가 피해의 일격</x:v>
      </x:c>
      <x:c r="C65" s="1" t="n">
        <x:f>1</x:f>
        <x:v>1</x:v>
      </x:c>
      <x:c r="D65" s="9" t="n">
        <x:f>C65*1.24*('효과 규칙 55종'!H19*'스킬 500종'!L65*'스킬 500종'!M65/'효과 규칙 55종'!D19+'효과 규칙 55종'!H25*'스킬 500종'!O65*'스킬 500종'!P65/'효과 규칙 55종'!D25+'효과 규칙 55종'!H27*'스킬 500종'!R65*'스킬 500종'!S65/'효과 규칙 55종'!D27+'효과 규칙 55종'!H33*'스킬 500종'!U65*'스킬 500종'!V65/'효과 규칙 55종'!D33)</x:f>
        <x:v>1.7777507999999997</x:v>
      </x:c>
      <x:c r="E65" s="9" t="n">
        <x:f>C65*SUM('스킬 500종'!E65:H65)</x:f>
        <x:v>1.1</x:v>
      </x:c>
      <x:c r="F65" s="9" t="n">
        <x:f>C65*1.4*SUM('스킬 500종'!I65:J65)</x:f>
        <x:v>0</x:v>
      </x:c>
      <x:c r="G65" s="9" t="n">
        <x:f>SUM(D65:F65)</x:f>
        <x:v>2.8777508</x:v>
      </x:c>
      <x:c r="H65" s="9" t="n">
        <x:f>1.1+0.8*'스킬 500종'!W65</x:f>
        <x:v>3.5000000000000004</x:v>
      </x:c>
      <x:c r="I65" s="10" t="n">
        <x:f>G65/H65</x:f>
        <x:v>0.8222145142857141</x:v>
      </x:c>
      <x:c r="J65" s="1" t="str">
        <x:f>IF(OR('스킬 500종'!I65&lt;0,'스킬 500종'!J65&lt;0,AND('스킬 500종'!I65&gt;0,'스킬 500종'!J65&gt;0),AND(OR('스킬 500종'!K65="HEAL",'스킬 500종'!N65="HEAL",'스킬 500종'!Q65="HEAL",'스킬 500종'!T65="HEAL"),'스킬 500종'!I65=0,'스킬 500종'!J65=0),AND('스킬 500종'!I65&gt;0,OR('스킬 500종'!K65="CONTINUOUS_HEAL",'스킬 500종'!N65="CONTINUOUS_HEAL",'스킬 500종'!Q65="CONTINUOUS_HEAL",'스킬 500종'!T65="CONTINUOUS_HEAL"))),"회복 기준 오류",IF(AND(G65&lt;=H65+0.00001,'스킬 500종'!W65&gt;=1,'스킬 500종'!W65&lt;=5),"정상","초과"))</x:f>
        <x:v>정상</x:v>
      </x:c>
    </x:row>
    <x:row r="66" ht="30" customHeight="1">
      <x:c r="A66" s="1" t="str">
        <x:f>'스킬 500종'!A66</x:f>
        <x:v>SKILL_0060</x:v>
      </x:c>
      <x:c r="B66" s="1" t="str">
        <x:f>'스킬 500종'!B66</x:f>
        <x:v>스킬 쿨타임 증가 · 명중 감소 · 방어력 감소의 일격</x:v>
      </x:c>
      <x:c r="C66" s="1" t="n">
        <x:f>1</x:f>
        <x:v>1</x:v>
      </x:c>
      <x:c r="D66" s="9" t="n">
        <x:f>C66*1.16*('효과 규칙 55종'!H54*'스킬 500종'!L66*'스킬 500종'!M66/'효과 규칙 55종'!D54+'효과 규칙 55종'!H21*'스킬 500종'!O66*'스킬 500종'!P66/'효과 규칙 55종'!D21+'효과 규칙 55종'!H19*'스킬 500종'!R66*'스킬 500종'!S66/'효과 규칙 55종'!D19)</x:f>
        <x:v>2.54272</x:v>
      </x:c>
      <x:c r="E66" s="9" t="n">
        <x:f>C66*SUM('스킬 500종'!E66:H66)</x:f>
        <x:v>1.1</x:v>
      </x:c>
      <x:c r="F66" s="9" t="n">
        <x:f>C66*1.4*SUM('스킬 500종'!I66:J66)</x:f>
        <x:v>0</x:v>
      </x:c>
      <x:c r="G66" s="9" t="n">
        <x:f>SUM(D66:F66)</x:f>
        <x:v>3.64272</x:v>
      </x:c>
      <x:c r="H66" s="9" t="n">
        <x:f>1.1+0.8*'스킬 500종'!W66</x:f>
        <x:v>4.300000000000001</x:v>
      </x:c>
      <x:c r="I66" s="10" t="n">
        <x:f>G66/H66</x:f>
        <x:v>0.8471441860465115</x:v>
      </x:c>
      <x:c r="J66" s="1" t="str">
        <x:f>IF(OR('스킬 500종'!I66&lt;0,'스킬 500종'!J66&lt;0,AND('스킬 500종'!I66&gt;0,'스킬 500종'!J66&gt;0),AND(OR('스킬 500종'!K66="HEAL",'스킬 500종'!N66="HEAL",'스킬 500종'!Q66="HEAL",'스킬 500종'!T66="HEAL"),'스킬 500종'!I66=0,'스킬 500종'!J66=0),AND('스킬 500종'!I66&gt;0,OR('스킬 500종'!K66="CONTINUOUS_HEAL",'스킬 500종'!N66="CONTINUOUS_HEAL",'스킬 500종'!Q66="CONTINUOUS_HEAL",'스킬 500종'!T66="CONTINUOUS_HEAL"))),"회복 기준 오류",IF(AND(G66&lt;=H66+0.00001,'스킬 500종'!W66&gt;=1,'스킬 500종'!W66&lt;=5),"정상","초과"))</x:f>
        <x:v>정상</x:v>
      </x:c>
    </x:row>
    <x:row r="67" ht="30" customHeight="1">
      <x:c r="A67" s="1" t="str">
        <x:f>'스킬 500종'!A67</x:f>
        <x:v>SKILL_0061</x:v>
      </x:c>
      <x:c r="B67" s="1" t="str">
        <x:f>'스킬 500종'!B67</x:f>
        <x:v>저주 · 부활 불가 · 속도 감소의 일격</x:v>
      </x:c>
      <x:c r="C67" s="1" t="n">
        <x:f>2.4</x:f>
        <x:v>2.4</x:v>
      </x:c>
      <x:c r="D67" s="9" t="n">
        <x:f>C67*1.16*('효과 규칙 55종'!H31*'스킬 500종'!L67*'스킬 500종'!M67/'효과 규칙 55종'!D31+'효과 규칙 55종'!H48*'스킬 500종'!O67*'스킬 500종'!P67/'효과 규칙 55종'!D48+'효과 규칙 55종'!H20*'스킬 500종'!R67*'스킬 500종'!S67/'효과 규칙 55종'!D20)</x:f>
        <x:v>3.6080639999999997</x:v>
      </x:c>
      <x:c r="E67" s="9" t="n">
        <x:f>C67*SUM('스킬 500종'!E67:H67)</x:f>
        <x:v>1.2</x:v>
      </x:c>
      <x:c r="F67" s="9" t="n">
        <x:f>C67*1.4*SUM('스킬 500종'!I67:J67)</x:f>
        <x:v>0</x:v>
      </x:c>
      <x:c r="G67" s="9" t="n">
        <x:f>SUM(D67:F67)</x:f>
        <x:v>4.808064</x:v>
      </x:c>
      <x:c r="H67" s="9" t="n">
        <x:f>1.1+0.8*'스킬 500종'!W67</x:f>
        <x:v>5.1</x:v>
      </x:c>
      <x:c r="I67" s="10" t="n">
        <x:f>G67/H67</x:f>
        <x:v>0.9427576470588236</x:v>
      </x:c>
      <x:c r="J67" s="1" t="str">
        <x:f>IF(OR('스킬 500종'!I67&lt;0,'스킬 500종'!J67&lt;0,AND('스킬 500종'!I67&gt;0,'스킬 500종'!J67&gt;0),AND(OR('스킬 500종'!K67="HEAL",'스킬 500종'!N67="HEAL",'스킬 500종'!Q67="HEAL",'스킬 500종'!T67="HEAL"),'스킬 500종'!I67=0,'스킬 500종'!J67=0),AND('스킬 500종'!I67&gt;0,OR('스킬 500종'!K67="CONTINUOUS_HEAL",'스킬 500종'!N67="CONTINUOUS_HEAL",'스킬 500종'!Q67="CONTINUOUS_HEAL",'스킬 500종'!T67="CONTINUOUS_HEAL"))),"회복 기준 오류",IF(AND(G67&lt;=H67+0.00001,'스킬 500종'!W67&gt;=1,'스킬 500종'!W67&lt;=5),"정상","초과"))</x:f>
        <x:v>정상</x:v>
      </x:c>
    </x:row>
    <x:row r="68" ht="30" customHeight="1">
      <x:c r="A68" s="1" t="str">
        <x:f>'스킬 500종'!A68</x:f>
        <x:v>SKILL_0062</x:v>
      </x:c>
      <x:c r="B68" s="1" t="str">
        <x:f>'스킬 500종'!B68</x:f>
        <x:v>반격 불가 · 흡혈 · 기절 — 스턴 · 공격력 감소의 일격</x:v>
      </x:c>
      <x:c r="C68" s="1" t="n">
        <x:f>1</x:f>
        <x:v>1</x:v>
      </x:c>
      <x:c r="D68" s="9" t="n">
        <x:f>C68*1.24*('효과 규칙 55종'!H27*'스킬 500종'!L68*'스킬 500종'!M68/'효과 규칙 55종'!D27+'효과 규칙 55종'!H36*'스킬 500종'!O68*'스킬 500종'!P68/'효과 규칙 55종'!D36+'효과 규칙 55종'!H22*'스킬 500종'!R68*'스킬 500종'!S68/'효과 규칙 55종'!D22+'효과 규칙 55종'!H18*'스킬 500종'!U68*'스킬 500종'!V68/'효과 규칙 55종'!D18)</x:f>
        <x:v>2.6635448</x:v>
      </x:c>
      <x:c r="E68" s="9" t="n">
        <x:f>C68*SUM('스킬 500종'!E68:H68)</x:f>
        <x:v>1.1</x:v>
      </x:c>
      <x:c r="F68" s="9" t="n">
        <x:f>C68*1.4*SUM('스킬 500종'!I68:J68)</x:f>
        <x:v>0</x:v>
      </x:c>
      <x:c r="G68" s="9" t="n">
        <x:f>SUM(D68:F68)</x:f>
        <x:v>3.7635448</x:v>
      </x:c>
      <x:c r="H68" s="9" t="n">
        <x:f>1.1+0.8*'스킬 500종'!W68</x:f>
        <x:v>4.300000000000001</x:v>
      </x:c>
      <x:c r="I68" s="10" t="n">
        <x:f>G68/H68</x:f>
        <x:v>0.8752429767441859</x:v>
      </x:c>
      <x:c r="J68" s="1" t="str">
        <x:f>IF(OR('스킬 500종'!I68&lt;0,'스킬 500종'!J68&lt;0,AND('스킬 500종'!I68&gt;0,'스킬 500종'!J68&gt;0),AND(OR('스킬 500종'!K68="HEAL",'스킬 500종'!N68="HEAL",'스킬 500종'!Q68="HEAL",'스킬 500종'!T68="HEAL"),'스킬 500종'!I68=0,'스킬 500종'!J68=0),AND('스킬 500종'!I68&gt;0,OR('스킬 500종'!K68="CONTINUOUS_HEAL",'스킬 500종'!N68="CONTINUOUS_HEAL",'스킬 500종'!Q68="CONTINUOUS_HEAL",'스킬 500종'!T68="CONTINUOUS_HEAL"))),"회복 기준 오류",IF(AND(G68&lt;=H68+0.00001,'스킬 500종'!W68&gt;=1,'스킬 500종'!W68&lt;=5),"정상","초과"))</x:f>
        <x:v>정상</x:v>
      </x:c>
    </x:row>
    <x:row r="69" ht="30" customHeight="1">
      <x:c r="A69" s="1" t="str">
        <x:f>'스킬 500종'!A69</x:f>
        <x:v>SKILL_0063</x:v>
      </x:c>
      <x:c r="B69" s="1" t="str">
        <x:f>'스킬 500종'!B69</x:f>
        <x:v>강화 불가 · 강화효과 해제의 일격</x:v>
      </x:c>
      <x:c r="C69" s="1" t="n">
        <x:f>1</x:f>
        <x:v>1</x:v>
      </x:c>
      <x:c r="D69" s="9" t="n">
        <x:f>C69*1.08*('효과 규칙 55종'!H26*'스킬 500종'!L69*'스킬 500종'!M69/'효과 규칙 55종'!D26+'효과 규칙 55종'!H56*'스킬 500종'!O69*'스킬 500종'!P69/'효과 규칙 55종'!D56)</x:f>
        <x:v>1.6038000000000001</x:v>
      </x:c>
      <x:c r="E69" s="9" t="n">
        <x:f>C69*SUM('스킬 500종'!E69:H69)</x:f>
        <x:v>1.1</x:v>
      </x:c>
      <x:c r="F69" s="9" t="n">
        <x:f>C69*1.4*SUM('스킬 500종'!I69:J69)</x:f>
        <x:v>0</x:v>
      </x:c>
      <x:c r="G69" s="9" t="n">
        <x:f>SUM(D69:F69)</x:f>
        <x:v>2.7038</x:v>
      </x:c>
      <x:c r="H69" s="9" t="n">
        <x:f>1.1+0.8*'스킬 500종'!W69</x:f>
        <x:v>3.5000000000000004</x:v>
      </x:c>
      <x:c r="I69" s="10" t="n">
        <x:f>G69/H69</x:f>
        <x:v>0.7725142857142857</x:v>
      </x:c>
      <x:c r="J69" s="1" t="str">
        <x:f>IF(OR('스킬 500종'!I69&lt;0,'스킬 500종'!J69&lt;0,AND('스킬 500종'!I69&gt;0,'스킬 500종'!J69&gt;0),AND(OR('스킬 500종'!K69="HEAL",'스킬 500종'!N69="HEAL",'스킬 500종'!Q69="HEAL",'스킬 500종'!T69="HEAL"),'스킬 500종'!I69=0,'스킬 500종'!J69=0),AND('스킬 500종'!I69&gt;0,OR('스킬 500종'!K69="CONTINUOUS_HEAL",'스킬 500종'!N69="CONTINUOUS_HEAL",'스킬 500종'!Q69="CONTINUOUS_HEAL",'스킬 500종'!T69="CONTINUOUS_HEAL"))),"회복 기준 오류",IF(AND(G69&lt;=H69+0.00001,'스킬 500종'!W69&gt;=1,'스킬 500종'!W69&lt;=5),"정상","초과"))</x:f>
        <x:v>정상</x:v>
      </x:c>
    </x:row>
    <x:row r="70" ht="30" customHeight="1">
      <x:c r="A70" s="1" t="str">
        <x:f>'스킬 500종'!A70</x:f>
        <x:v>SKILL_0064</x:v>
      </x:c>
      <x:c r="B70" s="1" t="str">
        <x:f>'스킬 500종'!B70</x:f>
        <x:v>방어력 감소 · 속도 감소 · 약화효과 전이의 일격</x:v>
      </x:c>
      <x:c r="C70" s="1" t="n">
        <x:f>1</x:f>
        <x:v>1</x:v>
      </x:c>
      <x:c r="D70" s="9" t="n">
        <x:f>C70*1.16*('효과 규칙 55종'!H19*'스킬 500종'!L70*'스킬 500종'!M70/'효과 규칙 55종'!D19+'효과 규칙 55종'!H20*'스킬 500종'!O70*'스킬 500종'!P70/'효과 규칙 55종'!D20+'효과 규칙 55종'!H61*'스킬 500종'!R70*'스킬 500종'!S70/'효과 규칙 55종'!D61)</x:f>
        <x:v>2.0416000000000003</x:v>
      </x:c>
      <x:c r="E70" s="9" t="n">
        <x:f>C70*SUM('스킬 500종'!E70:H70)</x:f>
        <x:v>1.1</x:v>
      </x:c>
      <x:c r="F70" s="9" t="n">
        <x:f>C70*1.4*SUM('스킬 500종'!I70:J70)</x:f>
        <x:v>0</x:v>
      </x:c>
      <x:c r="G70" s="9" t="n">
        <x:f>SUM(D70:F70)</x:f>
        <x:v>3.1416000000000004</x:v>
      </x:c>
      <x:c r="H70" s="9" t="n">
        <x:f>1.1+0.8*'스킬 500종'!W70</x:f>
        <x:v>3.5000000000000004</x:v>
      </x:c>
      <x:c r="I70" s="10" t="n">
        <x:f>G70/H70</x:f>
        <x:v>0.8976</x:v>
      </x:c>
      <x:c r="J70" s="1" t="str">
        <x:f>IF(OR('스킬 500종'!I70&lt;0,'스킬 500종'!J70&lt;0,AND('스킬 500종'!I70&gt;0,'스킬 500종'!J70&gt;0),AND(OR('스킬 500종'!K70="HEAL",'스킬 500종'!N70="HEAL",'스킬 500종'!Q70="HEAL",'스킬 500종'!T70="HEAL"),'스킬 500종'!I70=0,'스킬 500종'!J70=0),AND('스킬 500종'!I70&gt;0,OR('스킬 500종'!K70="CONTINUOUS_HEAL",'스킬 500종'!N70="CONTINUOUS_HEAL",'스킬 500종'!Q70="CONTINUOUS_HEAL",'스킬 500종'!T70="CONTINUOUS_HEAL"))),"회복 기준 오류",IF(AND(G70&lt;=H70+0.00001,'스킬 500종'!W70&gt;=1,'스킬 500종'!W70&lt;=5),"정상","초과"))</x:f>
        <x:v>정상</x:v>
      </x:c>
    </x:row>
    <x:row r="71" ht="30" customHeight="1">
      <x:c r="A71" s="1" t="str">
        <x:f>'스킬 500종'!A71</x:f>
        <x:v>SKILL_0065</x:v>
      </x:c>
      <x:c r="B71" s="1" t="str">
        <x:f>'스킬 500종'!B71</x:f>
        <x:v>추가 공격 · 스킬 쿨타임 증가의 일격</x:v>
      </x:c>
      <x:c r="C71" s="1" t="n">
        <x:f>1</x:f>
        <x:v>1</x:v>
      </x:c>
      <x:c r="D71" s="9" t="n">
        <x:f>C71*1.08*('효과 규칙 55종'!H50*'스킬 500종'!L71*'스킬 500종'!M71/'효과 규칙 55종'!D50+'효과 규칙 55종'!H54*'스킬 500종'!O71*'스킬 500종'!P71/'효과 규칙 55종'!D54)</x:f>
        <x:v>2.0898000000000003</x:v>
      </x:c>
      <x:c r="E71" s="9" t="n">
        <x:f>C71*SUM('스킬 500종'!E71:H71)</x:f>
        <x:v>1.1</x:v>
      </x:c>
      <x:c r="F71" s="9" t="n">
        <x:f>C71*1.4*SUM('스킬 500종'!I71:J71)</x:f>
        <x:v>0</x:v>
      </x:c>
      <x:c r="G71" s="9" t="n">
        <x:f>SUM(D71:F71)</x:f>
        <x:v>3.1898000000000004</x:v>
      </x:c>
      <x:c r="H71" s="9" t="n">
        <x:f>1.1+0.8*'스킬 500종'!W71</x:f>
        <x:v>3.5000000000000004</x:v>
      </x:c>
      <x:c r="I71" s="10" t="n">
        <x:f>G71/H71</x:f>
        <x:v>0.9113714285714286</x:v>
      </x:c>
      <x:c r="J71" s="1" t="str">
        <x:f>IF(OR('스킬 500종'!I71&lt;0,'스킬 500종'!J71&lt;0,AND('스킬 500종'!I71&gt;0,'스킬 500종'!J71&gt;0),AND(OR('스킬 500종'!K71="HEAL",'스킬 500종'!N71="HEAL",'스킬 500종'!Q71="HEAL",'스킬 500종'!T71="HEAL"),'스킬 500종'!I71=0,'스킬 500종'!J71=0),AND('스킬 500종'!I71&gt;0,OR('스킬 500종'!K71="CONTINUOUS_HEAL",'스킬 500종'!N71="CONTINUOUS_HEAL",'스킬 500종'!Q71="CONTINUOUS_HEAL",'스킬 500종'!T71="CONTINUOUS_HEAL"))),"회복 기준 오류",IF(AND(G71&lt;=H71+0.00001,'스킬 500종'!W71&gt;=1,'스킬 500종'!W71&lt;=5),"정상","초과"))</x:f>
        <x:v>정상</x:v>
      </x:c>
    </x:row>
    <x:row r="72" ht="30" customHeight="1">
      <x:c r="A72" s="1" t="str">
        <x:f>'스킬 500종'!A72</x:f>
        <x:v>SKILL_0066</x:v>
      </x:c>
      <x:c r="B72" s="1" t="str">
        <x:f>'스킬 500종'!B72</x:f>
        <x:v>스킬 쿨타임 증가 · 회복 불가 · 방어력 감소 · 표적의 일격</x:v>
      </x:c>
      <x:c r="C72" s="1" t="n">
        <x:f>1</x:f>
        <x:v>1</x:v>
      </x:c>
      <x:c r="D72" s="9" t="n">
        <x:f>C72*1.24*('효과 규칙 55종'!H54*'스킬 500종'!L72*'스킬 500종'!M72/'효과 규칙 55종'!D54+'효과 규칙 55종'!H25*'스킬 500종'!O72*'스킬 500종'!P72/'효과 규칙 55종'!D25+'효과 규칙 55종'!H19*'스킬 500종'!R72*'스킬 500종'!S72/'효과 규칙 55종'!D19+'효과 규칙 55종'!H30*'스킬 500종'!U72*'스킬 500종'!V72/'효과 규칙 55종'!D30)</x:f>
        <x:v>2.686026</x:v>
      </x:c>
      <x:c r="E72" s="9" t="n">
        <x:f>C72*SUM('스킬 500종'!E72:H72)</x:f>
        <x:v>1.1</x:v>
      </x:c>
      <x:c r="F72" s="9" t="n">
        <x:f>C72*1.4*SUM('스킬 500종'!I72:J72)</x:f>
        <x:v>0</x:v>
      </x:c>
      <x:c r="G72" s="9" t="n">
        <x:f>SUM(D72:F72)</x:f>
        <x:v>3.786026</x:v>
      </x:c>
      <x:c r="H72" s="9" t="n">
        <x:f>1.1+0.8*'스킬 500종'!W72</x:f>
        <x:v>4.300000000000001</x:v>
      </x:c>
      <x:c r="I72" s="10" t="n">
        <x:f>G72/H72</x:f>
        <x:v>0.8804711627906976</x:v>
      </x:c>
      <x:c r="J72" s="1" t="str">
        <x:f>IF(OR('스킬 500종'!I72&lt;0,'스킬 500종'!J72&lt;0,AND('스킬 500종'!I72&gt;0,'스킬 500종'!J72&gt;0),AND(OR('스킬 500종'!K72="HEAL",'스킬 500종'!N72="HEAL",'스킬 500종'!Q72="HEAL",'스킬 500종'!T72="HEAL"),'스킬 500종'!I72=0,'스킬 500종'!J72=0),AND('스킬 500종'!I72&gt;0,OR('스킬 500종'!K72="CONTINUOUS_HEAL",'스킬 500종'!N72="CONTINUOUS_HEAL",'스킬 500종'!Q72="CONTINUOUS_HEAL",'스킬 500종'!T72="CONTINUOUS_HEAL"))),"회복 기준 오류",IF(AND(G72&lt;=H72+0.00001,'스킬 500종'!W72&gt;=1,'스킬 500종'!W72&lt;=5),"정상","초과"))</x:f>
        <x:v>정상</x:v>
      </x:c>
    </x:row>
    <x:row r="73" ht="30" customHeight="1">
      <x:c r="A73" s="1" t="str">
        <x:f>'스킬 500종'!A73</x:f>
        <x:v>SKILL_0067</x:v>
      </x:c>
      <x:c r="B73" s="1" t="str">
        <x:f>'스킬 500종'!B73</x:f>
        <x:v>속도 감소 · 출혈의 일격</x:v>
      </x:c>
      <x:c r="C73" s="1" t="n">
        <x:f>2.4</x:f>
        <x:v>2.4</x:v>
      </x:c>
      <x:c r="D73" s="9" t="n">
        <x:f>C73*1.08*('효과 규칙 55종'!H20*'스킬 500종'!L73*'스킬 500종'!M73/'효과 규칙 55종'!D20+'효과 규칙 55종'!H29*'스킬 500종'!O73*'스킬 500종'!P73/'효과 규칙 55종'!D29)</x:f>
        <x:v>2.6827199999999998</x:v>
      </x:c>
      <x:c r="E73" s="9" t="n">
        <x:f>C73*SUM('스킬 500종'!E73:H73)</x:f>
        <x:v>1.68</x:v>
      </x:c>
      <x:c r="F73" s="9" t="n">
        <x:f>C73*1.4*SUM('스킬 500종'!I73:J73)</x:f>
        <x:v>0</x:v>
      </x:c>
      <x:c r="G73" s="9" t="n">
        <x:f>SUM(D73:F73)</x:f>
        <x:v>4.3627199999999995</x:v>
      </x:c>
      <x:c r="H73" s="9" t="n">
        <x:f>1.1+0.8*'스킬 500종'!W73</x:f>
        <x:v>5.1</x:v>
      </x:c>
      <x:c r="I73" s="10" t="n">
        <x:f>G73/H73</x:f>
        <x:v>0.8554352941176471</x:v>
      </x:c>
      <x:c r="J73" s="1" t="str">
        <x:f>IF(OR('스킬 500종'!I73&lt;0,'스킬 500종'!J73&lt;0,AND('스킬 500종'!I73&gt;0,'스킬 500종'!J73&gt;0),AND(OR('스킬 500종'!K73="HEAL",'스킬 500종'!N73="HEAL",'스킬 500종'!Q73="HEAL",'스킬 500종'!T73="HEAL"),'스킬 500종'!I73=0,'스킬 500종'!J73=0),AND('스킬 500종'!I73&gt;0,OR('스킬 500종'!K73="CONTINUOUS_HEAL",'스킬 500종'!N73="CONTINUOUS_HEAL",'스킬 500종'!Q73="CONTINUOUS_HEAL",'스킬 500종'!T73="CONTINUOUS_HEAL"))),"회복 기준 오류",IF(AND(G73&lt;=H73+0.00001,'스킬 500종'!W73&gt;=1,'스킬 500종'!W73&lt;=5),"정상","초과"))</x:f>
        <x:v>정상</x:v>
      </x:c>
    </x:row>
    <x:row r="74" ht="30" customHeight="1">
      <x:c r="A74" s="1" t="str">
        <x:f>'스킬 500종'!A74</x:f>
        <x:v>SKILL_0068</x:v>
      </x:c>
      <x:c r="B74" s="1" t="str">
        <x:f>'스킬 500종'!B74</x:f>
        <x:v>방어력 감소 · 흡혈 · 회복 불가의 일격</x:v>
      </x:c>
      <x:c r="C74" s="1" t="n">
        <x:f>1</x:f>
        <x:v>1</x:v>
      </x:c>
      <x:c r="D74" s="9" t="n">
        <x:f>C74*1.16*('효과 규칙 55종'!H19*'스킬 500종'!L74*'스킬 500종'!M74/'효과 규칙 55종'!D19+'효과 규칙 55종'!H36*'스킬 500종'!O74*'스킬 500종'!P74/'효과 규칙 55종'!D36+'효과 규칙 55종'!H25*'스킬 500종'!R74*'스킬 500종'!S74/'효과 규칙 55종'!D25)</x:f>
        <x:v>1.5312</x:v>
      </x:c>
      <x:c r="E74" s="9" t="n">
        <x:f>C74*SUM('스킬 500종'!E74:H74)</x:f>
        <x:v>1.1</x:v>
      </x:c>
      <x:c r="F74" s="9" t="n">
        <x:f>C74*1.4*SUM('스킬 500종'!I74:J74)</x:f>
        <x:v>0</x:v>
      </x:c>
      <x:c r="G74" s="9" t="n">
        <x:f>SUM(D74:F74)</x:f>
        <x:v>2.6311999999999998</x:v>
      </x:c>
      <x:c r="H74" s="9" t="n">
        <x:f>1.1+0.8*'스킬 500종'!W74</x:f>
        <x:v>2.7</x:v>
      </x:c>
      <x:c r="I74" s="10" t="n">
        <x:f>G74/H74</x:f>
        <x:v>0.9745185185185183</x:v>
      </x:c>
      <x:c r="J74" s="1" t="str">
        <x:f>IF(OR('스킬 500종'!I74&lt;0,'스킬 500종'!J74&lt;0,AND('스킬 500종'!I74&gt;0,'스킬 500종'!J74&gt;0),AND(OR('스킬 500종'!K74="HEAL",'스킬 500종'!N74="HEAL",'스킬 500종'!Q74="HEAL",'스킬 500종'!T74="HEAL"),'스킬 500종'!I74=0,'스킬 500종'!J74=0),AND('스킬 500종'!I74&gt;0,OR('스킬 500종'!K74="CONTINUOUS_HEAL",'스킬 500종'!N74="CONTINUOUS_HEAL",'스킬 500종'!Q74="CONTINUOUS_HEAL",'스킬 500종'!T74="CONTINUOUS_HEAL"))),"회복 기준 오류",IF(AND(G74&lt;=H74+0.00001,'스킬 500종'!W74&gt;=1,'스킬 500종'!W74&lt;=5),"정상","초과"))</x:f>
        <x:v>정상</x:v>
      </x:c>
    </x:row>
    <x:row r="75" ht="30" customHeight="1">
      <x:c r="A75" s="1" t="str">
        <x:f>'스킬 500종'!A75</x:f>
        <x:v>SKILL_0069</x:v>
      </x:c>
      <x:c r="B75" s="1" t="str">
        <x:f>'스킬 500종'!B75</x:f>
        <x:v>반격 불가 · 공격력 감소 · 강화 불가 · 방어력 관통의 일격</x:v>
      </x:c>
      <x:c r="C75" s="1" t="n">
        <x:f>1</x:f>
        <x:v>1</x:v>
      </x:c>
      <x:c r="D75" s="9" t="n">
        <x:f>C75*1.24*('효과 규칙 55종'!H27*'스킬 500종'!L75*'스킬 500종'!M75/'효과 규칙 55종'!D27+'효과 규칙 55종'!H18*'스킬 500종'!O75*'스킬 500종'!P75/'효과 규칙 55종'!D18+'효과 규칙 55종'!H26*'스킬 500종'!R75*'스킬 500종'!S75/'효과 규칙 55종'!D26+'효과 규칙 55종'!H55*'스킬 500종'!U75*'스킬 500종'!V75/'효과 규칙 55종'!D55)</x:f>
        <x:v>2.0516048</x:v>
      </x:c>
      <x:c r="E75" s="9" t="n">
        <x:f>C75*SUM('스킬 500종'!E75:H75)</x:f>
        <x:v>1.1</x:v>
      </x:c>
      <x:c r="F75" s="9" t="n">
        <x:f>C75*1.4*SUM('스킬 500종'!I75:J75)</x:f>
        <x:v>0</x:v>
      </x:c>
      <x:c r="G75" s="9" t="n">
        <x:f>SUM(D75:F75)</x:f>
        <x:v>3.1516048</x:v>
      </x:c>
      <x:c r="H75" s="9" t="n">
        <x:f>1.1+0.8*'스킬 500종'!W75</x:f>
        <x:v>3.5000000000000004</x:v>
      </x:c>
      <x:c r="I75" s="10" t="n">
        <x:f>G75/H75</x:f>
        <x:v>0.9004585142857141</x:v>
      </x:c>
      <x:c r="J75" s="1" t="str">
        <x:f>IF(OR('스킬 500종'!I75&lt;0,'스킬 500종'!J75&lt;0,AND('스킬 500종'!I75&gt;0,'스킬 500종'!J75&gt;0),AND(OR('스킬 500종'!K75="HEAL",'스킬 500종'!N75="HEAL",'스킬 500종'!Q75="HEAL",'스킬 500종'!T75="HEAL"),'스킬 500종'!I75=0,'스킬 500종'!J75=0),AND('스킬 500종'!I75&gt;0,OR('스킬 500종'!K75="CONTINUOUS_HEAL",'스킬 500종'!N75="CONTINUOUS_HEAL",'스킬 500종'!Q75="CONTINUOUS_HEAL",'스킬 500종'!T75="CONTINUOUS_HEAL"))),"회복 기준 오류",IF(AND(G75&lt;=H75+0.00001,'스킬 500종'!W75&gt;=1,'스킬 500종'!W75&lt;=5),"정상","초과"))</x:f>
        <x:v>정상</x:v>
      </x:c>
    </x:row>
    <x:row r="76" ht="30" customHeight="1">
      <x:c r="A76" s="1" t="str">
        <x:f>'스킬 500종'!A76</x:f>
        <x:v>SKILL_0070</x:v>
      </x:c>
      <x:c r="B76" s="1" t="str">
        <x:f>'스킬 500종'!B76</x:f>
        <x:v>흡혈 · 방어력 관통의 일격</x:v>
      </x:c>
      <x:c r="C76" s="1" t="n">
        <x:f>2.4</x:f>
        <x:v>2.4</x:v>
      </x:c>
      <x:c r="D76" s="9" t="n">
        <x:f>C76*1.08*('효과 규칙 55종'!H36*'스킬 500종'!L76*'스킬 500종'!M76/'효과 규칙 55종'!D36+'효과 규칙 55종'!H55*'스킬 500종'!O76*'스킬 500종'!P76/'효과 규칙 55종'!D55)</x:f>
        <x:v>2.56608</x:v>
      </x:c>
      <x:c r="E76" s="9" t="n">
        <x:f>C76*SUM('스킬 500종'!E76:H76)</x:f>
        <x:v>1.68</x:v>
      </x:c>
      <x:c r="F76" s="9" t="n">
        <x:f>C76*1.4*SUM('스킬 500종'!I76:J76)</x:f>
        <x:v>0</x:v>
      </x:c>
      <x:c r="G76" s="9" t="n">
        <x:f>SUM(D76:F76)</x:f>
        <x:v>4.24608</x:v>
      </x:c>
      <x:c r="H76" s="9" t="n">
        <x:f>1.1+0.8*'스킬 500종'!W76</x:f>
        <x:v>4.300000000000001</x:v>
      </x:c>
      <x:c r="I76" s="10" t="n">
        <x:f>G76/H76</x:f>
        <x:v>0.9874604651162789</x:v>
      </x:c>
      <x:c r="J76" s="1" t="str">
        <x:f>IF(OR('스킬 500종'!I76&lt;0,'스킬 500종'!J76&lt;0,AND('스킬 500종'!I76&gt;0,'스킬 500종'!J76&gt;0),AND(OR('스킬 500종'!K76="HEAL",'스킬 500종'!N76="HEAL",'스킬 500종'!Q76="HEAL",'스킬 500종'!T76="HEAL"),'스킬 500종'!I76=0,'스킬 500종'!J76=0),AND('스킬 500종'!I76&gt;0,OR('스킬 500종'!K76="CONTINUOUS_HEAL",'스킬 500종'!N76="CONTINUOUS_HEAL",'스킬 500종'!Q76="CONTINUOUS_HEAL",'스킬 500종'!T76="CONTINUOUS_HEAL"))),"회복 기준 오류",IF(AND(G76&lt;=H76+0.00001,'스킬 500종'!W76&gt;=1,'스킬 500종'!W76&lt;=5),"정상","초과"))</x:f>
        <x:v>정상</x:v>
      </x:c>
    </x:row>
    <x:row r="77" ht="30" customHeight="1">
      <x:c r="A77" s="1" t="str">
        <x:f>'스킬 500종'!A77</x:f>
        <x:v>SKILL_0071</x:v>
      </x:c>
      <x:c r="B77" s="1" t="str">
        <x:f>'스킬 500종'!B77</x:f>
        <x:v>부활 불가 · 추가 공격의 일격</x:v>
      </x:c>
      <x:c r="C77" s="1" t="n">
        <x:f>1</x:f>
        <x:v>1</x:v>
      </x:c>
      <x:c r="D77" s="9" t="n">
        <x:f>C77*1.08*('효과 규칙 55종'!H48*'스킬 500종'!L77*'스킬 500종'!M77/'효과 규칙 55종'!D48+'효과 규칙 55종'!H50*'스킬 500종'!O77*'스킬 500종'!P77/'효과 규칙 55종'!D50)</x:f>
        <x:v>1.6038</x:v>
      </x:c>
      <x:c r="E77" s="9" t="n">
        <x:f>C77*SUM('스킬 500종'!E77:H77)</x:f>
        <x:v>1.1</x:v>
      </x:c>
      <x:c r="F77" s="9" t="n">
        <x:f>C77*1.4*SUM('스킬 500종'!I77:J77)</x:f>
        <x:v>0</x:v>
      </x:c>
      <x:c r="G77" s="9" t="n">
        <x:f>SUM(D77:F77)</x:f>
        <x:v>2.7038</x:v>
      </x:c>
      <x:c r="H77" s="9" t="n">
        <x:f>1.1+0.8*'스킬 500종'!W77</x:f>
        <x:v>3.5000000000000004</x:v>
      </x:c>
      <x:c r="I77" s="10" t="n">
        <x:f>G77/H77</x:f>
        <x:v>0.7725142857142857</x:v>
      </x:c>
      <x:c r="J77" s="1" t="str">
        <x:f>IF(OR('스킬 500종'!I77&lt;0,'스킬 500종'!J77&lt;0,AND('스킬 500종'!I77&gt;0,'스킬 500종'!J77&gt;0),AND(OR('스킬 500종'!K77="HEAL",'스킬 500종'!N77="HEAL",'스킬 500종'!Q77="HEAL",'스킬 500종'!T77="HEAL"),'스킬 500종'!I77=0,'스킬 500종'!J77=0),AND('스킬 500종'!I77&gt;0,OR('스킬 500종'!K77="CONTINUOUS_HEAL",'스킬 500종'!N77="CONTINUOUS_HEAL",'스킬 500종'!Q77="CONTINUOUS_HEAL",'스킬 500종'!T77="CONTINUOUS_HEAL"))),"회복 기준 오류",IF(AND(G77&lt;=H77+0.00001,'스킬 500종'!W77&gt;=1,'스킬 500종'!W77&lt;=5),"정상","초과"))</x:f>
        <x:v>정상</x:v>
      </x:c>
    </x:row>
    <x:row r="78" ht="30" customHeight="1">
      <x:c r="A78" s="1" t="str">
        <x:f>'스킬 500종'!A78</x:f>
        <x:v>SKILL_0072</x:v>
      </x:c>
      <x:c r="B78" s="1" t="str">
        <x:f>'스킬 500종'!B78</x:f>
        <x:v>약화효과 전이 · 도발 · 약화효과 지속시간 증가 · 강화효과 지속시간 감소의 일격</x:v>
      </x:c>
      <x:c r="C78" s="1" t="n">
        <x:f>1</x:f>
        <x:v>1</x:v>
      </x:c>
      <x:c r="D78" s="9" t="n">
        <x:f>C78*1.24*('효과 규칙 55종'!H61*'스킬 500종'!L78*'스킬 500종'!M78/'효과 규칙 55종'!D61+'효과 규칙 55종'!H24*'스킬 500종'!O78*'스킬 500종'!P78/'효과 규칙 55종'!D24+'효과 규칙 55종'!H60*'스킬 500종'!R78*'스킬 500종'!S78/'효과 규칙 55종'!D60+'효과 규칙 55종'!H59*'스킬 500종'!U78*'스킬 500종'!V78/'효과 규칙 55종'!D59)</x:f>
        <x:v>3.1681999999999997</x:v>
      </x:c>
      <x:c r="E78" s="9" t="n">
        <x:f>C78*SUM('스킬 500종'!E78:H78)</x:f>
        <x:v>1.1</x:v>
      </x:c>
      <x:c r="F78" s="9" t="n">
        <x:f>C78*1.4*SUM('스킬 500종'!I78:J78)</x:f>
        <x:v>0</x:v>
      </x:c>
      <x:c r="G78" s="9" t="n">
        <x:f>SUM(D78:F78)</x:f>
        <x:v>4.2682</x:v>
      </x:c>
      <x:c r="H78" s="9" t="n">
        <x:f>1.1+0.8*'스킬 500종'!W78</x:f>
        <x:v>4.300000000000001</x:v>
      </x:c>
      <x:c r="I78" s="10" t="n">
        <x:f>G78/H78</x:f>
        <x:v>0.9926046511627906</x:v>
      </x:c>
      <x:c r="J78" s="1" t="str">
        <x:f>IF(OR('스킬 500종'!I78&lt;0,'스킬 500종'!J78&lt;0,AND('스킬 500종'!I78&gt;0,'스킬 500종'!J78&gt;0),AND(OR('스킬 500종'!K78="HEAL",'스킬 500종'!N78="HEAL",'스킬 500종'!Q78="HEAL",'스킬 500종'!T78="HEAL"),'스킬 500종'!I78=0,'스킬 500종'!J78=0),AND('스킬 500종'!I78&gt;0,OR('스킬 500종'!K78="CONTINUOUS_HEAL",'스킬 500종'!N78="CONTINUOUS_HEAL",'스킬 500종'!Q78="CONTINUOUS_HEAL",'스킬 500종'!T78="CONTINUOUS_HEAL"))),"회복 기준 오류",IF(AND(G78&lt;=H78+0.00001,'스킬 500종'!W78&gt;=1,'스킬 500종'!W78&lt;=5),"정상","초과"))</x:f>
        <x:v>정상</x:v>
      </x:c>
    </x:row>
    <x:row r="79" ht="30" customHeight="1">
      <x:c r="A79" s="1" t="str">
        <x:f>'스킬 500종'!A79</x:f>
        <x:v>SKILL_0073</x:v>
      </x:c>
      <x:c r="B79" s="1" t="str">
        <x:f>'스킬 500종'!B79</x:f>
        <x:v>반격 불가 · 추가 공격 · 강화효과 지속시간 감소 · 회복 불가의 일격</x:v>
      </x:c>
      <x:c r="C79" s="1" t="n">
        <x:f>2.4</x:f>
        <x:v>2.4</x:v>
      </x:c>
      <x:c r="D79" s="9" t="n">
        <x:f>C79*1.24*('효과 규칙 55종'!H27*'스킬 500종'!L79*'스킬 500종'!M79/'효과 규칙 55종'!D27+'효과 규칙 55종'!H50*'스킬 500종'!O79*'스킬 500종'!P79/'효과 규칙 55종'!D50+'효과 규칙 55종'!H59*'스킬 500종'!R79*'스킬 500종'!S79/'효과 규칙 55종'!D59+'효과 규칙 55종'!H25*'스킬 500종'!U79*'스킬 500종'!V79/'효과 규칙 55종'!D25)</x:f>
        <x:v>3.6032982857142857</x:v>
      </x:c>
      <x:c r="E79" s="9" t="n">
        <x:f>C79*SUM('스킬 500종'!E79:H79)</x:f>
        <x:v>1.2</x:v>
      </x:c>
      <x:c r="F79" s="9" t="n">
        <x:f>C79*1.4*SUM('스킬 500종'!I79:J79)</x:f>
        <x:v>0</x:v>
      </x:c>
      <x:c r="G79" s="9" t="n">
        <x:f>SUM(D79:F79)</x:f>
        <x:v>4.803298285714286</x:v>
      </x:c>
      <x:c r="H79" s="9" t="n">
        <x:f>1.1+0.8*'스킬 500종'!W79</x:f>
        <x:v>5.1</x:v>
      </x:c>
      <x:c r="I79" s="10" t="n">
        <x:f>G79/H79</x:f>
        <x:v>0.941823193277311</x:v>
      </x:c>
      <x:c r="J79" s="1" t="str">
        <x:f>IF(OR('스킬 500종'!I79&lt;0,'스킬 500종'!J79&lt;0,AND('스킬 500종'!I79&gt;0,'스킬 500종'!J79&gt;0),AND(OR('스킬 500종'!K79="HEAL",'스킬 500종'!N79="HEAL",'스킬 500종'!Q79="HEAL",'스킬 500종'!T79="HEAL"),'스킬 500종'!I79=0,'스킬 500종'!J79=0),AND('스킬 500종'!I79&gt;0,OR('스킬 500종'!K79="CONTINUOUS_HEAL",'스킬 500종'!N79="CONTINUOUS_HEAL",'스킬 500종'!Q79="CONTINUOUS_HEAL",'스킬 500종'!T79="CONTINUOUS_HEAL"))),"회복 기준 오류",IF(AND(G79&lt;=H79+0.00001,'스킬 500종'!W79&gt;=1,'스킬 500종'!W79&lt;=5),"정상","초과"))</x:f>
        <x:v>정상</x:v>
      </x:c>
    </x:row>
    <x:row r="80" ht="30" customHeight="1">
      <x:c r="A80" s="1" t="str">
        <x:f>'스킬 500종'!A80</x:f>
        <x:v>SKILL_0074</x:v>
      </x:c>
      <x:c r="B80" s="1" t="str">
        <x:f>'스킬 500종'!B80</x:f>
        <x:v>회복 불가 · 기절 — 스턴 · 방어력 감소의 일격</x:v>
      </x:c>
      <x:c r="C80" s="1" t="n">
        <x:f>1</x:f>
        <x:v>1</x:v>
      </x:c>
      <x:c r="D80" s="9" t="n">
        <x:f>C80*1.16*('효과 규칙 55종'!H25*'스킬 500종'!L80*'스킬 500종'!M80/'효과 규칙 55종'!D25+'효과 규칙 55종'!H22*'스킬 500종'!O80*'스킬 500종'!P80/'효과 규칙 55종'!D22+'효과 규칙 55종'!H19*'스킬 500종'!R80*'스킬 500종'!S80/'효과 규칙 55종'!D19)</x:f>
        <x:v>2.90464</x:v>
      </x:c>
      <x:c r="E80" s="9" t="n">
        <x:f>C80*SUM('스킬 500종'!E80:H80)</x:f>
        <x:v>1.1</x:v>
      </x:c>
      <x:c r="F80" s="9" t="n">
        <x:f>C80*1.4*SUM('스킬 500종'!I80:J80)</x:f>
        <x:v>0</x:v>
      </x:c>
      <x:c r="G80" s="9" t="n">
        <x:f>SUM(D80:F80)</x:f>
        <x:v>4.00464</x:v>
      </x:c>
      <x:c r="H80" s="9" t="n">
        <x:f>1.1+0.8*'스킬 500종'!W80</x:f>
        <x:v>4.300000000000001</x:v>
      </x:c>
      <x:c r="I80" s="10" t="n">
        <x:f>G80/H80</x:f>
        <x:v>0.9313116279069766</x:v>
      </x:c>
      <x:c r="J80" s="1" t="str">
        <x:f>IF(OR('스킬 500종'!I80&lt;0,'스킬 500종'!J80&lt;0,AND('스킬 500종'!I80&gt;0,'스킬 500종'!J80&gt;0),AND(OR('스킬 500종'!K80="HEAL",'스킬 500종'!N80="HEAL",'스킬 500종'!Q80="HEAL",'스킬 500종'!T80="HEAL"),'스킬 500종'!I80=0,'스킬 500종'!J80=0),AND('스킬 500종'!I80&gt;0,OR('스킬 500종'!K80="CONTINUOUS_HEAL",'스킬 500종'!N80="CONTINUOUS_HEAL",'스킬 500종'!Q80="CONTINUOUS_HEAL",'스킬 500종'!T80="CONTINUOUS_HEAL"))),"회복 기준 오류",IF(AND(G80&lt;=H80+0.00001,'스킬 500종'!W80&gt;=1,'스킬 500종'!W80&lt;=5),"정상","초과"))</x:f>
        <x:v>정상</x:v>
      </x:c>
    </x:row>
    <x:row r="81" ht="30" customHeight="1">
      <x:c r="A81" s="1" t="str">
        <x:f>'스킬 500종'!A81</x:f>
        <x:v>SKILL_0075</x:v>
      </x:c>
      <x:c r="B81" s="1" t="str">
        <x:f>'스킬 500종'!B81</x:f>
        <x:v>수면 · 상처 · 흡혈의 일격</x:v>
      </x:c>
      <x:c r="C81" s="1" t="n">
        <x:f>1</x:f>
        <x:v>1</x:v>
      </x:c>
      <x:c r="D81" s="9" t="n">
        <x:f>C81*1.16*('효과 규칙 55종'!H23*'스킬 500종'!L81*'스킬 500종'!M81/'효과 규칙 55종'!D23+'효과 규칙 55종'!H32*'스킬 500종'!O81*'스킬 500종'!P81/'효과 규칙 55종'!D32+'효과 규칙 55종'!H36*'스킬 500종'!R81*'스킬 500종'!S81/'효과 규칙 55종'!D36)</x:f>
        <x:v>2.09728</x:v>
      </x:c>
      <x:c r="E81" s="9" t="n">
        <x:f>C81*SUM('스킬 500종'!E81:H81)</x:f>
        <x:v>1.1</x:v>
      </x:c>
      <x:c r="F81" s="9" t="n">
        <x:f>C81*1.4*SUM('스킬 500종'!I81:J81)</x:f>
        <x:v>0</x:v>
      </x:c>
      <x:c r="G81" s="9" t="n">
        <x:f>SUM(D81:F81)</x:f>
        <x:v>3.19728</x:v>
      </x:c>
      <x:c r="H81" s="9" t="n">
        <x:f>1.1+0.8*'스킬 500종'!W81</x:f>
        <x:v>3.5000000000000004</x:v>
      </x:c>
      <x:c r="I81" s="10" t="n">
        <x:f>G81/H81</x:f>
        <x:v>0.9135085714285713</x:v>
      </x:c>
      <x:c r="J81" s="1" t="str">
        <x:f>IF(OR('스킬 500종'!I81&lt;0,'스킬 500종'!J81&lt;0,AND('스킬 500종'!I81&gt;0,'스킬 500종'!J81&gt;0),AND(OR('스킬 500종'!K81="HEAL",'스킬 500종'!N81="HEAL",'스킬 500종'!Q81="HEAL",'스킬 500종'!T81="HEAL"),'스킬 500종'!I81=0,'스킬 500종'!J81=0),AND('스킬 500종'!I81&gt;0,OR('스킬 500종'!K81="CONTINUOUS_HEAL",'스킬 500종'!N81="CONTINUOUS_HEAL",'스킬 500종'!Q81="CONTINUOUS_HEAL",'스킬 500종'!T81="CONTINUOUS_HEAL"))),"회복 기준 오류",IF(AND(G81&lt;=H81+0.00001,'스킬 500종'!W81&gt;=1,'스킬 500종'!W81&lt;=5),"정상","초과"))</x:f>
        <x:v>정상</x:v>
      </x:c>
    </x:row>
    <x:row r="82" ht="30" customHeight="1">
      <x:c r="A82" s="1" t="str">
        <x:f>'스킬 500종'!A82</x:f>
        <x:v>SKILL_0076</x:v>
      </x:c>
      <x:c r="B82" s="1" t="str">
        <x:f>'스킬 500종'!B82</x:f>
        <x:v>추가 공격 · 회복 불가 · 수면의 일격</x:v>
      </x:c>
      <x:c r="C82" s="1" t="n">
        <x:f>2.4</x:f>
        <x:v>2.4</x:v>
      </x:c>
      <x:c r="D82" s="9" t="n">
        <x:f>C82*1.16*('효과 규칙 55종'!H50*'스킬 500종'!L82*'스킬 500종'!M82/'효과 규칙 55종'!D50+'효과 규칙 55종'!H25*'스킬 500종'!O82*'스킬 500종'!P82/'효과 규칙 55종'!D25+'효과 규칙 55종'!H23*'스킬 500종'!R82*'스킬 500종'!S82/'효과 규칙 55종'!D23)</x:f>
        <x:v>3.7820640000000005</x:v>
      </x:c>
      <x:c r="E82" s="9" t="n">
        <x:f>C82*SUM('스킬 500종'!E82:H82)</x:f>
        <x:v>1.08</x:v>
      </x:c>
      <x:c r="F82" s="9" t="n">
        <x:f>C82*1.4*SUM('스킬 500종'!I82:J82)</x:f>
        <x:v>0</x:v>
      </x:c>
      <x:c r="G82" s="9" t="n">
        <x:f>SUM(D82:F82)</x:f>
        <x:v>4.862064</x:v>
      </x:c>
      <x:c r="H82" s="9" t="n">
        <x:f>1.1+0.8*'스킬 500종'!W82</x:f>
        <x:v>5.1</x:v>
      </x:c>
      <x:c r="I82" s="10" t="n">
        <x:f>G82/H82</x:f>
        <x:v>0.9533458823529413</x:v>
      </x:c>
      <x:c r="J82" s="1" t="str">
        <x:f>IF(OR('스킬 500종'!I82&lt;0,'스킬 500종'!J82&lt;0,AND('스킬 500종'!I82&gt;0,'스킬 500종'!J82&gt;0),AND(OR('스킬 500종'!K82="HEAL",'스킬 500종'!N82="HEAL",'스킬 500종'!Q82="HEAL",'스킬 500종'!T82="HEAL"),'스킬 500종'!I82=0,'스킬 500종'!J82=0),AND('스킬 500종'!I82&gt;0,OR('스킬 500종'!K82="CONTINUOUS_HEAL",'스킬 500종'!N82="CONTINUOUS_HEAL",'스킬 500종'!Q82="CONTINUOUS_HEAL",'스킬 500종'!T82="CONTINUOUS_HEAL"))),"회복 기준 오류",IF(AND(G82&lt;=H82+0.00001,'스킬 500종'!W82&gt;=1,'스킬 500종'!W82&lt;=5),"정상","초과"))</x:f>
        <x:v>정상</x:v>
      </x:c>
    </x:row>
    <x:row r="83" ht="30" customHeight="1">
      <x:c r="A83" s="1" t="str">
        <x:f>'스킬 500종'!A83</x:f>
        <x:v>SKILL_0077</x:v>
      </x:c>
      <x:c r="B83" s="1" t="str">
        <x:f>'스킬 500종'!B83</x:f>
        <x:v>흡혈 · 기절 — 스턴의 일격</x:v>
      </x:c>
      <x:c r="C83" s="1" t="n">
        <x:f>1</x:f>
        <x:v>1</x:v>
      </x:c>
      <x:c r="D83" s="9" t="n">
        <x:f>C83*1.08*('효과 규칙 55종'!H36*'스킬 500종'!L83*'스킬 500종'!M83/'효과 규칙 55종'!D36+'효과 규칙 55종'!H22*'스킬 500종'!O83*'스킬 500종'!P83/'효과 규칙 55종'!D22)</x:f>
        <x:v>2.1384000000000003</x:v>
      </x:c>
      <x:c r="E83" s="9" t="n">
        <x:f>C83*SUM('스킬 500종'!E83:H83)</x:f>
        <x:v>1.1</x:v>
      </x:c>
      <x:c r="F83" s="9" t="n">
        <x:f>C83*1.4*SUM('스킬 500종'!I83:J83)</x:f>
        <x:v>0</x:v>
      </x:c>
      <x:c r="G83" s="9" t="n">
        <x:f>SUM(D83:F83)</x:f>
        <x:v>3.2384000000000004</x:v>
      </x:c>
      <x:c r="H83" s="9" t="n">
        <x:f>1.1+0.8*'스킬 500종'!W83</x:f>
        <x:v>3.5000000000000004</x:v>
      </x:c>
      <x:c r="I83" s="10" t="n">
        <x:f>G83/H83</x:f>
        <x:v>0.9252571428571429</x:v>
      </x:c>
      <x:c r="J83" s="1" t="str">
        <x:f>IF(OR('스킬 500종'!I83&lt;0,'스킬 500종'!J83&lt;0,AND('스킬 500종'!I83&gt;0,'스킬 500종'!J83&gt;0),AND(OR('스킬 500종'!K83="HEAL",'스킬 500종'!N83="HEAL",'스킬 500종'!Q83="HEAL",'스킬 500종'!T83="HEAL"),'스킬 500종'!I83=0,'스킬 500종'!J83=0),AND('스킬 500종'!I83&gt;0,OR('스킬 500종'!K83="CONTINUOUS_HEAL",'스킬 500종'!N83="CONTINUOUS_HEAL",'스킬 500종'!Q83="CONTINUOUS_HEAL",'스킬 500종'!T83="CONTINUOUS_HEAL"))),"회복 기준 오류",IF(AND(G83&lt;=H83+0.00001,'스킬 500종'!W83&gt;=1,'스킬 500종'!W83&lt;=5),"정상","초과"))</x:f>
        <x:v>정상</x:v>
      </x:c>
    </x:row>
    <x:row r="84" ht="30" customHeight="1">
      <x:c r="A84" s="1" t="str">
        <x:f>'스킬 500종'!A84</x:f>
        <x:v>SKILL_0078</x:v>
      </x:c>
      <x:c r="B84" s="1" t="str">
        <x:f>'스킬 500종'!B84</x:f>
        <x:v>소멸 · 표적 · 공격력 감소 · 속도 감소의 일격</x:v>
      </x:c>
      <x:c r="C84" s="1" t="n">
        <x:f>1</x:f>
        <x:v>1</x:v>
      </x:c>
      <x:c r="D84" s="9" t="n">
        <x:f>C84*1.24*('효과 규칙 55종'!H47*'스킬 500종'!L84*'스킬 500종'!M84/'효과 규칙 55종'!D47+'효과 규칙 55종'!H30*'스킬 500종'!O84*'스킬 500종'!P84/'효과 규칙 55종'!D30+'효과 규칙 55종'!H18*'스킬 500종'!R84*'스킬 500종'!S84/'효과 규칙 55종'!D18+'효과 규칙 55종'!H20*'스킬 500종'!U84*'스킬 500종'!V84/'효과 규칙 55종'!D20)</x:f>
        <x:v>1.9730508</x:v>
      </x:c>
      <x:c r="E84" s="9" t="n">
        <x:f>C84*SUM('스킬 500종'!E84:H84)</x:f>
        <x:v>1.1</x:v>
      </x:c>
      <x:c r="F84" s="9" t="n">
        <x:f>C84*1.4*SUM('스킬 500종'!I84:J84)</x:f>
        <x:v>0</x:v>
      </x:c>
      <x:c r="G84" s="9" t="n">
        <x:f>SUM(D84:F84)</x:f>
        <x:v>3.0730508</x:v>
      </x:c>
      <x:c r="H84" s="9" t="n">
        <x:f>1.1+0.8*'스킬 500종'!W84</x:f>
        <x:v>3.5000000000000004</x:v>
      </x:c>
      <x:c r="I84" s="10" t="n">
        <x:f>G84/H84</x:f>
        <x:v>0.8780145142857141</x:v>
      </x:c>
      <x:c r="J84" s="1" t="str">
        <x:f>IF(OR('스킬 500종'!I84&lt;0,'스킬 500종'!J84&lt;0,AND('스킬 500종'!I84&gt;0,'스킬 500종'!J84&gt;0),AND(OR('스킬 500종'!K84="HEAL",'스킬 500종'!N84="HEAL",'스킬 500종'!Q84="HEAL",'스킬 500종'!T84="HEAL"),'스킬 500종'!I84=0,'스킬 500종'!J84=0),AND('스킬 500종'!I84&gt;0,OR('스킬 500종'!K84="CONTINUOUS_HEAL",'스킬 500종'!N84="CONTINUOUS_HEAL",'스킬 500종'!Q84="CONTINUOUS_HEAL",'스킬 500종'!T84="CONTINUOUS_HEAL"))),"회복 기준 오류",IF(AND(G84&lt;=H84+0.00001,'스킬 500종'!W84&gt;=1,'스킬 500종'!W84&lt;=5),"정상","초과"))</x:f>
        <x:v>정상</x:v>
      </x:c>
    </x:row>
    <x:row r="85" ht="30" customHeight="1">
      <x:c r="A85" s="1" t="str">
        <x:f>'스킬 500종'!A85</x:f>
        <x:v>SKILL_0079</x:v>
      </x:c>
      <x:c r="B85" s="1" t="str">
        <x:f>'스킬 500종'!B85</x:f>
        <x:v>기절 — 스턴 · 강화효과 해제 · 상처의 일격</x:v>
      </x:c>
      <x:c r="C85" s="1" t="n">
        <x:f>2.4</x:f>
        <x:v>2.4</x:v>
      </x:c>
      <x:c r="D85" s="9" t="n">
        <x:f>C85*1.16*('효과 규칙 55종'!H22*'스킬 500종'!L85*'스킬 500종'!M85/'효과 규칙 55종'!D22+'효과 규칙 55종'!H56*'스킬 500종'!O85*'스킬 500종'!P85/'효과 규칙 55종'!D56+'효과 규칙 55종'!H32*'스킬 500종'!R85*'스킬 500종'!S85/'효과 규칙 55종'!D32)</x:f>
        <x:v>3.9964319999999995</x:v>
      </x:c>
      <x:c r="E85" s="9" t="n">
        <x:f>C85*SUM('스킬 500종'!E85:H85)</x:f>
        <x:v>0.84</x:v>
      </x:c>
      <x:c r="F85" s="9" t="n">
        <x:f>C85*1.4*SUM('스킬 500종'!I85:J85)</x:f>
        <x:v>0</x:v>
      </x:c>
      <x:c r="G85" s="9" t="n">
        <x:f>SUM(D85:F85)</x:f>
        <x:v>4.836431999999999</x:v>
      </x:c>
      <x:c r="H85" s="9" t="n">
        <x:f>1.1+0.8*'스킬 500종'!W85</x:f>
        <x:v>5.1</x:v>
      </x:c>
      <x:c r="I85" s="10" t="n">
        <x:f>G85/H85</x:f>
        <x:v>0.9483199999999999</x:v>
      </x:c>
      <x:c r="J85" s="1" t="str">
        <x:f>IF(OR('스킬 500종'!I85&lt;0,'스킬 500종'!J85&lt;0,AND('스킬 500종'!I85&gt;0,'스킬 500종'!J85&gt;0),AND(OR('스킬 500종'!K85="HEAL",'스킬 500종'!N85="HEAL",'스킬 500종'!Q85="HEAL",'스킬 500종'!T85="HEAL"),'스킬 500종'!I85=0,'스킬 500종'!J85=0),AND('스킬 500종'!I85&gt;0,OR('스킬 500종'!K85="CONTINUOUS_HEAL",'스킬 500종'!N85="CONTINUOUS_HEAL",'스킬 500종'!Q85="CONTINUOUS_HEAL",'스킬 500종'!T85="CONTINUOUS_HEAL"))),"회복 기준 오류",IF(AND(G85&lt;=H85+0.00001,'스킬 500종'!W85&gt;=1,'스킬 500종'!W85&lt;=5),"정상","초과"))</x:f>
        <x:v>정상</x:v>
      </x:c>
    </x:row>
    <x:row r="86" ht="30" customHeight="1">
      <x:c r="A86" s="1" t="str">
        <x:f>'스킬 500종'!A86</x:f>
        <x:v>SKILL_0080</x:v>
      </x:c>
      <x:c r="B86" s="1" t="str">
        <x:f>'스킬 500종'!B86</x:f>
        <x:v>강화 불가 · 추가 공격 · 소멸의 일격</x:v>
      </x:c>
      <x:c r="C86" s="1" t="n">
        <x:f>1</x:f>
        <x:v>1</x:v>
      </x:c>
      <x:c r="D86" s="9" t="n">
        <x:f>C86*1.16*('효과 규칙 55종'!H26*'스킬 500종'!L86*'스킬 500종'!M86/'효과 규칙 55종'!D26+'효과 규칙 55종'!H50*'스킬 500종'!O86*'스킬 500종'!P86/'효과 규칙 55종'!D50+'효과 규칙 55종'!H47*'스킬 500종'!R86*'스킬 500종'!S86/'효과 규칙 55종'!D47)</x:f>
        <x:v>2.3385599999999998</x:v>
      </x:c>
      <x:c r="E86" s="9" t="n">
        <x:f>C86*SUM('스킬 500종'!E86:H86)</x:f>
        <x:v>1.1</x:v>
      </x:c>
      <x:c r="F86" s="9" t="n">
        <x:f>C86*1.4*SUM('스킬 500종'!I86:J86)</x:f>
        <x:v>0</x:v>
      </x:c>
      <x:c r="G86" s="9" t="n">
        <x:f>SUM(D86:F86)</x:f>
        <x:v>3.43856</x:v>
      </x:c>
      <x:c r="H86" s="9" t="n">
        <x:f>1.1+0.8*'스킬 500종'!W86</x:f>
        <x:v>3.5000000000000004</x:v>
      </x:c>
      <x:c r="I86" s="10" t="n">
        <x:f>G86/H86</x:f>
        <x:v>0.9824457142857141</x:v>
      </x:c>
      <x:c r="J86" s="1" t="str">
        <x:f>IF(OR('스킬 500종'!I86&lt;0,'스킬 500종'!J86&lt;0,AND('스킬 500종'!I86&gt;0,'스킬 500종'!J86&gt;0),AND(OR('스킬 500종'!K86="HEAL",'스킬 500종'!N86="HEAL",'스킬 500종'!Q86="HEAL",'스킬 500종'!T86="HEAL"),'스킬 500종'!I86=0,'스킬 500종'!J86=0),AND('스킬 500종'!I86&gt;0,OR('스킬 500종'!K86="CONTINUOUS_HEAL",'스킬 500종'!N86="CONTINUOUS_HEAL",'스킬 500종'!Q86="CONTINUOUS_HEAL",'스킬 500종'!T86="CONTINUOUS_HEAL"))),"회복 기준 오류",IF(AND(G86&lt;=H86+0.00001,'스킬 500종'!W86&gt;=1,'스킬 500종'!W86&lt;=5),"정상","초과"))</x:f>
        <x:v>정상</x:v>
      </x:c>
    </x:row>
    <x:row r="87" ht="30" customHeight="1">
      <x:c r="A87" s="1" t="str">
        <x:f>'스킬 500종'!A87</x:f>
        <x:v>SKILL_0081</x:v>
      </x:c>
      <x:c r="B87" s="1" t="str">
        <x:f>'스킬 500종'!B87</x:f>
        <x:v>강화효과 지속시간 감소 · 반격 불가의 일격</x:v>
      </x:c>
      <x:c r="C87" s="1" t="n">
        <x:f>1</x:f>
        <x:v>1</x:v>
      </x:c>
      <x:c r="D87" s="9" t="n">
        <x:f>C87*1.08*('효과 규칙 55종'!H59*'스킬 500종'!L87*'스킬 500종'!M87/'효과 규칙 55종'!D59+'효과 규칙 55종'!H27*'스킬 500종'!O87*'스킬 500종'!P87/'효과 규칙 55종'!D27)</x:f>
        <x:v>1.3122000000000003</x:v>
      </x:c>
      <x:c r="E87" s="9" t="n">
        <x:f>C87*SUM('스킬 500종'!E87:H87)</x:f>
        <x:v>1.1</x:v>
      </x:c>
      <x:c r="F87" s="9" t="n">
        <x:f>C87*1.4*SUM('스킬 500종'!I87:J87)</x:f>
        <x:v>0</x:v>
      </x:c>
      <x:c r="G87" s="9" t="n">
        <x:f>SUM(D87:F87)</x:f>
        <x:v>2.4122000000000003</x:v>
      </x:c>
      <x:c r="H87" s="9" t="n">
        <x:f>1.1+0.8*'스킬 500종'!W87</x:f>
        <x:v>2.7</x:v>
      </x:c>
      <x:c r="I87" s="10" t="n">
        <x:f>G87/H87</x:f>
        <x:v>0.8934074074074074</x:v>
      </x:c>
      <x:c r="J87" s="1" t="str">
        <x:f>IF(OR('스킬 500종'!I87&lt;0,'스킬 500종'!J87&lt;0,AND('스킬 500종'!I87&gt;0,'스킬 500종'!J87&gt;0),AND(OR('스킬 500종'!K87="HEAL",'스킬 500종'!N87="HEAL",'스킬 500종'!Q87="HEAL",'스킬 500종'!T87="HEAL"),'스킬 500종'!I87=0,'스킬 500종'!J87=0),AND('스킬 500종'!I87&gt;0,OR('스킬 500종'!K87="CONTINUOUS_HEAL",'스킬 500종'!N87="CONTINUOUS_HEAL",'스킬 500종'!Q87="CONTINUOUS_HEAL",'스킬 500종'!T87="CONTINUOUS_HEAL"))),"회복 기준 오류",IF(AND(G87&lt;=H87+0.00001,'스킬 500종'!W87&gt;=1,'스킬 500종'!W87&lt;=5),"정상","초과"))</x:f>
        <x:v>정상</x:v>
      </x:c>
    </x:row>
    <x:row r="88" ht="30" customHeight="1">
      <x:c r="A88" s="1" t="str">
        <x:f>'스킬 500종'!A88</x:f>
        <x:v>SKILL_0082</x:v>
      </x:c>
      <x:c r="B88" s="1" t="str">
        <x:f>'스킬 500종'!B88</x:f>
        <x:v>추가 공격 · 저주의 일격</x:v>
      </x:c>
      <x:c r="C88" s="1" t="n">
        <x:f>2.4</x:f>
        <x:v>2.4</x:v>
      </x:c>
      <x:c r="D88" s="9" t="n">
        <x:f>C88*1.08*('효과 규칙 55종'!H50*'스킬 500종'!L88*'스킬 500종'!M88/'효과 규칙 55종'!D50+'효과 규칙 55종'!H31*'스킬 500종'!O88*'스킬 500종'!P88/'효과 규칙 55종'!D31)</x:f>
        <x:v>3.1946399999999997</x:v>
      </x:c>
      <x:c r="E88" s="9" t="n">
        <x:f>C88*SUM('스킬 500종'!E88:H88)</x:f>
        <x:v>1.56</x:v>
      </x:c>
      <x:c r="F88" s="9" t="n">
        <x:f>C88*1.4*SUM('스킬 500종'!I88:J88)</x:f>
        <x:v>0</x:v>
      </x:c>
      <x:c r="G88" s="9" t="n">
        <x:f>SUM(D88:F88)</x:f>
        <x:v>4.75464</x:v>
      </x:c>
      <x:c r="H88" s="9" t="n">
        <x:f>1.1+0.8*'스킬 500종'!W88</x:f>
        <x:v>5.1</x:v>
      </x:c>
      <x:c r="I88" s="10" t="n">
        <x:f>G88/H88</x:f>
        <x:v>0.9322823529411766</x:v>
      </x:c>
      <x:c r="J88" s="1" t="str">
        <x:f>IF(OR('스킬 500종'!I88&lt;0,'스킬 500종'!J88&lt;0,AND('스킬 500종'!I88&gt;0,'스킬 500종'!J88&gt;0),AND(OR('스킬 500종'!K88="HEAL",'스킬 500종'!N88="HEAL",'스킬 500종'!Q88="HEAL",'스킬 500종'!T88="HEAL"),'스킬 500종'!I88=0,'스킬 500종'!J88=0),AND('스킬 500종'!I88&gt;0,OR('스킬 500종'!K88="CONTINUOUS_HEAL",'스킬 500종'!N88="CONTINUOUS_HEAL",'스킬 500종'!Q88="CONTINUOUS_HEAL",'스킬 500종'!T88="CONTINUOUS_HEAL"))),"회복 기준 오류",IF(AND(G88&lt;=H88+0.00001,'스킬 500종'!W88&gt;=1,'스킬 500종'!W88&lt;=5),"정상","초과"))</x:f>
        <x:v>정상</x:v>
      </x:c>
    </x:row>
    <x:row r="89" ht="30" customHeight="1">
      <x:c r="A89" s="1" t="str">
        <x:f>'스킬 500종'!A89</x:f>
        <x:v>SKILL_0083</x:v>
      </x:c>
      <x:c r="B89" s="1" t="str">
        <x:f>'스킬 500종'!B89</x:f>
        <x:v>강화효과 지속시간 감소 · 수면 · 회복 불가의 일격</x:v>
      </x:c>
      <x:c r="C89" s="1" t="n">
        <x:f>1</x:f>
        <x:v>1</x:v>
      </x:c>
      <x:c r="D89" s="9" t="n">
        <x:f>C89*1.16*('효과 규칙 55종'!H59*'스킬 500종'!L89*'스킬 500종'!M89/'효과 규칙 55종'!D59+'효과 규칙 55종'!H23*'스킬 500종'!O89*'스킬 500종'!P89/'효과 규칙 55종'!D23+'효과 규칙 55종'!H25*'스킬 500종'!R89*'스킬 500종'!S89/'효과 규칙 55종'!D25)</x:f>
        <x:v>2.4592</x:v>
      </x:c>
      <x:c r="E89" s="9" t="n">
        <x:f>C89*SUM('스킬 500종'!E89:H89)</x:f>
        <x:v>1.1</x:v>
      </x:c>
      <x:c r="F89" s="9" t="n">
        <x:f>C89*1.4*SUM('스킬 500종'!I89:J89)</x:f>
        <x:v>0</x:v>
      </x:c>
      <x:c r="G89" s="9" t="n">
        <x:f>SUM(D89:F89)</x:f>
        <x:v>3.5592</x:v>
      </x:c>
      <x:c r="H89" s="9" t="n">
        <x:f>1.1+0.8*'스킬 500종'!W89</x:f>
        <x:v>4.300000000000001</x:v>
      </x:c>
      <x:c r="I89" s="10" t="n">
        <x:f>G89/H89</x:f>
        <x:v>0.827720930232558</x:v>
      </x:c>
      <x:c r="J89" s="1" t="str">
        <x:f>IF(OR('스킬 500종'!I89&lt;0,'스킬 500종'!J89&lt;0,AND('스킬 500종'!I89&gt;0,'스킬 500종'!J89&gt;0),AND(OR('스킬 500종'!K89="HEAL",'스킬 500종'!N89="HEAL",'스킬 500종'!Q89="HEAL",'스킬 500종'!T89="HEAL"),'스킬 500종'!I89=0,'스킬 500종'!J89=0),AND('스킬 500종'!I89&gt;0,OR('스킬 500종'!K89="CONTINUOUS_HEAL",'스킬 500종'!N89="CONTINUOUS_HEAL",'스킬 500종'!Q89="CONTINUOUS_HEAL",'스킬 500종'!T89="CONTINUOUS_HEAL"))),"회복 기준 오류",IF(AND(G89&lt;=H89+0.00001,'스킬 500종'!W89&gt;=1,'스킬 500종'!W89&lt;=5),"정상","초과"))</x:f>
        <x:v>정상</x:v>
      </x:c>
    </x:row>
    <x:row r="90" ht="30" customHeight="1">
      <x:c r="A90" s="1" t="str">
        <x:f>'스킬 500종'!A90</x:f>
        <x:v>SKILL_0084</x:v>
      </x:c>
      <x:c r="B90" s="1" t="str">
        <x:f>'스킬 500종'!B90</x:f>
        <x:v>부활 불가 · 중독 · 강화효과 지속시간 감소의 일격</x:v>
      </x:c>
      <x:c r="C90" s="1" t="n">
        <x:f>1</x:f>
        <x:v>1</x:v>
      </x:c>
      <x:c r="D90" s="9" t="n">
        <x:f>C90*1.16*('효과 규칙 55종'!H48*'스킬 500종'!L90*'스킬 500종'!M90/'효과 규칙 55종'!D48+'효과 규칙 55종'!H28*'스킬 500종'!O90*'스킬 500종'!P90/'효과 규칙 55종'!D28+'효과 규칙 55종'!H59*'스킬 500종'!R90*'스킬 500종'!S90/'효과 규칙 55종'!D59)</x:f>
        <x:v>2.06016</x:v>
      </x:c>
      <x:c r="E90" s="9" t="n">
        <x:f>C90*SUM('스킬 500종'!E90:H90)</x:f>
        <x:v>1.1</x:v>
      </x:c>
      <x:c r="F90" s="9" t="n">
        <x:f>C90*1.4*SUM('스킬 500종'!I90:J90)</x:f>
        <x:v>0</x:v>
      </x:c>
      <x:c r="G90" s="9" t="n">
        <x:f>SUM(D90:F90)</x:f>
        <x:v>3.1601600000000003</x:v>
      </x:c>
      <x:c r="H90" s="9" t="n">
        <x:f>1.1+0.8*'스킬 500종'!W90</x:f>
        <x:v>3.5000000000000004</x:v>
      </x:c>
      <x:c r="I90" s="10" t="n">
        <x:f>G90/H90</x:f>
        <x:v>0.9029028571428571</x:v>
      </x:c>
      <x:c r="J90" s="1" t="str">
        <x:f>IF(OR('스킬 500종'!I90&lt;0,'스킬 500종'!J90&lt;0,AND('스킬 500종'!I90&gt;0,'스킬 500종'!J90&gt;0),AND(OR('스킬 500종'!K90="HEAL",'스킬 500종'!N90="HEAL",'스킬 500종'!Q90="HEAL",'스킬 500종'!T90="HEAL"),'스킬 500종'!I90=0,'스킬 500종'!J90=0),AND('스킬 500종'!I90&gt;0,OR('스킬 500종'!K90="CONTINUOUS_HEAL",'스킬 500종'!N90="CONTINUOUS_HEAL",'스킬 500종'!Q90="CONTINUOUS_HEAL",'스킬 500종'!T90="CONTINUOUS_HEAL"))),"회복 기준 오류",IF(AND(G90&lt;=H90+0.00001,'스킬 500종'!W90&gt;=1,'스킬 500종'!W90&lt;=5),"정상","초과"))</x:f>
        <x:v>정상</x:v>
      </x:c>
    </x:row>
    <x:row r="91" ht="30" customHeight="1">
      <x:c r="A91" s="1" t="str">
        <x:f>'스킬 500종'!A91</x:f>
        <x:v>SKILL_0085</x:v>
      </x:c>
      <x:c r="B91" s="1" t="str">
        <x:f>'스킬 500종'!B91</x:f>
        <x:v>스킬 쿨타임 증가 · 추가 피해 · 흡혈의 일격</x:v>
      </x:c>
      <x:c r="C91" s="1" t="n">
        <x:f>2.4</x:f>
        <x:v>2.4</x:v>
      </x:c>
      <x:c r="D91" s="9" t="n">
        <x:f>C91*1.16*('효과 규칙 55종'!H54*'스킬 500종'!L91*'스킬 500종'!M91/'효과 규칙 55종'!D54+'효과 규칙 55종'!H33*'스킬 500종'!O91*'스킬 500종'!P91/'효과 규칙 55종'!D33+'효과 규칙 55종'!H36*'스킬 500종'!R91*'스킬 500종'!S91/'효과 규칙 55종'!D36)</x:f>
        <x:v>3.7277759999999995</x:v>
      </x:c>
      <x:c r="E91" s="9" t="n">
        <x:f>C91*SUM('스킬 500종'!E91:H91)</x:f>
        <x:v>1.32</x:v>
      </x:c>
      <x:c r="F91" s="9" t="n">
        <x:f>C91*1.4*SUM('스킬 500종'!I91:J91)</x:f>
        <x:v>0</x:v>
      </x:c>
      <x:c r="G91" s="9" t="n">
        <x:f>SUM(D91:F91)</x:f>
        <x:v>5.047776</x:v>
      </x:c>
      <x:c r="H91" s="9" t="n">
        <x:f>1.1+0.8*'스킬 500종'!W91</x:f>
        <x:v>5.1</x:v>
      </x:c>
      <x:c r="I91" s="10" t="n">
        <x:f>G91/H91</x:f>
        <x:v>0.9897600000000001</x:v>
      </x:c>
      <x:c r="J91" s="1" t="str">
        <x:f>IF(OR('스킬 500종'!I91&lt;0,'스킬 500종'!J91&lt;0,AND('스킬 500종'!I91&gt;0,'스킬 500종'!J91&gt;0),AND(OR('스킬 500종'!K91="HEAL",'스킬 500종'!N91="HEAL",'스킬 500종'!Q91="HEAL",'스킬 500종'!T91="HEAL"),'스킬 500종'!I91=0,'스킬 500종'!J91=0),AND('스킬 500종'!I91&gt;0,OR('스킬 500종'!K91="CONTINUOUS_HEAL",'스킬 500종'!N91="CONTINUOUS_HEAL",'스킬 500종'!Q91="CONTINUOUS_HEAL",'스킬 500종'!T91="CONTINUOUS_HEAL"))),"회복 기준 오류",IF(AND(G91&lt;=H91+0.00001,'스킬 500종'!W91&gt;=1,'스킬 500종'!W91&lt;=5),"정상","초과"))</x:f>
        <x:v>정상</x:v>
      </x:c>
    </x:row>
    <x:row r="92" ht="30" customHeight="1">
      <x:c r="A92" s="1" t="str">
        <x:f>'스킬 500종'!A92</x:f>
        <x:v>SKILL_0086</x:v>
      </x:c>
      <x:c r="B92" s="1" t="str">
        <x:f>'스킬 500종'!B92</x:f>
        <x:v>추가 공격 · 반격 불가 · 강화 불가의 일격</x:v>
      </x:c>
      <x:c r="C92" s="1" t="n">
        <x:f>1</x:f>
        <x:v>1</x:v>
      </x:c>
      <x:c r="D92" s="9" t="n">
        <x:f>C92*1.16*('효과 규칙 55종'!H50*'스킬 500종'!L92*'스킬 500종'!M92/'효과 규칙 55종'!D50+'효과 규칙 55종'!H27*'스킬 500종'!O92*'스킬 500종'!P92/'효과 규칙 55종'!D27+'효과 규칙 55종'!H26*'스킬 500종'!R92*'스킬 500종'!S92/'효과 규칙 55종'!D26)</x:f>
        <x:v>1.92096</x:v>
      </x:c>
      <x:c r="E92" s="9" t="n">
        <x:f>C92*SUM('스킬 500종'!E92:H92)</x:f>
        <x:v>1.1</x:v>
      </x:c>
      <x:c r="F92" s="9" t="n">
        <x:f>C92*1.4*SUM('스킬 500종'!I92:J92)</x:f>
        <x:v>0</x:v>
      </x:c>
      <x:c r="G92" s="9" t="n">
        <x:f>SUM(D92:F92)</x:f>
        <x:v>3.02096</x:v>
      </x:c>
      <x:c r="H92" s="9" t="n">
        <x:f>1.1+0.8*'스킬 500종'!W92</x:f>
        <x:v>3.5000000000000004</x:v>
      </x:c>
      <x:c r="I92" s="10" t="n">
        <x:f>G92/H92</x:f>
        <x:v>0.8631314285714284</x:v>
      </x:c>
      <x:c r="J92" s="1" t="str">
        <x:f>IF(OR('스킬 500종'!I92&lt;0,'스킬 500종'!J92&lt;0,AND('스킬 500종'!I92&gt;0,'스킬 500종'!J92&gt;0),AND(OR('스킬 500종'!K92="HEAL",'스킬 500종'!N92="HEAL",'스킬 500종'!Q92="HEAL",'스킬 500종'!T92="HEAL"),'스킬 500종'!I92=0,'스킬 500종'!J92=0),AND('스킬 500종'!I92&gt;0,OR('스킬 500종'!K92="CONTINUOUS_HEAL",'스킬 500종'!N92="CONTINUOUS_HEAL",'스킬 500종'!Q92="CONTINUOUS_HEAL",'스킬 500종'!T92="CONTINUOUS_HEAL"))),"회복 기준 오류",IF(AND(G92&lt;=H92+0.00001,'스킬 500종'!W92&gt;=1,'스킬 500종'!W92&lt;=5),"정상","초과"))</x:f>
        <x:v>정상</x:v>
      </x:c>
    </x:row>
    <x:row r="93" ht="30" customHeight="1">
      <x:c r="A93" s="1" t="str">
        <x:f>'스킬 500종'!A93</x:f>
        <x:v>SKILL_0087</x:v>
      </x:c>
      <x:c r="B93" s="1" t="str">
        <x:f>'스킬 500종'!B93</x:f>
        <x:v>방어력 감소 · 강화효과 해제의 일격</x:v>
      </x:c>
      <x:c r="C93" s="1" t="n">
        <x:f>1</x:f>
        <x:v>1</x:v>
      </x:c>
      <x:c r="D93" s="9" t="n">
        <x:f>C93*1.08*('효과 규칙 55종'!H19*'스킬 500종'!L93*'스킬 500종'!M93/'효과 규칙 55종'!D19+'효과 규칙 55종'!H56*'스킬 500종'!O93*'스킬 500종'!P93/'효과 규칙 55종'!D56)</x:f>
        <x:v>1.5552000000000001</x:v>
      </x:c>
      <x:c r="E93" s="9" t="n">
        <x:f>C93*SUM('스킬 500종'!E93:H93)</x:f>
        <x:v>1.1</x:v>
      </x:c>
      <x:c r="F93" s="9" t="n">
        <x:f>C93*1.4*SUM('스킬 500종'!I93:J93)</x:f>
        <x:v>0</x:v>
      </x:c>
      <x:c r="G93" s="9" t="n">
        <x:f>SUM(D93:F93)</x:f>
        <x:v>2.6552000000000002</x:v>
      </x:c>
      <x:c r="H93" s="9" t="n">
        <x:f>1.1+0.8*'스킬 500종'!W93</x:f>
        <x:v>2.7</x:v>
      </x:c>
      <x:c r="I93" s="10" t="n">
        <x:f>G93/H93</x:f>
        <x:v>0.9834074074074074</x:v>
      </x:c>
      <x:c r="J93" s="1" t="str">
        <x:f>IF(OR('스킬 500종'!I93&lt;0,'스킬 500종'!J93&lt;0,AND('스킬 500종'!I93&gt;0,'스킬 500종'!J93&gt;0),AND(OR('스킬 500종'!K93="HEAL",'스킬 500종'!N93="HEAL",'스킬 500종'!Q93="HEAL",'스킬 500종'!T93="HEAL"),'스킬 500종'!I93=0,'스킬 500종'!J93=0),AND('스킬 500종'!I93&gt;0,OR('스킬 500종'!K93="CONTINUOUS_HEAL",'스킬 500종'!N93="CONTINUOUS_HEAL",'스킬 500종'!Q93="CONTINUOUS_HEAL",'스킬 500종'!T93="CONTINUOUS_HEAL"))),"회복 기준 오류",IF(AND(G93&lt;=H93+0.00001,'스킬 500종'!W93&gt;=1,'스킬 500종'!W93&lt;=5),"정상","초과"))</x:f>
        <x:v>정상</x:v>
      </x:c>
    </x:row>
    <x:row r="94" ht="30" customHeight="1">
      <x:c r="A94" s="1" t="str">
        <x:f>'스킬 500종'!A94</x:f>
        <x:v>SKILL_0088</x:v>
      </x:c>
      <x:c r="B94" s="1" t="str">
        <x:f>'스킬 500종'!B94</x:f>
        <x:v>표적 · 중독의 일격</x:v>
      </x:c>
      <x:c r="C94" s="1" t="n">
        <x:f>2.4</x:f>
        <x:v>2.4</x:v>
      </x:c>
      <x:c r="D94" s="9" t="n">
        <x:f>C94*1.08*('효과 규칙 55종'!H30*'스킬 500종'!L94*'스킬 500종'!M94/'효과 규칙 55종'!D30+'효과 규칙 55종'!H28*'스킬 500종'!O94*'스킬 500종'!P94/'효과 규칙 55종'!D28)</x:f>
        <x:v>2.916</x:v>
      </x:c>
      <x:c r="E94" s="9" t="n">
        <x:f>C94*SUM('스킬 500종'!E94:H94)</x:f>
        <x:v>1.68</x:v>
      </x:c>
      <x:c r="F94" s="9" t="n">
        <x:f>C94*1.4*SUM('스킬 500종'!I94:J94)</x:f>
        <x:v>0</x:v>
      </x:c>
      <x:c r="G94" s="9" t="n">
        <x:f>SUM(D94:F94)</x:f>
        <x:v>4.596</x:v>
      </x:c>
      <x:c r="H94" s="9" t="n">
        <x:f>1.1+0.8*'스킬 500종'!W94</x:f>
        <x:v>5.1</x:v>
      </x:c>
      <x:c r="I94" s="10" t="n">
        <x:f>G94/H94</x:f>
        <x:v>0.9011764705882354</x:v>
      </x:c>
      <x:c r="J94" s="1" t="str">
        <x:f>IF(OR('스킬 500종'!I94&lt;0,'스킬 500종'!J94&lt;0,AND('스킬 500종'!I94&gt;0,'스킬 500종'!J94&gt;0),AND(OR('스킬 500종'!K94="HEAL",'스킬 500종'!N94="HEAL",'스킬 500종'!Q94="HEAL",'스킬 500종'!T94="HEAL"),'스킬 500종'!I94=0,'스킬 500종'!J94=0),AND('스킬 500종'!I94&gt;0,OR('스킬 500종'!K94="CONTINUOUS_HEAL",'스킬 500종'!N94="CONTINUOUS_HEAL",'스킬 500종'!Q94="CONTINUOUS_HEAL",'스킬 500종'!T94="CONTINUOUS_HEAL"))),"회복 기준 오류",IF(AND(G94&lt;=H94+0.00001,'스킬 500종'!W94&gt;=1,'스킬 500종'!W94&lt;=5),"정상","초과"))</x:f>
        <x:v>정상</x:v>
      </x:c>
    </x:row>
    <x:row r="95" ht="30" customHeight="1">
      <x:c r="A95" s="1" t="str">
        <x:f>'스킬 500종'!A95</x:f>
        <x:v>SKILL_0089</x:v>
      </x:c>
      <x:c r="B95" s="1" t="str">
        <x:f>'스킬 500종'!B95</x:f>
        <x:v>회복 불가 · 추가 공격 · 스킬 쿨타임 증가 · 상처의 일격</x:v>
      </x:c>
      <x:c r="C95" s="1" t="n">
        <x:f>1</x:f>
        <x:v>1</x:v>
      </x:c>
      <x:c r="D95" s="9" t="n">
        <x:f>C95*1.24*('효과 규칙 55종'!H25*'스킬 500종'!L95*'스킬 500종'!M95/'효과 규칙 55종'!D25+'효과 규칙 55종'!H50*'스킬 500종'!O95*'스킬 500종'!P95/'효과 규칙 55종'!D50+'효과 규칙 55종'!H54*'스킬 500종'!R95*'스킬 500종'!S95/'효과 규칙 55종'!D54+'효과 규칙 55종'!H32*'스킬 500종'!U95*'스킬 500종'!V95/'효과 규칙 55종'!D32)</x:f>
        <x:v>2.683484</x:v>
      </x:c>
      <x:c r="E95" s="9" t="n">
        <x:f>C95*SUM('스킬 500종'!E95:H95)</x:f>
        <x:v>1.1</x:v>
      </x:c>
      <x:c r="F95" s="9" t="n">
        <x:f>C95*1.4*SUM('스킬 500종'!I95:J95)</x:f>
        <x:v>0</x:v>
      </x:c>
      <x:c r="G95" s="9" t="n">
        <x:f>SUM(D95:F95)</x:f>
        <x:v>3.783484</x:v>
      </x:c>
      <x:c r="H95" s="9" t="n">
        <x:f>1.1+0.8*'스킬 500종'!W95</x:f>
        <x:v>4.300000000000001</x:v>
      </x:c>
      <x:c r="I95" s="10" t="n">
        <x:f>G95/H95</x:f>
        <x:v>0.8798799999999999</x:v>
      </x:c>
      <x:c r="J95" s="1" t="str">
        <x:f>IF(OR('스킬 500종'!I95&lt;0,'스킬 500종'!J95&lt;0,AND('스킬 500종'!I95&gt;0,'스킬 500종'!J95&gt;0),AND(OR('스킬 500종'!K95="HEAL",'스킬 500종'!N95="HEAL",'스킬 500종'!Q95="HEAL",'스킬 500종'!T95="HEAL"),'스킬 500종'!I95=0,'스킬 500종'!J95=0),AND('스킬 500종'!I95&gt;0,OR('스킬 500종'!K95="CONTINUOUS_HEAL",'스킬 500종'!N95="CONTINUOUS_HEAL",'스킬 500종'!Q95="CONTINUOUS_HEAL",'스킬 500종'!T95="CONTINUOUS_HEAL"))),"회복 기준 오류",IF(AND(G95&lt;=H95+0.00001,'스킬 500종'!W95&gt;=1,'스킬 500종'!W95&lt;=5),"정상","초과"))</x:f>
        <x:v>정상</x:v>
      </x:c>
    </x:row>
    <x:row r="96" ht="30" customHeight="1">
      <x:c r="A96" s="1" t="str">
        <x:f>'스킬 500종'!A96</x:f>
        <x:v>SKILL_0090</x:v>
      </x:c>
      <x:c r="B96" s="1" t="str">
        <x:f>'스킬 500종'!B96</x:f>
        <x:v>표적 · 회복 불가의 일격</x:v>
      </x:c>
      <x:c r="C96" s="1" t="n">
        <x:f>1</x:f>
        <x:v>1</x:v>
      </x:c>
      <x:c r="D96" s="9" t="n">
        <x:f>C96*1.08*('효과 규칙 55종'!H30*'스킬 500종'!L96*'스킬 500종'!M96/'효과 규칙 55종'!D30+'효과 규칙 55종'!H25*'스킬 500종'!O96*'스킬 500종'!P96/'효과 규칙 55종'!D25)</x:f>
        <x:v>1.215</x:v>
      </x:c>
      <x:c r="E96" s="9" t="n">
        <x:f>C96*SUM('스킬 500종'!E96:H96)</x:f>
        <x:v>1.1</x:v>
      </x:c>
      <x:c r="F96" s="9" t="n">
        <x:f>C96*1.4*SUM('스킬 500종'!I96:J96)</x:f>
        <x:v>0</x:v>
      </x:c>
      <x:c r="G96" s="9" t="n">
        <x:f>SUM(D96:F96)</x:f>
        <x:v>2.3150000000000004</x:v>
      </x:c>
      <x:c r="H96" s="9" t="n">
        <x:f>1.1+0.8*'스킬 500종'!W96</x:f>
        <x:v>2.7</x:v>
      </x:c>
      <x:c r="I96" s="10" t="n">
        <x:f>G96/H96</x:f>
        <x:v>0.8574074074074075</x:v>
      </x:c>
      <x:c r="J96" s="1" t="str">
        <x:f>IF(OR('스킬 500종'!I96&lt;0,'스킬 500종'!J96&lt;0,AND('스킬 500종'!I96&gt;0,'스킬 500종'!J96&gt;0),AND(OR('스킬 500종'!K96="HEAL",'스킬 500종'!N96="HEAL",'스킬 500종'!Q96="HEAL",'스킬 500종'!T96="HEAL"),'스킬 500종'!I96=0,'스킬 500종'!J96=0),AND('스킬 500종'!I96&gt;0,OR('스킬 500종'!K96="CONTINUOUS_HEAL",'스킬 500종'!N96="CONTINUOUS_HEAL",'스킬 500종'!Q96="CONTINUOUS_HEAL",'스킬 500종'!T96="CONTINUOUS_HEAL"))),"회복 기준 오류",IF(AND(G96&lt;=H96+0.00001,'스킬 500종'!W96&gt;=1,'스킬 500종'!W96&lt;=5),"정상","초과"))</x:f>
        <x:v>정상</x:v>
      </x:c>
    </x:row>
    <x:row r="97" ht="30" customHeight="1">
      <x:c r="A97" s="1" t="str">
        <x:f>'스킬 500종'!A97</x:f>
        <x:v>SKILL_0091</x:v>
      </x:c>
      <x:c r="B97" s="1" t="str">
        <x:f>'스킬 500종'!B97</x:f>
        <x:v>약화효과 전이 · 강화효과 지속시간 감소 · 약화효과 지속시간 증가의 일격</x:v>
      </x:c>
      <x:c r="C97" s="1" t="n">
        <x:f>1</x:f>
        <x:v>1</x:v>
      </x:c>
      <x:c r="D97" s="9" t="n">
        <x:f>C97*1.16*('효과 규칙 55종'!H61*'스킬 500종'!L97*'스킬 500종'!M97/'효과 규칙 55종'!D61+'효과 규칙 55종'!H59*'스킬 500종'!O97*'스킬 500종'!P97/'효과 규칙 55종'!D59+'효과 규칙 55종'!H60*'스킬 500종'!R97*'스킬 500종'!S97/'효과 규칙 55종'!D60)</x:f>
        <x:v>2.4592</x:v>
      </x:c>
      <x:c r="E97" s="9" t="n">
        <x:f>C97*SUM('스킬 500종'!E97:H97)</x:f>
        <x:v>1.1</x:v>
      </x:c>
      <x:c r="F97" s="9" t="n">
        <x:f>C97*1.4*SUM('스킬 500종'!I97:J97)</x:f>
        <x:v>0</x:v>
      </x:c>
      <x:c r="G97" s="9" t="n">
        <x:f>SUM(D97:F97)</x:f>
        <x:v>3.5592</x:v>
      </x:c>
      <x:c r="H97" s="9" t="n">
        <x:f>1.1+0.8*'스킬 500종'!W97</x:f>
        <x:v>4.300000000000001</x:v>
      </x:c>
      <x:c r="I97" s="10" t="n">
        <x:f>G97/H97</x:f>
        <x:v>0.827720930232558</x:v>
      </x:c>
      <x:c r="J97" s="1" t="str">
        <x:f>IF(OR('스킬 500종'!I97&lt;0,'스킬 500종'!J97&lt;0,AND('스킬 500종'!I97&gt;0,'스킬 500종'!J97&gt;0),AND(OR('스킬 500종'!K97="HEAL",'스킬 500종'!N97="HEAL",'스킬 500종'!Q97="HEAL",'스킬 500종'!T97="HEAL"),'스킬 500종'!I97=0,'스킬 500종'!J97=0),AND('스킬 500종'!I97&gt;0,OR('스킬 500종'!K97="CONTINUOUS_HEAL",'스킬 500종'!N97="CONTINUOUS_HEAL",'스킬 500종'!Q97="CONTINUOUS_HEAL",'스킬 500종'!T97="CONTINUOUS_HEAL"))),"회복 기준 오류",IF(AND(G97&lt;=H97+0.00001,'스킬 500종'!W97&gt;=1,'스킬 500종'!W97&lt;=5),"정상","초과"))</x:f>
        <x:v>정상</x:v>
      </x:c>
    </x:row>
    <x:row r="98" ht="30" customHeight="1">
      <x:c r="A98" s="1" t="str">
        <x:f>'스킬 500종'!A98</x:f>
        <x:v>SKILL_0092</x:v>
      </x:c>
      <x:c r="B98" s="1" t="str">
        <x:f>'스킬 500종'!B98</x:f>
        <x:v>속도 감소 · 상처 · 강화효과 지속시간 감소의 일격</x:v>
      </x:c>
      <x:c r="C98" s="1" t="n">
        <x:f>1</x:f>
        <x:v>1</x:v>
      </x:c>
      <x:c r="D98" s="9" t="n">
        <x:f>C98*1.16*('효과 규칙 55종'!H20*'스킬 500종'!L98*'스킬 500종'!M98/'효과 규칙 55종'!D20+'효과 규칙 55종'!H32*'스킬 500종'!O98*'스킬 500종'!P98/'효과 규칙 55종'!D32+'효과 규칙 55종'!H59*'스킬 500종'!R98*'스킬 500종'!S98/'효과 규칙 55종'!D59)</x:f>
        <x:v>1.7260799999999998</x:v>
      </x:c>
      <x:c r="E98" s="9" t="n">
        <x:f>C98*SUM('스킬 500종'!E98:H98)</x:f>
        <x:v>1.1</x:v>
      </x:c>
      <x:c r="F98" s="9" t="n">
        <x:f>C98*1.4*SUM('스킬 500종'!I98:J98)</x:f>
        <x:v>0</x:v>
      </x:c>
      <x:c r="G98" s="9" t="n">
        <x:f>SUM(D98:F98)</x:f>
        <x:v>2.82608</x:v>
      </x:c>
      <x:c r="H98" s="9" t="n">
        <x:f>1.1+0.8*'스킬 500종'!W98</x:f>
        <x:v>3.5000000000000004</x:v>
      </x:c>
      <x:c r="I98" s="10" t="n">
        <x:f>G98/H98</x:f>
        <x:v>0.8074514285714285</x:v>
      </x:c>
      <x:c r="J98" s="1" t="str">
        <x:f>IF(OR('스킬 500종'!I98&lt;0,'스킬 500종'!J98&lt;0,AND('스킬 500종'!I98&gt;0,'스킬 500종'!J98&gt;0),AND(OR('스킬 500종'!K98="HEAL",'스킬 500종'!N98="HEAL",'스킬 500종'!Q98="HEAL",'스킬 500종'!T98="HEAL"),'스킬 500종'!I98=0,'스킬 500종'!J98=0),AND('스킬 500종'!I98&gt;0,OR('스킬 500종'!K98="CONTINUOUS_HEAL",'스킬 500종'!N98="CONTINUOUS_HEAL",'스킬 500종'!Q98="CONTINUOUS_HEAL",'스킬 500종'!T98="CONTINUOUS_HEAL"))),"회복 기준 오류",IF(AND(G98&lt;=H98+0.00001,'스킬 500종'!W98&gt;=1,'스킬 500종'!W98&lt;=5),"정상","초과"))</x:f>
        <x:v>정상</x:v>
      </x:c>
    </x:row>
    <x:row r="99" ht="30" customHeight="1">
      <x:c r="A99" s="1" t="str">
        <x:f>'스킬 500종'!A99</x:f>
        <x:v>SKILL_0093</x:v>
      </x:c>
      <x:c r="B99" s="1" t="str">
        <x:f>'스킬 500종'!B99</x:f>
        <x:v>추가 공격 · 흡혈 · 회복 불가의 일격</x:v>
      </x:c>
      <x:c r="C99" s="1" t="n">
        <x:f>1</x:f>
        <x:v>1</x:v>
      </x:c>
      <x:c r="D99" s="9" t="n">
        <x:f>C99*1.16*('효과 규칙 55종'!H50*'스킬 500종'!L99*'스킬 500종'!M99/'효과 규칙 55종'!D50+'효과 규칙 55종'!H36*'스킬 500종'!O99*'스킬 500종'!P99/'효과 규칙 55종'!D36+'효과 규칙 55종'!H25*'스킬 500종'!R99*'스킬 500종'!S99/'효과 규칙 55종'!D25)</x:f>
        <x:v>1.3827200000000002</x:v>
      </x:c>
      <x:c r="E99" s="9" t="n">
        <x:f>C99*SUM('스킬 500종'!E99:H99)</x:f>
        <x:v>1.1</x:v>
      </x:c>
      <x:c r="F99" s="9" t="n">
        <x:f>C99*1.4*SUM('스킬 500종'!I99:J99)</x:f>
        <x:v>0</x:v>
      </x:c>
      <x:c r="G99" s="9" t="n">
        <x:f>SUM(D99:F99)</x:f>
        <x:v>2.4827200000000005</x:v>
      </x:c>
      <x:c r="H99" s="9" t="n">
        <x:f>1.1+0.8*'스킬 500종'!W99</x:f>
        <x:v>2.7</x:v>
      </x:c>
      <x:c r="I99" s="10" t="n">
        <x:f>G99/H99</x:f>
        <x:v>0.9195259259259261</x:v>
      </x:c>
      <x:c r="J99" s="1" t="str">
        <x:f>IF(OR('스킬 500종'!I99&lt;0,'스킬 500종'!J99&lt;0,AND('스킬 500종'!I99&gt;0,'스킬 500종'!J99&gt;0),AND(OR('스킬 500종'!K99="HEAL",'스킬 500종'!N99="HEAL",'스킬 500종'!Q99="HEAL",'스킬 500종'!T99="HEAL"),'스킬 500종'!I99=0,'스킬 500종'!J99=0),AND('스킬 500종'!I99&gt;0,OR('스킬 500종'!K99="CONTINUOUS_HEAL",'스킬 500종'!N99="CONTINUOUS_HEAL",'스킬 500종'!Q99="CONTINUOUS_HEAL",'스킬 500종'!T99="CONTINUOUS_HEAL"))),"회복 기준 오류",IF(AND(G99&lt;=H99+0.00001,'스킬 500종'!W99&gt;=1,'스킬 500종'!W99&lt;=5),"정상","초과"))</x:f>
        <x:v>정상</x:v>
      </x:c>
    </x:row>
    <x:row r="100" ht="30" customHeight="1">
      <x:c r="A100" s="1" t="str">
        <x:f>'스킬 500종'!A100</x:f>
        <x:v>SKILL_0094</x:v>
      </x:c>
      <x:c r="B100" s="1" t="str">
        <x:f>'스킬 500종'!B100</x:f>
        <x:v>강화효과 지속시간 감소 · 반격 불가 · 저주 · 속도 감소의 일격</x:v>
      </x:c>
      <x:c r="C100" s="1" t="n">
        <x:f>2.4</x:f>
        <x:v>2.4</x:v>
      </x:c>
      <x:c r="D100" s="9" t="n">
        <x:f>C100*1.24*('효과 규칙 55종'!H59*'스킬 500종'!L100*'스킬 500종'!M100/'효과 규칙 55종'!D59+'효과 규칙 55종'!H27*'스킬 500종'!O100*'스킬 500종'!P100/'효과 규칙 55종'!D27+'효과 규칙 55종'!H31*'스킬 500종'!R100*'스킬 500종'!S100/'효과 규칙 55종'!D31+'효과 규칙 55종'!H20*'스킬 500종'!U100*'스킬 500종'!V100/'효과 규칙 55종'!D20)</x:f>
        <x:v>3.41124</x:v>
      </x:c>
      <x:c r="E100" s="9" t="n">
        <x:f>C100*SUM('스킬 500종'!E100:H100)</x:f>
        <x:v>1.2</x:v>
      </x:c>
      <x:c r="F100" s="9" t="n">
        <x:f>C100*1.4*SUM('스킬 500종'!I100:J100)</x:f>
        <x:v>0</x:v>
      </x:c>
      <x:c r="G100" s="9" t="n">
        <x:f>SUM(D100:F100)</x:f>
        <x:v>4.61124</x:v>
      </x:c>
      <x:c r="H100" s="9" t="n">
        <x:f>1.1+0.8*'스킬 500종'!W100</x:f>
        <x:v>5.1</x:v>
      </x:c>
      <x:c r="I100" s="10" t="n">
        <x:f>G100/H100</x:f>
        <x:v>0.9041647058823529</x:v>
      </x:c>
      <x:c r="J100" s="1" t="str">
        <x:f>IF(OR('스킬 500종'!I100&lt;0,'스킬 500종'!J100&lt;0,AND('스킬 500종'!I100&gt;0,'스킬 500종'!J100&gt;0),AND(OR('스킬 500종'!K100="HEAL",'스킬 500종'!N100="HEAL",'스킬 500종'!Q100="HEAL",'스킬 500종'!T100="HEAL"),'스킬 500종'!I100=0,'스킬 500종'!J100=0),AND('스킬 500종'!I100&gt;0,OR('스킬 500종'!K100="CONTINUOUS_HEAL",'스킬 500종'!N100="CONTINUOUS_HEAL",'스킬 500종'!Q100="CONTINUOUS_HEAL",'스킬 500종'!T100="CONTINUOUS_HEAL"))),"회복 기준 오류",IF(AND(G100&lt;=H100+0.00001,'스킬 500종'!W100&gt;=1,'스킬 500종'!W100&lt;=5),"정상","초과"))</x:f>
        <x:v>정상</x:v>
      </x:c>
    </x:row>
    <x:row r="101" ht="30" customHeight="1">
      <x:c r="A101" s="1" t="str">
        <x:f>'스킬 500종'!A101</x:f>
        <x:v>SKILL_0095</x:v>
      </x:c>
      <x:c r="B101" s="1" t="str">
        <x:f>'스킬 500종'!B101</x:f>
        <x:v>추가 공격 · 방어력 감소 · 출혈 · 부활 불가의 일격</x:v>
      </x:c>
      <x:c r="C101" s="1" t="n">
        <x:f>1</x:f>
        <x:v>1</x:v>
      </x:c>
      <x:c r="D101" s="9" t="n">
        <x:f>C101*1.24*('효과 규칙 55종'!H50*'스킬 500종'!L101*'스킬 500종'!M101/'효과 규칙 55종'!D50+'효과 규칙 55종'!H19*'스킬 500종'!O101*'스킬 500종'!P101/'효과 규칙 55종'!D19+'효과 규칙 55종'!H29*'스킬 500종'!R101*'스킬 500종'!S101/'효과 규칙 55종'!D29+'효과 규칙 55종'!H48*'스킬 500종'!U101*'스킬 500종'!V101/'효과 규칙 55종'!D48)</x:f>
        <x:v>1.995594</x:v>
      </x:c>
      <x:c r="E101" s="9" t="n">
        <x:f>C101*SUM('스킬 500종'!E101:H101)</x:f>
        <x:v>1.1</x:v>
      </x:c>
      <x:c r="F101" s="9" t="n">
        <x:f>C101*1.4*SUM('스킬 500종'!I101:J101)</x:f>
        <x:v>0</x:v>
      </x:c>
      <x:c r="G101" s="9" t="n">
        <x:f>SUM(D101:F101)</x:f>
        <x:v>3.095594</x:v>
      </x:c>
      <x:c r="H101" s="9" t="n">
        <x:f>1.1+0.8*'스킬 500종'!W101</x:f>
        <x:v>3.5000000000000004</x:v>
      </x:c>
      <x:c r="I101" s="10" t="n">
        <x:f>G101/H101</x:f>
        <x:v>0.8844554285714286</x:v>
      </x:c>
      <x:c r="J101" s="1" t="str">
        <x:f>IF(OR('스킬 500종'!I101&lt;0,'스킬 500종'!J101&lt;0,AND('스킬 500종'!I101&gt;0,'스킬 500종'!J101&gt;0),AND(OR('스킬 500종'!K101="HEAL",'스킬 500종'!N101="HEAL",'스킬 500종'!Q101="HEAL",'스킬 500종'!T101="HEAL"),'스킬 500종'!I101=0,'스킬 500종'!J101=0),AND('스킬 500종'!I101&gt;0,OR('스킬 500종'!K101="CONTINUOUS_HEAL",'스킬 500종'!N101="CONTINUOUS_HEAL",'스킬 500종'!Q101="CONTINUOUS_HEAL",'스킬 500종'!T101="CONTINUOUS_HEAL"))),"회복 기준 오류",IF(AND(G101&lt;=H101+0.00001,'스킬 500종'!W101&gt;=1,'스킬 500종'!W101&lt;=5),"정상","초과"))</x:f>
        <x:v>정상</x:v>
      </x:c>
    </x:row>
    <x:row r="102" ht="30" customHeight="1">
      <x:c r="A102" s="1" t="str">
        <x:f>'스킬 500종'!A102</x:f>
        <x:v>SKILL_0096</x:v>
      </x:c>
      <x:c r="B102" s="1" t="str">
        <x:f>'스킬 500종'!B102</x:f>
        <x:v>추가 공격 · 흡혈 · 기절 — 스턴의 일격</x:v>
      </x:c>
      <x:c r="C102" s="1" t="n">
        <x:f>1</x:f>
        <x:v>1</x:v>
      </x:c>
      <x:c r="D102" s="9" t="n">
        <x:f>C102*1.16*('효과 규칙 55종'!H50*'스킬 500종'!L102*'스킬 500종'!M102/'효과 규칙 55종'!D50+'효과 규칙 55종'!H36*'스킬 500종'!O102*'스킬 500종'!P102/'효과 규칙 55종'!D36+'효과 규칙 55종'!H22*'스킬 500종'!R102*'스킬 500종'!S102/'효과 규칙 55종'!D22)</x:f>
        <x:v>2.44992</x:v>
      </x:c>
      <x:c r="E102" s="9" t="n">
        <x:f>C102*SUM('스킬 500종'!E102:H102)</x:f>
        <x:v>1.1</x:v>
      </x:c>
      <x:c r="F102" s="9" t="n">
        <x:f>C102*1.4*SUM('스킬 500종'!I102:J102)</x:f>
        <x:v>0</x:v>
      </x:c>
      <x:c r="G102" s="9" t="n">
        <x:f>SUM(D102:F102)</x:f>
        <x:v>3.54992</x:v>
      </x:c>
      <x:c r="H102" s="9" t="n">
        <x:f>1.1+0.8*'스킬 500종'!W102</x:f>
        <x:v>4.300000000000001</x:v>
      </x:c>
      <x:c r="I102" s="10" t="n">
        <x:f>G102/H102</x:f>
        <x:v>0.8255627906976744</x:v>
      </x:c>
      <x:c r="J102" s="1" t="str">
        <x:f>IF(OR('스킬 500종'!I102&lt;0,'스킬 500종'!J102&lt;0,AND('스킬 500종'!I102&gt;0,'스킬 500종'!J102&gt;0),AND(OR('스킬 500종'!K102="HEAL",'스킬 500종'!N102="HEAL",'스킬 500종'!Q102="HEAL",'스킬 500종'!T102="HEAL"),'스킬 500종'!I102=0,'스킬 500종'!J102=0),AND('스킬 500종'!I102&gt;0,OR('스킬 500종'!K102="CONTINUOUS_HEAL",'스킬 500종'!N102="CONTINUOUS_HEAL",'스킬 500종'!Q102="CONTINUOUS_HEAL",'스킬 500종'!T102="CONTINUOUS_HEAL"))),"회복 기준 오류",IF(AND(G102&lt;=H102+0.00001,'스킬 500종'!W102&gt;=1,'스킬 500종'!W102&lt;=5),"정상","초과"))</x:f>
        <x:v>정상</x:v>
      </x:c>
    </x:row>
    <x:row r="103" ht="30" customHeight="1">
      <x:c r="A103" s="1" t="str">
        <x:f>'스킬 500종'!A103</x:f>
        <x:v>SKILL_0097</x:v>
      </x:c>
      <x:c r="B103" s="1" t="str">
        <x:f>'스킬 500종'!B103</x:f>
        <x:v>출혈 · 도발 · 약화효과 전이의 일격</x:v>
      </x:c>
      <x:c r="C103" s="1" t="n">
        <x:f>1</x:f>
        <x:v>1</x:v>
      </x:c>
      <x:c r="D103" s="9" t="n">
        <x:f>C103*1.16*('효과 규칙 55종'!H29*'스킬 500종'!L103*'스킬 500종'!M103/'효과 규칙 55종'!D29+'효과 규칙 55종'!H24*'스킬 500종'!O103*'스킬 500종'!P103/'효과 규칙 55종'!D24+'효과 규칙 55종'!H61*'스킬 500종'!R103*'스킬 500종'!S103/'효과 규칙 55종'!D61)</x:f>
        <x:v>2.2272</x:v>
      </x:c>
      <x:c r="E103" s="9" t="n">
        <x:f>C103*SUM('스킬 500종'!E103:H103)</x:f>
        <x:v>1.1</x:v>
      </x:c>
      <x:c r="F103" s="9" t="n">
        <x:f>C103*1.4*SUM('스킬 500종'!I103:J103)</x:f>
        <x:v>0</x:v>
      </x:c>
      <x:c r="G103" s="9" t="n">
        <x:f>SUM(D103:F103)</x:f>
        <x:v>3.3272</x:v>
      </x:c>
      <x:c r="H103" s="9" t="n">
        <x:f>1.1+0.8*'스킬 500종'!W103</x:f>
        <x:v>3.5000000000000004</x:v>
      </x:c>
      <x:c r="I103" s="10" t="n">
        <x:f>G103/H103</x:f>
        <x:v>0.9506285714285713</x:v>
      </x:c>
      <x:c r="J103" s="1" t="str">
        <x:f>IF(OR('스킬 500종'!I103&lt;0,'스킬 500종'!J103&lt;0,AND('스킬 500종'!I103&gt;0,'스킬 500종'!J103&gt;0),AND(OR('스킬 500종'!K103="HEAL",'스킬 500종'!N103="HEAL",'스킬 500종'!Q103="HEAL",'스킬 500종'!T103="HEAL"),'스킬 500종'!I103=0,'스킬 500종'!J103=0),AND('스킬 500종'!I103&gt;0,OR('스킬 500종'!K103="CONTINUOUS_HEAL",'스킬 500종'!N103="CONTINUOUS_HEAL",'스킬 500종'!Q103="CONTINUOUS_HEAL",'스킬 500종'!T103="CONTINUOUS_HEAL"))),"회복 기준 오류",IF(AND(G103&lt;=H103+0.00001,'스킬 500종'!W103&gt;=1,'스킬 500종'!W103&lt;=5),"정상","초과"))</x:f>
        <x:v>정상</x:v>
      </x:c>
    </x:row>
    <x:row r="104" ht="30" customHeight="1">
      <x:c r="A104" s="1" t="str">
        <x:f>'스킬 500종'!A104</x:f>
        <x:v>SKILL_0098</x:v>
      </x:c>
      <x:c r="B104" s="1" t="str">
        <x:f>'스킬 500종'!B104</x:f>
        <x:v>강화 불가 · 공격력 감소의 일격</x:v>
      </x:c>
      <x:c r="C104" s="1" t="n">
        <x:f>1</x:f>
        <x:v>1</x:v>
      </x:c>
      <x:c r="D104" s="9" t="n">
        <x:f>C104*1.08*('효과 규칙 55종'!H26*'스킬 500종'!L104*'스킬 500종'!M104/'효과 규칙 55종'!D26+'효과 규칙 55종'!H18*'스킬 500종'!O104*'스킬 500종'!P104/'효과 규칙 55종'!D18)</x:f>
        <x:v>1.4094000000000002</x:v>
      </x:c>
      <x:c r="E104" s="9" t="n">
        <x:f>C104*SUM('스킬 500종'!E104:H104)</x:f>
        <x:v>1.1</x:v>
      </x:c>
      <x:c r="F104" s="9" t="n">
        <x:f>C104*1.4*SUM('스킬 500종'!I104:J104)</x:f>
        <x:v>0</x:v>
      </x:c>
      <x:c r="G104" s="9" t="n">
        <x:f>SUM(D104:F104)</x:f>
        <x:v>2.5094000000000003</x:v>
      </x:c>
      <x:c r="H104" s="9" t="n">
        <x:f>1.1+0.8*'스킬 500종'!W104</x:f>
        <x:v>2.7</x:v>
      </x:c>
      <x:c r="I104" s="10" t="n">
        <x:f>G104/H104</x:f>
        <x:v>0.9294074074074075</x:v>
      </x:c>
      <x:c r="J104" s="1" t="str">
        <x:f>IF(OR('스킬 500종'!I104&lt;0,'스킬 500종'!J104&lt;0,AND('스킬 500종'!I104&gt;0,'스킬 500종'!J104&gt;0),AND(OR('스킬 500종'!K104="HEAL",'스킬 500종'!N104="HEAL",'스킬 500종'!Q104="HEAL",'스킬 500종'!T104="HEAL"),'스킬 500종'!I104=0,'스킬 500종'!J104=0),AND('스킬 500종'!I104&gt;0,OR('스킬 500종'!K104="CONTINUOUS_HEAL",'스킬 500종'!N104="CONTINUOUS_HEAL",'스킬 500종'!Q104="CONTINUOUS_HEAL",'스킬 500종'!T104="CONTINUOUS_HEAL"))),"회복 기준 오류",IF(AND(G104&lt;=H104+0.00001,'스킬 500종'!W104&gt;=1,'스킬 500종'!W104&lt;=5),"정상","초과"))</x:f>
        <x:v>정상</x:v>
      </x:c>
    </x:row>
    <x:row r="105" ht="30" customHeight="1">
      <x:c r="A105" s="1" t="str">
        <x:f>'스킬 500종'!A105</x:f>
        <x:v>SKILL_0099</x:v>
      </x:c>
      <x:c r="B105" s="1" t="str">
        <x:f>'스킬 500종'!B105</x:f>
        <x:v>기절 — 스턴 · 부활 불가 · 저주 · 강화 불가의 일격</x:v>
      </x:c>
      <x:c r="C105" s="1" t="n">
        <x:f>1</x:f>
        <x:v>1</x:v>
      </x:c>
      <x:c r="D105" s="9" t="n">
        <x:f>C105*1.24*('효과 규칙 55종'!H22*'스킬 500종'!L105*'스킬 500종'!M105/'효과 규칙 55종'!D22+'효과 규칙 55종'!H48*'스킬 500종'!O105*'스킬 500종'!P105/'효과 규칙 55종'!D48+'효과 규칙 55종'!H31*'스킬 500종'!R105*'스킬 500종'!S105/'효과 규칙 55종'!D31+'효과 규칙 55종'!H26*'스킬 500종'!U105*'스킬 500종'!V105/'효과 규칙 55종'!D26)</x:f>
        <x:v>3.6629599999999995</x:v>
      </x:c>
      <x:c r="E105" s="9" t="n">
        <x:f>C105*SUM('스킬 500종'!E105:H105)</x:f>
        <x:v>1.1</x:v>
      </x:c>
      <x:c r="F105" s="9" t="n">
        <x:f>C105*1.4*SUM('스킬 500종'!I105:J105)</x:f>
        <x:v>0</x:v>
      </x:c>
      <x:c r="G105" s="9" t="n">
        <x:f>SUM(D105:F105)</x:f>
        <x:v>4.76296</x:v>
      </x:c>
      <x:c r="H105" s="9" t="n">
        <x:f>1.1+0.8*'스킬 500종'!W105</x:f>
        <x:v>5.1</x:v>
      </x:c>
      <x:c r="I105" s="10" t="n">
        <x:f>G105/H105</x:f>
        <x:v>0.933913725490196</x:v>
      </x:c>
      <x:c r="J105" s="1" t="str">
        <x:f>IF(OR('스킬 500종'!I105&lt;0,'스킬 500종'!J105&lt;0,AND('스킬 500종'!I105&gt;0,'스킬 500종'!J105&gt;0),AND(OR('스킬 500종'!K105="HEAL",'스킬 500종'!N105="HEAL",'스킬 500종'!Q105="HEAL",'스킬 500종'!T105="HEAL"),'스킬 500종'!I105=0,'스킬 500종'!J105=0),AND('스킬 500종'!I105&gt;0,OR('스킬 500종'!K105="CONTINUOUS_HEAL",'스킬 500종'!N105="CONTINUOUS_HEAL",'스킬 500종'!Q105="CONTINUOUS_HEAL",'스킬 500종'!T105="CONTINUOUS_HEAL"))),"회복 기준 오류",IF(AND(G105&lt;=H105+0.00001,'스킬 500종'!W105&gt;=1,'스킬 500종'!W105&lt;=5),"정상","초과"))</x:f>
        <x:v>정상</x:v>
      </x:c>
    </x:row>
    <x:row r="106" ht="30" customHeight="1">
      <x:c r="A106" s="1" t="str">
        <x:f>'스킬 500종'!A106</x:f>
        <x:v>SKILL_0100</x:v>
      </x:c>
      <x:c r="B106" s="1" t="str">
        <x:f>'스킬 500종'!B106</x:f>
        <x:v>부활 불가 · 명중 감소 · 도발의 일격</x:v>
      </x:c>
      <x:c r="C106" s="1" t="n">
        <x:f>2.4</x:f>
        <x:v>2.4</x:v>
      </x:c>
      <x:c r="D106" s="9" t="n">
        <x:f>C106*1.16*('효과 규칙 55종'!H48*'스킬 500종'!L106*'스킬 500종'!M106/'효과 규칙 55종'!D48+'효과 규칙 55종'!H21*'스킬 500종'!O106*'스킬 500종'!P106/'효과 규칙 55종'!D21+'효과 규칙 55종'!H24*'스킬 500종'!R106*'스킬 500종'!S106/'효과 규칙 55종'!D24)</x:f>
        <x:v>3.9198720000000002</x:v>
      </x:c>
      <x:c r="E106" s="9" t="n">
        <x:f>C106*SUM('스킬 500종'!E106:H106)</x:f>
        <x:v>1.08</x:v>
      </x:c>
      <x:c r="F106" s="9" t="n">
        <x:f>C106*1.4*SUM('스킬 500종'!I106:J106)</x:f>
        <x:v>0</x:v>
      </x:c>
      <x:c r="G106" s="9" t="n">
        <x:f>SUM(D106:F106)</x:f>
        <x:v>4.999872</x:v>
      </x:c>
      <x:c r="H106" s="9" t="n">
        <x:f>1.1+0.8*'스킬 500종'!W106</x:f>
        <x:v>5.1</x:v>
      </x:c>
      <x:c r="I106" s="10" t="n">
        <x:f>G106/H106</x:f>
        <x:v>0.9803670588235295</x:v>
      </x:c>
      <x:c r="J106" s="1" t="str">
        <x:f>IF(OR('스킬 500종'!I106&lt;0,'스킬 500종'!J106&lt;0,AND('스킬 500종'!I106&gt;0,'스킬 500종'!J106&gt;0),AND(OR('스킬 500종'!K106="HEAL",'스킬 500종'!N106="HEAL",'스킬 500종'!Q106="HEAL",'스킬 500종'!T106="HEAL"),'스킬 500종'!I106=0,'스킬 500종'!J106=0),AND('스킬 500종'!I106&gt;0,OR('스킬 500종'!K106="CONTINUOUS_HEAL",'스킬 500종'!N106="CONTINUOUS_HEAL",'스킬 500종'!Q106="CONTINUOUS_HEAL",'스킬 500종'!T106="CONTINUOUS_HEAL"))),"회복 기준 오류",IF(AND(G106&lt;=H106+0.00001,'스킬 500종'!W106&gt;=1,'스킬 500종'!W106&lt;=5),"정상","초과"))</x:f>
        <x:v>정상</x:v>
      </x:c>
    </x:row>
    <x:row r="107" ht="30" customHeight="1">
      <x:c r="A107" s="1" t="str">
        <x:f>'스킬 500종'!A107</x:f>
        <x:v>SKILL_0101</x:v>
      </x:c>
      <x:c r="B107" s="1" t="str">
        <x:f>'스킬 500종'!B107</x:f>
        <x:v>약화효과 지속시간 증가 · 흡혈 · 공격력 감소 · 도발의 일격</x:v>
      </x:c>
      <x:c r="C107" s="1" t="n">
        <x:f>1</x:f>
        <x:v>1</x:v>
      </x:c>
      <x:c r="D107" s="9" t="n">
        <x:f>C107*1.24*('효과 규칙 55종'!H60*'스킬 500종'!L107*'스킬 500종'!M107/'효과 규칙 55종'!D60+'효과 규칙 55종'!H36*'스킬 500종'!O107*'스킬 500종'!P107/'효과 규칙 55종'!D36+'효과 규칙 55종'!H18*'스킬 500종'!R107*'스킬 500종'!S107/'효과 규칙 55종'!D18+'효과 규칙 55종'!H24*'스킬 500종'!U107*'스킬 500종'!V107/'효과 규칙 55종'!D24)</x:f>
        <x:v>2.2295447999999998</x:v>
      </x:c>
      <x:c r="E107" s="9" t="n">
        <x:f>C107*SUM('스킬 500종'!E107:H107)</x:f>
        <x:v>1.1</x:v>
      </x:c>
      <x:c r="F107" s="9" t="n">
        <x:f>C107*1.4*SUM('스킬 500종'!I107:J107)</x:f>
        <x:v>0</x:v>
      </x:c>
      <x:c r="G107" s="9" t="n">
        <x:f>SUM(D107:F107)</x:f>
        <x:v>3.3295448</x:v>
      </x:c>
      <x:c r="H107" s="9" t="n">
        <x:f>1.1+0.8*'스킬 500종'!W107</x:f>
        <x:v>3.5000000000000004</x:v>
      </x:c>
      <x:c r="I107" s="10" t="n">
        <x:f>G107/H107</x:f>
        <x:v>0.9512985142857141</x:v>
      </x:c>
      <x:c r="J107" s="1" t="str">
        <x:f>IF(OR('스킬 500종'!I107&lt;0,'스킬 500종'!J107&lt;0,AND('스킬 500종'!I107&gt;0,'스킬 500종'!J107&gt;0),AND(OR('스킬 500종'!K107="HEAL",'스킬 500종'!N107="HEAL",'스킬 500종'!Q107="HEAL",'스킬 500종'!T107="HEAL"),'스킬 500종'!I107=0,'스킬 500종'!J107=0),AND('스킬 500종'!I107&gt;0,OR('스킬 500종'!K107="CONTINUOUS_HEAL",'스킬 500종'!N107="CONTINUOUS_HEAL",'스킬 500종'!Q107="CONTINUOUS_HEAL",'스킬 500종'!T107="CONTINUOUS_HEAL"))),"회복 기준 오류",IF(AND(G107&lt;=H107+0.00001,'스킬 500종'!W107&gt;=1,'스킬 500종'!W107&lt;=5),"정상","초과"))</x:f>
        <x:v>정상</x:v>
      </x:c>
    </x:row>
    <x:row r="108" ht="30" customHeight="1">
      <x:c r="A108" s="1" t="str">
        <x:f>'스킬 500종'!A108</x:f>
        <x:v>SKILL_0102</x:v>
      </x:c>
      <x:c r="B108" s="1" t="str">
        <x:f>'스킬 500종'!B108</x:f>
        <x:v>흡혈 · 강화 불가 · 회복 불가 · 강화효과 해제의 일격</x:v>
      </x:c>
      <x:c r="C108" s="1" t="n">
        <x:f>1</x:f>
        <x:v>1</x:v>
      </x:c>
      <x:c r="D108" s="9" t="n">
        <x:f>C108*1.24*('효과 규칙 55종'!H36*'스킬 500종'!L108*'스킬 500종'!M108/'효과 규칙 55종'!D36+'효과 규칙 55종'!H26*'스킬 500종'!O108*'스킬 500종'!P108/'효과 규칙 55종'!D26+'효과 규칙 55종'!H25*'스킬 500종'!R108*'스킬 500종'!S108/'효과 규칙 55종'!D25+'효과 규칙 55종'!H56*'스킬 500종'!U108*'스킬 500종'!V108/'효과 규칙 55종'!D56)</x:f>
        <x:v>2.2220799999999996</x:v>
      </x:c>
      <x:c r="E108" s="9" t="n">
        <x:f>C108*SUM('스킬 500종'!E108:H108)</x:f>
        <x:v>1.1</x:v>
      </x:c>
      <x:c r="F108" s="9" t="n">
        <x:f>C108*1.4*SUM('스킬 500종'!I108:J108)</x:f>
        <x:v>0</x:v>
      </x:c>
      <x:c r="G108" s="9" t="n">
        <x:f>SUM(D108:F108)</x:f>
        <x:v>3.3220799999999997</x:v>
      </x:c>
      <x:c r="H108" s="9" t="n">
        <x:f>1.1+0.8*'스킬 500종'!W108</x:f>
        <x:v>3.5000000000000004</x:v>
      </x:c>
      <x:c r="I108" s="10" t="n">
        <x:f>G108/H108</x:f>
        <x:v>0.9491657142857141</x:v>
      </x:c>
      <x:c r="J108" s="1" t="str">
        <x:f>IF(OR('스킬 500종'!I108&lt;0,'스킬 500종'!J108&lt;0,AND('스킬 500종'!I108&gt;0,'스킬 500종'!J108&gt;0),AND(OR('스킬 500종'!K108="HEAL",'스킬 500종'!N108="HEAL",'스킬 500종'!Q108="HEAL",'스킬 500종'!T108="HEAL"),'스킬 500종'!I108=0,'스킬 500종'!J108=0),AND('스킬 500종'!I108&gt;0,OR('스킬 500종'!K108="CONTINUOUS_HEAL",'스킬 500종'!N108="CONTINUOUS_HEAL",'스킬 500종'!Q108="CONTINUOUS_HEAL",'스킬 500종'!T108="CONTINUOUS_HEAL"))),"회복 기준 오류",IF(AND(G108&lt;=H108+0.00001,'스킬 500종'!W108&gt;=1,'스킬 500종'!W108&lt;=5),"정상","초과"))</x:f>
        <x:v>정상</x:v>
      </x:c>
    </x:row>
    <x:row r="109" ht="30" customHeight="1">
      <x:c r="A109" s="1" t="str">
        <x:f>'스킬 500종'!A109</x:f>
        <x:v>SKILL_0103</x:v>
      </x:c>
      <x:c r="B109" s="1" t="str">
        <x:f>'스킬 500종'!B109</x:f>
        <x:v>추가 공격 · 소멸의 일격</x:v>
      </x:c>
      <x:c r="C109" s="1" t="n">
        <x:f>2.4</x:f>
        <x:v>2.4</x:v>
      </x:c>
      <x:c r="D109" s="9" t="n">
        <x:f>C109*1.08*('효과 규칙 55종'!H50*'스킬 500종'!L109*'스킬 500종'!M109/'효과 규칙 55종'!D50+'효과 규칙 55종'!H47*'스킬 500종'!O109*'스킬 500종'!P109/'효과 규칙 55종'!D47)</x:f>
        <x:v>3.402</x:v>
      </x:c>
      <x:c r="E109" s="9" t="n">
        <x:f>C109*SUM('스킬 500종'!E109:H109)</x:f>
        <x:v>1.32</x:v>
      </x:c>
      <x:c r="F109" s="9" t="n">
        <x:f>C109*1.4*SUM('스킬 500종'!I109:J109)</x:f>
        <x:v>0</x:v>
      </x:c>
      <x:c r="G109" s="9" t="n">
        <x:f>SUM(D109:F109)</x:f>
        <x:v>4.722</x:v>
      </x:c>
      <x:c r="H109" s="9" t="n">
        <x:f>1.1+0.8*'스킬 500종'!W109</x:f>
        <x:v>5.1</x:v>
      </x:c>
      <x:c r="I109" s="10" t="n">
        <x:f>G109/H109</x:f>
        <x:v>0.9258823529411766</x:v>
      </x:c>
      <x:c r="J109" s="1" t="str">
        <x:f>IF(OR('스킬 500종'!I109&lt;0,'스킬 500종'!J109&lt;0,AND('스킬 500종'!I109&gt;0,'스킬 500종'!J109&gt;0),AND(OR('스킬 500종'!K109="HEAL",'스킬 500종'!N109="HEAL",'스킬 500종'!Q109="HEAL",'스킬 500종'!T109="HEAL"),'스킬 500종'!I109=0,'스킬 500종'!J109=0),AND('스킬 500종'!I109&gt;0,OR('스킬 500종'!K109="CONTINUOUS_HEAL",'스킬 500종'!N109="CONTINUOUS_HEAL",'스킬 500종'!Q109="CONTINUOUS_HEAL",'스킬 500종'!T109="CONTINUOUS_HEAL"))),"회복 기준 오류",IF(AND(G109&lt;=H109+0.00001,'스킬 500종'!W109&gt;=1,'스킬 500종'!W109&lt;=5),"정상","초과"))</x:f>
        <x:v>정상</x:v>
      </x:c>
    </x:row>
    <x:row r="110" ht="30" customHeight="1">
      <x:c r="A110" s="1" t="str">
        <x:f>'스킬 500종'!A110</x:f>
        <x:v>SKILL_0104</x:v>
      </x:c>
      <x:c r="B110" s="1" t="str">
        <x:f>'스킬 500종'!B110</x:f>
        <x:v>추가 공격 · 반격 불가 · 약화효과 지속시간 증가 · 약화효과 전이의 일격</x:v>
      </x:c>
      <x:c r="C110" s="1" t="n">
        <x:f>1</x:f>
        <x:v>1</x:v>
      </x:c>
      <x:c r="D110" s="9" t="n">
        <x:f>C110*1.24*('효과 규칙 55종'!H50*'스킬 500종'!L110*'스킬 500종'!M110/'효과 규칙 55종'!D50+'효과 규칙 55종'!H27*'스킬 500종'!O110*'스킬 500종'!P110/'효과 규칙 55종'!D27+'효과 규칙 55종'!H60*'스킬 500종'!R110*'스킬 500종'!S110/'효과 규칙 55종'!D60+'효과 규칙 55종'!H61*'스킬 500종'!U110*'스킬 500종'!V110/'효과 규칙 55종'!D61)</x:f>
        <x:v>2.622724</x:v>
      </x:c>
      <x:c r="E110" s="9" t="n">
        <x:f>C110*SUM('스킬 500종'!E110:H110)</x:f>
        <x:v>1.1</x:v>
      </x:c>
      <x:c r="F110" s="9" t="n">
        <x:f>C110*1.4*SUM('스킬 500종'!I110:J110)</x:f>
        <x:v>0</x:v>
      </x:c>
      <x:c r="G110" s="9" t="n">
        <x:f>SUM(D110:F110)</x:f>
        <x:v>3.722724</x:v>
      </x:c>
      <x:c r="H110" s="9" t="n">
        <x:f>1.1+0.8*'스킬 500종'!W110</x:f>
        <x:v>4.300000000000001</x:v>
      </x:c>
      <x:c r="I110" s="10" t="n">
        <x:f>G110/H110</x:f>
        <x:v>0.8657497674418603</x:v>
      </x:c>
      <x:c r="J110" s="1" t="str">
        <x:f>IF(OR('스킬 500종'!I110&lt;0,'스킬 500종'!J110&lt;0,AND('스킬 500종'!I110&gt;0,'스킬 500종'!J110&gt;0),AND(OR('스킬 500종'!K110="HEAL",'스킬 500종'!N110="HEAL",'스킬 500종'!Q110="HEAL",'스킬 500종'!T110="HEAL"),'스킬 500종'!I110=0,'스킬 500종'!J110=0),AND('스킬 500종'!I110&gt;0,OR('스킬 500종'!K110="CONTINUOUS_HEAL",'스킬 500종'!N110="CONTINUOUS_HEAL",'스킬 500종'!Q110="CONTINUOUS_HEAL",'스킬 500종'!T110="CONTINUOUS_HEAL"))),"회복 기준 오류",IF(AND(G110&lt;=H110+0.00001,'스킬 500종'!W110&gt;=1,'스킬 500종'!W110&lt;=5),"정상","초과"))</x:f>
        <x:v>정상</x:v>
      </x:c>
    </x:row>
    <x:row r="111" ht="30" customHeight="1">
      <x:c r="A111" s="1" t="str">
        <x:f>'스킬 500종'!A111</x:f>
        <x:v>SKILL_0105</x:v>
      </x:c>
      <x:c r="B111" s="1" t="str">
        <x:f>'스킬 500종'!B111</x:f>
        <x:v>부활 불가 · 속도 감소 · 상처의 일격</x:v>
      </x:c>
      <x:c r="C111" s="1" t="n">
        <x:f>1</x:f>
        <x:v>1</x:v>
      </x:c>
      <x:c r="D111" s="9" t="n">
        <x:f>C111*1.16*('효과 규칙 55종'!H48*'스킬 500종'!L111*'스킬 500종'!M111/'효과 규칙 55종'!D48+'효과 규칙 55종'!H20*'스킬 500종'!O111*'스킬 500종'!P111/'효과 규칙 55종'!D20+'효과 규칙 55종'!H32*'스킬 500종'!R111*'스킬 500종'!S111/'효과 규칙 55종'!D32)</x:f>
        <x:v>2.00448</x:v>
      </x:c>
      <x:c r="E111" s="9" t="n">
        <x:f>C111*SUM('스킬 500종'!E111:H111)</x:f>
        <x:v>1.1</x:v>
      </x:c>
      <x:c r="F111" s="9" t="n">
        <x:f>C111*1.4*SUM('스킬 500종'!I111:J111)</x:f>
        <x:v>0</x:v>
      </x:c>
      <x:c r="G111" s="9" t="n">
        <x:f>SUM(D111:F111)</x:f>
        <x:v>3.10448</x:v>
      </x:c>
      <x:c r="H111" s="9" t="n">
        <x:f>1.1+0.8*'스킬 500종'!W111</x:f>
        <x:v>3.5000000000000004</x:v>
      </x:c>
      <x:c r="I111" s="10" t="n">
        <x:f>G111/H111</x:f>
        <x:v>0.8869942857142856</x:v>
      </x:c>
      <x:c r="J111" s="1" t="str">
        <x:f>IF(OR('스킬 500종'!I111&lt;0,'스킬 500종'!J111&lt;0,AND('스킬 500종'!I111&gt;0,'스킬 500종'!J111&gt;0),AND(OR('스킬 500종'!K111="HEAL",'스킬 500종'!N111="HEAL",'스킬 500종'!Q111="HEAL",'스킬 500종'!T111="HEAL"),'스킬 500종'!I111=0,'스킬 500종'!J111=0),AND('스킬 500종'!I111&gt;0,OR('스킬 500종'!K111="CONTINUOUS_HEAL",'스킬 500종'!N111="CONTINUOUS_HEAL",'스킬 500종'!Q111="CONTINUOUS_HEAL",'스킬 500종'!T111="CONTINUOUS_HEAL"))),"회복 기준 오류",IF(AND(G111&lt;=H111+0.00001,'스킬 500종'!W111&gt;=1,'스킬 500종'!W111&lt;=5),"정상","초과"))</x:f>
        <x:v>정상</x:v>
      </x:c>
    </x:row>
    <x:row r="112" ht="30" customHeight="1">
      <x:c r="A112" s="1" t="str">
        <x:f>'스킬 500종'!A112</x:f>
        <x:v>SKILL_0106</x:v>
      </x:c>
      <x:c r="B112" s="1" t="str">
        <x:f>'스킬 500종'!B112</x:f>
        <x:v>중독 · 추가 공격의 일격</x:v>
      </x:c>
      <x:c r="C112" s="1" t="n">
        <x:f>2.4</x:f>
        <x:v>2.4</x:v>
      </x:c>
      <x:c r="D112" s="9" t="n">
        <x:f>C112*1.08*('효과 규칙 55종'!H28*'스킬 500종'!L112*'스킬 500종'!M112/'효과 규칙 55종'!D28+'효과 규칙 55종'!H50*'스킬 500종'!O112*'스킬 500종'!P112/'효과 규칙 55종'!D50)</x:f>
        <x:v>3.03264</x:v>
      </x:c>
      <x:c r="E112" s="9" t="n">
        <x:f>C112*SUM('스킬 500종'!E112:H112)</x:f>
        <x:v>1.68</x:v>
      </x:c>
      <x:c r="F112" s="9" t="n">
        <x:f>C112*1.4*SUM('스킬 500종'!I112:J112)</x:f>
        <x:v>0</x:v>
      </x:c>
      <x:c r="G112" s="9" t="n">
        <x:f>SUM(D112:F112)</x:f>
        <x:v>4.7126399999999995</x:v>
      </x:c>
      <x:c r="H112" s="9" t="n">
        <x:f>1.1+0.8*'스킬 500종'!W112</x:f>
        <x:v>5.1</x:v>
      </x:c>
      <x:c r="I112" s="10" t="n">
        <x:f>G112/H112</x:f>
        <x:v>0.9240470588235293</x:v>
      </x:c>
      <x:c r="J112" s="1" t="str">
        <x:f>IF(OR('스킬 500종'!I112&lt;0,'스킬 500종'!J112&lt;0,AND('스킬 500종'!I112&gt;0,'스킬 500종'!J112&gt;0),AND(OR('스킬 500종'!K112="HEAL",'스킬 500종'!N112="HEAL",'스킬 500종'!Q112="HEAL",'스킬 500종'!T112="HEAL"),'스킬 500종'!I112=0,'스킬 500종'!J112=0),AND('스킬 500종'!I112&gt;0,OR('스킬 500종'!K112="CONTINUOUS_HEAL",'스킬 500종'!N112="CONTINUOUS_HEAL",'스킬 500종'!Q112="CONTINUOUS_HEAL",'스킬 500종'!T112="CONTINUOUS_HEAL"))),"회복 기준 오류",IF(AND(G112&lt;=H112+0.00001,'스킬 500종'!W112&gt;=1,'스킬 500종'!W112&lt;=5),"정상","초과"))</x:f>
        <x:v>정상</x:v>
      </x:c>
    </x:row>
    <x:row r="113" ht="30" customHeight="1">
      <x:c r="A113" s="1" t="str">
        <x:f>'스킬 500종'!A113</x:f>
        <x:v>SKILL_0107</x:v>
      </x:c>
      <x:c r="B113" s="1" t="str">
        <x:f>'스킬 500종'!B113</x:f>
        <x:v>도발 · 약화효과 전이 · 중독 · 저주의 일격</x:v>
      </x:c>
      <x:c r="C113" s="1" t="n">
        <x:f>1</x:f>
        <x:v>1</x:v>
      </x:c>
      <x:c r="D113" s="9" t="n">
        <x:f>C113*1.24*('효과 규칙 55종'!H24*'스킬 500종'!L113*'스킬 500종'!M113/'효과 규칙 55종'!D24+'효과 규칙 55종'!H61*'스킬 500종'!O113*'스킬 500종'!P113/'효과 규칙 55종'!D61+'효과 규칙 55종'!H28*'스킬 500종'!R113*'스킬 500종'!S113/'효과 규칙 55종'!D28+'효과 규칙 55종'!H31*'스킬 500종'!U113*'스킬 500종'!V113/'효과 규칙 55종'!D31)</x:f>
        <x:v>2.5540899999999995</x:v>
      </x:c>
      <x:c r="E113" s="9" t="n">
        <x:f>C113*SUM('스킬 500종'!E113:H113)</x:f>
        <x:v>1.1</x:v>
      </x:c>
      <x:c r="F113" s="9" t="n">
        <x:f>C113*1.4*SUM('스킬 500종'!I113:J113)</x:f>
        <x:v>0</x:v>
      </x:c>
      <x:c r="G113" s="9" t="n">
        <x:f>SUM(D113:F113)</x:f>
        <x:v>3.6540899999999996</x:v>
      </x:c>
      <x:c r="H113" s="9" t="n">
        <x:f>1.1+0.8*'스킬 500종'!W113</x:f>
        <x:v>4.300000000000001</x:v>
      </x:c>
      <x:c r="I113" s="10" t="n">
        <x:f>G113/H113</x:f>
        <x:v>0.849788372093023</x:v>
      </x:c>
      <x:c r="J113" s="1" t="str">
        <x:f>IF(OR('스킬 500종'!I113&lt;0,'스킬 500종'!J113&lt;0,AND('스킬 500종'!I113&gt;0,'스킬 500종'!J113&gt;0),AND(OR('스킬 500종'!K113="HEAL",'스킬 500종'!N113="HEAL",'스킬 500종'!Q113="HEAL",'스킬 500종'!T113="HEAL"),'스킬 500종'!I113=0,'스킬 500종'!J113=0),AND('스킬 500종'!I113&gt;0,OR('스킬 500종'!K113="CONTINUOUS_HEAL",'스킬 500종'!N113="CONTINUOUS_HEAL",'스킬 500종'!Q113="CONTINUOUS_HEAL",'스킬 500종'!T113="CONTINUOUS_HEAL"))),"회복 기준 오류",IF(AND(G113&lt;=H113+0.00001,'스킬 500종'!W113&gt;=1,'스킬 500종'!W113&lt;=5),"정상","초과"))</x:f>
        <x:v>정상</x:v>
      </x:c>
    </x:row>
    <x:row r="114" ht="30" customHeight="1">
      <x:c r="A114" s="1" t="str">
        <x:f>'스킬 500종'!A114</x:f>
        <x:v>SKILL_0108</x:v>
      </x:c>
      <x:c r="B114" s="1" t="str">
        <x:f>'스킬 500종'!B114</x:f>
        <x:v>상처 · 중독 · 명중 감소의 일격</x:v>
      </x:c>
      <x:c r="C114" s="1" t="n">
        <x:f>1</x:f>
        <x:v>1</x:v>
      </x:c>
      <x:c r="D114" s="9" t="n">
        <x:f>C114*1.16*('효과 규칙 55종'!H32*'스킬 500종'!L114*'스킬 500종'!M114/'효과 규칙 55종'!D32+'효과 규칙 55종'!H28*'스킬 500종'!O114*'스킬 500종'!P114/'효과 규칙 55종'!D28+'효과 규칙 55종'!H21*'스킬 500종'!R114*'스킬 500종'!S114/'효과 규칙 55종'!D21)</x:f>
        <x:v>1.5961599999999998</x:v>
      </x:c>
      <x:c r="E114" s="9" t="n">
        <x:f>C114*SUM('스킬 500종'!E114:H114)</x:f>
        <x:v>1.1</x:v>
      </x:c>
      <x:c r="F114" s="9" t="n">
        <x:f>C114*1.4*SUM('스킬 500종'!I114:J114)</x:f>
        <x:v>0</x:v>
      </x:c>
      <x:c r="G114" s="9" t="n">
        <x:f>SUM(D114:F114)</x:f>
        <x:v>2.69616</x:v>
      </x:c>
      <x:c r="H114" s="9" t="n">
        <x:f>1.1+0.8*'스킬 500종'!W114</x:f>
        <x:v>2.7</x:v>
      </x:c>
      <x:c r="I114" s="10" t="n">
        <x:f>G114/H114</x:f>
        <x:v>0.9985777777777777</x:v>
      </x:c>
      <x:c r="J114" s="1" t="str">
        <x:f>IF(OR('스킬 500종'!I114&lt;0,'스킬 500종'!J114&lt;0,AND('스킬 500종'!I114&gt;0,'스킬 500종'!J114&gt;0),AND(OR('스킬 500종'!K114="HEAL",'스킬 500종'!N114="HEAL",'스킬 500종'!Q114="HEAL",'스킬 500종'!T114="HEAL"),'스킬 500종'!I114=0,'스킬 500종'!J114=0),AND('스킬 500종'!I114&gt;0,OR('스킬 500종'!K114="CONTINUOUS_HEAL",'스킬 500종'!N114="CONTINUOUS_HEAL",'스킬 500종'!Q114="CONTINUOUS_HEAL",'스킬 500종'!T114="CONTINUOUS_HEAL"))),"회복 기준 오류",IF(AND(G114&lt;=H114+0.00001,'스킬 500종'!W114&gt;=1,'스킬 500종'!W114&lt;=5),"정상","초과"))</x:f>
        <x:v>정상</x:v>
      </x:c>
    </x:row>
    <x:row r="115" ht="30" customHeight="1">
      <x:c r="A115" s="1" t="str">
        <x:f>'스킬 500종'!A115</x:f>
        <x:v>SKILL_0109</x:v>
      </x:c>
      <x:c r="B115" s="1" t="str">
        <x:f>'스킬 500종'!B115</x:f>
        <x:v>중독 · 강화효과 해제의 일격</x:v>
      </x:c>
      <x:c r="C115" s="1" t="n">
        <x:f>2.4</x:f>
        <x:v>2.4</x:v>
      </x:c>
      <x:c r="D115" s="9" t="n">
        <x:f>C115*1.08*('효과 규칙 55종'!H28*'스킬 500종'!L115*'스킬 500종'!M115/'효과 규칙 55종'!D28+'효과 규칙 55종'!H56*'스킬 500종'!O115*'스킬 500종'!P115/'효과 규칙 55종'!D56)</x:f>
        <x:v>3.265920000000001</x:v>
      </x:c>
      <x:c r="E115" s="9" t="n">
        <x:f>C115*SUM('스킬 500종'!E115:H115)</x:f>
        <x:v>1.68</x:v>
      </x:c>
      <x:c r="F115" s="9" t="n">
        <x:f>C115*1.4*SUM('스킬 500종'!I115:J115)</x:f>
        <x:v>0</x:v>
      </x:c>
      <x:c r="G115" s="9" t="n">
        <x:f>SUM(D115:F115)</x:f>
        <x:v>4.945920000000001</x:v>
      </x:c>
      <x:c r="H115" s="9" t="n">
        <x:f>1.1+0.8*'스킬 500종'!W115</x:f>
        <x:v>5.1</x:v>
      </x:c>
      <x:c r="I115" s="10" t="n">
        <x:f>G115/H115</x:f>
        <x:v>0.969788235294118</x:v>
      </x:c>
      <x:c r="J115" s="1" t="str">
        <x:f>IF(OR('스킬 500종'!I115&lt;0,'스킬 500종'!J115&lt;0,AND('스킬 500종'!I115&gt;0,'스킬 500종'!J115&gt;0),AND(OR('스킬 500종'!K115="HEAL",'스킬 500종'!N115="HEAL",'스킬 500종'!Q115="HEAL",'스킬 500종'!T115="HEAL"),'스킬 500종'!I115=0,'스킬 500종'!J115=0),AND('스킬 500종'!I115&gt;0,OR('스킬 500종'!K115="CONTINUOUS_HEAL",'스킬 500종'!N115="CONTINUOUS_HEAL",'스킬 500종'!Q115="CONTINUOUS_HEAL",'스킬 500종'!T115="CONTINUOUS_HEAL"))),"회복 기준 오류",IF(AND(G115&lt;=H115+0.00001,'스킬 500종'!W115&gt;=1,'스킬 500종'!W115&lt;=5),"정상","초과"))</x:f>
        <x:v>정상</x:v>
      </x:c>
    </x:row>
    <x:row r="116" ht="30" customHeight="1">
      <x:c r="A116" s="1" t="str">
        <x:f>'스킬 500종'!A116</x:f>
        <x:v>SKILL_0110</x:v>
      </x:c>
      <x:c r="B116" s="1" t="str">
        <x:f>'스킬 500종'!B116</x:f>
        <x:v>속도 감소 · 추가 공격 · 중독의 일격</x:v>
      </x:c>
      <x:c r="C116" s="1" t="n">
        <x:f>1</x:f>
        <x:v>1</x:v>
      </x:c>
      <x:c r="D116" s="9" t="n">
        <x:f>C116*1.16*('효과 규칙 55종'!H20*'스킬 500종'!L116*'스킬 500종'!M116/'효과 규칙 55종'!D20+'효과 규칙 55종'!H50*'스킬 500종'!O116*'스킬 500종'!P116/'효과 규칙 55종'!D50+'효과 규칙 55종'!H28*'스킬 500종'!R116*'스킬 500종'!S116/'효과 규칙 55종'!D28)</x:f>
        <x:v>1.44768</x:v>
      </x:c>
      <x:c r="E116" s="9" t="n">
        <x:f>C116*SUM('스킬 500종'!E116:H116)</x:f>
        <x:v>1.1</x:v>
      </x:c>
      <x:c r="F116" s="9" t="n">
        <x:f>C116*1.4*SUM('스킬 500종'!I116:J116)</x:f>
        <x:v>0</x:v>
      </x:c>
      <x:c r="G116" s="9" t="n">
        <x:f>SUM(D116:F116)</x:f>
        <x:v>2.54768</x:v>
      </x:c>
      <x:c r="H116" s="9" t="n">
        <x:f>1.1+0.8*'스킬 500종'!W116</x:f>
        <x:v>2.7</x:v>
      </x:c>
      <x:c r="I116" s="10" t="n">
        <x:f>G116/H116</x:f>
        <x:v>0.9435851851851852</x:v>
      </x:c>
      <x:c r="J116" s="1" t="str">
        <x:f>IF(OR('스킬 500종'!I116&lt;0,'스킬 500종'!J116&lt;0,AND('스킬 500종'!I116&gt;0,'스킬 500종'!J116&gt;0),AND(OR('스킬 500종'!K116="HEAL",'스킬 500종'!N116="HEAL",'스킬 500종'!Q116="HEAL",'스킬 500종'!T116="HEAL"),'스킬 500종'!I116=0,'스킬 500종'!J116=0),AND('스킬 500종'!I116&gt;0,OR('스킬 500종'!K116="CONTINUOUS_HEAL",'스킬 500종'!N116="CONTINUOUS_HEAL",'스킬 500종'!Q116="CONTINUOUS_HEAL",'스킬 500종'!T116="CONTINUOUS_HEAL"))),"회복 기준 오류",IF(AND(G116&lt;=H116+0.00001,'스킬 500종'!W116&gt;=1,'스킬 500종'!W116&lt;=5),"정상","초과"))</x:f>
        <x:v>정상</x:v>
      </x:c>
    </x:row>
    <x:row r="117" ht="30" customHeight="1">
      <x:c r="A117" s="1" t="str">
        <x:f>'스킬 500종'!A117</x:f>
        <x:v>SKILL_0111</x:v>
      </x:c>
      <x:c r="B117" s="1" t="str">
        <x:f>'스킬 500종'!B117</x:f>
        <x:v>스킬 쿨타임 증가 · 방어력 감소의 일격</x:v>
      </x:c>
      <x:c r="C117" s="1" t="n">
        <x:f>1</x:f>
        <x:v>1</x:v>
      </x:c>
      <x:c r="D117" s="9" t="n">
        <x:f>C117*1.08*('효과 규칙 55종'!H54*'스킬 500종'!L117*'스킬 500종'!M117/'효과 규칙 55종'!D54+'효과 규칙 55종'!H19*'스킬 500종'!O117*'스킬 500종'!P117/'효과 규칙 55종'!D19)</x:f>
        <x:v>2.2842000000000002</x:v>
      </x:c>
      <x:c r="E117" s="9" t="n">
        <x:f>C117*SUM('스킬 500종'!E117:H117)</x:f>
        <x:v>1.1</x:v>
      </x:c>
      <x:c r="F117" s="9" t="n">
        <x:f>C117*1.4*SUM('스킬 500종'!I117:J117)</x:f>
        <x:v>0</x:v>
      </x:c>
      <x:c r="G117" s="9" t="n">
        <x:f>SUM(D117:F117)</x:f>
        <x:v>3.3842000000000003</x:v>
      </x:c>
      <x:c r="H117" s="9" t="n">
        <x:f>1.1+0.8*'스킬 500종'!W117</x:f>
        <x:v>3.5000000000000004</x:v>
      </x:c>
      <x:c r="I117" s="10" t="n">
        <x:f>G117/H117</x:f>
        <x:v>0.9669142857142857</x:v>
      </x:c>
      <x:c r="J117" s="1" t="str">
        <x:f>IF(OR('스킬 500종'!I117&lt;0,'스킬 500종'!J117&lt;0,AND('스킬 500종'!I117&gt;0,'스킬 500종'!J117&gt;0),AND(OR('스킬 500종'!K117="HEAL",'스킬 500종'!N117="HEAL",'스킬 500종'!Q117="HEAL",'스킬 500종'!T117="HEAL"),'스킬 500종'!I117=0,'스킬 500종'!J117=0),AND('스킬 500종'!I117&gt;0,OR('스킬 500종'!K117="CONTINUOUS_HEAL",'스킬 500종'!N117="CONTINUOUS_HEAL",'스킬 500종'!Q117="CONTINUOUS_HEAL",'스킬 500종'!T117="CONTINUOUS_HEAL"))),"회복 기준 오류",IF(AND(G117&lt;=H117+0.00001,'스킬 500종'!W117&gt;=1,'스킬 500종'!W117&lt;=5),"정상","초과"))</x:f>
        <x:v>정상</x:v>
      </x:c>
    </x:row>
    <x:row r="118" ht="30" customHeight="1">
      <x:c r="A118" s="1" t="str">
        <x:f>'스킬 500종'!A118</x:f>
        <x:v>SKILL_0112</x:v>
      </x:c>
      <x:c r="B118" s="1" t="str">
        <x:f>'스킬 500종'!B118</x:f>
        <x:v>방어력 관통 · 표적의 일격</x:v>
      </x:c>
      <x:c r="C118" s="1" t="n">
        <x:f>2.4</x:f>
        <x:v>2.4</x:v>
      </x:c>
      <x:c r="D118" s="9" t="n">
        <x:f>C118*1.08*('효과 규칙 55종'!H55*'스킬 500종'!L118*'스킬 500종'!M118/'효과 규칙 55종'!D55+'효과 규칙 55종'!H30*'스킬 500종'!O118*'스킬 500종'!P118/'효과 규칙 55종'!D30)</x:f>
        <x:v>3.03264</x:v>
      </x:c>
      <x:c r="E118" s="9" t="n">
        <x:f>C118*SUM('스킬 500종'!E118:H118)</x:f>
        <x:v>1.68</x:v>
      </x:c>
      <x:c r="F118" s="9" t="n">
        <x:f>C118*1.4*SUM('스킬 500종'!I118:J118)</x:f>
        <x:v>0</x:v>
      </x:c>
      <x:c r="G118" s="9" t="n">
        <x:f>SUM(D118:F118)</x:f>
        <x:v>4.7126399999999995</x:v>
      </x:c>
      <x:c r="H118" s="9" t="n">
        <x:f>1.1+0.8*'스킬 500종'!W118</x:f>
        <x:v>5.1</x:v>
      </x:c>
      <x:c r="I118" s="10" t="n">
        <x:f>G118/H118</x:f>
        <x:v>0.9240470588235293</x:v>
      </x:c>
      <x:c r="J118" s="1" t="str">
        <x:f>IF(OR('스킬 500종'!I118&lt;0,'스킬 500종'!J118&lt;0,AND('스킬 500종'!I118&gt;0,'스킬 500종'!J118&gt;0),AND(OR('스킬 500종'!K118="HEAL",'스킬 500종'!N118="HEAL",'스킬 500종'!Q118="HEAL",'스킬 500종'!T118="HEAL"),'스킬 500종'!I118=0,'스킬 500종'!J118=0),AND('스킬 500종'!I118&gt;0,OR('스킬 500종'!K118="CONTINUOUS_HEAL",'스킬 500종'!N118="CONTINUOUS_HEAL",'스킬 500종'!Q118="CONTINUOUS_HEAL",'스킬 500종'!T118="CONTINUOUS_HEAL"))),"회복 기준 오류",IF(AND(G118&lt;=H118+0.00001,'스킬 500종'!W118&gt;=1,'스킬 500종'!W118&lt;=5),"정상","초과"))</x:f>
        <x:v>정상</x:v>
      </x:c>
    </x:row>
    <x:row r="119" ht="30" customHeight="1">
      <x:c r="A119" s="1" t="str">
        <x:f>'스킬 500종'!A119</x:f>
        <x:v>SKILL_0113</x:v>
      </x:c>
      <x:c r="B119" s="1" t="str">
        <x:f>'스킬 500종'!B119</x:f>
        <x:v>상처 · 공격력 감소 · 저주의 일격</x:v>
      </x:c>
      <x:c r="C119" s="1" t="n">
        <x:f>1</x:f>
        <x:v>1</x:v>
      </x:c>
      <x:c r="D119" s="9" t="n">
        <x:f>C119*1.16*('효과 규칙 55종'!H32*'스킬 500종'!L119*'스킬 500종'!M119/'효과 규칙 55종'!D32+'효과 규칙 55종'!H18*'스킬 500종'!O119*'스킬 500종'!P119/'효과 규칙 55종'!D18+'효과 규칙 55종'!H31*'스킬 500종'!R119*'스킬 500종'!S119/'효과 규칙 55종'!D31)</x:f>
        <x:v>1.59616</x:v>
      </x:c>
      <x:c r="E119" s="9" t="n">
        <x:f>C119*SUM('스킬 500종'!E119:H119)</x:f>
        <x:v>1.1</x:v>
      </x:c>
      <x:c r="F119" s="9" t="n">
        <x:f>C119*1.4*SUM('스킬 500종'!I119:J119)</x:f>
        <x:v>0</x:v>
      </x:c>
      <x:c r="G119" s="9" t="n">
        <x:f>SUM(D119:F119)</x:f>
        <x:v>2.69616</x:v>
      </x:c>
      <x:c r="H119" s="9" t="n">
        <x:f>1.1+0.8*'스킬 500종'!W119</x:f>
        <x:v>2.7</x:v>
      </x:c>
      <x:c r="I119" s="10" t="n">
        <x:f>G119/H119</x:f>
        <x:v>0.9985777777777777</x:v>
      </x:c>
      <x:c r="J119" s="1" t="str">
        <x:f>IF(OR('스킬 500종'!I119&lt;0,'스킬 500종'!J119&lt;0,AND('스킬 500종'!I119&gt;0,'스킬 500종'!J119&gt;0),AND(OR('스킬 500종'!K119="HEAL",'스킬 500종'!N119="HEAL",'스킬 500종'!Q119="HEAL",'스킬 500종'!T119="HEAL"),'스킬 500종'!I119=0,'스킬 500종'!J119=0),AND('스킬 500종'!I119&gt;0,OR('스킬 500종'!K119="CONTINUOUS_HEAL",'스킬 500종'!N119="CONTINUOUS_HEAL",'스킬 500종'!Q119="CONTINUOUS_HEAL",'스킬 500종'!T119="CONTINUOUS_HEAL"))),"회복 기준 오류",IF(AND(G119&lt;=H119+0.00001,'스킬 500종'!W119&gt;=1,'스킬 500종'!W119&lt;=5),"정상","초과"))</x:f>
        <x:v>정상</x:v>
      </x:c>
    </x:row>
    <x:row r="120" ht="30" customHeight="1">
      <x:c r="A120" s="1" t="str">
        <x:f>'스킬 500종'!A120</x:f>
        <x:v>SKILL_0114</x:v>
      </x:c>
      <x:c r="B120" s="1" t="str">
        <x:f>'스킬 500종'!B120</x:f>
        <x:v>강화효과 지속시간 감소 · 강화 불가 · 강화효과 해제의 일격</x:v>
      </x:c>
      <x:c r="C120" s="1" t="n">
        <x:f>1</x:f>
        <x:v>1</x:v>
      </x:c>
      <x:c r="D120" s="9" t="n">
        <x:f>C120*1.16*('효과 규칙 55종'!H59*'스킬 500종'!L120*'스킬 500종'!M120/'효과 규칙 55종'!D59+'효과 규칙 55종'!H26*'스킬 500종'!O120*'스킬 500종'!P120/'효과 규칙 55종'!D26+'효과 규칙 55종'!H56*'스킬 500종'!R120*'스킬 500종'!S120/'효과 규칙 55종'!D56)</x:f>
        <x:v>2.1808</x:v>
      </x:c>
      <x:c r="E120" s="9" t="n">
        <x:f>C120*SUM('스킬 500종'!E120:H120)</x:f>
        <x:v>1.1</x:v>
      </x:c>
      <x:c r="F120" s="9" t="n">
        <x:f>C120*1.4*SUM('스킬 500종'!I120:J120)</x:f>
        <x:v>0</x:v>
      </x:c>
      <x:c r="G120" s="9" t="n">
        <x:f>SUM(D120:F120)</x:f>
        <x:v>3.2808</x:v>
      </x:c>
      <x:c r="H120" s="9" t="n">
        <x:f>1.1+0.8*'스킬 500종'!W120</x:f>
        <x:v>3.5000000000000004</x:v>
      </x:c>
      <x:c r="I120" s="10" t="n">
        <x:f>G120/H120</x:f>
        <x:v>0.9373714285714285</x:v>
      </x:c>
      <x:c r="J120" s="1" t="str">
        <x:f>IF(OR('스킬 500종'!I120&lt;0,'스킬 500종'!J120&lt;0,AND('스킬 500종'!I120&gt;0,'스킬 500종'!J120&gt;0),AND(OR('스킬 500종'!K120="HEAL",'스킬 500종'!N120="HEAL",'스킬 500종'!Q120="HEAL",'스킬 500종'!T120="HEAL"),'스킬 500종'!I120=0,'스킬 500종'!J120=0),AND('스킬 500종'!I120&gt;0,OR('스킬 500종'!K120="CONTINUOUS_HEAL",'스킬 500종'!N120="CONTINUOUS_HEAL",'스킬 500종'!Q120="CONTINUOUS_HEAL",'스킬 500종'!T120="CONTINUOUS_HEAL"))),"회복 기준 오류",IF(AND(G120&lt;=H120+0.00001,'스킬 500종'!W120&gt;=1,'스킬 500종'!W120&lt;=5),"정상","초과"))</x:f>
        <x:v>정상</x:v>
      </x:c>
    </x:row>
    <x:row r="121" ht="30" customHeight="1">
      <x:c r="A121" s="1" t="str">
        <x:f>'스킬 500종'!A121</x:f>
        <x:v>SKILL_0115</x:v>
      </x:c>
      <x:c r="B121" s="1" t="str">
        <x:f>'스킬 500종'!B121</x:f>
        <x:v>소멸 · 흡혈의 일격</x:v>
      </x:c>
      <x:c r="C121" s="1" t="n">
        <x:f>2.4</x:f>
        <x:v>2.4</x:v>
      </x:c>
      <x:c r="D121" s="9" t="n">
        <x:f>C121*1.08*('효과 규칙 55종'!H47*'스킬 500종'!L121*'스킬 500종'!M121/'효과 규칙 55종'!D47+'효과 규칙 55종'!H36*'스킬 500종'!O121*'스킬 500종'!P121/'효과 규칙 55종'!D36)</x:f>
        <x:v>3.3047999999999997</x:v>
      </x:c>
      <x:c r="E121" s="9" t="n">
        <x:f>C121*SUM('스킬 500종'!E121:H121)</x:f>
        <x:v>1.56</x:v>
      </x:c>
      <x:c r="F121" s="9" t="n">
        <x:f>C121*1.4*SUM('스킬 500종'!I121:J121)</x:f>
        <x:v>0</x:v>
      </x:c>
      <x:c r="G121" s="9" t="n">
        <x:f>SUM(D121:F121)</x:f>
        <x:v>4.8648</x:v>
      </x:c>
      <x:c r="H121" s="9" t="n">
        <x:f>1.1+0.8*'스킬 500종'!W121</x:f>
        <x:v>5.1</x:v>
      </x:c>
      <x:c r="I121" s="10" t="n">
        <x:f>G121/H121</x:f>
        <x:v>0.9538823529411765</x:v>
      </x:c>
      <x:c r="J121" s="1" t="str">
        <x:f>IF(OR('스킬 500종'!I121&lt;0,'스킬 500종'!J121&lt;0,AND('스킬 500종'!I121&gt;0,'스킬 500종'!J121&gt;0),AND(OR('스킬 500종'!K121="HEAL",'스킬 500종'!N121="HEAL",'스킬 500종'!Q121="HEAL",'스킬 500종'!T121="HEAL"),'스킬 500종'!I121=0,'스킬 500종'!J121=0),AND('스킬 500종'!I121&gt;0,OR('스킬 500종'!K121="CONTINUOUS_HEAL",'스킬 500종'!N121="CONTINUOUS_HEAL",'스킬 500종'!Q121="CONTINUOUS_HEAL",'스킬 500종'!T121="CONTINUOUS_HEAL"))),"회복 기준 오류",IF(AND(G121&lt;=H121+0.00001,'스킬 500종'!W121&gt;=1,'스킬 500종'!W121&lt;=5),"정상","초과"))</x:f>
        <x:v>정상</x:v>
      </x:c>
    </x:row>
    <x:row r="122" ht="30" customHeight="1">
      <x:c r="A122" s="1" t="str">
        <x:f>'스킬 500종'!A122</x:f>
        <x:v>SKILL_0116</x:v>
      </x:c>
      <x:c r="B122" s="1" t="str">
        <x:f>'스킬 500종'!B122</x:f>
        <x:v>기절 — 스턴 · 표적 · 약화효과 지속시간 증가의 일격</x:v>
      </x:c>
      <x:c r="C122" s="1" t="n">
        <x:f>1</x:f>
        <x:v>1</x:v>
      </x:c>
      <x:c r="D122" s="9" t="n">
        <x:f>C122*1.16*('효과 규칙 55종'!H22*'스킬 500종'!L122*'스킬 500종'!M122/'효과 규칙 55종'!D22+'효과 규칙 55종'!H30*'스킬 500종'!O122*'스킬 500종'!P122/'효과 규칙 55종'!D30+'효과 규칙 55종'!H60*'스킬 500종'!R122*'스킬 500종'!S122/'효과 규칙 55종'!D60)</x:f>
        <x:v>2.9974400000000005</x:v>
      </x:c>
      <x:c r="E122" s="9" t="n">
        <x:f>C122*SUM('스킬 500종'!E122:H122)</x:f>
        <x:v>1.1</x:v>
      </x:c>
      <x:c r="F122" s="9" t="n">
        <x:f>C122*1.4*SUM('스킬 500종'!I122:J122)</x:f>
        <x:v>0</x:v>
      </x:c>
      <x:c r="G122" s="9" t="n">
        <x:f>SUM(D122:F122)</x:f>
        <x:v>4.097440000000001</x:v>
      </x:c>
      <x:c r="H122" s="9" t="n">
        <x:f>1.1+0.8*'스킬 500종'!W122</x:f>
        <x:v>4.300000000000001</x:v>
      </x:c>
      <x:c r="I122" s="10" t="n">
        <x:f>G122/H122</x:f>
        <x:v>0.9528930232558139</x:v>
      </x:c>
      <x:c r="J122" s="1" t="str">
        <x:f>IF(OR('스킬 500종'!I122&lt;0,'스킬 500종'!J122&lt;0,AND('스킬 500종'!I122&gt;0,'스킬 500종'!J122&gt;0),AND(OR('스킬 500종'!K122="HEAL",'스킬 500종'!N122="HEAL",'스킬 500종'!Q122="HEAL",'스킬 500종'!T122="HEAL"),'스킬 500종'!I122=0,'스킬 500종'!J122=0),AND('스킬 500종'!I122&gt;0,OR('스킬 500종'!K122="CONTINUOUS_HEAL",'스킬 500종'!N122="CONTINUOUS_HEAL",'스킬 500종'!Q122="CONTINUOUS_HEAL",'스킬 500종'!T122="CONTINUOUS_HEAL"))),"회복 기준 오류",IF(AND(G122&lt;=H122+0.00001,'스킬 500종'!W122&gt;=1,'스킬 500종'!W122&lt;=5),"정상","초과"))</x:f>
        <x:v>정상</x:v>
      </x:c>
    </x:row>
    <x:row r="123" ht="30" customHeight="1">
      <x:c r="A123" s="1" t="str">
        <x:f>'스킬 500종'!A123</x:f>
        <x:v>SKILL_0117</x:v>
      </x:c>
      <x:c r="B123" s="1" t="str">
        <x:f>'스킬 500종'!B123</x:f>
        <x:v>도발 · 강화 불가의 일격</x:v>
      </x:c>
      <x:c r="C123" s="1" t="n">
        <x:f>1</x:f>
        <x:v>1</x:v>
      </x:c>
      <x:c r="D123" s="9" t="n">
        <x:f>C123*1.08*('효과 규칙 55종'!H24*'스킬 500종'!L123*'스킬 500종'!M123/'효과 규칙 55종'!D24+'효과 규칙 55종'!H26*'스킬 500종'!O123*'스킬 500종'!P123/'효과 규칙 55종'!D26)</x:f>
        <x:v>1.8468</x:v>
      </x:c>
      <x:c r="E123" s="9" t="n">
        <x:f>C123*SUM('스킬 500종'!E123:H123)</x:f>
        <x:v>1.1</x:v>
      </x:c>
      <x:c r="F123" s="9" t="n">
        <x:f>C123*1.4*SUM('스킬 500종'!I123:J123)</x:f>
        <x:v>0</x:v>
      </x:c>
      <x:c r="G123" s="9" t="n">
        <x:f>SUM(D123:F123)</x:f>
        <x:v>2.9468</x:v>
      </x:c>
      <x:c r="H123" s="9" t="n">
        <x:f>1.1+0.8*'스킬 500종'!W123</x:f>
        <x:v>3.5000000000000004</x:v>
      </x:c>
      <x:c r="I123" s="10" t="n">
        <x:f>G123/H123</x:f>
        <x:v>0.8419428571428571</x:v>
      </x:c>
      <x:c r="J123" s="1" t="str">
        <x:f>IF(OR('스킬 500종'!I123&lt;0,'스킬 500종'!J123&lt;0,AND('스킬 500종'!I123&gt;0,'스킬 500종'!J123&gt;0),AND(OR('스킬 500종'!K123="HEAL",'스킬 500종'!N123="HEAL",'스킬 500종'!Q123="HEAL",'스킬 500종'!T123="HEAL"),'스킬 500종'!I123=0,'스킬 500종'!J123=0),AND('스킬 500종'!I123&gt;0,OR('스킬 500종'!K123="CONTINUOUS_HEAL",'스킬 500종'!N123="CONTINUOUS_HEAL",'스킬 500종'!Q123="CONTINUOUS_HEAL",'스킬 500종'!T123="CONTINUOUS_HEAL"))),"회복 기준 오류",IF(AND(G123&lt;=H123+0.00001,'스킬 500종'!W123&gt;=1,'스킬 500종'!W123&lt;=5),"정상","초과"))</x:f>
        <x:v>정상</x:v>
      </x:c>
    </x:row>
    <x:row r="124" ht="30" customHeight="1">
      <x:c r="A124" s="1" t="str">
        <x:f>'스킬 500종'!A124</x:f>
        <x:v>SKILL_0118</x:v>
      </x:c>
      <x:c r="B124" s="1" t="str">
        <x:f>'스킬 500종'!B124</x:f>
        <x:v>강화효과 해제 · 공격력 감소 · 약화효과 전이 · 상처의 일격</x:v>
      </x:c>
      <x:c r="C124" s="1" t="n">
        <x:f>1</x:f>
        <x:v>1</x:v>
      </x:c>
      <x:c r="D124" s="9" t="n">
        <x:f>C124*1.24*('효과 규칙 55종'!H56*'스킬 500종'!L124*'스킬 500종'!M124/'효과 규칙 55종'!D56+'효과 규칙 55종'!H18*'스킬 500종'!O124*'스킬 500종'!P124/'효과 규칙 55종'!D18+'효과 규칙 55종'!H61*'스킬 500종'!R124*'스킬 500종'!S124/'효과 규칙 55종'!D61+'효과 규칙 55종'!H32*'스킬 500종'!U124*'스킬 500종'!V124/'효과 규칙 55종'!D32)</x:f>
        <x:v>2.2816248</x:v>
      </x:c>
      <x:c r="E124" s="9" t="n">
        <x:f>C124*SUM('스킬 500종'!E124:H124)</x:f>
        <x:v>1.1</x:v>
      </x:c>
      <x:c r="F124" s="9" t="n">
        <x:f>C124*1.4*SUM('스킬 500종'!I124:J124)</x:f>
        <x:v>0</x:v>
      </x:c>
      <x:c r="G124" s="9" t="n">
        <x:f>SUM(D124:F124)</x:f>
        <x:v>3.3816248</x:v>
      </x:c>
      <x:c r="H124" s="9" t="n">
        <x:f>1.1+0.8*'스킬 500종'!W124</x:f>
        <x:v>3.5000000000000004</x:v>
      </x:c>
      <x:c r="I124" s="10" t="n">
        <x:f>G124/H124</x:f>
        <x:v>0.9661785142857141</x:v>
      </x:c>
      <x:c r="J124" s="1" t="str">
        <x:f>IF(OR('스킬 500종'!I124&lt;0,'스킬 500종'!J124&lt;0,AND('스킬 500종'!I124&gt;0,'스킬 500종'!J124&gt;0),AND(OR('스킬 500종'!K124="HEAL",'스킬 500종'!N124="HEAL",'스킬 500종'!Q124="HEAL",'스킬 500종'!T124="HEAL"),'스킬 500종'!I124=0,'스킬 500종'!J124=0),AND('스킬 500종'!I124&gt;0,OR('스킬 500종'!K124="CONTINUOUS_HEAL",'스킬 500종'!N124="CONTINUOUS_HEAL",'스킬 500종'!Q124="CONTINUOUS_HEAL",'스킬 500종'!T124="CONTINUOUS_HEAL"))),"회복 기준 오류",IF(AND(G124&lt;=H124+0.00001,'스킬 500종'!W124&gt;=1,'스킬 500종'!W124&lt;=5),"정상","초과"))</x:f>
        <x:v>정상</x:v>
      </x:c>
    </x:row>
    <x:row r="125" ht="30" customHeight="1">
      <x:c r="A125" s="1" t="str">
        <x:f>'스킬 500종'!A125</x:f>
        <x:v>SKILL_0119</x:v>
      </x:c>
      <x:c r="B125" s="1" t="str">
        <x:f>'스킬 500종'!B125</x:f>
        <x:v>약화효과 지속시간 증가 · 출혈 · 공격력 감소 · 도발의 일격</x:v>
      </x:c>
      <x:c r="C125" s="1" t="n">
        <x:f>1</x:f>
        <x:v>1</x:v>
      </x:c>
      <x:c r="D125" s="9" t="n">
        <x:f>C125*1.24*('효과 규칙 55종'!H60*'스킬 500종'!L125*'스킬 500종'!M125/'효과 규칙 55종'!D60+'효과 규칙 55종'!H29*'스킬 500종'!O125*'스킬 500종'!P125/'효과 규칙 55종'!D29+'효과 규칙 55종'!H18*'스킬 500종'!R125*'스킬 500종'!S125/'효과 규칙 55종'!D18+'효과 규칙 55종'!H24*'스킬 500종'!U125*'스킬 500종'!V125/'효과 규칙 55종'!D24)</x:f>
        <x:v>2.2859648</x:v>
      </x:c>
      <x:c r="E125" s="9" t="n">
        <x:f>C125*SUM('스킬 500종'!E125:H125)</x:f>
        <x:v>1.1</x:v>
      </x:c>
      <x:c r="F125" s="9" t="n">
        <x:f>C125*1.4*SUM('스킬 500종'!I125:J125)</x:f>
        <x:v>0</x:v>
      </x:c>
      <x:c r="G125" s="9" t="n">
        <x:f>SUM(D125:F125)</x:f>
        <x:v>3.3859648</x:v>
      </x:c>
      <x:c r="H125" s="9" t="n">
        <x:f>1.1+0.8*'스킬 500종'!W125</x:f>
        <x:v>3.5000000000000004</x:v>
      </x:c>
      <x:c r="I125" s="10" t="n">
        <x:f>G125/H125</x:f>
        <x:v>0.9674185142857141</x:v>
      </x:c>
      <x:c r="J125" s="1" t="str">
        <x:f>IF(OR('스킬 500종'!I125&lt;0,'스킬 500종'!J125&lt;0,AND('스킬 500종'!I125&gt;0,'스킬 500종'!J125&gt;0),AND(OR('스킬 500종'!K125="HEAL",'스킬 500종'!N125="HEAL",'스킬 500종'!Q125="HEAL",'스킬 500종'!T125="HEAL"),'스킬 500종'!I125=0,'스킬 500종'!J125=0),AND('스킬 500종'!I125&gt;0,OR('스킬 500종'!K125="CONTINUOUS_HEAL",'스킬 500종'!N125="CONTINUOUS_HEAL",'스킬 500종'!Q125="CONTINUOUS_HEAL",'스킬 500종'!T125="CONTINUOUS_HEAL"))),"회복 기준 오류",IF(AND(G125&lt;=H125+0.00001,'스킬 500종'!W125&gt;=1,'스킬 500종'!W125&lt;=5),"정상","초과"))</x:f>
        <x:v>정상</x:v>
      </x:c>
    </x:row>
    <x:row r="126" ht="30" customHeight="1">
      <x:c r="A126" s="1" t="str">
        <x:f>'스킬 500종'!A126</x:f>
        <x:v>SKILL_0120</x:v>
      </x:c>
      <x:c r="B126" s="1" t="str">
        <x:f>'스킬 500종'!B126</x:f>
        <x:v>흡혈 · 중독 · 기절 — 스턴의 일격</x:v>
      </x:c>
      <x:c r="C126" s="1" t="n">
        <x:f>1</x:f>
        <x:v>1</x:v>
      </x:c>
      <x:c r="D126" s="9" t="n">
        <x:f>C126*1.16*('효과 규칙 55종'!H36*'스킬 500종'!L126*'스킬 500종'!M126/'효과 규칙 55종'!D36+'효과 규칙 55종'!H28*'스킬 500종'!O126*'스킬 500종'!P126/'효과 규칙 55종'!D28+'효과 규칙 55종'!H22*'스킬 500종'!R126*'스킬 500종'!S126/'효과 규칙 55종'!D22)</x:f>
        <x:v>2.44992</x:v>
      </x:c>
      <x:c r="E126" s="9" t="n">
        <x:f>C126*SUM('스킬 500종'!E126:H126)</x:f>
        <x:v>1.1</x:v>
      </x:c>
      <x:c r="F126" s="9" t="n">
        <x:f>C126*1.4*SUM('스킬 500종'!I126:J126)</x:f>
        <x:v>0</x:v>
      </x:c>
      <x:c r="G126" s="9" t="n">
        <x:f>SUM(D126:F126)</x:f>
        <x:v>3.54992</x:v>
      </x:c>
      <x:c r="H126" s="9" t="n">
        <x:f>1.1+0.8*'스킬 500종'!W126</x:f>
        <x:v>4.300000000000001</x:v>
      </x:c>
      <x:c r="I126" s="10" t="n">
        <x:f>G126/H126</x:f>
        <x:v>0.8255627906976744</x:v>
      </x:c>
      <x:c r="J126" s="1" t="str">
        <x:f>IF(OR('스킬 500종'!I126&lt;0,'스킬 500종'!J126&lt;0,AND('스킬 500종'!I126&gt;0,'스킬 500종'!J126&gt;0),AND(OR('스킬 500종'!K126="HEAL",'스킬 500종'!N126="HEAL",'스킬 500종'!Q126="HEAL",'스킬 500종'!T126="HEAL"),'스킬 500종'!I126=0,'스킬 500종'!J126=0),AND('스킬 500종'!I126&gt;0,OR('스킬 500종'!K126="CONTINUOUS_HEAL",'스킬 500종'!N126="CONTINUOUS_HEAL",'스킬 500종'!Q126="CONTINUOUS_HEAL",'스킬 500종'!T126="CONTINUOUS_HEAL"))),"회복 기준 오류",IF(AND(G126&lt;=H126+0.00001,'스킬 500종'!W126&gt;=1,'스킬 500종'!W126&lt;=5),"정상","초과"))</x:f>
        <x:v>정상</x:v>
      </x:c>
    </x:row>
    <x:row r="127" ht="30" customHeight="1">
      <x:c r="A127" s="1" t="str">
        <x:f>'스킬 500종'!A127</x:f>
        <x:v>SKILL_0121</x:v>
      </x:c>
      <x:c r="B127" s="1" t="str">
        <x:f>'스킬 500종'!B127</x:f>
        <x:v>소멸 · 저주 · 회복 불가의 일격</x:v>
      </x:c>
      <x:c r="C127" s="1" t="n">
        <x:f>2.4</x:f>
        <x:v>2.4</x:v>
      </x:c>
      <x:c r="D127" s="9" t="n">
        <x:f>C127*1.16*('효과 규칙 55종'!H47*'스킬 500종'!L127*'스킬 500종'!M127/'효과 규칙 55종'!D47+'효과 규칙 55종'!H31*'스킬 500종'!O127*'스킬 500종'!P127/'효과 규칙 55종'!D31+'효과 규칙 55종'!H25*'스킬 500종'!R127*'스킬 500종'!S127/'효과 규칙 55종'!D25)</x:f>
        <x:v>3.659568</x:v>
      </x:c>
      <x:c r="E127" s="9" t="n">
        <x:f>C127*SUM('스킬 500종'!E127:H127)</x:f>
        <x:v>1.08</x:v>
      </x:c>
      <x:c r="F127" s="9" t="n">
        <x:f>C127*1.4*SUM('스킬 500종'!I127:J127)</x:f>
        <x:v>0</x:v>
      </x:c>
      <x:c r="G127" s="9" t="n">
        <x:f>SUM(D127:F127)</x:f>
        <x:v>4.739568</x:v>
      </x:c>
      <x:c r="H127" s="9" t="n">
        <x:f>1.1+0.8*'스킬 500종'!W127</x:f>
        <x:v>5.1</x:v>
      </x:c>
      <x:c r="I127" s="10" t="n">
        <x:f>G127/H127</x:f>
        <x:v>0.9293270588235295</x:v>
      </x:c>
      <x:c r="J127" s="1" t="str">
        <x:f>IF(OR('스킬 500종'!I127&lt;0,'스킬 500종'!J127&lt;0,AND('스킬 500종'!I127&gt;0,'스킬 500종'!J127&gt;0),AND(OR('스킬 500종'!K127="HEAL",'스킬 500종'!N127="HEAL",'스킬 500종'!Q127="HEAL",'스킬 500종'!T127="HEAL"),'스킬 500종'!I127=0,'스킬 500종'!J127=0),AND('스킬 500종'!I127&gt;0,OR('스킬 500종'!K127="CONTINUOUS_HEAL",'스킬 500종'!N127="CONTINUOUS_HEAL",'스킬 500종'!Q127="CONTINUOUS_HEAL",'스킬 500종'!T127="CONTINUOUS_HEAL"))),"회복 기준 오류",IF(AND(G127&lt;=H127+0.00001,'스킬 500종'!W127&gt;=1,'스킬 500종'!W127&lt;=5),"정상","초과"))</x:f>
        <x:v>정상</x:v>
      </x:c>
    </x:row>
    <x:row r="128" ht="30" customHeight="1">
      <x:c r="A128" s="1" t="str">
        <x:f>'스킬 500종'!A128</x:f>
        <x:v>SKILL_0122</x:v>
      </x:c>
      <x:c r="B128" s="1" t="str">
        <x:f>'스킬 500종'!B128</x:f>
        <x:v>속도 감소 · 강화효과 해제 · 출혈 · 회복 불가의 일격</x:v>
      </x:c>
      <x:c r="C128" s="1" t="n">
        <x:f>1</x:f>
        <x:v>1</x:v>
      </x:c>
      <x:c r="D128" s="9" t="n">
        <x:f>C128*1.24*('효과 규칙 55종'!H20*'스킬 500종'!L128*'스킬 500종'!M128/'효과 규칙 55종'!D20+'효과 규칙 55종'!H56*'스킬 500종'!O128*'스킬 500종'!P128/'효과 규칙 55종'!D56+'효과 규칙 55종'!H29*'스킬 500종'!R128*'스킬 500종'!S128/'효과 규칙 55종'!D29+'효과 규칙 55종'!H25*'스킬 500종'!U128*'스킬 500종'!V128/'효과 규칙 55종'!D25)</x:f>
        <x:v>1.8640299999999999</x:v>
      </x:c>
      <x:c r="E128" s="9" t="n">
        <x:f>C128*SUM('스킬 500종'!E128:H128)</x:f>
        <x:v>1.1</x:v>
      </x:c>
      <x:c r="F128" s="9" t="n">
        <x:f>C128*1.4*SUM('스킬 500종'!I128:J128)</x:f>
        <x:v>0</x:v>
      </x:c>
      <x:c r="G128" s="9" t="n">
        <x:f>SUM(D128:F128)</x:f>
        <x:v>2.96403</x:v>
      </x:c>
      <x:c r="H128" s="9" t="n">
        <x:f>1.1+0.8*'스킬 500종'!W128</x:f>
        <x:v>3.5000000000000004</x:v>
      </x:c>
      <x:c r="I128" s="10" t="n">
        <x:f>G128/H128</x:f>
        <x:v>0.8468657142857142</x:v>
      </x:c>
      <x:c r="J128" s="1" t="str">
        <x:f>IF(OR('스킬 500종'!I128&lt;0,'스킬 500종'!J128&lt;0,AND('스킬 500종'!I128&gt;0,'스킬 500종'!J128&gt;0),AND(OR('스킬 500종'!K128="HEAL",'스킬 500종'!N128="HEAL",'스킬 500종'!Q128="HEAL",'스킬 500종'!T128="HEAL"),'스킬 500종'!I128=0,'스킬 500종'!J128=0),AND('스킬 500종'!I128&gt;0,OR('스킬 500종'!K128="CONTINUOUS_HEAL",'스킬 500종'!N128="CONTINUOUS_HEAL",'스킬 500종'!Q128="CONTINUOUS_HEAL",'스킬 500종'!T128="CONTINUOUS_HEAL"))),"회복 기준 오류",IF(AND(G128&lt;=H128+0.00001,'스킬 500종'!W128&gt;=1,'스킬 500종'!W128&lt;=5),"정상","초과"))</x:f>
        <x:v>정상</x:v>
      </x:c>
    </x:row>
    <x:row r="129" ht="30" customHeight="1">
      <x:c r="A129" s="1" t="str">
        <x:f>'스킬 500종'!A129</x:f>
        <x:v>SKILL_0123</x:v>
      </x:c>
      <x:c r="B129" s="1" t="str">
        <x:f>'스킬 500종'!B129</x:f>
        <x:v>강화효과 해제 · 강화효과 지속시간 감소의 일격</x:v>
      </x:c>
      <x:c r="C129" s="1" t="n">
        <x:f>1</x:f>
        <x:v>1</x:v>
      </x:c>
      <x:c r="D129" s="9" t="n">
        <x:f>C129*1.08*('효과 규칙 55종'!H56*'스킬 500종'!L129*'스킬 500종'!M129/'효과 규칙 55종'!D56+'효과 규칙 55종'!H59*'스킬 500종'!O129*'스킬 500종'!P129/'효과 규칙 55종'!D59)</x:f>
        <x:v>1.4094000000000002</x:v>
      </x:c>
      <x:c r="E129" s="9" t="n">
        <x:f>C129*SUM('스킬 500종'!E129:H129)</x:f>
        <x:v>1.1</x:v>
      </x:c>
      <x:c r="F129" s="9" t="n">
        <x:f>C129*1.4*SUM('스킬 500종'!I129:J129)</x:f>
        <x:v>0</x:v>
      </x:c>
      <x:c r="G129" s="9" t="n">
        <x:f>SUM(D129:F129)</x:f>
        <x:v>2.5094000000000003</x:v>
      </x:c>
      <x:c r="H129" s="9" t="n">
        <x:f>1.1+0.8*'스킬 500종'!W129</x:f>
        <x:v>2.7</x:v>
      </x:c>
      <x:c r="I129" s="10" t="n">
        <x:f>G129/H129</x:f>
        <x:v>0.9294074074074075</x:v>
      </x:c>
      <x:c r="J129" s="1" t="str">
        <x:f>IF(OR('스킬 500종'!I129&lt;0,'스킬 500종'!J129&lt;0,AND('스킬 500종'!I129&gt;0,'스킬 500종'!J129&gt;0),AND(OR('스킬 500종'!K129="HEAL",'스킬 500종'!N129="HEAL",'스킬 500종'!Q129="HEAL",'스킬 500종'!T129="HEAL"),'스킬 500종'!I129=0,'스킬 500종'!J129=0),AND('스킬 500종'!I129&gt;0,OR('스킬 500종'!K129="CONTINUOUS_HEAL",'스킬 500종'!N129="CONTINUOUS_HEAL",'스킬 500종'!Q129="CONTINUOUS_HEAL",'스킬 500종'!T129="CONTINUOUS_HEAL"))),"회복 기준 오류",IF(AND(G129&lt;=H129+0.00001,'스킬 500종'!W129&gt;=1,'스킬 500종'!W129&lt;=5),"정상","초과"))</x:f>
        <x:v>정상</x:v>
      </x:c>
    </x:row>
    <x:row r="130" ht="30" customHeight="1">
      <x:c r="A130" s="1" t="str">
        <x:f>'스킬 500종'!A130</x:f>
        <x:v>SKILL_0124</x:v>
      </x:c>
      <x:c r="B130" s="1" t="str">
        <x:f>'스킬 500종'!B130</x:f>
        <x:v>소멸 · 약화효과 지속시간 증가의 일격</x:v>
      </x:c>
      <x:c r="C130" s="1" t="n">
        <x:f>2.4</x:f>
        <x:v>2.4</x:v>
      </x:c>
      <x:c r="D130" s="9" t="n">
        <x:f>C130*1.08*('효과 규칙 55종'!H47*'스킬 500종'!L130*'스킬 500종'!M130/'효과 규칙 55종'!D47+'효과 규칙 55종'!H60*'스킬 500종'!O130*'스킬 500종'!P130/'효과 규칙 55종'!D60)</x:f>
        <x:v>3.71952</x:v>
      </x:c>
      <x:c r="E130" s="9" t="n">
        <x:f>C130*SUM('스킬 500종'!E130:H130)</x:f>
        <x:v>1.2</x:v>
      </x:c>
      <x:c r="F130" s="9" t="n">
        <x:f>C130*1.4*SUM('스킬 500종'!I130:J130)</x:f>
        <x:v>0</x:v>
      </x:c>
      <x:c r="G130" s="9" t="n">
        <x:f>SUM(D130:F130)</x:f>
        <x:v>4.91952</x:v>
      </x:c>
      <x:c r="H130" s="9" t="n">
        <x:f>1.1+0.8*'스킬 500종'!W130</x:f>
        <x:v>5.1</x:v>
      </x:c>
      <x:c r="I130" s="10" t="n">
        <x:f>G130/H130</x:f>
        <x:v>0.9646117647058825</x:v>
      </x:c>
      <x:c r="J130" s="1" t="str">
        <x:f>IF(OR('스킬 500종'!I130&lt;0,'스킬 500종'!J130&lt;0,AND('스킬 500종'!I130&gt;0,'스킬 500종'!J130&gt;0),AND(OR('스킬 500종'!K130="HEAL",'스킬 500종'!N130="HEAL",'스킬 500종'!Q130="HEAL",'스킬 500종'!T130="HEAL"),'스킬 500종'!I130=0,'스킬 500종'!J130=0),AND('스킬 500종'!I130&gt;0,OR('스킬 500종'!K130="CONTINUOUS_HEAL",'스킬 500종'!N130="CONTINUOUS_HEAL",'스킬 500종'!Q130="CONTINUOUS_HEAL",'스킬 500종'!T130="CONTINUOUS_HEAL"))),"회복 기준 오류",IF(AND(G130&lt;=H130+0.00001,'스킬 500종'!W130&gt;=1,'스킬 500종'!W130&lt;=5),"정상","초과"))</x:f>
        <x:v>정상</x:v>
      </x:c>
    </x:row>
    <x:row r="131" ht="30" customHeight="1">
      <x:c r="A131" s="1" t="str">
        <x:f>'스킬 500종'!A131</x:f>
        <x:v>SKILL_0125</x:v>
      </x:c>
      <x:c r="B131" s="1" t="str">
        <x:f>'스킬 500종'!B131</x:f>
        <x:v>방어력 관통 · 약화효과 전이의 일격</x:v>
      </x:c>
      <x:c r="C131" s="1" t="n">
        <x:f>1</x:f>
        <x:v>1</x:v>
      </x:c>
      <x:c r="D131" s="9" t="n">
        <x:f>C131*1.08*('효과 규칙 55종'!H55*'스킬 500종'!L131*'스킬 500종'!M131/'효과 규칙 55종'!D55+'효과 규칙 55종'!H61*'스킬 500종'!O131*'스킬 500종'!P131/'효과 규칙 55종'!D61)</x:f>
        <x:v>1.6524</x:v>
      </x:c>
      <x:c r="E131" s="9" t="n">
        <x:f>C131*SUM('스킬 500종'!E131:H131)</x:f>
        <x:v>1.1</x:v>
      </x:c>
      <x:c r="F131" s="9" t="n">
        <x:f>C131*1.4*SUM('스킬 500종'!I131:J131)</x:f>
        <x:v>0</x:v>
      </x:c>
      <x:c r="G131" s="9" t="n">
        <x:f>SUM(D131:F131)</x:f>
        <x:v>2.7524</x:v>
      </x:c>
      <x:c r="H131" s="9" t="n">
        <x:f>1.1+0.8*'스킬 500종'!W131</x:f>
        <x:v>3.5000000000000004</x:v>
      </x:c>
      <x:c r="I131" s="10" t="n">
        <x:f>G131/H131</x:f>
        <x:v>0.7864</x:v>
      </x:c>
      <x:c r="J131" s="1" t="str">
        <x:f>IF(OR('스킬 500종'!I131&lt;0,'스킬 500종'!J131&lt;0,AND('스킬 500종'!I131&gt;0,'스킬 500종'!J131&gt;0),AND(OR('스킬 500종'!K131="HEAL",'스킬 500종'!N131="HEAL",'스킬 500종'!Q131="HEAL",'스킬 500종'!T131="HEAL"),'스킬 500종'!I131=0,'스킬 500종'!J131=0),AND('스킬 500종'!I131&gt;0,OR('스킬 500종'!K131="CONTINUOUS_HEAL",'스킬 500종'!N131="CONTINUOUS_HEAL",'스킬 500종'!Q131="CONTINUOUS_HEAL",'스킬 500종'!T131="CONTINUOUS_HEAL"))),"회복 기준 오류",IF(AND(G131&lt;=H131+0.00001,'스킬 500종'!W131&gt;=1,'스킬 500종'!W131&lt;=5),"정상","초과"))</x:f>
        <x:v>정상</x:v>
      </x:c>
    </x:row>
    <x:row r="132" ht="30" customHeight="1">
      <x:c r="A132" s="1" t="str">
        <x:f>'스킬 500종'!A132</x:f>
        <x:v>SKILL_0126</x:v>
      </x:c>
      <x:c r="B132" s="1" t="str">
        <x:f>'스킬 500종'!B132</x:f>
        <x:v>추가 공격 · 스킬 쿨타임 증가 · 상처 · 강화효과 해제의 일격</x:v>
      </x:c>
      <x:c r="C132" s="1" t="n">
        <x:f>1</x:f>
        <x:v>1</x:v>
      </x:c>
      <x:c r="D132" s="9" t="n">
        <x:f>C132*1.24*('효과 규칙 55종'!H50*'스킬 500종'!L132*'스킬 500종'!M132/'효과 규칙 55종'!D50+'효과 규칙 55종'!H54*'스킬 500종'!O132*'스킬 500종'!P132/'효과 규칙 55종'!D54+'효과 규칙 55종'!H32*'스킬 500종'!R132*'스킬 500종'!S132/'효과 규칙 55종'!D32+'효과 규칙 55종'!H56*'스킬 500종'!U132*'스킬 500종'!V132/'효과 규칙 55종'!D56)</x:f>
        <x:v>2.7702839999999997</x:v>
      </x:c>
      <x:c r="E132" s="9" t="n">
        <x:f>C132*SUM('스킬 500종'!E132:H132)</x:f>
        <x:v>1.1</x:v>
      </x:c>
      <x:c r="F132" s="9" t="n">
        <x:f>C132*1.4*SUM('스킬 500종'!I132:J132)</x:f>
        <x:v>0</x:v>
      </x:c>
      <x:c r="G132" s="9" t="n">
        <x:f>SUM(D132:F132)</x:f>
        <x:v>3.870284</x:v>
      </x:c>
      <x:c r="H132" s="9" t="n">
        <x:f>1.1+0.8*'스킬 500종'!W132</x:f>
        <x:v>4.300000000000001</x:v>
      </x:c>
      <x:c r="I132" s="10" t="n">
        <x:f>G132/H132</x:f>
        <x:v>0.9000660465116277</x:v>
      </x:c>
      <x:c r="J132" s="1" t="str">
        <x:f>IF(OR('스킬 500종'!I132&lt;0,'스킬 500종'!J132&lt;0,AND('스킬 500종'!I132&gt;0,'스킬 500종'!J132&gt;0),AND(OR('스킬 500종'!K132="HEAL",'스킬 500종'!N132="HEAL",'스킬 500종'!Q132="HEAL",'스킬 500종'!T132="HEAL"),'스킬 500종'!I132=0,'스킬 500종'!J132=0),AND('스킬 500종'!I132&gt;0,OR('스킬 500종'!K132="CONTINUOUS_HEAL",'스킬 500종'!N132="CONTINUOUS_HEAL",'스킬 500종'!Q132="CONTINUOUS_HEAL",'스킬 500종'!T132="CONTINUOUS_HEAL"))),"회복 기준 오류",IF(AND(G132&lt;=H132+0.00001,'스킬 500종'!W132&gt;=1,'스킬 500종'!W132&lt;=5),"정상","초과"))</x:f>
        <x:v>정상</x:v>
      </x:c>
    </x:row>
    <x:row r="133" ht="30" customHeight="1">
      <x:c r="A133" s="1" t="str">
        <x:f>'스킬 500종'!A133</x:f>
        <x:v>SKILL_0127</x:v>
      </x:c>
      <x:c r="B133" s="1" t="str">
        <x:f>'스킬 500종'!B133</x:f>
        <x:v>상처 · 출혈 · 명중 감소 · 도발의 일격</x:v>
      </x:c>
      <x:c r="C133" s="1" t="n">
        <x:f>2.4</x:f>
        <x:v>2.4</x:v>
      </x:c>
      <x:c r="D133" s="9" t="n">
        <x:f>C133*1.24*('효과 규칙 55종'!H32*'스킬 500종'!L133*'스킬 500종'!M133/'효과 규칙 55종'!D32+'효과 규칙 55종'!H29*'스킬 500종'!O133*'스킬 500종'!P133/'효과 규칙 55종'!D29+'효과 규칙 55종'!H21*'스킬 500종'!R133*'스킬 500종'!S133/'효과 규칙 55종'!D21+'효과 규칙 55종'!H24*'스킬 500종'!U133*'스킬 500종'!V133/'효과 규칙 55종'!D24)</x:f>
        <x:v>3.4223999999999997</x:v>
      </x:c>
      <x:c r="E133" s="9" t="n">
        <x:f>C133*SUM('스킬 500종'!E133:H133)</x:f>
        <x:v>1.2</x:v>
      </x:c>
      <x:c r="F133" s="9" t="n">
        <x:f>C133*1.4*SUM('스킬 500종'!I133:J133)</x:f>
        <x:v>0</x:v>
      </x:c>
      <x:c r="G133" s="9" t="n">
        <x:f>SUM(D133:F133)</x:f>
        <x:v>4.6224</x:v>
      </x:c>
      <x:c r="H133" s="9" t="n">
        <x:f>1.1+0.8*'스킬 500종'!W133</x:f>
        <x:v>5.1</x:v>
      </x:c>
      <x:c r="I133" s="10" t="n">
        <x:f>G133/H133</x:f>
        <x:v>0.9063529411764706</x:v>
      </x:c>
      <x:c r="J133" s="1" t="str">
        <x:f>IF(OR('스킬 500종'!I133&lt;0,'스킬 500종'!J133&lt;0,AND('스킬 500종'!I133&gt;0,'스킬 500종'!J133&gt;0),AND(OR('스킬 500종'!K133="HEAL",'스킬 500종'!N133="HEAL",'스킬 500종'!Q133="HEAL",'스킬 500종'!T133="HEAL"),'스킬 500종'!I133=0,'스킬 500종'!J133=0),AND('스킬 500종'!I133&gt;0,OR('스킬 500종'!K133="CONTINUOUS_HEAL",'스킬 500종'!N133="CONTINUOUS_HEAL",'스킬 500종'!Q133="CONTINUOUS_HEAL",'스킬 500종'!T133="CONTINUOUS_HEAL"))),"회복 기준 오류",IF(AND(G133&lt;=H133+0.00001,'스킬 500종'!W133&gt;=1,'스킬 500종'!W133&lt;=5),"정상","초과"))</x:f>
        <x:v>정상</x:v>
      </x:c>
    </x:row>
    <x:row r="134" ht="30" customHeight="1">
      <x:c r="A134" s="1" t="str">
        <x:f>'스킬 500종'!A134</x:f>
        <x:v>SKILL_0128</x:v>
      </x:c>
      <x:c r="B134" s="1" t="str">
        <x:f>'스킬 500종'!B134</x:f>
        <x:v>명중 감소 · 출혈 · 약화효과 지속시간 증가의 일격</x:v>
      </x:c>
      <x:c r="C134" s="1" t="n">
        <x:f>1</x:f>
        <x:v>1</x:v>
      </x:c>
      <x:c r="D134" s="9" t="n">
        <x:f>C134*1.16*('효과 규칙 55종'!H21*'스킬 500종'!L134*'스킬 500종'!M134/'효과 규칙 55종'!D21+'효과 규칙 55종'!H29*'스킬 500종'!O134*'스킬 500종'!P134/'효과 규칙 55종'!D29+'효과 규칙 55종'!H60*'스킬 500종'!R134*'스킬 500종'!S134/'효과 규칙 55종'!D60)</x:f>
        <x:v>1.7724799999999998</x:v>
      </x:c>
      <x:c r="E134" s="9" t="n">
        <x:f>C134*SUM('스킬 500종'!E134:H134)</x:f>
        <x:v>1.1</x:v>
      </x:c>
      <x:c r="F134" s="9" t="n">
        <x:f>C134*1.4*SUM('스킬 500종'!I134:J134)</x:f>
        <x:v>0</x:v>
      </x:c>
      <x:c r="G134" s="9" t="n">
        <x:f>SUM(D134:F134)</x:f>
        <x:v>2.87248</x:v>
      </x:c>
      <x:c r="H134" s="9" t="n">
        <x:f>1.1+0.8*'스킬 500종'!W134</x:f>
        <x:v>3.5000000000000004</x:v>
      </x:c>
      <x:c r="I134" s="10" t="n">
        <x:f>G134/H134</x:f>
        <x:v>0.8207085714285713</x:v>
      </x:c>
      <x:c r="J134" s="1" t="str">
        <x:f>IF(OR('스킬 500종'!I134&lt;0,'스킬 500종'!J134&lt;0,AND('스킬 500종'!I134&gt;0,'스킬 500종'!J134&gt;0),AND(OR('스킬 500종'!K134="HEAL",'스킬 500종'!N134="HEAL",'스킬 500종'!Q134="HEAL",'스킬 500종'!T134="HEAL"),'스킬 500종'!I134=0,'스킬 500종'!J134=0),AND('스킬 500종'!I134&gt;0,OR('스킬 500종'!K134="CONTINUOUS_HEAL",'스킬 500종'!N134="CONTINUOUS_HEAL",'스킬 500종'!Q134="CONTINUOUS_HEAL",'스킬 500종'!T134="CONTINUOUS_HEAL"))),"회복 기준 오류",IF(AND(G134&lt;=H134+0.00001,'스킬 500종'!W134&gt;=1,'스킬 500종'!W134&lt;=5),"정상","초과"))</x:f>
        <x:v>정상</x:v>
      </x:c>
    </x:row>
    <x:row r="135" ht="30" customHeight="1">
      <x:c r="A135" s="1" t="str">
        <x:f>'스킬 500종'!A135</x:f>
        <x:v>SKILL_0129</x:v>
      </x:c>
      <x:c r="B135" s="1" t="str">
        <x:f>'스킬 500종'!B135</x:f>
        <x:v>스킬 쿨타임 증가 · 약화효과 지속시간 증가의 일격</x:v>
      </x:c>
      <x:c r="C135" s="1" t="n">
        <x:f>1</x:f>
        <x:v>1</x:v>
      </x:c>
      <x:c r="D135" s="9" t="n">
        <x:f>C135*1.08*('효과 규칙 55종'!H54*'스킬 500종'!L135*'스킬 500종'!M135/'효과 규칙 55종'!D54+'효과 규칙 55종'!H60*'스킬 500종'!O135*'스킬 500종'!P135/'효과 규칙 55종'!D60)</x:f>
        <x:v>2.3814</x:v>
      </x:c>
      <x:c r="E135" s="9" t="n">
        <x:f>C135*SUM('스킬 500종'!E135:H135)</x:f>
        <x:v>1.1</x:v>
      </x:c>
      <x:c r="F135" s="9" t="n">
        <x:f>C135*1.4*SUM('스킬 500종'!I135:J135)</x:f>
        <x:v>0</x:v>
      </x:c>
      <x:c r="G135" s="9" t="n">
        <x:f>SUM(D135:F135)</x:f>
        <x:v>3.4814000000000003</x:v>
      </x:c>
      <x:c r="H135" s="9" t="n">
        <x:f>1.1+0.8*'스킬 500종'!W135</x:f>
        <x:v>3.5000000000000004</x:v>
      </x:c>
      <x:c r="I135" s="10" t="n">
        <x:f>G135/H135</x:f>
        <x:v>0.9946857142857143</x:v>
      </x:c>
      <x:c r="J135" s="1" t="str">
        <x:f>IF(OR('스킬 500종'!I135&lt;0,'스킬 500종'!J135&lt;0,AND('스킬 500종'!I135&gt;0,'스킬 500종'!J135&gt;0),AND(OR('스킬 500종'!K135="HEAL",'스킬 500종'!N135="HEAL",'스킬 500종'!Q135="HEAL",'스킬 500종'!T135="HEAL"),'스킬 500종'!I135=0,'스킬 500종'!J135=0),AND('스킬 500종'!I135&gt;0,OR('스킬 500종'!K135="CONTINUOUS_HEAL",'스킬 500종'!N135="CONTINUOUS_HEAL",'스킬 500종'!Q135="CONTINUOUS_HEAL",'스킬 500종'!T135="CONTINUOUS_HEAL"))),"회복 기준 오류",IF(AND(G135&lt;=H135+0.00001,'스킬 500종'!W135&gt;=1,'스킬 500종'!W135&lt;=5),"정상","초과"))</x:f>
        <x:v>정상</x:v>
      </x:c>
    </x:row>
    <x:row r="136" ht="30" customHeight="1">
      <x:c r="A136" s="1" t="str">
        <x:f>'스킬 500종'!A136</x:f>
        <x:v>SKILL_0130</x:v>
      </x:c>
      <x:c r="B136" s="1" t="str">
        <x:f>'스킬 500종'!B136</x:f>
        <x:v>흡혈 · 기절 — 스턴 · 방어력 관통 · 회복 불가의 일격</x:v>
      </x:c>
      <x:c r="C136" s="1" t="n">
        <x:f>2.4</x:f>
        <x:v>2.4</x:v>
      </x:c>
      <x:c r="D136" s="9" t="n">
        <x:f>C136*1.24*('효과 규칙 55종'!H36*'스킬 500종'!L136*'스킬 500종'!M136/'효과 규칙 55종'!D36+'효과 규칙 55종'!H22*'스킬 500종'!O136*'스킬 500종'!P136/'효과 규칙 55종'!D22+'효과 규칙 55종'!H55*'스킬 500종'!R136*'스킬 500종'!S136/'효과 규칙 55종'!D55+'효과 규칙 55종'!H25*'스킬 500종'!U136*'스킬 500종'!V136/'효과 규칙 55종'!D25)</x:f>
        <x:v>3.767616</x:v>
      </x:c>
      <x:c r="E136" s="9" t="n">
        <x:f>C136*SUM('스킬 500종'!E136:H136)</x:f>
        <x:v>0.96</x:v>
      </x:c>
      <x:c r="F136" s="9" t="n">
        <x:f>C136*1.4*SUM('스킬 500종'!I136:J136)</x:f>
        <x:v>0</x:v>
      </x:c>
      <x:c r="G136" s="9" t="n">
        <x:f>SUM(D136:F136)</x:f>
        <x:v>4.727615999999999</x:v>
      </x:c>
      <x:c r="H136" s="9" t="n">
        <x:f>1.1+0.8*'스킬 500종'!W136</x:f>
        <x:v>5.1</x:v>
      </x:c>
      <x:c r="I136" s="10" t="n">
        <x:f>G136/H136</x:f>
        <x:v>0.9269835294117647</x:v>
      </x:c>
      <x:c r="J136" s="1" t="str">
        <x:f>IF(OR('스킬 500종'!I136&lt;0,'스킬 500종'!J136&lt;0,AND('스킬 500종'!I136&gt;0,'스킬 500종'!J136&gt;0),AND(OR('스킬 500종'!K136="HEAL",'스킬 500종'!N136="HEAL",'스킬 500종'!Q136="HEAL",'스킬 500종'!T136="HEAL"),'스킬 500종'!I136=0,'스킬 500종'!J136=0),AND('스킬 500종'!I136&gt;0,OR('스킬 500종'!K136="CONTINUOUS_HEAL",'스킬 500종'!N136="CONTINUOUS_HEAL",'스킬 500종'!Q136="CONTINUOUS_HEAL",'스킬 500종'!T136="CONTINUOUS_HEAL"))),"회복 기준 오류",IF(AND(G136&lt;=H136+0.00001,'스킬 500종'!W136&gt;=1,'스킬 500종'!W136&lt;=5),"정상","초과"))</x:f>
        <x:v>정상</x:v>
      </x:c>
    </x:row>
    <x:row r="137" ht="30" customHeight="1">
      <x:c r="A137" s="1" t="str">
        <x:f>'스킬 500종'!A137</x:f>
        <x:v>SKILL_0131</x:v>
      </x:c>
      <x:c r="B137" s="1" t="str">
        <x:f>'스킬 500종'!B137</x:f>
        <x:v>표적 · 공격력 감소 · 방어력 관통의 일격</x:v>
      </x:c>
      <x:c r="C137" s="1" t="n">
        <x:f>1</x:f>
        <x:v>1</x:v>
      </x:c>
      <x:c r="D137" s="9" t="n">
        <x:f>C137*1.16*('효과 규칙 55종'!H30*'스킬 500종'!L137*'스킬 500종'!M137/'효과 규칙 55종'!D30+'효과 규칙 55종'!H18*'스킬 500종'!O137*'스킬 500종'!P137/'효과 규칙 55종'!D18+'효과 규칙 55종'!H55*'스킬 500종'!R137*'스킬 500종'!S137/'효과 규칙 55종'!D55)</x:f>
        <x:v>1.37344</x:v>
      </x:c>
      <x:c r="E137" s="9" t="n">
        <x:f>C137*SUM('스킬 500종'!E137:H137)</x:f>
        <x:v>1.1</x:v>
      </x:c>
      <x:c r="F137" s="9" t="n">
        <x:f>C137*1.4*SUM('스킬 500종'!I137:J137)</x:f>
        <x:v>0</x:v>
      </x:c>
      <x:c r="G137" s="9" t="n">
        <x:f>SUM(D137:F137)</x:f>
        <x:v>2.47344</x:v>
      </x:c>
      <x:c r="H137" s="9" t="n">
        <x:f>1.1+0.8*'스킬 500종'!W137</x:f>
        <x:v>2.7</x:v>
      </x:c>
      <x:c r="I137" s="10" t="n">
        <x:f>G137/H137</x:f>
        <x:v>0.9160888888888888</x:v>
      </x:c>
      <x:c r="J137" s="1" t="str">
        <x:f>IF(OR('스킬 500종'!I137&lt;0,'스킬 500종'!J137&lt;0,AND('스킬 500종'!I137&gt;0,'스킬 500종'!J137&gt;0),AND(OR('스킬 500종'!K137="HEAL",'스킬 500종'!N137="HEAL",'스킬 500종'!Q137="HEAL",'스킬 500종'!T137="HEAL"),'스킬 500종'!I137=0,'스킬 500종'!J137=0),AND('스킬 500종'!I137&gt;0,OR('스킬 500종'!K137="CONTINUOUS_HEAL",'스킬 500종'!N137="CONTINUOUS_HEAL",'스킬 500종'!Q137="CONTINUOUS_HEAL",'스킬 500종'!T137="CONTINUOUS_HEAL"))),"회복 기준 오류",IF(AND(G137&lt;=H137+0.00001,'스킬 500종'!W137&gt;=1,'스킬 500종'!W137&lt;=5),"정상","초과"))</x:f>
        <x:v>정상</x:v>
      </x:c>
    </x:row>
    <x:row r="138" ht="30" customHeight="1">
      <x:c r="A138" s="1" t="str">
        <x:f>'스킬 500종'!A138</x:f>
        <x:v>SKILL_0132</x:v>
      </x:c>
      <x:c r="B138" s="1" t="str">
        <x:f>'스킬 500종'!B138</x:f>
        <x:v>저주 · 강화효과 지속시간 감소 · 부활 불가의 일격</x:v>
      </x:c>
      <x:c r="C138" s="1" t="n">
        <x:f>1</x:f>
        <x:v>1</x:v>
      </x:c>
      <x:c r="D138" s="9" t="n">
        <x:f>C138*1.16*('효과 규칙 55종'!H31*'스킬 500종'!L138*'스킬 500종'!M138/'효과 규칙 55종'!D31+'효과 규칙 55종'!H59*'스킬 500종'!O138*'스킬 500종'!P138/'효과 규칙 55종'!D59+'효과 규칙 55종'!H48*'스킬 500종'!R138*'스킬 500종'!S138/'효과 규칙 55종'!D48)</x:f>
        <x:v>2.17152</x:v>
      </x:c>
      <x:c r="E138" s="9" t="n">
        <x:f>C138*SUM('스킬 500종'!E138:H138)</x:f>
        <x:v>1.1</x:v>
      </x:c>
      <x:c r="F138" s="9" t="n">
        <x:f>C138*1.4*SUM('스킬 500종'!I138:J138)</x:f>
        <x:v>0</x:v>
      </x:c>
      <x:c r="G138" s="9" t="n">
        <x:f>SUM(D138:F138)</x:f>
        <x:v>3.27152</x:v>
      </x:c>
      <x:c r="H138" s="9" t="n">
        <x:f>1.1+0.8*'스킬 500종'!W138</x:f>
        <x:v>3.5000000000000004</x:v>
      </x:c>
      <x:c r="I138" s="10" t="n">
        <x:f>G138/H138</x:f>
        <x:v>0.93472</x:v>
      </x:c>
      <x:c r="J138" s="1" t="str">
        <x:f>IF(OR('스킬 500종'!I138&lt;0,'스킬 500종'!J138&lt;0,AND('스킬 500종'!I138&gt;0,'스킬 500종'!J138&gt;0),AND(OR('스킬 500종'!K138="HEAL",'스킬 500종'!N138="HEAL",'스킬 500종'!Q138="HEAL",'스킬 500종'!T138="HEAL"),'스킬 500종'!I138=0,'스킬 500종'!J138=0),AND('스킬 500종'!I138&gt;0,OR('스킬 500종'!K138="CONTINUOUS_HEAL",'스킬 500종'!N138="CONTINUOUS_HEAL",'스킬 500종'!Q138="CONTINUOUS_HEAL",'스킬 500종'!T138="CONTINUOUS_HEAL"))),"회복 기준 오류",IF(AND(G138&lt;=H138+0.00001,'스킬 500종'!W138&gt;=1,'스킬 500종'!W138&lt;=5),"정상","초과"))</x:f>
        <x:v>정상</x:v>
      </x:c>
    </x:row>
    <x:row r="139" ht="30" customHeight="1">
      <x:c r="A139" s="1" t="str">
        <x:f>'스킬 500종'!A139</x:f>
        <x:v>SKILL_0133</x:v>
      </x:c>
      <x:c r="B139" s="1" t="str">
        <x:f>'스킬 500종'!B139</x:f>
        <x:v>공격력 감소 · 스킬 쿨타임 증가의 일격</x:v>
      </x:c>
      <x:c r="C139" s="1" t="n">
        <x:f>2.4</x:f>
        <x:v>2.4</x:v>
      </x:c>
      <x:c r="D139" s="9" t="n">
        <x:f>C139*1.08*('효과 규칙 55종'!H18*'스킬 500종'!L139*'스킬 500종'!M139/'효과 규칙 55종'!D18+'효과 규칙 55종'!H54*'스킬 500종'!O139*'스킬 500종'!P139/'효과 규칙 55종'!D54)</x:f>
        <x:v>3.7195199999999997</x:v>
      </x:c>
      <x:c r="E139" s="9" t="n">
        <x:f>C139*SUM('스킬 500종'!E139:H139)</x:f>
        <x:v>1.2</x:v>
      </x:c>
      <x:c r="F139" s="9" t="n">
        <x:f>C139*1.4*SUM('스킬 500종'!I139:J139)</x:f>
        <x:v>0</x:v>
      </x:c>
      <x:c r="G139" s="9" t="n">
        <x:f>SUM(D139:F139)</x:f>
        <x:v>4.9195199999999994</x:v>
      </x:c>
      <x:c r="H139" s="9" t="n">
        <x:f>1.1+0.8*'스킬 500종'!W139</x:f>
        <x:v>5.1</x:v>
      </x:c>
      <x:c r="I139" s="10" t="n">
        <x:f>G139/H139</x:f>
        <x:v>0.9646117647058823</x:v>
      </x:c>
      <x:c r="J139" s="1" t="str">
        <x:f>IF(OR('스킬 500종'!I139&lt;0,'스킬 500종'!J139&lt;0,AND('스킬 500종'!I139&gt;0,'스킬 500종'!J139&gt;0),AND(OR('스킬 500종'!K139="HEAL",'스킬 500종'!N139="HEAL",'스킬 500종'!Q139="HEAL",'스킬 500종'!T139="HEAL"),'스킬 500종'!I139=0,'스킬 500종'!J139=0),AND('스킬 500종'!I139&gt;0,OR('스킬 500종'!K139="CONTINUOUS_HEAL",'스킬 500종'!N139="CONTINUOUS_HEAL",'스킬 500종'!Q139="CONTINUOUS_HEAL",'스킬 500종'!T139="CONTINUOUS_HEAL"))),"회복 기준 오류",IF(AND(G139&lt;=H139+0.00001,'스킬 500종'!W139&gt;=1,'스킬 500종'!W139&lt;=5),"정상","초과"))</x:f>
        <x:v>정상</x:v>
      </x:c>
    </x:row>
    <x:row r="140" ht="30" customHeight="1">
      <x:c r="A140" s="1" t="str">
        <x:f>'스킬 500종'!A140</x:f>
        <x:v>SKILL_0134</x:v>
      </x:c>
      <x:c r="B140" s="1" t="str">
        <x:f>'스킬 500종'!B140</x:f>
        <x:v>방어력 관통 · 중독 · 흡혈의 일격</x:v>
      </x:c>
      <x:c r="C140" s="1" t="n">
        <x:f>1</x:f>
        <x:v>1</x:v>
      </x:c>
      <x:c r="D140" s="9" t="n">
        <x:f>C140*1.16*('효과 규칙 55종'!H55*'스킬 500종'!L140*'스킬 500종'!M140/'효과 규칙 55종'!D55+'효과 규칙 55종'!H28*'스킬 500종'!O140*'스킬 500종'!P140/'효과 규칙 55종'!D28+'효과 규칙 55종'!H36*'스킬 500종'!R140*'스킬 500종'!S140/'효과 규칙 55종'!D36)</x:f>
        <x:v>1.2992000000000001</x:v>
      </x:c>
      <x:c r="E140" s="9" t="n">
        <x:f>C140*SUM('스킬 500종'!E140:H140)</x:f>
        <x:v>1.1</x:v>
      </x:c>
      <x:c r="F140" s="9" t="n">
        <x:f>C140*1.4*SUM('스킬 500종'!I140:J140)</x:f>
        <x:v>0</x:v>
      </x:c>
      <x:c r="G140" s="9" t="n">
        <x:f>SUM(D140:F140)</x:f>
        <x:v>2.3992000000000004</x:v>
      </x:c>
      <x:c r="H140" s="9" t="n">
        <x:f>1.1+0.8*'스킬 500종'!W140</x:f>
        <x:v>2.7</x:v>
      </x:c>
      <x:c r="I140" s="10" t="n">
        <x:f>G140/H140</x:f>
        <x:v>0.8885925925925927</x:v>
      </x:c>
      <x:c r="J140" s="1" t="str">
        <x:f>IF(OR('스킬 500종'!I140&lt;0,'스킬 500종'!J140&lt;0,AND('스킬 500종'!I140&gt;0,'스킬 500종'!J140&gt;0),AND(OR('스킬 500종'!K140="HEAL",'스킬 500종'!N140="HEAL",'스킬 500종'!Q140="HEAL",'스킬 500종'!T140="HEAL"),'스킬 500종'!I140=0,'스킬 500종'!J140=0),AND('스킬 500종'!I140&gt;0,OR('스킬 500종'!K140="CONTINUOUS_HEAL",'스킬 500종'!N140="CONTINUOUS_HEAL",'스킬 500종'!Q140="CONTINUOUS_HEAL",'스킬 500종'!T140="CONTINUOUS_HEAL"))),"회복 기준 오류",IF(AND(G140&lt;=H140+0.00001,'스킬 500종'!W140&gt;=1,'스킬 500종'!W140&lt;=5),"정상","초과"))</x:f>
        <x:v>정상</x:v>
      </x:c>
    </x:row>
    <x:row r="141" ht="30" customHeight="1">
      <x:c r="A141" s="1" t="str">
        <x:f>'스킬 500종'!A141</x:f>
        <x:v>SKILL_0135</x:v>
      </x:c>
      <x:c r="B141" s="1" t="str">
        <x:f>'스킬 500종'!B141</x:f>
        <x:v>저주 · 방어력 감소 · 흡혈의 일격</x:v>
      </x:c>
      <x:c r="C141" s="1" t="n">
        <x:f>1</x:f>
        <x:v>1</x:v>
      </x:c>
      <x:c r="D141" s="9" t="n">
        <x:f>C141*1.16*('효과 규칙 55종'!H31*'스킬 500종'!L141*'스킬 500종'!M141/'효과 규칙 55종'!D31+'효과 규칙 55종'!H19*'스킬 500종'!O141*'스킬 500종'!P141/'효과 규칙 55종'!D19+'효과 규칙 55종'!H36*'스킬 500종'!R141*'스킬 500종'!S141/'효과 규칙 55종'!D36)</x:f>
        <x:v>1.52192</x:v>
      </x:c>
      <x:c r="E141" s="9" t="n">
        <x:f>C141*SUM('스킬 500종'!E141:H141)</x:f>
        <x:v>1.1</x:v>
      </x:c>
      <x:c r="F141" s="9" t="n">
        <x:f>C141*1.4*SUM('스킬 500종'!I141:J141)</x:f>
        <x:v>0</x:v>
      </x:c>
      <x:c r="G141" s="9" t="n">
        <x:f>SUM(D141:F141)</x:f>
        <x:v>2.6219200000000003</x:v>
      </x:c>
      <x:c r="H141" s="9" t="n">
        <x:f>1.1+0.8*'스킬 500종'!W141</x:f>
        <x:v>2.7</x:v>
      </x:c>
      <x:c r="I141" s="10" t="n">
        <x:f>G141/H141</x:f>
        <x:v>0.9710814814814815</x:v>
      </x:c>
      <x:c r="J141" s="1" t="str">
        <x:f>IF(OR('스킬 500종'!I141&lt;0,'스킬 500종'!J141&lt;0,AND('스킬 500종'!I141&gt;0,'스킬 500종'!J141&gt;0),AND(OR('스킬 500종'!K141="HEAL",'스킬 500종'!N141="HEAL",'스킬 500종'!Q141="HEAL",'스킬 500종'!T141="HEAL"),'스킬 500종'!I141=0,'스킬 500종'!J141=0),AND('스킬 500종'!I141&gt;0,OR('스킬 500종'!K141="CONTINUOUS_HEAL",'스킬 500종'!N141="CONTINUOUS_HEAL",'스킬 500종'!Q141="CONTINUOUS_HEAL",'스킬 500종'!T141="CONTINUOUS_HEAL"))),"회복 기준 오류",IF(AND(G141&lt;=H141+0.00001,'스킬 500종'!W141&gt;=1,'스킬 500종'!W141&lt;=5),"정상","초과"))</x:f>
        <x:v>정상</x:v>
      </x:c>
    </x:row>
    <x:row r="142" ht="30" customHeight="1">
      <x:c r="A142" s="1" t="str">
        <x:f>'스킬 500종'!A142</x:f>
        <x:v>SKILL_0136</x:v>
      </x:c>
      <x:c r="B142" s="1" t="str">
        <x:f>'스킬 500종'!B142</x:f>
        <x:v>저주 · 수면 · 부활 불가의 일격</x:v>
      </x:c>
      <x:c r="C142" s="1" t="n">
        <x:f>2.4</x:f>
        <x:v>2.4</x:v>
      </x:c>
      <x:c r="D142" s="9" t="n">
        <x:f>C142*1.16*('효과 규칙 55종'!H31*'스킬 500종'!L142*'스킬 500종'!M142/'효과 규칙 55종'!D31+'효과 규칙 55종'!H23*'스킬 500종'!O142*'스킬 500종'!P142/'효과 규칙 55종'!D23+'효과 규칙 55종'!H48*'스킬 500종'!R142*'스킬 500종'!S142/'효과 규칙 55종'!D48)</x:f>
        <x:v>3.6832320000000003</x:v>
      </x:c>
      <x:c r="E142" s="9" t="n">
        <x:f>C142*SUM('스킬 500종'!E142:H142)</x:f>
        <x:v>0.84</x:v>
      </x:c>
      <x:c r="F142" s="9" t="n">
        <x:f>C142*1.4*SUM('스킬 500종'!I142:J142)</x:f>
        <x:v>0</x:v>
      </x:c>
      <x:c r="G142" s="9" t="n">
        <x:f>SUM(D142:F142)</x:f>
        <x:v>4.523232</x:v>
      </x:c>
      <x:c r="H142" s="9" t="n">
        <x:f>1.1+0.8*'스킬 500종'!W142</x:f>
        <x:v>5.1</x:v>
      </x:c>
      <x:c r="I142" s="10" t="n">
        <x:f>G142/H142</x:f>
        <x:v>0.8869082352941178</x:v>
      </x:c>
      <x:c r="J142" s="1" t="str">
        <x:f>IF(OR('스킬 500종'!I142&lt;0,'스킬 500종'!J142&lt;0,AND('스킬 500종'!I142&gt;0,'스킬 500종'!J142&gt;0),AND(OR('스킬 500종'!K142="HEAL",'스킬 500종'!N142="HEAL",'스킬 500종'!Q142="HEAL",'스킬 500종'!T142="HEAL"),'스킬 500종'!I142=0,'스킬 500종'!J142=0),AND('스킬 500종'!I142&gt;0,OR('스킬 500종'!K142="CONTINUOUS_HEAL",'스킬 500종'!N142="CONTINUOUS_HEAL",'스킬 500종'!Q142="CONTINUOUS_HEAL",'스킬 500종'!T142="CONTINUOUS_HEAL"))),"회복 기준 오류",IF(AND(G142&lt;=H142+0.00001,'스킬 500종'!W142&gt;=1,'스킬 500종'!W142&lt;=5),"정상","초과"))</x:f>
        <x:v>정상</x:v>
      </x:c>
    </x:row>
    <x:row r="143" ht="30" customHeight="1">
      <x:c r="A143" s="1" t="str">
        <x:f>'스킬 500종'!A143</x:f>
        <x:v>SKILL_0137</x:v>
      </x:c>
      <x:c r="B143" s="1" t="str">
        <x:f>'스킬 500종'!B143</x:f>
        <x:v>방어력 감소 · 표적 · 속도 감소 · 명중 감소의 일격</x:v>
      </x:c>
      <x:c r="C143" s="1" t="n">
        <x:f>1</x:f>
        <x:v>1</x:v>
      </x:c>
      <x:c r="D143" s="9" t="n">
        <x:f>C143*1.24*('효과 규칙 55종'!H19*'스킬 500종'!L143*'스킬 500종'!M143/'효과 규칙 55종'!D19+'효과 규칙 55종'!H30*'스킬 500종'!O143*'스킬 500종'!P143/'효과 규칙 55종'!D30+'효과 규칙 55종'!H20*'스킬 500종'!R143*'스킬 500종'!S143/'효과 규칙 55종'!D20+'효과 규칙 55종'!H21*'스킬 500종'!U143*'스킬 500종'!V143/'효과 규칙 55종'!D21)</x:f>
        <x:v>1.581496</x:v>
      </x:c>
      <x:c r="E143" s="9" t="n">
        <x:f>C143*SUM('스킬 500종'!E143:H143)</x:f>
        <x:v>1.1</x:v>
      </x:c>
      <x:c r="F143" s="9" t="n">
        <x:f>C143*1.4*SUM('스킬 500종'!I143:J143)</x:f>
        <x:v>0</x:v>
      </x:c>
      <x:c r="G143" s="9" t="n">
        <x:f>SUM(D143:F143)</x:f>
        <x:v>2.681496</x:v>
      </x:c>
      <x:c r="H143" s="9" t="n">
        <x:f>1.1+0.8*'스킬 500종'!W143</x:f>
        <x:v>2.7</x:v>
      </x:c>
      <x:c r="I143" s="10" t="n">
        <x:f>G143/H143</x:f>
        <x:v>0.9931466666666666</x:v>
      </x:c>
      <x:c r="J143" s="1" t="str">
        <x:f>IF(OR('스킬 500종'!I143&lt;0,'스킬 500종'!J143&lt;0,AND('스킬 500종'!I143&gt;0,'스킬 500종'!J143&gt;0),AND(OR('스킬 500종'!K143="HEAL",'스킬 500종'!N143="HEAL",'스킬 500종'!Q143="HEAL",'스킬 500종'!T143="HEAL"),'스킬 500종'!I143=0,'스킬 500종'!J143=0),AND('스킬 500종'!I143&gt;0,OR('스킬 500종'!K143="CONTINUOUS_HEAL",'스킬 500종'!N143="CONTINUOUS_HEAL",'스킬 500종'!Q143="CONTINUOUS_HEAL",'스킬 500종'!T143="CONTINUOUS_HEAL"))),"회복 기준 오류",IF(AND(G143&lt;=H143+0.00001,'스킬 500종'!W143&gt;=1,'스킬 500종'!W143&lt;=5),"정상","초과"))</x:f>
        <x:v>정상</x:v>
      </x:c>
    </x:row>
    <x:row r="144" ht="30" customHeight="1">
      <x:c r="A144" s="1" t="str">
        <x:f>'스킬 500종'!A144</x:f>
        <x:v>SKILL_0138</x:v>
      </x:c>
      <x:c r="B144" s="1" t="str">
        <x:f>'스킬 500종'!B144</x:f>
        <x:v>방어력 관통 · 기절 — 스턴 · 추가 피해의 일격</x:v>
      </x:c>
      <x:c r="C144" s="1" t="n">
        <x:f>1</x:f>
        <x:v>1</x:v>
      </x:c>
      <x:c r="D144" s="9" t="n">
        <x:f>C144*1.16*('효과 규칙 55종'!H55*'스킬 500종'!L144*'스킬 500종'!M144/'효과 규칙 55종'!D55+'효과 규칙 55종'!H22*'스킬 500종'!O144*'스킬 500종'!P144/'효과 규칙 55종'!D22+'효과 규칙 55종'!H33*'스킬 500종'!R144*'스킬 500종'!S144/'효과 규칙 55종'!D33)</x:f>
        <x:v>2.4128</x:v>
      </x:c>
      <x:c r="E144" s="9" t="n">
        <x:f>C144*SUM('스킬 500종'!E144:H144)</x:f>
        <x:v>1.1</x:v>
      </x:c>
      <x:c r="F144" s="9" t="n">
        <x:f>C144*1.4*SUM('스킬 500종'!I144:J144)</x:f>
        <x:v>0</x:v>
      </x:c>
      <x:c r="G144" s="9" t="n">
        <x:f>SUM(D144:F144)</x:f>
        <x:v>3.5128</x:v>
      </x:c>
      <x:c r="H144" s="9" t="n">
        <x:f>1.1+0.8*'스킬 500종'!W144</x:f>
        <x:v>4.300000000000001</x:v>
      </x:c>
      <x:c r="I144" s="10" t="n">
        <x:f>G144/H144</x:f>
        <x:v>0.8169302325581393</x:v>
      </x:c>
      <x:c r="J144" s="1" t="str">
        <x:f>IF(OR('스킬 500종'!I144&lt;0,'스킬 500종'!J144&lt;0,AND('스킬 500종'!I144&gt;0,'스킬 500종'!J144&gt;0),AND(OR('스킬 500종'!K144="HEAL",'스킬 500종'!N144="HEAL",'스킬 500종'!Q144="HEAL",'스킬 500종'!T144="HEAL"),'스킬 500종'!I144=0,'스킬 500종'!J144=0),AND('스킬 500종'!I144&gt;0,OR('스킬 500종'!K144="CONTINUOUS_HEAL",'스킬 500종'!N144="CONTINUOUS_HEAL",'스킬 500종'!Q144="CONTINUOUS_HEAL",'스킬 500종'!T144="CONTINUOUS_HEAL"))),"회복 기준 오류",IF(AND(G144&lt;=H144+0.00001,'스킬 500종'!W144&gt;=1,'스킬 500종'!W144&lt;=5),"정상","초과"))</x:f>
        <x:v>정상</x:v>
      </x:c>
    </x:row>
    <x:row r="145" ht="30" customHeight="1">
      <x:c r="A145" s="1" t="str">
        <x:f>'스킬 500종'!A145</x:f>
        <x:v>SKILL_0139</x:v>
      </x:c>
      <x:c r="B145" s="1" t="str">
        <x:f>'스킬 500종'!B145</x:f>
        <x:v>저주 · 회복 불가 · 공격력 감소 · 출혈의 일격</x:v>
      </x:c>
      <x:c r="C145" s="1" t="n">
        <x:f>2.4</x:f>
        <x:v>2.4</x:v>
      </x:c>
      <x:c r="D145" s="9" t="n">
        <x:f>C145*1.24*('효과 규칙 55종'!H31*'스킬 500종'!L145*'스킬 500종'!M145/'효과 규칙 55종'!D31+'효과 규칙 55종'!H25*'스킬 500종'!O145*'스킬 500종'!P145/'효과 규칙 55종'!D25+'효과 규칙 55종'!H18*'스킬 500종'!R145*'스킬 500종'!S145/'효과 규칙 55종'!D18+'효과 규칙 55종'!H29*'스킬 500종'!U145*'스킬 500종'!V145/'효과 규칙 55종'!D29)</x:f>
        <x:v>3.30978816</x:v>
      </x:c>
      <x:c r="E145" s="9" t="n">
        <x:f>C145*SUM('스킬 500종'!E145:H145)</x:f>
        <x:v>1.44</x:v>
      </x:c>
      <x:c r="F145" s="9" t="n">
        <x:f>C145*1.4*SUM('스킬 500종'!I145:J145)</x:f>
        <x:v>0</x:v>
      </x:c>
      <x:c r="G145" s="9" t="n">
        <x:f>SUM(D145:F145)</x:f>
        <x:v>4.74978816</x:v>
      </x:c>
      <x:c r="H145" s="9" t="n">
        <x:f>1.1+0.8*'스킬 500종'!W145</x:f>
        <x:v>5.1</x:v>
      </x:c>
      <x:c r="I145" s="10" t="n">
        <x:f>G145/H145</x:f>
        <x:v>0.9313310117647059</x:v>
      </x:c>
      <x:c r="J145" s="1" t="str">
        <x:f>IF(OR('스킬 500종'!I145&lt;0,'스킬 500종'!J145&lt;0,AND('스킬 500종'!I145&gt;0,'스킬 500종'!J145&gt;0),AND(OR('스킬 500종'!K145="HEAL",'스킬 500종'!N145="HEAL",'스킬 500종'!Q145="HEAL",'스킬 500종'!T145="HEAL"),'스킬 500종'!I145=0,'스킬 500종'!J145=0),AND('스킬 500종'!I145&gt;0,OR('스킬 500종'!K145="CONTINUOUS_HEAL",'스킬 500종'!N145="CONTINUOUS_HEAL",'스킬 500종'!Q145="CONTINUOUS_HEAL",'스킬 500종'!T145="CONTINUOUS_HEAL"))),"회복 기준 오류",IF(AND(G145&lt;=H145+0.00001,'스킬 500종'!W145&gt;=1,'스킬 500종'!W145&lt;=5),"정상","초과"))</x:f>
        <x:v>정상</x:v>
      </x:c>
    </x:row>
    <x:row r="146" ht="30" customHeight="1">
      <x:c r="A146" s="1" t="str">
        <x:f>'스킬 500종'!A146</x:f>
        <x:v>SKILL_0140</x:v>
      </x:c>
      <x:c r="B146" s="1" t="str">
        <x:f>'스킬 500종'!B146</x:f>
        <x:v>방어력 감소 · 방어력 관통 · 흡혈 · 상처의 일격</x:v>
      </x:c>
      <x:c r="C146" s="1" t="n">
        <x:f>1</x:f>
        <x:v>1</x:v>
      </x:c>
      <x:c r="D146" s="9" t="n">
        <x:f>C146*1.24*('효과 규칙 55종'!H19*'스킬 500종'!L146*'스킬 500종'!M146/'효과 규칙 55종'!D19+'효과 규칙 55종'!H55*'스킬 500종'!O146*'스킬 500종'!P146/'효과 규칙 55종'!D55+'효과 규칙 55종'!H36*'스킬 500종'!R146*'스킬 500종'!S146/'효과 규칙 55종'!D36+'효과 규칙 55종'!H32*'스킬 500종'!U146*'스킬 500종'!V146/'효과 규칙 55종'!D32)</x:f>
        <x:v>1.55155</x:v>
      </x:c>
      <x:c r="E146" s="9" t="n">
        <x:f>C146*SUM('스킬 500종'!E146:H146)</x:f>
        <x:v>1.1</x:v>
      </x:c>
      <x:c r="F146" s="9" t="n">
        <x:f>C146*1.4*SUM('스킬 500종'!I146:J146)</x:f>
        <x:v>0</x:v>
      </x:c>
      <x:c r="G146" s="9" t="n">
        <x:f>SUM(D146:F146)</x:f>
        <x:v>2.6515500000000003</x:v>
      </x:c>
      <x:c r="H146" s="9" t="n">
        <x:f>1.1+0.8*'스킬 500종'!W146</x:f>
        <x:v>2.7</x:v>
      </x:c>
      <x:c r="I146" s="10" t="n">
        <x:f>G146/H146</x:f>
        <x:v>0.9820555555555556</x:v>
      </x:c>
      <x:c r="J146" s="1" t="str">
        <x:f>IF(OR('스킬 500종'!I146&lt;0,'스킬 500종'!J146&lt;0,AND('스킬 500종'!I146&gt;0,'스킬 500종'!J146&gt;0),AND(OR('스킬 500종'!K146="HEAL",'스킬 500종'!N146="HEAL",'스킬 500종'!Q146="HEAL",'스킬 500종'!T146="HEAL"),'스킬 500종'!I146=0,'스킬 500종'!J146=0),AND('스킬 500종'!I146&gt;0,OR('스킬 500종'!K146="CONTINUOUS_HEAL",'스킬 500종'!N146="CONTINUOUS_HEAL",'스킬 500종'!Q146="CONTINUOUS_HEAL",'스킬 500종'!T146="CONTINUOUS_HEAL"))),"회복 기준 오류",IF(AND(G146&lt;=H146+0.00001,'스킬 500종'!W146&gt;=1,'스킬 500종'!W146&lt;=5),"정상","초과"))</x:f>
        <x:v>정상</x:v>
      </x:c>
    </x:row>
    <x:row r="147" ht="30" customHeight="1">
      <x:c r="A147" s="1" t="str">
        <x:f>'스킬 500종'!A147</x:f>
        <x:v>SKILL_0141</x:v>
      </x:c>
      <x:c r="B147" s="1" t="str">
        <x:f>'스킬 500종'!B147</x:f>
        <x:v>출혈 · 부활 불가 · 도발 · 공격력 감소의 일격</x:v>
      </x:c>
      <x:c r="C147" s="1" t="n">
        <x:f>1</x:f>
        <x:v>1</x:v>
      </x:c>
      <x:c r="D147" s="9" t="n">
        <x:f>C147*1.24*('효과 규칙 55종'!H29*'스킬 500종'!L147*'스킬 500종'!M147/'효과 규칙 55종'!D29+'효과 규칙 55종'!H48*'스킬 500종'!O147*'스킬 500종'!P147/'효과 규칙 55종'!D48+'효과 규칙 55종'!H24*'스킬 500종'!R147*'스킬 500종'!S147/'효과 규칙 55종'!D24+'효과 규칙 55종'!H18*'스킬 500종'!U147*'스킬 500종'!V147/'효과 규칙 55종'!D18)</x:f>
        <x:v>2.3293648</x:v>
      </x:c>
      <x:c r="E147" s="9" t="n">
        <x:f>C147*SUM('스킬 500종'!E147:H147)</x:f>
        <x:v>1.1</x:v>
      </x:c>
      <x:c r="F147" s="9" t="n">
        <x:f>C147*1.4*SUM('스킬 500종'!I147:J147)</x:f>
        <x:v>0</x:v>
      </x:c>
      <x:c r="G147" s="9" t="n">
        <x:f>SUM(D147:F147)</x:f>
        <x:v>3.4293648</x:v>
      </x:c>
      <x:c r="H147" s="9" t="n">
        <x:f>1.1+0.8*'스킬 500종'!W147</x:f>
        <x:v>3.5000000000000004</x:v>
      </x:c>
      <x:c r="I147" s="10" t="n">
        <x:f>G147/H147</x:f>
        <x:v>0.9798185142857142</x:v>
      </x:c>
      <x:c r="J147" s="1" t="str">
        <x:f>IF(OR('스킬 500종'!I147&lt;0,'스킬 500종'!J147&lt;0,AND('스킬 500종'!I147&gt;0,'스킬 500종'!J147&gt;0),AND(OR('스킬 500종'!K147="HEAL",'스킬 500종'!N147="HEAL",'스킬 500종'!Q147="HEAL",'스킬 500종'!T147="HEAL"),'스킬 500종'!I147=0,'스킬 500종'!J147=0),AND('스킬 500종'!I147&gt;0,OR('스킬 500종'!K147="CONTINUOUS_HEAL",'스킬 500종'!N147="CONTINUOUS_HEAL",'스킬 500종'!Q147="CONTINUOUS_HEAL",'스킬 500종'!T147="CONTINUOUS_HEAL"))),"회복 기준 오류",IF(AND(G147&lt;=H147+0.00001,'스킬 500종'!W147&gt;=1,'스킬 500종'!W147&lt;=5),"정상","초과"))</x:f>
        <x:v>정상</x:v>
      </x:c>
    </x:row>
    <x:row r="148" ht="30" customHeight="1">
      <x:c r="A148" s="1" t="str">
        <x:f>'스킬 500종'!A148</x:f>
        <x:v>SKILL_0142</x:v>
      </x:c>
      <x:c r="B148" s="1" t="str">
        <x:f>'스킬 500종'!B148</x:f>
        <x:v>추가 피해 · 표적 · 반격 불가 · 기절 — 스턴의 일격</x:v>
      </x:c>
      <x:c r="C148" s="1" t="n">
        <x:f>2.4</x:f>
        <x:v>2.4</x:v>
      </x:c>
      <x:c r="D148" s="9" t="n">
        <x:f>C148*1.24*('효과 규칙 55종'!H33*'스킬 500종'!L148*'스킬 500종'!M148/'효과 규칙 55종'!D33+'효과 규칙 55종'!H30*'스킬 500종'!O148*'스킬 500종'!P148/'효과 규칙 55종'!D30+'효과 규칙 55종'!H27*'스킬 500종'!R148*'스킬 500종'!S148/'효과 규칙 55종'!D27+'효과 규칙 55종'!H22*'스킬 500종'!U148*'스킬 500종'!V148/'효과 규칙 55종'!D22)</x:f>
        <x:v>3.6159590400000003</x:v>
      </x:c>
      <x:c r="E148" s="9" t="n">
        <x:f>C148*SUM('스킬 500종'!E148:H148)</x:f>
        <x:v>0.96</x:v>
      </x:c>
      <x:c r="F148" s="9" t="n">
        <x:f>C148*1.4*SUM('스킬 500종'!I148:J148)</x:f>
        <x:v>0</x:v>
      </x:c>
      <x:c r="G148" s="9" t="n">
        <x:f>SUM(D148:F148)</x:f>
        <x:v>4.575959040000001</x:v>
      </x:c>
      <x:c r="H148" s="9" t="n">
        <x:f>1.1+0.8*'스킬 500종'!W148</x:f>
        <x:v>5.1</x:v>
      </x:c>
      <x:c r="I148" s="10" t="n">
        <x:f>G148/H148</x:f>
        <x:v>0.8972468705882355</x:v>
      </x:c>
      <x:c r="J148" s="1" t="str">
        <x:f>IF(OR('스킬 500종'!I148&lt;0,'스킬 500종'!J148&lt;0,AND('스킬 500종'!I148&gt;0,'스킬 500종'!J148&gt;0),AND(OR('스킬 500종'!K148="HEAL",'스킬 500종'!N148="HEAL",'스킬 500종'!Q148="HEAL",'스킬 500종'!T148="HEAL"),'스킬 500종'!I148=0,'스킬 500종'!J148=0),AND('스킬 500종'!I148&gt;0,OR('스킬 500종'!K148="CONTINUOUS_HEAL",'스킬 500종'!N148="CONTINUOUS_HEAL",'스킬 500종'!Q148="CONTINUOUS_HEAL",'스킬 500종'!T148="CONTINUOUS_HEAL"))),"회복 기준 오류",IF(AND(G148&lt;=H148+0.00001,'스킬 500종'!W148&gt;=1,'스킬 500종'!W148&lt;=5),"정상","초과"))</x:f>
        <x:v>정상</x:v>
      </x:c>
    </x:row>
    <x:row r="149" ht="30" customHeight="1">
      <x:c r="A149" s="1" t="str">
        <x:f>'스킬 500종'!A149</x:f>
        <x:v>SKILL_0143</x:v>
      </x:c>
      <x:c r="B149" s="1" t="str">
        <x:f>'스킬 500종'!B149</x:f>
        <x:v>도발 · 스킬 쿨타임 증가의 일격</x:v>
      </x:c>
      <x:c r="C149" s="1" t="n">
        <x:f>1</x:f>
        <x:v>1</x:v>
      </x:c>
      <x:c r="D149" s="9" t="n">
        <x:f>C149*1.08*('효과 규칙 55종'!H24*'스킬 500종'!L149*'스킬 500종'!M149/'효과 규칙 55종'!D24+'효과 규칙 55종'!H54*'스킬 500종'!O149*'스킬 500종'!P149/'효과 규칙 55종'!D54)</x:f>
        <x:v>2.43</x:v>
      </x:c>
      <x:c r="E149" s="9" t="n">
        <x:f>C149*SUM('스킬 500종'!E149:H149)</x:f>
        <x:v>1.1</x:v>
      </x:c>
      <x:c r="F149" s="9" t="n">
        <x:f>C149*1.4*SUM('스킬 500종'!I149:J149)</x:f>
        <x:v>0</x:v>
      </x:c>
      <x:c r="G149" s="9" t="n">
        <x:f>SUM(D149:F149)</x:f>
        <x:v>3.5300000000000002</x:v>
      </x:c>
      <x:c r="H149" s="9" t="n">
        <x:f>1.1+0.8*'스킬 500종'!W149</x:f>
        <x:v>4.300000000000001</x:v>
      </x:c>
      <x:c r="I149" s="10" t="n">
        <x:f>G149/H149</x:f>
        <x:v>0.8209302325581395</x:v>
      </x:c>
      <x:c r="J149" s="1" t="str">
        <x:f>IF(OR('스킬 500종'!I149&lt;0,'스킬 500종'!J149&lt;0,AND('스킬 500종'!I149&gt;0,'스킬 500종'!J149&gt;0),AND(OR('스킬 500종'!K149="HEAL",'스킬 500종'!N149="HEAL",'스킬 500종'!Q149="HEAL",'스킬 500종'!T149="HEAL"),'스킬 500종'!I149=0,'스킬 500종'!J149=0),AND('스킬 500종'!I149&gt;0,OR('스킬 500종'!K149="CONTINUOUS_HEAL",'스킬 500종'!N149="CONTINUOUS_HEAL",'스킬 500종'!Q149="CONTINUOUS_HEAL",'스킬 500종'!T149="CONTINUOUS_HEAL"))),"회복 기준 오류",IF(AND(G149&lt;=H149+0.00001,'스킬 500종'!W149&gt;=1,'스킬 500종'!W149&lt;=5),"정상","초과"))</x:f>
        <x:v>정상</x:v>
      </x:c>
    </x:row>
    <x:row r="150" ht="30" customHeight="1">
      <x:c r="A150" s="1" t="str">
        <x:f>'스킬 500종'!A150</x:f>
        <x:v>SKILL_0144</x:v>
      </x:c>
      <x:c r="B150" s="1" t="str">
        <x:f>'스킬 500종'!B150</x:f>
        <x:v>약화효과 지속시간 증가 · 중독 · 속도 감소 · 표적의 일격</x:v>
      </x:c>
      <x:c r="C150" s="1" t="n">
        <x:f>1</x:f>
        <x:v>1</x:v>
      </x:c>
      <x:c r="D150" s="9" t="n">
        <x:f>C150*1.24*('효과 규칙 55종'!H60*'스킬 500종'!L150*'스킬 500종'!M150/'효과 규칙 55종'!D60+'효과 규칙 55종'!H28*'스킬 500종'!O150*'스킬 500종'!P150/'효과 규칙 55종'!D28+'효과 규칙 55종'!H20*'스킬 500종'!R150*'스킬 500종'!S150/'효과 규칙 55종'!D20+'효과 규칙 55종'!H30*'스킬 500종'!U150*'스킬 500종'!V150/'효과 규칙 55종'!D30)</x:f>
        <x:v>1.898316</x:v>
      </x:c>
      <x:c r="E150" s="9" t="n">
        <x:f>C150*SUM('스킬 500종'!E150:H150)</x:f>
        <x:v>1.1</x:v>
      </x:c>
      <x:c r="F150" s="9" t="n">
        <x:f>C150*1.4*SUM('스킬 500종'!I150:J150)</x:f>
        <x:v>0</x:v>
      </x:c>
      <x:c r="G150" s="9" t="n">
        <x:f>SUM(D150:F150)</x:f>
        <x:v>2.998316</x:v>
      </x:c>
      <x:c r="H150" s="9" t="n">
        <x:f>1.1+0.8*'스킬 500종'!W150</x:f>
        <x:v>3.5000000000000004</x:v>
      </x:c>
      <x:c r="I150" s="10" t="n">
        <x:f>G150/H150</x:f>
        <x:v>0.8566617142857141</x:v>
      </x:c>
      <x:c r="J150" s="1" t="str">
        <x:f>IF(OR('스킬 500종'!I150&lt;0,'스킬 500종'!J150&lt;0,AND('스킬 500종'!I150&gt;0,'스킬 500종'!J150&gt;0),AND(OR('스킬 500종'!K150="HEAL",'스킬 500종'!N150="HEAL",'스킬 500종'!Q150="HEAL",'스킬 500종'!T150="HEAL"),'스킬 500종'!I150=0,'스킬 500종'!J150=0),AND('스킬 500종'!I150&gt;0,OR('스킬 500종'!K150="CONTINUOUS_HEAL",'스킬 500종'!N150="CONTINUOUS_HEAL",'스킬 500종'!Q150="CONTINUOUS_HEAL",'스킬 500종'!T150="CONTINUOUS_HEAL"))),"회복 기준 오류",IF(AND(G150&lt;=H150+0.00001,'스킬 500종'!W150&gt;=1,'스킬 500종'!W150&lt;=5),"정상","초과"))</x:f>
        <x:v>정상</x:v>
      </x:c>
    </x:row>
    <x:row r="151" ht="30" customHeight="1">
      <x:c r="A151" s="1" t="str">
        <x:f>'스킬 500종'!A151</x:f>
        <x:v>SKILL_0145</x:v>
      </x:c>
      <x:c r="B151" s="1" t="str">
        <x:f>'스킬 500종'!B151</x:f>
        <x:v>속도 감소 · 상처의 일격</x:v>
      </x:c>
      <x:c r="C151" s="1" t="n">
        <x:f>2.4</x:f>
        <x:v>2.4</x:v>
      </x:c>
      <x:c r="D151" s="9" t="n">
        <x:f>C151*1.08*('효과 규칙 55종'!H20*'스킬 500종'!L151*'스킬 500종'!M151/'효과 규칙 55종'!D20+'효과 규칙 55종'!H32*'스킬 500종'!O151*'스킬 500종'!P151/'효과 규칙 55종'!D32)</x:f>
        <x:v>3.1946399999999997</x:v>
      </x:c>
      <x:c r="E151" s="9" t="n">
        <x:f>C151*SUM('스킬 500종'!E151:H151)</x:f>
        <x:v>1.56</x:v>
      </x:c>
      <x:c r="F151" s="9" t="n">
        <x:f>C151*1.4*SUM('스킬 500종'!I151:J151)</x:f>
        <x:v>0</x:v>
      </x:c>
      <x:c r="G151" s="9" t="n">
        <x:f>SUM(D151:F151)</x:f>
        <x:v>4.75464</x:v>
      </x:c>
      <x:c r="H151" s="9" t="n">
        <x:f>1.1+0.8*'스킬 500종'!W151</x:f>
        <x:v>5.1</x:v>
      </x:c>
      <x:c r="I151" s="10" t="n">
        <x:f>G151/H151</x:f>
        <x:v>0.9322823529411766</x:v>
      </x:c>
      <x:c r="J151" s="1" t="str">
        <x:f>IF(OR('스킬 500종'!I151&lt;0,'스킬 500종'!J151&lt;0,AND('스킬 500종'!I151&gt;0,'스킬 500종'!J151&gt;0),AND(OR('스킬 500종'!K151="HEAL",'스킬 500종'!N151="HEAL",'스킬 500종'!Q151="HEAL",'스킬 500종'!T151="HEAL"),'스킬 500종'!I151=0,'스킬 500종'!J151=0),AND('스킬 500종'!I151&gt;0,OR('스킬 500종'!K151="CONTINUOUS_HEAL",'스킬 500종'!N151="CONTINUOUS_HEAL",'스킬 500종'!Q151="CONTINUOUS_HEAL",'스킬 500종'!T151="CONTINUOUS_HEAL"))),"회복 기준 오류",IF(AND(G151&lt;=H151+0.00001,'스킬 500종'!W151&gt;=1,'스킬 500종'!W151&lt;=5),"정상","초과"))</x:f>
        <x:v>정상</x:v>
      </x:c>
    </x:row>
    <x:row r="152" ht="30" customHeight="1">
      <x:c r="A152" s="1" t="str">
        <x:f>'스킬 500종'!A152</x:f>
        <x:v>SKILL_0146</x:v>
      </x:c>
      <x:c r="B152" s="1" t="str">
        <x:f>'스킬 500종'!B152</x:f>
        <x:v>강화효과 지속시간 감소 · 명중 감소 · 속도 감소의 일격</x:v>
      </x:c>
      <x:c r="C152" s="1" t="n">
        <x:f>1</x:f>
        <x:v>1</x:v>
      </x:c>
      <x:c r="D152" s="9" t="n">
        <x:f>C152*1.16*('효과 규칙 55종'!H59*'스킬 500종'!L152*'스킬 500종'!M152/'효과 규칙 55종'!D59+'효과 규칙 55종'!H21*'스킬 500종'!O152*'스킬 500종'!P152/'효과 규칙 55종'!D21+'효과 규칙 55종'!H20*'스킬 500종'!R152*'스킬 500종'!S152/'효과 규칙 55종'!D20)</x:f>
        <x:v>1.6518399999999998</x:v>
      </x:c>
      <x:c r="E152" s="9" t="n">
        <x:f>C152*SUM('스킬 500종'!E152:H152)</x:f>
        <x:v>1.1</x:v>
      </x:c>
      <x:c r="F152" s="9" t="n">
        <x:f>C152*1.4*SUM('스킬 500종'!I152:J152)</x:f>
        <x:v>0</x:v>
      </x:c>
      <x:c r="G152" s="9" t="n">
        <x:f>SUM(D152:F152)</x:f>
        <x:v>2.7518399999999996</x:v>
      </x:c>
      <x:c r="H152" s="9" t="n">
        <x:f>1.1+0.8*'스킬 500종'!W152</x:f>
        <x:v>3.5000000000000004</x:v>
      </x:c>
      <x:c r="I152" s="10" t="n">
        <x:f>G152/H152</x:f>
        <x:v>0.7862399999999998</x:v>
      </x:c>
      <x:c r="J152" s="1" t="str">
        <x:f>IF(OR('스킬 500종'!I152&lt;0,'스킬 500종'!J152&lt;0,AND('스킬 500종'!I152&gt;0,'스킬 500종'!J152&gt;0),AND(OR('스킬 500종'!K152="HEAL",'스킬 500종'!N152="HEAL",'스킬 500종'!Q152="HEAL",'스킬 500종'!T152="HEAL"),'스킬 500종'!I152=0,'스킬 500종'!J152=0),AND('스킬 500종'!I152&gt;0,OR('스킬 500종'!K152="CONTINUOUS_HEAL",'스킬 500종'!N152="CONTINUOUS_HEAL",'스킬 500종'!Q152="CONTINUOUS_HEAL",'스킬 500종'!T152="CONTINUOUS_HEAL"))),"회복 기준 오류",IF(AND(G152&lt;=H152+0.00001,'스킬 500종'!W152&gt;=1,'스킬 500종'!W152&lt;=5),"정상","초과"))</x:f>
        <x:v>정상</x:v>
      </x:c>
    </x:row>
    <x:row r="153" ht="30" customHeight="1">
      <x:c r="A153" s="1" t="str">
        <x:f>'스킬 500종'!A153</x:f>
        <x:v>SKILL_0147</x:v>
      </x:c>
      <x:c r="B153" s="1" t="str">
        <x:f>'스킬 500종'!B153</x:f>
        <x:v>출혈 · 부활 불가 · 저주의 일격</x:v>
      </x:c>
      <x:c r="C153" s="1" t="n">
        <x:f>1</x:f>
        <x:v>1</x:v>
      </x:c>
      <x:c r="D153" s="9" t="n">
        <x:f>C153*1.16*('효과 규칙 55종'!H29*'스킬 500종'!L153*'스킬 500종'!M153/'효과 규칙 55종'!D29+'효과 규칙 55종'!H48*'스킬 500종'!O153*'스킬 500종'!P153/'효과 규칙 55종'!D48+'효과 규칙 55종'!H31*'스킬 500종'!R153*'스킬 500종'!S153/'효과 규칙 55종'!D31)</x:f>
        <x:v>1.89312</x:v>
      </x:c>
      <x:c r="E153" s="9" t="n">
        <x:f>C153*SUM('스킬 500종'!E153:H153)</x:f>
        <x:v>1.1</x:v>
      </x:c>
      <x:c r="F153" s="9" t="n">
        <x:f>C153*1.4*SUM('스킬 500종'!I153:J153)</x:f>
        <x:v>0</x:v>
      </x:c>
      <x:c r="G153" s="9" t="n">
        <x:f>SUM(D153:F153)</x:f>
        <x:v>2.9931200000000002</x:v>
      </x:c>
      <x:c r="H153" s="9" t="n">
        <x:f>1.1+0.8*'스킬 500종'!W153</x:f>
        <x:v>3.5000000000000004</x:v>
      </x:c>
      <x:c r="I153" s="10" t="n">
        <x:f>G153/H153</x:f>
        <x:v>0.8551771428571429</x:v>
      </x:c>
      <x:c r="J153" s="1" t="str">
        <x:f>IF(OR('스킬 500종'!I153&lt;0,'스킬 500종'!J153&lt;0,AND('스킬 500종'!I153&gt;0,'스킬 500종'!J153&gt;0),AND(OR('스킬 500종'!K153="HEAL",'스킬 500종'!N153="HEAL",'스킬 500종'!Q153="HEAL",'스킬 500종'!T153="HEAL"),'스킬 500종'!I153=0,'스킬 500종'!J153=0),AND('스킬 500종'!I153&gt;0,OR('스킬 500종'!K153="CONTINUOUS_HEAL",'스킬 500종'!N153="CONTINUOUS_HEAL",'스킬 500종'!Q153="CONTINUOUS_HEAL",'스킬 500종'!T153="CONTINUOUS_HEAL"))),"회복 기준 오류",IF(AND(G153&lt;=H153+0.00001,'스킬 500종'!W153&gt;=1,'스킬 500종'!W153&lt;=5),"정상","초과"))</x:f>
        <x:v>정상</x:v>
      </x:c>
    </x:row>
    <x:row r="154" ht="30" customHeight="1">
      <x:c r="A154" s="1" t="str">
        <x:f>'스킬 500종'!A154</x:f>
        <x:v>SKILL_0148</x:v>
      </x:c>
      <x:c r="B154" s="1" t="str">
        <x:f>'스킬 500종'!B154</x:f>
        <x:v>부활 불가 · 약화효과 지속시간 증가의 일격</x:v>
      </x:c>
      <x:c r="C154" s="1" t="n">
        <x:f>2.4</x:f>
        <x:v>2.4</x:v>
      </x:c>
      <x:c r="D154" s="9" t="n">
        <x:f>C154*1.08*('효과 규칙 55종'!H48*'스킬 500종'!L154*'스킬 500종'!M154/'효과 규칙 55종'!D48+'효과 규칙 55종'!H60*'스킬 500종'!O154*'스킬 500종'!P154/'효과 규칙 55종'!D60)</x:f>
        <x:v>3.5380799999999994</x:v>
      </x:c>
      <x:c r="E154" s="9" t="n">
        <x:f>C154*SUM('스킬 500종'!E154:H154)</x:f>
        <x:v>1.2</x:v>
      </x:c>
      <x:c r="F154" s="9" t="n">
        <x:f>C154*1.4*SUM('스킬 500종'!I154:J154)</x:f>
        <x:v>0</x:v>
      </x:c>
      <x:c r="G154" s="9" t="n">
        <x:f>SUM(D154:F154)</x:f>
        <x:v>4.738079999999999</x:v>
      </x:c>
      <x:c r="H154" s="9" t="n">
        <x:f>1.1+0.8*'스킬 500종'!W154</x:f>
        <x:v>5.1</x:v>
      </x:c>
      <x:c r="I154" s="10" t="n">
        <x:f>G154/H154</x:f>
        <x:v>0.929035294117647</x:v>
      </x:c>
      <x:c r="J154" s="1" t="str">
        <x:f>IF(OR('스킬 500종'!I154&lt;0,'스킬 500종'!J154&lt;0,AND('스킬 500종'!I154&gt;0,'스킬 500종'!J154&gt;0),AND(OR('스킬 500종'!K154="HEAL",'스킬 500종'!N154="HEAL",'스킬 500종'!Q154="HEAL",'스킬 500종'!T154="HEAL"),'스킬 500종'!I154=0,'스킬 500종'!J154=0),AND('스킬 500종'!I154&gt;0,OR('스킬 500종'!K154="CONTINUOUS_HEAL",'스킬 500종'!N154="CONTINUOUS_HEAL",'스킬 500종'!Q154="CONTINUOUS_HEAL",'스킬 500종'!T154="CONTINUOUS_HEAL"))),"회복 기준 오류",IF(AND(G154&lt;=H154+0.00001,'스킬 500종'!W154&gt;=1,'스킬 500종'!W154&lt;=5),"정상","초과"))</x:f>
        <x:v>정상</x:v>
      </x:c>
    </x:row>
    <x:row r="155" ht="30" customHeight="1">
      <x:c r="A155" s="1" t="str">
        <x:f>'스킬 500종'!A155</x:f>
        <x:v>SKILL_0149</x:v>
      </x:c>
      <x:c r="B155" s="1" t="str">
        <x:f>'스킬 500종'!B155</x:f>
        <x:v>강화 불가 · 출혈 · 명중 감소의 일격</x:v>
      </x:c>
      <x:c r="C155" s="1" t="n">
        <x:f>1</x:f>
        <x:v>1</x:v>
      </x:c>
      <x:c r="D155" s="9" t="n">
        <x:f>C155*1.16*('효과 규칙 55종'!H26*'스킬 500종'!L155*'스킬 500종'!M155/'효과 규칙 55종'!D26+'효과 규칙 55종'!H29*'스킬 500종'!O155*'스킬 500종'!P155/'효과 규칙 55종'!D29+'효과 규칙 55종'!H21*'스킬 500종'!R155*'스킬 500종'!S155/'효과 규칙 55종'!D21)</x:f>
        <x:v>1.7260799999999998</x:v>
      </x:c>
      <x:c r="E155" s="9" t="n">
        <x:f>C155*SUM('스킬 500종'!E155:H155)</x:f>
        <x:v>1.1</x:v>
      </x:c>
      <x:c r="F155" s="9" t="n">
        <x:f>C155*1.4*SUM('스킬 500종'!I155:J155)</x:f>
        <x:v>0</x:v>
      </x:c>
      <x:c r="G155" s="9" t="n">
        <x:f>SUM(D155:F155)</x:f>
        <x:v>2.82608</x:v>
      </x:c>
      <x:c r="H155" s="9" t="n">
        <x:f>1.1+0.8*'스킬 500종'!W155</x:f>
        <x:v>3.5000000000000004</x:v>
      </x:c>
      <x:c r="I155" s="10" t="n">
        <x:f>G155/H155</x:f>
        <x:v>0.8074514285714285</x:v>
      </x:c>
      <x:c r="J155" s="1" t="str">
        <x:f>IF(OR('스킬 500종'!I155&lt;0,'스킬 500종'!J155&lt;0,AND('스킬 500종'!I155&gt;0,'스킬 500종'!J155&gt;0),AND(OR('스킬 500종'!K155="HEAL",'스킬 500종'!N155="HEAL",'스킬 500종'!Q155="HEAL",'스킬 500종'!T155="HEAL"),'스킬 500종'!I155=0,'스킬 500종'!J155=0),AND('스킬 500종'!I155&gt;0,OR('스킬 500종'!K155="CONTINUOUS_HEAL",'스킬 500종'!N155="CONTINUOUS_HEAL",'스킬 500종'!Q155="CONTINUOUS_HEAL",'스킬 500종'!T155="CONTINUOUS_HEAL"))),"회복 기준 오류",IF(AND(G155&lt;=H155+0.00001,'스킬 500종'!W155&gt;=1,'스킬 500종'!W155&lt;=5),"정상","초과"))</x:f>
        <x:v>정상</x:v>
      </x:c>
    </x:row>
    <x:row r="156" ht="30" customHeight="1">
      <x:c r="A156" s="1" t="str">
        <x:f>'스킬 500종'!A156</x:f>
        <x:v>SKILL_0150</x:v>
      </x:c>
      <x:c r="B156" s="1" t="str">
        <x:f>'스킬 500종'!B156</x:f>
        <x:v>방어력 감소 · 도발 · 약화효과 전이의 일격</x:v>
      </x:c>
      <x:c r="C156" s="1" t="n">
        <x:f>1</x:f>
        <x:v>1</x:v>
      </x:c>
      <x:c r="D156" s="9" t="n">
        <x:f>C156*1.16*('효과 규칙 55종'!H19*'스킬 500종'!L156*'스킬 500종'!M156/'효과 규칙 55종'!D19+'효과 규칙 55종'!H24*'스킬 500종'!O156*'스킬 500종'!P156/'효과 규칙 55종'!D24+'효과 규칙 55종'!H61*'스킬 500종'!R156*'스킬 500종'!S156/'효과 규칙 55종'!D61)</x:f>
        <x:v>2.48704</x:v>
      </x:c>
      <x:c r="E156" s="9" t="n">
        <x:f>C156*SUM('스킬 500종'!E156:H156)</x:f>
        <x:v>1.1</x:v>
      </x:c>
      <x:c r="F156" s="9" t="n">
        <x:f>C156*1.4*SUM('스킬 500종'!I156:J156)</x:f>
        <x:v>0</x:v>
      </x:c>
      <x:c r="G156" s="9" t="n">
        <x:f>SUM(D156:F156)</x:f>
        <x:v>3.58704</x:v>
      </x:c>
      <x:c r="H156" s="9" t="n">
        <x:f>1.1+0.8*'스킬 500종'!W156</x:f>
        <x:v>4.300000000000001</x:v>
      </x:c>
      <x:c r="I156" s="10" t="n">
        <x:f>G156/H156</x:f>
        <x:v>0.8341953488372091</x:v>
      </x:c>
      <x:c r="J156" s="1" t="str">
        <x:f>IF(OR('스킬 500종'!I156&lt;0,'스킬 500종'!J156&lt;0,AND('스킬 500종'!I156&gt;0,'스킬 500종'!J156&gt;0),AND(OR('스킬 500종'!K156="HEAL",'스킬 500종'!N156="HEAL",'스킬 500종'!Q156="HEAL",'스킬 500종'!T156="HEAL"),'스킬 500종'!I156=0,'스킬 500종'!J156=0),AND('스킬 500종'!I156&gt;0,OR('스킬 500종'!K156="CONTINUOUS_HEAL",'스킬 500종'!N156="CONTINUOUS_HEAL",'스킬 500종'!Q156="CONTINUOUS_HEAL",'스킬 500종'!T156="CONTINUOUS_HEAL"))),"회복 기준 오류",IF(AND(G156&lt;=H156+0.00001,'스킬 500종'!W156&gt;=1,'스킬 500종'!W156&lt;=5),"정상","초과"))</x:f>
        <x:v>정상</x:v>
      </x:c>
    </x:row>
    <x:row r="157" ht="30" customHeight="1">
      <x:c r="A157" s="1" t="str">
        <x:f>'스킬 500종'!A157</x:f>
        <x:v>SKILL_0151</x:v>
      </x:c>
      <x:c r="B157" s="1" t="str">
        <x:f>'스킬 500종'!B157</x:f>
        <x:v>약화효과 전이 · 추가 공격의 일격</x:v>
      </x:c>
      <x:c r="C157" s="1" t="n">
        <x:f>1</x:f>
        <x:v>1</x:v>
      </x:c>
      <x:c r="D157" s="9" t="n">
        <x:f>C157*1.08*('효과 규칙 55종'!H61*'스킬 500종'!L157*'스킬 500종'!M157/'효과 규칙 55종'!D61+'효과 규칙 55종'!H50*'스킬 500종'!O157*'스킬 500종'!P157/'효과 규칙 55종'!D50)</x:f>
        <x:v>1.6038</x:v>
      </x:c>
      <x:c r="E157" s="9" t="n">
        <x:f>C157*SUM('스킬 500종'!E157:H157)</x:f>
        <x:v>1.1</x:v>
      </x:c>
      <x:c r="F157" s="9" t="n">
        <x:f>C157*1.4*SUM('스킬 500종'!I157:J157)</x:f>
        <x:v>0</x:v>
      </x:c>
      <x:c r="G157" s="9" t="n">
        <x:f>SUM(D157:F157)</x:f>
        <x:v>2.7038</x:v>
      </x:c>
      <x:c r="H157" s="9" t="n">
        <x:f>1.1+0.8*'스킬 500종'!W157</x:f>
        <x:v>3.5000000000000004</x:v>
      </x:c>
      <x:c r="I157" s="10" t="n">
        <x:f>G157/H157</x:f>
        <x:v>0.7725142857142857</x:v>
      </x:c>
      <x:c r="J157" s="1" t="str">
        <x:f>IF(OR('스킬 500종'!I157&lt;0,'스킬 500종'!J157&lt;0,AND('스킬 500종'!I157&gt;0,'스킬 500종'!J157&gt;0),AND(OR('스킬 500종'!K157="HEAL",'스킬 500종'!N157="HEAL",'스킬 500종'!Q157="HEAL",'스킬 500종'!T157="HEAL"),'스킬 500종'!I157=0,'스킬 500종'!J157=0),AND('스킬 500종'!I157&gt;0,OR('스킬 500종'!K157="CONTINUOUS_HEAL",'스킬 500종'!N157="CONTINUOUS_HEAL",'스킬 500종'!Q157="CONTINUOUS_HEAL",'스킬 500종'!T157="CONTINUOUS_HEAL"))),"회복 기준 오류",IF(AND(G157&lt;=H157+0.00001,'스킬 500종'!W157&gt;=1,'스킬 500종'!W157&lt;=5),"정상","초과"))</x:f>
        <x:v>정상</x:v>
      </x:c>
    </x:row>
    <x:row r="158" ht="30" customHeight="1">
      <x:c r="A158" s="1" t="str">
        <x:f>'스킬 500종'!A158</x:f>
        <x:v>SKILL_0152</x:v>
      </x:c>
      <x:c r="B158" s="1" t="str">
        <x:f>'스킬 500종'!B158</x:f>
        <x:v>부활 불가 · 강화효과 해제의 일격</x:v>
      </x:c>
      <x:c r="C158" s="1" t="n">
        <x:f>1</x:f>
        <x:v>1</x:v>
      </x:c>
      <x:c r="D158" s="9" t="n">
        <x:f>C158*1.08*('효과 규칙 55종'!H48*'스킬 500종'!L158*'스킬 500종'!M158/'효과 규칙 55종'!D48+'효과 규칙 55종'!H56*'스킬 500종'!O158*'스킬 500종'!P158/'효과 규칙 55종'!D56)</x:f>
        <x:v>1.7010000000000003</x:v>
      </x:c>
      <x:c r="E158" s="9" t="n">
        <x:f>C158*SUM('스킬 500종'!E158:H158)</x:f>
        <x:v>1.1</x:v>
      </x:c>
      <x:c r="F158" s="9" t="n">
        <x:f>C158*1.4*SUM('스킬 500종'!I158:J158)</x:f>
        <x:v>0</x:v>
      </x:c>
      <x:c r="G158" s="9" t="n">
        <x:f>SUM(D158:F158)</x:f>
        <x:v>2.801</x:v>
      </x:c>
      <x:c r="H158" s="9" t="n">
        <x:f>1.1+0.8*'스킬 500종'!W158</x:f>
        <x:v>3.5000000000000004</x:v>
      </x:c>
      <x:c r="I158" s="10" t="n">
        <x:f>G158/H158</x:f>
        <x:v>0.8002857142857143</x:v>
      </x:c>
      <x:c r="J158" s="1" t="str">
        <x:f>IF(OR('스킬 500종'!I158&lt;0,'스킬 500종'!J158&lt;0,AND('스킬 500종'!I158&gt;0,'스킬 500종'!J158&gt;0),AND(OR('스킬 500종'!K158="HEAL",'스킬 500종'!N158="HEAL",'스킬 500종'!Q158="HEAL",'스킬 500종'!T158="HEAL"),'스킬 500종'!I158=0,'스킬 500종'!J158=0),AND('스킬 500종'!I158&gt;0,OR('스킬 500종'!K158="CONTINUOUS_HEAL",'스킬 500종'!N158="CONTINUOUS_HEAL",'스킬 500종'!Q158="CONTINUOUS_HEAL",'스킬 500종'!T158="CONTINUOUS_HEAL"))),"회복 기준 오류",IF(AND(G158&lt;=H158+0.00001,'스킬 500종'!W158&gt;=1,'스킬 500종'!W158&lt;=5),"정상","초과"))</x:f>
        <x:v>정상</x:v>
      </x:c>
    </x:row>
    <x:row r="159" ht="30" customHeight="1">
      <x:c r="A159" s="1" t="str">
        <x:f>'스킬 500종'!A159</x:f>
        <x:v>SKILL_0153</x:v>
      </x:c>
      <x:c r="B159" s="1" t="str">
        <x:f>'스킬 500종'!B159</x:f>
        <x:v>명중 감소 · 표적 · 강화효과 해제의 일격</x:v>
      </x:c>
      <x:c r="C159" s="1" t="n">
        <x:f>1</x:f>
        <x:v>1</x:v>
      </x:c>
      <x:c r="D159" s="9" t="n">
        <x:f>C159*1.16*('효과 규칙 55종'!H21*'스킬 500종'!L159*'스킬 500종'!M159/'효과 규칙 55종'!D21+'효과 규칙 55종'!H30*'스킬 500종'!O159*'스킬 500종'!P159/'효과 규칙 55종'!D30+'효과 규칙 55종'!H56*'스킬 500종'!R159*'스킬 500종'!S159/'효과 규칙 55종'!D56)</x:f>
        <x:v>1.6611199999999997</x:v>
      </x:c>
      <x:c r="E159" s="9" t="n">
        <x:f>C159*SUM('스킬 500종'!E159:H159)</x:f>
        <x:v>1.1</x:v>
      </x:c>
      <x:c r="F159" s="9" t="n">
        <x:f>C159*1.4*SUM('스킬 500종'!I159:J159)</x:f>
        <x:v>0</x:v>
      </x:c>
      <x:c r="G159" s="9" t="n">
        <x:f>SUM(D159:F159)</x:f>
        <x:v>2.76112</x:v>
      </x:c>
      <x:c r="H159" s="9" t="n">
        <x:f>1.1+0.8*'스킬 500종'!W159</x:f>
        <x:v>3.5000000000000004</x:v>
      </x:c>
      <x:c r="I159" s="10" t="n">
        <x:f>G159/H159</x:f>
        <x:v>0.7888914285714285</x:v>
      </x:c>
      <x:c r="J159" s="1" t="str">
        <x:f>IF(OR('스킬 500종'!I159&lt;0,'스킬 500종'!J159&lt;0,AND('스킬 500종'!I159&gt;0,'스킬 500종'!J159&gt;0),AND(OR('스킬 500종'!K159="HEAL",'스킬 500종'!N159="HEAL",'스킬 500종'!Q159="HEAL",'스킬 500종'!T159="HEAL"),'스킬 500종'!I159=0,'스킬 500종'!J159=0),AND('스킬 500종'!I159&gt;0,OR('스킬 500종'!K159="CONTINUOUS_HEAL",'스킬 500종'!N159="CONTINUOUS_HEAL",'스킬 500종'!Q159="CONTINUOUS_HEAL",'스킬 500종'!T159="CONTINUOUS_HEAL"))),"회복 기준 오류",IF(AND(G159&lt;=H159+0.00001,'스킬 500종'!W159&gt;=1,'스킬 500종'!W159&lt;=5),"정상","초과"))</x:f>
        <x:v>정상</x:v>
      </x:c>
    </x:row>
    <x:row r="160" ht="30" customHeight="1">
      <x:c r="A160" s="1" t="str">
        <x:f>'스킬 500종'!A160</x:f>
        <x:v>SKILL_0154</x:v>
      </x:c>
      <x:c r="B160" s="1" t="str">
        <x:f>'스킬 500종'!B160</x:f>
        <x:v>흡혈 · 약화효과 전이 · 부활 불가 · 반격 불가의 일격</x:v>
      </x:c>
      <x:c r="C160" s="1" t="n">
        <x:f>1</x:f>
        <x:v>1</x:v>
      </x:c>
      <x:c r="D160" s="9" t="n">
        <x:f>C160*1.24*('효과 규칙 55종'!H36*'스킬 500종'!L160*'스킬 500종'!M160/'효과 규칙 55종'!D36+'효과 규칙 55종'!H61*'스킬 500종'!O160*'스킬 500종'!P160/'효과 규칙 55종'!D61+'효과 규칙 55종'!H48*'스킬 500종'!R160*'스킬 500종'!S160/'효과 규칙 55종'!D48+'효과 규칙 55종'!H27*'스킬 500종'!U160*'스킬 500종'!V160/'효과 규칙 55종'!D27)</x:f>
        <x:v>2.52588</x:v>
      </x:c>
      <x:c r="E160" s="9" t="n">
        <x:f>C160*SUM('스킬 500종'!E160:H160)</x:f>
        <x:v>1.1</x:v>
      </x:c>
      <x:c r="F160" s="9" t="n">
        <x:f>C160*1.4*SUM('스킬 500종'!I160:J160)</x:f>
        <x:v>0</x:v>
      </x:c>
      <x:c r="G160" s="9" t="n">
        <x:f>SUM(D160:F160)</x:f>
        <x:v>3.62588</x:v>
      </x:c>
      <x:c r="H160" s="9" t="n">
        <x:f>1.1+0.8*'스킬 500종'!W160</x:f>
        <x:v>4.300000000000001</x:v>
      </x:c>
      <x:c r="I160" s="10" t="n">
        <x:f>G160/H160</x:f>
        <x:v>0.843227906976744</x:v>
      </x:c>
      <x:c r="J160" s="1" t="str">
        <x:f>IF(OR('스킬 500종'!I160&lt;0,'스킬 500종'!J160&lt;0,AND('스킬 500종'!I160&gt;0,'스킬 500종'!J160&gt;0),AND(OR('스킬 500종'!K160="HEAL",'스킬 500종'!N160="HEAL",'스킬 500종'!Q160="HEAL",'스킬 500종'!T160="HEAL"),'스킬 500종'!I160=0,'스킬 500종'!J160=0),AND('스킬 500종'!I160&gt;0,OR('스킬 500종'!K160="CONTINUOUS_HEAL",'스킬 500종'!N160="CONTINUOUS_HEAL",'스킬 500종'!Q160="CONTINUOUS_HEAL",'스킬 500종'!T160="CONTINUOUS_HEAL"))),"회복 기준 오류",IF(AND(G160&lt;=H160+0.00001,'스킬 500종'!W160&gt;=1,'스킬 500종'!W160&lt;=5),"정상","초과"))</x:f>
        <x:v>정상</x:v>
      </x:c>
    </x:row>
    <x:row r="161" ht="30" customHeight="1">
      <x:c r="A161" s="1" t="str">
        <x:f>'스킬 500종'!A161</x:f>
        <x:v>SKILL_0155</x:v>
      </x:c>
      <x:c r="B161" s="1" t="str">
        <x:f>'스킬 500종'!B161</x:f>
        <x:v>강화효과 지속시간 감소 · 약화효과 지속시간 증가의 일격</x:v>
      </x:c>
      <x:c r="C161" s="1" t="n">
        <x:f>1</x:f>
        <x:v>1</x:v>
      </x:c>
      <x:c r="D161" s="9" t="n">
        <x:f>C161*1.08*('효과 규칙 55종'!H59*'스킬 500종'!L161*'스킬 500종'!M161/'효과 규칙 55종'!D59+'효과 규칙 55종'!H60*'스킬 500종'!O161*'스킬 500종'!P161/'효과 규칙 55종'!D60)</x:f>
        <x:v>1.6038</x:v>
      </x:c>
      <x:c r="E161" s="9" t="n">
        <x:f>C161*SUM('스킬 500종'!E161:H161)</x:f>
        <x:v>1.1</x:v>
      </x:c>
      <x:c r="F161" s="9" t="n">
        <x:f>C161*1.4*SUM('스킬 500종'!I161:J161)</x:f>
        <x:v>0</x:v>
      </x:c>
      <x:c r="G161" s="9" t="n">
        <x:f>SUM(D161:F161)</x:f>
        <x:v>2.7038</x:v>
      </x:c>
      <x:c r="H161" s="9" t="n">
        <x:f>1.1+0.8*'스킬 500종'!W161</x:f>
        <x:v>3.5000000000000004</x:v>
      </x:c>
      <x:c r="I161" s="10" t="n">
        <x:f>G161/H161</x:f>
        <x:v>0.7725142857142857</x:v>
      </x:c>
      <x:c r="J161" s="1" t="str">
        <x:f>IF(OR('스킬 500종'!I161&lt;0,'스킬 500종'!J161&lt;0,AND('스킬 500종'!I161&gt;0,'스킬 500종'!J161&gt;0),AND(OR('스킬 500종'!K161="HEAL",'스킬 500종'!N161="HEAL",'스킬 500종'!Q161="HEAL",'스킬 500종'!T161="HEAL"),'스킬 500종'!I161=0,'스킬 500종'!J161=0),AND('스킬 500종'!I161&gt;0,OR('스킬 500종'!K161="CONTINUOUS_HEAL",'스킬 500종'!N161="CONTINUOUS_HEAL",'스킬 500종'!Q161="CONTINUOUS_HEAL",'스킬 500종'!T161="CONTINUOUS_HEAL"))),"회복 기준 오류",IF(AND(G161&lt;=H161+0.00001,'스킬 500종'!W161&gt;=1,'스킬 500종'!W161&lt;=5),"정상","초과"))</x:f>
        <x:v>정상</x:v>
      </x:c>
    </x:row>
    <x:row r="162" ht="30" customHeight="1">
      <x:c r="A162" s="1" t="str">
        <x:f>'스킬 500종'!A162</x:f>
        <x:v>SKILL_0156</x:v>
      </x:c>
      <x:c r="B162" s="1" t="str">
        <x:f>'스킬 500종'!B162</x:f>
        <x:v>명중 감소 · 기절 — 스턴의 일격</x:v>
      </x:c>
      <x:c r="C162" s="1" t="n">
        <x:f>1</x:f>
        <x:v>1</x:v>
      </x:c>
      <x:c r="D162" s="9" t="n">
        <x:f>C162*1.08*('효과 규칙 55종'!H21*'스킬 500종'!L162*'스킬 500종'!M162/'효과 규칙 55종'!D21+'효과 규칙 55종'!H22*'스킬 500종'!O162*'스킬 500종'!P162/'효과 규칙 55종'!D22)</x:f>
        <x:v>2.43</x:v>
      </x:c>
      <x:c r="E162" s="9" t="n">
        <x:f>C162*SUM('스킬 500종'!E162:H162)</x:f>
        <x:v>1.1</x:v>
      </x:c>
      <x:c r="F162" s="9" t="n">
        <x:f>C162*1.4*SUM('스킬 500종'!I162:J162)</x:f>
        <x:v>0</x:v>
      </x:c>
      <x:c r="G162" s="9" t="n">
        <x:f>SUM(D162:F162)</x:f>
        <x:v>3.5300000000000002</x:v>
      </x:c>
      <x:c r="H162" s="9" t="n">
        <x:f>1.1+0.8*'스킬 500종'!W162</x:f>
        <x:v>4.300000000000001</x:v>
      </x:c>
      <x:c r="I162" s="10" t="n">
        <x:f>G162/H162</x:f>
        <x:v>0.8209302325581395</x:v>
      </x:c>
      <x:c r="J162" s="1" t="str">
        <x:f>IF(OR('스킬 500종'!I162&lt;0,'스킬 500종'!J162&lt;0,AND('스킬 500종'!I162&gt;0,'스킬 500종'!J162&gt;0),AND(OR('스킬 500종'!K162="HEAL",'스킬 500종'!N162="HEAL",'스킬 500종'!Q162="HEAL",'스킬 500종'!T162="HEAL"),'스킬 500종'!I162=0,'스킬 500종'!J162=0),AND('스킬 500종'!I162&gt;0,OR('스킬 500종'!K162="CONTINUOUS_HEAL",'스킬 500종'!N162="CONTINUOUS_HEAL",'스킬 500종'!Q162="CONTINUOUS_HEAL",'스킬 500종'!T162="CONTINUOUS_HEAL"))),"회복 기준 오류",IF(AND(G162&lt;=H162+0.00001,'스킬 500종'!W162&gt;=1,'스킬 500종'!W162&lt;=5),"정상","초과"))</x:f>
        <x:v>정상</x:v>
      </x:c>
    </x:row>
    <x:row r="163" ht="30" customHeight="1">
      <x:c r="A163" s="1" t="str">
        <x:f>'스킬 500종'!A163</x:f>
        <x:v>SKILL_0157</x:v>
      </x:c>
      <x:c r="B163" s="1" t="str">
        <x:f>'스킬 500종'!B163</x:f>
        <x:v>상처 · 회복 불가의 일격</x:v>
      </x:c>
      <x:c r="C163" s="1" t="n">
        <x:f>2.4</x:f>
        <x:v>2.4</x:v>
      </x:c>
      <x:c r="D163" s="9" t="n">
        <x:f>C163*1.08*('효과 규칙 55종'!H32*'스킬 500종'!L163*'스킬 500종'!M163/'효과 규칙 55종'!D32+'효과 규칙 55종'!H25*'스킬 500종'!O163*'스킬 500종'!P163/'효과 규칙 55종'!D25)</x:f>
        <x:v>3.1946399999999997</x:v>
      </x:c>
      <x:c r="E163" s="9" t="n">
        <x:f>C163*SUM('스킬 500종'!E163:H163)</x:f>
        <x:v>1.56</x:v>
      </x:c>
      <x:c r="F163" s="9" t="n">
        <x:f>C163*1.4*SUM('스킬 500종'!I163:J163)</x:f>
        <x:v>0</x:v>
      </x:c>
      <x:c r="G163" s="9" t="n">
        <x:f>SUM(D163:F163)</x:f>
        <x:v>4.75464</x:v>
      </x:c>
      <x:c r="H163" s="9" t="n">
        <x:f>1.1+0.8*'스킬 500종'!W163</x:f>
        <x:v>5.1</x:v>
      </x:c>
      <x:c r="I163" s="10" t="n">
        <x:f>G163/H163</x:f>
        <x:v>0.9322823529411766</x:v>
      </x:c>
      <x:c r="J163" s="1" t="str">
        <x:f>IF(OR('스킬 500종'!I163&lt;0,'스킬 500종'!J163&lt;0,AND('스킬 500종'!I163&gt;0,'스킬 500종'!J163&gt;0),AND(OR('스킬 500종'!K163="HEAL",'스킬 500종'!N163="HEAL",'스킬 500종'!Q163="HEAL",'스킬 500종'!T163="HEAL"),'스킬 500종'!I163=0,'스킬 500종'!J163=0),AND('스킬 500종'!I163&gt;0,OR('스킬 500종'!K163="CONTINUOUS_HEAL",'스킬 500종'!N163="CONTINUOUS_HEAL",'스킬 500종'!Q163="CONTINUOUS_HEAL",'스킬 500종'!T163="CONTINUOUS_HEAL"))),"회복 기준 오류",IF(AND(G163&lt;=H163+0.00001,'스킬 500종'!W163&gt;=1,'스킬 500종'!W163&lt;=5),"정상","초과"))</x:f>
        <x:v>정상</x:v>
      </x:c>
    </x:row>
    <x:row r="164" ht="30" customHeight="1">
      <x:c r="A164" s="1" t="str">
        <x:f>'스킬 500종'!A164</x:f>
        <x:v>SKILL_0158</x:v>
      </x:c>
      <x:c r="B164" s="1" t="str">
        <x:f>'스킬 500종'!B164</x:f>
        <x:v>반격 불가 · 강화 불가 · 도발의 일격</x:v>
      </x:c>
      <x:c r="C164" s="1" t="n">
        <x:f>1</x:f>
        <x:v>1</x:v>
      </x:c>
      <x:c r="D164" s="9" t="n">
        <x:f>C164*1.16*('효과 규칙 55종'!H27*'스킬 500종'!L164*'스킬 500종'!M164/'효과 규칙 55종'!D27+'효과 규칙 55종'!H26*'스킬 500종'!O164*'스킬 500종'!P164/'효과 규칙 55종'!D26+'효과 규칙 55종'!H24*'스킬 500종'!R164*'스킬 500종'!S164/'효과 규칙 55종'!D24)</x:f>
        <x:v>2.3664</x:v>
      </x:c>
      <x:c r="E164" s="9" t="n">
        <x:f>C164*SUM('스킬 500종'!E164:H164)</x:f>
        <x:v>1.1</x:v>
      </x:c>
      <x:c r="F164" s="9" t="n">
        <x:f>C164*1.4*SUM('스킬 500종'!I164:J164)</x:f>
        <x:v>0</x:v>
      </x:c>
      <x:c r="G164" s="9" t="n">
        <x:f>SUM(D164:F164)</x:f>
        <x:v>3.4664</x:v>
      </x:c>
      <x:c r="H164" s="9" t="n">
        <x:f>1.1+0.8*'스킬 500종'!W164</x:f>
        <x:v>3.5000000000000004</x:v>
      </x:c>
      <x:c r="I164" s="10" t="n">
        <x:f>G164/H164</x:f>
        <x:v>0.9904</x:v>
      </x:c>
      <x:c r="J164" s="1" t="str">
        <x:f>IF(OR('스킬 500종'!I164&lt;0,'스킬 500종'!J164&lt;0,AND('스킬 500종'!I164&gt;0,'스킬 500종'!J164&gt;0),AND(OR('스킬 500종'!K164="HEAL",'스킬 500종'!N164="HEAL",'스킬 500종'!Q164="HEAL",'스킬 500종'!T164="HEAL"),'스킬 500종'!I164=0,'스킬 500종'!J164=0),AND('스킬 500종'!I164&gt;0,OR('스킬 500종'!K164="CONTINUOUS_HEAL",'스킬 500종'!N164="CONTINUOUS_HEAL",'스킬 500종'!Q164="CONTINUOUS_HEAL",'스킬 500종'!T164="CONTINUOUS_HEAL"))),"회복 기준 오류",IF(AND(G164&lt;=H164+0.00001,'스킬 500종'!W164&gt;=1,'스킬 500종'!W164&lt;=5),"정상","초과"))</x:f>
        <x:v>정상</x:v>
      </x:c>
    </x:row>
    <x:row r="165" ht="30" customHeight="1">
      <x:c r="A165" s="1" t="str">
        <x:f>'스킬 500종'!A165</x:f>
        <x:v>SKILL_0159</x:v>
      </x:c>
      <x:c r="B165" s="1" t="str">
        <x:f>'스킬 500종'!B165</x:f>
        <x:v>강화효과 해제 · 추가 피해의 일격</x:v>
      </x:c>
      <x:c r="C165" s="1" t="n">
        <x:f>1</x:f>
        <x:v>1</x:v>
      </x:c>
      <x:c r="D165" s="9" t="n">
        <x:f>C165*1.08*('효과 규칙 55종'!H56*'스킬 500종'!L165*'스킬 500종'!M165/'효과 규칙 55종'!D56+'효과 규칙 55종'!H33*'스킬 500종'!O165*'스킬 500종'!P165/'효과 규칙 55종'!D33)</x:f>
        <x:v>1.0206000000000002</x:v>
      </x:c>
      <x:c r="E165" s="9" t="n">
        <x:f>C165*SUM('스킬 500종'!E165:H165)</x:f>
        <x:v>1.1</x:v>
      </x:c>
      <x:c r="F165" s="9" t="n">
        <x:f>C165*1.4*SUM('스킬 500종'!I165:J165)</x:f>
        <x:v>0</x:v>
      </x:c>
      <x:c r="G165" s="9" t="n">
        <x:f>SUM(D165:F165)</x:f>
        <x:v>2.1206000000000005</x:v>
      </x:c>
      <x:c r="H165" s="9" t="n">
        <x:f>1.1+0.8*'스킬 500종'!W165</x:f>
        <x:v>2.7</x:v>
      </x:c>
      <x:c r="I165" s="10" t="n">
        <x:f>G165/H165</x:f>
        <x:v>0.7854074074074076</x:v>
      </x:c>
      <x:c r="J165" s="1" t="str">
        <x:f>IF(OR('스킬 500종'!I165&lt;0,'스킬 500종'!J165&lt;0,AND('스킬 500종'!I165&gt;0,'스킬 500종'!J165&gt;0),AND(OR('스킬 500종'!K165="HEAL",'스킬 500종'!N165="HEAL",'스킬 500종'!Q165="HEAL",'스킬 500종'!T165="HEAL"),'스킬 500종'!I165=0,'스킬 500종'!J165=0),AND('스킬 500종'!I165&gt;0,OR('스킬 500종'!K165="CONTINUOUS_HEAL",'스킬 500종'!N165="CONTINUOUS_HEAL",'스킬 500종'!Q165="CONTINUOUS_HEAL",'스킬 500종'!T165="CONTINUOUS_HEAL"))),"회복 기준 오류",IF(AND(G165&lt;=H165+0.00001,'스킬 500종'!W165&gt;=1,'스킬 500종'!W165&lt;=5),"정상","초과"))</x:f>
        <x:v>정상</x:v>
      </x:c>
    </x:row>
    <x:row r="166" ht="30" customHeight="1">
      <x:c r="A166" s="1" t="str">
        <x:f>'스킬 500종'!A166</x:f>
        <x:v>SKILL_0160</x:v>
      </x:c>
      <x:c r="B166" s="1" t="str">
        <x:f>'스킬 500종'!B166</x:f>
        <x:v>추가 피해 · 회복 불가 · 수면 · 공격력 감소의 일격</x:v>
      </x:c>
      <x:c r="C166" s="1" t="n">
        <x:f>2.4</x:f>
        <x:v>2.4</x:v>
      </x:c>
      <x:c r="D166" s="9" t="n">
        <x:f>C166*1.24*('효과 규칙 55종'!H33*'스킬 500종'!L166*'스킬 500종'!M166/'효과 규칙 55종'!D33+'효과 규칙 55종'!H25*'스킬 500종'!O166*'스킬 500종'!P166/'효과 규칙 55종'!D25+'효과 규칙 55종'!H23*'스킬 500종'!R166*'스킬 500종'!S166/'효과 규칙 55종'!D23+'효과 규칙 55종'!H18*'스킬 500종'!U166*'스킬 500종'!V166/'효과 규칙 55종'!D18)</x:f>
        <x:v>3.7262496</x:v>
      </x:c>
      <x:c r="E166" s="9" t="n">
        <x:f>C166*SUM('스킬 500종'!E166:H166)</x:f>
        <x:v>1.2</x:v>
      </x:c>
      <x:c r="F166" s="9" t="n">
        <x:f>C166*1.4*SUM('스킬 500종'!I166:J166)</x:f>
        <x:v>0</x:v>
      </x:c>
      <x:c r="G166" s="9" t="n">
        <x:f>SUM(D166:F166)</x:f>
        <x:v>4.9262496</x:v>
      </x:c>
      <x:c r="H166" s="9" t="n">
        <x:f>1.1+0.8*'스킬 500종'!W166</x:f>
        <x:v>5.1</x:v>
      </x:c>
      <x:c r="I166" s="10" t="n">
        <x:f>G166/H166</x:f>
        <x:v>0.9659312941176472</x:v>
      </x:c>
      <x:c r="J166" s="1" t="str">
        <x:f>IF(OR('스킬 500종'!I166&lt;0,'스킬 500종'!J166&lt;0,AND('스킬 500종'!I166&gt;0,'스킬 500종'!J166&gt;0),AND(OR('스킬 500종'!K166="HEAL",'스킬 500종'!N166="HEAL",'스킬 500종'!Q166="HEAL",'스킬 500종'!T166="HEAL"),'스킬 500종'!I166=0,'스킬 500종'!J166=0),AND('스킬 500종'!I166&gt;0,OR('스킬 500종'!K166="CONTINUOUS_HEAL",'스킬 500종'!N166="CONTINUOUS_HEAL",'스킬 500종'!Q166="CONTINUOUS_HEAL",'스킬 500종'!T166="CONTINUOUS_HEAL"))),"회복 기준 오류",IF(AND(G166&lt;=H166+0.00001,'스킬 500종'!W166&gt;=1,'스킬 500종'!W166&lt;=5),"정상","초과"))</x:f>
        <x:v>정상</x:v>
      </x:c>
    </x:row>
    <x:row r="167" ht="30" customHeight="1">
      <x:c r="A167" s="1" t="str">
        <x:f>'스킬 500종'!A167</x:f>
        <x:v>SKILL_0161</x:v>
      </x:c>
      <x:c r="B167" s="1" t="str">
        <x:f>'스킬 500종'!B167</x:f>
        <x:v>공격력 감소 · 방어력 감소 · 반격 불가의 일격</x:v>
      </x:c>
      <x:c r="C167" s="1" t="n">
        <x:f>1</x:f>
        <x:v>1</x:v>
      </x:c>
      <x:c r="D167" s="9" t="n">
        <x:f>C167*1.16*('효과 규칙 55종'!H18*'스킬 500종'!L167*'스킬 500종'!M167/'효과 규칙 55종'!D18+'효과 규칙 55종'!H19*'스킬 500종'!O167*'스킬 500종'!P167/'효과 규칙 55종'!D19+'효과 규칙 55종'!H27*'스킬 500종'!R167*'스킬 500종'!S167/'효과 규칙 55종'!D27)</x:f>
        <x:v>1.64256</x:v>
      </x:c>
      <x:c r="E167" s="9" t="n">
        <x:f>C167*SUM('스킬 500종'!E167:H167)</x:f>
        <x:v>1.1</x:v>
      </x:c>
      <x:c r="F167" s="9" t="n">
        <x:f>C167*1.4*SUM('스킬 500종'!I167:J167)</x:f>
        <x:v>0</x:v>
      </x:c>
      <x:c r="G167" s="9" t="n">
        <x:f>SUM(D167:F167)</x:f>
        <x:v>2.74256</x:v>
      </x:c>
      <x:c r="H167" s="9" t="n">
        <x:f>1.1+0.8*'스킬 500종'!W167</x:f>
        <x:v>3.5000000000000004</x:v>
      </x:c>
      <x:c r="I167" s="10" t="n">
        <x:f>G167/H167</x:f>
        <x:v>0.7835885714285714</x:v>
      </x:c>
      <x:c r="J167" s="1" t="str">
        <x:f>IF(OR('스킬 500종'!I167&lt;0,'스킬 500종'!J167&lt;0,AND('스킬 500종'!I167&gt;0,'스킬 500종'!J167&gt;0),AND(OR('스킬 500종'!K167="HEAL",'스킬 500종'!N167="HEAL",'스킬 500종'!Q167="HEAL",'스킬 500종'!T167="HEAL"),'스킬 500종'!I167=0,'스킬 500종'!J167=0),AND('스킬 500종'!I167&gt;0,OR('스킬 500종'!K167="CONTINUOUS_HEAL",'스킬 500종'!N167="CONTINUOUS_HEAL",'스킬 500종'!Q167="CONTINUOUS_HEAL",'스킬 500종'!T167="CONTINUOUS_HEAL"))),"회복 기준 오류",IF(AND(G167&lt;=H167+0.00001,'스킬 500종'!W167&gt;=1,'스킬 500종'!W167&lt;=5),"정상","초과"))</x:f>
        <x:v>정상</x:v>
      </x:c>
    </x:row>
    <x:row r="168" ht="30" customHeight="1">
      <x:c r="A168" s="1" t="str">
        <x:f>'스킬 500종'!A168</x:f>
        <x:v>SKILL_0162</x:v>
      </x:c>
      <x:c r="B168" s="1" t="str">
        <x:f>'스킬 500종'!B168</x:f>
        <x:v>저주 · 강화효과 지속시간 감소 · 방어력 관통의 일격</x:v>
      </x:c>
      <x:c r="C168" s="1" t="n">
        <x:f>1</x:f>
        <x:v>1</x:v>
      </x:c>
      <x:c r="D168" s="9" t="n">
        <x:f>C168*1.16*('효과 규칙 55종'!H31*'스킬 500종'!L168*'스킬 500종'!M168/'효과 규칙 55종'!D31+'효과 규칙 55종'!H59*'스킬 500종'!O168*'스킬 500종'!P168/'효과 규칙 55종'!D59+'효과 규칙 55종'!H55*'스킬 500종'!R168*'스킬 500종'!S168/'효과 규칙 55종'!D55)</x:f>
        <x:v>1.7631999999999999</x:v>
      </x:c>
      <x:c r="E168" s="9" t="n">
        <x:f>C168*SUM('스킬 500종'!E168:H168)</x:f>
        <x:v>1.1</x:v>
      </x:c>
      <x:c r="F168" s="9" t="n">
        <x:f>C168*1.4*SUM('스킬 500종'!I168:J168)</x:f>
        <x:v>0</x:v>
      </x:c>
      <x:c r="G168" s="9" t="n">
        <x:f>SUM(D168:F168)</x:f>
        <x:v>2.8632</x:v>
      </x:c>
      <x:c r="H168" s="9" t="n">
        <x:f>1.1+0.8*'스킬 500종'!W168</x:f>
        <x:v>3.5000000000000004</x:v>
      </x:c>
      <x:c r="I168" s="10" t="n">
        <x:f>G168/H168</x:f>
        <x:v>0.8180571428571427</x:v>
      </x:c>
      <x:c r="J168" s="1" t="str">
        <x:f>IF(OR('스킬 500종'!I168&lt;0,'스킬 500종'!J168&lt;0,AND('스킬 500종'!I168&gt;0,'스킬 500종'!J168&gt;0),AND(OR('스킬 500종'!K168="HEAL",'스킬 500종'!N168="HEAL",'스킬 500종'!Q168="HEAL",'스킬 500종'!T168="HEAL"),'스킬 500종'!I168=0,'스킬 500종'!J168=0),AND('스킬 500종'!I168&gt;0,OR('스킬 500종'!K168="CONTINUOUS_HEAL",'스킬 500종'!N168="CONTINUOUS_HEAL",'스킬 500종'!Q168="CONTINUOUS_HEAL",'스킬 500종'!T168="CONTINUOUS_HEAL"))),"회복 기준 오류",IF(AND(G168&lt;=H168+0.00001,'스킬 500종'!W168&gt;=1,'스킬 500종'!W168&lt;=5),"정상","초과"))</x:f>
        <x:v>정상</x:v>
      </x:c>
    </x:row>
    <x:row r="169" ht="30" customHeight="1">
      <x:c r="A169" s="1" t="str">
        <x:f>'스킬 500종'!A169</x:f>
        <x:v>SKILL_0163</x:v>
      </x:c>
      <x:c r="B169" s="1" t="str">
        <x:f>'스킬 500종'!B169</x:f>
        <x:v>방어력 감소 · 강화 불가의 일격</x:v>
      </x:c>
      <x:c r="C169" s="1" t="n">
        <x:f>2.4</x:f>
        <x:v>2.4</x:v>
      </x:c>
      <x:c r="D169" s="9" t="n">
        <x:f>C169*1.08*('효과 규칙 55종'!H19*'스킬 500종'!L169*'스킬 500종'!M169/'효과 규칙 55종'!D19+'효과 규칙 55종'!H26*'스킬 500종'!O169*'스킬 500종'!P169/'효과 규칙 55종'!D26)</x:f>
        <x:v>3.402</x:v>
      </x:c>
      <x:c r="E169" s="9" t="n">
        <x:f>C169*SUM('스킬 500종'!E169:H169)</x:f>
        <x:v>1.32</x:v>
      </x:c>
      <x:c r="F169" s="9" t="n">
        <x:f>C169*1.4*SUM('스킬 500종'!I169:J169)</x:f>
        <x:v>0</x:v>
      </x:c>
      <x:c r="G169" s="9" t="n">
        <x:f>SUM(D169:F169)</x:f>
        <x:v>4.722</x:v>
      </x:c>
      <x:c r="H169" s="9" t="n">
        <x:f>1.1+0.8*'스킬 500종'!W169</x:f>
        <x:v>5.1</x:v>
      </x:c>
      <x:c r="I169" s="10" t="n">
        <x:f>G169/H169</x:f>
        <x:v>0.9258823529411766</x:v>
      </x:c>
      <x:c r="J169" s="1" t="str">
        <x:f>IF(OR('스킬 500종'!I169&lt;0,'스킬 500종'!J169&lt;0,AND('스킬 500종'!I169&gt;0,'스킬 500종'!J169&gt;0),AND(OR('스킬 500종'!K169="HEAL",'스킬 500종'!N169="HEAL",'스킬 500종'!Q169="HEAL",'스킬 500종'!T169="HEAL"),'스킬 500종'!I169=0,'스킬 500종'!J169=0),AND('스킬 500종'!I169&gt;0,OR('스킬 500종'!K169="CONTINUOUS_HEAL",'스킬 500종'!N169="CONTINUOUS_HEAL",'스킬 500종'!Q169="CONTINUOUS_HEAL",'스킬 500종'!T169="CONTINUOUS_HEAL"))),"회복 기준 오류",IF(AND(G169&lt;=H169+0.00001,'스킬 500종'!W169&gt;=1,'스킬 500종'!W169&lt;=5),"정상","초과"))</x:f>
        <x:v>정상</x:v>
      </x:c>
    </x:row>
    <x:row r="170" ht="30" customHeight="1">
      <x:c r="A170" s="1" t="str">
        <x:f>'스킬 500종'!A170</x:f>
        <x:v>SKILL_0164</x:v>
      </x:c>
      <x:c r="B170" s="1" t="str">
        <x:f>'스킬 500종'!B170</x:f>
        <x:v>부활 불가 · 수면 · 회복 불가 · 방어력 감소의 일격</x:v>
      </x:c>
      <x:c r="C170" s="1" t="n">
        <x:f>1</x:f>
        <x:v>1</x:v>
      </x:c>
      <x:c r="D170" s="9" t="n">
        <x:f>C170*1.24*('효과 규칙 55종'!H48*'스킬 500종'!L170*'스킬 500종'!M170/'효과 규칙 55종'!D48+'효과 규칙 55종'!H23*'스킬 500종'!O170*'스킬 500종'!P170/'효과 규칙 55종'!D23+'효과 규칙 55종'!H25*'스킬 500종'!R170*'스킬 500종'!S170/'효과 규칙 55종'!D25+'효과 규칙 55종'!H19*'스킬 500종'!U170*'스킬 500종'!V170/'효과 규칙 55종'!D19)</x:f>
        <x:v>3.0401700000000003</x:v>
      </x:c>
      <x:c r="E170" s="9" t="n">
        <x:f>C170*SUM('스킬 500종'!E170:H170)</x:f>
        <x:v>1.1</x:v>
      </x:c>
      <x:c r="F170" s="9" t="n">
        <x:f>C170*1.4*SUM('스킬 500종'!I170:J170)</x:f>
        <x:v>0</x:v>
      </x:c>
      <x:c r="G170" s="9" t="n">
        <x:f>SUM(D170:F170)</x:f>
        <x:v>4.14017</x:v>
      </x:c>
      <x:c r="H170" s="9" t="n">
        <x:f>1.1+0.8*'스킬 500종'!W170</x:f>
        <x:v>4.300000000000001</x:v>
      </x:c>
      <x:c r="I170" s="10" t="n">
        <x:f>G170/H170</x:f>
        <x:v>0.9628302325581395</x:v>
      </x:c>
      <x:c r="J170" s="1" t="str">
        <x:f>IF(OR('스킬 500종'!I170&lt;0,'스킬 500종'!J170&lt;0,AND('스킬 500종'!I170&gt;0,'스킬 500종'!J170&gt;0),AND(OR('스킬 500종'!K170="HEAL",'스킬 500종'!N170="HEAL",'스킬 500종'!Q170="HEAL",'스킬 500종'!T170="HEAL"),'스킬 500종'!I170=0,'스킬 500종'!J170=0),AND('스킬 500종'!I170&gt;0,OR('스킬 500종'!K170="CONTINUOUS_HEAL",'스킬 500종'!N170="CONTINUOUS_HEAL",'스킬 500종'!Q170="CONTINUOUS_HEAL",'스킬 500종'!T170="CONTINUOUS_HEAL"))),"회복 기준 오류",IF(AND(G170&lt;=H170+0.00001,'스킬 500종'!W170&gt;=1,'스킬 500종'!W170&lt;=5),"정상","초과"))</x:f>
        <x:v>정상</x:v>
      </x:c>
    </x:row>
    <x:row r="171" ht="30" customHeight="1">
      <x:c r="A171" s="1" t="str">
        <x:f>'스킬 500종'!A171</x:f>
        <x:v>SKILL_0165</x:v>
      </x:c>
      <x:c r="B171" s="1" t="str">
        <x:f>'스킬 500종'!B171</x:f>
        <x:v>방어력 관통 · 약화효과 전이 · 강화효과 해제의 일격</x:v>
      </x:c>
      <x:c r="C171" s="1" t="n">
        <x:f>1</x:f>
        <x:v>1</x:v>
      </x:c>
      <x:c r="D171" s="9" t="n">
        <x:f>C171*1.16*('효과 규칙 55종'!H55*'스킬 500종'!L171*'스킬 500종'!M171/'효과 규칙 55종'!D55+'효과 규칙 55종'!H61*'스킬 500종'!O171*'스킬 500종'!P171/'효과 규칙 55종'!D61+'효과 규칙 55종'!H56*'스킬 500종'!R171*'스킬 500종'!S171/'효과 규칙 55종'!D56)</x:f>
        <x:v>2.14368</x:v>
      </x:c>
      <x:c r="E171" s="9" t="n">
        <x:f>C171*SUM('스킬 500종'!E171:H171)</x:f>
        <x:v>1.1</x:v>
      </x:c>
      <x:c r="F171" s="9" t="n">
        <x:f>C171*1.4*SUM('스킬 500종'!I171:J171)</x:f>
        <x:v>0</x:v>
      </x:c>
      <x:c r="G171" s="9" t="n">
        <x:f>SUM(D171:F171)</x:f>
        <x:v>3.24368</x:v>
      </x:c>
      <x:c r="H171" s="9" t="n">
        <x:f>1.1+0.8*'스킬 500종'!W171</x:f>
        <x:v>3.5000000000000004</x:v>
      </x:c>
      <x:c r="I171" s="10" t="n">
        <x:f>G171/H171</x:f>
        <x:v>0.9267657142857142</x:v>
      </x:c>
      <x:c r="J171" s="1" t="str">
        <x:f>IF(OR('스킬 500종'!I171&lt;0,'스킬 500종'!J171&lt;0,AND('스킬 500종'!I171&gt;0,'스킬 500종'!J171&gt;0),AND(OR('스킬 500종'!K171="HEAL",'스킬 500종'!N171="HEAL",'스킬 500종'!Q171="HEAL",'스킬 500종'!T171="HEAL"),'스킬 500종'!I171=0,'스킬 500종'!J171=0),AND('스킬 500종'!I171&gt;0,OR('스킬 500종'!K171="CONTINUOUS_HEAL",'스킬 500종'!N171="CONTINUOUS_HEAL",'스킬 500종'!Q171="CONTINUOUS_HEAL",'스킬 500종'!T171="CONTINUOUS_HEAL"))),"회복 기준 오류",IF(AND(G171&lt;=H171+0.00001,'스킬 500종'!W171&gt;=1,'스킬 500종'!W171&lt;=5),"정상","초과"))</x:f>
        <x:v>정상</x:v>
      </x:c>
    </x:row>
    <x:row r="172" ht="30" customHeight="1">
      <x:c r="A172" s="1" t="str">
        <x:f>'스킬 500종'!A172</x:f>
        <x:v>SKILL_0166</x:v>
      </x:c>
      <x:c r="B172" s="1" t="str">
        <x:f>'스킬 500종'!B172</x:f>
        <x:v>회복 불가 · 약화효과 지속시간 증가의 일격</x:v>
      </x:c>
      <x:c r="C172" s="1" t="n">
        <x:f>2.4</x:f>
        <x:v>2.4</x:v>
      </x:c>
      <x:c r="D172" s="9" t="n">
        <x:f>C172*1.08*('효과 규칙 55종'!H25*'스킬 500종'!L172*'스킬 500종'!M172/'효과 규칙 55종'!D25+'효과 규칙 55종'!H60*'스킬 500종'!O172*'스킬 500종'!P172/'효과 규칙 55종'!D60)</x:f>
        <x:v>3.3177600000000003</x:v>
      </x:c>
      <x:c r="E172" s="9" t="n">
        <x:f>C172*SUM('스킬 500종'!E172:H172)</x:f>
        <x:v>1.44</x:v>
      </x:c>
      <x:c r="F172" s="9" t="n">
        <x:f>C172*1.4*SUM('스킬 500종'!I172:J172)</x:f>
        <x:v>0</x:v>
      </x:c>
      <x:c r="G172" s="9" t="n">
        <x:f>SUM(D172:F172)</x:f>
        <x:v>4.75776</x:v>
      </x:c>
      <x:c r="H172" s="9" t="n">
        <x:f>1.1+0.8*'스킬 500종'!W172</x:f>
        <x:v>5.1</x:v>
      </x:c>
      <x:c r="I172" s="10" t="n">
        <x:f>G172/H172</x:f>
        <x:v>0.932894117647059</x:v>
      </x:c>
      <x:c r="J172" s="1" t="str">
        <x:f>IF(OR('스킬 500종'!I172&lt;0,'스킬 500종'!J172&lt;0,AND('스킬 500종'!I172&gt;0,'스킬 500종'!J172&gt;0),AND(OR('스킬 500종'!K172="HEAL",'스킬 500종'!N172="HEAL",'스킬 500종'!Q172="HEAL",'스킬 500종'!T172="HEAL"),'스킬 500종'!I172=0,'스킬 500종'!J172=0),AND('스킬 500종'!I172&gt;0,OR('스킬 500종'!K172="CONTINUOUS_HEAL",'스킬 500종'!N172="CONTINUOUS_HEAL",'스킬 500종'!Q172="CONTINUOUS_HEAL",'스킬 500종'!T172="CONTINUOUS_HEAL"))),"회복 기준 오류",IF(AND(G172&lt;=H172+0.00001,'스킬 500종'!W172&gt;=1,'스킬 500종'!W172&lt;=5),"정상","초과"))</x:f>
        <x:v>정상</x:v>
      </x:c>
    </x:row>
    <x:row r="173" ht="30" customHeight="1">
      <x:c r="A173" s="1" t="str">
        <x:f>'스킬 500종'!A173</x:f>
        <x:v>SKILL_0167</x:v>
      </x:c>
      <x:c r="B173" s="1" t="str">
        <x:f>'스킬 500종'!B173</x:f>
        <x:v>강화효과 지속시간 감소 · 강화 불가의 일격</x:v>
      </x:c>
      <x:c r="C173" s="1" t="n">
        <x:f>1</x:f>
        <x:v>1</x:v>
      </x:c>
      <x:c r="D173" s="9" t="n">
        <x:f>C173*1.08*('효과 규칙 55종'!H59*'스킬 500종'!L173*'스킬 500종'!M173/'효과 규칙 55종'!D59+'효과 규칙 55종'!H26*'스킬 500종'!O173*'스킬 500종'!P173/'효과 규칙 55종'!D26)</x:f>
        <x:v>1.5552000000000001</x:v>
      </x:c>
      <x:c r="E173" s="9" t="n">
        <x:f>C173*SUM('스킬 500종'!E173:H173)</x:f>
        <x:v>1.1</x:v>
      </x:c>
      <x:c r="F173" s="9" t="n">
        <x:f>C173*1.4*SUM('스킬 500종'!I173:J173)</x:f>
        <x:v>0</x:v>
      </x:c>
      <x:c r="G173" s="9" t="n">
        <x:f>SUM(D173:F173)</x:f>
        <x:v>2.6552000000000002</x:v>
      </x:c>
      <x:c r="H173" s="9" t="n">
        <x:f>1.1+0.8*'스킬 500종'!W173</x:f>
        <x:v>2.7</x:v>
      </x:c>
      <x:c r="I173" s="10" t="n">
        <x:f>G173/H173</x:f>
        <x:v>0.9834074074074074</x:v>
      </x:c>
      <x:c r="J173" s="1" t="str">
        <x:f>IF(OR('스킬 500종'!I173&lt;0,'스킬 500종'!J173&lt;0,AND('스킬 500종'!I173&gt;0,'스킬 500종'!J173&gt;0),AND(OR('스킬 500종'!K173="HEAL",'스킬 500종'!N173="HEAL",'스킬 500종'!Q173="HEAL",'스킬 500종'!T173="HEAL"),'스킬 500종'!I173=0,'스킬 500종'!J173=0),AND('스킬 500종'!I173&gt;0,OR('스킬 500종'!K173="CONTINUOUS_HEAL",'스킬 500종'!N173="CONTINUOUS_HEAL",'스킬 500종'!Q173="CONTINUOUS_HEAL",'스킬 500종'!T173="CONTINUOUS_HEAL"))),"회복 기준 오류",IF(AND(G173&lt;=H173+0.00001,'스킬 500종'!W173&gt;=1,'스킬 500종'!W173&lt;=5),"정상","초과"))</x:f>
        <x:v>정상</x:v>
      </x:c>
    </x:row>
    <x:row r="174" ht="30" customHeight="1">
      <x:c r="A174" s="1" t="str">
        <x:f>'스킬 500종'!A174</x:f>
        <x:v>SKILL_0168</x:v>
      </x:c>
      <x:c r="B174" s="1" t="str">
        <x:f>'스킬 500종'!B174</x:f>
        <x:v>강화효과 해제 · 명중 감소의 일격</x:v>
      </x:c>
      <x:c r="C174" s="1" t="n">
        <x:f>1</x:f>
        <x:v>1</x:v>
      </x:c>
      <x:c r="D174" s="9" t="n">
        <x:f>C174*1.08*('효과 규칙 55종'!H56*'스킬 500종'!L174*'스킬 500종'!M174/'효과 규칙 55종'!D56+'효과 규칙 55종'!H21*'스킬 500종'!O174*'스킬 500종'!P174/'효과 규칙 55종'!D21)</x:f>
        <x:v>1.4094000000000002</x:v>
      </x:c>
      <x:c r="E174" s="9" t="n">
        <x:f>C174*SUM('스킬 500종'!E174:H174)</x:f>
        <x:v>1.1</x:v>
      </x:c>
      <x:c r="F174" s="9" t="n">
        <x:f>C174*1.4*SUM('스킬 500종'!I174:J174)</x:f>
        <x:v>0</x:v>
      </x:c>
      <x:c r="G174" s="9" t="n">
        <x:f>SUM(D174:F174)</x:f>
        <x:v>2.5094000000000003</x:v>
      </x:c>
      <x:c r="H174" s="9" t="n">
        <x:f>1.1+0.8*'스킬 500종'!W174</x:f>
        <x:v>2.7</x:v>
      </x:c>
      <x:c r="I174" s="10" t="n">
        <x:f>G174/H174</x:f>
        <x:v>0.9294074074074075</x:v>
      </x:c>
      <x:c r="J174" s="1" t="str">
        <x:f>IF(OR('스킬 500종'!I174&lt;0,'스킬 500종'!J174&lt;0,AND('스킬 500종'!I174&gt;0,'스킬 500종'!J174&gt;0),AND(OR('스킬 500종'!K174="HEAL",'스킬 500종'!N174="HEAL",'스킬 500종'!Q174="HEAL",'스킬 500종'!T174="HEAL"),'스킬 500종'!I174=0,'스킬 500종'!J174=0),AND('스킬 500종'!I174&gt;0,OR('스킬 500종'!K174="CONTINUOUS_HEAL",'스킬 500종'!N174="CONTINUOUS_HEAL",'스킬 500종'!Q174="CONTINUOUS_HEAL",'스킬 500종'!T174="CONTINUOUS_HEAL"))),"회복 기준 오류",IF(AND(G174&lt;=H174+0.00001,'스킬 500종'!W174&gt;=1,'스킬 500종'!W174&lt;=5),"정상","초과"))</x:f>
        <x:v>정상</x:v>
      </x:c>
    </x:row>
    <x:row r="175" ht="30" customHeight="1">
      <x:c r="A175" s="1" t="str">
        <x:f>'스킬 500종'!A175</x:f>
        <x:v>SKILL_0169</x:v>
      </x:c>
      <x:c r="B175" s="1" t="str">
        <x:f>'스킬 500종'!B175</x:f>
        <x:v>스킬 쿨타임 증가 · 강화효과 해제 · 부활 불가 · 명중 감소의 일격</x:v>
      </x:c>
      <x:c r="C175" s="1" t="n">
        <x:f>2.4</x:f>
        <x:v>2.4</x:v>
      </x:c>
      <x:c r="D175" s="9" t="n">
        <x:f>C175*1.24*('효과 규칙 55종'!H54*'스킬 500종'!L175*'스킬 500종'!M175/'효과 규칙 55종'!D54+'효과 규칙 55종'!H56*'스킬 500종'!O175*'스킬 500종'!P175/'효과 규칙 55종'!D56+'효과 규칙 55종'!H48*'스킬 500종'!R175*'스킬 500종'!S175/'효과 규칙 55종'!D48+'효과 규칙 55종'!H21*'스킬 500종'!U175*'스킬 500종'!V175/'효과 규칙 55종'!D21)</x:f>
        <x:v>3.859127999999999</x:v>
      </x:c>
      <x:c r="E175" s="9" t="n">
        <x:f>C175*SUM('스킬 500종'!E175:H175)</x:f>
        <x:v>0.84</x:v>
      </x:c>
      <x:c r="F175" s="9" t="n">
        <x:f>C175*1.4*SUM('스킬 500종'!I175:J175)</x:f>
        <x:v>0</x:v>
      </x:c>
      <x:c r="G175" s="9" t="n">
        <x:f>SUM(D175:F175)</x:f>
        <x:v>4.699127999999999</x:v>
      </x:c>
      <x:c r="H175" s="9" t="n">
        <x:f>1.1+0.8*'스킬 500종'!W175</x:f>
        <x:v>5.1</x:v>
      </x:c>
      <x:c r="I175" s="10" t="n">
        <x:f>G175/H175</x:f>
        <x:v>0.9213976470588234</x:v>
      </x:c>
      <x:c r="J175" s="1" t="str">
        <x:f>IF(OR('스킬 500종'!I175&lt;0,'스킬 500종'!J175&lt;0,AND('스킬 500종'!I175&gt;0,'스킬 500종'!J175&gt;0),AND(OR('스킬 500종'!K175="HEAL",'스킬 500종'!N175="HEAL",'스킬 500종'!Q175="HEAL",'스킬 500종'!T175="HEAL"),'스킬 500종'!I175=0,'스킬 500종'!J175=0),AND('스킬 500종'!I175&gt;0,OR('스킬 500종'!K175="CONTINUOUS_HEAL",'스킬 500종'!N175="CONTINUOUS_HEAL",'스킬 500종'!Q175="CONTINUOUS_HEAL",'스킬 500종'!T175="CONTINUOUS_HEAL"))),"회복 기준 오류",IF(AND(G175&lt;=H175+0.00001,'스킬 500종'!W175&gt;=1,'스킬 500종'!W175&lt;=5),"정상","초과"))</x:f>
        <x:v>정상</x:v>
      </x:c>
    </x:row>
    <x:row r="176" ht="30" customHeight="1">
      <x:c r="A176" s="1" t="str">
        <x:f>'스킬 500종'!A176</x:f>
        <x:v>SKILL_0170</x:v>
      </x:c>
      <x:c r="B176" s="1" t="str">
        <x:f>'스킬 500종'!B176</x:f>
        <x:v>약화효과 전이 · 방어력 감소 · 회복 불가의 일격</x:v>
      </x:c>
      <x:c r="C176" s="1" t="n">
        <x:f>1</x:f>
        <x:v>1</x:v>
      </x:c>
      <x:c r="D176" s="9" t="n">
        <x:f>C176*1.16*('효과 규칙 55종'!H61*'스킬 500종'!L176*'스킬 500종'!M176/'효과 규칙 55종'!D61+'효과 규칙 55종'!H19*'스킬 500종'!O176*'스킬 500종'!P176/'효과 규칙 55종'!D19+'효과 규칙 55종'!H25*'스킬 500종'!R176*'스킬 500종'!S176/'효과 규칙 55종'!D25)</x:f>
        <x:v>2.16224</x:v>
      </x:c>
      <x:c r="E176" s="9" t="n">
        <x:f>C176*SUM('스킬 500종'!E176:H176)</x:f>
        <x:v>1.1</x:v>
      </x:c>
      <x:c r="F176" s="9" t="n">
        <x:f>C176*1.4*SUM('스킬 500종'!I176:J176)</x:f>
        <x:v>0</x:v>
      </x:c>
      <x:c r="G176" s="9" t="n">
        <x:f>SUM(D176:F176)</x:f>
        <x:v>3.2622400000000003</x:v>
      </x:c>
      <x:c r="H176" s="9" t="n">
        <x:f>1.1+0.8*'스킬 500종'!W176</x:f>
        <x:v>3.5000000000000004</x:v>
      </x:c>
      <x:c r="I176" s="10" t="n">
        <x:f>G176/H176</x:f>
        <x:v>0.9320685714285714</x:v>
      </x:c>
      <x:c r="J176" s="1" t="str">
        <x:f>IF(OR('스킬 500종'!I176&lt;0,'스킬 500종'!J176&lt;0,AND('스킬 500종'!I176&gt;0,'스킬 500종'!J176&gt;0),AND(OR('스킬 500종'!K176="HEAL",'스킬 500종'!N176="HEAL",'스킬 500종'!Q176="HEAL",'스킬 500종'!T176="HEAL"),'스킬 500종'!I176=0,'스킬 500종'!J176=0),AND('스킬 500종'!I176&gt;0,OR('스킬 500종'!K176="CONTINUOUS_HEAL",'스킬 500종'!N176="CONTINUOUS_HEAL",'스킬 500종'!Q176="CONTINUOUS_HEAL",'스킬 500종'!T176="CONTINUOUS_HEAL"))),"회복 기준 오류",IF(AND(G176&lt;=H176+0.00001,'스킬 500종'!W176&gt;=1,'스킬 500종'!W176&lt;=5),"정상","초과"))</x:f>
        <x:v>정상</x:v>
      </x:c>
    </x:row>
    <x:row r="177" ht="30" customHeight="1">
      <x:c r="A177" s="1" t="str">
        <x:f>'스킬 500종'!A177</x:f>
        <x:v>SKILL_0171</x:v>
      </x:c>
      <x:c r="B177" s="1" t="str">
        <x:f>'스킬 500종'!B177</x:f>
        <x:v>강화효과 지속시간 감소 · 속도 감소의 일격</x:v>
      </x:c>
      <x:c r="C177" s="1" t="n">
        <x:f>1</x:f>
        <x:v>1</x:v>
      </x:c>
      <x:c r="D177" s="9" t="n">
        <x:f>C177*1.08*('효과 규칙 55종'!H59*'스킬 500종'!L177*'스킬 500종'!M177/'효과 규칙 55종'!D59+'효과 규칙 55종'!H20*'스킬 500종'!O177*'스킬 500종'!P177/'효과 규칙 55종'!D20)</x:f>
        <x:v>1.3122</x:v>
      </x:c>
      <x:c r="E177" s="9" t="n">
        <x:f>C177*SUM('스킬 500종'!E177:H177)</x:f>
        <x:v>1.1</x:v>
      </x:c>
      <x:c r="F177" s="9" t="n">
        <x:f>C177*1.4*SUM('스킬 500종'!I177:J177)</x:f>
        <x:v>0</x:v>
      </x:c>
      <x:c r="G177" s="9" t="n">
        <x:f>SUM(D177:F177)</x:f>
        <x:v>2.4122000000000003</x:v>
      </x:c>
      <x:c r="H177" s="9" t="n">
        <x:f>1.1+0.8*'스킬 500종'!W177</x:f>
        <x:v>2.7</x:v>
      </x:c>
      <x:c r="I177" s="10" t="n">
        <x:f>G177/H177</x:f>
        <x:v>0.8934074074074074</x:v>
      </x:c>
      <x:c r="J177" s="1" t="str">
        <x:f>IF(OR('스킬 500종'!I177&lt;0,'스킬 500종'!J177&lt;0,AND('스킬 500종'!I177&gt;0,'스킬 500종'!J177&gt;0),AND(OR('스킬 500종'!K177="HEAL",'스킬 500종'!N177="HEAL",'스킬 500종'!Q177="HEAL",'스킬 500종'!T177="HEAL"),'스킬 500종'!I177=0,'스킬 500종'!J177=0),AND('스킬 500종'!I177&gt;0,OR('스킬 500종'!K177="CONTINUOUS_HEAL",'스킬 500종'!N177="CONTINUOUS_HEAL",'스킬 500종'!Q177="CONTINUOUS_HEAL",'스킬 500종'!T177="CONTINUOUS_HEAL"))),"회복 기준 오류",IF(AND(G177&lt;=H177+0.00001,'스킬 500종'!W177&gt;=1,'스킬 500종'!W177&lt;=5),"정상","초과"))</x:f>
        <x:v>정상</x:v>
      </x:c>
    </x:row>
    <x:row r="178" ht="30" customHeight="1">
      <x:c r="A178" s="1" t="str">
        <x:f>'스킬 500종'!A178</x:f>
        <x:v>SKILL_0172</x:v>
      </x:c>
      <x:c r="B178" s="1" t="str">
        <x:f>'스킬 500종'!B178</x:f>
        <x:v>공격력 감소 · 강화효과 지속시간 감소의 일격</x:v>
      </x:c>
      <x:c r="C178" s="1" t="n">
        <x:f>2.4</x:f>
        <x:v>2.4</x:v>
      </x:c>
      <x:c r="D178" s="9" t="n">
        <x:f>C178*1.08*('효과 규칙 55종'!H18*'스킬 500종'!L178*'스킬 500종'!M178/'효과 규칙 55종'!D18+'효과 규칙 55종'!H59*'스킬 500종'!O178*'스킬 500종'!P178/'효과 규칙 55종'!D59)</x:f>
        <x:v>2.916</x:v>
      </x:c>
      <x:c r="E178" s="9" t="n">
        <x:f>C178*SUM('스킬 500종'!E178:H178)</x:f>
        <x:v>1.68</x:v>
      </x:c>
      <x:c r="F178" s="9" t="n">
        <x:f>C178*1.4*SUM('스킬 500종'!I178:J178)</x:f>
        <x:v>0</x:v>
      </x:c>
      <x:c r="G178" s="9" t="n">
        <x:f>SUM(D178:F178)</x:f>
        <x:v>4.596</x:v>
      </x:c>
      <x:c r="H178" s="9" t="n">
        <x:f>1.1+0.8*'스킬 500종'!W178</x:f>
        <x:v>5.1</x:v>
      </x:c>
      <x:c r="I178" s="10" t="n">
        <x:f>G178/H178</x:f>
        <x:v>0.9011764705882354</x:v>
      </x:c>
      <x:c r="J178" s="1" t="str">
        <x:f>IF(OR('스킬 500종'!I178&lt;0,'스킬 500종'!J178&lt;0,AND('스킬 500종'!I178&gt;0,'스킬 500종'!J178&gt;0),AND(OR('스킬 500종'!K178="HEAL",'스킬 500종'!N178="HEAL",'스킬 500종'!Q178="HEAL",'스킬 500종'!T178="HEAL"),'스킬 500종'!I178=0,'스킬 500종'!J178=0),AND('스킬 500종'!I178&gt;0,OR('스킬 500종'!K178="CONTINUOUS_HEAL",'스킬 500종'!N178="CONTINUOUS_HEAL",'스킬 500종'!Q178="CONTINUOUS_HEAL",'스킬 500종'!T178="CONTINUOUS_HEAL"))),"회복 기준 오류",IF(AND(G178&lt;=H178+0.00001,'스킬 500종'!W178&gt;=1,'스킬 500종'!W178&lt;=5),"정상","초과"))</x:f>
        <x:v>정상</x:v>
      </x:c>
    </x:row>
    <x:row r="179" ht="30" customHeight="1">
      <x:c r="A179" s="1" t="str">
        <x:f>'스킬 500종'!A179</x:f>
        <x:v>SKILL_0173</x:v>
      </x:c>
      <x:c r="B179" s="1" t="str">
        <x:f>'스킬 500종'!B179</x:f>
        <x:v>회복 불가 · 추가 공격 · 저주 · 약화효과 지속시간 증가의 일격</x:v>
      </x:c>
      <x:c r="C179" s="1" t="n">
        <x:f>1</x:f>
        <x:v>1</x:v>
      </x:c>
      <x:c r="D179" s="9" t="n">
        <x:f>C179*1.24*('효과 규칙 55종'!H25*'스킬 500종'!L179*'스킬 500종'!M179/'효과 규칙 55종'!D25+'효과 규칙 55종'!H50*'스킬 500종'!O179*'스킬 500종'!P179/'효과 규칙 55종'!D50+'효과 규칙 55종'!H31*'스킬 500종'!R179*'스킬 500종'!S179/'효과 규칙 55종'!D31+'효과 규칙 55종'!H60*'스킬 500종'!U179*'스킬 500종'!V179/'효과 규칙 55종'!D60)</x:f>
        <x:v>2.206084</x:v>
      </x:c>
      <x:c r="E179" s="9" t="n">
        <x:f>C179*SUM('스킬 500종'!E179:H179)</x:f>
        <x:v>1.1</x:v>
      </x:c>
      <x:c r="F179" s="9" t="n">
        <x:f>C179*1.4*SUM('스킬 500종'!I179:J179)</x:f>
        <x:v>0</x:v>
      </x:c>
      <x:c r="G179" s="9" t="n">
        <x:f>SUM(D179:F179)</x:f>
        <x:v>3.3060840000000002</x:v>
      </x:c>
      <x:c r="H179" s="9" t="n">
        <x:f>1.1+0.8*'스킬 500종'!W179</x:f>
        <x:v>3.5000000000000004</x:v>
      </x:c>
      <x:c r="I179" s="10" t="n">
        <x:f>G179/H179</x:f>
        <x:v>0.9445954285714285</x:v>
      </x:c>
      <x:c r="J179" s="1" t="str">
        <x:f>IF(OR('스킬 500종'!I179&lt;0,'스킬 500종'!J179&lt;0,AND('스킬 500종'!I179&gt;0,'스킬 500종'!J179&gt;0),AND(OR('스킬 500종'!K179="HEAL",'스킬 500종'!N179="HEAL",'스킬 500종'!Q179="HEAL",'스킬 500종'!T179="HEAL"),'스킬 500종'!I179=0,'스킬 500종'!J179=0),AND('스킬 500종'!I179&gt;0,OR('스킬 500종'!K179="CONTINUOUS_HEAL",'스킬 500종'!N179="CONTINUOUS_HEAL",'스킬 500종'!Q179="CONTINUOUS_HEAL",'스킬 500종'!T179="CONTINUOUS_HEAL"))),"회복 기준 오류",IF(AND(G179&lt;=H179+0.00001,'스킬 500종'!W179&gt;=1,'스킬 500종'!W179&lt;=5),"정상","초과"))</x:f>
        <x:v>정상</x:v>
      </x:c>
    </x:row>
    <x:row r="180" ht="30" customHeight="1">
      <x:c r="A180" s="1" t="str">
        <x:f>'스킬 500종'!A180</x:f>
        <x:v>SKILL_0174</x:v>
      </x:c>
      <x:c r="B180" s="1" t="str">
        <x:f>'스킬 500종'!B180</x:f>
        <x:v>속도 감소 · 표적 · 상처 · 방어력 관통의 일격</x:v>
      </x:c>
      <x:c r="C180" s="1" t="n">
        <x:f>1</x:f>
        <x:v>1</x:v>
      </x:c>
      <x:c r="D180" s="9" t="n">
        <x:f>C180*1.24*('효과 규칙 55종'!H20*'스킬 500종'!L180*'스킬 500종'!M180/'효과 규칙 55종'!D20+'효과 규칙 55종'!H30*'스킬 500종'!O180*'스킬 500종'!P180/'효과 규칙 55종'!D30+'효과 규칙 55종'!H32*'스킬 500종'!R180*'스킬 500종'!S180/'효과 규칙 55종'!D32+'효과 규칙 55종'!H55*'스킬 500종'!U180*'스킬 500종'!V180/'효과 규칙 55종'!D55)</x:f>
        <x:v>1.5532859999999997</x:v>
      </x:c>
      <x:c r="E180" s="9" t="n">
        <x:f>C180*SUM('스킬 500종'!E180:H180)</x:f>
        <x:v>1.1</x:v>
      </x:c>
      <x:c r="F180" s="9" t="n">
        <x:f>C180*1.4*SUM('스킬 500종'!I180:J180)</x:f>
        <x:v>0</x:v>
      </x:c>
      <x:c r="G180" s="9" t="n">
        <x:f>SUM(D180:F180)</x:f>
        <x:v>2.6532859999999996</x:v>
      </x:c>
      <x:c r="H180" s="9" t="n">
        <x:f>1.1+0.8*'스킬 500종'!W180</x:f>
        <x:v>2.7</x:v>
      </x:c>
      <x:c r="I180" s="10" t="n">
        <x:f>G180/H180</x:f>
        <x:v>0.9826985185185183</x:v>
      </x:c>
      <x:c r="J180" s="1" t="str">
        <x:f>IF(OR('스킬 500종'!I180&lt;0,'스킬 500종'!J180&lt;0,AND('스킬 500종'!I180&gt;0,'스킬 500종'!J180&gt;0),AND(OR('스킬 500종'!K180="HEAL",'스킬 500종'!N180="HEAL",'스킬 500종'!Q180="HEAL",'스킬 500종'!T180="HEAL"),'스킬 500종'!I180=0,'스킬 500종'!J180=0),AND('스킬 500종'!I180&gt;0,OR('스킬 500종'!K180="CONTINUOUS_HEAL",'스킬 500종'!N180="CONTINUOUS_HEAL",'스킬 500종'!Q180="CONTINUOUS_HEAL",'스킬 500종'!T180="CONTINUOUS_HEAL"))),"회복 기준 오류",IF(AND(G180&lt;=H180+0.00001,'스킬 500종'!W180&gt;=1,'스킬 500종'!W180&lt;=5),"정상","초과"))</x:f>
        <x:v>정상</x:v>
      </x:c>
    </x:row>
    <x:row r="181" ht="30" customHeight="1">
      <x:c r="A181" s="1" t="str">
        <x:f>'스킬 500종'!A181</x:f>
        <x:v>SKILL_0175</x:v>
      </x:c>
      <x:c r="B181" s="1" t="str">
        <x:f>'스킬 500종'!B181</x:f>
        <x:v>상처 · 속도 감소 · 명중 감소 · 중독의 일격</x:v>
      </x:c>
      <x:c r="C181" s="1" t="n">
        <x:f>2.4</x:f>
        <x:v>2.4</x:v>
      </x:c>
      <x:c r="D181" s="9" t="n">
        <x:f>C181*1.24*('효과 규칙 55종'!H32*'스킬 500종'!L181*'스킬 500종'!M181/'효과 규칙 55종'!D32+'효과 규칙 55종'!H20*'스킬 500종'!O181*'스킬 500종'!P181/'효과 규칙 55종'!D20+'효과 규칙 55종'!H21*'스킬 500종'!R181*'스킬 500종'!S181/'효과 규칙 55종'!D21+'효과 규칙 55종'!H28*'스킬 500종'!U181*'스킬 500종'!V181/'효과 규칙 55종'!D28)</x:f>
        <x:v>3.2497920000000002</x:v>
      </x:c>
      <x:c r="E181" s="9" t="n">
        <x:f>C181*SUM('스킬 500종'!E181:H181)</x:f>
        <x:v>1.44</x:v>
      </x:c>
      <x:c r="F181" s="9" t="n">
        <x:f>C181*1.4*SUM('스킬 500종'!I181:J181)</x:f>
        <x:v>0</x:v>
      </x:c>
      <x:c r="G181" s="9" t="n">
        <x:f>SUM(D181:F181)</x:f>
        <x:v>4.689792000000001</x:v>
      </x:c>
      <x:c r="H181" s="9" t="n">
        <x:f>1.1+0.8*'스킬 500종'!W181</x:f>
        <x:v>5.1</x:v>
      </x:c>
      <x:c r="I181" s="10" t="n">
        <x:f>G181/H181</x:f>
        <x:v>0.9195670588235296</x:v>
      </x:c>
      <x:c r="J181" s="1" t="str">
        <x:f>IF(OR('스킬 500종'!I181&lt;0,'스킬 500종'!J181&lt;0,AND('스킬 500종'!I181&gt;0,'스킬 500종'!J181&gt;0),AND(OR('스킬 500종'!K181="HEAL",'스킬 500종'!N181="HEAL",'스킬 500종'!Q181="HEAL",'스킬 500종'!T181="HEAL"),'스킬 500종'!I181=0,'스킬 500종'!J181=0),AND('스킬 500종'!I181&gt;0,OR('스킬 500종'!K181="CONTINUOUS_HEAL",'스킬 500종'!N181="CONTINUOUS_HEAL",'스킬 500종'!Q181="CONTINUOUS_HEAL",'스킬 500종'!T181="CONTINUOUS_HEAL"))),"회복 기준 오류",IF(AND(G181&lt;=H181+0.00001,'스킬 500종'!W181&gt;=1,'스킬 500종'!W181&lt;=5),"정상","초과"))</x:f>
        <x:v>정상</x:v>
      </x:c>
    </x:row>
    <x:row r="182" ht="30" customHeight="1">
      <x:c r="A182" s="1" t="str">
        <x:f>'스킬 500종'!A182</x:f>
        <x:v>SKILL_0176</x:v>
      </x:c>
      <x:c r="B182" s="1" t="str">
        <x:f>'스킬 500종'!B182</x:f>
        <x:v>약화효과 지속시간 증가 · 추가 공격 · 방어력 감소 · 반격 불가의 일격</x:v>
      </x:c>
      <x:c r="C182" s="1" t="n">
        <x:f>1</x:f>
        <x:v>1</x:v>
      </x:c>
      <x:c r="D182" s="9" t="n">
        <x:f>C182*1.24*('효과 규칙 55종'!H60*'스킬 500종'!L182*'스킬 500종'!M182/'효과 규칙 55종'!D60+'효과 규칙 55종'!H50*'스킬 500종'!O182*'스킬 500종'!P182/'효과 규칙 55종'!D50+'효과 규칙 55종'!H19*'스킬 500종'!R182*'스킬 500종'!S182/'효과 규칙 55종'!D19+'효과 규칙 55종'!H27*'스킬 500종'!U182*'스킬 500종'!V182/'효과 규칙 55종'!D27)</x:f>
        <x:v>2.234294</x:v>
      </x:c>
      <x:c r="E182" s="9" t="n">
        <x:f>C182*SUM('스킬 500종'!E182:H182)</x:f>
        <x:v>1.1</x:v>
      </x:c>
      <x:c r="F182" s="9" t="n">
        <x:f>C182*1.4*SUM('스킬 500종'!I182:J182)</x:f>
        <x:v>0</x:v>
      </x:c>
      <x:c r="G182" s="9" t="n">
        <x:f>SUM(D182:F182)</x:f>
        <x:v>3.334294</x:v>
      </x:c>
      <x:c r="H182" s="9" t="n">
        <x:f>1.1+0.8*'스킬 500종'!W182</x:f>
        <x:v>3.5000000000000004</x:v>
      </x:c>
      <x:c r="I182" s="10" t="n">
        <x:f>G182/H182</x:f>
        <x:v>0.9526554285714284</x:v>
      </x:c>
      <x:c r="J182" s="1" t="str">
        <x:f>IF(OR('스킬 500종'!I182&lt;0,'스킬 500종'!J182&lt;0,AND('스킬 500종'!I182&gt;0,'스킬 500종'!J182&gt;0),AND(OR('스킬 500종'!K182="HEAL",'스킬 500종'!N182="HEAL",'스킬 500종'!Q182="HEAL",'스킬 500종'!T182="HEAL"),'스킬 500종'!I182=0,'스킬 500종'!J182=0),AND('스킬 500종'!I182&gt;0,OR('스킬 500종'!K182="CONTINUOUS_HEAL",'스킬 500종'!N182="CONTINUOUS_HEAL",'스킬 500종'!Q182="CONTINUOUS_HEAL",'스킬 500종'!T182="CONTINUOUS_HEAL"))),"회복 기준 오류",IF(AND(G182&lt;=H182+0.00001,'스킬 500종'!W182&gt;=1,'스킬 500종'!W182&lt;=5),"정상","초과"))</x:f>
        <x:v>정상</x:v>
      </x:c>
    </x:row>
    <x:row r="183" ht="30" customHeight="1">
      <x:c r="A183" s="1" t="str">
        <x:f>'스킬 500종'!A183</x:f>
        <x:v>SKILL_0177</x:v>
      </x:c>
      <x:c r="B183" s="1" t="str">
        <x:f>'스킬 500종'!B183</x:f>
        <x:v>추가 피해 · 중독 · 기절 — 스턴 · 흡혈의 일격</x:v>
      </x:c>
      <x:c r="C183" s="1" t="n">
        <x:f>1</x:f>
        <x:v>1</x:v>
      </x:c>
      <x:c r="D183" s="9" t="n">
        <x:f>C183*1.24*('효과 규칙 55종'!H33*'스킬 500종'!L183*'스킬 500종'!M183/'효과 규칙 55종'!D33+'효과 규칙 55종'!H28*'스킬 500종'!O183*'스킬 500종'!P183/'효과 규칙 55종'!D28+'효과 규칙 55종'!H22*'스킬 500종'!R183*'스킬 500종'!S183/'효과 규칙 55종'!D22+'효과 규칙 55종'!H36*'스킬 500종'!U183*'스킬 500종'!V183/'효과 규칙 55종'!D36)</x:f>
        <x:v>2.3245908</x:v>
      </x:c>
      <x:c r="E183" s="9" t="n">
        <x:f>C183*SUM('스킬 500종'!E183:H183)</x:f>
        <x:v>1.1</x:v>
      </x:c>
      <x:c r="F183" s="9" t="n">
        <x:f>C183*1.4*SUM('스킬 500종'!I183:J183)</x:f>
        <x:v>0</x:v>
      </x:c>
      <x:c r="G183" s="9" t="n">
        <x:f>SUM(D183:F183)</x:f>
        <x:v>3.4245908000000003</x:v>
      </x:c>
      <x:c r="H183" s="9" t="n">
        <x:f>1.1+0.8*'스킬 500종'!W183</x:f>
        <x:v>3.5000000000000004</x:v>
      </x:c>
      <x:c r="I183" s="10" t="n">
        <x:f>G183/H183</x:f>
        <x:v>0.9784545142857143</x:v>
      </x:c>
      <x:c r="J183" s="1" t="str">
        <x:f>IF(OR('스킬 500종'!I183&lt;0,'스킬 500종'!J183&lt;0,AND('스킬 500종'!I183&gt;0,'스킬 500종'!J183&gt;0),AND(OR('스킬 500종'!K183="HEAL",'스킬 500종'!N183="HEAL",'스킬 500종'!Q183="HEAL",'스킬 500종'!T183="HEAL"),'스킬 500종'!I183=0,'스킬 500종'!J183=0),AND('스킬 500종'!I183&gt;0,OR('스킬 500종'!K183="CONTINUOUS_HEAL",'스킬 500종'!N183="CONTINUOUS_HEAL",'스킬 500종'!Q183="CONTINUOUS_HEAL",'스킬 500종'!T183="CONTINUOUS_HEAL"))),"회복 기준 오류",IF(AND(G183&lt;=H183+0.00001,'스킬 500종'!W183&gt;=1,'스킬 500종'!W183&lt;=5),"정상","초과"))</x:f>
        <x:v>정상</x:v>
      </x:c>
    </x:row>
    <x:row r="184" ht="30" customHeight="1">
      <x:c r="A184" s="1" t="str">
        <x:f>'스킬 500종'!A184</x:f>
        <x:v>SKILL_0178</x:v>
      </x:c>
      <x:c r="B184" s="1" t="str">
        <x:f>'스킬 500종'!B184</x:f>
        <x:v>강화 불가 · 반격 불가 · 공격력 감소의 일격</x:v>
      </x:c>
      <x:c r="C184" s="1" t="n">
        <x:f>2.4</x:f>
        <x:v>2.4</x:v>
      </x:c>
      <x:c r="D184" s="9" t="n">
        <x:f>C184*1.16*('효과 규칙 55종'!H26*'스킬 500종'!L184*'스킬 500종'!M184/'효과 규칙 55종'!D26+'효과 규칙 55종'!H27*'스킬 500종'!O184*'스킬 500종'!P184/'효과 규칙 55종'!D27+'효과 규칙 55종'!H18*'스킬 500종'!R184*'스킬 500종'!S184/'효과 규칙 55종'!D18)</x:f>
        <x:v>3.601104</x:v>
      </x:c>
      <x:c r="E184" s="9" t="n">
        <x:f>C184*SUM('스킬 500종'!E184:H184)</x:f>
        <x:v>1.32</x:v>
      </x:c>
      <x:c r="F184" s="9" t="n">
        <x:f>C184*1.4*SUM('스킬 500종'!I184:J184)</x:f>
        <x:v>0</x:v>
      </x:c>
      <x:c r="G184" s="9" t="n">
        <x:f>SUM(D184:F184)</x:f>
        <x:v>4.921104</x:v>
      </x:c>
      <x:c r="H184" s="9" t="n">
        <x:f>1.1+0.8*'스킬 500종'!W184</x:f>
        <x:v>5.1</x:v>
      </x:c>
      <x:c r="I184" s="10" t="n">
        <x:f>G184/H184</x:f>
        <x:v>0.9649223529411765</x:v>
      </x:c>
      <x:c r="J184" s="1" t="str">
        <x:f>IF(OR('스킬 500종'!I184&lt;0,'스킬 500종'!J184&lt;0,AND('스킬 500종'!I184&gt;0,'스킬 500종'!J184&gt;0),AND(OR('스킬 500종'!K184="HEAL",'스킬 500종'!N184="HEAL",'스킬 500종'!Q184="HEAL",'스킬 500종'!T184="HEAL"),'스킬 500종'!I184=0,'스킬 500종'!J184=0),AND('스킬 500종'!I184&gt;0,OR('스킬 500종'!K184="CONTINUOUS_HEAL",'스킬 500종'!N184="CONTINUOUS_HEAL",'스킬 500종'!Q184="CONTINUOUS_HEAL",'스킬 500종'!T184="CONTINUOUS_HEAL"))),"회복 기준 오류",IF(AND(G184&lt;=H184+0.00001,'스킬 500종'!W184&gt;=1,'스킬 500종'!W184&lt;=5),"정상","초과"))</x:f>
        <x:v>정상</x:v>
      </x:c>
    </x:row>
    <x:row r="185" ht="30" customHeight="1">
      <x:c r="A185" s="1" t="str">
        <x:f>'스킬 500종'!A185</x:f>
        <x:v>SKILL_0179</x:v>
      </x:c>
      <x:c r="B185" s="1" t="str">
        <x:f>'스킬 500종'!B185</x:f>
        <x:v>강화효과 지속시간 감소 · 도발 · 강화 불가의 일격</x:v>
      </x:c>
      <x:c r="C185" s="1" t="n">
        <x:f>1</x:f>
        <x:v>1</x:v>
      </x:c>
      <x:c r="D185" s="9" t="n">
        <x:f>C185*1.16*('효과 규칙 55종'!H59*'스킬 500종'!L185*'스킬 500종'!M185/'효과 규칙 55종'!D59+'효과 규칙 55종'!H24*'스킬 500종'!O185*'스킬 500종'!P185/'효과 규칙 55종'!D24+'효과 규칙 55종'!H26*'스킬 500종'!R185*'스킬 500종'!S185/'효과 규칙 55종'!D26)</x:f>
        <x:v>2.4128</x:v>
      </x:c>
      <x:c r="E185" s="9" t="n">
        <x:f>C185*SUM('스킬 500종'!E185:H185)</x:f>
        <x:v>1.1</x:v>
      </x:c>
      <x:c r="F185" s="9" t="n">
        <x:f>C185*1.4*SUM('스킬 500종'!I185:J185)</x:f>
        <x:v>0</x:v>
      </x:c>
      <x:c r="G185" s="9" t="n">
        <x:f>SUM(D185:F185)</x:f>
        <x:v>3.5128</x:v>
      </x:c>
      <x:c r="H185" s="9" t="n">
        <x:f>1.1+0.8*'스킬 500종'!W185</x:f>
        <x:v>4.300000000000001</x:v>
      </x:c>
      <x:c r="I185" s="10" t="n">
        <x:f>G185/H185</x:f>
        <x:v>0.8169302325581393</x:v>
      </x:c>
      <x:c r="J185" s="1" t="str">
        <x:f>IF(OR('스킬 500종'!I185&lt;0,'스킬 500종'!J185&lt;0,AND('스킬 500종'!I185&gt;0,'스킬 500종'!J185&gt;0),AND(OR('스킬 500종'!K185="HEAL",'스킬 500종'!N185="HEAL",'스킬 500종'!Q185="HEAL",'스킬 500종'!T185="HEAL"),'스킬 500종'!I185=0,'스킬 500종'!J185=0),AND('스킬 500종'!I185&gt;0,OR('스킬 500종'!K185="CONTINUOUS_HEAL",'스킬 500종'!N185="CONTINUOUS_HEAL",'스킬 500종'!Q185="CONTINUOUS_HEAL",'스킬 500종'!T185="CONTINUOUS_HEAL"))),"회복 기준 오류",IF(AND(G185&lt;=H185+0.00001,'스킬 500종'!W185&gt;=1,'스킬 500종'!W185&lt;=5),"정상","초과"))</x:f>
        <x:v>정상</x:v>
      </x:c>
    </x:row>
    <x:row r="186" ht="30" customHeight="1">
      <x:c r="A186" s="1" t="str">
        <x:f>'스킬 500종'!A186</x:f>
        <x:v>SKILL_0180</x:v>
      </x:c>
      <x:c r="B186" s="1" t="str">
        <x:f>'스킬 500종'!B186</x:f>
        <x:v>상처 · 회복 불가 · 방어력 관통의 일격</x:v>
      </x:c>
      <x:c r="C186" s="1" t="n">
        <x:f>1</x:f>
        <x:v>1</x:v>
      </x:c>
      <x:c r="D186" s="9" t="n">
        <x:f>C186*1.16*('효과 규칙 55종'!H32*'스킬 500종'!L186*'스킬 500종'!M186/'효과 규칙 55종'!D32+'효과 규칙 55종'!H25*'스킬 500종'!O186*'스킬 500종'!P186/'효과 규칙 55종'!D25+'효과 규칙 55종'!H55*'스킬 500종'!R186*'스킬 500종'!S186/'효과 규칙 55종'!D55)</x:f>
        <x:v>1.7167999999999999</x:v>
      </x:c>
      <x:c r="E186" s="9" t="n">
        <x:f>C186*SUM('스킬 500종'!E186:H186)</x:f>
        <x:v>1.1</x:v>
      </x:c>
      <x:c r="F186" s="9" t="n">
        <x:f>C186*1.4*SUM('스킬 500종'!I186:J186)</x:f>
        <x:v>0</x:v>
      </x:c>
      <x:c r="G186" s="9" t="n">
        <x:f>SUM(D186:F186)</x:f>
        <x:v>2.8167999999999997</x:v>
      </x:c>
      <x:c r="H186" s="9" t="n">
        <x:f>1.1+0.8*'스킬 500종'!W186</x:f>
        <x:v>3.5000000000000004</x:v>
      </x:c>
      <x:c r="I186" s="10" t="n">
        <x:f>G186/H186</x:f>
        <x:v>0.8047999999999998</x:v>
      </x:c>
      <x:c r="J186" s="1" t="str">
        <x:f>IF(OR('스킬 500종'!I186&lt;0,'스킬 500종'!J186&lt;0,AND('스킬 500종'!I186&gt;0,'스킬 500종'!J186&gt;0),AND(OR('스킬 500종'!K186="HEAL",'스킬 500종'!N186="HEAL",'스킬 500종'!Q186="HEAL",'스킬 500종'!T186="HEAL"),'스킬 500종'!I186=0,'스킬 500종'!J186=0),AND('스킬 500종'!I186&gt;0,OR('스킬 500종'!K186="CONTINUOUS_HEAL",'스킬 500종'!N186="CONTINUOUS_HEAL",'스킬 500종'!Q186="CONTINUOUS_HEAL",'스킬 500종'!T186="CONTINUOUS_HEAL"))),"회복 기준 오류",IF(AND(G186&lt;=H186+0.00001,'스킬 500종'!W186&gt;=1,'스킬 500종'!W186&lt;=5),"정상","초과"))</x:f>
        <x:v>정상</x:v>
      </x:c>
    </x:row>
    <x:row r="187" ht="30" customHeight="1">
      <x:c r="A187" s="1" t="str">
        <x:f>'스킬 500종'!A187</x:f>
        <x:v>SKILL_0181</x:v>
      </x:c>
      <x:c r="B187" s="1" t="str">
        <x:f>'스킬 500종'!B187</x:f>
        <x:v>출혈 · 소멸 · 강화효과 지속시간 감소 · 강화 불가의 일격</x:v>
      </x:c>
      <x:c r="C187" s="1" t="n">
        <x:f>2.4</x:f>
        <x:v>2.4</x:v>
      </x:c>
      <x:c r="D187" s="9" t="n">
        <x:f>C187*1.24*('효과 규칙 55종'!H29*'스킬 500종'!L187*'스킬 500종'!M187/'효과 규칙 55종'!D29+'효과 규칙 55종'!H47*'스킬 500종'!O187*'스킬 500종'!P187/'효과 규칙 55종'!D47+'효과 규칙 55종'!H59*'스킬 500종'!R187*'스킬 500종'!S187/'효과 규칙 55종'!D59+'효과 규칙 55종'!H26*'스킬 500종'!U187*'스킬 500종'!V187/'효과 규칙 55종'!D26)</x:f>
        <x:v>3.6009600000000006</x:v>
      </x:c>
      <x:c r="E187" s="9" t="n">
        <x:f>C187*SUM('스킬 500종'!E187:H187)</x:f>
        <x:v>0.96</x:v>
      </x:c>
      <x:c r="F187" s="9" t="n">
        <x:f>C187*1.4*SUM('스킬 500종'!I187:J187)</x:f>
        <x:v>0</x:v>
      </x:c>
      <x:c r="G187" s="9" t="n">
        <x:f>SUM(D187:F187)</x:f>
        <x:v>4.560960000000001</x:v>
      </x:c>
      <x:c r="H187" s="9" t="n">
        <x:f>1.1+0.8*'스킬 500종'!W187</x:f>
        <x:v>5.1</x:v>
      </x:c>
      <x:c r="I187" s="10" t="n">
        <x:f>G187/H187</x:f>
        <x:v>0.8943058823529414</x:v>
      </x:c>
      <x:c r="J187" s="1" t="str">
        <x:f>IF(OR('스킬 500종'!I187&lt;0,'스킬 500종'!J187&lt;0,AND('스킬 500종'!I187&gt;0,'스킬 500종'!J187&gt;0),AND(OR('스킬 500종'!K187="HEAL",'스킬 500종'!N187="HEAL",'스킬 500종'!Q187="HEAL",'스킬 500종'!T187="HEAL"),'스킬 500종'!I187=0,'스킬 500종'!J187=0),AND('스킬 500종'!I187&gt;0,OR('스킬 500종'!K187="CONTINUOUS_HEAL",'스킬 500종'!N187="CONTINUOUS_HEAL",'스킬 500종'!Q187="CONTINUOUS_HEAL",'스킬 500종'!T187="CONTINUOUS_HEAL"))),"회복 기준 오류",IF(AND(G187&lt;=H187+0.00001,'스킬 500종'!W187&gt;=1,'스킬 500종'!W187&lt;=5),"정상","초과"))</x:f>
        <x:v>정상</x:v>
      </x:c>
    </x:row>
    <x:row r="188" ht="30" customHeight="1">
      <x:c r="A188" s="1" t="str">
        <x:f>'스킬 500종'!A188</x:f>
        <x:v>SKILL_0182</x:v>
      </x:c>
      <x:c r="B188" s="1" t="str">
        <x:f>'스킬 500종'!B188</x:f>
        <x:v>회복 불가 · 추가 공격 · 부활 불가 · 표적의 일격</x:v>
      </x:c>
      <x:c r="C188" s="1" t="n">
        <x:f>1</x:f>
        <x:v>1</x:v>
      </x:c>
      <x:c r="D188" s="9" t="n">
        <x:f>C188*1.24*('효과 규칙 55종'!H25*'스킬 500종'!L188*'스킬 500종'!M188/'효과 규칙 55종'!D25+'효과 규칙 55종'!H50*'스킬 500종'!O188*'스킬 500종'!P188/'효과 규칙 55종'!D50+'효과 규칙 55종'!H48*'스킬 500종'!R188*'스킬 500종'!S188/'효과 규칙 55종'!D48+'효과 규칙 55종'!H30*'스킬 500종'!U188*'스킬 500종'!V188/'효과 규칙 55종'!D30)</x:f>
        <x:v>2.1383799999999997</x:v>
      </x:c>
      <x:c r="E188" s="9" t="n">
        <x:f>C188*SUM('스킬 500종'!E188:H188)</x:f>
        <x:v>1.1</x:v>
      </x:c>
      <x:c r="F188" s="9" t="n">
        <x:f>C188*1.4*SUM('스킬 500종'!I188:J188)</x:f>
        <x:v>0</x:v>
      </x:c>
      <x:c r="G188" s="9" t="n">
        <x:f>SUM(D188:F188)</x:f>
        <x:v>3.23838</x:v>
      </x:c>
      <x:c r="H188" s="9" t="n">
        <x:f>1.1+0.8*'스킬 500종'!W188</x:f>
        <x:v>3.5000000000000004</x:v>
      </x:c>
      <x:c r="I188" s="10" t="n">
        <x:f>G188/H188</x:f>
        <x:v>0.9252514285714284</x:v>
      </x:c>
      <x:c r="J188" s="1" t="str">
        <x:f>IF(OR('스킬 500종'!I188&lt;0,'스킬 500종'!J188&lt;0,AND('스킬 500종'!I188&gt;0,'스킬 500종'!J188&gt;0),AND(OR('스킬 500종'!K188="HEAL",'스킬 500종'!N188="HEAL",'스킬 500종'!Q188="HEAL",'스킬 500종'!T188="HEAL"),'스킬 500종'!I188=0,'스킬 500종'!J188=0),AND('스킬 500종'!I188&gt;0,OR('스킬 500종'!K188="CONTINUOUS_HEAL",'스킬 500종'!N188="CONTINUOUS_HEAL",'스킬 500종'!Q188="CONTINUOUS_HEAL",'스킬 500종'!T188="CONTINUOUS_HEAL"))),"회복 기준 오류",IF(AND(G188&lt;=H188+0.00001,'스킬 500종'!W188&gt;=1,'스킬 500종'!W188&lt;=5),"정상","초과"))</x:f>
        <x:v>정상</x:v>
      </x:c>
    </x:row>
    <x:row r="189" ht="30" customHeight="1">
      <x:c r="A189" s="1" t="str">
        <x:f>'스킬 500종'!A189</x:f>
        <x:v>SKILL_0183</x:v>
      </x:c>
      <x:c r="B189" s="1" t="str">
        <x:f>'스킬 500종'!B189</x:f>
        <x:v>저주 · 회복 불가 · 반격 불가의 일격</x:v>
      </x:c>
      <x:c r="C189" s="1" t="n">
        <x:f>1</x:f>
        <x:v>1</x:v>
      </x:c>
      <x:c r="D189" s="9" t="n">
        <x:f>C189*1.16*('효과 규칙 55종'!H31*'스킬 500종'!L189*'스킬 500종'!M189/'효과 규칙 55종'!D31+'효과 규칙 55종'!H25*'스킬 500종'!O189*'스킬 500종'!P189/'효과 규칙 55종'!D25+'효과 규칙 55종'!H27*'스킬 500종'!R189*'스킬 500종'!S189/'효과 규칙 55종'!D27)</x:f>
        <x:v>1.80032</x:v>
      </x:c>
      <x:c r="E189" s="9" t="n">
        <x:f>C189*SUM('스킬 500종'!E189:H189)</x:f>
        <x:v>1.1</x:v>
      </x:c>
      <x:c r="F189" s="9" t="n">
        <x:f>C189*1.4*SUM('스킬 500종'!I189:J189)</x:f>
        <x:v>0</x:v>
      </x:c>
      <x:c r="G189" s="9" t="n">
        <x:f>SUM(D189:F189)</x:f>
        <x:v>2.90032</x:v>
      </x:c>
      <x:c r="H189" s="9" t="n">
        <x:f>1.1+0.8*'스킬 500종'!W189</x:f>
        <x:v>3.5000000000000004</x:v>
      </x:c>
      <x:c r="I189" s="10" t="n">
        <x:f>G189/H189</x:f>
        <x:v>0.8286628571428569</x:v>
      </x:c>
      <x:c r="J189" s="1" t="str">
        <x:f>IF(OR('스킬 500종'!I189&lt;0,'스킬 500종'!J189&lt;0,AND('스킬 500종'!I189&gt;0,'스킬 500종'!J189&gt;0),AND(OR('스킬 500종'!K189="HEAL",'스킬 500종'!N189="HEAL",'스킬 500종'!Q189="HEAL",'스킬 500종'!T189="HEAL"),'스킬 500종'!I189=0,'스킬 500종'!J189=0),AND('스킬 500종'!I189&gt;0,OR('스킬 500종'!K189="CONTINUOUS_HEAL",'스킬 500종'!N189="CONTINUOUS_HEAL",'스킬 500종'!Q189="CONTINUOUS_HEAL",'스킬 500종'!T189="CONTINUOUS_HEAL"))),"회복 기준 오류",IF(AND(G189&lt;=H189+0.00001,'스킬 500종'!W189&gt;=1,'스킬 500종'!W189&lt;=5),"정상","초과"))</x:f>
        <x:v>정상</x:v>
      </x:c>
    </x:row>
    <x:row r="190" ht="30" customHeight="1">
      <x:c r="A190" s="1" t="str">
        <x:f>'스킬 500종'!A190</x:f>
        <x:v>SKILL_0184</x:v>
      </x:c>
      <x:c r="B190" s="1" t="str">
        <x:f>'스킬 500종'!B190</x:f>
        <x:v>상처 · 반격 불가 · 흡혈 · 약화효과 지속시간 증가의 일격</x:v>
      </x:c>
      <x:c r="C190" s="1" t="n">
        <x:f>2.4</x:f>
        <x:v>2.4</x:v>
      </x:c>
      <x:c r="D190" s="9" t="n">
        <x:f>C190*1.24*('효과 규칙 55종'!H32*'스킬 500종'!L190*'스킬 500종'!M190/'효과 규칙 55종'!D32+'효과 규칙 55종'!H27*'스킬 500종'!O190*'스킬 500종'!P190/'효과 규칙 55종'!D27+'효과 규칙 55종'!H36*'스킬 500종'!R190*'스킬 500종'!S190/'효과 규칙 55종'!D36+'효과 규칙 55종'!H60*'스킬 500종'!U190*'스킬 500종'!V190/'효과 규칙 55종'!D60)</x:f>
        <x:v>3.5414399999999997</x:v>
      </x:c>
      <x:c r="E190" s="9" t="n">
        <x:f>C190*SUM('스킬 500종'!E190:H190)</x:f>
        <x:v>1.2</x:v>
      </x:c>
      <x:c r="F190" s="9" t="n">
        <x:f>C190*1.4*SUM('스킬 500종'!I190:J190)</x:f>
        <x:v>0</x:v>
      </x:c>
      <x:c r="G190" s="9" t="n">
        <x:f>SUM(D190:F190)</x:f>
        <x:v>4.74144</x:v>
      </x:c>
      <x:c r="H190" s="9" t="n">
        <x:f>1.1+0.8*'스킬 500종'!W190</x:f>
        <x:v>5.1</x:v>
      </x:c>
      <x:c r="I190" s="10" t="n">
        <x:f>G190/H190</x:f>
        <x:v>0.9296941176470589</x:v>
      </x:c>
      <x:c r="J190" s="1" t="str">
        <x:f>IF(OR('스킬 500종'!I190&lt;0,'스킬 500종'!J190&lt;0,AND('스킬 500종'!I190&gt;0,'스킬 500종'!J190&gt;0),AND(OR('스킬 500종'!K190="HEAL",'스킬 500종'!N190="HEAL",'스킬 500종'!Q190="HEAL",'스킬 500종'!T190="HEAL"),'스킬 500종'!I190=0,'스킬 500종'!J190=0),AND('스킬 500종'!I190&gt;0,OR('스킬 500종'!K190="CONTINUOUS_HEAL",'스킬 500종'!N190="CONTINUOUS_HEAL",'스킬 500종'!Q190="CONTINUOUS_HEAL",'스킬 500종'!T190="CONTINUOUS_HEAL"))),"회복 기준 오류",IF(AND(G190&lt;=H190+0.00001,'스킬 500종'!W190&gt;=1,'스킬 500종'!W190&lt;=5),"정상","초과"))</x:f>
        <x:v>정상</x:v>
      </x:c>
    </x:row>
    <x:row r="191" ht="30" customHeight="1">
      <x:c r="A191" s="1" t="str">
        <x:f>'스킬 500종'!A191</x:f>
        <x:v>SKILL_0185</x:v>
      </x:c>
      <x:c r="B191" s="1" t="str">
        <x:f>'스킬 500종'!B191</x:f>
        <x:v>속도 감소 · 방어력 감소 · 스킬 쿨타임 증가 · 저주의 일격</x:v>
      </x:c>
      <x:c r="C191" s="1" t="n">
        <x:f>1</x:f>
        <x:v>1</x:v>
      </x:c>
      <x:c r="D191" s="9" t="n">
        <x:f>C191*1.24*('효과 규칙 55종'!H20*'스킬 500종'!L191*'스킬 500종'!M191/'효과 규칙 55종'!D20+'효과 규칙 55종'!H19*'스킬 500종'!O191*'스킬 500종'!P191/'효과 규칙 55종'!D19+'효과 규칙 55종'!H54*'스킬 500종'!R191*'스킬 500종'!S191/'효과 규칙 55종'!D54+'효과 규칙 55종'!H31*'스킬 500종'!U191*'스킬 500종'!V191/'효과 규칙 55종'!D31)</x:f>
        <x:v>2.5996599999999996</x:v>
      </x:c>
      <x:c r="E191" s="9" t="n">
        <x:f>C191*SUM('스킬 500종'!E191:H191)</x:f>
        <x:v>1.1</x:v>
      </x:c>
      <x:c r="F191" s="9" t="n">
        <x:f>C191*1.4*SUM('스킬 500종'!I191:J191)</x:f>
        <x:v>0</x:v>
      </x:c>
      <x:c r="G191" s="9" t="n">
        <x:f>SUM(D191:F191)</x:f>
        <x:v>3.6996599999999997</x:v>
      </x:c>
      <x:c r="H191" s="9" t="n">
        <x:f>1.1+0.8*'스킬 500종'!W191</x:f>
        <x:v>4.300000000000001</x:v>
      </x:c>
      <x:c r="I191" s="10" t="n">
        <x:f>G191/H191</x:f>
        <x:v>0.8603860465116278</x:v>
      </x:c>
      <x:c r="J191" s="1" t="str">
        <x:f>IF(OR('스킬 500종'!I191&lt;0,'스킬 500종'!J191&lt;0,AND('스킬 500종'!I191&gt;0,'스킬 500종'!J191&gt;0),AND(OR('스킬 500종'!K191="HEAL",'스킬 500종'!N191="HEAL",'스킬 500종'!Q191="HEAL",'스킬 500종'!T191="HEAL"),'스킬 500종'!I191=0,'스킬 500종'!J191=0),AND('스킬 500종'!I191&gt;0,OR('스킬 500종'!K191="CONTINUOUS_HEAL",'스킬 500종'!N191="CONTINUOUS_HEAL",'스킬 500종'!Q191="CONTINUOUS_HEAL",'스킬 500종'!T191="CONTINUOUS_HEAL"))),"회복 기준 오류",IF(AND(G191&lt;=H191+0.00001,'스킬 500종'!W191&gt;=1,'스킬 500종'!W191&lt;=5),"정상","초과"))</x:f>
        <x:v>정상</x:v>
      </x:c>
    </x:row>
    <x:row r="192" ht="30" customHeight="1">
      <x:c r="A192" s="1" t="str">
        <x:f>'스킬 500종'!A192</x:f>
        <x:v>SKILL_0186</x:v>
      </x:c>
      <x:c r="B192" s="1" t="str">
        <x:f>'스킬 500종'!B192</x:f>
        <x:v>회복 불가 · 강화효과 지속시간 감소의 일격</x:v>
      </x:c>
      <x:c r="C192" s="1" t="n">
        <x:f>1</x:f>
        <x:v>1</x:v>
      </x:c>
      <x:c r="D192" s="9" t="n">
        <x:f>C192*1.08*('효과 규칙 55종'!H25*'스킬 500종'!L192*'스킬 500종'!M192/'효과 규칙 55종'!D25+'효과 규칙 55종'!H59*'스킬 500종'!O192*'스킬 500종'!P192/'효과 규칙 55종'!D59)</x:f>
        <x:v>1.3122000000000003</x:v>
      </x:c>
      <x:c r="E192" s="9" t="n">
        <x:f>C192*SUM('스킬 500종'!E192:H192)</x:f>
        <x:v>1.1</x:v>
      </x:c>
      <x:c r="F192" s="9" t="n">
        <x:f>C192*1.4*SUM('스킬 500종'!I192:J192)</x:f>
        <x:v>0</x:v>
      </x:c>
      <x:c r="G192" s="9" t="n">
        <x:f>SUM(D192:F192)</x:f>
        <x:v>2.4122000000000003</x:v>
      </x:c>
      <x:c r="H192" s="9" t="n">
        <x:f>1.1+0.8*'스킬 500종'!W192</x:f>
        <x:v>2.7</x:v>
      </x:c>
      <x:c r="I192" s="10" t="n">
        <x:f>G192/H192</x:f>
        <x:v>0.8934074074074074</x:v>
      </x:c>
      <x:c r="J192" s="1" t="str">
        <x:f>IF(OR('스킬 500종'!I192&lt;0,'스킬 500종'!J192&lt;0,AND('스킬 500종'!I192&gt;0,'스킬 500종'!J192&gt;0),AND(OR('스킬 500종'!K192="HEAL",'스킬 500종'!N192="HEAL",'스킬 500종'!Q192="HEAL",'스킬 500종'!T192="HEAL"),'스킬 500종'!I192=0,'스킬 500종'!J192=0),AND('스킬 500종'!I192&gt;0,OR('스킬 500종'!K192="CONTINUOUS_HEAL",'스킬 500종'!N192="CONTINUOUS_HEAL",'스킬 500종'!Q192="CONTINUOUS_HEAL",'스킬 500종'!T192="CONTINUOUS_HEAL"))),"회복 기준 오류",IF(AND(G192&lt;=H192+0.00001,'스킬 500종'!W192&gt;=1,'스킬 500종'!W192&lt;=5),"정상","초과"))</x:f>
        <x:v>정상</x:v>
      </x:c>
    </x:row>
    <x:row r="193" ht="30" customHeight="1">
      <x:c r="A193" s="1" t="str">
        <x:f>'스킬 500종'!A193</x:f>
        <x:v>SKILL_0187</x:v>
      </x:c>
      <x:c r="B193" s="1" t="str">
        <x:f>'스킬 500종'!B193</x:f>
        <x:v>약화효과 지속시간 증가 · 추가 피해의 일격</x:v>
      </x:c>
      <x:c r="C193" s="1" t="n">
        <x:f>2.4</x:f>
        <x:v>2.4</x:v>
      </x:c>
      <x:c r="D193" s="9" t="n">
        <x:f>C193*1.08*('효과 규칙 55종'!H60*'스킬 500종'!L193*'스킬 500종'!M193/'효과 규칙 55종'!D60+'효과 규칙 55종'!H33*'스킬 500종'!O193*'스킬 500종'!P193/'효과 규칙 55종'!D33)</x:f>
        <x:v>2.916</x:v>
      </x:c>
      <x:c r="E193" s="9" t="n">
        <x:f>C193*SUM('스킬 500종'!E193:H193)</x:f>
        <x:v>1.68</x:v>
      </x:c>
      <x:c r="F193" s="9" t="n">
        <x:f>C193*1.4*SUM('스킬 500종'!I193:J193)</x:f>
        <x:v>0</x:v>
      </x:c>
      <x:c r="G193" s="9" t="n">
        <x:f>SUM(D193:F193)</x:f>
        <x:v>4.596</x:v>
      </x:c>
      <x:c r="H193" s="9" t="n">
        <x:f>1.1+0.8*'스킬 500종'!W193</x:f>
        <x:v>5.1</x:v>
      </x:c>
      <x:c r="I193" s="10" t="n">
        <x:f>G193/H193</x:f>
        <x:v>0.9011764705882354</x:v>
      </x:c>
      <x:c r="J193" s="1" t="str">
        <x:f>IF(OR('스킬 500종'!I193&lt;0,'스킬 500종'!J193&lt;0,AND('스킬 500종'!I193&gt;0,'스킬 500종'!J193&gt;0),AND(OR('스킬 500종'!K193="HEAL",'스킬 500종'!N193="HEAL",'스킬 500종'!Q193="HEAL",'스킬 500종'!T193="HEAL"),'스킬 500종'!I193=0,'스킬 500종'!J193=0),AND('스킬 500종'!I193&gt;0,OR('스킬 500종'!K193="CONTINUOUS_HEAL",'스킬 500종'!N193="CONTINUOUS_HEAL",'스킬 500종'!Q193="CONTINUOUS_HEAL",'스킬 500종'!T193="CONTINUOUS_HEAL"))),"회복 기준 오류",IF(AND(G193&lt;=H193+0.00001,'스킬 500종'!W193&gt;=1,'스킬 500종'!W193&lt;=5),"정상","초과"))</x:f>
        <x:v>정상</x:v>
      </x:c>
    </x:row>
    <x:row r="194" ht="30" customHeight="1">
      <x:c r="A194" s="1" t="str">
        <x:f>'스킬 500종'!A194</x:f>
        <x:v>SKILL_0188</x:v>
      </x:c>
      <x:c r="B194" s="1" t="str">
        <x:f>'스킬 500종'!B194</x:f>
        <x:v>상처 · 부활 불가 · 도발 · 강화효과 지속시간 감소의 일격</x:v>
      </x:c>
      <x:c r="C194" s="1" t="n">
        <x:f>1</x:f>
        <x:v>1</x:v>
      </x:c>
      <x:c r="D194" s="9" t="n">
        <x:f>C194*1.24*('효과 규칙 55종'!H32*'스킬 500종'!L194*'스킬 500종'!M194/'효과 규칙 55종'!D32+'효과 규칙 55종'!H48*'스킬 500종'!O194*'스킬 500종'!P194/'효과 규칙 55종'!D48+'효과 규칙 55종'!H24*'스킬 500종'!R194*'스킬 500종'!S194/'효과 규칙 55종'!D24+'효과 규칙 55종'!H59*'스킬 500종'!U194*'스킬 500종'!V194/'효과 규칙 55종'!D59)</x:f>
        <x:v>2.7949599999999992</x:v>
      </x:c>
      <x:c r="E194" s="9" t="n">
        <x:f>C194*SUM('스킬 500종'!E194:H194)</x:f>
        <x:v>1.1</x:v>
      </x:c>
      <x:c r="F194" s="9" t="n">
        <x:f>C194*1.4*SUM('스킬 500종'!I194:J194)</x:f>
        <x:v>0</x:v>
      </x:c>
      <x:c r="G194" s="9" t="n">
        <x:f>SUM(D194:F194)</x:f>
        <x:v>3.8949599999999993</x:v>
      </x:c>
      <x:c r="H194" s="9" t="n">
        <x:f>1.1+0.8*'스킬 500종'!W194</x:f>
        <x:v>4.300000000000001</x:v>
      </x:c>
      <x:c r="I194" s="10" t="n">
        <x:f>G194/H194</x:f>
        <x:v>0.9058046511627904</x:v>
      </x:c>
      <x:c r="J194" s="1" t="str">
        <x:f>IF(OR('스킬 500종'!I194&lt;0,'스킬 500종'!J194&lt;0,AND('스킬 500종'!I194&gt;0,'스킬 500종'!J194&gt;0),AND(OR('스킬 500종'!K194="HEAL",'스킬 500종'!N194="HEAL",'스킬 500종'!Q194="HEAL",'스킬 500종'!T194="HEAL"),'스킬 500종'!I194=0,'스킬 500종'!J194=0),AND('스킬 500종'!I194&gt;0,OR('스킬 500종'!K194="CONTINUOUS_HEAL",'스킬 500종'!N194="CONTINUOUS_HEAL",'스킬 500종'!Q194="CONTINUOUS_HEAL",'스킬 500종'!T194="CONTINUOUS_HEAL"))),"회복 기준 오류",IF(AND(G194&lt;=H194+0.00001,'스킬 500종'!W194&gt;=1,'스킬 500종'!W194&lt;=5),"정상","초과"))</x:f>
        <x:v>정상</x:v>
      </x:c>
    </x:row>
    <x:row r="195" ht="30" customHeight="1">
      <x:c r="A195" s="1" t="str">
        <x:f>'스킬 500종'!A195</x:f>
        <x:v>SKILL_0189</x:v>
      </x:c>
      <x:c r="B195" s="1" t="str">
        <x:f>'스킬 500종'!B195</x:f>
        <x:v>스킬 쿨타임 증가 · 회복 불가의 일격</x:v>
      </x:c>
      <x:c r="C195" s="1" t="n">
        <x:f>1</x:f>
        <x:v>1</x:v>
      </x:c>
      <x:c r="D195" s="9" t="n">
        <x:f>C195*1.08*('효과 규칙 55종'!H54*'스킬 500종'!L195*'스킬 500종'!M195/'효과 규칙 55종'!D54+'효과 규칙 55종'!H25*'스킬 500종'!O195*'스킬 500종'!P195/'효과 규칙 55종'!D25)</x:f>
        <x:v>2.0898000000000003</x:v>
      </x:c>
      <x:c r="E195" s="9" t="n">
        <x:f>C195*SUM('스킬 500종'!E195:H195)</x:f>
        <x:v>1.1</x:v>
      </x:c>
      <x:c r="F195" s="9" t="n">
        <x:f>C195*1.4*SUM('스킬 500종'!I195:J195)</x:f>
        <x:v>0</x:v>
      </x:c>
      <x:c r="G195" s="9" t="n">
        <x:f>SUM(D195:F195)</x:f>
        <x:v>3.1898000000000004</x:v>
      </x:c>
      <x:c r="H195" s="9" t="n">
        <x:f>1.1+0.8*'스킬 500종'!W195</x:f>
        <x:v>3.5000000000000004</x:v>
      </x:c>
      <x:c r="I195" s="10" t="n">
        <x:f>G195/H195</x:f>
        <x:v>0.9113714285714286</x:v>
      </x:c>
      <x:c r="J195" s="1" t="str">
        <x:f>IF(OR('스킬 500종'!I195&lt;0,'스킬 500종'!J195&lt;0,AND('스킬 500종'!I195&gt;0,'스킬 500종'!J195&gt;0),AND(OR('스킬 500종'!K195="HEAL",'스킬 500종'!N195="HEAL",'스킬 500종'!Q195="HEAL",'스킬 500종'!T195="HEAL"),'스킬 500종'!I195=0,'스킬 500종'!J195=0),AND('스킬 500종'!I195&gt;0,OR('스킬 500종'!K195="CONTINUOUS_HEAL",'스킬 500종'!N195="CONTINUOUS_HEAL",'스킬 500종'!Q195="CONTINUOUS_HEAL",'스킬 500종'!T195="CONTINUOUS_HEAL"))),"회복 기준 오류",IF(AND(G195&lt;=H195+0.00001,'스킬 500종'!W195&gt;=1,'스킬 500종'!W195&lt;=5),"정상","초과"))</x:f>
        <x:v>정상</x:v>
      </x:c>
    </x:row>
    <x:row r="196" ht="30" customHeight="1">
      <x:c r="A196" s="1" t="str">
        <x:f>'스킬 500종'!A196</x:f>
        <x:v>SKILL_0190</x:v>
      </x:c>
      <x:c r="B196" s="1" t="str">
        <x:f>'스킬 500종'!B196</x:f>
        <x:v>흡혈 · 강화효과 지속시간 감소의 일격</x:v>
      </x:c>
      <x:c r="C196" s="1" t="n">
        <x:f>2.4</x:f>
        <x:v>2.4</x:v>
      </x:c>
      <x:c r="D196" s="9" t="n">
        <x:f>C196*1.08*('효과 규칙 55종'!H36*'스킬 500종'!L196*'스킬 500종'!M196/'효과 규칙 55종'!D36+'효과 규칙 55종'!H59*'스킬 500종'!O196*'스킬 500종'!P196/'효과 규칙 55종'!D59)</x:f>
        <x:v>2.56608</x:v>
      </x:c>
      <x:c r="E196" s="9" t="n">
        <x:f>C196*SUM('스킬 500종'!E196:H196)</x:f>
        <x:v>1.68</x:v>
      </x:c>
      <x:c r="F196" s="9" t="n">
        <x:f>C196*1.4*SUM('스킬 500종'!I196:J196)</x:f>
        <x:v>0</x:v>
      </x:c>
      <x:c r="G196" s="9" t="n">
        <x:f>SUM(D196:F196)</x:f>
        <x:v>4.24608</x:v>
      </x:c>
      <x:c r="H196" s="9" t="n">
        <x:f>1.1+0.8*'스킬 500종'!W196</x:f>
        <x:v>4.300000000000001</x:v>
      </x:c>
      <x:c r="I196" s="10" t="n">
        <x:f>G196/H196</x:f>
        <x:v>0.9874604651162789</x:v>
      </x:c>
      <x:c r="J196" s="1" t="str">
        <x:f>IF(OR('스킬 500종'!I196&lt;0,'스킬 500종'!J196&lt;0,AND('스킬 500종'!I196&gt;0,'스킬 500종'!J196&gt;0),AND(OR('스킬 500종'!K196="HEAL",'스킬 500종'!N196="HEAL",'스킬 500종'!Q196="HEAL",'스킬 500종'!T196="HEAL"),'스킬 500종'!I196=0,'스킬 500종'!J196=0),AND('스킬 500종'!I196&gt;0,OR('스킬 500종'!K196="CONTINUOUS_HEAL",'스킬 500종'!N196="CONTINUOUS_HEAL",'스킬 500종'!Q196="CONTINUOUS_HEAL",'스킬 500종'!T196="CONTINUOUS_HEAL"))),"회복 기준 오류",IF(AND(G196&lt;=H196+0.00001,'스킬 500종'!W196&gt;=1,'스킬 500종'!W196&lt;=5),"정상","초과"))</x:f>
        <x:v>정상</x:v>
      </x:c>
    </x:row>
    <x:row r="197" ht="30" customHeight="1">
      <x:c r="A197" s="1" t="str">
        <x:f>'스킬 500종'!A197</x:f>
        <x:v>SKILL_0191</x:v>
      </x:c>
      <x:c r="B197" s="1" t="str">
        <x:f>'스킬 500종'!B197</x:f>
        <x:v>속도 감소 · 반격 불가 · 방어력 관통 · 방어력 감소의 일격</x:v>
      </x:c>
      <x:c r="C197" s="1" t="n">
        <x:f>1</x:f>
        <x:v>1</x:v>
      </x:c>
      <x:c r="D197" s="9" t="n">
        <x:f>C197*1.24*('효과 규칙 55종'!H20*'스킬 500종'!L197*'스킬 500종'!M197/'효과 규칙 55종'!D20+'효과 규칙 55종'!H27*'스킬 500종'!O197*'스킬 500종'!P197/'효과 규칙 55종'!D27+'효과 규칙 55종'!H55*'스킬 500종'!R197*'스킬 500종'!S197/'효과 규칙 55종'!D55+'효과 규칙 55종'!H19*'스킬 500종'!U197*'스킬 500종'!V197/'효과 규칙 55종'!D19)</x:f>
        <x:v>1.80544</x:v>
      </x:c>
      <x:c r="E197" s="9" t="n">
        <x:f>C197*SUM('스킬 500종'!E197:H197)</x:f>
        <x:v>1.1</x:v>
      </x:c>
      <x:c r="F197" s="9" t="n">
        <x:f>C197*1.4*SUM('스킬 500종'!I197:J197)</x:f>
        <x:v>0</x:v>
      </x:c>
      <x:c r="G197" s="9" t="n">
        <x:f>SUM(D197:F197)</x:f>
        <x:v>2.90544</x:v>
      </x:c>
      <x:c r="H197" s="9" t="n">
        <x:f>1.1+0.8*'스킬 500종'!W197</x:f>
        <x:v>3.5000000000000004</x:v>
      </x:c>
      <x:c r="I197" s="10" t="n">
        <x:f>G197/H197</x:f>
        <x:v>0.8301257142857141</x:v>
      </x:c>
      <x:c r="J197" s="1" t="str">
        <x:f>IF(OR('스킬 500종'!I197&lt;0,'스킬 500종'!J197&lt;0,AND('스킬 500종'!I197&gt;0,'스킬 500종'!J197&gt;0),AND(OR('스킬 500종'!K197="HEAL",'스킬 500종'!N197="HEAL",'스킬 500종'!Q197="HEAL",'스킬 500종'!T197="HEAL"),'스킬 500종'!I197=0,'스킬 500종'!J197=0),AND('스킬 500종'!I197&gt;0,OR('스킬 500종'!K197="CONTINUOUS_HEAL",'스킬 500종'!N197="CONTINUOUS_HEAL",'스킬 500종'!Q197="CONTINUOUS_HEAL",'스킬 500종'!T197="CONTINUOUS_HEAL"))),"회복 기준 오류",IF(AND(G197&lt;=H197+0.00001,'스킬 500종'!W197&gt;=1,'스킬 500종'!W197&lt;=5),"정상","초과"))</x:f>
        <x:v>정상</x:v>
      </x:c>
    </x:row>
    <x:row r="198" ht="30" customHeight="1">
      <x:c r="A198" s="1" t="str">
        <x:f>'스킬 500종'!A198</x:f>
        <x:v>SKILL_0192</x:v>
      </x:c>
      <x:c r="B198" s="1" t="str">
        <x:f>'스킬 500종'!B198</x:f>
        <x:v>공격력 감소 · 회복 불가의 일격</x:v>
      </x:c>
      <x:c r="C198" s="1" t="n">
        <x:f>1</x:f>
        <x:v>1</x:v>
      </x:c>
      <x:c r="D198" s="9" t="n">
        <x:f>C198*1.08*('효과 규칙 55종'!H18*'스킬 500종'!L198*'스킬 500종'!M198/'효과 규칙 55종'!D18+'효과 규칙 55종'!H25*'스킬 500종'!O198*'스킬 500종'!P198/'효과 규칙 55종'!D25)</x:f>
        <x:v>1.1664</x:v>
      </x:c>
      <x:c r="E198" s="9" t="n">
        <x:f>C198*SUM('스킬 500종'!E198:H198)</x:f>
        <x:v>1.1</x:v>
      </x:c>
      <x:c r="F198" s="9" t="n">
        <x:f>C198*1.4*SUM('스킬 500종'!I198:J198)</x:f>
        <x:v>0</x:v>
      </x:c>
      <x:c r="G198" s="9" t="n">
        <x:f>SUM(D198:F198)</x:f>
        <x:v>2.2664</x:v>
      </x:c>
      <x:c r="H198" s="9" t="n">
        <x:f>1.1+0.8*'스킬 500종'!W198</x:f>
        <x:v>2.7</x:v>
      </x:c>
      <x:c r="I198" s="10" t="n">
        <x:f>G198/H198</x:f>
        <x:v>0.8394074074074074</x:v>
      </x:c>
      <x:c r="J198" s="1" t="str">
        <x:f>IF(OR('스킬 500종'!I198&lt;0,'스킬 500종'!J198&lt;0,AND('스킬 500종'!I198&gt;0,'스킬 500종'!J198&gt;0),AND(OR('스킬 500종'!K198="HEAL",'스킬 500종'!N198="HEAL",'스킬 500종'!Q198="HEAL",'스킬 500종'!T198="HEAL"),'스킬 500종'!I198=0,'스킬 500종'!J198=0),AND('스킬 500종'!I198&gt;0,OR('스킬 500종'!K198="CONTINUOUS_HEAL",'스킬 500종'!N198="CONTINUOUS_HEAL",'스킬 500종'!Q198="CONTINUOUS_HEAL",'스킬 500종'!T198="CONTINUOUS_HEAL"))),"회복 기준 오류",IF(AND(G198&lt;=H198+0.00001,'스킬 500종'!W198&gt;=1,'스킬 500종'!W198&lt;=5),"정상","초과"))</x:f>
        <x:v>정상</x:v>
      </x:c>
    </x:row>
    <x:row r="199" ht="30" customHeight="1">
      <x:c r="A199" s="1" t="str">
        <x:f>'스킬 500종'!A199</x:f>
        <x:v>SKILL_0193</x:v>
      </x:c>
      <x:c r="B199" s="1" t="str">
        <x:f>'스킬 500종'!B199</x:f>
        <x:v>회복 불가 · 방어력 감소의 일격</x:v>
      </x:c>
      <x:c r="C199" s="1" t="n">
        <x:f>2.4</x:f>
        <x:v>2.4</x:v>
      </x:c>
      <x:c r="D199" s="9" t="n">
        <x:f>C199*1.08*('효과 규칙 55종'!H25*'스킬 500종'!L199*'스킬 500종'!M199/'효과 규칙 55종'!D25+'효과 규칙 55종'!H19*'스킬 500종'!O199*'스킬 500종'!P199/'효과 규칙 55종'!D19)</x:f>
        <x:v>3.3047999999999997</x:v>
      </x:c>
      <x:c r="E199" s="9" t="n">
        <x:f>C199*SUM('스킬 500종'!E199:H199)</x:f>
        <x:v>1.56</x:v>
      </x:c>
      <x:c r="F199" s="9" t="n">
        <x:f>C199*1.4*SUM('스킬 500종'!I199:J199)</x:f>
        <x:v>0</x:v>
      </x:c>
      <x:c r="G199" s="9" t="n">
        <x:f>SUM(D199:F199)</x:f>
        <x:v>4.8648</x:v>
      </x:c>
      <x:c r="H199" s="9" t="n">
        <x:f>1.1+0.8*'스킬 500종'!W199</x:f>
        <x:v>5.1</x:v>
      </x:c>
      <x:c r="I199" s="10" t="n">
        <x:f>G199/H199</x:f>
        <x:v>0.9538823529411765</x:v>
      </x:c>
      <x:c r="J199" s="1" t="str">
        <x:f>IF(OR('스킬 500종'!I199&lt;0,'스킬 500종'!J199&lt;0,AND('스킬 500종'!I199&gt;0,'스킬 500종'!J199&gt;0),AND(OR('스킬 500종'!K199="HEAL",'스킬 500종'!N199="HEAL",'스킬 500종'!Q199="HEAL",'스킬 500종'!T199="HEAL"),'스킬 500종'!I199=0,'스킬 500종'!J199=0),AND('스킬 500종'!I199&gt;0,OR('스킬 500종'!K199="CONTINUOUS_HEAL",'스킬 500종'!N199="CONTINUOUS_HEAL",'스킬 500종'!Q199="CONTINUOUS_HEAL",'스킬 500종'!T199="CONTINUOUS_HEAL"))),"회복 기준 오류",IF(AND(G199&lt;=H199+0.00001,'스킬 500종'!W199&gt;=1,'스킬 500종'!W199&lt;=5),"정상","초과"))</x:f>
        <x:v>정상</x:v>
      </x:c>
    </x:row>
    <x:row r="200" ht="30" customHeight="1">
      <x:c r="A200" s="1" t="str">
        <x:f>'스킬 500종'!A200</x:f>
        <x:v>SKILL_0194</x:v>
      </x:c>
      <x:c r="B200" s="1" t="str">
        <x:f>'스킬 500종'!B200</x:f>
        <x:v>명중 감소 · 부활 불가의 일격</x:v>
      </x:c>
      <x:c r="C200" s="1" t="n">
        <x:f>1</x:f>
        <x:v>1</x:v>
      </x:c>
      <x:c r="D200" s="9" t="n">
        <x:f>C200*1.08*('효과 규칙 55종'!H21*'스킬 500종'!L200*'스킬 500종'!M200/'효과 규칙 55종'!D21+'효과 규칙 55종'!H48*'스킬 500종'!O200*'스킬 500종'!P200/'효과 규칙 55종'!D48)</x:f>
        <x:v>1.6524</x:v>
      </x:c>
      <x:c r="E200" s="9" t="n">
        <x:f>C200*SUM('스킬 500종'!E200:H200)</x:f>
        <x:v>1.1</x:v>
      </x:c>
      <x:c r="F200" s="9" t="n">
        <x:f>C200*1.4*SUM('스킬 500종'!I200:J200)</x:f>
        <x:v>0</x:v>
      </x:c>
      <x:c r="G200" s="9" t="n">
        <x:f>SUM(D200:F200)</x:f>
        <x:v>2.7524</x:v>
      </x:c>
      <x:c r="H200" s="9" t="n">
        <x:f>1.1+0.8*'스킬 500종'!W200</x:f>
        <x:v>3.5000000000000004</x:v>
      </x:c>
      <x:c r="I200" s="10" t="n">
        <x:f>G200/H200</x:f>
        <x:v>0.7864</x:v>
      </x:c>
      <x:c r="J200" s="1" t="str">
        <x:f>IF(OR('스킬 500종'!I200&lt;0,'스킬 500종'!J200&lt;0,AND('스킬 500종'!I200&gt;0,'스킬 500종'!J200&gt;0),AND(OR('스킬 500종'!K200="HEAL",'스킬 500종'!N200="HEAL",'스킬 500종'!Q200="HEAL",'스킬 500종'!T200="HEAL"),'스킬 500종'!I200=0,'스킬 500종'!J200=0),AND('스킬 500종'!I200&gt;0,OR('스킬 500종'!K200="CONTINUOUS_HEAL",'스킬 500종'!N200="CONTINUOUS_HEAL",'스킬 500종'!Q200="CONTINUOUS_HEAL",'스킬 500종'!T200="CONTINUOUS_HEAL"))),"회복 기준 오류",IF(AND(G200&lt;=H200+0.00001,'스킬 500종'!W200&gt;=1,'스킬 500종'!W200&lt;=5),"정상","초과"))</x:f>
        <x:v>정상</x:v>
      </x:c>
    </x:row>
    <x:row r="201" ht="30" customHeight="1">
      <x:c r="A201" s="1" t="str">
        <x:f>'스킬 500종'!A201</x:f>
        <x:v>SKILL_0195</x:v>
      </x:c>
      <x:c r="B201" s="1" t="str">
        <x:f>'스킬 500종'!B201</x:f>
        <x:v>방어력 관통 · 명중 감소의 일격</x:v>
      </x:c>
      <x:c r="C201" s="1" t="n">
        <x:f>1</x:f>
        <x:v>1</x:v>
      </x:c>
      <x:c r="D201" s="9" t="n">
        <x:f>C201*1.08*('효과 규칙 55종'!H55*'스킬 500종'!L201*'스킬 500종'!M201/'효과 규칙 55종'!D55+'효과 규칙 55종'!H21*'스킬 500종'!O201*'스킬 500종'!P201/'효과 규칙 55종'!D21)</x:f>
        <x:v>1.3608</x:v>
      </x:c>
      <x:c r="E201" s="9" t="n">
        <x:f>C201*SUM('스킬 500종'!E201:H201)</x:f>
        <x:v>1.1</x:v>
      </x:c>
      <x:c r="F201" s="9" t="n">
        <x:f>C201*1.4*SUM('스킬 500종'!I201:J201)</x:f>
        <x:v>0</x:v>
      </x:c>
      <x:c r="G201" s="9" t="n">
        <x:f>SUM(D201:F201)</x:f>
        <x:v>2.4608</x:v>
      </x:c>
      <x:c r="H201" s="9" t="n">
        <x:f>1.1+0.8*'스킬 500종'!W201</x:f>
        <x:v>2.7</x:v>
      </x:c>
      <x:c r="I201" s="10" t="n">
        <x:f>G201/H201</x:f>
        <x:v>0.9114074074074073</x:v>
      </x:c>
      <x:c r="J201" s="1" t="str">
        <x:f>IF(OR('스킬 500종'!I201&lt;0,'스킬 500종'!J201&lt;0,AND('스킬 500종'!I201&gt;0,'스킬 500종'!J201&gt;0),AND(OR('스킬 500종'!K201="HEAL",'스킬 500종'!N201="HEAL",'스킬 500종'!Q201="HEAL",'스킬 500종'!T201="HEAL"),'스킬 500종'!I201=0,'스킬 500종'!J201=0),AND('스킬 500종'!I201&gt;0,OR('스킬 500종'!K201="CONTINUOUS_HEAL",'스킬 500종'!N201="CONTINUOUS_HEAL",'스킬 500종'!Q201="CONTINUOUS_HEAL",'스킬 500종'!T201="CONTINUOUS_HEAL"))),"회복 기준 오류",IF(AND(G201&lt;=H201+0.00001,'스킬 500종'!W201&gt;=1,'스킬 500종'!W201&lt;=5),"정상","초과"))</x:f>
        <x:v>정상</x:v>
      </x:c>
    </x:row>
    <x:row r="202" ht="30" customHeight="1">
      <x:c r="A202" s="1" t="str">
        <x:f>'스킬 500종'!A202</x:f>
        <x:v>SKILL_0196</x:v>
      </x:c>
      <x:c r="B202" s="1" t="str">
        <x:f>'스킬 500종'!B202</x:f>
        <x:v>반격 불가 · 흡혈 · 소멸의 일격</x:v>
      </x:c>
      <x:c r="C202" s="1" t="n">
        <x:f>2.4</x:f>
        <x:v>2.4</x:v>
      </x:c>
      <x:c r="D202" s="9" t="n">
        <x:f>C202*1.16*('효과 규칙 55종'!H27*'스킬 500종'!L202*'스킬 500종'!M202/'효과 규칙 55종'!D27+'효과 규칙 55종'!H36*'스킬 500종'!O202*'스킬 500종'!P202/'효과 규칙 55종'!D36+'효과 규칙 55종'!H47*'스킬 500종'!R202*'스킬 500종'!S202/'효과 규칙 55종'!D47)</x:f>
        <x:v>3.457728</x:v>
      </x:c>
      <x:c r="E202" s="9" t="n">
        <x:f>C202*SUM('스킬 500종'!E202:H202)</x:f>
        <x:v>1.2</x:v>
      </x:c>
      <x:c r="F202" s="9" t="n">
        <x:f>C202*1.4*SUM('스킬 500종'!I202:J202)</x:f>
        <x:v>0</x:v>
      </x:c>
      <x:c r="G202" s="9" t="n">
        <x:f>SUM(D202:F202)</x:f>
        <x:v>4.657728</x:v>
      </x:c>
      <x:c r="H202" s="9" t="n">
        <x:f>1.1+0.8*'스킬 500종'!W202</x:f>
        <x:v>5.1</x:v>
      </x:c>
      <x:c r="I202" s="10" t="n">
        <x:f>G202/H202</x:f>
        <x:v>0.91328</x:v>
      </x:c>
      <x:c r="J202" s="1" t="str">
        <x:f>IF(OR('스킬 500종'!I202&lt;0,'스킬 500종'!J202&lt;0,AND('스킬 500종'!I202&gt;0,'스킬 500종'!J202&gt;0),AND(OR('스킬 500종'!K202="HEAL",'스킬 500종'!N202="HEAL",'스킬 500종'!Q202="HEAL",'스킬 500종'!T202="HEAL"),'스킬 500종'!I202=0,'스킬 500종'!J202=0),AND('스킬 500종'!I202&gt;0,OR('스킬 500종'!K202="CONTINUOUS_HEAL",'스킬 500종'!N202="CONTINUOUS_HEAL",'스킬 500종'!Q202="CONTINUOUS_HEAL",'스킬 500종'!T202="CONTINUOUS_HEAL"))),"회복 기준 오류",IF(AND(G202&lt;=H202+0.00001,'스킬 500종'!W202&gt;=1,'스킬 500종'!W202&lt;=5),"정상","초과"))</x:f>
        <x:v>정상</x:v>
      </x:c>
    </x:row>
    <x:row r="203" ht="30" customHeight="1">
      <x:c r="A203" s="1" t="str">
        <x:f>'스킬 500종'!A203</x:f>
        <x:v>SKILL_0197</x:v>
      </x:c>
      <x:c r="B203" s="1" t="str">
        <x:f>'스킬 500종'!B203</x:f>
        <x:v>흡혈 · 상처의 일격</x:v>
      </x:c>
      <x:c r="C203" s="1" t="n">
        <x:f>1</x:f>
        <x:v>1</x:v>
      </x:c>
      <x:c r="D203" s="9" t="n">
        <x:f>C203*1.08*('효과 규칙 55종'!H36*'스킬 500종'!L203*'스킬 500종'!M203/'효과 규칙 55종'!D36+'효과 규칙 55종'!H32*'스킬 500종'!O203*'스킬 500종'!P203/'효과 규칙 55종'!D32)</x:f>
        <x:v>1.1664</x:v>
      </x:c>
      <x:c r="E203" s="9" t="n">
        <x:f>C203*SUM('스킬 500종'!E203:H203)</x:f>
        <x:v>1.1</x:v>
      </x:c>
      <x:c r="F203" s="9" t="n">
        <x:f>C203*1.4*SUM('스킬 500종'!I203:J203)</x:f>
        <x:v>0</x:v>
      </x:c>
      <x:c r="G203" s="9" t="n">
        <x:f>SUM(D203:F203)</x:f>
        <x:v>2.2664</x:v>
      </x:c>
      <x:c r="H203" s="9" t="n">
        <x:f>1.1+0.8*'스킬 500종'!W203</x:f>
        <x:v>2.7</x:v>
      </x:c>
      <x:c r="I203" s="10" t="n">
        <x:f>G203/H203</x:f>
        <x:v>0.8394074074074074</x:v>
      </x:c>
      <x:c r="J203" s="1" t="str">
        <x:f>IF(OR('스킬 500종'!I203&lt;0,'스킬 500종'!J203&lt;0,AND('스킬 500종'!I203&gt;0,'스킬 500종'!J203&gt;0),AND(OR('스킬 500종'!K203="HEAL",'스킬 500종'!N203="HEAL",'스킬 500종'!Q203="HEAL",'스킬 500종'!T203="HEAL"),'스킬 500종'!I203=0,'스킬 500종'!J203=0),AND('스킬 500종'!I203&gt;0,OR('스킬 500종'!K203="CONTINUOUS_HEAL",'스킬 500종'!N203="CONTINUOUS_HEAL",'스킬 500종'!Q203="CONTINUOUS_HEAL",'스킬 500종'!T203="CONTINUOUS_HEAL"))),"회복 기준 오류",IF(AND(G203&lt;=H203+0.00001,'스킬 500종'!W203&gt;=1,'스킬 500종'!W203&lt;=5),"정상","초과"))</x:f>
        <x:v>정상</x:v>
      </x:c>
    </x:row>
    <x:row r="204" ht="30" customHeight="1">
      <x:c r="A204" s="1" t="str">
        <x:f>'스킬 500종'!A204</x:f>
        <x:v>SKILL_0198</x:v>
      </x:c>
      <x:c r="B204" s="1" t="str">
        <x:f>'스킬 500종'!B204</x:f>
        <x:v>강화효과 해제 · 반격 불가의 일격</x:v>
      </x:c>
      <x:c r="C204" s="1" t="n">
        <x:f>1</x:f>
        <x:v>1</x:v>
      </x:c>
      <x:c r="D204" s="9" t="n">
        <x:f>C204*1.08*('효과 규칙 55종'!H56*'스킬 500종'!L204*'스킬 500종'!M204/'효과 규칙 55종'!D56+'효과 규칙 55종'!H27*'스킬 500종'!O204*'스킬 500종'!P204/'효과 규칙 55종'!D27)</x:f>
        <x:v>1.3608000000000002</x:v>
      </x:c>
      <x:c r="E204" s="9" t="n">
        <x:f>C204*SUM('스킬 500종'!E204:H204)</x:f>
        <x:v>1.1</x:v>
      </x:c>
      <x:c r="F204" s="9" t="n">
        <x:f>C204*1.4*SUM('스킬 500종'!I204:J204)</x:f>
        <x:v>0</x:v>
      </x:c>
      <x:c r="G204" s="9" t="n">
        <x:f>SUM(D204:F204)</x:f>
        <x:v>2.4608000000000003</x:v>
      </x:c>
      <x:c r="H204" s="9" t="n">
        <x:f>1.1+0.8*'스킬 500종'!W204</x:f>
        <x:v>2.7</x:v>
      </x:c>
      <x:c r="I204" s="10" t="n">
        <x:f>G204/H204</x:f>
        <x:v>0.9114074074074074</x:v>
      </x:c>
      <x:c r="J204" s="1" t="str">
        <x:f>IF(OR('스킬 500종'!I204&lt;0,'스킬 500종'!J204&lt;0,AND('스킬 500종'!I204&gt;0,'스킬 500종'!J204&gt;0),AND(OR('스킬 500종'!K204="HEAL",'스킬 500종'!N204="HEAL",'스킬 500종'!Q204="HEAL",'스킬 500종'!T204="HEAL"),'스킬 500종'!I204=0,'스킬 500종'!J204=0),AND('스킬 500종'!I204&gt;0,OR('스킬 500종'!K204="CONTINUOUS_HEAL",'스킬 500종'!N204="CONTINUOUS_HEAL",'스킬 500종'!Q204="CONTINUOUS_HEAL",'스킬 500종'!T204="CONTINUOUS_HEAL"))),"회복 기준 오류",IF(AND(G204&lt;=H204+0.00001,'스킬 500종'!W204&gt;=1,'스킬 500종'!W204&lt;=5),"정상","초과"))</x:f>
        <x:v>정상</x:v>
      </x:c>
    </x:row>
    <x:row r="205" ht="30" customHeight="1">
      <x:c r="A205" s="1" t="str">
        <x:f>'스킬 500종'!A205</x:f>
        <x:v>SKILL_0199</x:v>
      </x:c>
      <x:c r="B205" s="1" t="str">
        <x:f>'스킬 500종'!B205</x:f>
        <x:v>저주 · 명중 감소 · 상처의 일격</x:v>
      </x:c>
      <x:c r="C205" s="1" t="n">
        <x:f>2.4</x:f>
        <x:v>2.4</x:v>
      </x:c>
      <x:c r="D205" s="9" t="n">
        <x:f>C205*1.16*('효과 규칙 55종'!H31*'스킬 500종'!L205*'스킬 500종'!M205/'효과 규칙 55종'!D31+'효과 규칙 55종'!H21*'스킬 500종'!O205*'스킬 500종'!P205/'효과 규칙 55종'!D21+'효과 규칙 55종'!H32*'스킬 500종'!R205*'스킬 500종'!S205/'효과 규칙 55종'!D32)</x:f>
        <x:v>3.585791999999999</x:v>
      </x:c>
      <x:c r="E205" s="9" t="n">
        <x:f>C205*SUM('스킬 500종'!E205:H205)</x:f>
        <x:v>1.44</x:v>
      </x:c>
      <x:c r="F205" s="9" t="n">
        <x:f>C205*1.4*SUM('스킬 500종'!I205:J205)</x:f>
        <x:v>0</x:v>
      </x:c>
      <x:c r="G205" s="9" t="n">
        <x:f>SUM(D205:F205)</x:f>
        <x:v>5.025791999999999</x:v>
      </x:c>
      <x:c r="H205" s="9" t="n">
        <x:f>1.1+0.8*'스킬 500종'!W205</x:f>
        <x:v>5.1</x:v>
      </x:c>
      <x:c r="I205" s="10" t="n">
        <x:f>G205/H205</x:f>
        <x:v>0.9854494117647058</x:v>
      </x:c>
      <x:c r="J205" s="1" t="str">
        <x:f>IF(OR('스킬 500종'!I205&lt;0,'스킬 500종'!J205&lt;0,AND('스킬 500종'!I205&gt;0,'스킬 500종'!J205&gt;0),AND(OR('스킬 500종'!K205="HEAL",'스킬 500종'!N205="HEAL",'스킬 500종'!Q205="HEAL",'스킬 500종'!T205="HEAL"),'스킬 500종'!I205=0,'스킬 500종'!J205=0),AND('스킬 500종'!I205&gt;0,OR('스킬 500종'!K205="CONTINUOUS_HEAL",'스킬 500종'!N205="CONTINUOUS_HEAL",'스킬 500종'!Q205="CONTINUOUS_HEAL",'스킬 500종'!T205="CONTINUOUS_HEAL"))),"회복 기준 오류",IF(AND(G205&lt;=H205+0.00001,'스킬 500종'!W205&gt;=1,'스킬 500종'!W205&lt;=5),"정상","초과"))</x:f>
        <x:v>정상</x:v>
      </x:c>
    </x:row>
    <x:row r="206" ht="30" customHeight="1">
      <x:c r="A206" s="1" t="str">
        <x:f>'스킬 500종'!A206</x:f>
        <x:v>SKILL_0200</x:v>
      </x:c>
      <x:c r="B206" s="1" t="str">
        <x:f>'스킬 500종'!B206</x:f>
        <x:v>저주 · 강화효과 해제 · 출혈의 일격</x:v>
      </x:c>
      <x:c r="C206" s="1" t="n">
        <x:f>1</x:f>
        <x:v>1</x:v>
      </x:c>
      <x:c r="D206" s="9" t="n">
        <x:f>C206*1.16*('효과 규칙 55종'!H31*'스킬 500종'!L206*'스킬 500종'!M206/'효과 규칙 55종'!D31+'효과 규칙 55종'!H56*'스킬 500종'!O206*'스킬 500종'!P206/'효과 규칙 55종'!D56+'효과 규칙 55종'!H29*'스킬 500종'!R206*'스킬 500종'!S206/'효과 규칙 55종'!D29)</x:f>
        <x:v>1.6611200000000002</x:v>
      </x:c>
      <x:c r="E206" s="9" t="n">
        <x:f>C206*SUM('스킬 500종'!E206:H206)</x:f>
        <x:v>1.1</x:v>
      </x:c>
      <x:c r="F206" s="9" t="n">
        <x:f>C206*1.4*SUM('스킬 500종'!I206:J206)</x:f>
        <x:v>0</x:v>
      </x:c>
      <x:c r="G206" s="9" t="n">
        <x:f>SUM(D206:F206)</x:f>
        <x:v>2.76112</x:v>
      </x:c>
      <x:c r="H206" s="9" t="n">
        <x:f>1.1+0.8*'스킬 500종'!W206</x:f>
        <x:v>3.5000000000000004</x:v>
      </x:c>
      <x:c r="I206" s="10" t="n">
        <x:f>G206/H206</x:f>
        <x:v>0.7888914285714285</x:v>
      </x:c>
      <x:c r="J206" s="1" t="str">
        <x:f>IF(OR('스킬 500종'!I206&lt;0,'스킬 500종'!J206&lt;0,AND('스킬 500종'!I206&gt;0,'스킬 500종'!J206&gt;0),AND(OR('스킬 500종'!K206="HEAL",'스킬 500종'!N206="HEAL",'스킬 500종'!Q206="HEAL",'스킬 500종'!T206="HEAL"),'스킬 500종'!I206=0,'스킬 500종'!J206=0),AND('스킬 500종'!I206&gt;0,OR('스킬 500종'!K206="CONTINUOUS_HEAL",'스킬 500종'!N206="CONTINUOUS_HEAL",'스킬 500종'!Q206="CONTINUOUS_HEAL",'스킬 500종'!T206="CONTINUOUS_HEAL"))),"회복 기준 오류",IF(AND(G206&lt;=H206+0.00001,'스킬 500종'!W206&gt;=1,'스킬 500종'!W206&lt;=5),"정상","초과"))</x:f>
        <x:v>정상</x:v>
      </x:c>
    </x:row>
    <x:row r="207" ht="30" customHeight="1">
      <x:c r="A207" s="1" t="str">
        <x:f>'스킬 500종'!A207</x:f>
        <x:v>SKILL_0201</x:v>
      </x:c>
      <x:c r="B207" s="1" t="str">
        <x:f>'스킬 500종'!B207</x:f>
        <x:v>중독 · 반격 불가 · 부활 불가 · 약화효과 전이의 일격</x:v>
      </x:c>
      <x:c r="C207" s="1" t="n">
        <x:f>1</x:f>
        <x:v>1</x:v>
      </x:c>
      <x:c r="D207" s="9" t="n">
        <x:f>C207*1.24*('효과 규칙 55종'!H28*'스킬 500종'!L207*'스킬 500종'!M207/'효과 규칙 55종'!D28+'효과 규칙 55종'!H27*'스킬 500종'!O207*'스킬 500종'!P207/'효과 규칙 55종'!D27+'효과 규칙 55종'!H48*'스킬 500종'!R207*'스킬 500종'!S207/'효과 규칙 55종'!D48+'효과 규칙 55종'!H61*'스킬 500종'!U207*'스킬 500종'!V207/'효과 규칙 55종'!D61)</x:f>
        <x:v>2.6669299999999994</x:v>
      </x:c>
      <x:c r="E207" s="9" t="n">
        <x:f>C207*SUM('스킬 500종'!E207:H207)</x:f>
        <x:v>1.1</x:v>
      </x:c>
      <x:c r="F207" s="9" t="n">
        <x:f>C207*1.4*SUM('스킬 500종'!I207:J207)</x:f>
        <x:v>0</x:v>
      </x:c>
      <x:c r="G207" s="9" t="n">
        <x:f>SUM(D207:F207)</x:f>
        <x:v>3.7669299999999994</x:v>
      </x:c>
      <x:c r="H207" s="9" t="n">
        <x:f>1.1+0.8*'스킬 500종'!W207</x:f>
        <x:v>4.300000000000001</x:v>
      </x:c>
      <x:c r="I207" s="10" t="n">
        <x:f>G207/H207</x:f>
        <x:v>0.8760302325581393</x:v>
      </x:c>
      <x:c r="J207" s="1" t="str">
        <x:f>IF(OR('스킬 500종'!I207&lt;0,'스킬 500종'!J207&lt;0,AND('스킬 500종'!I207&gt;0,'스킬 500종'!J207&gt;0),AND(OR('스킬 500종'!K207="HEAL",'스킬 500종'!N207="HEAL",'스킬 500종'!Q207="HEAL",'스킬 500종'!T207="HEAL"),'스킬 500종'!I207=0,'스킬 500종'!J207=0),AND('스킬 500종'!I207&gt;0,OR('스킬 500종'!K207="CONTINUOUS_HEAL",'스킬 500종'!N207="CONTINUOUS_HEAL",'스킬 500종'!Q207="CONTINUOUS_HEAL",'스킬 500종'!T207="CONTINUOUS_HEAL"))),"회복 기준 오류",IF(AND(G207&lt;=H207+0.00001,'스킬 500종'!W207&gt;=1,'스킬 500종'!W207&lt;=5),"정상","초과"))</x:f>
        <x:v>정상</x:v>
      </x:c>
    </x:row>
    <x:row r="208" ht="30" customHeight="1">
      <x:c r="A208" s="1" t="str">
        <x:f>'스킬 500종'!A208</x:f>
        <x:v>SKILL_0202</x:v>
      </x:c>
      <x:c r="B208" s="1" t="str">
        <x:f>'스킬 500종'!B208</x:f>
        <x:v>추가 공격 · 부활 불가 · 중독의 일격</x:v>
      </x:c>
      <x:c r="C208" s="1" t="n">
        <x:f>2.4</x:f>
        <x:v>2.4</x:v>
      </x:c>
      <x:c r="D208" s="9" t="n">
        <x:f>C208*1.16*('효과 규칙 55종'!H50*'스킬 500종'!L208*'스킬 500종'!M208/'효과 규칙 55종'!D50+'효과 규칙 55종'!H48*'스킬 500종'!O208*'스킬 500종'!P208/'효과 규칙 55종'!D48+'효과 규칙 55종'!H28*'스킬 500종'!R208*'스킬 500종'!S208/'효과 규칙 55종'!D28)</x:f>
        <x:v>3.6915839999999998</x:v>
      </x:c>
      <x:c r="E208" s="9" t="n">
        <x:f>C208*SUM('스킬 500종'!E208:H208)</x:f>
        <x:v>1.32</x:v>
      </x:c>
      <x:c r="F208" s="9" t="n">
        <x:f>C208*1.4*SUM('스킬 500종'!I208:J208)</x:f>
        <x:v>0</x:v>
      </x:c>
      <x:c r="G208" s="9" t="n">
        <x:f>SUM(D208:F208)</x:f>
        <x:v>5.011584</x:v>
      </x:c>
      <x:c r="H208" s="9" t="n">
        <x:f>1.1+0.8*'스킬 500종'!W208</x:f>
        <x:v>5.1</x:v>
      </x:c>
      <x:c r="I208" s="10" t="n">
        <x:f>G208/H208</x:f>
        <x:v>0.9826635294117648</x:v>
      </x:c>
      <x:c r="J208" s="1" t="str">
        <x:f>IF(OR('스킬 500종'!I208&lt;0,'스킬 500종'!J208&lt;0,AND('스킬 500종'!I208&gt;0,'스킬 500종'!J208&gt;0),AND(OR('스킬 500종'!K208="HEAL",'스킬 500종'!N208="HEAL",'스킬 500종'!Q208="HEAL",'스킬 500종'!T208="HEAL"),'스킬 500종'!I208=0,'스킬 500종'!J208=0),AND('스킬 500종'!I208&gt;0,OR('스킬 500종'!K208="CONTINUOUS_HEAL",'스킬 500종'!N208="CONTINUOUS_HEAL",'스킬 500종'!Q208="CONTINUOUS_HEAL",'스킬 500종'!T208="CONTINUOUS_HEAL"))),"회복 기준 오류",IF(AND(G208&lt;=H208+0.00001,'스킬 500종'!W208&gt;=1,'스킬 500종'!W208&lt;=5),"정상","초과"))</x:f>
        <x:v>정상</x:v>
      </x:c>
    </x:row>
    <x:row r="209" ht="30" customHeight="1">
      <x:c r="A209" s="1" t="str">
        <x:f>'스킬 500종'!A209</x:f>
        <x:v>SKILL_0203</x:v>
      </x:c>
      <x:c r="B209" s="1" t="str">
        <x:f>'스킬 500종'!B209</x:f>
        <x:v>강화효과 해제 · 도발 · 강화 불가 · 추가 피해의 일격</x:v>
      </x:c>
      <x:c r="C209" s="1" t="n">
        <x:f>1</x:f>
        <x:v>1</x:v>
      </x:c>
      <x:c r="D209" s="9" t="n">
        <x:f>C209*1.24*('효과 규칙 55종'!H56*'스킬 500종'!L209*'스킬 500종'!M209/'효과 규칙 55종'!D56+'효과 규칙 55종'!H24*'스킬 500종'!O209*'스킬 500종'!P209/'효과 규칙 55종'!D24+'효과 규칙 55종'!H26*'스킬 500종'!R209*'스킬 500종'!S209/'효과 규칙 55종'!D26+'효과 규칙 55종'!H33*'스킬 500종'!U209*'스킬 500종'!V209/'효과 규칙 55종'!D33)</x:f>
        <x:v>2.4699808</x:v>
      </x:c>
      <x:c r="E209" s="9" t="n">
        <x:f>C209*SUM('스킬 500종'!E209:H209)</x:f>
        <x:v>1.1</x:v>
      </x:c>
      <x:c r="F209" s="9" t="n">
        <x:f>C209*1.4*SUM('스킬 500종'!I209:J209)</x:f>
        <x:v>0</x:v>
      </x:c>
      <x:c r="G209" s="9" t="n">
        <x:f>SUM(D209:F209)</x:f>
        <x:v>3.5699808</x:v>
      </x:c>
      <x:c r="H209" s="9" t="n">
        <x:f>1.1+0.8*'스킬 500종'!W209</x:f>
        <x:v>4.300000000000001</x:v>
      </x:c>
      <x:c r="I209" s="10" t="n">
        <x:f>G209/H209</x:f>
        <x:v>0.8302280930232557</x:v>
      </x:c>
      <x:c r="J209" s="1" t="str">
        <x:f>IF(OR('스킬 500종'!I209&lt;0,'스킬 500종'!J209&lt;0,AND('스킬 500종'!I209&gt;0,'스킬 500종'!J209&gt;0),AND(OR('스킬 500종'!K209="HEAL",'스킬 500종'!N209="HEAL",'스킬 500종'!Q209="HEAL",'스킬 500종'!T209="HEAL"),'스킬 500종'!I209=0,'스킬 500종'!J209=0),AND('스킬 500종'!I209&gt;0,OR('스킬 500종'!K209="CONTINUOUS_HEAL",'스킬 500종'!N209="CONTINUOUS_HEAL",'스킬 500종'!Q209="CONTINUOUS_HEAL",'스킬 500종'!T209="CONTINUOUS_HEAL"))),"회복 기준 오류",IF(AND(G209&lt;=H209+0.00001,'스킬 500종'!W209&gt;=1,'스킬 500종'!W209&lt;=5),"정상","초과"))</x:f>
        <x:v>정상</x:v>
      </x:c>
    </x:row>
    <x:row r="210" ht="30" customHeight="1">
      <x:c r="A210" s="1" t="str">
        <x:f>'스킬 500종'!A210</x:f>
        <x:v>SKILL_0204</x:v>
      </x:c>
      <x:c r="B210" s="1" t="str">
        <x:f>'스킬 500종'!B210</x:f>
        <x:v>강화효과 해제 · 상처의 일격</x:v>
      </x:c>
      <x:c r="C210" s="1" t="n">
        <x:f>1</x:f>
        <x:v>1</x:v>
      </x:c>
      <x:c r="D210" s="9" t="n">
        <x:f>C210*1.08*('효과 규칙 55종'!H56*'스킬 500종'!L210*'스킬 500종'!M210/'효과 규칙 55종'!D56+'효과 규칙 55종'!H32*'스킬 500종'!O210*'스킬 500종'!P210/'효과 규칙 55종'!D32)</x:f>
        <x:v>1.5066000000000002</x:v>
      </x:c>
      <x:c r="E210" s="9" t="n">
        <x:f>C210*SUM('스킬 500종'!E210:H210)</x:f>
        <x:v>1.1</x:v>
      </x:c>
      <x:c r="F210" s="9" t="n">
        <x:f>C210*1.4*SUM('스킬 500종'!I210:J210)</x:f>
        <x:v>0</x:v>
      </x:c>
      <x:c r="G210" s="9" t="n">
        <x:f>SUM(D210:F210)</x:f>
        <x:v>2.6066000000000003</x:v>
      </x:c>
      <x:c r="H210" s="9" t="n">
        <x:f>1.1+0.8*'스킬 500종'!W210</x:f>
        <x:v>2.7</x:v>
      </x:c>
      <x:c r="I210" s="10" t="n">
        <x:f>G210/H210</x:f>
        <x:v>0.9654074074074075</x:v>
      </x:c>
      <x:c r="J210" s="1" t="str">
        <x:f>IF(OR('스킬 500종'!I210&lt;0,'스킬 500종'!J210&lt;0,AND('스킬 500종'!I210&gt;0,'스킬 500종'!J210&gt;0),AND(OR('스킬 500종'!K210="HEAL",'스킬 500종'!N210="HEAL",'스킬 500종'!Q210="HEAL",'스킬 500종'!T210="HEAL"),'스킬 500종'!I210=0,'스킬 500종'!J210=0),AND('스킬 500종'!I210&gt;0,OR('스킬 500종'!K210="CONTINUOUS_HEAL",'스킬 500종'!N210="CONTINUOUS_HEAL",'스킬 500종'!Q210="CONTINUOUS_HEAL",'스킬 500종'!T210="CONTINUOUS_HEAL"))),"회복 기준 오류",IF(AND(G210&lt;=H210+0.00001,'스킬 500종'!W210&gt;=1,'스킬 500종'!W210&lt;=5),"정상","초과"))</x:f>
        <x:v>정상</x:v>
      </x:c>
    </x:row>
    <x:row r="211" ht="30" customHeight="1">
      <x:c r="A211" s="1" t="str">
        <x:f>'스킬 500종'!A211</x:f>
        <x:v>SKILL_0205</x:v>
      </x:c>
      <x:c r="B211" s="1" t="str">
        <x:f>'스킬 500종'!B211</x:f>
        <x:v>강화 불가 · 표적 · 부활 불가 · 반격 불가의 일격</x:v>
      </x:c>
      <x:c r="C211" s="1" t="n">
        <x:f>2.4</x:f>
        <x:v>2.4</x:v>
      </x:c>
      <x:c r="D211" s="9" t="n">
        <x:f>C211*1.24*('효과 규칙 55종'!H26*'스킬 500종'!L211*'스킬 500종'!M211/'효과 규칙 55종'!D26+'효과 규칙 55종'!H30*'스킬 500종'!O211*'스킬 500종'!P211/'효과 규칙 55종'!D30+'효과 규칙 55종'!H48*'스킬 500종'!R211*'스킬 500종'!S211/'효과 규칙 55종'!D48+'효과 규칙 55종'!H27*'스킬 500종'!U211*'스킬 500종'!V211/'효과 규칙 55종'!D27)</x:f>
        <x:v>3.9399264</x:v>
      </x:c>
      <x:c r="E211" s="9" t="n">
        <x:f>C211*SUM('스킬 500종'!E211:H211)</x:f>
        <x:v>1.08</x:v>
      </x:c>
      <x:c r="F211" s="9" t="n">
        <x:f>C211*1.4*SUM('스킬 500종'!I211:J211)</x:f>
        <x:v>0</x:v>
      </x:c>
      <x:c r="G211" s="9" t="n">
        <x:f>SUM(D211:F211)</x:f>
        <x:v>5.0199264</x:v>
      </x:c>
      <x:c r="H211" s="9" t="n">
        <x:f>1.1+0.8*'스킬 500종'!W211</x:f>
        <x:v>5.1</x:v>
      </x:c>
      <x:c r="I211" s="10" t="n">
        <x:f>G211/H211</x:f>
        <x:v>0.9842992941176472</x:v>
      </x:c>
      <x:c r="J211" s="1" t="str">
        <x:f>IF(OR('스킬 500종'!I211&lt;0,'스킬 500종'!J211&lt;0,AND('스킬 500종'!I211&gt;0,'스킬 500종'!J211&gt;0),AND(OR('스킬 500종'!K211="HEAL",'스킬 500종'!N211="HEAL",'스킬 500종'!Q211="HEAL",'스킬 500종'!T211="HEAL"),'스킬 500종'!I211=0,'스킬 500종'!J211=0),AND('스킬 500종'!I211&gt;0,OR('스킬 500종'!K211="CONTINUOUS_HEAL",'스킬 500종'!N211="CONTINUOUS_HEAL",'스킬 500종'!Q211="CONTINUOUS_HEAL",'스킬 500종'!T211="CONTINUOUS_HEAL"))),"회복 기준 오류",IF(AND(G211&lt;=H211+0.00001,'스킬 500종'!W211&gt;=1,'스킬 500종'!W211&lt;=5),"정상","초과"))</x:f>
        <x:v>정상</x:v>
      </x:c>
    </x:row>
    <x:row r="212" ht="30" customHeight="1">
      <x:c r="A212" s="1" t="str">
        <x:f>'스킬 500종'!A212</x:f>
        <x:v>SKILL_0206</x:v>
      </x:c>
      <x:c r="B212" s="1" t="str">
        <x:f>'스킬 500종'!B212</x:f>
        <x:v>출혈 · 상처의 일격</x:v>
      </x:c>
      <x:c r="C212" s="1" t="n">
        <x:f>1</x:f>
        <x:v>1</x:v>
      </x:c>
      <x:c r="D212" s="9" t="n">
        <x:f>C212*1.08*('효과 규칙 55종'!H29*'스킬 500종'!L212*'스킬 500종'!M212/'효과 규칙 55종'!D29+'효과 규칙 55종'!H32*'스킬 500종'!O212*'스킬 500종'!P212/'효과 규칙 55종'!D32)</x:f>
        <x:v>1.2636000000000003</x:v>
      </x:c>
      <x:c r="E212" s="9" t="n">
        <x:f>C212*SUM('스킬 500종'!E212:H212)</x:f>
        <x:v>1.1</x:v>
      </x:c>
      <x:c r="F212" s="9" t="n">
        <x:f>C212*1.4*SUM('스킬 500종'!I212:J212)</x:f>
        <x:v>0</x:v>
      </x:c>
      <x:c r="G212" s="9" t="n">
        <x:f>SUM(D212:F212)</x:f>
        <x:v>2.3636000000000004</x:v>
      </x:c>
      <x:c r="H212" s="9" t="n">
        <x:f>1.1+0.8*'스킬 500종'!W212</x:f>
        <x:v>2.7</x:v>
      </x:c>
      <x:c r="I212" s="10" t="n">
        <x:f>G212/H212</x:f>
        <x:v>0.8754074074074075</x:v>
      </x:c>
      <x:c r="J212" s="1" t="str">
        <x:f>IF(OR('스킬 500종'!I212&lt;0,'스킬 500종'!J212&lt;0,AND('스킬 500종'!I212&gt;0,'스킬 500종'!J212&gt;0),AND(OR('스킬 500종'!K212="HEAL",'스킬 500종'!N212="HEAL",'스킬 500종'!Q212="HEAL",'스킬 500종'!T212="HEAL"),'스킬 500종'!I212=0,'스킬 500종'!J212=0),AND('스킬 500종'!I212&gt;0,OR('스킬 500종'!K212="CONTINUOUS_HEAL",'스킬 500종'!N212="CONTINUOUS_HEAL",'스킬 500종'!Q212="CONTINUOUS_HEAL",'스킬 500종'!T212="CONTINUOUS_HEAL"))),"회복 기준 오류",IF(AND(G212&lt;=H212+0.00001,'스킬 500종'!W212&gt;=1,'스킬 500종'!W212&lt;=5),"정상","초과"))</x:f>
        <x:v>정상</x:v>
      </x:c>
    </x:row>
    <x:row r="213" ht="30" customHeight="1">
      <x:c r="A213" s="1" t="str">
        <x:f>'스킬 500종'!A213</x:f>
        <x:v>SKILL_0207</x:v>
      </x:c>
      <x:c r="B213" s="1" t="str">
        <x:f>'스킬 500종'!B213</x:f>
        <x:v>출혈 · 강화 불가의 일격</x:v>
      </x:c>
      <x:c r="C213" s="1" t="n">
        <x:f>1</x:f>
        <x:v>1</x:v>
      </x:c>
      <x:c r="D213" s="9" t="n">
        <x:f>C213*1.08*('효과 규칙 55종'!H29*'스킬 500종'!L213*'스킬 500종'!M213/'효과 규칙 55종'!D29+'효과 규칙 55종'!H26*'스킬 500종'!O213*'스킬 500종'!P213/'효과 규칙 55종'!D26)</x:f>
        <x:v>1.3608</x:v>
      </x:c>
      <x:c r="E213" s="9" t="n">
        <x:f>C213*SUM('스킬 500종'!E213:H213)</x:f>
        <x:v>1.1</x:v>
      </x:c>
      <x:c r="F213" s="9" t="n">
        <x:f>C213*1.4*SUM('스킬 500종'!I213:J213)</x:f>
        <x:v>0</x:v>
      </x:c>
      <x:c r="G213" s="9" t="n">
        <x:f>SUM(D213:F213)</x:f>
        <x:v>2.4608</x:v>
      </x:c>
      <x:c r="H213" s="9" t="n">
        <x:f>1.1+0.8*'스킬 500종'!W213</x:f>
        <x:v>2.7</x:v>
      </x:c>
      <x:c r="I213" s="10" t="n">
        <x:f>G213/H213</x:f>
        <x:v>0.9114074074074073</x:v>
      </x:c>
      <x:c r="J213" s="1" t="str">
        <x:f>IF(OR('스킬 500종'!I213&lt;0,'스킬 500종'!J213&lt;0,AND('스킬 500종'!I213&gt;0,'스킬 500종'!J213&gt;0),AND(OR('스킬 500종'!K213="HEAL",'스킬 500종'!N213="HEAL",'스킬 500종'!Q213="HEAL",'스킬 500종'!T213="HEAL"),'스킬 500종'!I213=0,'스킬 500종'!J213=0),AND('스킬 500종'!I213&gt;0,OR('스킬 500종'!K213="CONTINUOUS_HEAL",'스킬 500종'!N213="CONTINUOUS_HEAL",'스킬 500종'!Q213="CONTINUOUS_HEAL",'스킬 500종'!T213="CONTINUOUS_HEAL"))),"회복 기준 오류",IF(AND(G213&lt;=H213+0.00001,'스킬 500종'!W213&gt;=1,'스킬 500종'!W213&lt;=5),"정상","초과"))</x:f>
        <x:v>정상</x:v>
      </x:c>
    </x:row>
    <x:row r="214" ht="30" customHeight="1">
      <x:c r="A214" s="1" t="str">
        <x:f>'스킬 500종'!A214</x:f>
        <x:v>SKILL_0208</x:v>
      </x:c>
      <x:c r="B214" s="1" t="str">
        <x:f>'스킬 500종'!B214</x:f>
        <x:v>강화효과 해제 · 속도 감소 · 소멸 · 추가 공격의 일격</x:v>
      </x:c>
      <x:c r="C214" s="1" t="n">
        <x:f>2.4</x:f>
        <x:v>2.4</x:v>
      </x:c>
      <x:c r="D214" s="9" t="n">
        <x:f>C214*1.24*('효과 규칙 55종'!H56*'스킬 500종'!L214*'스킬 500종'!M214/'효과 규칙 55종'!D56+'효과 규칙 55종'!H20*'스킬 500종'!O214*'스킬 500종'!P214/'효과 규칙 55종'!D20+'효과 규칙 55종'!H47*'스킬 500종'!R214*'스킬 500종'!S214/'효과 규칙 55종'!D47+'효과 규칙 55종'!H50*'스킬 500종'!U214*'스킬 500종'!V214/'효과 규칙 55종'!D50)</x:f>
        <x:v>3.6079004571428572</x:v>
      </x:c>
      <x:c r="E214" s="9" t="n">
        <x:f>C214*SUM('스킬 500종'!E214:H214)</x:f>
        <x:v>1.08</x:v>
      </x:c>
      <x:c r="F214" s="9" t="n">
        <x:f>C214*1.4*SUM('스킬 500종'!I214:J214)</x:f>
        <x:v>0</x:v>
      </x:c>
      <x:c r="G214" s="9" t="n">
        <x:f>SUM(D214:F214)</x:f>
        <x:v>4.687900457142858</x:v>
      </x:c>
      <x:c r="H214" s="9" t="n">
        <x:f>1.1+0.8*'스킬 500종'!W214</x:f>
        <x:v>5.1</x:v>
      </x:c>
      <x:c r="I214" s="10" t="n">
        <x:f>G214/H214</x:f>
        <x:v>0.919196168067227</x:v>
      </x:c>
      <x:c r="J214" s="1" t="str">
        <x:f>IF(OR('스킬 500종'!I214&lt;0,'스킬 500종'!J214&lt;0,AND('스킬 500종'!I214&gt;0,'스킬 500종'!J214&gt;0),AND(OR('스킬 500종'!K214="HEAL",'스킬 500종'!N214="HEAL",'스킬 500종'!Q214="HEAL",'스킬 500종'!T214="HEAL"),'스킬 500종'!I214=0,'스킬 500종'!J214=0),AND('스킬 500종'!I214&gt;0,OR('스킬 500종'!K214="CONTINUOUS_HEAL",'스킬 500종'!N214="CONTINUOUS_HEAL",'스킬 500종'!Q214="CONTINUOUS_HEAL",'스킬 500종'!T214="CONTINUOUS_HEAL"))),"회복 기준 오류",IF(AND(G214&lt;=H214+0.00001,'스킬 500종'!W214&gt;=1,'스킬 500종'!W214&lt;=5),"정상","초과"))</x:f>
        <x:v>정상</x:v>
      </x:c>
    </x:row>
    <x:row r="215" ht="30" customHeight="1">
      <x:c r="A215" s="1" t="str">
        <x:f>'스킬 500종'!A215</x:f>
        <x:v>SKILL_0209</x:v>
      </x:c>
      <x:c r="B215" s="1" t="str">
        <x:f>'스킬 500종'!B215</x:f>
        <x:v>기절 — 스턴 · 스킬 쿨타임 증가 · 저주 · 표적의 일격</x:v>
      </x:c>
      <x:c r="C215" s="1" t="n">
        <x:f>1</x:f>
        <x:v>1</x:v>
      </x:c>
      <x:c r="D215" s="9" t="n">
        <x:f>C215*1.24*('효과 규칙 55종'!H22*'스킬 500종'!L215*'스킬 500종'!M215/'효과 규칙 55종'!D22+'효과 규칙 55종'!H54*'스킬 500종'!O215*'스킬 500종'!P215/'효과 규칙 55종'!D54+'효과 규칙 55종'!H31*'스킬 500종'!R215*'스킬 500종'!S215/'효과 규칙 55종'!D31+'효과 규칙 55종'!H30*'스킬 500종'!U215*'스킬 500종'!V215/'효과 규칙 55종'!D30)</x:f>
        <x:v>3.6560159999999993</x:v>
      </x:c>
      <x:c r="E215" s="9" t="n">
        <x:f>C215*SUM('스킬 500종'!E215:H215)</x:f>
        <x:v>1.1</x:v>
      </x:c>
      <x:c r="F215" s="9" t="n">
        <x:f>C215*1.4*SUM('스킬 500종'!I215:J215)</x:f>
        <x:v>0</x:v>
      </x:c>
      <x:c r="G215" s="9" t="n">
        <x:f>SUM(D215:F215)</x:f>
        <x:v>4.756015999999999</x:v>
      </x:c>
      <x:c r="H215" s="9" t="n">
        <x:f>1.1+0.8*'스킬 500종'!W215</x:f>
        <x:v>5.1</x:v>
      </x:c>
      <x:c r="I215" s="10" t="n">
        <x:f>G215/H215</x:f>
        <x:v>0.932552156862745</x:v>
      </x:c>
      <x:c r="J215" s="1" t="str">
        <x:f>IF(OR('스킬 500종'!I215&lt;0,'스킬 500종'!J215&lt;0,AND('스킬 500종'!I215&gt;0,'스킬 500종'!J215&gt;0),AND(OR('스킬 500종'!K215="HEAL",'스킬 500종'!N215="HEAL",'스킬 500종'!Q215="HEAL",'스킬 500종'!T215="HEAL"),'스킬 500종'!I215=0,'스킬 500종'!J215=0),AND('스킬 500종'!I215&gt;0,OR('스킬 500종'!K215="CONTINUOUS_HEAL",'스킬 500종'!N215="CONTINUOUS_HEAL",'스킬 500종'!Q215="CONTINUOUS_HEAL",'스킬 500종'!T215="CONTINUOUS_HEAL"))),"회복 기준 오류",IF(AND(G215&lt;=H215+0.00001,'스킬 500종'!W215&gt;=1,'스킬 500종'!W215&lt;=5),"정상","초과"))</x:f>
        <x:v>정상</x:v>
      </x:c>
    </x:row>
    <x:row r="216" ht="30" customHeight="1">
      <x:c r="A216" s="1" t="str">
        <x:f>'스킬 500종'!A216</x:f>
        <x:v>SKILL_0210</x:v>
      </x:c>
      <x:c r="B216" s="1" t="str">
        <x:f>'스킬 500종'!B216</x:f>
        <x:v>명중 감소 · 반격 불가 · 속도 감소 · 강화효과 해제의 일격</x:v>
      </x:c>
      <x:c r="C216" s="1" t="n">
        <x:f>1</x:f>
        <x:v>1</x:v>
      </x:c>
      <x:c r="D216" s="9" t="n">
        <x:f>C216*1.24*('효과 규칙 55종'!H21*'스킬 500종'!L216*'스킬 500종'!M216/'효과 규칙 55종'!D21+'효과 규칙 55종'!H27*'스킬 500종'!O216*'스킬 500종'!P216/'효과 규칙 55종'!D27+'효과 규칙 55종'!H20*'스킬 500종'!R216*'스킬 500종'!S216/'효과 규칙 55종'!D20+'효과 규칙 55종'!H56*'스킬 500종'!U216*'스킬 500종'!V216/'효과 규칙 55종'!D56)</x:f>
        <x:v>1.9768699999999997</x:v>
      </x:c>
      <x:c r="E216" s="9" t="n">
        <x:f>C216*SUM('스킬 500종'!E216:H216)</x:f>
        <x:v>1.1</x:v>
      </x:c>
      <x:c r="F216" s="9" t="n">
        <x:f>C216*1.4*SUM('스킬 500종'!I216:J216)</x:f>
        <x:v>0</x:v>
      </x:c>
      <x:c r="G216" s="9" t="n">
        <x:f>SUM(D216:F216)</x:f>
        <x:v>3.0768699999999995</x:v>
      </x:c>
      <x:c r="H216" s="9" t="n">
        <x:f>1.1+0.8*'스킬 500종'!W216</x:f>
        <x:v>3.5000000000000004</x:v>
      </x:c>
      <x:c r="I216" s="10" t="n">
        <x:f>G216/H216</x:f>
        <x:v>0.879105714285714</x:v>
      </x:c>
      <x:c r="J216" s="1" t="str">
        <x:f>IF(OR('스킬 500종'!I216&lt;0,'스킬 500종'!J216&lt;0,AND('스킬 500종'!I216&gt;0,'스킬 500종'!J216&gt;0),AND(OR('스킬 500종'!K216="HEAL",'스킬 500종'!N216="HEAL",'스킬 500종'!Q216="HEAL",'스킬 500종'!T216="HEAL"),'스킬 500종'!I216=0,'스킬 500종'!J216=0),AND('스킬 500종'!I216&gt;0,OR('스킬 500종'!K216="CONTINUOUS_HEAL",'스킬 500종'!N216="CONTINUOUS_HEAL",'스킬 500종'!Q216="CONTINUOUS_HEAL",'스킬 500종'!T216="CONTINUOUS_HEAL"))),"회복 기준 오류",IF(AND(G216&lt;=H216+0.00001,'스킬 500종'!W216&gt;=1,'스킬 500종'!W216&lt;=5),"정상","초과"))</x:f>
        <x:v>정상</x:v>
      </x:c>
    </x:row>
    <x:row r="217" ht="30" customHeight="1">
      <x:c r="A217" s="1" t="str">
        <x:f>'스킬 500종'!A217</x:f>
        <x:v>SKILL_0211</x:v>
      </x:c>
      <x:c r="B217" s="1" t="str">
        <x:f>'스킬 500종'!B217</x:f>
        <x:v>기절 — 스턴 · 표적 · 방어력 관통의 일격</x:v>
      </x:c>
      <x:c r="C217" s="1" t="n">
        <x:f>2.4</x:f>
        <x:v>2.4</x:v>
      </x:c>
      <x:c r="D217" s="9" t="n">
        <x:f>C217*1.16*('효과 규칙 55종'!H22*'스킬 500종'!L217*'스킬 500종'!M217/'효과 규칙 55종'!D22+'효과 규칙 55종'!H30*'스킬 500종'!O217*'스킬 500종'!P217/'효과 규칙 55종'!D30+'효과 규칙 55종'!H55*'스킬 500종'!R217*'스킬 500종'!S217/'효과 규칙 55종'!D55)</x:f>
        <x:v>3.9532800000000003</x:v>
      </x:c>
      <x:c r="E217" s="9" t="n">
        <x:f>C217*SUM('스킬 500종'!E217:H217)</x:f>
        <x:v>0.96</x:v>
      </x:c>
      <x:c r="F217" s="9" t="n">
        <x:f>C217*1.4*SUM('스킬 500종'!I217:J217)</x:f>
        <x:v>0</x:v>
      </x:c>
      <x:c r="G217" s="9" t="n">
        <x:f>SUM(D217:F217)</x:f>
        <x:v>4.91328</x:v>
      </x:c>
      <x:c r="H217" s="9" t="n">
        <x:f>1.1+0.8*'스킬 500종'!W217</x:f>
        <x:v>5.1</x:v>
      </x:c>
      <x:c r="I217" s="10" t="n">
        <x:f>G217/H217</x:f>
        <x:v>0.9633882352941178</x:v>
      </x:c>
      <x:c r="J217" s="1" t="str">
        <x:f>IF(OR('스킬 500종'!I217&lt;0,'스킬 500종'!J217&lt;0,AND('스킬 500종'!I217&gt;0,'스킬 500종'!J217&gt;0),AND(OR('스킬 500종'!K217="HEAL",'스킬 500종'!N217="HEAL",'스킬 500종'!Q217="HEAL",'스킬 500종'!T217="HEAL"),'스킬 500종'!I217=0,'스킬 500종'!J217=0),AND('스킬 500종'!I217&gt;0,OR('스킬 500종'!K217="CONTINUOUS_HEAL",'스킬 500종'!N217="CONTINUOUS_HEAL",'스킬 500종'!Q217="CONTINUOUS_HEAL",'스킬 500종'!T217="CONTINUOUS_HEAL"))),"회복 기준 오류",IF(AND(G217&lt;=H217+0.00001,'스킬 500종'!W217&gt;=1,'스킬 500종'!W217&lt;=5),"정상","초과"))</x:f>
        <x:v>정상</x:v>
      </x:c>
    </x:row>
    <x:row r="218" ht="30" customHeight="1">
      <x:c r="A218" s="1" t="str">
        <x:f>'스킬 500종'!A218</x:f>
        <x:v>SKILL_0212</x:v>
      </x:c>
      <x:c r="B218" s="1" t="str">
        <x:f>'스킬 500종'!B218</x:f>
        <x:v>반격 불가 · 도발의 일격</x:v>
      </x:c>
      <x:c r="C218" s="1" t="n">
        <x:f>1</x:f>
        <x:v>1</x:v>
      </x:c>
      <x:c r="D218" s="9" t="n">
        <x:f>C218*1.08*('효과 규칙 55종'!H27*'스킬 500종'!L218*'스킬 500종'!M218/'효과 규칙 55종'!D27+'효과 규칙 55종'!H24*'스킬 500종'!O218*'스킬 500종'!P218/'효과 규칙 55종'!D24)</x:f>
        <x:v>1.6038000000000001</x:v>
      </x:c>
      <x:c r="E218" s="9" t="n">
        <x:f>C218*SUM('스킬 500종'!E218:H218)</x:f>
        <x:v>1.1</x:v>
      </x:c>
      <x:c r="F218" s="9" t="n">
        <x:f>C218*1.4*SUM('스킬 500종'!I218:J218)</x:f>
        <x:v>0</x:v>
      </x:c>
      <x:c r="G218" s="9" t="n">
        <x:f>SUM(D218:F218)</x:f>
        <x:v>2.7038</x:v>
      </x:c>
      <x:c r="H218" s="9" t="n">
        <x:f>1.1+0.8*'스킬 500종'!W218</x:f>
        <x:v>3.5000000000000004</x:v>
      </x:c>
      <x:c r="I218" s="10" t="n">
        <x:f>G218/H218</x:f>
        <x:v>0.7725142857142857</x:v>
      </x:c>
      <x:c r="J218" s="1" t="str">
        <x:f>IF(OR('스킬 500종'!I218&lt;0,'스킬 500종'!J218&lt;0,AND('스킬 500종'!I218&gt;0,'스킬 500종'!J218&gt;0),AND(OR('스킬 500종'!K218="HEAL",'스킬 500종'!N218="HEAL",'스킬 500종'!Q218="HEAL",'스킬 500종'!T218="HEAL"),'스킬 500종'!I218=0,'스킬 500종'!J218=0),AND('스킬 500종'!I218&gt;0,OR('스킬 500종'!K218="CONTINUOUS_HEAL",'스킬 500종'!N218="CONTINUOUS_HEAL",'스킬 500종'!Q218="CONTINUOUS_HEAL",'스킬 500종'!T218="CONTINUOUS_HEAL"))),"회복 기준 오류",IF(AND(G218&lt;=H218+0.00001,'스킬 500종'!W218&gt;=1,'스킬 500종'!W218&lt;=5),"정상","초과"))</x:f>
        <x:v>정상</x:v>
      </x:c>
    </x:row>
    <x:row r="219" ht="30" customHeight="1">
      <x:c r="A219" s="1" t="str">
        <x:f>'스킬 500종'!A219</x:f>
        <x:v>SKILL_0213</x:v>
      </x:c>
      <x:c r="B219" s="1" t="str">
        <x:f>'스킬 500종'!B219</x:f>
        <x:v>공격력 감소 · 약화효과 전이 · 방어력 관통의 일격</x:v>
      </x:c>
      <x:c r="C219" s="1" t="n">
        <x:f>1</x:f>
        <x:v>1</x:v>
      </x:c>
      <x:c r="D219" s="9" t="n">
        <x:f>C219*1.16*('효과 규칙 55종'!H18*'스킬 500종'!L219*'스킬 500종'!M219/'효과 규칙 55종'!D18+'효과 규칙 55종'!H61*'스킬 500종'!O219*'스킬 500종'!P219/'효과 규칙 55종'!D61+'효과 규칙 55종'!H55*'스킬 500종'!R219*'스킬 500종'!S219/'효과 규칙 55종'!D55)</x:f>
        <x:v>1.8559999999999999</x:v>
      </x:c>
      <x:c r="E219" s="9" t="n">
        <x:f>C219*SUM('스킬 500종'!E219:H219)</x:f>
        <x:v>1.1</x:v>
      </x:c>
      <x:c r="F219" s="9" t="n">
        <x:f>C219*1.4*SUM('스킬 500종'!I219:J219)</x:f>
        <x:v>0</x:v>
      </x:c>
      <x:c r="G219" s="9" t="n">
        <x:f>SUM(D219:F219)</x:f>
        <x:v>2.956</x:v>
      </x:c>
      <x:c r="H219" s="9" t="n">
        <x:f>1.1+0.8*'스킬 500종'!W219</x:f>
        <x:v>3.5000000000000004</x:v>
      </x:c>
      <x:c r="I219" s="10" t="n">
        <x:f>G219/H219</x:f>
        <x:v>0.8445714285714284</x:v>
      </x:c>
      <x:c r="J219" s="1" t="str">
        <x:f>IF(OR('스킬 500종'!I219&lt;0,'스킬 500종'!J219&lt;0,AND('스킬 500종'!I219&gt;0,'스킬 500종'!J219&gt;0),AND(OR('스킬 500종'!K219="HEAL",'스킬 500종'!N219="HEAL",'스킬 500종'!Q219="HEAL",'스킬 500종'!T219="HEAL"),'스킬 500종'!I219=0,'스킬 500종'!J219=0),AND('스킬 500종'!I219&gt;0,OR('스킬 500종'!K219="CONTINUOUS_HEAL",'스킬 500종'!N219="CONTINUOUS_HEAL",'스킬 500종'!Q219="CONTINUOUS_HEAL",'스킬 500종'!T219="CONTINUOUS_HEAL"))),"회복 기준 오류",IF(AND(G219&lt;=H219+0.00001,'스킬 500종'!W219&gt;=1,'스킬 500종'!W219&lt;=5),"정상","초과"))</x:f>
        <x:v>정상</x:v>
      </x:c>
    </x:row>
    <x:row r="220" ht="30" customHeight="1">
      <x:c r="A220" s="1" t="str">
        <x:f>'스킬 500종'!A220</x:f>
        <x:v>SKILL_0214</x:v>
      </x:c>
      <x:c r="B220" s="1" t="str">
        <x:f>'스킬 500종'!B220</x:f>
        <x:v>부활 불가 · 추가 피해 · 중독 · 스킬 쿨타임 증가의 일격</x:v>
      </x:c>
      <x:c r="C220" s="1" t="n">
        <x:f>2.4</x:f>
        <x:v>2.4</x:v>
      </x:c>
      <x:c r="D220" s="9" t="n">
        <x:f>C220*1.24*('효과 규칙 55종'!H48*'스킬 500종'!L220*'스킬 500종'!M220/'효과 규칙 55종'!D48+'효과 규칙 55종'!H33*'스킬 500종'!O220*'스킬 500종'!P220/'효과 규칙 55종'!D33+'효과 규칙 55종'!H28*'스킬 500종'!R220*'스킬 500종'!S220/'효과 규칙 55종'!D28+'효과 규칙 55종'!H54*'스킬 500종'!U220*'스킬 500종'!V220/'효과 규칙 55종'!D54)</x:f>
        <x:v>3.7117862400000003</x:v>
      </x:c>
      <x:c r="E220" s="9" t="n">
        <x:f>C220*SUM('스킬 500종'!E220:H220)</x:f>
        <x:v>0.96</x:v>
      </x:c>
      <x:c r="F220" s="9" t="n">
        <x:f>C220*1.4*SUM('스킬 500종'!I220:J220)</x:f>
        <x:v>0</x:v>
      </x:c>
      <x:c r="G220" s="9" t="n">
        <x:f>SUM(D220:F220)</x:f>
        <x:v>4.67178624</x:v>
      </x:c>
      <x:c r="H220" s="9" t="n">
        <x:f>1.1+0.8*'스킬 500종'!W220</x:f>
        <x:v>5.1</x:v>
      </x:c>
      <x:c r="I220" s="10" t="n">
        <x:f>G220/H220</x:f>
        <x:v>0.916036517647059</x:v>
      </x:c>
      <x:c r="J220" s="1" t="str">
        <x:f>IF(OR('스킬 500종'!I220&lt;0,'스킬 500종'!J220&lt;0,AND('스킬 500종'!I220&gt;0,'스킬 500종'!J220&gt;0),AND(OR('스킬 500종'!K220="HEAL",'스킬 500종'!N220="HEAL",'스킬 500종'!Q220="HEAL",'스킬 500종'!T220="HEAL"),'스킬 500종'!I220=0,'스킬 500종'!J220=0),AND('스킬 500종'!I220&gt;0,OR('스킬 500종'!K220="CONTINUOUS_HEAL",'스킬 500종'!N220="CONTINUOUS_HEAL",'스킬 500종'!Q220="CONTINUOUS_HEAL",'스킬 500종'!T220="CONTINUOUS_HEAL"))),"회복 기준 오류",IF(AND(G220&lt;=H220+0.00001,'스킬 500종'!W220&gt;=1,'스킬 500종'!W220&lt;=5),"정상","초과"))</x:f>
        <x:v>정상</x:v>
      </x:c>
    </x:row>
    <x:row r="221" ht="30" customHeight="1">
      <x:c r="A221" s="1" t="str">
        <x:f>'스킬 500종'!A221</x:f>
        <x:v>SKILL_0215</x:v>
      </x:c>
      <x:c r="B221" s="1" t="str">
        <x:f>'스킬 500종'!B221</x:f>
        <x:v>회복 불가 · 반격 불가 · 강화효과 지속시간 감소 · 속도 감소의 일격</x:v>
      </x:c>
      <x:c r="C221" s="1" t="n">
        <x:f>1</x:f>
        <x:v>1</x:v>
      </x:c>
      <x:c r="D221" s="9" t="n">
        <x:f>C221*1.24*('효과 규칙 55종'!H25*'스킬 500종'!L221*'스킬 500종'!M221/'효과 규칙 55종'!D25+'효과 규칙 55종'!H27*'스킬 500종'!O221*'스킬 500종'!P221/'효과 규칙 55종'!D27+'효과 규칙 55종'!H59*'스킬 500종'!R221*'스킬 500종'!S221/'효과 규칙 55종'!D59+'효과 규칙 55종'!H20*'스킬 500종'!U221*'스킬 500종'!V221/'효과 규칙 55종'!D20)</x:f>
        <x:v>2.1027299999999998</x:v>
      </x:c>
      <x:c r="E221" s="9" t="n">
        <x:f>C221*SUM('스킬 500종'!E221:H221)</x:f>
        <x:v>1.1</x:v>
      </x:c>
      <x:c r="F221" s="9" t="n">
        <x:f>C221*1.4*SUM('스킬 500종'!I221:J221)</x:f>
        <x:v>0</x:v>
      </x:c>
      <x:c r="G221" s="9" t="n">
        <x:f>SUM(D221:F221)</x:f>
        <x:v>3.20273</x:v>
      </x:c>
      <x:c r="H221" s="9" t="n">
        <x:f>1.1+0.8*'스킬 500종'!W221</x:f>
        <x:v>3.5000000000000004</x:v>
      </x:c>
      <x:c r="I221" s="10" t="n">
        <x:f>G221/H221</x:f>
        <x:v>0.9150657142857141</x:v>
      </x:c>
      <x:c r="J221" s="1" t="str">
        <x:f>IF(OR('스킬 500종'!I221&lt;0,'스킬 500종'!J221&lt;0,AND('스킬 500종'!I221&gt;0,'스킬 500종'!J221&gt;0),AND(OR('스킬 500종'!K221="HEAL",'스킬 500종'!N221="HEAL",'스킬 500종'!Q221="HEAL",'스킬 500종'!T221="HEAL"),'스킬 500종'!I221=0,'스킬 500종'!J221=0),AND('스킬 500종'!I221&gt;0,OR('스킬 500종'!K221="CONTINUOUS_HEAL",'스킬 500종'!N221="CONTINUOUS_HEAL",'스킬 500종'!Q221="CONTINUOUS_HEAL",'스킬 500종'!T221="CONTINUOUS_HEAL"))),"회복 기준 오류",IF(AND(G221&lt;=H221+0.00001,'스킬 500종'!W221&gt;=1,'스킬 500종'!W221&lt;=5),"정상","초과"))</x:f>
        <x:v>정상</x:v>
      </x:c>
    </x:row>
    <x:row r="222" ht="30" customHeight="1">
      <x:c r="A222" s="1" t="str">
        <x:f>'스킬 500종'!A222</x:f>
        <x:v>SKILL_0216</x:v>
      </x:c>
      <x:c r="B222" s="1" t="str">
        <x:f>'스킬 500종'!B222</x:f>
        <x:v>속도 감소 · 부활 불가의 일격</x:v>
      </x:c>
      <x:c r="C222" s="1" t="n">
        <x:f>1</x:f>
        <x:v>1</x:v>
      </x:c>
      <x:c r="D222" s="9" t="n">
        <x:f>C222*1.08*('효과 규칙 55종'!H20*'스킬 500종'!L222*'스킬 500종'!M222/'효과 규칙 55종'!D20+'효과 규칙 55종'!H48*'스킬 500종'!O222*'스킬 500종'!P222/'효과 규칙 55종'!D48)</x:f>
        <x:v>1.6038</x:v>
      </x:c>
      <x:c r="E222" s="9" t="n">
        <x:f>C222*SUM('스킬 500종'!E222:H222)</x:f>
        <x:v>1.1</x:v>
      </x:c>
      <x:c r="F222" s="9" t="n">
        <x:f>C222*1.4*SUM('스킬 500종'!I222:J222)</x:f>
        <x:v>0</x:v>
      </x:c>
      <x:c r="G222" s="9" t="n">
        <x:f>SUM(D222:F222)</x:f>
        <x:v>2.7038</x:v>
      </x:c>
      <x:c r="H222" s="9" t="n">
        <x:f>1.1+0.8*'스킬 500종'!W222</x:f>
        <x:v>3.5000000000000004</x:v>
      </x:c>
      <x:c r="I222" s="10" t="n">
        <x:f>G222/H222</x:f>
        <x:v>0.7725142857142857</x:v>
      </x:c>
      <x:c r="J222" s="1" t="str">
        <x:f>IF(OR('스킬 500종'!I222&lt;0,'스킬 500종'!J222&lt;0,AND('스킬 500종'!I222&gt;0,'스킬 500종'!J222&gt;0),AND(OR('스킬 500종'!K222="HEAL",'스킬 500종'!N222="HEAL",'스킬 500종'!Q222="HEAL",'스킬 500종'!T222="HEAL"),'스킬 500종'!I222=0,'스킬 500종'!J222=0),AND('스킬 500종'!I222&gt;0,OR('스킬 500종'!K222="CONTINUOUS_HEAL",'스킬 500종'!N222="CONTINUOUS_HEAL",'스킬 500종'!Q222="CONTINUOUS_HEAL",'스킬 500종'!T222="CONTINUOUS_HEAL"))),"회복 기준 오류",IF(AND(G222&lt;=H222+0.00001,'스킬 500종'!W222&gt;=1,'스킬 500종'!W222&lt;=5),"정상","초과"))</x:f>
        <x:v>정상</x:v>
      </x:c>
    </x:row>
    <x:row r="223" ht="30" customHeight="1">
      <x:c r="A223" s="1" t="str">
        <x:f>'스킬 500종'!A223</x:f>
        <x:v>SKILL_0217</x:v>
      </x:c>
      <x:c r="B223" s="1" t="str">
        <x:f>'스킬 500종'!B223</x:f>
        <x:v>공격력 감소 · 약화효과 지속시간 증가의 일격</x:v>
      </x:c>
      <x:c r="C223" s="1" t="n">
        <x:f>2.4</x:f>
        <x:v>2.4</x:v>
      </x:c>
      <x:c r="D223" s="9" t="n">
        <x:f>C223*1.08*('효과 규칙 55종'!H18*'스킬 500종'!L223*'스킬 500종'!M223/'효과 규칙 55종'!D18+'효과 규칙 55종'!H60*'스킬 500종'!O223*'스킬 500종'!P223/'효과 규칙 55종'!D60)</x:f>
        <x:v>3.3047999999999997</x:v>
      </x:c>
      <x:c r="E223" s="9" t="n">
        <x:f>C223*SUM('스킬 500종'!E223:H223)</x:f>
        <x:v>1.56</x:v>
      </x:c>
      <x:c r="F223" s="9" t="n">
        <x:f>C223*1.4*SUM('스킬 500종'!I223:J223)</x:f>
        <x:v>0</x:v>
      </x:c>
      <x:c r="G223" s="9" t="n">
        <x:f>SUM(D223:F223)</x:f>
        <x:v>4.8648</x:v>
      </x:c>
      <x:c r="H223" s="9" t="n">
        <x:f>1.1+0.8*'스킬 500종'!W223</x:f>
        <x:v>5.1</x:v>
      </x:c>
      <x:c r="I223" s="10" t="n">
        <x:f>G223/H223</x:f>
        <x:v>0.9538823529411765</x:v>
      </x:c>
      <x:c r="J223" s="1" t="str">
        <x:f>IF(OR('스킬 500종'!I223&lt;0,'스킬 500종'!J223&lt;0,AND('스킬 500종'!I223&gt;0,'스킬 500종'!J223&gt;0),AND(OR('스킬 500종'!K223="HEAL",'스킬 500종'!N223="HEAL",'스킬 500종'!Q223="HEAL",'스킬 500종'!T223="HEAL"),'스킬 500종'!I223=0,'스킬 500종'!J223=0),AND('스킬 500종'!I223&gt;0,OR('스킬 500종'!K223="CONTINUOUS_HEAL",'스킬 500종'!N223="CONTINUOUS_HEAL",'스킬 500종'!Q223="CONTINUOUS_HEAL",'스킬 500종'!T223="CONTINUOUS_HEAL"))),"회복 기준 오류",IF(AND(G223&lt;=H223+0.00001,'스킬 500종'!W223&gt;=1,'스킬 500종'!W223&lt;=5),"정상","초과"))</x:f>
        <x:v>정상</x:v>
      </x:c>
    </x:row>
    <x:row r="224" ht="30" customHeight="1">
      <x:c r="A224" s="1" t="str">
        <x:f>'스킬 500종'!A224</x:f>
        <x:v>SKILL_0218</x:v>
      </x:c>
      <x:c r="B224" s="1" t="str">
        <x:f>'스킬 500종'!B224</x:f>
        <x:v>저주 · 속도 감소의 일격</x:v>
      </x:c>
      <x:c r="C224" s="1" t="n">
        <x:f>1</x:f>
        <x:v>1</x:v>
      </x:c>
      <x:c r="D224" s="9" t="n">
        <x:f>C224*1.08*('효과 규칙 55종'!H31*'스킬 500종'!L224*'스킬 500종'!M224/'효과 규칙 55종'!D31+'효과 규칙 55종'!H20*'스킬 500종'!O224*'스킬 500종'!P224/'효과 규칙 55종'!D20)</x:f>
        <x:v>1.4094000000000002</x:v>
      </x:c>
      <x:c r="E224" s="9" t="n">
        <x:f>C224*SUM('스킬 500종'!E224:H224)</x:f>
        <x:v>1.1</x:v>
      </x:c>
      <x:c r="F224" s="9" t="n">
        <x:f>C224*1.4*SUM('스킬 500종'!I224:J224)</x:f>
        <x:v>0</x:v>
      </x:c>
      <x:c r="G224" s="9" t="n">
        <x:f>SUM(D224:F224)</x:f>
        <x:v>2.5094000000000003</x:v>
      </x:c>
      <x:c r="H224" s="9" t="n">
        <x:f>1.1+0.8*'스킬 500종'!W224</x:f>
        <x:v>2.7</x:v>
      </x:c>
      <x:c r="I224" s="10" t="n">
        <x:f>G224/H224</x:f>
        <x:v>0.9294074074074075</x:v>
      </x:c>
      <x:c r="J224" s="1" t="str">
        <x:f>IF(OR('스킬 500종'!I224&lt;0,'스킬 500종'!J224&lt;0,AND('스킬 500종'!I224&gt;0,'스킬 500종'!J224&gt;0),AND(OR('스킬 500종'!K224="HEAL",'스킬 500종'!N224="HEAL",'스킬 500종'!Q224="HEAL",'스킬 500종'!T224="HEAL"),'스킬 500종'!I224=0,'스킬 500종'!J224=0),AND('스킬 500종'!I224&gt;0,OR('스킬 500종'!K224="CONTINUOUS_HEAL",'스킬 500종'!N224="CONTINUOUS_HEAL",'스킬 500종'!Q224="CONTINUOUS_HEAL",'스킬 500종'!T224="CONTINUOUS_HEAL"))),"회복 기준 오류",IF(AND(G224&lt;=H224+0.00001,'스킬 500종'!W224&gt;=1,'스킬 500종'!W224&lt;=5),"정상","초과"))</x:f>
        <x:v>정상</x:v>
      </x:c>
    </x:row>
    <x:row r="225" ht="30" customHeight="1">
      <x:c r="A225" s="1" t="str">
        <x:f>'스킬 500종'!A225</x:f>
        <x:v>SKILL_0219</x:v>
      </x:c>
      <x:c r="B225" s="1" t="str">
        <x:f>'스킬 500종'!B225</x:f>
        <x:v>중독 · 방어력 감소의 일격</x:v>
      </x:c>
      <x:c r="C225" s="1" t="n">
        <x:f>1</x:f>
        <x:v>1</x:v>
      </x:c>
      <x:c r="D225" s="9" t="n">
        <x:f>C225*1.08*('효과 규칙 55종'!H28*'스킬 500종'!L225*'스킬 500종'!M225/'효과 규칙 55종'!D28+'효과 규칙 55종'!H19*'스킬 500종'!O225*'스킬 500종'!P225/'효과 규칙 55종'!D19)</x:f>
        <x:v>1.4580000000000002</x:v>
      </x:c>
      <x:c r="E225" s="9" t="n">
        <x:f>C225*SUM('스킬 500종'!E225:H225)</x:f>
        <x:v>1.1</x:v>
      </x:c>
      <x:c r="F225" s="9" t="n">
        <x:f>C225*1.4*SUM('스킬 500종'!I225:J225)</x:f>
        <x:v>0</x:v>
      </x:c>
      <x:c r="G225" s="9" t="n">
        <x:f>SUM(D225:F225)</x:f>
        <x:v>2.5580000000000003</x:v>
      </x:c>
      <x:c r="H225" s="9" t="n">
        <x:f>1.1+0.8*'스킬 500종'!W225</x:f>
        <x:v>2.7</x:v>
      </x:c>
      <x:c r="I225" s="10" t="n">
        <x:f>G225/H225</x:f>
        <x:v>0.9474074074074075</x:v>
      </x:c>
      <x:c r="J225" s="1" t="str">
        <x:f>IF(OR('스킬 500종'!I225&lt;0,'스킬 500종'!J225&lt;0,AND('스킬 500종'!I225&gt;0,'스킬 500종'!J225&gt;0),AND(OR('스킬 500종'!K225="HEAL",'스킬 500종'!N225="HEAL",'스킬 500종'!Q225="HEAL",'스킬 500종'!T225="HEAL"),'스킬 500종'!I225=0,'스킬 500종'!J225=0),AND('스킬 500종'!I225&gt;0,OR('스킬 500종'!K225="CONTINUOUS_HEAL",'스킬 500종'!N225="CONTINUOUS_HEAL",'스킬 500종'!Q225="CONTINUOUS_HEAL",'스킬 500종'!T225="CONTINUOUS_HEAL"))),"회복 기준 오류",IF(AND(G225&lt;=H225+0.00001,'스킬 500종'!W225&gt;=1,'스킬 500종'!W225&lt;=5),"정상","초과"))</x:f>
        <x:v>정상</x:v>
      </x:c>
    </x:row>
    <x:row r="226" ht="30" customHeight="1">
      <x:c r="A226" s="1" t="str">
        <x:f>'스킬 500종'!A226</x:f>
        <x:v>SKILL_0220</x:v>
      </x:c>
      <x:c r="B226" s="1" t="str">
        <x:f>'스킬 500종'!B226</x:f>
        <x:v>강화 불가 · 반격 불가 · 흡혈의 일격</x:v>
      </x:c>
      <x:c r="C226" s="1" t="n">
        <x:f>2.4</x:f>
        <x:v>2.4</x:v>
      </x:c>
      <x:c r="D226" s="9" t="n">
        <x:f>C226*1.16*('효과 규칙 55종'!H26*'스킬 500종'!L226*'스킬 500종'!M226/'효과 규칙 55종'!D26+'효과 규칙 55종'!H27*'스킬 500종'!O226*'스킬 500종'!P226/'효과 규칙 55종'!D27+'효과 규칙 55종'!H36*'스킬 500종'!R226*'스킬 500종'!S226/'효과 규칙 55종'!D36)</x:f>
        <x:v>3.383952</x:v>
      </x:c>
      <x:c r="E226" s="9" t="n">
        <x:f>C226*SUM('스킬 500종'!E226:H226)</x:f>
        <x:v>1.32</x:v>
      </x:c>
      <x:c r="F226" s="9" t="n">
        <x:f>C226*1.4*SUM('스킬 500종'!I226:J226)</x:f>
        <x:v>0</x:v>
      </x:c>
      <x:c r="G226" s="9" t="n">
        <x:f>SUM(D226:F226)</x:f>
        <x:v>4.703952</x:v>
      </x:c>
      <x:c r="H226" s="9" t="n">
        <x:f>1.1+0.8*'스킬 500종'!W226</x:f>
        <x:v>5.1</x:v>
      </x:c>
      <x:c r="I226" s="10" t="n">
        <x:f>G226/H226</x:f>
        <x:v>0.9223435294117648</x:v>
      </x:c>
      <x:c r="J226" s="1" t="str">
        <x:f>IF(OR('스킬 500종'!I226&lt;0,'스킬 500종'!J226&lt;0,AND('스킬 500종'!I226&gt;0,'스킬 500종'!J226&gt;0),AND(OR('스킬 500종'!K226="HEAL",'스킬 500종'!N226="HEAL",'스킬 500종'!Q226="HEAL",'스킬 500종'!T226="HEAL"),'스킬 500종'!I226=0,'스킬 500종'!J226=0),AND('스킬 500종'!I226&gt;0,OR('스킬 500종'!K226="CONTINUOUS_HEAL",'스킬 500종'!N226="CONTINUOUS_HEAL",'스킬 500종'!Q226="CONTINUOUS_HEAL",'스킬 500종'!T226="CONTINUOUS_HEAL"))),"회복 기준 오류",IF(AND(G226&lt;=H226+0.00001,'스킬 500종'!W226&gt;=1,'스킬 500종'!W226&lt;=5),"정상","초과"))</x:f>
        <x:v>정상</x:v>
      </x:c>
    </x:row>
    <x:row r="227" ht="30" customHeight="1">
      <x:c r="A227" s="1" t="str">
        <x:f>'스킬 500종'!A227</x:f>
        <x:v>SKILL_0221</x:v>
      </x:c>
      <x:c r="B227" s="1" t="str">
        <x:f>'스킬 500종'!B227</x:f>
        <x:v>추가 턴 · 공격력 증가(대)의 의식</x:v>
      </x:c>
      <x:c r="C227" s="1" t="n">
        <x:f>1</x:f>
        <x:v>1</x:v>
      </x:c>
      <x:c r="D227" s="9" t="n">
        <x:f>C227*1.08*('효과 규칙 55종'!H49*'스킬 500종'!L227*'스킬 500종'!M227/'효과 규칙 55종'!D49+'효과 규칙 55종'!H8*'스킬 500종'!O227*'스킬 500종'!P227/'효과 규칙 55종'!D8)</x:f>
        <x:v>3.6288000000000005</x:v>
      </x:c>
      <x:c r="E227" s="9" t="n">
        <x:f>C227*SUM('스킬 500종'!E227:H227)</x:f>
        <x:v>0</x:v>
      </x:c>
      <x:c r="F227" s="9" t="n">
        <x:f>C227*1.4*SUM('스킬 500종'!I227:J227)</x:f>
        <x:v>0</x:v>
      </x:c>
      <x:c r="G227" s="9" t="n">
        <x:f>SUM(D227:F227)</x:f>
        <x:v>3.6288000000000005</x:v>
      </x:c>
      <x:c r="H227" s="9" t="n">
        <x:f>1.1+0.8*'스킬 500종'!W227</x:f>
        <x:v>5.1</x:v>
      </x:c>
      <x:c r="I227" s="10" t="n">
        <x:f>G227/H227</x:f>
        <x:v>0.7115294117647061</x:v>
      </x:c>
      <x:c r="J227" s="1" t="str">
        <x:f>IF(OR('스킬 500종'!I227&lt;0,'스킬 500종'!J227&lt;0,AND('스킬 500종'!I227&gt;0,'스킬 500종'!J227&gt;0),AND(OR('스킬 500종'!K227="HEAL",'스킬 500종'!N227="HEAL",'스킬 500종'!Q227="HEAL",'스킬 500종'!T227="HEAL"),'스킬 500종'!I227=0,'스킬 500종'!J227=0),AND('스킬 500종'!I227&gt;0,OR('스킬 500종'!K227="CONTINUOUS_HEAL",'스킬 500종'!N227="CONTINUOUS_HEAL",'스킬 500종'!Q227="CONTINUOUS_HEAL",'스킬 500종'!T227="CONTINUOUS_HEAL"))),"회복 기준 오류",IF(AND(G227&lt;=H227+0.00001,'스킬 500종'!W227&gt;=1,'스킬 500종'!W227&lt;=5),"정상","초과"))</x:f>
        <x:v>정상</x:v>
      </x:c>
    </x:row>
    <x:row r="228" ht="30" customHeight="1">
      <x:c r="A228" s="1" t="str">
        <x:f>'스킬 500종'!A228</x:f>
        <x:v>SKILL_0222</x:v>
      </x:c>
      <x:c r="B228" s="1" t="str">
        <x:f>'스킬 500종'!B228</x:f>
        <x:v>상처 · 방어력 감소의 일격</x:v>
      </x:c>
      <x:c r="C228" s="1" t="n">
        <x:f>1</x:f>
        <x:v>1</x:v>
      </x:c>
      <x:c r="D228" s="9" t="n">
        <x:f>C228*1.08*('효과 규칙 55종'!H32*'스킬 500종'!L228*'스킬 500종'!M228/'효과 규칙 55종'!D32+'효과 규칙 55종'!H19*'스킬 500종'!O228*'스킬 500종'!P228/'효과 규칙 55종'!D19)</x:f>
        <x:v>1.6038000000000001</x:v>
      </x:c>
      <x:c r="E228" s="9" t="n">
        <x:f>C228*SUM('스킬 500종'!E228:H228)</x:f>
        <x:v>1.1</x:v>
      </x:c>
      <x:c r="F228" s="9" t="n">
        <x:f>C228*1.4*SUM('스킬 500종'!I228:J228)</x:f>
        <x:v>0</x:v>
      </x:c>
      <x:c r="G228" s="9" t="n">
        <x:f>SUM(D228:F228)</x:f>
        <x:v>2.7038</x:v>
      </x:c>
      <x:c r="H228" s="9" t="n">
        <x:f>1.1+0.8*'스킬 500종'!W228</x:f>
        <x:v>3.5000000000000004</x:v>
      </x:c>
      <x:c r="I228" s="10" t="n">
        <x:f>G228/H228</x:f>
        <x:v>0.7725142857142857</x:v>
      </x:c>
      <x:c r="J228" s="1" t="str">
        <x:f>IF(OR('스킬 500종'!I228&lt;0,'스킬 500종'!J228&lt;0,AND('스킬 500종'!I228&gt;0,'스킬 500종'!J228&gt;0),AND(OR('스킬 500종'!K228="HEAL",'스킬 500종'!N228="HEAL",'스킬 500종'!Q228="HEAL",'스킬 500종'!T228="HEAL"),'스킬 500종'!I228=0,'스킬 500종'!J228=0),AND('스킬 500종'!I228&gt;0,OR('스킬 500종'!K228="CONTINUOUS_HEAL",'스킬 500종'!N228="CONTINUOUS_HEAL",'스킬 500종'!Q228="CONTINUOUS_HEAL",'스킬 500종'!T228="CONTINUOUS_HEAL"))),"회복 기준 오류",IF(AND(G228&lt;=H228+0.00001,'스킬 500종'!W228&gt;=1,'스킬 500종'!W228&lt;=5),"정상","초과"))</x:f>
        <x:v>정상</x:v>
      </x:c>
    </x:row>
    <x:row r="229" ht="30" customHeight="1">
      <x:c r="A229" s="1" t="str">
        <x:f>'스킬 500종'!A229</x:f>
        <x:v>SKILL_0223</x:v>
      </x:c>
      <x:c r="B229" s="1" t="str">
        <x:f>'스킬 500종'!B229</x:f>
        <x:v>수면 · 저주 · 방어력 감소의 일격</x:v>
      </x:c>
      <x:c r="C229" s="1" t="n">
        <x:f>2.4</x:f>
        <x:v>2.4</x:v>
      </x:c>
      <x:c r="D229" s="9" t="n">
        <x:f>C229*1.16*('효과 규칙 55종'!H23*'스킬 500종'!L229*'스킬 500종'!M229/'효과 규칙 55종'!D23+'효과 규칙 55종'!H31*'스킬 500종'!O229*'스킬 500종'!P229/'효과 규칙 55종'!D31+'효과 규칙 55종'!H19*'스킬 500종'!R229*'스킬 500종'!S229/'효과 규칙 55종'!D19)</x:f>
        <x:v>3.64704</x:v>
      </x:c>
      <x:c r="E229" s="9" t="n">
        <x:f>C229*SUM('스킬 500종'!E229:H229)</x:f>
        <x:v>0.96</x:v>
      </x:c>
      <x:c r="F229" s="9" t="n">
        <x:f>C229*1.4*SUM('스킬 500종'!I229:J229)</x:f>
        <x:v>0</x:v>
      </x:c>
      <x:c r="G229" s="9" t="n">
        <x:f>SUM(D229:F229)</x:f>
        <x:v>4.60704</x:v>
      </x:c>
      <x:c r="H229" s="9" t="n">
        <x:f>1.1+0.8*'스킬 500종'!W229</x:f>
        <x:v>5.1</x:v>
      </x:c>
      <x:c r="I229" s="10" t="n">
        <x:f>G229/H229</x:f>
        <x:v>0.9033411764705882</x:v>
      </x:c>
      <x:c r="J229" s="1" t="str">
        <x:f>IF(OR('스킬 500종'!I229&lt;0,'스킬 500종'!J229&lt;0,AND('스킬 500종'!I229&gt;0,'스킬 500종'!J229&gt;0),AND(OR('스킬 500종'!K229="HEAL",'스킬 500종'!N229="HEAL",'스킬 500종'!Q229="HEAL",'스킬 500종'!T229="HEAL"),'스킬 500종'!I229=0,'스킬 500종'!J229=0),AND('스킬 500종'!I229&gt;0,OR('스킬 500종'!K229="CONTINUOUS_HEAL",'스킬 500종'!N229="CONTINUOUS_HEAL",'스킬 500종'!Q229="CONTINUOUS_HEAL",'스킬 500종'!T229="CONTINUOUS_HEAL"))),"회복 기준 오류",IF(AND(G229&lt;=H229+0.00001,'스킬 500종'!W229&gt;=1,'스킬 500종'!W229&lt;=5),"정상","초과"))</x:f>
        <x:v>정상</x:v>
      </x:c>
    </x:row>
    <x:row r="230" ht="30" customHeight="1">
      <x:c r="A230" s="1" t="str">
        <x:f>'스킬 500종'!A230</x:f>
        <x:v>SKILL_0224</x:v>
      </x:c>
      <x:c r="B230" s="1" t="str">
        <x:f>'스킬 500종'!B230</x:f>
        <x:v>중독 · 상처의 일격</x:v>
      </x:c>
      <x:c r="C230" s="1" t="n">
        <x:f>1</x:f>
        <x:v>1</x:v>
      </x:c>
      <x:c r="D230" s="9" t="n">
        <x:f>C230*1.08*('효과 규칙 55종'!H28*'스킬 500종'!L230*'스킬 500종'!M230/'효과 규칙 55종'!D28+'효과 규칙 55종'!H32*'스킬 500종'!O230*'스킬 500종'!P230/'효과 규칙 55종'!D32)</x:f>
        <x:v>1.4094000000000002</x:v>
      </x:c>
      <x:c r="E230" s="9" t="n">
        <x:f>C230*SUM('스킬 500종'!E230:H230)</x:f>
        <x:v>1.1</x:v>
      </x:c>
      <x:c r="F230" s="9" t="n">
        <x:f>C230*1.4*SUM('스킬 500종'!I230:J230)</x:f>
        <x:v>0</x:v>
      </x:c>
      <x:c r="G230" s="9" t="n">
        <x:f>SUM(D230:F230)</x:f>
        <x:v>2.5094000000000003</x:v>
      </x:c>
      <x:c r="H230" s="9" t="n">
        <x:f>1.1+0.8*'스킬 500종'!W230</x:f>
        <x:v>2.7</x:v>
      </x:c>
      <x:c r="I230" s="10" t="n">
        <x:f>G230/H230</x:f>
        <x:v>0.9294074074074075</x:v>
      </x:c>
      <x:c r="J230" s="1" t="str">
        <x:f>IF(OR('스킬 500종'!I230&lt;0,'스킬 500종'!J230&lt;0,AND('스킬 500종'!I230&gt;0,'스킬 500종'!J230&gt;0),AND(OR('스킬 500종'!K230="HEAL",'스킬 500종'!N230="HEAL",'스킬 500종'!Q230="HEAL",'스킬 500종'!T230="HEAL"),'스킬 500종'!I230=0,'스킬 500종'!J230=0),AND('스킬 500종'!I230&gt;0,OR('스킬 500종'!K230="CONTINUOUS_HEAL",'스킬 500종'!N230="CONTINUOUS_HEAL",'스킬 500종'!Q230="CONTINUOUS_HEAL",'스킬 500종'!T230="CONTINUOUS_HEAL"))),"회복 기준 오류",IF(AND(G230&lt;=H230+0.00001,'스킬 500종'!W230&gt;=1,'스킬 500종'!W230&lt;=5),"정상","초과"))</x:f>
        <x:v>정상</x:v>
      </x:c>
    </x:row>
    <x:row r="231" ht="30" customHeight="1">
      <x:c r="A231" s="1" t="str">
        <x:f>'스킬 500종'!A231</x:f>
        <x:v>SKILL_0225</x:v>
      </x:c>
      <x:c r="B231" s="1" t="str">
        <x:f>'스킬 500종'!B231</x:f>
        <x:v>공격력 감소 · 기절 — 스턴의 일격</x:v>
      </x:c>
      <x:c r="C231" s="1" t="n">
        <x:f>1</x:f>
        <x:v>1</x:v>
      </x:c>
      <x:c r="D231" s="9" t="n">
        <x:f>C231*1.08*('효과 규칙 55종'!H18*'스킬 500종'!L231*'스킬 500종'!M231/'효과 규칙 55종'!D18+'효과 규칙 55종'!H22*'스킬 500종'!O231*'스킬 500종'!P231/'효과 규칙 55종'!D22)</x:f>
        <x:v>2.2842000000000002</x:v>
      </x:c>
      <x:c r="E231" s="9" t="n">
        <x:f>C231*SUM('스킬 500종'!E231:H231)</x:f>
        <x:v>1.1</x:v>
      </x:c>
      <x:c r="F231" s="9" t="n">
        <x:f>C231*1.4*SUM('스킬 500종'!I231:J231)</x:f>
        <x:v>0</x:v>
      </x:c>
      <x:c r="G231" s="9" t="n">
        <x:f>SUM(D231:F231)</x:f>
        <x:v>3.3842000000000003</x:v>
      </x:c>
      <x:c r="H231" s="9" t="n">
        <x:f>1.1+0.8*'스킬 500종'!W231</x:f>
        <x:v>3.5000000000000004</x:v>
      </x:c>
      <x:c r="I231" s="10" t="n">
        <x:f>G231/H231</x:f>
        <x:v>0.9669142857142857</x:v>
      </x:c>
      <x:c r="J231" s="1" t="str">
        <x:f>IF(OR('스킬 500종'!I231&lt;0,'스킬 500종'!J231&lt;0,AND('스킬 500종'!I231&gt;0,'스킬 500종'!J231&gt;0),AND(OR('스킬 500종'!K231="HEAL",'스킬 500종'!N231="HEAL",'스킬 500종'!Q231="HEAL",'스킬 500종'!T231="HEAL"),'스킬 500종'!I231=0,'스킬 500종'!J231=0),AND('스킬 500종'!I231&gt;0,OR('스킬 500종'!K231="CONTINUOUS_HEAL",'스킬 500종'!N231="CONTINUOUS_HEAL",'스킬 500종'!Q231="CONTINUOUS_HEAL",'스킬 500종'!T231="CONTINUOUS_HEAL"))),"회복 기준 오류",IF(AND(G231&lt;=H231+0.00001,'스킬 500종'!W231&gt;=1,'스킬 500종'!W231&lt;=5),"정상","초과"))</x:f>
        <x:v>정상</x:v>
      </x:c>
    </x:row>
    <x:row r="232" ht="30" customHeight="1">
      <x:c r="A232" s="1" t="str">
        <x:f>'스킬 500종'!A232</x:f>
        <x:v>SKILL_0226</x:v>
      </x:c>
      <x:c r="B232" s="1" t="str">
        <x:f>'스킬 500종'!B232</x:f>
        <x:v>상처 · 추가 공격 · 추가 피해의 일격</x:v>
      </x:c>
      <x:c r="C232" s="1" t="n">
        <x:f>2.4</x:f>
        <x:v>2.4</x:v>
      </x:c>
      <x:c r="D232" s="9" t="n">
        <x:f>C232*1.16*('효과 규칙 55종'!H32*'스킬 500종'!L232*'스킬 500종'!M232/'효과 규칙 55종'!D32+'효과 규칙 55종'!H50*'스킬 500종'!O232*'스킬 500종'!P232/'효과 규칙 55종'!D50+'효과 규칙 55종'!H33*'스킬 500종'!R232*'스킬 500종'!S232/'효과 규칙 55종'!D33)</x:f>
        <x:v>3.11808</x:v>
      </x:c>
      <x:c r="E232" s="9" t="n">
        <x:f>C232*SUM('스킬 500종'!E232:H232)</x:f>
        <x:v>1.68</x:v>
      </x:c>
      <x:c r="F232" s="9" t="n">
        <x:f>C232*1.4*SUM('스킬 500종'!I232:J232)</x:f>
        <x:v>0</x:v>
      </x:c>
      <x:c r="G232" s="9" t="n">
        <x:f>SUM(D232:F232)</x:f>
        <x:v>4.79808</x:v>
      </x:c>
      <x:c r="H232" s="9" t="n">
        <x:f>1.1+0.8*'스킬 500종'!W232</x:f>
        <x:v>5.1</x:v>
      </x:c>
      <x:c r="I232" s="10" t="n">
        <x:f>G232/H232</x:f>
        <x:v>0.9408</x:v>
      </x:c>
      <x:c r="J232" s="1" t="str">
        <x:f>IF(OR('스킬 500종'!I232&lt;0,'스킬 500종'!J232&lt;0,AND('스킬 500종'!I232&gt;0,'스킬 500종'!J232&gt;0),AND(OR('스킬 500종'!K232="HEAL",'스킬 500종'!N232="HEAL",'스킬 500종'!Q232="HEAL",'스킬 500종'!T232="HEAL"),'스킬 500종'!I232=0,'스킬 500종'!J232=0),AND('스킬 500종'!I232&gt;0,OR('스킬 500종'!K232="CONTINUOUS_HEAL",'스킬 500종'!N232="CONTINUOUS_HEAL",'스킬 500종'!Q232="CONTINUOUS_HEAL",'스킬 500종'!T232="CONTINUOUS_HEAL"))),"회복 기준 오류",IF(AND(G232&lt;=H232+0.00001,'스킬 500종'!W232&gt;=1,'스킬 500종'!W232&lt;=5),"정상","초과"))</x:f>
        <x:v>정상</x:v>
      </x:c>
    </x:row>
    <x:row r="233" ht="30" customHeight="1">
      <x:c r="A233" s="1" t="str">
        <x:f>'스킬 500종'!A233</x:f>
        <x:v>SKILL_0227</x:v>
      </x:c>
      <x:c r="B233" s="1" t="str">
        <x:f>'스킬 500종'!B233</x:f>
        <x:v>상처 · 추가 피해 · 흡혈 · 약화효과 전이의 일격</x:v>
      </x:c>
      <x:c r="C233" s="1" t="n">
        <x:f>1</x:f>
        <x:v>1</x:v>
      </x:c>
      <x:c r="D233" s="9" t="n">
        <x:f>C233*1.24*('효과 규칙 55종'!H32*'스킬 500종'!L233*'스킬 500종'!M233/'효과 규칙 55종'!D32+'효과 규칙 55종'!H33*'스킬 500종'!O233*'스킬 500종'!P233/'효과 규칙 55종'!D33+'효과 규칙 55종'!H36*'스킬 500종'!R233*'스킬 500종'!S233/'효과 규칙 55종'!D36+'효과 규칙 55종'!H61*'스킬 500종'!U233*'스킬 500종'!V233/'효과 규칙 55종'!D61)</x:f>
        <x:v>1.7148207999999998</x:v>
      </x:c>
      <x:c r="E233" s="9" t="n">
        <x:f>C233*SUM('스킬 500종'!E233:H233)</x:f>
        <x:v>1.1</x:v>
      </x:c>
      <x:c r="F233" s="9" t="n">
        <x:f>C233*1.4*SUM('스킬 500종'!I233:J233)</x:f>
        <x:v>0</x:v>
      </x:c>
      <x:c r="G233" s="9" t="n">
        <x:f>SUM(D233:F233)</x:f>
        <x:v>2.8148207999999997</x:v>
      </x:c>
      <x:c r="H233" s="9" t="n">
        <x:f>1.1+0.8*'스킬 500종'!W233</x:f>
        <x:v>3.5000000000000004</x:v>
      </x:c>
      <x:c r="I233" s="10" t="n">
        <x:f>G233/H233</x:f>
        <x:v>0.8042345142857141</x:v>
      </x:c>
      <x:c r="J233" s="1" t="str">
        <x:f>IF(OR('스킬 500종'!I233&lt;0,'스킬 500종'!J233&lt;0,AND('스킬 500종'!I233&gt;0,'스킬 500종'!J233&gt;0),AND(OR('스킬 500종'!K233="HEAL",'스킬 500종'!N233="HEAL",'스킬 500종'!Q233="HEAL",'스킬 500종'!T233="HEAL"),'스킬 500종'!I233=0,'스킬 500종'!J233=0),AND('스킬 500종'!I233&gt;0,OR('스킬 500종'!K233="CONTINUOUS_HEAL",'스킬 500종'!N233="CONTINUOUS_HEAL",'스킬 500종'!Q233="CONTINUOUS_HEAL",'스킬 500종'!T233="CONTINUOUS_HEAL"))),"회복 기준 오류",IF(AND(G233&lt;=H233+0.00001,'스킬 500종'!W233&gt;=1,'스킬 500종'!W233&lt;=5),"정상","초과"))</x:f>
        <x:v>정상</x:v>
      </x:c>
    </x:row>
    <x:row r="234" ht="30" customHeight="1">
      <x:c r="A234" s="1" t="str">
        <x:f>'스킬 500종'!A234</x:f>
        <x:v>SKILL_0228</x:v>
      </x:c>
      <x:c r="B234" s="1" t="str">
        <x:f>'스킬 500종'!B234</x:f>
        <x:v>스킬 쿨타임 증가 · 소멸 · 추가 공격 · 기절 — 스턴의 일격</x:v>
      </x:c>
      <x:c r="C234" s="1" t="n">
        <x:f>1</x:f>
        <x:v>1</x:v>
      </x:c>
      <x:c r="D234" s="9" t="n">
        <x:f>C234*1.24*('효과 규칙 55종'!H54*'스킬 500종'!L234*'스킬 500종'!M234/'효과 규칙 55종'!D54+'효과 규칙 55종'!H47*'스킬 500종'!O234*'스킬 500종'!P234/'효과 규칙 55종'!D47+'효과 규칙 55종'!H50*'스킬 500종'!R234*'스킬 500종'!S234/'효과 규칙 55종'!D50+'효과 규칙 55종'!H22*'스킬 500종'!U234*'스킬 500종'!V234/'효과 규칙 55종'!D22)</x:f>
        <x:v>3.8861865714285715</x:v>
      </x:c>
      <x:c r="E234" s="9" t="n">
        <x:f>C234*SUM('스킬 500종'!E234:H234)</x:f>
        <x:v>1.05</x:v>
      </x:c>
      <x:c r="F234" s="9" t="n">
        <x:f>C234*1.4*SUM('스킬 500종'!I234:J234)</x:f>
        <x:v>0</x:v>
      </x:c>
      <x:c r="G234" s="9" t="n">
        <x:f>SUM(D234:F234)</x:f>
        <x:v>4.936186571428571</x:v>
      </x:c>
      <x:c r="H234" s="9" t="n">
        <x:f>1.1+0.8*'스킬 500종'!W234</x:f>
        <x:v>5.1</x:v>
      </x:c>
      <x:c r="I234" s="10" t="n">
        <x:f>G234/H234</x:f>
        <x:v>0.9678797198879552</x:v>
      </x:c>
      <x:c r="J234" s="1" t="str">
        <x:f>IF(OR('스킬 500종'!I234&lt;0,'스킬 500종'!J234&lt;0,AND('스킬 500종'!I234&gt;0,'스킬 500종'!J234&gt;0),AND(OR('스킬 500종'!K234="HEAL",'스킬 500종'!N234="HEAL",'스킬 500종'!Q234="HEAL",'스킬 500종'!T234="HEAL"),'스킬 500종'!I234=0,'스킬 500종'!J234=0),AND('스킬 500종'!I234&gt;0,OR('스킬 500종'!K234="CONTINUOUS_HEAL",'스킬 500종'!N234="CONTINUOUS_HEAL",'스킬 500종'!Q234="CONTINUOUS_HEAL",'스킬 500종'!T234="CONTINUOUS_HEAL"))),"회복 기준 오류",IF(AND(G234&lt;=H234+0.00001,'스킬 500종'!W234&gt;=1,'스킬 500종'!W234&lt;=5),"정상","초과"))</x:f>
        <x:v>정상</x:v>
      </x:c>
    </x:row>
    <x:row r="235" ht="30" customHeight="1">
      <x:c r="A235" s="1" t="str">
        <x:f>'스킬 500종'!A235</x:f>
        <x:v>SKILL_0229</x:v>
      </x:c>
      <x:c r="B235" s="1" t="str">
        <x:f>'스킬 500종'!B235</x:f>
        <x:v>부활 불가 · 방어력 감소 · 출혈의 일격</x:v>
      </x:c>
      <x:c r="C235" s="1" t="n">
        <x:f>2.4</x:f>
        <x:v>2.4</x:v>
      </x:c>
      <x:c r="D235" s="9" t="n">
        <x:f>C235*1.16*('효과 규칙 55종'!H48*'스킬 500종'!L235*'스킬 500종'!M235/'효과 규칙 55종'!D48+'효과 규칙 55종'!H19*'스킬 500종'!O235*'스킬 500종'!P235/'효과 규칙 55종'!D19+'효과 규칙 55종'!H29*'스킬 500종'!R235*'스킬 500종'!S235/'효과 규칙 55종'!D29)</x:f>
        <x:v>3.4744319999999997</x:v>
      </x:c>
      <x:c r="E235" s="9" t="n">
        <x:f>C235*SUM('스킬 500종'!E235:H235)</x:f>
        <x:v>1.2</x:v>
      </x:c>
      <x:c r="F235" s="9" t="n">
        <x:f>C235*1.4*SUM('스킬 500종'!I235:J235)</x:f>
        <x:v>0</x:v>
      </x:c>
      <x:c r="G235" s="9" t="n">
        <x:f>SUM(D235:F235)</x:f>
        <x:v>4.6744319999999995</x:v>
      </x:c>
      <x:c r="H235" s="9" t="n">
        <x:f>1.1+0.8*'스킬 500종'!W235</x:f>
        <x:v>5.1</x:v>
      </x:c>
      <x:c r="I235" s="10" t="n">
        <x:f>G235/H235</x:f>
        <x:v>0.916555294117647</x:v>
      </x:c>
      <x:c r="J235" s="1" t="str">
        <x:f>IF(OR('스킬 500종'!I235&lt;0,'스킬 500종'!J235&lt;0,AND('스킬 500종'!I235&gt;0,'스킬 500종'!J235&gt;0),AND(OR('스킬 500종'!K235="HEAL",'스킬 500종'!N235="HEAL",'스킬 500종'!Q235="HEAL",'스킬 500종'!T235="HEAL"),'스킬 500종'!I235=0,'스킬 500종'!J235=0),AND('스킬 500종'!I235&gt;0,OR('스킬 500종'!K235="CONTINUOUS_HEAL",'스킬 500종'!N235="CONTINUOUS_HEAL",'스킬 500종'!Q235="CONTINUOUS_HEAL",'스킬 500종'!T235="CONTINUOUS_HEAL"))),"회복 기준 오류",IF(AND(G235&lt;=H235+0.00001,'스킬 500종'!W235&gt;=1,'스킬 500종'!W235&lt;=5),"정상","초과"))</x:f>
        <x:v>정상</x:v>
      </x:c>
    </x:row>
    <x:row r="236" ht="30" customHeight="1">
      <x:c r="A236" s="1" t="str">
        <x:f>'스킬 500종'!A236</x:f>
        <x:v>SKILL_0230</x:v>
      </x:c>
      <x:c r="B236" s="1" t="str">
        <x:f>'스킬 500종'!B236</x:f>
        <x:v>저주 · 방어력 관통 · 강화 불가 · 표적의 일격</x:v>
      </x:c>
      <x:c r="C236" s="1" t="n">
        <x:f>1</x:f>
        <x:v>1</x:v>
      </x:c>
      <x:c r="D236" s="9" t="n">
        <x:f>C236*1.24*('효과 규칙 55종'!H31*'스킬 500종'!L236*'스킬 500종'!M236/'효과 규칙 55종'!D31+'효과 규칙 55종'!H55*'스킬 500종'!O236*'스킬 500종'!P236/'효과 규칙 55종'!D55+'효과 규칙 55종'!H26*'스킬 500종'!R236*'스킬 500종'!S236/'효과 규칙 55종'!D26+'효과 규칙 55종'!H30*'스킬 500종'!U236*'스킬 500종'!V236/'효과 규칙 55종'!D30)</x:f>
        <x:v>1.967756</x:v>
      </x:c>
      <x:c r="E236" s="9" t="n">
        <x:f>C236*SUM('스킬 500종'!E236:H236)</x:f>
        <x:v>1.1</x:v>
      </x:c>
      <x:c r="F236" s="9" t="n">
        <x:f>C236*1.4*SUM('스킬 500종'!I236:J236)</x:f>
        <x:v>0</x:v>
      </x:c>
      <x:c r="G236" s="9" t="n">
        <x:f>SUM(D236:F236)</x:f>
        <x:v>3.067756</x:v>
      </x:c>
      <x:c r="H236" s="9" t="n">
        <x:f>1.1+0.8*'스킬 500종'!W236</x:f>
        <x:v>3.5000000000000004</x:v>
      </x:c>
      <x:c r="I236" s="10" t="n">
        <x:f>G236/H236</x:f>
        <x:v>0.8765017142857142</x:v>
      </x:c>
      <x:c r="J236" s="1" t="str">
        <x:f>IF(OR('스킬 500종'!I236&lt;0,'스킬 500종'!J236&lt;0,AND('스킬 500종'!I236&gt;0,'스킬 500종'!J236&gt;0),AND(OR('스킬 500종'!K236="HEAL",'스킬 500종'!N236="HEAL",'스킬 500종'!Q236="HEAL",'스킬 500종'!T236="HEAL"),'스킬 500종'!I236=0,'스킬 500종'!J236=0),AND('스킬 500종'!I236&gt;0,OR('스킬 500종'!K236="CONTINUOUS_HEAL",'스킬 500종'!N236="CONTINUOUS_HEAL",'스킬 500종'!Q236="CONTINUOUS_HEAL",'스킬 500종'!T236="CONTINUOUS_HEAL"))),"회복 기준 오류",IF(AND(G236&lt;=H236+0.00001,'스킬 500종'!W236&gt;=1,'스킬 500종'!W236&lt;=5),"정상","초과"))</x:f>
        <x:v>정상</x:v>
      </x:c>
    </x:row>
    <x:row r="237" ht="30" customHeight="1">
      <x:c r="A237" s="1" t="str">
        <x:f>'스킬 500종'!A237</x:f>
        <x:v>SKILL_0231</x:v>
      </x:c>
      <x:c r="B237" s="1" t="str">
        <x:f>'스킬 500종'!B237</x:f>
        <x:v>출혈 · 반격 불가 · 방어력 감소 · 명중 감소의 일격</x:v>
      </x:c>
      <x:c r="C237" s="1" t="n">
        <x:f>1</x:f>
        <x:v>1</x:v>
      </x:c>
      <x:c r="D237" s="9" t="n">
        <x:f>C237*1.24*('효과 규칙 55종'!H29*'스킬 500종'!L237*'스킬 500종'!M237/'효과 규칙 55종'!D29+'효과 규칙 55종'!H27*'스킬 500종'!O237*'스킬 500종'!P237/'효과 규칙 55종'!D27+'효과 규칙 55종'!H19*'스킬 500종'!R237*'스킬 500종'!S237/'효과 규칙 55종'!D19+'효과 규칙 55종'!H21*'스킬 500종'!U237*'스킬 500종'!V237/'효과 규칙 55종'!D21)</x:f>
        <x:v>1.7208099999999997</x:v>
      </x:c>
      <x:c r="E237" s="9" t="n">
        <x:f>C237*SUM('스킬 500종'!E237:H237)</x:f>
        <x:v>1.1</x:v>
      </x:c>
      <x:c r="F237" s="9" t="n">
        <x:f>C237*1.4*SUM('스킬 500종'!I237:J237)</x:f>
        <x:v>0</x:v>
      </x:c>
      <x:c r="G237" s="9" t="n">
        <x:f>SUM(D237:F237)</x:f>
        <x:v>2.82081</x:v>
      </x:c>
      <x:c r="H237" s="9" t="n">
        <x:f>1.1+0.8*'스킬 500종'!W237</x:f>
        <x:v>3.5000000000000004</x:v>
      </x:c>
      <x:c r="I237" s="10" t="n">
        <x:f>G237/H237</x:f>
        <x:v>0.8059457142857142</x:v>
      </x:c>
      <x:c r="J237" s="1" t="str">
        <x:f>IF(OR('스킬 500종'!I237&lt;0,'스킬 500종'!J237&lt;0,AND('스킬 500종'!I237&gt;0,'스킬 500종'!J237&gt;0),AND(OR('스킬 500종'!K237="HEAL",'스킬 500종'!N237="HEAL",'스킬 500종'!Q237="HEAL",'스킬 500종'!T237="HEAL"),'스킬 500종'!I237=0,'스킬 500종'!J237=0),AND('스킬 500종'!I237&gt;0,OR('스킬 500종'!K237="CONTINUOUS_HEAL",'스킬 500종'!N237="CONTINUOUS_HEAL",'스킬 500종'!Q237="CONTINUOUS_HEAL",'스킬 500종'!T237="CONTINUOUS_HEAL"))),"회복 기준 오류",IF(AND(G237&lt;=H237+0.00001,'스킬 500종'!W237&gt;=1,'스킬 500종'!W237&lt;=5),"정상","초과"))</x:f>
        <x:v>정상</x:v>
      </x:c>
    </x:row>
    <x:row r="238" ht="30" customHeight="1">
      <x:c r="A238" s="1" t="str">
        <x:f>'스킬 500종'!A238</x:f>
        <x:v>SKILL_0232</x:v>
      </x:c>
      <x:c r="B238" s="1" t="str">
        <x:f>'스킬 500종'!B238</x:f>
        <x:v>상처 · 강화효과 지속시간 감소 · 방어력 감소의 일격</x:v>
      </x:c>
      <x:c r="C238" s="1" t="n">
        <x:f>2.4</x:f>
        <x:v>2.4</x:v>
      </x:c>
      <x:c r="D238" s="9" t="n">
        <x:f>C238*1.16*('효과 규칙 55종'!H32*'스킬 500종'!L238*'스킬 500종'!M238/'효과 규칙 55종'!D32+'효과 규칙 55종'!H59*'스킬 500종'!O238*'스킬 500종'!P238/'효과 규칙 55종'!D59+'효과 규칙 55종'!H19*'스킬 500종'!R238*'스킬 500종'!S238/'효과 규칙 55종'!D19)</x:f>
        <x:v>3.6553919999999995</x:v>
      </x:c>
      <x:c r="E238" s="9" t="n">
        <x:f>C238*SUM('스킬 500종'!E238:H238)</x:f>
        <x:v>1.32</x:v>
      </x:c>
      <x:c r="F238" s="9" t="n">
        <x:f>C238*1.4*SUM('스킬 500종'!I238:J238)</x:f>
        <x:v>0</x:v>
      </x:c>
      <x:c r="G238" s="9" t="n">
        <x:f>SUM(D238:F238)</x:f>
        <x:v>4.975391999999999</x:v>
      </x:c>
      <x:c r="H238" s="9" t="n">
        <x:f>1.1+0.8*'스킬 500종'!W238</x:f>
        <x:v>5.1</x:v>
      </x:c>
      <x:c r="I238" s="10" t="n">
        <x:f>G238/H238</x:f>
        <x:v>0.9755670588235293</x:v>
      </x:c>
      <x:c r="J238" s="1" t="str">
        <x:f>IF(OR('스킬 500종'!I238&lt;0,'스킬 500종'!J238&lt;0,AND('스킬 500종'!I238&gt;0,'스킬 500종'!J238&gt;0),AND(OR('스킬 500종'!K238="HEAL",'스킬 500종'!N238="HEAL",'스킬 500종'!Q238="HEAL",'스킬 500종'!T238="HEAL"),'스킬 500종'!I238=0,'스킬 500종'!J238=0),AND('스킬 500종'!I238&gt;0,OR('스킬 500종'!K238="CONTINUOUS_HEAL",'스킬 500종'!N238="CONTINUOUS_HEAL",'스킬 500종'!Q238="CONTINUOUS_HEAL",'스킬 500종'!T238="CONTINUOUS_HEAL"))),"회복 기준 오류",IF(AND(G238&lt;=H238+0.00001,'스킬 500종'!W238&gt;=1,'스킬 500종'!W238&lt;=5),"정상","초과"))</x:f>
        <x:v>정상</x:v>
      </x:c>
    </x:row>
    <x:row r="239" ht="30" customHeight="1">
      <x:c r="A239" s="1" t="str">
        <x:f>'스킬 500종'!A239</x:f>
        <x:v>SKILL_0233</x:v>
      </x:c>
      <x:c r="B239" s="1" t="str">
        <x:f>'스킬 500종'!B239</x:f>
        <x:v>중독 · 스킬 쿨타임 증가 · 속도 감소 · 반격 불가의 일격</x:v>
      </x:c>
      <x:c r="C239" s="1" t="n">
        <x:f>1</x:f>
        <x:v>1</x:v>
      </x:c>
      <x:c r="D239" s="9" t="n">
        <x:f>C239*1.24*('효과 규칙 55종'!H28*'스킬 500종'!L239*'스킬 500종'!M239/'효과 규칙 55종'!D28+'효과 규칙 55종'!H54*'스킬 500종'!O239*'스킬 500종'!P239/'효과 규칙 55종'!D54+'효과 규칙 55종'!H20*'스킬 500종'!R239*'스킬 500종'!S239/'효과 규칙 55종'!D20+'효과 규칙 55종'!H27*'스킬 500종'!U239*'스킬 500종'!V239/'효과 규칙 55종'!D27)</x:f>
        <x:v>2.5996599999999996</x:v>
      </x:c>
      <x:c r="E239" s="9" t="n">
        <x:f>C239*SUM('스킬 500종'!E239:H239)</x:f>
        <x:v>1.1</x:v>
      </x:c>
      <x:c r="F239" s="9" t="n">
        <x:f>C239*1.4*SUM('스킬 500종'!I239:J239)</x:f>
        <x:v>0</x:v>
      </x:c>
      <x:c r="G239" s="9" t="n">
        <x:f>SUM(D239:F239)</x:f>
        <x:v>3.6996599999999997</x:v>
      </x:c>
      <x:c r="H239" s="9" t="n">
        <x:f>1.1+0.8*'스킬 500종'!W239</x:f>
        <x:v>4.300000000000001</x:v>
      </x:c>
      <x:c r="I239" s="10" t="n">
        <x:f>G239/H239</x:f>
        <x:v>0.8603860465116278</x:v>
      </x:c>
      <x:c r="J239" s="1" t="str">
        <x:f>IF(OR('스킬 500종'!I239&lt;0,'스킬 500종'!J239&lt;0,AND('스킬 500종'!I239&gt;0,'스킬 500종'!J239&gt;0),AND(OR('스킬 500종'!K239="HEAL",'스킬 500종'!N239="HEAL",'스킬 500종'!Q239="HEAL",'스킬 500종'!T239="HEAL"),'스킬 500종'!I239=0,'스킬 500종'!J239=0),AND('스킬 500종'!I239&gt;0,OR('스킬 500종'!K239="CONTINUOUS_HEAL",'스킬 500종'!N239="CONTINUOUS_HEAL",'스킬 500종'!Q239="CONTINUOUS_HEAL",'스킬 500종'!T239="CONTINUOUS_HEAL"))),"회복 기준 오류",IF(AND(G239&lt;=H239+0.00001,'스킬 500종'!W239&gt;=1,'스킬 500종'!W239&lt;=5),"정상","초과"))</x:f>
        <x:v>정상</x:v>
      </x:c>
    </x:row>
    <x:row r="240" ht="30" customHeight="1">
      <x:c r="A240" s="1" t="str">
        <x:f>'스킬 500종'!A240</x:f>
        <x:v>SKILL_0234</x:v>
      </x:c>
      <x:c r="B240" s="1" t="str">
        <x:f>'스킬 500종'!B240</x:f>
        <x:v>출혈 · 명중 감소 · 표적 · 강화효과 해제의 일격</x:v>
      </x:c>
      <x:c r="C240" s="1" t="n">
        <x:f>1</x:f>
        <x:v>1</x:v>
      </x:c>
      <x:c r="D240" s="9" t="n">
        <x:f>C240*1.24*('효과 규칙 55종'!H29*'스킬 500종'!L240*'스킬 500종'!M240/'효과 규칙 55종'!D29+'효과 규칙 55종'!H21*'스킬 500종'!O240*'스킬 500종'!P240/'효과 규칙 55종'!D21+'효과 규칙 55종'!H30*'스킬 500종'!R240*'스킬 500종'!S240/'효과 규칙 55종'!D30+'효과 규칙 55종'!H56*'스킬 500종'!U240*'스킬 500종'!V240/'효과 규칙 55종'!D56)</x:f>
        <x:v>1.6682959999999996</x:v>
      </x:c>
      <x:c r="E240" s="9" t="n">
        <x:f>C240*SUM('스킬 500종'!E240:H240)</x:f>
        <x:v>1.1</x:v>
      </x:c>
      <x:c r="F240" s="9" t="n">
        <x:f>C240*1.4*SUM('스킬 500종'!I240:J240)</x:f>
        <x:v>0</x:v>
      </x:c>
      <x:c r="G240" s="9" t="n">
        <x:f>SUM(D240:F240)</x:f>
        <x:v>2.7682959999999994</x:v>
      </x:c>
      <x:c r="H240" s="9" t="n">
        <x:f>1.1+0.8*'스킬 500종'!W240</x:f>
        <x:v>3.5000000000000004</x:v>
      </x:c>
      <x:c r="I240" s="10" t="n">
        <x:f>G240/H240</x:f>
        <x:v>0.790941714285714</x:v>
      </x:c>
      <x:c r="J240" s="1" t="str">
        <x:f>IF(OR('스킬 500종'!I240&lt;0,'스킬 500종'!J240&lt;0,AND('스킬 500종'!I240&gt;0,'스킬 500종'!J240&gt;0),AND(OR('스킬 500종'!K240="HEAL",'스킬 500종'!N240="HEAL",'스킬 500종'!Q240="HEAL",'스킬 500종'!T240="HEAL"),'스킬 500종'!I240=0,'스킬 500종'!J240=0),AND('스킬 500종'!I240&gt;0,OR('스킬 500종'!K240="CONTINUOUS_HEAL",'스킬 500종'!N240="CONTINUOUS_HEAL",'스킬 500종'!Q240="CONTINUOUS_HEAL",'스킬 500종'!T240="CONTINUOUS_HEAL"))),"회복 기준 오류",IF(AND(G240&lt;=H240+0.00001,'스킬 500종'!W240&gt;=1,'스킬 500종'!W240&lt;=5),"정상","초과"))</x:f>
        <x:v>정상</x:v>
      </x:c>
    </x:row>
    <x:row r="241" ht="30" customHeight="1">
      <x:c r="A241" s="1" t="str">
        <x:f>'스킬 500종'!A241</x:f>
        <x:v>SKILL_0235</x:v>
      </x:c>
      <x:c r="B241" s="1" t="str">
        <x:f>'스킬 500종'!B241</x:f>
        <x:v>부활 불가 · 약화효과 전이 · 강화효과 해제의 일격</x:v>
      </x:c>
      <x:c r="C241" s="1" t="n">
        <x:f>1</x:f>
        <x:v>1</x:v>
      </x:c>
      <x:c r="D241" s="9" t="n">
        <x:f>C241*1.16*('효과 규칙 55종'!H48*'스킬 500종'!L241*'스킬 500종'!M241/'효과 규칙 55종'!D48+'효과 규칙 55종'!H61*'스킬 500종'!O241*'스킬 500종'!P241/'효과 규칙 55종'!D61+'효과 규칙 55종'!H56*'스킬 500종'!R241*'스킬 500종'!S241/'효과 규칙 55종'!D56)</x:f>
        <x:v>2.552</x:v>
      </x:c>
      <x:c r="E241" s="9" t="n">
        <x:f>C241*SUM('스킬 500종'!E241:H241)</x:f>
        <x:v>1.1</x:v>
      </x:c>
      <x:c r="F241" s="9" t="n">
        <x:f>C241*1.4*SUM('스킬 500종'!I241:J241)</x:f>
        <x:v>0</x:v>
      </x:c>
      <x:c r="G241" s="9" t="n">
        <x:f>SUM(D241:F241)</x:f>
        <x:v>3.652</x:v>
      </x:c>
      <x:c r="H241" s="9" t="n">
        <x:f>1.1+0.8*'스킬 500종'!W241</x:f>
        <x:v>4.300000000000001</x:v>
      </x:c>
      <x:c r="I241" s="10" t="n">
        <x:f>G241/H241</x:f>
        <x:v>0.8493023255813953</x:v>
      </x:c>
      <x:c r="J241" s="1" t="str">
        <x:f>IF(OR('스킬 500종'!I241&lt;0,'스킬 500종'!J241&lt;0,AND('스킬 500종'!I241&gt;0,'스킬 500종'!J241&gt;0),AND(OR('스킬 500종'!K241="HEAL",'스킬 500종'!N241="HEAL",'스킬 500종'!Q241="HEAL",'스킬 500종'!T241="HEAL"),'스킬 500종'!I241=0,'스킬 500종'!J241=0),AND('스킬 500종'!I241&gt;0,OR('스킬 500종'!K241="CONTINUOUS_HEAL",'스킬 500종'!N241="CONTINUOUS_HEAL",'스킬 500종'!Q241="CONTINUOUS_HEAL",'스킬 500종'!T241="CONTINUOUS_HEAL"))),"회복 기준 오류",IF(AND(G241&lt;=H241+0.00001,'스킬 500종'!W241&gt;=1,'스킬 500종'!W241&lt;=5),"정상","초과"))</x:f>
        <x:v>정상</x:v>
      </x:c>
    </x:row>
    <x:row r="242" ht="30" customHeight="1">
      <x:c r="A242" s="1" t="str">
        <x:f>'스킬 500종'!A242</x:f>
        <x:v>SKILL_0236</x:v>
      </x:c>
      <x:c r="B242" s="1" t="str">
        <x:f>'스킬 500종'!B242</x:f>
        <x:v>강화 불가 · 회복 불가의 일격</x:v>
      </x:c>
      <x:c r="C242" s="1" t="n">
        <x:f>1</x:f>
        <x:v>1</x:v>
      </x:c>
      <x:c r="D242" s="9" t="n">
        <x:f>C242*1.08*('효과 규칙 55종'!H26*'스킬 500종'!L242*'스킬 500종'!M242/'효과 규칙 55종'!D26+'효과 규칙 55종'!H25*'스킬 500종'!O242*'스킬 500종'!P242/'효과 규칙 55종'!D25)</x:f>
        <x:v>1.5066000000000002</x:v>
      </x:c>
      <x:c r="E242" s="9" t="n">
        <x:f>C242*SUM('스킬 500종'!E242:H242)</x:f>
        <x:v>1.1</x:v>
      </x:c>
      <x:c r="F242" s="9" t="n">
        <x:f>C242*1.4*SUM('스킬 500종'!I242:J242)</x:f>
        <x:v>0</x:v>
      </x:c>
      <x:c r="G242" s="9" t="n">
        <x:f>SUM(D242:F242)</x:f>
        <x:v>2.6066000000000003</x:v>
      </x:c>
      <x:c r="H242" s="9" t="n">
        <x:f>1.1+0.8*'스킬 500종'!W242</x:f>
        <x:v>2.7</x:v>
      </x:c>
      <x:c r="I242" s="10" t="n">
        <x:f>G242/H242</x:f>
        <x:v>0.9654074074074075</x:v>
      </x:c>
      <x:c r="J242" s="1" t="str">
        <x:f>IF(OR('스킬 500종'!I242&lt;0,'스킬 500종'!J242&lt;0,AND('스킬 500종'!I242&gt;0,'스킬 500종'!J242&gt;0),AND(OR('스킬 500종'!K242="HEAL",'스킬 500종'!N242="HEAL",'스킬 500종'!Q242="HEAL",'스킬 500종'!T242="HEAL"),'스킬 500종'!I242=0,'스킬 500종'!J242=0),AND('스킬 500종'!I242&gt;0,OR('스킬 500종'!K242="CONTINUOUS_HEAL",'스킬 500종'!N242="CONTINUOUS_HEAL",'스킬 500종'!Q242="CONTINUOUS_HEAL",'스킬 500종'!T242="CONTINUOUS_HEAL"))),"회복 기준 오류",IF(AND(G242&lt;=H242+0.00001,'스킬 500종'!W242&gt;=1,'스킬 500종'!W242&lt;=5),"정상","초과"))</x:f>
        <x:v>정상</x:v>
      </x:c>
    </x:row>
    <x:row r="243" ht="30" customHeight="1">
      <x:c r="A243" s="1" t="str">
        <x:f>'스킬 500종'!A243</x:f>
        <x:v>SKILL_0237</x:v>
      </x:c>
      <x:c r="B243" s="1" t="str">
        <x:f>'스킬 500종'!B243</x:f>
        <x:v>약화효과 전이 · 방어력 관통 · 추가 공격의 일격</x:v>
      </x:c>
      <x:c r="C243" s="1" t="n">
        <x:f>1</x:f>
        <x:v>1</x:v>
      </x:c>
      <x:c r="D243" s="9" t="n">
        <x:f>C243*1.16*('효과 규칙 55종'!H61*'스킬 500종'!L243*'스킬 500종'!M243/'효과 규칙 55종'!D61+'효과 규칙 55종'!H55*'스킬 500종'!O243*'스킬 500종'!P243/'효과 규칙 55종'!D55+'효과 규칙 55종'!H50*'스킬 500종'!R243*'스킬 500종'!S243/'효과 규칙 55종'!D50)</x:f>
        <x:v>1.93024</x:v>
      </x:c>
      <x:c r="E243" s="9" t="n">
        <x:f>C243*SUM('스킬 500종'!E243:H243)</x:f>
        <x:v>1.1</x:v>
      </x:c>
      <x:c r="F243" s="9" t="n">
        <x:f>C243*1.4*SUM('스킬 500종'!I243:J243)</x:f>
        <x:v>0</x:v>
      </x:c>
      <x:c r="G243" s="9" t="n">
        <x:f>SUM(D243:F243)</x:f>
        <x:v>3.03024</x:v>
      </x:c>
      <x:c r="H243" s="9" t="n">
        <x:f>1.1+0.8*'스킬 500종'!W243</x:f>
        <x:v>3.5000000000000004</x:v>
      </x:c>
      <x:c r="I243" s="10" t="n">
        <x:f>G243/H243</x:f>
        <x:v>0.8657828571428571</x:v>
      </x:c>
      <x:c r="J243" s="1" t="str">
        <x:f>IF(OR('스킬 500종'!I243&lt;0,'스킬 500종'!J243&lt;0,AND('스킬 500종'!I243&gt;0,'스킬 500종'!J243&gt;0),AND(OR('스킬 500종'!K243="HEAL",'스킬 500종'!N243="HEAL",'스킬 500종'!Q243="HEAL",'스킬 500종'!T243="HEAL"),'스킬 500종'!I243=0,'스킬 500종'!J243=0),AND('스킬 500종'!I243&gt;0,OR('스킬 500종'!K243="CONTINUOUS_HEAL",'스킬 500종'!N243="CONTINUOUS_HEAL",'스킬 500종'!Q243="CONTINUOUS_HEAL",'스킬 500종'!T243="CONTINUOUS_HEAL"))),"회복 기준 오류",IF(AND(G243&lt;=H243+0.00001,'스킬 500종'!W243&gt;=1,'스킬 500종'!W243&lt;=5),"정상","초과"))</x:f>
        <x:v>정상</x:v>
      </x:c>
    </x:row>
    <x:row r="244" ht="30" customHeight="1">
      <x:c r="A244" s="1" t="str">
        <x:f>'스킬 500종'!A244</x:f>
        <x:v>SKILL_0238</x:v>
      </x:c>
      <x:c r="B244" s="1" t="str">
        <x:f>'스킬 500종'!B244</x:f>
        <x:v>방어력 감소 · 반격 불가의 일격</x:v>
      </x:c>
      <x:c r="C244" s="1" t="n">
        <x:f>2.4</x:f>
        <x:v>2.4</x:v>
      </x:c>
      <x:c r="D244" s="9" t="n">
        <x:f>C244*1.08*('효과 규칙 55종'!H19*'스킬 500종'!L244*'스킬 500종'!M244/'효과 규칙 55종'!D19+'효과 규칙 55종'!H27*'스킬 500종'!O244*'스킬 500종'!P244/'효과 규칙 55종'!D27)</x:f>
        <x:v>3.3047999999999997</x:v>
      </x:c>
      <x:c r="E244" s="9" t="n">
        <x:f>C244*SUM('스킬 500종'!E244:H244)</x:f>
        <x:v>1.56</x:v>
      </x:c>
      <x:c r="F244" s="9" t="n">
        <x:f>C244*1.4*SUM('스킬 500종'!I244:J244)</x:f>
        <x:v>0</x:v>
      </x:c>
      <x:c r="G244" s="9" t="n">
        <x:f>SUM(D244:F244)</x:f>
        <x:v>4.8648</x:v>
      </x:c>
      <x:c r="H244" s="9" t="n">
        <x:f>1.1+0.8*'스킬 500종'!W244</x:f>
        <x:v>5.1</x:v>
      </x:c>
      <x:c r="I244" s="10" t="n">
        <x:f>G244/H244</x:f>
        <x:v>0.9538823529411765</x:v>
      </x:c>
      <x:c r="J244" s="1" t="str">
        <x:f>IF(OR('스킬 500종'!I244&lt;0,'스킬 500종'!J244&lt;0,AND('스킬 500종'!I244&gt;0,'스킬 500종'!J244&gt;0),AND(OR('스킬 500종'!K244="HEAL",'스킬 500종'!N244="HEAL",'스킬 500종'!Q244="HEAL",'스킬 500종'!T244="HEAL"),'스킬 500종'!I244=0,'스킬 500종'!J244=0),AND('스킬 500종'!I244&gt;0,OR('스킬 500종'!K244="CONTINUOUS_HEAL",'스킬 500종'!N244="CONTINUOUS_HEAL",'스킬 500종'!Q244="CONTINUOUS_HEAL",'스킬 500종'!T244="CONTINUOUS_HEAL"))),"회복 기준 오류",IF(AND(G244&lt;=H244+0.00001,'스킬 500종'!W244&gt;=1,'스킬 500종'!W244&lt;=5),"정상","초과"))</x:f>
        <x:v>정상</x:v>
      </x:c>
    </x:row>
    <x:row r="245" ht="30" customHeight="1">
      <x:c r="A245" s="1" t="str">
        <x:f>'스킬 500종'!A245</x:f>
        <x:v>SKILL_0239</x:v>
      </x:c>
      <x:c r="B245" s="1" t="str">
        <x:f>'스킬 500종'!B245</x:f>
        <x:v>표적 · 상처 · 공격력 감소의 일격</x:v>
      </x:c>
      <x:c r="C245" s="1" t="n">
        <x:f>1</x:f>
        <x:v>1</x:v>
      </x:c>
      <x:c r="D245" s="9" t="n">
        <x:f>C245*1.16*('효과 규칙 55종'!H30*'스킬 500종'!L245*'스킬 500종'!M245/'효과 규칙 55종'!D30+'효과 규칙 55종'!H32*'스킬 500종'!O245*'스킬 500종'!P245/'효과 규칙 55종'!D32+'효과 규칙 55종'!H18*'스킬 500종'!R245*'스킬 500종'!S245/'효과 규칙 55종'!D18)</x:f>
        <x:v>1.44768</x:v>
      </x:c>
      <x:c r="E245" s="9" t="n">
        <x:f>C245*SUM('스킬 500종'!E245:H245)</x:f>
        <x:v>1.1</x:v>
      </x:c>
      <x:c r="F245" s="9" t="n">
        <x:f>C245*1.4*SUM('스킬 500종'!I245:J245)</x:f>
        <x:v>0</x:v>
      </x:c>
      <x:c r="G245" s="9" t="n">
        <x:f>SUM(D245:F245)</x:f>
        <x:v>2.54768</x:v>
      </x:c>
      <x:c r="H245" s="9" t="n">
        <x:f>1.1+0.8*'스킬 500종'!W245</x:f>
        <x:v>2.7</x:v>
      </x:c>
      <x:c r="I245" s="10" t="n">
        <x:f>G245/H245</x:f>
        <x:v>0.9435851851851852</x:v>
      </x:c>
      <x:c r="J245" s="1" t="str">
        <x:f>IF(OR('스킬 500종'!I245&lt;0,'스킬 500종'!J245&lt;0,AND('스킬 500종'!I245&gt;0,'스킬 500종'!J245&gt;0),AND(OR('스킬 500종'!K245="HEAL",'스킬 500종'!N245="HEAL",'스킬 500종'!Q245="HEAL",'스킬 500종'!T245="HEAL"),'스킬 500종'!I245=0,'스킬 500종'!J245=0),AND('스킬 500종'!I245&gt;0,OR('스킬 500종'!K245="CONTINUOUS_HEAL",'스킬 500종'!N245="CONTINUOUS_HEAL",'스킬 500종'!Q245="CONTINUOUS_HEAL",'스킬 500종'!T245="CONTINUOUS_HEAL"))),"회복 기준 오류",IF(AND(G245&lt;=H245+0.00001,'스킬 500종'!W245&gt;=1,'스킬 500종'!W245&lt;=5),"정상","초과"))</x:f>
        <x:v>정상</x:v>
      </x:c>
    </x:row>
    <x:row r="246" ht="30" customHeight="1">
      <x:c r="A246" s="1" t="str">
        <x:f>'스킬 500종'!A246</x:f>
        <x:v>SKILL_0240</x:v>
      </x:c>
      <x:c r="B246" s="1" t="str">
        <x:f>'스킬 500종'!B246</x:f>
        <x:v>약화효과 전이 · 추가 피해 · 반격 불가의 일격</x:v>
      </x:c>
      <x:c r="C246" s="1" t="n">
        <x:f>1</x:f>
        <x:v>1</x:v>
      </x:c>
      <x:c r="D246" s="9" t="n">
        <x:f>C246*1.16*('효과 규칙 55종'!H61*'스킬 500종'!L246*'스킬 500종'!M246/'효과 규칙 55종'!D61+'효과 규칙 55종'!H33*'스킬 500종'!O246*'스킬 500종'!P246/'효과 규칙 55종'!D33+'효과 규칙 55종'!H27*'스킬 500종'!R246*'스킬 500종'!S246/'효과 규칙 55종'!D27)</x:f>
        <x:v>1.75392</x:v>
      </x:c>
      <x:c r="E246" s="9" t="n">
        <x:f>C246*SUM('스킬 500종'!E246:H246)</x:f>
        <x:v>1.1</x:v>
      </x:c>
      <x:c r="F246" s="9" t="n">
        <x:f>C246*1.4*SUM('스킬 500종'!I246:J246)</x:f>
        <x:v>0</x:v>
      </x:c>
      <x:c r="G246" s="9" t="n">
        <x:f>SUM(D246:F246)</x:f>
        <x:v>2.85392</x:v>
      </x:c>
      <x:c r="H246" s="9" t="n">
        <x:f>1.1+0.8*'스킬 500종'!W246</x:f>
        <x:v>3.5000000000000004</x:v>
      </x:c>
      <x:c r="I246" s="10" t="n">
        <x:f>G246/H246</x:f>
        <x:v>0.8154057142857142</x:v>
      </x:c>
      <x:c r="J246" s="1" t="str">
        <x:f>IF(OR('스킬 500종'!I246&lt;0,'스킬 500종'!J246&lt;0,AND('스킬 500종'!I246&gt;0,'스킬 500종'!J246&gt;0),AND(OR('스킬 500종'!K246="HEAL",'스킬 500종'!N246="HEAL",'스킬 500종'!Q246="HEAL",'스킬 500종'!T246="HEAL"),'스킬 500종'!I246=0,'스킬 500종'!J246=0),AND('스킬 500종'!I246&gt;0,OR('스킬 500종'!K246="CONTINUOUS_HEAL",'스킬 500종'!N246="CONTINUOUS_HEAL",'스킬 500종'!Q246="CONTINUOUS_HEAL",'스킬 500종'!T246="CONTINUOUS_HEAL"))),"회복 기준 오류",IF(AND(G246&lt;=H246+0.00001,'스킬 500종'!W246&gt;=1,'스킬 500종'!W246&lt;=5),"정상","초과"))</x:f>
        <x:v>정상</x:v>
      </x:c>
    </x:row>
    <x:row r="247" ht="30" customHeight="1">
      <x:c r="A247" s="1" t="str">
        <x:f>'스킬 500종'!A247</x:f>
        <x:v>SKILL_0241</x:v>
      </x:c>
      <x:c r="B247" s="1" t="str">
        <x:f>'스킬 500종'!B247</x:f>
        <x:v>반격 불가 · 수면 · 출혈의 일격</x:v>
      </x:c>
      <x:c r="C247" s="1" t="n">
        <x:f>2.4</x:f>
        <x:v>2.4</x:v>
      </x:c>
      <x:c r="D247" s="9" t="n">
        <x:f>C247*1.16*('효과 규칙 55종'!H27*'스킬 500종'!L247*'스킬 500종'!M247/'효과 규칙 55종'!D27+'효과 규칙 55종'!H23*'스킬 500종'!O247*'스킬 500종'!P247/'효과 규칙 55종'!D23+'효과 규칙 55종'!H29*'스킬 500종'!R247*'스킬 500종'!S247/'효과 규칙 55종'!D29)</x:f>
        <x:v>3.59832</x:v>
      </x:c>
      <x:c r="E247" s="9" t="n">
        <x:f>C247*SUM('스킬 500종'!E247:H247)</x:f>
        <x:v>1.08</x:v>
      </x:c>
      <x:c r="F247" s="9" t="n">
        <x:f>C247*1.4*SUM('스킬 500종'!I247:J247)</x:f>
        <x:v>0</x:v>
      </x:c>
      <x:c r="G247" s="9" t="n">
        <x:f>SUM(D247:F247)</x:f>
        <x:v>4.67832</x:v>
      </x:c>
      <x:c r="H247" s="9" t="n">
        <x:f>1.1+0.8*'스킬 500종'!W247</x:f>
        <x:v>5.1</x:v>
      </x:c>
      <x:c r="I247" s="10" t="n">
        <x:f>G247/H247</x:f>
        <x:v>0.9173176470588237</x:v>
      </x:c>
      <x:c r="J247" s="1" t="str">
        <x:f>IF(OR('스킬 500종'!I247&lt;0,'스킬 500종'!J247&lt;0,AND('스킬 500종'!I247&gt;0,'스킬 500종'!J247&gt;0),AND(OR('스킬 500종'!K247="HEAL",'스킬 500종'!N247="HEAL",'스킬 500종'!Q247="HEAL",'스킬 500종'!T247="HEAL"),'스킬 500종'!I247=0,'스킬 500종'!J247=0),AND('스킬 500종'!I247&gt;0,OR('스킬 500종'!K247="CONTINUOUS_HEAL",'스킬 500종'!N247="CONTINUOUS_HEAL",'스킬 500종'!Q247="CONTINUOUS_HEAL",'스킬 500종'!T247="CONTINUOUS_HEAL"))),"회복 기준 오류",IF(AND(G247&lt;=H247+0.00001,'스킬 500종'!W247&gt;=1,'스킬 500종'!W247&lt;=5),"정상","초과"))</x:f>
        <x:v>정상</x:v>
      </x:c>
    </x:row>
    <x:row r="248" ht="30" customHeight="1">
      <x:c r="A248" s="1" t="str">
        <x:f>'스킬 500종'!A248</x:f>
        <x:v>SKILL_0242</x:v>
      </x:c>
      <x:c r="B248" s="1" t="str">
        <x:f>'스킬 500종'!B248</x:f>
        <x:v>추가 피해 · 추가 공격 · 스킬 쿨타임 증가 · 수면의 일격</x:v>
      </x:c>
      <x:c r="C248" s="1" t="n">
        <x:f>1</x:f>
        <x:v>1</x:v>
      </x:c>
      <x:c r="D248" s="9" t="n">
        <x:f>C248*1.24*('효과 규칙 55종'!H33*'스킬 500종'!L248*'스킬 500종'!M248/'효과 규칙 55종'!D33+'효과 규칙 55종'!H50*'스킬 500종'!O248*'스킬 500종'!P248/'효과 규칙 55종'!D50+'효과 규칙 55종'!H54*'스킬 500종'!R248*'스킬 500종'!S248/'효과 규칙 55종'!D54+'효과 규칙 55종'!H23*'스킬 500종'!U248*'스킬 500종'!V248/'효과 규칙 55종'!D23)</x:f>
        <x:v>2.9661047999999997</x:v>
      </x:c>
      <x:c r="E248" s="9" t="n">
        <x:f>C248*SUM('스킬 500종'!E248:H248)</x:f>
        <x:v>1.1</x:v>
      </x:c>
      <x:c r="F248" s="9" t="n">
        <x:f>C248*1.4*SUM('스킬 500종'!I248:J248)</x:f>
        <x:v>0</x:v>
      </x:c>
      <x:c r="G248" s="9" t="n">
        <x:f>SUM(D248:F248)</x:f>
        <x:v>4.0661048</x:v>
      </x:c>
      <x:c r="H248" s="9" t="n">
        <x:f>1.1+0.8*'스킬 500종'!W248</x:f>
        <x:v>4.300000000000001</x:v>
      </x:c>
      <x:c r="I248" s="10" t="n">
        <x:f>G248/H248</x:f>
        <x:v>0.9456057674418602</x:v>
      </x:c>
      <x:c r="J248" s="1" t="str">
        <x:f>IF(OR('스킬 500종'!I248&lt;0,'스킬 500종'!J248&lt;0,AND('스킬 500종'!I248&gt;0,'스킬 500종'!J248&gt;0),AND(OR('스킬 500종'!K248="HEAL",'스킬 500종'!N248="HEAL",'스킬 500종'!Q248="HEAL",'스킬 500종'!T248="HEAL"),'스킬 500종'!I248=0,'스킬 500종'!J248=0),AND('스킬 500종'!I248&gt;0,OR('스킬 500종'!K248="CONTINUOUS_HEAL",'스킬 500종'!N248="CONTINUOUS_HEAL",'스킬 500종'!Q248="CONTINUOUS_HEAL",'스킬 500종'!T248="CONTINUOUS_HEAL"))),"회복 기준 오류",IF(AND(G248&lt;=H248+0.00001,'스킬 500종'!W248&gt;=1,'스킬 500종'!W248&lt;=5),"정상","초과"))</x:f>
        <x:v>정상</x:v>
      </x:c>
    </x:row>
    <x:row r="249" ht="30" customHeight="1">
      <x:c r="A249" s="1" t="str">
        <x:f>'스킬 500종'!A249</x:f>
        <x:v>SKILL_0243</x:v>
      </x:c>
      <x:c r="B249" s="1" t="str">
        <x:f>'스킬 500종'!B249</x:f>
        <x:v>강화 불가 · 명중 감소 · 속도 감소 · 출혈의 일격</x:v>
      </x:c>
      <x:c r="C249" s="1" t="n">
        <x:f>1</x:f>
        <x:v>1</x:v>
      </x:c>
      <x:c r="D249" s="9" t="n">
        <x:f>C249*1.24*('효과 규칙 55종'!H26*'스킬 500종'!L249*'스킬 500종'!M249/'효과 규칙 55종'!D26+'효과 규칙 55종'!H21*'스킬 500종'!O249*'스킬 500종'!P249/'효과 규칙 55종'!D21+'효과 규칙 55종'!H20*'스킬 500종'!R249*'스킬 500종'!S249/'효과 규칙 55종'!D20+'효과 규칙 55종'!H29*'스킬 500종'!U249*'스킬 500종'!V249/'효과 규칙 55종'!D29)</x:f>
        <x:v>1.8249699999999998</x:v>
      </x:c>
      <x:c r="E249" s="9" t="n">
        <x:f>C249*SUM('스킬 500종'!E249:H249)</x:f>
        <x:v>1.1</x:v>
      </x:c>
      <x:c r="F249" s="9" t="n">
        <x:f>C249*1.4*SUM('스킬 500종'!I249:J249)</x:f>
        <x:v>0</x:v>
      </x:c>
      <x:c r="G249" s="9" t="n">
        <x:f>SUM(D249:F249)</x:f>
        <x:v>2.92497</x:v>
      </x:c>
      <x:c r="H249" s="9" t="n">
        <x:f>1.1+0.8*'스킬 500종'!W249</x:f>
        <x:v>3.5000000000000004</x:v>
      </x:c>
      <x:c r="I249" s="10" t="n">
        <x:f>G249/H249</x:f>
        <x:v>0.8357057142857142</x:v>
      </x:c>
      <x:c r="J249" s="1" t="str">
        <x:f>IF(OR('스킬 500종'!I249&lt;0,'스킬 500종'!J249&lt;0,AND('스킬 500종'!I249&gt;0,'스킬 500종'!J249&gt;0),AND(OR('스킬 500종'!K249="HEAL",'스킬 500종'!N249="HEAL",'스킬 500종'!Q249="HEAL",'스킬 500종'!T249="HEAL"),'스킬 500종'!I249=0,'스킬 500종'!J249=0),AND('스킬 500종'!I249&gt;0,OR('스킬 500종'!K249="CONTINUOUS_HEAL",'스킬 500종'!N249="CONTINUOUS_HEAL",'스킬 500종'!Q249="CONTINUOUS_HEAL",'스킬 500종'!T249="CONTINUOUS_HEAL"))),"회복 기준 오류",IF(AND(G249&lt;=H249+0.00001,'스킬 500종'!W249&gt;=1,'스킬 500종'!W249&lt;=5),"정상","초과"))</x:f>
        <x:v>정상</x:v>
      </x:c>
    </x:row>
    <x:row r="250" ht="30" customHeight="1">
      <x:c r="A250" s="1" t="str">
        <x:f>'스킬 500종'!A250</x:f>
        <x:v>SKILL_0244</x:v>
      </x:c>
      <x:c r="B250" s="1" t="str">
        <x:f>'스킬 500종'!B250</x:f>
        <x:v>부활 불가 · 흡혈 · 회복 불가 · 표적의 일격</x:v>
      </x:c>
      <x:c r="C250" s="1" t="n">
        <x:f>2.4</x:f>
        <x:v>2.4</x:v>
      </x:c>
      <x:c r="D250" s="9" t="n">
        <x:f>C250*1.24*('효과 규칙 55종'!H48*'스킬 500종'!L250*'스킬 500종'!M250/'효과 규칙 55종'!D48+'효과 규칙 55종'!H36*'스킬 500종'!O250*'스킬 500종'!P250/'효과 규칙 55종'!D36+'효과 규칙 55종'!H25*'스킬 500종'!R250*'스킬 500종'!S250/'효과 규칙 55종'!D25+'효과 규칙 55종'!H30*'스킬 500종'!U250*'스킬 500종'!V250/'효과 규칙 55종'!D30)</x:f>
        <x:v>3.425376</x:v>
      </x:c>
      <x:c r="E250" s="9" t="n">
        <x:f>C250*SUM('스킬 500종'!E250:H250)</x:f>
        <x:v>1.2</x:v>
      </x:c>
      <x:c r="F250" s="9" t="n">
        <x:f>C250*1.4*SUM('스킬 500종'!I250:J250)</x:f>
        <x:v>0</x:v>
      </x:c>
      <x:c r="G250" s="9" t="n">
        <x:f>SUM(D250:F250)</x:f>
        <x:v>4.625376</x:v>
      </x:c>
      <x:c r="H250" s="9" t="n">
        <x:f>1.1+0.8*'스킬 500종'!W250</x:f>
        <x:v>5.1</x:v>
      </x:c>
      <x:c r="I250" s="10" t="n">
        <x:f>G250/H250</x:f>
        <x:v>0.9069364705882353</x:v>
      </x:c>
      <x:c r="J250" s="1" t="str">
        <x:f>IF(OR('스킬 500종'!I250&lt;0,'스킬 500종'!J250&lt;0,AND('스킬 500종'!I250&gt;0,'스킬 500종'!J250&gt;0),AND(OR('스킬 500종'!K250="HEAL",'스킬 500종'!N250="HEAL",'스킬 500종'!Q250="HEAL",'스킬 500종'!T250="HEAL"),'스킬 500종'!I250=0,'스킬 500종'!J250=0),AND('스킬 500종'!I250&gt;0,OR('스킬 500종'!K250="CONTINUOUS_HEAL",'스킬 500종'!N250="CONTINUOUS_HEAL",'스킬 500종'!Q250="CONTINUOUS_HEAL",'스킬 500종'!T250="CONTINUOUS_HEAL"))),"회복 기준 오류",IF(AND(G250&lt;=H250+0.00001,'스킬 500종'!W250&gt;=1,'스킬 500종'!W250&lt;=5),"정상","초과"))</x:f>
        <x:v>정상</x:v>
      </x:c>
    </x:row>
    <x:row r="251" ht="30" customHeight="1">
      <x:c r="A251" s="1" t="str">
        <x:f>'스킬 500종'!A251</x:f>
        <x:v>SKILL_0245</x:v>
      </x:c>
      <x:c r="B251" s="1" t="str">
        <x:f>'스킬 500종'!B251</x:f>
        <x:v>수면 · 표적의 일격</x:v>
      </x:c>
      <x:c r="C251" s="1" t="n">
        <x:f>1</x:f>
        <x:v>1</x:v>
      </x:c>
      <x:c r="D251" s="9" t="n">
        <x:f>C251*1.08*('효과 규칙 55종'!H23*'스킬 500종'!L251*'스킬 500종'!M251/'효과 규칙 55종'!D23+'효과 규칙 55종'!H30*'스킬 500종'!O251*'스킬 500종'!P251/'효과 규칙 55종'!D30)</x:f>
        <x:v>1.8468000000000002</x:v>
      </x:c>
      <x:c r="E251" s="9" t="n">
        <x:f>C251*SUM('스킬 500종'!E251:H251)</x:f>
        <x:v>1.1</x:v>
      </x:c>
      <x:c r="F251" s="9" t="n">
        <x:f>C251*1.4*SUM('스킬 500종'!I251:J251)</x:f>
        <x:v>0</x:v>
      </x:c>
      <x:c r="G251" s="9" t="n">
        <x:f>SUM(D251:F251)</x:f>
        <x:v>2.9468000000000005</x:v>
      </x:c>
      <x:c r="H251" s="9" t="n">
        <x:f>1.1+0.8*'스킬 500종'!W251</x:f>
        <x:v>3.5000000000000004</x:v>
      </x:c>
      <x:c r="I251" s="10" t="n">
        <x:f>G251/H251</x:f>
        <x:v>0.8419428571428572</x:v>
      </x:c>
      <x:c r="J251" s="1" t="str">
        <x:f>IF(OR('스킬 500종'!I251&lt;0,'스킬 500종'!J251&lt;0,AND('스킬 500종'!I251&gt;0,'스킬 500종'!J251&gt;0),AND(OR('스킬 500종'!K251="HEAL",'스킬 500종'!N251="HEAL",'스킬 500종'!Q251="HEAL",'스킬 500종'!T251="HEAL"),'스킬 500종'!I251=0,'스킬 500종'!J251=0),AND('스킬 500종'!I251&gt;0,OR('스킬 500종'!K251="CONTINUOUS_HEAL",'스킬 500종'!N251="CONTINUOUS_HEAL",'스킬 500종'!Q251="CONTINUOUS_HEAL",'스킬 500종'!T251="CONTINUOUS_HEAL"))),"회복 기준 오류",IF(AND(G251&lt;=H251+0.00001,'스킬 500종'!W251&gt;=1,'스킬 500종'!W251&lt;=5),"정상","초과"))</x:f>
        <x:v>정상</x:v>
      </x:c>
    </x:row>
    <x:row r="252" ht="30" customHeight="1">
      <x:c r="A252" s="1" t="str">
        <x:f>'스킬 500종'!A252</x:f>
        <x:v>SKILL_0246</x:v>
      </x:c>
      <x:c r="B252" s="1" t="str">
        <x:f>'스킬 500종'!B252</x:f>
        <x:v>출혈 · 강화효과 해제의 일격</x:v>
      </x:c>
      <x:c r="C252" s="1" t="n">
        <x:f>1</x:f>
        <x:v>1</x:v>
      </x:c>
      <x:c r="D252" s="9" t="n">
        <x:f>C252*1.08*('효과 규칙 55종'!H29*'스킬 500종'!L252*'스킬 500종'!M252/'효과 규칙 55종'!D29+'효과 규칙 55종'!H56*'스킬 500종'!O252*'스킬 500종'!P252/'효과 규칙 55종'!D56)</x:f>
        <x:v>1.215</x:v>
      </x:c>
      <x:c r="E252" s="9" t="n">
        <x:f>C252*SUM('스킬 500종'!E252:H252)</x:f>
        <x:v>1.1</x:v>
      </x:c>
      <x:c r="F252" s="9" t="n">
        <x:f>C252*1.4*SUM('스킬 500종'!I252:J252)</x:f>
        <x:v>0</x:v>
      </x:c>
      <x:c r="G252" s="9" t="n">
        <x:f>SUM(D252:F252)</x:f>
        <x:v>2.3150000000000004</x:v>
      </x:c>
      <x:c r="H252" s="9" t="n">
        <x:f>1.1+0.8*'스킬 500종'!W252</x:f>
        <x:v>2.7</x:v>
      </x:c>
      <x:c r="I252" s="10" t="n">
        <x:f>G252/H252</x:f>
        <x:v>0.8574074074074075</x:v>
      </x:c>
      <x:c r="J252" s="1" t="str">
        <x:f>IF(OR('스킬 500종'!I252&lt;0,'스킬 500종'!J252&lt;0,AND('스킬 500종'!I252&gt;0,'스킬 500종'!J252&gt;0),AND(OR('스킬 500종'!K252="HEAL",'스킬 500종'!N252="HEAL",'스킬 500종'!Q252="HEAL",'스킬 500종'!T252="HEAL"),'스킬 500종'!I252=0,'스킬 500종'!J252=0),AND('스킬 500종'!I252&gt;0,OR('스킬 500종'!K252="CONTINUOUS_HEAL",'스킬 500종'!N252="CONTINUOUS_HEAL",'스킬 500종'!Q252="CONTINUOUS_HEAL",'스킬 500종'!T252="CONTINUOUS_HEAL"))),"회복 기준 오류",IF(AND(G252&lt;=H252+0.00001,'스킬 500종'!W252&gt;=1,'스킬 500종'!W252&lt;=5),"정상","초과"))</x:f>
        <x:v>정상</x:v>
      </x:c>
    </x:row>
    <x:row r="253" ht="30" customHeight="1">
      <x:c r="A253" s="1" t="str">
        <x:f>'스킬 500종'!A253</x:f>
        <x:v>SKILL_0247</x:v>
      </x:c>
      <x:c r="B253" s="1" t="str">
        <x:f>'스킬 500종'!B253</x:f>
        <x:v>흡혈 · 부활 불가 · 추가 피해 · 강화효과 지속시간 감소의 일격</x:v>
      </x:c>
      <x:c r="C253" s="1" t="n">
        <x:f>2.4</x:f>
        <x:v>2.4</x:v>
      </x:c>
      <x:c r="D253" s="9" t="n">
        <x:f>C253*1.24*('효과 규칙 55종'!H36*'스킬 500종'!L253*'스킬 500종'!M253/'효과 규칙 55종'!D36+'효과 규칙 55종'!H48*'스킬 500종'!O253*'스킬 500종'!P253/'효과 규칙 55종'!D48+'효과 규칙 55종'!H33*'스킬 500종'!R253*'스킬 500종'!S253/'효과 규칙 55종'!D33+'효과 규칙 55종'!H59*'스킬 500종'!U253*'스킬 500종'!V253/'효과 규칙 55종'!D59)</x:f>
        <x:v>3.52828608</x:v>
      </x:c>
      <x:c r="E253" s="9" t="n">
        <x:f>C253*SUM('스킬 500종'!E253:H253)</x:f>
        <x:v>1.32</x:v>
      </x:c>
      <x:c r="F253" s="9" t="n">
        <x:f>C253*1.4*SUM('스킬 500종'!I253:J253)</x:f>
        <x:v>0</x:v>
      </x:c>
      <x:c r="G253" s="9" t="n">
        <x:f>SUM(D253:F253)</x:f>
        <x:v>4.84828608</x:v>
      </x:c>
      <x:c r="H253" s="9" t="n">
        <x:f>1.1+0.8*'스킬 500종'!W253</x:f>
        <x:v>5.1</x:v>
      </x:c>
      <x:c r="I253" s="10" t="n">
        <x:f>G253/H253</x:f>
        <x:v>0.9506443294117648</x:v>
      </x:c>
      <x:c r="J253" s="1" t="str">
        <x:f>IF(OR('스킬 500종'!I253&lt;0,'스킬 500종'!J253&lt;0,AND('스킬 500종'!I253&gt;0,'스킬 500종'!J253&gt;0),AND(OR('스킬 500종'!K253="HEAL",'스킬 500종'!N253="HEAL",'스킬 500종'!Q253="HEAL",'스킬 500종'!T253="HEAL"),'스킬 500종'!I253=0,'스킬 500종'!J253=0),AND('스킬 500종'!I253&gt;0,OR('스킬 500종'!K253="CONTINUOUS_HEAL",'스킬 500종'!N253="CONTINUOUS_HEAL",'스킬 500종'!Q253="CONTINUOUS_HEAL",'스킬 500종'!T253="CONTINUOUS_HEAL"))),"회복 기준 오류",IF(AND(G253&lt;=H253+0.00001,'스킬 500종'!W253&gt;=1,'스킬 500종'!W253&lt;=5),"정상","초과"))</x:f>
        <x:v>정상</x:v>
      </x:c>
    </x:row>
    <x:row r="254" ht="30" customHeight="1">
      <x:c r="A254" s="1" t="str">
        <x:f>'스킬 500종'!A254</x:f>
        <x:v>SKILL_0248</x:v>
      </x:c>
      <x:c r="B254" s="1" t="str">
        <x:f>'스킬 500종'!B254</x:f>
        <x:v>약화효과 지속시간 증가 · 방어력 관통 · 중독 · 명중 감소의 일격</x:v>
      </x:c>
      <x:c r="C254" s="1" t="n">
        <x:f>1</x:f>
        <x:v>1</x:v>
      </x:c>
      <x:c r="D254" s="9" t="n">
        <x:f>C254*1.24*('효과 규칙 55종'!H60*'스킬 500종'!L254*'스킬 500종'!M254/'효과 규칙 55종'!D60+'효과 규칙 55종'!H55*'스킬 500종'!O254*'스킬 500종'!P254/'효과 규칙 55종'!D55+'효과 규칙 55종'!H28*'스킬 500종'!R254*'스킬 500종'!S254/'효과 규칙 55종'!D28+'효과 규칙 55종'!H21*'스킬 500종'!U254*'스킬 500종'!V254/'효과 규칙 55종'!D21)</x:f>
        <x:v>1.9812099999999997</x:v>
      </x:c>
      <x:c r="E254" s="9" t="n">
        <x:f>C254*SUM('스킬 500종'!E254:H254)</x:f>
        <x:v>1.1</x:v>
      </x:c>
      <x:c r="F254" s="9" t="n">
        <x:f>C254*1.4*SUM('스킬 500종'!I254:J254)</x:f>
        <x:v>0</x:v>
      </x:c>
      <x:c r="G254" s="9" t="n">
        <x:f>SUM(D254:F254)</x:f>
        <x:v>3.0812099999999996</x:v>
      </x:c>
      <x:c r="H254" s="9" t="n">
        <x:f>1.1+0.8*'스킬 500종'!W254</x:f>
        <x:v>3.5000000000000004</x:v>
      </x:c>
      <x:c r="I254" s="10" t="n">
        <x:f>G254/H254</x:f>
        <x:v>0.8803457142857141</x:v>
      </x:c>
      <x:c r="J254" s="1" t="str">
        <x:f>IF(OR('스킬 500종'!I254&lt;0,'스킬 500종'!J254&lt;0,AND('스킬 500종'!I254&gt;0,'스킬 500종'!J254&gt;0),AND(OR('스킬 500종'!K254="HEAL",'스킬 500종'!N254="HEAL",'스킬 500종'!Q254="HEAL",'스킬 500종'!T254="HEAL"),'스킬 500종'!I254=0,'스킬 500종'!J254=0),AND('스킬 500종'!I254&gt;0,OR('스킬 500종'!K254="CONTINUOUS_HEAL",'스킬 500종'!N254="CONTINUOUS_HEAL",'스킬 500종'!Q254="CONTINUOUS_HEAL",'스킬 500종'!T254="CONTINUOUS_HEAL"))),"회복 기준 오류",IF(AND(G254&lt;=H254+0.00001,'스킬 500종'!W254&gt;=1,'스킬 500종'!W254&lt;=5),"정상","초과"))</x:f>
        <x:v>정상</x:v>
      </x:c>
    </x:row>
    <x:row r="255" ht="30" customHeight="1">
      <x:c r="A255" s="1" t="str">
        <x:f>'스킬 500종'!A255</x:f>
        <x:v>SKILL_0249</x:v>
      </x:c>
      <x:c r="B255" s="1" t="str">
        <x:f>'스킬 500종'!B255</x:f>
        <x:v>약화효과 전이 · 상처의 일격</x:v>
      </x:c>
      <x:c r="C255" s="1" t="n">
        <x:f>1</x:f>
        <x:v>1</x:v>
      </x:c>
      <x:c r="D255" s="9" t="n">
        <x:f>C255*1.08*('효과 규칙 55종'!H61*'스킬 500종'!L255*'스킬 500종'!M255/'효과 규칙 55종'!D61+'효과 규칙 55종'!H32*'스킬 500종'!O255*'스킬 500종'!P255/'효과 규칙 55종'!D32)</x:f>
        <x:v>1.7496000000000003</x:v>
      </x:c>
      <x:c r="E255" s="9" t="n">
        <x:f>C255*SUM('스킬 500종'!E255:H255)</x:f>
        <x:v>1.1</x:v>
      </x:c>
      <x:c r="F255" s="9" t="n">
        <x:f>C255*1.4*SUM('스킬 500종'!I255:J255)</x:f>
        <x:v>0</x:v>
      </x:c>
      <x:c r="G255" s="9" t="n">
        <x:f>SUM(D255:F255)</x:f>
        <x:v>2.8496000000000006</x:v>
      </x:c>
      <x:c r="H255" s="9" t="n">
        <x:f>1.1+0.8*'스킬 500종'!W255</x:f>
        <x:v>3.5000000000000004</x:v>
      </x:c>
      <x:c r="I255" s="10" t="n">
        <x:f>G255/H255</x:f>
        <x:v>0.8141714285714287</x:v>
      </x:c>
      <x:c r="J255" s="1" t="str">
        <x:f>IF(OR('스킬 500종'!I255&lt;0,'스킬 500종'!J255&lt;0,AND('스킬 500종'!I255&gt;0,'스킬 500종'!J255&gt;0),AND(OR('스킬 500종'!K255="HEAL",'스킬 500종'!N255="HEAL",'스킬 500종'!Q255="HEAL",'스킬 500종'!T255="HEAL"),'스킬 500종'!I255=0,'스킬 500종'!J255=0),AND('스킬 500종'!I255&gt;0,OR('스킬 500종'!K255="CONTINUOUS_HEAL",'스킬 500종'!N255="CONTINUOUS_HEAL",'스킬 500종'!Q255="CONTINUOUS_HEAL",'스킬 500종'!T255="CONTINUOUS_HEAL"))),"회복 기준 오류",IF(AND(G255&lt;=H255+0.00001,'스킬 500종'!W255&gt;=1,'스킬 500종'!W255&lt;=5),"정상","초과"))</x:f>
        <x:v>정상</x:v>
      </x:c>
    </x:row>
    <x:row r="256" ht="30" customHeight="1">
      <x:c r="A256" s="1" t="str">
        <x:f>'스킬 500종'!A256</x:f>
        <x:v>SKILL_0250</x:v>
      </x:c>
      <x:c r="B256" s="1" t="str">
        <x:f>'스킬 500종'!B256</x:f>
        <x:v>방어력 감소 · 중독 · 추가 공격 · 기절 — 스턴의 일격</x:v>
      </x:c>
      <x:c r="C256" s="1" t="n">
        <x:f>2.4</x:f>
        <x:v>2.4</x:v>
      </x:c>
      <x:c r="D256" s="9" t="n">
        <x:f>C256*1.24*('효과 규칙 55종'!H19*'스킬 500종'!L256*'스킬 500종'!M256/'효과 규칙 55종'!D19+'효과 규칙 55종'!H28*'스킬 500종'!O256*'스킬 500종'!P256/'효과 규칙 55종'!D28+'효과 규칙 55종'!H50*'스킬 500종'!R256*'스킬 500종'!S256/'효과 규칙 55종'!D50+'효과 규칙 55종'!H22*'스킬 500종'!U256*'스킬 500종'!V256/'효과 규칙 55종'!D22)</x:f>
        <x:v>3.8051986285714285</x:v>
      </x:c>
      <x:c r="E256" s="9" t="n">
        <x:f>C256*SUM('스킬 500종'!E256:H256)</x:f>
        <x:v>0.96</x:v>
      </x:c>
      <x:c r="F256" s="9" t="n">
        <x:f>C256*1.4*SUM('스킬 500종'!I256:J256)</x:f>
        <x:v>0</x:v>
      </x:c>
      <x:c r="G256" s="9" t="n">
        <x:f>SUM(D256:F256)</x:f>
        <x:v>4.7651986285714285</x:v>
      </x:c>
      <x:c r="H256" s="9" t="n">
        <x:f>1.1+0.8*'스킬 500종'!W256</x:f>
        <x:v>5.1</x:v>
      </x:c>
      <x:c r="I256" s="10" t="n">
        <x:f>G256/H256</x:f>
        <x:v>0.9343526722689076</x:v>
      </x:c>
      <x:c r="J256" s="1" t="str">
        <x:f>IF(OR('스킬 500종'!I256&lt;0,'스킬 500종'!J256&lt;0,AND('스킬 500종'!I256&gt;0,'스킬 500종'!J256&gt;0),AND(OR('스킬 500종'!K256="HEAL",'스킬 500종'!N256="HEAL",'스킬 500종'!Q256="HEAL",'스킬 500종'!T256="HEAL"),'스킬 500종'!I256=0,'스킬 500종'!J256=0),AND('스킬 500종'!I256&gt;0,OR('스킬 500종'!K256="CONTINUOUS_HEAL",'스킬 500종'!N256="CONTINUOUS_HEAL",'스킬 500종'!Q256="CONTINUOUS_HEAL",'스킬 500종'!T256="CONTINUOUS_HEAL"))),"회복 기준 오류",IF(AND(G256&lt;=H256+0.00001,'스킬 500종'!W256&gt;=1,'스킬 500종'!W256&lt;=5),"정상","초과"))</x:f>
        <x:v>정상</x:v>
      </x:c>
    </x:row>
    <x:row r="257" ht="30" customHeight="1">
      <x:c r="A257" s="1" t="str">
        <x:f>'스킬 500종'!A257</x:f>
        <x:v>SKILL_0251</x:v>
      </x:c>
      <x:c r="B257" s="1" t="str">
        <x:f>'스킬 500종'!B257</x:f>
        <x:v>공격력 증가의 의식</x:v>
      </x:c>
      <x:c r="C257" s="1" t="n">
        <x:f>1</x:f>
        <x:v>1</x:v>
      </x:c>
      <x:c r="D257" s="9" t="n">
        <x:f>C257*1*('효과 규칙 55종'!H7*'스킬 500종'!L257*'스킬 500종'!M257/'효과 규칙 55종'!D7)</x:f>
        <x:v>0.8250000000000001</x:v>
      </x:c>
      <x:c r="E257" s="9" t="n">
        <x:f>C257*SUM('스킬 500종'!E257:H257)</x:f>
        <x:v>0</x:v>
      </x:c>
      <x:c r="F257" s="9" t="n">
        <x:f>C257*1.4*SUM('스킬 500종'!I257:J257)</x:f>
        <x:v>0</x:v>
      </x:c>
      <x:c r="G257" s="9" t="n">
        <x:f>SUM(D257:F257)</x:f>
        <x:v>0.8250000000000001</x:v>
      </x:c>
      <x:c r="H257" s="9" t="n">
        <x:f>1.1+0.8*'스킬 500종'!W257</x:f>
        <x:v>1.9000000000000001</x:v>
      </x:c>
      <x:c r="I257" s="10" t="n">
        <x:f>G257/H257</x:f>
        <x:v>0.4342105263157895</x:v>
      </x:c>
      <x:c r="J257" s="1" t="str">
        <x:f>IF(OR('스킬 500종'!I257&lt;0,'스킬 500종'!J257&lt;0,AND('스킬 500종'!I257&gt;0,'스킬 500종'!J257&gt;0),AND(OR('스킬 500종'!K257="HEAL",'스킬 500종'!N257="HEAL",'스킬 500종'!Q257="HEAL",'스킬 500종'!T257="HEAL"),'스킬 500종'!I257=0,'스킬 500종'!J257=0),AND('스킬 500종'!I257&gt;0,OR('스킬 500종'!K257="CONTINUOUS_HEAL",'스킬 500종'!N257="CONTINUOUS_HEAL",'스킬 500종'!Q257="CONTINUOUS_HEAL",'스킬 500종'!T257="CONTINUOUS_HEAL"))),"회복 기준 오류",IF(AND(G257&lt;=H257+0.00001,'스킬 500종'!W257&gt;=1,'스킬 500종'!W257&lt;=5),"정상","초과"))</x:f>
        <x:v>정상</x:v>
      </x:c>
    </x:row>
    <x:row r="258" ht="30" customHeight="1">
      <x:c r="A258" s="1" t="str">
        <x:f>'스킬 500종'!A258</x:f>
        <x:v>SKILL_0252</x:v>
      </x:c>
      <x:c r="B258" s="1" t="str">
        <x:f>'스킬 500종'!B258</x:f>
        <x:v>공격력 증가(대)의 의식</x:v>
      </x:c>
      <x:c r="C258" s="1" t="n">
        <x:f>1</x:f>
        <x:v>1</x:v>
      </x:c>
      <x:c r="D258" s="9" t="n">
        <x:f>C258*1*('효과 규칙 55종'!H8*'스킬 500종'!L258*'스킬 500종'!M258/'효과 규칙 55종'!D8)</x:f>
        <x:v>1.4249999999999998</x:v>
      </x:c>
      <x:c r="E258" s="9" t="n">
        <x:f>C258*SUM('스킬 500종'!E258:H258)</x:f>
        <x:v>0</x:v>
      </x:c>
      <x:c r="F258" s="9" t="n">
        <x:f>C258*1.4*SUM('스킬 500종'!I258:J258)</x:f>
        <x:v>0</x:v>
      </x:c>
      <x:c r="G258" s="9" t="n">
        <x:f>SUM(D258:F258)</x:f>
        <x:v>1.4249999999999998</x:v>
      </x:c>
      <x:c r="H258" s="9" t="n">
        <x:f>1.1+0.8*'스킬 500종'!W258</x:f>
        <x:v>1.9000000000000001</x:v>
      </x:c>
      <x:c r="I258" s="10" t="n">
        <x:f>G258/H258</x:f>
        <x:v>0.7499999999999999</x:v>
      </x:c>
      <x:c r="J258" s="1" t="str">
        <x:f>IF(OR('스킬 500종'!I258&lt;0,'스킬 500종'!J258&lt;0,AND('스킬 500종'!I258&gt;0,'스킬 500종'!J258&gt;0),AND(OR('스킬 500종'!K258="HEAL",'스킬 500종'!N258="HEAL",'스킬 500종'!Q258="HEAL",'스킬 500종'!T258="HEAL"),'스킬 500종'!I258=0,'스킬 500종'!J258=0),AND('스킬 500종'!I258&gt;0,OR('스킬 500종'!K258="CONTINUOUS_HEAL",'스킬 500종'!N258="CONTINUOUS_HEAL",'스킬 500종'!Q258="CONTINUOUS_HEAL",'스킬 500종'!T258="CONTINUOUS_HEAL"))),"회복 기준 오류",IF(AND(G258&lt;=H258+0.00001,'스킬 500종'!W258&gt;=1,'스킬 500종'!W258&lt;=5),"정상","초과"))</x:f>
        <x:v>정상</x:v>
      </x:c>
    </x:row>
    <x:row r="259" ht="30" customHeight="1">
      <x:c r="A259" s="1" t="str">
        <x:f>'스킬 500종'!A259</x:f>
        <x:v>SKILL_0253</x:v>
      </x:c>
      <x:c r="B259" s="1" t="str">
        <x:f>'스킬 500종'!B259</x:f>
        <x:v>방어력 증가의 의식</x:v>
      </x:c>
      <x:c r="C259" s="1" t="n">
        <x:f>1</x:f>
        <x:v>1</x:v>
      </x:c>
      <x:c r="D259" s="9" t="n">
        <x:f>C259*1*('효과 규칙 55종'!H9*'스킬 500종'!L259*'스킬 500종'!M259/'효과 규칙 55종'!D9)</x:f>
        <x:v>0.8250000000000002</x:v>
      </x:c>
      <x:c r="E259" s="9" t="n">
        <x:f>C259*SUM('스킬 500종'!E259:H259)</x:f>
        <x:v>0</x:v>
      </x:c>
      <x:c r="F259" s="9" t="n">
        <x:f>C259*1.4*SUM('스킬 500종'!I259:J259)</x:f>
        <x:v>0</x:v>
      </x:c>
      <x:c r="G259" s="9" t="n">
        <x:f>SUM(D259:F259)</x:f>
        <x:v>0.8250000000000002</x:v>
      </x:c>
      <x:c r="H259" s="9" t="n">
        <x:f>1.1+0.8*'스킬 500종'!W259</x:f>
        <x:v>1.9000000000000001</x:v>
      </x:c>
      <x:c r="I259" s="10" t="n">
        <x:f>G259/H259</x:f>
        <x:v>0.43421052631578955</x:v>
      </x:c>
      <x:c r="J259" s="1" t="str">
        <x:f>IF(OR('스킬 500종'!I259&lt;0,'스킬 500종'!J259&lt;0,AND('스킬 500종'!I259&gt;0,'스킬 500종'!J259&gt;0),AND(OR('스킬 500종'!K259="HEAL",'스킬 500종'!N259="HEAL",'스킬 500종'!Q259="HEAL",'스킬 500종'!T259="HEAL"),'스킬 500종'!I259=0,'스킬 500종'!J259=0),AND('스킬 500종'!I259&gt;0,OR('스킬 500종'!K259="CONTINUOUS_HEAL",'스킬 500종'!N259="CONTINUOUS_HEAL",'스킬 500종'!Q259="CONTINUOUS_HEAL",'스킬 500종'!T259="CONTINUOUS_HEAL"))),"회복 기준 오류",IF(AND(G259&lt;=H259+0.00001,'스킬 500종'!W259&gt;=1,'스킬 500종'!W259&lt;=5),"정상","초과"))</x:f>
        <x:v>정상</x:v>
      </x:c>
    </x:row>
    <x:row r="260" ht="30" customHeight="1">
      <x:c r="A260" s="1" t="str">
        <x:f>'스킬 500종'!A260</x:f>
        <x:v>SKILL_0254</x:v>
      </x:c>
      <x:c r="B260" s="1" t="str">
        <x:f>'스킬 500종'!B260</x:f>
        <x:v>속도 증가의 의식</x:v>
      </x:c>
      <x:c r="C260" s="1" t="n">
        <x:f>1</x:f>
        <x:v>1</x:v>
      </x:c>
      <x:c r="D260" s="9" t="n">
        <x:f>C260*1*('효과 규칙 55종'!H10*'스킬 500종'!L260*'스킬 500종'!M260/'효과 규칙 55종'!D10)</x:f>
        <x:v>0.975</x:v>
      </x:c>
      <x:c r="E260" s="9" t="n">
        <x:f>C260*SUM('스킬 500종'!E260:H260)</x:f>
        <x:v>0</x:v>
      </x:c>
      <x:c r="F260" s="9" t="n">
        <x:f>C260*1.4*SUM('스킬 500종'!I260:J260)</x:f>
        <x:v>0</x:v>
      </x:c>
      <x:c r="G260" s="9" t="n">
        <x:f>SUM(D260:F260)</x:f>
        <x:v>0.975</x:v>
      </x:c>
      <x:c r="H260" s="9" t="n">
        <x:f>1.1+0.8*'스킬 500종'!W260</x:f>
        <x:v>1.9000000000000001</x:v>
      </x:c>
      <x:c r="I260" s="10" t="n">
        <x:f>G260/H260</x:f>
        <x:v>0.513157894736842</x:v>
      </x:c>
      <x:c r="J260" s="1" t="str">
        <x:f>IF(OR('스킬 500종'!I260&lt;0,'스킬 500종'!J260&lt;0,AND('스킬 500종'!I260&gt;0,'스킬 500종'!J260&gt;0),AND(OR('스킬 500종'!K260="HEAL",'스킬 500종'!N260="HEAL",'스킬 500종'!Q260="HEAL",'스킬 500종'!T260="HEAL"),'스킬 500종'!I260=0,'스킬 500종'!J260=0),AND('스킬 500종'!I260&gt;0,OR('스킬 500종'!K260="CONTINUOUS_HEAL",'스킬 500종'!N260="CONTINUOUS_HEAL",'스킬 500종'!Q260="CONTINUOUS_HEAL",'스킬 500종'!T260="CONTINUOUS_HEAL"))),"회복 기준 오류",IF(AND(G260&lt;=H260+0.00001,'스킬 500종'!W260&gt;=1,'스킬 500종'!W260&lt;=5),"정상","초과"))</x:f>
        <x:v>정상</x:v>
      </x:c>
    </x:row>
    <x:row r="261" ht="30" customHeight="1">
      <x:c r="A261" s="1" t="str">
        <x:f>'스킬 500종'!A261</x:f>
        <x:v>SKILL_0255</x:v>
      </x:c>
      <x:c r="B261" s="1" t="str">
        <x:f>'스킬 500종'!B261</x:f>
        <x:v>치명확률 증가의 의식</x:v>
      </x:c>
      <x:c r="C261" s="1" t="n">
        <x:f>1</x:f>
        <x:v>1</x:v>
      </x:c>
      <x:c r="D261" s="9" t="n">
        <x:f>C261*1*('효과 규칙 55종'!H11*'스킬 500종'!L261*'스킬 500종'!M261/'효과 규칙 55종'!D11)</x:f>
        <x:v>0.7499999999999999</x:v>
      </x:c>
      <x:c r="E261" s="9" t="n">
        <x:f>C261*SUM('스킬 500종'!E261:H261)</x:f>
        <x:v>0</x:v>
      </x:c>
      <x:c r="F261" s="9" t="n">
        <x:f>C261*1.4*SUM('스킬 500종'!I261:J261)</x:f>
        <x:v>0</x:v>
      </x:c>
      <x:c r="G261" s="9" t="n">
        <x:f>SUM(D261:F261)</x:f>
        <x:v>0.7499999999999999</x:v>
      </x:c>
      <x:c r="H261" s="9" t="n">
        <x:f>1.1+0.8*'스킬 500종'!W261</x:f>
        <x:v>1.9000000000000001</x:v>
      </x:c>
      <x:c r="I261" s="10" t="n">
        <x:f>G261/H261</x:f>
        <x:v>0.39473684210526305</x:v>
      </x:c>
      <x:c r="J261" s="1" t="str">
        <x:f>IF(OR('스킬 500종'!I261&lt;0,'스킬 500종'!J261&lt;0,AND('스킬 500종'!I261&gt;0,'스킬 500종'!J261&gt;0),AND(OR('스킬 500종'!K261="HEAL",'스킬 500종'!N261="HEAL",'스킬 500종'!Q261="HEAL",'스킬 500종'!T261="HEAL"),'스킬 500종'!I261=0,'스킬 500종'!J261=0),AND('스킬 500종'!I261&gt;0,OR('스킬 500종'!K261="CONTINUOUS_HEAL",'스킬 500종'!N261="CONTINUOUS_HEAL",'스킬 500종'!Q261="CONTINUOUS_HEAL",'스킬 500종'!T261="CONTINUOUS_HEAL"))),"회복 기준 오류",IF(AND(G261&lt;=H261+0.00001,'스킬 500종'!W261&gt;=1,'스킬 500종'!W261&lt;=5),"정상","초과"))</x:f>
        <x:v>정상</x:v>
      </x:c>
    </x:row>
    <x:row r="262" ht="30" customHeight="1">
      <x:c r="A262" s="1" t="str">
        <x:f>'스킬 500종'!A262</x:f>
        <x:v>SKILL_0256</x:v>
      </x:c>
      <x:c r="B262" s="1" t="str">
        <x:f>'스킬 500종'!B262</x:f>
        <x:v>치명피해 증가의 의식</x:v>
      </x:c>
      <x:c r="C262" s="1" t="n">
        <x:f>1</x:f>
        <x:v>1</x:v>
      </x:c>
      <x:c r="D262" s="9" t="n">
        <x:f>C262*1*('효과 규칙 55종'!H12*'스킬 500종'!L262*'스킬 500종'!M262/'효과 규칙 55종'!D12)</x:f>
        <x:v>0.75</x:v>
      </x:c>
      <x:c r="E262" s="9" t="n">
        <x:f>C262*SUM('스킬 500종'!E262:H262)</x:f>
        <x:v>0</x:v>
      </x:c>
      <x:c r="F262" s="9" t="n">
        <x:f>C262*1.4*SUM('스킬 500종'!I262:J262)</x:f>
        <x:v>0</x:v>
      </x:c>
      <x:c r="G262" s="9" t="n">
        <x:f>SUM(D262:F262)</x:f>
        <x:v>0.75</x:v>
      </x:c>
      <x:c r="H262" s="9" t="n">
        <x:f>1.1+0.8*'스킬 500종'!W262</x:f>
        <x:v>1.9000000000000001</x:v>
      </x:c>
      <x:c r="I262" s="10" t="n">
        <x:f>G262/H262</x:f>
        <x:v>0.3947368421052631</x:v>
      </x:c>
      <x:c r="J262" s="1" t="str">
        <x:f>IF(OR('스킬 500종'!I262&lt;0,'스킬 500종'!J262&lt;0,AND('스킬 500종'!I262&gt;0,'스킬 500종'!J262&gt;0),AND(OR('스킬 500종'!K262="HEAL",'스킬 500종'!N262="HEAL",'스킬 500종'!Q262="HEAL",'스킬 500종'!T262="HEAL"),'스킬 500종'!I262=0,'스킬 500종'!J262=0),AND('스킬 500종'!I262&gt;0,OR('스킬 500종'!K262="CONTINUOUS_HEAL",'스킬 500종'!N262="CONTINUOUS_HEAL",'스킬 500종'!Q262="CONTINUOUS_HEAL",'스킬 500종'!T262="CONTINUOUS_HEAL"))),"회복 기준 오류",IF(AND(G262&lt;=H262+0.00001,'스킬 500종'!W262&gt;=1,'스킬 500종'!W262&lt;=5),"정상","초과"))</x:f>
        <x:v>정상</x:v>
      </x:c>
    </x:row>
    <x:row r="263" ht="30" customHeight="1">
      <x:c r="A263" s="1" t="str">
        <x:f>'스킬 500종'!A263</x:f>
        <x:v>SKILL_0257</x:v>
      </x:c>
      <x:c r="B263" s="1" t="str">
        <x:f>'스킬 500종'!B263</x:f>
        <x:v>효과적중 증가의 의식</x:v>
      </x:c>
      <x:c r="C263" s="1" t="n">
        <x:f>1</x:f>
        <x:v>1</x:v>
      </x:c>
      <x:c r="D263" s="9" t="n">
        <x:f>C263*1*('효과 규칙 55종'!H13*'스킬 500종'!L263*'스킬 500종'!M263/'효과 규칙 55종'!D13)</x:f>
        <x:v>0.675</x:v>
      </x:c>
      <x:c r="E263" s="9" t="n">
        <x:f>C263*SUM('스킬 500종'!E263:H263)</x:f>
        <x:v>0</x:v>
      </x:c>
      <x:c r="F263" s="9" t="n">
        <x:f>C263*1.4*SUM('스킬 500종'!I263:J263)</x:f>
        <x:v>0</x:v>
      </x:c>
      <x:c r="G263" s="9" t="n">
        <x:f>SUM(D263:F263)</x:f>
        <x:v>0.675</x:v>
      </x:c>
      <x:c r="H263" s="9" t="n">
        <x:f>1.1+0.8*'스킬 500종'!W263</x:f>
        <x:v>1.9000000000000001</x:v>
      </x:c>
      <x:c r="I263" s="10" t="n">
        <x:f>G263/H263</x:f>
        <x:v>0.35526315789473684</x:v>
      </x:c>
      <x:c r="J263" s="1" t="str">
        <x:f>IF(OR('스킬 500종'!I263&lt;0,'스킬 500종'!J263&lt;0,AND('스킬 500종'!I263&gt;0,'스킬 500종'!J263&gt;0),AND(OR('스킬 500종'!K263="HEAL",'스킬 500종'!N263="HEAL",'스킬 500종'!Q263="HEAL",'스킬 500종'!T263="HEAL"),'스킬 500종'!I263=0,'스킬 500종'!J263=0),AND('스킬 500종'!I263&gt;0,OR('스킬 500종'!K263="CONTINUOUS_HEAL",'스킬 500종'!N263="CONTINUOUS_HEAL",'스킬 500종'!Q263="CONTINUOUS_HEAL",'스킬 500종'!T263="CONTINUOUS_HEAL"))),"회복 기준 오류",IF(AND(G263&lt;=H263+0.00001,'스킬 500종'!W263&gt;=1,'스킬 500종'!W263&lt;=5),"정상","초과"))</x:f>
        <x:v>정상</x:v>
      </x:c>
    </x:row>
    <x:row r="264" ht="30" customHeight="1">
      <x:c r="A264" s="1" t="str">
        <x:f>'스킬 500종'!A264</x:f>
        <x:v>SKILL_0258</x:v>
      </x:c>
      <x:c r="B264" s="1" t="str">
        <x:f>'스킬 500종'!B264</x:f>
        <x:v>효과저항 증가의 의식</x:v>
      </x:c>
      <x:c r="C264" s="1" t="n">
        <x:f>1</x:f>
        <x:v>1</x:v>
      </x:c>
      <x:c r="D264" s="9" t="n">
        <x:f>C264*1*('효과 규칙 55종'!H14*'스킬 500종'!L264*'스킬 500종'!M264/'효과 규칙 55종'!D14)</x:f>
        <x:v>0.675</x:v>
      </x:c>
      <x:c r="E264" s="9" t="n">
        <x:f>C264*SUM('스킬 500종'!E264:H264)</x:f>
        <x:v>0</x:v>
      </x:c>
      <x:c r="F264" s="9" t="n">
        <x:f>C264*1.4*SUM('스킬 500종'!I264:J264)</x:f>
        <x:v>0</x:v>
      </x:c>
      <x:c r="G264" s="9" t="n">
        <x:f>SUM(D264:F264)</x:f>
        <x:v>0.675</x:v>
      </x:c>
      <x:c r="H264" s="9" t="n">
        <x:f>1.1+0.8*'스킬 500종'!W264</x:f>
        <x:v>1.9000000000000001</x:v>
      </x:c>
      <x:c r="I264" s="10" t="n">
        <x:f>G264/H264</x:f>
        <x:v>0.35526315789473684</x:v>
      </x:c>
      <x:c r="J264" s="1" t="str">
        <x:f>IF(OR('스킬 500종'!I264&lt;0,'스킬 500종'!J264&lt;0,AND('스킬 500종'!I264&gt;0,'스킬 500종'!J264&gt;0),AND(OR('스킬 500종'!K264="HEAL",'스킬 500종'!N264="HEAL",'스킬 500종'!Q264="HEAL",'스킬 500종'!T264="HEAL"),'스킬 500종'!I264=0,'스킬 500종'!J264=0),AND('스킬 500종'!I264&gt;0,OR('스킬 500종'!K264="CONTINUOUS_HEAL",'스킬 500종'!N264="CONTINUOUS_HEAL",'스킬 500종'!Q264="CONTINUOUS_HEAL",'스킬 500종'!T264="CONTINUOUS_HEAL"))),"회복 기준 오류",IF(AND(G264&lt;=H264+0.00001,'스킬 500종'!W264&gt;=1,'스킬 500종'!W264&lt;=5),"정상","초과"))</x:f>
        <x:v>정상</x:v>
      </x:c>
    </x:row>
    <x:row r="265" ht="30" customHeight="1">
      <x:c r="A265" s="1" t="str">
        <x:f>'스킬 500종'!A265</x:f>
        <x:v>SKILL_0259</x:v>
      </x:c>
      <x:c r="B265" s="1" t="str">
        <x:f>'스킬 500종'!B265</x:f>
        <x:v>회피 증가의 의식</x:v>
      </x:c>
      <x:c r="C265" s="1" t="n">
        <x:f>1</x:f>
        <x:v>1</x:v>
      </x:c>
      <x:c r="D265" s="9" t="n">
        <x:f>C265*1*('효과 규칙 55종'!H15*'스킬 500종'!L265*'스킬 500종'!M265/'효과 규칙 55종'!D15)</x:f>
        <x:v>1.1249999999999998</x:v>
      </x:c>
      <x:c r="E265" s="9" t="n">
        <x:f>C265*SUM('스킬 500종'!E265:H265)</x:f>
        <x:v>0</x:v>
      </x:c>
      <x:c r="F265" s="9" t="n">
        <x:f>C265*1.4*SUM('스킬 500종'!I265:J265)</x:f>
        <x:v>0</x:v>
      </x:c>
      <x:c r="G265" s="9" t="n">
        <x:f>SUM(D265:F265)</x:f>
        <x:v>1.1249999999999998</x:v>
      </x:c>
      <x:c r="H265" s="9" t="n">
        <x:f>1.1+0.8*'스킬 500종'!W265</x:f>
        <x:v>1.9000000000000001</x:v>
      </x:c>
      <x:c r="I265" s="10" t="n">
        <x:f>G265/H265</x:f>
        <x:v>0.5921052631578946</x:v>
      </x:c>
      <x:c r="J265" s="1" t="str">
        <x:f>IF(OR('스킬 500종'!I265&lt;0,'스킬 500종'!J265&lt;0,AND('스킬 500종'!I265&gt;0,'스킬 500종'!J265&gt;0),AND(OR('스킬 500종'!K265="HEAL",'스킬 500종'!N265="HEAL",'스킬 500종'!Q265="HEAL",'스킬 500종'!T265="HEAL"),'스킬 500종'!I265=0,'스킬 500종'!J265=0),AND('스킬 500종'!I265&gt;0,OR('스킬 500종'!K265="CONTINUOUS_HEAL",'스킬 500종'!N265="CONTINUOUS_HEAL",'스킬 500종'!Q265="CONTINUOUS_HEAL",'스킬 500종'!T265="CONTINUOUS_HEAL"))),"회복 기준 오류",IF(AND(G265&lt;=H265+0.00001,'스킬 500종'!W265&gt;=1,'스킬 500종'!W265&lt;=5),"정상","초과"))</x:f>
        <x:v>정상</x:v>
      </x:c>
    </x:row>
    <x:row r="266" ht="30" customHeight="1">
      <x:c r="A266" s="1" t="str">
        <x:f>'스킬 500종'!A266</x:f>
        <x:v>SKILL_0260</x:v>
      </x:c>
      <x:c r="B266" s="1" t="str">
        <x:f>'스킬 500종'!B266</x:f>
        <x:v>치명저항 증가의 의식</x:v>
      </x:c>
      <x:c r="C266" s="1" t="n">
        <x:f>1</x:f>
        <x:v>1</x:v>
      </x:c>
      <x:c r="D266" s="9" t="n">
        <x:f>C266*1*('효과 규칙 55종'!H16*'스킬 500종'!L266*'스킬 500종'!M266/'효과 규칙 55종'!D16)</x:f>
        <x:v>0.8999999999999999</x:v>
      </x:c>
      <x:c r="E266" s="9" t="n">
        <x:f>C266*SUM('스킬 500종'!E266:H266)</x:f>
        <x:v>0</x:v>
      </x:c>
      <x:c r="F266" s="9" t="n">
        <x:f>C266*1.4*SUM('스킬 500종'!I266:J266)</x:f>
        <x:v>0</x:v>
      </x:c>
      <x:c r="G266" s="9" t="n">
        <x:f>SUM(D266:F266)</x:f>
        <x:v>0.8999999999999999</x:v>
      </x:c>
      <x:c r="H266" s="9" t="n">
        <x:f>1.1+0.8*'스킬 500종'!W266</x:f>
        <x:v>1.9000000000000001</x:v>
      </x:c>
      <x:c r="I266" s="10" t="n">
        <x:f>G266/H266</x:f>
        <x:v>0.4736842105263157</x:v>
      </x:c>
      <x:c r="J266" s="1" t="str">
        <x:f>IF(OR('스킬 500종'!I266&lt;0,'스킬 500종'!J266&lt;0,AND('스킬 500종'!I266&gt;0,'스킬 500종'!J266&gt;0),AND(OR('스킬 500종'!K266="HEAL",'스킬 500종'!N266="HEAL",'스킬 500종'!Q266="HEAL",'스킬 500종'!T266="HEAL"),'스킬 500종'!I266=0,'스킬 500종'!J266=0),AND('스킬 500종'!I266&gt;0,OR('스킬 500종'!K266="CONTINUOUS_HEAL",'스킬 500종'!N266="CONTINUOUS_HEAL",'스킬 500종'!Q266="CONTINUOUS_HEAL",'스킬 500종'!T266="CONTINUOUS_HEAL"))),"회복 기준 오류",IF(AND(G266&lt;=H266+0.00001,'스킬 500종'!W266&gt;=1,'스킬 500종'!W266&lt;=5),"정상","초과"))</x:f>
        <x:v>정상</x:v>
      </x:c>
    </x:row>
    <x:row r="267" ht="30" customHeight="1">
      <x:c r="A267" s="1" t="str">
        <x:f>'스킬 500종'!A267</x:f>
        <x:v>SKILL_0261</x:v>
      </x:c>
      <x:c r="B267" s="1" t="str">
        <x:f>'스킬 500종'!B267</x:f>
        <x:v>명중 증가의 의식</x:v>
      </x:c>
      <x:c r="C267" s="1" t="n">
        <x:f>1</x:f>
        <x:v>1</x:v>
      </x:c>
      <x:c r="D267" s="9" t="n">
        <x:f>C267*1*('효과 규칙 55종'!H17*'스킬 500종'!L267*'스킬 500종'!M267/'효과 규칙 55종'!D17)</x:f>
        <x:v>0.6</x:v>
      </x:c>
      <x:c r="E267" s="9" t="n">
        <x:f>C267*SUM('스킬 500종'!E267:H267)</x:f>
        <x:v>0</x:v>
      </x:c>
      <x:c r="F267" s="9" t="n">
        <x:f>C267*1.4*SUM('스킬 500종'!I267:J267)</x:f>
        <x:v>0</x:v>
      </x:c>
      <x:c r="G267" s="9" t="n">
        <x:f>SUM(D267:F267)</x:f>
        <x:v>0.6</x:v>
      </x:c>
      <x:c r="H267" s="9" t="n">
        <x:f>1.1+0.8*'스킬 500종'!W267</x:f>
        <x:v>1.9000000000000001</x:v>
      </x:c>
      <x:c r="I267" s="10" t="n">
        <x:f>G267/H267</x:f>
        <x:v>0.3157894736842105</x:v>
      </x:c>
      <x:c r="J267" s="1" t="str">
        <x:f>IF(OR('스킬 500종'!I267&lt;0,'스킬 500종'!J267&lt;0,AND('스킬 500종'!I267&gt;0,'스킬 500종'!J267&gt;0),AND(OR('스킬 500종'!K267="HEAL",'스킬 500종'!N267="HEAL",'스킬 500종'!Q267="HEAL",'스킬 500종'!T267="HEAL"),'스킬 500종'!I267=0,'스킬 500종'!J267=0),AND('스킬 500종'!I267&gt;0,OR('스킬 500종'!K267="CONTINUOUS_HEAL",'스킬 500종'!N267="CONTINUOUS_HEAL",'스킬 500종'!Q267="CONTINUOUS_HEAL",'스킬 500종'!T267="CONTINUOUS_HEAL"))),"회복 기준 오류",IF(AND(G267&lt;=H267+0.00001,'스킬 500종'!W267&gt;=1,'스킬 500종'!W267&lt;=5),"정상","초과"))</x:f>
        <x:v>정상</x:v>
      </x:c>
    </x:row>
    <x:row r="268" ht="30" customHeight="1">
      <x:c r="A268" s="1" t="str">
        <x:f>'스킬 500종'!A268</x:f>
        <x:v>SKILL_0262</x:v>
      </x:c>
      <x:c r="B268" s="1" t="str">
        <x:f>'스킬 500종'!B268</x:f>
        <x:v>생명력 회복의 의식</x:v>
      </x:c>
      <x:c r="C268" s="1" t="n">
        <x:f>1</x:f>
        <x:v>1</x:v>
      </x:c>
      <x:c r="D268" s="9" t="n">
        <x:f>C268*1*('효과 규칙 55종'!H34*'스킬 500종'!L268*'스킬 500종'!M268/'효과 규칙 55종'!D34)</x:f>
        <x:v>0</x:v>
      </x:c>
      <x:c r="E268" s="9" t="n">
        <x:f>C268*SUM('스킬 500종'!E268:H268)</x:f>
        <x:v>0</x:v>
      </x:c>
      <x:c r="F268" s="9" t="n">
        <x:f>C268*1.4*SUM('스킬 500종'!I268:J268)</x:f>
        <x:v>0.9099999999999999</x:v>
      </x:c>
      <x:c r="G268" s="9" t="n">
        <x:f>SUM(D268:F268)</x:f>
        <x:v>0.9099999999999999</x:v>
      </x:c>
      <x:c r="H268" s="9" t="n">
        <x:f>1.1+0.8*'스킬 500종'!W268</x:f>
        <x:v>1.9000000000000001</x:v>
      </x:c>
      <x:c r="I268" s="10" t="n">
        <x:f>G268/H268</x:f>
        <x:v>0.47894736842105257</x:v>
      </x:c>
      <x:c r="J268" s="1" t="str">
        <x:f>IF(OR('스킬 500종'!I268&lt;0,'스킬 500종'!J268&lt;0,AND('스킬 500종'!I268&gt;0,'스킬 500종'!J268&gt;0),AND(OR('스킬 500종'!K268="HEAL",'스킬 500종'!N268="HEAL",'스킬 500종'!Q268="HEAL",'스킬 500종'!T268="HEAL"),'스킬 500종'!I268=0,'스킬 500종'!J268=0),AND('스킬 500종'!I268&gt;0,OR('스킬 500종'!K268="CONTINUOUS_HEAL",'스킬 500종'!N268="CONTINUOUS_HEAL",'스킬 500종'!Q268="CONTINUOUS_HEAL",'스킬 500종'!T268="CONTINUOUS_HEAL"))),"회복 기준 오류",IF(AND(G268&lt;=H268+0.00001,'스킬 500종'!W268&gt;=1,'스킬 500종'!W268&lt;=5),"정상","초과"))</x:f>
        <x:v>정상</x:v>
      </x:c>
    </x:row>
    <x:row r="269" ht="30" customHeight="1">
      <x:c r="A269" s="1" t="str">
        <x:f>'스킬 500종'!A269</x:f>
        <x:v>SKILL_0263</x:v>
      </x:c>
      <x:c r="B269" s="1" t="str">
        <x:f>'스킬 500종'!B269</x:f>
        <x:v>지속 회복의 의식</x:v>
      </x:c>
      <x:c r="C269" s="1" t="n">
        <x:f>1</x:f>
        <x:v>1</x:v>
      </x:c>
      <x:c r="D269" s="9" t="n">
        <x:f>C269*1*('효과 규칙 55종'!H35*'스킬 500종'!L269*'스킬 500종'!M269/'효과 규칙 55종'!D35)</x:f>
        <x:v>0.825</x:v>
      </x:c>
      <x:c r="E269" s="9" t="n">
        <x:f>C269*SUM('스킬 500종'!E269:H269)</x:f>
        <x:v>0</x:v>
      </x:c>
      <x:c r="F269" s="9" t="n">
        <x:f>C269*1.4*SUM('스킬 500종'!I269:J269)</x:f>
        <x:v>0</x:v>
      </x:c>
      <x:c r="G269" s="9" t="n">
        <x:f>SUM(D269:F269)</x:f>
        <x:v>0.825</x:v>
      </x:c>
      <x:c r="H269" s="9" t="n">
        <x:f>1.1+0.8*'스킬 500종'!W269</x:f>
        <x:v>1.9000000000000001</x:v>
      </x:c>
      <x:c r="I269" s="10" t="n">
        <x:f>G269/H269</x:f>
        <x:v>0.43421052631578944</x:v>
      </x:c>
      <x:c r="J269" s="1" t="str">
        <x:f>IF(OR('스킬 500종'!I269&lt;0,'스킬 500종'!J269&lt;0,AND('스킬 500종'!I269&gt;0,'스킬 500종'!J269&gt;0),AND(OR('스킬 500종'!K269="HEAL",'스킬 500종'!N269="HEAL",'스킬 500종'!Q269="HEAL",'스킬 500종'!T269="HEAL"),'스킬 500종'!I269=0,'스킬 500종'!J269=0),AND('스킬 500종'!I269&gt;0,OR('스킬 500종'!K269="CONTINUOUS_HEAL",'스킬 500종'!N269="CONTINUOUS_HEAL",'스킬 500종'!Q269="CONTINUOUS_HEAL",'스킬 500종'!T269="CONTINUOUS_HEAL"))),"회복 기준 오류",IF(AND(G269&lt;=H269+0.00001,'스킬 500종'!W269&gt;=1,'스킬 500종'!W269&lt;=5),"정상","초과"))</x:f>
        <x:v>정상</x:v>
      </x:c>
    </x:row>
    <x:row r="270" ht="30" customHeight="1">
      <x:c r="A270" s="1" t="str">
        <x:f>'스킬 500종'!A270</x:f>
        <x:v>SKILL_0264</x:v>
      </x:c>
      <x:c r="B270" s="1" t="str">
        <x:f>'스킬 500종'!B270</x:f>
        <x:v>보호막의 의식</x:v>
      </x:c>
      <x:c r="C270" s="1" t="n">
        <x:f>1</x:f>
        <x:v>1</x:v>
      </x:c>
      <x:c r="D270" s="9" t="n">
        <x:f>C270*1*('효과 규칙 55종'!H37*'스킬 500종'!L270*'스킬 500종'!M270/'효과 규칙 55종'!D37)</x:f>
        <x:v>0.8250000000000001</x:v>
      </x:c>
      <x:c r="E270" s="9" t="n">
        <x:f>C270*SUM('스킬 500종'!E270:H270)</x:f>
        <x:v>0</x:v>
      </x:c>
      <x:c r="F270" s="9" t="n">
        <x:f>C270*1.4*SUM('스킬 500종'!I270:J270)</x:f>
        <x:v>0</x:v>
      </x:c>
      <x:c r="G270" s="9" t="n">
        <x:f>SUM(D270:F270)</x:f>
        <x:v>0.8250000000000001</x:v>
      </x:c>
      <x:c r="H270" s="9" t="n">
        <x:f>1.1+0.8*'스킬 500종'!W270</x:f>
        <x:v>1.9000000000000001</x:v>
      </x:c>
      <x:c r="I270" s="10" t="n">
        <x:f>G270/H270</x:f>
        <x:v>0.4342105263157895</x:v>
      </x:c>
      <x:c r="J270" s="1" t="str">
        <x:f>IF(OR('스킬 500종'!I270&lt;0,'스킬 500종'!J270&lt;0,AND('스킬 500종'!I270&gt;0,'스킬 500종'!J270&gt;0),AND(OR('스킬 500종'!K270="HEAL",'스킬 500종'!N270="HEAL",'스킬 500종'!Q270="HEAL",'스킬 500종'!T270="HEAL"),'스킬 500종'!I270=0,'스킬 500종'!J270=0),AND('스킬 500종'!I270&gt;0,OR('스킬 500종'!K270="CONTINUOUS_HEAL",'스킬 500종'!N270="CONTINUOUS_HEAL",'스킬 500종'!Q270="CONTINUOUS_HEAL",'스킬 500종'!T270="CONTINUOUS_HEAL"))),"회복 기준 오류",IF(AND(G270&lt;=H270+0.00001,'스킬 500종'!W270&gt;=1,'스킬 500종'!W270&lt;=5),"정상","초과"))</x:f>
        <x:v>정상</x:v>
      </x:c>
    </x:row>
    <x:row r="271" ht="30" customHeight="1">
      <x:c r="A271" s="1" t="str">
        <x:f>'스킬 500종'!A271</x:f>
        <x:v>SKILL_0265</x:v>
      </x:c>
      <x:c r="B271" s="1" t="str">
        <x:f>'스킬 500종'!B271</x:f>
        <x:v>무적의 의식</x:v>
      </x:c>
      <x:c r="C271" s="1" t="n">
        <x:f>1</x:f>
        <x:v>1</x:v>
      </x:c>
      <x:c r="D271" s="9" t="n">
        <x:f>C271*1*('효과 규칙 55종'!H38*'스킬 500종'!L271*'스킬 500종'!M271/'효과 규칙 55종'!D38)</x:f>
        <x:v>2.2</x:v>
      </x:c>
      <x:c r="E271" s="9" t="n">
        <x:f>C271*SUM('스킬 500종'!E271:H271)</x:f>
        <x:v>0</x:v>
      </x:c>
      <x:c r="F271" s="9" t="n">
        <x:f>C271*1.4*SUM('스킬 500종'!I271:J271)</x:f>
        <x:v>0</x:v>
      </x:c>
      <x:c r="G271" s="9" t="n">
        <x:f>SUM(D271:F271)</x:f>
        <x:v>2.2</x:v>
      </x:c>
      <x:c r="H271" s="9" t="n">
        <x:f>1.1+0.8*'스킬 500종'!W271</x:f>
        <x:v>3.5000000000000004</x:v>
      </x:c>
      <x:c r="I271" s="10" t="n">
        <x:f>G271/H271</x:f>
        <x:v>0.6285714285714286</x:v>
      </x:c>
      <x:c r="J271" s="1" t="str">
        <x:f>IF(OR('스킬 500종'!I271&lt;0,'스킬 500종'!J271&lt;0,AND('스킬 500종'!I271&gt;0,'스킬 500종'!J271&gt;0),AND(OR('스킬 500종'!K271="HEAL",'스킬 500종'!N271="HEAL",'스킬 500종'!Q271="HEAL",'스킬 500종'!T271="HEAL"),'스킬 500종'!I271=0,'스킬 500종'!J271=0),AND('스킬 500종'!I271&gt;0,OR('스킬 500종'!K271="CONTINUOUS_HEAL",'스킬 500종'!N271="CONTINUOUS_HEAL",'스킬 500종'!Q271="CONTINUOUS_HEAL",'스킬 500종'!T271="CONTINUOUS_HEAL"))),"회복 기준 오류",IF(AND(G271&lt;=H271+0.00001,'스킬 500종'!W271&gt;=1,'스킬 500종'!W271&lt;=5),"정상","초과"))</x:f>
        <x:v>정상</x:v>
      </x:c>
    </x:row>
    <x:row r="272" ht="30" customHeight="1">
      <x:c r="A272" s="1" t="str">
        <x:f>'스킬 500종'!A272</x:f>
        <x:v>SKILL_0266</x:v>
      </x:c>
      <x:c r="B272" s="1" t="str">
        <x:f>'스킬 500종'!B272</x:f>
        <x:v>불사의 의식</x:v>
      </x:c>
      <x:c r="C272" s="1" t="n">
        <x:f>1</x:f>
        <x:v>1</x:v>
      </x:c>
      <x:c r="D272" s="9" t="n">
        <x:f>C272*1*('효과 규칙 55종'!H39*'스킬 500종'!L272*'스킬 500종'!M272/'효과 규칙 55종'!D39)</x:f>
        <x:v>1.9</x:v>
      </x:c>
      <x:c r="E272" s="9" t="n">
        <x:f>C272*SUM('스킬 500종'!E272:H272)</x:f>
        <x:v>0</x:v>
      </x:c>
      <x:c r="F272" s="9" t="n">
        <x:f>C272*1.4*SUM('스킬 500종'!I272:J272)</x:f>
        <x:v>0</x:v>
      </x:c>
      <x:c r="G272" s="9" t="n">
        <x:f>SUM(D272:F272)</x:f>
        <x:v>1.9</x:v>
      </x:c>
      <x:c r="H272" s="9" t="n">
        <x:f>1.1+0.8*'스킬 500종'!W272</x:f>
        <x:v>3.5000000000000004</x:v>
      </x:c>
      <x:c r="I272" s="10" t="n">
        <x:f>G272/H272</x:f>
        <x:v>0.5428571428571428</x:v>
      </x:c>
      <x:c r="J272" s="1" t="str">
        <x:f>IF(OR('스킬 500종'!I272&lt;0,'스킬 500종'!J272&lt;0,AND('스킬 500종'!I272&gt;0,'스킬 500종'!J272&gt;0),AND(OR('스킬 500종'!K272="HEAL",'스킬 500종'!N272="HEAL",'스킬 500종'!Q272="HEAL",'스킬 500종'!T272="HEAL"),'스킬 500종'!I272=0,'스킬 500종'!J272=0),AND('스킬 500종'!I272&gt;0,OR('스킬 500종'!K272="CONTINUOUS_HEAL",'스킬 500종'!N272="CONTINUOUS_HEAL",'스킬 500종'!Q272="CONTINUOUS_HEAL",'스킬 500종'!T272="CONTINUOUS_HEAL"))),"회복 기준 오류",IF(AND(G272&lt;=H272+0.00001,'스킬 500종'!W272&gt;=1,'스킬 500종'!W272&lt;=5),"정상","초과"))</x:f>
        <x:v>정상</x:v>
      </x:c>
    </x:row>
    <x:row r="273" ht="30" customHeight="1">
      <x:c r="A273" s="1" t="str">
        <x:f>'스킬 500종'!A273</x:f>
        <x:v>SKILL_0267</x:v>
      </x:c>
      <x:c r="B273" s="1" t="str">
        <x:f>'스킬 500종'!B273</x:f>
        <x:v>면역의 의식</x:v>
      </x:c>
      <x:c r="C273" s="1" t="n">
        <x:f>1</x:f>
        <x:v>1</x:v>
      </x:c>
      <x:c r="D273" s="9" t="n">
        <x:f>C273*1*('효과 규칙 55종'!H40*'스킬 500종'!L273*'스킬 500종'!M273/'효과 규칙 55종'!D40)</x:f>
        <x:v>0.95</x:v>
      </x:c>
      <x:c r="E273" s="9" t="n">
        <x:f>C273*SUM('스킬 500종'!E273:H273)</x:f>
        <x:v>0</x:v>
      </x:c>
      <x:c r="F273" s="9" t="n">
        <x:f>C273*1.4*SUM('스킬 500종'!I273:J273)</x:f>
        <x:v>0</x:v>
      </x:c>
      <x:c r="G273" s="9" t="n">
        <x:f>SUM(D273:F273)</x:f>
        <x:v>0.95</x:v>
      </x:c>
      <x:c r="H273" s="9" t="n">
        <x:f>1.1+0.8*'스킬 500종'!W273</x:f>
        <x:v>1.9000000000000001</x:v>
      </x:c>
      <x:c r="I273" s="10" t="n">
        <x:f>G273/H273</x:f>
        <x:v>0.49999999999999994</x:v>
      </x:c>
      <x:c r="J273" s="1" t="str">
        <x:f>IF(OR('스킬 500종'!I273&lt;0,'스킬 500종'!J273&lt;0,AND('스킬 500종'!I273&gt;0,'스킬 500종'!J273&gt;0),AND(OR('스킬 500종'!K273="HEAL",'스킬 500종'!N273="HEAL",'스킬 500종'!Q273="HEAL",'스킬 500종'!T273="HEAL"),'스킬 500종'!I273=0,'스킬 500종'!J273=0),AND('스킬 500종'!I273&gt;0,OR('스킬 500종'!K273="CONTINUOUS_HEAL",'스킬 500종'!N273="CONTINUOUS_HEAL",'스킬 500종'!Q273="CONTINUOUS_HEAL",'스킬 500종'!T273="CONTINUOUS_HEAL"))),"회복 기준 오류",IF(AND(G273&lt;=H273+0.00001,'스킬 500종'!W273&gt;=1,'스킬 500종'!W273&lt;=5),"정상","초과"))</x:f>
        <x:v>정상</x:v>
      </x:c>
    </x:row>
    <x:row r="274" ht="30" customHeight="1">
      <x:c r="A274" s="1" t="str">
        <x:f>'스킬 500종'!A274</x:f>
        <x:v>SKILL_0268</x:v>
      </x:c>
      <x:c r="B274" s="1" t="str">
        <x:f>'스킬 500종'!B274</x:f>
        <x:v>은신의 의식</x:v>
      </x:c>
      <x:c r="C274" s="1" t="n">
        <x:f>1</x:f>
        <x:v>1</x:v>
      </x:c>
      <x:c r="D274" s="9" t="n">
        <x:f>C274*1*('효과 규칙 55종'!H41*'스킬 500종'!L274*'스킬 500종'!M274/'효과 규칙 55종'!D41)</x:f>
        <x:v>0.8</x:v>
      </x:c>
      <x:c r="E274" s="9" t="n">
        <x:f>C274*SUM('스킬 500종'!E274:H274)</x:f>
        <x:v>0</x:v>
      </x:c>
      <x:c r="F274" s="9" t="n">
        <x:f>C274*1.4*SUM('스킬 500종'!I274:J274)</x:f>
        <x:v>0</x:v>
      </x:c>
      <x:c r="G274" s="9" t="n">
        <x:f>SUM(D274:F274)</x:f>
        <x:v>0.8</x:v>
      </x:c>
      <x:c r="H274" s="9" t="n">
        <x:f>1.1+0.8*'스킬 500종'!W274</x:f>
        <x:v>1.9000000000000001</x:v>
      </x:c>
      <x:c r="I274" s="10" t="n">
        <x:f>G274/H274</x:f>
        <x:v>0.42105263157894735</x:v>
      </x:c>
      <x:c r="J274" s="1" t="str">
        <x:f>IF(OR('스킬 500종'!I274&lt;0,'스킬 500종'!J274&lt;0,AND('스킬 500종'!I274&gt;0,'스킬 500종'!J274&gt;0),AND(OR('스킬 500종'!K274="HEAL",'스킬 500종'!N274="HEAL",'스킬 500종'!Q274="HEAL",'스킬 500종'!T274="HEAL"),'스킬 500종'!I274=0,'스킬 500종'!J274=0),AND('스킬 500종'!I274&gt;0,OR('스킬 500종'!K274="CONTINUOUS_HEAL",'스킬 500종'!N274="CONTINUOUS_HEAL",'스킬 500종'!Q274="CONTINUOUS_HEAL",'스킬 500종'!T274="CONTINUOUS_HEAL"))),"회복 기준 오류",IF(AND(G274&lt;=H274+0.00001,'스킬 500종'!W274&gt;=1,'스킬 500종'!W274&lt;=5),"정상","초과"))</x:f>
        <x:v>정상</x:v>
      </x:c>
    </x:row>
    <x:row r="275" ht="30" customHeight="1">
      <x:c r="A275" s="1" t="str">
        <x:f>'스킬 500종'!A275</x:f>
        <x:v>SKILL_0269</x:v>
      </x:c>
      <x:c r="B275" s="1" t="str">
        <x:f>'스킬 500종'!B275</x:f>
        <x:v>피해 감소의 의식</x:v>
      </x:c>
      <x:c r="C275" s="1" t="n">
        <x:f>1</x:f>
        <x:v>1</x:v>
      </x:c>
      <x:c r="D275" s="9" t="n">
        <x:f>C275*1*('효과 규칙 55종'!H42*'스킬 500종'!L275*'스킬 500종'!M275/'효과 규칙 55종'!D42)</x:f>
        <x:v>1.0499999999999998</x:v>
      </x:c>
      <x:c r="E275" s="9" t="n">
        <x:f>C275*SUM('스킬 500종'!E275:H275)</x:f>
        <x:v>0</x:v>
      </x:c>
      <x:c r="F275" s="9" t="n">
        <x:f>C275*1.4*SUM('스킬 500종'!I275:J275)</x:f>
        <x:v>0</x:v>
      </x:c>
      <x:c r="G275" s="9" t="n">
        <x:f>SUM(D275:F275)</x:f>
        <x:v>1.0499999999999998</x:v>
      </x:c>
      <x:c r="H275" s="9" t="n">
        <x:f>1.1+0.8*'스킬 500종'!W275</x:f>
        <x:v>1.9000000000000001</x:v>
      </x:c>
      <x:c r="I275" s="10" t="n">
        <x:f>G275/H275</x:f>
        <x:v>0.5526315789473683</x:v>
      </x:c>
      <x:c r="J275" s="1" t="str">
        <x:f>IF(OR('스킬 500종'!I275&lt;0,'스킬 500종'!J275&lt;0,AND('스킬 500종'!I275&gt;0,'스킬 500종'!J275&gt;0),AND(OR('스킬 500종'!K275="HEAL",'스킬 500종'!N275="HEAL",'스킬 500종'!Q275="HEAL",'스킬 500종'!T275="HEAL"),'스킬 500종'!I275=0,'스킬 500종'!J275=0),AND('스킬 500종'!I275&gt;0,OR('스킬 500종'!K275="CONTINUOUS_HEAL",'스킬 500종'!N275="CONTINUOUS_HEAL",'스킬 500종'!Q275="CONTINUOUS_HEAL",'스킬 500종'!T275="CONTINUOUS_HEAL"))),"회복 기준 오류",IF(AND(G275&lt;=H275+0.00001,'스킬 500종'!W275&gt;=1,'스킬 500종'!W275&lt;=5),"정상","초과"))</x:f>
        <x:v>정상</x:v>
      </x:c>
    </x:row>
    <x:row r="276" ht="30" customHeight="1">
      <x:c r="A276" s="1" t="str">
        <x:f>'스킬 500종'!A276</x:f>
        <x:v>SKILL_0270</x:v>
      </x:c>
      <x:c r="B276" s="1" t="str">
        <x:f>'스킬 500종'!B276</x:f>
        <x:v>피해 분담의 의식</x:v>
      </x:c>
      <x:c r="C276" s="1" t="n">
        <x:f>1</x:f>
        <x:v>1</x:v>
      </x:c>
      <x:c r="D276" s="9" t="n">
        <x:f>C276*1*('효과 규칙 55종'!H43*'스킬 500종'!L276*'스킬 500종'!M276/'효과 규칙 55종'!D43)</x:f>
        <x:v>1.2</x:v>
      </x:c>
      <x:c r="E276" s="9" t="n">
        <x:f>C276*SUM('스킬 500종'!E276:H276)</x:f>
        <x:v>0</x:v>
      </x:c>
      <x:c r="F276" s="9" t="n">
        <x:f>C276*1.4*SUM('스킬 500종'!I276:J276)</x:f>
        <x:v>0</x:v>
      </x:c>
      <x:c r="G276" s="9" t="n">
        <x:f>SUM(D276:F276)</x:f>
        <x:v>1.2</x:v>
      </x:c>
      <x:c r="H276" s="9" t="n">
        <x:f>1.1+0.8*'스킬 500종'!W276</x:f>
        <x:v>1.9000000000000001</x:v>
      </x:c>
      <x:c r="I276" s="10" t="n">
        <x:f>G276/H276</x:f>
        <x:v>0.631578947368421</x:v>
      </x:c>
      <x:c r="J276" s="1" t="str">
        <x:f>IF(OR('스킬 500종'!I276&lt;0,'스킬 500종'!J276&lt;0,AND('스킬 500종'!I276&gt;0,'스킬 500종'!J276&gt;0),AND(OR('스킬 500종'!K276="HEAL",'스킬 500종'!N276="HEAL",'스킬 500종'!Q276="HEAL",'스킬 500종'!T276="HEAL"),'스킬 500종'!I276=0,'스킬 500종'!J276=0),AND('스킬 500종'!I276&gt;0,OR('스킬 500종'!K276="CONTINUOUS_HEAL",'스킬 500종'!N276="CONTINUOUS_HEAL",'스킬 500종'!Q276="CONTINUOUS_HEAL",'스킬 500종'!T276="CONTINUOUS_HEAL"))),"회복 기준 오류",IF(AND(G276&lt;=H276+0.00001,'스킬 500종'!W276&gt;=1,'스킬 500종'!W276&lt;=5),"정상","초과"))</x:f>
        <x:v>정상</x:v>
      </x:c>
    </x:row>
    <x:row r="277" ht="30" customHeight="1">
      <x:c r="A277" s="1" t="str">
        <x:f>'스킬 500종'!A277</x:f>
        <x:v>SKILL_0271</x:v>
      </x:c>
      <x:c r="B277" s="1" t="str">
        <x:f>'스킬 500종'!B277</x:f>
        <x:v>피해 반사의 의식</x:v>
      </x:c>
      <x:c r="C277" s="1" t="n">
        <x:f>1</x:f>
        <x:v>1</x:v>
      </x:c>
      <x:c r="D277" s="9" t="n">
        <x:f>C277*1*('효과 규칙 55종'!H44*'스킬 500종'!L277*'스킬 500종'!M277/'효과 규칙 55종'!D44)</x:f>
        <x:v>0.8999999999999999</x:v>
      </x:c>
      <x:c r="E277" s="9" t="n">
        <x:f>C277*SUM('스킬 500종'!E277:H277)</x:f>
        <x:v>0</x:v>
      </x:c>
      <x:c r="F277" s="9" t="n">
        <x:f>C277*1.4*SUM('스킬 500종'!I277:J277)</x:f>
        <x:v>0</x:v>
      </x:c>
      <x:c r="G277" s="9" t="n">
        <x:f>SUM(D277:F277)</x:f>
        <x:v>0.8999999999999999</x:v>
      </x:c>
      <x:c r="H277" s="9" t="n">
        <x:f>1.1+0.8*'스킬 500종'!W277</x:f>
        <x:v>1.9000000000000001</x:v>
      </x:c>
      <x:c r="I277" s="10" t="n">
        <x:f>G277/H277</x:f>
        <x:v>0.4736842105263157</x:v>
      </x:c>
      <x:c r="J277" s="1" t="str">
        <x:f>IF(OR('스킬 500종'!I277&lt;0,'스킬 500종'!J277&lt;0,AND('스킬 500종'!I277&gt;0,'스킬 500종'!J277&gt;0),AND(OR('스킬 500종'!K277="HEAL",'스킬 500종'!N277="HEAL",'스킬 500종'!Q277="HEAL",'스킬 500종'!T277="HEAL"),'스킬 500종'!I277=0,'스킬 500종'!J277=0),AND('스킬 500종'!I277&gt;0,OR('스킬 500종'!K277="CONTINUOUS_HEAL",'스킬 500종'!N277="CONTINUOUS_HEAL",'스킬 500종'!Q277="CONTINUOUS_HEAL",'스킬 500종'!T277="CONTINUOUS_HEAL"))),"회복 기준 오류",IF(AND(G277&lt;=H277+0.00001,'스킬 500종'!W277&gt;=1,'스킬 500종'!W277&lt;=5),"정상","초과"))</x:f>
        <x:v>정상</x:v>
      </x:c>
    </x:row>
    <x:row r="278" ht="30" customHeight="1">
      <x:c r="A278" s="1" t="str">
        <x:f>'스킬 500종'!A278</x:f>
        <x:v>SKILL_0272</x:v>
      </x:c>
      <x:c r="B278" s="1" t="str">
        <x:f>'스킬 500종'!B278</x:f>
        <x:v>부활의 의식</x:v>
      </x:c>
      <x:c r="C278" s="1" t="n">
        <x:f>1</x:f>
        <x:v>1</x:v>
      </x:c>
      <x:c r="D278" s="9" t="n">
        <x:f>C278*1*('효과 규칙 55종'!H45*'스킬 500종'!L278*'스킬 500종'!M278/'효과 규칙 55종'!D45)</x:f>
        <x:v>3.8</x:v>
      </x:c>
      <x:c r="E278" s="9" t="n">
        <x:f>C278*SUM('스킬 500종'!E278:H278)</x:f>
        <x:v>0</x:v>
      </x:c>
      <x:c r="F278" s="9" t="n">
        <x:f>C278*1.4*SUM('스킬 500종'!I278:J278)</x:f>
        <x:v>0</x:v>
      </x:c>
      <x:c r="G278" s="9" t="n">
        <x:f>SUM(D278:F278)</x:f>
        <x:v>3.8</x:v>
      </x:c>
      <x:c r="H278" s="9" t="n">
        <x:f>1.1+0.8*'스킬 500종'!W278</x:f>
        <x:v>5.1</x:v>
      </x:c>
      <x:c r="I278" s="10" t="n">
        <x:f>G278/H278</x:f>
        <x:v>0.7450980392156863</x:v>
      </x:c>
      <x:c r="J278" s="1" t="str">
        <x:f>IF(OR('스킬 500종'!I278&lt;0,'스킬 500종'!J278&lt;0,AND('스킬 500종'!I278&gt;0,'스킬 500종'!J278&gt;0),AND(OR('스킬 500종'!K278="HEAL",'스킬 500종'!N278="HEAL",'스킬 500종'!Q278="HEAL",'스킬 500종'!T278="HEAL"),'스킬 500종'!I278=0,'스킬 500종'!J278=0),AND('스킬 500종'!I278&gt;0,OR('스킬 500종'!K278="CONTINUOUS_HEAL",'스킬 500종'!N278="CONTINUOUS_HEAL",'스킬 500종'!Q278="CONTINUOUS_HEAL",'스킬 500종'!T278="CONTINUOUS_HEAL"))),"회복 기준 오류",IF(AND(G278&lt;=H278+0.00001,'스킬 500종'!W278&gt;=1,'스킬 500종'!W278&lt;=5),"정상","초과"))</x:f>
        <x:v>정상</x:v>
      </x:c>
    </x:row>
    <x:row r="279" ht="30" customHeight="1">
      <x:c r="A279" s="1" t="str">
        <x:f>'스킬 500종'!A279</x:f>
        <x:v>SKILL_0273</x:v>
      </x:c>
      <x:c r="B279" s="1" t="str">
        <x:f>'스킬 500종'!B279</x:f>
        <x:v>소생의 의식</x:v>
      </x:c>
      <x:c r="C279" s="1" t="n">
        <x:f>1</x:f>
        <x:v>1</x:v>
      </x:c>
      <x:c r="D279" s="9" t="n">
        <x:f>C279*1*('효과 규칙 55종'!H46*'스킬 500종'!L279*'스킬 500종'!M279/'효과 규칙 55종'!D46)</x:f>
        <x:v>3.4</x:v>
      </x:c>
      <x:c r="E279" s="9" t="n">
        <x:f>C279*SUM('스킬 500종'!E279:H279)</x:f>
        <x:v>0</x:v>
      </x:c>
      <x:c r="F279" s="9" t="n">
        <x:f>C279*1.4*SUM('스킬 500종'!I279:J279)</x:f>
        <x:v>0</x:v>
      </x:c>
      <x:c r="G279" s="9" t="n">
        <x:f>SUM(D279:F279)</x:f>
        <x:v>3.4</x:v>
      </x:c>
      <x:c r="H279" s="9" t="n">
        <x:f>1.1+0.8*'스킬 500종'!W279</x:f>
        <x:v>5.1</x:v>
      </x:c>
      <x:c r="I279" s="10" t="n">
        <x:f>G279/H279</x:f>
        <x:v>0.6666666666666667</x:v>
      </x:c>
      <x:c r="J279" s="1" t="str">
        <x:f>IF(OR('스킬 500종'!I279&lt;0,'스킬 500종'!J279&lt;0,AND('스킬 500종'!I279&gt;0,'스킬 500종'!J279&gt;0),AND(OR('스킬 500종'!K279="HEAL",'스킬 500종'!N279="HEAL",'스킬 500종'!Q279="HEAL",'스킬 500종'!T279="HEAL"),'스킬 500종'!I279=0,'스킬 500종'!J279=0),AND('스킬 500종'!I279&gt;0,OR('스킬 500종'!K279="CONTINUOUS_HEAL",'스킬 500종'!N279="CONTINUOUS_HEAL",'스킬 500종'!Q279="CONTINUOUS_HEAL",'스킬 500종'!T279="CONTINUOUS_HEAL"))),"회복 기준 오류",IF(AND(G279&lt;=H279+0.00001,'스킬 500종'!W279&gt;=1,'스킬 500종'!W279&lt;=5),"정상","초과"))</x:f>
        <x:v>정상</x:v>
      </x:c>
    </x:row>
    <x:row r="280" ht="30" customHeight="1">
      <x:c r="A280" s="1" t="str">
        <x:f>'스킬 500종'!A280</x:f>
        <x:v>SKILL_0274</x:v>
      </x:c>
      <x:c r="B280" s="1" t="str">
        <x:f>'스킬 500종'!B280</x:f>
        <x:v>반격의 의식</x:v>
      </x:c>
      <x:c r="C280" s="1" t="n">
        <x:f>1</x:f>
        <x:v>1</x:v>
      </x:c>
      <x:c r="D280" s="9" t="n">
        <x:f>C280*1*('효과 규칙 55종'!H51*'스킬 500종'!L280*'스킬 500종'!M280/'효과 규칙 55종'!D51)</x:f>
        <x:v>1.275</x:v>
      </x:c>
      <x:c r="E280" s="9" t="n">
        <x:f>C280*SUM('스킬 500종'!E280:H280)</x:f>
        <x:v>0</x:v>
      </x:c>
      <x:c r="F280" s="9" t="n">
        <x:f>C280*1.4*SUM('스킬 500종'!I280:J280)</x:f>
        <x:v>0</x:v>
      </x:c>
      <x:c r="G280" s="9" t="n">
        <x:f>SUM(D280:F280)</x:f>
        <x:v>1.275</x:v>
      </x:c>
      <x:c r="H280" s="9" t="n">
        <x:f>1.1+0.8*'스킬 500종'!W280</x:f>
        <x:v>1.9000000000000001</x:v>
      </x:c>
      <x:c r="I280" s="10" t="n">
        <x:f>G280/H280</x:f>
        <x:v>0.6710526315789472</x:v>
      </x:c>
      <x:c r="J280" s="1" t="str">
        <x:f>IF(OR('스킬 500종'!I280&lt;0,'스킬 500종'!J280&lt;0,AND('스킬 500종'!I280&gt;0,'스킬 500종'!J280&gt;0),AND(OR('스킬 500종'!K280="HEAL",'스킬 500종'!N280="HEAL",'스킬 500종'!Q280="HEAL",'스킬 500종'!T280="HEAL"),'스킬 500종'!I280=0,'스킬 500종'!J280=0),AND('스킬 500종'!I280&gt;0,OR('스킬 500종'!K280="CONTINUOUS_HEAL",'스킬 500종'!N280="CONTINUOUS_HEAL",'스킬 500종'!Q280="CONTINUOUS_HEAL",'스킬 500종'!T280="CONTINUOUS_HEAL"))),"회복 기준 오류",IF(AND(G280&lt;=H280+0.00001,'스킬 500종'!W280&gt;=1,'스킬 500종'!W280&lt;=5),"정상","초과"))</x:f>
        <x:v>정상</x:v>
      </x:c>
    </x:row>
    <x:row r="281" ht="30" customHeight="1">
      <x:c r="A281" s="1" t="str">
        <x:f>'스킬 500종'!A281</x:f>
        <x:v>SKILL_0275</x:v>
      </x:c>
      <x:c r="B281" s="1" t="str">
        <x:f>'스킬 500종'!B281</x:f>
        <x:v>스킬 쿨타임 감소의 의식</x:v>
      </x:c>
      <x:c r="C281" s="1" t="n">
        <x:f>1</x:f>
        <x:v>1</x:v>
      </x:c>
      <x:c r="D281" s="9" t="n">
        <x:f>C281*1*('효과 규칙 55종'!H52*'스킬 500종'!L281*'스킬 500종'!M281/'효과 규칙 55종'!D52)</x:f>
        <x:v>1.3</x:v>
      </x:c>
      <x:c r="E281" s="9" t="n">
        <x:f>C281*SUM('스킬 500종'!E281:H281)</x:f>
        <x:v>0</x:v>
      </x:c>
      <x:c r="F281" s="9" t="n">
        <x:f>C281*1.4*SUM('스킬 500종'!I281:J281)</x:f>
        <x:v>0</x:v>
      </x:c>
      <x:c r="G281" s="9" t="n">
        <x:f>SUM(D281:F281)</x:f>
        <x:v>1.3</x:v>
      </x:c>
      <x:c r="H281" s="9" t="n">
        <x:f>1.1+0.8*'스킬 500종'!W281</x:f>
        <x:v>1.9000000000000001</x:v>
      </x:c>
      <x:c r="I281" s="10" t="n">
        <x:f>G281/H281</x:f>
        <x:v>0.6842105263157895</x:v>
      </x:c>
      <x:c r="J281" s="1" t="str">
        <x:f>IF(OR('스킬 500종'!I281&lt;0,'스킬 500종'!J281&lt;0,AND('스킬 500종'!I281&gt;0,'스킬 500종'!J281&gt;0),AND(OR('스킬 500종'!K281="HEAL",'스킬 500종'!N281="HEAL",'스킬 500종'!Q281="HEAL",'스킬 500종'!T281="HEAL"),'스킬 500종'!I281=0,'스킬 500종'!J281=0),AND('스킬 500종'!I281&gt;0,OR('스킬 500종'!K281="CONTINUOUS_HEAL",'스킬 500종'!N281="CONTINUOUS_HEAL",'스킬 500종'!Q281="CONTINUOUS_HEAL",'스킬 500종'!T281="CONTINUOUS_HEAL"))),"회복 기준 오류",IF(AND(G281&lt;=H281+0.00001,'스킬 500종'!W281&gt;=1,'스킬 500종'!W281&lt;=5),"정상","초과"))</x:f>
        <x:v>정상</x:v>
      </x:c>
    </x:row>
    <x:row r="282" ht="30" customHeight="1">
      <x:c r="A282" s="1" t="str">
        <x:f>'스킬 500종'!A282</x:f>
        <x:v>SKILL_0276</x:v>
      </x:c>
      <x:c r="B282" s="1" t="str">
        <x:f>'스킬 500종'!B282</x:f>
        <x:v>스킬 쿨타임 초기화의 의식</x:v>
      </x:c>
      <x:c r="C282" s="1" t="n">
        <x:f>1</x:f>
        <x:v>1</x:v>
      </x:c>
      <x:c r="D282" s="9" t="n">
        <x:f>C282*1*('효과 규칙 55종'!H53*'스킬 500종'!L282*'스킬 500종'!M282/'효과 규칙 55종'!D53)</x:f>
        <x:v>3.1</x:v>
      </x:c>
      <x:c r="E282" s="9" t="n">
        <x:f>C282*SUM('스킬 500종'!E282:H282)</x:f>
        <x:v>0</x:v>
      </x:c>
      <x:c r="F282" s="9" t="n">
        <x:f>C282*1.4*SUM('스킬 500종'!I282:J282)</x:f>
        <x:v>0</x:v>
      </x:c>
      <x:c r="G282" s="9" t="n">
        <x:f>SUM(D282:F282)</x:f>
        <x:v>3.1</x:v>
      </x:c>
      <x:c r="H282" s="9" t="n">
        <x:f>1.1+0.8*'스킬 500종'!W282</x:f>
        <x:v>5.1</x:v>
      </x:c>
      <x:c r="I282" s="10" t="n">
        <x:f>G282/H282</x:f>
        <x:v>0.607843137254902</x:v>
      </x:c>
      <x:c r="J282" s="1" t="str">
        <x:f>IF(OR('스킬 500종'!I282&lt;0,'스킬 500종'!J282&lt;0,AND('스킬 500종'!I282&gt;0,'스킬 500종'!J282&gt;0),AND(OR('스킬 500종'!K282="HEAL",'스킬 500종'!N282="HEAL",'스킬 500종'!Q282="HEAL",'스킬 500종'!T282="HEAL"),'스킬 500종'!I282=0,'스킬 500종'!J282=0),AND('스킬 500종'!I282&gt;0,OR('스킬 500종'!K282="CONTINUOUS_HEAL",'스킬 500종'!N282="CONTINUOUS_HEAL",'스킬 500종'!Q282="CONTINUOUS_HEAL",'스킬 500종'!T282="CONTINUOUS_HEAL"))),"회복 기준 오류",IF(AND(G282&lt;=H282+0.00001,'스킬 500종'!W282&gt;=1,'스킬 500종'!W282&lt;=5),"정상","초과"))</x:f>
        <x:v>정상</x:v>
      </x:c>
    </x:row>
    <x:row r="283" ht="30" customHeight="1">
      <x:c r="A283" s="1" t="str">
        <x:f>'스킬 500종'!A283</x:f>
        <x:v>SKILL_0277</x:v>
      </x:c>
      <x:c r="B283" s="1" t="str">
        <x:f>'스킬 500종'!B283</x:f>
        <x:v>약화효과 해제의 의식</x:v>
      </x:c>
      <x:c r="C283" s="1" t="n">
        <x:f>1</x:f>
        <x:v>1</x:v>
      </x:c>
      <x:c r="D283" s="9" t="n">
        <x:f>C283*1*('효과 규칙 55종'!H57*'스킬 500종'!L283*'스킬 500종'!M283/'효과 규칙 55종'!D57)</x:f>
        <x:v>1.4</x:v>
      </x:c>
      <x:c r="E283" s="9" t="n">
        <x:f>C283*SUM('스킬 500종'!E283:H283)</x:f>
        <x:v>0</x:v>
      </x:c>
      <x:c r="F283" s="9" t="n">
        <x:f>C283*1.4*SUM('스킬 500종'!I283:J283)</x:f>
        <x:v>0</x:v>
      </x:c>
      <x:c r="G283" s="9" t="n">
        <x:f>SUM(D283:F283)</x:f>
        <x:v>1.4</x:v>
      </x:c>
      <x:c r="H283" s="9" t="n">
        <x:f>1.1+0.8*'스킬 500종'!W283</x:f>
        <x:v>1.9000000000000001</x:v>
      </x:c>
      <x:c r="I283" s="10" t="n">
        <x:f>G283/H283</x:f>
        <x:v>0.7368421052631577</x:v>
      </x:c>
      <x:c r="J283" s="1" t="str">
        <x:f>IF(OR('스킬 500종'!I283&lt;0,'스킬 500종'!J283&lt;0,AND('스킬 500종'!I283&gt;0,'스킬 500종'!J283&gt;0),AND(OR('스킬 500종'!K283="HEAL",'스킬 500종'!N283="HEAL",'스킬 500종'!Q283="HEAL",'스킬 500종'!T283="HEAL"),'스킬 500종'!I283=0,'스킬 500종'!J283=0),AND('스킬 500종'!I283&gt;0,OR('스킬 500종'!K283="CONTINUOUS_HEAL",'스킬 500종'!N283="CONTINUOUS_HEAL",'스킬 500종'!Q283="CONTINUOUS_HEAL",'스킬 500종'!T283="CONTINUOUS_HEAL"))),"회복 기준 오류",IF(AND(G283&lt;=H283+0.00001,'스킬 500종'!W283&gt;=1,'스킬 500종'!W283&lt;=5),"정상","초과"))</x:f>
        <x:v>정상</x:v>
      </x:c>
    </x:row>
    <x:row r="284" ht="30" customHeight="1">
      <x:c r="A284" s="1" t="str">
        <x:f>'스킬 500종'!A284</x:f>
        <x:v>SKILL_0278</x:v>
      </x:c>
      <x:c r="B284" s="1" t="str">
        <x:f>'스킬 500종'!B284</x:f>
        <x:v>강화효과 지속시간 증가의 의식</x:v>
      </x:c>
      <x:c r="C284" s="1" t="n">
        <x:f>1</x:f>
        <x:v>1</x:v>
      </x:c>
      <x:c r="D284" s="9" t="n">
        <x:f>C284*1*('효과 규칙 55종'!H58*'스킬 500종'!L284*'스킬 500종'!M284/'효과 규칙 55종'!D58)</x:f>
        <x:v>1</x:v>
      </x:c>
      <x:c r="E284" s="9" t="n">
        <x:f>C284*SUM('스킬 500종'!E284:H284)</x:f>
        <x:v>0</x:v>
      </x:c>
      <x:c r="F284" s="9" t="n">
        <x:f>C284*1.4*SUM('스킬 500종'!I284:J284)</x:f>
        <x:v>0</x:v>
      </x:c>
      <x:c r="G284" s="9" t="n">
        <x:f>SUM(D284:F284)</x:f>
        <x:v>1</x:v>
      </x:c>
      <x:c r="H284" s="9" t="n">
        <x:f>1.1+0.8*'스킬 500종'!W284</x:f>
        <x:v>1.9000000000000001</x:v>
      </x:c>
      <x:c r="I284" s="10" t="n">
        <x:f>G284/H284</x:f>
        <x:v>0.5263157894736842</x:v>
      </x:c>
      <x:c r="J284" s="1" t="str">
        <x:f>IF(OR('스킬 500종'!I284&lt;0,'스킬 500종'!J284&lt;0,AND('스킬 500종'!I284&gt;0,'스킬 500종'!J284&gt;0),AND(OR('스킬 500종'!K284="HEAL",'스킬 500종'!N284="HEAL",'스킬 500종'!Q284="HEAL",'스킬 500종'!T284="HEAL"),'스킬 500종'!I284=0,'스킬 500종'!J284=0),AND('스킬 500종'!I284&gt;0,OR('스킬 500종'!K284="CONTINUOUS_HEAL",'스킬 500종'!N284="CONTINUOUS_HEAL",'스킬 500종'!Q284="CONTINUOUS_HEAL",'스킬 500종'!T284="CONTINUOUS_HEAL"))),"회복 기준 오류",IF(AND(G284&lt;=H284+0.00001,'스킬 500종'!W284&gt;=1,'스킬 500종'!W284&lt;=5),"정상","초과"))</x:f>
        <x:v>정상</x:v>
      </x:c>
    </x:row>
    <x:row r="285" ht="30" customHeight="1">
      <x:c r="A285" s="1" t="str">
        <x:f>'스킬 500종'!A285</x:f>
        <x:v>SKILL_0279</x:v>
      </x:c>
      <x:c r="B285" s="1" t="str">
        <x:f>'스킬 500종'!B285</x:f>
        <x:v>스킬 쿨타임 증가 · 상처 · 약화효과 지속시간 증가의 일격</x:v>
      </x:c>
      <x:c r="C285" s="1" t="n">
        <x:f>1</x:f>
        <x:v>1</x:v>
      </x:c>
      <x:c r="D285" s="9" t="n">
        <x:f>C285*1.16*('효과 규칙 55종'!H54*'스킬 500종'!L285*'스킬 500종'!M285/'효과 규칙 55종'!D54+'효과 규칙 55종'!H32*'스킬 500종'!O285*'스킬 500종'!P285/'효과 규칙 55종'!D32+'효과 규칙 55종'!H60*'스킬 500종'!R285*'스킬 500종'!S285/'효과 규칙 55종'!D60)</x:f>
        <x:v>2.8675200000000003</x:v>
      </x:c>
      <x:c r="E285" s="9" t="n">
        <x:f>C285*SUM('스킬 500종'!E285:H285)</x:f>
        <x:v>1.1</x:v>
      </x:c>
      <x:c r="F285" s="9" t="n">
        <x:f>C285*1.4*SUM('스킬 500종'!I285:J285)</x:f>
        <x:v>0</x:v>
      </x:c>
      <x:c r="G285" s="9" t="n">
        <x:f>SUM(D285:F285)</x:f>
        <x:v>3.9675200000000004</x:v>
      </x:c>
      <x:c r="H285" s="9" t="n">
        <x:f>1.1+0.8*'스킬 500종'!W285</x:f>
        <x:v>4.300000000000001</x:v>
      </x:c>
      <x:c r="I285" s="10" t="n">
        <x:f>G285/H285</x:f>
        <x:v>0.9226790697674419</x:v>
      </x:c>
      <x:c r="J285" s="1" t="str">
        <x:f>IF(OR('스킬 500종'!I285&lt;0,'스킬 500종'!J285&lt;0,AND('스킬 500종'!I285&gt;0,'스킬 500종'!J285&gt;0),AND(OR('스킬 500종'!K285="HEAL",'스킬 500종'!N285="HEAL",'스킬 500종'!Q285="HEAL",'스킬 500종'!T285="HEAL"),'스킬 500종'!I285=0,'스킬 500종'!J285=0),AND('스킬 500종'!I285&gt;0,OR('스킬 500종'!K285="CONTINUOUS_HEAL",'스킬 500종'!N285="CONTINUOUS_HEAL",'스킬 500종'!Q285="CONTINUOUS_HEAL",'스킬 500종'!T285="CONTINUOUS_HEAL"))),"회복 기준 오류",IF(AND(G285&lt;=H285+0.00001,'스킬 500종'!W285&gt;=1,'스킬 500종'!W285&lt;=5),"정상","초과"))</x:f>
        <x:v>정상</x:v>
      </x:c>
    </x:row>
    <x:row r="286" ht="30" customHeight="1">
      <x:c r="A286" s="1" t="str">
        <x:f>'스킬 500종'!A286</x:f>
        <x:v>SKILL_0280</x:v>
      </x:c>
      <x:c r="B286" s="1" t="str">
        <x:f>'스킬 500종'!B286</x:f>
        <x:v>강화효과 지속시간 증가 · 피해 반사 · 스킬 쿨타임 초기화 · 보호막의 의식</x:v>
      </x:c>
      <x:c r="C286" s="1" t="n">
        <x:f>1</x:f>
        <x:v>1</x:v>
      </x:c>
      <x:c r="D286" s="9" t="n">
        <x:f>C286*1.24*('효과 규칙 55종'!H58*'스킬 500종'!L286*'스킬 500종'!M286/'효과 규칙 55종'!D58+'효과 규칙 55종'!H44*'스킬 500종'!O286*'스킬 500종'!P286/'효과 규칙 55종'!D44+'효과 규칙 55종'!H53*'스킬 500종'!R286*'스킬 500종'!S286/'효과 규칙 55종'!D53+'효과 규칙 55종'!H37*'스킬 500종'!U286*'스킬 500종'!V286/'효과 규칙 55종'!D37)</x:f>
        <x:v>4.209221333333333</x:v>
      </x:c>
      <x:c r="E286" s="9" t="n">
        <x:f>C286*SUM('스킬 500종'!E286:H286)</x:f>
        <x:v>0</x:v>
      </x:c>
      <x:c r="F286" s="9" t="n">
        <x:f>C286*1.4*SUM('스킬 500종'!I286:J286)</x:f>
        <x:v>0</x:v>
      </x:c>
      <x:c r="G286" s="9" t="n">
        <x:f>SUM(D286:F286)</x:f>
        <x:v>4.209221333333333</x:v>
      </x:c>
      <x:c r="H286" s="9" t="n">
        <x:f>1.1+0.8*'스킬 500종'!W286</x:f>
        <x:v>5.1</x:v>
      </x:c>
      <x:c r="I286" s="10" t="n">
        <x:f>G286/H286</x:f>
        <x:v>0.8253375163398692</x:v>
      </x:c>
      <x:c r="J286" s="1" t="str">
        <x:f>IF(OR('스킬 500종'!I286&lt;0,'스킬 500종'!J286&lt;0,AND('스킬 500종'!I286&gt;0,'스킬 500종'!J286&gt;0),AND(OR('스킬 500종'!K286="HEAL",'스킬 500종'!N286="HEAL",'스킬 500종'!Q286="HEAL",'스킬 500종'!T286="HEAL"),'스킬 500종'!I286=0,'스킬 500종'!J286=0),AND('스킬 500종'!I286&gt;0,OR('스킬 500종'!K286="CONTINUOUS_HEAL",'스킬 500종'!N286="CONTINUOUS_HEAL",'스킬 500종'!Q286="CONTINUOUS_HEAL",'스킬 500종'!T286="CONTINUOUS_HEAL"))),"회복 기준 오류",IF(AND(G286&lt;=H286+0.00001,'스킬 500종'!W286&gt;=1,'스킬 500종'!W286&lt;=5),"정상","초과"))</x:f>
        <x:v>정상</x:v>
      </x:c>
    </x:row>
    <x:row r="287" ht="30" customHeight="1">
      <x:c r="A287" s="1" t="str">
        <x:f>'스킬 500종'!A287</x:f>
        <x:v>SKILL_0281</x:v>
      </x:c>
      <x:c r="B287" s="1" t="str">
        <x:f>'스킬 500종'!B287</x:f>
        <x:v>방어력 증가 · 피해 감소의 의식</x:v>
      </x:c>
      <x:c r="C287" s="1" t="n">
        <x:f>1</x:f>
        <x:v>1</x:v>
      </x:c>
      <x:c r="D287" s="9" t="n">
        <x:f>C287*1.08*('효과 규칙 55종'!H9*'스킬 500종'!L287*'스킬 500종'!M287/'효과 규칙 55종'!D9+'효과 규칙 55종'!H42*'스킬 500종'!O287*'스킬 500종'!P287/'효과 규칙 55종'!D42)</x:f>
        <x:v>1.215</x:v>
      </x:c>
      <x:c r="E287" s="9" t="n">
        <x:f>C287*SUM('스킬 500종'!E287:H287)</x:f>
        <x:v>0</x:v>
      </x:c>
      <x:c r="F287" s="9" t="n">
        <x:f>C287*1.4*SUM('스킬 500종'!I287:J287)</x:f>
        <x:v>0</x:v>
      </x:c>
      <x:c r="G287" s="9" t="n">
        <x:f>SUM(D287:F287)</x:f>
        <x:v>1.215</x:v>
      </x:c>
      <x:c r="H287" s="9" t="n">
        <x:f>1.1+0.8*'스킬 500종'!W287</x:f>
        <x:v>1.9000000000000001</x:v>
      </x:c>
      <x:c r="I287" s="10" t="n">
        <x:f>G287/H287</x:f>
        <x:v>0.6394736842105263</x:v>
      </x:c>
      <x:c r="J287" s="1" t="str">
        <x:f>IF(OR('스킬 500종'!I287&lt;0,'스킬 500종'!J287&lt;0,AND('스킬 500종'!I287&gt;0,'스킬 500종'!J287&gt;0),AND(OR('스킬 500종'!K287="HEAL",'스킬 500종'!N287="HEAL",'스킬 500종'!Q287="HEAL",'스킬 500종'!T287="HEAL"),'스킬 500종'!I287=0,'스킬 500종'!J287=0),AND('스킬 500종'!I287&gt;0,OR('스킬 500종'!K287="CONTINUOUS_HEAL",'스킬 500종'!N287="CONTINUOUS_HEAL",'스킬 500종'!Q287="CONTINUOUS_HEAL",'스킬 500종'!T287="CONTINUOUS_HEAL"))),"회복 기준 오류",IF(AND(G287&lt;=H287+0.00001,'스킬 500종'!W287&gt;=1,'스킬 500종'!W287&lt;=5),"정상","초과"))</x:f>
        <x:v>정상</x:v>
      </x:c>
    </x:row>
    <x:row r="288" ht="30" customHeight="1">
      <x:c r="A288" s="1" t="str">
        <x:f>'스킬 500종'!A288</x:f>
        <x:v>SKILL_0282</x:v>
      </x:c>
      <x:c r="B288" s="1" t="str">
        <x:f>'스킬 500종'!B288</x:f>
        <x:v>불사 · 회피 증가 · 피해 감소 · 약화효과 해제의 의식</x:v>
      </x:c>
      <x:c r="C288" s="1" t="n">
        <x:f>1</x:f>
        <x:v>1</x:v>
      </x:c>
      <x:c r="D288" s="9" t="n">
        <x:f>C288*1.24*('효과 규칙 55종'!H39*'스킬 500종'!L288*'스킬 500종'!M288/'효과 규칙 55종'!D39+'효과 규칙 55종'!H15*'스킬 500종'!O288*'스킬 500종'!P288/'효과 규칙 55종'!D15+'효과 규칙 55종'!H42*'스킬 500종'!R288*'스킬 500종'!S288/'효과 규칙 55종'!D42+'효과 규칙 55종'!H57*'스킬 500종'!U288*'스킬 500종'!V288/'효과 규칙 55종'!D57)</x:f>
        <x:v>3.0748899999999995</x:v>
      </x:c>
      <x:c r="E288" s="9" t="n">
        <x:f>C288*SUM('스킬 500종'!E288:H288)</x:f>
        <x:v>0</x:v>
      </x:c>
      <x:c r="F288" s="9" t="n">
        <x:f>C288*1.4*SUM('스킬 500종'!I288:J288)</x:f>
        <x:v>0</x:v>
      </x:c>
      <x:c r="G288" s="9" t="n">
        <x:f>SUM(D288:F288)</x:f>
        <x:v>3.0748899999999995</x:v>
      </x:c>
      <x:c r="H288" s="9" t="n">
        <x:f>1.1+0.8*'스킬 500종'!W288</x:f>
        <x:v>3.5000000000000004</x:v>
      </x:c>
      <x:c r="I288" s="10" t="n">
        <x:f>G288/H288</x:f>
        <x:v>0.8785399999999998</x:v>
      </x:c>
      <x:c r="J288" s="1" t="str">
        <x:f>IF(OR('스킬 500종'!I288&lt;0,'스킬 500종'!J288&lt;0,AND('스킬 500종'!I288&gt;0,'스킬 500종'!J288&gt;0),AND(OR('스킬 500종'!K288="HEAL",'스킬 500종'!N288="HEAL",'스킬 500종'!Q288="HEAL",'스킬 500종'!T288="HEAL"),'스킬 500종'!I288=0,'스킬 500종'!J288=0),AND('스킬 500종'!I288&gt;0,OR('스킬 500종'!K288="CONTINUOUS_HEAL",'스킬 500종'!N288="CONTINUOUS_HEAL",'스킬 500종'!Q288="CONTINUOUS_HEAL",'스킬 500종'!T288="CONTINUOUS_HEAL"))),"회복 기준 오류",IF(AND(G288&lt;=H288+0.00001,'스킬 500종'!W288&gt;=1,'스킬 500종'!W288&lt;=5),"정상","초과"))</x:f>
        <x:v>정상</x:v>
      </x:c>
    </x:row>
    <x:row r="289" ht="30" customHeight="1">
      <x:c r="A289" s="1" t="str">
        <x:f>'스킬 500종'!A289</x:f>
        <x:v>SKILL_0283</x:v>
      </x:c>
      <x:c r="B289" s="1" t="str">
        <x:f>'스킬 500종'!B289</x:f>
        <x:v>강화효과 지속시간 증가 · 소생 · 지속 회복의 의식</x:v>
      </x:c>
      <x:c r="C289" s="1" t="n">
        <x:f>1</x:f>
        <x:v>1</x:v>
      </x:c>
      <x:c r="D289" s="9" t="n">
        <x:f>C289*1.16*('효과 규칙 55종'!H58*'스킬 500종'!L289*'스킬 500종'!M289/'효과 규칙 55종'!D58+'효과 규칙 55종'!H46*'스킬 500종'!O289*'스킬 500종'!P289/'효과 규칙 55종'!D46+'효과 규칙 55종'!H35*'스킬 500종'!R289*'스킬 500종'!S289/'효과 규칙 55종'!D35)</x:f>
        <x:v>5.02976</x:v>
      </x:c>
      <x:c r="E289" s="9" t="n">
        <x:f>C289*SUM('스킬 500종'!E289:H289)</x:f>
        <x:v>0</x:v>
      </x:c>
      <x:c r="F289" s="9" t="n">
        <x:f>C289*1.4*SUM('스킬 500종'!I289:J289)</x:f>
        <x:v>0</x:v>
      </x:c>
      <x:c r="G289" s="9" t="n">
        <x:f>SUM(D289:F289)</x:f>
        <x:v>5.02976</x:v>
      </x:c>
      <x:c r="H289" s="9" t="n">
        <x:f>1.1+0.8*'스킬 500종'!W289</x:f>
        <x:v>5.1</x:v>
      </x:c>
      <x:c r="I289" s="10" t="n">
        <x:f>G289/H289</x:f>
        <x:v>0.9862274509803921</x:v>
      </x:c>
      <x:c r="J289" s="1" t="str">
        <x:f>IF(OR('스킬 500종'!I289&lt;0,'스킬 500종'!J289&lt;0,AND('스킬 500종'!I289&gt;0,'스킬 500종'!J289&gt;0),AND(OR('스킬 500종'!K289="HEAL",'스킬 500종'!N289="HEAL",'스킬 500종'!Q289="HEAL",'스킬 500종'!T289="HEAL"),'스킬 500종'!I289=0,'스킬 500종'!J289=0),AND('스킬 500종'!I289&gt;0,OR('스킬 500종'!K289="CONTINUOUS_HEAL",'스킬 500종'!N289="CONTINUOUS_HEAL",'스킬 500종'!Q289="CONTINUOUS_HEAL",'스킬 500종'!T289="CONTINUOUS_HEAL"))),"회복 기준 오류",IF(AND(G289&lt;=H289+0.00001,'스킬 500종'!W289&gt;=1,'스킬 500종'!W289&lt;=5),"정상","초과"))</x:f>
        <x:v>정상</x:v>
      </x:c>
    </x:row>
    <x:row r="290" ht="30" customHeight="1">
      <x:c r="A290" s="1" t="str">
        <x:f>'스킬 500종'!A290</x:f>
        <x:v>SKILL_0284</x:v>
      </x:c>
      <x:c r="B290" s="1" t="str">
        <x:f>'스킬 500종'!B290</x:f>
        <x:v>공격력 증가 · 치명피해 증가의 의식</x:v>
      </x:c>
      <x:c r="C290" s="1" t="n">
        <x:f>1.6</x:f>
        <x:v>1.6</x:v>
      </x:c>
      <x:c r="D290" s="9" t="n">
        <x:f>C290*1.08*('효과 규칙 55종'!H7*'스킬 500종'!L290*'스킬 500종'!M290/'효과 규칙 55종'!D7+'효과 규칙 55종'!H12*'스킬 500종'!O290*'스킬 500종'!P290/'효과 규칙 55종'!D12)</x:f>
        <x:v>1.6329600000000004</x:v>
      </x:c>
      <x:c r="E290" s="9" t="n">
        <x:f>C290*SUM('스킬 500종'!E290:H290)</x:f>
        <x:v>0</x:v>
      </x:c>
      <x:c r="F290" s="9" t="n">
        <x:f>C290*1.4*SUM('스킬 500종'!I290:J290)</x:f>
        <x:v>0</x:v>
      </x:c>
      <x:c r="G290" s="9" t="n">
        <x:f>SUM(D290:F290)</x:f>
        <x:v>1.6329600000000004</x:v>
      </x:c>
      <x:c r="H290" s="9" t="n">
        <x:f>1.1+0.8*'스킬 500종'!W290</x:f>
        <x:v>1.9000000000000001</x:v>
      </x:c>
      <x:c r="I290" s="10" t="n">
        <x:f>G290/H290</x:f>
        <x:v>0.8594526315789476</x:v>
      </x:c>
      <x:c r="J290" s="1" t="str">
        <x:f>IF(OR('스킬 500종'!I290&lt;0,'스킬 500종'!J290&lt;0,AND('스킬 500종'!I290&gt;0,'스킬 500종'!J290&gt;0),AND(OR('스킬 500종'!K290="HEAL",'스킬 500종'!N290="HEAL",'스킬 500종'!Q290="HEAL",'스킬 500종'!T290="HEAL"),'스킬 500종'!I290=0,'스킬 500종'!J290=0),AND('스킬 500종'!I290&gt;0,OR('스킬 500종'!K290="CONTINUOUS_HEAL",'스킬 500종'!N290="CONTINUOUS_HEAL",'스킬 500종'!Q290="CONTINUOUS_HEAL",'스킬 500종'!T290="CONTINUOUS_HEAL"))),"회복 기준 오류",IF(AND(G290&lt;=H290+0.00001,'스킬 500종'!W290&gt;=1,'스킬 500종'!W290&lt;=5),"정상","초과"))</x:f>
        <x:v>정상</x:v>
      </x:c>
    </x:row>
    <x:row r="291" ht="30" customHeight="1">
      <x:c r="A291" s="1" t="str">
        <x:f>'스킬 500종'!A291</x:f>
        <x:v>SKILL_0285</x:v>
      </x:c>
      <x:c r="B291" s="1" t="str">
        <x:f>'스킬 500종'!B291</x:f>
        <x:v>명중 증가 · 회피 증가 · 속도 증가의 의식</x:v>
      </x:c>
      <x:c r="C291" s="1" t="n">
        <x:f>1</x:f>
        <x:v>1</x:v>
      </x:c>
      <x:c r="D291" s="9" t="n">
        <x:f>C291*1.16*('효과 규칙 55종'!H17*'스킬 500종'!L291*'스킬 500종'!M291/'효과 규칙 55종'!D17+'효과 규칙 55종'!H15*'스킬 500종'!O291*'스킬 500종'!P291/'효과 규칙 55종'!D15+'효과 규칙 55종'!H10*'스킬 500종'!R291*'스킬 500종'!S291/'효과 규칙 55종'!D10)</x:f>
        <x:v>1.3363200000000002</x:v>
      </x:c>
      <x:c r="E291" s="9" t="n">
        <x:f>C291*SUM('스킬 500종'!E291:H291)</x:f>
        <x:v>0</x:v>
      </x:c>
      <x:c r="F291" s="9" t="n">
        <x:f>C291*1.4*SUM('스킬 500종'!I291:J291)</x:f>
        <x:v>0</x:v>
      </x:c>
      <x:c r="G291" s="9" t="n">
        <x:f>SUM(D291:F291)</x:f>
        <x:v>1.3363200000000002</x:v>
      </x:c>
      <x:c r="H291" s="9" t="n">
        <x:f>1.1+0.8*'스킬 500종'!W291</x:f>
        <x:v>1.9000000000000001</x:v>
      </x:c>
      <x:c r="I291" s="10" t="n">
        <x:f>G291/H291</x:f>
        <x:v>0.7033263157894737</x:v>
      </x:c>
      <x:c r="J291" s="1" t="str">
        <x:f>IF(OR('스킬 500종'!I291&lt;0,'스킬 500종'!J291&lt;0,AND('스킬 500종'!I291&gt;0,'스킬 500종'!J291&gt;0),AND(OR('스킬 500종'!K291="HEAL",'스킬 500종'!N291="HEAL",'스킬 500종'!Q291="HEAL",'스킬 500종'!T291="HEAL"),'스킬 500종'!I291=0,'스킬 500종'!J291=0),AND('스킬 500종'!I291&gt;0,OR('스킬 500종'!K291="CONTINUOUS_HEAL",'스킬 500종'!N291="CONTINUOUS_HEAL",'스킬 500종'!Q291="CONTINUOUS_HEAL",'스킬 500종'!T291="CONTINUOUS_HEAL"))),"회복 기준 오류",IF(AND(G291&lt;=H291+0.00001,'스킬 500종'!W291&gt;=1,'스킬 500종'!W291&lt;=5),"정상","초과"))</x:f>
        <x:v>정상</x:v>
      </x:c>
    </x:row>
    <x:row r="292" ht="30" customHeight="1">
      <x:c r="A292" s="1" t="str">
        <x:f>'스킬 500종'!A292</x:f>
        <x:v>SKILL_0286</x:v>
      </x:c>
      <x:c r="B292" s="1" t="str">
        <x:f>'스킬 500종'!B292</x:f>
        <x:v>강화효과 지속시간 증가 · 피해 반사의 의식</x:v>
      </x:c>
      <x:c r="C292" s="1" t="n">
        <x:f>1</x:f>
        <x:v>1</x:v>
      </x:c>
      <x:c r="D292" s="9" t="n">
        <x:f>C292*1.08*('효과 규칙 55종'!H58*'스킬 500종'!L292*'스킬 500종'!M292/'효과 규칙 55종'!D58+'효과 규칙 55종'!H44*'스킬 500종'!O292*'스킬 500종'!P292/'효과 규칙 55종'!D44)</x:f>
        <x:v>1.5552000000000001</x:v>
      </x:c>
      <x:c r="E292" s="9" t="n">
        <x:f>C292*SUM('스킬 500종'!E292:H292)</x:f>
        <x:v>0</x:v>
      </x:c>
      <x:c r="F292" s="9" t="n">
        <x:f>C292*1.4*SUM('스킬 500종'!I292:J292)</x:f>
        <x:v>0</x:v>
      </x:c>
      <x:c r="G292" s="9" t="n">
        <x:f>SUM(D292:F292)</x:f>
        <x:v>1.5552000000000001</x:v>
      </x:c>
      <x:c r="H292" s="9" t="n">
        <x:f>1.1+0.8*'스킬 500종'!W292</x:f>
        <x:v>1.9000000000000001</x:v>
      </x:c>
      <x:c r="I292" s="10" t="n">
        <x:f>G292/H292</x:f>
        <x:v>0.8185263157894737</x:v>
      </x:c>
      <x:c r="J292" s="1" t="str">
        <x:f>IF(OR('스킬 500종'!I292&lt;0,'스킬 500종'!J292&lt;0,AND('스킬 500종'!I292&gt;0,'스킬 500종'!J292&gt;0),AND(OR('스킬 500종'!K292="HEAL",'스킬 500종'!N292="HEAL",'스킬 500종'!Q292="HEAL",'스킬 500종'!T292="HEAL"),'스킬 500종'!I292=0,'스킬 500종'!J292=0),AND('스킬 500종'!I292&gt;0,OR('스킬 500종'!K292="CONTINUOUS_HEAL",'스킬 500종'!N292="CONTINUOUS_HEAL",'스킬 500종'!Q292="CONTINUOUS_HEAL",'스킬 500종'!T292="CONTINUOUS_HEAL"))),"회복 기준 오류",IF(AND(G292&lt;=H292+0.00001,'스킬 500종'!W292&gt;=1,'스킬 500종'!W292&lt;=5),"정상","초과"))</x:f>
        <x:v>정상</x:v>
      </x:c>
    </x:row>
    <x:row r="293" ht="30" customHeight="1">
      <x:c r="A293" s="1" t="str">
        <x:f>'스킬 500종'!A293</x:f>
        <x:v>SKILL_0287</x:v>
      </x:c>
      <x:c r="B293" s="1" t="str">
        <x:f>'스킬 500종'!B293</x:f>
        <x:v>강화효과 지속시간 증가 · 스킬 쿨타임 초기화 · 회피 증가의 의식</x:v>
      </x:c>
      <x:c r="C293" s="1" t="n">
        <x:f>1</x:f>
        <x:v>1</x:v>
      </x:c>
      <x:c r="D293" s="9" t="n">
        <x:f>C293*1.16*('효과 규칙 55종'!H58*'스킬 500종'!L293*'스킬 500종'!M293/'효과 규칙 55종'!D58+'효과 규칙 55종'!H53*'스킬 500종'!O293*'스킬 500종'!P293/'효과 규칙 55종'!D53+'효과 규칙 55종'!H15*'스킬 500종'!R293*'스킬 500종'!S293/'효과 규칙 55종'!D15)</x:f>
        <x:v>4.3616</x:v>
      </x:c>
      <x:c r="E293" s="9" t="n">
        <x:f>C293*SUM('스킬 500종'!E293:H293)</x:f>
        <x:v>0</x:v>
      </x:c>
      <x:c r="F293" s="9" t="n">
        <x:f>C293*1.4*SUM('스킬 500종'!I293:J293)</x:f>
        <x:v>0</x:v>
      </x:c>
      <x:c r="G293" s="9" t="n">
        <x:f>SUM(D293:F293)</x:f>
        <x:v>4.3616</x:v>
      </x:c>
      <x:c r="H293" s="9" t="n">
        <x:f>1.1+0.8*'스킬 500종'!W293</x:f>
        <x:v>5.1</x:v>
      </x:c>
      <x:c r="I293" s="10" t="n">
        <x:f>G293/H293</x:f>
        <x:v>0.85521568627451</x:v>
      </x:c>
      <x:c r="J293" s="1" t="str">
        <x:f>IF(OR('스킬 500종'!I293&lt;0,'스킬 500종'!J293&lt;0,AND('스킬 500종'!I293&gt;0,'스킬 500종'!J293&gt;0),AND(OR('스킬 500종'!K293="HEAL",'스킬 500종'!N293="HEAL",'스킬 500종'!Q293="HEAL",'스킬 500종'!T293="HEAL"),'스킬 500종'!I293=0,'스킬 500종'!J293=0),AND('스킬 500종'!I293&gt;0,OR('스킬 500종'!K293="CONTINUOUS_HEAL",'스킬 500종'!N293="CONTINUOUS_HEAL",'스킬 500종'!Q293="CONTINUOUS_HEAL",'스킬 500종'!T293="CONTINUOUS_HEAL"))),"회복 기준 오류",IF(AND(G293&lt;=H293+0.00001,'스킬 500종'!W293&gt;=1,'스킬 500종'!W293&lt;=5),"정상","초과"))</x:f>
        <x:v>정상</x:v>
      </x:c>
    </x:row>
    <x:row r="294" ht="30" customHeight="1">
      <x:c r="A294" s="1" t="str">
        <x:f>'스킬 500종'!A294</x:f>
        <x:v>SKILL_0288</x:v>
      </x:c>
      <x:c r="B294" s="1" t="str">
        <x:f>'스킬 500종'!B294</x:f>
        <x:v>속도 증가 · 치명저항 증가 · 치명피해 증가의 의식</x:v>
      </x:c>
      <x:c r="C294" s="1" t="n">
        <x:f>1.6</x:f>
        <x:v>1.6</x:v>
      </x:c>
      <x:c r="D294" s="9" t="n">
        <x:f>C294*1.16*('효과 규칙 55종'!H10*'스킬 500종'!L294*'스킬 500종'!M294/'효과 규칙 55종'!D10+'효과 규칙 55종'!H16*'스킬 500종'!O294*'스킬 500종'!P294/'효과 규칙 55종'!D16+'효과 규칙 55종'!H12*'스킬 500종'!R294*'스킬 500종'!S294/'효과 규칙 55종'!D12)</x:f>
        <x:v>2.07872</x:v>
      </x:c>
      <x:c r="E294" s="9" t="n">
        <x:f>C294*SUM('스킬 500종'!E294:H294)</x:f>
        <x:v>0</x:v>
      </x:c>
      <x:c r="F294" s="9" t="n">
        <x:f>C294*1.4*SUM('스킬 500종'!I294:J294)</x:f>
        <x:v>0</x:v>
      </x:c>
      <x:c r="G294" s="9" t="n">
        <x:f>SUM(D294:F294)</x:f>
        <x:v>2.07872</x:v>
      </x:c>
      <x:c r="H294" s="9" t="n">
        <x:f>1.1+0.8*'스킬 500종'!W294</x:f>
        <x:v>2.7</x:v>
      </x:c>
      <x:c r="I294" s="10" t="n">
        <x:f>G294/H294</x:f>
        <x:v>0.7698962962962963</x:v>
      </x:c>
      <x:c r="J294" s="1" t="str">
        <x:f>IF(OR('스킬 500종'!I294&lt;0,'스킬 500종'!J294&lt;0,AND('스킬 500종'!I294&gt;0,'스킬 500종'!J294&gt;0),AND(OR('스킬 500종'!K294="HEAL",'스킬 500종'!N294="HEAL",'스킬 500종'!Q294="HEAL",'스킬 500종'!T294="HEAL"),'스킬 500종'!I294=0,'스킬 500종'!J294=0),AND('스킬 500종'!I294&gt;0,OR('스킬 500종'!K294="CONTINUOUS_HEAL",'스킬 500종'!N294="CONTINUOUS_HEAL",'스킬 500종'!Q294="CONTINUOUS_HEAL",'스킬 500종'!T294="CONTINUOUS_HEAL"))),"회복 기준 오류",IF(AND(G294&lt;=H294+0.00001,'스킬 500종'!W294&gt;=1,'스킬 500종'!W294&lt;=5),"정상","초과"))</x:f>
        <x:v>정상</x:v>
      </x:c>
    </x:row>
    <x:row r="295" ht="30" customHeight="1">
      <x:c r="A295" s="1" t="str">
        <x:f>'스킬 500종'!A295</x:f>
        <x:v>SKILL_0289</x:v>
      </x:c>
      <x:c r="B295" s="1" t="str">
        <x:f>'스킬 500종'!B295</x:f>
        <x:v>스킬 쿨타임 초기화 · 치명피해 증가 · 속도 증가의 의식</x:v>
      </x:c>
      <x:c r="C295" s="1" t="n">
        <x:f>1</x:f>
        <x:v>1</x:v>
      </x:c>
      <x:c r="D295" s="9" t="n">
        <x:f>C295*1.16*('효과 규칙 55종'!H53*'스킬 500종'!L295*'스킬 500종'!M295/'효과 규칙 55종'!D53+'효과 규칙 55종'!H12*'스킬 500종'!O295*'스킬 500종'!P295/'효과 규칙 55종'!D12+'효과 규칙 55종'!H10*'스킬 500종'!R295*'스킬 500종'!S295/'효과 규칙 55종'!D10)</x:f>
        <x:v>3.73056</x:v>
      </x:c>
      <x:c r="E295" s="9" t="n">
        <x:f>C295*SUM('스킬 500종'!E295:H295)</x:f>
        <x:v>0</x:v>
      </x:c>
      <x:c r="F295" s="9" t="n">
        <x:f>C295*1.4*SUM('스킬 500종'!I295:J295)</x:f>
        <x:v>0</x:v>
      </x:c>
      <x:c r="G295" s="9" t="n">
        <x:f>SUM(D295:F295)</x:f>
        <x:v>3.73056</x:v>
      </x:c>
      <x:c r="H295" s="9" t="n">
        <x:f>1.1+0.8*'스킬 500종'!W295</x:f>
        <x:v>5.1</x:v>
      </x:c>
      <x:c r="I295" s="10" t="n">
        <x:f>G295/H295</x:f>
        <x:v>0.7314823529411766</x:v>
      </x:c>
      <x:c r="J295" s="1" t="str">
        <x:f>IF(OR('스킬 500종'!I295&lt;0,'스킬 500종'!J295&lt;0,AND('스킬 500종'!I295&gt;0,'스킬 500종'!J295&gt;0),AND(OR('스킬 500종'!K295="HEAL",'스킬 500종'!N295="HEAL",'스킬 500종'!Q295="HEAL",'스킬 500종'!T295="HEAL"),'스킬 500종'!I295=0,'스킬 500종'!J295=0),AND('스킬 500종'!I295&gt;0,OR('스킬 500종'!K295="CONTINUOUS_HEAL",'스킬 500종'!N295="CONTINUOUS_HEAL",'스킬 500종'!Q295="CONTINUOUS_HEAL",'스킬 500종'!T295="CONTINUOUS_HEAL"))),"회복 기준 오류",IF(AND(G295&lt;=H295+0.00001,'스킬 500종'!W295&gt;=1,'스킬 500종'!W295&lt;=5),"정상","초과"))</x:f>
        <x:v>정상</x:v>
      </x:c>
    </x:row>
    <x:row r="296" ht="30" customHeight="1">
      <x:c r="A296" s="1" t="str">
        <x:f>'스킬 500종'!A296</x:f>
        <x:v>SKILL_0290</x:v>
      </x:c>
      <x:c r="B296" s="1" t="str">
        <x:f>'스킬 500종'!B296</x:f>
        <x:v>생명력 회복 · 명중 증가 · 치명피해 증가의 의식</x:v>
      </x:c>
      <x:c r="C296" s="1" t="n">
        <x:f>1</x:f>
        <x:v>1</x:v>
      </x:c>
      <x:c r="D296" s="9" t="n">
        <x:f>C296*1.16*('효과 규칙 55종'!H34*'스킬 500종'!L296*'스킬 500종'!M296/'효과 규칙 55종'!D34+'효과 규칙 55종'!H17*'스킬 500종'!O296*'스킬 500종'!P296/'효과 규칙 55종'!D17+'효과 규칙 55종'!H12*'스킬 500종'!R296*'스킬 500종'!S296/'효과 규칙 55종'!D12)</x:f>
        <x:v>0.6681600000000001</x:v>
      </x:c>
      <x:c r="E296" s="9" t="n">
        <x:f>C296*SUM('스킬 500종'!E296:H296)</x:f>
        <x:v>0</x:v>
      </x:c>
      <x:c r="F296" s="9" t="n">
        <x:f>C296*1.4*SUM('스킬 500종'!I296:J296)</x:f>
        <x:v>0.35</x:v>
      </x:c>
      <x:c r="G296" s="9" t="n">
        <x:f>SUM(D296:F296)</x:f>
        <x:v>1.01816</x:v>
      </x:c>
      <x:c r="H296" s="9" t="n">
        <x:f>1.1+0.8*'스킬 500종'!W296</x:f>
        <x:v>1.9000000000000001</x:v>
      </x:c>
      <x:c r="I296" s="10" t="n">
        <x:f>G296/H296</x:f>
        <x:v>0.5358736842105263</x:v>
      </x:c>
      <x:c r="J296" s="1" t="str">
        <x:f>IF(OR('스킬 500종'!I296&lt;0,'스킬 500종'!J296&lt;0,AND('스킬 500종'!I296&gt;0,'스킬 500종'!J296&gt;0),AND(OR('스킬 500종'!K296="HEAL",'스킬 500종'!N296="HEAL",'스킬 500종'!Q296="HEAL",'스킬 500종'!T296="HEAL"),'스킬 500종'!I296=0,'스킬 500종'!J296=0),AND('스킬 500종'!I296&gt;0,OR('스킬 500종'!K296="CONTINUOUS_HEAL",'스킬 500종'!N296="CONTINUOUS_HEAL",'스킬 500종'!Q296="CONTINUOUS_HEAL",'스킬 500종'!T296="CONTINUOUS_HEAL"))),"회복 기준 오류",IF(AND(G296&lt;=H296+0.00001,'스킬 500종'!W296&gt;=1,'스킬 500종'!W296&lt;=5),"정상","초과"))</x:f>
        <x:v>정상</x:v>
      </x:c>
    </x:row>
    <x:row r="297" ht="30" customHeight="1">
      <x:c r="A297" s="1" t="str">
        <x:f>'스킬 500종'!A297</x:f>
        <x:v>SKILL_0291</x:v>
      </x:c>
      <x:c r="B297" s="1" t="str">
        <x:f>'스킬 500종'!B297</x:f>
        <x:v>보호막 · 피해 감소의 의식</x:v>
      </x:c>
      <x:c r="C297" s="1" t="n">
        <x:f>2.4</x:f>
        <x:v>2.4</x:v>
      </x:c>
      <x:c r="D297" s="9" t="n">
        <x:f>C297*1.08*('효과 규칙 55종'!H37*'스킬 500종'!L297*'스킬 500종'!M297/'효과 규칙 55종'!D37+'효과 규칙 55종'!H42*'스킬 500종'!O297*'스킬 500종'!P297/'효과 규칙 55종'!D42)</x:f>
        <x:v>2.916</x:v>
      </x:c>
      <x:c r="E297" s="9" t="n">
        <x:f>C297*SUM('스킬 500종'!E297:H297)</x:f>
        <x:v>0</x:v>
      </x:c>
      <x:c r="F297" s="9" t="n">
        <x:f>C297*1.4*SUM('스킬 500종'!I297:J297)</x:f>
        <x:v>0</x:v>
      </x:c>
      <x:c r="G297" s="9" t="n">
        <x:f>SUM(D297:F297)</x:f>
        <x:v>2.916</x:v>
      </x:c>
      <x:c r="H297" s="9" t="n">
        <x:f>1.1+0.8*'스킬 500종'!W297</x:f>
        <x:v>3.5000000000000004</x:v>
      </x:c>
      <x:c r="I297" s="10" t="n">
        <x:f>G297/H297</x:f>
        <x:v>0.833142857142857</x:v>
      </x:c>
      <x:c r="J297" s="1" t="str">
        <x:f>IF(OR('스킬 500종'!I297&lt;0,'스킬 500종'!J297&lt;0,AND('스킬 500종'!I297&gt;0,'스킬 500종'!J297&gt;0),AND(OR('스킬 500종'!K297="HEAL",'스킬 500종'!N297="HEAL",'스킬 500종'!Q297="HEAL",'스킬 500종'!T297="HEAL"),'스킬 500종'!I297=0,'스킬 500종'!J297=0),AND('스킬 500종'!I297&gt;0,OR('스킬 500종'!K297="CONTINUOUS_HEAL",'스킬 500종'!N297="CONTINUOUS_HEAL",'스킬 500종'!Q297="CONTINUOUS_HEAL",'스킬 500종'!T297="CONTINUOUS_HEAL"))),"회복 기준 오류",IF(AND(G297&lt;=H297+0.00001,'스킬 500종'!W297&gt;=1,'스킬 500종'!W297&lt;=5),"정상","초과"))</x:f>
        <x:v>정상</x:v>
      </x:c>
    </x:row>
    <x:row r="298" ht="30" customHeight="1">
      <x:c r="A298" s="1" t="str">
        <x:f>'스킬 500종'!A298</x:f>
        <x:v>SKILL_0292</x:v>
      </x:c>
      <x:c r="B298" s="1" t="str">
        <x:f>'스킬 500종'!B298</x:f>
        <x:v>피해 분담 · 무적의 의식</x:v>
      </x:c>
      <x:c r="C298" s="1" t="n">
        <x:f>1</x:f>
        <x:v>1</x:v>
      </x:c>
      <x:c r="D298" s="9" t="n">
        <x:f>C298*1.08*('효과 규칙 55종'!H43*'스킬 500종'!L298*'스킬 500종'!M298/'효과 규칙 55종'!D43+'효과 규칙 55종'!H38*'스킬 500종'!O298*'스킬 500종'!P298/'효과 규칙 55종'!D38)</x:f>
        <x:v>2.9160000000000004</x:v>
      </x:c>
      <x:c r="E298" s="9" t="n">
        <x:f>C298*SUM('스킬 500종'!E298:H298)</x:f>
        <x:v>0</x:v>
      </x:c>
      <x:c r="F298" s="9" t="n">
        <x:f>C298*1.4*SUM('스킬 500종'!I298:J298)</x:f>
        <x:v>0</x:v>
      </x:c>
      <x:c r="G298" s="9" t="n">
        <x:f>SUM(D298:F298)</x:f>
        <x:v>2.9160000000000004</x:v>
      </x:c>
      <x:c r="H298" s="9" t="n">
        <x:f>1.1+0.8*'스킬 500종'!W298</x:f>
        <x:v>3.5000000000000004</x:v>
      </x:c>
      <x:c r="I298" s="10" t="n">
        <x:f>G298/H298</x:f>
        <x:v>0.8331428571428572</x:v>
      </x:c>
      <x:c r="J298" s="1" t="str">
        <x:f>IF(OR('스킬 500종'!I298&lt;0,'스킬 500종'!J298&lt;0,AND('스킬 500종'!I298&gt;0,'스킬 500종'!J298&gt;0),AND(OR('스킬 500종'!K298="HEAL",'스킬 500종'!N298="HEAL",'스킬 500종'!Q298="HEAL",'스킬 500종'!T298="HEAL"),'스킬 500종'!I298=0,'스킬 500종'!J298=0),AND('스킬 500종'!I298&gt;0,OR('스킬 500종'!K298="CONTINUOUS_HEAL",'스킬 500종'!N298="CONTINUOUS_HEAL",'스킬 500종'!Q298="CONTINUOUS_HEAL",'스킬 500종'!T298="CONTINUOUS_HEAL"))),"회복 기준 오류",IF(AND(G298&lt;=H298+0.00001,'스킬 500종'!W298&gt;=1,'스킬 500종'!W298&lt;=5),"정상","초과"))</x:f>
        <x:v>정상</x:v>
      </x:c>
    </x:row>
    <x:row r="299" ht="30" customHeight="1">
      <x:c r="A299" s="1" t="str">
        <x:f>'스킬 500종'!A299</x:f>
        <x:v>SKILL_0293</x:v>
      </x:c>
      <x:c r="B299" s="1" t="str">
        <x:f>'스킬 500종'!B299</x:f>
        <x:v>치명저항 증가 · 약화효과 해제 · 반격 · 면역의 의식</x:v>
      </x:c>
      <x:c r="C299" s="1" t="n">
        <x:f>1</x:f>
        <x:v>1</x:v>
      </x:c>
      <x:c r="D299" s="9" t="n">
        <x:f>C299*1.24*('효과 규칙 55종'!H16*'스킬 500종'!L299*'스킬 500종'!M299/'효과 규칙 55종'!D16+'효과 규칙 55종'!H57*'스킬 500종'!O299*'스킬 500종'!P299/'효과 규칙 55종'!D57+'효과 규칙 55종'!H51*'스킬 500종'!R299*'스킬 500종'!S299/'효과 규칙 55종'!D51+'효과 규칙 55종'!H40*'스킬 500종'!U299*'스킬 500종'!V299/'효과 규칙 55종'!D40)</x:f>
        <x:v>2.2513316</x:v>
      </x:c>
      <x:c r="E299" s="9" t="n">
        <x:f>C299*SUM('스킬 500종'!E299:H299)</x:f>
        <x:v>0</x:v>
      </x:c>
      <x:c r="F299" s="9" t="n">
        <x:f>C299*1.4*SUM('스킬 500종'!I299:J299)</x:f>
        <x:v>0</x:v>
      </x:c>
      <x:c r="G299" s="9" t="n">
        <x:f>SUM(D299:F299)</x:f>
        <x:v>2.2513316</x:v>
      </x:c>
      <x:c r="H299" s="9" t="n">
        <x:f>1.1+0.8*'스킬 500종'!W299</x:f>
        <x:v>2.7</x:v>
      </x:c>
      <x:c r="I299" s="10" t="n">
        <x:f>G299/H299</x:f>
        <x:v>0.8338265185185184</x:v>
      </x:c>
      <x:c r="J299" s="1" t="str">
        <x:f>IF(OR('스킬 500종'!I299&lt;0,'스킬 500종'!J299&lt;0,AND('스킬 500종'!I299&gt;0,'스킬 500종'!J299&gt;0),AND(OR('스킬 500종'!K299="HEAL",'스킬 500종'!N299="HEAL",'스킬 500종'!Q299="HEAL",'스킬 500종'!T299="HEAL"),'스킬 500종'!I299=0,'스킬 500종'!J299=0),AND('스킬 500종'!I299&gt;0,OR('스킬 500종'!K299="CONTINUOUS_HEAL",'스킬 500종'!N299="CONTINUOUS_HEAL",'스킬 500종'!Q299="CONTINUOUS_HEAL",'스킬 500종'!T299="CONTINUOUS_HEAL"))),"회복 기준 오류",IF(AND(G299&lt;=H299+0.00001,'스킬 500종'!W299&gt;=1,'스킬 500종'!W299&lt;=5),"정상","초과"))</x:f>
        <x:v>정상</x:v>
      </x:c>
    </x:row>
    <x:row r="300" ht="30" customHeight="1">
      <x:c r="A300" s="1" t="str">
        <x:f>'스킬 500종'!A300</x:f>
        <x:v>SKILL_0294</x:v>
      </x:c>
      <x:c r="B300" s="1" t="str">
        <x:f>'스킬 500종'!B300</x:f>
        <x:v>소생 · 지속 회복 · 약화효과 해제의 의식</x:v>
      </x:c>
      <x:c r="C300" s="1" t="n">
        <x:f>1</x:f>
        <x:v>1</x:v>
      </x:c>
      <x:c r="D300" s="9" t="n">
        <x:f>C300*1.16*('효과 규칙 55종'!H46*'스킬 500종'!L300*'스킬 500종'!M300/'효과 규칙 55종'!D46+'효과 규칙 55종'!H35*'스킬 500종'!O300*'스킬 500종'!P300/'효과 규칙 55종'!D35+'효과 규칙 55종'!H57*'스킬 500종'!R300*'스킬 500종'!S300/'효과 규칙 55종'!D57)</x:f>
        <x:v>5.001919999999999</x:v>
      </x:c>
      <x:c r="E300" s="9" t="n">
        <x:f>C300*SUM('스킬 500종'!E300:H300)</x:f>
        <x:v>0</x:v>
      </x:c>
      <x:c r="F300" s="9" t="n">
        <x:f>C300*1.4*SUM('스킬 500종'!I300:J300)</x:f>
        <x:v>0</x:v>
      </x:c>
      <x:c r="G300" s="9" t="n">
        <x:f>SUM(D300:F300)</x:f>
        <x:v>5.001919999999999</x:v>
      </x:c>
      <x:c r="H300" s="9" t="n">
        <x:f>1.1+0.8*'스킬 500종'!W300</x:f>
        <x:v>5.1</x:v>
      </x:c>
      <x:c r="I300" s="10" t="n">
        <x:f>G300/H300</x:f>
        <x:v>0.9807686274509804</x:v>
      </x:c>
      <x:c r="J300" s="1" t="str">
        <x:f>IF(OR('스킬 500종'!I300&lt;0,'스킬 500종'!J300&lt;0,AND('스킬 500종'!I300&gt;0,'스킬 500종'!J300&gt;0),AND(OR('스킬 500종'!K300="HEAL",'스킬 500종'!N300="HEAL",'스킬 500종'!Q300="HEAL",'스킬 500종'!T300="HEAL"),'스킬 500종'!I300=0,'스킬 500종'!J300=0),AND('스킬 500종'!I300&gt;0,OR('스킬 500종'!K300="CONTINUOUS_HEAL",'스킬 500종'!N300="CONTINUOUS_HEAL",'스킬 500종'!Q300="CONTINUOUS_HEAL",'스킬 500종'!T300="CONTINUOUS_HEAL"))),"회복 기준 오류",IF(AND(G300&lt;=H300+0.00001,'스킬 500종'!W300&gt;=1,'스킬 500종'!W300&lt;=5),"정상","초과"))</x:f>
        <x:v>정상</x:v>
      </x:c>
    </x:row>
    <x:row r="301" ht="30" customHeight="1">
      <x:c r="A301" s="1" t="str">
        <x:f>'스킬 500종'!A301</x:f>
        <x:v>SKILL_0295</x:v>
      </x:c>
      <x:c r="B301" s="1" t="str">
        <x:f>'스킬 500종'!B301</x:f>
        <x:v>불사 · 반격 · 속도 증가의 의식</x:v>
      </x:c>
      <x:c r="C301" s="1" t="n">
        <x:f>2.4</x:f>
        <x:v>2.4</x:v>
      </x:c>
      <x:c r="D301" s="9" t="n">
        <x:f>C301*1.16*('효과 규칙 55종'!H39*'스킬 500종'!L301*'스킬 500종'!M301/'효과 규칙 55종'!D39+'효과 규칙 55종'!H51*'스킬 500종'!O301*'스킬 500종'!P301/'효과 규칙 55종'!D51+'효과 규칙 55종'!H10*'스킬 500종'!R301*'스킬 500종'!S301/'효과 규칙 55종'!D10)</x:f>
        <x:v>4.74672</x:v>
      </x:c>
      <x:c r="E301" s="9" t="n">
        <x:f>C301*SUM('스킬 500종'!E301:H301)</x:f>
        <x:v>0</x:v>
      </x:c>
      <x:c r="F301" s="9" t="n">
        <x:f>C301*1.4*SUM('스킬 500종'!I301:J301)</x:f>
        <x:v>0</x:v>
      </x:c>
      <x:c r="G301" s="9" t="n">
        <x:f>SUM(D301:F301)</x:f>
        <x:v>4.74672</x:v>
      </x:c>
      <x:c r="H301" s="9" t="n">
        <x:f>1.1+0.8*'스킬 500종'!W301</x:f>
        <x:v>5.1</x:v>
      </x:c>
      <x:c r="I301" s="10" t="n">
        <x:f>G301/H301</x:f>
        <x:v>0.9307294117647059</x:v>
      </x:c>
      <x:c r="J301" s="1" t="str">
        <x:f>IF(OR('스킬 500종'!I301&lt;0,'스킬 500종'!J301&lt;0,AND('스킬 500종'!I301&gt;0,'스킬 500종'!J301&gt;0),AND(OR('스킬 500종'!K301="HEAL",'스킬 500종'!N301="HEAL",'스킬 500종'!Q301="HEAL",'스킬 500종'!T301="HEAL"),'스킬 500종'!I301=0,'스킬 500종'!J301=0),AND('스킬 500종'!I301&gt;0,OR('스킬 500종'!K301="CONTINUOUS_HEAL",'스킬 500종'!N301="CONTINUOUS_HEAL",'스킬 500종'!Q301="CONTINUOUS_HEAL",'스킬 500종'!T301="CONTINUOUS_HEAL"))),"회복 기준 오류",IF(AND(G301&lt;=H301+0.00001,'스킬 500종'!W301&gt;=1,'스킬 500종'!W301&lt;=5),"정상","초과"))</x:f>
        <x:v>정상</x:v>
      </x:c>
    </x:row>
    <x:row r="302" ht="30" customHeight="1">
      <x:c r="A302" s="1" t="str">
        <x:f>'스킬 500종'!A302</x:f>
        <x:v>SKILL_0296</x:v>
      </x:c>
      <x:c r="B302" s="1" t="str">
        <x:f>'스킬 500종'!B302</x:f>
        <x:v>소생 · 피해 감소 · 피해 분담의 의식</x:v>
      </x:c>
      <x:c r="C302" s="1" t="n">
        <x:f>1</x:f>
        <x:v>1</x:v>
      </x:c>
      <x:c r="D302" s="9" t="n">
        <x:f>C302*1.16*('효과 규칙 55종'!H46*'스킬 500종'!L302*'스킬 500종'!M302/'효과 규칙 55종'!D46+'효과 규칙 55종'!H42*'스킬 500종'!O302*'스킬 500종'!P302/'효과 규칙 55종'!D42+'효과 규칙 55종'!H43*'스킬 500종'!R302*'스킬 500종'!S302/'효과 규칙 55종'!D43)</x:f>
        <x:v>4.9879999999999995</x:v>
      </x:c>
      <x:c r="E302" s="9" t="n">
        <x:f>C302*SUM('스킬 500종'!E302:H302)</x:f>
        <x:v>0</x:v>
      </x:c>
      <x:c r="F302" s="9" t="n">
        <x:f>C302*1.4*SUM('스킬 500종'!I302:J302)</x:f>
        <x:v>0</x:v>
      </x:c>
      <x:c r="G302" s="9" t="n">
        <x:f>SUM(D302:F302)</x:f>
        <x:v>4.9879999999999995</x:v>
      </x:c>
      <x:c r="H302" s="9" t="n">
        <x:f>1.1+0.8*'스킬 500종'!W302</x:f>
        <x:v>5.1</x:v>
      </x:c>
      <x:c r="I302" s="10" t="n">
        <x:f>G302/H302</x:f>
        <x:v>0.9780392156862745</x:v>
      </x:c>
      <x:c r="J302" s="1" t="str">
        <x:f>IF(OR('스킬 500종'!I302&lt;0,'스킬 500종'!J302&lt;0,AND('스킬 500종'!I302&gt;0,'스킬 500종'!J302&gt;0),AND(OR('스킬 500종'!K302="HEAL",'스킬 500종'!N302="HEAL",'스킬 500종'!Q302="HEAL",'스킬 500종'!T302="HEAL"),'스킬 500종'!I302=0,'스킬 500종'!J302=0),AND('스킬 500종'!I302&gt;0,OR('스킬 500종'!K302="CONTINUOUS_HEAL",'스킬 500종'!N302="CONTINUOUS_HEAL",'스킬 500종'!Q302="CONTINUOUS_HEAL",'스킬 500종'!T302="CONTINUOUS_HEAL"))),"회복 기준 오류",IF(AND(G302&lt;=H302+0.00001,'스킬 500종'!W302&gt;=1,'스킬 500종'!W302&lt;=5),"정상","초과"))</x:f>
        <x:v>정상</x:v>
      </x:c>
    </x:row>
    <x:row r="303" ht="30" customHeight="1">
      <x:c r="A303" s="1" t="str">
        <x:f>'스킬 500종'!A303</x:f>
        <x:v>SKILL_0297</x:v>
      </x:c>
      <x:c r="B303" s="1" t="str">
        <x:f>'스킬 500종'!B303</x:f>
        <x:v>불사 · 은신의 의식</x:v>
      </x:c>
      <x:c r="C303" s="1" t="n">
        <x:f>1</x:f>
        <x:v>1</x:v>
      </x:c>
      <x:c r="D303" s="9" t="n">
        <x:f>C303*1.08*('효과 규칙 55종'!H39*'스킬 500종'!L303*'스킬 500종'!M303/'효과 규칙 55종'!D39+'효과 규칙 55종'!H41*'스킬 500종'!O303*'스킬 500종'!P303/'효과 규칙 55종'!D41)</x:f>
        <x:v>2.6244000000000005</x:v>
      </x:c>
      <x:c r="E303" s="9" t="n">
        <x:f>C303*SUM('스킬 500종'!E303:H303)</x:f>
        <x:v>0</x:v>
      </x:c>
      <x:c r="F303" s="9" t="n">
        <x:f>C303*1.4*SUM('스킬 500종'!I303:J303)</x:f>
        <x:v>0</x:v>
      </x:c>
      <x:c r="G303" s="9" t="n">
        <x:f>SUM(D303:F303)</x:f>
        <x:v>2.6244000000000005</x:v>
      </x:c>
      <x:c r="H303" s="9" t="n">
        <x:f>1.1+0.8*'스킬 500종'!W303</x:f>
        <x:v>3.5000000000000004</x:v>
      </x:c>
      <x:c r="I303" s="10" t="n">
        <x:f>G303/H303</x:f>
        <x:v>0.7498285714285715</x:v>
      </x:c>
      <x:c r="J303" s="1" t="str">
        <x:f>IF(OR('스킬 500종'!I303&lt;0,'스킬 500종'!J303&lt;0,AND('스킬 500종'!I303&gt;0,'스킬 500종'!J303&gt;0),AND(OR('스킬 500종'!K303="HEAL",'스킬 500종'!N303="HEAL",'스킬 500종'!Q303="HEAL",'스킬 500종'!T303="HEAL"),'스킬 500종'!I303=0,'스킬 500종'!J303=0),AND('스킬 500종'!I303&gt;0,OR('스킬 500종'!K303="CONTINUOUS_HEAL",'스킬 500종'!N303="CONTINUOUS_HEAL",'스킬 500종'!Q303="CONTINUOUS_HEAL",'스킬 500종'!T303="CONTINUOUS_HEAL"))),"회복 기준 오류",IF(AND(G303&lt;=H303+0.00001,'스킬 500종'!W303&gt;=1,'스킬 500종'!W303&lt;=5),"정상","초과"))</x:f>
        <x:v>정상</x:v>
      </x:c>
    </x:row>
    <x:row r="304" ht="30" customHeight="1">
      <x:c r="A304" s="1" t="str">
        <x:f>'스킬 500종'!A304</x:f>
        <x:v>SKILL_0298</x:v>
      </x:c>
      <x:c r="B304" s="1" t="str">
        <x:f>'스킬 500종'!B304</x:f>
        <x:v>효과저항 증가 · 보호막 · 강화효과 지속시간 증가 · 공격력 증가의 의식</x:v>
      </x:c>
      <x:c r="C304" s="1" t="n">
        <x:f>1</x:f>
        <x:v>1</x:v>
      </x:c>
      <x:c r="D304" s="9" t="n">
        <x:f>C304*1.24*('효과 규칙 55종'!H14*'스킬 500종'!L304*'스킬 500종'!M304/'효과 규칙 55종'!D14+'효과 규칙 55종'!H37*'스킬 500종'!O304*'스킬 500종'!P304/'효과 규칙 55종'!D37+'효과 규칙 55종'!H58*'스킬 500종'!R304*'스킬 500종'!S304/'효과 규칙 55종'!D58+'효과 규칙 55종'!H7*'스킬 500종'!U304*'스킬 500종'!V304/'효과 규칙 55종'!D7)</x:f>
        <x:v>1.7448825333333333</x:v>
      </x:c>
      <x:c r="E304" s="9" t="n">
        <x:f>C304*SUM('스킬 500종'!E304:H304)</x:f>
        <x:v>0</x:v>
      </x:c>
      <x:c r="F304" s="9" t="n">
        <x:f>C304*1.4*SUM('스킬 500종'!I304:J304)</x:f>
        <x:v>0</x:v>
      </x:c>
      <x:c r="G304" s="9" t="n">
        <x:f>SUM(D304:F304)</x:f>
        <x:v>1.7448825333333333</x:v>
      </x:c>
      <x:c r="H304" s="9" t="n">
        <x:f>1.1+0.8*'스킬 500종'!W304</x:f>
        <x:v>1.9000000000000001</x:v>
      </x:c>
      <x:c r="I304" s="10" t="n">
        <x:f>G304/H304</x:f>
        <x:v>0.9183592280701753</x:v>
      </x:c>
      <x:c r="J304" s="1" t="str">
        <x:f>IF(OR('스킬 500종'!I304&lt;0,'스킬 500종'!J304&lt;0,AND('스킬 500종'!I304&gt;0,'스킬 500종'!J304&gt;0),AND(OR('스킬 500종'!K304="HEAL",'스킬 500종'!N304="HEAL",'스킬 500종'!Q304="HEAL",'스킬 500종'!T304="HEAL"),'스킬 500종'!I304=0,'스킬 500종'!J304=0),AND('스킬 500종'!I304&gt;0,OR('스킬 500종'!K304="CONTINUOUS_HEAL",'스킬 500종'!N304="CONTINUOUS_HEAL",'스킬 500종'!Q304="CONTINUOUS_HEAL",'스킬 500종'!T304="CONTINUOUS_HEAL"))),"회복 기준 오류",IF(AND(G304&lt;=H304+0.00001,'스킬 500종'!W304&gt;=1,'스킬 500종'!W304&lt;=5),"정상","초과"))</x:f>
        <x:v>정상</x:v>
      </x:c>
    </x:row>
    <x:row r="305" ht="30" customHeight="1">
      <x:c r="A305" s="1" t="str">
        <x:f>'스킬 500종'!A305</x:f>
        <x:v>SKILL_0299</x:v>
      </x:c>
      <x:c r="B305" s="1" t="str">
        <x:f>'스킬 500종'!B305</x:f>
        <x:v>무적 · 피해 감소의 의식</x:v>
      </x:c>
      <x:c r="C305" s="1" t="n">
        <x:f>2.4</x:f>
        <x:v>2.4</x:v>
      </x:c>
      <x:c r="D305" s="9" t="n">
        <x:f>C305*1.08*('효과 규칙 55종'!H38*'스킬 500종'!L305*'스킬 500종'!M305/'효과 규칙 55종'!D38+'효과 규칙 55종'!H42*'스킬 500종'!O305*'스킬 500종'!P305/'효과 규칙 55종'!D42)</x:f>
        <x:v>4.8859200000000005</x:v>
      </x:c>
      <x:c r="E305" s="9" t="n">
        <x:f>C305*SUM('스킬 500종'!E305:H305)</x:f>
        <x:v>0</x:v>
      </x:c>
      <x:c r="F305" s="9" t="n">
        <x:f>C305*1.4*SUM('스킬 500종'!I305:J305)</x:f>
        <x:v>0</x:v>
      </x:c>
      <x:c r="G305" s="9" t="n">
        <x:f>SUM(D305:F305)</x:f>
        <x:v>4.8859200000000005</x:v>
      </x:c>
      <x:c r="H305" s="9" t="n">
        <x:f>1.1+0.8*'스킬 500종'!W305</x:f>
        <x:v>5.1</x:v>
      </x:c>
      <x:c r="I305" s="10" t="n">
        <x:f>G305/H305</x:f>
        <x:v>0.9580235294117648</x:v>
      </x:c>
      <x:c r="J305" s="1" t="str">
        <x:f>IF(OR('스킬 500종'!I305&lt;0,'스킬 500종'!J305&lt;0,AND('스킬 500종'!I305&gt;0,'스킬 500종'!J305&gt;0),AND(OR('스킬 500종'!K305="HEAL",'스킬 500종'!N305="HEAL",'스킬 500종'!Q305="HEAL",'스킬 500종'!T305="HEAL"),'스킬 500종'!I305=0,'스킬 500종'!J305=0),AND('스킬 500종'!I305&gt;0,OR('스킬 500종'!K305="CONTINUOUS_HEAL",'스킬 500종'!N305="CONTINUOUS_HEAL",'스킬 500종'!Q305="CONTINUOUS_HEAL",'스킬 500종'!T305="CONTINUOUS_HEAL"))),"회복 기준 오류",IF(AND(G305&lt;=H305+0.00001,'스킬 500종'!W305&gt;=1,'스킬 500종'!W305&lt;=5),"정상","초과"))</x:f>
        <x:v>정상</x:v>
      </x:c>
    </x:row>
    <x:row r="306" ht="30" customHeight="1">
      <x:c r="A306" s="1" t="str">
        <x:f>'스킬 500종'!A306</x:f>
        <x:v>SKILL_0300</x:v>
      </x:c>
      <x:c r="B306" s="1" t="str">
        <x:f>'스킬 500종'!B306</x:f>
        <x:v>지속 회복 · 약화효과 해제 · 회피 증가의 의식</x:v>
      </x:c>
      <x:c r="C306" s="1" t="n">
        <x:f>1.6</x:f>
        <x:v>1.6</x:v>
      </x:c>
      <x:c r="D306" s="9" t="n">
        <x:f>C306*1.16*('효과 규칙 55종'!H35*'스킬 500종'!L306*'스킬 500종'!M306/'효과 규칙 55종'!D35+'효과 규칙 55종'!H57*'스킬 500종'!O306*'스킬 500종'!P306/'효과 규칙 55종'!D57+'효과 규칙 55종'!H15*'스킬 500종'!R306*'스킬 500종'!S306/'효과 규칙 55종'!D15)</x:f>
        <x:v>2.5835519999999996</x:v>
      </x:c>
      <x:c r="E306" s="9" t="n">
        <x:f>C306*SUM('스킬 500종'!E306:H306)</x:f>
        <x:v>0</x:v>
      </x:c>
      <x:c r="F306" s="9" t="n">
        <x:f>C306*1.4*SUM('스킬 500종'!I306:J306)</x:f>
        <x:v>0</x:v>
      </x:c>
      <x:c r="G306" s="9" t="n">
        <x:f>SUM(D306:F306)</x:f>
        <x:v>2.5835519999999996</x:v>
      </x:c>
      <x:c r="H306" s="9" t="n">
        <x:f>1.1+0.8*'스킬 500종'!W306</x:f>
        <x:v>2.7</x:v>
      </x:c>
      <x:c r="I306" s="10" t="n">
        <x:f>G306/H306</x:f>
        <x:v>0.9568711111111109</x:v>
      </x:c>
      <x:c r="J306" s="1" t="str">
        <x:f>IF(OR('스킬 500종'!I306&lt;0,'스킬 500종'!J306&lt;0,AND('스킬 500종'!I306&gt;0,'스킬 500종'!J306&gt;0),AND(OR('스킬 500종'!K306="HEAL",'스킬 500종'!N306="HEAL",'스킬 500종'!Q306="HEAL",'스킬 500종'!T306="HEAL"),'스킬 500종'!I306=0,'스킬 500종'!J306=0),AND('스킬 500종'!I306&gt;0,OR('스킬 500종'!K306="CONTINUOUS_HEAL",'스킬 500종'!N306="CONTINUOUS_HEAL",'스킬 500종'!Q306="CONTINUOUS_HEAL",'스킬 500종'!T306="CONTINUOUS_HEAL"))),"회복 기준 오류",IF(AND(G306&lt;=H306+0.00001,'스킬 500종'!W306&gt;=1,'스킬 500종'!W306&lt;=5),"정상","초과"))</x:f>
        <x:v>정상</x:v>
      </x:c>
    </x:row>
    <x:row r="307" ht="30" customHeight="1">
      <x:c r="A307" s="1" t="str">
        <x:f>'스킬 500종'!A307</x:f>
        <x:v>SKILL_0301</x:v>
      </x:c>
      <x:c r="B307" s="1" t="str">
        <x:f>'스킬 500종'!B307</x:f>
        <x:v>공격력 증가 · 생명력 회복 · 피해 반사의 의식</x:v>
      </x:c>
      <x:c r="C307" s="1" t="n">
        <x:f>1</x:f>
        <x:v>1</x:v>
      </x:c>
      <x:c r="D307" s="9" t="n">
        <x:f>C307*1.16*('효과 규칙 55종'!H7*'스킬 500종'!L307*'스킬 500종'!M307/'효과 규칙 55종'!D7+'효과 규칙 55종'!H34*'스킬 500종'!O307*'스킬 500종'!P307/'효과 규칙 55종'!D34+'효과 규칙 55종'!H44*'스킬 500종'!R307*'스킬 500종'!S307/'효과 규칙 55종'!D44)</x:f>
        <x:v>0.85376</x:v>
      </x:c>
      <x:c r="E307" s="9" t="n">
        <x:f>C307*SUM('스킬 500종'!E307:H307)</x:f>
        <x:v>0</x:v>
      </x:c>
      <x:c r="F307" s="9" t="n">
        <x:f>C307*1.4*SUM('스킬 500종'!I307:J307)</x:f>
        <x:v>0.35</x:v>
      </x:c>
      <x:c r="G307" s="9" t="n">
        <x:f>SUM(D307:F307)</x:f>
        <x:v>1.20376</x:v>
      </x:c>
      <x:c r="H307" s="9" t="n">
        <x:f>1.1+0.8*'스킬 500종'!W307</x:f>
        <x:v>1.9000000000000001</x:v>
      </x:c>
      <x:c r="I307" s="10" t="n">
        <x:f>G307/H307</x:f>
        <x:v>0.633557894736842</x:v>
      </x:c>
      <x:c r="J307" s="1" t="str">
        <x:f>IF(OR('스킬 500종'!I307&lt;0,'스킬 500종'!J307&lt;0,AND('스킬 500종'!I307&gt;0,'스킬 500종'!J307&gt;0),AND(OR('스킬 500종'!K307="HEAL",'스킬 500종'!N307="HEAL",'스킬 500종'!Q307="HEAL",'스킬 500종'!T307="HEAL"),'스킬 500종'!I307=0,'스킬 500종'!J307=0),AND('스킬 500종'!I307&gt;0,OR('스킬 500종'!K307="CONTINUOUS_HEAL",'스킬 500종'!N307="CONTINUOUS_HEAL",'스킬 500종'!Q307="CONTINUOUS_HEAL",'스킬 500종'!T307="CONTINUOUS_HEAL"))),"회복 기준 오류",IF(AND(G307&lt;=H307+0.00001,'스킬 500종'!W307&gt;=1,'스킬 500종'!W307&lt;=5),"정상","초과"))</x:f>
        <x:v>정상</x:v>
      </x:c>
    </x:row>
    <x:row r="308" ht="30" customHeight="1">
      <x:c r="A308" s="1" t="str">
        <x:f>'스킬 500종'!A308</x:f>
        <x:v>SKILL_0302</x:v>
      </x:c>
      <x:c r="B308" s="1" t="str">
        <x:f>'스킬 500종'!B308</x:f>
        <x:v>약화효과 해제 · 치명저항 증가 · 효과저항 증가 · 강화효과 지속시간 증가의 의식</x:v>
      </x:c>
      <x:c r="C308" s="1" t="n">
        <x:f>1</x:f>
        <x:v>1</x:v>
      </x:c>
      <x:c r="D308" s="9" t="n">
        <x:f>C308*1.24*('효과 규칙 55종'!H57*'스킬 500종'!L308*'스킬 500종'!M308/'효과 규칙 55종'!D57+'효과 규칙 55종'!H16*'스킬 500종'!O308*'스킬 500종'!P308/'효과 규칙 55종'!D16+'효과 규칙 55종'!H14*'스킬 500종'!R308*'스킬 500종'!S308/'효과 규칙 55종'!D14+'효과 규칙 55종'!H58*'스킬 500종'!U308*'스킬 500종'!V308/'효과 규칙 55종'!D58)</x:f>
        <x:v>2.0698327999999995</x:v>
      </x:c>
      <x:c r="E308" s="9" t="n">
        <x:f>C308*SUM('스킬 500종'!E308:H308)</x:f>
        <x:v>0</x:v>
      </x:c>
      <x:c r="F308" s="9" t="n">
        <x:f>C308*1.4*SUM('스킬 500종'!I308:J308)</x:f>
        <x:v>0</x:v>
      </x:c>
      <x:c r="G308" s="9" t="n">
        <x:f>SUM(D308:F308)</x:f>
        <x:v>2.0698327999999995</x:v>
      </x:c>
      <x:c r="H308" s="9" t="n">
        <x:f>1.1+0.8*'스킬 500종'!W308</x:f>
        <x:v>2.7</x:v>
      </x:c>
      <x:c r="I308" s="10" t="n">
        <x:f>G308/H308</x:f>
        <x:v>0.7666047407407405</x:v>
      </x:c>
      <x:c r="J308" s="1" t="str">
        <x:f>IF(OR('스킬 500종'!I308&lt;0,'스킬 500종'!J308&lt;0,AND('스킬 500종'!I308&gt;0,'스킬 500종'!J308&gt;0),AND(OR('스킬 500종'!K308="HEAL",'스킬 500종'!N308="HEAL",'스킬 500종'!Q308="HEAL",'스킬 500종'!T308="HEAL"),'스킬 500종'!I308=0,'스킬 500종'!J308=0),AND('스킬 500종'!I308&gt;0,OR('스킬 500종'!K308="CONTINUOUS_HEAL",'스킬 500종'!N308="CONTINUOUS_HEAL",'스킬 500종'!Q308="CONTINUOUS_HEAL",'스킬 500종'!T308="CONTINUOUS_HEAL"))),"회복 기준 오류",IF(AND(G308&lt;=H308+0.00001,'스킬 500종'!W308&gt;=1,'스킬 500종'!W308&lt;=5),"정상","초과"))</x:f>
        <x:v>정상</x:v>
      </x:c>
    </x:row>
    <x:row r="309" ht="30" customHeight="1">
      <x:c r="A309" s="1" t="str">
        <x:f>'스킬 500종'!A309</x:f>
        <x:v>SKILL_0303</x:v>
      </x:c>
      <x:c r="B309" s="1" t="str">
        <x:f>'스킬 500종'!B309</x:f>
        <x:v>은신 · 보호막 · 반격 · 방어력 증가의 의식</x:v>
      </x:c>
      <x:c r="C309" s="1" t="n">
        <x:f>2.4</x:f>
        <x:v>2.4</x:v>
      </x:c>
      <x:c r="D309" s="9" t="n">
        <x:f>C309*1.24*('효과 규칙 55종'!H41*'스킬 500종'!L309*'스킬 500종'!M309/'효과 규칙 55종'!D41+'효과 규칙 55종'!H37*'스킬 500종'!O309*'스킬 500종'!P309/'효과 규칙 55종'!D37+'효과 규칙 55종'!H51*'스킬 500종'!R309*'스킬 500종'!S309/'효과 규칙 55종'!D51+'효과 규칙 55종'!H9*'스킬 500종'!U309*'스킬 500종'!V309/'효과 규칙 55종'!D9)</x:f>
        <x:v>4.3091984</x:v>
      </x:c>
      <x:c r="E309" s="9" t="n">
        <x:f>C309*SUM('스킬 500종'!E309:H309)</x:f>
        <x:v>0</x:v>
      </x:c>
      <x:c r="F309" s="9" t="n">
        <x:f>C309*1.4*SUM('스킬 500종'!I309:J309)</x:f>
        <x:v>0</x:v>
      </x:c>
      <x:c r="G309" s="9" t="n">
        <x:f>SUM(D309:F309)</x:f>
        <x:v>4.3091984</x:v>
      </x:c>
      <x:c r="H309" s="9" t="n">
        <x:f>1.1+0.8*'스킬 500종'!W309</x:f>
        <x:v>5.1</x:v>
      </x:c>
      <x:c r="I309" s="10" t="n">
        <x:f>G309/H309</x:f>
        <x:v>0.844940862745098</x:v>
      </x:c>
      <x:c r="J309" s="1" t="str">
        <x:f>IF(OR('스킬 500종'!I309&lt;0,'스킬 500종'!J309&lt;0,AND('스킬 500종'!I309&gt;0,'스킬 500종'!J309&gt;0),AND(OR('스킬 500종'!K309="HEAL",'스킬 500종'!N309="HEAL",'스킬 500종'!Q309="HEAL",'스킬 500종'!T309="HEAL"),'스킬 500종'!I309=0,'스킬 500종'!J309=0),AND('스킬 500종'!I309&gt;0,OR('스킬 500종'!K309="CONTINUOUS_HEAL",'스킬 500종'!N309="CONTINUOUS_HEAL",'스킬 500종'!Q309="CONTINUOUS_HEAL",'스킬 500종'!T309="CONTINUOUS_HEAL"))),"회복 기준 오류",IF(AND(G309&lt;=H309+0.00001,'스킬 500종'!W309&gt;=1,'스킬 500종'!W309&lt;=5),"정상","초과"))</x:f>
        <x:v>정상</x:v>
      </x:c>
    </x:row>
    <x:row r="310" ht="30" customHeight="1">
      <x:c r="A310" s="1" t="str">
        <x:f>'스킬 500종'!A310</x:f>
        <x:v>SKILL_0304</x:v>
      </x:c>
      <x:c r="B310" s="1" t="str">
        <x:f>'스킬 500종'!B310</x:f>
        <x:v>스킬 쿨타임 초기화 · 공격력 증가의 의식</x:v>
      </x:c>
      <x:c r="C310" s="1" t="n">
        <x:f>1</x:f>
        <x:v>1</x:v>
      </x:c>
      <x:c r="D310" s="9" t="n">
        <x:f>C310*1.08*('효과 규칙 55종'!H53*'스킬 500종'!L310*'스킬 500종'!M310/'효과 규칙 55종'!D53+'효과 규칙 55종'!H7*'스킬 500종'!O310*'스킬 500종'!P310/'효과 규칙 55종'!D7)</x:f>
        <x:v>3.5478000000000005</x:v>
      </x:c>
      <x:c r="E310" s="9" t="n">
        <x:f>C310*SUM('스킬 500종'!E310:H310)</x:f>
        <x:v>0</x:v>
      </x:c>
      <x:c r="F310" s="9" t="n">
        <x:f>C310*1.4*SUM('스킬 500종'!I310:J310)</x:f>
        <x:v>0</x:v>
      </x:c>
      <x:c r="G310" s="9" t="n">
        <x:f>SUM(D310:F310)</x:f>
        <x:v>3.5478000000000005</x:v>
      </x:c>
      <x:c r="H310" s="9" t="n">
        <x:f>1.1+0.8*'스킬 500종'!W310</x:f>
        <x:v>5.1</x:v>
      </x:c>
      <x:c r="I310" s="10" t="n">
        <x:f>G310/H310</x:f>
        <x:v>0.6956470588235295</x:v>
      </x:c>
      <x:c r="J310" s="1" t="str">
        <x:f>IF(OR('스킬 500종'!I310&lt;0,'스킬 500종'!J310&lt;0,AND('스킬 500종'!I310&gt;0,'스킬 500종'!J310&gt;0),AND(OR('스킬 500종'!K310="HEAL",'스킬 500종'!N310="HEAL",'스킬 500종'!Q310="HEAL",'스킬 500종'!T310="HEAL"),'스킬 500종'!I310=0,'스킬 500종'!J310=0),AND('스킬 500종'!I310&gt;0,OR('스킬 500종'!K310="CONTINUOUS_HEAL",'스킬 500종'!N310="CONTINUOUS_HEAL",'스킬 500종'!Q310="CONTINUOUS_HEAL",'스킬 500종'!T310="CONTINUOUS_HEAL"))),"회복 기준 오류",IF(AND(G310&lt;=H310+0.00001,'스킬 500종'!W310&gt;=1,'스킬 500종'!W310&lt;=5),"정상","초과"))</x:f>
        <x:v>정상</x:v>
      </x:c>
    </x:row>
    <x:row r="311" ht="30" customHeight="1">
      <x:c r="A311" s="1" t="str">
        <x:f>'스킬 500종'!A311</x:f>
        <x:v>SKILL_0305</x:v>
      </x:c>
      <x:c r="B311" s="1" t="str">
        <x:f>'스킬 500종'!B311</x:f>
        <x:v>약화효과 해제 · 방어력 증가 · 공격력 증가의 의식</x:v>
      </x:c>
      <x:c r="C311" s="1" t="n">
        <x:f>1</x:f>
        <x:v>1</x:v>
      </x:c>
      <x:c r="D311" s="9" t="n">
        <x:f>C311*1.16*('효과 규칙 55종'!H57*'스킬 500종'!L311*'스킬 500종'!M311/'효과 규칙 55종'!D57+'효과 규칙 55종'!H9*'스킬 500종'!O311*'스킬 500종'!P311/'효과 규칙 55종'!D9+'효과 규칙 55종'!H7*'스킬 500종'!R311*'스킬 500종'!S311/'효과 규칙 55종'!D7)</x:f>
        <x:v>1.46624</x:v>
      </x:c>
      <x:c r="E311" s="9" t="n">
        <x:f>C311*SUM('스킬 500종'!E311:H311)</x:f>
        <x:v>0</x:v>
      </x:c>
      <x:c r="F311" s="9" t="n">
        <x:f>C311*1.4*SUM('스킬 500종'!I311:J311)</x:f>
        <x:v>0</x:v>
      </x:c>
      <x:c r="G311" s="9" t="n">
        <x:f>SUM(D311:F311)</x:f>
        <x:v>1.46624</x:v>
      </x:c>
      <x:c r="H311" s="9" t="n">
        <x:f>1.1+0.8*'스킬 500종'!W311</x:f>
        <x:v>1.9000000000000001</x:v>
      </x:c>
      <x:c r="I311" s="10" t="n">
        <x:f>G311/H311</x:f>
        <x:v>0.7717052631578947</x:v>
      </x:c>
      <x:c r="J311" s="1" t="str">
        <x:f>IF(OR('스킬 500종'!I311&lt;0,'스킬 500종'!J311&lt;0,AND('스킬 500종'!I311&gt;0,'스킬 500종'!J311&gt;0),AND(OR('스킬 500종'!K311="HEAL",'스킬 500종'!N311="HEAL",'스킬 500종'!Q311="HEAL",'스킬 500종'!T311="HEAL"),'스킬 500종'!I311=0,'스킬 500종'!J311=0),AND('스킬 500종'!I311&gt;0,OR('스킬 500종'!K311="CONTINUOUS_HEAL",'스킬 500종'!N311="CONTINUOUS_HEAL",'스킬 500종'!Q311="CONTINUOUS_HEAL",'스킬 500종'!T311="CONTINUOUS_HEAL"))),"회복 기준 오류",IF(AND(G311&lt;=H311+0.00001,'스킬 500종'!W311&gt;=1,'스킬 500종'!W311&lt;=5),"정상","초과"))</x:f>
        <x:v>정상</x:v>
      </x:c>
    </x:row>
    <x:row r="312" ht="30" customHeight="1">
      <x:c r="A312" s="1" t="str">
        <x:f>'스킬 500종'!A312</x:f>
        <x:v>SKILL_0306</x:v>
      </x:c>
      <x:c r="B312" s="1" t="str">
        <x:f>'스킬 500종'!B312</x:f>
        <x:v>치명확률 증가 · 생명력 회복의 의식</x:v>
      </x:c>
      <x:c r="C312" s="1" t="n">
        <x:f>1</x:f>
        <x:v>1</x:v>
      </x:c>
      <x:c r="D312" s="9" t="n">
        <x:f>C312*1.08*('효과 규칙 55종'!H11*'스킬 500종'!L312*'스킬 500종'!M312/'효과 규칙 55종'!D11+'효과 규칙 55종'!H34*'스킬 500종'!O312*'스킬 500종'!P312/'효과 규칙 55종'!D34)</x:f>
        <x:v>0.48600000000000004</x:v>
      </x:c>
      <x:c r="E312" s="9" t="n">
        <x:f>C312*SUM('스킬 500종'!E312:H312)</x:f>
        <x:v>0</x:v>
      </x:c>
      <x:c r="F312" s="9" t="n">
        <x:f>C312*1.4*SUM('스킬 500종'!I312:J312)</x:f>
        <x:v>0.48999999999999994</x:v>
      </x:c>
      <x:c r="G312" s="9" t="n">
        <x:f>SUM(D312:F312)</x:f>
        <x:v>0.976</x:v>
      </x:c>
      <x:c r="H312" s="9" t="n">
        <x:f>1.1+0.8*'스킬 500종'!W312</x:f>
        <x:v>1.9000000000000001</x:v>
      </x:c>
      <x:c r="I312" s="10" t="n">
        <x:f>G312/H312</x:f>
        <x:v>0.5136842105263157</x:v>
      </x:c>
      <x:c r="J312" s="1" t="str">
        <x:f>IF(OR('스킬 500종'!I312&lt;0,'스킬 500종'!J312&lt;0,AND('스킬 500종'!I312&gt;0,'스킬 500종'!J312&gt;0),AND(OR('스킬 500종'!K312="HEAL",'스킬 500종'!N312="HEAL",'스킬 500종'!Q312="HEAL",'스킬 500종'!T312="HEAL"),'스킬 500종'!I312=0,'스킬 500종'!J312=0),AND('스킬 500종'!I312&gt;0,OR('스킬 500종'!K312="CONTINUOUS_HEAL",'스킬 500종'!N312="CONTINUOUS_HEAL",'스킬 500종'!Q312="CONTINUOUS_HEAL",'스킬 500종'!T312="CONTINUOUS_HEAL"))),"회복 기준 오류",IF(AND(G312&lt;=H312+0.00001,'스킬 500종'!W312&gt;=1,'스킬 500종'!W312&lt;=5),"정상","초과"))</x:f>
        <x:v>정상</x:v>
      </x:c>
    </x:row>
    <x:row r="313" ht="30" customHeight="1">
      <x:c r="A313" s="1" t="str">
        <x:f>'스킬 500종'!A313</x:f>
        <x:v>SKILL_0307</x:v>
      </x:c>
      <x:c r="B313" s="1" t="str">
        <x:f>'스킬 500종'!B313</x:f>
        <x:v>생명력 회복 · 은신의 의식</x:v>
      </x:c>
      <x:c r="C313" s="1" t="n">
        <x:f>2.4</x:f>
        <x:v>2.4</x:v>
      </x:c>
      <x:c r="D313" s="9" t="n">
        <x:f>C313*1.08*('효과 규칙 55종'!H34*'스킬 500종'!L313*'스킬 500종'!M313/'효과 규칙 55종'!D34+'효과 규칙 55종'!H41*'스킬 500종'!O313*'스킬 500종'!P313/'효과 규칙 55종'!D41)</x:f>
        <x:v>1.8662400000000003</x:v>
      </x:c>
      <x:c r="E313" s="9" t="n">
        <x:f>C313*SUM('스킬 500종'!E313:H313)</x:f>
        <x:v>0</x:v>
      </x:c>
      <x:c r="F313" s="9" t="n">
        <x:f>C313*1.4*SUM('스킬 500종'!I313:J313)</x:f>
        <x:v>1.176</x:v>
      </x:c>
      <x:c r="G313" s="9" t="n">
        <x:f>SUM(D313:F313)</x:f>
        <x:v>3.0422400000000005</x:v>
      </x:c>
      <x:c r="H313" s="9" t="n">
        <x:f>1.1+0.8*'스킬 500종'!W313</x:f>
        <x:v>3.5000000000000004</x:v>
      </x:c>
      <x:c r="I313" s="10" t="n">
        <x:f>G313/H313</x:f>
        <x:v>0.8692114285714286</x:v>
      </x:c>
      <x:c r="J313" s="1" t="str">
        <x:f>IF(OR('스킬 500종'!I313&lt;0,'스킬 500종'!J313&lt;0,AND('스킬 500종'!I313&gt;0,'스킬 500종'!J313&gt;0),AND(OR('스킬 500종'!K313="HEAL",'스킬 500종'!N313="HEAL",'스킬 500종'!Q313="HEAL",'스킬 500종'!T313="HEAL"),'스킬 500종'!I313=0,'스킬 500종'!J313=0),AND('스킬 500종'!I313&gt;0,OR('스킬 500종'!K313="CONTINUOUS_HEAL",'스킬 500종'!N313="CONTINUOUS_HEAL",'스킬 500종'!Q313="CONTINUOUS_HEAL",'스킬 500종'!T313="CONTINUOUS_HEAL"))),"회복 기준 오류",IF(AND(G313&lt;=H313+0.00001,'스킬 500종'!W313&gt;=1,'스킬 500종'!W313&lt;=5),"정상","초과"))</x:f>
        <x:v>정상</x:v>
      </x:c>
    </x:row>
    <x:row r="314" ht="30" customHeight="1">
      <x:c r="A314" s="1" t="str">
        <x:f>'스킬 500종'!A314</x:f>
        <x:v>SKILL_0308</x:v>
      </x:c>
      <x:c r="B314" s="1" t="str">
        <x:f>'스킬 500종'!B314</x:f>
        <x:v>약화효과 해제 · 명중 증가 · 소생 · 은신의 의식</x:v>
      </x:c>
      <x:c r="C314" s="1" t="n">
        <x:f>1</x:f>
        <x:v>1</x:v>
      </x:c>
      <x:c r="D314" s="9" t="n">
        <x:f>C314*1.24*('효과 규칙 55종'!H57*'스킬 500종'!L314*'스킬 500종'!M314/'효과 규칙 55종'!D57+'효과 규칙 55종'!H17*'스킬 500종'!O314*'스킬 500종'!P314/'효과 규칙 55종'!D17+'효과 규칙 55종'!H46*'스킬 500종'!R314*'스킬 500종'!S314/'효과 규칙 55종'!D46+'효과 규칙 55종'!H41*'스킬 500종'!U314*'스킬 500종'!V314/'효과 규칙 55종'!D41)</x:f>
        <x:v>4.97984</x:v>
      </x:c>
      <x:c r="E314" s="9" t="n">
        <x:f>C314*SUM('스킬 500종'!E314:H314)</x:f>
        <x:v>0</x:v>
      </x:c>
      <x:c r="F314" s="9" t="n">
        <x:f>C314*1.4*SUM('스킬 500종'!I314:J314)</x:f>
        <x:v>0</x:v>
      </x:c>
      <x:c r="G314" s="9" t="n">
        <x:f>SUM(D314:F314)</x:f>
        <x:v>4.97984</x:v>
      </x:c>
      <x:c r="H314" s="9" t="n">
        <x:f>1.1+0.8*'스킬 500종'!W314</x:f>
        <x:v>5.1</x:v>
      </x:c>
      <x:c r="I314" s="10" t="n">
        <x:f>G314/H314</x:f>
        <x:v>0.9764392156862747</x:v>
      </x:c>
      <x:c r="J314" s="1" t="str">
        <x:f>IF(OR('스킬 500종'!I314&lt;0,'스킬 500종'!J314&lt;0,AND('스킬 500종'!I314&gt;0,'스킬 500종'!J314&gt;0),AND(OR('스킬 500종'!K314="HEAL",'스킬 500종'!N314="HEAL",'스킬 500종'!Q314="HEAL",'스킬 500종'!T314="HEAL"),'스킬 500종'!I314=0,'스킬 500종'!J314=0),AND('스킬 500종'!I314&gt;0,OR('스킬 500종'!K314="CONTINUOUS_HEAL",'스킬 500종'!N314="CONTINUOUS_HEAL",'스킬 500종'!Q314="CONTINUOUS_HEAL",'스킬 500종'!T314="CONTINUOUS_HEAL"))),"회복 기준 오류",IF(AND(G314&lt;=H314+0.00001,'스킬 500종'!W314&gt;=1,'스킬 500종'!W314&lt;=5),"정상","초과"))</x:f>
        <x:v>정상</x:v>
      </x:c>
    </x:row>
    <x:row r="315" ht="30" customHeight="1">
      <x:c r="A315" s="1" t="str">
        <x:f>'스킬 500종'!A315</x:f>
        <x:v>SKILL_0309</x:v>
      </x:c>
      <x:c r="B315" s="1" t="str">
        <x:f>'스킬 500종'!B315</x:f>
        <x:v>스킬 쿨타임 감소 · 은신의 의식</x:v>
      </x:c>
      <x:c r="C315" s="1" t="n">
        <x:f>1</x:f>
        <x:v>1</x:v>
      </x:c>
      <x:c r="D315" s="9" t="n">
        <x:f>C315*1.08*('효과 규칙 55종'!H52*'스킬 500종'!L315*'스킬 500종'!M315/'효과 규칙 55종'!D52+'효과 규칙 55종'!H41*'스킬 500종'!O315*'스킬 500종'!P315/'효과 규칙 55종'!D41)</x:f>
        <x:v>2.0412000000000003</x:v>
      </x:c>
      <x:c r="E315" s="9" t="n">
        <x:f>C315*SUM('스킬 500종'!E315:H315)</x:f>
        <x:v>0</x:v>
      </x:c>
      <x:c r="F315" s="9" t="n">
        <x:f>C315*1.4*SUM('스킬 500종'!I315:J315)</x:f>
        <x:v>0</x:v>
      </x:c>
      <x:c r="G315" s="9" t="n">
        <x:f>SUM(D315:F315)</x:f>
        <x:v>2.0412000000000003</x:v>
      </x:c>
      <x:c r="H315" s="9" t="n">
        <x:f>1.1+0.8*'스킬 500종'!W315</x:f>
        <x:v>2.7</x:v>
      </x:c>
      <x:c r="I315" s="10" t="n">
        <x:f>G315/H315</x:f>
        <x:v>0.7560000000000001</x:v>
      </x:c>
      <x:c r="J315" s="1" t="str">
        <x:f>IF(OR('스킬 500종'!I315&lt;0,'스킬 500종'!J315&lt;0,AND('스킬 500종'!I315&gt;0,'스킬 500종'!J315&gt;0),AND(OR('스킬 500종'!K315="HEAL",'스킬 500종'!N315="HEAL",'스킬 500종'!Q315="HEAL",'스킬 500종'!T315="HEAL"),'스킬 500종'!I315=0,'스킬 500종'!J315=0),AND('스킬 500종'!I315&gt;0,OR('스킬 500종'!K315="CONTINUOUS_HEAL",'스킬 500종'!N315="CONTINUOUS_HEAL",'스킬 500종'!Q315="CONTINUOUS_HEAL",'스킬 500종'!T315="CONTINUOUS_HEAL"))),"회복 기준 오류",IF(AND(G315&lt;=H315+0.00001,'스킬 500종'!W315&gt;=1,'스킬 500종'!W315&lt;=5),"정상","초과"))</x:f>
        <x:v>정상</x:v>
      </x:c>
    </x:row>
    <x:row r="316" ht="30" customHeight="1">
      <x:c r="A316" s="1" t="str">
        <x:f>'스킬 500종'!A316</x:f>
        <x:v>SKILL_0310</x:v>
      </x:c>
      <x:c r="B316" s="1" t="str">
        <x:f>'스킬 500종'!B316</x:f>
        <x:v>지속 회복 · 피해 반사 · 효과저항 증가 · 회피 증가의 의식</x:v>
      </x:c>
      <x:c r="C316" s="1" t="n">
        <x:f>1</x:f>
        <x:v>1</x:v>
      </x:c>
      <x:c r="D316" s="9" t="n">
        <x:f>C316*1.24*('효과 규칙 55종'!H35*'스킬 500종'!L316*'스킬 500종'!M316/'효과 규칙 55종'!D35+'효과 규칙 55종'!H44*'스킬 500종'!O316*'스킬 500종'!P316/'효과 규칙 55종'!D44+'효과 규칙 55종'!H14*'스킬 500종'!R316*'스킬 500종'!S316/'효과 규칙 55종'!D14+'효과 규칙 55종'!H15*'스킬 500종'!U316*'스킬 500종'!V316/'효과 규칙 55종'!D15)</x:f>
        <x:v>1.3300612</x:v>
      </x:c>
      <x:c r="E316" s="9" t="n">
        <x:f>C316*SUM('스킬 500종'!E316:H316)</x:f>
        <x:v>0</x:v>
      </x:c>
      <x:c r="F316" s="9" t="n">
        <x:f>C316*1.4*SUM('스킬 500종'!I316:J316)</x:f>
        <x:v>0</x:v>
      </x:c>
      <x:c r="G316" s="9" t="n">
        <x:f>SUM(D316:F316)</x:f>
        <x:v>1.3300612</x:v>
      </x:c>
      <x:c r="H316" s="9" t="n">
        <x:f>1.1+0.8*'스킬 500종'!W316</x:f>
        <x:v>1.9000000000000001</x:v>
      </x:c>
      <x:c r="I316" s="10" t="n">
        <x:f>G316/H316</x:f>
        <x:v>0.7000322105263158</x:v>
      </x:c>
      <x:c r="J316" s="1" t="str">
        <x:f>IF(OR('스킬 500종'!I316&lt;0,'스킬 500종'!J316&lt;0,AND('스킬 500종'!I316&gt;0,'스킬 500종'!J316&gt;0),AND(OR('스킬 500종'!K316="HEAL",'스킬 500종'!N316="HEAL",'스킬 500종'!Q316="HEAL",'스킬 500종'!T316="HEAL"),'스킬 500종'!I316=0,'스킬 500종'!J316=0),AND('스킬 500종'!I316&gt;0,OR('스킬 500종'!K316="CONTINUOUS_HEAL",'스킬 500종'!N316="CONTINUOUS_HEAL",'스킬 500종'!Q316="CONTINUOUS_HEAL",'스킬 500종'!T316="CONTINUOUS_HEAL"))),"회복 기준 오류",IF(AND(G316&lt;=H316+0.00001,'스킬 500종'!W316&gt;=1,'스킬 500종'!W316&lt;=5),"정상","초과"))</x:f>
        <x:v>정상</x:v>
      </x:c>
    </x:row>
    <x:row r="317" ht="30" customHeight="1">
      <x:c r="A317" s="1" t="str">
        <x:f>'스킬 500종'!A317</x:f>
        <x:v>SKILL_0311</x:v>
      </x:c>
      <x:c r="B317" s="1" t="str">
        <x:f>'스킬 500종'!B317</x:f>
        <x:v>약화효과 해제 · 은신 · 명중 증가 · 피해 반사의 의식</x:v>
      </x:c>
      <x:c r="C317" s="1" t="n">
        <x:f>2.4</x:f>
        <x:v>2.4</x:v>
      </x:c>
      <x:c r="D317" s="9" t="n">
        <x:f>C317*1.24*('효과 규칙 55종'!H57*'스킬 500종'!L317*'스킬 500종'!M317/'효과 규칙 55종'!D57+'효과 규칙 55종'!H41*'스킬 500종'!O317*'스킬 500종'!P317/'효과 규칙 55종'!D41+'효과 규칙 55종'!H17*'스킬 500종'!R317*'스킬 500종'!S317/'효과 규칙 55종'!D17+'효과 규칙 55종'!H44*'스킬 500종'!U317*'스킬 500종'!V317/'효과 규칙 55종'!D44)</x:f>
        <x:v>4.478879999999999</x:v>
      </x:c>
      <x:c r="E317" s="9" t="n">
        <x:f>C317*SUM('스킬 500종'!E317:H317)</x:f>
        <x:v>0</x:v>
      </x:c>
      <x:c r="F317" s="9" t="n">
        <x:f>C317*1.4*SUM('스킬 500종'!I317:J317)</x:f>
        <x:v>0</x:v>
      </x:c>
      <x:c r="G317" s="9" t="n">
        <x:f>SUM(D317:F317)</x:f>
        <x:v>4.478879999999999</x:v>
      </x:c>
      <x:c r="H317" s="9" t="n">
        <x:f>1.1+0.8*'스킬 500종'!W317</x:f>
        <x:v>5.1</x:v>
      </x:c>
      <x:c r="I317" s="10" t="n">
        <x:f>G317/H317</x:f>
        <x:v>0.8782117647058822</x:v>
      </x:c>
      <x:c r="J317" s="1" t="str">
        <x:f>IF(OR('스킬 500종'!I317&lt;0,'스킬 500종'!J317&lt;0,AND('스킬 500종'!I317&gt;0,'스킬 500종'!J317&gt;0),AND(OR('스킬 500종'!K317="HEAL",'스킬 500종'!N317="HEAL",'스킬 500종'!Q317="HEAL",'스킬 500종'!T317="HEAL"),'스킬 500종'!I317=0,'스킬 500종'!J317=0),AND('스킬 500종'!I317&gt;0,OR('스킬 500종'!K317="CONTINUOUS_HEAL",'스킬 500종'!N317="CONTINUOUS_HEAL",'스킬 500종'!Q317="CONTINUOUS_HEAL",'스킬 500종'!T317="CONTINUOUS_HEAL"))),"회복 기준 오류",IF(AND(G317&lt;=H317+0.00001,'스킬 500종'!W317&gt;=1,'스킬 500종'!W317&lt;=5),"정상","초과"))</x:f>
        <x:v>정상</x:v>
      </x:c>
    </x:row>
    <x:row r="318" ht="30" customHeight="1">
      <x:c r="A318" s="1" t="str">
        <x:f>'스킬 500종'!A318</x:f>
        <x:v>SKILL_0312</x:v>
      </x:c>
      <x:c r="B318" s="1" t="str">
        <x:f>'스킬 500종'!B318</x:f>
        <x:v>효과저항 증가 · 스킬 쿨타임 감소 · 은신의 의식</x:v>
      </x:c>
      <x:c r="C318" s="1" t="n">
        <x:f>1.6</x:f>
        <x:v>1.6</x:v>
      </x:c>
      <x:c r="D318" s="9" t="n">
        <x:f>C318*1.16*('효과 규칙 55종'!H14*'스킬 500종'!L318*'스킬 500종'!M318/'효과 규칙 55종'!D14+'효과 규칙 55종'!H52*'스킬 500종'!O318*'스킬 500종'!P318/'효과 규칙 55종'!D52+'효과 규칙 55종'!H41*'스킬 500종'!R318*'스킬 500종'!S318/'효과 규칙 55종'!D41)</x:f>
        <x:v>3.6526080000000003</x:v>
      </x:c>
      <x:c r="E318" s="9" t="n">
        <x:f>C318*SUM('스킬 500종'!E318:H318)</x:f>
        <x:v>0</x:v>
      </x:c>
      <x:c r="F318" s="9" t="n">
        <x:f>C318*1.4*SUM('스킬 500종'!I318:J318)</x:f>
        <x:v>0</x:v>
      </x:c>
      <x:c r="G318" s="9" t="n">
        <x:f>SUM(D318:F318)</x:f>
        <x:v>3.6526080000000003</x:v>
      </x:c>
      <x:c r="H318" s="9" t="n">
        <x:f>1.1+0.8*'스킬 500종'!W318</x:f>
        <x:v>4.300000000000001</x:v>
      </x:c>
      <x:c r="I318" s="10" t="n">
        <x:f>G318/H318</x:f>
        <x:v>0.8494437209302325</x:v>
      </x:c>
      <x:c r="J318" s="1" t="str">
        <x:f>IF(OR('스킬 500종'!I318&lt;0,'스킬 500종'!J318&lt;0,AND('스킬 500종'!I318&gt;0,'스킬 500종'!J318&gt;0),AND(OR('스킬 500종'!K318="HEAL",'스킬 500종'!N318="HEAL",'스킬 500종'!Q318="HEAL",'스킬 500종'!T318="HEAL"),'스킬 500종'!I318=0,'스킬 500종'!J318=0),AND('스킬 500종'!I318&gt;0,OR('스킬 500종'!K318="CONTINUOUS_HEAL",'스킬 500종'!N318="CONTINUOUS_HEAL",'스킬 500종'!Q318="CONTINUOUS_HEAL",'스킬 500종'!T318="CONTINUOUS_HEAL"))),"회복 기준 오류",IF(AND(G318&lt;=H318+0.00001,'스킬 500종'!W318&gt;=1,'스킬 500종'!W318&lt;=5),"정상","초과"))</x:f>
        <x:v>정상</x:v>
      </x:c>
    </x:row>
    <x:row r="319" ht="30" customHeight="1">
      <x:c r="A319" s="1" t="str">
        <x:f>'스킬 500종'!A319</x:f>
        <x:v>SKILL_0313</x:v>
      </x:c>
      <x:c r="B319" s="1" t="str">
        <x:f>'스킬 500종'!B319</x:f>
        <x:v>효과저항 증가 · 치명확률 증가의 의식</x:v>
      </x:c>
      <x:c r="C319" s="1" t="n">
        <x:f>1</x:f>
        <x:v>1</x:v>
      </x:c>
      <x:c r="D319" s="9" t="n">
        <x:f>C319*1.08*('효과 규칙 55종'!H14*'스킬 500종'!L319*'스킬 500종'!M319/'효과 규칙 55종'!D14+'효과 규칙 55종'!H11*'스킬 500종'!O319*'스킬 500종'!P319/'효과 규칙 55종'!D11)</x:f>
        <x:v>0.9234</x:v>
      </x:c>
      <x:c r="E319" s="9" t="n">
        <x:f>C319*SUM('스킬 500종'!E319:H319)</x:f>
        <x:v>0</x:v>
      </x:c>
      <x:c r="F319" s="9" t="n">
        <x:f>C319*1.4*SUM('스킬 500종'!I319:J319)</x:f>
        <x:v>0</x:v>
      </x:c>
      <x:c r="G319" s="9" t="n">
        <x:f>SUM(D319:F319)</x:f>
        <x:v>0.9234</x:v>
      </x:c>
      <x:c r="H319" s="9" t="n">
        <x:f>1.1+0.8*'스킬 500종'!W319</x:f>
        <x:v>1.9000000000000001</x:v>
      </x:c>
      <x:c r="I319" s="10" t="n">
        <x:f>G319/H319</x:f>
        <x:v>0.486</x:v>
      </x:c>
      <x:c r="J319" s="1" t="str">
        <x:f>IF(OR('스킬 500종'!I319&lt;0,'스킬 500종'!J319&lt;0,AND('스킬 500종'!I319&gt;0,'스킬 500종'!J319&gt;0),AND(OR('스킬 500종'!K319="HEAL",'스킬 500종'!N319="HEAL",'스킬 500종'!Q319="HEAL",'스킬 500종'!T319="HEAL"),'스킬 500종'!I319=0,'스킬 500종'!J319=0),AND('스킬 500종'!I319&gt;0,OR('스킬 500종'!K319="CONTINUOUS_HEAL",'스킬 500종'!N319="CONTINUOUS_HEAL",'스킬 500종'!Q319="CONTINUOUS_HEAL",'스킬 500종'!T319="CONTINUOUS_HEAL"))),"회복 기준 오류",IF(AND(G319&lt;=H319+0.00001,'스킬 500종'!W319&gt;=1,'스킬 500종'!W319&lt;=5),"정상","초과"))</x:f>
        <x:v>정상</x:v>
      </x:c>
    </x:row>
    <x:row r="320" ht="30" customHeight="1">
      <x:c r="A320" s="1" t="str">
        <x:f>'스킬 500종'!A320</x:f>
        <x:v>SKILL_0314</x:v>
      </x:c>
      <x:c r="B320" s="1" t="str">
        <x:f>'스킬 500종'!B320</x:f>
        <x:v>명중 증가 · 치명확률 증가 · 무적 · 은신의 의식</x:v>
      </x:c>
      <x:c r="C320" s="1" t="n">
        <x:f>1</x:f>
        <x:v>1</x:v>
      </x:c>
      <x:c r="D320" s="9" t="n">
        <x:f>C320*1.24*('효과 규칙 55종'!H17*'스킬 500종'!L320*'스킬 500종'!M320/'효과 규칙 55종'!D17+'효과 규칙 55종'!H11*'스킬 500종'!O320*'스킬 500종'!P320/'효과 규칙 55종'!D11+'효과 규칙 55종'!H38*'스킬 500종'!R320*'스킬 500종'!S320/'효과 규칙 55종'!D38+'효과 규칙 55종'!H41*'스킬 500종'!U320*'스킬 500종'!V320/'효과 규칙 55종'!D41)</x:f>
        <x:v>3.11178</x:v>
      </x:c>
      <x:c r="E320" s="9" t="n">
        <x:f>C320*SUM('스킬 500종'!E320:H320)</x:f>
        <x:v>0</x:v>
      </x:c>
      <x:c r="F320" s="9" t="n">
        <x:f>C320*1.4*SUM('스킬 500종'!I320:J320)</x:f>
        <x:v>0</x:v>
      </x:c>
      <x:c r="G320" s="9" t="n">
        <x:f>SUM(D320:F320)</x:f>
        <x:v>3.11178</x:v>
      </x:c>
      <x:c r="H320" s="9" t="n">
        <x:f>1.1+0.8*'스킬 500종'!W320</x:f>
        <x:v>3.5000000000000004</x:v>
      </x:c>
      <x:c r="I320" s="10" t="n">
        <x:f>G320/H320</x:f>
        <x:v>0.8890799999999999</x:v>
      </x:c>
      <x:c r="J320" s="1" t="str">
        <x:f>IF(OR('스킬 500종'!I320&lt;0,'스킬 500종'!J320&lt;0,AND('스킬 500종'!I320&gt;0,'스킬 500종'!J320&gt;0),AND(OR('스킬 500종'!K320="HEAL",'스킬 500종'!N320="HEAL",'스킬 500종'!Q320="HEAL",'스킬 500종'!T320="HEAL"),'스킬 500종'!I320=0,'스킬 500종'!J320=0),AND('스킬 500종'!I320&gt;0,OR('스킬 500종'!K320="CONTINUOUS_HEAL",'스킬 500종'!N320="CONTINUOUS_HEAL",'스킬 500종'!Q320="CONTINUOUS_HEAL",'스킬 500종'!T320="CONTINUOUS_HEAL"))),"회복 기준 오류",IF(AND(G320&lt;=H320+0.00001,'스킬 500종'!W320&gt;=1,'스킬 500종'!W320&lt;=5),"정상","초과"))</x:f>
        <x:v>정상</x:v>
      </x:c>
    </x:row>
    <x:row r="321" ht="30" customHeight="1">
      <x:c r="A321" s="1" t="str">
        <x:f>'스킬 500종'!A321</x:f>
        <x:v>SKILL_0315</x:v>
      </x:c>
      <x:c r="B321" s="1" t="str">
        <x:f>'스킬 500종'!B321</x:f>
        <x:v>피해 감소 · 치명피해 증가 · 반격의 의식</x:v>
      </x:c>
      <x:c r="C321" s="1" t="n">
        <x:f>2.4</x:f>
        <x:v>2.4</x:v>
      </x:c>
      <x:c r="D321" s="9" t="n">
        <x:f>C321*1.16*('효과 규칙 55종'!H42*'스킬 500종'!L321*'스킬 500종'!M321/'효과 규칙 55종'!D42+'효과 규칙 55종'!H12*'스킬 500종'!O321*'스킬 500종'!P321/'효과 규칙 55종'!D12+'효과 규칙 55종'!H51*'스킬 500종'!R321*'스킬 500종'!S321/'효과 규칙 55종'!D51)</x:f>
        <x:v>3.652608</x:v>
      </x:c>
      <x:c r="E321" s="9" t="n">
        <x:f>C321*SUM('스킬 500종'!E321:H321)</x:f>
        <x:v>0</x:v>
      </x:c>
      <x:c r="F321" s="9" t="n">
        <x:f>C321*1.4*SUM('스킬 500종'!I321:J321)</x:f>
        <x:v>0</x:v>
      </x:c>
      <x:c r="G321" s="9" t="n">
        <x:f>SUM(D321:F321)</x:f>
        <x:v>3.652608</x:v>
      </x:c>
      <x:c r="H321" s="9" t="n">
        <x:f>1.1+0.8*'스킬 500종'!W321</x:f>
        <x:v>4.300000000000001</x:v>
      </x:c>
      <x:c r="I321" s="10" t="n">
        <x:f>G321/H321</x:f>
        <x:v>0.8494437209302323</x:v>
      </x:c>
      <x:c r="J321" s="1" t="str">
        <x:f>IF(OR('스킬 500종'!I321&lt;0,'스킬 500종'!J321&lt;0,AND('스킬 500종'!I321&gt;0,'스킬 500종'!J321&gt;0),AND(OR('스킬 500종'!K321="HEAL",'스킬 500종'!N321="HEAL",'스킬 500종'!Q321="HEAL",'스킬 500종'!T321="HEAL"),'스킬 500종'!I321=0,'스킬 500종'!J321=0),AND('스킬 500종'!I321&gt;0,OR('스킬 500종'!K321="CONTINUOUS_HEAL",'스킬 500종'!N321="CONTINUOUS_HEAL",'스킬 500종'!Q321="CONTINUOUS_HEAL",'스킬 500종'!T321="CONTINUOUS_HEAL"))),"회복 기준 오류",IF(AND(G321&lt;=H321+0.00001,'스킬 500종'!W321&gt;=1,'스킬 500종'!W321&lt;=5),"정상","초과"))</x:f>
        <x:v>정상</x:v>
      </x:c>
    </x:row>
    <x:row r="322" ht="30" customHeight="1">
      <x:c r="A322" s="1" t="str">
        <x:f>'스킬 500종'!A322</x:f>
        <x:v>SKILL_0316</x:v>
      </x:c>
      <x:c r="B322" s="1" t="str">
        <x:f>'스킬 500종'!B322</x:f>
        <x:v>부활 · 공격력 증가 · 약화효과 해제의 의식</x:v>
      </x:c>
      <x:c r="C322" s="1" t="n">
        <x:f>1</x:f>
        <x:v>1</x:v>
      </x:c>
      <x:c r="D322" s="9" t="n">
        <x:f>C322*1.16*('효과 규칙 55종'!H45*'스킬 500종'!L322*'스킬 500종'!M322/'효과 규칙 55종'!D45+'효과 규칙 55종'!H7*'스킬 500종'!O322*'스킬 500종'!P322/'효과 규칙 55종'!D7+'효과 규칙 55종'!H57*'스킬 500종'!R322*'스킬 500종'!S322/'효과 규칙 55종'!D57)</x:f>
        <x:v>5.00308</x:v>
      </x:c>
      <x:c r="E322" s="9" t="n">
        <x:f>C322*SUM('스킬 500종'!E322:H322)</x:f>
        <x:v>0</x:v>
      </x:c>
      <x:c r="F322" s="9" t="n">
        <x:f>C322*1.4*SUM('스킬 500종'!I322:J322)</x:f>
        <x:v>0</x:v>
      </x:c>
      <x:c r="G322" s="9" t="n">
        <x:f>SUM(D322:F322)</x:f>
        <x:v>5.00308</x:v>
      </x:c>
      <x:c r="H322" s="9" t="n">
        <x:f>1.1+0.8*'스킬 500종'!W322</x:f>
        <x:v>5.1</x:v>
      </x:c>
      <x:c r="I322" s="10" t="n">
        <x:f>G322/H322</x:f>
        <x:v>0.9809960784313726</x:v>
      </x:c>
      <x:c r="J322" s="1" t="str">
        <x:f>IF(OR('스킬 500종'!I322&lt;0,'스킬 500종'!J322&lt;0,AND('스킬 500종'!I322&gt;0,'스킬 500종'!J322&gt;0),AND(OR('스킬 500종'!K322="HEAL",'스킬 500종'!N322="HEAL",'스킬 500종'!Q322="HEAL",'스킬 500종'!T322="HEAL"),'스킬 500종'!I322=0,'스킬 500종'!J322=0),AND('스킬 500종'!I322&gt;0,OR('스킬 500종'!K322="CONTINUOUS_HEAL",'스킬 500종'!N322="CONTINUOUS_HEAL",'스킬 500종'!Q322="CONTINUOUS_HEAL",'스킬 500종'!T322="CONTINUOUS_HEAL"))),"회복 기준 오류",IF(AND(G322&lt;=H322+0.00001,'스킬 500종'!W322&gt;=1,'스킬 500종'!W322&lt;=5),"정상","초과"))</x:f>
        <x:v>정상</x:v>
      </x:c>
    </x:row>
    <x:row r="323" ht="30" customHeight="1">
      <x:c r="A323" s="1" t="str">
        <x:f>'스킬 500종'!A323</x:f>
        <x:v>SKILL_0317</x:v>
      </x:c>
      <x:c r="B323" s="1" t="str">
        <x:f>'스킬 500종'!B323</x:f>
        <x:v>치명저항 증가 · 반격 · 피해 반사 · 은신의 의식</x:v>
      </x:c>
      <x:c r="C323" s="1" t="n">
        <x:f>1</x:f>
        <x:v>1</x:v>
      </x:c>
      <x:c r="D323" s="9" t="n">
        <x:f>C323*1.24*('효과 규칙 55종'!H16*'스킬 500종'!L323*'스킬 500종'!M323/'효과 규칙 55종'!D16+'효과 규칙 55종'!H51*'스킬 500종'!O323*'스킬 500종'!P323/'효과 규칙 55종'!D51+'효과 규칙 55종'!H44*'스킬 500종'!R323*'스킬 500종'!S323/'효과 규칙 55종'!D44+'효과 규칙 55종'!H41*'스킬 500종'!U323*'스킬 500종'!V323/'효과 규칙 55종'!D41)</x:f>
        <x:v>1.8520515999999996</x:v>
      </x:c>
      <x:c r="E323" s="9" t="n">
        <x:f>C323*SUM('스킬 500종'!E323:H323)</x:f>
        <x:v>0</x:v>
      </x:c>
      <x:c r="F323" s="9" t="n">
        <x:f>C323*1.4*SUM('스킬 500종'!I323:J323)</x:f>
        <x:v>0</x:v>
      </x:c>
      <x:c r="G323" s="9" t="n">
        <x:f>SUM(D323:F323)</x:f>
        <x:v>1.8520515999999996</x:v>
      </x:c>
      <x:c r="H323" s="9" t="n">
        <x:f>1.1+0.8*'스킬 500종'!W323</x:f>
        <x:v>1.9000000000000001</x:v>
      </x:c>
      <x:c r="I323" s="10" t="n">
        <x:f>G323/H323</x:f>
        <x:v>0.9747639999999997</x:v>
      </x:c>
      <x:c r="J323" s="1" t="str">
        <x:f>IF(OR('스킬 500종'!I323&lt;0,'스킬 500종'!J323&lt;0,AND('스킬 500종'!I323&gt;0,'스킬 500종'!J323&gt;0),AND(OR('스킬 500종'!K323="HEAL",'스킬 500종'!N323="HEAL",'스킬 500종'!Q323="HEAL",'스킬 500종'!T323="HEAL"),'스킬 500종'!I323=0,'스킬 500종'!J323=0),AND('스킬 500종'!I323&gt;0,OR('스킬 500종'!K323="CONTINUOUS_HEAL",'스킬 500종'!N323="CONTINUOUS_HEAL",'스킬 500종'!Q323="CONTINUOUS_HEAL",'스킬 500종'!T323="CONTINUOUS_HEAL"))),"회복 기준 오류",IF(AND(G323&lt;=H323+0.00001,'스킬 500종'!W323&gt;=1,'스킬 500종'!W323&lt;=5),"정상","초과"))</x:f>
        <x:v>정상</x:v>
      </x:c>
    </x:row>
    <x:row r="324" ht="30" customHeight="1">
      <x:c r="A324" s="1" t="str">
        <x:f>'스킬 500종'!A324</x:f>
        <x:v>SKILL_0318</x:v>
      </x:c>
      <x:c r="B324" s="1" t="str">
        <x:f>'스킬 500종'!B324</x:f>
        <x:v>불사 · 강화효과 지속시간 증가의 의식</x:v>
      </x:c>
      <x:c r="C324" s="1" t="n">
        <x:f>1</x:f>
        <x:v>1</x:v>
      </x:c>
      <x:c r="D324" s="9" t="n">
        <x:f>C324*1.08*('효과 규칙 55종'!H39*'스킬 500종'!L324*'스킬 500종'!M324/'효과 규칙 55종'!D39+'효과 규칙 55종'!H58*'스킬 500종'!O324*'스킬 500종'!P324/'효과 규칙 55종'!D58)</x:f>
        <x:v>2.8188</x:v>
      </x:c>
      <x:c r="E324" s="9" t="n">
        <x:f>C324*SUM('스킬 500종'!E324:H324)</x:f>
        <x:v>0</x:v>
      </x:c>
      <x:c r="F324" s="9" t="n">
        <x:f>C324*1.4*SUM('스킬 500종'!I324:J324)</x:f>
        <x:v>0</x:v>
      </x:c>
      <x:c r="G324" s="9" t="n">
        <x:f>SUM(D324:F324)</x:f>
        <x:v>2.8188</x:v>
      </x:c>
      <x:c r="H324" s="9" t="n">
        <x:f>1.1+0.8*'스킬 500종'!W324</x:f>
        <x:v>3.5000000000000004</x:v>
      </x:c>
      <x:c r="I324" s="10" t="n">
        <x:f>G324/H324</x:f>
        <x:v>0.8053714285714285</x:v>
      </x:c>
      <x:c r="J324" s="1" t="str">
        <x:f>IF(OR('스킬 500종'!I324&lt;0,'스킬 500종'!J324&lt;0,AND('스킬 500종'!I324&gt;0,'스킬 500종'!J324&gt;0),AND(OR('스킬 500종'!K324="HEAL",'스킬 500종'!N324="HEAL",'스킬 500종'!Q324="HEAL",'스킬 500종'!T324="HEAL"),'스킬 500종'!I324=0,'스킬 500종'!J324=0),AND('스킬 500종'!I324&gt;0,OR('스킬 500종'!K324="CONTINUOUS_HEAL",'스킬 500종'!N324="CONTINUOUS_HEAL",'스킬 500종'!Q324="CONTINUOUS_HEAL",'스킬 500종'!T324="CONTINUOUS_HEAL"))),"회복 기준 오류",IF(AND(G324&lt;=H324+0.00001,'스킬 500종'!W324&gt;=1,'스킬 500종'!W324&lt;=5),"정상","초과"))</x:f>
        <x:v>정상</x:v>
      </x:c>
    </x:row>
    <x:row r="325" ht="30" customHeight="1">
      <x:c r="A325" s="1" t="str">
        <x:f>'스킬 500종'!A325</x:f>
        <x:v>SKILL_0319</x:v>
      </x:c>
      <x:c r="B325" s="1" t="str">
        <x:f>'스킬 500종'!B325</x:f>
        <x:v>피해 분담 · 지속 회복 · 무적의 의식</x:v>
      </x:c>
      <x:c r="C325" s="1" t="n">
        <x:f>1</x:f>
        <x:v>1</x:v>
      </x:c>
      <x:c r="D325" s="9" t="n">
        <x:f>C325*1.16*('효과 규칙 55종'!H43*'스킬 500종'!L325*'스킬 500종'!M325/'효과 규칙 55종'!D43+'효과 규칙 55종'!H35*'스킬 500종'!O325*'스킬 500종'!P325/'효과 규칙 55종'!D35+'효과 규칙 55종'!H38*'스킬 500종'!R325*'스킬 500종'!S325/'효과 규칙 55종'!D38)</x:f>
        <x:v>3.0438400000000003</x:v>
      </x:c>
      <x:c r="E325" s="9" t="n">
        <x:f>C325*SUM('스킬 500종'!E325:H325)</x:f>
        <x:v>0</x:v>
      </x:c>
      <x:c r="F325" s="9" t="n">
        <x:f>C325*1.4*SUM('스킬 500종'!I325:J325)</x:f>
        <x:v>0</x:v>
      </x:c>
      <x:c r="G325" s="9" t="n">
        <x:f>SUM(D325:F325)</x:f>
        <x:v>3.0438400000000003</x:v>
      </x:c>
      <x:c r="H325" s="9" t="n">
        <x:f>1.1+0.8*'스킬 500종'!W325</x:f>
        <x:v>3.5000000000000004</x:v>
      </x:c>
      <x:c r="I325" s="10" t="n">
        <x:f>G325/H325</x:f>
        <x:v>0.8696685714285715</x:v>
      </x:c>
      <x:c r="J325" s="1" t="str">
        <x:f>IF(OR('스킬 500종'!I325&lt;0,'스킬 500종'!J325&lt;0,AND('스킬 500종'!I325&gt;0,'스킬 500종'!J325&gt;0),AND(OR('스킬 500종'!K325="HEAL",'스킬 500종'!N325="HEAL",'스킬 500종'!Q325="HEAL",'스킬 500종'!T325="HEAL"),'스킬 500종'!I325=0,'스킬 500종'!J325=0),AND('스킬 500종'!I325&gt;0,OR('스킬 500종'!K325="CONTINUOUS_HEAL",'스킬 500종'!N325="CONTINUOUS_HEAL",'스킬 500종'!Q325="CONTINUOUS_HEAL",'스킬 500종'!T325="CONTINUOUS_HEAL"))),"회복 기준 오류",IF(AND(G325&lt;=H325+0.00001,'스킬 500종'!W325&gt;=1,'스킬 500종'!W325&lt;=5),"정상","초과"))</x:f>
        <x:v>정상</x:v>
      </x:c>
    </x:row>
    <x:row r="326" ht="30" customHeight="1">
      <x:c r="A326" s="1" t="str">
        <x:f>'스킬 500종'!A326</x:f>
        <x:v>SKILL_0320</x:v>
      </x:c>
      <x:c r="B326" s="1" t="str">
        <x:f>'스킬 500종'!B326</x:f>
        <x:v>강화효과 지속시간 증가 · 공격력 증가(대)의 의식</x:v>
      </x:c>
      <x:c r="C326" s="1" t="n">
        <x:f>1.6</x:f>
        <x:v>1.6</x:v>
      </x:c>
      <x:c r="D326" s="9" t="n">
        <x:f>C326*1.08*('효과 규칙 55종'!H58*'스킬 500종'!L326*'스킬 500종'!M326/'효과 규칙 55종'!D58+'효과 규칙 55종'!H8*'스킬 500종'!O326*'스킬 500종'!P326/'효과 규칙 55종'!D8)</x:f>
        <x:v>3.0326400000000002</x:v>
      </x:c>
      <x:c r="E326" s="9" t="n">
        <x:f>C326*SUM('스킬 500종'!E326:H326)</x:f>
        <x:v>0</x:v>
      </x:c>
      <x:c r="F326" s="9" t="n">
        <x:f>C326*1.4*SUM('스킬 500종'!I326:J326)</x:f>
        <x:v>0</x:v>
      </x:c>
      <x:c r="G326" s="9" t="n">
        <x:f>SUM(D326:F326)</x:f>
        <x:v>3.0326400000000002</x:v>
      </x:c>
      <x:c r="H326" s="9" t="n">
        <x:f>1.1+0.8*'스킬 500종'!W326</x:f>
        <x:v>3.5000000000000004</x:v>
      </x:c>
      <x:c r="I326" s="10" t="n">
        <x:f>G326/H326</x:f>
        <x:v>0.8664685714285714</x:v>
      </x:c>
      <x:c r="J326" s="1" t="str">
        <x:f>IF(OR('스킬 500종'!I326&lt;0,'스킬 500종'!J326&lt;0,AND('스킬 500종'!I326&gt;0,'스킬 500종'!J326&gt;0),AND(OR('스킬 500종'!K326="HEAL",'스킬 500종'!N326="HEAL",'스킬 500종'!Q326="HEAL",'스킬 500종'!T326="HEAL"),'스킬 500종'!I326=0,'스킬 500종'!J326=0),AND('스킬 500종'!I326&gt;0,OR('스킬 500종'!K326="CONTINUOUS_HEAL",'스킬 500종'!N326="CONTINUOUS_HEAL",'스킬 500종'!Q326="CONTINUOUS_HEAL",'스킬 500종'!T326="CONTINUOUS_HEAL"))),"회복 기준 오류",IF(AND(G326&lt;=H326+0.00001,'스킬 500종'!W326&gt;=1,'스킬 500종'!W326&lt;=5),"정상","초과"))</x:f>
        <x:v>정상</x:v>
      </x:c>
    </x:row>
    <x:row r="327" ht="30" customHeight="1">
      <x:c r="A327" s="1" t="str">
        <x:f>'스킬 500종'!A327</x:f>
        <x:v>SKILL_0321</x:v>
      </x:c>
      <x:c r="B327" s="1" t="str">
        <x:f>'스킬 500종'!B327</x:f>
        <x:v>불사 · 약화효과 해제 · 회피 증가의 의식</x:v>
      </x:c>
      <x:c r="C327" s="1" t="n">
        <x:f>1</x:f>
        <x:v>1</x:v>
      </x:c>
      <x:c r="D327" s="9" t="n">
        <x:f>C327*1.16*('효과 규칙 55종'!H39*'스킬 500종'!L327*'스킬 500종'!M327/'효과 규칙 55종'!D39+'효과 규칙 55종'!H57*'스킬 500종'!O327*'스킬 500종'!P327/'효과 규칙 55종'!D57+'효과 규칙 55종'!H15*'스킬 500종'!R327*'스킬 500종'!S327/'효과 규칙 55종'!D15)</x:f>
        <x:v>2.9696</x:v>
      </x:c>
      <x:c r="E327" s="9" t="n">
        <x:f>C327*SUM('스킬 500종'!E327:H327)</x:f>
        <x:v>0</x:v>
      </x:c>
      <x:c r="F327" s="9" t="n">
        <x:f>C327*1.4*SUM('스킬 500종'!I327:J327)</x:f>
        <x:v>0</x:v>
      </x:c>
      <x:c r="G327" s="9" t="n">
        <x:f>SUM(D327:F327)</x:f>
        <x:v>2.9696</x:v>
      </x:c>
      <x:c r="H327" s="9" t="n">
        <x:f>1.1+0.8*'스킬 500종'!W327</x:f>
        <x:v>3.5000000000000004</x:v>
      </x:c>
      <x:c r="I327" s="10" t="n">
        <x:f>G327/H327</x:f>
        <x:v>0.8484571428571427</x:v>
      </x:c>
      <x:c r="J327" s="1" t="str">
        <x:f>IF(OR('스킬 500종'!I327&lt;0,'스킬 500종'!J327&lt;0,AND('스킬 500종'!I327&gt;0,'스킬 500종'!J327&gt;0),AND(OR('스킬 500종'!K327="HEAL",'스킬 500종'!N327="HEAL",'스킬 500종'!Q327="HEAL",'스킬 500종'!T327="HEAL"),'스킬 500종'!I327=0,'스킬 500종'!J327=0),AND('스킬 500종'!I327&gt;0,OR('스킬 500종'!K327="CONTINUOUS_HEAL",'스킬 500종'!N327="CONTINUOUS_HEAL",'스킬 500종'!Q327="CONTINUOUS_HEAL",'스킬 500종'!T327="CONTINUOUS_HEAL"))),"회복 기준 오류",IF(AND(G327&lt;=H327+0.00001,'스킬 500종'!W327&gt;=1,'스킬 500종'!W327&lt;=5),"정상","초과"))</x:f>
        <x:v>정상</x:v>
      </x:c>
    </x:row>
    <x:row r="328" ht="30" customHeight="1">
      <x:c r="A328" s="1" t="str">
        <x:f>'스킬 500종'!A328</x:f>
        <x:v>SKILL_0322</x:v>
      </x:c>
      <x:c r="B328" s="1" t="str">
        <x:f>'스킬 500종'!B328</x:f>
        <x:v>불사 · 지속 회복 · 공격력 증가(대)의 의식</x:v>
      </x:c>
      <x:c r="C328" s="1" t="n">
        <x:f>1</x:f>
        <x:v>1</x:v>
      </x:c>
      <x:c r="D328" s="9" t="n">
        <x:f>C328*1.16*('효과 규칙 55종'!H39*'스킬 500종'!L328*'스킬 500종'!M328/'효과 규칙 55종'!D39+'효과 규칙 55종'!H35*'스킬 500종'!O328*'스킬 500종'!P328/'효과 규칙 55종'!D35+'효과 규칙 55종'!H8*'스킬 500종'!R328*'스킬 500종'!S328/'효과 규칙 55종'!D8)</x:f>
        <x:v>2.8768000000000002</x:v>
      </x:c>
      <x:c r="E328" s="9" t="n">
        <x:f>C328*SUM('스킬 500종'!E328:H328)</x:f>
        <x:v>0</x:v>
      </x:c>
      <x:c r="F328" s="9" t="n">
        <x:f>C328*1.4*SUM('스킬 500종'!I328:J328)</x:f>
        <x:v>0</x:v>
      </x:c>
      <x:c r="G328" s="9" t="n">
        <x:f>SUM(D328:F328)</x:f>
        <x:v>2.8768000000000002</x:v>
      </x:c>
      <x:c r="H328" s="9" t="n">
        <x:f>1.1+0.8*'스킬 500종'!W328</x:f>
        <x:v>3.5000000000000004</x:v>
      </x:c>
      <x:c r="I328" s="10" t="n">
        <x:f>G328/H328</x:f>
        <x:v>0.8219428571428571</x:v>
      </x:c>
      <x:c r="J328" s="1" t="str">
        <x:f>IF(OR('스킬 500종'!I328&lt;0,'스킬 500종'!J328&lt;0,AND('스킬 500종'!I328&gt;0,'스킬 500종'!J328&gt;0),AND(OR('스킬 500종'!K328="HEAL",'스킬 500종'!N328="HEAL",'스킬 500종'!Q328="HEAL",'스킬 500종'!T328="HEAL"),'스킬 500종'!I328=0,'스킬 500종'!J328=0),AND('스킬 500종'!I328&gt;0,OR('스킬 500종'!K328="CONTINUOUS_HEAL",'스킬 500종'!N328="CONTINUOUS_HEAL",'스킬 500종'!Q328="CONTINUOUS_HEAL",'스킬 500종'!T328="CONTINUOUS_HEAL"))),"회복 기준 오류",IF(AND(G328&lt;=H328+0.00001,'스킬 500종'!W328&gt;=1,'스킬 500종'!W328&lt;=5),"정상","초과"))</x:f>
        <x:v>정상</x:v>
      </x:c>
    </x:row>
    <x:row r="329" ht="30" customHeight="1">
      <x:c r="A329" s="1" t="str">
        <x:f>'스킬 500종'!A329</x:f>
        <x:v>SKILL_0323</x:v>
      </x:c>
      <x:c r="B329" s="1" t="str">
        <x:f>'스킬 500종'!B329</x:f>
        <x:v>약화효과 해제 · 방어력 증가 · 면역의 의식</x:v>
      </x:c>
      <x:c r="C329" s="1" t="n">
        <x:f>2.4</x:f>
        <x:v>2.4</x:v>
      </x:c>
      <x:c r="D329" s="9" t="n">
        <x:f>C329*1.16*('효과 규칙 55종'!H57*'스킬 500종'!L329*'스킬 500종'!M329/'효과 규칙 55종'!D57+'효과 규칙 55종'!H9*'스킬 500종'!O329*'스킬 500종'!P329/'효과 규칙 55종'!D9+'효과 규칙 55종'!H40*'스킬 500종'!R329*'스킬 500종'!S329/'효과 규칙 55종'!D40)</x:f>
        <x:v>4.654848</x:v>
      </x:c>
      <x:c r="E329" s="9" t="n">
        <x:f>C329*SUM('스킬 500종'!E329:H329)</x:f>
        <x:v>0</x:v>
      </x:c>
      <x:c r="F329" s="9" t="n">
        <x:f>C329*1.4*SUM('스킬 500종'!I329:J329)</x:f>
        <x:v>0</x:v>
      </x:c>
      <x:c r="G329" s="9" t="n">
        <x:f>SUM(D329:F329)</x:f>
        <x:v>4.654848</x:v>
      </x:c>
      <x:c r="H329" s="9" t="n">
        <x:f>1.1+0.8*'스킬 500종'!W329</x:f>
        <x:v>5.1</x:v>
      </x:c>
      <x:c r="I329" s="10" t="n">
        <x:f>G329/H329</x:f>
        <x:v>0.9127152941176472</x:v>
      </x:c>
      <x:c r="J329" s="1" t="str">
        <x:f>IF(OR('스킬 500종'!I329&lt;0,'스킬 500종'!J329&lt;0,AND('스킬 500종'!I329&gt;0,'스킬 500종'!J329&gt;0),AND(OR('스킬 500종'!K329="HEAL",'스킬 500종'!N329="HEAL",'스킬 500종'!Q329="HEAL",'스킬 500종'!T329="HEAL"),'스킬 500종'!I329=0,'스킬 500종'!J329=0),AND('스킬 500종'!I329&gt;0,OR('스킬 500종'!K329="CONTINUOUS_HEAL",'스킬 500종'!N329="CONTINUOUS_HEAL",'스킬 500종'!Q329="CONTINUOUS_HEAL",'스킬 500종'!T329="CONTINUOUS_HEAL"))),"회복 기준 오류",IF(AND(G329&lt;=H329+0.00001,'스킬 500종'!W329&gt;=1,'스킬 500종'!W329&lt;=5),"정상","초과"))</x:f>
        <x:v>정상</x:v>
      </x:c>
    </x:row>
    <x:row r="330" ht="30" customHeight="1">
      <x:c r="A330" s="1" t="str">
        <x:f>'스킬 500종'!A330</x:f>
        <x:v>SKILL_0324</x:v>
      </x:c>
      <x:c r="B330" s="1" t="str">
        <x:f>'스킬 500종'!B330</x:f>
        <x:v>강화효과 지속시간 증가 · 공격력 증가(대) · 피해 반사 · 생명력 회복의 의식</x:v>
      </x:c>
      <x:c r="C330" s="1" t="n">
        <x:f>1.6</x:f>
        <x:v>1.6</x:v>
      </x:c>
      <x:c r="D330" s="9" t="n">
        <x:f>C330*1.24*('효과 규칙 55종'!H58*'스킬 500종'!L330*'스킬 500종'!M330/'효과 규칙 55종'!D58+'효과 규칙 55종'!H8*'스킬 500종'!O330*'스킬 500종'!P330/'효과 규칙 55종'!D8+'효과 규칙 55종'!H44*'스킬 500종'!R330*'스킬 500종'!S330/'효과 규칙 55종'!D44+'효과 규칙 55종'!H34*'스킬 500종'!U330*'스킬 500종'!V330/'효과 규칙 55종'!D34)</x:f>
        <x:v>2.788016</x:v>
      </x:c>
      <x:c r="E330" s="9" t="n">
        <x:f>C330*SUM('스킬 500종'!E330:H330)</x:f>
        <x:v>0</x:v>
      </x:c>
      <x:c r="F330" s="9" t="n">
        <x:f>C330*1.4*SUM('스킬 500종'!I330:J330)</x:f>
        <x:v>0.40319999999999995</x:v>
      </x:c>
      <x:c r="G330" s="9" t="n">
        <x:f>SUM(D330:F330)</x:f>
        <x:v>3.191216</x:v>
      </x:c>
      <x:c r="H330" s="9" t="n">
        <x:f>1.1+0.8*'스킬 500종'!W330</x:f>
        <x:v>3.5000000000000004</x:v>
      </x:c>
      <x:c r="I330" s="10" t="n">
        <x:f>G330/H330</x:f>
        <x:v>0.9117759999999998</x:v>
      </x:c>
      <x:c r="J330" s="1" t="str">
        <x:f>IF(OR('스킬 500종'!I330&lt;0,'스킬 500종'!J330&lt;0,AND('스킬 500종'!I330&gt;0,'스킬 500종'!J330&gt;0),AND(OR('스킬 500종'!K330="HEAL",'스킬 500종'!N330="HEAL",'스킬 500종'!Q330="HEAL",'스킬 500종'!T330="HEAL"),'스킬 500종'!I330=0,'스킬 500종'!J330=0),AND('스킬 500종'!I330&gt;0,OR('스킬 500종'!K330="CONTINUOUS_HEAL",'스킬 500종'!N330="CONTINUOUS_HEAL",'스킬 500종'!Q330="CONTINUOUS_HEAL",'스킬 500종'!T330="CONTINUOUS_HEAL"))),"회복 기준 오류",IF(AND(G330&lt;=H330+0.00001,'스킬 500종'!W330&gt;=1,'스킬 500종'!W330&lt;=5),"정상","초과"))</x:f>
        <x:v>정상</x:v>
      </x:c>
    </x:row>
    <x:row r="331" ht="30" customHeight="1">
      <x:c r="A331" s="1" t="str">
        <x:f>'스킬 500종'!A331</x:f>
        <x:v>SKILL_0325</x:v>
      </x:c>
      <x:c r="B331" s="1" t="str">
        <x:f>'스킬 500종'!B331</x:f>
        <x:v>면역 · 보호막의 의식</x:v>
      </x:c>
      <x:c r="C331" s="1" t="n">
        <x:f>1</x:f>
        <x:v>1</x:v>
      </x:c>
      <x:c r="D331" s="9" t="n">
        <x:f>C331*1.08*('효과 규칙 55종'!H40*'스킬 500종'!L331*'스킬 500종'!M331/'효과 규칙 55종'!D40+'효과 규칙 55종'!H37*'스킬 500종'!O331*'스킬 500종'!P331/'효과 규칙 55종'!D37)</x:f>
        <x:v>1.4580000000000002</x:v>
      </x:c>
      <x:c r="E331" s="9" t="n">
        <x:f>C331*SUM('스킬 500종'!E331:H331)</x:f>
        <x:v>0</x:v>
      </x:c>
      <x:c r="F331" s="9" t="n">
        <x:f>C331*1.4*SUM('스킬 500종'!I331:J331)</x:f>
        <x:v>0</x:v>
      </x:c>
      <x:c r="G331" s="9" t="n">
        <x:f>SUM(D331:F331)</x:f>
        <x:v>1.4580000000000002</x:v>
      </x:c>
      <x:c r="H331" s="9" t="n">
        <x:f>1.1+0.8*'스킬 500종'!W331</x:f>
        <x:v>1.9000000000000001</x:v>
      </x:c>
      <x:c r="I331" s="10" t="n">
        <x:f>G331/H331</x:f>
        <x:v>0.7673684210526316</x:v>
      </x:c>
      <x:c r="J331" s="1" t="str">
        <x:f>IF(OR('스킬 500종'!I331&lt;0,'스킬 500종'!J331&lt;0,AND('스킬 500종'!I331&gt;0,'스킬 500종'!J331&gt;0),AND(OR('스킬 500종'!K331="HEAL",'스킬 500종'!N331="HEAL",'스킬 500종'!Q331="HEAL",'스킬 500종'!T331="HEAL"),'스킬 500종'!I331=0,'스킬 500종'!J331=0),AND('스킬 500종'!I331&gt;0,OR('스킬 500종'!K331="CONTINUOUS_HEAL",'스킬 500종'!N331="CONTINUOUS_HEAL",'스킬 500종'!Q331="CONTINUOUS_HEAL",'스킬 500종'!T331="CONTINUOUS_HEAL"))),"회복 기준 오류",IF(AND(G331&lt;=H331+0.00001,'스킬 500종'!W331&gt;=1,'스킬 500종'!W331&lt;=5),"정상","초과"))</x:f>
        <x:v>정상</x:v>
      </x:c>
    </x:row>
    <x:row r="332" ht="30" customHeight="1">
      <x:c r="A332" s="1" t="str">
        <x:f>'스킬 500종'!A332</x:f>
        <x:v>SKILL_0326</x:v>
      </x:c>
      <x:c r="B332" s="1" t="str">
        <x:f>'스킬 500종'!B332</x:f>
        <x:v>지속 회복 · 스킬 쿨타임 초기화 · 강화효과 지속시간 증가의 의식</x:v>
      </x:c>
      <x:c r="C332" s="1" t="n">
        <x:f>1</x:f>
        <x:v>1</x:v>
      </x:c>
      <x:c r="D332" s="9" t="n">
        <x:f>C332*1.16*('효과 규칙 55종'!H35*'스킬 500종'!L332*'스킬 500종'!M332/'효과 규칙 55종'!D35+'효과 규칙 55종'!H53*'스킬 500종'!O332*'스킬 500종'!P332/'효과 규칙 55종'!D53+'효과 규칙 55종'!H58*'스킬 500종'!R332*'스킬 500종'!S332/'효과 규칙 55종'!D58)</x:f>
        <x:v>4.21312</x:v>
      </x:c>
      <x:c r="E332" s="9" t="n">
        <x:f>C332*SUM('스킬 500종'!E332:H332)</x:f>
        <x:v>0</x:v>
      </x:c>
      <x:c r="F332" s="9" t="n">
        <x:f>C332*1.4*SUM('스킬 500종'!I332:J332)</x:f>
        <x:v>0</x:v>
      </x:c>
      <x:c r="G332" s="9" t="n">
        <x:f>SUM(D332:F332)</x:f>
        <x:v>4.21312</x:v>
      </x:c>
      <x:c r="H332" s="9" t="n">
        <x:f>1.1+0.8*'스킬 500종'!W332</x:f>
        <x:v>5.1</x:v>
      </x:c>
      <x:c r="I332" s="10" t="n">
        <x:f>G332/H332</x:f>
        <x:v>0.8261019607843137</x:v>
      </x:c>
      <x:c r="J332" s="1" t="str">
        <x:f>IF(OR('스킬 500종'!I332&lt;0,'스킬 500종'!J332&lt;0,AND('스킬 500종'!I332&gt;0,'스킬 500종'!J332&gt;0),AND(OR('스킬 500종'!K332="HEAL",'스킬 500종'!N332="HEAL",'스킬 500종'!Q332="HEAL",'스킬 500종'!T332="HEAL"),'스킬 500종'!I332=0,'스킬 500종'!J332=0),AND('스킬 500종'!I332&gt;0,OR('스킬 500종'!K332="CONTINUOUS_HEAL",'스킬 500종'!N332="CONTINUOUS_HEAL",'스킬 500종'!Q332="CONTINUOUS_HEAL",'스킬 500종'!T332="CONTINUOUS_HEAL"))),"회복 기준 오류",IF(AND(G332&lt;=H332+0.00001,'스킬 500종'!W332&gt;=1,'스킬 500종'!W332&lt;=5),"정상","초과"))</x:f>
        <x:v>정상</x:v>
      </x:c>
    </x:row>
    <x:row r="333" ht="30" customHeight="1">
      <x:c r="A333" s="1" t="str">
        <x:f>'스킬 500종'!A333</x:f>
        <x:v>SKILL_0327</x:v>
      </x:c>
      <x:c r="B333" s="1" t="str">
        <x:f>'스킬 500종'!B333</x:f>
        <x:v>강화효과 지속시간 증가 · 소생 · 은신의 의식</x:v>
      </x:c>
      <x:c r="C333" s="1" t="n">
        <x:f>1</x:f>
        <x:v>1</x:v>
      </x:c>
      <x:c r="D333" s="9" t="n">
        <x:f>C333*1.16*('효과 규칙 55종'!H58*'스킬 500종'!L333*'스킬 500종'!M333/'효과 규칙 55종'!D58+'효과 규칙 55종'!H46*'스킬 500종'!O333*'스킬 500종'!P333/'효과 규칙 55종'!D46+'효과 규칙 55종'!H41*'스킬 500종'!R333*'스킬 500종'!S333/'효과 규칙 55종'!D41)</x:f>
        <x:v>4.9879999999999995</x:v>
      </x:c>
      <x:c r="E333" s="9" t="n">
        <x:f>C333*SUM('스킬 500종'!E333:H333)</x:f>
        <x:v>0</x:v>
      </x:c>
      <x:c r="F333" s="9" t="n">
        <x:f>C333*1.4*SUM('스킬 500종'!I333:J333)</x:f>
        <x:v>0</x:v>
      </x:c>
      <x:c r="G333" s="9" t="n">
        <x:f>SUM(D333:F333)</x:f>
        <x:v>4.9879999999999995</x:v>
      </x:c>
      <x:c r="H333" s="9" t="n">
        <x:f>1.1+0.8*'스킬 500종'!W333</x:f>
        <x:v>5.1</x:v>
      </x:c>
      <x:c r="I333" s="10" t="n">
        <x:f>G333/H333</x:f>
        <x:v>0.9780392156862745</x:v>
      </x:c>
      <x:c r="J333" s="1" t="str">
        <x:f>IF(OR('스킬 500종'!I333&lt;0,'스킬 500종'!J333&lt;0,AND('스킬 500종'!I333&gt;0,'스킬 500종'!J333&gt;0),AND(OR('스킬 500종'!K333="HEAL",'스킬 500종'!N333="HEAL",'스킬 500종'!Q333="HEAL",'스킬 500종'!T333="HEAL"),'스킬 500종'!I333=0,'스킬 500종'!J333=0),AND('스킬 500종'!I333&gt;0,OR('스킬 500종'!K333="CONTINUOUS_HEAL",'스킬 500종'!N333="CONTINUOUS_HEAL",'스킬 500종'!Q333="CONTINUOUS_HEAL",'스킬 500종'!T333="CONTINUOUS_HEAL"))),"회복 기준 오류",IF(AND(G333&lt;=H333+0.00001,'스킬 500종'!W333&gt;=1,'스킬 500종'!W333&lt;=5),"정상","초과"))</x:f>
        <x:v>정상</x:v>
      </x:c>
    </x:row>
    <x:row r="334" ht="30" customHeight="1">
      <x:c r="A334" s="1" t="str">
        <x:f>'스킬 500종'!A334</x:f>
        <x:v>SKILL_0328</x:v>
      </x:c>
      <x:c r="B334" s="1" t="str">
        <x:f>'스킬 500종'!B334</x:f>
        <x:v>부활 · 치명확률 증가의 의식</x:v>
      </x:c>
      <x:c r="C334" s="1" t="n">
        <x:f>1</x:f>
        <x:v>1</x:v>
      </x:c>
      <x:c r="D334" s="9" t="n">
        <x:f>C334*1.08*('효과 규칙 55종'!H45*'스킬 500종'!L334*'스킬 500종'!M334/'효과 규칙 55종'!D45+'효과 규칙 55종'!H11*'스킬 500종'!O334*'스킬 500종'!P334/'효과 규칙 55종'!D11)</x:f>
        <x:v>4.59</x:v>
      </x:c>
      <x:c r="E334" s="9" t="n">
        <x:f>C334*SUM('스킬 500종'!E334:H334)</x:f>
        <x:v>0</x:v>
      </x:c>
      <x:c r="F334" s="9" t="n">
        <x:f>C334*1.4*SUM('스킬 500종'!I334:J334)</x:f>
        <x:v>0</x:v>
      </x:c>
      <x:c r="G334" s="9" t="n">
        <x:f>SUM(D334:F334)</x:f>
        <x:v>4.59</x:v>
      </x:c>
      <x:c r="H334" s="9" t="n">
        <x:f>1.1+0.8*'스킬 500종'!W334</x:f>
        <x:v>5.1</x:v>
      </x:c>
      <x:c r="I334" s="10" t="n">
        <x:f>G334/H334</x:f>
        <x:v>0.9</x:v>
      </x:c>
      <x:c r="J334" s="1" t="str">
        <x:f>IF(OR('스킬 500종'!I334&lt;0,'스킬 500종'!J334&lt;0,AND('스킬 500종'!I334&gt;0,'스킬 500종'!J334&gt;0),AND(OR('스킬 500종'!K334="HEAL",'스킬 500종'!N334="HEAL",'스킬 500종'!Q334="HEAL",'스킬 500종'!T334="HEAL"),'스킬 500종'!I334=0,'스킬 500종'!J334=0),AND('스킬 500종'!I334&gt;0,OR('스킬 500종'!K334="CONTINUOUS_HEAL",'스킬 500종'!N334="CONTINUOUS_HEAL",'스킬 500종'!Q334="CONTINUOUS_HEAL",'스킬 500종'!T334="CONTINUOUS_HEAL"))),"회복 기준 오류",IF(AND(G334&lt;=H334+0.00001,'스킬 500종'!W334&gt;=1,'스킬 500종'!W334&lt;=5),"정상","초과"))</x:f>
        <x:v>정상</x:v>
      </x:c>
    </x:row>
    <x:row r="335" ht="30" customHeight="1">
      <x:c r="A335" s="1" t="str">
        <x:f>'스킬 500종'!A335</x:f>
        <x:v>SKILL_0329</x:v>
      </x:c>
      <x:c r="B335" s="1" t="str">
        <x:f>'스킬 500종'!B335</x:f>
        <x:v>공격력 증가(대) · 속도 증가 · 회피 증가 · 효과적중 증가의 의식</x:v>
      </x:c>
      <x:c r="C335" s="1" t="n">
        <x:f>1</x:f>
        <x:v>1</x:v>
      </x:c>
      <x:c r="D335" s="9" t="n">
        <x:f>C335*1.24*('효과 규칙 55종'!H8*'스킬 500종'!L335*'스킬 500종'!M335/'효과 규칙 55종'!D8+'효과 규칙 55종'!H10*'스킬 500종'!O335*'스킬 500종'!P335/'효과 규칙 55종'!D10+'효과 규칙 55종'!H15*'스킬 500종'!R335*'스킬 500종'!S335/'효과 규칙 55종'!D15+'효과 규칙 55종'!H13*'스킬 500종'!U335*'스킬 500종'!V335/'효과 규칙 55종'!D13)</x:f>
        <x:v>1.5805411999999996</x:v>
      </x:c>
      <x:c r="E335" s="9" t="n">
        <x:f>C335*SUM('스킬 500종'!E335:H335)</x:f>
        <x:v>0</x:v>
      </x:c>
      <x:c r="F335" s="9" t="n">
        <x:f>C335*1.4*SUM('스킬 500종'!I335:J335)</x:f>
        <x:v>0</x:v>
      </x:c>
      <x:c r="G335" s="9" t="n">
        <x:f>SUM(D335:F335)</x:f>
        <x:v>1.5805411999999996</x:v>
      </x:c>
      <x:c r="H335" s="9" t="n">
        <x:f>1.1+0.8*'스킬 500종'!W335</x:f>
        <x:v>1.9000000000000001</x:v>
      </x:c>
      <x:c r="I335" s="10" t="n">
        <x:f>G335/H335</x:f>
        <x:v>0.831863789473684</x:v>
      </x:c>
      <x:c r="J335" s="1" t="str">
        <x:f>IF(OR('스킬 500종'!I335&lt;0,'스킬 500종'!J335&lt;0,AND('스킬 500종'!I335&gt;0,'스킬 500종'!J335&gt;0),AND(OR('스킬 500종'!K335="HEAL",'스킬 500종'!N335="HEAL",'스킬 500종'!Q335="HEAL",'스킬 500종'!T335="HEAL"),'스킬 500종'!I335=0,'스킬 500종'!J335=0),AND('스킬 500종'!I335&gt;0,OR('스킬 500종'!K335="CONTINUOUS_HEAL",'스킬 500종'!N335="CONTINUOUS_HEAL",'스킬 500종'!Q335="CONTINUOUS_HEAL",'스킬 500종'!T335="CONTINUOUS_HEAL"))),"회복 기준 오류",IF(AND(G335&lt;=H335+0.00001,'스킬 500종'!W335&gt;=1,'스킬 500종'!W335&lt;=5),"정상","초과"))</x:f>
        <x:v>정상</x:v>
      </x:c>
    </x:row>
    <x:row r="336" ht="30" customHeight="1">
      <x:c r="A336" s="1" t="str">
        <x:f>'스킬 500종'!A336</x:f>
        <x:v>SKILL_0330</x:v>
      </x:c>
      <x:c r="B336" s="1" t="str">
        <x:f>'스킬 500종'!B336</x:f>
        <x:v>치명피해 증가 · 불사 · 치명저항 증가의 의식</x:v>
      </x:c>
      <x:c r="C336" s="1" t="n">
        <x:f>1</x:f>
        <x:v>1</x:v>
      </x:c>
      <x:c r="D336" s="9" t="n">
        <x:f>C336*1.16*('효과 규칙 55종'!H12*'스킬 500종'!L336*'스킬 500종'!M336/'효과 규칙 55종'!D12+'효과 규칙 55종'!H39*'스킬 500종'!O336*'스킬 500종'!P336/'효과 규칙 55종'!D39+'효과 규칙 55종'!H16*'스킬 500종'!R336*'스킬 500종'!S336/'효과 규칙 55종'!D16)</x:f>
        <x:v>2.57984</x:v>
      </x:c>
      <x:c r="E336" s="9" t="n">
        <x:f>C336*SUM('스킬 500종'!E336:H336)</x:f>
        <x:v>0</x:v>
      </x:c>
      <x:c r="F336" s="9" t="n">
        <x:f>C336*1.4*SUM('스킬 500종'!I336:J336)</x:f>
        <x:v>0</x:v>
      </x:c>
      <x:c r="G336" s="9" t="n">
        <x:f>SUM(D336:F336)</x:f>
        <x:v>2.57984</x:v>
      </x:c>
      <x:c r="H336" s="9" t="n">
        <x:f>1.1+0.8*'스킬 500종'!W336</x:f>
        <x:v>3.5000000000000004</x:v>
      </x:c>
      <x:c r="I336" s="10" t="n">
        <x:f>G336/H336</x:f>
        <x:v>0.7370971428571428</x:v>
      </x:c>
      <x:c r="J336" s="1" t="str">
        <x:f>IF(OR('스킬 500종'!I336&lt;0,'스킬 500종'!J336&lt;0,AND('스킬 500종'!I336&gt;0,'스킬 500종'!J336&gt;0),AND(OR('스킬 500종'!K336="HEAL",'스킬 500종'!N336="HEAL",'스킬 500종'!Q336="HEAL",'스킬 500종'!T336="HEAL"),'스킬 500종'!I336=0,'스킬 500종'!J336=0),AND('스킬 500종'!I336&gt;0,OR('스킬 500종'!K336="CONTINUOUS_HEAL",'스킬 500종'!N336="CONTINUOUS_HEAL",'스킬 500종'!Q336="CONTINUOUS_HEAL",'스킬 500종'!T336="CONTINUOUS_HEAL"))),"회복 기준 오류",IF(AND(G336&lt;=H336+0.00001,'스킬 500종'!W336&gt;=1,'스킬 500종'!W336&lt;=5),"정상","초과"))</x:f>
        <x:v>정상</x:v>
      </x:c>
    </x:row>
    <x:row r="337" ht="30" customHeight="1">
      <x:c r="A337" s="1" t="str">
        <x:f>'스킬 500종'!A337</x:f>
        <x:v>SKILL_0331</x:v>
      </x:c>
      <x:c r="B337" s="1" t="str">
        <x:f>'스킬 500종'!B337</x:f>
        <x:v>은신 · 강화효과 지속시간 증가 · 치명피해 증가 · 속도 증가의 의식</x:v>
      </x:c>
      <x:c r="C337" s="1" t="n">
        <x:f>2.4</x:f>
        <x:v>2.4</x:v>
      </x:c>
      <x:c r="D337" s="9" t="n">
        <x:f>C337*1.24*('효과 규칙 55종'!H41*'스킬 500종'!L337*'스킬 500종'!M337/'효과 규칙 55종'!D41+'효과 규칙 55종'!H58*'스킬 500종'!O337*'스킬 500종'!P337/'효과 규칙 55종'!D58+'효과 규칙 55종'!H12*'스킬 500종'!R337*'스킬 500종'!S337/'효과 규칙 55종'!D12+'효과 규칙 55종'!H10*'스킬 500종'!U337*'스킬 500종'!V337/'효과 규칙 55종'!D10)</x:f>
        <x:v>4.927884</x:v>
      </x:c>
      <x:c r="E337" s="9" t="n">
        <x:f>C337*SUM('스킬 500종'!E337:H337)</x:f>
        <x:v>0</x:v>
      </x:c>
      <x:c r="F337" s="9" t="n">
        <x:f>C337*1.4*SUM('스킬 500종'!I337:J337)</x:f>
        <x:v>0</x:v>
      </x:c>
      <x:c r="G337" s="9" t="n">
        <x:f>SUM(D337:F337)</x:f>
        <x:v>4.927884</x:v>
      </x:c>
      <x:c r="H337" s="9" t="n">
        <x:f>1.1+0.8*'스킬 500종'!W337</x:f>
        <x:v>5.1</x:v>
      </x:c>
      <x:c r="I337" s="10" t="n">
        <x:f>G337/H337</x:f>
        <x:v>0.9662517647058824</x:v>
      </x:c>
      <x:c r="J337" s="1" t="str">
        <x:f>IF(OR('스킬 500종'!I337&lt;0,'스킬 500종'!J337&lt;0,AND('스킬 500종'!I337&gt;0,'스킬 500종'!J337&gt;0),AND(OR('스킬 500종'!K337="HEAL",'스킬 500종'!N337="HEAL",'스킬 500종'!Q337="HEAL",'스킬 500종'!T337="HEAL"),'스킬 500종'!I337=0,'스킬 500종'!J337=0),AND('스킬 500종'!I337&gt;0,OR('스킬 500종'!K337="CONTINUOUS_HEAL",'스킬 500종'!N337="CONTINUOUS_HEAL",'스킬 500종'!Q337="CONTINUOUS_HEAL",'스킬 500종'!T337="CONTINUOUS_HEAL"))),"회복 기준 오류",IF(AND(G337&lt;=H337+0.00001,'스킬 500종'!W337&gt;=1,'스킬 500종'!W337&lt;=5),"정상","초과"))</x:f>
        <x:v>정상</x:v>
      </x:c>
    </x:row>
    <x:row r="338" ht="30" customHeight="1">
      <x:c r="A338" s="1" t="str">
        <x:f>'스킬 500종'!A338</x:f>
        <x:v>SKILL_0332</x:v>
      </x:c>
      <x:c r="B338" s="1" t="str">
        <x:f>'스킬 500종'!B338</x:f>
        <x:v>공격력 증가 · 소생 · 치명피해 증가의 의식</x:v>
      </x:c>
      <x:c r="C338" s="1" t="n">
        <x:f>1</x:f>
        <x:v>1</x:v>
      </x:c>
      <x:c r="D338" s="9" t="n">
        <x:f>C338*1.16*('효과 규칙 55종'!H7*'스킬 500종'!L338*'스킬 500종'!M338/'효과 규칙 55종'!D7+'효과 규칙 55종'!H46*'스킬 500종'!O338*'스킬 500종'!P338/'효과 규칙 55종'!D46+'효과 규칙 55종'!H12*'스킬 500종'!R338*'스킬 500종'!S338/'효과 규칙 55종'!D12)</x:f>
        <x:v>4.72352</x:v>
      </x:c>
      <x:c r="E338" s="9" t="n">
        <x:f>C338*SUM('스킬 500종'!E338:H338)</x:f>
        <x:v>0</x:v>
      </x:c>
      <x:c r="F338" s="9" t="n">
        <x:f>C338*1.4*SUM('스킬 500종'!I338:J338)</x:f>
        <x:v>0</x:v>
      </x:c>
      <x:c r="G338" s="9" t="n">
        <x:f>SUM(D338:F338)</x:f>
        <x:v>4.72352</x:v>
      </x:c>
      <x:c r="H338" s="9" t="n">
        <x:f>1.1+0.8*'스킬 500종'!W338</x:f>
        <x:v>5.1</x:v>
      </x:c>
      <x:c r="I338" s="10" t="n">
        <x:f>G338/H338</x:f>
        <x:v>0.9261803921568628</x:v>
      </x:c>
      <x:c r="J338" s="1" t="str">
        <x:f>IF(OR('스킬 500종'!I338&lt;0,'스킬 500종'!J338&lt;0,AND('스킬 500종'!I338&gt;0,'스킬 500종'!J338&gt;0),AND(OR('스킬 500종'!K338="HEAL",'스킬 500종'!N338="HEAL",'스킬 500종'!Q338="HEAL",'스킬 500종'!T338="HEAL"),'스킬 500종'!I338=0,'스킬 500종'!J338=0),AND('스킬 500종'!I338&gt;0,OR('스킬 500종'!K338="CONTINUOUS_HEAL",'스킬 500종'!N338="CONTINUOUS_HEAL",'스킬 500종'!Q338="CONTINUOUS_HEAL",'스킬 500종'!T338="CONTINUOUS_HEAL"))),"회복 기준 오류",IF(AND(G338&lt;=H338+0.00001,'스킬 500종'!W338&gt;=1,'스킬 500종'!W338&lt;=5),"정상","초과"))</x:f>
        <x:v>정상</x:v>
      </x:c>
    </x:row>
    <x:row r="339" ht="30" customHeight="1">
      <x:c r="A339" s="1" t="str">
        <x:f>'스킬 500종'!A339</x:f>
        <x:v>SKILL_0333</x:v>
      </x:c>
      <x:c r="B339" s="1" t="str">
        <x:f>'스킬 500종'!B339</x:f>
        <x:v>피해 감소 · 명중 증가의 의식</x:v>
      </x:c>
      <x:c r="C339" s="1" t="n">
        <x:f>1</x:f>
        <x:v>1</x:v>
      </x:c>
      <x:c r="D339" s="9" t="n">
        <x:f>C339*1.08*('효과 규칙 55종'!H42*'스킬 500종'!L339*'스킬 500종'!M339/'효과 규칙 55종'!D42+'효과 규칙 55종'!H17*'스킬 500종'!O339*'스킬 500종'!P339/'효과 규칙 55종'!D17)</x:f>
        <x:v>1.0692000000000002</x:v>
      </x:c>
      <x:c r="E339" s="9" t="n">
        <x:f>C339*SUM('스킬 500종'!E339:H339)</x:f>
        <x:v>0</x:v>
      </x:c>
      <x:c r="F339" s="9" t="n">
        <x:f>C339*1.4*SUM('스킬 500종'!I339:J339)</x:f>
        <x:v>0</x:v>
      </x:c>
      <x:c r="G339" s="9" t="n">
        <x:f>SUM(D339:F339)</x:f>
        <x:v>1.0692000000000002</x:v>
      </x:c>
      <x:c r="H339" s="9" t="n">
        <x:f>1.1+0.8*'스킬 500종'!W339</x:f>
        <x:v>1.9000000000000001</x:v>
      </x:c>
      <x:c r="I339" s="10" t="n">
        <x:f>G339/H339</x:f>
        <x:v>0.5627368421052632</x:v>
      </x:c>
      <x:c r="J339" s="1" t="str">
        <x:f>IF(OR('스킬 500종'!I339&lt;0,'스킬 500종'!J339&lt;0,AND('스킬 500종'!I339&gt;0,'스킬 500종'!J339&gt;0),AND(OR('스킬 500종'!K339="HEAL",'스킬 500종'!N339="HEAL",'스킬 500종'!Q339="HEAL",'스킬 500종'!T339="HEAL"),'스킬 500종'!I339=0,'스킬 500종'!J339=0),AND('스킬 500종'!I339&gt;0,OR('스킬 500종'!K339="CONTINUOUS_HEAL",'스킬 500종'!N339="CONTINUOUS_HEAL",'스킬 500종'!Q339="CONTINUOUS_HEAL",'스킬 500종'!T339="CONTINUOUS_HEAL"))),"회복 기준 오류",IF(AND(G339&lt;=H339+0.00001,'스킬 500종'!W339&gt;=1,'스킬 500종'!W339&lt;=5),"정상","초과"))</x:f>
        <x:v>정상</x:v>
      </x:c>
    </x:row>
    <x:row r="340" ht="30" customHeight="1">
      <x:c r="A340" s="1" t="str">
        <x:f>'스킬 500종'!A340</x:f>
        <x:v>SKILL_0334</x:v>
      </x:c>
      <x:c r="B340" s="1" t="str">
        <x:f>'스킬 500종'!B340</x:f>
        <x:v>보호막 · 추가 턴의 의식</x:v>
      </x:c>
      <x:c r="C340" s="1" t="n">
        <x:f>1</x:f>
        <x:v>1</x:v>
      </x:c>
      <x:c r="D340" s="9" t="n">
        <x:f>C340*1.08*('효과 규칙 55종'!H37*'스킬 500종'!L340*'스킬 500종'!M340/'효과 규칙 55종'!D37+'효과 규칙 55종'!H49*'스킬 500종'!O340*'스킬 500종'!P340/'효과 규칙 55종'!D49)</x:f>
        <x:v>3.2832000000000003</x:v>
      </x:c>
      <x:c r="E340" s="9" t="n">
        <x:f>C340*SUM('스킬 500종'!E340:H340)</x:f>
        <x:v>0</x:v>
      </x:c>
      <x:c r="F340" s="9" t="n">
        <x:f>C340*1.4*SUM('스킬 500종'!I340:J340)</x:f>
        <x:v>0</x:v>
      </x:c>
      <x:c r="G340" s="9" t="n">
        <x:f>SUM(D340:F340)</x:f>
        <x:v>3.2832000000000003</x:v>
      </x:c>
      <x:c r="H340" s="9" t="n">
        <x:f>1.1+0.8*'스킬 500종'!W340</x:f>
        <x:v>5.1</x:v>
      </x:c>
      <x:c r="I340" s="10" t="n">
        <x:f>G340/H340</x:f>
        <x:v>0.643764705882353</x:v>
      </x:c>
      <x:c r="J340" s="1" t="str">
        <x:f>IF(OR('스킬 500종'!I340&lt;0,'스킬 500종'!J340&lt;0,AND('스킬 500종'!I340&gt;0,'스킬 500종'!J340&gt;0),AND(OR('스킬 500종'!K340="HEAL",'스킬 500종'!N340="HEAL",'스킬 500종'!Q340="HEAL",'스킬 500종'!T340="HEAL"),'스킬 500종'!I340=0,'스킬 500종'!J340=0),AND('스킬 500종'!I340&gt;0,OR('스킬 500종'!K340="CONTINUOUS_HEAL",'스킬 500종'!N340="CONTINUOUS_HEAL",'스킬 500종'!Q340="CONTINUOUS_HEAL",'스킬 500종'!T340="CONTINUOUS_HEAL"))),"회복 기준 오류",IF(AND(G340&lt;=H340+0.00001,'스킬 500종'!W340&gt;=1,'스킬 500종'!W340&lt;=5),"정상","초과"))</x:f>
        <x:v>정상</x:v>
      </x:c>
    </x:row>
    <x:row r="341" ht="30" customHeight="1">
      <x:c r="A341" s="1" t="str">
        <x:f>'스킬 500종'!A341</x:f>
        <x:v>SKILL_0335</x:v>
      </x:c>
      <x:c r="B341" s="1" t="str">
        <x:f>'스킬 500종'!B341</x:f>
        <x:v>불사 · 면역의 의식</x:v>
      </x:c>
      <x:c r="C341" s="1" t="n">
        <x:f>2.4</x:f>
        <x:v>2.4</x:v>
      </x:c>
      <x:c r="D341" s="9" t="n">
        <x:f>C341*1.08*('효과 규칙 55종'!H39*'스킬 500종'!L341*'스킬 500종'!M341/'효과 규칙 55종'!D39+'효과 규칙 55종'!H40*'스킬 500종'!O341*'스킬 500종'!P341/'효과 규칙 55종'!D40)</x:f>
        <x:v>4.801679999999999</x:v>
      </x:c>
      <x:c r="E341" s="9" t="n">
        <x:f>C341*SUM('스킬 500종'!E341:H341)</x:f>
        <x:v>0</x:v>
      </x:c>
      <x:c r="F341" s="9" t="n">
        <x:f>C341*1.4*SUM('스킬 500종'!I341:J341)</x:f>
        <x:v>0</x:v>
      </x:c>
      <x:c r="G341" s="9" t="n">
        <x:f>SUM(D341:F341)</x:f>
        <x:v>4.801679999999999</x:v>
      </x:c>
      <x:c r="H341" s="9" t="n">
        <x:f>1.1+0.8*'스킬 500종'!W341</x:f>
        <x:v>5.1</x:v>
      </x:c>
      <x:c r="I341" s="10" t="n">
        <x:f>G341/H341</x:f>
        <x:v>0.9415058823529411</x:v>
      </x:c>
      <x:c r="J341" s="1" t="str">
        <x:f>IF(OR('스킬 500종'!I341&lt;0,'스킬 500종'!J341&lt;0,AND('스킬 500종'!I341&gt;0,'스킬 500종'!J341&gt;0),AND(OR('스킬 500종'!K341="HEAL",'스킬 500종'!N341="HEAL",'스킬 500종'!Q341="HEAL",'스킬 500종'!T341="HEAL"),'스킬 500종'!I341=0,'스킬 500종'!J341=0),AND('스킬 500종'!I341&gt;0,OR('스킬 500종'!K341="CONTINUOUS_HEAL",'스킬 500종'!N341="CONTINUOUS_HEAL",'스킬 500종'!Q341="CONTINUOUS_HEAL",'스킬 500종'!T341="CONTINUOUS_HEAL"))),"회복 기준 오류",IF(AND(G341&lt;=H341+0.00001,'스킬 500종'!W341&gt;=1,'스킬 500종'!W341&lt;=5),"정상","초과"))</x:f>
        <x:v>정상</x:v>
      </x:c>
    </x:row>
    <x:row r="342" ht="30" customHeight="1">
      <x:c r="A342" s="1" t="str">
        <x:f>'스킬 500종'!A342</x:f>
        <x:v>SKILL_0336</x:v>
      </x:c>
      <x:c r="B342" s="1" t="str">
        <x:f>'스킬 500종'!B342</x:f>
        <x:v>무적 · 보호막 · 방어력 증가의 의식</x:v>
      </x:c>
      <x:c r="C342" s="1" t="n">
        <x:f>1.6</x:f>
        <x:v>1.6</x:v>
      </x:c>
      <x:c r="D342" s="9" t="n">
        <x:f>C342*1.16*('효과 규칙 55종'!H38*'스킬 500종'!L342*'스킬 500종'!M342/'효과 규칙 55종'!D38+'효과 규칙 55종'!H37*'스킬 500종'!O342*'스킬 500종'!P342/'효과 규칙 55종'!D37+'효과 규칙 55종'!H9*'스킬 500종'!R342*'스킬 500종'!S342/'효과 규칙 55종'!D9)</x:f>
        <x:v>4.573184</x:v>
      </x:c>
      <x:c r="E342" s="9" t="n">
        <x:f>C342*SUM('스킬 500종'!E342:H342)</x:f>
        <x:v>0</x:v>
      </x:c>
      <x:c r="F342" s="9" t="n">
        <x:f>C342*1.4*SUM('스킬 500종'!I342:J342)</x:f>
        <x:v>0</x:v>
      </x:c>
      <x:c r="G342" s="9" t="n">
        <x:f>SUM(D342:F342)</x:f>
        <x:v>4.573184</x:v>
      </x:c>
      <x:c r="H342" s="9" t="n">
        <x:f>1.1+0.8*'스킬 500종'!W342</x:f>
        <x:v>5.1</x:v>
      </x:c>
      <x:c r="I342" s="10" t="n">
        <x:f>G342/H342</x:f>
        <x:v>0.8967027450980394</x:v>
      </x:c>
      <x:c r="J342" s="1" t="str">
        <x:f>IF(OR('스킬 500종'!I342&lt;0,'스킬 500종'!J342&lt;0,AND('스킬 500종'!I342&gt;0,'스킬 500종'!J342&gt;0),AND(OR('스킬 500종'!K342="HEAL",'스킬 500종'!N342="HEAL",'스킬 500종'!Q342="HEAL",'스킬 500종'!T342="HEAL"),'스킬 500종'!I342=0,'스킬 500종'!J342=0),AND('스킬 500종'!I342&gt;0,OR('스킬 500종'!K342="CONTINUOUS_HEAL",'스킬 500종'!N342="CONTINUOUS_HEAL",'스킬 500종'!Q342="CONTINUOUS_HEAL",'스킬 500종'!T342="CONTINUOUS_HEAL"))),"회복 기준 오류",IF(AND(G342&lt;=H342+0.00001,'스킬 500종'!W342&gt;=1,'스킬 500종'!W342&lt;=5),"정상","초과"))</x:f>
        <x:v>정상</x:v>
      </x:c>
    </x:row>
    <x:row r="343" ht="30" customHeight="1">
      <x:c r="A343" s="1" t="str">
        <x:f>'스킬 500종'!A343</x:f>
        <x:v>SKILL_0337</x:v>
      </x:c>
      <x:c r="B343" s="1" t="str">
        <x:f>'스킬 500종'!B343</x:f>
        <x:v>생명력 회복 · 효과적중 증가의 의식</x:v>
      </x:c>
      <x:c r="C343" s="1" t="n">
        <x:f>1</x:f>
        <x:v>1</x:v>
      </x:c>
      <x:c r="D343" s="9" t="n">
        <x:f>C343*1.08*('효과 규칙 55종'!H34*'스킬 500종'!L343*'스킬 500종'!M343/'효과 규칙 55종'!D34+'효과 규칙 55종'!H13*'스킬 500종'!O343*'스킬 500종'!P343/'효과 규칙 55종'!D13)</x:f>
        <x:v>0.43740000000000007</x:v>
      </x:c>
      <x:c r="E343" s="9" t="n">
        <x:f>C343*SUM('스킬 500종'!E343:H343)</x:f>
        <x:v>0</x:v>
      </x:c>
      <x:c r="F343" s="9" t="n">
        <x:f>C343*1.4*SUM('스킬 500종'!I343:J343)</x:f>
        <x:v>0.48999999999999994</x:v>
      </x:c>
      <x:c r="G343" s="9" t="n">
        <x:f>SUM(D343:F343)</x:f>
        <x:v>0.9274</x:v>
      </x:c>
      <x:c r="H343" s="9" t="n">
        <x:f>1.1+0.8*'스킬 500종'!W343</x:f>
        <x:v>1.9000000000000001</x:v>
      </x:c>
      <x:c r="I343" s="10" t="n">
        <x:f>G343/H343</x:f>
        <x:v>0.4881052631578947</x:v>
      </x:c>
      <x:c r="J343" s="1" t="str">
        <x:f>IF(OR('스킬 500종'!I343&lt;0,'스킬 500종'!J343&lt;0,AND('스킬 500종'!I343&gt;0,'스킬 500종'!J343&gt;0),AND(OR('스킬 500종'!K343="HEAL",'스킬 500종'!N343="HEAL",'스킬 500종'!Q343="HEAL",'스킬 500종'!T343="HEAL"),'스킬 500종'!I343=0,'스킬 500종'!J343=0),AND('스킬 500종'!I343&gt;0,OR('스킬 500종'!K343="CONTINUOUS_HEAL",'스킬 500종'!N343="CONTINUOUS_HEAL",'스킬 500종'!Q343="CONTINUOUS_HEAL",'스킬 500종'!T343="CONTINUOUS_HEAL"))),"회복 기준 오류",IF(AND(G343&lt;=H343+0.00001,'스킬 500종'!W343&gt;=1,'스킬 500종'!W343&lt;=5),"정상","초과"))</x:f>
        <x:v>정상</x:v>
      </x:c>
    </x:row>
    <x:row r="344" ht="30" customHeight="1">
      <x:c r="A344" s="1" t="str">
        <x:f>'스킬 500종'!A344</x:f>
        <x:v>SKILL_0338</x:v>
      </x:c>
      <x:c r="B344" s="1" t="str">
        <x:f>'스킬 500종'!B344</x:f>
        <x:v>공격력 증가(대) · 부활 · 명중 증가의 의식</x:v>
      </x:c>
      <x:c r="C344" s="1" t="n">
        <x:f>1</x:f>
        <x:v>1</x:v>
      </x:c>
      <x:c r="D344" s="9" t="n">
        <x:f>C344*1.16*('효과 규칙 55종'!H8*'스킬 500종'!L344*'스킬 500종'!M344/'효과 규칙 55종'!D8+'효과 규칙 55종'!H45*'스킬 500종'!O344*'스킬 500종'!P344/'효과 규칙 55종'!D45+'효과 규칙 55종'!H17*'스킬 500종'!R344*'스킬 500종'!S344/'효과 규칙 55종'!D17)</x:f>
        <x:v>5.0344</x:v>
      </x:c>
      <x:c r="E344" s="9" t="n">
        <x:f>C344*SUM('스킬 500종'!E344:H344)</x:f>
        <x:v>0</x:v>
      </x:c>
      <x:c r="F344" s="9" t="n">
        <x:f>C344*1.4*SUM('스킬 500종'!I344:J344)</x:f>
        <x:v>0</x:v>
      </x:c>
      <x:c r="G344" s="9" t="n">
        <x:f>SUM(D344:F344)</x:f>
        <x:v>5.0344</x:v>
      </x:c>
      <x:c r="H344" s="9" t="n">
        <x:f>1.1+0.8*'스킬 500종'!W344</x:f>
        <x:v>5.1</x:v>
      </x:c>
      <x:c r="I344" s="10" t="n">
        <x:f>G344/H344</x:f>
        <x:v>0.9871372549019608</x:v>
      </x:c>
      <x:c r="J344" s="1" t="str">
        <x:f>IF(OR('스킬 500종'!I344&lt;0,'스킬 500종'!J344&lt;0,AND('스킬 500종'!I344&gt;0,'스킬 500종'!J344&gt;0),AND(OR('스킬 500종'!K344="HEAL",'스킬 500종'!N344="HEAL",'스킬 500종'!Q344="HEAL",'스킬 500종'!T344="HEAL"),'스킬 500종'!I344=0,'스킬 500종'!J344=0),AND('스킬 500종'!I344&gt;0,OR('스킬 500종'!K344="CONTINUOUS_HEAL",'스킬 500종'!N344="CONTINUOUS_HEAL",'스킬 500종'!Q344="CONTINUOUS_HEAL",'스킬 500종'!T344="CONTINUOUS_HEAL"))),"회복 기준 오류",IF(AND(G344&lt;=H344+0.00001,'스킬 500종'!W344&gt;=1,'스킬 500종'!W344&lt;=5),"정상","초과"))</x:f>
        <x:v>정상</x:v>
      </x:c>
    </x:row>
    <x:row r="345" ht="30" customHeight="1">
      <x:c r="A345" s="1" t="str">
        <x:f>'스킬 500종'!A345</x:f>
        <x:v>SKILL_0339</x:v>
      </x:c>
      <x:c r="B345" s="1" t="str">
        <x:f>'스킬 500종'!B345</x:f>
        <x:v>스킬 쿨타임 초기화 · 피해 분담 · 무적의 의식</x:v>
      </x:c>
      <x:c r="C345" s="1" t="n">
        <x:f>1</x:f>
        <x:v>1</x:v>
      </x:c>
      <x:c r="D345" s="9" t="n">
        <x:f>C345*1.16*('효과 규칙 55종'!H53*'스킬 500종'!L345*'스킬 500종'!M345/'효과 규칙 55종'!D53+'효과 규칙 55종'!H43*'스킬 500종'!O345*'스킬 500종'!P345/'효과 규칙 55종'!D43+'효과 규칙 55종'!H38*'스킬 500종'!R345*'스킬 500종'!S345/'효과 규칙 55종'!D38)</x:f>
        <x:v>4.823279999999999</x:v>
      </x:c>
      <x:c r="E345" s="9" t="n">
        <x:f>C345*SUM('스킬 500종'!E345:H345)</x:f>
        <x:v>0</x:v>
      </x:c>
      <x:c r="F345" s="9" t="n">
        <x:f>C345*1.4*SUM('스킬 500종'!I345:J345)</x:f>
        <x:v>0</x:v>
      </x:c>
      <x:c r="G345" s="9" t="n">
        <x:f>SUM(D345:F345)</x:f>
        <x:v>4.823279999999999</x:v>
      </x:c>
      <x:c r="H345" s="9" t="n">
        <x:f>1.1+0.8*'스킬 500종'!W345</x:f>
        <x:v>5.1</x:v>
      </x:c>
      <x:c r="I345" s="10" t="n">
        <x:f>G345/H345</x:f>
        <x:v>0.9457411764705881</x:v>
      </x:c>
      <x:c r="J345" s="1" t="str">
        <x:f>IF(OR('스킬 500종'!I345&lt;0,'스킬 500종'!J345&lt;0,AND('스킬 500종'!I345&gt;0,'스킬 500종'!J345&gt;0),AND(OR('스킬 500종'!K345="HEAL",'스킬 500종'!N345="HEAL",'스킬 500종'!Q345="HEAL",'스킬 500종'!T345="HEAL"),'스킬 500종'!I345=0,'스킬 500종'!J345=0),AND('스킬 500종'!I345&gt;0,OR('스킬 500종'!K345="CONTINUOUS_HEAL",'스킬 500종'!N345="CONTINUOUS_HEAL",'스킬 500종'!Q345="CONTINUOUS_HEAL",'스킬 500종'!T345="CONTINUOUS_HEAL"))),"회복 기준 오류",IF(AND(G345&lt;=H345+0.00001,'스킬 500종'!W345&gt;=1,'스킬 500종'!W345&lt;=5),"정상","초과"))</x:f>
        <x:v>정상</x:v>
      </x:c>
    </x:row>
    <x:row r="346" ht="30" customHeight="1">
      <x:c r="A346" s="1" t="str">
        <x:f>'스킬 500종'!A346</x:f>
        <x:v>SKILL_0340</x:v>
      </x:c>
      <x:c r="B346" s="1" t="str">
        <x:f>'스킬 500종'!B346</x:f>
        <x:v>불사 · 보호막 · 면역 · 방어력 증가의 의식</x:v>
      </x:c>
      <x:c r="C346" s="1" t="n">
        <x:f>1.6</x:f>
        <x:v>1.6</x:v>
      </x:c>
      <x:c r="D346" s="9" t="n">
        <x:f>C346*1.24*('효과 규칙 55종'!H39*'스킬 500종'!L346*'스킬 500종'!M346/'효과 규칙 55종'!D39+'효과 규칙 55종'!H37*'스킬 500종'!O346*'스킬 500종'!P346/'효과 규칙 55종'!D37+'효과 규칙 55종'!H40*'스킬 500종'!R346*'스킬 500종'!S346/'효과 규칙 55종'!D40+'효과 규칙 55종'!H9*'스킬 500종'!U346*'스킬 500종'!V346/'효과 규칙 55종'!D9)</x:f>
        <x:v>4.952526933333333</x:v>
      </x:c>
      <x:c r="E346" s="9" t="n">
        <x:f>C346*SUM('스킬 500종'!E346:H346)</x:f>
        <x:v>0</x:v>
      </x:c>
      <x:c r="F346" s="9" t="n">
        <x:f>C346*1.4*SUM('스킬 500종'!I346:J346)</x:f>
        <x:v>0</x:v>
      </x:c>
      <x:c r="G346" s="9" t="n">
        <x:f>SUM(D346:F346)</x:f>
        <x:v>4.952526933333333</x:v>
      </x:c>
      <x:c r="H346" s="9" t="n">
        <x:f>1.1+0.8*'스킬 500종'!W346</x:f>
        <x:v>5.1</x:v>
      </x:c>
      <x:c r="I346" s="10" t="n">
        <x:f>G346/H346</x:f>
        <x:v>0.9710837124183007</x:v>
      </x:c>
      <x:c r="J346" s="1" t="str">
        <x:f>IF(OR('스킬 500종'!I346&lt;0,'스킬 500종'!J346&lt;0,AND('스킬 500종'!I346&gt;0,'스킬 500종'!J346&gt;0),AND(OR('스킬 500종'!K346="HEAL",'스킬 500종'!N346="HEAL",'스킬 500종'!Q346="HEAL",'스킬 500종'!T346="HEAL"),'스킬 500종'!I346=0,'스킬 500종'!J346=0),AND('스킬 500종'!I346&gt;0,OR('스킬 500종'!K346="CONTINUOUS_HEAL",'스킬 500종'!N346="CONTINUOUS_HEAL",'스킬 500종'!Q346="CONTINUOUS_HEAL",'스킬 500종'!T346="CONTINUOUS_HEAL"))),"회복 기준 오류",IF(AND(G346&lt;=H346+0.00001,'스킬 500종'!W346&gt;=1,'스킬 500종'!W346&lt;=5),"정상","초과"))</x:f>
        <x:v>정상</x:v>
      </x:c>
    </x:row>
    <x:row r="347" ht="30" customHeight="1">
      <x:c r="A347" s="1" t="str">
        <x:f>'스킬 500종'!A347</x:f>
        <x:v>SKILL_0341</x:v>
      </x:c>
      <x:c r="B347" s="1" t="str">
        <x:f>'스킬 500종'!B347</x:f>
        <x:v>스킬 쿨타임 초기화 · 반격의 의식</x:v>
      </x:c>
      <x:c r="C347" s="1" t="n">
        <x:f>1</x:f>
        <x:v>1</x:v>
      </x:c>
      <x:c r="D347" s="9" t="n">
        <x:f>C347*1.08*('효과 규칙 55종'!H53*'스킬 500종'!L347*'스킬 500종'!M347/'효과 규칙 55종'!D53+'효과 규칙 55종'!H51*'스킬 500종'!O347*'스킬 500종'!P347/'효과 규칙 55종'!D51)</x:f>
        <x:v>3.8394000000000004</x:v>
      </x:c>
      <x:c r="E347" s="9" t="n">
        <x:f>C347*SUM('스킬 500종'!E347:H347)</x:f>
        <x:v>0</x:v>
      </x:c>
      <x:c r="F347" s="9" t="n">
        <x:f>C347*1.4*SUM('스킬 500종'!I347:J347)</x:f>
        <x:v>0</x:v>
      </x:c>
      <x:c r="G347" s="9" t="n">
        <x:f>SUM(D347:F347)</x:f>
        <x:v>3.8394000000000004</x:v>
      </x:c>
      <x:c r="H347" s="9" t="n">
        <x:f>1.1+0.8*'스킬 500종'!W347</x:f>
        <x:v>5.1</x:v>
      </x:c>
      <x:c r="I347" s="10" t="n">
        <x:f>G347/H347</x:f>
        <x:v>0.7528235294117648</x:v>
      </x:c>
      <x:c r="J347" s="1" t="str">
        <x:f>IF(OR('스킬 500종'!I347&lt;0,'스킬 500종'!J347&lt;0,AND('스킬 500종'!I347&gt;0,'스킬 500종'!J347&gt;0),AND(OR('스킬 500종'!K347="HEAL",'스킬 500종'!N347="HEAL",'스킬 500종'!Q347="HEAL",'스킬 500종'!T347="HEAL"),'스킬 500종'!I347=0,'스킬 500종'!J347=0),AND('스킬 500종'!I347&gt;0,OR('스킬 500종'!K347="CONTINUOUS_HEAL",'스킬 500종'!N347="CONTINUOUS_HEAL",'스킬 500종'!Q347="CONTINUOUS_HEAL",'스킬 500종'!T347="CONTINUOUS_HEAL"))),"회복 기준 오류",IF(AND(G347&lt;=H347+0.00001,'스킬 500종'!W347&gt;=1,'스킬 500종'!W347&lt;=5),"정상","초과"))</x:f>
        <x:v>정상</x:v>
      </x:c>
    </x:row>
    <x:row r="348" ht="30" customHeight="1">
      <x:c r="A348" s="1" t="str">
        <x:f>'스킬 500종'!A348</x:f>
        <x:v>SKILL_0342</x:v>
      </x:c>
      <x:c r="B348" s="1" t="str">
        <x:f>'스킬 500종'!B348</x:f>
        <x:v>스킬 쿨타임 감소 · 강화효과 지속시간 증가 · 치명확률 증가 · 은신의 의식</x:v>
      </x:c>
      <x:c r="C348" s="1" t="n">
        <x:f>1</x:f>
        <x:v>1</x:v>
      </x:c>
      <x:c r="D348" s="9" t="n">
        <x:f>C348*1.24*('효과 규칙 55종'!H52*'스킬 500종'!L348*'스킬 500종'!M348/'효과 규칙 55종'!D52+'효과 규칙 55종'!H58*'스킬 500종'!O348*'스킬 500종'!P348/'효과 규칙 55종'!D58+'효과 규칙 55종'!H11*'스킬 500종'!R348*'스킬 500종'!S348/'효과 규칙 55종'!D11+'효과 규칙 55종'!H41*'스킬 500종'!U348*'스킬 500종'!V348/'효과 규칙 55종'!D41)</x:f>
        <x:v>2.9729</x:v>
      </x:c>
      <x:c r="E348" s="9" t="n">
        <x:f>C348*SUM('스킬 500종'!E348:H348)</x:f>
        <x:v>0</x:v>
      </x:c>
      <x:c r="F348" s="9" t="n">
        <x:f>C348*1.4*SUM('스킬 500종'!I348:J348)</x:f>
        <x:v>0</x:v>
      </x:c>
      <x:c r="G348" s="9" t="n">
        <x:f>SUM(D348:F348)</x:f>
        <x:v>2.9729</x:v>
      </x:c>
      <x:c r="H348" s="9" t="n">
        <x:f>1.1+0.8*'스킬 500종'!W348</x:f>
        <x:v>3.5000000000000004</x:v>
      </x:c>
      <x:c r="I348" s="10" t="n">
        <x:f>G348/H348</x:f>
        <x:v>0.8493999999999999</x:v>
      </x:c>
      <x:c r="J348" s="1" t="str">
        <x:f>IF(OR('스킬 500종'!I348&lt;0,'스킬 500종'!J348&lt;0,AND('스킬 500종'!I348&gt;0,'스킬 500종'!J348&gt;0),AND(OR('스킬 500종'!K348="HEAL",'스킬 500종'!N348="HEAL",'스킬 500종'!Q348="HEAL",'스킬 500종'!T348="HEAL"),'스킬 500종'!I348=0,'스킬 500종'!J348=0),AND('스킬 500종'!I348&gt;0,OR('스킬 500종'!K348="CONTINUOUS_HEAL",'스킬 500종'!N348="CONTINUOUS_HEAL",'스킬 500종'!Q348="CONTINUOUS_HEAL",'스킬 500종'!T348="CONTINUOUS_HEAL"))),"회복 기준 오류",IF(AND(G348&lt;=H348+0.00001,'스킬 500종'!W348&gt;=1,'스킬 500종'!W348&lt;=5),"정상","초과"))</x:f>
        <x:v>정상</x:v>
      </x:c>
    </x:row>
    <x:row r="349" ht="30" customHeight="1">
      <x:c r="A349" s="1" t="str">
        <x:f>'스킬 500종'!A349</x:f>
        <x:v>SKILL_0343</x:v>
      </x:c>
      <x:c r="B349" s="1" t="str">
        <x:f>'스킬 500종'!B349</x:f>
        <x:v>속도 증가 · 불사의 의식</x:v>
      </x:c>
      <x:c r="C349" s="1" t="n">
        <x:f>2.4</x:f>
        <x:v>2.4</x:v>
      </x:c>
      <x:c r="D349" s="9" t="n">
        <x:f>C349*1.08*('효과 규칙 55종'!H10*'스킬 500종'!L349*'스킬 500종'!M349/'효과 규칙 55종'!D10+'효과 규칙 55종'!H39*'스킬 500종'!O349*'스킬 500종'!P349/'효과 규칙 55종'!D39)</x:f>
        <x:v>4.957199999999999</x:v>
      </x:c>
      <x:c r="E349" s="9" t="n">
        <x:f>C349*SUM('스킬 500종'!E349:H349)</x:f>
        <x:v>0</x:v>
      </x:c>
      <x:c r="F349" s="9" t="n">
        <x:f>C349*1.4*SUM('스킬 500종'!I349:J349)</x:f>
        <x:v>0</x:v>
      </x:c>
      <x:c r="G349" s="9" t="n">
        <x:f>SUM(D349:F349)</x:f>
        <x:v>4.957199999999999</x:v>
      </x:c>
      <x:c r="H349" s="9" t="n">
        <x:f>1.1+0.8*'스킬 500종'!W349</x:f>
        <x:v>5.1</x:v>
      </x:c>
      <x:c r="I349" s="10" t="n">
        <x:f>G349/H349</x:f>
        <x:v>0.972</x:v>
      </x:c>
      <x:c r="J349" s="1" t="str">
        <x:f>IF(OR('스킬 500종'!I349&lt;0,'스킬 500종'!J349&lt;0,AND('스킬 500종'!I349&gt;0,'스킬 500종'!J349&gt;0),AND(OR('스킬 500종'!K349="HEAL",'스킬 500종'!N349="HEAL",'스킬 500종'!Q349="HEAL",'스킬 500종'!T349="HEAL"),'스킬 500종'!I349=0,'스킬 500종'!J349=0),AND('스킬 500종'!I349&gt;0,OR('스킬 500종'!K349="CONTINUOUS_HEAL",'스킬 500종'!N349="CONTINUOUS_HEAL",'스킬 500종'!Q349="CONTINUOUS_HEAL",'스킬 500종'!T349="CONTINUOUS_HEAL"))),"회복 기준 오류",IF(AND(G349&lt;=H349+0.00001,'스킬 500종'!W349&gt;=1,'스킬 500종'!W349&lt;=5),"정상","초과"))</x:f>
        <x:v>정상</x:v>
      </x:c>
    </x:row>
    <x:row r="350" ht="30" customHeight="1">
      <x:c r="A350" s="1" t="str">
        <x:f>'스킬 500종'!A350</x:f>
        <x:v>SKILL_0344</x:v>
      </x:c>
      <x:c r="B350" s="1" t="str">
        <x:f>'스킬 500종'!B350</x:f>
        <x:v>보호막 · 생명력 회복 · 치명저항 증가 · 치명피해 증가의 의식</x:v>
      </x:c>
      <x:c r="C350" s="1" t="n">
        <x:f>1.6</x:f>
        <x:v>1.6</x:v>
      </x:c>
      <x:c r="D350" s="9" t="n">
        <x:f>C350*1.24*('효과 규칙 55종'!H37*'스킬 500종'!L350*'스킬 500종'!M350/'효과 규칙 55종'!D37+'효과 규칙 55종'!H34*'스킬 500종'!O350*'스킬 500종'!P350/'효과 규칙 55종'!D34+'효과 규칙 55종'!H16*'스킬 500종'!R350*'스킬 500종'!S350/'효과 규칙 55종'!D16+'효과 규칙 55종'!H12*'스킬 500종'!U350*'스킬 500종'!V350/'효과 규칙 55종'!D12)</x:f>
        <x:v>1.4937006933333332</x:v>
      </x:c>
      <x:c r="E350" s="9" t="n">
        <x:f>C350*SUM('스킬 500종'!E350:H350)</x:f>
        <x:v>0</x:v>
      </x:c>
      <x:c r="F350" s="9" t="n">
        <x:f>C350*1.4*SUM('스킬 500종'!I350:J350)</x:f>
        <x:v>0.40319999999999995</x:v>
      </x:c>
      <x:c r="G350" s="9" t="n">
        <x:f>SUM(D350:F350)</x:f>
        <x:v>1.8969006933333332</x:v>
      </x:c>
      <x:c r="H350" s="9" t="n">
        <x:f>1.1+0.8*'스킬 500종'!W350</x:f>
        <x:v>1.9000000000000001</x:v>
      </x:c>
      <x:c r="I350" s="10" t="n">
        <x:f>G350/H350</x:f>
        <x:v>0.9983687859649122</x:v>
      </x:c>
      <x:c r="J350" s="1" t="str">
        <x:f>IF(OR('스킬 500종'!I350&lt;0,'스킬 500종'!J350&lt;0,AND('스킬 500종'!I350&gt;0,'스킬 500종'!J350&gt;0),AND(OR('스킬 500종'!K350="HEAL",'스킬 500종'!N350="HEAL",'스킬 500종'!Q350="HEAL",'스킬 500종'!T350="HEAL"),'스킬 500종'!I350=0,'스킬 500종'!J350=0),AND('스킬 500종'!I350&gt;0,OR('스킬 500종'!K350="CONTINUOUS_HEAL",'스킬 500종'!N350="CONTINUOUS_HEAL",'스킬 500종'!Q350="CONTINUOUS_HEAL",'스킬 500종'!T350="CONTINUOUS_HEAL"))),"회복 기준 오류",IF(AND(G350&lt;=H350+0.00001,'스킬 500종'!W350&gt;=1,'스킬 500종'!W350&lt;=5),"정상","초과"))</x:f>
        <x:v>정상</x:v>
      </x:c>
    </x:row>
    <x:row r="351" ht="30" customHeight="1">
      <x:c r="A351" s="1" t="str">
        <x:f>'스킬 500종'!A351</x:f>
        <x:v>SKILL_0345</x:v>
      </x:c>
      <x:c r="B351" s="1" t="str">
        <x:f>'스킬 500종'!B351</x:f>
        <x:v>스킬 쿨타임 감소 · 명중 증가 · 회피 증가 · 면역의 의식</x:v>
      </x:c>
      <x:c r="C351" s="1" t="n">
        <x:f>1</x:f>
        <x:v>1</x:v>
      </x:c>
      <x:c r="D351" s="9" t="n">
        <x:f>C351*1.24*('효과 규칙 55종'!H52*'스킬 500종'!L351*'스킬 500종'!M351/'효과 규칙 55종'!D52+'효과 규칙 55종'!H17*'스킬 500종'!O351*'스킬 500종'!P351/'효과 규칙 55종'!D17+'효과 규칙 55종'!H15*'스킬 500종'!R351*'스킬 500종'!S351/'효과 규칙 55종'!D15+'효과 규칙 55종'!H40*'스킬 500종'!U351*'스킬 500종'!V351/'효과 규칙 55종'!D40)</x:f>
        <x:v>2.6018299999999996</x:v>
      </x:c>
      <x:c r="E351" s="9" t="n">
        <x:f>C351*SUM('스킬 500종'!E351:H351)</x:f>
        <x:v>0</x:v>
      </x:c>
      <x:c r="F351" s="9" t="n">
        <x:f>C351*1.4*SUM('스킬 500종'!I351:J351)</x:f>
        <x:v>0</x:v>
      </x:c>
      <x:c r="G351" s="9" t="n">
        <x:f>SUM(D351:F351)</x:f>
        <x:v>2.6018299999999996</x:v>
      </x:c>
      <x:c r="H351" s="9" t="n">
        <x:f>1.1+0.8*'스킬 500종'!W351</x:f>
        <x:v>2.7</x:v>
      </x:c>
      <x:c r="I351" s="10" t="n">
        <x:f>G351/H351</x:f>
        <x:v>0.9636407407407406</x:v>
      </x:c>
      <x:c r="J351" s="1" t="str">
        <x:f>IF(OR('스킬 500종'!I351&lt;0,'스킬 500종'!J351&lt;0,AND('스킬 500종'!I351&gt;0,'스킬 500종'!J351&gt;0),AND(OR('스킬 500종'!K351="HEAL",'스킬 500종'!N351="HEAL",'스킬 500종'!Q351="HEAL",'스킬 500종'!T351="HEAL"),'스킬 500종'!I351=0,'스킬 500종'!J351=0),AND('스킬 500종'!I351&gt;0,OR('스킬 500종'!K351="CONTINUOUS_HEAL",'스킬 500종'!N351="CONTINUOUS_HEAL",'스킬 500종'!Q351="CONTINUOUS_HEAL",'스킬 500종'!T351="CONTINUOUS_HEAL"))),"회복 기준 오류",IF(AND(G351&lt;=H351+0.00001,'스킬 500종'!W351&gt;=1,'스킬 500종'!W351&lt;=5),"정상","초과"))</x:f>
        <x:v>정상</x:v>
      </x:c>
    </x:row>
    <x:row r="352" ht="30" customHeight="1">
      <x:c r="A352" s="1" t="str">
        <x:f>'스킬 500종'!A352</x:f>
        <x:v>SKILL_0346</x:v>
      </x:c>
      <x:c r="B352" s="1" t="str">
        <x:f>'스킬 500종'!B352</x:f>
        <x:v>은신 · 면역 · 지속 회복 · 반격의 의식</x:v>
      </x:c>
      <x:c r="C352" s="1" t="n">
        <x:f>1</x:f>
        <x:v>1</x:v>
      </x:c>
      <x:c r="D352" s="9" t="n">
        <x:f>C352*1.24*('효과 규칙 55종'!H41*'스킬 500종'!L352*'스킬 500종'!M352/'효과 규칙 55종'!D41+'효과 규칙 55종'!H40*'스킬 500종'!O352*'스킬 500종'!P352/'효과 규칙 55종'!D40+'효과 규칙 55종'!H35*'스킬 500종'!R352*'스킬 500종'!S352/'효과 규칙 55종'!D35+'효과 규칙 55종'!H51*'스킬 500종'!U352*'스킬 500종'!V352/'효과 규칙 55종'!D51)</x:f>
        <x:v>2.3122899999999995</x:v>
      </x:c>
      <x:c r="E352" s="9" t="n">
        <x:f>C352*SUM('스킬 500종'!E352:H352)</x:f>
        <x:v>0</x:v>
      </x:c>
      <x:c r="F352" s="9" t="n">
        <x:f>C352*1.4*SUM('스킬 500종'!I352:J352)</x:f>
        <x:v>0</x:v>
      </x:c>
      <x:c r="G352" s="9" t="n">
        <x:f>SUM(D352:F352)</x:f>
        <x:v>2.3122899999999995</x:v>
      </x:c>
      <x:c r="H352" s="9" t="n">
        <x:f>1.1+0.8*'스킬 500종'!W352</x:f>
        <x:v>2.7</x:v>
      </x:c>
      <x:c r="I352" s="10" t="n">
        <x:f>G352/H352</x:f>
        <x:v>0.8564037037037034</x:v>
      </x:c>
      <x:c r="J352" s="1" t="str">
        <x:f>IF(OR('스킬 500종'!I352&lt;0,'스킬 500종'!J352&lt;0,AND('스킬 500종'!I352&gt;0,'스킬 500종'!J352&gt;0),AND(OR('스킬 500종'!K352="HEAL",'스킬 500종'!N352="HEAL",'스킬 500종'!Q352="HEAL",'스킬 500종'!T352="HEAL"),'스킬 500종'!I352=0,'스킬 500종'!J352=0),AND('스킬 500종'!I352&gt;0,OR('스킬 500종'!K352="CONTINUOUS_HEAL",'스킬 500종'!N352="CONTINUOUS_HEAL",'스킬 500종'!Q352="CONTINUOUS_HEAL",'스킬 500종'!T352="CONTINUOUS_HEAL"))),"회복 기준 오류",IF(AND(G352&lt;=H352+0.00001,'스킬 500종'!W352&gt;=1,'스킬 500종'!W352&lt;=5),"정상","초과"))</x:f>
        <x:v>정상</x:v>
      </x:c>
    </x:row>
    <x:row r="353" ht="30" customHeight="1">
      <x:c r="A353" s="1" t="str">
        <x:f>'스킬 500종'!A353</x:f>
        <x:v>SKILL_0347</x:v>
      </x:c>
      <x:c r="B353" s="1" t="str">
        <x:f>'스킬 500종'!B353</x:f>
        <x:v>효과적중 증가 · 효과저항 증가의 의식</x:v>
      </x:c>
      <x:c r="C353" s="1" t="n">
        <x:f>2.4</x:f>
        <x:v>2.4</x:v>
      </x:c>
      <x:c r="D353" s="9" t="n">
        <x:f>C353*1.08*('효과 규칙 55종'!H13*'스킬 500종'!L353*'스킬 500종'!M353/'효과 규칙 55종'!D13+'효과 규칙 55종'!H14*'스킬 500종'!O353*'스킬 500종'!P353/'효과 규칙 55종'!D14)</x:f>
        <x:v>2.09952</x:v>
      </x:c>
      <x:c r="E353" s="9" t="n">
        <x:f>C353*SUM('스킬 500종'!E353:H353)</x:f>
        <x:v>0</x:v>
      </x:c>
      <x:c r="F353" s="9" t="n">
        <x:f>C353*1.4*SUM('스킬 500종'!I353:J353)</x:f>
        <x:v>0</x:v>
      </x:c>
      <x:c r="G353" s="9" t="n">
        <x:f>SUM(D353:F353)</x:f>
        <x:v>2.09952</x:v>
      </x:c>
      <x:c r="H353" s="9" t="n">
        <x:f>1.1+0.8*'스킬 500종'!W353</x:f>
        <x:v>2.7</x:v>
      </x:c>
      <x:c r="I353" s="10" t="n">
        <x:f>G353/H353</x:f>
        <x:v>0.7776</x:v>
      </x:c>
      <x:c r="J353" s="1" t="str">
        <x:f>IF(OR('스킬 500종'!I353&lt;0,'스킬 500종'!J353&lt;0,AND('스킬 500종'!I353&gt;0,'스킬 500종'!J353&gt;0),AND(OR('스킬 500종'!K353="HEAL",'스킬 500종'!N353="HEAL",'스킬 500종'!Q353="HEAL",'스킬 500종'!T353="HEAL"),'스킬 500종'!I353=0,'스킬 500종'!J353=0),AND('스킬 500종'!I353&gt;0,OR('스킬 500종'!K353="CONTINUOUS_HEAL",'스킬 500종'!N353="CONTINUOUS_HEAL",'스킬 500종'!Q353="CONTINUOUS_HEAL",'스킬 500종'!T353="CONTINUOUS_HEAL"))),"회복 기준 오류",IF(AND(G353&lt;=H353+0.00001,'스킬 500종'!W353&gt;=1,'스킬 500종'!W353&lt;=5),"정상","초과"))</x:f>
        <x:v>정상</x:v>
      </x:c>
    </x:row>
    <x:row r="354" ht="30" customHeight="1">
      <x:c r="A354" s="1" t="str">
        <x:f>'스킬 500종'!A354</x:f>
        <x:v>SKILL_0348</x:v>
      </x:c>
      <x:c r="B354" s="1" t="str">
        <x:f>'스킬 500종'!B354</x:f>
        <x:v>회피 증가 · 무적 · 스킬 쿨타임 초기화의 의식</x:v>
      </x:c>
      <x:c r="C354" s="1" t="n">
        <x:f>1</x:f>
        <x:v>1</x:v>
      </x:c>
      <x:c r="D354" s="9" t="n">
        <x:f>C354*1.16*('효과 규칙 55종'!H15*'스킬 500종'!L354*'스킬 500종'!M354/'효과 규칙 55종'!D15+'효과 규칙 55종'!H38*'스킬 500종'!O354*'스킬 500종'!P354/'효과 규칙 55종'!D38+'효과 규칙 55종'!H53*'스킬 500종'!R354*'스킬 500종'!S354/'효과 규칙 55종'!D53)</x:f>
        <x:v>4.7908</x:v>
      </x:c>
      <x:c r="E354" s="9" t="n">
        <x:f>C354*SUM('스킬 500종'!E354:H354)</x:f>
        <x:v>0</x:v>
      </x:c>
      <x:c r="F354" s="9" t="n">
        <x:f>C354*1.4*SUM('스킬 500종'!I354:J354)</x:f>
        <x:v>0</x:v>
      </x:c>
      <x:c r="G354" s="9" t="n">
        <x:f>SUM(D354:F354)</x:f>
        <x:v>4.7908</x:v>
      </x:c>
      <x:c r="H354" s="9" t="n">
        <x:f>1.1+0.8*'스킬 500종'!W354</x:f>
        <x:v>5.1</x:v>
      </x:c>
      <x:c r="I354" s="10" t="n">
        <x:f>G354/H354</x:f>
        <x:v>0.9393725490196079</x:v>
      </x:c>
      <x:c r="J354" s="1" t="str">
        <x:f>IF(OR('스킬 500종'!I354&lt;0,'스킬 500종'!J354&lt;0,AND('스킬 500종'!I354&gt;0,'스킬 500종'!J354&gt;0),AND(OR('스킬 500종'!K354="HEAL",'스킬 500종'!N354="HEAL",'스킬 500종'!Q354="HEAL",'스킬 500종'!T354="HEAL"),'스킬 500종'!I354=0,'스킬 500종'!J354=0),AND('스킬 500종'!I354&gt;0,OR('스킬 500종'!K354="CONTINUOUS_HEAL",'스킬 500종'!N354="CONTINUOUS_HEAL",'스킬 500종'!Q354="CONTINUOUS_HEAL",'스킬 500종'!T354="CONTINUOUS_HEAL"))),"회복 기준 오류",IF(AND(G354&lt;=H354+0.00001,'스킬 500종'!W354&gt;=1,'스킬 500종'!W354&lt;=5),"정상","초과"))</x:f>
        <x:v>정상</x:v>
      </x:c>
    </x:row>
    <x:row r="355" ht="30" customHeight="1">
      <x:c r="A355" s="1" t="str">
        <x:f>'스킬 500종'!A355</x:f>
        <x:v>SKILL_0349</x:v>
      </x:c>
      <x:c r="B355" s="1" t="str">
        <x:f>'스킬 500종'!B355</x:f>
        <x:v>공격력 증가 · 피해 반사 · 보호막 · 강화효과 지속시간 증가의 의식</x:v>
      </x:c>
      <x:c r="C355" s="1" t="n">
        <x:f>1</x:f>
        <x:v>1</x:v>
      </x:c>
      <x:c r="D355" s="9" t="n">
        <x:f>C355*1.24*('효과 규칙 55종'!H7*'스킬 500종'!L355*'스킬 500종'!M355/'효과 규칙 55종'!D7+'효과 규칙 55종'!H44*'스킬 500종'!O355*'스킬 500종'!P355/'효과 규칙 55종'!D44+'효과 규칙 55종'!H37*'스킬 500종'!R355*'스킬 500종'!S355/'효과 규칙 55종'!D37+'효과 규칙 55종'!H58*'스킬 500종'!U355*'스킬 500종'!V355/'효과 규칙 55종'!D58)</x:f>
        <x:v>1.8287313333333333</x:v>
      </x:c>
      <x:c r="E355" s="9" t="n">
        <x:f>C355*SUM('스킬 500종'!E355:H355)</x:f>
        <x:v>0</x:v>
      </x:c>
      <x:c r="F355" s="9" t="n">
        <x:f>C355*1.4*SUM('스킬 500종'!I355:J355)</x:f>
        <x:v>0</x:v>
      </x:c>
      <x:c r="G355" s="9" t="n">
        <x:f>SUM(D355:F355)</x:f>
        <x:v>1.8287313333333333</x:v>
      </x:c>
      <x:c r="H355" s="9" t="n">
        <x:f>1.1+0.8*'스킬 500종'!W355</x:f>
        <x:v>1.9000000000000001</x:v>
      </x:c>
      <x:c r="I355" s="10" t="n">
        <x:f>G355/H355</x:f>
        <x:v>0.9624901754385964</x:v>
      </x:c>
      <x:c r="J355" s="1" t="str">
        <x:f>IF(OR('스킬 500종'!I355&lt;0,'스킬 500종'!J355&lt;0,AND('스킬 500종'!I355&gt;0,'스킬 500종'!J355&gt;0),AND(OR('스킬 500종'!K355="HEAL",'스킬 500종'!N355="HEAL",'스킬 500종'!Q355="HEAL",'스킬 500종'!T355="HEAL"),'스킬 500종'!I355=0,'스킬 500종'!J355=0),AND('스킬 500종'!I355&gt;0,OR('스킬 500종'!K355="CONTINUOUS_HEAL",'스킬 500종'!N355="CONTINUOUS_HEAL",'스킬 500종'!Q355="CONTINUOUS_HEAL",'스킬 500종'!T355="CONTINUOUS_HEAL"))),"회복 기준 오류",IF(AND(G355&lt;=H355+0.00001,'스킬 500종'!W355&gt;=1,'스킬 500종'!W355&lt;=5),"정상","초과"))</x:f>
        <x:v>정상</x:v>
      </x:c>
    </x:row>
    <x:row r="356" ht="30" customHeight="1">
      <x:c r="A356" s="1" t="str">
        <x:f>'스킬 500종'!A356</x:f>
        <x:v>SKILL_0350</x:v>
      </x:c>
      <x:c r="B356" s="1" t="str">
        <x:f>'스킬 500종'!B356</x:f>
        <x:v>생명력 회복 · 반격 · 무적의 의식</x:v>
      </x:c>
      <x:c r="C356" s="1" t="n">
        <x:f>1</x:f>
        <x:v>1</x:v>
      </x:c>
      <x:c r="D356" s="9" t="n">
        <x:f>C356*1.16*('효과 규칙 55종'!H34*'스킬 500종'!L356*'스킬 500종'!M356/'효과 규칙 55종'!D34+'효과 규칙 55종'!H51*'스킬 500종'!O356*'스킬 500종'!P356/'효과 규칙 55종'!D51+'효과 규칙 55종'!H38*'스킬 500종'!R356*'스킬 500종'!S356/'효과 규칙 55종'!D38)</x:f>
        <x:v>2.6726400000000003</x:v>
      </x:c>
      <x:c r="E356" s="9" t="n">
        <x:f>C356*SUM('스킬 500종'!E356:H356)</x:f>
        <x:v>0</x:v>
      </x:c>
      <x:c r="F356" s="9" t="n">
        <x:f>C356*1.4*SUM('스킬 500종'!I356:J356)</x:f>
        <x:v>0.35</x:v>
      </x:c>
      <x:c r="G356" s="9" t="n">
        <x:f>SUM(D356:F356)</x:f>
        <x:v>3.0226400000000004</x:v>
      </x:c>
      <x:c r="H356" s="9" t="n">
        <x:f>1.1+0.8*'스킬 500종'!W356</x:f>
        <x:v>3.5000000000000004</x:v>
      </x:c>
      <x:c r="I356" s="10" t="n">
        <x:f>G356/H356</x:f>
        <x:v>0.8636114285714286</x:v>
      </x:c>
      <x:c r="J356" s="1" t="str">
        <x:f>IF(OR('스킬 500종'!I356&lt;0,'스킬 500종'!J356&lt;0,AND('스킬 500종'!I356&gt;0,'스킬 500종'!J356&gt;0),AND(OR('스킬 500종'!K356="HEAL",'스킬 500종'!N356="HEAL",'스킬 500종'!Q356="HEAL",'스킬 500종'!T356="HEAL"),'스킬 500종'!I356=0,'스킬 500종'!J356=0),AND('스킬 500종'!I356&gt;0,OR('스킬 500종'!K356="CONTINUOUS_HEAL",'스킬 500종'!N356="CONTINUOUS_HEAL",'스킬 500종'!Q356="CONTINUOUS_HEAL",'스킬 500종'!T356="CONTINUOUS_HEAL"))),"회복 기준 오류",IF(AND(G356&lt;=H356+0.00001,'스킬 500종'!W356&gt;=1,'스킬 500종'!W356&lt;=5),"정상","초과"))</x:f>
        <x:v>정상</x:v>
      </x:c>
    </x:row>
    <x:row r="357" ht="30" customHeight="1">
      <x:c r="A357" s="1" t="str">
        <x:f>'스킬 500종'!A357</x:f>
        <x:v>SKILL_0351</x:v>
      </x:c>
      <x:c r="B357" s="1" t="str">
        <x:f>'스킬 500종'!B357</x:f>
        <x:v>속도 증가 · 피해 감소 · 치명저항 증가의 의식</x:v>
      </x:c>
      <x:c r="C357" s="1" t="n">
        <x:f>2.4</x:f>
        <x:v>2.4</x:v>
      </x:c>
      <x:c r="D357" s="9" t="n">
        <x:f>C357*1.16*('효과 규칙 55종'!H10*'스킬 500종'!L357*'스킬 500종'!M357/'효과 규칙 55종'!D10+'효과 규칙 55종'!H42*'스킬 500종'!O357*'스킬 500종'!P357/'효과 규칙 55종'!D42+'효과 규칙 55종'!H16*'스킬 500종'!R357*'스킬 500종'!S357/'효과 규칙 55종'!D16)</x:f>
        <x:v>3.4744319999999997</x:v>
      </x:c>
      <x:c r="E357" s="9" t="n">
        <x:f>C357*SUM('스킬 500종'!E357:H357)</x:f>
        <x:v>0</x:v>
      </x:c>
      <x:c r="F357" s="9" t="n">
        <x:f>C357*1.4*SUM('스킬 500종'!I357:J357)</x:f>
        <x:v>0</x:v>
      </x:c>
      <x:c r="G357" s="9" t="n">
        <x:f>SUM(D357:F357)</x:f>
        <x:v>3.4744319999999997</x:v>
      </x:c>
      <x:c r="H357" s="9" t="n">
        <x:f>1.1+0.8*'스킬 500종'!W357</x:f>
        <x:v>3.5000000000000004</x:v>
      </x:c>
      <x:c r="I357" s="10" t="n">
        <x:f>G357/H357</x:f>
        <x:v>0.992694857142857</x:v>
      </x:c>
      <x:c r="J357" s="1" t="str">
        <x:f>IF(OR('스킬 500종'!I357&lt;0,'스킬 500종'!J357&lt;0,AND('스킬 500종'!I357&gt;0,'스킬 500종'!J357&gt;0),AND(OR('스킬 500종'!K357="HEAL",'스킬 500종'!N357="HEAL",'스킬 500종'!Q357="HEAL",'스킬 500종'!T357="HEAL"),'스킬 500종'!I357=0,'스킬 500종'!J357=0),AND('스킬 500종'!I357&gt;0,OR('스킬 500종'!K357="CONTINUOUS_HEAL",'스킬 500종'!N357="CONTINUOUS_HEAL",'스킬 500종'!Q357="CONTINUOUS_HEAL",'스킬 500종'!T357="CONTINUOUS_HEAL"))),"회복 기준 오류",IF(AND(G357&lt;=H357+0.00001,'스킬 500종'!W357&gt;=1,'스킬 500종'!W357&lt;=5),"정상","초과"))</x:f>
        <x:v>정상</x:v>
      </x:c>
    </x:row>
    <x:row r="358" ht="30" customHeight="1">
      <x:c r="A358" s="1" t="str">
        <x:f>'스킬 500종'!A358</x:f>
        <x:v>SKILL_0352</x:v>
      </x:c>
      <x:c r="B358" s="1" t="str">
        <x:f>'스킬 500종'!B358</x:f>
        <x:v>속도 증가 · 보호막 · 추가 턴의 의식</x:v>
      </x:c>
      <x:c r="C358" s="1" t="n">
        <x:f>1</x:f>
        <x:v>1</x:v>
      </x:c>
      <x:c r="D358" s="9" t="n">
        <x:f>C358*1.16*('효과 규칙 55종'!H10*'스킬 500종'!L358*'스킬 500종'!M358/'효과 규칙 55종'!D10+'효과 규칙 55종'!H37*'스킬 500종'!O358*'스킬 500종'!P358/'효과 규칙 55종'!D37+'효과 규칙 55종'!H49*'스킬 500종'!R358*'스킬 500종'!S358/'효과 규칙 55종'!D49)</x:f>
        <x:v>3.90688</x:v>
      </x:c>
      <x:c r="E358" s="9" t="n">
        <x:f>C358*SUM('스킬 500종'!E358:H358)</x:f>
        <x:v>0</x:v>
      </x:c>
      <x:c r="F358" s="9" t="n">
        <x:f>C358*1.4*SUM('스킬 500종'!I358:J358)</x:f>
        <x:v>0</x:v>
      </x:c>
      <x:c r="G358" s="9" t="n">
        <x:f>SUM(D358:F358)</x:f>
        <x:v>3.90688</x:v>
      </x:c>
      <x:c r="H358" s="9" t="n">
        <x:f>1.1+0.8*'스킬 500종'!W358</x:f>
        <x:v>5.1</x:v>
      </x:c>
      <x:c r="I358" s="10" t="n">
        <x:f>G358/H358</x:f>
        <x:v>0.7660549019607844</x:v>
      </x:c>
      <x:c r="J358" s="1" t="str">
        <x:f>IF(OR('스킬 500종'!I358&lt;0,'스킬 500종'!J358&lt;0,AND('스킬 500종'!I358&gt;0,'스킬 500종'!J358&gt;0),AND(OR('스킬 500종'!K358="HEAL",'스킬 500종'!N358="HEAL",'스킬 500종'!Q358="HEAL",'스킬 500종'!T358="HEAL"),'스킬 500종'!I358=0,'스킬 500종'!J358=0),AND('스킬 500종'!I358&gt;0,OR('스킬 500종'!K358="CONTINUOUS_HEAL",'스킬 500종'!N358="CONTINUOUS_HEAL",'스킬 500종'!Q358="CONTINUOUS_HEAL",'스킬 500종'!T358="CONTINUOUS_HEAL"))),"회복 기준 오류",IF(AND(G358&lt;=H358+0.00001,'스킬 500종'!W358&gt;=1,'스킬 500종'!W358&lt;=5),"정상","초과"))</x:f>
        <x:v>정상</x:v>
      </x:c>
    </x:row>
    <x:row r="359" ht="30" customHeight="1">
      <x:c r="A359" s="1" t="str">
        <x:f>'스킬 500종'!A359</x:f>
        <x:v>SKILL_0353</x:v>
      </x:c>
      <x:c r="B359" s="1" t="str">
        <x:f>'스킬 500종'!B359</x:f>
        <x:v>공격력 증가 · 강화효과 지속시간 증가 · 피해 분담 · 효과저항 증가의 의식</x:v>
      </x:c>
      <x:c r="C359" s="1" t="n">
        <x:f>1</x:f>
        <x:v>1</x:v>
      </x:c>
      <x:c r="D359" s="9" t="n">
        <x:f>C359*1.24*('효과 규칙 55종'!H7*'스킬 500종'!L359*'스킬 500종'!M359/'효과 규칙 55종'!D7+'효과 규칙 55종'!H58*'스킬 500종'!O359*'스킬 500종'!P359/'효과 규칙 55종'!D58+'효과 규칙 55종'!H43*'스킬 500종'!R359*'스킬 500종'!S359/'효과 규칙 55종'!D43+'효과 규칙 55종'!H14*'스킬 500종'!U359*'스킬 500종'!V359/'효과 규칙 55종'!D14)</x:f>
        <x:v>1.8843411999999997</x:v>
      </x:c>
      <x:c r="E359" s="9" t="n">
        <x:f>C359*SUM('스킬 500종'!E359:H359)</x:f>
        <x:v>0</x:v>
      </x:c>
      <x:c r="F359" s="9" t="n">
        <x:f>C359*1.4*SUM('스킬 500종'!I359:J359)</x:f>
        <x:v>0</x:v>
      </x:c>
      <x:c r="G359" s="9" t="n">
        <x:f>SUM(D359:F359)</x:f>
        <x:v>1.8843411999999997</x:v>
      </x:c>
      <x:c r="H359" s="9" t="n">
        <x:f>1.1+0.8*'스킬 500종'!W359</x:f>
        <x:v>1.9000000000000001</x:v>
      </x:c>
      <x:c r="I359" s="10" t="n">
        <x:f>G359/H359</x:f>
        <x:v>0.9917585263157892</x:v>
      </x:c>
      <x:c r="J359" s="1" t="str">
        <x:f>IF(OR('스킬 500종'!I359&lt;0,'스킬 500종'!J359&lt;0,AND('스킬 500종'!I359&gt;0,'스킬 500종'!J359&gt;0),AND(OR('스킬 500종'!K359="HEAL",'스킬 500종'!N359="HEAL",'스킬 500종'!Q359="HEAL",'스킬 500종'!T359="HEAL"),'스킬 500종'!I359=0,'스킬 500종'!J359=0),AND('스킬 500종'!I359&gt;0,OR('스킬 500종'!K359="CONTINUOUS_HEAL",'스킬 500종'!N359="CONTINUOUS_HEAL",'스킬 500종'!Q359="CONTINUOUS_HEAL",'스킬 500종'!T359="CONTINUOUS_HEAL"))),"회복 기준 오류",IF(AND(G359&lt;=H359+0.00001,'스킬 500종'!W359&gt;=1,'스킬 500종'!W359&lt;=5),"정상","초과"))</x:f>
        <x:v>정상</x:v>
      </x:c>
    </x:row>
    <x:row r="360" ht="30" customHeight="1">
      <x:c r="A360" s="1" t="str">
        <x:f>'스킬 500종'!A360</x:f>
        <x:v>SKILL_0354</x:v>
      </x:c>
      <x:c r="B360" s="1" t="str">
        <x:f>'스킬 500종'!B360</x:f>
        <x:v>지속 회복 · 속도 증가의 의식</x:v>
      </x:c>
      <x:c r="C360" s="1" t="n">
        <x:f>1</x:f>
        <x:v>1</x:v>
      </x:c>
      <x:c r="D360" s="9" t="n">
        <x:f>C360*1.08*('효과 규칙 55종'!H35*'스킬 500종'!L360*'스킬 500종'!M360/'효과 규칙 55종'!D35+'효과 규칙 55종'!H10*'스킬 500종'!O360*'스킬 500종'!P360/'효과 규칙 55종'!D10)</x:f>
        <x:v>1.1664</x:v>
      </x:c>
      <x:c r="E360" s="9" t="n">
        <x:f>C360*SUM('스킬 500종'!E360:H360)</x:f>
        <x:v>0</x:v>
      </x:c>
      <x:c r="F360" s="9" t="n">
        <x:f>C360*1.4*SUM('스킬 500종'!I360:J360)</x:f>
        <x:v>0</x:v>
      </x:c>
      <x:c r="G360" s="9" t="n">
        <x:f>SUM(D360:F360)</x:f>
        <x:v>1.1664</x:v>
      </x:c>
      <x:c r="H360" s="9" t="n">
        <x:f>1.1+0.8*'스킬 500종'!W360</x:f>
        <x:v>1.9000000000000001</x:v>
      </x:c>
      <x:c r="I360" s="10" t="n">
        <x:f>G360/H360</x:f>
        <x:v>0.6138947368421053</x:v>
      </x:c>
      <x:c r="J360" s="1" t="str">
        <x:f>IF(OR('스킬 500종'!I360&lt;0,'스킬 500종'!J360&lt;0,AND('스킬 500종'!I360&gt;0,'스킬 500종'!J360&gt;0),AND(OR('스킬 500종'!K360="HEAL",'스킬 500종'!N360="HEAL",'스킬 500종'!Q360="HEAL",'스킬 500종'!T360="HEAL"),'스킬 500종'!I360=0,'스킬 500종'!J360=0),AND('스킬 500종'!I360&gt;0,OR('스킬 500종'!K360="CONTINUOUS_HEAL",'스킬 500종'!N360="CONTINUOUS_HEAL",'스킬 500종'!Q360="CONTINUOUS_HEAL",'스킬 500종'!T360="CONTINUOUS_HEAL"))),"회복 기준 오류",IF(AND(G360&lt;=H360+0.00001,'스킬 500종'!W360&gt;=1,'스킬 500종'!W360&lt;=5),"정상","초과"))</x:f>
        <x:v>정상</x:v>
      </x:c>
    </x:row>
    <x:row r="361" ht="30" customHeight="1">
      <x:c r="A361" s="1" t="str">
        <x:f>'스킬 500종'!A361</x:f>
        <x:v>SKILL_0355</x:v>
      </x:c>
      <x:c r="B361" s="1" t="str">
        <x:f>'스킬 500종'!B361</x:f>
        <x:v>치명확률 증가 · 명중 증가 · 피해 반사 · 면역의 의식</x:v>
      </x:c>
      <x:c r="C361" s="1" t="n">
        <x:f>2.4</x:f>
        <x:v>2.4</x:v>
      </x:c>
      <x:c r="D361" s="9" t="n">
        <x:f>C361*1.24*('효과 규칙 55종'!H11*'스킬 500종'!L361*'스킬 500종'!M361/'효과 규칙 55종'!D11+'효과 규칙 55종'!H17*'스킬 500종'!O361*'스킬 500종'!P361/'효과 규칙 55종'!D17+'효과 규칙 55종'!H44*'스킬 500종'!R361*'스킬 500종'!S361/'효과 규칙 55종'!D44+'효과 규칙 55종'!H40*'스킬 500종'!U361*'스킬 500종'!V361/'효과 규칙 55종'!D40)</x:f>
        <x:v>4.010159999999999</x:v>
      </x:c>
      <x:c r="E361" s="9" t="n">
        <x:f>C361*SUM('스킬 500종'!E361:H361)</x:f>
        <x:v>0</x:v>
      </x:c>
      <x:c r="F361" s="9" t="n">
        <x:f>C361*1.4*SUM('스킬 500종'!I361:J361)</x:f>
        <x:v>0</x:v>
      </x:c>
      <x:c r="G361" s="9" t="n">
        <x:f>SUM(D361:F361)</x:f>
        <x:v>4.010159999999999</x:v>
      </x:c>
      <x:c r="H361" s="9" t="n">
        <x:f>1.1+0.8*'스킬 500종'!W361</x:f>
        <x:v>4.300000000000001</x:v>
      </x:c>
      <x:c r="I361" s="10" t="n">
        <x:f>G361/H361</x:f>
        <x:v>0.932595348837209</x:v>
      </x:c>
      <x:c r="J361" s="1" t="str">
        <x:f>IF(OR('스킬 500종'!I361&lt;0,'스킬 500종'!J361&lt;0,AND('스킬 500종'!I361&gt;0,'스킬 500종'!J361&gt;0),AND(OR('스킬 500종'!K361="HEAL",'스킬 500종'!N361="HEAL",'스킬 500종'!Q361="HEAL",'스킬 500종'!T361="HEAL"),'스킬 500종'!I361=0,'스킬 500종'!J361=0),AND('스킬 500종'!I361&gt;0,OR('스킬 500종'!K361="CONTINUOUS_HEAL",'스킬 500종'!N361="CONTINUOUS_HEAL",'스킬 500종'!Q361="CONTINUOUS_HEAL",'스킬 500종'!T361="CONTINUOUS_HEAL"))),"회복 기준 오류",IF(AND(G361&lt;=H361+0.00001,'스킬 500종'!W361&gt;=1,'스킬 500종'!W361&lt;=5),"정상","초과"))</x:f>
        <x:v>정상</x:v>
      </x:c>
    </x:row>
    <x:row r="362" ht="30" customHeight="1">
      <x:c r="A362" s="1" t="str">
        <x:f>'스킬 500종'!A362</x:f>
        <x:v>SKILL_0356</x:v>
      </x:c>
      <x:c r="B362" s="1" t="str">
        <x:f>'스킬 500종'!B362</x:f>
        <x:v>은신 · 부활의 의식</x:v>
      </x:c>
      <x:c r="C362" s="1" t="n">
        <x:f>1</x:f>
        <x:v>1</x:v>
      </x:c>
      <x:c r="D362" s="9" t="n">
        <x:f>C362*1.08*('효과 규칙 55종'!H41*'스킬 500종'!L362*'스킬 500종'!M362/'효과 규칙 55종'!D41+'효과 규칙 55종'!H45*'스킬 500종'!O362*'스킬 500종'!P362/'효과 규칙 55종'!D45)</x:f>
        <x:v>4.8816</x:v>
      </x:c>
      <x:c r="E362" s="9" t="n">
        <x:f>C362*SUM('스킬 500종'!E362:H362)</x:f>
        <x:v>0</x:v>
      </x:c>
      <x:c r="F362" s="9" t="n">
        <x:f>C362*1.4*SUM('스킬 500종'!I362:J362)</x:f>
        <x:v>0</x:v>
      </x:c>
      <x:c r="G362" s="9" t="n">
        <x:f>SUM(D362:F362)</x:f>
        <x:v>4.8816</x:v>
      </x:c>
      <x:c r="H362" s="9" t="n">
        <x:f>1.1+0.8*'스킬 500종'!W362</x:f>
        <x:v>5.1</x:v>
      </x:c>
      <x:c r="I362" s="10" t="n">
        <x:f>G362/H362</x:f>
        <x:v>0.9571764705882353</x:v>
      </x:c>
      <x:c r="J362" s="1" t="str">
        <x:f>IF(OR('스킬 500종'!I362&lt;0,'스킬 500종'!J362&lt;0,AND('스킬 500종'!I362&gt;0,'스킬 500종'!J362&gt;0),AND(OR('스킬 500종'!K362="HEAL",'스킬 500종'!N362="HEAL",'스킬 500종'!Q362="HEAL",'스킬 500종'!T362="HEAL"),'스킬 500종'!I362=0,'스킬 500종'!J362=0),AND('스킬 500종'!I362&gt;0,OR('스킬 500종'!K362="CONTINUOUS_HEAL",'스킬 500종'!N362="CONTINUOUS_HEAL",'스킬 500종'!Q362="CONTINUOUS_HEAL",'스킬 500종'!T362="CONTINUOUS_HEAL"))),"회복 기준 오류",IF(AND(G362&lt;=H362+0.00001,'스킬 500종'!W362&gt;=1,'스킬 500종'!W362&lt;=5),"정상","초과"))</x:f>
        <x:v>정상</x:v>
      </x:c>
    </x:row>
    <x:row r="363" ht="30" customHeight="1">
      <x:c r="A363" s="1" t="str">
        <x:f>'스킬 500종'!A363</x:f>
        <x:v>SKILL_0357</x:v>
      </x:c>
      <x:c r="B363" s="1" t="str">
        <x:f>'스킬 500종'!B363</x:f>
        <x:v>피해 반사 · 생명력 회복의 의식</x:v>
      </x:c>
      <x:c r="C363" s="1" t="n">
        <x:f>1</x:f>
        <x:v>1</x:v>
      </x:c>
      <x:c r="D363" s="9" t="n">
        <x:f>C363*1.08*('효과 규칙 55종'!H44*'스킬 500종'!L363*'스킬 500종'!M363/'효과 규칙 55종'!D44+'효과 규칙 55종'!H34*'스킬 500종'!O363*'스킬 500종'!P363/'효과 규칙 55종'!D34)</x:f>
        <x:v>0.5831999999999999</x:v>
      </x:c>
      <x:c r="E363" s="9" t="n">
        <x:f>C363*SUM('스킬 500종'!E363:H363)</x:f>
        <x:v>0</x:v>
      </x:c>
      <x:c r="F363" s="9" t="n">
        <x:f>C363*1.4*SUM('스킬 500종'!I363:J363)</x:f>
        <x:v>0.48999999999999994</x:v>
      </x:c>
      <x:c r="G363" s="9" t="n">
        <x:f>SUM(D363:F363)</x:f>
        <x:v>1.0732</x:v>
      </x:c>
      <x:c r="H363" s="9" t="n">
        <x:f>1.1+0.8*'스킬 500종'!W363</x:f>
        <x:v>1.9000000000000001</x:v>
      </x:c>
      <x:c r="I363" s="10" t="n">
        <x:f>G363/H363</x:f>
        <x:v>0.5648421052631578</x:v>
      </x:c>
      <x:c r="J363" s="1" t="str">
        <x:f>IF(OR('스킬 500종'!I363&lt;0,'스킬 500종'!J363&lt;0,AND('스킬 500종'!I363&gt;0,'스킬 500종'!J363&gt;0),AND(OR('스킬 500종'!K363="HEAL",'스킬 500종'!N363="HEAL",'스킬 500종'!Q363="HEAL",'스킬 500종'!T363="HEAL"),'스킬 500종'!I363=0,'스킬 500종'!J363=0),AND('스킬 500종'!I363&gt;0,OR('스킬 500종'!K363="CONTINUOUS_HEAL",'스킬 500종'!N363="CONTINUOUS_HEAL",'스킬 500종'!Q363="CONTINUOUS_HEAL",'스킬 500종'!T363="CONTINUOUS_HEAL"))),"회복 기준 오류",IF(AND(G363&lt;=H363+0.00001,'스킬 500종'!W363&gt;=1,'스킬 500종'!W363&lt;=5),"정상","초과"))</x:f>
        <x:v>정상</x:v>
      </x:c>
    </x:row>
    <x:row r="364" ht="30" customHeight="1">
      <x:c r="A364" s="1" t="str">
        <x:f>'스킬 500종'!A364</x:f>
        <x:v>SKILL_0358</x:v>
      </x:c>
      <x:c r="B364" s="1" t="str">
        <x:f>'스킬 500종'!B364</x:f>
        <x:v>은신 · 면역 · 피해 감소 · 스킬 쿨타임 초기화의 의식</x:v>
      </x:c>
      <x:c r="C364" s="1" t="n">
        <x:f>1</x:f>
        <x:v>1</x:v>
      </x:c>
      <x:c r="D364" s="9" t="n">
        <x:f>C364*1.24*('효과 규칙 55종'!H41*'스킬 500종'!L364*'스킬 500종'!M364/'효과 규칙 55종'!D41+'효과 규칙 55종'!H40*'스킬 500종'!O364*'스킬 500종'!P364/'효과 규칙 55종'!D40+'효과 규칙 55종'!H42*'스킬 500종'!R364*'스킬 500종'!S364/'효과 규칙 55종'!D42+'효과 규칙 55종'!H53*'스킬 500종'!U364*'스킬 500종'!V364/'효과 규칙 55종'!D53)</x:f>
        <x:v>4.60474</x:v>
      </x:c>
      <x:c r="E364" s="9" t="n">
        <x:f>C364*SUM('스킬 500종'!E364:H364)</x:f>
        <x:v>0</x:v>
      </x:c>
      <x:c r="F364" s="9" t="n">
        <x:f>C364*1.4*SUM('스킬 500종'!I364:J364)</x:f>
        <x:v>0</x:v>
      </x:c>
      <x:c r="G364" s="9" t="n">
        <x:f>SUM(D364:F364)</x:f>
        <x:v>4.60474</x:v>
      </x:c>
      <x:c r="H364" s="9" t="n">
        <x:f>1.1+0.8*'스킬 500종'!W364</x:f>
        <x:v>5.1</x:v>
      </x:c>
      <x:c r="I364" s="10" t="n">
        <x:f>G364/H364</x:f>
        <x:v>0.9028901960784314</x:v>
      </x:c>
      <x:c r="J364" s="1" t="str">
        <x:f>IF(OR('스킬 500종'!I364&lt;0,'스킬 500종'!J364&lt;0,AND('스킬 500종'!I364&gt;0,'스킬 500종'!J364&gt;0),AND(OR('스킬 500종'!K364="HEAL",'스킬 500종'!N364="HEAL",'스킬 500종'!Q364="HEAL",'스킬 500종'!T364="HEAL"),'스킬 500종'!I364=0,'스킬 500종'!J364=0),AND('스킬 500종'!I364&gt;0,OR('스킬 500종'!K364="CONTINUOUS_HEAL",'스킬 500종'!N364="CONTINUOUS_HEAL",'스킬 500종'!Q364="CONTINUOUS_HEAL",'스킬 500종'!T364="CONTINUOUS_HEAL"))),"회복 기준 오류",IF(AND(G364&lt;=H364+0.00001,'스킬 500종'!W364&gt;=1,'스킬 500종'!W364&lt;=5),"정상","초과"))</x:f>
        <x:v>정상</x:v>
      </x:c>
    </x:row>
    <x:row r="365" ht="30" customHeight="1">
      <x:c r="A365" s="1" t="str">
        <x:f>'스킬 500종'!A365</x:f>
        <x:v>SKILL_0359</x:v>
      </x:c>
      <x:c r="B365" s="1" t="str">
        <x:f>'스킬 500종'!B365</x:f>
        <x:v>강화효과 지속시간 증가 · 반격의 의식</x:v>
      </x:c>
      <x:c r="C365" s="1" t="n">
        <x:f>2.4</x:f>
        <x:v>2.4</x:v>
      </x:c>
      <x:c r="D365" s="9" t="n">
        <x:f>C365*1.08*('효과 규칙 55종'!H58*'스킬 500종'!L365*'스킬 500종'!M365/'효과 규칙 55종'!D58+'효과 규칙 55종'!H51*'스킬 500종'!O365*'스킬 500종'!P365/'효과 규칙 55종'!D51)</x:f>
        <x:v>4.31568</x:v>
      </x:c>
      <x:c r="E365" s="9" t="n">
        <x:f>C365*SUM('스킬 500종'!E365:H365)</x:f>
        <x:v>0</x:v>
      </x:c>
      <x:c r="F365" s="9" t="n">
        <x:f>C365*1.4*SUM('스킬 500종'!I365:J365)</x:f>
        <x:v>0</x:v>
      </x:c>
      <x:c r="G365" s="9" t="n">
        <x:f>SUM(D365:F365)</x:f>
        <x:v>4.31568</x:v>
      </x:c>
      <x:c r="H365" s="9" t="n">
        <x:f>1.1+0.8*'스킬 500종'!W365</x:f>
        <x:v>5.1</x:v>
      </x:c>
      <x:c r="I365" s="10" t="n">
        <x:f>G365/H365</x:f>
        <x:v>0.8462117647058824</x:v>
      </x:c>
      <x:c r="J365" s="1" t="str">
        <x:f>IF(OR('스킬 500종'!I365&lt;0,'스킬 500종'!J365&lt;0,AND('스킬 500종'!I365&gt;0,'스킬 500종'!J365&gt;0),AND(OR('스킬 500종'!K365="HEAL",'스킬 500종'!N365="HEAL",'스킬 500종'!Q365="HEAL",'스킬 500종'!T365="HEAL"),'스킬 500종'!I365=0,'스킬 500종'!J365=0),AND('스킬 500종'!I365&gt;0,OR('스킬 500종'!K365="CONTINUOUS_HEAL",'스킬 500종'!N365="CONTINUOUS_HEAL",'스킬 500종'!Q365="CONTINUOUS_HEAL",'스킬 500종'!T365="CONTINUOUS_HEAL"))),"회복 기준 오류",IF(AND(G365&lt;=H365+0.00001,'스킬 500종'!W365&gt;=1,'스킬 500종'!W365&lt;=5),"정상","초과"))</x:f>
        <x:v>정상</x:v>
      </x:c>
    </x:row>
    <x:row r="366" ht="30" customHeight="1">
      <x:c r="A366" s="1" t="str">
        <x:f>'스킬 500종'!A366</x:f>
        <x:v>SKILL_0360</x:v>
      </x:c>
      <x:c r="B366" s="1" t="str">
        <x:f>'스킬 500종'!B366</x:f>
        <x:v>속도 증가 · 생명력 회복의 의식</x:v>
      </x:c>
      <x:c r="C366" s="1" t="n">
        <x:f>1.6</x:f>
        <x:v>1.6</x:v>
      </x:c>
      <x:c r="D366" s="9" t="n">
        <x:f>C366*1.08*('효과 규칙 55종'!H10*'스킬 500종'!L366*'스킬 500종'!M366/'효과 규칙 55종'!D10+'효과 규칙 55종'!H34*'스킬 500종'!O366*'스킬 500종'!P366/'효과 규칙 55종'!D34)</x:f>
        <x:v>1.01088</x:v>
      </x:c>
      <x:c r="E366" s="9" t="n">
        <x:f>C366*SUM('스킬 500종'!E366:H366)</x:f>
        <x:v>0</x:v>
      </x:c>
      <x:c r="F366" s="9" t="n">
        <x:f>C366*1.4*SUM('스킬 500종'!I366:J366)</x:f>
        <x:v>0.7839999999999999</x:v>
      </x:c>
      <x:c r="G366" s="9" t="n">
        <x:f>SUM(D366:F366)</x:f>
        <x:v>1.79488</x:v>
      </x:c>
      <x:c r="H366" s="9" t="n">
        <x:f>1.1+0.8*'스킬 500종'!W366</x:f>
        <x:v>1.9000000000000001</x:v>
      </x:c>
      <x:c r="I366" s="10" t="n">
        <x:f>G366/H366</x:f>
        <x:v>0.9446736842105262</x:v>
      </x:c>
      <x:c r="J366" s="1" t="str">
        <x:f>IF(OR('스킬 500종'!I366&lt;0,'스킬 500종'!J366&lt;0,AND('스킬 500종'!I366&gt;0,'스킬 500종'!J366&gt;0),AND(OR('스킬 500종'!K366="HEAL",'스킬 500종'!N366="HEAL",'스킬 500종'!Q366="HEAL",'스킬 500종'!T366="HEAL"),'스킬 500종'!I366=0,'스킬 500종'!J366=0),AND('스킬 500종'!I366&gt;0,OR('스킬 500종'!K366="CONTINUOUS_HEAL",'스킬 500종'!N366="CONTINUOUS_HEAL",'스킬 500종'!Q366="CONTINUOUS_HEAL",'스킬 500종'!T366="CONTINUOUS_HEAL"))),"회복 기준 오류",IF(AND(G366&lt;=H366+0.00001,'스킬 500종'!W366&gt;=1,'스킬 500종'!W366&lt;=5),"정상","초과"))</x:f>
        <x:v>정상</x:v>
      </x:c>
    </x:row>
    <x:row r="367" ht="30" customHeight="1">
      <x:c r="A367" s="1" t="str">
        <x:f>'스킬 500종'!A367</x:f>
        <x:v>SKILL_0361</x:v>
      </x:c>
      <x:c r="B367" s="1" t="str">
        <x:f>'스킬 500종'!B367</x:f>
        <x:v>방어력 증가 · 피해 분담 · 치명확률 증가의 의식</x:v>
      </x:c>
      <x:c r="C367" s="1" t="n">
        <x:f>1</x:f>
        <x:v>1</x:v>
      </x:c>
      <x:c r="D367" s="9" t="n">
        <x:f>C367*1.16*('효과 규칙 55종'!H9*'스킬 500종'!L367*'스킬 500종'!M367/'효과 규칙 55종'!D9+'효과 규칙 55종'!H43*'스킬 500종'!O367*'스킬 500종'!P367/'효과 규칙 55종'!D43+'효과 규칙 55종'!H11*'스킬 500종'!R367*'스킬 500종'!S367/'효과 규칙 55종'!D11)</x:f>
        <x:v>1.37344</x:v>
      </x:c>
      <x:c r="E367" s="9" t="n">
        <x:f>C367*SUM('스킬 500종'!E367:H367)</x:f>
        <x:v>0</x:v>
      </x:c>
      <x:c r="F367" s="9" t="n">
        <x:f>C367*1.4*SUM('스킬 500종'!I367:J367)</x:f>
        <x:v>0</x:v>
      </x:c>
      <x:c r="G367" s="9" t="n">
        <x:f>SUM(D367:F367)</x:f>
        <x:v>1.37344</x:v>
      </x:c>
      <x:c r="H367" s="9" t="n">
        <x:f>1.1+0.8*'스킬 500종'!W367</x:f>
        <x:v>1.9000000000000001</x:v>
      </x:c>
      <x:c r="I367" s="10" t="n">
        <x:f>G367/H367</x:f>
        <x:v>0.7228631578947368</x:v>
      </x:c>
      <x:c r="J367" s="1" t="str">
        <x:f>IF(OR('스킬 500종'!I367&lt;0,'스킬 500종'!J367&lt;0,AND('스킬 500종'!I367&gt;0,'스킬 500종'!J367&gt;0),AND(OR('스킬 500종'!K367="HEAL",'스킬 500종'!N367="HEAL",'스킬 500종'!Q367="HEAL",'스킬 500종'!T367="HEAL"),'스킬 500종'!I367=0,'스킬 500종'!J367=0),AND('스킬 500종'!I367&gt;0,OR('스킬 500종'!K367="CONTINUOUS_HEAL",'스킬 500종'!N367="CONTINUOUS_HEAL",'스킬 500종'!Q367="CONTINUOUS_HEAL",'스킬 500종'!T367="CONTINUOUS_HEAL"))),"회복 기준 오류",IF(AND(G367&lt;=H367+0.00001,'스킬 500종'!W367&gt;=1,'스킬 500종'!W367&lt;=5),"정상","초과"))</x:f>
        <x:v>정상</x:v>
      </x:c>
    </x:row>
    <x:row r="368" ht="30" customHeight="1">
      <x:c r="A368" s="1" t="str">
        <x:f>'스킬 500종'!A368</x:f>
        <x:v>SKILL_0362</x:v>
      </x:c>
      <x:c r="B368" s="1" t="str">
        <x:f>'스킬 500종'!B368</x:f>
        <x:v>치명저항 증가 · 공격력 증가 · 회피 증가의 의식</x:v>
      </x:c>
      <x:c r="C368" s="1" t="n">
        <x:f>1</x:f>
        <x:v>1</x:v>
      </x:c>
      <x:c r="D368" s="9" t="n">
        <x:f>C368*1.16*('효과 규칙 55종'!H16*'스킬 500종'!L368*'스킬 500종'!M368/'효과 규칙 55종'!D16+'효과 규칙 55종'!H7*'스킬 500종'!O368*'스킬 500종'!P368/'효과 규칙 55종'!D7+'효과 규칙 55종'!H15*'스킬 500종'!R368*'스킬 500종'!S368/'효과 규칙 55종'!D15)</x:f>
        <x:v>1.4105599999999998</x:v>
      </x:c>
      <x:c r="E368" s="9" t="n">
        <x:f>C368*SUM('스킬 500종'!E368:H368)</x:f>
        <x:v>0</x:v>
      </x:c>
      <x:c r="F368" s="9" t="n">
        <x:f>C368*1.4*SUM('스킬 500종'!I368:J368)</x:f>
        <x:v>0</x:v>
      </x:c>
      <x:c r="G368" s="9" t="n">
        <x:f>SUM(D368:F368)</x:f>
        <x:v>1.4105599999999998</x:v>
      </x:c>
      <x:c r="H368" s="9" t="n">
        <x:f>1.1+0.8*'스킬 500종'!W368</x:f>
        <x:v>1.9000000000000001</x:v>
      </x:c>
      <x:c r="I368" s="10" t="n">
        <x:f>G368/H368</x:f>
        <x:v>0.7423999999999998</x:v>
      </x:c>
      <x:c r="J368" s="1" t="str">
        <x:f>IF(OR('스킬 500종'!I368&lt;0,'스킬 500종'!J368&lt;0,AND('스킬 500종'!I368&gt;0,'스킬 500종'!J368&gt;0),AND(OR('스킬 500종'!K368="HEAL",'스킬 500종'!N368="HEAL",'스킬 500종'!Q368="HEAL",'스킬 500종'!T368="HEAL"),'스킬 500종'!I368=0,'스킬 500종'!J368=0),AND('스킬 500종'!I368&gt;0,OR('스킬 500종'!K368="CONTINUOUS_HEAL",'스킬 500종'!N368="CONTINUOUS_HEAL",'스킬 500종'!Q368="CONTINUOUS_HEAL",'스킬 500종'!T368="CONTINUOUS_HEAL"))),"회복 기준 오류",IF(AND(G368&lt;=H368+0.00001,'스킬 500종'!W368&gt;=1,'스킬 500종'!W368&lt;=5),"정상","초과"))</x:f>
        <x:v>정상</x:v>
      </x:c>
    </x:row>
    <x:row r="369" ht="30" customHeight="1">
      <x:c r="A369" s="1" t="str">
        <x:f>'스킬 500종'!A369</x:f>
        <x:v>SKILL_0363</x:v>
      </x:c>
      <x:c r="B369" s="1" t="str">
        <x:f>'스킬 500종'!B369</x:f>
        <x:v>치명피해 증가 · 회피 증가의 의식</x:v>
      </x:c>
      <x:c r="C369" s="1" t="n">
        <x:f>2.4</x:f>
        <x:v>2.4</x:v>
      </x:c>
      <x:c r="D369" s="9" t="n">
        <x:f>C369*1.08*('효과 규칙 55종'!H12*'스킬 500종'!L369*'스킬 500종'!M369/'효과 규칙 55종'!D12+'효과 규칙 55종'!H15*'스킬 500종'!O369*'스킬 500종'!P369/'효과 규칙 55종'!D15)</x:f>
        <x:v>2.916000000000001</x:v>
      </x:c>
      <x:c r="E369" s="9" t="n">
        <x:f>C369*SUM('스킬 500종'!E369:H369)</x:f>
        <x:v>0</x:v>
      </x:c>
      <x:c r="F369" s="9" t="n">
        <x:f>C369*1.4*SUM('스킬 500종'!I369:J369)</x:f>
        <x:v>0</x:v>
      </x:c>
      <x:c r="G369" s="9" t="n">
        <x:f>SUM(D369:F369)</x:f>
        <x:v>2.916000000000001</x:v>
      </x:c>
      <x:c r="H369" s="9" t="n">
        <x:f>1.1+0.8*'스킬 500종'!W369</x:f>
        <x:v>3.5000000000000004</x:v>
      </x:c>
      <x:c r="I369" s="10" t="n">
        <x:f>G369/H369</x:f>
        <x:v>0.8331428571428573</x:v>
      </x:c>
      <x:c r="J369" s="1" t="str">
        <x:f>IF(OR('스킬 500종'!I369&lt;0,'스킬 500종'!J369&lt;0,AND('스킬 500종'!I369&gt;0,'스킬 500종'!J369&gt;0),AND(OR('스킬 500종'!K369="HEAL",'스킬 500종'!N369="HEAL",'스킬 500종'!Q369="HEAL",'스킬 500종'!T369="HEAL"),'스킬 500종'!I369=0,'스킬 500종'!J369=0),AND('스킬 500종'!I369&gt;0,OR('스킬 500종'!K369="CONTINUOUS_HEAL",'스킬 500종'!N369="CONTINUOUS_HEAL",'스킬 500종'!Q369="CONTINUOUS_HEAL",'스킬 500종'!T369="CONTINUOUS_HEAL"))),"회복 기준 오류",IF(AND(G369&lt;=H369+0.00001,'스킬 500종'!W369&gt;=1,'스킬 500종'!W369&lt;=5),"정상","초과"))</x:f>
        <x:v>정상</x:v>
      </x:c>
    </x:row>
    <x:row r="370" ht="30" customHeight="1">
      <x:c r="A370" s="1" t="str">
        <x:f>'스킬 500종'!A370</x:f>
        <x:v>SKILL_0364</x:v>
      </x:c>
      <x:c r="B370" s="1" t="str">
        <x:f>'스킬 500종'!B370</x:f>
        <x:v>생명력 회복 · 효과적중 증가 · 방어력 증가의 의식</x:v>
      </x:c>
      <x:c r="C370" s="1" t="n">
        <x:f>1.6</x:f>
        <x:v>1.6</x:v>
      </x:c>
      <x:c r="D370" s="9" t="n">
        <x:f>C370*1.16*('효과 규칙 55종'!H34*'스킬 500종'!L370*'스킬 500종'!M370/'효과 규칙 55종'!D34+'효과 규칙 55종'!H13*'스킬 500종'!O370*'스킬 500종'!P370/'효과 규칙 55종'!D13+'효과 규칙 55종'!H9*'스킬 500종'!R370*'스킬 500종'!S370/'효과 규칙 55종'!D9)</x:f>
        <x:v>1.1878400000000002</x:v>
      </x:c>
      <x:c r="E370" s="9" t="n">
        <x:f>C370*SUM('스킬 500종'!E370:H370)</x:f>
        <x:v>0</x:v>
      </x:c>
      <x:c r="F370" s="9" t="n">
        <x:f>C370*1.4*SUM('스킬 500종'!I370:J370)</x:f>
        <x:v>0.5599999999999999</x:v>
      </x:c>
      <x:c r="G370" s="9" t="n">
        <x:f>SUM(D370:F370)</x:f>
        <x:v>1.74784</x:v>
      </x:c>
      <x:c r="H370" s="9" t="n">
        <x:f>1.1+0.8*'스킬 500종'!W370</x:f>
        <x:v>1.9000000000000001</x:v>
      </x:c>
      <x:c r="I370" s="10" t="n">
        <x:f>G370/H370</x:f>
        <x:v>0.9199157894736841</x:v>
      </x:c>
      <x:c r="J370" s="1" t="str">
        <x:f>IF(OR('스킬 500종'!I370&lt;0,'스킬 500종'!J370&lt;0,AND('스킬 500종'!I370&gt;0,'스킬 500종'!J370&gt;0),AND(OR('스킬 500종'!K370="HEAL",'스킬 500종'!N370="HEAL",'스킬 500종'!Q370="HEAL",'스킬 500종'!T370="HEAL"),'스킬 500종'!I370=0,'스킬 500종'!J370=0),AND('스킬 500종'!I370&gt;0,OR('스킬 500종'!K370="CONTINUOUS_HEAL",'스킬 500종'!N370="CONTINUOUS_HEAL",'스킬 500종'!Q370="CONTINUOUS_HEAL",'스킬 500종'!T370="CONTINUOUS_HEAL"))),"회복 기준 오류",IF(AND(G370&lt;=H370+0.00001,'스킬 500종'!W370&gt;=1,'스킬 500종'!W370&lt;=5),"정상","초과"))</x:f>
        <x:v>정상</x:v>
      </x:c>
    </x:row>
    <x:row r="371" ht="30" customHeight="1">
      <x:c r="A371" s="1" t="str">
        <x:f>'스킬 500종'!A371</x:f>
        <x:v>SKILL_0365</x:v>
      </x:c>
      <x:c r="B371" s="1" t="str">
        <x:f>'스킬 500종'!B371</x:f>
        <x:v>치명확률 증가 · 회피 증가 · 피해 반사 · 반격의 의식</x:v>
      </x:c>
      <x:c r="C371" s="1" t="n">
        <x:f>1</x:f>
        <x:v>1</x:v>
      </x:c>
      <x:c r="D371" s="9" t="n">
        <x:f>C371*1.24*('효과 규칙 55종'!H11*'스킬 500종'!L371*'스킬 500종'!M371/'효과 규칙 55종'!D11+'효과 규칙 55종'!H15*'스킬 500종'!O371*'스킬 500종'!P371/'효과 규칙 55종'!D15+'효과 규칙 55종'!H44*'스킬 500종'!R371*'스킬 500종'!S371/'효과 규칙 55종'!D44+'효과 규칙 55종'!H51*'스킬 500종'!U371*'스킬 500종'!V371/'효과 규칙 55종'!D51)</x:f>
        <x:v>1.5233399999999997</x:v>
      </x:c>
      <x:c r="E371" s="9" t="n">
        <x:f>C371*SUM('스킬 500종'!E371:H371)</x:f>
        <x:v>0</x:v>
      </x:c>
      <x:c r="F371" s="9" t="n">
        <x:f>C371*1.4*SUM('스킬 500종'!I371:J371)</x:f>
        <x:v>0</x:v>
      </x:c>
      <x:c r="G371" s="9" t="n">
        <x:f>SUM(D371:F371)</x:f>
        <x:v>1.5233399999999997</x:v>
      </x:c>
      <x:c r="H371" s="9" t="n">
        <x:f>1.1+0.8*'스킬 500종'!W371</x:f>
        <x:v>1.9000000000000001</x:v>
      </x:c>
      <x:c r="I371" s="10" t="n">
        <x:f>G371/H371</x:f>
        <x:v>0.8017578947368419</x:v>
      </x:c>
      <x:c r="J371" s="1" t="str">
        <x:f>IF(OR('스킬 500종'!I371&lt;0,'스킬 500종'!J371&lt;0,AND('스킬 500종'!I371&gt;0,'스킬 500종'!J371&gt;0),AND(OR('스킬 500종'!K371="HEAL",'스킬 500종'!N371="HEAL",'스킬 500종'!Q371="HEAL",'스킬 500종'!T371="HEAL"),'스킬 500종'!I371=0,'스킬 500종'!J371=0),AND('스킬 500종'!I371&gt;0,OR('스킬 500종'!K371="CONTINUOUS_HEAL",'스킬 500종'!N371="CONTINUOUS_HEAL",'스킬 500종'!Q371="CONTINUOUS_HEAL",'스킬 500종'!T371="CONTINUOUS_HEAL"))),"회복 기준 오류",IF(AND(G371&lt;=H371+0.00001,'스킬 500종'!W371&gt;=1,'스킬 500종'!W371&lt;=5),"정상","초과"))</x:f>
        <x:v>정상</x:v>
      </x:c>
    </x:row>
    <x:row r="372" ht="30" customHeight="1">
      <x:c r="A372" s="1" t="str">
        <x:f>'스킬 500종'!A372</x:f>
        <x:v>SKILL_0366</x:v>
      </x:c>
      <x:c r="B372" s="1" t="str">
        <x:f>'스킬 500종'!B372</x:f>
        <x:v>강화효과 지속시간 증가 · 무적 · 피해 분담의 의식</x:v>
      </x:c>
      <x:c r="C372" s="1" t="n">
        <x:f>1</x:f>
        <x:v>1</x:v>
      </x:c>
      <x:c r="D372" s="9" t="n">
        <x:f>C372*1.16*('효과 규칙 55종'!H58*'스킬 500종'!L372*'스킬 500종'!M372/'효과 규칙 55종'!D58+'효과 규칙 55종'!H38*'스킬 500종'!O372*'스킬 500종'!P372/'효과 규칙 55종'!D38+'효과 규칙 55종'!H43*'스킬 500종'!R372*'스킬 500종'!S372/'효과 규칙 55종'!D43)</x:f>
        <x:v>3.5635200000000005</x:v>
      </x:c>
      <x:c r="E372" s="9" t="n">
        <x:f>C372*SUM('스킬 500종'!E372:H372)</x:f>
        <x:v>0</x:v>
      </x:c>
      <x:c r="F372" s="9" t="n">
        <x:f>C372*1.4*SUM('스킬 500종'!I372:J372)</x:f>
        <x:v>0</x:v>
      </x:c>
      <x:c r="G372" s="9" t="n">
        <x:f>SUM(D372:F372)</x:f>
        <x:v>3.5635200000000005</x:v>
      </x:c>
      <x:c r="H372" s="9" t="n">
        <x:f>1.1+0.8*'스킬 500종'!W372</x:f>
        <x:v>4.300000000000001</x:v>
      </x:c>
      <x:c r="I372" s="10" t="n">
        <x:f>G372/H372</x:f>
        <x:v>0.8287255813953488</x:v>
      </x:c>
      <x:c r="J372" s="1" t="str">
        <x:f>IF(OR('스킬 500종'!I372&lt;0,'스킬 500종'!J372&lt;0,AND('스킬 500종'!I372&gt;0,'스킬 500종'!J372&gt;0),AND(OR('스킬 500종'!K372="HEAL",'스킬 500종'!N372="HEAL",'스킬 500종'!Q372="HEAL",'스킬 500종'!T372="HEAL"),'스킬 500종'!I372=0,'스킬 500종'!J372=0),AND('스킬 500종'!I372&gt;0,OR('스킬 500종'!K372="CONTINUOUS_HEAL",'스킬 500종'!N372="CONTINUOUS_HEAL",'스킬 500종'!Q372="CONTINUOUS_HEAL",'스킬 500종'!T372="CONTINUOUS_HEAL"))),"회복 기준 오류",IF(AND(G372&lt;=H372+0.00001,'스킬 500종'!W372&gt;=1,'스킬 500종'!W372&lt;=5),"정상","초과"))</x:f>
        <x:v>정상</x:v>
      </x:c>
    </x:row>
    <x:row r="373" ht="30" customHeight="1">
      <x:c r="A373" s="1" t="str">
        <x:f>'스킬 500종'!A373</x:f>
        <x:v>SKILL_0367</x:v>
      </x:c>
      <x:c r="B373" s="1" t="str">
        <x:f>'스킬 500종'!B373</x:f>
        <x:v>효과적중 증가 · 약화효과 해제 · 지속 회복의 의식</x:v>
      </x:c>
      <x:c r="C373" s="1" t="n">
        <x:f>2.4</x:f>
        <x:v>2.4</x:v>
      </x:c>
      <x:c r="D373" s="9" t="n">
        <x:f>C373*1.16*('효과 규칙 55종'!H13*'스킬 500종'!L373*'스킬 500종'!M373/'효과 규칙 55종'!D13+'효과 규칙 55종'!H57*'스킬 500종'!O373*'스킬 500종'!P373/'효과 규칙 55종'!D57+'효과 규칙 55종'!H35*'스킬 500종'!R373*'스킬 500종'!S373/'효과 규칙 55종'!D35)</x:f>
        <x:v>3.3407999999999998</x:v>
      </x:c>
      <x:c r="E373" s="9" t="n">
        <x:f>C373*SUM('스킬 500종'!E373:H373)</x:f>
        <x:v>0</x:v>
      </x:c>
      <x:c r="F373" s="9" t="n">
        <x:f>C373*1.4*SUM('스킬 500종'!I373:J373)</x:f>
        <x:v>0</x:v>
      </x:c>
      <x:c r="G373" s="9" t="n">
        <x:f>SUM(D373:F373)</x:f>
        <x:v>3.3407999999999998</x:v>
      </x:c>
      <x:c r="H373" s="9" t="n">
        <x:f>1.1+0.8*'스킬 500종'!W373</x:f>
        <x:v>3.5000000000000004</x:v>
      </x:c>
      <x:c r="I373" s="10" t="n">
        <x:f>G373/H373</x:f>
        <x:v>0.9545142857142855</x:v>
      </x:c>
      <x:c r="J373" s="1" t="str">
        <x:f>IF(OR('스킬 500종'!I373&lt;0,'스킬 500종'!J373&lt;0,AND('스킬 500종'!I373&gt;0,'스킬 500종'!J373&gt;0),AND(OR('스킬 500종'!K373="HEAL",'스킬 500종'!N373="HEAL",'스킬 500종'!Q373="HEAL",'스킬 500종'!T373="HEAL"),'스킬 500종'!I373=0,'스킬 500종'!J373=0),AND('스킬 500종'!I373&gt;0,OR('스킬 500종'!K373="CONTINUOUS_HEAL",'스킬 500종'!N373="CONTINUOUS_HEAL",'스킬 500종'!Q373="CONTINUOUS_HEAL",'스킬 500종'!T373="CONTINUOUS_HEAL"))),"회복 기준 오류",IF(AND(G373&lt;=H373+0.00001,'스킬 500종'!W373&gt;=1,'스킬 500종'!W373&lt;=5),"정상","초과"))</x:f>
        <x:v>정상</x:v>
      </x:c>
    </x:row>
    <x:row r="374" ht="30" customHeight="1">
      <x:c r="A374" s="1" t="str">
        <x:f>'스킬 500종'!A374</x:f>
        <x:v>SKILL_0368</x:v>
      </x:c>
      <x:c r="B374" s="1" t="str">
        <x:f>'스킬 500종'!B374</x:f>
        <x:v>반격 · 치명확률 증가 · 보호막 · 회피 증가의 의식</x:v>
      </x:c>
      <x:c r="C374" s="1" t="n">
        <x:f>1.6</x:f>
        <x:v>1.6</x:v>
      </x:c>
      <x:c r="D374" s="9" t="n">
        <x:f>C374*1.24*('효과 규칙 55종'!H51*'스킬 500종'!L374*'스킬 500종'!M374/'효과 규칙 55종'!D51+'효과 규칙 55종'!H11*'스킬 500종'!O374*'스킬 500종'!P374/'효과 규칙 55종'!D11+'효과 규칙 55종'!H37*'스킬 500종'!R374*'스킬 500종'!S374/'효과 규칙 55종'!D37+'효과 규칙 55종'!H15*'스킬 500종'!U374*'스킬 500종'!V374/'효과 규칙 55종'!D15)</x:f>
        <x:v>2.3947541333333335</x:v>
      </x:c>
      <x:c r="E374" s="9" t="n">
        <x:f>C374*SUM('스킬 500종'!E374:H374)</x:f>
        <x:v>0</x:v>
      </x:c>
      <x:c r="F374" s="9" t="n">
        <x:f>C374*1.4*SUM('스킬 500종'!I374:J374)</x:f>
        <x:v>0</x:v>
      </x:c>
      <x:c r="G374" s="9" t="n">
        <x:f>SUM(D374:F374)</x:f>
        <x:v>2.3947541333333335</x:v>
      </x:c>
      <x:c r="H374" s="9" t="n">
        <x:f>1.1+0.8*'스킬 500종'!W374</x:f>
        <x:v>2.7</x:v>
      </x:c>
      <x:c r="I374" s="10" t="n">
        <x:f>G374/H374</x:f>
        <x:v>0.8869459753086419</x:v>
      </x:c>
      <x:c r="J374" s="1" t="str">
        <x:f>IF(OR('스킬 500종'!I374&lt;0,'스킬 500종'!J374&lt;0,AND('스킬 500종'!I374&gt;0,'스킬 500종'!J374&gt;0),AND(OR('스킬 500종'!K374="HEAL",'스킬 500종'!N374="HEAL",'스킬 500종'!Q374="HEAL",'스킬 500종'!T374="HEAL"),'스킬 500종'!I374=0,'스킬 500종'!J374=0),AND('스킬 500종'!I374&gt;0,OR('스킬 500종'!K374="CONTINUOUS_HEAL",'스킬 500종'!N374="CONTINUOUS_HEAL",'스킬 500종'!Q374="CONTINUOUS_HEAL",'스킬 500종'!T374="CONTINUOUS_HEAL"))),"회복 기준 오류",IF(AND(G374&lt;=H374+0.00001,'스킬 500종'!W374&gt;=1,'스킬 500종'!W374&lt;=5),"정상","초과"))</x:f>
        <x:v>정상</x:v>
      </x:c>
    </x:row>
    <x:row r="375" ht="30" customHeight="1">
      <x:c r="A375" s="1" t="str">
        <x:f>'스킬 500종'!A375</x:f>
        <x:v>SKILL_0369</x:v>
      </x:c>
      <x:c r="B375" s="1" t="str">
        <x:f>'스킬 500종'!B375</x:f>
        <x:v>방어력 증가 · 회피 증가 · 스킬 쿨타임 초기화의 의식</x:v>
      </x:c>
      <x:c r="C375" s="1" t="n">
        <x:f>1</x:f>
        <x:v>1</x:v>
      </x:c>
      <x:c r="D375" s="9" t="n">
        <x:f>C375*1.16*('효과 규칙 55종'!H9*'스킬 500종'!L375*'스킬 500종'!M375/'효과 규칙 55종'!D9+'효과 규칙 55종'!H15*'스킬 500종'!O375*'스킬 500종'!P375/'효과 규칙 55종'!D15+'효과 규칙 55종'!H53*'스킬 500종'!R375*'스킬 500종'!S375/'효과 규칙 55종'!D53)</x:f>
        <x:v>3.84192</x:v>
      </x:c>
      <x:c r="E375" s="9" t="n">
        <x:f>C375*SUM('스킬 500종'!E375:H375)</x:f>
        <x:v>0</x:v>
      </x:c>
      <x:c r="F375" s="9" t="n">
        <x:f>C375*1.4*SUM('스킬 500종'!I375:J375)</x:f>
        <x:v>0</x:v>
      </x:c>
      <x:c r="G375" s="9" t="n">
        <x:f>SUM(D375:F375)</x:f>
        <x:v>3.84192</x:v>
      </x:c>
      <x:c r="H375" s="9" t="n">
        <x:f>1.1+0.8*'스킬 500종'!W375</x:f>
        <x:v>5.1</x:v>
      </x:c>
      <x:c r="I375" s="10" t="n">
        <x:f>G375/H375</x:f>
        <x:v>0.7533176470588235</x:v>
      </x:c>
      <x:c r="J375" s="1" t="str">
        <x:f>IF(OR('스킬 500종'!I375&lt;0,'스킬 500종'!J375&lt;0,AND('스킬 500종'!I375&gt;0,'스킬 500종'!J375&gt;0),AND(OR('스킬 500종'!K375="HEAL",'스킬 500종'!N375="HEAL",'스킬 500종'!Q375="HEAL",'스킬 500종'!T375="HEAL"),'스킬 500종'!I375=0,'스킬 500종'!J375=0),AND('스킬 500종'!I375&gt;0,OR('스킬 500종'!K375="CONTINUOUS_HEAL",'스킬 500종'!N375="CONTINUOUS_HEAL",'스킬 500종'!Q375="CONTINUOUS_HEAL",'스킬 500종'!T375="CONTINUOUS_HEAL"))),"회복 기준 오류",IF(AND(G375&lt;=H375+0.00001,'스킬 500종'!W375&gt;=1,'스킬 500종'!W375&lt;=5),"정상","초과"))</x:f>
        <x:v>정상</x:v>
      </x:c>
    </x:row>
    <x:row r="376" ht="30" customHeight="1">
      <x:c r="A376" s="1" t="str">
        <x:f>'스킬 500종'!A376</x:f>
        <x:v>SKILL_0370</x:v>
      </x:c>
      <x:c r="B376" s="1" t="str">
        <x:f>'스킬 500종'!B376</x:f>
        <x:v>약화효과 해제 · 보호막 · 소생의 의식</x:v>
      </x:c>
      <x:c r="C376" s="1" t="n">
        <x:f>1</x:f>
        <x:v>1</x:v>
      </x:c>
      <x:c r="D376" s="9" t="n">
        <x:f>C376*1.16*('효과 규칙 55종'!H57*'스킬 500종'!L376*'스킬 500종'!M376/'효과 규칙 55종'!D57+'효과 규칙 55종'!H37*'스킬 500종'!O376*'스킬 500종'!P376/'효과 규칙 55종'!D37+'효과 규칙 55종'!H46*'스킬 500종'!R376*'스킬 500종'!S376/'효과 규칙 55종'!D46)</x:f>
        <x:v>5.001919999999999</x:v>
      </x:c>
      <x:c r="E376" s="9" t="n">
        <x:f>C376*SUM('스킬 500종'!E376:H376)</x:f>
        <x:v>0</x:v>
      </x:c>
      <x:c r="F376" s="9" t="n">
        <x:f>C376*1.4*SUM('스킬 500종'!I376:J376)</x:f>
        <x:v>0</x:v>
      </x:c>
      <x:c r="G376" s="9" t="n">
        <x:f>SUM(D376:F376)</x:f>
        <x:v>5.001919999999999</x:v>
      </x:c>
      <x:c r="H376" s="9" t="n">
        <x:f>1.1+0.8*'스킬 500종'!W376</x:f>
        <x:v>5.1</x:v>
      </x:c>
      <x:c r="I376" s="10" t="n">
        <x:f>G376/H376</x:f>
        <x:v>0.9807686274509804</x:v>
      </x:c>
      <x:c r="J376" s="1" t="str">
        <x:f>IF(OR('스킬 500종'!I376&lt;0,'스킬 500종'!J376&lt;0,AND('스킬 500종'!I376&gt;0,'스킬 500종'!J376&gt;0),AND(OR('스킬 500종'!K376="HEAL",'스킬 500종'!N376="HEAL",'스킬 500종'!Q376="HEAL",'스킬 500종'!T376="HEAL"),'스킬 500종'!I376=0,'스킬 500종'!J376=0),AND('스킬 500종'!I376&gt;0,OR('스킬 500종'!K376="CONTINUOUS_HEAL",'스킬 500종'!N376="CONTINUOUS_HEAL",'스킬 500종'!Q376="CONTINUOUS_HEAL",'스킬 500종'!T376="CONTINUOUS_HEAL"))),"회복 기준 오류",IF(AND(G376&lt;=H376+0.00001,'스킬 500종'!W376&gt;=1,'스킬 500종'!W376&lt;=5),"정상","초과"))</x:f>
        <x:v>정상</x:v>
      </x:c>
    </x:row>
    <x:row r="377" ht="30" customHeight="1">
      <x:c r="A377" s="1" t="str">
        <x:f>'스킬 500종'!A377</x:f>
        <x:v>SKILL_0371</x:v>
      </x:c>
      <x:c r="B377" s="1" t="str">
        <x:f>'스킬 500종'!B377</x:f>
        <x:v>효과적중 증가 · 면역 · 약화효과 해제 · 은신의 의식</x:v>
      </x:c>
      <x:c r="C377" s="1" t="n">
        <x:f>2.4</x:f>
        <x:v>2.4</x:v>
      </x:c>
      <x:c r="D377" s="9" t="n">
        <x:f>C377*1.24*('효과 규칙 55종'!H13*'스킬 500종'!L377*'스킬 500종'!M377/'효과 규칙 55종'!D13+'효과 규칙 55종'!H40*'스킬 500종'!O377*'스킬 500종'!P377/'효과 규칙 55종'!D40+'효과 규칙 55종'!H57*'스킬 500종'!R377*'스킬 500종'!S377/'효과 규칙 55종'!D57+'효과 규칙 55종'!H41*'스킬 500종'!U377*'스킬 500종'!V377/'효과 규칙 55종'!D41)</x:f>
        <x:v>4.89861504</x:v>
      </x:c>
      <x:c r="E377" s="9" t="n">
        <x:f>C377*SUM('스킬 500종'!E377:H377)</x:f>
        <x:v>0</x:v>
      </x:c>
      <x:c r="F377" s="9" t="n">
        <x:f>C377*1.4*SUM('스킬 500종'!I377:J377)</x:f>
        <x:v>0</x:v>
      </x:c>
      <x:c r="G377" s="9" t="n">
        <x:f>SUM(D377:F377)</x:f>
        <x:v>4.89861504</x:v>
      </x:c>
      <x:c r="H377" s="9" t="n">
        <x:f>1.1+0.8*'스킬 500종'!W377</x:f>
        <x:v>5.1</x:v>
      </x:c>
      <x:c r="I377" s="10" t="n">
        <x:f>G377/H377</x:f>
        <x:v>0.9605127529411766</x:v>
      </x:c>
      <x:c r="J377" s="1" t="str">
        <x:f>IF(OR('스킬 500종'!I377&lt;0,'스킬 500종'!J377&lt;0,AND('스킬 500종'!I377&gt;0,'스킬 500종'!J377&gt;0),AND(OR('스킬 500종'!K377="HEAL",'스킬 500종'!N377="HEAL",'스킬 500종'!Q377="HEAL",'스킬 500종'!T377="HEAL"),'스킬 500종'!I377=0,'스킬 500종'!J377=0),AND('스킬 500종'!I377&gt;0,OR('스킬 500종'!K377="CONTINUOUS_HEAL",'스킬 500종'!N377="CONTINUOUS_HEAL",'스킬 500종'!Q377="CONTINUOUS_HEAL",'스킬 500종'!T377="CONTINUOUS_HEAL"))),"회복 기준 오류",IF(AND(G377&lt;=H377+0.00001,'스킬 500종'!W377&gt;=1,'스킬 500종'!W377&lt;=5),"정상","초과"))</x:f>
        <x:v>정상</x:v>
      </x:c>
    </x:row>
    <x:row r="378" ht="30" customHeight="1">
      <x:c r="A378" s="1" t="str">
        <x:f>'스킬 500종'!A378</x:f>
        <x:v>SKILL_0372</x:v>
      </x:c>
      <x:c r="B378" s="1" t="str">
        <x:f>'스킬 500종'!B378</x:f>
        <x:v>효과적중 증가 · 지속 회복의 의식</x:v>
      </x:c>
      <x:c r="C378" s="1" t="n">
        <x:f>1.6</x:f>
        <x:v>1.6</x:v>
      </x:c>
      <x:c r="D378" s="9" t="n">
        <x:f>C378*1.08*('효과 규칙 55종'!H13*'스킬 500종'!L378*'스킬 500종'!M378/'효과 규칙 55종'!D13+'효과 규칙 55종'!H35*'스킬 500종'!O378*'스킬 500종'!P378/'효과 규칙 55종'!D35)</x:f>
        <x:v>1.5552000000000004</x:v>
      </x:c>
      <x:c r="E378" s="9" t="n">
        <x:f>C378*SUM('스킬 500종'!E378:H378)</x:f>
        <x:v>0</x:v>
      </x:c>
      <x:c r="F378" s="9" t="n">
        <x:f>C378*1.4*SUM('스킬 500종'!I378:J378)</x:f>
        <x:v>0</x:v>
      </x:c>
      <x:c r="G378" s="9" t="n">
        <x:f>SUM(D378:F378)</x:f>
        <x:v>1.5552000000000004</x:v>
      </x:c>
      <x:c r="H378" s="9" t="n">
        <x:f>1.1+0.8*'스킬 500종'!W378</x:f>
        <x:v>1.9000000000000001</x:v>
      </x:c>
      <x:c r="I378" s="10" t="n">
        <x:f>G378/H378</x:f>
        <x:v>0.8185263157894738</x:v>
      </x:c>
      <x:c r="J378" s="1" t="str">
        <x:f>IF(OR('스킬 500종'!I378&lt;0,'스킬 500종'!J378&lt;0,AND('스킬 500종'!I378&gt;0,'스킬 500종'!J378&gt;0),AND(OR('스킬 500종'!K378="HEAL",'스킬 500종'!N378="HEAL",'스킬 500종'!Q378="HEAL",'스킬 500종'!T378="HEAL"),'스킬 500종'!I378=0,'스킬 500종'!J378=0),AND('스킬 500종'!I378&gt;0,OR('스킬 500종'!K378="CONTINUOUS_HEAL",'스킬 500종'!N378="CONTINUOUS_HEAL",'스킬 500종'!Q378="CONTINUOUS_HEAL",'스킬 500종'!T378="CONTINUOUS_HEAL"))),"회복 기준 오류",IF(AND(G378&lt;=H378+0.00001,'스킬 500종'!W378&gt;=1,'스킬 500종'!W378&lt;=5),"정상","초과"))</x:f>
        <x:v>정상</x:v>
      </x:c>
    </x:row>
    <x:row r="379" ht="30" customHeight="1">
      <x:c r="A379" s="1" t="str">
        <x:f>'스킬 500종'!A379</x:f>
        <x:v>SKILL_0373</x:v>
      </x:c>
      <x:c r="B379" s="1" t="str">
        <x:f>'스킬 500종'!B379</x:f>
        <x:v>속도 증가 · 피해 분담 · 스킬 쿨타임 초기화 · 치명피해 증가의 의식</x:v>
      </x:c>
      <x:c r="C379" s="1" t="n">
        <x:f>1</x:f>
        <x:v>1</x:v>
      </x:c>
      <x:c r="D379" s="9" t="n">
        <x:f>C379*1.24*('효과 규칙 55종'!H10*'스킬 500종'!L379*'스킬 500종'!M379/'효과 규칙 55종'!D10+'효과 규칙 55종'!H43*'스킬 500종'!O379*'스킬 500종'!P379/'효과 규칙 55종'!D43+'효과 규칙 55종'!H53*'스킬 500종'!R379*'스킬 500종'!S379/'효과 규칙 55종'!D53+'효과 규칙 55종'!H12*'스킬 500종'!U379*'스킬 500종'!V379/'효과 규칙 55종'!D12)</x:f>
        <x:v>3.79099</x:v>
      </x:c>
      <x:c r="E379" s="9" t="n">
        <x:f>C379*SUM('스킬 500종'!E379:H379)</x:f>
        <x:v>0</x:v>
      </x:c>
      <x:c r="F379" s="9" t="n">
        <x:f>C379*1.4*SUM('스킬 500종'!I379:J379)</x:f>
        <x:v>0</x:v>
      </x:c>
      <x:c r="G379" s="9" t="n">
        <x:f>SUM(D379:F379)</x:f>
        <x:v>3.79099</x:v>
      </x:c>
      <x:c r="H379" s="9" t="n">
        <x:f>1.1+0.8*'스킬 500종'!W379</x:f>
        <x:v>5.1</x:v>
      </x:c>
      <x:c r="I379" s="10" t="n">
        <x:f>G379/H379</x:f>
        <x:v>0.7433313725490196</x:v>
      </x:c>
      <x:c r="J379" s="1" t="str">
        <x:f>IF(OR('스킬 500종'!I379&lt;0,'스킬 500종'!J379&lt;0,AND('스킬 500종'!I379&gt;0,'스킬 500종'!J379&gt;0),AND(OR('스킬 500종'!K379="HEAL",'스킬 500종'!N379="HEAL",'스킬 500종'!Q379="HEAL",'스킬 500종'!T379="HEAL"),'스킬 500종'!I379=0,'스킬 500종'!J379=0),AND('스킬 500종'!I379&gt;0,OR('스킬 500종'!K379="CONTINUOUS_HEAL",'스킬 500종'!N379="CONTINUOUS_HEAL",'스킬 500종'!Q379="CONTINUOUS_HEAL",'스킬 500종'!T379="CONTINUOUS_HEAL"))),"회복 기준 오류",IF(AND(G379&lt;=H379+0.00001,'스킬 500종'!W379&gt;=1,'스킬 500종'!W379&lt;=5),"정상","초과"))</x:f>
        <x:v>정상</x:v>
      </x:c>
    </x:row>
    <x:row r="380" ht="30" customHeight="1">
      <x:c r="A380" s="1" t="str">
        <x:f>'스킬 500종'!A380</x:f>
        <x:v>SKILL_0374</x:v>
      </x:c>
      <x:c r="B380" s="1" t="str">
        <x:f>'스킬 500종'!B380</x:f>
        <x:v>무적 · 은신 · 치명확률 증가 · 보호막의 의식</x:v>
      </x:c>
      <x:c r="C380" s="1" t="n">
        <x:f>1</x:f>
        <x:v>1</x:v>
      </x:c>
      <x:c r="D380" s="9" t="n">
        <x:f>C380*1.24*('효과 규칙 55종'!H38*'스킬 500종'!L380*'스킬 500종'!M380/'효과 규칙 55종'!D38+'효과 규칙 55종'!H41*'스킬 500종'!O380*'스킬 500종'!P380/'효과 규칙 55종'!D41+'효과 규칙 55종'!H11*'스킬 500종'!R380*'스킬 500종'!S380/'효과 규칙 55종'!D11+'효과 규칙 55종'!H37*'스킬 500종'!U380*'스킬 500종'!V380/'효과 규칙 55종'!D37)</x:f>
        <x:v>3.1980013333333335</x:v>
      </x:c>
      <x:c r="E380" s="9" t="n">
        <x:f>C380*SUM('스킬 500종'!E380:H380)</x:f>
        <x:v>0</x:v>
      </x:c>
      <x:c r="F380" s="9" t="n">
        <x:f>C380*1.4*SUM('스킬 500종'!I380:J380)</x:f>
        <x:v>0</x:v>
      </x:c>
      <x:c r="G380" s="9" t="n">
        <x:f>SUM(D380:F380)</x:f>
        <x:v>3.1980013333333335</x:v>
      </x:c>
      <x:c r="H380" s="9" t="n">
        <x:f>1.1+0.8*'스킬 500종'!W380</x:f>
        <x:v>3.5000000000000004</x:v>
      </x:c>
      <x:c r="I380" s="10" t="n">
        <x:f>G380/H380</x:f>
        <x:v>0.9137146666666666</x:v>
      </x:c>
      <x:c r="J380" s="1" t="str">
        <x:f>IF(OR('스킬 500종'!I380&lt;0,'스킬 500종'!J380&lt;0,AND('스킬 500종'!I380&gt;0,'스킬 500종'!J380&gt;0),AND(OR('스킬 500종'!K380="HEAL",'스킬 500종'!N380="HEAL",'스킬 500종'!Q380="HEAL",'스킬 500종'!T380="HEAL"),'스킬 500종'!I380=0,'스킬 500종'!J380=0),AND('스킬 500종'!I380&gt;0,OR('스킬 500종'!K380="CONTINUOUS_HEAL",'스킬 500종'!N380="CONTINUOUS_HEAL",'스킬 500종'!Q380="CONTINUOUS_HEAL",'스킬 500종'!T380="CONTINUOUS_HEAL"))),"회복 기준 오류",IF(AND(G380&lt;=H380+0.00001,'스킬 500종'!W380&gt;=1,'스킬 500종'!W380&lt;=5),"정상","초과"))</x:f>
        <x:v>정상</x:v>
      </x:c>
    </x:row>
    <x:row r="381" ht="30" customHeight="1">
      <x:c r="A381" s="1" t="str">
        <x:f>'스킬 500종'!A381</x:f>
        <x:v>SKILL_0375</x:v>
      </x:c>
      <x:c r="B381" s="1" t="str">
        <x:f>'스킬 500종'!B381</x:f>
        <x:v>스킬 쿨타임 감소 · 공격력 증가 · 약화효과 해제 · 방어력 증가의 의식</x:v>
      </x:c>
      <x:c r="C381" s="1" t="n">
        <x:f>2.4</x:f>
        <x:v>2.4</x:v>
      </x:c>
      <x:c r="D381" s="9" t="n">
        <x:f>C381*1.24*('효과 규칙 55종'!H52*'스킬 500종'!L381*'스킬 500종'!M381/'효과 규칙 55종'!D52+'효과 규칙 55종'!H7*'스킬 500종'!O381*'스킬 500종'!P381/'효과 규칙 55종'!D7+'효과 규칙 55종'!H57*'스킬 500종'!R381*'스킬 500종'!S381/'효과 규칙 55종'!D57+'효과 규칙 55종'!H9*'스킬 500종'!U381*'스킬 500종'!V381/'효과 규칙 55종'!D9)</x:f>
        <x:v>4.846501028571429</x:v>
      </x:c>
      <x:c r="E381" s="9" t="n">
        <x:f>C381*SUM('스킬 500종'!E381:H381)</x:f>
        <x:v>0</x:v>
      </x:c>
      <x:c r="F381" s="9" t="n">
        <x:f>C381*1.4*SUM('스킬 500종'!I381:J381)</x:f>
        <x:v>0</x:v>
      </x:c>
      <x:c r="G381" s="9" t="n">
        <x:f>SUM(D381:F381)</x:f>
        <x:v>4.846501028571429</x:v>
      </x:c>
      <x:c r="H381" s="9" t="n">
        <x:f>1.1+0.8*'스킬 500종'!W381</x:f>
        <x:v>5.1</x:v>
      </x:c>
      <x:c r="I381" s="10" t="n">
        <x:f>G381/H381</x:f>
        <x:v>0.9502943193277312</x:v>
      </x:c>
      <x:c r="J381" s="1" t="str">
        <x:f>IF(OR('스킬 500종'!I381&lt;0,'스킬 500종'!J381&lt;0,AND('스킬 500종'!I381&gt;0,'스킬 500종'!J381&gt;0),AND(OR('스킬 500종'!K381="HEAL",'스킬 500종'!N381="HEAL",'스킬 500종'!Q381="HEAL",'스킬 500종'!T381="HEAL"),'스킬 500종'!I381=0,'스킬 500종'!J381=0),AND('스킬 500종'!I381&gt;0,OR('스킬 500종'!K381="CONTINUOUS_HEAL",'스킬 500종'!N381="CONTINUOUS_HEAL",'스킬 500종'!Q381="CONTINUOUS_HEAL",'스킬 500종'!T381="CONTINUOUS_HEAL"))),"회복 기준 오류",IF(AND(G381&lt;=H381+0.00001,'스킬 500종'!W381&gt;=1,'스킬 500종'!W381&lt;=5),"정상","초과"))</x:f>
        <x:v>정상</x:v>
      </x:c>
    </x:row>
    <x:row r="382" ht="30" customHeight="1">
      <x:c r="A382" s="1" t="str">
        <x:f>'스킬 500종'!A382</x:f>
        <x:v>SKILL_0376</x:v>
      </x:c>
      <x:c r="B382" s="1" t="str">
        <x:f>'스킬 500종'!B382</x:f>
        <x:v>피해 감소 · 지속 회복 · 방어력 증가 · 치명확률 증가의 의식</x:v>
      </x:c>
      <x:c r="C382" s="1" t="n">
        <x:f>1.6</x:f>
        <x:v>1.6</x:v>
      </x:c>
      <x:c r="D382" s="9" t="n">
        <x:f>C382*1.24*('효과 규칙 55종'!H42*'스킬 500종'!L382*'스킬 500종'!M382/'효과 규칙 55종'!D42+'효과 규칙 55종'!H35*'스킬 500종'!O382*'스킬 500종'!P382/'효과 규칙 55종'!D35+'효과 규칙 55종'!H9*'스킬 500종'!R382*'스킬 500종'!S382/'효과 규칙 55종'!D9+'효과 규칙 55종'!H11*'스킬 500종'!U382*'스킬 500종'!V382/'효과 규칙 55종'!D11)</x:f>
        <x:v>2.0806207999999997</x:v>
      </x:c>
      <x:c r="E382" s="9" t="n">
        <x:f>C382*SUM('스킬 500종'!E382:H382)</x:f>
        <x:v>0</x:v>
      </x:c>
      <x:c r="F382" s="9" t="n">
        <x:f>C382*1.4*SUM('스킬 500종'!I382:J382)</x:f>
        <x:v>0</x:v>
      </x:c>
      <x:c r="G382" s="9" t="n">
        <x:f>SUM(D382:F382)</x:f>
        <x:v>2.0806207999999997</x:v>
      </x:c>
      <x:c r="H382" s="9" t="n">
        <x:f>1.1+0.8*'스킬 500종'!W382</x:f>
        <x:v>2.7</x:v>
      </x:c>
      <x:c r="I382" s="10" t="n">
        <x:f>G382/H382</x:f>
        <x:v>0.7706002962962961</x:v>
      </x:c>
      <x:c r="J382" s="1" t="str">
        <x:f>IF(OR('스킬 500종'!I382&lt;0,'스킬 500종'!J382&lt;0,AND('스킬 500종'!I382&gt;0,'스킬 500종'!J382&gt;0),AND(OR('스킬 500종'!K382="HEAL",'스킬 500종'!N382="HEAL",'스킬 500종'!Q382="HEAL",'스킬 500종'!T382="HEAL"),'스킬 500종'!I382=0,'스킬 500종'!J382=0),AND('스킬 500종'!I382&gt;0,OR('스킬 500종'!K382="CONTINUOUS_HEAL",'스킬 500종'!N382="CONTINUOUS_HEAL",'스킬 500종'!Q382="CONTINUOUS_HEAL",'스킬 500종'!T382="CONTINUOUS_HEAL"))),"회복 기준 오류",IF(AND(G382&lt;=H382+0.00001,'스킬 500종'!W382&gt;=1,'스킬 500종'!W382&lt;=5),"정상","초과"))</x:f>
        <x:v>정상</x:v>
      </x:c>
    </x:row>
    <x:row r="383" ht="30" customHeight="1">
      <x:c r="A383" s="1" t="str">
        <x:f>'스킬 500종'!A383</x:f>
        <x:v>SKILL_0377</x:v>
      </x:c>
      <x:c r="B383" s="1" t="str">
        <x:f>'스킬 500종'!B383</x:f>
        <x:v>무적 · 공격력 증가(대) · 속도 증가 · 은신의 의식</x:v>
      </x:c>
      <x:c r="C383" s="1" t="n">
        <x:f>1</x:f>
        <x:v>1</x:v>
      </x:c>
      <x:c r="D383" s="9" t="n">
        <x:f>C383*1.24*('효과 규칙 55종'!H38*'스킬 500종'!L383*'스킬 500종'!M383/'효과 규칙 55종'!D38+'효과 규칙 55종'!H8*'스킬 500종'!O383*'스킬 500종'!P383/'효과 규칙 55종'!D8+'효과 규칙 55종'!H10*'스킬 500종'!R383*'스킬 500종'!S383/'효과 규칙 55종'!D10+'효과 규칙 55종'!H41*'스킬 500종'!U383*'스킬 500종'!V383/'효과 규칙 55종'!D41)</x:f>
        <x:v>3.5067199999999996</x:v>
      </x:c>
      <x:c r="E383" s="9" t="n">
        <x:f>C383*SUM('스킬 500종'!E383:H383)</x:f>
        <x:v>0</x:v>
      </x:c>
      <x:c r="F383" s="9" t="n">
        <x:f>C383*1.4*SUM('스킬 500종'!I383:J383)</x:f>
        <x:v>0</x:v>
      </x:c>
      <x:c r="G383" s="9" t="n">
        <x:f>SUM(D383:F383)</x:f>
        <x:v>3.5067199999999996</x:v>
      </x:c>
      <x:c r="H383" s="9" t="n">
        <x:f>1.1+0.8*'스킬 500종'!W383</x:f>
        <x:v>4.300000000000001</x:v>
      </x:c>
      <x:c r="I383" s="10" t="n">
        <x:f>G383/H383</x:f>
        <x:v>0.8155162790697672</x:v>
      </x:c>
      <x:c r="J383" s="1" t="str">
        <x:f>IF(OR('스킬 500종'!I383&lt;0,'스킬 500종'!J383&lt;0,AND('스킬 500종'!I383&gt;0,'스킬 500종'!J383&gt;0),AND(OR('스킬 500종'!K383="HEAL",'스킬 500종'!N383="HEAL",'스킬 500종'!Q383="HEAL",'스킬 500종'!T383="HEAL"),'스킬 500종'!I383=0,'스킬 500종'!J383=0),AND('스킬 500종'!I383&gt;0,OR('스킬 500종'!K383="CONTINUOUS_HEAL",'스킬 500종'!N383="CONTINUOUS_HEAL",'스킬 500종'!Q383="CONTINUOUS_HEAL",'스킬 500종'!T383="CONTINUOUS_HEAL"))),"회복 기준 오류",IF(AND(G383&lt;=H383+0.00001,'스킬 500종'!W383&gt;=1,'스킬 500종'!W383&lt;=5),"정상","초과"))</x:f>
        <x:v>정상</x:v>
      </x:c>
    </x:row>
    <x:row r="384" ht="30" customHeight="1">
      <x:c r="A384" s="1" t="str">
        <x:f>'스킬 500종'!A384</x:f>
        <x:v>SKILL_0378</x:v>
      </x:c>
      <x:c r="B384" s="1" t="str">
        <x:f>'스킬 500종'!B384</x:f>
        <x:v>피해 감소 · 소생 · 치명확률 증가의 의식</x:v>
      </x:c>
      <x:c r="C384" s="1" t="n">
        <x:f>1</x:f>
        <x:v>1</x:v>
      </x:c>
      <x:c r="D384" s="9" t="n">
        <x:f>C384*1.16*('효과 규칙 55종'!H42*'스킬 500종'!L384*'스킬 500종'!M384/'효과 규칙 55종'!D42+'효과 규칙 55종'!H46*'스킬 500종'!O384*'스킬 500종'!P384/'효과 규칙 55종'!D46+'효과 규칙 55종'!H11*'스킬 500종'!R384*'스킬 500종'!S384/'효과 규칙 55종'!D11)</x:f>
        <x:v>4.83488</x:v>
      </x:c>
      <x:c r="E384" s="9" t="n">
        <x:f>C384*SUM('스킬 500종'!E384:H384)</x:f>
        <x:v>0</x:v>
      </x:c>
      <x:c r="F384" s="9" t="n">
        <x:f>C384*1.4*SUM('스킬 500종'!I384:J384)</x:f>
        <x:v>0</x:v>
      </x:c>
      <x:c r="G384" s="9" t="n">
        <x:f>SUM(D384:F384)</x:f>
        <x:v>4.83488</x:v>
      </x:c>
      <x:c r="H384" s="9" t="n">
        <x:f>1.1+0.8*'스킬 500종'!W384</x:f>
        <x:v>5.1</x:v>
      </x:c>
      <x:c r="I384" s="10" t="n">
        <x:f>G384/H384</x:f>
        <x:v>0.9480156862745098</x:v>
      </x:c>
      <x:c r="J384" s="1" t="str">
        <x:f>IF(OR('스킬 500종'!I384&lt;0,'스킬 500종'!J384&lt;0,AND('스킬 500종'!I384&gt;0,'스킬 500종'!J384&gt;0),AND(OR('스킬 500종'!K384="HEAL",'스킬 500종'!N384="HEAL",'스킬 500종'!Q384="HEAL",'스킬 500종'!T384="HEAL"),'스킬 500종'!I384=0,'스킬 500종'!J384=0),AND('스킬 500종'!I384&gt;0,OR('스킬 500종'!K384="CONTINUOUS_HEAL",'스킬 500종'!N384="CONTINUOUS_HEAL",'스킬 500종'!Q384="CONTINUOUS_HEAL",'스킬 500종'!T384="CONTINUOUS_HEAL"))),"회복 기준 오류",IF(AND(G384&lt;=H384+0.00001,'스킬 500종'!W384&gt;=1,'스킬 500종'!W384&lt;=5),"정상","초과"))</x:f>
        <x:v>정상</x:v>
      </x:c>
    </x:row>
    <x:row r="385" ht="30" customHeight="1">
      <x:c r="A385" s="1" t="str">
        <x:f>'스킬 500종'!A385</x:f>
        <x:v>SKILL_0379</x:v>
      </x:c>
      <x:c r="B385" s="1" t="str">
        <x:f>'스킬 500종'!B385</x:f>
        <x:v>강화효과 지속시간 증가 · 공격력 증가 · 은신 · 피해 분담의 의식</x:v>
      </x:c>
      <x:c r="C385" s="1" t="n">
        <x:f>1</x:f>
        <x:v>1</x:v>
      </x:c>
      <x:c r="D385" s="9" t="n">
        <x:f>C385*1.24*('효과 규칙 55종'!H58*'스킬 500종'!L385*'스킬 500종'!M385/'효과 규칙 55종'!D58+'효과 규칙 55종'!H7*'스킬 500종'!O385*'스킬 500종'!P385/'효과 규칙 55종'!D7+'효과 규칙 55종'!H41*'스킬 500종'!R385*'스킬 500종'!S385/'효과 규칙 55종'!D41+'효과 규칙 55종'!H43*'스킬 500종'!U385*'스킬 500종'!V385/'효과 규칙 55종'!D43)</x:f>
        <x:v>2.32407</x:v>
      </x:c>
      <x:c r="E385" s="9" t="n">
        <x:f>C385*SUM('스킬 500종'!E385:H385)</x:f>
        <x:v>0</x:v>
      </x:c>
      <x:c r="F385" s="9" t="n">
        <x:f>C385*1.4*SUM('스킬 500종'!I385:J385)</x:f>
        <x:v>0</x:v>
      </x:c>
      <x:c r="G385" s="9" t="n">
        <x:f>SUM(D385:F385)</x:f>
        <x:v>2.32407</x:v>
      </x:c>
      <x:c r="H385" s="9" t="n">
        <x:f>1.1+0.8*'스킬 500종'!W385</x:f>
        <x:v>2.7</x:v>
      </x:c>
      <x:c r="I385" s="10" t="n">
        <x:f>G385/H385</x:f>
        <x:v>0.8607666666666666</x:v>
      </x:c>
      <x:c r="J385" s="1" t="str">
        <x:f>IF(OR('스킬 500종'!I385&lt;0,'스킬 500종'!J385&lt;0,AND('스킬 500종'!I385&gt;0,'스킬 500종'!J385&gt;0),AND(OR('스킬 500종'!K385="HEAL",'스킬 500종'!N385="HEAL",'스킬 500종'!Q385="HEAL",'스킬 500종'!T385="HEAL"),'스킬 500종'!I385=0,'스킬 500종'!J385=0),AND('스킬 500종'!I385&gt;0,OR('스킬 500종'!K385="CONTINUOUS_HEAL",'스킬 500종'!N385="CONTINUOUS_HEAL",'스킬 500종'!Q385="CONTINUOUS_HEAL",'스킬 500종'!T385="CONTINUOUS_HEAL"))),"회복 기준 오류",IF(AND(G385&lt;=H385+0.00001,'스킬 500종'!W385&gt;=1,'스킬 500종'!W385&lt;=5),"정상","초과"))</x:f>
        <x:v>정상</x:v>
      </x:c>
    </x:row>
    <x:row r="386" ht="30" customHeight="1">
      <x:c r="A386" s="1" t="str">
        <x:f>'스킬 500종'!A386</x:f>
        <x:v>SKILL_0380</x:v>
      </x:c>
      <x:c r="B386" s="1" t="str">
        <x:f>'스킬 500종'!B386</x:f>
        <x:v>보호막 · 공격력 증가(대) · 피해 감소의 의식</x:v>
      </x:c>
      <x:c r="C386" s="1" t="n">
        <x:f>1.6</x:f>
        <x:v>1.6</x:v>
      </x:c>
      <x:c r="D386" s="9" t="n">
        <x:f>C386*1.16*('효과 규칙 55종'!H37*'스킬 500종'!L386*'스킬 500종'!M386/'효과 규칙 55종'!D37+'효과 규칙 55종'!H8*'스킬 500종'!O386*'스킬 500종'!P386/'효과 규칙 55종'!D8+'효과 규칙 55종'!H42*'스킬 500종'!R386*'스킬 500종'!S386/'효과 규칙 55종'!D42)</x:f>
        <x:v>2.613248</x:v>
      </x:c>
      <x:c r="E386" s="9" t="n">
        <x:f>C386*SUM('스킬 500종'!E386:H386)</x:f>
        <x:v>0</x:v>
      </x:c>
      <x:c r="F386" s="9" t="n">
        <x:f>C386*1.4*SUM('스킬 500종'!I386:J386)</x:f>
        <x:v>0</x:v>
      </x:c>
      <x:c r="G386" s="9" t="n">
        <x:f>SUM(D386:F386)</x:f>
        <x:v>2.613248</x:v>
      </x:c>
      <x:c r="H386" s="9" t="n">
        <x:f>1.1+0.8*'스킬 500종'!W386</x:f>
        <x:v>2.7</x:v>
      </x:c>
      <x:c r="I386" s="10" t="n">
        <x:f>G386/H386</x:f>
        <x:v>0.9678696296296295</x:v>
      </x:c>
      <x:c r="J386" s="1" t="str">
        <x:f>IF(OR('스킬 500종'!I386&lt;0,'스킬 500종'!J386&lt;0,AND('스킬 500종'!I386&gt;0,'스킬 500종'!J386&gt;0),AND(OR('스킬 500종'!K386="HEAL",'스킬 500종'!N386="HEAL",'스킬 500종'!Q386="HEAL",'스킬 500종'!T386="HEAL"),'스킬 500종'!I386=0,'스킬 500종'!J386=0),AND('스킬 500종'!I386&gt;0,OR('스킬 500종'!K386="CONTINUOUS_HEAL",'스킬 500종'!N386="CONTINUOUS_HEAL",'스킬 500종'!Q386="CONTINUOUS_HEAL",'스킬 500종'!T386="CONTINUOUS_HEAL"))),"회복 기준 오류",IF(AND(G386&lt;=H386+0.00001,'스킬 500종'!W386&gt;=1,'스킬 500종'!W386&lt;=5),"정상","초과"))</x:f>
        <x:v>정상</x:v>
      </x:c>
    </x:row>
    <x:row r="387" ht="30" customHeight="1">
      <x:c r="A387" s="1" t="str">
        <x:f>'스킬 500종'!A387</x:f>
        <x:v>SKILL_0381</x:v>
      </x:c>
      <x:c r="B387" s="1" t="str">
        <x:f>'스킬 500종'!B387</x:f>
        <x:v>치명저항 증가 · 피해 분담 · 은신의 의식</x:v>
      </x:c>
      <x:c r="C387" s="1" t="n">
        <x:f>1</x:f>
        <x:v>1</x:v>
      </x:c>
      <x:c r="D387" s="9" t="n">
        <x:f>C387*1.16*('효과 규칙 55종'!H16*'스킬 500종'!L387*'스킬 500종'!M387/'효과 규칙 55종'!D16+'효과 규칙 55종'!H43*'스킬 500종'!O387*'스킬 500종'!P387/'효과 규칙 55종'!D43+'효과 규칙 55종'!H41*'스킬 500종'!R387*'스킬 500종'!S387/'효과 규칙 55종'!D41)</x:f>
        <x:v>1.78176</x:v>
      </x:c>
      <x:c r="E387" s="9" t="n">
        <x:f>C387*SUM('스킬 500종'!E387:H387)</x:f>
        <x:v>0</x:v>
      </x:c>
      <x:c r="F387" s="9" t="n">
        <x:f>C387*1.4*SUM('스킬 500종'!I387:J387)</x:f>
        <x:v>0</x:v>
      </x:c>
      <x:c r="G387" s="9" t="n">
        <x:f>SUM(D387:F387)</x:f>
        <x:v>1.78176</x:v>
      </x:c>
      <x:c r="H387" s="9" t="n">
        <x:f>1.1+0.8*'스킬 500종'!W387</x:f>
        <x:v>1.9000000000000001</x:v>
      </x:c>
      <x:c r="I387" s="10" t="n">
        <x:f>G387/H387</x:f>
        <x:v>0.9377684210526315</x:v>
      </x:c>
      <x:c r="J387" s="1" t="str">
        <x:f>IF(OR('스킬 500종'!I387&lt;0,'스킬 500종'!J387&lt;0,AND('스킬 500종'!I387&gt;0,'스킬 500종'!J387&gt;0),AND(OR('스킬 500종'!K387="HEAL",'스킬 500종'!N387="HEAL",'스킬 500종'!Q387="HEAL",'스킬 500종'!T387="HEAL"),'스킬 500종'!I387=0,'스킬 500종'!J387=0),AND('스킬 500종'!I387&gt;0,OR('스킬 500종'!K387="CONTINUOUS_HEAL",'스킬 500종'!N387="CONTINUOUS_HEAL",'스킬 500종'!Q387="CONTINUOUS_HEAL",'스킬 500종'!T387="CONTINUOUS_HEAL"))),"회복 기준 오류",IF(AND(G387&lt;=H387+0.00001,'스킬 500종'!W387&gt;=1,'스킬 500종'!W387&lt;=5),"정상","초과"))</x:f>
        <x:v>정상</x:v>
      </x:c>
    </x:row>
    <x:row r="388" ht="30" customHeight="1">
      <x:c r="A388" s="1" t="str">
        <x:f>'스킬 500종'!A388</x:f>
        <x:v>SKILL_0382</x:v>
      </x:c>
      <x:c r="B388" s="1" t="str">
        <x:f>'스킬 500종'!B388</x:f>
        <x:v>효과적중 증가 · 강화효과 지속시간 증가 · 반격 · 면역의 의식</x:v>
      </x:c>
      <x:c r="C388" s="1" t="n">
        <x:f>1</x:f>
        <x:v>1</x:v>
      </x:c>
      <x:c r="D388" s="9" t="n">
        <x:f>C388*1.24*('효과 규칙 55종'!H13*'스킬 500종'!L388*'스킬 500종'!M388/'효과 규칙 55종'!D13+'효과 규칙 55종'!H58*'스킬 500종'!O388*'스킬 500종'!P388/'효과 규칙 55종'!D58+'효과 규칙 55종'!H51*'스킬 500종'!R388*'스킬 500종'!S388/'효과 규칙 55종'!D51+'효과 규칙 55종'!H40*'스킬 500종'!U388*'스킬 500종'!V388/'효과 규칙 55종'!D40)</x:f>
        <x:v>2.4268411999999997</x:v>
      </x:c>
      <x:c r="E388" s="9" t="n">
        <x:f>C388*SUM('스킬 500종'!E388:H388)</x:f>
        <x:v>0</x:v>
      </x:c>
      <x:c r="F388" s="9" t="n">
        <x:f>C388*1.4*SUM('스킬 500종'!I388:J388)</x:f>
        <x:v>0</x:v>
      </x:c>
      <x:c r="G388" s="9" t="n">
        <x:f>SUM(D388:F388)</x:f>
        <x:v>2.4268411999999997</x:v>
      </x:c>
      <x:c r="H388" s="9" t="n">
        <x:f>1.1+0.8*'스킬 500종'!W388</x:f>
        <x:v>2.7</x:v>
      </x:c>
      <x:c r="I388" s="10" t="n">
        <x:f>G388/H388</x:f>
        <x:v>0.8988300740740739</x:v>
      </x:c>
      <x:c r="J388" s="1" t="str">
        <x:f>IF(OR('스킬 500종'!I388&lt;0,'스킬 500종'!J388&lt;0,AND('스킬 500종'!I388&gt;0,'스킬 500종'!J388&gt;0),AND(OR('스킬 500종'!K388="HEAL",'스킬 500종'!N388="HEAL",'스킬 500종'!Q388="HEAL",'스킬 500종'!T388="HEAL"),'스킬 500종'!I388=0,'스킬 500종'!J388=0),AND('스킬 500종'!I388&gt;0,OR('스킬 500종'!K388="CONTINUOUS_HEAL",'스킬 500종'!N388="CONTINUOUS_HEAL",'스킬 500종'!Q388="CONTINUOUS_HEAL",'스킬 500종'!T388="CONTINUOUS_HEAL"))),"회복 기준 오류",IF(AND(G388&lt;=H388+0.00001,'스킬 500종'!W388&gt;=1,'스킬 500종'!W388&lt;=5),"정상","초과"))</x:f>
        <x:v>정상</x:v>
      </x:c>
    </x:row>
    <x:row r="389" ht="30" customHeight="1">
      <x:c r="A389" s="1" t="str">
        <x:f>'스킬 500종'!A389</x:f>
        <x:v>SKILL_0383</x:v>
      </x:c>
      <x:c r="B389" s="1" t="str">
        <x:f>'스킬 500종'!B389</x:f>
        <x:v>방어력 증가 · 반격 · 피해 분담 · 지속 회복의 의식</x:v>
      </x:c>
      <x:c r="C389" s="1" t="n">
        <x:f>1</x:f>
        <x:v>1</x:v>
      </x:c>
      <x:c r="D389" s="9" t="n">
        <x:f>C389*1.24*('효과 규칙 55종'!H9*'스킬 500종'!L389*'스킬 500종'!M389/'효과 규칙 55종'!D9+'효과 규칙 55종'!H51*'스킬 500종'!O389*'스킬 500종'!P389/'효과 규칙 55종'!D51+'효과 규칙 55종'!H43*'스킬 500종'!R389*'스킬 500종'!S389/'효과 규칙 55종'!D43+'효과 규칙 55종'!H35*'스킬 500종'!U389*'스킬 500종'!V389/'효과 규칙 55종'!D35)</x:f>
        <x:v>1.5542779999999998</x:v>
      </x:c>
      <x:c r="E389" s="9" t="n">
        <x:f>C389*SUM('스킬 500종'!E389:H389)</x:f>
        <x:v>0</x:v>
      </x:c>
      <x:c r="F389" s="9" t="n">
        <x:f>C389*1.4*SUM('스킬 500종'!I389:J389)</x:f>
        <x:v>0</x:v>
      </x:c>
      <x:c r="G389" s="9" t="n">
        <x:f>SUM(D389:F389)</x:f>
        <x:v>1.5542779999999998</x:v>
      </x:c>
      <x:c r="H389" s="9" t="n">
        <x:f>1.1+0.8*'스킬 500종'!W389</x:f>
        <x:v>1.9000000000000001</x:v>
      </x:c>
      <x:c r="I389" s="10" t="n">
        <x:f>G389/H389</x:f>
        <x:v>0.8180410526315788</x:v>
      </x:c>
      <x:c r="J389" s="1" t="str">
        <x:f>IF(OR('스킬 500종'!I389&lt;0,'스킬 500종'!J389&lt;0,AND('스킬 500종'!I389&gt;0,'스킬 500종'!J389&gt;0),AND(OR('스킬 500종'!K389="HEAL",'스킬 500종'!N389="HEAL",'스킬 500종'!Q389="HEAL",'스킬 500종'!T389="HEAL"),'스킬 500종'!I389=0,'스킬 500종'!J389=0),AND('스킬 500종'!I389&gt;0,OR('스킬 500종'!K389="CONTINUOUS_HEAL",'스킬 500종'!N389="CONTINUOUS_HEAL",'스킬 500종'!Q389="CONTINUOUS_HEAL",'스킬 500종'!T389="CONTINUOUS_HEAL"))),"회복 기준 오류",IF(AND(G389&lt;=H389+0.00001,'스킬 500종'!W389&gt;=1,'스킬 500종'!W389&lt;=5),"정상","초과"))</x:f>
        <x:v>정상</x:v>
      </x:c>
    </x:row>
    <x:row r="390" ht="30" customHeight="1">
      <x:c r="A390" s="1" t="str">
        <x:f>'스킬 500종'!A390</x:f>
        <x:v>SKILL_0384</x:v>
      </x:c>
      <x:c r="B390" s="1" t="str">
        <x:f>'스킬 500종'!B390</x:f>
        <x:v>은신 · 불사 · 생명력 회복 · 피해 감소의 의식</x:v>
      </x:c>
      <x:c r="C390" s="1" t="n">
        <x:f>1.6</x:f>
        <x:v>1.6</x:v>
      </x:c>
      <x:c r="D390" s="9" t="n">
        <x:f>C390*1.24*('효과 규칙 55종'!H41*'스킬 500종'!L390*'스킬 500종'!M390/'효과 규칙 55종'!D41+'효과 규칙 55종'!H39*'스킬 500종'!O390*'스킬 500종'!P390/'효과 규칙 55종'!D39+'효과 규칙 55종'!H34*'스킬 500종'!R390*'스킬 500종'!S390/'효과 규칙 55종'!D34+'효과 규칙 55종'!H42*'스킬 500종'!U390*'스킬 500종'!V390/'효과 규칙 55종'!D42)</x:f>
        <x:v>4.381663999999999</x:v>
      </x:c>
      <x:c r="E390" s="9" t="n">
        <x:f>C390*SUM('스킬 500종'!E390:H390)</x:f>
        <x:v>0</x:v>
      </x:c>
      <x:c r="F390" s="9" t="n">
        <x:f>C390*1.4*SUM('스킬 500종'!I390:J390)</x:f>
        <x:v>0.40319999999999995</x:v>
      </x:c>
      <x:c r="G390" s="9" t="n">
        <x:f>SUM(D390:F390)</x:f>
        <x:v>4.784863999999999</x:v>
      </x:c>
      <x:c r="H390" s="9" t="n">
        <x:f>1.1+0.8*'스킬 500종'!W390</x:f>
        <x:v>5.1</x:v>
      </x:c>
      <x:c r="I390" s="10" t="n">
        <x:f>G390/H390</x:f>
        <x:v>0.9382086274509802</x:v>
      </x:c>
      <x:c r="J390" s="1" t="str">
        <x:f>IF(OR('스킬 500종'!I390&lt;0,'스킬 500종'!J390&lt;0,AND('스킬 500종'!I390&gt;0,'스킬 500종'!J390&gt;0),AND(OR('스킬 500종'!K390="HEAL",'스킬 500종'!N390="HEAL",'스킬 500종'!Q390="HEAL",'스킬 500종'!T390="HEAL"),'스킬 500종'!I390=0,'스킬 500종'!J390=0),AND('스킬 500종'!I390&gt;0,OR('스킬 500종'!K390="CONTINUOUS_HEAL",'스킬 500종'!N390="CONTINUOUS_HEAL",'스킬 500종'!Q390="CONTINUOUS_HEAL",'스킬 500종'!T390="CONTINUOUS_HEAL"))),"회복 기준 오류",IF(AND(G390&lt;=H390+0.00001,'스킬 500종'!W390&gt;=1,'스킬 500종'!W390&lt;=5),"정상","초과"))</x:f>
        <x:v>정상</x:v>
      </x:c>
    </x:row>
    <x:row r="391" ht="30" customHeight="1">
      <x:c r="A391" s="1" t="str">
        <x:f>'스킬 500종'!A391</x:f>
        <x:v>SKILL_0385</x:v>
      </x:c>
      <x:c r="B391" s="1" t="str">
        <x:f>'스킬 500종'!B391</x:f>
        <x:v>방어력 증가 · 약화효과 해제의 의식</x:v>
      </x:c>
      <x:c r="C391" s="1" t="n">
        <x:f>1</x:f>
        <x:v>1</x:v>
      </x:c>
      <x:c r="D391" s="9" t="n">
        <x:f>C391*1.08*('효과 규칙 55종'!H9*'스킬 500종'!L391*'스킬 500종'!M391/'효과 규칙 55종'!D9+'효과 규칙 55종'!H57*'스킬 500종'!O391*'스킬 500종'!P391/'효과 규칙 55종'!D57)</x:f>
        <x:v>1.215</x:v>
      </x:c>
      <x:c r="E391" s="9" t="n">
        <x:f>C391*SUM('스킬 500종'!E391:H391)</x:f>
        <x:v>0</x:v>
      </x:c>
      <x:c r="F391" s="9" t="n">
        <x:f>C391*1.4*SUM('스킬 500종'!I391:J391)</x:f>
        <x:v>0</x:v>
      </x:c>
      <x:c r="G391" s="9" t="n">
        <x:f>SUM(D391:F391)</x:f>
        <x:v>1.215</x:v>
      </x:c>
      <x:c r="H391" s="9" t="n">
        <x:f>1.1+0.8*'스킬 500종'!W391</x:f>
        <x:v>1.9000000000000001</x:v>
      </x:c>
      <x:c r="I391" s="10" t="n">
        <x:f>G391/H391</x:f>
        <x:v>0.6394736842105263</x:v>
      </x:c>
      <x:c r="J391" s="1" t="str">
        <x:f>IF(OR('스킬 500종'!I391&lt;0,'스킬 500종'!J391&lt;0,AND('스킬 500종'!I391&gt;0,'스킬 500종'!J391&gt;0),AND(OR('스킬 500종'!K391="HEAL",'스킬 500종'!N391="HEAL",'스킬 500종'!Q391="HEAL",'스킬 500종'!T391="HEAL"),'스킬 500종'!I391=0,'스킬 500종'!J391=0),AND('스킬 500종'!I391&gt;0,OR('스킬 500종'!K391="CONTINUOUS_HEAL",'스킬 500종'!N391="CONTINUOUS_HEAL",'스킬 500종'!Q391="CONTINUOUS_HEAL",'스킬 500종'!T391="CONTINUOUS_HEAL"))),"회복 기준 오류",IF(AND(G391&lt;=H391+0.00001,'스킬 500종'!W391&gt;=1,'스킬 500종'!W391&lt;=5),"정상","초과"))</x:f>
        <x:v>정상</x:v>
      </x:c>
    </x:row>
    <x:row r="392" ht="30" customHeight="1">
      <x:c r="A392" s="1" t="str">
        <x:f>'스킬 500종'!A392</x:f>
        <x:v>SKILL_0386</x:v>
      </x:c>
      <x:c r="B392" s="1" t="str">
        <x:f>'스킬 500종'!B392</x:f>
        <x:v>보호막 · 치명저항 증가 · 면역의 의식</x:v>
      </x:c>
      <x:c r="C392" s="1" t="n">
        <x:f>1</x:f>
        <x:v>1</x:v>
      </x:c>
      <x:c r="D392" s="9" t="n">
        <x:f>C392*1.16*('효과 규칙 55종'!H37*'스킬 500종'!L392*'스킬 500종'!M392/'효과 규칙 55종'!D37+'효과 규칙 55종'!H16*'스킬 500종'!O392*'스킬 500종'!P392/'효과 규칙 55종'!D16+'효과 규칙 55종'!H40*'스킬 500종'!R392*'스킬 500종'!S392/'효과 규칙 55종'!D40)</x:f>
        <x:v>1.7353599999999998</x:v>
      </x:c>
      <x:c r="E392" s="9" t="n">
        <x:f>C392*SUM('스킬 500종'!E392:H392)</x:f>
        <x:v>0</x:v>
      </x:c>
      <x:c r="F392" s="9" t="n">
        <x:f>C392*1.4*SUM('스킬 500종'!I392:J392)</x:f>
        <x:v>0</x:v>
      </x:c>
      <x:c r="G392" s="9" t="n">
        <x:f>SUM(D392:F392)</x:f>
        <x:v>1.7353599999999998</x:v>
      </x:c>
      <x:c r="H392" s="9" t="n">
        <x:f>1.1+0.8*'스킬 500종'!W392</x:f>
        <x:v>1.9000000000000001</x:v>
      </x:c>
      <x:c r="I392" s="10" t="n">
        <x:f>G392/H392</x:f>
        <x:v>0.9133473684210525</x:v>
      </x:c>
      <x:c r="J392" s="1" t="str">
        <x:f>IF(OR('스킬 500종'!I392&lt;0,'스킬 500종'!J392&lt;0,AND('스킬 500종'!I392&gt;0,'스킬 500종'!J392&gt;0),AND(OR('스킬 500종'!K392="HEAL",'스킬 500종'!N392="HEAL",'스킬 500종'!Q392="HEAL",'스킬 500종'!T392="HEAL"),'스킬 500종'!I392=0,'스킬 500종'!J392=0),AND('스킬 500종'!I392&gt;0,OR('스킬 500종'!K392="CONTINUOUS_HEAL",'스킬 500종'!N392="CONTINUOUS_HEAL",'스킬 500종'!Q392="CONTINUOUS_HEAL",'스킬 500종'!T392="CONTINUOUS_HEAL"))),"회복 기준 오류",IF(AND(G392&lt;=H392+0.00001,'스킬 500종'!W392&gt;=1,'스킬 500종'!W392&lt;=5),"정상","초과"))</x:f>
        <x:v>정상</x:v>
      </x:c>
    </x:row>
    <x:row r="393" ht="30" customHeight="1">
      <x:c r="A393" s="1" t="str">
        <x:f>'스킬 500종'!A393</x:f>
        <x:v>SKILL_0387</x:v>
      </x:c>
      <x:c r="B393" s="1" t="str">
        <x:f>'스킬 500종'!B393</x:f>
        <x:v>효과저항 증가 · 은신 · 피해 반사의 의식</x:v>
      </x:c>
      <x:c r="C393" s="1" t="n">
        <x:f>2.4</x:f>
        <x:v>2.4</x:v>
      </x:c>
      <x:c r="D393" s="9" t="n">
        <x:f>C393*1.16*('효과 규칙 55종'!H14*'스킬 500종'!L393*'스킬 500종'!M393/'효과 규칙 55종'!D14+'효과 규칙 55종'!H41*'스킬 500종'!O393*'스킬 500종'!P393/'효과 규칙 55종'!D41+'효과 규칙 55종'!H44*'스킬 500종'!R393*'스킬 500종'!S393/'효과 규칙 55종'!D44)</x:f>
        <x:v>3.6526080000000003</x:v>
      </x:c>
      <x:c r="E393" s="9" t="n">
        <x:f>C393*SUM('스킬 500종'!E393:H393)</x:f>
        <x:v>0</x:v>
      </x:c>
      <x:c r="F393" s="9" t="n">
        <x:f>C393*1.4*SUM('스킬 500종'!I393:J393)</x:f>
        <x:v>0</x:v>
      </x:c>
      <x:c r="G393" s="9" t="n">
        <x:f>SUM(D393:F393)</x:f>
        <x:v>3.6526080000000003</x:v>
      </x:c>
      <x:c r="H393" s="9" t="n">
        <x:f>1.1+0.8*'스킬 500종'!W393</x:f>
        <x:v>4.300000000000001</x:v>
      </x:c>
      <x:c r="I393" s="10" t="n">
        <x:f>G393/H393</x:f>
        <x:v>0.8494437209302325</x:v>
      </x:c>
      <x:c r="J393" s="1" t="str">
        <x:f>IF(OR('스킬 500종'!I393&lt;0,'스킬 500종'!J393&lt;0,AND('스킬 500종'!I393&gt;0,'스킬 500종'!J393&gt;0),AND(OR('스킬 500종'!K393="HEAL",'스킬 500종'!N393="HEAL",'스킬 500종'!Q393="HEAL",'스킬 500종'!T393="HEAL"),'스킬 500종'!I393=0,'스킬 500종'!J393=0),AND('스킬 500종'!I393&gt;0,OR('스킬 500종'!K393="CONTINUOUS_HEAL",'스킬 500종'!N393="CONTINUOUS_HEAL",'스킬 500종'!Q393="CONTINUOUS_HEAL",'스킬 500종'!T393="CONTINUOUS_HEAL"))),"회복 기준 오류",IF(AND(G393&lt;=H393+0.00001,'스킬 500종'!W393&gt;=1,'스킬 500종'!W393&lt;=5),"정상","초과"))</x:f>
        <x:v>정상</x:v>
      </x:c>
    </x:row>
    <x:row r="394" ht="30" customHeight="1">
      <x:c r="A394" s="1" t="str">
        <x:f>'스킬 500종'!A394</x:f>
        <x:v>SKILL_0388</x:v>
      </x:c>
      <x:c r="B394" s="1" t="str">
        <x:f>'스킬 500종'!B394</x:f>
        <x:v>반격 · 피해 감소 · 은신 · 스킬 쿨타임 감소의 의식</x:v>
      </x:c>
      <x:c r="C394" s="1" t="n">
        <x:f>1.6</x:f>
        <x:v>1.6</x:v>
      </x:c>
      <x:c r="D394" s="9" t="n">
        <x:f>C394*1.24*('효과 규칙 55종'!H51*'스킬 500종'!L394*'스킬 500종'!M394/'효과 규칙 55종'!D51+'효과 규칙 55종'!H42*'스킬 500종'!O394*'스킬 500종'!P394/'효과 규칙 55종'!D42+'효과 규칙 55종'!H41*'스킬 500종'!R394*'스킬 500종'!S394/'효과 규칙 55종'!D41+'효과 규칙 55종'!H52*'스킬 500종'!U394*'스킬 500종'!V394/'효과 규칙 55종'!D52)</x:f>
        <x:v>4.315696</x:v>
      </x:c>
      <x:c r="E394" s="9" t="n">
        <x:f>C394*SUM('스킬 500종'!E394:H394)</x:f>
        <x:v>0</x:v>
      </x:c>
      <x:c r="F394" s="9" t="n">
        <x:f>C394*1.4*SUM('스킬 500종'!I394:J394)</x:f>
        <x:v>0</x:v>
      </x:c>
      <x:c r="G394" s="9" t="n">
        <x:f>SUM(D394:F394)</x:f>
        <x:v>4.315696</x:v>
      </x:c>
      <x:c r="H394" s="9" t="n">
        <x:f>1.1+0.8*'스킬 500종'!W394</x:f>
        <x:v>5.1</x:v>
      </x:c>
      <x:c r="I394" s="10" t="n">
        <x:f>G394/H394</x:f>
        <x:v>0.8462149019607844</x:v>
      </x:c>
      <x:c r="J394" s="1" t="str">
        <x:f>IF(OR('스킬 500종'!I394&lt;0,'스킬 500종'!J394&lt;0,AND('스킬 500종'!I394&gt;0,'스킬 500종'!J394&gt;0),AND(OR('스킬 500종'!K394="HEAL",'스킬 500종'!N394="HEAL",'스킬 500종'!Q394="HEAL",'스킬 500종'!T394="HEAL"),'스킬 500종'!I394=0,'스킬 500종'!J394=0),AND('스킬 500종'!I394&gt;0,OR('스킬 500종'!K394="CONTINUOUS_HEAL",'스킬 500종'!N394="CONTINUOUS_HEAL",'스킬 500종'!Q394="CONTINUOUS_HEAL",'스킬 500종'!T394="CONTINUOUS_HEAL"))),"회복 기준 오류",IF(AND(G394&lt;=H394+0.00001,'스킬 500종'!W394&gt;=1,'스킬 500종'!W394&lt;=5),"정상","초과"))</x:f>
        <x:v>정상</x:v>
      </x:c>
    </x:row>
    <x:row r="395" ht="30" customHeight="1">
      <x:c r="A395" s="1" t="str">
        <x:f>'스킬 500종'!A395</x:f>
        <x:v>SKILL_0389</x:v>
      </x:c>
      <x:c r="B395" s="1" t="str">
        <x:f>'스킬 500종'!B395</x:f>
        <x:v>방어력 증가 · 무적 · 공격력 증가 · 보호막의 의식</x:v>
      </x:c>
      <x:c r="C395" s="1" t="n">
        <x:f>1</x:f>
        <x:v>1</x:v>
      </x:c>
      <x:c r="D395" s="9" t="n">
        <x:f>C395*1.24*('효과 규칙 55종'!H9*'스킬 500종'!L395*'스킬 500종'!M395/'효과 규칙 55종'!D9+'효과 규칙 55종'!H38*'스킬 500종'!O395*'스킬 500종'!P395/'효과 규칙 55종'!D38+'효과 규칙 55종'!H7*'스킬 500종'!R395*'스킬 500종'!S395/'효과 규칙 55종'!D7+'효과 규칙 55종'!H37*'스킬 500종'!U395*'스킬 500종'!V395/'효과 규칙 55종'!D37)</x:f>
        <x:v>2.841439333333333</x:v>
      </x:c>
      <x:c r="E395" s="9" t="n">
        <x:f>C395*SUM('스킬 500종'!E395:H395)</x:f>
        <x:v>0</x:v>
      </x:c>
      <x:c r="F395" s="9" t="n">
        <x:f>C395*1.4*SUM('스킬 500종'!I395:J395)</x:f>
        <x:v>0</x:v>
      </x:c>
      <x:c r="G395" s="9" t="n">
        <x:f>SUM(D395:F395)</x:f>
        <x:v>2.841439333333333</x:v>
      </x:c>
      <x:c r="H395" s="9" t="n">
        <x:f>1.1+0.8*'스킬 500종'!W395</x:f>
        <x:v>3.5000000000000004</x:v>
      </x:c>
      <x:c r="I395" s="10" t="n">
        <x:f>G395/H395</x:f>
        <x:v>0.8118398095238094</x:v>
      </x:c>
      <x:c r="J395" s="1" t="str">
        <x:f>IF(OR('스킬 500종'!I395&lt;0,'스킬 500종'!J395&lt;0,AND('스킬 500종'!I395&gt;0,'스킬 500종'!J395&gt;0),AND(OR('스킬 500종'!K395="HEAL",'스킬 500종'!N395="HEAL",'스킬 500종'!Q395="HEAL",'스킬 500종'!T395="HEAL"),'스킬 500종'!I395=0,'스킬 500종'!J395=0),AND('스킬 500종'!I395&gt;0,OR('스킬 500종'!K395="CONTINUOUS_HEAL",'스킬 500종'!N395="CONTINUOUS_HEAL",'스킬 500종'!Q395="CONTINUOUS_HEAL",'스킬 500종'!T395="CONTINUOUS_HEAL"))),"회복 기준 오류",IF(AND(G395&lt;=H395+0.00001,'스킬 500종'!W395&gt;=1,'스킬 500종'!W395&lt;=5),"정상","초과"))</x:f>
        <x:v>정상</x:v>
      </x:c>
    </x:row>
    <x:row r="396" ht="30" customHeight="1">
      <x:c r="A396" s="1" t="str">
        <x:f>'스킬 500종'!A396</x:f>
        <x:v>SKILL_0390</x:v>
      </x:c>
      <x:c r="B396" s="1" t="str">
        <x:f>'스킬 500종'!B396</x:f>
        <x:v>무적 · 피해 감소 · 스킬 쿨타임 초기화 · 생명력 회복의 의식</x:v>
      </x:c>
      <x:c r="C396" s="1" t="n">
        <x:f>1</x:f>
        <x:v>1</x:v>
      </x:c>
      <x:c r="D396" s="9" t="n">
        <x:f>C396*1.24*('효과 규칙 55종'!H38*'스킬 500종'!L396*'스킬 500종'!M396/'효과 규칙 55종'!D38+'효과 규칙 55종'!H42*'스킬 500종'!O396*'스킬 500종'!P396/'효과 규칙 55종'!D42+'효과 규칙 55종'!H53*'스킬 500종'!R396*'스킬 500종'!S396/'효과 규칙 55종'!D53+'효과 규칙 55종'!H34*'스킬 500종'!U396*'스킬 500종'!V396/'효과 규칙 55종'!D34)</x:f>
        <x:v>4.63853</x:v>
      </x:c>
      <x:c r="E396" s="9" t="n">
        <x:f>C396*SUM('스킬 500종'!E396:H396)</x:f>
        <x:v>0</x:v>
      </x:c>
      <x:c r="F396" s="9" t="n">
        <x:f>C396*1.4*SUM('스킬 500종'!I396:J396)</x:f>
        <x:v>0.252</x:v>
      </x:c>
      <x:c r="G396" s="9" t="n">
        <x:f>SUM(D396:F396)</x:f>
        <x:v>4.89053</x:v>
      </x:c>
      <x:c r="H396" s="9" t="n">
        <x:f>1.1+0.8*'스킬 500종'!W396</x:f>
        <x:v>5.1</x:v>
      </x:c>
      <x:c r="I396" s="10" t="n">
        <x:f>G396/H396</x:f>
        <x:v>0.9589274509803922</x:v>
      </x:c>
      <x:c r="J396" s="1" t="str">
        <x:f>IF(OR('스킬 500종'!I396&lt;0,'스킬 500종'!J396&lt;0,AND('스킬 500종'!I396&gt;0,'스킬 500종'!J396&gt;0),AND(OR('스킬 500종'!K396="HEAL",'스킬 500종'!N396="HEAL",'스킬 500종'!Q396="HEAL",'스킬 500종'!T396="HEAL"),'스킬 500종'!I396=0,'스킬 500종'!J396=0),AND('스킬 500종'!I396&gt;0,OR('스킬 500종'!K396="CONTINUOUS_HEAL",'스킬 500종'!N396="CONTINUOUS_HEAL",'스킬 500종'!Q396="CONTINUOUS_HEAL",'스킬 500종'!T396="CONTINUOUS_HEAL"))),"회복 기준 오류",IF(AND(G396&lt;=H396+0.00001,'스킬 500종'!W396&gt;=1,'스킬 500종'!W396&lt;=5),"정상","초과"))</x:f>
        <x:v>정상</x:v>
      </x:c>
    </x:row>
    <x:row r="397" ht="30" customHeight="1">
      <x:c r="A397" s="1" t="str">
        <x:f>'스킬 500종'!A397</x:f>
        <x:v>SKILL_0391</x:v>
      </x:c>
      <x:c r="B397" s="1" t="str">
        <x:f>'스킬 500종'!B397</x:f>
        <x:v>은신 · 치명피해 증가 · 피해 감소 · 스킬 쿨타임 초기화의 의식</x:v>
      </x:c>
      <x:c r="C397" s="1" t="n">
        <x:f>1</x:f>
        <x:v>1</x:v>
      </x:c>
      <x:c r="D397" s="9" t="n">
        <x:f>C397*1.24*('효과 규칙 55종'!H41*'스킬 500종'!L397*'스킬 500종'!M397/'효과 규칙 55종'!D41+'효과 규칙 55종'!H12*'스킬 500종'!O397*'스킬 500종'!P397/'효과 규칙 55종'!D12+'효과 규칙 55종'!H42*'스킬 500종'!R397*'스킬 500종'!S397/'효과 규칙 55종'!D42+'효과 규칙 55종'!H53*'스킬 500종'!U397*'스킬 500종'!V397/'효과 규칙 55종'!D53)</x:f>
        <x:v>4.06224</x:v>
      </x:c>
      <x:c r="E397" s="9" t="n">
        <x:f>C397*SUM('스킬 500종'!E397:H397)</x:f>
        <x:v>0</x:v>
      </x:c>
      <x:c r="F397" s="9" t="n">
        <x:f>C397*1.4*SUM('스킬 500종'!I397:J397)</x:f>
        <x:v>0</x:v>
      </x:c>
      <x:c r="G397" s="9" t="n">
        <x:f>SUM(D397:F397)</x:f>
        <x:v>4.06224</x:v>
      </x:c>
      <x:c r="H397" s="9" t="n">
        <x:f>1.1+0.8*'스킬 500종'!W397</x:f>
        <x:v>5.1</x:v>
      </x:c>
      <x:c r="I397" s="10" t="n">
        <x:f>G397/H397</x:f>
        <x:v>0.7965176470588236</x:v>
      </x:c>
      <x:c r="J397" s="1" t="str">
        <x:f>IF(OR('스킬 500종'!I397&lt;0,'스킬 500종'!J397&lt;0,AND('스킬 500종'!I397&gt;0,'스킬 500종'!J397&gt;0),AND(OR('스킬 500종'!K397="HEAL",'스킬 500종'!N397="HEAL",'스킬 500종'!Q397="HEAL",'스킬 500종'!T397="HEAL"),'스킬 500종'!I397=0,'스킬 500종'!J397=0),AND('스킬 500종'!I397&gt;0,OR('스킬 500종'!K397="CONTINUOUS_HEAL",'스킬 500종'!N397="CONTINUOUS_HEAL",'스킬 500종'!Q397="CONTINUOUS_HEAL",'스킬 500종'!T397="CONTINUOUS_HEAL"))),"회복 기준 오류",IF(AND(G397&lt;=H397+0.00001,'스킬 500종'!W397&gt;=1,'스킬 500종'!W397&lt;=5),"정상","초과"))</x:f>
        <x:v>정상</x:v>
      </x:c>
    </x:row>
    <x:row r="398" ht="30" customHeight="1">
      <x:c r="A398" s="1" t="str">
        <x:f>'스킬 500종'!A398</x:f>
        <x:v>SKILL_0392</x:v>
      </x:c>
      <x:c r="B398" s="1" t="str">
        <x:f>'스킬 500종'!B398</x:f>
        <x:v>불사 · 명중 증가 · 면역의 의식</x:v>
      </x:c>
      <x:c r="C398" s="1" t="n">
        <x:f>1.6</x:f>
        <x:v>1.6</x:v>
      </x:c>
      <x:c r="D398" s="9" t="n">
        <x:f>C398*1.16*('효과 규칙 55종'!H39*'스킬 500종'!L398*'스킬 500종'!M398/'효과 규칙 55종'!D39+'효과 규칙 55종'!H17*'스킬 500종'!O398*'스킬 500종'!P398/'효과 규칙 55종'!D17+'효과 규칙 55종'!H40*'스킬 500종'!R398*'스킬 500종'!S398/'효과 규칙 55종'!D40)</x:f>
        <x:v>4.706816</x:v>
      </x:c>
      <x:c r="E398" s="9" t="n">
        <x:f>C398*SUM('스킬 500종'!E398:H398)</x:f>
        <x:v>0</x:v>
      </x:c>
      <x:c r="F398" s="9" t="n">
        <x:f>C398*1.4*SUM('스킬 500종'!I398:J398)</x:f>
        <x:v>0</x:v>
      </x:c>
      <x:c r="G398" s="9" t="n">
        <x:f>SUM(D398:F398)</x:f>
        <x:v>4.706816</x:v>
      </x:c>
      <x:c r="H398" s="9" t="n">
        <x:f>1.1+0.8*'스킬 500종'!W398</x:f>
        <x:v>5.1</x:v>
      </x:c>
      <x:c r="I398" s="10" t="n">
        <x:f>G398/H398</x:f>
        <x:v>0.9229050980392157</x:v>
      </x:c>
      <x:c r="J398" s="1" t="str">
        <x:f>IF(OR('스킬 500종'!I398&lt;0,'스킬 500종'!J398&lt;0,AND('스킬 500종'!I398&gt;0,'스킬 500종'!J398&gt;0),AND(OR('스킬 500종'!K398="HEAL",'스킬 500종'!N398="HEAL",'스킬 500종'!Q398="HEAL",'스킬 500종'!T398="HEAL"),'스킬 500종'!I398=0,'스킬 500종'!J398=0),AND('스킬 500종'!I398&gt;0,OR('스킬 500종'!K398="CONTINUOUS_HEAL",'스킬 500종'!N398="CONTINUOUS_HEAL",'스킬 500종'!Q398="CONTINUOUS_HEAL",'스킬 500종'!T398="CONTINUOUS_HEAL"))),"회복 기준 오류",IF(AND(G398&lt;=H398+0.00001,'스킬 500종'!W398&gt;=1,'스킬 500종'!W398&lt;=5),"정상","초과"))</x:f>
        <x:v>정상</x:v>
      </x:c>
    </x:row>
    <x:row r="399" ht="30" customHeight="1">
      <x:c r="A399" s="1" t="str">
        <x:f>'스킬 500종'!A399</x:f>
        <x:v>SKILL_0393</x:v>
      </x:c>
      <x:c r="B399" s="1" t="str">
        <x:f>'스킬 500종'!B399</x:f>
        <x:v>반격 · 지속 회복의 의식</x:v>
      </x:c>
      <x:c r="C399" s="1" t="n">
        <x:f>1</x:f>
        <x:v>1</x:v>
      </x:c>
      <x:c r="D399" s="9" t="n">
        <x:f>C399*1.08*('효과 규칙 55종'!H51*'스킬 500종'!L399*'스킬 500종'!M399/'효과 규칙 55종'!D51+'효과 규칙 55종'!H35*'스킬 500종'!O399*'스킬 500종'!P399/'효과 규칙 55종'!D35)</x:f>
        <x:v>1.3608000000000002</x:v>
      </x:c>
      <x:c r="E399" s="9" t="n">
        <x:f>C399*SUM('스킬 500종'!E399:H399)</x:f>
        <x:v>0</x:v>
      </x:c>
      <x:c r="F399" s="9" t="n">
        <x:f>C399*1.4*SUM('스킬 500종'!I399:J399)</x:f>
        <x:v>0</x:v>
      </x:c>
      <x:c r="G399" s="9" t="n">
        <x:f>SUM(D399:F399)</x:f>
        <x:v>1.3608000000000002</x:v>
      </x:c>
      <x:c r="H399" s="9" t="n">
        <x:f>1.1+0.8*'스킬 500종'!W399</x:f>
        <x:v>1.9000000000000001</x:v>
      </x:c>
      <x:c r="I399" s="10" t="n">
        <x:f>G399/H399</x:f>
        <x:v>0.7162105263157895</x:v>
      </x:c>
      <x:c r="J399" s="1" t="str">
        <x:f>IF(OR('스킬 500종'!I399&lt;0,'스킬 500종'!J399&lt;0,AND('스킬 500종'!I399&gt;0,'스킬 500종'!J399&gt;0),AND(OR('스킬 500종'!K399="HEAL",'스킬 500종'!N399="HEAL",'스킬 500종'!Q399="HEAL",'스킬 500종'!T399="HEAL"),'스킬 500종'!I399=0,'스킬 500종'!J399=0),AND('스킬 500종'!I399&gt;0,OR('스킬 500종'!K399="CONTINUOUS_HEAL",'스킬 500종'!N399="CONTINUOUS_HEAL",'스킬 500종'!Q399="CONTINUOUS_HEAL",'스킬 500종'!T399="CONTINUOUS_HEAL"))),"회복 기준 오류",IF(AND(G399&lt;=H399+0.00001,'스킬 500종'!W399&gt;=1,'스킬 500종'!W399&lt;=5),"정상","초과"))</x:f>
        <x:v>정상</x:v>
      </x:c>
    </x:row>
    <x:row r="400" ht="30" customHeight="1">
      <x:c r="A400" s="1" t="str">
        <x:f>'스킬 500종'!A400</x:f>
        <x:v>SKILL_0394</x:v>
      </x:c>
      <x:c r="B400" s="1" t="str">
        <x:f>'스킬 500종'!B400</x:f>
        <x:v>방어력 증가 · 공격력 증가의 의식</x:v>
      </x:c>
      <x:c r="C400" s="1" t="n">
        <x:f>1</x:f>
        <x:v>1</x:v>
      </x:c>
      <x:c r="D400" s="9" t="n">
        <x:f>C400*1.08*('효과 규칙 55종'!H9*'스킬 500종'!L400*'스킬 500종'!M400/'효과 규칙 55종'!D9+'효과 규칙 55종'!H7*'스킬 500종'!O400*'스킬 500종'!P400/'효과 규칙 55종'!D7)</x:f>
        <x:v>1.0692000000000004</x:v>
      </x:c>
      <x:c r="E400" s="9" t="n">
        <x:f>C400*SUM('스킬 500종'!E400:H400)</x:f>
        <x:v>0</x:v>
      </x:c>
      <x:c r="F400" s="9" t="n">
        <x:f>C400*1.4*SUM('스킬 500종'!I400:J400)</x:f>
        <x:v>0</x:v>
      </x:c>
      <x:c r="G400" s="9" t="n">
        <x:f>SUM(D400:F400)</x:f>
        <x:v>1.0692000000000004</x:v>
      </x:c>
      <x:c r="H400" s="9" t="n">
        <x:f>1.1+0.8*'스킬 500종'!W400</x:f>
        <x:v>1.9000000000000001</x:v>
      </x:c>
      <x:c r="I400" s="10" t="n">
        <x:f>G400/H400</x:f>
        <x:v>0.5627368421052633</x:v>
      </x:c>
      <x:c r="J400" s="1" t="str">
        <x:f>IF(OR('스킬 500종'!I400&lt;0,'스킬 500종'!J400&lt;0,AND('스킬 500종'!I400&gt;0,'스킬 500종'!J400&gt;0),AND(OR('스킬 500종'!K400="HEAL",'스킬 500종'!N400="HEAL",'스킬 500종'!Q400="HEAL",'스킬 500종'!T400="HEAL"),'스킬 500종'!I400=0,'스킬 500종'!J400=0),AND('스킬 500종'!I400&gt;0,OR('스킬 500종'!K400="CONTINUOUS_HEAL",'스킬 500종'!N400="CONTINUOUS_HEAL",'스킬 500종'!Q400="CONTINUOUS_HEAL",'스킬 500종'!T400="CONTINUOUS_HEAL"))),"회복 기준 오류",IF(AND(G400&lt;=H400+0.00001,'스킬 500종'!W400&gt;=1,'스킬 500종'!W400&lt;=5),"정상","초과"))</x:f>
        <x:v>정상</x:v>
      </x:c>
    </x:row>
    <x:row r="401" ht="30" customHeight="1">
      <x:c r="A401" s="1" t="str">
        <x:f>'스킬 500종'!A401</x:f>
        <x:v>SKILL_0395</x:v>
      </x:c>
      <x:c r="B401" s="1" t="str">
        <x:f>'스킬 500종'!B401</x:f>
        <x:v>소생 · 효과적중 증가 · 은신의 의식</x:v>
      </x:c>
      <x:c r="C401" s="1" t="n">
        <x:f>1</x:f>
        <x:v>1</x:v>
      </x:c>
      <x:c r="D401" s="9" t="n">
        <x:f>C401*1.16*('효과 규칙 55종'!H46*'스킬 500종'!L401*'스킬 500종'!M401/'효과 규칙 55종'!D46+'효과 규칙 55종'!H13*'스킬 500종'!O401*'스킬 500종'!P401/'효과 규칙 55종'!D13+'효과 규칙 55종'!H41*'스킬 500종'!R401*'스킬 500종'!S401/'효과 규칙 55종'!D41)</x:f>
        <x:v>5.020479999999999</x:v>
      </x:c>
      <x:c r="E401" s="9" t="n">
        <x:f>C401*SUM('스킬 500종'!E401:H401)</x:f>
        <x:v>0</x:v>
      </x:c>
      <x:c r="F401" s="9" t="n">
        <x:f>C401*1.4*SUM('스킬 500종'!I401:J401)</x:f>
        <x:v>0</x:v>
      </x:c>
      <x:c r="G401" s="9" t="n">
        <x:f>SUM(D401:F401)</x:f>
        <x:v>5.020479999999999</x:v>
      </x:c>
      <x:c r="H401" s="9" t="n">
        <x:f>1.1+0.8*'스킬 500종'!W401</x:f>
        <x:v>5.1</x:v>
      </x:c>
      <x:c r="I401" s="10" t="n">
        <x:f>G401/H401</x:f>
        <x:v>0.9844078431372548</x:v>
      </x:c>
      <x:c r="J401" s="1" t="str">
        <x:f>IF(OR('스킬 500종'!I401&lt;0,'스킬 500종'!J401&lt;0,AND('스킬 500종'!I401&gt;0,'스킬 500종'!J401&gt;0),AND(OR('스킬 500종'!K401="HEAL",'스킬 500종'!N401="HEAL",'스킬 500종'!Q401="HEAL",'스킬 500종'!T401="HEAL"),'스킬 500종'!I401=0,'스킬 500종'!J401=0),AND('스킬 500종'!I401&gt;0,OR('스킬 500종'!K401="CONTINUOUS_HEAL",'스킬 500종'!N401="CONTINUOUS_HEAL",'스킬 500종'!Q401="CONTINUOUS_HEAL",'스킬 500종'!T401="CONTINUOUS_HEAL"))),"회복 기준 오류",IF(AND(G401&lt;=H401+0.00001,'스킬 500종'!W401&gt;=1,'스킬 500종'!W401&lt;=5),"정상","초과"))</x:f>
        <x:v>정상</x:v>
      </x:c>
    </x:row>
    <x:row r="402" ht="30" customHeight="1">
      <x:c r="A402" s="1" t="str">
        <x:f>'스킬 500종'!A402</x:f>
        <x:v>SKILL_0396</x:v>
      </x:c>
      <x:c r="B402" s="1" t="str">
        <x:f>'스킬 500종'!B402</x:f>
        <x:v>소생 · 은신의 의식</x:v>
      </x:c>
      <x:c r="C402" s="1" t="n">
        <x:f>1</x:f>
        <x:v>1</x:v>
      </x:c>
      <x:c r="D402" s="9" t="n">
        <x:f>C402*1.08*('효과 규칙 55종'!H46*'스킬 500종'!L402*'스킬 500종'!M402/'효과 규칙 55종'!D46+'효과 규칙 55종'!H41*'스킬 500종'!O402*'스킬 500종'!P402/'효과 규칙 55종'!D41)</x:f>
        <x:v>4.4496</x:v>
      </x:c>
      <x:c r="E402" s="9" t="n">
        <x:f>C402*SUM('스킬 500종'!E402:H402)</x:f>
        <x:v>0</x:v>
      </x:c>
      <x:c r="F402" s="9" t="n">
        <x:f>C402*1.4*SUM('스킬 500종'!I402:J402)</x:f>
        <x:v>0</x:v>
      </x:c>
      <x:c r="G402" s="9" t="n">
        <x:f>SUM(D402:F402)</x:f>
        <x:v>4.4496</x:v>
      </x:c>
      <x:c r="H402" s="9" t="n">
        <x:f>1.1+0.8*'스킬 500종'!W402</x:f>
        <x:v>5.1</x:v>
      </x:c>
      <x:c r="I402" s="10" t="n">
        <x:f>G402/H402</x:f>
        <x:v>0.8724705882352942</x:v>
      </x:c>
      <x:c r="J402" s="1" t="str">
        <x:f>IF(OR('스킬 500종'!I402&lt;0,'스킬 500종'!J402&lt;0,AND('스킬 500종'!I402&gt;0,'스킬 500종'!J402&gt;0),AND(OR('스킬 500종'!K402="HEAL",'스킬 500종'!N402="HEAL",'스킬 500종'!Q402="HEAL",'스킬 500종'!T402="HEAL"),'스킬 500종'!I402=0,'스킬 500종'!J402=0),AND('스킬 500종'!I402&gt;0,OR('스킬 500종'!K402="CONTINUOUS_HEAL",'스킬 500종'!N402="CONTINUOUS_HEAL",'스킬 500종'!Q402="CONTINUOUS_HEAL",'스킬 500종'!T402="CONTINUOUS_HEAL"))),"회복 기준 오류",IF(AND(G402&lt;=H402+0.00001,'스킬 500종'!W402&gt;=1,'스킬 500종'!W402&lt;=5),"정상","초과"))</x:f>
        <x:v>정상</x:v>
      </x:c>
    </x:row>
    <x:row r="403" ht="30" customHeight="1">
      <x:c r="A403" s="1" t="str">
        <x:f>'스킬 500종'!A403</x:f>
        <x:v>SKILL_0397</x:v>
      </x:c>
      <x:c r="B403" s="1" t="str">
        <x:f>'스킬 500종'!B403</x:f>
        <x:v>강화효과 지속시간 증가 · 방어력 증가 · 반격 · 속도 증가의 의식</x:v>
      </x:c>
      <x:c r="C403" s="1" t="n">
        <x:f>1</x:f>
        <x:v>1</x:v>
      </x:c>
      <x:c r="D403" s="9" t="n">
        <x:f>C403*1.24*('효과 규칙 55종'!H58*'스킬 500종'!L403*'스킬 500종'!M403/'효과 규칙 55종'!D58+'효과 규칙 55종'!H9*'스킬 500종'!O403*'스킬 500종'!P403/'효과 규칙 55종'!D9+'효과 규칙 55종'!H51*'스킬 500종'!R403*'스킬 500종'!S403/'효과 규칙 55종'!D51+'효과 규칙 55종'!H10*'스킬 500종'!U403*'스킬 500종'!V403/'효과 규칙 55종'!D10)</x:f>
        <x:v>2.0239279999999997</x:v>
      </x:c>
      <x:c r="E403" s="9" t="n">
        <x:f>C403*SUM('스킬 500종'!E403:H403)</x:f>
        <x:v>0</x:v>
      </x:c>
      <x:c r="F403" s="9" t="n">
        <x:f>C403*1.4*SUM('스킬 500종'!I403:J403)</x:f>
        <x:v>0</x:v>
      </x:c>
      <x:c r="G403" s="9" t="n">
        <x:f>SUM(D403:F403)</x:f>
        <x:v>2.0239279999999997</x:v>
      </x:c>
      <x:c r="H403" s="9" t="n">
        <x:f>1.1+0.8*'스킬 500종'!W403</x:f>
        <x:v>2.7</x:v>
      </x:c>
      <x:c r="I403" s="10" t="n">
        <x:f>G403/H403</x:f>
        <x:v>0.7496029629629628</x:v>
      </x:c>
      <x:c r="J403" s="1" t="str">
        <x:f>IF(OR('스킬 500종'!I403&lt;0,'스킬 500종'!J403&lt;0,AND('스킬 500종'!I403&gt;0,'스킬 500종'!J403&gt;0),AND(OR('스킬 500종'!K403="HEAL",'스킬 500종'!N403="HEAL",'스킬 500종'!Q403="HEAL",'스킬 500종'!T403="HEAL"),'스킬 500종'!I403=0,'스킬 500종'!J403=0),AND('스킬 500종'!I403&gt;0,OR('스킬 500종'!K403="CONTINUOUS_HEAL",'스킬 500종'!N403="CONTINUOUS_HEAL",'스킬 500종'!Q403="CONTINUOUS_HEAL",'스킬 500종'!T403="CONTINUOUS_HEAL"))),"회복 기준 오류",IF(AND(G403&lt;=H403+0.00001,'스킬 500종'!W403&gt;=1,'스킬 500종'!W403&lt;=5),"정상","초과"))</x:f>
        <x:v>정상</x:v>
      </x:c>
    </x:row>
    <x:row r="404" ht="30" customHeight="1">
      <x:c r="A404" s="1" t="str">
        <x:f>'스킬 500종'!A404</x:f>
        <x:v>SKILL_0398</x:v>
      </x:c>
      <x:c r="B404" s="1" t="str">
        <x:f>'스킬 500종'!B404</x:f>
        <x:v>명중 증가 · 무적의 의식</x:v>
      </x:c>
      <x:c r="C404" s="1" t="n">
        <x:f>1</x:f>
        <x:v>1</x:v>
      </x:c>
      <x:c r="D404" s="9" t="n">
        <x:f>C404*1.08*('효과 규칙 55종'!H17*'스킬 500종'!L404*'스킬 500종'!M404/'효과 규칙 55종'!D17+'효과 규칙 55종'!H38*'스킬 500종'!O404*'스킬 500종'!P404/'효과 규칙 55종'!D38)</x:f>
        <x:v>2.5272000000000006</x:v>
      </x:c>
      <x:c r="E404" s="9" t="n">
        <x:f>C404*SUM('스킬 500종'!E404:H404)</x:f>
        <x:v>0</x:v>
      </x:c>
      <x:c r="F404" s="9" t="n">
        <x:f>C404*1.4*SUM('스킬 500종'!I404:J404)</x:f>
        <x:v>0</x:v>
      </x:c>
      <x:c r="G404" s="9" t="n">
        <x:f>SUM(D404:F404)</x:f>
        <x:v>2.5272000000000006</x:v>
      </x:c>
      <x:c r="H404" s="9" t="n">
        <x:f>1.1+0.8*'스킬 500종'!W404</x:f>
        <x:v>3.5000000000000004</x:v>
      </x:c>
      <x:c r="I404" s="10" t="n">
        <x:f>G404/H404</x:f>
        <x:v>0.722057142857143</x:v>
      </x:c>
      <x:c r="J404" s="1" t="str">
        <x:f>IF(OR('스킬 500종'!I404&lt;0,'스킬 500종'!J404&lt;0,AND('스킬 500종'!I404&gt;0,'스킬 500종'!J404&gt;0),AND(OR('스킬 500종'!K404="HEAL",'스킬 500종'!N404="HEAL",'스킬 500종'!Q404="HEAL",'스킬 500종'!T404="HEAL"),'스킬 500종'!I404=0,'스킬 500종'!J404=0),AND('스킬 500종'!I404&gt;0,OR('스킬 500종'!K404="CONTINUOUS_HEAL",'스킬 500종'!N404="CONTINUOUS_HEAL",'스킬 500종'!Q404="CONTINUOUS_HEAL",'스킬 500종'!T404="CONTINUOUS_HEAL"))),"회복 기준 오류",IF(AND(G404&lt;=H404+0.00001,'스킬 500종'!W404&gt;=1,'스킬 500종'!W404&lt;=5),"정상","초과"))</x:f>
        <x:v>정상</x:v>
      </x:c>
    </x:row>
    <x:row r="405" ht="30" customHeight="1">
      <x:c r="A405" s="1" t="str">
        <x:f>'스킬 500종'!A405</x:f>
        <x:v>SKILL_0399</x:v>
      </x:c>
      <x:c r="B405" s="1" t="str">
        <x:f>'스킬 500종'!B405</x:f>
        <x:v>보호막 · 치명확률 증가 · 무적의 의식</x:v>
      </x:c>
      <x:c r="C405" s="1" t="n">
        <x:f>2.4</x:f>
        <x:v>2.4</x:v>
      </x:c>
      <x:c r="D405" s="9" t="n">
        <x:f>C405*1.16*('효과 규칙 55종'!H37*'스킬 500종'!L405*'스킬 500종'!M405/'효과 규칙 55종'!D37+'효과 규칙 55종'!H11*'스킬 500종'!O405*'스킬 500종'!P405/'효과 규칙 55종'!D11+'효과 규칙 55종'!H38*'스킬 500종'!R405*'스킬 500종'!S405/'효과 규칙 55종'!D38)</x:f>
        <x:v>4.654848</x:v>
      </x:c>
      <x:c r="E405" s="9" t="n">
        <x:f>C405*SUM('스킬 500종'!E405:H405)</x:f>
        <x:v>0</x:v>
      </x:c>
      <x:c r="F405" s="9" t="n">
        <x:f>C405*1.4*SUM('스킬 500종'!I405:J405)</x:f>
        <x:v>0</x:v>
      </x:c>
      <x:c r="G405" s="9" t="n">
        <x:f>SUM(D405:F405)</x:f>
        <x:v>4.654848</x:v>
      </x:c>
      <x:c r="H405" s="9" t="n">
        <x:f>1.1+0.8*'스킬 500종'!W405</x:f>
        <x:v>5.1</x:v>
      </x:c>
      <x:c r="I405" s="10" t="n">
        <x:f>G405/H405</x:f>
        <x:v>0.9127152941176472</x:v>
      </x:c>
      <x:c r="J405" s="1" t="str">
        <x:f>IF(OR('스킬 500종'!I405&lt;0,'스킬 500종'!J405&lt;0,AND('스킬 500종'!I405&gt;0,'스킬 500종'!J405&gt;0),AND(OR('스킬 500종'!K405="HEAL",'스킬 500종'!N405="HEAL",'스킬 500종'!Q405="HEAL",'스킬 500종'!T405="HEAL"),'스킬 500종'!I405=0,'스킬 500종'!J405=0),AND('스킬 500종'!I405&gt;0,OR('스킬 500종'!K405="CONTINUOUS_HEAL",'스킬 500종'!N405="CONTINUOUS_HEAL",'스킬 500종'!Q405="CONTINUOUS_HEAL",'스킬 500종'!T405="CONTINUOUS_HEAL"))),"회복 기준 오류",IF(AND(G405&lt;=H405+0.00001,'스킬 500종'!W405&gt;=1,'스킬 500종'!W405&lt;=5),"정상","초과"))</x:f>
        <x:v>정상</x:v>
      </x:c>
    </x:row>
    <x:row r="406" ht="30" customHeight="1">
      <x:c r="A406" s="1" t="str">
        <x:f>'스킬 500종'!A406</x:f>
        <x:v>SKILL_0400</x:v>
      </x:c>
      <x:c r="B406" s="1" t="str">
        <x:f>'스킬 500종'!B406</x:f>
        <x:v>명중 증가 · 스킬 쿨타임 초기화 · 피해 분담 · 약화효과 해제의 의식</x:v>
      </x:c>
      <x:c r="C406" s="1" t="n">
        <x:f>1</x:f>
        <x:v>1</x:v>
      </x:c>
      <x:c r="D406" s="9" t="n">
        <x:f>C406*1.24*('효과 규칙 55종'!H17*'스킬 500종'!L406*'스킬 500종'!M406/'효과 규칙 55종'!D17+'효과 규칙 55종'!H53*'스킬 500종'!O406*'스킬 500종'!P406/'효과 규칙 55종'!D53+'효과 규칙 55종'!H43*'스킬 500종'!R406*'스킬 500종'!S406/'효과 규칙 55종'!D43+'효과 규칙 55종'!H57*'스킬 500종'!U406*'스킬 500종'!V406/'효과 규칙 55종'!D57)</x:f>
        <x:v>3.9754399999999994</x:v>
      </x:c>
      <x:c r="E406" s="9" t="n">
        <x:f>C406*SUM('스킬 500종'!E406:H406)</x:f>
        <x:v>0</x:v>
      </x:c>
      <x:c r="F406" s="9" t="n">
        <x:f>C406*1.4*SUM('스킬 500종'!I406:J406)</x:f>
        <x:v>0</x:v>
      </x:c>
      <x:c r="G406" s="9" t="n">
        <x:f>SUM(D406:F406)</x:f>
        <x:v>3.9754399999999994</x:v>
      </x:c>
      <x:c r="H406" s="9" t="n">
        <x:f>1.1+0.8*'스킬 500종'!W406</x:f>
        <x:v>5.1</x:v>
      </x:c>
      <x:c r="I406" s="10" t="n">
        <x:f>G406/H406</x:f>
        <x:v>0.7794980392156862</x:v>
      </x:c>
      <x:c r="J406" s="1" t="str">
        <x:f>IF(OR('스킬 500종'!I406&lt;0,'스킬 500종'!J406&lt;0,AND('스킬 500종'!I406&gt;0,'스킬 500종'!J406&gt;0),AND(OR('스킬 500종'!K406="HEAL",'스킬 500종'!N406="HEAL",'스킬 500종'!Q406="HEAL",'스킬 500종'!T406="HEAL"),'스킬 500종'!I406=0,'스킬 500종'!J406=0),AND('스킬 500종'!I406&gt;0,OR('스킬 500종'!K406="CONTINUOUS_HEAL",'스킬 500종'!N406="CONTINUOUS_HEAL",'스킬 500종'!Q406="CONTINUOUS_HEAL",'스킬 500종'!T406="CONTINUOUS_HEAL"))),"회복 기준 오류",IF(AND(G406&lt;=H406+0.00001,'스킬 500종'!W406&gt;=1,'스킬 500종'!W406&lt;=5),"정상","초과"))</x:f>
        <x:v>정상</x:v>
      </x:c>
    </x:row>
    <x:row r="407" ht="30" customHeight="1">
      <x:c r="A407" s="1" t="str">
        <x:f>'스킬 500종'!A407</x:f>
        <x:v>SKILL_0401</x:v>
      </x:c>
      <x:c r="B407" s="1" t="str">
        <x:f>'스킬 500종'!B407</x:f>
        <x:v>스킬 쿨타임 초기화 · 효과저항 증가의 의식</x:v>
      </x:c>
      <x:c r="C407" s="1" t="n">
        <x:f>1</x:f>
        <x:v>1</x:v>
      </x:c>
      <x:c r="D407" s="9" t="n">
        <x:f>C407*1.08*('효과 규칙 55종'!H53*'스킬 500종'!L407*'스킬 500종'!M407/'효과 규칙 55종'!D53+'효과 규칙 55종'!H14*'스킬 500종'!O407*'스킬 500종'!P407/'효과 규칙 55종'!D14)</x:f>
        <x:v>3.4506000000000006</x:v>
      </x:c>
      <x:c r="E407" s="9" t="n">
        <x:f>C407*SUM('스킬 500종'!E407:H407)</x:f>
        <x:v>0</x:v>
      </x:c>
      <x:c r="F407" s="9" t="n">
        <x:f>C407*1.4*SUM('스킬 500종'!I407:J407)</x:f>
        <x:v>0</x:v>
      </x:c>
      <x:c r="G407" s="9" t="n">
        <x:f>SUM(D407:F407)</x:f>
        <x:v>3.4506000000000006</x:v>
      </x:c>
      <x:c r="H407" s="9" t="n">
        <x:f>1.1+0.8*'스킬 500종'!W407</x:f>
        <x:v>5.1</x:v>
      </x:c>
      <x:c r="I407" s="10" t="n">
        <x:f>G407/H407</x:f>
        <x:v>0.6765882352941178</x:v>
      </x:c>
      <x:c r="J407" s="1" t="str">
        <x:f>IF(OR('스킬 500종'!I407&lt;0,'스킬 500종'!J407&lt;0,AND('스킬 500종'!I407&gt;0,'스킬 500종'!J407&gt;0),AND(OR('스킬 500종'!K407="HEAL",'스킬 500종'!N407="HEAL",'스킬 500종'!Q407="HEAL",'스킬 500종'!T407="HEAL"),'스킬 500종'!I407=0,'스킬 500종'!J407=0),AND('스킬 500종'!I407&gt;0,OR('스킬 500종'!K407="CONTINUOUS_HEAL",'스킬 500종'!N407="CONTINUOUS_HEAL",'스킬 500종'!Q407="CONTINUOUS_HEAL",'스킬 500종'!T407="CONTINUOUS_HEAL"))),"회복 기준 오류",IF(AND(G407&lt;=H407+0.00001,'스킬 500종'!W407&gt;=1,'스킬 500종'!W407&lt;=5),"정상","초과"))</x:f>
        <x:v>정상</x:v>
      </x:c>
    </x:row>
    <x:row r="408" ht="30" customHeight="1">
      <x:c r="A408" s="1" t="str">
        <x:f>'스킬 500종'!A408</x:f>
        <x:v>SKILL_0402</x:v>
      </x:c>
      <x:c r="B408" s="1" t="str">
        <x:f>'스킬 500종'!B408</x:f>
        <x:v>면역 · 지속 회복 · 은신 · 약화효과 해제의 의식</x:v>
      </x:c>
      <x:c r="C408" s="1" t="n">
        <x:f>1</x:f>
        <x:v>1</x:v>
      </x:c>
      <x:c r="D408" s="9" t="n">
        <x:f>C408*1.24*('효과 규칙 55종'!H40*'스킬 500종'!L408*'스킬 500종'!M408/'효과 규칙 55종'!D40+'효과 규칙 55종'!H35*'스킬 500종'!O408*'스킬 500종'!P408/'효과 규칙 55종'!D35+'효과 규칙 55종'!H41*'스킬 500종'!R408*'스킬 500종'!S408/'효과 규칙 55종'!D41+'효과 규칙 55종'!H57*'스킬 500종'!U408*'스킬 500종'!V408/'효과 규칙 55종'!D57)</x:f>
        <x:v>2.44032</x:v>
      </x:c>
      <x:c r="E408" s="9" t="n">
        <x:f>C408*SUM('스킬 500종'!E408:H408)</x:f>
        <x:v>0</x:v>
      </x:c>
      <x:c r="F408" s="9" t="n">
        <x:f>C408*1.4*SUM('스킬 500종'!I408:J408)</x:f>
        <x:v>0</x:v>
      </x:c>
      <x:c r="G408" s="9" t="n">
        <x:f>SUM(D408:F408)</x:f>
        <x:v>2.44032</x:v>
      </x:c>
      <x:c r="H408" s="9" t="n">
        <x:f>1.1+0.8*'스킬 500종'!W408</x:f>
        <x:v>2.7</x:v>
      </x:c>
      <x:c r="I408" s="10" t="n">
        <x:f>G408/H408</x:f>
        <x:v>0.9038222222222221</x:v>
      </x:c>
      <x:c r="J408" s="1" t="str">
        <x:f>IF(OR('스킬 500종'!I408&lt;0,'스킬 500종'!J408&lt;0,AND('스킬 500종'!I408&gt;0,'스킬 500종'!J408&gt;0),AND(OR('스킬 500종'!K408="HEAL",'스킬 500종'!N408="HEAL",'스킬 500종'!Q408="HEAL",'스킬 500종'!T408="HEAL"),'스킬 500종'!I408=0,'스킬 500종'!J408=0),AND('스킬 500종'!I408&gt;0,OR('스킬 500종'!K408="CONTINUOUS_HEAL",'스킬 500종'!N408="CONTINUOUS_HEAL",'스킬 500종'!Q408="CONTINUOUS_HEAL",'스킬 500종'!T408="CONTINUOUS_HEAL"))),"회복 기준 오류",IF(AND(G408&lt;=H408+0.00001,'스킬 500종'!W408&gt;=1,'스킬 500종'!W408&lt;=5),"정상","초과"))</x:f>
        <x:v>정상</x:v>
      </x:c>
    </x:row>
    <x:row r="409" ht="30" customHeight="1">
      <x:c r="A409" s="1" t="str">
        <x:f>'스킬 500종'!A409</x:f>
        <x:v>SKILL_0403</x:v>
      </x:c>
      <x:c r="B409" s="1" t="str">
        <x:f>'스킬 500종'!B409</x:f>
        <x:v>보호막 · 피해 반사 · 방어력 증가 · 불사의 의식</x:v>
      </x:c>
      <x:c r="C409" s="1" t="n">
        <x:f>2.4</x:f>
        <x:v>2.4</x:v>
      </x:c>
      <x:c r="D409" s="9" t="n">
        <x:f>C409*1.24*('효과 규칙 55종'!H37*'스킬 500종'!L409*'스킬 500종'!M409/'효과 규칙 55종'!D37+'효과 규칙 55종'!H44*'스킬 500종'!O409*'스킬 500종'!P409/'효과 규칙 55종'!D44+'효과 규칙 55종'!H9*'스킬 500종'!R409*'스킬 500종'!S409/'효과 규칙 55종'!D9+'효과 규칙 55종'!H39*'스킬 500종'!U409*'스킬 500종'!V409/'효과 규칙 55종'!D39)</x:f>
        <x:v>4.920298742857143</x:v>
      </x:c>
      <x:c r="E409" s="9" t="n">
        <x:f>C409*SUM('스킬 500종'!E409:H409)</x:f>
        <x:v>0</x:v>
      </x:c>
      <x:c r="F409" s="9" t="n">
        <x:f>C409*1.4*SUM('스킬 500종'!I409:J409)</x:f>
        <x:v>0</x:v>
      </x:c>
      <x:c r="G409" s="9" t="n">
        <x:f>SUM(D409:F409)</x:f>
        <x:v>4.920298742857143</x:v>
      </x:c>
      <x:c r="H409" s="9" t="n">
        <x:f>1.1+0.8*'스킬 500종'!W409</x:f>
        <x:v>5.1</x:v>
      </x:c>
      <x:c r="I409" s="10" t="n">
        <x:f>G409/H409</x:f>
        <x:v>0.9647644593837535</x:v>
      </x:c>
      <x:c r="J409" s="1" t="str">
        <x:f>IF(OR('스킬 500종'!I409&lt;0,'스킬 500종'!J409&lt;0,AND('스킬 500종'!I409&gt;0,'스킬 500종'!J409&gt;0),AND(OR('스킬 500종'!K409="HEAL",'스킬 500종'!N409="HEAL",'스킬 500종'!Q409="HEAL",'스킬 500종'!T409="HEAL"),'스킬 500종'!I409=0,'스킬 500종'!J409=0),AND('스킬 500종'!I409&gt;0,OR('스킬 500종'!K409="CONTINUOUS_HEAL",'스킬 500종'!N409="CONTINUOUS_HEAL",'스킬 500종'!Q409="CONTINUOUS_HEAL",'스킬 500종'!T409="CONTINUOUS_HEAL"))),"회복 기준 오류",IF(AND(G409&lt;=H409+0.00001,'스킬 500종'!W409&gt;=1,'스킬 500종'!W409&lt;=5),"정상","초과"))</x:f>
        <x:v>정상</x:v>
      </x:c>
    </x:row>
    <x:row r="410" ht="30" customHeight="1">
      <x:c r="A410" s="1" t="str">
        <x:f>'스킬 500종'!A410</x:f>
        <x:v>SKILL_0404</x:v>
      </x:c>
      <x:c r="B410" s="1" t="str">
        <x:f>'스킬 500종'!B410</x:f>
        <x:v>치명확률 증가 · 지속 회복의 의식</x:v>
      </x:c>
      <x:c r="C410" s="1" t="n">
        <x:f>1.6</x:f>
        <x:v>1.6</x:v>
      </x:c>
      <x:c r="D410" s="9" t="n">
        <x:f>C410*1.08*('효과 규칙 55종'!H11*'스킬 500종'!L410*'스킬 500종'!M410/'효과 규칙 55종'!D11+'효과 규칙 55종'!H35*'스킬 500종'!O410*'스킬 500종'!P410/'효과 규칙 55종'!D35)</x:f>
        <x:v>1.6329600000000002</x:v>
      </x:c>
      <x:c r="E410" s="9" t="n">
        <x:f>C410*SUM('스킬 500종'!E410:H410)</x:f>
        <x:v>0</x:v>
      </x:c>
      <x:c r="F410" s="9" t="n">
        <x:f>C410*1.4*SUM('스킬 500종'!I410:J410)</x:f>
        <x:v>0</x:v>
      </x:c>
      <x:c r="G410" s="9" t="n">
        <x:f>SUM(D410:F410)</x:f>
        <x:v>1.6329600000000002</x:v>
      </x:c>
      <x:c r="H410" s="9" t="n">
        <x:f>1.1+0.8*'스킬 500종'!W410</x:f>
        <x:v>1.9000000000000001</x:v>
      </x:c>
      <x:c r="I410" s="10" t="n">
        <x:f>G410/H410</x:f>
        <x:v>0.8594526315789474</x:v>
      </x:c>
      <x:c r="J410" s="1" t="str">
        <x:f>IF(OR('스킬 500종'!I410&lt;0,'스킬 500종'!J410&lt;0,AND('스킬 500종'!I410&gt;0,'스킬 500종'!J410&gt;0),AND(OR('스킬 500종'!K410="HEAL",'스킬 500종'!N410="HEAL",'스킬 500종'!Q410="HEAL",'스킬 500종'!T410="HEAL"),'스킬 500종'!I410=0,'스킬 500종'!J410=0),AND('스킬 500종'!I410&gt;0,OR('스킬 500종'!K410="CONTINUOUS_HEAL",'스킬 500종'!N410="CONTINUOUS_HEAL",'스킬 500종'!Q410="CONTINUOUS_HEAL",'스킬 500종'!T410="CONTINUOUS_HEAL"))),"회복 기준 오류",IF(AND(G410&lt;=H410+0.00001,'스킬 500종'!W410&gt;=1,'스킬 500종'!W410&lt;=5),"정상","초과"))</x:f>
        <x:v>정상</x:v>
      </x:c>
    </x:row>
    <x:row r="411" ht="30" customHeight="1">
      <x:c r="A411" s="1" t="str">
        <x:f>'스킬 500종'!A411</x:f>
        <x:v>SKILL_0405</x:v>
      </x:c>
      <x:c r="B411" s="1" t="str">
        <x:f>'스킬 500종'!B411</x:f>
        <x:v>생명력 회복 · 피해 감소 · 치명확률 증가의 의식</x:v>
      </x:c>
      <x:c r="C411" s="1" t="n">
        <x:f>1</x:f>
        <x:v>1</x:v>
      </x:c>
      <x:c r="D411" s="9" t="n">
        <x:f>C411*1.16*('효과 규칙 55종'!H34*'스킬 500종'!L411*'스킬 500종'!M411/'효과 규칙 55종'!D34+'효과 규칙 55종'!H42*'스킬 500종'!O411*'스킬 500종'!P411/'효과 규칙 55종'!D42+'효과 규칙 55종'!H11*'스킬 500종'!R411*'스킬 500종'!S411/'효과 규칙 55종'!D11)</x:f>
        <x:v>0.89088</x:v>
      </x:c>
      <x:c r="E411" s="9" t="n">
        <x:f>C411*SUM('스킬 500종'!E411:H411)</x:f>
        <x:v>0</x:v>
      </x:c>
      <x:c r="F411" s="9" t="n">
        <x:f>C411*1.4*SUM('스킬 500종'!I411:J411)</x:f>
        <x:v>0.35</x:v>
      </x:c>
      <x:c r="G411" s="9" t="n">
        <x:f>SUM(D411:F411)</x:f>
        <x:v>1.24088</x:v>
      </x:c>
      <x:c r="H411" s="9" t="n">
        <x:f>1.1+0.8*'스킬 500종'!W411</x:f>
        <x:v>1.9000000000000001</x:v>
      </x:c>
      <x:c r="I411" s="10" t="n">
        <x:f>G411/H411</x:f>
        <x:v>0.6530947368421052</x:v>
      </x:c>
      <x:c r="J411" s="1" t="str">
        <x:f>IF(OR('스킬 500종'!I411&lt;0,'스킬 500종'!J411&lt;0,AND('스킬 500종'!I411&gt;0,'스킬 500종'!J411&gt;0),AND(OR('스킬 500종'!K411="HEAL",'스킬 500종'!N411="HEAL",'스킬 500종'!Q411="HEAL",'스킬 500종'!T411="HEAL"),'스킬 500종'!I411=0,'스킬 500종'!J411=0),AND('스킬 500종'!I411&gt;0,OR('스킬 500종'!K411="CONTINUOUS_HEAL",'스킬 500종'!N411="CONTINUOUS_HEAL",'스킬 500종'!Q411="CONTINUOUS_HEAL",'스킬 500종'!T411="CONTINUOUS_HEAL"))),"회복 기준 오류",IF(AND(G411&lt;=H411+0.00001,'스킬 500종'!W411&gt;=1,'스킬 500종'!W411&lt;=5),"정상","초과"))</x:f>
        <x:v>정상</x:v>
      </x:c>
    </x:row>
    <x:row r="412" ht="30" customHeight="1">
      <x:c r="A412" s="1" t="str">
        <x:f>'스킬 500종'!A412</x:f>
        <x:v>SKILL_0406</x:v>
      </x:c>
      <x:c r="B412" s="1" t="str">
        <x:f>'스킬 500종'!B412</x:f>
        <x:v>공격력 증가(대) · 보호막의 의식</x:v>
      </x:c>
      <x:c r="C412" s="1" t="n">
        <x:f>1</x:f>
        <x:v>1</x:v>
      </x:c>
      <x:c r="D412" s="9" t="n">
        <x:f>C412*1.08*('효과 규칙 55종'!H8*'스킬 500종'!L412*'스킬 500종'!M412/'효과 규칙 55종'!D8+'효과 규칙 55종'!H37*'스킬 500종'!O412*'스킬 500종'!P412/'효과 규칙 55종'!D37)</x:f>
        <x:v>1.4580000000000002</x:v>
      </x:c>
      <x:c r="E412" s="9" t="n">
        <x:f>C412*SUM('스킬 500종'!E412:H412)</x:f>
        <x:v>0</x:v>
      </x:c>
      <x:c r="F412" s="9" t="n">
        <x:f>C412*1.4*SUM('스킬 500종'!I412:J412)</x:f>
        <x:v>0</x:v>
      </x:c>
      <x:c r="G412" s="9" t="n">
        <x:f>SUM(D412:F412)</x:f>
        <x:v>1.4580000000000002</x:v>
      </x:c>
      <x:c r="H412" s="9" t="n">
        <x:f>1.1+0.8*'스킬 500종'!W412</x:f>
        <x:v>1.9000000000000001</x:v>
      </x:c>
      <x:c r="I412" s="10" t="n">
        <x:f>G412/H412</x:f>
        <x:v>0.7673684210526316</x:v>
      </x:c>
      <x:c r="J412" s="1" t="str">
        <x:f>IF(OR('스킬 500종'!I412&lt;0,'스킬 500종'!J412&lt;0,AND('스킬 500종'!I412&gt;0,'스킬 500종'!J412&gt;0),AND(OR('스킬 500종'!K412="HEAL",'스킬 500종'!N412="HEAL",'스킬 500종'!Q412="HEAL",'스킬 500종'!T412="HEAL"),'스킬 500종'!I412=0,'스킬 500종'!J412=0),AND('스킬 500종'!I412&gt;0,OR('스킬 500종'!K412="CONTINUOUS_HEAL",'스킬 500종'!N412="CONTINUOUS_HEAL",'스킬 500종'!Q412="CONTINUOUS_HEAL",'스킬 500종'!T412="CONTINUOUS_HEAL"))),"회복 기준 오류",IF(AND(G412&lt;=H412+0.00001,'스킬 500종'!W412&gt;=1,'스킬 500종'!W412&lt;=5),"정상","초과"))</x:f>
        <x:v>정상</x:v>
      </x:c>
    </x:row>
    <x:row r="413" ht="30" customHeight="1">
      <x:c r="A413" s="1" t="str">
        <x:f>'스킬 500종'!A413</x:f>
        <x:v>SKILL_0407</x:v>
      </x:c>
      <x:c r="B413" s="1" t="str">
        <x:f>'스킬 500종'!B413</x:f>
        <x:v>면역 · 약화효과 해제 · 효과저항 증가 · 치명피해 증가의 의식</x:v>
      </x:c>
      <x:c r="C413" s="1" t="n">
        <x:f>2.4</x:f>
        <x:v>2.4</x:v>
      </x:c>
      <x:c r="D413" s="9" t="n">
        <x:f>C413*1.24*('효과 규칙 55종'!H40*'스킬 500종'!L413*'스킬 500종'!M413/'효과 규칙 55종'!D40+'효과 규칙 55종'!H57*'스킬 500종'!O413*'스킬 500종'!P413/'효과 규칙 55종'!D57+'효과 규칙 55종'!H14*'스킬 500종'!R413*'스킬 500종'!S413/'효과 규칙 55종'!D14+'효과 규칙 55종'!H12*'스킬 500종'!U413*'스킬 500종'!V413/'효과 규칙 55종'!D12)</x:f>
        <x:v>4.725530879999999</x:v>
      </x:c>
      <x:c r="E413" s="9" t="n">
        <x:f>C413*SUM('스킬 500종'!E413:H413)</x:f>
        <x:v>0</x:v>
      </x:c>
      <x:c r="F413" s="9" t="n">
        <x:f>C413*1.4*SUM('스킬 500종'!I413:J413)</x:f>
        <x:v>0</x:v>
      </x:c>
      <x:c r="G413" s="9" t="n">
        <x:f>SUM(D413:F413)</x:f>
        <x:v>4.725530879999999</x:v>
      </x:c>
      <x:c r="H413" s="9" t="n">
        <x:f>1.1+0.8*'스킬 500종'!W413</x:f>
        <x:v>5.1</x:v>
      </x:c>
      <x:c r="I413" s="10" t="n">
        <x:f>G413/H413</x:f>
        <x:v>0.926574682352941</x:v>
      </x:c>
      <x:c r="J413" s="1" t="str">
        <x:f>IF(OR('스킬 500종'!I413&lt;0,'스킬 500종'!J413&lt;0,AND('스킬 500종'!I413&gt;0,'스킬 500종'!J413&gt;0),AND(OR('스킬 500종'!K413="HEAL",'스킬 500종'!N413="HEAL",'스킬 500종'!Q413="HEAL",'스킬 500종'!T413="HEAL"),'스킬 500종'!I413=0,'스킬 500종'!J413=0),AND('스킬 500종'!I413&gt;0,OR('스킬 500종'!K413="CONTINUOUS_HEAL",'스킬 500종'!N413="CONTINUOUS_HEAL",'스킬 500종'!Q413="CONTINUOUS_HEAL",'스킬 500종'!T413="CONTINUOUS_HEAL"))),"회복 기준 오류",IF(AND(G413&lt;=H413+0.00001,'스킬 500종'!W413&gt;=1,'스킬 500종'!W413&lt;=5),"정상","초과"))</x:f>
        <x:v>정상</x:v>
      </x:c>
    </x:row>
    <x:row r="414" ht="30" customHeight="1">
      <x:c r="A414" s="1" t="str">
        <x:f>'스킬 500종'!A414</x:f>
        <x:v>SKILL_0408</x:v>
      </x:c>
      <x:c r="B414" s="1" t="str">
        <x:f>'스킬 500종'!B414</x:f>
        <x:v>효과저항 증가 · 불사 · 피해 반사의 의식</x:v>
      </x:c>
      <x:c r="C414" s="1" t="n">
        <x:f>1.6</x:f>
        <x:v>1.6</x:v>
      </x:c>
      <x:c r="D414" s="9" t="n">
        <x:f>C414*1.16*('효과 규칙 55종'!H14*'스킬 500종'!L414*'스킬 500종'!M414/'효과 규칙 55종'!D14+'효과 규칙 55종'!H39*'스킬 500종'!O414*'스킬 500종'!P414/'효과 규칙 55종'!D39+'효과 규칙 55종'!H44*'스킬 500종'!R414*'스킬 500종'!S414/'효과 규칙 55종'!D44)</x:f>
        <x:v>4.068352</x:v>
      </x:c>
      <x:c r="E414" s="9" t="n">
        <x:f>C414*SUM('스킬 500종'!E414:H414)</x:f>
        <x:v>0</x:v>
      </x:c>
      <x:c r="F414" s="9" t="n">
        <x:f>C414*1.4*SUM('스킬 500종'!I414:J414)</x:f>
        <x:v>0</x:v>
      </x:c>
      <x:c r="G414" s="9" t="n">
        <x:f>SUM(D414:F414)</x:f>
        <x:v>4.068352</x:v>
      </x:c>
      <x:c r="H414" s="9" t="n">
        <x:f>1.1+0.8*'스킬 500종'!W414</x:f>
        <x:v>4.300000000000001</x:v>
      </x:c>
      <x:c r="I414" s="10" t="n">
        <x:f>G414/H414</x:f>
        <x:v>0.9461283720930231</x:v>
      </x:c>
      <x:c r="J414" s="1" t="str">
        <x:f>IF(OR('스킬 500종'!I414&lt;0,'스킬 500종'!J414&lt;0,AND('스킬 500종'!I414&gt;0,'스킬 500종'!J414&gt;0),AND(OR('스킬 500종'!K414="HEAL",'스킬 500종'!N414="HEAL",'스킬 500종'!Q414="HEAL",'스킬 500종'!T414="HEAL"),'스킬 500종'!I414=0,'스킬 500종'!J414=0),AND('스킬 500종'!I414&gt;0,OR('스킬 500종'!K414="CONTINUOUS_HEAL",'스킬 500종'!N414="CONTINUOUS_HEAL",'스킬 500종'!Q414="CONTINUOUS_HEAL",'스킬 500종'!T414="CONTINUOUS_HEAL"))),"회복 기준 오류",IF(AND(G414&lt;=H414+0.00001,'스킬 500종'!W414&gt;=1,'스킬 500종'!W414&lt;=5),"정상","초과"))</x:f>
        <x:v>정상</x:v>
      </x:c>
    </x:row>
    <x:row r="415" ht="30" customHeight="1">
      <x:c r="A415" s="1" t="str">
        <x:f>'스킬 500종'!A415</x:f>
        <x:v>SKILL_0409</x:v>
      </x:c>
      <x:c r="B415" s="1" t="str">
        <x:f>'스킬 500종'!B415</x:f>
        <x:v>회피 증가 · 부활 · 치명확률 증가의 의식</x:v>
      </x:c>
      <x:c r="C415" s="1" t="n">
        <x:f>1</x:f>
        <x:v>1</x:v>
      </x:c>
      <x:c r="D415" s="9" t="n">
        <x:f>C415*1.16*('효과 규칙 55종'!H15*'스킬 500종'!L415*'스킬 500종'!M415/'효과 규칙 55종'!D15+'효과 규칙 55종'!H45*'스킬 500종'!O415*'스킬 500종'!P415/'효과 규칙 55종'!D45+'효과 규칙 55종'!H11*'스킬 500종'!R415*'스킬 500종'!S415/'효과 규칙 55종'!D11)</x:f>
        <x:v>5.045999999999999</x:v>
      </x:c>
      <x:c r="E415" s="9" t="n">
        <x:f>C415*SUM('스킬 500종'!E415:H415)</x:f>
        <x:v>0</x:v>
      </x:c>
      <x:c r="F415" s="9" t="n">
        <x:f>C415*1.4*SUM('스킬 500종'!I415:J415)</x:f>
        <x:v>0</x:v>
      </x:c>
      <x:c r="G415" s="9" t="n">
        <x:f>SUM(D415:F415)</x:f>
        <x:v>5.045999999999999</x:v>
      </x:c>
      <x:c r="H415" s="9" t="n">
        <x:f>1.1+0.8*'스킬 500종'!W415</x:f>
        <x:v>5.1</x:v>
      </x:c>
      <x:c r="I415" s="10" t="n">
        <x:f>G415/H415</x:f>
        <x:v>0.9894117647058823</x:v>
      </x:c>
      <x:c r="J415" s="1" t="str">
        <x:f>IF(OR('스킬 500종'!I415&lt;0,'스킬 500종'!J415&lt;0,AND('스킬 500종'!I415&gt;0,'스킬 500종'!J415&gt;0),AND(OR('스킬 500종'!K415="HEAL",'스킬 500종'!N415="HEAL",'스킬 500종'!Q415="HEAL",'스킬 500종'!T415="HEAL"),'스킬 500종'!I415=0,'스킬 500종'!J415=0),AND('스킬 500종'!I415&gt;0,OR('스킬 500종'!K415="CONTINUOUS_HEAL",'스킬 500종'!N415="CONTINUOUS_HEAL",'스킬 500종'!Q415="CONTINUOUS_HEAL",'스킬 500종'!T415="CONTINUOUS_HEAL"))),"회복 기준 오류",IF(AND(G415&lt;=H415+0.00001,'스킬 500종'!W415&gt;=1,'스킬 500종'!W415&lt;=5),"정상","초과"))</x:f>
        <x:v>정상</x:v>
      </x:c>
    </x:row>
    <x:row r="416" ht="30" customHeight="1">
      <x:c r="A416" s="1" t="str">
        <x:f>'스킬 500종'!A416</x:f>
        <x:v>SKILL_0410</x:v>
      </x:c>
      <x:c r="B416" s="1" t="str">
        <x:f>'스킬 500종'!B416</x:f>
        <x:v>피해 반사 · 피해 분담의 의식</x:v>
      </x:c>
      <x:c r="C416" s="1" t="n">
        <x:f>1</x:f>
        <x:v>1</x:v>
      </x:c>
      <x:c r="D416" s="9" t="n">
        <x:f>C416*1.08*('효과 규칙 55종'!H44*'스킬 500종'!L416*'스킬 500종'!M416/'효과 규칙 55종'!D44+'효과 규칙 55종'!H43*'스킬 500종'!O416*'스킬 500종'!P416/'효과 규칙 55종'!D43)</x:f>
        <x:v>1.3608000000000002</x:v>
      </x:c>
      <x:c r="E416" s="9" t="n">
        <x:f>C416*SUM('스킬 500종'!E416:H416)</x:f>
        <x:v>0</x:v>
      </x:c>
      <x:c r="F416" s="9" t="n">
        <x:f>C416*1.4*SUM('스킬 500종'!I416:J416)</x:f>
        <x:v>0</x:v>
      </x:c>
      <x:c r="G416" s="9" t="n">
        <x:f>SUM(D416:F416)</x:f>
        <x:v>1.3608000000000002</x:v>
      </x:c>
      <x:c r="H416" s="9" t="n">
        <x:f>1.1+0.8*'스킬 500종'!W416</x:f>
        <x:v>1.9000000000000001</x:v>
      </x:c>
      <x:c r="I416" s="10" t="n">
        <x:f>G416/H416</x:f>
        <x:v>0.7162105263157895</x:v>
      </x:c>
      <x:c r="J416" s="1" t="str">
        <x:f>IF(OR('스킬 500종'!I416&lt;0,'스킬 500종'!J416&lt;0,AND('스킬 500종'!I416&gt;0,'스킬 500종'!J416&gt;0),AND(OR('스킬 500종'!K416="HEAL",'스킬 500종'!N416="HEAL",'스킬 500종'!Q416="HEAL",'스킬 500종'!T416="HEAL"),'스킬 500종'!I416=0,'스킬 500종'!J416=0),AND('스킬 500종'!I416&gt;0,OR('스킬 500종'!K416="CONTINUOUS_HEAL",'스킬 500종'!N416="CONTINUOUS_HEAL",'스킬 500종'!Q416="CONTINUOUS_HEAL",'스킬 500종'!T416="CONTINUOUS_HEAL"))),"회복 기준 오류",IF(AND(G416&lt;=H416+0.00001,'스킬 500종'!W416&gt;=1,'스킬 500종'!W416&lt;=5),"정상","초과"))</x:f>
        <x:v>정상</x:v>
      </x:c>
    </x:row>
    <x:row r="417" ht="30" customHeight="1">
      <x:c r="A417" s="1" t="str">
        <x:f>'스킬 500종'!A417</x:f>
        <x:v>SKILL_0411</x:v>
      </x:c>
      <x:c r="B417" s="1" t="str">
        <x:f>'스킬 500종'!B417</x:f>
        <x:v>치명저항 증가 · 면역 · 치명확률 증가의 의식</x:v>
      </x:c>
      <x:c r="C417" s="1" t="n">
        <x:f>2.4</x:f>
        <x:v>2.4</x:v>
      </x:c>
      <x:c r="D417" s="9" t="n">
        <x:f>C417*1.16*('효과 규칙 55종'!H16*'스킬 500종'!L417*'스킬 500종'!M417/'효과 규칙 55종'!D16+'효과 규칙 55종'!H40*'스킬 500종'!O417*'스킬 500종'!P417/'효과 규칙 55종'!D40+'효과 규칙 55종'!H11*'스킬 500종'!R417*'스킬 500종'!S417/'효과 규칙 55종'!D11)</x:f>
        <x:v>4.075776</x:v>
      </x:c>
      <x:c r="E417" s="9" t="n">
        <x:f>C417*SUM('스킬 500종'!E417:H417)</x:f>
        <x:v>0</x:v>
      </x:c>
      <x:c r="F417" s="9" t="n">
        <x:f>C417*1.4*SUM('스킬 500종'!I417:J417)</x:f>
        <x:v>0</x:v>
      </x:c>
      <x:c r="G417" s="9" t="n">
        <x:f>SUM(D417:F417)</x:f>
        <x:v>4.075776</x:v>
      </x:c>
      <x:c r="H417" s="9" t="n">
        <x:f>1.1+0.8*'스킬 500종'!W417</x:f>
        <x:v>4.300000000000001</x:v>
      </x:c>
      <x:c r="I417" s="10" t="n">
        <x:f>G417/H417</x:f>
        <x:v>0.9478548837209302</x:v>
      </x:c>
      <x:c r="J417" s="1" t="str">
        <x:f>IF(OR('스킬 500종'!I417&lt;0,'스킬 500종'!J417&lt;0,AND('스킬 500종'!I417&gt;0,'스킬 500종'!J417&gt;0),AND(OR('스킬 500종'!K417="HEAL",'스킬 500종'!N417="HEAL",'스킬 500종'!Q417="HEAL",'스킬 500종'!T417="HEAL"),'스킬 500종'!I417=0,'스킬 500종'!J417=0),AND('스킬 500종'!I417&gt;0,OR('스킬 500종'!K417="CONTINUOUS_HEAL",'스킬 500종'!N417="CONTINUOUS_HEAL",'스킬 500종'!Q417="CONTINUOUS_HEAL",'스킬 500종'!T417="CONTINUOUS_HEAL"))),"회복 기준 오류",IF(AND(G417&lt;=H417+0.00001,'스킬 500종'!W417&gt;=1,'스킬 500종'!W417&lt;=5),"정상","초과"))</x:f>
        <x:v>정상</x:v>
      </x:c>
    </x:row>
    <x:row r="418" ht="30" customHeight="1">
      <x:c r="A418" s="1" t="str">
        <x:f>'스킬 500종'!A418</x:f>
        <x:v>SKILL_0412</x:v>
      </x:c>
      <x:c r="B418" s="1" t="str">
        <x:f>'스킬 500종'!B418</x:f>
        <x:v>은신 · 효과적중 증가 · 피해 감소 · 보호막의 의식</x:v>
      </x:c>
      <x:c r="C418" s="1" t="n">
        <x:f>1.6</x:f>
        <x:v>1.6</x:v>
      </x:c>
      <x:c r="D418" s="9" t="n">
        <x:f>C418*1.24*('효과 규칙 55종'!H41*'스킬 500종'!L418*'스킬 500종'!M418/'효과 규칙 55종'!D41+'효과 규칙 55종'!H13*'스킬 500종'!O418*'스킬 500종'!P418/'효과 규칙 55종'!D13+'효과 규칙 55종'!H42*'스킬 500종'!R418*'스킬 500종'!S418/'효과 규칙 55종'!D42+'효과 규칙 55종'!H37*'스킬 500종'!U418*'스킬 500종'!V418/'효과 규칙 55종'!D37)</x:f>
        <x:v>2.6494600533333332</x:v>
      </x:c>
      <x:c r="E418" s="9" t="n">
        <x:f>C418*SUM('스킬 500종'!E418:H418)</x:f>
        <x:v>0</x:v>
      </x:c>
      <x:c r="F418" s="9" t="n">
        <x:f>C418*1.4*SUM('스킬 500종'!I418:J418)</x:f>
        <x:v>0</x:v>
      </x:c>
      <x:c r="G418" s="9" t="n">
        <x:f>SUM(D418:F418)</x:f>
        <x:v>2.6494600533333332</x:v>
      </x:c>
      <x:c r="H418" s="9" t="n">
        <x:f>1.1+0.8*'스킬 500종'!W418</x:f>
        <x:v>2.7</x:v>
      </x:c>
      <x:c r="I418" s="10" t="n">
        <x:f>G418/H418</x:f>
        <x:v>0.9812815012345678</x:v>
      </x:c>
      <x:c r="J418" s="1" t="str">
        <x:f>IF(OR('스킬 500종'!I418&lt;0,'스킬 500종'!J418&lt;0,AND('스킬 500종'!I418&gt;0,'스킬 500종'!J418&gt;0),AND(OR('스킬 500종'!K418="HEAL",'스킬 500종'!N418="HEAL",'스킬 500종'!Q418="HEAL",'스킬 500종'!T418="HEAL"),'스킬 500종'!I418=0,'스킬 500종'!J418=0),AND('스킬 500종'!I418&gt;0,OR('스킬 500종'!K418="CONTINUOUS_HEAL",'스킬 500종'!N418="CONTINUOUS_HEAL",'스킬 500종'!Q418="CONTINUOUS_HEAL",'스킬 500종'!T418="CONTINUOUS_HEAL"))),"회복 기준 오류",IF(AND(G418&lt;=H418+0.00001,'스킬 500종'!W418&gt;=1,'스킬 500종'!W418&lt;=5),"정상","초과"))</x:f>
        <x:v>정상</x:v>
      </x:c>
    </x:row>
    <x:row r="419" ht="30" customHeight="1">
      <x:c r="A419" s="1" t="str">
        <x:f>'스킬 500종'!A419</x:f>
        <x:v>SKILL_0413</x:v>
      </x:c>
      <x:c r="B419" s="1" t="str">
        <x:f>'스킬 500종'!B419</x:f>
        <x:v>은신 · 피해 반사의 의식</x:v>
      </x:c>
      <x:c r="C419" s="1" t="n">
        <x:f>1</x:f>
        <x:v>1</x:v>
      </x:c>
      <x:c r="D419" s="9" t="n">
        <x:f>C419*1.08*('효과 규칙 55종'!H41*'스킬 500종'!L419*'스킬 500종'!M419/'효과 규칙 55종'!D41+'효과 규칙 55종'!H44*'스킬 500종'!O419*'스킬 500종'!P419/'효과 규칙 55종'!D44)</x:f>
        <x:v>1.3608</x:v>
      </x:c>
      <x:c r="E419" s="9" t="n">
        <x:f>C419*SUM('스킬 500종'!E419:H419)</x:f>
        <x:v>0</x:v>
      </x:c>
      <x:c r="F419" s="9" t="n">
        <x:f>C419*1.4*SUM('스킬 500종'!I419:J419)</x:f>
        <x:v>0</x:v>
      </x:c>
      <x:c r="G419" s="9" t="n">
        <x:f>SUM(D419:F419)</x:f>
        <x:v>1.3608</x:v>
      </x:c>
      <x:c r="H419" s="9" t="n">
        <x:f>1.1+0.8*'스킬 500종'!W419</x:f>
        <x:v>1.9000000000000001</x:v>
      </x:c>
      <x:c r="I419" s="10" t="n">
        <x:f>G419/H419</x:f>
        <x:v>0.7162105263157894</x:v>
      </x:c>
      <x:c r="J419" s="1" t="str">
        <x:f>IF(OR('스킬 500종'!I419&lt;0,'스킬 500종'!J419&lt;0,AND('스킬 500종'!I419&gt;0,'스킬 500종'!J419&gt;0),AND(OR('스킬 500종'!K419="HEAL",'스킬 500종'!N419="HEAL",'스킬 500종'!Q419="HEAL",'스킬 500종'!T419="HEAL"),'스킬 500종'!I419=0,'스킬 500종'!J419=0),AND('스킬 500종'!I419&gt;0,OR('스킬 500종'!K419="CONTINUOUS_HEAL",'스킬 500종'!N419="CONTINUOUS_HEAL",'스킬 500종'!Q419="CONTINUOUS_HEAL",'스킬 500종'!T419="CONTINUOUS_HEAL"))),"회복 기준 오류",IF(AND(G419&lt;=H419+0.00001,'스킬 500종'!W419&gt;=1,'스킬 500종'!W419&lt;=5),"정상","초과"))</x:f>
        <x:v>정상</x:v>
      </x:c>
    </x:row>
    <x:row r="420" ht="30" customHeight="1">
      <x:c r="A420" s="1" t="str">
        <x:f>'스킬 500종'!A420</x:f>
        <x:v>SKILL_0414</x:v>
      </x:c>
      <x:c r="B420" s="1" t="str">
        <x:f>'스킬 500종'!B420</x:f>
        <x:v>보호막 · 면역 · 효과저항 증가의 의식</x:v>
      </x:c>
      <x:c r="C420" s="1" t="n">
        <x:f>1</x:f>
        <x:v>1</x:v>
      </x:c>
      <x:c r="D420" s="9" t="n">
        <x:f>C420*1.16*('효과 규칙 55종'!H37*'스킬 500종'!L420*'스킬 500종'!M420/'효과 규칙 55종'!D37+'효과 규칙 55종'!H40*'스킬 500종'!O420*'스킬 500종'!P420/'효과 규칙 55종'!D40+'효과 규칙 55종'!H14*'스킬 500종'!R420*'스킬 500종'!S420/'효과 규칙 55종'!D14)</x:f>
        <x:v>1.624</x:v>
      </x:c>
      <x:c r="E420" s="9" t="n">
        <x:f>C420*SUM('스킬 500종'!E420:H420)</x:f>
        <x:v>0</x:v>
      </x:c>
      <x:c r="F420" s="9" t="n">
        <x:f>C420*1.4*SUM('스킬 500종'!I420:J420)</x:f>
        <x:v>0</x:v>
      </x:c>
      <x:c r="G420" s="9" t="n">
        <x:f>SUM(D420:F420)</x:f>
        <x:v>1.624</x:v>
      </x:c>
      <x:c r="H420" s="9" t="n">
        <x:f>1.1+0.8*'스킬 500종'!W420</x:f>
        <x:v>1.9000000000000001</x:v>
      </x:c>
      <x:c r="I420" s="10" t="n">
        <x:f>G420/H420</x:f>
        <x:v>0.8547368421052631</x:v>
      </x:c>
      <x:c r="J420" s="1" t="str">
        <x:f>IF(OR('스킬 500종'!I420&lt;0,'스킬 500종'!J420&lt;0,AND('스킬 500종'!I420&gt;0,'스킬 500종'!J420&gt;0),AND(OR('스킬 500종'!K420="HEAL",'스킬 500종'!N420="HEAL",'스킬 500종'!Q420="HEAL",'스킬 500종'!T420="HEAL"),'스킬 500종'!I420=0,'스킬 500종'!J420=0),AND('스킬 500종'!I420&gt;0,OR('스킬 500종'!K420="CONTINUOUS_HEAL",'스킬 500종'!N420="CONTINUOUS_HEAL",'스킬 500종'!Q420="CONTINUOUS_HEAL",'스킬 500종'!T420="CONTINUOUS_HEAL"))),"회복 기준 오류",IF(AND(G420&lt;=H420+0.00001,'스킬 500종'!W420&gt;=1,'스킬 500종'!W420&lt;=5),"정상","초과"))</x:f>
        <x:v>정상</x:v>
      </x:c>
    </x:row>
    <x:row r="421" ht="30" customHeight="1">
      <x:c r="A421" s="1" t="str">
        <x:f>'스킬 500종'!A421</x:f>
        <x:v>SKILL_0415</x:v>
      </x:c>
      <x:c r="B421" s="1" t="str">
        <x:f>'스킬 500종'!B421</x:f>
        <x:v>효과저항 증가 · 무적 · 면역 · 피해 감소의 의식</x:v>
      </x:c>
      <x:c r="C421" s="1" t="n">
        <x:f>2.4</x:f>
        <x:v>2.4</x:v>
      </x:c>
      <x:c r="D421" s="9" t="n">
        <x:f>C421*1.24*('효과 규칙 55종'!H14*'스킬 500종'!L421*'스킬 500종'!M421/'효과 규칙 55종'!D14+'효과 규칙 55종'!H38*'스킬 500종'!O421*'스킬 500종'!P421/'효과 규칙 55종'!D38+'효과 규칙 55종'!H40*'스킬 500종'!R421*'스킬 500종'!S421/'효과 규칙 55종'!D40+'효과 규칙 55종'!H42*'스킬 500종'!U421*'스킬 500종'!V421/'효과 규칙 55종'!D42)</x:f>
        <x:v>4.64065536</x:v>
      </x:c>
      <x:c r="E421" s="9" t="n">
        <x:f>C421*SUM('스킬 500종'!E421:H421)</x:f>
        <x:v>0</x:v>
      </x:c>
      <x:c r="F421" s="9" t="n">
        <x:f>C421*1.4*SUM('스킬 500종'!I421:J421)</x:f>
        <x:v>0</x:v>
      </x:c>
      <x:c r="G421" s="9" t="n">
        <x:f>SUM(D421:F421)</x:f>
        <x:v>4.64065536</x:v>
      </x:c>
      <x:c r="H421" s="9" t="n">
        <x:f>1.1+0.8*'스킬 500종'!W421</x:f>
        <x:v>5.1</x:v>
      </x:c>
      <x:c r="I421" s="10" t="n">
        <x:f>G421/H421</x:f>
        <x:v>0.9099324235294118</x:v>
      </x:c>
      <x:c r="J421" s="1" t="str">
        <x:f>IF(OR('스킬 500종'!I421&lt;0,'스킬 500종'!J421&lt;0,AND('스킬 500종'!I421&gt;0,'스킬 500종'!J421&gt;0),AND(OR('스킬 500종'!K421="HEAL",'스킬 500종'!N421="HEAL",'스킬 500종'!Q421="HEAL",'스킬 500종'!T421="HEAL"),'스킬 500종'!I421=0,'스킬 500종'!J421=0),AND('스킬 500종'!I421&gt;0,OR('스킬 500종'!K421="CONTINUOUS_HEAL",'스킬 500종'!N421="CONTINUOUS_HEAL",'스킬 500종'!Q421="CONTINUOUS_HEAL",'스킬 500종'!T421="CONTINUOUS_HEAL"))),"회복 기준 오류",IF(AND(G421&lt;=H421+0.00001,'스킬 500종'!W421&gt;=1,'스킬 500종'!W421&lt;=5),"정상","초과"))</x:f>
        <x:v>정상</x:v>
      </x:c>
    </x:row>
    <x:row r="422" ht="30" customHeight="1">
      <x:c r="A422" s="1" t="str">
        <x:f>'스킬 500종'!A422</x:f>
        <x:v>SKILL_0416</x:v>
      </x:c>
      <x:c r="B422" s="1" t="str">
        <x:f>'스킬 500종'!B422</x:f>
        <x:v>추가 턴 · 강화효과 지속시간 증가 · 치명피해 증가 · 스킬 쿨타임 감소의 의식</x:v>
      </x:c>
      <x:c r="C422" s="1" t="n">
        <x:f>1</x:f>
        <x:v>1</x:v>
      </x:c>
      <x:c r="D422" s="9" t="n">
        <x:f>C422*1.24*('효과 규칙 55종'!H49*'스킬 500종'!L422*'스킬 500종'!M422/'효과 규칙 55종'!D49+'효과 규칙 55종'!H58*'스킬 500종'!O422*'스킬 500종'!P422/'효과 규칙 55종'!D58+'효과 규칙 55종'!H12*'스킬 500종'!R422*'스킬 500종'!S422/'효과 규칙 55종'!D12+'효과 규칙 55종'!H52*'스킬 500종'!U422*'스킬 500종'!V422/'효과 규칙 55종'!D52)</x:f>
        <x:v>4.9724</x:v>
      </x:c>
      <x:c r="E422" s="9" t="n">
        <x:f>C422*SUM('스킬 500종'!E422:H422)</x:f>
        <x:v>0</x:v>
      </x:c>
      <x:c r="F422" s="9" t="n">
        <x:f>C422*1.4*SUM('스킬 500종'!I422:J422)</x:f>
        <x:v>0</x:v>
      </x:c>
      <x:c r="G422" s="9" t="n">
        <x:f>SUM(D422:F422)</x:f>
        <x:v>4.9724</x:v>
      </x:c>
      <x:c r="H422" s="9" t="n">
        <x:f>1.1+0.8*'스킬 500종'!W422</x:f>
        <x:v>5.1</x:v>
      </x:c>
      <x:c r="I422" s="10" t="n">
        <x:f>G422/H422</x:f>
        <x:v>0.9749803921568629</x:v>
      </x:c>
      <x:c r="J422" s="1" t="str">
        <x:f>IF(OR('스킬 500종'!I422&lt;0,'스킬 500종'!J422&lt;0,AND('스킬 500종'!I422&gt;0,'스킬 500종'!J422&gt;0),AND(OR('스킬 500종'!K422="HEAL",'스킬 500종'!N422="HEAL",'스킬 500종'!Q422="HEAL",'스킬 500종'!T422="HEAL"),'스킬 500종'!I422=0,'스킬 500종'!J422=0),AND('스킬 500종'!I422&gt;0,OR('스킬 500종'!K422="CONTINUOUS_HEAL",'스킬 500종'!N422="CONTINUOUS_HEAL",'스킬 500종'!Q422="CONTINUOUS_HEAL",'스킬 500종'!T422="CONTINUOUS_HEAL"))),"회복 기준 오류",IF(AND(G422&lt;=H422+0.00001,'스킬 500종'!W422&gt;=1,'스킬 500종'!W422&lt;=5),"정상","초과"))</x:f>
        <x:v>정상</x:v>
      </x:c>
    </x:row>
    <x:row r="423" ht="30" customHeight="1">
      <x:c r="A423" s="1" t="str">
        <x:f>'스킬 500종'!A423</x:f>
        <x:v>SKILL_0417</x:v>
      </x:c>
      <x:c r="B423" s="1" t="str">
        <x:f>'스킬 500종'!B423</x:f>
        <x:v>은신 · 면역의 의식</x:v>
      </x:c>
      <x:c r="C423" s="1" t="n">
        <x:f>1</x:f>
        <x:v>1</x:v>
      </x:c>
      <x:c r="D423" s="9" t="n">
        <x:f>C423*1.08*('효과 규칙 55종'!H41*'스킬 500종'!L423*'스킬 500종'!M423/'효과 규칙 55종'!D41+'효과 규칙 55종'!H40*'스킬 500종'!O423*'스킬 500종'!P423/'효과 규칙 55종'!D40)</x:f>
        <x:v>1.7010000000000003</x:v>
      </x:c>
      <x:c r="E423" s="9" t="n">
        <x:f>C423*SUM('스킬 500종'!E423:H423)</x:f>
        <x:v>0</x:v>
      </x:c>
      <x:c r="F423" s="9" t="n">
        <x:f>C423*1.4*SUM('스킬 500종'!I423:J423)</x:f>
        <x:v>0</x:v>
      </x:c>
      <x:c r="G423" s="9" t="n">
        <x:f>SUM(D423:F423)</x:f>
        <x:v>1.7010000000000003</x:v>
      </x:c>
      <x:c r="H423" s="9" t="n">
        <x:f>1.1+0.8*'스킬 500종'!W423</x:f>
        <x:v>1.9000000000000001</x:v>
      </x:c>
      <x:c r="I423" s="10" t="n">
        <x:f>G423/H423</x:f>
        <x:v>0.895263157894737</x:v>
      </x:c>
      <x:c r="J423" s="1" t="str">
        <x:f>IF(OR('스킬 500종'!I423&lt;0,'스킬 500종'!J423&lt;0,AND('스킬 500종'!I423&gt;0,'스킬 500종'!J423&gt;0),AND(OR('스킬 500종'!K423="HEAL",'스킬 500종'!N423="HEAL",'스킬 500종'!Q423="HEAL",'스킬 500종'!T423="HEAL"),'스킬 500종'!I423=0,'스킬 500종'!J423=0),AND('스킬 500종'!I423&gt;0,OR('스킬 500종'!K423="CONTINUOUS_HEAL",'스킬 500종'!N423="CONTINUOUS_HEAL",'스킬 500종'!Q423="CONTINUOUS_HEAL",'스킬 500종'!T423="CONTINUOUS_HEAL"))),"회복 기준 오류",IF(AND(G423&lt;=H423+0.00001,'스킬 500종'!W423&gt;=1,'스킬 500종'!W423&lt;=5),"정상","초과"))</x:f>
        <x:v>정상</x:v>
      </x:c>
    </x:row>
    <x:row r="424" ht="30" customHeight="1">
      <x:c r="A424" s="1" t="str">
        <x:f>'스킬 500종'!A424</x:f>
        <x:v>SKILL_0418</x:v>
      </x:c>
      <x:c r="B424" s="1" t="str">
        <x:f>'스킬 500종'!B424</x:f>
        <x:v>스킬 쿨타임 감소 · 지속 회복 · 명중 증가 · 반격의 의식</x:v>
      </x:c>
      <x:c r="C424" s="1" t="n">
        <x:f>1</x:f>
        <x:v>1</x:v>
      </x:c>
      <x:c r="D424" s="9" t="n">
        <x:f>C424*1.24*('효과 규칙 55종'!H52*'스킬 500종'!L424*'스킬 500종'!M424/'효과 규칙 55종'!D52+'효과 규칙 55종'!H35*'스킬 500종'!O424*'스킬 500종'!P424/'효과 규칙 55종'!D35+'효과 규칙 55종'!H17*'스킬 500종'!R424*'스킬 500종'!S424/'효과 규칙 55종'!D17+'효과 규칙 55종'!H51*'스킬 500종'!U424*'스킬 500종'!V424/'효과 규칙 55종'!D51)</x:f>
        <x:v>2.1473699999999996</x:v>
      </x:c>
      <x:c r="E424" s="9" t="n">
        <x:f>C424*SUM('스킬 500종'!E424:H424)</x:f>
        <x:v>0</x:v>
      </x:c>
      <x:c r="F424" s="9" t="n">
        <x:f>C424*1.4*SUM('스킬 500종'!I424:J424)</x:f>
        <x:v>0</x:v>
      </x:c>
      <x:c r="G424" s="9" t="n">
        <x:f>SUM(D424:F424)</x:f>
        <x:v>2.1473699999999996</x:v>
      </x:c>
      <x:c r="H424" s="9" t="n">
        <x:f>1.1+0.8*'스킬 500종'!W424</x:f>
        <x:v>2.7</x:v>
      </x:c>
      <x:c r="I424" s="10" t="n">
        <x:f>G424/H424</x:f>
        <x:v>0.795322222222222</x:v>
      </x:c>
      <x:c r="J424" s="1" t="str">
        <x:f>IF(OR('스킬 500종'!I424&lt;0,'스킬 500종'!J424&lt;0,AND('스킬 500종'!I424&gt;0,'스킬 500종'!J424&gt;0),AND(OR('스킬 500종'!K424="HEAL",'스킬 500종'!N424="HEAL",'스킬 500종'!Q424="HEAL",'스킬 500종'!T424="HEAL"),'스킬 500종'!I424=0,'스킬 500종'!J424=0),AND('스킬 500종'!I424&gt;0,OR('스킬 500종'!K424="CONTINUOUS_HEAL",'스킬 500종'!N424="CONTINUOUS_HEAL",'스킬 500종'!Q424="CONTINUOUS_HEAL",'스킬 500종'!T424="CONTINUOUS_HEAL"))),"회복 기준 오류",IF(AND(G424&lt;=H424+0.00001,'스킬 500종'!W424&gt;=1,'스킬 500종'!W424&lt;=5),"정상","초과"))</x:f>
        <x:v>정상</x:v>
      </x:c>
    </x:row>
    <x:row r="425" ht="30" customHeight="1">
      <x:c r="A425" s="1" t="str">
        <x:f>'스킬 500종'!A425</x:f>
        <x:v>SKILL_0419</x:v>
      </x:c>
      <x:c r="B425" s="1" t="str">
        <x:f>'스킬 500종'!B425</x:f>
        <x:v>지속 회복 · 회피 증가 · 반격의 의식</x:v>
      </x:c>
      <x:c r="C425" s="1" t="n">
        <x:f>2.4</x:f>
        <x:v>2.4</x:v>
      </x:c>
      <x:c r="D425" s="9" t="n">
        <x:f>C425*1.16*('효과 규칙 55종'!H35*'스킬 500종'!L425*'스킬 500종'!M425/'효과 규칙 55종'!D35+'효과 규칙 55종'!H15*'스킬 500종'!O425*'스킬 500종'!P425/'효과 규칙 55종'!D15+'효과 규칙 55종'!H51*'스킬 500종'!R425*'스킬 500종'!S425/'효과 규칙 55종'!D51)</x:f>
        <x:v>3.830784</x:v>
      </x:c>
      <x:c r="E425" s="9" t="n">
        <x:f>C425*SUM('스킬 500종'!E425:H425)</x:f>
        <x:v>0</x:v>
      </x:c>
      <x:c r="F425" s="9" t="n">
        <x:f>C425*1.4*SUM('스킬 500종'!I425:J425)</x:f>
        <x:v>0</x:v>
      </x:c>
      <x:c r="G425" s="9" t="n">
        <x:f>SUM(D425:F425)</x:f>
        <x:v>3.830784</x:v>
      </x:c>
      <x:c r="H425" s="9" t="n">
        <x:f>1.1+0.8*'스킬 500종'!W425</x:f>
        <x:v>4.300000000000001</x:v>
      </x:c>
      <x:c r="I425" s="10" t="n">
        <x:f>G425/H425</x:f>
        <x:v>0.8908799999999999</x:v>
      </x:c>
      <x:c r="J425" s="1" t="str">
        <x:f>IF(OR('스킬 500종'!I425&lt;0,'스킬 500종'!J425&lt;0,AND('스킬 500종'!I425&gt;0,'스킬 500종'!J425&gt;0),AND(OR('스킬 500종'!K425="HEAL",'스킬 500종'!N425="HEAL",'스킬 500종'!Q425="HEAL",'스킬 500종'!T425="HEAL"),'스킬 500종'!I425=0,'스킬 500종'!J425=0),AND('스킬 500종'!I425&gt;0,OR('스킬 500종'!K425="CONTINUOUS_HEAL",'스킬 500종'!N425="CONTINUOUS_HEAL",'스킬 500종'!Q425="CONTINUOUS_HEAL",'스킬 500종'!T425="CONTINUOUS_HEAL"))),"회복 기준 오류",IF(AND(G425&lt;=H425+0.00001,'스킬 500종'!W425&gt;=1,'스킬 500종'!W425&lt;=5),"정상","초과"))</x:f>
        <x:v>정상</x:v>
      </x:c>
    </x:row>
    <x:row r="426" ht="30" customHeight="1">
      <x:c r="A426" s="1" t="str">
        <x:f>'스킬 500종'!A426</x:f>
        <x:v>SKILL_0420</x:v>
      </x:c>
      <x:c r="B426" s="1" t="str">
        <x:f>'스킬 500종'!B426</x:f>
        <x:v>면역 · 보호막 · 효과저항 증가 · 스킬 쿨타임 초기화의 의식</x:v>
      </x:c>
      <x:c r="C426" s="1" t="n">
        <x:f>1</x:f>
        <x:v>1</x:v>
      </x:c>
      <x:c r="D426" s="9" t="n">
        <x:f>C426*1.24*('효과 규칙 55종'!H40*'스킬 500종'!L426*'스킬 500종'!M426/'효과 규칙 55종'!D40+'효과 규칙 55종'!H37*'스킬 500종'!O426*'스킬 500종'!P426/'효과 규칙 55종'!D37+'효과 규칙 55종'!H14*'스킬 500종'!R426*'스킬 500종'!S426/'효과 규칙 55종'!D14+'효과 규칙 55종'!H53*'스킬 500종'!U426*'스킬 500종'!V426/'효과 규칙 55종'!D53)</x:f>
        <x:v>4.0819725333333325</x:v>
      </x:c>
      <x:c r="E426" s="9" t="n">
        <x:f>C426*SUM('스킬 500종'!E426:H426)</x:f>
        <x:v>0</x:v>
      </x:c>
      <x:c r="F426" s="9" t="n">
        <x:f>C426*1.4*SUM('스킬 500종'!I426:J426)</x:f>
        <x:v>0</x:v>
      </x:c>
      <x:c r="G426" s="9" t="n">
        <x:f>SUM(D426:F426)</x:f>
        <x:v>4.0819725333333325</x:v>
      </x:c>
      <x:c r="H426" s="9" t="n">
        <x:f>1.1+0.8*'스킬 500종'!W426</x:f>
        <x:v>5.1</x:v>
      </x:c>
      <x:c r="I426" s="10" t="n">
        <x:f>G426/H426</x:f>
        <x:v>0.80038677124183</x:v>
      </x:c>
      <x:c r="J426" s="1" t="str">
        <x:f>IF(OR('스킬 500종'!I426&lt;0,'스킬 500종'!J426&lt;0,AND('스킬 500종'!I426&gt;0,'스킬 500종'!J426&gt;0),AND(OR('스킬 500종'!K426="HEAL",'스킬 500종'!N426="HEAL",'스킬 500종'!Q426="HEAL",'스킬 500종'!T426="HEAL"),'스킬 500종'!I426=0,'스킬 500종'!J426=0),AND('스킬 500종'!I426&gt;0,OR('스킬 500종'!K426="CONTINUOUS_HEAL",'스킬 500종'!N426="CONTINUOUS_HEAL",'스킬 500종'!Q426="CONTINUOUS_HEAL",'스킬 500종'!T426="CONTINUOUS_HEAL"))),"회복 기준 오류",IF(AND(G426&lt;=H426+0.00001,'스킬 500종'!W426&gt;=1,'스킬 500종'!W426&lt;=5),"정상","초과"))</x:f>
        <x:v>정상</x:v>
      </x:c>
    </x:row>
    <x:row r="427" ht="30" customHeight="1">
      <x:c r="A427" s="1" t="str">
        <x:f>'스킬 500종'!A427</x:f>
        <x:v>SKILL_0421</x:v>
      </x:c>
      <x:c r="B427" s="1" t="str">
        <x:f>'스킬 500종'!B427</x:f>
        <x:v>무적 · 효과저항 증가 · 보호막의 의식</x:v>
      </x:c>
      <x:c r="C427" s="1" t="n">
        <x:f>1</x:f>
        <x:v>1</x:v>
      </x:c>
      <x:c r="D427" s="9" t="n">
        <x:f>C427*1.16*('효과 규칙 55종'!H38*'스킬 500종'!L427*'스킬 500종'!M427/'효과 규칙 55종'!D38+'효과 규칙 55종'!H14*'스킬 500종'!O427*'스킬 500종'!P427/'효과 규칙 55종'!D14+'효과 규칙 55종'!H37*'스킬 500종'!R427*'스킬 500종'!S427/'효과 규칙 55종'!D37)</x:f>
        <x:v>2.784</x:v>
      </x:c>
      <x:c r="E427" s="9" t="n">
        <x:f>C427*SUM('스킬 500종'!E427:H427)</x:f>
        <x:v>0</x:v>
      </x:c>
      <x:c r="F427" s="9" t="n">
        <x:f>C427*1.4*SUM('스킬 500종'!I427:J427)</x:f>
        <x:v>0</x:v>
      </x:c>
      <x:c r="G427" s="9" t="n">
        <x:f>SUM(D427:F427)</x:f>
        <x:v>2.784</x:v>
      </x:c>
      <x:c r="H427" s="9" t="n">
        <x:f>1.1+0.8*'스킬 500종'!W427</x:f>
        <x:v>3.5000000000000004</x:v>
      </x:c>
      <x:c r="I427" s="10" t="n">
        <x:f>G427/H427</x:f>
        <x:v>0.7954285714285713</x:v>
      </x:c>
      <x:c r="J427" s="1" t="str">
        <x:f>IF(OR('스킬 500종'!I427&lt;0,'스킬 500종'!J427&lt;0,AND('스킬 500종'!I427&gt;0,'스킬 500종'!J427&gt;0),AND(OR('스킬 500종'!K427="HEAL",'스킬 500종'!N427="HEAL",'스킬 500종'!Q427="HEAL",'스킬 500종'!T427="HEAL"),'스킬 500종'!I427=0,'스킬 500종'!J427=0),AND('스킬 500종'!I427&gt;0,OR('스킬 500종'!K427="CONTINUOUS_HEAL",'스킬 500종'!N427="CONTINUOUS_HEAL",'스킬 500종'!Q427="CONTINUOUS_HEAL",'스킬 500종'!T427="CONTINUOUS_HEAL"))),"회복 기준 오류",IF(AND(G427&lt;=H427+0.00001,'스킬 500종'!W427&gt;=1,'스킬 500종'!W427&lt;=5),"정상","초과"))</x:f>
        <x:v>정상</x:v>
      </x:c>
    </x:row>
    <x:row r="428" ht="30" customHeight="1">
      <x:c r="A428" s="1" t="str">
        <x:f>'스킬 500종'!A428</x:f>
        <x:v>SKILL_0422</x:v>
      </x:c>
      <x:c r="B428" s="1" t="str">
        <x:f>'스킬 500종'!B428</x:f>
        <x:v>추가 턴 · 불사 · 강화효과 지속시간 증가 · 방어력 증가의 의식</x:v>
      </x:c>
      <x:c r="C428" s="1" t="n">
        <x:f>1</x:f>
        <x:v>1</x:v>
      </x:c>
      <x:c r="D428" s="9" t="n">
        <x:f>C428*1.24*('효과 규칙 55종'!H49*'스킬 500종'!L428*'스킬 500종'!M428/'효과 규칙 55종'!D49+'효과 규칙 55종'!H39*'스킬 500종'!O428*'스킬 500종'!P428/'효과 규칙 55종'!D39+'효과 규칙 55종'!H58*'스킬 500종'!R428*'스킬 500종'!S428/'효과 규칙 55종'!D58+'효과 규칙 55종'!H9*'스킬 500종'!U428*'스킬 500종'!V428/'효과 규칙 55종'!D9)</x:f>
        <x:v>5.017040000000001</x:v>
      </x:c>
      <x:c r="E428" s="9" t="n">
        <x:f>C428*SUM('스킬 500종'!E428:H428)</x:f>
        <x:v>0</x:v>
      </x:c>
      <x:c r="F428" s="9" t="n">
        <x:f>C428*1.4*SUM('스킬 500종'!I428:J428)</x:f>
        <x:v>0</x:v>
      </x:c>
      <x:c r="G428" s="9" t="n">
        <x:f>SUM(D428:F428)</x:f>
        <x:v>5.017040000000001</x:v>
      </x:c>
      <x:c r="H428" s="9" t="n">
        <x:f>1.1+0.8*'스킬 500종'!W428</x:f>
        <x:v>5.1</x:v>
      </x:c>
      <x:c r="I428" s="10" t="n">
        <x:f>G428/H428</x:f>
        <x:v>0.9837333333333336</x:v>
      </x:c>
      <x:c r="J428" s="1" t="str">
        <x:f>IF(OR('스킬 500종'!I428&lt;0,'스킬 500종'!J428&lt;0,AND('스킬 500종'!I428&gt;0,'스킬 500종'!J428&gt;0),AND(OR('스킬 500종'!K428="HEAL",'스킬 500종'!N428="HEAL",'스킬 500종'!Q428="HEAL",'스킬 500종'!T428="HEAL"),'스킬 500종'!I428=0,'스킬 500종'!J428=0),AND('스킬 500종'!I428&gt;0,OR('스킬 500종'!K428="CONTINUOUS_HEAL",'스킬 500종'!N428="CONTINUOUS_HEAL",'스킬 500종'!Q428="CONTINUOUS_HEAL",'스킬 500종'!T428="CONTINUOUS_HEAL"))),"회복 기준 오류",IF(AND(G428&lt;=H428+0.00001,'스킬 500종'!W428&gt;=1,'스킬 500종'!W428&lt;=5),"정상","초과"))</x:f>
        <x:v>정상</x:v>
      </x:c>
    </x:row>
    <x:row r="429" ht="30" customHeight="1">
      <x:c r="A429" s="1" t="str">
        <x:f>'스킬 500종'!A429</x:f>
        <x:v>SKILL_0423</x:v>
      </x:c>
      <x:c r="B429" s="1" t="str">
        <x:f>'스킬 500종'!B429</x:f>
        <x:v>피해 분담 · 반격 · 스킬 쿨타임 초기화 · 피해 감소의 의식</x:v>
      </x:c>
      <x:c r="C429" s="1" t="n">
        <x:f>1</x:f>
        <x:v>1</x:v>
      </x:c>
      <x:c r="D429" s="9" t="n">
        <x:f>C429*1.24*('효과 규칙 55종'!H43*'스킬 500종'!L429*'스킬 500종'!M429/'효과 규칙 55종'!D43+'효과 규칙 55종'!H51*'스킬 500종'!O429*'스킬 500종'!P429/'효과 규칙 55종'!D51+'효과 규칙 55종'!H53*'스킬 500종'!R429*'스킬 500종'!S429/'효과 규칙 55종'!D53+'효과 규칙 55종'!H42*'스킬 500종'!U429*'스킬 500종'!V429/'효과 규칙 55종'!D42)</x:f>
        <x:v>4.0166699999999995</x:v>
      </x:c>
      <x:c r="E429" s="9" t="n">
        <x:f>C429*SUM('스킬 500종'!E429:H429)</x:f>
        <x:v>0</x:v>
      </x:c>
      <x:c r="F429" s="9" t="n">
        <x:f>C429*1.4*SUM('스킬 500종'!I429:J429)</x:f>
        <x:v>0</x:v>
      </x:c>
      <x:c r="G429" s="9" t="n">
        <x:f>SUM(D429:F429)</x:f>
        <x:v>4.0166699999999995</x:v>
      </x:c>
      <x:c r="H429" s="9" t="n">
        <x:f>1.1+0.8*'스킬 500종'!W429</x:f>
        <x:v>5.1</x:v>
      </x:c>
      <x:c r="I429" s="10" t="n">
        <x:f>G429/H429</x:f>
        <x:v>0.7875823529411764</x:v>
      </x:c>
      <x:c r="J429" s="1" t="str">
        <x:f>IF(OR('스킬 500종'!I429&lt;0,'스킬 500종'!J429&lt;0,AND('스킬 500종'!I429&gt;0,'스킬 500종'!J429&gt;0),AND(OR('스킬 500종'!K429="HEAL",'스킬 500종'!N429="HEAL",'스킬 500종'!Q429="HEAL",'스킬 500종'!T429="HEAL"),'스킬 500종'!I429=0,'스킬 500종'!J429=0),AND('스킬 500종'!I429&gt;0,OR('스킬 500종'!K429="CONTINUOUS_HEAL",'스킬 500종'!N429="CONTINUOUS_HEAL",'스킬 500종'!Q429="CONTINUOUS_HEAL",'스킬 500종'!T429="CONTINUOUS_HEAL"))),"회복 기준 오류",IF(AND(G429&lt;=H429+0.00001,'스킬 500종'!W429&gt;=1,'스킬 500종'!W429&lt;=5),"정상","초과"))</x:f>
        <x:v>정상</x:v>
      </x:c>
    </x:row>
    <x:row r="430" ht="30" customHeight="1">
      <x:c r="A430" s="1" t="str">
        <x:f>'스킬 500종'!A430</x:f>
        <x:v>SKILL_0424</x:v>
      </x:c>
      <x:c r="B430" s="1" t="str">
        <x:f>'스킬 500종'!B430</x:f>
        <x:v>속도 증가 · 부활 · 회피 증가의 의식</x:v>
      </x:c>
      <x:c r="C430" s="1" t="n">
        <x:f>1</x:f>
        <x:v>1</x:v>
      </x:c>
      <x:c r="D430" s="9" t="n">
        <x:f>C430*1.16*('효과 규칙 55종'!H10*'스킬 500종'!L430*'스킬 500종'!M430/'효과 규칙 55종'!D10+'효과 규칙 55종'!H45*'스킬 500종'!O430*'스킬 500종'!P430/'효과 규칙 55종'!D45+'효과 규칙 55종'!H15*'스킬 500종'!R430*'스킬 500종'!S430/'효과 규칙 55종'!D15)</x:f>
        <x:v>4.992639999999999</x:v>
      </x:c>
      <x:c r="E430" s="9" t="n">
        <x:f>C430*SUM('스킬 500종'!E430:H430)</x:f>
        <x:v>0</x:v>
      </x:c>
      <x:c r="F430" s="9" t="n">
        <x:f>C430*1.4*SUM('스킬 500종'!I430:J430)</x:f>
        <x:v>0</x:v>
      </x:c>
      <x:c r="G430" s="9" t="n">
        <x:f>SUM(D430:F430)</x:f>
        <x:v>4.992639999999999</x:v>
      </x:c>
      <x:c r="H430" s="9" t="n">
        <x:f>1.1+0.8*'스킬 500종'!W430</x:f>
        <x:v>5.1</x:v>
      </x:c>
      <x:c r="I430" s="10" t="n">
        <x:f>G430/H430</x:f>
        <x:v>0.978949019607843</x:v>
      </x:c>
      <x:c r="J430" s="1" t="str">
        <x:f>IF(OR('스킬 500종'!I430&lt;0,'스킬 500종'!J430&lt;0,AND('스킬 500종'!I430&gt;0,'스킬 500종'!J430&gt;0),AND(OR('스킬 500종'!K430="HEAL",'스킬 500종'!N430="HEAL",'스킬 500종'!Q430="HEAL",'스킬 500종'!T430="HEAL"),'스킬 500종'!I430=0,'스킬 500종'!J430=0),AND('스킬 500종'!I430&gt;0,OR('스킬 500종'!K430="CONTINUOUS_HEAL",'스킬 500종'!N430="CONTINUOUS_HEAL",'스킬 500종'!Q430="CONTINUOUS_HEAL",'스킬 500종'!T430="CONTINUOUS_HEAL"))),"회복 기준 오류",IF(AND(G430&lt;=H430+0.00001,'스킬 500종'!W430&gt;=1,'스킬 500종'!W430&lt;=5),"정상","초과"))</x:f>
        <x:v>정상</x:v>
      </x:c>
    </x:row>
    <x:row r="431" ht="30" customHeight="1">
      <x:c r="A431" s="1" t="str">
        <x:f>'스킬 500종'!A431</x:f>
        <x:v>SKILL_0425</x:v>
      </x:c>
      <x:c r="B431" s="1" t="str">
        <x:f>'스킬 500종'!B431</x:f>
        <x:v>공격력 증가 · 방어력 증가 · 스킬 쿨타임 감소 · 효과저항 증가의 의식</x:v>
      </x:c>
      <x:c r="C431" s="1" t="n">
        <x:f>1</x:f>
        <x:v>1</x:v>
      </x:c>
      <x:c r="D431" s="9" t="n">
        <x:f>C431*1.24*('효과 규칙 55종'!H7*'스킬 500종'!L431*'스킬 500종'!M431/'효과 규칙 55종'!D7+'효과 규칙 55종'!H9*'스킬 500종'!O431*'스킬 500종'!P431/'효과 규칙 55종'!D9+'효과 규칙 55종'!H52*'스킬 500종'!R431*'스킬 500종'!S431/'효과 규칙 55종'!D52+'효과 규칙 55종'!H14*'스킬 500종'!U431*'스킬 500종'!V431/'효과 규칙 55종'!D14)</x:f>
        <x:v>2.0030091999999997</x:v>
      </x:c>
      <x:c r="E431" s="9" t="n">
        <x:f>C431*SUM('스킬 500종'!E431:H431)</x:f>
        <x:v>0</x:v>
      </x:c>
      <x:c r="F431" s="9" t="n">
        <x:f>C431*1.4*SUM('스킬 500종'!I431:J431)</x:f>
        <x:v>0</x:v>
      </x:c>
      <x:c r="G431" s="9" t="n">
        <x:f>SUM(D431:F431)</x:f>
        <x:v>2.0030091999999997</x:v>
      </x:c>
      <x:c r="H431" s="9" t="n">
        <x:f>1.1+0.8*'스킬 500종'!W431</x:f>
        <x:v>2.7</x:v>
      </x:c>
      <x:c r="I431" s="10" t="n">
        <x:f>G431/H431</x:f>
        <x:v>0.7418552592592591</x:v>
      </x:c>
      <x:c r="J431" s="1" t="str">
        <x:f>IF(OR('스킬 500종'!I431&lt;0,'스킬 500종'!J431&lt;0,AND('스킬 500종'!I431&gt;0,'스킬 500종'!J431&gt;0),AND(OR('스킬 500종'!K431="HEAL",'스킬 500종'!N431="HEAL",'스킬 500종'!Q431="HEAL",'스킬 500종'!T431="HEAL"),'스킬 500종'!I431=0,'스킬 500종'!J431=0),AND('스킬 500종'!I431&gt;0,OR('스킬 500종'!K431="CONTINUOUS_HEAL",'스킬 500종'!N431="CONTINUOUS_HEAL",'스킬 500종'!Q431="CONTINUOUS_HEAL",'스킬 500종'!T431="CONTINUOUS_HEAL"))),"회복 기준 오류",IF(AND(G431&lt;=H431+0.00001,'스킬 500종'!W431&gt;=1,'스킬 500종'!W431&lt;=5),"정상","초과"))</x:f>
        <x:v>정상</x:v>
      </x:c>
    </x:row>
    <x:row r="432" ht="30" customHeight="1">
      <x:c r="A432" s="1" t="str">
        <x:f>'스킬 500종'!A432</x:f>
        <x:v>SKILL_0426</x:v>
      </x:c>
      <x:c r="B432" s="1" t="str">
        <x:f>'스킬 500종'!B432</x:f>
        <x:v>불사 · 스킬 쿨타임 감소 · 치명확률 증가의 의식</x:v>
      </x:c>
      <x:c r="C432" s="1" t="n">
        <x:f>1</x:f>
        <x:v>1</x:v>
      </x:c>
      <x:c r="D432" s="9" t="n">
        <x:f>C432*1.16*('효과 규칙 55종'!H39*'스킬 500종'!L432*'스킬 500종'!M432/'효과 규칙 55종'!D39+'효과 규칙 55종'!H52*'스킬 500종'!O432*'스킬 500종'!P432/'효과 규칙 55종'!D52+'효과 규칙 55종'!H11*'스킬 500종'!R432*'스킬 500종'!S432/'효과 규칙 55종'!D11)</x:f>
        <x:v>3.3407999999999998</x:v>
      </x:c>
      <x:c r="E432" s="9" t="n">
        <x:f>C432*SUM('스킬 500종'!E432:H432)</x:f>
        <x:v>0</x:v>
      </x:c>
      <x:c r="F432" s="9" t="n">
        <x:f>C432*1.4*SUM('스킬 500종'!I432:J432)</x:f>
        <x:v>0</x:v>
      </x:c>
      <x:c r="G432" s="9" t="n">
        <x:f>SUM(D432:F432)</x:f>
        <x:v>3.3407999999999998</x:v>
      </x:c>
      <x:c r="H432" s="9" t="n">
        <x:f>1.1+0.8*'스킬 500종'!W432</x:f>
        <x:v>3.5000000000000004</x:v>
      </x:c>
      <x:c r="I432" s="10" t="n">
        <x:f>G432/H432</x:f>
        <x:v>0.9545142857142855</x:v>
      </x:c>
      <x:c r="J432" s="1" t="str">
        <x:f>IF(OR('스킬 500종'!I432&lt;0,'스킬 500종'!J432&lt;0,AND('스킬 500종'!I432&gt;0,'스킬 500종'!J432&gt;0),AND(OR('스킬 500종'!K432="HEAL",'스킬 500종'!N432="HEAL",'스킬 500종'!Q432="HEAL",'스킬 500종'!T432="HEAL"),'스킬 500종'!I432=0,'스킬 500종'!J432=0),AND('스킬 500종'!I432&gt;0,OR('스킬 500종'!K432="CONTINUOUS_HEAL",'스킬 500종'!N432="CONTINUOUS_HEAL",'스킬 500종'!Q432="CONTINUOUS_HEAL",'스킬 500종'!T432="CONTINUOUS_HEAL"))),"회복 기준 오류",IF(AND(G432&lt;=H432+0.00001,'스킬 500종'!W432&gt;=1,'스킬 500종'!W432&lt;=5),"정상","초과"))</x:f>
        <x:v>정상</x:v>
      </x:c>
    </x:row>
    <x:row r="433" ht="30" customHeight="1">
      <x:c r="A433" s="1" t="str">
        <x:f>'스킬 500종'!A433</x:f>
        <x:v>SKILL_0427</x:v>
      </x:c>
      <x:c r="B433" s="1" t="str">
        <x:f>'스킬 500종'!B433</x:f>
        <x:v>피해 감소 · 강화효과 지속시간 증가 · 피해 반사의 의식</x:v>
      </x:c>
      <x:c r="C433" s="1" t="n">
        <x:f>2.4</x:f>
        <x:v>2.4</x:v>
      </x:c>
      <x:c r="D433" s="9" t="n">
        <x:f>C433*1.16*('효과 규칙 55종'!H42*'스킬 500종'!L433*'스킬 500종'!M433/'효과 규칙 55종'!D42+'효과 규칙 55종'!H58*'스킬 500종'!O433*'스킬 500종'!P433/'효과 규칙 55종'!D58+'효과 규칙 55종'!H44*'스킬 500종'!R433*'스킬 500종'!S433/'효과 규칙 55종'!D44)</x:f>
        <x:v>4.543488</x:v>
      </x:c>
      <x:c r="E433" s="9" t="n">
        <x:f>C433*SUM('스킬 500종'!E433:H433)</x:f>
        <x:v>0</x:v>
      </x:c>
      <x:c r="F433" s="9" t="n">
        <x:f>C433*1.4*SUM('스킬 500종'!I433:J433)</x:f>
        <x:v>0</x:v>
      </x:c>
      <x:c r="G433" s="9" t="n">
        <x:f>SUM(D433:F433)</x:f>
        <x:v>4.543488</x:v>
      </x:c>
      <x:c r="H433" s="9" t="n">
        <x:f>1.1+0.8*'스킬 500종'!W433</x:f>
        <x:v>5.1</x:v>
      </x:c>
      <x:c r="I433" s="10" t="n">
        <x:f>G433/H433</x:f>
        <x:v>0.89088</x:v>
      </x:c>
      <x:c r="J433" s="1" t="str">
        <x:f>IF(OR('스킬 500종'!I433&lt;0,'스킬 500종'!J433&lt;0,AND('스킬 500종'!I433&gt;0,'스킬 500종'!J433&gt;0),AND(OR('스킬 500종'!K433="HEAL",'스킬 500종'!N433="HEAL",'스킬 500종'!Q433="HEAL",'스킬 500종'!T433="HEAL"),'스킬 500종'!I433=0,'스킬 500종'!J433=0),AND('스킬 500종'!I433&gt;0,OR('스킬 500종'!K433="CONTINUOUS_HEAL",'스킬 500종'!N433="CONTINUOUS_HEAL",'스킬 500종'!Q433="CONTINUOUS_HEAL",'스킬 500종'!T433="CONTINUOUS_HEAL"))),"회복 기준 오류",IF(AND(G433&lt;=H433+0.00001,'스킬 500종'!W433&gt;=1,'스킬 500종'!W433&lt;=5),"정상","초과"))</x:f>
        <x:v>정상</x:v>
      </x:c>
    </x:row>
    <x:row r="434" ht="30" customHeight="1">
      <x:c r="A434" s="1" t="str">
        <x:f>'스킬 500종'!A434</x:f>
        <x:v>SKILL_0428</x:v>
      </x:c>
      <x:c r="B434" s="1" t="str">
        <x:f>'스킬 500종'!B434</x:f>
        <x:v>방어력 증가 · 지속 회복 · 공격력 증가 · 속도 증가의 의식</x:v>
      </x:c>
      <x:c r="C434" s="1" t="n">
        <x:f>1.6</x:f>
        <x:v>1.6</x:v>
      </x:c>
      <x:c r="D434" s="9" t="n">
        <x:f>C434*1.24*('효과 규칙 55종'!H9*'스킬 500종'!L434*'스킬 500종'!M434/'효과 규칙 55종'!D9+'효과 규칙 55종'!H35*'스킬 500종'!O434*'스킬 500종'!P434/'효과 규칙 55종'!D35+'효과 규칙 55종'!H7*'스킬 500종'!R434*'스킬 500종'!S434/'효과 규칙 55종'!D7+'효과 규칙 55종'!H10*'스킬 500종'!U434*'스킬 500종'!V434/'효과 규칙 55종'!D10)</x:f>
        <x:v>2.0806207999999997</x:v>
      </x:c>
      <x:c r="E434" s="9" t="n">
        <x:f>C434*SUM('스킬 500종'!E434:H434)</x:f>
        <x:v>0</x:v>
      </x:c>
      <x:c r="F434" s="9" t="n">
        <x:f>C434*1.4*SUM('스킬 500종'!I434:J434)</x:f>
        <x:v>0</x:v>
      </x:c>
      <x:c r="G434" s="9" t="n">
        <x:f>SUM(D434:F434)</x:f>
        <x:v>2.0806207999999997</x:v>
      </x:c>
      <x:c r="H434" s="9" t="n">
        <x:f>1.1+0.8*'스킬 500종'!W434</x:f>
        <x:v>2.7</x:v>
      </x:c>
      <x:c r="I434" s="10" t="n">
        <x:f>G434/H434</x:f>
        <x:v>0.7706002962962961</x:v>
      </x:c>
      <x:c r="J434" s="1" t="str">
        <x:f>IF(OR('스킬 500종'!I434&lt;0,'스킬 500종'!J434&lt;0,AND('스킬 500종'!I434&gt;0,'스킬 500종'!J434&gt;0),AND(OR('스킬 500종'!K434="HEAL",'스킬 500종'!N434="HEAL",'스킬 500종'!Q434="HEAL",'스킬 500종'!T434="HEAL"),'스킬 500종'!I434=0,'스킬 500종'!J434=0),AND('스킬 500종'!I434&gt;0,OR('스킬 500종'!K434="CONTINUOUS_HEAL",'스킬 500종'!N434="CONTINUOUS_HEAL",'스킬 500종'!Q434="CONTINUOUS_HEAL",'스킬 500종'!T434="CONTINUOUS_HEAL"))),"회복 기준 오류",IF(AND(G434&lt;=H434+0.00001,'스킬 500종'!W434&gt;=1,'스킬 500종'!W434&lt;=5),"정상","초과"))</x:f>
        <x:v>정상</x:v>
      </x:c>
    </x:row>
    <x:row r="435" ht="30" customHeight="1">
      <x:c r="A435" s="1" t="str">
        <x:f>'스킬 500종'!A435</x:f>
        <x:v>SKILL_0429</x:v>
      </x:c>
      <x:c r="B435" s="1" t="str">
        <x:f>'스킬 500종'!B435</x:f>
        <x:v>효과적중 증가 · 무적 · 치명피해 증가 · 반격의 의식</x:v>
      </x:c>
      <x:c r="C435" s="1" t="n">
        <x:f>1</x:f>
        <x:v>1</x:v>
      </x:c>
      <x:c r="D435" s="9" t="n">
        <x:f>C435*1.24*('효과 규칙 55종'!H13*'스킬 500종'!L435*'스킬 500종'!M435/'효과 규칙 55종'!D13+'효과 규칙 55종'!H38*'스킬 500종'!O435*'스킬 500종'!P435/'효과 규칙 55종'!D38+'효과 규칙 55종'!H12*'스킬 500종'!R435*'스킬 500종'!S435/'효과 규칙 55종'!D12+'효과 규칙 55종'!H51*'스킬 500종'!U435*'스킬 500종'!V435/'효과 규칙 55종'!D51)</x:f>
        <x:v>2.9259412</x:v>
      </x:c>
      <x:c r="E435" s="9" t="n">
        <x:f>C435*SUM('스킬 500종'!E435:H435)</x:f>
        <x:v>0</x:v>
      </x:c>
      <x:c r="F435" s="9" t="n">
        <x:f>C435*1.4*SUM('스킬 500종'!I435:J435)</x:f>
        <x:v>0</x:v>
      </x:c>
      <x:c r="G435" s="9" t="n">
        <x:f>SUM(D435:F435)</x:f>
        <x:v>2.9259412</x:v>
      </x:c>
      <x:c r="H435" s="9" t="n">
        <x:f>1.1+0.8*'스킬 500종'!W435</x:f>
        <x:v>3.5000000000000004</x:v>
      </x:c>
      <x:c r="I435" s="10" t="n">
        <x:f>G435/H435</x:f>
        <x:v>0.8359831999999999</x:v>
      </x:c>
      <x:c r="J435" s="1" t="str">
        <x:f>IF(OR('스킬 500종'!I435&lt;0,'스킬 500종'!J435&lt;0,AND('스킬 500종'!I435&gt;0,'스킬 500종'!J435&gt;0),AND(OR('스킬 500종'!K435="HEAL",'스킬 500종'!N435="HEAL",'스킬 500종'!Q435="HEAL",'스킬 500종'!T435="HEAL"),'스킬 500종'!I435=0,'스킬 500종'!J435=0),AND('스킬 500종'!I435&gt;0,OR('스킬 500종'!K435="CONTINUOUS_HEAL",'스킬 500종'!N435="CONTINUOUS_HEAL",'스킬 500종'!Q435="CONTINUOUS_HEAL",'스킬 500종'!T435="CONTINUOUS_HEAL"))),"회복 기준 오류",IF(AND(G435&lt;=H435+0.00001,'스킬 500종'!W435&gt;=1,'스킬 500종'!W435&lt;=5),"정상","초과"))</x:f>
        <x:v>정상</x:v>
      </x:c>
    </x:row>
    <x:row r="436" ht="30" customHeight="1">
      <x:c r="A436" s="1" t="str">
        <x:f>'스킬 500종'!A436</x:f>
        <x:v>SKILL_0430</x:v>
      </x:c>
      <x:c r="B436" s="1" t="str">
        <x:f>'스킬 500종'!B436</x:f>
        <x:v>치명피해 증가 · 효과적중 증가의 의식</x:v>
      </x:c>
      <x:c r="C436" s="1" t="n">
        <x:f>1</x:f>
        <x:v>1</x:v>
      </x:c>
      <x:c r="D436" s="9" t="n">
        <x:f>C436*1.08*('효과 규칙 55종'!H12*'스킬 500종'!L436*'스킬 500종'!M436/'효과 규칙 55종'!D12+'효과 규칙 55종'!H13*'스킬 500종'!O436*'스킬 500종'!P436/'효과 규칙 55종'!D13)</x:f>
        <x:v>0.9234000000000001</x:v>
      </x:c>
      <x:c r="E436" s="9" t="n">
        <x:f>C436*SUM('스킬 500종'!E436:H436)</x:f>
        <x:v>0</x:v>
      </x:c>
      <x:c r="F436" s="9" t="n">
        <x:f>C436*1.4*SUM('스킬 500종'!I436:J436)</x:f>
        <x:v>0</x:v>
      </x:c>
      <x:c r="G436" s="9" t="n">
        <x:f>SUM(D436:F436)</x:f>
        <x:v>0.9234000000000001</x:v>
      </x:c>
      <x:c r="H436" s="9" t="n">
        <x:f>1.1+0.8*'스킬 500종'!W436</x:f>
        <x:v>1.9000000000000001</x:v>
      </x:c>
      <x:c r="I436" s="10" t="n">
        <x:f>G436/H436</x:f>
        <x:v>0.48600000000000004</x:v>
      </x:c>
      <x:c r="J436" s="1" t="str">
        <x:f>IF(OR('스킬 500종'!I436&lt;0,'스킬 500종'!J436&lt;0,AND('스킬 500종'!I436&gt;0,'스킬 500종'!J436&gt;0),AND(OR('스킬 500종'!K436="HEAL",'스킬 500종'!N436="HEAL",'스킬 500종'!Q436="HEAL",'스킬 500종'!T436="HEAL"),'스킬 500종'!I436=0,'스킬 500종'!J436=0),AND('스킬 500종'!I436&gt;0,OR('스킬 500종'!K436="CONTINUOUS_HEAL",'스킬 500종'!N436="CONTINUOUS_HEAL",'스킬 500종'!Q436="CONTINUOUS_HEAL",'스킬 500종'!T436="CONTINUOUS_HEAL"))),"회복 기준 오류",IF(AND(G436&lt;=H436+0.00001,'스킬 500종'!W436&gt;=1,'스킬 500종'!W436&lt;=5),"정상","초과"))</x:f>
        <x:v>정상</x:v>
      </x:c>
    </x:row>
    <x:row r="437" ht="30" customHeight="1">
      <x:c r="A437" s="1" t="str">
        <x:f>'스킬 500종'!A437</x:f>
        <x:v>SKILL_0431</x:v>
      </x:c>
      <x:c r="B437" s="1" t="str">
        <x:f>'스킬 500종'!B437</x:f>
        <x:v>불사 · 효과적중 증가의 의식</x:v>
      </x:c>
      <x:c r="C437" s="1" t="n">
        <x:f>2.4</x:f>
        <x:v>2.4</x:v>
      </x:c>
      <x:c r="D437" s="9" t="n">
        <x:f>C437*1.08*('효과 규칙 55종'!H39*'스킬 500종'!L437*'스킬 500종'!M437/'효과 규칙 55종'!D39+'효과 규칙 55종'!H13*'스킬 500종'!O437*'스킬 500종'!P437/'효과 규칙 55종'!D13)</x:f>
        <x:v>4.872960000000001</x:v>
      </x:c>
      <x:c r="E437" s="9" t="n">
        <x:f>C437*SUM('스킬 500종'!E437:H437)</x:f>
        <x:v>0</x:v>
      </x:c>
      <x:c r="F437" s="9" t="n">
        <x:f>C437*1.4*SUM('스킬 500종'!I437:J437)</x:f>
        <x:v>0</x:v>
      </x:c>
      <x:c r="G437" s="9" t="n">
        <x:f>SUM(D437:F437)</x:f>
        <x:v>4.872960000000001</x:v>
      </x:c>
      <x:c r="H437" s="9" t="n">
        <x:f>1.1+0.8*'스킬 500종'!W437</x:f>
        <x:v>5.1</x:v>
      </x:c>
      <x:c r="I437" s="10" t="n">
        <x:f>G437/H437</x:f>
        <x:v>0.9554823529411767</x:v>
      </x:c>
      <x:c r="J437" s="1" t="str">
        <x:f>IF(OR('스킬 500종'!I437&lt;0,'스킬 500종'!J437&lt;0,AND('스킬 500종'!I437&gt;0,'스킬 500종'!J437&gt;0),AND(OR('스킬 500종'!K437="HEAL",'스킬 500종'!N437="HEAL",'스킬 500종'!Q437="HEAL",'스킬 500종'!T437="HEAL"),'스킬 500종'!I437=0,'스킬 500종'!J437=0),AND('스킬 500종'!I437&gt;0,OR('스킬 500종'!K437="CONTINUOUS_HEAL",'스킬 500종'!N437="CONTINUOUS_HEAL",'스킬 500종'!Q437="CONTINUOUS_HEAL",'스킬 500종'!T437="CONTINUOUS_HEAL"))),"회복 기준 오류",IF(AND(G437&lt;=H437+0.00001,'스킬 500종'!W437&gt;=1,'스킬 500종'!W437&lt;=5),"정상","초과"))</x:f>
        <x:v>정상</x:v>
      </x:c>
    </x:row>
    <x:row r="438" ht="30" customHeight="1">
      <x:c r="A438" s="1" t="str">
        <x:f>'스킬 500종'!A438</x:f>
        <x:v>SKILL_0432</x:v>
      </x:c>
      <x:c r="B438" s="1" t="str">
        <x:f>'스킬 500종'!B438</x:f>
        <x:v>강화효과 지속시간 증가 · 치명확률 증가 · 효과적중 증가 · 피해 반사의 의식</x:v>
      </x:c>
      <x:c r="C438" s="1" t="n">
        <x:f>1.6</x:f>
        <x:v>1.6</x:v>
      </x:c>
      <x:c r="D438" s="9" t="n">
        <x:f>C438*1.24*('효과 규칙 55종'!H58*'스킬 500종'!L438*'스킬 500종'!M438/'효과 규칙 55종'!D58+'효과 규칙 55종'!H11*'스킬 500종'!O438*'스킬 500종'!P438/'효과 규칙 55종'!D11+'효과 규칙 55종'!H13*'스킬 500종'!R438*'스킬 500종'!S438/'효과 규칙 55종'!D13+'효과 규칙 55종'!H44*'스킬 500종'!U438*'스킬 500종'!V438/'효과 규칙 55종'!D44)</x:f>
        <x:v>2.7892659199999996</x:v>
      </x:c>
      <x:c r="E438" s="9" t="n">
        <x:f>C438*SUM('스킬 500종'!E438:H438)</x:f>
        <x:v>0</x:v>
      </x:c>
      <x:c r="F438" s="9" t="n">
        <x:f>C438*1.4*SUM('스킬 500종'!I438:J438)</x:f>
        <x:v>0</x:v>
      </x:c>
      <x:c r="G438" s="9" t="n">
        <x:f>SUM(D438:F438)</x:f>
        <x:v>2.7892659199999996</x:v>
      </x:c>
      <x:c r="H438" s="9" t="n">
        <x:f>1.1+0.8*'스킬 500종'!W438</x:f>
        <x:v>3.5000000000000004</x:v>
      </x:c>
      <x:c r="I438" s="10" t="n">
        <x:f>G438/H438</x:f>
        <x:v>0.7969331199999998</x:v>
      </x:c>
      <x:c r="J438" s="1" t="str">
        <x:f>IF(OR('스킬 500종'!I438&lt;0,'스킬 500종'!J438&lt;0,AND('스킬 500종'!I438&gt;0,'스킬 500종'!J438&gt;0),AND(OR('스킬 500종'!K438="HEAL",'스킬 500종'!N438="HEAL",'스킬 500종'!Q438="HEAL",'스킬 500종'!T438="HEAL"),'스킬 500종'!I438=0,'스킬 500종'!J438=0),AND('스킬 500종'!I438&gt;0,OR('스킬 500종'!K438="CONTINUOUS_HEAL",'스킬 500종'!N438="CONTINUOUS_HEAL",'스킬 500종'!Q438="CONTINUOUS_HEAL",'스킬 500종'!T438="CONTINUOUS_HEAL"))),"회복 기준 오류",IF(AND(G438&lt;=H438+0.00001,'스킬 500종'!W438&gt;=1,'스킬 500종'!W438&lt;=5),"정상","초과"))</x:f>
        <x:v>정상</x:v>
      </x:c>
    </x:row>
    <x:row r="439" ht="30" customHeight="1">
      <x:c r="A439" s="1" t="str">
        <x:f>'스킬 500종'!A439</x:f>
        <x:v>SKILL_0433</x:v>
      </x:c>
      <x:c r="B439" s="1" t="str">
        <x:f>'스킬 500종'!B439</x:f>
        <x:v>보호막 · 소생 · 피해 반사 · 속도 증가의 의식</x:v>
      </x:c>
      <x:c r="C439" s="1" t="n">
        <x:f>1</x:f>
        <x:v>1</x:v>
      </x:c>
      <x:c r="D439" s="9" t="n">
        <x:f>C439*1.24*('효과 규칙 55종'!H37*'스킬 500종'!L439*'스킬 500종'!M439/'효과 규칙 55종'!D37+'효과 규칙 55종'!H46*'스킬 500종'!O439*'스킬 500종'!P439/'효과 규칙 55종'!D46+'효과 규칙 55종'!H44*'스킬 500종'!R439*'스킬 500종'!S439/'효과 규칙 55종'!D44+'효과 규칙 55종'!H10*'스킬 500종'!U439*'스킬 500종'!V439/'효과 규칙 55종'!D10)</x:f>
        <x:v>5.015190333333334</x:v>
      </x:c>
      <x:c r="E439" s="9" t="n">
        <x:f>C439*SUM('스킬 500종'!E439:H439)</x:f>
        <x:v>0</x:v>
      </x:c>
      <x:c r="F439" s="9" t="n">
        <x:f>C439*1.4*SUM('스킬 500종'!I439:J439)</x:f>
        <x:v>0</x:v>
      </x:c>
      <x:c r="G439" s="9" t="n">
        <x:f>SUM(D439:F439)</x:f>
        <x:v>5.015190333333334</x:v>
      </x:c>
      <x:c r="H439" s="9" t="n">
        <x:f>1.1+0.8*'스킬 500종'!W439</x:f>
        <x:v>5.1</x:v>
      </x:c>
      <x:c r="I439" s="10" t="n">
        <x:f>G439/H439</x:f>
        <x:v>0.9833706535947714</x:v>
      </x:c>
      <x:c r="J439" s="1" t="str">
        <x:f>IF(OR('스킬 500종'!I439&lt;0,'스킬 500종'!J439&lt;0,AND('스킬 500종'!I439&gt;0,'스킬 500종'!J439&gt;0),AND(OR('스킬 500종'!K439="HEAL",'스킬 500종'!N439="HEAL",'스킬 500종'!Q439="HEAL",'스킬 500종'!T439="HEAL"),'스킬 500종'!I439=0,'스킬 500종'!J439=0),AND('스킬 500종'!I439&gt;0,OR('스킬 500종'!K439="CONTINUOUS_HEAL",'스킬 500종'!N439="CONTINUOUS_HEAL",'스킬 500종'!Q439="CONTINUOUS_HEAL",'스킬 500종'!T439="CONTINUOUS_HEAL"))),"회복 기준 오류",IF(AND(G439&lt;=H439+0.00001,'스킬 500종'!W439&gt;=1,'스킬 500종'!W439&lt;=5),"정상","초과"))</x:f>
        <x:v>정상</x:v>
      </x:c>
    </x:row>
    <x:row r="440" ht="30" customHeight="1">
      <x:c r="A440" s="1" t="str">
        <x:f>'스킬 500종'!A440</x:f>
        <x:v>SKILL_0434</x:v>
      </x:c>
      <x:c r="B440" s="1" t="str">
        <x:f>'스킬 500종'!B440</x:f>
        <x:v>치명저항 증가 · 보호막의 의식</x:v>
      </x:c>
      <x:c r="C440" s="1" t="n">
        <x:f>1</x:f>
        <x:v>1</x:v>
      </x:c>
      <x:c r="D440" s="9" t="n">
        <x:f>C440*1.08*('효과 규칙 55종'!H16*'스킬 500종'!L440*'스킬 500종'!M440/'효과 규칙 55종'!D16+'효과 규칙 55종'!H37*'스킬 500종'!O440*'스킬 500종'!P440/'효과 규칙 55종'!D37)</x:f>
        <x:v>1.1178000000000001</x:v>
      </x:c>
      <x:c r="E440" s="9" t="n">
        <x:f>C440*SUM('스킬 500종'!E440:H440)</x:f>
        <x:v>0</x:v>
      </x:c>
      <x:c r="F440" s="9" t="n">
        <x:f>C440*1.4*SUM('스킬 500종'!I440:J440)</x:f>
        <x:v>0</x:v>
      </x:c>
      <x:c r="G440" s="9" t="n">
        <x:f>SUM(D440:F440)</x:f>
        <x:v>1.1178000000000001</x:v>
      </x:c>
      <x:c r="H440" s="9" t="n">
        <x:f>1.1+0.8*'스킬 500종'!W440</x:f>
        <x:v>1.9000000000000001</x:v>
      </x:c>
      <x:c r="I440" s="10" t="n">
        <x:f>G440/H440</x:f>
        <x:v>0.5883157894736842</x:v>
      </x:c>
      <x:c r="J440" s="1" t="str">
        <x:f>IF(OR('스킬 500종'!I440&lt;0,'스킬 500종'!J440&lt;0,AND('스킬 500종'!I440&gt;0,'스킬 500종'!J440&gt;0),AND(OR('스킬 500종'!K440="HEAL",'스킬 500종'!N440="HEAL",'스킬 500종'!Q440="HEAL",'스킬 500종'!T440="HEAL"),'스킬 500종'!I440=0,'스킬 500종'!J440=0),AND('스킬 500종'!I440&gt;0,OR('스킬 500종'!K440="CONTINUOUS_HEAL",'스킬 500종'!N440="CONTINUOUS_HEAL",'스킬 500종'!Q440="CONTINUOUS_HEAL",'스킬 500종'!T440="CONTINUOUS_HEAL"))),"회복 기준 오류",IF(AND(G440&lt;=H440+0.00001,'스킬 500종'!W440&gt;=1,'스킬 500종'!W440&lt;=5),"정상","초과"))</x:f>
        <x:v>정상</x:v>
      </x:c>
    </x:row>
    <x:row r="441" ht="30" customHeight="1">
      <x:c r="A441" s="1" t="str">
        <x:f>'스킬 500종'!A441</x:f>
        <x:v>SKILL_0435</x:v>
      </x:c>
      <x:c r="B441" s="1" t="str">
        <x:f>'스킬 500종'!B441</x:f>
        <x:v>생명력 회복 · 스킬 쿨타임 감소의 의식</x:v>
      </x:c>
      <x:c r="C441" s="1" t="n">
        <x:f>2.4</x:f>
        <x:v>2.4</x:v>
      </x:c>
      <x:c r="D441" s="9" t="n">
        <x:f>C441*1.08*('효과 규칙 55종'!H34*'스킬 500종'!L441*'스킬 500종'!M441/'효과 규칙 55종'!D34+'효과 규칙 55종'!H52*'스킬 500종'!O441*'스킬 500종'!P441/'효과 규칙 55종'!D52)</x:f>
        <x:v>3.0326400000000007</x:v>
      </x:c>
      <x:c r="E441" s="9" t="n">
        <x:f>C441*SUM('스킬 500종'!E441:H441)</x:f>
        <x:v>0</x:v>
      </x:c>
      <x:c r="F441" s="9" t="n">
        <x:f>C441*1.4*SUM('스킬 500종'!I441:J441)</x:f>
        <x:v>1.176</x:v>
      </x:c>
      <x:c r="G441" s="9" t="n">
        <x:f>SUM(D441:F441)</x:f>
        <x:v>4.208640000000001</x:v>
      </x:c>
      <x:c r="H441" s="9" t="n">
        <x:f>1.1+0.8*'스킬 500종'!W441</x:f>
        <x:v>4.300000000000001</x:v>
      </x:c>
      <x:c r="I441" s="10" t="n">
        <x:f>G441/H441</x:f>
        <x:v>0.9787534883720931</x:v>
      </x:c>
      <x:c r="J441" s="1" t="str">
        <x:f>IF(OR('스킬 500종'!I441&lt;0,'스킬 500종'!J441&lt;0,AND('스킬 500종'!I441&gt;0,'스킬 500종'!J441&gt;0),AND(OR('스킬 500종'!K441="HEAL",'스킬 500종'!N441="HEAL",'스킬 500종'!Q441="HEAL",'스킬 500종'!T441="HEAL"),'스킬 500종'!I441=0,'스킬 500종'!J441=0),AND('스킬 500종'!I441&gt;0,OR('스킬 500종'!K441="CONTINUOUS_HEAL",'스킬 500종'!N441="CONTINUOUS_HEAL",'스킬 500종'!Q441="CONTINUOUS_HEAL",'스킬 500종'!T441="CONTINUOUS_HEAL"))),"회복 기준 오류",IF(AND(G441&lt;=H441+0.00001,'스킬 500종'!W441&gt;=1,'스킬 500종'!W441&lt;=5),"정상","초과"))</x:f>
        <x:v>정상</x:v>
      </x:c>
    </x:row>
    <x:row r="442" ht="30" customHeight="1">
      <x:c r="A442" s="1" t="str">
        <x:f>'스킬 500종'!A442</x:f>
        <x:v>SKILL_0436</x:v>
      </x:c>
      <x:c r="B442" s="1" t="str">
        <x:f>'스킬 500종'!B442</x:f>
        <x:v>소생 · 회피 증가의 의식</x:v>
      </x:c>
      <x:c r="C442" s="1" t="n">
        <x:f>1</x:f>
        <x:v>1</x:v>
      </x:c>
      <x:c r="D442" s="9" t="n">
        <x:f>C442*1.08*('효과 규칙 55종'!H46*'스킬 500종'!L442*'스킬 500종'!M442/'효과 규칙 55종'!D46+'효과 규칙 55종'!H15*'스킬 500종'!O442*'스킬 500종'!P442/'효과 규칙 55종'!D15)</x:f>
        <x:v>4.401000000000001</x:v>
      </x:c>
      <x:c r="E442" s="9" t="n">
        <x:f>C442*SUM('스킬 500종'!E442:H442)</x:f>
        <x:v>0</x:v>
      </x:c>
      <x:c r="F442" s="9" t="n">
        <x:f>C442*1.4*SUM('스킬 500종'!I442:J442)</x:f>
        <x:v>0</x:v>
      </x:c>
      <x:c r="G442" s="9" t="n">
        <x:f>SUM(D442:F442)</x:f>
        <x:v>4.401000000000001</x:v>
      </x:c>
      <x:c r="H442" s="9" t="n">
        <x:f>1.1+0.8*'스킬 500종'!W442</x:f>
        <x:v>5.1</x:v>
      </x:c>
      <x:c r="I442" s="10" t="n">
        <x:f>G442/H442</x:f>
        <x:v>0.8629411764705884</x:v>
      </x:c>
      <x:c r="J442" s="1" t="str">
        <x:f>IF(OR('스킬 500종'!I442&lt;0,'스킬 500종'!J442&lt;0,AND('스킬 500종'!I442&gt;0,'스킬 500종'!J442&gt;0),AND(OR('스킬 500종'!K442="HEAL",'스킬 500종'!N442="HEAL",'스킬 500종'!Q442="HEAL",'스킬 500종'!T442="HEAL"),'스킬 500종'!I442=0,'스킬 500종'!J442=0),AND('스킬 500종'!I442&gt;0,OR('스킬 500종'!K442="CONTINUOUS_HEAL",'스킬 500종'!N442="CONTINUOUS_HEAL",'스킬 500종'!Q442="CONTINUOUS_HEAL",'스킬 500종'!T442="CONTINUOUS_HEAL"))),"회복 기준 오류",IF(AND(G442&lt;=H442+0.00001,'스킬 500종'!W442&gt;=1,'스킬 500종'!W442&lt;=5),"정상","초과"))</x:f>
        <x:v>정상</x:v>
      </x:c>
    </x:row>
    <x:row r="443" ht="30" customHeight="1">
      <x:c r="A443" s="1" t="str">
        <x:f>'스킬 500종'!A443</x:f>
        <x:v>SKILL_0437</x:v>
      </x:c>
      <x:c r="B443" s="1" t="str">
        <x:f>'스킬 500종'!B443</x:f>
        <x:v>치명피해 증가 · 치명저항 증가의 의식</x:v>
      </x:c>
      <x:c r="C443" s="1" t="n">
        <x:f>1</x:f>
        <x:v>1</x:v>
      </x:c>
      <x:c r="D443" s="9" t="n">
        <x:f>C443*1.08*('효과 규칙 55종'!H12*'스킬 500종'!L443*'스킬 500종'!M443/'효과 규칙 55종'!D12+'효과 규칙 55종'!H16*'스킬 500종'!O443*'스킬 500종'!P443/'효과 규칙 55종'!D16)</x:f>
        <x:v>1.0692000000000002</x:v>
      </x:c>
      <x:c r="E443" s="9" t="n">
        <x:f>C443*SUM('스킬 500종'!E443:H443)</x:f>
        <x:v>0</x:v>
      </x:c>
      <x:c r="F443" s="9" t="n">
        <x:f>C443*1.4*SUM('스킬 500종'!I443:J443)</x:f>
        <x:v>0</x:v>
      </x:c>
      <x:c r="G443" s="9" t="n">
        <x:f>SUM(D443:F443)</x:f>
        <x:v>1.0692000000000002</x:v>
      </x:c>
      <x:c r="H443" s="9" t="n">
        <x:f>1.1+0.8*'스킬 500종'!W443</x:f>
        <x:v>1.9000000000000001</x:v>
      </x:c>
      <x:c r="I443" s="10" t="n">
        <x:f>G443/H443</x:f>
        <x:v>0.5627368421052632</x:v>
      </x:c>
      <x:c r="J443" s="1" t="str">
        <x:f>IF(OR('스킬 500종'!I443&lt;0,'스킬 500종'!J443&lt;0,AND('스킬 500종'!I443&gt;0,'스킬 500종'!J443&gt;0),AND(OR('스킬 500종'!K443="HEAL",'스킬 500종'!N443="HEAL",'스킬 500종'!Q443="HEAL",'스킬 500종'!T443="HEAL"),'스킬 500종'!I443=0,'스킬 500종'!J443=0),AND('스킬 500종'!I443&gt;0,OR('스킬 500종'!K443="CONTINUOUS_HEAL",'스킬 500종'!N443="CONTINUOUS_HEAL",'스킬 500종'!Q443="CONTINUOUS_HEAL",'스킬 500종'!T443="CONTINUOUS_HEAL"))),"회복 기준 오류",IF(AND(G443&lt;=H443+0.00001,'스킬 500종'!W443&gt;=1,'스킬 500종'!W443&lt;=5),"정상","초과"))</x:f>
        <x:v>정상</x:v>
      </x:c>
    </x:row>
    <x:row r="444" ht="30" customHeight="1">
      <x:c r="A444" s="1" t="str">
        <x:f>'스킬 500종'!A444</x:f>
        <x:v>SKILL_0438</x:v>
      </x:c>
      <x:c r="B444" s="1" t="str">
        <x:f>'스킬 500종'!B444</x:f>
        <x:v>스킬 쿨타임 초기화 · 불사 · 반격의 의식</x:v>
      </x:c>
      <x:c r="C444" s="1" t="n">
        <x:f>1</x:f>
        <x:v>1</x:v>
      </x:c>
      <x:c r="D444" s="9" t="n">
        <x:f>C444*1.16*('효과 규칙 55종'!H53*'스킬 500종'!L444*'스킬 500종'!M444/'효과 규칙 55종'!D53+'효과 규칙 55종'!H39*'스킬 500종'!O444*'스킬 500종'!P444/'효과 규칙 55종'!D39+'효과 규칙 55종'!H51*'스킬 500종'!R444*'스킬 500종'!S444/'효과 규칙 55종'!D51)</x:f>
        <x:v>4.941599999999999</x:v>
      </x:c>
      <x:c r="E444" s="9" t="n">
        <x:f>C444*SUM('스킬 500종'!E444:H444)</x:f>
        <x:v>0</x:v>
      </x:c>
      <x:c r="F444" s="9" t="n">
        <x:f>C444*1.4*SUM('스킬 500종'!I444:J444)</x:f>
        <x:v>0</x:v>
      </x:c>
      <x:c r="G444" s="9" t="n">
        <x:f>SUM(D444:F444)</x:f>
        <x:v>4.941599999999999</x:v>
      </x:c>
      <x:c r="H444" s="9" t="n">
        <x:f>1.1+0.8*'스킬 500종'!W444</x:f>
        <x:v>5.1</x:v>
      </x:c>
      <x:c r="I444" s="10" t="n">
        <x:f>G444/H444</x:f>
        <x:v>0.9689411764705882</x:v>
      </x:c>
      <x:c r="J444" s="1" t="str">
        <x:f>IF(OR('스킬 500종'!I444&lt;0,'스킬 500종'!J444&lt;0,AND('스킬 500종'!I444&gt;0,'스킬 500종'!J444&gt;0),AND(OR('스킬 500종'!K444="HEAL",'스킬 500종'!N444="HEAL",'스킬 500종'!Q444="HEAL",'스킬 500종'!T444="HEAL"),'스킬 500종'!I444=0,'스킬 500종'!J444=0),AND('스킬 500종'!I444&gt;0,OR('스킬 500종'!K444="CONTINUOUS_HEAL",'스킬 500종'!N444="CONTINUOUS_HEAL",'스킬 500종'!Q444="CONTINUOUS_HEAL",'스킬 500종'!T444="CONTINUOUS_HEAL"))),"회복 기준 오류",IF(AND(G444&lt;=H444+0.00001,'스킬 500종'!W444&gt;=1,'스킬 500종'!W444&lt;=5),"정상","초과"))</x:f>
        <x:v>정상</x:v>
      </x:c>
    </x:row>
    <x:row r="445" ht="30" customHeight="1">
      <x:c r="A445" s="1" t="str">
        <x:f>'스킬 500종'!A445</x:f>
        <x:v>SKILL_0439</x:v>
      </x:c>
      <x:c r="B445" s="1" t="str">
        <x:f>'스킬 500종'!B445</x:f>
        <x:v>보호막 · 치명피해 증가 · 방어력 증가 · 무적의 의식</x:v>
      </x:c>
      <x:c r="C445" s="1" t="n">
        <x:f>2.4</x:f>
        <x:v>2.4</x:v>
      </x:c>
      <x:c r="D445" s="9" t="n">
        <x:f>C445*1.24*('효과 규칙 55종'!H37*'스킬 500종'!L445*'스킬 500종'!M445/'효과 규칙 55종'!D37+'효과 규칙 55종'!H12*'스킬 500종'!O445*'스킬 500종'!P445/'효과 규칙 55종'!D12+'효과 규칙 55종'!H9*'스킬 500종'!R445*'스킬 500종'!S445/'효과 규칙 55종'!D9+'효과 규칙 55종'!H38*'스킬 500종'!U445*'스킬 500종'!V445/'효과 규칙 55종'!D38)</x:f>
        <x:v>4.822678857142858</x:v>
      </x:c>
      <x:c r="E445" s="9" t="n">
        <x:f>C445*SUM('스킬 500종'!E445:H445)</x:f>
        <x:v>0</x:v>
      </x:c>
      <x:c r="F445" s="9" t="n">
        <x:f>C445*1.4*SUM('스킬 500종'!I445:J445)</x:f>
        <x:v>0</x:v>
      </x:c>
      <x:c r="G445" s="9" t="n">
        <x:f>SUM(D445:F445)</x:f>
        <x:v>4.822678857142858</x:v>
      </x:c>
      <x:c r="H445" s="9" t="n">
        <x:f>1.1+0.8*'스킬 500종'!W445</x:f>
        <x:v>5.1</x:v>
      </x:c>
      <x:c r="I445" s="10" t="n">
        <x:f>G445/H445</x:f>
        <x:v>0.945623305322129</x:v>
      </x:c>
      <x:c r="J445" s="1" t="str">
        <x:f>IF(OR('스킬 500종'!I445&lt;0,'스킬 500종'!J445&lt;0,AND('스킬 500종'!I445&gt;0,'스킬 500종'!J445&gt;0),AND(OR('스킬 500종'!K445="HEAL",'스킬 500종'!N445="HEAL",'스킬 500종'!Q445="HEAL",'스킬 500종'!T445="HEAL"),'스킬 500종'!I445=0,'스킬 500종'!J445=0),AND('스킬 500종'!I445&gt;0,OR('스킬 500종'!K445="CONTINUOUS_HEAL",'스킬 500종'!N445="CONTINUOUS_HEAL",'스킬 500종'!Q445="CONTINUOUS_HEAL",'스킬 500종'!T445="CONTINUOUS_HEAL"))),"회복 기준 오류",IF(AND(G445&lt;=H445+0.00001,'스킬 500종'!W445&gt;=1,'스킬 500종'!W445&lt;=5),"정상","초과"))</x:f>
        <x:v>정상</x:v>
      </x:c>
    </x:row>
    <x:row r="446" ht="30" customHeight="1">
      <x:c r="A446" s="1" t="str">
        <x:f>'스킬 500종'!A446</x:f>
        <x:v>SKILL_0440</x:v>
      </x:c>
      <x:c r="B446" s="1" t="str">
        <x:f>'스킬 500종'!B446</x:f>
        <x:v>속도 증가 · 소생 · 효과적중 증가의 의식</x:v>
      </x:c>
      <x:c r="C446" s="1" t="n">
        <x:f>1</x:f>
        <x:v>1</x:v>
      </x:c>
      <x:c r="D446" s="9" t="n">
        <x:f>C446*1.16*('효과 규칙 55종'!H10*'스킬 500종'!L446*'스킬 500종'!M446/'효과 규칙 55종'!D10+'효과 규칙 55종'!H46*'스킬 500종'!O446*'스킬 500종'!P446/'효과 규칙 55종'!D46+'효과 규칙 55종'!H13*'스킬 500종'!R446*'스킬 500종'!S446/'효과 규칙 55종'!D13)</x:f>
        <x:v>4.7606399999999995</x:v>
      </x:c>
      <x:c r="E446" s="9" t="n">
        <x:f>C446*SUM('스킬 500종'!E446:H446)</x:f>
        <x:v>0</x:v>
      </x:c>
      <x:c r="F446" s="9" t="n">
        <x:f>C446*1.4*SUM('스킬 500종'!I446:J446)</x:f>
        <x:v>0</x:v>
      </x:c>
      <x:c r="G446" s="9" t="n">
        <x:f>SUM(D446:F446)</x:f>
        <x:v>4.7606399999999995</x:v>
      </x:c>
      <x:c r="H446" s="9" t="n">
        <x:f>1.1+0.8*'스킬 500종'!W446</x:f>
        <x:v>5.1</x:v>
      </x:c>
      <x:c r="I446" s="10" t="n">
        <x:f>G446/H446</x:f>
        <x:v>0.9334588235294118</x:v>
      </x:c>
      <x:c r="J446" s="1" t="str">
        <x:f>IF(OR('스킬 500종'!I446&lt;0,'스킬 500종'!J446&lt;0,AND('스킬 500종'!I446&gt;0,'스킬 500종'!J446&gt;0),AND(OR('스킬 500종'!K446="HEAL",'스킬 500종'!N446="HEAL",'스킬 500종'!Q446="HEAL",'스킬 500종'!T446="HEAL"),'스킬 500종'!I446=0,'스킬 500종'!J446=0),AND('스킬 500종'!I446&gt;0,OR('스킬 500종'!K446="CONTINUOUS_HEAL",'스킬 500종'!N446="CONTINUOUS_HEAL",'스킬 500종'!Q446="CONTINUOUS_HEAL",'스킬 500종'!T446="CONTINUOUS_HEAL"))),"회복 기준 오류",IF(AND(G446&lt;=H446+0.00001,'스킬 500종'!W446&gt;=1,'스킬 500종'!W446&lt;=5),"정상","초과"))</x:f>
        <x:v>정상</x:v>
      </x:c>
    </x:row>
    <x:row r="447" ht="30" customHeight="1">
      <x:c r="A447" s="1" t="str">
        <x:f>'스킬 500종'!A447</x:f>
        <x:v>SKILL_0441</x:v>
      </x:c>
      <x:c r="B447" s="1" t="str">
        <x:f>'스킬 500종'!B447</x:f>
        <x:v>치명피해 증가 · 공격력 증가(대) · 소생의 의식</x:v>
      </x:c>
      <x:c r="C447" s="1" t="n">
        <x:f>1</x:f>
        <x:v>1</x:v>
      </x:c>
      <x:c r="D447" s="9" t="n">
        <x:f>C447*1.16*('효과 규칙 55종'!H12*'스킬 500종'!L447*'스킬 500종'!M447/'효과 규칙 55종'!D12+'효과 규칙 55종'!H8*'스킬 500종'!O447*'스킬 500종'!P447/'효과 규칙 55종'!D8+'효과 규칙 55종'!H46*'스킬 500종'!R447*'스킬 500종'!S447/'효과 규칙 55종'!D46)</x:f>
        <x:v>5.02048</x:v>
      </x:c>
      <x:c r="E447" s="9" t="n">
        <x:f>C447*SUM('스킬 500종'!E447:H447)</x:f>
        <x:v>0</x:v>
      </x:c>
      <x:c r="F447" s="9" t="n">
        <x:f>C447*1.4*SUM('스킬 500종'!I447:J447)</x:f>
        <x:v>0</x:v>
      </x:c>
      <x:c r="G447" s="9" t="n">
        <x:f>SUM(D447:F447)</x:f>
        <x:v>5.02048</x:v>
      </x:c>
      <x:c r="H447" s="9" t="n">
        <x:f>1.1+0.8*'스킬 500종'!W447</x:f>
        <x:v>5.1</x:v>
      </x:c>
      <x:c r="I447" s="10" t="n">
        <x:f>G447/H447</x:f>
        <x:v>0.9844078431372549</x:v>
      </x:c>
      <x:c r="J447" s="1" t="str">
        <x:f>IF(OR('스킬 500종'!I447&lt;0,'스킬 500종'!J447&lt;0,AND('스킬 500종'!I447&gt;0,'스킬 500종'!J447&gt;0),AND(OR('스킬 500종'!K447="HEAL",'스킬 500종'!N447="HEAL",'스킬 500종'!Q447="HEAL",'스킬 500종'!T447="HEAL"),'스킬 500종'!I447=0,'스킬 500종'!J447=0),AND('스킬 500종'!I447&gt;0,OR('스킬 500종'!K447="CONTINUOUS_HEAL",'스킬 500종'!N447="CONTINUOUS_HEAL",'스킬 500종'!Q447="CONTINUOUS_HEAL",'스킬 500종'!T447="CONTINUOUS_HEAL"))),"회복 기준 오류",IF(AND(G447&lt;=H447+0.00001,'스킬 500종'!W447&gt;=1,'스킬 500종'!W447&lt;=5),"정상","초과"))</x:f>
        <x:v>정상</x:v>
      </x:c>
    </x:row>
    <x:row r="448" ht="30" customHeight="1">
      <x:c r="A448" s="1" t="str">
        <x:f>'스킬 500종'!A448</x:f>
        <x:v>SKILL_0442</x:v>
      </x:c>
      <x:c r="B448" s="1" t="str">
        <x:f>'스킬 500종'!B448</x:f>
        <x:v>명중 증가 · 소생 · 피해 반사 · 효과저항 증가의 의식</x:v>
      </x:c>
      <x:c r="C448" s="1" t="n">
        <x:f>1</x:f>
        <x:v>1</x:v>
      </x:c>
      <x:c r="D448" s="9" t="n">
        <x:f>C448*1.24*('효과 규칙 55종'!H17*'스킬 500종'!L448*'스킬 500종'!M448/'효과 규칙 55종'!D17+'효과 규칙 55종'!H46*'스킬 500종'!O448*'스킬 500종'!P448/'효과 규칙 55종'!D46+'효과 규칙 55종'!H44*'스킬 500종'!R448*'스킬 500종'!S448/'효과 규칙 55종'!D44+'효과 규칙 55종'!H14*'스킬 500종'!U448*'스킬 500종'!V448/'효과 규칙 55종'!D14)</x:f>
        <x:v>5.0348712</x:v>
      </x:c>
      <x:c r="E448" s="9" t="n">
        <x:f>C448*SUM('스킬 500종'!E448:H448)</x:f>
        <x:v>0</x:v>
      </x:c>
      <x:c r="F448" s="9" t="n">
        <x:f>C448*1.4*SUM('스킬 500종'!I448:J448)</x:f>
        <x:v>0</x:v>
      </x:c>
      <x:c r="G448" s="9" t="n">
        <x:f>SUM(D448:F448)</x:f>
        <x:v>5.0348712</x:v>
      </x:c>
      <x:c r="H448" s="9" t="n">
        <x:f>1.1+0.8*'스킬 500종'!W448</x:f>
        <x:v>5.1</x:v>
      </x:c>
      <x:c r="I448" s="10" t="n">
        <x:f>G448/H448</x:f>
        <x:v>0.9872296470588237</x:v>
      </x:c>
      <x:c r="J448" s="1" t="str">
        <x:f>IF(OR('스킬 500종'!I448&lt;0,'스킬 500종'!J448&lt;0,AND('스킬 500종'!I448&gt;0,'스킬 500종'!J448&gt;0),AND(OR('스킬 500종'!K448="HEAL",'스킬 500종'!N448="HEAL",'스킬 500종'!Q448="HEAL",'스킬 500종'!T448="HEAL"),'스킬 500종'!I448=0,'스킬 500종'!J448=0),AND('스킬 500종'!I448&gt;0,OR('스킬 500종'!K448="CONTINUOUS_HEAL",'스킬 500종'!N448="CONTINUOUS_HEAL",'스킬 500종'!Q448="CONTINUOUS_HEAL",'스킬 500종'!T448="CONTINUOUS_HEAL"))),"회복 기준 오류",IF(AND(G448&lt;=H448+0.00001,'스킬 500종'!W448&gt;=1,'스킬 500종'!W448&lt;=5),"정상","초과"))</x:f>
        <x:v>정상</x:v>
      </x:c>
    </x:row>
    <x:row r="449" ht="30" customHeight="1">
      <x:c r="A449" s="1" t="str">
        <x:f>'스킬 500종'!A449</x:f>
        <x:v>SKILL_0443</x:v>
      </x:c>
      <x:c r="B449" s="1" t="str">
        <x:f>'스킬 500종'!B449</x:f>
        <x:v>은신 · 약화효과 해제 · 공격력 증가(대) · 효과저항 증가의 의식</x:v>
      </x:c>
      <x:c r="C449" s="1" t="n">
        <x:f>2.4</x:f>
        <x:v>2.4</x:v>
      </x:c>
      <x:c r="D449" s="9" t="n">
        <x:f>C449*1.24*('효과 규칙 55종'!H41*'스킬 500종'!L449*'스킬 500종'!M449/'효과 규칙 55종'!D41+'효과 규칙 55종'!H57*'스킬 500종'!O449*'스킬 500종'!P449/'효과 규칙 55종'!D57+'효과 규칙 55종'!H8*'스킬 500종'!R449*'스킬 500종'!S449/'효과 규칙 55종'!D8+'효과 규칙 55종'!H14*'스킬 500종'!U449*'스킬 500종'!V449/'효과 규칙 55종'!D14)</x:f>
        <x:v>5.022386879999998</x:v>
      </x:c>
      <x:c r="E449" s="9" t="n">
        <x:f>C449*SUM('스킬 500종'!E449:H449)</x:f>
        <x:v>0</x:v>
      </x:c>
      <x:c r="F449" s="9" t="n">
        <x:f>C449*1.4*SUM('스킬 500종'!I449:J449)</x:f>
        <x:v>0</x:v>
      </x:c>
      <x:c r="G449" s="9" t="n">
        <x:f>SUM(D449:F449)</x:f>
        <x:v>5.022386879999998</x:v>
      </x:c>
      <x:c r="H449" s="9" t="n">
        <x:f>1.1+0.8*'스킬 500종'!W449</x:f>
        <x:v>5.1</x:v>
      </x:c>
      <x:c r="I449" s="10" t="n">
        <x:f>G449/H449</x:f>
        <x:v>0.9847817411764703</x:v>
      </x:c>
      <x:c r="J449" s="1" t="str">
        <x:f>IF(OR('스킬 500종'!I449&lt;0,'스킬 500종'!J449&lt;0,AND('스킬 500종'!I449&gt;0,'스킬 500종'!J449&gt;0),AND(OR('스킬 500종'!K449="HEAL",'스킬 500종'!N449="HEAL",'스킬 500종'!Q449="HEAL",'스킬 500종'!T449="HEAL"),'스킬 500종'!I449=0,'스킬 500종'!J449=0),AND('스킬 500종'!I449&gt;0,OR('스킬 500종'!K449="CONTINUOUS_HEAL",'스킬 500종'!N449="CONTINUOUS_HEAL",'스킬 500종'!Q449="CONTINUOUS_HEAL",'스킬 500종'!T449="CONTINUOUS_HEAL"))),"회복 기준 오류",IF(AND(G449&lt;=H449+0.00001,'스킬 500종'!W449&gt;=1,'스킬 500종'!W449&lt;=5),"정상","초과"))</x:f>
        <x:v>정상</x:v>
      </x:c>
    </x:row>
    <x:row r="450" ht="30" customHeight="1">
      <x:c r="A450" s="1" t="str">
        <x:f>'스킬 500종'!A450</x:f>
        <x:v>SKILL_0444</x:v>
      </x:c>
      <x:c r="B450" s="1" t="str">
        <x:f>'스킬 500종'!B450</x:f>
        <x:v>회피 증가 · 효과저항 증가의 의식</x:v>
      </x:c>
      <x:c r="C450" s="1" t="n">
        <x:f>1.6</x:f>
        <x:v>1.6</x:v>
      </x:c>
      <x:c r="D450" s="9" t="n">
        <x:f>C450*1.08*('효과 규칙 55종'!H15*'스킬 500종'!L450*'스킬 500종'!M450/'효과 규칙 55종'!D15+'효과 규칙 55종'!H14*'스킬 500종'!O450*'스킬 500종'!P450/'효과 규칙 55종'!D14)</x:f>
        <x:v>1.8662400000000003</x:v>
      </x:c>
      <x:c r="E450" s="9" t="n">
        <x:f>C450*SUM('스킬 500종'!E450:H450)</x:f>
        <x:v>0</x:v>
      </x:c>
      <x:c r="F450" s="9" t="n">
        <x:f>C450*1.4*SUM('스킬 500종'!I450:J450)</x:f>
        <x:v>0</x:v>
      </x:c>
      <x:c r="G450" s="9" t="n">
        <x:f>SUM(D450:F450)</x:f>
        <x:v>1.8662400000000003</x:v>
      </x:c>
      <x:c r="H450" s="9" t="n">
        <x:f>1.1+0.8*'스킬 500종'!W450</x:f>
        <x:v>1.9000000000000001</x:v>
      </x:c>
      <x:c r="I450" s="10" t="n">
        <x:f>G450/H450</x:f>
        <x:v>0.9822315789473686</x:v>
      </x:c>
      <x:c r="J450" s="1" t="str">
        <x:f>IF(OR('스킬 500종'!I450&lt;0,'스킬 500종'!J450&lt;0,AND('스킬 500종'!I450&gt;0,'스킬 500종'!J450&gt;0),AND(OR('스킬 500종'!K450="HEAL",'스킬 500종'!N450="HEAL",'스킬 500종'!Q450="HEAL",'스킬 500종'!T450="HEAL"),'스킬 500종'!I450=0,'스킬 500종'!J450=0),AND('스킬 500종'!I450&gt;0,OR('스킬 500종'!K450="CONTINUOUS_HEAL",'스킬 500종'!N450="CONTINUOUS_HEAL",'스킬 500종'!Q450="CONTINUOUS_HEAL",'스킬 500종'!T450="CONTINUOUS_HEAL"))),"회복 기준 오류",IF(AND(G450&lt;=H450+0.00001,'스킬 500종'!W450&gt;=1,'스킬 500종'!W450&lt;=5),"정상","초과"))</x:f>
        <x:v>정상</x:v>
      </x:c>
    </x:row>
    <x:row r="451" ht="30" customHeight="1">
      <x:c r="A451" s="1" t="str">
        <x:f>'스킬 500종'!A451</x:f>
        <x:v>SKILL_0445</x:v>
      </x:c>
      <x:c r="B451" s="1" t="str">
        <x:f>'스킬 500종'!B451</x:f>
        <x:v>부활 · 공격력 증가 · 은신의 의식</x:v>
      </x:c>
      <x:c r="C451" s="1" t="n">
        <x:f>1</x:f>
        <x:v>1</x:v>
      </x:c>
      <x:c r="D451" s="9" t="n">
        <x:f>C451*1.16*('효과 규칙 55종'!H45*'스킬 500종'!L451*'스킬 500종'!M451/'효과 규칙 55종'!D45+'효과 규칙 55종'!H7*'스킬 500종'!O451*'스킬 500종'!P451/'효과 규칙 55종'!D7+'효과 규칙 55종'!H41*'스킬 500종'!R451*'스킬 500종'!S451/'효과 규칙 55종'!D41)</x:f>
        <x:v>4.98336</x:v>
      </x:c>
      <x:c r="E451" s="9" t="n">
        <x:f>C451*SUM('스킬 500종'!E451:H451)</x:f>
        <x:v>0</x:v>
      </x:c>
      <x:c r="F451" s="9" t="n">
        <x:f>C451*1.4*SUM('스킬 500종'!I451:J451)</x:f>
        <x:v>0</x:v>
      </x:c>
      <x:c r="G451" s="9" t="n">
        <x:f>SUM(D451:F451)</x:f>
        <x:v>4.98336</x:v>
      </x:c>
      <x:c r="H451" s="9" t="n">
        <x:f>1.1+0.8*'스킬 500종'!W451</x:f>
        <x:v>5.1</x:v>
      </x:c>
      <x:c r="I451" s="10" t="n">
        <x:f>G451/H451</x:f>
        <x:v>0.977129411764706</x:v>
      </x:c>
      <x:c r="J451" s="1" t="str">
        <x:f>IF(OR('스킬 500종'!I451&lt;0,'스킬 500종'!J451&lt;0,AND('스킬 500종'!I451&gt;0,'스킬 500종'!J451&gt;0),AND(OR('스킬 500종'!K451="HEAL",'스킬 500종'!N451="HEAL",'스킬 500종'!Q451="HEAL",'스킬 500종'!T451="HEAL"),'스킬 500종'!I451=0,'스킬 500종'!J451=0),AND('스킬 500종'!I451&gt;0,OR('스킬 500종'!K451="CONTINUOUS_HEAL",'스킬 500종'!N451="CONTINUOUS_HEAL",'스킬 500종'!Q451="CONTINUOUS_HEAL",'스킬 500종'!T451="CONTINUOUS_HEAL"))),"회복 기준 오류",IF(AND(G451&lt;=H451+0.00001,'스킬 500종'!W451&gt;=1,'스킬 500종'!W451&lt;=5),"정상","초과"))</x:f>
        <x:v>정상</x:v>
      </x:c>
    </x:row>
    <x:row r="452" ht="30" customHeight="1">
      <x:c r="A452" s="1" t="str">
        <x:f>'스킬 500종'!A452</x:f>
        <x:v>SKILL_0446</x:v>
      </x:c>
      <x:c r="B452" s="1" t="str">
        <x:f>'스킬 500종'!B452</x:f>
        <x:v>강화효과 지속시간 증가 · 치명저항 증가의 의식</x:v>
      </x:c>
      <x:c r="C452" s="1" t="n">
        <x:f>1</x:f>
        <x:v>1</x:v>
      </x:c>
      <x:c r="D452" s="9" t="n">
        <x:f>C452*1.08*('효과 규칙 55종'!H58*'스킬 500종'!L452*'스킬 500종'!M452/'효과 규칙 55종'!D58+'효과 규칙 55종'!H16*'스킬 500종'!O452*'스킬 500종'!P452/'효과 규칙 55종'!D16)</x:f>
        <x:v>1.5552000000000001</x:v>
      </x:c>
      <x:c r="E452" s="9" t="n">
        <x:f>C452*SUM('스킬 500종'!E452:H452)</x:f>
        <x:v>0</x:v>
      </x:c>
      <x:c r="F452" s="9" t="n">
        <x:f>C452*1.4*SUM('스킬 500종'!I452:J452)</x:f>
        <x:v>0</x:v>
      </x:c>
      <x:c r="G452" s="9" t="n">
        <x:f>SUM(D452:F452)</x:f>
        <x:v>1.5552000000000001</x:v>
      </x:c>
      <x:c r="H452" s="9" t="n">
        <x:f>1.1+0.8*'스킬 500종'!W452</x:f>
        <x:v>1.9000000000000001</x:v>
      </x:c>
      <x:c r="I452" s="10" t="n">
        <x:f>G452/H452</x:f>
        <x:v>0.8185263157894737</x:v>
      </x:c>
      <x:c r="J452" s="1" t="str">
        <x:f>IF(OR('스킬 500종'!I452&lt;0,'스킬 500종'!J452&lt;0,AND('스킬 500종'!I452&gt;0,'스킬 500종'!J452&gt;0),AND(OR('스킬 500종'!K452="HEAL",'스킬 500종'!N452="HEAL",'스킬 500종'!Q452="HEAL",'스킬 500종'!T452="HEAL"),'스킬 500종'!I452=0,'스킬 500종'!J452=0),AND('스킬 500종'!I452&gt;0,OR('스킬 500종'!K452="CONTINUOUS_HEAL",'스킬 500종'!N452="CONTINUOUS_HEAL",'스킬 500종'!Q452="CONTINUOUS_HEAL",'스킬 500종'!T452="CONTINUOUS_HEAL"))),"회복 기준 오류",IF(AND(G452&lt;=H452+0.00001,'스킬 500종'!W452&gt;=1,'스킬 500종'!W452&lt;=5),"정상","초과"))</x:f>
        <x:v>정상</x:v>
      </x:c>
    </x:row>
    <x:row r="453" ht="30" customHeight="1">
      <x:c r="A453" s="1" t="str">
        <x:f>'스킬 500종'!A453</x:f>
        <x:v>SKILL_0447</x:v>
      </x:c>
      <x:c r="B453" s="1" t="str">
        <x:f>'스킬 500종'!B453</x:f>
        <x:v>속도 증가 · 피해 감소 · 공격력 증가 · 소생의 의식</x:v>
      </x:c>
      <x:c r="C453" s="1" t="n">
        <x:f>1</x:f>
        <x:v>1</x:v>
      </x:c>
      <x:c r="D453" s="9" t="n">
        <x:f>C453*1.24*('효과 규칙 55종'!H10*'스킬 500종'!L453*'스킬 500종'!M453/'효과 규칙 55종'!D10+'효과 규칙 55종'!H42*'스킬 500종'!O453*'스킬 500종'!P453/'효과 규칙 55종'!D42+'효과 규칙 55종'!H7*'스킬 500종'!R453*'스킬 500종'!S453/'효과 규칙 55종'!D7+'효과 규칙 55종'!H46*'스킬 500종'!U453*'스킬 500종'!V453/'효과 규칙 55종'!D46)</x:f>
        <x:v>4.9817</x:v>
      </x:c>
      <x:c r="E453" s="9" t="n">
        <x:f>C453*SUM('스킬 500종'!E453:H453)</x:f>
        <x:v>0</x:v>
      </x:c>
      <x:c r="F453" s="9" t="n">
        <x:f>C453*1.4*SUM('스킬 500종'!I453:J453)</x:f>
        <x:v>0</x:v>
      </x:c>
      <x:c r="G453" s="9" t="n">
        <x:f>SUM(D453:F453)</x:f>
        <x:v>4.9817</x:v>
      </x:c>
      <x:c r="H453" s="9" t="n">
        <x:f>1.1+0.8*'스킬 500종'!W453</x:f>
        <x:v>5.1</x:v>
      </x:c>
      <x:c r="I453" s="10" t="n">
        <x:f>G453/H453</x:f>
        <x:v>0.9768039215686275</x:v>
      </x:c>
      <x:c r="J453" s="1" t="str">
        <x:f>IF(OR('스킬 500종'!I453&lt;0,'스킬 500종'!J453&lt;0,AND('스킬 500종'!I453&gt;0,'스킬 500종'!J453&gt;0),AND(OR('스킬 500종'!K453="HEAL",'스킬 500종'!N453="HEAL",'스킬 500종'!Q453="HEAL",'스킬 500종'!T453="HEAL"),'스킬 500종'!I453=0,'스킬 500종'!J453=0),AND('스킬 500종'!I453&gt;0,OR('스킬 500종'!K453="CONTINUOUS_HEAL",'스킬 500종'!N453="CONTINUOUS_HEAL",'스킬 500종'!Q453="CONTINUOUS_HEAL",'스킬 500종'!T453="CONTINUOUS_HEAL"))),"회복 기준 오류",IF(AND(G453&lt;=H453+0.00001,'스킬 500종'!W453&gt;=1,'스킬 500종'!W453&lt;=5),"정상","초과"))</x:f>
        <x:v>정상</x:v>
      </x:c>
    </x:row>
    <x:row r="454" ht="30" customHeight="1">
      <x:c r="A454" s="1" t="str">
        <x:f>'스킬 500종'!A454</x:f>
        <x:v>SKILL_0448</x:v>
      </x:c>
      <x:c r="B454" s="1" t="str">
        <x:f>'스킬 500종'!B454</x:f>
        <x:v>피해 반사 · 무적 · 은신의 의식</x:v>
      </x:c>
      <x:c r="C454" s="1" t="n">
        <x:f>1.6</x:f>
        <x:v>1.6</x:v>
      </x:c>
      <x:c r="D454" s="9" t="n">
        <x:f>C454*1.16*('효과 규칙 55종'!H44*'스킬 500종'!L454*'스킬 500종'!M454/'효과 규칙 55종'!D44+'효과 규칙 55종'!H38*'스킬 500종'!O454*'스킬 500종'!P454/'효과 규칙 55종'!D38+'효과 규칙 55종'!H41*'스킬 500종'!R454*'스킬 500종'!S454/'효과 규칙 55종'!D41)</x:f>
        <x:v>4.8441600000000005</x:v>
      </x:c>
      <x:c r="E454" s="9" t="n">
        <x:f>C454*SUM('스킬 500종'!E454:H454)</x:f>
        <x:v>0</x:v>
      </x:c>
      <x:c r="F454" s="9" t="n">
        <x:f>C454*1.4*SUM('스킬 500종'!I454:J454)</x:f>
        <x:v>0</x:v>
      </x:c>
      <x:c r="G454" s="9" t="n">
        <x:f>SUM(D454:F454)</x:f>
        <x:v>4.8441600000000005</x:v>
      </x:c>
      <x:c r="H454" s="9" t="n">
        <x:f>1.1+0.8*'스킬 500종'!W454</x:f>
        <x:v>5.1</x:v>
      </x:c>
      <x:c r="I454" s="10" t="n">
        <x:f>G454/H454</x:f>
        <x:v>0.9498352941176472</x:v>
      </x:c>
      <x:c r="J454" s="1" t="str">
        <x:f>IF(OR('스킬 500종'!I454&lt;0,'스킬 500종'!J454&lt;0,AND('스킬 500종'!I454&gt;0,'스킬 500종'!J454&gt;0),AND(OR('스킬 500종'!K454="HEAL",'스킬 500종'!N454="HEAL",'스킬 500종'!Q454="HEAL",'스킬 500종'!T454="HEAL"),'스킬 500종'!I454=0,'스킬 500종'!J454=0),AND('스킬 500종'!I454&gt;0,OR('스킬 500종'!K454="CONTINUOUS_HEAL",'스킬 500종'!N454="CONTINUOUS_HEAL",'스킬 500종'!Q454="CONTINUOUS_HEAL",'스킬 500종'!T454="CONTINUOUS_HEAL"))),"회복 기준 오류",IF(AND(G454&lt;=H454+0.00001,'스킬 500종'!W454&gt;=1,'스킬 500종'!W454&lt;=5),"정상","초과"))</x:f>
        <x:v>정상</x:v>
      </x:c>
    </x:row>
    <x:row r="455" ht="30" customHeight="1">
      <x:c r="A455" s="1" t="str">
        <x:f>'스킬 500종'!A455</x:f>
        <x:v>SKILL_0449</x:v>
      </x:c>
      <x:c r="B455" s="1" t="str">
        <x:f>'스킬 500종'!B455</x:f>
        <x:v>스킬 쿨타임 초기화 · 치명확률 증가 · 공격력 증가(대) · 피해 반사의 의식</x:v>
      </x:c>
      <x:c r="C455" s="1" t="n">
        <x:f>1</x:f>
        <x:v>1</x:v>
      </x:c>
      <x:c r="D455" s="9" t="n">
        <x:f>C455*1.24*('효과 규칙 55종'!H53*'스킬 500종'!L455*'스킬 500종'!M455/'효과 규칙 55종'!D53+'효과 규칙 55종'!H11*'스킬 500종'!O455*'스킬 500종'!P455/'효과 규칙 55종'!D11+'효과 규칙 55종'!H8*'스킬 500종'!R455*'스킬 500종'!S455/'효과 규칙 55종'!D8+'효과 규칙 55종'!H44*'스킬 500종'!U455*'스킬 500종'!V455/'효과 규칙 55종'!D44)</x:f>
        <x:v>3.84741</x:v>
      </x:c>
      <x:c r="E455" s="9" t="n">
        <x:f>C455*SUM('스킬 500종'!E455:H455)</x:f>
        <x:v>0</x:v>
      </x:c>
      <x:c r="F455" s="9" t="n">
        <x:f>C455*1.4*SUM('스킬 500종'!I455:J455)</x:f>
        <x:v>0</x:v>
      </x:c>
      <x:c r="G455" s="9" t="n">
        <x:f>SUM(D455:F455)</x:f>
        <x:v>3.84741</x:v>
      </x:c>
      <x:c r="H455" s="9" t="n">
        <x:f>1.1+0.8*'스킬 500종'!W455</x:f>
        <x:v>5.1</x:v>
      </x:c>
      <x:c r="I455" s="10" t="n">
        <x:f>G455/H455</x:f>
        <x:v>0.7543941176470589</x:v>
      </x:c>
      <x:c r="J455" s="1" t="str">
        <x:f>IF(OR('스킬 500종'!I455&lt;0,'스킬 500종'!J455&lt;0,AND('스킬 500종'!I455&gt;0,'스킬 500종'!J455&gt;0),AND(OR('스킬 500종'!K455="HEAL",'스킬 500종'!N455="HEAL",'스킬 500종'!Q455="HEAL",'스킬 500종'!T455="HEAL"),'스킬 500종'!I455=0,'스킬 500종'!J455=0),AND('스킬 500종'!I455&gt;0,OR('스킬 500종'!K455="CONTINUOUS_HEAL",'스킬 500종'!N455="CONTINUOUS_HEAL",'스킬 500종'!Q455="CONTINUOUS_HEAL",'스킬 500종'!T455="CONTINUOUS_HEAL"))),"회복 기준 오류",IF(AND(G455&lt;=H455+0.00001,'스킬 500종'!W455&gt;=1,'스킬 500종'!W455&lt;=5),"정상","초과"))</x:f>
        <x:v>정상</x:v>
      </x:c>
    </x:row>
    <x:row r="456" ht="30" customHeight="1">
      <x:c r="A456" s="1" t="str">
        <x:f>'스킬 500종'!A456</x:f>
        <x:v>SKILL_0450</x:v>
      </x:c>
      <x:c r="B456" s="1" t="str">
        <x:f>'스킬 500종'!B456</x:f>
        <x:v>치명피해 증가 · 속도 증가 · 지속 회복 · 생명력 회복의 의식</x:v>
      </x:c>
      <x:c r="C456" s="1" t="n">
        <x:f>1</x:f>
        <x:v>1</x:v>
      </x:c>
      <x:c r="D456" s="9" t="n">
        <x:f>C456*1.24*('효과 규칙 55종'!H12*'스킬 500종'!L456*'스킬 500종'!M456/'효과 규칙 55종'!D12+'효과 규칙 55종'!H10*'스킬 500종'!O456*'스킬 500종'!P456/'효과 규칙 55종'!D10+'효과 규칙 55종'!H35*'스킬 500종'!R456*'스킬 500종'!S456/'효과 규칙 55종'!D35+'효과 규칙 55종'!H34*'스킬 500종'!U456*'스킬 500종'!V456/'효과 규칙 55종'!D34)</x:f>
        <x:v>0.96255</x:v>
      </x:c>
      <x:c r="E456" s="9" t="n">
        <x:f>C456*SUM('스킬 500종'!E456:H456)</x:f>
        <x:v>0</x:v>
      </x:c>
      <x:c r="F456" s="9" t="n">
        <x:f>C456*1.4*SUM('스킬 500종'!I456:J456)</x:f>
        <x:v>0.252</x:v>
      </x:c>
      <x:c r="G456" s="9" t="n">
        <x:f>SUM(D456:F456)</x:f>
        <x:v>1.21455</x:v>
      </x:c>
      <x:c r="H456" s="9" t="n">
        <x:f>1.1+0.8*'스킬 500종'!W456</x:f>
        <x:v>1.9000000000000001</x:v>
      </x:c>
      <x:c r="I456" s="10" t="n">
        <x:f>G456/H456</x:f>
        <x:v>0.6392368421052631</x:v>
      </x:c>
      <x:c r="J456" s="1" t="str">
        <x:f>IF(OR('스킬 500종'!I456&lt;0,'스킬 500종'!J456&lt;0,AND('스킬 500종'!I456&gt;0,'스킬 500종'!J456&gt;0),AND(OR('스킬 500종'!K456="HEAL",'스킬 500종'!N456="HEAL",'스킬 500종'!Q456="HEAL",'스킬 500종'!T456="HEAL"),'스킬 500종'!I456=0,'스킬 500종'!J456=0),AND('스킬 500종'!I456&gt;0,OR('스킬 500종'!K456="CONTINUOUS_HEAL",'스킬 500종'!N456="CONTINUOUS_HEAL",'스킬 500종'!Q456="CONTINUOUS_HEAL",'스킬 500종'!T456="CONTINUOUS_HEAL"))),"회복 기준 오류",IF(AND(G456&lt;=H456+0.00001,'스킬 500종'!W456&gt;=1,'스킬 500종'!W456&lt;=5),"정상","초과"))</x:f>
        <x:v>정상</x:v>
      </x:c>
    </x:row>
    <x:row r="457" ht="30" customHeight="1">
      <x:c r="A457" s="1" t="str">
        <x:f>'스킬 500종'!A457</x:f>
        <x:v>SKILL_0451</x:v>
      </x:c>
      <x:c r="B457" s="1" t="str">
        <x:f>'스킬 500종'!B457</x:f>
        <x:v>보호막 · 회피 증가 · 속도 증가의 의식</x:v>
      </x:c>
      <x:c r="C457" s="1" t="n">
        <x:f>2.4</x:f>
        <x:v>2.4</x:v>
      </x:c>
      <x:c r="D457" s="9" t="n">
        <x:f>C457*1.16*('효과 규칙 55종'!H37*'스킬 500종'!L457*'스킬 500종'!M457/'효과 규칙 55종'!D37+'효과 규칙 55종'!H15*'스킬 500종'!O457*'스킬 500종'!P457/'효과 규칙 55종'!D15+'효과 규칙 55종'!H10*'스킬 500종'!R457*'스킬 500종'!S457/'효과 규칙 55종'!D10)</x:f>
        <x:v>3.474432</x:v>
      </x:c>
      <x:c r="E457" s="9" t="n">
        <x:f>C457*SUM('스킬 500종'!E457:H457)</x:f>
        <x:v>0</x:v>
      </x:c>
      <x:c r="F457" s="9" t="n">
        <x:f>C457*1.4*SUM('스킬 500종'!I457:J457)</x:f>
        <x:v>0</x:v>
      </x:c>
      <x:c r="G457" s="9" t="n">
        <x:f>SUM(D457:F457)</x:f>
        <x:v>3.474432</x:v>
      </x:c>
      <x:c r="H457" s="9" t="n">
        <x:f>1.1+0.8*'스킬 500종'!W457</x:f>
        <x:v>3.5000000000000004</x:v>
      </x:c>
      <x:c r="I457" s="10" t="n">
        <x:f>G457/H457</x:f>
        <x:v>0.9926948571428571</x:v>
      </x:c>
      <x:c r="J457" s="1" t="str">
        <x:f>IF(OR('스킬 500종'!I457&lt;0,'스킬 500종'!J457&lt;0,AND('스킬 500종'!I457&gt;0,'스킬 500종'!J457&gt;0),AND(OR('스킬 500종'!K457="HEAL",'스킬 500종'!N457="HEAL",'스킬 500종'!Q457="HEAL",'스킬 500종'!T457="HEAL"),'스킬 500종'!I457=0,'스킬 500종'!J457=0),AND('스킬 500종'!I457&gt;0,OR('스킬 500종'!K457="CONTINUOUS_HEAL",'스킬 500종'!N457="CONTINUOUS_HEAL",'스킬 500종'!Q457="CONTINUOUS_HEAL",'스킬 500종'!T457="CONTINUOUS_HEAL"))),"회복 기준 오류",IF(AND(G457&lt;=H457+0.00001,'스킬 500종'!W457&gt;=1,'스킬 500종'!W457&lt;=5),"정상","초과"))</x:f>
        <x:v>정상</x:v>
      </x:c>
    </x:row>
    <x:row r="458" ht="30" customHeight="1">
      <x:c r="A458" s="1" t="str">
        <x:f>'스킬 500종'!A458</x:f>
        <x:v>SKILL_0452</x:v>
      </x:c>
      <x:c r="B458" s="1" t="str">
        <x:f>'스킬 500종'!B458</x:f>
        <x:v>속도 증가 · 부활의 의식</x:v>
      </x:c>
      <x:c r="C458" s="1" t="n">
        <x:f>1</x:f>
        <x:v>1</x:v>
      </x:c>
      <x:c r="D458" s="9" t="n">
        <x:f>C458*1.08*('효과 규칙 55종'!H10*'스킬 500종'!L458*'스킬 500종'!M458/'효과 규칙 55종'!D10+'효과 규칙 55종'!H45*'스킬 500종'!O458*'스킬 500종'!P458/'효과 규칙 55종'!D45)</x:f>
        <x:v>4.7358</x:v>
      </x:c>
      <x:c r="E458" s="9" t="n">
        <x:f>C458*SUM('스킬 500종'!E458:H458)</x:f>
        <x:v>0</x:v>
      </x:c>
      <x:c r="F458" s="9" t="n">
        <x:f>C458*1.4*SUM('스킬 500종'!I458:J458)</x:f>
        <x:v>0</x:v>
      </x:c>
      <x:c r="G458" s="9" t="n">
        <x:f>SUM(D458:F458)</x:f>
        <x:v>4.7358</x:v>
      </x:c>
      <x:c r="H458" s="9" t="n">
        <x:f>1.1+0.8*'스킬 500종'!W458</x:f>
        <x:v>5.1</x:v>
      </x:c>
      <x:c r="I458" s="10" t="n">
        <x:f>G458/H458</x:f>
        <x:v>0.9285882352941177</x:v>
      </x:c>
      <x:c r="J458" s="1" t="str">
        <x:f>IF(OR('스킬 500종'!I458&lt;0,'스킬 500종'!J458&lt;0,AND('스킬 500종'!I458&gt;0,'스킬 500종'!J458&gt;0),AND(OR('스킬 500종'!K458="HEAL",'스킬 500종'!N458="HEAL",'스킬 500종'!Q458="HEAL",'스킬 500종'!T458="HEAL"),'스킬 500종'!I458=0,'스킬 500종'!J458=0),AND('스킬 500종'!I458&gt;0,OR('스킬 500종'!K458="CONTINUOUS_HEAL",'스킬 500종'!N458="CONTINUOUS_HEAL",'스킬 500종'!Q458="CONTINUOUS_HEAL",'스킬 500종'!T458="CONTINUOUS_HEAL"))),"회복 기준 오류",IF(AND(G458&lt;=H458+0.00001,'스킬 500종'!W458&gt;=1,'스킬 500종'!W458&lt;=5),"정상","초과"))</x:f>
        <x:v>정상</x:v>
      </x:c>
    </x:row>
    <x:row r="459" ht="30" customHeight="1">
      <x:c r="A459" s="1" t="str">
        <x:f>'스킬 500종'!A459</x:f>
        <x:v>SKILL_0453</x:v>
      </x:c>
      <x:c r="B459" s="1" t="str">
        <x:f>'스킬 500종'!B459</x:f>
        <x:v>스킬 쿨타임 초기화 · 방어력 증가의 의식</x:v>
      </x:c>
      <x:c r="C459" s="1" t="n">
        <x:f>1</x:f>
        <x:v>1</x:v>
      </x:c>
      <x:c r="D459" s="9" t="n">
        <x:f>C459*1.08*('효과 규칙 55종'!H53*'스킬 500종'!L459*'스킬 500종'!M459/'효과 규칙 55종'!D53+'효과 규칙 55종'!H9*'스킬 500종'!O459*'스킬 500종'!P459/'효과 규칙 55종'!D9)</x:f>
        <x:v>3.5478000000000005</x:v>
      </x:c>
      <x:c r="E459" s="9" t="n">
        <x:f>C459*SUM('스킬 500종'!E459:H459)</x:f>
        <x:v>0</x:v>
      </x:c>
      <x:c r="F459" s="9" t="n">
        <x:f>C459*1.4*SUM('스킬 500종'!I459:J459)</x:f>
        <x:v>0</x:v>
      </x:c>
      <x:c r="G459" s="9" t="n">
        <x:f>SUM(D459:F459)</x:f>
        <x:v>3.5478000000000005</x:v>
      </x:c>
      <x:c r="H459" s="9" t="n">
        <x:f>1.1+0.8*'스킬 500종'!W459</x:f>
        <x:v>5.1</x:v>
      </x:c>
      <x:c r="I459" s="10" t="n">
        <x:f>G459/H459</x:f>
        <x:v>0.6956470588235295</x:v>
      </x:c>
      <x:c r="J459" s="1" t="str">
        <x:f>IF(OR('스킬 500종'!I459&lt;0,'스킬 500종'!J459&lt;0,AND('스킬 500종'!I459&gt;0,'스킬 500종'!J459&gt;0),AND(OR('스킬 500종'!K459="HEAL",'스킬 500종'!N459="HEAL",'스킬 500종'!Q459="HEAL",'스킬 500종'!T459="HEAL"),'스킬 500종'!I459=0,'스킬 500종'!J459=0),AND('스킬 500종'!I459&gt;0,OR('스킬 500종'!K459="CONTINUOUS_HEAL",'스킬 500종'!N459="CONTINUOUS_HEAL",'스킬 500종'!Q459="CONTINUOUS_HEAL",'스킬 500종'!T459="CONTINUOUS_HEAL"))),"회복 기준 오류",IF(AND(G459&lt;=H459+0.00001,'스킬 500종'!W459&gt;=1,'스킬 500종'!W459&lt;=5),"정상","초과"))</x:f>
        <x:v>정상</x:v>
      </x:c>
    </x:row>
    <x:row r="460" ht="30" customHeight="1">
      <x:c r="A460" s="1" t="str">
        <x:f>'스킬 500종'!A460</x:f>
        <x:v>SKILL_0454</x:v>
      </x:c>
      <x:c r="B460" s="1" t="str">
        <x:f>'스킬 500종'!B460</x:f>
        <x:v>스킬 쿨타임 감소 · 피해 감소 · 은신 · 생명력 회복의 의식</x:v>
      </x:c>
      <x:c r="C460" s="1" t="n">
        <x:f>1</x:f>
        <x:v>1</x:v>
      </x:c>
      <x:c r="D460" s="9" t="n">
        <x:f>C460*1.24*('효과 규칙 55종'!H52*'스킬 500종'!L460*'스킬 500종'!M460/'효과 규칙 55종'!D52+'효과 규칙 55종'!H42*'스킬 500종'!O460*'스킬 500종'!P460/'효과 규칙 55종'!D42+'효과 규칙 55종'!H41*'스킬 500종'!R460*'스킬 500종'!S460/'효과 규칙 55종'!D41+'효과 규칙 55종'!H34*'스킬 500종'!U460*'스킬 500종'!V460/'효과 규칙 55종'!D34)</x:f>
        <x:v>2.21774</x:v>
      </x:c>
      <x:c r="E460" s="9" t="n">
        <x:f>C460*SUM('스킬 500종'!E460:H460)</x:f>
        <x:v>0</x:v>
      </x:c>
      <x:c r="F460" s="9" t="n">
        <x:f>C460*1.4*SUM('스킬 500종'!I460:J460)</x:f>
        <x:v>0.252</x:v>
      </x:c>
      <x:c r="G460" s="9" t="n">
        <x:f>SUM(D460:F460)</x:f>
        <x:v>2.46974</x:v>
      </x:c>
      <x:c r="H460" s="9" t="n">
        <x:f>1.1+0.8*'스킬 500종'!W460</x:f>
        <x:v>2.7</x:v>
      </x:c>
      <x:c r="I460" s="10" t="n">
        <x:f>G460/H460</x:f>
        <x:v>0.9147185185185184</x:v>
      </x:c>
      <x:c r="J460" s="1" t="str">
        <x:f>IF(OR('스킬 500종'!I460&lt;0,'스킬 500종'!J460&lt;0,AND('스킬 500종'!I460&gt;0,'스킬 500종'!J460&gt;0),AND(OR('스킬 500종'!K460="HEAL",'스킬 500종'!N460="HEAL",'스킬 500종'!Q460="HEAL",'스킬 500종'!T460="HEAL"),'스킬 500종'!I460=0,'스킬 500종'!J460=0),AND('스킬 500종'!I460&gt;0,OR('스킬 500종'!K460="CONTINUOUS_HEAL",'스킬 500종'!N460="CONTINUOUS_HEAL",'스킬 500종'!Q460="CONTINUOUS_HEAL",'스킬 500종'!T460="CONTINUOUS_HEAL"))),"회복 기준 오류",IF(AND(G460&lt;=H460+0.00001,'스킬 500종'!W460&gt;=1,'스킬 500종'!W460&lt;=5),"정상","초과"))</x:f>
        <x:v>정상</x:v>
      </x:c>
    </x:row>
    <x:row r="461" ht="30" customHeight="1">
      <x:c r="A461" s="1" t="str">
        <x:f>'스킬 500종'!A461</x:f>
        <x:v>SKILL_0455</x:v>
      </x:c>
      <x:c r="B461" s="1" t="str">
        <x:f>'스킬 500종'!B461</x:f>
        <x:v>방어력 증가 · 속도 증가의 의식</x:v>
      </x:c>
      <x:c r="C461" s="1" t="n">
        <x:f>2.4</x:f>
        <x:v>2.4</x:v>
      </x:c>
      <x:c r="D461" s="9" t="n">
        <x:f>C461*1.08*('효과 규칙 55종'!H9*'스킬 500종'!L461*'스킬 500종'!M461/'효과 규칙 55종'!D9+'효과 규칙 55종'!H10*'스킬 500종'!O461*'스킬 500종'!P461/'효과 규칙 55종'!D10)</x:f>
        <x:v>2.79936</x:v>
      </x:c>
      <x:c r="E461" s="9" t="n">
        <x:f>C461*SUM('스킬 500종'!E461:H461)</x:f>
        <x:v>0</x:v>
      </x:c>
      <x:c r="F461" s="9" t="n">
        <x:f>C461*1.4*SUM('스킬 500종'!I461:J461)</x:f>
        <x:v>0</x:v>
      </x:c>
      <x:c r="G461" s="9" t="n">
        <x:f>SUM(D461:F461)</x:f>
        <x:v>2.79936</x:v>
      </x:c>
      <x:c r="H461" s="9" t="n">
        <x:f>1.1+0.8*'스킬 500종'!W461</x:f>
        <x:v>3.5000000000000004</x:v>
      </x:c>
      <x:c r="I461" s="10" t="n">
        <x:f>G461/H461</x:f>
        <x:v>0.7998171428571428</x:v>
      </x:c>
      <x:c r="J461" s="1" t="str">
        <x:f>IF(OR('스킬 500종'!I461&lt;0,'스킬 500종'!J461&lt;0,AND('스킬 500종'!I461&gt;0,'스킬 500종'!J461&gt;0),AND(OR('스킬 500종'!K461="HEAL",'스킬 500종'!N461="HEAL",'스킬 500종'!Q461="HEAL",'스킬 500종'!T461="HEAL"),'스킬 500종'!I461=0,'스킬 500종'!J461=0),AND('스킬 500종'!I461&gt;0,OR('스킬 500종'!K461="CONTINUOUS_HEAL",'스킬 500종'!N461="CONTINUOUS_HEAL",'스킬 500종'!Q461="CONTINUOUS_HEAL",'스킬 500종'!T461="CONTINUOUS_HEAL"))),"회복 기준 오류",IF(AND(G461&lt;=H461+0.00001,'스킬 500종'!W461&gt;=1,'스킬 500종'!W461&lt;=5),"정상","초과"))</x:f>
        <x:v>정상</x:v>
      </x:c>
    </x:row>
    <x:row r="462" ht="30" customHeight="1">
      <x:c r="A462" s="1" t="str">
        <x:f>'스킬 500종'!A462</x:f>
        <x:v>SKILL_0456</x:v>
      </x:c>
      <x:c r="B462" s="1" t="str">
        <x:f>'스킬 500종'!B462</x:f>
        <x:v>효과저항 증가 · 소생의 의식</x:v>
      </x:c>
      <x:c r="C462" s="1" t="n">
        <x:f>1</x:f>
        <x:v>1</x:v>
      </x:c>
      <x:c r="D462" s="9" t="n">
        <x:f>C462*1.08*('효과 규칙 55종'!H14*'스킬 500종'!L462*'스킬 500종'!M462/'효과 규칙 55종'!D14+'효과 규칙 55종'!H46*'스킬 500종'!O462*'스킬 500종'!P462/'효과 규칙 55종'!D46)</x:f>
        <x:v>4.1094</x:v>
      </x:c>
      <x:c r="E462" s="9" t="n">
        <x:f>C462*SUM('스킬 500종'!E462:H462)</x:f>
        <x:v>0</x:v>
      </x:c>
      <x:c r="F462" s="9" t="n">
        <x:f>C462*1.4*SUM('스킬 500종'!I462:J462)</x:f>
        <x:v>0</x:v>
      </x:c>
      <x:c r="G462" s="9" t="n">
        <x:f>SUM(D462:F462)</x:f>
        <x:v>4.1094</x:v>
      </x:c>
      <x:c r="H462" s="9" t="n">
        <x:f>1.1+0.8*'스킬 500종'!W462</x:f>
        <x:v>5.1</x:v>
      </x:c>
      <x:c r="I462" s="10" t="n">
        <x:f>G462/H462</x:f>
        <x:v>0.8057647058823529</x:v>
      </x:c>
      <x:c r="J462" s="1" t="str">
        <x:f>IF(OR('스킬 500종'!I462&lt;0,'스킬 500종'!J462&lt;0,AND('스킬 500종'!I462&gt;0,'스킬 500종'!J462&gt;0),AND(OR('스킬 500종'!K462="HEAL",'스킬 500종'!N462="HEAL",'스킬 500종'!Q462="HEAL",'스킬 500종'!T462="HEAL"),'스킬 500종'!I462=0,'스킬 500종'!J462=0),AND('스킬 500종'!I462&gt;0,OR('스킬 500종'!K462="CONTINUOUS_HEAL",'스킬 500종'!N462="CONTINUOUS_HEAL",'스킬 500종'!Q462="CONTINUOUS_HEAL",'스킬 500종'!T462="CONTINUOUS_HEAL"))),"회복 기준 오류",IF(AND(G462&lt;=H462+0.00001,'스킬 500종'!W462&gt;=1,'스킬 500종'!W462&lt;=5),"정상","초과"))</x:f>
        <x:v>정상</x:v>
      </x:c>
    </x:row>
    <x:row r="463" ht="30" customHeight="1">
      <x:c r="A463" s="1" t="str">
        <x:f>'스킬 500종'!A463</x:f>
        <x:v>SKILL_0457</x:v>
      </x:c>
      <x:c r="B463" s="1" t="str">
        <x:f>'스킬 500종'!B463</x:f>
        <x:v>치명확률 증가 · 강화효과 지속시간 증가의 의식</x:v>
      </x:c>
      <x:c r="C463" s="1" t="n">
        <x:f>1</x:f>
        <x:v>1</x:v>
      </x:c>
      <x:c r="D463" s="9" t="n">
        <x:f>C463*1.08*('효과 규칙 55종'!H11*'스킬 500종'!L463*'스킬 500종'!M463/'효과 규칙 55종'!D11+'효과 규칙 55종'!H58*'스킬 500종'!O463*'스킬 500종'!P463/'효과 규칙 55종'!D58)</x:f>
        <x:v>1.4580000000000002</x:v>
      </x:c>
      <x:c r="E463" s="9" t="n">
        <x:f>C463*SUM('스킬 500종'!E463:H463)</x:f>
        <x:v>0</x:v>
      </x:c>
      <x:c r="F463" s="9" t="n">
        <x:f>C463*1.4*SUM('스킬 500종'!I463:J463)</x:f>
        <x:v>0</x:v>
      </x:c>
      <x:c r="G463" s="9" t="n">
        <x:f>SUM(D463:F463)</x:f>
        <x:v>1.4580000000000002</x:v>
      </x:c>
      <x:c r="H463" s="9" t="n">
        <x:f>1.1+0.8*'스킬 500종'!W463</x:f>
        <x:v>1.9000000000000001</x:v>
      </x:c>
      <x:c r="I463" s="10" t="n">
        <x:f>G463/H463</x:f>
        <x:v>0.7673684210526316</x:v>
      </x:c>
      <x:c r="J463" s="1" t="str">
        <x:f>IF(OR('스킬 500종'!I463&lt;0,'스킬 500종'!J463&lt;0,AND('스킬 500종'!I463&gt;0,'스킬 500종'!J463&gt;0),AND(OR('스킬 500종'!K463="HEAL",'스킬 500종'!N463="HEAL",'스킬 500종'!Q463="HEAL",'스킬 500종'!T463="HEAL"),'스킬 500종'!I463=0,'스킬 500종'!J463=0),AND('스킬 500종'!I463&gt;0,OR('스킬 500종'!K463="CONTINUOUS_HEAL",'스킬 500종'!N463="CONTINUOUS_HEAL",'스킬 500종'!Q463="CONTINUOUS_HEAL",'스킬 500종'!T463="CONTINUOUS_HEAL"))),"회복 기준 오류",IF(AND(G463&lt;=H463+0.00001,'스킬 500종'!W463&gt;=1,'스킬 500종'!W463&lt;=5),"정상","초과"))</x:f>
        <x:v>정상</x:v>
      </x:c>
    </x:row>
    <x:row r="464" ht="30" customHeight="1">
      <x:c r="A464" s="1" t="str">
        <x:f>'스킬 500종'!A464</x:f>
        <x:v>SKILL_0458</x:v>
      </x:c>
      <x:c r="B464" s="1" t="str">
        <x:f>'스킬 500종'!B464</x:f>
        <x:v>속도 증가 · 명중 증가 · 피해 감소의 의식</x:v>
      </x:c>
      <x:c r="C464" s="1" t="n">
        <x:f>1</x:f>
        <x:v>1</x:v>
      </x:c>
      <x:c r="D464" s="9" t="n">
        <x:f>C464*1.16*('효과 규칙 55종'!H10*'스킬 500종'!L464*'스킬 500종'!M464/'효과 규칙 55종'!D10+'효과 규칙 55종'!H17*'스킬 500종'!O464*'스킬 500종'!P464/'효과 규칙 55종'!D17+'효과 규칙 55종'!H42*'스킬 500종'!R464*'스킬 500종'!S464/'효과 규칙 55종'!D42)</x:f>
        <x:v>1.2992000000000001</x:v>
      </x:c>
      <x:c r="E464" s="9" t="n">
        <x:f>C464*SUM('스킬 500종'!E464:H464)</x:f>
        <x:v>0</x:v>
      </x:c>
      <x:c r="F464" s="9" t="n">
        <x:f>C464*1.4*SUM('스킬 500종'!I464:J464)</x:f>
        <x:v>0</x:v>
      </x:c>
      <x:c r="G464" s="9" t="n">
        <x:f>SUM(D464:F464)</x:f>
        <x:v>1.2992000000000001</x:v>
      </x:c>
      <x:c r="H464" s="9" t="n">
        <x:f>1.1+0.8*'스킬 500종'!W464</x:f>
        <x:v>1.9000000000000001</x:v>
      </x:c>
      <x:c r="I464" s="10" t="n">
        <x:f>G464/H464</x:f>
        <x:v>0.6837894736842105</x:v>
      </x:c>
      <x:c r="J464" s="1" t="str">
        <x:f>IF(OR('스킬 500종'!I464&lt;0,'스킬 500종'!J464&lt;0,AND('스킬 500종'!I464&gt;0,'스킬 500종'!J464&gt;0),AND(OR('스킬 500종'!K464="HEAL",'스킬 500종'!N464="HEAL",'스킬 500종'!Q464="HEAL",'스킬 500종'!T464="HEAL"),'스킬 500종'!I464=0,'스킬 500종'!J464=0),AND('스킬 500종'!I464&gt;0,OR('스킬 500종'!K464="CONTINUOUS_HEAL",'스킬 500종'!N464="CONTINUOUS_HEAL",'스킬 500종'!Q464="CONTINUOUS_HEAL",'스킬 500종'!T464="CONTINUOUS_HEAL"))),"회복 기준 오류",IF(AND(G464&lt;=H464+0.00001,'스킬 500종'!W464&gt;=1,'스킬 500종'!W464&lt;=5),"정상","초과"))</x:f>
        <x:v>정상</x:v>
      </x:c>
    </x:row>
    <x:row r="465" ht="30" customHeight="1">
      <x:c r="A465" s="1" t="str">
        <x:f>'스킬 500종'!A465</x:f>
        <x:v>SKILL_0459</x:v>
      </x:c>
      <x:c r="B465" s="1" t="str">
        <x:f>'스킬 500종'!B465</x:f>
        <x:v>반격 · 명중 증가 · 부활의 의식</x:v>
      </x:c>
      <x:c r="C465" s="1" t="n">
        <x:f>1</x:f>
        <x:v>1</x:v>
      </x:c>
      <x:c r="D465" s="9" t="n">
        <x:f>C465*1.16*('효과 규칙 55종'!H51*'스킬 500종'!L465*'스킬 500종'!M465/'효과 규칙 55종'!D51+'효과 규칙 55종'!H17*'스킬 500종'!O465*'스킬 500종'!P465/'효과 규칙 55종'!D17+'효과 규칙 55종'!H45*'스킬 500종'!R465*'스킬 500종'!S465/'효과 규칙 55종'!D45)</x:f>
        <x:v>5.045999999999999</x:v>
      </x:c>
      <x:c r="E465" s="9" t="n">
        <x:f>C465*SUM('스킬 500종'!E465:H465)</x:f>
        <x:v>0</x:v>
      </x:c>
      <x:c r="F465" s="9" t="n">
        <x:f>C465*1.4*SUM('스킬 500종'!I465:J465)</x:f>
        <x:v>0</x:v>
      </x:c>
      <x:c r="G465" s="9" t="n">
        <x:f>SUM(D465:F465)</x:f>
        <x:v>5.045999999999999</x:v>
      </x:c>
      <x:c r="H465" s="9" t="n">
        <x:f>1.1+0.8*'스킬 500종'!W465</x:f>
        <x:v>5.1</x:v>
      </x:c>
      <x:c r="I465" s="10" t="n">
        <x:f>G465/H465</x:f>
        <x:v>0.9894117647058823</x:v>
      </x:c>
      <x:c r="J465" s="1" t="str">
        <x:f>IF(OR('스킬 500종'!I465&lt;0,'스킬 500종'!J465&lt;0,AND('스킬 500종'!I465&gt;0,'스킬 500종'!J465&gt;0),AND(OR('스킬 500종'!K465="HEAL",'스킬 500종'!N465="HEAL",'스킬 500종'!Q465="HEAL",'스킬 500종'!T465="HEAL"),'스킬 500종'!I465=0,'스킬 500종'!J465=0),AND('스킬 500종'!I465&gt;0,OR('스킬 500종'!K465="CONTINUOUS_HEAL",'스킬 500종'!N465="CONTINUOUS_HEAL",'스킬 500종'!Q465="CONTINUOUS_HEAL",'스킬 500종'!T465="CONTINUOUS_HEAL"))),"회복 기준 오류",IF(AND(G465&lt;=H465+0.00001,'스킬 500종'!W465&gt;=1,'스킬 500종'!W465&lt;=5),"정상","초과"))</x:f>
        <x:v>정상</x:v>
      </x:c>
    </x:row>
    <x:row r="466" ht="30" customHeight="1">
      <x:c r="A466" s="1" t="str">
        <x:f>'스킬 500종'!A466</x:f>
        <x:v>SKILL_0460</x:v>
      </x:c>
      <x:c r="B466" s="1" t="str">
        <x:f>'스킬 500종'!B466</x:f>
        <x:v>치명저항 증가 · 치명확률 증가 · 은신의 의식</x:v>
      </x:c>
      <x:c r="C466" s="1" t="n">
        <x:f>1.6</x:f>
        <x:v>1.6</x:v>
      </x:c>
      <x:c r="D466" s="9" t="n">
        <x:f>C466*1.16*('효과 규칙 55종'!H16*'스킬 500종'!L466*'스킬 500종'!M466/'효과 규칙 55종'!D16+'효과 규칙 55종'!H11*'스킬 500종'!O466*'스킬 500종'!P466/'효과 규칙 55종'!D11+'효과 규칙 55종'!H41*'스킬 500종'!R466*'스킬 500종'!S466/'효과 규칙 55종'!D41)</x:f>
        <x:v>2.494464</x:v>
      </x:c>
      <x:c r="E466" s="9" t="n">
        <x:f>C466*SUM('스킬 500종'!E466:H466)</x:f>
        <x:v>0</x:v>
      </x:c>
      <x:c r="F466" s="9" t="n">
        <x:f>C466*1.4*SUM('스킬 500종'!I466:J466)</x:f>
        <x:v>0</x:v>
      </x:c>
      <x:c r="G466" s="9" t="n">
        <x:f>SUM(D466:F466)</x:f>
        <x:v>2.494464</x:v>
      </x:c>
      <x:c r="H466" s="9" t="n">
        <x:f>1.1+0.8*'스킬 500종'!W466</x:f>
        <x:v>2.7</x:v>
      </x:c>
      <x:c r="I466" s="10" t="n">
        <x:f>G466/H466</x:f>
        <x:v>0.9238755555555554</x:v>
      </x:c>
      <x:c r="J466" s="1" t="str">
        <x:f>IF(OR('스킬 500종'!I466&lt;0,'스킬 500종'!J466&lt;0,AND('스킬 500종'!I466&gt;0,'스킬 500종'!J466&gt;0),AND(OR('스킬 500종'!K466="HEAL",'스킬 500종'!N466="HEAL",'스킬 500종'!Q466="HEAL",'스킬 500종'!T466="HEAL"),'스킬 500종'!I466=0,'스킬 500종'!J466=0),AND('스킬 500종'!I466&gt;0,OR('스킬 500종'!K466="CONTINUOUS_HEAL",'스킬 500종'!N466="CONTINUOUS_HEAL",'스킬 500종'!Q466="CONTINUOUS_HEAL",'스킬 500종'!T466="CONTINUOUS_HEAL"))),"회복 기준 오류",IF(AND(G466&lt;=H466+0.00001,'스킬 500종'!W466&gt;=1,'스킬 500종'!W466&lt;=5),"정상","초과"))</x:f>
        <x:v>정상</x:v>
      </x:c>
    </x:row>
    <x:row r="467" ht="30" customHeight="1">
      <x:c r="A467" s="1" t="str">
        <x:f>'스킬 500종'!A467</x:f>
        <x:v>SKILL_0461</x:v>
      </x:c>
      <x:c r="B467" s="1" t="str">
        <x:f>'스킬 500종'!B467</x:f>
        <x:v>방어력 증가 · 효과적중 증가 · 생명력 회복 · 효과저항 증가의 의식</x:v>
      </x:c>
      <x:c r="C467" s="1" t="n">
        <x:f>1</x:f>
        <x:v>1</x:v>
      </x:c>
      <x:c r="D467" s="9" t="n">
        <x:f>C467*1.24*('효과 규칙 55종'!H9*'스킬 500종'!L467*'스킬 500종'!M467/'효과 규칙 55종'!D9+'효과 규칙 55종'!H13*'스킬 500종'!O467*'스킬 500종'!P467/'효과 규칙 55종'!D13+'효과 규칙 55종'!H34*'스킬 500종'!R467*'스킬 500종'!S467/'효과 규칙 55종'!D34+'효과 규칙 55종'!H14*'스킬 500종'!U467*'스킬 500종'!V467/'효과 규칙 55종'!D14)</x:f>
        <x:v>0.8189703999999999</x:v>
      </x:c>
      <x:c r="E467" s="9" t="n">
        <x:f>C467*SUM('스킬 500종'!E467:H467)</x:f>
        <x:v>0</x:v>
      </x:c>
      <x:c r="F467" s="9" t="n">
        <x:f>C467*1.4*SUM('스킬 500종'!I467:J467)</x:f>
        <x:v>0.252</x:v>
      </x:c>
      <x:c r="G467" s="9" t="n">
        <x:f>SUM(D467:F467)</x:f>
        <x:v>1.0709703999999998</x:v>
      </x:c>
      <x:c r="H467" s="9" t="n">
        <x:f>1.1+0.8*'스킬 500종'!W467</x:f>
        <x:v>1.9000000000000001</x:v>
      </x:c>
      <x:c r="I467" s="10" t="n">
        <x:f>G467/H467</x:f>
        <x:v>0.5636686315789472</x:v>
      </x:c>
      <x:c r="J467" s="1" t="str">
        <x:f>IF(OR('스킬 500종'!I467&lt;0,'스킬 500종'!J467&lt;0,AND('스킬 500종'!I467&gt;0,'스킬 500종'!J467&gt;0),AND(OR('스킬 500종'!K467="HEAL",'스킬 500종'!N467="HEAL",'스킬 500종'!Q467="HEAL",'스킬 500종'!T467="HEAL"),'스킬 500종'!I467=0,'스킬 500종'!J467=0),AND('스킬 500종'!I467&gt;0,OR('스킬 500종'!K467="CONTINUOUS_HEAL",'스킬 500종'!N467="CONTINUOUS_HEAL",'스킬 500종'!Q467="CONTINUOUS_HEAL",'스킬 500종'!T467="CONTINUOUS_HEAL"))),"회복 기준 오류",IF(AND(G467&lt;=H467+0.00001,'스킬 500종'!W467&gt;=1,'스킬 500종'!W467&lt;=5),"정상","초과"))</x:f>
        <x:v>정상</x:v>
      </x:c>
    </x:row>
    <x:row r="468" ht="30" customHeight="1">
      <x:c r="A468" s="1" t="str">
        <x:f>'스킬 500종'!A468</x:f>
        <x:v>SKILL_0462</x:v>
      </x:c>
      <x:c r="B468" s="1" t="str">
        <x:f>'스킬 500종'!B468</x:f>
        <x:v>생명력 회복 · 치명저항 증가 · 공격력 증가(대) · 스킬 쿨타임 감소의 의식</x:v>
      </x:c>
      <x:c r="C468" s="1" t="n">
        <x:f>1</x:f>
        <x:v>1</x:v>
      </x:c>
      <x:c r="D468" s="9" t="n">
        <x:f>C468*1.24*('효과 규칙 55종'!H34*'스킬 500종'!L468*'스킬 500종'!M468/'효과 규칙 55종'!D34+'효과 규칙 55종'!H16*'스킬 500종'!O468*'스킬 500종'!P468/'효과 규칙 55종'!D16+'효과 규칙 55종'!H8*'스킬 500종'!R468*'스킬 500종'!S468/'효과 규칙 55종'!D8+'효과 규칙 55종'!H52*'스킬 500종'!U468*'스킬 500종'!V468/'효과 규칙 55종'!D52)</x:f>
        <x:v>2.0039515999999997</x:v>
      </x:c>
      <x:c r="E468" s="9" t="n">
        <x:f>C468*SUM('스킬 500종'!E468:H468)</x:f>
        <x:v>0</x:v>
      </x:c>
      <x:c r="F468" s="9" t="n">
        <x:f>C468*1.4*SUM('스킬 500종'!I468:J468)</x:f>
        <x:v>0.252</x:v>
      </x:c>
      <x:c r="G468" s="9" t="n">
        <x:f>SUM(D468:F468)</x:f>
        <x:v>2.2559515999999995</x:v>
      </x:c>
      <x:c r="H468" s="9" t="n">
        <x:f>1.1+0.8*'스킬 500종'!W468</x:f>
        <x:v>2.7</x:v>
      </x:c>
      <x:c r="I468" s="10" t="n">
        <x:f>G468/H468</x:f>
        <x:v>0.8355376296296294</x:v>
      </x:c>
      <x:c r="J468" s="1" t="str">
        <x:f>IF(OR('스킬 500종'!I468&lt;0,'스킬 500종'!J468&lt;0,AND('스킬 500종'!I468&gt;0,'스킬 500종'!J468&gt;0),AND(OR('스킬 500종'!K468="HEAL",'스킬 500종'!N468="HEAL",'스킬 500종'!Q468="HEAL",'스킬 500종'!T468="HEAL"),'스킬 500종'!I468=0,'스킬 500종'!J468=0),AND('스킬 500종'!I468&gt;0,OR('스킬 500종'!K468="CONTINUOUS_HEAL",'스킬 500종'!N468="CONTINUOUS_HEAL",'스킬 500종'!Q468="CONTINUOUS_HEAL",'스킬 500종'!T468="CONTINUOUS_HEAL"))),"회복 기준 오류",IF(AND(G468&lt;=H468+0.00001,'스킬 500종'!W468&gt;=1,'스킬 500종'!W468&lt;=5),"정상","초과"))</x:f>
        <x:v>정상</x:v>
      </x:c>
    </x:row>
    <x:row r="469" ht="30" customHeight="1">
      <x:c r="A469" s="1" t="str">
        <x:f>'스킬 500종'!A469</x:f>
        <x:v>SKILL_0463</x:v>
      </x:c>
      <x:c r="B469" s="1" t="str">
        <x:f>'스킬 500종'!B469</x:f>
        <x:v>피해 분담 · 회피 증가의 의식</x:v>
      </x:c>
      <x:c r="C469" s="1" t="n">
        <x:f>1</x:f>
        <x:v>1</x:v>
      </x:c>
      <x:c r="D469" s="9" t="n">
        <x:f>C469*1.08*('효과 규칙 55종'!H43*'스킬 500종'!L469*'스킬 500종'!M469/'효과 규칙 55종'!D43+'효과 규칙 55종'!H15*'스킬 500종'!O469*'스킬 500종'!P469/'효과 규칙 55종'!D15)</x:f>
        <x:v>1.5066000000000006</x:v>
      </x:c>
      <x:c r="E469" s="9" t="n">
        <x:f>C469*SUM('스킬 500종'!E469:H469)</x:f>
        <x:v>0</x:v>
      </x:c>
      <x:c r="F469" s="9" t="n">
        <x:f>C469*1.4*SUM('스킬 500종'!I469:J469)</x:f>
        <x:v>0</x:v>
      </x:c>
      <x:c r="G469" s="9" t="n">
        <x:f>SUM(D469:F469)</x:f>
        <x:v>1.5066000000000006</x:v>
      </x:c>
      <x:c r="H469" s="9" t="n">
        <x:f>1.1+0.8*'스킬 500종'!W469</x:f>
        <x:v>1.9000000000000001</x:v>
      </x:c>
      <x:c r="I469" s="10" t="n">
        <x:f>G469/H469</x:f>
        <x:v>0.7929473684210528</x:v>
      </x:c>
      <x:c r="J469" s="1" t="str">
        <x:f>IF(OR('스킬 500종'!I469&lt;0,'스킬 500종'!J469&lt;0,AND('스킬 500종'!I469&gt;0,'스킬 500종'!J469&gt;0),AND(OR('스킬 500종'!K469="HEAL",'스킬 500종'!N469="HEAL",'스킬 500종'!Q469="HEAL",'스킬 500종'!T469="HEAL"),'스킬 500종'!I469=0,'스킬 500종'!J469=0),AND('스킬 500종'!I469&gt;0,OR('스킬 500종'!K469="CONTINUOUS_HEAL",'스킬 500종'!N469="CONTINUOUS_HEAL",'스킬 500종'!Q469="CONTINUOUS_HEAL",'스킬 500종'!T469="CONTINUOUS_HEAL"))),"회복 기준 오류",IF(AND(G469&lt;=H469+0.00001,'스킬 500종'!W469&gt;=1,'스킬 500종'!W469&lt;=5),"정상","초과"))</x:f>
        <x:v>정상</x:v>
      </x:c>
    </x:row>
    <x:row r="470" ht="30" customHeight="1">
      <x:c r="A470" s="1" t="str">
        <x:f>'스킬 500종'!A470</x:f>
        <x:v>SKILL_0464</x:v>
      </x:c>
      <x:c r="B470" s="1" t="str">
        <x:f>'스킬 500종'!B470</x:f>
        <x:v>명중 증가 · 강화효과 지속시간 증가의 의식</x:v>
      </x:c>
      <x:c r="C470" s="1" t="n">
        <x:f>1.6</x:f>
        <x:v>1.6</x:v>
      </x:c>
      <x:c r="D470" s="9" t="n">
        <x:f>C470*1.08*('효과 규칙 55종'!H17*'스킬 500종'!L470*'스킬 500종'!M470/'효과 규칙 55종'!D17+'효과 규칙 55종'!H58*'스킬 500종'!O470*'스킬 500종'!P470/'효과 규칙 55종'!D58)</x:f>
        <x:v>2.1772800000000005</x:v>
      </x:c>
      <x:c r="E470" s="9" t="n">
        <x:f>C470*SUM('스킬 500종'!E470:H470)</x:f>
        <x:v>0</x:v>
      </x:c>
      <x:c r="F470" s="9" t="n">
        <x:f>C470*1.4*SUM('스킬 500종'!I470:J470)</x:f>
        <x:v>0</x:v>
      </x:c>
      <x:c r="G470" s="9" t="n">
        <x:f>SUM(D470:F470)</x:f>
        <x:v>2.1772800000000005</x:v>
      </x:c>
      <x:c r="H470" s="9" t="n">
        <x:f>1.1+0.8*'스킬 500종'!W470</x:f>
        <x:v>2.7</x:v>
      </x:c>
      <x:c r="I470" s="10" t="n">
        <x:f>G470/H470</x:f>
        <x:v>0.8064000000000001</x:v>
      </x:c>
      <x:c r="J470" s="1" t="str">
        <x:f>IF(OR('스킬 500종'!I470&lt;0,'스킬 500종'!J470&lt;0,AND('스킬 500종'!I470&gt;0,'스킬 500종'!J470&gt;0),AND(OR('스킬 500종'!K470="HEAL",'스킬 500종'!N470="HEAL",'스킬 500종'!Q470="HEAL",'스킬 500종'!T470="HEAL"),'스킬 500종'!I470=0,'스킬 500종'!J470=0),AND('스킬 500종'!I470&gt;0,OR('스킬 500종'!K470="CONTINUOUS_HEAL",'스킬 500종'!N470="CONTINUOUS_HEAL",'스킬 500종'!Q470="CONTINUOUS_HEAL",'스킬 500종'!T470="CONTINUOUS_HEAL"))),"회복 기준 오류",IF(AND(G470&lt;=H470+0.00001,'스킬 500종'!W470&gt;=1,'스킬 500종'!W470&lt;=5),"정상","초과"))</x:f>
        <x:v>정상</x:v>
      </x:c>
    </x:row>
    <x:row r="471" ht="30" customHeight="1">
      <x:c r="A471" s="1" t="str">
        <x:f>'스킬 500종'!A471</x:f>
        <x:v>SKILL_0465</x:v>
      </x:c>
      <x:c r="B471" s="1" t="str">
        <x:f>'스킬 500종'!B471</x:f>
        <x:v>불사 · 회피 증가 · 효과저항 증가의 의식</x:v>
      </x:c>
      <x:c r="C471" s="1" t="n">
        <x:f>1</x:f>
        <x:v>1</x:v>
      </x:c>
      <x:c r="D471" s="9" t="n">
        <x:f>C471*1.16*('효과 규칙 55종'!H39*'스킬 500종'!L471*'스킬 500종'!M471/'효과 규칙 55종'!D39+'효과 규칙 55종'!H15*'스킬 500종'!O471*'스킬 500종'!P471/'효과 규칙 55종'!D15+'효과 규칙 55종'!H14*'스킬 500종'!R471*'스킬 500종'!S471/'효과 규칙 55종'!D14)</x:f>
        <x:v>2.65408</x:v>
      </x:c>
      <x:c r="E471" s="9" t="n">
        <x:f>C471*SUM('스킬 500종'!E471:H471)</x:f>
        <x:v>0</x:v>
      </x:c>
      <x:c r="F471" s="9" t="n">
        <x:f>C471*1.4*SUM('스킬 500종'!I471:J471)</x:f>
        <x:v>0</x:v>
      </x:c>
      <x:c r="G471" s="9" t="n">
        <x:f>SUM(D471:F471)</x:f>
        <x:v>2.65408</x:v>
      </x:c>
      <x:c r="H471" s="9" t="n">
        <x:f>1.1+0.8*'스킬 500종'!W471</x:f>
        <x:v>3.5000000000000004</x:v>
      </x:c>
      <x:c r="I471" s="10" t="n">
        <x:f>G471/H471</x:f>
        <x:v>0.7583085714285713</x:v>
      </x:c>
      <x:c r="J471" s="1" t="str">
        <x:f>IF(OR('스킬 500종'!I471&lt;0,'스킬 500종'!J471&lt;0,AND('스킬 500종'!I471&gt;0,'스킬 500종'!J471&gt;0),AND(OR('스킬 500종'!K471="HEAL",'스킬 500종'!N471="HEAL",'스킬 500종'!Q471="HEAL",'스킬 500종'!T471="HEAL"),'스킬 500종'!I471=0,'스킬 500종'!J471=0),AND('스킬 500종'!I471&gt;0,OR('스킬 500종'!K471="CONTINUOUS_HEAL",'스킬 500종'!N471="CONTINUOUS_HEAL",'스킬 500종'!Q471="CONTINUOUS_HEAL",'스킬 500종'!T471="CONTINUOUS_HEAL"))),"회복 기준 오류",IF(AND(G471&lt;=H471+0.00001,'스킬 500종'!W471&gt;=1,'스킬 500종'!W471&lt;=5),"정상","초과"))</x:f>
        <x:v>정상</x:v>
      </x:c>
    </x:row>
    <x:row r="472" ht="30" customHeight="1">
      <x:c r="A472" s="1" t="str">
        <x:f>'스킬 500종'!A472</x:f>
        <x:v>SKILL_0466</x:v>
      </x:c>
      <x:c r="B472" s="1" t="str">
        <x:f>'스킬 500종'!B472</x:f>
        <x:v>공격력 증가(대) · 스킬 쿨타임 감소의 의식</x:v>
      </x:c>
      <x:c r="C472" s="1" t="n">
        <x:f>1</x:f>
        <x:v>1</x:v>
      </x:c>
      <x:c r="D472" s="9" t="n">
        <x:f>C472*1.08*('효과 규칙 55종'!H8*'스킬 500종'!L472*'스킬 500종'!M472/'효과 규칙 55종'!D8+'효과 규칙 55종'!H52*'스킬 500종'!O472*'스킬 500종'!P472/'효과 규칙 55종'!D52)</x:f>
        <x:v>2.1870000000000007</x:v>
      </x:c>
      <x:c r="E472" s="9" t="n">
        <x:f>C472*SUM('스킬 500종'!E472:H472)</x:f>
        <x:v>0</x:v>
      </x:c>
      <x:c r="F472" s="9" t="n">
        <x:f>C472*1.4*SUM('스킬 500종'!I472:J472)</x:f>
        <x:v>0</x:v>
      </x:c>
      <x:c r="G472" s="9" t="n">
        <x:f>SUM(D472:F472)</x:f>
        <x:v>2.1870000000000007</x:v>
      </x:c>
      <x:c r="H472" s="9" t="n">
        <x:f>1.1+0.8*'스킬 500종'!W472</x:f>
        <x:v>2.7</x:v>
      </x:c>
      <x:c r="I472" s="10" t="n">
        <x:f>G472/H472</x:f>
        <x:v>0.8100000000000002</x:v>
      </x:c>
      <x:c r="J472" s="1" t="str">
        <x:f>IF(OR('스킬 500종'!I472&lt;0,'스킬 500종'!J472&lt;0,AND('스킬 500종'!I472&gt;0,'스킬 500종'!J472&gt;0),AND(OR('스킬 500종'!K472="HEAL",'스킬 500종'!N472="HEAL",'스킬 500종'!Q472="HEAL",'스킬 500종'!T472="HEAL"),'스킬 500종'!I472=0,'스킬 500종'!J472=0),AND('스킬 500종'!I472&gt;0,OR('스킬 500종'!K472="CONTINUOUS_HEAL",'스킬 500종'!N472="CONTINUOUS_HEAL",'스킬 500종'!Q472="CONTINUOUS_HEAL",'스킬 500종'!T472="CONTINUOUS_HEAL"))),"회복 기준 오류",IF(AND(G472&lt;=H472+0.00001,'스킬 500종'!W472&gt;=1,'스킬 500종'!W472&lt;=5),"정상","초과"))</x:f>
        <x:v>정상</x:v>
      </x:c>
    </x:row>
    <x:row r="473" ht="30" customHeight="1">
      <x:c r="A473" s="1" t="str">
        <x:f>'스킬 500종'!A473</x:f>
        <x:v>SKILL_0467</x:v>
      </x:c>
      <x:c r="B473" s="1" t="str">
        <x:f>'스킬 500종'!B473</x:f>
        <x:v>치명확률 증가 · 피해 분담 · 피해 반사 · 은신의 의식</x:v>
      </x:c>
      <x:c r="C473" s="1" t="n">
        <x:f>1</x:f>
        <x:v>1</x:v>
      </x:c>
      <x:c r="D473" s="9" t="n">
        <x:f>C473*1.24*('효과 규칙 55종'!H11*'스킬 500종'!L473*'스킬 500종'!M473/'효과 규칙 55종'!D11+'효과 규칙 55종'!H43*'스킬 500종'!O473*'스킬 500종'!P473/'효과 규칙 55종'!D43+'효과 규칙 55종'!H44*'스킬 500종'!R473*'스킬 500종'!S473/'효과 규칙 55종'!D44+'효과 규칙 55종'!H41*'스킬 500종'!U473*'스킬 500종'!V473/'효과 규칙 55종'!D41)</x:f>
        <x:v>1.7663799999999996</x:v>
      </x:c>
      <x:c r="E473" s="9" t="n">
        <x:f>C473*SUM('스킬 500종'!E473:H473)</x:f>
        <x:v>0</x:v>
      </x:c>
      <x:c r="F473" s="9" t="n">
        <x:f>C473*1.4*SUM('스킬 500종'!I473:J473)</x:f>
        <x:v>0</x:v>
      </x:c>
      <x:c r="G473" s="9" t="n">
        <x:f>SUM(D473:F473)</x:f>
        <x:v>1.7663799999999996</x:v>
      </x:c>
      <x:c r="H473" s="9" t="n">
        <x:f>1.1+0.8*'스킬 500종'!W473</x:f>
        <x:v>1.9000000000000001</x:v>
      </x:c>
      <x:c r="I473" s="10" t="n">
        <x:f>G473/H473</x:f>
        <x:v>0.9296736842105261</x:v>
      </x:c>
      <x:c r="J473" s="1" t="str">
        <x:f>IF(OR('스킬 500종'!I473&lt;0,'스킬 500종'!J473&lt;0,AND('스킬 500종'!I473&gt;0,'스킬 500종'!J473&gt;0),AND(OR('스킬 500종'!K473="HEAL",'스킬 500종'!N473="HEAL",'스킬 500종'!Q473="HEAL",'스킬 500종'!T473="HEAL"),'스킬 500종'!I473=0,'스킬 500종'!J473=0),AND('스킬 500종'!I473&gt;0,OR('스킬 500종'!K473="CONTINUOUS_HEAL",'스킬 500종'!N473="CONTINUOUS_HEAL",'스킬 500종'!Q473="CONTINUOUS_HEAL",'스킬 500종'!T473="CONTINUOUS_HEAL"))),"회복 기준 오류",IF(AND(G473&lt;=H473+0.00001,'스킬 500종'!W473&gt;=1,'스킬 500종'!W473&lt;=5),"정상","초과"))</x:f>
        <x:v>정상</x:v>
      </x:c>
    </x:row>
    <x:row r="474" ht="30" customHeight="1">
      <x:c r="A474" s="1" t="str">
        <x:f>'스킬 500종'!A474</x:f>
        <x:v>SKILL_0468</x:v>
      </x:c>
      <x:c r="B474" s="1" t="str">
        <x:f>'스킬 500종'!B474</x:f>
        <x:v>면역 · 공격력 증가 · 강화효과 지속시간 증가의 의식</x:v>
      </x:c>
      <x:c r="C474" s="1" t="n">
        <x:f>1.6</x:f>
        <x:v>1.6</x:v>
      </x:c>
      <x:c r="D474" s="9" t="n">
        <x:f>C474*1.16*('효과 규칙 55종'!H40*'스킬 500종'!L474*'스킬 500종'!M474/'효과 규칙 55종'!D40+'효과 규칙 55종'!H7*'스킬 500종'!O474*'스킬 500종'!P474/'효과 규칙 55종'!D7+'효과 규칙 55종'!H58*'스킬 500종'!R474*'스킬 500종'!S474/'효과 규칙 55종'!D58)</x:f>
        <x:v>3.548672</x:v>
      </x:c>
      <x:c r="E474" s="9" t="n">
        <x:f>C474*SUM('스킬 500종'!E474:H474)</x:f>
        <x:v>0</x:v>
      </x:c>
      <x:c r="F474" s="9" t="n">
        <x:f>C474*1.4*SUM('스킬 500종'!I474:J474)</x:f>
        <x:v>0</x:v>
      </x:c>
      <x:c r="G474" s="9" t="n">
        <x:f>SUM(D474:F474)</x:f>
        <x:v>3.548672</x:v>
      </x:c>
      <x:c r="H474" s="9" t="n">
        <x:f>1.1+0.8*'스킬 500종'!W474</x:f>
        <x:v>4.300000000000001</x:v>
      </x:c>
      <x:c r="I474" s="10" t="n">
        <x:f>G474/H474</x:f>
        <x:v>0.8252725581395347</x:v>
      </x:c>
      <x:c r="J474" s="1" t="str">
        <x:f>IF(OR('스킬 500종'!I474&lt;0,'스킬 500종'!J474&lt;0,AND('스킬 500종'!I474&gt;0,'스킬 500종'!J474&gt;0),AND(OR('스킬 500종'!K474="HEAL",'스킬 500종'!N474="HEAL",'스킬 500종'!Q474="HEAL",'스킬 500종'!T474="HEAL"),'스킬 500종'!I474=0,'스킬 500종'!J474=0),AND('스킬 500종'!I474&gt;0,OR('스킬 500종'!K474="CONTINUOUS_HEAL",'스킬 500종'!N474="CONTINUOUS_HEAL",'스킬 500종'!Q474="CONTINUOUS_HEAL",'스킬 500종'!T474="CONTINUOUS_HEAL"))),"회복 기준 오류",IF(AND(G474&lt;=H474+0.00001,'스킬 500종'!W474&gt;=1,'스킬 500종'!W474&lt;=5),"정상","초과"))</x:f>
        <x:v>정상</x:v>
      </x:c>
    </x:row>
    <x:row r="475" ht="30" customHeight="1">
      <x:c r="A475" s="1" t="str">
        <x:f>'스킬 500종'!A475</x:f>
        <x:v>SKILL_0469</x:v>
      </x:c>
      <x:c r="B475" s="1" t="str">
        <x:f>'스킬 500종'!B475</x:f>
        <x:v>치명피해 증가 · 회피 증가 · 효과적중 증가 · 반격의 의식</x:v>
      </x:c>
      <x:c r="C475" s="1" t="n">
        <x:f>1</x:f>
        <x:v>1</x:v>
      </x:c>
      <x:c r="D475" s="9" t="n">
        <x:f>C475*1.24*('효과 규칙 55종'!H12*'스킬 500종'!L475*'스킬 500종'!M475/'효과 규칙 55종'!D12+'효과 규칙 55종'!H15*'스킬 500종'!O475*'스킬 500종'!P475/'효과 규칙 55종'!D15+'효과 규칙 55종'!H13*'스킬 500종'!R475*'스킬 500종'!S475/'효과 규칙 55종'!D13+'효과 규칙 55종'!H51*'스킬 500종'!U475*'스킬 500종'!V475/'효과 규칙 55종'!D51)</x:f>
        <x:v>1.4394912</x:v>
      </x:c>
      <x:c r="E475" s="9" t="n">
        <x:f>C475*SUM('스킬 500종'!E475:H475)</x:f>
        <x:v>0</x:v>
      </x:c>
      <x:c r="F475" s="9" t="n">
        <x:f>C475*1.4*SUM('스킬 500종'!I475:J475)</x:f>
        <x:v>0</x:v>
      </x:c>
      <x:c r="G475" s="9" t="n">
        <x:f>SUM(D475:F475)</x:f>
        <x:v>1.4394912</x:v>
      </x:c>
      <x:c r="H475" s="9" t="n">
        <x:f>1.1+0.8*'스킬 500종'!W475</x:f>
        <x:v>1.9000000000000001</x:v>
      </x:c>
      <x:c r="I475" s="10" t="n">
        <x:f>G475/H475</x:f>
        <x:v>0.757626947368421</x:v>
      </x:c>
      <x:c r="J475" s="1" t="str">
        <x:f>IF(OR('스킬 500종'!I475&lt;0,'스킬 500종'!J475&lt;0,AND('스킬 500종'!I475&gt;0,'스킬 500종'!J475&gt;0),AND(OR('스킬 500종'!K475="HEAL",'스킬 500종'!N475="HEAL",'스킬 500종'!Q475="HEAL",'스킬 500종'!T475="HEAL"),'스킬 500종'!I475=0,'스킬 500종'!J475=0),AND('스킬 500종'!I475&gt;0,OR('스킬 500종'!K475="CONTINUOUS_HEAL",'스킬 500종'!N475="CONTINUOUS_HEAL",'스킬 500종'!Q475="CONTINUOUS_HEAL",'스킬 500종'!T475="CONTINUOUS_HEAL"))),"회복 기준 오류",IF(AND(G475&lt;=H475+0.00001,'스킬 500종'!W475&gt;=1,'스킬 500종'!W475&lt;=5),"정상","초과"))</x:f>
        <x:v>정상</x:v>
      </x:c>
    </x:row>
    <x:row r="476" ht="30" customHeight="1">
      <x:c r="A476" s="1" t="str">
        <x:f>'스킬 500종'!A476</x:f>
        <x:v>SKILL_0470</x:v>
      </x:c>
      <x:c r="B476" s="1" t="str">
        <x:f>'스킬 500종'!B476</x:f>
        <x:v>방어력 증가 · 피해 감소 · 무적 · 반격의 의식</x:v>
      </x:c>
      <x:c r="C476" s="1" t="n">
        <x:f>1</x:f>
        <x:v>1</x:v>
      </x:c>
      <x:c r="D476" s="9" t="n">
        <x:f>C476*1.24*('효과 규칙 55종'!H9*'스킬 500종'!L476*'스킬 500종'!M476/'효과 규칙 55종'!D9+'효과 규칙 55종'!H42*'스킬 500종'!O476*'스킬 500종'!P476/'효과 규칙 55종'!D42+'효과 규칙 55종'!H38*'스킬 500종'!R476*'스킬 500종'!S476/'효과 규칙 55종'!D38+'효과 규칙 55종'!H51*'스킬 500종'!U476*'스킬 500종'!V476/'효과 규칙 55종'!D51)</x:f>
        <x:v>3.093738</x:v>
      </x:c>
      <x:c r="E476" s="9" t="n">
        <x:f>C476*SUM('스킬 500종'!E476:H476)</x:f>
        <x:v>0</x:v>
      </x:c>
      <x:c r="F476" s="9" t="n">
        <x:f>C476*1.4*SUM('스킬 500종'!I476:J476)</x:f>
        <x:v>0</x:v>
      </x:c>
      <x:c r="G476" s="9" t="n">
        <x:f>SUM(D476:F476)</x:f>
        <x:v>3.093738</x:v>
      </x:c>
      <x:c r="H476" s="9" t="n">
        <x:f>1.1+0.8*'스킬 500종'!W476</x:f>
        <x:v>3.5000000000000004</x:v>
      </x:c>
      <x:c r="I476" s="10" t="n">
        <x:f>G476/H476</x:f>
        <x:v>0.8839251428571427</x:v>
      </x:c>
      <x:c r="J476" s="1" t="str">
        <x:f>IF(OR('스킬 500종'!I476&lt;0,'스킬 500종'!J476&lt;0,AND('스킬 500종'!I476&gt;0,'스킬 500종'!J476&gt;0),AND(OR('스킬 500종'!K476="HEAL",'스킬 500종'!N476="HEAL",'스킬 500종'!Q476="HEAL",'스킬 500종'!T476="HEAL"),'스킬 500종'!I476=0,'스킬 500종'!J476=0),AND('스킬 500종'!I476&gt;0,OR('스킬 500종'!K476="CONTINUOUS_HEAL",'스킬 500종'!N476="CONTINUOUS_HEAL",'스킬 500종'!Q476="CONTINUOUS_HEAL",'스킬 500종'!T476="CONTINUOUS_HEAL"))),"회복 기준 오류",IF(AND(G476&lt;=H476+0.00001,'스킬 500종'!W476&gt;=1,'스킬 500종'!W476&lt;=5),"정상","초과"))</x:f>
        <x:v>정상</x:v>
      </x:c>
    </x:row>
    <x:row r="477" ht="30" customHeight="1">
      <x:c r="A477" s="1" t="str">
        <x:f>'스킬 500종'!A477</x:f>
        <x:v>SKILL_0471</x:v>
      </x:c>
      <x:c r="B477" s="1" t="str">
        <x:f>'스킬 500종'!B477</x:f>
        <x:v>추가 턴 · 속도 증가 · 스킬 쿨타임 초기화의 의식</x:v>
      </x:c>
      <x:c r="C477" s="1" t="n">
        <x:f>1</x:f>
        <x:v>1</x:v>
      </x:c>
      <x:c r="D477" s="9" t="n">
        <x:f>C477*1.16*('효과 규칙 55종'!H49*'스킬 500종'!L477*'스킬 500종'!M477/'효과 규칙 55종'!D49+'효과 규칙 55종'!H10*'스킬 500종'!O477*'스킬 500종'!P477/'효과 규칙 55종'!D10+'효과 규칙 55종'!H53*'스킬 500종'!R477*'스킬 500종'!S477/'효과 규칙 55종'!D53)</x:f>
        <x:v>4.93696</x:v>
      </x:c>
      <x:c r="E477" s="9" t="n">
        <x:f>C477*SUM('스킬 500종'!E477:H477)</x:f>
        <x:v>0</x:v>
      </x:c>
      <x:c r="F477" s="9" t="n">
        <x:f>C477*1.4*SUM('스킬 500종'!I477:J477)</x:f>
        <x:v>0</x:v>
      </x:c>
      <x:c r="G477" s="9" t="n">
        <x:f>SUM(D477:F477)</x:f>
        <x:v>4.93696</x:v>
      </x:c>
      <x:c r="H477" s="9" t="n">
        <x:f>1.1+0.8*'스킬 500종'!W477</x:f>
        <x:v>5.1</x:v>
      </x:c>
      <x:c r="I477" s="10" t="n">
        <x:f>G477/H477</x:f>
        <x:v>0.9680313725490197</x:v>
      </x:c>
      <x:c r="J477" s="1" t="str">
        <x:f>IF(OR('스킬 500종'!I477&lt;0,'스킬 500종'!J477&lt;0,AND('스킬 500종'!I477&gt;0,'스킬 500종'!J477&gt;0),AND(OR('스킬 500종'!K477="HEAL",'스킬 500종'!N477="HEAL",'스킬 500종'!Q477="HEAL",'스킬 500종'!T477="HEAL"),'스킬 500종'!I477=0,'스킬 500종'!J477=0),AND('스킬 500종'!I477&gt;0,OR('스킬 500종'!K477="CONTINUOUS_HEAL",'스킬 500종'!N477="CONTINUOUS_HEAL",'스킬 500종'!Q477="CONTINUOUS_HEAL",'스킬 500종'!T477="CONTINUOUS_HEAL"))),"회복 기준 오류",IF(AND(G477&lt;=H477+0.00001,'스킬 500종'!W477&gt;=1,'스킬 500종'!W477&lt;=5),"정상","초과"))</x:f>
        <x:v>정상</x:v>
      </x:c>
    </x:row>
    <x:row r="478" ht="30" customHeight="1">
      <x:c r="A478" s="1" t="str">
        <x:f>'스킬 500종'!A478</x:f>
        <x:v>SKILL_0472</x:v>
      </x:c>
      <x:c r="B478" s="1" t="str">
        <x:f>'스킬 500종'!B478</x:f>
        <x:v>지속 회복 · 피해 반사 · 치명피해 증가 · 치명저항 증가의 의식</x:v>
      </x:c>
      <x:c r="C478" s="1" t="n">
        <x:f>1.6</x:f>
        <x:v>1.6</x:v>
      </x:c>
      <x:c r="D478" s="9" t="n">
        <x:f>C478*1.24*('효과 규칙 55종'!H35*'스킬 500종'!L478*'스킬 500종'!M478/'효과 규칙 55종'!D35+'효과 규칙 55종'!H44*'스킬 500종'!O478*'스킬 500종'!P478/'효과 규칙 55종'!D44+'효과 규칙 55종'!H12*'스킬 500종'!R478*'스킬 500종'!S478/'효과 규칙 55종'!D12+'효과 규칙 55종'!H16*'스킬 500종'!U478*'스킬 500종'!V478/'효과 규칙 55종'!D16)</x:f>
        <x:v>2.0382425600000005</x:v>
      </x:c>
      <x:c r="E478" s="9" t="n">
        <x:f>C478*SUM('스킬 500종'!E478:H478)</x:f>
        <x:v>0</x:v>
      </x:c>
      <x:c r="F478" s="9" t="n">
        <x:f>C478*1.4*SUM('스킬 500종'!I478:J478)</x:f>
        <x:v>0</x:v>
      </x:c>
      <x:c r="G478" s="9" t="n">
        <x:f>SUM(D478:F478)</x:f>
        <x:v>2.0382425600000005</x:v>
      </x:c>
      <x:c r="H478" s="9" t="n">
        <x:f>1.1+0.8*'스킬 500종'!W478</x:f>
        <x:v>2.7</x:v>
      </x:c>
      <x:c r="I478" s="10" t="n">
        <x:f>G478/H478</x:f>
        <x:v>0.754904651851852</x:v>
      </x:c>
      <x:c r="J478" s="1" t="str">
        <x:f>IF(OR('스킬 500종'!I478&lt;0,'스킬 500종'!J478&lt;0,AND('스킬 500종'!I478&gt;0,'스킬 500종'!J478&gt;0),AND(OR('스킬 500종'!K478="HEAL",'스킬 500종'!N478="HEAL",'스킬 500종'!Q478="HEAL",'스킬 500종'!T478="HEAL"),'스킬 500종'!I478=0,'스킬 500종'!J478=0),AND('스킬 500종'!I478&gt;0,OR('스킬 500종'!K478="CONTINUOUS_HEAL",'스킬 500종'!N478="CONTINUOUS_HEAL",'스킬 500종'!Q478="CONTINUOUS_HEAL",'스킬 500종'!T478="CONTINUOUS_HEAL"))),"회복 기준 오류",IF(AND(G478&lt;=H478+0.00001,'스킬 500종'!W478&gt;=1,'스킬 500종'!W478&lt;=5),"정상","초과"))</x:f>
        <x:v>정상</x:v>
      </x:c>
    </x:row>
    <x:row r="479" ht="30" customHeight="1">
      <x:c r="A479" s="1" t="str">
        <x:f>'스킬 500종'!A479</x:f>
        <x:v>SKILL_0473</x:v>
      </x:c>
      <x:c r="B479" s="1" t="str">
        <x:f>'스킬 500종'!B479</x:f>
        <x:v>치명저항 증가 · 공격력 증가(대)의 의식</x:v>
      </x:c>
      <x:c r="C479" s="1" t="n">
        <x:f>1</x:f>
        <x:v>1</x:v>
      </x:c>
      <x:c r="D479" s="9" t="n">
        <x:f>C479*1.08*('효과 규칙 55종'!H16*'스킬 500종'!L479*'스킬 500종'!M479/'효과 규칙 55종'!D16+'효과 규칙 55종'!H8*'스킬 500종'!O479*'스킬 500종'!P479/'효과 규칙 55종'!D8)</x:f>
        <x:v>1.5066000000000002</x:v>
      </x:c>
      <x:c r="E479" s="9" t="n">
        <x:f>C479*SUM('스킬 500종'!E479:H479)</x:f>
        <x:v>0</x:v>
      </x:c>
      <x:c r="F479" s="9" t="n">
        <x:f>C479*1.4*SUM('스킬 500종'!I479:J479)</x:f>
        <x:v>0</x:v>
      </x:c>
      <x:c r="G479" s="9" t="n">
        <x:f>SUM(D479:F479)</x:f>
        <x:v>1.5066000000000002</x:v>
      </x:c>
      <x:c r="H479" s="9" t="n">
        <x:f>1.1+0.8*'스킬 500종'!W479</x:f>
        <x:v>1.9000000000000001</x:v>
      </x:c>
      <x:c r="I479" s="10" t="n">
        <x:f>G479/H479</x:f>
        <x:v>0.7929473684210526</x:v>
      </x:c>
      <x:c r="J479" s="1" t="str">
        <x:f>IF(OR('스킬 500종'!I479&lt;0,'스킬 500종'!J479&lt;0,AND('스킬 500종'!I479&gt;0,'스킬 500종'!J479&gt;0),AND(OR('스킬 500종'!K479="HEAL",'스킬 500종'!N479="HEAL",'스킬 500종'!Q479="HEAL",'스킬 500종'!T479="HEAL"),'스킬 500종'!I479=0,'스킬 500종'!J479=0),AND('스킬 500종'!I479&gt;0,OR('스킬 500종'!K479="CONTINUOUS_HEAL",'스킬 500종'!N479="CONTINUOUS_HEAL",'스킬 500종'!Q479="CONTINUOUS_HEAL",'스킬 500종'!T479="CONTINUOUS_HEAL"))),"회복 기준 오류",IF(AND(G479&lt;=H479+0.00001,'스킬 500종'!W479&gt;=1,'스킬 500종'!W479&lt;=5),"정상","초과"))</x:f>
        <x:v>정상</x:v>
      </x:c>
    </x:row>
    <x:row r="480" ht="30" customHeight="1">
      <x:c r="A480" s="1" t="str">
        <x:f>'스킬 500종'!A480</x:f>
        <x:v>SKILL_0474</x:v>
      </x:c>
      <x:c r="B480" s="1" t="str">
        <x:f>'스킬 500종'!B480</x:f>
        <x:v>스킬 쿨타임 감소 · 치명피해 증가 · 피해 반사의 의식</x:v>
      </x:c>
      <x:c r="C480" s="1" t="n">
        <x:f>1</x:f>
        <x:v>1</x:v>
      </x:c>
      <x:c r="D480" s="9" t="n">
        <x:f>C480*1.16*('효과 규칙 55종'!H52*'스킬 500종'!L480*'스킬 500종'!M480/'효과 규칙 55종'!D52+'효과 규칙 55종'!H12*'스킬 500종'!O480*'스킬 500종'!P480/'효과 규칙 55종'!D12+'효과 규칙 55종'!H44*'스킬 500종'!R480*'스킬 500종'!S480/'효과 규칙 55종'!D44)</x:f>
        <x:v>2.02304</x:v>
      </x:c>
      <x:c r="E480" s="9" t="n">
        <x:f>C480*SUM('스킬 500종'!E480:H480)</x:f>
        <x:v>0</x:v>
      </x:c>
      <x:c r="F480" s="9" t="n">
        <x:f>C480*1.4*SUM('스킬 500종'!I480:J480)</x:f>
        <x:v>0</x:v>
      </x:c>
      <x:c r="G480" s="9" t="n">
        <x:f>SUM(D480:F480)</x:f>
        <x:v>2.02304</x:v>
      </x:c>
      <x:c r="H480" s="9" t="n">
        <x:f>1.1+0.8*'스킬 500종'!W480</x:f>
        <x:v>2.7</x:v>
      </x:c>
      <x:c r="I480" s="10" t="n">
        <x:f>G480/H480</x:f>
        <x:v>0.749274074074074</x:v>
      </x:c>
      <x:c r="J480" s="1" t="str">
        <x:f>IF(OR('스킬 500종'!I480&lt;0,'스킬 500종'!J480&lt;0,AND('스킬 500종'!I480&gt;0,'스킬 500종'!J480&gt;0),AND(OR('스킬 500종'!K480="HEAL",'스킬 500종'!N480="HEAL",'스킬 500종'!Q480="HEAL",'스킬 500종'!T480="HEAL"),'스킬 500종'!I480=0,'스킬 500종'!J480=0),AND('스킬 500종'!I480&gt;0,OR('스킬 500종'!K480="CONTINUOUS_HEAL",'스킬 500종'!N480="CONTINUOUS_HEAL",'스킬 500종'!Q480="CONTINUOUS_HEAL",'스킬 500종'!T480="CONTINUOUS_HEAL"))),"회복 기준 오류",IF(AND(G480&lt;=H480+0.00001,'스킬 500종'!W480&gt;=1,'스킬 500종'!W480&lt;=5),"정상","초과"))</x:f>
        <x:v>정상</x:v>
      </x:c>
    </x:row>
    <x:row r="481" ht="30" customHeight="1">
      <x:c r="A481" s="1" t="str">
        <x:f>'스킬 500종'!A481</x:f>
        <x:v>SKILL_0475</x:v>
      </x:c>
      <x:c r="B481" s="1" t="str">
        <x:f>'스킬 500종'!B481</x:f>
        <x:v>치명피해 증가 · 약화효과 해제 · 속도 증가 · 치명확률 증가의 의식</x:v>
      </x:c>
      <x:c r="C481" s="1" t="n">
        <x:f>2.4</x:f>
        <x:v>2.4</x:v>
      </x:c>
      <x:c r="D481" s="9" t="n">
        <x:f>C481*1.24*('효과 규칙 55종'!H12*'스킬 500종'!L481*'스킬 500종'!M481/'효과 규칙 55종'!D12+'효과 규칙 55종'!H57*'스킬 500종'!O481*'스킬 500종'!P481/'효과 규칙 55종'!D57+'효과 규칙 55종'!H10*'스킬 500종'!R481*'스킬 500종'!S481/'효과 규칙 55종'!D10+'효과 규칙 55종'!H11*'스킬 500종'!U481*'스킬 500종'!V481/'효과 규칙 55종'!D11)</x:f>
        <x:v>3.692472</x:v>
      </x:c>
      <x:c r="E481" s="9" t="n">
        <x:f>C481*SUM('스킬 500종'!E481:H481)</x:f>
        <x:v>0</x:v>
      </x:c>
      <x:c r="F481" s="9" t="n">
        <x:f>C481*1.4*SUM('스킬 500종'!I481:J481)</x:f>
        <x:v>0</x:v>
      </x:c>
      <x:c r="G481" s="9" t="n">
        <x:f>SUM(D481:F481)</x:f>
        <x:v>3.692472</x:v>
      </x:c>
      <x:c r="H481" s="9" t="n">
        <x:f>1.1+0.8*'스킬 500종'!W481</x:f>
        <x:v>4.300000000000001</x:v>
      </x:c>
      <x:c r="I481" s="10" t="n">
        <x:f>G481/H481</x:f>
        <x:v>0.858714418604651</x:v>
      </x:c>
      <x:c r="J481" s="1" t="str">
        <x:f>IF(OR('스킬 500종'!I481&lt;0,'스킬 500종'!J481&lt;0,AND('스킬 500종'!I481&gt;0,'스킬 500종'!J481&gt;0),AND(OR('스킬 500종'!K481="HEAL",'스킬 500종'!N481="HEAL",'스킬 500종'!Q481="HEAL",'스킬 500종'!T481="HEAL"),'스킬 500종'!I481=0,'스킬 500종'!J481=0),AND('스킬 500종'!I481&gt;0,OR('스킬 500종'!K481="CONTINUOUS_HEAL",'스킬 500종'!N481="CONTINUOUS_HEAL",'스킬 500종'!Q481="CONTINUOUS_HEAL",'스킬 500종'!T481="CONTINUOUS_HEAL"))),"회복 기준 오류",IF(AND(G481&lt;=H481+0.00001,'스킬 500종'!W481&gt;=1,'스킬 500종'!W481&lt;=5),"정상","초과"))</x:f>
        <x:v>정상</x:v>
      </x:c>
    </x:row>
    <x:row r="482" ht="30" customHeight="1">
      <x:c r="A482" s="1" t="str">
        <x:f>'스킬 500종'!A482</x:f>
        <x:v>SKILL_0476</x:v>
      </x:c>
      <x:c r="B482" s="1" t="str">
        <x:f>'스킬 500종'!B482</x:f>
        <x:v>회피 증가 · 스킬 쿨타임 초기화 · 명중 증가의 의식</x:v>
      </x:c>
      <x:c r="C482" s="1" t="n">
        <x:f>1</x:f>
        <x:v>1</x:v>
      </x:c>
      <x:c r="D482" s="9" t="n">
        <x:f>C482*1.16*('효과 규칙 55종'!H15*'스킬 500종'!L482*'스킬 500종'!M482/'효과 규칙 55종'!D15+'효과 규칙 55종'!H53*'스킬 500종'!O482*'스킬 500종'!P482/'효과 규칙 55종'!D53+'효과 규칙 55종'!H17*'스킬 500종'!R482*'스킬 500종'!S482/'효과 규칙 55종'!D17)</x:f>
        <x:v>3.73056</x:v>
      </x:c>
      <x:c r="E482" s="9" t="n">
        <x:f>C482*SUM('스킬 500종'!E482:H482)</x:f>
        <x:v>0</x:v>
      </x:c>
      <x:c r="F482" s="9" t="n">
        <x:f>C482*1.4*SUM('스킬 500종'!I482:J482)</x:f>
        <x:v>0</x:v>
      </x:c>
      <x:c r="G482" s="9" t="n">
        <x:f>SUM(D482:F482)</x:f>
        <x:v>3.73056</x:v>
      </x:c>
      <x:c r="H482" s="9" t="n">
        <x:f>1.1+0.8*'스킬 500종'!W482</x:f>
        <x:v>5.1</x:v>
      </x:c>
      <x:c r="I482" s="10" t="n">
        <x:f>G482/H482</x:f>
        <x:v>0.7314823529411766</x:v>
      </x:c>
      <x:c r="J482" s="1" t="str">
        <x:f>IF(OR('스킬 500종'!I482&lt;0,'스킬 500종'!J482&lt;0,AND('스킬 500종'!I482&gt;0,'스킬 500종'!J482&gt;0),AND(OR('스킬 500종'!K482="HEAL",'스킬 500종'!N482="HEAL",'스킬 500종'!Q482="HEAL",'스킬 500종'!T482="HEAL"),'스킬 500종'!I482=0,'스킬 500종'!J482=0),AND('스킬 500종'!I482&gt;0,OR('스킬 500종'!K482="CONTINUOUS_HEAL",'스킬 500종'!N482="CONTINUOUS_HEAL",'스킬 500종'!Q482="CONTINUOUS_HEAL",'스킬 500종'!T482="CONTINUOUS_HEAL"))),"회복 기준 오류",IF(AND(G482&lt;=H482+0.00001,'스킬 500종'!W482&gt;=1,'스킬 500종'!W482&lt;=5),"정상","초과"))</x:f>
        <x:v>정상</x:v>
      </x:c>
    </x:row>
    <x:row r="483" ht="30" customHeight="1">
      <x:c r="A483" s="1" t="str">
        <x:f>'스킬 500종'!A483</x:f>
        <x:v>SKILL_0477</x:v>
      </x:c>
      <x:c r="B483" s="1" t="str">
        <x:f>'스킬 500종'!B483</x:f>
        <x:v>공격력 증가(대) · 명중 증가 · 무적의 의식</x:v>
      </x:c>
      <x:c r="C483" s="1" t="n">
        <x:f>1</x:f>
        <x:v>1</x:v>
      </x:c>
      <x:c r="D483" s="9" t="n">
        <x:f>C483*1.16*('효과 규칙 55종'!H8*'스킬 500종'!L483*'스킬 500종'!M483/'효과 규칙 55종'!D8+'효과 규칙 55종'!H17*'스킬 500종'!O483*'스킬 500종'!P483/'효과 규칙 55종'!D17+'효과 규칙 55종'!H38*'스킬 500종'!R483*'스킬 500종'!S483/'효과 규칙 55종'!D38)</x:f>
        <x:v>3.0438400000000003</x:v>
      </x:c>
      <x:c r="E483" s="9" t="n">
        <x:f>C483*SUM('스킬 500종'!E483:H483)</x:f>
        <x:v>0</x:v>
      </x:c>
      <x:c r="F483" s="9" t="n">
        <x:f>C483*1.4*SUM('스킬 500종'!I483:J483)</x:f>
        <x:v>0</x:v>
      </x:c>
      <x:c r="G483" s="9" t="n">
        <x:f>SUM(D483:F483)</x:f>
        <x:v>3.0438400000000003</x:v>
      </x:c>
      <x:c r="H483" s="9" t="n">
        <x:f>1.1+0.8*'스킬 500종'!W483</x:f>
        <x:v>3.5000000000000004</x:v>
      </x:c>
      <x:c r="I483" s="10" t="n">
        <x:f>G483/H483</x:f>
        <x:v>0.8696685714285715</x:v>
      </x:c>
      <x:c r="J483" s="1" t="str">
        <x:f>IF(OR('스킬 500종'!I483&lt;0,'스킬 500종'!J483&lt;0,AND('스킬 500종'!I483&gt;0,'스킬 500종'!J483&gt;0),AND(OR('스킬 500종'!K483="HEAL",'스킬 500종'!N483="HEAL",'스킬 500종'!Q483="HEAL",'스킬 500종'!T483="HEAL"),'스킬 500종'!I483=0,'스킬 500종'!J483=0),AND('스킬 500종'!I483&gt;0,OR('스킬 500종'!K483="CONTINUOUS_HEAL",'스킬 500종'!N483="CONTINUOUS_HEAL",'스킬 500종'!Q483="CONTINUOUS_HEAL",'스킬 500종'!T483="CONTINUOUS_HEAL"))),"회복 기준 오류",IF(AND(G483&lt;=H483+0.00001,'스킬 500종'!W483&gt;=1,'스킬 500종'!W483&lt;=5),"정상","초과"))</x:f>
        <x:v>정상</x:v>
      </x:c>
    </x:row>
    <x:row r="484" ht="30" customHeight="1">
      <x:c r="A484" s="1" t="str">
        <x:f>'스킬 500종'!A484</x:f>
        <x:v>SKILL_0478</x:v>
      </x:c>
      <x:c r="B484" s="1" t="str">
        <x:f>'스킬 500종'!B484</x:f>
        <x:v>명중 증가 · 공격력 증가(대) · 추가 턴의 의식</x:v>
      </x:c>
      <x:c r="C484" s="1" t="n">
        <x:f>1</x:f>
        <x:v>1</x:v>
      </x:c>
      <x:c r="D484" s="9" t="n">
        <x:f>C484*1.16*('효과 규칙 55종'!H17*'스킬 500종'!L484*'스킬 500종'!M484/'효과 규칙 55종'!D17+'효과 규칙 55종'!H8*'스킬 500종'!O484*'스킬 500종'!P484/'효과 규칙 55종'!D8+'효과 규칙 55종'!H49*'스킬 500종'!R484*'스킬 500종'!S484/'효과 규칙 55종'!D49)</x:f>
        <x:v>4.01824</x:v>
      </x:c>
      <x:c r="E484" s="9" t="n">
        <x:f>C484*SUM('스킬 500종'!E484:H484)</x:f>
        <x:v>0</x:v>
      </x:c>
      <x:c r="F484" s="9" t="n">
        <x:f>C484*1.4*SUM('스킬 500종'!I484:J484)</x:f>
        <x:v>0</x:v>
      </x:c>
      <x:c r="G484" s="9" t="n">
        <x:f>SUM(D484:F484)</x:f>
        <x:v>4.01824</x:v>
      </x:c>
      <x:c r="H484" s="9" t="n">
        <x:f>1.1+0.8*'스킬 500종'!W484</x:f>
        <x:v>5.1</x:v>
      </x:c>
      <x:c r="I484" s="10" t="n">
        <x:f>G484/H484</x:f>
        <x:v>0.7878901960784314</x:v>
      </x:c>
      <x:c r="J484" s="1" t="str">
        <x:f>IF(OR('스킬 500종'!I484&lt;0,'스킬 500종'!J484&lt;0,AND('스킬 500종'!I484&gt;0,'스킬 500종'!J484&gt;0),AND(OR('스킬 500종'!K484="HEAL",'스킬 500종'!N484="HEAL",'스킬 500종'!Q484="HEAL",'스킬 500종'!T484="HEAL"),'스킬 500종'!I484=0,'스킬 500종'!J484=0),AND('스킬 500종'!I484&gt;0,OR('스킬 500종'!K484="CONTINUOUS_HEAL",'스킬 500종'!N484="CONTINUOUS_HEAL",'스킬 500종'!Q484="CONTINUOUS_HEAL",'스킬 500종'!T484="CONTINUOUS_HEAL"))),"회복 기준 오류",IF(AND(G484&lt;=H484+0.00001,'스킬 500종'!W484&gt;=1,'스킬 500종'!W484&lt;=5),"정상","초과"))</x:f>
        <x:v>정상</x:v>
      </x:c>
    </x:row>
    <x:row r="485" ht="30" customHeight="1">
      <x:c r="A485" s="1" t="str">
        <x:f>'스킬 500종'!A485</x:f>
        <x:v>SKILL_0479</x:v>
      </x:c>
      <x:c r="B485" s="1" t="str">
        <x:f>'스킬 500종'!B485</x:f>
        <x:v>공격력 증가 · 효과저항 증가의 의식</x:v>
      </x:c>
      <x:c r="C485" s="1" t="n">
        <x:f>2.4</x:f>
        <x:v>2.4</x:v>
      </x:c>
      <x:c r="D485" s="9" t="n">
        <x:f>C485*1.08*('효과 규칙 55종'!H7*'스킬 500종'!L485*'스킬 500종'!M485/'효과 규칙 55종'!D7+'효과 규칙 55종'!H14*'스킬 500종'!O485*'스킬 500종'!P485/'효과 규칙 55종'!D14)</x:f>
        <x:v>2.3328</x:v>
      </x:c>
      <x:c r="E485" s="9" t="n">
        <x:f>C485*SUM('스킬 500종'!E485:H485)</x:f>
        <x:v>0</x:v>
      </x:c>
      <x:c r="F485" s="9" t="n">
        <x:f>C485*1.4*SUM('스킬 500종'!I485:J485)</x:f>
        <x:v>0</x:v>
      </x:c>
      <x:c r="G485" s="9" t="n">
        <x:f>SUM(D485:F485)</x:f>
        <x:v>2.3328</x:v>
      </x:c>
      <x:c r="H485" s="9" t="n">
        <x:f>1.1+0.8*'스킬 500종'!W485</x:f>
        <x:v>2.7</x:v>
      </x:c>
      <x:c r="I485" s="10" t="n">
        <x:f>G485/H485</x:f>
        <x:v>0.864</x:v>
      </x:c>
      <x:c r="J485" s="1" t="str">
        <x:f>IF(OR('스킬 500종'!I485&lt;0,'스킬 500종'!J485&lt;0,AND('스킬 500종'!I485&gt;0,'스킬 500종'!J485&gt;0),AND(OR('스킬 500종'!K485="HEAL",'스킬 500종'!N485="HEAL",'스킬 500종'!Q485="HEAL",'스킬 500종'!T485="HEAL"),'스킬 500종'!I485=0,'스킬 500종'!J485=0),AND('스킬 500종'!I485&gt;0,OR('스킬 500종'!K485="CONTINUOUS_HEAL",'스킬 500종'!N485="CONTINUOUS_HEAL",'스킬 500종'!Q485="CONTINUOUS_HEAL",'스킬 500종'!T485="CONTINUOUS_HEAL"))),"회복 기준 오류",IF(AND(G485&lt;=H485+0.00001,'스킬 500종'!W485&gt;=1,'스킬 500종'!W485&lt;=5),"정상","초과"))</x:f>
        <x:v>정상</x:v>
      </x:c>
    </x:row>
    <x:row r="486" ht="30" customHeight="1">
      <x:c r="A486" s="1" t="str">
        <x:f>'스킬 500종'!A486</x:f>
        <x:v>SKILL_0480</x:v>
      </x:c>
      <x:c r="B486" s="1" t="str">
        <x:f>'스킬 500종'!B486</x:f>
        <x:v>공격력 증가(대) · 무적 · 피해 감소의 의식</x:v>
      </x:c>
      <x:c r="C486" s="1" t="n">
        <x:f>1.6</x:f>
        <x:v>1.6</x:v>
      </x:c>
      <x:c r="D486" s="9" t="n">
        <x:f>C486*1.16*('효과 규칙 55종'!H8*'스킬 500종'!L486*'스킬 500종'!M486/'효과 규칙 55종'!D8+'효과 규칙 55종'!H38*'스킬 500종'!O486*'스킬 500종'!P486/'효과 규칙 55종'!D38+'효과 규칙 55종'!H42*'스킬 500종'!R486*'스킬 500종'!S486/'효과 규칙 55종'!D42)</x:f>
        <x:v>4.89984</x:v>
      </x:c>
      <x:c r="E486" s="9" t="n">
        <x:f>C486*SUM('스킬 500종'!E486:H486)</x:f>
        <x:v>0</x:v>
      </x:c>
      <x:c r="F486" s="9" t="n">
        <x:f>C486*1.4*SUM('스킬 500종'!I486:J486)</x:f>
        <x:v>0</x:v>
      </x:c>
      <x:c r="G486" s="9" t="n">
        <x:f>SUM(D486:F486)</x:f>
        <x:v>4.89984</x:v>
      </x:c>
      <x:c r="H486" s="9" t="n">
        <x:f>1.1+0.8*'스킬 500종'!W486</x:f>
        <x:v>5.1</x:v>
      </x:c>
      <x:c r="I486" s="10" t="n">
        <x:f>G486/H486</x:f>
        <x:v>0.9607529411764707</x:v>
      </x:c>
      <x:c r="J486" s="1" t="str">
        <x:f>IF(OR('스킬 500종'!I486&lt;0,'스킬 500종'!J486&lt;0,AND('스킬 500종'!I486&gt;0,'스킬 500종'!J486&gt;0),AND(OR('스킬 500종'!K486="HEAL",'스킬 500종'!N486="HEAL",'스킬 500종'!Q486="HEAL",'스킬 500종'!T486="HEAL"),'스킬 500종'!I486=0,'스킬 500종'!J486=0),AND('스킬 500종'!I486&gt;0,OR('스킬 500종'!K486="CONTINUOUS_HEAL",'스킬 500종'!N486="CONTINUOUS_HEAL",'스킬 500종'!Q486="CONTINUOUS_HEAL",'스킬 500종'!T486="CONTINUOUS_HEAL"))),"회복 기준 오류",IF(AND(G486&lt;=H486+0.00001,'스킬 500종'!W486&gt;=1,'스킬 500종'!W486&lt;=5),"정상","초과"))</x:f>
        <x:v>정상</x:v>
      </x:c>
    </x:row>
    <x:row r="487" ht="30" customHeight="1">
      <x:c r="A487" s="1" t="str">
        <x:f>'스킬 500종'!A487</x:f>
        <x:v>SKILL_0481</x:v>
      </x:c>
      <x:c r="B487" s="1" t="str">
        <x:f>'스킬 500종'!B487</x:f>
        <x:v>반격 · 방어력 증가 · 공격력 증가의 의식</x:v>
      </x:c>
      <x:c r="C487" s="1" t="n">
        <x:f>1</x:f>
        <x:v>1</x:v>
      </x:c>
      <x:c r="D487" s="9" t="n">
        <x:f>C487*1.16*('효과 규칙 55종'!H51*'스킬 500종'!L487*'스킬 500종'!M487/'효과 규칙 55종'!D51+'효과 규칙 55종'!H9*'스킬 500종'!O487*'스킬 500종'!P487/'효과 규칙 55종'!D9+'효과 규칙 55종'!H7*'스킬 500종'!R487*'스킬 500종'!S487/'효과 규칙 55종'!D7)</x:f>
        <x:v>1.44768</x:v>
      </x:c>
      <x:c r="E487" s="9" t="n">
        <x:f>C487*SUM('스킬 500종'!E487:H487)</x:f>
        <x:v>0</x:v>
      </x:c>
      <x:c r="F487" s="9" t="n">
        <x:f>C487*1.4*SUM('스킬 500종'!I487:J487)</x:f>
        <x:v>0</x:v>
      </x:c>
      <x:c r="G487" s="9" t="n">
        <x:f>SUM(D487:F487)</x:f>
        <x:v>1.44768</x:v>
      </x:c>
      <x:c r="H487" s="9" t="n">
        <x:f>1.1+0.8*'스킬 500종'!W487</x:f>
        <x:v>1.9000000000000001</x:v>
      </x:c>
      <x:c r="I487" s="10" t="n">
        <x:f>G487/H487</x:f>
        <x:v>0.7619368421052631</x:v>
      </x:c>
      <x:c r="J487" s="1" t="str">
        <x:f>IF(OR('스킬 500종'!I487&lt;0,'스킬 500종'!J487&lt;0,AND('스킬 500종'!I487&gt;0,'스킬 500종'!J487&gt;0),AND(OR('스킬 500종'!K487="HEAL",'스킬 500종'!N487="HEAL",'스킬 500종'!Q487="HEAL",'스킬 500종'!T487="HEAL"),'스킬 500종'!I487=0,'스킬 500종'!J487=0),AND('스킬 500종'!I487&gt;0,OR('스킬 500종'!K487="CONTINUOUS_HEAL",'스킬 500종'!N487="CONTINUOUS_HEAL",'스킬 500종'!Q487="CONTINUOUS_HEAL",'스킬 500종'!T487="CONTINUOUS_HEAL"))),"회복 기준 오류",IF(AND(G487&lt;=H487+0.00001,'스킬 500종'!W487&gt;=1,'스킬 500종'!W487&lt;=5),"정상","초과"))</x:f>
        <x:v>정상</x:v>
      </x:c>
    </x:row>
    <x:row r="488" ht="30" customHeight="1">
      <x:c r="A488" s="1" t="str">
        <x:f>'스킬 500종'!A488</x:f>
        <x:v>SKILL_0482</x:v>
      </x:c>
      <x:c r="B488" s="1" t="str">
        <x:f>'스킬 500종'!B488</x:f>
        <x:v>생명력 회복 · 면역의 의식</x:v>
      </x:c>
      <x:c r="C488" s="1" t="n">
        <x:f>1</x:f>
        <x:v>1</x:v>
      </x:c>
      <x:c r="D488" s="9" t="n">
        <x:f>C488*1.08*('효과 규칙 55종'!H34*'스킬 500종'!L488*'스킬 500종'!M488/'효과 규칙 55종'!D34+'효과 규칙 55종'!H40*'스킬 500종'!O488*'스킬 500종'!P488/'효과 규칙 55종'!D40)</x:f>
        <x:v>0.9234</x:v>
      </x:c>
      <x:c r="E488" s="9" t="n">
        <x:f>C488*SUM('스킬 500종'!E488:H488)</x:f>
        <x:v>0</x:v>
      </x:c>
      <x:c r="F488" s="9" t="n">
        <x:f>C488*1.4*SUM('스킬 500종'!I488:J488)</x:f>
        <x:v>0.48999999999999994</x:v>
      </x:c>
      <x:c r="G488" s="9" t="n">
        <x:f>SUM(D488:F488)</x:f>
        <x:v>1.4134</x:v>
      </x:c>
      <x:c r="H488" s="9" t="n">
        <x:f>1.1+0.8*'스킬 500종'!W488</x:f>
        <x:v>1.9000000000000001</x:v>
      </x:c>
      <x:c r="I488" s="10" t="n">
        <x:f>G488/H488</x:f>
        <x:v>0.7438947368421052</x:v>
      </x:c>
      <x:c r="J488" s="1" t="str">
        <x:f>IF(OR('스킬 500종'!I488&lt;0,'스킬 500종'!J488&lt;0,AND('스킬 500종'!I488&gt;0,'스킬 500종'!J488&gt;0),AND(OR('스킬 500종'!K488="HEAL",'스킬 500종'!N488="HEAL",'스킬 500종'!Q488="HEAL",'스킬 500종'!T488="HEAL"),'스킬 500종'!I488=0,'스킬 500종'!J488=0),AND('스킬 500종'!I488&gt;0,OR('스킬 500종'!K488="CONTINUOUS_HEAL",'스킬 500종'!N488="CONTINUOUS_HEAL",'스킬 500종'!Q488="CONTINUOUS_HEAL",'스킬 500종'!T488="CONTINUOUS_HEAL"))),"회복 기준 오류",IF(AND(G488&lt;=H488+0.00001,'스킬 500종'!W488&gt;=1,'스킬 500종'!W488&lt;=5),"정상","초과"))</x:f>
        <x:v>정상</x:v>
      </x:c>
    </x:row>
    <x:row r="489" ht="30" customHeight="1">
      <x:c r="A489" s="1" t="str">
        <x:f>'스킬 500종'!A489</x:f>
        <x:v>SKILL_0483</x:v>
      </x:c>
      <x:c r="B489" s="1" t="str">
        <x:f>'스킬 500종'!B489</x:f>
        <x:v>반격 · 효과적중 증가의 의식</x:v>
      </x:c>
      <x:c r="C489" s="1" t="n">
        <x:f>2.4</x:f>
        <x:v>2.4</x:v>
      </x:c>
      <x:c r="D489" s="9" t="n">
        <x:f>C489*1.08*('효과 규칙 55종'!H51*'스킬 500종'!L489*'스킬 500종'!M489/'효과 규칙 55종'!D51+'효과 규칙 55종'!H13*'스킬 500종'!O489*'스킬 500종'!P489/'효과 규칙 55종'!D13)</x:f>
        <x:v>3.0326400000000007</x:v>
      </x:c>
      <x:c r="E489" s="9" t="n">
        <x:f>C489*SUM('스킬 500종'!E489:H489)</x:f>
        <x:v>0</x:v>
      </x:c>
      <x:c r="F489" s="9" t="n">
        <x:f>C489*1.4*SUM('스킬 500종'!I489:J489)</x:f>
        <x:v>0</x:v>
      </x:c>
      <x:c r="G489" s="9" t="n">
        <x:f>SUM(D489:F489)</x:f>
        <x:v>3.0326400000000007</x:v>
      </x:c>
      <x:c r="H489" s="9" t="n">
        <x:f>1.1+0.8*'스킬 500종'!W489</x:f>
        <x:v>3.5000000000000004</x:v>
      </x:c>
      <x:c r="I489" s="10" t="n">
        <x:f>G489/H489</x:f>
        <x:v>0.8664685714285715</x:v>
      </x:c>
      <x:c r="J489" s="1" t="str">
        <x:f>IF(OR('스킬 500종'!I489&lt;0,'스킬 500종'!J489&lt;0,AND('스킬 500종'!I489&gt;0,'스킬 500종'!J489&gt;0),AND(OR('스킬 500종'!K489="HEAL",'스킬 500종'!N489="HEAL",'스킬 500종'!Q489="HEAL",'스킬 500종'!T489="HEAL"),'스킬 500종'!I489=0,'스킬 500종'!J489=0),AND('스킬 500종'!I489&gt;0,OR('스킬 500종'!K489="CONTINUOUS_HEAL",'스킬 500종'!N489="CONTINUOUS_HEAL",'스킬 500종'!Q489="CONTINUOUS_HEAL",'스킬 500종'!T489="CONTINUOUS_HEAL"))),"회복 기준 오류",IF(AND(G489&lt;=H489+0.00001,'스킬 500종'!W489&gt;=1,'스킬 500종'!W489&lt;=5),"정상","초과"))</x:f>
        <x:v>정상</x:v>
      </x:c>
    </x:row>
    <x:row r="490" ht="30" customHeight="1">
      <x:c r="A490" s="1" t="str">
        <x:f>'스킬 500종'!A490</x:f>
        <x:v>SKILL_0484</x:v>
      </x:c>
      <x:c r="B490" s="1" t="str">
        <x:f>'스킬 500종'!B490</x:f>
        <x:v>강화효과 지속시간 증가 · 피해 반사 · 공격력 증가 · 소생의 의식</x:v>
      </x:c>
      <x:c r="C490" s="1" t="n">
        <x:f>1</x:f>
        <x:v>1</x:v>
      </x:c>
      <x:c r="D490" s="9" t="n">
        <x:f>C490*1.24*('효과 규칙 55종'!H58*'스킬 500종'!L490*'스킬 500종'!M490/'효과 규칙 55종'!D58+'효과 규칙 55종'!H44*'스킬 500종'!O490*'스킬 500종'!P490/'효과 규칙 55종'!D44+'효과 규칙 55종'!H7*'스킬 500종'!R490*'스킬 500종'!S490/'효과 규칙 55종'!D7+'효과 규칙 55종'!H46*'스킬 500종'!U490*'스킬 500종'!V490/'효과 규칙 55종'!D46)</x:f>
        <x:v>4.974415</x:v>
      </x:c>
      <x:c r="E490" s="9" t="n">
        <x:f>C490*SUM('스킬 500종'!E490:H490)</x:f>
        <x:v>0</x:v>
      </x:c>
      <x:c r="F490" s="9" t="n">
        <x:f>C490*1.4*SUM('스킬 500종'!I490:J490)</x:f>
        <x:v>0</x:v>
      </x:c>
      <x:c r="G490" s="9" t="n">
        <x:f>SUM(D490:F490)</x:f>
        <x:v>4.974415</x:v>
      </x:c>
      <x:c r="H490" s="9" t="n">
        <x:f>1.1+0.8*'스킬 500종'!W490</x:f>
        <x:v>5.1</x:v>
      </x:c>
      <x:c r="I490" s="10" t="n">
        <x:f>G490/H490</x:f>
        <x:v>0.9753754901960784</x:v>
      </x:c>
      <x:c r="J490" s="1" t="str">
        <x:f>IF(OR('스킬 500종'!I490&lt;0,'스킬 500종'!J490&lt;0,AND('스킬 500종'!I490&gt;0,'스킬 500종'!J490&gt;0),AND(OR('스킬 500종'!K490="HEAL",'스킬 500종'!N490="HEAL",'스킬 500종'!Q490="HEAL",'스킬 500종'!T490="HEAL"),'스킬 500종'!I490=0,'스킬 500종'!J490=0),AND('스킬 500종'!I490&gt;0,OR('스킬 500종'!K490="CONTINUOUS_HEAL",'스킬 500종'!N490="CONTINUOUS_HEAL",'스킬 500종'!Q490="CONTINUOUS_HEAL",'스킬 500종'!T490="CONTINUOUS_HEAL"))),"회복 기준 오류",IF(AND(G490&lt;=H490+0.00001,'스킬 500종'!W490&gt;=1,'스킬 500종'!W490&lt;=5),"정상","초과"))</x:f>
        <x:v>정상</x:v>
      </x:c>
    </x:row>
    <x:row r="491" ht="30" customHeight="1">
      <x:c r="A491" s="1" t="str">
        <x:f>'스킬 500종'!A491</x:f>
        <x:v>SKILL_0485</x:v>
      </x:c>
      <x:c r="B491" s="1" t="str">
        <x:f>'스킬 500종'!B491</x:f>
        <x:v>회피 증가 · 효과저항 증가 · 공격력 증가의 의식</x:v>
      </x:c>
      <x:c r="C491" s="1" t="n">
        <x:f>1</x:f>
        <x:v>1</x:v>
      </x:c>
      <x:c r="D491" s="9" t="n">
        <x:f>C491*1.16*('효과 규칙 55종'!H15*'스킬 500종'!L491*'스킬 500종'!M491/'효과 규칙 55종'!D15+'효과 규칙 55종'!H14*'스킬 500종'!O491*'스킬 500종'!P491/'효과 규칙 55종'!D14+'효과 규칙 55종'!H7*'스킬 500종'!R491*'스킬 500종'!S491/'효과 규칙 55종'!D7)</x:f>
        <x:v>1.2992000000000001</x:v>
      </x:c>
      <x:c r="E491" s="9" t="n">
        <x:f>C491*SUM('스킬 500종'!E491:H491)</x:f>
        <x:v>0</x:v>
      </x:c>
      <x:c r="F491" s="9" t="n">
        <x:f>C491*1.4*SUM('스킬 500종'!I491:J491)</x:f>
        <x:v>0</x:v>
      </x:c>
      <x:c r="G491" s="9" t="n">
        <x:f>SUM(D491:F491)</x:f>
        <x:v>1.2992000000000001</x:v>
      </x:c>
      <x:c r="H491" s="9" t="n">
        <x:f>1.1+0.8*'스킬 500종'!W491</x:f>
        <x:v>1.9000000000000001</x:v>
      </x:c>
      <x:c r="I491" s="10" t="n">
        <x:f>G491/H491</x:f>
        <x:v>0.6837894736842105</x:v>
      </x:c>
      <x:c r="J491" s="1" t="str">
        <x:f>IF(OR('스킬 500종'!I491&lt;0,'스킬 500종'!J491&lt;0,AND('스킬 500종'!I491&gt;0,'스킬 500종'!J491&gt;0),AND(OR('스킬 500종'!K491="HEAL",'스킬 500종'!N491="HEAL",'스킬 500종'!Q491="HEAL",'스킬 500종'!T491="HEAL"),'스킬 500종'!I491=0,'스킬 500종'!J491=0),AND('스킬 500종'!I491&gt;0,OR('스킬 500종'!K491="CONTINUOUS_HEAL",'스킬 500종'!N491="CONTINUOUS_HEAL",'스킬 500종'!Q491="CONTINUOUS_HEAL",'스킬 500종'!T491="CONTINUOUS_HEAL"))),"회복 기준 오류",IF(AND(G491&lt;=H491+0.00001,'스킬 500종'!W491&gt;=1,'스킬 500종'!W491&lt;=5),"정상","초과"))</x:f>
        <x:v>정상</x:v>
      </x:c>
    </x:row>
    <x:row r="492" ht="30" customHeight="1">
      <x:c r="A492" s="1" t="str">
        <x:f>'스킬 500종'!A492</x:f>
        <x:v>SKILL_0486</x:v>
      </x:c>
      <x:c r="B492" s="1" t="str">
        <x:f>'스킬 500종'!B492</x:f>
        <x:v>지속 회복 · 피해 분담 · 속도 증가의 의식</x:v>
      </x:c>
      <x:c r="C492" s="1" t="n">
        <x:f>1</x:f>
        <x:v>1</x:v>
      </x:c>
      <x:c r="D492" s="9" t="n">
        <x:f>C492*1.16*('효과 규칙 55종'!H35*'스킬 500종'!L492*'스킬 500종'!M492/'효과 규칙 55종'!D35+'효과 규칙 55종'!H43*'스킬 500종'!O492*'스킬 500종'!P492/'효과 규칙 55종'!D43+'효과 규칙 55종'!H10*'스킬 500종'!R492*'스킬 500종'!S492/'효과 규칙 55종'!D10)</x:f>
        <x:v>1.4848000000000001</x:v>
      </x:c>
      <x:c r="E492" s="9" t="n">
        <x:f>C492*SUM('스킬 500종'!E492:H492)</x:f>
        <x:v>0</x:v>
      </x:c>
      <x:c r="F492" s="9" t="n">
        <x:f>C492*1.4*SUM('스킬 500종'!I492:J492)</x:f>
        <x:v>0</x:v>
      </x:c>
      <x:c r="G492" s="9" t="n">
        <x:f>SUM(D492:F492)</x:f>
        <x:v>1.4848000000000001</x:v>
      </x:c>
      <x:c r="H492" s="9" t="n">
        <x:f>1.1+0.8*'스킬 500종'!W492</x:f>
        <x:v>1.9000000000000001</x:v>
      </x:c>
      <x:c r="I492" s="10" t="n">
        <x:f>G492/H492</x:f>
        <x:v>0.7814736842105263</x:v>
      </x:c>
      <x:c r="J492" s="1" t="str">
        <x:f>IF(OR('스킬 500종'!I492&lt;0,'스킬 500종'!J492&lt;0,AND('스킬 500종'!I492&gt;0,'스킬 500종'!J492&gt;0),AND(OR('스킬 500종'!K492="HEAL",'스킬 500종'!N492="HEAL",'스킬 500종'!Q492="HEAL",'스킬 500종'!T492="HEAL"),'스킬 500종'!I492=0,'스킬 500종'!J492=0),AND('스킬 500종'!I492&gt;0,OR('스킬 500종'!K492="CONTINUOUS_HEAL",'스킬 500종'!N492="CONTINUOUS_HEAL",'스킬 500종'!Q492="CONTINUOUS_HEAL",'스킬 500종'!T492="CONTINUOUS_HEAL"))),"회복 기준 오류",IF(AND(G492&lt;=H492+0.00001,'스킬 500종'!W492&gt;=1,'스킬 500종'!W492&lt;=5),"정상","초과"))</x:f>
        <x:v>정상</x:v>
      </x:c>
    </x:row>
    <x:row r="493" ht="30" customHeight="1">
      <x:c r="A493" s="1" t="str">
        <x:f>'스킬 500종'!A493</x:f>
        <x:v>SKILL_0487</x:v>
      </x:c>
      <x:c r="B493" s="1" t="str">
        <x:f>'스킬 500종'!B493</x:f>
        <x:v>효과저항 증가 · 속도 증가의 의식</x:v>
      </x:c>
      <x:c r="C493" s="1" t="n">
        <x:f>2.4</x:f>
        <x:v>2.4</x:v>
      </x:c>
      <x:c r="D493" s="9" t="n">
        <x:f>C493*1.08*('효과 규칙 55종'!H14*'스킬 500종'!L493*'스킬 500종'!M493/'효과 규칙 55종'!D14+'효과 규칙 55종'!H10*'스킬 500종'!O493*'스킬 500종'!P493/'효과 규칙 55종'!D10)</x:f>
        <x:v>2.56608</x:v>
      </x:c>
      <x:c r="E493" s="9" t="n">
        <x:f>C493*SUM('스킬 500종'!E493:H493)</x:f>
        <x:v>0</x:v>
      </x:c>
      <x:c r="F493" s="9" t="n">
        <x:f>C493*1.4*SUM('스킬 500종'!I493:J493)</x:f>
        <x:v>0</x:v>
      </x:c>
      <x:c r="G493" s="9" t="n">
        <x:f>SUM(D493:F493)</x:f>
        <x:v>2.56608</x:v>
      </x:c>
      <x:c r="H493" s="9" t="n">
        <x:f>1.1+0.8*'스킬 500종'!W493</x:f>
        <x:v>2.7</x:v>
      </x:c>
      <x:c r="I493" s="10" t="n">
        <x:f>G493/H493</x:f>
        <x:v>0.9503999999999999</x:v>
      </x:c>
      <x:c r="J493" s="1" t="str">
        <x:f>IF(OR('스킬 500종'!I493&lt;0,'스킬 500종'!J493&lt;0,AND('스킬 500종'!I493&gt;0,'스킬 500종'!J493&gt;0),AND(OR('스킬 500종'!K493="HEAL",'스킬 500종'!N493="HEAL",'스킬 500종'!Q493="HEAL",'스킬 500종'!T493="HEAL"),'스킬 500종'!I493=0,'스킬 500종'!J493=0),AND('스킬 500종'!I493&gt;0,OR('스킬 500종'!K493="CONTINUOUS_HEAL",'스킬 500종'!N493="CONTINUOUS_HEAL",'스킬 500종'!Q493="CONTINUOUS_HEAL",'스킬 500종'!T493="CONTINUOUS_HEAL"))),"회복 기준 오류",IF(AND(G493&lt;=H493+0.00001,'스킬 500종'!W493&gt;=1,'스킬 500종'!W493&lt;=5),"정상","초과"))</x:f>
        <x:v>정상</x:v>
      </x:c>
    </x:row>
    <x:row r="494" ht="30" customHeight="1">
      <x:c r="A494" s="1" t="str">
        <x:f>'스킬 500종'!A494</x:f>
        <x:v>SKILL_0488</x:v>
      </x:c>
      <x:c r="B494" s="1" t="str">
        <x:f>'스킬 500종'!B494</x:f>
        <x:v>피해 분담 · 소생 · 보호막의 의식</x:v>
      </x:c>
      <x:c r="C494" s="1" t="n">
        <x:f>1</x:f>
        <x:v>1</x:v>
      </x:c>
      <x:c r="D494" s="9" t="n">
        <x:f>C494*1.16*('효과 규칙 55종'!H43*'스킬 500종'!L494*'스킬 500종'!M494/'효과 규칙 55종'!D43+'효과 규칙 55종'!H46*'스킬 500종'!O494*'스킬 500종'!P494/'효과 규칙 55종'!D46+'효과 규칙 55종'!H37*'스킬 500종'!R494*'스킬 500종'!S494/'효과 규칙 55종'!D37)</x:f>
        <x:v>4.9462399999999995</x:v>
      </x:c>
      <x:c r="E494" s="9" t="n">
        <x:f>C494*SUM('스킬 500종'!E494:H494)</x:f>
        <x:v>0</x:v>
      </x:c>
      <x:c r="F494" s="9" t="n">
        <x:f>C494*1.4*SUM('스킬 500종'!I494:J494)</x:f>
        <x:v>0</x:v>
      </x:c>
      <x:c r="G494" s="9" t="n">
        <x:f>SUM(D494:F494)</x:f>
        <x:v>4.9462399999999995</x:v>
      </x:c>
      <x:c r="H494" s="9" t="n">
        <x:f>1.1+0.8*'스킬 500종'!W494</x:f>
        <x:v>5.1</x:v>
      </x:c>
      <x:c r="I494" s="10" t="n">
        <x:f>G494/H494</x:f>
        <x:v>0.9698509803921569</x:v>
      </x:c>
      <x:c r="J494" s="1" t="str">
        <x:f>IF(OR('스킬 500종'!I494&lt;0,'스킬 500종'!J494&lt;0,AND('스킬 500종'!I494&gt;0,'스킬 500종'!J494&gt;0),AND(OR('스킬 500종'!K494="HEAL",'스킬 500종'!N494="HEAL",'스킬 500종'!Q494="HEAL",'스킬 500종'!T494="HEAL"),'스킬 500종'!I494=0,'스킬 500종'!J494=0),AND('스킬 500종'!I494&gt;0,OR('스킬 500종'!K494="CONTINUOUS_HEAL",'스킬 500종'!N494="CONTINUOUS_HEAL",'스킬 500종'!Q494="CONTINUOUS_HEAL",'스킬 500종'!T494="CONTINUOUS_HEAL"))),"회복 기준 오류",IF(AND(G494&lt;=H494+0.00001,'스킬 500종'!W494&gt;=1,'스킬 500종'!W494&lt;=5),"정상","초과"))</x:f>
        <x:v>정상</x:v>
      </x:c>
    </x:row>
    <x:row r="495" ht="30" customHeight="1">
      <x:c r="A495" s="1" t="str">
        <x:f>'스킬 500종'!A495</x:f>
        <x:v>SKILL_0489</x:v>
      </x:c>
      <x:c r="B495" s="1" t="str">
        <x:f>'스킬 500종'!B495</x:f>
        <x:v>불사 · 회피 증가 · 치명저항 증가의 의식</x:v>
      </x:c>
      <x:c r="C495" s="1" t="n">
        <x:f>1</x:f>
        <x:v>1</x:v>
      </x:c>
      <x:c r="D495" s="9" t="n">
        <x:f>C495*1.16*('효과 규칙 55종'!H39*'스킬 500종'!L495*'스킬 500종'!M495/'효과 규칙 55종'!D39+'효과 규칙 55종'!H15*'스킬 500종'!O495*'스킬 500종'!P495/'효과 규칙 55종'!D15+'효과 규칙 55종'!H16*'스킬 500종'!R495*'스킬 500종'!S495/'효과 규칙 55종'!D16)</x:f>
        <x:v>2.76544</x:v>
      </x:c>
      <x:c r="E495" s="9" t="n">
        <x:f>C495*SUM('스킬 500종'!E495:H495)</x:f>
        <x:v>0</x:v>
      </x:c>
      <x:c r="F495" s="9" t="n">
        <x:f>C495*1.4*SUM('스킬 500종'!I495:J495)</x:f>
        <x:v>0</x:v>
      </x:c>
      <x:c r="G495" s="9" t="n">
        <x:f>SUM(D495:F495)</x:f>
        <x:v>2.76544</x:v>
      </x:c>
      <x:c r="H495" s="9" t="n">
        <x:f>1.1+0.8*'스킬 500종'!W495</x:f>
        <x:v>3.5000000000000004</x:v>
      </x:c>
      <x:c r="I495" s="10" t="n">
        <x:f>G495/H495</x:f>
        <x:v>0.7901257142857142</x:v>
      </x:c>
      <x:c r="J495" s="1" t="str">
        <x:f>IF(OR('스킬 500종'!I495&lt;0,'스킬 500종'!J495&lt;0,AND('스킬 500종'!I495&gt;0,'스킬 500종'!J495&gt;0),AND(OR('스킬 500종'!K495="HEAL",'스킬 500종'!N495="HEAL",'스킬 500종'!Q495="HEAL",'스킬 500종'!T495="HEAL"),'스킬 500종'!I495=0,'스킬 500종'!J495=0),AND('스킬 500종'!I495&gt;0,OR('스킬 500종'!K495="CONTINUOUS_HEAL",'스킬 500종'!N495="CONTINUOUS_HEAL",'스킬 500종'!Q495="CONTINUOUS_HEAL",'스킬 500종'!T495="CONTINUOUS_HEAL"))),"회복 기준 오류",IF(AND(G495&lt;=H495+0.00001,'스킬 500종'!W495&gt;=1,'스킬 500종'!W495&lt;=5),"정상","초과"))</x:f>
        <x:v>정상</x:v>
      </x:c>
    </x:row>
    <x:row r="496" ht="30" customHeight="1">
      <x:c r="A496" s="1" t="str">
        <x:f>'스킬 500종'!A496</x:f>
        <x:v>SKILL_0490</x:v>
      </x:c>
      <x:c r="B496" s="1" t="str">
        <x:f>'스킬 500종'!B496</x:f>
        <x:v>불사 · 보호막의 의식</x:v>
      </x:c>
      <x:c r="C496" s="1" t="n">
        <x:f>1</x:f>
        <x:v>1</x:v>
      </x:c>
      <x:c r="D496" s="9" t="n">
        <x:f>C496*1.08*('효과 규칙 55종'!H39*'스킬 500종'!L496*'스킬 500종'!M496/'효과 규칙 55종'!D39+'효과 규칙 55종'!H37*'스킬 500종'!O496*'스킬 500종'!P496/'효과 규칙 55종'!D37)</x:f>
        <x:v>2.3814</x:v>
      </x:c>
      <x:c r="E496" s="9" t="n">
        <x:f>C496*SUM('스킬 500종'!E496:H496)</x:f>
        <x:v>0</x:v>
      </x:c>
      <x:c r="F496" s="9" t="n">
        <x:f>C496*1.4*SUM('스킬 500종'!I496:J496)</x:f>
        <x:v>0</x:v>
      </x:c>
      <x:c r="G496" s="9" t="n">
        <x:f>SUM(D496:F496)</x:f>
        <x:v>2.3814</x:v>
      </x:c>
      <x:c r="H496" s="9" t="n">
        <x:f>1.1+0.8*'스킬 500종'!W496</x:f>
        <x:v>3.5000000000000004</x:v>
      </x:c>
      <x:c r="I496" s="10" t="n">
        <x:f>G496/H496</x:f>
        <x:v>0.6804</x:v>
      </x:c>
      <x:c r="J496" s="1" t="str">
        <x:f>IF(OR('스킬 500종'!I496&lt;0,'스킬 500종'!J496&lt;0,AND('스킬 500종'!I496&gt;0,'스킬 500종'!J496&gt;0),AND(OR('스킬 500종'!K496="HEAL",'스킬 500종'!N496="HEAL",'스킬 500종'!Q496="HEAL",'스킬 500종'!T496="HEAL"),'스킬 500종'!I496=0,'스킬 500종'!J496=0),AND('스킬 500종'!I496&gt;0,OR('스킬 500종'!K496="CONTINUOUS_HEAL",'스킬 500종'!N496="CONTINUOUS_HEAL",'스킬 500종'!Q496="CONTINUOUS_HEAL",'스킬 500종'!T496="CONTINUOUS_HEAL"))),"회복 기준 오류",IF(AND(G496&lt;=H496+0.00001,'스킬 500종'!W496&gt;=1,'스킬 500종'!W496&lt;=5),"정상","초과"))</x:f>
        <x:v>정상</x:v>
      </x:c>
    </x:row>
    <x:row r="497" ht="30" customHeight="1">
      <x:c r="A497" s="1" t="str">
        <x:f>'스킬 500종'!A497</x:f>
        <x:v>SKILL_0491</x:v>
      </x:c>
      <x:c r="B497" s="1" t="str">
        <x:f>'스킬 500종'!B497</x:f>
        <x:v>피해 감소 · 스킬 쿨타임 감소 · 은신의 의식</x:v>
      </x:c>
      <x:c r="C497" s="1" t="n">
        <x:f>2.4</x:f>
        <x:v>2.4</x:v>
      </x:c>
      <x:c r="D497" s="9" t="n">
        <x:f>C497*1.16*('효과 규칙 55종'!H42*'스킬 500종'!L497*'스킬 500종'!M497/'효과 규칙 55종'!D42+'효과 규칙 55종'!H52*'스킬 500종'!O497*'스킬 500종'!P497/'효과 규칙 55종'!D52+'효과 규칙 55종'!H41*'스킬 500종'!R497*'스킬 500종'!S497/'효과 규칙 55종'!D41)</x:f>
        <x:v>4.813536</x:v>
      </x:c>
      <x:c r="E497" s="9" t="n">
        <x:f>C497*SUM('스킬 500종'!E497:H497)</x:f>
        <x:v>0</x:v>
      </x:c>
      <x:c r="F497" s="9" t="n">
        <x:f>C497*1.4*SUM('스킬 500종'!I497:J497)</x:f>
        <x:v>0</x:v>
      </x:c>
      <x:c r="G497" s="9" t="n">
        <x:f>SUM(D497:F497)</x:f>
        <x:v>4.813536</x:v>
      </x:c>
      <x:c r="H497" s="9" t="n">
        <x:f>1.1+0.8*'스킬 500종'!W497</x:f>
        <x:v>5.1</x:v>
      </x:c>
      <x:c r="I497" s="10" t="n">
        <x:f>G497/H497</x:f>
        <x:v>0.9438305882352942</x:v>
      </x:c>
      <x:c r="J497" s="1" t="str">
        <x:f>IF(OR('스킬 500종'!I497&lt;0,'스킬 500종'!J497&lt;0,AND('스킬 500종'!I497&gt;0,'스킬 500종'!J497&gt;0),AND(OR('스킬 500종'!K497="HEAL",'스킬 500종'!N497="HEAL",'스킬 500종'!Q497="HEAL",'스킬 500종'!T497="HEAL"),'스킬 500종'!I497=0,'스킬 500종'!J497=0),AND('스킬 500종'!I497&gt;0,OR('스킬 500종'!K497="CONTINUOUS_HEAL",'스킬 500종'!N497="CONTINUOUS_HEAL",'스킬 500종'!Q497="CONTINUOUS_HEAL",'스킬 500종'!T497="CONTINUOUS_HEAL"))),"회복 기준 오류",IF(AND(G497&lt;=H497+0.00001,'스킬 500종'!W497&gt;=1,'스킬 500종'!W497&lt;=5),"정상","초과"))</x:f>
        <x:v>정상</x:v>
      </x:c>
    </x:row>
    <x:row r="498" ht="30" customHeight="1">
      <x:c r="A498" s="1" t="str">
        <x:f>'스킬 500종'!A498</x:f>
        <x:v>SKILL_0492</x:v>
      </x:c>
      <x:c r="B498" s="1" t="str">
        <x:f>'스킬 500종'!B498</x:f>
        <x:v>공격력 증가 · 반격의 의식</x:v>
      </x:c>
      <x:c r="C498" s="1" t="n">
        <x:f>1.6</x:f>
        <x:v>1.6</x:v>
      </x:c>
      <x:c r="D498" s="9" t="n">
        <x:f>C498*1.08*('효과 규칙 55종'!H7*'스킬 500종'!L498*'스킬 500종'!M498/'효과 규칙 55종'!D7+'효과 규칙 55종'!H51*'스킬 500종'!O498*'스킬 500종'!P498/'효과 규칙 55종'!D51)</x:f>
        <x:v>2.1772800000000005</x:v>
      </x:c>
      <x:c r="E498" s="9" t="n">
        <x:f>C498*SUM('스킬 500종'!E498:H498)</x:f>
        <x:v>0</x:v>
      </x:c>
      <x:c r="F498" s="9" t="n">
        <x:f>C498*1.4*SUM('스킬 500종'!I498:J498)</x:f>
        <x:v>0</x:v>
      </x:c>
      <x:c r="G498" s="9" t="n">
        <x:f>SUM(D498:F498)</x:f>
        <x:v>2.1772800000000005</x:v>
      </x:c>
      <x:c r="H498" s="9" t="n">
        <x:f>1.1+0.8*'스킬 500종'!W498</x:f>
        <x:v>2.7</x:v>
      </x:c>
      <x:c r="I498" s="10" t="n">
        <x:f>G498/H498</x:f>
        <x:v>0.8064000000000001</x:v>
      </x:c>
      <x:c r="J498" s="1" t="str">
        <x:f>IF(OR('스킬 500종'!I498&lt;0,'스킬 500종'!J498&lt;0,AND('스킬 500종'!I498&gt;0,'스킬 500종'!J498&gt;0),AND(OR('스킬 500종'!K498="HEAL",'스킬 500종'!N498="HEAL",'스킬 500종'!Q498="HEAL",'스킬 500종'!T498="HEAL"),'스킬 500종'!I498=0,'스킬 500종'!J498=0),AND('스킬 500종'!I498&gt;0,OR('스킬 500종'!K498="CONTINUOUS_HEAL",'스킬 500종'!N498="CONTINUOUS_HEAL",'스킬 500종'!Q498="CONTINUOUS_HEAL",'스킬 500종'!T498="CONTINUOUS_HEAL"))),"회복 기준 오류",IF(AND(G498&lt;=H498+0.00001,'스킬 500종'!W498&gt;=1,'스킬 500종'!W498&lt;=5),"정상","초과"))</x:f>
        <x:v>정상</x:v>
      </x:c>
    </x:row>
    <x:row r="499" ht="30" customHeight="1">
      <x:c r="A499" s="1" t="str">
        <x:f>'스킬 500종'!A499</x:f>
        <x:v>SKILL_0493</x:v>
      </x:c>
      <x:c r="B499" s="1" t="str">
        <x:f>'스킬 500종'!B499</x:f>
        <x:v>피해 반사 · 치명피해 증가 · 속도 증가의 의식</x:v>
      </x:c>
      <x:c r="C499" s="1" t="n">
        <x:f>1</x:f>
        <x:v>1</x:v>
      </x:c>
      <x:c r="D499" s="9" t="n">
        <x:f>C499*1.16*('효과 규칙 55종'!H44*'스킬 500종'!L499*'스킬 500종'!M499/'효과 규칙 55종'!D44+'효과 규칙 55종'!H12*'스킬 500종'!O499*'스킬 500종'!P499/'효과 규칙 55종'!D12+'효과 규칙 55종'!H10*'스킬 500종'!R499*'스킬 500종'!S499/'효과 규칙 55종'!D10)</x:f>
        <x:v>1.2992000000000001</x:v>
      </x:c>
      <x:c r="E499" s="9" t="n">
        <x:f>C499*SUM('스킬 500종'!E499:H499)</x:f>
        <x:v>0</x:v>
      </x:c>
      <x:c r="F499" s="9" t="n">
        <x:f>C499*1.4*SUM('스킬 500종'!I499:J499)</x:f>
        <x:v>0</x:v>
      </x:c>
      <x:c r="G499" s="9" t="n">
        <x:f>SUM(D499:F499)</x:f>
        <x:v>1.2992000000000001</x:v>
      </x:c>
      <x:c r="H499" s="9" t="n">
        <x:f>1.1+0.8*'스킬 500종'!W499</x:f>
        <x:v>1.9000000000000001</x:v>
      </x:c>
      <x:c r="I499" s="10" t="n">
        <x:f>G499/H499</x:f>
        <x:v>0.6837894736842105</x:v>
      </x:c>
      <x:c r="J499" s="1" t="str">
        <x:f>IF(OR('스킬 500종'!I499&lt;0,'스킬 500종'!J499&lt;0,AND('스킬 500종'!I499&gt;0,'스킬 500종'!J499&gt;0),AND(OR('스킬 500종'!K499="HEAL",'스킬 500종'!N499="HEAL",'스킬 500종'!Q499="HEAL",'스킬 500종'!T499="HEAL"),'스킬 500종'!I499=0,'스킬 500종'!J499=0),AND('스킬 500종'!I499&gt;0,OR('스킬 500종'!K499="CONTINUOUS_HEAL",'스킬 500종'!N499="CONTINUOUS_HEAL",'스킬 500종'!Q499="CONTINUOUS_HEAL",'스킬 500종'!T499="CONTINUOUS_HEAL"))),"회복 기준 오류",IF(AND(G499&lt;=H499+0.00001,'스킬 500종'!W499&gt;=1,'스킬 500종'!W499&lt;=5),"정상","초과"))</x:f>
        <x:v>정상</x:v>
      </x:c>
    </x:row>
    <x:row r="500" ht="30" customHeight="1">
      <x:c r="A500" s="1" t="str">
        <x:f>'스킬 500종'!A500</x:f>
        <x:v>SKILL_0494</x:v>
      </x:c>
      <x:c r="B500" s="1" t="str">
        <x:f>'스킬 500종'!B500</x:f>
        <x:v>피해 분담 · 치명저항 증가 · 효과적중 증가 · 보호막의 의식</x:v>
      </x:c>
      <x:c r="C500" s="1" t="n">
        <x:f>1</x:f>
        <x:v>1</x:v>
      </x:c>
      <x:c r="D500" s="9" t="n">
        <x:f>C500*1.24*('효과 규칙 55종'!H43*'스킬 500종'!L500*'스킬 500종'!M500/'효과 규칙 55종'!D43+'효과 규칙 55종'!H16*'스킬 500종'!O500*'스킬 500종'!P500/'효과 규칙 55종'!D16+'효과 규칙 55종'!H13*'스킬 500종'!R500*'스킬 500종'!S500/'효과 규칙 55종'!D13+'효과 규칙 55종'!H37*'스킬 500종'!U500*'스킬 500종'!V500/'효과 규칙 55종'!D37)</x:f>
        <x:v>1.3574941333333332</x:v>
      </x:c>
      <x:c r="E500" s="9" t="n">
        <x:f>C500*SUM('스킬 500종'!E500:H500)</x:f>
        <x:v>0</x:v>
      </x:c>
      <x:c r="F500" s="9" t="n">
        <x:f>C500*1.4*SUM('스킬 500종'!I500:J500)</x:f>
        <x:v>0</x:v>
      </x:c>
      <x:c r="G500" s="9" t="n">
        <x:f>SUM(D500:F500)</x:f>
        <x:v>1.3574941333333332</x:v>
      </x:c>
      <x:c r="H500" s="9" t="n">
        <x:f>1.1+0.8*'스킬 500종'!W500</x:f>
        <x:v>1.9000000000000001</x:v>
      </x:c>
      <x:c r="I500" s="10" t="n">
        <x:f>G500/H500</x:f>
        <x:v>0.714470596491228</x:v>
      </x:c>
      <x:c r="J500" s="1" t="str">
        <x:f>IF(OR('스킬 500종'!I500&lt;0,'스킬 500종'!J500&lt;0,AND('스킬 500종'!I500&gt;0,'스킬 500종'!J500&gt;0),AND(OR('스킬 500종'!K500="HEAL",'스킬 500종'!N500="HEAL",'스킬 500종'!Q500="HEAL",'스킬 500종'!T500="HEAL"),'스킬 500종'!I500=0,'스킬 500종'!J500=0),AND('스킬 500종'!I500&gt;0,OR('스킬 500종'!K500="CONTINUOUS_HEAL",'스킬 500종'!N500="CONTINUOUS_HEAL",'스킬 500종'!Q500="CONTINUOUS_HEAL",'스킬 500종'!T500="CONTINUOUS_HEAL"))),"회복 기준 오류",IF(AND(G500&lt;=H500+0.00001,'스킬 500종'!W500&gt;=1,'스킬 500종'!W500&lt;=5),"정상","초과"))</x:f>
        <x:v>정상</x:v>
      </x:c>
    </x:row>
    <x:row r="501" ht="30" customHeight="1">
      <x:c r="A501" s="1" t="str">
        <x:f>'스킬 500종'!A501</x:f>
        <x:v>SKILL_0495</x:v>
      </x:c>
      <x:c r="B501" s="1" t="str">
        <x:f>'스킬 500종'!B501</x:f>
        <x:v>피해 반사 · 보호막의 의식</x:v>
      </x:c>
      <x:c r="C501" s="1" t="n">
        <x:f>2.4</x:f>
        <x:v>2.4</x:v>
      </x:c>
      <x:c r="D501" s="9" t="n">
        <x:f>C501*1.08*('효과 규칙 55종'!H44*'스킬 500종'!L501*'스킬 500종'!M501/'효과 규칙 55종'!D44+'효과 규칙 55종'!H37*'스킬 500종'!O501*'스킬 500종'!P501/'효과 규칙 55종'!D37)</x:f>
        <x:v>2.6827200000000007</x:v>
      </x:c>
      <x:c r="E501" s="9" t="n">
        <x:f>C501*SUM('스킬 500종'!E501:H501)</x:f>
        <x:v>0</x:v>
      </x:c>
      <x:c r="F501" s="9" t="n">
        <x:f>C501*1.4*SUM('스킬 500종'!I501:J501)</x:f>
        <x:v>0</x:v>
      </x:c>
      <x:c r="G501" s="9" t="n">
        <x:f>SUM(D501:F501)</x:f>
        <x:v>2.6827200000000007</x:v>
      </x:c>
      <x:c r="H501" s="9" t="n">
        <x:f>1.1+0.8*'스킬 500종'!W501</x:f>
        <x:v>2.7</x:v>
      </x:c>
      <x:c r="I501" s="10" t="n">
        <x:f>G501/H501</x:f>
        <x:v>0.9936000000000001</x:v>
      </x:c>
      <x:c r="J501" s="1" t="str">
        <x:f>IF(OR('스킬 500종'!I501&lt;0,'스킬 500종'!J501&lt;0,AND('스킬 500종'!I501&gt;0,'스킬 500종'!J501&gt;0),AND(OR('스킬 500종'!K501="HEAL",'스킬 500종'!N501="HEAL",'스킬 500종'!Q501="HEAL",'스킬 500종'!T501="HEAL"),'스킬 500종'!I501=0,'스킬 500종'!J501=0),AND('스킬 500종'!I501&gt;0,OR('스킬 500종'!K501="CONTINUOUS_HEAL",'스킬 500종'!N501="CONTINUOUS_HEAL",'스킬 500종'!Q501="CONTINUOUS_HEAL",'스킬 500종'!T501="CONTINUOUS_HEAL"))),"회복 기준 오류",IF(AND(G501&lt;=H501+0.00001,'스킬 500종'!W501&gt;=1,'스킬 500종'!W501&lt;=5),"정상","초과"))</x:f>
        <x:v>정상</x:v>
      </x:c>
    </x:row>
    <x:row r="502" ht="30" customHeight="1">
      <x:c r="A502" s="1" t="str">
        <x:f>'스킬 500종'!A502</x:f>
        <x:v>SKILL_0496</x:v>
      </x:c>
      <x:c r="B502" s="1" t="str">
        <x:f>'스킬 500종'!B502</x:f>
        <x:v>지속 회복 · 불사의 의식</x:v>
      </x:c>
      <x:c r="C502" s="1" t="n">
        <x:f>1.6</x:f>
        <x:v>1.6</x:v>
      </x:c>
      <x:c r="D502" s="9" t="n">
        <x:f>C502*1.08*('효과 규칙 55종'!H35*'스킬 500종'!L502*'스킬 500종'!M502/'효과 규칙 55종'!D35+'효과 규칙 55종'!H39*'스킬 500종'!O502*'스킬 500종'!P502/'효과 규칙 55종'!D39)</x:f>
        <x:v>3.8102400000000007</x:v>
      </x:c>
      <x:c r="E502" s="9" t="n">
        <x:f>C502*SUM('스킬 500종'!E502:H502)</x:f>
        <x:v>0</x:v>
      </x:c>
      <x:c r="F502" s="9" t="n">
        <x:f>C502*1.4*SUM('스킬 500종'!I502:J502)</x:f>
        <x:v>0</x:v>
      </x:c>
      <x:c r="G502" s="9" t="n">
        <x:f>SUM(D502:F502)</x:f>
        <x:v>3.8102400000000007</x:v>
      </x:c>
      <x:c r="H502" s="9" t="n">
        <x:f>1.1+0.8*'스킬 500종'!W502</x:f>
        <x:v>4.300000000000001</x:v>
      </x:c>
      <x:c r="I502" s="10" t="n">
        <x:f>G502/H502</x:f>
        <x:v>0.8861023255813953</x:v>
      </x:c>
      <x:c r="J502" s="1" t="str">
        <x:f>IF(OR('스킬 500종'!I502&lt;0,'스킬 500종'!J502&lt;0,AND('스킬 500종'!I502&gt;0,'스킬 500종'!J502&gt;0),AND(OR('스킬 500종'!K502="HEAL",'스킬 500종'!N502="HEAL",'스킬 500종'!Q502="HEAL",'스킬 500종'!T502="HEAL"),'스킬 500종'!I502=0,'스킬 500종'!J502=0),AND('스킬 500종'!I502&gt;0,OR('스킬 500종'!K502="CONTINUOUS_HEAL",'스킬 500종'!N502="CONTINUOUS_HEAL",'스킬 500종'!Q502="CONTINUOUS_HEAL",'스킬 500종'!T502="CONTINUOUS_HEAL"))),"회복 기준 오류",IF(AND(G502&lt;=H502+0.00001,'스킬 500종'!W502&gt;=1,'스킬 500종'!W502&lt;=5),"정상","초과"))</x:f>
        <x:v>정상</x:v>
      </x:c>
    </x:row>
    <x:row r="503" ht="30" customHeight="1">
      <x:c r="A503" s="1" t="str">
        <x:f>'스킬 500종'!A503</x:f>
        <x:v>SKILL_0497</x:v>
      </x:c>
      <x:c r="B503" s="1" t="str">
        <x:f>'스킬 500종'!B503</x:f>
        <x:v>피해 분담 · 은신 · 속도 증가의 의식</x:v>
      </x:c>
      <x:c r="C503" s="1" t="n">
        <x:f>1</x:f>
        <x:v>1</x:v>
      </x:c>
      <x:c r="D503" s="9" t="n">
        <x:f>C503*1.16*('효과 규칙 55종'!H43*'스킬 500종'!L503*'스킬 500종'!M503/'효과 규칙 55종'!D43+'효과 규칙 55종'!H41*'스킬 500종'!O503*'스킬 500종'!P503/'효과 규칙 55종'!D41+'효과 규칙 55종'!H10*'스킬 500종'!R503*'스킬 500종'!S503/'효과 규칙 55종'!D10)</x:f>
        <x:v>1.81888</x:v>
      </x:c>
      <x:c r="E503" s="9" t="n">
        <x:f>C503*SUM('스킬 500종'!E503:H503)</x:f>
        <x:v>0</x:v>
      </x:c>
      <x:c r="F503" s="9" t="n">
        <x:f>C503*1.4*SUM('스킬 500종'!I503:J503)</x:f>
        <x:v>0</x:v>
      </x:c>
      <x:c r="G503" s="9" t="n">
        <x:f>SUM(D503:F503)</x:f>
        <x:v>1.81888</x:v>
      </x:c>
      <x:c r="H503" s="9" t="n">
        <x:f>1.1+0.8*'스킬 500종'!W503</x:f>
        <x:v>1.9000000000000001</x:v>
      </x:c>
      <x:c r="I503" s="10" t="n">
        <x:f>G503/H503</x:f>
        <x:v>0.9573052631578947</x:v>
      </x:c>
      <x:c r="J503" s="1" t="str">
        <x:f>IF(OR('스킬 500종'!I503&lt;0,'스킬 500종'!J503&lt;0,AND('스킬 500종'!I503&gt;0,'스킬 500종'!J503&gt;0),AND(OR('스킬 500종'!K503="HEAL",'스킬 500종'!N503="HEAL",'스킬 500종'!Q503="HEAL",'스킬 500종'!T503="HEAL"),'스킬 500종'!I503=0,'스킬 500종'!J503=0),AND('스킬 500종'!I503&gt;0,OR('스킬 500종'!K503="CONTINUOUS_HEAL",'스킬 500종'!N503="CONTINUOUS_HEAL",'스킬 500종'!Q503="CONTINUOUS_HEAL",'스킬 500종'!T503="CONTINUOUS_HEAL"))),"회복 기준 오류",IF(AND(G503&lt;=H503+0.00001,'스킬 500종'!W503&gt;=1,'스킬 500종'!W503&lt;=5),"정상","초과"))</x:f>
        <x:v>정상</x:v>
      </x:c>
    </x:row>
    <x:row r="504" ht="30" customHeight="1">
      <x:c r="A504" s="1" t="str">
        <x:f>'스킬 500종'!A504</x:f>
        <x:v>SKILL_0498</x:v>
      </x:c>
      <x:c r="B504" s="1" t="str">
        <x:f>'스킬 500종'!B504</x:f>
        <x:v>효과적중 증가 · 약화효과 해제의 의식</x:v>
      </x:c>
      <x:c r="C504" s="1" t="n">
        <x:f>1</x:f>
        <x:v>1</x:v>
      </x:c>
      <x:c r="D504" s="9" t="n">
        <x:f>C504*1.08*('효과 규칙 55종'!H13*'스킬 500종'!L504*'스킬 500종'!M504/'효과 규칙 55종'!D13+'효과 규칙 55종'!H57*'스킬 500종'!O504*'스킬 500종'!P504/'효과 규칙 55종'!D57)</x:f>
        <x:v>1.1178000000000001</x:v>
      </x:c>
      <x:c r="E504" s="9" t="n">
        <x:f>C504*SUM('스킬 500종'!E504:H504)</x:f>
        <x:v>0</x:v>
      </x:c>
      <x:c r="F504" s="9" t="n">
        <x:f>C504*1.4*SUM('스킬 500종'!I504:J504)</x:f>
        <x:v>0</x:v>
      </x:c>
      <x:c r="G504" s="9" t="n">
        <x:f>SUM(D504:F504)</x:f>
        <x:v>1.1178000000000001</x:v>
      </x:c>
      <x:c r="H504" s="9" t="n">
        <x:f>1.1+0.8*'스킬 500종'!W504</x:f>
        <x:v>1.9000000000000001</x:v>
      </x:c>
      <x:c r="I504" s="10" t="n">
        <x:f>G504/H504</x:f>
        <x:v>0.5883157894736842</x:v>
      </x:c>
      <x:c r="J504" s="1" t="str">
        <x:f>IF(OR('스킬 500종'!I504&lt;0,'스킬 500종'!J504&lt;0,AND('스킬 500종'!I504&gt;0,'스킬 500종'!J504&gt;0),AND(OR('스킬 500종'!K504="HEAL",'스킬 500종'!N504="HEAL",'스킬 500종'!Q504="HEAL",'스킬 500종'!T504="HEAL"),'스킬 500종'!I504=0,'스킬 500종'!J504=0),AND('스킬 500종'!I504&gt;0,OR('스킬 500종'!K504="CONTINUOUS_HEAL",'스킬 500종'!N504="CONTINUOUS_HEAL",'스킬 500종'!Q504="CONTINUOUS_HEAL",'스킬 500종'!T504="CONTINUOUS_HEAL"))),"회복 기준 오류",IF(AND(G504&lt;=H504+0.00001,'스킬 500종'!W504&gt;=1,'스킬 500종'!W504&lt;=5),"정상","초과"))</x:f>
        <x:v>정상</x:v>
      </x:c>
    </x:row>
    <x:row r="505" ht="30" customHeight="1">
      <x:c r="A505" s="1" t="str">
        <x:f>'스킬 500종'!A505</x:f>
        <x:v>SKILL_0499</x:v>
      </x:c>
      <x:c r="B505" s="1" t="str">
        <x:f>'스킬 500종'!B505</x:f>
        <x:v>피해 분담 · 지속 회복 · 스킬 쿨타임 감소의 의식</x:v>
      </x:c>
      <x:c r="C505" s="1" t="n">
        <x:f>1</x:f>
        <x:v>1</x:v>
      </x:c>
      <x:c r="D505" s="9" t="n">
        <x:f>C505*1.16*('효과 규칙 55종'!H43*'스킬 500종'!L505*'스킬 500종'!M505/'효과 규칙 55종'!D43+'효과 규칙 55종'!H35*'스킬 500종'!O505*'스킬 500종'!P505/'효과 규칙 55종'!D35+'효과 규칙 55종'!H52*'스킬 500종'!R505*'스킬 500종'!S505/'효과 규칙 55종'!D52)</x:f>
        <x:v>2.20864</x:v>
      </x:c>
      <x:c r="E505" s="9" t="n">
        <x:f>C505*SUM('스킬 500종'!E505:H505)</x:f>
        <x:v>0</x:v>
      </x:c>
      <x:c r="F505" s="9" t="n">
        <x:f>C505*1.4*SUM('스킬 500종'!I505:J505)</x:f>
        <x:v>0</x:v>
      </x:c>
      <x:c r="G505" s="9" t="n">
        <x:f>SUM(D505:F505)</x:f>
        <x:v>2.20864</x:v>
      </x:c>
      <x:c r="H505" s="9" t="n">
        <x:f>1.1+0.8*'스킬 500종'!W505</x:f>
        <x:v>2.7</x:v>
      </x:c>
      <x:c r="I505" s="10" t="n">
        <x:f>G505/H505</x:f>
        <x:v>0.8180148148148148</x:v>
      </x:c>
      <x:c r="J505" s="1" t="str">
        <x:f>IF(OR('스킬 500종'!I505&lt;0,'스킬 500종'!J505&lt;0,AND('스킬 500종'!I505&gt;0,'스킬 500종'!J505&gt;0),AND(OR('스킬 500종'!K505="HEAL",'스킬 500종'!N505="HEAL",'스킬 500종'!Q505="HEAL",'스킬 500종'!T505="HEAL"),'스킬 500종'!I505=0,'스킬 500종'!J505=0),AND('스킬 500종'!I505&gt;0,OR('스킬 500종'!K505="CONTINUOUS_HEAL",'스킬 500종'!N505="CONTINUOUS_HEAL",'스킬 500종'!Q505="CONTINUOUS_HEAL",'스킬 500종'!T505="CONTINUOUS_HEAL"))),"회복 기준 오류",IF(AND(G505&lt;=H505+0.00001,'스킬 500종'!W505&gt;=1,'스킬 500종'!W505&lt;=5),"정상","초과"))</x:f>
        <x:v>정상</x:v>
      </x:c>
    </x:row>
    <x:row r="506" ht="30" customHeight="1">
      <x:c r="A506" s="1" t="str">
        <x:f>'스킬 500종'!A506</x:f>
        <x:v>SKILL_0500</x:v>
      </x:c>
      <x:c r="B506" s="1" t="str">
        <x:f>'스킬 500종'!B506</x:f>
        <x:v>생명력 회복 · 공격력 증가(대) · 은신의 의식</x:v>
      </x:c>
      <x:c r="C506" s="1" t="n">
        <x:f>1.6</x:f>
        <x:v>1.6</x:v>
      </x:c>
      <x:c r="D506" s="9" t="n">
        <x:f>C506*1.16*('효과 규칙 55종'!H34*'스킬 500종'!L506*'스킬 500종'!M506/'효과 규칙 55종'!D34+'효과 규칙 55종'!H8*'스킬 500종'!O506*'스킬 500종'!P506/'효과 규칙 55종'!D8+'효과 규칙 55종'!H41*'스킬 500종'!R506*'스킬 500종'!S506/'효과 규칙 55종'!D41)</x:f>
        <x:v>2.316288</x:v>
      </x:c>
      <x:c r="E506" s="9" t="n">
        <x:f>C506*SUM('스킬 500종'!E506:H506)</x:f>
        <x:v>0</x:v>
      </x:c>
      <x:c r="F506" s="9" t="n">
        <x:f>C506*1.4*SUM('스킬 500종'!I506:J506)</x:f>
        <x:v>0.5599999999999999</x:v>
      </x:c>
      <x:c r="G506" s="9" t="n">
        <x:f>SUM(D506:F506)</x:f>
        <x:v>2.876288</x:v>
      </x:c>
      <x:c r="H506" s="9" t="n">
        <x:f>1.1+0.8*'스킬 500종'!W506</x:f>
        <x:v>3.5000000000000004</x:v>
      </x:c>
      <x:c r="I506" s="10" t="n">
        <x:f>G506/H506</x:f>
        <x:v>0.8217965714285713</x:v>
      </x:c>
      <x:c r="J506" s="1" t="str">
        <x:f>IF(OR('스킬 500종'!I506&lt;0,'스킬 500종'!J506&lt;0,AND('스킬 500종'!I506&gt;0,'스킬 500종'!J506&gt;0),AND(OR('스킬 500종'!K506="HEAL",'스킬 500종'!N506="HEAL",'스킬 500종'!Q506="HEAL",'스킬 500종'!T506="HEAL"),'스킬 500종'!I506=0,'스킬 500종'!J506=0),AND('스킬 500종'!I506&gt;0,OR('스킬 500종'!K506="CONTINUOUS_HEAL",'스킬 500종'!N506="CONTINUOUS_HEAL",'스킬 500종'!Q506="CONTINUOUS_HEAL",'스킬 500종'!T506="CONTINUOUS_HEAL"))),"회복 기준 오류",IF(AND(G506&lt;=H506+0.00001,'스킬 500종'!W506&gt;=1,'스킬 500종'!W506&lt;=5),"정상","초과"))</x:f>
        <x:v>정상</x:v>
      </x:c>
    </x:row>
    <x:row r="507" ht="30" customHeight="1">
      <x:c r="A507" s="1"/>
      <x:c r="B507" s="1"/>
      <x:c r="C507" s="1"/>
      <x:c r="D507" s="1"/>
      <x:c r="E507" s="1"/>
      <x:c r="F507" s="1"/>
      <x:c r="G507" s="1"/>
      <x:c r="H507" s="1"/>
      <x:c r="I507" s="1"/>
      <x:c r="J507" s="1"/>
    </x:row>
    <x:row r="508" ht="30" customHeight="1">
      <x:c r="A508" s="1"/>
      <x:c r="B508" s="1"/>
      <x:c r="C508" s="1"/>
      <x:c r="D508" s="1"/>
      <x:c r="E508" s="1"/>
      <x:c r="F508" s="1"/>
      <x:c r="G508" s="1"/>
      <x:c r="H508" s="1"/>
      <x:c r="I508" s="1"/>
      <x:c r="J508" s="1"/>
    </x:row>
    <x:row r="509" ht="30" customHeight="1">
      <x:c r="A509" s="1"/>
      <x:c r="B509" s="1"/>
      <x:c r="C509" s="1"/>
      <x:c r="D509" s="1"/>
      <x:c r="E509" s="1"/>
      <x:c r="F509" s="1"/>
      <x:c r="G509" s="1"/>
      <x:c r="H509" s="1"/>
      <x:c r="I509" s="1"/>
      <x:c r="J509" s="1"/>
    </x:row>
    <x:row r="510" ht="30" customHeight="1">
      <x:c r="A510" s="1" t="str">
        <x:v>효과코드</x:v>
      </x:c>
      <x:c r="B510" s="1" t="str">
        <x:v>효과명</x:v>
      </x:c>
      <x:c r="C510" s="1" t="str">
        <x:v>사용 스킬 수</x:v>
      </x:c>
      <x:c r="D510" s="1"/>
      <x:c r="E510" s="1"/>
      <x:c r="F510" s="1"/>
      <x:c r="G510" s="1"/>
      <x:c r="H510" s="1"/>
      <x:c r="I510" s="1"/>
      <x:c r="J510" s="1"/>
    </x:row>
    <x:row r="511" ht="30" customHeight="1">
      <x:c r="A511" s="1" t="str">
        <x:v>ATTACK_UP</x:v>
      </x:c>
      <x:c r="B511" s="1" t="str">
        <x:v>공격력 증가</x:v>
      </x:c>
      <x:c r="C511" s="1" t="n">
        <x:v>25</x:v>
      </x:c>
      <x:c r="D511" s="1"/>
      <x:c r="E511" s="1"/>
      <x:c r="F511" s="1"/>
      <x:c r="G511" s="1"/>
      <x:c r="H511" s="1"/>
      <x:c r="I511" s="1"/>
      <x:c r="J511" s="1"/>
    </x:row>
    <x:row r="512" ht="30" customHeight="1">
      <x:c r="A512" s="1" t="str">
        <x:v>ATTACK_UP_GREATER</x:v>
      </x:c>
      <x:c r="B512" s="1" t="str">
        <x:v>공격력 증가(대)</x:v>
      </x:c>
      <x:c r="C512" s="1" t="n">
        <x:v>20</x:v>
      </x:c>
      <x:c r="D512" s="1"/>
      <x:c r="E512" s="1"/>
      <x:c r="F512" s="1"/>
      <x:c r="G512" s="1"/>
      <x:c r="H512" s="1"/>
      <x:c r="I512" s="1"/>
      <x:c r="J512" s="1"/>
    </x:row>
    <x:row r="513" ht="30" customHeight="1">
      <x:c r="A513" s="1" t="str">
        <x:v>DEFENSE_UP</x:v>
      </x:c>
      <x:c r="B513" s="1" t="str">
        <x:v>방어력 증가</x:v>
      </x:c>
      <x:c r="C513" s="1" t="n">
        <x:v>27</x:v>
      </x:c>
      <x:c r="D513" s="1"/>
      <x:c r="E513" s="1"/>
      <x:c r="F513" s="1"/>
      <x:c r="G513" s="1"/>
      <x:c r="H513" s="1"/>
      <x:c r="I513" s="1"/>
      <x:c r="J513" s="1"/>
    </x:row>
    <x:row r="514" ht="30" customHeight="1">
      <x:c r="A514" s="1" t="str">
        <x:v>SPEED_UP</x:v>
      </x:c>
      <x:c r="B514" s="1" t="str">
        <x:v>속도 증가</x:v>
      </x:c>
      <x:c r="C514" s="1" t="n">
        <x:v>31</x:v>
      </x:c>
      <x:c r="D514" s="1"/>
      <x:c r="E514" s="1"/>
      <x:c r="F514" s="1"/>
      <x:c r="G514" s="1"/>
      <x:c r="H514" s="1"/>
      <x:c r="I514" s="1"/>
      <x:c r="J514" s="1"/>
    </x:row>
    <x:row r="515" ht="30" customHeight="1">
      <x:c r="A515" s="1" t="str">
        <x:v>CRITICAL_CHANCE_UP</x:v>
      </x:c>
      <x:c r="B515" s="1" t="str">
        <x:v>치명확률 증가</x:v>
      </x:c>
      <x:c r="C515" s="1" t="n">
        <x:v>25</x:v>
      </x:c>
      <x:c r="D515" s="1"/>
      <x:c r="E515" s="1"/>
      <x:c r="F515" s="1"/>
      <x:c r="G515" s="1"/>
      <x:c r="H515" s="1"/>
      <x:c r="I515" s="1"/>
      <x:c r="J515" s="1"/>
    </x:row>
    <x:row r="516" ht="30" customHeight="1">
      <x:c r="A516" s="1" t="str">
        <x:v>CRITICAL_DAMAGE_UP</x:v>
      </x:c>
      <x:c r="B516" s="1" t="str">
        <x:v>치명피해 증가</x:v>
      </x:c>
      <x:c r="C516" s="1" t="n">
        <x:v>26</x:v>
      </x:c>
      <x:c r="D516" s="1"/>
      <x:c r="E516" s="1"/>
      <x:c r="F516" s="1"/>
      <x:c r="G516" s="1"/>
      <x:c r="H516" s="1"/>
      <x:c r="I516" s="1"/>
      <x:c r="J516" s="1"/>
    </x:row>
    <x:row r="517" ht="30" customHeight="1">
      <x:c r="A517" s="1" t="str">
        <x:v>EFFECTIVENESS_UP</x:v>
      </x:c>
      <x:c r="B517" s="1" t="str">
        <x:v>효과적중 증가</x:v>
      </x:c>
      <x:c r="C517" s="1" t="n">
        <x:v>21</x:v>
      </x:c>
      <x:c r="D517" s="1"/>
      <x:c r="E517" s="1"/>
      <x:c r="F517" s="1"/>
      <x:c r="G517" s="1"/>
      <x:c r="H517" s="1"/>
      <x:c r="I517" s="1"/>
      <x:c r="J517" s="1"/>
    </x:row>
    <x:row r="518" ht="30" customHeight="1">
      <x:c r="A518" s="1" t="str">
        <x:v>EFFECT_RESISTANCE_UP</x:v>
      </x:c>
      <x:c r="B518" s="1" t="str">
        <x:v>효과저항 증가</x:v>
      </x:c>
      <x:c r="C518" s="1" t="n">
        <x:v>26</x:v>
      </x:c>
      <x:c r="D518" s="1"/>
      <x:c r="E518" s="1"/>
      <x:c r="F518" s="1"/>
      <x:c r="G518" s="1"/>
      <x:c r="H518" s="1"/>
      <x:c r="I518" s="1"/>
      <x:c r="J518" s="1"/>
    </x:row>
    <x:row r="519" ht="30" customHeight="1">
      <x:c r="A519" s="1" t="str">
        <x:v>EVASION_UP</x:v>
      </x:c>
      <x:c r="B519" s="1" t="str">
        <x:v>회피 증가</x:v>
      </x:c>
      <x:c r="C519" s="1" t="n">
        <x:v>27</x:v>
      </x:c>
      <x:c r="D519" s="1"/>
      <x:c r="E519" s="1"/>
      <x:c r="F519" s="1"/>
      <x:c r="G519" s="1"/>
      <x:c r="H519" s="1"/>
      <x:c r="I519" s="1"/>
      <x:c r="J519" s="1"/>
    </x:row>
    <x:row r="520" ht="30" customHeight="1">
      <x:c r="A520" s="1" t="str">
        <x:v>CRITICAL_RESISTANCE_UP</x:v>
      </x:c>
      <x:c r="B520" s="1" t="str">
        <x:v>치명저항 증가</x:v>
      </x:c>
      <x:c r="C520" s="1" t="n">
        <x:v>21</x:v>
      </x:c>
      <x:c r="D520" s="1"/>
      <x:c r="E520" s="1"/>
      <x:c r="F520" s="1"/>
      <x:c r="G520" s="1"/>
      <x:c r="H520" s="1"/>
      <x:c r="I520" s="1"/>
      <x:c r="J520" s="1"/>
    </x:row>
    <x:row r="521" ht="30" customHeight="1">
      <x:c r="A521" s="1" t="str">
        <x:v>HIT_CHANCE_UP</x:v>
      </x:c>
      <x:c r="B521" s="1" t="str">
        <x:v>명중 증가</x:v>
      </x:c>
      <x:c r="C521" s="1" t="n">
        <x:v>21</x:v>
      </x:c>
      <x:c r="D521" s="1"/>
      <x:c r="E521" s="1"/>
      <x:c r="F521" s="1"/>
      <x:c r="G521" s="1"/>
      <x:c r="H521" s="1"/>
      <x:c r="I521" s="1"/>
      <x:c r="J521" s="1"/>
    </x:row>
    <x:row r="522" ht="30" customHeight="1">
      <x:c r="A522" s="1" t="str">
        <x:v>ATTACK_DOWN</x:v>
      </x:c>
      <x:c r="B522" s="1" t="str">
        <x:v>공격력 감소</x:v>
      </x:c>
      <x:c r="C522" s="1" t="n">
        <x:v>27</x:v>
      </x:c>
      <x:c r="D522" s="1"/>
      <x:c r="E522" s="1"/>
      <x:c r="F522" s="1"/>
      <x:c r="G522" s="1"/>
      <x:c r="H522" s="1"/>
      <x:c r="I522" s="1"/>
      <x:c r="J522" s="1"/>
    </x:row>
    <x:row r="523" ht="30" customHeight="1">
      <x:c r="A523" s="1" t="str">
        <x:v>DEFENSE_DOWN</x:v>
      </x:c>
      <x:c r="B523" s="1" t="str">
        <x:v>방어력 감소</x:v>
      </x:c>
      <x:c r="C523" s="1" t="n">
        <x:v>34</x:v>
      </x:c>
      <x:c r="D523" s="1"/>
      <x:c r="E523" s="1"/>
      <x:c r="F523" s="1"/>
      <x:c r="G523" s="1"/>
      <x:c r="H523" s="1"/>
      <x:c r="I523" s="1"/>
      <x:c r="J523" s="1"/>
    </x:row>
    <x:row r="524" ht="30" customHeight="1">
      <x:c r="A524" s="1" t="str">
        <x:v>SPEED_DOWN</x:v>
      </x:c>
      <x:c r="B524" s="1" t="str">
        <x:v>속도 감소</x:v>
      </x:c>
      <x:c r="C524" s="1" t="n">
        <x:v>29</x:v>
      </x:c>
      <x:c r="D524" s="1"/>
      <x:c r="E524" s="1"/>
      <x:c r="F524" s="1"/>
      <x:c r="G524" s="1"/>
      <x:c r="H524" s="1"/>
      <x:c r="I524" s="1"/>
      <x:c r="J524" s="1"/>
    </x:row>
    <x:row r="525" ht="30" customHeight="1">
      <x:c r="A525" s="1" t="str">
        <x:v>HIT_CHANCE_DOWN</x:v>
      </x:c>
      <x:c r="B525" s="1" t="str">
        <x:v>명중 감소</x:v>
      </x:c>
      <x:c r="C525" s="1" t="n">
        <x:v>26</x:v>
      </x:c>
      <x:c r="D525" s="1"/>
      <x:c r="E525" s="1"/>
      <x:c r="F525" s="1"/>
      <x:c r="G525" s="1"/>
      <x:c r="H525" s="1"/>
      <x:c r="I525" s="1"/>
      <x:c r="J525" s="1"/>
    </x:row>
    <x:row r="526" ht="30" customHeight="1">
      <x:c r="A526" s="1" t="str">
        <x:v>STUN</x:v>
      </x:c>
      <x:c r="B526" s="1" t="str">
        <x:v>기절 — 스턴</x:v>
      </x:c>
      <x:c r="C526" s="1" t="n">
        <x:v>23</x:v>
      </x:c>
      <x:c r="D526" s="1"/>
      <x:c r="E526" s="1"/>
      <x:c r="F526" s="1"/>
      <x:c r="G526" s="1"/>
      <x:c r="H526" s="1"/>
      <x:c r="I526" s="1"/>
      <x:c r="J526" s="1"/>
    </x:row>
    <x:row r="527" ht="30" customHeight="1">
      <x:c r="A527" s="1" t="str">
        <x:v>SLEEP</x:v>
      </x:c>
      <x:c r="B527" s="1" t="str">
        <x:v>수면</x:v>
      </x:c>
      <x:c r="C527" s="1" t="n">
        <x:v>13</x:v>
      </x:c>
      <x:c r="D527" s="1"/>
      <x:c r="E527" s="1"/>
      <x:c r="F527" s="1"/>
      <x:c r="G527" s="1"/>
      <x:c r="H527" s="1"/>
      <x:c r="I527" s="1"/>
      <x:c r="J527" s="1"/>
    </x:row>
    <x:row r="528" ht="30" customHeight="1">
      <x:c r="A528" s="1" t="str">
        <x:v>PROVOKE</x:v>
      </x:c>
      <x:c r="B528" s="1" t="str">
        <x:v>도발</x:v>
      </x:c>
      <x:c r="C528" s="1" t="n">
        <x:v>18</x:v>
      </x:c>
      <x:c r="D528" s="1"/>
      <x:c r="E528" s="1"/>
      <x:c r="F528" s="1"/>
      <x:c r="G528" s="1"/>
      <x:c r="H528" s="1"/>
      <x:c r="I528" s="1"/>
      <x:c r="J528" s="1"/>
    </x:row>
    <x:row r="529" ht="30" customHeight="1">
      <x:c r="A529" s="1" t="str">
        <x:v>HEAL_BLOCK</x:v>
      </x:c>
      <x:c r="B529" s="1" t="str">
        <x:v>회복 불가</x:v>
      </x:c>
      <x:c r="C529" s="1" t="n">
        <x:v>34</x:v>
      </x:c>
      <x:c r="D529" s="1"/>
      <x:c r="E529" s="1"/>
      <x:c r="F529" s="1"/>
      <x:c r="G529" s="1"/>
      <x:c r="H529" s="1"/>
      <x:c r="I529" s="1"/>
      <x:c r="J529" s="1"/>
    </x:row>
    <x:row r="530" ht="30" customHeight="1">
      <x:c r="A530" s="1" t="str">
        <x:v>BUFF_BLOCK</x:v>
      </x:c>
      <x:c r="B530" s="1" t="str">
        <x:v>강화 불가</x:v>
      </x:c>
      <x:c r="C530" s="1" t="n">
        <x:v>30</x:v>
      </x:c>
      <x:c r="D530" s="1"/>
      <x:c r="E530" s="1"/>
      <x:c r="F530" s="1"/>
      <x:c r="G530" s="1"/>
      <x:c r="H530" s="1"/>
      <x:c r="I530" s="1"/>
      <x:c r="J530" s="1"/>
    </x:row>
    <x:row r="531" ht="30" customHeight="1">
      <x:c r="A531" s="1" t="str">
        <x:v>COUNTERATTACK_BLOCK</x:v>
      </x:c>
      <x:c r="B531" s="1" t="str">
        <x:v>반격 불가</x:v>
      </x:c>
      <x:c r="C531" s="1" t="n">
        <x:v>37</x:v>
      </x:c>
      <x:c r="D531" s="1"/>
      <x:c r="E531" s="1"/>
      <x:c r="F531" s="1"/>
      <x:c r="G531" s="1"/>
      <x:c r="H531" s="1"/>
      <x:c r="I531" s="1"/>
      <x:c r="J531" s="1"/>
    </x:row>
    <x:row r="532" ht="30" customHeight="1">
      <x:c r="A532" s="1" t="str">
        <x:v>POISON</x:v>
      </x:c>
      <x:c r="B532" s="1" t="str">
        <x:v>중독</x:v>
      </x:c>
      <x:c r="C532" s="1" t="n">
        <x:v>27</x:v>
      </x:c>
      <x:c r="D532" s="1"/>
      <x:c r="E532" s="1"/>
      <x:c r="F532" s="1"/>
      <x:c r="G532" s="1"/>
      <x:c r="H532" s="1"/>
      <x:c r="I532" s="1"/>
      <x:c r="J532" s="1"/>
    </x:row>
    <x:row r="533" ht="30" customHeight="1">
      <x:c r="A533" s="1" t="str">
        <x:v>BLEED</x:v>
      </x:c>
      <x:c r="B533" s="1" t="str">
        <x:v>출혈</x:v>
      </x:c>
      <x:c r="C533" s="1" t="n">
        <x:v>23</x:v>
      </x:c>
      <x:c r="D533" s="1"/>
      <x:c r="E533" s="1"/>
      <x:c r="F533" s="1"/>
      <x:c r="G533" s="1"/>
      <x:c r="H533" s="1"/>
      <x:c r="I533" s="1"/>
      <x:c r="J533" s="1"/>
    </x:row>
    <x:row r="534" ht="30" customHeight="1">
      <x:c r="A534" s="1" t="str">
        <x:v>TARGET</x:v>
      </x:c>
      <x:c r="B534" s="1" t="str">
        <x:v>표적</x:v>
      </x:c>
      <x:c r="C534" s="1" t="n">
        <x:v>26</x:v>
      </x:c>
      <x:c r="D534" s="1"/>
      <x:c r="E534" s="1"/>
      <x:c r="F534" s="1"/>
      <x:c r="G534" s="1"/>
      <x:c r="H534" s="1"/>
      <x:c r="I534" s="1"/>
      <x:c r="J534" s="1"/>
    </x:row>
    <x:row r="535" ht="30" customHeight="1">
      <x:c r="A535" s="1" t="str">
        <x:v>CURSE</x:v>
      </x:c>
      <x:c r="B535" s="1" t="str">
        <x:v>저주</x:v>
      </x:c>
      <x:c r="C535" s="1" t="n">
        <x:v>26</x:v>
      </x:c>
      <x:c r="D535" s="1"/>
      <x:c r="E535" s="1"/>
      <x:c r="F535" s="1"/>
      <x:c r="G535" s="1"/>
      <x:c r="H535" s="1"/>
      <x:c r="I535" s="1"/>
      <x:c r="J535" s="1"/>
    </x:row>
    <x:row r="536" ht="30" customHeight="1">
      <x:c r="A536" s="1" t="str">
        <x:v>INJURY</x:v>
      </x:c>
      <x:c r="B536" s="1" t="str">
        <x:v>상처</x:v>
      </x:c>
      <x:c r="C536" s="1" t="n">
        <x:v>34</x:v>
      </x:c>
      <x:c r="D536" s="1"/>
      <x:c r="E536" s="1"/>
      <x:c r="F536" s="1"/>
      <x:c r="G536" s="1"/>
      <x:c r="H536" s="1"/>
      <x:c r="I536" s="1"/>
      <x:c r="J536" s="1"/>
    </x:row>
    <x:row r="537" ht="30" customHeight="1">
      <x:c r="A537" s="1" t="str">
        <x:v>ADDITIONAL_DAMAGE</x:v>
      </x:c>
      <x:c r="B537" s="1" t="str">
        <x:v>추가 피해</x:v>
      </x:c>
      <x:c r="C537" s="1" t="n">
        <x:v>19</x:v>
      </x:c>
      <x:c r="D537" s="1"/>
      <x:c r="E537" s="1"/>
      <x:c r="F537" s="1"/>
      <x:c r="G537" s="1"/>
      <x:c r="H537" s="1"/>
      <x:c r="I537" s="1"/>
      <x:c r="J537" s="1"/>
    </x:row>
    <x:row r="538" ht="30" customHeight="1">
      <x:c r="A538" s="1" t="str">
        <x:v>HEAL</x:v>
      </x:c>
      <x:c r="B538" s="1" t="str">
        <x:v>생명력 회복</x:v>
      </x:c>
      <x:c r="C538" s="1" t="n">
        <x:v>22</x:v>
      </x:c>
      <x:c r="D538" s="1"/>
      <x:c r="E538" s="1"/>
      <x:c r="F538" s="1"/>
      <x:c r="G538" s="1"/>
      <x:c r="H538" s="1"/>
      <x:c r="I538" s="1"/>
      <x:c r="J538" s="1"/>
    </x:row>
    <x:row r="539" ht="30" customHeight="1">
      <x:c r="A539" s="1" t="str">
        <x:v>CONTINUOUS_HEAL</x:v>
      </x:c>
      <x:c r="B539" s="1" t="str">
        <x:v>지속 회복</x:v>
      </x:c>
      <x:c r="C539" s="1" t="n">
        <x:v>25</x:v>
      </x:c>
      <x:c r="D539" s="1"/>
      <x:c r="E539" s="1"/>
      <x:c r="F539" s="1"/>
      <x:c r="G539" s="1"/>
      <x:c r="H539" s="1"/>
      <x:c r="I539" s="1"/>
      <x:c r="J539" s="1"/>
    </x:row>
    <x:row r="540" ht="30" customHeight="1">
      <x:c r="A540" s="1" t="str">
        <x:v>LIFESTEAL</x:v>
      </x:c>
      <x:c r="B540" s="1" t="str">
        <x:v>흡혈</x:v>
      </x:c>
      <x:c r="C540" s="1" t="n">
        <x:v>28</x:v>
      </x:c>
      <x:c r="D540" s="1"/>
      <x:c r="E540" s="1"/>
      <x:c r="F540" s="1"/>
      <x:c r="G540" s="1"/>
      <x:c r="H540" s="1"/>
      <x:c r="I540" s="1"/>
      <x:c r="J540" s="1"/>
    </x:row>
    <x:row r="541" ht="30" customHeight="1">
      <x:c r="A541" s="1" t="str">
        <x:v>BARRIER</x:v>
      </x:c>
      <x:c r="B541" s="1" t="str">
        <x:v>보호막</x:v>
      </x:c>
      <x:c r="C541" s="1" t="n">
        <x:v>33</x:v>
      </x:c>
      <x:c r="D541" s="1"/>
      <x:c r="E541" s="1"/>
      <x:c r="F541" s="1"/>
      <x:c r="G541" s="1"/>
      <x:c r="H541" s="1"/>
      <x:c r="I541" s="1"/>
      <x:c r="J541" s="1"/>
    </x:row>
    <x:row r="542" ht="30" customHeight="1">
      <x:c r="A542" s="1" t="str">
        <x:v>INVINCIBILITY</x:v>
      </x:c>
      <x:c r="B542" s="1" t="str">
        <x:v>무적</x:v>
      </x:c>
      <x:c r="C542" s="1" t="n">
        <x:v>24</x:v>
      </x:c>
      <x:c r="D542" s="1"/>
      <x:c r="E542" s="1"/>
      <x:c r="F542" s="1"/>
      <x:c r="G542" s="1"/>
      <x:c r="H542" s="1"/>
      <x:c r="I542" s="1"/>
      <x:c r="J542" s="1"/>
    </x:row>
    <x:row r="543" ht="30" customHeight="1">
      <x:c r="A543" s="1" t="str">
        <x:v>IMMORTALITY</x:v>
      </x:c>
      <x:c r="B543" s="1" t="str">
        <x:v>불사</x:v>
      </x:c>
      <x:c r="C543" s="1" t="n">
        <x:v>23</x:v>
      </x:c>
      <x:c r="D543" s="1"/>
      <x:c r="E543" s="1"/>
      <x:c r="F543" s="1"/>
      <x:c r="G543" s="1"/>
      <x:c r="H543" s="1"/>
      <x:c r="I543" s="1"/>
      <x:c r="J543" s="1"/>
    </x:row>
    <x:row r="544" ht="30" customHeight="1">
      <x:c r="A544" s="1" t="str">
        <x:v>IMMUNITY</x:v>
      </x:c>
      <x:c r="B544" s="1" t="str">
        <x:v>면역</x:v>
      </x:c>
      <x:c r="C544" s="1" t="n">
        <x:v>23</x:v>
      </x:c>
      <x:c r="D544" s="1"/>
      <x:c r="E544" s="1"/>
      <x:c r="F544" s="1"/>
      <x:c r="G544" s="1"/>
      <x:c r="H544" s="1"/>
      <x:c r="I544" s="1"/>
      <x:c r="J544" s="1"/>
    </x:row>
    <x:row r="545" ht="30" customHeight="1">
      <x:c r="A545" s="1" t="str">
        <x:v>STEALTH</x:v>
      </x:c>
      <x:c r="B545" s="1" t="str">
        <x:v>은신</x:v>
      </x:c>
      <x:c r="C545" s="1" t="n">
        <x:v>40</x:v>
      </x:c>
      <x:c r="D545" s="1"/>
      <x:c r="E545" s="1"/>
      <x:c r="F545" s="1"/>
      <x:c r="G545" s="1"/>
      <x:c r="H545" s="1"/>
      <x:c r="I545" s="1"/>
      <x:c r="J545" s="1"/>
    </x:row>
    <x:row r="546" ht="30" customHeight="1">
      <x:c r="A546" s="1" t="str">
        <x:v>DAMAGE_REDUCTION</x:v>
      </x:c>
      <x:c r="B546" s="1" t="str">
        <x:v>피해 감소</x:v>
      </x:c>
      <x:c r="C546" s="1" t="n">
        <x:v>28</x:v>
      </x:c>
      <x:c r="D546" s="1"/>
      <x:c r="E546" s="1"/>
      <x:c r="F546" s="1"/>
      <x:c r="G546" s="1"/>
      <x:c r="H546" s="1"/>
      <x:c r="I546" s="1"/>
      <x:c r="J546" s="1"/>
    </x:row>
    <x:row r="547" ht="30" customHeight="1">
      <x:c r="A547" s="1" t="str">
        <x:v>DAMAGE_SHARING</x:v>
      </x:c>
      <x:c r="B547" s="1" t="str">
        <x:v>피해 분담</x:v>
      </x:c>
      <x:c r="C547" s="1" t="n">
        <x:v>22</x:v>
      </x:c>
      <x:c r="D547" s="1"/>
      <x:c r="E547" s="1"/>
      <x:c r="F547" s="1"/>
      <x:c r="G547" s="1"/>
      <x:c r="H547" s="1"/>
      <x:c r="I547" s="1"/>
      <x:c r="J547" s="1"/>
    </x:row>
    <x:row r="548" ht="30" customHeight="1">
      <x:c r="A548" s="1" t="str">
        <x:v>DAMAGE_REFLECTION</x:v>
      </x:c>
      <x:c r="B548" s="1" t="str">
        <x:v>피해 반사</x:v>
      </x:c>
      <x:c r="C548" s="1" t="n">
        <x:v>29</x:v>
      </x:c>
      <x:c r="D548" s="1"/>
      <x:c r="E548" s="1"/>
      <x:c r="F548" s="1"/>
      <x:c r="G548" s="1"/>
      <x:c r="H548" s="1"/>
      <x:c r="I548" s="1"/>
      <x:c r="J548" s="1"/>
    </x:row>
    <x:row r="549" ht="30" customHeight="1">
      <x:c r="A549" s="1" t="str">
        <x:v>REVIVE</x:v>
      </x:c>
      <x:c r="B549" s="1" t="str">
        <x:v>부활</x:v>
      </x:c>
      <x:c r="C549" s="1" t="n">
        <x:v>10</x:v>
      </x:c>
      <x:c r="D549" s="1"/>
      <x:c r="E549" s="1"/>
      <x:c r="F549" s="1"/>
      <x:c r="G549" s="1"/>
      <x:c r="H549" s="1"/>
      <x:c r="I549" s="1"/>
      <x:c r="J549" s="1"/>
    </x:row>
    <x:row r="550" ht="30" customHeight="1">
      <x:c r="A550" s="1" t="str">
        <x:v>AUTO_REVIVE</x:v>
      </x:c>
      <x:c r="B550" s="1" t="str">
        <x:v>소생</x:v>
      </x:c>
      <x:c r="C550" s="1" t="n">
        <x:v>20</x:v>
      </x:c>
      <x:c r="D550" s="1"/>
      <x:c r="E550" s="1"/>
      <x:c r="F550" s="1"/>
      <x:c r="G550" s="1"/>
      <x:c r="H550" s="1"/>
      <x:c r="I550" s="1"/>
      <x:c r="J550" s="1"/>
    </x:row>
    <x:row r="551" ht="30" customHeight="1">
      <x:c r="A551" s="1" t="str">
        <x:v>EXTINCTION</x:v>
      </x:c>
      <x:c r="B551" s="1" t="str">
        <x:v>소멸</x:v>
      </x:c>
      <x:c r="C551" s="1" t="n">
        <x:v>17</x:v>
      </x:c>
      <x:c r="D551" s="1"/>
      <x:c r="E551" s="1"/>
      <x:c r="F551" s="1"/>
      <x:c r="G551" s="1"/>
      <x:c r="H551" s="1"/>
      <x:c r="I551" s="1"/>
      <x:c r="J551" s="1"/>
    </x:row>
    <x:row r="552" ht="30" customHeight="1">
      <x:c r="A552" s="1" t="str">
        <x:v>REVIVE_BLOCK</x:v>
      </x:c>
      <x:c r="B552" s="1" t="str">
        <x:v>부활 불가</x:v>
      </x:c>
      <x:c r="C552" s="1" t="n">
        <x:v>33</x:v>
      </x:c>
      <x:c r="D552" s="1"/>
      <x:c r="E552" s="1"/>
      <x:c r="F552" s="1"/>
      <x:c r="G552" s="1"/>
      <x:c r="H552" s="1"/>
      <x:c r="I552" s="1"/>
      <x:c r="J552" s="1"/>
    </x:row>
    <x:row r="553" ht="30" customHeight="1">
      <x:c r="A553" s="1" t="str">
        <x:v>EXTRA_TURN</x:v>
      </x:c>
      <x:c r="B553" s="1" t="str">
        <x:v>추가 턴</x:v>
      </x:c>
      <x:c r="C553" s="1" t="n">
        <x:v>7</x:v>
      </x:c>
      <x:c r="D553" s="1"/>
      <x:c r="E553" s="1"/>
      <x:c r="F553" s="1"/>
      <x:c r="G553" s="1"/>
      <x:c r="H553" s="1"/>
      <x:c r="I553" s="1"/>
      <x:c r="J553" s="1"/>
    </x:row>
    <x:row r="554" ht="30" customHeight="1">
      <x:c r="A554" s="1" t="str">
        <x:v>EXTRA_ATTACK</x:v>
      </x:c>
      <x:c r="B554" s="1" t="str">
        <x:v>추가 공격</x:v>
      </x:c>
      <x:c r="C554" s="1" t="n">
        <x:v>33</x:v>
      </x:c>
      <x:c r="D554" s="1"/>
      <x:c r="E554" s="1"/>
      <x:c r="F554" s="1"/>
      <x:c r="G554" s="1"/>
      <x:c r="H554" s="1"/>
      <x:c r="I554" s="1"/>
      <x:c r="J554" s="1"/>
    </x:row>
    <x:row r="555" ht="30" customHeight="1">
      <x:c r="A555" s="1" t="str">
        <x:v>COUNTERATTACK</x:v>
      </x:c>
      <x:c r="B555" s="1" t="str">
        <x:v>반격</x:v>
      </x:c>
      <x:c r="C555" s="1" t="n">
        <x:v>28</x:v>
      </x:c>
      <x:c r="D555" s="1"/>
      <x:c r="E555" s="1"/>
      <x:c r="F555" s="1"/>
      <x:c r="G555" s="1"/>
      <x:c r="H555" s="1"/>
      <x:c r="I555" s="1"/>
      <x:c r="J555" s="1"/>
    </x:row>
    <x:row r="556" ht="30" customHeight="1">
      <x:c r="A556" s="1" t="str">
        <x:v>SKILL_COOLDOWN_DOWN</x:v>
      </x:c>
      <x:c r="B556" s="1" t="str">
        <x:v>스킬 쿨타임 감소</x:v>
      </x:c>
      <x:c r="C556" s="1" t="n">
        <x:v>18</x:v>
      </x:c>
      <x:c r="D556" s="1"/>
      <x:c r="E556" s="1"/>
      <x:c r="F556" s="1"/>
      <x:c r="G556" s="1"/>
      <x:c r="H556" s="1"/>
      <x:c r="I556" s="1"/>
      <x:c r="J556" s="1"/>
    </x:row>
    <x:row r="557" ht="30" customHeight="1">
      <x:c r="A557" s="1" t="str">
        <x:v>SKILL_COOLDOWN_RESET</x:v>
      </x:c>
      <x:c r="B557" s="1" t="str">
        <x:v>스킬 쿨타임 초기화</x:v>
      </x:c>
      <x:c r="C557" s="1" t="n">
        <x:v>23</x:v>
      </x:c>
      <x:c r="D557" s="1"/>
      <x:c r="E557" s="1"/>
      <x:c r="F557" s="1"/>
      <x:c r="G557" s="1"/>
      <x:c r="H557" s="1"/>
      <x:c r="I557" s="1"/>
      <x:c r="J557" s="1"/>
    </x:row>
    <x:row r="558" ht="30" customHeight="1">
      <x:c r="A558" s="1" t="str">
        <x:v>SKILL_COOLDOWN_UP</x:v>
      </x:c>
      <x:c r="B558" s="1" t="str">
        <x:v>스킬 쿨타임 증가</x:v>
      </x:c>
      <x:c r="C558" s="1" t="n">
        <x:v>22</x:v>
      </x:c>
      <x:c r="D558" s="1"/>
      <x:c r="E558" s="1"/>
      <x:c r="F558" s="1"/>
      <x:c r="G558" s="1"/>
      <x:c r="H558" s="1"/>
      <x:c r="I558" s="1"/>
      <x:c r="J558" s="1"/>
    </x:row>
    <x:row r="559" ht="30" customHeight="1">
      <x:c r="A559" s="1" t="str">
        <x:v>DEFENSE_PENETRATION</x:v>
      </x:c>
      <x:c r="B559" s="1" t="str">
        <x:v>방어력 관통</x:v>
      </x:c>
      <x:c r="C559" s="1" t="n">
        <x:v>24</x:v>
      </x:c>
      <x:c r="D559" s="1"/>
      <x:c r="E559" s="1"/>
      <x:c r="F559" s="1"/>
      <x:c r="G559" s="1"/>
      <x:c r="H559" s="1"/>
      <x:c r="I559" s="1"/>
      <x:c r="J559" s="1"/>
    </x:row>
    <x:row r="560" ht="30" customHeight="1">
      <x:c r="A560" s="1" t="str">
        <x:v>DISPEL_BUFF</x:v>
      </x:c>
      <x:c r="B560" s="1" t="str">
        <x:v>강화효과 해제</x:v>
      </x:c>
      <x:c r="C560" s="1" t="n">
        <x:v>33</x:v>
      </x:c>
      <x:c r="D560" s="1"/>
      <x:c r="E560" s="1"/>
      <x:c r="F560" s="1"/>
      <x:c r="G560" s="1"/>
      <x:c r="H560" s="1"/>
      <x:c r="I560" s="1"/>
      <x:c r="J560" s="1"/>
    </x:row>
    <x:row r="561" ht="30" customHeight="1">
      <x:c r="A561" s="1" t="str">
        <x:v>CLEANSE_DEBUFF</x:v>
      </x:c>
      <x:c r="B561" s="1" t="str">
        <x:v>약화효과 해제</x:v>
      </x:c>
      <x:c r="C561" s="1" t="n">
        <x:v>23</x:v>
      </x:c>
      <x:c r="D561" s="1"/>
      <x:c r="E561" s="1"/>
      <x:c r="F561" s="1"/>
      <x:c r="G561" s="1"/>
      <x:c r="H561" s="1"/>
      <x:c r="I561" s="1"/>
      <x:c r="J561" s="1"/>
    </x:row>
    <x:row r="562" ht="30" customHeight="1">
      <x:c r="A562" s="1" t="str">
        <x:v>BUFF_DURATION_UP</x:v>
      </x:c>
      <x:c r="B562" s="1" t="str">
        <x:v>강화효과 지속시간 증가</x:v>
      </x:c>
      <x:c r="C562" s="1" t="n">
        <x:v>30</x:v>
      </x:c>
      <x:c r="D562" s="1"/>
      <x:c r="E562" s="1"/>
      <x:c r="F562" s="1"/>
      <x:c r="G562" s="1"/>
      <x:c r="H562" s="1"/>
      <x:c r="I562" s="1"/>
      <x:c r="J562" s="1"/>
    </x:row>
    <x:row r="563" ht="30" customHeight="1">
      <x:c r="A563" s="1" t="str">
        <x:v>BUFF_DURATION_DOWN</x:v>
      </x:c>
      <x:c r="B563" s="1" t="str">
        <x:v>강화효과 지속시간 감소</x:v>
      </x:c>
      <x:c r="C563" s="1" t="n">
        <x:v>29</x:v>
      </x:c>
      <x:c r="D563" s="1"/>
      <x:c r="E563" s="1"/>
      <x:c r="F563" s="1"/>
      <x:c r="G563" s="1"/>
      <x:c r="H563" s="1"/>
      <x:c r="I563" s="1"/>
      <x:c r="J563" s="1"/>
    </x:row>
    <x:row r="564" ht="30" customHeight="1">
      <x:c r="A564" s="1" t="str">
        <x:v>DEBUFF_DURATION_UP</x:v>
      </x:c>
      <x:c r="B564" s="1" t="str">
        <x:v>약화효과 지속시간 증가</x:v>
      </x:c>
      <x:c r="C564" s="1" t="n">
        <x:v>23</x:v>
      </x:c>
      <x:c r="D564" s="1"/>
      <x:c r="E564" s="1"/>
      <x:c r="F564" s="1"/>
      <x:c r="G564" s="1"/>
      <x:c r="H564" s="1"/>
      <x:c r="I564" s="1"/>
      <x:c r="J564" s="1"/>
    </x:row>
    <x:row r="565" ht="30" customHeight="1">
      <x:c r="A565" s="1" t="str">
        <x:v>TRANSFER_DEBUFF</x:v>
      </x:c>
      <x:c r="B565" s="1" t="str">
        <x:v>약화효과 전이</x:v>
      </x:c>
      <x:c r="C565" s="1" t="n">
        <x:v>27</x:v>
      </x:c>
      <x:c r="D565" s="1"/>
      <x:c r="E565" s="1"/>
      <x:c r="F565" s="1"/>
      <x:c r="G565" s="1"/>
      <x:c r="H565" s="1"/>
      <x:c r="I565" s="1"/>
      <x:c r="J565" s="1"/>
    </x:row>
  </x:sheetData>
  <x:mergeCells>
    <x:mergeCell ref="A1:J1"/>
  </x:mergeCells>
  <x:pageMargins left="0.7" right="0.7" top="0.75" bottom="0.75" header="0.3" footer="0.3"/>
</x:worksheet>
</file>